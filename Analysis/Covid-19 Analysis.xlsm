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31ABA3E9-C78F-4C48-9960-412A42785FB3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" sheetId="8" r:id="rId5"/>
    <sheet name="Days_Since_100_active" sheetId="21" r:id="rId6"/>
    <sheet name="Country_Data" sheetId="14" r:id="rId7"/>
    <sheet name="CumulativeConfirmed" sheetId="3" state="hidden" r:id="rId8"/>
    <sheet name="CumulativeActive" sheetId="22" state="hidden" r:id="rId9"/>
    <sheet name="CumulativeRecovered" sheetId="18" state="hidden" r:id="rId10"/>
    <sheet name="CumulativeDead" sheetId="19" state="hidden" r:id="rId11"/>
    <sheet name="RecoveredRaw" sheetId="17" state="hidden" r:id="rId12"/>
    <sheet name="DeadRaw" sheetId="16" state="hidden" r:id="rId13"/>
    <sheet name="ConfirmedRaw" sheetId="2" state="hidden" r:id="rId14"/>
  </sheets>
  <definedNames>
    <definedName name="_xlnm._FilterDatabase" localSheetId="1" hidden="1">Country_Rates!$D$2:$K$2</definedName>
    <definedName name="_xlnm._FilterDatabase" localSheetId="7" hidden="1">CumulativeConfirmed!$A$1:$BA$1</definedName>
    <definedName name="_xlnm._FilterDatabase" localSheetId="4" hidden="1">Days_Since_100!$B$1:$CU$1</definedName>
    <definedName name="_xlnm._FilterDatabase" localSheetId="0" hidden="1">Projections!$W$3:$AC$5</definedName>
    <definedName name="_xlnm._FilterDatabase" localSheetId="3" hidden="1">Country_Rates!$C$2:$K$2</definedName>
    <definedName name="country">Projections!$C$7</definedName>
    <definedName name="image_jpg">Projections!$A$1:$U$53</definedName>
    <definedName name="xMax">Country_Comparison!$S$8</definedName>
    <definedName name="xMax2">Projections_Data!$C$30</definedName>
    <definedName name="xMax3">Projections_Data!$D$30</definedName>
    <definedName name="xMin">Country_Comparison!$S$7</definedName>
    <definedName name="xMin2">Projections_Data!$C$29</definedName>
    <definedName name="xMin3">Projections_Data!$D$29</definedName>
    <definedName name="yMax">Country_Comparison!$S$5</definedName>
    <definedName name="yMax2">Projections_Data!$C$27</definedName>
    <definedName name="yMax3">Projections_Data!$D$27</definedName>
    <definedName name="yMin">Country_Comparison!$S$4</definedName>
    <definedName name="yMin2">Projections_Data!$C$26</definedName>
    <definedName name="yMin3">Projections_Data!$D$26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5" i="13" l="1"/>
  <c r="G6" i="13" s="1"/>
  <c r="V6" i="13"/>
  <c r="W6" i="13" s="1"/>
  <c r="X6" i="13" s="1"/>
  <c r="Y6" i="13" s="1"/>
  <c r="Z6" i="13" s="1"/>
  <c r="AA6" i="13" s="1"/>
  <c r="AB6" i="13" s="1"/>
  <c r="AC6" i="13" s="1"/>
  <c r="AD6" i="13" s="1"/>
  <c r="AE6" i="13" s="1"/>
  <c r="AF6" i="13" s="1"/>
  <c r="AG6" i="13" s="1"/>
  <c r="AH6" i="13" s="1"/>
  <c r="AI6" i="13" s="1"/>
  <c r="AJ6" i="13" s="1"/>
  <c r="AK6" i="13" s="1"/>
  <c r="AL6" i="13" s="1"/>
  <c r="AM6" i="13" s="1"/>
  <c r="AN6" i="13" s="1"/>
  <c r="AO6" i="13" s="1"/>
  <c r="AP6" i="13" s="1"/>
  <c r="AQ6" i="13" s="1"/>
  <c r="AR6" i="13" s="1"/>
  <c r="AS6" i="13" s="1"/>
  <c r="AT6" i="13" s="1"/>
  <c r="AU6" i="13" s="1"/>
  <c r="AV6" i="13" s="1"/>
  <c r="AW6" i="13" s="1"/>
  <c r="AX6" i="13" s="1"/>
  <c r="AY6" i="13" s="1"/>
  <c r="AZ6" i="13" s="1"/>
  <c r="BA6" i="13" s="1"/>
  <c r="BB6" i="13" s="1"/>
  <c r="BC6" i="13" s="1"/>
  <c r="BD6" i="13" s="1"/>
  <c r="BE6" i="13" s="1"/>
  <c r="BF6" i="13" s="1"/>
  <c r="BG6" i="13" s="1"/>
  <c r="BH6" i="13" s="1"/>
  <c r="BI6" i="13" s="1"/>
  <c r="BJ6" i="13" s="1"/>
  <c r="BK6" i="13" s="1"/>
  <c r="BL6" i="13" s="1"/>
  <c r="BM6" i="13" s="1"/>
  <c r="BN6" i="13" s="1"/>
  <c r="BO6" i="13" s="1"/>
  <c r="BP6" i="13" s="1"/>
  <c r="BQ6" i="13" s="1"/>
  <c r="BR6" i="13" s="1"/>
  <c r="BS6" i="13" s="1"/>
  <c r="BT6" i="13" s="1"/>
  <c r="BU6" i="13" s="1"/>
  <c r="BV6" i="13" s="1"/>
  <c r="BW6" i="13" s="1"/>
  <c r="BX6" i="13" s="1"/>
  <c r="BY6" i="13" s="1"/>
  <c r="BZ6" i="13" s="1"/>
  <c r="CA6" i="13" s="1"/>
  <c r="CB6" i="13" s="1"/>
  <c r="CC6" i="13" s="1"/>
  <c r="CD6" i="13" s="1"/>
  <c r="CE6" i="13" s="1"/>
  <c r="CF6" i="13" s="1"/>
  <c r="CG6" i="13" s="1"/>
  <c r="CH6" i="13" s="1"/>
  <c r="CI6" i="13" s="1"/>
  <c r="CJ6" i="13" s="1"/>
  <c r="CK6" i="13" s="1"/>
  <c r="CL6" i="13" s="1"/>
  <c r="CM6" i="13" s="1"/>
  <c r="CN6" i="13" s="1"/>
  <c r="CO6" i="13" s="1"/>
  <c r="CP6" i="13" s="1"/>
  <c r="CQ6" i="13" s="1"/>
  <c r="CR6" i="13" s="1"/>
  <c r="CS6" i="13" s="1"/>
  <c r="CT6" i="13" s="1"/>
  <c r="CU6" i="13" s="1"/>
  <c r="CV6" i="13" s="1"/>
  <c r="CW6" i="13" s="1"/>
  <c r="CX6" i="13" s="1"/>
  <c r="CY6" i="13" s="1"/>
  <c r="CZ6" i="13" s="1"/>
  <c r="DA6" i="13" s="1"/>
  <c r="DB6" i="13" s="1"/>
  <c r="DC6" i="13" s="1"/>
  <c r="DD6" i="13" s="1"/>
  <c r="DE6" i="13" s="1"/>
  <c r="DF6" i="13" s="1"/>
  <c r="DG6" i="13" s="1"/>
  <c r="DH6" i="13" s="1"/>
  <c r="DI6" i="13" s="1"/>
  <c r="DJ6" i="13" s="1"/>
  <c r="DK6" i="13" s="1"/>
  <c r="DL6" i="13" s="1"/>
  <c r="DM6" i="13" s="1"/>
  <c r="DN6" i="13" s="1"/>
  <c r="DO6" i="13" s="1"/>
  <c r="DP6" i="13" s="1"/>
  <c r="DQ6" i="13" s="1"/>
  <c r="DR6" i="13" s="1"/>
  <c r="DS6" i="13" s="1"/>
  <c r="DT6" i="13" s="1"/>
  <c r="DU6" i="13" s="1"/>
  <c r="DV6" i="13" s="1"/>
  <c r="DW6" i="13" s="1"/>
  <c r="DX6" i="13" s="1"/>
  <c r="DY6" i="13" s="1"/>
  <c r="DZ6" i="13" s="1"/>
  <c r="EA6" i="13" s="1"/>
  <c r="EB6" i="13" s="1"/>
  <c r="EC6" i="13" s="1"/>
  <c r="ED6" i="13" s="1"/>
  <c r="EE6" i="13" s="1"/>
  <c r="EF6" i="13" s="1"/>
  <c r="EG6" i="13" s="1"/>
  <c r="EH6" i="13" s="1"/>
  <c r="EI6" i="13" s="1"/>
  <c r="EJ6" i="13" s="1"/>
  <c r="EK6" i="13" s="1"/>
  <c r="EL6" i="13" s="1"/>
  <c r="EM6" i="13" s="1"/>
  <c r="EN6" i="13" s="1"/>
  <c r="EO6" i="13" s="1"/>
  <c r="EP6" i="13" s="1"/>
  <c r="EQ6" i="13" s="1"/>
  <c r="ER6" i="13" s="1"/>
  <c r="ES6" i="13" s="1"/>
  <c r="ET6" i="13" s="1"/>
  <c r="EU6" i="13" s="1"/>
  <c r="EV6" i="13" s="1"/>
  <c r="EW6" i="13" s="1"/>
  <c r="EX6" i="13" s="1"/>
  <c r="EY6" i="13" s="1"/>
  <c r="EZ6" i="13" s="1"/>
  <c r="FA6" i="13" s="1"/>
  <c r="FB6" i="13" s="1"/>
  <c r="FC6" i="13" s="1"/>
  <c r="FD6" i="13" s="1"/>
  <c r="FE6" i="13" s="1"/>
  <c r="FF6" i="13" s="1"/>
  <c r="FG6" i="13" s="1"/>
  <c r="FH6" i="13" s="1"/>
  <c r="FI6" i="13" s="1"/>
  <c r="FJ6" i="13" s="1"/>
  <c r="FK6" i="13" s="1"/>
  <c r="FL6" i="13" s="1"/>
  <c r="FM6" i="13" s="1"/>
  <c r="FN6" i="13" s="1"/>
  <c r="FO6" i="13" s="1"/>
  <c r="FP6" i="13" s="1"/>
  <c r="FQ6" i="13" s="1"/>
  <c r="FR6" i="13" s="1"/>
  <c r="FS6" i="13" s="1"/>
  <c r="FT6" i="13" s="1"/>
  <c r="FU6" i="13" s="1"/>
  <c r="FV6" i="13" s="1"/>
  <c r="FW6" i="13" s="1"/>
  <c r="FX6" i="13" s="1"/>
  <c r="FY6" i="13" s="1"/>
  <c r="FZ6" i="13" s="1"/>
  <c r="GA6" i="13" s="1"/>
  <c r="GB6" i="13" s="1"/>
  <c r="GC6" i="13" s="1"/>
  <c r="GD6" i="13" s="1"/>
  <c r="GE6" i="13" s="1"/>
  <c r="GF6" i="13" s="1"/>
  <c r="GG6" i="13" s="1"/>
  <c r="GH6" i="13" s="1"/>
  <c r="GI6" i="13" s="1"/>
  <c r="GJ6" i="13" s="1"/>
  <c r="GK6" i="13" s="1"/>
  <c r="GL6" i="13" s="1"/>
  <c r="GM6" i="13" s="1"/>
  <c r="GN6" i="13" s="1"/>
  <c r="GO6" i="13" s="1"/>
  <c r="GP6" i="13" s="1"/>
  <c r="GQ6" i="13" s="1"/>
  <c r="GR6" i="13" s="1"/>
  <c r="GS6" i="13" s="1"/>
  <c r="GT6" i="13" s="1"/>
  <c r="GU6" i="13" s="1"/>
  <c r="GV6" i="13" s="1"/>
  <c r="GW6" i="13" s="1"/>
  <c r="GX6" i="13" s="1"/>
  <c r="GY6" i="13" s="1"/>
  <c r="GZ6" i="13" s="1"/>
  <c r="HA6" i="13" s="1"/>
  <c r="HB6" i="13" s="1"/>
  <c r="HC6" i="13" s="1"/>
  <c r="HD6" i="13" s="1"/>
  <c r="HE6" i="13" s="1"/>
  <c r="HF6" i="13" s="1"/>
  <c r="HG6" i="13" s="1"/>
  <c r="HH6" i="13" s="1"/>
  <c r="HI6" i="13" s="1"/>
  <c r="HJ6" i="13" s="1"/>
  <c r="HK6" i="13" s="1"/>
  <c r="HL6" i="13" s="1"/>
  <c r="HM6" i="13" s="1"/>
  <c r="HN6" i="13" s="1"/>
  <c r="HO6" i="13" s="1"/>
  <c r="HP6" i="13" s="1"/>
  <c r="HQ6" i="13" s="1"/>
  <c r="HR6" i="13" s="1"/>
  <c r="HS6" i="13" s="1"/>
  <c r="HT6" i="13" s="1"/>
  <c r="HU6" i="13" s="1"/>
  <c r="HV6" i="13" s="1"/>
  <c r="HW6" i="13" s="1"/>
  <c r="HX6" i="13" s="1"/>
  <c r="HY6" i="13" s="1"/>
  <c r="HZ6" i="13" s="1"/>
  <c r="IA6" i="13" s="1"/>
  <c r="IB6" i="13" s="1"/>
  <c r="IC6" i="13" s="1"/>
  <c r="ID6" i="13" s="1"/>
  <c r="IE6" i="13" s="1"/>
  <c r="IF6" i="13" s="1"/>
  <c r="IG6" i="13" s="1"/>
  <c r="IH6" i="13" s="1"/>
  <c r="II6" i="13" s="1"/>
  <c r="IJ6" i="13" s="1"/>
  <c r="IK6" i="13" s="1"/>
  <c r="IL6" i="13" s="1"/>
  <c r="IM6" i="13" s="1"/>
  <c r="IN6" i="13" s="1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P9" i="13"/>
  <c r="C7" i="15"/>
  <c r="C6" i="21"/>
  <c r="B6" i="21" s="1" a="1"/>
  <c r="B6" i="21" s="1"/>
  <c r="D6" i="21"/>
  <c r="C7" i="21"/>
  <c r="B7" i="21" s="1" a="1"/>
  <c r="B7" i="21" s="1"/>
  <c r="D7" i="21"/>
  <c r="C8" i="21"/>
  <c r="B8" i="21" s="1" a="1"/>
  <c r="B8" i="21" s="1"/>
  <c r="D8" i="21"/>
  <c r="C9" i="21"/>
  <c r="B9" i="21" s="1" a="1"/>
  <c r="B9" i="21" s="1"/>
  <c r="D9" i="21"/>
  <c r="C10" i="21"/>
  <c r="B10" i="21" s="1" a="1"/>
  <c r="B10" i="21" s="1"/>
  <c r="D10" i="21"/>
  <c r="C11" i="21"/>
  <c r="B11" i="21" s="1" a="1"/>
  <c r="B11" i="21" s="1"/>
  <c r="D11" i="21"/>
  <c r="C12" i="21"/>
  <c r="B12" i="21" s="1" a="1"/>
  <c r="B12" i="21" s="1"/>
  <c r="D12" i="21"/>
  <c r="C13" i="21"/>
  <c r="B13" i="21" s="1" a="1"/>
  <c r="B13" i="21" s="1"/>
  <c r="D13" i="21"/>
  <c r="C14" i="21"/>
  <c r="B14" i="21" s="1" a="1"/>
  <c r="B14" i="21" s="1"/>
  <c r="D14" i="21"/>
  <c r="C15" i="21"/>
  <c r="B15" i="21" s="1" a="1"/>
  <c r="B15" i="21" s="1"/>
  <c r="D15" i="21"/>
  <c r="C16" i="21"/>
  <c r="B16" i="21" s="1" a="1"/>
  <c r="B16" i="21" s="1"/>
  <c r="D16" i="21"/>
  <c r="C17" i="21"/>
  <c r="B17" i="21" s="1" a="1"/>
  <c r="B17" i="21" s="1"/>
  <c r="D17" i="21"/>
  <c r="C18" i="21"/>
  <c r="B18" i="21" s="1" a="1"/>
  <c r="B18" i="21" s="1"/>
  <c r="D18" i="21"/>
  <c r="C19" i="21"/>
  <c r="B19" i="21" s="1" a="1"/>
  <c r="B19" i="21" s="1"/>
  <c r="D19" i="21"/>
  <c r="C20" i="21"/>
  <c r="B20" i="21" s="1" a="1"/>
  <c r="B20" i="21" s="1"/>
  <c r="D20" i="21"/>
  <c r="C21" i="21"/>
  <c r="B21" i="21" s="1" a="1"/>
  <c r="B21" i="21" s="1"/>
  <c r="D21" i="21"/>
  <c r="C22" i="21"/>
  <c r="B22" i="21" s="1" a="1"/>
  <c r="B22" i="21" s="1"/>
  <c r="D22" i="21"/>
  <c r="C23" i="21"/>
  <c r="B23" i="21" s="1" a="1"/>
  <c r="B23" i="21" s="1"/>
  <c r="D23" i="21"/>
  <c r="C24" i="21"/>
  <c r="B24" i="21" s="1" a="1"/>
  <c r="B24" i="21" s="1"/>
  <c r="D24" i="21"/>
  <c r="C25" i="21"/>
  <c r="B25" i="21" s="1" a="1"/>
  <c r="B25" i="21" s="1"/>
  <c r="D25" i="21"/>
  <c r="C26" i="21"/>
  <c r="B26" i="21" s="1" a="1"/>
  <c r="B26" i="21" s="1"/>
  <c r="D26" i="21"/>
  <c r="C27" i="21"/>
  <c r="B27" i="21" s="1" a="1"/>
  <c r="B27" i="21" s="1"/>
  <c r="D27" i="21"/>
  <c r="C28" i="21"/>
  <c r="B28" i="21" s="1" a="1"/>
  <c r="B28" i="21" s="1"/>
  <c r="D28" i="21"/>
  <c r="C29" i="21"/>
  <c r="B29" i="21" s="1" a="1"/>
  <c r="B29" i="21" s="1"/>
  <c r="D29" i="21"/>
  <c r="C30" i="21"/>
  <c r="B30" i="21" s="1" a="1"/>
  <c r="B30" i="21" s="1"/>
  <c r="D30" i="21"/>
  <c r="C31" i="21"/>
  <c r="B31" i="21" s="1" a="1"/>
  <c r="B31" i="21" s="1"/>
  <c r="D31" i="21"/>
  <c r="C32" i="21"/>
  <c r="B32" i="21" s="1" a="1"/>
  <c r="B32" i="21" s="1"/>
  <c r="D32" i="21"/>
  <c r="C33" i="21"/>
  <c r="B33" i="21" s="1" a="1"/>
  <c r="B33" i="21" s="1"/>
  <c r="D33" i="21"/>
  <c r="C34" i="21"/>
  <c r="B34" i="21" s="1" a="1"/>
  <c r="B34" i="21" s="1"/>
  <c r="D34" i="21"/>
  <c r="C35" i="21"/>
  <c r="B35" i="21" s="1" a="1"/>
  <c r="B35" i="21" s="1"/>
  <c r="D35" i="21"/>
  <c r="C36" i="21"/>
  <c r="B36" i="21" s="1" a="1"/>
  <c r="B36" i="21" s="1"/>
  <c r="D36" i="21"/>
  <c r="C37" i="21"/>
  <c r="B37" i="21" s="1" a="1"/>
  <c r="B37" i="21" s="1"/>
  <c r="D37" i="21"/>
  <c r="C38" i="21"/>
  <c r="B38" i="21" s="1" a="1"/>
  <c r="B38" i="21" s="1"/>
  <c r="D38" i="21"/>
  <c r="C39" i="21"/>
  <c r="B39" i="21" s="1" a="1"/>
  <c r="B39" i="21" s="1"/>
  <c r="D39" i="21"/>
  <c r="C40" i="21"/>
  <c r="B40" i="21" s="1" a="1"/>
  <c r="B40" i="21" s="1"/>
  <c r="D40" i="21"/>
  <c r="C41" i="21"/>
  <c r="B41" i="21" s="1" a="1"/>
  <c r="B41" i="21" s="1"/>
  <c r="D41" i="21"/>
  <c r="C42" i="21"/>
  <c r="B42" i="21" s="1" a="1"/>
  <c r="B42" i="21" s="1"/>
  <c r="D42" i="21"/>
  <c r="C43" i="21"/>
  <c r="B43" i="21" s="1" a="1"/>
  <c r="B43" i="21" s="1"/>
  <c r="D43" i="21"/>
  <c r="C44" i="21"/>
  <c r="B44" i="21" s="1" a="1"/>
  <c r="B44" i="21" s="1"/>
  <c r="D44" i="21"/>
  <c r="C45" i="21"/>
  <c r="B45" i="21" s="1" a="1"/>
  <c r="B45" i="21" s="1"/>
  <c r="D45" i="21"/>
  <c r="C46" i="21"/>
  <c r="B46" i="21" s="1" a="1"/>
  <c r="B46" i="21" s="1"/>
  <c r="D46" i="21"/>
  <c r="C47" i="21"/>
  <c r="B47" i="21" s="1" a="1"/>
  <c r="B47" i="21" s="1"/>
  <c r="D47" i="21"/>
  <c r="C48" i="21"/>
  <c r="B48" i="21" s="1" a="1"/>
  <c r="B48" i="21" s="1"/>
  <c r="D48" i="21"/>
  <c r="C49" i="21"/>
  <c r="B49" i="21" s="1" a="1"/>
  <c r="B49" i="21" s="1"/>
  <c r="D49" i="21"/>
  <c r="C50" i="21"/>
  <c r="B50" i="21" s="1" a="1"/>
  <c r="B50" i="21" s="1"/>
  <c r="D50" i="21"/>
  <c r="C51" i="21"/>
  <c r="B51" i="21" s="1" a="1"/>
  <c r="B51" i="21" s="1"/>
  <c r="D51" i="21"/>
  <c r="C52" i="21"/>
  <c r="B52" i="21" s="1" a="1"/>
  <c r="B52" i="21" s="1"/>
  <c r="D52" i="21"/>
  <c r="C53" i="21"/>
  <c r="B53" i="21" s="1" a="1"/>
  <c r="B53" i="21" s="1"/>
  <c r="D53" i="21"/>
  <c r="C54" i="21"/>
  <c r="B54" i="21" s="1" a="1"/>
  <c r="B54" i="21" s="1"/>
  <c r="D54" i="21"/>
  <c r="C55" i="21"/>
  <c r="B55" i="21" s="1" a="1"/>
  <c r="B55" i="21" s="1"/>
  <c r="D55" i="21"/>
  <c r="C56" i="21"/>
  <c r="B56" i="21" s="1" a="1"/>
  <c r="B56" i="21" s="1"/>
  <c r="D56" i="21"/>
  <c r="C57" i="21"/>
  <c r="B57" i="21" s="1" a="1"/>
  <c r="B57" i="21" s="1"/>
  <c r="D57" i="21"/>
  <c r="C58" i="21"/>
  <c r="B58" i="21" s="1" a="1"/>
  <c r="B58" i="21" s="1"/>
  <c r="D58" i="21"/>
  <c r="C59" i="21"/>
  <c r="B59" i="21" s="1" a="1"/>
  <c r="B59" i="21" s="1"/>
  <c r="D59" i="21"/>
  <c r="C60" i="21"/>
  <c r="B60" i="21" s="1" a="1"/>
  <c r="B60" i="21" s="1"/>
  <c r="D60" i="21"/>
  <c r="C61" i="21"/>
  <c r="B61" i="21" s="1" a="1"/>
  <c r="B61" i="21" s="1"/>
  <c r="D61" i="21"/>
  <c r="C62" i="21"/>
  <c r="B62" i="21" s="1" a="1"/>
  <c r="B62" i="21" s="1"/>
  <c r="D62" i="21"/>
  <c r="B63" i="21" a="1"/>
  <c r="B63" i="21" s="1"/>
  <c r="C63" i="21"/>
  <c r="D63" i="21"/>
  <c r="C64" i="21"/>
  <c r="B64" i="21" s="1" a="1"/>
  <c r="B64" i="21" s="1"/>
  <c r="D64" i="21"/>
  <c r="C65" i="21"/>
  <c r="B65" i="21" s="1" a="1"/>
  <c r="B65" i="21" s="1"/>
  <c r="D65" i="21"/>
  <c r="B66" i="21" a="1"/>
  <c r="B66" i="21" s="1"/>
  <c r="C66" i="21"/>
  <c r="D66" i="21"/>
  <c r="B67" i="21" a="1"/>
  <c r="B67" i="21" s="1"/>
  <c r="C67" i="21"/>
  <c r="D67" i="21"/>
  <c r="B68" i="21" a="1"/>
  <c r="B68" i="21" s="1"/>
  <c r="C68" i="21"/>
  <c r="D68" i="21"/>
  <c r="B69" i="21" a="1"/>
  <c r="B69" i="21" s="1"/>
  <c r="C69" i="21"/>
  <c r="D69" i="21"/>
  <c r="C70" i="21"/>
  <c r="B70" i="21" s="1" a="1"/>
  <c r="B70" i="21" s="1"/>
  <c r="D70" i="21"/>
  <c r="B71" i="21" a="1"/>
  <c r="B71" i="21" s="1"/>
  <c r="C71" i="21"/>
  <c r="D71" i="21"/>
  <c r="E71" i="21"/>
  <c r="F71" i="21"/>
  <c r="G71" i="21"/>
  <c r="C72" i="21"/>
  <c r="B72" i="21" s="1" a="1"/>
  <c r="B72" i="21" s="1"/>
  <c r="D72" i="21"/>
  <c r="E72" i="21"/>
  <c r="F72" i="21"/>
  <c r="G72" i="21"/>
  <c r="C73" i="21"/>
  <c r="B73" i="21" s="1" a="1"/>
  <c r="B73" i="21" s="1"/>
  <c r="D73" i="21"/>
  <c r="E73" i="21"/>
  <c r="F73" i="21"/>
  <c r="G73" i="21"/>
  <c r="B74" i="21" a="1"/>
  <c r="B74" i="21" s="1"/>
  <c r="C74" i="21"/>
  <c r="D74" i="21"/>
  <c r="E74" i="21"/>
  <c r="F74" i="21"/>
  <c r="G74" i="21"/>
  <c r="B75" i="21" a="1"/>
  <c r="B75" i="21" s="1"/>
  <c r="C75" i="21"/>
  <c r="D75" i="21"/>
  <c r="E75" i="21"/>
  <c r="F75" i="21"/>
  <c r="G75" i="21"/>
  <c r="C76" i="21"/>
  <c r="B76" i="21" s="1" a="1"/>
  <c r="B76" i="21" s="1"/>
  <c r="D76" i="21"/>
  <c r="E76" i="21"/>
  <c r="F76" i="21"/>
  <c r="G76" i="21"/>
  <c r="B77" i="21" a="1"/>
  <c r="B77" i="21" s="1"/>
  <c r="C77" i="21"/>
  <c r="D77" i="21"/>
  <c r="E77" i="21"/>
  <c r="F77" i="21"/>
  <c r="G77" i="21"/>
  <c r="C78" i="21"/>
  <c r="B78" i="21" s="1" a="1"/>
  <c r="B78" i="21" s="1"/>
  <c r="D78" i="21"/>
  <c r="E78" i="21"/>
  <c r="F78" i="21"/>
  <c r="G78" i="21"/>
  <c r="B79" i="21" a="1"/>
  <c r="B79" i="21" s="1"/>
  <c r="C79" i="21"/>
  <c r="D79" i="21"/>
  <c r="E79" i="21"/>
  <c r="F79" i="21"/>
  <c r="G79" i="21"/>
  <c r="C80" i="21"/>
  <c r="B80" i="21" s="1" a="1"/>
  <c r="B80" i="21" s="1"/>
  <c r="D80" i="21"/>
  <c r="E80" i="21"/>
  <c r="F80" i="21"/>
  <c r="G80" i="21"/>
  <c r="C81" i="21"/>
  <c r="B81" i="21" s="1" a="1"/>
  <c r="B81" i="21" s="1"/>
  <c r="D81" i="21"/>
  <c r="E81" i="21"/>
  <c r="F81" i="21"/>
  <c r="G81" i="21"/>
  <c r="B82" i="21" a="1"/>
  <c r="B82" i="21" s="1"/>
  <c r="C82" i="21"/>
  <c r="D82" i="21"/>
  <c r="E82" i="21"/>
  <c r="F82" i="21"/>
  <c r="G82" i="21"/>
  <c r="B83" i="21" a="1"/>
  <c r="B83" i="21" s="1"/>
  <c r="C83" i="21"/>
  <c r="D83" i="21"/>
  <c r="E83" i="21"/>
  <c r="F83" i="21"/>
  <c r="G83" i="21"/>
  <c r="C84" i="21"/>
  <c r="B84" i="21" s="1" a="1"/>
  <c r="B84" i="21" s="1"/>
  <c r="D84" i="21"/>
  <c r="E84" i="21"/>
  <c r="F84" i="21"/>
  <c r="G84" i="21"/>
  <c r="B85" i="21" a="1"/>
  <c r="B85" i="21" s="1"/>
  <c r="C85" i="21"/>
  <c r="D85" i="21"/>
  <c r="E85" i="21"/>
  <c r="F85" i="21"/>
  <c r="G85" i="21"/>
  <c r="C86" i="21"/>
  <c r="B86" i="21" s="1" a="1"/>
  <c r="B86" i="21" s="1"/>
  <c r="D86" i="21"/>
  <c r="E86" i="21"/>
  <c r="F86" i="21"/>
  <c r="G86" i="21"/>
  <c r="B87" i="21" a="1"/>
  <c r="B87" i="21" s="1"/>
  <c r="C87" i="21"/>
  <c r="D87" i="21"/>
  <c r="E87" i="21"/>
  <c r="F87" i="21"/>
  <c r="G87" i="21"/>
  <c r="C88" i="21"/>
  <c r="B88" i="21" s="1" a="1"/>
  <c r="B88" i="21" s="1"/>
  <c r="D88" i="21"/>
  <c r="E88" i="21"/>
  <c r="F88" i="21"/>
  <c r="G88" i="21"/>
  <c r="C89" i="21"/>
  <c r="B89" i="21" s="1" a="1"/>
  <c r="B89" i="21" s="1"/>
  <c r="D89" i="21"/>
  <c r="E89" i="21"/>
  <c r="F89" i="21"/>
  <c r="G89" i="21"/>
  <c r="B90" i="21" a="1"/>
  <c r="B90" i="21" s="1"/>
  <c r="C90" i="21"/>
  <c r="D90" i="21"/>
  <c r="E90" i="21"/>
  <c r="F90" i="21"/>
  <c r="G90" i="21"/>
  <c r="B91" i="21" a="1"/>
  <c r="B91" i="21" s="1"/>
  <c r="C91" i="21"/>
  <c r="D91" i="21"/>
  <c r="E91" i="21"/>
  <c r="F91" i="21"/>
  <c r="G91" i="21"/>
  <c r="B92" i="21" a="1"/>
  <c r="B92" i="21" s="1"/>
  <c r="C92" i="21"/>
  <c r="D92" i="21"/>
  <c r="E92" i="21"/>
  <c r="F92" i="21"/>
  <c r="G92" i="21"/>
  <c r="B93" i="21" a="1"/>
  <c r="B93" i="21" s="1"/>
  <c r="C93" i="21"/>
  <c r="D93" i="21"/>
  <c r="E93" i="21"/>
  <c r="F93" i="21"/>
  <c r="G93" i="21"/>
  <c r="B94" i="21" a="1"/>
  <c r="B94" i="21" s="1"/>
  <c r="C94" i="21"/>
  <c r="D94" i="21"/>
  <c r="E94" i="21"/>
  <c r="F94" i="21"/>
  <c r="G94" i="21"/>
  <c r="B95" i="21" a="1"/>
  <c r="B95" i="21" s="1"/>
  <c r="C95" i="21"/>
  <c r="D95" i="21"/>
  <c r="E95" i="21"/>
  <c r="F95" i="21"/>
  <c r="G95" i="21"/>
  <c r="B96" i="21" a="1"/>
  <c r="B96" i="21" s="1"/>
  <c r="C96" i="21"/>
  <c r="D96" i="21"/>
  <c r="E96" i="21"/>
  <c r="F96" i="21"/>
  <c r="G96" i="21"/>
  <c r="B97" i="21" a="1"/>
  <c r="B97" i="21" s="1"/>
  <c r="C97" i="21"/>
  <c r="D97" i="21"/>
  <c r="E97" i="21"/>
  <c r="F97" i="21"/>
  <c r="G97" i="21"/>
  <c r="B98" i="21" a="1"/>
  <c r="B98" i="21" s="1"/>
  <c r="C98" i="21"/>
  <c r="D98" i="21"/>
  <c r="E98" i="21"/>
  <c r="F98" i="21"/>
  <c r="G98" i="21"/>
  <c r="B99" i="21" a="1"/>
  <c r="B99" i="21" s="1"/>
  <c r="C99" i="21"/>
  <c r="D99" i="21"/>
  <c r="E99" i="21"/>
  <c r="F99" i="21"/>
  <c r="G99" i="21"/>
  <c r="B100" i="21" a="1"/>
  <c r="B100" i="21" s="1"/>
  <c r="C100" i="21"/>
  <c r="D100" i="21"/>
  <c r="E100" i="21"/>
  <c r="F100" i="21"/>
  <c r="G100" i="21"/>
  <c r="B101" i="21" a="1"/>
  <c r="B101" i="21" s="1"/>
  <c r="C101" i="21"/>
  <c r="D101" i="21"/>
  <c r="E101" i="21"/>
  <c r="F101" i="21"/>
  <c r="G101" i="21"/>
  <c r="B102" i="21" a="1"/>
  <c r="B102" i="21" s="1"/>
  <c r="C102" i="21"/>
  <c r="D102" i="21"/>
  <c r="E102" i="21"/>
  <c r="F102" i="21"/>
  <c r="G102" i="21"/>
  <c r="B103" i="21" a="1"/>
  <c r="B103" i="21" s="1"/>
  <c r="C103" i="21"/>
  <c r="D103" i="21"/>
  <c r="E103" i="21"/>
  <c r="F103" i="21"/>
  <c r="G103" i="21"/>
  <c r="B104" i="21" a="1"/>
  <c r="B104" i="21" s="1"/>
  <c r="C104" i="21"/>
  <c r="D104" i="21"/>
  <c r="E104" i="21"/>
  <c r="F104" i="21"/>
  <c r="G104" i="21"/>
  <c r="B105" i="21" a="1"/>
  <c r="B105" i="21" s="1"/>
  <c r="C105" i="21"/>
  <c r="D105" i="21"/>
  <c r="E105" i="21"/>
  <c r="F105" i="21"/>
  <c r="G105" i="21"/>
  <c r="B106" i="21" a="1"/>
  <c r="B106" i="21" s="1"/>
  <c r="C106" i="21"/>
  <c r="D106" i="21"/>
  <c r="E106" i="21"/>
  <c r="F106" i="21"/>
  <c r="G106" i="21"/>
  <c r="B107" i="21" a="1"/>
  <c r="B107" i="21" s="1"/>
  <c r="C107" i="21"/>
  <c r="D107" i="21"/>
  <c r="E107" i="21"/>
  <c r="F107" i="21"/>
  <c r="G107" i="21"/>
  <c r="B108" i="21" a="1"/>
  <c r="B108" i="21" s="1"/>
  <c r="C108" i="21"/>
  <c r="D108" i="21"/>
  <c r="E108" i="21"/>
  <c r="F108" i="21"/>
  <c r="G108" i="21"/>
  <c r="B109" i="21" a="1"/>
  <c r="B109" i="21" s="1"/>
  <c r="C109" i="21"/>
  <c r="D109" i="21"/>
  <c r="E109" i="21"/>
  <c r="F109" i="21"/>
  <c r="G109" i="21"/>
  <c r="B110" i="21" a="1"/>
  <c r="B110" i="21" s="1"/>
  <c r="C110" i="21"/>
  <c r="D110" i="21"/>
  <c r="E110" i="21"/>
  <c r="F110" i="21"/>
  <c r="G110" i="21"/>
  <c r="B111" i="21" a="1"/>
  <c r="B111" i="21" s="1"/>
  <c r="C111" i="21"/>
  <c r="D111" i="21"/>
  <c r="E111" i="21"/>
  <c r="F111" i="21"/>
  <c r="G111" i="21"/>
  <c r="B112" i="21" a="1"/>
  <c r="B112" i="21" s="1"/>
  <c r="C112" i="21"/>
  <c r="D112" i="21"/>
  <c r="E112" i="21"/>
  <c r="F112" i="21"/>
  <c r="G112" i="21"/>
  <c r="B113" i="21" a="1"/>
  <c r="B113" i="21" s="1"/>
  <c r="C113" i="21"/>
  <c r="D113" i="21"/>
  <c r="E113" i="21"/>
  <c r="F113" i="21"/>
  <c r="G113" i="21"/>
  <c r="B114" i="21" a="1"/>
  <c r="B114" i="21" s="1"/>
  <c r="C114" i="21"/>
  <c r="D114" i="21"/>
  <c r="E114" i="21"/>
  <c r="F114" i="21"/>
  <c r="G114" i="21"/>
  <c r="B115" i="21" a="1"/>
  <c r="B115" i="21" s="1"/>
  <c r="C115" i="21"/>
  <c r="D115" i="21"/>
  <c r="E115" i="21"/>
  <c r="F115" i="21"/>
  <c r="G115" i="21"/>
  <c r="B116" i="21" a="1"/>
  <c r="B116" i="21" s="1"/>
  <c r="C116" i="21"/>
  <c r="D116" i="21"/>
  <c r="E116" i="21"/>
  <c r="F116" i="21"/>
  <c r="G116" i="21"/>
  <c r="B117" i="21" a="1"/>
  <c r="B117" i="21" s="1"/>
  <c r="C117" i="21"/>
  <c r="D117" i="21"/>
  <c r="E117" i="21"/>
  <c r="F117" i="21"/>
  <c r="G117" i="21"/>
  <c r="B118" i="21" a="1"/>
  <c r="B118" i="21" s="1"/>
  <c r="C118" i="21"/>
  <c r="D118" i="21"/>
  <c r="E118" i="21"/>
  <c r="F118" i="21"/>
  <c r="G118" i="21"/>
  <c r="B119" i="21" a="1"/>
  <c r="B119" i="21" s="1"/>
  <c r="C119" i="21"/>
  <c r="D119" i="21"/>
  <c r="E119" i="21"/>
  <c r="F119" i="21"/>
  <c r="G119" i="21"/>
  <c r="B120" i="21" a="1"/>
  <c r="B120" i="21" s="1"/>
  <c r="C120" i="21"/>
  <c r="D120" i="21"/>
  <c r="E120" i="21"/>
  <c r="F120" i="21"/>
  <c r="G120" i="21"/>
  <c r="B121" i="21" a="1"/>
  <c r="B121" i="21" s="1"/>
  <c r="C121" i="21"/>
  <c r="D121" i="21"/>
  <c r="E121" i="21"/>
  <c r="F121" i="21"/>
  <c r="G121" i="21"/>
  <c r="B122" i="21" a="1"/>
  <c r="B122" i="21" s="1"/>
  <c r="C122" i="21"/>
  <c r="D122" i="21"/>
  <c r="E122" i="21"/>
  <c r="F122" i="21"/>
  <c r="G122" i="21"/>
  <c r="B123" i="21" a="1"/>
  <c r="B123" i="21" s="1"/>
  <c r="C123" i="21"/>
  <c r="D123" i="21"/>
  <c r="E123" i="21"/>
  <c r="F123" i="21"/>
  <c r="G123" i="21"/>
  <c r="B124" i="21" a="1"/>
  <c r="B124" i="21" s="1"/>
  <c r="C124" i="21"/>
  <c r="D124" i="21"/>
  <c r="E124" i="21"/>
  <c r="F124" i="21"/>
  <c r="G124" i="21"/>
  <c r="B125" i="21" a="1"/>
  <c r="B125" i="21" s="1"/>
  <c r="C125" i="21"/>
  <c r="D125" i="21"/>
  <c r="E125" i="21"/>
  <c r="F125" i="21"/>
  <c r="G125" i="21"/>
  <c r="B126" i="21" a="1"/>
  <c r="B126" i="21" s="1"/>
  <c r="C126" i="21"/>
  <c r="D126" i="21"/>
  <c r="E126" i="21"/>
  <c r="F126" i="21"/>
  <c r="G126" i="21"/>
  <c r="B127" i="21" a="1"/>
  <c r="B127" i="21" s="1"/>
  <c r="C127" i="21"/>
  <c r="D127" i="21"/>
  <c r="E127" i="21"/>
  <c r="F127" i="21"/>
  <c r="G127" i="21"/>
  <c r="B128" i="21" a="1"/>
  <c r="B128" i="21" s="1"/>
  <c r="C128" i="21"/>
  <c r="D128" i="21"/>
  <c r="E128" i="21"/>
  <c r="F128" i="21"/>
  <c r="G128" i="21"/>
  <c r="B129" i="21" a="1"/>
  <c r="B129" i="21" s="1"/>
  <c r="C129" i="21"/>
  <c r="D129" i="21"/>
  <c r="E129" i="21"/>
  <c r="F129" i="21"/>
  <c r="G129" i="21"/>
  <c r="B130" i="21" a="1"/>
  <c r="B130" i="21" s="1"/>
  <c r="C130" i="21"/>
  <c r="D130" i="21"/>
  <c r="E130" i="21"/>
  <c r="F130" i="21"/>
  <c r="G130" i="21"/>
  <c r="C131" i="21"/>
  <c r="B131" i="21" s="1" a="1"/>
  <c r="B131" i="21" s="1"/>
  <c r="D131" i="21"/>
  <c r="E131" i="21"/>
  <c r="F131" i="21"/>
  <c r="G131" i="21"/>
  <c r="B132" i="21" a="1"/>
  <c r="B132" i="21" s="1"/>
  <c r="C132" i="21"/>
  <c r="D132" i="21"/>
  <c r="E132" i="21"/>
  <c r="F132" i="21"/>
  <c r="G132" i="21"/>
  <c r="C133" i="21"/>
  <c r="B133" i="21" s="1" a="1"/>
  <c r="B133" i="21" s="1"/>
  <c r="D133" i="21"/>
  <c r="E133" i="21"/>
  <c r="F133" i="21"/>
  <c r="G133" i="21"/>
  <c r="C134" i="21"/>
  <c r="B134" i="21" s="1" a="1"/>
  <c r="B134" i="21" s="1"/>
  <c r="D134" i="21"/>
  <c r="E134" i="21"/>
  <c r="F134" i="21"/>
  <c r="G134" i="21"/>
  <c r="C135" i="21"/>
  <c r="B135" i="21" s="1" a="1"/>
  <c r="B135" i="21" s="1"/>
  <c r="D135" i="21"/>
  <c r="E135" i="21"/>
  <c r="F135" i="21"/>
  <c r="G135" i="21"/>
  <c r="B136" i="21" a="1"/>
  <c r="B136" i="21" s="1"/>
  <c r="C136" i="21"/>
  <c r="D136" i="21"/>
  <c r="E136" i="21"/>
  <c r="F136" i="21"/>
  <c r="G136" i="21"/>
  <c r="C137" i="21"/>
  <c r="B137" i="21" s="1" a="1"/>
  <c r="B137" i="21" s="1"/>
  <c r="D137" i="21"/>
  <c r="E137" i="21"/>
  <c r="F137" i="21"/>
  <c r="G137" i="21"/>
  <c r="C138" i="21"/>
  <c r="B138" i="21" s="1" a="1"/>
  <c r="B138" i="21" s="1"/>
  <c r="D138" i="21"/>
  <c r="E138" i="21"/>
  <c r="F138" i="21"/>
  <c r="G138" i="21"/>
  <c r="C139" i="21"/>
  <c r="B139" i="21" s="1" a="1"/>
  <c r="B139" i="21" s="1"/>
  <c r="D139" i="21"/>
  <c r="E139" i="21"/>
  <c r="F139" i="21"/>
  <c r="G139" i="21"/>
  <c r="B140" i="21" a="1"/>
  <c r="B140" i="21" s="1"/>
  <c r="C140" i="21"/>
  <c r="D140" i="21"/>
  <c r="E140" i="21"/>
  <c r="F140" i="21"/>
  <c r="G140" i="21"/>
  <c r="C141" i="21"/>
  <c r="B141" i="21" s="1" a="1"/>
  <c r="B141" i="21" s="1"/>
  <c r="D141" i="21"/>
  <c r="E141" i="21"/>
  <c r="F141" i="21"/>
  <c r="G141" i="21"/>
  <c r="C142" i="21"/>
  <c r="B142" i="21" s="1" a="1"/>
  <c r="B142" i="21" s="1"/>
  <c r="D142" i="21"/>
  <c r="E142" i="21"/>
  <c r="F142" i="21"/>
  <c r="G142" i="21"/>
  <c r="C143" i="21"/>
  <c r="B143" i="21" s="1" a="1"/>
  <c r="B143" i="21" s="1"/>
  <c r="D143" i="21"/>
  <c r="E143" i="21"/>
  <c r="F143" i="21"/>
  <c r="G143" i="21"/>
  <c r="B144" i="21" a="1"/>
  <c r="B144" i="21" s="1"/>
  <c r="C144" i="21"/>
  <c r="D144" i="21"/>
  <c r="E144" i="21"/>
  <c r="F144" i="21"/>
  <c r="G144" i="21"/>
  <c r="C145" i="21"/>
  <c r="B145" i="21" s="1" a="1"/>
  <c r="B145" i="21" s="1"/>
  <c r="D145" i="21"/>
  <c r="E145" i="21"/>
  <c r="F145" i="21"/>
  <c r="G145" i="21"/>
  <c r="C146" i="21"/>
  <c r="B146" i="21" s="1" a="1"/>
  <c r="B146" i="21" s="1"/>
  <c r="D146" i="21"/>
  <c r="E146" i="21"/>
  <c r="F146" i="21"/>
  <c r="G146" i="21"/>
  <c r="B147" i="21" a="1"/>
  <c r="B147" i="21" s="1"/>
  <c r="C147" i="21"/>
  <c r="D147" i="21"/>
  <c r="E147" i="21"/>
  <c r="F147" i="21"/>
  <c r="G147" i="21"/>
  <c r="C148" i="21"/>
  <c r="B148" i="21" s="1" a="1"/>
  <c r="B148" i="21" s="1"/>
  <c r="D148" i="21"/>
  <c r="E148" i="21"/>
  <c r="F148" i="21"/>
  <c r="G148" i="21"/>
  <c r="B149" i="21" a="1"/>
  <c r="B149" i="21" s="1"/>
  <c r="C149" i="21"/>
  <c r="D149" i="21"/>
  <c r="E149" i="21"/>
  <c r="F149" i="21"/>
  <c r="G149" i="21"/>
  <c r="B150" i="21" a="1"/>
  <c r="B150" i="21" s="1"/>
  <c r="C150" i="21"/>
  <c r="D150" i="21"/>
  <c r="E150" i="21"/>
  <c r="F150" i="21"/>
  <c r="G150" i="21"/>
  <c r="B151" i="21" a="1"/>
  <c r="B151" i="21" s="1"/>
  <c r="C151" i="21"/>
  <c r="D151" i="21"/>
  <c r="E151" i="21"/>
  <c r="F151" i="21"/>
  <c r="G151" i="21"/>
  <c r="C152" i="21"/>
  <c r="B152" i="21" s="1" a="1"/>
  <c r="B152" i="21" s="1"/>
  <c r="D152" i="21"/>
  <c r="E152" i="21"/>
  <c r="F152" i="21"/>
  <c r="G152" i="21"/>
  <c r="B153" i="21" a="1"/>
  <c r="B153" i="21" s="1"/>
  <c r="C153" i="21"/>
  <c r="D153" i="21"/>
  <c r="E153" i="21"/>
  <c r="F153" i="21"/>
  <c r="G153" i="21"/>
  <c r="C154" i="21"/>
  <c r="B154" i="21" s="1" a="1"/>
  <c r="B154" i="21" s="1"/>
  <c r="D154" i="21"/>
  <c r="E154" i="21"/>
  <c r="F154" i="21"/>
  <c r="G154" i="21"/>
  <c r="B155" i="21" a="1"/>
  <c r="B155" i="21" s="1"/>
  <c r="C155" i="21"/>
  <c r="D155" i="21"/>
  <c r="E155" i="21"/>
  <c r="F155" i="21"/>
  <c r="G155" i="21"/>
  <c r="C156" i="21"/>
  <c r="B156" i="21" s="1" a="1"/>
  <c r="B156" i="21" s="1"/>
  <c r="D156" i="21"/>
  <c r="E156" i="21"/>
  <c r="F156" i="21"/>
  <c r="G156" i="21"/>
  <c r="B157" i="21" a="1"/>
  <c r="B157" i="21" s="1"/>
  <c r="C157" i="21"/>
  <c r="D157" i="21"/>
  <c r="E157" i="21"/>
  <c r="F157" i="21"/>
  <c r="G157" i="21"/>
  <c r="C158" i="21"/>
  <c r="B158" i="21" s="1" a="1"/>
  <c r="B158" i="21" s="1"/>
  <c r="D158" i="21"/>
  <c r="E158" i="21"/>
  <c r="F158" i="21"/>
  <c r="G158" i="21"/>
  <c r="B159" i="21" a="1"/>
  <c r="B159" i="21" s="1"/>
  <c r="C159" i="21"/>
  <c r="D159" i="21"/>
  <c r="E159" i="21"/>
  <c r="F159" i="21"/>
  <c r="G159" i="21"/>
  <c r="C160" i="21"/>
  <c r="B160" i="21" s="1" a="1"/>
  <c r="B160" i="21" s="1"/>
  <c r="D160" i="21"/>
  <c r="E160" i="21"/>
  <c r="F160" i="21"/>
  <c r="G160" i="21"/>
  <c r="B161" i="21" a="1"/>
  <c r="B161" i="21" s="1"/>
  <c r="C161" i="21"/>
  <c r="D161" i="21"/>
  <c r="E161" i="21"/>
  <c r="F161" i="21"/>
  <c r="G161" i="21"/>
  <c r="C162" i="21"/>
  <c r="B162" i="21" s="1" a="1"/>
  <c r="B162" i="21" s="1"/>
  <c r="D162" i="21"/>
  <c r="E162" i="21"/>
  <c r="F162" i="21"/>
  <c r="G162" i="21"/>
  <c r="B163" i="21" a="1"/>
  <c r="B163" i="21" s="1"/>
  <c r="C163" i="21"/>
  <c r="D163" i="21"/>
  <c r="E163" i="21"/>
  <c r="F163" i="21"/>
  <c r="G163" i="21"/>
  <c r="C164" i="21"/>
  <c r="B164" i="21" s="1" a="1"/>
  <c r="B164" i="21" s="1"/>
  <c r="D164" i="21"/>
  <c r="E164" i="21"/>
  <c r="F164" i="21"/>
  <c r="G164" i="21"/>
  <c r="B165" i="21" a="1"/>
  <c r="B165" i="21" s="1"/>
  <c r="C165" i="21"/>
  <c r="D165" i="21"/>
  <c r="E165" i="21"/>
  <c r="F165" i="21"/>
  <c r="G165" i="21"/>
  <c r="B166" i="21" a="1"/>
  <c r="B166" i="21" s="1"/>
  <c r="C166" i="21"/>
  <c r="D166" i="21"/>
  <c r="E166" i="21"/>
  <c r="F166" i="21"/>
  <c r="G166" i="21"/>
  <c r="C167" i="21"/>
  <c r="B167" i="21" s="1" a="1"/>
  <c r="B167" i="21" s="1"/>
  <c r="D167" i="21"/>
  <c r="E167" i="21"/>
  <c r="F167" i="21"/>
  <c r="G167" i="21"/>
  <c r="C168" i="21"/>
  <c r="B168" i="21" s="1" a="1"/>
  <c r="B168" i="21" s="1"/>
  <c r="D168" i="21"/>
  <c r="E168" i="21"/>
  <c r="F168" i="21"/>
  <c r="G168" i="21"/>
  <c r="B169" i="21" a="1"/>
  <c r="B169" i="21" s="1"/>
  <c r="C169" i="21"/>
  <c r="D169" i="21"/>
  <c r="E169" i="21"/>
  <c r="F169" i="21"/>
  <c r="G169" i="21"/>
  <c r="C170" i="21"/>
  <c r="B170" i="21" s="1" a="1"/>
  <c r="B170" i="21" s="1"/>
  <c r="D170" i="21"/>
  <c r="E170" i="21"/>
  <c r="F170" i="21"/>
  <c r="G170" i="21"/>
  <c r="B171" i="21" a="1"/>
  <c r="B171" i="21" s="1"/>
  <c r="C171" i="21"/>
  <c r="D171" i="21"/>
  <c r="E171" i="21"/>
  <c r="F171" i="21"/>
  <c r="G171" i="21"/>
  <c r="C172" i="21"/>
  <c r="B172" i="21" s="1" a="1"/>
  <c r="B172" i="21" s="1"/>
  <c r="D172" i="21"/>
  <c r="E172" i="21"/>
  <c r="F172" i="21"/>
  <c r="G172" i="21"/>
  <c r="B173" i="21" a="1"/>
  <c r="B173" i="21" s="1"/>
  <c r="C173" i="21"/>
  <c r="D173" i="21"/>
  <c r="E173" i="21"/>
  <c r="F173" i="21"/>
  <c r="G173" i="21"/>
  <c r="B174" i="21" a="1"/>
  <c r="B174" i="21" s="1"/>
  <c r="C174" i="21"/>
  <c r="D174" i="21"/>
  <c r="E174" i="21"/>
  <c r="F174" i="21"/>
  <c r="G174" i="21"/>
  <c r="C175" i="21"/>
  <c r="B175" i="21" s="1" a="1"/>
  <c r="B175" i="21" s="1"/>
  <c r="D175" i="21"/>
  <c r="E175" i="21"/>
  <c r="F175" i="21"/>
  <c r="G175" i="21"/>
  <c r="B176" i="21" a="1"/>
  <c r="B176" i="21" s="1"/>
  <c r="C176" i="21"/>
  <c r="D176" i="21"/>
  <c r="E176" i="21"/>
  <c r="F176" i="21"/>
  <c r="G176" i="21"/>
  <c r="B177" i="21"/>
  <c r="C177" i="21"/>
  <c r="B177" i="21" s="1" a="1"/>
  <c r="D177" i="21"/>
  <c r="E177" i="21"/>
  <c r="F177" i="21"/>
  <c r="G177" i="21"/>
  <c r="C178" i="21"/>
  <c r="B178" i="21" s="1" a="1"/>
  <c r="B178" i="21" s="1"/>
  <c r="D178" i="21"/>
  <c r="E178" i="21"/>
  <c r="F178" i="21"/>
  <c r="G178" i="21"/>
  <c r="B179" i="21" a="1"/>
  <c r="B179" i="21"/>
  <c r="C179" i="21"/>
  <c r="D179" i="21"/>
  <c r="E179" i="21"/>
  <c r="F179" i="21"/>
  <c r="G179" i="21"/>
  <c r="B180" i="21" a="1"/>
  <c r="B180" i="21" s="1"/>
  <c r="C180" i="21"/>
  <c r="D180" i="21"/>
  <c r="E180" i="21"/>
  <c r="F180" i="21"/>
  <c r="G180" i="21"/>
  <c r="B181" i="21" a="1"/>
  <c r="B181" i="21" s="1"/>
  <c r="C181" i="21"/>
  <c r="D181" i="21"/>
  <c r="E181" i="21"/>
  <c r="F181" i="21"/>
  <c r="G181" i="21"/>
  <c r="C182" i="21"/>
  <c r="B182" i="21" s="1" a="1"/>
  <c r="B182" i="21" s="1"/>
  <c r="D182" i="21"/>
  <c r="E182" i="21"/>
  <c r="F182" i="21"/>
  <c r="G182" i="21"/>
  <c r="C183" i="21"/>
  <c r="B183" i="21" s="1" a="1"/>
  <c r="B183" i="21" s="1"/>
  <c r="D183" i="21"/>
  <c r="E183" i="21"/>
  <c r="F183" i="21"/>
  <c r="G183" i="21"/>
  <c r="B184" i="21" a="1"/>
  <c r="B184" i="21" s="1"/>
  <c r="C184" i="21"/>
  <c r="D184" i="21"/>
  <c r="E184" i="21"/>
  <c r="F184" i="21"/>
  <c r="G184" i="21"/>
  <c r="B185" i="21"/>
  <c r="C185" i="21"/>
  <c r="B185" i="21" s="1" a="1"/>
  <c r="D185" i="21"/>
  <c r="E185" i="21"/>
  <c r="F185" i="21"/>
  <c r="G185" i="21"/>
  <c r="C186" i="21"/>
  <c r="B186" i="21" s="1" a="1"/>
  <c r="B186" i="21" s="1"/>
  <c r="D186" i="21"/>
  <c r="E186" i="21"/>
  <c r="F186" i="21"/>
  <c r="G186" i="21"/>
  <c r="B187" i="21" a="1"/>
  <c r="B187" i="21"/>
  <c r="C187" i="21"/>
  <c r="D187" i="21"/>
  <c r="E187" i="21"/>
  <c r="F187" i="21"/>
  <c r="G187" i="21"/>
  <c r="B188" i="21" a="1"/>
  <c r="B188" i="21" s="1"/>
  <c r="C188" i="21"/>
  <c r="D188" i="21"/>
  <c r="E188" i="21"/>
  <c r="F188" i="21"/>
  <c r="G188" i="21"/>
  <c r="B189" i="21" a="1"/>
  <c r="B189" i="21" s="1"/>
  <c r="C189" i="21"/>
  <c r="D189" i="21"/>
  <c r="E189" i="21"/>
  <c r="F189" i="21"/>
  <c r="G189" i="21"/>
  <c r="B190" i="21"/>
  <c r="C190" i="21"/>
  <c r="B190" i="21" s="1" a="1"/>
  <c r="D190" i="21"/>
  <c r="E190" i="21"/>
  <c r="F190" i="21"/>
  <c r="G190" i="21"/>
  <c r="C191" i="21"/>
  <c r="B191" i="21" s="1" a="1"/>
  <c r="B191" i="21" s="1"/>
  <c r="D191" i="21"/>
  <c r="E191" i="21"/>
  <c r="F191" i="21"/>
  <c r="G191" i="21"/>
  <c r="B192" i="21" a="1"/>
  <c r="B192" i="21" s="1"/>
  <c r="C192" i="21"/>
  <c r="D192" i="21"/>
  <c r="E192" i="21"/>
  <c r="F192" i="21"/>
  <c r="G192" i="21"/>
  <c r="C193" i="21"/>
  <c r="B193" i="21" s="1" a="1"/>
  <c r="B193" i="21" s="1"/>
  <c r="D193" i="21"/>
  <c r="E193" i="21"/>
  <c r="F193" i="21"/>
  <c r="G193" i="21"/>
  <c r="C194" i="21"/>
  <c r="B194" i="21" s="1" a="1"/>
  <c r="B194" i="21" s="1"/>
  <c r="D194" i="21"/>
  <c r="E194" i="21"/>
  <c r="F194" i="21"/>
  <c r="G194" i="21"/>
  <c r="B195" i="21" a="1"/>
  <c r="B195" i="21"/>
  <c r="C195" i="21"/>
  <c r="D195" i="21"/>
  <c r="E195" i="21"/>
  <c r="F195" i="21"/>
  <c r="G195" i="21"/>
  <c r="B196" i="21" a="1"/>
  <c r="B196" i="21" s="1"/>
  <c r="C196" i="21"/>
  <c r="D196" i="21"/>
  <c r="E196" i="21"/>
  <c r="F196" i="21"/>
  <c r="G196" i="21"/>
  <c r="B197" i="21" a="1"/>
  <c r="B197" i="21" s="1"/>
  <c r="C197" i="21"/>
  <c r="D197" i="21"/>
  <c r="E197" i="21"/>
  <c r="F197" i="21"/>
  <c r="G197" i="21"/>
  <c r="C198" i="21"/>
  <c r="B198" i="21" s="1" a="1"/>
  <c r="B198" i="21" s="1"/>
  <c r="D198" i="21"/>
  <c r="E198" i="21"/>
  <c r="F198" i="21"/>
  <c r="G198" i="21"/>
  <c r="C199" i="21"/>
  <c r="B199" i="21" s="1" a="1"/>
  <c r="B199" i="21" s="1"/>
  <c r="D199" i="21"/>
  <c r="E199" i="21"/>
  <c r="F199" i="21"/>
  <c r="G199" i="21"/>
  <c r="B200" i="21" a="1"/>
  <c r="B200" i="21" s="1"/>
  <c r="C200" i="21"/>
  <c r="D200" i="21"/>
  <c r="E200" i="21"/>
  <c r="F200" i="21"/>
  <c r="G200" i="21"/>
  <c r="B6" i="8"/>
  <c r="C6" i="8"/>
  <c r="B6" i="8" s="1" a="1"/>
  <c r="D6" i="8"/>
  <c r="C7" i="8"/>
  <c r="B7" i="8" s="1" a="1"/>
  <c r="B7" i="8" s="1"/>
  <c r="D7" i="8"/>
  <c r="B8" i="8" a="1"/>
  <c r="B8" i="8"/>
  <c r="C8" i="8"/>
  <c r="D8" i="8"/>
  <c r="B9" i="8" a="1"/>
  <c r="B9" i="8" s="1"/>
  <c r="C9" i="8"/>
  <c r="D9" i="8"/>
  <c r="B10" i="8" a="1"/>
  <c r="B10" i="8" s="1"/>
  <c r="C10" i="8"/>
  <c r="D10" i="8"/>
  <c r="C11" i="8"/>
  <c r="B11" i="8" s="1" a="1"/>
  <c r="B11" i="8" s="1"/>
  <c r="D11" i="8"/>
  <c r="C12" i="8"/>
  <c r="B12" i="8" s="1" a="1"/>
  <c r="B12" i="8" s="1"/>
  <c r="D12" i="8"/>
  <c r="B13" i="8" a="1"/>
  <c r="B13" i="8" s="1"/>
  <c r="C13" i="8"/>
  <c r="D13" i="8"/>
  <c r="B14" i="8"/>
  <c r="C14" i="8"/>
  <c r="B14" i="8" s="1" a="1"/>
  <c r="D14" i="8"/>
  <c r="C15" i="8"/>
  <c r="B15" i="8" s="1" a="1"/>
  <c r="B15" i="8" s="1"/>
  <c r="D15" i="8"/>
  <c r="B16" i="8" a="1"/>
  <c r="B16" i="8"/>
  <c r="C16" i="8"/>
  <c r="D16" i="8"/>
  <c r="B17" i="8" a="1"/>
  <c r="B17" i="8" s="1"/>
  <c r="C17" i="8"/>
  <c r="D17" i="8"/>
  <c r="B18" i="8" a="1"/>
  <c r="B18" i="8" s="1"/>
  <c r="C18" i="8"/>
  <c r="D18" i="8"/>
  <c r="C19" i="8"/>
  <c r="B19" i="8" s="1" a="1"/>
  <c r="B19" i="8" s="1"/>
  <c r="D19" i="8"/>
  <c r="C20" i="8"/>
  <c r="B20" i="8" s="1" a="1"/>
  <c r="B20" i="8" s="1"/>
  <c r="D20" i="8"/>
  <c r="B21" i="8" a="1"/>
  <c r="B21" i="8" s="1"/>
  <c r="C21" i="8"/>
  <c r="D21" i="8"/>
  <c r="C22" i="8"/>
  <c r="B22" i="8" s="1" a="1"/>
  <c r="B22" i="8" s="1"/>
  <c r="D22" i="8"/>
  <c r="C23" i="8"/>
  <c r="B23" i="8" s="1" a="1"/>
  <c r="B23" i="8" s="1"/>
  <c r="D23" i="8"/>
  <c r="B24" i="8" a="1"/>
  <c r="B24" i="8"/>
  <c r="C24" i="8"/>
  <c r="D24" i="8"/>
  <c r="B25" i="8" a="1"/>
  <c r="B25" i="8" s="1"/>
  <c r="C25" i="8"/>
  <c r="D25" i="8"/>
  <c r="B26" i="8" a="1"/>
  <c r="B26" i="8" s="1"/>
  <c r="C26" i="8"/>
  <c r="D26" i="8"/>
  <c r="B27" i="8"/>
  <c r="C27" i="8"/>
  <c r="B27" i="8" s="1" a="1"/>
  <c r="D27" i="8"/>
  <c r="C28" i="8"/>
  <c r="B28" i="8" s="1" a="1"/>
  <c r="B28" i="8" s="1"/>
  <c r="D28" i="8"/>
  <c r="B29" i="8" a="1"/>
  <c r="B29" i="8" s="1"/>
  <c r="C29" i="8"/>
  <c r="D29" i="8"/>
  <c r="C30" i="8"/>
  <c r="B30" i="8" s="1" a="1"/>
  <c r="B30" i="8" s="1"/>
  <c r="D30" i="8"/>
  <c r="C31" i="8"/>
  <c r="B31" i="8" s="1" a="1"/>
  <c r="B31" i="8" s="1"/>
  <c r="D31" i="8"/>
  <c r="B32" i="8" a="1"/>
  <c r="B32" i="8"/>
  <c r="C32" i="8"/>
  <c r="D32" i="8"/>
  <c r="B33" i="8" a="1"/>
  <c r="B33" i="8" s="1"/>
  <c r="C33" i="8"/>
  <c r="D33" i="8"/>
  <c r="B34" i="8" a="1"/>
  <c r="B34" i="8" s="1"/>
  <c r="C34" i="8"/>
  <c r="D34" i="8"/>
  <c r="C35" i="8"/>
  <c r="B35" i="8" s="1" a="1"/>
  <c r="B35" i="8" s="1"/>
  <c r="D35" i="8"/>
  <c r="B36" i="8" a="1"/>
  <c r="B36" i="8" s="1"/>
  <c r="C36" i="8"/>
  <c r="D36" i="8"/>
  <c r="B37" i="8" a="1"/>
  <c r="B37" i="8" s="1"/>
  <c r="C37" i="8"/>
  <c r="D37" i="8"/>
  <c r="C38" i="8"/>
  <c r="B38" i="8" s="1" a="1"/>
  <c r="B38" i="8" s="1"/>
  <c r="D38" i="8"/>
  <c r="C39" i="8"/>
  <c r="B39" i="8" s="1" a="1"/>
  <c r="B39" i="8" s="1"/>
  <c r="D39" i="8"/>
  <c r="B40" i="8" a="1"/>
  <c r="B40" i="8"/>
  <c r="C40" i="8"/>
  <c r="D40" i="8"/>
  <c r="B41" i="8" a="1"/>
  <c r="B41" i="8" s="1"/>
  <c r="C41" i="8"/>
  <c r="D41" i="8"/>
  <c r="B42" i="8" a="1"/>
  <c r="B42" i="8" s="1"/>
  <c r="C42" i="8"/>
  <c r="D42" i="8"/>
  <c r="B43" i="8"/>
  <c r="C43" i="8"/>
  <c r="B43" i="8" s="1" a="1"/>
  <c r="D43" i="8"/>
  <c r="C44" i="8"/>
  <c r="B44" i="8" s="1" a="1"/>
  <c r="B44" i="8" s="1"/>
  <c r="D44" i="8"/>
  <c r="B45" i="8" a="1"/>
  <c r="B45" i="8" s="1"/>
  <c r="C45" i="8"/>
  <c r="D45" i="8"/>
  <c r="C46" i="8"/>
  <c r="B46" i="8" s="1" a="1"/>
  <c r="B46" i="8" s="1"/>
  <c r="D46" i="8"/>
  <c r="C47" i="8"/>
  <c r="B47" i="8" s="1" a="1"/>
  <c r="B47" i="8" s="1"/>
  <c r="D47" i="8"/>
  <c r="B48" i="8" a="1"/>
  <c r="B48" i="8"/>
  <c r="C48" i="8"/>
  <c r="D48" i="8"/>
  <c r="B49" i="8" a="1"/>
  <c r="B49" i="8" s="1"/>
  <c r="C49" i="8"/>
  <c r="D49" i="8"/>
  <c r="B50" i="8" a="1"/>
  <c r="B50" i="8"/>
  <c r="C50" i="8"/>
  <c r="D50" i="8"/>
  <c r="C51" i="8"/>
  <c r="B51" i="8" s="1" a="1"/>
  <c r="B51" i="8" s="1"/>
  <c r="D51" i="8"/>
  <c r="C52" i="8"/>
  <c r="B52" i="8" s="1" a="1"/>
  <c r="B52" i="8" s="1"/>
  <c r="D52" i="8"/>
  <c r="C53" i="8"/>
  <c r="B53" i="8" s="1" a="1"/>
  <c r="B53" i="8" s="1"/>
  <c r="D53" i="8"/>
  <c r="C54" i="8"/>
  <c r="B54" i="8" s="1" a="1"/>
  <c r="B54" i="8" s="1"/>
  <c r="D54" i="8"/>
  <c r="C55" i="8"/>
  <c r="B55" i="8" s="1" a="1"/>
  <c r="B55" i="8" s="1"/>
  <c r="D55" i="8"/>
  <c r="B56" i="8"/>
  <c r="C56" i="8"/>
  <c r="B56" i="8" s="1" a="1"/>
  <c r="D56" i="8"/>
  <c r="C57" i="8"/>
  <c r="B57" i="8" s="1" a="1"/>
  <c r="B57" i="8" s="1"/>
  <c r="D57" i="8"/>
  <c r="C58" i="8"/>
  <c r="B58" i="8" s="1" a="1"/>
  <c r="B58" i="8" s="1"/>
  <c r="D58" i="8"/>
  <c r="B59" i="8"/>
  <c r="C59" i="8"/>
  <c r="B59" i="8" s="1" a="1"/>
  <c r="D59" i="8"/>
  <c r="B60" i="8"/>
  <c r="C60" i="8"/>
  <c r="B60" i="8" s="1" a="1"/>
  <c r="D60" i="8"/>
  <c r="C61" i="8"/>
  <c r="B61" i="8" s="1" a="1"/>
  <c r="B61" i="8" s="1"/>
  <c r="D61" i="8"/>
  <c r="B62" i="8"/>
  <c r="C62" i="8"/>
  <c r="B62" i="8" s="1" a="1"/>
  <c r="D62" i="8"/>
  <c r="C63" i="8"/>
  <c r="B63" i="8" s="1" a="1"/>
  <c r="B63" i="8" s="1"/>
  <c r="D63" i="8"/>
  <c r="B64" i="8"/>
  <c r="C64" i="8"/>
  <c r="B64" i="8" s="1" a="1"/>
  <c r="D64" i="8"/>
  <c r="B65" i="8"/>
  <c r="C65" i="8"/>
  <c r="B65" i="8" s="1" a="1"/>
  <c r="D65" i="8"/>
  <c r="C66" i="8"/>
  <c r="B66" i="8" s="1" a="1"/>
  <c r="B66" i="8" s="1"/>
  <c r="D66" i="8"/>
  <c r="B67" i="8"/>
  <c r="C67" i="8"/>
  <c r="B67" i="8" s="1" a="1"/>
  <c r="D67" i="8"/>
  <c r="C68" i="8"/>
  <c r="B68" i="8" s="1" a="1"/>
  <c r="B68" i="8" s="1"/>
  <c r="D68" i="8"/>
  <c r="C69" i="8"/>
  <c r="B69" i="8" s="1" a="1"/>
  <c r="B69" i="8" s="1"/>
  <c r="D69" i="8"/>
  <c r="B70" i="8"/>
  <c r="C70" i="8"/>
  <c r="B70" i="8" s="1" a="1"/>
  <c r="D70" i="8"/>
  <c r="C71" i="8"/>
  <c r="B71" i="8" s="1" a="1"/>
  <c r="B71" i="8" s="1"/>
  <c r="D71" i="8"/>
  <c r="E71" i="8"/>
  <c r="F71" i="8"/>
  <c r="G71" i="8"/>
  <c r="B72" i="8"/>
  <c r="C72" i="8"/>
  <c r="B72" i="8" s="1" a="1"/>
  <c r="D72" i="8"/>
  <c r="E72" i="8"/>
  <c r="F72" i="8"/>
  <c r="G72" i="8"/>
  <c r="B73" i="8"/>
  <c r="C73" i="8"/>
  <c r="B73" i="8" s="1" a="1"/>
  <c r="D73" i="8"/>
  <c r="E73" i="8"/>
  <c r="F73" i="8"/>
  <c r="G73" i="8"/>
  <c r="C74" i="8"/>
  <c r="B74" i="8" s="1" a="1"/>
  <c r="B74" i="8" s="1"/>
  <c r="D74" i="8"/>
  <c r="E74" i="8"/>
  <c r="F74" i="8"/>
  <c r="G74" i="8"/>
  <c r="B75" i="8"/>
  <c r="C75" i="8"/>
  <c r="B75" i="8" s="1" a="1"/>
  <c r="D75" i="8"/>
  <c r="E75" i="8"/>
  <c r="F75" i="8"/>
  <c r="G75" i="8"/>
  <c r="C76" i="8"/>
  <c r="B76" i="8" s="1" a="1"/>
  <c r="B76" i="8" s="1"/>
  <c r="D76" i="8"/>
  <c r="E76" i="8"/>
  <c r="F76" i="8"/>
  <c r="G76" i="8"/>
  <c r="C77" i="8"/>
  <c r="B77" i="8" s="1" a="1"/>
  <c r="B77" i="8" s="1"/>
  <c r="D77" i="8"/>
  <c r="E77" i="8"/>
  <c r="F77" i="8"/>
  <c r="G77" i="8"/>
  <c r="B78" i="8"/>
  <c r="C78" i="8"/>
  <c r="B78" i="8" s="1" a="1"/>
  <c r="D78" i="8"/>
  <c r="E78" i="8"/>
  <c r="F78" i="8"/>
  <c r="G78" i="8"/>
  <c r="C79" i="8"/>
  <c r="B79" i="8" s="1" a="1"/>
  <c r="B79" i="8" s="1"/>
  <c r="D79" i="8"/>
  <c r="E79" i="8"/>
  <c r="F79" i="8"/>
  <c r="G79" i="8"/>
  <c r="B80" i="8"/>
  <c r="C80" i="8"/>
  <c r="B80" i="8" s="1" a="1"/>
  <c r="D80" i="8"/>
  <c r="E80" i="8"/>
  <c r="F80" i="8"/>
  <c r="G80" i="8"/>
  <c r="B81" i="8"/>
  <c r="C81" i="8"/>
  <c r="B81" i="8" s="1" a="1"/>
  <c r="D81" i="8"/>
  <c r="E81" i="8"/>
  <c r="F81" i="8"/>
  <c r="G81" i="8"/>
  <c r="C82" i="8"/>
  <c r="B82" i="8" s="1" a="1"/>
  <c r="B82" i="8" s="1"/>
  <c r="D82" i="8"/>
  <c r="E82" i="8"/>
  <c r="F82" i="8"/>
  <c r="G82" i="8"/>
  <c r="B83" i="8"/>
  <c r="C83" i="8"/>
  <c r="B83" i="8" s="1" a="1"/>
  <c r="D83" i="8"/>
  <c r="E83" i="8"/>
  <c r="F83" i="8"/>
  <c r="G83" i="8"/>
  <c r="C84" i="8"/>
  <c r="B84" i="8" s="1" a="1"/>
  <c r="B84" i="8" s="1"/>
  <c r="D84" i="8"/>
  <c r="E84" i="8"/>
  <c r="F84" i="8"/>
  <c r="G84" i="8"/>
  <c r="C85" i="8"/>
  <c r="B85" i="8" s="1" a="1"/>
  <c r="B85" i="8" s="1"/>
  <c r="D85" i="8"/>
  <c r="E85" i="8"/>
  <c r="F85" i="8"/>
  <c r="G85" i="8"/>
  <c r="B86" i="8"/>
  <c r="C86" i="8"/>
  <c r="B86" i="8" s="1" a="1"/>
  <c r="D86" i="8"/>
  <c r="E86" i="8"/>
  <c r="F86" i="8"/>
  <c r="G86" i="8"/>
  <c r="C87" i="8"/>
  <c r="B87" i="8" s="1" a="1"/>
  <c r="B87" i="8" s="1"/>
  <c r="D87" i="8"/>
  <c r="E87" i="8"/>
  <c r="F87" i="8"/>
  <c r="G87" i="8"/>
  <c r="B88" i="8"/>
  <c r="C88" i="8"/>
  <c r="B88" i="8" s="1" a="1"/>
  <c r="D88" i="8"/>
  <c r="E88" i="8"/>
  <c r="F88" i="8"/>
  <c r="G88" i="8"/>
  <c r="B89" i="8"/>
  <c r="C89" i="8"/>
  <c r="B89" i="8" s="1" a="1"/>
  <c r="D89" i="8"/>
  <c r="E89" i="8"/>
  <c r="F89" i="8"/>
  <c r="G89" i="8"/>
  <c r="C90" i="8"/>
  <c r="B90" i="8" s="1" a="1"/>
  <c r="B90" i="8" s="1"/>
  <c r="D90" i="8"/>
  <c r="E90" i="8"/>
  <c r="F90" i="8"/>
  <c r="G90" i="8"/>
  <c r="B91" i="8"/>
  <c r="C91" i="8"/>
  <c r="B91" i="8" s="1" a="1"/>
  <c r="D91" i="8"/>
  <c r="E91" i="8"/>
  <c r="F91" i="8"/>
  <c r="G91" i="8"/>
  <c r="B92" i="8"/>
  <c r="C92" i="8"/>
  <c r="B92" i="8" s="1" a="1"/>
  <c r="D92" i="8"/>
  <c r="E92" i="8"/>
  <c r="F92" i="8"/>
  <c r="G92" i="8"/>
  <c r="C93" i="8"/>
  <c r="B93" i="8" s="1" a="1"/>
  <c r="B93" i="8" s="1"/>
  <c r="D93" i="8"/>
  <c r="E93" i="8"/>
  <c r="F93" i="8"/>
  <c r="G93" i="8"/>
  <c r="B94" i="8"/>
  <c r="C94" i="8"/>
  <c r="B94" i="8" s="1" a="1"/>
  <c r="D94" i="8"/>
  <c r="E94" i="8"/>
  <c r="F94" i="8"/>
  <c r="G94" i="8"/>
  <c r="C95" i="8"/>
  <c r="B95" i="8" s="1" a="1"/>
  <c r="B95" i="8" s="1"/>
  <c r="D95" i="8"/>
  <c r="E95" i="8"/>
  <c r="F95" i="8"/>
  <c r="G95" i="8"/>
  <c r="B96" i="8"/>
  <c r="C96" i="8"/>
  <c r="B96" i="8" s="1" a="1"/>
  <c r="D96" i="8"/>
  <c r="E96" i="8"/>
  <c r="F96" i="8"/>
  <c r="G96" i="8"/>
  <c r="C97" i="8"/>
  <c r="B97" i="8" s="1" a="1"/>
  <c r="B97" i="8" s="1"/>
  <c r="D97" i="8"/>
  <c r="E97" i="8"/>
  <c r="F97" i="8"/>
  <c r="G97" i="8"/>
  <c r="C98" i="8"/>
  <c r="B98" i="8" s="1" a="1"/>
  <c r="B98" i="8" s="1"/>
  <c r="D98" i="8"/>
  <c r="E98" i="8"/>
  <c r="F98" i="8"/>
  <c r="G98" i="8"/>
  <c r="B99" i="8"/>
  <c r="C99" i="8"/>
  <c r="B99" i="8" s="1" a="1"/>
  <c r="D99" i="8"/>
  <c r="E99" i="8"/>
  <c r="F99" i="8"/>
  <c r="G99" i="8"/>
  <c r="C100" i="8"/>
  <c r="B100" i="8" s="1" a="1"/>
  <c r="B100" i="8" s="1"/>
  <c r="D100" i="8"/>
  <c r="E100" i="8"/>
  <c r="F100" i="8"/>
  <c r="G100" i="8"/>
  <c r="C101" i="8"/>
  <c r="B101" i="8" s="1" a="1"/>
  <c r="B101" i="8" s="1"/>
  <c r="D101" i="8"/>
  <c r="E101" i="8"/>
  <c r="F101" i="8"/>
  <c r="G101" i="8"/>
  <c r="B102" i="8" a="1"/>
  <c r="B102" i="8" s="1"/>
  <c r="C102" i="8"/>
  <c r="D102" i="8"/>
  <c r="E102" i="8"/>
  <c r="F102" i="8"/>
  <c r="G102" i="8"/>
  <c r="B103" i="8" a="1"/>
  <c r="B103" i="8" s="1"/>
  <c r="C103" i="8"/>
  <c r="D103" i="8"/>
  <c r="E103" i="8"/>
  <c r="F103" i="8"/>
  <c r="G103" i="8"/>
  <c r="B104" i="8" a="1"/>
  <c r="B104" i="8" s="1"/>
  <c r="C104" i="8"/>
  <c r="D104" i="8"/>
  <c r="E104" i="8"/>
  <c r="F104" i="8"/>
  <c r="G104" i="8"/>
  <c r="C105" i="8"/>
  <c r="B105" i="8" s="1" a="1"/>
  <c r="B105" i="8" s="1"/>
  <c r="D105" i="8"/>
  <c r="E105" i="8"/>
  <c r="F105" i="8"/>
  <c r="G105" i="8"/>
  <c r="B106" i="8" a="1"/>
  <c r="B106" i="8" s="1"/>
  <c r="C106" i="8"/>
  <c r="D106" i="8"/>
  <c r="E106" i="8"/>
  <c r="F106" i="8"/>
  <c r="G106" i="8"/>
  <c r="B107" i="8" a="1"/>
  <c r="B107" i="8"/>
  <c r="C107" i="8"/>
  <c r="D107" i="8"/>
  <c r="E107" i="8"/>
  <c r="F107" i="8"/>
  <c r="G107" i="8"/>
  <c r="C108" i="8"/>
  <c r="B108" i="8" s="1" a="1"/>
  <c r="B108" i="8" s="1"/>
  <c r="D108" i="8"/>
  <c r="E108" i="8"/>
  <c r="F108" i="8"/>
  <c r="G108" i="8"/>
  <c r="C109" i="8"/>
  <c r="B109" i="8" s="1" a="1"/>
  <c r="B109" i="8" s="1"/>
  <c r="D109" i="8"/>
  <c r="E109" i="8"/>
  <c r="F109" i="8"/>
  <c r="G109" i="8"/>
  <c r="C110" i="8"/>
  <c r="B110" i="8" s="1" a="1"/>
  <c r="B110" i="8" s="1"/>
  <c r="D110" i="8"/>
  <c r="E110" i="8"/>
  <c r="F110" i="8"/>
  <c r="G110" i="8"/>
  <c r="B111" i="8" a="1"/>
  <c r="B111" i="8" s="1"/>
  <c r="C111" i="8"/>
  <c r="D111" i="8"/>
  <c r="E111" i="8"/>
  <c r="F111" i="8"/>
  <c r="G111" i="8"/>
  <c r="B112" i="8" a="1"/>
  <c r="B112" i="8"/>
  <c r="C112" i="8"/>
  <c r="D112" i="8"/>
  <c r="E112" i="8"/>
  <c r="F112" i="8"/>
  <c r="G112" i="8"/>
  <c r="C113" i="8"/>
  <c r="B113" i="8" s="1" a="1"/>
  <c r="B113" i="8" s="1"/>
  <c r="D113" i="8"/>
  <c r="E113" i="8"/>
  <c r="F113" i="8"/>
  <c r="G113" i="8"/>
  <c r="B114" i="8" a="1"/>
  <c r="B114" i="8" s="1"/>
  <c r="C114" i="8"/>
  <c r="D114" i="8"/>
  <c r="E114" i="8"/>
  <c r="F114" i="8"/>
  <c r="G114" i="8"/>
  <c r="B115" i="8" a="1"/>
  <c r="B115" i="8"/>
  <c r="C115" i="8"/>
  <c r="D115" i="8"/>
  <c r="E115" i="8"/>
  <c r="F115" i="8"/>
  <c r="G115" i="8"/>
  <c r="C116" i="8"/>
  <c r="B116" i="8" s="1" a="1"/>
  <c r="B116" i="8" s="1"/>
  <c r="D116" i="8"/>
  <c r="E116" i="8"/>
  <c r="F116" i="8"/>
  <c r="G116" i="8"/>
  <c r="C117" i="8"/>
  <c r="B117" i="8" s="1" a="1"/>
  <c r="B117" i="8" s="1"/>
  <c r="D117" i="8"/>
  <c r="E117" i="8"/>
  <c r="F117" i="8"/>
  <c r="G117" i="8"/>
  <c r="C118" i="8"/>
  <c r="B118" i="8" s="1" a="1"/>
  <c r="B118" i="8" s="1"/>
  <c r="D118" i="8"/>
  <c r="E118" i="8"/>
  <c r="F118" i="8"/>
  <c r="G118" i="8"/>
  <c r="B119" i="8" a="1"/>
  <c r="B119" i="8" s="1"/>
  <c r="C119" i="8"/>
  <c r="D119" i="8"/>
  <c r="E119" i="8"/>
  <c r="F119" i="8"/>
  <c r="G119" i="8"/>
  <c r="B120" i="8" a="1"/>
  <c r="B120" i="8"/>
  <c r="C120" i="8"/>
  <c r="D120" i="8"/>
  <c r="E120" i="8"/>
  <c r="F120" i="8"/>
  <c r="G120" i="8"/>
  <c r="C121" i="8"/>
  <c r="B121" i="8" s="1" a="1"/>
  <c r="B121" i="8" s="1"/>
  <c r="D121" i="8"/>
  <c r="E121" i="8"/>
  <c r="F121" i="8"/>
  <c r="G121" i="8"/>
  <c r="B122" i="8" a="1"/>
  <c r="B122" i="8" s="1"/>
  <c r="C122" i="8"/>
  <c r="D122" i="8"/>
  <c r="E122" i="8"/>
  <c r="F122" i="8"/>
  <c r="G122" i="8"/>
  <c r="B123" i="8" a="1"/>
  <c r="B123" i="8"/>
  <c r="C123" i="8"/>
  <c r="D123" i="8"/>
  <c r="E123" i="8"/>
  <c r="F123" i="8"/>
  <c r="G123" i="8"/>
  <c r="C124" i="8"/>
  <c r="B124" i="8" s="1" a="1"/>
  <c r="B124" i="8" s="1"/>
  <c r="D124" i="8"/>
  <c r="E124" i="8"/>
  <c r="F124" i="8"/>
  <c r="G124" i="8"/>
  <c r="C125" i="8"/>
  <c r="B125" i="8" s="1" a="1"/>
  <c r="B125" i="8" s="1"/>
  <c r="D125" i="8"/>
  <c r="E125" i="8"/>
  <c r="F125" i="8"/>
  <c r="G125" i="8"/>
  <c r="C126" i="8"/>
  <c r="B126" i="8" s="1" a="1"/>
  <c r="B126" i="8" s="1"/>
  <c r="D126" i="8"/>
  <c r="E126" i="8"/>
  <c r="F126" i="8"/>
  <c r="G126" i="8"/>
  <c r="B127" i="8" a="1"/>
  <c r="B127" i="8" s="1"/>
  <c r="C127" i="8"/>
  <c r="D127" i="8"/>
  <c r="E127" i="8"/>
  <c r="F127" i="8"/>
  <c r="G127" i="8"/>
  <c r="B128" i="8" a="1"/>
  <c r="B128" i="8"/>
  <c r="C128" i="8"/>
  <c r="D128" i="8"/>
  <c r="E128" i="8"/>
  <c r="F128" i="8"/>
  <c r="G128" i="8"/>
  <c r="C129" i="8"/>
  <c r="B129" i="8" s="1" a="1"/>
  <c r="B129" i="8" s="1"/>
  <c r="D129" i="8"/>
  <c r="E129" i="8"/>
  <c r="F129" i="8"/>
  <c r="G129" i="8"/>
  <c r="B130" i="8" a="1"/>
  <c r="B130" i="8" s="1"/>
  <c r="C130" i="8"/>
  <c r="D130" i="8"/>
  <c r="E130" i="8"/>
  <c r="F130" i="8"/>
  <c r="G130" i="8"/>
  <c r="B131" i="8" a="1"/>
  <c r="B131" i="8"/>
  <c r="C131" i="8"/>
  <c r="D131" i="8"/>
  <c r="E131" i="8"/>
  <c r="F131" i="8"/>
  <c r="G131" i="8"/>
  <c r="C132" i="8"/>
  <c r="B132" i="8" s="1" a="1"/>
  <c r="B132" i="8" s="1"/>
  <c r="D132" i="8"/>
  <c r="E132" i="8"/>
  <c r="F132" i="8"/>
  <c r="G132" i="8"/>
  <c r="C133" i="8"/>
  <c r="B133" i="8" s="1" a="1"/>
  <c r="B133" i="8" s="1"/>
  <c r="D133" i="8"/>
  <c r="E133" i="8"/>
  <c r="F133" i="8"/>
  <c r="G133" i="8"/>
  <c r="C134" i="8"/>
  <c r="B134" i="8" s="1" a="1"/>
  <c r="B134" i="8" s="1"/>
  <c r="D134" i="8"/>
  <c r="E134" i="8"/>
  <c r="F134" i="8"/>
  <c r="G134" i="8"/>
  <c r="B135" i="8" a="1"/>
  <c r="B135" i="8" s="1"/>
  <c r="C135" i="8"/>
  <c r="D135" i="8"/>
  <c r="E135" i="8"/>
  <c r="F135" i="8"/>
  <c r="G135" i="8"/>
  <c r="B136" i="8" a="1"/>
  <c r="B136" i="8"/>
  <c r="C136" i="8"/>
  <c r="D136" i="8"/>
  <c r="E136" i="8"/>
  <c r="F136" i="8"/>
  <c r="G136" i="8"/>
  <c r="C137" i="8"/>
  <c r="B137" i="8" s="1" a="1"/>
  <c r="B137" i="8" s="1"/>
  <c r="D137" i="8"/>
  <c r="E137" i="8"/>
  <c r="F137" i="8"/>
  <c r="G137" i="8"/>
  <c r="B138" i="8" a="1"/>
  <c r="B138" i="8" s="1"/>
  <c r="C138" i="8"/>
  <c r="D138" i="8"/>
  <c r="E138" i="8"/>
  <c r="F138" i="8"/>
  <c r="G138" i="8"/>
  <c r="B139" i="8" a="1"/>
  <c r="B139" i="8"/>
  <c r="C139" i="8"/>
  <c r="D139" i="8"/>
  <c r="E139" i="8"/>
  <c r="F139" i="8"/>
  <c r="G139" i="8"/>
  <c r="C140" i="8"/>
  <c r="B140" i="8" s="1" a="1"/>
  <c r="B140" i="8" s="1"/>
  <c r="D140" i="8"/>
  <c r="E140" i="8"/>
  <c r="F140" i="8"/>
  <c r="G140" i="8"/>
  <c r="C141" i="8"/>
  <c r="B141" i="8" s="1" a="1"/>
  <c r="B141" i="8" s="1"/>
  <c r="D141" i="8"/>
  <c r="E141" i="8"/>
  <c r="F141" i="8"/>
  <c r="G141" i="8"/>
  <c r="C142" i="8"/>
  <c r="B142" i="8" s="1" a="1"/>
  <c r="B142" i="8" s="1"/>
  <c r="D142" i="8"/>
  <c r="E142" i="8"/>
  <c r="F142" i="8"/>
  <c r="G142" i="8"/>
  <c r="B143" i="8" a="1"/>
  <c r="B143" i="8" s="1"/>
  <c r="C143" i="8"/>
  <c r="D143" i="8"/>
  <c r="E143" i="8"/>
  <c r="F143" i="8"/>
  <c r="G143" i="8"/>
  <c r="B144" i="8" a="1"/>
  <c r="B144" i="8"/>
  <c r="C144" i="8"/>
  <c r="D144" i="8"/>
  <c r="E144" i="8"/>
  <c r="F144" i="8"/>
  <c r="G144" i="8"/>
  <c r="C145" i="8"/>
  <c r="B145" i="8" s="1" a="1"/>
  <c r="B145" i="8" s="1"/>
  <c r="D145" i="8"/>
  <c r="E145" i="8"/>
  <c r="F145" i="8"/>
  <c r="G145" i="8"/>
  <c r="B146" i="8" a="1"/>
  <c r="B146" i="8" s="1"/>
  <c r="C146" i="8"/>
  <c r="D146" i="8"/>
  <c r="E146" i="8"/>
  <c r="F146" i="8"/>
  <c r="G146" i="8"/>
  <c r="B147" i="8" a="1"/>
  <c r="B147" i="8"/>
  <c r="C147" i="8"/>
  <c r="D147" i="8"/>
  <c r="E147" i="8"/>
  <c r="F147" i="8"/>
  <c r="G147" i="8"/>
  <c r="C148" i="8"/>
  <c r="B148" i="8" s="1" a="1"/>
  <c r="B148" i="8" s="1"/>
  <c r="D148" i="8"/>
  <c r="E148" i="8"/>
  <c r="F148" i="8"/>
  <c r="G148" i="8"/>
  <c r="C149" i="8"/>
  <c r="B149" i="8" s="1" a="1"/>
  <c r="B149" i="8" s="1"/>
  <c r="D149" i="8"/>
  <c r="E149" i="8"/>
  <c r="F149" i="8"/>
  <c r="G149" i="8"/>
  <c r="C150" i="8"/>
  <c r="B150" i="8" s="1" a="1"/>
  <c r="B150" i="8" s="1"/>
  <c r="D150" i="8"/>
  <c r="E150" i="8"/>
  <c r="F150" i="8"/>
  <c r="G150" i="8"/>
  <c r="B151" i="8" a="1"/>
  <c r="B151" i="8" s="1"/>
  <c r="C151" i="8"/>
  <c r="D151" i="8"/>
  <c r="E151" i="8"/>
  <c r="F151" i="8"/>
  <c r="G151" i="8"/>
  <c r="B152" i="8" a="1"/>
  <c r="B152" i="8"/>
  <c r="C152" i="8"/>
  <c r="D152" i="8"/>
  <c r="E152" i="8"/>
  <c r="F152" i="8"/>
  <c r="G152" i="8"/>
  <c r="C153" i="8"/>
  <c r="B153" i="8" s="1" a="1"/>
  <c r="B153" i="8" s="1"/>
  <c r="D153" i="8"/>
  <c r="E153" i="8"/>
  <c r="F153" i="8"/>
  <c r="G153" i="8"/>
  <c r="B154" i="8" a="1"/>
  <c r="B154" i="8" s="1"/>
  <c r="C154" i="8"/>
  <c r="D154" i="8"/>
  <c r="E154" i="8"/>
  <c r="F154" i="8"/>
  <c r="G154" i="8"/>
  <c r="B155" i="8" a="1"/>
  <c r="B155" i="8"/>
  <c r="C155" i="8"/>
  <c r="D155" i="8"/>
  <c r="E155" i="8"/>
  <c r="F155" i="8"/>
  <c r="G155" i="8"/>
  <c r="C156" i="8"/>
  <c r="B156" i="8" s="1" a="1"/>
  <c r="B156" i="8" s="1"/>
  <c r="D156" i="8"/>
  <c r="E156" i="8"/>
  <c r="F156" i="8"/>
  <c r="G156" i="8"/>
  <c r="C157" i="8"/>
  <c r="B157" i="8" s="1" a="1"/>
  <c r="B157" i="8" s="1"/>
  <c r="D157" i="8"/>
  <c r="E157" i="8"/>
  <c r="F157" i="8"/>
  <c r="G157" i="8"/>
  <c r="C158" i="8"/>
  <c r="B158" i="8" s="1" a="1"/>
  <c r="B158" i="8" s="1"/>
  <c r="D158" i="8"/>
  <c r="E158" i="8"/>
  <c r="F158" i="8"/>
  <c r="G158" i="8"/>
  <c r="B159" i="8" a="1"/>
  <c r="B159" i="8" s="1"/>
  <c r="C159" i="8"/>
  <c r="D159" i="8"/>
  <c r="E159" i="8"/>
  <c r="F159" i="8"/>
  <c r="G159" i="8"/>
  <c r="B160" i="8" a="1"/>
  <c r="B160" i="8" s="1"/>
  <c r="C160" i="8"/>
  <c r="D160" i="8"/>
  <c r="E160" i="8"/>
  <c r="F160" i="8"/>
  <c r="G160" i="8"/>
  <c r="B161" i="8" a="1"/>
  <c r="B161" i="8" s="1"/>
  <c r="C161" i="8"/>
  <c r="D161" i="8"/>
  <c r="E161" i="8"/>
  <c r="F161" i="8"/>
  <c r="G161" i="8"/>
  <c r="B162" i="8" a="1"/>
  <c r="B162" i="8" s="1"/>
  <c r="C162" i="8"/>
  <c r="D162" i="8"/>
  <c r="E162" i="8"/>
  <c r="F162" i="8"/>
  <c r="G162" i="8"/>
  <c r="B163" i="8" a="1"/>
  <c r="B163" i="8" s="1"/>
  <c r="C163" i="8"/>
  <c r="D163" i="8"/>
  <c r="E163" i="8"/>
  <c r="F163" i="8"/>
  <c r="G163" i="8"/>
  <c r="B164" i="8" a="1"/>
  <c r="B164" i="8" s="1"/>
  <c r="C164" i="8"/>
  <c r="D164" i="8"/>
  <c r="E164" i="8"/>
  <c r="F164" i="8"/>
  <c r="G164" i="8"/>
  <c r="B165" i="8" a="1"/>
  <c r="B165" i="8" s="1"/>
  <c r="C165" i="8"/>
  <c r="D165" i="8"/>
  <c r="E165" i="8"/>
  <c r="F165" i="8"/>
  <c r="G165" i="8"/>
  <c r="B166" i="8" a="1"/>
  <c r="B166" i="8" s="1"/>
  <c r="C166" i="8"/>
  <c r="D166" i="8"/>
  <c r="E166" i="8"/>
  <c r="F166" i="8"/>
  <c r="G166" i="8"/>
  <c r="B167" i="8" a="1"/>
  <c r="B167" i="8" s="1"/>
  <c r="C167" i="8"/>
  <c r="D167" i="8"/>
  <c r="E167" i="8"/>
  <c r="F167" i="8"/>
  <c r="G167" i="8"/>
  <c r="B168" i="8" a="1"/>
  <c r="B168" i="8" s="1"/>
  <c r="C168" i="8"/>
  <c r="D168" i="8"/>
  <c r="E168" i="8"/>
  <c r="F168" i="8"/>
  <c r="G168" i="8"/>
  <c r="B169" i="8" a="1"/>
  <c r="B169" i="8" s="1"/>
  <c r="C169" i="8"/>
  <c r="D169" i="8"/>
  <c r="E169" i="8"/>
  <c r="F169" i="8"/>
  <c r="G169" i="8"/>
  <c r="B170" i="8" a="1"/>
  <c r="B170" i="8" s="1"/>
  <c r="C170" i="8"/>
  <c r="D170" i="8"/>
  <c r="E170" i="8"/>
  <c r="F170" i="8"/>
  <c r="G170" i="8"/>
  <c r="B171" i="8" a="1"/>
  <c r="B171" i="8" s="1"/>
  <c r="C171" i="8"/>
  <c r="D171" i="8"/>
  <c r="E171" i="8"/>
  <c r="F171" i="8"/>
  <c r="G171" i="8"/>
  <c r="B172" i="8" a="1"/>
  <c r="B172" i="8" s="1"/>
  <c r="C172" i="8"/>
  <c r="D172" i="8"/>
  <c r="E172" i="8"/>
  <c r="F172" i="8"/>
  <c r="G172" i="8"/>
  <c r="B173" i="8" a="1"/>
  <c r="B173" i="8" s="1"/>
  <c r="C173" i="8"/>
  <c r="D173" i="8"/>
  <c r="E173" i="8"/>
  <c r="F173" i="8"/>
  <c r="G173" i="8"/>
  <c r="B174" i="8" a="1"/>
  <c r="B174" i="8" s="1"/>
  <c r="C174" i="8"/>
  <c r="D174" i="8"/>
  <c r="E174" i="8"/>
  <c r="F174" i="8"/>
  <c r="G174" i="8"/>
  <c r="B175" i="8" a="1"/>
  <c r="B175" i="8" s="1"/>
  <c r="C175" i="8"/>
  <c r="D175" i="8"/>
  <c r="E175" i="8"/>
  <c r="F175" i="8"/>
  <c r="G175" i="8"/>
  <c r="B176" i="8" a="1"/>
  <c r="B176" i="8" s="1"/>
  <c r="C176" i="8"/>
  <c r="D176" i="8"/>
  <c r="E176" i="8"/>
  <c r="F176" i="8"/>
  <c r="G176" i="8"/>
  <c r="B177" i="8" a="1"/>
  <c r="B177" i="8" s="1"/>
  <c r="C177" i="8"/>
  <c r="D177" i="8"/>
  <c r="E177" i="8"/>
  <c r="F177" i="8"/>
  <c r="G177" i="8"/>
  <c r="B178" i="8" a="1"/>
  <c r="B178" i="8" s="1"/>
  <c r="C178" i="8"/>
  <c r="D178" i="8"/>
  <c r="E178" i="8"/>
  <c r="F178" i="8"/>
  <c r="G178" i="8"/>
  <c r="B179" i="8" a="1"/>
  <c r="B179" i="8" s="1"/>
  <c r="C179" i="8"/>
  <c r="D179" i="8"/>
  <c r="E179" i="8"/>
  <c r="F179" i="8"/>
  <c r="G179" i="8"/>
  <c r="B180" i="8" a="1"/>
  <c r="B180" i="8" s="1"/>
  <c r="C180" i="8"/>
  <c r="D180" i="8"/>
  <c r="E180" i="8"/>
  <c r="F180" i="8"/>
  <c r="G180" i="8"/>
  <c r="B181" i="8" a="1"/>
  <c r="B181" i="8" s="1"/>
  <c r="C181" i="8"/>
  <c r="D181" i="8"/>
  <c r="E181" i="8"/>
  <c r="F181" i="8"/>
  <c r="G181" i="8"/>
  <c r="B182" i="8" a="1"/>
  <c r="B182" i="8" s="1"/>
  <c r="C182" i="8"/>
  <c r="D182" i="8"/>
  <c r="E182" i="8"/>
  <c r="F182" i="8"/>
  <c r="G182" i="8"/>
  <c r="B183" i="8" a="1"/>
  <c r="B183" i="8" s="1"/>
  <c r="C183" i="8"/>
  <c r="D183" i="8"/>
  <c r="E183" i="8"/>
  <c r="F183" i="8"/>
  <c r="G183" i="8"/>
  <c r="B184" i="8" a="1"/>
  <c r="B184" i="8" s="1"/>
  <c r="C184" i="8"/>
  <c r="D184" i="8"/>
  <c r="E184" i="8"/>
  <c r="F184" i="8"/>
  <c r="G184" i="8"/>
  <c r="B185" i="8" a="1"/>
  <c r="B185" i="8" s="1"/>
  <c r="C185" i="8"/>
  <c r="D185" i="8"/>
  <c r="E185" i="8"/>
  <c r="F185" i="8"/>
  <c r="G185" i="8"/>
  <c r="B186" i="8" a="1"/>
  <c r="B186" i="8" s="1"/>
  <c r="C186" i="8"/>
  <c r="D186" i="8"/>
  <c r="E186" i="8"/>
  <c r="F186" i="8"/>
  <c r="G186" i="8"/>
  <c r="B187" i="8" a="1"/>
  <c r="B187" i="8" s="1"/>
  <c r="C187" i="8"/>
  <c r="D187" i="8"/>
  <c r="E187" i="8"/>
  <c r="F187" i="8"/>
  <c r="G187" i="8"/>
  <c r="B188" i="8" a="1"/>
  <c r="B188" i="8" s="1"/>
  <c r="C188" i="8"/>
  <c r="D188" i="8"/>
  <c r="E188" i="8"/>
  <c r="F188" i="8"/>
  <c r="G188" i="8"/>
  <c r="B189" i="8" a="1"/>
  <c r="B189" i="8" s="1"/>
  <c r="C189" i="8"/>
  <c r="D189" i="8"/>
  <c r="E189" i="8"/>
  <c r="F189" i="8"/>
  <c r="G189" i="8"/>
  <c r="B190" i="8" a="1"/>
  <c r="B190" i="8" s="1"/>
  <c r="C190" i="8"/>
  <c r="D190" i="8"/>
  <c r="E190" i="8"/>
  <c r="F190" i="8"/>
  <c r="G190" i="8"/>
  <c r="B191" i="8" a="1"/>
  <c r="B191" i="8" s="1"/>
  <c r="C191" i="8"/>
  <c r="D191" i="8"/>
  <c r="E191" i="8"/>
  <c r="F191" i="8"/>
  <c r="G191" i="8"/>
  <c r="B192" i="8" a="1"/>
  <c r="B192" i="8" s="1"/>
  <c r="C192" i="8"/>
  <c r="D192" i="8"/>
  <c r="E192" i="8"/>
  <c r="F192" i="8"/>
  <c r="G192" i="8"/>
  <c r="B193" i="8" a="1"/>
  <c r="B193" i="8" s="1"/>
  <c r="C193" i="8"/>
  <c r="D193" i="8"/>
  <c r="E193" i="8"/>
  <c r="F193" i="8"/>
  <c r="G193" i="8"/>
  <c r="B194" i="8" a="1"/>
  <c r="B194" i="8" s="1"/>
  <c r="C194" i="8"/>
  <c r="D194" i="8"/>
  <c r="E194" i="8"/>
  <c r="F194" i="8"/>
  <c r="G194" i="8"/>
  <c r="B195" i="8" a="1"/>
  <c r="B195" i="8" s="1"/>
  <c r="C195" i="8"/>
  <c r="D195" i="8"/>
  <c r="E195" i="8"/>
  <c r="F195" i="8"/>
  <c r="G195" i="8"/>
  <c r="B196" i="8" a="1"/>
  <c r="B196" i="8" s="1"/>
  <c r="C196" i="8"/>
  <c r="D196" i="8"/>
  <c r="E196" i="8"/>
  <c r="F196" i="8"/>
  <c r="G196" i="8"/>
  <c r="B197" i="8" a="1"/>
  <c r="B197" i="8" s="1"/>
  <c r="C197" i="8"/>
  <c r="D197" i="8"/>
  <c r="E197" i="8"/>
  <c r="F197" i="8"/>
  <c r="G197" i="8"/>
  <c r="B198" i="8" a="1"/>
  <c r="B198" i="8" s="1"/>
  <c r="C198" i="8"/>
  <c r="D198" i="8"/>
  <c r="E198" i="8"/>
  <c r="F198" i="8"/>
  <c r="G198" i="8"/>
  <c r="B199" i="8" a="1"/>
  <c r="B199" i="8" s="1"/>
  <c r="C199" i="8"/>
  <c r="D199" i="8"/>
  <c r="E199" i="8"/>
  <c r="F199" i="8"/>
  <c r="G199" i="8"/>
  <c r="B200" i="8" a="1"/>
  <c r="B200" i="8" s="1"/>
  <c r="C200" i="8"/>
  <c r="D200" i="8"/>
  <c r="E200" i="8"/>
  <c r="F200" i="8"/>
  <c r="G200" i="8"/>
  <c r="D5" i="21"/>
  <c r="D5" i="8"/>
  <c r="C32" i="13"/>
  <c r="E15" i="13"/>
  <c r="E11" i="13"/>
  <c r="E9" i="13"/>
  <c r="B44" i="15" l="1"/>
  <c r="G127" i="14" l="1"/>
  <c r="H127" i="14"/>
  <c r="C5" i="21"/>
  <c r="B5" i="21" s="1" a="1"/>
  <c r="B5" i="21" s="1"/>
  <c r="J4" i="21"/>
  <c r="C4" i="21"/>
  <c r="J3" i="21"/>
  <c r="C3" i="21"/>
  <c r="J2" i="21"/>
  <c r="C2" i="21"/>
  <c r="A2" i="21"/>
  <c r="A3" i="21" s="1"/>
  <c r="A4" i="21" s="1"/>
  <c r="A5" i="21" s="1"/>
  <c r="J1" i="21"/>
  <c r="K1" i="21" s="1"/>
  <c r="F1" i="21"/>
  <c r="F5" i="21" l="1"/>
  <c r="A6" i="21"/>
  <c r="E5" i="21"/>
  <c r="G5" i="21" s="1"/>
  <c r="K2" i="21"/>
  <c r="L2" i="21" s="1"/>
  <c r="M2" i="21" s="1"/>
  <c r="N2" i="21" s="1"/>
  <c r="K4" i="21"/>
  <c r="L4" i="21" s="1"/>
  <c r="M4" i="21" s="1"/>
  <c r="N4" i="21" s="1"/>
  <c r="O4" i="21" s="1"/>
  <c r="P4" i="21" s="1"/>
  <c r="Q4" i="21" s="1"/>
  <c r="R4" i="21" s="1"/>
  <c r="S4" i="21" s="1"/>
  <c r="T4" i="21" s="1"/>
  <c r="U4" i="21" s="1"/>
  <c r="V4" i="21" s="1"/>
  <c r="W4" i="21" s="1"/>
  <c r="X4" i="21" s="1"/>
  <c r="Y4" i="21" s="1"/>
  <c r="Z4" i="21" s="1"/>
  <c r="AA4" i="21" s="1"/>
  <c r="AB4" i="21" s="1"/>
  <c r="AC4" i="21" s="1"/>
  <c r="AD4" i="21" s="1"/>
  <c r="AE4" i="21" s="1"/>
  <c r="AF4" i="21" s="1"/>
  <c r="AG4" i="21" s="1"/>
  <c r="AH4" i="21" s="1"/>
  <c r="AI4" i="21" s="1"/>
  <c r="AJ4" i="21" s="1"/>
  <c r="AK4" i="21" s="1"/>
  <c r="AL4" i="21" s="1"/>
  <c r="AM4" i="21" s="1"/>
  <c r="AN4" i="21" s="1"/>
  <c r="AO4" i="21" s="1"/>
  <c r="AP4" i="21" s="1"/>
  <c r="AQ4" i="21" s="1"/>
  <c r="AR4" i="21" s="1"/>
  <c r="AS4" i="21" s="1"/>
  <c r="AT4" i="21" s="1"/>
  <c r="AU4" i="21" s="1"/>
  <c r="AV4" i="21" s="1"/>
  <c r="AW4" i="21" s="1"/>
  <c r="AX4" i="21" s="1"/>
  <c r="AY4" i="21" s="1"/>
  <c r="AZ4" i="21" s="1"/>
  <c r="BA4" i="21" s="1"/>
  <c r="BB4" i="21" s="1"/>
  <c r="BC4" i="21" s="1"/>
  <c r="BD4" i="21" s="1"/>
  <c r="BE4" i="21" s="1"/>
  <c r="BF4" i="21" s="1"/>
  <c r="BG4" i="21" s="1"/>
  <c r="BH4" i="21" s="1"/>
  <c r="L1" i="21"/>
  <c r="M1" i="21" s="1"/>
  <c r="N1" i="21" s="1"/>
  <c r="O1" i="21" s="1"/>
  <c r="P1" i="21" s="1"/>
  <c r="Q1" i="21" s="1"/>
  <c r="R1" i="21" s="1"/>
  <c r="S1" i="21" s="1"/>
  <c r="T1" i="21" s="1"/>
  <c r="U1" i="21" s="1"/>
  <c r="V1" i="21" s="1"/>
  <c r="W1" i="21" s="1"/>
  <c r="X1" i="21" s="1"/>
  <c r="Y1" i="21" s="1"/>
  <c r="Z1" i="21" s="1"/>
  <c r="AA1" i="21" s="1"/>
  <c r="AB1" i="21" s="1"/>
  <c r="AC1" i="21" s="1"/>
  <c r="AD1" i="21" s="1"/>
  <c r="AE1" i="21" s="1"/>
  <c r="AF1" i="21" s="1"/>
  <c r="AG1" i="21" s="1"/>
  <c r="AH1" i="21" s="1"/>
  <c r="AI1" i="21" s="1"/>
  <c r="AJ1" i="21" s="1"/>
  <c r="AK1" i="21" s="1"/>
  <c r="AL1" i="21" s="1"/>
  <c r="AM1" i="21" s="1"/>
  <c r="AN1" i="21" s="1"/>
  <c r="AO1" i="21" s="1"/>
  <c r="AP1" i="21" s="1"/>
  <c r="AQ1" i="21" s="1"/>
  <c r="AR1" i="21" s="1"/>
  <c r="AS1" i="21" s="1"/>
  <c r="AT1" i="21" s="1"/>
  <c r="AU1" i="21" s="1"/>
  <c r="AV1" i="21" s="1"/>
  <c r="AW1" i="21" s="1"/>
  <c r="AX1" i="21" s="1"/>
  <c r="AY1" i="21" s="1"/>
  <c r="AZ1" i="21" s="1"/>
  <c r="BA1" i="21" s="1"/>
  <c r="BB1" i="21" s="1"/>
  <c r="BC1" i="21" s="1"/>
  <c r="BD1" i="21" s="1"/>
  <c r="BE1" i="21" s="1"/>
  <c r="BF1" i="21" s="1"/>
  <c r="BG1" i="21" s="1"/>
  <c r="BH1" i="21" s="1"/>
  <c r="BI1" i="21" s="1"/>
  <c r="BJ1" i="21" s="1"/>
  <c r="BK1" i="21" s="1"/>
  <c r="BL1" i="21" s="1"/>
  <c r="BM1" i="21" s="1"/>
  <c r="BN1" i="21" s="1"/>
  <c r="BO1" i="21" s="1"/>
  <c r="BP1" i="21" s="1"/>
  <c r="BQ1" i="21" s="1"/>
  <c r="BR1" i="21" s="1"/>
  <c r="BS1" i="21" s="1"/>
  <c r="BT1" i="21" s="1"/>
  <c r="BU1" i="21" s="1"/>
  <c r="BV1" i="21" s="1"/>
  <c r="BW1" i="21" s="1"/>
  <c r="BX1" i="21" s="1"/>
  <c r="BY1" i="21" s="1"/>
  <c r="BZ1" i="21" s="1"/>
  <c r="CA1" i="21" s="1"/>
  <c r="CB1" i="21" s="1"/>
  <c r="CC1" i="21" s="1"/>
  <c r="CD1" i="21" s="1"/>
  <c r="CE1" i="21" s="1"/>
  <c r="CF1" i="21" s="1"/>
  <c r="CG1" i="21" s="1"/>
  <c r="CH1" i="21" s="1"/>
  <c r="CI1" i="21" s="1"/>
  <c r="CJ1" i="21" s="1"/>
  <c r="CK1" i="21" s="1"/>
  <c r="CL1" i="21" s="1"/>
  <c r="CM1" i="21" s="1"/>
  <c r="CN1" i="21" s="1"/>
  <c r="CO1" i="21" s="1"/>
  <c r="CP1" i="21" s="1"/>
  <c r="CQ1" i="21" s="1"/>
  <c r="CR1" i="21" s="1"/>
  <c r="CS1" i="21" s="1"/>
  <c r="CT1" i="21" s="1"/>
  <c r="CU1" i="21" s="1"/>
  <c r="CV1" i="21" s="1"/>
  <c r="CW1" i="21" s="1"/>
  <c r="CX1" i="21" s="1"/>
  <c r="CY1" i="21" s="1"/>
  <c r="CZ1" i="21" s="1"/>
  <c r="DA1" i="21" s="1"/>
  <c r="DB1" i="21" s="1"/>
  <c r="DC1" i="21" s="1"/>
  <c r="DD1" i="21" s="1"/>
  <c r="DE1" i="21" s="1"/>
  <c r="DF1" i="21" s="1"/>
  <c r="DG1" i="21" s="1"/>
  <c r="DH1" i="21" s="1"/>
  <c r="DI1" i="21" s="1"/>
  <c r="DJ1" i="21" s="1"/>
  <c r="DK1" i="21" s="1"/>
  <c r="DL1" i="21" s="1"/>
  <c r="DM1" i="21" s="1"/>
  <c r="DN1" i="21" s="1"/>
  <c r="DO1" i="21" s="1"/>
  <c r="DP1" i="21" s="1"/>
  <c r="DQ1" i="21" s="1"/>
  <c r="DR1" i="21" s="1"/>
  <c r="DS1" i="21" s="1"/>
  <c r="DT1" i="21" s="1"/>
  <c r="DU1" i="21" s="1"/>
  <c r="DV1" i="21" s="1"/>
  <c r="DW1" i="21" s="1"/>
  <c r="DX1" i="21" s="1"/>
  <c r="DY1" i="21" s="1"/>
  <c r="DZ1" i="21" s="1"/>
  <c r="EA1" i="21" s="1"/>
  <c r="EB1" i="21" s="1"/>
  <c r="EC1" i="21" s="1"/>
  <c r="ED1" i="21" s="1"/>
  <c r="EE1" i="21" s="1"/>
  <c r="EF1" i="21" s="1"/>
  <c r="EG1" i="21" s="1"/>
  <c r="EH1" i="21" s="1"/>
  <c r="EI1" i="21" s="1"/>
  <c r="EJ1" i="21" s="1"/>
  <c r="EK1" i="21" s="1"/>
  <c r="EL1" i="21" s="1"/>
  <c r="EM1" i="21" s="1"/>
  <c r="EN1" i="21" s="1"/>
  <c r="EO1" i="21" s="1"/>
  <c r="EP1" i="21" s="1"/>
  <c r="EQ1" i="21" s="1"/>
  <c r="ER1" i="21" s="1"/>
  <c r="ES1" i="21" s="1"/>
  <c r="ET1" i="21" s="1"/>
  <c r="EU1" i="21" s="1"/>
  <c r="EV1" i="21" s="1"/>
  <c r="EW1" i="21" s="1"/>
  <c r="EX1" i="21" s="1"/>
  <c r="EY1" i="21" s="1"/>
  <c r="EZ1" i="21" s="1"/>
  <c r="FA1" i="21" s="1"/>
  <c r="FB1" i="21" s="1"/>
  <c r="FC1" i="21" s="1"/>
  <c r="FD1" i="21" s="1"/>
  <c r="FE1" i="21" s="1"/>
  <c r="FF1" i="21" s="1"/>
  <c r="FG1" i="21" s="1"/>
  <c r="FH1" i="21" s="1"/>
  <c r="FI1" i="21" s="1"/>
  <c r="FJ1" i="21" s="1"/>
  <c r="FK1" i="21" s="1"/>
  <c r="FL1" i="21" s="1"/>
  <c r="FM1" i="21" s="1"/>
  <c r="FN1" i="21" s="1"/>
  <c r="FO1" i="21" s="1"/>
  <c r="FP1" i="21" s="1"/>
  <c r="FQ1" i="21" s="1"/>
  <c r="FR1" i="21" s="1"/>
  <c r="FS1" i="21" s="1"/>
  <c r="FT1" i="21" s="1"/>
  <c r="FU1" i="21" s="1"/>
  <c r="FV1" i="21" s="1"/>
  <c r="FW1" i="21" s="1"/>
  <c r="FX1" i="21" s="1"/>
  <c r="FY1" i="21" s="1"/>
  <c r="FZ1" i="21" s="1"/>
  <c r="GA1" i="21" s="1"/>
  <c r="GB1" i="21" s="1"/>
  <c r="GC1" i="21" s="1"/>
  <c r="GD1" i="21" s="1"/>
  <c r="GE1" i="21" s="1"/>
  <c r="GF1" i="21" s="1"/>
  <c r="GG1" i="21" s="1"/>
  <c r="GH1" i="21" s="1"/>
  <c r="GI1" i="21" s="1"/>
  <c r="GJ1" i="21" s="1"/>
  <c r="GK1" i="21" s="1"/>
  <c r="GL1" i="21" s="1"/>
  <c r="GM1" i="21" s="1"/>
  <c r="GN1" i="21" s="1"/>
  <c r="GO1" i="21" s="1"/>
  <c r="GP1" i="21" s="1"/>
  <c r="GQ1" i="21" s="1"/>
  <c r="GR1" i="21" s="1"/>
  <c r="GS1" i="21" s="1"/>
  <c r="GT1" i="21" s="1"/>
  <c r="GU1" i="21" s="1"/>
  <c r="GV1" i="21" s="1"/>
  <c r="GW1" i="21" s="1"/>
  <c r="GX1" i="21" s="1"/>
  <c r="GY1" i="21" s="1"/>
  <c r="GZ1" i="21" s="1"/>
  <c r="HA1" i="21" s="1"/>
  <c r="HB1" i="21" s="1"/>
  <c r="HC1" i="21" s="1"/>
  <c r="HD1" i="21" s="1"/>
  <c r="HE1" i="21" s="1"/>
  <c r="HF1" i="21" s="1"/>
  <c r="HG1" i="21" s="1"/>
  <c r="HH1" i="21" s="1"/>
  <c r="HI1" i="21" s="1"/>
  <c r="HJ1" i="21" s="1"/>
  <c r="HK1" i="21" s="1"/>
  <c r="HL1" i="21" s="1"/>
  <c r="HM1" i="21" s="1"/>
  <c r="HN1" i="21" s="1"/>
  <c r="HO1" i="21" s="1"/>
  <c r="HP1" i="21" s="1"/>
  <c r="HQ1" i="21" s="1"/>
  <c r="HR1" i="21" s="1"/>
  <c r="HS1" i="21" s="1"/>
  <c r="HT1" i="21" s="1"/>
  <c r="HU1" i="21" s="1"/>
  <c r="HV1" i="21" s="1"/>
  <c r="HW1" i="21" s="1"/>
  <c r="HX1" i="21" s="1"/>
  <c r="HY1" i="21" s="1"/>
  <c r="HZ1" i="21" s="1"/>
  <c r="IA1" i="21" s="1"/>
  <c r="IB1" i="21" s="1"/>
  <c r="IC1" i="21" s="1"/>
  <c r="ID1" i="21" s="1"/>
  <c r="IE1" i="21" s="1"/>
  <c r="IF1" i="21" s="1"/>
  <c r="IG1" i="21" s="1"/>
  <c r="IH1" i="21" s="1"/>
  <c r="II1" i="21" s="1"/>
  <c r="IJ1" i="21" s="1"/>
  <c r="IK1" i="21" s="1"/>
  <c r="IL1" i="21" s="1"/>
  <c r="IM1" i="21" s="1"/>
  <c r="IN1" i="21" s="1"/>
  <c r="IO1" i="21" s="1"/>
  <c r="IP1" i="21" s="1"/>
  <c r="IQ1" i="21" s="1"/>
  <c r="IR1" i="21" s="1"/>
  <c r="IS1" i="21" s="1"/>
  <c r="IT1" i="21" s="1"/>
  <c r="IU1" i="21" s="1"/>
  <c r="IV1" i="21" s="1"/>
  <c r="IW1" i="21" s="1"/>
  <c r="IX1" i="21" s="1"/>
  <c r="IY1" i="21" s="1"/>
  <c r="IZ1" i="21" s="1"/>
  <c r="JA1" i="21" s="1"/>
  <c r="JB1" i="21" s="1"/>
  <c r="JC1" i="21" s="1"/>
  <c r="JD1" i="21" s="1"/>
  <c r="JE1" i="21" s="1"/>
  <c r="JF1" i="21" s="1"/>
  <c r="JG1" i="21" s="1"/>
  <c r="JH1" i="21" s="1"/>
  <c r="JI1" i="21" s="1"/>
  <c r="JJ1" i="21" s="1"/>
  <c r="JK1" i="21" s="1"/>
  <c r="JL1" i="21" s="1"/>
  <c r="JM1" i="21" s="1"/>
  <c r="JN1" i="21" s="1"/>
  <c r="JO1" i="21" s="1"/>
  <c r="JP1" i="21" s="1"/>
  <c r="JQ1" i="21" s="1"/>
  <c r="JR1" i="21" s="1"/>
  <c r="JS1" i="21" s="1"/>
  <c r="JT1" i="21" s="1"/>
  <c r="JU1" i="21" s="1"/>
  <c r="JV1" i="21" s="1"/>
  <c r="JW1" i="21" s="1"/>
  <c r="JX1" i="21" s="1"/>
  <c r="JY1" i="21" s="1"/>
  <c r="JZ1" i="21" s="1"/>
  <c r="KA1" i="21" s="1"/>
  <c r="KB1" i="21" s="1"/>
  <c r="KC1" i="21" s="1"/>
  <c r="KD1" i="21" s="1"/>
  <c r="KE1" i="21" s="1"/>
  <c r="KF1" i="21" s="1"/>
  <c r="KG1" i="21" s="1"/>
  <c r="KH1" i="21" s="1"/>
  <c r="KI1" i="21" s="1"/>
  <c r="KJ1" i="21" s="1"/>
  <c r="KK1" i="21" s="1"/>
  <c r="KL1" i="21" s="1"/>
  <c r="KM1" i="21" s="1"/>
  <c r="KN1" i="21" s="1"/>
  <c r="KO1" i="21" s="1"/>
  <c r="KP1" i="21" s="1"/>
  <c r="KQ1" i="21" s="1"/>
  <c r="KR1" i="21" s="1"/>
  <c r="KS1" i="21" s="1"/>
  <c r="KT1" i="21" s="1"/>
  <c r="KU1" i="21" s="1"/>
  <c r="O2" i="21"/>
  <c r="P2" i="21" s="1"/>
  <c r="Q2" i="21" s="1"/>
  <c r="R2" i="21" s="1"/>
  <c r="S2" i="21" s="1"/>
  <c r="T2" i="21" s="1"/>
  <c r="U2" i="21" s="1"/>
  <c r="V2" i="21" s="1"/>
  <c r="W2" i="21" s="1"/>
  <c r="X2" i="21" s="1"/>
  <c r="Y2" i="21" s="1"/>
  <c r="Z2" i="21" s="1"/>
  <c r="AA2" i="21" s="1"/>
  <c r="AB2" i="21" s="1"/>
  <c r="AC2" i="21" s="1"/>
  <c r="AD2" i="21" s="1"/>
  <c r="AE2" i="21" s="1"/>
  <c r="AF2" i="21" s="1"/>
  <c r="AG2" i="21" s="1"/>
  <c r="AH2" i="21" s="1"/>
  <c r="AI2" i="21" s="1"/>
  <c r="AJ2" i="21" s="1"/>
  <c r="AK2" i="21" s="1"/>
  <c r="AL2" i="21" s="1"/>
  <c r="AM2" i="21" s="1"/>
  <c r="AN2" i="21" s="1"/>
  <c r="AO2" i="21" s="1"/>
  <c r="AP2" i="21" s="1"/>
  <c r="AQ2" i="21" s="1"/>
  <c r="AR2" i="21" s="1"/>
  <c r="AS2" i="21" s="1"/>
  <c r="AT2" i="21" s="1"/>
  <c r="AU2" i="21" s="1"/>
  <c r="AV2" i="21" s="1"/>
  <c r="AW2" i="21" s="1"/>
  <c r="AX2" i="21" s="1"/>
  <c r="AY2" i="21" s="1"/>
  <c r="AZ2" i="21" s="1"/>
  <c r="BA2" i="21" s="1"/>
  <c r="BB2" i="21" s="1"/>
  <c r="BC2" i="21" s="1"/>
  <c r="BD2" i="21" s="1"/>
  <c r="BE2" i="21" s="1"/>
  <c r="BF2" i="21" s="1"/>
  <c r="BG2" i="21" s="1"/>
  <c r="BH2" i="21" s="1"/>
  <c r="K3" i="21"/>
  <c r="F4" i="21" l="1"/>
  <c r="E4" i="21"/>
  <c r="G4" i="21" s="1"/>
  <c r="D4" i="21"/>
  <c r="A7" i="21"/>
  <c r="E6" i="21"/>
  <c r="G6" i="21" s="1"/>
  <c r="F6" i="21"/>
  <c r="L3" i="21"/>
  <c r="E2" i="21"/>
  <c r="G2" i="21" s="1"/>
  <c r="D2" i="21"/>
  <c r="F2" i="21"/>
  <c r="J4" i="8"/>
  <c r="J3" i="8"/>
  <c r="H63" i="20"/>
  <c r="H64" i="20"/>
  <c r="H65" i="20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 s="1"/>
  <c r="M29" i="20" a="1"/>
  <c r="M29" i="20" s="1"/>
  <c r="M30" i="20" a="1"/>
  <c r="M30" i="20" s="1"/>
  <c r="M31" i="20" a="1"/>
  <c r="M31" i="20" s="1"/>
  <c r="M32" i="20" a="1"/>
  <c r="M32" i="20" s="1"/>
  <c r="M33" i="20" a="1"/>
  <c r="M33" i="20" s="1"/>
  <c r="M34" i="20" a="1"/>
  <c r="M34" i="20" s="1"/>
  <c r="M35" i="20" a="1"/>
  <c r="M35" i="20" s="1"/>
  <c r="M36" i="20" a="1"/>
  <c r="M36" i="20" s="1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M42" i="20" a="1"/>
  <c r="M42" i="20" s="1"/>
  <c r="M43" i="20" a="1"/>
  <c r="M43" i="20" s="1"/>
  <c r="M44" i="20" a="1"/>
  <c r="M44" i="20" s="1"/>
  <c r="M45" i="20" a="1"/>
  <c r="M45" i="20" s="1"/>
  <c r="M46" i="20" a="1"/>
  <c r="M46" i="20" s="1"/>
  <c r="M47" i="20" a="1"/>
  <c r="M47" i="20" s="1"/>
  <c r="M48" i="20" a="1"/>
  <c r="M48" i="20" s="1"/>
  <c r="M49" i="20" a="1"/>
  <c r="M49" i="20" s="1"/>
  <c r="M50" i="20" a="1"/>
  <c r="M50" i="20" s="1"/>
  <c r="M51" i="20" a="1"/>
  <c r="M51" i="20" s="1"/>
  <c r="M52" i="20" a="1"/>
  <c r="M52" i="20" s="1"/>
  <c r="M53" i="20" a="1"/>
  <c r="M53" i="20" s="1"/>
  <c r="M54" i="20" a="1"/>
  <c r="M54" i="20" s="1"/>
  <c r="M55" i="20" a="1"/>
  <c r="M55" i="20" s="1"/>
  <c r="M56" i="20" a="1"/>
  <c r="M56" i="20" s="1"/>
  <c r="M57" i="20" a="1"/>
  <c r="M57" i="20" s="1"/>
  <c r="M58" i="20" a="1"/>
  <c r="M58" i="20" s="1"/>
  <c r="M59" i="20" a="1"/>
  <c r="M59" i="20" s="1"/>
  <c r="M60" i="20" a="1"/>
  <c r="M60" i="20" s="1"/>
  <c r="M61" i="20" a="1"/>
  <c r="M61" i="20" s="1"/>
  <c r="M62" i="20" a="1"/>
  <c r="M62" i="20" s="1"/>
  <c r="M63" i="20" a="1"/>
  <c r="M63" i="20" s="1"/>
  <c r="M64" i="20" a="1"/>
  <c r="M64" i="20" s="1"/>
  <c r="M65" i="20" a="1"/>
  <c r="M65" i="20" s="1"/>
  <c r="M3" i="20" a="1"/>
  <c r="M3" i="20" s="1"/>
  <c r="B2" i="13"/>
  <c r="C16" i="13" s="1"/>
  <c r="N127" i="14"/>
  <c r="J32" i="20"/>
  <c r="J34" i="20"/>
  <c r="K34" i="20" s="1"/>
  <c r="J39" i="20"/>
  <c r="J44" i="20"/>
  <c r="J41" i="20"/>
  <c r="J45" i="20"/>
  <c r="J52" i="20"/>
  <c r="J51" i="20"/>
  <c r="J54" i="20"/>
  <c r="J47" i="20"/>
  <c r="J49" i="20"/>
  <c r="J53" i="20"/>
  <c r="J50" i="20"/>
  <c r="J55" i="20"/>
  <c r="J56" i="20"/>
  <c r="J57" i="20"/>
  <c r="J3" i="20"/>
  <c r="J36" i="20"/>
  <c r="J10" i="20"/>
  <c r="J35" i="20"/>
  <c r="J40" i="20"/>
  <c r="J60" i="20"/>
  <c r="J61" i="20"/>
  <c r="J62" i="20"/>
  <c r="J63" i="20"/>
  <c r="J64" i="20"/>
  <c r="J65" i="20"/>
  <c r="J46" i="20"/>
  <c r="J4" i="20"/>
  <c r="J7" i="20"/>
  <c r="J29" i="20"/>
  <c r="J9" i="20"/>
  <c r="J6" i="20"/>
  <c r="J5" i="20"/>
  <c r="J11" i="20"/>
  <c r="J12" i="20"/>
  <c r="J15" i="20"/>
  <c r="J19" i="20"/>
  <c r="J23" i="20"/>
  <c r="J14" i="20"/>
  <c r="J18" i="20"/>
  <c r="J17" i="20"/>
  <c r="J13" i="20"/>
  <c r="J24" i="20"/>
  <c r="J20" i="20"/>
  <c r="J42" i="20"/>
  <c r="J22" i="20"/>
  <c r="J26" i="20"/>
  <c r="J30" i="20"/>
  <c r="J28" i="20"/>
  <c r="J25" i="20"/>
  <c r="J33" i="20"/>
  <c r="J21" i="20"/>
  <c r="J8" i="20"/>
  <c r="J48" i="20"/>
  <c r="J38" i="20"/>
  <c r="J43" i="20"/>
  <c r="J27" i="20"/>
  <c r="J37" i="20"/>
  <c r="J16" i="20"/>
  <c r="J31" i="20"/>
  <c r="A8" i="21" l="1"/>
  <c r="E7" i="21"/>
  <c r="G7" i="21" s="1"/>
  <c r="F7" i="21"/>
  <c r="D4" i="8"/>
  <c r="M3" i="21"/>
  <c r="N3" i="21" s="1"/>
  <c r="O3" i="21" s="1"/>
  <c r="P3" i="21" s="1"/>
  <c r="Q3" i="21" s="1"/>
  <c r="R3" i="21" s="1"/>
  <c r="S3" i="21" s="1"/>
  <c r="T3" i="21" s="1"/>
  <c r="U3" i="21" s="1"/>
  <c r="V3" i="21" s="1"/>
  <c r="W3" i="21" s="1"/>
  <c r="X3" i="21" s="1"/>
  <c r="Y3" i="21" s="1"/>
  <c r="Z3" i="21" s="1"/>
  <c r="AA3" i="21" s="1"/>
  <c r="AB3" i="21" s="1"/>
  <c r="AC3" i="21" s="1"/>
  <c r="AD3" i="21" s="1"/>
  <c r="AE3" i="21" s="1"/>
  <c r="AF3" i="21" s="1"/>
  <c r="AG3" i="21" s="1"/>
  <c r="AH3" i="21" s="1"/>
  <c r="AI3" i="21" s="1"/>
  <c r="AJ3" i="21" s="1"/>
  <c r="AK3" i="21" s="1"/>
  <c r="AL3" i="21" s="1"/>
  <c r="AM3" i="21" s="1"/>
  <c r="AN3" i="21" s="1"/>
  <c r="AO3" i="21" s="1"/>
  <c r="AP3" i="21" s="1"/>
  <c r="AQ3" i="21" s="1"/>
  <c r="AR3" i="21" s="1"/>
  <c r="AS3" i="21" s="1"/>
  <c r="AT3" i="21" s="1"/>
  <c r="AU3" i="21" s="1"/>
  <c r="AV3" i="21" s="1"/>
  <c r="AW3" i="21" s="1"/>
  <c r="AX3" i="21" s="1"/>
  <c r="AY3" i="21" s="1"/>
  <c r="AZ3" i="21" s="1"/>
  <c r="BA3" i="21" s="1"/>
  <c r="BB3" i="21" s="1"/>
  <c r="BC3" i="21" s="1"/>
  <c r="BD3" i="21" s="1"/>
  <c r="BE3" i="21" s="1"/>
  <c r="BF3" i="21" s="1"/>
  <c r="BG3" i="21" s="1"/>
  <c r="BH3" i="21" s="1"/>
  <c r="B35" i="13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K10" i="20"/>
  <c r="K50" i="20"/>
  <c r="K49" i="20"/>
  <c r="K51" i="20"/>
  <c r="K17" i="20"/>
  <c r="K11" i="20"/>
  <c r="K39" i="20"/>
  <c r="K16" i="20"/>
  <c r="K27" i="20"/>
  <c r="K43" i="20"/>
  <c r="K4" i="20"/>
  <c r="K20" i="20"/>
  <c r="K18" i="20"/>
  <c r="K31" i="20"/>
  <c r="K14" i="20"/>
  <c r="K53" i="20"/>
  <c r="C5" i="8"/>
  <c r="B5" i="8" s="1" a="1"/>
  <c r="B5" i="8" s="1"/>
  <c r="C2" i="13"/>
  <c r="B49" i="15" s="1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AT9" i="18"/>
  <c r="C3" i="8"/>
  <c r="C4" i="8"/>
  <c r="D3" i="21" l="1"/>
  <c r="A9" i="21"/>
  <c r="E8" i="21"/>
  <c r="G8" i="21" s="1"/>
  <c r="F8" i="21"/>
  <c r="F3" i="21"/>
  <c r="D3" i="8"/>
  <c r="E3" i="21"/>
  <c r="G3" i="21" s="1"/>
  <c r="B2" i="15"/>
  <c r="B3" i="19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A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4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5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6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A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7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8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A8" i="19"/>
  <c r="BB8" i="19"/>
  <c r="BC8" i="19"/>
  <c r="BD8" i="19"/>
  <c r="BE8" i="19"/>
  <c r="BF8" i="19"/>
  <c r="BG8" i="19"/>
  <c r="BH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9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10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11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12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13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14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15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A15" i="19"/>
  <c r="BB15" i="19"/>
  <c r="BC15" i="19"/>
  <c r="BD15" i="19"/>
  <c r="BE15" i="19"/>
  <c r="BF15" i="19"/>
  <c r="BG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16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17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18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19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20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21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22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23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24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25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26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27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28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29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30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31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32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33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34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35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36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37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38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39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40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41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42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43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44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45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46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47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48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49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50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51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52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53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54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55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56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57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58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59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60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61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62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63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64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65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66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67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68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69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70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71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72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73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74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75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76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77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78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79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80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81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82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83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84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85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86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87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88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89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90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91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92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93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94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95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96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97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98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99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100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101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102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103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104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105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106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107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108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109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110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111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112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113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114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115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116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117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118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119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120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121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122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123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124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125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126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B2" i="19"/>
  <c r="B3" i="18"/>
  <c r="C3" i="18"/>
  <c r="D3" i="18"/>
  <c r="E3" i="18"/>
  <c r="F3" i="18"/>
  <c r="G3" i="18"/>
  <c r="H3" i="18"/>
  <c r="I3" i="18"/>
  <c r="J3" i="18"/>
  <c r="K3" i="18"/>
  <c r="L3" i="18"/>
  <c r="M3" i="18"/>
  <c r="N3" i="18"/>
  <c r="O3" i="18"/>
  <c r="P3" i="18"/>
  <c r="Q3" i="18"/>
  <c r="R3" i="18"/>
  <c r="S3" i="18"/>
  <c r="T3" i="18"/>
  <c r="U3" i="18"/>
  <c r="V3" i="18"/>
  <c r="W3" i="18"/>
  <c r="X3" i="18"/>
  <c r="Y3" i="18"/>
  <c r="Z3" i="18"/>
  <c r="AA3" i="18"/>
  <c r="AB3" i="18"/>
  <c r="AC3" i="18"/>
  <c r="AD3" i="18"/>
  <c r="AE3" i="18"/>
  <c r="AF3" i="18"/>
  <c r="AG3" i="18"/>
  <c r="AH3" i="18"/>
  <c r="AI3" i="18"/>
  <c r="AJ3" i="18"/>
  <c r="AK3" i="18"/>
  <c r="AL3" i="18"/>
  <c r="AM3" i="18"/>
  <c r="AN3" i="18"/>
  <c r="AO3" i="18"/>
  <c r="AP3" i="18"/>
  <c r="AQ3" i="18"/>
  <c r="AR3" i="18"/>
  <c r="AS3" i="18"/>
  <c r="AT3" i="18"/>
  <c r="AU3" i="18"/>
  <c r="AV3" i="18"/>
  <c r="AW3" i="18"/>
  <c r="AX3" i="18"/>
  <c r="AY3" i="18"/>
  <c r="AZ3" i="18"/>
  <c r="BA3" i="18"/>
  <c r="BB3" i="18"/>
  <c r="BC3" i="18"/>
  <c r="BD3" i="18"/>
  <c r="BE3" i="18"/>
  <c r="BF3" i="18"/>
  <c r="BG3" i="18"/>
  <c r="BH3" i="18"/>
  <c r="BI3" i="18"/>
  <c r="BJ3" i="18"/>
  <c r="BK3" i="18"/>
  <c r="BL3" i="18"/>
  <c r="BM3" i="18"/>
  <c r="BN3" i="18"/>
  <c r="BO3" i="18"/>
  <c r="BP3" i="18"/>
  <c r="BQ3" i="18"/>
  <c r="BR3" i="18"/>
  <c r="BS3" i="18"/>
  <c r="BT3" i="18"/>
  <c r="B4" i="18"/>
  <c r="C4" i="18"/>
  <c r="D4" i="18"/>
  <c r="E4" i="18"/>
  <c r="F4" i="18"/>
  <c r="G4" i="18"/>
  <c r="H4" i="18"/>
  <c r="I4" i="18"/>
  <c r="J4" i="18"/>
  <c r="K4" i="18"/>
  <c r="L4" i="18"/>
  <c r="M4" i="18"/>
  <c r="N4" i="18"/>
  <c r="O4" i="18"/>
  <c r="P4" i="18"/>
  <c r="Q4" i="18"/>
  <c r="R4" i="18"/>
  <c r="S4" i="18"/>
  <c r="T4" i="18"/>
  <c r="U4" i="18"/>
  <c r="V4" i="18"/>
  <c r="W4" i="18"/>
  <c r="X4" i="18"/>
  <c r="Y4" i="18"/>
  <c r="Z4" i="18"/>
  <c r="AA4" i="18"/>
  <c r="AB4" i="18"/>
  <c r="AC4" i="18"/>
  <c r="AD4" i="18"/>
  <c r="AE4" i="18"/>
  <c r="AF4" i="18"/>
  <c r="AG4" i="18"/>
  <c r="AH4" i="18"/>
  <c r="AI4" i="18"/>
  <c r="AJ4" i="18"/>
  <c r="AK4" i="18"/>
  <c r="AL4" i="18"/>
  <c r="AM4" i="18"/>
  <c r="AN4" i="18"/>
  <c r="AO4" i="18"/>
  <c r="AP4" i="18"/>
  <c r="AQ4" i="18"/>
  <c r="AR4" i="18"/>
  <c r="AS4" i="18"/>
  <c r="AT4" i="18"/>
  <c r="AU4" i="18"/>
  <c r="AV4" i="18"/>
  <c r="AW4" i="18"/>
  <c r="AX4" i="18"/>
  <c r="AY4" i="18"/>
  <c r="AZ4" i="18"/>
  <c r="BA4" i="18"/>
  <c r="BB4" i="18"/>
  <c r="BC4" i="18"/>
  <c r="BD4" i="18"/>
  <c r="BE4" i="18"/>
  <c r="BF4" i="18"/>
  <c r="BG4" i="18"/>
  <c r="BH4" i="18"/>
  <c r="BI4" i="18"/>
  <c r="BJ4" i="18"/>
  <c r="BK4" i="18"/>
  <c r="BL4" i="18"/>
  <c r="BM4" i="18"/>
  <c r="BN4" i="18"/>
  <c r="BO4" i="18"/>
  <c r="BP4" i="18"/>
  <c r="BQ4" i="18"/>
  <c r="BR4" i="18"/>
  <c r="BS4" i="18"/>
  <c r="BT4" i="18"/>
  <c r="B5" i="18"/>
  <c r="C5" i="18"/>
  <c r="D5" i="18"/>
  <c r="E5" i="18"/>
  <c r="F5" i="18"/>
  <c r="G5" i="18"/>
  <c r="H5" i="18"/>
  <c r="I5" i="18"/>
  <c r="J5" i="18"/>
  <c r="K5" i="18"/>
  <c r="L5" i="18"/>
  <c r="M5" i="18"/>
  <c r="N5" i="18"/>
  <c r="O5" i="18"/>
  <c r="P5" i="18"/>
  <c r="Q5" i="18"/>
  <c r="R5" i="18"/>
  <c r="S5" i="18"/>
  <c r="T5" i="18"/>
  <c r="U5" i="18"/>
  <c r="V5" i="18"/>
  <c r="W5" i="18"/>
  <c r="X5" i="18"/>
  <c r="Y5" i="18"/>
  <c r="Z5" i="18"/>
  <c r="AA5" i="18"/>
  <c r="AB5" i="18"/>
  <c r="AC5" i="18"/>
  <c r="AD5" i="18"/>
  <c r="AE5" i="18"/>
  <c r="AF5" i="18"/>
  <c r="AG5" i="18"/>
  <c r="AH5" i="18"/>
  <c r="AI5" i="18"/>
  <c r="AJ5" i="18"/>
  <c r="AK5" i="18"/>
  <c r="AL5" i="18"/>
  <c r="AM5" i="18"/>
  <c r="AN5" i="18"/>
  <c r="AO5" i="18"/>
  <c r="AP5" i="18"/>
  <c r="AQ5" i="18"/>
  <c r="AR5" i="18"/>
  <c r="AS5" i="18"/>
  <c r="AT5" i="18"/>
  <c r="AU5" i="18"/>
  <c r="AV5" i="18"/>
  <c r="AW5" i="18"/>
  <c r="AX5" i="18"/>
  <c r="AY5" i="18"/>
  <c r="AZ5" i="18"/>
  <c r="BA5" i="18"/>
  <c r="BB5" i="18"/>
  <c r="BC5" i="18"/>
  <c r="BD5" i="18"/>
  <c r="BE5" i="18"/>
  <c r="BF5" i="18"/>
  <c r="BG5" i="18"/>
  <c r="BH5" i="18"/>
  <c r="BI5" i="18"/>
  <c r="BJ5" i="18"/>
  <c r="BK5" i="18"/>
  <c r="BL5" i="18"/>
  <c r="BM5" i="18"/>
  <c r="BN5" i="18"/>
  <c r="BO5" i="18"/>
  <c r="BP5" i="18"/>
  <c r="BQ5" i="18"/>
  <c r="BR5" i="18"/>
  <c r="BS5" i="18"/>
  <c r="BT5" i="18"/>
  <c r="B6" i="18"/>
  <c r="C6" i="18"/>
  <c r="D6" i="18"/>
  <c r="E6" i="18"/>
  <c r="F6" i="18"/>
  <c r="G6" i="18"/>
  <c r="H6" i="18"/>
  <c r="I6" i="18"/>
  <c r="J6" i="18"/>
  <c r="K6" i="18"/>
  <c r="L6" i="18"/>
  <c r="M6" i="18"/>
  <c r="N6" i="18"/>
  <c r="O6" i="18"/>
  <c r="P6" i="18"/>
  <c r="Q6" i="18"/>
  <c r="R6" i="18"/>
  <c r="S6" i="18"/>
  <c r="T6" i="18"/>
  <c r="U6" i="18"/>
  <c r="V6" i="18"/>
  <c r="W6" i="18"/>
  <c r="X6" i="18"/>
  <c r="Y6" i="18"/>
  <c r="Z6" i="18"/>
  <c r="AA6" i="18"/>
  <c r="AB6" i="18"/>
  <c r="AC6" i="18"/>
  <c r="AD6" i="18"/>
  <c r="AE6" i="18"/>
  <c r="AF6" i="18"/>
  <c r="AG6" i="18"/>
  <c r="AH6" i="18"/>
  <c r="AI6" i="18"/>
  <c r="AJ6" i="18"/>
  <c r="AK6" i="18"/>
  <c r="AL6" i="18"/>
  <c r="AM6" i="18"/>
  <c r="AN6" i="18"/>
  <c r="AO6" i="18"/>
  <c r="AP6" i="18"/>
  <c r="AQ6" i="18"/>
  <c r="AR6" i="18"/>
  <c r="AS6" i="18"/>
  <c r="AT6" i="18"/>
  <c r="AU6" i="18"/>
  <c r="AV6" i="18"/>
  <c r="AW6" i="18"/>
  <c r="AX6" i="18"/>
  <c r="AY6" i="18"/>
  <c r="AZ6" i="18"/>
  <c r="BA6" i="18"/>
  <c r="BB6" i="18"/>
  <c r="BC6" i="18"/>
  <c r="BD6" i="18"/>
  <c r="BE6" i="18"/>
  <c r="BF6" i="18"/>
  <c r="BG6" i="18"/>
  <c r="BH6" i="18"/>
  <c r="BI6" i="18"/>
  <c r="BJ6" i="18"/>
  <c r="BK6" i="18"/>
  <c r="BL6" i="18"/>
  <c r="BM6" i="18"/>
  <c r="BN6" i="18"/>
  <c r="BO6" i="18"/>
  <c r="BP6" i="18"/>
  <c r="BQ6" i="18"/>
  <c r="BR6" i="18"/>
  <c r="BS6" i="18"/>
  <c r="BT6" i="18"/>
  <c r="B7" i="18"/>
  <c r="C7" i="18"/>
  <c r="D7" i="18"/>
  <c r="E7" i="18"/>
  <c r="F7" i="18"/>
  <c r="G7" i="18"/>
  <c r="H7" i="18"/>
  <c r="I7" i="18"/>
  <c r="J7" i="18"/>
  <c r="K7" i="18"/>
  <c r="L7" i="18"/>
  <c r="M7" i="18"/>
  <c r="N7" i="18"/>
  <c r="O7" i="18"/>
  <c r="P7" i="18"/>
  <c r="Q7" i="18"/>
  <c r="R7" i="18"/>
  <c r="S7" i="18"/>
  <c r="T7" i="18"/>
  <c r="U7" i="18"/>
  <c r="V7" i="18"/>
  <c r="W7" i="18"/>
  <c r="X7" i="18"/>
  <c r="Y7" i="18"/>
  <c r="Z7" i="18"/>
  <c r="AA7" i="18"/>
  <c r="AB7" i="18"/>
  <c r="AC7" i="18"/>
  <c r="AD7" i="18"/>
  <c r="AE7" i="18"/>
  <c r="AF7" i="18"/>
  <c r="AG7" i="18"/>
  <c r="AH7" i="18"/>
  <c r="AI7" i="18"/>
  <c r="AJ7" i="18"/>
  <c r="AK7" i="18"/>
  <c r="AL7" i="18"/>
  <c r="AM7" i="18"/>
  <c r="AN7" i="18"/>
  <c r="AO7" i="18"/>
  <c r="AP7" i="18"/>
  <c r="AQ7" i="18"/>
  <c r="AR7" i="18"/>
  <c r="AS7" i="18"/>
  <c r="AT7" i="18"/>
  <c r="AU7" i="18"/>
  <c r="AV7" i="18"/>
  <c r="AW7" i="18"/>
  <c r="AX7" i="18"/>
  <c r="AY7" i="18"/>
  <c r="AZ7" i="18"/>
  <c r="BA7" i="18"/>
  <c r="BB7" i="18"/>
  <c r="BC7" i="18"/>
  <c r="BD7" i="18"/>
  <c r="BE7" i="18"/>
  <c r="BF7" i="18"/>
  <c r="BG7" i="18"/>
  <c r="BH7" i="18"/>
  <c r="BI7" i="18"/>
  <c r="BJ7" i="18"/>
  <c r="BK7" i="18"/>
  <c r="BL7" i="18"/>
  <c r="BM7" i="18"/>
  <c r="BN7" i="18"/>
  <c r="BO7" i="18"/>
  <c r="BP7" i="18"/>
  <c r="BQ7" i="18"/>
  <c r="BR7" i="18"/>
  <c r="BS7" i="18"/>
  <c r="BT7" i="18"/>
  <c r="B8" i="18"/>
  <c r="C8" i="18"/>
  <c r="D8" i="18"/>
  <c r="E8" i="18"/>
  <c r="F8" i="18"/>
  <c r="G8" i="18"/>
  <c r="H8" i="18"/>
  <c r="I8" i="18"/>
  <c r="J8" i="18"/>
  <c r="K8" i="18"/>
  <c r="L8" i="18"/>
  <c r="M8" i="18"/>
  <c r="N8" i="18"/>
  <c r="O8" i="18"/>
  <c r="P8" i="18"/>
  <c r="Q8" i="18"/>
  <c r="R8" i="18"/>
  <c r="S8" i="18"/>
  <c r="T8" i="18"/>
  <c r="U8" i="18"/>
  <c r="V8" i="18"/>
  <c r="W8" i="18"/>
  <c r="X8" i="18"/>
  <c r="Y8" i="18"/>
  <c r="Z8" i="18"/>
  <c r="AA8" i="18"/>
  <c r="AB8" i="18"/>
  <c r="AC8" i="18"/>
  <c r="AD8" i="18"/>
  <c r="AE8" i="18"/>
  <c r="AF8" i="18"/>
  <c r="AG8" i="18"/>
  <c r="AH8" i="18"/>
  <c r="AI8" i="18"/>
  <c r="AJ8" i="18"/>
  <c r="AK8" i="18"/>
  <c r="AL8" i="18"/>
  <c r="AM8" i="18"/>
  <c r="AN8" i="18"/>
  <c r="AO8" i="18"/>
  <c r="AP8" i="18"/>
  <c r="AQ8" i="18"/>
  <c r="AR8" i="18"/>
  <c r="AS8" i="18"/>
  <c r="AT8" i="18"/>
  <c r="AU8" i="18"/>
  <c r="AV8" i="18"/>
  <c r="AW8" i="18"/>
  <c r="AX8" i="18"/>
  <c r="AY8" i="18"/>
  <c r="AZ8" i="18"/>
  <c r="BA8" i="18"/>
  <c r="BB8" i="18"/>
  <c r="BC8" i="18"/>
  <c r="BD8" i="18"/>
  <c r="BE8" i="18"/>
  <c r="BF8" i="18"/>
  <c r="BG8" i="18"/>
  <c r="BH8" i="18"/>
  <c r="BI8" i="18"/>
  <c r="BJ8" i="18"/>
  <c r="BK8" i="18"/>
  <c r="BL8" i="18"/>
  <c r="BM8" i="18"/>
  <c r="BN8" i="18"/>
  <c r="BO8" i="18"/>
  <c r="BP8" i="18"/>
  <c r="BQ8" i="18"/>
  <c r="BR8" i="18"/>
  <c r="BS8" i="18"/>
  <c r="BT8" i="18"/>
  <c r="B9" i="18"/>
  <c r="C9" i="18"/>
  <c r="D9" i="18"/>
  <c r="E9" i="18"/>
  <c r="F9" i="18"/>
  <c r="G9" i="18"/>
  <c r="H9" i="18"/>
  <c r="I9" i="18"/>
  <c r="J9" i="18"/>
  <c r="K9" i="18"/>
  <c r="L9" i="18"/>
  <c r="M9" i="18"/>
  <c r="N9" i="18"/>
  <c r="O9" i="18"/>
  <c r="P9" i="18"/>
  <c r="Q9" i="18"/>
  <c r="R9" i="18"/>
  <c r="S9" i="18"/>
  <c r="T9" i="18"/>
  <c r="U9" i="18"/>
  <c r="V9" i="18"/>
  <c r="W9" i="18"/>
  <c r="X9" i="18"/>
  <c r="Y9" i="18"/>
  <c r="Z9" i="18"/>
  <c r="AA9" i="18"/>
  <c r="AB9" i="18"/>
  <c r="AC9" i="18"/>
  <c r="AD9" i="18"/>
  <c r="AE9" i="18"/>
  <c r="AF9" i="18"/>
  <c r="AG9" i="18"/>
  <c r="AH9" i="18"/>
  <c r="AI9" i="18"/>
  <c r="AJ9" i="18"/>
  <c r="AK9" i="18"/>
  <c r="AL9" i="18"/>
  <c r="AM9" i="18"/>
  <c r="AN9" i="18"/>
  <c r="AO9" i="18"/>
  <c r="AP9" i="18"/>
  <c r="AQ9" i="18"/>
  <c r="AR9" i="18"/>
  <c r="AS9" i="18"/>
  <c r="AU9" i="18"/>
  <c r="AV9" i="18"/>
  <c r="AW9" i="18"/>
  <c r="AX9" i="18"/>
  <c r="AY9" i="18"/>
  <c r="AZ9" i="18"/>
  <c r="BA9" i="18"/>
  <c r="BB9" i="18"/>
  <c r="BC9" i="18"/>
  <c r="BD9" i="18"/>
  <c r="BE9" i="18"/>
  <c r="BF9" i="18"/>
  <c r="BG9" i="18"/>
  <c r="BH9" i="18"/>
  <c r="BI9" i="18"/>
  <c r="BJ9" i="18"/>
  <c r="BK9" i="18"/>
  <c r="BL9" i="18"/>
  <c r="BM9" i="18"/>
  <c r="BN9" i="18"/>
  <c r="BO9" i="18"/>
  <c r="BP9" i="18"/>
  <c r="BQ9" i="18"/>
  <c r="BR9" i="18"/>
  <c r="BS9" i="18"/>
  <c r="BT9" i="18"/>
  <c r="B10" i="18"/>
  <c r="C10" i="18"/>
  <c r="D10" i="18"/>
  <c r="E10" i="18"/>
  <c r="F10" i="18"/>
  <c r="G10" i="18"/>
  <c r="H10" i="18"/>
  <c r="I10" i="18"/>
  <c r="J10" i="18"/>
  <c r="K10" i="18"/>
  <c r="L10" i="18"/>
  <c r="M10" i="18"/>
  <c r="N10" i="18"/>
  <c r="O10" i="18"/>
  <c r="P10" i="18"/>
  <c r="Q10" i="18"/>
  <c r="R10" i="18"/>
  <c r="S10" i="18"/>
  <c r="T10" i="18"/>
  <c r="U10" i="18"/>
  <c r="V10" i="18"/>
  <c r="W10" i="18"/>
  <c r="X10" i="18"/>
  <c r="Y10" i="18"/>
  <c r="Z10" i="18"/>
  <c r="AA10" i="18"/>
  <c r="AB10" i="18"/>
  <c r="AC10" i="18"/>
  <c r="AD10" i="18"/>
  <c r="AE10" i="18"/>
  <c r="AF10" i="18"/>
  <c r="AG10" i="18"/>
  <c r="AH10" i="18"/>
  <c r="AI10" i="18"/>
  <c r="AJ10" i="18"/>
  <c r="AK10" i="18"/>
  <c r="AL10" i="18"/>
  <c r="AM10" i="18"/>
  <c r="AN10" i="18"/>
  <c r="AO10" i="18"/>
  <c r="AP10" i="18"/>
  <c r="AQ10" i="18"/>
  <c r="AR10" i="18"/>
  <c r="AS10" i="18"/>
  <c r="AT10" i="18"/>
  <c r="AU10" i="18"/>
  <c r="AV10" i="18"/>
  <c r="AW10" i="18"/>
  <c r="AX10" i="18"/>
  <c r="AY10" i="18"/>
  <c r="AZ10" i="18"/>
  <c r="BA10" i="18"/>
  <c r="BB10" i="18"/>
  <c r="BC10" i="18"/>
  <c r="BD10" i="18"/>
  <c r="BE10" i="18"/>
  <c r="BF10" i="18"/>
  <c r="BG10" i="18"/>
  <c r="BH10" i="18"/>
  <c r="BI10" i="18"/>
  <c r="BJ10" i="18"/>
  <c r="BK10" i="18"/>
  <c r="BL10" i="18"/>
  <c r="BM10" i="18"/>
  <c r="BN10" i="18"/>
  <c r="BO10" i="18"/>
  <c r="BP10" i="18"/>
  <c r="BQ10" i="18"/>
  <c r="BR10" i="18"/>
  <c r="BS10" i="18"/>
  <c r="BT10" i="18"/>
  <c r="B11" i="18"/>
  <c r="C11" i="18"/>
  <c r="D11" i="18"/>
  <c r="E11" i="18"/>
  <c r="F11" i="18"/>
  <c r="G11" i="18"/>
  <c r="H11" i="18"/>
  <c r="I11" i="18"/>
  <c r="J11" i="18"/>
  <c r="K11" i="18"/>
  <c r="L11" i="18"/>
  <c r="M11" i="18"/>
  <c r="N11" i="18"/>
  <c r="O11" i="18"/>
  <c r="P11" i="18"/>
  <c r="Q11" i="18"/>
  <c r="R11" i="18"/>
  <c r="S11" i="18"/>
  <c r="T11" i="18"/>
  <c r="U11" i="18"/>
  <c r="V11" i="18"/>
  <c r="W11" i="18"/>
  <c r="X11" i="18"/>
  <c r="Y11" i="18"/>
  <c r="Z11" i="18"/>
  <c r="AA11" i="18"/>
  <c r="AB11" i="18"/>
  <c r="AC11" i="18"/>
  <c r="AD11" i="18"/>
  <c r="AE11" i="18"/>
  <c r="AF11" i="18"/>
  <c r="AG11" i="18"/>
  <c r="AH11" i="18"/>
  <c r="AI11" i="18"/>
  <c r="AJ11" i="18"/>
  <c r="AK11" i="18"/>
  <c r="AL11" i="18"/>
  <c r="AM11" i="18"/>
  <c r="AN11" i="18"/>
  <c r="AO11" i="18"/>
  <c r="AP11" i="18"/>
  <c r="AQ11" i="18"/>
  <c r="AR11" i="18"/>
  <c r="AS11" i="18"/>
  <c r="AT11" i="18"/>
  <c r="AU11" i="18"/>
  <c r="AV11" i="18"/>
  <c r="AW11" i="18"/>
  <c r="AX11" i="18"/>
  <c r="AY11" i="18"/>
  <c r="AZ11" i="18"/>
  <c r="BA11" i="18"/>
  <c r="BB11" i="18"/>
  <c r="BC11" i="18"/>
  <c r="BD11" i="18"/>
  <c r="BE11" i="18"/>
  <c r="BF11" i="18"/>
  <c r="BG11" i="18"/>
  <c r="BH11" i="18"/>
  <c r="BI11" i="18"/>
  <c r="BJ11" i="18"/>
  <c r="BK11" i="18"/>
  <c r="BL11" i="18"/>
  <c r="BM11" i="18"/>
  <c r="BN11" i="18"/>
  <c r="BO11" i="18"/>
  <c r="BP11" i="18"/>
  <c r="BQ11" i="18"/>
  <c r="BR11" i="18"/>
  <c r="BS11" i="18"/>
  <c r="BT11" i="18"/>
  <c r="B12" i="18"/>
  <c r="C12" i="18"/>
  <c r="D12" i="18"/>
  <c r="E12" i="18"/>
  <c r="F12" i="18"/>
  <c r="G12" i="18"/>
  <c r="H12" i="18"/>
  <c r="I12" i="18"/>
  <c r="J12" i="18"/>
  <c r="K12" i="18"/>
  <c r="L12" i="18"/>
  <c r="M12" i="18"/>
  <c r="N12" i="18"/>
  <c r="O12" i="18"/>
  <c r="P12" i="18"/>
  <c r="Q12" i="18"/>
  <c r="R12" i="18"/>
  <c r="S12" i="18"/>
  <c r="T12" i="18"/>
  <c r="U12" i="18"/>
  <c r="V12" i="18"/>
  <c r="W12" i="18"/>
  <c r="X12" i="18"/>
  <c r="Y12" i="18"/>
  <c r="Z12" i="18"/>
  <c r="AA12" i="18"/>
  <c r="AB12" i="18"/>
  <c r="AC12" i="18"/>
  <c r="AD12" i="18"/>
  <c r="AE12" i="18"/>
  <c r="AF12" i="18"/>
  <c r="AG12" i="18"/>
  <c r="AH12" i="18"/>
  <c r="AI12" i="18"/>
  <c r="AJ12" i="18"/>
  <c r="AK12" i="18"/>
  <c r="AL12" i="18"/>
  <c r="AM12" i="18"/>
  <c r="AN12" i="18"/>
  <c r="AO12" i="18"/>
  <c r="AP12" i="18"/>
  <c r="AQ12" i="18"/>
  <c r="AR12" i="18"/>
  <c r="AS12" i="18"/>
  <c r="AT12" i="18"/>
  <c r="AU12" i="18"/>
  <c r="AV12" i="18"/>
  <c r="AW12" i="18"/>
  <c r="AX12" i="18"/>
  <c r="AY12" i="18"/>
  <c r="AZ12" i="18"/>
  <c r="BA12" i="18"/>
  <c r="BB12" i="18"/>
  <c r="BC12" i="18"/>
  <c r="BD12" i="18"/>
  <c r="BE12" i="18"/>
  <c r="BF12" i="18"/>
  <c r="BG12" i="18"/>
  <c r="BH12" i="18"/>
  <c r="BI12" i="18"/>
  <c r="BJ12" i="18"/>
  <c r="BK12" i="18"/>
  <c r="BL12" i="18"/>
  <c r="BM12" i="18"/>
  <c r="BN12" i="18"/>
  <c r="BO12" i="18"/>
  <c r="BP12" i="18"/>
  <c r="BQ12" i="18"/>
  <c r="BR12" i="18"/>
  <c r="BS12" i="18"/>
  <c r="BT12" i="18"/>
  <c r="B13" i="18"/>
  <c r="C13" i="18"/>
  <c r="D13" i="18"/>
  <c r="E13" i="18"/>
  <c r="F13" i="18"/>
  <c r="G13" i="18"/>
  <c r="H13" i="18"/>
  <c r="I13" i="18"/>
  <c r="J13" i="18"/>
  <c r="K13" i="18"/>
  <c r="L13" i="18"/>
  <c r="M13" i="18"/>
  <c r="N13" i="18"/>
  <c r="O13" i="18"/>
  <c r="P13" i="18"/>
  <c r="Q13" i="18"/>
  <c r="R13" i="18"/>
  <c r="S13" i="18"/>
  <c r="T13" i="18"/>
  <c r="U13" i="18"/>
  <c r="V13" i="18"/>
  <c r="W13" i="18"/>
  <c r="X13" i="18"/>
  <c r="Y13" i="18"/>
  <c r="Z13" i="18"/>
  <c r="AA13" i="18"/>
  <c r="AB13" i="18"/>
  <c r="AC13" i="18"/>
  <c r="AD13" i="18"/>
  <c r="AE13" i="18"/>
  <c r="AF13" i="18"/>
  <c r="AG13" i="18"/>
  <c r="AH13" i="18"/>
  <c r="AI13" i="18"/>
  <c r="AJ13" i="18"/>
  <c r="AK13" i="18"/>
  <c r="AL13" i="18"/>
  <c r="AM13" i="18"/>
  <c r="AN13" i="18"/>
  <c r="AO13" i="18"/>
  <c r="AP13" i="18"/>
  <c r="AQ13" i="18"/>
  <c r="AR13" i="18"/>
  <c r="AS13" i="18"/>
  <c r="AT13" i="18"/>
  <c r="AU13" i="18"/>
  <c r="AV13" i="18"/>
  <c r="AW13" i="18"/>
  <c r="AX13" i="18"/>
  <c r="AY13" i="18"/>
  <c r="AZ13" i="18"/>
  <c r="BA13" i="18"/>
  <c r="BB13" i="18"/>
  <c r="BC13" i="18"/>
  <c r="BD13" i="18"/>
  <c r="BE13" i="18"/>
  <c r="BF13" i="18"/>
  <c r="BG13" i="18"/>
  <c r="BH13" i="18"/>
  <c r="BI13" i="18"/>
  <c r="BJ13" i="18"/>
  <c r="BK13" i="18"/>
  <c r="BL13" i="18"/>
  <c r="BM13" i="18"/>
  <c r="BN13" i="18"/>
  <c r="BO13" i="18"/>
  <c r="BP13" i="18"/>
  <c r="BQ13" i="18"/>
  <c r="BR13" i="18"/>
  <c r="BS13" i="18"/>
  <c r="BT13" i="18"/>
  <c r="B14" i="18"/>
  <c r="C14" i="18"/>
  <c r="D14" i="18"/>
  <c r="E14" i="18"/>
  <c r="F14" i="18"/>
  <c r="G14" i="18"/>
  <c r="H14" i="18"/>
  <c r="I14" i="18"/>
  <c r="J14" i="18"/>
  <c r="K14" i="18"/>
  <c r="L14" i="18"/>
  <c r="M14" i="18"/>
  <c r="N14" i="18"/>
  <c r="O14" i="18"/>
  <c r="P14" i="18"/>
  <c r="Q14" i="18"/>
  <c r="R14" i="18"/>
  <c r="S14" i="18"/>
  <c r="T14" i="18"/>
  <c r="U14" i="18"/>
  <c r="V14" i="18"/>
  <c r="W14" i="18"/>
  <c r="X14" i="18"/>
  <c r="Y14" i="18"/>
  <c r="Z14" i="18"/>
  <c r="AA14" i="18"/>
  <c r="AB14" i="18"/>
  <c r="AC14" i="18"/>
  <c r="AD14" i="18"/>
  <c r="AE14" i="18"/>
  <c r="AF14" i="18"/>
  <c r="AG14" i="18"/>
  <c r="AH14" i="18"/>
  <c r="AI14" i="18"/>
  <c r="AJ14" i="18"/>
  <c r="AK14" i="18"/>
  <c r="AL14" i="18"/>
  <c r="AM14" i="18"/>
  <c r="AN14" i="18"/>
  <c r="AO14" i="18"/>
  <c r="AP14" i="18"/>
  <c r="AQ14" i="18"/>
  <c r="AR14" i="18"/>
  <c r="AS14" i="18"/>
  <c r="AT14" i="18"/>
  <c r="AU14" i="18"/>
  <c r="AV14" i="18"/>
  <c r="AW14" i="18"/>
  <c r="AX14" i="18"/>
  <c r="AY14" i="18"/>
  <c r="AZ14" i="18"/>
  <c r="BA14" i="18"/>
  <c r="BB14" i="18"/>
  <c r="BC14" i="18"/>
  <c r="BD14" i="18"/>
  <c r="BE14" i="18"/>
  <c r="BF14" i="18"/>
  <c r="BG14" i="18"/>
  <c r="BH14" i="18"/>
  <c r="BI14" i="18"/>
  <c r="BJ14" i="18"/>
  <c r="BK14" i="18"/>
  <c r="BL14" i="18"/>
  <c r="BM14" i="18"/>
  <c r="BN14" i="18"/>
  <c r="BO14" i="18"/>
  <c r="BP14" i="18"/>
  <c r="BQ14" i="18"/>
  <c r="BR14" i="18"/>
  <c r="BS14" i="18"/>
  <c r="BT14" i="18"/>
  <c r="B15" i="18"/>
  <c r="C15" i="18"/>
  <c r="D15" i="18"/>
  <c r="E15" i="18"/>
  <c r="F15" i="18"/>
  <c r="G15" i="18"/>
  <c r="H15" i="18"/>
  <c r="I15" i="18"/>
  <c r="J15" i="18"/>
  <c r="K15" i="18"/>
  <c r="L15" i="18"/>
  <c r="M15" i="18"/>
  <c r="N15" i="18"/>
  <c r="O15" i="18"/>
  <c r="P15" i="18"/>
  <c r="Q15" i="18"/>
  <c r="R15" i="18"/>
  <c r="S15" i="18"/>
  <c r="T15" i="18"/>
  <c r="U15" i="18"/>
  <c r="V15" i="18"/>
  <c r="W15" i="18"/>
  <c r="X15" i="18"/>
  <c r="Y15" i="18"/>
  <c r="Z15" i="18"/>
  <c r="AA15" i="18"/>
  <c r="AB15" i="18"/>
  <c r="AC15" i="18"/>
  <c r="AD15" i="18"/>
  <c r="AE15" i="18"/>
  <c r="AF15" i="18"/>
  <c r="AG15" i="18"/>
  <c r="AH15" i="18"/>
  <c r="AI15" i="18"/>
  <c r="AJ15" i="18"/>
  <c r="AK15" i="18"/>
  <c r="AL15" i="18"/>
  <c r="AM15" i="18"/>
  <c r="AN15" i="18"/>
  <c r="AO15" i="18"/>
  <c r="AP15" i="18"/>
  <c r="AQ15" i="18"/>
  <c r="AR15" i="18"/>
  <c r="AS15" i="18"/>
  <c r="AT15" i="18"/>
  <c r="AU15" i="18"/>
  <c r="AV15" i="18"/>
  <c r="AW15" i="18"/>
  <c r="AX15" i="18"/>
  <c r="AY15" i="18"/>
  <c r="AZ15" i="18"/>
  <c r="AZ15" i="22" s="1"/>
  <c r="BA15" i="18"/>
  <c r="BB15" i="18"/>
  <c r="BC15" i="18"/>
  <c r="BC15" i="22" s="1"/>
  <c r="BD15" i="18"/>
  <c r="BE15" i="18"/>
  <c r="BF15" i="18"/>
  <c r="BG15" i="18"/>
  <c r="BH15" i="18"/>
  <c r="BI15" i="18"/>
  <c r="BJ15" i="18"/>
  <c r="BK15" i="18"/>
  <c r="BL15" i="18"/>
  <c r="BM15" i="18"/>
  <c r="BN15" i="18"/>
  <c r="BO15" i="18"/>
  <c r="BP15" i="18"/>
  <c r="BQ15" i="18"/>
  <c r="BR15" i="18"/>
  <c r="BS15" i="18"/>
  <c r="BT15" i="18"/>
  <c r="B16" i="18"/>
  <c r="C16" i="18"/>
  <c r="D16" i="18"/>
  <c r="E16" i="18"/>
  <c r="F16" i="18"/>
  <c r="G16" i="18"/>
  <c r="H16" i="18"/>
  <c r="I16" i="18"/>
  <c r="J16" i="18"/>
  <c r="K16" i="18"/>
  <c r="L16" i="18"/>
  <c r="M16" i="18"/>
  <c r="N16" i="18"/>
  <c r="O16" i="18"/>
  <c r="P16" i="18"/>
  <c r="Q16" i="18"/>
  <c r="R16" i="18"/>
  <c r="S16" i="18"/>
  <c r="T16" i="18"/>
  <c r="U16" i="18"/>
  <c r="V16" i="18"/>
  <c r="W16" i="18"/>
  <c r="X16" i="18"/>
  <c r="Y16" i="18"/>
  <c r="Z16" i="18"/>
  <c r="AA16" i="18"/>
  <c r="AB16" i="18"/>
  <c r="AC16" i="18"/>
  <c r="AD16" i="18"/>
  <c r="AE16" i="18"/>
  <c r="AF16" i="18"/>
  <c r="AG16" i="18"/>
  <c r="AH16" i="18"/>
  <c r="AI16" i="18"/>
  <c r="AJ16" i="18"/>
  <c r="AK16" i="18"/>
  <c r="AL16" i="18"/>
  <c r="AM16" i="18"/>
  <c r="AN16" i="18"/>
  <c r="AO16" i="18"/>
  <c r="AP16" i="18"/>
  <c r="AQ16" i="18"/>
  <c r="AR16" i="18"/>
  <c r="AS16" i="18"/>
  <c r="AT16" i="18"/>
  <c r="AU16" i="18"/>
  <c r="AV16" i="18"/>
  <c r="AW16" i="18"/>
  <c r="AX16" i="18"/>
  <c r="AY16" i="18"/>
  <c r="AZ16" i="18"/>
  <c r="BA16" i="18"/>
  <c r="BB16" i="18"/>
  <c r="BC16" i="18"/>
  <c r="BD16" i="18"/>
  <c r="BE16" i="18"/>
  <c r="BF16" i="18"/>
  <c r="BG16" i="18"/>
  <c r="BH16" i="18"/>
  <c r="BI16" i="18"/>
  <c r="BJ16" i="18"/>
  <c r="BK16" i="18"/>
  <c r="BL16" i="18"/>
  <c r="BM16" i="18"/>
  <c r="BN16" i="18"/>
  <c r="BO16" i="18"/>
  <c r="BP16" i="18"/>
  <c r="BQ16" i="18"/>
  <c r="BR16" i="18"/>
  <c r="BS16" i="18"/>
  <c r="BT16" i="18"/>
  <c r="B17" i="18"/>
  <c r="C17" i="18"/>
  <c r="D17" i="18"/>
  <c r="E17" i="18"/>
  <c r="F17" i="18"/>
  <c r="G17" i="18"/>
  <c r="H17" i="18"/>
  <c r="I17" i="18"/>
  <c r="J17" i="18"/>
  <c r="K17" i="18"/>
  <c r="L17" i="18"/>
  <c r="M17" i="18"/>
  <c r="N17" i="18"/>
  <c r="O17" i="18"/>
  <c r="P17" i="18"/>
  <c r="Q17" i="18"/>
  <c r="R17" i="18"/>
  <c r="S17" i="18"/>
  <c r="T17" i="18"/>
  <c r="U17" i="18"/>
  <c r="V17" i="18"/>
  <c r="W17" i="18"/>
  <c r="X17" i="18"/>
  <c r="Y17" i="18"/>
  <c r="Z17" i="18"/>
  <c r="AA17" i="18"/>
  <c r="AB17" i="18"/>
  <c r="AC17" i="18"/>
  <c r="AD17" i="18"/>
  <c r="AE17" i="18"/>
  <c r="AF17" i="18"/>
  <c r="AG17" i="18"/>
  <c r="AH17" i="18"/>
  <c r="AI17" i="18"/>
  <c r="AJ17" i="18"/>
  <c r="AK17" i="18"/>
  <c r="AL17" i="18"/>
  <c r="AM17" i="18"/>
  <c r="AN17" i="18"/>
  <c r="AO17" i="18"/>
  <c r="AP17" i="18"/>
  <c r="AQ17" i="18"/>
  <c r="AR17" i="18"/>
  <c r="AS17" i="18"/>
  <c r="AT17" i="18"/>
  <c r="AU17" i="18"/>
  <c r="AV17" i="18"/>
  <c r="AW17" i="18"/>
  <c r="AX17" i="18"/>
  <c r="AY17" i="18"/>
  <c r="AZ17" i="18"/>
  <c r="BA17" i="18"/>
  <c r="BB17" i="18"/>
  <c r="BC17" i="18"/>
  <c r="BD17" i="18"/>
  <c r="BE17" i="18"/>
  <c r="BF17" i="18"/>
  <c r="BG17" i="18"/>
  <c r="BH17" i="18"/>
  <c r="BI17" i="18"/>
  <c r="BJ17" i="18"/>
  <c r="BK17" i="18"/>
  <c r="BL17" i="18"/>
  <c r="BM17" i="18"/>
  <c r="BN17" i="18"/>
  <c r="BO17" i="18"/>
  <c r="BP17" i="18"/>
  <c r="BQ17" i="18"/>
  <c r="BR17" i="18"/>
  <c r="BS17" i="18"/>
  <c r="BT17" i="18"/>
  <c r="B18" i="18"/>
  <c r="C18" i="18"/>
  <c r="D18" i="18"/>
  <c r="E18" i="18"/>
  <c r="F18" i="18"/>
  <c r="G18" i="18"/>
  <c r="H18" i="18"/>
  <c r="I18" i="18"/>
  <c r="J18" i="18"/>
  <c r="K18" i="18"/>
  <c r="L18" i="18"/>
  <c r="M18" i="18"/>
  <c r="N18" i="18"/>
  <c r="O18" i="18"/>
  <c r="P18" i="18"/>
  <c r="Q18" i="18"/>
  <c r="R18" i="18"/>
  <c r="S18" i="18"/>
  <c r="T18" i="18"/>
  <c r="U18" i="18"/>
  <c r="V18" i="18"/>
  <c r="W18" i="18"/>
  <c r="X18" i="18"/>
  <c r="Y18" i="18"/>
  <c r="Z18" i="18"/>
  <c r="AA18" i="18"/>
  <c r="AB18" i="18"/>
  <c r="AC18" i="18"/>
  <c r="AD18" i="18"/>
  <c r="AE18" i="18"/>
  <c r="AF18" i="18"/>
  <c r="AG18" i="18"/>
  <c r="AH18" i="18"/>
  <c r="AI18" i="18"/>
  <c r="AJ18" i="18"/>
  <c r="AK18" i="18"/>
  <c r="AL18" i="18"/>
  <c r="AM18" i="18"/>
  <c r="AN18" i="18"/>
  <c r="AO18" i="18"/>
  <c r="AP18" i="18"/>
  <c r="AQ18" i="18"/>
  <c r="AR18" i="18"/>
  <c r="AS18" i="18"/>
  <c r="AT18" i="18"/>
  <c r="AU18" i="18"/>
  <c r="AV18" i="18"/>
  <c r="AW18" i="18"/>
  <c r="AX18" i="18"/>
  <c r="AY18" i="18"/>
  <c r="AZ18" i="18"/>
  <c r="BA18" i="18"/>
  <c r="BB18" i="18"/>
  <c r="BC18" i="18"/>
  <c r="BD18" i="18"/>
  <c r="BE18" i="18"/>
  <c r="BF18" i="18"/>
  <c r="BG18" i="18"/>
  <c r="BH18" i="18"/>
  <c r="BI18" i="18"/>
  <c r="BJ18" i="18"/>
  <c r="BK18" i="18"/>
  <c r="BL18" i="18"/>
  <c r="BM18" i="18"/>
  <c r="BN18" i="18"/>
  <c r="BO18" i="18"/>
  <c r="BP18" i="18"/>
  <c r="BQ18" i="18"/>
  <c r="BR18" i="18"/>
  <c r="BS18" i="18"/>
  <c r="BT18" i="18"/>
  <c r="B19" i="18"/>
  <c r="C19" i="18"/>
  <c r="D19" i="18"/>
  <c r="E19" i="18"/>
  <c r="F19" i="18"/>
  <c r="G19" i="18"/>
  <c r="H19" i="18"/>
  <c r="I19" i="18"/>
  <c r="J19" i="18"/>
  <c r="K19" i="18"/>
  <c r="L19" i="18"/>
  <c r="M19" i="18"/>
  <c r="N19" i="18"/>
  <c r="O19" i="18"/>
  <c r="P19" i="18"/>
  <c r="Q19" i="18"/>
  <c r="R19" i="18"/>
  <c r="S19" i="18"/>
  <c r="T19" i="18"/>
  <c r="U19" i="18"/>
  <c r="V19" i="18"/>
  <c r="W19" i="18"/>
  <c r="X19" i="18"/>
  <c r="Y19" i="18"/>
  <c r="Z19" i="18"/>
  <c r="AA19" i="18"/>
  <c r="AB19" i="18"/>
  <c r="AC19" i="18"/>
  <c r="AD19" i="18"/>
  <c r="AE19" i="18"/>
  <c r="AF19" i="18"/>
  <c r="AG19" i="18"/>
  <c r="AH19" i="18"/>
  <c r="AI19" i="18"/>
  <c r="AJ19" i="18"/>
  <c r="AK19" i="18"/>
  <c r="AL19" i="18"/>
  <c r="AM19" i="18"/>
  <c r="AN19" i="18"/>
  <c r="AO19" i="18"/>
  <c r="AP19" i="18"/>
  <c r="AQ19" i="18"/>
  <c r="AR19" i="18"/>
  <c r="AS19" i="18"/>
  <c r="AT19" i="18"/>
  <c r="AU19" i="18"/>
  <c r="AV19" i="18"/>
  <c r="AW19" i="18"/>
  <c r="AX19" i="18"/>
  <c r="AY19" i="18"/>
  <c r="AZ19" i="18"/>
  <c r="BA19" i="18"/>
  <c r="BB19" i="18"/>
  <c r="BC19" i="18"/>
  <c r="BD19" i="18"/>
  <c r="BE19" i="18"/>
  <c r="BF19" i="18"/>
  <c r="BG19" i="18"/>
  <c r="BH19" i="18"/>
  <c r="BI19" i="18"/>
  <c r="BJ19" i="18"/>
  <c r="BK19" i="18"/>
  <c r="BL19" i="18"/>
  <c r="BM19" i="18"/>
  <c r="BN19" i="18"/>
  <c r="BO19" i="18"/>
  <c r="BP19" i="18"/>
  <c r="BQ19" i="18"/>
  <c r="BR19" i="18"/>
  <c r="BS19" i="18"/>
  <c r="BT19" i="18"/>
  <c r="B20" i="18"/>
  <c r="C20" i="18"/>
  <c r="D20" i="18"/>
  <c r="E20" i="18"/>
  <c r="F20" i="18"/>
  <c r="G20" i="18"/>
  <c r="H20" i="18"/>
  <c r="I20" i="18"/>
  <c r="J20" i="18"/>
  <c r="K20" i="18"/>
  <c r="L20" i="18"/>
  <c r="M20" i="18"/>
  <c r="N20" i="18"/>
  <c r="O20" i="18"/>
  <c r="P20" i="18"/>
  <c r="Q20" i="18"/>
  <c r="R20" i="18"/>
  <c r="S20" i="18"/>
  <c r="T20" i="18"/>
  <c r="U20" i="18"/>
  <c r="V20" i="18"/>
  <c r="W20" i="18"/>
  <c r="X20" i="18"/>
  <c r="Y20" i="18"/>
  <c r="Z20" i="18"/>
  <c r="AA20" i="18"/>
  <c r="AB20" i="18"/>
  <c r="AC20" i="18"/>
  <c r="AD20" i="18"/>
  <c r="AE20" i="18"/>
  <c r="AF20" i="18"/>
  <c r="AG20" i="18"/>
  <c r="AH20" i="18"/>
  <c r="AI20" i="18"/>
  <c r="AJ20" i="18"/>
  <c r="AK20" i="18"/>
  <c r="AL20" i="18"/>
  <c r="AM20" i="18"/>
  <c r="AN20" i="18"/>
  <c r="AO20" i="18"/>
  <c r="AP20" i="18"/>
  <c r="AQ20" i="18"/>
  <c r="AR20" i="18"/>
  <c r="AS20" i="18"/>
  <c r="AT20" i="18"/>
  <c r="AU20" i="18"/>
  <c r="AV20" i="18"/>
  <c r="AW20" i="18"/>
  <c r="AX20" i="18"/>
  <c r="AY20" i="18"/>
  <c r="AZ20" i="18"/>
  <c r="BA20" i="18"/>
  <c r="BB20" i="18"/>
  <c r="BC20" i="18"/>
  <c r="BD20" i="18"/>
  <c r="BE20" i="18"/>
  <c r="BF20" i="18"/>
  <c r="BG20" i="18"/>
  <c r="BH20" i="18"/>
  <c r="BI20" i="18"/>
  <c r="BJ20" i="18"/>
  <c r="BK20" i="18"/>
  <c r="BL20" i="18"/>
  <c r="BM20" i="18"/>
  <c r="BN20" i="18"/>
  <c r="BO20" i="18"/>
  <c r="BP20" i="18"/>
  <c r="BQ20" i="18"/>
  <c r="BR20" i="18"/>
  <c r="BS20" i="18"/>
  <c r="BT20" i="18"/>
  <c r="B21" i="18"/>
  <c r="C21" i="18"/>
  <c r="D21" i="18"/>
  <c r="E21" i="18"/>
  <c r="F21" i="18"/>
  <c r="G21" i="18"/>
  <c r="H21" i="18"/>
  <c r="I21" i="18"/>
  <c r="J21" i="18"/>
  <c r="K21" i="18"/>
  <c r="L21" i="18"/>
  <c r="M21" i="18"/>
  <c r="N21" i="18"/>
  <c r="O21" i="18"/>
  <c r="P21" i="18"/>
  <c r="Q21" i="18"/>
  <c r="R21" i="18"/>
  <c r="S21" i="18"/>
  <c r="T21" i="18"/>
  <c r="U21" i="18"/>
  <c r="V21" i="18"/>
  <c r="W21" i="18"/>
  <c r="X21" i="18"/>
  <c r="Y21" i="18"/>
  <c r="Z21" i="18"/>
  <c r="AA21" i="18"/>
  <c r="AB21" i="18"/>
  <c r="AC21" i="18"/>
  <c r="AD21" i="18"/>
  <c r="AE21" i="18"/>
  <c r="AF21" i="18"/>
  <c r="AG21" i="18"/>
  <c r="AH21" i="18"/>
  <c r="AI21" i="18"/>
  <c r="AJ21" i="18"/>
  <c r="AK21" i="18"/>
  <c r="AL21" i="18"/>
  <c r="AM21" i="18"/>
  <c r="AN21" i="18"/>
  <c r="AO21" i="18"/>
  <c r="AP21" i="18"/>
  <c r="AQ21" i="18"/>
  <c r="AR21" i="18"/>
  <c r="AS21" i="18"/>
  <c r="AT21" i="18"/>
  <c r="AU21" i="18"/>
  <c r="AV21" i="18"/>
  <c r="AW21" i="18"/>
  <c r="AX21" i="18"/>
  <c r="AY21" i="18"/>
  <c r="AZ21" i="18"/>
  <c r="BA21" i="18"/>
  <c r="BB21" i="18"/>
  <c r="BC21" i="18"/>
  <c r="BD21" i="18"/>
  <c r="BE21" i="18"/>
  <c r="BF21" i="18"/>
  <c r="BG21" i="18"/>
  <c r="BH21" i="18"/>
  <c r="BI21" i="18"/>
  <c r="BJ21" i="18"/>
  <c r="BK21" i="18"/>
  <c r="BL21" i="18"/>
  <c r="BM21" i="18"/>
  <c r="BN21" i="18"/>
  <c r="BO21" i="18"/>
  <c r="BP21" i="18"/>
  <c r="BQ21" i="18"/>
  <c r="BR21" i="18"/>
  <c r="BS21" i="18"/>
  <c r="BT21" i="18"/>
  <c r="B22" i="18"/>
  <c r="C22" i="18"/>
  <c r="D22" i="18"/>
  <c r="E22" i="18"/>
  <c r="F22" i="18"/>
  <c r="G22" i="18"/>
  <c r="H22" i="18"/>
  <c r="I22" i="18"/>
  <c r="J22" i="18"/>
  <c r="K22" i="18"/>
  <c r="L22" i="18"/>
  <c r="M22" i="18"/>
  <c r="N22" i="18"/>
  <c r="O22" i="18"/>
  <c r="P22" i="18"/>
  <c r="Q22" i="18"/>
  <c r="R22" i="18"/>
  <c r="S22" i="18"/>
  <c r="T22" i="18"/>
  <c r="U22" i="18"/>
  <c r="V22" i="18"/>
  <c r="W22" i="18"/>
  <c r="X22" i="18"/>
  <c r="Y22" i="18"/>
  <c r="Z22" i="18"/>
  <c r="AA22" i="18"/>
  <c r="AB22" i="18"/>
  <c r="AC22" i="18"/>
  <c r="AD22" i="18"/>
  <c r="AE22" i="18"/>
  <c r="AF22" i="18"/>
  <c r="AG22" i="18"/>
  <c r="AH22" i="18"/>
  <c r="AI22" i="18"/>
  <c r="AJ22" i="18"/>
  <c r="AK22" i="18"/>
  <c r="AL22" i="18"/>
  <c r="AM22" i="18"/>
  <c r="AN22" i="18"/>
  <c r="AO22" i="18"/>
  <c r="AP22" i="18"/>
  <c r="AQ22" i="18"/>
  <c r="AR22" i="18"/>
  <c r="AS22" i="18"/>
  <c r="AT22" i="18"/>
  <c r="AU22" i="18"/>
  <c r="AV22" i="18"/>
  <c r="AW22" i="18"/>
  <c r="AX22" i="18"/>
  <c r="AY22" i="18"/>
  <c r="AZ22" i="18"/>
  <c r="BA22" i="18"/>
  <c r="BB22" i="18"/>
  <c r="BC22" i="18"/>
  <c r="BD22" i="18"/>
  <c r="BE22" i="18"/>
  <c r="BF22" i="18"/>
  <c r="BG22" i="18"/>
  <c r="BH22" i="18"/>
  <c r="BI22" i="18"/>
  <c r="BJ22" i="18"/>
  <c r="BK22" i="18"/>
  <c r="BL22" i="18"/>
  <c r="BM22" i="18"/>
  <c r="BN22" i="18"/>
  <c r="BO22" i="18"/>
  <c r="BP22" i="18"/>
  <c r="BQ22" i="18"/>
  <c r="BR22" i="18"/>
  <c r="BS22" i="18"/>
  <c r="BT22" i="18"/>
  <c r="B23" i="18"/>
  <c r="C23" i="18"/>
  <c r="D23" i="18"/>
  <c r="E23" i="18"/>
  <c r="F23" i="18"/>
  <c r="G23" i="18"/>
  <c r="H23" i="18"/>
  <c r="I23" i="18"/>
  <c r="J23" i="18"/>
  <c r="K23" i="18"/>
  <c r="L23" i="18"/>
  <c r="M23" i="18"/>
  <c r="N23" i="18"/>
  <c r="O23" i="18"/>
  <c r="P23" i="18"/>
  <c r="Q23" i="18"/>
  <c r="R23" i="18"/>
  <c r="S23" i="18"/>
  <c r="T23" i="18"/>
  <c r="U23" i="18"/>
  <c r="V23" i="18"/>
  <c r="W23" i="18"/>
  <c r="X23" i="18"/>
  <c r="Y23" i="18"/>
  <c r="Z23" i="18"/>
  <c r="AA23" i="18"/>
  <c r="AB23" i="18"/>
  <c r="AC23" i="18"/>
  <c r="AD23" i="18"/>
  <c r="AE23" i="18"/>
  <c r="AF23" i="18"/>
  <c r="AG23" i="18"/>
  <c r="AH23" i="18"/>
  <c r="AI23" i="18"/>
  <c r="AJ23" i="18"/>
  <c r="AK23" i="18"/>
  <c r="AL23" i="18"/>
  <c r="AM23" i="18"/>
  <c r="AN23" i="18"/>
  <c r="AO23" i="18"/>
  <c r="AP23" i="18"/>
  <c r="AQ23" i="18"/>
  <c r="AR23" i="18"/>
  <c r="AS23" i="18"/>
  <c r="AT23" i="18"/>
  <c r="AU23" i="18"/>
  <c r="AV23" i="18"/>
  <c r="AW23" i="18"/>
  <c r="AX23" i="18"/>
  <c r="AY23" i="18"/>
  <c r="AZ23" i="18"/>
  <c r="BA23" i="18"/>
  <c r="BB23" i="18"/>
  <c r="BC23" i="18"/>
  <c r="BD23" i="18"/>
  <c r="BE23" i="18"/>
  <c r="BF23" i="18"/>
  <c r="BG23" i="18"/>
  <c r="BH23" i="18"/>
  <c r="BI23" i="18"/>
  <c r="BJ23" i="18"/>
  <c r="BK23" i="18"/>
  <c r="BL23" i="18"/>
  <c r="BM23" i="18"/>
  <c r="BN23" i="18"/>
  <c r="BO23" i="18"/>
  <c r="BP23" i="18"/>
  <c r="BQ23" i="18"/>
  <c r="BR23" i="18"/>
  <c r="BS23" i="18"/>
  <c r="BT23" i="18"/>
  <c r="B24" i="18"/>
  <c r="C24" i="18"/>
  <c r="D24" i="18"/>
  <c r="E24" i="18"/>
  <c r="F24" i="18"/>
  <c r="G24" i="18"/>
  <c r="H24" i="18"/>
  <c r="I24" i="18"/>
  <c r="J24" i="18"/>
  <c r="K24" i="18"/>
  <c r="L24" i="18"/>
  <c r="M24" i="18"/>
  <c r="N24" i="18"/>
  <c r="O24" i="18"/>
  <c r="P24" i="18"/>
  <c r="Q24" i="18"/>
  <c r="R24" i="18"/>
  <c r="S24" i="18"/>
  <c r="T24" i="18"/>
  <c r="U24" i="18"/>
  <c r="V24" i="18"/>
  <c r="W24" i="18"/>
  <c r="X24" i="18"/>
  <c r="Y24" i="18"/>
  <c r="Z24" i="18"/>
  <c r="AA24" i="18"/>
  <c r="AB24" i="18"/>
  <c r="AC24" i="18"/>
  <c r="AD24" i="18"/>
  <c r="AE24" i="18"/>
  <c r="AF24" i="18"/>
  <c r="AG24" i="18"/>
  <c r="AH24" i="18"/>
  <c r="AI24" i="18"/>
  <c r="AJ24" i="18"/>
  <c r="AK24" i="18"/>
  <c r="AL24" i="18"/>
  <c r="AM24" i="18"/>
  <c r="AN24" i="18"/>
  <c r="AO24" i="18"/>
  <c r="AP24" i="18"/>
  <c r="AQ24" i="18"/>
  <c r="AR24" i="18"/>
  <c r="AS24" i="18"/>
  <c r="AT24" i="18"/>
  <c r="AU24" i="18"/>
  <c r="AV24" i="18"/>
  <c r="AW24" i="18"/>
  <c r="AX24" i="18"/>
  <c r="AY24" i="18"/>
  <c r="AZ24" i="18"/>
  <c r="BA24" i="18"/>
  <c r="BB24" i="18"/>
  <c r="BC24" i="18"/>
  <c r="BD24" i="18"/>
  <c r="BE24" i="18"/>
  <c r="BF24" i="18"/>
  <c r="BG24" i="18"/>
  <c r="BH24" i="18"/>
  <c r="BI24" i="18"/>
  <c r="BJ24" i="18"/>
  <c r="BK24" i="18"/>
  <c r="BL24" i="18"/>
  <c r="BM24" i="18"/>
  <c r="BN24" i="18"/>
  <c r="BO24" i="18"/>
  <c r="BP24" i="18"/>
  <c r="BQ24" i="18"/>
  <c r="BR24" i="18"/>
  <c r="BS24" i="18"/>
  <c r="BT24" i="18"/>
  <c r="B25" i="18"/>
  <c r="C25" i="18"/>
  <c r="D25" i="18"/>
  <c r="E25" i="18"/>
  <c r="F25" i="18"/>
  <c r="G25" i="18"/>
  <c r="H25" i="18"/>
  <c r="I25" i="18"/>
  <c r="J25" i="18"/>
  <c r="K25" i="18"/>
  <c r="L25" i="18"/>
  <c r="M25" i="18"/>
  <c r="N25" i="18"/>
  <c r="O25" i="18"/>
  <c r="P25" i="18"/>
  <c r="Q25" i="18"/>
  <c r="R25" i="18"/>
  <c r="S25" i="18"/>
  <c r="T25" i="18"/>
  <c r="U25" i="18"/>
  <c r="V25" i="18"/>
  <c r="W25" i="18"/>
  <c r="X25" i="18"/>
  <c r="Y25" i="18"/>
  <c r="Z25" i="18"/>
  <c r="AA25" i="18"/>
  <c r="AB25" i="18"/>
  <c r="AC25" i="18"/>
  <c r="AD25" i="18"/>
  <c r="AE25" i="18"/>
  <c r="AF25" i="18"/>
  <c r="AG25" i="18"/>
  <c r="AH25" i="18"/>
  <c r="AI25" i="18"/>
  <c r="AJ25" i="18"/>
  <c r="AK25" i="18"/>
  <c r="AL25" i="18"/>
  <c r="AM25" i="18"/>
  <c r="AN25" i="18"/>
  <c r="AO25" i="18"/>
  <c r="AP25" i="18"/>
  <c r="AQ25" i="18"/>
  <c r="AR25" i="18"/>
  <c r="AS25" i="18"/>
  <c r="AT25" i="18"/>
  <c r="AU25" i="18"/>
  <c r="AV25" i="18"/>
  <c r="AW25" i="18"/>
  <c r="AX25" i="18"/>
  <c r="AY25" i="18"/>
  <c r="AZ25" i="18"/>
  <c r="BA25" i="18"/>
  <c r="BB25" i="18"/>
  <c r="BC25" i="18"/>
  <c r="BD25" i="18"/>
  <c r="BE25" i="18"/>
  <c r="BF25" i="18"/>
  <c r="BG25" i="18"/>
  <c r="BH25" i="18"/>
  <c r="BI25" i="18"/>
  <c r="BJ25" i="18"/>
  <c r="BK25" i="18"/>
  <c r="BL25" i="18"/>
  <c r="BM25" i="18"/>
  <c r="BN25" i="18"/>
  <c r="BO25" i="18"/>
  <c r="BP25" i="18"/>
  <c r="BQ25" i="18"/>
  <c r="BR25" i="18"/>
  <c r="BS25" i="18"/>
  <c r="BT25" i="18"/>
  <c r="B26" i="18"/>
  <c r="C26" i="18"/>
  <c r="D26" i="18"/>
  <c r="E26" i="18"/>
  <c r="F26" i="18"/>
  <c r="G26" i="18"/>
  <c r="H26" i="18"/>
  <c r="I26" i="18"/>
  <c r="J26" i="18"/>
  <c r="K26" i="18"/>
  <c r="L26" i="18"/>
  <c r="M26" i="18"/>
  <c r="N26" i="18"/>
  <c r="O26" i="18"/>
  <c r="P26" i="18"/>
  <c r="Q26" i="18"/>
  <c r="R26" i="18"/>
  <c r="S26" i="18"/>
  <c r="T26" i="18"/>
  <c r="U26" i="18"/>
  <c r="V26" i="18"/>
  <c r="W26" i="18"/>
  <c r="X26" i="18"/>
  <c r="Y26" i="18"/>
  <c r="Z26" i="18"/>
  <c r="AA26" i="18"/>
  <c r="AB26" i="18"/>
  <c r="AC26" i="18"/>
  <c r="AD26" i="18"/>
  <c r="AE26" i="18"/>
  <c r="AF26" i="18"/>
  <c r="AG26" i="18"/>
  <c r="AH26" i="18"/>
  <c r="AI26" i="18"/>
  <c r="AJ26" i="18"/>
  <c r="AK26" i="18"/>
  <c r="AL26" i="18"/>
  <c r="AM26" i="18"/>
  <c r="AN26" i="18"/>
  <c r="AO26" i="18"/>
  <c r="AP26" i="18"/>
  <c r="AQ26" i="18"/>
  <c r="AR26" i="18"/>
  <c r="AS26" i="18"/>
  <c r="AT26" i="18"/>
  <c r="AU26" i="18"/>
  <c r="AV26" i="18"/>
  <c r="AW26" i="18"/>
  <c r="AX26" i="18"/>
  <c r="AY26" i="18"/>
  <c r="AZ26" i="18"/>
  <c r="BA26" i="18"/>
  <c r="BB26" i="18"/>
  <c r="BC26" i="18"/>
  <c r="BD26" i="18"/>
  <c r="BE26" i="18"/>
  <c r="BF26" i="18"/>
  <c r="BG26" i="18"/>
  <c r="BH26" i="18"/>
  <c r="BI26" i="18"/>
  <c r="BJ26" i="18"/>
  <c r="BK26" i="18"/>
  <c r="BL26" i="18"/>
  <c r="BM26" i="18"/>
  <c r="BN26" i="18"/>
  <c r="BO26" i="18"/>
  <c r="BP26" i="18"/>
  <c r="BQ26" i="18"/>
  <c r="BR26" i="18"/>
  <c r="BS26" i="18"/>
  <c r="BT26" i="18"/>
  <c r="B27" i="18"/>
  <c r="C27" i="18"/>
  <c r="D27" i="18"/>
  <c r="E27" i="18"/>
  <c r="F27" i="18"/>
  <c r="G27" i="18"/>
  <c r="H27" i="18"/>
  <c r="I27" i="18"/>
  <c r="J27" i="18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28" i="18"/>
  <c r="C28" i="18"/>
  <c r="D28" i="18"/>
  <c r="E28" i="18"/>
  <c r="F28" i="18"/>
  <c r="G28" i="18"/>
  <c r="H28" i="18"/>
  <c r="I28" i="18"/>
  <c r="J28" i="18"/>
  <c r="K28" i="18"/>
  <c r="L28" i="18"/>
  <c r="M28" i="18"/>
  <c r="N28" i="18"/>
  <c r="O28" i="18"/>
  <c r="P28" i="18"/>
  <c r="Q28" i="18"/>
  <c r="R28" i="18"/>
  <c r="S28" i="18"/>
  <c r="T28" i="18"/>
  <c r="U28" i="18"/>
  <c r="V28" i="18"/>
  <c r="W28" i="18"/>
  <c r="X28" i="18"/>
  <c r="Y28" i="18"/>
  <c r="Z28" i="18"/>
  <c r="AA28" i="18"/>
  <c r="AB28" i="18"/>
  <c r="AC28" i="18"/>
  <c r="AD28" i="18"/>
  <c r="AE28" i="18"/>
  <c r="AF28" i="18"/>
  <c r="AG28" i="18"/>
  <c r="AH28" i="18"/>
  <c r="AI28" i="18"/>
  <c r="AJ28" i="18"/>
  <c r="AK28" i="18"/>
  <c r="AL28" i="18"/>
  <c r="AM28" i="18"/>
  <c r="AN28" i="18"/>
  <c r="AO28" i="18"/>
  <c r="AP28" i="18"/>
  <c r="AQ28" i="18"/>
  <c r="AR28" i="18"/>
  <c r="AS28" i="18"/>
  <c r="AT28" i="18"/>
  <c r="AU28" i="18"/>
  <c r="AV28" i="18"/>
  <c r="AW28" i="18"/>
  <c r="AX28" i="18"/>
  <c r="AY28" i="18"/>
  <c r="AZ28" i="18"/>
  <c r="BA28" i="18"/>
  <c r="BB28" i="18"/>
  <c r="BC28" i="18"/>
  <c r="BD28" i="18"/>
  <c r="BE28" i="18"/>
  <c r="BF28" i="18"/>
  <c r="BG28" i="18"/>
  <c r="BH28" i="18"/>
  <c r="BI28" i="18"/>
  <c r="BJ28" i="18"/>
  <c r="BK28" i="18"/>
  <c r="BL28" i="18"/>
  <c r="BM28" i="18"/>
  <c r="BN28" i="18"/>
  <c r="BO28" i="18"/>
  <c r="BP28" i="18"/>
  <c r="BQ28" i="18"/>
  <c r="BR28" i="18"/>
  <c r="BS28" i="18"/>
  <c r="BT28" i="18"/>
  <c r="B29" i="18"/>
  <c r="C29" i="18"/>
  <c r="D29" i="18"/>
  <c r="E29" i="18"/>
  <c r="F29" i="18"/>
  <c r="G29" i="18"/>
  <c r="H29" i="18"/>
  <c r="I29" i="18"/>
  <c r="J29" i="18"/>
  <c r="K29" i="18"/>
  <c r="L29" i="18"/>
  <c r="M29" i="18"/>
  <c r="N29" i="18"/>
  <c r="O29" i="18"/>
  <c r="P29" i="18"/>
  <c r="Q29" i="18"/>
  <c r="R29" i="18"/>
  <c r="S29" i="18"/>
  <c r="T29" i="18"/>
  <c r="U29" i="18"/>
  <c r="V29" i="18"/>
  <c r="W29" i="18"/>
  <c r="X29" i="18"/>
  <c r="Y29" i="18"/>
  <c r="Z29" i="18"/>
  <c r="AA29" i="18"/>
  <c r="AB29" i="18"/>
  <c r="AC29" i="18"/>
  <c r="AD29" i="18"/>
  <c r="AE29" i="18"/>
  <c r="AF29" i="18"/>
  <c r="AG29" i="18"/>
  <c r="AH29" i="18"/>
  <c r="AI29" i="18"/>
  <c r="AJ29" i="18"/>
  <c r="AK29" i="18"/>
  <c r="AL29" i="18"/>
  <c r="AM29" i="18"/>
  <c r="AN29" i="18"/>
  <c r="AO29" i="18"/>
  <c r="AP29" i="18"/>
  <c r="AQ29" i="18"/>
  <c r="AR29" i="18"/>
  <c r="AS29" i="18"/>
  <c r="AT29" i="18"/>
  <c r="AU29" i="18"/>
  <c r="AV29" i="18"/>
  <c r="AW29" i="18"/>
  <c r="AX29" i="18"/>
  <c r="AY29" i="18"/>
  <c r="AZ29" i="18"/>
  <c r="BA29" i="18"/>
  <c r="BB29" i="18"/>
  <c r="BC29" i="18"/>
  <c r="BD29" i="18"/>
  <c r="BE29" i="18"/>
  <c r="BF29" i="18"/>
  <c r="BG29" i="18"/>
  <c r="BH29" i="18"/>
  <c r="BI29" i="18"/>
  <c r="BJ29" i="18"/>
  <c r="BK29" i="18"/>
  <c r="BL29" i="18"/>
  <c r="BM29" i="18"/>
  <c r="BN29" i="18"/>
  <c r="BO29" i="18"/>
  <c r="BP29" i="18"/>
  <c r="BQ29" i="18"/>
  <c r="BR29" i="18"/>
  <c r="BS29" i="18"/>
  <c r="BT29" i="18"/>
  <c r="B30" i="18"/>
  <c r="C30" i="18"/>
  <c r="D30" i="18"/>
  <c r="E30" i="18"/>
  <c r="F30" i="18"/>
  <c r="G30" i="18"/>
  <c r="H30" i="18"/>
  <c r="I30" i="18"/>
  <c r="J30" i="18"/>
  <c r="K30" i="18"/>
  <c r="L30" i="18"/>
  <c r="M30" i="18"/>
  <c r="N30" i="18"/>
  <c r="O30" i="18"/>
  <c r="P30" i="18"/>
  <c r="Q30" i="18"/>
  <c r="R30" i="18"/>
  <c r="S30" i="18"/>
  <c r="T30" i="18"/>
  <c r="U30" i="18"/>
  <c r="V30" i="18"/>
  <c r="W30" i="18"/>
  <c r="X30" i="18"/>
  <c r="Y30" i="18"/>
  <c r="Z30" i="18"/>
  <c r="AA30" i="18"/>
  <c r="AB30" i="18"/>
  <c r="AC30" i="18"/>
  <c r="AD30" i="18"/>
  <c r="AE30" i="18"/>
  <c r="AF30" i="18"/>
  <c r="AG30" i="18"/>
  <c r="AH30" i="18"/>
  <c r="AI30" i="18"/>
  <c r="AJ30" i="18"/>
  <c r="AK30" i="18"/>
  <c r="AL30" i="18"/>
  <c r="AM30" i="18"/>
  <c r="AN30" i="18"/>
  <c r="AO30" i="18"/>
  <c r="AP30" i="18"/>
  <c r="AQ30" i="18"/>
  <c r="AR30" i="18"/>
  <c r="AS30" i="18"/>
  <c r="AT30" i="18"/>
  <c r="AU30" i="18"/>
  <c r="AV30" i="18"/>
  <c r="AW30" i="18"/>
  <c r="AX30" i="18"/>
  <c r="AY30" i="18"/>
  <c r="AZ30" i="18"/>
  <c r="BA30" i="18"/>
  <c r="BB30" i="18"/>
  <c r="BC30" i="18"/>
  <c r="BD30" i="18"/>
  <c r="BE30" i="18"/>
  <c r="BF30" i="18"/>
  <c r="BG30" i="18"/>
  <c r="BH30" i="18"/>
  <c r="BI30" i="18"/>
  <c r="BJ30" i="18"/>
  <c r="BK30" i="18"/>
  <c r="BL30" i="18"/>
  <c r="BM30" i="18"/>
  <c r="BN30" i="18"/>
  <c r="BO30" i="18"/>
  <c r="BP30" i="18"/>
  <c r="BQ30" i="18"/>
  <c r="BR30" i="18"/>
  <c r="BS30" i="18"/>
  <c r="BT30" i="18"/>
  <c r="B31" i="18"/>
  <c r="C31" i="18"/>
  <c r="D31" i="18"/>
  <c r="E31" i="18"/>
  <c r="F31" i="18"/>
  <c r="G31" i="18"/>
  <c r="H31" i="18"/>
  <c r="I31" i="18"/>
  <c r="J31" i="18"/>
  <c r="K31" i="18"/>
  <c r="L31" i="18"/>
  <c r="M31" i="18"/>
  <c r="N31" i="18"/>
  <c r="O31" i="18"/>
  <c r="P31" i="18"/>
  <c r="Q31" i="18"/>
  <c r="R31" i="18"/>
  <c r="S31" i="18"/>
  <c r="T31" i="18"/>
  <c r="U31" i="18"/>
  <c r="V31" i="18"/>
  <c r="W31" i="18"/>
  <c r="X31" i="18"/>
  <c r="Y31" i="18"/>
  <c r="Z31" i="18"/>
  <c r="AA31" i="18"/>
  <c r="AB31" i="18"/>
  <c r="AC31" i="18"/>
  <c r="AD31" i="18"/>
  <c r="AE31" i="18"/>
  <c r="AF31" i="18"/>
  <c r="AG31" i="18"/>
  <c r="AH31" i="18"/>
  <c r="AI31" i="18"/>
  <c r="AJ31" i="18"/>
  <c r="AK31" i="18"/>
  <c r="AL31" i="18"/>
  <c r="AM31" i="18"/>
  <c r="AN31" i="18"/>
  <c r="AO31" i="18"/>
  <c r="AP31" i="18"/>
  <c r="AQ31" i="18"/>
  <c r="AR31" i="18"/>
  <c r="AS31" i="18"/>
  <c r="AT31" i="18"/>
  <c r="AU31" i="18"/>
  <c r="AV31" i="18"/>
  <c r="AW31" i="18"/>
  <c r="AX31" i="18"/>
  <c r="AY31" i="18"/>
  <c r="AZ31" i="18"/>
  <c r="BA31" i="18"/>
  <c r="BB31" i="18"/>
  <c r="BC31" i="18"/>
  <c r="BD31" i="18"/>
  <c r="BE31" i="18"/>
  <c r="BF31" i="18"/>
  <c r="BG31" i="18"/>
  <c r="BH31" i="18"/>
  <c r="BI31" i="18"/>
  <c r="BJ31" i="18"/>
  <c r="BK31" i="18"/>
  <c r="BL31" i="18"/>
  <c r="BM31" i="18"/>
  <c r="BN31" i="18"/>
  <c r="BO31" i="18"/>
  <c r="BP31" i="18"/>
  <c r="BQ31" i="18"/>
  <c r="BR31" i="18"/>
  <c r="BS31" i="18"/>
  <c r="BT31" i="18"/>
  <c r="B32" i="18"/>
  <c r="C32" i="18"/>
  <c r="D32" i="18"/>
  <c r="E32" i="18"/>
  <c r="F32" i="18"/>
  <c r="G32" i="18"/>
  <c r="H32" i="18"/>
  <c r="I32" i="18"/>
  <c r="J32" i="18"/>
  <c r="K32" i="18"/>
  <c r="L32" i="18"/>
  <c r="M32" i="18"/>
  <c r="N32" i="18"/>
  <c r="O32" i="18"/>
  <c r="P32" i="18"/>
  <c r="Q32" i="18"/>
  <c r="R32" i="18"/>
  <c r="S32" i="18"/>
  <c r="T32" i="18"/>
  <c r="U32" i="18"/>
  <c r="V32" i="18"/>
  <c r="W32" i="18"/>
  <c r="X32" i="18"/>
  <c r="Y32" i="18"/>
  <c r="Z32" i="18"/>
  <c r="AA32" i="18"/>
  <c r="AB32" i="18"/>
  <c r="AC32" i="18"/>
  <c r="AD32" i="18"/>
  <c r="AE32" i="18"/>
  <c r="AF32" i="18"/>
  <c r="AG32" i="18"/>
  <c r="AH32" i="18"/>
  <c r="AI32" i="18"/>
  <c r="AJ32" i="18"/>
  <c r="AK32" i="18"/>
  <c r="AL32" i="18"/>
  <c r="AM32" i="18"/>
  <c r="AN32" i="18"/>
  <c r="AO32" i="18"/>
  <c r="AP32" i="18"/>
  <c r="AQ32" i="18"/>
  <c r="AR32" i="18"/>
  <c r="AS32" i="18"/>
  <c r="AT32" i="18"/>
  <c r="AU32" i="18"/>
  <c r="AV32" i="18"/>
  <c r="AW32" i="18"/>
  <c r="AX32" i="18"/>
  <c r="AY32" i="18"/>
  <c r="AZ32" i="18"/>
  <c r="BA32" i="18"/>
  <c r="BB32" i="18"/>
  <c r="BC32" i="18"/>
  <c r="BD32" i="18"/>
  <c r="BE32" i="18"/>
  <c r="BF32" i="18"/>
  <c r="BG32" i="18"/>
  <c r="BH32" i="18"/>
  <c r="BI32" i="18"/>
  <c r="BJ32" i="18"/>
  <c r="BK32" i="18"/>
  <c r="BL32" i="18"/>
  <c r="BM32" i="18"/>
  <c r="BN32" i="18"/>
  <c r="BO32" i="18"/>
  <c r="BP32" i="18"/>
  <c r="BQ32" i="18"/>
  <c r="BR32" i="18"/>
  <c r="BS32" i="18"/>
  <c r="BT32" i="18"/>
  <c r="B33" i="18"/>
  <c r="C33" i="18"/>
  <c r="D33" i="18"/>
  <c r="E33" i="18"/>
  <c r="F33" i="18"/>
  <c r="G33" i="18"/>
  <c r="H33" i="18"/>
  <c r="I33" i="18"/>
  <c r="J33" i="18"/>
  <c r="K33" i="18"/>
  <c r="L33" i="18"/>
  <c r="M33" i="18"/>
  <c r="N33" i="18"/>
  <c r="O33" i="18"/>
  <c r="P33" i="18"/>
  <c r="Q33" i="18"/>
  <c r="R33" i="18"/>
  <c r="S33" i="18"/>
  <c r="T33" i="18"/>
  <c r="U33" i="18"/>
  <c r="V33" i="18"/>
  <c r="W33" i="18"/>
  <c r="X33" i="18"/>
  <c r="Y33" i="18"/>
  <c r="Z33" i="18"/>
  <c r="AA33" i="18"/>
  <c r="AB33" i="18"/>
  <c r="AC33" i="18"/>
  <c r="AD33" i="18"/>
  <c r="AE33" i="18"/>
  <c r="AF33" i="18"/>
  <c r="AG33" i="18"/>
  <c r="AH33" i="18"/>
  <c r="AI33" i="18"/>
  <c r="AJ33" i="18"/>
  <c r="AK33" i="18"/>
  <c r="AL33" i="18"/>
  <c r="AM33" i="18"/>
  <c r="AN33" i="18"/>
  <c r="AO33" i="18"/>
  <c r="AP33" i="18"/>
  <c r="AQ33" i="18"/>
  <c r="AR33" i="18"/>
  <c r="AS33" i="18"/>
  <c r="AT33" i="18"/>
  <c r="AU33" i="18"/>
  <c r="AV33" i="18"/>
  <c r="AW33" i="18"/>
  <c r="AX33" i="18"/>
  <c r="AY33" i="18"/>
  <c r="AZ33" i="18"/>
  <c r="BA33" i="18"/>
  <c r="BB33" i="18"/>
  <c r="BC33" i="18"/>
  <c r="BD33" i="18"/>
  <c r="BE33" i="18"/>
  <c r="BF33" i="18"/>
  <c r="BG33" i="18"/>
  <c r="BH33" i="18"/>
  <c r="BI33" i="18"/>
  <c r="BJ33" i="18"/>
  <c r="BK33" i="18"/>
  <c r="BL33" i="18"/>
  <c r="BM33" i="18"/>
  <c r="BN33" i="18"/>
  <c r="BO33" i="18"/>
  <c r="BP33" i="18"/>
  <c r="BQ33" i="18"/>
  <c r="BR33" i="18"/>
  <c r="BS33" i="18"/>
  <c r="BT33" i="18"/>
  <c r="B34" i="18"/>
  <c r="C34" i="18"/>
  <c r="D34" i="18"/>
  <c r="E34" i="18"/>
  <c r="F34" i="18"/>
  <c r="G34" i="18"/>
  <c r="H34" i="18"/>
  <c r="I34" i="18"/>
  <c r="J34" i="18"/>
  <c r="K34" i="18"/>
  <c r="L34" i="18"/>
  <c r="M34" i="18"/>
  <c r="N34" i="18"/>
  <c r="O34" i="18"/>
  <c r="P34" i="18"/>
  <c r="Q34" i="18"/>
  <c r="R34" i="18"/>
  <c r="S34" i="18"/>
  <c r="T34" i="18"/>
  <c r="U34" i="18"/>
  <c r="V34" i="18"/>
  <c r="W34" i="18"/>
  <c r="X34" i="18"/>
  <c r="Y34" i="18"/>
  <c r="Z34" i="18"/>
  <c r="AA34" i="18"/>
  <c r="AB34" i="18"/>
  <c r="AC34" i="18"/>
  <c r="AD34" i="18"/>
  <c r="AE34" i="18"/>
  <c r="AF34" i="18"/>
  <c r="AG34" i="18"/>
  <c r="AH34" i="18"/>
  <c r="AI34" i="18"/>
  <c r="AJ34" i="18"/>
  <c r="AK34" i="18"/>
  <c r="AL34" i="18"/>
  <c r="AM34" i="18"/>
  <c r="AN34" i="18"/>
  <c r="AO34" i="18"/>
  <c r="AP34" i="18"/>
  <c r="AQ34" i="18"/>
  <c r="AR34" i="18"/>
  <c r="AS34" i="18"/>
  <c r="AT34" i="18"/>
  <c r="AU34" i="18"/>
  <c r="AV34" i="18"/>
  <c r="AW34" i="18"/>
  <c r="AX34" i="18"/>
  <c r="AY34" i="18"/>
  <c r="AZ34" i="18"/>
  <c r="BA34" i="18"/>
  <c r="BB34" i="18"/>
  <c r="BC34" i="18"/>
  <c r="BD34" i="18"/>
  <c r="BE34" i="18"/>
  <c r="BF34" i="18"/>
  <c r="BG34" i="18"/>
  <c r="BH34" i="18"/>
  <c r="BI34" i="18"/>
  <c r="BJ34" i="18"/>
  <c r="BK34" i="18"/>
  <c r="BL34" i="18"/>
  <c r="BM34" i="18"/>
  <c r="BN34" i="18"/>
  <c r="BO34" i="18"/>
  <c r="BP34" i="18"/>
  <c r="BQ34" i="18"/>
  <c r="BR34" i="18"/>
  <c r="BS34" i="18"/>
  <c r="BT34" i="18"/>
  <c r="B35" i="18"/>
  <c r="C35" i="18"/>
  <c r="D35" i="18"/>
  <c r="E35" i="18"/>
  <c r="F35" i="18"/>
  <c r="G35" i="18"/>
  <c r="H35" i="18"/>
  <c r="I35" i="18"/>
  <c r="J35" i="18"/>
  <c r="K35" i="18"/>
  <c r="L35" i="18"/>
  <c r="M35" i="18"/>
  <c r="N35" i="18"/>
  <c r="O35" i="18"/>
  <c r="P35" i="18"/>
  <c r="Q35" i="18"/>
  <c r="R35" i="18"/>
  <c r="S35" i="18"/>
  <c r="T35" i="18"/>
  <c r="U35" i="18"/>
  <c r="V35" i="18"/>
  <c r="W35" i="18"/>
  <c r="X35" i="18"/>
  <c r="Y35" i="18"/>
  <c r="Z35" i="18"/>
  <c r="AA35" i="18"/>
  <c r="AB35" i="18"/>
  <c r="AC35" i="18"/>
  <c r="AD35" i="18"/>
  <c r="AE35" i="18"/>
  <c r="AF35" i="18"/>
  <c r="AG35" i="18"/>
  <c r="AH35" i="18"/>
  <c r="AI35" i="18"/>
  <c r="AJ35" i="18"/>
  <c r="AK35" i="18"/>
  <c r="AL35" i="18"/>
  <c r="AM35" i="18"/>
  <c r="AN35" i="18"/>
  <c r="AO35" i="18"/>
  <c r="AP35" i="18"/>
  <c r="AQ35" i="18"/>
  <c r="AR35" i="18"/>
  <c r="AS35" i="18"/>
  <c r="AT35" i="18"/>
  <c r="AU35" i="18"/>
  <c r="AV35" i="18"/>
  <c r="AW35" i="18"/>
  <c r="AX35" i="18"/>
  <c r="AY35" i="18"/>
  <c r="AZ35" i="18"/>
  <c r="BA35" i="18"/>
  <c r="BB35" i="18"/>
  <c r="BC35" i="18"/>
  <c r="BD35" i="18"/>
  <c r="BE35" i="18"/>
  <c r="BF35" i="18"/>
  <c r="BG35" i="18"/>
  <c r="BH35" i="18"/>
  <c r="BI35" i="18"/>
  <c r="BJ35" i="18"/>
  <c r="BK35" i="18"/>
  <c r="BL35" i="18"/>
  <c r="BM35" i="18"/>
  <c r="BN35" i="18"/>
  <c r="BO35" i="18"/>
  <c r="BP35" i="18"/>
  <c r="BQ35" i="18"/>
  <c r="BR35" i="18"/>
  <c r="BS35" i="18"/>
  <c r="BT35" i="18"/>
  <c r="B36" i="18"/>
  <c r="C36" i="18"/>
  <c r="D36" i="18"/>
  <c r="E36" i="18"/>
  <c r="F36" i="18"/>
  <c r="G36" i="18"/>
  <c r="H36" i="18"/>
  <c r="I36" i="18"/>
  <c r="J36" i="18"/>
  <c r="K36" i="18"/>
  <c r="L36" i="18"/>
  <c r="M36" i="18"/>
  <c r="N36" i="18"/>
  <c r="O36" i="18"/>
  <c r="P36" i="18"/>
  <c r="Q36" i="18"/>
  <c r="R36" i="18"/>
  <c r="S36" i="18"/>
  <c r="T36" i="18"/>
  <c r="U36" i="18"/>
  <c r="V36" i="18"/>
  <c r="W36" i="18"/>
  <c r="X36" i="18"/>
  <c r="Y36" i="18"/>
  <c r="Z36" i="18"/>
  <c r="AA36" i="18"/>
  <c r="AB36" i="18"/>
  <c r="AC36" i="18"/>
  <c r="AD36" i="18"/>
  <c r="AE36" i="18"/>
  <c r="AF36" i="18"/>
  <c r="AG36" i="18"/>
  <c r="AH36" i="18"/>
  <c r="AI36" i="18"/>
  <c r="AJ36" i="18"/>
  <c r="AK36" i="18"/>
  <c r="AL36" i="18"/>
  <c r="AM36" i="18"/>
  <c r="AN36" i="18"/>
  <c r="AO36" i="18"/>
  <c r="AP36" i="18"/>
  <c r="AQ36" i="18"/>
  <c r="AR36" i="18"/>
  <c r="AS36" i="18"/>
  <c r="AT36" i="18"/>
  <c r="AU36" i="18"/>
  <c r="AV36" i="18"/>
  <c r="AW36" i="18"/>
  <c r="AX36" i="18"/>
  <c r="AY36" i="18"/>
  <c r="AZ36" i="18"/>
  <c r="BA36" i="18"/>
  <c r="BB36" i="18"/>
  <c r="BC36" i="18"/>
  <c r="BD36" i="18"/>
  <c r="BE36" i="18"/>
  <c r="BF36" i="18"/>
  <c r="BG36" i="18"/>
  <c r="BH36" i="18"/>
  <c r="BI36" i="18"/>
  <c r="BJ36" i="18"/>
  <c r="BK36" i="18"/>
  <c r="BL36" i="18"/>
  <c r="BM36" i="18"/>
  <c r="BN36" i="18"/>
  <c r="BO36" i="18"/>
  <c r="BP36" i="18"/>
  <c r="BQ36" i="18"/>
  <c r="BR36" i="18"/>
  <c r="BS36" i="18"/>
  <c r="BT36" i="18"/>
  <c r="B37" i="18"/>
  <c r="C37" i="18"/>
  <c r="D37" i="18"/>
  <c r="E37" i="18"/>
  <c r="F37" i="18"/>
  <c r="G37" i="18"/>
  <c r="H37" i="18"/>
  <c r="I37" i="18"/>
  <c r="J37" i="18"/>
  <c r="K37" i="18"/>
  <c r="L37" i="18"/>
  <c r="M37" i="18"/>
  <c r="N37" i="18"/>
  <c r="O37" i="18"/>
  <c r="P37" i="18"/>
  <c r="Q37" i="18"/>
  <c r="R37" i="18"/>
  <c r="S37" i="18"/>
  <c r="T37" i="18"/>
  <c r="U37" i="18"/>
  <c r="V37" i="18"/>
  <c r="W37" i="18"/>
  <c r="X37" i="18"/>
  <c r="Y37" i="18"/>
  <c r="Z37" i="18"/>
  <c r="AA37" i="18"/>
  <c r="AB37" i="18"/>
  <c r="AC37" i="18"/>
  <c r="AD37" i="18"/>
  <c r="AE37" i="18"/>
  <c r="AF37" i="18"/>
  <c r="AG37" i="18"/>
  <c r="AH37" i="18"/>
  <c r="AI37" i="18"/>
  <c r="AJ37" i="18"/>
  <c r="AK37" i="18"/>
  <c r="AL37" i="18"/>
  <c r="AM37" i="18"/>
  <c r="AN37" i="18"/>
  <c r="AO37" i="18"/>
  <c r="AP37" i="18"/>
  <c r="AQ37" i="18"/>
  <c r="AR37" i="18"/>
  <c r="AS37" i="18"/>
  <c r="AT37" i="18"/>
  <c r="AU37" i="18"/>
  <c r="AV37" i="18"/>
  <c r="AW37" i="18"/>
  <c r="AX37" i="18"/>
  <c r="AY37" i="18"/>
  <c r="AZ37" i="18"/>
  <c r="BA37" i="18"/>
  <c r="BB37" i="18"/>
  <c r="BC37" i="18"/>
  <c r="BD37" i="18"/>
  <c r="BE37" i="18"/>
  <c r="BF37" i="18"/>
  <c r="BG37" i="18"/>
  <c r="BH37" i="18"/>
  <c r="BI37" i="18"/>
  <c r="BJ37" i="18"/>
  <c r="BK37" i="18"/>
  <c r="BL37" i="18"/>
  <c r="BM37" i="18"/>
  <c r="BN37" i="18"/>
  <c r="BO37" i="18"/>
  <c r="BP37" i="18"/>
  <c r="BQ37" i="18"/>
  <c r="BR37" i="18"/>
  <c r="BS37" i="18"/>
  <c r="BT37" i="18"/>
  <c r="B38" i="18"/>
  <c r="C38" i="18"/>
  <c r="D38" i="18"/>
  <c r="E38" i="18"/>
  <c r="F38" i="18"/>
  <c r="G38" i="18"/>
  <c r="H38" i="18"/>
  <c r="I38" i="18"/>
  <c r="J38" i="18"/>
  <c r="K38" i="18"/>
  <c r="L38" i="18"/>
  <c r="M38" i="18"/>
  <c r="N38" i="18"/>
  <c r="O38" i="18"/>
  <c r="P38" i="18"/>
  <c r="Q38" i="18"/>
  <c r="R38" i="18"/>
  <c r="S38" i="18"/>
  <c r="T38" i="18"/>
  <c r="U38" i="18"/>
  <c r="V38" i="18"/>
  <c r="W38" i="18"/>
  <c r="X38" i="18"/>
  <c r="Y38" i="18"/>
  <c r="Z38" i="18"/>
  <c r="AA38" i="18"/>
  <c r="AB38" i="18"/>
  <c r="AC38" i="18"/>
  <c r="AD38" i="18"/>
  <c r="AE38" i="18"/>
  <c r="AF38" i="18"/>
  <c r="AG38" i="18"/>
  <c r="AH38" i="18"/>
  <c r="AI38" i="18"/>
  <c r="AJ38" i="18"/>
  <c r="AK38" i="18"/>
  <c r="AL38" i="18"/>
  <c r="AM38" i="18"/>
  <c r="AN38" i="18"/>
  <c r="AO38" i="18"/>
  <c r="AP38" i="18"/>
  <c r="AQ38" i="18"/>
  <c r="AR38" i="18"/>
  <c r="AS38" i="18"/>
  <c r="AT38" i="18"/>
  <c r="AU38" i="18"/>
  <c r="AV38" i="18"/>
  <c r="AW38" i="18"/>
  <c r="AX38" i="18"/>
  <c r="AY38" i="18"/>
  <c r="AZ38" i="18"/>
  <c r="BA38" i="18"/>
  <c r="BB38" i="18"/>
  <c r="BC38" i="18"/>
  <c r="BD38" i="18"/>
  <c r="BE38" i="18"/>
  <c r="BF38" i="18"/>
  <c r="BG38" i="18"/>
  <c r="BH38" i="18"/>
  <c r="BI38" i="18"/>
  <c r="BJ38" i="18"/>
  <c r="BK38" i="18"/>
  <c r="BL38" i="18"/>
  <c r="BM38" i="18"/>
  <c r="BN38" i="18"/>
  <c r="BO38" i="18"/>
  <c r="BP38" i="18"/>
  <c r="BQ38" i="18"/>
  <c r="BR38" i="18"/>
  <c r="BS38" i="18"/>
  <c r="BT38" i="18"/>
  <c r="B39" i="18"/>
  <c r="C39" i="18"/>
  <c r="D39" i="18"/>
  <c r="E39" i="18"/>
  <c r="F39" i="18"/>
  <c r="G39" i="18"/>
  <c r="H39" i="18"/>
  <c r="I39" i="18"/>
  <c r="J39" i="18"/>
  <c r="K39" i="18"/>
  <c r="L39" i="18"/>
  <c r="M39" i="18"/>
  <c r="N39" i="18"/>
  <c r="O39" i="18"/>
  <c r="P39" i="18"/>
  <c r="Q39" i="18"/>
  <c r="R39" i="18"/>
  <c r="S39" i="18"/>
  <c r="T39" i="18"/>
  <c r="U39" i="18"/>
  <c r="V39" i="18"/>
  <c r="W39" i="18"/>
  <c r="X39" i="18"/>
  <c r="Y39" i="18"/>
  <c r="Z39" i="18"/>
  <c r="AA39" i="18"/>
  <c r="AB39" i="18"/>
  <c r="AC39" i="18"/>
  <c r="AD39" i="18"/>
  <c r="AE39" i="18"/>
  <c r="AF39" i="18"/>
  <c r="AG39" i="18"/>
  <c r="AH39" i="18"/>
  <c r="AI39" i="18"/>
  <c r="AJ39" i="18"/>
  <c r="AK39" i="18"/>
  <c r="AL39" i="18"/>
  <c r="AM39" i="18"/>
  <c r="AN39" i="18"/>
  <c r="AO39" i="18"/>
  <c r="AP39" i="18"/>
  <c r="AQ39" i="18"/>
  <c r="AR39" i="18"/>
  <c r="AS39" i="18"/>
  <c r="AT39" i="18"/>
  <c r="AU39" i="18"/>
  <c r="AV39" i="18"/>
  <c r="AW39" i="18"/>
  <c r="AX39" i="18"/>
  <c r="AY39" i="18"/>
  <c r="AZ39" i="18"/>
  <c r="BA39" i="18"/>
  <c r="BB39" i="18"/>
  <c r="BC39" i="18"/>
  <c r="BD39" i="18"/>
  <c r="BE39" i="18"/>
  <c r="BF39" i="18"/>
  <c r="BG39" i="18"/>
  <c r="BH39" i="18"/>
  <c r="BI39" i="18"/>
  <c r="BJ39" i="18"/>
  <c r="BK39" i="18"/>
  <c r="BL39" i="18"/>
  <c r="BM39" i="18"/>
  <c r="BN39" i="18"/>
  <c r="BO39" i="18"/>
  <c r="BP39" i="18"/>
  <c r="BQ39" i="18"/>
  <c r="BR39" i="18"/>
  <c r="BS39" i="18"/>
  <c r="BT39" i="18"/>
  <c r="B40" i="18"/>
  <c r="C40" i="18"/>
  <c r="D40" i="18"/>
  <c r="E40" i="18"/>
  <c r="F40" i="18"/>
  <c r="G40" i="18"/>
  <c r="H40" i="18"/>
  <c r="I40" i="18"/>
  <c r="J40" i="18"/>
  <c r="K40" i="18"/>
  <c r="L40" i="18"/>
  <c r="M40" i="18"/>
  <c r="N40" i="18"/>
  <c r="O40" i="18"/>
  <c r="P40" i="18"/>
  <c r="Q40" i="18"/>
  <c r="R40" i="18"/>
  <c r="S40" i="18"/>
  <c r="T40" i="18"/>
  <c r="U40" i="18"/>
  <c r="V40" i="18"/>
  <c r="W40" i="18"/>
  <c r="X40" i="18"/>
  <c r="Y40" i="18"/>
  <c r="Z40" i="18"/>
  <c r="AA40" i="18"/>
  <c r="AB40" i="18"/>
  <c r="AC40" i="18"/>
  <c r="AD40" i="18"/>
  <c r="AE40" i="18"/>
  <c r="AF40" i="18"/>
  <c r="AG40" i="18"/>
  <c r="AH40" i="18"/>
  <c r="AI40" i="18"/>
  <c r="AJ40" i="18"/>
  <c r="AK40" i="18"/>
  <c r="AL40" i="18"/>
  <c r="AM40" i="18"/>
  <c r="AN40" i="18"/>
  <c r="AO40" i="18"/>
  <c r="AP40" i="18"/>
  <c r="AQ40" i="18"/>
  <c r="AR40" i="18"/>
  <c r="AS40" i="18"/>
  <c r="AT40" i="18"/>
  <c r="AU40" i="18"/>
  <c r="AV40" i="18"/>
  <c r="AW40" i="18"/>
  <c r="AX40" i="18"/>
  <c r="AY40" i="18"/>
  <c r="AZ40" i="18"/>
  <c r="BA40" i="18"/>
  <c r="BB40" i="18"/>
  <c r="BC40" i="18"/>
  <c r="BD40" i="18"/>
  <c r="BE40" i="18"/>
  <c r="BF40" i="18"/>
  <c r="BG40" i="18"/>
  <c r="BH40" i="18"/>
  <c r="BI40" i="18"/>
  <c r="BJ40" i="18"/>
  <c r="BK40" i="18"/>
  <c r="BL40" i="18"/>
  <c r="BM40" i="18"/>
  <c r="BN40" i="18"/>
  <c r="BO40" i="18"/>
  <c r="BP40" i="18"/>
  <c r="BQ40" i="18"/>
  <c r="BR40" i="18"/>
  <c r="BS40" i="18"/>
  <c r="BT40" i="18"/>
  <c r="B41" i="18"/>
  <c r="C41" i="18"/>
  <c r="D41" i="18"/>
  <c r="E41" i="18"/>
  <c r="F41" i="18"/>
  <c r="G41" i="18"/>
  <c r="H41" i="18"/>
  <c r="I41" i="18"/>
  <c r="J41" i="18"/>
  <c r="K41" i="18"/>
  <c r="L41" i="18"/>
  <c r="M41" i="18"/>
  <c r="N41" i="18"/>
  <c r="O41" i="18"/>
  <c r="P41" i="18"/>
  <c r="Q41" i="18"/>
  <c r="R41" i="18"/>
  <c r="S41" i="18"/>
  <c r="T41" i="18"/>
  <c r="U41" i="18"/>
  <c r="V41" i="18"/>
  <c r="W41" i="18"/>
  <c r="X41" i="18"/>
  <c r="Y41" i="18"/>
  <c r="Z41" i="18"/>
  <c r="AA41" i="18"/>
  <c r="AB41" i="18"/>
  <c r="AC41" i="18"/>
  <c r="AD41" i="18"/>
  <c r="AE41" i="18"/>
  <c r="AF41" i="18"/>
  <c r="AG41" i="18"/>
  <c r="AH41" i="18"/>
  <c r="AI41" i="18"/>
  <c r="AJ41" i="18"/>
  <c r="AK41" i="18"/>
  <c r="AL41" i="18"/>
  <c r="AM41" i="18"/>
  <c r="AN41" i="18"/>
  <c r="AO41" i="18"/>
  <c r="AP41" i="18"/>
  <c r="AQ41" i="18"/>
  <c r="AR41" i="18"/>
  <c r="AS41" i="18"/>
  <c r="AT41" i="18"/>
  <c r="AU41" i="18"/>
  <c r="AV41" i="18"/>
  <c r="AW41" i="18"/>
  <c r="AX41" i="18"/>
  <c r="AY41" i="18"/>
  <c r="AZ41" i="18"/>
  <c r="BA41" i="18"/>
  <c r="BB41" i="18"/>
  <c r="BC41" i="18"/>
  <c r="BD41" i="18"/>
  <c r="BE41" i="18"/>
  <c r="BF41" i="18"/>
  <c r="BG41" i="18"/>
  <c r="BH41" i="18"/>
  <c r="BI41" i="18"/>
  <c r="BJ41" i="18"/>
  <c r="BK41" i="18"/>
  <c r="BL41" i="18"/>
  <c r="BM41" i="18"/>
  <c r="BN41" i="18"/>
  <c r="BO41" i="18"/>
  <c r="BP41" i="18"/>
  <c r="BQ41" i="18"/>
  <c r="BR41" i="18"/>
  <c r="BS41" i="18"/>
  <c r="BT41" i="18"/>
  <c r="B42" i="18"/>
  <c r="C42" i="18"/>
  <c r="D42" i="18"/>
  <c r="E42" i="18"/>
  <c r="F42" i="18"/>
  <c r="G42" i="18"/>
  <c r="H42" i="18"/>
  <c r="I42" i="18"/>
  <c r="J42" i="18"/>
  <c r="K42" i="18"/>
  <c r="L42" i="18"/>
  <c r="M42" i="18"/>
  <c r="N42" i="18"/>
  <c r="O42" i="18"/>
  <c r="P42" i="18"/>
  <c r="Q42" i="18"/>
  <c r="R42" i="18"/>
  <c r="S42" i="18"/>
  <c r="T42" i="18"/>
  <c r="U42" i="18"/>
  <c r="V42" i="18"/>
  <c r="W42" i="18"/>
  <c r="X42" i="18"/>
  <c r="Y42" i="18"/>
  <c r="Z42" i="18"/>
  <c r="AA42" i="18"/>
  <c r="AB42" i="18"/>
  <c r="AC42" i="18"/>
  <c r="AD42" i="18"/>
  <c r="AE42" i="18"/>
  <c r="AF42" i="18"/>
  <c r="AG42" i="18"/>
  <c r="AH42" i="18"/>
  <c r="AI42" i="18"/>
  <c r="AJ42" i="18"/>
  <c r="AK42" i="18"/>
  <c r="AL42" i="18"/>
  <c r="AM42" i="18"/>
  <c r="AN42" i="18"/>
  <c r="AO42" i="18"/>
  <c r="AP42" i="18"/>
  <c r="AQ42" i="18"/>
  <c r="AR42" i="18"/>
  <c r="AS42" i="18"/>
  <c r="AT42" i="18"/>
  <c r="AU42" i="18"/>
  <c r="AV42" i="18"/>
  <c r="AW42" i="18"/>
  <c r="AX42" i="18"/>
  <c r="AY42" i="18"/>
  <c r="AZ42" i="18"/>
  <c r="BA42" i="18"/>
  <c r="BB42" i="18"/>
  <c r="BC42" i="18"/>
  <c r="BD42" i="18"/>
  <c r="BE42" i="18"/>
  <c r="BF42" i="18"/>
  <c r="BG42" i="18"/>
  <c r="BH42" i="18"/>
  <c r="BI42" i="18"/>
  <c r="BJ42" i="18"/>
  <c r="BK42" i="18"/>
  <c r="BL42" i="18"/>
  <c r="BM42" i="18"/>
  <c r="BN42" i="18"/>
  <c r="BO42" i="18"/>
  <c r="BP42" i="18"/>
  <c r="BQ42" i="18"/>
  <c r="BR42" i="18"/>
  <c r="BS42" i="18"/>
  <c r="BT42" i="18"/>
  <c r="B43" i="18"/>
  <c r="C43" i="18"/>
  <c r="D43" i="18"/>
  <c r="E43" i="18"/>
  <c r="F43" i="18"/>
  <c r="G43" i="18"/>
  <c r="H43" i="18"/>
  <c r="I43" i="18"/>
  <c r="J43" i="18"/>
  <c r="K43" i="18"/>
  <c r="L43" i="18"/>
  <c r="M43" i="18"/>
  <c r="N43" i="18"/>
  <c r="O43" i="18"/>
  <c r="P43" i="18"/>
  <c r="Q43" i="18"/>
  <c r="R43" i="18"/>
  <c r="S43" i="18"/>
  <c r="T43" i="18"/>
  <c r="U43" i="18"/>
  <c r="V43" i="18"/>
  <c r="W43" i="18"/>
  <c r="X43" i="18"/>
  <c r="Y43" i="18"/>
  <c r="Z43" i="18"/>
  <c r="AA43" i="18"/>
  <c r="AB43" i="18"/>
  <c r="AC43" i="18"/>
  <c r="AD43" i="18"/>
  <c r="AE43" i="18"/>
  <c r="AF43" i="18"/>
  <c r="AG43" i="18"/>
  <c r="AH43" i="18"/>
  <c r="AI43" i="18"/>
  <c r="AJ43" i="18"/>
  <c r="AK43" i="18"/>
  <c r="AL43" i="18"/>
  <c r="AM43" i="18"/>
  <c r="AN43" i="18"/>
  <c r="AO43" i="18"/>
  <c r="AP43" i="18"/>
  <c r="AQ43" i="18"/>
  <c r="AR43" i="18"/>
  <c r="AS43" i="18"/>
  <c r="AT43" i="18"/>
  <c r="AU43" i="18"/>
  <c r="AV43" i="18"/>
  <c r="AW43" i="18"/>
  <c r="AX43" i="18"/>
  <c r="AY43" i="18"/>
  <c r="AZ43" i="18"/>
  <c r="BA43" i="18"/>
  <c r="BB43" i="18"/>
  <c r="BC43" i="18"/>
  <c r="BD43" i="18"/>
  <c r="BE43" i="18"/>
  <c r="BF43" i="18"/>
  <c r="BG43" i="18"/>
  <c r="BH43" i="18"/>
  <c r="BI43" i="18"/>
  <c r="BJ43" i="18"/>
  <c r="BK43" i="18"/>
  <c r="BL43" i="18"/>
  <c r="BM43" i="18"/>
  <c r="BN43" i="18"/>
  <c r="BO43" i="18"/>
  <c r="BP43" i="18"/>
  <c r="BQ43" i="18"/>
  <c r="BR43" i="18"/>
  <c r="BS43" i="18"/>
  <c r="BT43" i="18"/>
  <c r="B44" i="18"/>
  <c r="C44" i="18"/>
  <c r="D44" i="18"/>
  <c r="E44" i="18"/>
  <c r="F44" i="18"/>
  <c r="G44" i="18"/>
  <c r="H44" i="18"/>
  <c r="I44" i="18"/>
  <c r="J44" i="18"/>
  <c r="K44" i="18"/>
  <c r="L44" i="18"/>
  <c r="M44" i="18"/>
  <c r="N44" i="18"/>
  <c r="O44" i="18"/>
  <c r="P44" i="18"/>
  <c r="Q44" i="18"/>
  <c r="R44" i="18"/>
  <c r="S44" i="18"/>
  <c r="T44" i="18"/>
  <c r="U44" i="18"/>
  <c r="V44" i="18"/>
  <c r="W44" i="18"/>
  <c r="X44" i="18"/>
  <c r="Y44" i="18"/>
  <c r="Z44" i="18"/>
  <c r="AA44" i="18"/>
  <c r="AB44" i="18"/>
  <c r="AC44" i="18"/>
  <c r="AD44" i="18"/>
  <c r="AE44" i="18"/>
  <c r="AF44" i="18"/>
  <c r="AG44" i="18"/>
  <c r="AH44" i="18"/>
  <c r="AI44" i="18"/>
  <c r="AJ44" i="18"/>
  <c r="AK44" i="18"/>
  <c r="AL44" i="18"/>
  <c r="AM44" i="18"/>
  <c r="AN44" i="18"/>
  <c r="AO44" i="18"/>
  <c r="AP44" i="18"/>
  <c r="AQ44" i="18"/>
  <c r="AR44" i="18"/>
  <c r="AS44" i="18"/>
  <c r="AT44" i="18"/>
  <c r="AU44" i="18"/>
  <c r="AV44" i="18"/>
  <c r="AW44" i="18"/>
  <c r="AX44" i="18"/>
  <c r="AY44" i="18"/>
  <c r="AZ44" i="18"/>
  <c r="BA44" i="18"/>
  <c r="BB44" i="18"/>
  <c r="BC44" i="18"/>
  <c r="BD44" i="18"/>
  <c r="BE44" i="18"/>
  <c r="BF44" i="18"/>
  <c r="BG44" i="18"/>
  <c r="BH44" i="18"/>
  <c r="BI44" i="18"/>
  <c r="BJ44" i="18"/>
  <c r="BK44" i="18"/>
  <c r="BL44" i="18"/>
  <c r="BM44" i="18"/>
  <c r="BN44" i="18"/>
  <c r="BO44" i="18"/>
  <c r="BP44" i="18"/>
  <c r="BQ44" i="18"/>
  <c r="BR44" i="18"/>
  <c r="BS44" i="18"/>
  <c r="BT44" i="18"/>
  <c r="B45" i="18"/>
  <c r="C45" i="18"/>
  <c r="D45" i="18"/>
  <c r="E45" i="18"/>
  <c r="F45" i="18"/>
  <c r="G45" i="18"/>
  <c r="H45" i="18"/>
  <c r="I45" i="18"/>
  <c r="J45" i="18"/>
  <c r="K45" i="18"/>
  <c r="L45" i="18"/>
  <c r="M45" i="18"/>
  <c r="N45" i="18"/>
  <c r="O45" i="18"/>
  <c r="P45" i="18"/>
  <c r="Q45" i="18"/>
  <c r="R45" i="18"/>
  <c r="S45" i="18"/>
  <c r="T45" i="18"/>
  <c r="U45" i="18"/>
  <c r="V45" i="18"/>
  <c r="W45" i="18"/>
  <c r="X45" i="18"/>
  <c r="Y45" i="18"/>
  <c r="Z45" i="18"/>
  <c r="AA45" i="18"/>
  <c r="AB45" i="18"/>
  <c r="AC45" i="18"/>
  <c r="AD45" i="18"/>
  <c r="AE45" i="18"/>
  <c r="AF45" i="18"/>
  <c r="AG45" i="18"/>
  <c r="AH45" i="18"/>
  <c r="AI45" i="18"/>
  <c r="AJ45" i="18"/>
  <c r="AK45" i="18"/>
  <c r="AL45" i="18"/>
  <c r="AM45" i="18"/>
  <c r="AN45" i="18"/>
  <c r="AO45" i="18"/>
  <c r="AP45" i="18"/>
  <c r="AQ45" i="18"/>
  <c r="AR45" i="18"/>
  <c r="AS45" i="18"/>
  <c r="AT45" i="18"/>
  <c r="AU45" i="18"/>
  <c r="AV45" i="18"/>
  <c r="AW45" i="18"/>
  <c r="AX45" i="18"/>
  <c r="AY45" i="18"/>
  <c r="AZ45" i="18"/>
  <c r="BA45" i="18"/>
  <c r="BB45" i="18"/>
  <c r="BC45" i="18"/>
  <c r="BD45" i="18"/>
  <c r="BE45" i="18"/>
  <c r="BF45" i="18"/>
  <c r="BG45" i="18"/>
  <c r="BH45" i="18"/>
  <c r="BI45" i="18"/>
  <c r="BJ45" i="18"/>
  <c r="BK45" i="18"/>
  <c r="BL45" i="18"/>
  <c r="BM45" i="18"/>
  <c r="BN45" i="18"/>
  <c r="BO45" i="18"/>
  <c r="BP45" i="18"/>
  <c r="BQ45" i="18"/>
  <c r="BR45" i="18"/>
  <c r="BS45" i="18"/>
  <c r="BT45" i="18"/>
  <c r="B46" i="18"/>
  <c r="C46" i="18"/>
  <c r="D46" i="18"/>
  <c r="E46" i="18"/>
  <c r="F46" i="18"/>
  <c r="G46" i="18"/>
  <c r="H46" i="18"/>
  <c r="I46" i="18"/>
  <c r="J46" i="18"/>
  <c r="K46" i="18"/>
  <c r="L46" i="18"/>
  <c r="M46" i="18"/>
  <c r="N46" i="18"/>
  <c r="O46" i="18"/>
  <c r="P46" i="18"/>
  <c r="Q46" i="18"/>
  <c r="R46" i="18"/>
  <c r="S46" i="18"/>
  <c r="T46" i="18"/>
  <c r="U46" i="18"/>
  <c r="V46" i="18"/>
  <c r="W46" i="18"/>
  <c r="X46" i="18"/>
  <c r="Y46" i="18"/>
  <c r="Z46" i="18"/>
  <c r="AA46" i="18"/>
  <c r="AB46" i="18"/>
  <c r="AC46" i="18"/>
  <c r="AD46" i="18"/>
  <c r="AE46" i="18"/>
  <c r="AF46" i="18"/>
  <c r="AG46" i="18"/>
  <c r="AH46" i="18"/>
  <c r="AI46" i="18"/>
  <c r="AJ46" i="18"/>
  <c r="AK46" i="18"/>
  <c r="AL46" i="18"/>
  <c r="AM46" i="18"/>
  <c r="AN46" i="18"/>
  <c r="AO46" i="18"/>
  <c r="AP46" i="18"/>
  <c r="AQ46" i="18"/>
  <c r="AR46" i="18"/>
  <c r="AS46" i="18"/>
  <c r="AT46" i="18"/>
  <c r="AU46" i="18"/>
  <c r="AV46" i="18"/>
  <c r="AW46" i="18"/>
  <c r="AX46" i="18"/>
  <c r="AY46" i="18"/>
  <c r="AZ46" i="18"/>
  <c r="BA46" i="18"/>
  <c r="BB46" i="18"/>
  <c r="BC46" i="18"/>
  <c r="BD46" i="18"/>
  <c r="BE46" i="18"/>
  <c r="BF46" i="18"/>
  <c r="BG46" i="18"/>
  <c r="BH46" i="18"/>
  <c r="BI46" i="18"/>
  <c r="BJ46" i="18"/>
  <c r="BK46" i="18"/>
  <c r="BL46" i="18"/>
  <c r="BM46" i="18"/>
  <c r="BN46" i="18"/>
  <c r="BO46" i="18"/>
  <c r="BP46" i="18"/>
  <c r="BQ46" i="18"/>
  <c r="BR46" i="18"/>
  <c r="BS46" i="18"/>
  <c r="BT46" i="18"/>
  <c r="B47" i="18"/>
  <c r="C47" i="18"/>
  <c r="D47" i="18"/>
  <c r="E47" i="18"/>
  <c r="F47" i="18"/>
  <c r="G47" i="18"/>
  <c r="H47" i="18"/>
  <c r="I47" i="18"/>
  <c r="J47" i="18"/>
  <c r="K47" i="18"/>
  <c r="L47" i="18"/>
  <c r="M47" i="18"/>
  <c r="N47" i="18"/>
  <c r="O47" i="18"/>
  <c r="P47" i="18"/>
  <c r="Q47" i="18"/>
  <c r="R47" i="18"/>
  <c r="S47" i="18"/>
  <c r="T47" i="18"/>
  <c r="U47" i="18"/>
  <c r="V47" i="18"/>
  <c r="W47" i="18"/>
  <c r="X47" i="18"/>
  <c r="Y47" i="18"/>
  <c r="Z47" i="18"/>
  <c r="AA47" i="18"/>
  <c r="AB47" i="18"/>
  <c r="AC47" i="18"/>
  <c r="AD47" i="18"/>
  <c r="AE47" i="18"/>
  <c r="AF47" i="18"/>
  <c r="AG47" i="18"/>
  <c r="AH47" i="18"/>
  <c r="AI47" i="18"/>
  <c r="AJ47" i="18"/>
  <c r="AK47" i="18"/>
  <c r="AL47" i="18"/>
  <c r="AM47" i="18"/>
  <c r="AN47" i="18"/>
  <c r="AO47" i="18"/>
  <c r="AP47" i="18"/>
  <c r="AQ47" i="18"/>
  <c r="AR47" i="18"/>
  <c r="AS47" i="18"/>
  <c r="AT47" i="18"/>
  <c r="AU47" i="18"/>
  <c r="AV47" i="18"/>
  <c r="AW47" i="18"/>
  <c r="AX47" i="18"/>
  <c r="AY47" i="18"/>
  <c r="AZ47" i="18"/>
  <c r="BA47" i="18"/>
  <c r="BB47" i="18"/>
  <c r="BC47" i="18"/>
  <c r="BD47" i="18"/>
  <c r="BE47" i="18"/>
  <c r="BF47" i="18"/>
  <c r="BG47" i="18"/>
  <c r="BH47" i="18"/>
  <c r="BI47" i="18"/>
  <c r="BJ47" i="18"/>
  <c r="BK47" i="18"/>
  <c r="BL47" i="18"/>
  <c r="BM47" i="18"/>
  <c r="BN47" i="18"/>
  <c r="BO47" i="18"/>
  <c r="BP47" i="18"/>
  <c r="BQ47" i="18"/>
  <c r="BR47" i="18"/>
  <c r="BS47" i="18"/>
  <c r="BT47" i="18"/>
  <c r="B48" i="18"/>
  <c r="C48" i="18"/>
  <c r="D48" i="18"/>
  <c r="E48" i="18"/>
  <c r="F48" i="18"/>
  <c r="G48" i="18"/>
  <c r="H48" i="18"/>
  <c r="I48" i="18"/>
  <c r="J48" i="18"/>
  <c r="K48" i="18"/>
  <c r="L48" i="18"/>
  <c r="M48" i="18"/>
  <c r="N48" i="18"/>
  <c r="O48" i="18"/>
  <c r="P48" i="18"/>
  <c r="Q48" i="18"/>
  <c r="R48" i="18"/>
  <c r="S48" i="18"/>
  <c r="T48" i="18"/>
  <c r="U48" i="18"/>
  <c r="V48" i="18"/>
  <c r="W48" i="18"/>
  <c r="X48" i="18"/>
  <c r="Y48" i="18"/>
  <c r="Z48" i="18"/>
  <c r="AA48" i="18"/>
  <c r="AB48" i="18"/>
  <c r="AC48" i="18"/>
  <c r="AD48" i="18"/>
  <c r="AE48" i="18"/>
  <c r="AF48" i="18"/>
  <c r="AG48" i="18"/>
  <c r="AH48" i="18"/>
  <c r="AI48" i="18"/>
  <c r="AJ48" i="18"/>
  <c r="AK48" i="18"/>
  <c r="AL48" i="18"/>
  <c r="AM48" i="18"/>
  <c r="AN48" i="18"/>
  <c r="AO48" i="18"/>
  <c r="AP48" i="18"/>
  <c r="AQ48" i="18"/>
  <c r="AR48" i="18"/>
  <c r="AS48" i="18"/>
  <c r="AT48" i="18"/>
  <c r="AU48" i="18"/>
  <c r="AV48" i="18"/>
  <c r="AW48" i="18"/>
  <c r="AX48" i="18"/>
  <c r="AY48" i="18"/>
  <c r="AZ48" i="18"/>
  <c r="BA48" i="18"/>
  <c r="BB48" i="18"/>
  <c r="BC48" i="18"/>
  <c r="BD48" i="18"/>
  <c r="BE48" i="18"/>
  <c r="BF48" i="18"/>
  <c r="BG48" i="18"/>
  <c r="BH48" i="18"/>
  <c r="BI48" i="18"/>
  <c r="BJ48" i="18"/>
  <c r="BK48" i="18"/>
  <c r="BL48" i="18"/>
  <c r="BM48" i="18"/>
  <c r="BN48" i="18"/>
  <c r="BO48" i="18"/>
  <c r="BP48" i="18"/>
  <c r="BQ48" i="18"/>
  <c r="BR48" i="18"/>
  <c r="BS48" i="18"/>
  <c r="BT48" i="18"/>
  <c r="B49" i="18"/>
  <c r="C49" i="18"/>
  <c r="D49" i="18"/>
  <c r="E49" i="18"/>
  <c r="F49" i="18"/>
  <c r="G49" i="18"/>
  <c r="H49" i="18"/>
  <c r="I49" i="18"/>
  <c r="J49" i="18"/>
  <c r="K49" i="18"/>
  <c r="L49" i="18"/>
  <c r="M49" i="18"/>
  <c r="N49" i="18"/>
  <c r="O49" i="18"/>
  <c r="P49" i="18"/>
  <c r="Q49" i="18"/>
  <c r="R49" i="18"/>
  <c r="S49" i="18"/>
  <c r="T49" i="18"/>
  <c r="U49" i="18"/>
  <c r="V49" i="18"/>
  <c r="W49" i="18"/>
  <c r="X49" i="18"/>
  <c r="Y49" i="18"/>
  <c r="Z49" i="18"/>
  <c r="AA49" i="18"/>
  <c r="AB49" i="18"/>
  <c r="AC49" i="18"/>
  <c r="AD49" i="18"/>
  <c r="AE49" i="18"/>
  <c r="AF49" i="18"/>
  <c r="AG49" i="18"/>
  <c r="AH49" i="18"/>
  <c r="AI49" i="18"/>
  <c r="AJ49" i="18"/>
  <c r="AK49" i="18"/>
  <c r="AL49" i="18"/>
  <c r="AM49" i="18"/>
  <c r="AN49" i="18"/>
  <c r="AO49" i="18"/>
  <c r="AP49" i="18"/>
  <c r="AQ49" i="18"/>
  <c r="AR49" i="18"/>
  <c r="AS49" i="18"/>
  <c r="AT49" i="18"/>
  <c r="AU49" i="18"/>
  <c r="AV49" i="18"/>
  <c r="AW49" i="18"/>
  <c r="AX49" i="18"/>
  <c r="AY49" i="18"/>
  <c r="AZ49" i="18"/>
  <c r="BA49" i="18"/>
  <c r="BB49" i="18"/>
  <c r="BC49" i="18"/>
  <c r="BD49" i="18"/>
  <c r="BE49" i="18"/>
  <c r="BF49" i="18"/>
  <c r="BG49" i="18"/>
  <c r="BH49" i="18"/>
  <c r="BI49" i="18"/>
  <c r="BJ49" i="18"/>
  <c r="BK49" i="18"/>
  <c r="BL49" i="18"/>
  <c r="BM49" i="18"/>
  <c r="BN49" i="18"/>
  <c r="BO49" i="18"/>
  <c r="BP49" i="18"/>
  <c r="BQ49" i="18"/>
  <c r="BR49" i="18"/>
  <c r="BS49" i="18"/>
  <c r="BT49" i="18"/>
  <c r="B50" i="18"/>
  <c r="C50" i="18"/>
  <c r="D50" i="18"/>
  <c r="E50" i="18"/>
  <c r="F50" i="18"/>
  <c r="G50" i="18"/>
  <c r="H50" i="18"/>
  <c r="I50" i="18"/>
  <c r="J50" i="18"/>
  <c r="K50" i="18"/>
  <c r="L50" i="18"/>
  <c r="M50" i="18"/>
  <c r="N50" i="18"/>
  <c r="O50" i="18"/>
  <c r="P50" i="18"/>
  <c r="Q50" i="18"/>
  <c r="R50" i="18"/>
  <c r="S50" i="18"/>
  <c r="T50" i="18"/>
  <c r="U50" i="18"/>
  <c r="V50" i="18"/>
  <c r="W50" i="18"/>
  <c r="X50" i="18"/>
  <c r="Y50" i="18"/>
  <c r="Z50" i="18"/>
  <c r="AA50" i="18"/>
  <c r="AB50" i="18"/>
  <c r="AC50" i="18"/>
  <c r="AD50" i="18"/>
  <c r="AE50" i="18"/>
  <c r="AF50" i="18"/>
  <c r="AG50" i="18"/>
  <c r="AH50" i="18"/>
  <c r="AI50" i="18"/>
  <c r="AJ50" i="18"/>
  <c r="AK50" i="18"/>
  <c r="AL50" i="18"/>
  <c r="AM50" i="18"/>
  <c r="AN50" i="18"/>
  <c r="AO50" i="18"/>
  <c r="AP50" i="18"/>
  <c r="AQ50" i="18"/>
  <c r="AR50" i="18"/>
  <c r="AS50" i="18"/>
  <c r="AT50" i="18"/>
  <c r="AU50" i="18"/>
  <c r="AV50" i="18"/>
  <c r="AW50" i="18"/>
  <c r="AX50" i="18"/>
  <c r="AY50" i="18"/>
  <c r="AZ50" i="18"/>
  <c r="BA50" i="18"/>
  <c r="BB50" i="18"/>
  <c r="BC50" i="18"/>
  <c r="BD50" i="18"/>
  <c r="BE50" i="18"/>
  <c r="BF50" i="18"/>
  <c r="BG50" i="18"/>
  <c r="BH50" i="18"/>
  <c r="BI50" i="18"/>
  <c r="BJ50" i="18"/>
  <c r="BK50" i="18"/>
  <c r="BL50" i="18"/>
  <c r="BM50" i="18"/>
  <c r="BN50" i="18"/>
  <c r="BO50" i="18"/>
  <c r="BP50" i="18"/>
  <c r="BQ50" i="18"/>
  <c r="BR50" i="18"/>
  <c r="BS50" i="18"/>
  <c r="BT50" i="18"/>
  <c r="B51" i="18"/>
  <c r="C51" i="18"/>
  <c r="D51" i="18"/>
  <c r="E51" i="18"/>
  <c r="F51" i="18"/>
  <c r="G51" i="18"/>
  <c r="H51" i="18"/>
  <c r="I51" i="18"/>
  <c r="J51" i="18"/>
  <c r="K51" i="18"/>
  <c r="L51" i="18"/>
  <c r="M51" i="18"/>
  <c r="N51" i="18"/>
  <c r="O51" i="18"/>
  <c r="P51" i="18"/>
  <c r="Q51" i="18"/>
  <c r="R51" i="18"/>
  <c r="S51" i="18"/>
  <c r="T51" i="18"/>
  <c r="U51" i="18"/>
  <c r="V51" i="18"/>
  <c r="W51" i="18"/>
  <c r="X51" i="18"/>
  <c r="Y51" i="18"/>
  <c r="Z51" i="18"/>
  <c r="AA51" i="18"/>
  <c r="AB51" i="18"/>
  <c r="AC51" i="18"/>
  <c r="AD51" i="18"/>
  <c r="AE51" i="18"/>
  <c r="AF51" i="18"/>
  <c r="AG51" i="18"/>
  <c r="AH51" i="18"/>
  <c r="AI51" i="18"/>
  <c r="AJ51" i="18"/>
  <c r="AK51" i="18"/>
  <c r="AL51" i="18"/>
  <c r="AM51" i="18"/>
  <c r="AN51" i="18"/>
  <c r="AO51" i="18"/>
  <c r="AP51" i="18"/>
  <c r="AQ51" i="18"/>
  <c r="AR51" i="18"/>
  <c r="AS51" i="18"/>
  <c r="AT51" i="18"/>
  <c r="AU51" i="18"/>
  <c r="AV51" i="18"/>
  <c r="AW51" i="18"/>
  <c r="AX51" i="18"/>
  <c r="AY51" i="18"/>
  <c r="AZ51" i="18"/>
  <c r="BA51" i="18"/>
  <c r="BB51" i="18"/>
  <c r="BC51" i="18"/>
  <c r="BD51" i="18"/>
  <c r="BE51" i="18"/>
  <c r="BF51" i="18"/>
  <c r="BG51" i="18"/>
  <c r="BH51" i="18"/>
  <c r="BI51" i="18"/>
  <c r="BJ51" i="18"/>
  <c r="BK51" i="18"/>
  <c r="BL51" i="18"/>
  <c r="BM51" i="18"/>
  <c r="BN51" i="18"/>
  <c r="BO51" i="18"/>
  <c r="BP51" i="18"/>
  <c r="BQ51" i="18"/>
  <c r="BR51" i="18"/>
  <c r="BS51" i="18"/>
  <c r="BT51" i="18"/>
  <c r="B52" i="18"/>
  <c r="C52" i="18"/>
  <c r="D52" i="18"/>
  <c r="E52" i="18"/>
  <c r="F52" i="18"/>
  <c r="G52" i="18"/>
  <c r="H52" i="18"/>
  <c r="I52" i="18"/>
  <c r="J52" i="18"/>
  <c r="K52" i="18"/>
  <c r="L52" i="18"/>
  <c r="M52" i="18"/>
  <c r="N52" i="18"/>
  <c r="O52" i="18"/>
  <c r="P52" i="18"/>
  <c r="Q52" i="18"/>
  <c r="R52" i="18"/>
  <c r="S52" i="18"/>
  <c r="T52" i="18"/>
  <c r="U52" i="18"/>
  <c r="V52" i="18"/>
  <c r="W52" i="18"/>
  <c r="X52" i="18"/>
  <c r="Y52" i="18"/>
  <c r="Z52" i="18"/>
  <c r="AA52" i="18"/>
  <c r="AB52" i="18"/>
  <c r="AC52" i="18"/>
  <c r="AD52" i="18"/>
  <c r="AE52" i="18"/>
  <c r="AF52" i="18"/>
  <c r="AG52" i="18"/>
  <c r="AH52" i="18"/>
  <c r="AI52" i="18"/>
  <c r="AJ52" i="18"/>
  <c r="AK52" i="18"/>
  <c r="AL52" i="18"/>
  <c r="AM52" i="18"/>
  <c r="AN52" i="18"/>
  <c r="AO52" i="18"/>
  <c r="AP52" i="18"/>
  <c r="AQ52" i="18"/>
  <c r="AR52" i="18"/>
  <c r="AS52" i="18"/>
  <c r="AT52" i="18"/>
  <c r="AU52" i="18"/>
  <c r="AV52" i="18"/>
  <c r="AW52" i="18"/>
  <c r="AX52" i="18"/>
  <c r="AY52" i="18"/>
  <c r="AZ52" i="18"/>
  <c r="BA52" i="18"/>
  <c r="BB52" i="18"/>
  <c r="BC52" i="18"/>
  <c r="BD52" i="18"/>
  <c r="BE52" i="18"/>
  <c r="BF52" i="18"/>
  <c r="BG52" i="18"/>
  <c r="BH52" i="18"/>
  <c r="BI52" i="18"/>
  <c r="BJ52" i="18"/>
  <c r="BK52" i="18"/>
  <c r="BL52" i="18"/>
  <c r="BM52" i="18"/>
  <c r="BN52" i="18"/>
  <c r="BO52" i="18"/>
  <c r="BP52" i="18"/>
  <c r="BQ52" i="18"/>
  <c r="BR52" i="18"/>
  <c r="BS52" i="18"/>
  <c r="BT52" i="18"/>
  <c r="B53" i="18"/>
  <c r="C53" i="18"/>
  <c r="D53" i="18"/>
  <c r="E53" i="18"/>
  <c r="F53" i="18"/>
  <c r="G53" i="18"/>
  <c r="H53" i="18"/>
  <c r="I53" i="18"/>
  <c r="J53" i="18"/>
  <c r="K53" i="18"/>
  <c r="L53" i="18"/>
  <c r="M53" i="18"/>
  <c r="N53" i="18"/>
  <c r="O53" i="18"/>
  <c r="P53" i="18"/>
  <c r="Q53" i="18"/>
  <c r="R53" i="18"/>
  <c r="S53" i="18"/>
  <c r="T53" i="18"/>
  <c r="U53" i="18"/>
  <c r="V53" i="18"/>
  <c r="W53" i="18"/>
  <c r="X53" i="18"/>
  <c r="Y53" i="18"/>
  <c r="Z53" i="18"/>
  <c r="AA53" i="18"/>
  <c r="AB53" i="18"/>
  <c r="AC53" i="18"/>
  <c r="AD53" i="18"/>
  <c r="AE53" i="18"/>
  <c r="AF53" i="18"/>
  <c r="AG53" i="18"/>
  <c r="AH53" i="18"/>
  <c r="AI53" i="18"/>
  <c r="AJ53" i="18"/>
  <c r="AK53" i="18"/>
  <c r="AL53" i="18"/>
  <c r="AM53" i="18"/>
  <c r="AN53" i="18"/>
  <c r="AO53" i="18"/>
  <c r="AP53" i="18"/>
  <c r="AQ53" i="18"/>
  <c r="AR53" i="18"/>
  <c r="AS53" i="18"/>
  <c r="AT53" i="18"/>
  <c r="AU53" i="18"/>
  <c r="AV53" i="18"/>
  <c r="AW53" i="18"/>
  <c r="AX53" i="18"/>
  <c r="AY53" i="18"/>
  <c r="AZ53" i="18"/>
  <c r="BA53" i="18"/>
  <c r="BB53" i="18"/>
  <c r="BC53" i="18"/>
  <c r="BD53" i="18"/>
  <c r="BE53" i="18"/>
  <c r="BF53" i="18"/>
  <c r="BG53" i="18"/>
  <c r="BH53" i="18"/>
  <c r="BI53" i="18"/>
  <c r="BJ53" i="18"/>
  <c r="BK53" i="18"/>
  <c r="BL53" i="18"/>
  <c r="BM53" i="18"/>
  <c r="BN53" i="18"/>
  <c r="BO53" i="18"/>
  <c r="BP53" i="18"/>
  <c r="BQ53" i="18"/>
  <c r="BR53" i="18"/>
  <c r="BS53" i="18"/>
  <c r="BT53" i="18"/>
  <c r="B54" i="18"/>
  <c r="C54" i="18"/>
  <c r="D54" i="18"/>
  <c r="E54" i="18"/>
  <c r="F54" i="18"/>
  <c r="G54" i="18"/>
  <c r="H54" i="18"/>
  <c r="I54" i="18"/>
  <c r="J54" i="18"/>
  <c r="K54" i="18"/>
  <c r="L54" i="18"/>
  <c r="M54" i="18"/>
  <c r="N54" i="18"/>
  <c r="O54" i="18"/>
  <c r="P54" i="18"/>
  <c r="Q54" i="18"/>
  <c r="R54" i="18"/>
  <c r="S54" i="18"/>
  <c r="T54" i="18"/>
  <c r="U54" i="18"/>
  <c r="V54" i="18"/>
  <c r="W54" i="18"/>
  <c r="X54" i="18"/>
  <c r="Y54" i="18"/>
  <c r="Z54" i="18"/>
  <c r="AA54" i="18"/>
  <c r="AB54" i="18"/>
  <c r="AC54" i="18"/>
  <c r="AD54" i="18"/>
  <c r="AE54" i="18"/>
  <c r="AF54" i="18"/>
  <c r="AG54" i="18"/>
  <c r="AH54" i="18"/>
  <c r="AI54" i="18"/>
  <c r="AJ54" i="18"/>
  <c r="AK54" i="18"/>
  <c r="AL54" i="18"/>
  <c r="AM54" i="18"/>
  <c r="AN54" i="18"/>
  <c r="AO54" i="18"/>
  <c r="AP54" i="18"/>
  <c r="AQ54" i="18"/>
  <c r="AR54" i="18"/>
  <c r="AS54" i="18"/>
  <c r="AT54" i="18"/>
  <c r="AU54" i="18"/>
  <c r="AV54" i="18"/>
  <c r="AW54" i="18"/>
  <c r="AX54" i="18"/>
  <c r="AY54" i="18"/>
  <c r="AZ54" i="18"/>
  <c r="BA54" i="18"/>
  <c r="BB54" i="18"/>
  <c r="BC54" i="18"/>
  <c r="BD54" i="18"/>
  <c r="BE54" i="18"/>
  <c r="BF54" i="18"/>
  <c r="BG54" i="18"/>
  <c r="BH54" i="18"/>
  <c r="BI54" i="18"/>
  <c r="BJ54" i="18"/>
  <c r="BK54" i="18"/>
  <c r="BL54" i="18"/>
  <c r="BM54" i="18"/>
  <c r="BN54" i="18"/>
  <c r="BO54" i="18"/>
  <c r="BP54" i="18"/>
  <c r="BQ54" i="18"/>
  <c r="BR54" i="18"/>
  <c r="BS54" i="18"/>
  <c r="BT54" i="18"/>
  <c r="B55" i="18"/>
  <c r="C55" i="18"/>
  <c r="D55" i="18"/>
  <c r="E55" i="18"/>
  <c r="F55" i="18"/>
  <c r="G55" i="18"/>
  <c r="H55" i="18"/>
  <c r="I55" i="18"/>
  <c r="J55" i="18"/>
  <c r="K55" i="18"/>
  <c r="L55" i="18"/>
  <c r="M55" i="18"/>
  <c r="N55" i="18"/>
  <c r="O55" i="18"/>
  <c r="P55" i="18"/>
  <c r="Q55" i="18"/>
  <c r="R55" i="18"/>
  <c r="S55" i="18"/>
  <c r="T55" i="18"/>
  <c r="U55" i="18"/>
  <c r="V55" i="18"/>
  <c r="W55" i="18"/>
  <c r="X55" i="18"/>
  <c r="Y55" i="18"/>
  <c r="Z55" i="18"/>
  <c r="AA55" i="18"/>
  <c r="AB55" i="18"/>
  <c r="AC55" i="18"/>
  <c r="AD55" i="18"/>
  <c r="AE55" i="18"/>
  <c r="AF55" i="18"/>
  <c r="AG55" i="18"/>
  <c r="AH55" i="18"/>
  <c r="AI55" i="18"/>
  <c r="AJ55" i="18"/>
  <c r="AK55" i="18"/>
  <c r="AL55" i="18"/>
  <c r="AM55" i="18"/>
  <c r="AN55" i="18"/>
  <c r="AO55" i="18"/>
  <c r="AP55" i="18"/>
  <c r="AQ55" i="18"/>
  <c r="AR55" i="18"/>
  <c r="AS55" i="18"/>
  <c r="AT55" i="18"/>
  <c r="AU55" i="18"/>
  <c r="AV55" i="18"/>
  <c r="AW55" i="18"/>
  <c r="AX55" i="18"/>
  <c r="AY55" i="18"/>
  <c r="AZ55" i="18"/>
  <c r="BA55" i="18"/>
  <c r="BB55" i="18"/>
  <c r="BC55" i="18"/>
  <c r="BD55" i="18"/>
  <c r="BE55" i="18"/>
  <c r="BF55" i="18"/>
  <c r="BG55" i="18"/>
  <c r="BH55" i="18"/>
  <c r="BI55" i="18"/>
  <c r="BJ55" i="18"/>
  <c r="BK55" i="18"/>
  <c r="BL55" i="18"/>
  <c r="BM55" i="18"/>
  <c r="BN55" i="18"/>
  <c r="BO55" i="18"/>
  <c r="BP55" i="18"/>
  <c r="BQ55" i="18"/>
  <c r="BR55" i="18"/>
  <c r="BS55" i="18"/>
  <c r="BT55" i="18"/>
  <c r="B56" i="18"/>
  <c r="C56" i="18"/>
  <c r="D56" i="18"/>
  <c r="E56" i="18"/>
  <c r="F56" i="18"/>
  <c r="G56" i="18"/>
  <c r="H56" i="18"/>
  <c r="I56" i="18"/>
  <c r="J56" i="18"/>
  <c r="K56" i="18"/>
  <c r="L56" i="18"/>
  <c r="M56" i="18"/>
  <c r="N56" i="18"/>
  <c r="O56" i="18"/>
  <c r="P56" i="18"/>
  <c r="Q56" i="18"/>
  <c r="R56" i="18"/>
  <c r="S56" i="18"/>
  <c r="T56" i="18"/>
  <c r="U56" i="18"/>
  <c r="V56" i="18"/>
  <c r="W56" i="18"/>
  <c r="X56" i="18"/>
  <c r="Y56" i="18"/>
  <c r="Z56" i="18"/>
  <c r="AA56" i="18"/>
  <c r="AB56" i="18"/>
  <c r="AC56" i="18"/>
  <c r="AD56" i="18"/>
  <c r="AE56" i="18"/>
  <c r="AF56" i="18"/>
  <c r="AG56" i="18"/>
  <c r="AH56" i="18"/>
  <c r="AI56" i="18"/>
  <c r="AJ56" i="18"/>
  <c r="AK56" i="18"/>
  <c r="AL56" i="18"/>
  <c r="AM56" i="18"/>
  <c r="AN56" i="18"/>
  <c r="AO56" i="18"/>
  <c r="AP56" i="18"/>
  <c r="AQ56" i="18"/>
  <c r="AR56" i="18"/>
  <c r="AS56" i="18"/>
  <c r="AT56" i="18"/>
  <c r="AU56" i="18"/>
  <c r="AV56" i="18"/>
  <c r="AW56" i="18"/>
  <c r="AX56" i="18"/>
  <c r="AY56" i="18"/>
  <c r="AZ56" i="18"/>
  <c r="BA56" i="18"/>
  <c r="BB56" i="18"/>
  <c r="BC56" i="18"/>
  <c r="BD56" i="18"/>
  <c r="BE56" i="18"/>
  <c r="BF56" i="18"/>
  <c r="BG56" i="18"/>
  <c r="BH56" i="18"/>
  <c r="BI56" i="18"/>
  <c r="BJ56" i="18"/>
  <c r="BK56" i="18"/>
  <c r="BL56" i="18"/>
  <c r="BM56" i="18"/>
  <c r="BN56" i="18"/>
  <c r="BO56" i="18"/>
  <c r="BP56" i="18"/>
  <c r="BQ56" i="18"/>
  <c r="BR56" i="18"/>
  <c r="BS56" i="18"/>
  <c r="BT56" i="18"/>
  <c r="B57" i="18"/>
  <c r="C57" i="18"/>
  <c r="D57" i="18"/>
  <c r="E57" i="18"/>
  <c r="F57" i="18"/>
  <c r="G57" i="18"/>
  <c r="H57" i="18"/>
  <c r="I57" i="18"/>
  <c r="J57" i="18"/>
  <c r="K57" i="18"/>
  <c r="L57" i="18"/>
  <c r="M57" i="18"/>
  <c r="N57" i="18"/>
  <c r="O57" i="18"/>
  <c r="P57" i="18"/>
  <c r="Q57" i="18"/>
  <c r="R57" i="18"/>
  <c r="S57" i="18"/>
  <c r="T57" i="18"/>
  <c r="U57" i="18"/>
  <c r="V57" i="18"/>
  <c r="W57" i="18"/>
  <c r="X57" i="18"/>
  <c r="Y57" i="18"/>
  <c r="Z57" i="18"/>
  <c r="AA57" i="18"/>
  <c r="AB57" i="18"/>
  <c r="AC57" i="18"/>
  <c r="AD57" i="18"/>
  <c r="AE57" i="18"/>
  <c r="AF57" i="18"/>
  <c r="AG57" i="18"/>
  <c r="AH57" i="18"/>
  <c r="AI57" i="18"/>
  <c r="AJ57" i="18"/>
  <c r="AK57" i="18"/>
  <c r="AL57" i="18"/>
  <c r="AM57" i="18"/>
  <c r="AN57" i="18"/>
  <c r="AO57" i="18"/>
  <c r="AP57" i="18"/>
  <c r="AQ57" i="18"/>
  <c r="AR57" i="18"/>
  <c r="AS57" i="18"/>
  <c r="AT57" i="18"/>
  <c r="AU57" i="18"/>
  <c r="AV57" i="18"/>
  <c r="AW57" i="18"/>
  <c r="AX57" i="18"/>
  <c r="AY57" i="18"/>
  <c r="AZ57" i="18"/>
  <c r="BA57" i="18"/>
  <c r="BB57" i="18"/>
  <c r="BC57" i="18"/>
  <c r="BD57" i="18"/>
  <c r="BE57" i="18"/>
  <c r="BF57" i="18"/>
  <c r="BG57" i="18"/>
  <c r="BH57" i="18"/>
  <c r="BI57" i="18"/>
  <c r="BJ57" i="18"/>
  <c r="BK57" i="18"/>
  <c r="BL57" i="18"/>
  <c r="BM57" i="18"/>
  <c r="BN57" i="18"/>
  <c r="BO57" i="18"/>
  <c r="BP57" i="18"/>
  <c r="BQ57" i="18"/>
  <c r="BR57" i="18"/>
  <c r="BS57" i="18"/>
  <c r="BT57" i="18"/>
  <c r="B58" i="18"/>
  <c r="C58" i="18"/>
  <c r="D58" i="18"/>
  <c r="E58" i="18"/>
  <c r="F58" i="18"/>
  <c r="G58" i="18"/>
  <c r="H58" i="18"/>
  <c r="I58" i="18"/>
  <c r="J58" i="18"/>
  <c r="K58" i="18"/>
  <c r="L58" i="18"/>
  <c r="M58" i="18"/>
  <c r="N58" i="18"/>
  <c r="O58" i="18"/>
  <c r="P58" i="18"/>
  <c r="Q58" i="18"/>
  <c r="R58" i="18"/>
  <c r="S58" i="18"/>
  <c r="T58" i="18"/>
  <c r="U58" i="18"/>
  <c r="V58" i="18"/>
  <c r="W58" i="18"/>
  <c r="X58" i="18"/>
  <c r="Y58" i="18"/>
  <c r="Z58" i="18"/>
  <c r="AA58" i="18"/>
  <c r="AB58" i="18"/>
  <c r="AC58" i="18"/>
  <c r="AD58" i="18"/>
  <c r="AE58" i="18"/>
  <c r="AF58" i="18"/>
  <c r="AG58" i="18"/>
  <c r="AH58" i="18"/>
  <c r="AI58" i="18"/>
  <c r="AJ58" i="18"/>
  <c r="AK58" i="18"/>
  <c r="AL58" i="18"/>
  <c r="AM58" i="18"/>
  <c r="AN58" i="18"/>
  <c r="AO58" i="18"/>
  <c r="AP58" i="18"/>
  <c r="AQ58" i="18"/>
  <c r="AR58" i="18"/>
  <c r="AS58" i="18"/>
  <c r="AT58" i="18"/>
  <c r="AU58" i="18"/>
  <c r="AV58" i="18"/>
  <c r="AW58" i="18"/>
  <c r="AX58" i="18"/>
  <c r="AY58" i="18"/>
  <c r="AZ58" i="18"/>
  <c r="BA58" i="18"/>
  <c r="BB58" i="18"/>
  <c r="BC58" i="18"/>
  <c r="BD58" i="18"/>
  <c r="BE58" i="18"/>
  <c r="BF58" i="18"/>
  <c r="BG58" i="18"/>
  <c r="BH58" i="18"/>
  <c r="BI58" i="18"/>
  <c r="BJ58" i="18"/>
  <c r="BK58" i="18"/>
  <c r="BL58" i="18"/>
  <c r="BM58" i="18"/>
  <c r="BN58" i="18"/>
  <c r="BO58" i="18"/>
  <c r="BP58" i="18"/>
  <c r="BQ58" i="18"/>
  <c r="BR58" i="18"/>
  <c r="BS58" i="18"/>
  <c r="BT58" i="18"/>
  <c r="B59" i="18"/>
  <c r="C59" i="18"/>
  <c r="D59" i="18"/>
  <c r="E59" i="18"/>
  <c r="F59" i="18"/>
  <c r="G59" i="18"/>
  <c r="H59" i="18"/>
  <c r="I59" i="18"/>
  <c r="J59" i="18"/>
  <c r="K59" i="18"/>
  <c r="L59" i="18"/>
  <c r="M59" i="18"/>
  <c r="N59" i="18"/>
  <c r="O59" i="18"/>
  <c r="P59" i="18"/>
  <c r="Q59" i="18"/>
  <c r="R59" i="18"/>
  <c r="S59" i="18"/>
  <c r="T59" i="18"/>
  <c r="U59" i="18"/>
  <c r="V59" i="18"/>
  <c r="W59" i="18"/>
  <c r="X59" i="18"/>
  <c r="Y59" i="18"/>
  <c r="Z59" i="18"/>
  <c r="AA59" i="18"/>
  <c r="AB59" i="18"/>
  <c r="AC59" i="18"/>
  <c r="AD59" i="18"/>
  <c r="AE59" i="18"/>
  <c r="AF59" i="18"/>
  <c r="AG59" i="18"/>
  <c r="AH59" i="18"/>
  <c r="AI59" i="18"/>
  <c r="AJ59" i="18"/>
  <c r="AK59" i="18"/>
  <c r="AL59" i="18"/>
  <c r="AM59" i="18"/>
  <c r="AN59" i="18"/>
  <c r="AO59" i="18"/>
  <c r="AP59" i="18"/>
  <c r="AQ59" i="18"/>
  <c r="AR59" i="18"/>
  <c r="AS59" i="18"/>
  <c r="AT59" i="18"/>
  <c r="AU59" i="18"/>
  <c r="AV59" i="18"/>
  <c r="AW59" i="18"/>
  <c r="AX59" i="18"/>
  <c r="AY59" i="18"/>
  <c r="AZ59" i="18"/>
  <c r="BA59" i="18"/>
  <c r="BB59" i="18"/>
  <c r="BC59" i="18"/>
  <c r="BD59" i="18"/>
  <c r="BE59" i="18"/>
  <c r="BF59" i="18"/>
  <c r="BG59" i="18"/>
  <c r="BH59" i="18"/>
  <c r="BI59" i="18"/>
  <c r="BJ59" i="18"/>
  <c r="BK59" i="18"/>
  <c r="BL59" i="18"/>
  <c r="BM59" i="18"/>
  <c r="BN59" i="18"/>
  <c r="BO59" i="18"/>
  <c r="BP59" i="18"/>
  <c r="BQ59" i="18"/>
  <c r="BR59" i="18"/>
  <c r="BS59" i="18"/>
  <c r="BT59" i="18"/>
  <c r="B60" i="18"/>
  <c r="C60" i="18"/>
  <c r="D60" i="18"/>
  <c r="E60" i="18"/>
  <c r="F60" i="18"/>
  <c r="G60" i="18"/>
  <c r="H60" i="18"/>
  <c r="I60" i="18"/>
  <c r="J60" i="18"/>
  <c r="K60" i="18"/>
  <c r="L60" i="18"/>
  <c r="M60" i="18"/>
  <c r="N60" i="18"/>
  <c r="O60" i="18"/>
  <c r="P60" i="18"/>
  <c r="Q60" i="18"/>
  <c r="R60" i="18"/>
  <c r="S60" i="18"/>
  <c r="T60" i="18"/>
  <c r="U60" i="18"/>
  <c r="V60" i="18"/>
  <c r="W60" i="18"/>
  <c r="X60" i="18"/>
  <c r="Y60" i="18"/>
  <c r="Z60" i="18"/>
  <c r="AA60" i="18"/>
  <c r="AB60" i="18"/>
  <c r="AC60" i="18"/>
  <c r="AD60" i="18"/>
  <c r="AE60" i="18"/>
  <c r="AF60" i="18"/>
  <c r="AG60" i="18"/>
  <c r="AH60" i="18"/>
  <c r="AI60" i="18"/>
  <c r="AJ60" i="18"/>
  <c r="AK60" i="18"/>
  <c r="AL60" i="18"/>
  <c r="AM60" i="18"/>
  <c r="AN60" i="18"/>
  <c r="AO60" i="18"/>
  <c r="AP60" i="18"/>
  <c r="AQ60" i="18"/>
  <c r="AR60" i="18"/>
  <c r="AS60" i="18"/>
  <c r="AT60" i="18"/>
  <c r="AU60" i="18"/>
  <c r="AV60" i="18"/>
  <c r="AW60" i="18"/>
  <c r="AX60" i="18"/>
  <c r="AY60" i="18"/>
  <c r="AZ60" i="18"/>
  <c r="BA60" i="18"/>
  <c r="BB60" i="18"/>
  <c r="BC60" i="18"/>
  <c r="BD60" i="18"/>
  <c r="BE60" i="18"/>
  <c r="BF60" i="18"/>
  <c r="BG60" i="18"/>
  <c r="BH60" i="18"/>
  <c r="BI60" i="18"/>
  <c r="BJ60" i="18"/>
  <c r="BK60" i="18"/>
  <c r="BL60" i="18"/>
  <c r="BM60" i="18"/>
  <c r="BN60" i="18"/>
  <c r="BO60" i="18"/>
  <c r="BP60" i="18"/>
  <c r="BQ60" i="18"/>
  <c r="BR60" i="18"/>
  <c r="BS60" i="18"/>
  <c r="BT60" i="18"/>
  <c r="B61" i="18"/>
  <c r="C61" i="18"/>
  <c r="D61" i="18"/>
  <c r="E61" i="18"/>
  <c r="F61" i="18"/>
  <c r="G61" i="18"/>
  <c r="H61" i="18"/>
  <c r="I61" i="18"/>
  <c r="J61" i="18"/>
  <c r="K61" i="18"/>
  <c r="L61" i="18"/>
  <c r="M61" i="18"/>
  <c r="N61" i="18"/>
  <c r="O61" i="18"/>
  <c r="P61" i="18"/>
  <c r="Q61" i="18"/>
  <c r="R61" i="18"/>
  <c r="S61" i="18"/>
  <c r="T61" i="18"/>
  <c r="U61" i="18"/>
  <c r="V61" i="18"/>
  <c r="W61" i="18"/>
  <c r="X61" i="18"/>
  <c r="Y61" i="18"/>
  <c r="Z61" i="18"/>
  <c r="AA61" i="18"/>
  <c r="AB61" i="18"/>
  <c r="AC61" i="18"/>
  <c r="AD61" i="18"/>
  <c r="AE61" i="18"/>
  <c r="AF61" i="18"/>
  <c r="AG61" i="18"/>
  <c r="AH61" i="18"/>
  <c r="AI61" i="18"/>
  <c r="AJ61" i="18"/>
  <c r="AK61" i="18"/>
  <c r="AL61" i="18"/>
  <c r="AM61" i="18"/>
  <c r="AN61" i="18"/>
  <c r="AO61" i="18"/>
  <c r="AP61" i="18"/>
  <c r="AQ61" i="18"/>
  <c r="AR61" i="18"/>
  <c r="AS61" i="18"/>
  <c r="AT61" i="18"/>
  <c r="AU61" i="18"/>
  <c r="AV61" i="18"/>
  <c r="AW61" i="18"/>
  <c r="AX61" i="18"/>
  <c r="AY61" i="18"/>
  <c r="AZ61" i="18"/>
  <c r="BA61" i="18"/>
  <c r="BB61" i="18"/>
  <c r="BC61" i="18"/>
  <c r="BD61" i="18"/>
  <c r="BE61" i="18"/>
  <c r="BF61" i="18"/>
  <c r="BG61" i="18"/>
  <c r="BH61" i="18"/>
  <c r="BI61" i="18"/>
  <c r="BJ61" i="18"/>
  <c r="BK61" i="18"/>
  <c r="BL61" i="18"/>
  <c r="BM61" i="18"/>
  <c r="BN61" i="18"/>
  <c r="BO61" i="18"/>
  <c r="BP61" i="18"/>
  <c r="BQ61" i="18"/>
  <c r="BR61" i="18"/>
  <c r="BS61" i="18"/>
  <c r="BT61" i="18"/>
  <c r="B62" i="18"/>
  <c r="C62" i="18"/>
  <c r="D62" i="18"/>
  <c r="E62" i="18"/>
  <c r="F62" i="18"/>
  <c r="G62" i="18"/>
  <c r="H62" i="18"/>
  <c r="I62" i="18"/>
  <c r="J62" i="18"/>
  <c r="K62" i="18"/>
  <c r="L62" i="18"/>
  <c r="M62" i="18"/>
  <c r="N62" i="18"/>
  <c r="O62" i="18"/>
  <c r="P62" i="18"/>
  <c r="Q62" i="18"/>
  <c r="R62" i="18"/>
  <c r="S62" i="18"/>
  <c r="T62" i="18"/>
  <c r="U62" i="18"/>
  <c r="V62" i="18"/>
  <c r="W62" i="18"/>
  <c r="X62" i="18"/>
  <c r="Y62" i="18"/>
  <c r="Z62" i="18"/>
  <c r="AA62" i="18"/>
  <c r="AB62" i="18"/>
  <c r="AC62" i="18"/>
  <c r="AD62" i="18"/>
  <c r="AE62" i="18"/>
  <c r="AF62" i="18"/>
  <c r="AG62" i="18"/>
  <c r="AH62" i="18"/>
  <c r="AI62" i="18"/>
  <c r="AJ62" i="18"/>
  <c r="AK62" i="18"/>
  <c r="AL62" i="18"/>
  <c r="AM62" i="18"/>
  <c r="AN62" i="18"/>
  <c r="AO62" i="18"/>
  <c r="AP62" i="18"/>
  <c r="AQ62" i="18"/>
  <c r="AR62" i="18"/>
  <c r="AS62" i="18"/>
  <c r="AT62" i="18"/>
  <c r="AU62" i="18"/>
  <c r="AV62" i="18"/>
  <c r="AW62" i="18"/>
  <c r="AX62" i="18"/>
  <c r="AY62" i="18"/>
  <c r="AZ62" i="18"/>
  <c r="BA62" i="18"/>
  <c r="BB62" i="18"/>
  <c r="BC62" i="18"/>
  <c r="BD62" i="18"/>
  <c r="BE62" i="18"/>
  <c r="BF62" i="18"/>
  <c r="BG62" i="18"/>
  <c r="BH62" i="18"/>
  <c r="BI62" i="18"/>
  <c r="BJ62" i="18"/>
  <c r="BK62" i="18"/>
  <c r="BL62" i="18"/>
  <c r="BM62" i="18"/>
  <c r="BN62" i="18"/>
  <c r="BO62" i="18"/>
  <c r="BP62" i="18"/>
  <c r="BQ62" i="18"/>
  <c r="BR62" i="18"/>
  <c r="BS62" i="18"/>
  <c r="BT62" i="18"/>
  <c r="B63" i="18"/>
  <c r="C63" i="18"/>
  <c r="D63" i="18"/>
  <c r="E63" i="18"/>
  <c r="F63" i="18"/>
  <c r="G63" i="18"/>
  <c r="H63" i="18"/>
  <c r="I63" i="18"/>
  <c r="J63" i="18"/>
  <c r="K63" i="18"/>
  <c r="L63" i="18"/>
  <c r="M63" i="18"/>
  <c r="N63" i="18"/>
  <c r="O63" i="18"/>
  <c r="P63" i="18"/>
  <c r="Q63" i="18"/>
  <c r="R63" i="18"/>
  <c r="S63" i="18"/>
  <c r="T63" i="18"/>
  <c r="U63" i="18"/>
  <c r="V63" i="18"/>
  <c r="W63" i="18"/>
  <c r="X63" i="18"/>
  <c r="Y63" i="18"/>
  <c r="Z63" i="18"/>
  <c r="AA63" i="18"/>
  <c r="AB63" i="18"/>
  <c r="AC63" i="18"/>
  <c r="AD63" i="18"/>
  <c r="AE63" i="18"/>
  <c r="AF63" i="18"/>
  <c r="AG63" i="18"/>
  <c r="AH63" i="18"/>
  <c r="AI63" i="18"/>
  <c r="AJ63" i="18"/>
  <c r="AK63" i="18"/>
  <c r="AL63" i="18"/>
  <c r="AM63" i="18"/>
  <c r="AN63" i="18"/>
  <c r="AO63" i="18"/>
  <c r="AP63" i="18"/>
  <c r="AQ63" i="18"/>
  <c r="AR63" i="18"/>
  <c r="AS63" i="18"/>
  <c r="AT63" i="18"/>
  <c r="AU63" i="18"/>
  <c r="AV63" i="18"/>
  <c r="AW63" i="18"/>
  <c r="AX63" i="18"/>
  <c r="AY63" i="18"/>
  <c r="AZ63" i="18"/>
  <c r="BA63" i="18"/>
  <c r="BB63" i="18"/>
  <c r="BC63" i="18"/>
  <c r="BD63" i="18"/>
  <c r="BE63" i="18"/>
  <c r="BF63" i="18"/>
  <c r="BG63" i="18"/>
  <c r="BH63" i="18"/>
  <c r="BI63" i="18"/>
  <c r="BJ63" i="18"/>
  <c r="BK63" i="18"/>
  <c r="BL63" i="18"/>
  <c r="BM63" i="18"/>
  <c r="BN63" i="18"/>
  <c r="BO63" i="18"/>
  <c r="BP63" i="18"/>
  <c r="BQ63" i="18"/>
  <c r="BR63" i="18"/>
  <c r="BS63" i="18"/>
  <c r="BT63" i="18"/>
  <c r="B64" i="18"/>
  <c r="C64" i="18"/>
  <c r="D64" i="18"/>
  <c r="E64" i="18"/>
  <c r="F64" i="18"/>
  <c r="G64" i="18"/>
  <c r="H64" i="18"/>
  <c r="I64" i="18"/>
  <c r="J64" i="18"/>
  <c r="K64" i="18"/>
  <c r="L64" i="18"/>
  <c r="M64" i="18"/>
  <c r="N64" i="18"/>
  <c r="O64" i="18"/>
  <c r="P64" i="18"/>
  <c r="Q64" i="18"/>
  <c r="R64" i="18"/>
  <c r="S64" i="18"/>
  <c r="T64" i="18"/>
  <c r="U64" i="18"/>
  <c r="V64" i="18"/>
  <c r="W64" i="18"/>
  <c r="X64" i="18"/>
  <c r="Y64" i="18"/>
  <c r="Z64" i="18"/>
  <c r="AA64" i="18"/>
  <c r="AB64" i="18"/>
  <c r="AC64" i="18"/>
  <c r="AD64" i="18"/>
  <c r="AE64" i="18"/>
  <c r="AF64" i="18"/>
  <c r="AG64" i="18"/>
  <c r="AH64" i="18"/>
  <c r="AI64" i="18"/>
  <c r="AJ64" i="18"/>
  <c r="AK64" i="18"/>
  <c r="AL64" i="18"/>
  <c r="AM64" i="18"/>
  <c r="AN64" i="18"/>
  <c r="AO64" i="18"/>
  <c r="AP64" i="18"/>
  <c r="AQ64" i="18"/>
  <c r="AR64" i="18"/>
  <c r="AS64" i="18"/>
  <c r="AT64" i="18"/>
  <c r="AU64" i="18"/>
  <c r="AV64" i="18"/>
  <c r="AW64" i="18"/>
  <c r="AX64" i="18"/>
  <c r="AY64" i="18"/>
  <c r="AZ64" i="18"/>
  <c r="BA64" i="18"/>
  <c r="BB64" i="18"/>
  <c r="BC64" i="18"/>
  <c r="BD64" i="18"/>
  <c r="BE64" i="18"/>
  <c r="BF64" i="18"/>
  <c r="BG64" i="18"/>
  <c r="BH64" i="18"/>
  <c r="BI64" i="18"/>
  <c r="BJ64" i="18"/>
  <c r="BK64" i="18"/>
  <c r="BL64" i="18"/>
  <c r="BM64" i="18"/>
  <c r="BN64" i="18"/>
  <c r="BO64" i="18"/>
  <c r="BP64" i="18"/>
  <c r="BQ64" i="18"/>
  <c r="BR64" i="18"/>
  <c r="BS64" i="18"/>
  <c r="BT64" i="18"/>
  <c r="B65" i="18"/>
  <c r="C65" i="18"/>
  <c r="D65" i="18"/>
  <c r="E65" i="18"/>
  <c r="F65" i="18"/>
  <c r="G65" i="18"/>
  <c r="H65" i="18"/>
  <c r="I65" i="18"/>
  <c r="J65" i="18"/>
  <c r="K65" i="18"/>
  <c r="L65" i="18"/>
  <c r="M65" i="18"/>
  <c r="N65" i="18"/>
  <c r="O65" i="18"/>
  <c r="P65" i="18"/>
  <c r="Q65" i="18"/>
  <c r="R65" i="18"/>
  <c r="S65" i="18"/>
  <c r="T65" i="18"/>
  <c r="U65" i="18"/>
  <c r="V65" i="18"/>
  <c r="W65" i="18"/>
  <c r="X65" i="18"/>
  <c r="Y65" i="18"/>
  <c r="Z65" i="18"/>
  <c r="AA65" i="18"/>
  <c r="AB65" i="18"/>
  <c r="AC65" i="18"/>
  <c r="AD65" i="18"/>
  <c r="AE65" i="18"/>
  <c r="AF65" i="18"/>
  <c r="AG65" i="18"/>
  <c r="AH65" i="18"/>
  <c r="AI65" i="18"/>
  <c r="AJ65" i="18"/>
  <c r="AK65" i="18"/>
  <c r="AL65" i="18"/>
  <c r="AM65" i="18"/>
  <c r="AN65" i="18"/>
  <c r="AO65" i="18"/>
  <c r="AP65" i="18"/>
  <c r="AQ65" i="18"/>
  <c r="AR65" i="18"/>
  <c r="AS65" i="18"/>
  <c r="AT65" i="18"/>
  <c r="AU65" i="18"/>
  <c r="AV65" i="18"/>
  <c r="AW65" i="18"/>
  <c r="AX65" i="18"/>
  <c r="AY65" i="18"/>
  <c r="AZ65" i="18"/>
  <c r="BA65" i="18"/>
  <c r="BB65" i="18"/>
  <c r="BC65" i="18"/>
  <c r="BD65" i="18"/>
  <c r="BE65" i="18"/>
  <c r="BF65" i="18"/>
  <c r="BG65" i="18"/>
  <c r="BH65" i="18"/>
  <c r="BI65" i="18"/>
  <c r="BJ65" i="18"/>
  <c r="BK65" i="18"/>
  <c r="BL65" i="18"/>
  <c r="BM65" i="18"/>
  <c r="BN65" i="18"/>
  <c r="BO65" i="18"/>
  <c r="BP65" i="18"/>
  <c r="BQ65" i="18"/>
  <c r="BR65" i="18"/>
  <c r="BS65" i="18"/>
  <c r="BT65" i="18"/>
  <c r="B66" i="18"/>
  <c r="C66" i="18"/>
  <c r="D66" i="18"/>
  <c r="E66" i="18"/>
  <c r="F66" i="18"/>
  <c r="G66" i="18"/>
  <c r="H66" i="18"/>
  <c r="I66" i="18"/>
  <c r="J66" i="18"/>
  <c r="K66" i="18"/>
  <c r="L66" i="18"/>
  <c r="M66" i="18"/>
  <c r="N66" i="18"/>
  <c r="O66" i="18"/>
  <c r="P66" i="18"/>
  <c r="Q66" i="18"/>
  <c r="R66" i="18"/>
  <c r="S66" i="18"/>
  <c r="T66" i="18"/>
  <c r="U66" i="18"/>
  <c r="V66" i="18"/>
  <c r="W66" i="18"/>
  <c r="X66" i="18"/>
  <c r="Y66" i="18"/>
  <c r="Z66" i="18"/>
  <c r="AA66" i="18"/>
  <c r="AB66" i="18"/>
  <c r="AC66" i="18"/>
  <c r="AD66" i="18"/>
  <c r="AE66" i="18"/>
  <c r="AF66" i="18"/>
  <c r="AG66" i="18"/>
  <c r="AH66" i="18"/>
  <c r="AI66" i="18"/>
  <c r="AJ66" i="18"/>
  <c r="AK66" i="18"/>
  <c r="AL66" i="18"/>
  <c r="AM66" i="18"/>
  <c r="AN66" i="18"/>
  <c r="AO66" i="18"/>
  <c r="AP66" i="18"/>
  <c r="AQ66" i="18"/>
  <c r="AR66" i="18"/>
  <c r="AS66" i="18"/>
  <c r="AT66" i="18"/>
  <c r="AU66" i="18"/>
  <c r="AV66" i="18"/>
  <c r="AW66" i="18"/>
  <c r="AX66" i="18"/>
  <c r="AY66" i="18"/>
  <c r="AZ66" i="18"/>
  <c r="BA66" i="18"/>
  <c r="BB66" i="18"/>
  <c r="BC66" i="18"/>
  <c r="BD66" i="18"/>
  <c r="BE66" i="18"/>
  <c r="BF66" i="18"/>
  <c r="BG66" i="18"/>
  <c r="BH66" i="18"/>
  <c r="BI66" i="18"/>
  <c r="BJ66" i="18"/>
  <c r="BK66" i="18"/>
  <c r="BL66" i="18"/>
  <c r="BM66" i="18"/>
  <c r="BN66" i="18"/>
  <c r="BO66" i="18"/>
  <c r="BP66" i="18"/>
  <c r="BQ66" i="18"/>
  <c r="BR66" i="18"/>
  <c r="BS66" i="18"/>
  <c r="BT66" i="18"/>
  <c r="B67" i="18"/>
  <c r="C67" i="18"/>
  <c r="D67" i="18"/>
  <c r="E67" i="18"/>
  <c r="F67" i="18"/>
  <c r="G67" i="18"/>
  <c r="H67" i="18"/>
  <c r="I67" i="18"/>
  <c r="J67" i="18"/>
  <c r="K67" i="18"/>
  <c r="L67" i="18"/>
  <c r="M67" i="18"/>
  <c r="N67" i="18"/>
  <c r="O67" i="18"/>
  <c r="P67" i="18"/>
  <c r="Q67" i="18"/>
  <c r="R67" i="18"/>
  <c r="S67" i="18"/>
  <c r="T67" i="18"/>
  <c r="U67" i="18"/>
  <c r="V67" i="18"/>
  <c r="W67" i="18"/>
  <c r="X67" i="18"/>
  <c r="Y67" i="18"/>
  <c r="Z67" i="18"/>
  <c r="AA67" i="18"/>
  <c r="AB67" i="18"/>
  <c r="AC67" i="18"/>
  <c r="AD67" i="18"/>
  <c r="AE67" i="18"/>
  <c r="AF67" i="18"/>
  <c r="AG67" i="18"/>
  <c r="AH67" i="18"/>
  <c r="AI67" i="18"/>
  <c r="AJ67" i="18"/>
  <c r="AK67" i="18"/>
  <c r="AL67" i="18"/>
  <c r="AM67" i="18"/>
  <c r="AN67" i="18"/>
  <c r="AO67" i="18"/>
  <c r="AP67" i="18"/>
  <c r="AQ67" i="18"/>
  <c r="AR67" i="18"/>
  <c r="AS67" i="18"/>
  <c r="AT67" i="18"/>
  <c r="AU67" i="18"/>
  <c r="AV67" i="18"/>
  <c r="AW67" i="18"/>
  <c r="AX67" i="18"/>
  <c r="AY67" i="18"/>
  <c r="AZ67" i="18"/>
  <c r="BA67" i="18"/>
  <c r="BB67" i="18"/>
  <c r="BC67" i="18"/>
  <c r="BD67" i="18"/>
  <c r="BE67" i="18"/>
  <c r="BF67" i="18"/>
  <c r="BG67" i="18"/>
  <c r="BH67" i="18"/>
  <c r="BI67" i="18"/>
  <c r="BJ67" i="18"/>
  <c r="BK67" i="18"/>
  <c r="BL67" i="18"/>
  <c r="BM67" i="18"/>
  <c r="BN67" i="18"/>
  <c r="BO67" i="18"/>
  <c r="BP67" i="18"/>
  <c r="BQ67" i="18"/>
  <c r="BR67" i="18"/>
  <c r="BS67" i="18"/>
  <c r="BT67" i="18"/>
  <c r="B68" i="18"/>
  <c r="C68" i="18"/>
  <c r="D68" i="18"/>
  <c r="E68" i="18"/>
  <c r="F68" i="18"/>
  <c r="G68" i="18"/>
  <c r="H68" i="18"/>
  <c r="I68" i="18"/>
  <c r="J68" i="18"/>
  <c r="K68" i="18"/>
  <c r="L68" i="18"/>
  <c r="M68" i="18"/>
  <c r="N68" i="18"/>
  <c r="O68" i="18"/>
  <c r="P68" i="18"/>
  <c r="Q68" i="18"/>
  <c r="R68" i="18"/>
  <c r="S68" i="18"/>
  <c r="T68" i="18"/>
  <c r="U68" i="18"/>
  <c r="V68" i="18"/>
  <c r="W68" i="18"/>
  <c r="X68" i="18"/>
  <c r="Y68" i="18"/>
  <c r="Z68" i="18"/>
  <c r="AA68" i="18"/>
  <c r="AB68" i="18"/>
  <c r="AC68" i="18"/>
  <c r="AD68" i="18"/>
  <c r="AE68" i="18"/>
  <c r="AF68" i="18"/>
  <c r="AG68" i="18"/>
  <c r="AH68" i="18"/>
  <c r="AI68" i="18"/>
  <c r="AJ68" i="18"/>
  <c r="AK68" i="18"/>
  <c r="AL68" i="18"/>
  <c r="AM68" i="18"/>
  <c r="AN68" i="18"/>
  <c r="AO68" i="18"/>
  <c r="AP68" i="18"/>
  <c r="AQ68" i="18"/>
  <c r="AR68" i="18"/>
  <c r="AS68" i="18"/>
  <c r="AT68" i="18"/>
  <c r="AU68" i="18"/>
  <c r="AV68" i="18"/>
  <c r="AW68" i="18"/>
  <c r="AX68" i="18"/>
  <c r="AY68" i="18"/>
  <c r="AZ68" i="18"/>
  <c r="BA68" i="18"/>
  <c r="BB68" i="18"/>
  <c r="BC68" i="18"/>
  <c r="BD68" i="18"/>
  <c r="BE68" i="18"/>
  <c r="BF68" i="18"/>
  <c r="BG68" i="18"/>
  <c r="BH68" i="18"/>
  <c r="BI68" i="18"/>
  <c r="BJ68" i="18"/>
  <c r="BK68" i="18"/>
  <c r="BL68" i="18"/>
  <c r="BM68" i="18"/>
  <c r="BN68" i="18"/>
  <c r="BO68" i="18"/>
  <c r="BP68" i="18"/>
  <c r="BQ68" i="18"/>
  <c r="BR68" i="18"/>
  <c r="BS68" i="18"/>
  <c r="BT68" i="18"/>
  <c r="B69" i="18"/>
  <c r="C69" i="18"/>
  <c r="D69" i="18"/>
  <c r="E69" i="18"/>
  <c r="F69" i="18"/>
  <c r="G69" i="18"/>
  <c r="H69" i="18"/>
  <c r="I69" i="18"/>
  <c r="J69" i="18"/>
  <c r="K69" i="18"/>
  <c r="L69" i="18"/>
  <c r="M69" i="18"/>
  <c r="N69" i="18"/>
  <c r="O69" i="18"/>
  <c r="P69" i="18"/>
  <c r="Q69" i="18"/>
  <c r="R69" i="18"/>
  <c r="S69" i="18"/>
  <c r="T69" i="18"/>
  <c r="U69" i="18"/>
  <c r="V69" i="18"/>
  <c r="W69" i="18"/>
  <c r="X69" i="18"/>
  <c r="Y69" i="18"/>
  <c r="Z69" i="18"/>
  <c r="AA69" i="18"/>
  <c r="AB69" i="18"/>
  <c r="AC69" i="18"/>
  <c r="AD69" i="18"/>
  <c r="AE69" i="18"/>
  <c r="AF69" i="18"/>
  <c r="AG69" i="18"/>
  <c r="AH69" i="18"/>
  <c r="AI69" i="18"/>
  <c r="AJ69" i="18"/>
  <c r="AK69" i="18"/>
  <c r="AL69" i="18"/>
  <c r="AM69" i="18"/>
  <c r="AN69" i="18"/>
  <c r="AO69" i="18"/>
  <c r="AP69" i="18"/>
  <c r="AQ69" i="18"/>
  <c r="AR69" i="18"/>
  <c r="AS69" i="18"/>
  <c r="AT69" i="18"/>
  <c r="AU69" i="18"/>
  <c r="AV69" i="18"/>
  <c r="AW69" i="18"/>
  <c r="AX69" i="18"/>
  <c r="AY69" i="18"/>
  <c r="AZ69" i="18"/>
  <c r="BA69" i="18"/>
  <c r="BB69" i="18"/>
  <c r="BC69" i="18"/>
  <c r="BD69" i="18"/>
  <c r="BE69" i="18"/>
  <c r="BF69" i="18"/>
  <c r="BG69" i="18"/>
  <c r="BH69" i="18"/>
  <c r="BI69" i="18"/>
  <c r="BJ69" i="18"/>
  <c r="BK69" i="18"/>
  <c r="BL69" i="18"/>
  <c r="BM69" i="18"/>
  <c r="BN69" i="18"/>
  <c r="BO69" i="18"/>
  <c r="BP69" i="18"/>
  <c r="BQ69" i="18"/>
  <c r="BR69" i="18"/>
  <c r="BS69" i="18"/>
  <c r="BT69" i="18"/>
  <c r="B70" i="18"/>
  <c r="C70" i="18"/>
  <c r="D70" i="18"/>
  <c r="E70" i="18"/>
  <c r="F70" i="18"/>
  <c r="G70" i="18"/>
  <c r="H70" i="18"/>
  <c r="I70" i="18"/>
  <c r="J70" i="18"/>
  <c r="K70" i="18"/>
  <c r="L70" i="18"/>
  <c r="M70" i="18"/>
  <c r="N70" i="18"/>
  <c r="O70" i="18"/>
  <c r="P70" i="18"/>
  <c r="Q70" i="18"/>
  <c r="R70" i="18"/>
  <c r="S70" i="18"/>
  <c r="T70" i="18"/>
  <c r="U70" i="18"/>
  <c r="V70" i="18"/>
  <c r="W70" i="18"/>
  <c r="X70" i="18"/>
  <c r="Y70" i="18"/>
  <c r="Z70" i="18"/>
  <c r="AA70" i="18"/>
  <c r="AB70" i="18"/>
  <c r="AC70" i="18"/>
  <c r="AD70" i="18"/>
  <c r="AE70" i="18"/>
  <c r="AF70" i="18"/>
  <c r="AG70" i="18"/>
  <c r="AH70" i="18"/>
  <c r="AI70" i="18"/>
  <c r="AJ70" i="18"/>
  <c r="AK70" i="18"/>
  <c r="AL70" i="18"/>
  <c r="AM70" i="18"/>
  <c r="AN70" i="18"/>
  <c r="AO70" i="18"/>
  <c r="AP70" i="18"/>
  <c r="AQ70" i="18"/>
  <c r="AR70" i="18"/>
  <c r="AS70" i="18"/>
  <c r="AT70" i="18"/>
  <c r="AU70" i="18"/>
  <c r="AV70" i="18"/>
  <c r="AW70" i="18"/>
  <c r="AX70" i="18"/>
  <c r="AY70" i="18"/>
  <c r="AZ70" i="18"/>
  <c r="BA70" i="18"/>
  <c r="BB70" i="18"/>
  <c r="BC70" i="18"/>
  <c r="BD70" i="18"/>
  <c r="BE70" i="18"/>
  <c r="BF70" i="18"/>
  <c r="BG70" i="18"/>
  <c r="BH70" i="18"/>
  <c r="BI70" i="18"/>
  <c r="BJ70" i="18"/>
  <c r="BK70" i="18"/>
  <c r="BL70" i="18"/>
  <c r="BM70" i="18"/>
  <c r="BN70" i="18"/>
  <c r="BO70" i="18"/>
  <c r="BP70" i="18"/>
  <c r="BQ70" i="18"/>
  <c r="BR70" i="18"/>
  <c r="BS70" i="18"/>
  <c r="BT70" i="18"/>
  <c r="B71" i="18"/>
  <c r="C71" i="18"/>
  <c r="D71" i="18"/>
  <c r="E71" i="18"/>
  <c r="F71" i="18"/>
  <c r="G71" i="18"/>
  <c r="H71" i="18"/>
  <c r="I71" i="18"/>
  <c r="J71" i="18"/>
  <c r="K71" i="18"/>
  <c r="L71" i="18"/>
  <c r="M71" i="18"/>
  <c r="N71" i="18"/>
  <c r="O71" i="18"/>
  <c r="P71" i="18"/>
  <c r="Q71" i="18"/>
  <c r="R71" i="18"/>
  <c r="S71" i="18"/>
  <c r="T71" i="18"/>
  <c r="U71" i="18"/>
  <c r="V71" i="18"/>
  <c r="W71" i="18"/>
  <c r="X71" i="18"/>
  <c r="Y71" i="18"/>
  <c r="Z71" i="18"/>
  <c r="AA71" i="18"/>
  <c r="AB71" i="18"/>
  <c r="AC71" i="18"/>
  <c r="AD71" i="18"/>
  <c r="AE71" i="18"/>
  <c r="AF71" i="18"/>
  <c r="AG71" i="18"/>
  <c r="AH71" i="18"/>
  <c r="AI71" i="18"/>
  <c r="AJ71" i="18"/>
  <c r="AK71" i="18"/>
  <c r="AL71" i="18"/>
  <c r="AM71" i="18"/>
  <c r="AN71" i="18"/>
  <c r="AO71" i="18"/>
  <c r="AP71" i="18"/>
  <c r="AQ71" i="18"/>
  <c r="AR71" i="18"/>
  <c r="AS71" i="18"/>
  <c r="AT71" i="18"/>
  <c r="AU71" i="18"/>
  <c r="AV71" i="18"/>
  <c r="AW71" i="18"/>
  <c r="AX71" i="18"/>
  <c r="AY71" i="18"/>
  <c r="AZ71" i="18"/>
  <c r="BA71" i="18"/>
  <c r="BB71" i="18"/>
  <c r="BC71" i="18"/>
  <c r="BD71" i="18"/>
  <c r="BE71" i="18"/>
  <c r="BF71" i="18"/>
  <c r="BG71" i="18"/>
  <c r="BH71" i="18"/>
  <c r="BI71" i="18"/>
  <c r="BJ71" i="18"/>
  <c r="BK71" i="18"/>
  <c r="BL71" i="18"/>
  <c r="BM71" i="18"/>
  <c r="BN71" i="18"/>
  <c r="BO71" i="18"/>
  <c r="BP71" i="18"/>
  <c r="BQ71" i="18"/>
  <c r="BR71" i="18"/>
  <c r="BS71" i="18"/>
  <c r="BT71" i="18"/>
  <c r="B72" i="18"/>
  <c r="C72" i="18"/>
  <c r="D72" i="18"/>
  <c r="E72" i="18"/>
  <c r="F72" i="18"/>
  <c r="G72" i="18"/>
  <c r="H72" i="18"/>
  <c r="I72" i="18"/>
  <c r="J72" i="18"/>
  <c r="K72" i="18"/>
  <c r="L72" i="18"/>
  <c r="M72" i="18"/>
  <c r="N72" i="18"/>
  <c r="O72" i="18"/>
  <c r="P72" i="18"/>
  <c r="Q72" i="18"/>
  <c r="R72" i="18"/>
  <c r="S72" i="18"/>
  <c r="T72" i="18"/>
  <c r="U72" i="18"/>
  <c r="V72" i="18"/>
  <c r="W72" i="18"/>
  <c r="X72" i="18"/>
  <c r="Y72" i="18"/>
  <c r="Z72" i="18"/>
  <c r="AA72" i="18"/>
  <c r="AB72" i="18"/>
  <c r="AC72" i="18"/>
  <c r="AD72" i="18"/>
  <c r="AE72" i="18"/>
  <c r="AF72" i="18"/>
  <c r="AG72" i="18"/>
  <c r="AH72" i="18"/>
  <c r="AI72" i="18"/>
  <c r="AJ72" i="18"/>
  <c r="AK72" i="18"/>
  <c r="AL72" i="18"/>
  <c r="AM72" i="18"/>
  <c r="AN72" i="18"/>
  <c r="AO72" i="18"/>
  <c r="AP72" i="18"/>
  <c r="AQ72" i="18"/>
  <c r="AR72" i="18"/>
  <c r="AS72" i="18"/>
  <c r="AT72" i="18"/>
  <c r="AU72" i="18"/>
  <c r="AV72" i="18"/>
  <c r="AW72" i="18"/>
  <c r="AX72" i="18"/>
  <c r="AY72" i="18"/>
  <c r="AZ72" i="18"/>
  <c r="BA72" i="18"/>
  <c r="BB72" i="18"/>
  <c r="BC72" i="18"/>
  <c r="BD72" i="18"/>
  <c r="BE72" i="18"/>
  <c r="BF72" i="18"/>
  <c r="BG72" i="18"/>
  <c r="BH72" i="18"/>
  <c r="BI72" i="18"/>
  <c r="BJ72" i="18"/>
  <c r="BK72" i="18"/>
  <c r="BL72" i="18"/>
  <c r="BM72" i="18"/>
  <c r="BN72" i="18"/>
  <c r="BO72" i="18"/>
  <c r="BP72" i="18"/>
  <c r="BQ72" i="18"/>
  <c r="BR72" i="18"/>
  <c r="BS72" i="18"/>
  <c r="BT72" i="18"/>
  <c r="B73" i="18"/>
  <c r="C73" i="18"/>
  <c r="D73" i="18"/>
  <c r="E73" i="18"/>
  <c r="F73" i="18"/>
  <c r="G73" i="18"/>
  <c r="H73" i="18"/>
  <c r="I73" i="18"/>
  <c r="J73" i="18"/>
  <c r="K73" i="18"/>
  <c r="L73" i="18"/>
  <c r="M73" i="18"/>
  <c r="N73" i="18"/>
  <c r="O73" i="18"/>
  <c r="P73" i="18"/>
  <c r="Q73" i="18"/>
  <c r="R73" i="18"/>
  <c r="S73" i="18"/>
  <c r="T73" i="18"/>
  <c r="U73" i="18"/>
  <c r="V73" i="18"/>
  <c r="W73" i="18"/>
  <c r="X73" i="18"/>
  <c r="Y73" i="18"/>
  <c r="Z73" i="18"/>
  <c r="AA73" i="18"/>
  <c r="AB73" i="18"/>
  <c r="AC73" i="18"/>
  <c r="AD73" i="18"/>
  <c r="AE73" i="18"/>
  <c r="AF73" i="18"/>
  <c r="AG73" i="18"/>
  <c r="AH73" i="18"/>
  <c r="AI73" i="18"/>
  <c r="AJ73" i="18"/>
  <c r="AK73" i="18"/>
  <c r="AL73" i="18"/>
  <c r="AM73" i="18"/>
  <c r="AN73" i="18"/>
  <c r="AO73" i="18"/>
  <c r="AP73" i="18"/>
  <c r="AQ73" i="18"/>
  <c r="AR73" i="18"/>
  <c r="AS73" i="18"/>
  <c r="AT73" i="18"/>
  <c r="AU73" i="18"/>
  <c r="AV73" i="18"/>
  <c r="AW73" i="18"/>
  <c r="AX73" i="18"/>
  <c r="AY73" i="18"/>
  <c r="AZ73" i="18"/>
  <c r="BA73" i="18"/>
  <c r="BB73" i="18"/>
  <c r="BC73" i="18"/>
  <c r="BD73" i="18"/>
  <c r="BE73" i="18"/>
  <c r="BF73" i="18"/>
  <c r="BG73" i="18"/>
  <c r="BH73" i="18"/>
  <c r="BI73" i="18"/>
  <c r="BJ73" i="18"/>
  <c r="BK73" i="18"/>
  <c r="BL73" i="18"/>
  <c r="BM73" i="18"/>
  <c r="BN73" i="18"/>
  <c r="BO73" i="18"/>
  <c r="BP73" i="18"/>
  <c r="BQ73" i="18"/>
  <c r="BR73" i="18"/>
  <c r="BS73" i="18"/>
  <c r="BT73" i="18"/>
  <c r="B74" i="18"/>
  <c r="C74" i="18"/>
  <c r="D74" i="18"/>
  <c r="E74" i="18"/>
  <c r="F74" i="18"/>
  <c r="G74" i="18"/>
  <c r="H74" i="18"/>
  <c r="I74" i="18"/>
  <c r="J74" i="18"/>
  <c r="K74" i="18"/>
  <c r="L74" i="18"/>
  <c r="M74" i="18"/>
  <c r="N74" i="18"/>
  <c r="O74" i="18"/>
  <c r="P74" i="18"/>
  <c r="Q74" i="18"/>
  <c r="R74" i="18"/>
  <c r="S74" i="18"/>
  <c r="T74" i="18"/>
  <c r="U74" i="18"/>
  <c r="V74" i="18"/>
  <c r="W74" i="18"/>
  <c r="X74" i="18"/>
  <c r="Y74" i="18"/>
  <c r="Z74" i="18"/>
  <c r="AA74" i="18"/>
  <c r="AB74" i="18"/>
  <c r="AC74" i="18"/>
  <c r="AD74" i="18"/>
  <c r="AE74" i="18"/>
  <c r="AF74" i="18"/>
  <c r="AG74" i="18"/>
  <c r="AH74" i="18"/>
  <c r="AI74" i="18"/>
  <c r="AJ74" i="18"/>
  <c r="AK74" i="18"/>
  <c r="AL74" i="18"/>
  <c r="AM74" i="18"/>
  <c r="AN74" i="18"/>
  <c r="AO74" i="18"/>
  <c r="AP74" i="18"/>
  <c r="AQ74" i="18"/>
  <c r="AR74" i="18"/>
  <c r="AS74" i="18"/>
  <c r="AT74" i="18"/>
  <c r="AU74" i="18"/>
  <c r="AV74" i="18"/>
  <c r="AW74" i="18"/>
  <c r="AX74" i="18"/>
  <c r="AY74" i="18"/>
  <c r="AZ74" i="18"/>
  <c r="BA74" i="18"/>
  <c r="BB74" i="18"/>
  <c r="BC74" i="18"/>
  <c r="BD74" i="18"/>
  <c r="BE74" i="18"/>
  <c r="BF74" i="18"/>
  <c r="BG74" i="18"/>
  <c r="BH74" i="18"/>
  <c r="BI74" i="18"/>
  <c r="BJ74" i="18"/>
  <c r="BK74" i="18"/>
  <c r="BL74" i="18"/>
  <c r="BM74" i="18"/>
  <c r="BN74" i="18"/>
  <c r="BO74" i="18"/>
  <c r="BP74" i="18"/>
  <c r="BQ74" i="18"/>
  <c r="BR74" i="18"/>
  <c r="BS74" i="18"/>
  <c r="BT74" i="18"/>
  <c r="B75" i="18"/>
  <c r="C75" i="18"/>
  <c r="D75" i="18"/>
  <c r="E75" i="18"/>
  <c r="F75" i="18"/>
  <c r="G75" i="18"/>
  <c r="H75" i="18"/>
  <c r="I75" i="18"/>
  <c r="J75" i="18"/>
  <c r="K75" i="18"/>
  <c r="L75" i="18"/>
  <c r="M75" i="18"/>
  <c r="N75" i="18"/>
  <c r="O75" i="18"/>
  <c r="P75" i="18"/>
  <c r="Q75" i="18"/>
  <c r="R75" i="18"/>
  <c r="S75" i="18"/>
  <c r="T75" i="18"/>
  <c r="U75" i="18"/>
  <c r="V75" i="18"/>
  <c r="W75" i="18"/>
  <c r="X75" i="18"/>
  <c r="Y75" i="18"/>
  <c r="Z75" i="18"/>
  <c r="AA75" i="18"/>
  <c r="AB75" i="18"/>
  <c r="AC75" i="18"/>
  <c r="AD75" i="18"/>
  <c r="AE75" i="18"/>
  <c r="AF75" i="18"/>
  <c r="AG75" i="18"/>
  <c r="AH75" i="18"/>
  <c r="AI75" i="18"/>
  <c r="AJ75" i="18"/>
  <c r="AK75" i="18"/>
  <c r="AL75" i="18"/>
  <c r="AM75" i="18"/>
  <c r="AN75" i="18"/>
  <c r="AO75" i="18"/>
  <c r="AP75" i="18"/>
  <c r="AQ75" i="18"/>
  <c r="AR75" i="18"/>
  <c r="AS75" i="18"/>
  <c r="AT75" i="18"/>
  <c r="AU75" i="18"/>
  <c r="AV75" i="18"/>
  <c r="AW75" i="18"/>
  <c r="AX75" i="18"/>
  <c r="AY75" i="18"/>
  <c r="AZ75" i="18"/>
  <c r="BA75" i="18"/>
  <c r="BB75" i="18"/>
  <c r="BC75" i="18"/>
  <c r="BD75" i="18"/>
  <c r="BE75" i="18"/>
  <c r="BF75" i="18"/>
  <c r="BG75" i="18"/>
  <c r="BH75" i="18"/>
  <c r="BI75" i="18"/>
  <c r="BJ75" i="18"/>
  <c r="BK75" i="18"/>
  <c r="BL75" i="18"/>
  <c r="BM75" i="18"/>
  <c r="BN75" i="18"/>
  <c r="BO75" i="18"/>
  <c r="BP75" i="18"/>
  <c r="BQ75" i="18"/>
  <c r="BR75" i="18"/>
  <c r="BS75" i="18"/>
  <c r="BT75" i="18"/>
  <c r="B76" i="18"/>
  <c r="C76" i="18"/>
  <c r="D76" i="18"/>
  <c r="E76" i="18"/>
  <c r="F76" i="18"/>
  <c r="G76" i="18"/>
  <c r="H76" i="18"/>
  <c r="I76" i="18"/>
  <c r="J76" i="18"/>
  <c r="K76" i="18"/>
  <c r="L76" i="18"/>
  <c r="M76" i="18"/>
  <c r="N76" i="18"/>
  <c r="O76" i="18"/>
  <c r="P76" i="18"/>
  <c r="Q76" i="18"/>
  <c r="R76" i="18"/>
  <c r="S76" i="18"/>
  <c r="T76" i="18"/>
  <c r="U76" i="18"/>
  <c r="V76" i="18"/>
  <c r="W76" i="18"/>
  <c r="X76" i="18"/>
  <c r="Y76" i="18"/>
  <c r="Z76" i="18"/>
  <c r="AA76" i="18"/>
  <c r="AB76" i="18"/>
  <c r="AC76" i="18"/>
  <c r="AD76" i="18"/>
  <c r="AE76" i="18"/>
  <c r="AF76" i="18"/>
  <c r="AG76" i="18"/>
  <c r="AH76" i="18"/>
  <c r="AI76" i="18"/>
  <c r="AJ76" i="18"/>
  <c r="AK76" i="18"/>
  <c r="AL76" i="18"/>
  <c r="AM76" i="18"/>
  <c r="AN76" i="18"/>
  <c r="AO76" i="18"/>
  <c r="AP76" i="18"/>
  <c r="AQ76" i="18"/>
  <c r="AR76" i="18"/>
  <c r="AS76" i="18"/>
  <c r="AT76" i="18"/>
  <c r="AU76" i="18"/>
  <c r="AV76" i="18"/>
  <c r="AW76" i="18"/>
  <c r="AX76" i="18"/>
  <c r="AY76" i="18"/>
  <c r="AZ76" i="18"/>
  <c r="BA76" i="18"/>
  <c r="BB76" i="18"/>
  <c r="BC76" i="18"/>
  <c r="BD76" i="18"/>
  <c r="BE76" i="18"/>
  <c r="BF76" i="18"/>
  <c r="BG76" i="18"/>
  <c r="BH76" i="18"/>
  <c r="BI76" i="18"/>
  <c r="BJ76" i="18"/>
  <c r="BK76" i="18"/>
  <c r="BL76" i="18"/>
  <c r="BM76" i="18"/>
  <c r="BN76" i="18"/>
  <c r="BO76" i="18"/>
  <c r="BP76" i="18"/>
  <c r="BQ76" i="18"/>
  <c r="BR76" i="18"/>
  <c r="BS76" i="18"/>
  <c r="BT76" i="18"/>
  <c r="B77" i="18"/>
  <c r="C77" i="18"/>
  <c r="D77" i="18"/>
  <c r="E77" i="18"/>
  <c r="F77" i="18"/>
  <c r="G77" i="18"/>
  <c r="H77" i="18"/>
  <c r="I77" i="18"/>
  <c r="J77" i="18"/>
  <c r="K77" i="18"/>
  <c r="L77" i="18"/>
  <c r="M77" i="18"/>
  <c r="N77" i="18"/>
  <c r="O77" i="18"/>
  <c r="P77" i="18"/>
  <c r="Q77" i="18"/>
  <c r="R77" i="18"/>
  <c r="S77" i="18"/>
  <c r="T77" i="18"/>
  <c r="U77" i="18"/>
  <c r="V77" i="18"/>
  <c r="W77" i="18"/>
  <c r="X77" i="18"/>
  <c r="Y77" i="18"/>
  <c r="Z77" i="18"/>
  <c r="AA77" i="18"/>
  <c r="AB77" i="18"/>
  <c r="AC77" i="18"/>
  <c r="AD77" i="18"/>
  <c r="AE77" i="18"/>
  <c r="AF77" i="18"/>
  <c r="AG77" i="18"/>
  <c r="AH77" i="18"/>
  <c r="AI77" i="18"/>
  <c r="AJ77" i="18"/>
  <c r="AK77" i="18"/>
  <c r="AL77" i="18"/>
  <c r="AM77" i="18"/>
  <c r="AN77" i="18"/>
  <c r="AO77" i="18"/>
  <c r="AP77" i="18"/>
  <c r="AQ77" i="18"/>
  <c r="AR77" i="18"/>
  <c r="AS77" i="18"/>
  <c r="AT77" i="18"/>
  <c r="AU77" i="18"/>
  <c r="AV77" i="18"/>
  <c r="AW77" i="18"/>
  <c r="AX77" i="18"/>
  <c r="AY77" i="18"/>
  <c r="AZ77" i="18"/>
  <c r="BA77" i="18"/>
  <c r="BB77" i="18"/>
  <c r="BC77" i="18"/>
  <c r="BD77" i="18"/>
  <c r="BE77" i="18"/>
  <c r="BF77" i="18"/>
  <c r="BG77" i="18"/>
  <c r="BH77" i="18"/>
  <c r="BI77" i="18"/>
  <c r="BJ77" i="18"/>
  <c r="BK77" i="18"/>
  <c r="BL77" i="18"/>
  <c r="BM77" i="18"/>
  <c r="BN77" i="18"/>
  <c r="BO77" i="18"/>
  <c r="BP77" i="18"/>
  <c r="BQ77" i="18"/>
  <c r="BR77" i="18"/>
  <c r="BS77" i="18"/>
  <c r="BT77" i="18"/>
  <c r="B78" i="18"/>
  <c r="C78" i="18"/>
  <c r="D78" i="18"/>
  <c r="E78" i="18"/>
  <c r="F78" i="18"/>
  <c r="G78" i="18"/>
  <c r="H78" i="18"/>
  <c r="I78" i="18"/>
  <c r="J78" i="18"/>
  <c r="K78" i="18"/>
  <c r="L78" i="18"/>
  <c r="M78" i="18"/>
  <c r="N78" i="18"/>
  <c r="O78" i="18"/>
  <c r="P78" i="18"/>
  <c r="Q78" i="18"/>
  <c r="R78" i="18"/>
  <c r="S78" i="18"/>
  <c r="T78" i="18"/>
  <c r="U78" i="18"/>
  <c r="V78" i="18"/>
  <c r="W78" i="18"/>
  <c r="X78" i="18"/>
  <c r="Y78" i="18"/>
  <c r="Z78" i="18"/>
  <c r="AA78" i="18"/>
  <c r="AB78" i="18"/>
  <c r="AC78" i="18"/>
  <c r="AD78" i="18"/>
  <c r="AE78" i="18"/>
  <c r="AF78" i="18"/>
  <c r="AG78" i="18"/>
  <c r="AH78" i="18"/>
  <c r="AI78" i="18"/>
  <c r="AJ78" i="18"/>
  <c r="AK78" i="18"/>
  <c r="AL78" i="18"/>
  <c r="AM78" i="18"/>
  <c r="AN78" i="18"/>
  <c r="AO78" i="18"/>
  <c r="AP78" i="18"/>
  <c r="AQ78" i="18"/>
  <c r="AR78" i="18"/>
  <c r="AS78" i="18"/>
  <c r="AT78" i="18"/>
  <c r="AU78" i="18"/>
  <c r="AV78" i="18"/>
  <c r="AW78" i="18"/>
  <c r="AX78" i="18"/>
  <c r="AY78" i="18"/>
  <c r="AZ78" i="18"/>
  <c r="BA78" i="18"/>
  <c r="BB78" i="18"/>
  <c r="BC78" i="18"/>
  <c r="BD78" i="18"/>
  <c r="BE78" i="18"/>
  <c r="BF78" i="18"/>
  <c r="BG78" i="18"/>
  <c r="BH78" i="18"/>
  <c r="BI78" i="18"/>
  <c r="BJ78" i="18"/>
  <c r="BK78" i="18"/>
  <c r="BL78" i="18"/>
  <c r="BM78" i="18"/>
  <c r="BN78" i="18"/>
  <c r="BO78" i="18"/>
  <c r="BP78" i="18"/>
  <c r="BQ78" i="18"/>
  <c r="BR78" i="18"/>
  <c r="BS78" i="18"/>
  <c r="BT78" i="18"/>
  <c r="B79" i="18"/>
  <c r="C79" i="18"/>
  <c r="D79" i="18"/>
  <c r="E79" i="18"/>
  <c r="F79" i="18"/>
  <c r="G79" i="18"/>
  <c r="H79" i="18"/>
  <c r="I79" i="18"/>
  <c r="J79" i="18"/>
  <c r="K79" i="18"/>
  <c r="L79" i="18"/>
  <c r="M79" i="18"/>
  <c r="N79" i="18"/>
  <c r="O79" i="18"/>
  <c r="P79" i="18"/>
  <c r="Q79" i="18"/>
  <c r="R79" i="18"/>
  <c r="S79" i="18"/>
  <c r="T79" i="18"/>
  <c r="U79" i="18"/>
  <c r="V79" i="18"/>
  <c r="W79" i="18"/>
  <c r="X79" i="18"/>
  <c r="Y79" i="18"/>
  <c r="Z79" i="18"/>
  <c r="AA79" i="18"/>
  <c r="AB79" i="18"/>
  <c r="AC79" i="18"/>
  <c r="AD79" i="18"/>
  <c r="AE79" i="18"/>
  <c r="AF79" i="18"/>
  <c r="AG79" i="18"/>
  <c r="AH79" i="18"/>
  <c r="AI79" i="18"/>
  <c r="AJ79" i="18"/>
  <c r="AK79" i="18"/>
  <c r="AL79" i="18"/>
  <c r="AM79" i="18"/>
  <c r="AN79" i="18"/>
  <c r="AO79" i="18"/>
  <c r="AP79" i="18"/>
  <c r="AQ79" i="18"/>
  <c r="AR79" i="18"/>
  <c r="AS79" i="18"/>
  <c r="AT79" i="18"/>
  <c r="AU79" i="18"/>
  <c r="AV79" i="18"/>
  <c r="AW79" i="18"/>
  <c r="AX79" i="18"/>
  <c r="AY79" i="18"/>
  <c r="AZ79" i="18"/>
  <c r="BA79" i="18"/>
  <c r="BB79" i="18"/>
  <c r="BC79" i="18"/>
  <c r="BD79" i="18"/>
  <c r="BE79" i="18"/>
  <c r="BF79" i="18"/>
  <c r="BG79" i="18"/>
  <c r="BH79" i="18"/>
  <c r="BI79" i="18"/>
  <c r="BJ79" i="18"/>
  <c r="BK79" i="18"/>
  <c r="BL79" i="18"/>
  <c r="BM79" i="18"/>
  <c r="BN79" i="18"/>
  <c r="BO79" i="18"/>
  <c r="BP79" i="18"/>
  <c r="BQ79" i="18"/>
  <c r="BR79" i="18"/>
  <c r="BS79" i="18"/>
  <c r="BT79" i="18"/>
  <c r="B80" i="18"/>
  <c r="C80" i="18"/>
  <c r="D80" i="18"/>
  <c r="E80" i="18"/>
  <c r="F80" i="18"/>
  <c r="G80" i="18"/>
  <c r="H80" i="18"/>
  <c r="I80" i="18"/>
  <c r="J80" i="18"/>
  <c r="K80" i="18"/>
  <c r="L80" i="18"/>
  <c r="M80" i="18"/>
  <c r="N80" i="18"/>
  <c r="O80" i="18"/>
  <c r="P80" i="18"/>
  <c r="Q80" i="18"/>
  <c r="R80" i="18"/>
  <c r="S80" i="18"/>
  <c r="T80" i="18"/>
  <c r="U80" i="18"/>
  <c r="V80" i="18"/>
  <c r="W80" i="18"/>
  <c r="X80" i="18"/>
  <c r="Y80" i="18"/>
  <c r="Z80" i="18"/>
  <c r="AA80" i="18"/>
  <c r="AB80" i="18"/>
  <c r="AC80" i="18"/>
  <c r="AD80" i="18"/>
  <c r="AE80" i="18"/>
  <c r="AF80" i="18"/>
  <c r="AG80" i="18"/>
  <c r="AH80" i="18"/>
  <c r="AI80" i="18"/>
  <c r="AJ80" i="18"/>
  <c r="AK80" i="18"/>
  <c r="AL80" i="18"/>
  <c r="AM80" i="18"/>
  <c r="AN80" i="18"/>
  <c r="AO80" i="18"/>
  <c r="AP80" i="18"/>
  <c r="AQ80" i="18"/>
  <c r="AR80" i="18"/>
  <c r="AS80" i="18"/>
  <c r="AT80" i="18"/>
  <c r="AU80" i="18"/>
  <c r="AV80" i="18"/>
  <c r="AW80" i="18"/>
  <c r="AX80" i="18"/>
  <c r="AY80" i="18"/>
  <c r="AZ80" i="18"/>
  <c r="BA80" i="18"/>
  <c r="BB80" i="18"/>
  <c r="BC80" i="18"/>
  <c r="BD80" i="18"/>
  <c r="BE80" i="18"/>
  <c r="BF80" i="18"/>
  <c r="BG80" i="18"/>
  <c r="BH80" i="18"/>
  <c r="BI80" i="18"/>
  <c r="BJ80" i="18"/>
  <c r="BK80" i="18"/>
  <c r="BL80" i="18"/>
  <c r="BM80" i="18"/>
  <c r="BN80" i="18"/>
  <c r="BO80" i="18"/>
  <c r="BP80" i="18"/>
  <c r="BQ80" i="18"/>
  <c r="BR80" i="18"/>
  <c r="BS80" i="18"/>
  <c r="BT80" i="18"/>
  <c r="B81" i="18"/>
  <c r="C81" i="18"/>
  <c r="D81" i="18"/>
  <c r="E81" i="18"/>
  <c r="F81" i="18"/>
  <c r="G81" i="18"/>
  <c r="H81" i="18"/>
  <c r="I81" i="18"/>
  <c r="J81" i="18"/>
  <c r="K81" i="18"/>
  <c r="L81" i="18"/>
  <c r="M81" i="18"/>
  <c r="N81" i="18"/>
  <c r="O81" i="18"/>
  <c r="P81" i="18"/>
  <c r="Q81" i="18"/>
  <c r="R81" i="18"/>
  <c r="S81" i="18"/>
  <c r="T81" i="18"/>
  <c r="U81" i="18"/>
  <c r="V81" i="18"/>
  <c r="W81" i="18"/>
  <c r="X81" i="18"/>
  <c r="Y81" i="18"/>
  <c r="Z81" i="18"/>
  <c r="AA81" i="18"/>
  <c r="AB81" i="18"/>
  <c r="AC81" i="18"/>
  <c r="AD81" i="18"/>
  <c r="AE81" i="18"/>
  <c r="AF81" i="18"/>
  <c r="AG81" i="18"/>
  <c r="AH81" i="18"/>
  <c r="AI81" i="18"/>
  <c r="AJ81" i="18"/>
  <c r="AK81" i="18"/>
  <c r="AL81" i="18"/>
  <c r="AM81" i="18"/>
  <c r="AN81" i="18"/>
  <c r="AO81" i="18"/>
  <c r="AP81" i="18"/>
  <c r="AQ81" i="18"/>
  <c r="AR81" i="18"/>
  <c r="AS81" i="18"/>
  <c r="AT81" i="18"/>
  <c r="AU81" i="18"/>
  <c r="AV81" i="18"/>
  <c r="AW81" i="18"/>
  <c r="AX81" i="18"/>
  <c r="AY81" i="18"/>
  <c r="AZ81" i="18"/>
  <c r="BA81" i="18"/>
  <c r="BB81" i="18"/>
  <c r="BC81" i="18"/>
  <c r="BD81" i="18"/>
  <c r="BE81" i="18"/>
  <c r="BF81" i="18"/>
  <c r="BG81" i="18"/>
  <c r="BH81" i="18"/>
  <c r="BI81" i="18"/>
  <c r="BJ81" i="18"/>
  <c r="BK81" i="18"/>
  <c r="BL81" i="18"/>
  <c r="BM81" i="18"/>
  <c r="BN81" i="18"/>
  <c r="BO81" i="18"/>
  <c r="BP81" i="18"/>
  <c r="BQ81" i="18"/>
  <c r="BR81" i="18"/>
  <c r="BS81" i="18"/>
  <c r="BT81" i="18"/>
  <c r="B82" i="18"/>
  <c r="C82" i="18"/>
  <c r="D82" i="18"/>
  <c r="E82" i="18"/>
  <c r="F82" i="18"/>
  <c r="G82" i="18"/>
  <c r="H82" i="18"/>
  <c r="I82" i="18"/>
  <c r="J82" i="18"/>
  <c r="K82" i="18"/>
  <c r="L82" i="18"/>
  <c r="M82" i="18"/>
  <c r="N82" i="18"/>
  <c r="O82" i="18"/>
  <c r="P82" i="18"/>
  <c r="Q82" i="18"/>
  <c r="R82" i="18"/>
  <c r="S82" i="18"/>
  <c r="T82" i="18"/>
  <c r="U82" i="18"/>
  <c r="V82" i="18"/>
  <c r="W82" i="18"/>
  <c r="X82" i="18"/>
  <c r="Y82" i="18"/>
  <c r="Z82" i="18"/>
  <c r="AA82" i="18"/>
  <c r="AB82" i="18"/>
  <c r="AC82" i="18"/>
  <c r="AD82" i="18"/>
  <c r="AE82" i="18"/>
  <c r="AF82" i="18"/>
  <c r="AG82" i="18"/>
  <c r="AH82" i="18"/>
  <c r="AI82" i="18"/>
  <c r="AJ82" i="18"/>
  <c r="AK82" i="18"/>
  <c r="AL82" i="18"/>
  <c r="AM82" i="18"/>
  <c r="AN82" i="18"/>
  <c r="AO82" i="18"/>
  <c r="AP82" i="18"/>
  <c r="AQ82" i="18"/>
  <c r="AR82" i="18"/>
  <c r="AS82" i="18"/>
  <c r="AT82" i="18"/>
  <c r="AU82" i="18"/>
  <c r="AV82" i="18"/>
  <c r="AW82" i="18"/>
  <c r="AX82" i="18"/>
  <c r="AY82" i="18"/>
  <c r="AZ82" i="18"/>
  <c r="BA82" i="18"/>
  <c r="BB82" i="18"/>
  <c r="BC82" i="18"/>
  <c r="BD82" i="18"/>
  <c r="BE82" i="18"/>
  <c r="BF82" i="18"/>
  <c r="BG82" i="18"/>
  <c r="BH82" i="18"/>
  <c r="BI82" i="18"/>
  <c r="BJ82" i="18"/>
  <c r="BK82" i="18"/>
  <c r="BL82" i="18"/>
  <c r="BM82" i="18"/>
  <c r="BN82" i="18"/>
  <c r="BO82" i="18"/>
  <c r="BP82" i="18"/>
  <c r="BQ82" i="18"/>
  <c r="BR82" i="18"/>
  <c r="BS82" i="18"/>
  <c r="BT82" i="18"/>
  <c r="B83" i="18"/>
  <c r="C83" i="18"/>
  <c r="D83" i="18"/>
  <c r="E83" i="18"/>
  <c r="F83" i="18"/>
  <c r="G83" i="18"/>
  <c r="H83" i="18"/>
  <c r="I83" i="18"/>
  <c r="J83" i="18"/>
  <c r="K83" i="18"/>
  <c r="L83" i="18"/>
  <c r="M83" i="18"/>
  <c r="N83" i="18"/>
  <c r="O83" i="18"/>
  <c r="P83" i="18"/>
  <c r="Q83" i="18"/>
  <c r="R83" i="18"/>
  <c r="S83" i="18"/>
  <c r="T83" i="18"/>
  <c r="U83" i="18"/>
  <c r="V83" i="18"/>
  <c r="W83" i="18"/>
  <c r="X83" i="18"/>
  <c r="Y83" i="18"/>
  <c r="Z83" i="18"/>
  <c r="AA83" i="18"/>
  <c r="AB83" i="18"/>
  <c r="AC83" i="18"/>
  <c r="AD83" i="18"/>
  <c r="AE83" i="18"/>
  <c r="AF83" i="18"/>
  <c r="AG83" i="18"/>
  <c r="AH83" i="18"/>
  <c r="AI83" i="18"/>
  <c r="AJ83" i="18"/>
  <c r="AK83" i="18"/>
  <c r="AL83" i="18"/>
  <c r="AM83" i="18"/>
  <c r="AN83" i="18"/>
  <c r="AO83" i="18"/>
  <c r="AP83" i="18"/>
  <c r="AQ83" i="18"/>
  <c r="AR83" i="18"/>
  <c r="AS83" i="18"/>
  <c r="AT83" i="18"/>
  <c r="AU83" i="18"/>
  <c r="AV83" i="18"/>
  <c r="AW83" i="18"/>
  <c r="AX83" i="18"/>
  <c r="AY83" i="18"/>
  <c r="AZ83" i="18"/>
  <c r="BA83" i="18"/>
  <c r="BB83" i="18"/>
  <c r="BC83" i="18"/>
  <c r="BD83" i="18"/>
  <c r="BE83" i="18"/>
  <c r="BF83" i="18"/>
  <c r="BG83" i="18"/>
  <c r="BH83" i="18"/>
  <c r="BI83" i="18"/>
  <c r="BJ83" i="18"/>
  <c r="BK83" i="18"/>
  <c r="BL83" i="18"/>
  <c r="BM83" i="18"/>
  <c r="BN83" i="18"/>
  <c r="BO83" i="18"/>
  <c r="BP83" i="18"/>
  <c r="BQ83" i="18"/>
  <c r="BR83" i="18"/>
  <c r="BS83" i="18"/>
  <c r="BT83" i="18"/>
  <c r="B84" i="18"/>
  <c r="C84" i="18"/>
  <c r="D84" i="18"/>
  <c r="E84" i="18"/>
  <c r="F84" i="18"/>
  <c r="G84" i="18"/>
  <c r="H84" i="18"/>
  <c r="I84" i="18"/>
  <c r="J84" i="18"/>
  <c r="K84" i="18"/>
  <c r="L84" i="18"/>
  <c r="M84" i="18"/>
  <c r="N84" i="18"/>
  <c r="O84" i="18"/>
  <c r="P84" i="18"/>
  <c r="Q84" i="18"/>
  <c r="R84" i="18"/>
  <c r="S84" i="18"/>
  <c r="T84" i="18"/>
  <c r="U84" i="18"/>
  <c r="V84" i="18"/>
  <c r="W84" i="18"/>
  <c r="X84" i="18"/>
  <c r="Y84" i="18"/>
  <c r="Z84" i="18"/>
  <c r="AA84" i="18"/>
  <c r="AB84" i="18"/>
  <c r="AC84" i="18"/>
  <c r="AD84" i="18"/>
  <c r="AE84" i="18"/>
  <c r="AF84" i="18"/>
  <c r="AG84" i="18"/>
  <c r="AH84" i="18"/>
  <c r="AI84" i="18"/>
  <c r="AJ84" i="18"/>
  <c r="AK84" i="18"/>
  <c r="AL84" i="18"/>
  <c r="AM84" i="18"/>
  <c r="AN84" i="18"/>
  <c r="AO84" i="18"/>
  <c r="AP84" i="18"/>
  <c r="AQ84" i="18"/>
  <c r="AR84" i="18"/>
  <c r="AS84" i="18"/>
  <c r="AT84" i="18"/>
  <c r="AU84" i="18"/>
  <c r="AV84" i="18"/>
  <c r="AW84" i="18"/>
  <c r="AX84" i="18"/>
  <c r="AY84" i="18"/>
  <c r="AZ84" i="18"/>
  <c r="BA84" i="18"/>
  <c r="BB84" i="18"/>
  <c r="BC84" i="18"/>
  <c r="BD84" i="18"/>
  <c r="BE84" i="18"/>
  <c r="BF84" i="18"/>
  <c r="BG84" i="18"/>
  <c r="BH84" i="18"/>
  <c r="BI84" i="18"/>
  <c r="BJ84" i="18"/>
  <c r="BK84" i="18"/>
  <c r="BL84" i="18"/>
  <c r="BM84" i="18"/>
  <c r="BN84" i="18"/>
  <c r="BO84" i="18"/>
  <c r="BP84" i="18"/>
  <c r="BQ84" i="18"/>
  <c r="BR84" i="18"/>
  <c r="BS84" i="18"/>
  <c r="BT84" i="18"/>
  <c r="B85" i="18"/>
  <c r="C85" i="18"/>
  <c r="D85" i="18"/>
  <c r="E85" i="18"/>
  <c r="F85" i="18"/>
  <c r="G85" i="18"/>
  <c r="H85" i="18"/>
  <c r="I85" i="18"/>
  <c r="J85" i="18"/>
  <c r="K85" i="18"/>
  <c r="L85" i="18"/>
  <c r="M85" i="18"/>
  <c r="N85" i="18"/>
  <c r="O85" i="18"/>
  <c r="P85" i="18"/>
  <c r="Q85" i="18"/>
  <c r="R85" i="18"/>
  <c r="S85" i="18"/>
  <c r="T85" i="18"/>
  <c r="U85" i="18"/>
  <c r="V85" i="18"/>
  <c r="W85" i="18"/>
  <c r="X85" i="18"/>
  <c r="Y85" i="18"/>
  <c r="Z85" i="18"/>
  <c r="AA85" i="18"/>
  <c r="AB85" i="18"/>
  <c r="AC85" i="18"/>
  <c r="AD85" i="18"/>
  <c r="AE85" i="18"/>
  <c r="AF85" i="18"/>
  <c r="AG85" i="18"/>
  <c r="AH85" i="18"/>
  <c r="AI85" i="18"/>
  <c r="AJ85" i="18"/>
  <c r="AK85" i="18"/>
  <c r="AL85" i="18"/>
  <c r="AM85" i="18"/>
  <c r="AN85" i="18"/>
  <c r="AO85" i="18"/>
  <c r="AP85" i="18"/>
  <c r="AQ85" i="18"/>
  <c r="AR85" i="18"/>
  <c r="AS85" i="18"/>
  <c r="AT85" i="18"/>
  <c r="AU85" i="18"/>
  <c r="AV85" i="18"/>
  <c r="AW85" i="18"/>
  <c r="AX85" i="18"/>
  <c r="AY85" i="18"/>
  <c r="AZ85" i="18"/>
  <c r="BA85" i="18"/>
  <c r="BB85" i="18"/>
  <c r="BC85" i="18"/>
  <c r="BD85" i="18"/>
  <c r="BE85" i="18"/>
  <c r="BF85" i="18"/>
  <c r="BG85" i="18"/>
  <c r="BH85" i="18"/>
  <c r="BI85" i="18"/>
  <c r="BJ85" i="18"/>
  <c r="BK85" i="18"/>
  <c r="BL85" i="18"/>
  <c r="BM85" i="18"/>
  <c r="BN85" i="18"/>
  <c r="BO85" i="18"/>
  <c r="BP85" i="18"/>
  <c r="BQ85" i="18"/>
  <c r="BR85" i="18"/>
  <c r="BS85" i="18"/>
  <c r="BT85" i="18"/>
  <c r="B86" i="18"/>
  <c r="C86" i="18"/>
  <c r="D86" i="18"/>
  <c r="E86" i="18"/>
  <c r="F86" i="18"/>
  <c r="G86" i="18"/>
  <c r="H86" i="18"/>
  <c r="I86" i="18"/>
  <c r="J86" i="18"/>
  <c r="K86" i="18"/>
  <c r="L86" i="18"/>
  <c r="M86" i="18"/>
  <c r="N86" i="18"/>
  <c r="O86" i="18"/>
  <c r="P86" i="18"/>
  <c r="Q86" i="18"/>
  <c r="R86" i="18"/>
  <c r="S86" i="18"/>
  <c r="T86" i="18"/>
  <c r="U86" i="18"/>
  <c r="V86" i="18"/>
  <c r="W86" i="18"/>
  <c r="X86" i="18"/>
  <c r="Y86" i="18"/>
  <c r="Z86" i="18"/>
  <c r="AA86" i="18"/>
  <c r="AB86" i="18"/>
  <c r="AC86" i="18"/>
  <c r="AD86" i="18"/>
  <c r="AE86" i="18"/>
  <c r="AF86" i="18"/>
  <c r="AG86" i="18"/>
  <c r="AH86" i="18"/>
  <c r="AI86" i="18"/>
  <c r="AJ86" i="18"/>
  <c r="AK86" i="18"/>
  <c r="AL86" i="18"/>
  <c r="AM86" i="18"/>
  <c r="AN86" i="18"/>
  <c r="AO86" i="18"/>
  <c r="AP86" i="18"/>
  <c r="AQ86" i="18"/>
  <c r="AR86" i="18"/>
  <c r="AS86" i="18"/>
  <c r="AT86" i="18"/>
  <c r="AU86" i="18"/>
  <c r="AV86" i="18"/>
  <c r="AW86" i="18"/>
  <c r="AX86" i="18"/>
  <c r="AY86" i="18"/>
  <c r="AZ86" i="18"/>
  <c r="BA86" i="18"/>
  <c r="BB86" i="18"/>
  <c r="BC86" i="18"/>
  <c r="BD86" i="18"/>
  <c r="BE86" i="18"/>
  <c r="BF86" i="18"/>
  <c r="BG86" i="18"/>
  <c r="BH86" i="18"/>
  <c r="BI86" i="18"/>
  <c r="BJ86" i="18"/>
  <c r="BK86" i="18"/>
  <c r="BL86" i="18"/>
  <c r="BM86" i="18"/>
  <c r="BN86" i="18"/>
  <c r="BO86" i="18"/>
  <c r="BP86" i="18"/>
  <c r="BQ86" i="18"/>
  <c r="BR86" i="18"/>
  <c r="BS86" i="18"/>
  <c r="BT86" i="18"/>
  <c r="B87" i="18"/>
  <c r="C87" i="18"/>
  <c r="D87" i="18"/>
  <c r="E87" i="18"/>
  <c r="F87" i="18"/>
  <c r="G87" i="18"/>
  <c r="H87" i="18"/>
  <c r="I87" i="18"/>
  <c r="J87" i="18"/>
  <c r="K87" i="18"/>
  <c r="L87" i="18"/>
  <c r="M87" i="18"/>
  <c r="N87" i="18"/>
  <c r="O87" i="18"/>
  <c r="P87" i="18"/>
  <c r="Q87" i="18"/>
  <c r="R87" i="18"/>
  <c r="S87" i="18"/>
  <c r="T87" i="18"/>
  <c r="U87" i="18"/>
  <c r="V87" i="18"/>
  <c r="W87" i="18"/>
  <c r="X87" i="18"/>
  <c r="Y87" i="18"/>
  <c r="Z87" i="18"/>
  <c r="AA87" i="18"/>
  <c r="AB87" i="18"/>
  <c r="AC87" i="18"/>
  <c r="AD87" i="18"/>
  <c r="AE87" i="18"/>
  <c r="AF87" i="18"/>
  <c r="AG87" i="18"/>
  <c r="AH87" i="18"/>
  <c r="AI87" i="18"/>
  <c r="AJ87" i="18"/>
  <c r="AK87" i="18"/>
  <c r="AL87" i="18"/>
  <c r="AM87" i="18"/>
  <c r="AN87" i="18"/>
  <c r="AO87" i="18"/>
  <c r="AP87" i="18"/>
  <c r="AQ87" i="18"/>
  <c r="AR87" i="18"/>
  <c r="AS87" i="18"/>
  <c r="AT87" i="18"/>
  <c r="AU87" i="18"/>
  <c r="AV87" i="18"/>
  <c r="AW87" i="18"/>
  <c r="AX87" i="18"/>
  <c r="AY87" i="18"/>
  <c r="AZ87" i="18"/>
  <c r="BA87" i="18"/>
  <c r="BB87" i="18"/>
  <c r="BC87" i="18"/>
  <c r="BD87" i="18"/>
  <c r="BE87" i="18"/>
  <c r="BF87" i="18"/>
  <c r="BG87" i="18"/>
  <c r="BH87" i="18"/>
  <c r="BI87" i="18"/>
  <c r="BJ87" i="18"/>
  <c r="BK87" i="18"/>
  <c r="BL87" i="18"/>
  <c r="BM87" i="18"/>
  <c r="BN87" i="18"/>
  <c r="BO87" i="18"/>
  <c r="BP87" i="18"/>
  <c r="BQ87" i="18"/>
  <c r="BR87" i="18"/>
  <c r="BS87" i="18"/>
  <c r="BT87" i="18"/>
  <c r="B88" i="18"/>
  <c r="C88" i="18"/>
  <c r="D88" i="18"/>
  <c r="E88" i="18"/>
  <c r="F88" i="18"/>
  <c r="G88" i="18"/>
  <c r="H88" i="18"/>
  <c r="I88" i="18"/>
  <c r="J88" i="18"/>
  <c r="K88" i="18"/>
  <c r="L88" i="18"/>
  <c r="M88" i="18"/>
  <c r="N88" i="18"/>
  <c r="O88" i="18"/>
  <c r="P88" i="18"/>
  <c r="Q88" i="18"/>
  <c r="R88" i="18"/>
  <c r="S88" i="18"/>
  <c r="T88" i="18"/>
  <c r="U88" i="18"/>
  <c r="V88" i="18"/>
  <c r="W88" i="18"/>
  <c r="X88" i="18"/>
  <c r="Y88" i="18"/>
  <c r="Z88" i="18"/>
  <c r="AA88" i="18"/>
  <c r="AB88" i="18"/>
  <c r="AC88" i="18"/>
  <c r="AD88" i="18"/>
  <c r="AE88" i="18"/>
  <c r="AF88" i="18"/>
  <c r="AG88" i="18"/>
  <c r="AH88" i="18"/>
  <c r="AI88" i="18"/>
  <c r="AJ88" i="18"/>
  <c r="AK88" i="18"/>
  <c r="AL88" i="18"/>
  <c r="AM88" i="18"/>
  <c r="AN88" i="18"/>
  <c r="AO88" i="18"/>
  <c r="AP88" i="18"/>
  <c r="AQ88" i="18"/>
  <c r="AR88" i="18"/>
  <c r="AS88" i="18"/>
  <c r="AT88" i="18"/>
  <c r="AU88" i="18"/>
  <c r="AV88" i="18"/>
  <c r="AW88" i="18"/>
  <c r="AX88" i="18"/>
  <c r="AY88" i="18"/>
  <c r="AZ88" i="18"/>
  <c r="BA88" i="18"/>
  <c r="BB88" i="18"/>
  <c r="BC88" i="18"/>
  <c r="BD88" i="18"/>
  <c r="BE88" i="18"/>
  <c r="BF88" i="18"/>
  <c r="BG88" i="18"/>
  <c r="BH88" i="18"/>
  <c r="BI88" i="18"/>
  <c r="BJ88" i="18"/>
  <c r="BK88" i="18"/>
  <c r="BL88" i="18"/>
  <c r="BM88" i="18"/>
  <c r="BN88" i="18"/>
  <c r="BO88" i="18"/>
  <c r="BP88" i="18"/>
  <c r="BQ88" i="18"/>
  <c r="BR88" i="18"/>
  <c r="BS88" i="18"/>
  <c r="BT88" i="18"/>
  <c r="B89" i="18"/>
  <c r="C89" i="18"/>
  <c r="D89" i="18"/>
  <c r="E89" i="18"/>
  <c r="F89" i="18"/>
  <c r="G89" i="18"/>
  <c r="H89" i="18"/>
  <c r="I89" i="18"/>
  <c r="J89" i="18"/>
  <c r="K89" i="18"/>
  <c r="L89" i="18"/>
  <c r="M89" i="18"/>
  <c r="N89" i="18"/>
  <c r="O89" i="18"/>
  <c r="P89" i="18"/>
  <c r="Q89" i="18"/>
  <c r="R89" i="18"/>
  <c r="S89" i="18"/>
  <c r="T89" i="18"/>
  <c r="U89" i="18"/>
  <c r="V89" i="18"/>
  <c r="W89" i="18"/>
  <c r="X89" i="18"/>
  <c r="Y89" i="18"/>
  <c r="Z89" i="18"/>
  <c r="AA89" i="18"/>
  <c r="AB89" i="18"/>
  <c r="AC89" i="18"/>
  <c r="AD89" i="18"/>
  <c r="AE89" i="18"/>
  <c r="AF89" i="18"/>
  <c r="AG89" i="18"/>
  <c r="AH89" i="18"/>
  <c r="AI89" i="18"/>
  <c r="AJ89" i="18"/>
  <c r="AK89" i="18"/>
  <c r="AL89" i="18"/>
  <c r="AM89" i="18"/>
  <c r="AN89" i="18"/>
  <c r="AO89" i="18"/>
  <c r="AP89" i="18"/>
  <c r="AQ89" i="18"/>
  <c r="AR89" i="18"/>
  <c r="AS89" i="18"/>
  <c r="AT89" i="18"/>
  <c r="AU89" i="18"/>
  <c r="AV89" i="18"/>
  <c r="AW89" i="18"/>
  <c r="AX89" i="18"/>
  <c r="AY89" i="18"/>
  <c r="AZ89" i="18"/>
  <c r="BA89" i="18"/>
  <c r="BB89" i="18"/>
  <c r="BC89" i="18"/>
  <c r="BD89" i="18"/>
  <c r="BE89" i="18"/>
  <c r="BF89" i="18"/>
  <c r="BG89" i="18"/>
  <c r="BH89" i="18"/>
  <c r="BI89" i="18"/>
  <c r="BJ89" i="18"/>
  <c r="BK89" i="18"/>
  <c r="BL89" i="18"/>
  <c r="BM89" i="18"/>
  <c r="BN89" i="18"/>
  <c r="BO89" i="18"/>
  <c r="BP89" i="18"/>
  <c r="BQ89" i="18"/>
  <c r="BR89" i="18"/>
  <c r="BS89" i="18"/>
  <c r="BT89" i="18"/>
  <c r="B90" i="18"/>
  <c r="C90" i="18"/>
  <c r="D90" i="18"/>
  <c r="E90" i="18"/>
  <c r="F90" i="18"/>
  <c r="G90" i="18"/>
  <c r="H90" i="18"/>
  <c r="I90" i="18"/>
  <c r="J90" i="18"/>
  <c r="K90" i="18"/>
  <c r="L90" i="18"/>
  <c r="M90" i="18"/>
  <c r="N90" i="18"/>
  <c r="O90" i="18"/>
  <c r="P90" i="18"/>
  <c r="Q90" i="18"/>
  <c r="R90" i="18"/>
  <c r="S90" i="18"/>
  <c r="T90" i="18"/>
  <c r="U90" i="18"/>
  <c r="V90" i="18"/>
  <c r="W90" i="18"/>
  <c r="X90" i="18"/>
  <c r="Y90" i="18"/>
  <c r="Z90" i="18"/>
  <c r="AA90" i="18"/>
  <c r="AB90" i="18"/>
  <c r="AC90" i="18"/>
  <c r="AD90" i="18"/>
  <c r="AE90" i="18"/>
  <c r="AF90" i="18"/>
  <c r="AG90" i="18"/>
  <c r="AH90" i="18"/>
  <c r="AI90" i="18"/>
  <c r="AJ90" i="18"/>
  <c r="AK90" i="18"/>
  <c r="AL90" i="18"/>
  <c r="AM90" i="18"/>
  <c r="AN90" i="18"/>
  <c r="AO90" i="18"/>
  <c r="AP90" i="18"/>
  <c r="AQ90" i="18"/>
  <c r="AR90" i="18"/>
  <c r="AS90" i="18"/>
  <c r="AT90" i="18"/>
  <c r="AU90" i="18"/>
  <c r="AV90" i="18"/>
  <c r="AW90" i="18"/>
  <c r="AX90" i="18"/>
  <c r="AY90" i="18"/>
  <c r="AZ90" i="18"/>
  <c r="BA90" i="18"/>
  <c r="BB90" i="18"/>
  <c r="BC90" i="18"/>
  <c r="BD90" i="18"/>
  <c r="BE90" i="18"/>
  <c r="BF90" i="18"/>
  <c r="BG90" i="18"/>
  <c r="BH90" i="18"/>
  <c r="BI90" i="18"/>
  <c r="BJ90" i="18"/>
  <c r="BK90" i="18"/>
  <c r="BL90" i="18"/>
  <c r="BM90" i="18"/>
  <c r="BN90" i="18"/>
  <c r="BO90" i="18"/>
  <c r="BP90" i="18"/>
  <c r="BQ90" i="18"/>
  <c r="BR90" i="18"/>
  <c r="BS90" i="18"/>
  <c r="BT90" i="18"/>
  <c r="B91" i="18"/>
  <c r="C91" i="18"/>
  <c r="D91" i="18"/>
  <c r="E91" i="18"/>
  <c r="F91" i="18"/>
  <c r="G91" i="18"/>
  <c r="H91" i="18"/>
  <c r="I91" i="18"/>
  <c r="J91" i="18"/>
  <c r="K91" i="18"/>
  <c r="L91" i="18"/>
  <c r="M91" i="18"/>
  <c r="N91" i="18"/>
  <c r="O91" i="18"/>
  <c r="P91" i="18"/>
  <c r="Q91" i="18"/>
  <c r="R91" i="18"/>
  <c r="S91" i="18"/>
  <c r="T91" i="18"/>
  <c r="U91" i="18"/>
  <c r="V91" i="18"/>
  <c r="W91" i="18"/>
  <c r="X91" i="18"/>
  <c r="Y91" i="18"/>
  <c r="Z91" i="18"/>
  <c r="AA91" i="18"/>
  <c r="AB91" i="18"/>
  <c r="AC91" i="18"/>
  <c r="AD91" i="18"/>
  <c r="AE91" i="18"/>
  <c r="AF91" i="18"/>
  <c r="AG91" i="18"/>
  <c r="AH91" i="18"/>
  <c r="AI91" i="18"/>
  <c r="AJ91" i="18"/>
  <c r="AK91" i="18"/>
  <c r="AL91" i="18"/>
  <c r="AM91" i="18"/>
  <c r="AN91" i="18"/>
  <c r="AO91" i="18"/>
  <c r="AP91" i="18"/>
  <c r="AQ91" i="18"/>
  <c r="AR91" i="18"/>
  <c r="AS91" i="18"/>
  <c r="AT91" i="18"/>
  <c r="AU91" i="18"/>
  <c r="AV91" i="18"/>
  <c r="AW91" i="18"/>
  <c r="AX91" i="18"/>
  <c r="AY91" i="18"/>
  <c r="AZ91" i="18"/>
  <c r="BA91" i="18"/>
  <c r="BB91" i="18"/>
  <c r="BC91" i="18"/>
  <c r="BD91" i="18"/>
  <c r="BE91" i="18"/>
  <c r="BF91" i="18"/>
  <c r="BG91" i="18"/>
  <c r="BH91" i="18"/>
  <c r="BI91" i="18"/>
  <c r="BJ91" i="18"/>
  <c r="BK91" i="18"/>
  <c r="BL91" i="18"/>
  <c r="BM91" i="18"/>
  <c r="BN91" i="18"/>
  <c r="BO91" i="18"/>
  <c r="BP91" i="18"/>
  <c r="BQ91" i="18"/>
  <c r="BR91" i="18"/>
  <c r="BS91" i="18"/>
  <c r="BT91" i="18"/>
  <c r="B92" i="18"/>
  <c r="C92" i="18"/>
  <c r="D92" i="18"/>
  <c r="E92" i="18"/>
  <c r="F92" i="18"/>
  <c r="G92" i="18"/>
  <c r="H92" i="18"/>
  <c r="I92" i="18"/>
  <c r="J92" i="18"/>
  <c r="K92" i="18"/>
  <c r="L92" i="18"/>
  <c r="M92" i="18"/>
  <c r="N92" i="18"/>
  <c r="O92" i="18"/>
  <c r="P92" i="18"/>
  <c r="Q92" i="18"/>
  <c r="R92" i="18"/>
  <c r="S92" i="18"/>
  <c r="T92" i="18"/>
  <c r="U92" i="18"/>
  <c r="V92" i="18"/>
  <c r="W92" i="18"/>
  <c r="X92" i="18"/>
  <c r="Y92" i="18"/>
  <c r="Z92" i="18"/>
  <c r="AA92" i="18"/>
  <c r="AB92" i="18"/>
  <c r="AC92" i="18"/>
  <c r="AD92" i="18"/>
  <c r="AE92" i="18"/>
  <c r="AF92" i="18"/>
  <c r="AG92" i="18"/>
  <c r="AH92" i="18"/>
  <c r="AI92" i="18"/>
  <c r="AJ92" i="18"/>
  <c r="AK92" i="18"/>
  <c r="AL92" i="18"/>
  <c r="AM92" i="18"/>
  <c r="AN92" i="18"/>
  <c r="AO92" i="18"/>
  <c r="AP92" i="18"/>
  <c r="AQ92" i="18"/>
  <c r="AR92" i="18"/>
  <c r="AS92" i="18"/>
  <c r="AT92" i="18"/>
  <c r="AU92" i="18"/>
  <c r="AV92" i="18"/>
  <c r="AW92" i="18"/>
  <c r="AX92" i="18"/>
  <c r="AY92" i="18"/>
  <c r="AZ92" i="18"/>
  <c r="BA92" i="18"/>
  <c r="BB92" i="18"/>
  <c r="BC92" i="18"/>
  <c r="BD92" i="18"/>
  <c r="BE92" i="18"/>
  <c r="BF92" i="18"/>
  <c r="BG92" i="18"/>
  <c r="BH92" i="18"/>
  <c r="BI92" i="18"/>
  <c r="BJ92" i="18"/>
  <c r="BK92" i="18"/>
  <c r="BL92" i="18"/>
  <c r="BM92" i="18"/>
  <c r="BN92" i="18"/>
  <c r="BO92" i="18"/>
  <c r="BP92" i="18"/>
  <c r="BQ92" i="18"/>
  <c r="BR92" i="18"/>
  <c r="BS92" i="18"/>
  <c r="BT92" i="18"/>
  <c r="B93" i="18"/>
  <c r="C93" i="18"/>
  <c r="D93" i="18"/>
  <c r="E93" i="18"/>
  <c r="F93" i="18"/>
  <c r="G93" i="18"/>
  <c r="H93" i="18"/>
  <c r="I93" i="18"/>
  <c r="J93" i="18"/>
  <c r="K93" i="18"/>
  <c r="L93" i="18"/>
  <c r="M93" i="18"/>
  <c r="N93" i="18"/>
  <c r="O93" i="18"/>
  <c r="P93" i="18"/>
  <c r="Q93" i="18"/>
  <c r="R93" i="18"/>
  <c r="S93" i="18"/>
  <c r="T93" i="18"/>
  <c r="U93" i="18"/>
  <c r="V93" i="18"/>
  <c r="W93" i="18"/>
  <c r="X93" i="18"/>
  <c r="Y93" i="18"/>
  <c r="Z93" i="18"/>
  <c r="AA93" i="18"/>
  <c r="AB93" i="18"/>
  <c r="AC93" i="18"/>
  <c r="AD93" i="18"/>
  <c r="AE93" i="18"/>
  <c r="AF93" i="18"/>
  <c r="AG93" i="18"/>
  <c r="AH93" i="18"/>
  <c r="AI93" i="18"/>
  <c r="AJ93" i="18"/>
  <c r="AK93" i="18"/>
  <c r="AL93" i="18"/>
  <c r="AM93" i="18"/>
  <c r="AN93" i="18"/>
  <c r="AO93" i="18"/>
  <c r="AP93" i="18"/>
  <c r="AQ93" i="18"/>
  <c r="AR93" i="18"/>
  <c r="AS93" i="18"/>
  <c r="AT93" i="18"/>
  <c r="AU93" i="18"/>
  <c r="AV93" i="18"/>
  <c r="AW93" i="18"/>
  <c r="AX93" i="18"/>
  <c r="AY93" i="18"/>
  <c r="AZ93" i="18"/>
  <c r="BA93" i="18"/>
  <c r="BB93" i="18"/>
  <c r="BC93" i="18"/>
  <c r="BD93" i="18"/>
  <c r="BE93" i="18"/>
  <c r="BF93" i="18"/>
  <c r="BG93" i="18"/>
  <c r="BH93" i="18"/>
  <c r="BI93" i="18"/>
  <c r="BJ93" i="18"/>
  <c r="BK93" i="18"/>
  <c r="BL93" i="18"/>
  <c r="BM93" i="18"/>
  <c r="BN93" i="18"/>
  <c r="BO93" i="18"/>
  <c r="BP93" i="18"/>
  <c r="BQ93" i="18"/>
  <c r="BR93" i="18"/>
  <c r="BS93" i="18"/>
  <c r="BT93" i="18"/>
  <c r="B94" i="18"/>
  <c r="C94" i="18"/>
  <c r="D94" i="18"/>
  <c r="E94" i="18"/>
  <c r="F94" i="18"/>
  <c r="G94" i="18"/>
  <c r="H94" i="18"/>
  <c r="I94" i="18"/>
  <c r="J94" i="18"/>
  <c r="K94" i="18"/>
  <c r="L94" i="18"/>
  <c r="M94" i="18"/>
  <c r="N94" i="18"/>
  <c r="O94" i="18"/>
  <c r="P94" i="18"/>
  <c r="Q94" i="18"/>
  <c r="R94" i="18"/>
  <c r="S94" i="18"/>
  <c r="T94" i="18"/>
  <c r="U94" i="18"/>
  <c r="V94" i="18"/>
  <c r="W94" i="18"/>
  <c r="X94" i="18"/>
  <c r="Y94" i="18"/>
  <c r="Z94" i="18"/>
  <c r="AA94" i="18"/>
  <c r="AB94" i="18"/>
  <c r="AC94" i="18"/>
  <c r="AD94" i="18"/>
  <c r="AE94" i="18"/>
  <c r="AF94" i="18"/>
  <c r="AG94" i="18"/>
  <c r="AH94" i="18"/>
  <c r="AI94" i="18"/>
  <c r="AJ94" i="18"/>
  <c r="AK94" i="18"/>
  <c r="AL94" i="18"/>
  <c r="AM94" i="18"/>
  <c r="AN94" i="18"/>
  <c r="AO94" i="18"/>
  <c r="AP94" i="18"/>
  <c r="AQ94" i="18"/>
  <c r="AR94" i="18"/>
  <c r="AS94" i="18"/>
  <c r="AT94" i="18"/>
  <c r="AU94" i="18"/>
  <c r="AV94" i="18"/>
  <c r="AW94" i="18"/>
  <c r="AX94" i="18"/>
  <c r="AY94" i="18"/>
  <c r="AZ94" i="18"/>
  <c r="BA94" i="18"/>
  <c r="BB94" i="18"/>
  <c r="BC94" i="18"/>
  <c r="BD94" i="18"/>
  <c r="BE94" i="18"/>
  <c r="BF94" i="18"/>
  <c r="BG94" i="18"/>
  <c r="BH94" i="18"/>
  <c r="BI94" i="18"/>
  <c r="BJ94" i="18"/>
  <c r="BK94" i="18"/>
  <c r="BL94" i="18"/>
  <c r="BM94" i="18"/>
  <c r="BN94" i="18"/>
  <c r="BO94" i="18"/>
  <c r="BP94" i="18"/>
  <c r="BQ94" i="18"/>
  <c r="BR94" i="18"/>
  <c r="BS94" i="18"/>
  <c r="BT94" i="18"/>
  <c r="B95" i="18"/>
  <c r="C95" i="18"/>
  <c r="D95" i="18"/>
  <c r="E95" i="18"/>
  <c r="F95" i="18"/>
  <c r="G95" i="18"/>
  <c r="H95" i="18"/>
  <c r="I95" i="18"/>
  <c r="J95" i="18"/>
  <c r="K95" i="18"/>
  <c r="L95" i="18"/>
  <c r="M95" i="18"/>
  <c r="N95" i="18"/>
  <c r="O95" i="18"/>
  <c r="P95" i="18"/>
  <c r="Q95" i="18"/>
  <c r="R95" i="18"/>
  <c r="S95" i="18"/>
  <c r="T95" i="18"/>
  <c r="U95" i="18"/>
  <c r="V95" i="18"/>
  <c r="W95" i="18"/>
  <c r="X95" i="18"/>
  <c r="Y95" i="18"/>
  <c r="Z95" i="18"/>
  <c r="AA95" i="18"/>
  <c r="AB95" i="18"/>
  <c r="AC95" i="18"/>
  <c r="AD95" i="18"/>
  <c r="AE95" i="18"/>
  <c r="AF95" i="18"/>
  <c r="AG95" i="18"/>
  <c r="AH95" i="18"/>
  <c r="AI95" i="18"/>
  <c r="AJ95" i="18"/>
  <c r="AK95" i="18"/>
  <c r="AL95" i="18"/>
  <c r="AM95" i="18"/>
  <c r="AN95" i="18"/>
  <c r="AO95" i="18"/>
  <c r="AP95" i="18"/>
  <c r="AQ95" i="18"/>
  <c r="AR95" i="18"/>
  <c r="AS95" i="18"/>
  <c r="AT95" i="18"/>
  <c r="AU95" i="18"/>
  <c r="AV95" i="18"/>
  <c r="AW95" i="18"/>
  <c r="AX95" i="18"/>
  <c r="AY95" i="18"/>
  <c r="AZ95" i="18"/>
  <c r="BA95" i="18"/>
  <c r="BB95" i="18"/>
  <c r="BC95" i="18"/>
  <c r="BD95" i="18"/>
  <c r="BE95" i="18"/>
  <c r="BF95" i="18"/>
  <c r="BG95" i="18"/>
  <c r="BH95" i="18"/>
  <c r="BI95" i="18"/>
  <c r="BJ95" i="18"/>
  <c r="BK95" i="18"/>
  <c r="BL95" i="18"/>
  <c r="BM95" i="18"/>
  <c r="BN95" i="18"/>
  <c r="BO95" i="18"/>
  <c r="BP95" i="18"/>
  <c r="BQ95" i="18"/>
  <c r="BR95" i="18"/>
  <c r="BS95" i="18"/>
  <c r="BT95" i="18"/>
  <c r="B96" i="18"/>
  <c r="C96" i="18"/>
  <c r="D96" i="18"/>
  <c r="E96" i="18"/>
  <c r="F96" i="18"/>
  <c r="G96" i="18"/>
  <c r="H96" i="18"/>
  <c r="I96" i="18"/>
  <c r="J96" i="18"/>
  <c r="K96" i="18"/>
  <c r="L96" i="18"/>
  <c r="M96" i="18"/>
  <c r="N96" i="18"/>
  <c r="O96" i="18"/>
  <c r="P96" i="18"/>
  <c r="Q96" i="18"/>
  <c r="R96" i="18"/>
  <c r="S96" i="18"/>
  <c r="T96" i="18"/>
  <c r="U96" i="18"/>
  <c r="V96" i="18"/>
  <c r="W96" i="18"/>
  <c r="X96" i="18"/>
  <c r="Y96" i="18"/>
  <c r="Z96" i="18"/>
  <c r="AA96" i="18"/>
  <c r="AB96" i="18"/>
  <c r="AC96" i="18"/>
  <c r="AD96" i="18"/>
  <c r="AE96" i="18"/>
  <c r="AF96" i="18"/>
  <c r="AG96" i="18"/>
  <c r="AH96" i="18"/>
  <c r="AI96" i="18"/>
  <c r="AJ96" i="18"/>
  <c r="AK96" i="18"/>
  <c r="AL96" i="18"/>
  <c r="AM96" i="18"/>
  <c r="AN96" i="18"/>
  <c r="AO96" i="18"/>
  <c r="AP96" i="18"/>
  <c r="AQ96" i="18"/>
  <c r="AR96" i="18"/>
  <c r="AS96" i="18"/>
  <c r="AT96" i="18"/>
  <c r="AU96" i="18"/>
  <c r="AV96" i="18"/>
  <c r="AW96" i="18"/>
  <c r="AX96" i="18"/>
  <c r="AY96" i="18"/>
  <c r="AZ96" i="18"/>
  <c r="BA96" i="18"/>
  <c r="BB96" i="18"/>
  <c r="BC96" i="18"/>
  <c r="BD96" i="18"/>
  <c r="BE96" i="18"/>
  <c r="BF96" i="18"/>
  <c r="BG96" i="18"/>
  <c r="BH96" i="18"/>
  <c r="BI96" i="18"/>
  <c r="BJ96" i="18"/>
  <c r="BK96" i="18"/>
  <c r="BL96" i="18"/>
  <c r="BM96" i="18"/>
  <c r="BN96" i="18"/>
  <c r="BO96" i="18"/>
  <c r="BP96" i="18"/>
  <c r="BQ96" i="18"/>
  <c r="BR96" i="18"/>
  <c r="BS96" i="18"/>
  <c r="BT96" i="18"/>
  <c r="B97" i="18"/>
  <c r="C97" i="18"/>
  <c r="D97" i="18"/>
  <c r="E97" i="18"/>
  <c r="F97" i="18"/>
  <c r="G97" i="18"/>
  <c r="H97" i="18"/>
  <c r="I97" i="18"/>
  <c r="J97" i="18"/>
  <c r="K97" i="18"/>
  <c r="L97" i="18"/>
  <c r="M97" i="18"/>
  <c r="N97" i="18"/>
  <c r="O97" i="18"/>
  <c r="P97" i="18"/>
  <c r="Q97" i="18"/>
  <c r="R97" i="18"/>
  <c r="S97" i="18"/>
  <c r="T97" i="18"/>
  <c r="U97" i="18"/>
  <c r="V97" i="18"/>
  <c r="W97" i="18"/>
  <c r="X97" i="18"/>
  <c r="Y97" i="18"/>
  <c r="Z97" i="18"/>
  <c r="AA97" i="18"/>
  <c r="AB97" i="18"/>
  <c r="AC97" i="18"/>
  <c r="AD97" i="18"/>
  <c r="AE97" i="18"/>
  <c r="AF97" i="18"/>
  <c r="AG97" i="18"/>
  <c r="AH97" i="18"/>
  <c r="AI97" i="18"/>
  <c r="AJ97" i="18"/>
  <c r="AK97" i="18"/>
  <c r="AL97" i="18"/>
  <c r="AM97" i="18"/>
  <c r="AN97" i="18"/>
  <c r="AO97" i="18"/>
  <c r="AP97" i="18"/>
  <c r="AQ97" i="18"/>
  <c r="AR97" i="18"/>
  <c r="AS97" i="18"/>
  <c r="AT97" i="18"/>
  <c r="AU97" i="18"/>
  <c r="AV97" i="18"/>
  <c r="AW97" i="18"/>
  <c r="AX97" i="18"/>
  <c r="AY97" i="18"/>
  <c r="AZ97" i="18"/>
  <c r="BA97" i="18"/>
  <c r="BB97" i="18"/>
  <c r="BC97" i="18"/>
  <c r="BD97" i="18"/>
  <c r="BE97" i="18"/>
  <c r="BF97" i="18"/>
  <c r="BG97" i="18"/>
  <c r="BH97" i="18"/>
  <c r="BI97" i="18"/>
  <c r="BJ97" i="18"/>
  <c r="BK97" i="18"/>
  <c r="BL97" i="18"/>
  <c r="BM97" i="18"/>
  <c r="BN97" i="18"/>
  <c r="BO97" i="18"/>
  <c r="BP97" i="18"/>
  <c r="BQ97" i="18"/>
  <c r="BR97" i="18"/>
  <c r="BS97" i="18"/>
  <c r="BT97" i="18"/>
  <c r="B98" i="18"/>
  <c r="C98" i="18"/>
  <c r="D98" i="18"/>
  <c r="E98" i="18"/>
  <c r="F98" i="18"/>
  <c r="G98" i="18"/>
  <c r="H98" i="18"/>
  <c r="I98" i="18"/>
  <c r="J98" i="18"/>
  <c r="K98" i="18"/>
  <c r="L98" i="18"/>
  <c r="M98" i="18"/>
  <c r="N98" i="18"/>
  <c r="O98" i="18"/>
  <c r="P98" i="18"/>
  <c r="Q98" i="18"/>
  <c r="R98" i="18"/>
  <c r="S98" i="18"/>
  <c r="T98" i="18"/>
  <c r="U98" i="18"/>
  <c r="V98" i="18"/>
  <c r="W98" i="18"/>
  <c r="X98" i="18"/>
  <c r="Y98" i="18"/>
  <c r="Z98" i="18"/>
  <c r="AA98" i="18"/>
  <c r="AB98" i="18"/>
  <c r="AC98" i="18"/>
  <c r="AD98" i="18"/>
  <c r="AE98" i="18"/>
  <c r="AF98" i="18"/>
  <c r="AG98" i="18"/>
  <c r="AH98" i="18"/>
  <c r="AI98" i="18"/>
  <c r="AJ98" i="18"/>
  <c r="AK98" i="18"/>
  <c r="AL98" i="18"/>
  <c r="AM98" i="18"/>
  <c r="AN98" i="18"/>
  <c r="AO98" i="18"/>
  <c r="AP98" i="18"/>
  <c r="AQ98" i="18"/>
  <c r="AR98" i="18"/>
  <c r="AS98" i="18"/>
  <c r="AT98" i="18"/>
  <c r="AU98" i="18"/>
  <c r="AV98" i="18"/>
  <c r="AW98" i="18"/>
  <c r="AX98" i="18"/>
  <c r="AY98" i="18"/>
  <c r="AZ98" i="18"/>
  <c r="BA98" i="18"/>
  <c r="BB98" i="18"/>
  <c r="BC98" i="18"/>
  <c r="BD98" i="18"/>
  <c r="BE98" i="18"/>
  <c r="BF98" i="18"/>
  <c r="BG98" i="18"/>
  <c r="BH98" i="18"/>
  <c r="BI98" i="18"/>
  <c r="BJ98" i="18"/>
  <c r="BK98" i="18"/>
  <c r="BL98" i="18"/>
  <c r="BM98" i="18"/>
  <c r="BN98" i="18"/>
  <c r="BO98" i="18"/>
  <c r="BP98" i="18"/>
  <c r="BQ98" i="18"/>
  <c r="BR98" i="18"/>
  <c r="BS98" i="18"/>
  <c r="BT98" i="18"/>
  <c r="B99" i="18"/>
  <c r="C99" i="18"/>
  <c r="D99" i="18"/>
  <c r="E99" i="18"/>
  <c r="F99" i="18"/>
  <c r="G99" i="18"/>
  <c r="H99" i="18"/>
  <c r="I99" i="18"/>
  <c r="J99" i="18"/>
  <c r="K99" i="18"/>
  <c r="L99" i="18"/>
  <c r="M99" i="18"/>
  <c r="N99" i="18"/>
  <c r="O99" i="18"/>
  <c r="P99" i="18"/>
  <c r="Q99" i="18"/>
  <c r="R99" i="18"/>
  <c r="S99" i="18"/>
  <c r="T99" i="18"/>
  <c r="U99" i="18"/>
  <c r="V99" i="18"/>
  <c r="W99" i="18"/>
  <c r="X99" i="18"/>
  <c r="Y99" i="18"/>
  <c r="Z99" i="18"/>
  <c r="AA99" i="18"/>
  <c r="AB99" i="18"/>
  <c r="AC99" i="18"/>
  <c r="AD99" i="18"/>
  <c r="AE99" i="18"/>
  <c r="AF99" i="18"/>
  <c r="AG99" i="18"/>
  <c r="AH99" i="18"/>
  <c r="AI99" i="18"/>
  <c r="AJ99" i="18"/>
  <c r="AK99" i="18"/>
  <c r="AL99" i="18"/>
  <c r="AM99" i="18"/>
  <c r="AN99" i="18"/>
  <c r="AO99" i="18"/>
  <c r="AP99" i="18"/>
  <c r="AQ99" i="18"/>
  <c r="AR99" i="18"/>
  <c r="AS99" i="18"/>
  <c r="AT99" i="18"/>
  <c r="AU99" i="18"/>
  <c r="AV99" i="18"/>
  <c r="AW99" i="18"/>
  <c r="AX99" i="18"/>
  <c r="AY99" i="18"/>
  <c r="AZ99" i="18"/>
  <c r="BA99" i="18"/>
  <c r="BB99" i="18"/>
  <c r="BC99" i="18"/>
  <c r="BD99" i="18"/>
  <c r="BE99" i="18"/>
  <c r="BF99" i="18"/>
  <c r="BG99" i="18"/>
  <c r="BH99" i="18"/>
  <c r="BI99" i="18"/>
  <c r="BJ99" i="18"/>
  <c r="BK99" i="18"/>
  <c r="BL99" i="18"/>
  <c r="BM99" i="18"/>
  <c r="BN99" i="18"/>
  <c r="BO99" i="18"/>
  <c r="BP99" i="18"/>
  <c r="BQ99" i="18"/>
  <c r="BR99" i="18"/>
  <c r="BS99" i="18"/>
  <c r="BT99" i="18"/>
  <c r="B100" i="18"/>
  <c r="C100" i="18"/>
  <c r="D100" i="18"/>
  <c r="E100" i="18"/>
  <c r="F100" i="18"/>
  <c r="G100" i="18"/>
  <c r="H100" i="18"/>
  <c r="I100" i="18"/>
  <c r="J100" i="18"/>
  <c r="K100" i="18"/>
  <c r="L100" i="18"/>
  <c r="M100" i="18"/>
  <c r="N100" i="18"/>
  <c r="O100" i="18"/>
  <c r="P100" i="18"/>
  <c r="Q100" i="18"/>
  <c r="R100" i="18"/>
  <c r="S100" i="18"/>
  <c r="T100" i="18"/>
  <c r="U100" i="18"/>
  <c r="V100" i="18"/>
  <c r="W100" i="18"/>
  <c r="X100" i="18"/>
  <c r="Y100" i="18"/>
  <c r="Z100" i="18"/>
  <c r="AA100" i="18"/>
  <c r="AB100" i="18"/>
  <c r="AC100" i="18"/>
  <c r="AD100" i="18"/>
  <c r="AE100" i="18"/>
  <c r="AF100" i="18"/>
  <c r="AG100" i="18"/>
  <c r="AH100" i="18"/>
  <c r="AI100" i="18"/>
  <c r="AJ100" i="18"/>
  <c r="AK100" i="18"/>
  <c r="AL100" i="18"/>
  <c r="AM100" i="18"/>
  <c r="AN100" i="18"/>
  <c r="AO100" i="18"/>
  <c r="AP100" i="18"/>
  <c r="AQ100" i="18"/>
  <c r="AR100" i="18"/>
  <c r="AS100" i="18"/>
  <c r="AT100" i="18"/>
  <c r="AU100" i="18"/>
  <c r="AV100" i="18"/>
  <c r="AW100" i="18"/>
  <c r="AX100" i="18"/>
  <c r="AY100" i="18"/>
  <c r="AZ100" i="18"/>
  <c r="BA100" i="18"/>
  <c r="BB100" i="18"/>
  <c r="BC100" i="18"/>
  <c r="BD100" i="18"/>
  <c r="BE100" i="18"/>
  <c r="BF100" i="18"/>
  <c r="BG100" i="18"/>
  <c r="BH100" i="18"/>
  <c r="BI100" i="18"/>
  <c r="BJ100" i="18"/>
  <c r="BK100" i="18"/>
  <c r="BL100" i="18"/>
  <c r="BM100" i="18"/>
  <c r="BN100" i="18"/>
  <c r="BO100" i="18"/>
  <c r="BP100" i="18"/>
  <c r="BQ100" i="18"/>
  <c r="BR100" i="18"/>
  <c r="BS100" i="18"/>
  <c r="BT100" i="18"/>
  <c r="B101" i="18"/>
  <c r="C101" i="18"/>
  <c r="D101" i="18"/>
  <c r="E101" i="18"/>
  <c r="F101" i="18"/>
  <c r="G101" i="18"/>
  <c r="H101" i="18"/>
  <c r="I101" i="18"/>
  <c r="J101" i="18"/>
  <c r="K101" i="18"/>
  <c r="L101" i="18"/>
  <c r="M101" i="18"/>
  <c r="N101" i="18"/>
  <c r="O101" i="18"/>
  <c r="P101" i="18"/>
  <c r="Q101" i="18"/>
  <c r="R101" i="18"/>
  <c r="S101" i="18"/>
  <c r="T101" i="18"/>
  <c r="U101" i="18"/>
  <c r="V101" i="18"/>
  <c r="W101" i="18"/>
  <c r="X101" i="18"/>
  <c r="Y101" i="18"/>
  <c r="Z101" i="18"/>
  <c r="AA101" i="18"/>
  <c r="AB101" i="18"/>
  <c r="AC101" i="18"/>
  <c r="AD101" i="18"/>
  <c r="AE101" i="18"/>
  <c r="AF101" i="18"/>
  <c r="AG101" i="18"/>
  <c r="AH101" i="18"/>
  <c r="AI101" i="18"/>
  <c r="AJ101" i="18"/>
  <c r="AK101" i="18"/>
  <c r="AL101" i="18"/>
  <c r="AM101" i="18"/>
  <c r="AN101" i="18"/>
  <c r="AO101" i="18"/>
  <c r="AP101" i="18"/>
  <c r="AQ101" i="18"/>
  <c r="AR101" i="18"/>
  <c r="AS101" i="18"/>
  <c r="AT101" i="18"/>
  <c r="AU101" i="18"/>
  <c r="AV101" i="18"/>
  <c r="AW101" i="18"/>
  <c r="AX101" i="18"/>
  <c r="AY101" i="18"/>
  <c r="AZ101" i="18"/>
  <c r="BA101" i="18"/>
  <c r="BB101" i="18"/>
  <c r="BC101" i="18"/>
  <c r="BD101" i="18"/>
  <c r="BE101" i="18"/>
  <c r="BF101" i="18"/>
  <c r="BG101" i="18"/>
  <c r="BH101" i="18"/>
  <c r="BI101" i="18"/>
  <c r="BJ101" i="18"/>
  <c r="BK101" i="18"/>
  <c r="BL101" i="18"/>
  <c r="BM101" i="18"/>
  <c r="BN101" i="18"/>
  <c r="BO101" i="18"/>
  <c r="BP101" i="18"/>
  <c r="BQ101" i="18"/>
  <c r="BR101" i="18"/>
  <c r="BS101" i="18"/>
  <c r="BT101" i="18"/>
  <c r="B102" i="18"/>
  <c r="C102" i="18"/>
  <c r="D102" i="18"/>
  <c r="E102" i="18"/>
  <c r="F102" i="18"/>
  <c r="G102" i="18"/>
  <c r="H102" i="18"/>
  <c r="I102" i="18"/>
  <c r="J102" i="18"/>
  <c r="K102" i="18"/>
  <c r="L102" i="18"/>
  <c r="M102" i="18"/>
  <c r="N102" i="18"/>
  <c r="O102" i="18"/>
  <c r="P102" i="18"/>
  <c r="Q102" i="18"/>
  <c r="R102" i="18"/>
  <c r="S102" i="18"/>
  <c r="T102" i="18"/>
  <c r="U102" i="18"/>
  <c r="V102" i="18"/>
  <c r="W102" i="18"/>
  <c r="X102" i="18"/>
  <c r="Y102" i="18"/>
  <c r="Z102" i="18"/>
  <c r="AA102" i="18"/>
  <c r="AB102" i="18"/>
  <c r="AC102" i="18"/>
  <c r="AD102" i="18"/>
  <c r="AE102" i="18"/>
  <c r="AF102" i="18"/>
  <c r="AG102" i="18"/>
  <c r="AH102" i="18"/>
  <c r="AI102" i="18"/>
  <c r="AJ102" i="18"/>
  <c r="AK102" i="18"/>
  <c r="AL102" i="18"/>
  <c r="AM102" i="18"/>
  <c r="AN102" i="18"/>
  <c r="AO102" i="18"/>
  <c r="AP102" i="18"/>
  <c r="AQ102" i="18"/>
  <c r="AR102" i="18"/>
  <c r="AS102" i="18"/>
  <c r="AT102" i="18"/>
  <c r="AU102" i="18"/>
  <c r="AV102" i="18"/>
  <c r="AW102" i="18"/>
  <c r="AX102" i="18"/>
  <c r="AY102" i="18"/>
  <c r="AZ102" i="18"/>
  <c r="BA102" i="18"/>
  <c r="BB102" i="18"/>
  <c r="BC102" i="18"/>
  <c r="BD102" i="18"/>
  <c r="BE102" i="18"/>
  <c r="BF102" i="18"/>
  <c r="BG102" i="18"/>
  <c r="BH102" i="18"/>
  <c r="BI102" i="18"/>
  <c r="BJ102" i="18"/>
  <c r="BK102" i="18"/>
  <c r="BL102" i="18"/>
  <c r="BM102" i="18"/>
  <c r="BN102" i="18"/>
  <c r="BO102" i="18"/>
  <c r="BP102" i="18"/>
  <c r="BQ102" i="18"/>
  <c r="BR102" i="18"/>
  <c r="BS102" i="18"/>
  <c r="BT102" i="18"/>
  <c r="B103" i="18"/>
  <c r="C103" i="18"/>
  <c r="D103" i="18"/>
  <c r="E103" i="18"/>
  <c r="F103" i="18"/>
  <c r="G103" i="18"/>
  <c r="H103" i="18"/>
  <c r="I103" i="18"/>
  <c r="J103" i="18"/>
  <c r="K103" i="18"/>
  <c r="L103" i="18"/>
  <c r="M103" i="18"/>
  <c r="N103" i="18"/>
  <c r="O103" i="18"/>
  <c r="P103" i="18"/>
  <c r="Q103" i="18"/>
  <c r="R103" i="18"/>
  <c r="S103" i="18"/>
  <c r="T103" i="18"/>
  <c r="U103" i="18"/>
  <c r="V103" i="18"/>
  <c r="W103" i="18"/>
  <c r="X103" i="18"/>
  <c r="Y103" i="18"/>
  <c r="Z103" i="18"/>
  <c r="AA103" i="18"/>
  <c r="AB103" i="18"/>
  <c r="AC103" i="18"/>
  <c r="AD103" i="18"/>
  <c r="AE103" i="18"/>
  <c r="AF103" i="18"/>
  <c r="AG103" i="18"/>
  <c r="AH103" i="18"/>
  <c r="AI103" i="18"/>
  <c r="AJ103" i="18"/>
  <c r="AK103" i="18"/>
  <c r="AL103" i="18"/>
  <c r="AM103" i="18"/>
  <c r="AN103" i="18"/>
  <c r="AO103" i="18"/>
  <c r="AP103" i="18"/>
  <c r="AQ103" i="18"/>
  <c r="AR103" i="18"/>
  <c r="AS103" i="18"/>
  <c r="AT103" i="18"/>
  <c r="AU103" i="18"/>
  <c r="AV103" i="18"/>
  <c r="AW103" i="18"/>
  <c r="AX103" i="18"/>
  <c r="AY103" i="18"/>
  <c r="AZ103" i="18"/>
  <c r="BA103" i="18"/>
  <c r="BB103" i="18"/>
  <c r="BC103" i="18"/>
  <c r="BD103" i="18"/>
  <c r="BE103" i="18"/>
  <c r="BF103" i="18"/>
  <c r="BG103" i="18"/>
  <c r="BH103" i="18"/>
  <c r="BI103" i="18"/>
  <c r="BJ103" i="18"/>
  <c r="BK103" i="18"/>
  <c r="BL103" i="18"/>
  <c r="BM103" i="18"/>
  <c r="BN103" i="18"/>
  <c r="BO103" i="18"/>
  <c r="BP103" i="18"/>
  <c r="BQ103" i="18"/>
  <c r="BR103" i="18"/>
  <c r="BS103" i="18"/>
  <c r="BT103" i="18"/>
  <c r="B104" i="18"/>
  <c r="C104" i="18"/>
  <c r="D104" i="18"/>
  <c r="E104" i="18"/>
  <c r="F104" i="18"/>
  <c r="G104" i="18"/>
  <c r="H104" i="18"/>
  <c r="I104" i="18"/>
  <c r="J104" i="18"/>
  <c r="K104" i="18"/>
  <c r="L104" i="18"/>
  <c r="M104" i="18"/>
  <c r="N104" i="18"/>
  <c r="O104" i="18"/>
  <c r="P104" i="18"/>
  <c r="Q104" i="18"/>
  <c r="R104" i="18"/>
  <c r="S104" i="18"/>
  <c r="T104" i="18"/>
  <c r="U104" i="18"/>
  <c r="V104" i="18"/>
  <c r="W104" i="18"/>
  <c r="X104" i="18"/>
  <c r="Y104" i="18"/>
  <c r="Z104" i="18"/>
  <c r="AA104" i="18"/>
  <c r="AB104" i="18"/>
  <c r="AC104" i="18"/>
  <c r="AD104" i="18"/>
  <c r="AE104" i="18"/>
  <c r="AF104" i="18"/>
  <c r="AG104" i="18"/>
  <c r="AH104" i="18"/>
  <c r="AI104" i="18"/>
  <c r="AJ104" i="18"/>
  <c r="AK104" i="18"/>
  <c r="AL104" i="18"/>
  <c r="AM104" i="18"/>
  <c r="AN104" i="18"/>
  <c r="AO104" i="18"/>
  <c r="AP104" i="18"/>
  <c r="AQ104" i="18"/>
  <c r="AR104" i="18"/>
  <c r="AS104" i="18"/>
  <c r="AT104" i="18"/>
  <c r="AU104" i="18"/>
  <c r="AV104" i="18"/>
  <c r="AW104" i="18"/>
  <c r="AX104" i="18"/>
  <c r="AY104" i="18"/>
  <c r="AZ104" i="18"/>
  <c r="BA104" i="18"/>
  <c r="BB104" i="18"/>
  <c r="BC104" i="18"/>
  <c r="BD104" i="18"/>
  <c r="BE104" i="18"/>
  <c r="BF104" i="18"/>
  <c r="BG104" i="18"/>
  <c r="BH104" i="18"/>
  <c r="BI104" i="18"/>
  <c r="BJ104" i="18"/>
  <c r="BK104" i="18"/>
  <c r="BL104" i="18"/>
  <c r="BM104" i="18"/>
  <c r="BN104" i="18"/>
  <c r="BO104" i="18"/>
  <c r="BP104" i="18"/>
  <c r="BQ104" i="18"/>
  <c r="BR104" i="18"/>
  <c r="BS104" i="18"/>
  <c r="BT104" i="18"/>
  <c r="B105" i="18"/>
  <c r="C105" i="18"/>
  <c r="D105" i="18"/>
  <c r="E105" i="18"/>
  <c r="F105" i="18"/>
  <c r="G105" i="18"/>
  <c r="H105" i="18"/>
  <c r="I105" i="18"/>
  <c r="J105" i="18"/>
  <c r="K105" i="18"/>
  <c r="L105" i="18"/>
  <c r="M105" i="18"/>
  <c r="N105" i="18"/>
  <c r="O105" i="18"/>
  <c r="P105" i="18"/>
  <c r="Q105" i="18"/>
  <c r="R105" i="18"/>
  <c r="S105" i="18"/>
  <c r="T105" i="18"/>
  <c r="U105" i="18"/>
  <c r="V105" i="18"/>
  <c r="W105" i="18"/>
  <c r="X105" i="18"/>
  <c r="Y105" i="18"/>
  <c r="Z105" i="18"/>
  <c r="AA105" i="18"/>
  <c r="AB105" i="18"/>
  <c r="AC105" i="18"/>
  <c r="AD105" i="18"/>
  <c r="AE105" i="18"/>
  <c r="AF105" i="18"/>
  <c r="AG105" i="18"/>
  <c r="AH105" i="18"/>
  <c r="AI105" i="18"/>
  <c r="AJ105" i="18"/>
  <c r="AK105" i="18"/>
  <c r="AL105" i="18"/>
  <c r="AM105" i="18"/>
  <c r="AN105" i="18"/>
  <c r="AO105" i="18"/>
  <c r="AP105" i="18"/>
  <c r="AQ105" i="18"/>
  <c r="AR105" i="18"/>
  <c r="AS105" i="18"/>
  <c r="AT105" i="18"/>
  <c r="AU105" i="18"/>
  <c r="AV105" i="18"/>
  <c r="AW105" i="18"/>
  <c r="AX105" i="18"/>
  <c r="AY105" i="18"/>
  <c r="AZ105" i="18"/>
  <c r="BA105" i="18"/>
  <c r="BB105" i="18"/>
  <c r="BC105" i="18"/>
  <c r="BD105" i="18"/>
  <c r="BE105" i="18"/>
  <c r="BF105" i="18"/>
  <c r="BG105" i="18"/>
  <c r="BH105" i="18"/>
  <c r="BI105" i="18"/>
  <c r="BJ105" i="18"/>
  <c r="BK105" i="18"/>
  <c r="BL105" i="18"/>
  <c r="BM105" i="18"/>
  <c r="BN105" i="18"/>
  <c r="BO105" i="18"/>
  <c r="BP105" i="18"/>
  <c r="BQ105" i="18"/>
  <c r="BR105" i="18"/>
  <c r="BS105" i="18"/>
  <c r="BT105" i="18"/>
  <c r="B106" i="18"/>
  <c r="C106" i="18"/>
  <c r="D106" i="18"/>
  <c r="E106" i="18"/>
  <c r="F106" i="18"/>
  <c r="G106" i="18"/>
  <c r="H106" i="18"/>
  <c r="I106" i="18"/>
  <c r="J106" i="18"/>
  <c r="K106" i="18"/>
  <c r="L106" i="18"/>
  <c r="M106" i="18"/>
  <c r="N106" i="18"/>
  <c r="O106" i="18"/>
  <c r="P106" i="18"/>
  <c r="Q106" i="18"/>
  <c r="R106" i="18"/>
  <c r="S106" i="18"/>
  <c r="T106" i="18"/>
  <c r="U106" i="18"/>
  <c r="V106" i="18"/>
  <c r="W106" i="18"/>
  <c r="X106" i="18"/>
  <c r="Y106" i="18"/>
  <c r="Z106" i="18"/>
  <c r="AA106" i="18"/>
  <c r="AB106" i="18"/>
  <c r="AC106" i="18"/>
  <c r="AD106" i="18"/>
  <c r="AE106" i="18"/>
  <c r="AF106" i="18"/>
  <c r="AG106" i="18"/>
  <c r="AH106" i="18"/>
  <c r="AI106" i="18"/>
  <c r="AJ106" i="18"/>
  <c r="AK106" i="18"/>
  <c r="AL106" i="18"/>
  <c r="AM106" i="18"/>
  <c r="AN106" i="18"/>
  <c r="AO106" i="18"/>
  <c r="AP106" i="18"/>
  <c r="AQ106" i="18"/>
  <c r="AR106" i="18"/>
  <c r="AS106" i="18"/>
  <c r="AT106" i="18"/>
  <c r="AU106" i="18"/>
  <c r="AV106" i="18"/>
  <c r="AW106" i="18"/>
  <c r="AX106" i="18"/>
  <c r="AY106" i="18"/>
  <c r="AZ106" i="18"/>
  <c r="BA106" i="18"/>
  <c r="BB106" i="18"/>
  <c r="BC106" i="18"/>
  <c r="BD106" i="18"/>
  <c r="BE106" i="18"/>
  <c r="BF106" i="18"/>
  <c r="BG106" i="18"/>
  <c r="BH106" i="18"/>
  <c r="BI106" i="18"/>
  <c r="BJ106" i="18"/>
  <c r="BK106" i="18"/>
  <c r="BL106" i="18"/>
  <c r="BM106" i="18"/>
  <c r="BN106" i="18"/>
  <c r="BO106" i="18"/>
  <c r="BP106" i="18"/>
  <c r="BQ106" i="18"/>
  <c r="BR106" i="18"/>
  <c r="BS106" i="18"/>
  <c r="BT106" i="18"/>
  <c r="B107" i="18"/>
  <c r="C107" i="18"/>
  <c r="D107" i="18"/>
  <c r="E107" i="18"/>
  <c r="F107" i="18"/>
  <c r="G107" i="18"/>
  <c r="H107" i="18"/>
  <c r="I107" i="18"/>
  <c r="J107" i="18"/>
  <c r="K107" i="18"/>
  <c r="L107" i="18"/>
  <c r="M107" i="18"/>
  <c r="N107" i="18"/>
  <c r="O107" i="18"/>
  <c r="P107" i="18"/>
  <c r="Q107" i="18"/>
  <c r="R107" i="18"/>
  <c r="S107" i="18"/>
  <c r="T107" i="18"/>
  <c r="U107" i="18"/>
  <c r="V107" i="18"/>
  <c r="W107" i="18"/>
  <c r="X107" i="18"/>
  <c r="Y107" i="18"/>
  <c r="Z107" i="18"/>
  <c r="AA107" i="18"/>
  <c r="AB107" i="18"/>
  <c r="AC107" i="18"/>
  <c r="AD107" i="18"/>
  <c r="AE107" i="18"/>
  <c r="AF107" i="18"/>
  <c r="AG107" i="18"/>
  <c r="AH107" i="18"/>
  <c r="AI107" i="18"/>
  <c r="AJ107" i="18"/>
  <c r="AK107" i="18"/>
  <c r="AL107" i="18"/>
  <c r="AM107" i="18"/>
  <c r="AN107" i="18"/>
  <c r="AO107" i="18"/>
  <c r="AP107" i="18"/>
  <c r="AQ107" i="18"/>
  <c r="AR107" i="18"/>
  <c r="AS107" i="18"/>
  <c r="AT107" i="18"/>
  <c r="AU107" i="18"/>
  <c r="AV107" i="18"/>
  <c r="AW107" i="18"/>
  <c r="AX107" i="18"/>
  <c r="AY107" i="18"/>
  <c r="AZ107" i="18"/>
  <c r="BA107" i="18"/>
  <c r="BB107" i="18"/>
  <c r="BC107" i="18"/>
  <c r="BD107" i="18"/>
  <c r="BE107" i="18"/>
  <c r="BF107" i="18"/>
  <c r="BG107" i="18"/>
  <c r="BH107" i="18"/>
  <c r="BI107" i="18"/>
  <c r="BJ107" i="18"/>
  <c r="BK107" i="18"/>
  <c r="BL107" i="18"/>
  <c r="BM107" i="18"/>
  <c r="BN107" i="18"/>
  <c r="BO107" i="18"/>
  <c r="BP107" i="18"/>
  <c r="BQ107" i="18"/>
  <c r="BR107" i="18"/>
  <c r="BS107" i="18"/>
  <c r="BT107" i="18"/>
  <c r="B108" i="18"/>
  <c r="C108" i="18"/>
  <c r="D108" i="18"/>
  <c r="E108" i="18"/>
  <c r="F108" i="18"/>
  <c r="G108" i="18"/>
  <c r="H108" i="18"/>
  <c r="I108" i="18"/>
  <c r="J108" i="18"/>
  <c r="K108" i="18"/>
  <c r="L108" i="18"/>
  <c r="M108" i="18"/>
  <c r="N108" i="18"/>
  <c r="O108" i="18"/>
  <c r="P108" i="18"/>
  <c r="Q108" i="18"/>
  <c r="R108" i="18"/>
  <c r="S108" i="18"/>
  <c r="T108" i="18"/>
  <c r="U108" i="18"/>
  <c r="V108" i="18"/>
  <c r="W108" i="18"/>
  <c r="X108" i="18"/>
  <c r="Y108" i="18"/>
  <c r="Z108" i="18"/>
  <c r="AA108" i="18"/>
  <c r="AB108" i="18"/>
  <c r="AC108" i="18"/>
  <c r="AD108" i="18"/>
  <c r="AE108" i="18"/>
  <c r="AF108" i="18"/>
  <c r="AG108" i="18"/>
  <c r="AH108" i="18"/>
  <c r="AI108" i="18"/>
  <c r="AJ108" i="18"/>
  <c r="AK108" i="18"/>
  <c r="AL108" i="18"/>
  <c r="AM108" i="18"/>
  <c r="AN108" i="18"/>
  <c r="AO108" i="18"/>
  <c r="AP108" i="18"/>
  <c r="AQ108" i="18"/>
  <c r="AR108" i="18"/>
  <c r="AS108" i="18"/>
  <c r="AT108" i="18"/>
  <c r="AU108" i="18"/>
  <c r="AV108" i="18"/>
  <c r="AW108" i="18"/>
  <c r="AX108" i="18"/>
  <c r="AY108" i="18"/>
  <c r="AZ108" i="18"/>
  <c r="BA108" i="18"/>
  <c r="BB108" i="18"/>
  <c r="BC108" i="18"/>
  <c r="BD108" i="18"/>
  <c r="BE108" i="18"/>
  <c r="BF108" i="18"/>
  <c r="BG108" i="18"/>
  <c r="BH108" i="18"/>
  <c r="BI108" i="18"/>
  <c r="BJ108" i="18"/>
  <c r="BK108" i="18"/>
  <c r="BL108" i="18"/>
  <c r="BM108" i="18"/>
  <c r="BN108" i="18"/>
  <c r="BO108" i="18"/>
  <c r="BP108" i="18"/>
  <c r="BQ108" i="18"/>
  <c r="BR108" i="18"/>
  <c r="BS108" i="18"/>
  <c r="BT108" i="18"/>
  <c r="B109" i="18"/>
  <c r="C109" i="18"/>
  <c r="D109" i="18"/>
  <c r="E109" i="18"/>
  <c r="F109" i="18"/>
  <c r="G109" i="18"/>
  <c r="H109" i="18"/>
  <c r="I109" i="18"/>
  <c r="J109" i="18"/>
  <c r="K109" i="18"/>
  <c r="L109" i="18"/>
  <c r="M109" i="18"/>
  <c r="N109" i="18"/>
  <c r="O109" i="18"/>
  <c r="P109" i="18"/>
  <c r="Q109" i="18"/>
  <c r="R109" i="18"/>
  <c r="S109" i="18"/>
  <c r="T109" i="18"/>
  <c r="U109" i="18"/>
  <c r="V109" i="18"/>
  <c r="W109" i="18"/>
  <c r="X109" i="18"/>
  <c r="Y109" i="18"/>
  <c r="Z109" i="18"/>
  <c r="AA109" i="18"/>
  <c r="AB109" i="18"/>
  <c r="AC109" i="18"/>
  <c r="AD109" i="18"/>
  <c r="AE109" i="18"/>
  <c r="AF109" i="18"/>
  <c r="AG109" i="18"/>
  <c r="AH109" i="18"/>
  <c r="AI109" i="18"/>
  <c r="AJ109" i="18"/>
  <c r="AK109" i="18"/>
  <c r="AL109" i="18"/>
  <c r="AM109" i="18"/>
  <c r="AN109" i="18"/>
  <c r="AO109" i="18"/>
  <c r="AP109" i="18"/>
  <c r="AQ109" i="18"/>
  <c r="AR109" i="18"/>
  <c r="AS109" i="18"/>
  <c r="AT109" i="18"/>
  <c r="AU109" i="18"/>
  <c r="AV109" i="18"/>
  <c r="AW109" i="18"/>
  <c r="AX109" i="18"/>
  <c r="AY109" i="18"/>
  <c r="AZ109" i="18"/>
  <c r="BA109" i="18"/>
  <c r="BB109" i="18"/>
  <c r="BC109" i="18"/>
  <c r="BD109" i="18"/>
  <c r="BE109" i="18"/>
  <c r="BF109" i="18"/>
  <c r="BG109" i="18"/>
  <c r="BH109" i="18"/>
  <c r="BI109" i="18"/>
  <c r="BJ109" i="18"/>
  <c r="BK109" i="18"/>
  <c r="BL109" i="18"/>
  <c r="BM109" i="18"/>
  <c r="BN109" i="18"/>
  <c r="BO109" i="18"/>
  <c r="BP109" i="18"/>
  <c r="BQ109" i="18"/>
  <c r="BR109" i="18"/>
  <c r="BS109" i="18"/>
  <c r="BT109" i="18"/>
  <c r="B110" i="18"/>
  <c r="C110" i="18"/>
  <c r="D110" i="18"/>
  <c r="E110" i="18"/>
  <c r="F110" i="18"/>
  <c r="G110" i="18"/>
  <c r="H110" i="18"/>
  <c r="I110" i="18"/>
  <c r="J110" i="18"/>
  <c r="K110" i="18"/>
  <c r="L110" i="18"/>
  <c r="M110" i="18"/>
  <c r="N110" i="18"/>
  <c r="O110" i="18"/>
  <c r="P110" i="18"/>
  <c r="Q110" i="18"/>
  <c r="R110" i="18"/>
  <c r="S110" i="18"/>
  <c r="T110" i="18"/>
  <c r="U110" i="18"/>
  <c r="V110" i="18"/>
  <c r="W110" i="18"/>
  <c r="X110" i="18"/>
  <c r="Y110" i="18"/>
  <c r="Z110" i="18"/>
  <c r="AA110" i="18"/>
  <c r="AB110" i="18"/>
  <c r="AC110" i="18"/>
  <c r="AD110" i="18"/>
  <c r="AE110" i="18"/>
  <c r="AF110" i="18"/>
  <c r="AG110" i="18"/>
  <c r="AH110" i="18"/>
  <c r="AI110" i="18"/>
  <c r="AJ110" i="18"/>
  <c r="AK110" i="18"/>
  <c r="AL110" i="18"/>
  <c r="AM110" i="18"/>
  <c r="AN110" i="18"/>
  <c r="AO110" i="18"/>
  <c r="AP110" i="18"/>
  <c r="AQ110" i="18"/>
  <c r="AR110" i="18"/>
  <c r="AS110" i="18"/>
  <c r="AT110" i="18"/>
  <c r="AU110" i="18"/>
  <c r="AV110" i="18"/>
  <c r="AW110" i="18"/>
  <c r="AX110" i="18"/>
  <c r="AY110" i="18"/>
  <c r="AZ110" i="18"/>
  <c r="BA110" i="18"/>
  <c r="BB110" i="18"/>
  <c r="BC110" i="18"/>
  <c r="BD110" i="18"/>
  <c r="BE110" i="18"/>
  <c r="BF110" i="18"/>
  <c r="BG110" i="18"/>
  <c r="BH110" i="18"/>
  <c r="BI110" i="18"/>
  <c r="BJ110" i="18"/>
  <c r="BK110" i="18"/>
  <c r="BL110" i="18"/>
  <c r="BM110" i="18"/>
  <c r="BN110" i="18"/>
  <c r="BO110" i="18"/>
  <c r="BP110" i="18"/>
  <c r="BQ110" i="18"/>
  <c r="BR110" i="18"/>
  <c r="BS110" i="18"/>
  <c r="BT110" i="18"/>
  <c r="B111" i="18"/>
  <c r="C111" i="18"/>
  <c r="D111" i="18"/>
  <c r="E111" i="18"/>
  <c r="F111" i="18"/>
  <c r="G111" i="18"/>
  <c r="H111" i="18"/>
  <c r="I111" i="18"/>
  <c r="J111" i="18"/>
  <c r="K111" i="18"/>
  <c r="L111" i="18"/>
  <c r="M111" i="18"/>
  <c r="N111" i="18"/>
  <c r="O111" i="18"/>
  <c r="P111" i="18"/>
  <c r="Q111" i="18"/>
  <c r="R111" i="18"/>
  <c r="S111" i="18"/>
  <c r="T111" i="18"/>
  <c r="U111" i="18"/>
  <c r="V111" i="18"/>
  <c r="W111" i="18"/>
  <c r="X111" i="18"/>
  <c r="Y111" i="18"/>
  <c r="Z111" i="18"/>
  <c r="AA111" i="18"/>
  <c r="AB111" i="18"/>
  <c r="AC111" i="18"/>
  <c r="AD111" i="18"/>
  <c r="AE111" i="18"/>
  <c r="AF111" i="18"/>
  <c r="AG111" i="18"/>
  <c r="AH111" i="18"/>
  <c r="AI111" i="18"/>
  <c r="AJ111" i="18"/>
  <c r="AK111" i="18"/>
  <c r="AL111" i="18"/>
  <c r="AM111" i="18"/>
  <c r="AN111" i="18"/>
  <c r="AO111" i="18"/>
  <c r="AP111" i="18"/>
  <c r="AQ111" i="18"/>
  <c r="AR111" i="18"/>
  <c r="AS111" i="18"/>
  <c r="AT111" i="18"/>
  <c r="AU111" i="18"/>
  <c r="AV111" i="18"/>
  <c r="AW111" i="18"/>
  <c r="AX111" i="18"/>
  <c r="AY111" i="18"/>
  <c r="AZ111" i="18"/>
  <c r="BA111" i="18"/>
  <c r="BB111" i="18"/>
  <c r="BC111" i="18"/>
  <c r="BD111" i="18"/>
  <c r="BE111" i="18"/>
  <c r="BF111" i="18"/>
  <c r="BG111" i="18"/>
  <c r="BH111" i="18"/>
  <c r="BI111" i="18"/>
  <c r="BJ111" i="18"/>
  <c r="BK111" i="18"/>
  <c r="BL111" i="18"/>
  <c r="BM111" i="18"/>
  <c r="BN111" i="18"/>
  <c r="BO111" i="18"/>
  <c r="BP111" i="18"/>
  <c r="BQ111" i="18"/>
  <c r="BR111" i="18"/>
  <c r="BS111" i="18"/>
  <c r="BT111" i="18"/>
  <c r="B112" i="18"/>
  <c r="C112" i="18"/>
  <c r="D112" i="18"/>
  <c r="E112" i="18"/>
  <c r="F112" i="18"/>
  <c r="G112" i="18"/>
  <c r="H112" i="18"/>
  <c r="I112" i="18"/>
  <c r="J112" i="18"/>
  <c r="K112" i="18"/>
  <c r="L112" i="18"/>
  <c r="M112" i="18"/>
  <c r="N112" i="18"/>
  <c r="O112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113" i="18"/>
  <c r="C113" i="18"/>
  <c r="D113" i="18"/>
  <c r="E113" i="18"/>
  <c r="F113" i="18"/>
  <c r="G113" i="18"/>
  <c r="H113" i="18"/>
  <c r="I113" i="18"/>
  <c r="J113" i="18"/>
  <c r="K113" i="18"/>
  <c r="L113" i="18"/>
  <c r="M113" i="18"/>
  <c r="N113" i="18"/>
  <c r="O113" i="18"/>
  <c r="P113" i="18"/>
  <c r="Q113" i="18"/>
  <c r="R113" i="18"/>
  <c r="S113" i="18"/>
  <c r="T113" i="18"/>
  <c r="U113" i="18"/>
  <c r="V113" i="18"/>
  <c r="W113" i="18"/>
  <c r="X113" i="18"/>
  <c r="Y113" i="18"/>
  <c r="Z113" i="18"/>
  <c r="AA113" i="18"/>
  <c r="AB113" i="18"/>
  <c r="AC113" i="18"/>
  <c r="AD113" i="18"/>
  <c r="AE113" i="18"/>
  <c r="AF113" i="18"/>
  <c r="AG113" i="18"/>
  <c r="AH113" i="18"/>
  <c r="AI113" i="18"/>
  <c r="AJ113" i="18"/>
  <c r="AK113" i="18"/>
  <c r="AL113" i="18"/>
  <c r="AM113" i="18"/>
  <c r="AN113" i="18"/>
  <c r="AO113" i="18"/>
  <c r="AP113" i="18"/>
  <c r="AQ113" i="18"/>
  <c r="AR113" i="18"/>
  <c r="AS113" i="18"/>
  <c r="AT113" i="18"/>
  <c r="AU113" i="18"/>
  <c r="AV113" i="18"/>
  <c r="AW113" i="18"/>
  <c r="AX113" i="18"/>
  <c r="AY113" i="18"/>
  <c r="AZ113" i="18"/>
  <c r="BA113" i="18"/>
  <c r="BB113" i="18"/>
  <c r="BC113" i="18"/>
  <c r="BD113" i="18"/>
  <c r="BE113" i="18"/>
  <c r="BF113" i="18"/>
  <c r="BG113" i="18"/>
  <c r="BH113" i="18"/>
  <c r="BI113" i="18"/>
  <c r="BJ113" i="18"/>
  <c r="BK113" i="18"/>
  <c r="BL113" i="18"/>
  <c r="BM113" i="18"/>
  <c r="BN113" i="18"/>
  <c r="BO113" i="18"/>
  <c r="BP113" i="18"/>
  <c r="BQ113" i="18"/>
  <c r="BR113" i="18"/>
  <c r="BS113" i="18"/>
  <c r="BT113" i="18"/>
  <c r="B114" i="18"/>
  <c r="C114" i="18"/>
  <c r="D114" i="18"/>
  <c r="E114" i="18"/>
  <c r="F114" i="18"/>
  <c r="G114" i="18"/>
  <c r="H114" i="18"/>
  <c r="I114" i="18"/>
  <c r="J114" i="18"/>
  <c r="K114" i="18"/>
  <c r="L114" i="18"/>
  <c r="M114" i="18"/>
  <c r="N114" i="18"/>
  <c r="O114" i="18"/>
  <c r="P114" i="18"/>
  <c r="Q114" i="18"/>
  <c r="R114" i="18"/>
  <c r="S114" i="18"/>
  <c r="T114" i="18"/>
  <c r="U114" i="18"/>
  <c r="V114" i="18"/>
  <c r="W114" i="18"/>
  <c r="X114" i="18"/>
  <c r="Y114" i="18"/>
  <c r="Z114" i="18"/>
  <c r="AA114" i="18"/>
  <c r="AB114" i="18"/>
  <c r="AC114" i="18"/>
  <c r="AD114" i="18"/>
  <c r="AE114" i="18"/>
  <c r="AF114" i="18"/>
  <c r="AG114" i="18"/>
  <c r="AH114" i="18"/>
  <c r="AI114" i="18"/>
  <c r="AJ114" i="18"/>
  <c r="AK114" i="18"/>
  <c r="AL114" i="18"/>
  <c r="AM114" i="18"/>
  <c r="AN114" i="18"/>
  <c r="AO114" i="18"/>
  <c r="AP114" i="18"/>
  <c r="AQ114" i="18"/>
  <c r="AR114" i="18"/>
  <c r="AS114" i="18"/>
  <c r="AT114" i="18"/>
  <c r="AU114" i="18"/>
  <c r="AV114" i="18"/>
  <c r="AW114" i="18"/>
  <c r="AX114" i="18"/>
  <c r="AY114" i="18"/>
  <c r="AZ114" i="18"/>
  <c r="BA114" i="18"/>
  <c r="BB114" i="18"/>
  <c r="BC114" i="18"/>
  <c r="BD114" i="18"/>
  <c r="BE114" i="18"/>
  <c r="BF114" i="18"/>
  <c r="BG114" i="18"/>
  <c r="BH114" i="18"/>
  <c r="BI114" i="18"/>
  <c r="BJ114" i="18"/>
  <c r="BK114" i="18"/>
  <c r="BL114" i="18"/>
  <c r="BM114" i="18"/>
  <c r="BN114" i="18"/>
  <c r="BO114" i="18"/>
  <c r="BP114" i="18"/>
  <c r="BQ114" i="18"/>
  <c r="BR114" i="18"/>
  <c r="BS114" i="18"/>
  <c r="BT114" i="18"/>
  <c r="B115" i="18"/>
  <c r="C115" i="18"/>
  <c r="D115" i="18"/>
  <c r="E115" i="18"/>
  <c r="F115" i="18"/>
  <c r="G115" i="18"/>
  <c r="H115" i="18"/>
  <c r="I115" i="18"/>
  <c r="J115" i="18"/>
  <c r="K115" i="18"/>
  <c r="L115" i="18"/>
  <c r="M115" i="18"/>
  <c r="N115" i="18"/>
  <c r="O115" i="18"/>
  <c r="P115" i="18"/>
  <c r="Q115" i="18"/>
  <c r="R115" i="18"/>
  <c r="S115" i="18"/>
  <c r="T115" i="18"/>
  <c r="U115" i="18"/>
  <c r="V115" i="18"/>
  <c r="W115" i="18"/>
  <c r="X115" i="18"/>
  <c r="Y115" i="18"/>
  <c r="Z115" i="18"/>
  <c r="AA115" i="18"/>
  <c r="AB115" i="18"/>
  <c r="AC115" i="18"/>
  <c r="AD115" i="18"/>
  <c r="AE115" i="18"/>
  <c r="AF115" i="18"/>
  <c r="AG115" i="18"/>
  <c r="AH115" i="18"/>
  <c r="AI115" i="18"/>
  <c r="AJ115" i="18"/>
  <c r="AK115" i="18"/>
  <c r="AL115" i="18"/>
  <c r="AM115" i="18"/>
  <c r="AN115" i="18"/>
  <c r="AO115" i="18"/>
  <c r="AP115" i="18"/>
  <c r="AQ115" i="18"/>
  <c r="AR115" i="18"/>
  <c r="AS115" i="18"/>
  <c r="AT115" i="18"/>
  <c r="AU115" i="18"/>
  <c r="AV115" i="18"/>
  <c r="AW115" i="18"/>
  <c r="AX115" i="18"/>
  <c r="AY115" i="18"/>
  <c r="AZ115" i="18"/>
  <c r="BA115" i="18"/>
  <c r="BB115" i="18"/>
  <c r="BC115" i="18"/>
  <c r="BD115" i="18"/>
  <c r="BE115" i="18"/>
  <c r="BF115" i="18"/>
  <c r="BG115" i="18"/>
  <c r="BH115" i="18"/>
  <c r="BI115" i="18"/>
  <c r="BJ115" i="18"/>
  <c r="BK115" i="18"/>
  <c r="BL115" i="18"/>
  <c r="BM115" i="18"/>
  <c r="BN115" i="18"/>
  <c r="BO115" i="18"/>
  <c r="BP115" i="18"/>
  <c r="BQ115" i="18"/>
  <c r="BR115" i="18"/>
  <c r="BS115" i="18"/>
  <c r="BT115" i="18"/>
  <c r="B116" i="18"/>
  <c r="C116" i="18"/>
  <c r="D116" i="18"/>
  <c r="E116" i="18"/>
  <c r="F116" i="18"/>
  <c r="G116" i="18"/>
  <c r="H116" i="18"/>
  <c r="I116" i="18"/>
  <c r="J116" i="18"/>
  <c r="K116" i="18"/>
  <c r="L116" i="18"/>
  <c r="M116" i="18"/>
  <c r="N116" i="18"/>
  <c r="O116" i="18"/>
  <c r="P116" i="18"/>
  <c r="Q116" i="18"/>
  <c r="R116" i="18"/>
  <c r="S116" i="18"/>
  <c r="T116" i="18"/>
  <c r="U116" i="18"/>
  <c r="V116" i="18"/>
  <c r="W116" i="18"/>
  <c r="X116" i="18"/>
  <c r="Y116" i="18"/>
  <c r="Z116" i="18"/>
  <c r="AA116" i="18"/>
  <c r="AB116" i="18"/>
  <c r="AC116" i="18"/>
  <c r="AD116" i="18"/>
  <c r="AE116" i="18"/>
  <c r="AF116" i="18"/>
  <c r="AG116" i="18"/>
  <c r="AH116" i="18"/>
  <c r="AI116" i="18"/>
  <c r="AJ116" i="18"/>
  <c r="AK116" i="18"/>
  <c r="AL116" i="18"/>
  <c r="AM116" i="18"/>
  <c r="AN116" i="18"/>
  <c r="AO116" i="18"/>
  <c r="AP116" i="18"/>
  <c r="AQ116" i="18"/>
  <c r="AR116" i="18"/>
  <c r="AS116" i="18"/>
  <c r="AT116" i="18"/>
  <c r="AU116" i="18"/>
  <c r="AV116" i="18"/>
  <c r="AW116" i="18"/>
  <c r="AX116" i="18"/>
  <c r="AY116" i="18"/>
  <c r="AZ116" i="18"/>
  <c r="BA116" i="18"/>
  <c r="BB116" i="18"/>
  <c r="BC116" i="18"/>
  <c r="BD116" i="18"/>
  <c r="BE116" i="18"/>
  <c r="BF116" i="18"/>
  <c r="BG116" i="18"/>
  <c r="BH116" i="18"/>
  <c r="BI116" i="18"/>
  <c r="BJ116" i="18"/>
  <c r="BK116" i="18"/>
  <c r="BL116" i="18"/>
  <c r="BM116" i="18"/>
  <c r="BN116" i="18"/>
  <c r="BO116" i="18"/>
  <c r="BP116" i="18"/>
  <c r="BQ116" i="18"/>
  <c r="BR116" i="18"/>
  <c r="BS116" i="18"/>
  <c r="BT116" i="18"/>
  <c r="B117" i="18"/>
  <c r="C117" i="18"/>
  <c r="D117" i="18"/>
  <c r="E117" i="18"/>
  <c r="F117" i="18"/>
  <c r="G117" i="18"/>
  <c r="H117" i="18"/>
  <c r="I117" i="18"/>
  <c r="J117" i="18"/>
  <c r="K117" i="18"/>
  <c r="L117" i="18"/>
  <c r="M117" i="18"/>
  <c r="N117" i="18"/>
  <c r="O117" i="18"/>
  <c r="P117" i="18"/>
  <c r="Q117" i="18"/>
  <c r="R117" i="18"/>
  <c r="S117" i="18"/>
  <c r="T117" i="18"/>
  <c r="U117" i="18"/>
  <c r="V117" i="18"/>
  <c r="W117" i="18"/>
  <c r="X117" i="18"/>
  <c r="Y117" i="18"/>
  <c r="Z117" i="18"/>
  <c r="AA117" i="18"/>
  <c r="AB117" i="18"/>
  <c r="AC117" i="18"/>
  <c r="AD117" i="18"/>
  <c r="AE117" i="18"/>
  <c r="AF117" i="18"/>
  <c r="AG117" i="18"/>
  <c r="AH117" i="18"/>
  <c r="AI117" i="18"/>
  <c r="AJ117" i="18"/>
  <c r="AK117" i="18"/>
  <c r="AL117" i="18"/>
  <c r="AM117" i="18"/>
  <c r="AN117" i="18"/>
  <c r="AO117" i="18"/>
  <c r="AP117" i="18"/>
  <c r="AQ117" i="18"/>
  <c r="AR117" i="18"/>
  <c r="AS117" i="18"/>
  <c r="AT117" i="18"/>
  <c r="AU117" i="18"/>
  <c r="AV117" i="18"/>
  <c r="AW117" i="18"/>
  <c r="AX117" i="18"/>
  <c r="AY117" i="18"/>
  <c r="AZ117" i="18"/>
  <c r="BA117" i="18"/>
  <c r="BB117" i="18"/>
  <c r="BC117" i="18"/>
  <c r="BD117" i="18"/>
  <c r="BE117" i="18"/>
  <c r="BF117" i="18"/>
  <c r="BG117" i="18"/>
  <c r="BH117" i="18"/>
  <c r="BI117" i="18"/>
  <c r="BJ117" i="18"/>
  <c r="BK117" i="18"/>
  <c r="BL117" i="18"/>
  <c r="BM117" i="18"/>
  <c r="BN117" i="18"/>
  <c r="BO117" i="18"/>
  <c r="BP117" i="18"/>
  <c r="BQ117" i="18"/>
  <c r="BR117" i="18"/>
  <c r="BS117" i="18"/>
  <c r="BT117" i="18"/>
  <c r="B118" i="18"/>
  <c r="C118" i="18"/>
  <c r="D118" i="18"/>
  <c r="E118" i="18"/>
  <c r="F118" i="18"/>
  <c r="G118" i="18"/>
  <c r="H118" i="18"/>
  <c r="I118" i="18"/>
  <c r="J118" i="18"/>
  <c r="K118" i="18"/>
  <c r="L118" i="18"/>
  <c r="M118" i="18"/>
  <c r="N118" i="18"/>
  <c r="O118" i="18"/>
  <c r="P118" i="18"/>
  <c r="Q118" i="18"/>
  <c r="R118" i="18"/>
  <c r="S118" i="18"/>
  <c r="T118" i="18"/>
  <c r="U118" i="18"/>
  <c r="V118" i="18"/>
  <c r="W118" i="18"/>
  <c r="X118" i="18"/>
  <c r="Y118" i="18"/>
  <c r="Z118" i="18"/>
  <c r="AA118" i="18"/>
  <c r="AB118" i="18"/>
  <c r="AC118" i="18"/>
  <c r="AD118" i="18"/>
  <c r="AE118" i="18"/>
  <c r="AF118" i="18"/>
  <c r="AG118" i="18"/>
  <c r="AH118" i="18"/>
  <c r="AI118" i="18"/>
  <c r="AJ118" i="18"/>
  <c r="AK118" i="18"/>
  <c r="AL118" i="18"/>
  <c r="AM118" i="18"/>
  <c r="AN118" i="18"/>
  <c r="AO118" i="18"/>
  <c r="AP118" i="18"/>
  <c r="AQ118" i="18"/>
  <c r="AR118" i="18"/>
  <c r="AS118" i="18"/>
  <c r="AT118" i="18"/>
  <c r="AU118" i="18"/>
  <c r="AV118" i="18"/>
  <c r="AW118" i="18"/>
  <c r="AX118" i="18"/>
  <c r="AY118" i="18"/>
  <c r="AZ118" i="18"/>
  <c r="BA118" i="18"/>
  <c r="BB118" i="18"/>
  <c r="BC118" i="18"/>
  <c r="BD118" i="18"/>
  <c r="BE118" i="18"/>
  <c r="BF118" i="18"/>
  <c r="BG118" i="18"/>
  <c r="BH118" i="18"/>
  <c r="BI118" i="18"/>
  <c r="BJ118" i="18"/>
  <c r="BK118" i="18"/>
  <c r="BL118" i="18"/>
  <c r="BM118" i="18"/>
  <c r="BN118" i="18"/>
  <c r="BO118" i="18"/>
  <c r="BP118" i="18"/>
  <c r="BQ118" i="18"/>
  <c r="BR118" i="18"/>
  <c r="BS118" i="18"/>
  <c r="BT118" i="18"/>
  <c r="B119" i="18"/>
  <c r="C119" i="18"/>
  <c r="D119" i="18"/>
  <c r="E119" i="18"/>
  <c r="F119" i="18"/>
  <c r="G119" i="18"/>
  <c r="H119" i="18"/>
  <c r="I119" i="18"/>
  <c r="J119" i="18"/>
  <c r="K119" i="18"/>
  <c r="L119" i="18"/>
  <c r="M119" i="18"/>
  <c r="N119" i="18"/>
  <c r="O119" i="18"/>
  <c r="P119" i="18"/>
  <c r="Q119" i="18"/>
  <c r="R119" i="18"/>
  <c r="S119" i="18"/>
  <c r="T119" i="18"/>
  <c r="U119" i="18"/>
  <c r="V119" i="18"/>
  <c r="W119" i="18"/>
  <c r="X119" i="18"/>
  <c r="Y119" i="18"/>
  <c r="Z119" i="18"/>
  <c r="AA119" i="18"/>
  <c r="AB119" i="18"/>
  <c r="AC119" i="18"/>
  <c r="AD119" i="18"/>
  <c r="AE119" i="18"/>
  <c r="AF119" i="18"/>
  <c r="AG119" i="18"/>
  <c r="AH119" i="18"/>
  <c r="AI119" i="18"/>
  <c r="AJ119" i="18"/>
  <c r="AK119" i="18"/>
  <c r="AL119" i="18"/>
  <c r="AM119" i="18"/>
  <c r="AN119" i="18"/>
  <c r="AO119" i="18"/>
  <c r="AP119" i="18"/>
  <c r="AQ119" i="18"/>
  <c r="AR119" i="18"/>
  <c r="AS119" i="18"/>
  <c r="AT119" i="18"/>
  <c r="AU119" i="18"/>
  <c r="AV119" i="18"/>
  <c r="AW119" i="18"/>
  <c r="AX119" i="18"/>
  <c r="AY119" i="18"/>
  <c r="AZ119" i="18"/>
  <c r="BA119" i="18"/>
  <c r="BB119" i="18"/>
  <c r="BC119" i="18"/>
  <c r="BD119" i="18"/>
  <c r="BE119" i="18"/>
  <c r="BF119" i="18"/>
  <c r="BG119" i="18"/>
  <c r="BH119" i="18"/>
  <c r="BI119" i="18"/>
  <c r="BJ119" i="18"/>
  <c r="BK119" i="18"/>
  <c r="BL119" i="18"/>
  <c r="BM119" i="18"/>
  <c r="BN119" i="18"/>
  <c r="BO119" i="18"/>
  <c r="BP119" i="18"/>
  <c r="BQ119" i="18"/>
  <c r="BR119" i="18"/>
  <c r="BS119" i="18"/>
  <c r="BT119" i="18"/>
  <c r="B120" i="18"/>
  <c r="C120" i="18"/>
  <c r="D120" i="18"/>
  <c r="E120" i="18"/>
  <c r="F120" i="18"/>
  <c r="G120" i="18"/>
  <c r="H120" i="18"/>
  <c r="I120" i="18"/>
  <c r="J120" i="18"/>
  <c r="K120" i="18"/>
  <c r="L120" i="18"/>
  <c r="M120" i="18"/>
  <c r="N120" i="18"/>
  <c r="O120" i="18"/>
  <c r="P120" i="18"/>
  <c r="Q120" i="18"/>
  <c r="R120" i="18"/>
  <c r="S120" i="18"/>
  <c r="T120" i="18"/>
  <c r="U120" i="18"/>
  <c r="V120" i="18"/>
  <c r="W120" i="18"/>
  <c r="X120" i="18"/>
  <c r="Y120" i="18"/>
  <c r="Z120" i="18"/>
  <c r="AA120" i="18"/>
  <c r="AB120" i="18"/>
  <c r="AC120" i="18"/>
  <c r="AD120" i="18"/>
  <c r="AE120" i="18"/>
  <c r="AF120" i="18"/>
  <c r="AG120" i="18"/>
  <c r="AH120" i="18"/>
  <c r="AI120" i="18"/>
  <c r="AJ120" i="18"/>
  <c r="AK120" i="18"/>
  <c r="AL120" i="18"/>
  <c r="AM120" i="18"/>
  <c r="AN120" i="18"/>
  <c r="AO120" i="18"/>
  <c r="AP120" i="18"/>
  <c r="AQ120" i="18"/>
  <c r="AR120" i="18"/>
  <c r="AS120" i="18"/>
  <c r="AT120" i="18"/>
  <c r="AU120" i="18"/>
  <c r="AV120" i="18"/>
  <c r="AW120" i="18"/>
  <c r="AX120" i="18"/>
  <c r="AY120" i="18"/>
  <c r="AZ120" i="18"/>
  <c r="BA120" i="18"/>
  <c r="BB120" i="18"/>
  <c r="BC120" i="18"/>
  <c r="BD120" i="18"/>
  <c r="BE120" i="18"/>
  <c r="BF120" i="18"/>
  <c r="BG120" i="18"/>
  <c r="BH120" i="18"/>
  <c r="BI120" i="18"/>
  <c r="BJ120" i="18"/>
  <c r="BK120" i="18"/>
  <c r="BL120" i="18"/>
  <c r="BM120" i="18"/>
  <c r="BN120" i="18"/>
  <c r="BO120" i="18"/>
  <c r="BP120" i="18"/>
  <c r="BQ120" i="18"/>
  <c r="BR120" i="18"/>
  <c r="BS120" i="18"/>
  <c r="BT120" i="18"/>
  <c r="B121" i="18"/>
  <c r="C121" i="18"/>
  <c r="D121" i="18"/>
  <c r="E121" i="18"/>
  <c r="F121" i="18"/>
  <c r="G121" i="18"/>
  <c r="H121" i="18"/>
  <c r="I121" i="18"/>
  <c r="J121" i="18"/>
  <c r="K121" i="18"/>
  <c r="L121" i="18"/>
  <c r="M121" i="18"/>
  <c r="N121" i="18"/>
  <c r="O121" i="18"/>
  <c r="P121" i="18"/>
  <c r="Q121" i="18"/>
  <c r="R121" i="18"/>
  <c r="S121" i="18"/>
  <c r="T121" i="18"/>
  <c r="U121" i="18"/>
  <c r="V121" i="18"/>
  <c r="W121" i="18"/>
  <c r="X121" i="18"/>
  <c r="Y121" i="18"/>
  <c r="Z121" i="18"/>
  <c r="AA121" i="18"/>
  <c r="AB121" i="18"/>
  <c r="AC121" i="18"/>
  <c r="AD121" i="18"/>
  <c r="AE121" i="18"/>
  <c r="AF121" i="18"/>
  <c r="AG121" i="18"/>
  <c r="AH121" i="18"/>
  <c r="AI121" i="18"/>
  <c r="AJ121" i="18"/>
  <c r="AK121" i="18"/>
  <c r="AL121" i="18"/>
  <c r="AM121" i="18"/>
  <c r="AN121" i="18"/>
  <c r="AO121" i="18"/>
  <c r="AP121" i="18"/>
  <c r="AQ121" i="18"/>
  <c r="AR121" i="18"/>
  <c r="AS121" i="18"/>
  <c r="AT121" i="18"/>
  <c r="AU121" i="18"/>
  <c r="AV121" i="18"/>
  <c r="AW121" i="18"/>
  <c r="AX121" i="18"/>
  <c r="AY121" i="18"/>
  <c r="AZ121" i="18"/>
  <c r="BA121" i="18"/>
  <c r="BB121" i="18"/>
  <c r="BC121" i="18"/>
  <c r="BD121" i="18"/>
  <c r="BE121" i="18"/>
  <c r="BF121" i="18"/>
  <c r="BG121" i="18"/>
  <c r="BH121" i="18"/>
  <c r="BI121" i="18"/>
  <c r="BJ121" i="18"/>
  <c r="BK121" i="18"/>
  <c r="BL121" i="18"/>
  <c r="BM121" i="18"/>
  <c r="BN121" i="18"/>
  <c r="BO121" i="18"/>
  <c r="BP121" i="18"/>
  <c r="BQ121" i="18"/>
  <c r="BR121" i="18"/>
  <c r="BS121" i="18"/>
  <c r="BT121" i="18"/>
  <c r="B122" i="18"/>
  <c r="C122" i="18"/>
  <c r="D122" i="18"/>
  <c r="E122" i="18"/>
  <c r="F122" i="18"/>
  <c r="G122" i="18"/>
  <c r="H122" i="18"/>
  <c r="I122" i="18"/>
  <c r="J122" i="18"/>
  <c r="K122" i="18"/>
  <c r="L122" i="18"/>
  <c r="M122" i="18"/>
  <c r="N122" i="18"/>
  <c r="O122" i="18"/>
  <c r="P122" i="18"/>
  <c r="Q122" i="18"/>
  <c r="R122" i="18"/>
  <c r="S122" i="18"/>
  <c r="T122" i="18"/>
  <c r="U122" i="18"/>
  <c r="V122" i="18"/>
  <c r="W122" i="18"/>
  <c r="X122" i="18"/>
  <c r="Y122" i="18"/>
  <c r="Z122" i="18"/>
  <c r="AA122" i="18"/>
  <c r="AB122" i="18"/>
  <c r="AC122" i="18"/>
  <c r="AD122" i="18"/>
  <c r="AE122" i="18"/>
  <c r="AF122" i="18"/>
  <c r="AG122" i="18"/>
  <c r="AH122" i="18"/>
  <c r="AI122" i="18"/>
  <c r="AJ122" i="18"/>
  <c r="AK122" i="18"/>
  <c r="AL122" i="18"/>
  <c r="AM122" i="18"/>
  <c r="AN122" i="18"/>
  <c r="AO122" i="18"/>
  <c r="AP122" i="18"/>
  <c r="AQ122" i="18"/>
  <c r="AR122" i="18"/>
  <c r="AS122" i="18"/>
  <c r="AT122" i="18"/>
  <c r="AU122" i="18"/>
  <c r="AV122" i="18"/>
  <c r="AW122" i="18"/>
  <c r="AX122" i="18"/>
  <c r="AY122" i="18"/>
  <c r="AZ122" i="18"/>
  <c r="BA122" i="18"/>
  <c r="BB122" i="18"/>
  <c r="BC122" i="18"/>
  <c r="BD122" i="18"/>
  <c r="BE122" i="18"/>
  <c r="BF122" i="18"/>
  <c r="BG122" i="18"/>
  <c r="BH122" i="18"/>
  <c r="BI122" i="18"/>
  <c r="BJ122" i="18"/>
  <c r="BK122" i="18"/>
  <c r="BL122" i="18"/>
  <c r="BM122" i="18"/>
  <c r="BN122" i="18"/>
  <c r="BO122" i="18"/>
  <c r="BP122" i="18"/>
  <c r="BQ122" i="18"/>
  <c r="BR122" i="18"/>
  <c r="BS122" i="18"/>
  <c r="BT122" i="18"/>
  <c r="B123" i="18"/>
  <c r="C123" i="18"/>
  <c r="D123" i="18"/>
  <c r="E123" i="18"/>
  <c r="F123" i="18"/>
  <c r="G123" i="18"/>
  <c r="H123" i="18"/>
  <c r="I123" i="18"/>
  <c r="J123" i="18"/>
  <c r="K123" i="18"/>
  <c r="L123" i="18"/>
  <c r="M123" i="18"/>
  <c r="N123" i="18"/>
  <c r="O123" i="18"/>
  <c r="P123" i="18"/>
  <c r="Q123" i="18"/>
  <c r="R123" i="18"/>
  <c r="S123" i="18"/>
  <c r="T123" i="18"/>
  <c r="U123" i="18"/>
  <c r="V123" i="18"/>
  <c r="W123" i="18"/>
  <c r="X123" i="18"/>
  <c r="Y123" i="18"/>
  <c r="Z123" i="18"/>
  <c r="AA123" i="18"/>
  <c r="AB123" i="18"/>
  <c r="AC123" i="18"/>
  <c r="AD123" i="18"/>
  <c r="AE123" i="18"/>
  <c r="AF123" i="18"/>
  <c r="AG123" i="18"/>
  <c r="AH123" i="18"/>
  <c r="AI123" i="18"/>
  <c r="AJ123" i="18"/>
  <c r="AK123" i="18"/>
  <c r="AL123" i="18"/>
  <c r="AM123" i="18"/>
  <c r="AN123" i="18"/>
  <c r="AO123" i="18"/>
  <c r="AP123" i="18"/>
  <c r="AQ123" i="18"/>
  <c r="AR123" i="18"/>
  <c r="AS123" i="18"/>
  <c r="AT123" i="18"/>
  <c r="AU123" i="18"/>
  <c r="AV123" i="18"/>
  <c r="AW123" i="18"/>
  <c r="AX123" i="18"/>
  <c r="AY123" i="18"/>
  <c r="AZ123" i="18"/>
  <c r="BA123" i="18"/>
  <c r="BB123" i="18"/>
  <c r="BC123" i="18"/>
  <c r="BD123" i="18"/>
  <c r="BE123" i="18"/>
  <c r="BF123" i="18"/>
  <c r="BG123" i="18"/>
  <c r="BH123" i="18"/>
  <c r="BI123" i="18"/>
  <c r="BJ123" i="18"/>
  <c r="BK123" i="18"/>
  <c r="BL123" i="18"/>
  <c r="BM123" i="18"/>
  <c r="BN123" i="18"/>
  <c r="BO123" i="18"/>
  <c r="BP123" i="18"/>
  <c r="BQ123" i="18"/>
  <c r="BR123" i="18"/>
  <c r="BS123" i="18"/>
  <c r="BT123" i="18"/>
  <c r="B124" i="18"/>
  <c r="C124" i="18"/>
  <c r="D124" i="18"/>
  <c r="E124" i="18"/>
  <c r="F124" i="18"/>
  <c r="G124" i="18"/>
  <c r="H124" i="18"/>
  <c r="I124" i="18"/>
  <c r="J124" i="18"/>
  <c r="K124" i="18"/>
  <c r="L124" i="18"/>
  <c r="M124" i="18"/>
  <c r="N124" i="18"/>
  <c r="O124" i="18"/>
  <c r="P124" i="18"/>
  <c r="Q124" i="18"/>
  <c r="R124" i="18"/>
  <c r="S124" i="18"/>
  <c r="T124" i="18"/>
  <c r="U124" i="18"/>
  <c r="V124" i="18"/>
  <c r="W124" i="18"/>
  <c r="X124" i="18"/>
  <c r="Y124" i="18"/>
  <c r="Z124" i="18"/>
  <c r="AA124" i="18"/>
  <c r="AB124" i="18"/>
  <c r="AC124" i="18"/>
  <c r="AD124" i="18"/>
  <c r="AE124" i="18"/>
  <c r="AF124" i="18"/>
  <c r="AG124" i="18"/>
  <c r="AH124" i="18"/>
  <c r="AI124" i="18"/>
  <c r="AJ124" i="18"/>
  <c r="AK124" i="18"/>
  <c r="AL124" i="18"/>
  <c r="AM124" i="18"/>
  <c r="AN124" i="18"/>
  <c r="AO124" i="18"/>
  <c r="AP124" i="18"/>
  <c r="AQ124" i="18"/>
  <c r="AR124" i="18"/>
  <c r="AS124" i="18"/>
  <c r="AT124" i="18"/>
  <c r="AU124" i="18"/>
  <c r="AV124" i="18"/>
  <c r="AW124" i="18"/>
  <c r="AX124" i="18"/>
  <c r="AY124" i="18"/>
  <c r="AZ124" i="18"/>
  <c r="BA124" i="18"/>
  <c r="BB124" i="18"/>
  <c r="BC124" i="18"/>
  <c r="BD124" i="18"/>
  <c r="BE124" i="18"/>
  <c r="BF124" i="18"/>
  <c r="BG124" i="18"/>
  <c r="BH124" i="18"/>
  <c r="BI124" i="18"/>
  <c r="BJ124" i="18"/>
  <c r="BK124" i="18"/>
  <c r="BL124" i="18"/>
  <c r="BM124" i="18"/>
  <c r="BN124" i="18"/>
  <c r="BO124" i="18"/>
  <c r="BP124" i="18"/>
  <c r="BQ124" i="18"/>
  <c r="BR124" i="18"/>
  <c r="BS124" i="18"/>
  <c r="BT124" i="18"/>
  <c r="B125" i="18"/>
  <c r="C125" i="18"/>
  <c r="D125" i="18"/>
  <c r="E125" i="18"/>
  <c r="F125" i="18"/>
  <c r="G125" i="18"/>
  <c r="H125" i="18"/>
  <c r="I125" i="18"/>
  <c r="J125" i="18"/>
  <c r="K125" i="18"/>
  <c r="L125" i="18"/>
  <c r="M125" i="18"/>
  <c r="N125" i="18"/>
  <c r="O125" i="18"/>
  <c r="P125" i="18"/>
  <c r="Q125" i="18"/>
  <c r="R125" i="18"/>
  <c r="S125" i="18"/>
  <c r="T125" i="18"/>
  <c r="U125" i="18"/>
  <c r="V125" i="18"/>
  <c r="W125" i="18"/>
  <c r="X125" i="18"/>
  <c r="Y125" i="18"/>
  <c r="Z125" i="18"/>
  <c r="AA125" i="18"/>
  <c r="AB125" i="18"/>
  <c r="AC125" i="18"/>
  <c r="AD125" i="18"/>
  <c r="AE125" i="18"/>
  <c r="AF125" i="18"/>
  <c r="AG125" i="18"/>
  <c r="AH125" i="18"/>
  <c r="AI125" i="18"/>
  <c r="AJ125" i="18"/>
  <c r="AK125" i="18"/>
  <c r="AL125" i="18"/>
  <c r="AM125" i="18"/>
  <c r="AN125" i="18"/>
  <c r="AO125" i="18"/>
  <c r="AP125" i="18"/>
  <c r="AQ125" i="18"/>
  <c r="AR125" i="18"/>
  <c r="AS125" i="18"/>
  <c r="AT125" i="18"/>
  <c r="AU125" i="18"/>
  <c r="AV125" i="18"/>
  <c r="AW125" i="18"/>
  <c r="AX125" i="18"/>
  <c r="AY125" i="18"/>
  <c r="AZ125" i="18"/>
  <c r="BA125" i="18"/>
  <c r="BB125" i="18"/>
  <c r="BC125" i="18"/>
  <c r="BD125" i="18"/>
  <c r="BE125" i="18"/>
  <c r="BF125" i="18"/>
  <c r="BG125" i="18"/>
  <c r="BH125" i="18"/>
  <c r="BI125" i="18"/>
  <c r="BJ125" i="18"/>
  <c r="BK125" i="18"/>
  <c r="BL125" i="18"/>
  <c r="BM125" i="18"/>
  <c r="BN125" i="18"/>
  <c r="BO125" i="18"/>
  <c r="BP125" i="18"/>
  <c r="BQ125" i="18"/>
  <c r="BR125" i="18"/>
  <c r="BS125" i="18"/>
  <c r="BT125" i="18"/>
  <c r="B126" i="18"/>
  <c r="C126" i="18"/>
  <c r="D126" i="18"/>
  <c r="E126" i="18"/>
  <c r="F126" i="18"/>
  <c r="G126" i="18"/>
  <c r="H126" i="18"/>
  <c r="I126" i="18"/>
  <c r="J126" i="18"/>
  <c r="K126" i="18"/>
  <c r="L126" i="18"/>
  <c r="M126" i="18"/>
  <c r="N126" i="18"/>
  <c r="O126" i="18"/>
  <c r="P126" i="18"/>
  <c r="Q126" i="18"/>
  <c r="R126" i="18"/>
  <c r="S126" i="18"/>
  <c r="T126" i="18"/>
  <c r="U126" i="18"/>
  <c r="V126" i="18"/>
  <c r="W126" i="18"/>
  <c r="X126" i="18"/>
  <c r="Y126" i="18"/>
  <c r="Z126" i="18"/>
  <c r="AA126" i="18"/>
  <c r="AB126" i="18"/>
  <c r="AC126" i="18"/>
  <c r="AD126" i="18"/>
  <c r="AE126" i="18"/>
  <c r="AF126" i="18"/>
  <c r="AG126" i="18"/>
  <c r="AH126" i="18"/>
  <c r="AI126" i="18"/>
  <c r="AJ126" i="18"/>
  <c r="AK126" i="18"/>
  <c r="AL126" i="18"/>
  <c r="AM126" i="18"/>
  <c r="AN126" i="18"/>
  <c r="AO126" i="18"/>
  <c r="AP126" i="18"/>
  <c r="AQ126" i="18"/>
  <c r="AR126" i="18"/>
  <c r="AS126" i="18"/>
  <c r="AT126" i="18"/>
  <c r="AU126" i="18"/>
  <c r="AV126" i="18"/>
  <c r="AW126" i="18"/>
  <c r="AX126" i="18"/>
  <c r="AY126" i="18"/>
  <c r="AZ126" i="18"/>
  <c r="BA126" i="18"/>
  <c r="BB126" i="18"/>
  <c r="BC126" i="18"/>
  <c r="BD126" i="18"/>
  <c r="BE126" i="18"/>
  <c r="BF126" i="18"/>
  <c r="BG126" i="18"/>
  <c r="BH126" i="18"/>
  <c r="BI126" i="18"/>
  <c r="BJ126" i="18"/>
  <c r="BK126" i="18"/>
  <c r="BL126" i="18"/>
  <c r="BM126" i="18"/>
  <c r="BN126" i="18"/>
  <c r="BO126" i="18"/>
  <c r="BP126" i="18"/>
  <c r="BQ126" i="18"/>
  <c r="BR126" i="18"/>
  <c r="BS126" i="18"/>
  <c r="BT126" i="18"/>
  <c r="BT2" i="18"/>
  <c r="BS2" i="18"/>
  <c r="BR2" i="18"/>
  <c r="BQ2" i="18"/>
  <c r="BP2" i="18"/>
  <c r="BO2" i="18"/>
  <c r="BN2" i="18"/>
  <c r="BM2" i="18"/>
  <c r="BL2" i="18"/>
  <c r="BK2" i="18"/>
  <c r="BJ2" i="18"/>
  <c r="BI2" i="18"/>
  <c r="BH2" i="18"/>
  <c r="BG2" i="18"/>
  <c r="BF2" i="18"/>
  <c r="BE2" i="18"/>
  <c r="BD2" i="18"/>
  <c r="BC2" i="18"/>
  <c r="BB2" i="18"/>
  <c r="BA2" i="18"/>
  <c r="AZ2" i="18"/>
  <c r="AY2" i="18"/>
  <c r="AX2" i="18"/>
  <c r="AW2" i="18"/>
  <c r="AV2" i="18"/>
  <c r="AU2" i="18"/>
  <c r="AT2" i="18"/>
  <c r="AS2" i="18"/>
  <c r="AR2" i="18"/>
  <c r="AQ2" i="18"/>
  <c r="AP2" i="18"/>
  <c r="AO2" i="18"/>
  <c r="AN2" i="18"/>
  <c r="AM2" i="18"/>
  <c r="AL2" i="18"/>
  <c r="AK2" i="18"/>
  <c r="AJ2" i="18"/>
  <c r="AI2" i="18"/>
  <c r="AH2" i="18"/>
  <c r="AG2" i="18"/>
  <c r="AF2" i="18"/>
  <c r="AE2" i="18"/>
  <c r="AD2" i="18"/>
  <c r="AC2" i="18"/>
  <c r="AB2" i="18"/>
  <c r="AA2" i="18"/>
  <c r="Z2" i="18"/>
  <c r="Y2" i="18"/>
  <c r="X2" i="18"/>
  <c r="W2" i="18"/>
  <c r="V2" i="18"/>
  <c r="U2" i="18"/>
  <c r="T2" i="18"/>
  <c r="S2" i="18"/>
  <c r="R2" i="18"/>
  <c r="Q2" i="18"/>
  <c r="P2" i="18"/>
  <c r="O2" i="18"/>
  <c r="N2" i="18"/>
  <c r="M2" i="18"/>
  <c r="L2" i="18"/>
  <c r="K2" i="18"/>
  <c r="J2" i="18"/>
  <c r="I2" i="18"/>
  <c r="H2" i="18"/>
  <c r="G2" i="18"/>
  <c r="F2" i="18"/>
  <c r="E2" i="18"/>
  <c r="D2" i="18"/>
  <c r="C2" i="18"/>
  <c r="B2" i="18"/>
  <c r="A10" i="21" l="1"/>
  <c r="E9" i="21"/>
  <c r="G9" i="21" s="1"/>
  <c r="F9" i="21"/>
  <c r="H119" i="14"/>
  <c r="H111" i="14"/>
  <c r="H103" i="14"/>
  <c r="H95" i="14"/>
  <c r="H87" i="14"/>
  <c r="H79" i="14"/>
  <c r="H71" i="14"/>
  <c r="H63" i="14"/>
  <c r="H55" i="14"/>
  <c r="H47" i="14"/>
  <c r="H39" i="14"/>
  <c r="H31" i="14"/>
  <c r="H23" i="14"/>
  <c r="H15" i="14"/>
  <c r="H7" i="14"/>
  <c r="H120" i="14"/>
  <c r="H112" i="14"/>
  <c r="H104" i="14"/>
  <c r="H96" i="14"/>
  <c r="H88" i="14"/>
  <c r="H80" i="14"/>
  <c r="H72" i="14"/>
  <c r="H64" i="14"/>
  <c r="H56" i="14"/>
  <c r="H48" i="14"/>
  <c r="H40" i="14"/>
  <c r="H32" i="14"/>
  <c r="H24" i="14"/>
  <c r="H16" i="14"/>
  <c r="H8" i="14"/>
  <c r="H126" i="14"/>
  <c r="H121" i="14"/>
  <c r="H113" i="14"/>
  <c r="H105" i="14"/>
  <c r="H97" i="14"/>
  <c r="H89" i="14"/>
  <c r="H81" i="14"/>
  <c r="H73" i="14"/>
  <c r="H65" i="14"/>
  <c r="H57" i="14"/>
  <c r="H49" i="14"/>
  <c r="H41" i="14"/>
  <c r="H33" i="14"/>
  <c r="H25" i="14"/>
  <c r="H17" i="14"/>
  <c r="H9" i="14"/>
  <c r="H122" i="14"/>
  <c r="H114" i="14"/>
  <c r="H106" i="14"/>
  <c r="H98" i="14"/>
  <c r="H90" i="14"/>
  <c r="H82" i="14"/>
  <c r="H74" i="14"/>
  <c r="H66" i="14"/>
  <c r="H58" i="14"/>
  <c r="H50" i="14"/>
  <c r="H42" i="14"/>
  <c r="H34" i="14"/>
  <c r="H26" i="14"/>
  <c r="H18" i="14"/>
  <c r="H10" i="14"/>
  <c r="H123" i="14"/>
  <c r="H115" i="14"/>
  <c r="H107" i="14"/>
  <c r="H99" i="14"/>
  <c r="H91" i="14"/>
  <c r="H83" i="14"/>
  <c r="H75" i="14"/>
  <c r="H67" i="14"/>
  <c r="H59" i="14"/>
  <c r="H51" i="14"/>
  <c r="H43" i="14"/>
  <c r="H35" i="14"/>
  <c r="H27" i="14"/>
  <c r="H19" i="14"/>
  <c r="H11" i="14"/>
  <c r="H124" i="14"/>
  <c r="H116" i="14"/>
  <c r="H108" i="14"/>
  <c r="H100" i="14"/>
  <c r="H92" i="14"/>
  <c r="H84" i="14"/>
  <c r="H76" i="14"/>
  <c r="H68" i="14"/>
  <c r="H60" i="14"/>
  <c r="H52" i="14"/>
  <c r="H44" i="14"/>
  <c r="H36" i="14"/>
  <c r="H28" i="14"/>
  <c r="H20" i="14"/>
  <c r="H12" i="14"/>
  <c r="H4" i="14"/>
  <c r="H125" i="14"/>
  <c r="H117" i="14"/>
  <c r="H109" i="14"/>
  <c r="H101" i="14"/>
  <c r="H93" i="14"/>
  <c r="H85" i="14"/>
  <c r="H77" i="14"/>
  <c r="H69" i="14"/>
  <c r="H61" i="14"/>
  <c r="H53" i="14"/>
  <c r="H45" i="14"/>
  <c r="H37" i="14"/>
  <c r="H29" i="14"/>
  <c r="H21" i="14"/>
  <c r="H13" i="14"/>
  <c r="H5" i="14"/>
  <c r="H118" i="14"/>
  <c r="H110" i="14"/>
  <c r="H102" i="14"/>
  <c r="H94" i="14"/>
  <c r="H86" i="14"/>
  <c r="H78" i="14"/>
  <c r="H70" i="14"/>
  <c r="H62" i="14"/>
  <c r="H54" i="14"/>
  <c r="H46" i="14"/>
  <c r="H38" i="14"/>
  <c r="H30" i="14"/>
  <c r="H22" i="14"/>
  <c r="H14" i="14"/>
  <c r="H6" i="14"/>
  <c r="G121" i="14"/>
  <c r="G113" i="14"/>
  <c r="G105" i="14"/>
  <c r="G97" i="14"/>
  <c r="G89" i="14"/>
  <c r="G81" i="14"/>
  <c r="G73" i="14"/>
  <c r="G65" i="14"/>
  <c r="G57" i="14"/>
  <c r="G49" i="14"/>
  <c r="G41" i="14"/>
  <c r="G33" i="14"/>
  <c r="G25" i="14"/>
  <c r="G17" i="14"/>
  <c r="G122" i="14"/>
  <c r="G114" i="14"/>
  <c r="G106" i="14"/>
  <c r="G98" i="14"/>
  <c r="G90" i="14"/>
  <c r="G82" i="14"/>
  <c r="G74" i="14"/>
  <c r="G66" i="14"/>
  <c r="G58" i="14"/>
  <c r="G50" i="14"/>
  <c r="G42" i="14"/>
  <c r="G34" i="14"/>
  <c r="G26" i="14"/>
  <c r="G18" i="14"/>
  <c r="G10" i="14"/>
  <c r="G3" i="14"/>
  <c r="G123" i="14"/>
  <c r="G115" i="14"/>
  <c r="G107" i="14"/>
  <c r="G99" i="14"/>
  <c r="G91" i="14"/>
  <c r="G83" i="14"/>
  <c r="G75" i="14"/>
  <c r="G67" i="14"/>
  <c r="G59" i="14"/>
  <c r="G51" i="14"/>
  <c r="G43" i="14"/>
  <c r="G35" i="14"/>
  <c r="G27" i="14"/>
  <c r="G19" i="14"/>
  <c r="G11" i="14"/>
  <c r="G4" i="14"/>
  <c r="G116" i="14"/>
  <c r="G108" i="14"/>
  <c r="G100" i="14"/>
  <c r="G92" i="14"/>
  <c r="G84" i="14"/>
  <c r="G76" i="14"/>
  <c r="G68" i="14"/>
  <c r="G60" i="14"/>
  <c r="G52" i="14"/>
  <c r="G44" i="14"/>
  <c r="G36" i="14"/>
  <c r="G28" i="14"/>
  <c r="G20" i="14"/>
  <c r="G12" i="14"/>
  <c r="G5" i="14"/>
  <c r="G125" i="14"/>
  <c r="G117" i="14"/>
  <c r="G109" i="14"/>
  <c r="G101" i="14"/>
  <c r="G93" i="14"/>
  <c r="G85" i="14"/>
  <c r="G77" i="14"/>
  <c r="G69" i="14"/>
  <c r="G61" i="14"/>
  <c r="G53" i="14"/>
  <c r="G45" i="14"/>
  <c r="G37" i="14"/>
  <c r="G29" i="14"/>
  <c r="G21" i="14"/>
  <c r="G13" i="14"/>
  <c r="G6" i="14"/>
  <c r="G124" i="14"/>
  <c r="G126" i="14"/>
  <c r="G118" i="14"/>
  <c r="G110" i="14"/>
  <c r="G102" i="14"/>
  <c r="G94" i="14"/>
  <c r="G86" i="14"/>
  <c r="G78" i="14"/>
  <c r="G70" i="14"/>
  <c r="G62" i="14"/>
  <c r="G54" i="14"/>
  <c r="G46" i="14"/>
  <c r="G38" i="14"/>
  <c r="G30" i="14"/>
  <c r="G22" i="14"/>
  <c r="G14" i="14"/>
  <c r="G7" i="14"/>
  <c r="G119" i="14"/>
  <c r="G111" i="14"/>
  <c r="G103" i="14"/>
  <c r="G95" i="14"/>
  <c r="G87" i="14"/>
  <c r="G79" i="14"/>
  <c r="G71" i="14"/>
  <c r="G63" i="14"/>
  <c r="G55" i="14"/>
  <c r="G47" i="14"/>
  <c r="G39" i="14"/>
  <c r="G31" i="14"/>
  <c r="G23" i="14"/>
  <c r="G15" i="14"/>
  <c r="G8" i="14"/>
  <c r="G120" i="14"/>
  <c r="G112" i="14"/>
  <c r="G104" i="14"/>
  <c r="G96" i="14"/>
  <c r="G88" i="14"/>
  <c r="G80" i="14"/>
  <c r="G72" i="14"/>
  <c r="G64" i="14"/>
  <c r="G56" i="14"/>
  <c r="G48" i="14"/>
  <c r="G40" i="14"/>
  <c r="G32" i="14"/>
  <c r="G24" i="14"/>
  <c r="G16" i="14"/>
  <c r="G9" i="14"/>
  <c r="H2" i="14"/>
  <c r="H3" i="14"/>
  <c r="N126" i="14"/>
  <c r="G2" i="14"/>
  <c r="A2" i="8"/>
  <c r="A3" i="8" s="1"/>
  <c r="A11" i="21" l="1"/>
  <c r="E10" i="21"/>
  <c r="F10" i="21"/>
  <c r="A4" i="8"/>
  <c r="D3" i="14"/>
  <c r="D4" i="14"/>
  <c r="D5" i="14"/>
  <c r="D6" i="14"/>
  <c r="D7" i="14"/>
  <c r="D8" i="14"/>
  <c r="D9" i="14"/>
  <c r="D10" i="14"/>
  <c r="D11" i="14"/>
  <c r="D12" i="14"/>
  <c r="D13" i="14"/>
  <c r="D14" i="14"/>
  <c r="E50" i="14"/>
  <c r="E53" i="14"/>
  <c r="E56" i="14"/>
  <c r="E62" i="14"/>
  <c r="E64" i="14"/>
  <c r="E65" i="14"/>
  <c r="E68" i="14"/>
  <c r="E69" i="14"/>
  <c r="E70" i="14"/>
  <c r="E73" i="14"/>
  <c r="E74" i="14"/>
  <c r="E75" i="14"/>
  <c r="E76" i="14"/>
  <c r="E77" i="14"/>
  <c r="E79" i="14"/>
  <c r="E81" i="14"/>
  <c r="E82" i="14"/>
  <c r="E84" i="14"/>
  <c r="E85" i="14"/>
  <c r="E86" i="14"/>
  <c r="E87" i="14"/>
  <c r="E88" i="14"/>
  <c r="E89" i="14"/>
  <c r="E90" i="14"/>
  <c r="E91" i="14"/>
  <c r="E92" i="14"/>
  <c r="E93" i="14"/>
  <c r="E94" i="14"/>
  <c r="E95" i="14"/>
  <c r="E97" i="14"/>
  <c r="E98" i="14"/>
  <c r="E99" i="14"/>
  <c r="E100" i="14"/>
  <c r="E101" i="14"/>
  <c r="E102" i="14"/>
  <c r="E103" i="14"/>
  <c r="E104" i="14"/>
  <c r="E105" i="14"/>
  <c r="E106" i="14"/>
  <c r="E107" i="14"/>
  <c r="E108" i="14"/>
  <c r="E109" i="14"/>
  <c r="E110" i="14"/>
  <c r="E111" i="14"/>
  <c r="E112" i="14"/>
  <c r="E113" i="14"/>
  <c r="E114" i="14"/>
  <c r="E115" i="14"/>
  <c r="E116" i="14"/>
  <c r="E117" i="14"/>
  <c r="E118" i="14"/>
  <c r="E119" i="14"/>
  <c r="E120" i="14"/>
  <c r="E121" i="14"/>
  <c r="E122" i="14"/>
  <c r="E123" i="14"/>
  <c r="E124" i="14"/>
  <c r="E125" i="14"/>
  <c r="C126" i="14"/>
  <c r="G10" i="21" l="1"/>
  <c r="A12" i="21"/>
  <c r="E11" i="21"/>
  <c r="G11" i="21" s="1"/>
  <c r="F11" i="21"/>
  <c r="A5" i="8"/>
  <c r="D126" i="14"/>
  <c r="J59" i="20"/>
  <c r="J58" i="20"/>
  <c r="H4" i="13"/>
  <c r="H5" i="13" s="1"/>
  <c r="F1" i="8"/>
  <c r="C2" i="8"/>
  <c r="AY15" i="3"/>
  <c r="AY15" i="22" s="1"/>
  <c r="BB3" i="3"/>
  <c r="BB3" i="22" s="1"/>
  <c r="BC3" i="3"/>
  <c r="BC3" i="22" s="1"/>
  <c r="BD3" i="3"/>
  <c r="BD3" i="22" s="1"/>
  <c r="BE3" i="3"/>
  <c r="BE3" i="22" s="1"/>
  <c r="BF3" i="3"/>
  <c r="BF3" i="22" s="1"/>
  <c r="BG3" i="3"/>
  <c r="BG3" i="22" s="1"/>
  <c r="BH3" i="3"/>
  <c r="BH3" i="22" s="1"/>
  <c r="BI3" i="3"/>
  <c r="BI3" i="22" s="1"/>
  <c r="BJ3" i="3"/>
  <c r="BJ3" i="22" s="1"/>
  <c r="BK3" i="3"/>
  <c r="BK3" i="22" s="1"/>
  <c r="BL3" i="3"/>
  <c r="BL3" i="22" s="1"/>
  <c r="BM3" i="3"/>
  <c r="BM3" i="22" s="1"/>
  <c r="BN3" i="3"/>
  <c r="BN3" i="22" s="1"/>
  <c r="BO3" i="3"/>
  <c r="BO3" i="22" s="1"/>
  <c r="BP3" i="3"/>
  <c r="BP3" i="22" s="1"/>
  <c r="BQ3" i="3"/>
  <c r="BQ3" i="22" s="1"/>
  <c r="BR3" i="3"/>
  <c r="BR3" i="22" s="1"/>
  <c r="BS3" i="3"/>
  <c r="BS3" i="22" s="1"/>
  <c r="BT3" i="3"/>
  <c r="BT3" i="22" s="1"/>
  <c r="BB4" i="3"/>
  <c r="BB4" i="22" s="1"/>
  <c r="BC4" i="3"/>
  <c r="BC4" i="22" s="1"/>
  <c r="BD4" i="3"/>
  <c r="BD4" i="22" s="1"/>
  <c r="BE4" i="3"/>
  <c r="BE4" i="22" s="1"/>
  <c r="BF4" i="3"/>
  <c r="BF4" i="22" s="1"/>
  <c r="BG4" i="3"/>
  <c r="BG4" i="22" s="1"/>
  <c r="BH4" i="3"/>
  <c r="BH4" i="22" s="1"/>
  <c r="BI4" i="3"/>
  <c r="BI4" i="22" s="1"/>
  <c r="BJ4" i="3"/>
  <c r="BJ4" i="22" s="1"/>
  <c r="BK4" i="3"/>
  <c r="BK4" i="22" s="1"/>
  <c r="BL4" i="3"/>
  <c r="BL4" i="22" s="1"/>
  <c r="BM4" i="3"/>
  <c r="BM4" i="22" s="1"/>
  <c r="BN4" i="3"/>
  <c r="BN4" i="22" s="1"/>
  <c r="BO4" i="3"/>
  <c r="BO4" i="22" s="1"/>
  <c r="BP4" i="3"/>
  <c r="BP4" i="22" s="1"/>
  <c r="BQ4" i="3"/>
  <c r="BQ4" i="22" s="1"/>
  <c r="BR4" i="3"/>
  <c r="BR4" i="22" s="1"/>
  <c r="BS4" i="3"/>
  <c r="BS4" i="22" s="1"/>
  <c r="BT4" i="3"/>
  <c r="BT4" i="22" s="1"/>
  <c r="BB5" i="3"/>
  <c r="BB5" i="22" s="1"/>
  <c r="BC5" i="3"/>
  <c r="BC5" i="22" s="1"/>
  <c r="BD5" i="3"/>
  <c r="BD5" i="22" s="1"/>
  <c r="BE5" i="3"/>
  <c r="BE5" i="22" s="1"/>
  <c r="BF5" i="3"/>
  <c r="BF5" i="22" s="1"/>
  <c r="BG5" i="3"/>
  <c r="BG5" i="22" s="1"/>
  <c r="BH5" i="3"/>
  <c r="BH5" i="22" s="1"/>
  <c r="BI5" i="3"/>
  <c r="BI5" i="22" s="1"/>
  <c r="BJ5" i="3"/>
  <c r="BJ5" i="22" s="1"/>
  <c r="BK5" i="3"/>
  <c r="BK5" i="22" s="1"/>
  <c r="BL5" i="3"/>
  <c r="BL5" i="22" s="1"/>
  <c r="BM5" i="3"/>
  <c r="BM5" i="22" s="1"/>
  <c r="BN5" i="3"/>
  <c r="BN5" i="22" s="1"/>
  <c r="BO5" i="3"/>
  <c r="BO5" i="22" s="1"/>
  <c r="BP5" i="3"/>
  <c r="BP5" i="22" s="1"/>
  <c r="BQ5" i="3"/>
  <c r="BQ5" i="22" s="1"/>
  <c r="BR5" i="3"/>
  <c r="BR5" i="22" s="1"/>
  <c r="BS5" i="3"/>
  <c r="BS5" i="22" s="1"/>
  <c r="BT5" i="3"/>
  <c r="BT5" i="22" s="1"/>
  <c r="BB6" i="3"/>
  <c r="BB6" i="22" s="1"/>
  <c r="BC6" i="3"/>
  <c r="BC6" i="22" s="1"/>
  <c r="BD6" i="3"/>
  <c r="BD6" i="22" s="1"/>
  <c r="BE6" i="3"/>
  <c r="BE6" i="22" s="1"/>
  <c r="BF6" i="3"/>
  <c r="BF6" i="22" s="1"/>
  <c r="BG6" i="3"/>
  <c r="BG6" i="22" s="1"/>
  <c r="BH6" i="3"/>
  <c r="BH6" i="22" s="1"/>
  <c r="BI6" i="3"/>
  <c r="BI6" i="22" s="1"/>
  <c r="BJ6" i="3"/>
  <c r="BJ6" i="22" s="1"/>
  <c r="BK6" i="3"/>
  <c r="BK6" i="22" s="1"/>
  <c r="BL6" i="3"/>
  <c r="BL6" i="22" s="1"/>
  <c r="BM6" i="3"/>
  <c r="BM6" i="22" s="1"/>
  <c r="BN6" i="3"/>
  <c r="BN6" i="22" s="1"/>
  <c r="BO6" i="3"/>
  <c r="BO6" i="22" s="1"/>
  <c r="BP6" i="3"/>
  <c r="BP6" i="22" s="1"/>
  <c r="BQ6" i="3"/>
  <c r="BQ6" i="22" s="1"/>
  <c r="BR6" i="3"/>
  <c r="BR6" i="22" s="1"/>
  <c r="BS6" i="3"/>
  <c r="BS6" i="22" s="1"/>
  <c r="BT6" i="3"/>
  <c r="BT6" i="22" s="1"/>
  <c r="BB7" i="3"/>
  <c r="BB7" i="22" s="1"/>
  <c r="BC7" i="3"/>
  <c r="BC7" i="22" s="1"/>
  <c r="BD7" i="3"/>
  <c r="BD7" i="22" s="1"/>
  <c r="BE7" i="3"/>
  <c r="BE7" i="22" s="1"/>
  <c r="BF7" i="3"/>
  <c r="BF7" i="22" s="1"/>
  <c r="BG7" i="3"/>
  <c r="BG7" i="22" s="1"/>
  <c r="BH7" i="3"/>
  <c r="BH7" i="22" s="1"/>
  <c r="BI7" i="3"/>
  <c r="BI7" i="22" s="1"/>
  <c r="BJ7" i="3"/>
  <c r="BJ7" i="22" s="1"/>
  <c r="BK7" i="3"/>
  <c r="BK7" i="22" s="1"/>
  <c r="BL7" i="3"/>
  <c r="BL7" i="22" s="1"/>
  <c r="BM7" i="3"/>
  <c r="BM7" i="22" s="1"/>
  <c r="BN7" i="3"/>
  <c r="BN7" i="22" s="1"/>
  <c r="BO7" i="3"/>
  <c r="BO7" i="22" s="1"/>
  <c r="BP7" i="3"/>
  <c r="BP7" i="22" s="1"/>
  <c r="BQ7" i="3"/>
  <c r="BQ7" i="22" s="1"/>
  <c r="BR7" i="3"/>
  <c r="BR7" i="22" s="1"/>
  <c r="BS7" i="3"/>
  <c r="BS7" i="22" s="1"/>
  <c r="BT7" i="3"/>
  <c r="BT7" i="22" s="1"/>
  <c r="BB8" i="3"/>
  <c r="BB8" i="22" s="1"/>
  <c r="BC8" i="3"/>
  <c r="BC8" i="22" s="1"/>
  <c r="BD8" i="3"/>
  <c r="BD8" i="22" s="1"/>
  <c r="BE8" i="3"/>
  <c r="BE8" i="22" s="1"/>
  <c r="BF8" i="3"/>
  <c r="BF8" i="22" s="1"/>
  <c r="BG8" i="3"/>
  <c r="BG8" i="22" s="1"/>
  <c r="BH8" i="3"/>
  <c r="BH8" i="22" s="1"/>
  <c r="BI8" i="3"/>
  <c r="BI8" i="22" s="1"/>
  <c r="BJ8" i="3"/>
  <c r="BJ8" i="22" s="1"/>
  <c r="BK8" i="3"/>
  <c r="BK8" i="22" s="1"/>
  <c r="BL8" i="3"/>
  <c r="BL8" i="22" s="1"/>
  <c r="BM8" i="3"/>
  <c r="BM8" i="22" s="1"/>
  <c r="BN8" i="3"/>
  <c r="BN8" i="22" s="1"/>
  <c r="BO8" i="3"/>
  <c r="BO8" i="22" s="1"/>
  <c r="BP8" i="3"/>
  <c r="BP8" i="22" s="1"/>
  <c r="BQ8" i="3"/>
  <c r="BQ8" i="22" s="1"/>
  <c r="BR8" i="3"/>
  <c r="BR8" i="22" s="1"/>
  <c r="BS8" i="3"/>
  <c r="BS8" i="22" s="1"/>
  <c r="BT8" i="3"/>
  <c r="BT8" i="22" s="1"/>
  <c r="BB9" i="3"/>
  <c r="BB9" i="22" s="1"/>
  <c r="BC9" i="3"/>
  <c r="BC9" i="22" s="1"/>
  <c r="BD9" i="3"/>
  <c r="BD9" i="22" s="1"/>
  <c r="BE9" i="3"/>
  <c r="BE9" i="22" s="1"/>
  <c r="BF9" i="3"/>
  <c r="BF9" i="22" s="1"/>
  <c r="BG9" i="3"/>
  <c r="BG9" i="22" s="1"/>
  <c r="BH9" i="3"/>
  <c r="BH9" i="22" s="1"/>
  <c r="BI9" i="3"/>
  <c r="BI9" i="22" s="1"/>
  <c r="BJ9" i="3"/>
  <c r="BJ9" i="22" s="1"/>
  <c r="BK9" i="3"/>
  <c r="BK9" i="22" s="1"/>
  <c r="BL9" i="3"/>
  <c r="BL9" i="22" s="1"/>
  <c r="BM9" i="3"/>
  <c r="BM9" i="22" s="1"/>
  <c r="BN9" i="3"/>
  <c r="BN9" i="22" s="1"/>
  <c r="BO9" i="3"/>
  <c r="BO9" i="22" s="1"/>
  <c r="BP9" i="3"/>
  <c r="BP9" i="22" s="1"/>
  <c r="BQ9" i="3"/>
  <c r="BQ9" i="22" s="1"/>
  <c r="BR9" i="3"/>
  <c r="BR9" i="22" s="1"/>
  <c r="BS9" i="3"/>
  <c r="BS9" i="22" s="1"/>
  <c r="BT9" i="3"/>
  <c r="BT9" i="22" s="1"/>
  <c r="BB10" i="3"/>
  <c r="BB10" i="22" s="1"/>
  <c r="BC10" i="3"/>
  <c r="BC10" i="22" s="1"/>
  <c r="BD10" i="3"/>
  <c r="BD10" i="22" s="1"/>
  <c r="BE10" i="3"/>
  <c r="BE10" i="22" s="1"/>
  <c r="BF10" i="3"/>
  <c r="BF10" i="22" s="1"/>
  <c r="BG10" i="3"/>
  <c r="BG10" i="22" s="1"/>
  <c r="BH10" i="3"/>
  <c r="BH10" i="22" s="1"/>
  <c r="BI10" i="3"/>
  <c r="BI10" i="22" s="1"/>
  <c r="BJ10" i="3"/>
  <c r="BJ10" i="22" s="1"/>
  <c r="BK10" i="3"/>
  <c r="BK10" i="22" s="1"/>
  <c r="BL10" i="3"/>
  <c r="BL10" i="22" s="1"/>
  <c r="BM10" i="3"/>
  <c r="BM10" i="22" s="1"/>
  <c r="BN10" i="3"/>
  <c r="BN10" i="22" s="1"/>
  <c r="BO10" i="3"/>
  <c r="BO10" i="22" s="1"/>
  <c r="BP10" i="3"/>
  <c r="BP10" i="22" s="1"/>
  <c r="BQ10" i="3"/>
  <c r="BQ10" i="22" s="1"/>
  <c r="BR10" i="3"/>
  <c r="BR10" i="22" s="1"/>
  <c r="BS10" i="3"/>
  <c r="BS10" i="22" s="1"/>
  <c r="BT10" i="3"/>
  <c r="BT10" i="22" s="1"/>
  <c r="BB11" i="3"/>
  <c r="BB11" i="22" s="1"/>
  <c r="BC11" i="3"/>
  <c r="BC11" i="22" s="1"/>
  <c r="BD11" i="3"/>
  <c r="BD11" i="22" s="1"/>
  <c r="BE11" i="3"/>
  <c r="BE11" i="22" s="1"/>
  <c r="BF11" i="3"/>
  <c r="BF11" i="22" s="1"/>
  <c r="BG11" i="3"/>
  <c r="BG11" i="22" s="1"/>
  <c r="BH11" i="3"/>
  <c r="BH11" i="22" s="1"/>
  <c r="BI11" i="3"/>
  <c r="BI11" i="22" s="1"/>
  <c r="BJ11" i="3"/>
  <c r="BJ11" i="22" s="1"/>
  <c r="BK11" i="3"/>
  <c r="BK11" i="22" s="1"/>
  <c r="BL11" i="3"/>
  <c r="BL11" i="22" s="1"/>
  <c r="BM11" i="3"/>
  <c r="BM11" i="22" s="1"/>
  <c r="BN11" i="3"/>
  <c r="BN11" i="22" s="1"/>
  <c r="BO11" i="3"/>
  <c r="BO11" i="22" s="1"/>
  <c r="BP11" i="3"/>
  <c r="BP11" i="22" s="1"/>
  <c r="BQ11" i="3"/>
  <c r="BQ11" i="22" s="1"/>
  <c r="BR11" i="3"/>
  <c r="BR11" i="22" s="1"/>
  <c r="BS11" i="3"/>
  <c r="BS11" i="22" s="1"/>
  <c r="BT11" i="3"/>
  <c r="BT11" i="22" s="1"/>
  <c r="BB12" i="3"/>
  <c r="BB12" i="22" s="1"/>
  <c r="BC12" i="3"/>
  <c r="BC12" i="22" s="1"/>
  <c r="BD12" i="3"/>
  <c r="BD12" i="22" s="1"/>
  <c r="BE12" i="3"/>
  <c r="BE12" i="22" s="1"/>
  <c r="BF12" i="3"/>
  <c r="BF12" i="22" s="1"/>
  <c r="BG12" i="3"/>
  <c r="BG12" i="22" s="1"/>
  <c r="BH12" i="3"/>
  <c r="BH12" i="22" s="1"/>
  <c r="BI12" i="3"/>
  <c r="BI12" i="22" s="1"/>
  <c r="BJ12" i="3"/>
  <c r="BJ12" i="22" s="1"/>
  <c r="BK12" i="3"/>
  <c r="BK12" i="22" s="1"/>
  <c r="BL12" i="3"/>
  <c r="BL12" i="22" s="1"/>
  <c r="BM12" i="3"/>
  <c r="BM12" i="22" s="1"/>
  <c r="BN12" i="3"/>
  <c r="BN12" i="22" s="1"/>
  <c r="BO12" i="3"/>
  <c r="BO12" i="22" s="1"/>
  <c r="BP12" i="3"/>
  <c r="BP12" i="22" s="1"/>
  <c r="BQ12" i="3"/>
  <c r="BQ12" i="22" s="1"/>
  <c r="BR12" i="3"/>
  <c r="BR12" i="22" s="1"/>
  <c r="BS12" i="3"/>
  <c r="BS12" i="22" s="1"/>
  <c r="BT12" i="3"/>
  <c r="BT12" i="22" s="1"/>
  <c r="BB13" i="3"/>
  <c r="BB13" i="22" s="1"/>
  <c r="BC13" i="3"/>
  <c r="BC13" i="22" s="1"/>
  <c r="BD13" i="3"/>
  <c r="BD13" i="22" s="1"/>
  <c r="BE13" i="3"/>
  <c r="BE13" i="22" s="1"/>
  <c r="BF13" i="3"/>
  <c r="BF13" i="22" s="1"/>
  <c r="BG13" i="3"/>
  <c r="BG13" i="22" s="1"/>
  <c r="BH13" i="3"/>
  <c r="BH13" i="22" s="1"/>
  <c r="BI13" i="3"/>
  <c r="BI13" i="22" s="1"/>
  <c r="BJ13" i="3"/>
  <c r="BJ13" i="22" s="1"/>
  <c r="BK13" i="3"/>
  <c r="BK13" i="22" s="1"/>
  <c r="BL13" i="3"/>
  <c r="BL13" i="22" s="1"/>
  <c r="BM13" i="3"/>
  <c r="BM13" i="22" s="1"/>
  <c r="BN13" i="3"/>
  <c r="BN13" i="22" s="1"/>
  <c r="BO13" i="3"/>
  <c r="BO13" i="22" s="1"/>
  <c r="BP13" i="3"/>
  <c r="BP13" i="22" s="1"/>
  <c r="BQ13" i="3"/>
  <c r="BQ13" i="22" s="1"/>
  <c r="BR13" i="3"/>
  <c r="BR13" i="22" s="1"/>
  <c r="BS13" i="3"/>
  <c r="BS13" i="22" s="1"/>
  <c r="BT13" i="3"/>
  <c r="BT13" i="22" s="1"/>
  <c r="BB14" i="3"/>
  <c r="BB14" i="22" s="1"/>
  <c r="BC14" i="3"/>
  <c r="BC14" i="22" s="1"/>
  <c r="BD14" i="3"/>
  <c r="BD14" i="22" s="1"/>
  <c r="BE14" i="3"/>
  <c r="BE14" i="22" s="1"/>
  <c r="BF14" i="3"/>
  <c r="BF14" i="22" s="1"/>
  <c r="BG14" i="3"/>
  <c r="BG14" i="22" s="1"/>
  <c r="BH14" i="3"/>
  <c r="BH14" i="22" s="1"/>
  <c r="BI14" i="3"/>
  <c r="BI14" i="22" s="1"/>
  <c r="BJ14" i="3"/>
  <c r="BJ14" i="22" s="1"/>
  <c r="BK14" i="3"/>
  <c r="BK14" i="22" s="1"/>
  <c r="BL14" i="3"/>
  <c r="BL14" i="22" s="1"/>
  <c r="BM14" i="3"/>
  <c r="BM14" i="22" s="1"/>
  <c r="BN14" i="3"/>
  <c r="BN14" i="22" s="1"/>
  <c r="BO14" i="3"/>
  <c r="BO14" i="22" s="1"/>
  <c r="BP14" i="3"/>
  <c r="BP14" i="22" s="1"/>
  <c r="BQ14" i="3"/>
  <c r="BQ14" i="22" s="1"/>
  <c r="BR14" i="3"/>
  <c r="BR14" i="22" s="1"/>
  <c r="BS14" i="3"/>
  <c r="BS14" i="22" s="1"/>
  <c r="BT14" i="3"/>
  <c r="BT14" i="22" s="1"/>
  <c r="BB15" i="3"/>
  <c r="BB15" i="22" s="1"/>
  <c r="BD15" i="3"/>
  <c r="BD15" i="22" s="1"/>
  <c r="BE15" i="3"/>
  <c r="BE15" i="22" s="1"/>
  <c r="BF15" i="3"/>
  <c r="BF15" i="22" s="1"/>
  <c r="BG15" i="3"/>
  <c r="BG15" i="22" s="1"/>
  <c r="BH15" i="3"/>
  <c r="BH15" i="22" s="1"/>
  <c r="BI15" i="3"/>
  <c r="BI15" i="22" s="1"/>
  <c r="BJ15" i="3"/>
  <c r="BJ15" i="22" s="1"/>
  <c r="BK15" i="3"/>
  <c r="BK15" i="22" s="1"/>
  <c r="BL15" i="3"/>
  <c r="BL15" i="22" s="1"/>
  <c r="BM15" i="3"/>
  <c r="BM15" i="22" s="1"/>
  <c r="BN15" i="3"/>
  <c r="BN15" i="22" s="1"/>
  <c r="BO15" i="3"/>
  <c r="BO15" i="22" s="1"/>
  <c r="BP15" i="3"/>
  <c r="BP15" i="22" s="1"/>
  <c r="BQ15" i="3"/>
  <c r="BQ15" i="22" s="1"/>
  <c r="BR15" i="3"/>
  <c r="BR15" i="22" s="1"/>
  <c r="BS15" i="3"/>
  <c r="BS15" i="22" s="1"/>
  <c r="BT15" i="3"/>
  <c r="BT15" i="22" s="1"/>
  <c r="BB16" i="3"/>
  <c r="BB16" i="22" s="1"/>
  <c r="BC16" i="3"/>
  <c r="BC16" i="22" s="1"/>
  <c r="BD16" i="3"/>
  <c r="BD16" i="22" s="1"/>
  <c r="BE16" i="3"/>
  <c r="BE16" i="22" s="1"/>
  <c r="BF16" i="3"/>
  <c r="BF16" i="22" s="1"/>
  <c r="BG16" i="3"/>
  <c r="BG16" i="22" s="1"/>
  <c r="BH16" i="3"/>
  <c r="BH16" i="22" s="1"/>
  <c r="BI16" i="3"/>
  <c r="BI16" i="22" s="1"/>
  <c r="BJ16" i="3"/>
  <c r="BJ16" i="22" s="1"/>
  <c r="BK16" i="3"/>
  <c r="BK16" i="22" s="1"/>
  <c r="BL16" i="3"/>
  <c r="BL16" i="22" s="1"/>
  <c r="BM16" i="3"/>
  <c r="BM16" i="22" s="1"/>
  <c r="BN16" i="3"/>
  <c r="BN16" i="22" s="1"/>
  <c r="BO16" i="3"/>
  <c r="BO16" i="22" s="1"/>
  <c r="BP16" i="3"/>
  <c r="BP16" i="22" s="1"/>
  <c r="BQ16" i="3"/>
  <c r="BQ16" i="22" s="1"/>
  <c r="BR16" i="3"/>
  <c r="BR16" i="22" s="1"/>
  <c r="BS16" i="3"/>
  <c r="BS16" i="22" s="1"/>
  <c r="BT16" i="3"/>
  <c r="BT16" i="22" s="1"/>
  <c r="BB17" i="3"/>
  <c r="BB17" i="22" s="1"/>
  <c r="BC17" i="3"/>
  <c r="BC17" i="22" s="1"/>
  <c r="BD17" i="3"/>
  <c r="BD17" i="22" s="1"/>
  <c r="BE17" i="3"/>
  <c r="BE17" i="22" s="1"/>
  <c r="BF17" i="3"/>
  <c r="BF17" i="22" s="1"/>
  <c r="BG17" i="3"/>
  <c r="BG17" i="22" s="1"/>
  <c r="BH17" i="3"/>
  <c r="BH17" i="22" s="1"/>
  <c r="BI17" i="3"/>
  <c r="BI17" i="22" s="1"/>
  <c r="BJ17" i="3"/>
  <c r="BJ17" i="22" s="1"/>
  <c r="BK17" i="3"/>
  <c r="BK17" i="22" s="1"/>
  <c r="BL17" i="3"/>
  <c r="BL17" i="22" s="1"/>
  <c r="BM17" i="3"/>
  <c r="BM17" i="22" s="1"/>
  <c r="BN17" i="3"/>
  <c r="BN17" i="22" s="1"/>
  <c r="BO17" i="3"/>
  <c r="BO17" i="22" s="1"/>
  <c r="BP17" i="3"/>
  <c r="BP17" i="22" s="1"/>
  <c r="BQ17" i="3"/>
  <c r="BQ17" i="22" s="1"/>
  <c r="BR17" i="3"/>
  <c r="BR17" i="22" s="1"/>
  <c r="BS17" i="3"/>
  <c r="BS17" i="22" s="1"/>
  <c r="BT17" i="3"/>
  <c r="BT17" i="22" s="1"/>
  <c r="BB18" i="3"/>
  <c r="BB18" i="22" s="1"/>
  <c r="BC18" i="3"/>
  <c r="BC18" i="22" s="1"/>
  <c r="BD18" i="3"/>
  <c r="BD18" i="22" s="1"/>
  <c r="BE18" i="3"/>
  <c r="BE18" i="22" s="1"/>
  <c r="BF18" i="3"/>
  <c r="BF18" i="22" s="1"/>
  <c r="BG18" i="3"/>
  <c r="BG18" i="22" s="1"/>
  <c r="BH18" i="3"/>
  <c r="BH18" i="22" s="1"/>
  <c r="BI18" i="3"/>
  <c r="BI18" i="22" s="1"/>
  <c r="BJ18" i="3"/>
  <c r="BJ18" i="22" s="1"/>
  <c r="BK18" i="3"/>
  <c r="BK18" i="22" s="1"/>
  <c r="BL18" i="3"/>
  <c r="BL18" i="22" s="1"/>
  <c r="BM18" i="3"/>
  <c r="BM18" i="22" s="1"/>
  <c r="BN18" i="3"/>
  <c r="BN18" i="22" s="1"/>
  <c r="BO18" i="3"/>
  <c r="BO18" i="22" s="1"/>
  <c r="BP18" i="3"/>
  <c r="BP18" i="22" s="1"/>
  <c r="BQ18" i="3"/>
  <c r="BQ18" i="22" s="1"/>
  <c r="BR18" i="3"/>
  <c r="BR18" i="22" s="1"/>
  <c r="BS18" i="3"/>
  <c r="BS18" i="22" s="1"/>
  <c r="BT18" i="3"/>
  <c r="BT18" i="22" s="1"/>
  <c r="BB19" i="3"/>
  <c r="BB19" i="22" s="1"/>
  <c r="BC19" i="3"/>
  <c r="BC19" i="22" s="1"/>
  <c r="BD19" i="3"/>
  <c r="BD19" i="22" s="1"/>
  <c r="BE19" i="3"/>
  <c r="BE19" i="22" s="1"/>
  <c r="BF19" i="3"/>
  <c r="BF19" i="22" s="1"/>
  <c r="BG19" i="3"/>
  <c r="BG19" i="22" s="1"/>
  <c r="BH19" i="3"/>
  <c r="BH19" i="22" s="1"/>
  <c r="BI19" i="3"/>
  <c r="BI19" i="22" s="1"/>
  <c r="BJ19" i="3"/>
  <c r="BJ19" i="22" s="1"/>
  <c r="BK19" i="3"/>
  <c r="BK19" i="22" s="1"/>
  <c r="BL19" i="3"/>
  <c r="BL19" i="22" s="1"/>
  <c r="BM19" i="3"/>
  <c r="BM19" i="22" s="1"/>
  <c r="BN19" i="3"/>
  <c r="BN19" i="22" s="1"/>
  <c r="BO19" i="3"/>
  <c r="BO19" i="22" s="1"/>
  <c r="BP19" i="3"/>
  <c r="BP19" i="22" s="1"/>
  <c r="BQ19" i="3"/>
  <c r="BQ19" i="22" s="1"/>
  <c r="BR19" i="3"/>
  <c r="BR19" i="22" s="1"/>
  <c r="BS19" i="3"/>
  <c r="BS19" i="22" s="1"/>
  <c r="BT19" i="3"/>
  <c r="BT19" i="22" s="1"/>
  <c r="BB20" i="3"/>
  <c r="BB20" i="22" s="1"/>
  <c r="BC20" i="3"/>
  <c r="BC20" i="22" s="1"/>
  <c r="BD20" i="3"/>
  <c r="BD20" i="22" s="1"/>
  <c r="BE20" i="3"/>
  <c r="BE20" i="22" s="1"/>
  <c r="BF20" i="3"/>
  <c r="BF20" i="22" s="1"/>
  <c r="BG20" i="3"/>
  <c r="BG20" i="22" s="1"/>
  <c r="BH20" i="3"/>
  <c r="BH20" i="22" s="1"/>
  <c r="BI20" i="3"/>
  <c r="BI20" i="22" s="1"/>
  <c r="BJ20" i="3"/>
  <c r="BJ20" i="22" s="1"/>
  <c r="BK20" i="3"/>
  <c r="BK20" i="22" s="1"/>
  <c r="BL20" i="3"/>
  <c r="BL20" i="22" s="1"/>
  <c r="BM20" i="3"/>
  <c r="BM20" i="22" s="1"/>
  <c r="BN20" i="3"/>
  <c r="BN20" i="22" s="1"/>
  <c r="BO20" i="3"/>
  <c r="BO20" i="22" s="1"/>
  <c r="BP20" i="3"/>
  <c r="BP20" i="22" s="1"/>
  <c r="BQ20" i="3"/>
  <c r="BQ20" i="22" s="1"/>
  <c r="BR20" i="3"/>
  <c r="BR20" i="22" s="1"/>
  <c r="BS20" i="3"/>
  <c r="BS20" i="22" s="1"/>
  <c r="BT20" i="3"/>
  <c r="BT20" i="22" s="1"/>
  <c r="BB21" i="3"/>
  <c r="BB21" i="22" s="1"/>
  <c r="BC21" i="3"/>
  <c r="BC21" i="22" s="1"/>
  <c r="BD21" i="3"/>
  <c r="BD21" i="22" s="1"/>
  <c r="BE21" i="3"/>
  <c r="BE21" i="22" s="1"/>
  <c r="BF21" i="3"/>
  <c r="BF21" i="22" s="1"/>
  <c r="BG21" i="3"/>
  <c r="BG21" i="22" s="1"/>
  <c r="BH21" i="3"/>
  <c r="BH21" i="22" s="1"/>
  <c r="BI21" i="3"/>
  <c r="BI21" i="22" s="1"/>
  <c r="BJ21" i="3"/>
  <c r="BJ21" i="22" s="1"/>
  <c r="BK21" i="3"/>
  <c r="BK21" i="22" s="1"/>
  <c r="BL21" i="3"/>
  <c r="BL21" i="22" s="1"/>
  <c r="BM21" i="3"/>
  <c r="BM21" i="22" s="1"/>
  <c r="BN21" i="3"/>
  <c r="BN21" i="22" s="1"/>
  <c r="BO21" i="3"/>
  <c r="BO21" i="22" s="1"/>
  <c r="BP21" i="3"/>
  <c r="BP21" i="22" s="1"/>
  <c r="BQ21" i="3"/>
  <c r="BQ21" i="22" s="1"/>
  <c r="BR21" i="3"/>
  <c r="BR21" i="22" s="1"/>
  <c r="BS21" i="3"/>
  <c r="BS21" i="22" s="1"/>
  <c r="BT21" i="3"/>
  <c r="BT21" i="22" s="1"/>
  <c r="BB22" i="3"/>
  <c r="BB22" i="22" s="1"/>
  <c r="BC22" i="3"/>
  <c r="BC22" i="22" s="1"/>
  <c r="BD22" i="3"/>
  <c r="BD22" i="22" s="1"/>
  <c r="BE22" i="3"/>
  <c r="BE22" i="22" s="1"/>
  <c r="BF22" i="3"/>
  <c r="BF22" i="22" s="1"/>
  <c r="BG22" i="3"/>
  <c r="BG22" i="22" s="1"/>
  <c r="BH22" i="3"/>
  <c r="BH22" i="22" s="1"/>
  <c r="BI22" i="3"/>
  <c r="BI22" i="22" s="1"/>
  <c r="BJ22" i="3"/>
  <c r="BJ22" i="22" s="1"/>
  <c r="BK22" i="3"/>
  <c r="BK22" i="22" s="1"/>
  <c r="BL22" i="3"/>
  <c r="BL22" i="22" s="1"/>
  <c r="BM22" i="3"/>
  <c r="BM22" i="22" s="1"/>
  <c r="BN22" i="3"/>
  <c r="BN22" i="22" s="1"/>
  <c r="BO22" i="3"/>
  <c r="BO22" i="22" s="1"/>
  <c r="BP22" i="3"/>
  <c r="BP22" i="22" s="1"/>
  <c r="BQ22" i="3"/>
  <c r="BQ22" i="22" s="1"/>
  <c r="BR22" i="3"/>
  <c r="BR22" i="22" s="1"/>
  <c r="BS22" i="3"/>
  <c r="BS22" i="22" s="1"/>
  <c r="BT22" i="3"/>
  <c r="BT22" i="22" s="1"/>
  <c r="BB23" i="3"/>
  <c r="BB23" i="22" s="1"/>
  <c r="BC23" i="3"/>
  <c r="BC23" i="22" s="1"/>
  <c r="BD23" i="3"/>
  <c r="BD23" i="22" s="1"/>
  <c r="BE23" i="3"/>
  <c r="BE23" i="22" s="1"/>
  <c r="BF23" i="3"/>
  <c r="BF23" i="22" s="1"/>
  <c r="BG23" i="3"/>
  <c r="BG23" i="22" s="1"/>
  <c r="BH23" i="3"/>
  <c r="BH23" i="22" s="1"/>
  <c r="BI23" i="3"/>
  <c r="BI23" i="22" s="1"/>
  <c r="BJ23" i="3"/>
  <c r="BJ23" i="22" s="1"/>
  <c r="BK23" i="3"/>
  <c r="BK23" i="22" s="1"/>
  <c r="BL23" i="3"/>
  <c r="BL23" i="22" s="1"/>
  <c r="BM23" i="3"/>
  <c r="BM23" i="22" s="1"/>
  <c r="BN23" i="3"/>
  <c r="BN23" i="22" s="1"/>
  <c r="BO23" i="3"/>
  <c r="BO23" i="22" s="1"/>
  <c r="BP23" i="3"/>
  <c r="BP23" i="22" s="1"/>
  <c r="BQ23" i="3"/>
  <c r="BQ23" i="22" s="1"/>
  <c r="BR23" i="3"/>
  <c r="BR23" i="22" s="1"/>
  <c r="BS23" i="3"/>
  <c r="BS23" i="22" s="1"/>
  <c r="BT23" i="3"/>
  <c r="BT23" i="22" s="1"/>
  <c r="BB24" i="3"/>
  <c r="BB24" i="22" s="1"/>
  <c r="BC24" i="3"/>
  <c r="BC24" i="22" s="1"/>
  <c r="BD24" i="3"/>
  <c r="BD24" i="22" s="1"/>
  <c r="BE24" i="3"/>
  <c r="BE24" i="22" s="1"/>
  <c r="BF24" i="3"/>
  <c r="BF24" i="22" s="1"/>
  <c r="BG24" i="3"/>
  <c r="BG24" i="22" s="1"/>
  <c r="BH24" i="3"/>
  <c r="BH24" i="22" s="1"/>
  <c r="BI24" i="3"/>
  <c r="BI24" i="22" s="1"/>
  <c r="BJ24" i="3"/>
  <c r="BJ24" i="22" s="1"/>
  <c r="BK24" i="3"/>
  <c r="BK24" i="22" s="1"/>
  <c r="BL24" i="3"/>
  <c r="BL24" i="22" s="1"/>
  <c r="BM24" i="3"/>
  <c r="BM24" i="22" s="1"/>
  <c r="BN24" i="3"/>
  <c r="BN24" i="22" s="1"/>
  <c r="BO24" i="3"/>
  <c r="BO24" i="22" s="1"/>
  <c r="BP24" i="3"/>
  <c r="BP24" i="22" s="1"/>
  <c r="BQ24" i="3"/>
  <c r="BQ24" i="22" s="1"/>
  <c r="BR24" i="3"/>
  <c r="BR24" i="22" s="1"/>
  <c r="BS24" i="3"/>
  <c r="BS24" i="22" s="1"/>
  <c r="BT24" i="3"/>
  <c r="BT24" i="22" s="1"/>
  <c r="BB25" i="3"/>
  <c r="BB25" i="22" s="1"/>
  <c r="BC25" i="3"/>
  <c r="BC25" i="22" s="1"/>
  <c r="BD25" i="3"/>
  <c r="BD25" i="22" s="1"/>
  <c r="BE25" i="3"/>
  <c r="BE25" i="22" s="1"/>
  <c r="BF25" i="3"/>
  <c r="BF25" i="22" s="1"/>
  <c r="BG25" i="3"/>
  <c r="BG25" i="22" s="1"/>
  <c r="BH25" i="3"/>
  <c r="BH25" i="22" s="1"/>
  <c r="BI25" i="3"/>
  <c r="BI25" i="22" s="1"/>
  <c r="BJ25" i="3"/>
  <c r="BJ25" i="22" s="1"/>
  <c r="BK25" i="3"/>
  <c r="BK25" i="22" s="1"/>
  <c r="BL25" i="3"/>
  <c r="BL25" i="22" s="1"/>
  <c r="BM25" i="3"/>
  <c r="BM25" i="22" s="1"/>
  <c r="BN25" i="3"/>
  <c r="BN25" i="22" s="1"/>
  <c r="BO25" i="3"/>
  <c r="BO25" i="22" s="1"/>
  <c r="BP25" i="3"/>
  <c r="BP25" i="22" s="1"/>
  <c r="BQ25" i="3"/>
  <c r="BQ25" i="22" s="1"/>
  <c r="BR25" i="3"/>
  <c r="BR25" i="22" s="1"/>
  <c r="BS25" i="3"/>
  <c r="BS25" i="22" s="1"/>
  <c r="BT25" i="3"/>
  <c r="BT25" i="22" s="1"/>
  <c r="BB26" i="3"/>
  <c r="BB26" i="22" s="1"/>
  <c r="BC26" i="3"/>
  <c r="BC26" i="22" s="1"/>
  <c r="BD26" i="3"/>
  <c r="BD26" i="22" s="1"/>
  <c r="BE26" i="3"/>
  <c r="BE26" i="22" s="1"/>
  <c r="BF26" i="3"/>
  <c r="BF26" i="22" s="1"/>
  <c r="BG26" i="3"/>
  <c r="BG26" i="22" s="1"/>
  <c r="BH26" i="3"/>
  <c r="BH26" i="22" s="1"/>
  <c r="BI26" i="3"/>
  <c r="BI26" i="22" s="1"/>
  <c r="BJ26" i="3"/>
  <c r="BJ26" i="22" s="1"/>
  <c r="BK26" i="3"/>
  <c r="BK26" i="22" s="1"/>
  <c r="BL26" i="3"/>
  <c r="BL26" i="22" s="1"/>
  <c r="BM26" i="3"/>
  <c r="BM26" i="22" s="1"/>
  <c r="BN26" i="3"/>
  <c r="BN26" i="22" s="1"/>
  <c r="BO26" i="3"/>
  <c r="BO26" i="22" s="1"/>
  <c r="BP26" i="3"/>
  <c r="BP26" i="22" s="1"/>
  <c r="BQ26" i="3"/>
  <c r="BQ26" i="22" s="1"/>
  <c r="BR26" i="3"/>
  <c r="BR26" i="22" s="1"/>
  <c r="BS26" i="3"/>
  <c r="BS26" i="22" s="1"/>
  <c r="BT26" i="3"/>
  <c r="BT26" i="22" s="1"/>
  <c r="BB27" i="3"/>
  <c r="BB27" i="22" s="1"/>
  <c r="BC27" i="3"/>
  <c r="BC27" i="22" s="1"/>
  <c r="BD27" i="3"/>
  <c r="BD27" i="22" s="1"/>
  <c r="BE27" i="3"/>
  <c r="BE27" i="22" s="1"/>
  <c r="BF27" i="3"/>
  <c r="BF27" i="22" s="1"/>
  <c r="BG27" i="3"/>
  <c r="BG27" i="22" s="1"/>
  <c r="BH27" i="3"/>
  <c r="BH27" i="22" s="1"/>
  <c r="BI27" i="3"/>
  <c r="BI27" i="22" s="1"/>
  <c r="BJ27" i="3"/>
  <c r="BJ27" i="22" s="1"/>
  <c r="BK27" i="3"/>
  <c r="BK27" i="22" s="1"/>
  <c r="BL27" i="3"/>
  <c r="BL27" i="22" s="1"/>
  <c r="BM27" i="3"/>
  <c r="BM27" i="22" s="1"/>
  <c r="BN27" i="3"/>
  <c r="BN27" i="22" s="1"/>
  <c r="BO27" i="3"/>
  <c r="BO27" i="22" s="1"/>
  <c r="BP27" i="3"/>
  <c r="BP27" i="22" s="1"/>
  <c r="BQ27" i="3"/>
  <c r="BQ27" i="22" s="1"/>
  <c r="BR27" i="3"/>
  <c r="BR27" i="22" s="1"/>
  <c r="BS27" i="3"/>
  <c r="BS27" i="22" s="1"/>
  <c r="BT27" i="3"/>
  <c r="BT27" i="22" s="1"/>
  <c r="BB28" i="3"/>
  <c r="BB28" i="22" s="1"/>
  <c r="BC28" i="3"/>
  <c r="BC28" i="22" s="1"/>
  <c r="BD28" i="3"/>
  <c r="BD28" i="22" s="1"/>
  <c r="BE28" i="3"/>
  <c r="BE28" i="22" s="1"/>
  <c r="BF28" i="3"/>
  <c r="BF28" i="22" s="1"/>
  <c r="BG28" i="3"/>
  <c r="BG28" i="22" s="1"/>
  <c r="BH28" i="3"/>
  <c r="BH28" i="22" s="1"/>
  <c r="BI28" i="3"/>
  <c r="BI28" i="22" s="1"/>
  <c r="BJ28" i="3"/>
  <c r="BJ28" i="22" s="1"/>
  <c r="BK28" i="3"/>
  <c r="BK28" i="22" s="1"/>
  <c r="BL28" i="3"/>
  <c r="BL28" i="22" s="1"/>
  <c r="BM28" i="3"/>
  <c r="BM28" i="22" s="1"/>
  <c r="BN28" i="3"/>
  <c r="BN28" i="22" s="1"/>
  <c r="BO28" i="3"/>
  <c r="BO28" i="22" s="1"/>
  <c r="BP28" i="3"/>
  <c r="BP28" i="22" s="1"/>
  <c r="BQ28" i="3"/>
  <c r="BQ28" i="22" s="1"/>
  <c r="BR28" i="3"/>
  <c r="BR28" i="22" s="1"/>
  <c r="BS28" i="3"/>
  <c r="BS28" i="22" s="1"/>
  <c r="BT28" i="3"/>
  <c r="BT28" i="22" s="1"/>
  <c r="BB29" i="3"/>
  <c r="BB29" i="22" s="1"/>
  <c r="BC29" i="3"/>
  <c r="BC29" i="22" s="1"/>
  <c r="BD29" i="3"/>
  <c r="BD29" i="22" s="1"/>
  <c r="BE29" i="3"/>
  <c r="BE29" i="22" s="1"/>
  <c r="BF29" i="3"/>
  <c r="BF29" i="22" s="1"/>
  <c r="BG29" i="3"/>
  <c r="BG29" i="22" s="1"/>
  <c r="BH29" i="3"/>
  <c r="BH29" i="22" s="1"/>
  <c r="BI29" i="3"/>
  <c r="BI29" i="22" s="1"/>
  <c r="BJ29" i="3"/>
  <c r="BJ29" i="22" s="1"/>
  <c r="BK29" i="3"/>
  <c r="BK29" i="22" s="1"/>
  <c r="BL29" i="3"/>
  <c r="BL29" i="22" s="1"/>
  <c r="BM29" i="3"/>
  <c r="BM29" i="22" s="1"/>
  <c r="BN29" i="3"/>
  <c r="BN29" i="22" s="1"/>
  <c r="BO29" i="3"/>
  <c r="BO29" i="22" s="1"/>
  <c r="BP29" i="3"/>
  <c r="BP29" i="22" s="1"/>
  <c r="BQ29" i="3"/>
  <c r="BQ29" i="22" s="1"/>
  <c r="BR29" i="3"/>
  <c r="BR29" i="22" s="1"/>
  <c r="BS29" i="3"/>
  <c r="BS29" i="22" s="1"/>
  <c r="BT29" i="3"/>
  <c r="BT29" i="22" s="1"/>
  <c r="BB30" i="3"/>
  <c r="BB30" i="22" s="1"/>
  <c r="BC30" i="3"/>
  <c r="BC30" i="22" s="1"/>
  <c r="BD30" i="3"/>
  <c r="BD30" i="22" s="1"/>
  <c r="BE30" i="3"/>
  <c r="BE30" i="22" s="1"/>
  <c r="BF30" i="3"/>
  <c r="BF30" i="22" s="1"/>
  <c r="BG30" i="3"/>
  <c r="BG30" i="22" s="1"/>
  <c r="BH30" i="3"/>
  <c r="BH30" i="22" s="1"/>
  <c r="BI30" i="3"/>
  <c r="BI30" i="22" s="1"/>
  <c r="BJ30" i="3"/>
  <c r="BJ30" i="22" s="1"/>
  <c r="BK30" i="3"/>
  <c r="BK30" i="22" s="1"/>
  <c r="BL30" i="3"/>
  <c r="BL30" i="22" s="1"/>
  <c r="BM30" i="3"/>
  <c r="BM30" i="22" s="1"/>
  <c r="BN30" i="3"/>
  <c r="BN30" i="22" s="1"/>
  <c r="BO30" i="3"/>
  <c r="BO30" i="22" s="1"/>
  <c r="BP30" i="3"/>
  <c r="BP30" i="22" s="1"/>
  <c r="BQ30" i="3"/>
  <c r="BQ30" i="22" s="1"/>
  <c r="BR30" i="3"/>
  <c r="BR30" i="22" s="1"/>
  <c r="BS30" i="3"/>
  <c r="BS30" i="22" s="1"/>
  <c r="BT30" i="3"/>
  <c r="BT30" i="22" s="1"/>
  <c r="BB31" i="3"/>
  <c r="BB31" i="22" s="1"/>
  <c r="BC31" i="3"/>
  <c r="BC31" i="22" s="1"/>
  <c r="BD31" i="3"/>
  <c r="BD31" i="22" s="1"/>
  <c r="BE31" i="3"/>
  <c r="BE31" i="22" s="1"/>
  <c r="BF31" i="3"/>
  <c r="BF31" i="22" s="1"/>
  <c r="BG31" i="3"/>
  <c r="BG31" i="22" s="1"/>
  <c r="BH31" i="3"/>
  <c r="BH31" i="22" s="1"/>
  <c r="BI31" i="3"/>
  <c r="BI31" i="22" s="1"/>
  <c r="BJ31" i="3"/>
  <c r="BJ31" i="22" s="1"/>
  <c r="BK31" i="3"/>
  <c r="BK31" i="22" s="1"/>
  <c r="BL31" i="3"/>
  <c r="BL31" i="22" s="1"/>
  <c r="BM31" i="3"/>
  <c r="BM31" i="22" s="1"/>
  <c r="BN31" i="3"/>
  <c r="BN31" i="22" s="1"/>
  <c r="BO31" i="3"/>
  <c r="BO31" i="22" s="1"/>
  <c r="BP31" i="3"/>
  <c r="BP31" i="22" s="1"/>
  <c r="BQ31" i="3"/>
  <c r="BQ31" i="22" s="1"/>
  <c r="BR31" i="3"/>
  <c r="BR31" i="22" s="1"/>
  <c r="BS31" i="3"/>
  <c r="BS31" i="22" s="1"/>
  <c r="BT31" i="3"/>
  <c r="BT31" i="22" s="1"/>
  <c r="BB32" i="3"/>
  <c r="BB32" i="22" s="1"/>
  <c r="BC32" i="3"/>
  <c r="BC32" i="22" s="1"/>
  <c r="BD32" i="3"/>
  <c r="BD32" i="22" s="1"/>
  <c r="BE32" i="3"/>
  <c r="BE32" i="22" s="1"/>
  <c r="BF32" i="3"/>
  <c r="BF32" i="22" s="1"/>
  <c r="BG32" i="3"/>
  <c r="BG32" i="22" s="1"/>
  <c r="BH32" i="3"/>
  <c r="BH32" i="22" s="1"/>
  <c r="BI32" i="3"/>
  <c r="BI32" i="22" s="1"/>
  <c r="BJ32" i="3"/>
  <c r="BJ32" i="22" s="1"/>
  <c r="BK32" i="3"/>
  <c r="BK32" i="22" s="1"/>
  <c r="BL32" i="3"/>
  <c r="BL32" i="22" s="1"/>
  <c r="BM32" i="3"/>
  <c r="BM32" i="22" s="1"/>
  <c r="BN32" i="3"/>
  <c r="BN32" i="22" s="1"/>
  <c r="BO32" i="3"/>
  <c r="BO32" i="22" s="1"/>
  <c r="BP32" i="3"/>
  <c r="BP32" i="22" s="1"/>
  <c r="BQ32" i="3"/>
  <c r="BQ32" i="22" s="1"/>
  <c r="BR32" i="3"/>
  <c r="BR32" i="22" s="1"/>
  <c r="BS32" i="3"/>
  <c r="BS32" i="22" s="1"/>
  <c r="BT32" i="3"/>
  <c r="BT32" i="22" s="1"/>
  <c r="BB33" i="3"/>
  <c r="BB33" i="22" s="1"/>
  <c r="BC33" i="3"/>
  <c r="BC33" i="22" s="1"/>
  <c r="BD33" i="3"/>
  <c r="BD33" i="22" s="1"/>
  <c r="BE33" i="3"/>
  <c r="BE33" i="22" s="1"/>
  <c r="BF33" i="3"/>
  <c r="BF33" i="22" s="1"/>
  <c r="BG33" i="3"/>
  <c r="BG33" i="22" s="1"/>
  <c r="BH33" i="3"/>
  <c r="BH33" i="22" s="1"/>
  <c r="BI33" i="3"/>
  <c r="BI33" i="22" s="1"/>
  <c r="BJ33" i="3"/>
  <c r="BJ33" i="22" s="1"/>
  <c r="BK33" i="3"/>
  <c r="BK33" i="22" s="1"/>
  <c r="BL33" i="3"/>
  <c r="BL33" i="22" s="1"/>
  <c r="BM33" i="3"/>
  <c r="BM33" i="22" s="1"/>
  <c r="BN33" i="3"/>
  <c r="BN33" i="22" s="1"/>
  <c r="BO33" i="3"/>
  <c r="BO33" i="22" s="1"/>
  <c r="BP33" i="3"/>
  <c r="BP33" i="22" s="1"/>
  <c r="BQ33" i="3"/>
  <c r="BQ33" i="22" s="1"/>
  <c r="BR33" i="3"/>
  <c r="BR33" i="22" s="1"/>
  <c r="BS33" i="3"/>
  <c r="BS33" i="22" s="1"/>
  <c r="BT33" i="3"/>
  <c r="BT33" i="22" s="1"/>
  <c r="BB34" i="3"/>
  <c r="BB34" i="22" s="1"/>
  <c r="BC34" i="3"/>
  <c r="BC34" i="22" s="1"/>
  <c r="BD34" i="3"/>
  <c r="BD34" i="22" s="1"/>
  <c r="BE34" i="3"/>
  <c r="BE34" i="22" s="1"/>
  <c r="BF34" i="3"/>
  <c r="BF34" i="22" s="1"/>
  <c r="BG34" i="3"/>
  <c r="BG34" i="22" s="1"/>
  <c r="BH34" i="3"/>
  <c r="BH34" i="22" s="1"/>
  <c r="BI34" i="3"/>
  <c r="BI34" i="22" s="1"/>
  <c r="BJ34" i="3"/>
  <c r="BJ34" i="22" s="1"/>
  <c r="BK34" i="3"/>
  <c r="BK34" i="22" s="1"/>
  <c r="BL34" i="3"/>
  <c r="BL34" i="22" s="1"/>
  <c r="BM34" i="3"/>
  <c r="BM34" i="22" s="1"/>
  <c r="BN34" i="3"/>
  <c r="BN34" i="22" s="1"/>
  <c r="BO34" i="3"/>
  <c r="BO34" i="22" s="1"/>
  <c r="BP34" i="3"/>
  <c r="BP34" i="22" s="1"/>
  <c r="BQ34" i="3"/>
  <c r="BQ34" i="22" s="1"/>
  <c r="BR34" i="3"/>
  <c r="BR34" i="22" s="1"/>
  <c r="BS34" i="3"/>
  <c r="BS34" i="22" s="1"/>
  <c r="BT34" i="3"/>
  <c r="BT34" i="22" s="1"/>
  <c r="BB35" i="3"/>
  <c r="BB35" i="22" s="1"/>
  <c r="BC35" i="3"/>
  <c r="BC35" i="22" s="1"/>
  <c r="BD35" i="3"/>
  <c r="BD35" i="22" s="1"/>
  <c r="BE35" i="3"/>
  <c r="BE35" i="22" s="1"/>
  <c r="BF35" i="3"/>
  <c r="BF35" i="22" s="1"/>
  <c r="BG35" i="3"/>
  <c r="BG35" i="22" s="1"/>
  <c r="BH35" i="3"/>
  <c r="BH35" i="22" s="1"/>
  <c r="BI35" i="3"/>
  <c r="BI35" i="22" s="1"/>
  <c r="BJ35" i="3"/>
  <c r="BJ35" i="22" s="1"/>
  <c r="BK35" i="3"/>
  <c r="BK35" i="22" s="1"/>
  <c r="BL35" i="3"/>
  <c r="BL35" i="22" s="1"/>
  <c r="BM35" i="3"/>
  <c r="BM35" i="22" s="1"/>
  <c r="BN35" i="3"/>
  <c r="BN35" i="22" s="1"/>
  <c r="BO35" i="3"/>
  <c r="BO35" i="22" s="1"/>
  <c r="BP35" i="3"/>
  <c r="BP35" i="22" s="1"/>
  <c r="BQ35" i="3"/>
  <c r="BQ35" i="22" s="1"/>
  <c r="BR35" i="3"/>
  <c r="BR35" i="22" s="1"/>
  <c r="BS35" i="3"/>
  <c r="BS35" i="22" s="1"/>
  <c r="BT35" i="3"/>
  <c r="BT35" i="22" s="1"/>
  <c r="BB36" i="3"/>
  <c r="BB36" i="22" s="1"/>
  <c r="BC36" i="3"/>
  <c r="BC36" i="22" s="1"/>
  <c r="BD36" i="3"/>
  <c r="BD36" i="22" s="1"/>
  <c r="BE36" i="3"/>
  <c r="BE36" i="22" s="1"/>
  <c r="BF36" i="3"/>
  <c r="BF36" i="22" s="1"/>
  <c r="BG36" i="3"/>
  <c r="BG36" i="22" s="1"/>
  <c r="BH36" i="3"/>
  <c r="BH36" i="22" s="1"/>
  <c r="BI36" i="3"/>
  <c r="BI36" i="22" s="1"/>
  <c r="BJ36" i="3"/>
  <c r="BJ36" i="22" s="1"/>
  <c r="BK36" i="3"/>
  <c r="BK36" i="22" s="1"/>
  <c r="BL36" i="3"/>
  <c r="BL36" i="22" s="1"/>
  <c r="BM36" i="3"/>
  <c r="BM36" i="22" s="1"/>
  <c r="BN36" i="3"/>
  <c r="BN36" i="22" s="1"/>
  <c r="BO36" i="3"/>
  <c r="BO36" i="22" s="1"/>
  <c r="BP36" i="3"/>
  <c r="BP36" i="22" s="1"/>
  <c r="BQ36" i="3"/>
  <c r="BQ36" i="22" s="1"/>
  <c r="BR36" i="3"/>
  <c r="BR36" i="22" s="1"/>
  <c r="BS36" i="3"/>
  <c r="BS36" i="22" s="1"/>
  <c r="BT36" i="3"/>
  <c r="BT36" i="22" s="1"/>
  <c r="BB37" i="3"/>
  <c r="BB37" i="22" s="1"/>
  <c r="BC37" i="3"/>
  <c r="BC37" i="22" s="1"/>
  <c r="BD37" i="3"/>
  <c r="BD37" i="22" s="1"/>
  <c r="BE37" i="3"/>
  <c r="BE37" i="22" s="1"/>
  <c r="BF37" i="3"/>
  <c r="BF37" i="22" s="1"/>
  <c r="BG37" i="3"/>
  <c r="BG37" i="22" s="1"/>
  <c r="BH37" i="3"/>
  <c r="BH37" i="22" s="1"/>
  <c r="BI37" i="3"/>
  <c r="BI37" i="22" s="1"/>
  <c r="BJ37" i="3"/>
  <c r="BJ37" i="22" s="1"/>
  <c r="BK37" i="3"/>
  <c r="BK37" i="22" s="1"/>
  <c r="BL37" i="3"/>
  <c r="BL37" i="22" s="1"/>
  <c r="BM37" i="3"/>
  <c r="BM37" i="22" s="1"/>
  <c r="BN37" i="3"/>
  <c r="BN37" i="22" s="1"/>
  <c r="BO37" i="3"/>
  <c r="BO37" i="22" s="1"/>
  <c r="BP37" i="3"/>
  <c r="BP37" i="22" s="1"/>
  <c r="BQ37" i="3"/>
  <c r="BQ37" i="22" s="1"/>
  <c r="BR37" i="3"/>
  <c r="BR37" i="22" s="1"/>
  <c r="BS37" i="3"/>
  <c r="BS37" i="22" s="1"/>
  <c r="BT37" i="3"/>
  <c r="BT37" i="22" s="1"/>
  <c r="BB38" i="3"/>
  <c r="BB38" i="22" s="1"/>
  <c r="BC38" i="3"/>
  <c r="BC38" i="22" s="1"/>
  <c r="BD38" i="3"/>
  <c r="BD38" i="22" s="1"/>
  <c r="BE38" i="3"/>
  <c r="BE38" i="22" s="1"/>
  <c r="BF38" i="3"/>
  <c r="BF38" i="22" s="1"/>
  <c r="BG38" i="3"/>
  <c r="BG38" i="22" s="1"/>
  <c r="BH38" i="3"/>
  <c r="BH38" i="22" s="1"/>
  <c r="BI38" i="3"/>
  <c r="BI38" i="22" s="1"/>
  <c r="BJ38" i="3"/>
  <c r="BJ38" i="22" s="1"/>
  <c r="BK38" i="3"/>
  <c r="BK38" i="22" s="1"/>
  <c r="BL38" i="3"/>
  <c r="BL38" i="22" s="1"/>
  <c r="BM38" i="3"/>
  <c r="BM38" i="22" s="1"/>
  <c r="BN38" i="3"/>
  <c r="BN38" i="22" s="1"/>
  <c r="BO38" i="3"/>
  <c r="BO38" i="22" s="1"/>
  <c r="BP38" i="3"/>
  <c r="BP38" i="22" s="1"/>
  <c r="BQ38" i="3"/>
  <c r="BQ38" i="22" s="1"/>
  <c r="BR38" i="3"/>
  <c r="BR38" i="22" s="1"/>
  <c r="BS38" i="3"/>
  <c r="BS38" i="22" s="1"/>
  <c r="BT38" i="3"/>
  <c r="BT38" i="22" s="1"/>
  <c r="BB39" i="3"/>
  <c r="BB39" i="22" s="1"/>
  <c r="BC39" i="3"/>
  <c r="BC39" i="22" s="1"/>
  <c r="BD39" i="3"/>
  <c r="BD39" i="22" s="1"/>
  <c r="BE39" i="3"/>
  <c r="BE39" i="22" s="1"/>
  <c r="BF39" i="3"/>
  <c r="BF39" i="22" s="1"/>
  <c r="BG39" i="3"/>
  <c r="BG39" i="22" s="1"/>
  <c r="BH39" i="3"/>
  <c r="BH39" i="22" s="1"/>
  <c r="BI39" i="3"/>
  <c r="BI39" i="22" s="1"/>
  <c r="BJ39" i="3"/>
  <c r="BJ39" i="22" s="1"/>
  <c r="BK39" i="3"/>
  <c r="BK39" i="22" s="1"/>
  <c r="BL39" i="3"/>
  <c r="BL39" i="22" s="1"/>
  <c r="BM39" i="3"/>
  <c r="BM39" i="22" s="1"/>
  <c r="BN39" i="3"/>
  <c r="BN39" i="22" s="1"/>
  <c r="BO39" i="3"/>
  <c r="BO39" i="22" s="1"/>
  <c r="BP39" i="3"/>
  <c r="BP39" i="22" s="1"/>
  <c r="BQ39" i="3"/>
  <c r="BQ39" i="22" s="1"/>
  <c r="BR39" i="3"/>
  <c r="BR39" i="22" s="1"/>
  <c r="BS39" i="3"/>
  <c r="BS39" i="22" s="1"/>
  <c r="BT39" i="3"/>
  <c r="BT39" i="22" s="1"/>
  <c r="BB40" i="3"/>
  <c r="BB40" i="22" s="1"/>
  <c r="BC40" i="3"/>
  <c r="BC40" i="22" s="1"/>
  <c r="BD40" i="3"/>
  <c r="BD40" i="22" s="1"/>
  <c r="BE40" i="3"/>
  <c r="BE40" i="22" s="1"/>
  <c r="BF40" i="3"/>
  <c r="BF40" i="22" s="1"/>
  <c r="BG40" i="3"/>
  <c r="BG40" i="22" s="1"/>
  <c r="BH40" i="3"/>
  <c r="BH40" i="22" s="1"/>
  <c r="BI40" i="3"/>
  <c r="BI40" i="22" s="1"/>
  <c r="BJ40" i="3"/>
  <c r="BJ40" i="22" s="1"/>
  <c r="BK40" i="3"/>
  <c r="BK40" i="22" s="1"/>
  <c r="BL40" i="3"/>
  <c r="BL40" i="22" s="1"/>
  <c r="BM40" i="3"/>
  <c r="BM40" i="22" s="1"/>
  <c r="BN40" i="3"/>
  <c r="BN40" i="22" s="1"/>
  <c r="BO40" i="3"/>
  <c r="BO40" i="22" s="1"/>
  <c r="BP40" i="3"/>
  <c r="BP40" i="22" s="1"/>
  <c r="BQ40" i="3"/>
  <c r="BQ40" i="22" s="1"/>
  <c r="BR40" i="3"/>
  <c r="BR40" i="22" s="1"/>
  <c r="BS40" i="3"/>
  <c r="BS40" i="22" s="1"/>
  <c r="BT40" i="3"/>
  <c r="BT40" i="22" s="1"/>
  <c r="BB41" i="3"/>
  <c r="BB41" i="22" s="1"/>
  <c r="BC41" i="3"/>
  <c r="BC41" i="22" s="1"/>
  <c r="BD41" i="3"/>
  <c r="BD41" i="22" s="1"/>
  <c r="BE41" i="3"/>
  <c r="BE41" i="22" s="1"/>
  <c r="BF41" i="3"/>
  <c r="BF41" i="22" s="1"/>
  <c r="BG41" i="3"/>
  <c r="BG41" i="22" s="1"/>
  <c r="BH41" i="3"/>
  <c r="BH41" i="22" s="1"/>
  <c r="BI41" i="3"/>
  <c r="BI41" i="22" s="1"/>
  <c r="BJ41" i="3"/>
  <c r="BJ41" i="22" s="1"/>
  <c r="BK41" i="3"/>
  <c r="BK41" i="22" s="1"/>
  <c r="BL41" i="3"/>
  <c r="BL41" i="22" s="1"/>
  <c r="BM41" i="3"/>
  <c r="BM41" i="22" s="1"/>
  <c r="BN41" i="3"/>
  <c r="BN41" i="22" s="1"/>
  <c r="BO41" i="3"/>
  <c r="BO41" i="22" s="1"/>
  <c r="BP41" i="3"/>
  <c r="BP41" i="22" s="1"/>
  <c r="BQ41" i="3"/>
  <c r="BQ41" i="22" s="1"/>
  <c r="BR41" i="3"/>
  <c r="BR41" i="22" s="1"/>
  <c r="BS41" i="3"/>
  <c r="BS41" i="22" s="1"/>
  <c r="BT41" i="3"/>
  <c r="BT41" i="22" s="1"/>
  <c r="BB42" i="3"/>
  <c r="BB42" i="22" s="1"/>
  <c r="BC42" i="3"/>
  <c r="BC42" i="22" s="1"/>
  <c r="BD42" i="3"/>
  <c r="BD42" i="22" s="1"/>
  <c r="BE42" i="3"/>
  <c r="BE42" i="22" s="1"/>
  <c r="BF42" i="3"/>
  <c r="BF42" i="22" s="1"/>
  <c r="BG42" i="3"/>
  <c r="BG42" i="22" s="1"/>
  <c r="BH42" i="3"/>
  <c r="BH42" i="22" s="1"/>
  <c r="BI42" i="3"/>
  <c r="BI42" i="22" s="1"/>
  <c r="BJ42" i="3"/>
  <c r="BJ42" i="22" s="1"/>
  <c r="BK42" i="3"/>
  <c r="BK42" i="22" s="1"/>
  <c r="BL42" i="3"/>
  <c r="BL42" i="22" s="1"/>
  <c r="BM42" i="3"/>
  <c r="BM42" i="22" s="1"/>
  <c r="BN42" i="3"/>
  <c r="BN42" i="22" s="1"/>
  <c r="BO42" i="3"/>
  <c r="BO42" i="22" s="1"/>
  <c r="BP42" i="3"/>
  <c r="BP42" i="22" s="1"/>
  <c r="BQ42" i="3"/>
  <c r="BQ42" i="22" s="1"/>
  <c r="BR42" i="3"/>
  <c r="BR42" i="22" s="1"/>
  <c r="BS42" i="3"/>
  <c r="BS42" i="22" s="1"/>
  <c r="BT42" i="3"/>
  <c r="BT42" i="22" s="1"/>
  <c r="BB43" i="3"/>
  <c r="BB43" i="22" s="1"/>
  <c r="BC43" i="3"/>
  <c r="BC43" i="22" s="1"/>
  <c r="BD43" i="3"/>
  <c r="BD43" i="22" s="1"/>
  <c r="BE43" i="3"/>
  <c r="BE43" i="22" s="1"/>
  <c r="BF43" i="3"/>
  <c r="BF43" i="22" s="1"/>
  <c r="BG43" i="3"/>
  <c r="BG43" i="22" s="1"/>
  <c r="BH43" i="3"/>
  <c r="BH43" i="22" s="1"/>
  <c r="BI43" i="3"/>
  <c r="BI43" i="22" s="1"/>
  <c r="BJ43" i="3"/>
  <c r="BJ43" i="22" s="1"/>
  <c r="BK43" i="3"/>
  <c r="BK43" i="22" s="1"/>
  <c r="BL43" i="3"/>
  <c r="BL43" i="22" s="1"/>
  <c r="BM43" i="3"/>
  <c r="BM43" i="22" s="1"/>
  <c r="BN43" i="3"/>
  <c r="BN43" i="22" s="1"/>
  <c r="BO43" i="3"/>
  <c r="BO43" i="22" s="1"/>
  <c r="BP43" i="3"/>
  <c r="BP43" i="22" s="1"/>
  <c r="BQ43" i="3"/>
  <c r="BQ43" i="22" s="1"/>
  <c r="BR43" i="3"/>
  <c r="BR43" i="22" s="1"/>
  <c r="BS43" i="3"/>
  <c r="BS43" i="22" s="1"/>
  <c r="BT43" i="3"/>
  <c r="BT43" i="22" s="1"/>
  <c r="BB44" i="3"/>
  <c r="BB44" i="22" s="1"/>
  <c r="BC44" i="3"/>
  <c r="BC44" i="22" s="1"/>
  <c r="BD44" i="3"/>
  <c r="BD44" i="22" s="1"/>
  <c r="BE44" i="3"/>
  <c r="BE44" i="22" s="1"/>
  <c r="BF44" i="3"/>
  <c r="BF44" i="22" s="1"/>
  <c r="BG44" i="3"/>
  <c r="BG44" i="22" s="1"/>
  <c r="BH44" i="3"/>
  <c r="BH44" i="22" s="1"/>
  <c r="BI44" i="3"/>
  <c r="BI44" i="22" s="1"/>
  <c r="BJ44" i="3"/>
  <c r="BJ44" i="22" s="1"/>
  <c r="BK44" i="3"/>
  <c r="BK44" i="22" s="1"/>
  <c r="BL44" i="3"/>
  <c r="BL44" i="22" s="1"/>
  <c r="BM44" i="3"/>
  <c r="BM44" i="22" s="1"/>
  <c r="BN44" i="3"/>
  <c r="BN44" i="22" s="1"/>
  <c r="BO44" i="3"/>
  <c r="BO44" i="22" s="1"/>
  <c r="BP44" i="3"/>
  <c r="BP44" i="22" s="1"/>
  <c r="BQ44" i="3"/>
  <c r="BQ44" i="22" s="1"/>
  <c r="BR44" i="3"/>
  <c r="BR44" i="22" s="1"/>
  <c r="BS44" i="3"/>
  <c r="BS44" i="22" s="1"/>
  <c r="BT44" i="3"/>
  <c r="BT44" i="22" s="1"/>
  <c r="BB45" i="3"/>
  <c r="BB45" i="22" s="1"/>
  <c r="BC45" i="3"/>
  <c r="BC45" i="22" s="1"/>
  <c r="BD45" i="3"/>
  <c r="BD45" i="22" s="1"/>
  <c r="BE45" i="3"/>
  <c r="BE45" i="22" s="1"/>
  <c r="BF45" i="3"/>
  <c r="BF45" i="22" s="1"/>
  <c r="BG45" i="3"/>
  <c r="BG45" i="22" s="1"/>
  <c r="BH45" i="3"/>
  <c r="BH45" i="22" s="1"/>
  <c r="BI45" i="3"/>
  <c r="BI45" i="22" s="1"/>
  <c r="BJ45" i="3"/>
  <c r="BJ45" i="22" s="1"/>
  <c r="BK45" i="3"/>
  <c r="BK45" i="22" s="1"/>
  <c r="BL45" i="3"/>
  <c r="BL45" i="22" s="1"/>
  <c r="BM45" i="3"/>
  <c r="BM45" i="22" s="1"/>
  <c r="BN45" i="3"/>
  <c r="BN45" i="22" s="1"/>
  <c r="BO45" i="3"/>
  <c r="BO45" i="22" s="1"/>
  <c r="BP45" i="3"/>
  <c r="BP45" i="22" s="1"/>
  <c r="BQ45" i="3"/>
  <c r="BQ45" i="22" s="1"/>
  <c r="BR45" i="3"/>
  <c r="BR45" i="22" s="1"/>
  <c r="BS45" i="3"/>
  <c r="BS45" i="22" s="1"/>
  <c r="BT45" i="3"/>
  <c r="BT45" i="22" s="1"/>
  <c r="BB46" i="3"/>
  <c r="BB46" i="22" s="1"/>
  <c r="BC46" i="3"/>
  <c r="BC46" i="22" s="1"/>
  <c r="BD46" i="3"/>
  <c r="BD46" i="22" s="1"/>
  <c r="BE46" i="3"/>
  <c r="BE46" i="22" s="1"/>
  <c r="BF46" i="3"/>
  <c r="BF46" i="22" s="1"/>
  <c r="BG46" i="3"/>
  <c r="BG46" i="22" s="1"/>
  <c r="BH46" i="3"/>
  <c r="BH46" i="22" s="1"/>
  <c r="BI46" i="3"/>
  <c r="BI46" i="22" s="1"/>
  <c r="BJ46" i="3"/>
  <c r="BJ46" i="22" s="1"/>
  <c r="BK46" i="3"/>
  <c r="BK46" i="22" s="1"/>
  <c r="BL46" i="3"/>
  <c r="BL46" i="22" s="1"/>
  <c r="BM46" i="3"/>
  <c r="BM46" i="22" s="1"/>
  <c r="BN46" i="3"/>
  <c r="BN46" i="22" s="1"/>
  <c r="BO46" i="3"/>
  <c r="BO46" i="22" s="1"/>
  <c r="BP46" i="3"/>
  <c r="BP46" i="22" s="1"/>
  <c r="BQ46" i="3"/>
  <c r="BQ46" i="22" s="1"/>
  <c r="BR46" i="3"/>
  <c r="BR46" i="22" s="1"/>
  <c r="BS46" i="3"/>
  <c r="BS46" i="22" s="1"/>
  <c r="BT46" i="3"/>
  <c r="BT46" i="22" s="1"/>
  <c r="BB47" i="3"/>
  <c r="BB47" i="22" s="1"/>
  <c r="BC47" i="3"/>
  <c r="BC47" i="22" s="1"/>
  <c r="BD47" i="3"/>
  <c r="BD47" i="22" s="1"/>
  <c r="BE47" i="3"/>
  <c r="BE47" i="22" s="1"/>
  <c r="BF47" i="3"/>
  <c r="BF47" i="22" s="1"/>
  <c r="BG47" i="3"/>
  <c r="BG47" i="22" s="1"/>
  <c r="BH47" i="3"/>
  <c r="BH47" i="22" s="1"/>
  <c r="BI47" i="3"/>
  <c r="BI47" i="22" s="1"/>
  <c r="BJ47" i="3"/>
  <c r="BJ47" i="22" s="1"/>
  <c r="BK47" i="3"/>
  <c r="BK47" i="22" s="1"/>
  <c r="BL47" i="3"/>
  <c r="BL47" i="22" s="1"/>
  <c r="BM47" i="3"/>
  <c r="BM47" i="22" s="1"/>
  <c r="BN47" i="3"/>
  <c r="BN47" i="22" s="1"/>
  <c r="BO47" i="3"/>
  <c r="BO47" i="22" s="1"/>
  <c r="BP47" i="3"/>
  <c r="BP47" i="22" s="1"/>
  <c r="BQ47" i="3"/>
  <c r="BQ47" i="22" s="1"/>
  <c r="BR47" i="3"/>
  <c r="BR47" i="22" s="1"/>
  <c r="BS47" i="3"/>
  <c r="BS47" i="22" s="1"/>
  <c r="BT47" i="3"/>
  <c r="BT47" i="22" s="1"/>
  <c r="BB48" i="3"/>
  <c r="BB48" i="22" s="1"/>
  <c r="BC48" i="3"/>
  <c r="BC48" i="22" s="1"/>
  <c r="BD48" i="3"/>
  <c r="BD48" i="22" s="1"/>
  <c r="BE48" i="3"/>
  <c r="BE48" i="22" s="1"/>
  <c r="BF48" i="3"/>
  <c r="BF48" i="22" s="1"/>
  <c r="BG48" i="3"/>
  <c r="BG48" i="22" s="1"/>
  <c r="BH48" i="3"/>
  <c r="BH48" i="22" s="1"/>
  <c r="BI48" i="3"/>
  <c r="BI48" i="22" s="1"/>
  <c r="BJ48" i="3"/>
  <c r="BJ48" i="22" s="1"/>
  <c r="BK48" i="3"/>
  <c r="BK48" i="22" s="1"/>
  <c r="BL48" i="3"/>
  <c r="BL48" i="22" s="1"/>
  <c r="BM48" i="3"/>
  <c r="BM48" i="22" s="1"/>
  <c r="BN48" i="3"/>
  <c r="BN48" i="22" s="1"/>
  <c r="BO48" i="3"/>
  <c r="BO48" i="22" s="1"/>
  <c r="BP48" i="3"/>
  <c r="BP48" i="22" s="1"/>
  <c r="BQ48" i="3"/>
  <c r="BQ48" i="22" s="1"/>
  <c r="BR48" i="3"/>
  <c r="BR48" i="22" s="1"/>
  <c r="BS48" i="3"/>
  <c r="BS48" i="22" s="1"/>
  <c r="BT48" i="3"/>
  <c r="BT48" i="22" s="1"/>
  <c r="BB49" i="3"/>
  <c r="BB49" i="22" s="1"/>
  <c r="BC49" i="3"/>
  <c r="BC49" i="22" s="1"/>
  <c r="BD49" i="3"/>
  <c r="BD49" i="22" s="1"/>
  <c r="BE49" i="3"/>
  <c r="BE49" i="22" s="1"/>
  <c r="BF49" i="3"/>
  <c r="BF49" i="22" s="1"/>
  <c r="BG49" i="3"/>
  <c r="BG49" i="22" s="1"/>
  <c r="BH49" i="3"/>
  <c r="BH49" i="22" s="1"/>
  <c r="BI49" i="3"/>
  <c r="BI49" i="22" s="1"/>
  <c r="BJ49" i="3"/>
  <c r="BJ49" i="22" s="1"/>
  <c r="BK49" i="3"/>
  <c r="BK49" i="22" s="1"/>
  <c r="BL49" i="3"/>
  <c r="BL49" i="22" s="1"/>
  <c r="BM49" i="3"/>
  <c r="BM49" i="22" s="1"/>
  <c r="BN49" i="3"/>
  <c r="BN49" i="22" s="1"/>
  <c r="BO49" i="3"/>
  <c r="BO49" i="22" s="1"/>
  <c r="BP49" i="3"/>
  <c r="BP49" i="22" s="1"/>
  <c r="BQ49" i="3"/>
  <c r="BQ49" i="22" s="1"/>
  <c r="BR49" i="3"/>
  <c r="BR49" i="22" s="1"/>
  <c r="BS49" i="3"/>
  <c r="BS49" i="22" s="1"/>
  <c r="BT49" i="3"/>
  <c r="BT49" i="22" s="1"/>
  <c r="BB50" i="3"/>
  <c r="BB50" i="22" s="1"/>
  <c r="BC50" i="3"/>
  <c r="BC50" i="22" s="1"/>
  <c r="BD50" i="3"/>
  <c r="BD50" i="22" s="1"/>
  <c r="BE50" i="3"/>
  <c r="BE50" i="22" s="1"/>
  <c r="BF50" i="3"/>
  <c r="BF50" i="22" s="1"/>
  <c r="BG50" i="3"/>
  <c r="BG50" i="22" s="1"/>
  <c r="BH50" i="3"/>
  <c r="BH50" i="22" s="1"/>
  <c r="BI50" i="3"/>
  <c r="BI50" i="22" s="1"/>
  <c r="BJ50" i="3"/>
  <c r="BJ50" i="22" s="1"/>
  <c r="BK50" i="3"/>
  <c r="BK50" i="22" s="1"/>
  <c r="BL50" i="3"/>
  <c r="BL50" i="22" s="1"/>
  <c r="BM50" i="3"/>
  <c r="BM50" i="22" s="1"/>
  <c r="BN50" i="3"/>
  <c r="BN50" i="22" s="1"/>
  <c r="BO50" i="3"/>
  <c r="BO50" i="22" s="1"/>
  <c r="BP50" i="3"/>
  <c r="BP50" i="22" s="1"/>
  <c r="BQ50" i="3"/>
  <c r="BQ50" i="22" s="1"/>
  <c r="BR50" i="3"/>
  <c r="BR50" i="22" s="1"/>
  <c r="BS50" i="3"/>
  <c r="BS50" i="22" s="1"/>
  <c r="BT50" i="3"/>
  <c r="BT50" i="22" s="1"/>
  <c r="BB51" i="3"/>
  <c r="BB51" i="22" s="1"/>
  <c r="BC51" i="3"/>
  <c r="BC51" i="22" s="1"/>
  <c r="BD51" i="3"/>
  <c r="BD51" i="22" s="1"/>
  <c r="BE51" i="3"/>
  <c r="BE51" i="22" s="1"/>
  <c r="BF51" i="3"/>
  <c r="BF51" i="22" s="1"/>
  <c r="BG51" i="3"/>
  <c r="BG51" i="22" s="1"/>
  <c r="BH51" i="3"/>
  <c r="BH51" i="22" s="1"/>
  <c r="BI51" i="3"/>
  <c r="BI51" i="22" s="1"/>
  <c r="BJ51" i="3"/>
  <c r="BJ51" i="22" s="1"/>
  <c r="BK51" i="3"/>
  <c r="BK51" i="22" s="1"/>
  <c r="BL51" i="3"/>
  <c r="BL51" i="22" s="1"/>
  <c r="BM51" i="3"/>
  <c r="BM51" i="22" s="1"/>
  <c r="BN51" i="3"/>
  <c r="BN51" i="22" s="1"/>
  <c r="BO51" i="3"/>
  <c r="BO51" i="22" s="1"/>
  <c r="BP51" i="3"/>
  <c r="BP51" i="22" s="1"/>
  <c r="BQ51" i="3"/>
  <c r="BQ51" i="22" s="1"/>
  <c r="BR51" i="3"/>
  <c r="BR51" i="22" s="1"/>
  <c r="BS51" i="3"/>
  <c r="BS51" i="22" s="1"/>
  <c r="BT51" i="3"/>
  <c r="BT51" i="22" s="1"/>
  <c r="BB52" i="3"/>
  <c r="BB52" i="22" s="1"/>
  <c r="BC52" i="3"/>
  <c r="BC52" i="22" s="1"/>
  <c r="BD52" i="3"/>
  <c r="BD52" i="22" s="1"/>
  <c r="BE52" i="3"/>
  <c r="BE52" i="22" s="1"/>
  <c r="BF52" i="3"/>
  <c r="BF52" i="22" s="1"/>
  <c r="BG52" i="3"/>
  <c r="BG52" i="22" s="1"/>
  <c r="BH52" i="3"/>
  <c r="BH52" i="22" s="1"/>
  <c r="BI52" i="3"/>
  <c r="BI52" i="22" s="1"/>
  <c r="BJ52" i="3"/>
  <c r="BJ52" i="22" s="1"/>
  <c r="BK52" i="3"/>
  <c r="BK52" i="22" s="1"/>
  <c r="BL52" i="3"/>
  <c r="BL52" i="22" s="1"/>
  <c r="BM52" i="3"/>
  <c r="BM52" i="22" s="1"/>
  <c r="BN52" i="3"/>
  <c r="BN52" i="22" s="1"/>
  <c r="BO52" i="3"/>
  <c r="BO52" i="22" s="1"/>
  <c r="BP52" i="3"/>
  <c r="BP52" i="22" s="1"/>
  <c r="BQ52" i="3"/>
  <c r="BQ52" i="22" s="1"/>
  <c r="BR52" i="3"/>
  <c r="BR52" i="22" s="1"/>
  <c r="BS52" i="3"/>
  <c r="BS52" i="22" s="1"/>
  <c r="BT52" i="3"/>
  <c r="BT52" i="22" s="1"/>
  <c r="BB53" i="3"/>
  <c r="BB53" i="22" s="1"/>
  <c r="BC53" i="3"/>
  <c r="BC53" i="22" s="1"/>
  <c r="BD53" i="3"/>
  <c r="BD53" i="22" s="1"/>
  <c r="BE53" i="3"/>
  <c r="BE53" i="22" s="1"/>
  <c r="BF53" i="3"/>
  <c r="BF53" i="22" s="1"/>
  <c r="BG53" i="3"/>
  <c r="BG53" i="22" s="1"/>
  <c r="BH53" i="3"/>
  <c r="BH53" i="22" s="1"/>
  <c r="BI53" i="3"/>
  <c r="BI53" i="22" s="1"/>
  <c r="BJ53" i="3"/>
  <c r="BJ53" i="22" s="1"/>
  <c r="BK53" i="3"/>
  <c r="BK53" i="22" s="1"/>
  <c r="BL53" i="3"/>
  <c r="BL53" i="22" s="1"/>
  <c r="BM53" i="3"/>
  <c r="BM53" i="22" s="1"/>
  <c r="BN53" i="3"/>
  <c r="BN53" i="22" s="1"/>
  <c r="BO53" i="3"/>
  <c r="BO53" i="22" s="1"/>
  <c r="BP53" i="3"/>
  <c r="BP53" i="22" s="1"/>
  <c r="BQ53" i="3"/>
  <c r="BQ53" i="22" s="1"/>
  <c r="BR53" i="3"/>
  <c r="BR53" i="22" s="1"/>
  <c r="BS53" i="3"/>
  <c r="BS53" i="22" s="1"/>
  <c r="BT53" i="3"/>
  <c r="BT53" i="22" s="1"/>
  <c r="BB54" i="3"/>
  <c r="BB54" i="22" s="1"/>
  <c r="BC54" i="3"/>
  <c r="BC54" i="22" s="1"/>
  <c r="BD54" i="3"/>
  <c r="BD54" i="22" s="1"/>
  <c r="BE54" i="3"/>
  <c r="BE54" i="22" s="1"/>
  <c r="BF54" i="3"/>
  <c r="BF54" i="22" s="1"/>
  <c r="BG54" i="3"/>
  <c r="BG54" i="22" s="1"/>
  <c r="BH54" i="3"/>
  <c r="BH54" i="22" s="1"/>
  <c r="BI54" i="3"/>
  <c r="BI54" i="22" s="1"/>
  <c r="BJ54" i="3"/>
  <c r="BJ54" i="22" s="1"/>
  <c r="BK54" i="3"/>
  <c r="BK54" i="22" s="1"/>
  <c r="BL54" i="3"/>
  <c r="BL54" i="22" s="1"/>
  <c r="BM54" i="3"/>
  <c r="BM54" i="22" s="1"/>
  <c r="BN54" i="3"/>
  <c r="BN54" i="22" s="1"/>
  <c r="BO54" i="3"/>
  <c r="BO54" i="22" s="1"/>
  <c r="BP54" i="3"/>
  <c r="BP54" i="22" s="1"/>
  <c r="BQ54" i="3"/>
  <c r="BQ54" i="22" s="1"/>
  <c r="BR54" i="3"/>
  <c r="BR54" i="22" s="1"/>
  <c r="BS54" i="3"/>
  <c r="BS54" i="22" s="1"/>
  <c r="BT54" i="3"/>
  <c r="BT54" i="22" s="1"/>
  <c r="BB55" i="3"/>
  <c r="BB55" i="22" s="1"/>
  <c r="BC55" i="3"/>
  <c r="BC55" i="22" s="1"/>
  <c r="BD55" i="3"/>
  <c r="BD55" i="22" s="1"/>
  <c r="BE55" i="3"/>
  <c r="BE55" i="22" s="1"/>
  <c r="BF55" i="3"/>
  <c r="BF55" i="22" s="1"/>
  <c r="BG55" i="3"/>
  <c r="BG55" i="22" s="1"/>
  <c r="BH55" i="3"/>
  <c r="BH55" i="22" s="1"/>
  <c r="BI55" i="3"/>
  <c r="BI55" i="22" s="1"/>
  <c r="BJ55" i="3"/>
  <c r="BJ55" i="22" s="1"/>
  <c r="BK55" i="3"/>
  <c r="BK55" i="22" s="1"/>
  <c r="BL55" i="3"/>
  <c r="BL55" i="22" s="1"/>
  <c r="BM55" i="3"/>
  <c r="BM55" i="22" s="1"/>
  <c r="BN55" i="3"/>
  <c r="BN55" i="22" s="1"/>
  <c r="BO55" i="3"/>
  <c r="BO55" i="22" s="1"/>
  <c r="BP55" i="3"/>
  <c r="BP55" i="22" s="1"/>
  <c r="BQ55" i="3"/>
  <c r="BQ55" i="22" s="1"/>
  <c r="BR55" i="3"/>
  <c r="BR55" i="22" s="1"/>
  <c r="BS55" i="3"/>
  <c r="BS55" i="22" s="1"/>
  <c r="BT55" i="3"/>
  <c r="BT55" i="22" s="1"/>
  <c r="BB56" i="3"/>
  <c r="BB56" i="22" s="1"/>
  <c r="BC56" i="3"/>
  <c r="BC56" i="22" s="1"/>
  <c r="BD56" i="3"/>
  <c r="BD56" i="22" s="1"/>
  <c r="BE56" i="3"/>
  <c r="BE56" i="22" s="1"/>
  <c r="BF56" i="3"/>
  <c r="BF56" i="22" s="1"/>
  <c r="BG56" i="3"/>
  <c r="BG56" i="22" s="1"/>
  <c r="BH56" i="3"/>
  <c r="BH56" i="22" s="1"/>
  <c r="BI56" i="3"/>
  <c r="BI56" i="22" s="1"/>
  <c r="BJ56" i="3"/>
  <c r="BJ56" i="22" s="1"/>
  <c r="BK56" i="3"/>
  <c r="BK56" i="22" s="1"/>
  <c r="BL56" i="3"/>
  <c r="BL56" i="22" s="1"/>
  <c r="BM56" i="3"/>
  <c r="BM56" i="22" s="1"/>
  <c r="BN56" i="3"/>
  <c r="BN56" i="22" s="1"/>
  <c r="BO56" i="3"/>
  <c r="BO56" i="22" s="1"/>
  <c r="BP56" i="3"/>
  <c r="BP56" i="22" s="1"/>
  <c r="BQ56" i="3"/>
  <c r="BQ56" i="22" s="1"/>
  <c r="BR56" i="3"/>
  <c r="BR56" i="22" s="1"/>
  <c r="BS56" i="3"/>
  <c r="BS56" i="22" s="1"/>
  <c r="BT56" i="3"/>
  <c r="BT56" i="22" s="1"/>
  <c r="BB57" i="3"/>
  <c r="BB57" i="22" s="1"/>
  <c r="BC57" i="3"/>
  <c r="BC57" i="22" s="1"/>
  <c r="BD57" i="3"/>
  <c r="BD57" i="22" s="1"/>
  <c r="BE57" i="3"/>
  <c r="BE57" i="22" s="1"/>
  <c r="BF57" i="3"/>
  <c r="BF57" i="22" s="1"/>
  <c r="BG57" i="3"/>
  <c r="BG57" i="22" s="1"/>
  <c r="BH57" i="3"/>
  <c r="BH57" i="22" s="1"/>
  <c r="BI57" i="3"/>
  <c r="BI57" i="22" s="1"/>
  <c r="BJ57" i="3"/>
  <c r="BJ57" i="22" s="1"/>
  <c r="BK57" i="3"/>
  <c r="BK57" i="22" s="1"/>
  <c r="BL57" i="3"/>
  <c r="BL57" i="22" s="1"/>
  <c r="BM57" i="3"/>
  <c r="BM57" i="22" s="1"/>
  <c r="BN57" i="3"/>
  <c r="BN57" i="22" s="1"/>
  <c r="BO57" i="3"/>
  <c r="BO57" i="22" s="1"/>
  <c r="BP57" i="3"/>
  <c r="BP57" i="22" s="1"/>
  <c r="BQ57" i="3"/>
  <c r="BQ57" i="22" s="1"/>
  <c r="BR57" i="3"/>
  <c r="BR57" i="22" s="1"/>
  <c r="BS57" i="3"/>
  <c r="BS57" i="22" s="1"/>
  <c r="BT57" i="3"/>
  <c r="BT57" i="22" s="1"/>
  <c r="BB58" i="3"/>
  <c r="BB58" i="22" s="1"/>
  <c r="BC58" i="3"/>
  <c r="BC58" i="22" s="1"/>
  <c r="BD58" i="3"/>
  <c r="BD58" i="22" s="1"/>
  <c r="BE58" i="3"/>
  <c r="BE58" i="22" s="1"/>
  <c r="BF58" i="3"/>
  <c r="BF58" i="22" s="1"/>
  <c r="BG58" i="3"/>
  <c r="BG58" i="22" s="1"/>
  <c r="BH58" i="3"/>
  <c r="BH58" i="22" s="1"/>
  <c r="BI58" i="3"/>
  <c r="BI58" i="22" s="1"/>
  <c r="BJ58" i="3"/>
  <c r="BJ58" i="22" s="1"/>
  <c r="BK58" i="3"/>
  <c r="BK58" i="22" s="1"/>
  <c r="BL58" i="3"/>
  <c r="BL58" i="22" s="1"/>
  <c r="BM58" i="3"/>
  <c r="BM58" i="22" s="1"/>
  <c r="BN58" i="3"/>
  <c r="BN58" i="22" s="1"/>
  <c r="BO58" i="3"/>
  <c r="BO58" i="22" s="1"/>
  <c r="BP58" i="3"/>
  <c r="BP58" i="22" s="1"/>
  <c r="BQ58" i="3"/>
  <c r="BQ58" i="22" s="1"/>
  <c r="BR58" i="3"/>
  <c r="BR58" i="22" s="1"/>
  <c r="BS58" i="3"/>
  <c r="BS58" i="22" s="1"/>
  <c r="BT58" i="3"/>
  <c r="BT58" i="22" s="1"/>
  <c r="BB59" i="3"/>
  <c r="BB59" i="22" s="1"/>
  <c r="BC59" i="3"/>
  <c r="BC59" i="22" s="1"/>
  <c r="BD59" i="3"/>
  <c r="BD59" i="22" s="1"/>
  <c r="BE59" i="3"/>
  <c r="BE59" i="22" s="1"/>
  <c r="BF59" i="3"/>
  <c r="BF59" i="22" s="1"/>
  <c r="BG59" i="3"/>
  <c r="BG59" i="22" s="1"/>
  <c r="BH59" i="3"/>
  <c r="BH59" i="22" s="1"/>
  <c r="BI59" i="3"/>
  <c r="BI59" i="22" s="1"/>
  <c r="BJ59" i="3"/>
  <c r="BJ59" i="22" s="1"/>
  <c r="BK59" i="3"/>
  <c r="BK59" i="22" s="1"/>
  <c r="BL59" i="3"/>
  <c r="BL59" i="22" s="1"/>
  <c r="BM59" i="3"/>
  <c r="BM59" i="22" s="1"/>
  <c r="BN59" i="3"/>
  <c r="BN59" i="22" s="1"/>
  <c r="BO59" i="3"/>
  <c r="BO59" i="22" s="1"/>
  <c r="BP59" i="3"/>
  <c r="BP59" i="22" s="1"/>
  <c r="BQ59" i="3"/>
  <c r="BQ59" i="22" s="1"/>
  <c r="BR59" i="3"/>
  <c r="BR59" i="22" s="1"/>
  <c r="BS59" i="3"/>
  <c r="BS59" i="22" s="1"/>
  <c r="BT59" i="3"/>
  <c r="BT59" i="22" s="1"/>
  <c r="BB60" i="3"/>
  <c r="BB60" i="22" s="1"/>
  <c r="BC60" i="3"/>
  <c r="BC60" i="22" s="1"/>
  <c r="BD60" i="3"/>
  <c r="BD60" i="22" s="1"/>
  <c r="BE60" i="3"/>
  <c r="BE60" i="22" s="1"/>
  <c r="BF60" i="3"/>
  <c r="BF60" i="22" s="1"/>
  <c r="BG60" i="3"/>
  <c r="BG60" i="22" s="1"/>
  <c r="BH60" i="3"/>
  <c r="BH60" i="22" s="1"/>
  <c r="BI60" i="3"/>
  <c r="BI60" i="22" s="1"/>
  <c r="BJ60" i="3"/>
  <c r="BJ60" i="22" s="1"/>
  <c r="BK60" i="3"/>
  <c r="BK60" i="22" s="1"/>
  <c r="BL60" i="3"/>
  <c r="BL60" i="22" s="1"/>
  <c r="BM60" i="3"/>
  <c r="BM60" i="22" s="1"/>
  <c r="BN60" i="3"/>
  <c r="BN60" i="22" s="1"/>
  <c r="BO60" i="3"/>
  <c r="BO60" i="22" s="1"/>
  <c r="BP60" i="3"/>
  <c r="BP60" i="22" s="1"/>
  <c r="BQ60" i="3"/>
  <c r="BQ60" i="22" s="1"/>
  <c r="BR60" i="3"/>
  <c r="BR60" i="22" s="1"/>
  <c r="BS60" i="3"/>
  <c r="BS60" i="22" s="1"/>
  <c r="BT60" i="3"/>
  <c r="BT60" i="22" s="1"/>
  <c r="BB61" i="3"/>
  <c r="BB61" i="22" s="1"/>
  <c r="BC61" i="3"/>
  <c r="BC61" i="22" s="1"/>
  <c r="BD61" i="3"/>
  <c r="BD61" i="22" s="1"/>
  <c r="BE61" i="3"/>
  <c r="BE61" i="22" s="1"/>
  <c r="BF61" i="3"/>
  <c r="BF61" i="22" s="1"/>
  <c r="BG61" i="3"/>
  <c r="BG61" i="22" s="1"/>
  <c r="BH61" i="3"/>
  <c r="BH61" i="22" s="1"/>
  <c r="BI61" i="3"/>
  <c r="BI61" i="22" s="1"/>
  <c r="BJ61" i="3"/>
  <c r="BJ61" i="22" s="1"/>
  <c r="BK61" i="3"/>
  <c r="BK61" i="22" s="1"/>
  <c r="BL61" i="3"/>
  <c r="BL61" i="22" s="1"/>
  <c r="BM61" i="3"/>
  <c r="BM61" i="22" s="1"/>
  <c r="BN61" i="3"/>
  <c r="BN61" i="22" s="1"/>
  <c r="BO61" i="3"/>
  <c r="BO61" i="22" s="1"/>
  <c r="BP61" i="3"/>
  <c r="BP61" i="22" s="1"/>
  <c r="BQ61" i="3"/>
  <c r="BQ61" i="22" s="1"/>
  <c r="BR61" i="3"/>
  <c r="BR61" i="22" s="1"/>
  <c r="BS61" i="3"/>
  <c r="BS61" i="22" s="1"/>
  <c r="BT61" i="3"/>
  <c r="BT61" i="22" s="1"/>
  <c r="BB62" i="3"/>
  <c r="BB62" i="22" s="1"/>
  <c r="BC62" i="3"/>
  <c r="BC62" i="22" s="1"/>
  <c r="BD62" i="3"/>
  <c r="BD62" i="22" s="1"/>
  <c r="BE62" i="3"/>
  <c r="BE62" i="22" s="1"/>
  <c r="BF62" i="3"/>
  <c r="BF62" i="22" s="1"/>
  <c r="BG62" i="3"/>
  <c r="BG62" i="22" s="1"/>
  <c r="BH62" i="3"/>
  <c r="BH62" i="22" s="1"/>
  <c r="BI62" i="3"/>
  <c r="BI62" i="22" s="1"/>
  <c r="BJ62" i="3"/>
  <c r="BJ62" i="22" s="1"/>
  <c r="BK62" i="3"/>
  <c r="BK62" i="22" s="1"/>
  <c r="BL62" i="3"/>
  <c r="BL62" i="22" s="1"/>
  <c r="BM62" i="3"/>
  <c r="BM62" i="22" s="1"/>
  <c r="BN62" i="3"/>
  <c r="BN62" i="22" s="1"/>
  <c r="BO62" i="3"/>
  <c r="BO62" i="22" s="1"/>
  <c r="BP62" i="3"/>
  <c r="BP62" i="22" s="1"/>
  <c r="BQ62" i="3"/>
  <c r="BQ62" i="22" s="1"/>
  <c r="BR62" i="3"/>
  <c r="BR62" i="22" s="1"/>
  <c r="BS62" i="3"/>
  <c r="BS62" i="22" s="1"/>
  <c r="BT62" i="3"/>
  <c r="BT62" i="22" s="1"/>
  <c r="BB63" i="3"/>
  <c r="BB63" i="22" s="1"/>
  <c r="BC63" i="3"/>
  <c r="BC63" i="22" s="1"/>
  <c r="BD63" i="3"/>
  <c r="BD63" i="22" s="1"/>
  <c r="BE63" i="3"/>
  <c r="BE63" i="22" s="1"/>
  <c r="BF63" i="3"/>
  <c r="BF63" i="22" s="1"/>
  <c r="BG63" i="3"/>
  <c r="BG63" i="22" s="1"/>
  <c r="BH63" i="3"/>
  <c r="BH63" i="22" s="1"/>
  <c r="BI63" i="3"/>
  <c r="BI63" i="22" s="1"/>
  <c r="BJ63" i="3"/>
  <c r="BJ63" i="22" s="1"/>
  <c r="BK63" i="3"/>
  <c r="BK63" i="22" s="1"/>
  <c r="BL63" i="3"/>
  <c r="BL63" i="22" s="1"/>
  <c r="BM63" i="3"/>
  <c r="BM63" i="22" s="1"/>
  <c r="BN63" i="3"/>
  <c r="BN63" i="22" s="1"/>
  <c r="BO63" i="3"/>
  <c r="BO63" i="22" s="1"/>
  <c r="BP63" i="3"/>
  <c r="BP63" i="22" s="1"/>
  <c r="BQ63" i="3"/>
  <c r="BQ63" i="22" s="1"/>
  <c r="BR63" i="3"/>
  <c r="BR63" i="22" s="1"/>
  <c r="BS63" i="3"/>
  <c r="BS63" i="22" s="1"/>
  <c r="BT63" i="3"/>
  <c r="BT63" i="22" s="1"/>
  <c r="BB64" i="3"/>
  <c r="BB64" i="22" s="1"/>
  <c r="BC64" i="3"/>
  <c r="BC64" i="22" s="1"/>
  <c r="BD64" i="3"/>
  <c r="BD64" i="22" s="1"/>
  <c r="BE64" i="3"/>
  <c r="BE64" i="22" s="1"/>
  <c r="BF64" i="3"/>
  <c r="BF64" i="22" s="1"/>
  <c r="BG64" i="3"/>
  <c r="BG64" i="22" s="1"/>
  <c r="BH64" i="3"/>
  <c r="BH64" i="22" s="1"/>
  <c r="BI64" i="3"/>
  <c r="BI64" i="22" s="1"/>
  <c r="BJ64" i="3"/>
  <c r="BJ64" i="22" s="1"/>
  <c r="BK64" i="3"/>
  <c r="BK64" i="22" s="1"/>
  <c r="BL64" i="3"/>
  <c r="BL64" i="22" s="1"/>
  <c r="BM64" i="3"/>
  <c r="BM64" i="22" s="1"/>
  <c r="BN64" i="3"/>
  <c r="BN64" i="22" s="1"/>
  <c r="BO64" i="3"/>
  <c r="BO64" i="22" s="1"/>
  <c r="BP64" i="3"/>
  <c r="BP64" i="22" s="1"/>
  <c r="BQ64" i="3"/>
  <c r="BQ64" i="22" s="1"/>
  <c r="BR64" i="3"/>
  <c r="BR64" i="22" s="1"/>
  <c r="BS64" i="3"/>
  <c r="BS64" i="22" s="1"/>
  <c r="BT64" i="3"/>
  <c r="BT64" i="22" s="1"/>
  <c r="BB65" i="3"/>
  <c r="BB65" i="22" s="1"/>
  <c r="BC65" i="3"/>
  <c r="BC65" i="22" s="1"/>
  <c r="BD65" i="3"/>
  <c r="BD65" i="22" s="1"/>
  <c r="BE65" i="3"/>
  <c r="BE65" i="22" s="1"/>
  <c r="BF65" i="3"/>
  <c r="BF65" i="22" s="1"/>
  <c r="BG65" i="3"/>
  <c r="BG65" i="22" s="1"/>
  <c r="BH65" i="3"/>
  <c r="BH65" i="22" s="1"/>
  <c r="BI65" i="3"/>
  <c r="BI65" i="22" s="1"/>
  <c r="BJ65" i="3"/>
  <c r="BJ65" i="22" s="1"/>
  <c r="BK65" i="3"/>
  <c r="BK65" i="22" s="1"/>
  <c r="BL65" i="3"/>
  <c r="BL65" i="22" s="1"/>
  <c r="BM65" i="3"/>
  <c r="BM65" i="22" s="1"/>
  <c r="BN65" i="3"/>
  <c r="BN65" i="22" s="1"/>
  <c r="BO65" i="3"/>
  <c r="BO65" i="22" s="1"/>
  <c r="BP65" i="3"/>
  <c r="BP65" i="22" s="1"/>
  <c r="BQ65" i="3"/>
  <c r="BQ65" i="22" s="1"/>
  <c r="BR65" i="3"/>
  <c r="BR65" i="22" s="1"/>
  <c r="BS65" i="3"/>
  <c r="BS65" i="22" s="1"/>
  <c r="BT65" i="3"/>
  <c r="BT65" i="22" s="1"/>
  <c r="BB66" i="3"/>
  <c r="BB66" i="22" s="1"/>
  <c r="BC66" i="3"/>
  <c r="BC66" i="22" s="1"/>
  <c r="BD66" i="3"/>
  <c r="BD66" i="22" s="1"/>
  <c r="BE66" i="3"/>
  <c r="BE66" i="22" s="1"/>
  <c r="BF66" i="3"/>
  <c r="BF66" i="22" s="1"/>
  <c r="BG66" i="3"/>
  <c r="BG66" i="22" s="1"/>
  <c r="BH66" i="3"/>
  <c r="BH66" i="22" s="1"/>
  <c r="BI66" i="3"/>
  <c r="BI66" i="22" s="1"/>
  <c r="BJ66" i="3"/>
  <c r="BJ66" i="22" s="1"/>
  <c r="BK66" i="3"/>
  <c r="BK66" i="22" s="1"/>
  <c r="BL66" i="3"/>
  <c r="BL66" i="22" s="1"/>
  <c r="BM66" i="3"/>
  <c r="BM66" i="22" s="1"/>
  <c r="BN66" i="3"/>
  <c r="BN66" i="22" s="1"/>
  <c r="BO66" i="3"/>
  <c r="BO66" i="22" s="1"/>
  <c r="BP66" i="3"/>
  <c r="BP66" i="22" s="1"/>
  <c r="BQ66" i="3"/>
  <c r="BQ66" i="22" s="1"/>
  <c r="BR66" i="3"/>
  <c r="BR66" i="22" s="1"/>
  <c r="BS66" i="3"/>
  <c r="BS66" i="22" s="1"/>
  <c r="BT66" i="3"/>
  <c r="BT66" i="22" s="1"/>
  <c r="BB67" i="3"/>
  <c r="BB67" i="22" s="1"/>
  <c r="BC67" i="3"/>
  <c r="BC67" i="22" s="1"/>
  <c r="BD67" i="3"/>
  <c r="BD67" i="22" s="1"/>
  <c r="BE67" i="3"/>
  <c r="BE67" i="22" s="1"/>
  <c r="BF67" i="3"/>
  <c r="BF67" i="22" s="1"/>
  <c r="BG67" i="3"/>
  <c r="BG67" i="22" s="1"/>
  <c r="BH67" i="3"/>
  <c r="BH67" i="22" s="1"/>
  <c r="BI67" i="3"/>
  <c r="BI67" i="22" s="1"/>
  <c r="BJ67" i="3"/>
  <c r="BJ67" i="22" s="1"/>
  <c r="BK67" i="3"/>
  <c r="BK67" i="22" s="1"/>
  <c r="BL67" i="3"/>
  <c r="BL67" i="22" s="1"/>
  <c r="BM67" i="3"/>
  <c r="BM67" i="22" s="1"/>
  <c r="BN67" i="3"/>
  <c r="BN67" i="22" s="1"/>
  <c r="BO67" i="3"/>
  <c r="BO67" i="22" s="1"/>
  <c r="BP67" i="3"/>
  <c r="BP67" i="22" s="1"/>
  <c r="BQ67" i="3"/>
  <c r="BQ67" i="22" s="1"/>
  <c r="BR67" i="3"/>
  <c r="BR67" i="22" s="1"/>
  <c r="BS67" i="3"/>
  <c r="BS67" i="22" s="1"/>
  <c r="BT67" i="3"/>
  <c r="BT67" i="22" s="1"/>
  <c r="BB68" i="3"/>
  <c r="BB68" i="22" s="1"/>
  <c r="BC68" i="3"/>
  <c r="BC68" i="22" s="1"/>
  <c r="BD68" i="3"/>
  <c r="BD68" i="22" s="1"/>
  <c r="BE68" i="3"/>
  <c r="BE68" i="22" s="1"/>
  <c r="BF68" i="3"/>
  <c r="BF68" i="22" s="1"/>
  <c r="BG68" i="3"/>
  <c r="BG68" i="22" s="1"/>
  <c r="BH68" i="3"/>
  <c r="BH68" i="22" s="1"/>
  <c r="BI68" i="3"/>
  <c r="BI68" i="22" s="1"/>
  <c r="BJ68" i="3"/>
  <c r="BJ68" i="22" s="1"/>
  <c r="BK68" i="3"/>
  <c r="BK68" i="22" s="1"/>
  <c r="BL68" i="3"/>
  <c r="BL68" i="22" s="1"/>
  <c r="BM68" i="3"/>
  <c r="BM68" i="22" s="1"/>
  <c r="BN68" i="3"/>
  <c r="BN68" i="22" s="1"/>
  <c r="BO68" i="3"/>
  <c r="BO68" i="22" s="1"/>
  <c r="BP68" i="3"/>
  <c r="BP68" i="22" s="1"/>
  <c r="BQ68" i="3"/>
  <c r="BQ68" i="22" s="1"/>
  <c r="BR68" i="3"/>
  <c r="BR68" i="22" s="1"/>
  <c r="BS68" i="3"/>
  <c r="BS68" i="22" s="1"/>
  <c r="BT68" i="3"/>
  <c r="BT68" i="22" s="1"/>
  <c r="BB69" i="3"/>
  <c r="BB69" i="22" s="1"/>
  <c r="BC69" i="3"/>
  <c r="BC69" i="22" s="1"/>
  <c r="BD69" i="3"/>
  <c r="BD69" i="22" s="1"/>
  <c r="BE69" i="3"/>
  <c r="BE69" i="22" s="1"/>
  <c r="BF69" i="3"/>
  <c r="BF69" i="22" s="1"/>
  <c r="BG69" i="3"/>
  <c r="BG69" i="22" s="1"/>
  <c r="BH69" i="3"/>
  <c r="BH69" i="22" s="1"/>
  <c r="BI69" i="3"/>
  <c r="BI69" i="22" s="1"/>
  <c r="BJ69" i="3"/>
  <c r="BJ69" i="22" s="1"/>
  <c r="BK69" i="3"/>
  <c r="BK69" i="22" s="1"/>
  <c r="BL69" i="3"/>
  <c r="BL69" i="22" s="1"/>
  <c r="BM69" i="3"/>
  <c r="BM69" i="22" s="1"/>
  <c r="BN69" i="3"/>
  <c r="BN69" i="22" s="1"/>
  <c r="BO69" i="3"/>
  <c r="BO69" i="22" s="1"/>
  <c r="BP69" i="3"/>
  <c r="BP69" i="22" s="1"/>
  <c r="BQ69" i="3"/>
  <c r="BQ69" i="22" s="1"/>
  <c r="BR69" i="3"/>
  <c r="BR69" i="22" s="1"/>
  <c r="BS69" i="3"/>
  <c r="BS69" i="22" s="1"/>
  <c r="BT69" i="3"/>
  <c r="BT69" i="22" s="1"/>
  <c r="BB70" i="3"/>
  <c r="BB70" i="22" s="1"/>
  <c r="BC70" i="3"/>
  <c r="BC70" i="22" s="1"/>
  <c r="BD70" i="3"/>
  <c r="BD70" i="22" s="1"/>
  <c r="BE70" i="3"/>
  <c r="BE70" i="22" s="1"/>
  <c r="BF70" i="3"/>
  <c r="BF70" i="22" s="1"/>
  <c r="BG70" i="3"/>
  <c r="BG70" i="22" s="1"/>
  <c r="BH70" i="3"/>
  <c r="BH70" i="22" s="1"/>
  <c r="BI70" i="3"/>
  <c r="BI70" i="22" s="1"/>
  <c r="BJ70" i="3"/>
  <c r="BJ70" i="22" s="1"/>
  <c r="BK70" i="3"/>
  <c r="BK70" i="22" s="1"/>
  <c r="BL70" i="3"/>
  <c r="BL70" i="22" s="1"/>
  <c r="BM70" i="3"/>
  <c r="BM70" i="22" s="1"/>
  <c r="BN70" i="3"/>
  <c r="BN70" i="22" s="1"/>
  <c r="BO70" i="3"/>
  <c r="BO70" i="22" s="1"/>
  <c r="BP70" i="3"/>
  <c r="BP70" i="22" s="1"/>
  <c r="BQ70" i="3"/>
  <c r="BQ70" i="22" s="1"/>
  <c r="BR70" i="3"/>
  <c r="BR70" i="22" s="1"/>
  <c r="BS70" i="3"/>
  <c r="BS70" i="22" s="1"/>
  <c r="BT70" i="3"/>
  <c r="BT70" i="22" s="1"/>
  <c r="BB71" i="3"/>
  <c r="BB71" i="22" s="1"/>
  <c r="BC71" i="3"/>
  <c r="BC71" i="22" s="1"/>
  <c r="BD71" i="3"/>
  <c r="BD71" i="22" s="1"/>
  <c r="BE71" i="3"/>
  <c r="BE71" i="22" s="1"/>
  <c r="BF71" i="3"/>
  <c r="BF71" i="22" s="1"/>
  <c r="BG71" i="3"/>
  <c r="BG71" i="22" s="1"/>
  <c r="BH71" i="3"/>
  <c r="BH71" i="22" s="1"/>
  <c r="BI71" i="3"/>
  <c r="BI71" i="22" s="1"/>
  <c r="BJ71" i="3"/>
  <c r="BJ71" i="22" s="1"/>
  <c r="BK71" i="3"/>
  <c r="BK71" i="22" s="1"/>
  <c r="BL71" i="3"/>
  <c r="BL71" i="22" s="1"/>
  <c r="BM71" i="3"/>
  <c r="BM71" i="22" s="1"/>
  <c r="BN71" i="3"/>
  <c r="BN71" i="22" s="1"/>
  <c r="BO71" i="3"/>
  <c r="BO71" i="22" s="1"/>
  <c r="BP71" i="3"/>
  <c r="BP71" i="22" s="1"/>
  <c r="BQ71" i="3"/>
  <c r="BQ71" i="22" s="1"/>
  <c r="BR71" i="3"/>
  <c r="BR71" i="22" s="1"/>
  <c r="BS71" i="3"/>
  <c r="BS71" i="22" s="1"/>
  <c r="BT71" i="3"/>
  <c r="BT71" i="22" s="1"/>
  <c r="BB72" i="3"/>
  <c r="BB72" i="22" s="1"/>
  <c r="BC72" i="3"/>
  <c r="BC72" i="22" s="1"/>
  <c r="BD72" i="3"/>
  <c r="BD72" i="22" s="1"/>
  <c r="BE72" i="3"/>
  <c r="BE72" i="22" s="1"/>
  <c r="BF72" i="3"/>
  <c r="BF72" i="22" s="1"/>
  <c r="BG72" i="3"/>
  <c r="BG72" i="22" s="1"/>
  <c r="BH72" i="3"/>
  <c r="BH72" i="22" s="1"/>
  <c r="BI72" i="3"/>
  <c r="BI72" i="22" s="1"/>
  <c r="BJ72" i="3"/>
  <c r="BJ72" i="22" s="1"/>
  <c r="BK72" i="3"/>
  <c r="BK72" i="22" s="1"/>
  <c r="BL72" i="3"/>
  <c r="BL72" i="22" s="1"/>
  <c r="BM72" i="3"/>
  <c r="BM72" i="22" s="1"/>
  <c r="BN72" i="3"/>
  <c r="BN72" i="22" s="1"/>
  <c r="BO72" i="3"/>
  <c r="BO72" i="22" s="1"/>
  <c r="BP72" i="3"/>
  <c r="BP72" i="22" s="1"/>
  <c r="BQ72" i="3"/>
  <c r="BQ72" i="22" s="1"/>
  <c r="BR72" i="3"/>
  <c r="BR72" i="22" s="1"/>
  <c r="BS72" i="3"/>
  <c r="BS72" i="22" s="1"/>
  <c r="BT72" i="3"/>
  <c r="BT72" i="22" s="1"/>
  <c r="BB73" i="3"/>
  <c r="BB73" i="22" s="1"/>
  <c r="BC73" i="3"/>
  <c r="BC73" i="22" s="1"/>
  <c r="BD73" i="3"/>
  <c r="BD73" i="22" s="1"/>
  <c r="BE73" i="3"/>
  <c r="BE73" i="22" s="1"/>
  <c r="BF73" i="3"/>
  <c r="BF73" i="22" s="1"/>
  <c r="BG73" i="3"/>
  <c r="BG73" i="22" s="1"/>
  <c r="BH73" i="3"/>
  <c r="BH73" i="22" s="1"/>
  <c r="BI73" i="3"/>
  <c r="BI73" i="22" s="1"/>
  <c r="BJ73" i="3"/>
  <c r="BJ73" i="22" s="1"/>
  <c r="BK73" i="3"/>
  <c r="BK73" i="22" s="1"/>
  <c r="BL73" i="3"/>
  <c r="BL73" i="22" s="1"/>
  <c r="BM73" i="3"/>
  <c r="BM73" i="22" s="1"/>
  <c r="BN73" i="3"/>
  <c r="BN73" i="22" s="1"/>
  <c r="BO73" i="3"/>
  <c r="BO73" i="22" s="1"/>
  <c r="BP73" i="3"/>
  <c r="BP73" i="22" s="1"/>
  <c r="BQ73" i="3"/>
  <c r="BQ73" i="22" s="1"/>
  <c r="BR73" i="3"/>
  <c r="BR73" i="22" s="1"/>
  <c r="BS73" i="3"/>
  <c r="BS73" i="22" s="1"/>
  <c r="BT73" i="3"/>
  <c r="BT73" i="22" s="1"/>
  <c r="BB74" i="3"/>
  <c r="BB74" i="22" s="1"/>
  <c r="BC74" i="3"/>
  <c r="BC74" i="22" s="1"/>
  <c r="BD74" i="3"/>
  <c r="BD74" i="22" s="1"/>
  <c r="BE74" i="3"/>
  <c r="BE74" i="22" s="1"/>
  <c r="BF74" i="3"/>
  <c r="BF74" i="22" s="1"/>
  <c r="BG74" i="3"/>
  <c r="BG74" i="22" s="1"/>
  <c r="BH74" i="3"/>
  <c r="BH74" i="22" s="1"/>
  <c r="BI74" i="3"/>
  <c r="BI74" i="22" s="1"/>
  <c r="BJ74" i="3"/>
  <c r="BJ74" i="22" s="1"/>
  <c r="BK74" i="3"/>
  <c r="BK74" i="22" s="1"/>
  <c r="BL74" i="3"/>
  <c r="BL74" i="22" s="1"/>
  <c r="BM74" i="3"/>
  <c r="BM74" i="22" s="1"/>
  <c r="BN74" i="3"/>
  <c r="BN74" i="22" s="1"/>
  <c r="BO74" i="3"/>
  <c r="BO74" i="22" s="1"/>
  <c r="BP74" i="3"/>
  <c r="BP74" i="22" s="1"/>
  <c r="BQ74" i="3"/>
  <c r="BQ74" i="22" s="1"/>
  <c r="BR74" i="3"/>
  <c r="BR74" i="22" s="1"/>
  <c r="BS74" i="3"/>
  <c r="BS74" i="22" s="1"/>
  <c r="BT74" i="3"/>
  <c r="BT74" i="22" s="1"/>
  <c r="BB75" i="3"/>
  <c r="BB75" i="22" s="1"/>
  <c r="BC75" i="3"/>
  <c r="BC75" i="22" s="1"/>
  <c r="BD75" i="3"/>
  <c r="BD75" i="22" s="1"/>
  <c r="BE75" i="3"/>
  <c r="BE75" i="22" s="1"/>
  <c r="BF75" i="3"/>
  <c r="BF75" i="22" s="1"/>
  <c r="BG75" i="3"/>
  <c r="BG75" i="22" s="1"/>
  <c r="BH75" i="3"/>
  <c r="BH75" i="22" s="1"/>
  <c r="BI75" i="3"/>
  <c r="BI75" i="22" s="1"/>
  <c r="BJ75" i="3"/>
  <c r="BJ75" i="22" s="1"/>
  <c r="BK75" i="3"/>
  <c r="BK75" i="22" s="1"/>
  <c r="BL75" i="3"/>
  <c r="BL75" i="22" s="1"/>
  <c r="BM75" i="3"/>
  <c r="BM75" i="22" s="1"/>
  <c r="BN75" i="3"/>
  <c r="BN75" i="22" s="1"/>
  <c r="BO75" i="3"/>
  <c r="BO75" i="22" s="1"/>
  <c r="BP75" i="3"/>
  <c r="BP75" i="22" s="1"/>
  <c r="BQ75" i="3"/>
  <c r="BQ75" i="22" s="1"/>
  <c r="BR75" i="3"/>
  <c r="BR75" i="22" s="1"/>
  <c r="BS75" i="3"/>
  <c r="BS75" i="22" s="1"/>
  <c r="BT75" i="3"/>
  <c r="BT75" i="22" s="1"/>
  <c r="BB76" i="3"/>
  <c r="BB76" i="22" s="1"/>
  <c r="BC76" i="3"/>
  <c r="BC76" i="22" s="1"/>
  <c r="BD76" i="3"/>
  <c r="BD76" i="22" s="1"/>
  <c r="BE76" i="3"/>
  <c r="BE76" i="22" s="1"/>
  <c r="BF76" i="3"/>
  <c r="BF76" i="22" s="1"/>
  <c r="BG76" i="3"/>
  <c r="BG76" i="22" s="1"/>
  <c r="BH76" i="3"/>
  <c r="BH76" i="22" s="1"/>
  <c r="BI76" i="3"/>
  <c r="BI76" i="22" s="1"/>
  <c r="BJ76" i="3"/>
  <c r="BJ76" i="22" s="1"/>
  <c r="BK76" i="3"/>
  <c r="BK76" i="22" s="1"/>
  <c r="BL76" i="3"/>
  <c r="BL76" i="22" s="1"/>
  <c r="BM76" i="3"/>
  <c r="BM76" i="22" s="1"/>
  <c r="BN76" i="3"/>
  <c r="BN76" i="22" s="1"/>
  <c r="BO76" i="3"/>
  <c r="BO76" i="22" s="1"/>
  <c r="BP76" i="3"/>
  <c r="BP76" i="22" s="1"/>
  <c r="BQ76" i="3"/>
  <c r="BQ76" i="22" s="1"/>
  <c r="BR76" i="3"/>
  <c r="BR76" i="22" s="1"/>
  <c r="BS76" i="3"/>
  <c r="BS76" i="22" s="1"/>
  <c r="BT76" i="3"/>
  <c r="BT76" i="22" s="1"/>
  <c r="BB77" i="3"/>
  <c r="BB77" i="22" s="1"/>
  <c r="BC77" i="3"/>
  <c r="BC77" i="22" s="1"/>
  <c r="BD77" i="3"/>
  <c r="BD77" i="22" s="1"/>
  <c r="BE77" i="3"/>
  <c r="BE77" i="22" s="1"/>
  <c r="BF77" i="3"/>
  <c r="BF77" i="22" s="1"/>
  <c r="BG77" i="3"/>
  <c r="BG77" i="22" s="1"/>
  <c r="BH77" i="3"/>
  <c r="BH77" i="22" s="1"/>
  <c r="BI77" i="3"/>
  <c r="BI77" i="22" s="1"/>
  <c r="BJ77" i="3"/>
  <c r="BJ77" i="22" s="1"/>
  <c r="BK77" i="3"/>
  <c r="BK77" i="22" s="1"/>
  <c r="BL77" i="3"/>
  <c r="BL77" i="22" s="1"/>
  <c r="BM77" i="3"/>
  <c r="BM77" i="22" s="1"/>
  <c r="BN77" i="3"/>
  <c r="BN77" i="22" s="1"/>
  <c r="BO77" i="3"/>
  <c r="BO77" i="22" s="1"/>
  <c r="BP77" i="3"/>
  <c r="BP77" i="22" s="1"/>
  <c r="BQ77" i="3"/>
  <c r="BQ77" i="22" s="1"/>
  <c r="BR77" i="3"/>
  <c r="BR77" i="22" s="1"/>
  <c r="BS77" i="3"/>
  <c r="BS77" i="22" s="1"/>
  <c r="BT77" i="3"/>
  <c r="BT77" i="22" s="1"/>
  <c r="BB78" i="3"/>
  <c r="BB78" i="22" s="1"/>
  <c r="BC78" i="3"/>
  <c r="BC78" i="22" s="1"/>
  <c r="BD78" i="3"/>
  <c r="BD78" i="22" s="1"/>
  <c r="BE78" i="3"/>
  <c r="BE78" i="22" s="1"/>
  <c r="BF78" i="3"/>
  <c r="BF78" i="22" s="1"/>
  <c r="BG78" i="3"/>
  <c r="BG78" i="22" s="1"/>
  <c r="BH78" i="3"/>
  <c r="BH78" i="22" s="1"/>
  <c r="BI78" i="3"/>
  <c r="BI78" i="22" s="1"/>
  <c r="BJ78" i="3"/>
  <c r="BJ78" i="22" s="1"/>
  <c r="BK78" i="3"/>
  <c r="BK78" i="22" s="1"/>
  <c r="BL78" i="3"/>
  <c r="BL78" i="22" s="1"/>
  <c r="BM78" i="3"/>
  <c r="BM78" i="22" s="1"/>
  <c r="BN78" i="3"/>
  <c r="BN78" i="22" s="1"/>
  <c r="BO78" i="3"/>
  <c r="BO78" i="22" s="1"/>
  <c r="BP78" i="3"/>
  <c r="BP78" i="22" s="1"/>
  <c r="BQ78" i="3"/>
  <c r="BQ78" i="22" s="1"/>
  <c r="BR78" i="3"/>
  <c r="BR78" i="22" s="1"/>
  <c r="BS78" i="3"/>
  <c r="BS78" i="22" s="1"/>
  <c r="BT78" i="3"/>
  <c r="BT78" i="22" s="1"/>
  <c r="BB79" i="3"/>
  <c r="BB79" i="22" s="1"/>
  <c r="BC79" i="3"/>
  <c r="BC79" i="22" s="1"/>
  <c r="BD79" i="3"/>
  <c r="BD79" i="22" s="1"/>
  <c r="BE79" i="3"/>
  <c r="BE79" i="22" s="1"/>
  <c r="BF79" i="3"/>
  <c r="BF79" i="22" s="1"/>
  <c r="BG79" i="3"/>
  <c r="BG79" i="22" s="1"/>
  <c r="BH79" i="3"/>
  <c r="BH79" i="22" s="1"/>
  <c r="BI79" i="3"/>
  <c r="BI79" i="22" s="1"/>
  <c r="BJ79" i="3"/>
  <c r="BJ79" i="22" s="1"/>
  <c r="BK79" i="3"/>
  <c r="BK79" i="22" s="1"/>
  <c r="BL79" i="3"/>
  <c r="BL79" i="22" s="1"/>
  <c r="BM79" i="3"/>
  <c r="BM79" i="22" s="1"/>
  <c r="BN79" i="3"/>
  <c r="BN79" i="22" s="1"/>
  <c r="BO79" i="3"/>
  <c r="BO79" i="22" s="1"/>
  <c r="BP79" i="3"/>
  <c r="BP79" i="22" s="1"/>
  <c r="BQ79" i="3"/>
  <c r="BQ79" i="22" s="1"/>
  <c r="BR79" i="3"/>
  <c r="BR79" i="22" s="1"/>
  <c r="BS79" i="3"/>
  <c r="BS79" i="22" s="1"/>
  <c r="BT79" i="3"/>
  <c r="BT79" i="22" s="1"/>
  <c r="BB80" i="3"/>
  <c r="BB80" i="22" s="1"/>
  <c r="BC80" i="3"/>
  <c r="BC80" i="22" s="1"/>
  <c r="BD80" i="3"/>
  <c r="BD80" i="22" s="1"/>
  <c r="BE80" i="3"/>
  <c r="BE80" i="22" s="1"/>
  <c r="BF80" i="3"/>
  <c r="BF80" i="22" s="1"/>
  <c r="BG80" i="3"/>
  <c r="BG80" i="22" s="1"/>
  <c r="BH80" i="3"/>
  <c r="BH80" i="22" s="1"/>
  <c r="BI80" i="3"/>
  <c r="BI80" i="22" s="1"/>
  <c r="BJ80" i="3"/>
  <c r="BJ80" i="22" s="1"/>
  <c r="BK80" i="3"/>
  <c r="BK80" i="22" s="1"/>
  <c r="BL80" i="3"/>
  <c r="BL80" i="22" s="1"/>
  <c r="BM80" i="3"/>
  <c r="BM80" i="22" s="1"/>
  <c r="BN80" i="3"/>
  <c r="BN80" i="22" s="1"/>
  <c r="BO80" i="3"/>
  <c r="BO80" i="22" s="1"/>
  <c r="BP80" i="3"/>
  <c r="BP80" i="22" s="1"/>
  <c r="BQ80" i="3"/>
  <c r="BQ80" i="22" s="1"/>
  <c r="BR80" i="3"/>
  <c r="BR80" i="22" s="1"/>
  <c r="BS80" i="3"/>
  <c r="BS80" i="22" s="1"/>
  <c r="BT80" i="3"/>
  <c r="BT80" i="22" s="1"/>
  <c r="BB81" i="3"/>
  <c r="BB81" i="22" s="1"/>
  <c r="BC81" i="3"/>
  <c r="BC81" i="22" s="1"/>
  <c r="BD81" i="3"/>
  <c r="BD81" i="22" s="1"/>
  <c r="BE81" i="3"/>
  <c r="BE81" i="22" s="1"/>
  <c r="BF81" i="3"/>
  <c r="BF81" i="22" s="1"/>
  <c r="BG81" i="3"/>
  <c r="BG81" i="22" s="1"/>
  <c r="BH81" i="3"/>
  <c r="BH81" i="22" s="1"/>
  <c r="BI81" i="3"/>
  <c r="BI81" i="22" s="1"/>
  <c r="BJ81" i="3"/>
  <c r="BJ81" i="22" s="1"/>
  <c r="BK81" i="3"/>
  <c r="BK81" i="22" s="1"/>
  <c r="BL81" i="3"/>
  <c r="BL81" i="22" s="1"/>
  <c r="BM81" i="3"/>
  <c r="BM81" i="22" s="1"/>
  <c r="BN81" i="3"/>
  <c r="BN81" i="22" s="1"/>
  <c r="BO81" i="3"/>
  <c r="BO81" i="22" s="1"/>
  <c r="BP81" i="3"/>
  <c r="BP81" i="22" s="1"/>
  <c r="BQ81" i="3"/>
  <c r="BQ81" i="22" s="1"/>
  <c r="BR81" i="3"/>
  <c r="BR81" i="22" s="1"/>
  <c r="BS81" i="3"/>
  <c r="BS81" i="22" s="1"/>
  <c r="BT81" i="3"/>
  <c r="BT81" i="22" s="1"/>
  <c r="BB82" i="3"/>
  <c r="BB82" i="22" s="1"/>
  <c r="BC82" i="3"/>
  <c r="BC82" i="22" s="1"/>
  <c r="BD82" i="3"/>
  <c r="BD82" i="22" s="1"/>
  <c r="BE82" i="3"/>
  <c r="BE82" i="22" s="1"/>
  <c r="BF82" i="3"/>
  <c r="BF82" i="22" s="1"/>
  <c r="BG82" i="3"/>
  <c r="BG82" i="22" s="1"/>
  <c r="BH82" i="3"/>
  <c r="BH82" i="22" s="1"/>
  <c r="BI82" i="3"/>
  <c r="BI82" i="22" s="1"/>
  <c r="BJ82" i="3"/>
  <c r="BJ82" i="22" s="1"/>
  <c r="BK82" i="3"/>
  <c r="BK82" i="22" s="1"/>
  <c r="BL82" i="3"/>
  <c r="BL82" i="22" s="1"/>
  <c r="BM82" i="3"/>
  <c r="BM82" i="22" s="1"/>
  <c r="BN82" i="3"/>
  <c r="BN82" i="22" s="1"/>
  <c r="BO82" i="3"/>
  <c r="BO82" i="22" s="1"/>
  <c r="BP82" i="3"/>
  <c r="BP82" i="22" s="1"/>
  <c r="BQ82" i="3"/>
  <c r="BQ82" i="22" s="1"/>
  <c r="BR82" i="3"/>
  <c r="BR82" i="22" s="1"/>
  <c r="BS82" i="3"/>
  <c r="BS82" i="22" s="1"/>
  <c r="BT82" i="3"/>
  <c r="BT82" i="22" s="1"/>
  <c r="BB83" i="3"/>
  <c r="BB83" i="22" s="1"/>
  <c r="BC83" i="3"/>
  <c r="BC83" i="22" s="1"/>
  <c r="BD83" i="3"/>
  <c r="BD83" i="22" s="1"/>
  <c r="BE83" i="3"/>
  <c r="BE83" i="22" s="1"/>
  <c r="BF83" i="3"/>
  <c r="BF83" i="22" s="1"/>
  <c r="BG83" i="3"/>
  <c r="BG83" i="22" s="1"/>
  <c r="BH83" i="3"/>
  <c r="BH83" i="22" s="1"/>
  <c r="BI83" i="3"/>
  <c r="BI83" i="22" s="1"/>
  <c r="BJ83" i="3"/>
  <c r="BJ83" i="22" s="1"/>
  <c r="BK83" i="3"/>
  <c r="BK83" i="22" s="1"/>
  <c r="BL83" i="3"/>
  <c r="BL83" i="22" s="1"/>
  <c r="BM83" i="3"/>
  <c r="BM83" i="22" s="1"/>
  <c r="BN83" i="3"/>
  <c r="BN83" i="22" s="1"/>
  <c r="BO83" i="3"/>
  <c r="BO83" i="22" s="1"/>
  <c r="BP83" i="3"/>
  <c r="BP83" i="22" s="1"/>
  <c r="BQ83" i="3"/>
  <c r="BQ83" i="22" s="1"/>
  <c r="BR83" i="3"/>
  <c r="BR83" i="22" s="1"/>
  <c r="BS83" i="3"/>
  <c r="BS83" i="22" s="1"/>
  <c r="BT83" i="3"/>
  <c r="BT83" i="22" s="1"/>
  <c r="BB84" i="3"/>
  <c r="BB84" i="22" s="1"/>
  <c r="BC84" i="3"/>
  <c r="BC84" i="22" s="1"/>
  <c r="BD84" i="3"/>
  <c r="BD84" i="22" s="1"/>
  <c r="BE84" i="3"/>
  <c r="BE84" i="22" s="1"/>
  <c r="BF84" i="3"/>
  <c r="BF84" i="22" s="1"/>
  <c r="BG84" i="3"/>
  <c r="BG84" i="22" s="1"/>
  <c r="BH84" i="3"/>
  <c r="BH84" i="22" s="1"/>
  <c r="BI84" i="3"/>
  <c r="BI84" i="22" s="1"/>
  <c r="BJ84" i="3"/>
  <c r="BJ84" i="22" s="1"/>
  <c r="BK84" i="3"/>
  <c r="BK84" i="22" s="1"/>
  <c r="BL84" i="3"/>
  <c r="BL84" i="22" s="1"/>
  <c r="BM84" i="3"/>
  <c r="BM84" i="22" s="1"/>
  <c r="BN84" i="3"/>
  <c r="BN84" i="22" s="1"/>
  <c r="BO84" i="3"/>
  <c r="BO84" i="22" s="1"/>
  <c r="BP84" i="3"/>
  <c r="BP84" i="22" s="1"/>
  <c r="BQ84" i="3"/>
  <c r="BQ84" i="22" s="1"/>
  <c r="BR84" i="3"/>
  <c r="BR84" i="22" s="1"/>
  <c r="BS84" i="3"/>
  <c r="BS84" i="22" s="1"/>
  <c r="BT84" i="3"/>
  <c r="BT84" i="22" s="1"/>
  <c r="BB85" i="3"/>
  <c r="BB85" i="22" s="1"/>
  <c r="BC85" i="3"/>
  <c r="BC85" i="22" s="1"/>
  <c r="BD85" i="3"/>
  <c r="BD85" i="22" s="1"/>
  <c r="BE85" i="3"/>
  <c r="BE85" i="22" s="1"/>
  <c r="BF85" i="3"/>
  <c r="BF85" i="22" s="1"/>
  <c r="BG85" i="3"/>
  <c r="BG85" i="22" s="1"/>
  <c r="BH85" i="3"/>
  <c r="BH85" i="22" s="1"/>
  <c r="BI85" i="3"/>
  <c r="BI85" i="22" s="1"/>
  <c r="BJ85" i="3"/>
  <c r="BJ85" i="22" s="1"/>
  <c r="BK85" i="3"/>
  <c r="BK85" i="22" s="1"/>
  <c r="BL85" i="3"/>
  <c r="BL85" i="22" s="1"/>
  <c r="BM85" i="3"/>
  <c r="BM85" i="22" s="1"/>
  <c r="BN85" i="3"/>
  <c r="BN85" i="22" s="1"/>
  <c r="BO85" i="3"/>
  <c r="BO85" i="22" s="1"/>
  <c r="BP85" i="3"/>
  <c r="BP85" i="22" s="1"/>
  <c r="BQ85" i="3"/>
  <c r="BQ85" i="22" s="1"/>
  <c r="BR85" i="3"/>
  <c r="BR85" i="22" s="1"/>
  <c r="BS85" i="3"/>
  <c r="BS85" i="22" s="1"/>
  <c r="BT85" i="3"/>
  <c r="BT85" i="22" s="1"/>
  <c r="BB86" i="3"/>
  <c r="BB86" i="22" s="1"/>
  <c r="BC86" i="3"/>
  <c r="BC86" i="22" s="1"/>
  <c r="BD86" i="3"/>
  <c r="BD86" i="22" s="1"/>
  <c r="BE86" i="3"/>
  <c r="BE86" i="22" s="1"/>
  <c r="BF86" i="3"/>
  <c r="BF86" i="22" s="1"/>
  <c r="BG86" i="3"/>
  <c r="BG86" i="22" s="1"/>
  <c r="BH86" i="3"/>
  <c r="BH86" i="22" s="1"/>
  <c r="BI86" i="3"/>
  <c r="BI86" i="22" s="1"/>
  <c r="BJ86" i="3"/>
  <c r="BJ86" i="22" s="1"/>
  <c r="BK86" i="3"/>
  <c r="BK86" i="22" s="1"/>
  <c r="BL86" i="3"/>
  <c r="BL86" i="22" s="1"/>
  <c r="BM86" i="3"/>
  <c r="BM86" i="22" s="1"/>
  <c r="BN86" i="3"/>
  <c r="BN86" i="22" s="1"/>
  <c r="BO86" i="3"/>
  <c r="BO86" i="22" s="1"/>
  <c r="BP86" i="3"/>
  <c r="BP86" i="22" s="1"/>
  <c r="BQ86" i="3"/>
  <c r="BQ86" i="22" s="1"/>
  <c r="BR86" i="3"/>
  <c r="BR86" i="22" s="1"/>
  <c r="BS86" i="3"/>
  <c r="BS86" i="22" s="1"/>
  <c r="BT86" i="3"/>
  <c r="BT86" i="22" s="1"/>
  <c r="BB87" i="3"/>
  <c r="BB87" i="22" s="1"/>
  <c r="BC87" i="3"/>
  <c r="BC87" i="22" s="1"/>
  <c r="BD87" i="3"/>
  <c r="BD87" i="22" s="1"/>
  <c r="BE87" i="3"/>
  <c r="BE87" i="22" s="1"/>
  <c r="BF87" i="3"/>
  <c r="BF87" i="22" s="1"/>
  <c r="BG87" i="3"/>
  <c r="BG87" i="22" s="1"/>
  <c r="BH87" i="3"/>
  <c r="BH87" i="22" s="1"/>
  <c r="BI87" i="3"/>
  <c r="BI87" i="22" s="1"/>
  <c r="BJ87" i="3"/>
  <c r="BJ87" i="22" s="1"/>
  <c r="BK87" i="3"/>
  <c r="BK87" i="22" s="1"/>
  <c r="BL87" i="3"/>
  <c r="BL87" i="22" s="1"/>
  <c r="BM87" i="3"/>
  <c r="BM87" i="22" s="1"/>
  <c r="BN87" i="3"/>
  <c r="BN87" i="22" s="1"/>
  <c r="BO87" i="3"/>
  <c r="BO87" i="22" s="1"/>
  <c r="BP87" i="3"/>
  <c r="BP87" i="22" s="1"/>
  <c r="BQ87" i="3"/>
  <c r="BQ87" i="22" s="1"/>
  <c r="BR87" i="3"/>
  <c r="BR87" i="22" s="1"/>
  <c r="BS87" i="3"/>
  <c r="BS87" i="22" s="1"/>
  <c r="BT87" i="3"/>
  <c r="BT87" i="22" s="1"/>
  <c r="BB88" i="3"/>
  <c r="BB88" i="22" s="1"/>
  <c r="BC88" i="3"/>
  <c r="BC88" i="22" s="1"/>
  <c r="BD88" i="3"/>
  <c r="BD88" i="22" s="1"/>
  <c r="BE88" i="3"/>
  <c r="BE88" i="22" s="1"/>
  <c r="BF88" i="3"/>
  <c r="BF88" i="22" s="1"/>
  <c r="BG88" i="3"/>
  <c r="BG88" i="22" s="1"/>
  <c r="BH88" i="3"/>
  <c r="BH88" i="22" s="1"/>
  <c r="BI88" i="3"/>
  <c r="BI88" i="22" s="1"/>
  <c r="BJ88" i="3"/>
  <c r="BJ88" i="22" s="1"/>
  <c r="BK88" i="3"/>
  <c r="BK88" i="22" s="1"/>
  <c r="BL88" i="3"/>
  <c r="BL88" i="22" s="1"/>
  <c r="BM88" i="3"/>
  <c r="BM88" i="22" s="1"/>
  <c r="BN88" i="3"/>
  <c r="BN88" i="22" s="1"/>
  <c r="BO88" i="3"/>
  <c r="BO88" i="22" s="1"/>
  <c r="BP88" i="3"/>
  <c r="BP88" i="22" s="1"/>
  <c r="BQ88" i="3"/>
  <c r="BQ88" i="22" s="1"/>
  <c r="BR88" i="3"/>
  <c r="BR88" i="22" s="1"/>
  <c r="BS88" i="3"/>
  <c r="BS88" i="22" s="1"/>
  <c r="BT88" i="3"/>
  <c r="BT88" i="22" s="1"/>
  <c r="BB89" i="3"/>
  <c r="BB89" i="22" s="1"/>
  <c r="BC89" i="3"/>
  <c r="BC89" i="22" s="1"/>
  <c r="BD89" i="3"/>
  <c r="BD89" i="22" s="1"/>
  <c r="BE89" i="3"/>
  <c r="BE89" i="22" s="1"/>
  <c r="BF89" i="3"/>
  <c r="BF89" i="22" s="1"/>
  <c r="BG89" i="3"/>
  <c r="BG89" i="22" s="1"/>
  <c r="BH89" i="3"/>
  <c r="BH89" i="22" s="1"/>
  <c r="BI89" i="3"/>
  <c r="BI89" i="22" s="1"/>
  <c r="BJ89" i="3"/>
  <c r="BJ89" i="22" s="1"/>
  <c r="BK89" i="3"/>
  <c r="BK89" i="22" s="1"/>
  <c r="BL89" i="3"/>
  <c r="BL89" i="22" s="1"/>
  <c r="BM89" i="3"/>
  <c r="BM89" i="22" s="1"/>
  <c r="BN89" i="3"/>
  <c r="BN89" i="22" s="1"/>
  <c r="BO89" i="3"/>
  <c r="BO89" i="22" s="1"/>
  <c r="BP89" i="3"/>
  <c r="BP89" i="22" s="1"/>
  <c r="BQ89" i="3"/>
  <c r="BQ89" i="22" s="1"/>
  <c r="BR89" i="3"/>
  <c r="BR89" i="22" s="1"/>
  <c r="BS89" i="3"/>
  <c r="BS89" i="22" s="1"/>
  <c r="BT89" i="3"/>
  <c r="BT89" i="22" s="1"/>
  <c r="BB90" i="3"/>
  <c r="BB90" i="22" s="1"/>
  <c r="BC90" i="3"/>
  <c r="BC90" i="22" s="1"/>
  <c r="BD90" i="3"/>
  <c r="BD90" i="22" s="1"/>
  <c r="BE90" i="3"/>
  <c r="BE90" i="22" s="1"/>
  <c r="BF90" i="3"/>
  <c r="BF90" i="22" s="1"/>
  <c r="BG90" i="3"/>
  <c r="BG90" i="22" s="1"/>
  <c r="BH90" i="3"/>
  <c r="BH90" i="22" s="1"/>
  <c r="BI90" i="3"/>
  <c r="BI90" i="22" s="1"/>
  <c r="BJ90" i="3"/>
  <c r="BJ90" i="22" s="1"/>
  <c r="BK90" i="3"/>
  <c r="BK90" i="22" s="1"/>
  <c r="BL90" i="3"/>
  <c r="BL90" i="22" s="1"/>
  <c r="BM90" i="3"/>
  <c r="BM90" i="22" s="1"/>
  <c r="BN90" i="3"/>
  <c r="BN90" i="22" s="1"/>
  <c r="BO90" i="3"/>
  <c r="BO90" i="22" s="1"/>
  <c r="BP90" i="3"/>
  <c r="BP90" i="22" s="1"/>
  <c r="BQ90" i="3"/>
  <c r="BQ90" i="22" s="1"/>
  <c r="BR90" i="3"/>
  <c r="BR90" i="22" s="1"/>
  <c r="BS90" i="3"/>
  <c r="BS90" i="22" s="1"/>
  <c r="BT90" i="3"/>
  <c r="BT90" i="22" s="1"/>
  <c r="BB91" i="3"/>
  <c r="BB91" i="22" s="1"/>
  <c r="BC91" i="3"/>
  <c r="BC91" i="22" s="1"/>
  <c r="BD91" i="3"/>
  <c r="BD91" i="22" s="1"/>
  <c r="BE91" i="3"/>
  <c r="BE91" i="22" s="1"/>
  <c r="BF91" i="3"/>
  <c r="BF91" i="22" s="1"/>
  <c r="BG91" i="3"/>
  <c r="BG91" i="22" s="1"/>
  <c r="BH91" i="3"/>
  <c r="BH91" i="22" s="1"/>
  <c r="BI91" i="3"/>
  <c r="BI91" i="22" s="1"/>
  <c r="BJ91" i="3"/>
  <c r="BJ91" i="22" s="1"/>
  <c r="BK91" i="3"/>
  <c r="BK91" i="22" s="1"/>
  <c r="BL91" i="3"/>
  <c r="BL91" i="22" s="1"/>
  <c r="BM91" i="3"/>
  <c r="BM91" i="22" s="1"/>
  <c r="BN91" i="3"/>
  <c r="BN91" i="22" s="1"/>
  <c r="BO91" i="3"/>
  <c r="BO91" i="22" s="1"/>
  <c r="BP91" i="3"/>
  <c r="BP91" i="22" s="1"/>
  <c r="BQ91" i="3"/>
  <c r="BQ91" i="22" s="1"/>
  <c r="BR91" i="3"/>
  <c r="BR91" i="22" s="1"/>
  <c r="BS91" i="3"/>
  <c r="BS91" i="22" s="1"/>
  <c r="BT91" i="3"/>
  <c r="BT91" i="22" s="1"/>
  <c r="BB92" i="3"/>
  <c r="BB92" i="22" s="1"/>
  <c r="BC92" i="3"/>
  <c r="BC92" i="22" s="1"/>
  <c r="BD92" i="3"/>
  <c r="BD92" i="22" s="1"/>
  <c r="BE92" i="3"/>
  <c r="BE92" i="22" s="1"/>
  <c r="BF92" i="3"/>
  <c r="BF92" i="22" s="1"/>
  <c r="BG92" i="3"/>
  <c r="BG92" i="22" s="1"/>
  <c r="BH92" i="3"/>
  <c r="BH92" i="22" s="1"/>
  <c r="BI92" i="3"/>
  <c r="BI92" i="22" s="1"/>
  <c r="BJ92" i="3"/>
  <c r="BJ92" i="22" s="1"/>
  <c r="BK92" i="3"/>
  <c r="BK92" i="22" s="1"/>
  <c r="BL92" i="3"/>
  <c r="BL92" i="22" s="1"/>
  <c r="BM92" i="3"/>
  <c r="BM92" i="22" s="1"/>
  <c r="BN92" i="3"/>
  <c r="BN92" i="22" s="1"/>
  <c r="BO92" i="3"/>
  <c r="BO92" i="22" s="1"/>
  <c r="BP92" i="3"/>
  <c r="BP92" i="22" s="1"/>
  <c r="BQ92" i="3"/>
  <c r="BQ92" i="22" s="1"/>
  <c r="BR92" i="3"/>
  <c r="BR92" i="22" s="1"/>
  <c r="BS92" i="3"/>
  <c r="BS92" i="22" s="1"/>
  <c r="BT92" i="3"/>
  <c r="BT92" i="22" s="1"/>
  <c r="BB93" i="3"/>
  <c r="BB93" i="22" s="1"/>
  <c r="BC93" i="3"/>
  <c r="BC93" i="22" s="1"/>
  <c r="BD93" i="3"/>
  <c r="BD93" i="22" s="1"/>
  <c r="BE93" i="3"/>
  <c r="BE93" i="22" s="1"/>
  <c r="BF93" i="3"/>
  <c r="BF93" i="22" s="1"/>
  <c r="BG93" i="3"/>
  <c r="BG93" i="22" s="1"/>
  <c r="BH93" i="3"/>
  <c r="BH93" i="22" s="1"/>
  <c r="BI93" i="3"/>
  <c r="BI93" i="22" s="1"/>
  <c r="BJ93" i="3"/>
  <c r="BJ93" i="22" s="1"/>
  <c r="BK93" i="3"/>
  <c r="BK93" i="22" s="1"/>
  <c r="BL93" i="3"/>
  <c r="BL93" i="22" s="1"/>
  <c r="BM93" i="3"/>
  <c r="BM93" i="22" s="1"/>
  <c r="BN93" i="3"/>
  <c r="BN93" i="22" s="1"/>
  <c r="BO93" i="3"/>
  <c r="BO93" i="22" s="1"/>
  <c r="BP93" i="3"/>
  <c r="BP93" i="22" s="1"/>
  <c r="BQ93" i="3"/>
  <c r="BQ93" i="22" s="1"/>
  <c r="BR93" i="3"/>
  <c r="BR93" i="22" s="1"/>
  <c r="BS93" i="3"/>
  <c r="BS93" i="22" s="1"/>
  <c r="BT93" i="3"/>
  <c r="BT93" i="22" s="1"/>
  <c r="BB94" i="3"/>
  <c r="BB94" i="22" s="1"/>
  <c r="BC94" i="3"/>
  <c r="BC94" i="22" s="1"/>
  <c r="BD94" i="3"/>
  <c r="BD94" i="22" s="1"/>
  <c r="BE94" i="3"/>
  <c r="BE94" i="22" s="1"/>
  <c r="BF94" i="3"/>
  <c r="BF94" i="22" s="1"/>
  <c r="BG94" i="3"/>
  <c r="BG94" i="22" s="1"/>
  <c r="BH94" i="3"/>
  <c r="BH94" i="22" s="1"/>
  <c r="BI94" i="3"/>
  <c r="BI94" i="22" s="1"/>
  <c r="BJ94" i="3"/>
  <c r="BJ94" i="22" s="1"/>
  <c r="BK94" i="3"/>
  <c r="BK94" i="22" s="1"/>
  <c r="BL94" i="3"/>
  <c r="BL94" i="22" s="1"/>
  <c r="BM94" i="3"/>
  <c r="BM94" i="22" s="1"/>
  <c r="BN94" i="3"/>
  <c r="BN94" i="22" s="1"/>
  <c r="BO94" i="3"/>
  <c r="BO94" i="22" s="1"/>
  <c r="BP94" i="3"/>
  <c r="BP94" i="22" s="1"/>
  <c r="BQ94" i="3"/>
  <c r="BQ94" i="22" s="1"/>
  <c r="BR94" i="3"/>
  <c r="BR94" i="22" s="1"/>
  <c r="BS94" i="3"/>
  <c r="BS94" i="22" s="1"/>
  <c r="BT94" i="3"/>
  <c r="BT94" i="22" s="1"/>
  <c r="BB95" i="3"/>
  <c r="BB95" i="22" s="1"/>
  <c r="BC95" i="3"/>
  <c r="BC95" i="22" s="1"/>
  <c r="BD95" i="3"/>
  <c r="BD95" i="22" s="1"/>
  <c r="BE95" i="3"/>
  <c r="BE95" i="22" s="1"/>
  <c r="BF95" i="3"/>
  <c r="BF95" i="22" s="1"/>
  <c r="BG95" i="3"/>
  <c r="BG95" i="22" s="1"/>
  <c r="BH95" i="3"/>
  <c r="BH95" i="22" s="1"/>
  <c r="BI95" i="3"/>
  <c r="BI95" i="22" s="1"/>
  <c r="BJ95" i="3"/>
  <c r="BJ95" i="22" s="1"/>
  <c r="BK95" i="3"/>
  <c r="BK95" i="22" s="1"/>
  <c r="BL95" i="3"/>
  <c r="BL95" i="22" s="1"/>
  <c r="BM95" i="3"/>
  <c r="BM95" i="22" s="1"/>
  <c r="BN95" i="3"/>
  <c r="BN95" i="22" s="1"/>
  <c r="BO95" i="3"/>
  <c r="BO95" i="22" s="1"/>
  <c r="BP95" i="3"/>
  <c r="BP95" i="22" s="1"/>
  <c r="BQ95" i="3"/>
  <c r="BQ95" i="22" s="1"/>
  <c r="BR95" i="3"/>
  <c r="BR95" i="22" s="1"/>
  <c r="BS95" i="3"/>
  <c r="BS95" i="22" s="1"/>
  <c r="BT95" i="3"/>
  <c r="BT95" i="22" s="1"/>
  <c r="BB96" i="3"/>
  <c r="BB96" i="22" s="1"/>
  <c r="BC96" i="3"/>
  <c r="BC96" i="22" s="1"/>
  <c r="BD96" i="3"/>
  <c r="BD96" i="22" s="1"/>
  <c r="BE96" i="3"/>
  <c r="BE96" i="22" s="1"/>
  <c r="BF96" i="3"/>
  <c r="BF96" i="22" s="1"/>
  <c r="BG96" i="3"/>
  <c r="BG96" i="22" s="1"/>
  <c r="BH96" i="3"/>
  <c r="BH96" i="22" s="1"/>
  <c r="BI96" i="3"/>
  <c r="BI96" i="22" s="1"/>
  <c r="BJ96" i="3"/>
  <c r="BJ96" i="22" s="1"/>
  <c r="BK96" i="3"/>
  <c r="BK96" i="22" s="1"/>
  <c r="BL96" i="3"/>
  <c r="BL96" i="22" s="1"/>
  <c r="BM96" i="3"/>
  <c r="BM96" i="22" s="1"/>
  <c r="BN96" i="3"/>
  <c r="BN96" i="22" s="1"/>
  <c r="BO96" i="3"/>
  <c r="BO96" i="22" s="1"/>
  <c r="BP96" i="3"/>
  <c r="BP96" i="22" s="1"/>
  <c r="BQ96" i="3"/>
  <c r="BQ96" i="22" s="1"/>
  <c r="BR96" i="3"/>
  <c r="BR96" i="22" s="1"/>
  <c r="BS96" i="3"/>
  <c r="BS96" i="22" s="1"/>
  <c r="BT96" i="3"/>
  <c r="BT96" i="22" s="1"/>
  <c r="BB97" i="3"/>
  <c r="BB97" i="22" s="1"/>
  <c r="BC97" i="3"/>
  <c r="BC97" i="22" s="1"/>
  <c r="BD97" i="3"/>
  <c r="BD97" i="22" s="1"/>
  <c r="BE97" i="3"/>
  <c r="BE97" i="22" s="1"/>
  <c r="BF97" i="3"/>
  <c r="BF97" i="22" s="1"/>
  <c r="BG97" i="3"/>
  <c r="BG97" i="22" s="1"/>
  <c r="BH97" i="3"/>
  <c r="BH97" i="22" s="1"/>
  <c r="BI97" i="3"/>
  <c r="BI97" i="22" s="1"/>
  <c r="BJ97" i="3"/>
  <c r="BJ97" i="22" s="1"/>
  <c r="BK97" i="3"/>
  <c r="BK97" i="22" s="1"/>
  <c r="BL97" i="3"/>
  <c r="BL97" i="22" s="1"/>
  <c r="BM97" i="3"/>
  <c r="BM97" i="22" s="1"/>
  <c r="BN97" i="3"/>
  <c r="BN97" i="22" s="1"/>
  <c r="BO97" i="3"/>
  <c r="BO97" i="22" s="1"/>
  <c r="BP97" i="3"/>
  <c r="BP97" i="22" s="1"/>
  <c r="BQ97" i="3"/>
  <c r="BQ97" i="22" s="1"/>
  <c r="BR97" i="3"/>
  <c r="BR97" i="22" s="1"/>
  <c r="BS97" i="3"/>
  <c r="BS97" i="22" s="1"/>
  <c r="BT97" i="3"/>
  <c r="BT97" i="22" s="1"/>
  <c r="BB98" i="3"/>
  <c r="BB98" i="22" s="1"/>
  <c r="BC98" i="3"/>
  <c r="BC98" i="22" s="1"/>
  <c r="BD98" i="3"/>
  <c r="BD98" i="22" s="1"/>
  <c r="BE98" i="3"/>
  <c r="BE98" i="22" s="1"/>
  <c r="BF98" i="3"/>
  <c r="BF98" i="22" s="1"/>
  <c r="BG98" i="3"/>
  <c r="BG98" i="22" s="1"/>
  <c r="BH98" i="3"/>
  <c r="BH98" i="22" s="1"/>
  <c r="BI98" i="3"/>
  <c r="BI98" i="22" s="1"/>
  <c r="BJ98" i="3"/>
  <c r="BJ98" i="22" s="1"/>
  <c r="BK98" i="3"/>
  <c r="BK98" i="22" s="1"/>
  <c r="BL98" i="3"/>
  <c r="BL98" i="22" s="1"/>
  <c r="BM98" i="3"/>
  <c r="BM98" i="22" s="1"/>
  <c r="BN98" i="3"/>
  <c r="BN98" i="22" s="1"/>
  <c r="BO98" i="3"/>
  <c r="BO98" i="22" s="1"/>
  <c r="BP98" i="3"/>
  <c r="BP98" i="22" s="1"/>
  <c r="BQ98" i="3"/>
  <c r="BQ98" i="22" s="1"/>
  <c r="BR98" i="3"/>
  <c r="BR98" i="22" s="1"/>
  <c r="BS98" i="3"/>
  <c r="BS98" i="22" s="1"/>
  <c r="BT98" i="3"/>
  <c r="BT98" i="22" s="1"/>
  <c r="BB99" i="3"/>
  <c r="BB99" i="22" s="1"/>
  <c r="BC99" i="3"/>
  <c r="BC99" i="22" s="1"/>
  <c r="BD99" i="3"/>
  <c r="BD99" i="22" s="1"/>
  <c r="BE99" i="3"/>
  <c r="BE99" i="22" s="1"/>
  <c r="BF99" i="3"/>
  <c r="BF99" i="22" s="1"/>
  <c r="BG99" i="3"/>
  <c r="BG99" i="22" s="1"/>
  <c r="BH99" i="3"/>
  <c r="BH99" i="22" s="1"/>
  <c r="BI99" i="3"/>
  <c r="BI99" i="22" s="1"/>
  <c r="BJ99" i="3"/>
  <c r="BJ99" i="22" s="1"/>
  <c r="BK99" i="3"/>
  <c r="BK99" i="22" s="1"/>
  <c r="BL99" i="3"/>
  <c r="BL99" i="22" s="1"/>
  <c r="BM99" i="3"/>
  <c r="BM99" i="22" s="1"/>
  <c r="BN99" i="3"/>
  <c r="BN99" i="22" s="1"/>
  <c r="BO99" i="3"/>
  <c r="BO99" i="22" s="1"/>
  <c r="BP99" i="3"/>
  <c r="BP99" i="22" s="1"/>
  <c r="BQ99" i="3"/>
  <c r="BQ99" i="22" s="1"/>
  <c r="BR99" i="3"/>
  <c r="BR99" i="22" s="1"/>
  <c r="BS99" i="3"/>
  <c r="BS99" i="22" s="1"/>
  <c r="BT99" i="3"/>
  <c r="BT99" i="22" s="1"/>
  <c r="BB100" i="3"/>
  <c r="BB100" i="22" s="1"/>
  <c r="BC100" i="3"/>
  <c r="BC100" i="22" s="1"/>
  <c r="BD100" i="3"/>
  <c r="BD100" i="22" s="1"/>
  <c r="BE100" i="3"/>
  <c r="BE100" i="22" s="1"/>
  <c r="BF100" i="3"/>
  <c r="BF100" i="22" s="1"/>
  <c r="BG100" i="3"/>
  <c r="BG100" i="22" s="1"/>
  <c r="BH100" i="3"/>
  <c r="BH100" i="22" s="1"/>
  <c r="BI100" i="3"/>
  <c r="BI100" i="22" s="1"/>
  <c r="BJ100" i="3"/>
  <c r="BJ100" i="22" s="1"/>
  <c r="BK100" i="3"/>
  <c r="BK100" i="22" s="1"/>
  <c r="BL100" i="3"/>
  <c r="BL100" i="22" s="1"/>
  <c r="BM100" i="3"/>
  <c r="BM100" i="22" s="1"/>
  <c r="BN100" i="3"/>
  <c r="BN100" i="22" s="1"/>
  <c r="BO100" i="3"/>
  <c r="BO100" i="22" s="1"/>
  <c r="BP100" i="3"/>
  <c r="BP100" i="22" s="1"/>
  <c r="BQ100" i="3"/>
  <c r="BQ100" i="22" s="1"/>
  <c r="BR100" i="3"/>
  <c r="BR100" i="22" s="1"/>
  <c r="BS100" i="3"/>
  <c r="BS100" i="22" s="1"/>
  <c r="BT100" i="3"/>
  <c r="BT100" i="22" s="1"/>
  <c r="BB101" i="3"/>
  <c r="BB101" i="22" s="1"/>
  <c r="BC101" i="3"/>
  <c r="BC101" i="22" s="1"/>
  <c r="BD101" i="3"/>
  <c r="BD101" i="22" s="1"/>
  <c r="BE101" i="3"/>
  <c r="BE101" i="22" s="1"/>
  <c r="BF101" i="3"/>
  <c r="BF101" i="22" s="1"/>
  <c r="BG101" i="3"/>
  <c r="BG101" i="22" s="1"/>
  <c r="BH101" i="3"/>
  <c r="BH101" i="22" s="1"/>
  <c r="BI101" i="3"/>
  <c r="BI101" i="22" s="1"/>
  <c r="BJ101" i="3"/>
  <c r="BJ101" i="22" s="1"/>
  <c r="BK101" i="3"/>
  <c r="BK101" i="22" s="1"/>
  <c r="BL101" i="3"/>
  <c r="BL101" i="22" s="1"/>
  <c r="BM101" i="3"/>
  <c r="BM101" i="22" s="1"/>
  <c r="BN101" i="3"/>
  <c r="BN101" i="22" s="1"/>
  <c r="BO101" i="3"/>
  <c r="BO101" i="22" s="1"/>
  <c r="BP101" i="3"/>
  <c r="BP101" i="22" s="1"/>
  <c r="BQ101" i="3"/>
  <c r="BQ101" i="22" s="1"/>
  <c r="BR101" i="3"/>
  <c r="BR101" i="22" s="1"/>
  <c r="BS101" i="3"/>
  <c r="BS101" i="22" s="1"/>
  <c r="BT101" i="3"/>
  <c r="BT101" i="22" s="1"/>
  <c r="BB102" i="3"/>
  <c r="BB102" i="22" s="1"/>
  <c r="BC102" i="3"/>
  <c r="BC102" i="22" s="1"/>
  <c r="BD102" i="3"/>
  <c r="BD102" i="22" s="1"/>
  <c r="BE102" i="3"/>
  <c r="BE102" i="22" s="1"/>
  <c r="BF102" i="3"/>
  <c r="BF102" i="22" s="1"/>
  <c r="BG102" i="3"/>
  <c r="BG102" i="22" s="1"/>
  <c r="BH102" i="3"/>
  <c r="BH102" i="22" s="1"/>
  <c r="BI102" i="3"/>
  <c r="BI102" i="22" s="1"/>
  <c r="BJ102" i="3"/>
  <c r="BJ102" i="22" s="1"/>
  <c r="BK102" i="3"/>
  <c r="BK102" i="22" s="1"/>
  <c r="BL102" i="3"/>
  <c r="BL102" i="22" s="1"/>
  <c r="BM102" i="3"/>
  <c r="BM102" i="22" s="1"/>
  <c r="BN102" i="3"/>
  <c r="BN102" i="22" s="1"/>
  <c r="BO102" i="3"/>
  <c r="BO102" i="22" s="1"/>
  <c r="BP102" i="3"/>
  <c r="BP102" i="22" s="1"/>
  <c r="BQ102" i="3"/>
  <c r="BQ102" i="22" s="1"/>
  <c r="BR102" i="3"/>
  <c r="BR102" i="22" s="1"/>
  <c r="BS102" i="3"/>
  <c r="BS102" i="22" s="1"/>
  <c r="BT102" i="3"/>
  <c r="BT102" i="22" s="1"/>
  <c r="BB103" i="3"/>
  <c r="BB103" i="22" s="1"/>
  <c r="BC103" i="3"/>
  <c r="BC103" i="22" s="1"/>
  <c r="BD103" i="3"/>
  <c r="BD103" i="22" s="1"/>
  <c r="BE103" i="3"/>
  <c r="BE103" i="22" s="1"/>
  <c r="BF103" i="3"/>
  <c r="BF103" i="22" s="1"/>
  <c r="BG103" i="3"/>
  <c r="BG103" i="22" s="1"/>
  <c r="BH103" i="3"/>
  <c r="BH103" i="22" s="1"/>
  <c r="BI103" i="3"/>
  <c r="BI103" i="22" s="1"/>
  <c r="BJ103" i="3"/>
  <c r="BJ103" i="22" s="1"/>
  <c r="BK103" i="3"/>
  <c r="BK103" i="22" s="1"/>
  <c r="BL103" i="3"/>
  <c r="BL103" i="22" s="1"/>
  <c r="BM103" i="3"/>
  <c r="BM103" i="22" s="1"/>
  <c r="BN103" i="3"/>
  <c r="BN103" i="22" s="1"/>
  <c r="BO103" i="3"/>
  <c r="BO103" i="22" s="1"/>
  <c r="BP103" i="3"/>
  <c r="BP103" i="22" s="1"/>
  <c r="BQ103" i="3"/>
  <c r="BQ103" i="22" s="1"/>
  <c r="BR103" i="3"/>
  <c r="BR103" i="22" s="1"/>
  <c r="BS103" i="3"/>
  <c r="BS103" i="22" s="1"/>
  <c r="BT103" i="3"/>
  <c r="BT103" i="22" s="1"/>
  <c r="BB104" i="3"/>
  <c r="BB104" i="22" s="1"/>
  <c r="BC104" i="3"/>
  <c r="BC104" i="22" s="1"/>
  <c r="BD104" i="3"/>
  <c r="BD104" i="22" s="1"/>
  <c r="BE104" i="3"/>
  <c r="BE104" i="22" s="1"/>
  <c r="BF104" i="3"/>
  <c r="BF104" i="22" s="1"/>
  <c r="BG104" i="3"/>
  <c r="BG104" i="22" s="1"/>
  <c r="BH104" i="3"/>
  <c r="BH104" i="22" s="1"/>
  <c r="BI104" i="3"/>
  <c r="BI104" i="22" s="1"/>
  <c r="BJ104" i="3"/>
  <c r="BJ104" i="22" s="1"/>
  <c r="BK104" i="3"/>
  <c r="BK104" i="22" s="1"/>
  <c r="BL104" i="3"/>
  <c r="BL104" i="22" s="1"/>
  <c r="BM104" i="3"/>
  <c r="BM104" i="22" s="1"/>
  <c r="BN104" i="3"/>
  <c r="BN104" i="22" s="1"/>
  <c r="BO104" i="3"/>
  <c r="BO104" i="22" s="1"/>
  <c r="BP104" i="3"/>
  <c r="BP104" i="22" s="1"/>
  <c r="BQ104" i="3"/>
  <c r="BQ104" i="22" s="1"/>
  <c r="BR104" i="3"/>
  <c r="BR104" i="22" s="1"/>
  <c r="BS104" i="3"/>
  <c r="BS104" i="22" s="1"/>
  <c r="BT104" i="3"/>
  <c r="BT104" i="22" s="1"/>
  <c r="BB105" i="3"/>
  <c r="BB105" i="22" s="1"/>
  <c r="BC105" i="3"/>
  <c r="BC105" i="22" s="1"/>
  <c r="BD105" i="3"/>
  <c r="BD105" i="22" s="1"/>
  <c r="BE105" i="3"/>
  <c r="BE105" i="22" s="1"/>
  <c r="BF105" i="3"/>
  <c r="BF105" i="22" s="1"/>
  <c r="BG105" i="3"/>
  <c r="BG105" i="22" s="1"/>
  <c r="BH105" i="3"/>
  <c r="BH105" i="22" s="1"/>
  <c r="BI105" i="3"/>
  <c r="BI105" i="22" s="1"/>
  <c r="BJ105" i="3"/>
  <c r="BJ105" i="22" s="1"/>
  <c r="BK105" i="3"/>
  <c r="BK105" i="22" s="1"/>
  <c r="BL105" i="3"/>
  <c r="BL105" i="22" s="1"/>
  <c r="BM105" i="3"/>
  <c r="BM105" i="22" s="1"/>
  <c r="BN105" i="3"/>
  <c r="BN105" i="22" s="1"/>
  <c r="BO105" i="3"/>
  <c r="BO105" i="22" s="1"/>
  <c r="BP105" i="3"/>
  <c r="BP105" i="22" s="1"/>
  <c r="BQ105" i="3"/>
  <c r="BQ105" i="22" s="1"/>
  <c r="BR105" i="3"/>
  <c r="BR105" i="22" s="1"/>
  <c r="BS105" i="3"/>
  <c r="BS105" i="22" s="1"/>
  <c r="BT105" i="3"/>
  <c r="BT105" i="22" s="1"/>
  <c r="BB106" i="3"/>
  <c r="BB106" i="22" s="1"/>
  <c r="BC106" i="3"/>
  <c r="BC106" i="22" s="1"/>
  <c r="BD106" i="3"/>
  <c r="BD106" i="22" s="1"/>
  <c r="BE106" i="3"/>
  <c r="BE106" i="22" s="1"/>
  <c r="BF106" i="3"/>
  <c r="BF106" i="22" s="1"/>
  <c r="BG106" i="3"/>
  <c r="BG106" i="22" s="1"/>
  <c r="BH106" i="3"/>
  <c r="BH106" i="22" s="1"/>
  <c r="BI106" i="3"/>
  <c r="BI106" i="22" s="1"/>
  <c r="BJ106" i="3"/>
  <c r="BJ106" i="22" s="1"/>
  <c r="BK106" i="3"/>
  <c r="BK106" i="22" s="1"/>
  <c r="BL106" i="3"/>
  <c r="BL106" i="22" s="1"/>
  <c r="BM106" i="3"/>
  <c r="BM106" i="22" s="1"/>
  <c r="BN106" i="3"/>
  <c r="BN106" i="22" s="1"/>
  <c r="BO106" i="3"/>
  <c r="BO106" i="22" s="1"/>
  <c r="BP106" i="3"/>
  <c r="BP106" i="22" s="1"/>
  <c r="BQ106" i="3"/>
  <c r="BQ106" i="22" s="1"/>
  <c r="BR106" i="3"/>
  <c r="BR106" i="22" s="1"/>
  <c r="BS106" i="3"/>
  <c r="BS106" i="22" s="1"/>
  <c r="BT106" i="3"/>
  <c r="BT106" i="22" s="1"/>
  <c r="BB107" i="3"/>
  <c r="BB107" i="22" s="1"/>
  <c r="BC107" i="3"/>
  <c r="BC107" i="22" s="1"/>
  <c r="BD107" i="3"/>
  <c r="BD107" i="22" s="1"/>
  <c r="BE107" i="3"/>
  <c r="BE107" i="22" s="1"/>
  <c r="BF107" i="3"/>
  <c r="BF107" i="22" s="1"/>
  <c r="BG107" i="3"/>
  <c r="BG107" i="22" s="1"/>
  <c r="BH107" i="3"/>
  <c r="BH107" i="22" s="1"/>
  <c r="BI107" i="3"/>
  <c r="BI107" i="22" s="1"/>
  <c r="BJ107" i="3"/>
  <c r="BJ107" i="22" s="1"/>
  <c r="BK107" i="3"/>
  <c r="BK107" i="22" s="1"/>
  <c r="BL107" i="3"/>
  <c r="BL107" i="22" s="1"/>
  <c r="BM107" i="3"/>
  <c r="BM107" i="22" s="1"/>
  <c r="BN107" i="3"/>
  <c r="BN107" i="22" s="1"/>
  <c r="BO107" i="3"/>
  <c r="BO107" i="22" s="1"/>
  <c r="BP107" i="3"/>
  <c r="BP107" i="22" s="1"/>
  <c r="BQ107" i="3"/>
  <c r="BQ107" i="22" s="1"/>
  <c r="BR107" i="3"/>
  <c r="BR107" i="22" s="1"/>
  <c r="BS107" i="3"/>
  <c r="BS107" i="22" s="1"/>
  <c r="BT107" i="3"/>
  <c r="BT107" i="22" s="1"/>
  <c r="BB108" i="3"/>
  <c r="BB108" i="22" s="1"/>
  <c r="BC108" i="3"/>
  <c r="BC108" i="22" s="1"/>
  <c r="BD108" i="3"/>
  <c r="BD108" i="22" s="1"/>
  <c r="BE108" i="3"/>
  <c r="BE108" i="22" s="1"/>
  <c r="BF108" i="3"/>
  <c r="BF108" i="22" s="1"/>
  <c r="BG108" i="3"/>
  <c r="BG108" i="22" s="1"/>
  <c r="BH108" i="3"/>
  <c r="BH108" i="22" s="1"/>
  <c r="BI108" i="3"/>
  <c r="BI108" i="22" s="1"/>
  <c r="BJ108" i="3"/>
  <c r="BJ108" i="22" s="1"/>
  <c r="BK108" i="3"/>
  <c r="BK108" i="22" s="1"/>
  <c r="BL108" i="3"/>
  <c r="BL108" i="22" s="1"/>
  <c r="BM108" i="3"/>
  <c r="BM108" i="22" s="1"/>
  <c r="BN108" i="3"/>
  <c r="BN108" i="22" s="1"/>
  <c r="BO108" i="3"/>
  <c r="BO108" i="22" s="1"/>
  <c r="BP108" i="3"/>
  <c r="BP108" i="22" s="1"/>
  <c r="BQ108" i="3"/>
  <c r="BQ108" i="22" s="1"/>
  <c r="BR108" i="3"/>
  <c r="BR108" i="22" s="1"/>
  <c r="BS108" i="3"/>
  <c r="BS108" i="22" s="1"/>
  <c r="BT108" i="3"/>
  <c r="BT108" i="22" s="1"/>
  <c r="BB109" i="3"/>
  <c r="BB109" i="22" s="1"/>
  <c r="BC109" i="3"/>
  <c r="BC109" i="22" s="1"/>
  <c r="BD109" i="3"/>
  <c r="BD109" i="22" s="1"/>
  <c r="BE109" i="3"/>
  <c r="BE109" i="22" s="1"/>
  <c r="BF109" i="3"/>
  <c r="BF109" i="22" s="1"/>
  <c r="BG109" i="3"/>
  <c r="BG109" i="22" s="1"/>
  <c r="BH109" i="3"/>
  <c r="BH109" i="22" s="1"/>
  <c r="BI109" i="3"/>
  <c r="BI109" i="22" s="1"/>
  <c r="BJ109" i="3"/>
  <c r="BJ109" i="22" s="1"/>
  <c r="BK109" i="3"/>
  <c r="BK109" i="22" s="1"/>
  <c r="BL109" i="3"/>
  <c r="BL109" i="22" s="1"/>
  <c r="BM109" i="3"/>
  <c r="BM109" i="22" s="1"/>
  <c r="BN109" i="3"/>
  <c r="BN109" i="22" s="1"/>
  <c r="BO109" i="3"/>
  <c r="BO109" i="22" s="1"/>
  <c r="BP109" i="3"/>
  <c r="BP109" i="22" s="1"/>
  <c r="BQ109" i="3"/>
  <c r="BQ109" i="22" s="1"/>
  <c r="BR109" i="3"/>
  <c r="BR109" i="22" s="1"/>
  <c r="BS109" i="3"/>
  <c r="BS109" i="22" s="1"/>
  <c r="BT109" i="3"/>
  <c r="BT109" i="22" s="1"/>
  <c r="BB110" i="3"/>
  <c r="BB110" i="22" s="1"/>
  <c r="BC110" i="3"/>
  <c r="BC110" i="22" s="1"/>
  <c r="BD110" i="3"/>
  <c r="BD110" i="22" s="1"/>
  <c r="BE110" i="3"/>
  <c r="BE110" i="22" s="1"/>
  <c r="BF110" i="3"/>
  <c r="BF110" i="22" s="1"/>
  <c r="BG110" i="3"/>
  <c r="BG110" i="22" s="1"/>
  <c r="BH110" i="3"/>
  <c r="BH110" i="22" s="1"/>
  <c r="BI110" i="3"/>
  <c r="BI110" i="22" s="1"/>
  <c r="BJ110" i="3"/>
  <c r="BJ110" i="22" s="1"/>
  <c r="BK110" i="3"/>
  <c r="BK110" i="22" s="1"/>
  <c r="BL110" i="3"/>
  <c r="BL110" i="22" s="1"/>
  <c r="BM110" i="3"/>
  <c r="BM110" i="22" s="1"/>
  <c r="BN110" i="3"/>
  <c r="BN110" i="22" s="1"/>
  <c r="BO110" i="3"/>
  <c r="BO110" i="22" s="1"/>
  <c r="BP110" i="3"/>
  <c r="BP110" i="22" s="1"/>
  <c r="BQ110" i="3"/>
  <c r="BQ110" i="22" s="1"/>
  <c r="BR110" i="3"/>
  <c r="BR110" i="22" s="1"/>
  <c r="BS110" i="3"/>
  <c r="BS110" i="22" s="1"/>
  <c r="BT110" i="3"/>
  <c r="BT110" i="22" s="1"/>
  <c r="BB111" i="3"/>
  <c r="BB111" i="22" s="1"/>
  <c r="BC111" i="3"/>
  <c r="BC111" i="22" s="1"/>
  <c r="BD111" i="3"/>
  <c r="BD111" i="22" s="1"/>
  <c r="BE111" i="3"/>
  <c r="BE111" i="22" s="1"/>
  <c r="BF111" i="3"/>
  <c r="BF111" i="22" s="1"/>
  <c r="BG111" i="3"/>
  <c r="BG111" i="22" s="1"/>
  <c r="BH111" i="3"/>
  <c r="BH111" i="22" s="1"/>
  <c r="BI111" i="3"/>
  <c r="BI111" i="22" s="1"/>
  <c r="BJ111" i="3"/>
  <c r="BJ111" i="22" s="1"/>
  <c r="BK111" i="3"/>
  <c r="BK111" i="22" s="1"/>
  <c r="BL111" i="3"/>
  <c r="BL111" i="22" s="1"/>
  <c r="BM111" i="3"/>
  <c r="BM111" i="22" s="1"/>
  <c r="BN111" i="3"/>
  <c r="BN111" i="22" s="1"/>
  <c r="BO111" i="3"/>
  <c r="BO111" i="22" s="1"/>
  <c r="BP111" i="3"/>
  <c r="BP111" i="22" s="1"/>
  <c r="BQ111" i="3"/>
  <c r="BQ111" i="22" s="1"/>
  <c r="BR111" i="3"/>
  <c r="BR111" i="22" s="1"/>
  <c r="BS111" i="3"/>
  <c r="BS111" i="22" s="1"/>
  <c r="BT111" i="3"/>
  <c r="BT111" i="22" s="1"/>
  <c r="BB112" i="3"/>
  <c r="BB112" i="22" s="1"/>
  <c r="BC112" i="3"/>
  <c r="BC112" i="22" s="1"/>
  <c r="BD112" i="3"/>
  <c r="BD112" i="22" s="1"/>
  <c r="BE112" i="3"/>
  <c r="BE112" i="22" s="1"/>
  <c r="BF112" i="3"/>
  <c r="BF112" i="22" s="1"/>
  <c r="BG112" i="3"/>
  <c r="BG112" i="22" s="1"/>
  <c r="BH112" i="3"/>
  <c r="BH112" i="22" s="1"/>
  <c r="BI112" i="3"/>
  <c r="BI112" i="22" s="1"/>
  <c r="BJ112" i="3"/>
  <c r="BJ112" i="22" s="1"/>
  <c r="BK112" i="3"/>
  <c r="BK112" i="22" s="1"/>
  <c r="BL112" i="3"/>
  <c r="BL112" i="22" s="1"/>
  <c r="BM112" i="3"/>
  <c r="BM112" i="22" s="1"/>
  <c r="BN112" i="3"/>
  <c r="BN112" i="22" s="1"/>
  <c r="BO112" i="3"/>
  <c r="BO112" i="22" s="1"/>
  <c r="BP112" i="3"/>
  <c r="BP112" i="22" s="1"/>
  <c r="BQ112" i="3"/>
  <c r="BQ112" i="22" s="1"/>
  <c r="BR112" i="3"/>
  <c r="BR112" i="22" s="1"/>
  <c r="BS112" i="3"/>
  <c r="BS112" i="22" s="1"/>
  <c r="BT112" i="3"/>
  <c r="BT112" i="22" s="1"/>
  <c r="BB113" i="3"/>
  <c r="BB113" i="22" s="1"/>
  <c r="BC113" i="3"/>
  <c r="BC113" i="22" s="1"/>
  <c r="BD113" i="3"/>
  <c r="BD113" i="22" s="1"/>
  <c r="BE113" i="3"/>
  <c r="BE113" i="22" s="1"/>
  <c r="BF113" i="3"/>
  <c r="BF113" i="22" s="1"/>
  <c r="BG113" i="3"/>
  <c r="BG113" i="22" s="1"/>
  <c r="BH113" i="3"/>
  <c r="BH113" i="22" s="1"/>
  <c r="BI113" i="3"/>
  <c r="BI113" i="22" s="1"/>
  <c r="BJ113" i="3"/>
  <c r="BJ113" i="22" s="1"/>
  <c r="BK113" i="3"/>
  <c r="BK113" i="22" s="1"/>
  <c r="BL113" i="3"/>
  <c r="BL113" i="22" s="1"/>
  <c r="BM113" i="3"/>
  <c r="BM113" i="22" s="1"/>
  <c r="BN113" i="3"/>
  <c r="BN113" i="22" s="1"/>
  <c r="BO113" i="3"/>
  <c r="BO113" i="22" s="1"/>
  <c r="BP113" i="3"/>
  <c r="BP113" i="22" s="1"/>
  <c r="BQ113" i="3"/>
  <c r="BQ113" i="22" s="1"/>
  <c r="BR113" i="3"/>
  <c r="BR113" i="22" s="1"/>
  <c r="BS113" i="3"/>
  <c r="BS113" i="22" s="1"/>
  <c r="BT113" i="3"/>
  <c r="BT113" i="22" s="1"/>
  <c r="BB114" i="3"/>
  <c r="BB114" i="22" s="1"/>
  <c r="BC114" i="3"/>
  <c r="BC114" i="22" s="1"/>
  <c r="BD114" i="3"/>
  <c r="BD114" i="22" s="1"/>
  <c r="BE114" i="3"/>
  <c r="BE114" i="22" s="1"/>
  <c r="BF114" i="3"/>
  <c r="BF114" i="22" s="1"/>
  <c r="BG114" i="3"/>
  <c r="BG114" i="22" s="1"/>
  <c r="BH114" i="3"/>
  <c r="BH114" i="22" s="1"/>
  <c r="BI114" i="3"/>
  <c r="BI114" i="22" s="1"/>
  <c r="BJ114" i="3"/>
  <c r="BJ114" i="22" s="1"/>
  <c r="BK114" i="3"/>
  <c r="BK114" i="22" s="1"/>
  <c r="BL114" i="3"/>
  <c r="BL114" i="22" s="1"/>
  <c r="BM114" i="3"/>
  <c r="BM114" i="22" s="1"/>
  <c r="BN114" i="3"/>
  <c r="BN114" i="22" s="1"/>
  <c r="BO114" i="3"/>
  <c r="BO114" i="22" s="1"/>
  <c r="BP114" i="3"/>
  <c r="BP114" i="22" s="1"/>
  <c r="BQ114" i="3"/>
  <c r="BQ114" i="22" s="1"/>
  <c r="BR114" i="3"/>
  <c r="BR114" i="22" s="1"/>
  <c r="BS114" i="3"/>
  <c r="BS114" i="22" s="1"/>
  <c r="BT114" i="3"/>
  <c r="BT114" i="22" s="1"/>
  <c r="BB115" i="3"/>
  <c r="BB115" i="22" s="1"/>
  <c r="BC115" i="3"/>
  <c r="BC115" i="22" s="1"/>
  <c r="BD115" i="3"/>
  <c r="BD115" i="22" s="1"/>
  <c r="BE115" i="3"/>
  <c r="BE115" i="22" s="1"/>
  <c r="BF115" i="3"/>
  <c r="BF115" i="22" s="1"/>
  <c r="BG115" i="3"/>
  <c r="BG115" i="22" s="1"/>
  <c r="BH115" i="3"/>
  <c r="BH115" i="22" s="1"/>
  <c r="BI115" i="3"/>
  <c r="BI115" i="22" s="1"/>
  <c r="BJ115" i="3"/>
  <c r="BJ115" i="22" s="1"/>
  <c r="BK115" i="3"/>
  <c r="BK115" i="22" s="1"/>
  <c r="BL115" i="3"/>
  <c r="BL115" i="22" s="1"/>
  <c r="BM115" i="3"/>
  <c r="BM115" i="22" s="1"/>
  <c r="BN115" i="3"/>
  <c r="BN115" i="22" s="1"/>
  <c r="BO115" i="3"/>
  <c r="BO115" i="22" s="1"/>
  <c r="BP115" i="3"/>
  <c r="BP115" i="22" s="1"/>
  <c r="BQ115" i="3"/>
  <c r="BQ115" i="22" s="1"/>
  <c r="BR115" i="3"/>
  <c r="BR115" i="22" s="1"/>
  <c r="BS115" i="3"/>
  <c r="BS115" i="22" s="1"/>
  <c r="BT115" i="3"/>
  <c r="BT115" i="22" s="1"/>
  <c r="BB116" i="3"/>
  <c r="BB116" i="22" s="1"/>
  <c r="BC116" i="3"/>
  <c r="BC116" i="22" s="1"/>
  <c r="BD116" i="3"/>
  <c r="BD116" i="22" s="1"/>
  <c r="BE116" i="3"/>
  <c r="BE116" i="22" s="1"/>
  <c r="BF116" i="3"/>
  <c r="BF116" i="22" s="1"/>
  <c r="BG116" i="3"/>
  <c r="BG116" i="22" s="1"/>
  <c r="BH116" i="3"/>
  <c r="BH116" i="22" s="1"/>
  <c r="BI116" i="3"/>
  <c r="BI116" i="22" s="1"/>
  <c r="BJ116" i="3"/>
  <c r="BJ116" i="22" s="1"/>
  <c r="BK116" i="3"/>
  <c r="BK116" i="22" s="1"/>
  <c r="BL116" i="3"/>
  <c r="BL116" i="22" s="1"/>
  <c r="BM116" i="3"/>
  <c r="BM116" i="22" s="1"/>
  <c r="BN116" i="3"/>
  <c r="BN116" i="22" s="1"/>
  <c r="BO116" i="3"/>
  <c r="BO116" i="22" s="1"/>
  <c r="BP116" i="3"/>
  <c r="BP116" i="22" s="1"/>
  <c r="BQ116" i="3"/>
  <c r="BQ116" i="22" s="1"/>
  <c r="BR116" i="3"/>
  <c r="BR116" i="22" s="1"/>
  <c r="BS116" i="3"/>
  <c r="BS116" i="22" s="1"/>
  <c r="BT116" i="3"/>
  <c r="BT116" i="22" s="1"/>
  <c r="BB117" i="3"/>
  <c r="BB117" i="22" s="1"/>
  <c r="BC117" i="3"/>
  <c r="BC117" i="22" s="1"/>
  <c r="BD117" i="3"/>
  <c r="BD117" i="22" s="1"/>
  <c r="BE117" i="3"/>
  <c r="BE117" i="22" s="1"/>
  <c r="BF117" i="3"/>
  <c r="BF117" i="22" s="1"/>
  <c r="BG117" i="3"/>
  <c r="BG117" i="22" s="1"/>
  <c r="BH117" i="3"/>
  <c r="BH117" i="22" s="1"/>
  <c r="BI117" i="3"/>
  <c r="BI117" i="22" s="1"/>
  <c r="BJ117" i="3"/>
  <c r="BJ117" i="22" s="1"/>
  <c r="BK117" i="3"/>
  <c r="BK117" i="22" s="1"/>
  <c r="BL117" i="3"/>
  <c r="BL117" i="22" s="1"/>
  <c r="BM117" i="3"/>
  <c r="BM117" i="22" s="1"/>
  <c r="BN117" i="3"/>
  <c r="BN117" i="22" s="1"/>
  <c r="BO117" i="3"/>
  <c r="BO117" i="22" s="1"/>
  <c r="BP117" i="3"/>
  <c r="BP117" i="22" s="1"/>
  <c r="BQ117" i="3"/>
  <c r="BQ117" i="22" s="1"/>
  <c r="BR117" i="3"/>
  <c r="BR117" i="22" s="1"/>
  <c r="BS117" i="3"/>
  <c r="BS117" i="22" s="1"/>
  <c r="BT117" i="3"/>
  <c r="BT117" i="22" s="1"/>
  <c r="BB118" i="3"/>
  <c r="BB118" i="22" s="1"/>
  <c r="BC118" i="3"/>
  <c r="BC118" i="22" s="1"/>
  <c r="BD118" i="3"/>
  <c r="BD118" i="22" s="1"/>
  <c r="BE118" i="3"/>
  <c r="BE118" i="22" s="1"/>
  <c r="BF118" i="3"/>
  <c r="BF118" i="22" s="1"/>
  <c r="BG118" i="3"/>
  <c r="BG118" i="22" s="1"/>
  <c r="BH118" i="3"/>
  <c r="BH118" i="22" s="1"/>
  <c r="BI118" i="3"/>
  <c r="BI118" i="22" s="1"/>
  <c r="BJ118" i="3"/>
  <c r="BJ118" i="22" s="1"/>
  <c r="BK118" i="3"/>
  <c r="BK118" i="22" s="1"/>
  <c r="BL118" i="3"/>
  <c r="BL118" i="22" s="1"/>
  <c r="BM118" i="3"/>
  <c r="BM118" i="22" s="1"/>
  <c r="BN118" i="3"/>
  <c r="BN118" i="22" s="1"/>
  <c r="BO118" i="3"/>
  <c r="BO118" i="22" s="1"/>
  <c r="BP118" i="3"/>
  <c r="BP118" i="22" s="1"/>
  <c r="BQ118" i="3"/>
  <c r="BQ118" i="22" s="1"/>
  <c r="BR118" i="3"/>
  <c r="BR118" i="22" s="1"/>
  <c r="BS118" i="3"/>
  <c r="BS118" i="22" s="1"/>
  <c r="BT118" i="3"/>
  <c r="BT118" i="22" s="1"/>
  <c r="BB119" i="3"/>
  <c r="BB119" i="22" s="1"/>
  <c r="BC119" i="3"/>
  <c r="BC119" i="22" s="1"/>
  <c r="BD119" i="3"/>
  <c r="BD119" i="22" s="1"/>
  <c r="BE119" i="3"/>
  <c r="BE119" i="22" s="1"/>
  <c r="BF119" i="3"/>
  <c r="BF119" i="22" s="1"/>
  <c r="BG119" i="3"/>
  <c r="BG119" i="22" s="1"/>
  <c r="BH119" i="3"/>
  <c r="BH119" i="22" s="1"/>
  <c r="BI119" i="3"/>
  <c r="BI119" i="22" s="1"/>
  <c r="BJ119" i="3"/>
  <c r="BJ119" i="22" s="1"/>
  <c r="BK119" i="3"/>
  <c r="BK119" i="22" s="1"/>
  <c r="BL119" i="3"/>
  <c r="BL119" i="22" s="1"/>
  <c r="BM119" i="3"/>
  <c r="BM119" i="22" s="1"/>
  <c r="BN119" i="3"/>
  <c r="BN119" i="22" s="1"/>
  <c r="BO119" i="3"/>
  <c r="BO119" i="22" s="1"/>
  <c r="BP119" i="3"/>
  <c r="BP119" i="22" s="1"/>
  <c r="BQ119" i="3"/>
  <c r="BQ119" i="22" s="1"/>
  <c r="BR119" i="3"/>
  <c r="BR119" i="22" s="1"/>
  <c r="BS119" i="3"/>
  <c r="BS119" i="22" s="1"/>
  <c r="BT119" i="3"/>
  <c r="BT119" i="22" s="1"/>
  <c r="BB120" i="3"/>
  <c r="BB120" i="22" s="1"/>
  <c r="BC120" i="3"/>
  <c r="BC120" i="22" s="1"/>
  <c r="BD120" i="3"/>
  <c r="BD120" i="22" s="1"/>
  <c r="BE120" i="3"/>
  <c r="BE120" i="22" s="1"/>
  <c r="BF120" i="3"/>
  <c r="BF120" i="22" s="1"/>
  <c r="BG120" i="3"/>
  <c r="BG120" i="22" s="1"/>
  <c r="BH120" i="3"/>
  <c r="BH120" i="22" s="1"/>
  <c r="BI120" i="3"/>
  <c r="BI120" i="22" s="1"/>
  <c r="BJ120" i="3"/>
  <c r="BJ120" i="22" s="1"/>
  <c r="BK120" i="3"/>
  <c r="BK120" i="22" s="1"/>
  <c r="BL120" i="3"/>
  <c r="BL120" i="22" s="1"/>
  <c r="BM120" i="3"/>
  <c r="BM120" i="22" s="1"/>
  <c r="BN120" i="3"/>
  <c r="BN120" i="22" s="1"/>
  <c r="BO120" i="3"/>
  <c r="BO120" i="22" s="1"/>
  <c r="BP120" i="3"/>
  <c r="BP120" i="22" s="1"/>
  <c r="BQ120" i="3"/>
  <c r="BQ120" i="22" s="1"/>
  <c r="BR120" i="3"/>
  <c r="BR120" i="22" s="1"/>
  <c r="BS120" i="3"/>
  <c r="BS120" i="22" s="1"/>
  <c r="BT120" i="3"/>
  <c r="BT120" i="22" s="1"/>
  <c r="BB121" i="3"/>
  <c r="BB121" i="22" s="1"/>
  <c r="BC121" i="3"/>
  <c r="BC121" i="22" s="1"/>
  <c r="BD121" i="3"/>
  <c r="BD121" i="22" s="1"/>
  <c r="BE121" i="3"/>
  <c r="BE121" i="22" s="1"/>
  <c r="BF121" i="3"/>
  <c r="BF121" i="22" s="1"/>
  <c r="BG121" i="3"/>
  <c r="BG121" i="22" s="1"/>
  <c r="BH121" i="3"/>
  <c r="BH121" i="22" s="1"/>
  <c r="BI121" i="3"/>
  <c r="BI121" i="22" s="1"/>
  <c r="BJ121" i="3"/>
  <c r="BJ121" i="22" s="1"/>
  <c r="BK121" i="3"/>
  <c r="BK121" i="22" s="1"/>
  <c r="BL121" i="3"/>
  <c r="BL121" i="22" s="1"/>
  <c r="BM121" i="3"/>
  <c r="BM121" i="22" s="1"/>
  <c r="BN121" i="3"/>
  <c r="BN121" i="22" s="1"/>
  <c r="BO121" i="3"/>
  <c r="BO121" i="22" s="1"/>
  <c r="BP121" i="3"/>
  <c r="BP121" i="22" s="1"/>
  <c r="BQ121" i="3"/>
  <c r="BQ121" i="22" s="1"/>
  <c r="BR121" i="3"/>
  <c r="BR121" i="22" s="1"/>
  <c r="BS121" i="3"/>
  <c r="BS121" i="22" s="1"/>
  <c r="BT121" i="3"/>
  <c r="BT121" i="22" s="1"/>
  <c r="BB122" i="3"/>
  <c r="BB122" i="22" s="1"/>
  <c r="BC122" i="3"/>
  <c r="BC122" i="22" s="1"/>
  <c r="BD122" i="3"/>
  <c r="BD122" i="22" s="1"/>
  <c r="BE122" i="3"/>
  <c r="BE122" i="22" s="1"/>
  <c r="BF122" i="3"/>
  <c r="BF122" i="22" s="1"/>
  <c r="BG122" i="3"/>
  <c r="BG122" i="22" s="1"/>
  <c r="BH122" i="3"/>
  <c r="BH122" i="22" s="1"/>
  <c r="BI122" i="3"/>
  <c r="BI122" i="22" s="1"/>
  <c r="BJ122" i="3"/>
  <c r="BJ122" i="22" s="1"/>
  <c r="BK122" i="3"/>
  <c r="BK122" i="22" s="1"/>
  <c r="BL122" i="3"/>
  <c r="BL122" i="22" s="1"/>
  <c r="BM122" i="3"/>
  <c r="BM122" i="22" s="1"/>
  <c r="BN122" i="3"/>
  <c r="BN122" i="22" s="1"/>
  <c r="BO122" i="3"/>
  <c r="BO122" i="22" s="1"/>
  <c r="BP122" i="3"/>
  <c r="BP122" i="22" s="1"/>
  <c r="BQ122" i="3"/>
  <c r="BQ122" i="22" s="1"/>
  <c r="BR122" i="3"/>
  <c r="BR122" i="22" s="1"/>
  <c r="BS122" i="3"/>
  <c r="BS122" i="22" s="1"/>
  <c r="BT122" i="3"/>
  <c r="BT122" i="22" s="1"/>
  <c r="BB123" i="3"/>
  <c r="BB123" i="22" s="1"/>
  <c r="BC123" i="3"/>
  <c r="BC123" i="22" s="1"/>
  <c r="BD123" i="3"/>
  <c r="BD123" i="22" s="1"/>
  <c r="BE123" i="3"/>
  <c r="BE123" i="22" s="1"/>
  <c r="BF123" i="3"/>
  <c r="BF123" i="22" s="1"/>
  <c r="BG123" i="3"/>
  <c r="BG123" i="22" s="1"/>
  <c r="BH123" i="3"/>
  <c r="BH123" i="22" s="1"/>
  <c r="BI123" i="3"/>
  <c r="BI123" i="22" s="1"/>
  <c r="BJ123" i="3"/>
  <c r="BJ123" i="22" s="1"/>
  <c r="BK123" i="3"/>
  <c r="BK123" i="22" s="1"/>
  <c r="BL123" i="3"/>
  <c r="BL123" i="22" s="1"/>
  <c r="BM123" i="3"/>
  <c r="BM123" i="22" s="1"/>
  <c r="BN123" i="3"/>
  <c r="BN123" i="22" s="1"/>
  <c r="BO123" i="3"/>
  <c r="BO123" i="22" s="1"/>
  <c r="BP123" i="3"/>
  <c r="BP123" i="22" s="1"/>
  <c r="BQ123" i="3"/>
  <c r="BQ123" i="22" s="1"/>
  <c r="BR123" i="3"/>
  <c r="BR123" i="22" s="1"/>
  <c r="BS123" i="3"/>
  <c r="BS123" i="22" s="1"/>
  <c r="BT123" i="3"/>
  <c r="BT123" i="22" s="1"/>
  <c r="BB124" i="3"/>
  <c r="BB124" i="22" s="1"/>
  <c r="BC124" i="3"/>
  <c r="BC124" i="22" s="1"/>
  <c r="BD124" i="3"/>
  <c r="BD124" i="22" s="1"/>
  <c r="BE124" i="3"/>
  <c r="BE124" i="22" s="1"/>
  <c r="BF124" i="3"/>
  <c r="BF124" i="22" s="1"/>
  <c r="BG124" i="3"/>
  <c r="BG124" i="22" s="1"/>
  <c r="BH124" i="3"/>
  <c r="BH124" i="22" s="1"/>
  <c r="BI124" i="3"/>
  <c r="BI124" i="22" s="1"/>
  <c r="BJ124" i="3"/>
  <c r="BJ124" i="22" s="1"/>
  <c r="BK124" i="3"/>
  <c r="BK124" i="22" s="1"/>
  <c r="BL124" i="3"/>
  <c r="BL124" i="22" s="1"/>
  <c r="BM124" i="3"/>
  <c r="BM124" i="22" s="1"/>
  <c r="BN124" i="3"/>
  <c r="BN124" i="22" s="1"/>
  <c r="BO124" i="3"/>
  <c r="BO124" i="22" s="1"/>
  <c r="BP124" i="3"/>
  <c r="BP124" i="22" s="1"/>
  <c r="BQ124" i="3"/>
  <c r="BQ124" i="22" s="1"/>
  <c r="BR124" i="3"/>
  <c r="BR124" i="22" s="1"/>
  <c r="BS124" i="3"/>
  <c r="BS124" i="22" s="1"/>
  <c r="BT124" i="3"/>
  <c r="BT124" i="22" s="1"/>
  <c r="BB125" i="3"/>
  <c r="BB125" i="22" s="1"/>
  <c r="BC125" i="3"/>
  <c r="BC125" i="22" s="1"/>
  <c r="BD125" i="3"/>
  <c r="BD125" i="22" s="1"/>
  <c r="BE125" i="3"/>
  <c r="BE125" i="22" s="1"/>
  <c r="BF125" i="3"/>
  <c r="BF125" i="22" s="1"/>
  <c r="BG125" i="3"/>
  <c r="BG125" i="22" s="1"/>
  <c r="BH125" i="3"/>
  <c r="BH125" i="22" s="1"/>
  <c r="BI125" i="3"/>
  <c r="BI125" i="22" s="1"/>
  <c r="BJ125" i="3"/>
  <c r="BJ125" i="22" s="1"/>
  <c r="BK125" i="3"/>
  <c r="BK125" i="22" s="1"/>
  <c r="BL125" i="3"/>
  <c r="BL125" i="22" s="1"/>
  <c r="BM125" i="3"/>
  <c r="BM125" i="22" s="1"/>
  <c r="BN125" i="3"/>
  <c r="BN125" i="22" s="1"/>
  <c r="BO125" i="3"/>
  <c r="BO125" i="22" s="1"/>
  <c r="BP125" i="3"/>
  <c r="BP125" i="22" s="1"/>
  <c r="BQ125" i="3"/>
  <c r="BQ125" i="22" s="1"/>
  <c r="BR125" i="3"/>
  <c r="BR125" i="22" s="1"/>
  <c r="BS125" i="3"/>
  <c r="BS125" i="22" s="1"/>
  <c r="BT125" i="3"/>
  <c r="BT125" i="22" s="1"/>
  <c r="BB126" i="3"/>
  <c r="BB126" i="22" s="1"/>
  <c r="BC126" i="3"/>
  <c r="BC126" i="22" s="1"/>
  <c r="BD126" i="3"/>
  <c r="BD126" i="22" s="1"/>
  <c r="BE126" i="3"/>
  <c r="BE126" i="22" s="1"/>
  <c r="BF126" i="3"/>
  <c r="BF126" i="22" s="1"/>
  <c r="BG126" i="3"/>
  <c r="BG126" i="22" s="1"/>
  <c r="BH126" i="3"/>
  <c r="BH126" i="22" s="1"/>
  <c r="BI126" i="3"/>
  <c r="BI126" i="22" s="1"/>
  <c r="BJ126" i="3"/>
  <c r="BJ126" i="22" s="1"/>
  <c r="BK126" i="3"/>
  <c r="BK126" i="22" s="1"/>
  <c r="BL126" i="3"/>
  <c r="BL126" i="22" s="1"/>
  <c r="BM126" i="3"/>
  <c r="BM126" i="22" s="1"/>
  <c r="BN126" i="3"/>
  <c r="BN126" i="22" s="1"/>
  <c r="BO126" i="3"/>
  <c r="BO126" i="22" s="1"/>
  <c r="BP126" i="3"/>
  <c r="BP126" i="22" s="1"/>
  <c r="BQ126" i="3"/>
  <c r="BQ126" i="22" s="1"/>
  <c r="BR126" i="3"/>
  <c r="BR126" i="22" s="1"/>
  <c r="BS126" i="3"/>
  <c r="BS126" i="22" s="1"/>
  <c r="BT126" i="3"/>
  <c r="BT126" i="22" s="1"/>
  <c r="BB2" i="3"/>
  <c r="BB2" i="22" s="1"/>
  <c r="BC2" i="3"/>
  <c r="BC2" i="22" s="1"/>
  <c r="BD2" i="3"/>
  <c r="BD2" i="22" s="1"/>
  <c r="BE2" i="3"/>
  <c r="BE2" i="22" s="1"/>
  <c r="BF2" i="3"/>
  <c r="BF2" i="22" s="1"/>
  <c r="BG2" i="3"/>
  <c r="BG2" i="22" s="1"/>
  <c r="BH2" i="3"/>
  <c r="BH2" i="22" s="1"/>
  <c r="BI2" i="3"/>
  <c r="BI2" i="22" s="1"/>
  <c r="BJ2" i="3"/>
  <c r="BJ2" i="22" s="1"/>
  <c r="BK2" i="3"/>
  <c r="BK2" i="22" s="1"/>
  <c r="BL2" i="3"/>
  <c r="BL2" i="22" s="1"/>
  <c r="BM2" i="3"/>
  <c r="BM2" i="22" s="1"/>
  <c r="BN2" i="3"/>
  <c r="BN2" i="22" s="1"/>
  <c r="BO2" i="3"/>
  <c r="BO2" i="22" s="1"/>
  <c r="BP2" i="3"/>
  <c r="BP2" i="22" s="1"/>
  <c r="BQ2" i="3"/>
  <c r="BQ2" i="22" s="1"/>
  <c r="BR2" i="3"/>
  <c r="BR2" i="22" s="1"/>
  <c r="BS2" i="3"/>
  <c r="BS2" i="22" s="1"/>
  <c r="BT2" i="3"/>
  <c r="BT2" i="22" s="1"/>
  <c r="A6" i="8" l="1"/>
  <c r="A13" i="21"/>
  <c r="E12" i="21"/>
  <c r="G12" i="21" s="1"/>
  <c r="F12" i="21"/>
  <c r="F58" i="20"/>
  <c r="F59" i="20"/>
  <c r="I4" i="13"/>
  <c r="I5" i="13" s="1"/>
  <c r="J2" i="8"/>
  <c r="R21" i="12"/>
  <c r="R22" i="12" s="1"/>
  <c r="R23" i="12" s="1"/>
  <c r="R24" i="12" s="1"/>
  <c r="R25" i="12" s="1"/>
  <c r="R26" i="12" s="1"/>
  <c r="R27" i="12" s="1"/>
  <c r="R28" i="12" s="1"/>
  <c r="R29" i="12" s="1"/>
  <c r="A14" i="21" l="1"/>
  <c r="E13" i="21"/>
  <c r="G13" i="21" s="1"/>
  <c r="F13" i="21"/>
  <c r="A7" i="8"/>
  <c r="J4" i="13"/>
  <c r="J5" i="13" s="1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J1" i="8"/>
  <c r="B10" i="3"/>
  <c r="B10" i="22" s="1"/>
  <c r="C10" i="3"/>
  <c r="C10" i="22" s="1"/>
  <c r="D10" i="3"/>
  <c r="D10" i="22" s="1"/>
  <c r="E10" i="3"/>
  <c r="E10" i="22" s="1"/>
  <c r="F10" i="3"/>
  <c r="F10" i="22" s="1"/>
  <c r="G10" i="3"/>
  <c r="G10" i="22" s="1"/>
  <c r="H10" i="3"/>
  <c r="H10" i="22" s="1"/>
  <c r="I10" i="3"/>
  <c r="I10" i="22" s="1"/>
  <c r="J10" i="3"/>
  <c r="J10" i="22" s="1"/>
  <c r="K10" i="3"/>
  <c r="K10" i="22" s="1"/>
  <c r="L10" i="3"/>
  <c r="L10" i="22" s="1"/>
  <c r="M10" i="3"/>
  <c r="M10" i="22" s="1"/>
  <c r="N10" i="3"/>
  <c r="N10" i="22" s="1"/>
  <c r="O10" i="3"/>
  <c r="O10" i="22" s="1"/>
  <c r="P10" i="3"/>
  <c r="P10" i="22" s="1"/>
  <c r="Q10" i="3"/>
  <c r="Q10" i="22" s="1"/>
  <c r="R10" i="3"/>
  <c r="R10" i="22" s="1"/>
  <c r="S10" i="3"/>
  <c r="S10" i="22" s="1"/>
  <c r="T10" i="3"/>
  <c r="T10" i="22" s="1"/>
  <c r="U10" i="3"/>
  <c r="U10" i="22" s="1"/>
  <c r="V10" i="3"/>
  <c r="V10" i="22" s="1"/>
  <c r="W10" i="3"/>
  <c r="W10" i="22" s="1"/>
  <c r="X10" i="3"/>
  <c r="X10" i="22" s="1"/>
  <c r="Y10" i="3"/>
  <c r="Y10" i="22" s="1"/>
  <c r="Z10" i="3"/>
  <c r="Z10" i="22" s="1"/>
  <c r="AA10" i="3"/>
  <c r="AA10" i="22" s="1"/>
  <c r="AB10" i="3"/>
  <c r="AB10" i="22" s="1"/>
  <c r="AC10" i="3"/>
  <c r="AC10" i="22" s="1"/>
  <c r="AD10" i="3"/>
  <c r="AD10" i="22" s="1"/>
  <c r="AE10" i="3"/>
  <c r="AE10" i="22" s="1"/>
  <c r="AF10" i="3"/>
  <c r="AF10" i="22" s="1"/>
  <c r="AG10" i="3"/>
  <c r="AG10" i="22" s="1"/>
  <c r="AH10" i="3"/>
  <c r="AH10" i="22" s="1"/>
  <c r="AI10" i="3"/>
  <c r="AI10" i="22" s="1"/>
  <c r="AJ10" i="3"/>
  <c r="AJ10" i="22" s="1"/>
  <c r="AK10" i="3"/>
  <c r="AK10" i="22" s="1"/>
  <c r="AL10" i="3"/>
  <c r="AL10" i="22" s="1"/>
  <c r="AM10" i="3"/>
  <c r="AM10" i="22" s="1"/>
  <c r="AN10" i="3"/>
  <c r="AN10" i="22" s="1"/>
  <c r="AO10" i="3"/>
  <c r="AO10" i="22" s="1"/>
  <c r="AP10" i="3"/>
  <c r="AP10" i="22" s="1"/>
  <c r="AQ10" i="3"/>
  <c r="AQ10" i="22" s="1"/>
  <c r="AR10" i="3"/>
  <c r="AR10" i="22" s="1"/>
  <c r="AS10" i="3"/>
  <c r="AS10" i="22" s="1"/>
  <c r="AT10" i="3"/>
  <c r="AT10" i="22" s="1"/>
  <c r="AU10" i="3"/>
  <c r="AU10" i="22" s="1"/>
  <c r="AV10" i="3"/>
  <c r="AV10" i="22" s="1"/>
  <c r="AW10" i="3"/>
  <c r="AW10" i="22" s="1"/>
  <c r="AX10" i="3"/>
  <c r="AX10" i="22" s="1"/>
  <c r="AY10" i="3"/>
  <c r="AY10" i="22" s="1"/>
  <c r="AZ10" i="3"/>
  <c r="AZ10" i="22" s="1"/>
  <c r="BA10" i="3"/>
  <c r="BA10" i="22" s="1"/>
  <c r="B49" i="3"/>
  <c r="B49" i="22" s="1"/>
  <c r="C49" i="3"/>
  <c r="C49" i="22" s="1"/>
  <c r="D49" i="3"/>
  <c r="D49" i="22" s="1"/>
  <c r="E49" i="3"/>
  <c r="E49" i="22" s="1"/>
  <c r="F49" i="3"/>
  <c r="F49" i="22" s="1"/>
  <c r="G49" i="3"/>
  <c r="G49" i="22" s="1"/>
  <c r="H49" i="3"/>
  <c r="H49" i="22" s="1"/>
  <c r="I49" i="3"/>
  <c r="I49" i="22" s="1"/>
  <c r="J49" i="3"/>
  <c r="J49" i="22" s="1"/>
  <c r="K49" i="3"/>
  <c r="K49" i="22" s="1"/>
  <c r="L49" i="3"/>
  <c r="L49" i="22" s="1"/>
  <c r="M49" i="3"/>
  <c r="M49" i="22" s="1"/>
  <c r="N49" i="3"/>
  <c r="N49" i="22" s="1"/>
  <c r="O49" i="3"/>
  <c r="O49" i="22" s="1"/>
  <c r="P49" i="3"/>
  <c r="P49" i="22" s="1"/>
  <c r="Q49" i="3"/>
  <c r="Q49" i="22" s="1"/>
  <c r="R49" i="3"/>
  <c r="R49" i="22" s="1"/>
  <c r="S49" i="3"/>
  <c r="S49" i="22" s="1"/>
  <c r="T49" i="3"/>
  <c r="T49" i="22" s="1"/>
  <c r="U49" i="3"/>
  <c r="U49" i="22" s="1"/>
  <c r="V49" i="3"/>
  <c r="V49" i="22" s="1"/>
  <c r="W49" i="3"/>
  <c r="W49" i="22" s="1"/>
  <c r="X49" i="3"/>
  <c r="X49" i="22" s="1"/>
  <c r="Y49" i="3"/>
  <c r="Y49" i="22" s="1"/>
  <c r="Z49" i="3"/>
  <c r="Z49" i="22" s="1"/>
  <c r="AA49" i="3"/>
  <c r="AA49" i="22" s="1"/>
  <c r="AB49" i="3"/>
  <c r="AB49" i="22" s="1"/>
  <c r="AC49" i="3"/>
  <c r="AC49" i="22" s="1"/>
  <c r="AD49" i="3"/>
  <c r="AD49" i="22" s="1"/>
  <c r="AE49" i="3"/>
  <c r="AE49" i="22" s="1"/>
  <c r="AF49" i="3"/>
  <c r="AF49" i="22" s="1"/>
  <c r="AG49" i="3"/>
  <c r="AG49" i="22" s="1"/>
  <c r="AH49" i="3"/>
  <c r="AH49" i="22" s="1"/>
  <c r="AI49" i="3"/>
  <c r="AI49" i="22" s="1"/>
  <c r="AJ49" i="3"/>
  <c r="AJ49" i="22" s="1"/>
  <c r="AK49" i="3"/>
  <c r="AK49" i="22" s="1"/>
  <c r="AL49" i="3"/>
  <c r="AL49" i="22" s="1"/>
  <c r="AM49" i="3"/>
  <c r="AM49" i="22" s="1"/>
  <c r="AN49" i="3"/>
  <c r="AN49" i="22" s="1"/>
  <c r="AO49" i="3"/>
  <c r="AO49" i="22" s="1"/>
  <c r="AP49" i="3"/>
  <c r="AP49" i="22" s="1"/>
  <c r="AQ49" i="3"/>
  <c r="AQ49" i="22" s="1"/>
  <c r="AR49" i="3"/>
  <c r="AR49" i="22" s="1"/>
  <c r="AS49" i="3"/>
  <c r="AS49" i="22" s="1"/>
  <c r="AT49" i="3"/>
  <c r="AT49" i="22" s="1"/>
  <c r="AU49" i="3"/>
  <c r="AU49" i="22" s="1"/>
  <c r="AV49" i="3"/>
  <c r="AV49" i="22" s="1"/>
  <c r="AW49" i="3"/>
  <c r="AW49" i="22" s="1"/>
  <c r="AX49" i="3"/>
  <c r="AX49" i="22" s="1"/>
  <c r="AY49" i="3"/>
  <c r="AY49" i="22" s="1"/>
  <c r="AZ49" i="3"/>
  <c r="AZ49" i="22" s="1"/>
  <c r="BA49" i="3"/>
  <c r="BA49" i="22" s="1"/>
  <c r="B126" i="3"/>
  <c r="B126" i="22" s="1"/>
  <c r="C126" i="3"/>
  <c r="C126" i="22" s="1"/>
  <c r="D126" i="3"/>
  <c r="D126" i="22" s="1"/>
  <c r="E126" i="3"/>
  <c r="E126" i="22" s="1"/>
  <c r="F126" i="3"/>
  <c r="F126" i="22" s="1"/>
  <c r="G126" i="3"/>
  <c r="G126" i="22" s="1"/>
  <c r="H126" i="3"/>
  <c r="H126" i="22" s="1"/>
  <c r="I126" i="3"/>
  <c r="I126" i="22" s="1"/>
  <c r="J126" i="3"/>
  <c r="J126" i="22" s="1"/>
  <c r="K126" i="3"/>
  <c r="K126" i="22" s="1"/>
  <c r="L126" i="3"/>
  <c r="L126" i="22" s="1"/>
  <c r="M126" i="3"/>
  <c r="M126" i="22" s="1"/>
  <c r="N126" i="3"/>
  <c r="N126" i="22" s="1"/>
  <c r="O126" i="3"/>
  <c r="O126" i="22" s="1"/>
  <c r="P126" i="3"/>
  <c r="P126" i="22" s="1"/>
  <c r="Q126" i="3"/>
  <c r="Q126" i="22" s="1"/>
  <c r="R126" i="3"/>
  <c r="R126" i="22" s="1"/>
  <c r="S126" i="3"/>
  <c r="S126" i="22" s="1"/>
  <c r="T126" i="3"/>
  <c r="T126" i="22" s="1"/>
  <c r="U126" i="3"/>
  <c r="U126" i="22" s="1"/>
  <c r="V126" i="3"/>
  <c r="V126" i="22" s="1"/>
  <c r="W126" i="3"/>
  <c r="W126" i="22" s="1"/>
  <c r="X126" i="3"/>
  <c r="X126" i="22" s="1"/>
  <c r="Y126" i="3"/>
  <c r="Y126" i="22" s="1"/>
  <c r="Z126" i="3"/>
  <c r="Z126" i="22" s="1"/>
  <c r="AA126" i="3"/>
  <c r="AA126" i="22" s="1"/>
  <c r="AB126" i="3"/>
  <c r="AB126" i="22" s="1"/>
  <c r="AC126" i="3"/>
  <c r="AC126" i="22" s="1"/>
  <c r="AD126" i="3"/>
  <c r="AD126" i="22" s="1"/>
  <c r="AE126" i="3"/>
  <c r="AE126" i="22" s="1"/>
  <c r="AF126" i="3"/>
  <c r="AF126" i="22" s="1"/>
  <c r="AG126" i="3"/>
  <c r="AG126" i="22" s="1"/>
  <c r="AH126" i="3"/>
  <c r="AH126" i="22" s="1"/>
  <c r="AI126" i="3"/>
  <c r="AI126" i="22" s="1"/>
  <c r="AJ126" i="3"/>
  <c r="AJ126" i="22" s="1"/>
  <c r="AK126" i="3"/>
  <c r="AK126" i="22" s="1"/>
  <c r="AL126" i="3"/>
  <c r="AL126" i="22" s="1"/>
  <c r="AM126" i="3"/>
  <c r="AM126" i="22" s="1"/>
  <c r="AN126" i="3"/>
  <c r="AN126" i="22" s="1"/>
  <c r="AO126" i="3"/>
  <c r="AO126" i="22" s="1"/>
  <c r="AP126" i="3"/>
  <c r="AP126" i="22" s="1"/>
  <c r="AQ126" i="3"/>
  <c r="AQ126" i="22" s="1"/>
  <c r="AR126" i="3"/>
  <c r="AR126" i="22" s="1"/>
  <c r="AS126" i="3"/>
  <c r="AS126" i="22" s="1"/>
  <c r="AT126" i="3"/>
  <c r="AT126" i="22" s="1"/>
  <c r="AU126" i="3"/>
  <c r="AU126" i="22" s="1"/>
  <c r="AV126" i="3"/>
  <c r="AV126" i="22" s="1"/>
  <c r="AW126" i="3"/>
  <c r="AW126" i="22" s="1"/>
  <c r="AX126" i="3"/>
  <c r="AX126" i="22" s="1"/>
  <c r="AY126" i="3"/>
  <c r="AY126" i="22" s="1"/>
  <c r="AZ126" i="3"/>
  <c r="AZ126" i="22" s="1"/>
  <c r="BA126" i="3"/>
  <c r="BA126" i="22" s="1"/>
  <c r="B73" i="3"/>
  <c r="B73" i="22" s="1"/>
  <c r="C73" i="3"/>
  <c r="C73" i="22" s="1"/>
  <c r="D73" i="3"/>
  <c r="D73" i="22" s="1"/>
  <c r="E73" i="3"/>
  <c r="E73" i="22" s="1"/>
  <c r="F73" i="3"/>
  <c r="F73" i="22" s="1"/>
  <c r="G73" i="3"/>
  <c r="G73" i="22" s="1"/>
  <c r="H73" i="3"/>
  <c r="H73" i="22" s="1"/>
  <c r="I73" i="3"/>
  <c r="I73" i="22" s="1"/>
  <c r="J73" i="3"/>
  <c r="J73" i="22" s="1"/>
  <c r="K73" i="3"/>
  <c r="K73" i="22" s="1"/>
  <c r="L73" i="3"/>
  <c r="L73" i="22" s="1"/>
  <c r="M73" i="3"/>
  <c r="M73" i="22" s="1"/>
  <c r="N73" i="3"/>
  <c r="N73" i="22" s="1"/>
  <c r="O73" i="3"/>
  <c r="O73" i="22" s="1"/>
  <c r="P73" i="3"/>
  <c r="P73" i="22" s="1"/>
  <c r="Q73" i="3"/>
  <c r="Q73" i="22" s="1"/>
  <c r="R73" i="3"/>
  <c r="R73" i="22" s="1"/>
  <c r="S73" i="3"/>
  <c r="S73" i="22" s="1"/>
  <c r="T73" i="3"/>
  <c r="T73" i="22" s="1"/>
  <c r="U73" i="3"/>
  <c r="U73" i="22" s="1"/>
  <c r="V73" i="3"/>
  <c r="V73" i="22" s="1"/>
  <c r="W73" i="3"/>
  <c r="W73" i="22" s="1"/>
  <c r="X73" i="3"/>
  <c r="X73" i="22" s="1"/>
  <c r="Y73" i="3"/>
  <c r="Y73" i="22" s="1"/>
  <c r="Z73" i="3"/>
  <c r="Z73" i="22" s="1"/>
  <c r="AA73" i="3"/>
  <c r="AA73" i="22" s="1"/>
  <c r="AB73" i="3"/>
  <c r="AB73" i="22" s="1"/>
  <c r="AC73" i="3"/>
  <c r="AC73" i="22" s="1"/>
  <c r="AD73" i="3"/>
  <c r="AD73" i="22" s="1"/>
  <c r="AE73" i="3"/>
  <c r="AE73" i="22" s="1"/>
  <c r="AF73" i="3"/>
  <c r="AF73" i="22" s="1"/>
  <c r="AG73" i="3"/>
  <c r="AG73" i="22" s="1"/>
  <c r="AH73" i="3"/>
  <c r="AH73" i="22" s="1"/>
  <c r="AI73" i="3"/>
  <c r="AI73" i="22" s="1"/>
  <c r="AJ73" i="3"/>
  <c r="AJ73" i="22" s="1"/>
  <c r="AK73" i="3"/>
  <c r="AK73" i="22" s="1"/>
  <c r="AL73" i="3"/>
  <c r="AL73" i="22" s="1"/>
  <c r="AM73" i="3"/>
  <c r="AM73" i="22" s="1"/>
  <c r="AN73" i="3"/>
  <c r="AN73" i="22" s="1"/>
  <c r="AO73" i="3"/>
  <c r="AO73" i="22" s="1"/>
  <c r="AP73" i="3"/>
  <c r="AP73" i="22" s="1"/>
  <c r="AQ73" i="3"/>
  <c r="AQ73" i="22" s="1"/>
  <c r="AR73" i="3"/>
  <c r="AR73" i="22" s="1"/>
  <c r="AS73" i="3"/>
  <c r="AS73" i="22" s="1"/>
  <c r="AT73" i="3"/>
  <c r="AT73" i="22" s="1"/>
  <c r="AU73" i="3"/>
  <c r="AU73" i="22" s="1"/>
  <c r="AV73" i="3"/>
  <c r="AV73" i="22" s="1"/>
  <c r="AW73" i="3"/>
  <c r="AW73" i="22" s="1"/>
  <c r="AX73" i="3"/>
  <c r="AX73" i="22" s="1"/>
  <c r="AY73" i="3"/>
  <c r="AY73" i="22" s="1"/>
  <c r="AZ73" i="3"/>
  <c r="AZ73" i="22" s="1"/>
  <c r="BA73" i="3"/>
  <c r="BA73" i="22" s="1"/>
  <c r="B96" i="3"/>
  <c r="B96" i="22" s="1"/>
  <c r="C96" i="3"/>
  <c r="C96" i="22" s="1"/>
  <c r="D96" i="3"/>
  <c r="D96" i="22" s="1"/>
  <c r="E96" i="3"/>
  <c r="E96" i="22" s="1"/>
  <c r="F96" i="3"/>
  <c r="F96" i="22" s="1"/>
  <c r="G96" i="3"/>
  <c r="G96" i="22" s="1"/>
  <c r="H96" i="3"/>
  <c r="H96" i="22" s="1"/>
  <c r="I96" i="3"/>
  <c r="I96" i="22" s="1"/>
  <c r="J96" i="3"/>
  <c r="J96" i="22" s="1"/>
  <c r="K96" i="3"/>
  <c r="K96" i="22" s="1"/>
  <c r="L96" i="3"/>
  <c r="L96" i="22" s="1"/>
  <c r="M96" i="3"/>
  <c r="M96" i="22" s="1"/>
  <c r="N96" i="3"/>
  <c r="N96" i="22" s="1"/>
  <c r="O96" i="3"/>
  <c r="O96" i="22" s="1"/>
  <c r="P96" i="3"/>
  <c r="P96" i="22" s="1"/>
  <c r="Q96" i="3"/>
  <c r="Q96" i="22" s="1"/>
  <c r="R96" i="3"/>
  <c r="R96" i="22" s="1"/>
  <c r="S96" i="3"/>
  <c r="S96" i="22" s="1"/>
  <c r="T96" i="3"/>
  <c r="T96" i="22" s="1"/>
  <c r="U96" i="3"/>
  <c r="U96" i="22" s="1"/>
  <c r="V96" i="3"/>
  <c r="V96" i="22" s="1"/>
  <c r="W96" i="3"/>
  <c r="W96" i="22" s="1"/>
  <c r="X96" i="3"/>
  <c r="X96" i="22" s="1"/>
  <c r="Y96" i="3"/>
  <c r="Y96" i="22" s="1"/>
  <c r="Z96" i="3"/>
  <c r="Z96" i="22" s="1"/>
  <c r="AA96" i="3"/>
  <c r="AA96" i="22" s="1"/>
  <c r="AB96" i="3"/>
  <c r="AB96" i="22" s="1"/>
  <c r="AC96" i="3"/>
  <c r="AC96" i="22" s="1"/>
  <c r="AD96" i="3"/>
  <c r="AD96" i="22" s="1"/>
  <c r="AE96" i="3"/>
  <c r="AE96" i="22" s="1"/>
  <c r="AF96" i="3"/>
  <c r="AF96" i="22" s="1"/>
  <c r="AG96" i="3"/>
  <c r="AG96" i="22" s="1"/>
  <c r="AH96" i="3"/>
  <c r="AH96" i="22" s="1"/>
  <c r="AI96" i="3"/>
  <c r="AI96" i="22" s="1"/>
  <c r="AJ96" i="3"/>
  <c r="AJ96" i="22" s="1"/>
  <c r="AK96" i="3"/>
  <c r="AK96" i="22" s="1"/>
  <c r="AL96" i="3"/>
  <c r="AL96" i="22" s="1"/>
  <c r="AM96" i="3"/>
  <c r="AM96" i="22" s="1"/>
  <c r="AN96" i="3"/>
  <c r="AN96" i="22" s="1"/>
  <c r="AO96" i="3"/>
  <c r="AO96" i="22" s="1"/>
  <c r="AP96" i="3"/>
  <c r="AP96" i="22" s="1"/>
  <c r="AQ96" i="3"/>
  <c r="AQ96" i="22" s="1"/>
  <c r="AR96" i="3"/>
  <c r="AR96" i="22" s="1"/>
  <c r="AS96" i="3"/>
  <c r="AS96" i="22" s="1"/>
  <c r="AT96" i="3"/>
  <c r="AT96" i="22" s="1"/>
  <c r="AU96" i="3"/>
  <c r="AU96" i="22" s="1"/>
  <c r="AV96" i="3"/>
  <c r="AV96" i="22" s="1"/>
  <c r="AW96" i="3"/>
  <c r="AW96" i="22" s="1"/>
  <c r="AX96" i="3"/>
  <c r="AX96" i="22" s="1"/>
  <c r="AY96" i="3"/>
  <c r="AY96" i="22" s="1"/>
  <c r="AZ96" i="3"/>
  <c r="AZ96" i="22" s="1"/>
  <c r="BA96" i="3"/>
  <c r="BA96" i="22" s="1"/>
  <c r="B102" i="3"/>
  <c r="B102" i="22" s="1"/>
  <c r="C102" i="3"/>
  <c r="C102" i="22" s="1"/>
  <c r="D102" i="3"/>
  <c r="D102" i="22" s="1"/>
  <c r="E102" i="3"/>
  <c r="E102" i="22" s="1"/>
  <c r="F102" i="3"/>
  <c r="F102" i="22" s="1"/>
  <c r="G102" i="3"/>
  <c r="G102" i="22" s="1"/>
  <c r="H102" i="3"/>
  <c r="H102" i="22" s="1"/>
  <c r="I102" i="3"/>
  <c r="I102" i="22" s="1"/>
  <c r="J102" i="3"/>
  <c r="J102" i="22" s="1"/>
  <c r="K102" i="3"/>
  <c r="K102" i="22" s="1"/>
  <c r="L102" i="3"/>
  <c r="L102" i="22" s="1"/>
  <c r="M102" i="3"/>
  <c r="M102" i="22" s="1"/>
  <c r="N102" i="3"/>
  <c r="N102" i="22" s="1"/>
  <c r="O102" i="3"/>
  <c r="O102" i="22" s="1"/>
  <c r="P102" i="3"/>
  <c r="P102" i="22" s="1"/>
  <c r="Q102" i="3"/>
  <c r="Q102" i="22" s="1"/>
  <c r="R102" i="3"/>
  <c r="R102" i="22" s="1"/>
  <c r="S102" i="3"/>
  <c r="S102" i="22" s="1"/>
  <c r="T102" i="3"/>
  <c r="T102" i="22" s="1"/>
  <c r="U102" i="3"/>
  <c r="U102" i="22" s="1"/>
  <c r="V102" i="3"/>
  <c r="V102" i="22" s="1"/>
  <c r="W102" i="3"/>
  <c r="W102" i="22" s="1"/>
  <c r="X102" i="3"/>
  <c r="X102" i="22" s="1"/>
  <c r="Y102" i="3"/>
  <c r="Y102" i="22" s="1"/>
  <c r="Z102" i="3"/>
  <c r="Z102" i="22" s="1"/>
  <c r="AA102" i="3"/>
  <c r="AA102" i="22" s="1"/>
  <c r="AB102" i="3"/>
  <c r="AB102" i="22" s="1"/>
  <c r="AC102" i="3"/>
  <c r="AC102" i="22" s="1"/>
  <c r="AD102" i="3"/>
  <c r="AD102" i="22" s="1"/>
  <c r="AE102" i="3"/>
  <c r="AE102" i="22" s="1"/>
  <c r="AF102" i="3"/>
  <c r="AF102" i="22" s="1"/>
  <c r="AG102" i="3"/>
  <c r="AG102" i="22" s="1"/>
  <c r="AH102" i="3"/>
  <c r="AH102" i="22" s="1"/>
  <c r="AI102" i="3"/>
  <c r="AI102" i="22" s="1"/>
  <c r="AJ102" i="3"/>
  <c r="AJ102" i="22" s="1"/>
  <c r="AK102" i="3"/>
  <c r="AK102" i="22" s="1"/>
  <c r="AL102" i="3"/>
  <c r="AL102" i="22" s="1"/>
  <c r="AM102" i="3"/>
  <c r="AM102" i="22" s="1"/>
  <c r="AN102" i="3"/>
  <c r="AN102" i="22" s="1"/>
  <c r="AO102" i="3"/>
  <c r="AO102" i="22" s="1"/>
  <c r="AP102" i="3"/>
  <c r="AP102" i="22" s="1"/>
  <c r="AQ102" i="3"/>
  <c r="AQ102" i="22" s="1"/>
  <c r="AR102" i="3"/>
  <c r="AR102" i="22" s="1"/>
  <c r="AS102" i="3"/>
  <c r="AS102" i="22" s="1"/>
  <c r="AT102" i="3"/>
  <c r="AT102" i="22" s="1"/>
  <c r="AU102" i="3"/>
  <c r="AU102" i="22" s="1"/>
  <c r="AV102" i="3"/>
  <c r="AV102" i="22" s="1"/>
  <c r="AW102" i="3"/>
  <c r="AW102" i="22" s="1"/>
  <c r="AX102" i="3"/>
  <c r="AX102" i="22" s="1"/>
  <c r="AY102" i="3"/>
  <c r="AY102" i="22" s="1"/>
  <c r="AZ102" i="3"/>
  <c r="AZ102" i="22" s="1"/>
  <c r="BA102" i="3"/>
  <c r="BA102" i="22" s="1"/>
  <c r="B38" i="3"/>
  <c r="B38" i="22" s="1"/>
  <c r="C38" i="3"/>
  <c r="C38" i="22" s="1"/>
  <c r="D38" i="3"/>
  <c r="D38" i="22" s="1"/>
  <c r="E38" i="3"/>
  <c r="E38" i="22" s="1"/>
  <c r="F38" i="3"/>
  <c r="F38" i="22" s="1"/>
  <c r="G38" i="3"/>
  <c r="G38" i="22" s="1"/>
  <c r="H38" i="3"/>
  <c r="H38" i="22" s="1"/>
  <c r="I38" i="3"/>
  <c r="I38" i="22" s="1"/>
  <c r="J38" i="3"/>
  <c r="J38" i="22" s="1"/>
  <c r="K38" i="3"/>
  <c r="K38" i="22" s="1"/>
  <c r="L38" i="3"/>
  <c r="L38" i="22" s="1"/>
  <c r="M38" i="3"/>
  <c r="M38" i="22" s="1"/>
  <c r="N38" i="3"/>
  <c r="N38" i="22" s="1"/>
  <c r="O38" i="3"/>
  <c r="O38" i="22" s="1"/>
  <c r="P38" i="3"/>
  <c r="P38" i="22" s="1"/>
  <c r="Q38" i="3"/>
  <c r="Q38" i="22" s="1"/>
  <c r="R38" i="3"/>
  <c r="R38" i="22" s="1"/>
  <c r="S38" i="3"/>
  <c r="S38" i="22" s="1"/>
  <c r="T38" i="3"/>
  <c r="T38" i="22" s="1"/>
  <c r="U38" i="3"/>
  <c r="U38" i="22" s="1"/>
  <c r="V38" i="3"/>
  <c r="V38" i="22" s="1"/>
  <c r="W38" i="3"/>
  <c r="W38" i="22" s="1"/>
  <c r="X38" i="3"/>
  <c r="X38" i="22" s="1"/>
  <c r="Y38" i="3"/>
  <c r="Y38" i="22" s="1"/>
  <c r="Z38" i="3"/>
  <c r="Z38" i="22" s="1"/>
  <c r="AA38" i="3"/>
  <c r="AA38" i="22" s="1"/>
  <c r="AB38" i="3"/>
  <c r="AB38" i="22" s="1"/>
  <c r="AC38" i="3"/>
  <c r="AC38" i="22" s="1"/>
  <c r="AD38" i="3"/>
  <c r="AD38" i="22" s="1"/>
  <c r="AE38" i="3"/>
  <c r="AE38" i="22" s="1"/>
  <c r="AF38" i="3"/>
  <c r="AF38" i="22" s="1"/>
  <c r="AG38" i="3"/>
  <c r="AG38" i="22" s="1"/>
  <c r="AH38" i="3"/>
  <c r="AH38" i="22" s="1"/>
  <c r="AI38" i="3"/>
  <c r="AI38" i="22" s="1"/>
  <c r="AJ38" i="3"/>
  <c r="AJ38" i="22" s="1"/>
  <c r="AK38" i="3"/>
  <c r="AK38" i="22" s="1"/>
  <c r="AL38" i="3"/>
  <c r="AL38" i="22" s="1"/>
  <c r="AM38" i="3"/>
  <c r="AM38" i="22" s="1"/>
  <c r="AN38" i="3"/>
  <c r="AN38" i="22" s="1"/>
  <c r="AO38" i="3"/>
  <c r="AO38" i="22" s="1"/>
  <c r="AP38" i="3"/>
  <c r="AP38" i="22" s="1"/>
  <c r="AQ38" i="3"/>
  <c r="AQ38" i="22" s="1"/>
  <c r="AR38" i="3"/>
  <c r="AR38" i="22" s="1"/>
  <c r="AS38" i="3"/>
  <c r="AS38" i="22" s="1"/>
  <c r="AT38" i="3"/>
  <c r="AT38" i="22" s="1"/>
  <c r="AU38" i="3"/>
  <c r="AU38" i="22" s="1"/>
  <c r="AV38" i="3"/>
  <c r="AV38" i="22" s="1"/>
  <c r="AW38" i="3"/>
  <c r="AW38" i="22" s="1"/>
  <c r="AX38" i="3"/>
  <c r="AX38" i="22" s="1"/>
  <c r="AY38" i="3"/>
  <c r="AY38" i="22" s="1"/>
  <c r="AZ38" i="3"/>
  <c r="AZ38" i="22" s="1"/>
  <c r="BA38" i="3"/>
  <c r="BA38" i="22" s="1"/>
  <c r="B15" i="3"/>
  <c r="B15" i="22" s="1"/>
  <c r="C15" i="3"/>
  <c r="C15" i="22" s="1"/>
  <c r="D15" i="3"/>
  <c r="D15" i="22" s="1"/>
  <c r="E15" i="3"/>
  <c r="E15" i="22" s="1"/>
  <c r="F15" i="3"/>
  <c r="F15" i="22" s="1"/>
  <c r="G15" i="3"/>
  <c r="G15" i="22" s="1"/>
  <c r="H15" i="3"/>
  <c r="H15" i="22" s="1"/>
  <c r="I15" i="3"/>
  <c r="I15" i="22" s="1"/>
  <c r="J15" i="3"/>
  <c r="J15" i="22" s="1"/>
  <c r="K15" i="3"/>
  <c r="K15" i="22" s="1"/>
  <c r="L15" i="3"/>
  <c r="L15" i="22" s="1"/>
  <c r="M15" i="3"/>
  <c r="M15" i="22" s="1"/>
  <c r="N15" i="3"/>
  <c r="N15" i="22" s="1"/>
  <c r="O15" i="3"/>
  <c r="O15" i="22" s="1"/>
  <c r="P15" i="3"/>
  <c r="P15" i="22" s="1"/>
  <c r="Q15" i="3"/>
  <c r="Q15" i="22" s="1"/>
  <c r="R15" i="3"/>
  <c r="R15" i="22" s="1"/>
  <c r="S15" i="3"/>
  <c r="S15" i="22" s="1"/>
  <c r="T15" i="3"/>
  <c r="T15" i="22" s="1"/>
  <c r="U15" i="3"/>
  <c r="U15" i="22" s="1"/>
  <c r="V15" i="3"/>
  <c r="V15" i="22" s="1"/>
  <c r="W15" i="3"/>
  <c r="W15" i="22" s="1"/>
  <c r="X15" i="3"/>
  <c r="X15" i="22" s="1"/>
  <c r="Y15" i="3"/>
  <c r="Y15" i="22" s="1"/>
  <c r="Z15" i="3"/>
  <c r="Z15" i="22" s="1"/>
  <c r="AA15" i="3"/>
  <c r="AA15" i="22" s="1"/>
  <c r="AB15" i="3"/>
  <c r="AB15" i="22" s="1"/>
  <c r="AC15" i="3"/>
  <c r="AC15" i="22" s="1"/>
  <c r="AD15" i="3"/>
  <c r="AD15" i="22" s="1"/>
  <c r="AE15" i="3"/>
  <c r="AE15" i="22" s="1"/>
  <c r="AF15" i="3"/>
  <c r="AF15" i="22" s="1"/>
  <c r="AG15" i="3"/>
  <c r="AG15" i="22" s="1"/>
  <c r="AH15" i="3"/>
  <c r="AH15" i="22" s="1"/>
  <c r="AI15" i="3"/>
  <c r="AI15" i="22" s="1"/>
  <c r="AJ15" i="3"/>
  <c r="AJ15" i="22" s="1"/>
  <c r="AK15" i="3"/>
  <c r="AK15" i="22" s="1"/>
  <c r="AL15" i="3"/>
  <c r="AL15" i="22" s="1"/>
  <c r="AM15" i="3"/>
  <c r="AM15" i="22" s="1"/>
  <c r="AN15" i="3"/>
  <c r="AN15" i="22" s="1"/>
  <c r="AO15" i="3"/>
  <c r="AO15" i="22" s="1"/>
  <c r="AP15" i="3"/>
  <c r="AP15" i="22" s="1"/>
  <c r="AQ15" i="3"/>
  <c r="AQ15" i="22" s="1"/>
  <c r="AR15" i="3"/>
  <c r="AR15" i="22" s="1"/>
  <c r="AS15" i="3"/>
  <c r="AS15" i="22" s="1"/>
  <c r="AT15" i="3"/>
  <c r="AT15" i="22" s="1"/>
  <c r="AU15" i="3"/>
  <c r="AU15" i="22" s="1"/>
  <c r="AV15" i="3"/>
  <c r="AV15" i="22" s="1"/>
  <c r="AW15" i="3"/>
  <c r="AW15" i="22" s="1"/>
  <c r="AX15" i="3"/>
  <c r="AX15" i="22" s="1"/>
  <c r="BA15" i="3"/>
  <c r="BA15" i="22" s="1"/>
  <c r="B9" i="3"/>
  <c r="B9" i="22" s="1"/>
  <c r="C9" i="3"/>
  <c r="C9" i="22" s="1"/>
  <c r="D9" i="3"/>
  <c r="D9" i="22" s="1"/>
  <c r="E9" i="3"/>
  <c r="E9" i="22" s="1"/>
  <c r="F9" i="3"/>
  <c r="F9" i="22" s="1"/>
  <c r="G9" i="3"/>
  <c r="G9" i="22" s="1"/>
  <c r="H9" i="3"/>
  <c r="H9" i="22" s="1"/>
  <c r="I9" i="3"/>
  <c r="I9" i="22" s="1"/>
  <c r="J9" i="3"/>
  <c r="J9" i="22" s="1"/>
  <c r="K9" i="3"/>
  <c r="K9" i="22" s="1"/>
  <c r="L9" i="3"/>
  <c r="L9" i="22" s="1"/>
  <c r="M9" i="3"/>
  <c r="M9" i="22" s="1"/>
  <c r="N9" i="3"/>
  <c r="N9" i="22" s="1"/>
  <c r="O9" i="3"/>
  <c r="O9" i="22" s="1"/>
  <c r="P9" i="3"/>
  <c r="P9" i="22" s="1"/>
  <c r="Q9" i="3"/>
  <c r="Q9" i="22" s="1"/>
  <c r="R9" i="3"/>
  <c r="R9" i="22" s="1"/>
  <c r="S9" i="3"/>
  <c r="S9" i="22" s="1"/>
  <c r="T9" i="3"/>
  <c r="T9" i="22" s="1"/>
  <c r="U9" i="3"/>
  <c r="U9" i="22" s="1"/>
  <c r="V9" i="3"/>
  <c r="V9" i="22" s="1"/>
  <c r="W9" i="3"/>
  <c r="W9" i="22" s="1"/>
  <c r="X9" i="3"/>
  <c r="X9" i="22" s="1"/>
  <c r="Y9" i="3"/>
  <c r="Y9" i="22" s="1"/>
  <c r="Z9" i="3"/>
  <c r="Z9" i="22" s="1"/>
  <c r="AA9" i="3"/>
  <c r="AA9" i="22" s="1"/>
  <c r="AB9" i="3"/>
  <c r="AB9" i="22" s="1"/>
  <c r="AC9" i="3"/>
  <c r="AC9" i="22" s="1"/>
  <c r="AD9" i="3"/>
  <c r="AD9" i="22" s="1"/>
  <c r="AE9" i="3"/>
  <c r="AE9" i="22" s="1"/>
  <c r="AF9" i="3"/>
  <c r="AF9" i="22" s="1"/>
  <c r="AG9" i="3"/>
  <c r="AG9" i="22" s="1"/>
  <c r="AH9" i="3"/>
  <c r="AH9" i="22" s="1"/>
  <c r="AI9" i="3"/>
  <c r="AI9" i="22" s="1"/>
  <c r="AJ9" i="3"/>
  <c r="AJ9" i="22" s="1"/>
  <c r="AK9" i="3"/>
  <c r="AK9" i="22" s="1"/>
  <c r="AL9" i="3"/>
  <c r="AL9" i="22" s="1"/>
  <c r="AM9" i="3"/>
  <c r="AM9" i="22" s="1"/>
  <c r="AN9" i="3"/>
  <c r="AN9" i="22" s="1"/>
  <c r="AO9" i="3"/>
  <c r="AO9" i="22" s="1"/>
  <c r="AP9" i="3"/>
  <c r="AP9" i="22" s="1"/>
  <c r="AQ9" i="3"/>
  <c r="AQ9" i="22" s="1"/>
  <c r="AR9" i="3"/>
  <c r="AR9" i="22" s="1"/>
  <c r="AS9" i="3"/>
  <c r="AS9" i="22" s="1"/>
  <c r="AT9" i="3"/>
  <c r="AT9" i="22" s="1"/>
  <c r="AU9" i="3"/>
  <c r="AU9" i="22" s="1"/>
  <c r="AV9" i="3"/>
  <c r="AV9" i="22" s="1"/>
  <c r="AW9" i="3"/>
  <c r="AW9" i="22" s="1"/>
  <c r="AX9" i="3"/>
  <c r="AX9" i="22" s="1"/>
  <c r="AY9" i="3"/>
  <c r="AY9" i="22" s="1"/>
  <c r="AZ9" i="3"/>
  <c r="AZ9" i="22" s="1"/>
  <c r="BA9" i="3"/>
  <c r="BA9" i="22" s="1"/>
  <c r="B50" i="3"/>
  <c r="B50" i="22" s="1"/>
  <c r="C50" i="3"/>
  <c r="C50" i="22" s="1"/>
  <c r="D50" i="3"/>
  <c r="D50" i="22" s="1"/>
  <c r="E50" i="3"/>
  <c r="E50" i="22" s="1"/>
  <c r="F50" i="3"/>
  <c r="F50" i="22" s="1"/>
  <c r="G50" i="3"/>
  <c r="G50" i="22" s="1"/>
  <c r="H50" i="3"/>
  <c r="H50" i="22" s="1"/>
  <c r="I50" i="3"/>
  <c r="I50" i="22" s="1"/>
  <c r="J50" i="3"/>
  <c r="J50" i="22" s="1"/>
  <c r="K50" i="3"/>
  <c r="K50" i="22" s="1"/>
  <c r="L50" i="3"/>
  <c r="L50" i="22" s="1"/>
  <c r="M50" i="3"/>
  <c r="M50" i="22" s="1"/>
  <c r="N50" i="3"/>
  <c r="N50" i="22" s="1"/>
  <c r="O50" i="3"/>
  <c r="O50" i="22" s="1"/>
  <c r="P50" i="3"/>
  <c r="P50" i="22" s="1"/>
  <c r="Q50" i="3"/>
  <c r="Q50" i="22" s="1"/>
  <c r="R50" i="3"/>
  <c r="R50" i="22" s="1"/>
  <c r="S50" i="3"/>
  <c r="S50" i="22" s="1"/>
  <c r="T50" i="3"/>
  <c r="T50" i="22" s="1"/>
  <c r="U50" i="3"/>
  <c r="U50" i="22" s="1"/>
  <c r="V50" i="3"/>
  <c r="V50" i="22" s="1"/>
  <c r="W50" i="3"/>
  <c r="W50" i="22" s="1"/>
  <c r="X50" i="3"/>
  <c r="X50" i="22" s="1"/>
  <c r="Y50" i="3"/>
  <c r="Y50" i="22" s="1"/>
  <c r="Z50" i="3"/>
  <c r="Z50" i="22" s="1"/>
  <c r="AA50" i="3"/>
  <c r="AA50" i="22" s="1"/>
  <c r="AB50" i="3"/>
  <c r="AB50" i="22" s="1"/>
  <c r="AC50" i="3"/>
  <c r="AC50" i="22" s="1"/>
  <c r="AD50" i="3"/>
  <c r="AD50" i="22" s="1"/>
  <c r="AE50" i="3"/>
  <c r="AE50" i="22" s="1"/>
  <c r="AF50" i="3"/>
  <c r="AF50" i="22" s="1"/>
  <c r="AG50" i="3"/>
  <c r="AG50" i="22" s="1"/>
  <c r="AH50" i="3"/>
  <c r="AH50" i="22" s="1"/>
  <c r="AI50" i="3"/>
  <c r="AI50" i="22" s="1"/>
  <c r="AJ50" i="3"/>
  <c r="AJ50" i="22" s="1"/>
  <c r="AK50" i="3"/>
  <c r="AK50" i="22" s="1"/>
  <c r="AL50" i="3"/>
  <c r="AL50" i="22" s="1"/>
  <c r="AM50" i="3"/>
  <c r="AM50" i="22" s="1"/>
  <c r="AN50" i="3"/>
  <c r="AN50" i="22" s="1"/>
  <c r="AO50" i="3"/>
  <c r="AO50" i="22" s="1"/>
  <c r="AP50" i="3"/>
  <c r="AP50" i="22" s="1"/>
  <c r="AQ50" i="3"/>
  <c r="AQ50" i="22" s="1"/>
  <c r="AR50" i="3"/>
  <c r="AR50" i="22" s="1"/>
  <c r="AS50" i="3"/>
  <c r="AS50" i="22" s="1"/>
  <c r="AT50" i="3"/>
  <c r="AT50" i="22" s="1"/>
  <c r="AU50" i="3"/>
  <c r="AU50" i="22" s="1"/>
  <c r="AV50" i="3"/>
  <c r="AV50" i="22" s="1"/>
  <c r="AW50" i="3"/>
  <c r="AW50" i="22" s="1"/>
  <c r="AX50" i="3"/>
  <c r="AX50" i="22" s="1"/>
  <c r="AY50" i="3"/>
  <c r="AY50" i="22" s="1"/>
  <c r="AZ50" i="3"/>
  <c r="AZ50" i="22" s="1"/>
  <c r="BA50" i="3"/>
  <c r="BA50" i="22" s="1"/>
  <c r="AY45" i="3"/>
  <c r="AY45" i="22" s="1"/>
  <c r="AZ45" i="3"/>
  <c r="AZ45" i="22" s="1"/>
  <c r="BA45" i="3"/>
  <c r="BA45" i="22" s="1"/>
  <c r="AY85" i="3"/>
  <c r="AY85" i="22" s="1"/>
  <c r="AZ85" i="3"/>
  <c r="AZ85" i="22" s="1"/>
  <c r="BA85" i="3"/>
  <c r="BA85" i="22" s="1"/>
  <c r="AY56" i="3"/>
  <c r="AY56" i="22" s="1"/>
  <c r="AZ56" i="3"/>
  <c r="AZ56" i="22" s="1"/>
  <c r="BA56" i="3"/>
  <c r="BA56" i="22" s="1"/>
  <c r="AY64" i="3"/>
  <c r="AY64" i="22" s="1"/>
  <c r="AZ64" i="3"/>
  <c r="AZ64" i="22" s="1"/>
  <c r="BA64" i="3"/>
  <c r="BA64" i="22" s="1"/>
  <c r="AY110" i="3"/>
  <c r="AY110" i="22" s="1"/>
  <c r="AZ110" i="3"/>
  <c r="AZ110" i="22" s="1"/>
  <c r="BA110" i="3"/>
  <c r="BA110" i="22" s="1"/>
  <c r="AY111" i="3"/>
  <c r="AY111" i="22" s="1"/>
  <c r="AZ111" i="3"/>
  <c r="AZ111" i="22" s="1"/>
  <c r="BA111" i="3"/>
  <c r="BA111" i="22" s="1"/>
  <c r="AY59" i="3"/>
  <c r="AY59" i="22" s="1"/>
  <c r="AZ59" i="3"/>
  <c r="AZ59" i="22" s="1"/>
  <c r="BA59" i="3"/>
  <c r="BA59" i="22" s="1"/>
  <c r="AY83" i="3"/>
  <c r="AY83" i="22" s="1"/>
  <c r="AZ83" i="3"/>
  <c r="AZ83" i="22" s="1"/>
  <c r="BA83" i="3"/>
  <c r="BA83" i="22" s="1"/>
  <c r="AY103" i="3"/>
  <c r="AY103" i="22" s="1"/>
  <c r="AZ103" i="3"/>
  <c r="AZ103" i="22" s="1"/>
  <c r="BA103" i="3"/>
  <c r="BA103" i="22" s="1"/>
  <c r="AY21" i="3"/>
  <c r="AY21" i="22" s="1"/>
  <c r="AZ21" i="3"/>
  <c r="AZ21" i="22" s="1"/>
  <c r="BA21" i="3"/>
  <c r="BA21" i="22" s="1"/>
  <c r="AY19" i="3"/>
  <c r="AY19" i="22" s="1"/>
  <c r="AZ19" i="3"/>
  <c r="AZ19" i="22" s="1"/>
  <c r="BA19" i="3"/>
  <c r="BA19" i="22" s="1"/>
  <c r="AY74" i="3"/>
  <c r="AY74" i="22" s="1"/>
  <c r="AZ74" i="3"/>
  <c r="AZ74" i="22" s="1"/>
  <c r="BA74" i="3"/>
  <c r="BA74" i="22" s="1"/>
  <c r="AY26" i="3"/>
  <c r="AY26" i="22" s="1"/>
  <c r="AZ26" i="3"/>
  <c r="AZ26" i="22" s="1"/>
  <c r="BA26" i="3"/>
  <c r="BA26" i="22" s="1"/>
  <c r="AY99" i="3"/>
  <c r="AY99" i="22" s="1"/>
  <c r="AZ99" i="3"/>
  <c r="AZ99" i="22" s="1"/>
  <c r="BA99" i="3"/>
  <c r="BA99" i="22" s="1"/>
  <c r="AY62" i="3"/>
  <c r="AY62" i="22" s="1"/>
  <c r="AZ62" i="3"/>
  <c r="AZ62" i="22" s="1"/>
  <c r="BA62" i="3"/>
  <c r="BA62" i="22" s="1"/>
  <c r="AY18" i="3"/>
  <c r="AY18" i="22" s="1"/>
  <c r="AZ18" i="3"/>
  <c r="AZ18" i="22" s="1"/>
  <c r="BA18" i="3"/>
  <c r="BA18" i="22" s="1"/>
  <c r="AY112" i="3"/>
  <c r="AY112" i="22" s="1"/>
  <c r="AZ112" i="3"/>
  <c r="AZ112" i="22" s="1"/>
  <c r="BA112" i="3"/>
  <c r="BA112" i="22" s="1"/>
  <c r="AY100" i="3"/>
  <c r="AY100" i="22" s="1"/>
  <c r="AZ100" i="3"/>
  <c r="AZ100" i="22" s="1"/>
  <c r="BA100" i="3"/>
  <c r="BA100" i="22" s="1"/>
  <c r="AY77" i="3"/>
  <c r="AY77" i="22" s="1"/>
  <c r="AZ77" i="3"/>
  <c r="AZ77" i="22" s="1"/>
  <c r="BA77" i="3"/>
  <c r="BA77" i="22" s="1"/>
  <c r="AY29" i="3"/>
  <c r="AY29" i="22" s="1"/>
  <c r="AZ29" i="3"/>
  <c r="AZ29" i="22" s="1"/>
  <c r="BA29" i="3"/>
  <c r="BA29" i="22" s="1"/>
  <c r="AY53" i="3"/>
  <c r="AY53" i="22" s="1"/>
  <c r="AZ53" i="3"/>
  <c r="AZ53" i="22" s="1"/>
  <c r="BA53" i="3"/>
  <c r="BA53" i="22" s="1"/>
  <c r="AY67" i="3"/>
  <c r="AY67" i="22" s="1"/>
  <c r="AZ67" i="3"/>
  <c r="AZ67" i="22" s="1"/>
  <c r="BA67" i="3"/>
  <c r="BA67" i="22" s="1"/>
  <c r="AY104" i="3"/>
  <c r="AY104" i="22" s="1"/>
  <c r="AZ104" i="3"/>
  <c r="AZ104" i="22" s="1"/>
  <c r="BA104" i="3"/>
  <c r="BA104" i="22" s="1"/>
  <c r="AY91" i="3"/>
  <c r="AY91" i="22" s="1"/>
  <c r="AZ91" i="3"/>
  <c r="AZ91" i="22" s="1"/>
  <c r="BA91" i="3"/>
  <c r="BA91" i="22" s="1"/>
  <c r="AY105" i="3"/>
  <c r="AY105" i="22" s="1"/>
  <c r="AZ105" i="3"/>
  <c r="AZ105" i="22" s="1"/>
  <c r="BA105" i="3"/>
  <c r="BA105" i="22" s="1"/>
  <c r="AY24" i="3"/>
  <c r="AY24" i="22" s="1"/>
  <c r="AZ24" i="3"/>
  <c r="AZ24" i="22" s="1"/>
  <c r="BA24" i="3"/>
  <c r="BA24" i="22" s="1"/>
  <c r="AY113" i="3"/>
  <c r="AY113" i="22" s="1"/>
  <c r="AZ113" i="3"/>
  <c r="AZ113" i="22" s="1"/>
  <c r="BA113" i="3"/>
  <c r="BA113" i="22" s="1"/>
  <c r="AY52" i="3"/>
  <c r="AY52" i="22" s="1"/>
  <c r="AZ52" i="3"/>
  <c r="AZ52" i="22" s="1"/>
  <c r="BA52" i="3"/>
  <c r="BA52" i="22" s="1"/>
  <c r="AY2" i="3"/>
  <c r="AY2" i="22" s="1"/>
  <c r="AZ2" i="3"/>
  <c r="AZ2" i="22" s="1"/>
  <c r="BA2" i="3"/>
  <c r="BA2" i="22" s="1"/>
  <c r="AY78" i="3"/>
  <c r="AY78" i="22" s="1"/>
  <c r="AZ78" i="3"/>
  <c r="AZ78" i="22" s="1"/>
  <c r="BA78" i="3"/>
  <c r="BA78" i="22" s="1"/>
  <c r="AY106" i="3"/>
  <c r="AY106" i="22" s="1"/>
  <c r="AZ106" i="3"/>
  <c r="AZ106" i="22" s="1"/>
  <c r="BA106" i="3"/>
  <c r="BA106" i="22" s="1"/>
  <c r="AY68" i="3"/>
  <c r="AY68" i="22" s="1"/>
  <c r="AZ68" i="3"/>
  <c r="AZ68" i="22" s="1"/>
  <c r="BA68" i="3"/>
  <c r="BA68" i="22" s="1"/>
  <c r="AY114" i="3"/>
  <c r="AY114" i="22" s="1"/>
  <c r="AZ114" i="3"/>
  <c r="AZ114" i="22" s="1"/>
  <c r="BA114" i="3"/>
  <c r="BA114" i="22" s="1"/>
  <c r="AY57" i="3"/>
  <c r="AY57" i="22" s="1"/>
  <c r="AZ57" i="3"/>
  <c r="AZ57" i="22" s="1"/>
  <c r="BA57" i="3"/>
  <c r="BA57" i="22" s="1"/>
  <c r="AY17" i="3"/>
  <c r="AY17" i="22" s="1"/>
  <c r="AZ17" i="3"/>
  <c r="AZ17" i="22" s="1"/>
  <c r="BA17" i="3"/>
  <c r="BA17" i="22" s="1"/>
  <c r="AY97" i="3"/>
  <c r="AY97" i="22" s="1"/>
  <c r="AZ97" i="3"/>
  <c r="AZ97" i="22" s="1"/>
  <c r="BA97" i="3"/>
  <c r="BA97" i="22" s="1"/>
  <c r="AY75" i="3"/>
  <c r="AY75" i="22" s="1"/>
  <c r="AZ75" i="3"/>
  <c r="AZ75" i="22" s="1"/>
  <c r="BA75" i="3"/>
  <c r="BA75" i="22" s="1"/>
  <c r="AY30" i="3"/>
  <c r="AY30" i="22" s="1"/>
  <c r="AZ30" i="3"/>
  <c r="AZ30" i="22" s="1"/>
  <c r="BA30" i="3"/>
  <c r="BA30" i="22" s="1"/>
  <c r="AY13" i="3"/>
  <c r="AY13" i="22" s="1"/>
  <c r="AZ13" i="3"/>
  <c r="AZ13" i="22" s="1"/>
  <c r="BA13" i="3"/>
  <c r="BA13" i="22" s="1"/>
  <c r="AY92" i="3"/>
  <c r="AY92" i="22" s="1"/>
  <c r="AZ92" i="3"/>
  <c r="AZ92" i="22" s="1"/>
  <c r="BA92" i="3"/>
  <c r="BA92" i="22" s="1"/>
  <c r="AY71" i="3"/>
  <c r="AY71" i="22" s="1"/>
  <c r="AZ71" i="3"/>
  <c r="AZ71" i="22" s="1"/>
  <c r="BA71" i="3"/>
  <c r="BA71" i="22" s="1"/>
  <c r="AY40" i="3"/>
  <c r="AY40" i="22" s="1"/>
  <c r="AZ40" i="3"/>
  <c r="AZ40" i="22" s="1"/>
  <c r="BA40" i="3"/>
  <c r="BA40" i="22" s="1"/>
  <c r="AY43" i="3"/>
  <c r="AY43" i="22" s="1"/>
  <c r="AZ43" i="3"/>
  <c r="AZ43" i="22" s="1"/>
  <c r="BA43" i="3"/>
  <c r="BA43" i="22" s="1"/>
  <c r="AY115" i="3"/>
  <c r="AY115" i="22" s="1"/>
  <c r="AZ115" i="3"/>
  <c r="AZ115" i="22" s="1"/>
  <c r="BA115" i="3"/>
  <c r="BA115" i="22" s="1"/>
  <c r="AY28" i="3"/>
  <c r="AY28" i="22" s="1"/>
  <c r="AZ28" i="3"/>
  <c r="AZ28" i="22" s="1"/>
  <c r="BA28" i="3"/>
  <c r="BA28" i="22" s="1"/>
  <c r="AY8" i="3"/>
  <c r="AY8" i="22" s="1"/>
  <c r="AZ8" i="3"/>
  <c r="AZ8" i="22" s="1"/>
  <c r="BA8" i="3"/>
  <c r="BA8" i="22" s="1"/>
  <c r="AY93" i="3"/>
  <c r="AY93" i="22" s="1"/>
  <c r="AZ93" i="3"/>
  <c r="AZ93" i="22" s="1"/>
  <c r="BA93" i="3"/>
  <c r="BA93" i="22" s="1"/>
  <c r="AY65" i="3"/>
  <c r="AY65" i="22" s="1"/>
  <c r="AZ65" i="3"/>
  <c r="AZ65" i="22" s="1"/>
  <c r="BA65" i="3"/>
  <c r="BA65" i="22" s="1"/>
  <c r="AY7" i="3"/>
  <c r="AY7" i="22" s="1"/>
  <c r="AZ7" i="3"/>
  <c r="AZ7" i="22" s="1"/>
  <c r="BA7" i="3"/>
  <c r="BA7" i="22" s="1"/>
  <c r="AY25" i="3"/>
  <c r="AY25" i="22" s="1"/>
  <c r="AZ25" i="3"/>
  <c r="AZ25" i="22" s="1"/>
  <c r="BA25" i="3"/>
  <c r="BA25" i="22" s="1"/>
  <c r="AY116" i="3"/>
  <c r="AY116" i="22" s="1"/>
  <c r="AZ116" i="3"/>
  <c r="AZ116" i="22" s="1"/>
  <c r="BA116" i="3"/>
  <c r="BA116" i="22" s="1"/>
  <c r="AY117" i="3"/>
  <c r="AY117" i="22" s="1"/>
  <c r="AZ117" i="3"/>
  <c r="AZ117" i="22" s="1"/>
  <c r="BA117" i="3"/>
  <c r="BA117" i="22" s="1"/>
  <c r="AY118" i="3"/>
  <c r="AY118" i="22" s="1"/>
  <c r="AZ118" i="3"/>
  <c r="AZ118" i="22" s="1"/>
  <c r="BA118" i="3"/>
  <c r="BA118" i="22" s="1"/>
  <c r="AY119" i="3"/>
  <c r="AY119" i="22" s="1"/>
  <c r="AZ119" i="3"/>
  <c r="AZ119" i="22" s="1"/>
  <c r="BA119" i="3"/>
  <c r="BA119" i="22" s="1"/>
  <c r="AY107" i="3"/>
  <c r="AY107" i="22" s="1"/>
  <c r="AZ107" i="3"/>
  <c r="AZ107" i="22" s="1"/>
  <c r="BA107" i="3"/>
  <c r="BA107" i="22" s="1"/>
  <c r="AY69" i="3"/>
  <c r="AY69" i="22" s="1"/>
  <c r="AZ69" i="3"/>
  <c r="AZ69" i="22" s="1"/>
  <c r="BA69" i="3"/>
  <c r="BA69" i="22" s="1"/>
  <c r="AY32" i="3"/>
  <c r="AY32" i="22" s="1"/>
  <c r="AZ32" i="3"/>
  <c r="AZ32" i="22" s="1"/>
  <c r="BA32" i="3"/>
  <c r="BA32" i="22" s="1"/>
  <c r="AY39" i="3"/>
  <c r="AY39" i="22" s="1"/>
  <c r="AZ39" i="3"/>
  <c r="AZ39" i="22" s="1"/>
  <c r="BA39" i="3"/>
  <c r="BA39" i="22" s="1"/>
  <c r="AY46" i="3"/>
  <c r="AY46" i="22" s="1"/>
  <c r="AZ46" i="3"/>
  <c r="AZ46" i="22" s="1"/>
  <c r="BA46" i="3"/>
  <c r="BA46" i="22" s="1"/>
  <c r="AY4" i="3"/>
  <c r="AY4" i="22" s="1"/>
  <c r="AZ4" i="3"/>
  <c r="AZ4" i="22" s="1"/>
  <c r="BA4" i="3"/>
  <c r="BA4" i="22" s="1"/>
  <c r="AY34" i="3"/>
  <c r="AY34" i="22" s="1"/>
  <c r="AZ34" i="3"/>
  <c r="AZ34" i="22" s="1"/>
  <c r="BA34" i="3"/>
  <c r="BA34" i="22" s="1"/>
  <c r="AY35" i="3"/>
  <c r="AY35" i="22" s="1"/>
  <c r="AZ35" i="3"/>
  <c r="AZ35" i="22" s="1"/>
  <c r="BA35" i="3"/>
  <c r="BA35" i="22" s="1"/>
  <c r="AY27" i="3"/>
  <c r="AY27" i="22" s="1"/>
  <c r="AZ27" i="3"/>
  <c r="AZ27" i="22" s="1"/>
  <c r="BA27" i="3"/>
  <c r="BA27" i="22" s="1"/>
  <c r="AY3" i="3"/>
  <c r="AY3" i="22" s="1"/>
  <c r="AZ3" i="3"/>
  <c r="AZ3" i="22" s="1"/>
  <c r="BA3" i="3"/>
  <c r="BA3" i="22" s="1"/>
  <c r="AY84" i="3"/>
  <c r="AY84" i="22" s="1"/>
  <c r="AZ84" i="3"/>
  <c r="AZ84" i="22" s="1"/>
  <c r="BA84" i="3"/>
  <c r="BA84" i="22" s="1"/>
  <c r="AY16" i="3"/>
  <c r="AY16" i="22" s="1"/>
  <c r="AZ16" i="3"/>
  <c r="AZ16" i="22" s="1"/>
  <c r="BA16" i="3"/>
  <c r="BA16" i="22" s="1"/>
  <c r="AY120" i="3"/>
  <c r="AY120" i="22" s="1"/>
  <c r="AZ120" i="3"/>
  <c r="AZ120" i="22" s="1"/>
  <c r="BA120" i="3"/>
  <c r="BA120" i="22" s="1"/>
  <c r="AY98" i="3"/>
  <c r="AY98" i="22" s="1"/>
  <c r="AZ98" i="3"/>
  <c r="AZ98" i="22" s="1"/>
  <c r="BA98" i="3"/>
  <c r="BA98" i="22" s="1"/>
  <c r="AY121" i="3"/>
  <c r="AY121" i="22" s="1"/>
  <c r="AZ121" i="3"/>
  <c r="AZ121" i="22" s="1"/>
  <c r="BA121" i="3"/>
  <c r="BA121" i="22" s="1"/>
  <c r="AY5" i="3"/>
  <c r="AY5" i="22" s="1"/>
  <c r="AZ5" i="3"/>
  <c r="AZ5" i="22" s="1"/>
  <c r="BA5" i="3"/>
  <c r="BA5" i="22" s="1"/>
  <c r="AY41" i="3"/>
  <c r="AY41" i="22" s="1"/>
  <c r="AZ41" i="3"/>
  <c r="AZ41" i="22" s="1"/>
  <c r="BA41" i="3"/>
  <c r="BA41" i="22" s="1"/>
  <c r="AY72" i="3"/>
  <c r="AY72" i="22" s="1"/>
  <c r="AZ72" i="3"/>
  <c r="AZ72" i="22" s="1"/>
  <c r="BA72" i="3"/>
  <c r="BA72" i="22" s="1"/>
  <c r="AY44" i="3"/>
  <c r="AY44" i="22" s="1"/>
  <c r="AZ44" i="3"/>
  <c r="AZ44" i="22" s="1"/>
  <c r="BA44" i="3"/>
  <c r="BA44" i="22" s="1"/>
  <c r="AY122" i="3"/>
  <c r="AY122" i="22" s="1"/>
  <c r="AZ122" i="3"/>
  <c r="AZ122" i="22" s="1"/>
  <c r="BA122" i="3"/>
  <c r="BA122" i="22" s="1"/>
  <c r="AY87" i="3"/>
  <c r="AY87" i="22" s="1"/>
  <c r="AZ87" i="3"/>
  <c r="AZ87" i="22" s="1"/>
  <c r="BA87" i="3"/>
  <c r="BA87" i="22" s="1"/>
  <c r="AY55" i="3"/>
  <c r="AY55" i="22" s="1"/>
  <c r="AZ55" i="3"/>
  <c r="AZ55" i="22" s="1"/>
  <c r="BA55" i="3"/>
  <c r="BA55" i="22" s="1"/>
  <c r="AY23" i="3"/>
  <c r="AY23" i="22" s="1"/>
  <c r="AZ23" i="3"/>
  <c r="AZ23" i="22" s="1"/>
  <c r="BA23" i="3"/>
  <c r="BA23" i="22" s="1"/>
  <c r="AY82" i="3"/>
  <c r="AY82" i="22" s="1"/>
  <c r="AZ82" i="3"/>
  <c r="AZ82" i="22" s="1"/>
  <c r="BA82" i="3"/>
  <c r="BA82" i="22" s="1"/>
  <c r="AY79" i="3"/>
  <c r="AY79" i="22" s="1"/>
  <c r="AZ79" i="3"/>
  <c r="AZ79" i="22" s="1"/>
  <c r="BA79" i="3"/>
  <c r="BA79" i="22" s="1"/>
  <c r="AY101" i="3"/>
  <c r="AY101" i="22" s="1"/>
  <c r="AZ101" i="3"/>
  <c r="AZ101" i="22" s="1"/>
  <c r="BA101" i="3"/>
  <c r="BA101" i="22" s="1"/>
  <c r="AY80" i="3"/>
  <c r="AY80" i="22" s="1"/>
  <c r="AZ80" i="3"/>
  <c r="AZ80" i="22" s="1"/>
  <c r="BA80" i="3"/>
  <c r="BA80" i="22" s="1"/>
  <c r="AY88" i="3"/>
  <c r="AY88" i="22" s="1"/>
  <c r="AZ88" i="3"/>
  <c r="AZ88" i="22" s="1"/>
  <c r="BA88" i="3"/>
  <c r="BA88" i="22" s="1"/>
  <c r="AY108" i="3"/>
  <c r="AY108" i="22" s="1"/>
  <c r="AZ108" i="3"/>
  <c r="AZ108" i="22" s="1"/>
  <c r="BA108" i="3"/>
  <c r="BA108" i="22" s="1"/>
  <c r="AY123" i="3"/>
  <c r="AY123" i="22" s="1"/>
  <c r="AZ123" i="3"/>
  <c r="AZ123" i="22" s="1"/>
  <c r="BA123" i="3"/>
  <c r="BA123" i="22" s="1"/>
  <c r="AY86" i="3"/>
  <c r="AY86" i="22" s="1"/>
  <c r="AZ86" i="3"/>
  <c r="AZ86" i="22" s="1"/>
  <c r="BA86" i="3"/>
  <c r="BA86" i="22" s="1"/>
  <c r="AY124" i="3"/>
  <c r="AY124" i="22" s="1"/>
  <c r="AZ124" i="3"/>
  <c r="AZ124" i="22" s="1"/>
  <c r="BA124" i="3"/>
  <c r="BA124" i="22" s="1"/>
  <c r="AY14" i="3"/>
  <c r="AY14" i="22" s="1"/>
  <c r="AZ14" i="3"/>
  <c r="AZ14" i="22" s="1"/>
  <c r="BA14" i="3"/>
  <c r="BA14" i="22" s="1"/>
  <c r="AY94" i="3"/>
  <c r="AY94" i="22" s="1"/>
  <c r="AZ94" i="3"/>
  <c r="AZ94" i="22" s="1"/>
  <c r="BA94" i="3"/>
  <c r="BA94" i="22" s="1"/>
  <c r="AY109" i="3"/>
  <c r="AY109" i="22" s="1"/>
  <c r="AZ109" i="3"/>
  <c r="AZ109" i="22" s="1"/>
  <c r="BA109" i="3"/>
  <c r="BA109" i="22" s="1"/>
  <c r="AY76" i="3"/>
  <c r="AY76" i="22" s="1"/>
  <c r="AZ76" i="3"/>
  <c r="AZ76" i="22" s="1"/>
  <c r="BA76" i="3"/>
  <c r="BA76" i="22" s="1"/>
  <c r="AY11" i="3"/>
  <c r="AY11" i="22" s="1"/>
  <c r="AZ11" i="3"/>
  <c r="AZ11" i="22" s="1"/>
  <c r="BA11" i="3"/>
  <c r="BA11" i="22" s="1"/>
  <c r="AY70" i="3"/>
  <c r="AY70" i="22" s="1"/>
  <c r="AZ70" i="3"/>
  <c r="AZ70" i="22" s="1"/>
  <c r="BA70" i="3"/>
  <c r="BA70" i="22" s="1"/>
  <c r="AY60" i="3"/>
  <c r="AY60" i="22" s="1"/>
  <c r="AZ60" i="3"/>
  <c r="AZ60" i="22" s="1"/>
  <c r="BA60" i="3"/>
  <c r="BA60" i="22" s="1"/>
  <c r="AY63" i="3"/>
  <c r="AY63" i="22" s="1"/>
  <c r="AZ63" i="3"/>
  <c r="AZ63" i="22" s="1"/>
  <c r="BA63" i="3"/>
  <c r="BA63" i="22" s="1"/>
  <c r="AY89" i="3"/>
  <c r="AY89" i="22" s="1"/>
  <c r="AZ89" i="3"/>
  <c r="AZ89" i="22" s="1"/>
  <c r="BA89" i="3"/>
  <c r="BA89" i="22" s="1"/>
  <c r="AY61" i="3"/>
  <c r="AY61" i="22" s="1"/>
  <c r="AZ61" i="3"/>
  <c r="AZ61" i="22" s="1"/>
  <c r="BA61" i="3"/>
  <c r="BA61" i="22" s="1"/>
  <c r="AY48" i="3"/>
  <c r="AY48" i="22" s="1"/>
  <c r="AZ48" i="3"/>
  <c r="AZ48" i="22" s="1"/>
  <c r="BA48" i="3"/>
  <c r="BA48" i="22" s="1"/>
  <c r="AY47" i="3"/>
  <c r="AY47" i="22" s="1"/>
  <c r="AZ47" i="3"/>
  <c r="AZ47" i="22" s="1"/>
  <c r="BA47" i="3"/>
  <c r="BA47" i="22" s="1"/>
  <c r="AY33" i="3"/>
  <c r="AY33" i="22" s="1"/>
  <c r="AZ33" i="3"/>
  <c r="AZ33" i="22" s="1"/>
  <c r="BA33" i="3"/>
  <c r="BA33" i="22" s="1"/>
  <c r="AY20" i="3"/>
  <c r="AY20" i="22" s="1"/>
  <c r="AZ20" i="3"/>
  <c r="AZ20" i="22" s="1"/>
  <c r="BA20" i="3"/>
  <c r="BA20" i="22" s="1"/>
  <c r="AY95" i="3"/>
  <c r="AY95" i="22" s="1"/>
  <c r="AZ95" i="3"/>
  <c r="AZ95" i="22" s="1"/>
  <c r="BA95" i="3"/>
  <c r="BA95" i="22" s="1"/>
  <c r="AY36" i="3"/>
  <c r="AY36" i="22" s="1"/>
  <c r="AZ36" i="3"/>
  <c r="AZ36" i="22" s="1"/>
  <c r="BA36" i="3"/>
  <c r="BA36" i="22" s="1"/>
  <c r="AY51" i="3"/>
  <c r="AY51" i="22" s="1"/>
  <c r="AZ51" i="3"/>
  <c r="AZ51" i="22" s="1"/>
  <c r="BA51" i="3"/>
  <c r="BA51" i="22" s="1"/>
  <c r="AY42" i="3"/>
  <c r="AY42" i="22" s="1"/>
  <c r="AZ42" i="3"/>
  <c r="AZ42" i="22" s="1"/>
  <c r="BA42" i="3"/>
  <c r="BA42" i="22" s="1"/>
  <c r="AY37" i="3"/>
  <c r="AY37" i="22" s="1"/>
  <c r="AZ37" i="3"/>
  <c r="AZ37" i="22" s="1"/>
  <c r="BA37" i="3"/>
  <c r="BA37" i="22" s="1"/>
  <c r="AY81" i="3"/>
  <c r="AY81" i="22" s="1"/>
  <c r="AZ81" i="3"/>
  <c r="AZ81" i="22" s="1"/>
  <c r="BA81" i="3"/>
  <c r="BA81" i="22" s="1"/>
  <c r="AY54" i="3"/>
  <c r="AY54" i="22" s="1"/>
  <c r="AZ54" i="3"/>
  <c r="AZ54" i="22" s="1"/>
  <c r="BA54" i="3"/>
  <c r="BA54" i="22" s="1"/>
  <c r="AY22" i="3"/>
  <c r="AY22" i="22" s="1"/>
  <c r="AZ22" i="3"/>
  <c r="AZ22" i="22" s="1"/>
  <c r="BA22" i="3"/>
  <c r="BA22" i="22" s="1"/>
  <c r="AY58" i="3"/>
  <c r="AY58" i="22" s="1"/>
  <c r="AZ58" i="3"/>
  <c r="AZ58" i="22" s="1"/>
  <c r="BA58" i="3"/>
  <c r="BA58" i="22" s="1"/>
  <c r="AY31" i="3"/>
  <c r="AY31" i="22" s="1"/>
  <c r="AZ31" i="3"/>
  <c r="AZ31" i="22" s="1"/>
  <c r="BA31" i="3"/>
  <c r="BA31" i="22" s="1"/>
  <c r="AY66" i="3"/>
  <c r="AY66" i="22" s="1"/>
  <c r="AZ66" i="3"/>
  <c r="AZ66" i="22" s="1"/>
  <c r="BA66" i="3"/>
  <c r="BA66" i="22" s="1"/>
  <c r="AY6" i="3"/>
  <c r="AY6" i="22" s="1"/>
  <c r="AZ6" i="3"/>
  <c r="AZ6" i="22" s="1"/>
  <c r="BA6" i="3"/>
  <c r="BA6" i="22" s="1"/>
  <c r="AY90" i="3"/>
  <c r="AY90" i="22" s="1"/>
  <c r="AZ90" i="3"/>
  <c r="AZ90" i="22" s="1"/>
  <c r="BA90" i="3"/>
  <c r="BA90" i="22" s="1"/>
  <c r="AY125" i="3"/>
  <c r="AY125" i="22" s="1"/>
  <c r="AZ125" i="3"/>
  <c r="AZ125" i="22" s="1"/>
  <c r="BA125" i="3"/>
  <c r="BA125" i="22" s="1"/>
  <c r="AY12" i="3"/>
  <c r="AY12" i="22" s="1"/>
  <c r="AZ12" i="3"/>
  <c r="AZ12" i="22" s="1"/>
  <c r="BA12" i="3"/>
  <c r="BA12" i="22" s="1"/>
  <c r="B85" i="3"/>
  <c r="B85" i="22" s="1"/>
  <c r="C85" i="3"/>
  <c r="C85" i="22" s="1"/>
  <c r="D85" i="3"/>
  <c r="D85" i="22" s="1"/>
  <c r="E85" i="3"/>
  <c r="E85" i="22" s="1"/>
  <c r="F85" i="3"/>
  <c r="F85" i="22" s="1"/>
  <c r="G85" i="3"/>
  <c r="G85" i="22" s="1"/>
  <c r="H85" i="3"/>
  <c r="H85" i="22" s="1"/>
  <c r="I85" i="3"/>
  <c r="I85" i="22" s="1"/>
  <c r="J85" i="3"/>
  <c r="J85" i="22" s="1"/>
  <c r="K85" i="3"/>
  <c r="K85" i="22" s="1"/>
  <c r="L85" i="3"/>
  <c r="L85" i="22" s="1"/>
  <c r="M85" i="3"/>
  <c r="M85" i="22" s="1"/>
  <c r="N85" i="3"/>
  <c r="N85" i="22" s="1"/>
  <c r="O85" i="3"/>
  <c r="O85" i="22" s="1"/>
  <c r="P85" i="3"/>
  <c r="P85" i="22" s="1"/>
  <c r="Q85" i="3"/>
  <c r="Q85" i="22" s="1"/>
  <c r="R85" i="3"/>
  <c r="R85" i="22" s="1"/>
  <c r="S85" i="3"/>
  <c r="S85" i="22" s="1"/>
  <c r="T85" i="3"/>
  <c r="T85" i="22" s="1"/>
  <c r="U85" i="3"/>
  <c r="U85" i="22" s="1"/>
  <c r="V85" i="3"/>
  <c r="V85" i="22" s="1"/>
  <c r="W85" i="3"/>
  <c r="W85" i="22" s="1"/>
  <c r="X85" i="3"/>
  <c r="X85" i="22" s="1"/>
  <c r="Y85" i="3"/>
  <c r="Y85" i="22" s="1"/>
  <c r="Z85" i="3"/>
  <c r="Z85" i="22" s="1"/>
  <c r="AA85" i="3"/>
  <c r="AA85" i="22" s="1"/>
  <c r="AB85" i="3"/>
  <c r="AB85" i="22" s="1"/>
  <c r="AC85" i="3"/>
  <c r="AC85" i="22" s="1"/>
  <c r="AD85" i="3"/>
  <c r="AD85" i="22" s="1"/>
  <c r="AE85" i="3"/>
  <c r="AE85" i="22" s="1"/>
  <c r="AF85" i="3"/>
  <c r="AF85" i="22" s="1"/>
  <c r="AG85" i="3"/>
  <c r="AG85" i="22" s="1"/>
  <c r="AH85" i="3"/>
  <c r="AH85" i="22" s="1"/>
  <c r="AI85" i="3"/>
  <c r="AI85" i="22" s="1"/>
  <c r="AJ85" i="3"/>
  <c r="AJ85" i="22" s="1"/>
  <c r="AK85" i="3"/>
  <c r="AK85" i="22" s="1"/>
  <c r="AL85" i="3"/>
  <c r="AL85" i="22" s="1"/>
  <c r="AM85" i="3"/>
  <c r="AM85" i="22" s="1"/>
  <c r="AN85" i="3"/>
  <c r="AN85" i="22" s="1"/>
  <c r="AO85" i="3"/>
  <c r="AO85" i="22" s="1"/>
  <c r="AP85" i="3"/>
  <c r="AP85" i="22" s="1"/>
  <c r="AQ85" i="3"/>
  <c r="AQ85" i="22" s="1"/>
  <c r="AR85" i="3"/>
  <c r="AR85" i="22" s="1"/>
  <c r="AS85" i="3"/>
  <c r="AS85" i="22" s="1"/>
  <c r="AT85" i="3"/>
  <c r="AT85" i="22" s="1"/>
  <c r="AU85" i="3"/>
  <c r="AU85" i="22" s="1"/>
  <c r="AV85" i="3"/>
  <c r="AV85" i="22" s="1"/>
  <c r="AW85" i="3"/>
  <c r="AW85" i="22" s="1"/>
  <c r="AX85" i="3"/>
  <c r="AX85" i="22" s="1"/>
  <c r="B56" i="3"/>
  <c r="B56" i="22" s="1"/>
  <c r="C56" i="3"/>
  <c r="C56" i="22" s="1"/>
  <c r="D56" i="3"/>
  <c r="D56" i="22" s="1"/>
  <c r="E56" i="3"/>
  <c r="E56" i="22" s="1"/>
  <c r="F56" i="3"/>
  <c r="F56" i="22" s="1"/>
  <c r="G56" i="3"/>
  <c r="G56" i="22" s="1"/>
  <c r="H56" i="3"/>
  <c r="H56" i="22" s="1"/>
  <c r="I56" i="3"/>
  <c r="I56" i="22" s="1"/>
  <c r="J56" i="3"/>
  <c r="J56" i="22" s="1"/>
  <c r="K56" i="3"/>
  <c r="K56" i="22" s="1"/>
  <c r="L56" i="3"/>
  <c r="L56" i="22" s="1"/>
  <c r="M56" i="3"/>
  <c r="M56" i="22" s="1"/>
  <c r="N56" i="3"/>
  <c r="N56" i="22" s="1"/>
  <c r="O56" i="3"/>
  <c r="O56" i="22" s="1"/>
  <c r="P56" i="3"/>
  <c r="P56" i="22" s="1"/>
  <c r="Q56" i="3"/>
  <c r="Q56" i="22" s="1"/>
  <c r="R56" i="3"/>
  <c r="R56" i="22" s="1"/>
  <c r="S56" i="3"/>
  <c r="S56" i="22" s="1"/>
  <c r="T56" i="3"/>
  <c r="T56" i="22" s="1"/>
  <c r="U56" i="3"/>
  <c r="U56" i="22" s="1"/>
  <c r="V56" i="3"/>
  <c r="V56" i="22" s="1"/>
  <c r="W56" i="3"/>
  <c r="W56" i="22" s="1"/>
  <c r="X56" i="3"/>
  <c r="X56" i="22" s="1"/>
  <c r="Y56" i="3"/>
  <c r="Y56" i="22" s="1"/>
  <c r="Z56" i="3"/>
  <c r="Z56" i="22" s="1"/>
  <c r="AA56" i="3"/>
  <c r="AA56" i="22" s="1"/>
  <c r="AB56" i="3"/>
  <c r="AB56" i="22" s="1"/>
  <c r="AC56" i="3"/>
  <c r="AC56" i="22" s="1"/>
  <c r="AD56" i="3"/>
  <c r="AD56" i="22" s="1"/>
  <c r="AE56" i="3"/>
  <c r="AE56" i="22" s="1"/>
  <c r="AF56" i="3"/>
  <c r="AF56" i="22" s="1"/>
  <c r="AG56" i="3"/>
  <c r="AG56" i="22" s="1"/>
  <c r="AH56" i="3"/>
  <c r="AH56" i="22" s="1"/>
  <c r="AI56" i="3"/>
  <c r="AI56" i="22" s="1"/>
  <c r="AJ56" i="3"/>
  <c r="AJ56" i="22" s="1"/>
  <c r="AK56" i="3"/>
  <c r="AK56" i="22" s="1"/>
  <c r="AL56" i="3"/>
  <c r="AL56" i="22" s="1"/>
  <c r="AM56" i="3"/>
  <c r="AM56" i="22" s="1"/>
  <c r="AN56" i="3"/>
  <c r="AN56" i="22" s="1"/>
  <c r="AO56" i="3"/>
  <c r="AO56" i="22" s="1"/>
  <c r="AP56" i="3"/>
  <c r="AP56" i="22" s="1"/>
  <c r="AQ56" i="3"/>
  <c r="AQ56" i="22" s="1"/>
  <c r="AR56" i="3"/>
  <c r="AR56" i="22" s="1"/>
  <c r="AS56" i="3"/>
  <c r="AS56" i="22" s="1"/>
  <c r="AT56" i="3"/>
  <c r="AT56" i="22" s="1"/>
  <c r="AU56" i="3"/>
  <c r="AU56" i="22" s="1"/>
  <c r="AV56" i="3"/>
  <c r="AV56" i="22" s="1"/>
  <c r="AW56" i="3"/>
  <c r="AW56" i="22" s="1"/>
  <c r="AX56" i="3"/>
  <c r="AX56" i="22" s="1"/>
  <c r="B64" i="3"/>
  <c r="B64" i="22" s="1"/>
  <c r="C64" i="3"/>
  <c r="C64" i="22" s="1"/>
  <c r="D64" i="3"/>
  <c r="D64" i="22" s="1"/>
  <c r="E64" i="3"/>
  <c r="E64" i="22" s="1"/>
  <c r="F64" i="3"/>
  <c r="F64" i="22" s="1"/>
  <c r="G64" i="3"/>
  <c r="G64" i="22" s="1"/>
  <c r="H64" i="3"/>
  <c r="H64" i="22" s="1"/>
  <c r="I64" i="3"/>
  <c r="I64" i="22" s="1"/>
  <c r="J64" i="3"/>
  <c r="J64" i="22" s="1"/>
  <c r="K64" i="3"/>
  <c r="K64" i="22" s="1"/>
  <c r="L64" i="3"/>
  <c r="L64" i="22" s="1"/>
  <c r="M64" i="3"/>
  <c r="M64" i="22" s="1"/>
  <c r="N64" i="3"/>
  <c r="N64" i="22" s="1"/>
  <c r="O64" i="3"/>
  <c r="O64" i="22" s="1"/>
  <c r="P64" i="3"/>
  <c r="P64" i="22" s="1"/>
  <c r="Q64" i="3"/>
  <c r="Q64" i="22" s="1"/>
  <c r="R64" i="3"/>
  <c r="R64" i="22" s="1"/>
  <c r="S64" i="3"/>
  <c r="S64" i="22" s="1"/>
  <c r="T64" i="3"/>
  <c r="T64" i="22" s="1"/>
  <c r="U64" i="3"/>
  <c r="U64" i="22" s="1"/>
  <c r="V64" i="3"/>
  <c r="V64" i="22" s="1"/>
  <c r="W64" i="3"/>
  <c r="W64" i="22" s="1"/>
  <c r="X64" i="3"/>
  <c r="X64" i="22" s="1"/>
  <c r="Y64" i="3"/>
  <c r="Y64" i="22" s="1"/>
  <c r="Z64" i="3"/>
  <c r="Z64" i="22" s="1"/>
  <c r="AA64" i="3"/>
  <c r="AA64" i="22" s="1"/>
  <c r="AB64" i="3"/>
  <c r="AB64" i="22" s="1"/>
  <c r="AC64" i="3"/>
  <c r="AC64" i="22" s="1"/>
  <c r="AD64" i="3"/>
  <c r="AD64" i="22" s="1"/>
  <c r="AE64" i="3"/>
  <c r="AE64" i="22" s="1"/>
  <c r="AF64" i="3"/>
  <c r="AF64" i="22" s="1"/>
  <c r="AG64" i="3"/>
  <c r="AG64" i="22" s="1"/>
  <c r="AH64" i="3"/>
  <c r="AH64" i="22" s="1"/>
  <c r="AI64" i="3"/>
  <c r="AI64" i="22" s="1"/>
  <c r="AJ64" i="3"/>
  <c r="AJ64" i="22" s="1"/>
  <c r="AK64" i="3"/>
  <c r="AK64" i="22" s="1"/>
  <c r="AL64" i="3"/>
  <c r="AL64" i="22" s="1"/>
  <c r="AM64" i="3"/>
  <c r="AM64" i="22" s="1"/>
  <c r="AN64" i="3"/>
  <c r="AN64" i="22" s="1"/>
  <c r="AO64" i="3"/>
  <c r="AO64" i="22" s="1"/>
  <c r="AP64" i="3"/>
  <c r="AP64" i="22" s="1"/>
  <c r="AQ64" i="3"/>
  <c r="AQ64" i="22" s="1"/>
  <c r="AR64" i="3"/>
  <c r="AR64" i="22" s="1"/>
  <c r="AS64" i="3"/>
  <c r="AS64" i="22" s="1"/>
  <c r="AT64" i="3"/>
  <c r="AT64" i="22" s="1"/>
  <c r="AU64" i="3"/>
  <c r="AU64" i="22" s="1"/>
  <c r="AV64" i="3"/>
  <c r="AV64" i="22" s="1"/>
  <c r="AW64" i="3"/>
  <c r="AW64" i="22" s="1"/>
  <c r="AX64" i="3"/>
  <c r="AX64" i="22" s="1"/>
  <c r="B110" i="3"/>
  <c r="B110" i="22" s="1"/>
  <c r="C110" i="3"/>
  <c r="C110" i="22" s="1"/>
  <c r="D110" i="3"/>
  <c r="D110" i="22" s="1"/>
  <c r="E110" i="3"/>
  <c r="E110" i="22" s="1"/>
  <c r="F110" i="3"/>
  <c r="F110" i="22" s="1"/>
  <c r="G110" i="3"/>
  <c r="G110" i="22" s="1"/>
  <c r="H110" i="3"/>
  <c r="H110" i="22" s="1"/>
  <c r="I110" i="3"/>
  <c r="I110" i="22" s="1"/>
  <c r="J110" i="3"/>
  <c r="J110" i="22" s="1"/>
  <c r="K110" i="3"/>
  <c r="K110" i="22" s="1"/>
  <c r="L110" i="3"/>
  <c r="L110" i="22" s="1"/>
  <c r="M110" i="3"/>
  <c r="M110" i="22" s="1"/>
  <c r="N110" i="3"/>
  <c r="N110" i="22" s="1"/>
  <c r="O110" i="3"/>
  <c r="O110" i="22" s="1"/>
  <c r="P110" i="3"/>
  <c r="P110" i="22" s="1"/>
  <c r="Q110" i="3"/>
  <c r="Q110" i="22" s="1"/>
  <c r="R110" i="3"/>
  <c r="R110" i="22" s="1"/>
  <c r="S110" i="3"/>
  <c r="S110" i="22" s="1"/>
  <c r="T110" i="3"/>
  <c r="T110" i="22" s="1"/>
  <c r="U110" i="3"/>
  <c r="U110" i="22" s="1"/>
  <c r="V110" i="3"/>
  <c r="V110" i="22" s="1"/>
  <c r="W110" i="3"/>
  <c r="W110" i="22" s="1"/>
  <c r="X110" i="3"/>
  <c r="X110" i="22" s="1"/>
  <c r="Y110" i="3"/>
  <c r="Y110" i="22" s="1"/>
  <c r="Z110" i="3"/>
  <c r="Z110" i="22" s="1"/>
  <c r="AA110" i="3"/>
  <c r="AA110" i="22" s="1"/>
  <c r="AB110" i="3"/>
  <c r="AB110" i="22" s="1"/>
  <c r="AC110" i="3"/>
  <c r="AC110" i="22" s="1"/>
  <c r="AD110" i="3"/>
  <c r="AD110" i="22" s="1"/>
  <c r="AE110" i="3"/>
  <c r="AE110" i="22" s="1"/>
  <c r="AF110" i="3"/>
  <c r="AF110" i="22" s="1"/>
  <c r="AG110" i="3"/>
  <c r="AG110" i="22" s="1"/>
  <c r="AH110" i="3"/>
  <c r="AH110" i="22" s="1"/>
  <c r="AI110" i="3"/>
  <c r="AI110" i="22" s="1"/>
  <c r="AJ110" i="3"/>
  <c r="AJ110" i="22" s="1"/>
  <c r="AK110" i="3"/>
  <c r="AK110" i="22" s="1"/>
  <c r="AL110" i="3"/>
  <c r="AL110" i="22" s="1"/>
  <c r="AM110" i="3"/>
  <c r="AM110" i="22" s="1"/>
  <c r="AN110" i="3"/>
  <c r="AN110" i="22" s="1"/>
  <c r="AO110" i="3"/>
  <c r="AO110" i="22" s="1"/>
  <c r="AP110" i="3"/>
  <c r="AP110" i="22" s="1"/>
  <c r="AQ110" i="3"/>
  <c r="AQ110" i="22" s="1"/>
  <c r="AR110" i="3"/>
  <c r="AR110" i="22" s="1"/>
  <c r="AS110" i="3"/>
  <c r="AS110" i="22" s="1"/>
  <c r="AT110" i="3"/>
  <c r="AT110" i="22" s="1"/>
  <c r="AU110" i="3"/>
  <c r="AU110" i="22" s="1"/>
  <c r="AV110" i="3"/>
  <c r="AV110" i="22" s="1"/>
  <c r="AW110" i="3"/>
  <c r="AW110" i="22" s="1"/>
  <c r="AX110" i="3"/>
  <c r="AX110" i="22" s="1"/>
  <c r="B111" i="3"/>
  <c r="B111" i="22" s="1"/>
  <c r="C111" i="3"/>
  <c r="C111" i="22" s="1"/>
  <c r="D111" i="3"/>
  <c r="D111" i="22" s="1"/>
  <c r="E111" i="3"/>
  <c r="E111" i="22" s="1"/>
  <c r="F111" i="3"/>
  <c r="F111" i="22" s="1"/>
  <c r="G111" i="3"/>
  <c r="G111" i="22" s="1"/>
  <c r="H111" i="3"/>
  <c r="H111" i="22" s="1"/>
  <c r="I111" i="3"/>
  <c r="I111" i="22" s="1"/>
  <c r="J111" i="3"/>
  <c r="J111" i="22" s="1"/>
  <c r="K111" i="3"/>
  <c r="K111" i="22" s="1"/>
  <c r="L111" i="3"/>
  <c r="L111" i="22" s="1"/>
  <c r="M111" i="3"/>
  <c r="M111" i="22" s="1"/>
  <c r="N111" i="3"/>
  <c r="N111" i="22" s="1"/>
  <c r="O111" i="3"/>
  <c r="O111" i="22" s="1"/>
  <c r="P111" i="3"/>
  <c r="P111" i="22" s="1"/>
  <c r="Q111" i="3"/>
  <c r="Q111" i="22" s="1"/>
  <c r="R111" i="3"/>
  <c r="R111" i="22" s="1"/>
  <c r="S111" i="3"/>
  <c r="S111" i="22" s="1"/>
  <c r="T111" i="3"/>
  <c r="T111" i="22" s="1"/>
  <c r="U111" i="3"/>
  <c r="U111" i="22" s="1"/>
  <c r="V111" i="3"/>
  <c r="V111" i="22" s="1"/>
  <c r="W111" i="3"/>
  <c r="W111" i="22" s="1"/>
  <c r="X111" i="3"/>
  <c r="X111" i="22" s="1"/>
  <c r="Y111" i="3"/>
  <c r="Y111" i="22" s="1"/>
  <c r="Z111" i="3"/>
  <c r="Z111" i="22" s="1"/>
  <c r="AA111" i="3"/>
  <c r="AA111" i="22" s="1"/>
  <c r="AB111" i="3"/>
  <c r="AB111" i="22" s="1"/>
  <c r="AC111" i="3"/>
  <c r="AC111" i="22" s="1"/>
  <c r="AD111" i="3"/>
  <c r="AD111" i="22" s="1"/>
  <c r="AE111" i="3"/>
  <c r="AE111" i="22" s="1"/>
  <c r="AF111" i="3"/>
  <c r="AF111" i="22" s="1"/>
  <c r="AG111" i="3"/>
  <c r="AG111" i="22" s="1"/>
  <c r="AH111" i="3"/>
  <c r="AH111" i="22" s="1"/>
  <c r="AI111" i="3"/>
  <c r="AI111" i="22" s="1"/>
  <c r="AJ111" i="3"/>
  <c r="AJ111" i="22" s="1"/>
  <c r="AK111" i="3"/>
  <c r="AK111" i="22" s="1"/>
  <c r="AL111" i="3"/>
  <c r="AL111" i="22" s="1"/>
  <c r="AM111" i="3"/>
  <c r="AM111" i="22" s="1"/>
  <c r="AN111" i="3"/>
  <c r="AN111" i="22" s="1"/>
  <c r="AO111" i="3"/>
  <c r="AO111" i="22" s="1"/>
  <c r="AP111" i="3"/>
  <c r="AP111" i="22" s="1"/>
  <c r="AQ111" i="3"/>
  <c r="AQ111" i="22" s="1"/>
  <c r="AR111" i="3"/>
  <c r="AR111" i="22" s="1"/>
  <c r="AS111" i="3"/>
  <c r="AS111" i="22" s="1"/>
  <c r="AT111" i="3"/>
  <c r="AT111" i="22" s="1"/>
  <c r="AU111" i="3"/>
  <c r="AU111" i="22" s="1"/>
  <c r="AV111" i="3"/>
  <c r="AV111" i="22" s="1"/>
  <c r="AW111" i="3"/>
  <c r="AW111" i="22" s="1"/>
  <c r="AX111" i="3"/>
  <c r="AX111" i="22" s="1"/>
  <c r="B59" i="3"/>
  <c r="C59" i="3"/>
  <c r="C59" i="22" s="1"/>
  <c r="D59" i="3"/>
  <c r="D59" i="22" s="1"/>
  <c r="E59" i="3"/>
  <c r="E59" i="22" s="1"/>
  <c r="F59" i="3"/>
  <c r="F59" i="22" s="1"/>
  <c r="G59" i="3"/>
  <c r="G59" i="22" s="1"/>
  <c r="H59" i="3"/>
  <c r="H59" i="22" s="1"/>
  <c r="I59" i="3"/>
  <c r="I59" i="22" s="1"/>
  <c r="J59" i="3"/>
  <c r="J59" i="22" s="1"/>
  <c r="K59" i="3"/>
  <c r="K59" i="22" s="1"/>
  <c r="L59" i="3"/>
  <c r="L59" i="22" s="1"/>
  <c r="M59" i="3"/>
  <c r="M59" i="22" s="1"/>
  <c r="N59" i="3"/>
  <c r="N59" i="22" s="1"/>
  <c r="O59" i="3"/>
  <c r="O59" i="22" s="1"/>
  <c r="P59" i="3"/>
  <c r="P59" i="22" s="1"/>
  <c r="Q59" i="3"/>
  <c r="Q59" i="22" s="1"/>
  <c r="R59" i="3"/>
  <c r="R59" i="22" s="1"/>
  <c r="S59" i="3"/>
  <c r="S59" i="22" s="1"/>
  <c r="T59" i="3"/>
  <c r="T59" i="22" s="1"/>
  <c r="U59" i="3"/>
  <c r="U59" i="22" s="1"/>
  <c r="V59" i="3"/>
  <c r="V59" i="22" s="1"/>
  <c r="W59" i="3"/>
  <c r="W59" i="22" s="1"/>
  <c r="X59" i="3"/>
  <c r="X59" i="22" s="1"/>
  <c r="Y59" i="3"/>
  <c r="Y59" i="22" s="1"/>
  <c r="Z59" i="3"/>
  <c r="Z59" i="22" s="1"/>
  <c r="AA59" i="3"/>
  <c r="AA59" i="22" s="1"/>
  <c r="AB59" i="3"/>
  <c r="AB59" i="22" s="1"/>
  <c r="AC59" i="3"/>
  <c r="AC59" i="22" s="1"/>
  <c r="AD59" i="3"/>
  <c r="AD59" i="22" s="1"/>
  <c r="AE59" i="3"/>
  <c r="AE59" i="22" s="1"/>
  <c r="AF59" i="3"/>
  <c r="AF59" i="22" s="1"/>
  <c r="AG59" i="3"/>
  <c r="AG59" i="22" s="1"/>
  <c r="AH59" i="3"/>
  <c r="AH59" i="22" s="1"/>
  <c r="AI59" i="3"/>
  <c r="AI59" i="22" s="1"/>
  <c r="AJ59" i="3"/>
  <c r="AJ59" i="22" s="1"/>
  <c r="AK59" i="3"/>
  <c r="AK59" i="22" s="1"/>
  <c r="AL59" i="3"/>
  <c r="AL59" i="22" s="1"/>
  <c r="AM59" i="3"/>
  <c r="AM59" i="22" s="1"/>
  <c r="AN59" i="3"/>
  <c r="AN59" i="22" s="1"/>
  <c r="AO59" i="3"/>
  <c r="AO59" i="22" s="1"/>
  <c r="AP59" i="3"/>
  <c r="AP59" i="22" s="1"/>
  <c r="AQ59" i="3"/>
  <c r="AQ59" i="22" s="1"/>
  <c r="AR59" i="3"/>
  <c r="AR59" i="22" s="1"/>
  <c r="AS59" i="3"/>
  <c r="AS59" i="22" s="1"/>
  <c r="AT59" i="3"/>
  <c r="AT59" i="22" s="1"/>
  <c r="AU59" i="3"/>
  <c r="AU59" i="22" s="1"/>
  <c r="AV59" i="3"/>
  <c r="AV59" i="22" s="1"/>
  <c r="AW59" i="3"/>
  <c r="AW59" i="22" s="1"/>
  <c r="AX59" i="3"/>
  <c r="AX59" i="22" s="1"/>
  <c r="B83" i="3"/>
  <c r="B83" i="22" s="1"/>
  <c r="C83" i="3"/>
  <c r="C83" i="22" s="1"/>
  <c r="D83" i="3"/>
  <c r="D83" i="22" s="1"/>
  <c r="E83" i="3"/>
  <c r="E83" i="22" s="1"/>
  <c r="F83" i="3"/>
  <c r="F83" i="22" s="1"/>
  <c r="G83" i="3"/>
  <c r="G83" i="22" s="1"/>
  <c r="H83" i="3"/>
  <c r="H83" i="22" s="1"/>
  <c r="I83" i="3"/>
  <c r="I83" i="22" s="1"/>
  <c r="J83" i="3"/>
  <c r="J83" i="22" s="1"/>
  <c r="K83" i="3"/>
  <c r="K83" i="22" s="1"/>
  <c r="L83" i="3"/>
  <c r="L83" i="22" s="1"/>
  <c r="M83" i="3"/>
  <c r="M83" i="22" s="1"/>
  <c r="N83" i="3"/>
  <c r="N83" i="22" s="1"/>
  <c r="O83" i="3"/>
  <c r="O83" i="22" s="1"/>
  <c r="P83" i="3"/>
  <c r="P83" i="22" s="1"/>
  <c r="Q83" i="3"/>
  <c r="Q83" i="22" s="1"/>
  <c r="R83" i="3"/>
  <c r="R83" i="22" s="1"/>
  <c r="S83" i="3"/>
  <c r="S83" i="22" s="1"/>
  <c r="T83" i="3"/>
  <c r="T83" i="22" s="1"/>
  <c r="U83" i="3"/>
  <c r="U83" i="22" s="1"/>
  <c r="V83" i="3"/>
  <c r="V83" i="22" s="1"/>
  <c r="W83" i="3"/>
  <c r="W83" i="22" s="1"/>
  <c r="X83" i="3"/>
  <c r="X83" i="22" s="1"/>
  <c r="Y83" i="3"/>
  <c r="Y83" i="22" s="1"/>
  <c r="Z83" i="3"/>
  <c r="Z83" i="22" s="1"/>
  <c r="AA83" i="3"/>
  <c r="AA83" i="22" s="1"/>
  <c r="AB83" i="3"/>
  <c r="AB83" i="22" s="1"/>
  <c r="AC83" i="3"/>
  <c r="AC83" i="22" s="1"/>
  <c r="AD83" i="3"/>
  <c r="AD83" i="22" s="1"/>
  <c r="AE83" i="3"/>
  <c r="AE83" i="22" s="1"/>
  <c r="AF83" i="3"/>
  <c r="AF83" i="22" s="1"/>
  <c r="AG83" i="3"/>
  <c r="AG83" i="22" s="1"/>
  <c r="AH83" i="3"/>
  <c r="AH83" i="22" s="1"/>
  <c r="AI83" i="3"/>
  <c r="AI83" i="22" s="1"/>
  <c r="AJ83" i="3"/>
  <c r="AJ83" i="22" s="1"/>
  <c r="AK83" i="3"/>
  <c r="AK83" i="22" s="1"/>
  <c r="AL83" i="3"/>
  <c r="AL83" i="22" s="1"/>
  <c r="AM83" i="3"/>
  <c r="AM83" i="22" s="1"/>
  <c r="AN83" i="3"/>
  <c r="AN83" i="22" s="1"/>
  <c r="AO83" i="3"/>
  <c r="AO83" i="22" s="1"/>
  <c r="AP83" i="3"/>
  <c r="AP83" i="22" s="1"/>
  <c r="AQ83" i="3"/>
  <c r="AQ83" i="22" s="1"/>
  <c r="AR83" i="3"/>
  <c r="AR83" i="22" s="1"/>
  <c r="AS83" i="3"/>
  <c r="AS83" i="22" s="1"/>
  <c r="AT83" i="3"/>
  <c r="AT83" i="22" s="1"/>
  <c r="AU83" i="3"/>
  <c r="AU83" i="22" s="1"/>
  <c r="AV83" i="3"/>
  <c r="AV83" i="22" s="1"/>
  <c r="AW83" i="3"/>
  <c r="AW83" i="22" s="1"/>
  <c r="AX83" i="3"/>
  <c r="AX83" i="22" s="1"/>
  <c r="B103" i="3"/>
  <c r="B103" i="22" s="1"/>
  <c r="C103" i="3"/>
  <c r="C103" i="22" s="1"/>
  <c r="D103" i="3"/>
  <c r="D103" i="22" s="1"/>
  <c r="E103" i="3"/>
  <c r="E103" i="22" s="1"/>
  <c r="F103" i="3"/>
  <c r="F103" i="22" s="1"/>
  <c r="G103" i="3"/>
  <c r="G103" i="22" s="1"/>
  <c r="H103" i="3"/>
  <c r="H103" i="22" s="1"/>
  <c r="I103" i="3"/>
  <c r="I103" i="22" s="1"/>
  <c r="J103" i="3"/>
  <c r="J103" i="22" s="1"/>
  <c r="K103" i="3"/>
  <c r="K103" i="22" s="1"/>
  <c r="L103" i="3"/>
  <c r="L103" i="22" s="1"/>
  <c r="M103" i="3"/>
  <c r="M103" i="22" s="1"/>
  <c r="N103" i="3"/>
  <c r="N103" i="22" s="1"/>
  <c r="O103" i="3"/>
  <c r="O103" i="22" s="1"/>
  <c r="P103" i="3"/>
  <c r="P103" i="22" s="1"/>
  <c r="Q103" i="3"/>
  <c r="Q103" i="22" s="1"/>
  <c r="R103" i="3"/>
  <c r="R103" i="22" s="1"/>
  <c r="S103" i="3"/>
  <c r="S103" i="22" s="1"/>
  <c r="T103" i="3"/>
  <c r="T103" i="22" s="1"/>
  <c r="U103" i="3"/>
  <c r="U103" i="22" s="1"/>
  <c r="V103" i="3"/>
  <c r="V103" i="22" s="1"/>
  <c r="W103" i="3"/>
  <c r="W103" i="22" s="1"/>
  <c r="X103" i="3"/>
  <c r="X103" i="22" s="1"/>
  <c r="Y103" i="3"/>
  <c r="Y103" i="22" s="1"/>
  <c r="Z103" i="3"/>
  <c r="Z103" i="22" s="1"/>
  <c r="AA103" i="3"/>
  <c r="AA103" i="22" s="1"/>
  <c r="AB103" i="3"/>
  <c r="AB103" i="22" s="1"/>
  <c r="AC103" i="3"/>
  <c r="AC103" i="22" s="1"/>
  <c r="AD103" i="3"/>
  <c r="AD103" i="22" s="1"/>
  <c r="AE103" i="3"/>
  <c r="AE103" i="22" s="1"/>
  <c r="AF103" i="3"/>
  <c r="AF103" i="22" s="1"/>
  <c r="AG103" i="3"/>
  <c r="AG103" i="22" s="1"/>
  <c r="AH103" i="3"/>
  <c r="AH103" i="22" s="1"/>
  <c r="AI103" i="3"/>
  <c r="AI103" i="22" s="1"/>
  <c r="AJ103" i="3"/>
  <c r="AJ103" i="22" s="1"/>
  <c r="AK103" i="3"/>
  <c r="AK103" i="22" s="1"/>
  <c r="AL103" i="3"/>
  <c r="AL103" i="22" s="1"/>
  <c r="AM103" i="3"/>
  <c r="AM103" i="22" s="1"/>
  <c r="AN103" i="3"/>
  <c r="AN103" i="22" s="1"/>
  <c r="AO103" i="3"/>
  <c r="AO103" i="22" s="1"/>
  <c r="AP103" i="3"/>
  <c r="AP103" i="22" s="1"/>
  <c r="AQ103" i="3"/>
  <c r="AQ103" i="22" s="1"/>
  <c r="AR103" i="3"/>
  <c r="AR103" i="22" s="1"/>
  <c r="AS103" i="3"/>
  <c r="AS103" i="22" s="1"/>
  <c r="AT103" i="3"/>
  <c r="AT103" i="22" s="1"/>
  <c r="AU103" i="3"/>
  <c r="AU103" i="22" s="1"/>
  <c r="AV103" i="3"/>
  <c r="AV103" i="22" s="1"/>
  <c r="AW103" i="3"/>
  <c r="AW103" i="22" s="1"/>
  <c r="AX103" i="3"/>
  <c r="AX103" i="22" s="1"/>
  <c r="B21" i="3"/>
  <c r="B21" i="22" s="1"/>
  <c r="C21" i="3"/>
  <c r="C21" i="22" s="1"/>
  <c r="D21" i="3"/>
  <c r="D21" i="22" s="1"/>
  <c r="E21" i="3"/>
  <c r="E21" i="22" s="1"/>
  <c r="F21" i="3"/>
  <c r="F21" i="22" s="1"/>
  <c r="G21" i="3"/>
  <c r="G21" i="22" s="1"/>
  <c r="H21" i="3"/>
  <c r="H21" i="22" s="1"/>
  <c r="I21" i="3"/>
  <c r="I21" i="22" s="1"/>
  <c r="J21" i="3"/>
  <c r="J21" i="22" s="1"/>
  <c r="K21" i="3"/>
  <c r="K21" i="22" s="1"/>
  <c r="L21" i="3"/>
  <c r="L21" i="22" s="1"/>
  <c r="M21" i="3"/>
  <c r="M21" i="22" s="1"/>
  <c r="N21" i="3"/>
  <c r="N21" i="22" s="1"/>
  <c r="O21" i="3"/>
  <c r="O21" i="22" s="1"/>
  <c r="P21" i="3"/>
  <c r="P21" i="22" s="1"/>
  <c r="Q21" i="3"/>
  <c r="Q21" i="22" s="1"/>
  <c r="R21" i="3"/>
  <c r="R21" i="22" s="1"/>
  <c r="S21" i="3"/>
  <c r="S21" i="22" s="1"/>
  <c r="T21" i="3"/>
  <c r="T21" i="22" s="1"/>
  <c r="U21" i="3"/>
  <c r="U21" i="22" s="1"/>
  <c r="V21" i="3"/>
  <c r="V21" i="22" s="1"/>
  <c r="W21" i="3"/>
  <c r="W21" i="22" s="1"/>
  <c r="X21" i="3"/>
  <c r="X21" i="22" s="1"/>
  <c r="Y21" i="3"/>
  <c r="Y21" i="22" s="1"/>
  <c r="Z21" i="3"/>
  <c r="Z21" i="22" s="1"/>
  <c r="AA21" i="3"/>
  <c r="AA21" i="22" s="1"/>
  <c r="AB21" i="3"/>
  <c r="AB21" i="22" s="1"/>
  <c r="AC21" i="3"/>
  <c r="AC21" i="22" s="1"/>
  <c r="AD21" i="3"/>
  <c r="AD21" i="22" s="1"/>
  <c r="AE21" i="3"/>
  <c r="AE21" i="22" s="1"/>
  <c r="AF21" i="3"/>
  <c r="AF21" i="22" s="1"/>
  <c r="AG21" i="3"/>
  <c r="AG21" i="22" s="1"/>
  <c r="AH21" i="3"/>
  <c r="AH21" i="22" s="1"/>
  <c r="AI21" i="3"/>
  <c r="AI21" i="22" s="1"/>
  <c r="AJ21" i="3"/>
  <c r="AJ21" i="22" s="1"/>
  <c r="AK21" i="3"/>
  <c r="AK21" i="22" s="1"/>
  <c r="AL21" i="3"/>
  <c r="AL21" i="22" s="1"/>
  <c r="AM21" i="3"/>
  <c r="AM21" i="22" s="1"/>
  <c r="AN21" i="3"/>
  <c r="AN21" i="22" s="1"/>
  <c r="AO21" i="3"/>
  <c r="AO21" i="22" s="1"/>
  <c r="AP21" i="3"/>
  <c r="AP21" i="22" s="1"/>
  <c r="AQ21" i="3"/>
  <c r="AQ21" i="22" s="1"/>
  <c r="AR21" i="3"/>
  <c r="AR21" i="22" s="1"/>
  <c r="AS21" i="3"/>
  <c r="AS21" i="22" s="1"/>
  <c r="AT21" i="3"/>
  <c r="AT21" i="22" s="1"/>
  <c r="AU21" i="3"/>
  <c r="AU21" i="22" s="1"/>
  <c r="AV21" i="3"/>
  <c r="AV21" i="22" s="1"/>
  <c r="AW21" i="3"/>
  <c r="AW21" i="22" s="1"/>
  <c r="AX21" i="3"/>
  <c r="AX21" i="22" s="1"/>
  <c r="B19" i="3"/>
  <c r="B19" i="22" s="1"/>
  <c r="C19" i="3"/>
  <c r="C19" i="22" s="1"/>
  <c r="D19" i="3"/>
  <c r="D19" i="22" s="1"/>
  <c r="E19" i="3"/>
  <c r="E19" i="22" s="1"/>
  <c r="F19" i="3"/>
  <c r="F19" i="22" s="1"/>
  <c r="G19" i="3"/>
  <c r="G19" i="22" s="1"/>
  <c r="H19" i="3"/>
  <c r="H19" i="22" s="1"/>
  <c r="I19" i="3"/>
  <c r="I19" i="22" s="1"/>
  <c r="J19" i="3"/>
  <c r="J19" i="22" s="1"/>
  <c r="K19" i="3"/>
  <c r="K19" i="22" s="1"/>
  <c r="L19" i="3"/>
  <c r="L19" i="22" s="1"/>
  <c r="M19" i="3"/>
  <c r="M19" i="22" s="1"/>
  <c r="N19" i="3"/>
  <c r="N19" i="22" s="1"/>
  <c r="O19" i="3"/>
  <c r="O19" i="22" s="1"/>
  <c r="P19" i="3"/>
  <c r="P19" i="22" s="1"/>
  <c r="Q19" i="3"/>
  <c r="Q19" i="22" s="1"/>
  <c r="R19" i="3"/>
  <c r="R19" i="22" s="1"/>
  <c r="S19" i="3"/>
  <c r="S19" i="22" s="1"/>
  <c r="T19" i="3"/>
  <c r="T19" i="22" s="1"/>
  <c r="U19" i="3"/>
  <c r="U19" i="22" s="1"/>
  <c r="V19" i="3"/>
  <c r="V19" i="22" s="1"/>
  <c r="W19" i="3"/>
  <c r="W19" i="22" s="1"/>
  <c r="X19" i="3"/>
  <c r="X19" i="22" s="1"/>
  <c r="Y19" i="3"/>
  <c r="Y19" i="22" s="1"/>
  <c r="Z19" i="3"/>
  <c r="Z19" i="22" s="1"/>
  <c r="AA19" i="3"/>
  <c r="AA19" i="22" s="1"/>
  <c r="AB19" i="3"/>
  <c r="AB19" i="22" s="1"/>
  <c r="AC19" i="3"/>
  <c r="AC19" i="22" s="1"/>
  <c r="AD19" i="3"/>
  <c r="AD19" i="22" s="1"/>
  <c r="AE19" i="3"/>
  <c r="AE19" i="22" s="1"/>
  <c r="AF19" i="3"/>
  <c r="AF19" i="22" s="1"/>
  <c r="AG19" i="3"/>
  <c r="AG19" i="22" s="1"/>
  <c r="AH19" i="3"/>
  <c r="AH19" i="22" s="1"/>
  <c r="AI19" i="3"/>
  <c r="AI19" i="22" s="1"/>
  <c r="AJ19" i="3"/>
  <c r="AJ19" i="22" s="1"/>
  <c r="AK19" i="3"/>
  <c r="AK19" i="22" s="1"/>
  <c r="AL19" i="3"/>
  <c r="AL19" i="22" s="1"/>
  <c r="AM19" i="3"/>
  <c r="AM19" i="22" s="1"/>
  <c r="AN19" i="3"/>
  <c r="AN19" i="22" s="1"/>
  <c r="AO19" i="3"/>
  <c r="AO19" i="22" s="1"/>
  <c r="AP19" i="3"/>
  <c r="AP19" i="22" s="1"/>
  <c r="AQ19" i="3"/>
  <c r="AQ19" i="22" s="1"/>
  <c r="AR19" i="3"/>
  <c r="AR19" i="22" s="1"/>
  <c r="AS19" i="3"/>
  <c r="AS19" i="22" s="1"/>
  <c r="AT19" i="3"/>
  <c r="AT19" i="22" s="1"/>
  <c r="AU19" i="3"/>
  <c r="AU19" i="22" s="1"/>
  <c r="AV19" i="3"/>
  <c r="AV19" i="22" s="1"/>
  <c r="AW19" i="3"/>
  <c r="AW19" i="22" s="1"/>
  <c r="AX19" i="3"/>
  <c r="AX19" i="22" s="1"/>
  <c r="B74" i="3"/>
  <c r="B74" i="22" s="1"/>
  <c r="C74" i="3"/>
  <c r="C74" i="22" s="1"/>
  <c r="D74" i="3"/>
  <c r="D74" i="22" s="1"/>
  <c r="E74" i="3"/>
  <c r="E74" i="22" s="1"/>
  <c r="F74" i="3"/>
  <c r="F74" i="22" s="1"/>
  <c r="G74" i="3"/>
  <c r="G74" i="22" s="1"/>
  <c r="H74" i="3"/>
  <c r="H74" i="22" s="1"/>
  <c r="I74" i="3"/>
  <c r="I74" i="22" s="1"/>
  <c r="J74" i="3"/>
  <c r="J74" i="22" s="1"/>
  <c r="K74" i="3"/>
  <c r="K74" i="22" s="1"/>
  <c r="L74" i="3"/>
  <c r="L74" i="22" s="1"/>
  <c r="M74" i="3"/>
  <c r="M74" i="22" s="1"/>
  <c r="N74" i="3"/>
  <c r="N74" i="22" s="1"/>
  <c r="O74" i="3"/>
  <c r="O74" i="22" s="1"/>
  <c r="P74" i="3"/>
  <c r="P74" i="22" s="1"/>
  <c r="Q74" i="3"/>
  <c r="Q74" i="22" s="1"/>
  <c r="R74" i="3"/>
  <c r="R74" i="22" s="1"/>
  <c r="S74" i="3"/>
  <c r="S74" i="22" s="1"/>
  <c r="T74" i="3"/>
  <c r="T74" i="22" s="1"/>
  <c r="U74" i="3"/>
  <c r="U74" i="22" s="1"/>
  <c r="V74" i="3"/>
  <c r="V74" i="22" s="1"/>
  <c r="W74" i="3"/>
  <c r="W74" i="22" s="1"/>
  <c r="X74" i="3"/>
  <c r="X74" i="22" s="1"/>
  <c r="Y74" i="3"/>
  <c r="Y74" i="22" s="1"/>
  <c r="Z74" i="3"/>
  <c r="Z74" i="22" s="1"/>
  <c r="AA74" i="3"/>
  <c r="AA74" i="22" s="1"/>
  <c r="AB74" i="3"/>
  <c r="AB74" i="22" s="1"/>
  <c r="AC74" i="3"/>
  <c r="AC74" i="22" s="1"/>
  <c r="AD74" i="3"/>
  <c r="AD74" i="22" s="1"/>
  <c r="AE74" i="3"/>
  <c r="AE74" i="22" s="1"/>
  <c r="AF74" i="3"/>
  <c r="AF74" i="22" s="1"/>
  <c r="AG74" i="3"/>
  <c r="AG74" i="22" s="1"/>
  <c r="AH74" i="3"/>
  <c r="AH74" i="22" s="1"/>
  <c r="AI74" i="3"/>
  <c r="AI74" i="22" s="1"/>
  <c r="AJ74" i="3"/>
  <c r="AJ74" i="22" s="1"/>
  <c r="AK74" i="3"/>
  <c r="AK74" i="22" s="1"/>
  <c r="AL74" i="3"/>
  <c r="AL74" i="22" s="1"/>
  <c r="AM74" i="3"/>
  <c r="AM74" i="22" s="1"/>
  <c r="AN74" i="3"/>
  <c r="AN74" i="22" s="1"/>
  <c r="AO74" i="3"/>
  <c r="AO74" i="22" s="1"/>
  <c r="AP74" i="3"/>
  <c r="AP74" i="22" s="1"/>
  <c r="AQ74" i="3"/>
  <c r="AQ74" i="22" s="1"/>
  <c r="AR74" i="3"/>
  <c r="AR74" i="22" s="1"/>
  <c r="AS74" i="3"/>
  <c r="AS74" i="22" s="1"/>
  <c r="AT74" i="3"/>
  <c r="AT74" i="22" s="1"/>
  <c r="AU74" i="3"/>
  <c r="AU74" i="22" s="1"/>
  <c r="AV74" i="3"/>
  <c r="AV74" i="22" s="1"/>
  <c r="AW74" i="3"/>
  <c r="AW74" i="22" s="1"/>
  <c r="AX74" i="3"/>
  <c r="AX74" i="22" s="1"/>
  <c r="B26" i="3"/>
  <c r="B26" i="22" s="1"/>
  <c r="C26" i="3"/>
  <c r="C26" i="22" s="1"/>
  <c r="D26" i="3"/>
  <c r="D26" i="22" s="1"/>
  <c r="E26" i="3"/>
  <c r="E26" i="22" s="1"/>
  <c r="F26" i="3"/>
  <c r="F26" i="22" s="1"/>
  <c r="G26" i="3"/>
  <c r="G26" i="22" s="1"/>
  <c r="H26" i="3"/>
  <c r="H26" i="22" s="1"/>
  <c r="I26" i="3"/>
  <c r="I26" i="22" s="1"/>
  <c r="J26" i="3"/>
  <c r="J26" i="22" s="1"/>
  <c r="K26" i="3"/>
  <c r="K26" i="22" s="1"/>
  <c r="L26" i="3"/>
  <c r="L26" i="22" s="1"/>
  <c r="M26" i="3"/>
  <c r="M26" i="22" s="1"/>
  <c r="N26" i="3"/>
  <c r="N26" i="22" s="1"/>
  <c r="O26" i="3"/>
  <c r="O26" i="22" s="1"/>
  <c r="P26" i="3"/>
  <c r="P26" i="22" s="1"/>
  <c r="Q26" i="3"/>
  <c r="Q26" i="22" s="1"/>
  <c r="R26" i="3"/>
  <c r="R26" i="22" s="1"/>
  <c r="S26" i="3"/>
  <c r="S26" i="22" s="1"/>
  <c r="T26" i="3"/>
  <c r="T26" i="22" s="1"/>
  <c r="U26" i="3"/>
  <c r="U26" i="22" s="1"/>
  <c r="V26" i="3"/>
  <c r="V26" i="22" s="1"/>
  <c r="W26" i="3"/>
  <c r="W26" i="22" s="1"/>
  <c r="X26" i="3"/>
  <c r="X26" i="22" s="1"/>
  <c r="Y26" i="3"/>
  <c r="Y26" i="22" s="1"/>
  <c r="Z26" i="3"/>
  <c r="Z26" i="22" s="1"/>
  <c r="AA26" i="3"/>
  <c r="AA26" i="22" s="1"/>
  <c r="AB26" i="3"/>
  <c r="AB26" i="22" s="1"/>
  <c r="AC26" i="3"/>
  <c r="AC26" i="22" s="1"/>
  <c r="AD26" i="3"/>
  <c r="AD26" i="22" s="1"/>
  <c r="AE26" i="3"/>
  <c r="AE26" i="22" s="1"/>
  <c r="AF26" i="3"/>
  <c r="AF26" i="22" s="1"/>
  <c r="AG26" i="3"/>
  <c r="AG26" i="22" s="1"/>
  <c r="AH26" i="3"/>
  <c r="AH26" i="22" s="1"/>
  <c r="AI26" i="3"/>
  <c r="AI26" i="22" s="1"/>
  <c r="AJ26" i="3"/>
  <c r="AJ26" i="22" s="1"/>
  <c r="AK26" i="3"/>
  <c r="AK26" i="22" s="1"/>
  <c r="AL26" i="3"/>
  <c r="AL26" i="22" s="1"/>
  <c r="AM26" i="3"/>
  <c r="AM26" i="22" s="1"/>
  <c r="AN26" i="3"/>
  <c r="AN26" i="22" s="1"/>
  <c r="AO26" i="3"/>
  <c r="AO26" i="22" s="1"/>
  <c r="AP26" i="3"/>
  <c r="AP26" i="22" s="1"/>
  <c r="AQ26" i="3"/>
  <c r="AQ26" i="22" s="1"/>
  <c r="AR26" i="3"/>
  <c r="AR26" i="22" s="1"/>
  <c r="AS26" i="3"/>
  <c r="AS26" i="22" s="1"/>
  <c r="AT26" i="3"/>
  <c r="AT26" i="22" s="1"/>
  <c r="AU26" i="3"/>
  <c r="AU26" i="22" s="1"/>
  <c r="AV26" i="3"/>
  <c r="AV26" i="22" s="1"/>
  <c r="AW26" i="3"/>
  <c r="AW26" i="22" s="1"/>
  <c r="AX26" i="3"/>
  <c r="AX26" i="22" s="1"/>
  <c r="B99" i="3"/>
  <c r="B99" i="22" s="1"/>
  <c r="C99" i="3"/>
  <c r="C99" i="22" s="1"/>
  <c r="D99" i="3"/>
  <c r="D99" i="22" s="1"/>
  <c r="E99" i="3"/>
  <c r="E99" i="22" s="1"/>
  <c r="F99" i="3"/>
  <c r="F99" i="22" s="1"/>
  <c r="G99" i="3"/>
  <c r="G99" i="22" s="1"/>
  <c r="H99" i="3"/>
  <c r="H99" i="22" s="1"/>
  <c r="I99" i="3"/>
  <c r="I99" i="22" s="1"/>
  <c r="J99" i="3"/>
  <c r="J99" i="22" s="1"/>
  <c r="K99" i="3"/>
  <c r="K99" i="22" s="1"/>
  <c r="L99" i="3"/>
  <c r="L99" i="22" s="1"/>
  <c r="M99" i="3"/>
  <c r="M99" i="22" s="1"/>
  <c r="N99" i="3"/>
  <c r="N99" i="22" s="1"/>
  <c r="O99" i="3"/>
  <c r="O99" i="22" s="1"/>
  <c r="P99" i="3"/>
  <c r="P99" i="22" s="1"/>
  <c r="Q99" i="3"/>
  <c r="Q99" i="22" s="1"/>
  <c r="R99" i="3"/>
  <c r="R99" i="22" s="1"/>
  <c r="S99" i="3"/>
  <c r="S99" i="22" s="1"/>
  <c r="T99" i="3"/>
  <c r="T99" i="22" s="1"/>
  <c r="U99" i="3"/>
  <c r="U99" i="22" s="1"/>
  <c r="V99" i="3"/>
  <c r="V99" i="22" s="1"/>
  <c r="W99" i="3"/>
  <c r="W99" i="22" s="1"/>
  <c r="X99" i="3"/>
  <c r="X99" i="22" s="1"/>
  <c r="Y99" i="3"/>
  <c r="Y99" i="22" s="1"/>
  <c r="Z99" i="3"/>
  <c r="Z99" i="22" s="1"/>
  <c r="AA99" i="3"/>
  <c r="AA99" i="22" s="1"/>
  <c r="AB99" i="3"/>
  <c r="AB99" i="22" s="1"/>
  <c r="AC99" i="3"/>
  <c r="AC99" i="22" s="1"/>
  <c r="AD99" i="3"/>
  <c r="AD99" i="22" s="1"/>
  <c r="AE99" i="3"/>
  <c r="AE99" i="22" s="1"/>
  <c r="AF99" i="3"/>
  <c r="AF99" i="22" s="1"/>
  <c r="AG99" i="3"/>
  <c r="AG99" i="22" s="1"/>
  <c r="AH99" i="3"/>
  <c r="AH99" i="22" s="1"/>
  <c r="AI99" i="3"/>
  <c r="AI99" i="22" s="1"/>
  <c r="AJ99" i="3"/>
  <c r="AJ99" i="22" s="1"/>
  <c r="AK99" i="3"/>
  <c r="AK99" i="22" s="1"/>
  <c r="AL99" i="3"/>
  <c r="AL99" i="22" s="1"/>
  <c r="AM99" i="3"/>
  <c r="AM99" i="22" s="1"/>
  <c r="AN99" i="3"/>
  <c r="AN99" i="22" s="1"/>
  <c r="AO99" i="3"/>
  <c r="AO99" i="22" s="1"/>
  <c r="AP99" i="3"/>
  <c r="AP99" i="22" s="1"/>
  <c r="AQ99" i="3"/>
  <c r="AQ99" i="22" s="1"/>
  <c r="AR99" i="3"/>
  <c r="AR99" i="22" s="1"/>
  <c r="AS99" i="3"/>
  <c r="AS99" i="22" s="1"/>
  <c r="AT99" i="3"/>
  <c r="AT99" i="22" s="1"/>
  <c r="AU99" i="3"/>
  <c r="AU99" i="22" s="1"/>
  <c r="AV99" i="3"/>
  <c r="AV99" i="22" s="1"/>
  <c r="AW99" i="3"/>
  <c r="AW99" i="22" s="1"/>
  <c r="AX99" i="3"/>
  <c r="AX99" i="22" s="1"/>
  <c r="B62" i="3"/>
  <c r="B62" i="22" s="1"/>
  <c r="C62" i="3"/>
  <c r="C62" i="22" s="1"/>
  <c r="D62" i="3"/>
  <c r="D62" i="22" s="1"/>
  <c r="E62" i="3"/>
  <c r="E62" i="22" s="1"/>
  <c r="F62" i="3"/>
  <c r="F62" i="22" s="1"/>
  <c r="G62" i="3"/>
  <c r="G62" i="22" s="1"/>
  <c r="H62" i="3"/>
  <c r="H62" i="22" s="1"/>
  <c r="I62" i="3"/>
  <c r="I62" i="22" s="1"/>
  <c r="J62" i="3"/>
  <c r="J62" i="22" s="1"/>
  <c r="K62" i="3"/>
  <c r="K62" i="22" s="1"/>
  <c r="L62" i="3"/>
  <c r="L62" i="22" s="1"/>
  <c r="M62" i="3"/>
  <c r="M62" i="22" s="1"/>
  <c r="N62" i="3"/>
  <c r="N62" i="22" s="1"/>
  <c r="O62" i="3"/>
  <c r="O62" i="22" s="1"/>
  <c r="P62" i="3"/>
  <c r="P62" i="22" s="1"/>
  <c r="Q62" i="3"/>
  <c r="Q62" i="22" s="1"/>
  <c r="R62" i="3"/>
  <c r="R62" i="22" s="1"/>
  <c r="S62" i="3"/>
  <c r="S62" i="22" s="1"/>
  <c r="T62" i="3"/>
  <c r="T62" i="22" s="1"/>
  <c r="U62" i="3"/>
  <c r="U62" i="22" s="1"/>
  <c r="V62" i="3"/>
  <c r="V62" i="22" s="1"/>
  <c r="W62" i="3"/>
  <c r="W62" i="22" s="1"/>
  <c r="X62" i="3"/>
  <c r="X62" i="22" s="1"/>
  <c r="Y62" i="3"/>
  <c r="Y62" i="22" s="1"/>
  <c r="Z62" i="3"/>
  <c r="Z62" i="22" s="1"/>
  <c r="AA62" i="3"/>
  <c r="AA62" i="22" s="1"/>
  <c r="AB62" i="3"/>
  <c r="AB62" i="22" s="1"/>
  <c r="AC62" i="3"/>
  <c r="AC62" i="22" s="1"/>
  <c r="AD62" i="3"/>
  <c r="AD62" i="22" s="1"/>
  <c r="AE62" i="3"/>
  <c r="AE62" i="22" s="1"/>
  <c r="AF62" i="3"/>
  <c r="AF62" i="22" s="1"/>
  <c r="AG62" i="3"/>
  <c r="AG62" i="22" s="1"/>
  <c r="AH62" i="3"/>
  <c r="AH62" i="22" s="1"/>
  <c r="AI62" i="3"/>
  <c r="AI62" i="22" s="1"/>
  <c r="AJ62" i="3"/>
  <c r="AJ62" i="22" s="1"/>
  <c r="AK62" i="3"/>
  <c r="AK62" i="22" s="1"/>
  <c r="AL62" i="3"/>
  <c r="AL62" i="22" s="1"/>
  <c r="AM62" i="3"/>
  <c r="AM62" i="22" s="1"/>
  <c r="AN62" i="3"/>
  <c r="AN62" i="22" s="1"/>
  <c r="AO62" i="3"/>
  <c r="AO62" i="22" s="1"/>
  <c r="AP62" i="3"/>
  <c r="AP62" i="22" s="1"/>
  <c r="AQ62" i="3"/>
  <c r="AQ62" i="22" s="1"/>
  <c r="AR62" i="3"/>
  <c r="AR62" i="22" s="1"/>
  <c r="AS62" i="3"/>
  <c r="AS62" i="22" s="1"/>
  <c r="AT62" i="3"/>
  <c r="AT62" i="22" s="1"/>
  <c r="AU62" i="3"/>
  <c r="AU62" i="22" s="1"/>
  <c r="AV62" i="3"/>
  <c r="AV62" i="22" s="1"/>
  <c r="AW62" i="3"/>
  <c r="AW62" i="22" s="1"/>
  <c r="AX62" i="3"/>
  <c r="AX62" i="22" s="1"/>
  <c r="B18" i="3"/>
  <c r="B18" i="22" s="1"/>
  <c r="C18" i="3"/>
  <c r="C18" i="22" s="1"/>
  <c r="D18" i="3"/>
  <c r="D18" i="22" s="1"/>
  <c r="E18" i="3"/>
  <c r="E18" i="22" s="1"/>
  <c r="F18" i="3"/>
  <c r="F18" i="22" s="1"/>
  <c r="G18" i="3"/>
  <c r="G18" i="22" s="1"/>
  <c r="H18" i="3"/>
  <c r="H18" i="22" s="1"/>
  <c r="I18" i="3"/>
  <c r="I18" i="22" s="1"/>
  <c r="J18" i="3"/>
  <c r="J18" i="22" s="1"/>
  <c r="K18" i="3"/>
  <c r="K18" i="22" s="1"/>
  <c r="L18" i="3"/>
  <c r="L18" i="22" s="1"/>
  <c r="M18" i="3"/>
  <c r="M18" i="22" s="1"/>
  <c r="N18" i="3"/>
  <c r="N18" i="22" s="1"/>
  <c r="O18" i="3"/>
  <c r="O18" i="22" s="1"/>
  <c r="P18" i="3"/>
  <c r="P18" i="22" s="1"/>
  <c r="Q18" i="3"/>
  <c r="Q18" i="22" s="1"/>
  <c r="R18" i="3"/>
  <c r="R18" i="22" s="1"/>
  <c r="S18" i="3"/>
  <c r="S18" i="22" s="1"/>
  <c r="T18" i="3"/>
  <c r="T18" i="22" s="1"/>
  <c r="U18" i="3"/>
  <c r="U18" i="22" s="1"/>
  <c r="V18" i="3"/>
  <c r="V18" i="22" s="1"/>
  <c r="W18" i="3"/>
  <c r="W18" i="22" s="1"/>
  <c r="X18" i="3"/>
  <c r="X18" i="22" s="1"/>
  <c r="Y18" i="3"/>
  <c r="Y18" i="22" s="1"/>
  <c r="Z18" i="3"/>
  <c r="Z18" i="22" s="1"/>
  <c r="AA18" i="3"/>
  <c r="AA18" i="22" s="1"/>
  <c r="AB18" i="3"/>
  <c r="AB18" i="22" s="1"/>
  <c r="AC18" i="3"/>
  <c r="AC18" i="22" s="1"/>
  <c r="AD18" i="3"/>
  <c r="AD18" i="22" s="1"/>
  <c r="AE18" i="3"/>
  <c r="AE18" i="22" s="1"/>
  <c r="AF18" i="3"/>
  <c r="AF18" i="22" s="1"/>
  <c r="AG18" i="3"/>
  <c r="AG18" i="22" s="1"/>
  <c r="AH18" i="3"/>
  <c r="AH18" i="22" s="1"/>
  <c r="AI18" i="3"/>
  <c r="AI18" i="22" s="1"/>
  <c r="AJ18" i="3"/>
  <c r="AJ18" i="22" s="1"/>
  <c r="AK18" i="3"/>
  <c r="AK18" i="22" s="1"/>
  <c r="AL18" i="3"/>
  <c r="AL18" i="22" s="1"/>
  <c r="AM18" i="3"/>
  <c r="AM18" i="22" s="1"/>
  <c r="AN18" i="3"/>
  <c r="AN18" i="22" s="1"/>
  <c r="AO18" i="3"/>
  <c r="AO18" i="22" s="1"/>
  <c r="AP18" i="3"/>
  <c r="AP18" i="22" s="1"/>
  <c r="AQ18" i="3"/>
  <c r="AQ18" i="22" s="1"/>
  <c r="AR18" i="3"/>
  <c r="AR18" i="22" s="1"/>
  <c r="AS18" i="3"/>
  <c r="AS18" i="22" s="1"/>
  <c r="AT18" i="3"/>
  <c r="AT18" i="22" s="1"/>
  <c r="AU18" i="3"/>
  <c r="AU18" i="22" s="1"/>
  <c r="AV18" i="3"/>
  <c r="AV18" i="22" s="1"/>
  <c r="AW18" i="3"/>
  <c r="AW18" i="22" s="1"/>
  <c r="AX18" i="3"/>
  <c r="AX18" i="22" s="1"/>
  <c r="B112" i="3"/>
  <c r="B112" i="22" s="1"/>
  <c r="C112" i="3"/>
  <c r="C112" i="22" s="1"/>
  <c r="D112" i="3"/>
  <c r="D112" i="22" s="1"/>
  <c r="E112" i="3"/>
  <c r="E112" i="22" s="1"/>
  <c r="F112" i="3"/>
  <c r="F112" i="22" s="1"/>
  <c r="G112" i="3"/>
  <c r="G112" i="22" s="1"/>
  <c r="H112" i="3"/>
  <c r="H112" i="22" s="1"/>
  <c r="I112" i="3"/>
  <c r="I112" i="22" s="1"/>
  <c r="J112" i="3"/>
  <c r="J112" i="22" s="1"/>
  <c r="K112" i="3"/>
  <c r="K112" i="22" s="1"/>
  <c r="L112" i="3"/>
  <c r="L112" i="22" s="1"/>
  <c r="M112" i="3"/>
  <c r="M112" i="22" s="1"/>
  <c r="N112" i="3"/>
  <c r="N112" i="22" s="1"/>
  <c r="O112" i="3"/>
  <c r="O112" i="22" s="1"/>
  <c r="P112" i="3"/>
  <c r="P112" i="22" s="1"/>
  <c r="Q112" i="3"/>
  <c r="Q112" i="22" s="1"/>
  <c r="R112" i="3"/>
  <c r="R112" i="22" s="1"/>
  <c r="S112" i="3"/>
  <c r="S112" i="22" s="1"/>
  <c r="T112" i="3"/>
  <c r="T112" i="22" s="1"/>
  <c r="U112" i="3"/>
  <c r="U112" i="22" s="1"/>
  <c r="V112" i="3"/>
  <c r="V112" i="22" s="1"/>
  <c r="W112" i="3"/>
  <c r="W112" i="22" s="1"/>
  <c r="X112" i="3"/>
  <c r="X112" i="22" s="1"/>
  <c r="Y112" i="3"/>
  <c r="Y112" i="22" s="1"/>
  <c r="Z112" i="3"/>
  <c r="Z112" i="22" s="1"/>
  <c r="AA112" i="3"/>
  <c r="AA112" i="22" s="1"/>
  <c r="AB112" i="3"/>
  <c r="AB112" i="22" s="1"/>
  <c r="AC112" i="3"/>
  <c r="AC112" i="22" s="1"/>
  <c r="AD112" i="3"/>
  <c r="AD112" i="22" s="1"/>
  <c r="AE112" i="3"/>
  <c r="AE112" i="22" s="1"/>
  <c r="AF112" i="3"/>
  <c r="AF112" i="22" s="1"/>
  <c r="AG112" i="3"/>
  <c r="AG112" i="22" s="1"/>
  <c r="AH112" i="3"/>
  <c r="AH112" i="22" s="1"/>
  <c r="AI112" i="3"/>
  <c r="AI112" i="22" s="1"/>
  <c r="AJ112" i="3"/>
  <c r="AJ112" i="22" s="1"/>
  <c r="AK112" i="3"/>
  <c r="AK112" i="22" s="1"/>
  <c r="AL112" i="3"/>
  <c r="AL112" i="22" s="1"/>
  <c r="AM112" i="3"/>
  <c r="AM112" i="22" s="1"/>
  <c r="AN112" i="3"/>
  <c r="AN112" i="22" s="1"/>
  <c r="AO112" i="3"/>
  <c r="AO112" i="22" s="1"/>
  <c r="AP112" i="3"/>
  <c r="AP112" i="22" s="1"/>
  <c r="AQ112" i="3"/>
  <c r="AQ112" i="22" s="1"/>
  <c r="AR112" i="3"/>
  <c r="AR112" i="22" s="1"/>
  <c r="AS112" i="3"/>
  <c r="AS112" i="22" s="1"/>
  <c r="AT112" i="3"/>
  <c r="AT112" i="22" s="1"/>
  <c r="AU112" i="3"/>
  <c r="AU112" i="22" s="1"/>
  <c r="AV112" i="3"/>
  <c r="AV112" i="22" s="1"/>
  <c r="AW112" i="3"/>
  <c r="AW112" i="22" s="1"/>
  <c r="AX112" i="3"/>
  <c r="AX112" i="22" s="1"/>
  <c r="B100" i="3"/>
  <c r="B100" i="22" s="1"/>
  <c r="C100" i="3"/>
  <c r="C100" i="22" s="1"/>
  <c r="D100" i="3"/>
  <c r="D100" i="22" s="1"/>
  <c r="E100" i="3"/>
  <c r="E100" i="22" s="1"/>
  <c r="F100" i="3"/>
  <c r="F100" i="22" s="1"/>
  <c r="G100" i="3"/>
  <c r="G100" i="22" s="1"/>
  <c r="H100" i="3"/>
  <c r="H100" i="22" s="1"/>
  <c r="I100" i="3"/>
  <c r="I100" i="22" s="1"/>
  <c r="J100" i="3"/>
  <c r="J100" i="22" s="1"/>
  <c r="K100" i="3"/>
  <c r="K100" i="22" s="1"/>
  <c r="L100" i="3"/>
  <c r="L100" i="22" s="1"/>
  <c r="M100" i="3"/>
  <c r="M100" i="22" s="1"/>
  <c r="N100" i="3"/>
  <c r="N100" i="22" s="1"/>
  <c r="O100" i="3"/>
  <c r="O100" i="22" s="1"/>
  <c r="P100" i="3"/>
  <c r="P100" i="22" s="1"/>
  <c r="Q100" i="3"/>
  <c r="Q100" i="22" s="1"/>
  <c r="R100" i="3"/>
  <c r="R100" i="22" s="1"/>
  <c r="S100" i="3"/>
  <c r="S100" i="22" s="1"/>
  <c r="T100" i="3"/>
  <c r="T100" i="22" s="1"/>
  <c r="U100" i="3"/>
  <c r="U100" i="22" s="1"/>
  <c r="V100" i="3"/>
  <c r="V100" i="22" s="1"/>
  <c r="W100" i="3"/>
  <c r="W100" i="22" s="1"/>
  <c r="X100" i="3"/>
  <c r="X100" i="22" s="1"/>
  <c r="Y100" i="3"/>
  <c r="Y100" i="22" s="1"/>
  <c r="Z100" i="3"/>
  <c r="Z100" i="22" s="1"/>
  <c r="AA100" i="3"/>
  <c r="AA100" i="22" s="1"/>
  <c r="AB100" i="3"/>
  <c r="AB100" i="22" s="1"/>
  <c r="AC100" i="3"/>
  <c r="AC100" i="22" s="1"/>
  <c r="AD100" i="3"/>
  <c r="AD100" i="22" s="1"/>
  <c r="AE100" i="3"/>
  <c r="AE100" i="22" s="1"/>
  <c r="AF100" i="3"/>
  <c r="AF100" i="22" s="1"/>
  <c r="AG100" i="3"/>
  <c r="AG100" i="22" s="1"/>
  <c r="AH100" i="3"/>
  <c r="AH100" i="22" s="1"/>
  <c r="AI100" i="3"/>
  <c r="AI100" i="22" s="1"/>
  <c r="AJ100" i="3"/>
  <c r="AJ100" i="22" s="1"/>
  <c r="AK100" i="3"/>
  <c r="AK100" i="22" s="1"/>
  <c r="AL100" i="3"/>
  <c r="AL100" i="22" s="1"/>
  <c r="AM100" i="3"/>
  <c r="AM100" i="22" s="1"/>
  <c r="AN100" i="3"/>
  <c r="AN100" i="22" s="1"/>
  <c r="AO100" i="3"/>
  <c r="AO100" i="22" s="1"/>
  <c r="AP100" i="3"/>
  <c r="AP100" i="22" s="1"/>
  <c r="AQ100" i="3"/>
  <c r="AQ100" i="22" s="1"/>
  <c r="AR100" i="3"/>
  <c r="AR100" i="22" s="1"/>
  <c r="AS100" i="3"/>
  <c r="AS100" i="22" s="1"/>
  <c r="AT100" i="3"/>
  <c r="AT100" i="22" s="1"/>
  <c r="AU100" i="3"/>
  <c r="AU100" i="22" s="1"/>
  <c r="AV100" i="3"/>
  <c r="AV100" i="22" s="1"/>
  <c r="AW100" i="3"/>
  <c r="AW100" i="22" s="1"/>
  <c r="AX100" i="3"/>
  <c r="AX100" i="22" s="1"/>
  <c r="B77" i="3"/>
  <c r="B77" i="22" s="1"/>
  <c r="C77" i="3"/>
  <c r="C77" i="22" s="1"/>
  <c r="D77" i="3"/>
  <c r="D77" i="22" s="1"/>
  <c r="E77" i="3"/>
  <c r="E77" i="22" s="1"/>
  <c r="F77" i="3"/>
  <c r="F77" i="22" s="1"/>
  <c r="G77" i="3"/>
  <c r="G77" i="22" s="1"/>
  <c r="H77" i="3"/>
  <c r="H77" i="22" s="1"/>
  <c r="I77" i="3"/>
  <c r="I77" i="22" s="1"/>
  <c r="J77" i="3"/>
  <c r="J77" i="22" s="1"/>
  <c r="K77" i="3"/>
  <c r="K77" i="22" s="1"/>
  <c r="L77" i="3"/>
  <c r="L77" i="22" s="1"/>
  <c r="M77" i="3"/>
  <c r="M77" i="22" s="1"/>
  <c r="N77" i="3"/>
  <c r="N77" i="22" s="1"/>
  <c r="O77" i="3"/>
  <c r="O77" i="22" s="1"/>
  <c r="P77" i="3"/>
  <c r="P77" i="22" s="1"/>
  <c r="Q77" i="3"/>
  <c r="Q77" i="22" s="1"/>
  <c r="R77" i="3"/>
  <c r="R77" i="22" s="1"/>
  <c r="S77" i="3"/>
  <c r="S77" i="22" s="1"/>
  <c r="T77" i="3"/>
  <c r="T77" i="22" s="1"/>
  <c r="U77" i="3"/>
  <c r="U77" i="22" s="1"/>
  <c r="V77" i="3"/>
  <c r="V77" i="22" s="1"/>
  <c r="W77" i="3"/>
  <c r="W77" i="22" s="1"/>
  <c r="X77" i="3"/>
  <c r="X77" i="22" s="1"/>
  <c r="Y77" i="3"/>
  <c r="Y77" i="22" s="1"/>
  <c r="Z77" i="3"/>
  <c r="Z77" i="22" s="1"/>
  <c r="AA77" i="3"/>
  <c r="AA77" i="22" s="1"/>
  <c r="AB77" i="3"/>
  <c r="AB77" i="22" s="1"/>
  <c r="AC77" i="3"/>
  <c r="AC77" i="22" s="1"/>
  <c r="AD77" i="3"/>
  <c r="AD77" i="22" s="1"/>
  <c r="AE77" i="3"/>
  <c r="AE77" i="22" s="1"/>
  <c r="AF77" i="3"/>
  <c r="AF77" i="22" s="1"/>
  <c r="AG77" i="3"/>
  <c r="AG77" i="22" s="1"/>
  <c r="AH77" i="3"/>
  <c r="AH77" i="22" s="1"/>
  <c r="AI77" i="3"/>
  <c r="AI77" i="22" s="1"/>
  <c r="AJ77" i="3"/>
  <c r="AJ77" i="22" s="1"/>
  <c r="AK77" i="3"/>
  <c r="AK77" i="22" s="1"/>
  <c r="AL77" i="3"/>
  <c r="AL77" i="22" s="1"/>
  <c r="AM77" i="3"/>
  <c r="AM77" i="22" s="1"/>
  <c r="AN77" i="3"/>
  <c r="AN77" i="22" s="1"/>
  <c r="AO77" i="3"/>
  <c r="AO77" i="22" s="1"/>
  <c r="AP77" i="3"/>
  <c r="AP77" i="22" s="1"/>
  <c r="AQ77" i="3"/>
  <c r="AQ77" i="22" s="1"/>
  <c r="AR77" i="3"/>
  <c r="AR77" i="22" s="1"/>
  <c r="AS77" i="3"/>
  <c r="AS77" i="22" s="1"/>
  <c r="AT77" i="3"/>
  <c r="AT77" i="22" s="1"/>
  <c r="AU77" i="3"/>
  <c r="AU77" i="22" s="1"/>
  <c r="AV77" i="3"/>
  <c r="AV77" i="22" s="1"/>
  <c r="AW77" i="3"/>
  <c r="AW77" i="22" s="1"/>
  <c r="AX77" i="3"/>
  <c r="AX77" i="22" s="1"/>
  <c r="B29" i="3"/>
  <c r="B29" i="22" s="1"/>
  <c r="C29" i="3"/>
  <c r="C29" i="22" s="1"/>
  <c r="D29" i="3"/>
  <c r="D29" i="22" s="1"/>
  <c r="E29" i="3"/>
  <c r="E29" i="22" s="1"/>
  <c r="F29" i="3"/>
  <c r="F29" i="22" s="1"/>
  <c r="G29" i="3"/>
  <c r="G29" i="22" s="1"/>
  <c r="H29" i="3"/>
  <c r="H29" i="22" s="1"/>
  <c r="I29" i="3"/>
  <c r="I29" i="22" s="1"/>
  <c r="J29" i="3"/>
  <c r="J29" i="22" s="1"/>
  <c r="K29" i="3"/>
  <c r="K29" i="22" s="1"/>
  <c r="L29" i="3"/>
  <c r="L29" i="22" s="1"/>
  <c r="M29" i="3"/>
  <c r="M29" i="22" s="1"/>
  <c r="N29" i="3"/>
  <c r="N29" i="22" s="1"/>
  <c r="O29" i="3"/>
  <c r="O29" i="22" s="1"/>
  <c r="P29" i="3"/>
  <c r="P29" i="22" s="1"/>
  <c r="Q29" i="3"/>
  <c r="Q29" i="22" s="1"/>
  <c r="R29" i="3"/>
  <c r="R29" i="22" s="1"/>
  <c r="S29" i="3"/>
  <c r="S29" i="22" s="1"/>
  <c r="T29" i="3"/>
  <c r="T29" i="22" s="1"/>
  <c r="U29" i="3"/>
  <c r="U29" i="22" s="1"/>
  <c r="V29" i="3"/>
  <c r="V29" i="22" s="1"/>
  <c r="W29" i="3"/>
  <c r="W29" i="22" s="1"/>
  <c r="X29" i="3"/>
  <c r="X29" i="22" s="1"/>
  <c r="Y29" i="3"/>
  <c r="Y29" i="22" s="1"/>
  <c r="Z29" i="3"/>
  <c r="Z29" i="22" s="1"/>
  <c r="AA29" i="3"/>
  <c r="AA29" i="22" s="1"/>
  <c r="AB29" i="3"/>
  <c r="AB29" i="22" s="1"/>
  <c r="AC29" i="3"/>
  <c r="AC29" i="22" s="1"/>
  <c r="AD29" i="3"/>
  <c r="AD29" i="22" s="1"/>
  <c r="AE29" i="3"/>
  <c r="AE29" i="22" s="1"/>
  <c r="AF29" i="3"/>
  <c r="AF29" i="22" s="1"/>
  <c r="AG29" i="3"/>
  <c r="AG29" i="22" s="1"/>
  <c r="AH29" i="3"/>
  <c r="AH29" i="22" s="1"/>
  <c r="AI29" i="3"/>
  <c r="AI29" i="22" s="1"/>
  <c r="AJ29" i="3"/>
  <c r="AJ29" i="22" s="1"/>
  <c r="AK29" i="3"/>
  <c r="AK29" i="22" s="1"/>
  <c r="AL29" i="3"/>
  <c r="AL29" i="22" s="1"/>
  <c r="AM29" i="3"/>
  <c r="AM29" i="22" s="1"/>
  <c r="AN29" i="3"/>
  <c r="AN29" i="22" s="1"/>
  <c r="AO29" i="3"/>
  <c r="AO29" i="22" s="1"/>
  <c r="AP29" i="3"/>
  <c r="AP29" i="22" s="1"/>
  <c r="AQ29" i="3"/>
  <c r="AQ29" i="22" s="1"/>
  <c r="AR29" i="3"/>
  <c r="AR29" i="22" s="1"/>
  <c r="AS29" i="3"/>
  <c r="AS29" i="22" s="1"/>
  <c r="AT29" i="3"/>
  <c r="AT29" i="22" s="1"/>
  <c r="AU29" i="3"/>
  <c r="AU29" i="22" s="1"/>
  <c r="AV29" i="3"/>
  <c r="AV29" i="22" s="1"/>
  <c r="AW29" i="3"/>
  <c r="AW29" i="22" s="1"/>
  <c r="AX29" i="3"/>
  <c r="AX29" i="22" s="1"/>
  <c r="B53" i="3"/>
  <c r="B53" i="22" s="1"/>
  <c r="C53" i="3"/>
  <c r="C53" i="22" s="1"/>
  <c r="D53" i="3"/>
  <c r="D53" i="22" s="1"/>
  <c r="E53" i="3"/>
  <c r="E53" i="22" s="1"/>
  <c r="F53" i="3"/>
  <c r="F53" i="22" s="1"/>
  <c r="G53" i="3"/>
  <c r="G53" i="22" s="1"/>
  <c r="H53" i="3"/>
  <c r="H53" i="22" s="1"/>
  <c r="I53" i="3"/>
  <c r="I53" i="22" s="1"/>
  <c r="J53" i="3"/>
  <c r="J53" i="22" s="1"/>
  <c r="K53" i="3"/>
  <c r="K53" i="22" s="1"/>
  <c r="L53" i="3"/>
  <c r="L53" i="22" s="1"/>
  <c r="M53" i="3"/>
  <c r="M53" i="22" s="1"/>
  <c r="N53" i="3"/>
  <c r="N53" i="22" s="1"/>
  <c r="O53" i="3"/>
  <c r="O53" i="22" s="1"/>
  <c r="P53" i="3"/>
  <c r="P53" i="22" s="1"/>
  <c r="Q53" i="3"/>
  <c r="Q53" i="22" s="1"/>
  <c r="R53" i="3"/>
  <c r="R53" i="22" s="1"/>
  <c r="S53" i="3"/>
  <c r="S53" i="22" s="1"/>
  <c r="T53" i="3"/>
  <c r="T53" i="22" s="1"/>
  <c r="U53" i="3"/>
  <c r="U53" i="22" s="1"/>
  <c r="V53" i="3"/>
  <c r="V53" i="22" s="1"/>
  <c r="W53" i="3"/>
  <c r="W53" i="22" s="1"/>
  <c r="X53" i="3"/>
  <c r="X53" i="22" s="1"/>
  <c r="Y53" i="3"/>
  <c r="Y53" i="22" s="1"/>
  <c r="Z53" i="3"/>
  <c r="Z53" i="22" s="1"/>
  <c r="AA53" i="3"/>
  <c r="AA53" i="22" s="1"/>
  <c r="AB53" i="3"/>
  <c r="AB53" i="22" s="1"/>
  <c r="AC53" i="3"/>
  <c r="AC53" i="22" s="1"/>
  <c r="AD53" i="3"/>
  <c r="AD53" i="22" s="1"/>
  <c r="AE53" i="3"/>
  <c r="AE53" i="22" s="1"/>
  <c r="AF53" i="3"/>
  <c r="AF53" i="22" s="1"/>
  <c r="AG53" i="3"/>
  <c r="AG53" i="22" s="1"/>
  <c r="AH53" i="3"/>
  <c r="AH53" i="22" s="1"/>
  <c r="AI53" i="3"/>
  <c r="AI53" i="22" s="1"/>
  <c r="AJ53" i="3"/>
  <c r="AJ53" i="22" s="1"/>
  <c r="AK53" i="3"/>
  <c r="AK53" i="22" s="1"/>
  <c r="AL53" i="3"/>
  <c r="AL53" i="22" s="1"/>
  <c r="AM53" i="3"/>
  <c r="AM53" i="22" s="1"/>
  <c r="AN53" i="3"/>
  <c r="AN53" i="22" s="1"/>
  <c r="AO53" i="3"/>
  <c r="AO53" i="22" s="1"/>
  <c r="AP53" i="3"/>
  <c r="AP53" i="22" s="1"/>
  <c r="AQ53" i="3"/>
  <c r="AQ53" i="22" s="1"/>
  <c r="AR53" i="3"/>
  <c r="AR53" i="22" s="1"/>
  <c r="AS53" i="3"/>
  <c r="AS53" i="22" s="1"/>
  <c r="AT53" i="3"/>
  <c r="AT53" i="22" s="1"/>
  <c r="AU53" i="3"/>
  <c r="AU53" i="22" s="1"/>
  <c r="AV53" i="3"/>
  <c r="AV53" i="22" s="1"/>
  <c r="AW53" i="3"/>
  <c r="AW53" i="22" s="1"/>
  <c r="AX53" i="3"/>
  <c r="AX53" i="22" s="1"/>
  <c r="B67" i="3"/>
  <c r="C67" i="3"/>
  <c r="C67" i="22" s="1"/>
  <c r="D67" i="3"/>
  <c r="D67" i="22" s="1"/>
  <c r="E67" i="3"/>
  <c r="E67" i="22" s="1"/>
  <c r="F67" i="3"/>
  <c r="F67" i="22" s="1"/>
  <c r="G67" i="3"/>
  <c r="G67" i="22" s="1"/>
  <c r="H67" i="3"/>
  <c r="H67" i="22" s="1"/>
  <c r="I67" i="3"/>
  <c r="I67" i="22" s="1"/>
  <c r="J67" i="3"/>
  <c r="J67" i="22" s="1"/>
  <c r="K67" i="3"/>
  <c r="K67" i="22" s="1"/>
  <c r="L67" i="3"/>
  <c r="L67" i="22" s="1"/>
  <c r="M67" i="3"/>
  <c r="M67" i="22" s="1"/>
  <c r="N67" i="3"/>
  <c r="N67" i="22" s="1"/>
  <c r="O67" i="3"/>
  <c r="O67" i="22" s="1"/>
  <c r="P67" i="3"/>
  <c r="P67" i="22" s="1"/>
  <c r="Q67" i="3"/>
  <c r="Q67" i="22" s="1"/>
  <c r="R67" i="3"/>
  <c r="R67" i="22" s="1"/>
  <c r="S67" i="3"/>
  <c r="S67" i="22" s="1"/>
  <c r="T67" i="3"/>
  <c r="T67" i="22" s="1"/>
  <c r="U67" i="3"/>
  <c r="U67" i="22" s="1"/>
  <c r="V67" i="3"/>
  <c r="V67" i="22" s="1"/>
  <c r="W67" i="3"/>
  <c r="W67" i="22" s="1"/>
  <c r="X67" i="3"/>
  <c r="X67" i="22" s="1"/>
  <c r="Y67" i="3"/>
  <c r="Y67" i="22" s="1"/>
  <c r="Z67" i="3"/>
  <c r="Z67" i="22" s="1"/>
  <c r="AA67" i="3"/>
  <c r="AA67" i="22" s="1"/>
  <c r="AB67" i="3"/>
  <c r="AB67" i="22" s="1"/>
  <c r="AC67" i="3"/>
  <c r="AC67" i="22" s="1"/>
  <c r="AD67" i="3"/>
  <c r="AD67" i="22" s="1"/>
  <c r="AE67" i="3"/>
  <c r="AE67" i="22" s="1"/>
  <c r="AF67" i="3"/>
  <c r="AF67" i="22" s="1"/>
  <c r="AG67" i="3"/>
  <c r="AG67" i="22" s="1"/>
  <c r="AH67" i="3"/>
  <c r="AH67" i="22" s="1"/>
  <c r="AI67" i="3"/>
  <c r="AI67" i="22" s="1"/>
  <c r="AJ67" i="3"/>
  <c r="AJ67" i="22" s="1"/>
  <c r="AK67" i="3"/>
  <c r="AK67" i="22" s="1"/>
  <c r="AL67" i="3"/>
  <c r="AL67" i="22" s="1"/>
  <c r="AM67" i="3"/>
  <c r="AM67" i="22" s="1"/>
  <c r="AN67" i="3"/>
  <c r="AN67" i="22" s="1"/>
  <c r="AO67" i="3"/>
  <c r="AO67" i="22" s="1"/>
  <c r="AP67" i="3"/>
  <c r="AP67" i="22" s="1"/>
  <c r="AQ67" i="3"/>
  <c r="AQ67" i="22" s="1"/>
  <c r="AR67" i="3"/>
  <c r="AR67" i="22" s="1"/>
  <c r="AS67" i="3"/>
  <c r="AS67" i="22" s="1"/>
  <c r="AT67" i="3"/>
  <c r="AT67" i="22" s="1"/>
  <c r="AU67" i="3"/>
  <c r="AU67" i="22" s="1"/>
  <c r="AV67" i="3"/>
  <c r="AV67" i="22" s="1"/>
  <c r="AW67" i="3"/>
  <c r="AW67" i="22" s="1"/>
  <c r="AX67" i="3"/>
  <c r="AX67" i="22" s="1"/>
  <c r="B104" i="3"/>
  <c r="B104" i="22" s="1"/>
  <c r="C104" i="3"/>
  <c r="C104" i="22" s="1"/>
  <c r="D104" i="3"/>
  <c r="D104" i="22" s="1"/>
  <c r="E104" i="3"/>
  <c r="E104" i="22" s="1"/>
  <c r="F104" i="3"/>
  <c r="F104" i="22" s="1"/>
  <c r="G104" i="3"/>
  <c r="G104" i="22" s="1"/>
  <c r="H104" i="3"/>
  <c r="H104" i="22" s="1"/>
  <c r="I104" i="3"/>
  <c r="I104" i="22" s="1"/>
  <c r="J104" i="3"/>
  <c r="J104" i="22" s="1"/>
  <c r="K104" i="3"/>
  <c r="K104" i="22" s="1"/>
  <c r="L104" i="3"/>
  <c r="L104" i="22" s="1"/>
  <c r="M104" i="3"/>
  <c r="M104" i="22" s="1"/>
  <c r="N104" i="3"/>
  <c r="N104" i="22" s="1"/>
  <c r="O104" i="3"/>
  <c r="O104" i="22" s="1"/>
  <c r="P104" i="3"/>
  <c r="P104" i="22" s="1"/>
  <c r="Q104" i="3"/>
  <c r="Q104" i="22" s="1"/>
  <c r="R104" i="3"/>
  <c r="R104" i="22" s="1"/>
  <c r="S104" i="3"/>
  <c r="S104" i="22" s="1"/>
  <c r="T104" i="3"/>
  <c r="T104" i="22" s="1"/>
  <c r="U104" i="3"/>
  <c r="U104" i="22" s="1"/>
  <c r="V104" i="3"/>
  <c r="V104" i="22" s="1"/>
  <c r="W104" i="3"/>
  <c r="W104" i="22" s="1"/>
  <c r="X104" i="3"/>
  <c r="X104" i="22" s="1"/>
  <c r="Y104" i="3"/>
  <c r="Y104" i="22" s="1"/>
  <c r="Z104" i="3"/>
  <c r="Z104" i="22" s="1"/>
  <c r="AA104" i="3"/>
  <c r="AA104" i="22" s="1"/>
  <c r="AB104" i="3"/>
  <c r="AB104" i="22" s="1"/>
  <c r="AC104" i="3"/>
  <c r="AC104" i="22" s="1"/>
  <c r="AD104" i="3"/>
  <c r="AD104" i="22" s="1"/>
  <c r="AE104" i="3"/>
  <c r="AE104" i="22" s="1"/>
  <c r="AF104" i="3"/>
  <c r="AF104" i="22" s="1"/>
  <c r="AG104" i="3"/>
  <c r="AG104" i="22" s="1"/>
  <c r="AH104" i="3"/>
  <c r="AH104" i="22" s="1"/>
  <c r="AI104" i="3"/>
  <c r="AI104" i="22" s="1"/>
  <c r="AJ104" i="3"/>
  <c r="AJ104" i="22" s="1"/>
  <c r="AK104" i="3"/>
  <c r="AK104" i="22" s="1"/>
  <c r="AL104" i="3"/>
  <c r="AL104" i="22" s="1"/>
  <c r="AM104" i="3"/>
  <c r="AM104" i="22" s="1"/>
  <c r="AN104" i="3"/>
  <c r="AN104" i="22" s="1"/>
  <c r="AO104" i="3"/>
  <c r="AO104" i="22" s="1"/>
  <c r="AP104" i="3"/>
  <c r="AP104" i="22" s="1"/>
  <c r="AQ104" i="3"/>
  <c r="AQ104" i="22" s="1"/>
  <c r="AR104" i="3"/>
  <c r="AR104" i="22" s="1"/>
  <c r="AS104" i="3"/>
  <c r="AS104" i="22" s="1"/>
  <c r="AT104" i="3"/>
  <c r="AT104" i="22" s="1"/>
  <c r="AU104" i="3"/>
  <c r="AU104" i="22" s="1"/>
  <c r="AV104" i="3"/>
  <c r="AV104" i="22" s="1"/>
  <c r="AW104" i="3"/>
  <c r="AW104" i="22" s="1"/>
  <c r="AX104" i="3"/>
  <c r="AX104" i="22" s="1"/>
  <c r="B91" i="3"/>
  <c r="B91" i="22" s="1"/>
  <c r="C91" i="3"/>
  <c r="C91" i="22" s="1"/>
  <c r="D91" i="3"/>
  <c r="D91" i="22" s="1"/>
  <c r="E91" i="3"/>
  <c r="E91" i="22" s="1"/>
  <c r="F91" i="3"/>
  <c r="F91" i="22" s="1"/>
  <c r="G91" i="3"/>
  <c r="G91" i="22" s="1"/>
  <c r="H91" i="3"/>
  <c r="H91" i="22" s="1"/>
  <c r="I91" i="3"/>
  <c r="I91" i="22" s="1"/>
  <c r="J91" i="3"/>
  <c r="J91" i="22" s="1"/>
  <c r="K91" i="3"/>
  <c r="K91" i="22" s="1"/>
  <c r="L91" i="3"/>
  <c r="L91" i="22" s="1"/>
  <c r="M91" i="3"/>
  <c r="M91" i="22" s="1"/>
  <c r="N91" i="3"/>
  <c r="N91" i="22" s="1"/>
  <c r="O91" i="3"/>
  <c r="O91" i="22" s="1"/>
  <c r="P91" i="3"/>
  <c r="P91" i="22" s="1"/>
  <c r="Q91" i="3"/>
  <c r="Q91" i="22" s="1"/>
  <c r="R91" i="3"/>
  <c r="R91" i="22" s="1"/>
  <c r="S91" i="3"/>
  <c r="S91" i="22" s="1"/>
  <c r="T91" i="3"/>
  <c r="T91" i="22" s="1"/>
  <c r="U91" i="3"/>
  <c r="U91" i="22" s="1"/>
  <c r="V91" i="3"/>
  <c r="V91" i="22" s="1"/>
  <c r="W91" i="3"/>
  <c r="W91" i="22" s="1"/>
  <c r="X91" i="3"/>
  <c r="X91" i="22" s="1"/>
  <c r="Y91" i="3"/>
  <c r="Y91" i="22" s="1"/>
  <c r="Z91" i="3"/>
  <c r="Z91" i="22" s="1"/>
  <c r="AA91" i="3"/>
  <c r="AA91" i="22" s="1"/>
  <c r="AB91" i="3"/>
  <c r="AB91" i="22" s="1"/>
  <c r="AC91" i="3"/>
  <c r="AC91" i="22" s="1"/>
  <c r="AD91" i="3"/>
  <c r="AD91" i="22" s="1"/>
  <c r="AE91" i="3"/>
  <c r="AE91" i="22" s="1"/>
  <c r="AF91" i="3"/>
  <c r="AF91" i="22" s="1"/>
  <c r="AG91" i="3"/>
  <c r="AG91" i="22" s="1"/>
  <c r="AH91" i="3"/>
  <c r="AH91" i="22" s="1"/>
  <c r="AI91" i="3"/>
  <c r="AI91" i="22" s="1"/>
  <c r="AJ91" i="3"/>
  <c r="AJ91" i="22" s="1"/>
  <c r="AK91" i="3"/>
  <c r="AK91" i="22" s="1"/>
  <c r="AL91" i="3"/>
  <c r="AL91" i="22" s="1"/>
  <c r="AM91" i="3"/>
  <c r="AM91" i="22" s="1"/>
  <c r="AN91" i="3"/>
  <c r="AN91" i="22" s="1"/>
  <c r="AO91" i="3"/>
  <c r="AO91" i="22" s="1"/>
  <c r="AP91" i="3"/>
  <c r="AP91" i="22" s="1"/>
  <c r="AQ91" i="3"/>
  <c r="AQ91" i="22" s="1"/>
  <c r="AR91" i="3"/>
  <c r="AR91" i="22" s="1"/>
  <c r="AS91" i="3"/>
  <c r="AS91" i="22" s="1"/>
  <c r="AT91" i="3"/>
  <c r="AT91" i="22" s="1"/>
  <c r="AU91" i="3"/>
  <c r="AU91" i="22" s="1"/>
  <c r="AV91" i="3"/>
  <c r="AV91" i="22" s="1"/>
  <c r="AW91" i="3"/>
  <c r="AW91" i="22" s="1"/>
  <c r="AX91" i="3"/>
  <c r="AX91" i="22" s="1"/>
  <c r="B105" i="3"/>
  <c r="B105" i="22" s="1"/>
  <c r="C105" i="3"/>
  <c r="C105" i="22" s="1"/>
  <c r="D105" i="3"/>
  <c r="D105" i="22" s="1"/>
  <c r="E105" i="3"/>
  <c r="E105" i="22" s="1"/>
  <c r="F105" i="3"/>
  <c r="F105" i="22" s="1"/>
  <c r="G105" i="3"/>
  <c r="G105" i="22" s="1"/>
  <c r="H105" i="3"/>
  <c r="H105" i="22" s="1"/>
  <c r="I105" i="3"/>
  <c r="I105" i="22" s="1"/>
  <c r="J105" i="3"/>
  <c r="J105" i="22" s="1"/>
  <c r="K105" i="3"/>
  <c r="K105" i="22" s="1"/>
  <c r="L105" i="3"/>
  <c r="L105" i="22" s="1"/>
  <c r="M105" i="3"/>
  <c r="M105" i="22" s="1"/>
  <c r="N105" i="3"/>
  <c r="N105" i="22" s="1"/>
  <c r="O105" i="3"/>
  <c r="O105" i="22" s="1"/>
  <c r="P105" i="3"/>
  <c r="P105" i="22" s="1"/>
  <c r="Q105" i="3"/>
  <c r="Q105" i="22" s="1"/>
  <c r="R105" i="3"/>
  <c r="R105" i="22" s="1"/>
  <c r="S105" i="3"/>
  <c r="S105" i="22" s="1"/>
  <c r="T105" i="3"/>
  <c r="T105" i="22" s="1"/>
  <c r="U105" i="3"/>
  <c r="U105" i="22" s="1"/>
  <c r="V105" i="3"/>
  <c r="V105" i="22" s="1"/>
  <c r="W105" i="3"/>
  <c r="W105" i="22" s="1"/>
  <c r="X105" i="3"/>
  <c r="X105" i="22" s="1"/>
  <c r="Y105" i="3"/>
  <c r="Y105" i="22" s="1"/>
  <c r="Z105" i="3"/>
  <c r="Z105" i="22" s="1"/>
  <c r="AA105" i="3"/>
  <c r="AA105" i="22" s="1"/>
  <c r="AB105" i="3"/>
  <c r="AB105" i="22" s="1"/>
  <c r="AC105" i="3"/>
  <c r="AC105" i="22" s="1"/>
  <c r="AD105" i="3"/>
  <c r="AD105" i="22" s="1"/>
  <c r="AE105" i="3"/>
  <c r="AE105" i="22" s="1"/>
  <c r="AF105" i="3"/>
  <c r="AF105" i="22" s="1"/>
  <c r="AG105" i="3"/>
  <c r="AG105" i="22" s="1"/>
  <c r="AH105" i="3"/>
  <c r="AH105" i="22" s="1"/>
  <c r="AI105" i="3"/>
  <c r="AI105" i="22" s="1"/>
  <c r="AJ105" i="3"/>
  <c r="AJ105" i="22" s="1"/>
  <c r="AK105" i="3"/>
  <c r="AK105" i="22" s="1"/>
  <c r="AL105" i="3"/>
  <c r="AL105" i="22" s="1"/>
  <c r="AM105" i="3"/>
  <c r="AM105" i="22" s="1"/>
  <c r="AN105" i="3"/>
  <c r="AN105" i="22" s="1"/>
  <c r="AO105" i="3"/>
  <c r="AO105" i="22" s="1"/>
  <c r="AP105" i="3"/>
  <c r="AP105" i="22" s="1"/>
  <c r="AQ105" i="3"/>
  <c r="AQ105" i="22" s="1"/>
  <c r="AR105" i="3"/>
  <c r="AR105" i="22" s="1"/>
  <c r="AS105" i="3"/>
  <c r="AS105" i="22" s="1"/>
  <c r="AT105" i="3"/>
  <c r="AT105" i="22" s="1"/>
  <c r="AU105" i="3"/>
  <c r="AU105" i="22" s="1"/>
  <c r="AV105" i="3"/>
  <c r="AV105" i="22" s="1"/>
  <c r="AW105" i="3"/>
  <c r="AW105" i="22" s="1"/>
  <c r="AX105" i="3"/>
  <c r="AX105" i="22" s="1"/>
  <c r="B24" i="3"/>
  <c r="B24" i="22" s="1"/>
  <c r="C24" i="3"/>
  <c r="C24" i="22" s="1"/>
  <c r="D24" i="3"/>
  <c r="D24" i="22" s="1"/>
  <c r="E24" i="3"/>
  <c r="E24" i="22" s="1"/>
  <c r="F24" i="3"/>
  <c r="F24" i="22" s="1"/>
  <c r="G24" i="3"/>
  <c r="G24" i="22" s="1"/>
  <c r="H24" i="3"/>
  <c r="H24" i="22" s="1"/>
  <c r="I24" i="3"/>
  <c r="I24" i="22" s="1"/>
  <c r="J24" i="3"/>
  <c r="J24" i="22" s="1"/>
  <c r="K24" i="3"/>
  <c r="K24" i="22" s="1"/>
  <c r="L24" i="3"/>
  <c r="L24" i="22" s="1"/>
  <c r="M24" i="3"/>
  <c r="M24" i="22" s="1"/>
  <c r="N24" i="3"/>
  <c r="N24" i="22" s="1"/>
  <c r="O24" i="3"/>
  <c r="O24" i="22" s="1"/>
  <c r="P24" i="3"/>
  <c r="P24" i="22" s="1"/>
  <c r="Q24" i="3"/>
  <c r="Q24" i="22" s="1"/>
  <c r="R24" i="3"/>
  <c r="R24" i="22" s="1"/>
  <c r="S24" i="3"/>
  <c r="S24" i="22" s="1"/>
  <c r="T24" i="3"/>
  <c r="T24" i="22" s="1"/>
  <c r="U24" i="3"/>
  <c r="U24" i="22" s="1"/>
  <c r="V24" i="3"/>
  <c r="V24" i="22" s="1"/>
  <c r="W24" i="3"/>
  <c r="W24" i="22" s="1"/>
  <c r="X24" i="3"/>
  <c r="X24" i="22" s="1"/>
  <c r="Y24" i="3"/>
  <c r="Y24" i="22" s="1"/>
  <c r="Z24" i="3"/>
  <c r="Z24" i="22" s="1"/>
  <c r="AA24" i="3"/>
  <c r="AA24" i="22" s="1"/>
  <c r="AB24" i="3"/>
  <c r="AB24" i="22" s="1"/>
  <c r="AC24" i="3"/>
  <c r="AC24" i="22" s="1"/>
  <c r="AD24" i="3"/>
  <c r="AD24" i="22" s="1"/>
  <c r="AE24" i="3"/>
  <c r="AE24" i="22" s="1"/>
  <c r="AF24" i="3"/>
  <c r="AF24" i="22" s="1"/>
  <c r="AG24" i="3"/>
  <c r="AG24" i="22" s="1"/>
  <c r="AH24" i="3"/>
  <c r="AH24" i="22" s="1"/>
  <c r="AI24" i="3"/>
  <c r="AI24" i="22" s="1"/>
  <c r="AJ24" i="3"/>
  <c r="AJ24" i="22" s="1"/>
  <c r="AK24" i="3"/>
  <c r="AK24" i="22" s="1"/>
  <c r="AL24" i="3"/>
  <c r="AL24" i="22" s="1"/>
  <c r="AM24" i="3"/>
  <c r="AM24" i="22" s="1"/>
  <c r="AN24" i="3"/>
  <c r="AN24" i="22" s="1"/>
  <c r="AO24" i="3"/>
  <c r="AO24" i="22" s="1"/>
  <c r="AP24" i="3"/>
  <c r="AP24" i="22" s="1"/>
  <c r="AQ24" i="3"/>
  <c r="AQ24" i="22" s="1"/>
  <c r="AR24" i="3"/>
  <c r="AR24" i="22" s="1"/>
  <c r="AS24" i="3"/>
  <c r="AS24" i="22" s="1"/>
  <c r="AT24" i="3"/>
  <c r="AT24" i="22" s="1"/>
  <c r="AU24" i="3"/>
  <c r="AU24" i="22" s="1"/>
  <c r="AV24" i="3"/>
  <c r="AV24" i="22" s="1"/>
  <c r="AW24" i="3"/>
  <c r="AW24" i="22" s="1"/>
  <c r="AX24" i="3"/>
  <c r="AX24" i="22" s="1"/>
  <c r="B113" i="3"/>
  <c r="B113" i="22" s="1"/>
  <c r="C113" i="3"/>
  <c r="C113" i="22" s="1"/>
  <c r="D113" i="3"/>
  <c r="D113" i="22" s="1"/>
  <c r="E113" i="3"/>
  <c r="E113" i="22" s="1"/>
  <c r="F113" i="3"/>
  <c r="F113" i="22" s="1"/>
  <c r="G113" i="3"/>
  <c r="G113" i="22" s="1"/>
  <c r="H113" i="3"/>
  <c r="H113" i="22" s="1"/>
  <c r="I113" i="3"/>
  <c r="I113" i="22" s="1"/>
  <c r="J113" i="3"/>
  <c r="J113" i="22" s="1"/>
  <c r="K113" i="3"/>
  <c r="K113" i="22" s="1"/>
  <c r="L113" i="3"/>
  <c r="L113" i="22" s="1"/>
  <c r="M113" i="3"/>
  <c r="M113" i="22" s="1"/>
  <c r="N113" i="3"/>
  <c r="N113" i="22" s="1"/>
  <c r="O113" i="3"/>
  <c r="O113" i="22" s="1"/>
  <c r="P113" i="3"/>
  <c r="P113" i="22" s="1"/>
  <c r="Q113" i="3"/>
  <c r="Q113" i="22" s="1"/>
  <c r="R113" i="3"/>
  <c r="R113" i="22" s="1"/>
  <c r="S113" i="3"/>
  <c r="S113" i="22" s="1"/>
  <c r="T113" i="3"/>
  <c r="T113" i="22" s="1"/>
  <c r="U113" i="3"/>
  <c r="U113" i="22" s="1"/>
  <c r="V113" i="3"/>
  <c r="V113" i="22" s="1"/>
  <c r="W113" i="3"/>
  <c r="W113" i="22" s="1"/>
  <c r="X113" i="3"/>
  <c r="X113" i="22" s="1"/>
  <c r="Y113" i="3"/>
  <c r="Y113" i="22" s="1"/>
  <c r="Z113" i="3"/>
  <c r="Z113" i="22" s="1"/>
  <c r="AA113" i="3"/>
  <c r="AA113" i="22" s="1"/>
  <c r="AB113" i="3"/>
  <c r="AB113" i="22" s="1"/>
  <c r="AC113" i="3"/>
  <c r="AC113" i="22" s="1"/>
  <c r="AD113" i="3"/>
  <c r="AD113" i="22" s="1"/>
  <c r="AE113" i="3"/>
  <c r="AE113" i="22" s="1"/>
  <c r="AF113" i="3"/>
  <c r="AF113" i="22" s="1"/>
  <c r="AG113" i="3"/>
  <c r="AG113" i="22" s="1"/>
  <c r="AH113" i="3"/>
  <c r="AH113" i="22" s="1"/>
  <c r="AI113" i="3"/>
  <c r="AI113" i="22" s="1"/>
  <c r="AJ113" i="3"/>
  <c r="AJ113" i="22" s="1"/>
  <c r="AK113" i="3"/>
  <c r="AK113" i="22" s="1"/>
  <c r="AL113" i="3"/>
  <c r="AL113" i="22" s="1"/>
  <c r="AM113" i="3"/>
  <c r="AM113" i="22" s="1"/>
  <c r="AN113" i="3"/>
  <c r="AN113" i="22" s="1"/>
  <c r="AO113" i="3"/>
  <c r="AO113" i="22" s="1"/>
  <c r="AP113" i="3"/>
  <c r="AP113" i="22" s="1"/>
  <c r="AQ113" i="3"/>
  <c r="AQ113" i="22" s="1"/>
  <c r="AR113" i="3"/>
  <c r="AR113" i="22" s="1"/>
  <c r="AS113" i="3"/>
  <c r="AS113" i="22" s="1"/>
  <c r="AT113" i="3"/>
  <c r="AT113" i="22" s="1"/>
  <c r="AU113" i="3"/>
  <c r="AU113" i="22" s="1"/>
  <c r="AV113" i="3"/>
  <c r="AV113" i="22" s="1"/>
  <c r="AW113" i="3"/>
  <c r="AW113" i="22" s="1"/>
  <c r="AX113" i="3"/>
  <c r="AX113" i="22" s="1"/>
  <c r="B52" i="3"/>
  <c r="B52" i="22" s="1"/>
  <c r="C52" i="3"/>
  <c r="C52" i="22" s="1"/>
  <c r="D52" i="3"/>
  <c r="D52" i="22" s="1"/>
  <c r="E52" i="3"/>
  <c r="E52" i="22" s="1"/>
  <c r="F52" i="3"/>
  <c r="F52" i="22" s="1"/>
  <c r="G52" i="3"/>
  <c r="G52" i="22" s="1"/>
  <c r="H52" i="3"/>
  <c r="H52" i="22" s="1"/>
  <c r="I52" i="3"/>
  <c r="I52" i="22" s="1"/>
  <c r="J52" i="3"/>
  <c r="J52" i="22" s="1"/>
  <c r="K52" i="3"/>
  <c r="K52" i="22" s="1"/>
  <c r="L52" i="3"/>
  <c r="L52" i="22" s="1"/>
  <c r="M52" i="3"/>
  <c r="M52" i="22" s="1"/>
  <c r="N52" i="3"/>
  <c r="N52" i="22" s="1"/>
  <c r="O52" i="3"/>
  <c r="O52" i="22" s="1"/>
  <c r="P52" i="3"/>
  <c r="P52" i="22" s="1"/>
  <c r="Q52" i="3"/>
  <c r="Q52" i="22" s="1"/>
  <c r="R52" i="3"/>
  <c r="R52" i="22" s="1"/>
  <c r="S52" i="3"/>
  <c r="S52" i="22" s="1"/>
  <c r="T52" i="3"/>
  <c r="T52" i="22" s="1"/>
  <c r="U52" i="3"/>
  <c r="U52" i="22" s="1"/>
  <c r="V52" i="3"/>
  <c r="V52" i="22" s="1"/>
  <c r="W52" i="3"/>
  <c r="W52" i="22" s="1"/>
  <c r="X52" i="3"/>
  <c r="X52" i="22" s="1"/>
  <c r="Y52" i="3"/>
  <c r="Y52" i="22" s="1"/>
  <c r="Z52" i="3"/>
  <c r="Z52" i="22" s="1"/>
  <c r="AA52" i="3"/>
  <c r="AA52" i="22" s="1"/>
  <c r="AB52" i="3"/>
  <c r="AB52" i="22" s="1"/>
  <c r="AC52" i="3"/>
  <c r="AC52" i="22" s="1"/>
  <c r="AD52" i="3"/>
  <c r="AD52" i="22" s="1"/>
  <c r="AE52" i="3"/>
  <c r="AE52" i="22" s="1"/>
  <c r="AF52" i="3"/>
  <c r="AF52" i="22" s="1"/>
  <c r="AG52" i="3"/>
  <c r="AG52" i="22" s="1"/>
  <c r="AH52" i="3"/>
  <c r="AH52" i="22" s="1"/>
  <c r="AI52" i="3"/>
  <c r="AI52" i="22" s="1"/>
  <c r="AJ52" i="3"/>
  <c r="AJ52" i="22" s="1"/>
  <c r="AK52" i="3"/>
  <c r="AK52" i="22" s="1"/>
  <c r="AL52" i="3"/>
  <c r="AL52" i="22" s="1"/>
  <c r="AM52" i="3"/>
  <c r="AM52" i="22" s="1"/>
  <c r="AN52" i="3"/>
  <c r="AN52" i="22" s="1"/>
  <c r="AO52" i="3"/>
  <c r="AO52" i="22" s="1"/>
  <c r="AP52" i="3"/>
  <c r="AP52" i="22" s="1"/>
  <c r="AQ52" i="3"/>
  <c r="AQ52" i="22" s="1"/>
  <c r="AR52" i="3"/>
  <c r="AR52" i="22" s="1"/>
  <c r="AS52" i="3"/>
  <c r="AS52" i="22" s="1"/>
  <c r="AT52" i="3"/>
  <c r="AT52" i="22" s="1"/>
  <c r="AU52" i="3"/>
  <c r="AU52" i="22" s="1"/>
  <c r="AV52" i="3"/>
  <c r="AV52" i="22" s="1"/>
  <c r="AW52" i="3"/>
  <c r="AW52" i="22" s="1"/>
  <c r="AX52" i="3"/>
  <c r="AX52" i="22" s="1"/>
  <c r="B2" i="3"/>
  <c r="C2" i="3"/>
  <c r="C2" i="22" s="1"/>
  <c r="D2" i="3"/>
  <c r="D2" i="22" s="1"/>
  <c r="E2" i="3"/>
  <c r="E2" i="22" s="1"/>
  <c r="F2" i="3"/>
  <c r="F2" i="22" s="1"/>
  <c r="G2" i="3"/>
  <c r="G2" i="22" s="1"/>
  <c r="H2" i="3"/>
  <c r="H2" i="22" s="1"/>
  <c r="I2" i="3"/>
  <c r="I2" i="22" s="1"/>
  <c r="J2" i="3"/>
  <c r="J2" i="22" s="1"/>
  <c r="K2" i="3"/>
  <c r="K2" i="22" s="1"/>
  <c r="L2" i="3"/>
  <c r="L2" i="22" s="1"/>
  <c r="M2" i="3"/>
  <c r="M2" i="22" s="1"/>
  <c r="N2" i="3"/>
  <c r="N2" i="22" s="1"/>
  <c r="O2" i="3"/>
  <c r="O2" i="22" s="1"/>
  <c r="P2" i="3"/>
  <c r="P2" i="22" s="1"/>
  <c r="Q2" i="3"/>
  <c r="Q2" i="22" s="1"/>
  <c r="R2" i="3"/>
  <c r="R2" i="22" s="1"/>
  <c r="S2" i="3"/>
  <c r="S2" i="22" s="1"/>
  <c r="T2" i="3"/>
  <c r="T2" i="22" s="1"/>
  <c r="U2" i="3"/>
  <c r="U2" i="22" s="1"/>
  <c r="V2" i="3"/>
  <c r="V2" i="22" s="1"/>
  <c r="W2" i="3"/>
  <c r="W2" i="22" s="1"/>
  <c r="X2" i="3"/>
  <c r="X2" i="22" s="1"/>
  <c r="Y2" i="3"/>
  <c r="Y2" i="22" s="1"/>
  <c r="Z2" i="3"/>
  <c r="Z2" i="22" s="1"/>
  <c r="AA2" i="3"/>
  <c r="AA2" i="22" s="1"/>
  <c r="AB2" i="3"/>
  <c r="AB2" i="22" s="1"/>
  <c r="AC2" i="3"/>
  <c r="AC2" i="22" s="1"/>
  <c r="AD2" i="3"/>
  <c r="AD2" i="22" s="1"/>
  <c r="AE2" i="3"/>
  <c r="AE2" i="22" s="1"/>
  <c r="AF2" i="3"/>
  <c r="AF2" i="22" s="1"/>
  <c r="AG2" i="3"/>
  <c r="AG2" i="22" s="1"/>
  <c r="AH2" i="3"/>
  <c r="AH2" i="22" s="1"/>
  <c r="AI2" i="3"/>
  <c r="AI2" i="22" s="1"/>
  <c r="AJ2" i="3"/>
  <c r="AJ2" i="22" s="1"/>
  <c r="AK2" i="3"/>
  <c r="AK2" i="22" s="1"/>
  <c r="AL2" i="3"/>
  <c r="AL2" i="22" s="1"/>
  <c r="AM2" i="3"/>
  <c r="AM2" i="22" s="1"/>
  <c r="AN2" i="3"/>
  <c r="AN2" i="22" s="1"/>
  <c r="AO2" i="3"/>
  <c r="AO2" i="22" s="1"/>
  <c r="AP2" i="3"/>
  <c r="AP2" i="22" s="1"/>
  <c r="AQ2" i="3"/>
  <c r="AQ2" i="22" s="1"/>
  <c r="AR2" i="3"/>
  <c r="AR2" i="22" s="1"/>
  <c r="AS2" i="3"/>
  <c r="AS2" i="22" s="1"/>
  <c r="AT2" i="3"/>
  <c r="AT2" i="22" s="1"/>
  <c r="AU2" i="3"/>
  <c r="AU2" i="22" s="1"/>
  <c r="AV2" i="3"/>
  <c r="AV2" i="22" s="1"/>
  <c r="AW2" i="3"/>
  <c r="AW2" i="22" s="1"/>
  <c r="AX2" i="3"/>
  <c r="AX2" i="22" s="1"/>
  <c r="B78" i="3"/>
  <c r="B78" i="22" s="1"/>
  <c r="C78" i="3"/>
  <c r="C78" i="22" s="1"/>
  <c r="D78" i="3"/>
  <c r="D78" i="22" s="1"/>
  <c r="E78" i="3"/>
  <c r="E78" i="22" s="1"/>
  <c r="F78" i="3"/>
  <c r="F78" i="22" s="1"/>
  <c r="G78" i="3"/>
  <c r="G78" i="22" s="1"/>
  <c r="H78" i="3"/>
  <c r="H78" i="22" s="1"/>
  <c r="I78" i="3"/>
  <c r="I78" i="22" s="1"/>
  <c r="J78" i="3"/>
  <c r="J78" i="22" s="1"/>
  <c r="K78" i="3"/>
  <c r="K78" i="22" s="1"/>
  <c r="L78" i="3"/>
  <c r="L78" i="22" s="1"/>
  <c r="M78" i="3"/>
  <c r="M78" i="22" s="1"/>
  <c r="N78" i="3"/>
  <c r="N78" i="22" s="1"/>
  <c r="O78" i="3"/>
  <c r="O78" i="22" s="1"/>
  <c r="P78" i="3"/>
  <c r="P78" i="22" s="1"/>
  <c r="Q78" i="3"/>
  <c r="Q78" i="22" s="1"/>
  <c r="R78" i="3"/>
  <c r="R78" i="22" s="1"/>
  <c r="S78" i="3"/>
  <c r="S78" i="22" s="1"/>
  <c r="T78" i="3"/>
  <c r="T78" i="22" s="1"/>
  <c r="U78" i="3"/>
  <c r="U78" i="22" s="1"/>
  <c r="V78" i="3"/>
  <c r="V78" i="22" s="1"/>
  <c r="W78" i="3"/>
  <c r="W78" i="22" s="1"/>
  <c r="X78" i="3"/>
  <c r="X78" i="22" s="1"/>
  <c r="Y78" i="3"/>
  <c r="Y78" i="22" s="1"/>
  <c r="Z78" i="3"/>
  <c r="Z78" i="22" s="1"/>
  <c r="AA78" i="3"/>
  <c r="AA78" i="22" s="1"/>
  <c r="AB78" i="3"/>
  <c r="AB78" i="22" s="1"/>
  <c r="AC78" i="3"/>
  <c r="AC78" i="22" s="1"/>
  <c r="AD78" i="3"/>
  <c r="AD78" i="22" s="1"/>
  <c r="AE78" i="3"/>
  <c r="AE78" i="22" s="1"/>
  <c r="AF78" i="3"/>
  <c r="AF78" i="22" s="1"/>
  <c r="AG78" i="3"/>
  <c r="AG78" i="22" s="1"/>
  <c r="AH78" i="3"/>
  <c r="AH78" i="22" s="1"/>
  <c r="AI78" i="3"/>
  <c r="AI78" i="22" s="1"/>
  <c r="AJ78" i="3"/>
  <c r="AJ78" i="22" s="1"/>
  <c r="AK78" i="3"/>
  <c r="AK78" i="22" s="1"/>
  <c r="AL78" i="3"/>
  <c r="AL78" i="22" s="1"/>
  <c r="AM78" i="3"/>
  <c r="AM78" i="22" s="1"/>
  <c r="AN78" i="3"/>
  <c r="AN78" i="22" s="1"/>
  <c r="AO78" i="3"/>
  <c r="AO78" i="22" s="1"/>
  <c r="AP78" i="3"/>
  <c r="AP78" i="22" s="1"/>
  <c r="AQ78" i="3"/>
  <c r="AQ78" i="22" s="1"/>
  <c r="AR78" i="3"/>
  <c r="AR78" i="22" s="1"/>
  <c r="AS78" i="3"/>
  <c r="AS78" i="22" s="1"/>
  <c r="AT78" i="3"/>
  <c r="AT78" i="22" s="1"/>
  <c r="AU78" i="3"/>
  <c r="AU78" i="22" s="1"/>
  <c r="AV78" i="3"/>
  <c r="AV78" i="22" s="1"/>
  <c r="AW78" i="3"/>
  <c r="AW78" i="22" s="1"/>
  <c r="AX78" i="3"/>
  <c r="AX78" i="22" s="1"/>
  <c r="B106" i="3"/>
  <c r="B106" i="22" s="1"/>
  <c r="C106" i="3"/>
  <c r="C106" i="22" s="1"/>
  <c r="D106" i="3"/>
  <c r="D106" i="22" s="1"/>
  <c r="E106" i="3"/>
  <c r="E106" i="22" s="1"/>
  <c r="F106" i="3"/>
  <c r="F106" i="22" s="1"/>
  <c r="G106" i="3"/>
  <c r="G106" i="22" s="1"/>
  <c r="H106" i="3"/>
  <c r="H106" i="22" s="1"/>
  <c r="I106" i="3"/>
  <c r="I106" i="22" s="1"/>
  <c r="J106" i="3"/>
  <c r="J106" i="22" s="1"/>
  <c r="K106" i="3"/>
  <c r="K106" i="22" s="1"/>
  <c r="L106" i="3"/>
  <c r="L106" i="22" s="1"/>
  <c r="M106" i="3"/>
  <c r="M106" i="22" s="1"/>
  <c r="N106" i="3"/>
  <c r="N106" i="22" s="1"/>
  <c r="O106" i="3"/>
  <c r="O106" i="22" s="1"/>
  <c r="P106" i="3"/>
  <c r="P106" i="22" s="1"/>
  <c r="Q106" i="3"/>
  <c r="Q106" i="22" s="1"/>
  <c r="R106" i="3"/>
  <c r="R106" i="22" s="1"/>
  <c r="S106" i="3"/>
  <c r="S106" i="22" s="1"/>
  <c r="T106" i="3"/>
  <c r="T106" i="22" s="1"/>
  <c r="U106" i="3"/>
  <c r="U106" i="22" s="1"/>
  <c r="V106" i="3"/>
  <c r="V106" i="22" s="1"/>
  <c r="W106" i="3"/>
  <c r="W106" i="22" s="1"/>
  <c r="X106" i="3"/>
  <c r="X106" i="22" s="1"/>
  <c r="Y106" i="3"/>
  <c r="Y106" i="22" s="1"/>
  <c r="Z106" i="3"/>
  <c r="Z106" i="22" s="1"/>
  <c r="AA106" i="3"/>
  <c r="AA106" i="22" s="1"/>
  <c r="AB106" i="3"/>
  <c r="AB106" i="22" s="1"/>
  <c r="AC106" i="3"/>
  <c r="AC106" i="22" s="1"/>
  <c r="AD106" i="3"/>
  <c r="AD106" i="22" s="1"/>
  <c r="AE106" i="3"/>
  <c r="AE106" i="22" s="1"/>
  <c r="AF106" i="3"/>
  <c r="AF106" i="22" s="1"/>
  <c r="AG106" i="3"/>
  <c r="AG106" i="22" s="1"/>
  <c r="AH106" i="3"/>
  <c r="AH106" i="22" s="1"/>
  <c r="AI106" i="3"/>
  <c r="AI106" i="22" s="1"/>
  <c r="AJ106" i="3"/>
  <c r="AJ106" i="22" s="1"/>
  <c r="AK106" i="3"/>
  <c r="AK106" i="22" s="1"/>
  <c r="AL106" i="3"/>
  <c r="AL106" i="22" s="1"/>
  <c r="AM106" i="3"/>
  <c r="AM106" i="22" s="1"/>
  <c r="AN106" i="3"/>
  <c r="AN106" i="22" s="1"/>
  <c r="AO106" i="3"/>
  <c r="AO106" i="22" s="1"/>
  <c r="AP106" i="3"/>
  <c r="AP106" i="22" s="1"/>
  <c r="AQ106" i="3"/>
  <c r="AQ106" i="22" s="1"/>
  <c r="AR106" i="3"/>
  <c r="AR106" i="22" s="1"/>
  <c r="AS106" i="3"/>
  <c r="AS106" i="22" s="1"/>
  <c r="AT106" i="3"/>
  <c r="AT106" i="22" s="1"/>
  <c r="AU106" i="3"/>
  <c r="AU106" i="22" s="1"/>
  <c r="AV106" i="3"/>
  <c r="AV106" i="22" s="1"/>
  <c r="AW106" i="3"/>
  <c r="AW106" i="22" s="1"/>
  <c r="AX106" i="3"/>
  <c r="AX106" i="22" s="1"/>
  <c r="B68" i="3"/>
  <c r="B68" i="22" s="1"/>
  <c r="C68" i="3"/>
  <c r="C68" i="22" s="1"/>
  <c r="D68" i="3"/>
  <c r="D68" i="22" s="1"/>
  <c r="E68" i="3"/>
  <c r="E68" i="22" s="1"/>
  <c r="F68" i="3"/>
  <c r="F68" i="22" s="1"/>
  <c r="G68" i="3"/>
  <c r="G68" i="22" s="1"/>
  <c r="H68" i="3"/>
  <c r="H68" i="22" s="1"/>
  <c r="I68" i="3"/>
  <c r="I68" i="22" s="1"/>
  <c r="J68" i="3"/>
  <c r="J68" i="22" s="1"/>
  <c r="K68" i="3"/>
  <c r="K68" i="22" s="1"/>
  <c r="L68" i="3"/>
  <c r="L68" i="22" s="1"/>
  <c r="M68" i="3"/>
  <c r="M68" i="22" s="1"/>
  <c r="N68" i="3"/>
  <c r="N68" i="22" s="1"/>
  <c r="O68" i="3"/>
  <c r="O68" i="22" s="1"/>
  <c r="P68" i="3"/>
  <c r="P68" i="22" s="1"/>
  <c r="Q68" i="3"/>
  <c r="Q68" i="22" s="1"/>
  <c r="R68" i="3"/>
  <c r="R68" i="22" s="1"/>
  <c r="S68" i="3"/>
  <c r="S68" i="22" s="1"/>
  <c r="T68" i="3"/>
  <c r="T68" i="22" s="1"/>
  <c r="U68" i="3"/>
  <c r="U68" i="22" s="1"/>
  <c r="V68" i="3"/>
  <c r="V68" i="22" s="1"/>
  <c r="W68" i="3"/>
  <c r="W68" i="22" s="1"/>
  <c r="X68" i="3"/>
  <c r="X68" i="22" s="1"/>
  <c r="Y68" i="3"/>
  <c r="Y68" i="22" s="1"/>
  <c r="Z68" i="3"/>
  <c r="Z68" i="22" s="1"/>
  <c r="AA68" i="3"/>
  <c r="AA68" i="22" s="1"/>
  <c r="AB68" i="3"/>
  <c r="AB68" i="22" s="1"/>
  <c r="AC68" i="3"/>
  <c r="AC68" i="22" s="1"/>
  <c r="AD68" i="3"/>
  <c r="AD68" i="22" s="1"/>
  <c r="AE68" i="3"/>
  <c r="AE68" i="22" s="1"/>
  <c r="AF68" i="3"/>
  <c r="AF68" i="22" s="1"/>
  <c r="AG68" i="3"/>
  <c r="AG68" i="22" s="1"/>
  <c r="AH68" i="3"/>
  <c r="AH68" i="22" s="1"/>
  <c r="AI68" i="3"/>
  <c r="AI68" i="22" s="1"/>
  <c r="AJ68" i="3"/>
  <c r="AJ68" i="22" s="1"/>
  <c r="AK68" i="3"/>
  <c r="AK68" i="22" s="1"/>
  <c r="AL68" i="3"/>
  <c r="AL68" i="22" s="1"/>
  <c r="AM68" i="3"/>
  <c r="AM68" i="22" s="1"/>
  <c r="AN68" i="3"/>
  <c r="AN68" i="22" s="1"/>
  <c r="AO68" i="3"/>
  <c r="AO68" i="22" s="1"/>
  <c r="AP68" i="3"/>
  <c r="AP68" i="22" s="1"/>
  <c r="AQ68" i="3"/>
  <c r="AQ68" i="22" s="1"/>
  <c r="AR68" i="3"/>
  <c r="AR68" i="22" s="1"/>
  <c r="AS68" i="3"/>
  <c r="AS68" i="22" s="1"/>
  <c r="AT68" i="3"/>
  <c r="AT68" i="22" s="1"/>
  <c r="AU68" i="3"/>
  <c r="AU68" i="22" s="1"/>
  <c r="AV68" i="3"/>
  <c r="AV68" i="22" s="1"/>
  <c r="AW68" i="3"/>
  <c r="AW68" i="22" s="1"/>
  <c r="AX68" i="3"/>
  <c r="AX68" i="22" s="1"/>
  <c r="B114" i="3"/>
  <c r="B114" i="22" s="1"/>
  <c r="C114" i="3"/>
  <c r="C114" i="22" s="1"/>
  <c r="D114" i="3"/>
  <c r="D114" i="22" s="1"/>
  <c r="E114" i="3"/>
  <c r="E114" i="22" s="1"/>
  <c r="F114" i="3"/>
  <c r="F114" i="22" s="1"/>
  <c r="G114" i="3"/>
  <c r="G114" i="22" s="1"/>
  <c r="H114" i="3"/>
  <c r="H114" i="22" s="1"/>
  <c r="I114" i="3"/>
  <c r="I114" i="22" s="1"/>
  <c r="J114" i="3"/>
  <c r="J114" i="22" s="1"/>
  <c r="K114" i="3"/>
  <c r="K114" i="22" s="1"/>
  <c r="L114" i="3"/>
  <c r="L114" i="22" s="1"/>
  <c r="M114" i="3"/>
  <c r="M114" i="22" s="1"/>
  <c r="N114" i="3"/>
  <c r="N114" i="22" s="1"/>
  <c r="O114" i="3"/>
  <c r="O114" i="22" s="1"/>
  <c r="P114" i="3"/>
  <c r="P114" i="22" s="1"/>
  <c r="Q114" i="3"/>
  <c r="Q114" i="22" s="1"/>
  <c r="R114" i="3"/>
  <c r="R114" i="22" s="1"/>
  <c r="S114" i="3"/>
  <c r="S114" i="22" s="1"/>
  <c r="T114" i="3"/>
  <c r="T114" i="22" s="1"/>
  <c r="U114" i="3"/>
  <c r="U114" i="22" s="1"/>
  <c r="V114" i="3"/>
  <c r="V114" i="22" s="1"/>
  <c r="W114" i="3"/>
  <c r="W114" i="22" s="1"/>
  <c r="X114" i="3"/>
  <c r="X114" i="22" s="1"/>
  <c r="Y114" i="3"/>
  <c r="Y114" i="22" s="1"/>
  <c r="Z114" i="3"/>
  <c r="Z114" i="22" s="1"/>
  <c r="AA114" i="3"/>
  <c r="AA114" i="22" s="1"/>
  <c r="AB114" i="3"/>
  <c r="AB114" i="22" s="1"/>
  <c r="AC114" i="3"/>
  <c r="AC114" i="22" s="1"/>
  <c r="AD114" i="3"/>
  <c r="AD114" i="22" s="1"/>
  <c r="AE114" i="3"/>
  <c r="AE114" i="22" s="1"/>
  <c r="AF114" i="3"/>
  <c r="AF114" i="22" s="1"/>
  <c r="AG114" i="3"/>
  <c r="AG114" i="22" s="1"/>
  <c r="AH114" i="3"/>
  <c r="AH114" i="22" s="1"/>
  <c r="AI114" i="3"/>
  <c r="AI114" i="22" s="1"/>
  <c r="AJ114" i="3"/>
  <c r="AJ114" i="22" s="1"/>
  <c r="AK114" i="3"/>
  <c r="AK114" i="22" s="1"/>
  <c r="AL114" i="3"/>
  <c r="AL114" i="22" s="1"/>
  <c r="AM114" i="3"/>
  <c r="AM114" i="22" s="1"/>
  <c r="AN114" i="3"/>
  <c r="AN114" i="22" s="1"/>
  <c r="AO114" i="3"/>
  <c r="AO114" i="22" s="1"/>
  <c r="AP114" i="3"/>
  <c r="AP114" i="22" s="1"/>
  <c r="AQ114" i="3"/>
  <c r="AQ114" i="22" s="1"/>
  <c r="AR114" i="3"/>
  <c r="AR114" i="22" s="1"/>
  <c r="AS114" i="3"/>
  <c r="AS114" i="22" s="1"/>
  <c r="AT114" i="3"/>
  <c r="AT114" i="22" s="1"/>
  <c r="AU114" i="3"/>
  <c r="AU114" i="22" s="1"/>
  <c r="AV114" i="3"/>
  <c r="AV114" i="22" s="1"/>
  <c r="AW114" i="3"/>
  <c r="AW114" i="22" s="1"/>
  <c r="AX114" i="3"/>
  <c r="AX114" i="22" s="1"/>
  <c r="B57" i="3"/>
  <c r="B57" i="22" s="1"/>
  <c r="C57" i="3"/>
  <c r="C57" i="22" s="1"/>
  <c r="D57" i="3"/>
  <c r="D57" i="22" s="1"/>
  <c r="E57" i="3"/>
  <c r="E57" i="22" s="1"/>
  <c r="F57" i="3"/>
  <c r="F57" i="22" s="1"/>
  <c r="G57" i="3"/>
  <c r="G57" i="22" s="1"/>
  <c r="H57" i="3"/>
  <c r="H57" i="22" s="1"/>
  <c r="I57" i="3"/>
  <c r="I57" i="22" s="1"/>
  <c r="J57" i="3"/>
  <c r="J57" i="22" s="1"/>
  <c r="K57" i="3"/>
  <c r="K57" i="22" s="1"/>
  <c r="L57" i="3"/>
  <c r="L57" i="22" s="1"/>
  <c r="M57" i="3"/>
  <c r="M57" i="22" s="1"/>
  <c r="N57" i="3"/>
  <c r="N57" i="22" s="1"/>
  <c r="O57" i="3"/>
  <c r="O57" i="22" s="1"/>
  <c r="P57" i="3"/>
  <c r="P57" i="22" s="1"/>
  <c r="Q57" i="3"/>
  <c r="Q57" i="22" s="1"/>
  <c r="R57" i="3"/>
  <c r="R57" i="22" s="1"/>
  <c r="S57" i="3"/>
  <c r="S57" i="22" s="1"/>
  <c r="T57" i="3"/>
  <c r="T57" i="22" s="1"/>
  <c r="U57" i="3"/>
  <c r="U57" i="22" s="1"/>
  <c r="V57" i="3"/>
  <c r="V57" i="22" s="1"/>
  <c r="W57" i="3"/>
  <c r="W57" i="22" s="1"/>
  <c r="X57" i="3"/>
  <c r="X57" i="22" s="1"/>
  <c r="Y57" i="3"/>
  <c r="Y57" i="22" s="1"/>
  <c r="Z57" i="3"/>
  <c r="Z57" i="22" s="1"/>
  <c r="AA57" i="3"/>
  <c r="AA57" i="22" s="1"/>
  <c r="AB57" i="3"/>
  <c r="AB57" i="22" s="1"/>
  <c r="AC57" i="3"/>
  <c r="AC57" i="22" s="1"/>
  <c r="AD57" i="3"/>
  <c r="AD57" i="22" s="1"/>
  <c r="AE57" i="3"/>
  <c r="AE57" i="22" s="1"/>
  <c r="AF57" i="3"/>
  <c r="AF57" i="22" s="1"/>
  <c r="AG57" i="3"/>
  <c r="AG57" i="22" s="1"/>
  <c r="AH57" i="3"/>
  <c r="AH57" i="22" s="1"/>
  <c r="AI57" i="3"/>
  <c r="AI57" i="22" s="1"/>
  <c r="AJ57" i="3"/>
  <c r="AJ57" i="22" s="1"/>
  <c r="AK57" i="3"/>
  <c r="AK57" i="22" s="1"/>
  <c r="AL57" i="3"/>
  <c r="AL57" i="22" s="1"/>
  <c r="AM57" i="3"/>
  <c r="AM57" i="22" s="1"/>
  <c r="AN57" i="3"/>
  <c r="AN57" i="22" s="1"/>
  <c r="AO57" i="3"/>
  <c r="AO57" i="22" s="1"/>
  <c r="AP57" i="3"/>
  <c r="AP57" i="22" s="1"/>
  <c r="AQ57" i="3"/>
  <c r="AQ57" i="22" s="1"/>
  <c r="AR57" i="3"/>
  <c r="AR57" i="22" s="1"/>
  <c r="AS57" i="3"/>
  <c r="AS57" i="22" s="1"/>
  <c r="AT57" i="3"/>
  <c r="AT57" i="22" s="1"/>
  <c r="AU57" i="3"/>
  <c r="AU57" i="22" s="1"/>
  <c r="AV57" i="3"/>
  <c r="AV57" i="22" s="1"/>
  <c r="AW57" i="3"/>
  <c r="AW57" i="22" s="1"/>
  <c r="AX57" i="3"/>
  <c r="AX57" i="22" s="1"/>
  <c r="B17" i="3"/>
  <c r="B17" i="22" s="1"/>
  <c r="C17" i="3"/>
  <c r="C17" i="22" s="1"/>
  <c r="D17" i="3"/>
  <c r="D17" i="22" s="1"/>
  <c r="E17" i="3"/>
  <c r="E17" i="22" s="1"/>
  <c r="F17" i="3"/>
  <c r="F17" i="22" s="1"/>
  <c r="G17" i="3"/>
  <c r="G17" i="22" s="1"/>
  <c r="H17" i="3"/>
  <c r="H17" i="22" s="1"/>
  <c r="I17" i="3"/>
  <c r="I17" i="22" s="1"/>
  <c r="J17" i="3"/>
  <c r="J17" i="22" s="1"/>
  <c r="K17" i="3"/>
  <c r="K17" i="22" s="1"/>
  <c r="L17" i="3"/>
  <c r="L17" i="22" s="1"/>
  <c r="M17" i="3"/>
  <c r="M17" i="22" s="1"/>
  <c r="N17" i="3"/>
  <c r="N17" i="22" s="1"/>
  <c r="O17" i="3"/>
  <c r="O17" i="22" s="1"/>
  <c r="P17" i="3"/>
  <c r="P17" i="22" s="1"/>
  <c r="Q17" i="3"/>
  <c r="Q17" i="22" s="1"/>
  <c r="R17" i="3"/>
  <c r="R17" i="22" s="1"/>
  <c r="S17" i="3"/>
  <c r="S17" i="22" s="1"/>
  <c r="T17" i="3"/>
  <c r="T17" i="22" s="1"/>
  <c r="U17" i="3"/>
  <c r="U17" i="22" s="1"/>
  <c r="V17" i="3"/>
  <c r="V17" i="22" s="1"/>
  <c r="W17" i="3"/>
  <c r="W17" i="22" s="1"/>
  <c r="X17" i="3"/>
  <c r="X17" i="22" s="1"/>
  <c r="Y17" i="3"/>
  <c r="Y17" i="22" s="1"/>
  <c r="Z17" i="3"/>
  <c r="Z17" i="22" s="1"/>
  <c r="AA17" i="3"/>
  <c r="AA17" i="22" s="1"/>
  <c r="AB17" i="3"/>
  <c r="AB17" i="22" s="1"/>
  <c r="AC17" i="3"/>
  <c r="AC17" i="22" s="1"/>
  <c r="AD17" i="3"/>
  <c r="AD17" i="22" s="1"/>
  <c r="AE17" i="3"/>
  <c r="AE17" i="22" s="1"/>
  <c r="AF17" i="3"/>
  <c r="AF17" i="22" s="1"/>
  <c r="AG17" i="3"/>
  <c r="AG17" i="22" s="1"/>
  <c r="AH17" i="3"/>
  <c r="AH17" i="22" s="1"/>
  <c r="AI17" i="3"/>
  <c r="AI17" i="22" s="1"/>
  <c r="AJ17" i="3"/>
  <c r="AJ17" i="22" s="1"/>
  <c r="AK17" i="3"/>
  <c r="AK17" i="22" s="1"/>
  <c r="AL17" i="3"/>
  <c r="AL17" i="22" s="1"/>
  <c r="AM17" i="3"/>
  <c r="AM17" i="22" s="1"/>
  <c r="AN17" i="3"/>
  <c r="AN17" i="22" s="1"/>
  <c r="AO17" i="3"/>
  <c r="AO17" i="22" s="1"/>
  <c r="AP17" i="3"/>
  <c r="AP17" i="22" s="1"/>
  <c r="AQ17" i="3"/>
  <c r="AQ17" i="22" s="1"/>
  <c r="AR17" i="3"/>
  <c r="AR17" i="22" s="1"/>
  <c r="AS17" i="3"/>
  <c r="AS17" i="22" s="1"/>
  <c r="AT17" i="3"/>
  <c r="AT17" i="22" s="1"/>
  <c r="AU17" i="3"/>
  <c r="AU17" i="22" s="1"/>
  <c r="AV17" i="3"/>
  <c r="AV17" i="22" s="1"/>
  <c r="AW17" i="3"/>
  <c r="AW17" i="22" s="1"/>
  <c r="AX17" i="3"/>
  <c r="AX17" i="22" s="1"/>
  <c r="B97" i="3"/>
  <c r="B97" i="22" s="1"/>
  <c r="C97" i="3"/>
  <c r="C97" i="22" s="1"/>
  <c r="D97" i="3"/>
  <c r="D97" i="22" s="1"/>
  <c r="E97" i="3"/>
  <c r="E97" i="22" s="1"/>
  <c r="F97" i="3"/>
  <c r="F97" i="22" s="1"/>
  <c r="G97" i="3"/>
  <c r="G97" i="22" s="1"/>
  <c r="H97" i="3"/>
  <c r="H97" i="22" s="1"/>
  <c r="I97" i="3"/>
  <c r="I97" i="22" s="1"/>
  <c r="J97" i="3"/>
  <c r="J97" i="22" s="1"/>
  <c r="K97" i="3"/>
  <c r="K97" i="22" s="1"/>
  <c r="L97" i="3"/>
  <c r="L97" i="22" s="1"/>
  <c r="M97" i="3"/>
  <c r="M97" i="22" s="1"/>
  <c r="N97" i="3"/>
  <c r="N97" i="22" s="1"/>
  <c r="O97" i="3"/>
  <c r="O97" i="22" s="1"/>
  <c r="P97" i="3"/>
  <c r="P97" i="22" s="1"/>
  <c r="Q97" i="3"/>
  <c r="Q97" i="22" s="1"/>
  <c r="R97" i="3"/>
  <c r="R97" i="22" s="1"/>
  <c r="S97" i="3"/>
  <c r="S97" i="22" s="1"/>
  <c r="T97" i="3"/>
  <c r="T97" i="22" s="1"/>
  <c r="U97" i="3"/>
  <c r="U97" i="22" s="1"/>
  <c r="V97" i="3"/>
  <c r="V97" i="22" s="1"/>
  <c r="W97" i="3"/>
  <c r="W97" i="22" s="1"/>
  <c r="X97" i="3"/>
  <c r="X97" i="22" s="1"/>
  <c r="Y97" i="3"/>
  <c r="Y97" i="22" s="1"/>
  <c r="Z97" i="3"/>
  <c r="Z97" i="22" s="1"/>
  <c r="AA97" i="3"/>
  <c r="AA97" i="22" s="1"/>
  <c r="AB97" i="3"/>
  <c r="AB97" i="22" s="1"/>
  <c r="AC97" i="3"/>
  <c r="AC97" i="22" s="1"/>
  <c r="AD97" i="3"/>
  <c r="AD97" i="22" s="1"/>
  <c r="AE97" i="3"/>
  <c r="AE97" i="22" s="1"/>
  <c r="AF97" i="3"/>
  <c r="AF97" i="22" s="1"/>
  <c r="AG97" i="3"/>
  <c r="AG97" i="22" s="1"/>
  <c r="AH97" i="3"/>
  <c r="AH97" i="22" s="1"/>
  <c r="AI97" i="3"/>
  <c r="AI97" i="22" s="1"/>
  <c r="AJ97" i="3"/>
  <c r="AJ97" i="22" s="1"/>
  <c r="AK97" i="3"/>
  <c r="AK97" i="22" s="1"/>
  <c r="AL97" i="3"/>
  <c r="AL97" i="22" s="1"/>
  <c r="AM97" i="3"/>
  <c r="AM97" i="22" s="1"/>
  <c r="AN97" i="3"/>
  <c r="AN97" i="22" s="1"/>
  <c r="AO97" i="3"/>
  <c r="AO97" i="22" s="1"/>
  <c r="AP97" i="3"/>
  <c r="AP97" i="22" s="1"/>
  <c r="AQ97" i="3"/>
  <c r="AQ97" i="22" s="1"/>
  <c r="AR97" i="3"/>
  <c r="AR97" i="22" s="1"/>
  <c r="AS97" i="3"/>
  <c r="AS97" i="22" s="1"/>
  <c r="AT97" i="3"/>
  <c r="AT97" i="22" s="1"/>
  <c r="AU97" i="3"/>
  <c r="AU97" i="22" s="1"/>
  <c r="AV97" i="3"/>
  <c r="AV97" i="22" s="1"/>
  <c r="AW97" i="3"/>
  <c r="AW97" i="22" s="1"/>
  <c r="AX97" i="3"/>
  <c r="AX97" i="22" s="1"/>
  <c r="B75" i="3"/>
  <c r="B75" i="22" s="1"/>
  <c r="C75" i="3"/>
  <c r="C75" i="22" s="1"/>
  <c r="D75" i="3"/>
  <c r="D75" i="22" s="1"/>
  <c r="E75" i="3"/>
  <c r="E75" i="22" s="1"/>
  <c r="F75" i="3"/>
  <c r="F75" i="22" s="1"/>
  <c r="G75" i="3"/>
  <c r="G75" i="22" s="1"/>
  <c r="H75" i="3"/>
  <c r="H75" i="22" s="1"/>
  <c r="I75" i="3"/>
  <c r="I75" i="22" s="1"/>
  <c r="J75" i="3"/>
  <c r="J75" i="22" s="1"/>
  <c r="K75" i="3"/>
  <c r="K75" i="22" s="1"/>
  <c r="L75" i="3"/>
  <c r="L75" i="22" s="1"/>
  <c r="M75" i="3"/>
  <c r="M75" i="22" s="1"/>
  <c r="N75" i="3"/>
  <c r="N75" i="22" s="1"/>
  <c r="O75" i="3"/>
  <c r="O75" i="22" s="1"/>
  <c r="P75" i="3"/>
  <c r="P75" i="22" s="1"/>
  <c r="Q75" i="3"/>
  <c r="Q75" i="22" s="1"/>
  <c r="R75" i="3"/>
  <c r="R75" i="22" s="1"/>
  <c r="S75" i="3"/>
  <c r="S75" i="22" s="1"/>
  <c r="T75" i="3"/>
  <c r="T75" i="22" s="1"/>
  <c r="U75" i="3"/>
  <c r="U75" i="22" s="1"/>
  <c r="V75" i="3"/>
  <c r="V75" i="22" s="1"/>
  <c r="W75" i="3"/>
  <c r="W75" i="22" s="1"/>
  <c r="X75" i="3"/>
  <c r="X75" i="22" s="1"/>
  <c r="Y75" i="3"/>
  <c r="Y75" i="22" s="1"/>
  <c r="Z75" i="3"/>
  <c r="Z75" i="22" s="1"/>
  <c r="AA75" i="3"/>
  <c r="AA75" i="22" s="1"/>
  <c r="AB75" i="3"/>
  <c r="AB75" i="22" s="1"/>
  <c r="AC75" i="3"/>
  <c r="AC75" i="22" s="1"/>
  <c r="AD75" i="3"/>
  <c r="AD75" i="22" s="1"/>
  <c r="AE75" i="3"/>
  <c r="AE75" i="22" s="1"/>
  <c r="AF75" i="3"/>
  <c r="AF75" i="22" s="1"/>
  <c r="AG75" i="3"/>
  <c r="AG75" i="22" s="1"/>
  <c r="AH75" i="3"/>
  <c r="AH75" i="22" s="1"/>
  <c r="AI75" i="3"/>
  <c r="AI75" i="22" s="1"/>
  <c r="AJ75" i="3"/>
  <c r="AJ75" i="22" s="1"/>
  <c r="AK75" i="3"/>
  <c r="AK75" i="22" s="1"/>
  <c r="AL75" i="3"/>
  <c r="AL75" i="22" s="1"/>
  <c r="AM75" i="3"/>
  <c r="AM75" i="22" s="1"/>
  <c r="AN75" i="3"/>
  <c r="AN75" i="22" s="1"/>
  <c r="AO75" i="3"/>
  <c r="AO75" i="22" s="1"/>
  <c r="AP75" i="3"/>
  <c r="AP75" i="22" s="1"/>
  <c r="AQ75" i="3"/>
  <c r="AQ75" i="22" s="1"/>
  <c r="AR75" i="3"/>
  <c r="AR75" i="22" s="1"/>
  <c r="AS75" i="3"/>
  <c r="AS75" i="22" s="1"/>
  <c r="AT75" i="3"/>
  <c r="AT75" i="22" s="1"/>
  <c r="AU75" i="3"/>
  <c r="AU75" i="22" s="1"/>
  <c r="AV75" i="3"/>
  <c r="AV75" i="22" s="1"/>
  <c r="AW75" i="3"/>
  <c r="AW75" i="22" s="1"/>
  <c r="AX75" i="3"/>
  <c r="AX75" i="22" s="1"/>
  <c r="B30" i="3"/>
  <c r="B30" i="22" s="1"/>
  <c r="C30" i="3"/>
  <c r="C30" i="22" s="1"/>
  <c r="D30" i="3"/>
  <c r="D30" i="22" s="1"/>
  <c r="E30" i="3"/>
  <c r="E30" i="22" s="1"/>
  <c r="F30" i="3"/>
  <c r="F30" i="22" s="1"/>
  <c r="G30" i="3"/>
  <c r="G30" i="22" s="1"/>
  <c r="H30" i="3"/>
  <c r="H30" i="22" s="1"/>
  <c r="I30" i="3"/>
  <c r="I30" i="22" s="1"/>
  <c r="J30" i="3"/>
  <c r="J30" i="22" s="1"/>
  <c r="K30" i="3"/>
  <c r="K30" i="22" s="1"/>
  <c r="L30" i="3"/>
  <c r="L30" i="22" s="1"/>
  <c r="M30" i="3"/>
  <c r="M30" i="22" s="1"/>
  <c r="N30" i="3"/>
  <c r="N30" i="22" s="1"/>
  <c r="O30" i="3"/>
  <c r="O30" i="22" s="1"/>
  <c r="P30" i="3"/>
  <c r="P30" i="22" s="1"/>
  <c r="Q30" i="3"/>
  <c r="Q30" i="22" s="1"/>
  <c r="R30" i="3"/>
  <c r="R30" i="22" s="1"/>
  <c r="S30" i="3"/>
  <c r="S30" i="22" s="1"/>
  <c r="T30" i="3"/>
  <c r="T30" i="22" s="1"/>
  <c r="U30" i="3"/>
  <c r="U30" i="22" s="1"/>
  <c r="V30" i="3"/>
  <c r="V30" i="22" s="1"/>
  <c r="W30" i="3"/>
  <c r="W30" i="22" s="1"/>
  <c r="X30" i="3"/>
  <c r="X30" i="22" s="1"/>
  <c r="Y30" i="3"/>
  <c r="Y30" i="22" s="1"/>
  <c r="Z30" i="3"/>
  <c r="Z30" i="22" s="1"/>
  <c r="AA30" i="3"/>
  <c r="AA30" i="22" s="1"/>
  <c r="AB30" i="3"/>
  <c r="AB30" i="22" s="1"/>
  <c r="AC30" i="3"/>
  <c r="AC30" i="22" s="1"/>
  <c r="AD30" i="3"/>
  <c r="AD30" i="22" s="1"/>
  <c r="AE30" i="3"/>
  <c r="AE30" i="22" s="1"/>
  <c r="AF30" i="3"/>
  <c r="AF30" i="22" s="1"/>
  <c r="AG30" i="3"/>
  <c r="AG30" i="22" s="1"/>
  <c r="AH30" i="3"/>
  <c r="AH30" i="22" s="1"/>
  <c r="AI30" i="3"/>
  <c r="AI30" i="22" s="1"/>
  <c r="AJ30" i="3"/>
  <c r="AJ30" i="22" s="1"/>
  <c r="AK30" i="3"/>
  <c r="AK30" i="22" s="1"/>
  <c r="AL30" i="3"/>
  <c r="AL30" i="22" s="1"/>
  <c r="AM30" i="3"/>
  <c r="AM30" i="22" s="1"/>
  <c r="AN30" i="3"/>
  <c r="AN30" i="22" s="1"/>
  <c r="AO30" i="3"/>
  <c r="AO30" i="22" s="1"/>
  <c r="AP30" i="3"/>
  <c r="AP30" i="22" s="1"/>
  <c r="AQ30" i="3"/>
  <c r="AQ30" i="22" s="1"/>
  <c r="AR30" i="3"/>
  <c r="AR30" i="22" s="1"/>
  <c r="AS30" i="3"/>
  <c r="AS30" i="22" s="1"/>
  <c r="AT30" i="3"/>
  <c r="AT30" i="22" s="1"/>
  <c r="AU30" i="3"/>
  <c r="AU30" i="22" s="1"/>
  <c r="AV30" i="3"/>
  <c r="AV30" i="22" s="1"/>
  <c r="AW30" i="3"/>
  <c r="AW30" i="22" s="1"/>
  <c r="AX30" i="3"/>
  <c r="AX30" i="22" s="1"/>
  <c r="B13" i="3"/>
  <c r="B13" i="22" s="1"/>
  <c r="C13" i="3"/>
  <c r="C13" i="22" s="1"/>
  <c r="D13" i="3"/>
  <c r="D13" i="22" s="1"/>
  <c r="E13" i="3"/>
  <c r="E13" i="22" s="1"/>
  <c r="F13" i="3"/>
  <c r="F13" i="22" s="1"/>
  <c r="G13" i="3"/>
  <c r="G13" i="22" s="1"/>
  <c r="H13" i="3"/>
  <c r="H13" i="22" s="1"/>
  <c r="I13" i="3"/>
  <c r="I13" i="22" s="1"/>
  <c r="J13" i="3"/>
  <c r="J13" i="22" s="1"/>
  <c r="K13" i="3"/>
  <c r="K13" i="22" s="1"/>
  <c r="L13" i="3"/>
  <c r="L13" i="22" s="1"/>
  <c r="M13" i="3"/>
  <c r="M13" i="22" s="1"/>
  <c r="N13" i="3"/>
  <c r="N13" i="22" s="1"/>
  <c r="O13" i="3"/>
  <c r="O13" i="22" s="1"/>
  <c r="P13" i="3"/>
  <c r="P13" i="22" s="1"/>
  <c r="Q13" i="3"/>
  <c r="Q13" i="22" s="1"/>
  <c r="R13" i="3"/>
  <c r="R13" i="22" s="1"/>
  <c r="S13" i="3"/>
  <c r="S13" i="22" s="1"/>
  <c r="T13" i="3"/>
  <c r="T13" i="22" s="1"/>
  <c r="U13" i="3"/>
  <c r="U13" i="22" s="1"/>
  <c r="V13" i="3"/>
  <c r="V13" i="22" s="1"/>
  <c r="W13" i="3"/>
  <c r="W13" i="22" s="1"/>
  <c r="X13" i="3"/>
  <c r="X13" i="22" s="1"/>
  <c r="Y13" i="3"/>
  <c r="Y13" i="22" s="1"/>
  <c r="Z13" i="3"/>
  <c r="Z13" i="22" s="1"/>
  <c r="AA13" i="3"/>
  <c r="AA13" i="22" s="1"/>
  <c r="AB13" i="3"/>
  <c r="AB13" i="22" s="1"/>
  <c r="AC13" i="3"/>
  <c r="AC13" i="22" s="1"/>
  <c r="AD13" i="3"/>
  <c r="AD13" i="22" s="1"/>
  <c r="AE13" i="3"/>
  <c r="AE13" i="22" s="1"/>
  <c r="AF13" i="3"/>
  <c r="AF13" i="22" s="1"/>
  <c r="AG13" i="3"/>
  <c r="AG13" i="22" s="1"/>
  <c r="AH13" i="3"/>
  <c r="AH13" i="22" s="1"/>
  <c r="AI13" i="3"/>
  <c r="AI13" i="22" s="1"/>
  <c r="AJ13" i="3"/>
  <c r="AJ13" i="22" s="1"/>
  <c r="AK13" i="3"/>
  <c r="AK13" i="22" s="1"/>
  <c r="AL13" i="3"/>
  <c r="AL13" i="22" s="1"/>
  <c r="AM13" i="3"/>
  <c r="AM13" i="22" s="1"/>
  <c r="AN13" i="3"/>
  <c r="AN13" i="22" s="1"/>
  <c r="AO13" i="3"/>
  <c r="AO13" i="22" s="1"/>
  <c r="AP13" i="3"/>
  <c r="AP13" i="22" s="1"/>
  <c r="AQ13" i="3"/>
  <c r="AQ13" i="22" s="1"/>
  <c r="AR13" i="3"/>
  <c r="AR13" i="22" s="1"/>
  <c r="AS13" i="3"/>
  <c r="AS13" i="22" s="1"/>
  <c r="AT13" i="3"/>
  <c r="AT13" i="22" s="1"/>
  <c r="AU13" i="3"/>
  <c r="AU13" i="22" s="1"/>
  <c r="AV13" i="3"/>
  <c r="AV13" i="22" s="1"/>
  <c r="AW13" i="3"/>
  <c r="AW13" i="22" s="1"/>
  <c r="AX13" i="3"/>
  <c r="AX13" i="22" s="1"/>
  <c r="B92" i="3"/>
  <c r="B92" i="22" s="1"/>
  <c r="C92" i="3"/>
  <c r="C92" i="22" s="1"/>
  <c r="D92" i="3"/>
  <c r="D92" i="22" s="1"/>
  <c r="E92" i="3"/>
  <c r="E92" i="22" s="1"/>
  <c r="F92" i="3"/>
  <c r="F92" i="22" s="1"/>
  <c r="G92" i="3"/>
  <c r="G92" i="22" s="1"/>
  <c r="H92" i="3"/>
  <c r="H92" i="22" s="1"/>
  <c r="I92" i="3"/>
  <c r="I92" i="22" s="1"/>
  <c r="J92" i="3"/>
  <c r="J92" i="22" s="1"/>
  <c r="K92" i="3"/>
  <c r="K92" i="22" s="1"/>
  <c r="L92" i="3"/>
  <c r="L92" i="22" s="1"/>
  <c r="M92" i="3"/>
  <c r="M92" i="22" s="1"/>
  <c r="N92" i="3"/>
  <c r="N92" i="22" s="1"/>
  <c r="O92" i="3"/>
  <c r="O92" i="22" s="1"/>
  <c r="P92" i="3"/>
  <c r="P92" i="22" s="1"/>
  <c r="Q92" i="3"/>
  <c r="Q92" i="22" s="1"/>
  <c r="R92" i="3"/>
  <c r="R92" i="22" s="1"/>
  <c r="S92" i="3"/>
  <c r="S92" i="22" s="1"/>
  <c r="T92" i="3"/>
  <c r="T92" i="22" s="1"/>
  <c r="U92" i="3"/>
  <c r="U92" i="22" s="1"/>
  <c r="V92" i="3"/>
  <c r="V92" i="22" s="1"/>
  <c r="W92" i="3"/>
  <c r="W92" i="22" s="1"/>
  <c r="X92" i="3"/>
  <c r="X92" i="22" s="1"/>
  <c r="Y92" i="3"/>
  <c r="Y92" i="22" s="1"/>
  <c r="Z92" i="3"/>
  <c r="Z92" i="22" s="1"/>
  <c r="AA92" i="3"/>
  <c r="AA92" i="22" s="1"/>
  <c r="AB92" i="3"/>
  <c r="AB92" i="22" s="1"/>
  <c r="AC92" i="3"/>
  <c r="AC92" i="22" s="1"/>
  <c r="AD92" i="3"/>
  <c r="AD92" i="22" s="1"/>
  <c r="AE92" i="3"/>
  <c r="AE92" i="22" s="1"/>
  <c r="AF92" i="3"/>
  <c r="AF92" i="22" s="1"/>
  <c r="AG92" i="3"/>
  <c r="AG92" i="22" s="1"/>
  <c r="AH92" i="3"/>
  <c r="AH92" i="22" s="1"/>
  <c r="AI92" i="3"/>
  <c r="AI92" i="22" s="1"/>
  <c r="AJ92" i="3"/>
  <c r="AJ92" i="22" s="1"/>
  <c r="AK92" i="3"/>
  <c r="AK92" i="22" s="1"/>
  <c r="AL92" i="3"/>
  <c r="AL92" i="22" s="1"/>
  <c r="AM92" i="3"/>
  <c r="AM92" i="22" s="1"/>
  <c r="AN92" i="3"/>
  <c r="AN92" i="22" s="1"/>
  <c r="AO92" i="3"/>
  <c r="AO92" i="22" s="1"/>
  <c r="AP92" i="3"/>
  <c r="AP92" i="22" s="1"/>
  <c r="AQ92" i="3"/>
  <c r="AQ92" i="22" s="1"/>
  <c r="AR92" i="3"/>
  <c r="AR92" i="22" s="1"/>
  <c r="AS92" i="3"/>
  <c r="AS92" i="22" s="1"/>
  <c r="AT92" i="3"/>
  <c r="AT92" i="22" s="1"/>
  <c r="AU92" i="3"/>
  <c r="AU92" i="22" s="1"/>
  <c r="AV92" i="3"/>
  <c r="AV92" i="22" s="1"/>
  <c r="AW92" i="3"/>
  <c r="AW92" i="22" s="1"/>
  <c r="AX92" i="3"/>
  <c r="AX92" i="22" s="1"/>
  <c r="B71" i="3"/>
  <c r="B71" i="22" s="1"/>
  <c r="C71" i="3"/>
  <c r="C71" i="22" s="1"/>
  <c r="D71" i="3"/>
  <c r="D71" i="22" s="1"/>
  <c r="E71" i="3"/>
  <c r="E71" i="22" s="1"/>
  <c r="F71" i="3"/>
  <c r="F71" i="22" s="1"/>
  <c r="G71" i="3"/>
  <c r="G71" i="22" s="1"/>
  <c r="H71" i="3"/>
  <c r="H71" i="22" s="1"/>
  <c r="I71" i="3"/>
  <c r="I71" i="22" s="1"/>
  <c r="J71" i="3"/>
  <c r="J71" i="22" s="1"/>
  <c r="K71" i="3"/>
  <c r="K71" i="22" s="1"/>
  <c r="L71" i="3"/>
  <c r="L71" i="22" s="1"/>
  <c r="M71" i="3"/>
  <c r="M71" i="22" s="1"/>
  <c r="N71" i="3"/>
  <c r="N71" i="22" s="1"/>
  <c r="O71" i="3"/>
  <c r="O71" i="22" s="1"/>
  <c r="P71" i="3"/>
  <c r="P71" i="22" s="1"/>
  <c r="Q71" i="3"/>
  <c r="Q71" i="22" s="1"/>
  <c r="R71" i="3"/>
  <c r="R71" i="22" s="1"/>
  <c r="S71" i="3"/>
  <c r="S71" i="22" s="1"/>
  <c r="T71" i="3"/>
  <c r="T71" i="22" s="1"/>
  <c r="U71" i="3"/>
  <c r="U71" i="22" s="1"/>
  <c r="V71" i="3"/>
  <c r="V71" i="22" s="1"/>
  <c r="W71" i="3"/>
  <c r="W71" i="22" s="1"/>
  <c r="X71" i="3"/>
  <c r="X71" i="22" s="1"/>
  <c r="Y71" i="3"/>
  <c r="Y71" i="22" s="1"/>
  <c r="Z71" i="3"/>
  <c r="Z71" i="22" s="1"/>
  <c r="AA71" i="3"/>
  <c r="AA71" i="22" s="1"/>
  <c r="AB71" i="3"/>
  <c r="AB71" i="22" s="1"/>
  <c r="AC71" i="3"/>
  <c r="AC71" i="22" s="1"/>
  <c r="AD71" i="3"/>
  <c r="AD71" i="22" s="1"/>
  <c r="AE71" i="3"/>
  <c r="AE71" i="22" s="1"/>
  <c r="AF71" i="3"/>
  <c r="AF71" i="22" s="1"/>
  <c r="AG71" i="3"/>
  <c r="AG71" i="22" s="1"/>
  <c r="AH71" i="3"/>
  <c r="AH71" i="22" s="1"/>
  <c r="AI71" i="3"/>
  <c r="AI71" i="22" s="1"/>
  <c r="AJ71" i="3"/>
  <c r="AJ71" i="22" s="1"/>
  <c r="AK71" i="3"/>
  <c r="AK71" i="22" s="1"/>
  <c r="AL71" i="3"/>
  <c r="AL71" i="22" s="1"/>
  <c r="AM71" i="3"/>
  <c r="AM71" i="22" s="1"/>
  <c r="AN71" i="3"/>
  <c r="AN71" i="22" s="1"/>
  <c r="AO71" i="3"/>
  <c r="AO71" i="22" s="1"/>
  <c r="AP71" i="3"/>
  <c r="AP71" i="22" s="1"/>
  <c r="AQ71" i="3"/>
  <c r="AQ71" i="22" s="1"/>
  <c r="AR71" i="3"/>
  <c r="AR71" i="22" s="1"/>
  <c r="AS71" i="3"/>
  <c r="AS71" i="22" s="1"/>
  <c r="AT71" i="3"/>
  <c r="AT71" i="22" s="1"/>
  <c r="AU71" i="3"/>
  <c r="AU71" i="22" s="1"/>
  <c r="AV71" i="3"/>
  <c r="AV71" i="22" s="1"/>
  <c r="AW71" i="3"/>
  <c r="AW71" i="22" s="1"/>
  <c r="AX71" i="3"/>
  <c r="AX71" i="22" s="1"/>
  <c r="B40" i="3"/>
  <c r="B40" i="22" s="1"/>
  <c r="C40" i="3"/>
  <c r="C40" i="22" s="1"/>
  <c r="D40" i="3"/>
  <c r="D40" i="22" s="1"/>
  <c r="E40" i="3"/>
  <c r="E40" i="22" s="1"/>
  <c r="F40" i="3"/>
  <c r="F40" i="22" s="1"/>
  <c r="G40" i="3"/>
  <c r="G40" i="22" s="1"/>
  <c r="H40" i="3"/>
  <c r="H40" i="22" s="1"/>
  <c r="I40" i="3"/>
  <c r="I40" i="22" s="1"/>
  <c r="J40" i="3"/>
  <c r="J40" i="22" s="1"/>
  <c r="K40" i="3"/>
  <c r="K40" i="22" s="1"/>
  <c r="L40" i="3"/>
  <c r="L40" i="22" s="1"/>
  <c r="M40" i="3"/>
  <c r="M40" i="22" s="1"/>
  <c r="N40" i="3"/>
  <c r="N40" i="22" s="1"/>
  <c r="O40" i="3"/>
  <c r="O40" i="22" s="1"/>
  <c r="P40" i="3"/>
  <c r="P40" i="22" s="1"/>
  <c r="Q40" i="3"/>
  <c r="Q40" i="22" s="1"/>
  <c r="R40" i="3"/>
  <c r="R40" i="22" s="1"/>
  <c r="S40" i="3"/>
  <c r="S40" i="22" s="1"/>
  <c r="T40" i="3"/>
  <c r="T40" i="22" s="1"/>
  <c r="U40" i="3"/>
  <c r="U40" i="22" s="1"/>
  <c r="V40" i="3"/>
  <c r="V40" i="22" s="1"/>
  <c r="W40" i="3"/>
  <c r="W40" i="22" s="1"/>
  <c r="X40" i="3"/>
  <c r="X40" i="22" s="1"/>
  <c r="Y40" i="3"/>
  <c r="Y40" i="22" s="1"/>
  <c r="Z40" i="3"/>
  <c r="Z40" i="22" s="1"/>
  <c r="AA40" i="3"/>
  <c r="AA40" i="22" s="1"/>
  <c r="AB40" i="3"/>
  <c r="AB40" i="22" s="1"/>
  <c r="AC40" i="3"/>
  <c r="AC40" i="22" s="1"/>
  <c r="AD40" i="3"/>
  <c r="AD40" i="22" s="1"/>
  <c r="AE40" i="3"/>
  <c r="AE40" i="22" s="1"/>
  <c r="AF40" i="3"/>
  <c r="AF40" i="22" s="1"/>
  <c r="AG40" i="3"/>
  <c r="AG40" i="22" s="1"/>
  <c r="AH40" i="3"/>
  <c r="AH40" i="22" s="1"/>
  <c r="AI40" i="3"/>
  <c r="AI40" i="22" s="1"/>
  <c r="AJ40" i="3"/>
  <c r="AJ40" i="22" s="1"/>
  <c r="AK40" i="3"/>
  <c r="AK40" i="22" s="1"/>
  <c r="AL40" i="3"/>
  <c r="AL40" i="22" s="1"/>
  <c r="AM40" i="3"/>
  <c r="AM40" i="22" s="1"/>
  <c r="AN40" i="3"/>
  <c r="AN40" i="22" s="1"/>
  <c r="AO40" i="3"/>
  <c r="AO40" i="22" s="1"/>
  <c r="AP40" i="3"/>
  <c r="AP40" i="22" s="1"/>
  <c r="AQ40" i="3"/>
  <c r="AQ40" i="22" s="1"/>
  <c r="AR40" i="3"/>
  <c r="AR40" i="22" s="1"/>
  <c r="AS40" i="3"/>
  <c r="AS40" i="22" s="1"/>
  <c r="AT40" i="3"/>
  <c r="AT40" i="22" s="1"/>
  <c r="AU40" i="3"/>
  <c r="AU40" i="22" s="1"/>
  <c r="AV40" i="3"/>
  <c r="AV40" i="22" s="1"/>
  <c r="AW40" i="3"/>
  <c r="AW40" i="22" s="1"/>
  <c r="AX40" i="3"/>
  <c r="AX40" i="22" s="1"/>
  <c r="B43" i="3"/>
  <c r="B43" i="22" s="1"/>
  <c r="C43" i="3"/>
  <c r="C43" i="22" s="1"/>
  <c r="D43" i="3"/>
  <c r="D43" i="22" s="1"/>
  <c r="E43" i="3"/>
  <c r="E43" i="22" s="1"/>
  <c r="F43" i="3"/>
  <c r="F43" i="22" s="1"/>
  <c r="G43" i="3"/>
  <c r="G43" i="22" s="1"/>
  <c r="H43" i="3"/>
  <c r="H43" i="22" s="1"/>
  <c r="I43" i="3"/>
  <c r="I43" i="22" s="1"/>
  <c r="J43" i="3"/>
  <c r="J43" i="22" s="1"/>
  <c r="K43" i="3"/>
  <c r="K43" i="22" s="1"/>
  <c r="L43" i="3"/>
  <c r="L43" i="22" s="1"/>
  <c r="M43" i="3"/>
  <c r="M43" i="22" s="1"/>
  <c r="N43" i="3"/>
  <c r="N43" i="22" s="1"/>
  <c r="O43" i="3"/>
  <c r="O43" i="22" s="1"/>
  <c r="P43" i="3"/>
  <c r="P43" i="22" s="1"/>
  <c r="Q43" i="3"/>
  <c r="Q43" i="22" s="1"/>
  <c r="R43" i="3"/>
  <c r="R43" i="22" s="1"/>
  <c r="S43" i="3"/>
  <c r="S43" i="22" s="1"/>
  <c r="T43" i="3"/>
  <c r="T43" i="22" s="1"/>
  <c r="U43" i="3"/>
  <c r="U43" i="22" s="1"/>
  <c r="V43" i="3"/>
  <c r="V43" i="22" s="1"/>
  <c r="W43" i="3"/>
  <c r="W43" i="22" s="1"/>
  <c r="X43" i="3"/>
  <c r="X43" i="22" s="1"/>
  <c r="Y43" i="3"/>
  <c r="Y43" i="22" s="1"/>
  <c r="Z43" i="3"/>
  <c r="Z43" i="22" s="1"/>
  <c r="AA43" i="3"/>
  <c r="AA43" i="22" s="1"/>
  <c r="AB43" i="3"/>
  <c r="AB43" i="22" s="1"/>
  <c r="AC43" i="3"/>
  <c r="AC43" i="22" s="1"/>
  <c r="AD43" i="3"/>
  <c r="AD43" i="22" s="1"/>
  <c r="AE43" i="3"/>
  <c r="AE43" i="22" s="1"/>
  <c r="AF43" i="3"/>
  <c r="AF43" i="22" s="1"/>
  <c r="AG43" i="3"/>
  <c r="AG43" i="22" s="1"/>
  <c r="AH43" i="3"/>
  <c r="AH43" i="22" s="1"/>
  <c r="AI43" i="3"/>
  <c r="AI43" i="22" s="1"/>
  <c r="AJ43" i="3"/>
  <c r="AJ43" i="22" s="1"/>
  <c r="AK43" i="3"/>
  <c r="AK43" i="22" s="1"/>
  <c r="AL43" i="3"/>
  <c r="AL43" i="22" s="1"/>
  <c r="AM43" i="3"/>
  <c r="AM43" i="22" s="1"/>
  <c r="AN43" i="3"/>
  <c r="AN43" i="22" s="1"/>
  <c r="AO43" i="3"/>
  <c r="AO43" i="22" s="1"/>
  <c r="AP43" i="3"/>
  <c r="AP43" i="22" s="1"/>
  <c r="AQ43" i="3"/>
  <c r="AQ43" i="22" s="1"/>
  <c r="AR43" i="3"/>
  <c r="AR43" i="22" s="1"/>
  <c r="AS43" i="3"/>
  <c r="AS43" i="22" s="1"/>
  <c r="AT43" i="3"/>
  <c r="AT43" i="22" s="1"/>
  <c r="AU43" i="3"/>
  <c r="AU43" i="22" s="1"/>
  <c r="AV43" i="3"/>
  <c r="AV43" i="22" s="1"/>
  <c r="AW43" i="3"/>
  <c r="AW43" i="22" s="1"/>
  <c r="AX43" i="3"/>
  <c r="AX43" i="22" s="1"/>
  <c r="B115" i="3"/>
  <c r="B115" i="22" s="1"/>
  <c r="C115" i="3"/>
  <c r="C115" i="22" s="1"/>
  <c r="D115" i="3"/>
  <c r="D115" i="22" s="1"/>
  <c r="E115" i="3"/>
  <c r="E115" i="22" s="1"/>
  <c r="F115" i="3"/>
  <c r="F115" i="22" s="1"/>
  <c r="G115" i="3"/>
  <c r="G115" i="22" s="1"/>
  <c r="H115" i="3"/>
  <c r="H115" i="22" s="1"/>
  <c r="I115" i="3"/>
  <c r="I115" i="22" s="1"/>
  <c r="J115" i="3"/>
  <c r="J115" i="22" s="1"/>
  <c r="K115" i="3"/>
  <c r="K115" i="22" s="1"/>
  <c r="L115" i="3"/>
  <c r="L115" i="22" s="1"/>
  <c r="M115" i="3"/>
  <c r="M115" i="22" s="1"/>
  <c r="N115" i="3"/>
  <c r="N115" i="22" s="1"/>
  <c r="O115" i="3"/>
  <c r="O115" i="22" s="1"/>
  <c r="P115" i="3"/>
  <c r="P115" i="22" s="1"/>
  <c r="Q115" i="3"/>
  <c r="Q115" i="22" s="1"/>
  <c r="R115" i="3"/>
  <c r="R115" i="22" s="1"/>
  <c r="S115" i="3"/>
  <c r="S115" i="22" s="1"/>
  <c r="T115" i="3"/>
  <c r="T115" i="22" s="1"/>
  <c r="U115" i="3"/>
  <c r="U115" i="22" s="1"/>
  <c r="V115" i="3"/>
  <c r="V115" i="22" s="1"/>
  <c r="W115" i="3"/>
  <c r="W115" i="22" s="1"/>
  <c r="X115" i="3"/>
  <c r="X115" i="22" s="1"/>
  <c r="Y115" i="3"/>
  <c r="Y115" i="22" s="1"/>
  <c r="Z115" i="3"/>
  <c r="Z115" i="22" s="1"/>
  <c r="AA115" i="3"/>
  <c r="AA115" i="22" s="1"/>
  <c r="AB115" i="3"/>
  <c r="AB115" i="22" s="1"/>
  <c r="AC115" i="3"/>
  <c r="AC115" i="22" s="1"/>
  <c r="AD115" i="3"/>
  <c r="AD115" i="22" s="1"/>
  <c r="AE115" i="3"/>
  <c r="AE115" i="22" s="1"/>
  <c r="AF115" i="3"/>
  <c r="AF115" i="22" s="1"/>
  <c r="AG115" i="3"/>
  <c r="AG115" i="22" s="1"/>
  <c r="AH115" i="3"/>
  <c r="AH115" i="22" s="1"/>
  <c r="AI115" i="3"/>
  <c r="AI115" i="22" s="1"/>
  <c r="AJ115" i="3"/>
  <c r="AJ115" i="22" s="1"/>
  <c r="AK115" i="3"/>
  <c r="AK115" i="22" s="1"/>
  <c r="AL115" i="3"/>
  <c r="AL115" i="22" s="1"/>
  <c r="AM115" i="3"/>
  <c r="AM115" i="22" s="1"/>
  <c r="AN115" i="3"/>
  <c r="AN115" i="22" s="1"/>
  <c r="AO115" i="3"/>
  <c r="AO115" i="22" s="1"/>
  <c r="AP115" i="3"/>
  <c r="AP115" i="22" s="1"/>
  <c r="AQ115" i="3"/>
  <c r="AQ115" i="22" s="1"/>
  <c r="AR115" i="3"/>
  <c r="AR115" i="22" s="1"/>
  <c r="AS115" i="3"/>
  <c r="AS115" i="22" s="1"/>
  <c r="AT115" i="3"/>
  <c r="AT115" i="22" s="1"/>
  <c r="AU115" i="3"/>
  <c r="AU115" i="22" s="1"/>
  <c r="AV115" i="3"/>
  <c r="AV115" i="22" s="1"/>
  <c r="AW115" i="3"/>
  <c r="AW115" i="22" s="1"/>
  <c r="AX115" i="3"/>
  <c r="AX115" i="22" s="1"/>
  <c r="B28" i="3"/>
  <c r="B28" i="22" s="1"/>
  <c r="C28" i="3"/>
  <c r="C28" i="22" s="1"/>
  <c r="D28" i="3"/>
  <c r="D28" i="22" s="1"/>
  <c r="E28" i="3"/>
  <c r="E28" i="22" s="1"/>
  <c r="F28" i="3"/>
  <c r="F28" i="22" s="1"/>
  <c r="G28" i="3"/>
  <c r="G28" i="22" s="1"/>
  <c r="H28" i="3"/>
  <c r="H28" i="22" s="1"/>
  <c r="I28" i="3"/>
  <c r="I28" i="22" s="1"/>
  <c r="J28" i="3"/>
  <c r="J28" i="22" s="1"/>
  <c r="K28" i="3"/>
  <c r="K28" i="22" s="1"/>
  <c r="L28" i="3"/>
  <c r="L28" i="22" s="1"/>
  <c r="M28" i="3"/>
  <c r="M28" i="22" s="1"/>
  <c r="N28" i="3"/>
  <c r="N28" i="22" s="1"/>
  <c r="O28" i="3"/>
  <c r="O28" i="22" s="1"/>
  <c r="P28" i="3"/>
  <c r="P28" i="22" s="1"/>
  <c r="Q28" i="3"/>
  <c r="Q28" i="22" s="1"/>
  <c r="R28" i="3"/>
  <c r="R28" i="22" s="1"/>
  <c r="S28" i="3"/>
  <c r="S28" i="22" s="1"/>
  <c r="T28" i="3"/>
  <c r="T28" i="22" s="1"/>
  <c r="U28" i="3"/>
  <c r="U28" i="22" s="1"/>
  <c r="V28" i="3"/>
  <c r="V28" i="22" s="1"/>
  <c r="W28" i="3"/>
  <c r="W28" i="22" s="1"/>
  <c r="X28" i="3"/>
  <c r="X28" i="22" s="1"/>
  <c r="Y28" i="3"/>
  <c r="Y28" i="22" s="1"/>
  <c r="Z28" i="3"/>
  <c r="Z28" i="22" s="1"/>
  <c r="AA28" i="3"/>
  <c r="AA28" i="22" s="1"/>
  <c r="AB28" i="3"/>
  <c r="AB28" i="22" s="1"/>
  <c r="AC28" i="3"/>
  <c r="AC28" i="22" s="1"/>
  <c r="AD28" i="3"/>
  <c r="AD28" i="22" s="1"/>
  <c r="AE28" i="3"/>
  <c r="AE28" i="22" s="1"/>
  <c r="AF28" i="3"/>
  <c r="AF28" i="22" s="1"/>
  <c r="AG28" i="3"/>
  <c r="AG28" i="22" s="1"/>
  <c r="AH28" i="3"/>
  <c r="AH28" i="22" s="1"/>
  <c r="AI28" i="3"/>
  <c r="AI28" i="22" s="1"/>
  <c r="AJ28" i="3"/>
  <c r="AJ28" i="22" s="1"/>
  <c r="AK28" i="3"/>
  <c r="AK28" i="22" s="1"/>
  <c r="AL28" i="3"/>
  <c r="AL28" i="22" s="1"/>
  <c r="AM28" i="3"/>
  <c r="AM28" i="22" s="1"/>
  <c r="AN28" i="3"/>
  <c r="AN28" i="22" s="1"/>
  <c r="AO28" i="3"/>
  <c r="AO28" i="22" s="1"/>
  <c r="AP28" i="3"/>
  <c r="AP28" i="22" s="1"/>
  <c r="AQ28" i="3"/>
  <c r="AQ28" i="22" s="1"/>
  <c r="AR28" i="3"/>
  <c r="AR28" i="22" s="1"/>
  <c r="AS28" i="3"/>
  <c r="AS28" i="22" s="1"/>
  <c r="AT28" i="3"/>
  <c r="AT28" i="22" s="1"/>
  <c r="AU28" i="3"/>
  <c r="AU28" i="22" s="1"/>
  <c r="AV28" i="3"/>
  <c r="AV28" i="22" s="1"/>
  <c r="AW28" i="3"/>
  <c r="AW28" i="22" s="1"/>
  <c r="AX28" i="3"/>
  <c r="AX28" i="22" s="1"/>
  <c r="B8" i="3"/>
  <c r="B8" i="22" s="1"/>
  <c r="C8" i="3"/>
  <c r="C8" i="22" s="1"/>
  <c r="D8" i="3"/>
  <c r="D8" i="22" s="1"/>
  <c r="E8" i="3"/>
  <c r="E8" i="22" s="1"/>
  <c r="F8" i="3"/>
  <c r="F8" i="22" s="1"/>
  <c r="G8" i="3"/>
  <c r="G8" i="22" s="1"/>
  <c r="H8" i="3"/>
  <c r="H8" i="22" s="1"/>
  <c r="I8" i="3"/>
  <c r="I8" i="22" s="1"/>
  <c r="J8" i="3"/>
  <c r="J8" i="22" s="1"/>
  <c r="K8" i="3"/>
  <c r="K8" i="22" s="1"/>
  <c r="L8" i="3"/>
  <c r="L8" i="22" s="1"/>
  <c r="M8" i="3"/>
  <c r="M8" i="22" s="1"/>
  <c r="N8" i="3"/>
  <c r="N8" i="22" s="1"/>
  <c r="O8" i="3"/>
  <c r="O8" i="22" s="1"/>
  <c r="P8" i="3"/>
  <c r="P8" i="22" s="1"/>
  <c r="Q8" i="3"/>
  <c r="Q8" i="22" s="1"/>
  <c r="R8" i="3"/>
  <c r="R8" i="22" s="1"/>
  <c r="S8" i="3"/>
  <c r="S8" i="22" s="1"/>
  <c r="T8" i="3"/>
  <c r="T8" i="22" s="1"/>
  <c r="U8" i="3"/>
  <c r="U8" i="22" s="1"/>
  <c r="V8" i="3"/>
  <c r="V8" i="22" s="1"/>
  <c r="W8" i="3"/>
  <c r="W8" i="22" s="1"/>
  <c r="X8" i="3"/>
  <c r="X8" i="22" s="1"/>
  <c r="Y8" i="3"/>
  <c r="Y8" i="22" s="1"/>
  <c r="Z8" i="3"/>
  <c r="Z8" i="22" s="1"/>
  <c r="AA8" i="3"/>
  <c r="AA8" i="22" s="1"/>
  <c r="AB8" i="3"/>
  <c r="AB8" i="22" s="1"/>
  <c r="AC8" i="3"/>
  <c r="AC8" i="22" s="1"/>
  <c r="AD8" i="3"/>
  <c r="AD8" i="22" s="1"/>
  <c r="AE8" i="3"/>
  <c r="AE8" i="22" s="1"/>
  <c r="AF8" i="3"/>
  <c r="AF8" i="22" s="1"/>
  <c r="AG8" i="3"/>
  <c r="AG8" i="22" s="1"/>
  <c r="AH8" i="3"/>
  <c r="AH8" i="22" s="1"/>
  <c r="AI8" i="3"/>
  <c r="AI8" i="22" s="1"/>
  <c r="AJ8" i="3"/>
  <c r="AJ8" i="22" s="1"/>
  <c r="AK8" i="3"/>
  <c r="AK8" i="22" s="1"/>
  <c r="AL8" i="3"/>
  <c r="AL8" i="22" s="1"/>
  <c r="AM8" i="3"/>
  <c r="AM8" i="22" s="1"/>
  <c r="AN8" i="3"/>
  <c r="AN8" i="22" s="1"/>
  <c r="AO8" i="3"/>
  <c r="AO8" i="22" s="1"/>
  <c r="AP8" i="3"/>
  <c r="AP8" i="22" s="1"/>
  <c r="AQ8" i="3"/>
  <c r="AQ8" i="22" s="1"/>
  <c r="AR8" i="3"/>
  <c r="AR8" i="22" s="1"/>
  <c r="AS8" i="3"/>
  <c r="AS8" i="22" s="1"/>
  <c r="AT8" i="3"/>
  <c r="AT8" i="22" s="1"/>
  <c r="AU8" i="3"/>
  <c r="AU8" i="22" s="1"/>
  <c r="AV8" i="3"/>
  <c r="AV8" i="22" s="1"/>
  <c r="AW8" i="3"/>
  <c r="AW8" i="22" s="1"/>
  <c r="AX8" i="3"/>
  <c r="AX8" i="22" s="1"/>
  <c r="B93" i="3"/>
  <c r="B93" i="22" s="1"/>
  <c r="C93" i="3"/>
  <c r="C93" i="22" s="1"/>
  <c r="D93" i="3"/>
  <c r="D93" i="22" s="1"/>
  <c r="E93" i="3"/>
  <c r="E93" i="22" s="1"/>
  <c r="F93" i="3"/>
  <c r="F93" i="22" s="1"/>
  <c r="G93" i="3"/>
  <c r="G93" i="22" s="1"/>
  <c r="H93" i="3"/>
  <c r="H93" i="22" s="1"/>
  <c r="I93" i="3"/>
  <c r="I93" i="22" s="1"/>
  <c r="J93" i="3"/>
  <c r="J93" i="22" s="1"/>
  <c r="K93" i="3"/>
  <c r="K93" i="22" s="1"/>
  <c r="L93" i="3"/>
  <c r="L93" i="22" s="1"/>
  <c r="M93" i="3"/>
  <c r="M93" i="22" s="1"/>
  <c r="N93" i="3"/>
  <c r="N93" i="22" s="1"/>
  <c r="O93" i="3"/>
  <c r="O93" i="22" s="1"/>
  <c r="P93" i="3"/>
  <c r="P93" i="22" s="1"/>
  <c r="Q93" i="3"/>
  <c r="Q93" i="22" s="1"/>
  <c r="R93" i="3"/>
  <c r="R93" i="22" s="1"/>
  <c r="S93" i="3"/>
  <c r="S93" i="22" s="1"/>
  <c r="T93" i="3"/>
  <c r="T93" i="22" s="1"/>
  <c r="U93" i="3"/>
  <c r="U93" i="22" s="1"/>
  <c r="V93" i="3"/>
  <c r="V93" i="22" s="1"/>
  <c r="W93" i="3"/>
  <c r="W93" i="22" s="1"/>
  <c r="X93" i="3"/>
  <c r="X93" i="22" s="1"/>
  <c r="Y93" i="3"/>
  <c r="Y93" i="22" s="1"/>
  <c r="Z93" i="3"/>
  <c r="Z93" i="22" s="1"/>
  <c r="AA93" i="3"/>
  <c r="AA93" i="22" s="1"/>
  <c r="AB93" i="3"/>
  <c r="AB93" i="22" s="1"/>
  <c r="AC93" i="3"/>
  <c r="AC93" i="22" s="1"/>
  <c r="AD93" i="3"/>
  <c r="AD93" i="22" s="1"/>
  <c r="AE93" i="3"/>
  <c r="AE93" i="22" s="1"/>
  <c r="AF93" i="3"/>
  <c r="AF93" i="22" s="1"/>
  <c r="AG93" i="3"/>
  <c r="AG93" i="22" s="1"/>
  <c r="AH93" i="3"/>
  <c r="AH93" i="22" s="1"/>
  <c r="AI93" i="3"/>
  <c r="AI93" i="22" s="1"/>
  <c r="AJ93" i="3"/>
  <c r="AJ93" i="22" s="1"/>
  <c r="AK93" i="3"/>
  <c r="AK93" i="22" s="1"/>
  <c r="AL93" i="3"/>
  <c r="AL93" i="22" s="1"/>
  <c r="AM93" i="3"/>
  <c r="AM93" i="22" s="1"/>
  <c r="AN93" i="3"/>
  <c r="AN93" i="22" s="1"/>
  <c r="AO93" i="3"/>
  <c r="AO93" i="22" s="1"/>
  <c r="AP93" i="3"/>
  <c r="AP93" i="22" s="1"/>
  <c r="AQ93" i="3"/>
  <c r="AQ93" i="22" s="1"/>
  <c r="AR93" i="3"/>
  <c r="AR93" i="22" s="1"/>
  <c r="AS93" i="3"/>
  <c r="AS93" i="22" s="1"/>
  <c r="AT93" i="3"/>
  <c r="AT93" i="22" s="1"/>
  <c r="AU93" i="3"/>
  <c r="AU93" i="22" s="1"/>
  <c r="AV93" i="3"/>
  <c r="AV93" i="22" s="1"/>
  <c r="AW93" i="3"/>
  <c r="AW93" i="22" s="1"/>
  <c r="AX93" i="3"/>
  <c r="AX93" i="22" s="1"/>
  <c r="B65" i="3"/>
  <c r="B65" i="22" s="1"/>
  <c r="C65" i="3"/>
  <c r="C65" i="22" s="1"/>
  <c r="D65" i="3"/>
  <c r="D65" i="22" s="1"/>
  <c r="E65" i="3"/>
  <c r="E65" i="22" s="1"/>
  <c r="F65" i="3"/>
  <c r="F65" i="22" s="1"/>
  <c r="G65" i="3"/>
  <c r="G65" i="22" s="1"/>
  <c r="H65" i="3"/>
  <c r="H65" i="22" s="1"/>
  <c r="I65" i="3"/>
  <c r="I65" i="22" s="1"/>
  <c r="J65" i="3"/>
  <c r="J65" i="22" s="1"/>
  <c r="K65" i="3"/>
  <c r="K65" i="22" s="1"/>
  <c r="L65" i="3"/>
  <c r="L65" i="22" s="1"/>
  <c r="M65" i="3"/>
  <c r="M65" i="22" s="1"/>
  <c r="N65" i="3"/>
  <c r="N65" i="22" s="1"/>
  <c r="O65" i="3"/>
  <c r="O65" i="22" s="1"/>
  <c r="P65" i="3"/>
  <c r="P65" i="22" s="1"/>
  <c r="Q65" i="3"/>
  <c r="Q65" i="22" s="1"/>
  <c r="R65" i="3"/>
  <c r="R65" i="22" s="1"/>
  <c r="S65" i="3"/>
  <c r="S65" i="22" s="1"/>
  <c r="T65" i="3"/>
  <c r="T65" i="22" s="1"/>
  <c r="U65" i="3"/>
  <c r="U65" i="22" s="1"/>
  <c r="V65" i="3"/>
  <c r="V65" i="22" s="1"/>
  <c r="W65" i="3"/>
  <c r="W65" i="22" s="1"/>
  <c r="X65" i="3"/>
  <c r="X65" i="22" s="1"/>
  <c r="Y65" i="3"/>
  <c r="Y65" i="22" s="1"/>
  <c r="Z65" i="3"/>
  <c r="Z65" i="22" s="1"/>
  <c r="AA65" i="3"/>
  <c r="AA65" i="22" s="1"/>
  <c r="AB65" i="3"/>
  <c r="AB65" i="22" s="1"/>
  <c r="AC65" i="3"/>
  <c r="AC65" i="22" s="1"/>
  <c r="AD65" i="3"/>
  <c r="AD65" i="22" s="1"/>
  <c r="AE65" i="3"/>
  <c r="AE65" i="22" s="1"/>
  <c r="AF65" i="3"/>
  <c r="AF65" i="22" s="1"/>
  <c r="AG65" i="3"/>
  <c r="AG65" i="22" s="1"/>
  <c r="AH65" i="3"/>
  <c r="AH65" i="22" s="1"/>
  <c r="AI65" i="3"/>
  <c r="AI65" i="22" s="1"/>
  <c r="AJ65" i="3"/>
  <c r="AJ65" i="22" s="1"/>
  <c r="AK65" i="3"/>
  <c r="AK65" i="22" s="1"/>
  <c r="AL65" i="3"/>
  <c r="AL65" i="22" s="1"/>
  <c r="AM65" i="3"/>
  <c r="AM65" i="22" s="1"/>
  <c r="AN65" i="3"/>
  <c r="AN65" i="22" s="1"/>
  <c r="AO65" i="3"/>
  <c r="AO65" i="22" s="1"/>
  <c r="AP65" i="3"/>
  <c r="AP65" i="22" s="1"/>
  <c r="AQ65" i="3"/>
  <c r="AQ65" i="22" s="1"/>
  <c r="AR65" i="3"/>
  <c r="AR65" i="22" s="1"/>
  <c r="AS65" i="3"/>
  <c r="AS65" i="22" s="1"/>
  <c r="AT65" i="3"/>
  <c r="AT65" i="22" s="1"/>
  <c r="AU65" i="3"/>
  <c r="AU65" i="22" s="1"/>
  <c r="AV65" i="3"/>
  <c r="AV65" i="22" s="1"/>
  <c r="AW65" i="3"/>
  <c r="AW65" i="22" s="1"/>
  <c r="AX65" i="3"/>
  <c r="AX65" i="22" s="1"/>
  <c r="B7" i="3"/>
  <c r="B7" i="22" s="1"/>
  <c r="C7" i="3"/>
  <c r="C7" i="22" s="1"/>
  <c r="D7" i="3"/>
  <c r="D7" i="22" s="1"/>
  <c r="E7" i="3"/>
  <c r="E7" i="22" s="1"/>
  <c r="F7" i="3"/>
  <c r="F7" i="22" s="1"/>
  <c r="G7" i="3"/>
  <c r="G7" i="22" s="1"/>
  <c r="H7" i="3"/>
  <c r="H7" i="22" s="1"/>
  <c r="I7" i="3"/>
  <c r="I7" i="22" s="1"/>
  <c r="J7" i="3"/>
  <c r="J7" i="22" s="1"/>
  <c r="K7" i="3"/>
  <c r="K7" i="22" s="1"/>
  <c r="L7" i="3"/>
  <c r="L7" i="22" s="1"/>
  <c r="M7" i="3"/>
  <c r="M7" i="22" s="1"/>
  <c r="N7" i="3"/>
  <c r="N7" i="22" s="1"/>
  <c r="O7" i="3"/>
  <c r="O7" i="22" s="1"/>
  <c r="P7" i="3"/>
  <c r="P7" i="22" s="1"/>
  <c r="Q7" i="3"/>
  <c r="Q7" i="22" s="1"/>
  <c r="R7" i="3"/>
  <c r="R7" i="22" s="1"/>
  <c r="S7" i="3"/>
  <c r="S7" i="22" s="1"/>
  <c r="T7" i="3"/>
  <c r="T7" i="22" s="1"/>
  <c r="U7" i="3"/>
  <c r="U7" i="22" s="1"/>
  <c r="V7" i="3"/>
  <c r="V7" i="22" s="1"/>
  <c r="W7" i="3"/>
  <c r="W7" i="22" s="1"/>
  <c r="X7" i="3"/>
  <c r="X7" i="22" s="1"/>
  <c r="Y7" i="3"/>
  <c r="Y7" i="22" s="1"/>
  <c r="Z7" i="3"/>
  <c r="Z7" i="22" s="1"/>
  <c r="AA7" i="3"/>
  <c r="AA7" i="22" s="1"/>
  <c r="AB7" i="3"/>
  <c r="AB7" i="22" s="1"/>
  <c r="AC7" i="3"/>
  <c r="AC7" i="22" s="1"/>
  <c r="AD7" i="3"/>
  <c r="AD7" i="22" s="1"/>
  <c r="AE7" i="3"/>
  <c r="AE7" i="22" s="1"/>
  <c r="AF7" i="3"/>
  <c r="AF7" i="22" s="1"/>
  <c r="AG7" i="3"/>
  <c r="AG7" i="22" s="1"/>
  <c r="AH7" i="3"/>
  <c r="AH7" i="22" s="1"/>
  <c r="AI7" i="3"/>
  <c r="AI7" i="22" s="1"/>
  <c r="AJ7" i="3"/>
  <c r="AJ7" i="22" s="1"/>
  <c r="AK7" i="3"/>
  <c r="AK7" i="22" s="1"/>
  <c r="AL7" i="3"/>
  <c r="AL7" i="22" s="1"/>
  <c r="AM7" i="3"/>
  <c r="AM7" i="22" s="1"/>
  <c r="AN7" i="3"/>
  <c r="AN7" i="22" s="1"/>
  <c r="AO7" i="3"/>
  <c r="AO7" i="22" s="1"/>
  <c r="AP7" i="3"/>
  <c r="AP7" i="22" s="1"/>
  <c r="AQ7" i="3"/>
  <c r="AQ7" i="22" s="1"/>
  <c r="AR7" i="3"/>
  <c r="AR7" i="22" s="1"/>
  <c r="AS7" i="3"/>
  <c r="AS7" i="22" s="1"/>
  <c r="AT7" i="3"/>
  <c r="AT7" i="22" s="1"/>
  <c r="AU7" i="3"/>
  <c r="AU7" i="22" s="1"/>
  <c r="AV7" i="3"/>
  <c r="AV7" i="22" s="1"/>
  <c r="AW7" i="3"/>
  <c r="AW7" i="22" s="1"/>
  <c r="AX7" i="3"/>
  <c r="AX7" i="22" s="1"/>
  <c r="B25" i="3"/>
  <c r="B25" i="22" s="1"/>
  <c r="C25" i="3"/>
  <c r="C25" i="22" s="1"/>
  <c r="D25" i="3"/>
  <c r="D25" i="22" s="1"/>
  <c r="E25" i="3"/>
  <c r="E25" i="22" s="1"/>
  <c r="F25" i="3"/>
  <c r="F25" i="22" s="1"/>
  <c r="G25" i="3"/>
  <c r="G25" i="22" s="1"/>
  <c r="H25" i="3"/>
  <c r="H25" i="22" s="1"/>
  <c r="I25" i="3"/>
  <c r="I25" i="22" s="1"/>
  <c r="J25" i="3"/>
  <c r="J25" i="22" s="1"/>
  <c r="K25" i="3"/>
  <c r="K25" i="22" s="1"/>
  <c r="L25" i="3"/>
  <c r="L25" i="22" s="1"/>
  <c r="M25" i="3"/>
  <c r="M25" i="22" s="1"/>
  <c r="N25" i="3"/>
  <c r="N25" i="22" s="1"/>
  <c r="O25" i="3"/>
  <c r="O25" i="22" s="1"/>
  <c r="P25" i="3"/>
  <c r="P25" i="22" s="1"/>
  <c r="Q25" i="3"/>
  <c r="Q25" i="22" s="1"/>
  <c r="R25" i="3"/>
  <c r="R25" i="22" s="1"/>
  <c r="S25" i="3"/>
  <c r="S25" i="22" s="1"/>
  <c r="T25" i="3"/>
  <c r="T25" i="22" s="1"/>
  <c r="U25" i="3"/>
  <c r="U25" i="22" s="1"/>
  <c r="V25" i="3"/>
  <c r="V25" i="22" s="1"/>
  <c r="W25" i="3"/>
  <c r="W25" i="22" s="1"/>
  <c r="X25" i="3"/>
  <c r="X25" i="22" s="1"/>
  <c r="Y25" i="3"/>
  <c r="Y25" i="22" s="1"/>
  <c r="Z25" i="3"/>
  <c r="Z25" i="22" s="1"/>
  <c r="AA25" i="3"/>
  <c r="AA25" i="22" s="1"/>
  <c r="AB25" i="3"/>
  <c r="AB25" i="22" s="1"/>
  <c r="AC25" i="3"/>
  <c r="AC25" i="22" s="1"/>
  <c r="AD25" i="3"/>
  <c r="AD25" i="22" s="1"/>
  <c r="AE25" i="3"/>
  <c r="AE25" i="22" s="1"/>
  <c r="AF25" i="3"/>
  <c r="AF25" i="22" s="1"/>
  <c r="AG25" i="3"/>
  <c r="AG25" i="22" s="1"/>
  <c r="AH25" i="3"/>
  <c r="AH25" i="22" s="1"/>
  <c r="AI25" i="3"/>
  <c r="AI25" i="22" s="1"/>
  <c r="AJ25" i="3"/>
  <c r="AJ25" i="22" s="1"/>
  <c r="AK25" i="3"/>
  <c r="AK25" i="22" s="1"/>
  <c r="AL25" i="3"/>
  <c r="AL25" i="22" s="1"/>
  <c r="AM25" i="3"/>
  <c r="AM25" i="22" s="1"/>
  <c r="AN25" i="3"/>
  <c r="AN25" i="22" s="1"/>
  <c r="AO25" i="3"/>
  <c r="AO25" i="22" s="1"/>
  <c r="AP25" i="3"/>
  <c r="AP25" i="22" s="1"/>
  <c r="AQ25" i="3"/>
  <c r="AQ25" i="22" s="1"/>
  <c r="AR25" i="3"/>
  <c r="AR25" i="22" s="1"/>
  <c r="AS25" i="3"/>
  <c r="AS25" i="22" s="1"/>
  <c r="AT25" i="3"/>
  <c r="AT25" i="22" s="1"/>
  <c r="AU25" i="3"/>
  <c r="AU25" i="22" s="1"/>
  <c r="AV25" i="3"/>
  <c r="AV25" i="22" s="1"/>
  <c r="AW25" i="3"/>
  <c r="AW25" i="22" s="1"/>
  <c r="AX25" i="3"/>
  <c r="AX25" i="22" s="1"/>
  <c r="B116" i="3"/>
  <c r="B116" i="22" s="1"/>
  <c r="C116" i="3"/>
  <c r="C116" i="22" s="1"/>
  <c r="D116" i="3"/>
  <c r="D116" i="22" s="1"/>
  <c r="E116" i="3"/>
  <c r="E116" i="22" s="1"/>
  <c r="F116" i="3"/>
  <c r="F116" i="22" s="1"/>
  <c r="G116" i="3"/>
  <c r="G116" i="22" s="1"/>
  <c r="H116" i="3"/>
  <c r="H116" i="22" s="1"/>
  <c r="I116" i="3"/>
  <c r="I116" i="22" s="1"/>
  <c r="J116" i="3"/>
  <c r="J116" i="22" s="1"/>
  <c r="K116" i="3"/>
  <c r="K116" i="22" s="1"/>
  <c r="L116" i="3"/>
  <c r="L116" i="22" s="1"/>
  <c r="M116" i="3"/>
  <c r="M116" i="22" s="1"/>
  <c r="N116" i="3"/>
  <c r="N116" i="22" s="1"/>
  <c r="O116" i="3"/>
  <c r="O116" i="22" s="1"/>
  <c r="P116" i="3"/>
  <c r="P116" i="22" s="1"/>
  <c r="Q116" i="3"/>
  <c r="Q116" i="22" s="1"/>
  <c r="R116" i="3"/>
  <c r="R116" i="22" s="1"/>
  <c r="S116" i="3"/>
  <c r="S116" i="22" s="1"/>
  <c r="T116" i="3"/>
  <c r="T116" i="22" s="1"/>
  <c r="U116" i="3"/>
  <c r="U116" i="22" s="1"/>
  <c r="V116" i="3"/>
  <c r="V116" i="22" s="1"/>
  <c r="W116" i="3"/>
  <c r="W116" i="22" s="1"/>
  <c r="X116" i="3"/>
  <c r="X116" i="22" s="1"/>
  <c r="Y116" i="3"/>
  <c r="Y116" i="22" s="1"/>
  <c r="Z116" i="3"/>
  <c r="Z116" i="22" s="1"/>
  <c r="AA116" i="3"/>
  <c r="AA116" i="22" s="1"/>
  <c r="AB116" i="3"/>
  <c r="AB116" i="22" s="1"/>
  <c r="AC116" i="3"/>
  <c r="AC116" i="22" s="1"/>
  <c r="AD116" i="3"/>
  <c r="AD116" i="22" s="1"/>
  <c r="AE116" i="3"/>
  <c r="AE116" i="22" s="1"/>
  <c r="AF116" i="3"/>
  <c r="AF116" i="22" s="1"/>
  <c r="AG116" i="3"/>
  <c r="AG116" i="22" s="1"/>
  <c r="AH116" i="3"/>
  <c r="AH116" i="22" s="1"/>
  <c r="AI116" i="3"/>
  <c r="AI116" i="22" s="1"/>
  <c r="AJ116" i="3"/>
  <c r="AJ116" i="22" s="1"/>
  <c r="AK116" i="3"/>
  <c r="AK116" i="22" s="1"/>
  <c r="AL116" i="3"/>
  <c r="AL116" i="22" s="1"/>
  <c r="AM116" i="3"/>
  <c r="AM116" i="22" s="1"/>
  <c r="AN116" i="3"/>
  <c r="AN116" i="22" s="1"/>
  <c r="AO116" i="3"/>
  <c r="AO116" i="22" s="1"/>
  <c r="AP116" i="3"/>
  <c r="AP116" i="22" s="1"/>
  <c r="AQ116" i="3"/>
  <c r="AQ116" i="22" s="1"/>
  <c r="AR116" i="3"/>
  <c r="AR116" i="22" s="1"/>
  <c r="AS116" i="3"/>
  <c r="AS116" i="22" s="1"/>
  <c r="AT116" i="3"/>
  <c r="AT116" i="22" s="1"/>
  <c r="AU116" i="3"/>
  <c r="AU116" i="22" s="1"/>
  <c r="AV116" i="3"/>
  <c r="AV116" i="22" s="1"/>
  <c r="AW116" i="3"/>
  <c r="AW116" i="22" s="1"/>
  <c r="AX116" i="3"/>
  <c r="AX116" i="22" s="1"/>
  <c r="B117" i="3"/>
  <c r="B117" i="22" s="1"/>
  <c r="C117" i="3"/>
  <c r="C117" i="22" s="1"/>
  <c r="D117" i="3"/>
  <c r="D117" i="22" s="1"/>
  <c r="E117" i="3"/>
  <c r="E117" i="22" s="1"/>
  <c r="F117" i="3"/>
  <c r="F117" i="22" s="1"/>
  <c r="G117" i="3"/>
  <c r="G117" i="22" s="1"/>
  <c r="H117" i="3"/>
  <c r="H117" i="22" s="1"/>
  <c r="I117" i="3"/>
  <c r="I117" i="22" s="1"/>
  <c r="J117" i="3"/>
  <c r="J117" i="22" s="1"/>
  <c r="K117" i="3"/>
  <c r="K117" i="22" s="1"/>
  <c r="L117" i="3"/>
  <c r="L117" i="22" s="1"/>
  <c r="M117" i="3"/>
  <c r="M117" i="22" s="1"/>
  <c r="N117" i="3"/>
  <c r="N117" i="22" s="1"/>
  <c r="O117" i="3"/>
  <c r="O117" i="22" s="1"/>
  <c r="P117" i="3"/>
  <c r="P117" i="22" s="1"/>
  <c r="Q117" i="3"/>
  <c r="Q117" i="22" s="1"/>
  <c r="R117" i="3"/>
  <c r="R117" i="22" s="1"/>
  <c r="S117" i="3"/>
  <c r="S117" i="22" s="1"/>
  <c r="T117" i="3"/>
  <c r="T117" i="22" s="1"/>
  <c r="U117" i="3"/>
  <c r="U117" i="22" s="1"/>
  <c r="V117" i="3"/>
  <c r="V117" i="22" s="1"/>
  <c r="W117" i="3"/>
  <c r="W117" i="22" s="1"/>
  <c r="X117" i="3"/>
  <c r="X117" i="22" s="1"/>
  <c r="Y117" i="3"/>
  <c r="Y117" i="22" s="1"/>
  <c r="Z117" i="3"/>
  <c r="Z117" i="22" s="1"/>
  <c r="AA117" i="3"/>
  <c r="AA117" i="22" s="1"/>
  <c r="AB117" i="3"/>
  <c r="AB117" i="22" s="1"/>
  <c r="AC117" i="3"/>
  <c r="AC117" i="22" s="1"/>
  <c r="AD117" i="3"/>
  <c r="AD117" i="22" s="1"/>
  <c r="AE117" i="3"/>
  <c r="AE117" i="22" s="1"/>
  <c r="AF117" i="3"/>
  <c r="AF117" i="22" s="1"/>
  <c r="AG117" i="3"/>
  <c r="AG117" i="22" s="1"/>
  <c r="AH117" i="3"/>
  <c r="AH117" i="22" s="1"/>
  <c r="AI117" i="3"/>
  <c r="AI117" i="22" s="1"/>
  <c r="AJ117" i="3"/>
  <c r="AJ117" i="22" s="1"/>
  <c r="AK117" i="3"/>
  <c r="AK117" i="22" s="1"/>
  <c r="AL117" i="3"/>
  <c r="AL117" i="22" s="1"/>
  <c r="AM117" i="3"/>
  <c r="AM117" i="22" s="1"/>
  <c r="AN117" i="3"/>
  <c r="AN117" i="22" s="1"/>
  <c r="AO117" i="3"/>
  <c r="AO117" i="22" s="1"/>
  <c r="AP117" i="3"/>
  <c r="AP117" i="22" s="1"/>
  <c r="AQ117" i="3"/>
  <c r="AQ117" i="22" s="1"/>
  <c r="AR117" i="3"/>
  <c r="AR117" i="22" s="1"/>
  <c r="AS117" i="3"/>
  <c r="AS117" i="22" s="1"/>
  <c r="AT117" i="3"/>
  <c r="AT117" i="22" s="1"/>
  <c r="AU117" i="3"/>
  <c r="AU117" i="22" s="1"/>
  <c r="AV117" i="3"/>
  <c r="AV117" i="22" s="1"/>
  <c r="AW117" i="3"/>
  <c r="AW117" i="22" s="1"/>
  <c r="AX117" i="3"/>
  <c r="AX117" i="22" s="1"/>
  <c r="B118" i="3"/>
  <c r="B118" i="22" s="1"/>
  <c r="C118" i="3"/>
  <c r="C118" i="22" s="1"/>
  <c r="D118" i="3"/>
  <c r="D118" i="22" s="1"/>
  <c r="E118" i="3"/>
  <c r="E118" i="22" s="1"/>
  <c r="F118" i="3"/>
  <c r="F118" i="22" s="1"/>
  <c r="G118" i="3"/>
  <c r="G118" i="22" s="1"/>
  <c r="H118" i="3"/>
  <c r="H118" i="22" s="1"/>
  <c r="I118" i="3"/>
  <c r="I118" i="22" s="1"/>
  <c r="J118" i="3"/>
  <c r="J118" i="22" s="1"/>
  <c r="K118" i="3"/>
  <c r="K118" i="22" s="1"/>
  <c r="L118" i="3"/>
  <c r="L118" i="22" s="1"/>
  <c r="M118" i="3"/>
  <c r="M118" i="22" s="1"/>
  <c r="N118" i="3"/>
  <c r="N118" i="22" s="1"/>
  <c r="O118" i="3"/>
  <c r="O118" i="22" s="1"/>
  <c r="P118" i="3"/>
  <c r="P118" i="22" s="1"/>
  <c r="Q118" i="3"/>
  <c r="Q118" i="22" s="1"/>
  <c r="R118" i="3"/>
  <c r="R118" i="22" s="1"/>
  <c r="S118" i="3"/>
  <c r="S118" i="22" s="1"/>
  <c r="T118" i="3"/>
  <c r="T118" i="22" s="1"/>
  <c r="U118" i="3"/>
  <c r="U118" i="22" s="1"/>
  <c r="V118" i="3"/>
  <c r="V118" i="22" s="1"/>
  <c r="W118" i="3"/>
  <c r="W118" i="22" s="1"/>
  <c r="X118" i="3"/>
  <c r="X118" i="22" s="1"/>
  <c r="Y118" i="3"/>
  <c r="Y118" i="22" s="1"/>
  <c r="Z118" i="3"/>
  <c r="Z118" i="22" s="1"/>
  <c r="AA118" i="3"/>
  <c r="AA118" i="22" s="1"/>
  <c r="AB118" i="3"/>
  <c r="AB118" i="22" s="1"/>
  <c r="AC118" i="3"/>
  <c r="AC118" i="22" s="1"/>
  <c r="AD118" i="3"/>
  <c r="AD118" i="22" s="1"/>
  <c r="AE118" i="3"/>
  <c r="AE118" i="22" s="1"/>
  <c r="AF118" i="3"/>
  <c r="AF118" i="22" s="1"/>
  <c r="AG118" i="3"/>
  <c r="AG118" i="22" s="1"/>
  <c r="AH118" i="3"/>
  <c r="AH118" i="22" s="1"/>
  <c r="AI118" i="3"/>
  <c r="AI118" i="22" s="1"/>
  <c r="AJ118" i="3"/>
  <c r="AJ118" i="22" s="1"/>
  <c r="AK118" i="3"/>
  <c r="AK118" i="22" s="1"/>
  <c r="AL118" i="3"/>
  <c r="AL118" i="22" s="1"/>
  <c r="AM118" i="3"/>
  <c r="AM118" i="22" s="1"/>
  <c r="AN118" i="3"/>
  <c r="AN118" i="22" s="1"/>
  <c r="AO118" i="3"/>
  <c r="AO118" i="22" s="1"/>
  <c r="AP118" i="3"/>
  <c r="AP118" i="22" s="1"/>
  <c r="AQ118" i="3"/>
  <c r="AQ118" i="22" s="1"/>
  <c r="AR118" i="3"/>
  <c r="AR118" i="22" s="1"/>
  <c r="AS118" i="3"/>
  <c r="AS118" i="22" s="1"/>
  <c r="AT118" i="3"/>
  <c r="AT118" i="22" s="1"/>
  <c r="AU118" i="3"/>
  <c r="AU118" i="22" s="1"/>
  <c r="AV118" i="3"/>
  <c r="AV118" i="22" s="1"/>
  <c r="AW118" i="3"/>
  <c r="AW118" i="22" s="1"/>
  <c r="AX118" i="3"/>
  <c r="AX118" i="22" s="1"/>
  <c r="B119" i="3"/>
  <c r="B119" i="22" s="1"/>
  <c r="C119" i="3"/>
  <c r="C119" i="22" s="1"/>
  <c r="D119" i="3"/>
  <c r="D119" i="22" s="1"/>
  <c r="E119" i="3"/>
  <c r="E119" i="22" s="1"/>
  <c r="F119" i="3"/>
  <c r="F119" i="22" s="1"/>
  <c r="G119" i="3"/>
  <c r="G119" i="22" s="1"/>
  <c r="H119" i="3"/>
  <c r="H119" i="22" s="1"/>
  <c r="I119" i="3"/>
  <c r="I119" i="22" s="1"/>
  <c r="J119" i="3"/>
  <c r="J119" i="22" s="1"/>
  <c r="K119" i="3"/>
  <c r="K119" i="22" s="1"/>
  <c r="L119" i="3"/>
  <c r="L119" i="22" s="1"/>
  <c r="M119" i="3"/>
  <c r="M119" i="22" s="1"/>
  <c r="N119" i="3"/>
  <c r="N119" i="22" s="1"/>
  <c r="O119" i="3"/>
  <c r="O119" i="22" s="1"/>
  <c r="P119" i="3"/>
  <c r="P119" i="22" s="1"/>
  <c r="Q119" i="3"/>
  <c r="Q119" i="22" s="1"/>
  <c r="R119" i="3"/>
  <c r="R119" i="22" s="1"/>
  <c r="S119" i="3"/>
  <c r="S119" i="22" s="1"/>
  <c r="T119" i="3"/>
  <c r="T119" i="22" s="1"/>
  <c r="U119" i="3"/>
  <c r="U119" i="22" s="1"/>
  <c r="V119" i="3"/>
  <c r="V119" i="22" s="1"/>
  <c r="W119" i="3"/>
  <c r="W119" i="22" s="1"/>
  <c r="X119" i="3"/>
  <c r="X119" i="22" s="1"/>
  <c r="Y119" i="3"/>
  <c r="Y119" i="22" s="1"/>
  <c r="Z119" i="3"/>
  <c r="Z119" i="22" s="1"/>
  <c r="AA119" i="3"/>
  <c r="AA119" i="22" s="1"/>
  <c r="AB119" i="3"/>
  <c r="AB119" i="22" s="1"/>
  <c r="AC119" i="3"/>
  <c r="AC119" i="22" s="1"/>
  <c r="AD119" i="3"/>
  <c r="AD119" i="22" s="1"/>
  <c r="AE119" i="3"/>
  <c r="AE119" i="22" s="1"/>
  <c r="AF119" i="3"/>
  <c r="AF119" i="22" s="1"/>
  <c r="AG119" i="3"/>
  <c r="AG119" i="22" s="1"/>
  <c r="AH119" i="3"/>
  <c r="AH119" i="22" s="1"/>
  <c r="AI119" i="3"/>
  <c r="AI119" i="22" s="1"/>
  <c r="AJ119" i="3"/>
  <c r="AJ119" i="22" s="1"/>
  <c r="AK119" i="3"/>
  <c r="AK119" i="22" s="1"/>
  <c r="AL119" i="3"/>
  <c r="AL119" i="22" s="1"/>
  <c r="AM119" i="3"/>
  <c r="AM119" i="22" s="1"/>
  <c r="AN119" i="3"/>
  <c r="AN119" i="22" s="1"/>
  <c r="AO119" i="3"/>
  <c r="AO119" i="22" s="1"/>
  <c r="AP119" i="3"/>
  <c r="AP119" i="22" s="1"/>
  <c r="AQ119" i="3"/>
  <c r="AQ119" i="22" s="1"/>
  <c r="AR119" i="3"/>
  <c r="AR119" i="22" s="1"/>
  <c r="AS119" i="3"/>
  <c r="AS119" i="22" s="1"/>
  <c r="AT119" i="3"/>
  <c r="AT119" i="22" s="1"/>
  <c r="AU119" i="3"/>
  <c r="AU119" i="22" s="1"/>
  <c r="AV119" i="3"/>
  <c r="AV119" i="22" s="1"/>
  <c r="AW119" i="3"/>
  <c r="AW119" i="22" s="1"/>
  <c r="AX119" i="3"/>
  <c r="AX119" i="22" s="1"/>
  <c r="B107" i="3"/>
  <c r="B107" i="22" s="1"/>
  <c r="C107" i="3"/>
  <c r="C107" i="22" s="1"/>
  <c r="D107" i="3"/>
  <c r="D107" i="22" s="1"/>
  <c r="E107" i="3"/>
  <c r="E107" i="22" s="1"/>
  <c r="F107" i="3"/>
  <c r="F107" i="22" s="1"/>
  <c r="G107" i="3"/>
  <c r="G107" i="22" s="1"/>
  <c r="H107" i="3"/>
  <c r="H107" i="22" s="1"/>
  <c r="I107" i="3"/>
  <c r="I107" i="22" s="1"/>
  <c r="J107" i="3"/>
  <c r="J107" i="22" s="1"/>
  <c r="K107" i="3"/>
  <c r="K107" i="22" s="1"/>
  <c r="L107" i="3"/>
  <c r="L107" i="22" s="1"/>
  <c r="M107" i="3"/>
  <c r="M107" i="22" s="1"/>
  <c r="N107" i="3"/>
  <c r="N107" i="22" s="1"/>
  <c r="O107" i="3"/>
  <c r="O107" i="22" s="1"/>
  <c r="P107" i="3"/>
  <c r="P107" i="22" s="1"/>
  <c r="Q107" i="3"/>
  <c r="Q107" i="22" s="1"/>
  <c r="R107" i="3"/>
  <c r="R107" i="22" s="1"/>
  <c r="S107" i="3"/>
  <c r="S107" i="22" s="1"/>
  <c r="T107" i="3"/>
  <c r="T107" i="22" s="1"/>
  <c r="U107" i="3"/>
  <c r="U107" i="22" s="1"/>
  <c r="V107" i="3"/>
  <c r="V107" i="22" s="1"/>
  <c r="W107" i="3"/>
  <c r="W107" i="22" s="1"/>
  <c r="X107" i="3"/>
  <c r="X107" i="22" s="1"/>
  <c r="Y107" i="3"/>
  <c r="Y107" i="22" s="1"/>
  <c r="Z107" i="3"/>
  <c r="Z107" i="22" s="1"/>
  <c r="AA107" i="3"/>
  <c r="AA107" i="22" s="1"/>
  <c r="AB107" i="3"/>
  <c r="AB107" i="22" s="1"/>
  <c r="AC107" i="3"/>
  <c r="AC107" i="22" s="1"/>
  <c r="AD107" i="3"/>
  <c r="AD107" i="22" s="1"/>
  <c r="AE107" i="3"/>
  <c r="AE107" i="22" s="1"/>
  <c r="AF107" i="3"/>
  <c r="AF107" i="22" s="1"/>
  <c r="AG107" i="3"/>
  <c r="AG107" i="22" s="1"/>
  <c r="AH107" i="3"/>
  <c r="AH107" i="22" s="1"/>
  <c r="AI107" i="3"/>
  <c r="AI107" i="22" s="1"/>
  <c r="AJ107" i="3"/>
  <c r="AJ107" i="22" s="1"/>
  <c r="AK107" i="3"/>
  <c r="AK107" i="22" s="1"/>
  <c r="AL107" i="3"/>
  <c r="AL107" i="22" s="1"/>
  <c r="AM107" i="3"/>
  <c r="AM107" i="22" s="1"/>
  <c r="AN107" i="3"/>
  <c r="AN107" i="22" s="1"/>
  <c r="AO107" i="3"/>
  <c r="AO107" i="22" s="1"/>
  <c r="AP107" i="3"/>
  <c r="AP107" i="22" s="1"/>
  <c r="AQ107" i="3"/>
  <c r="AQ107" i="22" s="1"/>
  <c r="AR107" i="3"/>
  <c r="AR107" i="22" s="1"/>
  <c r="AS107" i="3"/>
  <c r="AS107" i="22" s="1"/>
  <c r="AT107" i="3"/>
  <c r="AT107" i="22" s="1"/>
  <c r="AU107" i="3"/>
  <c r="AU107" i="22" s="1"/>
  <c r="AV107" i="3"/>
  <c r="AV107" i="22" s="1"/>
  <c r="AW107" i="3"/>
  <c r="AW107" i="22" s="1"/>
  <c r="AX107" i="3"/>
  <c r="AX107" i="22" s="1"/>
  <c r="B69" i="3"/>
  <c r="B69" i="22" s="1"/>
  <c r="C69" i="3"/>
  <c r="C69" i="22" s="1"/>
  <c r="D69" i="3"/>
  <c r="D69" i="22" s="1"/>
  <c r="E69" i="3"/>
  <c r="E69" i="22" s="1"/>
  <c r="F69" i="3"/>
  <c r="F69" i="22" s="1"/>
  <c r="G69" i="3"/>
  <c r="G69" i="22" s="1"/>
  <c r="H69" i="3"/>
  <c r="H69" i="22" s="1"/>
  <c r="I69" i="3"/>
  <c r="I69" i="22" s="1"/>
  <c r="J69" i="3"/>
  <c r="J69" i="22" s="1"/>
  <c r="K69" i="3"/>
  <c r="K69" i="22" s="1"/>
  <c r="L69" i="3"/>
  <c r="L69" i="22" s="1"/>
  <c r="M69" i="3"/>
  <c r="M69" i="22" s="1"/>
  <c r="N69" i="3"/>
  <c r="N69" i="22" s="1"/>
  <c r="O69" i="3"/>
  <c r="O69" i="22" s="1"/>
  <c r="P69" i="3"/>
  <c r="P69" i="22" s="1"/>
  <c r="Q69" i="3"/>
  <c r="Q69" i="22" s="1"/>
  <c r="R69" i="3"/>
  <c r="R69" i="22" s="1"/>
  <c r="S69" i="3"/>
  <c r="S69" i="22" s="1"/>
  <c r="T69" i="3"/>
  <c r="T69" i="22" s="1"/>
  <c r="U69" i="3"/>
  <c r="U69" i="22" s="1"/>
  <c r="V69" i="3"/>
  <c r="V69" i="22" s="1"/>
  <c r="W69" i="3"/>
  <c r="W69" i="22" s="1"/>
  <c r="X69" i="3"/>
  <c r="X69" i="22" s="1"/>
  <c r="Y69" i="3"/>
  <c r="Y69" i="22" s="1"/>
  <c r="Z69" i="3"/>
  <c r="Z69" i="22" s="1"/>
  <c r="AA69" i="3"/>
  <c r="AA69" i="22" s="1"/>
  <c r="AB69" i="3"/>
  <c r="AB69" i="22" s="1"/>
  <c r="AC69" i="3"/>
  <c r="AC69" i="22" s="1"/>
  <c r="AD69" i="3"/>
  <c r="AD69" i="22" s="1"/>
  <c r="AE69" i="3"/>
  <c r="AE69" i="22" s="1"/>
  <c r="AF69" i="3"/>
  <c r="AF69" i="22" s="1"/>
  <c r="AG69" i="3"/>
  <c r="AG69" i="22" s="1"/>
  <c r="AH69" i="3"/>
  <c r="AH69" i="22" s="1"/>
  <c r="AI69" i="3"/>
  <c r="AI69" i="22" s="1"/>
  <c r="AJ69" i="3"/>
  <c r="AJ69" i="22" s="1"/>
  <c r="AK69" i="3"/>
  <c r="AK69" i="22" s="1"/>
  <c r="AL69" i="3"/>
  <c r="AL69" i="22" s="1"/>
  <c r="AM69" i="3"/>
  <c r="AM69" i="22" s="1"/>
  <c r="AN69" i="3"/>
  <c r="AN69" i="22" s="1"/>
  <c r="AO69" i="3"/>
  <c r="AO69" i="22" s="1"/>
  <c r="AP69" i="3"/>
  <c r="AP69" i="22" s="1"/>
  <c r="AQ69" i="3"/>
  <c r="AQ69" i="22" s="1"/>
  <c r="AR69" i="3"/>
  <c r="AR69" i="22" s="1"/>
  <c r="AS69" i="3"/>
  <c r="AS69" i="22" s="1"/>
  <c r="AT69" i="3"/>
  <c r="AT69" i="22" s="1"/>
  <c r="AU69" i="3"/>
  <c r="AU69" i="22" s="1"/>
  <c r="AV69" i="3"/>
  <c r="AV69" i="22" s="1"/>
  <c r="AW69" i="3"/>
  <c r="AW69" i="22" s="1"/>
  <c r="AX69" i="3"/>
  <c r="AX69" i="22" s="1"/>
  <c r="B32" i="3"/>
  <c r="B32" i="22" s="1"/>
  <c r="C32" i="3"/>
  <c r="C32" i="22" s="1"/>
  <c r="D32" i="3"/>
  <c r="D32" i="22" s="1"/>
  <c r="E32" i="3"/>
  <c r="E32" i="22" s="1"/>
  <c r="F32" i="3"/>
  <c r="F32" i="22" s="1"/>
  <c r="G32" i="3"/>
  <c r="G32" i="22" s="1"/>
  <c r="H32" i="3"/>
  <c r="H32" i="22" s="1"/>
  <c r="I32" i="3"/>
  <c r="I32" i="22" s="1"/>
  <c r="J32" i="3"/>
  <c r="J32" i="22" s="1"/>
  <c r="K32" i="3"/>
  <c r="K32" i="22" s="1"/>
  <c r="L32" i="3"/>
  <c r="L32" i="22" s="1"/>
  <c r="M32" i="3"/>
  <c r="M32" i="22" s="1"/>
  <c r="N32" i="3"/>
  <c r="N32" i="22" s="1"/>
  <c r="O32" i="3"/>
  <c r="O32" i="22" s="1"/>
  <c r="P32" i="3"/>
  <c r="P32" i="22" s="1"/>
  <c r="Q32" i="3"/>
  <c r="Q32" i="22" s="1"/>
  <c r="R32" i="3"/>
  <c r="R32" i="22" s="1"/>
  <c r="S32" i="3"/>
  <c r="S32" i="22" s="1"/>
  <c r="T32" i="3"/>
  <c r="T32" i="22" s="1"/>
  <c r="U32" i="3"/>
  <c r="U32" i="22" s="1"/>
  <c r="V32" i="3"/>
  <c r="V32" i="22" s="1"/>
  <c r="W32" i="3"/>
  <c r="W32" i="22" s="1"/>
  <c r="X32" i="3"/>
  <c r="X32" i="22" s="1"/>
  <c r="Y32" i="3"/>
  <c r="Y32" i="22" s="1"/>
  <c r="Z32" i="3"/>
  <c r="Z32" i="22" s="1"/>
  <c r="AA32" i="3"/>
  <c r="AA32" i="22" s="1"/>
  <c r="AB32" i="3"/>
  <c r="AB32" i="22" s="1"/>
  <c r="AC32" i="3"/>
  <c r="AC32" i="22" s="1"/>
  <c r="AD32" i="3"/>
  <c r="AD32" i="22" s="1"/>
  <c r="AE32" i="3"/>
  <c r="AE32" i="22" s="1"/>
  <c r="AF32" i="3"/>
  <c r="AF32" i="22" s="1"/>
  <c r="AG32" i="3"/>
  <c r="AG32" i="22" s="1"/>
  <c r="AH32" i="3"/>
  <c r="AH32" i="22" s="1"/>
  <c r="AI32" i="3"/>
  <c r="AI32" i="22" s="1"/>
  <c r="AJ32" i="3"/>
  <c r="AJ32" i="22" s="1"/>
  <c r="AK32" i="3"/>
  <c r="AK32" i="22" s="1"/>
  <c r="AL32" i="3"/>
  <c r="AL32" i="22" s="1"/>
  <c r="AM32" i="3"/>
  <c r="AM32" i="22" s="1"/>
  <c r="AN32" i="3"/>
  <c r="AN32" i="22" s="1"/>
  <c r="AO32" i="3"/>
  <c r="AO32" i="22" s="1"/>
  <c r="AP32" i="3"/>
  <c r="AP32" i="22" s="1"/>
  <c r="AQ32" i="3"/>
  <c r="AQ32" i="22" s="1"/>
  <c r="AR32" i="3"/>
  <c r="AR32" i="22" s="1"/>
  <c r="AS32" i="3"/>
  <c r="AS32" i="22" s="1"/>
  <c r="AT32" i="3"/>
  <c r="AT32" i="22" s="1"/>
  <c r="AU32" i="3"/>
  <c r="AU32" i="22" s="1"/>
  <c r="AV32" i="3"/>
  <c r="AV32" i="22" s="1"/>
  <c r="AW32" i="3"/>
  <c r="AW32" i="22" s="1"/>
  <c r="AX32" i="3"/>
  <c r="AX32" i="22" s="1"/>
  <c r="B39" i="3"/>
  <c r="B39" i="22" s="1"/>
  <c r="C39" i="3"/>
  <c r="C39" i="22" s="1"/>
  <c r="D39" i="3"/>
  <c r="D39" i="22" s="1"/>
  <c r="E39" i="3"/>
  <c r="E39" i="22" s="1"/>
  <c r="F39" i="3"/>
  <c r="F39" i="22" s="1"/>
  <c r="G39" i="3"/>
  <c r="G39" i="22" s="1"/>
  <c r="H39" i="3"/>
  <c r="H39" i="22" s="1"/>
  <c r="I39" i="3"/>
  <c r="I39" i="22" s="1"/>
  <c r="J39" i="3"/>
  <c r="J39" i="22" s="1"/>
  <c r="K39" i="3"/>
  <c r="K39" i="22" s="1"/>
  <c r="L39" i="3"/>
  <c r="L39" i="22" s="1"/>
  <c r="M39" i="3"/>
  <c r="M39" i="22" s="1"/>
  <c r="N39" i="3"/>
  <c r="N39" i="22" s="1"/>
  <c r="O39" i="3"/>
  <c r="O39" i="22" s="1"/>
  <c r="P39" i="3"/>
  <c r="P39" i="22" s="1"/>
  <c r="Q39" i="3"/>
  <c r="Q39" i="22" s="1"/>
  <c r="R39" i="3"/>
  <c r="R39" i="22" s="1"/>
  <c r="S39" i="3"/>
  <c r="S39" i="22" s="1"/>
  <c r="T39" i="3"/>
  <c r="T39" i="22" s="1"/>
  <c r="U39" i="3"/>
  <c r="U39" i="22" s="1"/>
  <c r="V39" i="3"/>
  <c r="V39" i="22" s="1"/>
  <c r="W39" i="3"/>
  <c r="W39" i="22" s="1"/>
  <c r="X39" i="3"/>
  <c r="X39" i="22" s="1"/>
  <c r="Y39" i="3"/>
  <c r="Y39" i="22" s="1"/>
  <c r="Z39" i="3"/>
  <c r="Z39" i="22" s="1"/>
  <c r="AA39" i="3"/>
  <c r="AA39" i="22" s="1"/>
  <c r="AB39" i="3"/>
  <c r="AB39" i="22" s="1"/>
  <c r="AC39" i="3"/>
  <c r="AC39" i="22" s="1"/>
  <c r="AD39" i="3"/>
  <c r="AD39" i="22" s="1"/>
  <c r="AE39" i="3"/>
  <c r="AE39" i="22" s="1"/>
  <c r="AF39" i="3"/>
  <c r="AF39" i="22" s="1"/>
  <c r="AG39" i="3"/>
  <c r="AG39" i="22" s="1"/>
  <c r="AH39" i="3"/>
  <c r="AH39" i="22" s="1"/>
  <c r="AI39" i="3"/>
  <c r="AI39" i="22" s="1"/>
  <c r="AJ39" i="3"/>
  <c r="AJ39" i="22" s="1"/>
  <c r="AK39" i="3"/>
  <c r="AK39" i="22" s="1"/>
  <c r="AL39" i="3"/>
  <c r="AL39" i="22" s="1"/>
  <c r="AM39" i="3"/>
  <c r="AM39" i="22" s="1"/>
  <c r="AN39" i="3"/>
  <c r="AN39" i="22" s="1"/>
  <c r="AO39" i="3"/>
  <c r="AO39" i="22" s="1"/>
  <c r="AP39" i="3"/>
  <c r="AP39" i="22" s="1"/>
  <c r="AQ39" i="3"/>
  <c r="AQ39" i="22" s="1"/>
  <c r="AR39" i="3"/>
  <c r="AR39" i="22" s="1"/>
  <c r="AS39" i="3"/>
  <c r="AS39" i="22" s="1"/>
  <c r="AT39" i="3"/>
  <c r="AT39" i="22" s="1"/>
  <c r="AU39" i="3"/>
  <c r="AU39" i="22" s="1"/>
  <c r="AV39" i="3"/>
  <c r="AV39" i="22" s="1"/>
  <c r="AW39" i="3"/>
  <c r="AW39" i="22" s="1"/>
  <c r="AX39" i="3"/>
  <c r="AX39" i="22" s="1"/>
  <c r="B46" i="3"/>
  <c r="B46" i="22" s="1"/>
  <c r="C46" i="3"/>
  <c r="C46" i="22" s="1"/>
  <c r="D46" i="3"/>
  <c r="D46" i="22" s="1"/>
  <c r="E46" i="3"/>
  <c r="E46" i="22" s="1"/>
  <c r="F46" i="3"/>
  <c r="F46" i="22" s="1"/>
  <c r="G46" i="3"/>
  <c r="G46" i="22" s="1"/>
  <c r="H46" i="3"/>
  <c r="H46" i="22" s="1"/>
  <c r="I46" i="3"/>
  <c r="I46" i="22" s="1"/>
  <c r="J46" i="3"/>
  <c r="J46" i="22" s="1"/>
  <c r="K46" i="3"/>
  <c r="K46" i="22" s="1"/>
  <c r="L46" i="3"/>
  <c r="L46" i="22" s="1"/>
  <c r="M46" i="3"/>
  <c r="M46" i="22" s="1"/>
  <c r="N46" i="3"/>
  <c r="N46" i="22" s="1"/>
  <c r="O46" i="3"/>
  <c r="O46" i="22" s="1"/>
  <c r="P46" i="3"/>
  <c r="P46" i="22" s="1"/>
  <c r="Q46" i="3"/>
  <c r="Q46" i="22" s="1"/>
  <c r="R46" i="3"/>
  <c r="R46" i="22" s="1"/>
  <c r="S46" i="3"/>
  <c r="S46" i="22" s="1"/>
  <c r="T46" i="3"/>
  <c r="T46" i="22" s="1"/>
  <c r="U46" i="3"/>
  <c r="U46" i="22" s="1"/>
  <c r="V46" i="3"/>
  <c r="V46" i="22" s="1"/>
  <c r="W46" i="3"/>
  <c r="W46" i="22" s="1"/>
  <c r="X46" i="3"/>
  <c r="X46" i="22" s="1"/>
  <c r="Y46" i="3"/>
  <c r="Y46" i="22" s="1"/>
  <c r="Z46" i="3"/>
  <c r="Z46" i="22" s="1"/>
  <c r="AA46" i="3"/>
  <c r="AA46" i="22" s="1"/>
  <c r="AB46" i="3"/>
  <c r="AB46" i="22" s="1"/>
  <c r="AC46" i="3"/>
  <c r="AC46" i="22" s="1"/>
  <c r="AD46" i="3"/>
  <c r="AD46" i="22" s="1"/>
  <c r="AE46" i="3"/>
  <c r="AE46" i="22" s="1"/>
  <c r="AF46" i="3"/>
  <c r="AF46" i="22" s="1"/>
  <c r="AG46" i="3"/>
  <c r="AG46" i="22" s="1"/>
  <c r="AH46" i="3"/>
  <c r="AH46" i="22" s="1"/>
  <c r="AI46" i="3"/>
  <c r="AI46" i="22" s="1"/>
  <c r="AJ46" i="3"/>
  <c r="AJ46" i="22" s="1"/>
  <c r="AK46" i="3"/>
  <c r="AK46" i="22" s="1"/>
  <c r="AL46" i="3"/>
  <c r="AL46" i="22" s="1"/>
  <c r="AM46" i="3"/>
  <c r="AM46" i="22" s="1"/>
  <c r="AN46" i="3"/>
  <c r="AN46" i="22" s="1"/>
  <c r="AO46" i="3"/>
  <c r="AO46" i="22" s="1"/>
  <c r="AP46" i="3"/>
  <c r="AP46" i="22" s="1"/>
  <c r="AQ46" i="3"/>
  <c r="AQ46" i="22" s="1"/>
  <c r="AR46" i="3"/>
  <c r="AR46" i="22" s="1"/>
  <c r="AS46" i="3"/>
  <c r="AS46" i="22" s="1"/>
  <c r="AT46" i="3"/>
  <c r="AT46" i="22" s="1"/>
  <c r="AU46" i="3"/>
  <c r="AU46" i="22" s="1"/>
  <c r="AV46" i="3"/>
  <c r="AV46" i="22" s="1"/>
  <c r="AW46" i="3"/>
  <c r="AW46" i="22" s="1"/>
  <c r="AX46" i="3"/>
  <c r="AX46" i="22" s="1"/>
  <c r="B4" i="3"/>
  <c r="B4" i="22" s="1"/>
  <c r="C4" i="3"/>
  <c r="C4" i="22" s="1"/>
  <c r="D4" i="3"/>
  <c r="D4" i="22" s="1"/>
  <c r="E4" i="3"/>
  <c r="E4" i="22" s="1"/>
  <c r="F4" i="3"/>
  <c r="F4" i="22" s="1"/>
  <c r="G4" i="3"/>
  <c r="G4" i="22" s="1"/>
  <c r="H4" i="3"/>
  <c r="H4" i="22" s="1"/>
  <c r="I4" i="3"/>
  <c r="I4" i="22" s="1"/>
  <c r="J4" i="3"/>
  <c r="J4" i="22" s="1"/>
  <c r="K4" i="3"/>
  <c r="K4" i="22" s="1"/>
  <c r="L4" i="3"/>
  <c r="L4" i="22" s="1"/>
  <c r="M4" i="3"/>
  <c r="M4" i="22" s="1"/>
  <c r="N4" i="3"/>
  <c r="N4" i="22" s="1"/>
  <c r="O4" i="3"/>
  <c r="O4" i="22" s="1"/>
  <c r="P4" i="3"/>
  <c r="P4" i="22" s="1"/>
  <c r="Q4" i="3"/>
  <c r="Q4" i="22" s="1"/>
  <c r="R4" i="3"/>
  <c r="R4" i="22" s="1"/>
  <c r="S4" i="3"/>
  <c r="S4" i="22" s="1"/>
  <c r="T4" i="3"/>
  <c r="T4" i="22" s="1"/>
  <c r="U4" i="3"/>
  <c r="U4" i="22" s="1"/>
  <c r="V4" i="3"/>
  <c r="V4" i="22" s="1"/>
  <c r="W4" i="3"/>
  <c r="W4" i="22" s="1"/>
  <c r="X4" i="3"/>
  <c r="X4" i="22" s="1"/>
  <c r="Y4" i="3"/>
  <c r="Y4" i="22" s="1"/>
  <c r="Z4" i="3"/>
  <c r="Z4" i="22" s="1"/>
  <c r="AA4" i="3"/>
  <c r="AA4" i="22" s="1"/>
  <c r="AB4" i="3"/>
  <c r="AB4" i="22" s="1"/>
  <c r="AC4" i="3"/>
  <c r="AC4" i="22" s="1"/>
  <c r="AD4" i="3"/>
  <c r="AD4" i="22" s="1"/>
  <c r="AE4" i="3"/>
  <c r="AE4" i="22" s="1"/>
  <c r="AF4" i="3"/>
  <c r="AF4" i="22" s="1"/>
  <c r="AG4" i="3"/>
  <c r="AG4" i="22" s="1"/>
  <c r="AH4" i="3"/>
  <c r="AH4" i="22" s="1"/>
  <c r="AI4" i="3"/>
  <c r="AI4" i="22" s="1"/>
  <c r="AJ4" i="3"/>
  <c r="AJ4" i="22" s="1"/>
  <c r="AK4" i="3"/>
  <c r="AK4" i="22" s="1"/>
  <c r="AL4" i="3"/>
  <c r="AL4" i="22" s="1"/>
  <c r="AM4" i="3"/>
  <c r="AM4" i="22" s="1"/>
  <c r="AN4" i="3"/>
  <c r="AN4" i="22" s="1"/>
  <c r="AO4" i="3"/>
  <c r="AO4" i="22" s="1"/>
  <c r="AP4" i="3"/>
  <c r="AP4" i="22" s="1"/>
  <c r="AQ4" i="3"/>
  <c r="AQ4" i="22" s="1"/>
  <c r="AR4" i="3"/>
  <c r="AR4" i="22" s="1"/>
  <c r="AS4" i="3"/>
  <c r="AS4" i="22" s="1"/>
  <c r="AT4" i="3"/>
  <c r="AT4" i="22" s="1"/>
  <c r="AU4" i="3"/>
  <c r="AU4" i="22" s="1"/>
  <c r="AV4" i="3"/>
  <c r="AV4" i="22" s="1"/>
  <c r="AW4" i="3"/>
  <c r="AW4" i="22" s="1"/>
  <c r="AX4" i="3"/>
  <c r="AX4" i="22" s="1"/>
  <c r="B34" i="3"/>
  <c r="B34" i="22" s="1"/>
  <c r="C34" i="3"/>
  <c r="C34" i="22" s="1"/>
  <c r="D34" i="3"/>
  <c r="D34" i="22" s="1"/>
  <c r="E34" i="3"/>
  <c r="E34" i="22" s="1"/>
  <c r="F34" i="3"/>
  <c r="F34" i="22" s="1"/>
  <c r="G34" i="3"/>
  <c r="G34" i="22" s="1"/>
  <c r="H34" i="3"/>
  <c r="H34" i="22" s="1"/>
  <c r="I34" i="3"/>
  <c r="I34" i="22" s="1"/>
  <c r="J34" i="3"/>
  <c r="J34" i="22" s="1"/>
  <c r="K34" i="3"/>
  <c r="K34" i="22" s="1"/>
  <c r="L34" i="3"/>
  <c r="L34" i="22" s="1"/>
  <c r="M34" i="3"/>
  <c r="M34" i="22" s="1"/>
  <c r="N34" i="3"/>
  <c r="N34" i="22" s="1"/>
  <c r="O34" i="3"/>
  <c r="O34" i="22" s="1"/>
  <c r="P34" i="3"/>
  <c r="P34" i="22" s="1"/>
  <c r="Q34" i="3"/>
  <c r="Q34" i="22" s="1"/>
  <c r="R34" i="3"/>
  <c r="R34" i="22" s="1"/>
  <c r="S34" i="3"/>
  <c r="S34" i="22" s="1"/>
  <c r="T34" i="3"/>
  <c r="T34" i="22" s="1"/>
  <c r="U34" i="3"/>
  <c r="U34" i="22" s="1"/>
  <c r="V34" i="3"/>
  <c r="V34" i="22" s="1"/>
  <c r="W34" i="3"/>
  <c r="W34" i="22" s="1"/>
  <c r="X34" i="3"/>
  <c r="X34" i="22" s="1"/>
  <c r="Y34" i="3"/>
  <c r="Y34" i="22" s="1"/>
  <c r="Z34" i="3"/>
  <c r="Z34" i="22" s="1"/>
  <c r="AA34" i="3"/>
  <c r="AA34" i="22" s="1"/>
  <c r="AB34" i="3"/>
  <c r="AB34" i="22" s="1"/>
  <c r="AC34" i="3"/>
  <c r="AC34" i="22" s="1"/>
  <c r="AD34" i="3"/>
  <c r="AD34" i="22" s="1"/>
  <c r="AE34" i="3"/>
  <c r="AE34" i="22" s="1"/>
  <c r="AF34" i="3"/>
  <c r="AF34" i="22" s="1"/>
  <c r="AG34" i="3"/>
  <c r="AG34" i="22" s="1"/>
  <c r="AH34" i="3"/>
  <c r="AH34" i="22" s="1"/>
  <c r="AI34" i="3"/>
  <c r="AI34" i="22" s="1"/>
  <c r="AJ34" i="3"/>
  <c r="AJ34" i="22" s="1"/>
  <c r="AK34" i="3"/>
  <c r="AK34" i="22" s="1"/>
  <c r="AL34" i="3"/>
  <c r="AL34" i="22" s="1"/>
  <c r="AM34" i="3"/>
  <c r="AM34" i="22" s="1"/>
  <c r="AN34" i="3"/>
  <c r="AN34" i="22" s="1"/>
  <c r="AO34" i="3"/>
  <c r="AO34" i="22" s="1"/>
  <c r="AP34" i="3"/>
  <c r="AP34" i="22" s="1"/>
  <c r="AQ34" i="3"/>
  <c r="AQ34" i="22" s="1"/>
  <c r="AR34" i="3"/>
  <c r="AR34" i="22" s="1"/>
  <c r="AS34" i="3"/>
  <c r="AS34" i="22" s="1"/>
  <c r="AT34" i="3"/>
  <c r="AT34" i="22" s="1"/>
  <c r="AU34" i="3"/>
  <c r="AU34" i="22" s="1"/>
  <c r="AV34" i="3"/>
  <c r="AV34" i="22" s="1"/>
  <c r="AW34" i="3"/>
  <c r="AW34" i="22" s="1"/>
  <c r="AX34" i="3"/>
  <c r="AX34" i="22" s="1"/>
  <c r="B35" i="3"/>
  <c r="B35" i="22" s="1"/>
  <c r="C35" i="3"/>
  <c r="C35" i="22" s="1"/>
  <c r="D35" i="3"/>
  <c r="D35" i="22" s="1"/>
  <c r="E35" i="3"/>
  <c r="E35" i="22" s="1"/>
  <c r="F35" i="3"/>
  <c r="F35" i="22" s="1"/>
  <c r="G35" i="3"/>
  <c r="G35" i="22" s="1"/>
  <c r="H35" i="3"/>
  <c r="H35" i="22" s="1"/>
  <c r="I35" i="3"/>
  <c r="I35" i="22" s="1"/>
  <c r="J35" i="3"/>
  <c r="J35" i="22" s="1"/>
  <c r="K35" i="3"/>
  <c r="K35" i="22" s="1"/>
  <c r="L35" i="3"/>
  <c r="L35" i="22" s="1"/>
  <c r="M35" i="3"/>
  <c r="M35" i="22" s="1"/>
  <c r="N35" i="3"/>
  <c r="N35" i="22" s="1"/>
  <c r="O35" i="3"/>
  <c r="O35" i="22" s="1"/>
  <c r="P35" i="3"/>
  <c r="P35" i="22" s="1"/>
  <c r="Q35" i="3"/>
  <c r="Q35" i="22" s="1"/>
  <c r="R35" i="3"/>
  <c r="R35" i="22" s="1"/>
  <c r="S35" i="3"/>
  <c r="S35" i="22" s="1"/>
  <c r="T35" i="3"/>
  <c r="T35" i="22" s="1"/>
  <c r="U35" i="3"/>
  <c r="U35" i="22" s="1"/>
  <c r="V35" i="3"/>
  <c r="V35" i="22" s="1"/>
  <c r="W35" i="3"/>
  <c r="W35" i="22" s="1"/>
  <c r="X35" i="3"/>
  <c r="X35" i="22" s="1"/>
  <c r="Y35" i="3"/>
  <c r="Y35" i="22" s="1"/>
  <c r="Z35" i="3"/>
  <c r="Z35" i="22" s="1"/>
  <c r="AA35" i="3"/>
  <c r="AA35" i="22" s="1"/>
  <c r="AB35" i="3"/>
  <c r="AB35" i="22" s="1"/>
  <c r="AC35" i="3"/>
  <c r="AC35" i="22" s="1"/>
  <c r="AD35" i="3"/>
  <c r="AD35" i="22" s="1"/>
  <c r="AE35" i="3"/>
  <c r="AE35" i="22" s="1"/>
  <c r="AF35" i="3"/>
  <c r="AF35" i="22" s="1"/>
  <c r="AG35" i="3"/>
  <c r="AG35" i="22" s="1"/>
  <c r="AH35" i="3"/>
  <c r="AH35" i="22" s="1"/>
  <c r="AI35" i="3"/>
  <c r="AI35" i="22" s="1"/>
  <c r="AJ35" i="3"/>
  <c r="AJ35" i="22" s="1"/>
  <c r="AK35" i="3"/>
  <c r="AK35" i="22" s="1"/>
  <c r="AL35" i="3"/>
  <c r="AL35" i="22" s="1"/>
  <c r="AM35" i="3"/>
  <c r="AM35" i="22" s="1"/>
  <c r="AN35" i="3"/>
  <c r="AN35" i="22" s="1"/>
  <c r="AO35" i="3"/>
  <c r="AO35" i="22" s="1"/>
  <c r="AP35" i="3"/>
  <c r="AP35" i="22" s="1"/>
  <c r="AQ35" i="3"/>
  <c r="AQ35" i="22" s="1"/>
  <c r="AR35" i="3"/>
  <c r="AR35" i="22" s="1"/>
  <c r="AS35" i="3"/>
  <c r="AS35" i="22" s="1"/>
  <c r="AT35" i="3"/>
  <c r="AT35" i="22" s="1"/>
  <c r="AU35" i="3"/>
  <c r="AU35" i="22" s="1"/>
  <c r="AV35" i="3"/>
  <c r="AV35" i="22" s="1"/>
  <c r="AW35" i="3"/>
  <c r="AW35" i="22" s="1"/>
  <c r="AX35" i="3"/>
  <c r="AX35" i="22" s="1"/>
  <c r="B27" i="3"/>
  <c r="B27" i="22" s="1"/>
  <c r="C27" i="3"/>
  <c r="C27" i="22" s="1"/>
  <c r="D27" i="3"/>
  <c r="D27" i="22" s="1"/>
  <c r="E27" i="3"/>
  <c r="E27" i="22" s="1"/>
  <c r="F27" i="3"/>
  <c r="F27" i="22" s="1"/>
  <c r="G27" i="3"/>
  <c r="G27" i="22" s="1"/>
  <c r="H27" i="3"/>
  <c r="H27" i="22" s="1"/>
  <c r="I27" i="3"/>
  <c r="I27" i="22" s="1"/>
  <c r="J27" i="3"/>
  <c r="J27" i="22" s="1"/>
  <c r="K27" i="3"/>
  <c r="K27" i="22" s="1"/>
  <c r="L27" i="3"/>
  <c r="L27" i="22" s="1"/>
  <c r="M27" i="3"/>
  <c r="M27" i="22" s="1"/>
  <c r="N27" i="3"/>
  <c r="N27" i="22" s="1"/>
  <c r="O27" i="3"/>
  <c r="O27" i="22" s="1"/>
  <c r="P27" i="3"/>
  <c r="P27" i="22" s="1"/>
  <c r="Q27" i="3"/>
  <c r="Q27" i="22" s="1"/>
  <c r="R27" i="3"/>
  <c r="R27" i="22" s="1"/>
  <c r="S27" i="3"/>
  <c r="S27" i="22" s="1"/>
  <c r="T27" i="3"/>
  <c r="T27" i="22" s="1"/>
  <c r="U27" i="3"/>
  <c r="U27" i="22" s="1"/>
  <c r="V27" i="3"/>
  <c r="V27" i="22" s="1"/>
  <c r="W27" i="3"/>
  <c r="W27" i="22" s="1"/>
  <c r="X27" i="3"/>
  <c r="X27" i="22" s="1"/>
  <c r="Y27" i="3"/>
  <c r="Y27" i="22" s="1"/>
  <c r="Z27" i="3"/>
  <c r="Z27" i="22" s="1"/>
  <c r="AA27" i="3"/>
  <c r="AA27" i="22" s="1"/>
  <c r="AB27" i="3"/>
  <c r="AB27" i="22" s="1"/>
  <c r="AC27" i="3"/>
  <c r="AC27" i="22" s="1"/>
  <c r="AD27" i="3"/>
  <c r="AD27" i="22" s="1"/>
  <c r="AE27" i="3"/>
  <c r="AE27" i="22" s="1"/>
  <c r="AF27" i="3"/>
  <c r="AF27" i="22" s="1"/>
  <c r="AG27" i="3"/>
  <c r="AG27" i="22" s="1"/>
  <c r="AH27" i="3"/>
  <c r="AH27" i="22" s="1"/>
  <c r="AI27" i="3"/>
  <c r="AI27" i="22" s="1"/>
  <c r="AJ27" i="3"/>
  <c r="AJ27" i="22" s="1"/>
  <c r="AK27" i="3"/>
  <c r="AK27" i="22" s="1"/>
  <c r="AL27" i="3"/>
  <c r="AL27" i="22" s="1"/>
  <c r="AM27" i="3"/>
  <c r="AM27" i="22" s="1"/>
  <c r="AN27" i="3"/>
  <c r="AN27" i="22" s="1"/>
  <c r="AO27" i="3"/>
  <c r="AO27" i="22" s="1"/>
  <c r="AP27" i="3"/>
  <c r="AP27" i="22" s="1"/>
  <c r="AQ27" i="3"/>
  <c r="AQ27" i="22" s="1"/>
  <c r="AR27" i="3"/>
  <c r="AR27" i="22" s="1"/>
  <c r="AS27" i="3"/>
  <c r="AS27" i="22" s="1"/>
  <c r="AT27" i="3"/>
  <c r="AT27" i="22" s="1"/>
  <c r="AU27" i="3"/>
  <c r="AU27" i="22" s="1"/>
  <c r="AV27" i="3"/>
  <c r="AV27" i="22" s="1"/>
  <c r="AW27" i="3"/>
  <c r="AW27" i="22" s="1"/>
  <c r="AX27" i="3"/>
  <c r="AX27" i="22" s="1"/>
  <c r="B3" i="3"/>
  <c r="B3" i="22" s="1"/>
  <c r="C3" i="3"/>
  <c r="C3" i="22" s="1"/>
  <c r="D3" i="3"/>
  <c r="D3" i="22" s="1"/>
  <c r="E3" i="3"/>
  <c r="E3" i="22" s="1"/>
  <c r="F3" i="3"/>
  <c r="F3" i="22" s="1"/>
  <c r="G3" i="3"/>
  <c r="G3" i="22" s="1"/>
  <c r="H3" i="3"/>
  <c r="H3" i="22" s="1"/>
  <c r="I3" i="3"/>
  <c r="I3" i="22" s="1"/>
  <c r="J3" i="3"/>
  <c r="J3" i="22" s="1"/>
  <c r="K3" i="3"/>
  <c r="K3" i="22" s="1"/>
  <c r="L3" i="3"/>
  <c r="L3" i="22" s="1"/>
  <c r="M3" i="3"/>
  <c r="M3" i="22" s="1"/>
  <c r="N3" i="3"/>
  <c r="N3" i="22" s="1"/>
  <c r="O3" i="3"/>
  <c r="O3" i="22" s="1"/>
  <c r="P3" i="3"/>
  <c r="P3" i="22" s="1"/>
  <c r="Q3" i="3"/>
  <c r="Q3" i="22" s="1"/>
  <c r="R3" i="3"/>
  <c r="R3" i="22" s="1"/>
  <c r="S3" i="3"/>
  <c r="S3" i="22" s="1"/>
  <c r="T3" i="3"/>
  <c r="T3" i="22" s="1"/>
  <c r="U3" i="3"/>
  <c r="U3" i="22" s="1"/>
  <c r="V3" i="3"/>
  <c r="V3" i="22" s="1"/>
  <c r="W3" i="3"/>
  <c r="W3" i="22" s="1"/>
  <c r="X3" i="3"/>
  <c r="X3" i="22" s="1"/>
  <c r="Y3" i="3"/>
  <c r="Y3" i="22" s="1"/>
  <c r="Z3" i="3"/>
  <c r="Z3" i="22" s="1"/>
  <c r="AA3" i="3"/>
  <c r="AA3" i="22" s="1"/>
  <c r="AB3" i="3"/>
  <c r="AB3" i="22" s="1"/>
  <c r="AC3" i="3"/>
  <c r="AC3" i="22" s="1"/>
  <c r="AD3" i="3"/>
  <c r="AD3" i="22" s="1"/>
  <c r="AE3" i="3"/>
  <c r="AE3" i="22" s="1"/>
  <c r="AF3" i="3"/>
  <c r="AF3" i="22" s="1"/>
  <c r="AG3" i="3"/>
  <c r="AG3" i="22" s="1"/>
  <c r="AH3" i="3"/>
  <c r="AH3" i="22" s="1"/>
  <c r="AI3" i="3"/>
  <c r="AI3" i="22" s="1"/>
  <c r="AJ3" i="3"/>
  <c r="AJ3" i="22" s="1"/>
  <c r="AK3" i="3"/>
  <c r="AK3" i="22" s="1"/>
  <c r="AL3" i="3"/>
  <c r="AL3" i="22" s="1"/>
  <c r="AM3" i="3"/>
  <c r="AM3" i="22" s="1"/>
  <c r="AN3" i="3"/>
  <c r="AN3" i="22" s="1"/>
  <c r="AO3" i="3"/>
  <c r="AO3" i="22" s="1"/>
  <c r="AP3" i="3"/>
  <c r="AP3" i="22" s="1"/>
  <c r="AQ3" i="3"/>
  <c r="AQ3" i="22" s="1"/>
  <c r="AR3" i="3"/>
  <c r="AR3" i="22" s="1"/>
  <c r="AS3" i="3"/>
  <c r="AS3" i="22" s="1"/>
  <c r="AT3" i="3"/>
  <c r="AT3" i="22" s="1"/>
  <c r="AU3" i="3"/>
  <c r="AU3" i="22" s="1"/>
  <c r="AV3" i="3"/>
  <c r="AV3" i="22" s="1"/>
  <c r="AW3" i="3"/>
  <c r="AW3" i="22" s="1"/>
  <c r="AX3" i="3"/>
  <c r="AX3" i="22" s="1"/>
  <c r="B84" i="3"/>
  <c r="B84" i="22" s="1"/>
  <c r="C84" i="3"/>
  <c r="C84" i="22" s="1"/>
  <c r="D84" i="3"/>
  <c r="D84" i="22" s="1"/>
  <c r="E84" i="3"/>
  <c r="E84" i="22" s="1"/>
  <c r="F84" i="3"/>
  <c r="F84" i="22" s="1"/>
  <c r="G84" i="3"/>
  <c r="G84" i="22" s="1"/>
  <c r="H84" i="3"/>
  <c r="H84" i="22" s="1"/>
  <c r="I84" i="3"/>
  <c r="I84" i="22" s="1"/>
  <c r="J84" i="3"/>
  <c r="J84" i="22" s="1"/>
  <c r="K84" i="3"/>
  <c r="K84" i="22" s="1"/>
  <c r="L84" i="3"/>
  <c r="L84" i="22" s="1"/>
  <c r="M84" i="3"/>
  <c r="M84" i="22" s="1"/>
  <c r="N84" i="3"/>
  <c r="N84" i="22" s="1"/>
  <c r="O84" i="3"/>
  <c r="O84" i="22" s="1"/>
  <c r="P84" i="3"/>
  <c r="P84" i="22" s="1"/>
  <c r="Q84" i="3"/>
  <c r="Q84" i="22" s="1"/>
  <c r="R84" i="3"/>
  <c r="R84" i="22" s="1"/>
  <c r="S84" i="3"/>
  <c r="S84" i="22" s="1"/>
  <c r="T84" i="3"/>
  <c r="T84" i="22" s="1"/>
  <c r="U84" i="3"/>
  <c r="U84" i="22" s="1"/>
  <c r="V84" i="3"/>
  <c r="V84" i="22" s="1"/>
  <c r="W84" i="3"/>
  <c r="W84" i="22" s="1"/>
  <c r="X84" i="3"/>
  <c r="X84" i="22" s="1"/>
  <c r="Y84" i="3"/>
  <c r="Y84" i="22" s="1"/>
  <c r="Z84" i="3"/>
  <c r="Z84" i="22" s="1"/>
  <c r="AA84" i="3"/>
  <c r="AA84" i="22" s="1"/>
  <c r="AB84" i="3"/>
  <c r="AB84" i="22" s="1"/>
  <c r="AC84" i="3"/>
  <c r="AC84" i="22" s="1"/>
  <c r="AD84" i="3"/>
  <c r="AD84" i="22" s="1"/>
  <c r="AE84" i="3"/>
  <c r="AE84" i="22" s="1"/>
  <c r="AF84" i="3"/>
  <c r="AF84" i="22" s="1"/>
  <c r="AG84" i="3"/>
  <c r="AG84" i="22" s="1"/>
  <c r="AH84" i="3"/>
  <c r="AH84" i="22" s="1"/>
  <c r="AI84" i="3"/>
  <c r="AI84" i="22" s="1"/>
  <c r="AJ84" i="3"/>
  <c r="AJ84" i="22" s="1"/>
  <c r="AK84" i="3"/>
  <c r="AK84" i="22" s="1"/>
  <c r="AL84" i="3"/>
  <c r="AL84" i="22" s="1"/>
  <c r="AM84" i="3"/>
  <c r="AM84" i="22" s="1"/>
  <c r="AN84" i="3"/>
  <c r="AN84" i="22" s="1"/>
  <c r="AO84" i="3"/>
  <c r="AO84" i="22" s="1"/>
  <c r="AP84" i="3"/>
  <c r="AP84" i="22" s="1"/>
  <c r="AQ84" i="3"/>
  <c r="AQ84" i="22" s="1"/>
  <c r="AR84" i="3"/>
  <c r="AR84" i="22" s="1"/>
  <c r="AS84" i="3"/>
  <c r="AS84" i="22" s="1"/>
  <c r="AT84" i="3"/>
  <c r="AT84" i="22" s="1"/>
  <c r="AU84" i="3"/>
  <c r="AU84" i="22" s="1"/>
  <c r="AV84" i="3"/>
  <c r="AV84" i="22" s="1"/>
  <c r="AW84" i="3"/>
  <c r="AW84" i="22" s="1"/>
  <c r="AX84" i="3"/>
  <c r="AX84" i="22" s="1"/>
  <c r="B16" i="3"/>
  <c r="B16" i="22" s="1"/>
  <c r="C16" i="3"/>
  <c r="C16" i="22" s="1"/>
  <c r="D16" i="3"/>
  <c r="D16" i="22" s="1"/>
  <c r="E16" i="3"/>
  <c r="E16" i="22" s="1"/>
  <c r="F16" i="3"/>
  <c r="F16" i="22" s="1"/>
  <c r="G16" i="3"/>
  <c r="G16" i="22" s="1"/>
  <c r="H16" i="3"/>
  <c r="H16" i="22" s="1"/>
  <c r="I16" i="3"/>
  <c r="I16" i="22" s="1"/>
  <c r="J16" i="3"/>
  <c r="J16" i="22" s="1"/>
  <c r="K16" i="3"/>
  <c r="K16" i="22" s="1"/>
  <c r="L16" i="3"/>
  <c r="L16" i="22" s="1"/>
  <c r="M16" i="3"/>
  <c r="M16" i="22" s="1"/>
  <c r="N16" i="3"/>
  <c r="N16" i="22" s="1"/>
  <c r="O16" i="3"/>
  <c r="O16" i="22" s="1"/>
  <c r="P16" i="3"/>
  <c r="P16" i="22" s="1"/>
  <c r="Q16" i="3"/>
  <c r="Q16" i="22" s="1"/>
  <c r="R16" i="3"/>
  <c r="R16" i="22" s="1"/>
  <c r="S16" i="3"/>
  <c r="S16" i="22" s="1"/>
  <c r="T16" i="3"/>
  <c r="T16" i="22" s="1"/>
  <c r="U16" i="3"/>
  <c r="U16" i="22" s="1"/>
  <c r="V16" i="3"/>
  <c r="V16" i="22" s="1"/>
  <c r="W16" i="3"/>
  <c r="W16" i="22" s="1"/>
  <c r="X16" i="3"/>
  <c r="X16" i="22" s="1"/>
  <c r="Y16" i="3"/>
  <c r="Y16" i="22" s="1"/>
  <c r="Z16" i="3"/>
  <c r="Z16" i="22" s="1"/>
  <c r="AA16" i="3"/>
  <c r="AA16" i="22" s="1"/>
  <c r="AB16" i="3"/>
  <c r="AB16" i="22" s="1"/>
  <c r="AC16" i="3"/>
  <c r="AC16" i="22" s="1"/>
  <c r="AD16" i="3"/>
  <c r="AD16" i="22" s="1"/>
  <c r="AE16" i="3"/>
  <c r="AE16" i="22" s="1"/>
  <c r="AF16" i="3"/>
  <c r="AF16" i="22" s="1"/>
  <c r="AG16" i="3"/>
  <c r="AG16" i="22" s="1"/>
  <c r="AH16" i="3"/>
  <c r="AH16" i="22" s="1"/>
  <c r="AI16" i="3"/>
  <c r="AI16" i="22" s="1"/>
  <c r="AJ16" i="3"/>
  <c r="AJ16" i="22" s="1"/>
  <c r="AK16" i="3"/>
  <c r="AK16" i="22" s="1"/>
  <c r="AL16" i="3"/>
  <c r="AL16" i="22" s="1"/>
  <c r="AM16" i="3"/>
  <c r="AM16" i="22" s="1"/>
  <c r="AN16" i="3"/>
  <c r="AN16" i="22" s="1"/>
  <c r="AO16" i="3"/>
  <c r="AO16" i="22" s="1"/>
  <c r="AP16" i="3"/>
  <c r="AP16" i="22" s="1"/>
  <c r="AQ16" i="3"/>
  <c r="AQ16" i="22" s="1"/>
  <c r="AR16" i="3"/>
  <c r="AR16" i="22" s="1"/>
  <c r="AS16" i="3"/>
  <c r="AS16" i="22" s="1"/>
  <c r="AT16" i="3"/>
  <c r="AT16" i="22" s="1"/>
  <c r="AU16" i="3"/>
  <c r="AU16" i="22" s="1"/>
  <c r="AV16" i="3"/>
  <c r="AV16" i="22" s="1"/>
  <c r="AW16" i="3"/>
  <c r="AW16" i="22" s="1"/>
  <c r="AX16" i="3"/>
  <c r="AX16" i="22" s="1"/>
  <c r="B120" i="3"/>
  <c r="B120" i="22" s="1"/>
  <c r="C120" i="3"/>
  <c r="C120" i="22" s="1"/>
  <c r="D120" i="3"/>
  <c r="D120" i="22" s="1"/>
  <c r="E120" i="3"/>
  <c r="E120" i="22" s="1"/>
  <c r="F120" i="3"/>
  <c r="F120" i="22" s="1"/>
  <c r="G120" i="3"/>
  <c r="G120" i="22" s="1"/>
  <c r="H120" i="3"/>
  <c r="H120" i="22" s="1"/>
  <c r="I120" i="3"/>
  <c r="I120" i="22" s="1"/>
  <c r="J120" i="3"/>
  <c r="J120" i="22" s="1"/>
  <c r="K120" i="3"/>
  <c r="K120" i="22" s="1"/>
  <c r="L120" i="3"/>
  <c r="L120" i="22" s="1"/>
  <c r="M120" i="3"/>
  <c r="M120" i="22" s="1"/>
  <c r="N120" i="3"/>
  <c r="N120" i="22" s="1"/>
  <c r="O120" i="3"/>
  <c r="O120" i="22" s="1"/>
  <c r="P120" i="3"/>
  <c r="P120" i="22" s="1"/>
  <c r="Q120" i="3"/>
  <c r="Q120" i="22" s="1"/>
  <c r="R120" i="3"/>
  <c r="R120" i="22" s="1"/>
  <c r="S120" i="3"/>
  <c r="S120" i="22" s="1"/>
  <c r="T120" i="3"/>
  <c r="T120" i="22" s="1"/>
  <c r="U120" i="3"/>
  <c r="U120" i="22" s="1"/>
  <c r="V120" i="3"/>
  <c r="V120" i="22" s="1"/>
  <c r="W120" i="3"/>
  <c r="W120" i="22" s="1"/>
  <c r="X120" i="3"/>
  <c r="X120" i="22" s="1"/>
  <c r="Y120" i="3"/>
  <c r="Y120" i="22" s="1"/>
  <c r="Z120" i="3"/>
  <c r="Z120" i="22" s="1"/>
  <c r="AA120" i="3"/>
  <c r="AA120" i="22" s="1"/>
  <c r="AB120" i="3"/>
  <c r="AB120" i="22" s="1"/>
  <c r="AC120" i="3"/>
  <c r="AC120" i="22" s="1"/>
  <c r="AD120" i="3"/>
  <c r="AD120" i="22" s="1"/>
  <c r="AE120" i="3"/>
  <c r="AE120" i="22" s="1"/>
  <c r="AF120" i="3"/>
  <c r="AF120" i="22" s="1"/>
  <c r="AG120" i="3"/>
  <c r="AG120" i="22" s="1"/>
  <c r="AH120" i="3"/>
  <c r="AH120" i="22" s="1"/>
  <c r="AI120" i="3"/>
  <c r="AI120" i="22" s="1"/>
  <c r="AJ120" i="3"/>
  <c r="AJ120" i="22" s="1"/>
  <c r="AK120" i="3"/>
  <c r="AK120" i="22" s="1"/>
  <c r="AL120" i="3"/>
  <c r="AL120" i="22" s="1"/>
  <c r="AM120" i="3"/>
  <c r="AM120" i="22" s="1"/>
  <c r="AN120" i="3"/>
  <c r="AN120" i="22" s="1"/>
  <c r="AO120" i="3"/>
  <c r="AO120" i="22" s="1"/>
  <c r="AP120" i="3"/>
  <c r="AP120" i="22" s="1"/>
  <c r="AQ120" i="3"/>
  <c r="AQ120" i="22" s="1"/>
  <c r="AR120" i="3"/>
  <c r="AR120" i="22" s="1"/>
  <c r="AS120" i="3"/>
  <c r="AS120" i="22" s="1"/>
  <c r="AT120" i="3"/>
  <c r="AT120" i="22" s="1"/>
  <c r="AU120" i="3"/>
  <c r="AU120" i="22" s="1"/>
  <c r="AV120" i="3"/>
  <c r="AV120" i="22" s="1"/>
  <c r="AW120" i="3"/>
  <c r="AW120" i="22" s="1"/>
  <c r="AX120" i="3"/>
  <c r="AX120" i="22" s="1"/>
  <c r="B98" i="3"/>
  <c r="B98" i="22" s="1"/>
  <c r="C98" i="3"/>
  <c r="C98" i="22" s="1"/>
  <c r="D98" i="3"/>
  <c r="D98" i="22" s="1"/>
  <c r="E98" i="3"/>
  <c r="E98" i="22" s="1"/>
  <c r="F98" i="3"/>
  <c r="F98" i="22" s="1"/>
  <c r="G98" i="3"/>
  <c r="G98" i="22" s="1"/>
  <c r="H98" i="3"/>
  <c r="H98" i="22" s="1"/>
  <c r="I98" i="3"/>
  <c r="I98" i="22" s="1"/>
  <c r="J98" i="3"/>
  <c r="J98" i="22" s="1"/>
  <c r="K98" i="3"/>
  <c r="K98" i="22" s="1"/>
  <c r="L98" i="3"/>
  <c r="L98" i="22" s="1"/>
  <c r="M98" i="3"/>
  <c r="M98" i="22" s="1"/>
  <c r="N98" i="3"/>
  <c r="N98" i="22" s="1"/>
  <c r="O98" i="3"/>
  <c r="O98" i="22" s="1"/>
  <c r="P98" i="3"/>
  <c r="P98" i="22" s="1"/>
  <c r="Q98" i="3"/>
  <c r="Q98" i="22" s="1"/>
  <c r="R98" i="3"/>
  <c r="R98" i="22" s="1"/>
  <c r="S98" i="3"/>
  <c r="S98" i="22" s="1"/>
  <c r="T98" i="3"/>
  <c r="T98" i="22" s="1"/>
  <c r="U98" i="3"/>
  <c r="U98" i="22" s="1"/>
  <c r="V98" i="3"/>
  <c r="V98" i="22" s="1"/>
  <c r="W98" i="3"/>
  <c r="W98" i="22" s="1"/>
  <c r="X98" i="3"/>
  <c r="X98" i="22" s="1"/>
  <c r="Y98" i="3"/>
  <c r="Y98" i="22" s="1"/>
  <c r="Z98" i="3"/>
  <c r="Z98" i="22" s="1"/>
  <c r="AA98" i="3"/>
  <c r="AA98" i="22" s="1"/>
  <c r="AB98" i="3"/>
  <c r="AB98" i="22" s="1"/>
  <c r="AC98" i="3"/>
  <c r="AC98" i="22" s="1"/>
  <c r="AD98" i="3"/>
  <c r="AD98" i="22" s="1"/>
  <c r="AE98" i="3"/>
  <c r="AE98" i="22" s="1"/>
  <c r="AF98" i="3"/>
  <c r="AF98" i="22" s="1"/>
  <c r="AG98" i="3"/>
  <c r="AG98" i="22" s="1"/>
  <c r="AH98" i="3"/>
  <c r="AH98" i="22" s="1"/>
  <c r="AI98" i="3"/>
  <c r="AI98" i="22" s="1"/>
  <c r="AJ98" i="3"/>
  <c r="AJ98" i="22" s="1"/>
  <c r="AK98" i="3"/>
  <c r="AK98" i="22" s="1"/>
  <c r="AL98" i="3"/>
  <c r="AL98" i="22" s="1"/>
  <c r="AM98" i="3"/>
  <c r="AM98" i="22" s="1"/>
  <c r="AN98" i="3"/>
  <c r="AN98" i="22" s="1"/>
  <c r="AO98" i="3"/>
  <c r="AO98" i="22" s="1"/>
  <c r="AP98" i="3"/>
  <c r="AP98" i="22" s="1"/>
  <c r="AQ98" i="3"/>
  <c r="AQ98" i="22" s="1"/>
  <c r="AR98" i="3"/>
  <c r="AR98" i="22" s="1"/>
  <c r="AS98" i="3"/>
  <c r="AS98" i="22" s="1"/>
  <c r="AT98" i="3"/>
  <c r="AT98" i="22" s="1"/>
  <c r="AU98" i="3"/>
  <c r="AU98" i="22" s="1"/>
  <c r="AV98" i="3"/>
  <c r="AV98" i="22" s="1"/>
  <c r="AW98" i="3"/>
  <c r="AW98" i="22" s="1"/>
  <c r="AX98" i="3"/>
  <c r="AX98" i="22" s="1"/>
  <c r="B121" i="3"/>
  <c r="B121" i="22" s="1"/>
  <c r="C121" i="3"/>
  <c r="C121" i="22" s="1"/>
  <c r="D121" i="3"/>
  <c r="D121" i="22" s="1"/>
  <c r="E121" i="3"/>
  <c r="E121" i="22" s="1"/>
  <c r="F121" i="3"/>
  <c r="F121" i="22" s="1"/>
  <c r="G121" i="3"/>
  <c r="G121" i="22" s="1"/>
  <c r="H121" i="3"/>
  <c r="H121" i="22" s="1"/>
  <c r="I121" i="3"/>
  <c r="I121" i="22" s="1"/>
  <c r="J121" i="3"/>
  <c r="J121" i="22" s="1"/>
  <c r="K121" i="3"/>
  <c r="K121" i="22" s="1"/>
  <c r="L121" i="3"/>
  <c r="L121" i="22" s="1"/>
  <c r="M121" i="3"/>
  <c r="M121" i="22" s="1"/>
  <c r="N121" i="3"/>
  <c r="N121" i="22" s="1"/>
  <c r="O121" i="3"/>
  <c r="O121" i="22" s="1"/>
  <c r="P121" i="3"/>
  <c r="P121" i="22" s="1"/>
  <c r="Q121" i="3"/>
  <c r="Q121" i="22" s="1"/>
  <c r="R121" i="3"/>
  <c r="R121" i="22" s="1"/>
  <c r="S121" i="3"/>
  <c r="S121" i="22" s="1"/>
  <c r="T121" i="3"/>
  <c r="T121" i="22" s="1"/>
  <c r="U121" i="3"/>
  <c r="U121" i="22" s="1"/>
  <c r="V121" i="3"/>
  <c r="V121" i="22" s="1"/>
  <c r="W121" i="3"/>
  <c r="W121" i="22" s="1"/>
  <c r="X121" i="3"/>
  <c r="X121" i="22" s="1"/>
  <c r="Y121" i="3"/>
  <c r="Y121" i="22" s="1"/>
  <c r="Z121" i="3"/>
  <c r="Z121" i="22" s="1"/>
  <c r="AA121" i="3"/>
  <c r="AA121" i="22" s="1"/>
  <c r="AB121" i="3"/>
  <c r="AB121" i="22" s="1"/>
  <c r="AC121" i="3"/>
  <c r="AC121" i="22" s="1"/>
  <c r="AD121" i="3"/>
  <c r="AD121" i="22" s="1"/>
  <c r="AE121" i="3"/>
  <c r="AE121" i="22" s="1"/>
  <c r="AF121" i="3"/>
  <c r="AF121" i="22" s="1"/>
  <c r="AG121" i="3"/>
  <c r="AG121" i="22" s="1"/>
  <c r="AH121" i="3"/>
  <c r="AH121" i="22" s="1"/>
  <c r="AI121" i="3"/>
  <c r="AI121" i="22" s="1"/>
  <c r="AJ121" i="3"/>
  <c r="AJ121" i="22" s="1"/>
  <c r="AK121" i="3"/>
  <c r="AK121" i="22" s="1"/>
  <c r="AL121" i="3"/>
  <c r="AL121" i="22" s="1"/>
  <c r="AM121" i="3"/>
  <c r="AM121" i="22" s="1"/>
  <c r="AN121" i="3"/>
  <c r="AN121" i="22" s="1"/>
  <c r="AO121" i="3"/>
  <c r="AO121" i="22" s="1"/>
  <c r="AP121" i="3"/>
  <c r="AP121" i="22" s="1"/>
  <c r="AQ121" i="3"/>
  <c r="AQ121" i="22" s="1"/>
  <c r="AR121" i="3"/>
  <c r="AR121" i="22" s="1"/>
  <c r="AS121" i="3"/>
  <c r="AS121" i="22" s="1"/>
  <c r="AT121" i="3"/>
  <c r="AT121" i="22" s="1"/>
  <c r="AU121" i="3"/>
  <c r="AU121" i="22" s="1"/>
  <c r="AV121" i="3"/>
  <c r="AV121" i="22" s="1"/>
  <c r="AW121" i="3"/>
  <c r="AW121" i="22" s="1"/>
  <c r="AX121" i="3"/>
  <c r="AX121" i="22" s="1"/>
  <c r="B5" i="3"/>
  <c r="B5" i="22" s="1"/>
  <c r="C5" i="3"/>
  <c r="C5" i="22" s="1"/>
  <c r="D5" i="3"/>
  <c r="D5" i="22" s="1"/>
  <c r="E5" i="3"/>
  <c r="E5" i="22" s="1"/>
  <c r="F5" i="3"/>
  <c r="F5" i="22" s="1"/>
  <c r="G5" i="3"/>
  <c r="G5" i="22" s="1"/>
  <c r="H5" i="3"/>
  <c r="H5" i="22" s="1"/>
  <c r="I5" i="3"/>
  <c r="I5" i="22" s="1"/>
  <c r="J5" i="3"/>
  <c r="J5" i="22" s="1"/>
  <c r="K5" i="3"/>
  <c r="K5" i="22" s="1"/>
  <c r="L5" i="3"/>
  <c r="L5" i="22" s="1"/>
  <c r="M5" i="3"/>
  <c r="M5" i="22" s="1"/>
  <c r="N5" i="3"/>
  <c r="N5" i="22" s="1"/>
  <c r="O5" i="3"/>
  <c r="O5" i="22" s="1"/>
  <c r="P5" i="3"/>
  <c r="P5" i="22" s="1"/>
  <c r="Q5" i="3"/>
  <c r="Q5" i="22" s="1"/>
  <c r="R5" i="3"/>
  <c r="R5" i="22" s="1"/>
  <c r="S5" i="3"/>
  <c r="S5" i="22" s="1"/>
  <c r="T5" i="3"/>
  <c r="T5" i="22" s="1"/>
  <c r="U5" i="3"/>
  <c r="U5" i="22" s="1"/>
  <c r="V5" i="3"/>
  <c r="V5" i="22" s="1"/>
  <c r="W5" i="3"/>
  <c r="W5" i="22" s="1"/>
  <c r="X5" i="3"/>
  <c r="X5" i="22" s="1"/>
  <c r="Y5" i="3"/>
  <c r="Y5" i="22" s="1"/>
  <c r="Z5" i="3"/>
  <c r="Z5" i="22" s="1"/>
  <c r="AA5" i="3"/>
  <c r="AA5" i="22" s="1"/>
  <c r="AB5" i="3"/>
  <c r="AB5" i="22" s="1"/>
  <c r="AC5" i="3"/>
  <c r="AC5" i="22" s="1"/>
  <c r="AD5" i="3"/>
  <c r="AD5" i="22" s="1"/>
  <c r="AE5" i="3"/>
  <c r="AE5" i="22" s="1"/>
  <c r="AF5" i="3"/>
  <c r="AF5" i="22" s="1"/>
  <c r="AG5" i="3"/>
  <c r="AG5" i="22" s="1"/>
  <c r="AH5" i="3"/>
  <c r="AH5" i="22" s="1"/>
  <c r="AI5" i="3"/>
  <c r="AI5" i="22" s="1"/>
  <c r="AJ5" i="3"/>
  <c r="AJ5" i="22" s="1"/>
  <c r="AK5" i="3"/>
  <c r="AK5" i="22" s="1"/>
  <c r="AL5" i="3"/>
  <c r="AL5" i="22" s="1"/>
  <c r="AM5" i="3"/>
  <c r="AM5" i="22" s="1"/>
  <c r="AN5" i="3"/>
  <c r="AN5" i="22" s="1"/>
  <c r="AO5" i="3"/>
  <c r="AO5" i="22" s="1"/>
  <c r="AP5" i="3"/>
  <c r="AP5" i="22" s="1"/>
  <c r="AQ5" i="3"/>
  <c r="AQ5" i="22" s="1"/>
  <c r="AR5" i="3"/>
  <c r="AR5" i="22" s="1"/>
  <c r="AS5" i="3"/>
  <c r="AS5" i="22" s="1"/>
  <c r="AT5" i="3"/>
  <c r="AT5" i="22" s="1"/>
  <c r="AU5" i="3"/>
  <c r="AU5" i="22" s="1"/>
  <c r="AV5" i="3"/>
  <c r="AV5" i="22" s="1"/>
  <c r="AW5" i="3"/>
  <c r="AW5" i="22" s="1"/>
  <c r="AX5" i="3"/>
  <c r="AX5" i="22" s="1"/>
  <c r="B41" i="3"/>
  <c r="B41" i="22" s="1"/>
  <c r="C41" i="3"/>
  <c r="C41" i="22" s="1"/>
  <c r="D41" i="3"/>
  <c r="D41" i="22" s="1"/>
  <c r="E41" i="3"/>
  <c r="E41" i="22" s="1"/>
  <c r="F41" i="3"/>
  <c r="F41" i="22" s="1"/>
  <c r="G41" i="3"/>
  <c r="G41" i="22" s="1"/>
  <c r="H41" i="3"/>
  <c r="H41" i="22" s="1"/>
  <c r="I41" i="3"/>
  <c r="I41" i="22" s="1"/>
  <c r="J41" i="3"/>
  <c r="J41" i="22" s="1"/>
  <c r="K41" i="3"/>
  <c r="K41" i="22" s="1"/>
  <c r="L41" i="3"/>
  <c r="L41" i="22" s="1"/>
  <c r="M41" i="3"/>
  <c r="M41" i="22" s="1"/>
  <c r="N41" i="3"/>
  <c r="N41" i="22" s="1"/>
  <c r="O41" i="3"/>
  <c r="O41" i="22" s="1"/>
  <c r="P41" i="3"/>
  <c r="P41" i="22" s="1"/>
  <c r="Q41" i="3"/>
  <c r="Q41" i="22" s="1"/>
  <c r="R41" i="3"/>
  <c r="R41" i="22" s="1"/>
  <c r="S41" i="3"/>
  <c r="S41" i="22" s="1"/>
  <c r="T41" i="3"/>
  <c r="T41" i="22" s="1"/>
  <c r="U41" i="3"/>
  <c r="U41" i="22" s="1"/>
  <c r="V41" i="3"/>
  <c r="V41" i="22" s="1"/>
  <c r="W41" i="3"/>
  <c r="W41" i="22" s="1"/>
  <c r="X41" i="3"/>
  <c r="X41" i="22" s="1"/>
  <c r="Y41" i="3"/>
  <c r="Y41" i="22" s="1"/>
  <c r="Z41" i="3"/>
  <c r="Z41" i="22" s="1"/>
  <c r="AA41" i="3"/>
  <c r="AA41" i="22" s="1"/>
  <c r="AB41" i="3"/>
  <c r="AB41" i="22" s="1"/>
  <c r="AC41" i="3"/>
  <c r="AC41" i="22" s="1"/>
  <c r="AD41" i="3"/>
  <c r="AD41" i="22" s="1"/>
  <c r="AE41" i="3"/>
  <c r="AE41" i="22" s="1"/>
  <c r="AF41" i="3"/>
  <c r="AF41" i="22" s="1"/>
  <c r="AG41" i="3"/>
  <c r="AG41" i="22" s="1"/>
  <c r="AH41" i="3"/>
  <c r="AH41" i="22" s="1"/>
  <c r="AI41" i="3"/>
  <c r="AI41" i="22" s="1"/>
  <c r="AJ41" i="3"/>
  <c r="AJ41" i="22" s="1"/>
  <c r="AK41" i="3"/>
  <c r="AK41" i="22" s="1"/>
  <c r="AL41" i="3"/>
  <c r="AL41" i="22" s="1"/>
  <c r="AM41" i="3"/>
  <c r="AM41" i="22" s="1"/>
  <c r="AN41" i="3"/>
  <c r="AN41" i="22" s="1"/>
  <c r="AO41" i="3"/>
  <c r="AO41" i="22" s="1"/>
  <c r="AP41" i="3"/>
  <c r="AP41" i="22" s="1"/>
  <c r="AQ41" i="3"/>
  <c r="AQ41" i="22" s="1"/>
  <c r="AR41" i="3"/>
  <c r="AR41" i="22" s="1"/>
  <c r="AS41" i="3"/>
  <c r="AS41" i="22" s="1"/>
  <c r="AT41" i="3"/>
  <c r="AT41" i="22" s="1"/>
  <c r="AU41" i="3"/>
  <c r="AU41" i="22" s="1"/>
  <c r="AV41" i="3"/>
  <c r="AV41" i="22" s="1"/>
  <c r="AW41" i="3"/>
  <c r="AW41" i="22" s="1"/>
  <c r="AX41" i="3"/>
  <c r="AX41" i="22" s="1"/>
  <c r="B72" i="3"/>
  <c r="C72" i="3"/>
  <c r="C72" i="22" s="1"/>
  <c r="D72" i="3"/>
  <c r="D72" i="22" s="1"/>
  <c r="E72" i="3"/>
  <c r="E72" i="22" s="1"/>
  <c r="F72" i="3"/>
  <c r="F72" i="22" s="1"/>
  <c r="G72" i="3"/>
  <c r="G72" i="22" s="1"/>
  <c r="H72" i="3"/>
  <c r="H72" i="22" s="1"/>
  <c r="I72" i="3"/>
  <c r="I72" i="22" s="1"/>
  <c r="J72" i="3"/>
  <c r="J72" i="22" s="1"/>
  <c r="K72" i="3"/>
  <c r="K72" i="22" s="1"/>
  <c r="L72" i="3"/>
  <c r="L72" i="22" s="1"/>
  <c r="M72" i="3"/>
  <c r="M72" i="22" s="1"/>
  <c r="N72" i="3"/>
  <c r="N72" i="22" s="1"/>
  <c r="O72" i="3"/>
  <c r="O72" i="22" s="1"/>
  <c r="P72" i="3"/>
  <c r="P72" i="22" s="1"/>
  <c r="Q72" i="3"/>
  <c r="Q72" i="22" s="1"/>
  <c r="R72" i="3"/>
  <c r="R72" i="22" s="1"/>
  <c r="S72" i="3"/>
  <c r="S72" i="22" s="1"/>
  <c r="T72" i="3"/>
  <c r="T72" i="22" s="1"/>
  <c r="U72" i="3"/>
  <c r="U72" i="22" s="1"/>
  <c r="V72" i="3"/>
  <c r="V72" i="22" s="1"/>
  <c r="W72" i="3"/>
  <c r="W72" i="22" s="1"/>
  <c r="X72" i="3"/>
  <c r="X72" i="22" s="1"/>
  <c r="Y72" i="3"/>
  <c r="Y72" i="22" s="1"/>
  <c r="Z72" i="3"/>
  <c r="Z72" i="22" s="1"/>
  <c r="AA72" i="3"/>
  <c r="AA72" i="22" s="1"/>
  <c r="AB72" i="3"/>
  <c r="AB72" i="22" s="1"/>
  <c r="AC72" i="3"/>
  <c r="AC72" i="22" s="1"/>
  <c r="AD72" i="3"/>
  <c r="AD72" i="22" s="1"/>
  <c r="AE72" i="3"/>
  <c r="AE72" i="22" s="1"/>
  <c r="AF72" i="3"/>
  <c r="AF72" i="22" s="1"/>
  <c r="AG72" i="3"/>
  <c r="AG72" i="22" s="1"/>
  <c r="AH72" i="3"/>
  <c r="AH72" i="22" s="1"/>
  <c r="AI72" i="3"/>
  <c r="AI72" i="22" s="1"/>
  <c r="AJ72" i="3"/>
  <c r="AJ72" i="22" s="1"/>
  <c r="AK72" i="3"/>
  <c r="AK72" i="22" s="1"/>
  <c r="AL72" i="3"/>
  <c r="AL72" i="22" s="1"/>
  <c r="AM72" i="3"/>
  <c r="AM72" i="22" s="1"/>
  <c r="AN72" i="3"/>
  <c r="AN72" i="22" s="1"/>
  <c r="AO72" i="3"/>
  <c r="AO72" i="22" s="1"/>
  <c r="AP72" i="3"/>
  <c r="AP72" i="22" s="1"/>
  <c r="AQ72" i="3"/>
  <c r="AQ72" i="22" s="1"/>
  <c r="AR72" i="3"/>
  <c r="AR72" i="22" s="1"/>
  <c r="AS72" i="3"/>
  <c r="AS72" i="22" s="1"/>
  <c r="AT72" i="3"/>
  <c r="AT72" i="22" s="1"/>
  <c r="AU72" i="3"/>
  <c r="AU72" i="22" s="1"/>
  <c r="AV72" i="3"/>
  <c r="AV72" i="22" s="1"/>
  <c r="AW72" i="3"/>
  <c r="AW72" i="22" s="1"/>
  <c r="AX72" i="3"/>
  <c r="AX72" i="22" s="1"/>
  <c r="B44" i="3"/>
  <c r="B44" i="22" s="1"/>
  <c r="C44" i="3"/>
  <c r="C44" i="22" s="1"/>
  <c r="D44" i="3"/>
  <c r="D44" i="22" s="1"/>
  <c r="E44" i="3"/>
  <c r="E44" i="22" s="1"/>
  <c r="F44" i="3"/>
  <c r="F44" i="22" s="1"/>
  <c r="G44" i="3"/>
  <c r="G44" i="22" s="1"/>
  <c r="H44" i="3"/>
  <c r="H44" i="22" s="1"/>
  <c r="I44" i="3"/>
  <c r="I44" i="22" s="1"/>
  <c r="J44" i="3"/>
  <c r="J44" i="22" s="1"/>
  <c r="K44" i="3"/>
  <c r="K44" i="22" s="1"/>
  <c r="L44" i="3"/>
  <c r="L44" i="22" s="1"/>
  <c r="M44" i="3"/>
  <c r="M44" i="22" s="1"/>
  <c r="N44" i="3"/>
  <c r="N44" i="22" s="1"/>
  <c r="O44" i="3"/>
  <c r="O44" i="22" s="1"/>
  <c r="P44" i="3"/>
  <c r="P44" i="22" s="1"/>
  <c r="Q44" i="3"/>
  <c r="Q44" i="22" s="1"/>
  <c r="R44" i="3"/>
  <c r="R44" i="22" s="1"/>
  <c r="S44" i="3"/>
  <c r="S44" i="22" s="1"/>
  <c r="T44" i="3"/>
  <c r="T44" i="22" s="1"/>
  <c r="U44" i="3"/>
  <c r="U44" i="22" s="1"/>
  <c r="V44" i="3"/>
  <c r="V44" i="22" s="1"/>
  <c r="W44" i="3"/>
  <c r="W44" i="22" s="1"/>
  <c r="X44" i="3"/>
  <c r="X44" i="22" s="1"/>
  <c r="Y44" i="3"/>
  <c r="Y44" i="22" s="1"/>
  <c r="Z44" i="3"/>
  <c r="Z44" i="22" s="1"/>
  <c r="AA44" i="3"/>
  <c r="AA44" i="22" s="1"/>
  <c r="AB44" i="3"/>
  <c r="AB44" i="22" s="1"/>
  <c r="AC44" i="3"/>
  <c r="AC44" i="22" s="1"/>
  <c r="AD44" i="3"/>
  <c r="AD44" i="22" s="1"/>
  <c r="AE44" i="3"/>
  <c r="AE44" i="22" s="1"/>
  <c r="AF44" i="3"/>
  <c r="AF44" i="22" s="1"/>
  <c r="AG44" i="3"/>
  <c r="AG44" i="22" s="1"/>
  <c r="AH44" i="3"/>
  <c r="AH44" i="22" s="1"/>
  <c r="AI44" i="3"/>
  <c r="AI44" i="22" s="1"/>
  <c r="AJ44" i="3"/>
  <c r="AJ44" i="22" s="1"/>
  <c r="AK44" i="3"/>
  <c r="AK44" i="22" s="1"/>
  <c r="AL44" i="3"/>
  <c r="AL44" i="22" s="1"/>
  <c r="AM44" i="3"/>
  <c r="AM44" i="22" s="1"/>
  <c r="AN44" i="3"/>
  <c r="AN44" i="22" s="1"/>
  <c r="AO44" i="3"/>
  <c r="AO44" i="22" s="1"/>
  <c r="AP44" i="3"/>
  <c r="AP44" i="22" s="1"/>
  <c r="AQ44" i="3"/>
  <c r="AQ44" i="22" s="1"/>
  <c r="AR44" i="3"/>
  <c r="AR44" i="22" s="1"/>
  <c r="AS44" i="3"/>
  <c r="AS44" i="22" s="1"/>
  <c r="AT44" i="3"/>
  <c r="AT44" i="22" s="1"/>
  <c r="AU44" i="3"/>
  <c r="AU44" i="22" s="1"/>
  <c r="AV44" i="3"/>
  <c r="AV44" i="22" s="1"/>
  <c r="AW44" i="3"/>
  <c r="AW44" i="22" s="1"/>
  <c r="AX44" i="3"/>
  <c r="AX44" i="22" s="1"/>
  <c r="B122" i="3"/>
  <c r="B122" i="22" s="1"/>
  <c r="C122" i="3"/>
  <c r="C122" i="22" s="1"/>
  <c r="D122" i="3"/>
  <c r="D122" i="22" s="1"/>
  <c r="E122" i="3"/>
  <c r="E122" i="22" s="1"/>
  <c r="F122" i="3"/>
  <c r="F122" i="22" s="1"/>
  <c r="G122" i="3"/>
  <c r="G122" i="22" s="1"/>
  <c r="H122" i="3"/>
  <c r="H122" i="22" s="1"/>
  <c r="I122" i="3"/>
  <c r="I122" i="22" s="1"/>
  <c r="J122" i="3"/>
  <c r="J122" i="22" s="1"/>
  <c r="K122" i="3"/>
  <c r="K122" i="22" s="1"/>
  <c r="L122" i="3"/>
  <c r="L122" i="22" s="1"/>
  <c r="M122" i="3"/>
  <c r="M122" i="22" s="1"/>
  <c r="N122" i="3"/>
  <c r="N122" i="22" s="1"/>
  <c r="O122" i="3"/>
  <c r="O122" i="22" s="1"/>
  <c r="P122" i="3"/>
  <c r="P122" i="22" s="1"/>
  <c r="Q122" i="3"/>
  <c r="Q122" i="22" s="1"/>
  <c r="R122" i="3"/>
  <c r="R122" i="22" s="1"/>
  <c r="S122" i="3"/>
  <c r="S122" i="22" s="1"/>
  <c r="T122" i="3"/>
  <c r="T122" i="22" s="1"/>
  <c r="U122" i="3"/>
  <c r="U122" i="22" s="1"/>
  <c r="V122" i="3"/>
  <c r="V122" i="22" s="1"/>
  <c r="W122" i="3"/>
  <c r="W122" i="22" s="1"/>
  <c r="X122" i="3"/>
  <c r="X122" i="22" s="1"/>
  <c r="Y122" i="3"/>
  <c r="Y122" i="22" s="1"/>
  <c r="Z122" i="3"/>
  <c r="Z122" i="22" s="1"/>
  <c r="AA122" i="3"/>
  <c r="AA122" i="22" s="1"/>
  <c r="AB122" i="3"/>
  <c r="AB122" i="22" s="1"/>
  <c r="AC122" i="3"/>
  <c r="AC122" i="22" s="1"/>
  <c r="AD122" i="3"/>
  <c r="AD122" i="22" s="1"/>
  <c r="AE122" i="3"/>
  <c r="AE122" i="22" s="1"/>
  <c r="AF122" i="3"/>
  <c r="AF122" i="22" s="1"/>
  <c r="AG122" i="3"/>
  <c r="AG122" i="22" s="1"/>
  <c r="AH122" i="3"/>
  <c r="AH122" i="22" s="1"/>
  <c r="AI122" i="3"/>
  <c r="AI122" i="22" s="1"/>
  <c r="AJ122" i="3"/>
  <c r="AJ122" i="22" s="1"/>
  <c r="AK122" i="3"/>
  <c r="AK122" i="22" s="1"/>
  <c r="AL122" i="3"/>
  <c r="AL122" i="22" s="1"/>
  <c r="AM122" i="3"/>
  <c r="AM122" i="22" s="1"/>
  <c r="AN122" i="3"/>
  <c r="AN122" i="22" s="1"/>
  <c r="AO122" i="3"/>
  <c r="AO122" i="22" s="1"/>
  <c r="AP122" i="3"/>
  <c r="AP122" i="22" s="1"/>
  <c r="AQ122" i="3"/>
  <c r="AQ122" i="22" s="1"/>
  <c r="AR122" i="3"/>
  <c r="AR122" i="22" s="1"/>
  <c r="AS122" i="3"/>
  <c r="AS122" i="22" s="1"/>
  <c r="AT122" i="3"/>
  <c r="AT122" i="22" s="1"/>
  <c r="AU122" i="3"/>
  <c r="AU122" i="22" s="1"/>
  <c r="AV122" i="3"/>
  <c r="AV122" i="22" s="1"/>
  <c r="AW122" i="3"/>
  <c r="AW122" i="22" s="1"/>
  <c r="AX122" i="3"/>
  <c r="AX122" i="22" s="1"/>
  <c r="B87" i="3"/>
  <c r="B87" i="22" s="1"/>
  <c r="C87" i="3"/>
  <c r="C87" i="22" s="1"/>
  <c r="D87" i="3"/>
  <c r="D87" i="22" s="1"/>
  <c r="E87" i="3"/>
  <c r="E87" i="22" s="1"/>
  <c r="F87" i="3"/>
  <c r="F87" i="22" s="1"/>
  <c r="G87" i="3"/>
  <c r="G87" i="22" s="1"/>
  <c r="H87" i="3"/>
  <c r="H87" i="22" s="1"/>
  <c r="I87" i="3"/>
  <c r="I87" i="22" s="1"/>
  <c r="J87" i="3"/>
  <c r="J87" i="22" s="1"/>
  <c r="K87" i="3"/>
  <c r="K87" i="22" s="1"/>
  <c r="L87" i="3"/>
  <c r="L87" i="22" s="1"/>
  <c r="M87" i="3"/>
  <c r="M87" i="22" s="1"/>
  <c r="N87" i="3"/>
  <c r="N87" i="22" s="1"/>
  <c r="O87" i="3"/>
  <c r="O87" i="22" s="1"/>
  <c r="P87" i="3"/>
  <c r="P87" i="22" s="1"/>
  <c r="Q87" i="3"/>
  <c r="Q87" i="22" s="1"/>
  <c r="R87" i="3"/>
  <c r="R87" i="22" s="1"/>
  <c r="S87" i="3"/>
  <c r="S87" i="22" s="1"/>
  <c r="T87" i="3"/>
  <c r="T87" i="22" s="1"/>
  <c r="U87" i="3"/>
  <c r="U87" i="22" s="1"/>
  <c r="V87" i="3"/>
  <c r="V87" i="22" s="1"/>
  <c r="W87" i="3"/>
  <c r="W87" i="22" s="1"/>
  <c r="X87" i="3"/>
  <c r="X87" i="22" s="1"/>
  <c r="Y87" i="3"/>
  <c r="Y87" i="22" s="1"/>
  <c r="Z87" i="3"/>
  <c r="Z87" i="22" s="1"/>
  <c r="AA87" i="3"/>
  <c r="AA87" i="22" s="1"/>
  <c r="AB87" i="3"/>
  <c r="AB87" i="22" s="1"/>
  <c r="AC87" i="3"/>
  <c r="AC87" i="22" s="1"/>
  <c r="AD87" i="3"/>
  <c r="AD87" i="22" s="1"/>
  <c r="AE87" i="3"/>
  <c r="AE87" i="22" s="1"/>
  <c r="AF87" i="3"/>
  <c r="AF87" i="22" s="1"/>
  <c r="AG87" i="3"/>
  <c r="AG87" i="22" s="1"/>
  <c r="AH87" i="3"/>
  <c r="AH87" i="22" s="1"/>
  <c r="AI87" i="3"/>
  <c r="AI87" i="22" s="1"/>
  <c r="AJ87" i="3"/>
  <c r="AJ87" i="22" s="1"/>
  <c r="AK87" i="3"/>
  <c r="AK87" i="22" s="1"/>
  <c r="AL87" i="3"/>
  <c r="AL87" i="22" s="1"/>
  <c r="AM87" i="3"/>
  <c r="AM87" i="22" s="1"/>
  <c r="AN87" i="3"/>
  <c r="AN87" i="22" s="1"/>
  <c r="AO87" i="3"/>
  <c r="AO87" i="22" s="1"/>
  <c r="AP87" i="3"/>
  <c r="AP87" i="22" s="1"/>
  <c r="AQ87" i="3"/>
  <c r="AQ87" i="22" s="1"/>
  <c r="AR87" i="3"/>
  <c r="AR87" i="22" s="1"/>
  <c r="AS87" i="3"/>
  <c r="AS87" i="22" s="1"/>
  <c r="AT87" i="3"/>
  <c r="AT87" i="22" s="1"/>
  <c r="AU87" i="3"/>
  <c r="AU87" i="22" s="1"/>
  <c r="AV87" i="3"/>
  <c r="AV87" i="22" s="1"/>
  <c r="AW87" i="3"/>
  <c r="AW87" i="22" s="1"/>
  <c r="AX87" i="3"/>
  <c r="AX87" i="22" s="1"/>
  <c r="B55" i="3"/>
  <c r="B55" i="22" s="1"/>
  <c r="C55" i="3"/>
  <c r="C55" i="22" s="1"/>
  <c r="D55" i="3"/>
  <c r="D55" i="22" s="1"/>
  <c r="E55" i="3"/>
  <c r="E55" i="22" s="1"/>
  <c r="F55" i="3"/>
  <c r="F55" i="22" s="1"/>
  <c r="G55" i="3"/>
  <c r="G55" i="22" s="1"/>
  <c r="H55" i="3"/>
  <c r="H55" i="22" s="1"/>
  <c r="I55" i="3"/>
  <c r="I55" i="22" s="1"/>
  <c r="J55" i="3"/>
  <c r="J55" i="22" s="1"/>
  <c r="K55" i="3"/>
  <c r="K55" i="22" s="1"/>
  <c r="L55" i="3"/>
  <c r="L55" i="22" s="1"/>
  <c r="M55" i="3"/>
  <c r="M55" i="22" s="1"/>
  <c r="N55" i="3"/>
  <c r="N55" i="22" s="1"/>
  <c r="O55" i="3"/>
  <c r="O55" i="22" s="1"/>
  <c r="P55" i="3"/>
  <c r="P55" i="22" s="1"/>
  <c r="Q55" i="3"/>
  <c r="Q55" i="22" s="1"/>
  <c r="R55" i="3"/>
  <c r="R55" i="22" s="1"/>
  <c r="S55" i="3"/>
  <c r="S55" i="22" s="1"/>
  <c r="T55" i="3"/>
  <c r="T55" i="22" s="1"/>
  <c r="U55" i="3"/>
  <c r="U55" i="22" s="1"/>
  <c r="V55" i="3"/>
  <c r="V55" i="22" s="1"/>
  <c r="W55" i="3"/>
  <c r="W55" i="22" s="1"/>
  <c r="X55" i="3"/>
  <c r="X55" i="22" s="1"/>
  <c r="Y55" i="3"/>
  <c r="Y55" i="22" s="1"/>
  <c r="Z55" i="3"/>
  <c r="Z55" i="22" s="1"/>
  <c r="AA55" i="3"/>
  <c r="AA55" i="22" s="1"/>
  <c r="AB55" i="3"/>
  <c r="AB55" i="22" s="1"/>
  <c r="AC55" i="3"/>
  <c r="AC55" i="22" s="1"/>
  <c r="AD55" i="3"/>
  <c r="AD55" i="22" s="1"/>
  <c r="AE55" i="3"/>
  <c r="AE55" i="22" s="1"/>
  <c r="AF55" i="3"/>
  <c r="AF55" i="22" s="1"/>
  <c r="AG55" i="3"/>
  <c r="AG55" i="22" s="1"/>
  <c r="AH55" i="3"/>
  <c r="AH55" i="22" s="1"/>
  <c r="AI55" i="3"/>
  <c r="AI55" i="22" s="1"/>
  <c r="AJ55" i="3"/>
  <c r="AJ55" i="22" s="1"/>
  <c r="AK55" i="3"/>
  <c r="AK55" i="22" s="1"/>
  <c r="AL55" i="3"/>
  <c r="AL55" i="22" s="1"/>
  <c r="AM55" i="3"/>
  <c r="AM55" i="22" s="1"/>
  <c r="AN55" i="3"/>
  <c r="AN55" i="22" s="1"/>
  <c r="AO55" i="3"/>
  <c r="AO55" i="22" s="1"/>
  <c r="AP55" i="3"/>
  <c r="AP55" i="22" s="1"/>
  <c r="AQ55" i="3"/>
  <c r="AQ55" i="22" s="1"/>
  <c r="AR55" i="3"/>
  <c r="AR55" i="22" s="1"/>
  <c r="AS55" i="3"/>
  <c r="AS55" i="22" s="1"/>
  <c r="AT55" i="3"/>
  <c r="AT55" i="22" s="1"/>
  <c r="AU55" i="3"/>
  <c r="AU55" i="22" s="1"/>
  <c r="AV55" i="3"/>
  <c r="AV55" i="22" s="1"/>
  <c r="AW55" i="3"/>
  <c r="AW55" i="22" s="1"/>
  <c r="AX55" i="3"/>
  <c r="AX55" i="22" s="1"/>
  <c r="B23" i="3"/>
  <c r="B23" i="22" s="1"/>
  <c r="C23" i="3"/>
  <c r="C23" i="22" s="1"/>
  <c r="D23" i="3"/>
  <c r="D23" i="22" s="1"/>
  <c r="E23" i="3"/>
  <c r="E23" i="22" s="1"/>
  <c r="F23" i="3"/>
  <c r="F23" i="22" s="1"/>
  <c r="G23" i="3"/>
  <c r="G23" i="22" s="1"/>
  <c r="H23" i="3"/>
  <c r="H23" i="22" s="1"/>
  <c r="I23" i="3"/>
  <c r="I23" i="22" s="1"/>
  <c r="J23" i="3"/>
  <c r="J23" i="22" s="1"/>
  <c r="K23" i="3"/>
  <c r="K23" i="22" s="1"/>
  <c r="L23" i="3"/>
  <c r="L23" i="22" s="1"/>
  <c r="M23" i="3"/>
  <c r="M23" i="22" s="1"/>
  <c r="N23" i="3"/>
  <c r="N23" i="22" s="1"/>
  <c r="O23" i="3"/>
  <c r="O23" i="22" s="1"/>
  <c r="P23" i="3"/>
  <c r="P23" i="22" s="1"/>
  <c r="Q23" i="3"/>
  <c r="Q23" i="22" s="1"/>
  <c r="R23" i="3"/>
  <c r="R23" i="22" s="1"/>
  <c r="S23" i="3"/>
  <c r="S23" i="22" s="1"/>
  <c r="T23" i="3"/>
  <c r="T23" i="22" s="1"/>
  <c r="U23" i="3"/>
  <c r="U23" i="22" s="1"/>
  <c r="V23" i="3"/>
  <c r="V23" i="22" s="1"/>
  <c r="W23" i="3"/>
  <c r="W23" i="22" s="1"/>
  <c r="X23" i="3"/>
  <c r="X23" i="22" s="1"/>
  <c r="Y23" i="3"/>
  <c r="Y23" i="22" s="1"/>
  <c r="Z23" i="3"/>
  <c r="Z23" i="22" s="1"/>
  <c r="AA23" i="3"/>
  <c r="AA23" i="22" s="1"/>
  <c r="AB23" i="3"/>
  <c r="AB23" i="22" s="1"/>
  <c r="AC23" i="3"/>
  <c r="AC23" i="22" s="1"/>
  <c r="AD23" i="3"/>
  <c r="AD23" i="22" s="1"/>
  <c r="AE23" i="3"/>
  <c r="AE23" i="22" s="1"/>
  <c r="AF23" i="3"/>
  <c r="AF23" i="22" s="1"/>
  <c r="AG23" i="3"/>
  <c r="AG23" i="22" s="1"/>
  <c r="AH23" i="3"/>
  <c r="AH23" i="22" s="1"/>
  <c r="AI23" i="3"/>
  <c r="AI23" i="22" s="1"/>
  <c r="AJ23" i="3"/>
  <c r="AJ23" i="22" s="1"/>
  <c r="AK23" i="3"/>
  <c r="AK23" i="22" s="1"/>
  <c r="AL23" i="3"/>
  <c r="AL23" i="22" s="1"/>
  <c r="AM23" i="3"/>
  <c r="AM23" i="22" s="1"/>
  <c r="AN23" i="3"/>
  <c r="AN23" i="22" s="1"/>
  <c r="AO23" i="3"/>
  <c r="AO23" i="22" s="1"/>
  <c r="AP23" i="3"/>
  <c r="AP23" i="22" s="1"/>
  <c r="AQ23" i="3"/>
  <c r="AQ23" i="22" s="1"/>
  <c r="AR23" i="3"/>
  <c r="AR23" i="22" s="1"/>
  <c r="AS23" i="3"/>
  <c r="AS23" i="22" s="1"/>
  <c r="AT23" i="3"/>
  <c r="AT23" i="22" s="1"/>
  <c r="AU23" i="3"/>
  <c r="AU23" i="22" s="1"/>
  <c r="AV23" i="3"/>
  <c r="AV23" i="22" s="1"/>
  <c r="AW23" i="3"/>
  <c r="AW23" i="22" s="1"/>
  <c r="AX23" i="3"/>
  <c r="AX23" i="22" s="1"/>
  <c r="B82" i="3"/>
  <c r="B82" i="22" s="1"/>
  <c r="C82" i="3"/>
  <c r="C82" i="22" s="1"/>
  <c r="D82" i="3"/>
  <c r="D82" i="22" s="1"/>
  <c r="E82" i="3"/>
  <c r="E82" i="22" s="1"/>
  <c r="F82" i="3"/>
  <c r="F82" i="22" s="1"/>
  <c r="G82" i="3"/>
  <c r="G82" i="22" s="1"/>
  <c r="H82" i="3"/>
  <c r="H82" i="22" s="1"/>
  <c r="I82" i="3"/>
  <c r="I82" i="22" s="1"/>
  <c r="J82" i="3"/>
  <c r="J82" i="22" s="1"/>
  <c r="K82" i="3"/>
  <c r="K82" i="22" s="1"/>
  <c r="L82" i="3"/>
  <c r="L82" i="22" s="1"/>
  <c r="M82" i="3"/>
  <c r="M82" i="22" s="1"/>
  <c r="N82" i="3"/>
  <c r="N82" i="22" s="1"/>
  <c r="O82" i="3"/>
  <c r="O82" i="22" s="1"/>
  <c r="P82" i="3"/>
  <c r="P82" i="22" s="1"/>
  <c r="Q82" i="3"/>
  <c r="Q82" i="22" s="1"/>
  <c r="R82" i="3"/>
  <c r="R82" i="22" s="1"/>
  <c r="S82" i="3"/>
  <c r="S82" i="22" s="1"/>
  <c r="T82" i="3"/>
  <c r="T82" i="22" s="1"/>
  <c r="U82" i="3"/>
  <c r="U82" i="22" s="1"/>
  <c r="V82" i="3"/>
  <c r="V82" i="22" s="1"/>
  <c r="W82" i="3"/>
  <c r="W82" i="22" s="1"/>
  <c r="X82" i="3"/>
  <c r="X82" i="22" s="1"/>
  <c r="Y82" i="3"/>
  <c r="Y82" i="22" s="1"/>
  <c r="Z82" i="3"/>
  <c r="Z82" i="22" s="1"/>
  <c r="AA82" i="3"/>
  <c r="AA82" i="22" s="1"/>
  <c r="AB82" i="3"/>
  <c r="AB82" i="22" s="1"/>
  <c r="AC82" i="3"/>
  <c r="AC82" i="22" s="1"/>
  <c r="AD82" i="3"/>
  <c r="AD82" i="22" s="1"/>
  <c r="AE82" i="3"/>
  <c r="AE82" i="22" s="1"/>
  <c r="AF82" i="3"/>
  <c r="AF82" i="22" s="1"/>
  <c r="AG82" i="3"/>
  <c r="AG82" i="22" s="1"/>
  <c r="AH82" i="3"/>
  <c r="AH82" i="22" s="1"/>
  <c r="AI82" i="3"/>
  <c r="AI82" i="22" s="1"/>
  <c r="AJ82" i="3"/>
  <c r="AJ82" i="22" s="1"/>
  <c r="AK82" i="3"/>
  <c r="AK82" i="22" s="1"/>
  <c r="AL82" i="3"/>
  <c r="AL82" i="22" s="1"/>
  <c r="AM82" i="3"/>
  <c r="AM82" i="22" s="1"/>
  <c r="AN82" i="3"/>
  <c r="AN82" i="22" s="1"/>
  <c r="AO82" i="3"/>
  <c r="AO82" i="22" s="1"/>
  <c r="AP82" i="3"/>
  <c r="AP82" i="22" s="1"/>
  <c r="AQ82" i="3"/>
  <c r="AQ82" i="22" s="1"/>
  <c r="AR82" i="3"/>
  <c r="AR82" i="22" s="1"/>
  <c r="AS82" i="3"/>
  <c r="AS82" i="22" s="1"/>
  <c r="AT82" i="3"/>
  <c r="AT82" i="22" s="1"/>
  <c r="AU82" i="3"/>
  <c r="AU82" i="22" s="1"/>
  <c r="AV82" i="3"/>
  <c r="AV82" i="22" s="1"/>
  <c r="AW82" i="3"/>
  <c r="AW82" i="22" s="1"/>
  <c r="AX82" i="3"/>
  <c r="AX82" i="22" s="1"/>
  <c r="B79" i="3"/>
  <c r="B79" i="22" s="1"/>
  <c r="C79" i="3"/>
  <c r="C79" i="22" s="1"/>
  <c r="D79" i="3"/>
  <c r="D79" i="22" s="1"/>
  <c r="E79" i="3"/>
  <c r="E79" i="22" s="1"/>
  <c r="F79" i="3"/>
  <c r="F79" i="22" s="1"/>
  <c r="G79" i="3"/>
  <c r="G79" i="22" s="1"/>
  <c r="H79" i="3"/>
  <c r="H79" i="22" s="1"/>
  <c r="I79" i="3"/>
  <c r="I79" i="22" s="1"/>
  <c r="J79" i="3"/>
  <c r="J79" i="22" s="1"/>
  <c r="K79" i="3"/>
  <c r="K79" i="22" s="1"/>
  <c r="L79" i="3"/>
  <c r="L79" i="22" s="1"/>
  <c r="M79" i="3"/>
  <c r="M79" i="22" s="1"/>
  <c r="N79" i="3"/>
  <c r="N79" i="22" s="1"/>
  <c r="O79" i="3"/>
  <c r="O79" i="22" s="1"/>
  <c r="P79" i="3"/>
  <c r="P79" i="22" s="1"/>
  <c r="Q79" i="3"/>
  <c r="Q79" i="22" s="1"/>
  <c r="R79" i="3"/>
  <c r="R79" i="22" s="1"/>
  <c r="S79" i="3"/>
  <c r="S79" i="22" s="1"/>
  <c r="T79" i="3"/>
  <c r="T79" i="22" s="1"/>
  <c r="U79" i="3"/>
  <c r="U79" i="22" s="1"/>
  <c r="V79" i="3"/>
  <c r="V79" i="22" s="1"/>
  <c r="W79" i="3"/>
  <c r="W79" i="22" s="1"/>
  <c r="X79" i="3"/>
  <c r="X79" i="22" s="1"/>
  <c r="Y79" i="3"/>
  <c r="Y79" i="22" s="1"/>
  <c r="Z79" i="3"/>
  <c r="Z79" i="22" s="1"/>
  <c r="AA79" i="3"/>
  <c r="AA79" i="22" s="1"/>
  <c r="AB79" i="3"/>
  <c r="AB79" i="22" s="1"/>
  <c r="AC79" i="3"/>
  <c r="AC79" i="22" s="1"/>
  <c r="AD79" i="3"/>
  <c r="AD79" i="22" s="1"/>
  <c r="AE79" i="3"/>
  <c r="AE79" i="22" s="1"/>
  <c r="AF79" i="3"/>
  <c r="AF79" i="22" s="1"/>
  <c r="AG79" i="3"/>
  <c r="AG79" i="22" s="1"/>
  <c r="AH79" i="3"/>
  <c r="AH79" i="22" s="1"/>
  <c r="AI79" i="3"/>
  <c r="AI79" i="22" s="1"/>
  <c r="AJ79" i="3"/>
  <c r="AJ79" i="22" s="1"/>
  <c r="AK79" i="3"/>
  <c r="AK79" i="22" s="1"/>
  <c r="AL79" i="3"/>
  <c r="AL79" i="22" s="1"/>
  <c r="AM79" i="3"/>
  <c r="AM79" i="22" s="1"/>
  <c r="AN79" i="3"/>
  <c r="AN79" i="22" s="1"/>
  <c r="AO79" i="3"/>
  <c r="AO79" i="22" s="1"/>
  <c r="AP79" i="3"/>
  <c r="AP79" i="22" s="1"/>
  <c r="AQ79" i="3"/>
  <c r="AQ79" i="22" s="1"/>
  <c r="AR79" i="3"/>
  <c r="AR79" i="22" s="1"/>
  <c r="AS79" i="3"/>
  <c r="AS79" i="22" s="1"/>
  <c r="AT79" i="3"/>
  <c r="AT79" i="22" s="1"/>
  <c r="AU79" i="3"/>
  <c r="AU79" i="22" s="1"/>
  <c r="AV79" i="3"/>
  <c r="AV79" i="22" s="1"/>
  <c r="AW79" i="3"/>
  <c r="AW79" i="22" s="1"/>
  <c r="AX79" i="3"/>
  <c r="AX79" i="22" s="1"/>
  <c r="B101" i="3"/>
  <c r="B101" i="22" s="1"/>
  <c r="C101" i="3"/>
  <c r="C101" i="22" s="1"/>
  <c r="D101" i="3"/>
  <c r="D101" i="22" s="1"/>
  <c r="E101" i="3"/>
  <c r="E101" i="22" s="1"/>
  <c r="F101" i="3"/>
  <c r="F101" i="22" s="1"/>
  <c r="G101" i="3"/>
  <c r="G101" i="22" s="1"/>
  <c r="H101" i="3"/>
  <c r="H101" i="22" s="1"/>
  <c r="I101" i="3"/>
  <c r="I101" i="22" s="1"/>
  <c r="J101" i="3"/>
  <c r="J101" i="22" s="1"/>
  <c r="K101" i="3"/>
  <c r="K101" i="22" s="1"/>
  <c r="L101" i="3"/>
  <c r="L101" i="22" s="1"/>
  <c r="M101" i="3"/>
  <c r="M101" i="22" s="1"/>
  <c r="N101" i="3"/>
  <c r="N101" i="22" s="1"/>
  <c r="O101" i="3"/>
  <c r="O101" i="22" s="1"/>
  <c r="P101" i="3"/>
  <c r="P101" i="22" s="1"/>
  <c r="Q101" i="3"/>
  <c r="Q101" i="22" s="1"/>
  <c r="R101" i="3"/>
  <c r="R101" i="22" s="1"/>
  <c r="S101" i="3"/>
  <c r="S101" i="22" s="1"/>
  <c r="T101" i="3"/>
  <c r="T101" i="22" s="1"/>
  <c r="U101" i="3"/>
  <c r="U101" i="22" s="1"/>
  <c r="V101" i="3"/>
  <c r="V101" i="22" s="1"/>
  <c r="W101" i="3"/>
  <c r="W101" i="22" s="1"/>
  <c r="X101" i="3"/>
  <c r="X101" i="22" s="1"/>
  <c r="Y101" i="3"/>
  <c r="Y101" i="22" s="1"/>
  <c r="Z101" i="3"/>
  <c r="Z101" i="22" s="1"/>
  <c r="AA101" i="3"/>
  <c r="AA101" i="22" s="1"/>
  <c r="AB101" i="3"/>
  <c r="AB101" i="22" s="1"/>
  <c r="AC101" i="3"/>
  <c r="AC101" i="22" s="1"/>
  <c r="AD101" i="3"/>
  <c r="AD101" i="22" s="1"/>
  <c r="AE101" i="3"/>
  <c r="AE101" i="22" s="1"/>
  <c r="AF101" i="3"/>
  <c r="AF101" i="22" s="1"/>
  <c r="AG101" i="3"/>
  <c r="AG101" i="22" s="1"/>
  <c r="AH101" i="3"/>
  <c r="AH101" i="22" s="1"/>
  <c r="AI101" i="3"/>
  <c r="AI101" i="22" s="1"/>
  <c r="AJ101" i="3"/>
  <c r="AJ101" i="22" s="1"/>
  <c r="AK101" i="3"/>
  <c r="AK101" i="22" s="1"/>
  <c r="AL101" i="3"/>
  <c r="AL101" i="22" s="1"/>
  <c r="AM101" i="3"/>
  <c r="AM101" i="22" s="1"/>
  <c r="AN101" i="3"/>
  <c r="AN101" i="22" s="1"/>
  <c r="AO101" i="3"/>
  <c r="AO101" i="22" s="1"/>
  <c r="AP101" i="3"/>
  <c r="AP101" i="22" s="1"/>
  <c r="AQ101" i="3"/>
  <c r="AQ101" i="22" s="1"/>
  <c r="AR101" i="3"/>
  <c r="AR101" i="22" s="1"/>
  <c r="AS101" i="3"/>
  <c r="AS101" i="22" s="1"/>
  <c r="AT101" i="3"/>
  <c r="AT101" i="22" s="1"/>
  <c r="AU101" i="3"/>
  <c r="AU101" i="22" s="1"/>
  <c r="AV101" i="3"/>
  <c r="AV101" i="22" s="1"/>
  <c r="AW101" i="3"/>
  <c r="AW101" i="22" s="1"/>
  <c r="AX101" i="3"/>
  <c r="AX101" i="22" s="1"/>
  <c r="B80" i="3"/>
  <c r="B80" i="22" s="1"/>
  <c r="C80" i="3"/>
  <c r="C80" i="22" s="1"/>
  <c r="D80" i="3"/>
  <c r="D80" i="22" s="1"/>
  <c r="E80" i="3"/>
  <c r="E80" i="22" s="1"/>
  <c r="F80" i="3"/>
  <c r="F80" i="22" s="1"/>
  <c r="G80" i="3"/>
  <c r="G80" i="22" s="1"/>
  <c r="H80" i="3"/>
  <c r="H80" i="22" s="1"/>
  <c r="I80" i="3"/>
  <c r="I80" i="22" s="1"/>
  <c r="J80" i="3"/>
  <c r="J80" i="22" s="1"/>
  <c r="K80" i="3"/>
  <c r="K80" i="22" s="1"/>
  <c r="L80" i="3"/>
  <c r="L80" i="22" s="1"/>
  <c r="M80" i="3"/>
  <c r="M80" i="22" s="1"/>
  <c r="N80" i="3"/>
  <c r="N80" i="22" s="1"/>
  <c r="O80" i="3"/>
  <c r="O80" i="22" s="1"/>
  <c r="P80" i="3"/>
  <c r="P80" i="22" s="1"/>
  <c r="Q80" i="3"/>
  <c r="Q80" i="22" s="1"/>
  <c r="R80" i="3"/>
  <c r="R80" i="22" s="1"/>
  <c r="S80" i="3"/>
  <c r="S80" i="22" s="1"/>
  <c r="T80" i="3"/>
  <c r="T80" i="22" s="1"/>
  <c r="U80" i="3"/>
  <c r="U80" i="22" s="1"/>
  <c r="V80" i="3"/>
  <c r="V80" i="22" s="1"/>
  <c r="W80" i="3"/>
  <c r="W80" i="22" s="1"/>
  <c r="X80" i="3"/>
  <c r="X80" i="22" s="1"/>
  <c r="Y80" i="3"/>
  <c r="Y80" i="22" s="1"/>
  <c r="Z80" i="3"/>
  <c r="Z80" i="22" s="1"/>
  <c r="AA80" i="3"/>
  <c r="AA80" i="22" s="1"/>
  <c r="AB80" i="3"/>
  <c r="AB80" i="22" s="1"/>
  <c r="AC80" i="3"/>
  <c r="AC80" i="22" s="1"/>
  <c r="AD80" i="3"/>
  <c r="AD80" i="22" s="1"/>
  <c r="AE80" i="3"/>
  <c r="AE80" i="22" s="1"/>
  <c r="AF80" i="3"/>
  <c r="AF80" i="22" s="1"/>
  <c r="AG80" i="3"/>
  <c r="AG80" i="22" s="1"/>
  <c r="AH80" i="3"/>
  <c r="AH80" i="22" s="1"/>
  <c r="AI80" i="3"/>
  <c r="AI80" i="22" s="1"/>
  <c r="AJ80" i="3"/>
  <c r="AJ80" i="22" s="1"/>
  <c r="AK80" i="3"/>
  <c r="AK80" i="22" s="1"/>
  <c r="AL80" i="3"/>
  <c r="AL80" i="22" s="1"/>
  <c r="AM80" i="3"/>
  <c r="AM80" i="22" s="1"/>
  <c r="AN80" i="3"/>
  <c r="AN80" i="22" s="1"/>
  <c r="AO80" i="3"/>
  <c r="AO80" i="22" s="1"/>
  <c r="AP80" i="3"/>
  <c r="AP80" i="22" s="1"/>
  <c r="AQ80" i="3"/>
  <c r="AQ80" i="22" s="1"/>
  <c r="AR80" i="3"/>
  <c r="AR80" i="22" s="1"/>
  <c r="AS80" i="3"/>
  <c r="AS80" i="22" s="1"/>
  <c r="AT80" i="3"/>
  <c r="AT80" i="22" s="1"/>
  <c r="AU80" i="3"/>
  <c r="AU80" i="22" s="1"/>
  <c r="AV80" i="3"/>
  <c r="AV80" i="22" s="1"/>
  <c r="AW80" i="3"/>
  <c r="AW80" i="22" s="1"/>
  <c r="AX80" i="3"/>
  <c r="AX80" i="22" s="1"/>
  <c r="B88" i="3"/>
  <c r="B88" i="22" s="1"/>
  <c r="C88" i="3"/>
  <c r="C88" i="22" s="1"/>
  <c r="D88" i="3"/>
  <c r="D88" i="22" s="1"/>
  <c r="E88" i="3"/>
  <c r="E88" i="22" s="1"/>
  <c r="F88" i="3"/>
  <c r="F88" i="22" s="1"/>
  <c r="G88" i="3"/>
  <c r="G88" i="22" s="1"/>
  <c r="H88" i="3"/>
  <c r="H88" i="22" s="1"/>
  <c r="I88" i="3"/>
  <c r="I88" i="22" s="1"/>
  <c r="J88" i="3"/>
  <c r="J88" i="22" s="1"/>
  <c r="K88" i="3"/>
  <c r="K88" i="22" s="1"/>
  <c r="L88" i="3"/>
  <c r="L88" i="22" s="1"/>
  <c r="M88" i="3"/>
  <c r="M88" i="22" s="1"/>
  <c r="N88" i="3"/>
  <c r="N88" i="22" s="1"/>
  <c r="O88" i="3"/>
  <c r="O88" i="22" s="1"/>
  <c r="P88" i="3"/>
  <c r="P88" i="22" s="1"/>
  <c r="Q88" i="3"/>
  <c r="Q88" i="22" s="1"/>
  <c r="R88" i="3"/>
  <c r="R88" i="22" s="1"/>
  <c r="S88" i="3"/>
  <c r="S88" i="22" s="1"/>
  <c r="T88" i="3"/>
  <c r="T88" i="22" s="1"/>
  <c r="U88" i="3"/>
  <c r="U88" i="22" s="1"/>
  <c r="V88" i="3"/>
  <c r="V88" i="22" s="1"/>
  <c r="W88" i="3"/>
  <c r="W88" i="22" s="1"/>
  <c r="X88" i="3"/>
  <c r="X88" i="22" s="1"/>
  <c r="Y88" i="3"/>
  <c r="Y88" i="22" s="1"/>
  <c r="Z88" i="3"/>
  <c r="Z88" i="22" s="1"/>
  <c r="AA88" i="3"/>
  <c r="AA88" i="22" s="1"/>
  <c r="AB88" i="3"/>
  <c r="AB88" i="22" s="1"/>
  <c r="AC88" i="3"/>
  <c r="AC88" i="22" s="1"/>
  <c r="AD88" i="3"/>
  <c r="AD88" i="22" s="1"/>
  <c r="AE88" i="3"/>
  <c r="AE88" i="22" s="1"/>
  <c r="AF88" i="3"/>
  <c r="AF88" i="22" s="1"/>
  <c r="AG88" i="3"/>
  <c r="AG88" i="22" s="1"/>
  <c r="AH88" i="3"/>
  <c r="AH88" i="22" s="1"/>
  <c r="AI88" i="3"/>
  <c r="AI88" i="22" s="1"/>
  <c r="AJ88" i="3"/>
  <c r="AJ88" i="22" s="1"/>
  <c r="AK88" i="3"/>
  <c r="AK88" i="22" s="1"/>
  <c r="AL88" i="3"/>
  <c r="AL88" i="22" s="1"/>
  <c r="AM88" i="3"/>
  <c r="AM88" i="22" s="1"/>
  <c r="AN88" i="3"/>
  <c r="AN88" i="22" s="1"/>
  <c r="AO88" i="3"/>
  <c r="AO88" i="22" s="1"/>
  <c r="AP88" i="3"/>
  <c r="AP88" i="22" s="1"/>
  <c r="AQ88" i="3"/>
  <c r="AQ88" i="22" s="1"/>
  <c r="AR88" i="3"/>
  <c r="AR88" i="22" s="1"/>
  <c r="AS88" i="3"/>
  <c r="AS88" i="22" s="1"/>
  <c r="AT88" i="3"/>
  <c r="AT88" i="22" s="1"/>
  <c r="AU88" i="3"/>
  <c r="AU88" i="22" s="1"/>
  <c r="AV88" i="3"/>
  <c r="AV88" i="22" s="1"/>
  <c r="AW88" i="3"/>
  <c r="AW88" i="22" s="1"/>
  <c r="AX88" i="3"/>
  <c r="AX88" i="22" s="1"/>
  <c r="B108" i="3"/>
  <c r="B108" i="22" s="1"/>
  <c r="C108" i="3"/>
  <c r="C108" i="22" s="1"/>
  <c r="D108" i="3"/>
  <c r="D108" i="22" s="1"/>
  <c r="E108" i="3"/>
  <c r="E108" i="22" s="1"/>
  <c r="F108" i="3"/>
  <c r="F108" i="22" s="1"/>
  <c r="G108" i="3"/>
  <c r="G108" i="22" s="1"/>
  <c r="H108" i="3"/>
  <c r="H108" i="22" s="1"/>
  <c r="I108" i="3"/>
  <c r="I108" i="22" s="1"/>
  <c r="J108" i="3"/>
  <c r="J108" i="22" s="1"/>
  <c r="K108" i="3"/>
  <c r="K108" i="22" s="1"/>
  <c r="L108" i="3"/>
  <c r="L108" i="22" s="1"/>
  <c r="M108" i="3"/>
  <c r="M108" i="22" s="1"/>
  <c r="N108" i="3"/>
  <c r="N108" i="22" s="1"/>
  <c r="O108" i="3"/>
  <c r="O108" i="22" s="1"/>
  <c r="P108" i="3"/>
  <c r="P108" i="22" s="1"/>
  <c r="Q108" i="3"/>
  <c r="Q108" i="22" s="1"/>
  <c r="R108" i="3"/>
  <c r="R108" i="22" s="1"/>
  <c r="S108" i="3"/>
  <c r="S108" i="22" s="1"/>
  <c r="T108" i="3"/>
  <c r="T108" i="22" s="1"/>
  <c r="U108" i="3"/>
  <c r="U108" i="22" s="1"/>
  <c r="V108" i="3"/>
  <c r="V108" i="22" s="1"/>
  <c r="W108" i="3"/>
  <c r="W108" i="22" s="1"/>
  <c r="X108" i="3"/>
  <c r="X108" i="22" s="1"/>
  <c r="Y108" i="3"/>
  <c r="Y108" i="22" s="1"/>
  <c r="Z108" i="3"/>
  <c r="Z108" i="22" s="1"/>
  <c r="AA108" i="3"/>
  <c r="AA108" i="22" s="1"/>
  <c r="AB108" i="3"/>
  <c r="AB108" i="22" s="1"/>
  <c r="AC108" i="3"/>
  <c r="AC108" i="22" s="1"/>
  <c r="AD108" i="3"/>
  <c r="AD108" i="22" s="1"/>
  <c r="AE108" i="3"/>
  <c r="AE108" i="22" s="1"/>
  <c r="AF108" i="3"/>
  <c r="AF108" i="22" s="1"/>
  <c r="AG108" i="3"/>
  <c r="AG108" i="22" s="1"/>
  <c r="AH108" i="3"/>
  <c r="AH108" i="22" s="1"/>
  <c r="AI108" i="3"/>
  <c r="AI108" i="22" s="1"/>
  <c r="AJ108" i="3"/>
  <c r="AJ108" i="22" s="1"/>
  <c r="AK108" i="3"/>
  <c r="AK108" i="22" s="1"/>
  <c r="AL108" i="3"/>
  <c r="AL108" i="22" s="1"/>
  <c r="AM108" i="3"/>
  <c r="AM108" i="22" s="1"/>
  <c r="AN108" i="3"/>
  <c r="AN108" i="22" s="1"/>
  <c r="AO108" i="3"/>
  <c r="AO108" i="22" s="1"/>
  <c r="AP108" i="3"/>
  <c r="AP108" i="22" s="1"/>
  <c r="AQ108" i="3"/>
  <c r="AQ108" i="22" s="1"/>
  <c r="AR108" i="3"/>
  <c r="AR108" i="22" s="1"/>
  <c r="AS108" i="3"/>
  <c r="AS108" i="22" s="1"/>
  <c r="AT108" i="3"/>
  <c r="AT108" i="22" s="1"/>
  <c r="AU108" i="3"/>
  <c r="AU108" i="22" s="1"/>
  <c r="AV108" i="3"/>
  <c r="AV108" i="22" s="1"/>
  <c r="AW108" i="3"/>
  <c r="AW108" i="22" s="1"/>
  <c r="AX108" i="3"/>
  <c r="AX108" i="22" s="1"/>
  <c r="B123" i="3"/>
  <c r="B123" i="22" s="1"/>
  <c r="C123" i="3"/>
  <c r="C123" i="22" s="1"/>
  <c r="D123" i="3"/>
  <c r="D123" i="22" s="1"/>
  <c r="E123" i="3"/>
  <c r="E123" i="22" s="1"/>
  <c r="F123" i="3"/>
  <c r="F123" i="22" s="1"/>
  <c r="G123" i="3"/>
  <c r="G123" i="22" s="1"/>
  <c r="H123" i="3"/>
  <c r="H123" i="22" s="1"/>
  <c r="I123" i="3"/>
  <c r="I123" i="22" s="1"/>
  <c r="J123" i="3"/>
  <c r="J123" i="22" s="1"/>
  <c r="K123" i="3"/>
  <c r="K123" i="22" s="1"/>
  <c r="L123" i="3"/>
  <c r="L123" i="22" s="1"/>
  <c r="M123" i="3"/>
  <c r="M123" i="22" s="1"/>
  <c r="N123" i="3"/>
  <c r="N123" i="22" s="1"/>
  <c r="O123" i="3"/>
  <c r="O123" i="22" s="1"/>
  <c r="P123" i="3"/>
  <c r="P123" i="22" s="1"/>
  <c r="Q123" i="3"/>
  <c r="Q123" i="22" s="1"/>
  <c r="R123" i="3"/>
  <c r="R123" i="22" s="1"/>
  <c r="S123" i="3"/>
  <c r="S123" i="22" s="1"/>
  <c r="T123" i="3"/>
  <c r="T123" i="22" s="1"/>
  <c r="U123" i="3"/>
  <c r="U123" i="22" s="1"/>
  <c r="V123" i="3"/>
  <c r="V123" i="22" s="1"/>
  <c r="W123" i="3"/>
  <c r="W123" i="22" s="1"/>
  <c r="X123" i="3"/>
  <c r="X123" i="22" s="1"/>
  <c r="Y123" i="3"/>
  <c r="Y123" i="22" s="1"/>
  <c r="Z123" i="3"/>
  <c r="Z123" i="22" s="1"/>
  <c r="AA123" i="3"/>
  <c r="AA123" i="22" s="1"/>
  <c r="AB123" i="3"/>
  <c r="AB123" i="22" s="1"/>
  <c r="AC123" i="3"/>
  <c r="AC123" i="22" s="1"/>
  <c r="AD123" i="3"/>
  <c r="AD123" i="22" s="1"/>
  <c r="AE123" i="3"/>
  <c r="AE123" i="22" s="1"/>
  <c r="AF123" i="3"/>
  <c r="AF123" i="22" s="1"/>
  <c r="AG123" i="3"/>
  <c r="AG123" i="22" s="1"/>
  <c r="AH123" i="3"/>
  <c r="AH123" i="22" s="1"/>
  <c r="AI123" i="3"/>
  <c r="AI123" i="22" s="1"/>
  <c r="AJ123" i="3"/>
  <c r="AJ123" i="22" s="1"/>
  <c r="AK123" i="3"/>
  <c r="AK123" i="22" s="1"/>
  <c r="AL123" i="3"/>
  <c r="AL123" i="22" s="1"/>
  <c r="AM123" i="3"/>
  <c r="AM123" i="22" s="1"/>
  <c r="AN123" i="3"/>
  <c r="AN123" i="22" s="1"/>
  <c r="AO123" i="3"/>
  <c r="AO123" i="22" s="1"/>
  <c r="AP123" i="3"/>
  <c r="AP123" i="22" s="1"/>
  <c r="AQ123" i="3"/>
  <c r="AQ123" i="22" s="1"/>
  <c r="AR123" i="3"/>
  <c r="AR123" i="22" s="1"/>
  <c r="AS123" i="3"/>
  <c r="AS123" i="22" s="1"/>
  <c r="AT123" i="3"/>
  <c r="AT123" i="22" s="1"/>
  <c r="AU123" i="3"/>
  <c r="AU123" i="22" s="1"/>
  <c r="AV123" i="3"/>
  <c r="AV123" i="22" s="1"/>
  <c r="AW123" i="3"/>
  <c r="AW123" i="22" s="1"/>
  <c r="AX123" i="3"/>
  <c r="AX123" i="22" s="1"/>
  <c r="B86" i="3"/>
  <c r="B86" i="22" s="1"/>
  <c r="C86" i="3"/>
  <c r="C86" i="22" s="1"/>
  <c r="D86" i="3"/>
  <c r="D86" i="22" s="1"/>
  <c r="E86" i="3"/>
  <c r="E86" i="22" s="1"/>
  <c r="F86" i="3"/>
  <c r="F86" i="22" s="1"/>
  <c r="G86" i="3"/>
  <c r="G86" i="22" s="1"/>
  <c r="H86" i="3"/>
  <c r="H86" i="22" s="1"/>
  <c r="I86" i="3"/>
  <c r="I86" i="22" s="1"/>
  <c r="J86" i="3"/>
  <c r="J86" i="22" s="1"/>
  <c r="K86" i="3"/>
  <c r="K86" i="22" s="1"/>
  <c r="L86" i="3"/>
  <c r="L86" i="22" s="1"/>
  <c r="M86" i="3"/>
  <c r="M86" i="22" s="1"/>
  <c r="N86" i="3"/>
  <c r="N86" i="22" s="1"/>
  <c r="O86" i="3"/>
  <c r="O86" i="22" s="1"/>
  <c r="P86" i="3"/>
  <c r="P86" i="22" s="1"/>
  <c r="Q86" i="3"/>
  <c r="Q86" i="22" s="1"/>
  <c r="R86" i="3"/>
  <c r="R86" i="22" s="1"/>
  <c r="S86" i="3"/>
  <c r="S86" i="22" s="1"/>
  <c r="T86" i="3"/>
  <c r="T86" i="22" s="1"/>
  <c r="U86" i="3"/>
  <c r="U86" i="22" s="1"/>
  <c r="V86" i="3"/>
  <c r="V86" i="22" s="1"/>
  <c r="W86" i="3"/>
  <c r="W86" i="22" s="1"/>
  <c r="X86" i="3"/>
  <c r="X86" i="22" s="1"/>
  <c r="Y86" i="3"/>
  <c r="Y86" i="22" s="1"/>
  <c r="Z86" i="3"/>
  <c r="Z86" i="22" s="1"/>
  <c r="AA86" i="3"/>
  <c r="AA86" i="22" s="1"/>
  <c r="AB86" i="3"/>
  <c r="AB86" i="22" s="1"/>
  <c r="AC86" i="3"/>
  <c r="AC86" i="22" s="1"/>
  <c r="AD86" i="3"/>
  <c r="AD86" i="22" s="1"/>
  <c r="AE86" i="3"/>
  <c r="AE86" i="22" s="1"/>
  <c r="AF86" i="3"/>
  <c r="AF86" i="22" s="1"/>
  <c r="AG86" i="3"/>
  <c r="AG86" i="22" s="1"/>
  <c r="AH86" i="3"/>
  <c r="AH86" i="22" s="1"/>
  <c r="AI86" i="3"/>
  <c r="AI86" i="22" s="1"/>
  <c r="AJ86" i="3"/>
  <c r="AJ86" i="22" s="1"/>
  <c r="AK86" i="3"/>
  <c r="AK86" i="22" s="1"/>
  <c r="AL86" i="3"/>
  <c r="AL86" i="22" s="1"/>
  <c r="AM86" i="3"/>
  <c r="AM86" i="22" s="1"/>
  <c r="AN86" i="3"/>
  <c r="AN86" i="22" s="1"/>
  <c r="AO86" i="3"/>
  <c r="AO86" i="22" s="1"/>
  <c r="AP86" i="3"/>
  <c r="AP86" i="22" s="1"/>
  <c r="AQ86" i="3"/>
  <c r="AQ86" i="22" s="1"/>
  <c r="AR86" i="3"/>
  <c r="AR86" i="22" s="1"/>
  <c r="AS86" i="3"/>
  <c r="AS86" i="22" s="1"/>
  <c r="AT86" i="3"/>
  <c r="AT86" i="22" s="1"/>
  <c r="AU86" i="3"/>
  <c r="AU86" i="22" s="1"/>
  <c r="AV86" i="3"/>
  <c r="AV86" i="22" s="1"/>
  <c r="AW86" i="3"/>
  <c r="AW86" i="22" s="1"/>
  <c r="AX86" i="3"/>
  <c r="AX86" i="22" s="1"/>
  <c r="B124" i="3"/>
  <c r="B124" i="22" s="1"/>
  <c r="C124" i="3"/>
  <c r="C124" i="22" s="1"/>
  <c r="D124" i="3"/>
  <c r="D124" i="22" s="1"/>
  <c r="E124" i="3"/>
  <c r="E124" i="22" s="1"/>
  <c r="F124" i="3"/>
  <c r="F124" i="22" s="1"/>
  <c r="G124" i="3"/>
  <c r="G124" i="22" s="1"/>
  <c r="H124" i="3"/>
  <c r="H124" i="22" s="1"/>
  <c r="I124" i="3"/>
  <c r="I124" i="22" s="1"/>
  <c r="J124" i="3"/>
  <c r="J124" i="22" s="1"/>
  <c r="K124" i="3"/>
  <c r="K124" i="22" s="1"/>
  <c r="L124" i="3"/>
  <c r="L124" i="22" s="1"/>
  <c r="M124" i="3"/>
  <c r="M124" i="22" s="1"/>
  <c r="N124" i="3"/>
  <c r="N124" i="22" s="1"/>
  <c r="O124" i="3"/>
  <c r="O124" i="22" s="1"/>
  <c r="P124" i="3"/>
  <c r="P124" i="22" s="1"/>
  <c r="Q124" i="3"/>
  <c r="Q124" i="22" s="1"/>
  <c r="R124" i="3"/>
  <c r="R124" i="22" s="1"/>
  <c r="S124" i="3"/>
  <c r="S124" i="22" s="1"/>
  <c r="T124" i="3"/>
  <c r="T124" i="22" s="1"/>
  <c r="U124" i="3"/>
  <c r="U124" i="22" s="1"/>
  <c r="V124" i="3"/>
  <c r="V124" i="22" s="1"/>
  <c r="W124" i="3"/>
  <c r="W124" i="22" s="1"/>
  <c r="X124" i="3"/>
  <c r="X124" i="22" s="1"/>
  <c r="Y124" i="3"/>
  <c r="Y124" i="22" s="1"/>
  <c r="Z124" i="3"/>
  <c r="Z124" i="22" s="1"/>
  <c r="AA124" i="3"/>
  <c r="AA124" i="22" s="1"/>
  <c r="AB124" i="3"/>
  <c r="AB124" i="22" s="1"/>
  <c r="AC124" i="3"/>
  <c r="AC124" i="22" s="1"/>
  <c r="AD124" i="3"/>
  <c r="AD124" i="22" s="1"/>
  <c r="AE124" i="3"/>
  <c r="AE124" i="22" s="1"/>
  <c r="AF124" i="3"/>
  <c r="AF124" i="22" s="1"/>
  <c r="AG124" i="3"/>
  <c r="AG124" i="22" s="1"/>
  <c r="AH124" i="3"/>
  <c r="AH124" i="22" s="1"/>
  <c r="AI124" i="3"/>
  <c r="AI124" i="22" s="1"/>
  <c r="AJ124" i="3"/>
  <c r="AJ124" i="22" s="1"/>
  <c r="AK124" i="3"/>
  <c r="AK124" i="22" s="1"/>
  <c r="AL124" i="3"/>
  <c r="AL124" i="22" s="1"/>
  <c r="AM124" i="3"/>
  <c r="AM124" i="22" s="1"/>
  <c r="AN124" i="3"/>
  <c r="AN124" i="22" s="1"/>
  <c r="AO124" i="3"/>
  <c r="AO124" i="22" s="1"/>
  <c r="AP124" i="3"/>
  <c r="AP124" i="22" s="1"/>
  <c r="AQ124" i="3"/>
  <c r="AQ124" i="22" s="1"/>
  <c r="AR124" i="3"/>
  <c r="AR124" i="22" s="1"/>
  <c r="AS124" i="3"/>
  <c r="AS124" i="22" s="1"/>
  <c r="AT124" i="3"/>
  <c r="AT124" i="22" s="1"/>
  <c r="AU124" i="3"/>
  <c r="AU124" i="22" s="1"/>
  <c r="AV124" i="3"/>
  <c r="AV124" i="22" s="1"/>
  <c r="AW124" i="3"/>
  <c r="AW124" i="22" s="1"/>
  <c r="AX124" i="3"/>
  <c r="AX124" i="22" s="1"/>
  <c r="B14" i="3"/>
  <c r="B14" i="22" s="1"/>
  <c r="C14" i="3"/>
  <c r="C14" i="22" s="1"/>
  <c r="D14" i="3"/>
  <c r="D14" i="22" s="1"/>
  <c r="E14" i="3"/>
  <c r="E14" i="22" s="1"/>
  <c r="F14" i="3"/>
  <c r="F14" i="22" s="1"/>
  <c r="G14" i="3"/>
  <c r="G14" i="22" s="1"/>
  <c r="H14" i="3"/>
  <c r="H14" i="22" s="1"/>
  <c r="I14" i="3"/>
  <c r="I14" i="22" s="1"/>
  <c r="J14" i="3"/>
  <c r="J14" i="22" s="1"/>
  <c r="K14" i="3"/>
  <c r="K14" i="22" s="1"/>
  <c r="L14" i="3"/>
  <c r="L14" i="22" s="1"/>
  <c r="M14" i="3"/>
  <c r="M14" i="22" s="1"/>
  <c r="N14" i="3"/>
  <c r="N14" i="22" s="1"/>
  <c r="O14" i="3"/>
  <c r="O14" i="22" s="1"/>
  <c r="P14" i="3"/>
  <c r="P14" i="22" s="1"/>
  <c r="Q14" i="3"/>
  <c r="Q14" i="22" s="1"/>
  <c r="R14" i="3"/>
  <c r="R14" i="22" s="1"/>
  <c r="S14" i="3"/>
  <c r="S14" i="22" s="1"/>
  <c r="T14" i="3"/>
  <c r="T14" i="22" s="1"/>
  <c r="U14" i="3"/>
  <c r="U14" i="22" s="1"/>
  <c r="V14" i="3"/>
  <c r="V14" i="22" s="1"/>
  <c r="W14" i="3"/>
  <c r="W14" i="22" s="1"/>
  <c r="X14" i="3"/>
  <c r="X14" i="22" s="1"/>
  <c r="Y14" i="3"/>
  <c r="Y14" i="22" s="1"/>
  <c r="Z14" i="3"/>
  <c r="Z14" i="22" s="1"/>
  <c r="AA14" i="3"/>
  <c r="AA14" i="22" s="1"/>
  <c r="AB14" i="3"/>
  <c r="AB14" i="22" s="1"/>
  <c r="AC14" i="3"/>
  <c r="AC14" i="22" s="1"/>
  <c r="AD14" i="3"/>
  <c r="AD14" i="22" s="1"/>
  <c r="AE14" i="3"/>
  <c r="AE14" i="22" s="1"/>
  <c r="AF14" i="3"/>
  <c r="AF14" i="22" s="1"/>
  <c r="AG14" i="3"/>
  <c r="AG14" i="22" s="1"/>
  <c r="AH14" i="3"/>
  <c r="AH14" i="22" s="1"/>
  <c r="AI14" i="3"/>
  <c r="AI14" i="22" s="1"/>
  <c r="AJ14" i="3"/>
  <c r="AJ14" i="22" s="1"/>
  <c r="AK14" i="3"/>
  <c r="AK14" i="22" s="1"/>
  <c r="AL14" i="3"/>
  <c r="AL14" i="22" s="1"/>
  <c r="AM14" i="3"/>
  <c r="AM14" i="22" s="1"/>
  <c r="AN14" i="3"/>
  <c r="AN14" i="22" s="1"/>
  <c r="AO14" i="3"/>
  <c r="AO14" i="22" s="1"/>
  <c r="AP14" i="3"/>
  <c r="AP14" i="22" s="1"/>
  <c r="AQ14" i="3"/>
  <c r="AQ14" i="22" s="1"/>
  <c r="AR14" i="3"/>
  <c r="AR14" i="22" s="1"/>
  <c r="AS14" i="3"/>
  <c r="AS14" i="22" s="1"/>
  <c r="AT14" i="3"/>
  <c r="AT14" i="22" s="1"/>
  <c r="AU14" i="3"/>
  <c r="AU14" i="22" s="1"/>
  <c r="AV14" i="3"/>
  <c r="AV14" i="22" s="1"/>
  <c r="AW14" i="3"/>
  <c r="AW14" i="22" s="1"/>
  <c r="AX14" i="3"/>
  <c r="AX14" i="22" s="1"/>
  <c r="B94" i="3"/>
  <c r="B94" i="22" s="1"/>
  <c r="C94" i="3"/>
  <c r="C94" i="22" s="1"/>
  <c r="D94" i="3"/>
  <c r="D94" i="22" s="1"/>
  <c r="E94" i="3"/>
  <c r="E94" i="22" s="1"/>
  <c r="F94" i="3"/>
  <c r="F94" i="22" s="1"/>
  <c r="G94" i="3"/>
  <c r="G94" i="22" s="1"/>
  <c r="H94" i="3"/>
  <c r="H94" i="22" s="1"/>
  <c r="I94" i="3"/>
  <c r="I94" i="22" s="1"/>
  <c r="J94" i="3"/>
  <c r="J94" i="22" s="1"/>
  <c r="K94" i="3"/>
  <c r="K94" i="22" s="1"/>
  <c r="L94" i="3"/>
  <c r="L94" i="22" s="1"/>
  <c r="M94" i="3"/>
  <c r="M94" i="22" s="1"/>
  <c r="N94" i="3"/>
  <c r="N94" i="22" s="1"/>
  <c r="O94" i="3"/>
  <c r="O94" i="22" s="1"/>
  <c r="P94" i="3"/>
  <c r="P94" i="22" s="1"/>
  <c r="Q94" i="3"/>
  <c r="Q94" i="22" s="1"/>
  <c r="R94" i="3"/>
  <c r="R94" i="22" s="1"/>
  <c r="S94" i="3"/>
  <c r="S94" i="22" s="1"/>
  <c r="T94" i="3"/>
  <c r="T94" i="22" s="1"/>
  <c r="U94" i="3"/>
  <c r="U94" i="22" s="1"/>
  <c r="V94" i="3"/>
  <c r="V94" i="22" s="1"/>
  <c r="W94" i="3"/>
  <c r="W94" i="22" s="1"/>
  <c r="X94" i="3"/>
  <c r="X94" i="22" s="1"/>
  <c r="Y94" i="3"/>
  <c r="Y94" i="22" s="1"/>
  <c r="Z94" i="3"/>
  <c r="Z94" i="22" s="1"/>
  <c r="AA94" i="3"/>
  <c r="AA94" i="22" s="1"/>
  <c r="AB94" i="3"/>
  <c r="AB94" i="22" s="1"/>
  <c r="AC94" i="3"/>
  <c r="AC94" i="22" s="1"/>
  <c r="AD94" i="3"/>
  <c r="AD94" i="22" s="1"/>
  <c r="AE94" i="3"/>
  <c r="AE94" i="22" s="1"/>
  <c r="AF94" i="3"/>
  <c r="AF94" i="22" s="1"/>
  <c r="AG94" i="3"/>
  <c r="AG94" i="22" s="1"/>
  <c r="AH94" i="3"/>
  <c r="AH94" i="22" s="1"/>
  <c r="AI94" i="3"/>
  <c r="AI94" i="22" s="1"/>
  <c r="AJ94" i="3"/>
  <c r="AJ94" i="22" s="1"/>
  <c r="AK94" i="3"/>
  <c r="AK94" i="22" s="1"/>
  <c r="AL94" i="3"/>
  <c r="AL94" i="22" s="1"/>
  <c r="AM94" i="3"/>
  <c r="AM94" i="22" s="1"/>
  <c r="AN94" i="3"/>
  <c r="AN94" i="22" s="1"/>
  <c r="AO94" i="3"/>
  <c r="AO94" i="22" s="1"/>
  <c r="AP94" i="3"/>
  <c r="AP94" i="22" s="1"/>
  <c r="AQ94" i="3"/>
  <c r="AQ94" i="22" s="1"/>
  <c r="AR94" i="3"/>
  <c r="AR94" i="22" s="1"/>
  <c r="AS94" i="3"/>
  <c r="AS94" i="22" s="1"/>
  <c r="AT94" i="3"/>
  <c r="AT94" i="22" s="1"/>
  <c r="AU94" i="3"/>
  <c r="AU94" i="22" s="1"/>
  <c r="AV94" i="3"/>
  <c r="AV94" i="22" s="1"/>
  <c r="AW94" i="3"/>
  <c r="AW94" i="22" s="1"/>
  <c r="AX94" i="3"/>
  <c r="AX94" i="22" s="1"/>
  <c r="B109" i="3"/>
  <c r="B109" i="22" s="1"/>
  <c r="C109" i="3"/>
  <c r="C109" i="22" s="1"/>
  <c r="D109" i="3"/>
  <c r="D109" i="22" s="1"/>
  <c r="E109" i="3"/>
  <c r="E109" i="22" s="1"/>
  <c r="F109" i="3"/>
  <c r="F109" i="22" s="1"/>
  <c r="G109" i="3"/>
  <c r="G109" i="22" s="1"/>
  <c r="H109" i="3"/>
  <c r="H109" i="22" s="1"/>
  <c r="I109" i="3"/>
  <c r="I109" i="22" s="1"/>
  <c r="J109" i="3"/>
  <c r="J109" i="22" s="1"/>
  <c r="K109" i="3"/>
  <c r="K109" i="22" s="1"/>
  <c r="L109" i="3"/>
  <c r="L109" i="22" s="1"/>
  <c r="M109" i="3"/>
  <c r="M109" i="22" s="1"/>
  <c r="N109" i="3"/>
  <c r="N109" i="22" s="1"/>
  <c r="O109" i="3"/>
  <c r="O109" i="22" s="1"/>
  <c r="P109" i="3"/>
  <c r="P109" i="22" s="1"/>
  <c r="Q109" i="3"/>
  <c r="Q109" i="22" s="1"/>
  <c r="R109" i="3"/>
  <c r="R109" i="22" s="1"/>
  <c r="S109" i="3"/>
  <c r="S109" i="22" s="1"/>
  <c r="T109" i="3"/>
  <c r="T109" i="22" s="1"/>
  <c r="U109" i="3"/>
  <c r="U109" i="22" s="1"/>
  <c r="V109" i="3"/>
  <c r="V109" i="22" s="1"/>
  <c r="W109" i="3"/>
  <c r="W109" i="22" s="1"/>
  <c r="X109" i="3"/>
  <c r="X109" i="22" s="1"/>
  <c r="Y109" i="3"/>
  <c r="Y109" i="22" s="1"/>
  <c r="Z109" i="3"/>
  <c r="Z109" i="22" s="1"/>
  <c r="AA109" i="3"/>
  <c r="AA109" i="22" s="1"/>
  <c r="AB109" i="3"/>
  <c r="AB109" i="22" s="1"/>
  <c r="AC109" i="3"/>
  <c r="AC109" i="22" s="1"/>
  <c r="AD109" i="3"/>
  <c r="AD109" i="22" s="1"/>
  <c r="AE109" i="3"/>
  <c r="AE109" i="22" s="1"/>
  <c r="AF109" i="3"/>
  <c r="AF109" i="22" s="1"/>
  <c r="AG109" i="3"/>
  <c r="AG109" i="22" s="1"/>
  <c r="AH109" i="3"/>
  <c r="AH109" i="22" s="1"/>
  <c r="AI109" i="3"/>
  <c r="AI109" i="22" s="1"/>
  <c r="AJ109" i="3"/>
  <c r="AJ109" i="22" s="1"/>
  <c r="AK109" i="3"/>
  <c r="AK109" i="22" s="1"/>
  <c r="AL109" i="3"/>
  <c r="AL109" i="22" s="1"/>
  <c r="AM109" i="3"/>
  <c r="AM109" i="22" s="1"/>
  <c r="AN109" i="3"/>
  <c r="AN109" i="22" s="1"/>
  <c r="AO109" i="3"/>
  <c r="AO109" i="22" s="1"/>
  <c r="AP109" i="3"/>
  <c r="AP109" i="22" s="1"/>
  <c r="AQ109" i="3"/>
  <c r="AQ109" i="22" s="1"/>
  <c r="AR109" i="3"/>
  <c r="AR109" i="22" s="1"/>
  <c r="AS109" i="3"/>
  <c r="AS109" i="22" s="1"/>
  <c r="AT109" i="3"/>
  <c r="AT109" i="22" s="1"/>
  <c r="AU109" i="3"/>
  <c r="AU109" i="22" s="1"/>
  <c r="AV109" i="3"/>
  <c r="AV109" i="22" s="1"/>
  <c r="AW109" i="3"/>
  <c r="AW109" i="22" s="1"/>
  <c r="AX109" i="3"/>
  <c r="AX109" i="22" s="1"/>
  <c r="B76" i="3"/>
  <c r="B76" i="22" s="1"/>
  <c r="C76" i="3"/>
  <c r="C76" i="22" s="1"/>
  <c r="D76" i="3"/>
  <c r="D76" i="22" s="1"/>
  <c r="E76" i="3"/>
  <c r="E76" i="22" s="1"/>
  <c r="F76" i="3"/>
  <c r="F76" i="22" s="1"/>
  <c r="G76" i="3"/>
  <c r="G76" i="22" s="1"/>
  <c r="H76" i="3"/>
  <c r="H76" i="22" s="1"/>
  <c r="I76" i="3"/>
  <c r="I76" i="22" s="1"/>
  <c r="J76" i="3"/>
  <c r="J76" i="22" s="1"/>
  <c r="K76" i="3"/>
  <c r="K76" i="22" s="1"/>
  <c r="L76" i="3"/>
  <c r="L76" i="22" s="1"/>
  <c r="M76" i="3"/>
  <c r="M76" i="22" s="1"/>
  <c r="N76" i="3"/>
  <c r="N76" i="22" s="1"/>
  <c r="O76" i="3"/>
  <c r="O76" i="22" s="1"/>
  <c r="P76" i="3"/>
  <c r="P76" i="22" s="1"/>
  <c r="Q76" i="3"/>
  <c r="Q76" i="22" s="1"/>
  <c r="R76" i="3"/>
  <c r="R76" i="22" s="1"/>
  <c r="S76" i="3"/>
  <c r="S76" i="22" s="1"/>
  <c r="T76" i="3"/>
  <c r="T76" i="22" s="1"/>
  <c r="U76" i="3"/>
  <c r="U76" i="22" s="1"/>
  <c r="V76" i="3"/>
  <c r="V76" i="22" s="1"/>
  <c r="W76" i="3"/>
  <c r="W76" i="22" s="1"/>
  <c r="X76" i="3"/>
  <c r="X76" i="22" s="1"/>
  <c r="Y76" i="3"/>
  <c r="Y76" i="22" s="1"/>
  <c r="Z76" i="3"/>
  <c r="Z76" i="22" s="1"/>
  <c r="AA76" i="3"/>
  <c r="AA76" i="22" s="1"/>
  <c r="AB76" i="3"/>
  <c r="AB76" i="22" s="1"/>
  <c r="AC76" i="3"/>
  <c r="AC76" i="22" s="1"/>
  <c r="AD76" i="3"/>
  <c r="AD76" i="22" s="1"/>
  <c r="AE76" i="3"/>
  <c r="AE76" i="22" s="1"/>
  <c r="AF76" i="3"/>
  <c r="AF76" i="22" s="1"/>
  <c r="AG76" i="3"/>
  <c r="AG76" i="22" s="1"/>
  <c r="AH76" i="3"/>
  <c r="AH76" i="22" s="1"/>
  <c r="AI76" i="3"/>
  <c r="AI76" i="22" s="1"/>
  <c r="AJ76" i="3"/>
  <c r="AJ76" i="22" s="1"/>
  <c r="AK76" i="3"/>
  <c r="AK76" i="22" s="1"/>
  <c r="AL76" i="3"/>
  <c r="AL76" i="22" s="1"/>
  <c r="AM76" i="3"/>
  <c r="AM76" i="22" s="1"/>
  <c r="AN76" i="3"/>
  <c r="AN76" i="22" s="1"/>
  <c r="AO76" i="3"/>
  <c r="AO76" i="22" s="1"/>
  <c r="AP76" i="3"/>
  <c r="AP76" i="22" s="1"/>
  <c r="AQ76" i="3"/>
  <c r="AQ76" i="22" s="1"/>
  <c r="AR76" i="3"/>
  <c r="AR76" i="22" s="1"/>
  <c r="AS76" i="3"/>
  <c r="AS76" i="22" s="1"/>
  <c r="AT76" i="3"/>
  <c r="AT76" i="22" s="1"/>
  <c r="AU76" i="3"/>
  <c r="AU76" i="22" s="1"/>
  <c r="AV76" i="3"/>
  <c r="AV76" i="22" s="1"/>
  <c r="AW76" i="3"/>
  <c r="AW76" i="22" s="1"/>
  <c r="AX76" i="3"/>
  <c r="AX76" i="22" s="1"/>
  <c r="B11" i="3"/>
  <c r="B11" i="22" s="1"/>
  <c r="C11" i="3"/>
  <c r="C11" i="22" s="1"/>
  <c r="D11" i="3"/>
  <c r="D11" i="22" s="1"/>
  <c r="E11" i="3"/>
  <c r="E11" i="22" s="1"/>
  <c r="F11" i="3"/>
  <c r="F11" i="22" s="1"/>
  <c r="G11" i="3"/>
  <c r="G11" i="22" s="1"/>
  <c r="H11" i="3"/>
  <c r="H11" i="22" s="1"/>
  <c r="I11" i="3"/>
  <c r="I11" i="22" s="1"/>
  <c r="J11" i="3"/>
  <c r="J11" i="22" s="1"/>
  <c r="K11" i="3"/>
  <c r="K11" i="22" s="1"/>
  <c r="L11" i="3"/>
  <c r="L11" i="22" s="1"/>
  <c r="M11" i="3"/>
  <c r="M11" i="22" s="1"/>
  <c r="N11" i="3"/>
  <c r="N11" i="22" s="1"/>
  <c r="O11" i="3"/>
  <c r="O11" i="22" s="1"/>
  <c r="P11" i="3"/>
  <c r="P11" i="22" s="1"/>
  <c r="Q11" i="3"/>
  <c r="Q11" i="22" s="1"/>
  <c r="R11" i="3"/>
  <c r="R11" i="22" s="1"/>
  <c r="S11" i="3"/>
  <c r="S11" i="22" s="1"/>
  <c r="T11" i="3"/>
  <c r="T11" i="22" s="1"/>
  <c r="U11" i="3"/>
  <c r="U11" i="22" s="1"/>
  <c r="V11" i="3"/>
  <c r="V11" i="22" s="1"/>
  <c r="W11" i="3"/>
  <c r="W11" i="22" s="1"/>
  <c r="X11" i="3"/>
  <c r="X11" i="22" s="1"/>
  <c r="Y11" i="3"/>
  <c r="Y11" i="22" s="1"/>
  <c r="Z11" i="3"/>
  <c r="Z11" i="22" s="1"/>
  <c r="AA11" i="3"/>
  <c r="AA11" i="22" s="1"/>
  <c r="AB11" i="3"/>
  <c r="AB11" i="22" s="1"/>
  <c r="AC11" i="3"/>
  <c r="AC11" i="22" s="1"/>
  <c r="AD11" i="3"/>
  <c r="AD11" i="22" s="1"/>
  <c r="AE11" i="3"/>
  <c r="AE11" i="22" s="1"/>
  <c r="AF11" i="3"/>
  <c r="AF11" i="22" s="1"/>
  <c r="AG11" i="3"/>
  <c r="AG11" i="22" s="1"/>
  <c r="AH11" i="3"/>
  <c r="AH11" i="22" s="1"/>
  <c r="AI11" i="3"/>
  <c r="AI11" i="22" s="1"/>
  <c r="AJ11" i="3"/>
  <c r="AJ11" i="22" s="1"/>
  <c r="AK11" i="3"/>
  <c r="AK11" i="22" s="1"/>
  <c r="AL11" i="3"/>
  <c r="AL11" i="22" s="1"/>
  <c r="AM11" i="3"/>
  <c r="AM11" i="22" s="1"/>
  <c r="AN11" i="3"/>
  <c r="AN11" i="22" s="1"/>
  <c r="AO11" i="3"/>
  <c r="AO11" i="22" s="1"/>
  <c r="AP11" i="3"/>
  <c r="AP11" i="22" s="1"/>
  <c r="AQ11" i="3"/>
  <c r="AQ11" i="22" s="1"/>
  <c r="AR11" i="3"/>
  <c r="AR11" i="22" s="1"/>
  <c r="AS11" i="3"/>
  <c r="AS11" i="22" s="1"/>
  <c r="AT11" i="3"/>
  <c r="AT11" i="22" s="1"/>
  <c r="AU11" i="3"/>
  <c r="AU11" i="22" s="1"/>
  <c r="AV11" i="3"/>
  <c r="AV11" i="22" s="1"/>
  <c r="AW11" i="3"/>
  <c r="AW11" i="22" s="1"/>
  <c r="AX11" i="3"/>
  <c r="AX11" i="22" s="1"/>
  <c r="B70" i="3"/>
  <c r="B70" i="22" s="1"/>
  <c r="C70" i="3"/>
  <c r="C70" i="22" s="1"/>
  <c r="D70" i="3"/>
  <c r="D70" i="22" s="1"/>
  <c r="E70" i="3"/>
  <c r="E70" i="22" s="1"/>
  <c r="F70" i="3"/>
  <c r="F70" i="22" s="1"/>
  <c r="G70" i="3"/>
  <c r="G70" i="22" s="1"/>
  <c r="H70" i="3"/>
  <c r="H70" i="22" s="1"/>
  <c r="I70" i="3"/>
  <c r="I70" i="22" s="1"/>
  <c r="J70" i="3"/>
  <c r="J70" i="22" s="1"/>
  <c r="K70" i="3"/>
  <c r="K70" i="22" s="1"/>
  <c r="L70" i="3"/>
  <c r="L70" i="22" s="1"/>
  <c r="M70" i="3"/>
  <c r="M70" i="22" s="1"/>
  <c r="N70" i="3"/>
  <c r="N70" i="22" s="1"/>
  <c r="O70" i="3"/>
  <c r="O70" i="22" s="1"/>
  <c r="P70" i="3"/>
  <c r="P70" i="22" s="1"/>
  <c r="Q70" i="3"/>
  <c r="Q70" i="22" s="1"/>
  <c r="R70" i="3"/>
  <c r="R70" i="22" s="1"/>
  <c r="S70" i="3"/>
  <c r="S70" i="22" s="1"/>
  <c r="T70" i="3"/>
  <c r="T70" i="22" s="1"/>
  <c r="U70" i="3"/>
  <c r="U70" i="22" s="1"/>
  <c r="V70" i="3"/>
  <c r="V70" i="22" s="1"/>
  <c r="W70" i="3"/>
  <c r="W70" i="22" s="1"/>
  <c r="X70" i="3"/>
  <c r="X70" i="22" s="1"/>
  <c r="Y70" i="3"/>
  <c r="Y70" i="22" s="1"/>
  <c r="Z70" i="3"/>
  <c r="Z70" i="22" s="1"/>
  <c r="AA70" i="3"/>
  <c r="AA70" i="22" s="1"/>
  <c r="AB70" i="3"/>
  <c r="AB70" i="22" s="1"/>
  <c r="AC70" i="3"/>
  <c r="AC70" i="22" s="1"/>
  <c r="AD70" i="3"/>
  <c r="AD70" i="22" s="1"/>
  <c r="AE70" i="3"/>
  <c r="AE70" i="22" s="1"/>
  <c r="AF70" i="3"/>
  <c r="AF70" i="22" s="1"/>
  <c r="AG70" i="3"/>
  <c r="AG70" i="22" s="1"/>
  <c r="AH70" i="3"/>
  <c r="AH70" i="22" s="1"/>
  <c r="AI70" i="3"/>
  <c r="AI70" i="22" s="1"/>
  <c r="AJ70" i="3"/>
  <c r="AJ70" i="22" s="1"/>
  <c r="AK70" i="3"/>
  <c r="AK70" i="22" s="1"/>
  <c r="AL70" i="3"/>
  <c r="AL70" i="22" s="1"/>
  <c r="AM70" i="3"/>
  <c r="AM70" i="22" s="1"/>
  <c r="AN70" i="3"/>
  <c r="AN70" i="22" s="1"/>
  <c r="AO70" i="3"/>
  <c r="AO70" i="22" s="1"/>
  <c r="AP70" i="3"/>
  <c r="AP70" i="22" s="1"/>
  <c r="AQ70" i="3"/>
  <c r="AQ70" i="22" s="1"/>
  <c r="AR70" i="3"/>
  <c r="AR70" i="22" s="1"/>
  <c r="AS70" i="3"/>
  <c r="AS70" i="22" s="1"/>
  <c r="AT70" i="3"/>
  <c r="AT70" i="22" s="1"/>
  <c r="AU70" i="3"/>
  <c r="AU70" i="22" s="1"/>
  <c r="AV70" i="3"/>
  <c r="AV70" i="22" s="1"/>
  <c r="AW70" i="3"/>
  <c r="AW70" i="22" s="1"/>
  <c r="AX70" i="3"/>
  <c r="AX70" i="22" s="1"/>
  <c r="B60" i="3"/>
  <c r="B60" i="22" s="1"/>
  <c r="C60" i="3"/>
  <c r="C60" i="22" s="1"/>
  <c r="D60" i="3"/>
  <c r="D60" i="22" s="1"/>
  <c r="E60" i="3"/>
  <c r="E60" i="22" s="1"/>
  <c r="F60" i="3"/>
  <c r="F60" i="22" s="1"/>
  <c r="G60" i="3"/>
  <c r="G60" i="22" s="1"/>
  <c r="H60" i="3"/>
  <c r="H60" i="22" s="1"/>
  <c r="I60" i="3"/>
  <c r="I60" i="22" s="1"/>
  <c r="J60" i="3"/>
  <c r="J60" i="22" s="1"/>
  <c r="K60" i="3"/>
  <c r="K60" i="22" s="1"/>
  <c r="L60" i="3"/>
  <c r="L60" i="22" s="1"/>
  <c r="M60" i="3"/>
  <c r="M60" i="22" s="1"/>
  <c r="N60" i="3"/>
  <c r="N60" i="22" s="1"/>
  <c r="O60" i="3"/>
  <c r="O60" i="22" s="1"/>
  <c r="P60" i="3"/>
  <c r="P60" i="22" s="1"/>
  <c r="Q60" i="3"/>
  <c r="Q60" i="22" s="1"/>
  <c r="R60" i="3"/>
  <c r="R60" i="22" s="1"/>
  <c r="S60" i="3"/>
  <c r="S60" i="22" s="1"/>
  <c r="T60" i="3"/>
  <c r="T60" i="22" s="1"/>
  <c r="U60" i="3"/>
  <c r="U60" i="22" s="1"/>
  <c r="V60" i="3"/>
  <c r="V60" i="22" s="1"/>
  <c r="W60" i="3"/>
  <c r="W60" i="22" s="1"/>
  <c r="X60" i="3"/>
  <c r="X60" i="22" s="1"/>
  <c r="Y60" i="3"/>
  <c r="Y60" i="22" s="1"/>
  <c r="Z60" i="3"/>
  <c r="Z60" i="22" s="1"/>
  <c r="AA60" i="3"/>
  <c r="AA60" i="22" s="1"/>
  <c r="AB60" i="3"/>
  <c r="AB60" i="22" s="1"/>
  <c r="AC60" i="3"/>
  <c r="AC60" i="22" s="1"/>
  <c r="AD60" i="3"/>
  <c r="AD60" i="22" s="1"/>
  <c r="AE60" i="3"/>
  <c r="AE60" i="22" s="1"/>
  <c r="AF60" i="3"/>
  <c r="AF60" i="22" s="1"/>
  <c r="AG60" i="3"/>
  <c r="AG60" i="22" s="1"/>
  <c r="AH60" i="3"/>
  <c r="AH60" i="22" s="1"/>
  <c r="AI60" i="3"/>
  <c r="AI60" i="22" s="1"/>
  <c r="AJ60" i="3"/>
  <c r="AJ60" i="22" s="1"/>
  <c r="AK60" i="3"/>
  <c r="AK60" i="22" s="1"/>
  <c r="AL60" i="3"/>
  <c r="AL60" i="22" s="1"/>
  <c r="AM60" i="3"/>
  <c r="AM60" i="22" s="1"/>
  <c r="AN60" i="3"/>
  <c r="AN60" i="22" s="1"/>
  <c r="AO60" i="3"/>
  <c r="AO60" i="22" s="1"/>
  <c r="AP60" i="3"/>
  <c r="AP60" i="22" s="1"/>
  <c r="AQ60" i="3"/>
  <c r="AQ60" i="22" s="1"/>
  <c r="AR60" i="3"/>
  <c r="AR60" i="22" s="1"/>
  <c r="AS60" i="3"/>
  <c r="AS60" i="22" s="1"/>
  <c r="AT60" i="3"/>
  <c r="AT60" i="22" s="1"/>
  <c r="AU60" i="3"/>
  <c r="AU60" i="22" s="1"/>
  <c r="AV60" i="3"/>
  <c r="AV60" i="22" s="1"/>
  <c r="AW60" i="3"/>
  <c r="AW60" i="22" s="1"/>
  <c r="AX60" i="3"/>
  <c r="AX60" i="22" s="1"/>
  <c r="B63" i="3"/>
  <c r="B63" i="22" s="1"/>
  <c r="C63" i="3"/>
  <c r="C63" i="22" s="1"/>
  <c r="D63" i="3"/>
  <c r="D63" i="22" s="1"/>
  <c r="E63" i="3"/>
  <c r="E63" i="22" s="1"/>
  <c r="F63" i="3"/>
  <c r="F63" i="22" s="1"/>
  <c r="G63" i="3"/>
  <c r="G63" i="22" s="1"/>
  <c r="H63" i="3"/>
  <c r="H63" i="22" s="1"/>
  <c r="I63" i="3"/>
  <c r="I63" i="22" s="1"/>
  <c r="J63" i="3"/>
  <c r="J63" i="22" s="1"/>
  <c r="K63" i="3"/>
  <c r="K63" i="22" s="1"/>
  <c r="L63" i="3"/>
  <c r="L63" i="22" s="1"/>
  <c r="M63" i="3"/>
  <c r="M63" i="22" s="1"/>
  <c r="N63" i="3"/>
  <c r="N63" i="22" s="1"/>
  <c r="O63" i="3"/>
  <c r="O63" i="22" s="1"/>
  <c r="P63" i="3"/>
  <c r="P63" i="22" s="1"/>
  <c r="Q63" i="3"/>
  <c r="Q63" i="22" s="1"/>
  <c r="R63" i="3"/>
  <c r="R63" i="22" s="1"/>
  <c r="S63" i="3"/>
  <c r="S63" i="22" s="1"/>
  <c r="T63" i="3"/>
  <c r="T63" i="22" s="1"/>
  <c r="U63" i="3"/>
  <c r="U63" i="22" s="1"/>
  <c r="V63" i="3"/>
  <c r="V63" i="22" s="1"/>
  <c r="W63" i="3"/>
  <c r="W63" i="22" s="1"/>
  <c r="X63" i="3"/>
  <c r="X63" i="22" s="1"/>
  <c r="Y63" i="3"/>
  <c r="Y63" i="22" s="1"/>
  <c r="Z63" i="3"/>
  <c r="Z63" i="22" s="1"/>
  <c r="AA63" i="3"/>
  <c r="AA63" i="22" s="1"/>
  <c r="AB63" i="3"/>
  <c r="AB63" i="22" s="1"/>
  <c r="AC63" i="3"/>
  <c r="AC63" i="22" s="1"/>
  <c r="AD63" i="3"/>
  <c r="AD63" i="22" s="1"/>
  <c r="AE63" i="3"/>
  <c r="AE63" i="22" s="1"/>
  <c r="AF63" i="3"/>
  <c r="AF63" i="22" s="1"/>
  <c r="AG63" i="3"/>
  <c r="AG63" i="22" s="1"/>
  <c r="AH63" i="3"/>
  <c r="AH63" i="22" s="1"/>
  <c r="AI63" i="3"/>
  <c r="AI63" i="22" s="1"/>
  <c r="AJ63" i="3"/>
  <c r="AJ63" i="22" s="1"/>
  <c r="AK63" i="3"/>
  <c r="AK63" i="22" s="1"/>
  <c r="AL63" i="3"/>
  <c r="AL63" i="22" s="1"/>
  <c r="AM63" i="3"/>
  <c r="AM63" i="22" s="1"/>
  <c r="AN63" i="3"/>
  <c r="AN63" i="22" s="1"/>
  <c r="AO63" i="3"/>
  <c r="AO63" i="22" s="1"/>
  <c r="AP63" i="3"/>
  <c r="AP63" i="22" s="1"/>
  <c r="AQ63" i="3"/>
  <c r="AQ63" i="22" s="1"/>
  <c r="AR63" i="3"/>
  <c r="AR63" i="22" s="1"/>
  <c r="AS63" i="3"/>
  <c r="AS63" i="22" s="1"/>
  <c r="AT63" i="3"/>
  <c r="AT63" i="22" s="1"/>
  <c r="AU63" i="3"/>
  <c r="AU63" i="22" s="1"/>
  <c r="AV63" i="3"/>
  <c r="AV63" i="22" s="1"/>
  <c r="AW63" i="3"/>
  <c r="AW63" i="22" s="1"/>
  <c r="AX63" i="3"/>
  <c r="AX63" i="22" s="1"/>
  <c r="B89" i="3"/>
  <c r="B89" i="22" s="1"/>
  <c r="C89" i="3"/>
  <c r="C89" i="22" s="1"/>
  <c r="D89" i="3"/>
  <c r="D89" i="22" s="1"/>
  <c r="E89" i="3"/>
  <c r="E89" i="22" s="1"/>
  <c r="F89" i="3"/>
  <c r="F89" i="22" s="1"/>
  <c r="G89" i="3"/>
  <c r="G89" i="22" s="1"/>
  <c r="H89" i="3"/>
  <c r="H89" i="22" s="1"/>
  <c r="I89" i="3"/>
  <c r="I89" i="22" s="1"/>
  <c r="J89" i="3"/>
  <c r="J89" i="22" s="1"/>
  <c r="K89" i="3"/>
  <c r="K89" i="22" s="1"/>
  <c r="L89" i="3"/>
  <c r="L89" i="22" s="1"/>
  <c r="M89" i="3"/>
  <c r="M89" i="22" s="1"/>
  <c r="N89" i="3"/>
  <c r="N89" i="22" s="1"/>
  <c r="O89" i="3"/>
  <c r="O89" i="22" s="1"/>
  <c r="P89" i="3"/>
  <c r="P89" i="22" s="1"/>
  <c r="Q89" i="3"/>
  <c r="Q89" i="22" s="1"/>
  <c r="R89" i="3"/>
  <c r="R89" i="22" s="1"/>
  <c r="S89" i="3"/>
  <c r="S89" i="22" s="1"/>
  <c r="T89" i="3"/>
  <c r="T89" i="22" s="1"/>
  <c r="U89" i="3"/>
  <c r="U89" i="22" s="1"/>
  <c r="V89" i="3"/>
  <c r="V89" i="22" s="1"/>
  <c r="W89" i="3"/>
  <c r="W89" i="22" s="1"/>
  <c r="X89" i="3"/>
  <c r="X89" i="22" s="1"/>
  <c r="Y89" i="3"/>
  <c r="Y89" i="22" s="1"/>
  <c r="Z89" i="3"/>
  <c r="Z89" i="22" s="1"/>
  <c r="AA89" i="3"/>
  <c r="AA89" i="22" s="1"/>
  <c r="AB89" i="3"/>
  <c r="AB89" i="22" s="1"/>
  <c r="AC89" i="3"/>
  <c r="AC89" i="22" s="1"/>
  <c r="AD89" i="3"/>
  <c r="AD89" i="22" s="1"/>
  <c r="AE89" i="3"/>
  <c r="AE89" i="22" s="1"/>
  <c r="AF89" i="3"/>
  <c r="AF89" i="22" s="1"/>
  <c r="AG89" i="3"/>
  <c r="AG89" i="22" s="1"/>
  <c r="AH89" i="3"/>
  <c r="AH89" i="22" s="1"/>
  <c r="AI89" i="3"/>
  <c r="AI89" i="22" s="1"/>
  <c r="AJ89" i="3"/>
  <c r="AJ89" i="22" s="1"/>
  <c r="AK89" i="3"/>
  <c r="AK89" i="22" s="1"/>
  <c r="AL89" i="3"/>
  <c r="AL89" i="22" s="1"/>
  <c r="AM89" i="3"/>
  <c r="AM89" i="22" s="1"/>
  <c r="AN89" i="3"/>
  <c r="AN89" i="22" s="1"/>
  <c r="AO89" i="3"/>
  <c r="AO89" i="22" s="1"/>
  <c r="AP89" i="3"/>
  <c r="AP89" i="22" s="1"/>
  <c r="AQ89" i="3"/>
  <c r="AQ89" i="22" s="1"/>
  <c r="AR89" i="3"/>
  <c r="AR89" i="22" s="1"/>
  <c r="AS89" i="3"/>
  <c r="AS89" i="22" s="1"/>
  <c r="AT89" i="3"/>
  <c r="AT89" i="22" s="1"/>
  <c r="AU89" i="3"/>
  <c r="AU89" i="22" s="1"/>
  <c r="AV89" i="3"/>
  <c r="AV89" i="22" s="1"/>
  <c r="AW89" i="3"/>
  <c r="AW89" i="22" s="1"/>
  <c r="AX89" i="3"/>
  <c r="AX89" i="22" s="1"/>
  <c r="B61" i="3"/>
  <c r="B61" i="22" s="1"/>
  <c r="C61" i="3"/>
  <c r="C61" i="22" s="1"/>
  <c r="D61" i="3"/>
  <c r="D61" i="22" s="1"/>
  <c r="E61" i="3"/>
  <c r="E61" i="22" s="1"/>
  <c r="F61" i="3"/>
  <c r="F61" i="22" s="1"/>
  <c r="G61" i="3"/>
  <c r="G61" i="22" s="1"/>
  <c r="H61" i="3"/>
  <c r="H61" i="22" s="1"/>
  <c r="I61" i="3"/>
  <c r="I61" i="22" s="1"/>
  <c r="J61" i="3"/>
  <c r="J61" i="22" s="1"/>
  <c r="K61" i="3"/>
  <c r="K61" i="22" s="1"/>
  <c r="L61" i="3"/>
  <c r="L61" i="22" s="1"/>
  <c r="M61" i="3"/>
  <c r="M61" i="22" s="1"/>
  <c r="N61" i="3"/>
  <c r="N61" i="22" s="1"/>
  <c r="O61" i="3"/>
  <c r="O61" i="22" s="1"/>
  <c r="P61" i="3"/>
  <c r="P61" i="22" s="1"/>
  <c r="Q61" i="3"/>
  <c r="Q61" i="22" s="1"/>
  <c r="R61" i="3"/>
  <c r="R61" i="22" s="1"/>
  <c r="S61" i="3"/>
  <c r="S61" i="22" s="1"/>
  <c r="T61" i="3"/>
  <c r="T61" i="22" s="1"/>
  <c r="U61" i="3"/>
  <c r="U61" i="22" s="1"/>
  <c r="V61" i="3"/>
  <c r="V61" i="22" s="1"/>
  <c r="W61" i="3"/>
  <c r="W61" i="22" s="1"/>
  <c r="X61" i="3"/>
  <c r="X61" i="22" s="1"/>
  <c r="Y61" i="3"/>
  <c r="Y61" i="22" s="1"/>
  <c r="Z61" i="3"/>
  <c r="Z61" i="22" s="1"/>
  <c r="AA61" i="3"/>
  <c r="AA61" i="22" s="1"/>
  <c r="AB61" i="3"/>
  <c r="AB61" i="22" s="1"/>
  <c r="AC61" i="3"/>
  <c r="AC61" i="22" s="1"/>
  <c r="AD61" i="3"/>
  <c r="AD61" i="22" s="1"/>
  <c r="AE61" i="3"/>
  <c r="AE61" i="22" s="1"/>
  <c r="AF61" i="3"/>
  <c r="AF61" i="22" s="1"/>
  <c r="AG61" i="3"/>
  <c r="AG61" i="22" s="1"/>
  <c r="AH61" i="3"/>
  <c r="AH61" i="22" s="1"/>
  <c r="AI61" i="3"/>
  <c r="AI61" i="22" s="1"/>
  <c r="AJ61" i="3"/>
  <c r="AJ61" i="22" s="1"/>
  <c r="AK61" i="3"/>
  <c r="AK61" i="22" s="1"/>
  <c r="AL61" i="3"/>
  <c r="AL61" i="22" s="1"/>
  <c r="AM61" i="3"/>
  <c r="AM61" i="22" s="1"/>
  <c r="AN61" i="3"/>
  <c r="AN61" i="22" s="1"/>
  <c r="AO61" i="3"/>
  <c r="AO61" i="22" s="1"/>
  <c r="AP61" i="3"/>
  <c r="AP61" i="22" s="1"/>
  <c r="AQ61" i="3"/>
  <c r="AQ61" i="22" s="1"/>
  <c r="AR61" i="3"/>
  <c r="AR61" i="22" s="1"/>
  <c r="AS61" i="3"/>
  <c r="AS61" i="22" s="1"/>
  <c r="AT61" i="3"/>
  <c r="AT61" i="22" s="1"/>
  <c r="AU61" i="3"/>
  <c r="AU61" i="22" s="1"/>
  <c r="AV61" i="3"/>
  <c r="AV61" i="22" s="1"/>
  <c r="AW61" i="3"/>
  <c r="AW61" i="22" s="1"/>
  <c r="AX61" i="3"/>
  <c r="AX61" i="22" s="1"/>
  <c r="B48" i="3"/>
  <c r="B48" i="22" s="1"/>
  <c r="C48" i="3"/>
  <c r="C48" i="22" s="1"/>
  <c r="D48" i="3"/>
  <c r="D48" i="22" s="1"/>
  <c r="E48" i="3"/>
  <c r="E48" i="22" s="1"/>
  <c r="F48" i="3"/>
  <c r="F48" i="22" s="1"/>
  <c r="G48" i="3"/>
  <c r="G48" i="22" s="1"/>
  <c r="H48" i="3"/>
  <c r="H48" i="22" s="1"/>
  <c r="I48" i="3"/>
  <c r="I48" i="22" s="1"/>
  <c r="J48" i="3"/>
  <c r="J48" i="22" s="1"/>
  <c r="K48" i="3"/>
  <c r="K48" i="22" s="1"/>
  <c r="L48" i="3"/>
  <c r="L48" i="22" s="1"/>
  <c r="M48" i="3"/>
  <c r="M48" i="22" s="1"/>
  <c r="N48" i="3"/>
  <c r="N48" i="22" s="1"/>
  <c r="O48" i="3"/>
  <c r="O48" i="22" s="1"/>
  <c r="P48" i="3"/>
  <c r="P48" i="22" s="1"/>
  <c r="Q48" i="3"/>
  <c r="Q48" i="22" s="1"/>
  <c r="R48" i="3"/>
  <c r="R48" i="22" s="1"/>
  <c r="S48" i="3"/>
  <c r="S48" i="22" s="1"/>
  <c r="T48" i="3"/>
  <c r="T48" i="22" s="1"/>
  <c r="U48" i="3"/>
  <c r="U48" i="22" s="1"/>
  <c r="V48" i="3"/>
  <c r="V48" i="22" s="1"/>
  <c r="W48" i="3"/>
  <c r="W48" i="22" s="1"/>
  <c r="X48" i="3"/>
  <c r="X48" i="22" s="1"/>
  <c r="Y48" i="3"/>
  <c r="Y48" i="22" s="1"/>
  <c r="Z48" i="3"/>
  <c r="Z48" i="22" s="1"/>
  <c r="AA48" i="3"/>
  <c r="AA48" i="22" s="1"/>
  <c r="AB48" i="3"/>
  <c r="AB48" i="22" s="1"/>
  <c r="AC48" i="3"/>
  <c r="AC48" i="22" s="1"/>
  <c r="AD48" i="3"/>
  <c r="AD48" i="22" s="1"/>
  <c r="AE48" i="3"/>
  <c r="AE48" i="22" s="1"/>
  <c r="AF48" i="3"/>
  <c r="AF48" i="22" s="1"/>
  <c r="AG48" i="3"/>
  <c r="AG48" i="22" s="1"/>
  <c r="AH48" i="3"/>
  <c r="AH48" i="22" s="1"/>
  <c r="AI48" i="3"/>
  <c r="AI48" i="22" s="1"/>
  <c r="AJ48" i="3"/>
  <c r="AJ48" i="22" s="1"/>
  <c r="AK48" i="3"/>
  <c r="AK48" i="22" s="1"/>
  <c r="AL48" i="3"/>
  <c r="AL48" i="22" s="1"/>
  <c r="AM48" i="3"/>
  <c r="AM48" i="22" s="1"/>
  <c r="AN48" i="3"/>
  <c r="AN48" i="22" s="1"/>
  <c r="AO48" i="3"/>
  <c r="AO48" i="22" s="1"/>
  <c r="AP48" i="3"/>
  <c r="AP48" i="22" s="1"/>
  <c r="AQ48" i="3"/>
  <c r="AQ48" i="22" s="1"/>
  <c r="AR48" i="3"/>
  <c r="AR48" i="22" s="1"/>
  <c r="AS48" i="3"/>
  <c r="AS48" i="22" s="1"/>
  <c r="AT48" i="3"/>
  <c r="AT48" i="22" s="1"/>
  <c r="AU48" i="3"/>
  <c r="AU48" i="22" s="1"/>
  <c r="AV48" i="3"/>
  <c r="AV48" i="22" s="1"/>
  <c r="AW48" i="3"/>
  <c r="AW48" i="22" s="1"/>
  <c r="AX48" i="3"/>
  <c r="AX48" i="22" s="1"/>
  <c r="B47" i="3"/>
  <c r="B47" i="22" s="1"/>
  <c r="C47" i="3"/>
  <c r="C47" i="22" s="1"/>
  <c r="D47" i="3"/>
  <c r="D47" i="22" s="1"/>
  <c r="E47" i="3"/>
  <c r="E47" i="22" s="1"/>
  <c r="F47" i="3"/>
  <c r="F47" i="22" s="1"/>
  <c r="G47" i="3"/>
  <c r="G47" i="22" s="1"/>
  <c r="H47" i="3"/>
  <c r="H47" i="22" s="1"/>
  <c r="I47" i="3"/>
  <c r="I47" i="22" s="1"/>
  <c r="J47" i="3"/>
  <c r="J47" i="22" s="1"/>
  <c r="K47" i="3"/>
  <c r="K47" i="22" s="1"/>
  <c r="L47" i="3"/>
  <c r="L47" i="22" s="1"/>
  <c r="M47" i="3"/>
  <c r="M47" i="22" s="1"/>
  <c r="N47" i="3"/>
  <c r="N47" i="22" s="1"/>
  <c r="O47" i="3"/>
  <c r="O47" i="22" s="1"/>
  <c r="P47" i="3"/>
  <c r="P47" i="22" s="1"/>
  <c r="Q47" i="3"/>
  <c r="Q47" i="22" s="1"/>
  <c r="R47" i="3"/>
  <c r="R47" i="22" s="1"/>
  <c r="S47" i="3"/>
  <c r="S47" i="22" s="1"/>
  <c r="T47" i="3"/>
  <c r="T47" i="22" s="1"/>
  <c r="U47" i="3"/>
  <c r="U47" i="22" s="1"/>
  <c r="V47" i="3"/>
  <c r="V47" i="22" s="1"/>
  <c r="W47" i="3"/>
  <c r="W47" i="22" s="1"/>
  <c r="X47" i="3"/>
  <c r="X47" i="22" s="1"/>
  <c r="Y47" i="3"/>
  <c r="Y47" i="22" s="1"/>
  <c r="Z47" i="3"/>
  <c r="Z47" i="22" s="1"/>
  <c r="AA47" i="3"/>
  <c r="AA47" i="22" s="1"/>
  <c r="AB47" i="3"/>
  <c r="AB47" i="22" s="1"/>
  <c r="AC47" i="3"/>
  <c r="AC47" i="22" s="1"/>
  <c r="AD47" i="3"/>
  <c r="AD47" i="22" s="1"/>
  <c r="AE47" i="3"/>
  <c r="AE47" i="22" s="1"/>
  <c r="AF47" i="3"/>
  <c r="AF47" i="22" s="1"/>
  <c r="AG47" i="3"/>
  <c r="AG47" i="22" s="1"/>
  <c r="AH47" i="3"/>
  <c r="AH47" i="22" s="1"/>
  <c r="AI47" i="3"/>
  <c r="AI47" i="22" s="1"/>
  <c r="AJ47" i="3"/>
  <c r="AJ47" i="22" s="1"/>
  <c r="AK47" i="3"/>
  <c r="AK47" i="22" s="1"/>
  <c r="AL47" i="3"/>
  <c r="AL47" i="22" s="1"/>
  <c r="AM47" i="3"/>
  <c r="AM47" i="22" s="1"/>
  <c r="AN47" i="3"/>
  <c r="AN47" i="22" s="1"/>
  <c r="AO47" i="3"/>
  <c r="AO47" i="22" s="1"/>
  <c r="AP47" i="3"/>
  <c r="AP47" i="22" s="1"/>
  <c r="AQ47" i="3"/>
  <c r="AQ47" i="22" s="1"/>
  <c r="AR47" i="3"/>
  <c r="AR47" i="22" s="1"/>
  <c r="AS47" i="3"/>
  <c r="AS47" i="22" s="1"/>
  <c r="AT47" i="3"/>
  <c r="AT47" i="22" s="1"/>
  <c r="AU47" i="3"/>
  <c r="AU47" i="22" s="1"/>
  <c r="AV47" i="3"/>
  <c r="AV47" i="22" s="1"/>
  <c r="AW47" i="3"/>
  <c r="AW47" i="22" s="1"/>
  <c r="AX47" i="3"/>
  <c r="AX47" i="22" s="1"/>
  <c r="B33" i="3"/>
  <c r="B33" i="22" s="1"/>
  <c r="C33" i="3"/>
  <c r="C33" i="22" s="1"/>
  <c r="D33" i="3"/>
  <c r="D33" i="22" s="1"/>
  <c r="E33" i="3"/>
  <c r="E33" i="22" s="1"/>
  <c r="F33" i="3"/>
  <c r="F33" i="22" s="1"/>
  <c r="G33" i="3"/>
  <c r="G33" i="22" s="1"/>
  <c r="H33" i="3"/>
  <c r="H33" i="22" s="1"/>
  <c r="I33" i="3"/>
  <c r="I33" i="22" s="1"/>
  <c r="J33" i="3"/>
  <c r="J33" i="22" s="1"/>
  <c r="K33" i="3"/>
  <c r="K33" i="22" s="1"/>
  <c r="L33" i="3"/>
  <c r="L33" i="22" s="1"/>
  <c r="M33" i="3"/>
  <c r="M33" i="22" s="1"/>
  <c r="N33" i="3"/>
  <c r="N33" i="22" s="1"/>
  <c r="O33" i="3"/>
  <c r="O33" i="22" s="1"/>
  <c r="P33" i="3"/>
  <c r="P33" i="22" s="1"/>
  <c r="Q33" i="3"/>
  <c r="Q33" i="22" s="1"/>
  <c r="R33" i="3"/>
  <c r="R33" i="22" s="1"/>
  <c r="S33" i="3"/>
  <c r="S33" i="22" s="1"/>
  <c r="T33" i="3"/>
  <c r="T33" i="22" s="1"/>
  <c r="U33" i="3"/>
  <c r="U33" i="22" s="1"/>
  <c r="V33" i="3"/>
  <c r="V33" i="22" s="1"/>
  <c r="W33" i="3"/>
  <c r="W33" i="22" s="1"/>
  <c r="X33" i="3"/>
  <c r="X33" i="22" s="1"/>
  <c r="Y33" i="3"/>
  <c r="Y33" i="22" s="1"/>
  <c r="Z33" i="3"/>
  <c r="Z33" i="22" s="1"/>
  <c r="AA33" i="3"/>
  <c r="AA33" i="22" s="1"/>
  <c r="AB33" i="3"/>
  <c r="AB33" i="22" s="1"/>
  <c r="AC33" i="3"/>
  <c r="AC33" i="22" s="1"/>
  <c r="AD33" i="3"/>
  <c r="AD33" i="22" s="1"/>
  <c r="AE33" i="3"/>
  <c r="AE33" i="22" s="1"/>
  <c r="AF33" i="3"/>
  <c r="AF33" i="22" s="1"/>
  <c r="AG33" i="3"/>
  <c r="AG33" i="22" s="1"/>
  <c r="AH33" i="3"/>
  <c r="AH33" i="22" s="1"/>
  <c r="AI33" i="3"/>
  <c r="AI33" i="22" s="1"/>
  <c r="AJ33" i="3"/>
  <c r="AJ33" i="22" s="1"/>
  <c r="AK33" i="3"/>
  <c r="AK33" i="22" s="1"/>
  <c r="AL33" i="3"/>
  <c r="AL33" i="22" s="1"/>
  <c r="AM33" i="3"/>
  <c r="AM33" i="22" s="1"/>
  <c r="AN33" i="3"/>
  <c r="AN33" i="22" s="1"/>
  <c r="AO33" i="3"/>
  <c r="AO33" i="22" s="1"/>
  <c r="AP33" i="3"/>
  <c r="AP33" i="22" s="1"/>
  <c r="AQ33" i="3"/>
  <c r="AQ33" i="22" s="1"/>
  <c r="AR33" i="3"/>
  <c r="AR33" i="22" s="1"/>
  <c r="AS33" i="3"/>
  <c r="AS33" i="22" s="1"/>
  <c r="AT33" i="3"/>
  <c r="AT33" i="22" s="1"/>
  <c r="AU33" i="3"/>
  <c r="AU33" i="22" s="1"/>
  <c r="AV33" i="3"/>
  <c r="AV33" i="22" s="1"/>
  <c r="AW33" i="3"/>
  <c r="AW33" i="22" s="1"/>
  <c r="AX33" i="3"/>
  <c r="AX33" i="22" s="1"/>
  <c r="B20" i="3"/>
  <c r="B20" i="22" s="1"/>
  <c r="C20" i="3"/>
  <c r="C20" i="22" s="1"/>
  <c r="D20" i="3"/>
  <c r="D20" i="22" s="1"/>
  <c r="E20" i="3"/>
  <c r="E20" i="22" s="1"/>
  <c r="F20" i="3"/>
  <c r="F20" i="22" s="1"/>
  <c r="G20" i="3"/>
  <c r="G20" i="22" s="1"/>
  <c r="H20" i="3"/>
  <c r="H20" i="22" s="1"/>
  <c r="I20" i="3"/>
  <c r="I20" i="22" s="1"/>
  <c r="J20" i="3"/>
  <c r="J20" i="22" s="1"/>
  <c r="K20" i="3"/>
  <c r="K20" i="22" s="1"/>
  <c r="L20" i="3"/>
  <c r="L20" i="22" s="1"/>
  <c r="M20" i="3"/>
  <c r="M20" i="22" s="1"/>
  <c r="N20" i="3"/>
  <c r="N20" i="22" s="1"/>
  <c r="O20" i="3"/>
  <c r="O20" i="22" s="1"/>
  <c r="P20" i="3"/>
  <c r="P20" i="22" s="1"/>
  <c r="Q20" i="3"/>
  <c r="Q20" i="22" s="1"/>
  <c r="R20" i="3"/>
  <c r="R20" i="22" s="1"/>
  <c r="S20" i="3"/>
  <c r="S20" i="22" s="1"/>
  <c r="T20" i="3"/>
  <c r="T20" i="22" s="1"/>
  <c r="U20" i="3"/>
  <c r="U20" i="22" s="1"/>
  <c r="V20" i="3"/>
  <c r="V20" i="22" s="1"/>
  <c r="W20" i="3"/>
  <c r="W20" i="22" s="1"/>
  <c r="X20" i="3"/>
  <c r="X20" i="22" s="1"/>
  <c r="Y20" i="3"/>
  <c r="Y20" i="22" s="1"/>
  <c r="Z20" i="3"/>
  <c r="Z20" i="22" s="1"/>
  <c r="AA20" i="3"/>
  <c r="AA20" i="22" s="1"/>
  <c r="AB20" i="3"/>
  <c r="AB20" i="22" s="1"/>
  <c r="AC20" i="3"/>
  <c r="AC20" i="22" s="1"/>
  <c r="AD20" i="3"/>
  <c r="AD20" i="22" s="1"/>
  <c r="AE20" i="3"/>
  <c r="AE20" i="22" s="1"/>
  <c r="AF20" i="3"/>
  <c r="AF20" i="22" s="1"/>
  <c r="AG20" i="3"/>
  <c r="AG20" i="22" s="1"/>
  <c r="AH20" i="3"/>
  <c r="AH20" i="22" s="1"/>
  <c r="AI20" i="3"/>
  <c r="AI20" i="22" s="1"/>
  <c r="AJ20" i="3"/>
  <c r="AJ20" i="22" s="1"/>
  <c r="AK20" i="3"/>
  <c r="AK20" i="22" s="1"/>
  <c r="AL20" i="3"/>
  <c r="AL20" i="22" s="1"/>
  <c r="AM20" i="3"/>
  <c r="AM20" i="22" s="1"/>
  <c r="AN20" i="3"/>
  <c r="AN20" i="22" s="1"/>
  <c r="AO20" i="3"/>
  <c r="AO20" i="22" s="1"/>
  <c r="AP20" i="3"/>
  <c r="AP20" i="22" s="1"/>
  <c r="AQ20" i="3"/>
  <c r="AQ20" i="22" s="1"/>
  <c r="AR20" i="3"/>
  <c r="AR20" i="22" s="1"/>
  <c r="AS20" i="3"/>
  <c r="AS20" i="22" s="1"/>
  <c r="AT20" i="3"/>
  <c r="AT20" i="22" s="1"/>
  <c r="AU20" i="3"/>
  <c r="AU20" i="22" s="1"/>
  <c r="AV20" i="3"/>
  <c r="AV20" i="22" s="1"/>
  <c r="AW20" i="3"/>
  <c r="AW20" i="22" s="1"/>
  <c r="AX20" i="3"/>
  <c r="AX20" i="22" s="1"/>
  <c r="B95" i="3"/>
  <c r="B95" i="22" s="1"/>
  <c r="C95" i="3"/>
  <c r="C95" i="22" s="1"/>
  <c r="D95" i="3"/>
  <c r="D95" i="22" s="1"/>
  <c r="E95" i="3"/>
  <c r="E95" i="22" s="1"/>
  <c r="F95" i="3"/>
  <c r="F95" i="22" s="1"/>
  <c r="G95" i="3"/>
  <c r="G95" i="22" s="1"/>
  <c r="H95" i="3"/>
  <c r="H95" i="22" s="1"/>
  <c r="I95" i="3"/>
  <c r="I95" i="22" s="1"/>
  <c r="J95" i="3"/>
  <c r="J95" i="22" s="1"/>
  <c r="K95" i="3"/>
  <c r="K95" i="22" s="1"/>
  <c r="L95" i="3"/>
  <c r="L95" i="22" s="1"/>
  <c r="M95" i="3"/>
  <c r="M95" i="22" s="1"/>
  <c r="N95" i="3"/>
  <c r="N95" i="22" s="1"/>
  <c r="O95" i="3"/>
  <c r="O95" i="22" s="1"/>
  <c r="P95" i="3"/>
  <c r="P95" i="22" s="1"/>
  <c r="Q95" i="3"/>
  <c r="Q95" i="22" s="1"/>
  <c r="R95" i="3"/>
  <c r="R95" i="22" s="1"/>
  <c r="S95" i="3"/>
  <c r="S95" i="22" s="1"/>
  <c r="T95" i="3"/>
  <c r="T95" i="22" s="1"/>
  <c r="U95" i="3"/>
  <c r="U95" i="22" s="1"/>
  <c r="V95" i="3"/>
  <c r="V95" i="22" s="1"/>
  <c r="W95" i="3"/>
  <c r="W95" i="22" s="1"/>
  <c r="X95" i="3"/>
  <c r="X95" i="22" s="1"/>
  <c r="Y95" i="3"/>
  <c r="Y95" i="22" s="1"/>
  <c r="Z95" i="3"/>
  <c r="Z95" i="22" s="1"/>
  <c r="AA95" i="3"/>
  <c r="AA95" i="22" s="1"/>
  <c r="AB95" i="3"/>
  <c r="AB95" i="22" s="1"/>
  <c r="AC95" i="3"/>
  <c r="AC95" i="22" s="1"/>
  <c r="AD95" i="3"/>
  <c r="AD95" i="22" s="1"/>
  <c r="AE95" i="3"/>
  <c r="AE95" i="22" s="1"/>
  <c r="AF95" i="3"/>
  <c r="AF95" i="22" s="1"/>
  <c r="AG95" i="3"/>
  <c r="AG95" i="22" s="1"/>
  <c r="AH95" i="3"/>
  <c r="AH95" i="22" s="1"/>
  <c r="AI95" i="3"/>
  <c r="AI95" i="22" s="1"/>
  <c r="AJ95" i="3"/>
  <c r="AJ95" i="22" s="1"/>
  <c r="AK95" i="3"/>
  <c r="AK95" i="22" s="1"/>
  <c r="AL95" i="3"/>
  <c r="AL95" i="22" s="1"/>
  <c r="AM95" i="3"/>
  <c r="AM95" i="22" s="1"/>
  <c r="AN95" i="3"/>
  <c r="AN95" i="22" s="1"/>
  <c r="AO95" i="3"/>
  <c r="AO95" i="22" s="1"/>
  <c r="AP95" i="3"/>
  <c r="AP95" i="22" s="1"/>
  <c r="AQ95" i="3"/>
  <c r="AQ95" i="22" s="1"/>
  <c r="AR95" i="3"/>
  <c r="AR95" i="22" s="1"/>
  <c r="AS95" i="3"/>
  <c r="AS95" i="22" s="1"/>
  <c r="AT95" i="3"/>
  <c r="AT95" i="22" s="1"/>
  <c r="AU95" i="3"/>
  <c r="AU95" i="22" s="1"/>
  <c r="AV95" i="3"/>
  <c r="AV95" i="22" s="1"/>
  <c r="AW95" i="3"/>
  <c r="AW95" i="22" s="1"/>
  <c r="AX95" i="3"/>
  <c r="AX95" i="22" s="1"/>
  <c r="B36" i="3"/>
  <c r="B36" i="22" s="1"/>
  <c r="C36" i="3"/>
  <c r="C36" i="22" s="1"/>
  <c r="D36" i="3"/>
  <c r="D36" i="22" s="1"/>
  <c r="E36" i="3"/>
  <c r="E36" i="22" s="1"/>
  <c r="F36" i="3"/>
  <c r="F36" i="22" s="1"/>
  <c r="G36" i="3"/>
  <c r="G36" i="22" s="1"/>
  <c r="H36" i="3"/>
  <c r="H36" i="22" s="1"/>
  <c r="I36" i="3"/>
  <c r="I36" i="22" s="1"/>
  <c r="J36" i="3"/>
  <c r="J36" i="22" s="1"/>
  <c r="K36" i="3"/>
  <c r="K36" i="22" s="1"/>
  <c r="L36" i="3"/>
  <c r="L36" i="22" s="1"/>
  <c r="M36" i="3"/>
  <c r="M36" i="22" s="1"/>
  <c r="N36" i="3"/>
  <c r="N36" i="22" s="1"/>
  <c r="O36" i="3"/>
  <c r="O36" i="22" s="1"/>
  <c r="P36" i="3"/>
  <c r="P36" i="22" s="1"/>
  <c r="Q36" i="3"/>
  <c r="Q36" i="22" s="1"/>
  <c r="R36" i="3"/>
  <c r="R36" i="22" s="1"/>
  <c r="S36" i="3"/>
  <c r="S36" i="22" s="1"/>
  <c r="T36" i="3"/>
  <c r="T36" i="22" s="1"/>
  <c r="U36" i="3"/>
  <c r="U36" i="22" s="1"/>
  <c r="V36" i="3"/>
  <c r="V36" i="22" s="1"/>
  <c r="W36" i="3"/>
  <c r="W36" i="22" s="1"/>
  <c r="X36" i="3"/>
  <c r="X36" i="22" s="1"/>
  <c r="Y36" i="3"/>
  <c r="Y36" i="22" s="1"/>
  <c r="Z36" i="3"/>
  <c r="Z36" i="22" s="1"/>
  <c r="AA36" i="3"/>
  <c r="AA36" i="22" s="1"/>
  <c r="AB36" i="3"/>
  <c r="AB36" i="22" s="1"/>
  <c r="AC36" i="3"/>
  <c r="AC36" i="22" s="1"/>
  <c r="AD36" i="3"/>
  <c r="AD36" i="22" s="1"/>
  <c r="AE36" i="3"/>
  <c r="AE36" i="22" s="1"/>
  <c r="AF36" i="3"/>
  <c r="AF36" i="22" s="1"/>
  <c r="AG36" i="3"/>
  <c r="AG36" i="22" s="1"/>
  <c r="AH36" i="3"/>
  <c r="AH36" i="22" s="1"/>
  <c r="AI36" i="3"/>
  <c r="AI36" i="22" s="1"/>
  <c r="AJ36" i="3"/>
  <c r="AJ36" i="22" s="1"/>
  <c r="AK36" i="3"/>
  <c r="AK36" i="22" s="1"/>
  <c r="AL36" i="3"/>
  <c r="AL36" i="22" s="1"/>
  <c r="AM36" i="3"/>
  <c r="AM36" i="22" s="1"/>
  <c r="AN36" i="3"/>
  <c r="AN36" i="22" s="1"/>
  <c r="AO36" i="3"/>
  <c r="AO36" i="22" s="1"/>
  <c r="AP36" i="3"/>
  <c r="AP36" i="22" s="1"/>
  <c r="AQ36" i="3"/>
  <c r="AQ36" i="22" s="1"/>
  <c r="AR36" i="3"/>
  <c r="AR36" i="22" s="1"/>
  <c r="AS36" i="3"/>
  <c r="AS36" i="22" s="1"/>
  <c r="AT36" i="3"/>
  <c r="AT36" i="22" s="1"/>
  <c r="AU36" i="3"/>
  <c r="AU36" i="22" s="1"/>
  <c r="AV36" i="3"/>
  <c r="AV36" i="22" s="1"/>
  <c r="AW36" i="3"/>
  <c r="AW36" i="22" s="1"/>
  <c r="AX36" i="3"/>
  <c r="AX36" i="22" s="1"/>
  <c r="B51" i="3"/>
  <c r="B51" i="22" s="1"/>
  <c r="C51" i="3"/>
  <c r="C51" i="22" s="1"/>
  <c r="D51" i="3"/>
  <c r="D51" i="22" s="1"/>
  <c r="E51" i="3"/>
  <c r="E51" i="22" s="1"/>
  <c r="F51" i="3"/>
  <c r="F51" i="22" s="1"/>
  <c r="G51" i="3"/>
  <c r="G51" i="22" s="1"/>
  <c r="H51" i="3"/>
  <c r="H51" i="22" s="1"/>
  <c r="I51" i="3"/>
  <c r="I51" i="22" s="1"/>
  <c r="J51" i="3"/>
  <c r="J51" i="22" s="1"/>
  <c r="K51" i="3"/>
  <c r="K51" i="22" s="1"/>
  <c r="L51" i="3"/>
  <c r="L51" i="22" s="1"/>
  <c r="M51" i="3"/>
  <c r="M51" i="22" s="1"/>
  <c r="N51" i="3"/>
  <c r="N51" i="22" s="1"/>
  <c r="O51" i="3"/>
  <c r="O51" i="22" s="1"/>
  <c r="P51" i="3"/>
  <c r="P51" i="22" s="1"/>
  <c r="Q51" i="3"/>
  <c r="Q51" i="22" s="1"/>
  <c r="R51" i="3"/>
  <c r="R51" i="22" s="1"/>
  <c r="S51" i="3"/>
  <c r="S51" i="22" s="1"/>
  <c r="T51" i="3"/>
  <c r="T51" i="22" s="1"/>
  <c r="U51" i="3"/>
  <c r="U51" i="22" s="1"/>
  <c r="V51" i="3"/>
  <c r="V51" i="22" s="1"/>
  <c r="W51" i="3"/>
  <c r="W51" i="22" s="1"/>
  <c r="X51" i="3"/>
  <c r="X51" i="22" s="1"/>
  <c r="Y51" i="3"/>
  <c r="Y51" i="22" s="1"/>
  <c r="Z51" i="3"/>
  <c r="Z51" i="22" s="1"/>
  <c r="AA51" i="3"/>
  <c r="AA51" i="22" s="1"/>
  <c r="AB51" i="3"/>
  <c r="AB51" i="22" s="1"/>
  <c r="AC51" i="3"/>
  <c r="AC51" i="22" s="1"/>
  <c r="AD51" i="3"/>
  <c r="AD51" i="22" s="1"/>
  <c r="AE51" i="3"/>
  <c r="AE51" i="22" s="1"/>
  <c r="AF51" i="3"/>
  <c r="AF51" i="22" s="1"/>
  <c r="AG51" i="3"/>
  <c r="AG51" i="22" s="1"/>
  <c r="AH51" i="3"/>
  <c r="AH51" i="22" s="1"/>
  <c r="AI51" i="3"/>
  <c r="AI51" i="22" s="1"/>
  <c r="AJ51" i="3"/>
  <c r="AJ51" i="22" s="1"/>
  <c r="AK51" i="3"/>
  <c r="AK51" i="22" s="1"/>
  <c r="AL51" i="3"/>
  <c r="AL51" i="22" s="1"/>
  <c r="AM51" i="3"/>
  <c r="AM51" i="22" s="1"/>
  <c r="AN51" i="3"/>
  <c r="AN51" i="22" s="1"/>
  <c r="AO51" i="3"/>
  <c r="AO51" i="22" s="1"/>
  <c r="AP51" i="3"/>
  <c r="AP51" i="22" s="1"/>
  <c r="AQ51" i="3"/>
  <c r="AQ51" i="22" s="1"/>
  <c r="AR51" i="3"/>
  <c r="AR51" i="22" s="1"/>
  <c r="AS51" i="3"/>
  <c r="AS51" i="22" s="1"/>
  <c r="AT51" i="3"/>
  <c r="AT51" i="22" s="1"/>
  <c r="AU51" i="3"/>
  <c r="AU51" i="22" s="1"/>
  <c r="AV51" i="3"/>
  <c r="AV51" i="22" s="1"/>
  <c r="AW51" i="3"/>
  <c r="AW51" i="22" s="1"/>
  <c r="AX51" i="3"/>
  <c r="AX51" i="22" s="1"/>
  <c r="B42" i="3"/>
  <c r="B42" i="22" s="1"/>
  <c r="C42" i="3"/>
  <c r="C42" i="22" s="1"/>
  <c r="D42" i="3"/>
  <c r="D42" i="22" s="1"/>
  <c r="E42" i="3"/>
  <c r="E42" i="22" s="1"/>
  <c r="F42" i="3"/>
  <c r="F42" i="22" s="1"/>
  <c r="G42" i="3"/>
  <c r="G42" i="22" s="1"/>
  <c r="H42" i="3"/>
  <c r="H42" i="22" s="1"/>
  <c r="I42" i="3"/>
  <c r="I42" i="22" s="1"/>
  <c r="J42" i="3"/>
  <c r="J42" i="22" s="1"/>
  <c r="K42" i="3"/>
  <c r="K42" i="22" s="1"/>
  <c r="L42" i="3"/>
  <c r="L42" i="22" s="1"/>
  <c r="M42" i="3"/>
  <c r="M42" i="22" s="1"/>
  <c r="N42" i="3"/>
  <c r="N42" i="22" s="1"/>
  <c r="O42" i="3"/>
  <c r="O42" i="22" s="1"/>
  <c r="P42" i="3"/>
  <c r="P42" i="22" s="1"/>
  <c r="Q42" i="3"/>
  <c r="Q42" i="22" s="1"/>
  <c r="R42" i="3"/>
  <c r="R42" i="22" s="1"/>
  <c r="S42" i="3"/>
  <c r="S42" i="22" s="1"/>
  <c r="T42" i="3"/>
  <c r="T42" i="22" s="1"/>
  <c r="U42" i="3"/>
  <c r="U42" i="22" s="1"/>
  <c r="V42" i="3"/>
  <c r="V42" i="22" s="1"/>
  <c r="W42" i="3"/>
  <c r="W42" i="22" s="1"/>
  <c r="X42" i="3"/>
  <c r="X42" i="22" s="1"/>
  <c r="Y42" i="3"/>
  <c r="Y42" i="22" s="1"/>
  <c r="Z42" i="3"/>
  <c r="Z42" i="22" s="1"/>
  <c r="AA42" i="3"/>
  <c r="AA42" i="22" s="1"/>
  <c r="AB42" i="3"/>
  <c r="AB42" i="22" s="1"/>
  <c r="AC42" i="3"/>
  <c r="AC42" i="22" s="1"/>
  <c r="AD42" i="3"/>
  <c r="AD42" i="22" s="1"/>
  <c r="AE42" i="3"/>
  <c r="AE42" i="22" s="1"/>
  <c r="AF42" i="3"/>
  <c r="AF42" i="22" s="1"/>
  <c r="AG42" i="3"/>
  <c r="AG42" i="22" s="1"/>
  <c r="AH42" i="3"/>
  <c r="AH42" i="22" s="1"/>
  <c r="AI42" i="3"/>
  <c r="AI42" i="22" s="1"/>
  <c r="AJ42" i="3"/>
  <c r="AJ42" i="22" s="1"/>
  <c r="AK42" i="3"/>
  <c r="AK42" i="22" s="1"/>
  <c r="AL42" i="3"/>
  <c r="AL42" i="22" s="1"/>
  <c r="AM42" i="3"/>
  <c r="AM42" i="22" s="1"/>
  <c r="AN42" i="3"/>
  <c r="AN42" i="22" s="1"/>
  <c r="AO42" i="3"/>
  <c r="AO42" i="22" s="1"/>
  <c r="AP42" i="3"/>
  <c r="AP42" i="22" s="1"/>
  <c r="AQ42" i="3"/>
  <c r="AQ42" i="22" s="1"/>
  <c r="AR42" i="3"/>
  <c r="AR42" i="22" s="1"/>
  <c r="AS42" i="3"/>
  <c r="AS42" i="22" s="1"/>
  <c r="AT42" i="3"/>
  <c r="AT42" i="22" s="1"/>
  <c r="AU42" i="3"/>
  <c r="AU42" i="22" s="1"/>
  <c r="AV42" i="3"/>
  <c r="AV42" i="22" s="1"/>
  <c r="AW42" i="3"/>
  <c r="AW42" i="22" s="1"/>
  <c r="AX42" i="3"/>
  <c r="AX42" i="22" s="1"/>
  <c r="B37" i="3"/>
  <c r="B37" i="22" s="1"/>
  <c r="C37" i="3"/>
  <c r="C37" i="22" s="1"/>
  <c r="D37" i="3"/>
  <c r="D37" i="22" s="1"/>
  <c r="E37" i="3"/>
  <c r="E37" i="22" s="1"/>
  <c r="F37" i="3"/>
  <c r="F37" i="22" s="1"/>
  <c r="G37" i="3"/>
  <c r="G37" i="22" s="1"/>
  <c r="H37" i="3"/>
  <c r="H37" i="22" s="1"/>
  <c r="I37" i="3"/>
  <c r="I37" i="22" s="1"/>
  <c r="J37" i="3"/>
  <c r="J37" i="22" s="1"/>
  <c r="K37" i="3"/>
  <c r="K37" i="22" s="1"/>
  <c r="L37" i="3"/>
  <c r="L37" i="22" s="1"/>
  <c r="M37" i="3"/>
  <c r="M37" i="22" s="1"/>
  <c r="N37" i="3"/>
  <c r="N37" i="22" s="1"/>
  <c r="O37" i="3"/>
  <c r="O37" i="22" s="1"/>
  <c r="P37" i="3"/>
  <c r="P37" i="22" s="1"/>
  <c r="Q37" i="3"/>
  <c r="Q37" i="22" s="1"/>
  <c r="R37" i="3"/>
  <c r="R37" i="22" s="1"/>
  <c r="S37" i="3"/>
  <c r="S37" i="22" s="1"/>
  <c r="T37" i="3"/>
  <c r="T37" i="22" s="1"/>
  <c r="U37" i="3"/>
  <c r="U37" i="22" s="1"/>
  <c r="V37" i="3"/>
  <c r="V37" i="22" s="1"/>
  <c r="W37" i="3"/>
  <c r="W37" i="22" s="1"/>
  <c r="X37" i="3"/>
  <c r="X37" i="22" s="1"/>
  <c r="Y37" i="3"/>
  <c r="Y37" i="22" s="1"/>
  <c r="Z37" i="3"/>
  <c r="Z37" i="22" s="1"/>
  <c r="AA37" i="3"/>
  <c r="AA37" i="22" s="1"/>
  <c r="AB37" i="3"/>
  <c r="AB37" i="22" s="1"/>
  <c r="AC37" i="3"/>
  <c r="AC37" i="22" s="1"/>
  <c r="AD37" i="3"/>
  <c r="AD37" i="22" s="1"/>
  <c r="AE37" i="3"/>
  <c r="AE37" i="22" s="1"/>
  <c r="AF37" i="3"/>
  <c r="AF37" i="22" s="1"/>
  <c r="AG37" i="3"/>
  <c r="AG37" i="22" s="1"/>
  <c r="AH37" i="3"/>
  <c r="AH37" i="22" s="1"/>
  <c r="AI37" i="3"/>
  <c r="AI37" i="22" s="1"/>
  <c r="AJ37" i="3"/>
  <c r="AJ37" i="22" s="1"/>
  <c r="AK37" i="3"/>
  <c r="AK37" i="22" s="1"/>
  <c r="AL37" i="3"/>
  <c r="AL37" i="22" s="1"/>
  <c r="AM37" i="3"/>
  <c r="AM37" i="22" s="1"/>
  <c r="AN37" i="3"/>
  <c r="AN37" i="22" s="1"/>
  <c r="AO37" i="3"/>
  <c r="AO37" i="22" s="1"/>
  <c r="AP37" i="3"/>
  <c r="AP37" i="22" s="1"/>
  <c r="AQ37" i="3"/>
  <c r="AQ37" i="22" s="1"/>
  <c r="AR37" i="3"/>
  <c r="AR37" i="22" s="1"/>
  <c r="AS37" i="3"/>
  <c r="AS37" i="22" s="1"/>
  <c r="AT37" i="3"/>
  <c r="AT37" i="22" s="1"/>
  <c r="AU37" i="3"/>
  <c r="AU37" i="22" s="1"/>
  <c r="AV37" i="3"/>
  <c r="AV37" i="22" s="1"/>
  <c r="AW37" i="3"/>
  <c r="AW37" i="22" s="1"/>
  <c r="AX37" i="3"/>
  <c r="AX37" i="22" s="1"/>
  <c r="B81" i="3"/>
  <c r="B81" i="22" s="1"/>
  <c r="C81" i="3"/>
  <c r="C81" i="22" s="1"/>
  <c r="D81" i="3"/>
  <c r="D81" i="22" s="1"/>
  <c r="E81" i="3"/>
  <c r="E81" i="22" s="1"/>
  <c r="F81" i="3"/>
  <c r="F81" i="22" s="1"/>
  <c r="G81" i="3"/>
  <c r="G81" i="22" s="1"/>
  <c r="H81" i="3"/>
  <c r="H81" i="22" s="1"/>
  <c r="I81" i="3"/>
  <c r="I81" i="22" s="1"/>
  <c r="J81" i="3"/>
  <c r="J81" i="22" s="1"/>
  <c r="K81" i="3"/>
  <c r="K81" i="22" s="1"/>
  <c r="L81" i="3"/>
  <c r="L81" i="22" s="1"/>
  <c r="M81" i="3"/>
  <c r="M81" i="22" s="1"/>
  <c r="N81" i="3"/>
  <c r="N81" i="22" s="1"/>
  <c r="O81" i="3"/>
  <c r="O81" i="22" s="1"/>
  <c r="P81" i="3"/>
  <c r="P81" i="22" s="1"/>
  <c r="Q81" i="3"/>
  <c r="Q81" i="22" s="1"/>
  <c r="R81" i="3"/>
  <c r="R81" i="22" s="1"/>
  <c r="S81" i="3"/>
  <c r="S81" i="22" s="1"/>
  <c r="T81" i="3"/>
  <c r="T81" i="22" s="1"/>
  <c r="U81" i="3"/>
  <c r="U81" i="22" s="1"/>
  <c r="V81" i="3"/>
  <c r="V81" i="22" s="1"/>
  <c r="W81" i="3"/>
  <c r="W81" i="22" s="1"/>
  <c r="X81" i="3"/>
  <c r="X81" i="22" s="1"/>
  <c r="Y81" i="3"/>
  <c r="Y81" i="22" s="1"/>
  <c r="Z81" i="3"/>
  <c r="Z81" i="22" s="1"/>
  <c r="AA81" i="3"/>
  <c r="AA81" i="22" s="1"/>
  <c r="AB81" i="3"/>
  <c r="AB81" i="22" s="1"/>
  <c r="AC81" i="3"/>
  <c r="AC81" i="22" s="1"/>
  <c r="AD81" i="3"/>
  <c r="AD81" i="22" s="1"/>
  <c r="AE81" i="3"/>
  <c r="AE81" i="22" s="1"/>
  <c r="AF81" i="3"/>
  <c r="AF81" i="22" s="1"/>
  <c r="AG81" i="3"/>
  <c r="AG81" i="22" s="1"/>
  <c r="AH81" i="3"/>
  <c r="AH81" i="22" s="1"/>
  <c r="AI81" i="3"/>
  <c r="AI81" i="22" s="1"/>
  <c r="AJ81" i="3"/>
  <c r="AJ81" i="22" s="1"/>
  <c r="AK81" i="3"/>
  <c r="AK81" i="22" s="1"/>
  <c r="AL81" i="3"/>
  <c r="AL81" i="22" s="1"/>
  <c r="AM81" i="3"/>
  <c r="AM81" i="22" s="1"/>
  <c r="AN81" i="3"/>
  <c r="AN81" i="22" s="1"/>
  <c r="AO81" i="3"/>
  <c r="AO81" i="22" s="1"/>
  <c r="AP81" i="3"/>
  <c r="AP81" i="22" s="1"/>
  <c r="AQ81" i="3"/>
  <c r="AQ81" i="22" s="1"/>
  <c r="AR81" i="3"/>
  <c r="AR81" i="22" s="1"/>
  <c r="AS81" i="3"/>
  <c r="AS81" i="22" s="1"/>
  <c r="AT81" i="3"/>
  <c r="AT81" i="22" s="1"/>
  <c r="AU81" i="3"/>
  <c r="AU81" i="22" s="1"/>
  <c r="AV81" i="3"/>
  <c r="AV81" i="22" s="1"/>
  <c r="AW81" i="3"/>
  <c r="AW81" i="22" s="1"/>
  <c r="AX81" i="3"/>
  <c r="AX81" i="22" s="1"/>
  <c r="B54" i="3"/>
  <c r="B54" i="22" s="1"/>
  <c r="C54" i="3"/>
  <c r="C54" i="22" s="1"/>
  <c r="D54" i="3"/>
  <c r="D54" i="22" s="1"/>
  <c r="E54" i="3"/>
  <c r="E54" i="22" s="1"/>
  <c r="F54" i="3"/>
  <c r="F54" i="22" s="1"/>
  <c r="G54" i="3"/>
  <c r="G54" i="22" s="1"/>
  <c r="H54" i="3"/>
  <c r="H54" i="22" s="1"/>
  <c r="I54" i="3"/>
  <c r="I54" i="22" s="1"/>
  <c r="J54" i="3"/>
  <c r="J54" i="22" s="1"/>
  <c r="K54" i="3"/>
  <c r="K54" i="22" s="1"/>
  <c r="L54" i="3"/>
  <c r="L54" i="22" s="1"/>
  <c r="M54" i="3"/>
  <c r="M54" i="22" s="1"/>
  <c r="N54" i="3"/>
  <c r="N54" i="22" s="1"/>
  <c r="O54" i="3"/>
  <c r="O54" i="22" s="1"/>
  <c r="P54" i="3"/>
  <c r="P54" i="22" s="1"/>
  <c r="Q54" i="3"/>
  <c r="Q54" i="22" s="1"/>
  <c r="R54" i="3"/>
  <c r="R54" i="22" s="1"/>
  <c r="S54" i="3"/>
  <c r="S54" i="22" s="1"/>
  <c r="T54" i="3"/>
  <c r="T54" i="22" s="1"/>
  <c r="U54" i="3"/>
  <c r="U54" i="22" s="1"/>
  <c r="V54" i="3"/>
  <c r="V54" i="22" s="1"/>
  <c r="W54" i="3"/>
  <c r="W54" i="22" s="1"/>
  <c r="X54" i="3"/>
  <c r="X54" i="22" s="1"/>
  <c r="Y54" i="3"/>
  <c r="Y54" i="22" s="1"/>
  <c r="Z54" i="3"/>
  <c r="Z54" i="22" s="1"/>
  <c r="AA54" i="3"/>
  <c r="AA54" i="22" s="1"/>
  <c r="AB54" i="3"/>
  <c r="AB54" i="22" s="1"/>
  <c r="AC54" i="3"/>
  <c r="AC54" i="22" s="1"/>
  <c r="AD54" i="3"/>
  <c r="AD54" i="22" s="1"/>
  <c r="AE54" i="3"/>
  <c r="AE54" i="22" s="1"/>
  <c r="AF54" i="3"/>
  <c r="AF54" i="22" s="1"/>
  <c r="AG54" i="3"/>
  <c r="AG54" i="22" s="1"/>
  <c r="AH54" i="3"/>
  <c r="AH54" i="22" s="1"/>
  <c r="AI54" i="3"/>
  <c r="AI54" i="22" s="1"/>
  <c r="AJ54" i="3"/>
  <c r="AJ54" i="22" s="1"/>
  <c r="AK54" i="3"/>
  <c r="AK54" i="22" s="1"/>
  <c r="AL54" i="3"/>
  <c r="AL54" i="22" s="1"/>
  <c r="AM54" i="3"/>
  <c r="AM54" i="22" s="1"/>
  <c r="AN54" i="3"/>
  <c r="AN54" i="22" s="1"/>
  <c r="AO54" i="3"/>
  <c r="AO54" i="22" s="1"/>
  <c r="AP54" i="3"/>
  <c r="AP54" i="22" s="1"/>
  <c r="AQ54" i="3"/>
  <c r="AQ54" i="22" s="1"/>
  <c r="AR54" i="3"/>
  <c r="AR54" i="22" s="1"/>
  <c r="AS54" i="3"/>
  <c r="AS54" i="22" s="1"/>
  <c r="AT54" i="3"/>
  <c r="AT54" i="22" s="1"/>
  <c r="AU54" i="3"/>
  <c r="AU54" i="22" s="1"/>
  <c r="AV54" i="3"/>
  <c r="AV54" i="22" s="1"/>
  <c r="AW54" i="3"/>
  <c r="AW54" i="22" s="1"/>
  <c r="AX54" i="3"/>
  <c r="AX54" i="22" s="1"/>
  <c r="B22" i="3"/>
  <c r="B22" i="22" s="1"/>
  <c r="C22" i="3"/>
  <c r="C22" i="22" s="1"/>
  <c r="D22" i="3"/>
  <c r="D22" i="22" s="1"/>
  <c r="E22" i="3"/>
  <c r="E22" i="22" s="1"/>
  <c r="F22" i="3"/>
  <c r="F22" i="22" s="1"/>
  <c r="G22" i="3"/>
  <c r="G22" i="22" s="1"/>
  <c r="H22" i="3"/>
  <c r="H22" i="22" s="1"/>
  <c r="I22" i="3"/>
  <c r="I22" i="22" s="1"/>
  <c r="J22" i="3"/>
  <c r="J22" i="22" s="1"/>
  <c r="K22" i="3"/>
  <c r="K22" i="22" s="1"/>
  <c r="L22" i="3"/>
  <c r="L22" i="22" s="1"/>
  <c r="M22" i="3"/>
  <c r="M22" i="22" s="1"/>
  <c r="N22" i="3"/>
  <c r="N22" i="22" s="1"/>
  <c r="O22" i="3"/>
  <c r="O22" i="22" s="1"/>
  <c r="P22" i="3"/>
  <c r="P22" i="22" s="1"/>
  <c r="Q22" i="3"/>
  <c r="Q22" i="22" s="1"/>
  <c r="R22" i="3"/>
  <c r="R22" i="22" s="1"/>
  <c r="S22" i="3"/>
  <c r="S22" i="22" s="1"/>
  <c r="T22" i="3"/>
  <c r="T22" i="22" s="1"/>
  <c r="U22" i="3"/>
  <c r="U22" i="22" s="1"/>
  <c r="V22" i="3"/>
  <c r="V22" i="22" s="1"/>
  <c r="W22" i="3"/>
  <c r="W22" i="22" s="1"/>
  <c r="X22" i="3"/>
  <c r="X22" i="22" s="1"/>
  <c r="Y22" i="3"/>
  <c r="Y22" i="22" s="1"/>
  <c r="Z22" i="3"/>
  <c r="Z22" i="22" s="1"/>
  <c r="AA22" i="3"/>
  <c r="AA22" i="22" s="1"/>
  <c r="AB22" i="3"/>
  <c r="AB22" i="22" s="1"/>
  <c r="AC22" i="3"/>
  <c r="AC22" i="22" s="1"/>
  <c r="AD22" i="3"/>
  <c r="AD22" i="22" s="1"/>
  <c r="AE22" i="3"/>
  <c r="AE22" i="22" s="1"/>
  <c r="AF22" i="3"/>
  <c r="AF22" i="22" s="1"/>
  <c r="AG22" i="3"/>
  <c r="AG22" i="22" s="1"/>
  <c r="AH22" i="3"/>
  <c r="AH22" i="22" s="1"/>
  <c r="AI22" i="3"/>
  <c r="AI22" i="22" s="1"/>
  <c r="AJ22" i="3"/>
  <c r="AJ22" i="22" s="1"/>
  <c r="AK22" i="3"/>
  <c r="AK22" i="22" s="1"/>
  <c r="AL22" i="3"/>
  <c r="AL22" i="22" s="1"/>
  <c r="AM22" i="3"/>
  <c r="AM22" i="22" s="1"/>
  <c r="AN22" i="3"/>
  <c r="AN22" i="22" s="1"/>
  <c r="AO22" i="3"/>
  <c r="AO22" i="22" s="1"/>
  <c r="AP22" i="3"/>
  <c r="AP22" i="22" s="1"/>
  <c r="AQ22" i="3"/>
  <c r="AQ22" i="22" s="1"/>
  <c r="AR22" i="3"/>
  <c r="AR22" i="22" s="1"/>
  <c r="AS22" i="3"/>
  <c r="AS22" i="22" s="1"/>
  <c r="AT22" i="3"/>
  <c r="AT22" i="22" s="1"/>
  <c r="AU22" i="3"/>
  <c r="AU22" i="22" s="1"/>
  <c r="AV22" i="3"/>
  <c r="AV22" i="22" s="1"/>
  <c r="AW22" i="3"/>
  <c r="AW22" i="22" s="1"/>
  <c r="AX22" i="3"/>
  <c r="AX22" i="22" s="1"/>
  <c r="B58" i="3"/>
  <c r="B58" i="22" s="1"/>
  <c r="C58" i="3"/>
  <c r="C58" i="22" s="1"/>
  <c r="D58" i="3"/>
  <c r="D58" i="22" s="1"/>
  <c r="E58" i="3"/>
  <c r="E58" i="22" s="1"/>
  <c r="F58" i="3"/>
  <c r="F58" i="22" s="1"/>
  <c r="G58" i="3"/>
  <c r="G58" i="22" s="1"/>
  <c r="H58" i="3"/>
  <c r="H58" i="22" s="1"/>
  <c r="I58" i="3"/>
  <c r="I58" i="22" s="1"/>
  <c r="J58" i="3"/>
  <c r="J58" i="22" s="1"/>
  <c r="K58" i="3"/>
  <c r="K58" i="22" s="1"/>
  <c r="L58" i="3"/>
  <c r="L58" i="22" s="1"/>
  <c r="M58" i="3"/>
  <c r="M58" i="22" s="1"/>
  <c r="N58" i="3"/>
  <c r="N58" i="22" s="1"/>
  <c r="O58" i="3"/>
  <c r="O58" i="22" s="1"/>
  <c r="P58" i="3"/>
  <c r="P58" i="22" s="1"/>
  <c r="Q58" i="3"/>
  <c r="Q58" i="22" s="1"/>
  <c r="R58" i="3"/>
  <c r="R58" i="22" s="1"/>
  <c r="S58" i="3"/>
  <c r="S58" i="22" s="1"/>
  <c r="T58" i="3"/>
  <c r="T58" i="22" s="1"/>
  <c r="U58" i="3"/>
  <c r="U58" i="22" s="1"/>
  <c r="V58" i="3"/>
  <c r="V58" i="22" s="1"/>
  <c r="W58" i="3"/>
  <c r="W58" i="22" s="1"/>
  <c r="X58" i="3"/>
  <c r="X58" i="22" s="1"/>
  <c r="Y58" i="3"/>
  <c r="Y58" i="22" s="1"/>
  <c r="Z58" i="3"/>
  <c r="Z58" i="22" s="1"/>
  <c r="AA58" i="3"/>
  <c r="AA58" i="22" s="1"/>
  <c r="AB58" i="3"/>
  <c r="AB58" i="22" s="1"/>
  <c r="AC58" i="3"/>
  <c r="AC58" i="22" s="1"/>
  <c r="AD58" i="3"/>
  <c r="AD58" i="22" s="1"/>
  <c r="AE58" i="3"/>
  <c r="AE58" i="22" s="1"/>
  <c r="AF58" i="3"/>
  <c r="AF58" i="22" s="1"/>
  <c r="AG58" i="3"/>
  <c r="AG58" i="22" s="1"/>
  <c r="AH58" i="3"/>
  <c r="AH58" i="22" s="1"/>
  <c r="AI58" i="3"/>
  <c r="AI58" i="22" s="1"/>
  <c r="AJ58" i="3"/>
  <c r="AJ58" i="22" s="1"/>
  <c r="AK58" i="3"/>
  <c r="AK58" i="22" s="1"/>
  <c r="AL58" i="3"/>
  <c r="AL58" i="22" s="1"/>
  <c r="AM58" i="3"/>
  <c r="AM58" i="22" s="1"/>
  <c r="AN58" i="3"/>
  <c r="AN58" i="22" s="1"/>
  <c r="AO58" i="3"/>
  <c r="AO58" i="22" s="1"/>
  <c r="AP58" i="3"/>
  <c r="AP58" i="22" s="1"/>
  <c r="AQ58" i="3"/>
  <c r="AQ58" i="22" s="1"/>
  <c r="AR58" i="3"/>
  <c r="AR58" i="22" s="1"/>
  <c r="AS58" i="3"/>
  <c r="AS58" i="22" s="1"/>
  <c r="AT58" i="3"/>
  <c r="AT58" i="22" s="1"/>
  <c r="AU58" i="3"/>
  <c r="AU58" i="22" s="1"/>
  <c r="AV58" i="3"/>
  <c r="AV58" i="22" s="1"/>
  <c r="AW58" i="3"/>
  <c r="AW58" i="22" s="1"/>
  <c r="AX58" i="3"/>
  <c r="AX58" i="22" s="1"/>
  <c r="B31" i="3"/>
  <c r="B31" i="22" s="1"/>
  <c r="C31" i="3"/>
  <c r="C31" i="22" s="1"/>
  <c r="D31" i="3"/>
  <c r="D31" i="22" s="1"/>
  <c r="E31" i="3"/>
  <c r="E31" i="22" s="1"/>
  <c r="F31" i="3"/>
  <c r="F31" i="22" s="1"/>
  <c r="G31" i="3"/>
  <c r="G31" i="22" s="1"/>
  <c r="H31" i="3"/>
  <c r="H31" i="22" s="1"/>
  <c r="I31" i="3"/>
  <c r="I31" i="22" s="1"/>
  <c r="J31" i="3"/>
  <c r="J31" i="22" s="1"/>
  <c r="K31" i="3"/>
  <c r="K31" i="22" s="1"/>
  <c r="L31" i="3"/>
  <c r="L31" i="22" s="1"/>
  <c r="M31" i="3"/>
  <c r="M31" i="22" s="1"/>
  <c r="N31" i="3"/>
  <c r="N31" i="22" s="1"/>
  <c r="O31" i="3"/>
  <c r="O31" i="22" s="1"/>
  <c r="P31" i="3"/>
  <c r="P31" i="22" s="1"/>
  <c r="Q31" i="3"/>
  <c r="Q31" i="22" s="1"/>
  <c r="R31" i="3"/>
  <c r="R31" i="22" s="1"/>
  <c r="S31" i="3"/>
  <c r="S31" i="22" s="1"/>
  <c r="T31" i="3"/>
  <c r="T31" i="22" s="1"/>
  <c r="U31" i="3"/>
  <c r="U31" i="22" s="1"/>
  <c r="V31" i="3"/>
  <c r="V31" i="22" s="1"/>
  <c r="W31" i="3"/>
  <c r="W31" i="22" s="1"/>
  <c r="X31" i="3"/>
  <c r="X31" i="22" s="1"/>
  <c r="Y31" i="3"/>
  <c r="Y31" i="22" s="1"/>
  <c r="Z31" i="3"/>
  <c r="Z31" i="22" s="1"/>
  <c r="AA31" i="3"/>
  <c r="AA31" i="22" s="1"/>
  <c r="AB31" i="3"/>
  <c r="AB31" i="22" s="1"/>
  <c r="AC31" i="3"/>
  <c r="AC31" i="22" s="1"/>
  <c r="AD31" i="3"/>
  <c r="AD31" i="22" s="1"/>
  <c r="AE31" i="3"/>
  <c r="AE31" i="22" s="1"/>
  <c r="AF31" i="3"/>
  <c r="AF31" i="22" s="1"/>
  <c r="AG31" i="3"/>
  <c r="AG31" i="22" s="1"/>
  <c r="AH31" i="3"/>
  <c r="AH31" i="22" s="1"/>
  <c r="AI31" i="3"/>
  <c r="AI31" i="22" s="1"/>
  <c r="AJ31" i="3"/>
  <c r="AJ31" i="22" s="1"/>
  <c r="AK31" i="3"/>
  <c r="AK31" i="22" s="1"/>
  <c r="AL31" i="3"/>
  <c r="AL31" i="22" s="1"/>
  <c r="AM31" i="3"/>
  <c r="AM31" i="22" s="1"/>
  <c r="AN31" i="3"/>
  <c r="AN31" i="22" s="1"/>
  <c r="AO31" i="3"/>
  <c r="AO31" i="22" s="1"/>
  <c r="AP31" i="3"/>
  <c r="AP31" i="22" s="1"/>
  <c r="AQ31" i="3"/>
  <c r="AQ31" i="22" s="1"/>
  <c r="AR31" i="3"/>
  <c r="AR31" i="22" s="1"/>
  <c r="AS31" i="3"/>
  <c r="AS31" i="22" s="1"/>
  <c r="AT31" i="3"/>
  <c r="AT31" i="22" s="1"/>
  <c r="AU31" i="3"/>
  <c r="AU31" i="22" s="1"/>
  <c r="AV31" i="3"/>
  <c r="AV31" i="22" s="1"/>
  <c r="AW31" i="3"/>
  <c r="AW31" i="22" s="1"/>
  <c r="AX31" i="3"/>
  <c r="AX31" i="22" s="1"/>
  <c r="B66" i="3"/>
  <c r="B66" i="22" s="1"/>
  <c r="C66" i="3"/>
  <c r="C66" i="22" s="1"/>
  <c r="D66" i="3"/>
  <c r="D66" i="22" s="1"/>
  <c r="E66" i="3"/>
  <c r="E66" i="22" s="1"/>
  <c r="F66" i="3"/>
  <c r="F66" i="22" s="1"/>
  <c r="G66" i="3"/>
  <c r="G66" i="22" s="1"/>
  <c r="H66" i="3"/>
  <c r="H66" i="22" s="1"/>
  <c r="I66" i="3"/>
  <c r="I66" i="22" s="1"/>
  <c r="J66" i="3"/>
  <c r="J66" i="22" s="1"/>
  <c r="K66" i="3"/>
  <c r="K66" i="22" s="1"/>
  <c r="L66" i="3"/>
  <c r="L66" i="22" s="1"/>
  <c r="M66" i="3"/>
  <c r="M66" i="22" s="1"/>
  <c r="N66" i="3"/>
  <c r="N66" i="22" s="1"/>
  <c r="O66" i="3"/>
  <c r="O66" i="22" s="1"/>
  <c r="P66" i="3"/>
  <c r="P66" i="22" s="1"/>
  <c r="Q66" i="3"/>
  <c r="Q66" i="22" s="1"/>
  <c r="R66" i="3"/>
  <c r="R66" i="22" s="1"/>
  <c r="S66" i="3"/>
  <c r="S66" i="22" s="1"/>
  <c r="T66" i="3"/>
  <c r="T66" i="22" s="1"/>
  <c r="U66" i="3"/>
  <c r="U66" i="22" s="1"/>
  <c r="V66" i="3"/>
  <c r="V66" i="22" s="1"/>
  <c r="W66" i="3"/>
  <c r="W66" i="22" s="1"/>
  <c r="X66" i="3"/>
  <c r="X66" i="22" s="1"/>
  <c r="Y66" i="3"/>
  <c r="Y66" i="22" s="1"/>
  <c r="Z66" i="3"/>
  <c r="Z66" i="22" s="1"/>
  <c r="AA66" i="3"/>
  <c r="AA66" i="22" s="1"/>
  <c r="AB66" i="3"/>
  <c r="AB66" i="22" s="1"/>
  <c r="AC66" i="3"/>
  <c r="AC66" i="22" s="1"/>
  <c r="AD66" i="3"/>
  <c r="AD66" i="22" s="1"/>
  <c r="AE66" i="3"/>
  <c r="AE66" i="22" s="1"/>
  <c r="AF66" i="3"/>
  <c r="AF66" i="22" s="1"/>
  <c r="AG66" i="3"/>
  <c r="AG66" i="22" s="1"/>
  <c r="AH66" i="3"/>
  <c r="AH66" i="22" s="1"/>
  <c r="AI66" i="3"/>
  <c r="AI66" i="22" s="1"/>
  <c r="AJ66" i="3"/>
  <c r="AJ66" i="22" s="1"/>
  <c r="AK66" i="3"/>
  <c r="AK66" i="22" s="1"/>
  <c r="AL66" i="3"/>
  <c r="AL66" i="22" s="1"/>
  <c r="AM66" i="3"/>
  <c r="AM66" i="22" s="1"/>
  <c r="AN66" i="3"/>
  <c r="AN66" i="22" s="1"/>
  <c r="AO66" i="3"/>
  <c r="AO66" i="22" s="1"/>
  <c r="AP66" i="3"/>
  <c r="AP66" i="22" s="1"/>
  <c r="AQ66" i="3"/>
  <c r="AQ66" i="22" s="1"/>
  <c r="AR66" i="3"/>
  <c r="AR66" i="22" s="1"/>
  <c r="AS66" i="3"/>
  <c r="AS66" i="22" s="1"/>
  <c r="AT66" i="3"/>
  <c r="AT66" i="22" s="1"/>
  <c r="AU66" i="3"/>
  <c r="AU66" i="22" s="1"/>
  <c r="AV66" i="3"/>
  <c r="AV66" i="22" s="1"/>
  <c r="AW66" i="3"/>
  <c r="AW66" i="22" s="1"/>
  <c r="AX66" i="3"/>
  <c r="AX66" i="22" s="1"/>
  <c r="B6" i="3"/>
  <c r="B6" i="22" s="1"/>
  <c r="C6" i="3"/>
  <c r="C6" i="22" s="1"/>
  <c r="D6" i="3"/>
  <c r="D6" i="22" s="1"/>
  <c r="E6" i="3"/>
  <c r="E6" i="22" s="1"/>
  <c r="F6" i="3"/>
  <c r="F6" i="22" s="1"/>
  <c r="G6" i="3"/>
  <c r="G6" i="22" s="1"/>
  <c r="H6" i="3"/>
  <c r="H6" i="22" s="1"/>
  <c r="I6" i="3"/>
  <c r="I6" i="22" s="1"/>
  <c r="J6" i="3"/>
  <c r="J6" i="22" s="1"/>
  <c r="K6" i="3"/>
  <c r="K6" i="22" s="1"/>
  <c r="L6" i="3"/>
  <c r="L6" i="22" s="1"/>
  <c r="M6" i="3"/>
  <c r="M6" i="22" s="1"/>
  <c r="N6" i="3"/>
  <c r="N6" i="22" s="1"/>
  <c r="O6" i="3"/>
  <c r="O6" i="22" s="1"/>
  <c r="P6" i="3"/>
  <c r="P6" i="22" s="1"/>
  <c r="Q6" i="3"/>
  <c r="Q6" i="22" s="1"/>
  <c r="R6" i="3"/>
  <c r="R6" i="22" s="1"/>
  <c r="S6" i="3"/>
  <c r="S6" i="22" s="1"/>
  <c r="T6" i="3"/>
  <c r="T6" i="22" s="1"/>
  <c r="U6" i="3"/>
  <c r="U6" i="22" s="1"/>
  <c r="V6" i="3"/>
  <c r="V6" i="22" s="1"/>
  <c r="W6" i="3"/>
  <c r="W6" i="22" s="1"/>
  <c r="X6" i="3"/>
  <c r="X6" i="22" s="1"/>
  <c r="Y6" i="3"/>
  <c r="Y6" i="22" s="1"/>
  <c r="Z6" i="3"/>
  <c r="Z6" i="22" s="1"/>
  <c r="AA6" i="3"/>
  <c r="AA6" i="22" s="1"/>
  <c r="AB6" i="3"/>
  <c r="AB6" i="22" s="1"/>
  <c r="AC6" i="3"/>
  <c r="AC6" i="22" s="1"/>
  <c r="AD6" i="3"/>
  <c r="AD6" i="22" s="1"/>
  <c r="AE6" i="3"/>
  <c r="AE6" i="22" s="1"/>
  <c r="AF6" i="3"/>
  <c r="AF6" i="22" s="1"/>
  <c r="AG6" i="3"/>
  <c r="AG6" i="22" s="1"/>
  <c r="AH6" i="3"/>
  <c r="AH6" i="22" s="1"/>
  <c r="AI6" i="3"/>
  <c r="AI6" i="22" s="1"/>
  <c r="AJ6" i="3"/>
  <c r="AJ6" i="22" s="1"/>
  <c r="AK6" i="3"/>
  <c r="AK6" i="22" s="1"/>
  <c r="AL6" i="3"/>
  <c r="AL6" i="22" s="1"/>
  <c r="AM6" i="3"/>
  <c r="AM6" i="22" s="1"/>
  <c r="AN6" i="3"/>
  <c r="AN6" i="22" s="1"/>
  <c r="AO6" i="3"/>
  <c r="AO6" i="22" s="1"/>
  <c r="AP6" i="3"/>
  <c r="AP6" i="22" s="1"/>
  <c r="AQ6" i="3"/>
  <c r="AQ6" i="22" s="1"/>
  <c r="AR6" i="3"/>
  <c r="AR6" i="22" s="1"/>
  <c r="AS6" i="3"/>
  <c r="AS6" i="22" s="1"/>
  <c r="AT6" i="3"/>
  <c r="AT6" i="22" s="1"/>
  <c r="AU6" i="3"/>
  <c r="AU6" i="22" s="1"/>
  <c r="AV6" i="3"/>
  <c r="AV6" i="22" s="1"/>
  <c r="AW6" i="3"/>
  <c r="AW6" i="22" s="1"/>
  <c r="AX6" i="3"/>
  <c r="AX6" i="22" s="1"/>
  <c r="B90" i="3"/>
  <c r="B90" i="22" s="1"/>
  <c r="C90" i="3"/>
  <c r="C90" i="22" s="1"/>
  <c r="D90" i="3"/>
  <c r="D90" i="22" s="1"/>
  <c r="E90" i="3"/>
  <c r="E90" i="22" s="1"/>
  <c r="F90" i="3"/>
  <c r="F90" i="22" s="1"/>
  <c r="G90" i="3"/>
  <c r="G90" i="22" s="1"/>
  <c r="H90" i="3"/>
  <c r="H90" i="22" s="1"/>
  <c r="I90" i="3"/>
  <c r="I90" i="22" s="1"/>
  <c r="J90" i="3"/>
  <c r="J90" i="22" s="1"/>
  <c r="K90" i="3"/>
  <c r="K90" i="22" s="1"/>
  <c r="L90" i="3"/>
  <c r="L90" i="22" s="1"/>
  <c r="M90" i="3"/>
  <c r="M90" i="22" s="1"/>
  <c r="N90" i="3"/>
  <c r="N90" i="22" s="1"/>
  <c r="O90" i="3"/>
  <c r="O90" i="22" s="1"/>
  <c r="P90" i="3"/>
  <c r="P90" i="22" s="1"/>
  <c r="Q90" i="3"/>
  <c r="Q90" i="22" s="1"/>
  <c r="R90" i="3"/>
  <c r="R90" i="22" s="1"/>
  <c r="S90" i="3"/>
  <c r="S90" i="22" s="1"/>
  <c r="T90" i="3"/>
  <c r="T90" i="22" s="1"/>
  <c r="U90" i="3"/>
  <c r="U90" i="22" s="1"/>
  <c r="V90" i="3"/>
  <c r="V90" i="22" s="1"/>
  <c r="W90" i="3"/>
  <c r="W90" i="22" s="1"/>
  <c r="X90" i="3"/>
  <c r="X90" i="22" s="1"/>
  <c r="Y90" i="3"/>
  <c r="Y90" i="22" s="1"/>
  <c r="Z90" i="3"/>
  <c r="Z90" i="22" s="1"/>
  <c r="AA90" i="3"/>
  <c r="AA90" i="22" s="1"/>
  <c r="AB90" i="3"/>
  <c r="AB90" i="22" s="1"/>
  <c r="AC90" i="3"/>
  <c r="AC90" i="22" s="1"/>
  <c r="AD90" i="3"/>
  <c r="AD90" i="22" s="1"/>
  <c r="AE90" i="3"/>
  <c r="AE90" i="22" s="1"/>
  <c r="AF90" i="3"/>
  <c r="AF90" i="22" s="1"/>
  <c r="AG90" i="3"/>
  <c r="AG90" i="22" s="1"/>
  <c r="AH90" i="3"/>
  <c r="AH90" i="22" s="1"/>
  <c r="AI90" i="3"/>
  <c r="AI90" i="22" s="1"/>
  <c r="AJ90" i="3"/>
  <c r="AJ90" i="22" s="1"/>
  <c r="AK90" i="3"/>
  <c r="AK90" i="22" s="1"/>
  <c r="AL90" i="3"/>
  <c r="AL90" i="22" s="1"/>
  <c r="AM90" i="3"/>
  <c r="AM90" i="22" s="1"/>
  <c r="AN90" i="3"/>
  <c r="AN90" i="22" s="1"/>
  <c r="AO90" i="3"/>
  <c r="AO90" i="22" s="1"/>
  <c r="AP90" i="3"/>
  <c r="AP90" i="22" s="1"/>
  <c r="AQ90" i="3"/>
  <c r="AQ90" i="22" s="1"/>
  <c r="AR90" i="3"/>
  <c r="AR90" i="22" s="1"/>
  <c r="AS90" i="3"/>
  <c r="AS90" i="22" s="1"/>
  <c r="AT90" i="3"/>
  <c r="AT90" i="22" s="1"/>
  <c r="AU90" i="3"/>
  <c r="AU90" i="22" s="1"/>
  <c r="AV90" i="3"/>
  <c r="AV90" i="22" s="1"/>
  <c r="AW90" i="3"/>
  <c r="AW90" i="22" s="1"/>
  <c r="AX90" i="3"/>
  <c r="AX90" i="22" s="1"/>
  <c r="B125" i="3"/>
  <c r="B125" i="22" s="1"/>
  <c r="C125" i="3"/>
  <c r="C125" i="22" s="1"/>
  <c r="D125" i="3"/>
  <c r="D125" i="22" s="1"/>
  <c r="E125" i="3"/>
  <c r="E125" i="22" s="1"/>
  <c r="F125" i="3"/>
  <c r="F125" i="22" s="1"/>
  <c r="G125" i="3"/>
  <c r="G125" i="22" s="1"/>
  <c r="H125" i="3"/>
  <c r="H125" i="22" s="1"/>
  <c r="I125" i="3"/>
  <c r="I125" i="22" s="1"/>
  <c r="J125" i="3"/>
  <c r="J125" i="22" s="1"/>
  <c r="K125" i="3"/>
  <c r="K125" i="22" s="1"/>
  <c r="L125" i="3"/>
  <c r="L125" i="22" s="1"/>
  <c r="M125" i="3"/>
  <c r="M125" i="22" s="1"/>
  <c r="N125" i="3"/>
  <c r="N125" i="22" s="1"/>
  <c r="O125" i="3"/>
  <c r="O125" i="22" s="1"/>
  <c r="P125" i="3"/>
  <c r="P125" i="22" s="1"/>
  <c r="Q125" i="3"/>
  <c r="Q125" i="22" s="1"/>
  <c r="R125" i="3"/>
  <c r="R125" i="22" s="1"/>
  <c r="S125" i="3"/>
  <c r="S125" i="22" s="1"/>
  <c r="T125" i="3"/>
  <c r="T125" i="22" s="1"/>
  <c r="U125" i="3"/>
  <c r="U125" i="22" s="1"/>
  <c r="V125" i="3"/>
  <c r="V125" i="22" s="1"/>
  <c r="W125" i="3"/>
  <c r="W125" i="22" s="1"/>
  <c r="X125" i="3"/>
  <c r="X125" i="22" s="1"/>
  <c r="Y125" i="3"/>
  <c r="Y125" i="22" s="1"/>
  <c r="Z125" i="3"/>
  <c r="Z125" i="22" s="1"/>
  <c r="AA125" i="3"/>
  <c r="AA125" i="22" s="1"/>
  <c r="AB125" i="3"/>
  <c r="AB125" i="22" s="1"/>
  <c r="AC125" i="3"/>
  <c r="AC125" i="22" s="1"/>
  <c r="AD125" i="3"/>
  <c r="AD125" i="22" s="1"/>
  <c r="AE125" i="3"/>
  <c r="AE125" i="22" s="1"/>
  <c r="AF125" i="3"/>
  <c r="AF125" i="22" s="1"/>
  <c r="AG125" i="3"/>
  <c r="AG125" i="22" s="1"/>
  <c r="AH125" i="3"/>
  <c r="AH125" i="22" s="1"/>
  <c r="AI125" i="3"/>
  <c r="AI125" i="22" s="1"/>
  <c r="AJ125" i="3"/>
  <c r="AJ125" i="22" s="1"/>
  <c r="AK125" i="3"/>
  <c r="AK125" i="22" s="1"/>
  <c r="AL125" i="3"/>
  <c r="AL125" i="22" s="1"/>
  <c r="AM125" i="3"/>
  <c r="AM125" i="22" s="1"/>
  <c r="AN125" i="3"/>
  <c r="AN125" i="22" s="1"/>
  <c r="AO125" i="3"/>
  <c r="AO125" i="22" s="1"/>
  <c r="AP125" i="3"/>
  <c r="AP125" i="22" s="1"/>
  <c r="AQ125" i="3"/>
  <c r="AQ125" i="22" s="1"/>
  <c r="AR125" i="3"/>
  <c r="AR125" i="22" s="1"/>
  <c r="AS125" i="3"/>
  <c r="AS125" i="22" s="1"/>
  <c r="AT125" i="3"/>
  <c r="AT125" i="22" s="1"/>
  <c r="AU125" i="3"/>
  <c r="AU125" i="22" s="1"/>
  <c r="AV125" i="3"/>
  <c r="AV125" i="22" s="1"/>
  <c r="AW125" i="3"/>
  <c r="AW125" i="22" s="1"/>
  <c r="AX125" i="3"/>
  <c r="AX125" i="22" s="1"/>
  <c r="B12" i="3"/>
  <c r="B12" i="22" s="1"/>
  <c r="C12" i="3"/>
  <c r="C12" i="22" s="1"/>
  <c r="D12" i="3"/>
  <c r="D12" i="22" s="1"/>
  <c r="E12" i="3"/>
  <c r="E12" i="22" s="1"/>
  <c r="F12" i="3"/>
  <c r="F12" i="22" s="1"/>
  <c r="G12" i="3"/>
  <c r="G12" i="22" s="1"/>
  <c r="H12" i="3"/>
  <c r="H12" i="22" s="1"/>
  <c r="I12" i="3"/>
  <c r="I12" i="22" s="1"/>
  <c r="J12" i="3"/>
  <c r="J12" i="22" s="1"/>
  <c r="K12" i="3"/>
  <c r="K12" i="22" s="1"/>
  <c r="L12" i="3"/>
  <c r="L12" i="22" s="1"/>
  <c r="M12" i="3"/>
  <c r="M12" i="22" s="1"/>
  <c r="N12" i="3"/>
  <c r="N12" i="22" s="1"/>
  <c r="O12" i="3"/>
  <c r="O12" i="22" s="1"/>
  <c r="P12" i="3"/>
  <c r="P12" i="22" s="1"/>
  <c r="Q12" i="3"/>
  <c r="Q12" i="22" s="1"/>
  <c r="R12" i="3"/>
  <c r="R12" i="22" s="1"/>
  <c r="S12" i="3"/>
  <c r="S12" i="22" s="1"/>
  <c r="T12" i="3"/>
  <c r="T12" i="22" s="1"/>
  <c r="U12" i="3"/>
  <c r="U12" i="22" s="1"/>
  <c r="V12" i="3"/>
  <c r="V12" i="22" s="1"/>
  <c r="W12" i="3"/>
  <c r="W12" i="22" s="1"/>
  <c r="X12" i="3"/>
  <c r="X12" i="22" s="1"/>
  <c r="Y12" i="3"/>
  <c r="Y12" i="22" s="1"/>
  <c r="Z12" i="3"/>
  <c r="Z12" i="22" s="1"/>
  <c r="AA12" i="3"/>
  <c r="AA12" i="22" s="1"/>
  <c r="AB12" i="3"/>
  <c r="AB12" i="22" s="1"/>
  <c r="AC12" i="3"/>
  <c r="AC12" i="22" s="1"/>
  <c r="AD12" i="3"/>
  <c r="AD12" i="22" s="1"/>
  <c r="AE12" i="3"/>
  <c r="AE12" i="22" s="1"/>
  <c r="AF12" i="3"/>
  <c r="AF12" i="22" s="1"/>
  <c r="AG12" i="3"/>
  <c r="AG12" i="22" s="1"/>
  <c r="AH12" i="3"/>
  <c r="AH12" i="22" s="1"/>
  <c r="AI12" i="3"/>
  <c r="AI12" i="22" s="1"/>
  <c r="AJ12" i="3"/>
  <c r="AJ12" i="22" s="1"/>
  <c r="AK12" i="3"/>
  <c r="AK12" i="22" s="1"/>
  <c r="AL12" i="3"/>
  <c r="AL12" i="22" s="1"/>
  <c r="AM12" i="3"/>
  <c r="AM12" i="22" s="1"/>
  <c r="AN12" i="3"/>
  <c r="AN12" i="22" s="1"/>
  <c r="AO12" i="3"/>
  <c r="AO12" i="22" s="1"/>
  <c r="AP12" i="3"/>
  <c r="AP12" i="22" s="1"/>
  <c r="AQ12" i="3"/>
  <c r="AQ12" i="22" s="1"/>
  <c r="AR12" i="3"/>
  <c r="AR12" i="22" s="1"/>
  <c r="AS12" i="3"/>
  <c r="AS12" i="22" s="1"/>
  <c r="AT12" i="3"/>
  <c r="AT12" i="22" s="1"/>
  <c r="AU12" i="3"/>
  <c r="AU12" i="22" s="1"/>
  <c r="AV12" i="3"/>
  <c r="AV12" i="22" s="1"/>
  <c r="AW12" i="3"/>
  <c r="AW12" i="22" s="1"/>
  <c r="AX12" i="3"/>
  <c r="AX12" i="22" s="1"/>
  <c r="C45" i="3"/>
  <c r="C45" i="22" s="1"/>
  <c r="D45" i="3"/>
  <c r="D45" i="22" s="1"/>
  <c r="E45" i="3"/>
  <c r="E45" i="22" s="1"/>
  <c r="F45" i="3"/>
  <c r="F45" i="22" s="1"/>
  <c r="G45" i="3"/>
  <c r="G45" i="22" s="1"/>
  <c r="H45" i="3"/>
  <c r="H45" i="22" s="1"/>
  <c r="I45" i="3"/>
  <c r="I45" i="22" s="1"/>
  <c r="J45" i="3"/>
  <c r="J45" i="22" s="1"/>
  <c r="K45" i="3"/>
  <c r="K45" i="22" s="1"/>
  <c r="L45" i="3"/>
  <c r="L45" i="22" s="1"/>
  <c r="M45" i="3"/>
  <c r="M45" i="22" s="1"/>
  <c r="N45" i="3"/>
  <c r="N45" i="22" s="1"/>
  <c r="O45" i="3"/>
  <c r="O45" i="22" s="1"/>
  <c r="P45" i="3"/>
  <c r="P45" i="22" s="1"/>
  <c r="Q45" i="3"/>
  <c r="Q45" i="22" s="1"/>
  <c r="R45" i="3"/>
  <c r="R45" i="22" s="1"/>
  <c r="S45" i="3"/>
  <c r="S45" i="22" s="1"/>
  <c r="T45" i="3"/>
  <c r="T45" i="22" s="1"/>
  <c r="U45" i="3"/>
  <c r="U45" i="22" s="1"/>
  <c r="V45" i="3"/>
  <c r="V45" i="22" s="1"/>
  <c r="W45" i="3"/>
  <c r="W45" i="22" s="1"/>
  <c r="X45" i="3"/>
  <c r="X45" i="22" s="1"/>
  <c r="Y45" i="3"/>
  <c r="Y45" i="22" s="1"/>
  <c r="Z45" i="3"/>
  <c r="Z45" i="22" s="1"/>
  <c r="AA45" i="3"/>
  <c r="AA45" i="22" s="1"/>
  <c r="AB45" i="3"/>
  <c r="AB45" i="22" s="1"/>
  <c r="AC45" i="3"/>
  <c r="AC45" i="22" s="1"/>
  <c r="AD45" i="3"/>
  <c r="AD45" i="22" s="1"/>
  <c r="AE45" i="3"/>
  <c r="AE45" i="22" s="1"/>
  <c r="AF45" i="3"/>
  <c r="AF45" i="22" s="1"/>
  <c r="AG45" i="3"/>
  <c r="AG45" i="22" s="1"/>
  <c r="AH45" i="3"/>
  <c r="AH45" i="22" s="1"/>
  <c r="AI45" i="3"/>
  <c r="AI45" i="22" s="1"/>
  <c r="AJ45" i="3"/>
  <c r="AJ45" i="22" s="1"/>
  <c r="AK45" i="3"/>
  <c r="AK45" i="22" s="1"/>
  <c r="AL45" i="3"/>
  <c r="AL45" i="22" s="1"/>
  <c r="AM45" i="3"/>
  <c r="AM45" i="22" s="1"/>
  <c r="AN45" i="3"/>
  <c r="AN45" i="22" s="1"/>
  <c r="AO45" i="3"/>
  <c r="AO45" i="22" s="1"/>
  <c r="AP45" i="3"/>
  <c r="AP45" i="22" s="1"/>
  <c r="AQ45" i="3"/>
  <c r="AQ45" i="22" s="1"/>
  <c r="AR45" i="3"/>
  <c r="AR45" i="22" s="1"/>
  <c r="AS45" i="3"/>
  <c r="AS45" i="22" s="1"/>
  <c r="AT45" i="3"/>
  <c r="AT45" i="22" s="1"/>
  <c r="AU45" i="3"/>
  <c r="AU45" i="22" s="1"/>
  <c r="AV45" i="3"/>
  <c r="AV45" i="22" s="1"/>
  <c r="AW45" i="3"/>
  <c r="AW45" i="22" s="1"/>
  <c r="AX45" i="3"/>
  <c r="AX45" i="22" s="1"/>
  <c r="B45" i="3"/>
  <c r="B45" i="22" s="1"/>
  <c r="A8" i="8" l="1"/>
  <c r="A15" i="21"/>
  <c r="E14" i="21"/>
  <c r="F14" i="21"/>
  <c r="B72" i="22"/>
  <c r="E72" i="14"/>
  <c r="B59" i="22"/>
  <c r="E59" i="14"/>
  <c r="B67" i="22"/>
  <c r="E67" i="14"/>
  <c r="E2" i="14"/>
  <c r="B2" i="22"/>
  <c r="E78" i="14"/>
  <c r="E54" i="14"/>
  <c r="E96" i="14"/>
  <c r="E57" i="14"/>
  <c r="E80" i="14"/>
  <c r="E83" i="14"/>
  <c r="E63" i="14"/>
  <c r="E38" i="14"/>
  <c r="E71" i="14"/>
  <c r="E66" i="14"/>
  <c r="E49" i="14"/>
  <c r="E58" i="14"/>
  <c r="E61" i="14"/>
  <c r="E51" i="14"/>
  <c r="F15" i="14"/>
  <c r="N15" i="14" s="1"/>
  <c r="E55" i="14"/>
  <c r="F125" i="14"/>
  <c r="N125" i="14" s="1"/>
  <c r="F81" i="14"/>
  <c r="N81" i="14" s="1"/>
  <c r="E47" i="14"/>
  <c r="F47" i="14"/>
  <c r="F76" i="14"/>
  <c r="N76" i="14" s="1"/>
  <c r="F88" i="14"/>
  <c r="N88" i="14" s="1"/>
  <c r="F122" i="14"/>
  <c r="N122" i="14" s="1"/>
  <c r="E16" i="14"/>
  <c r="F16" i="14"/>
  <c r="N16" i="14" s="1"/>
  <c r="E39" i="14"/>
  <c r="F39" i="14"/>
  <c r="E25" i="14"/>
  <c r="F25" i="14"/>
  <c r="N25" i="14" s="1"/>
  <c r="E40" i="14"/>
  <c r="F40" i="14"/>
  <c r="F57" i="14"/>
  <c r="N57" i="14" s="1"/>
  <c r="E24" i="14"/>
  <c r="F24" i="14"/>
  <c r="N24" i="14" s="1"/>
  <c r="F100" i="14"/>
  <c r="N100" i="14" s="1"/>
  <c r="E21" i="14"/>
  <c r="F21" i="14"/>
  <c r="N21" i="14" s="1"/>
  <c r="F85" i="14"/>
  <c r="N85" i="14" s="1"/>
  <c r="F90" i="14"/>
  <c r="N90" i="14" s="1"/>
  <c r="E37" i="14"/>
  <c r="F37" i="14"/>
  <c r="E48" i="14"/>
  <c r="F48" i="14"/>
  <c r="F109" i="14"/>
  <c r="N109" i="14" s="1"/>
  <c r="F80" i="14"/>
  <c r="N80" i="14" s="1"/>
  <c r="E44" i="14"/>
  <c r="F44" i="14"/>
  <c r="F84" i="14"/>
  <c r="N84" i="14" s="1"/>
  <c r="E32" i="14"/>
  <c r="F32" i="14"/>
  <c r="N32" i="14" s="1"/>
  <c r="E7" i="14"/>
  <c r="F7" i="14"/>
  <c r="N7" i="14" s="1"/>
  <c r="F71" i="14"/>
  <c r="F114" i="14"/>
  <c r="N114" i="14" s="1"/>
  <c r="F105" i="14"/>
  <c r="N105" i="14" s="1"/>
  <c r="F112" i="14"/>
  <c r="N112" i="14" s="1"/>
  <c r="F103" i="14"/>
  <c r="N103" i="14" s="1"/>
  <c r="E9" i="14"/>
  <c r="F9" i="14"/>
  <c r="N9" i="14" s="1"/>
  <c r="E6" i="14"/>
  <c r="F6" i="14"/>
  <c r="N6" i="14" s="1"/>
  <c r="E42" i="14"/>
  <c r="F42" i="14"/>
  <c r="F61" i="14"/>
  <c r="F94" i="14"/>
  <c r="N94" i="14" s="1"/>
  <c r="F101" i="14"/>
  <c r="N101" i="14" s="1"/>
  <c r="F72" i="14"/>
  <c r="E3" i="14"/>
  <c r="F3" i="14"/>
  <c r="N3" i="14" s="1"/>
  <c r="F69" i="14"/>
  <c r="N69" i="14" s="1"/>
  <c r="F65" i="14"/>
  <c r="N65" i="14" s="1"/>
  <c r="F92" i="14"/>
  <c r="N92" i="14" s="1"/>
  <c r="F68" i="14"/>
  <c r="N68" i="14" s="1"/>
  <c r="F91" i="14"/>
  <c r="N91" i="14" s="1"/>
  <c r="E18" i="14"/>
  <c r="F18" i="14"/>
  <c r="N18" i="14" s="1"/>
  <c r="F83" i="14"/>
  <c r="N83" i="14" s="1"/>
  <c r="F66" i="14"/>
  <c r="F51" i="14"/>
  <c r="F89" i="14"/>
  <c r="N89" i="14" s="1"/>
  <c r="E14" i="14"/>
  <c r="F14" i="14"/>
  <c r="N14" i="14" s="1"/>
  <c r="F79" i="14"/>
  <c r="N79" i="14" s="1"/>
  <c r="E41" i="14"/>
  <c r="F41" i="14"/>
  <c r="E27" i="14"/>
  <c r="F27" i="14"/>
  <c r="N27" i="14" s="1"/>
  <c r="F107" i="14"/>
  <c r="N107" i="14" s="1"/>
  <c r="F93" i="14"/>
  <c r="N93" i="14" s="1"/>
  <c r="E13" i="14"/>
  <c r="F13" i="14"/>
  <c r="N13" i="14" s="1"/>
  <c r="F106" i="14"/>
  <c r="N106" i="14" s="1"/>
  <c r="F104" i="14"/>
  <c r="N104" i="14" s="1"/>
  <c r="F62" i="14"/>
  <c r="N62" i="14" s="1"/>
  <c r="F59" i="14"/>
  <c r="N59" i="14" s="1"/>
  <c r="E15" i="14"/>
  <c r="F102" i="14"/>
  <c r="N102" i="14" s="1"/>
  <c r="F73" i="14"/>
  <c r="N73" i="14" s="1"/>
  <c r="F49" i="14"/>
  <c r="E31" i="14"/>
  <c r="F31" i="14"/>
  <c r="N31" i="14" s="1"/>
  <c r="E36" i="14"/>
  <c r="F36" i="14"/>
  <c r="N36" i="14" s="1"/>
  <c r="F63" i="14"/>
  <c r="N63" i="14" s="1"/>
  <c r="F124" i="14"/>
  <c r="N124" i="14" s="1"/>
  <c r="F82" i="14"/>
  <c r="N82" i="14" s="1"/>
  <c r="E5" i="14"/>
  <c r="F5" i="14"/>
  <c r="N5" i="14" s="1"/>
  <c r="E35" i="14"/>
  <c r="F35" i="14"/>
  <c r="N35" i="14" s="1"/>
  <c r="F119" i="14"/>
  <c r="N119" i="14" s="1"/>
  <c r="E8" i="14"/>
  <c r="F8" i="14"/>
  <c r="N8" i="14" s="1"/>
  <c r="E30" i="14"/>
  <c r="F30" i="14"/>
  <c r="N30" i="14" s="1"/>
  <c r="F78" i="14"/>
  <c r="N78" i="14" s="1"/>
  <c r="F67" i="14"/>
  <c r="F99" i="14"/>
  <c r="N99" i="14" s="1"/>
  <c r="F111" i="14"/>
  <c r="N111" i="14" s="1"/>
  <c r="F58" i="14"/>
  <c r="F95" i="14"/>
  <c r="N95" i="14" s="1"/>
  <c r="E60" i="14"/>
  <c r="F60" i="14"/>
  <c r="N60" i="14" s="1"/>
  <c r="F86" i="14"/>
  <c r="N86" i="14" s="1"/>
  <c r="E23" i="14"/>
  <c r="F23" i="14"/>
  <c r="N23" i="14" s="1"/>
  <c r="F121" i="14"/>
  <c r="N121" i="14" s="1"/>
  <c r="E34" i="14"/>
  <c r="F34" i="14"/>
  <c r="F118" i="14"/>
  <c r="N118" i="14" s="1"/>
  <c r="E28" i="14"/>
  <c r="F28" i="14"/>
  <c r="N28" i="14" s="1"/>
  <c r="F75" i="14"/>
  <c r="F2" i="14"/>
  <c r="N2" i="14" s="1"/>
  <c r="F53" i="14"/>
  <c r="N53" i="14" s="1"/>
  <c r="E26" i="14"/>
  <c r="F26" i="14"/>
  <c r="F110" i="14"/>
  <c r="N110" i="14" s="1"/>
  <c r="F50" i="14"/>
  <c r="N50" i="14" s="1"/>
  <c r="E45" i="14"/>
  <c r="F45" i="14"/>
  <c r="E22" i="14"/>
  <c r="F22" i="14"/>
  <c r="N22" i="14" s="1"/>
  <c r="E20" i="14"/>
  <c r="F20" i="14"/>
  <c r="N20" i="14" s="1"/>
  <c r="F70" i="14"/>
  <c r="N70" i="14" s="1"/>
  <c r="F123" i="14"/>
  <c r="N123" i="14" s="1"/>
  <c r="F55" i="14"/>
  <c r="F98" i="14"/>
  <c r="N98" i="14" s="1"/>
  <c r="E4" i="14"/>
  <c r="F4" i="14"/>
  <c r="N4" i="14" s="1"/>
  <c r="F117" i="14"/>
  <c r="N117" i="14" s="1"/>
  <c r="F115" i="14"/>
  <c r="N115" i="14" s="1"/>
  <c r="F97" i="14"/>
  <c r="N97" i="14" s="1"/>
  <c r="E52" i="14"/>
  <c r="F52" i="14"/>
  <c r="E29" i="14"/>
  <c r="F29" i="14"/>
  <c r="N29" i="14" s="1"/>
  <c r="F74" i="14"/>
  <c r="N74" i="14" s="1"/>
  <c r="F64" i="14"/>
  <c r="N64" i="14" s="1"/>
  <c r="E12" i="14"/>
  <c r="F12" i="14"/>
  <c r="N12" i="14" s="1"/>
  <c r="F54" i="14"/>
  <c r="N54" i="14" s="1"/>
  <c r="E33" i="14"/>
  <c r="F33" i="14"/>
  <c r="N33" i="14" s="1"/>
  <c r="E11" i="14"/>
  <c r="F11" i="14"/>
  <c r="N11" i="14" s="1"/>
  <c r="F108" i="14"/>
  <c r="N108" i="14" s="1"/>
  <c r="F87" i="14"/>
  <c r="N87" i="14" s="1"/>
  <c r="F120" i="14"/>
  <c r="N120" i="14" s="1"/>
  <c r="E46" i="14"/>
  <c r="F46" i="14"/>
  <c r="F116" i="14"/>
  <c r="N116" i="14" s="1"/>
  <c r="E43" i="14"/>
  <c r="F43" i="14"/>
  <c r="N43" i="14" s="1"/>
  <c r="E17" i="14"/>
  <c r="F17" i="14"/>
  <c r="N17" i="14" s="1"/>
  <c r="F113" i="14"/>
  <c r="N113" i="14" s="1"/>
  <c r="F77" i="14"/>
  <c r="N77" i="14" s="1"/>
  <c r="E19" i="14"/>
  <c r="F19" i="14"/>
  <c r="N19" i="14" s="1"/>
  <c r="F56" i="14"/>
  <c r="N56" i="14" s="1"/>
  <c r="F38" i="14"/>
  <c r="F96" i="14"/>
  <c r="N96" i="14" s="1"/>
  <c r="E126" i="14"/>
  <c r="E10" i="14"/>
  <c r="F10" i="14"/>
  <c r="N10" i="14" s="1"/>
  <c r="K1" i="8"/>
  <c r="K4" i="13"/>
  <c r="K5" i="13" s="1"/>
  <c r="D2" i="8"/>
  <c r="A9" i="8" l="1"/>
  <c r="G14" i="21"/>
  <c r="A16" i="21"/>
  <c r="E15" i="21"/>
  <c r="F15" i="21"/>
  <c r="C15" i="13"/>
  <c r="C36" i="15" s="1"/>
  <c r="D10" i="20"/>
  <c r="N66" i="14"/>
  <c r="D20" i="20"/>
  <c r="N45" i="14"/>
  <c r="D61" i="20"/>
  <c r="N75" i="14"/>
  <c r="D60" i="20"/>
  <c r="N67" i="14"/>
  <c r="D51" i="20"/>
  <c r="N41" i="14"/>
  <c r="D3" i="20"/>
  <c r="N71" i="14"/>
  <c r="D13" i="20"/>
  <c r="N52" i="14"/>
  <c r="D4" i="20"/>
  <c r="N55" i="14"/>
  <c r="D14" i="20"/>
  <c r="N47" i="14"/>
  <c r="D35" i="20"/>
  <c r="N49" i="14"/>
  <c r="D62" i="20"/>
  <c r="N72" i="14"/>
  <c r="D43" i="20"/>
  <c r="N48" i="14"/>
  <c r="D34" i="20"/>
  <c r="N39" i="14"/>
  <c r="D18" i="20"/>
  <c r="N46" i="14"/>
  <c r="D53" i="20"/>
  <c r="N26" i="14"/>
  <c r="D39" i="20"/>
  <c r="N34" i="14"/>
  <c r="D16" i="20"/>
  <c r="N37" i="14"/>
  <c r="D36" i="20"/>
  <c r="N58" i="14"/>
  <c r="D17" i="20"/>
  <c r="N61" i="14"/>
  <c r="D40" i="20"/>
  <c r="N38" i="14"/>
  <c r="D11" i="20"/>
  <c r="N51" i="14"/>
  <c r="D50" i="20"/>
  <c r="N42" i="14"/>
  <c r="D49" i="20"/>
  <c r="N44" i="14"/>
  <c r="D27" i="20"/>
  <c r="N40" i="14"/>
  <c r="G3" i="13"/>
  <c r="D31" i="20"/>
  <c r="D32" i="20"/>
  <c r="L1" i="8"/>
  <c r="L4" i="13"/>
  <c r="L5" i="13" s="1"/>
  <c r="E27" i="20" l="1"/>
  <c r="E40" i="20"/>
  <c r="E39" i="20"/>
  <c r="G15" i="21"/>
  <c r="A17" i="21"/>
  <c r="E16" i="21"/>
  <c r="F16" i="21"/>
  <c r="A10" i="8"/>
  <c r="E31" i="20"/>
  <c r="E16" i="20"/>
  <c r="E14" i="20"/>
  <c r="E11" i="20"/>
  <c r="E34" i="20"/>
  <c r="E51" i="20"/>
  <c r="E10" i="20"/>
  <c r="E60" i="20"/>
  <c r="E4" i="20"/>
  <c r="E43" i="20"/>
  <c r="E17" i="20"/>
  <c r="E53" i="20"/>
  <c r="E62" i="20"/>
  <c r="E13" i="20"/>
  <c r="E61" i="20"/>
  <c r="E49" i="20"/>
  <c r="E32" i="20"/>
  <c r="E50" i="20"/>
  <c r="E36" i="20"/>
  <c r="E18" i="20"/>
  <c r="E35" i="20"/>
  <c r="E3" i="20"/>
  <c r="E20" i="20"/>
  <c r="G23" i="13"/>
  <c r="M1" i="8"/>
  <c r="M4" i="13"/>
  <c r="M5" i="13" s="1"/>
  <c r="G16" i="21" l="1"/>
  <c r="A18" i="21"/>
  <c r="E17" i="21"/>
  <c r="G17" i="21" s="1"/>
  <c r="F17" i="21"/>
  <c r="A11" i="8"/>
  <c r="N1" i="8"/>
  <c r="N4" i="13"/>
  <c r="N5" i="13" s="1"/>
  <c r="A12" i="8" l="1"/>
  <c r="A19" i="21"/>
  <c r="E18" i="21"/>
  <c r="G18" i="21" s="1"/>
  <c r="F18" i="21"/>
  <c r="O1" i="8"/>
  <c r="O4" i="13"/>
  <c r="O5" i="13" s="1"/>
  <c r="A20" i="21" l="1"/>
  <c r="E19" i="21"/>
  <c r="F19" i="21"/>
  <c r="A13" i="8"/>
  <c r="C11" i="13"/>
  <c r="P1" i="8"/>
  <c r="P4" i="13"/>
  <c r="P5" i="13" s="1"/>
  <c r="A14" i="8" l="1"/>
  <c r="G19" i="21"/>
  <c r="A21" i="21"/>
  <c r="E20" i="21"/>
  <c r="G20" i="21" s="1"/>
  <c r="F20" i="21"/>
  <c r="Q1" i="8"/>
  <c r="Q4" i="13"/>
  <c r="Q5" i="13" s="1"/>
  <c r="A22" i="21" l="1"/>
  <c r="E21" i="21"/>
  <c r="G21" i="21" s="1"/>
  <c r="F21" i="21"/>
  <c r="A15" i="8"/>
  <c r="R1" i="8"/>
  <c r="R4" i="13"/>
  <c r="R5" i="13" s="1"/>
  <c r="A16" i="8" l="1"/>
  <c r="F15" i="8"/>
  <c r="A23" i="21"/>
  <c r="E22" i="21"/>
  <c r="F22" i="21"/>
  <c r="S1" i="8"/>
  <c r="S4" i="13"/>
  <c r="S5" i="13" s="1"/>
  <c r="A24" i="21" l="1"/>
  <c r="E23" i="21"/>
  <c r="F23" i="21"/>
  <c r="A17" i="8"/>
  <c r="F16" i="8"/>
  <c r="G22" i="21"/>
  <c r="F11" i="8"/>
  <c r="T1" i="8"/>
  <c r="T4" i="13"/>
  <c r="T5" i="13" s="1"/>
  <c r="A25" i="21" l="1"/>
  <c r="E24" i="21"/>
  <c r="F24" i="21"/>
  <c r="A18" i="8"/>
  <c r="F17" i="8"/>
  <c r="G23" i="21"/>
  <c r="U1" i="8"/>
  <c r="U4" i="13"/>
  <c r="U5" i="13" s="1"/>
  <c r="E17" i="8" l="1"/>
  <c r="G17" i="8" s="1"/>
  <c r="A19" i="8"/>
  <c r="F18" i="8"/>
  <c r="G24" i="21"/>
  <c r="A26" i="21"/>
  <c r="E25" i="21"/>
  <c r="G25" i="21" s="1"/>
  <c r="F25" i="21"/>
  <c r="V1" i="8"/>
  <c r="V4" i="13"/>
  <c r="V5" i="13" s="1"/>
  <c r="A27" i="21" l="1"/>
  <c r="E26" i="21"/>
  <c r="G26" i="21" s="1"/>
  <c r="F26" i="21"/>
  <c r="A20" i="8"/>
  <c r="E19" i="8"/>
  <c r="G19" i="8" s="1"/>
  <c r="F19" i="8"/>
  <c r="W1" i="8"/>
  <c r="W4" i="13"/>
  <c r="W5" i="13" s="1"/>
  <c r="A21" i="8" l="1"/>
  <c r="E20" i="8"/>
  <c r="F20" i="8"/>
  <c r="A28" i="21"/>
  <c r="E27" i="21"/>
  <c r="G27" i="21" s="1"/>
  <c r="F27" i="21"/>
  <c r="E16" i="8"/>
  <c r="G16" i="8" s="1"/>
  <c r="E18" i="8"/>
  <c r="G18" i="8" s="1"/>
  <c r="X1" i="8"/>
  <c r="X4" i="13"/>
  <c r="X5" i="13" s="1"/>
  <c r="A29" i="21" l="1"/>
  <c r="E28" i="21"/>
  <c r="G28" i="21" s="1"/>
  <c r="F28" i="21"/>
  <c r="G20" i="8"/>
  <c r="A22" i="8"/>
  <c r="E21" i="8"/>
  <c r="G21" i="8" s="1"/>
  <c r="F21" i="8"/>
  <c r="Y1" i="8"/>
  <c r="Y4" i="13"/>
  <c r="Y5" i="13" s="1"/>
  <c r="A23" i="8" l="1"/>
  <c r="E22" i="8"/>
  <c r="G22" i="8" s="1"/>
  <c r="F22" i="8"/>
  <c r="A30" i="21"/>
  <c r="E29" i="21"/>
  <c r="F29" i="21"/>
  <c r="Z1" i="8"/>
  <c r="Z4" i="13"/>
  <c r="Z5" i="13" s="1"/>
  <c r="A31" i="21" l="1"/>
  <c r="E30" i="21"/>
  <c r="F30" i="21"/>
  <c r="G29" i="21"/>
  <c r="A24" i="8"/>
  <c r="E23" i="8"/>
  <c r="G23" i="8" s="1"/>
  <c r="F23" i="8"/>
  <c r="AA1" i="8"/>
  <c r="AA4" i="13"/>
  <c r="AA5" i="13" s="1"/>
  <c r="A25" i="8" l="1"/>
  <c r="E24" i="8"/>
  <c r="F24" i="8"/>
  <c r="G30" i="21"/>
  <c r="A32" i="21"/>
  <c r="E31" i="21"/>
  <c r="F31" i="21"/>
  <c r="AB1" i="8"/>
  <c r="AB4" i="13"/>
  <c r="AB5" i="13" s="1"/>
  <c r="G31" i="21" l="1"/>
  <c r="A33" i="21"/>
  <c r="E32" i="21"/>
  <c r="F32" i="21"/>
  <c r="G24" i="8"/>
  <c r="A26" i="8"/>
  <c r="E25" i="8"/>
  <c r="F25" i="8"/>
  <c r="AC1" i="8"/>
  <c r="AC4" i="13"/>
  <c r="AC5" i="13" s="1"/>
  <c r="G25" i="8" l="1"/>
  <c r="A27" i="8"/>
  <c r="E26" i="8"/>
  <c r="F26" i="8"/>
  <c r="G32" i="21"/>
  <c r="A34" i="21"/>
  <c r="E33" i="21"/>
  <c r="F33" i="21"/>
  <c r="AD1" i="8"/>
  <c r="AD4" i="13"/>
  <c r="AD5" i="13" s="1"/>
  <c r="G33" i="21" l="1"/>
  <c r="A35" i="21"/>
  <c r="E34" i="21"/>
  <c r="F34" i="21"/>
  <c r="G26" i="8"/>
  <c r="A28" i="8"/>
  <c r="E27" i="8"/>
  <c r="G27" i="8" s="1"/>
  <c r="F27" i="8"/>
  <c r="AE1" i="8"/>
  <c r="AE4" i="13"/>
  <c r="AE5" i="13" s="1"/>
  <c r="A29" i="8" l="1"/>
  <c r="G34" i="21"/>
  <c r="A36" i="21"/>
  <c r="E35" i="21"/>
  <c r="F35" i="21"/>
  <c r="AF1" i="8"/>
  <c r="AF4" i="13"/>
  <c r="AF5" i="13" s="1"/>
  <c r="G35" i="21" l="1"/>
  <c r="A37" i="21"/>
  <c r="E36" i="21"/>
  <c r="F36" i="21"/>
  <c r="A30" i="8"/>
  <c r="E29" i="8"/>
  <c r="F29" i="8"/>
  <c r="AG1" i="8"/>
  <c r="AG4" i="13"/>
  <c r="AG5" i="13" s="1"/>
  <c r="G29" i="8" l="1"/>
  <c r="G36" i="21"/>
  <c r="A31" i="8"/>
  <c r="E30" i="8"/>
  <c r="F30" i="8"/>
  <c r="A38" i="21"/>
  <c r="E37" i="21"/>
  <c r="F37" i="21"/>
  <c r="AH1" i="8"/>
  <c r="AH4" i="13"/>
  <c r="AH5" i="13" s="1"/>
  <c r="G37" i="21" l="1"/>
  <c r="A39" i="21"/>
  <c r="E38" i="21"/>
  <c r="F38" i="21"/>
  <c r="G30" i="8"/>
  <c r="A32" i="8"/>
  <c r="E31" i="8"/>
  <c r="G31" i="8" s="1"/>
  <c r="F31" i="8"/>
  <c r="AI1" i="8"/>
  <c r="AI4" i="13"/>
  <c r="AI5" i="13" s="1"/>
  <c r="G38" i="21" l="1"/>
  <c r="A33" i="8"/>
  <c r="E32" i="8"/>
  <c r="F32" i="8"/>
  <c r="A40" i="21"/>
  <c r="E39" i="21"/>
  <c r="F39" i="21"/>
  <c r="AJ1" i="8"/>
  <c r="AJ4" i="13"/>
  <c r="AJ5" i="13" s="1"/>
  <c r="G39" i="21" l="1"/>
  <c r="A41" i="21"/>
  <c r="E40" i="21"/>
  <c r="F40" i="21"/>
  <c r="G32" i="8"/>
  <c r="A34" i="8"/>
  <c r="E33" i="8"/>
  <c r="G33" i="8" s="1"/>
  <c r="F33" i="8"/>
  <c r="AK1" i="8"/>
  <c r="AK4" i="13"/>
  <c r="AK5" i="13" s="1"/>
  <c r="A35" i="8" l="1"/>
  <c r="E34" i="8"/>
  <c r="F34" i="8"/>
  <c r="G40" i="21"/>
  <c r="A42" i="21"/>
  <c r="E41" i="21"/>
  <c r="G41" i="21" s="1"/>
  <c r="F41" i="21"/>
  <c r="F8" i="20"/>
  <c r="AL1" i="8"/>
  <c r="AL4" i="13"/>
  <c r="AL5" i="13" s="1"/>
  <c r="A43" i="21" l="1"/>
  <c r="E42" i="21"/>
  <c r="F42" i="21"/>
  <c r="G34" i="8"/>
  <c r="A36" i="8"/>
  <c r="E35" i="8"/>
  <c r="G35" i="8" s="1"/>
  <c r="F35" i="8"/>
  <c r="AM1" i="8"/>
  <c r="AM4" i="13"/>
  <c r="AM5" i="13" s="1"/>
  <c r="A37" i="8" l="1"/>
  <c r="E36" i="8"/>
  <c r="G36" i="8" s="1"/>
  <c r="F36" i="8"/>
  <c r="G42" i="21"/>
  <c r="A44" i="21"/>
  <c r="E43" i="21"/>
  <c r="G43" i="21" s="1"/>
  <c r="F43" i="21"/>
  <c r="AN1" i="8"/>
  <c r="AN4" i="13"/>
  <c r="AN5" i="13" s="1"/>
  <c r="A45" i="21" l="1"/>
  <c r="E44" i="21"/>
  <c r="G44" i="21" s="1"/>
  <c r="F44" i="21"/>
  <c r="A38" i="8"/>
  <c r="E37" i="8"/>
  <c r="G37" i="8" s="1"/>
  <c r="F37" i="8"/>
  <c r="F9" i="20"/>
  <c r="AO1" i="8"/>
  <c r="AO4" i="13"/>
  <c r="AO5" i="13" s="1"/>
  <c r="A39" i="8" l="1"/>
  <c r="E38" i="8"/>
  <c r="F38" i="8"/>
  <c r="A46" i="21"/>
  <c r="E45" i="21"/>
  <c r="F45" i="21"/>
  <c r="AP1" i="8"/>
  <c r="AP4" i="13"/>
  <c r="AP5" i="13" s="1"/>
  <c r="G45" i="21" l="1"/>
  <c r="A47" i="21"/>
  <c r="E46" i="21"/>
  <c r="F46" i="21"/>
  <c r="G38" i="8"/>
  <c r="A40" i="8"/>
  <c r="E39" i="8"/>
  <c r="G39" i="8" s="1"/>
  <c r="F39" i="8"/>
  <c r="AQ1" i="8"/>
  <c r="AQ4" i="13"/>
  <c r="AQ5" i="13" s="1"/>
  <c r="A41" i="8" l="1"/>
  <c r="E40" i="8"/>
  <c r="F40" i="8"/>
  <c r="G46" i="21"/>
  <c r="A48" i="21"/>
  <c r="E47" i="21"/>
  <c r="G47" i="21" s="1"/>
  <c r="F47" i="21"/>
  <c r="AR1" i="8"/>
  <c r="AS1" i="8" s="1"/>
  <c r="AT1" i="8" s="1"/>
  <c r="AU1" i="8" s="1"/>
  <c r="AV1" i="8" s="1"/>
  <c r="AW1" i="8" s="1"/>
  <c r="AX1" i="8" s="1"/>
  <c r="AY1" i="8" s="1"/>
  <c r="AZ1" i="8" s="1"/>
  <c r="BA1" i="8" s="1"/>
  <c r="BB1" i="8" s="1"/>
  <c r="BC1" i="8" s="1"/>
  <c r="BD1" i="8" s="1"/>
  <c r="BE1" i="8" s="1"/>
  <c r="BF1" i="8" s="1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E2" i="8"/>
  <c r="AR4" i="13"/>
  <c r="AR5" i="13" s="1"/>
  <c r="E3" i="8" l="1"/>
  <c r="E4" i="8"/>
  <c r="F4" i="8"/>
  <c r="F3" i="8"/>
  <c r="F7" i="8"/>
  <c r="F6" i="8"/>
  <c r="E6" i="8"/>
  <c r="G6" i="8" s="1"/>
  <c r="F5" i="8"/>
  <c r="F8" i="8"/>
  <c r="E5" i="8"/>
  <c r="E8" i="8"/>
  <c r="E7" i="8"/>
  <c r="G7" i="8" s="1"/>
  <c r="F9" i="8"/>
  <c r="E11" i="8"/>
  <c r="G11" i="8" s="1"/>
  <c r="F10" i="8"/>
  <c r="E10" i="8"/>
  <c r="G10" i="8" s="1"/>
  <c r="E9" i="8"/>
  <c r="G9" i="8" s="1"/>
  <c r="F14" i="8"/>
  <c r="F13" i="8"/>
  <c r="F12" i="8"/>
  <c r="E14" i="8"/>
  <c r="G14" i="8" s="1"/>
  <c r="E12" i="8"/>
  <c r="E15" i="8"/>
  <c r="G15" i="8" s="1"/>
  <c r="E13" i="8"/>
  <c r="G13" i="8" s="1"/>
  <c r="F28" i="8"/>
  <c r="E28" i="8"/>
  <c r="A49" i="21"/>
  <c r="E48" i="21"/>
  <c r="F48" i="21"/>
  <c r="G40" i="8"/>
  <c r="A42" i="8"/>
  <c r="E41" i="8"/>
  <c r="G41" i="8" s="1"/>
  <c r="F41" i="8"/>
  <c r="F47" i="20"/>
  <c r="F25" i="20"/>
  <c r="F2" i="8"/>
  <c r="G2" i="8" s="1"/>
  <c r="AS4" i="13"/>
  <c r="AS5" i="13" s="1"/>
  <c r="G12" i="8" l="1"/>
  <c r="G48" i="21"/>
  <c r="A50" i="21"/>
  <c r="E49" i="21"/>
  <c r="F49" i="21"/>
  <c r="G8" i="8"/>
  <c r="A43" i="8"/>
  <c r="E42" i="8"/>
  <c r="F42" i="8"/>
  <c r="G28" i="8"/>
  <c r="G5" i="8"/>
  <c r="G4" i="8"/>
  <c r="G3" i="8"/>
  <c r="F57" i="20"/>
  <c r="F24" i="20"/>
  <c r="F56" i="20"/>
  <c r="F29" i="20"/>
  <c r="F38" i="20"/>
  <c r="F15" i="20"/>
  <c r="F41" i="20"/>
  <c r="F52" i="20"/>
  <c r="F28" i="20"/>
  <c r="F19" i="20"/>
  <c r="F44" i="20"/>
  <c r="AT4" i="13"/>
  <c r="AT5" i="13" s="1"/>
  <c r="G42" i="8" l="1"/>
  <c r="A44" i="8"/>
  <c r="E43" i="8"/>
  <c r="G43" i="8" s="1"/>
  <c r="F43" i="8"/>
  <c r="G49" i="21"/>
  <c r="A51" i="21"/>
  <c r="E50" i="21"/>
  <c r="F50" i="21"/>
  <c r="C12" i="13"/>
  <c r="F23" i="20"/>
  <c r="F55" i="20"/>
  <c r="F5" i="20"/>
  <c r="AU4" i="13"/>
  <c r="AU5" i="13" s="1"/>
  <c r="G50" i="21" l="1"/>
  <c r="A52" i="21"/>
  <c r="E51" i="21"/>
  <c r="G51" i="21" s="1"/>
  <c r="F51" i="21"/>
  <c r="A45" i="8"/>
  <c r="E44" i="8"/>
  <c r="G44" i="8" s="1"/>
  <c r="F44" i="8"/>
  <c r="F26" i="20"/>
  <c r="F16" i="20"/>
  <c r="H16" i="20" s="1"/>
  <c r="AV4" i="13"/>
  <c r="AV5" i="13" s="1"/>
  <c r="A46" i="8" l="1"/>
  <c r="E45" i="8"/>
  <c r="G45" i="8" s="1"/>
  <c r="F45" i="8"/>
  <c r="A53" i="21"/>
  <c r="E52" i="21"/>
  <c r="F52" i="21"/>
  <c r="AW4" i="13"/>
  <c r="AW5" i="13" s="1"/>
  <c r="G52" i="21" l="1"/>
  <c r="A54" i="21"/>
  <c r="E53" i="21"/>
  <c r="G53" i="21" s="1"/>
  <c r="F53" i="21"/>
  <c r="A47" i="8"/>
  <c r="E46" i="8"/>
  <c r="G46" i="8" s="1"/>
  <c r="F46" i="8"/>
  <c r="F21" i="20"/>
  <c r="F45" i="20"/>
  <c r="AX4" i="13"/>
  <c r="AX5" i="13" s="1"/>
  <c r="A48" i="8" l="1"/>
  <c r="E47" i="8"/>
  <c r="G47" i="8" s="1"/>
  <c r="F47" i="8"/>
  <c r="A55" i="21"/>
  <c r="E54" i="21"/>
  <c r="G54" i="21" s="1"/>
  <c r="F54" i="21"/>
  <c r="F32" i="20"/>
  <c r="H32" i="20" s="1"/>
  <c r="AY4" i="13"/>
  <c r="AY5" i="13" s="1"/>
  <c r="A56" i="21" l="1"/>
  <c r="E55" i="21"/>
  <c r="G55" i="21" s="1"/>
  <c r="F55" i="21"/>
  <c r="A49" i="8"/>
  <c r="E48" i="8"/>
  <c r="F48" i="8"/>
  <c r="F53" i="20"/>
  <c r="H53" i="20" s="1"/>
  <c r="AZ4" i="13"/>
  <c r="AZ5" i="13" s="1"/>
  <c r="G48" i="8" l="1"/>
  <c r="A50" i="8"/>
  <c r="E49" i="8"/>
  <c r="G49" i="8" s="1"/>
  <c r="F49" i="8"/>
  <c r="A57" i="21"/>
  <c r="E56" i="21"/>
  <c r="G56" i="21" s="1"/>
  <c r="F56" i="21"/>
  <c r="BA4" i="13"/>
  <c r="BA5" i="13" s="1"/>
  <c r="A58" i="21" l="1"/>
  <c r="E57" i="21"/>
  <c r="G57" i="21" s="1"/>
  <c r="F57" i="21"/>
  <c r="A51" i="8"/>
  <c r="E50" i="8"/>
  <c r="F50" i="8"/>
  <c r="F27" i="20"/>
  <c r="H27" i="20" s="1"/>
  <c r="F30" i="20"/>
  <c r="F18" i="20"/>
  <c r="H18" i="20" s="1"/>
  <c r="F20" i="20"/>
  <c r="H20" i="20" s="1"/>
  <c r="BB4" i="13"/>
  <c r="BB5" i="13" s="1"/>
  <c r="G50" i="8" l="1"/>
  <c r="F12" i="20" s="1"/>
  <c r="E51" i="8"/>
  <c r="A52" i="8"/>
  <c r="F51" i="8"/>
  <c r="A59" i="21"/>
  <c r="E58" i="21"/>
  <c r="F58" i="21"/>
  <c r="F31" i="20"/>
  <c r="H31" i="20" s="1"/>
  <c r="BC4" i="13"/>
  <c r="BC5" i="13" s="1"/>
  <c r="G58" i="21" l="1"/>
  <c r="A60" i="21"/>
  <c r="E59" i="21"/>
  <c r="F59" i="21"/>
  <c r="E52" i="8"/>
  <c r="A53" i="8"/>
  <c r="F52" i="8"/>
  <c r="G51" i="8"/>
  <c r="BD4" i="13"/>
  <c r="BD5" i="13" s="1"/>
  <c r="E53" i="8" l="1"/>
  <c r="A54" i="8"/>
  <c r="F53" i="8"/>
  <c r="G52" i="8"/>
  <c r="G59" i="21"/>
  <c r="A61" i="21"/>
  <c r="E60" i="21"/>
  <c r="G60" i="21" s="1"/>
  <c r="F60" i="21"/>
  <c r="F6" i="20"/>
  <c r="F34" i="20"/>
  <c r="H34" i="20" s="1"/>
  <c r="C29" i="13"/>
  <c r="BE4" i="13"/>
  <c r="BE5" i="13" s="1"/>
  <c r="A62" i="21" l="1"/>
  <c r="E61" i="21"/>
  <c r="F61" i="21"/>
  <c r="E54" i="8"/>
  <c r="A55" i="8"/>
  <c r="F54" i="8"/>
  <c r="G53" i="8"/>
  <c r="C19" i="13"/>
  <c r="C21" i="13" s="1"/>
  <c r="C24" i="13"/>
  <c r="C24" i="15" s="1"/>
  <c r="C23" i="13"/>
  <c r="C22" i="15" s="1"/>
  <c r="C4" i="13"/>
  <c r="C14" i="13" s="1"/>
  <c r="C8" i="13"/>
  <c r="C7" i="13"/>
  <c r="C14" i="15" s="1"/>
  <c r="D29" i="13"/>
  <c r="H3" i="13"/>
  <c r="B29" i="15"/>
  <c r="B34" i="13"/>
  <c r="C20" i="15"/>
  <c r="BF4" i="13"/>
  <c r="BF5" i="13" s="1"/>
  <c r="E55" i="8" l="1"/>
  <c r="A56" i="8"/>
  <c r="F55" i="8"/>
  <c r="G54" i="8"/>
  <c r="F42" i="20" s="1"/>
  <c r="G61" i="21"/>
  <c r="A63" i="21"/>
  <c r="E62" i="21"/>
  <c r="F62" i="21"/>
  <c r="H23" i="13"/>
  <c r="F39" i="20"/>
  <c r="H39" i="20" s="1"/>
  <c r="F43" i="20"/>
  <c r="H43" i="20" s="1"/>
  <c r="F37" i="20"/>
  <c r="C16" i="15"/>
  <c r="C6" i="13"/>
  <c r="C34" i="15"/>
  <c r="G26" i="13"/>
  <c r="G27" i="13" s="1"/>
  <c r="AN17" i="13"/>
  <c r="FV17" i="13"/>
  <c r="EH17" i="13"/>
  <c r="HH17" i="13"/>
  <c r="GM17" i="13"/>
  <c r="FG17" i="13"/>
  <c r="HY17" i="13"/>
  <c r="DL17" i="13"/>
  <c r="GB17" i="13"/>
  <c r="FQ17" i="13"/>
  <c r="EC17" i="13"/>
  <c r="GC17" i="13"/>
  <c r="FZ17" i="13"/>
  <c r="EL17" i="13"/>
  <c r="IL17" i="13"/>
  <c r="FK17" i="13"/>
  <c r="DW17" i="13"/>
  <c r="GR17" i="13"/>
  <c r="CV17" i="13"/>
  <c r="BY17" i="13"/>
  <c r="CQ17" i="13"/>
  <c r="CZ17" i="13"/>
  <c r="BU17" i="13"/>
  <c r="BN17" i="13"/>
  <c r="GE17" i="13"/>
  <c r="GD17" i="13"/>
  <c r="EP17" i="13"/>
  <c r="HP17" i="13"/>
  <c r="GU17" i="13"/>
  <c r="HM17" i="13"/>
  <c r="IG17" i="13"/>
  <c r="DT17" i="13"/>
  <c r="EF17" i="13"/>
  <c r="FY17" i="13"/>
  <c r="EK17" i="13"/>
  <c r="HC17" i="13"/>
  <c r="GH17" i="13"/>
  <c r="ET17" i="13"/>
  <c r="HA17" i="13"/>
  <c r="FS17" i="13"/>
  <c r="EE17" i="13"/>
  <c r="DP17" i="13"/>
  <c r="BP17" i="13"/>
  <c r="CG17" i="13"/>
  <c r="CY17" i="13"/>
  <c r="BT17" i="13"/>
  <c r="CC17" i="13"/>
  <c r="BO17" i="13"/>
  <c r="HQ17" i="13"/>
  <c r="HG17" i="13"/>
  <c r="GL17" i="13"/>
  <c r="EX17" i="13"/>
  <c r="HX17" i="13"/>
  <c r="DK17" i="13"/>
  <c r="DX17" i="13"/>
  <c r="FP17" i="13"/>
  <c r="EB17" i="13"/>
  <c r="FM17" i="13"/>
  <c r="GG17" i="13"/>
  <c r="ES17" i="13"/>
  <c r="HK17" i="13"/>
  <c r="GP17" i="13"/>
  <c r="FB17" i="13"/>
  <c r="EG17" i="13"/>
  <c r="GA17" i="13"/>
  <c r="EM17" i="13"/>
  <c r="EV17" i="13"/>
  <c r="BX17" i="13"/>
  <c r="CE17" i="13"/>
  <c r="BS17" i="13"/>
  <c r="CB17" i="13"/>
  <c r="CK17" i="13"/>
  <c r="EY17" i="13"/>
  <c r="HO17" i="13"/>
  <c r="GT17" i="13"/>
  <c r="FF17" i="13"/>
  <c r="IF17" i="13"/>
  <c r="DS17" i="13"/>
  <c r="HV17" i="13"/>
  <c r="FX17" i="13"/>
  <c r="EJ17" i="13"/>
  <c r="EW17" i="13"/>
  <c r="GO17" i="13"/>
  <c r="FA17" i="13"/>
  <c r="HS17" i="13"/>
  <c r="GX17" i="13"/>
  <c r="HU17" i="13"/>
  <c r="HD17" i="13"/>
  <c r="GI17" i="13"/>
  <c r="EU17" i="13"/>
  <c r="ID17" i="13"/>
  <c r="CF17" i="13"/>
  <c r="CP17" i="13"/>
  <c r="CA17" i="13"/>
  <c r="CJ17" i="13"/>
  <c r="CT17" i="13"/>
  <c r="DU17" i="13"/>
  <c r="HW17" i="13"/>
  <c r="HB17" i="13"/>
  <c r="HF17" i="13"/>
  <c r="IN17" i="13"/>
  <c r="EA17" i="13"/>
  <c r="GK17" i="13"/>
  <c r="GF17" i="13"/>
  <c r="ER17" i="13"/>
  <c r="HJ17" i="13"/>
  <c r="GW17" i="13"/>
  <c r="FI17" i="13"/>
  <c r="IA17" i="13"/>
  <c r="DF17" i="13"/>
  <c r="FT17" i="13"/>
  <c r="HL17" i="13"/>
  <c r="GQ17" i="13"/>
  <c r="FC17" i="13"/>
  <c r="GS17" i="13"/>
  <c r="CM17" i="13"/>
  <c r="CX17" i="13"/>
  <c r="CI17" i="13"/>
  <c r="CU17" i="13"/>
  <c r="BV17" i="13"/>
  <c r="EO17" i="13"/>
  <c r="IE17" i="13"/>
  <c r="DJ17" i="13"/>
  <c r="FU17" i="13"/>
  <c r="FO17" i="13"/>
  <c r="EI17" i="13"/>
  <c r="DY17" i="13"/>
  <c r="GN17" i="13"/>
  <c r="EZ17" i="13"/>
  <c r="HR17" i="13"/>
  <c r="DE17" i="13"/>
  <c r="IK17" i="13"/>
  <c r="II17" i="13"/>
  <c r="DN17" i="13"/>
  <c r="DH17" i="13"/>
  <c r="HT17" i="13"/>
  <c r="GY17" i="13"/>
  <c r="IC17" i="13"/>
  <c r="DQ17" i="13"/>
  <c r="CO17" i="13"/>
  <c r="BR17" i="13"/>
  <c r="BW17" i="13"/>
  <c r="DC17" i="13"/>
  <c r="CD17" i="13"/>
  <c r="DZ17" i="13"/>
  <c r="IH17" i="13"/>
  <c r="FR17" i="13"/>
  <c r="IJ17" i="13"/>
  <c r="CN17" i="13"/>
  <c r="CH17" i="13"/>
  <c r="CR17" i="13"/>
  <c r="IM17" i="13"/>
  <c r="DR17" i="13"/>
  <c r="DI17" i="13"/>
  <c r="FW17" i="13"/>
  <c r="EQ17" i="13"/>
  <c r="HI17" i="13"/>
  <c r="GV17" i="13"/>
  <c r="FH17" i="13"/>
  <c r="HZ17" i="13"/>
  <c r="DM17" i="13"/>
  <c r="GZ17" i="13"/>
  <c r="FJ17" i="13"/>
  <c r="DV17" i="13"/>
  <c r="EN17" i="13"/>
  <c r="IB17" i="13"/>
  <c r="DG17" i="13"/>
  <c r="FL17" i="13"/>
  <c r="FE17" i="13"/>
  <c r="CW17" i="13"/>
  <c r="BZ17" i="13"/>
  <c r="DB17" i="13"/>
  <c r="CS17" i="13"/>
  <c r="CL17" i="13"/>
  <c r="FN17" i="13"/>
  <c r="HE17" i="13"/>
  <c r="ED17" i="13"/>
  <c r="HN17" i="13"/>
  <c r="GJ17" i="13"/>
  <c r="BQ17" i="13"/>
  <c r="DA17" i="13"/>
  <c r="DD17" i="13"/>
  <c r="FD17" i="13"/>
  <c r="DO17" i="13"/>
  <c r="BM17" i="13"/>
  <c r="V17" i="13"/>
  <c r="AL17" i="13"/>
  <c r="Z17" i="13"/>
  <c r="W17" i="13"/>
  <c r="AF17" i="13"/>
  <c r="AY17" i="13"/>
  <c r="BL17" i="13"/>
  <c r="BK17" i="13"/>
  <c r="AO17" i="13"/>
  <c r="AS17" i="13"/>
  <c r="AK17" i="13"/>
  <c r="AJ17" i="13"/>
  <c r="X17" i="13"/>
  <c r="AG17" i="13"/>
  <c r="BF17" i="13"/>
  <c r="BC17" i="13"/>
  <c r="M17" i="13"/>
  <c r="BJ17" i="13"/>
  <c r="Y17" i="13"/>
  <c r="AQ17" i="13"/>
  <c r="R17" i="13"/>
  <c r="BD17" i="13"/>
  <c r="AX17" i="13"/>
  <c r="BE17" i="13"/>
  <c r="Q17" i="13"/>
  <c r="J17" i="13"/>
  <c r="AR17" i="13"/>
  <c r="O17" i="13"/>
  <c r="G17" i="13"/>
  <c r="AP17" i="13"/>
  <c r="AV17" i="13"/>
  <c r="T17" i="13"/>
  <c r="S17" i="13"/>
  <c r="AD17" i="13"/>
  <c r="P17" i="13"/>
  <c r="AI17" i="13"/>
  <c r="AU17" i="13"/>
  <c r="BA17" i="13"/>
  <c r="BH17" i="13"/>
  <c r="AE17" i="13"/>
  <c r="BI17" i="13"/>
  <c r="U17" i="13"/>
  <c r="H17" i="13"/>
  <c r="AA17" i="13"/>
  <c r="AZ17" i="13"/>
  <c r="K17" i="13"/>
  <c r="AW17" i="13"/>
  <c r="N17" i="13"/>
  <c r="L17" i="13"/>
  <c r="AC17" i="13"/>
  <c r="AT17" i="13"/>
  <c r="I17" i="13"/>
  <c r="AH17" i="13"/>
  <c r="AB17" i="13"/>
  <c r="AM17" i="13"/>
  <c r="BG17" i="13"/>
  <c r="BB17" i="13"/>
  <c r="AS25" i="13"/>
  <c r="M25" i="13"/>
  <c r="AG25" i="13"/>
  <c r="BB25" i="13"/>
  <c r="AT25" i="13"/>
  <c r="AL25" i="13"/>
  <c r="AD25" i="13"/>
  <c r="V25" i="13"/>
  <c r="N25" i="13"/>
  <c r="G15" i="13"/>
  <c r="G22" i="13" s="1"/>
  <c r="G13" i="13"/>
  <c r="G21" i="13" s="1"/>
  <c r="G9" i="13"/>
  <c r="G19" i="13" s="1"/>
  <c r="G11" i="13"/>
  <c r="H26" i="13"/>
  <c r="H27" i="13" s="1"/>
  <c r="I3" i="13"/>
  <c r="I23" i="13" s="1"/>
  <c r="AJ25" i="13"/>
  <c r="T25" i="13"/>
  <c r="AY25" i="13"/>
  <c r="AQ25" i="13"/>
  <c r="AI25" i="13"/>
  <c r="AA25" i="13"/>
  <c r="S25" i="13"/>
  <c r="L25" i="13"/>
  <c r="C10" i="15"/>
  <c r="C18" i="15"/>
  <c r="BE25" i="13"/>
  <c r="AK25" i="13"/>
  <c r="AR25" i="13"/>
  <c r="AB25" i="13"/>
  <c r="F6" i="13"/>
  <c r="AX25" i="13"/>
  <c r="AP25" i="13"/>
  <c r="AH25" i="13"/>
  <c r="Z25" i="13"/>
  <c r="R25" i="13"/>
  <c r="K25" i="13"/>
  <c r="BA25" i="13"/>
  <c r="U25" i="13"/>
  <c r="AZ25" i="13"/>
  <c r="AO25" i="13"/>
  <c r="Y25" i="13"/>
  <c r="Q25" i="13"/>
  <c r="J25" i="13"/>
  <c r="AV25" i="13"/>
  <c r="AN25" i="13"/>
  <c r="AF25" i="13"/>
  <c r="X25" i="13"/>
  <c r="P25" i="13"/>
  <c r="I25" i="13"/>
  <c r="AC25" i="13"/>
  <c r="AW25" i="13"/>
  <c r="BF25" i="13"/>
  <c r="BC25" i="13"/>
  <c r="AU25" i="13"/>
  <c r="AM25" i="13"/>
  <c r="AE25" i="13"/>
  <c r="W25" i="13"/>
  <c r="O25" i="13"/>
  <c r="H25" i="13"/>
  <c r="G25" i="13" s="1"/>
  <c r="BD25" i="13"/>
  <c r="BG4" i="13"/>
  <c r="G18" i="13" l="1"/>
  <c r="G24" i="13" s="1"/>
  <c r="G62" i="21"/>
  <c r="E63" i="21"/>
  <c r="G63" i="21" s="1"/>
  <c r="A64" i="21"/>
  <c r="F63" i="21"/>
  <c r="E56" i="8"/>
  <c r="A57" i="8"/>
  <c r="F56" i="8"/>
  <c r="G55" i="8"/>
  <c r="F14" i="20" s="1"/>
  <c r="H14" i="20" s="1"/>
  <c r="BG5" i="13"/>
  <c r="BG25" i="13" s="1"/>
  <c r="H11" i="13"/>
  <c r="H20" i="13" s="1"/>
  <c r="G20" i="13"/>
  <c r="I11" i="13"/>
  <c r="H9" i="13"/>
  <c r="H13" i="13"/>
  <c r="I26" i="13"/>
  <c r="I27" i="13" s="1"/>
  <c r="J3" i="13"/>
  <c r="J23" i="13" s="1"/>
  <c r="H15" i="13"/>
  <c r="H22" i="13" s="1"/>
  <c r="BH4" i="13"/>
  <c r="A58" i="8" l="1"/>
  <c r="E57" i="8"/>
  <c r="F57" i="8"/>
  <c r="G56" i="8"/>
  <c r="A65" i="21"/>
  <c r="E64" i="21"/>
  <c r="G64" i="21" s="1"/>
  <c r="F64" i="21"/>
  <c r="BH5" i="13"/>
  <c r="BH25" i="13" s="1"/>
  <c r="I13" i="13"/>
  <c r="I21" i="13" s="1"/>
  <c r="H21" i="13"/>
  <c r="I9" i="13"/>
  <c r="I19" i="13" s="1"/>
  <c r="H19" i="13"/>
  <c r="H18" i="13"/>
  <c r="H24" i="13" s="1"/>
  <c r="J11" i="13"/>
  <c r="J20" i="13" s="1"/>
  <c r="I20" i="13"/>
  <c r="F11" i="20"/>
  <c r="H11" i="20" s="1"/>
  <c r="I18" i="13"/>
  <c r="I15" i="13"/>
  <c r="I22" i="13" s="1"/>
  <c r="K3" i="13"/>
  <c r="K23" i="13" s="1"/>
  <c r="J26" i="13"/>
  <c r="J27" i="13" s="1"/>
  <c r="BI4" i="13"/>
  <c r="A66" i="21" l="1"/>
  <c r="E65" i="21"/>
  <c r="F65" i="21"/>
  <c r="G57" i="8"/>
  <c r="E58" i="8"/>
  <c r="G58" i="8" s="1"/>
  <c r="A59" i="8"/>
  <c r="F58" i="8"/>
  <c r="J13" i="13"/>
  <c r="J21" i="13" s="1"/>
  <c r="J9" i="13"/>
  <c r="J19" i="13" s="1"/>
  <c r="K11" i="13"/>
  <c r="K20" i="13" s="1"/>
  <c r="BI5" i="13"/>
  <c r="J18" i="13"/>
  <c r="I24" i="13"/>
  <c r="K26" i="13"/>
  <c r="K27" i="13" s="1"/>
  <c r="L3" i="13"/>
  <c r="L23" i="13" s="1"/>
  <c r="K13" i="13"/>
  <c r="K21" i="13" s="1"/>
  <c r="J15" i="13"/>
  <c r="J22" i="13" s="1"/>
  <c r="BJ4" i="13"/>
  <c r="BI25" i="13" l="1"/>
  <c r="E59" i="8"/>
  <c r="G59" i="8" s="1"/>
  <c r="A60" i="8"/>
  <c r="F59" i="8"/>
  <c r="G65" i="21"/>
  <c r="A67" i="21"/>
  <c r="E66" i="21"/>
  <c r="G66" i="21" s="1"/>
  <c r="F66" i="21"/>
  <c r="K9" i="13"/>
  <c r="K19" i="13" s="1"/>
  <c r="L11" i="13"/>
  <c r="L20" i="13" s="1"/>
  <c r="F51" i="20"/>
  <c r="H51" i="20" s="1"/>
  <c r="F49" i="20"/>
  <c r="H49" i="20" s="1"/>
  <c r="F46" i="20"/>
  <c r="BJ5" i="13"/>
  <c r="F13" i="20"/>
  <c r="H13" i="20" s="1"/>
  <c r="K18" i="13"/>
  <c r="J24" i="13"/>
  <c r="M11" i="13"/>
  <c r="M20" i="13" s="1"/>
  <c r="L26" i="13"/>
  <c r="L27" i="13" s="1"/>
  <c r="M3" i="13"/>
  <c r="M23" i="13" s="1"/>
  <c r="L13" i="13"/>
  <c r="L21" i="13" s="1"/>
  <c r="K15" i="13"/>
  <c r="K22" i="13" s="1"/>
  <c r="L9" i="13"/>
  <c r="L19" i="13" s="1"/>
  <c r="BK4" i="13"/>
  <c r="BJ25" i="13" l="1"/>
  <c r="E67" i="21"/>
  <c r="A68" i="21"/>
  <c r="F67" i="21"/>
  <c r="E60" i="8"/>
  <c r="G60" i="8" s="1"/>
  <c r="A61" i="8"/>
  <c r="F60" i="8"/>
  <c r="F54" i="20"/>
  <c r="BK5" i="13"/>
  <c r="L18" i="13"/>
  <c r="K24" i="13"/>
  <c r="M13" i="13"/>
  <c r="M21" i="13" s="1"/>
  <c r="M9" i="13"/>
  <c r="M19" i="13" s="1"/>
  <c r="M26" i="13"/>
  <c r="M27" i="13" s="1"/>
  <c r="N3" i="13"/>
  <c r="L15" i="13"/>
  <c r="L22" i="13" s="1"/>
  <c r="N11" i="13"/>
  <c r="N20" i="13" s="1"/>
  <c r="BL4" i="13"/>
  <c r="BL5" i="13" s="1"/>
  <c r="BK25" i="13" l="1"/>
  <c r="A62" i="8"/>
  <c r="E61" i="8"/>
  <c r="G61" i="8" s="1"/>
  <c r="F61" i="8"/>
  <c r="E68" i="21"/>
  <c r="A69" i="21"/>
  <c r="F68" i="21"/>
  <c r="G67" i="21"/>
  <c r="F22" i="20"/>
  <c r="F40" i="20"/>
  <c r="H40" i="20" s="1"/>
  <c r="M18" i="13"/>
  <c r="F50" i="20"/>
  <c r="H50" i="20" s="1"/>
  <c r="O3" i="13"/>
  <c r="O23" i="13" s="1"/>
  <c r="N23" i="13"/>
  <c r="BL25" i="13"/>
  <c r="C5" i="13"/>
  <c r="C13" i="13" s="1"/>
  <c r="L24" i="13"/>
  <c r="N9" i="13"/>
  <c r="N19" i="13" s="1"/>
  <c r="O11" i="13"/>
  <c r="O20" i="13" s="1"/>
  <c r="N13" i="13"/>
  <c r="N21" i="13" s="1"/>
  <c r="M15" i="13"/>
  <c r="M22" i="13" s="1"/>
  <c r="N26" i="13"/>
  <c r="N27" i="13" s="1"/>
  <c r="BM4" i="13"/>
  <c r="E69" i="21" l="1"/>
  <c r="G69" i="21" s="1"/>
  <c r="A70" i="21"/>
  <c r="F69" i="21"/>
  <c r="G68" i="21"/>
  <c r="A63" i="8"/>
  <c r="E62" i="8"/>
  <c r="F62" i="8"/>
  <c r="N18" i="13"/>
  <c r="F33" i="20"/>
  <c r="BM5" i="13"/>
  <c r="M24" i="13"/>
  <c r="N15" i="13"/>
  <c r="N22" i="13" s="1"/>
  <c r="O13" i="13"/>
  <c r="O21" i="13" s="1"/>
  <c r="O18" i="13"/>
  <c r="P11" i="13"/>
  <c r="P20" i="13" s="1"/>
  <c r="P3" i="13"/>
  <c r="P23" i="13" s="1"/>
  <c r="O26" i="13"/>
  <c r="O27" i="13" s="1"/>
  <c r="O9" i="13"/>
  <c r="O19" i="13" s="1"/>
  <c r="BN4" i="13"/>
  <c r="BM25" i="13" l="1"/>
  <c r="G62" i="8"/>
  <c r="E63" i="8"/>
  <c r="A64" i="8"/>
  <c r="F63" i="8"/>
  <c r="E70" i="21"/>
  <c r="G70" i="21" s="1"/>
  <c r="A71" i="2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F70" i="21"/>
  <c r="BN5" i="13"/>
  <c r="F4" i="20"/>
  <c r="H4" i="20" s="1"/>
  <c r="N24" i="13"/>
  <c r="Q11" i="13"/>
  <c r="Q20" i="13" s="1"/>
  <c r="P18" i="13"/>
  <c r="P13" i="13"/>
  <c r="P21" i="13" s="1"/>
  <c r="P19" i="13"/>
  <c r="O15" i="13"/>
  <c r="O22" i="13" s="1"/>
  <c r="P26" i="13"/>
  <c r="P27" i="13" s="1"/>
  <c r="Q3" i="13"/>
  <c r="Q23" i="13" s="1"/>
  <c r="BO4" i="13"/>
  <c r="BO5" i="13" s="1"/>
  <c r="BN25" i="13" l="1"/>
  <c r="E64" i="8"/>
  <c r="A65" i="8"/>
  <c r="F64" i="8"/>
  <c r="G63" i="8"/>
  <c r="O24" i="13"/>
  <c r="Q9" i="13"/>
  <c r="Q19" i="13" s="1"/>
  <c r="Q13" i="13"/>
  <c r="Q21" i="13" s="1"/>
  <c r="Q18" i="13"/>
  <c r="P15" i="13"/>
  <c r="P22" i="13" s="1"/>
  <c r="R11" i="13"/>
  <c r="R20" i="13" s="1"/>
  <c r="R3" i="13"/>
  <c r="R23" i="13" s="1"/>
  <c r="Q26" i="13"/>
  <c r="Q27" i="13" s="1"/>
  <c r="BP4" i="13"/>
  <c r="BP5" i="13" s="1"/>
  <c r="BO25" i="13"/>
  <c r="E65" i="8" l="1"/>
  <c r="A66" i="8"/>
  <c r="F65" i="8"/>
  <c r="G64" i="8"/>
  <c r="F48" i="20"/>
  <c r="P24" i="13"/>
  <c r="Q15" i="13"/>
  <c r="Q22" i="13" s="1"/>
  <c r="R18" i="13"/>
  <c r="R13" i="13"/>
  <c r="R21" i="13" s="1"/>
  <c r="S3" i="13"/>
  <c r="S23" i="13" s="1"/>
  <c r="R26" i="13"/>
  <c r="R27" i="13" s="1"/>
  <c r="R9" i="13"/>
  <c r="R19" i="13" s="1"/>
  <c r="S11" i="13"/>
  <c r="S20" i="13" s="1"/>
  <c r="BQ4" i="13"/>
  <c r="BQ5" i="13" s="1"/>
  <c r="BP25" i="13"/>
  <c r="E66" i="8" l="1"/>
  <c r="A67" i="8"/>
  <c r="F66" i="8"/>
  <c r="G65" i="8"/>
  <c r="F35" i="20"/>
  <c r="H35" i="20" s="1"/>
  <c r="Q24" i="13"/>
  <c r="S13" i="13"/>
  <c r="S21" i="13" s="1"/>
  <c r="S26" i="13"/>
  <c r="S27" i="13" s="1"/>
  <c r="T3" i="13"/>
  <c r="T23" i="13" s="1"/>
  <c r="T11" i="13"/>
  <c r="T20" i="13" s="1"/>
  <c r="S18" i="13"/>
  <c r="R15" i="13"/>
  <c r="R22" i="13" s="1"/>
  <c r="S9" i="13"/>
  <c r="S19" i="13" s="1"/>
  <c r="BR4" i="13"/>
  <c r="BR5" i="13" s="1"/>
  <c r="BQ25" i="13"/>
  <c r="E67" i="8" l="1"/>
  <c r="G67" i="8" s="1"/>
  <c r="A68" i="8"/>
  <c r="F67" i="8"/>
  <c r="G66" i="8"/>
  <c r="R24" i="13"/>
  <c r="U11" i="13"/>
  <c r="U20" i="13" s="1"/>
  <c r="T9" i="13"/>
  <c r="T19" i="13" s="1"/>
  <c r="U3" i="13"/>
  <c r="U23" i="13" s="1"/>
  <c r="T26" i="13"/>
  <c r="T27" i="13" s="1"/>
  <c r="S15" i="13"/>
  <c r="S22" i="13" s="1"/>
  <c r="T18" i="13"/>
  <c r="T13" i="13"/>
  <c r="T21" i="13" s="1"/>
  <c r="BR25" i="13"/>
  <c r="BS4" i="13"/>
  <c r="BS5" i="13" s="1"/>
  <c r="A69" i="8" l="1"/>
  <c r="E68" i="8"/>
  <c r="G68" i="8" s="1"/>
  <c r="F68" i="8"/>
  <c r="F36" i="20"/>
  <c r="H36" i="20" s="1"/>
  <c r="S24" i="13"/>
  <c r="U26" i="13"/>
  <c r="U27" i="13" s="1"/>
  <c r="V3" i="13"/>
  <c r="V23" i="13" s="1"/>
  <c r="U9" i="13"/>
  <c r="U19" i="13" s="1"/>
  <c r="U18" i="13"/>
  <c r="C12" i="15"/>
  <c r="C38" i="15" s="1"/>
  <c r="V11" i="13"/>
  <c r="V20" i="13" s="1"/>
  <c r="U13" i="13"/>
  <c r="U21" i="13" s="1"/>
  <c r="T15" i="13"/>
  <c r="T22" i="13" s="1"/>
  <c r="BS25" i="13"/>
  <c r="BT4" i="13"/>
  <c r="BT5" i="13" s="1"/>
  <c r="A70" i="8" l="1"/>
  <c r="E69" i="8"/>
  <c r="F69" i="8"/>
  <c r="T24" i="13"/>
  <c r="V18" i="13"/>
  <c r="V9" i="13"/>
  <c r="V19" i="13" s="1"/>
  <c r="V13" i="13"/>
  <c r="V21" i="13" s="1"/>
  <c r="V26" i="13"/>
  <c r="V27" i="13" s="1"/>
  <c r="W3" i="13"/>
  <c r="W23" i="13" s="1"/>
  <c r="U15" i="13"/>
  <c r="U22" i="13" s="1"/>
  <c r="W11" i="13"/>
  <c r="W20" i="13" s="1"/>
  <c r="BT25" i="13"/>
  <c r="BU4" i="13"/>
  <c r="BU5" i="13" s="1"/>
  <c r="G69" i="8" l="1"/>
  <c r="A71" i="8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E70" i="8"/>
  <c r="G70" i="8" s="1"/>
  <c r="F70" i="8"/>
  <c r="U24" i="13"/>
  <c r="W13" i="13"/>
  <c r="W21" i="13" s="1"/>
  <c r="X11" i="13"/>
  <c r="X20" i="13" s="1"/>
  <c r="W9" i="13"/>
  <c r="W19" i="13" s="1"/>
  <c r="V15" i="13"/>
  <c r="V22" i="13" s="1"/>
  <c r="W18" i="13"/>
  <c r="W26" i="13"/>
  <c r="W27" i="13" s="1"/>
  <c r="X3" i="13"/>
  <c r="X23" i="13" s="1"/>
  <c r="BU25" i="13"/>
  <c r="BV4" i="13"/>
  <c r="BV5" i="13" s="1"/>
  <c r="V24" i="13" l="1"/>
  <c r="W15" i="13"/>
  <c r="W22" i="13" s="1"/>
  <c r="X9" i="13"/>
  <c r="X19" i="13" s="1"/>
  <c r="X26" i="13"/>
  <c r="X27" i="13" s="1"/>
  <c r="Y3" i="13"/>
  <c r="Y23" i="13" s="1"/>
  <c r="Y11" i="13"/>
  <c r="Y20" i="13" s="1"/>
  <c r="X13" i="13"/>
  <c r="X21" i="13" s="1"/>
  <c r="X18" i="13"/>
  <c r="BV25" i="13"/>
  <c r="BW4" i="13"/>
  <c r="BW5" i="13" s="1"/>
  <c r="W24" i="13" l="1"/>
  <c r="Y26" i="13"/>
  <c r="Y27" i="13" s="1"/>
  <c r="Z3" i="13"/>
  <c r="Z23" i="13" s="1"/>
  <c r="Y18" i="13"/>
  <c r="Y9" i="13"/>
  <c r="Y19" i="13" s="1"/>
  <c r="Y13" i="13"/>
  <c r="Y21" i="13" s="1"/>
  <c r="X15" i="13"/>
  <c r="X22" i="13" s="1"/>
  <c r="Z11" i="13"/>
  <c r="Z20" i="13" s="1"/>
  <c r="BW25" i="13"/>
  <c r="BX4" i="13"/>
  <c r="BX5" i="13" s="1"/>
  <c r="X24" i="13" l="1"/>
  <c r="Z9" i="13"/>
  <c r="Z19" i="13" s="1"/>
  <c r="AA11" i="13"/>
  <c r="AA20" i="13" s="1"/>
  <c r="Z18" i="13"/>
  <c r="Y15" i="13"/>
  <c r="Y22" i="13" s="1"/>
  <c r="AA3" i="13"/>
  <c r="AA23" i="13" s="1"/>
  <c r="Z26" i="13"/>
  <c r="Z27" i="13" s="1"/>
  <c r="Z13" i="13"/>
  <c r="Z21" i="13" s="1"/>
  <c r="BX25" i="13"/>
  <c r="BY4" i="13"/>
  <c r="BY5" i="13" s="1"/>
  <c r="Y24" i="13" l="1"/>
  <c r="Z15" i="13"/>
  <c r="Z22" i="13" s="1"/>
  <c r="AA18" i="13"/>
  <c r="AA13" i="13"/>
  <c r="AA21" i="13" s="1"/>
  <c r="AB11" i="13"/>
  <c r="AB20" i="13" s="1"/>
  <c r="AA9" i="13"/>
  <c r="AA19" i="13" s="1"/>
  <c r="AA26" i="13"/>
  <c r="AA27" i="13" s="1"/>
  <c r="AB3" i="13"/>
  <c r="AB23" i="13" s="1"/>
  <c r="BY25" i="13"/>
  <c r="BZ4" i="13"/>
  <c r="BZ5" i="13" s="1"/>
  <c r="Z24" i="13" l="1"/>
  <c r="AC11" i="13"/>
  <c r="AC20" i="13" s="1"/>
  <c r="AB13" i="13"/>
  <c r="AB21" i="13" s="1"/>
  <c r="AB26" i="13"/>
  <c r="AB27" i="13" s="1"/>
  <c r="AC3" i="13"/>
  <c r="AC23" i="13" s="1"/>
  <c r="AB18" i="13"/>
  <c r="AB9" i="13"/>
  <c r="AB19" i="13" s="1"/>
  <c r="AA15" i="13"/>
  <c r="AA22" i="13" s="1"/>
  <c r="BZ25" i="13"/>
  <c r="CA4" i="13"/>
  <c r="CA5" i="13" s="1"/>
  <c r="F7" i="20" l="1"/>
  <c r="AA24" i="13"/>
  <c r="AB15" i="13"/>
  <c r="AB22" i="13" s="1"/>
  <c r="AC13" i="13"/>
  <c r="AC21" i="13" s="1"/>
  <c r="AC26" i="13"/>
  <c r="AC27" i="13" s="1"/>
  <c r="AD3" i="13"/>
  <c r="AD23" i="13" s="1"/>
  <c r="AC9" i="13"/>
  <c r="AC19" i="13" s="1"/>
  <c r="AD11" i="13"/>
  <c r="AD20" i="13" s="1"/>
  <c r="AC18" i="13"/>
  <c r="CA25" i="13"/>
  <c r="CB4" i="13"/>
  <c r="CB5" i="13" s="1"/>
  <c r="AB24" i="13" l="1"/>
  <c r="AD26" i="13"/>
  <c r="AD27" i="13" s="1"/>
  <c r="AE3" i="13"/>
  <c r="AE23" i="13" s="1"/>
  <c r="AD18" i="13"/>
  <c r="AD13" i="13"/>
  <c r="AD21" i="13" s="1"/>
  <c r="AE11" i="13"/>
  <c r="AE20" i="13" s="1"/>
  <c r="AC15" i="13"/>
  <c r="AC22" i="13" s="1"/>
  <c r="AD9" i="13"/>
  <c r="AD19" i="13" s="1"/>
  <c r="CB25" i="13"/>
  <c r="CC4" i="13"/>
  <c r="CC5" i="13" s="1"/>
  <c r="AC24" i="13" l="1"/>
  <c r="AE13" i="13"/>
  <c r="AE21" i="13" s="1"/>
  <c r="AE9" i="13"/>
  <c r="AE19" i="13" s="1"/>
  <c r="AE18" i="13"/>
  <c r="AD15" i="13"/>
  <c r="AD22" i="13" s="1"/>
  <c r="AE26" i="13"/>
  <c r="AE27" i="13" s="1"/>
  <c r="AF3" i="13"/>
  <c r="AF23" i="13" s="1"/>
  <c r="AF11" i="13"/>
  <c r="AF20" i="13" s="1"/>
  <c r="CC25" i="13"/>
  <c r="CD4" i="13"/>
  <c r="CD5" i="13" s="1"/>
  <c r="AD24" i="13" l="1"/>
  <c r="AE15" i="13"/>
  <c r="AE22" i="13" s="1"/>
  <c r="AG11" i="13"/>
  <c r="AG20" i="13" s="1"/>
  <c r="AF18" i="13"/>
  <c r="AF9" i="13"/>
  <c r="AF19" i="13" s="1"/>
  <c r="AF26" i="13"/>
  <c r="AF27" i="13" s="1"/>
  <c r="AG3" i="13"/>
  <c r="AG23" i="13" s="1"/>
  <c r="AF13" i="13"/>
  <c r="AF21" i="13" s="1"/>
  <c r="CD25" i="13"/>
  <c r="CE4" i="13"/>
  <c r="CE5" i="13" s="1"/>
  <c r="AE24" i="13" l="1"/>
  <c r="AG13" i="13"/>
  <c r="AG21" i="13" s="1"/>
  <c r="AH11" i="13"/>
  <c r="AH20" i="13" s="1"/>
  <c r="AG9" i="13"/>
  <c r="AG19" i="13" s="1"/>
  <c r="AG26" i="13"/>
  <c r="AG27" i="13" s="1"/>
  <c r="AH3" i="13"/>
  <c r="AF15" i="13"/>
  <c r="AF22" i="13" s="1"/>
  <c r="CE25" i="13"/>
  <c r="CF4" i="13"/>
  <c r="CF5" i="13" s="1"/>
  <c r="AG18" i="13" l="1"/>
  <c r="AH18" i="13"/>
  <c r="AH23" i="13"/>
  <c r="AF24" i="13"/>
  <c r="AH9" i="13"/>
  <c r="AH19" i="13" s="1"/>
  <c r="AI11" i="13"/>
  <c r="AI20" i="13" s="1"/>
  <c r="AG15" i="13"/>
  <c r="AG22" i="13" s="1"/>
  <c r="AH26" i="13"/>
  <c r="AH27" i="13" s="1"/>
  <c r="AI3" i="13"/>
  <c r="AI23" i="13" s="1"/>
  <c r="AG24" i="13"/>
  <c r="AH13" i="13"/>
  <c r="AH21" i="13" s="1"/>
  <c r="CF25" i="13"/>
  <c r="CG4" i="13"/>
  <c r="CG5" i="13" s="1"/>
  <c r="F17" i="20" l="1"/>
  <c r="H17" i="20" s="1"/>
  <c r="AH15" i="13"/>
  <c r="AH22" i="13" s="1"/>
  <c r="AI13" i="13"/>
  <c r="AI21" i="13" s="1"/>
  <c r="AJ11" i="13"/>
  <c r="AJ20" i="13" s="1"/>
  <c r="AH24" i="13"/>
  <c r="AI18" i="13"/>
  <c r="AI9" i="13"/>
  <c r="AI19" i="13" s="1"/>
  <c r="AJ3" i="13"/>
  <c r="AJ23" i="13" s="1"/>
  <c r="AI26" i="13"/>
  <c r="AI27" i="13" s="1"/>
  <c r="CG25" i="13"/>
  <c r="CH4" i="13"/>
  <c r="CH5" i="13" s="1"/>
  <c r="AJ18" i="13" l="1"/>
  <c r="AI24" i="13"/>
  <c r="AK11" i="13"/>
  <c r="AK20" i="13" s="1"/>
  <c r="AJ13" i="13"/>
  <c r="AJ21" i="13" s="1"/>
  <c r="AJ26" i="13"/>
  <c r="AJ27" i="13" s="1"/>
  <c r="AK3" i="13"/>
  <c r="AK23" i="13" s="1"/>
  <c r="AI15" i="13"/>
  <c r="AI22" i="13" s="1"/>
  <c r="AJ9" i="13"/>
  <c r="AJ19" i="13" s="1"/>
  <c r="CH25" i="13"/>
  <c r="CI4" i="13"/>
  <c r="CI5" i="13" s="1"/>
  <c r="AK13" i="13" l="1"/>
  <c r="AK21" i="13" s="1"/>
  <c r="AK9" i="13"/>
  <c r="AK19" i="13" s="1"/>
  <c r="AL11" i="13"/>
  <c r="AL20" i="13" s="1"/>
  <c r="AJ15" i="13"/>
  <c r="AJ22" i="13" s="1"/>
  <c r="AK26" i="13"/>
  <c r="AK27" i="13" s="1"/>
  <c r="AL3" i="13"/>
  <c r="AL23" i="13" s="1"/>
  <c r="AK18" i="13"/>
  <c r="AJ24" i="13"/>
  <c r="CI25" i="13"/>
  <c r="CJ4" i="13"/>
  <c r="CJ5" i="13" s="1"/>
  <c r="AM11" i="13" l="1"/>
  <c r="AM20" i="13" s="1"/>
  <c r="AK24" i="13"/>
  <c r="AL18" i="13"/>
  <c r="AL9" i="13"/>
  <c r="AL19" i="13" s="1"/>
  <c r="AK15" i="13"/>
  <c r="AK22" i="13" s="1"/>
  <c r="AL26" i="13"/>
  <c r="AL27" i="13" s="1"/>
  <c r="AM3" i="13"/>
  <c r="AM23" i="13" s="1"/>
  <c r="AL13" i="13"/>
  <c r="AL21" i="13" s="1"/>
  <c r="CJ25" i="13"/>
  <c r="CK4" i="13"/>
  <c r="CK5" i="13" s="1"/>
  <c r="AM13" i="13" l="1"/>
  <c r="AM21" i="13" s="1"/>
  <c r="AM18" i="13"/>
  <c r="AL24" i="13"/>
  <c r="AL15" i="13"/>
  <c r="AL22" i="13" s="1"/>
  <c r="AM9" i="13"/>
  <c r="AM19" i="13" s="1"/>
  <c r="AN11" i="13"/>
  <c r="AN20" i="13" s="1"/>
  <c r="AM26" i="13"/>
  <c r="AM27" i="13" s="1"/>
  <c r="AN3" i="13"/>
  <c r="AN23" i="13" s="1"/>
  <c r="CK25" i="13"/>
  <c r="CL4" i="13"/>
  <c r="CL5" i="13" s="1"/>
  <c r="AN9" i="13" l="1"/>
  <c r="AN19" i="13" s="1"/>
  <c r="AM15" i="13"/>
  <c r="AM22" i="13" s="1"/>
  <c r="AN26" i="13"/>
  <c r="AN27" i="13" s="1"/>
  <c r="AO3" i="13"/>
  <c r="AO23" i="13" s="1"/>
  <c r="AN18" i="13"/>
  <c r="AM24" i="13"/>
  <c r="AO11" i="13"/>
  <c r="AO20" i="13" s="1"/>
  <c r="AN13" i="13"/>
  <c r="AN21" i="13" s="1"/>
  <c r="CL25" i="13"/>
  <c r="CM4" i="13"/>
  <c r="CM5" i="13" s="1"/>
  <c r="AO18" i="13" l="1"/>
  <c r="AN24" i="13"/>
  <c r="AP3" i="13"/>
  <c r="AP23" i="13" s="1"/>
  <c r="AO26" i="13"/>
  <c r="AO27" i="13" s="1"/>
  <c r="AO13" i="13"/>
  <c r="AO21" i="13" s="1"/>
  <c r="AN15" i="13"/>
  <c r="AN22" i="13" s="1"/>
  <c r="AP11" i="13"/>
  <c r="AP20" i="13" s="1"/>
  <c r="AO9" i="13"/>
  <c r="AO19" i="13" s="1"/>
  <c r="CN4" i="13"/>
  <c r="CN5" i="13" s="1"/>
  <c r="CM25" i="13"/>
  <c r="AP13" i="13" l="1"/>
  <c r="AP21" i="13" s="1"/>
  <c r="AP9" i="13"/>
  <c r="AP19" i="13" s="1"/>
  <c r="AQ11" i="13"/>
  <c r="AQ20" i="13" s="1"/>
  <c r="AQ3" i="13"/>
  <c r="AQ23" i="13" s="1"/>
  <c r="AP26" i="13"/>
  <c r="AP27" i="13" s="1"/>
  <c r="AO15" i="13"/>
  <c r="AO22" i="13" s="1"/>
  <c r="AO24" i="13"/>
  <c r="AP18" i="13"/>
  <c r="CO4" i="13"/>
  <c r="CO5" i="13" s="1"/>
  <c r="CN25" i="13"/>
  <c r="AR3" i="13" l="1"/>
  <c r="AR23" i="13" s="1"/>
  <c r="AQ26" i="13"/>
  <c r="AQ27" i="13" s="1"/>
  <c r="AR11" i="13"/>
  <c r="AR20" i="13" s="1"/>
  <c r="AQ18" i="13"/>
  <c r="AP24" i="13"/>
  <c r="AQ9" i="13"/>
  <c r="AQ19" i="13" s="1"/>
  <c r="AP15" i="13"/>
  <c r="AP22" i="13" s="1"/>
  <c r="AQ13" i="13"/>
  <c r="AQ21" i="13" s="1"/>
  <c r="CP4" i="13"/>
  <c r="CP5" i="13" s="1"/>
  <c r="CO25" i="13"/>
  <c r="AQ24" i="13" l="1"/>
  <c r="AR18" i="13"/>
  <c r="AR13" i="13"/>
  <c r="AR21" i="13" s="1"/>
  <c r="AS11" i="13"/>
  <c r="AS20" i="13" s="1"/>
  <c r="AQ15" i="13"/>
  <c r="AQ22" i="13" s="1"/>
  <c r="AS3" i="13"/>
  <c r="AS23" i="13" s="1"/>
  <c r="AR26" i="13"/>
  <c r="AR27" i="13" s="1"/>
  <c r="AR9" i="13"/>
  <c r="AR19" i="13" s="1"/>
  <c r="CP25" i="13"/>
  <c r="CQ4" i="13"/>
  <c r="CQ5" i="13" s="1"/>
  <c r="AR15" i="13" l="1"/>
  <c r="AR22" i="13" s="1"/>
  <c r="AT11" i="13"/>
  <c r="AT20" i="13" s="1"/>
  <c r="AS9" i="13"/>
  <c r="AS19" i="13" s="1"/>
  <c r="AS13" i="13"/>
  <c r="AS21" i="13" s="1"/>
  <c r="AS18" i="13"/>
  <c r="AR24" i="13"/>
  <c r="AS26" i="13"/>
  <c r="AS27" i="13" s="1"/>
  <c r="AT3" i="13"/>
  <c r="AT23" i="13" s="1"/>
  <c r="CQ25" i="13"/>
  <c r="CR4" i="13"/>
  <c r="CR5" i="13" s="1"/>
  <c r="AT9" i="13" l="1"/>
  <c r="AT19" i="13" s="1"/>
  <c r="AT26" i="13"/>
  <c r="AT27" i="13" s="1"/>
  <c r="AU3" i="13"/>
  <c r="AU23" i="13" s="1"/>
  <c r="AT13" i="13"/>
  <c r="AT21" i="13" s="1"/>
  <c r="AU11" i="13"/>
  <c r="AU20" i="13" s="1"/>
  <c r="AS15" i="13"/>
  <c r="AS22" i="13" s="1"/>
  <c r="AS24" i="13"/>
  <c r="CR25" i="13"/>
  <c r="CS4" i="13"/>
  <c r="CS5" i="13" s="1"/>
  <c r="AT18" i="13" l="1"/>
  <c r="AU18" i="13"/>
  <c r="AU13" i="13"/>
  <c r="AU21" i="13" s="1"/>
  <c r="AT24" i="13"/>
  <c r="AU26" i="13"/>
  <c r="AU27" i="13" s="1"/>
  <c r="AV3" i="13"/>
  <c r="AV23" i="13" s="1"/>
  <c r="AT15" i="13"/>
  <c r="AT22" i="13" s="1"/>
  <c r="AU9" i="13"/>
  <c r="AU19" i="13" s="1"/>
  <c r="AV11" i="13"/>
  <c r="AV20" i="13" s="1"/>
  <c r="CS25" i="13"/>
  <c r="CT4" i="13"/>
  <c r="CT5" i="13" s="1"/>
  <c r="AV26" i="13" l="1"/>
  <c r="AV27" i="13" s="1"/>
  <c r="AW3" i="13"/>
  <c r="AW23" i="13" s="1"/>
  <c r="AW11" i="13"/>
  <c r="AW20" i="13" s="1"/>
  <c r="AV18" i="13"/>
  <c r="AU24" i="13"/>
  <c r="AV9" i="13"/>
  <c r="AV19" i="13" s="1"/>
  <c r="AV13" i="13"/>
  <c r="AV21" i="13" s="1"/>
  <c r="AU15" i="13"/>
  <c r="AU22" i="13" s="1"/>
  <c r="CT25" i="13"/>
  <c r="CU4" i="13"/>
  <c r="CU5" i="13" l="1"/>
  <c r="AW18" i="13"/>
  <c r="AV24" i="13"/>
  <c r="AV15" i="13"/>
  <c r="AV22" i="13" s="1"/>
  <c r="AX11" i="13"/>
  <c r="AX20" i="13" s="1"/>
  <c r="AW13" i="13"/>
  <c r="AW21" i="13" s="1"/>
  <c r="AW26" i="13"/>
  <c r="AW27" i="13" s="1"/>
  <c r="AX3" i="13"/>
  <c r="AX23" i="13" s="1"/>
  <c r="AW9" i="13"/>
  <c r="AW19" i="13" s="1"/>
  <c r="CV4" i="13"/>
  <c r="CU25" i="13" l="1"/>
  <c r="CV5" i="13"/>
  <c r="AX13" i="13"/>
  <c r="AX21" i="13" s="1"/>
  <c r="AY11" i="13"/>
  <c r="AY20" i="13" s="1"/>
  <c r="AX9" i="13"/>
  <c r="AX19" i="13" s="1"/>
  <c r="AW15" i="13"/>
  <c r="AW22" i="13" s="1"/>
  <c r="AX26" i="13"/>
  <c r="AX27" i="13" s="1"/>
  <c r="AY3" i="13"/>
  <c r="AY23" i="13" s="1"/>
  <c r="AX18" i="13"/>
  <c r="AW24" i="13"/>
  <c r="CW4" i="13"/>
  <c r="CV25" i="13" l="1"/>
  <c r="CW5" i="13"/>
  <c r="AX15" i="13"/>
  <c r="AX22" i="13" s="1"/>
  <c r="AY9" i="13"/>
  <c r="AY19" i="13" s="1"/>
  <c r="AY18" i="13"/>
  <c r="AX24" i="13"/>
  <c r="AZ11" i="13"/>
  <c r="AZ20" i="13" s="1"/>
  <c r="AZ3" i="13"/>
  <c r="AZ23" i="13" s="1"/>
  <c r="AY26" i="13"/>
  <c r="AY27" i="13" s="1"/>
  <c r="AY13" i="13"/>
  <c r="AY21" i="13" s="1"/>
  <c r="CX4" i="13"/>
  <c r="CW25" i="13" l="1"/>
  <c r="CX5" i="13"/>
  <c r="BA11" i="13"/>
  <c r="BA20" i="13" s="1"/>
  <c r="AZ13" i="13"/>
  <c r="AZ21" i="13" s="1"/>
  <c r="AZ18" i="13"/>
  <c r="AY24" i="13"/>
  <c r="AZ9" i="13"/>
  <c r="AZ19" i="13" s="1"/>
  <c r="AY15" i="13"/>
  <c r="AY22" i="13" s="1"/>
  <c r="BA3" i="13"/>
  <c r="BA23" i="13" s="1"/>
  <c r="AZ26" i="13"/>
  <c r="AZ27" i="13" s="1"/>
  <c r="CY4" i="13"/>
  <c r="CX25" i="13" l="1"/>
  <c r="CY5" i="13"/>
  <c r="BA9" i="13"/>
  <c r="BA19" i="13" s="1"/>
  <c r="AZ24" i="13"/>
  <c r="BA18" i="13"/>
  <c r="BA13" i="13"/>
  <c r="BA21" i="13" s="1"/>
  <c r="BA26" i="13"/>
  <c r="BA27" i="13" s="1"/>
  <c r="BB3" i="13"/>
  <c r="BB23" i="13" s="1"/>
  <c r="BB11" i="13"/>
  <c r="BB20" i="13" s="1"/>
  <c r="AZ15" i="13"/>
  <c r="AZ22" i="13" s="1"/>
  <c r="CZ4" i="13"/>
  <c r="CY25" i="13" l="1"/>
  <c r="CZ5" i="13"/>
  <c r="BA15" i="13"/>
  <c r="BA22" i="13" s="1"/>
  <c r="BB13" i="13"/>
  <c r="BB21" i="13" s="1"/>
  <c r="BA24" i="13"/>
  <c r="BB18" i="13"/>
  <c r="BC11" i="13"/>
  <c r="BC20" i="13" s="1"/>
  <c r="BB9" i="13"/>
  <c r="BB19" i="13" s="1"/>
  <c r="BB26" i="13"/>
  <c r="BB27" i="13" s="1"/>
  <c r="BC3" i="13"/>
  <c r="BC23" i="13" s="1"/>
  <c r="DA4" i="13"/>
  <c r="CZ25" i="13" l="1"/>
  <c r="DA5" i="13"/>
  <c r="BD11" i="13"/>
  <c r="BD20" i="13" s="1"/>
  <c r="BB24" i="13"/>
  <c r="BC18" i="13"/>
  <c r="BC26" i="13"/>
  <c r="BC27" i="13" s="1"/>
  <c r="BD3" i="13"/>
  <c r="BD23" i="13" s="1"/>
  <c r="BC13" i="13"/>
  <c r="BC21" i="13" s="1"/>
  <c r="BB15" i="13"/>
  <c r="BB22" i="13" s="1"/>
  <c r="BC9" i="13"/>
  <c r="BC19" i="13" s="1"/>
  <c r="DB4" i="13"/>
  <c r="DA25" i="13" l="1"/>
  <c r="DB5" i="13"/>
  <c r="BD9" i="13"/>
  <c r="BD19" i="13" s="1"/>
  <c r="BC24" i="13"/>
  <c r="BD18" i="13"/>
  <c r="BD26" i="13"/>
  <c r="BD27" i="13" s="1"/>
  <c r="BE3" i="13"/>
  <c r="BE23" i="13" s="1"/>
  <c r="BE11" i="13"/>
  <c r="BE20" i="13" s="1"/>
  <c r="BC15" i="13"/>
  <c r="BC22" i="13" s="1"/>
  <c r="BD13" i="13"/>
  <c r="BD21" i="13" s="1"/>
  <c r="DC4" i="13"/>
  <c r="DC5" i="13" s="1"/>
  <c r="DB25" i="13" l="1"/>
  <c r="BE26" i="13"/>
  <c r="BE27" i="13" s="1"/>
  <c r="BF3" i="13"/>
  <c r="BF23" i="13" s="1"/>
  <c r="BD24" i="13"/>
  <c r="BE18" i="13"/>
  <c r="BD15" i="13"/>
  <c r="BD22" i="13" s="1"/>
  <c r="BE9" i="13"/>
  <c r="BE19" i="13" s="1"/>
  <c r="BE13" i="13"/>
  <c r="BE21" i="13" s="1"/>
  <c r="BF11" i="13"/>
  <c r="BF20" i="13" s="1"/>
  <c r="DD4" i="13"/>
  <c r="DD5" i="13" s="1"/>
  <c r="DC25" i="13"/>
  <c r="BE15" i="13" l="1"/>
  <c r="BE22" i="13" s="1"/>
  <c r="BE24" i="13"/>
  <c r="BF18" i="13"/>
  <c r="BG11" i="13"/>
  <c r="BG20" i="13" s="1"/>
  <c r="BF13" i="13"/>
  <c r="BF21" i="13" s="1"/>
  <c r="BG3" i="13"/>
  <c r="BG23" i="13" s="1"/>
  <c r="BF26" i="13"/>
  <c r="BF27" i="13" s="1"/>
  <c r="BF9" i="13"/>
  <c r="BF19" i="13" s="1"/>
  <c r="DD25" i="13"/>
  <c r="DE4" i="13"/>
  <c r="DE5" i="13" s="1"/>
  <c r="BG13" i="13" l="1"/>
  <c r="BG21" i="13" s="1"/>
  <c r="BH11" i="13"/>
  <c r="BH20" i="13" s="1"/>
  <c r="BG18" i="13"/>
  <c r="BF24" i="13"/>
  <c r="BG9" i="13"/>
  <c r="BG19" i="13" s="1"/>
  <c r="BH3" i="13"/>
  <c r="BH23" i="13" s="1"/>
  <c r="BG26" i="13"/>
  <c r="BG27" i="13" s="1"/>
  <c r="BF15" i="13"/>
  <c r="BF22" i="13" s="1"/>
  <c r="DE25" i="13"/>
  <c r="DF4" i="13"/>
  <c r="DF5" i="13" s="1"/>
  <c r="BG15" i="13" l="1"/>
  <c r="BG22" i="13" s="1"/>
  <c r="BH18" i="13"/>
  <c r="BG24" i="13"/>
  <c r="BH9" i="13"/>
  <c r="BH19" i="13" s="1"/>
  <c r="BI11" i="13"/>
  <c r="BI20" i="13" s="1"/>
  <c r="BI3" i="13"/>
  <c r="BI23" i="13" s="1"/>
  <c r="BH26" i="13"/>
  <c r="BH27" i="13" s="1"/>
  <c r="BH13" i="13"/>
  <c r="BH21" i="13" s="1"/>
  <c r="DF25" i="13"/>
  <c r="DG4" i="13"/>
  <c r="DG5" i="13" s="1"/>
  <c r="BJ11" i="13" l="1"/>
  <c r="BJ20" i="13" s="1"/>
  <c r="BI9" i="13"/>
  <c r="BI19" i="13" s="1"/>
  <c r="BI18" i="13"/>
  <c r="BH24" i="13"/>
  <c r="BI13" i="13"/>
  <c r="BI21" i="13" s="1"/>
  <c r="BJ3" i="13"/>
  <c r="BJ23" i="13" s="1"/>
  <c r="BI26" i="13"/>
  <c r="BI27" i="13" s="1"/>
  <c r="BH15" i="13"/>
  <c r="BH22" i="13" s="1"/>
  <c r="DG25" i="13"/>
  <c r="DH4" i="13"/>
  <c r="DH5" i="13" s="1"/>
  <c r="BI15" i="13" l="1"/>
  <c r="BI22" i="13" s="1"/>
  <c r="BI24" i="13"/>
  <c r="BJ18" i="13"/>
  <c r="BJ13" i="13"/>
  <c r="BJ21" i="13" s="1"/>
  <c r="BJ9" i="13"/>
  <c r="BJ19" i="13" s="1"/>
  <c r="BK3" i="13"/>
  <c r="BK23" i="13" s="1"/>
  <c r="BJ26" i="13"/>
  <c r="BJ27" i="13" s="1"/>
  <c r="BK11" i="13"/>
  <c r="BK20" i="13" s="1"/>
  <c r="DH25" i="13"/>
  <c r="DI4" i="13"/>
  <c r="DI5" i="13" s="1"/>
  <c r="BK9" i="13" l="1"/>
  <c r="BK19" i="13" s="1"/>
  <c r="BK13" i="13"/>
  <c r="BK21" i="13" s="1"/>
  <c r="BL11" i="13"/>
  <c r="BL20" i="13" s="1"/>
  <c r="BK18" i="13"/>
  <c r="BJ24" i="13"/>
  <c r="BL3" i="13"/>
  <c r="BL23" i="13" s="1"/>
  <c r="BK26" i="13"/>
  <c r="BK27" i="13" s="1"/>
  <c r="BJ15" i="13"/>
  <c r="BJ22" i="13" s="1"/>
  <c r="DI25" i="13"/>
  <c r="DJ4" i="13"/>
  <c r="DJ5" i="13" s="1"/>
  <c r="BK15" i="13" l="1"/>
  <c r="BK22" i="13" s="1"/>
  <c r="BM11" i="13"/>
  <c r="BM20" i="13" s="1"/>
  <c r="BK24" i="13"/>
  <c r="BL13" i="13"/>
  <c r="BL21" i="13" s="1"/>
  <c r="BM3" i="13"/>
  <c r="BM23" i="13" s="1"/>
  <c r="BL26" i="13"/>
  <c r="BL27" i="13" s="1"/>
  <c r="BL9" i="13"/>
  <c r="BL19" i="13" s="1"/>
  <c r="DJ25" i="13"/>
  <c r="DK4" i="13"/>
  <c r="DK5" i="13" s="1"/>
  <c r="BL18" i="13" l="1"/>
  <c r="D6" i="13"/>
  <c r="BM13" i="13"/>
  <c r="BM21" i="13" s="1"/>
  <c r="BN11" i="13"/>
  <c r="BN20" i="13" s="1"/>
  <c r="BM9" i="13"/>
  <c r="BM19" i="13" s="1"/>
  <c r="BL15" i="13"/>
  <c r="BL22" i="13" s="1"/>
  <c r="BN3" i="13"/>
  <c r="BN23" i="13" s="1"/>
  <c r="BM26" i="13"/>
  <c r="BM27" i="13" s="1"/>
  <c r="DK25" i="13"/>
  <c r="DL4" i="13"/>
  <c r="DL5" i="13" s="1"/>
  <c r="BM18" i="13" l="1"/>
  <c r="BL24" i="13"/>
  <c r="BN9" i="13"/>
  <c r="BN19" i="13" s="1"/>
  <c r="BO11" i="13"/>
  <c r="BO20" i="13" s="1"/>
  <c r="BO3" i="13"/>
  <c r="BO23" i="13" s="1"/>
  <c r="BN26" i="13"/>
  <c r="BN27" i="13" s="1"/>
  <c r="BM24" i="13"/>
  <c r="BM15" i="13"/>
  <c r="BM22" i="13" s="1"/>
  <c r="BN13" i="13"/>
  <c r="BN21" i="13" s="1"/>
  <c r="DL25" i="13"/>
  <c r="DM4" i="13"/>
  <c r="DM5" i="13" s="1"/>
  <c r="BN18" i="13" l="1"/>
  <c r="BN24" i="13" s="1"/>
  <c r="BO13" i="13"/>
  <c r="BO21" i="13" s="1"/>
  <c r="BP3" i="13"/>
  <c r="BP23" i="13" s="1"/>
  <c r="BO26" i="13"/>
  <c r="BO27" i="13" s="1"/>
  <c r="BP11" i="13"/>
  <c r="BP20" i="13" s="1"/>
  <c r="BN15" i="13"/>
  <c r="BN22" i="13" s="1"/>
  <c r="BO9" i="13"/>
  <c r="BO19" i="13" s="1"/>
  <c r="DM25" i="13"/>
  <c r="DN4" i="13"/>
  <c r="DN5" i="13" s="1"/>
  <c r="BO18" i="13" l="1"/>
  <c r="BO24" i="13" s="1"/>
  <c r="BQ11" i="13"/>
  <c r="BQ20" i="13" s="1"/>
  <c r="BP9" i="13"/>
  <c r="BP19" i="13" s="1"/>
  <c r="BP18" i="13"/>
  <c r="BQ3" i="13"/>
  <c r="BQ23" i="13" s="1"/>
  <c r="BP26" i="13"/>
  <c r="BP27" i="13" s="1"/>
  <c r="BP13" i="13"/>
  <c r="BP21" i="13" s="1"/>
  <c r="BO15" i="13"/>
  <c r="BO22" i="13" s="1"/>
  <c r="DN25" i="13"/>
  <c r="DO4" i="13"/>
  <c r="DO5" i="13" s="1"/>
  <c r="BR3" i="13" l="1"/>
  <c r="BR23" i="13" s="1"/>
  <c r="BQ26" i="13"/>
  <c r="BQ27" i="13" s="1"/>
  <c r="BQ18" i="13"/>
  <c r="BP24" i="13"/>
  <c r="BP15" i="13"/>
  <c r="BP22" i="13" s="1"/>
  <c r="BQ13" i="13"/>
  <c r="BQ21" i="13" s="1"/>
  <c r="BQ9" i="13"/>
  <c r="BQ19" i="13" s="1"/>
  <c r="BR11" i="13"/>
  <c r="BR20" i="13" s="1"/>
  <c r="DO25" i="13"/>
  <c r="DP4" i="13"/>
  <c r="DP5" i="13" s="1"/>
  <c r="BR13" i="13" l="1"/>
  <c r="BR21" i="13" s="1"/>
  <c r="BQ15" i="13"/>
  <c r="BQ22" i="13" s="1"/>
  <c r="BQ24" i="13"/>
  <c r="BR18" i="13"/>
  <c r="BS11" i="13"/>
  <c r="BS20" i="13" s="1"/>
  <c r="BR9" i="13"/>
  <c r="BR19" i="13" s="1"/>
  <c r="BS3" i="13"/>
  <c r="BS23" i="13" s="1"/>
  <c r="BR26" i="13"/>
  <c r="BR27" i="13" s="1"/>
  <c r="DP25" i="13"/>
  <c r="DQ4" i="13"/>
  <c r="DQ5" i="13" s="1"/>
  <c r="BT11" i="13" l="1"/>
  <c r="BT20" i="13" s="1"/>
  <c r="BR24" i="13"/>
  <c r="BS18" i="13"/>
  <c r="BT3" i="13"/>
  <c r="BT23" i="13" s="1"/>
  <c r="BS26" i="13"/>
  <c r="BS27" i="13" s="1"/>
  <c r="BR15" i="13"/>
  <c r="BR22" i="13" s="1"/>
  <c r="BS13" i="13"/>
  <c r="BS21" i="13" s="1"/>
  <c r="BS9" i="13"/>
  <c r="BS19" i="13" s="1"/>
  <c r="DQ25" i="13"/>
  <c r="DR4" i="13"/>
  <c r="DR5" i="13" s="1"/>
  <c r="BT26" i="13" l="1"/>
  <c r="BT27" i="13" s="1"/>
  <c r="BU3" i="13"/>
  <c r="BU23" i="13" s="1"/>
  <c r="BT9" i="13"/>
  <c r="BT19" i="13" s="1"/>
  <c r="BS24" i="13"/>
  <c r="BT18" i="13"/>
  <c r="BT13" i="13"/>
  <c r="BT21" i="13" s="1"/>
  <c r="BU11" i="13"/>
  <c r="BU20" i="13" s="1"/>
  <c r="BS15" i="13"/>
  <c r="BS22" i="13" s="1"/>
  <c r="DR25" i="13"/>
  <c r="DS4" i="13"/>
  <c r="DS5" i="13" s="1"/>
  <c r="BU18" i="13" l="1"/>
  <c r="BT24" i="13"/>
  <c r="BU13" i="13"/>
  <c r="BU21" i="13" s="1"/>
  <c r="BU9" i="13"/>
  <c r="BU19" i="13" s="1"/>
  <c r="BT15" i="13"/>
  <c r="BT22" i="13" s="1"/>
  <c r="BV3" i="13"/>
  <c r="BV23" i="13" s="1"/>
  <c r="BU26" i="13"/>
  <c r="BU27" i="13" s="1"/>
  <c r="BV11" i="13"/>
  <c r="BV20" i="13" s="1"/>
  <c r="DS25" i="13"/>
  <c r="DT4" i="13"/>
  <c r="DT5" i="13" s="1"/>
  <c r="BU15" i="13" l="1"/>
  <c r="BU22" i="13" s="1"/>
  <c r="BV9" i="13"/>
  <c r="BV19" i="13" s="1"/>
  <c r="BW11" i="13"/>
  <c r="BW20" i="13" s="1"/>
  <c r="BV13" i="13"/>
  <c r="BV21" i="13" s="1"/>
  <c r="BW3" i="13"/>
  <c r="BW23" i="13" s="1"/>
  <c r="BV26" i="13"/>
  <c r="BV27" i="13" s="1"/>
  <c r="BU24" i="13"/>
  <c r="BV18" i="13"/>
  <c r="DT25" i="13"/>
  <c r="DU4" i="13"/>
  <c r="DU5" i="13" s="1"/>
  <c r="BX11" i="13" l="1"/>
  <c r="BX20" i="13" s="1"/>
  <c r="BW9" i="13"/>
  <c r="BW19" i="13" s="1"/>
  <c r="BW13" i="13"/>
  <c r="BW21" i="13" s="1"/>
  <c r="BV24" i="13"/>
  <c r="BW18" i="13"/>
  <c r="BX3" i="13"/>
  <c r="BX23" i="13" s="1"/>
  <c r="BW26" i="13"/>
  <c r="BW27" i="13" s="1"/>
  <c r="BV15" i="13"/>
  <c r="BV22" i="13" s="1"/>
  <c r="DU25" i="13"/>
  <c r="DV4" i="13"/>
  <c r="DV5" i="13" s="1"/>
  <c r="BX13" i="13" l="1"/>
  <c r="BX21" i="13" s="1"/>
  <c r="BW15" i="13"/>
  <c r="BW22" i="13" s="1"/>
  <c r="BX9" i="13"/>
  <c r="BX19" i="13" s="1"/>
  <c r="BX18" i="13"/>
  <c r="BW24" i="13"/>
  <c r="BY11" i="13"/>
  <c r="BY20" i="13" s="1"/>
  <c r="BY3" i="13"/>
  <c r="BY23" i="13" s="1"/>
  <c r="BX26" i="13"/>
  <c r="BX27" i="13" s="1"/>
  <c r="DV25" i="13"/>
  <c r="DW4" i="13"/>
  <c r="DW5" i="13" s="1"/>
  <c r="BX24" i="13" l="1"/>
  <c r="BY18" i="13"/>
  <c r="BY9" i="13"/>
  <c r="BY19" i="13" s="1"/>
  <c r="BZ3" i="13"/>
  <c r="BZ23" i="13" s="1"/>
  <c r="BY26" i="13"/>
  <c r="BY27" i="13" s="1"/>
  <c r="BX15" i="13"/>
  <c r="BX22" i="13" s="1"/>
  <c r="BY13" i="13"/>
  <c r="BY21" i="13" s="1"/>
  <c r="BZ11" i="13"/>
  <c r="BZ20" i="13" s="1"/>
  <c r="DW25" i="13"/>
  <c r="DX4" i="13"/>
  <c r="DX5" i="13" s="1"/>
  <c r="BY15" i="13" l="1"/>
  <c r="BY22" i="13" s="1"/>
  <c r="CA3" i="13"/>
  <c r="CA23" i="13" s="1"/>
  <c r="BZ26" i="13"/>
  <c r="BZ27" i="13" s="1"/>
  <c r="CA11" i="13"/>
  <c r="CA20" i="13" s="1"/>
  <c r="BZ9" i="13"/>
  <c r="BZ19" i="13" s="1"/>
  <c r="BZ13" i="13"/>
  <c r="BZ21" i="13" s="1"/>
  <c r="BY24" i="13"/>
  <c r="BZ18" i="13"/>
  <c r="DX25" i="13"/>
  <c r="DY4" i="13"/>
  <c r="DY5" i="13" s="1"/>
  <c r="CA9" i="13" l="1"/>
  <c r="CA19" i="13" s="1"/>
  <c r="CB11" i="13"/>
  <c r="CB20" i="13" s="1"/>
  <c r="CA18" i="13"/>
  <c r="BZ24" i="13"/>
  <c r="CB3" i="13"/>
  <c r="CB23" i="13" s="1"/>
  <c r="CA26" i="13"/>
  <c r="CA27" i="13" s="1"/>
  <c r="CA13" i="13"/>
  <c r="CA21" i="13" s="1"/>
  <c r="BZ15" i="13"/>
  <c r="BZ22" i="13" s="1"/>
  <c r="DY25" i="13"/>
  <c r="DZ4" i="13"/>
  <c r="DZ5" i="13" s="1"/>
  <c r="F10" i="20" l="1"/>
  <c r="H10" i="20" s="1"/>
  <c r="CC3" i="13"/>
  <c r="CC23" i="13" s="1"/>
  <c r="CB26" i="13"/>
  <c r="CB27" i="13" s="1"/>
  <c r="CB18" i="13"/>
  <c r="CA24" i="13"/>
  <c r="CA15" i="13"/>
  <c r="CA22" i="13" s="1"/>
  <c r="CC11" i="13"/>
  <c r="CC20" i="13" s="1"/>
  <c r="CB13" i="13"/>
  <c r="CB21" i="13" s="1"/>
  <c r="CB9" i="13"/>
  <c r="CB19" i="13" s="1"/>
  <c r="DZ25" i="13"/>
  <c r="EA4" i="13"/>
  <c r="EA5" i="13" s="1"/>
  <c r="CB15" i="13" l="1"/>
  <c r="CB22" i="13" s="1"/>
  <c r="CC9" i="13"/>
  <c r="CC19" i="13" s="1"/>
  <c r="CB24" i="13"/>
  <c r="CC18" i="13"/>
  <c r="CC13" i="13"/>
  <c r="CC21" i="13" s="1"/>
  <c r="CC26" i="13"/>
  <c r="CC27" i="13" s="1"/>
  <c r="CD3" i="13"/>
  <c r="CD23" i="13" s="1"/>
  <c r="CD11" i="13"/>
  <c r="CD20" i="13" s="1"/>
  <c r="EA25" i="13"/>
  <c r="EB4" i="13"/>
  <c r="EB5" i="13" s="1"/>
  <c r="F60" i="20" l="1"/>
  <c r="H60" i="20" s="1"/>
  <c r="CD13" i="13"/>
  <c r="CD21" i="13" s="1"/>
  <c r="CC24" i="13"/>
  <c r="CD18" i="13"/>
  <c r="CE11" i="13"/>
  <c r="CE20" i="13" s="1"/>
  <c r="CE3" i="13"/>
  <c r="CE23" i="13" s="1"/>
  <c r="CD26" i="13"/>
  <c r="CD27" i="13" s="1"/>
  <c r="CD9" i="13"/>
  <c r="CD19" i="13" s="1"/>
  <c r="CC15" i="13"/>
  <c r="CC22" i="13" s="1"/>
  <c r="EB25" i="13"/>
  <c r="EC4" i="13"/>
  <c r="EC5" i="13" s="1"/>
  <c r="CE26" i="13" l="1"/>
  <c r="CE27" i="13" s="1"/>
  <c r="CF3" i="13"/>
  <c r="CF23" i="13" s="1"/>
  <c r="CD15" i="13"/>
  <c r="CD22" i="13" s="1"/>
  <c r="CF11" i="13"/>
  <c r="CF20" i="13" s="1"/>
  <c r="CE18" i="13"/>
  <c r="CD24" i="13"/>
  <c r="CE9" i="13"/>
  <c r="CE19" i="13" s="1"/>
  <c r="CE13" i="13"/>
  <c r="CE21" i="13" s="1"/>
  <c r="EC25" i="13"/>
  <c r="ED4" i="13"/>
  <c r="ED5" i="13" s="1"/>
  <c r="CE24" i="13" l="1"/>
  <c r="CF18" i="13"/>
  <c r="CG11" i="13"/>
  <c r="CG20" i="13" s="1"/>
  <c r="CF13" i="13"/>
  <c r="CF21" i="13" s="1"/>
  <c r="CE15" i="13"/>
  <c r="CE22" i="13" s="1"/>
  <c r="CF9" i="13"/>
  <c r="CF19" i="13" s="1"/>
  <c r="CF26" i="13"/>
  <c r="CF27" i="13" s="1"/>
  <c r="CG3" i="13"/>
  <c r="CG23" i="13" s="1"/>
  <c r="ED25" i="13"/>
  <c r="EE4" i="13"/>
  <c r="EE5" i="13" s="1"/>
  <c r="CF15" i="13" l="1"/>
  <c r="CF22" i="13" s="1"/>
  <c r="CG13" i="13"/>
  <c r="CG21" i="13" s="1"/>
  <c r="CG26" i="13"/>
  <c r="CG27" i="13" s="1"/>
  <c r="CH3" i="13"/>
  <c r="CH23" i="13" s="1"/>
  <c r="CH11" i="13"/>
  <c r="CH20" i="13" s="1"/>
  <c r="CG9" i="13"/>
  <c r="CG19" i="13" s="1"/>
  <c r="CF24" i="13"/>
  <c r="CG18" i="13"/>
  <c r="EE25" i="13"/>
  <c r="EF4" i="13"/>
  <c r="EF5" i="13" s="1"/>
  <c r="F3" i="20" l="1"/>
  <c r="H3" i="20" s="1"/>
  <c r="F62" i="20"/>
  <c r="H62" i="20" s="1"/>
  <c r="CI11" i="13"/>
  <c r="CI20" i="13" s="1"/>
  <c r="CH26" i="13"/>
  <c r="CH27" i="13" s="1"/>
  <c r="CI3" i="13"/>
  <c r="CI23" i="13" s="1"/>
  <c r="CH18" i="13"/>
  <c r="CG24" i="13"/>
  <c r="CH9" i="13"/>
  <c r="CH19" i="13" s="1"/>
  <c r="CH13" i="13"/>
  <c r="CH21" i="13" s="1"/>
  <c r="CG15" i="13"/>
  <c r="CG22" i="13" s="1"/>
  <c r="EF25" i="13"/>
  <c r="EG4" i="13"/>
  <c r="EG5" i="13" s="1"/>
  <c r="CJ3" i="13" l="1"/>
  <c r="CJ23" i="13" s="1"/>
  <c r="CI26" i="13"/>
  <c r="CI27" i="13" s="1"/>
  <c r="CI13" i="13"/>
  <c r="CI21" i="13" s="1"/>
  <c r="CI18" i="13"/>
  <c r="CH24" i="13"/>
  <c r="CH15" i="13"/>
  <c r="CH22" i="13" s="1"/>
  <c r="CI9" i="13"/>
  <c r="CI19" i="13" s="1"/>
  <c r="CJ11" i="13"/>
  <c r="CJ20" i="13" s="1"/>
  <c r="EG25" i="13"/>
  <c r="EH4" i="13"/>
  <c r="EH5" i="13" s="1"/>
  <c r="CI15" i="13" l="1"/>
  <c r="CI22" i="13" s="1"/>
  <c r="CJ18" i="13"/>
  <c r="CI24" i="13"/>
  <c r="CK11" i="13"/>
  <c r="CK20" i="13" s="1"/>
  <c r="CJ13" i="13"/>
  <c r="CJ21" i="13" s="1"/>
  <c r="CJ9" i="13"/>
  <c r="CJ19" i="13" s="1"/>
  <c r="CK3" i="13"/>
  <c r="CK23" i="13" s="1"/>
  <c r="CJ26" i="13"/>
  <c r="CJ27" i="13" s="1"/>
  <c r="EH25" i="13"/>
  <c r="EI4" i="13"/>
  <c r="EI5" i="13" s="1"/>
  <c r="CL11" i="13" l="1"/>
  <c r="CL20" i="13" s="1"/>
  <c r="CK26" i="13"/>
  <c r="CK27" i="13" s="1"/>
  <c r="CL3" i="13"/>
  <c r="CL23" i="13" s="1"/>
  <c r="CK13" i="13"/>
  <c r="CK21" i="13" s="1"/>
  <c r="CK18" i="13"/>
  <c r="CJ24" i="13"/>
  <c r="CK9" i="13"/>
  <c r="CK19" i="13" s="1"/>
  <c r="CJ15" i="13"/>
  <c r="CJ22" i="13" s="1"/>
  <c r="EI25" i="13"/>
  <c r="EJ4" i="13"/>
  <c r="EJ5" i="13" s="1"/>
  <c r="F61" i="20" l="1"/>
  <c r="H61" i="20" s="1"/>
  <c r="CL13" i="13"/>
  <c r="CL21" i="13" s="1"/>
  <c r="CL26" i="13"/>
  <c r="CL27" i="13" s="1"/>
  <c r="CM3" i="13"/>
  <c r="CM23" i="13" s="1"/>
  <c r="CK15" i="13"/>
  <c r="CK22" i="13" s="1"/>
  <c r="CL18" i="13"/>
  <c r="CK24" i="13"/>
  <c r="CL9" i="13"/>
  <c r="CL19" i="13" s="1"/>
  <c r="CM11" i="13"/>
  <c r="CM20" i="13" s="1"/>
  <c r="EJ25" i="13"/>
  <c r="EK4" i="13"/>
  <c r="EK5" i="13" s="1"/>
  <c r="CM18" i="13" l="1"/>
  <c r="CL24" i="13"/>
  <c r="CL15" i="13"/>
  <c r="CL22" i="13" s="1"/>
  <c r="CN11" i="13"/>
  <c r="CN20" i="13" s="1"/>
  <c r="CN3" i="13"/>
  <c r="CN23" i="13" s="1"/>
  <c r="CM26" i="13"/>
  <c r="CM27" i="13" s="1"/>
  <c r="CM9" i="13"/>
  <c r="CM19" i="13" s="1"/>
  <c r="CM13" i="13"/>
  <c r="CM21" i="13" s="1"/>
  <c r="EK25" i="13"/>
  <c r="EL4" i="13"/>
  <c r="EL5" i="13" s="1"/>
  <c r="CN13" i="13" l="1"/>
  <c r="CN21" i="13" s="1"/>
  <c r="CM15" i="13"/>
  <c r="CM22" i="13" s="1"/>
  <c r="CO3" i="13"/>
  <c r="CO23" i="13" s="1"/>
  <c r="CN26" i="13"/>
  <c r="CN27" i="13" s="1"/>
  <c r="CO11" i="13"/>
  <c r="CO20" i="13" s="1"/>
  <c r="CN9" i="13"/>
  <c r="CN19" i="13" s="1"/>
  <c r="CN18" i="13"/>
  <c r="CM24" i="13"/>
  <c r="EL25" i="13"/>
  <c r="EM4" i="13"/>
  <c r="EM5" i="13" s="1"/>
  <c r="CP3" i="13" l="1"/>
  <c r="CP23" i="13" s="1"/>
  <c r="CO26" i="13"/>
  <c r="CO27" i="13" s="1"/>
  <c r="CO18" i="13"/>
  <c r="CN24" i="13"/>
  <c r="CN15" i="13"/>
  <c r="CN22" i="13" s="1"/>
  <c r="CO9" i="13"/>
  <c r="CO19" i="13" s="1"/>
  <c r="CP11" i="13"/>
  <c r="CP20" i="13" s="1"/>
  <c r="CO13" i="13"/>
  <c r="CO21" i="13" s="1"/>
  <c r="EM25" i="13"/>
  <c r="EN4" i="13"/>
  <c r="EN5" i="13" s="1"/>
  <c r="CP18" i="13" l="1"/>
  <c r="CO24" i="13"/>
  <c r="CP9" i="13"/>
  <c r="CP19" i="13" s="1"/>
  <c r="CP13" i="13"/>
  <c r="CP21" i="13" s="1"/>
  <c r="CQ11" i="13"/>
  <c r="CQ20" i="13" s="1"/>
  <c r="CQ3" i="13"/>
  <c r="CQ23" i="13" s="1"/>
  <c r="CP26" i="13"/>
  <c r="CP27" i="13" s="1"/>
  <c r="CO15" i="13"/>
  <c r="CO22" i="13" s="1"/>
  <c r="EN25" i="13"/>
  <c r="EO4" i="13"/>
  <c r="EO5" i="13" s="1"/>
  <c r="CR11" i="13" l="1"/>
  <c r="CR20" i="13" s="1"/>
  <c r="CQ13" i="13"/>
  <c r="CQ21" i="13" s="1"/>
  <c r="CP15" i="13"/>
  <c r="CP22" i="13" s="1"/>
  <c r="CQ9" i="13"/>
  <c r="CQ19" i="13" s="1"/>
  <c r="CQ26" i="13"/>
  <c r="CQ27" i="13" s="1"/>
  <c r="CR3" i="13"/>
  <c r="CR23" i="13" s="1"/>
  <c r="CP24" i="13"/>
  <c r="CQ18" i="13"/>
  <c r="EO25" i="13"/>
  <c r="EP4" i="13"/>
  <c r="EP5" i="13" s="1"/>
  <c r="CR9" i="13" l="1"/>
  <c r="CR19" i="13" s="1"/>
  <c r="CQ15" i="13"/>
  <c r="CQ22" i="13" s="1"/>
  <c r="CR18" i="13"/>
  <c r="CQ24" i="13"/>
  <c r="CS3" i="13"/>
  <c r="CS23" i="13" s="1"/>
  <c r="CR26" i="13"/>
  <c r="CR27" i="13" s="1"/>
  <c r="CR13" i="13"/>
  <c r="CR21" i="13" s="1"/>
  <c r="CS11" i="13"/>
  <c r="CS20" i="13" s="1"/>
  <c r="EP25" i="13"/>
  <c r="EQ4" i="13"/>
  <c r="EQ5" i="13" s="1"/>
  <c r="CT3" i="13" l="1"/>
  <c r="CT23" i="13" s="1"/>
  <c r="CS26" i="13"/>
  <c r="CS27" i="13" s="1"/>
  <c r="CT11" i="13"/>
  <c r="CT20" i="13" s="1"/>
  <c r="CS18" i="13"/>
  <c r="CR24" i="13"/>
  <c r="CR15" i="13"/>
  <c r="CR22" i="13" s="1"/>
  <c r="CS13" i="13"/>
  <c r="CS21" i="13" s="1"/>
  <c r="CS9" i="13"/>
  <c r="CS19" i="13" s="1"/>
  <c r="EQ25" i="13"/>
  <c r="ER4" i="13"/>
  <c r="ER5" i="13" s="1"/>
  <c r="CT18" i="13" l="1"/>
  <c r="CS24" i="13"/>
  <c r="CU11" i="13"/>
  <c r="CU20" i="13" s="1"/>
  <c r="CT9" i="13"/>
  <c r="CT19" i="13" s="1"/>
  <c r="CT13" i="13"/>
  <c r="CT21" i="13" s="1"/>
  <c r="CU3" i="13"/>
  <c r="CU23" i="13" s="1"/>
  <c r="CT26" i="13"/>
  <c r="CT27" i="13" s="1"/>
  <c r="CS15" i="13"/>
  <c r="CS22" i="13" s="1"/>
  <c r="ER25" i="13"/>
  <c r="ES4" i="13"/>
  <c r="ES5" i="13" s="1"/>
  <c r="CU13" i="13" l="1"/>
  <c r="CU21" i="13" s="1"/>
  <c r="CU9" i="13"/>
  <c r="CU19" i="13" s="1"/>
  <c r="CT15" i="13"/>
  <c r="CT22" i="13" s="1"/>
  <c r="CV11" i="13"/>
  <c r="CV20" i="13" s="1"/>
  <c r="CV3" i="13"/>
  <c r="CV23" i="13" s="1"/>
  <c r="CU26" i="13"/>
  <c r="CU27" i="13" s="1"/>
  <c r="CU18" i="13"/>
  <c r="CT24" i="13"/>
  <c r="ES25" i="13"/>
  <c r="ET4" i="13"/>
  <c r="ET5" i="13" s="1"/>
  <c r="CU15" i="13" l="1"/>
  <c r="CU22" i="13" s="1"/>
  <c r="CU24" i="13"/>
  <c r="CV18" i="13"/>
  <c r="CV9" i="13"/>
  <c r="CV19" i="13" s="1"/>
  <c r="CW3" i="13"/>
  <c r="CW23" i="13" s="1"/>
  <c r="CV26" i="13"/>
  <c r="CV27" i="13" s="1"/>
  <c r="CV13" i="13"/>
  <c r="CV21" i="13" s="1"/>
  <c r="CW11" i="13"/>
  <c r="CW20" i="13" s="1"/>
  <c r="ET25" i="13"/>
  <c r="EU4" i="13"/>
  <c r="EU5" i="13" s="1"/>
  <c r="CW9" i="13" l="1"/>
  <c r="CW19" i="13" s="1"/>
  <c r="CW26" i="13"/>
  <c r="CW27" i="13" s="1"/>
  <c r="CX3" i="13"/>
  <c r="CX23" i="13" s="1"/>
  <c r="CX11" i="13"/>
  <c r="CX20" i="13" s="1"/>
  <c r="CW18" i="13"/>
  <c r="CV24" i="13"/>
  <c r="CW13" i="13"/>
  <c r="CW21" i="13" s="1"/>
  <c r="CV15" i="13"/>
  <c r="CV22" i="13" s="1"/>
  <c r="EU25" i="13"/>
  <c r="EV4" i="13"/>
  <c r="EV5" i="13" s="1"/>
  <c r="CX18" i="13" l="1"/>
  <c r="CW24" i="13"/>
  <c r="CW15" i="13"/>
  <c r="CW22" i="13" s="1"/>
  <c r="CY3" i="13"/>
  <c r="CY23" i="13" s="1"/>
  <c r="CX26" i="13"/>
  <c r="CX27" i="13" s="1"/>
  <c r="CY11" i="13"/>
  <c r="CY20" i="13" s="1"/>
  <c r="CX13" i="13"/>
  <c r="CX21" i="13" s="1"/>
  <c r="CX9" i="13"/>
  <c r="CX19" i="13" s="1"/>
  <c r="EV25" i="13"/>
  <c r="EW4" i="13"/>
  <c r="EW5" i="13" s="1"/>
  <c r="CY9" i="13" l="1"/>
  <c r="CY19" i="13" s="1"/>
  <c r="CZ3" i="13"/>
  <c r="CZ23" i="13" s="1"/>
  <c r="CY26" i="13"/>
  <c r="CY27" i="13" s="1"/>
  <c r="CX15" i="13"/>
  <c r="CX22" i="13" s="1"/>
  <c r="CZ11" i="13"/>
  <c r="CZ20" i="13" s="1"/>
  <c r="CY13" i="13"/>
  <c r="CY21" i="13" s="1"/>
  <c r="CX24" i="13"/>
  <c r="CY18" i="13"/>
  <c r="EW25" i="13"/>
  <c r="EX4" i="13"/>
  <c r="EX5" i="13" s="1"/>
  <c r="CY15" i="13" l="1"/>
  <c r="CY22" i="13" s="1"/>
  <c r="DA11" i="13"/>
  <c r="DA20" i="13" s="1"/>
  <c r="CZ26" i="13"/>
  <c r="CZ27" i="13" s="1"/>
  <c r="DA3" i="13"/>
  <c r="DA23" i="13" s="1"/>
  <c r="CZ18" i="13"/>
  <c r="CY24" i="13"/>
  <c r="CZ13" i="13"/>
  <c r="CZ21" i="13" s="1"/>
  <c r="CZ9" i="13"/>
  <c r="CZ19" i="13" s="1"/>
  <c r="EX25" i="13"/>
  <c r="EY4" i="13"/>
  <c r="EY5" i="13" s="1"/>
  <c r="DB3" i="13" l="1"/>
  <c r="DB23" i="13" s="1"/>
  <c r="DA26" i="13"/>
  <c r="DA27" i="13" s="1"/>
  <c r="DA9" i="13"/>
  <c r="DA19" i="13" s="1"/>
  <c r="DB11" i="13"/>
  <c r="DB20" i="13" s="1"/>
  <c r="DA18" i="13"/>
  <c r="CZ24" i="13"/>
  <c r="DA13" i="13"/>
  <c r="DA21" i="13" s="1"/>
  <c r="CZ15" i="13"/>
  <c r="CZ22" i="13" s="1"/>
  <c r="EY25" i="13"/>
  <c r="EZ4" i="13"/>
  <c r="EZ5" i="13" s="1"/>
  <c r="DB18" i="13" l="1"/>
  <c r="DA24" i="13"/>
  <c r="DC11" i="13"/>
  <c r="DC20" i="13" s="1"/>
  <c r="DA15" i="13"/>
  <c r="DA22" i="13" s="1"/>
  <c r="DB9" i="13"/>
  <c r="DB19" i="13" s="1"/>
  <c r="DB13" i="13"/>
  <c r="DB21" i="13" s="1"/>
  <c r="DC3" i="13"/>
  <c r="DC23" i="13" s="1"/>
  <c r="DB26" i="13"/>
  <c r="DB27" i="13" s="1"/>
  <c r="EZ25" i="13"/>
  <c r="FA4" i="13"/>
  <c r="FA5" i="13" s="1"/>
  <c r="DC9" i="13" l="1"/>
  <c r="DC19" i="13" s="1"/>
  <c r="DB15" i="13"/>
  <c r="DB22" i="13" s="1"/>
  <c r="DD3" i="13"/>
  <c r="DD23" i="13" s="1"/>
  <c r="DC26" i="13"/>
  <c r="DC27" i="13" s="1"/>
  <c r="DD11" i="13"/>
  <c r="DD20" i="13" s="1"/>
  <c r="DC13" i="13"/>
  <c r="DC21" i="13" s="1"/>
  <c r="DB24" i="13"/>
  <c r="DC18" i="13"/>
  <c r="FA25" i="13"/>
  <c r="FB4" i="13"/>
  <c r="FB5" i="13" s="1"/>
  <c r="DC24" i="13" l="1"/>
  <c r="DD18" i="13"/>
  <c r="DE3" i="13"/>
  <c r="DE23" i="13" s="1"/>
  <c r="DD26" i="13"/>
  <c r="DD27" i="13" s="1"/>
  <c r="DC15" i="13"/>
  <c r="DC22" i="13" s="1"/>
  <c r="DD13" i="13"/>
  <c r="DD21" i="13" s="1"/>
  <c r="DD9" i="13"/>
  <c r="DD19" i="13" s="1"/>
  <c r="DE11" i="13"/>
  <c r="DE20" i="13" s="1"/>
  <c r="FB25" i="13"/>
  <c r="FC4" i="13"/>
  <c r="FC5" i="13" s="1"/>
  <c r="DD15" i="13" l="1"/>
  <c r="DD22" i="13" s="1"/>
  <c r="DF11" i="13"/>
  <c r="DF20" i="13" s="1"/>
  <c r="DF3" i="13"/>
  <c r="DF23" i="13" s="1"/>
  <c r="DE26" i="13"/>
  <c r="DE27" i="13" s="1"/>
  <c r="DE9" i="13"/>
  <c r="DE19" i="13" s="1"/>
  <c r="DD24" i="13"/>
  <c r="DE18" i="13"/>
  <c r="DE13" i="13"/>
  <c r="DE21" i="13" s="1"/>
  <c r="FC25" i="13"/>
  <c r="FD4" i="13"/>
  <c r="FD5" i="13" s="1"/>
  <c r="DG3" i="13" l="1"/>
  <c r="DG23" i="13" s="1"/>
  <c r="DF26" i="13"/>
  <c r="DF27" i="13" s="1"/>
  <c r="DF13" i="13"/>
  <c r="DF21" i="13" s="1"/>
  <c r="DG11" i="13"/>
  <c r="DG20" i="13" s="1"/>
  <c r="DE24" i="13"/>
  <c r="DF18" i="13"/>
  <c r="DE15" i="13"/>
  <c r="DE22" i="13" s="1"/>
  <c r="DF9" i="13"/>
  <c r="DF19" i="13" s="1"/>
  <c r="FD25" i="13"/>
  <c r="FE4" i="13"/>
  <c r="FE5" i="13" s="1"/>
  <c r="DH11" i="13" l="1"/>
  <c r="DH20" i="13" s="1"/>
  <c r="DG9" i="13"/>
  <c r="DG19" i="13" s="1"/>
  <c r="DG13" i="13"/>
  <c r="DG21" i="13" s="1"/>
  <c r="DF15" i="13"/>
  <c r="DF22" i="13" s="1"/>
  <c r="DH3" i="13"/>
  <c r="DH23" i="13" s="1"/>
  <c r="DG26" i="13"/>
  <c r="DG27" i="13" s="1"/>
  <c r="DF24" i="13"/>
  <c r="DG18" i="13"/>
  <c r="FE25" i="13"/>
  <c r="FF4" i="13"/>
  <c r="FF5" i="13" s="1"/>
  <c r="DG15" i="13" l="1"/>
  <c r="DG22" i="13" s="1"/>
  <c r="DH13" i="13"/>
  <c r="DH21" i="13" s="1"/>
  <c r="DH18" i="13"/>
  <c r="DG24" i="13"/>
  <c r="DH9" i="13"/>
  <c r="DH19" i="13" s="1"/>
  <c r="DH26" i="13"/>
  <c r="DH27" i="13" s="1"/>
  <c r="DI3" i="13"/>
  <c r="DI23" i="13" s="1"/>
  <c r="DI11" i="13"/>
  <c r="DI20" i="13" s="1"/>
  <c r="FF25" i="13"/>
  <c r="FG4" i="13"/>
  <c r="FG5" i="13" s="1"/>
  <c r="DI9" i="13" l="1"/>
  <c r="DI19" i="13" s="1"/>
  <c r="DJ11" i="13"/>
  <c r="DJ20" i="13" s="1"/>
  <c r="DI18" i="13"/>
  <c r="DH24" i="13"/>
  <c r="DI13" i="13"/>
  <c r="DI21" i="13" s="1"/>
  <c r="DJ3" i="13"/>
  <c r="DJ23" i="13" s="1"/>
  <c r="DI26" i="13"/>
  <c r="DI27" i="13" s="1"/>
  <c r="DH15" i="13"/>
  <c r="DH22" i="13" s="1"/>
  <c r="FG25" i="13"/>
  <c r="FH4" i="13"/>
  <c r="FH5" i="13" s="1"/>
  <c r="DJ13" i="13" l="1"/>
  <c r="DJ21" i="13" s="1"/>
  <c r="DI15" i="13"/>
  <c r="DI22" i="13" s="1"/>
  <c r="DI24" i="13"/>
  <c r="DJ18" i="13"/>
  <c r="DK11" i="13"/>
  <c r="DK20" i="13" s="1"/>
  <c r="DK3" i="13"/>
  <c r="DK23" i="13" s="1"/>
  <c r="DJ26" i="13"/>
  <c r="DJ27" i="13" s="1"/>
  <c r="DJ9" i="13"/>
  <c r="DJ19" i="13" s="1"/>
  <c r="FH25" i="13"/>
  <c r="FI4" i="13"/>
  <c r="FI5" i="13" s="1"/>
  <c r="DL11" i="13" l="1"/>
  <c r="DL20" i="13" s="1"/>
  <c r="DK18" i="13"/>
  <c r="DJ24" i="13"/>
  <c r="DK9" i="13"/>
  <c r="DK19" i="13" s="1"/>
  <c r="DJ15" i="13"/>
  <c r="DJ22" i="13" s="1"/>
  <c r="DL3" i="13"/>
  <c r="DL23" i="13" s="1"/>
  <c r="DK26" i="13"/>
  <c r="DK27" i="13" s="1"/>
  <c r="DK13" i="13"/>
  <c r="DK21" i="13" s="1"/>
  <c r="FJ4" i="13"/>
  <c r="FJ5" i="13" s="1"/>
  <c r="FI25" i="13"/>
  <c r="DK15" i="13" l="1"/>
  <c r="DK22" i="13" s="1"/>
  <c r="DL9" i="13"/>
  <c r="DL19" i="13" s="1"/>
  <c r="DL13" i="13"/>
  <c r="DL21" i="13" s="1"/>
  <c r="DK24" i="13"/>
  <c r="DL18" i="13"/>
  <c r="DM11" i="13"/>
  <c r="DM20" i="13" s="1"/>
  <c r="DM3" i="13"/>
  <c r="DM23" i="13" s="1"/>
  <c r="DL26" i="13"/>
  <c r="DL27" i="13" s="1"/>
  <c r="FK4" i="13"/>
  <c r="FK5" i="13" s="1"/>
  <c r="FJ25" i="13"/>
  <c r="DM18" i="13" l="1"/>
  <c r="DL24" i="13"/>
  <c r="DM13" i="13"/>
  <c r="DM21" i="13" s="1"/>
  <c r="DM9" i="13"/>
  <c r="DM19" i="13" s="1"/>
  <c r="DN3" i="13"/>
  <c r="DN23" i="13" s="1"/>
  <c r="DM26" i="13"/>
  <c r="DM27" i="13" s="1"/>
  <c r="DN11" i="13"/>
  <c r="DN20" i="13" s="1"/>
  <c r="DL15" i="13"/>
  <c r="DL22" i="13" s="1"/>
  <c r="FL4" i="13"/>
  <c r="FL5" i="13" s="1"/>
  <c r="FK25" i="13"/>
  <c r="DO3" i="13" l="1"/>
  <c r="DO23" i="13" s="1"/>
  <c r="DN26" i="13"/>
  <c r="DN27" i="13" s="1"/>
  <c r="DN9" i="13"/>
  <c r="DN19" i="13" s="1"/>
  <c r="DM15" i="13"/>
  <c r="DM22" i="13" s="1"/>
  <c r="DN13" i="13"/>
  <c r="DN21" i="13" s="1"/>
  <c r="DO11" i="13"/>
  <c r="DO20" i="13" s="1"/>
  <c r="DM24" i="13"/>
  <c r="DN18" i="13"/>
  <c r="FL25" i="13"/>
  <c r="FM4" i="13"/>
  <c r="FM5" i="13" s="1"/>
  <c r="DN15" i="13" l="1"/>
  <c r="DN22" i="13" s="1"/>
  <c r="DN24" i="13"/>
  <c r="DO18" i="13"/>
  <c r="DO9" i="13"/>
  <c r="DO19" i="13" s="1"/>
  <c r="DP11" i="13"/>
  <c r="DP20" i="13" s="1"/>
  <c r="DP3" i="13"/>
  <c r="DP23" i="13" s="1"/>
  <c r="DO26" i="13"/>
  <c r="DO27" i="13" s="1"/>
  <c r="DO13" i="13"/>
  <c r="DO21" i="13" s="1"/>
  <c r="FM25" i="13"/>
  <c r="FN4" i="13"/>
  <c r="FN5" i="13" s="1"/>
  <c r="DQ11" i="13" l="1"/>
  <c r="DQ20" i="13" s="1"/>
  <c r="DP9" i="13"/>
  <c r="DP19" i="13" s="1"/>
  <c r="DP13" i="13"/>
  <c r="DP21" i="13" s="1"/>
  <c r="DO24" i="13"/>
  <c r="DP18" i="13"/>
  <c r="DQ3" i="13"/>
  <c r="DQ23" i="13" s="1"/>
  <c r="DP26" i="13"/>
  <c r="DP27" i="13" s="1"/>
  <c r="DO15" i="13"/>
  <c r="DO22" i="13" s="1"/>
  <c r="FN25" i="13"/>
  <c r="FO4" i="13"/>
  <c r="FO5" i="13" s="1"/>
  <c r="DQ18" i="13" l="1"/>
  <c r="DP24" i="13"/>
  <c r="DQ13" i="13"/>
  <c r="DQ21" i="13" s="1"/>
  <c r="DP15" i="13"/>
  <c r="DP22" i="13" s="1"/>
  <c r="DQ9" i="13"/>
  <c r="DQ19" i="13" s="1"/>
  <c r="DR11" i="13"/>
  <c r="DR20" i="13" s="1"/>
  <c r="DQ26" i="13"/>
  <c r="DQ27" i="13" s="1"/>
  <c r="DR3" i="13"/>
  <c r="DR23" i="13" s="1"/>
  <c r="FO25" i="13"/>
  <c r="FP4" i="13"/>
  <c r="FP5" i="13" s="1"/>
  <c r="DR9" i="13" l="1"/>
  <c r="DR19" i="13" s="1"/>
  <c r="DQ15" i="13"/>
  <c r="DQ22" i="13" s="1"/>
  <c r="DS3" i="13"/>
  <c r="DS23" i="13" s="1"/>
  <c r="DR26" i="13"/>
  <c r="DR27" i="13" s="1"/>
  <c r="DR13" i="13"/>
  <c r="DR21" i="13" s="1"/>
  <c r="DS11" i="13"/>
  <c r="DS20" i="13" s="1"/>
  <c r="DQ24" i="13"/>
  <c r="DR18" i="13"/>
  <c r="FP25" i="13"/>
  <c r="FQ4" i="13"/>
  <c r="FQ5" i="13" s="1"/>
  <c r="DR24" i="13" l="1"/>
  <c r="DS18" i="13"/>
  <c r="DT3" i="13"/>
  <c r="DT23" i="13" s="1"/>
  <c r="DS26" i="13"/>
  <c r="DS27" i="13" s="1"/>
  <c r="DR15" i="13"/>
  <c r="DR22" i="13" s="1"/>
  <c r="DT11" i="13"/>
  <c r="DT20" i="13" s="1"/>
  <c r="DS9" i="13"/>
  <c r="DS19" i="13" s="1"/>
  <c r="DS13" i="13"/>
  <c r="DS21" i="13" s="1"/>
  <c r="FQ25" i="13"/>
  <c r="FR4" i="13"/>
  <c r="FR5" i="13" s="1"/>
  <c r="DS15" i="13" l="1"/>
  <c r="DS22" i="13" s="1"/>
  <c r="DT13" i="13"/>
  <c r="DT21" i="13" s="1"/>
  <c r="DT9" i="13"/>
  <c r="DT19" i="13" s="1"/>
  <c r="DU3" i="13"/>
  <c r="DU23" i="13" s="1"/>
  <c r="DT26" i="13"/>
  <c r="DT27" i="13" s="1"/>
  <c r="DT18" i="13"/>
  <c r="DS24" i="13"/>
  <c r="DU11" i="13"/>
  <c r="DU20" i="13" s="1"/>
  <c r="FR25" i="13"/>
  <c r="FS4" i="13"/>
  <c r="FS5" i="13" s="1"/>
  <c r="DV3" i="13" l="1"/>
  <c r="DV23" i="13" s="1"/>
  <c r="DU26" i="13"/>
  <c r="DU27" i="13" s="1"/>
  <c r="DU9" i="13"/>
  <c r="DU19" i="13" s="1"/>
  <c r="DV11" i="13"/>
  <c r="DV20" i="13" s="1"/>
  <c r="DU13" i="13"/>
  <c r="DU21" i="13" s="1"/>
  <c r="DT24" i="13"/>
  <c r="DU18" i="13"/>
  <c r="DT15" i="13"/>
  <c r="DT22" i="13" s="1"/>
  <c r="FS25" i="13"/>
  <c r="FT4" i="13"/>
  <c r="FT5" i="13" s="1"/>
  <c r="DW11" i="13" l="1"/>
  <c r="DW20" i="13" s="1"/>
  <c r="DU15" i="13"/>
  <c r="DU22" i="13" s="1"/>
  <c r="DV9" i="13"/>
  <c r="DV19" i="13" s="1"/>
  <c r="DV18" i="13"/>
  <c r="DU24" i="13"/>
  <c r="DV26" i="13"/>
  <c r="DV27" i="13" s="1"/>
  <c r="DW3" i="13"/>
  <c r="DW23" i="13" s="1"/>
  <c r="DV13" i="13"/>
  <c r="DV21" i="13" s="1"/>
  <c r="FT25" i="13"/>
  <c r="FU4" i="13"/>
  <c r="FU5" i="13" s="1"/>
  <c r="DV24" i="13" l="1"/>
  <c r="DW18" i="13"/>
  <c r="DW9" i="13"/>
  <c r="DW19" i="13" s="1"/>
  <c r="DW13" i="13"/>
  <c r="DW21" i="13" s="1"/>
  <c r="DV15" i="13"/>
  <c r="DV22" i="13" s="1"/>
  <c r="DX3" i="13"/>
  <c r="DX23" i="13" s="1"/>
  <c r="DW26" i="13"/>
  <c r="DW27" i="13" s="1"/>
  <c r="DX11" i="13"/>
  <c r="DX20" i="13" s="1"/>
  <c r="FU25" i="13"/>
  <c r="FV4" i="13"/>
  <c r="FV5" i="13" s="1"/>
  <c r="DW15" i="13" l="1"/>
  <c r="DW22" i="13" s="1"/>
  <c r="DX13" i="13"/>
  <c r="DX21" i="13" s="1"/>
  <c r="DY11" i="13"/>
  <c r="DY20" i="13" s="1"/>
  <c r="DX9" i="13"/>
  <c r="DX19" i="13" s="1"/>
  <c r="DW24" i="13"/>
  <c r="DX18" i="13"/>
  <c r="DY3" i="13"/>
  <c r="DY23" i="13" s="1"/>
  <c r="DX26" i="13"/>
  <c r="DX27" i="13" s="1"/>
  <c r="FV25" i="13"/>
  <c r="FW4" i="13"/>
  <c r="FW5" i="13" s="1"/>
  <c r="DY9" i="13" l="1"/>
  <c r="DY19" i="13" s="1"/>
  <c r="DZ11" i="13"/>
  <c r="DZ20" i="13" s="1"/>
  <c r="DY13" i="13"/>
  <c r="DY21" i="13" s="1"/>
  <c r="DY26" i="13"/>
  <c r="DY27" i="13" s="1"/>
  <c r="DZ3" i="13"/>
  <c r="DZ23" i="13" s="1"/>
  <c r="DY18" i="13"/>
  <c r="DX24" i="13"/>
  <c r="DX15" i="13"/>
  <c r="DX22" i="13" s="1"/>
  <c r="FW25" i="13"/>
  <c r="FX4" i="13"/>
  <c r="FX5" i="13" s="1"/>
  <c r="DZ13" i="13" l="1"/>
  <c r="DZ21" i="13" s="1"/>
  <c r="DY15" i="13"/>
  <c r="DY22" i="13" s="1"/>
  <c r="EA11" i="13"/>
  <c r="EA20" i="13" s="1"/>
  <c r="DZ18" i="13"/>
  <c r="DY24" i="13"/>
  <c r="DZ9" i="13"/>
  <c r="DZ19" i="13" s="1"/>
  <c r="EA3" i="13"/>
  <c r="EA23" i="13" s="1"/>
  <c r="DZ26" i="13"/>
  <c r="DZ27" i="13" s="1"/>
  <c r="FX25" i="13"/>
  <c r="FY4" i="13"/>
  <c r="FY5" i="13" s="1"/>
  <c r="EA18" i="13" l="1"/>
  <c r="DZ24" i="13"/>
  <c r="EB11" i="13"/>
  <c r="EB20" i="13" s="1"/>
  <c r="EB3" i="13"/>
  <c r="EB23" i="13" s="1"/>
  <c r="EA26" i="13"/>
  <c r="EA27" i="13" s="1"/>
  <c r="DZ15" i="13"/>
  <c r="DZ22" i="13" s="1"/>
  <c r="EA9" i="13"/>
  <c r="EA19" i="13" s="1"/>
  <c r="EA13" i="13"/>
  <c r="EA21" i="13" s="1"/>
  <c r="FY25" i="13"/>
  <c r="FZ4" i="13"/>
  <c r="FZ5" i="13" s="1"/>
  <c r="EB26" i="13" l="1"/>
  <c r="EB27" i="13" s="1"/>
  <c r="EC3" i="13"/>
  <c r="EC23" i="13" s="1"/>
  <c r="EB13" i="13"/>
  <c r="EB21" i="13" s="1"/>
  <c r="EC11" i="13"/>
  <c r="EC20" i="13" s="1"/>
  <c r="EB9" i="13"/>
  <c r="EB19" i="13" s="1"/>
  <c r="EA15" i="13"/>
  <c r="EA22" i="13" s="1"/>
  <c r="EA24" i="13"/>
  <c r="EB18" i="13"/>
  <c r="FZ25" i="13"/>
  <c r="GA4" i="13"/>
  <c r="GA5" i="13" s="1"/>
  <c r="ED11" i="13" l="1"/>
  <c r="ED20" i="13" s="1"/>
  <c r="EB24" i="13"/>
  <c r="EC18" i="13"/>
  <c r="EC13" i="13"/>
  <c r="EC21" i="13" s="1"/>
  <c r="ED3" i="13"/>
  <c r="ED23" i="13" s="1"/>
  <c r="EC26" i="13"/>
  <c r="EC27" i="13" s="1"/>
  <c r="EB15" i="13"/>
  <c r="EB22" i="13" s="1"/>
  <c r="EC9" i="13"/>
  <c r="EC19" i="13" s="1"/>
  <c r="GA25" i="13"/>
  <c r="GB4" i="13"/>
  <c r="GB5" i="13" s="1"/>
  <c r="EE3" i="13" l="1"/>
  <c r="EE23" i="13" s="1"/>
  <c r="ED26" i="13"/>
  <c r="ED27" i="13" s="1"/>
  <c r="ED13" i="13"/>
  <c r="ED21" i="13" s="1"/>
  <c r="ED9" i="13"/>
  <c r="ED19" i="13" s="1"/>
  <c r="ED18" i="13"/>
  <c r="EC24" i="13"/>
  <c r="EC15" i="13"/>
  <c r="EC22" i="13" s="1"/>
  <c r="EE11" i="13"/>
  <c r="EE20" i="13" s="1"/>
  <c r="GB25" i="13"/>
  <c r="GC4" i="13"/>
  <c r="GC5" i="13" s="1"/>
  <c r="ED24" i="13" l="1"/>
  <c r="EE18" i="13"/>
  <c r="EE9" i="13"/>
  <c r="EE19" i="13" s="1"/>
  <c r="EF11" i="13"/>
  <c r="EF20" i="13" s="1"/>
  <c r="EE13" i="13"/>
  <c r="EE21" i="13" s="1"/>
  <c r="ED15" i="13"/>
  <c r="ED22" i="13" s="1"/>
  <c r="EF3" i="13"/>
  <c r="EF23" i="13" s="1"/>
  <c r="EE26" i="13"/>
  <c r="EE27" i="13" s="1"/>
  <c r="GC25" i="13"/>
  <c r="GD4" i="13"/>
  <c r="GD5" i="13" s="1"/>
  <c r="B126" i="14" l="1"/>
  <c r="EF13" i="13"/>
  <c r="EF21" i="13" s="1"/>
  <c r="EG11" i="13"/>
  <c r="EG20" i="13" s="1"/>
  <c r="EG3" i="13"/>
  <c r="EG23" i="13" s="1"/>
  <c r="EF26" i="13"/>
  <c r="EF27" i="13" s="1"/>
  <c r="EF9" i="13"/>
  <c r="EF19" i="13" s="1"/>
  <c r="EE15" i="13"/>
  <c r="EE22" i="13" s="1"/>
  <c r="EF18" i="13"/>
  <c r="EE24" i="13"/>
  <c r="GD25" i="13"/>
  <c r="GE4" i="13"/>
  <c r="GE5" i="13" s="1"/>
  <c r="EH3" i="13" l="1"/>
  <c r="EH23" i="13" s="1"/>
  <c r="EG26" i="13"/>
  <c r="EG27" i="13" s="1"/>
  <c r="EF24" i="13"/>
  <c r="EG18" i="13"/>
  <c r="EH11" i="13"/>
  <c r="EH20" i="13" s="1"/>
  <c r="EF15" i="13"/>
  <c r="EF22" i="13" s="1"/>
  <c r="EG13" i="13"/>
  <c r="EG21" i="13" s="1"/>
  <c r="EG9" i="13"/>
  <c r="EG19" i="13" s="1"/>
  <c r="GE25" i="13"/>
  <c r="GF4" i="13"/>
  <c r="GF5" i="13" s="1"/>
  <c r="EI11" i="13" l="1"/>
  <c r="EI20" i="13" s="1"/>
  <c r="EH9" i="13"/>
  <c r="EH19" i="13" s="1"/>
  <c r="EH18" i="13"/>
  <c r="EG24" i="13"/>
  <c r="EH13" i="13"/>
  <c r="EH21" i="13" s="1"/>
  <c r="EI3" i="13"/>
  <c r="EI23" i="13" s="1"/>
  <c r="EH26" i="13"/>
  <c r="EH27" i="13" s="1"/>
  <c r="EG15" i="13"/>
  <c r="EG22" i="13" s="1"/>
  <c r="GF25" i="13"/>
  <c r="GG4" i="13"/>
  <c r="GG5" i="13" s="1"/>
  <c r="EH15" i="13" l="1"/>
  <c r="EH22" i="13" s="1"/>
  <c r="EI18" i="13"/>
  <c r="EH24" i="13"/>
  <c r="EI9" i="13"/>
  <c r="EI19" i="13" s="1"/>
  <c r="EJ3" i="13"/>
  <c r="EJ23" i="13" s="1"/>
  <c r="EI26" i="13"/>
  <c r="EI27" i="13" s="1"/>
  <c r="EJ11" i="13"/>
  <c r="EJ20" i="13" s="1"/>
  <c r="EI13" i="13"/>
  <c r="EI21" i="13" s="1"/>
  <c r="GG25" i="13"/>
  <c r="GH4" i="13"/>
  <c r="GH5" i="13" s="1"/>
  <c r="EJ9" i="13" l="1"/>
  <c r="EJ19" i="13" s="1"/>
  <c r="EK3" i="13"/>
  <c r="EK23" i="13" s="1"/>
  <c r="EJ26" i="13"/>
  <c r="EJ27" i="13" s="1"/>
  <c r="EJ13" i="13"/>
  <c r="EJ21" i="13" s="1"/>
  <c r="EK11" i="13"/>
  <c r="EK20" i="13" s="1"/>
  <c r="EI24" i="13"/>
  <c r="EJ18" i="13"/>
  <c r="EI15" i="13"/>
  <c r="EI22" i="13" s="1"/>
  <c r="GH25" i="13"/>
  <c r="GI4" i="13"/>
  <c r="GI5" i="13" s="1"/>
  <c r="EJ15" i="13" l="1"/>
  <c r="EJ22" i="13" s="1"/>
  <c r="EK26" i="13"/>
  <c r="EK27" i="13" s="1"/>
  <c r="EL3" i="13"/>
  <c r="EL23" i="13" s="1"/>
  <c r="EK13" i="13"/>
  <c r="EK21" i="13" s="1"/>
  <c r="EJ24" i="13"/>
  <c r="EK18" i="13"/>
  <c r="EK9" i="13"/>
  <c r="EK19" i="13" s="1"/>
  <c r="EL11" i="13"/>
  <c r="EL20" i="13" s="1"/>
  <c r="GI25" i="13"/>
  <c r="GJ4" i="13"/>
  <c r="GJ5" i="13" s="1"/>
  <c r="EL9" i="13" l="1"/>
  <c r="EL19" i="13" s="1"/>
  <c r="EM11" i="13"/>
  <c r="EM20" i="13" s="1"/>
  <c r="EK15" i="13"/>
  <c r="EK22" i="13" s="1"/>
  <c r="EL13" i="13"/>
  <c r="EL21" i="13" s="1"/>
  <c r="EL26" i="13"/>
  <c r="EL27" i="13" s="1"/>
  <c r="EM3" i="13"/>
  <c r="EM23" i="13" s="1"/>
  <c r="EK24" i="13"/>
  <c r="EL18" i="13"/>
  <c r="GJ25" i="13"/>
  <c r="GK4" i="13"/>
  <c r="GK5" i="13" s="1"/>
  <c r="EL15" i="13" l="1"/>
  <c r="EL22" i="13" s="1"/>
  <c r="EM18" i="13"/>
  <c r="EL24" i="13"/>
  <c r="EM13" i="13"/>
  <c r="EM21" i="13" s="1"/>
  <c r="EN11" i="13"/>
  <c r="EN20" i="13" s="1"/>
  <c r="EN3" i="13"/>
  <c r="EN23" i="13" s="1"/>
  <c r="EM26" i="13"/>
  <c r="EM27" i="13" s="1"/>
  <c r="EM9" i="13"/>
  <c r="EM19" i="13" s="1"/>
  <c r="GK25" i="13"/>
  <c r="GL4" i="13"/>
  <c r="GL5" i="13" s="1"/>
  <c r="EN13" i="13" l="1"/>
  <c r="EN21" i="13" s="1"/>
  <c r="EO11" i="13"/>
  <c r="EO20" i="13" s="1"/>
  <c r="EN9" i="13"/>
  <c r="EN19" i="13" s="1"/>
  <c r="EM24" i="13"/>
  <c r="EN18" i="13"/>
  <c r="EN26" i="13"/>
  <c r="EN27" i="13" s="1"/>
  <c r="EO3" i="13"/>
  <c r="EO23" i="13" s="1"/>
  <c r="EM15" i="13"/>
  <c r="EM22" i="13" s="1"/>
  <c r="GL25" i="13"/>
  <c r="GM4" i="13"/>
  <c r="GM5" i="13" s="1"/>
  <c r="EO9" i="13" l="1"/>
  <c r="EO19" i="13" s="1"/>
  <c r="EN15" i="13"/>
  <c r="EN22" i="13" s="1"/>
  <c r="EO18" i="13"/>
  <c r="EN24" i="13"/>
  <c r="EP11" i="13"/>
  <c r="EP20" i="13" s="1"/>
  <c r="EO26" i="13"/>
  <c r="EO27" i="13" s="1"/>
  <c r="EP3" i="13"/>
  <c r="EP23" i="13" s="1"/>
  <c r="EO13" i="13"/>
  <c r="EO21" i="13" s="1"/>
  <c r="GM25" i="13"/>
  <c r="GN4" i="13"/>
  <c r="GN5" i="13" s="1"/>
  <c r="EO24" i="13" l="1"/>
  <c r="EP18" i="13"/>
  <c r="EO15" i="13"/>
  <c r="EO22" i="13" s="1"/>
  <c r="EP13" i="13"/>
  <c r="EP21" i="13" s="1"/>
  <c r="EQ3" i="13"/>
  <c r="EQ23" i="13" s="1"/>
  <c r="EP26" i="13"/>
  <c r="EP27" i="13" s="1"/>
  <c r="EQ11" i="13"/>
  <c r="EQ20" i="13" s="1"/>
  <c r="EP9" i="13"/>
  <c r="EP19" i="13" s="1"/>
  <c r="GN25" i="13"/>
  <c r="GO4" i="13"/>
  <c r="GO5" i="13" s="1"/>
  <c r="EQ13" i="13" l="1"/>
  <c r="EQ21" i="13" s="1"/>
  <c r="EQ9" i="13"/>
  <c r="EQ19" i="13" s="1"/>
  <c r="EP15" i="13"/>
  <c r="EP22" i="13" s="1"/>
  <c r="ER11" i="13"/>
  <c r="ER20" i="13" s="1"/>
  <c r="ER3" i="13"/>
  <c r="ER23" i="13" s="1"/>
  <c r="EQ26" i="13"/>
  <c r="EQ27" i="13" s="1"/>
  <c r="EQ18" i="13"/>
  <c r="EP24" i="13"/>
  <c r="GO25" i="13"/>
  <c r="GP4" i="13"/>
  <c r="GP5" i="13" s="1"/>
  <c r="ES11" i="13" l="1"/>
  <c r="ES20" i="13" s="1"/>
  <c r="EQ15" i="13"/>
  <c r="EQ22" i="13" s="1"/>
  <c r="ER18" i="13"/>
  <c r="EQ24" i="13"/>
  <c r="ER9" i="13"/>
  <c r="ER19" i="13" s="1"/>
  <c r="ES3" i="13"/>
  <c r="ES23" i="13" s="1"/>
  <c r="ER26" i="13"/>
  <c r="ER27" i="13" s="1"/>
  <c r="ER13" i="13"/>
  <c r="ER21" i="13" s="1"/>
  <c r="GP25" i="13"/>
  <c r="GQ4" i="13"/>
  <c r="GQ5" i="13" s="1"/>
  <c r="ES9" i="13" l="1"/>
  <c r="ES19" i="13" s="1"/>
  <c r="ER24" i="13"/>
  <c r="ES18" i="13"/>
  <c r="ER15" i="13"/>
  <c r="ER22" i="13" s="1"/>
  <c r="ES13" i="13"/>
  <c r="ES21" i="13" s="1"/>
  <c r="ES26" i="13"/>
  <c r="ES27" i="13" s="1"/>
  <c r="ET3" i="13"/>
  <c r="ET23" i="13" s="1"/>
  <c r="ET11" i="13"/>
  <c r="ET20" i="13" s="1"/>
  <c r="GQ25" i="13"/>
  <c r="GR4" i="13"/>
  <c r="GR5" i="13" s="1"/>
  <c r="ET13" i="13" l="1"/>
  <c r="ET21" i="13" s="1"/>
  <c r="ES15" i="13"/>
  <c r="ES22" i="13" s="1"/>
  <c r="EU11" i="13"/>
  <c r="EU20" i="13" s="1"/>
  <c r="ET18" i="13"/>
  <c r="ES24" i="13"/>
  <c r="EU3" i="13"/>
  <c r="EU23" i="13" s="1"/>
  <c r="ET26" i="13"/>
  <c r="ET27" i="13" s="1"/>
  <c r="ET9" i="13"/>
  <c r="ET19" i="13" s="1"/>
  <c r="GR25" i="13"/>
  <c r="GS4" i="13"/>
  <c r="GS5" i="13" s="1"/>
  <c r="EU9" i="13" l="1"/>
  <c r="EU19" i="13" s="1"/>
  <c r="ET15" i="13"/>
  <c r="ET22" i="13" s="1"/>
  <c r="EV11" i="13"/>
  <c r="EV20" i="13" s="1"/>
  <c r="EV3" i="13"/>
  <c r="EV23" i="13" s="1"/>
  <c r="EU26" i="13"/>
  <c r="EU27" i="13" s="1"/>
  <c r="EU13" i="13"/>
  <c r="EU21" i="13" s="1"/>
  <c r="ET24" i="13"/>
  <c r="EU18" i="13"/>
  <c r="GS25" i="13"/>
  <c r="GT4" i="13"/>
  <c r="GT5" i="13" s="1"/>
  <c r="EW3" i="13" l="1"/>
  <c r="EW23" i="13" s="1"/>
  <c r="EV26" i="13"/>
  <c r="EV27" i="13" s="1"/>
  <c r="EW11" i="13"/>
  <c r="EW20" i="13" s="1"/>
  <c r="EV18" i="13"/>
  <c r="EU24" i="13"/>
  <c r="EU15" i="13"/>
  <c r="EU22" i="13" s="1"/>
  <c r="EV13" i="13"/>
  <c r="EV21" i="13" s="1"/>
  <c r="EV9" i="13"/>
  <c r="EV19" i="13" s="1"/>
  <c r="GT25" i="13"/>
  <c r="GU4" i="13"/>
  <c r="GU5" i="13" s="1"/>
  <c r="EV24" i="13" l="1"/>
  <c r="EW18" i="13"/>
  <c r="EW9" i="13"/>
  <c r="EW19" i="13" s="1"/>
  <c r="EX11" i="13"/>
  <c r="EX20" i="13" s="1"/>
  <c r="EW13" i="13"/>
  <c r="EW21" i="13" s="1"/>
  <c r="EW26" i="13"/>
  <c r="EW27" i="13" s="1"/>
  <c r="EX3" i="13"/>
  <c r="EX23" i="13" s="1"/>
  <c r="EV15" i="13"/>
  <c r="EV22" i="13" s="1"/>
  <c r="GU25" i="13"/>
  <c r="GV4" i="13"/>
  <c r="GV5" i="13" s="1"/>
  <c r="EX13" i="13" l="1"/>
  <c r="EX21" i="13" s="1"/>
  <c r="EY11" i="13"/>
  <c r="EY20" i="13" s="1"/>
  <c r="EW15" i="13"/>
  <c r="EW22" i="13" s="1"/>
  <c r="EX9" i="13"/>
  <c r="EX19" i="13" s="1"/>
  <c r="EX26" i="13"/>
  <c r="EX27" i="13" s="1"/>
  <c r="EY3" i="13"/>
  <c r="EY23" i="13" s="1"/>
  <c r="EW24" i="13"/>
  <c r="EX18" i="13"/>
  <c r="GV25" i="13"/>
  <c r="GW4" i="13"/>
  <c r="GW5" i="13" s="1"/>
  <c r="EY9" i="13" l="1"/>
  <c r="EY19" i="13" s="1"/>
  <c r="EX15" i="13"/>
  <c r="EX22" i="13" s="1"/>
  <c r="EX24" i="13"/>
  <c r="EY18" i="13"/>
  <c r="EZ11" i="13"/>
  <c r="EZ20" i="13" s="1"/>
  <c r="EZ3" i="13"/>
  <c r="EZ23" i="13" s="1"/>
  <c r="EY26" i="13"/>
  <c r="EY27" i="13" s="1"/>
  <c r="EY13" i="13"/>
  <c r="EY21" i="13" s="1"/>
  <c r="GW25" i="13"/>
  <c r="GX4" i="13"/>
  <c r="GX5" i="13" s="1"/>
  <c r="FA11" i="13" l="1"/>
  <c r="FA20" i="13" s="1"/>
  <c r="EZ18" i="13"/>
  <c r="EY24" i="13"/>
  <c r="EZ13" i="13"/>
  <c r="EZ21" i="13" s="1"/>
  <c r="EY15" i="13"/>
  <c r="EY22" i="13" s="1"/>
  <c r="EZ9" i="13"/>
  <c r="EZ19" i="13" s="1"/>
  <c r="EZ26" i="13"/>
  <c r="EZ27" i="13" s="1"/>
  <c r="FA3" i="13"/>
  <c r="FA23" i="13" s="1"/>
  <c r="GX25" i="13"/>
  <c r="GY4" i="13"/>
  <c r="GY5" i="13" s="1"/>
  <c r="EZ15" i="13" l="1"/>
  <c r="EZ22" i="13" s="1"/>
  <c r="FA13" i="13"/>
  <c r="FA21" i="13" s="1"/>
  <c r="FB3" i="13"/>
  <c r="FB23" i="13" s="1"/>
  <c r="FA26" i="13"/>
  <c r="FA27" i="13" s="1"/>
  <c r="EZ24" i="13"/>
  <c r="FA18" i="13"/>
  <c r="FA9" i="13"/>
  <c r="FA19" i="13" s="1"/>
  <c r="FB11" i="13"/>
  <c r="FB20" i="13" s="1"/>
  <c r="GY25" i="13"/>
  <c r="GZ4" i="13"/>
  <c r="GZ5" i="13" s="1"/>
  <c r="FC3" i="13" l="1"/>
  <c r="FC23" i="13" s="1"/>
  <c r="FB26" i="13"/>
  <c r="FB27" i="13" s="1"/>
  <c r="FC11" i="13"/>
  <c r="FC20" i="13" s="1"/>
  <c r="FB13" i="13"/>
  <c r="FB21" i="13" s="1"/>
  <c r="FB9" i="13"/>
  <c r="FB19" i="13" s="1"/>
  <c r="FA15" i="13"/>
  <c r="FA22" i="13" s="1"/>
  <c r="FA24" i="13"/>
  <c r="FB18" i="13"/>
  <c r="GZ25" i="13"/>
  <c r="HA4" i="13"/>
  <c r="HA5" i="13" s="1"/>
  <c r="FC13" i="13" l="1"/>
  <c r="FC21" i="13" s="1"/>
  <c r="FB24" i="13"/>
  <c r="FC18" i="13"/>
  <c r="FD11" i="13"/>
  <c r="FD20" i="13" s="1"/>
  <c r="FB15" i="13"/>
  <c r="FB22" i="13" s="1"/>
  <c r="FC26" i="13"/>
  <c r="FC27" i="13" s="1"/>
  <c r="FD3" i="13"/>
  <c r="FD23" i="13" s="1"/>
  <c r="FC9" i="13"/>
  <c r="FC19" i="13" s="1"/>
  <c r="HA25" i="13"/>
  <c r="HB4" i="13"/>
  <c r="HB5" i="13" s="1"/>
  <c r="FC15" i="13" l="1"/>
  <c r="FC22" i="13" s="1"/>
  <c r="FD9" i="13"/>
  <c r="FD19" i="13" s="1"/>
  <c r="FE11" i="13"/>
  <c r="FE20" i="13" s="1"/>
  <c r="FD18" i="13"/>
  <c r="FC24" i="13"/>
  <c r="FD13" i="13"/>
  <c r="FD21" i="13" s="1"/>
  <c r="FE3" i="13"/>
  <c r="FE23" i="13" s="1"/>
  <c r="FD26" i="13"/>
  <c r="FD27" i="13" s="1"/>
  <c r="HC4" i="13"/>
  <c r="HC5" i="13" s="1"/>
  <c r="HB25" i="13"/>
  <c r="FE18" i="13" l="1"/>
  <c r="FD24" i="13"/>
  <c r="FF11" i="13"/>
  <c r="FF20" i="13" s="1"/>
  <c r="FE26" i="13"/>
  <c r="FE27" i="13" s="1"/>
  <c r="FF3" i="13"/>
  <c r="FF23" i="13" s="1"/>
  <c r="FE9" i="13"/>
  <c r="FE19" i="13" s="1"/>
  <c r="FE13" i="13"/>
  <c r="FE21" i="13" s="1"/>
  <c r="FD15" i="13"/>
  <c r="FD22" i="13" s="1"/>
  <c r="HD4" i="13"/>
  <c r="HD5" i="13" s="1"/>
  <c r="HC25" i="13"/>
  <c r="FF26" i="13" l="1"/>
  <c r="FF27" i="13" s="1"/>
  <c r="FG3" i="13"/>
  <c r="FG23" i="13" s="1"/>
  <c r="FE15" i="13"/>
  <c r="FE22" i="13" s="1"/>
  <c r="FG11" i="13"/>
  <c r="FG20" i="13" s="1"/>
  <c r="FF13" i="13"/>
  <c r="FF21" i="13" s="1"/>
  <c r="FF9" i="13"/>
  <c r="FF19" i="13" s="1"/>
  <c r="FF18" i="13"/>
  <c r="FE24" i="13"/>
  <c r="HD25" i="13"/>
  <c r="HE4" i="13"/>
  <c r="HE5" i="13" s="1"/>
  <c r="FF15" i="13" l="1"/>
  <c r="FF22" i="13" s="1"/>
  <c r="FG18" i="13"/>
  <c r="FF24" i="13"/>
  <c r="FG9" i="13"/>
  <c r="FG19" i="13" s="1"/>
  <c r="FG26" i="13"/>
  <c r="FG27" i="13" s="1"/>
  <c r="FH3" i="13"/>
  <c r="FH23" i="13" s="1"/>
  <c r="FH11" i="13"/>
  <c r="FH20" i="13" s="1"/>
  <c r="FG13" i="13"/>
  <c r="FG21" i="13" s="1"/>
  <c r="HE25" i="13"/>
  <c r="HF4" i="13"/>
  <c r="HF5" i="13" s="1"/>
  <c r="FH9" i="13" l="1"/>
  <c r="FH19" i="13" s="1"/>
  <c r="FH13" i="13"/>
  <c r="FH21" i="13" s="1"/>
  <c r="FG24" i="13"/>
  <c r="FH18" i="13"/>
  <c r="FG15" i="13"/>
  <c r="FG22" i="13" s="1"/>
  <c r="FI11" i="13"/>
  <c r="FI20" i="13" s="1"/>
  <c r="FH26" i="13"/>
  <c r="FH27" i="13" s="1"/>
  <c r="FI3" i="13"/>
  <c r="FI23" i="13" s="1"/>
  <c r="HF25" i="13"/>
  <c r="HG4" i="13"/>
  <c r="HG5" i="13" s="1"/>
  <c r="FH15" i="13" l="1"/>
  <c r="FH22" i="13" s="1"/>
  <c r="FI18" i="13"/>
  <c r="FH24" i="13"/>
  <c r="FJ3" i="13"/>
  <c r="FJ23" i="13" s="1"/>
  <c r="FI26" i="13"/>
  <c r="FI27" i="13" s="1"/>
  <c r="FI13" i="13"/>
  <c r="FI21" i="13" s="1"/>
  <c r="FJ11" i="13"/>
  <c r="FJ20" i="13" s="1"/>
  <c r="FI9" i="13"/>
  <c r="FI19" i="13" s="1"/>
  <c r="HG25" i="13"/>
  <c r="HH4" i="13"/>
  <c r="HH5" i="13" s="1"/>
  <c r="FK3" i="13" l="1"/>
  <c r="FK23" i="13" s="1"/>
  <c r="FJ26" i="13"/>
  <c r="FJ27" i="13" s="1"/>
  <c r="FJ9" i="13"/>
  <c r="FJ19" i="13" s="1"/>
  <c r="FI24" i="13"/>
  <c r="FJ18" i="13"/>
  <c r="FK11" i="13"/>
  <c r="FK20" i="13" s="1"/>
  <c r="FI15" i="13"/>
  <c r="FI22" i="13" s="1"/>
  <c r="FJ13" i="13"/>
  <c r="FJ21" i="13" s="1"/>
  <c r="HH25" i="13"/>
  <c r="HI4" i="13"/>
  <c r="HI5" i="13" s="1"/>
  <c r="FJ24" i="13" l="1"/>
  <c r="FK18" i="13"/>
  <c r="FK13" i="13"/>
  <c r="FK21" i="13" s="1"/>
  <c r="FK9" i="13"/>
  <c r="FK19" i="13" s="1"/>
  <c r="FJ15" i="13"/>
  <c r="FJ22" i="13" s="1"/>
  <c r="FL11" i="13"/>
  <c r="FL20" i="13" s="1"/>
  <c r="FL3" i="13"/>
  <c r="FL23" i="13" s="1"/>
  <c r="FK26" i="13"/>
  <c r="FK27" i="13" s="1"/>
  <c r="HI25" i="13"/>
  <c r="HJ4" i="13"/>
  <c r="HJ5" i="13" s="1"/>
  <c r="FK15" i="13" l="1"/>
  <c r="FK22" i="13" s="1"/>
  <c r="FL9" i="13"/>
  <c r="FL19" i="13" s="1"/>
  <c r="FM3" i="13"/>
  <c r="FM23" i="13" s="1"/>
  <c r="FL26" i="13"/>
  <c r="FL27" i="13" s="1"/>
  <c r="FL13" i="13"/>
  <c r="FL21" i="13" s="1"/>
  <c r="FM11" i="13"/>
  <c r="FM20" i="13" s="1"/>
  <c r="FK24" i="13"/>
  <c r="FL18" i="13"/>
  <c r="HJ25" i="13"/>
  <c r="HK4" i="13"/>
  <c r="HK5" i="13" s="1"/>
  <c r="FM26" i="13" l="1"/>
  <c r="FM27" i="13" s="1"/>
  <c r="FN3" i="13"/>
  <c r="FN23" i="13" s="1"/>
  <c r="FL24" i="13"/>
  <c r="FM18" i="13"/>
  <c r="FM9" i="13"/>
  <c r="FM19" i="13" s="1"/>
  <c r="FN11" i="13"/>
  <c r="FN20" i="13" s="1"/>
  <c r="FL15" i="13"/>
  <c r="FL22" i="13" s="1"/>
  <c r="FM13" i="13"/>
  <c r="FM21" i="13" s="1"/>
  <c r="HK25" i="13"/>
  <c r="HL4" i="13"/>
  <c r="HL5" i="13" s="1"/>
  <c r="FN9" i="13" l="1"/>
  <c r="FN19" i="13" s="1"/>
  <c r="FN13" i="13"/>
  <c r="FN21" i="13" s="1"/>
  <c r="FN18" i="13"/>
  <c r="FM24" i="13"/>
  <c r="FO3" i="13"/>
  <c r="FO23" i="13" s="1"/>
  <c r="FN26" i="13"/>
  <c r="FN27" i="13" s="1"/>
  <c r="FM15" i="13"/>
  <c r="FM22" i="13" s="1"/>
  <c r="FO11" i="13"/>
  <c r="FO20" i="13" s="1"/>
  <c r="HL25" i="13"/>
  <c r="HM4" i="13"/>
  <c r="HM5" i="13" s="1"/>
  <c r="FP3" i="13" l="1"/>
  <c r="FP23" i="13" s="1"/>
  <c r="FO26" i="13"/>
  <c r="FO27" i="13" s="1"/>
  <c r="FP11" i="13"/>
  <c r="FP20" i="13" s="1"/>
  <c r="FO18" i="13"/>
  <c r="FN24" i="13"/>
  <c r="FO13" i="13"/>
  <c r="FO21" i="13" s="1"/>
  <c r="FN15" i="13"/>
  <c r="FN22" i="13" s="1"/>
  <c r="FO9" i="13"/>
  <c r="FO19" i="13" s="1"/>
  <c r="HM25" i="13"/>
  <c r="HN4" i="13"/>
  <c r="HN5" i="13" s="1"/>
  <c r="FP18" i="13" l="1"/>
  <c r="FO24" i="13"/>
  <c r="FP9" i="13"/>
  <c r="FP19" i="13" s="1"/>
  <c r="FQ11" i="13"/>
  <c r="FQ20" i="13" s="1"/>
  <c r="FO15" i="13"/>
  <c r="FO22" i="13" s="1"/>
  <c r="FQ3" i="13"/>
  <c r="FQ23" i="13" s="1"/>
  <c r="FP26" i="13"/>
  <c r="FP27" i="13" s="1"/>
  <c r="FP13" i="13"/>
  <c r="FP21" i="13" s="1"/>
  <c r="HN25" i="13"/>
  <c r="HO4" i="13"/>
  <c r="HO5" i="13" s="1"/>
  <c r="FP15" i="13" l="1"/>
  <c r="FP22" i="13" s="1"/>
  <c r="FR11" i="13"/>
  <c r="FR20" i="13" s="1"/>
  <c r="FQ13" i="13"/>
  <c r="FQ21" i="13" s="1"/>
  <c r="FQ9" i="13"/>
  <c r="FQ19" i="13" s="1"/>
  <c r="FR3" i="13"/>
  <c r="FR23" i="13" s="1"/>
  <c r="FQ26" i="13"/>
  <c r="FQ27" i="13" s="1"/>
  <c r="FQ18" i="13"/>
  <c r="FP24" i="13"/>
  <c r="HO25" i="13"/>
  <c r="HP4" i="13"/>
  <c r="HP5" i="13" s="1"/>
  <c r="FR9" i="13" l="1"/>
  <c r="FR19" i="13" s="1"/>
  <c r="FR13" i="13"/>
  <c r="FR21" i="13" s="1"/>
  <c r="FS11" i="13"/>
  <c r="FS20" i="13" s="1"/>
  <c r="FR26" i="13"/>
  <c r="FR27" i="13" s="1"/>
  <c r="FS3" i="13"/>
  <c r="FS23" i="13" s="1"/>
  <c r="FQ15" i="13"/>
  <c r="FQ22" i="13" s="1"/>
  <c r="FQ24" i="13"/>
  <c r="FR18" i="13"/>
  <c r="HP25" i="13"/>
  <c r="HQ4" i="13"/>
  <c r="HQ5" i="13" s="1"/>
  <c r="FT11" i="13" l="1"/>
  <c r="FT20" i="13" s="1"/>
  <c r="FS18" i="13"/>
  <c r="FR24" i="13"/>
  <c r="FS13" i="13"/>
  <c r="FS21" i="13" s="1"/>
  <c r="FR15" i="13"/>
  <c r="FR22" i="13" s="1"/>
  <c r="FS9" i="13"/>
  <c r="FS19" i="13" s="1"/>
  <c r="FT3" i="13"/>
  <c r="FT23" i="13" s="1"/>
  <c r="FS26" i="13"/>
  <c r="FS27" i="13" s="1"/>
  <c r="HQ25" i="13"/>
  <c r="HR4" i="13"/>
  <c r="HR5" i="13" s="1"/>
  <c r="FS15" i="13" l="1"/>
  <c r="FS22" i="13" s="1"/>
  <c r="FT13" i="13"/>
  <c r="FT21" i="13" s="1"/>
  <c r="FU3" i="13"/>
  <c r="FU23" i="13" s="1"/>
  <c r="FT26" i="13"/>
  <c r="FT27" i="13" s="1"/>
  <c r="FT18" i="13"/>
  <c r="FS24" i="13"/>
  <c r="FU11" i="13"/>
  <c r="FU20" i="13" s="1"/>
  <c r="FT9" i="13"/>
  <c r="FT19" i="13" s="1"/>
  <c r="HR25" i="13"/>
  <c r="HS4" i="13"/>
  <c r="HS5" i="13" s="1"/>
  <c r="FU18" i="13" l="1"/>
  <c r="FT24" i="13"/>
  <c r="FU9" i="13"/>
  <c r="FU19" i="13" s="1"/>
  <c r="FV3" i="13"/>
  <c r="FV23" i="13" s="1"/>
  <c r="FU26" i="13"/>
  <c r="FU27" i="13" s="1"/>
  <c r="FU13" i="13"/>
  <c r="FU21" i="13" s="1"/>
  <c r="FV11" i="13"/>
  <c r="FV20" i="13" s="1"/>
  <c r="FT15" i="13"/>
  <c r="FT22" i="13" s="1"/>
  <c r="HS25" i="13"/>
  <c r="HT4" i="13"/>
  <c r="HT5" i="13" s="1"/>
  <c r="FW3" i="13" l="1"/>
  <c r="FW23" i="13" s="1"/>
  <c r="FV26" i="13"/>
  <c r="FV27" i="13" s="1"/>
  <c r="FU15" i="13"/>
  <c r="FU22" i="13" s="1"/>
  <c r="FV9" i="13"/>
  <c r="FV19" i="13" s="1"/>
  <c r="FW11" i="13"/>
  <c r="FW20" i="13" s="1"/>
  <c r="FV13" i="13"/>
  <c r="FV21" i="13" s="1"/>
  <c r="FU24" i="13"/>
  <c r="FV18" i="13"/>
  <c r="HT25" i="13"/>
  <c r="HU4" i="13"/>
  <c r="HU5" i="13" s="1"/>
  <c r="FW9" i="13" l="1"/>
  <c r="FW19" i="13" s="1"/>
  <c r="FV24" i="13"/>
  <c r="FW18" i="13"/>
  <c r="FV15" i="13"/>
  <c r="FV22" i="13" s="1"/>
  <c r="FW13" i="13"/>
  <c r="FW21" i="13" s="1"/>
  <c r="FX3" i="13"/>
  <c r="FX23" i="13" s="1"/>
  <c r="FW26" i="13"/>
  <c r="FW27" i="13" s="1"/>
  <c r="FX11" i="13"/>
  <c r="FX20" i="13" s="1"/>
  <c r="HU25" i="13"/>
  <c r="HV4" i="13"/>
  <c r="HV5" i="13" s="1"/>
  <c r="FX13" i="13" l="1"/>
  <c r="FX21" i="13" s="1"/>
  <c r="FW15" i="13"/>
  <c r="FW22" i="13" s="1"/>
  <c r="FY11" i="13"/>
  <c r="FY20" i="13" s="1"/>
  <c r="FX18" i="13"/>
  <c r="FW24" i="13"/>
  <c r="FX26" i="13"/>
  <c r="FX27" i="13" s="1"/>
  <c r="FY3" i="13"/>
  <c r="FY23" i="13" s="1"/>
  <c r="FX9" i="13"/>
  <c r="FX19" i="13" s="1"/>
  <c r="HV25" i="13"/>
  <c r="HW4" i="13"/>
  <c r="HW5" i="13" s="1"/>
  <c r="FY18" i="13" l="1"/>
  <c r="FX24" i="13"/>
  <c r="FZ11" i="13"/>
  <c r="FZ20" i="13" s="1"/>
  <c r="FY9" i="13"/>
  <c r="FY19" i="13" s="1"/>
  <c r="FX15" i="13"/>
  <c r="FX22" i="13" s="1"/>
  <c r="FZ3" i="13"/>
  <c r="FZ23" i="13" s="1"/>
  <c r="FY26" i="13"/>
  <c r="FY27" i="13" s="1"/>
  <c r="FY13" i="13"/>
  <c r="FY21" i="13" s="1"/>
  <c r="HW25" i="13"/>
  <c r="HX4" i="13"/>
  <c r="HX5" i="13" s="1"/>
  <c r="FY15" i="13" l="1"/>
  <c r="FY22" i="13" s="1"/>
  <c r="FZ9" i="13"/>
  <c r="FZ19" i="13" s="1"/>
  <c r="FZ13" i="13"/>
  <c r="FZ21" i="13" s="1"/>
  <c r="GA11" i="13"/>
  <c r="GA20" i="13" s="1"/>
  <c r="GA3" i="13"/>
  <c r="GA23" i="13" s="1"/>
  <c r="FZ26" i="13"/>
  <c r="FZ27" i="13" s="1"/>
  <c r="FZ18" i="13"/>
  <c r="FY24" i="13"/>
  <c r="HX25" i="13"/>
  <c r="HY4" i="13"/>
  <c r="HY5" i="13" s="1"/>
  <c r="GB11" i="13" l="1"/>
  <c r="GB20" i="13" s="1"/>
  <c r="GA13" i="13"/>
  <c r="GA21" i="13" s="1"/>
  <c r="GA9" i="13"/>
  <c r="GA19" i="13" s="1"/>
  <c r="GB3" i="13"/>
  <c r="GB23" i="13" s="1"/>
  <c r="GA26" i="13"/>
  <c r="GA27" i="13" s="1"/>
  <c r="FZ15" i="13"/>
  <c r="FZ22" i="13" s="1"/>
  <c r="GA18" i="13"/>
  <c r="FZ24" i="13"/>
  <c r="HY25" i="13"/>
  <c r="HZ4" i="13"/>
  <c r="HZ5" i="13" s="1"/>
  <c r="GC3" i="13" l="1"/>
  <c r="GC23" i="13" s="1"/>
  <c r="GB26" i="13"/>
  <c r="GB27" i="13" s="1"/>
  <c r="GB9" i="13"/>
  <c r="GB19" i="13" s="1"/>
  <c r="GB13" i="13"/>
  <c r="GB21" i="13" s="1"/>
  <c r="GA24" i="13"/>
  <c r="GB18" i="13"/>
  <c r="GA15" i="13"/>
  <c r="GA22" i="13" s="1"/>
  <c r="GC11" i="13"/>
  <c r="GC20" i="13" s="1"/>
  <c r="HZ25" i="13"/>
  <c r="IA4" i="13"/>
  <c r="IA5" i="13" s="1"/>
  <c r="GC13" i="13" l="1"/>
  <c r="GC21" i="13" s="1"/>
  <c r="GD11" i="13"/>
  <c r="GD20" i="13" s="1"/>
  <c r="GC9" i="13"/>
  <c r="GC19" i="13" s="1"/>
  <c r="GB15" i="13"/>
  <c r="GB22" i="13" s="1"/>
  <c r="GD3" i="13"/>
  <c r="GD23" i="13" s="1"/>
  <c r="GC26" i="13"/>
  <c r="GC27" i="13" s="1"/>
  <c r="GB24" i="13"/>
  <c r="GC18" i="13"/>
  <c r="IA25" i="13"/>
  <c r="IB4" i="13"/>
  <c r="IB5" i="13" s="1"/>
  <c r="GC15" i="13" l="1"/>
  <c r="GC22" i="13" s="1"/>
  <c r="GD9" i="13"/>
  <c r="GD19" i="13" s="1"/>
  <c r="GD18" i="13"/>
  <c r="GC24" i="13"/>
  <c r="GE11" i="13"/>
  <c r="GE20" i="13" s="1"/>
  <c r="GD13" i="13"/>
  <c r="GD21" i="13" s="1"/>
  <c r="GE3" i="13"/>
  <c r="GE23" i="13" s="1"/>
  <c r="GD26" i="13"/>
  <c r="GD27" i="13" s="1"/>
  <c r="IB25" i="13"/>
  <c r="IC4" i="13"/>
  <c r="IC5" i="13" s="1"/>
  <c r="GF11" i="13" l="1"/>
  <c r="GF20" i="13" s="1"/>
  <c r="GE18" i="13"/>
  <c r="GD24" i="13"/>
  <c r="GE9" i="13"/>
  <c r="GE19" i="13" s="1"/>
  <c r="GF3" i="13"/>
  <c r="GF23" i="13" s="1"/>
  <c r="GE26" i="13"/>
  <c r="GE27" i="13" s="1"/>
  <c r="GE13" i="13"/>
  <c r="GE21" i="13" s="1"/>
  <c r="GD15" i="13"/>
  <c r="GD22" i="13" s="1"/>
  <c r="IC25" i="13"/>
  <c r="ID4" i="13"/>
  <c r="ID5" i="13" s="1"/>
  <c r="GG3" i="13" l="1"/>
  <c r="GG23" i="13" s="1"/>
  <c r="GF26" i="13"/>
  <c r="GF27" i="13" s="1"/>
  <c r="GF9" i="13"/>
  <c r="GF19" i="13" s="1"/>
  <c r="GE15" i="13"/>
  <c r="GE22" i="13" s="1"/>
  <c r="GF13" i="13"/>
  <c r="GF21" i="13" s="1"/>
  <c r="GF18" i="13"/>
  <c r="GE24" i="13"/>
  <c r="GG11" i="13"/>
  <c r="GG20" i="13" s="1"/>
  <c r="ID25" i="13"/>
  <c r="IE4" i="13"/>
  <c r="IE5" i="13" s="1"/>
  <c r="GF15" i="13" l="1"/>
  <c r="GF22" i="13" s="1"/>
  <c r="GH11" i="13"/>
  <c r="GH20" i="13" s="1"/>
  <c r="GG9" i="13"/>
  <c r="GG19" i="13" s="1"/>
  <c r="GG18" i="13"/>
  <c r="GF24" i="13"/>
  <c r="GH3" i="13"/>
  <c r="GH23" i="13" s="1"/>
  <c r="GG26" i="13"/>
  <c r="GG27" i="13" s="1"/>
  <c r="GG13" i="13"/>
  <c r="GG21" i="13" s="1"/>
  <c r="IE25" i="13"/>
  <c r="IF4" i="13"/>
  <c r="IF5" i="13" s="1"/>
  <c r="GG24" i="13" l="1"/>
  <c r="GH18" i="13"/>
  <c r="GH9" i="13"/>
  <c r="GH19" i="13" s="1"/>
  <c r="GH13" i="13"/>
  <c r="GH21" i="13" s="1"/>
  <c r="GI11" i="13"/>
  <c r="GI20" i="13" s="1"/>
  <c r="GI3" i="13"/>
  <c r="GI23" i="13" s="1"/>
  <c r="GH26" i="13"/>
  <c r="GH27" i="13" s="1"/>
  <c r="GG15" i="13"/>
  <c r="GG22" i="13" s="1"/>
  <c r="IF25" i="13"/>
  <c r="IG4" i="13"/>
  <c r="IG5" i="13" s="1"/>
  <c r="GJ11" i="13" l="1"/>
  <c r="GJ20" i="13" s="1"/>
  <c r="GI13" i="13"/>
  <c r="GI21" i="13" s="1"/>
  <c r="GH15" i="13"/>
  <c r="GH22" i="13" s="1"/>
  <c r="GI9" i="13"/>
  <c r="GI19" i="13" s="1"/>
  <c r="GJ3" i="13"/>
  <c r="GJ23" i="13" s="1"/>
  <c r="GI26" i="13"/>
  <c r="GI27" i="13" s="1"/>
  <c r="GH24" i="13"/>
  <c r="GI18" i="13"/>
  <c r="IG25" i="13"/>
  <c r="IH4" i="13"/>
  <c r="IH5" i="13" s="1"/>
  <c r="GJ9" i="13" l="1"/>
  <c r="GJ19" i="13" s="1"/>
  <c r="GI15" i="13"/>
  <c r="GI22" i="13" s="1"/>
  <c r="GJ18" i="13"/>
  <c r="GI24" i="13"/>
  <c r="GJ13" i="13"/>
  <c r="GJ21" i="13" s="1"/>
  <c r="GK3" i="13"/>
  <c r="GK23" i="13" s="1"/>
  <c r="GJ26" i="13"/>
  <c r="GJ27" i="13" s="1"/>
  <c r="GK11" i="13"/>
  <c r="GK20" i="13" s="1"/>
  <c r="IH25" i="13"/>
  <c r="II4" i="13"/>
  <c r="II5" i="13" s="1"/>
  <c r="GK13" i="13" l="1"/>
  <c r="GK21" i="13" s="1"/>
  <c r="GL11" i="13"/>
  <c r="GL20" i="13" s="1"/>
  <c r="GJ24" i="13"/>
  <c r="GK18" i="13"/>
  <c r="GJ15" i="13"/>
  <c r="GJ22" i="13" s="1"/>
  <c r="GK26" i="13"/>
  <c r="GK27" i="13" s="1"/>
  <c r="GL3" i="13"/>
  <c r="GL23" i="13" s="1"/>
  <c r="GK9" i="13"/>
  <c r="GK19" i="13" s="1"/>
  <c r="II25" i="13"/>
  <c r="IJ4" i="13"/>
  <c r="IJ5" i="13" s="1"/>
  <c r="GK15" i="13" l="1"/>
  <c r="GK22" i="13" s="1"/>
  <c r="GL18" i="13"/>
  <c r="GK24" i="13"/>
  <c r="GL9" i="13"/>
  <c r="GL19" i="13" s="1"/>
  <c r="GM11" i="13"/>
  <c r="GM20" i="13" s="1"/>
  <c r="GL26" i="13"/>
  <c r="GL27" i="13" s="1"/>
  <c r="GM3" i="13"/>
  <c r="GM23" i="13" s="1"/>
  <c r="GL13" i="13"/>
  <c r="GL21" i="13" s="1"/>
  <c r="IJ25" i="13"/>
  <c r="IK4" i="13"/>
  <c r="IK5" i="13" s="1"/>
  <c r="GN11" i="13" l="1"/>
  <c r="GN20" i="13" s="1"/>
  <c r="GM9" i="13"/>
  <c r="GM19" i="13" s="1"/>
  <c r="GM13" i="13"/>
  <c r="GM21" i="13" s="1"/>
  <c r="GM18" i="13"/>
  <c r="GL24" i="13"/>
  <c r="GN3" i="13"/>
  <c r="GN23" i="13" s="1"/>
  <c r="GM26" i="13"/>
  <c r="GM27" i="13" s="1"/>
  <c r="GL15" i="13"/>
  <c r="GL22" i="13" s="1"/>
  <c r="IK25" i="13"/>
  <c r="IL4" i="13"/>
  <c r="IL5" i="13" s="1"/>
  <c r="GM24" i="13" l="1"/>
  <c r="GN18" i="13"/>
  <c r="GN13" i="13"/>
  <c r="GN21" i="13" s="1"/>
  <c r="GM15" i="13"/>
  <c r="GM22" i="13" s="1"/>
  <c r="GN9" i="13"/>
  <c r="GN19" i="13" s="1"/>
  <c r="GO11" i="13"/>
  <c r="GO20" i="13" s="1"/>
  <c r="GN26" i="13"/>
  <c r="GN27" i="13" s="1"/>
  <c r="GO3" i="13"/>
  <c r="GO23" i="13" s="1"/>
  <c r="IL25" i="13"/>
  <c r="IM4" i="13"/>
  <c r="IM5" i="13" s="1"/>
  <c r="GO9" i="13" l="1"/>
  <c r="GO19" i="13" s="1"/>
  <c r="GN15" i="13"/>
  <c r="GN22" i="13" s="1"/>
  <c r="GP3" i="13"/>
  <c r="GP23" i="13" s="1"/>
  <c r="GO26" i="13"/>
  <c r="GO27" i="13" s="1"/>
  <c r="GO13" i="13"/>
  <c r="GO21" i="13" s="1"/>
  <c r="GP11" i="13"/>
  <c r="GP20" i="13" s="1"/>
  <c r="GN24" i="13"/>
  <c r="GO18" i="13"/>
  <c r="IM25" i="13"/>
  <c r="IN4" i="13"/>
  <c r="IN5" i="13" l="1"/>
  <c r="GQ3" i="13"/>
  <c r="GQ23" i="13" s="1"/>
  <c r="GP26" i="13"/>
  <c r="GP27" i="13" s="1"/>
  <c r="GO24" i="13"/>
  <c r="GP18" i="13"/>
  <c r="GO15" i="13"/>
  <c r="GO22" i="13" s="1"/>
  <c r="GQ11" i="13"/>
  <c r="GQ20" i="13" s="1"/>
  <c r="GP9" i="13"/>
  <c r="GP19" i="13" s="1"/>
  <c r="GP13" i="13"/>
  <c r="GP21" i="13" s="1"/>
  <c r="C27" i="13" l="1"/>
  <c r="IN25" i="13"/>
  <c r="GP15" i="13"/>
  <c r="GP22" i="13" s="1"/>
  <c r="GQ13" i="13"/>
  <c r="GQ21" i="13" s="1"/>
  <c r="GQ18" i="13"/>
  <c r="GP24" i="13"/>
  <c r="GQ9" i="13"/>
  <c r="GQ19" i="13" s="1"/>
  <c r="GR3" i="13"/>
  <c r="GR23" i="13" s="1"/>
  <c r="GQ26" i="13"/>
  <c r="GQ27" i="13" s="1"/>
  <c r="GR11" i="13"/>
  <c r="GR20" i="13" s="1"/>
  <c r="GR9" i="13" l="1"/>
  <c r="GR19" i="13" s="1"/>
  <c r="GS11" i="13"/>
  <c r="GS20" i="13" s="1"/>
  <c r="GQ24" i="13"/>
  <c r="GR18" i="13"/>
  <c r="GR13" i="13"/>
  <c r="GR21" i="13" s="1"/>
  <c r="GQ15" i="13"/>
  <c r="GQ22" i="13" s="1"/>
  <c r="GR26" i="13"/>
  <c r="GR27" i="13" s="1"/>
  <c r="GS3" i="13"/>
  <c r="GS23" i="13" s="1"/>
  <c r="GS13" i="13" l="1"/>
  <c r="GS21" i="13" s="1"/>
  <c r="GT3" i="13"/>
  <c r="GS26" i="13"/>
  <c r="GS27" i="13" s="1"/>
  <c r="GT11" i="13"/>
  <c r="GT20" i="13" s="1"/>
  <c r="GR24" i="13"/>
  <c r="GS18" i="13"/>
  <c r="GR15" i="13"/>
  <c r="GR22" i="13" s="1"/>
  <c r="GS9" i="13"/>
  <c r="GS19" i="13" s="1"/>
  <c r="GT23" i="13" l="1"/>
  <c r="GU11" i="13"/>
  <c r="GU20" i="13" s="1"/>
  <c r="GT26" i="13"/>
  <c r="GT27" i="13" s="1"/>
  <c r="GU3" i="13"/>
  <c r="GU23" i="13" s="1"/>
  <c r="GT9" i="13"/>
  <c r="GT19" i="13" s="1"/>
  <c r="GS15" i="13"/>
  <c r="GS22" i="13" s="1"/>
  <c r="GT13" i="13"/>
  <c r="GT21" i="13" s="1"/>
  <c r="GS24" i="13"/>
  <c r="GT18" i="13"/>
  <c r="GT24" i="13" l="1"/>
  <c r="GU18" i="13"/>
  <c r="GV3" i="13"/>
  <c r="GU26" i="13"/>
  <c r="GU27" i="13" s="1"/>
  <c r="GV11" i="13"/>
  <c r="GV20" i="13" s="1"/>
  <c r="GU9" i="13"/>
  <c r="GU19" i="13" s="1"/>
  <c r="GU13" i="13"/>
  <c r="GU21" i="13" s="1"/>
  <c r="GT15" i="13"/>
  <c r="GT22" i="13" s="1"/>
  <c r="GV23" i="13" l="1"/>
  <c r="GW11" i="13"/>
  <c r="GW20" i="13" s="1"/>
  <c r="GW3" i="13"/>
  <c r="GW23" i="13" s="1"/>
  <c r="GV26" i="13"/>
  <c r="GV27" i="13" s="1"/>
  <c r="GV13" i="13"/>
  <c r="GV21" i="13" s="1"/>
  <c r="GV18" i="13"/>
  <c r="GU24" i="13"/>
  <c r="GU15" i="13"/>
  <c r="GU22" i="13" s="1"/>
  <c r="GV9" i="13"/>
  <c r="GV19" i="13" s="1"/>
  <c r="GV24" i="13" l="1"/>
  <c r="GW18" i="13"/>
  <c r="GW13" i="13"/>
  <c r="GW21" i="13" s="1"/>
  <c r="GW9" i="13"/>
  <c r="GW19" i="13" s="1"/>
  <c r="GX3" i="13"/>
  <c r="GX23" i="13" s="1"/>
  <c r="GW26" i="13"/>
  <c r="GW27" i="13" s="1"/>
  <c r="GV15" i="13"/>
  <c r="GV22" i="13" s="1"/>
  <c r="GX11" i="13"/>
  <c r="GX20" i="13" s="1"/>
  <c r="GX26" i="13" l="1"/>
  <c r="GX27" i="13" s="1"/>
  <c r="GY3" i="13"/>
  <c r="GY23" i="13" s="1"/>
  <c r="GX9" i="13"/>
  <c r="GX19" i="13" s="1"/>
  <c r="GY11" i="13"/>
  <c r="GY20" i="13" s="1"/>
  <c r="GX13" i="13"/>
  <c r="GX21" i="13" s="1"/>
  <c r="GW15" i="13"/>
  <c r="GW22" i="13" s="1"/>
  <c r="GX18" i="13"/>
  <c r="GW24" i="13"/>
  <c r="GY9" i="13" l="1"/>
  <c r="GY19" i="13" s="1"/>
  <c r="GZ11" i="13"/>
  <c r="GZ20" i="13" s="1"/>
  <c r="GX24" i="13"/>
  <c r="GY18" i="13"/>
  <c r="GZ3" i="13"/>
  <c r="GZ23" i="13" s="1"/>
  <c r="GY26" i="13"/>
  <c r="GY27" i="13" s="1"/>
  <c r="GX15" i="13"/>
  <c r="GX22" i="13" s="1"/>
  <c r="GY13" i="13"/>
  <c r="GY21" i="13" s="1"/>
  <c r="GZ13" i="13" l="1"/>
  <c r="GZ21" i="13" s="1"/>
  <c r="HA3" i="13"/>
  <c r="HA23" i="13" s="1"/>
  <c r="GZ26" i="13"/>
  <c r="GZ27" i="13" s="1"/>
  <c r="GY24" i="13"/>
  <c r="GZ18" i="13"/>
  <c r="HA11" i="13"/>
  <c r="HA20" i="13" s="1"/>
  <c r="GY15" i="13"/>
  <c r="GY22" i="13" s="1"/>
  <c r="GZ9" i="13"/>
  <c r="GZ19" i="13" s="1"/>
  <c r="GZ24" i="13" l="1"/>
  <c r="HA18" i="13"/>
  <c r="HB3" i="13"/>
  <c r="HB23" i="13" s="1"/>
  <c r="HA26" i="13"/>
  <c r="HA27" i="13" s="1"/>
  <c r="GZ15" i="13"/>
  <c r="GZ22" i="13" s="1"/>
  <c r="HA13" i="13"/>
  <c r="HA21" i="13" s="1"/>
  <c r="HA9" i="13"/>
  <c r="HA19" i="13" s="1"/>
  <c r="HB11" i="13"/>
  <c r="HB20" i="13" s="1"/>
  <c r="HA15" i="13" l="1"/>
  <c r="HA22" i="13" s="1"/>
  <c r="HC11" i="13"/>
  <c r="HC20" i="13" s="1"/>
  <c r="HC3" i="13"/>
  <c r="HC23" i="13" s="1"/>
  <c r="HB26" i="13"/>
  <c r="HB27" i="13" s="1"/>
  <c r="HB9" i="13"/>
  <c r="HB19" i="13" s="1"/>
  <c r="HB18" i="13"/>
  <c r="HA24" i="13"/>
  <c r="HB13" i="13"/>
  <c r="HB21" i="13" s="1"/>
  <c r="HC13" i="13" l="1"/>
  <c r="HC21" i="13" s="1"/>
  <c r="HD11" i="13"/>
  <c r="HD20" i="13" s="1"/>
  <c r="HD3" i="13"/>
  <c r="HD23" i="13" s="1"/>
  <c r="HC26" i="13"/>
  <c r="HC27" i="13" s="1"/>
  <c r="HB24" i="13"/>
  <c r="HC18" i="13"/>
  <c r="HB15" i="13"/>
  <c r="HB22" i="13" s="1"/>
  <c r="HC9" i="13"/>
  <c r="HC19" i="13" s="1"/>
  <c r="HE11" i="13" l="1"/>
  <c r="HE20" i="13" s="1"/>
  <c r="HE3" i="13"/>
  <c r="HE23" i="13" s="1"/>
  <c r="HD26" i="13"/>
  <c r="HD27" i="13" s="1"/>
  <c r="HD9" i="13"/>
  <c r="HD19" i="13" s="1"/>
  <c r="HC15" i="13"/>
  <c r="HC22" i="13" s="1"/>
  <c r="HD13" i="13"/>
  <c r="HD21" i="13" s="1"/>
  <c r="HD18" i="13"/>
  <c r="HC24" i="13"/>
  <c r="HE9" i="13" l="1"/>
  <c r="HE19" i="13" s="1"/>
  <c r="HF3" i="13"/>
  <c r="HF23" i="13" s="1"/>
  <c r="HE26" i="13"/>
  <c r="HE27" i="13" s="1"/>
  <c r="HE13" i="13"/>
  <c r="HE21" i="13" s="1"/>
  <c r="HF11" i="13"/>
  <c r="HF20" i="13" s="1"/>
  <c r="HD24" i="13"/>
  <c r="HE18" i="13"/>
  <c r="HD15" i="13"/>
  <c r="HD22" i="13" s="1"/>
  <c r="HE15" i="13" l="1"/>
  <c r="HE22" i="13" s="1"/>
  <c r="HG3" i="13"/>
  <c r="HG23" i="13" s="1"/>
  <c r="HF26" i="13"/>
  <c r="HF27" i="13" s="1"/>
  <c r="HE24" i="13"/>
  <c r="HF18" i="13"/>
  <c r="HF9" i="13"/>
  <c r="HF19" i="13" s="1"/>
  <c r="HF13" i="13"/>
  <c r="HF21" i="13" s="1"/>
  <c r="HG11" i="13"/>
  <c r="HG20" i="13" s="1"/>
  <c r="HF24" i="13" l="1"/>
  <c r="HG18" i="13"/>
  <c r="HH3" i="13"/>
  <c r="HH23" i="13" s="1"/>
  <c r="HG26" i="13"/>
  <c r="HG27" i="13" s="1"/>
  <c r="HG13" i="13"/>
  <c r="HG21" i="13" s="1"/>
  <c r="HF15" i="13"/>
  <c r="HF22" i="13" s="1"/>
  <c r="HH11" i="13"/>
  <c r="HH20" i="13" s="1"/>
  <c r="HG9" i="13"/>
  <c r="HG19" i="13" s="1"/>
  <c r="HH13" i="13" l="1"/>
  <c r="HH21" i="13" s="1"/>
  <c r="HH9" i="13"/>
  <c r="HH19" i="13" s="1"/>
  <c r="HI3" i="13"/>
  <c r="HI23" i="13" s="1"/>
  <c r="HH26" i="13"/>
  <c r="HH27" i="13" s="1"/>
  <c r="HI11" i="13"/>
  <c r="HI20" i="13" s="1"/>
  <c r="HG24" i="13"/>
  <c r="HH18" i="13"/>
  <c r="HG15" i="13"/>
  <c r="HG22" i="13" s="1"/>
  <c r="HI26" i="13" l="1"/>
  <c r="HI27" i="13" s="1"/>
  <c r="HJ3" i="13"/>
  <c r="HJ23" i="13" s="1"/>
  <c r="HI9" i="13"/>
  <c r="HI19" i="13" s="1"/>
  <c r="HH15" i="13"/>
  <c r="HH22" i="13" s="1"/>
  <c r="HI13" i="13"/>
  <c r="HI21" i="13" s="1"/>
  <c r="HI18" i="13"/>
  <c r="HH24" i="13"/>
  <c r="HJ11" i="13"/>
  <c r="HJ20" i="13" s="1"/>
  <c r="HJ9" i="13" l="1"/>
  <c r="HJ19" i="13" s="1"/>
  <c r="HK11" i="13"/>
  <c r="HK20" i="13" s="1"/>
  <c r="HI15" i="13"/>
  <c r="HI22" i="13" s="1"/>
  <c r="HK3" i="13"/>
  <c r="HK23" i="13" s="1"/>
  <c r="HJ26" i="13"/>
  <c r="HJ27" i="13" s="1"/>
  <c r="HI24" i="13"/>
  <c r="HJ18" i="13"/>
  <c r="HJ13" i="13"/>
  <c r="HJ21" i="13" s="1"/>
  <c r="HK26" i="13" l="1"/>
  <c r="HK27" i="13" s="1"/>
  <c r="HL3" i="13"/>
  <c r="HL23" i="13" s="1"/>
  <c r="HK13" i="13"/>
  <c r="HK21" i="13" s="1"/>
  <c r="HJ15" i="13"/>
  <c r="HJ22" i="13" s="1"/>
  <c r="HL11" i="13"/>
  <c r="HL20" i="13" s="1"/>
  <c r="HK18" i="13"/>
  <c r="HJ24" i="13"/>
  <c r="HK9" i="13"/>
  <c r="HK19" i="13" s="1"/>
  <c r="HK15" i="13" l="1"/>
  <c r="HK22" i="13" s="1"/>
  <c r="HL13" i="13"/>
  <c r="HL21" i="13" s="1"/>
  <c r="HL9" i="13"/>
  <c r="HL19" i="13" s="1"/>
  <c r="HM3" i="13"/>
  <c r="HM23" i="13" s="1"/>
  <c r="HL26" i="13"/>
  <c r="HL27" i="13" s="1"/>
  <c r="HL18" i="13"/>
  <c r="HK24" i="13"/>
  <c r="HM11" i="13"/>
  <c r="HM20" i="13" s="1"/>
  <c r="HM9" i="13" l="1"/>
  <c r="HM19" i="13" s="1"/>
  <c r="HM13" i="13"/>
  <c r="HM21" i="13" s="1"/>
  <c r="HM26" i="13"/>
  <c r="HM27" i="13" s="1"/>
  <c r="HN3" i="13"/>
  <c r="HN23" i="13" s="1"/>
  <c r="HL15" i="13"/>
  <c r="HL22" i="13" s="1"/>
  <c r="HN11" i="13"/>
  <c r="HN20" i="13" s="1"/>
  <c r="HM18" i="13"/>
  <c r="HL24" i="13"/>
  <c r="HN26" i="13" l="1"/>
  <c r="HN27" i="13" s="1"/>
  <c r="HO3" i="13"/>
  <c r="HO23" i="13" s="1"/>
  <c r="HN13" i="13"/>
  <c r="HN21" i="13" s="1"/>
  <c r="HO11" i="13"/>
  <c r="HO20" i="13" s="1"/>
  <c r="HM24" i="13"/>
  <c r="HN18" i="13"/>
  <c r="HN9" i="13"/>
  <c r="HN19" i="13" s="1"/>
  <c r="HM15" i="13"/>
  <c r="HM22" i="13" s="1"/>
  <c r="HP11" i="13" l="1"/>
  <c r="HP20" i="13" s="1"/>
  <c r="HO13" i="13"/>
  <c r="HO21" i="13" s="1"/>
  <c r="HO9" i="13"/>
  <c r="HO19" i="13" s="1"/>
  <c r="HP3" i="13"/>
  <c r="HP23" i="13" s="1"/>
  <c r="HO26" i="13"/>
  <c r="HO27" i="13" s="1"/>
  <c r="HN15" i="13"/>
  <c r="HN22" i="13" s="1"/>
  <c r="HO18" i="13"/>
  <c r="HN24" i="13"/>
  <c r="HQ3" i="13" l="1"/>
  <c r="HQ23" i="13" s="1"/>
  <c r="HP26" i="13"/>
  <c r="HP27" i="13" s="1"/>
  <c r="HP9" i="13"/>
  <c r="HP19" i="13" s="1"/>
  <c r="HP13" i="13"/>
  <c r="HP21" i="13" s="1"/>
  <c r="HP18" i="13"/>
  <c r="HO24" i="13"/>
  <c r="HQ11" i="13"/>
  <c r="HQ20" i="13" s="1"/>
  <c r="HO15" i="13"/>
  <c r="HO22" i="13" s="1"/>
  <c r="HQ13" i="13" l="1"/>
  <c r="HQ21" i="13" s="1"/>
  <c r="HQ9" i="13"/>
  <c r="HQ19" i="13" s="1"/>
  <c r="HP24" i="13"/>
  <c r="HQ18" i="13"/>
  <c r="HR11" i="13"/>
  <c r="HR20" i="13" s="1"/>
  <c r="HP15" i="13"/>
  <c r="HP22" i="13" s="1"/>
  <c r="HQ26" i="13"/>
  <c r="HQ27" i="13" s="1"/>
  <c r="HR3" i="13"/>
  <c r="HR23" i="13" s="1"/>
  <c r="HS11" i="13" l="1"/>
  <c r="HS20" i="13" s="1"/>
  <c r="HR18" i="13"/>
  <c r="HQ24" i="13"/>
  <c r="HR9" i="13"/>
  <c r="HR19" i="13" s="1"/>
  <c r="HS3" i="13"/>
  <c r="HS23" i="13" s="1"/>
  <c r="HR26" i="13"/>
  <c r="HR27" i="13" s="1"/>
  <c r="HR13" i="13"/>
  <c r="HR21" i="13" s="1"/>
  <c r="HQ15" i="13"/>
  <c r="HQ22" i="13" s="1"/>
  <c r="HT3" i="13" l="1"/>
  <c r="HT23" i="13" s="1"/>
  <c r="HS26" i="13"/>
  <c r="HS27" i="13" s="1"/>
  <c r="HR15" i="13"/>
  <c r="HR22" i="13" s="1"/>
  <c r="HR24" i="13"/>
  <c r="HS18" i="13"/>
  <c r="HS9" i="13"/>
  <c r="HS19" i="13" s="1"/>
  <c r="HS13" i="13"/>
  <c r="HS21" i="13" s="1"/>
  <c r="HT11" i="13"/>
  <c r="HT20" i="13" s="1"/>
  <c r="HU11" i="13" l="1"/>
  <c r="HU20" i="13" s="1"/>
  <c r="HS15" i="13"/>
  <c r="HS22" i="13" s="1"/>
  <c r="HT18" i="13"/>
  <c r="HS24" i="13"/>
  <c r="HT13" i="13"/>
  <c r="HT21" i="13" s="1"/>
  <c r="HT26" i="13"/>
  <c r="HT27" i="13" s="1"/>
  <c r="HU3" i="13"/>
  <c r="HU23" i="13" s="1"/>
  <c r="HT9" i="13"/>
  <c r="HT19" i="13" s="1"/>
  <c r="HT24" i="13" l="1"/>
  <c r="HU18" i="13"/>
  <c r="HT15" i="13"/>
  <c r="HT22" i="13" s="1"/>
  <c r="HU13" i="13"/>
  <c r="HU21" i="13" s="1"/>
  <c r="HV3" i="13"/>
  <c r="HV23" i="13" s="1"/>
  <c r="HU26" i="13"/>
  <c r="HU27" i="13" s="1"/>
  <c r="HV11" i="13"/>
  <c r="HV20" i="13" s="1"/>
  <c r="HU9" i="13"/>
  <c r="HU19" i="13" s="1"/>
  <c r="HU15" i="13" l="1"/>
  <c r="HU22" i="13" s="1"/>
  <c r="HW3" i="13"/>
  <c r="HW23" i="13" s="1"/>
  <c r="HV26" i="13"/>
  <c r="HV27" i="13" s="1"/>
  <c r="HW11" i="13"/>
  <c r="HW20" i="13" s="1"/>
  <c r="HV9" i="13"/>
  <c r="HV19" i="13" s="1"/>
  <c r="HU24" i="13"/>
  <c r="HV18" i="13"/>
  <c r="HV13" i="13"/>
  <c r="HV21" i="13" s="1"/>
  <c r="HX11" i="13" l="1"/>
  <c r="HX20" i="13" s="1"/>
  <c r="HW13" i="13"/>
  <c r="HW21" i="13" s="1"/>
  <c r="HX3" i="13"/>
  <c r="HX23" i="13" s="1"/>
  <c r="HW26" i="13"/>
  <c r="HW27" i="13" s="1"/>
  <c r="HW18" i="13"/>
  <c r="HV24" i="13"/>
  <c r="HV15" i="13"/>
  <c r="HV22" i="13" s="1"/>
  <c r="HW9" i="13"/>
  <c r="HW19" i="13" s="1"/>
  <c r="HX13" i="13" l="1"/>
  <c r="HX21" i="13" s="1"/>
  <c r="HY3" i="13"/>
  <c r="HY23" i="13" s="1"/>
  <c r="HX26" i="13"/>
  <c r="HX27" i="13" s="1"/>
  <c r="HW15" i="13"/>
  <c r="HW22" i="13" s="1"/>
  <c r="HX18" i="13"/>
  <c r="HW24" i="13"/>
  <c r="HY11" i="13"/>
  <c r="HY20" i="13" s="1"/>
  <c r="HX9" i="13"/>
  <c r="HX19" i="13" s="1"/>
  <c r="HX24" i="13" l="1"/>
  <c r="HY18" i="13"/>
  <c r="HZ11" i="13"/>
  <c r="HZ20" i="13" s="1"/>
  <c r="HZ3" i="13"/>
  <c r="HZ23" i="13" s="1"/>
  <c r="HY26" i="13"/>
  <c r="HY27" i="13" s="1"/>
  <c r="HX15" i="13"/>
  <c r="HX22" i="13" s="1"/>
  <c r="HY13" i="13"/>
  <c r="HY21" i="13" s="1"/>
  <c r="HY9" i="13"/>
  <c r="HY19" i="13" s="1"/>
  <c r="IA3" i="13" l="1"/>
  <c r="IA23" i="13" s="1"/>
  <c r="HZ26" i="13"/>
  <c r="HZ27" i="13" s="1"/>
  <c r="HZ9" i="13"/>
  <c r="HZ19" i="13" s="1"/>
  <c r="IA11" i="13"/>
  <c r="IA20" i="13" s="1"/>
  <c r="HZ13" i="13"/>
  <c r="HZ21" i="13" s="1"/>
  <c r="HZ18" i="13"/>
  <c r="HY24" i="13"/>
  <c r="HY15" i="13"/>
  <c r="HY22" i="13" s="1"/>
  <c r="IA9" i="13" l="1"/>
  <c r="IA19" i="13" s="1"/>
  <c r="HZ15" i="13"/>
  <c r="HZ22" i="13" s="1"/>
  <c r="IA18" i="13"/>
  <c r="HZ24" i="13"/>
  <c r="IA26" i="13"/>
  <c r="IA27" i="13" s="1"/>
  <c r="IB3" i="13"/>
  <c r="IB23" i="13" s="1"/>
  <c r="IB11" i="13"/>
  <c r="IB20" i="13" s="1"/>
  <c r="IA13" i="13"/>
  <c r="IA21" i="13" s="1"/>
  <c r="IB18" i="13" l="1"/>
  <c r="IA24" i="13"/>
  <c r="IA15" i="13"/>
  <c r="IA22" i="13" s="1"/>
  <c r="IB13" i="13"/>
  <c r="IB21" i="13" s="1"/>
  <c r="IB9" i="13"/>
  <c r="IB19" i="13" s="1"/>
  <c r="IC11" i="13"/>
  <c r="IC20" i="13" s="1"/>
  <c r="IC3" i="13"/>
  <c r="IC23" i="13" s="1"/>
  <c r="IB26" i="13"/>
  <c r="IB27" i="13" s="1"/>
  <c r="IB15" i="13" l="1"/>
  <c r="IB22" i="13" s="1"/>
  <c r="IC9" i="13"/>
  <c r="IC19" i="13" s="1"/>
  <c r="ID3" i="13"/>
  <c r="ID23" i="13" s="1"/>
  <c r="IC26" i="13"/>
  <c r="IC27" i="13" s="1"/>
  <c r="IC13" i="13"/>
  <c r="IC21" i="13" s="1"/>
  <c r="ID11" i="13"/>
  <c r="ID20" i="13" s="1"/>
  <c r="IC18" i="13"/>
  <c r="IB24" i="13"/>
  <c r="ID26" i="13" l="1"/>
  <c r="ID27" i="13" s="1"/>
  <c r="IE3" i="13"/>
  <c r="IE23" i="13" s="1"/>
  <c r="ID9" i="13"/>
  <c r="ID19" i="13" s="1"/>
  <c r="IE11" i="13"/>
  <c r="IE20" i="13" s="1"/>
  <c r="IC15" i="13"/>
  <c r="IC22" i="13" s="1"/>
  <c r="IC24" i="13"/>
  <c r="ID18" i="13"/>
  <c r="ID13" i="13"/>
  <c r="ID21" i="13" s="1"/>
  <c r="IE9" i="13" l="1"/>
  <c r="IE19" i="13" s="1"/>
  <c r="IE13" i="13"/>
  <c r="IE21" i="13" s="1"/>
  <c r="IF3" i="13"/>
  <c r="IF23" i="13" s="1"/>
  <c r="IE26" i="13"/>
  <c r="IE27" i="13" s="1"/>
  <c r="IF11" i="13"/>
  <c r="IF20" i="13" s="1"/>
  <c r="IE18" i="13"/>
  <c r="ID24" i="13"/>
  <c r="ID15" i="13"/>
  <c r="ID22" i="13" s="1"/>
  <c r="IF26" i="13" l="1"/>
  <c r="IF27" i="13" s="1"/>
  <c r="IG3" i="13"/>
  <c r="IG23" i="13" s="1"/>
  <c r="IE15" i="13"/>
  <c r="IE22" i="13" s="1"/>
  <c r="IF13" i="13"/>
  <c r="IF21" i="13" s="1"/>
  <c r="IE24" i="13"/>
  <c r="IF18" i="13"/>
  <c r="IF9" i="13"/>
  <c r="IF19" i="13" s="1"/>
  <c r="IG11" i="13"/>
  <c r="IG20" i="13" s="1"/>
  <c r="IF15" i="13" l="1"/>
  <c r="IF22" i="13" s="1"/>
  <c r="IH11" i="13"/>
  <c r="IH20" i="13" s="1"/>
  <c r="IH3" i="13"/>
  <c r="IH23" i="13" s="1"/>
  <c r="IG26" i="13"/>
  <c r="IG27" i="13" s="1"/>
  <c r="IG9" i="13"/>
  <c r="IG19" i="13" s="1"/>
  <c r="IG13" i="13"/>
  <c r="IG21" i="13" s="1"/>
  <c r="IF24" i="13"/>
  <c r="IG18" i="13"/>
  <c r="II3" i="13" l="1"/>
  <c r="II23" i="13" s="1"/>
  <c r="IH26" i="13"/>
  <c r="IH27" i="13" s="1"/>
  <c r="II11" i="13"/>
  <c r="II20" i="13" s="1"/>
  <c r="IH18" i="13"/>
  <c r="IG24" i="13"/>
  <c r="IG15" i="13"/>
  <c r="IG22" i="13" s="1"/>
  <c r="IH13" i="13"/>
  <c r="IH21" i="13" s="1"/>
  <c r="IH9" i="13"/>
  <c r="IH19" i="13" s="1"/>
  <c r="IJ11" i="13" l="1"/>
  <c r="IJ20" i="13" s="1"/>
  <c r="IH24" i="13"/>
  <c r="II18" i="13"/>
  <c r="II13" i="13"/>
  <c r="II21" i="13" s="1"/>
  <c r="IJ3" i="13"/>
  <c r="IJ23" i="13" s="1"/>
  <c r="II26" i="13"/>
  <c r="II27" i="13" s="1"/>
  <c r="II9" i="13"/>
  <c r="II19" i="13" s="1"/>
  <c r="IH15" i="13"/>
  <c r="IH22" i="13" s="1"/>
  <c r="IJ26" i="13" l="1"/>
  <c r="IJ27" i="13" s="1"/>
  <c r="IK3" i="13"/>
  <c r="IK23" i="13" s="1"/>
  <c r="IJ13" i="13"/>
  <c r="IJ21" i="13" s="1"/>
  <c r="II15" i="13"/>
  <c r="II22" i="13" s="1"/>
  <c r="II24" i="13"/>
  <c r="IJ18" i="13"/>
  <c r="IJ9" i="13"/>
  <c r="IJ19" i="13" s="1"/>
  <c r="IK11" i="13"/>
  <c r="IK20" i="13" s="1"/>
  <c r="IJ15" i="13" l="1"/>
  <c r="IJ22" i="13" s="1"/>
  <c r="IK13" i="13"/>
  <c r="IK21" i="13" s="1"/>
  <c r="IL11" i="13"/>
  <c r="IL20" i="13" s="1"/>
  <c r="IK9" i="13"/>
  <c r="IK19" i="13" s="1"/>
  <c r="IL3" i="13"/>
  <c r="IL23" i="13" s="1"/>
  <c r="IK26" i="13"/>
  <c r="IK27" i="13" s="1"/>
  <c r="IJ24" i="13"/>
  <c r="IK18" i="13"/>
  <c r="IM11" i="13" l="1"/>
  <c r="IM20" i="13" s="1"/>
  <c r="IL13" i="13"/>
  <c r="IL21" i="13" s="1"/>
  <c r="IK15" i="13"/>
  <c r="IK22" i="13" s="1"/>
  <c r="IL9" i="13"/>
  <c r="IL19" i="13" s="1"/>
  <c r="IK24" i="13"/>
  <c r="IL18" i="13"/>
  <c r="IM3" i="13"/>
  <c r="IM23" i="13" s="1"/>
  <c r="IL26" i="13"/>
  <c r="IL27" i="13" s="1"/>
  <c r="IM9" i="13" l="1"/>
  <c r="IM19" i="13" s="1"/>
  <c r="IM13" i="13"/>
  <c r="IM21" i="13" s="1"/>
  <c r="IL24" i="13"/>
  <c r="IM18" i="13"/>
  <c r="IN11" i="13"/>
  <c r="IN20" i="13" s="1"/>
  <c r="IL15" i="13"/>
  <c r="IL22" i="13" s="1"/>
  <c r="IN3" i="13"/>
  <c r="C30" i="13" s="1"/>
  <c r="IM26" i="13"/>
  <c r="IM27" i="13" s="1"/>
  <c r="IN23" i="13" l="1"/>
  <c r="IN13" i="13"/>
  <c r="IN21" i="13" s="1"/>
  <c r="IM24" i="13"/>
  <c r="IN26" i="13"/>
  <c r="IN27" i="13" s="1"/>
  <c r="IM15" i="13"/>
  <c r="IM22" i="13" s="1"/>
  <c r="IN9" i="13"/>
  <c r="IN19" i="13" s="1"/>
  <c r="IN18" i="13" l="1"/>
  <c r="IN24" i="13" s="1"/>
  <c r="IN15" i="13"/>
  <c r="IN22" i="13" s="1"/>
  <c r="D31" i="13" l="1"/>
  <c r="D27" i="13" s="1"/>
  <c r="B4" i="20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D52" i="20"/>
  <c r="E52" i="20" s="1"/>
  <c r="K52" i="20"/>
  <c r="K7" i="20"/>
  <c r="D7" i="20"/>
  <c r="E7" i="20" s="1"/>
  <c r="K57" i="20"/>
  <c r="D57" i="20"/>
  <c r="E57" i="20" s="1"/>
  <c r="D24" i="20"/>
  <c r="E24" i="20" s="1"/>
  <c r="K24" i="20"/>
  <c r="D41" i="20"/>
  <c r="E41" i="20" s="1"/>
  <c r="K41" i="20"/>
  <c r="D47" i="20"/>
  <c r="E47" i="20" s="1"/>
  <c r="K47" i="20"/>
  <c r="K33" i="20"/>
  <c r="D33" i="20"/>
  <c r="E33" i="20" s="1"/>
  <c r="D29" i="20"/>
  <c r="E29" i="20" s="1"/>
  <c r="K29" i="20"/>
  <c r="D38" i="20"/>
  <c r="E38" i="20" s="1"/>
  <c r="K38" i="20"/>
  <c r="D59" i="20"/>
  <c r="K42" i="20"/>
  <c r="D42" i="20"/>
  <c r="E42" i="20" s="1"/>
  <c r="D8" i="20"/>
  <c r="E8" i="20" s="1"/>
  <c r="K8" i="20"/>
  <c r="D5" i="20"/>
  <c r="E5" i="20" s="1"/>
  <c r="K5" i="20"/>
  <c r="D46" i="20"/>
  <c r="E46" i="20" s="1"/>
  <c r="K46" i="20"/>
  <c r="D15" i="20"/>
  <c r="E15" i="20" s="1"/>
  <c r="K15" i="20"/>
  <c r="K19" i="20"/>
  <c r="D19" i="20"/>
  <c r="E19" i="20" s="1"/>
  <c r="D45" i="20"/>
  <c r="E45" i="20" s="1"/>
  <c r="K45" i="20"/>
  <c r="D48" i="20"/>
  <c r="E48" i="20" s="1"/>
  <c r="K48" i="20"/>
  <c r="D55" i="20"/>
  <c r="E55" i="20" s="1"/>
  <c r="K55" i="20"/>
  <c r="K6" i="20"/>
  <c r="D6" i="20"/>
  <c r="E6" i="20" s="1"/>
  <c r="D12" i="20"/>
  <c r="E12" i="20" s="1"/>
  <c r="K12" i="20"/>
  <c r="D56" i="20"/>
  <c r="E56" i="20" s="1"/>
  <c r="K56" i="20"/>
  <c r="D9" i="20"/>
  <c r="E9" i="20" s="1"/>
  <c r="K9" i="20"/>
  <c r="K30" i="20"/>
  <c r="D30" i="20"/>
  <c r="E30" i="20" s="1"/>
  <c r="D37" i="20"/>
  <c r="E37" i="20" s="1"/>
  <c r="K37" i="20"/>
  <c r="K54" i="20"/>
  <c r="D54" i="20"/>
  <c r="E54" i="20" s="1"/>
  <c r="K21" i="20"/>
  <c r="D21" i="20"/>
  <c r="E21" i="20" s="1"/>
  <c r="D44" i="20"/>
  <c r="E44" i="20" s="1"/>
  <c r="K44" i="20"/>
  <c r="K26" i="20"/>
  <c r="D26" i="20"/>
  <c r="E26" i="20" s="1"/>
  <c r="K58" i="20"/>
  <c r="D58" i="20"/>
  <c r="E58" i="20" s="1"/>
  <c r="D23" i="20"/>
  <c r="E23" i="20" s="1"/>
  <c r="K23" i="20"/>
  <c r="D22" i="20"/>
  <c r="E22" i="20" s="1"/>
  <c r="K22" i="20"/>
  <c r="K28" i="20"/>
  <c r="D28" i="20"/>
  <c r="E28" i="20" s="1"/>
  <c r="D25" i="20"/>
  <c r="E25" i="20" s="1"/>
  <c r="K25" i="20"/>
  <c r="D30" i="13" l="1"/>
  <c r="C40" i="15"/>
  <c r="C42" i="15" s="1"/>
  <c r="H7" i="20"/>
  <c r="H8" i="20"/>
  <c r="H25" i="20"/>
  <c r="H56" i="20"/>
  <c r="H28" i="20"/>
  <c r="H38" i="20"/>
  <c r="H41" i="20"/>
  <c r="H52" i="20"/>
  <c r="H22" i="20"/>
  <c r="H33" i="20"/>
  <c r="H57" i="20"/>
  <c r="H15" i="20"/>
  <c r="H9" i="20"/>
  <c r="H55" i="20"/>
  <c r="H23" i="20"/>
  <c r="H48" i="20"/>
  <c r="H44" i="20"/>
  <c r="H46" i="20"/>
  <c r="H37" i="20"/>
  <c r="H12" i="20"/>
  <c r="H45" i="20"/>
  <c r="H21" i="20"/>
  <c r="H42" i="20"/>
  <c r="H58" i="20"/>
  <c r="H54" i="20"/>
  <c r="H47" i="20"/>
  <c r="H26" i="20"/>
  <c r="H5" i="20"/>
  <c r="H30" i="20"/>
  <c r="H6" i="20"/>
  <c r="H19" i="20"/>
  <c r="H29" i="20"/>
  <c r="H24" i="20"/>
  <c r="E59" i="20"/>
  <c r="H59" i="20" s="1"/>
</calcChain>
</file>

<file path=xl/sharedStrings.xml><?xml version="1.0" encoding="utf-8"?>
<sst xmlns="http://schemas.openxmlformats.org/spreadsheetml/2006/main" count="3536" uniqueCount="562">
  <si>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</si>
  <si>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</si>
  <si>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</si>
  <si>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</si>
  <si>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</si>
  <si>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</si>
  <si>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</si>
  <si>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</si>
  <si>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</si>
  <si>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</si>
  <si>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</si>
  <si>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</si>
  <si>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</si>
  <si>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</si>
  <si>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</si>
  <si>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</si>
  <si>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</si>
  <si>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</si>
  <si>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</si>
  <si>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</si>
  <si>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</si>
  <si>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</si>
  <si>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</si>
  <si>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</si>
  <si>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</si>
  <si>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</si>
  <si>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</si>
  <si>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</si>
  <si>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</si>
  <si>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</si>
  <si>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</si>
  <si>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</si>
  <si>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</si>
  <si>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</si>
  <si>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</si>
  <si>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</si>
  <si>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</si>
  <si>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</si>
  <si>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</si>
  <si>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</si>
  <si>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</si>
  <si>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</si>
  <si>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</si>
  <si>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</si>
  <si>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</si>
  <si>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</si>
  <si>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</si>
  <si>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</si>
  <si>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</si>
  <si>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</si>
  <si>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</si>
  <si>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</si>
  <si>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</si>
  <si>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</si>
  <si>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</si>
  <si>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</si>
  <si>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</si>
  <si>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</si>
  <si>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</si>
  <si>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</si>
  <si>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</si>
  <si>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</si>
  <si>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</si>
  <si>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</si>
  <si>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</si>
  <si>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</si>
  <si>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</si>
  <si>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</si>
  <si>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</si>
  <si>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</si>
  <si>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</si>
  <si>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</si>
  <si>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</si>
  <si>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</si>
  <si>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</si>
  <si>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</si>
  <si>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</si>
  <si>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</si>
  <si>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</si>
  <si>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</si>
  <si>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</si>
  <si>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</si>
  <si>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</si>
  <si>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</si>
  <si>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</si>
  <si>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</si>
  <si>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</si>
  <si>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</si>
  <si>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</si>
  <si>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</si>
  <si>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</si>
  <si>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</si>
  <si>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</si>
  <si>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</si>
  <si>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</si>
  <si>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</si>
  <si>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</si>
  <si>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</si>
  <si>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</si>
  <si>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</si>
  <si>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</si>
  <si>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</si>
  <si>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</si>
  <si>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</si>
  <si>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</si>
  <si>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</si>
  <si>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</si>
  <si>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</si>
  <si>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</si>
  <si>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</si>
  <si>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</si>
  <si>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</si>
  <si>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</si>
  <si>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</si>
  <si>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</si>
  <si>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</si>
  <si>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</si>
  <si>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</si>
  <si>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</si>
  <si>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</si>
  <si>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</si>
  <si>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</si>
  <si>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</si>
  <si>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</si>
  <si>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</si>
  <si>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</si>
  <si>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</si>
  <si>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</si>
  <si>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</si>
  <si>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</si>
  <si>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</si>
  <si>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</si>
  <si>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</si>
  <si>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</si>
  <si>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</si>
  <si>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</si>
  <si>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</si>
  <si>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</si>
  <si>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</si>
  <si>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</si>
  <si>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</si>
  <si>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</si>
  <si>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</si>
  <si>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</si>
  <si>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</si>
  <si>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</si>
  <si>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</si>
  <si>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</si>
  <si>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</si>
  <si>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</si>
  <si>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</si>
  <si>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</si>
  <si>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</si>
  <si>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</si>
  <si>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</si>
  <si>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</si>
  <si>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</si>
  <si>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</si>
  <si>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</si>
  <si>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</si>
  <si>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</si>
  <si>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</si>
  <si>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</si>
  <si>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</si>
  <si>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</si>
  <si>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</si>
  <si>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</si>
  <si>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</si>
  <si>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</si>
  <si>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</si>
  <si>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</si>
  <si>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</si>
  <si>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</si>
  <si>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</si>
  <si>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</si>
  <si>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</si>
  <si>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</si>
  <si>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</si>
  <si>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</si>
  <si>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</si>
  <si>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</si>
  <si>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</si>
  <si>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</si>
  <si>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</si>
  <si>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</si>
  <si>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</si>
  <si>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</si>
  <si>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</si>
  <si>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</si>
  <si>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</si>
  <si>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</si>
  <si>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</si>
  <si>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</si>
  <si>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</si>
  <si>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</si>
  <si>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</si>
  <si>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</si>
  <si>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</si>
  <si>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</si>
  <si>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</si>
  <si>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</si>
  <si>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</si>
  <si>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</si>
  <si>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</si>
  <si>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</si>
  <si>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</si>
  <si>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</si>
  <si>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</si>
  <si>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</si>
  <si>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</si>
  <si>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</si>
  <si>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</si>
  <si>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</si>
  <si>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</si>
  <si>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</si>
  <si>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</si>
  <si>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</si>
  <si>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</si>
  <si>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</si>
  <si>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</si>
  <si>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</si>
  <si>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</si>
  <si>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</si>
  <si>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</si>
  <si>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</si>
  <si>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</si>
  <si>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</si>
  <si>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</si>
  <si>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</si>
  <si>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</si>
  <si>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</si>
  <si>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</si>
  <si>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</si>
  <si>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</si>
  <si>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</si>
  <si>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</si>
  <si>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</si>
  <si>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</si>
  <si>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</si>
  <si>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</si>
  <si>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</si>
  <si>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</si>
  <si>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</si>
  <si>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</si>
  <si>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</si>
  <si>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</si>
  <si>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</si>
  <si>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</si>
  <si>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</si>
  <si>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</si>
  <si>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</si>
  <si>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</si>
  <si>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</si>
  <si>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</si>
  <si>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</si>
  <si>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</si>
  <si>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</si>
  <si>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</si>
  <si>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</si>
  <si>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</si>
  <si>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</si>
  <si>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</si>
  <si>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</si>
  <si>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</si>
  <si>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</si>
  <si>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</si>
  <si>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</si>
  <si>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</si>
  <si>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</si>
  <si>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</si>
  <si>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</si>
  <si>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</si>
  <si>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</si>
  <si>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</si>
  <si>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</si>
  <si>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</si>
  <si>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</si>
  <si>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</si>
  <si>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</si>
  <si>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</si>
  <si>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</si>
  <si>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</si>
  <si>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</si>
  <si>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</si>
  <si>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</si>
  <si>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</si>
  <si>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</si>
  <si>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</si>
  <si>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</si>
  <si>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</si>
  <si>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</si>
  <si>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</si>
  <si>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</si>
  <si>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</si>
  <si>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</si>
  <si>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</si>
  <si>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</si>
  <si>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</si>
  <si>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</si>
  <si>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</si>
  <si>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</si>
  <si>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</si>
  <si>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</si>
  <si>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</si>
  <si>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</si>
  <si>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</si>
  <si>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</si>
  <si>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</si>
  <si>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</si>
  <si>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</si>
  <si>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</si>
  <si>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</si>
  <si>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</si>
  <si>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</si>
  <si>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</si>
  <si>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</si>
  <si>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</si>
  <si>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</si>
  <si>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</si>
  <si>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</si>
  <si>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</si>
  <si>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</si>
  <si>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</si>
  <si>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</si>
  <si>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</si>
  <si>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</si>
  <si>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</si>
  <si>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</si>
  <si>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</si>
  <si>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</si>
  <si>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</si>
  <si>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</si>
  <si>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</si>
  <si>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</si>
  <si>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</si>
  <si>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</si>
  <si>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</si>
  <si>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</si>
  <si>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</si>
  <si>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</si>
  <si>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</si>
  <si>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</si>
  <si>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</si>
  <si>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</si>
  <si>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</si>
  <si>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</si>
  <si>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</si>
  <si>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</si>
  <si>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</si>
  <si>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</si>
  <si>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</si>
  <si>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</si>
  <si>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</si>
  <si>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</si>
  <si>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</si>
  <si>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</si>
  <si>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</si>
  <si>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</si>
  <si>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</si>
  <si>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</si>
  <si>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</si>
  <si>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</si>
  <si>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</si>
  <si>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</si>
  <si>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</si>
  <si>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</si>
  <si>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</si>
  <si>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</si>
  <si>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</si>
  <si>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</si>
  <si>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</si>
  <si>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</si>
  <si>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</si>
  <si>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</si>
  <si>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</si>
  <si>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</si>
  <si>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</si>
  <si>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</si>
  <si>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</si>
  <si>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</si>
  <si>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</si>
  <si>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</si>
  <si>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</si>
  <si>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</si>
  <si>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</si>
  <si>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</si>
  <si>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</si>
  <si>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</si>
  <si>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</si>
  <si>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</si>
  <si>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</si>
  <si>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</si>
  <si>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</si>
  <si>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</si>
  <si>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</si>
  <si>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</si>
  <si>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</si>
  <si>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</si>
  <si>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</si>
  <si>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</si>
  <si>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</si>
  <si>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</si>
  <si>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</si>
  <si>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</si>
  <si>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</si>
  <si>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</si>
  <si>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</si>
  <si>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</si>
  <si>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</si>
  <si>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</si>
  <si>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</si>
  <si>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</si>
  <si>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</si>
  <si>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</si>
  <si>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</si>
  <si>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</si>
  <si>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</si>
  <si>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</si>
  <si>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</si>
  <si>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</si>
  <si>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</si>
  <si>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</si>
  <si>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</si>
  <si>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</si>
  <si>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</si>
  <si>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</si>
  <si>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</si>
  <si>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</si>
  <si>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</si>
  <si>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</si>
  <si>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50% Daily Increase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</si>
  <si>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</si>
  <si>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</si>
  <si>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</si>
  <si>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</si>
  <si>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</si>
  <si>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</si>
  <si>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</si>
  <si>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</si>
  <si>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</si>
  <si>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</si>
  <si>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</si>
  <si>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</si>
  <si>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</si>
  <si>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</si>
  <si>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</si>
  <si>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</si>
  <si>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</si>
  <si>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</si>
  <si>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</si>
  <si>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</si>
  <si>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Rate of increase</t>
  </si>
  <si>
    <t>Last x days</t>
  </si>
  <si>
    <t>Expected tomorrow</t>
  </si>
  <si>
    <t>30% daily increase</t>
  </si>
  <si>
    <t>40% daily increase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</si>
  <si>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</si>
  <si>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</si>
  <si>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</si>
  <si>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</si>
  <si>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</si>
  <si>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</si>
  <si>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</si>
  <si>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</si>
  <si>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</si>
  <si>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</si>
  <si>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</si>
  <si>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</si>
  <si>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</si>
  <si>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</si>
  <si>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</si>
  <si>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</si>
  <si>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</si>
  <si>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</si>
  <si>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</si>
  <si>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</si>
  <si>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</si>
  <si>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</si>
  <si>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</si>
  <si>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</si>
  <si>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</si>
  <si>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</si>
  <si>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</si>
  <si>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</si>
  <si>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</si>
  <si>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</si>
  <si>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</si>
  <si>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</si>
  <si>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</si>
  <si>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</si>
  <si>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</si>
  <si>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</si>
  <si>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Current Cases</t>
  </si>
  <si>
    <t>Infected</t>
  </si>
  <si>
    <t>Total infected</t>
  </si>
  <si>
    <t>10% daily increase</t>
  </si>
  <si>
    <t>10% increase</t>
  </si>
  <si>
    <t>30% increase</t>
  </si>
  <si>
    <t>40% increase</t>
  </si>
  <si>
    <t>25% daily increase</t>
  </si>
  <si>
    <t>25% increase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</si>
  <si>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</si>
  <si>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</si>
  <si>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</si>
  <si>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</si>
  <si>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</si>
  <si>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</si>
  <si>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</si>
  <si>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</si>
  <si>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Social distancing introduced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</si>
  <si>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</si>
  <si>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</si>
  <si>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</si>
  <si>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</si>
  <si>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</si>
  <si>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</si>
  <si>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</si>
  <si>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</si>
  <si>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Popultation</t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</si>
  <si>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</si>
  <si>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</si>
  <si>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</si>
  <si>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</si>
  <si>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</si>
  <si>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</si>
  <si>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</si>
  <si>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</si>
  <si>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</si>
  <si>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</si>
  <si>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</si>
  <si>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</si>
  <si>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</si>
  <si>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</si>
  <si>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</si>
  <si>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</si>
  <si>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Current rate of increase (active cases) *</t>
  </si>
  <si>
    <t>* day on day increase over last 5 days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</si>
  <si>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</si>
  <si>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</si>
  <si>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</si>
  <si>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</si>
  <si>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</si>
  <si>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</si>
  <si>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</si>
  <si>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</si>
  <si>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</si>
  <si>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Last 5D daily increase rate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</si>
  <si>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</si>
  <si>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</si>
  <si>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</si>
  <si>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</si>
  <si>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</si>
  <si>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</si>
  <si>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</si>
  <si>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</si>
  <si>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</si>
  <si>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</si>
  <si>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</si>
  <si>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</si>
  <si>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</si>
  <si>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</si>
  <si>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Rate of change in increase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</si>
</sst>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0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3" fontId="6" fillId="0" borderId="0" xfId="0" applyNumberFormat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3" fontId="6" fillId="0" borderId="4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43" fontId="12" fillId="6" borderId="11" xfId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9" fontId="12" fillId="6" borderId="11" xfId="2" applyFont="1" applyFill="1" applyBorder="1" applyAlignment="1">
      <alignment horizontal="right" vertical="center" inden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0" fontId="17" fillId="6" borderId="27" xfId="0" applyFont="1" applyFill="1" applyBorder="1" applyAlignment="1">
      <alignment horizontal="left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4" fontId="14" fillId="5" borderId="18" xfId="2" applyNumberFormat="1" applyFont="1" applyFill="1" applyBorder="1" applyAlignment="1">
      <alignment horizontal="right" vertical="center" shrinkToFit="1"/>
    </xf>
    <xf numFmtId="14" fontId="14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 wrapText="1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/>
    </xf>
    <xf numFmtId="14" fontId="14" fillId="5" borderId="17" xfId="1" applyNumberFormat="1" applyFont="1" applyFill="1" applyBorder="1" applyAlignment="1">
      <alignment horizontal="right" vertical="center"/>
    </xf>
    <xf numFmtId="165" fontId="14" fillId="5" borderId="17" xfId="1" applyNumberFormat="1" applyFont="1" applyFill="1" applyBorder="1" applyAlignment="1">
      <alignment horizontal="left" vertical="center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9" fontId="14" fillId="5" borderId="18" xfId="2" applyFont="1" applyFill="1" applyBorder="1" applyAlignment="1">
      <alignment horizontal="right" vertical="center" shrinkToFit="1"/>
    </xf>
    <xf numFmtId="9" fontId="14" fillId="5" borderId="19" xfId="2" applyFont="1" applyFill="1" applyBorder="1" applyAlignment="1">
      <alignment horizontal="right" vertical="center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0" fontId="17" fillId="6" borderId="27" xfId="0" applyFont="1" applyFill="1" applyBorder="1" applyAlignment="1">
      <alignment horizontal="center" vertical="center" wrapText="1"/>
    </xf>
    <xf numFmtId="0" fontId="17" fillId="6" borderId="0" xfId="0" applyFont="1" applyFill="1" applyBorder="1" applyAlignment="1">
      <alignment horizontal="center" vertical="center" wrapText="1"/>
    </xf>
    <xf numFmtId="0" fontId="24" fillId="5" borderId="0" xfId="0" applyFont="1" applyFill="1" applyBorder="1" applyAlignment="1">
      <alignment horizontal="center" vertical="center"/>
    </xf>
    <xf numFmtId="0" fontId="23" fillId="4" borderId="0" xfId="0" applyFont="1" applyFill="1" applyBorder="1" applyAlignment="1">
      <alignment horizontal="center" vertical="center" wrapText="1"/>
    </xf>
    <xf numFmtId="0" fontId="23" fillId="4" borderId="17" xfId="0" applyFont="1" applyFill="1" applyBorder="1" applyAlignment="1">
      <alignment horizontal="center" vertical="center" wrapText="1"/>
    </xf>
    <xf numFmtId="0" fontId="24" fillId="5" borderId="17" xfId="0" applyFont="1" applyFill="1" applyBorder="1" applyAlignment="1">
      <alignment horizontal="center" vertical="center"/>
    </xf>
    <xf numFmtId="0" fontId="23" fillId="4" borderId="23" xfId="0" applyFont="1" applyFill="1" applyBorder="1" applyAlignment="1">
      <alignment horizontal="center" vertical="center" wrapText="1"/>
    </xf>
    <xf numFmtId="0" fontId="24" fillId="5" borderId="21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left" vertical="center" wrapText="1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left" vertical="center"/>
    </xf>
    <xf numFmtId="0" fontId="13" fillId="4" borderId="17" xfId="0" applyFont="1" applyFill="1" applyBorder="1" applyAlignment="1">
      <alignment horizontal="right" vertical="center"/>
    </xf>
    <xf numFmtId="10" fontId="0" fillId="0" borderId="0" xfId="2" applyNumberFormat="1" applyFont="1" applyFill="1"/>
    <xf numFmtId="0" fontId="1" fillId="0" borderId="0" xfId="2" applyNumberFormat="1" applyFont="1" applyFill="1"/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37356410045567"/>
          <c:y val="2.5923618184178723E-2"/>
          <c:w val="0.7975782985219162"/>
          <c:h val="0.72568759360068469"/>
        </c:manualLayout>
      </c:layout>
      <c:lineChart>
        <c:grouping val="standard"/>
        <c:varyColors val="0"/>
        <c:ser>
          <c:idx val="5"/>
          <c:order val="0"/>
          <c:tx>
            <c:strRef>
              <c:f>Projections_Data!$F$9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Projections_Data!$G$9:$KU$9</c:f>
              <c:numCache>
                <c:formatCode>_-* #,##0_-;\-* #,##0_-;_-* "-"??_-;_-@_-</c:formatCode>
                <c:ptCount val="301"/>
                <c:pt idx="0">
                  <c:v>107</c:v>
                </c:pt>
                <c:pt idx="1">
                  <c:v>154</c:v>
                </c:pt>
                <c:pt idx="2">
                  <c:v>187</c:v>
                </c:pt>
                <c:pt idx="3">
                  <c:v>253</c:v>
                </c:pt>
                <c:pt idx="4">
                  <c:v>300</c:v>
                </c:pt>
                <c:pt idx="5">
                  <c:v>359</c:v>
                </c:pt>
                <c:pt idx="6">
                  <c:v>432</c:v>
                </c:pt>
                <c:pt idx="7">
                  <c:v>563</c:v>
                </c:pt>
                <c:pt idx="8">
                  <c:v>775</c:v>
                </c:pt>
                <c:pt idx="9">
                  <c:v>1104</c:v>
                </c:pt>
                <c:pt idx="10">
                  <c:v>1315</c:v>
                </c:pt>
                <c:pt idx="11">
                  <c:v>1474</c:v>
                </c:pt>
                <c:pt idx="12">
                  <c:v>1851</c:v>
                </c:pt>
                <c:pt idx="13">
                  <c:v>2503</c:v>
                </c:pt>
                <c:pt idx="14">
                  <c:v>2511</c:v>
                </c:pt>
                <c:pt idx="15">
                  <c:v>3769</c:v>
                </c:pt>
                <c:pt idx="16">
                  <c:v>4145.9000000000005</c:v>
                </c:pt>
                <c:pt idx="17">
                  <c:v>4560.4900000000007</c:v>
                </c:pt>
                <c:pt idx="18">
                  <c:v>5016.5390000000016</c:v>
                </c:pt>
                <c:pt idx="19">
                  <c:v>5518.1929000000018</c:v>
                </c:pt>
                <c:pt idx="20">
                  <c:v>6070.0121900000022</c:v>
                </c:pt>
                <c:pt idx="21">
                  <c:v>6677.0134090000029</c:v>
                </c:pt>
                <c:pt idx="22">
                  <c:v>7344.7147499000039</c:v>
                </c:pt>
                <c:pt idx="23">
                  <c:v>8079.1862248900052</c:v>
                </c:pt>
                <c:pt idx="24">
                  <c:v>8887.104847379007</c:v>
                </c:pt>
                <c:pt idx="25">
                  <c:v>9775.8153321169084</c:v>
                </c:pt>
                <c:pt idx="26">
                  <c:v>10753.396865328599</c:v>
                </c:pt>
                <c:pt idx="27">
                  <c:v>11828.736551861461</c:v>
                </c:pt>
                <c:pt idx="28">
                  <c:v>13011.610207047608</c:v>
                </c:pt>
                <c:pt idx="29">
                  <c:v>14312.77122775237</c:v>
                </c:pt>
                <c:pt idx="30">
                  <c:v>15744.048350527608</c:v>
                </c:pt>
                <c:pt idx="31">
                  <c:v>17318.453185580369</c:v>
                </c:pt>
                <c:pt idx="32">
                  <c:v>19050.298504138409</c:v>
                </c:pt>
                <c:pt idx="33">
                  <c:v>20955.32835455225</c:v>
                </c:pt>
                <c:pt idx="34">
                  <c:v>23050.861190007476</c:v>
                </c:pt>
                <c:pt idx="35">
                  <c:v>25355.947309008225</c:v>
                </c:pt>
                <c:pt idx="36">
                  <c:v>27891.542039909051</c:v>
                </c:pt>
                <c:pt idx="37">
                  <c:v>30680.696243899958</c:v>
                </c:pt>
                <c:pt idx="38">
                  <c:v>33748.765868289956</c:v>
                </c:pt>
                <c:pt idx="39">
                  <c:v>37123.642455118956</c:v>
                </c:pt>
                <c:pt idx="40">
                  <c:v>40836.006700630853</c:v>
                </c:pt>
                <c:pt idx="41">
                  <c:v>44919.607370693942</c:v>
                </c:pt>
                <c:pt idx="42">
                  <c:v>49411.568107763342</c:v>
                </c:pt>
                <c:pt idx="43">
                  <c:v>54352.724918539679</c:v>
                </c:pt>
                <c:pt idx="44">
                  <c:v>59787.997410393655</c:v>
                </c:pt>
                <c:pt idx="45">
                  <c:v>65766.797151433027</c:v>
                </c:pt>
                <c:pt idx="46">
                  <c:v>72343.47686657634</c:v>
                </c:pt>
                <c:pt idx="47">
                  <c:v>79577.824553233979</c:v>
                </c:pt>
                <c:pt idx="48">
                  <c:v>87535.607008557388</c:v>
                </c:pt>
                <c:pt idx="49">
                  <c:v>96289.16770941313</c:v>
                </c:pt>
                <c:pt idx="50">
                  <c:v>105918.08448035445</c:v>
                </c:pt>
                <c:pt idx="51">
                  <c:v>116509.89292838991</c:v>
                </c:pt>
                <c:pt idx="52">
                  <c:v>128160.88222122891</c:v>
                </c:pt>
                <c:pt idx="53">
                  <c:v>140976.97044335181</c:v>
                </c:pt>
                <c:pt idx="54">
                  <c:v>155074.66748768699</c:v>
                </c:pt>
                <c:pt idx="55">
                  <c:v>170582.13423645572</c:v>
                </c:pt>
                <c:pt idx="56">
                  <c:v>187640.34766010131</c:v>
                </c:pt>
                <c:pt idx="57">
                  <c:v>206404.38242611146</c:v>
                </c:pt>
                <c:pt idx="58">
                  <c:v>227044.82066872262</c:v>
                </c:pt>
                <c:pt idx="59">
                  <c:v>249749.30273559489</c:v>
                </c:pt>
                <c:pt idx="60">
                  <c:v>274724.23300915438</c:v>
                </c:pt>
                <c:pt idx="61">
                  <c:v>302196.65631006984</c:v>
                </c:pt>
                <c:pt idx="62">
                  <c:v>332416.32194107684</c:v>
                </c:pt>
                <c:pt idx="63">
                  <c:v>365657.95413518453</c:v>
                </c:pt>
                <c:pt idx="64">
                  <c:v>402223.74954870302</c:v>
                </c:pt>
                <c:pt idx="65">
                  <c:v>442446.12450357334</c:v>
                </c:pt>
                <c:pt idx="66">
                  <c:v>486690.7369539307</c:v>
                </c:pt>
                <c:pt idx="67">
                  <c:v>535359.81064932386</c:v>
                </c:pt>
                <c:pt idx="68">
                  <c:v>588895.79171425628</c:v>
                </c:pt>
                <c:pt idx="69">
                  <c:v>647785.37088568194</c:v>
                </c:pt>
                <c:pt idx="70">
                  <c:v>712563.90797425015</c:v>
                </c:pt>
                <c:pt idx="71">
                  <c:v>783820.29877167521</c:v>
                </c:pt>
                <c:pt idx="72">
                  <c:v>862202.32864884275</c:v>
                </c:pt>
                <c:pt idx="73">
                  <c:v>948422.56151372707</c:v>
                </c:pt>
                <c:pt idx="74">
                  <c:v>1043264.8176650999</c:v>
                </c:pt>
                <c:pt idx="75">
                  <c:v>1147591.2994316099</c:v>
                </c:pt>
                <c:pt idx="76">
                  <c:v>1262350.429374771</c:v>
                </c:pt>
                <c:pt idx="77">
                  <c:v>1388585.4723122481</c:v>
                </c:pt>
                <c:pt idx="78">
                  <c:v>1527444.0195434729</c:v>
                </c:pt>
                <c:pt idx="79">
                  <c:v>1680188.4214978204</c:v>
                </c:pt>
                <c:pt idx="80">
                  <c:v>1848207.2636476026</c:v>
                </c:pt>
                <c:pt idx="81">
                  <c:v>2033027.9900123631</c:v>
                </c:pt>
                <c:pt idx="82">
                  <c:v>2236330.7890135995</c:v>
                </c:pt>
                <c:pt idx="83">
                  <c:v>2459963.8679149598</c:v>
                </c:pt>
                <c:pt idx="84">
                  <c:v>2705960.2547064559</c:v>
                </c:pt>
                <c:pt idx="85">
                  <c:v>2976556.2801771015</c:v>
                </c:pt>
                <c:pt idx="86">
                  <c:v>3274211.908194812</c:v>
                </c:pt>
                <c:pt idx="87">
                  <c:v>3601633.0990142934</c:v>
                </c:pt>
                <c:pt idx="88">
                  <c:v>3961796.4089157232</c:v>
                </c:pt>
                <c:pt idx="89">
                  <c:v>4357976.0498072961</c:v>
                </c:pt>
                <c:pt idx="90">
                  <c:v>4793773.6547880266</c:v>
                </c:pt>
                <c:pt idx="91">
                  <c:v>5273151.02026683</c:v>
                </c:pt>
                <c:pt idx="92">
                  <c:v>5800466.1222935133</c:v>
                </c:pt>
                <c:pt idx="93">
                  <c:v>6380512.7345228652</c:v>
                </c:pt>
                <c:pt idx="94">
                  <c:v>7018564.0079751527</c:v>
                </c:pt>
                <c:pt idx="95">
                  <c:v>7720420.4087726688</c:v>
                </c:pt>
                <c:pt idx="96">
                  <c:v>8492462.4496499356</c:v>
                </c:pt>
                <c:pt idx="97">
                  <c:v>9341708.6946149301</c:v>
                </c:pt>
                <c:pt idx="98">
                  <c:v>10275879.564076424</c:v>
                </c:pt>
                <c:pt idx="99">
                  <c:v>11303467.520484067</c:v>
                </c:pt>
                <c:pt idx="100">
                  <c:v>12433814.272532476</c:v>
                </c:pt>
                <c:pt idx="101">
                  <c:v>13677195.699785724</c:v>
                </c:pt>
                <c:pt idx="102">
                  <c:v>15044915.269764299</c:v>
                </c:pt>
                <c:pt idx="103">
                  <c:v>16549406.796740729</c:v>
                </c:pt>
                <c:pt idx="104">
                  <c:v>18204347.476414803</c:v>
                </c:pt>
                <c:pt idx="105">
                  <c:v>20024782.224056285</c:v>
                </c:pt>
                <c:pt idx="106">
                  <c:v>22027260.446461916</c:v>
                </c:pt>
                <c:pt idx="107">
                  <c:v>24229986.491108108</c:v>
                </c:pt>
                <c:pt idx="108">
                  <c:v>26652985.140218921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675-4CE9-A73F-2C5A11769A81}"/>
            </c:ext>
          </c:extLst>
        </c:ser>
        <c:ser>
          <c:idx val="2"/>
          <c:order val="1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Projections_Data!$G$11:$KU$11</c:f>
              <c:numCache>
                <c:formatCode>_-* #,##0_-;\-* #,##0_-;_-* "-"??_-;_-@_-</c:formatCode>
                <c:ptCount val="301"/>
                <c:pt idx="0">
                  <c:v>107</c:v>
                </c:pt>
                <c:pt idx="1">
                  <c:v>154</c:v>
                </c:pt>
                <c:pt idx="2">
                  <c:v>187</c:v>
                </c:pt>
                <c:pt idx="3">
                  <c:v>253</c:v>
                </c:pt>
                <c:pt idx="4">
                  <c:v>300</c:v>
                </c:pt>
                <c:pt idx="5">
                  <c:v>359</c:v>
                </c:pt>
                <c:pt idx="6">
                  <c:v>432</c:v>
                </c:pt>
                <c:pt idx="7">
                  <c:v>563</c:v>
                </c:pt>
                <c:pt idx="8">
                  <c:v>775</c:v>
                </c:pt>
                <c:pt idx="9">
                  <c:v>1104</c:v>
                </c:pt>
                <c:pt idx="10">
                  <c:v>1315</c:v>
                </c:pt>
                <c:pt idx="11">
                  <c:v>1474</c:v>
                </c:pt>
                <c:pt idx="12">
                  <c:v>1851</c:v>
                </c:pt>
                <c:pt idx="13">
                  <c:v>2503</c:v>
                </c:pt>
                <c:pt idx="14">
                  <c:v>2511</c:v>
                </c:pt>
                <c:pt idx="15">
                  <c:v>3769</c:v>
                </c:pt>
                <c:pt idx="16">
                  <c:v>4711.25</c:v>
                </c:pt>
                <c:pt idx="17">
                  <c:v>5889.0625</c:v>
                </c:pt>
                <c:pt idx="18">
                  <c:v>7361.328125</c:v>
                </c:pt>
                <c:pt idx="19">
                  <c:v>9201.66015625</c:v>
                </c:pt>
                <c:pt idx="20">
                  <c:v>11502.0751953125</c:v>
                </c:pt>
                <c:pt idx="21">
                  <c:v>14377.593994140625</c:v>
                </c:pt>
                <c:pt idx="22">
                  <c:v>17971.992492675781</c:v>
                </c:pt>
                <c:pt idx="23">
                  <c:v>22464.990615844727</c:v>
                </c:pt>
                <c:pt idx="24">
                  <c:v>28081.238269805908</c:v>
                </c:pt>
                <c:pt idx="25">
                  <c:v>35101.547837257385</c:v>
                </c:pt>
                <c:pt idx="26">
                  <c:v>43876.934796571732</c:v>
                </c:pt>
                <c:pt idx="27">
                  <c:v>54846.168495714664</c:v>
                </c:pt>
                <c:pt idx="28">
                  <c:v>68557.710619643331</c:v>
                </c:pt>
                <c:pt idx="29">
                  <c:v>85697.138274554163</c:v>
                </c:pt>
                <c:pt idx="30">
                  <c:v>107121.4228431927</c:v>
                </c:pt>
                <c:pt idx="31">
                  <c:v>133901.77855399088</c:v>
                </c:pt>
                <c:pt idx="32">
                  <c:v>167377.2231924886</c:v>
                </c:pt>
                <c:pt idx="33">
                  <c:v>209221.52899061074</c:v>
                </c:pt>
                <c:pt idx="34">
                  <c:v>261526.91123826342</c:v>
                </c:pt>
                <c:pt idx="35">
                  <c:v>326908.63904782926</c:v>
                </c:pt>
                <c:pt idx="36">
                  <c:v>408635.79880978656</c:v>
                </c:pt>
                <c:pt idx="37">
                  <c:v>510794.7485122332</c:v>
                </c:pt>
                <c:pt idx="38">
                  <c:v>638493.43564029154</c:v>
                </c:pt>
                <c:pt idx="39">
                  <c:v>798116.79455036437</c:v>
                </c:pt>
                <c:pt idx="40">
                  <c:v>997645.99318795546</c:v>
                </c:pt>
                <c:pt idx="41">
                  <c:v>1247057.4914849442</c:v>
                </c:pt>
                <c:pt idx="42">
                  <c:v>1558821.8643561802</c:v>
                </c:pt>
                <c:pt idx="43">
                  <c:v>1948527.3304452254</c:v>
                </c:pt>
                <c:pt idx="44">
                  <c:v>2435659.1630565319</c:v>
                </c:pt>
                <c:pt idx="45">
                  <c:v>3044573.9538206649</c:v>
                </c:pt>
                <c:pt idx="46">
                  <c:v>3805717.442275831</c:v>
                </c:pt>
                <c:pt idx="47">
                  <c:v>4757146.8028447889</c:v>
                </c:pt>
                <c:pt idx="48">
                  <c:v>5946433.5035559861</c:v>
                </c:pt>
                <c:pt idx="49">
                  <c:v>7433041.8794449829</c:v>
                </c:pt>
                <c:pt idx="50">
                  <c:v>9291302.3493062295</c:v>
                </c:pt>
                <c:pt idx="51">
                  <c:v>11614127.936632786</c:v>
                </c:pt>
                <c:pt idx="52">
                  <c:v>14517659.920790982</c:v>
                </c:pt>
                <c:pt idx="53">
                  <c:v>18147074.900988728</c:v>
                </c:pt>
                <c:pt idx="54">
                  <c:v>22683843.62623591</c:v>
                </c:pt>
                <c:pt idx="55">
                  <c:v>27154404.400000002</c:v>
                </c:pt>
                <c:pt idx="56">
                  <c:v>27154404.400000002</c:v>
                </c:pt>
                <c:pt idx="57">
                  <c:v>27154404.400000002</c:v>
                </c:pt>
                <c:pt idx="58">
                  <c:v>27154404.400000002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75-4CE9-A73F-2C5A11769A81}"/>
            </c:ext>
          </c:extLst>
        </c:ser>
        <c:ser>
          <c:idx val="4"/>
          <c:order val="2"/>
          <c:tx>
            <c:strRef>
              <c:f>Projections_Data!$F$15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Projections_Data!$G$15:$KU$15</c:f>
              <c:numCache>
                <c:formatCode>_-* #,##0_-;\-* #,##0_-;_-* "-"??_-;_-@_-</c:formatCode>
                <c:ptCount val="301"/>
                <c:pt idx="0">
                  <c:v>107</c:v>
                </c:pt>
                <c:pt idx="1">
                  <c:v>154</c:v>
                </c:pt>
                <c:pt idx="2">
                  <c:v>187</c:v>
                </c:pt>
                <c:pt idx="3">
                  <c:v>253</c:v>
                </c:pt>
                <c:pt idx="4">
                  <c:v>300</c:v>
                </c:pt>
                <c:pt idx="5">
                  <c:v>359</c:v>
                </c:pt>
                <c:pt idx="6">
                  <c:v>432</c:v>
                </c:pt>
                <c:pt idx="7">
                  <c:v>563</c:v>
                </c:pt>
                <c:pt idx="8">
                  <c:v>775</c:v>
                </c:pt>
                <c:pt idx="9">
                  <c:v>1104</c:v>
                </c:pt>
                <c:pt idx="10">
                  <c:v>1315</c:v>
                </c:pt>
                <c:pt idx="11">
                  <c:v>1474</c:v>
                </c:pt>
                <c:pt idx="12">
                  <c:v>1851</c:v>
                </c:pt>
                <c:pt idx="13">
                  <c:v>2503</c:v>
                </c:pt>
                <c:pt idx="14">
                  <c:v>2511</c:v>
                </c:pt>
                <c:pt idx="15">
                  <c:v>3769</c:v>
                </c:pt>
                <c:pt idx="16">
                  <c:v>5276.5999999999995</c:v>
                </c:pt>
                <c:pt idx="17">
                  <c:v>7387.2399999999989</c:v>
                </c:pt>
                <c:pt idx="18">
                  <c:v>10342.135999999999</c:v>
                </c:pt>
                <c:pt idx="19">
                  <c:v>14478.990399999997</c:v>
                </c:pt>
                <c:pt idx="20">
                  <c:v>20270.586559999996</c:v>
                </c:pt>
                <c:pt idx="21">
                  <c:v>28378.821183999993</c:v>
                </c:pt>
                <c:pt idx="22">
                  <c:v>39730.349657599989</c:v>
                </c:pt>
                <c:pt idx="23">
                  <c:v>55622.489520639981</c:v>
                </c:pt>
                <c:pt idx="24">
                  <c:v>77871.485328895971</c:v>
                </c:pt>
                <c:pt idx="25">
                  <c:v>109020.07946045435</c:v>
                </c:pt>
                <c:pt idx="26">
                  <c:v>152628.11124463606</c:v>
                </c:pt>
                <c:pt idx="27">
                  <c:v>213679.35574249047</c:v>
                </c:pt>
                <c:pt idx="28">
                  <c:v>299151.09803948662</c:v>
                </c:pt>
                <c:pt idx="29">
                  <c:v>418811.53725528123</c:v>
                </c:pt>
                <c:pt idx="30">
                  <c:v>586336.15215739363</c:v>
                </c:pt>
                <c:pt idx="31">
                  <c:v>820870.61302035104</c:v>
                </c:pt>
                <c:pt idx="32">
                  <c:v>1149218.8582284914</c:v>
                </c:pt>
                <c:pt idx="33">
                  <c:v>1608906.4015198878</c:v>
                </c:pt>
                <c:pt idx="34">
                  <c:v>2252468.9621278429</c:v>
                </c:pt>
                <c:pt idx="35">
                  <c:v>3153456.5469789798</c:v>
                </c:pt>
                <c:pt idx="36">
                  <c:v>4414839.1657705717</c:v>
                </c:pt>
                <c:pt idx="37">
                  <c:v>6180774.8320787996</c:v>
                </c:pt>
                <c:pt idx="38">
                  <c:v>8653084.7649103198</c:v>
                </c:pt>
                <c:pt idx="39">
                  <c:v>12114318.670874447</c:v>
                </c:pt>
                <c:pt idx="40">
                  <c:v>16960046.139224224</c:v>
                </c:pt>
                <c:pt idx="41">
                  <c:v>23744064.594913911</c:v>
                </c:pt>
                <c:pt idx="42">
                  <c:v>27154404.400000002</c:v>
                </c:pt>
                <c:pt idx="43">
                  <c:v>27154404.400000002</c:v>
                </c:pt>
                <c:pt idx="44">
                  <c:v>27154404.400000002</c:v>
                </c:pt>
                <c:pt idx="45">
                  <c:v>27154404.400000002</c:v>
                </c:pt>
                <c:pt idx="46">
                  <c:v>27154404.400000002</c:v>
                </c:pt>
                <c:pt idx="47">
                  <c:v>27154404.400000002</c:v>
                </c:pt>
                <c:pt idx="48">
                  <c:v>27154404.400000002</c:v>
                </c:pt>
                <c:pt idx="49">
                  <c:v>27154404.400000002</c:v>
                </c:pt>
                <c:pt idx="50">
                  <c:v>27154404.400000002</c:v>
                </c:pt>
                <c:pt idx="51">
                  <c:v>27154404.400000002</c:v>
                </c:pt>
                <c:pt idx="52">
                  <c:v>27154404.400000002</c:v>
                </c:pt>
                <c:pt idx="53">
                  <c:v>27154404.400000002</c:v>
                </c:pt>
                <c:pt idx="54">
                  <c:v>27154404.400000002</c:v>
                </c:pt>
                <c:pt idx="55">
                  <c:v>27154404.400000002</c:v>
                </c:pt>
                <c:pt idx="56">
                  <c:v>27154404.400000002</c:v>
                </c:pt>
                <c:pt idx="57">
                  <c:v>27154404.400000002</c:v>
                </c:pt>
                <c:pt idx="58">
                  <c:v>27154404.400000002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75-4CE9-A73F-2C5A11769A81}"/>
            </c:ext>
          </c:extLst>
        </c:ser>
        <c:ser>
          <c:idx val="1"/>
          <c:order val="3"/>
          <c:tx>
            <c:strRef>
              <c:f>Projections_Data!$F$6</c:f>
              <c:strCache>
                <c:ptCount val="1"/>
                <c:pt idx="0">
                  <c:v>Current Avg (23%)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Projections_Data!$G$6:$KU$6</c:f>
              <c:numCache>
                <c:formatCode>_-* #,##0_-;\-* #,##0_-;_-* "-"??_-;_-@_-</c:formatCode>
                <c:ptCount val="301"/>
                <c:pt idx="0">
                  <c:v>107</c:v>
                </c:pt>
                <c:pt idx="1">
                  <c:v>154</c:v>
                </c:pt>
                <c:pt idx="2">
                  <c:v>187</c:v>
                </c:pt>
                <c:pt idx="3">
                  <c:v>253</c:v>
                </c:pt>
                <c:pt idx="4">
                  <c:v>300</c:v>
                </c:pt>
                <c:pt idx="5">
                  <c:v>359</c:v>
                </c:pt>
                <c:pt idx="6">
                  <c:v>432</c:v>
                </c:pt>
                <c:pt idx="7">
                  <c:v>563</c:v>
                </c:pt>
                <c:pt idx="8">
                  <c:v>775</c:v>
                </c:pt>
                <c:pt idx="9">
                  <c:v>1104</c:v>
                </c:pt>
                <c:pt idx="10">
                  <c:v>1315</c:v>
                </c:pt>
                <c:pt idx="11">
                  <c:v>1474</c:v>
                </c:pt>
                <c:pt idx="12">
                  <c:v>1851</c:v>
                </c:pt>
                <c:pt idx="13">
                  <c:v>2503</c:v>
                </c:pt>
                <c:pt idx="14">
                  <c:v>2511</c:v>
                </c:pt>
                <c:pt idx="15">
                  <c:v>3769</c:v>
                </c:pt>
                <c:pt idx="16">
                  <c:v>4652.4982063768448</c:v>
                </c:pt>
                <c:pt idx="17">
                  <c:v>5743.0988485910739</c:v>
                </c:pt>
                <c:pt idx="18">
                  <c:v>7089.349188674687</c:v>
                </c:pt>
                <c:pt idx="19">
                  <c:v>8751.1765414402016</c:v>
                </c:pt>
                <c:pt idx="20">
                  <c:v>10802.555893536126</c:v>
                </c:pt>
                <c:pt idx="21">
                  <c:v>13334.802843980482</c:v>
                </c:pt>
                <c:pt idx="22">
                  <c:v>16460.638448927577</c:v>
                </c:pt>
                <c:pt idx="23">
                  <c:v>20319.206914155817</c:v>
                </c:pt>
                <c:pt idx="24">
                  <c:v>25082.269494059412</c:v>
                </c:pt>
                <c:pt idx="25">
                  <c:v>30961.850313868948</c:v>
                </c:pt>
                <c:pt idx="26">
                  <c:v>38219.674463089315</c:v>
                </c:pt>
                <c:pt idx="27">
                  <c:v>47178.81848973997</c:v>
                </c:pt>
                <c:pt idx="28">
                  <c:v>58238.091908329508</c:v>
                </c:pt>
                <c:pt idx="29">
                  <c:v>71889.789903505676</c:v>
                </c:pt>
                <c:pt idx="30">
                  <c:v>88741.607477545331</c:v>
                </c:pt>
                <c:pt idx="31">
                  <c:v>109543.69053337163</c:v>
                </c:pt>
                <c:pt idx="32">
                  <c:v>135222.02805158176</c:v>
                </c:pt>
                <c:pt idx="33">
                  <c:v>166919.67178896882</c:v>
                </c:pt>
                <c:pt idx="34">
                  <c:v>206047.61836221517</c:v>
                </c:pt>
                <c:pt idx="35">
                  <c:v>254347.61869419654</c:v>
                </c:pt>
                <c:pt idx="36">
                  <c:v>313969.71073785383</c:v>
                </c:pt>
                <c:pt idx="37">
                  <c:v>387567.92678814585</c:v>
                </c:pt>
                <c:pt idx="38">
                  <c:v>478418.43572062638</c:v>
                </c:pt>
                <c:pt idx="39">
                  <c:v>590565.37916896527</c:v>
                </c:pt>
                <c:pt idx="40">
                  <c:v>729000.89342846174</c:v>
                </c:pt>
                <c:pt idx="41">
                  <c:v>899887.33062431298</c:v>
                </c:pt>
                <c:pt idx="42">
                  <c:v>1110831.571151728</c:v>
                </c:pt>
                <c:pt idx="43">
                  <c:v>1371223.6381985107</c:v>
                </c:pt>
                <c:pt idx="44">
                  <c:v>1692654.6875192632</c:v>
                </c:pt>
                <c:pt idx="45">
                  <c:v>2089432.9789595995</c:v>
                </c:pt>
                <c:pt idx="46">
                  <c:v>2579220.7978121955</c:v>
                </c:pt>
                <c:pt idx="47">
                  <c:v>3183820.6780767031</c:v>
                </c:pt>
                <c:pt idx="48">
                  <c:v>3930145.9257567977</c:v>
                </c:pt>
                <c:pt idx="49">
                  <c:v>4851418.6443042625</c:v>
                </c:pt>
                <c:pt idx="50">
                  <c:v>5988648.5914058806</c:v>
                </c:pt>
                <c:pt idx="51">
                  <c:v>7392458.6973035494</c:v>
                </c:pt>
                <c:pt idx="52">
                  <c:v>9125338.5062137619</c:v>
                </c:pt>
                <c:pt idx="53">
                  <c:v>11264425.851085456</c:v>
                </c:pt>
                <c:pt idx="54">
                  <c:v>13904940.585842412</c:v>
                </c:pt>
                <c:pt idx="55">
                  <c:v>17164423.225101728</c:v>
                </c:pt>
                <c:pt idx="56">
                  <c:v>21187967.17120691</c:v>
                </c:pt>
                <c:pt idx="57">
                  <c:v>26154677.43720128</c:v>
                </c:pt>
                <c:pt idx="58">
                  <c:v>27154404.400000002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75-4CE9-A73F-2C5A11769A81}"/>
            </c:ext>
          </c:extLst>
        </c:ser>
        <c:ser>
          <c:idx val="7"/>
          <c:order val="5"/>
          <c:tx>
            <c:strRef>
              <c:f>Projections_Data!$F$27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175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1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E-4857-A39F-FEB1B1D8DA2B}"/>
            </c:ext>
          </c:extLst>
        </c:ser>
        <c:ser>
          <c:idx val="6"/>
          <c:order val="6"/>
          <c:tx>
            <c:strRef>
              <c:f>Projections_Data!$F$26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175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Projections_Data!$G$26:$IN$26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1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E-4857-A39F-FEB1B1D8DA2B}"/>
            </c:ext>
          </c:extLst>
        </c:ser>
        <c:ser>
          <c:idx val="0"/>
          <c:order val="7"/>
          <c:tx>
            <c:strRef>
              <c:f>Projections_Data!$F$5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1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8D-4F96-B115-63E8B4896D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Projections_Data!$G$5:$IN$5</c:f>
              <c:numCache>
                <c:formatCode>_-* #,##0_-;\-* #,##0_-;_-* "-"??_-;_-@_-</c:formatCode>
                <c:ptCount val="242"/>
                <c:pt idx="0">
                  <c:v>107</c:v>
                </c:pt>
                <c:pt idx="1">
                  <c:v>154</c:v>
                </c:pt>
                <c:pt idx="2">
                  <c:v>187</c:v>
                </c:pt>
                <c:pt idx="3">
                  <c:v>253</c:v>
                </c:pt>
                <c:pt idx="4">
                  <c:v>300</c:v>
                </c:pt>
                <c:pt idx="5">
                  <c:v>359</c:v>
                </c:pt>
                <c:pt idx="6">
                  <c:v>432</c:v>
                </c:pt>
                <c:pt idx="7">
                  <c:v>563</c:v>
                </c:pt>
                <c:pt idx="8">
                  <c:v>775</c:v>
                </c:pt>
                <c:pt idx="9">
                  <c:v>1104</c:v>
                </c:pt>
                <c:pt idx="10">
                  <c:v>1315</c:v>
                </c:pt>
                <c:pt idx="11">
                  <c:v>1474</c:v>
                </c:pt>
                <c:pt idx="12">
                  <c:v>1851</c:v>
                </c:pt>
                <c:pt idx="13">
                  <c:v>2503</c:v>
                </c:pt>
                <c:pt idx="14">
                  <c:v>2511</c:v>
                </c:pt>
                <c:pt idx="15">
                  <c:v>3769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CB-44D1-B4C6-278668D08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600224"/>
        <c:axId val="1363512368"/>
      </c:lineChart>
      <c:lineChart>
        <c:grouping val="standard"/>
        <c:varyColors val="0"/>
        <c:ser>
          <c:idx val="3"/>
          <c:order val="4"/>
          <c:tx>
            <c:strRef>
              <c:f>Projections_Data!$F$25</c:f>
              <c:strCache>
                <c:ptCount val="1"/>
                <c:pt idx="0">
                  <c:v>Rate of increase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dLbls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rgbClr val="00B0F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2F38-4D9F-BABB-17385EC32BBA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B0F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38-4D9F-BABB-17385EC32B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Projections_Data!$G$25:$IN$25</c:f>
              <c:numCache>
                <c:formatCode>0.00%</c:formatCode>
                <c:ptCount val="242"/>
                <c:pt idx="0">
                  <c:v>0.43925233644859807</c:v>
                </c:pt>
                <c:pt idx="1">
                  <c:v>0.43925233644859807</c:v>
                </c:pt>
                <c:pt idx="2">
                  <c:v>0.32199226601439279</c:v>
                </c:pt>
                <c:pt idx="3">
                  <c:v>0.3322290961318255</c:v>
                </c:pt>
                <c:pt idx="4">
                  <c:v>0.29400027687703489</c:v>
                </c:pt>
                <c:pt idx="5">
                  <c:v>0.2739199362727387</c:v>
                </c:pt>
                <c:pt idx="6">
                  <c:v>0.22911524453248044</c:v>
                </c:pt>
                <c:pt idx="7">
                  <c:v>0.24661789739564544</c:v>
                </c:pt>
                <c:pt idx="8">
                  <c:v>0.25093929874985577</c:v>
                </c:pt>
                <c:pt idx="9">
                  <c:v>0.29768583396252413</c:v>
                </c:pt>
                <c:pt idx="10">
                  <c:v>0.29648131138297362</c:v>
                </c:pt>
                <c:pt idx="11">
                  <c:v>0.278211578840591</c:v>
                </c:pt>
                <c:pt idx="12">
                  <c:v>0.26876036963610472</c:v>
                </c:pt>
                <c:pt idx="13">
                  <c:v>0.26424670212945167</c:v>
                </c:pt>
                <c:pt idx="14">
                  <c:v>0.1786246719420399</c:v>
                </c:pt>
                <c:pt idx="15">
                  <c:v>0.23441183506947327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0E-4857-A39F-FEB1B1D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252687"/>
        <c:axId val="313398847"/>
      </c:lineChart>
      <c:dateAx>
        <c:axId val="1216600224"/>
        <c:scaling>
          <c:orientation val="minMax"/>
          <c:max val="43916"/>
          <c:min val="438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363512368"/>
        <c:crosses val="autoZero"/>
        <c:auto val="0"/>
        <c:lblOffset val="100"/>
        <c:baseTimeUnit val="days"/>
      </c:dateAx>
      <c:valAx>
        <c:axId val="1363512368"/>
        <c:scaling>
          <c:orientation val="minMax"/>
          <c:max val="1130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Number of cases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216600224"/>
        <c:crosses val="autoZero"/>
        <c:crossBetween val="midCat"/>
      </c:valAx>
      <c:valAx>
        <c:axId val="31339884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Rate of increase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0252687"/>
        <c:crosses val="max"/>
        <c:crossBetween val="between"/>
      </c:valAx>
      <c:dateAx>
        <c:axId val="25025268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13398847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ayout>
        <c:manualLayout>
          <c:xMode val="edge"/>
          <c:yMode val="edge"/>
          <c:x val="3.8733884320672735E-2"/>
          <c:y val="0.87336570406812253"/>
          <c:w val="0.96067409749301691"/>
          <c:h val="0.126634235469776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15975842354885"/>
          <c:y val="3.4617722360402912E-2"/>
          <c:w val="0.8552333486015079"/>
          <c:h val="0.78537918982808697"/>
        </c:manualLayout>
      </c:layout>
      <c:lineChart>
        <c:grouping val="standard"/>
        <c:varyColors val="0"/>
        <c:ser>
          <c:idx val="0"/>
          <c:order val="0"/>
          <c:tx>
            <c:strRef>
              <c:f>Projections_Data!$F$17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E3-4F5B-91A2-6F28082897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Projections_Data!$G$17:$IN$17</c:f>
              <c:numCache>
                <c:formatCode>_-* #,##0_-;\-* #,##0_-;_-* "-"??_-;_-@_-</c:formatCode>
                <c:ptCount val="242"/>
                <c:pt idx="0">
                  <c:v>4480.4767259999999</c:v>
                </c:pt>
                <c:pt idx="1">
                  <c:v>4480.4767259999999</c:v>
                </c:pt>
                <c:pt idx="2">
                  <c:v>4480.4767259999999</c:v>
                </c:pt>
                <c:pt idx="3">
                  <c:v>4480.4767259999999</c:v>
                </c:pt>
                <c:pt idx="4">
                  <c:v>4480.4767259999999</c:v>
                </c:pt>
                <c:pt idx="5">
                  <c:v>4480.4767259999999</c:v>
                </c:pt>
                <c:pt idx="6">
                  <c:v>4480.4767259999999</c:v>
                </c:pt>
                <c:pt idx="7">
                  <c:v>4480.4767259999999</c:v>
                </c:pt>
                <c:pt idx="8">
                  <c:v>4480.4767259999999</c:v>
                </c:pt>
                <c:pt idx="9">
                  <c:v>4480.4767259999999</c:v>
                </c:pt>
                <c:pt idx="10">
                  <c:v>4480.4767259999999</c:v>
                </c:pt>
                <c:pt idx="11">
                  <c:v>4480.4767259999999</c:v>
                </c:pt>
                <c:pt idx="12">
                  <c:v>4480.4767259999999</c:v>
                </c:pt>
                <c:pt idx="13">
                  <c:v>4480.4767259999999</c:v>
                </c:pt>
                <c:pt idx="14">
                  <c:v>4480.4767259999999</c:v>
                </c:pt>
                <c:pt idx="15">
                  <c:v>4480.4767259999999</c:v>
                </c:pt>
                <c:pt idx="16">
                  <c:v>4480.4767259999999</c:v>
                </c:pt>
                <c:pt idx="17">
                  <c:v>4480.4767259999999</c:v>
                </c:pt>
                <c:pt idx="18">
                  <c:v>4480.4767259999999</c:v>
                </c:pt>
                <c:pt idx="19">
                  <c:v>4480.4767259999999</c:v>
                </c:pt>
                <c:pt idx="20">
                  <c:v>4480.4767259999999</c:v>
                </c:pt>
                <c:pt idx="21">
                  <c:v>4480.4767259999999</c:v>
                </c:pt>
                <c:pt idx="22">
                  <c:v>4480.4767259999999</c:v>
                </c:pt>
                <c:pt idx="23">
                  <c:v>4480.4767259999999</c:v>
                </c:pt>
                <c:pt idx="24">
                  <c:v>4480.4767259999999</c:v>
                </c:pt>
                <c:pt idx="25">
                  <c:v>4480.4767259999999</c:v>
                </c:pt>
                <c:pt idx="26">
                  <c:v>4480.4767259999999</c:v>
                </c:pt>
                <c:pt idx="27">
                  <c:v>4480.4767259999999</c:v>
                </c:pt>
                <c:pt idx="28">
                  <c:v>4480.4767259999999</c:v>
                </c:pt>
                <c:pt idx="29">
                  <c:v>4480.4767259999999</c:v>
                </c:pt>
                <c:pt idx="30">
                  <c:v>4480.4767259999999</c:v>
                </c:pt>
                <c:pt idx="31">
                  <c:v>4480.4767259999999</c:v>
                </c:pt>
                <c:pt idx="32">
                  <c:v>4480.4767259999999</c:v>
                </c:pt>
                <c:pt idx="33">
                  <c:v>4480.4767259999999</c:v>
                </c:pt>
                <c:pt idx="34">
                  <c:v>4480.4767259999999</c:v>
                </c:pt>
                <c:pt idx="35">
                  <c:v>4480.4767259999999</c:v>
                </c:pt>
                <c:pt idx="36">
                  <c:v>4480.4767259999999</c:v>
                </c:pt>
                <c:pt idx="37">
                  <c:v>4480.4767259999999</c:v>
                </c:pt>
                <c:pt idx="38">
                  <c:v>4480.4767259999999</c:v>
                </c:pt>
                <c:pt idx="39">
                  <c:v>4480.4767259999999</c:v>
                </c:pt>
                <c:pt idx="40">
                  <c:v>4480.4767259999999</c:v>
                </c:pt>
                <c:pt idx="41">
                  <c:v>4480.4767259999999</c:v>
                </c:pt>
                <c:pt idx="42">
                  <c:v>4480.4767259999999</c:v>
                </c:pt>
                <c:pt idx="43">
                  <c:v>4480.4767259999999</c:v>
                </c:pt>
                <c:pt idx="44">
                  <c:v>4480.4767259999999</c:v>
                </c:pt>
                <c:pt idx="45">
                  <c:v>4480.4767259999999</c:v>
                </c:pt>
                <c:pt idx="46">
                  <c:v>4480.4767259999999</c:v>
                </c:pt>
                <c:pt idx="47">
                  <c:v>4480.4767259999999</c:v>
                </c:pt>
                <c:pt idx="48">
                  <c:v>4480.4767259999999</c:v>
                </c:pt>
                <c:pt idx="49">
                  <c:v>4480.4767259999999</c:v>
                </c:pt>
                <c:pt idx="50">
                  <c:v>4480.4767259999999</c:v>
                </c:pt>
                <c:pt idx="51">
                  <c:v>4480.4767259999999</c:v>
                </c:pt>
                <c:pt idx="52">
                  <c:v>4480.4767259999999</c:v>
                </c:pt>
                <c:pt idx="53">
                  <c:v>4480.4767259999999</c:v>
                </c:pt>
                <c:pt idx="54">
                  <c:v>4480.4767259999999</c:v>
                </c:pt>
                <c:pt idx="55">
                  <c:v>4480.4767259999999</c:v>
                </c:pt>
                <c:pt idx="56">
                  <c:v>4480.4767259999999</c:v>
                </c:pt>
                <c:pt idx="57">
                  <c:v>4480.4767259999999</c:v>
                </c:pt>
                <c:pt idx="58">
                  <c:v>4480.4767259999999</c:v>
                </c:pt>
                <c:pt idx="59">
                  <c:v>4480.4767259999999</c:v>
                </c:pt>
                <c:pt idx="60">
                  <c:v>4480.4767259999999</c:v>
                </c:pt>
                <c:pt idx="61">
                  <c:v>4480.4767259999999</c:v>
                </c:pt>
                <c:pt idx="62">
                  <c:v>4480.4767259999999</c:v>
                </c:pt>
                <c:pt idx="63">
                  <c:v>4480.4767259999999</c:v>
                </c:pt>
                <c:pt idx="64">
                  <c:v>4480.4767259999999</c:v>
                </c:pt>
                <c:pt idx="65">
                  <c:v>4480.4767259999999</c:v>
                </c:pt>
                <c:pt idx="66">
                  <c:v>4480.4767259999999</c:v>
                </c:pt>
                <c:pt idx="67">
                  <c:v>4480.4767259999999</c:v>
                </c:pt>
                <c:pt idx="68">
                  <c:v>4480.4767259999999</c:v>
                </c:pt>
                <c:pt idx="69">
                  <c:v>4480.4767259999999</c:v>
                </c:pt>
                <c:pt idx="70">
                  <c:v>4480.4767259999999</c:v>
                </c:pt>
                <c:pt idx="71">
                  <c:v>4480.4767259999999</c:v>
                </c:pt>
                <c:pt idx="72">
                  <c:v>4480.4767259999999</c:v>
                </c:pt>
                <c:pt idx="73">
                  <c:v>4480.4767259999999</c:v>
                </c:pt>
                <c:pt idx="74">
                  <c:v>4480.4767259999999</c:v>
                </c:pt>
                <c:pt idx="75">
                  <c:v>4480.4767259999999</c:v>
                </c:pt>
                <c:pt idx="76">
                  <c:v>4480.4767259999999</c:v>
                </c:pt>
                <c:pt idx="77">
                  <c:v>4480.4767259999999</c:v>
                </c:pt>
                <c:pt idx="78">
                  <c:v>4480.4767259999999</c:v>
                </c:pt>
                <c:pt idx="79">
                  <c:v>4480.4767259999999</c:v>
                </c:pt>
                <c:pt idx="80">
                  <c:v>4480.4767259999999</c:v>
                </c:pt>
                <c:pt idx="81">
                  <c:v>4480.4767259999999</c:v>
                </c:pt>
                <c:pt idx="82">
                  <c:v>4480.4767259999999</c:v>
                </c:pt>
                <c:pt idx="83">
                  <c:v>4480.4767259999999</c:v>
                </c:pt>
                <c:pt idx="84">
                  <c:v>4480.4767259999999</c:v>
                </c:pt>
                <c:pt idx="85">
                  <c:v>4480.4767259999999</c:v>
                </c:pt>
                <c:pt idx="86">
                  <c:v>4480.4767259999999</c:v>
                </c:pt>
                <c:pt idx="87">
                  <c:v>4480.4767259999999</c:v>
                </c:pt>
                <c:pt idx="88">
                  <c:v>4480.4767259999999</c:v>
                </c:pt>
                <c:pt idx="89">
                  <c:v>4480.4767259999999</c:v>
                </c:pt>
                <c:pt idx="90">
                  <c:v>4480.4767259999999</c:v>
                </c:pt>
                <c:pt idx="91">
                  <c:v>4480.4767259999999</c:v>
                </c:pt>
                <c:pt idx="92">
                  <c:v>4480.4767259999999</c:v>
                </c:pt>
                <c:pt idx="93">
                  <c:v>4480.4767259999999</c:v>
                </c:pt>
                <c:pt idx="94">
                  <c:v>4480.4767259999999</c:v>
                </c:pt>
                <c:pt idx="95">
                  <c:v>4480.4767259999999</c:v>
                </c:pt>
                <c:pt idx="96">
                  <c:v>4480.4767259999999</c:v>
                </c:pt>
                <c:pt idx="97">
                  <c:v>4480.4767259999999</c:v>
                </c:pt>
                <c:pt idx="98">
                  <c:v>4480.4767259999999</c:v>
                </c:pt>
                <c:pt idx="99">
                  <c:v>4480.4767259999999</c:v>
                </c:pt>
                <c:pt idx="100">
                  <c:v>4480.4767259999999</c:v>
                </c:pt>
                <c:pt idx="101">
                  <c:v>4480.4767259999999</c:v>
                </c:pt>
                <c:pt idx="102">
                  <c:v>4480.4767259999999</c:v>
                </c:pt>
                <c:pt idx="103">
                  <c:v>4480.4767259999999</c:v>
                </c:pt>
                <c:pt idx="104">
                  <c:v>4480.4767259999999</c:v>
                </c:pt>
                <c:pt idx="105">
                  <c:v>4480.4767259999999</c:v>
                </c:pt>
                <c:pt idx="106">
                  <c:v>4480.4767259999999</c:v>
                </c:pt>
                <c:pt idx="107">
                  <c:v>4480.4767259999999</c:v>
                </c:pt>
                <c:pt idx="108">
                  <c:v>4480.4767259999999</c:v>
                </c:pt>
                <c:pt idx="109">
                  <c:v>4480.4767259999999</c:v>
                </c:pt>
                <c:pt idx="110">
                  <c:v>4480.4767259999999</c:v>
                </c:pt>
                <c:pt idx="111">
                  <c:v>4480.4767259999999</c:v>
                </c:pt>
                <c:pt idx="112">
                  <c:v>4480.4767259999999</c:v>
                </c:pt>
                <c:pt idx="113">
                  <c:v>4480.4767259999999</c:v>
                </c:pt>
                <c:pt idx="114">
                  <c:v>4480.4767259999999</c:v>
                </c:pt>
                <c:pt idx="115">
                  <c:v>4480.4767259999999</c:v>
                </c:pt>
                <c:pt idx="116">
                  <c:v>4480.4767259999999</c:v>
                </c:pt>
                <c:pt idx="117">
                  <c:v>4480.4767259999999</c:v>
                </c:pt>
                <c:pt idx="118">
                  <c:v>4480.4767259999999</c:v>
                </c:pt>
                <c:pt idx="119">
                  <c:v>4480.4767259999999</c:v>
                </c:pt>
                <c:pt idx="120">
                  <c:v>4480.4767259999999</c:v>
                </c:pt>
                <c:pt idx="121">
                  <c:v>4480.4767259999999</c:v>
                </c:pt>
                <c:pt idx="122">
                  <c:v>4480.4767259999999</c:v>
                </c:pt>
                <c:pt idx="123">
                  <c:v>4480.4767259999999</c:v>
                </c:pt>
                <c:pt idx="124">
                  <c:v>4480.4767259999999</c:v>
                </c:pt>
                <c:pt idx="125">
                  <c:v>4480.4767259999999</c:v>
                </c:pt>
                <c:pt idx="126">
                  <c:v>4480.4767259999999</c:v>
                </c:pt>
                <c:pt idx="127">
                  <c:v>4480.4767259999999</c:v>
                </c:pt>
                <c:pt idx="128">
                  <c:v>4480.4767259999999</c:v>
                </c:pt>
                <c:pt idx="129">
                  <c:v>4480.4767259999999</c:v>
                </c:pt>
                <c:pt idx="130">
                  <c:v>4480.4767259999999</c:v>
                </c:pt>
                <c:pt idx="131">
                  <c:v>4480.4767259999999</c:v>
                </c:pt>
                <c:pt idx="132">
                  <c:v>4480.4767259999999</c:v>
                </c:pt>
                <c:pt idx="133">
                  <c:v>4480.4767259999999</c:v>
                </c:pt>
                <c:pt idx="134">
                  <c:v>4480.4767259999999</c:v>
                </c:pt>
                <c:pt idx="135">
                  <c:v>4480.4767259999999</c:v>
                </c:pt>
                <c:pt idx="136">
                  <c:v>4480.4767259999999</c:v>
                </c:pt>
                <c:pt idx="137">
                  <c:v>4480.4767259999999</c:v>
                </c:pt>
                <c:pt idx="138">
                  <c:v>4480.4767259999999</c:v>
                </c:pt>
                <c:pt idx="139">
                  <c:v>4480.4767259999999</c:v>
                </c:pt>
                <c:pt idx="140">
                  <c:v>4480.4767259999999</c:v>
                </c:pt>
                <c:pt idx="141">
                  <c:v>4480.4767259999999</c:v>
                </c:pt>
                <c:pt idx="142">
                  <c:v>4480.4767259999999</c:v>
                </c:pt>
                <c:pt idx="143">
                  <c:v>4480.4767259999999</c:v>
                </c:pt>
                <c:pt idx="144">
                  <c:v>4480.4767259999999</c:v>
                </c:pt>
                <c:pt idx="145">
                  <c:v>4480.4767259999999</c:v>
                </c:pt>
                <c:pt idx="146">
                  <c:v>4480.4767259999999</c:v>
                </c:pt>
                <c:pt idx="147">
                  <c:v>4480.4767259999999</c:v>
                </c:pt>
                <c:pt idx="148">
                  <c:v>4480.4767259999999</c:v>
                </c:pt>
                <c:pt idx="149">
                  <c:v>4480.4767259999999</c:v>
                </c:pt>
                <c:pt idx="150">
                  <c:v>4480.4767259999999</c:v>
                </c:pt>
                <c:pt idx="151">
                  <c:v>4480.4767259999999</c:v>
                </c:pt>
                <c:pt idx="152">
                  <c:v>4480.4767259999999</c:v>
                </c:pt>
                <c:pt idx="153">
                  <c:v>4480.4767259999999</c:v>
                </c:pt>
                <c:pt idx="154">
                  <c:v>4480.4767259999999</c:v>
                </c:pt>
                <c:pt idx="155">
                  <c:v>4480.4767259999999</c:v>
                </c:pt>
                <c:pt idx="156">
                  <c:v>4480.4767259999999</c:v>
                </c:pt>
                <c:pt idx="157">
                  <c:v>4480.4767259999999</c:v>
                </c:pt>
                <c:pt idx="158">
                  <c:v>4480.4767259999999</c:v>
                </c:pt>
                <c:pt idx="159">
                  <c:v>4480.4767259999999</c:v>
                </c:pt>
                <c:pt idx="160">
                  <c:v>4480.4767259999999</c:v>
                </c:pt>
                <c:pt idx="161">
                  <c:v>4480.4767259999999</c:v>
                </c:pt>
                <c:pt idx="162">
                  <c:v>4480.4767259999999</c:v>
                </c:pt>
                <c:pt idx="163">
                  <c:v>4480.4767259999999</c:v>
                </c:pt>
                <c:pt idx="164">
                  <c:v>4480.4767259999999</c:v>
                </c:pt>
                <c:pt idx="165">
                  <c:v>4480.4767259999999</c:v>
                </c:pt>
                <c:pt idx="166">
                  <c:v>4480.4767259999999</c:v>
                </c:pt>
                <c:pt idx="167">
                  <c:v>4480.4767259999999</c:v>
                </c:pt>
                <c:pt idx="168">
                  <c:v>4480.4767259999999</c:v>
                </c:pt>
                <c:pt idx="169">
                  <c:v>4480.4767259999999</c:v>
                </c:pt>
                <c:pt idx="170">
                  <c:v>4480.4767259999999</c:v>
                </c:pt>
                <c:pt idx="171">
                  <c:v>4480.4767259999999</c:v>
                </c:pt>
                <c:pt idx="172">
                  <c:v>4480.4767259999999</c:v>
                </c:pt>
                <c:pt idx="173">
                  <c:v>4480.4767259999999</c:v>
                </c:pt>
                <c:pt idx="174">
                  <c:v>4480.4767259999999</c:v>
                </c:pt>
                <c:pt idx="175">
                  <c:v>4480.4767259999999</c:v>
                </c:pt>
                <c:pt idx="176">
                  <c:v>4480.4767259999999</c:v>
                </c:pt>
                <c:pt idx="177">
                  <c:v>4480.4767259999999</c:v>
                </c:pt>
                <c:pt idx="178">
                  <c:v>4480.4767259999999</c:v>
                </c:pt>
                <c:pt idx="179">
                  <c:v>4480.4767259999999</c:v>
                </c:pt>
                <c:pt idx="180">
                  <c:v>4480.4767259999999</c:v>
                </c:pt>
                <c:pt idx="181">
                  <c:v>4480.4767259999999</c:v>
                </c:pt>
                <c:pt idx="182">
                  <c:v>4480.4767259999999</c:v>
                </c:pt>
                <c:pt idx="183">
                  <c:v>4480.4767259999999</c:v>
                </c:pt>
                <c:pt idx="184">
                  <c:v>4480.4767259999999</c:v>
                </c:pt>
                <c:pt idx="185">
                  <c:v>4480.4767259999999</c:v>
                </c:pt>
                <c:pt idx="186">
                  <c:v>4480.4767259999999</c:v>
                </c:pt>
                <c:pt idx="187">
                  <c:v>4480.4767259999999</c:v>
                </c:pt>
                <c:pt idx="188">
                  <c:v>4480.4767259999999</c:v>
                </c:pt>
                <c:pt idx="189">
                  <c:v>4480.4767259999999</c:v>
                </c:pt>
                <c:pt idx="190">
                  <c:v>4480.4767259999999</c:v>
                </c:pt>
                <c:pt idx="191">
                  <c:v>4480.4767259999999</c:v>
                </c:pt>
                <c:pt idx="192">
                  <c:v>4480.4767259999999</c:v>
                </c:pt>
                <c:pt idx="193">
                  <c:v>4480.4767259999999</c:v>
                </c:pt>
                <c:pt idx="194">
                  <c:v>4480.4767259999999</c:v>
                </c:pt>
                <c:pt idx="195">
                  <c:v>4480.4767259999999</c:v>
                </c:pt>
                <c:pt idx="196">
                  <c:v>4480.4767259999999</c:v>
                </c:pt>
                <c:pt idx="197">
                  <c:v>4480.4767259999999</c:v>
                </c:pt>
                <c:pt idx="198">
                  <c:v>4480.4767259999999</c:v>
                </c:pt>
                <c:pt idx="199">
                  <c:v>4480.4767259999999</c:v>
                </c:pt>
                <c:pt idx="200">
                  <c:v>4480.4767259999999</c:v>
                </c:pt>
                <c:pt idx="201">
                  <c:v>4480.4767259999999</c:v>
                </c:pt>
                <c:pt idx="202">
                  <c:v>4480.4767259999999</c:v>
                </c:pt>
                <c:pt idx="203">
                  <c:v>4480.4767259999999</c:v>
                </c:pt>
                <c:pt idx="204">
                  <c:v>4480.4767259999999</c:v>
                </c:pt>
                <c:pt idx="205">
                  <c:v>4480.4767259999999</c:v>
                </c:pt>
                <c:pt idx="206">
                  <c:v>4480.4767259999999</c:v>
                </c:pt>
                <c:pt idx="207">
                  <c:v>4480.4767259999999</c:v>
                </c:pt>
                <c:pt idx="208">
                  <c:v>4480.4767259999999</c:v>
                </c:pt>
                <c:pt idx="209">
                  <c:v>4480.4767259999999</c:v>
                </c:pt>
                <c:pt idx="210">
                  <c:v>4480.4767259999999</c:v>
                </c:pt>
                <c:pt idx="211">
                  <c:v>4480.4767259999999</c:v>
                </c:pt>
                <c:pt idx="212">
                  <c:v>4480.4767259999999</c:v>
                </c:pt>
                <c:pt idx="213">
                  <c:v>4480.4767259999999</c:v>
                </c:pt>
                <c:pt idx="214">
                  <c:v>4480.4767259999999</c:v>
                </c:pt>
                <c:pt idx="215">
                  <c:v>4480.4767259999999</c:v>
                </c:pt>
                <c:pt idx="216">
                  <c:v>4480.4767259999999</c:v>
                </c:pt>
                <c:pt idx="217">
                  <c:v>4480.4767259999999</c:v>
                </c:pt>
                <c:pt idx="218">
                  <c:v>4480.4767259999999</c:v>
                </c:pt>
                <c:pt idx="219">
                  <c:v>4480.4767259999999</c:v>
                </c:pt>
                <c:pt idx="220">
                  <c:v>4480.4767259999999</c:v>
                </c:pt>
                <c:pt idx="221">
                  <c:v>4480.4767259999999</c:v>
                </c:pt>
                <c:pt idx="222">
                  <c:v>4480.4767259999999</c:v>
                </c:pt>
                <c:pt idx="223">
                  <c:v>4480.4767259999999</c:v>
                </c:pt>
                <c:pt idx="224">
                  <c:v>4480.4767259999999</c:v>
                </c:pt>
                <c:pt idx="225">
                  <c:v>4480.4767259999999</c:v>
                </c:pt>
                <c:pt idx="226">
                  <c:v>4480.4767259999999</c:v>
                </c:pt>
                <c:pt idx="227">
                  <c:v>4480.4767259999999</c:v>
                </c:pt>
                <c:pt idx="228">
                  <c:v>4480.4767259999999</c:v>
                </c:pt>
                <c:pt idx="229">
                  <c:v>4480.4767259999999</c:v>
                </c:pt>
                <c:pt idx="230">
                  <c:v>4480.4767259999999</c:v>
                </c:pt>
                <c:pt idx="231">
                  <c:v>4480.4767259999999</c:v>
                </c:pt>
                <c:pt idx="232">
                  <c:v>4480.4767259999999</c:v>
                </c:pt>
                <c:pt idx="233">
                  <c:v>4480.4767259999999</c:v>
                </c:pt>
                <c:pt idx="234">
                  <c:v>4480.4767259999999</c:v>
                </c:pt>
                <c:pt idx="235">
                  <c:v>4480.4767259999999</c:v>
                </c:pt>
                <c:pt idx="236">
                  <c:v>4480.4767259999999</c:v>
                </c:pt>
                <c:pt idx="237">
                  <c:v>4480.4767259999999</c:v>
                </c:pt>
                <c:pt idx="238">
                  <c:v>4480.4767259999999</c:v>
                </c:pt>
                <c:pt idx="239">
                  <c:v>4480.4767259999999</c:v>
                </c:pt>
                <c:pt idx="240">
                  <c:v>4480.4767259999999</c:v>
                </c:pt>
                <c:pt idx="241">
                  <c:v>4480.4767259999999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A7-483E-90D3-DC3447DC1CEE}"/>
            </c:ext>
          </c:extLst>
        </c:ser>
        <c:ser>
          <c:idx val="2"/>
          <c:order val="1"/>
          <c:tx>
            <c:strRef>
              <c:f>Projections_Data!$F$19</c:f>
              <c:strCache>
                <c:ptCount val="1"/>
                <c:pt idx="0">
                  <c:v>10% increase</c:v>
                </c:pt>
              </c:strCache>
            </c:strRef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11.862232187344294</c:v>
                </c:pt>
                <c:pt idx="1">
                  <c:v>17.07274539113104</c:v>
                </c:pt>
                <c:pt idx="2">
                  <c:v>20.731190832087691</c:v>
                </c:pt>
                <c:pt idx="3">
                  <c:v>28.048081714000997</c:v>
                </c:pt>
                <c:pt idx="4">
                  <c:v>33.25859491778774</c:v>
                </c:pt>
                <c:pt idx="5">
                  <c:v>39.799451918285996</c:v>
                </c:pt>
                <c:pt idx="6">
                  <c:v>47.892376681614344</c:v>
                </c:pt>
                <c:pt idx="7">
                  <c:v>62.415296462381662</c:v>
                </c:pt>
                <c:pt idx="8">
                  <c:v>85.918036870951667</c:v>
                </c:pt>
                <c:pt idx="9">
                  <c:v>122.39162929745889</c:v>
                </c:pt>
                <c:pt idx="10">
                  <c:v>145.7835077229696</c:v>
                </c:pt>
                <c:pt idx="11">
                  <c:v>163.41056302939711</c:v>
                </c:pt>
                <c:pt idx="12">
                  <c:v>205.20553064275038</c:v>
                </c:pt>
                <c:pt idx="13">
                  <c:v>277.48754359740906</c:v>
                </c:pt>
                <c:pt idx="14">
                  <c:v>278.37443946188341</c:v>
                </c:pt>
                <c:pt idx="15">
                  <c:v>417.8388141504733</c:v>
                </c:pt>
                <c:pt idx="16">
                  <c:v>459.6226955655207</c:v>
                </c:pt>
                <c:pt idx="17">
                  <c:v>505.58496512207279</c:v>
                </c:pt>
                <c:pt idx="18">
                  <c:v>556.14346163428013</c:v>
                </c:pt>
                <c:pt idx="19">
                  <c:v>611.75780779770821</c:v>
                </c:pt>
                <c:pt idx="20">
                  <c:v>672.93358857747899</c:v>
                </c:pt>
                <c:pt idx="21">
                  <c:v>740.22694743522698</c:v>
                </c:pt>
                <c:pt idx="22">
                  <c:v>814.24964217874981</c:v>
                </c:pt>
                <c:pt idx="23">
                  <c:v>895.67460639662488</c:v>
                </c:pt>
                <c:pt idx="24">
                  <c:v>985.24206703628749</c:v>
                </c:pt>
                <c:pt idx="25">
                  <c:v>1083.7662737399162</c:v>
                </c:pt>
                <c:pt idx="26">
                  <c:v>1192.142901113908</c:v>
                </c:pt>
                <c:pt idx="27">
                  <c:v>1311.3571912252989</c:v>
                </c:pt>
                <c:pt idx="28">
                  <c:v>1442.4929103478289</c:v>
                </c:pt>
                <c:pt idx="29">
                  <c:v>1586.7422013826119</c:v>
                </c:pt>
                <c:pt idx="30">
                  <c:v>1745.4164215208732</c:v>
                </c:pt>
                <c:pt idx="31">
                  <c:v>1919.9580636729606</c:v>
                </c:pt>
                <c:pt idx="32">
                  <c:v>2111.9538700402568</c:v>
                </c:pt>
                <c:pt idx="33">
                  <c:v>2323.1492570442829</c:v>
                </c:pt>
                <c:pt idx="34">
                  <c:v>2555.4641827487112</c:v>
                </c:pt>
                <c:pt idx="35">
                  <c:v>2811.0106010235822</c:v>
                </c:pt>
                <c:pt idx="36">
                  <c:v>3092.1116611259408</c:v>
                </c:pt>
                <c:pt idx="37">
                  <c:v>3401.3228272385354</c:v>
                </c:pt>
                <c:pt idx="38">
                  <c:v>3741.4551099623891</c:v>
                </c:pt>
                <c:pt idx="39">
                  <c:v>4115.6006209586285</c:v>
                </c:pt>
                <c:pt idx="40">
                  <c:v>4527.1606830544915</c:v>
                </c:pt>
                <c:pt idx="41">
                  <c:v>4979.8767513599414</c:v>
                </c:pt>
                <c:pt idx="42">
                  <c:v>5477.8644264959357</c:v>
                </c:pt>
                <c:pt idx="43">
                  <c:v>6025.6508691455301</c:v>
                </c:pt>
                <c:pt idx="44">
                  <c:v>6628.215956060083</c:v>
                </c:pt>
                <c:pt idx="45">
                  <c:v>7291.0375516660924</c:v>
                </c:pt>
                <c:pt idx="46">
                  <c:v>8020.1413068327029</c:v>
                </c:pt>
                <c:pt idx="47">
                  <c:v>8822.155437515974</c:v>
                </c:pt>
                <c:pt idx="48">
                  <c:v>9704.3709812675734</c:v>
                </c:pt>
                <c:pt idx="49">
                  <c:v>10674.80807939433</c:v>
                </c:pt>
                <c:pt idx="50">
                  <c:v>11742.288887333763</c:v>
                </c:pt>
                <c:pt idx="51">
                  <c:v>12916.517776067141</c:v>
                </c:pt>
                <c:pt idx="52">
                  <c:v>14208.169553673857</c:v>
                </c:pt>
                <c:pt idx="53">
                  <c:v>15628.986509041244</c:v>
                </c:pt>
                <c:pt idx="54">
                  <c:v>17191.88515994537</c:v>
                </c:pt>
                <c:pt idx="55">
                  <c:v>18911.073675939908</c:v>
                </c:pt>
                <c:pt idx="56">
                  <c:v>20802.181043533899</c:v>
                </c:pt>
                <c:pt idx="57">
                  <c:v>22882.399147887292</c:v>
                </c:pt>
                <c:pt idx="58">
                  <c:v>25170.639062676026</c:v>
                </c:pt>
                <c:pt idx="59">
                  <c:v>27687.702968943628</c:v>
                </c:pt>
                <c:pt idx="60">
                  <c:v>30456.473265837991</c:v>
                </c:pt>
                <c:pt idx="61">
                  <c:v>33502.120592421794</c:v>
                </c:pt>
                <c:pt idx="62">
                  <c:v>36852.332651663972</c:v>
                </c:pt>
                <c:pt idx="63">
                  <c:v>40537.565916830368</c:v>
                </c:pt>
                <c:pt idx="64">
                  <c:v>44591.322508513411</c:v>
                </c:pt>
                <c:pt idx="65">
                  <c:v>49050.454759364759</c:v>
                </c:pt>
                <c:pt idx="66">
                  <c:v>53955.500235301231</c:v>
                </c:pt>
                <c:pt idx="67">
                  <c:v>59351.050258831368</c:v>
                </c:pt>
                <c:pt idx="68">
                  <c:v>65286.155284714507</c:v>
                </c:pt>
                <c:pt idx="69">
                  <c:v>71814.770813185969</c:v>
                </c:pt>
                <c:pt idx="70">
                  <c:v>78996.247894504559</c:v>
                </c:pt>
                <c:pt idx="71">
                  <c:v>86895.872683955022</c:v>
                </c:pt>
                <c:pt idx="72">
                  <c:v>95585.459952350531</c:v>
                </c:pt>
                <c:pt idx="73">
                  <c:v>105144.00594758558</c:v>
                </c:pt>
                <c:pt idx="74">
                  <c:v>115658.40654234415</c:v>
                </c:pt>
                <c:pt idx="75">
                  <c:v>127224.24719657857</c:v>
                </c:pt>
                <c:pt idx="76">
                  <c:v>139946.67191623643</c:v>
                </c:pt>
                <c:pt idx="77">
                  <c:v>153941.33910786008</c:v>
                </c:pt>
                <c:pt idx="78">
                  <c:v>169335.47301864609</c:v>
                </c:pt>
                <c:pt idx="79">
                  <c:v>186269.02032051072</c:v>
                </c:pt>
                <c:pt idx="80">
                  <c:v>204895.92235256181</c:v>
                </c:pt>
                <c:pt idx="81">
                  <c:v>225385.514587818</c:v>
                </c:pt>
                <c:pt idx="82">
                  <c:v>247924.06604659982</c:v>
                </c:pt>
                <c:pt idx="83">
                  <c:v>272716.47265125986</c:v>
                </c:pt>
                <c:pt idx="84">
                  <c:v>299988.11991638585</c:v>
                </c:pt>
                <c:pt idx="85">
                  <c:v>329986.93190802442</c:v>
                </c:pt>
                <c:pt idx="86">
                  <c:v>362985.62509882695</c:v>
                </c:pt>
                <c:pt idx="87">
                  <c:v>399284.18760870962</c:v>
                </c:pt>
                <c:pt idx="88">
                  <c:v>439212.60636958067</c:v>
                </c:pt>
                <c:pt idx="89">
                  <c:v>483133.86700653879</c:v>
                </c:pt>
                <c:pt idx="90">
                  <c:v>531447.25370719272</c:v>
                </c:pt>
                <c:pt idx="91">
                  <c:v>584591.97907791217</c:v>
                </c:pt>
                <c:pt idx="92">
                  <c:v>643051.17698570341</c:v>
                </c:pt>
                <c:pt idx="93">
                  <c:v>707356.29468427377</c:v>
                </c:pt>
                <c:pt idx="94">
                  <c:v>778091.92415270128</c:v>
                </c:pt>
                <c:pt idx="95">
                  <c:v>855901.11656797142</c:v>
                </c:pt>
                <c:pt idx="96">
                  <c:v>941491.22822476865</c:v>
                </c:pt>
                <c:pt idx="97">
                  <c:v>1035640.3510472456</c:v>
                </c:pt>
                <c:pt idx="98">
                  <c:v>1139204.3861519701</c:v>
                </c:pt>
                <c:pt idx="99">
                  <c:v>1253124.8247671674</c:v>
                </c:pt>
                <c:pt idx="100">
                  <c:v>1378437.3072438843</c:v>
                </c:pt>
                <c:pt idx="101">
                  <c:v>1516281.0379682728</c:v>
                </c:pt>
                <c:pt idx="102">
                  <c:v>1667909.1417651002</c:v>
                </c:pt>
                <c:pt idx="103">
                  <c:v>1834700.0559416104</c:v>
                </c:pt>
                <c:pt idx="104">
                  <c:v>2018170.0615357715</c:v>
                </c:pt>
                <c:pt idx="105">
                  <c:v>2219987.0676893489</c:v>
                </c:pt>
                <c:pt idx="106">
                  <c:v>2441985.774458284</c:v>
                </c:pt>
                <c:pt idx="107">
                  <c:v>2686184.3519041124</c:v>
                </c:pt>
                <c:pt idx="108">
                  <c:v>2954802.7870945241</c:v>
                </c:pt>
                <c:pt idx="109">
                  <c:v>3010391.120577977</c:v>
                </c:pt>
                <c:pt idx="110">
                  <c:v>3010391.120577977</c:v>
                </c:pt>
                <c:pt idx="111">
                  <c:v>3010391.120577977</c:v>
                </c:pt>
                <c:pt idx="112">
                  <c:v>3010391.120577977</c:v>
                </c:pt>
                <c:pt idx="113">
                  <c:v>3010391.120577977</c:v>
                </c:pt>
                <c:pt idx="114">
                  <c:v>3010391.120577977</c:v>
                </c:pt>
                <c:pt idx="115">
                  <c:v>3010391.120577977</c:v>
                </c:pt>
                <c:pt idx="116">
                  <c:v>3010391.120577977</c:v>
                </c:pt>
                <c:pt idx="117">
                  <c:v>3010391.120577977</c:v>
                </c:pt>
                <c:pt idx="118">
                  <c:v>3010391.120577977</c:v>
                </c:pt>
                <c:pt idx="119">
                  <c:v>3010391.120577977</c:v>
                </c:pt>
                <c:pt idx="120">
                  <c:v>3010391.120577977</c:v>
                </c:pt>
                <c:pt idx="121">
                  <c:v>3010391.120577977</c:v>
                </c:pt>
                <c:pt idx="122">
                  <c:v>3010391.120577977</c:v>
                </c:pt>
                <c:pt idx="123">
                  <c:v>3010391.120577977</c:v>
                </c:pt>
                <c:pt idx="124">
                  <c:v>3010391.120577977</c:v>
                </c:pt>
                <c:pt idx="125">
                  <c:v>3010391.120577977</c:v>
                </c:pt>
                <c:pt idx="126">
                  <c:v>3010391.120577977</c:v>
                </c:pt>
                <c:pt idx="127">
                  <c:v>3010391.120577977</c:v>
                </c:pt>
                <c:pt idx="128">
                  <c:v>3010391.120577977</c:v>
                </c:pt>
                <c:pt idx="129">
                  <c:v>3010391.120577977</c:v>
                </c:pt>
                <c:pt idx="130">
                  <c:v>3010391.120577977</c:v>
                </c:pt>
                <c:pt idx="131">
                  <c:v>3010391.120577977</c:v>
                </c:pt>
                <c:pt idx="132">
                  <c:v>3010391.120577977</c:v>
                </c:pt>
                <c:pt idx="133">
                  <c:v>3010391.120577977</c:v>
                </c:pt>
                <c:pt idx="134">
                  <c:v>3010391.120577977</c:v>
                </c:pt>
                <c:pt idx="135">
                  <c:v>3010391.120577977</c:v>
                </c:pt>
                <c:pt idx="136">
                  <c:v>3010391.120577977</c:v>
                </c:pt>
                <c:pt idx="137">
                  <c:v>3010391.120577977</c:v>
                </c:pt>
                <c:pt idx="138">
                  <c:v>3010391.120577977</c:v>
                </c:pt>
                <c:pt idx="139">
                  <c:v>3010391.120577977</c:v>
                </c:pt>
                <c:pt idx="140">
                  <c:v>3010391.120577977</c:v>
                </c:pt>
                <c:pt idx="141">
                  <c:v>3010391.120577977</c:v>
                </c:pt>
                <c:pt idx="142">
                  <c:v>3010391.120577977</c:v>
                </c:pt>
                <c:pt idx="143">
                  <c:v>3010391.120577977</c:v>
                </c:pt>
                <c:pt idx="144">
                  <c:v>3010391.120577977</c:v>
                </c:pt>
                <c:pt idx="145">
                  <c:v>3010391.120577977</c:v>
                </c:pt>
                <c:pt idx="146">
                  <c:v>3010391.120577977</c:v>
                </c:pt>
                <c:pt idx="147">
                  <c:v>3010391.120577977</c:v>
                </c:pt>
                <c:pt idx="148">
                  <c:v>3010391.120577977</c:v>
                </c:pt>
                <c:pt idx="149">
                  <c:v>3010391.120577977</c:v>
                </c:pt>
                <c:pt idx="150">
                  <c:v>3010391.120577977</c:v>
                </c:pt>
                <c:pt idx="151">
                  <c:v>3010391.120577977</c:v>
                </c:pt>
                <c:pt idx="152">
                  <c:v>3010391.120577977</c:v>
                </c:pt>
                <c:pt idx="153">
                  <c:v>3010391.120577977</c:v>
                </c:pt>
                <c:pt idx="154">
                  <c:v>3010391.120577977</c:v>
                </c:pt>
                <c:pt idx="155">
                  <c:v>3010391.120577977</c:v>
                </c:pt>
                <c:pt idx="156">
                  <c:v>3010391.120577977</c:v>
                </c:pt>
                <c:pt idx="157">
                  <c:v>3010391.120577977</c:v>
                </c:pt>
                <c:pt idx="158">
                  <c:v>3010391.120577977</c:v>
                </c:pt>
                <c:pt idx="159">
                  <c:v>3010391.120577977</c:v>
                </c:pt>
                <c:pt idx="160">
                  <c:v>3010391.120577977</c:v>
                </c:pt>
                <c:pt idx="161">
                  <c:v>3010391.120577977</c:v>
                </c:pt>
                <c:pt idx="162">
                  <c:v>3010391.120577977</c:v>
                </c:pt>
                <c:pt idx="163">
                  <c:v>3010391.120577977</c:v>
                </c:pt>
                <c:pt idx="164">
                  <c:v>3010391.120577977</c:v>
                </c:pt>
                <c:pt idx="165">
                  <c:v>3010391.120577977</c:v>
                </c:pt>
                <c:pt idx="166">
                  <c:v>3010391.120577977</c:v>
                </c:pt>
                <c:pt idx="167">
                  <c:v>3010391.120577977</c:v>
                </c:pt>
                <c:pt idx="168">
                  <c:v>3010391.120577977</c:v>
                </c:pt>
                <c:pt idx="169">
                  <c:v>3010391.120577977</c:v>
                </c:pt>
                <c:pt idx="170">
                  <c:v>3010391.120577977</c:v>
                </c:pt>
                <c:pt idx="171">
                  <c:v>3010391.120577977</c:v>
                </c:pt>
                <c:pt idx="172">
                  <c:v>3010391.120577977</c:v>
                </c:pt>
                <c:pt idx="173">
                  <c:v>3010391.120577977</c:v>
                </c:pt>
                <c:pt idx="174">
                  <c:v>3010391.120577977</c:v>
                </c:pt>
                <c:pt idx="175">
                  <c:v>3010391.120577977</c:v>
                </c:pt>
                <c:pt idx="176">
                  <c:v>3010391.120577977</c:v>
                </c:pt>
                <c:pt idx="177">
                  <c:v>3010391.120577977</c:v>
                </c:pt>
                <c:pt idx="178">
                  <c:v>3010391.120577977</c:v>
                </c:pt>
                <c:pt idx="179">
                  <c:v>3010391.120577977</c:v>
                </c:pt>
                <c:pt idx="180">
                  <c:v>3010391.120577977</c:v>
                </c:pt>
                <c:pt idx="181">
                  <c:v>3010391.120577977</c:v>
                </c:pt>
                <c:pt idx="182">
                  <c:v>3010391.120577977</c:v>
                </c:pt>
                <c:pt idx="183">
                  <c:v>3010391.120577977</c:v>
                </c:pt>
                <c:pt idx="184">
                  <c:v>3010391.120577977</c:v>
                </c:pt>
                <c:pt idx="185">
                  <c:v>3010391.120577977</c:v>
                </c:pt>
                <c:pt idx="186">
                  <c:v>3010391.120577977</c:v>
                </c:pt>
                <c:pt idx="187">
                  <c:v>3010391.120577977</c:v>
                </c:pt>
                <c:pt idx="188">
                  <c:v>3010391.120577977</c:v>
                </c:pt>
                <c:pt idx="189">
                  <c:v>3010391.120577977</c:v>
                </c:pt>
                <c:pt idx="190">
                  <c:v>3010391.120577977</c:v>
                </c:pt>
                <c:pt idx="191">
                  <c:v>3010391.120577977</c:v>
                </c:pt>
                <c:pt idx="192">
                  <c:v>3010391.120577977</c:v>
                </c:pt>
                <c:pt idx="193">
                  <c:v>3010391.120577977</c:v>
                </c:pt>
                <c:pt idx="194">
                  <c:v>3010391.120577977</c:v>
                </c:pt>
                <c:pt idx="195">
                  <c:v>3010391.120577977</c:v>
                </c:pt>
                <c:pt idx="196">
                  <c:v>3010391.120577977</c:v>
                </c:pt>
                <c:pt idx="197">
                  <c:v>3010391.120577977</c:v>
                </c:pt>
                <c:pt idx="198">
                  <c:v>3010391.120577977</c:v>
                </c:pt>
                <c:pt idx="199">
                  <c:v>3010391.120577977</c:v>
                </c:pt>
                <c:pt idx="200">
                  <c:v>3010391.120577977</c:v>
                </c:pt>
                <c:pt idx="201">
                  <c:v>3010391.120577977</c:v>
                </c:pt>
                <c:pt idx="202">
                  <c:v>3010391.120577977</c:v>
                </c:pt>
                <c:pt idx="203">
                  <c:v>3010391.120577977</c:v>
                </c:pt>
                <c:pt idx="204">
                  <c:v>3010391.120577977</c:v>
                </c:pt>
                <c:pt idx="205">
                  <c:v>3010391.120577977</c:v>
                </c:pt>
                <c:pt idx="206">
                  <c:v>3010391.120577977</c:v>
                </c:pt>
                <c:pt idx="207">
                  <c:v>3010391.120577977</c:v>
                </c:pt>
                <c:pt idx="208">
                  <c:v>3010391.120577977</c:v>
                </c:pt>
                <c:pt idx="209">
                  <c:v>3010391.120577977</c:v>
                </c:pt>
                <c:pt idx="210">
                  <c:v>3010391.120577977</c:v>
                </c:pt>
                <c:pt idx="211">
                  <c:v>3010391.120577977</c:v>
                </c:pt>
                <c:pt idx="212">
                  <c:v>3010391.120577977</c:v>
                </c:pt>
                <c:pt idx="213">
                  <c:v>3010391.120577977</c:v>
                </c:pt>
                <c:pt idx="214">
                  <c:v>3010391.120577977</c:v>
                </c:pt>
                <c:pt idx="215">
                  <c:v>3010391.120577977</c:v>
                </c:pt>
                <c:pt idx="216">
                  <c:v>3010391.120577977</c:v>
                </c:pt>
                <c:pt idx="217">
                  <c:v>3010391.120577977</c:v>
                </c:pt>
                <c:pt idx="218">
                  <c:v>3010391.120577977</c:v>
                </c:pt>
                <c:pt idx="219">
                  <c:v>3010391.120577977</c:v>
                </c:pt>
                <c:pt idx="220">
                  <c:v>3010391.120577977</c:v>
                </c:pt>
                <c:pt idx="221">
                  <c:v>3010391.120577977</c:v>
                </c:pt>
                <c:pt idx="222">
                  <c:v>3010391.120577977</c:v>
                </c:pt>
                <c:pt idx="223">
                  <c:v>3010391.120577977</c:v>
                </c:pt>
                <c:pt idx="224">
                  <c:v>3010391.120577977</c:v>
                </c:pt>
                <c:pt idx="225">
                  <c:v>3010391.120577977</c:v>
                </c:pt>
                <c:pt idx="226">
                  <c:v>3010391.120577977</c:v>
                </c:pt>
                <c:pt idx="227">
                  <c:v>3010391.120577977</c:v>
                </c:pt>
                <c:pt idx="228">
                  <c:v>3010391.120577977</c:v>
                </c:pt>
                <c:pt idx="229">
                  <c:v>3010391.120577977</c:v>
                </c:pt>
                <c:pt idx="230">
                  <c:v>3010391.120577977</c:v>
                </c:pt>
                <c:pt idx="231">
                  <c:v>3010391.120577977</c:v>
                </c:pt>
                <c:pt idx="232">
                  <c:v>3010391.120577977</c:v>
                </c:pt>
                <c:pt idx="233">
                  <c:v>3010391.120577977</c:v>
                </c:pt>
                <c:pt idx="234">
                  <c:v>3010391.120577977</c:v>
                </c:pt>
                <c:pt idx="235">
                  <c:v>3010391.120577977</c:v>
                </c:pt>
                <c:pt idx="236">
                  <c:v>3010391.120577977</c:v>
                </c:pt>
                <c:pt idx="237">
                  <c:v>3010391.120577977</c:v>
                </c:pt>
                <c:pt idx="238">
                  <c:v>3010391.120577977</c:v>
                </c:pt>
                <c:pt idx="239">
                  <c:v>3010391.120577977</c:v>
                </c:pt>
                <c:pt idx="240">
                  <c:v>3010391.120577977</c:v>
                </c:pt>
                <c:pt idx="241">
                  <c:v>3010391.120577977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A7-483E-90D3-DC3447DC1CEE}"/>
            </c:ext>
          </c:extLst>
        </c:ser>
        <c:ser>
          <c:idx val="3"/>
          <c:order val="2"/>
          <c:tx>
            <c:strRef>
              <c:f>Projections_Data!$F$20</c:f>
              <c:strCache>
                <c:ptCount val="1"/>
                <c:pt idx="0">
                  <c:v>25% increase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11.862232187344294</c:v>
                </c:pt>
                <c:pt idx="1">
                  <c:v>17.07274539113104</c:v>
                </c:pt>
                <c:pt idx="2">
                  <c:v>20.731190832087691</c:v>
                </c:pt>
                <c:pt idx="3">
                  <c:v>28.048081714000997</c:v>
                </c:pt>
                <c:pt idx="4">
                  <c:v>33.25859491778774</c:v>
                </c:pt>
                <c:pt idx="5">
                  <c:v>39.799451918285996</c:v>
                </c:pt>
                <c:pt idx="6">
                  <c:v>47.892376681614344</c:v>
                </c:pt>
                <c:pt idx="7">
                  <c:v>62.415296462381662</c:v>
                </c:pt>
                <c:pt idx="8">
                  <c:v>85.918036870951667</c:v>
                </c:pt>
                <c:pt idx="9">
                  <c:v>122.39162929745889</c:v>
                </c:pt>
                <c:pt idx="10">
                  <c:v>145.7835077229696</c:v>
                </c:pt>
                <c:pt idx="11">
                  <c:v>163.41056302939711</c:v>
                </c:pt>
                <c:pt idx="12">
                  <c:v>205.20553064275038</c:v>
                </c:pt>
                <c:pt idx="13">
                  <c:v>277.48754359740906</c:v>
                </c:pt>
                <c:pt idx="14">
                  <c:v>278.37443946188341</c:v>
                </c:pt>
                <c:pt idx="15">
                  <c:v>417.8388141504733</c:v>
                </c:pt>
                <c:pt idx="16">
                  <c:v>522.29851768809169</c:v>
                </c:pt>
                <c:pt idx="17">
                  <c:v>652.87314711011459</c:v>
                </c:pt>
                <c:pt idx="18">
                  <c:v>816.09143388764323</c:v>
                </c:pt>
                <c:pt idx="19">
                  <c:v>1020.114292359554</c:v>
                </c:pt>
                <c:pt idx="20">
                  <c:v>1275.1428654494425</c:v>
                </c:pt>
                <c:pt idx="21">
                  <c:v>1593.928581811803</c:v>
                </c:pt>
                <c:pt idx="22">
                  <c:v>1992.4107272647539</c:v>
                </c:pt>
                <c:pt idx="23">
                  <c:v>2490.5134090809424</c:v>
                </c:pt>
                <c:pt idx="24">
                  <c:v>3113.141761351178</c:v>
                </c:pt>
                <c:pt idx="25">
                  <c:v>3891.4272016889727</c:v>
                </c:pt>
                <c:pt idx="26">
                  <c:v>4864.2840021112161</c:v>
                </c:pt>
                <c:pt idx="27">
                  <c:v>6080.3550026390194</c:v>
                </c:pt>
                <c:pt idx="28">
                  <c:v>7600.443753298774</c:v>
                </c:pt>
                <c:pt idx="29">
                  <c:v>9500.5546916234689</c:v>
                </c:pt>
                <c:pt idx="30">
                  <c:v>11875.693364529336</c:v>
                </c:pt>
                <c:pt idx="31">
                  <c:v>14844.616705661669</c:v>
                </c:pt>
                <c:pt idx="32">
                  <c:v>18555.770882077086</c:v>
                </c:pt>
                <c:pt idx="33">
                  <c:v>23194.713602596355</c:v>
                </c:pt>
                <c:pt idx="34">
                  <c:v>28993.392003245444</c:v>
                </c:pt>
                <c:pt idx="35">
                  <c:v>36241.740004056803</c:v>
                </c:pt>
                <c:pt idx="36">
                  <c:v>45302.175005071003</c:v>
                </c:pt>
                <c:pt idx="37">
                  <c:v>56627.718756338756</c:v>
                </c:pt>
                <c:pt idx="38">
                  <c:v>70784.648445423445</c:v>
                </c:pt>
                <c:pt idx="39">
                  <c:v>88480.81055677931</c:v>
                </c:pt>
                <c:pt idx="40">
                  <c:v>110601.01319597413</c:v>
                </c:pt>
                <c:pt idx="41">
                  <c:v>138251.26649496765</c:v>
                </c:pt>
                <c:pt idx="42">
                  <c:v>172814.08311870956</c:v>
                </c:pt>
                <c:pt idx="43">
                  <c:v>216017.60389838697</c:v>
                </c:pt>
                <c:pt idx="44">
                  <c:v>270022.00487298373</c:v>
                </c:pt>
                <c:pt idx="45">
                  <c:v>337527.50609122968</c:v>
                </c:pt>
                <c:pt idx="46">
                  <c:v>421909.38261403702</c:v>
                </c:pt>
                <c:pt idx="47">
                  <c:v>527386.72826754628</c:v>
                </c:pt>
                <c:pt idx="48">
                  <c:v>659233.41033443296</c:v>
                </c:pt>
                <c:pt idx="49">
                  <c:v>824041.7629180412</c:v>
                </c:pt>
                <c:pt idx="50">
                  <c:v>1030052.2036475516</c:v>
                </c:pt>
                <c:pt idx="51">
                  <c:v>1287565.2545594394</c:v>
                </c:pt>
                <c:pt idx="52">
                  <c:v>1609456.568199299</c:v>
                </c:pt>
                <c:pt idx="53">
                  <c:v>2011820.7102491239</c:v>
                </c:pt>
                <c:pt idx="54">
                  <c:v>2514775.8878114051</c:v>
                </c:pt>
                <c:pt idx="55">
                  <c:v>3010391.120577977</c:v>
                </c:pt>
                <c:pt idx="56">
                  <c:v>3010391.120577977</c:v>
                </c:pt>
                <c:pt idx="57">
                  <c:v>3010391.120577977</c:v>
                </c:pt>
                <c:pt idx="58">
                  <c:v>3010391.120577977</c:v>
                </c:pt>
                <c:pt idx="59">
                  <c:v>3010391.120577977</c:v>
                </c:pt>
                <c:pt idx="60">
                  <c:v>3010391.120577977</c:v>
                </c:pt>
                <c:pt idx="61">
                  <c:v>3010391.120577977</c:v>
                </c:pt>
                <c:pt idx="62">
                  <c:v>3010391.120577977</c:v>
                </c:pt>
                <c:pt idx="63">
                  <c:v>3010391.120577977</c:v>
                </c:pt>
                <c:pt idx="64">
                  <c:v>3010391.120577977</c:v>
                </c:pt>
                <c:pt idx="65">
                  <c:v>3010391.120577977</c:v>
                </c:pt>
                <c:pt idx="66">
                  <c:v>3010391.120577977</c:v>
                </c:pt>
                <c:pt idx="67">
                  <c:v>3010391.120577977</c:v>
                </c:pt>
                <c:pt idx="68">
                  <c:v>3010391.120577977</c:v>
                </c:pt>
                <c:pt idx="69">
                  <c:v>3010391.120577977</c:v>
                </c:pt>
                <c:pt idx="70">
                  <c:v>3010391.120577977</c:v>
                </c:pt>
                <c:pt idx="71">
                  <c:v>3010391.120577977</c:v>
                </c:pt>
                <c:pt idx="72">
                  <c:v>3010391.120577977</c:v>
                </c:pt>
                <c:pt idx="73">
                  <c:v>3010391.120577977</c:v>
                </c:pt>
                <c:pt idx="74">
                  <c:v>3010391.120577977</c:v>
                </c:pt>
                <c:pt idx="75">
                  <c:v>3010391.120577977</c:v>
                </c:pt>
                <c:pt idx="76">
                  <c:v>3010391.120577977</c:v>
                </c:pt>
                <c:pt idx="77">
                  <c:v>3010391.120577977</c:v>
                </c:pt>
                <c:pt idx="78">
                  <c:v>3010391.120577977</c:v>
                </c:pt>
                <c:pt idx="79">
                  <c:v>3010391.120577977</c:v>
                </c:pt>
                <c:pt idx="80">
                  <c:v>3010391.120577977</c:v>
                </c:pt>
                <c:pt idx="81">
                  <c:v>3010391.120577977</c:v>
                </c:pt>
                <c:pt idx="82">
                  <c:v>3010391.120577977</c:v>
                </c:pt>
                <c:pt idx="83">
                  <c:v>3010391.120577977</c:v>
                </c:pt>
                <c:pt idx="84">
                  <c:v>3010391.120577977</c:v>
                </c:pt>
                <c:pt idx="85">
                  <c:v>3010391.120577977</c:v>
                </c:pt>
                <c:pt idx="86">
                  <c:v>3010391.120577977</c:v>
                </c:pt>
                <c:pt idx="87">
                  <c:v>3010391.120577977</c:v>
                </c:pt>
                <c:pt idx="88">
                  <c:v>3010391.120577977</c:v>
                </c:pt>
                <c:pt idx="89">
                  <c:v>3010391.120577977</c:v>
                </c:pt>
                <c:pt idx="90">
                  <c:v>3010391.120577977</c:v>
                </c:pt>
                <c:pt idx="91">
                  <c:v>3010391.120577977</c:v>
                </c:pt>
                <c:pt idx="92">
                  <c:v>3010391.120577977</c:v>
                </c:pt>
                <c:pt idx="93">
                  <c:v>3010391.120577977</c:v>
                </c:pt>
                <c:pt idx="94">
                  <c:v>3010391.120577977</c:v>
                </c:pt>
                <c:pt idx="95">
                  <c:v>3010391.120577977</c:v>
                </c:pt>
                <c:pt idx="96">
                  <c:v>3010391.120577977</c:v>
                </c:pt>
                <c:pt idx="97">
                  <c:v>3010391.120577977</c:v>
                </c:pt>
                <c:pt idx="98">
                  <c:v>3010391.120577977</c:v>
                </c:pt>
                <c:pt idx="99">
                  <c:v>3010391.120577977</c:v>
                </c:pt>
                <c:pt idx="100">
                  <c:v>3010391.120577977</c:v>
                </c:pt>
                <c:pt idx="101">
                  <c:v>3010391.120577977</c:v>
                </c:pt>
                <c:pt idx="102">
                  <c:v>3010391.120577977</c:v>
                </c:pt>
                <c:pt idx="103">
                  <c:v>3010391.120577977</c:v>
                </c:pt>
                <c:pt idx="104">
                  <c:v>3010391.120577977</c:v>
                </c:pt>
                <c:pt idx="105">
                  <c:v>3010391.120577977</c:v>
                </c:pt>
                <c:pt idx="106">
                  <c:v>3010391.120577977</c:v>
                </c:pt>
                <c:pt idx="107">
                  <c:v>3010391.120577977</c:v>
                </c:pt>
                <c:pt idx="108">
                  <c:v>3010391.120577977</c:v>
                </c:pt>
                <c:pt idx="109">
                  <c:v>3010391.120577977</c:v>
                </c:pt>
                <c:pt idx="110">
                  <c:v>3010391.120577977</c:v>
                </c:pt>
                <c:pt idx="111">
                  <c:v>3010391.120577977</c:v>
                </c:pt>
                <c:pt idx="112">
                  <c:v>3010391.120577977</c:v>
                </c:pt>
                <c:pt idx="113">
                  <c:v>3010391.120577977</c:v>
                </c:pt>
                <c:pt idx="114">
                  <c:v>3010391.120577977</c:v>
                </c:pt>
                <c:pt idx="115">
                  <c:v>3010391.120577977</c:v>
                </c:pt>
                <c:pt idx="116">
                  <c:v>3010391.120577977</c:v>
                </c:pt>
                <c:pt idx="117">
                  <c:v>3010391.120577977</c:v>
                </c:pt>
                <c:pt idx="118">
                  <c:v>3010391.120577977</c:v>
                </c:pt>
                <c:pt idx="119">
                  <c:v>3010391.120577977</c:v>
                </c:pt>
                <c:pt idx="120">
                  <c:v>3010391.120577977</c:v>
                </c:pt>
                <c:pt idx="121">
                  <c:v>3010391.120577977</c:v>
                </c:pt>
                <c:pt idx="122">
                  <c:v>3010391.120577977</c:v>
                </c:pt>
                <c:pt idx="123">
                  <c:v>3010391.120577977</c:v>
                </c:pt>
                <c:pt idx="124">
                  <c:v>3010391.120577977</c:v>
                </c:pt>
                <c:pt idx="125">
                  <c:v>3010391.120577977</c:v>
                </c:pt>
                <c:pt idx="126">
                  <c:v>3010391.120577977</c:v>
                </c:pt>
                <c:pt idx="127">
                  <c:v>3010391.120577977</c:v>
                </c:pt>
                <c:pt idx="128">
                  <c:v>3010391.120577977</c:v>
                </c:pt>
                <c:pt idx="129">
                  <c:v>3010391.120577977</c:v>
                </c:pt>
                <c:pt idx="130">
                  <c:v>3010391.120577977</c:v>
                </c:pt>
                <c:pt idx="131">
                  <c:v>3010391.120577977</c:v>
                </c:pt>
                <c:pt idx="132">
                  <c:v>3010391.120577977</c:v>
                </c:pt>
                <c:pt idx="133">
                  <c:v>3010391.120577977</c:v>
                </c:pt>
                <c:pt idx="134">
                  <c:v>3010391.120577977</c:v>
                </c:pt>
                <c:pt idx="135">
                  <c:v>3010391.120577977</c:v>
                </c:pt>
                <c:pt idx="136">
                  <c:v>3010391.120577977</c:v>
                </c:pt>
                <c:pt idx="137">
                  <c:v>3010391.120577977</c:v>
                </c:pt>
                <c:pt idx="138">
                  <c:v>3010391.120577977</c:v>
                </c:pt>
                <c:pt idx="139">
                  <c:v>3010391.120577977</c:v>
                </c:pt>
                <c:pt idx="140">
                  <c:v>3010391.120577977</c:v>
                </c:pt>
                <c:pt idx="141">
                  <c:v>3010391.120577977</c:v>
                </c:pt>
                <c:pt idx="142">
                  <c:v>3010391.120577977</c:v>
                </c:pt>
                <c:pt idx="143">
                  <c:v>3010391.120577977</c:v>
                </c:pt>
                <c:pt idx="144">
                  <c:v>3010391.120577977</c:v>
                </c:pt>
                <c:pt idx="145">
                  <c:v>3010391.120577977</c:v>
                </c:pt>
                <c:pt idx="146">
                  <c:v>3010391.120577977</c:v>
                </c:pt>
                <c:pt idx="147">
                  <c:v>3010391.120577977</c:v>
                </c:pt>
                <c:pt idx="148">
                  <c:v>3010391.120577977</c:v>
                </c:pt>
                <c:pt idx="149">
                  <c:v>3010391.120577977</c:v>
                </c:pt>
                <c:pt idx="150">
                  <c:v>3010391.120577977</c:v>
                </c:pt>
                <c:pt idx="151">
                  <c:v>3010391.120577977</c:v>
                </c:pt>
                <c:pt idx="152">
                  <c:v>3010391.120577977</c:v>
                </c:pt>
                <c:pt idx="153">
                  <c:v>3010391.120577977</c:v>
                </c:pt>
                <c:pt idx="154">
                  <c:v>3010391.120577977</c:v>
                </c:pt>
                <c:pt idx="155">
                  <c:v>3010391.120577977</c:v>
                </c:pt>
                <c:pt idx="156">
                  <c:v>3010391.120577977</c:v>
                </c:pt>
                <c:pt idx="157">
                  <c:v>3010391.120577977</c:v>
                </c:pt>
                <c:pt idx="158">
                  <c:v>3010391.120577977</c:v>
                </c:pt>
                <c:pt idx="159">
                  <c:v>3010391.120577977</c:v>
                </c:pt>
                <c:pt idx="160">
                  <c:v>3010391.120577977</c:v>
                </c:pt>
                <c:pt idx="161">
                  <c:v>3010391.120577977</c:v>
                </c:pt>
                <c:pt idx="162">
                  <c:v>3010391.120577977</c:v>
                </c:pt>
                <c:pt idx="163">
                  <c:v>3010391.120577977</c:v>
                </c:pt>
                <c:pt idx="164">
                  <c:v>3010391.120577977</c:v>
                </c:pt>
                <c:pt idx="165">
                  <c:v>3010391.120577977</c:v>
                </c:pt>
                <c:pt idx="166">
                  <c:v>3010391.120577977</c:v>
                </c:pt>
                <c:pt idx="167">
                  <c:v>3010391.120577977</c:v>
                </c:pt>
                <c:pt idx="168">
                  <c:v>3010391.120577977</c:v>
                </c:pt>
                <c:pt idx="169">
                  <c:v>3010391.120577977</c:v>
                </c:pt>
                <c:pt idx="170">
                  <c:v>3010391.120577977</c:v>
                </c:pt>
                <c:pt idx="171">
                  <c:v>3010391.120577977</c:v>
                </c:pt>
                <c:pt idx="172">
                  <c:v>3010391.120577977</c:v>
                </c:pt>
                <c:pt idx="173">
                  <c:v>3010391.120577977</c:v>
                </c:pt>
                <c:pt idx="174">
                  <c:v>3010391.120577977</c:v>
                </c:pt>
                <c:pt idx="175">
                  <c:v>3010391.120577977</c:v>
                </c:pt>
                <c:pt idx="176">
                  <c:v>3010391.120577977</c:v>
                </c:pt>
                <c:pt idx="177">
                  <c:v>3010391.120577977</c:v>
                </c:pt>
                <c:pt idx="178">
                  <c:v>3010391.120577977</c:v>
                </c:pt>
                <c:pt idx="179">
                  <c:v>3010391.120577977</c:v>
                </c:pt>
                <c:pt idx="180">
                  <c:v>3010391.120577977</c:v>
                </c:pt>
                <c:pt idx="181">
                  <c:v>3010391.120577977</c:v>
                </c:pt>
                <c:pt idx="182">
                  <c:v>3010391.120577977</c:v>
                </c:pt>
                <c:pt idx="183">
                  <c:v>3010391.120577977</c:v>
                </c:pt>
                <c:pt idx="184">
                  <c:v>3010391.120577977</c:v>
                </c:pt>
                <c:pt idx="185">
                  <c:v>3010391.120577977</c:v>
                </c:pt>
                <c:pt idx="186">
                  <c:v>3010391.120577977</c:v>
                </c:pt>
                <c:pt idx="187">
                  <c:v>3010391.120577977</c:v>
                </c:pt>
                <c:pt idx="188">
                  <c:v>3010391.120577977</c:v>
                </c:pt>
                <c:pt idx="189">
                  <c:v>3010391.120577977</c:v>
                </c:pt>
                <c:pt idx="190">
                  <c:v>3010391.120577977</c:v>
                </c:pt>
                <c:pt idx="191">
                  <c:v>3010391.120577977</c:v>
                </c:pt>
                <c:pt idx="192">
                  <c:v>3010391.120577977</c:v>
                </c:pt>
                <c:pt idx="193">
                  <c:v>3010391.120577977</c:v>
                </c:pt>
                <c:pt idx="194">
                  <c:v>3010391.120577977</c:v>
                </c:pt>
                <c:pt idx="195">
                  <c:v>3010391.120577977</c:v>
                </c:pt>
                <c:pt idx="196">
                  <c:v>3010391.120577977</c:v>
                </c:pt>
                <c:pt idx="197">
                  <c:v>3010391.120577977</c:v>
                </c:pt>
                <c:pt idx="198">
                  <c:v>3010391.120577977</c:v>
                </c:pt>
                <c:pt idx="199">
                  <c:v>3010391.120577977</c:v>
                </c:pt>
                <c:pt idx="200">
                  <c:v>3010391.120577977</c:v>
                </c:pt>
                <c:pt idx="201">
                  <c:v>3010391.120577977</c:v>
                </c:pt>
                <c:pt idx="202">
                  <c:v>3010391.120577977</c:v>
                </c:pt>
                <c:pt idx="203">
                  <c:v>3010391.120577977</c:v>
                </c:pt>
                <c:pt idx="204">
                  <c:v>3010391.120577977</c:v>
                </c:pt>
                <c:pt idx="205">
                  <c:v>3010391.120577977</c:v>
                </c:pt>
                <c:pt idx="206">
                  <c:v>3010391.120577977</c:v>
                </c:pt>
                <c:pt idx="207">
                  <c:v>3010391.120577977</c:v>
                </c:pt>
                <c:pt idx="208">
                  <c:v>3010391.120577977</c:v>
                </c:pt>
                <c:pt idx="209">
                  <c:v>3010391.120577977</c:v>
                </c:pt>
                <c:pt idx="210">
                  <c:v>3010391.120577977</c:v>
                </c:pt>
                <c:pt idx="211">
                  <c:v>3010391.120577977</c:v>
                </c:pt>
                <c:pt idx="212">
                  <c:v>3010391.120577977</c:v>
                </c:pt>
                <c:pt idx="213">
                  <c:v>3010391.120577977</c:v>
                </c:pt>
                <c:pt idx="214">
                  <c:v>3010391.120577977</c:v>
                </c:pt>
                <c:pt idx="215">
                  <c:v>3010391.120577977</c:v>
                </c:pt>
                <c:pt idx="216">
                  <c:v>3010391.120577977</c:v>
                </c:pt>
                <c:pt idx="217">
                  <c:v>3010391.120577977</c:v>
                </c:pt>
                <c:pt idx="218">
                  <c:v>3010391.120577977</c:v>
                </c:pt>
                <c:pt idx="219">
                  <c:v>3010391.120577977</c:v>
                </c:pt>
                <c:pt idx="220">
                  <c:v>3010391.120577977</c:v>
                </c:pt>
                <c:pt idx="221">
                  <c:v>3010391.120577977</c:v>
                </c:pt>
                <c:pt idx="222">
                  <c:v>3010391.120577977</c:v>
                </c:pt>
                <c:pt idx="223">
                  <c:v>3010391.120577977</c:v>
                </c:pt>
                <c:pt idx="224">
                  <c:v>3010391.120577977</c:v>
                </c:pt>
                <c:pt idx="225">
                  <c:v>3010391.120577977</c:v>
                </c:pt>
                <c:pt idx="226">
                  <c:v>3010391.120577977</c:v>
                </c:pt>
                <c:pt idx="227">
                  <c:v>3010391.120577977</c:v>
                </c:pt>
                <c:pt idx="228">
                  <c:v>3010391.120577977</c:v>
                </c:pt>
                <c:pt idx="229">
                  <c:v>3010391.120577977</c:v>
                </c:pt>
                <c:pt idx="230">
                  <c:v>3010391.120577977</c:v>
                </c:pt>
                <c:pt idx="231">
                  <c:v>3010391.120577977</c:v>
                </c:pt>
                <c:pt idx="232">
                  <c:v>3010391.120577977</c:v>
                </c:pt>
                <c:pt idx="233">
                  <c:v>3010391.120577977</c:v>
                </c:pt>
                <c:pt idx="234">
                  <c:v>3010391.120577977</c:v>
                </c:pt>
                <c:pt idx="235">
                  <c:v>3010391.120577977</c:v>
                </c:pt>
                <c:pt idx="236">
                  <c:v>3010391.120577977</c:v>
                </c:pt>
                <c:pt idx="237">
                  <c:v>3010391.120577977</c:v>
                </c:pt>
                <c:pt idx="238">
                  <c:v>3010391.120577977</c:v>
                </c:pt>
                <c:pt idx="239">
                  <c:v>3010391.120577977</c:v>
                </c:pt>
                <c:pt idx="240">
                  <c:v>3010391.120577977</c:v>
                </c:pt>
                <c:pt idx="241">
                  <c:v>3010391.120577977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A7-483E-90D3-DC3447DC1CEE}"/>
            </c:ext>
          </c:extLst>
        </c:ser>
        <c:ser>
          <c:idx val="5"/>
          <c:order val="3"/>
          <c:tx>
            <c:strRef>
              <c:f>Projections_Data!$F$22</c:f>
              <c:strCache>
                <c:ptCount val="1"/>
                <c:pt idx="0">
                  <c:v>40% increase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11.862232187344294</c:v>
                </c:pt>
                <c:pt idx="1">
                  <c:v>17.07274539113104</c:v>
                </c:pt>
                <c:pt idx="2">
                  <c:v>20.731190832087691</c:v>
                </c:pt>
                <c:pt idx="3">
                  <c:v>28.048081714000997</c:v>
                </c:pt>
                <c:pt idx="4">
                  <c:v>33.25859491778774</c:v>
                </c:pt>
                <c:pt idx="5">
                  <c:v>39.799451918285996</c:v>
                </c:pt>
                <c:pt idx="6">
                  <c:v>47.892376681614344</c:v>
                </c:pt>
                <c:pt idx="7">
                  <c:v>62.415296462381662</c:v>
                </c:pt>
                <c:pt idx="8">
                  <c:v>85.918036870951667</c:v>
                </c:pt>
                <c:pt idx="9">
                  <c:v>122.39162929745889</c:v>
                </c:pt>
                <c:pt idx="10">
                  <c:v>145.7835077229696</c:v>
                </c:pt>
                <c:pt idx="11">
                  <c:v>163.41056302939711</c:v>
                </c:pt>
                <c:pt idx="12">
                  <c:v>205.20553064275038</c:v>
                </c:pt>
                <c:pt idx="13">
                  <c:v>277.48754359740906</c:v>
                </c:pt>
                <c:pt idx="14">
                  <c:v>278.37443946188341</c:v>
                </c:pt>
                <c:pt idx="15">
                  <c:v>417.8388141504733</c:v>
                </c:pt>
                <c:pt idx="16">
                  <c:v>584.97433981066263</c:v>
                </c:pt>
                <c:pt idx="17">
                  <c:v>818.96407573492763</c:v>
                </c:pt>
                <c:pt idx="18">
                  <c:v>1146.5497060288988</c:v>
                </c:pt>
                <c:pt idx="19">
                  <c:v>1605.169588440458</c:v>
                </c:pt>
                <c:pt idx="20">
                  <c:v>2247.2374238166412</c:v>
                </c:pt>
                <c:pt idx="21">
                  <c:v>3146.1323933432977</c:v>
                </c:pt>
                <c:pt idx="22">
                  <c:v>4404.5853506806161</c:v>
                </c:pt>
                <c:pt idx="23">
                  <c:v>6166.4194909528624</c:v>
                </c:pt>
                <c:pt idx="24">
                  <c:v>8632.9872873340082</c:v>
                </c:pt>
                <c:pt idx="25">
                  <c:v>12086.18220226761</c:v>
                </c:pt>
                <c:pt idx="26">
                  <c:v>16920.65508317465</c:v>
                </c:pt>
                <c:pt idx="27">
                  <c:v>23688.917116444507</c:v>
                </c:pt>
                <c:pt idx="28">
                  <c:v>33164.483963022307</c:v>
                </c:pt>
                <c:pt idx="29">
                  <c:v>46430.277548231228</c:v>
                </c:pt>
                <c:pt idx="30">
                  <c:v>65002.388567523703</c:v>
                </c:pt>
                <c:pt idx="31">
                  <c:v>91003.343994533177</c:v>
                </c:pt>
                <c:pt idx="32">
                  <c:v>127404.68159234645</c:v>
                </c:pt>
                <c:pt idx="33">
                  <c:v>178366.55422928502</c:v>
                </c:pt>
                <c:pt idx="34">
                  <c:v>249713.17592099903</c:v>
                </c:pt>
                <c:pt idx="35">
                  <c:v>349598.44628939859</c:v>
                </c:pt>
                <c:pt idx="36">
                  <c:v>489437.82480515802</c:v>
                </c:pt>
                <c:pt idx="37">
                  <c:v>685212.95472722116</c:v>
                </c:pt>
                <c:pt idx="38">
                  <c:v>959298.13661810965</c:v>
                </c:pt>
                <c:pt idx="39">
                  <c:v>1343017.3912653534</c:v>
                </c:pt>
                <c:pt idx="40">
                  <c:v>1880224.3477714946</c:v>
                </c:pt>
                <c:pt idx="41">
                  <c:v>2632314.086880092</c:v>
                </c:pt>
                <c:pt idx="42">
                  <c:v>3010391.120577977</c:v>
                </c:pt>
                <c:pt idx="43">
                  <c:v>3010391.120577977</c:v>
                </c:pt>
                <c:pt idx="44">
                  <c:v>3010391.120577977</c:v>
                </c:pt>
                <c:pt idx="45">
                  <c:v>3010391.120577977</c:v>
                </c:pt>
                <c:pt idx="46">
                  <c:v>3010391.120577977</c:v>
                </c:pt>
                <c:pt idx="47">
                  <c:v>3010391.120577977</c:v>
                </c:pt>
                <c:pt idx="48">
                  <c:v>3010391.120577977</c:v>
                </c:pt>
                <c:pt idx="49">
                  <c:v>3010391.120577977</c:v>
                </c:pt>
                <c:pt idx="50">
                  <c:v>3010391.120577977</c:v>
                </c:pt>
                <c:pt idx="51">
                  <c:v>3010391.120577977</c:v>
                </c:pt>
                <c:pt idx="52">
                  <c:v>3010391.120577977</c:v>
                </c:pt>
                <c:pt idx="53">
                  <c:v>3010391.120577977</c:v>
                </c:pt>
                <c:pt idx="54">
                  <c:v>3010391.120577977</c:v>
                </c:pt>
                <c:pt idx="55">
                  <c:v>3010391.120577977</c:v>
                </c:pt>
                <c:pt idx="56">
                  <c:v>3010391.120577977</c:v>
                </c:pt>
                <c:pt idx="57">
                  <c:v>3010391.120577977</c:v>
                </c:pt>
                <c:pt idx="58">
                  <c:v>3010391.120577977</c:v>
                </c:pt>
                <c:pt idx="59">
                  <c:v>3010391.120577977</c:v>
                </c:pt>
                <c:pt idx="60">
                  <c:v>3010391.120577977</c:v>
                </c:pt>
                <c:pt idx="61">
                  <c:v>3010391.120577977</c:v>
                </c:pt>
                <c:pt idx="62">
                  <c:v>3010391.120577977</c:v>
                </c:pt>
                <c:pt idx="63">
                  <c:v>3010391.120577977</c:v>
                </c:pt>
                <c:pt idx="64">
                  <c:v>3010391.120577977</c:v>
                </c:pt>
                <c:pt idx="65">
                  <c:v>3010391.120577977</c:v>
                </c:pt>
                <c:pt idx="66">
                  <c:v>3010391.120577977</c:v>
                </c:pt>
                <c:pt idx="67">
                  <c:v>3010391.120577977</c:v>
                </c:pt>
                <c:pt idx="68">
                  <c:v>3010391.120577977</c:v>
                </c:pt>
                <c:pt idx="69">
                  <c:v>3010391.120577977</c:v>
                </c:pt>
                <c:pt idx="70">
                  <c:v>3010391.120577977</c:v>
                </c:pt>
                <c:pt idx="71">
                  <c:v>3010391.120577977</c:v>
                </c:pt>
                <c:pt idx="72">
                  <c:v>3010391.120577977</c:v>
                </c:pt>
                <c:pt idx="73">
                  <c:v>3010391.120577977</c:v>
                </c:pt>
                <c:pt idx="74">
                  <c:v>3010391.120577977</c:v>
                </c:pt>
                <c:pt idx="75">
                  <c:v>3010391.120577977</c:v>
                </c:pt>
                <c:pt idx="76">
                  <c:v>3010391.120577977</c:v>
                </c:pt>
                <c:pt idx="77">
                  <c:v>3010391.120577977</c:v>
                </c:pt>
                <c:pt idx="78">
                  <c:v>3010391.120577977</c:v>
                </c:pt>
                <c:pt idx="79">
                  <c:v>3010391.120577977</c:v>
                </c:pt>
                <c:pt idx="80">
                  <c:v>3010391.120577977</c:v>
                </c:pt>
                <c:pt idx="81">
                  <c:v>3010391.120577977</c:v>
                </c:pt>
                <c:pt idx="82">
                  <c:v>3010391.120577977</c:v>
                </c:pt>
                <c:pt idx="83">
                  <c:v>3010391.120577977</c:v>
                </c:pt>
                <c:pt idx="84">
                  <c:v>3010391.120577977</c:v>
                </c:pt>
                <c:pt idx="85">
                  <c:v>3010391.120577977</c:v>
                </c:pt>
                <c:pt idx="86">
                  <c:v>3010391.120577977</c:v>
                </c:pt>
                <c:pt idx="87">
                  <c:v>3010391.120577977</c:v>
                </c:pt>
                <c:pt idx="88">
                  <c:v>3010391.120577977</c:v>
                </c:pt>
                <c:pt idx="89">
                  <c:v>3010391.120577977</c:v>
                </c:pt>
                <c:pt idx="90">
                  <c:v>3010391.120577977</c:v>
                </c:pt>
                <c:pt idx="91">
                  <c:v>3010391.120577977</c:v>
                </c:pt>
                <c:pt idx="92">
                  <c:v>3010391.120577977</c:v>
                </c:pt>
                <c:pt idx="93">
                  <c:v>3010391.120577977</c:v>
                </c:pt>
                <c:pt idx="94">
                  <c:v>3010391.120577977</c:v>
                </c:pt>
                <c:pt idx="95">
                  <c:v>3010391.120577977</c:v>
                </c:pt>
                <c:pt idx="96">
                  <c:v>3010391.120577977</c:v>
                </c:pt>
                <c:pt idx="97">
                  <c:v>3010391.120577977</c:v>
                </c:pt>
                <c:pt idx="98">
                  <c:v>3010391.120577977</c:v>
                </c:pt>
                <c:pt idx="99">
                  <c:v>3010391.120577977</c:v>
                </c:pt>
                <c:pt idx="100">
                  <c:v>3010391.120577977</c:v>
                </c:pt>
                <c:pt idx="101">
                  <c:v>3010391.120577977</c:v>
                </c:pt>
                <c:pt idx="102">
                  <c:v>3010391.120577977</c:v>
                </c:pt>
                <c:pt idx="103">
                  <c:v>3010391.120577977</c:v>
                </c:pt>
                <c:pt idx="104">
                  <c:v>3010391.120577977</c:v>
                </c:pt>
                <c:pt idx="105">
                  <c:v>3010391.120577977</c:v>
                </c:pt>
                <c:pt idx="106">
                  <c:v>3010391.120577977</c:v>
                </c:pt>
                <c:pt idx="107">
                  <c:v>3010391.120577977</c:v>
                </c:pt>
                <c:pt idx="108">
                  <c:v>3010391.120577977</c:v>
                </c:pt>
                <c:pt idx="109">
                  <c:v>3010391.120577977</c:v>
                </c:pt>
                <c:pt idx="110">
                  <c:v>3010391.120577977</c:v>
                </c:pt>
                <c:pt idx="111">
                  <c:v>3010391.120577977</c:v>
                </c:pt>
                <c:pt idx="112">
                  <c:v>3010391.120577977</c:v>
                </c:pt>
                <c:pt idx="113">
                  <c:v>3010391.120577977</c:v>
                </c:pt>
                <c:pt idx="114">
                  <c:v>3010391.120577977</c:v>
                </c:pt>
                <c:pt idx="115">
                  <c:v>3010391.120577977</c:v>
                </c:pt>
                <c:pt idx="116">
                  <c:v>3010391.120577977</c:v>
                </c:pt>
                <c:pt idx="117">
                  <c:v>3010391.120577977</c:v>
                </c:pt>
                <c:pt idx="118">
                  <c:v>3010391.120577977</c:v>
                </c:pt>
                <c:pt idx="119">
                  <c:v>3010391.120577977</c:v>
                </c:pt>
                <c:pt idx="120">
                  <c:v>3010391.120577977</c:v>
                </c:pt>
                <c:pt idx="121">
                  <c:v>3010391.120577977</c:v>
                </c:pt>
                <c:pt idx="122">
                  <c:v>3010391.120577977</c:v>
                </c:pt>
                <c:pt idx="123">
                  <c:v>3010391.120577977</c:v>
                </c:pt>
                <c:pt idx="124">
                  <c:v>3010391.120577977</c:v>
                </c:pt>
                <c:pt idx="125">
                  <c:v>3010391.120577977</c:v>
                </c:pt>
                <c:pt idx="126">
                  <c:v>3010391.120577977</c:v>
                </c:pt>
                <c:pt idx="127">
                  <c:v>3010391.120577977</c:v>
                </c:pt>
                <c:pt idx="128">
                  <c:v>3010391.120577977</c:v>
                </c:pt>
                <c:pt idx="129">
                  <c:v>3010391.120577977</c:v>
                </c:pt>
                <c:pt idx="130">
                  <c:v>3010391.120577977</c:v>
                </c:pt>
                <c:pt idx="131">
                  <c:v>3010391.120577977</c:v>
                </c:pt>
                <c:pt idx="132">
                  <c:v>3010391.120577977</c:v>
                </c:pt>
                <c:pt idx="133">
                  <c:v>3010391.120577977</c:v>
                </c:pt>
                <c:pt idx="134">
                  <c:v>3010391.120577977</c:v>
                </c:pt>
                <c:pt idx="135">
                  <c:v>3010391.120577977</c:v>
                </c:pt>
                <c:pt idx="136">
                  <c:v>3010391.120577977</c:v>
                </c:pt>
                <c:pt idx="137">
                  <c:v>3010391.120577977</c:v>
                </c:pt>
                <c:pt idx="138">
                  <c:v>3010391.120577977</c:v>
                </c:pt>
                <c:pt idx="139">
                  <c:v>3010391.120577977</c:v>
                </c:pt>
                <c:pt idx="140">
                  <c:v>3010391.120577977</c:v>
                </c:pt>
                <c:pt idx="141">
                  <c:v>3010391.120577977</c:v>
                </c:pt>
                <c:pt idx="142">
                  <c:v>3010391.120577977</c:v>
                </c:pt>
                <c:pt idx="143">
                  <c:v>3010391.120577977</c:v>
                </c:pt>
                <c:pt idx="144">
                  <c:v>3010391.120577977</c:v>
                </c:pt>
                <c:pt idx="145">
                  <c:v>3010391.120577977</c:v>
                </c:pt>
                <c:pt idx="146">
                  <c:v>3010391.120577977</c:v>
                </c:pt>
                <c:pt idx="147">
                  <c:v>3010391.120577977</c:v>
                </c:pt>
                <c:pt idx="148">
                  <c:v>3010391.120577977</c:v>
                </c:pt>
                <c:pt idx="149">
                  <c:v>3010391.120577977</c:v>
                </c:pt>
                <c:pt idx="150">
                  <c:v>3010391.120577977</c:v>
                </c:pt>
                <c:pt idx="151">
                  <c:v>3010391.120577977</c:v>
                </c:pt>
                <c:pt idx="152">
                  <c:v>3010391.120577977</c:v>
                </c:pt>
                <c:pt idx="153">
                  <c:v>3010391.120577977</c:v>
                </c:pt>
                <c:pt idx="154">
                  <c:v>3010391.120577977</c:v>
                </c:pt>
                <c:pt idx="155">
                  <c:v>3010391.120577977</c:v>
                </c:pt>
                <c:pt idx="156">
                  <c:v>3010391.120577977</c:v>
                </c:pt>
                <c:pt idx="157">
                  <c:v>3010391.120577977</c:v>
                </c:pt>
                <c:pt idx="158">
                  <c:v>3010391.120577977</c:v>
                </c:pt>
                <c:pt idx="159">
                  <c:v>3010391.120577977</c:v>
                </c:pt>
                <c:pt idx="160">
                  <c:v>3010391.120577977</c:v>
                </c:pt>
                <c:pt idx="161">
                  <c:v>3010391.120577977</c:v>
                </c:pt>
                <c:pt idx="162">
                  <c:v>3010391.120577977</c:v>
                </c:pt>
                <c:pt idx="163">
                  <c:v>3010391.120577977</c:v>
                </c:pt>
                <c:pt idx="164">
                  <c:v>3010391.120577977</c:v>
                </c:pt>
                <c:pt idx="165">
                  <c:v>3010391.120577977</c:v>
                </c:pt>
                <c:pt idx="166">
                  <c:v>3010391.120577977</c:v>
                </c:pt>
                <c:pt idx="167">
                  <c:v>3010391.120577977</c:v>
                </c:pt>
                <c:pt idx="168">
                  <c:v>3010391.120577977</c:v>
                </c:pt>
                <c:pt idx="169">
                  <c:v>3010391.120577977</c:v>
                </c:pt>
                <c:pt idx="170">
                  <c:v>3010391.120577977</c:v>
                </c:pt>
                <c:pt idx="171">
                  <c:v>3010391.120577977</c:v>
                </c:pt>
                <c:pt idx="172">
                  <c:v>3010391.120577977</c:v>
                </c:pt>
                <c:pt idx="173">
                  <c:v>3010391.120577977</c:v>
                </c:pt>
                <c:pt idx="174">
                  <c:v>3010391.120577977</c:v>
                </c:pt>
                <c:pt idx="175">
                  <c:v>3010391.120577977</c:v>
                </c:pt>
                <c:pt idx="176">
                  <c:v>3010391.120577977</c:v>
                </c:pt>
                <c:pt idx="177">
                  <c:v>3010391.120577977</c:v>
                </c:pt>
                <c:pt idx="178">
                  <c:v>3010391.120577977</c:v>
                </c:pt>
                <c:pt idx="179">
                  <c:v>3010391.120577977</c:v>
                </c:pt>
                <c:pt idx="180">
                  <c:v>3010391.120577977</c:v>
                </c:pt>
                <c:pt idx="181">
                  <c:v>3010391.120577977</c:v>
                </c:pt>
                <c:pt idx="182">
                  <c:v>3010391.120577977</c:v>
                </c:pt>
                <c:pt idx="183">
                  <c:v>3010391.120577977</c:v>
                </c:pt>
                <c:pt idx="184">
                  <c:v>3010391.120577977</c:v>
                </c:pt>
                <c:pt idx="185">
                  <c:v>3010391.120577977</c:v>
                </c:pt>
                <c:pt idx="186">
                  <c:v>3010391.120577977</c:v>
                </c:pt>
                <c:pt idx="187">
                  <c:v>3010391.120577977</c:v>
                </c:pt>
                <c:pt idx="188">
                  <c:v>3010391.120577977</c:v>
                </c:pt>
                <c:pt idx="189">
                  <c:v>3010391.120577977</c:v>
                </c:pt>
                <c:pt idx="190">
                  <c:v>3010391.120577977</c:v>
                </c:pt>
                <c:pt idx="191">
                  <c:v>3010391.120577977</c:v>
                </c:pt>
                <c:pt idx="192">
                  <c:v>3010391.120577977</c:v>
                </c:pt>
                <c:pt idx="193">
                  <c:v>3010391.120577977</c:v>
                </c:pt>
                <c:pt idx="194">
                  <c:v>3010391.120577977</c:v>
                </c:pt>
                <c:pt idx="195">
                  <c:v>3010391.120577977</c:v>
                </c:pt>
                <c:pt idx="196">
                  <c:v>3010391.120577977</c:v>
                </c:pt>
                <c:pt idx="197">
                  <c:v>3010391.120577977</c:v>
                </c:pt>
                <c:pt idx="198">
                  <c:v>3010391.120577977</c:v>
                </c:pt>
                <c:pt idx="199">
                  <c:v>3010391.120577977</c:v>
                </c:pt>
                <c:pt idx="200">
                  <c:v>3010391.120577977</c:v>
                </c:pt>
                <c:pt idx="201">
                  <c:v>3010391.120577977</c:v>
                </c:pt>
                <c:pt idx="202">
                  <c:v>3010391.120577977</c:v>
                </c:pt>
                <c:pt idx="203">
                  <c:v>3010391.120577977</c:v>
                </c:pt>
                <c:pt idx="204">
                  <c:v>3010391.120577977</c:v>
                </c:pt>
                <c:pt idx="205">
                  <c:v>3010391.120577977</c:v>
                </c:pt>
                <c:pt idx="206">
                  <c:v>3010391.120577977</c:v>
                </c:pt>
                <c:pt idx="207">
                  <c:v>3010391.120577977</c:v>
                </c:pt>
                <c:pt idx="208">
                  <c:v>3010391.120577977</c:v>
                </c:pt>
                <c:pt idx="209">
                  <c:v>3010391.120577977</c:v>
                </c:pt>
                <c:pt idx="210">
                  <c:v>3010391.120577977</c:v>
                </c:pt>
                <c:pt idx="211">
                  <c:v>3010391.120577977</c:v>
                </c:pt>
                <c:pt idx="212">
                  <c:v>3010391.120577977</c:v>
                </c:pt>
                <c:pt idx="213">
                  <c:v>3010391.120577977</c:v>
                </c:pt>
                <c:pt idx="214">
                  <c:v>3010391.120577977</c:v>
                </c:pt>
                <c:pt idx="215">
                  <c:v>3010391.120577977</c:v>
                </c:pt>
                <c:pt idx="216">
                  <c:v>3010391.120577977</c:v>
                </c:pt>
                <c:pt idx="217">
                  <c:v>3010391.120577977</c:v>
                </c:pt>
                <c:pt idx="218">
                  <c:v>3010391.120577977</c:v>
                </c:pt>
                <c:pt idx="219">
                  <c:v>3010391.120577977</c:v>
                </c:pt>
                <c:pt idx="220">
                  <c:v>3010391.120577977</c:v>
                </c:pt>
                <c:pt idx="221">
                  <c:v>3010391.120577977</c:v>
                </c:pt>
                <c:pt idx="222">
                  <c:v>3010391.120577977</c:v>
                </c:pt>
                <c:pt idx="223">
                  <c:v>3010391.120577977</c:v>
                </c:pt>
                <c:pt idx="224">
                  <c:v>3010391.120577977</c:v>
                </c:pt>
                <c:pt idx="225">
                  <c:v>3010391.120577977</c:v>
                </c:pt>
                <c:pt idx="226">
                  <c:v>3010391.120577977</c:v>
                </c:pt>
                <c:pt idx="227">
                  <c:v>3010391.120577977</c:v>
                </c:pt>
                <c:pt idx="228">
                  <c:v>3010391.120577977</c:v>
                </c:pt>
                <c:pt idx="229">
                  <c:v>3010391.120577977</c:v>
                </c:pt>
                <c:pt idx="230">
                  <c:v>3010391.120577977</c:v>
                </c:pt>
                <c:pt idx="231">
                  <c:v>3010391.120577977</c:v>
                </c:pt>
                <c:pt idx="232">
                  <c:v>3010391.120577977</c:v>
                </c:pt>
                <c:pt idx="233">
                  <c:v>3010391.120577977</c:v>
                </c:pt>
                <c:pt idx="234">
                  <c:v>3010391.120577977</c:v>
                </c:pt>
                <c:pt idx="235">
                  <c:v>3010391.120577977</c:v>
                </c:pt>
                <c:pt idx="236">
                  <c:v>3010391.120577977</c:v>
                </c:pt>
                <c:pt idx="237">
                  <c:v>3010391.120577977</c:v>
                </c:pt>
                <c:pt idx="238">
                  <c:v>3010391.120577977</c:v>
                </c:pt>
                <c:pt idx="239">
                  <c:v>3010391.120577977</c:v>
                </c:pt>
                <c:pt idx="240">
                  <c:v>3010391.120577977</c:v>
                </c:pt>
                <c:pt idx="241">
                  <c:v>3010391.120577977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A7-483E-90D3-DC3447DC1CEE}"/>
            </c:ext>
          </c:extLst>
        </c:ser>
        <c:ser>
          <c:idx val="6"/>
          <c:order val="4"/>
          <c:tx>
            <c:strRef>
              <c:f>Projections_Data!$F$23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0"/>
            <c:val val="70000000"/>
            <c:spPr>
              <a:noFill/>
              <a:ln w="285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Projections_Data!$G$23:$IN$23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1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A7-483E-90D3-DC3447DC1CEE}"/>
            </c:ext>
          </c:extLst>
        </c:ser>
        <c:ser>
          <c:idx val="1"/>
          <c:order val="5"/>
          <c:tx>
            <c:strRef>
              <c:f>Projections_Data!$F$18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Projections_Data!$G$18:$IN$18</c:f>
              <c:numCache>
                <c:formatCode>_-* #,##0_-;\-* #,##0_-;_-* "-"??_-;_-@_-</c:formatCode>
                <c:ptCount val="242"/>
                <c:pt idx="0">
                  <c:v>11.862232187344294</c:v>
                </c:pt>
                <c:pt idx="1">
                  <c:v>17.07274539113104</c:v>
                </c:pt>
                <c:pt idx="2">
                  <c:v>20.731190832087691</c:v>
                </c:pt>
                <c:pt idx="3">
                  <c:v>28.048081714000997</c:v>
                </c:pt>
                <c:pt idx="4">
                  <c:v>33.25859491778774</c:v>
                </c:pt>
                <c:pt idx="5">
                  <c:v>39.799451918285996</c:v>
                </c:pt>
                <c:pt idx="6">
                  <c:v>47.892376681614344</c:v>
                </c:pt>
                <c:pt idx="7">
                  <c:v>62.415296462381662</c:v>
                </c:pt>
                <c:pt idx="8">
                  <c:v>85.918036870951667</c:v>
                </c:pt>
                <c:pt idx="9">
                  <c:v>122.39162929745889</c:v>
                </c:pt>
                <c:pt idx="10">
                  <c:v>145.7835077229696</c:v>
                </c:pt>
                <c:pt idx="11">
                  <c:v>163.41056302939711</c:v>
                </c:pt>
                <c:pt idx="12">
                  <c:v>205.20553064275038</c:v>
                </c:pt>
                <c:pt idx="13">
                  <c:v>277.48754359740906</c:v>
                </c:pt>
                <c:pt idx="14">
                  <c:v>278.37443946188341</c:v>
                </c:pt>
                <c:pt idx="15">
                  <c:v>417.8388141504733</c:v>
                </c:pt>
                <c:pt idx="16">
                  <c:v>515.78517733873832</c:v>
                </c:pt>
                <c:pt idx="17">
                  <c:v>636.6913272603457</c:v>
                </c:pt>
                <c:pt idx="18">
                  <c:v>785.93930965626203</c:v>
                </c:pt>
                <c:pt idx="19">
                  <c:v>970.17278548602133</c:v>
                </c:pt>
                <c:pt idx="20">
                  <c:v>1197.592768466262</c:v>
                </c:pt>
                <c:pt idx="21">
                  <c:v>1478.3226869883692</c:v>
                </c:pt>
                <c:pt idx="22">
                  <c:v>1824.8590208701473</c:v>
                </c:pt>
                <c:pt idx="23">
                  <c:v>2252.6275726954004</c:v>
                </c:pt>
                <c:pt idx="24">
                  <c:v>2780.670135739023</c:v>
                </c:pt>
                <c:pt idx="25">
                  <c:v>3432.4921249804888</c:v>
                </c:pt>
                <c:pt idx="26">
                  <c:v>4237.1089028586812</c:v>
                </c:pt>
                <c:pt idx="27">
                  <c:v>5230.3373761669873</c:v>
                </c:pt>
                <c:pt idx="28">
                  <c:v>6456.3903585467442</c:v>
                </c:pt>
                <c:pt idx="29">
                  <c:v>7969.8446704185408</c:v>
                </c:pt>
                <c:pt idx="30">
                  <c:v>9838.0705848300131</c:v>
                </c:pt>
                <c:pt idx="31">
                  <c:v>12144.230764163023</c:v>
                </c:pt>
                <c:pt idx="32">
                  <c:v>14990.982183097629</c:v>
                </c:pt>
                <c:pt idx="33">
                  <c:v>18505.045826131322</c:v>
                </c:pt>
                <c:pt idx="34">
                  <c:v>22842.847576279459</c:v>
                </c:pt>
                <c:pt idx="35">
                  <c:v>28197.481394847397</c:v>
                </c:pt>
                <c:pt idx="36">
                  <c:v>34807.304752950906</c:v>
                </c:pt>
                <c:pt idx="37">
                  <c:v>42966.548933912527</c:v>
                </c:pt>
                <c:pt idx="38">
                  <c:v>53038.416516113284</c:v>
                </c:pt>
                <c:pt idx="39">
                  <c:v>65471.24906083446</c:v>
                </c:pt>
                <c:pt idx="40">
                  <c:v>80818.4846974752</c:v>
                </c:pt>
                <c:pt idx="41">
                  <c:v>99763.294002944502</c:v>
                </c:pt>
                <c:pt idx="42">
                  <c:v>123148.99082275011</c:v>
                </c:pt>
                <c:pt idx="43">
                  <c:v>152016.57174846469</c:v>
                </c:pt>
                <c:pt idx="44">
                  <c:v>187651.05529299256</c:v>
                </c:pt>
                <c:pt idx="45">
                  <c:v>231638.68351694613</c:v>
                </c:pt>
                <c:pt idx="46">
                  <c:v>285937.53239323042</c:v>
                </c:pt>
                <c:pt idx="47">
                  <c:v>352964.67407676455</c:v>
                </c:pt>
                <c:pt idx="48">
                  <c:v>435703.77104179742</c:v>
                </c:pt>
                <c:pt idx="49">
                  <c:v>537837.89155839477</c:v>
                </c:pt>
                <c:pt idx="50">
                  <c:v>663913.4586884944</c:v>
                </c:pt>
                <c:pt idx="51">
                  <c:v>819542.63086698542</c:v>
                </c:pt>
                <c:pt idx="52">
                  <c:v>1011653.1228861794</c:v>
                </c:pt>
                <c:pt idx="53">
                  <c:v>1248796.5878756919</c:v>
                </c:pt>
                <c:pt idx="54">
                  <c:v>1541529.2876681299</c:v>
                </c:pt>
                <c:pt idx="55">
                  <c:v>1902881.996803754</c:v>
                </c:pt>
                <c:pt idx="56">
                  <c:v>2348940.0575951855</c:v>
                </c:pt>
                <c:pt idx="57">
                  <c:v>2899559.4069642671</c:v>
                </c:pt>
                <c:pt idx="58">
                  <c:v>3010391.120577977</c:v>
                </c:pt>
                <c:pt idx="59">
                  <c:v>3010391.120577977</c:v>
                </c:pt>
                <c:pt idx="60">
                  <c:v>3010391.120577977</c:v>
                </c:pt>
                <c:pt idx="61">
                  <c:v>3010391.120577977</c:v>
                </c:pt>
                <c:pt idx="62">
                  <c:v>3010391.120577977</c:v>
                </c:pt>
                <c:pt idx="63">
                  <c:v>3010391.120577977</c:v>
                </c:pt>
                <c:pt idx="64">
                  <c:v>3010391.120577977</c:v>
                </c:pt>
                <c:pt idx="65">
                  <c:v>3010391.120577977</c:v>
                </c:pt>
                <c:pt idx="66">
                  <c:v>3010391.120577977</c:v>
                </c:pt>
                <c:pt idx="67">
                  <c:v>3010391.120577977</c:v>
                </c:pt>
                <c:pt idx="68">
                  <c:v>3010391.120577977</c:v>
                </c:pt>
                <c:pt idx="69">
                  <c:v>3010391.120577977</c:v>
                </c:pt>
                <c:pt idx="70">
                  <c:v>3010391.120577977</c:v>
                </c:pt>
                <c:pt idx="71">
                  <c:v>3010391.120577977</c:v>
                </c:pt>
                <c:pt idx="72">
                  <c:v>3010391.120577977</c:v>
                </c:pt>
                <c:pt idx="73">
                  <c:v>3010391.120577977</c:v>
                </c:pt>
                <c:pt idx="74">
                  <c:v>3010391.120577977</c:v>
                </c:pt>
                <c:pt idx="75">
                  <c:v>3010391.120577977</c:v>
                </c:pt>
                <c:pt idx="76">
                  <c:v>3010391.120577977</c:v>
                </c:pt>
                <c:pt idx="77">
                  <c:v>3010391.120577977</c:v>
                </c:pt>
                <c:pt idx="78">
                  <c:v>3010391.120577977</c:v>
                </c:pt>
                <c:pt idx="79">
                  <c:v>3010391.120577977</c:v>
                </c:pt>
                <c:pt idx="80">
                  <c:v>3010391.120577977</c:v>
                </c:pt>
                <c:pt idx="81">
                  <c:v>3010391.120577977</c:v>
                </c:pt>
                <c:pt idx="82">
                  <c:v>3010391.120577977</c:v>
                </c:pt>
                <c:pt idx="83">
                  <c:v>3010391.120577977</c:v>
                </c:pt>
                <c:pt idx="84">
                  <c:v>3010391.120577977</c:v>
                </c:pt>
                <c:pt idx="85">
                  <c:v>3010391.120577977</c:v>
                </c:pt>
                <c:pt idx="86">
                  <c:v>3010391.120577977</c:v>
                </c:pt>
                <c:pt idx="87">
                  <c:v>3010391.120577977</c:v>
                </c:pt>
                <c:pt idx="88">
                  <c:v>3010391.120577977</c:v>
                </c:pt>
                <c:pt idx="89">
                  <c:v>3010391.120577977</c:v>
                </c:pt>
                <c:pt idx="90">
                  <c:v>3010391.120577977</c:v>
                </c:pt>
                <c:pt idx="91">
                  <c:v>3010391.120577977</c:v>
                </c:pt>
                <c:pt idx="92">
                  <c:v>3010391.120577977</c:v>
                </c:pt>
                <c:pt idx="93">
                  <c:v>3010391.120577977</c:v>
                </c:pt>
                <c:pt idx="94">
                  <c:v>3010391.120577977</c:v>
                </c:pt>
                <c:pt idx="95">
                  <c:v>3010391.120577977</c:v>
                </c:pt>
                <c:pt idx="96">
                  <c:v>3010391.120577977</c:v>
                </c:pt>
                <c:pt idx="97">
                  <c:v>3010391.120577977</c:v>
                </c:pt>
                <c:pt idx="98">
                  <c:v>3010391.120577977</c:v>
                </c:pt>
                <c:pt idx="99">
                  <c:v>3010391.120577977</c:v>
                </c:pt>
                <c:pt idx="100">
                  <c:v>3010391.120577977</c:v>
                </c:pt>
                <c:pt idx="101">
                  <c:v>3010391.120577977</c:v>
                </c:pt>
                <c:pt idx="102">
                  <c:v>3010391.120577977</c:v>
                </c:pt>
                <c:pt idx="103">
                  <c:v>3010391.120577977</c:v>
                </c:pt>
                <c:pt idx="104">
                  <c:v>3010391.120577977</c:v>
                </c:pt>
                <c:pt idx="105">
                  <c:v>3010391.120577977</c:v>
                </c:pt>
                <c:pt idx="106">
                  <c:v>3010391.120577977</c:v>
                </c:pt>
                <c:pt idx="107">
                  <c:v>3010391.120577977</c:v>
                </c:pt>
                <c:pt idx="108">
                  <c:v>3010391.120577977</c:v>
                </c:pt>
                <c:pt idx="109">
                  <c:v>3010391.120577977</c:v>
                </c:pt>
                <c:pt idx="110">
                  <c:v>3010391.120577977</c:v>
                </c:pt>
                <c:pt idx="111">
                  <c:v>3010391.120577977</c:v>
                </c:pt>
                <c:pt idx="112">
                  <c:v>3010391.120577977</c:v>
                </c:pt>
                <c:pt idx="113">
                  <c:v>3010391.120577977</c:v>
                </c:pt>
                <c:pt idx="114">
                  <c:v>3010391.120577977</c:v>
                </c:pt>
                <c:pt idx="115">
                  <c:v>3010391.120577977</c:v>
                </c:pt>
                <c:pt idx="116">
                  <c:v>3010391.120577977</c:v>
                </c:pt>
                <c:pt idx="117">
                  <c:v>3010391.120577977</c:v>
                </c:pt>
                <c:pt idx="118">
                  <c:v>3010391.120577977</c:v>
                </c:pt>
                <c:pt idx="119">
                  <c:v>3010391.120577977</c:v>
                </c:pt>
                <c:pt idx="120">
                  <c:v>3010391.120577977</c:v>
                </c:pt>
                <c:pt idx="121">
                  <c:v>3010391.120577977</c:v>
                </c:pt>
                <c:pt idx="122">
                  <c:v>3010391.120577977</c:v>
                </c:pt>
                <c:pt idx="123">
                  <c:v>3010391.120577977</c:v>
                </c:pt>
                <c:pt idx="124">
                  <c:v>3010391.120577977</c:v>
                </c:pt>
                <c:pt idx="125">
                  <c:v>3010391.120577977</c:v>
                </c:pt>
                <c:pt idx="126">
                  <c:v>3010391.120577977</c:v>
                </c:pt>
                <c:pt idx="127">
                  <c:v>3010391.120577977</c:v>
                </c:pt>
                <c:pt idx="128">
                  <c:v>3010391.120577977</c:v>
                </c:pt>
                <c:pt idx="129">
                  <c:v>3010391.120577977</c:v>
                </c:pt>
                <c:pt idx="130">
                  <c:v>3010391.120577977</c:v>
                </c:pt>
                <c:pt idx="131">
                  <c:v>3010391.120577977</c:v>
                </c:pt>
                <c:pt idx="132">
                  <c:v>3010391.120577977</c:v>
                </c:pt>
                <c:pt idx="133">
                  <c:v>3010391.120577977</c:v>
                </c:pt>
                <c:pt idx="134">
                  <c:v>3010391.120577977</c:v>
                </c:pt>
                <c:pt idx="135">
                  <c:v>3010391.120577977</c:v>
                </c:pt>
                <c:pt idx="136">
                  <c:v>3010391.120577977</c:v>
                </c:pt>
                <c:pt idx="137">
                  <c:v>3010391.120577977</c:v>
                </c:pt>
                <c:pt idx="138">
                  <c:v>3010391.120577977</c:v>
                </c:pt>
                <c:pt idx="139">
                  <c:v>3010391.120577977</c:v>
                </c:pt>
                <c:pt idx="140">
                  <c:v>3010391.120577977</c:v>
                </c:pt>
                <c:pt idx="141">
                  <c:v>3010391.120577977</c:v>
                </c:pt>
                <c:pt idx="142">
                  <c:v>3010391.120577977</c:v>
                </c:pt>
                <c:pt idx="143">
                  <c:v>3010391.120577977</c:v>
                </c:pt>
                <c:pt idx="144">
                  <c:v>3010391.120577977</c:v>
                </c:pt>
                <c:pt idx="145">
                  <c:v>3010391.120577977</c:v>
                </c:pt>
                <c:pt idx="146">
                  <c:v>3010391.120577977</c:v>
                </c:pt>
                <c:pt idx="147">
                  <c:v>3010391.120577977</c:v>
                </c:pt>
                <c:pt idx="148">
                  <c:v>3010391.120577977</c:v>
                </c:pt>
                <c:pt idx="149">
                  <c:v>3010391.120577977</c:v>
                </c:pt>
                <c:pt idx="150">
                  <c:v>3010391.120577977</c:v>
                </c:pt>
                <c:pt idx="151">
                  <c:v>3010391.120577977</c:v>
                </c:pt>
                <c:pt idx="152">
                  <c:v>3010391.120577977</c:v>
                </c:pt>
                <c:pt idx="153">
                  <c:v>3010391.120577977</c:v>
                </c:pt>
                <c:pt idx="154">
                  <c:v>3010391.120577977</c:v>
                </c:pt>
                <c:pt idx="155">
                  <c:v>3010391.120577977</c:v>
                </c:pt>
                <c:pt idx="156">
                  <c:v>3010391.120577977</c:v>
                </c:pt>
                <c:pt idx="157">
                  <c:v>3010391.120577977</c:v>
                </c:pt>
                <c:pt idx="158">
                  <c:v>3010391.120577977</c:v>
                </c:pt>
                <c:pt idx="159">
                  <c:v>3010391.120577977</c:v>
                </c:pt>
                <c:pt idx="160">
                  <c:v>3010391.120577977</c:v>
                </c:pt>
                <c:pt idx="161">
                  <c:v>3010391.120577977</c:v>
                </c:pt>
                <c:pt idx="162">
                  <c:v>3010391.120577977</c:v>
                </c:pt>
                <c:pt idx="163">
                  <c:v>3010391.120577977</c:v>
                </c:pt>
                <c:pt idx="164">
                  <c:v>3010391.120577977</c:v>
                </c:pt>
                <c:pt idx="165">
                  <c:v>3010391.120577977</c:v>
                </c:pt>
                <c:pt idx="166">
                  <c:v>3010391.120577977</c:v>
                </c:pt>
                <c:pt idx="167">
                  <c:v>3010391.120577977</c:v>
                </c:pt>
                <c:pt idx="168">
                  <c:v>3010391.120577977</c:v>
                </c:pt>
                <c:pt idx="169">
                  <c:v>3010391.120577977</c:v>
                </c:pt>
                <c:pt idx="170">
                  <c:v>3010391.120577977</c:v>
                </c:pt>
                <c:pt idx="171">
                  <c:v>3010391.120577977</c:v>
                </c:pt>
                <c:pt idx="172">
                  <c:v>3010391.120577977</c:v>
                </c:pt>
                <c:pt idx="173">
                  <c:v>3010391.120577977</c:v>
                </c:pt>
                <c:pt idx="174">
                  <c:v>3010391.120577977</c:v>
                </c:pt>
                <c:pt idx="175">
                  <c:v>3010391.120577977</c:v>
                </c:pt>
                <c:pt idx="176">
                  <c:v>3010391.120577977</c:v>
                </c:pt>
                <c:pt idx="177">
                  <c:v>3010391.120577977</c:v>
                </c:pt>
                <c:pt idx="178">
                  <c:v>3010391.120577977</c:v>
                </c:pt>
                <c:pt idx="179">
                  <c:v>3010391.120577977</c:v>
                </c:pt>
                <c:pt idx="180">
                  <c:v>3010391.120577977</c:v>
                </c:pt>
                <c:pt idx="181">
                  <c:v>3010391.120577977</c:v>
                </c:pt>
                <c:pt idx="182">
                  <c:v>3010391.120577977</c:v>
                </c:pt>
                <c:pt idx="183">
                  <c:v>3010391.120577977</c:v>
                </c:pt>
                <c:pt idx="184">
                  <c:v>3010391.120577977</c:v>
                </c:pt>
                <c:pt idx="185">
                  <c:v>3010391.120577977</c:v>
                </c:pt>
                <c:pt idx="186">
                  <c:v>3010391.120577977</c:v>
                </c:pt>
                <c:pt idx="187">
                  <c:v>3010391.120577977</c:v>
                </c:pt>
                <c:pt idx="188">
                  <c:v>3010391.120577977</c:v>
                </c:pt>
                <c:pt idx="189">
                  <c:v>3010391.120577977</c:v>
                </c:pt>
                <c:pt idx="190">
                  <c:v>3010391.120577977</c:v>
                </c:pt>
                <c:pt idx="191">
                  <c:v>3010391.120577977</c:v>
                </c:pt>
                <c:pt idx="192">
                  <c:v>3010391.120577977</c:v>
                </c:pt>
                <c:pt idx="193">
                  <c:v>3010391.120577977</c:v>
                </c:pt>
                <c:pt idx="194">
                  <c:v>3010391.120577977</c:v>
                </c:pt>
                <c:pt idx="195">
                  <c:v>3010391.120577977</c:v>
                </c:pt>
                <c:pt idx="196">
                  <c:v>3010391.120577977</c:v>
                </c:pt>
                <c:pt idx="197">
                  <c:v>3010391.120577977</c:v>
                </c:pt>
                <c:pt idx="198">
                  <c:v>3010391.120577977</c:v>
                </c:pt>
                <c:pt idx="199">
                  <c:v>3010391.120577977</c:v>
                </c:pt>
                <c:pt idx="200">
                  <c:v>3010391.120577977</c:v>
                </c:pt>
                <c:pt idx="201">
                  <c:v>3010391.120577977</c:v>
                </c:pt>
                <c:pt idx="202">
                  <c:v>3010391.120577977</c:v>
                </c:pt>
                <c:pt idx="203">
                  <c:v>3010391.120577977</c:v>
                </c:pt>
                <c:pt idx="204">
                  <c:v>3010391.120577977</c:v>
                </c:pt>
                <c:pt idx="205">
                  <c:v>3010391.120577977</c:v>
                </c:pt>
                <c:pt idx="206">
                  <c:v>3010391.120577977</c:v>
                </c:pt>
                <c:pt idx="207">
                  <c:v>3010391.120577977</c:v>
                </c:pt>
                <c:pt idx="208">
                  <c:v>3010391.120577977</c:v>
                </c:pt>
                <c:pt idx="209">
                  <c:v>3010391.120577977</c:v>
                </c:pt>
                <c:pt idx="210">
                  <c:v>3010391.120577977</c:v>
                </c:pt>
                <c:pt idx="211">
                  <c:v>3010391.120577977</c:v>
                </c:pt>
                <c:pt idx="212">
                  <c:v>3010391.120577977</c:v>
                </c:pt>
                <c:pt idx="213">
                  <c:v>3010391.120577977</c:v>
                </c:pt>
                <c:pt idx="214">
                  <c:v>3010391.120577977</c:v>
                </c:pt>
                <c:pt idx="215">
                  <c:v>3010391.120577977</c:v>
                </c:pt>
                <c:pt idx="216">
                  <c:v>3010391.120577977</c:v>
                </c:pt>
                <c:pt idx="217">
                  <c:v>3010391.120577977</c:v>
                </c:pt>
                <c:pt idx="218">
                  <c:v>3010391.120577977</c:v>
                </c:pt>
                <c:pt idx="219">
                  <c:v>3010391.120577977</c:v>
                </c:pt>
                <c:pt idx="220">
                  <c:v>3010391.120577977</c:v>
                </c:pt>
                <c:pt idx="221">
                  <c:v>3010391.120577977</c:v>
                </c:pt>
                <c:pt idx="222">
                  <c:v>3010391.120577977</c:v>
                </c:pt>
                <c:pt idx="223">
                  <c:v>3010391.120577977</c:v>
                </c:pt>
                <c:pt idx="224">
                  <c:v>3010391.120577977</c:v>
                </c:pt>
                <c:pt idx="225">
                  <c:v>3010391.120577977</c:v>
                </c:pt>
                <c:pt idx="226">
                  <c:v>3010391.120577977</c:v>
                </c:pt>
                <c:pt idx="227">
                  <c:v>3010391.120577977</c:v>
                </c:pt>
                <c:pt idx="228">
                  <c:v>3010391.120577977</c:v>
                </c:pt>
                <c:pt idx="229">
                  <c:v>3010391.120577977</c:v>
                </c:pt>
                <c:pt idx="230">
                  <c:v>3010391.120577977</c:v>
                </c:pt>
                <c:pt idx="231">
                  <c:v>3010391.120577977</c:v>
                </c:pt>
                <c:pt idx="232">
                  <c:v>3010391.120577977</c:v>
                </c:pt>
                <c:pt idx="233">
                  <c:v>3010391.120577977</c:v>
                </c:pt>
                <c:pt idx="234">
                  <c:v>3010391.120577977</c:v>
                </c:pt>
                <c:pt idx="235">
                  <c:v>3010391.120577977</c:v>
                </c:pt>
                <c:pt idx="236">
                  <c:v>3010391.120577977</c:v>
                </c:pt>
                <c:pt idx="237">
                  <c:v>3010391.120577977</c:v>
                </c:pt>
                <c:pt idx="238">
                  <c:v>3010391.120577977</c:v>
                </c:pt>
                <c:pt idx="239">
                  <c:v>3010391.120577977</c:v>
                </c:pt>
                <c:pt idx="240">
                  <c:v>3010391.120577977</c:v>
                </c:pt>
                <c:pt idx="241">
                  <c:v>3010391.120577977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A7-483E-90D3-DC3447DC1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6559824"/>
        <c:axId val="1014577744"/>
      </c:lineChart>
      <c:dateAx>
        <c:axId val="1216559824"/>
        <c:scaling>
          <c:orientation val="minMax"/>
          <c:max val="43926"/>
          <c:min val="438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14577744"/>
        <c:crosses val="autoZero"/>
        <c:auto val="0"/>
        <c:lblOffset val="100"/>
        <c:baseTimeUnit val="days"/>
        <c:majorUnit val="3"/>
        <c:majorTimeUnit val="days"/>
      </c:dateAx>
      <c:valAx>
        <c:axId val="1014577744"/>
        <c:scaling>
          <c:orientation val="minMax"/>
          <c:max val="6355.663354288021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Critically ill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21655982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"/>
          <c:y val="0.89944042342335062"/>
          <c:w val="1"/>
          <c:h val="0.10055957657664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/>
              <a:t>Number</a:t>
            </a:r>
            <a:r>
              <a:rPr lang="en-GB" baseline="0"/>
              <a:t> of cases country by day since 100th infection</a:t>
            </a:r>
            <a:endParaRPr lang="en-GB"/>
          </a:p>
        </c:rich>
      </c:tx>
      <c:layout>
        <c:manualLayout>
          <c:xMode val="edge"/>
          <c:yMode val="edge"/>
          <c:x val="0.22355952870983875"/>
          <c:y val="1.72328902018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485542965665876E-2"/>
          <c:y val="7.4670365244226308E-2"/>
          <c:w val="0.72780846534149513"/>
          <c:h val="0.81719722257760619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Days_Since_100!$I$2:$KU$2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150</c:v>
                </c:pt>
                <c:pt idx="2">
                  <c:v>225</c:v>
                </c:pt>
                <c:pt idx="3">
                  <c:v>337.5</c:v>
                </c:pt>
                <c:pt idx="4">
                  <c:v>506.25</c:v>
                </c:pt>
                <c:pt idx="5">
                  <c:v>759.375</c:v>
                </c:pt>
                <c:pt idx="6">
                  <c:v>1139.0625</c:v>
                </c:pt>
                <c:pt idx="7">
                  <c:v>1708.59375</c:v>
                </c:pt>
                <c:pt idx="8">
                  <c:v>2562.890625</c:v>
                </c:pt>
                <c:pt idx="9">
                  <c:v>3844.3359375</c:v>
                </c:pt>
                <c:pt idx="10">
                  <c:v>5766.50390625</c:v>
                </c:pt>
                <c:pt idx="11">
                  <c:v>8649.755859375</c:v>
                </c:pt>
                <c:pt idx="12">
                  <c:v>12974.6337890625</c:v>
                </c:pt>
                <c:pt idx="13">
                  <c:v>19461.95068359375</c:v>
                </c:pt>
                <c:pt idx="14">
                  <c:v>29192.926025390625</c:v>
                </c:pt>
                <c:pt idx="15">
                  <c:v>43789.389038085938</c:v>
                </c:pt>
                <c:pt idx="16">
                  <c:v>65684.083557128906</c:v>
                </c:pt>
                <c:pt idx="17">
                  <c:v>98526.125335693359</c:v>
                </c:pt>
                <c:pt idx="18">
                  <c:v>147789.18800354004</c:v>
                </c:pt>
                <c:pt idx="19">
                  <c:v>221683.78200531006</c:v>
                </c:pt>
                <c:pt idx="20">
                  <c:v>332525.67300796509</c:v>
                </c:pt>
                <c:pt idx="21">
                  <c:v>498788.50951194763</c:v>
                </c:pt>
                <c:pt idx="22">
                  <c:v>748182.76426792145</c:v>
                </c:pt>
                <c:pt idx="23">
                  <c:v>1122274.1464018822</c:v>
                </c:pt>
                <c:pt idx="24">
                  <c:v>1683411.2196028233</c:v>
                </c:pt>
                <c:pt idx="25">
                  <c:v>2525116.8294042349</c:v>
                </c:pt>
                <c:pt idx="26">
                  <c:v>3787675.2441063523</c:v>
                </c:pt>
                <c:pt idx="27">
                  <c:v>5681512.8661595285</c:v>
                </c:pt>
                <c:pt idx="28">
                  <c:v>8522269.2992392927</c:v>
                </c:pt>
                <c:pt idx="29">
                  <c:v>12783403.948858939</c:v>
                </c:pt>
                <c:pt idx="30">
                  <c:v>19175105.923288409</c:v>
                </c:pt>
                <c:pt idx="31">
                  <c:v>28762658.884932615</c:v>
                </c:pt>
                <c:pt idx="32">
                  <c:v>43143988.327398926</c:v>
                </c:pt>
                <c:pt idx="33">
                  <c:v>64715982.491098389</c:v>
                </c:pt>
                <c:pt idx="34">
                  <c:v>97073973.736647576</c:v>
                </c:pt>
                <c:pt idx="35">
                  <c:v>145610960.60497135</c:v>
                </c:pt>
                <c:pt idx="36">
                  <c:v>218416440.90745702</c:v>
                </c:pt>
                <c:pt idx="37">
                  <c:v>327624661.36118555</c:v>
                </c:pt>
                <c:pt idx="38">
                  <c:v>491436992.04177833</c:v>
                </c:pt>
                <c:pt idx="39">
                  <c:v>737155488.06266749</c:v>
                </c:pt>
                <c:pt idx="40">
                  <c:v>1105733232.0940013</c:v>
                </c:pt>
                <c:pt idx="41">
                  <c:v>1658599848.1410019</c:v>
                </c:pt>
                <c:pt idx="42">
                  <c:v>2487899772.211503</c:v>
                </c:pt>
                <c:pt idx="43">
                  <c:v>3731849658.3172545</c:v>
                </c:pt>
                <c:pt idx="44">
                  <c:v>5597774487.4758816</c:v>
                </c:pt>
                <c:pt idx="45">
                  <c:v>8396661731.2138224</c:v>
                </c:pt>
                <c:pt idx="46">
                  <c:v>12594992596.820734</c:v>
                </c:pt>
                <c:pt idx="47">
                  <c:v>18892488895.231102</c:v>
                </c:pt>
                <c:pt idx="48">
                  <c:v>28338733342.846653</c:v>
                </c:pt>
                <c:pt idx="49">
                  <c:v>42508100014.269981</c:v>
                </c:pt>
                <c:pt idx="50">
                  <c:v>63762150021.404968</c:v>
                </c:pt>
                <c:pt idx="51">
                  <c:v>95643225032.107452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Days_Since_100!$I$3:$KU$3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140</c:v>
                </c:pt>
                <c:pt idx="2">
                  <c:v>196</c:v>
                </c:pt>
                <c:pt idx="3">
                  <c:v>274.39999999999998</c:v>
                </c:pt>
                <c:pt idx="4">
                  <c:v>384.15999999999997</c:v>
                </c:pt>
                <c:pt idx="5">
                  <c:v>537.82399999999996</c:v>
                </c:pt>
                <c:pt idx="6">
                  <c:v>752.95359999999994</c:v>
                </c:pt>
                <c:pt idx="7">
                  <c:v>1054.1350399999999</c:v>
                </c:pt>
                <c:pt idx="8">
                  <c:v>1475.7890559999998</c:v>
                </c:pt>
                <c:pt idx="9">
                  <c:v>2066.1046783999996</c:v>
                </c:pt>
                <c:pt idx="10">
                  <c:v>2892.5465497599994</c:v>
                </c:pt>
                <c:pt idx="11">
                  <c:v>4049.5651696639989</c:v>
                </c:pt>
                <c:pt idx="12">
                  <c:v>5669.3912375295977</c:v>
                </c:pt>
                <c:pt idx="13">
                  <c:v>7937.1477325414362</c:v>
                </c:pt>
                <c:pt idx="14">
                  <c:v>11112.00682555801</c:v>
                </c:pt>
                <c:pt idx="15">
                  <c:v>15556.809555781212</c:v>
                </c:pt>
                <c:pt idx="16">
                  <c:v>21779.533378093696</c:v>
                </c:pt>
                <c:pt idx="17">
                  <c:v>30491.346729331173</c:v>
                </c:pt>
                <c:pt idx="18">
                  <c:v>42687.885421063642</c:v>
                </c:pt>
                <c:pt idx="19">
                  <c:v>59763.039589489097</c:v>
                </c:pt>
                <c:pt idx="20">
                  <c:v>83668.255425284733</c:v>
                </c:pt>
                <c:pt idx="21">
                  <c:v>117135.55759539861</c:v>
                </c:pt>
                <c:pt idx="22">
                  <c:v>163989.78063355805</c:v>
                </c:pt>
                <c:pt idx="23">
                  <c:v>229585.69288698127</c:v>
                </c:pt>
                <c:pt idx="24">
                  <c:v>321419.97004177375</c:v>
                </c:pt>
                <c:pt idx="25">
                  <c:v>449987.9580584832</c:v>
                </c:pt>
                <c:pt idx="26">
                  <c:v>629983.14128187648</c:v>
                </c:pt>
                <c:pt idx="27">
                  <c:v>881976.397794627</c:v>
                </c:pt>
                <c:pt idx="28">
                  <c:v>1234766.9569124777</c:v>
                </c:pt>
                <c:pt idx="29">
                  <c:v>1728673.7396774688</c:v>
                </c:pt>
                <c:pt idx="30">
                  <c:v>2420143.2355484562</c:v>
                </c:pt>
                <c:pt idx="31">
                  <c:v>3388200.5297678383</c:v>
                </c:pt>
                <c:pt idx="32">
                  <c:v>4743480.7416749736</c:v>
                </c:pt>
                <c:pt idx="33">
                  <c:v>6640873.0383449625</c:v>
                </c:pt>
                <c:pt idx="34">
                  <c:v>9297222.2536829468</c:v>
                </c:pt>
                <c:pt idx="35">
                  <c:v>13016111.155156124</c:v>
                </c:pt>
                <c:pt idx="36">
                  <c:v>18222555.617218573</c:v>
                </c:pt>
                <c:pt idx="37">
                  <c:v>25511577.864105999</c:v>
                </c:pt>
                <c:pt idx="38">
                  <c:v>35716209.009748399</c:v>
                </c:pt>
                <c:pt idx="39">
                  <c:v>50002692.613647759</c:v>
                </c:pt>
                <c:pt idx="40">
                  <c:v>70003769.659106866</c:v>
                </c:pt>
                <c:pt idx="41">
                  <c:v>98005277.522749603</c:v>
                </c:pt>
                <c:pt idx="42">
                  <c:v>137207388.53184944</c:v>
                </c:pt>
                <c:pt idx="43">
                  <c:v>192090343.9445892</c:v>
                </c:pt>
                <c:pt idx="44">
                  <c:v>268926481.52242488</c:v>
                </c:pt>
                <c:pt idx="45">
                  <c:v>376497074.1313948</c:v>
                </c:pt>
                <c:pt idx="46">
                  <c:v>527095903.78395271</c:v>
                </c:pt>
                <c:pt idx="47">
                  <c:v>737934265.29753375</c:v>
                </c:pt>
                <c:pt idx="48">
                  <c:v>1033107971.4165472</c:v>
                </c:pt>
                <c:pt idx="49">
                  <c:v>1446351159.983166</c:v>
                </c:pt>
                <c:pt idx="50">
                  <c:v>2024891623.9764323</c:v>
                </c:pt>
                <c:pt idx="51">
                  <c:v>2834848273.5670052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Days_Since_100!$I$4:$KU$4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130</c:v>
                </c:pt>
                <c:pt idx="2">
                  <c:v>169</c:v>
                </c:pt>
                <c:pt idx="3">
                  <c:v>219.70000000000002</c:v>
                </c:pt>
                <c:pt idx="4">
                  <c:v>285.61</c:v>
                </c:pt>
                <c:pt idx="5">
                  <c:v>371.29300000000001</c:v>
                </c:pt>
                <c:pt idx="6">
                  <c:v>482.68090000000001</c:v>
                </c:pt>
                <c:pt idx="7">
                  <c:v>627.48517000000004</c:v>
                </c:pt>
                <c:pt idx="8">
                  <c:v>815.73072100000013</c:v>
                </c:pt>
                <c:pt idx="9">
                  <c:v>1060.4499373000001</c:v>
                </c:pt>
                <c:pt idx="10">
                  <c:v>1378.5849184900003</c:v>
                </c:pt>
                <c:pt idx="11">
                  <c:v>1792.1603940370005</c:v>
                </c:pt>
                <c:pt idx="12">
                  <c:v>2329.8085122481007</c:v>
                </c:pt>
                <c:pt idx="13">
                  <c:v>3028.7510659225309</c:v>
                </c:pt>
                <c:pt idx="14">
                  <c:v>3937.37638569929</c:v>
                </c:pt>
                <c:pt idx="15">
                  <c:v>5118.5893014090771</c:v>
                </c:pt>
                <c:pt idx="16">
                  <c:v>6654.1660918318003</c:v>
                </c:pt>
                <c:pt idx="17">
                  <c:v>8650.4159193813412</c:v>
                </c:pt>
                <c:pt idx="18">
                  <c:v>11245.540695195745</c:v>
                </c:pt>
                <c:pt idx="19">
                  <c:v>14619.202903754469</c:v>
                </c:pt>
                <c:pt idx="20">
                  <c:v>19004.963774880809</c:v>
                </c:pt>
                <c:pt idx="21">
                  <c:v>24706.452907345054</c:v>
                </c:pt>
                <c:pt idx="22">
                  <c:v>32118.388779548572</c:v>
                </c:pt>
                <c:pt idx="23">
                  <c:v>41753.905413413144</c:v>
                </c:pt>
                <c:pt idx="24">
                  <c:v>54280.077037437091</c:v>
                </c:pt>
                <c:pt idx="25">
                  <c:v>70564.100148668222</c:v>
                </c:pt>
                <c:pt idx="26">
                  <c:v>91733.330193268688</c:v>
                </c:pt>
                <c:pt idx="27">
                  <c:v>119253.32925124929</c:v>
                </c:pt>
                <c:pt idx="28">
                  <c:v>155029.32802662408</c:v>
                </c:pt>
                <c:pt idx="29">
                  <c:v>201538.1264346113</c:v>
                </c:pt>
                <c:pt idx="30">
                  <c:v>261999.5643649947</c:v>
                </c:pt>
                <c:pt idx="31">
                  <c:v>340599.43367449311</c:v>
                </c:pt>
                <c:pt idx="32">
                  <c:v>442779.26377684105</c:v>
                </c:pt>
                <c:pt idx="33">
                  <c:v>575613.04290989344</c:v>
                </c:pt>
                <c:pt idx="34">
                  <c:v>748296.95578286145</c:v>
                </c:pt>
                <c:pt idx="35">
                  <c:v>972786.04251771991</c:v>
                </c:pt>
                <c:pt idx="36">
                  <c:v>1264621.8552730358</c:v>
                </c:pt>
                <c:pt idx="37">
                  <c:v>1644008.4118549465</c:v>
                </c:pt>
                <c:pt idx="38">
                  <c:v>2137210.9354114304</c:v>
                </c:pt>
                <c:pt idx="39">
                  <c:v>2778374.2160348599</c:v>
                </c:pt>
                <c:pt idx="40">
                  <c:v>3611886.4808453182</c:v>
                </c:pt>
                <c:pt idx="41">
                  <c:v>4695452.4250989137</c:v>
                </c:pt>
                <c:pt idx="42">
                  <c:v>6104088.1526285885</c:v>
                </c:pt>
                <c:pt idx="43">
                  <c:v>7935314.5984171657</c:v>
                </c:pt>
                <c:pt idx="44">
                  <c:v>10315908.977942316</c:v>
                </c:pt>
                <c:pt idx="45">
                  <c:v>13410681.671325011</c:v>
                </c:pt>
                <c:pt idx="46">
                  <c:v>17433886.172722515</c:v>
                </c:pt>
                <c:pt idx="47">
                  <c:v>22664052.02453927</c:v>
                </c:pt>
                <c:pt idx="48">
                  <c:v>29463267.631901052</c:v>
                </c:pt>
                <c:pt idx="49">
                  <c:v>38302247.921471372</c:v>
                </c:pt>
                <c:pt idx="50">
                  <c:v>49792922.297912784</c:v>
                </c:pt>
                <c:pt idx="51">
                  <c:v>64730798.98728662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Days_Since_100!$H$5</c:f>
              <c:strCache>
                <c:ptCount val="1"/>
                <c:pt idx="0">
                  <c:v>China</c:v>
                </c:pt>
              </c:strCache>
            </c:strRef>
          </c:tx>
          <c:spPr>
            <a:ln w="444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Days_Since_100!$I$5:$KU$5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548</c:v>
                </c:pt>
                <c:pt idx="5">
                  <c:v>643</c:v>
                </c:pt>
                <c:pt idx="6">
                  <c:v>920</c:v>
                </c:pt>
                <c:pt idx="7">
                  <c:v>1406</c:v>
                </c:pt>
                <c:pt idx="8">
                  <c:v>2075</c:v>
                </c:pt>
                <c:pt idx="9">
                  <c:v>2877</c:v>
                </c:pt>
                <c:pt idx="10">
                  <c:v>5509</c:v>
                </c:pt>
                <c:pt idx="11">
                  <c:v>6087</c:v>
                </c:pt>
                <c:pt idx="12">
                  <c:v>8141</c:v>
                </c:pt>
                <c:pt idx="13">
                  <c:v>9802</c:v>
                </c:pt>
                <c:pt idx="14">
                  <c:v>11891</c:v>
                </c:pt>
                <c:pt idx="15">
                  <c:v>16630</c:v>
                </c:pt>
                <c:pt idx="16">
                  <c:v>19716</c:v>
                </c:pt>
                <c:pt idx="17">
                  <c:v>23707</c:v>
                </c:pt>
                <c:pt idx="18">
                  <c:v>27440</c:v>
                </c:pt>
                <c:pt idx="19">
                  <c:v>30587</c:v>
                </c:pt>
                <c:pt idx="20">
                  <c:v>34110</c:v>
                </c:pt>
                <c:pt idx="21">
                  <c:v>36814</c:v>
                </c:pt>
                <c:pt idx="22">
                  <c:v>39829</c:v>
                </c:pt>
                <c:pt idx="23">
                  <c:v>42354</c:v>
                </c:pt>
                <c:pt idx="24">
                  <c:v>44386</c:v>
                </c:pt>
                <c:pt idx="25">
                  <c:v>44759</c:v>
                </c:pt>
                <c:pt idx="26">
                  <c:v>59895</c:v>
                </c:pt>
                <c:pt idx="27">
                  <c:v>66358</c:v>
                </c:pt>
                <c:pt idx="28">
                  <c:v>68413</c:v>
                </c:pt>
                <c:pt idx="29">
                  <c:v>70513</c:v>
                </c:pt>
                <c:pt idx="30">
                  <c:v>72434</c:v>
                </c:pt>
                <c:pt idx="31">
                  <c:v>74211</c:v>
                </c:pt>
                <c:pt idx="32">
                  <c:v>74619</c:v>
                </c:pt>
                <c:pt idx="33">
                  <c:v>75077</c:v>
                </c:pt>
                <c:pt idx="34">
                  <c:v>75550</c:v>
                </c:pt>
                <c:pt idx="35">
                  <c:v>77001</c:v>
                </c:pt>
                <c:pt idx="36">
                  <c:v>77022</c:v>
                </c:pt>
                <c:pt idx="37">
                  <c:v>77241</c:v>
                </c:pt>
                <c:pt idx="38">
                  <c:v>77754</c:v>
                </c:pt>
                <c:pt idx="39">
                  <c:v>78166</c:v>
                </c:pt>
                <c:pt idx="40">
                  <c:v>78600</c:v>
                </c:pt>
                <c:pt idx="41">
                  <c:v>78928</c:v>
                </c:pt>
                <c:pt idx="42">
                  <c:v>79356</c:v>
                </c:pt>
                <c:pt idx="43">
                  <c:v>79932</c:v>
                </c:pt>
                <c:pt idx="44">
                  <c:v>80136</c:v>
                </c:pt>
                <c:pt idx="45">
                  <c:v>80261</c:v>
                </c:pt>
                <c:pt idx="46">
                  <c:v>80386</c:v>
                </c:pt>
                <c:pt idx="47">
                  <c:v>80537</c:v>
                </c:pt>
                <c:pt idx="48">
                  <c:v>80690</c:v>
                </c:pt>
                <c:pt idx="49">
                  <c:v>80770</c:v>
                </c:pt>
                <c:pt idx="50">
                  <c:v>80823</c:v>
                </c:pt>
                <c:pt idx="51">
                  <c:v>80860</c:v>
                </c:pt>
                <c:pt idx="52">
                  <c:v>80887</c:v>
                </c:pt>
                <c:pt idx="53">
                  <c:v>80921</c:v>
                </c:pt>
                <c:pt idx="54">
                  <c:v>80932</c:v>
                </c:pt>
                <c:pt idx="55">
                  <c:v>80945</c:v>
                </c:pt>
                <c:pt idx="56">
                  <c:v>80977</c:v>
                </c:pt>
                <c:pt idx="57">
                  <c:v>81003</c:v>
                </c:pt>
                <c:pt idx="58">
                  <c:v>81033</c:v>
                </c:pt>
                <c:pt idx="59">
                  <c:v>81058</c:v>
                </c:pt>
                <c:pt idx="60">
                  <c:v>81102</c:v>
                </c:pt>
                <c:pt idx="61">
                  <c:v>81156</c:v>
                </c:pt>
                <c:pt idx="62">
                  <c:v>81250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Days_Since_100!$H$6</c:f>
              <c:strCache>
                <c:ptCount val="1"/>
                <c:pt idx="0">
                  <c:v>Italy</c:v>
                </c:pt>
              </c:strCache>
            </c:strRef>
          </c:tx>
          <c:spPr>
            <a:ln w="4445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Days_Since_100!$I$6:$II$6</c:f>
              <c:numCache>
                <c:formatCode>General</c:formatCode>
                <c:ptCount val="235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12462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Days_Since_100!$H$7</c:f>
              <c:strCache>
                <c:ptCount val="1"/>
                <c:pt idx="0">
                  <c:v>Germany</c:v>
                </c:pt>
              </c:strCache>
            </c:strRef>
          </c:tx>
          <c:spPr>
            <a:ln w="44450" cap="rnd" cmpd="sng" algn="ctr">
              <a:solidFill>
                <a:srgbClr val="70AD47">
                  <a:lumMod val="8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Days_Since_100!$I$7:$IC$7</c:f>
              <c:numCache>
                <c:formatCode>General</c:formatCode>
                <c:ptCount val="22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Days_Since_100!$H$8</c:f>
              <c:strCache>
                <c:ptCount val="1"/>
                <c:pt idx="0">
                  <c:v>US</c:v>
                </c:pt>
              </c:strCache>
            </c:strRef>
          </c:tx>
          <c:spPr>
            <a:ln w="4445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Days_Since_100!$I$8:$IO$8</c:f>
              <c:numCache>
                <c:formatCode>General</c:formatCode>
                <c:ptCount val="241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13677</c:v>
                </c:pt>
                <c:pt idx="17">
                  <c:v>19100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ser>
          <c:idx val="8"/>
          <c:order val="7"/>
          <c:tx>
            <c:strRef>
              <c:f>Days_Since_100!$H$9</c:f>
              <c:strCache>
                <c:ptCount val="1"/>
                <c:pt idx="0">
                  <c:v>France</c:v>
                </c:pt>
              </c:strCache>
            </c:strRef>
          </c:tx>
          <c:spPr>
            <a:ln w="44450" cap="rnd" cmpd="sng" algn="ctr">
              <a:solidFill>
                <a:srgbClr val="4472C4">
                  <a:lumMod val="80000"/>
                  <a:lumOff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Days_Since_100!$I$9:$HS$9</c:f>
              <c:numCache>
                <c:formatCode>General</c:formatCode>
                <c:ptCount val="21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957</c:v>
                </c:pt>
                <c:pt idx="8">
                  <c:v>1134</c:v>
                </c:pt>
                <c:pt idx="9">
                  <c:v>1217</c:v>
                </c:pt>
                <c:pt idx="10">
                  <c:v>1792</c:v>
                </c:pt>
                <c:pt idx="11">
                  <c:v>2290</c:v>
                </c:pt>
                <c:pt idx="12">
                  <c:v>2290</c:v>
                </c:pt>
                <c:pt idx="13">
                  <c:v>3678</c:v>
                </c:pt>
                <c:pt idx="14">
                  <c:v>4487</c:v>
                </c:pt>
                <c:pt idx="15">
                  <c:v>4523</c:v>
                </c:pt>
                <c:pt idx="16">
                  <c:v>6668</c:v>
                </c:pt>
                <c:pt idx="17">
                  <c:v>7699</c:v>
                </c:pt>
                <c:pt idx="18">
                  <c:v>9105</c:v>
                </c:pt>
                <c:pt idx="19">
                  <c:v>10947</c:v>
                </c:pt>
                <c:pt idx="20">
                  <c:v>12726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39-447C-95C3-9E180202C83B}"/>
            </c:ext>
          </c:extLst>
        </c:ser>
        <c:ser>
          <c:idx val="9"/>
          <c:order val="8"/>
          <c:tx>
            <c:strRef>
              <c:f>Days_Since_100!$H$10</c:f>
              <c:strCache>
                <c:ptCount val="1"/>
                <c:pt idx="0">
                  <c:v>Korea, South</c:v>
                </c:pt>
              </c:strCache>
            </c:strRef>
          </c:tx>
          <c:spPr>
            <a:ln w="44450" cap="rnd" cmpd="sng" algn="ctr">
              <a:solidFill>
                <a:srgbClr val="ED7D31">
                  <a:lumMod val="80000"/>
                  <a:lumOff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Days_Since_100!$I$10:$HU$10</c:f>
              <c:numCache>
                <c:formatCode>General</c:formatCode>
                <c:ptCount val="221"/>
                <c:pt idx="0">
                  <c:v>104</c:v>
                </c:pt>
                <c:pt idx="1">
                  <c:v>204</c:v>
                </c:pt>
                <c:pt idx="2">
                  <c:v>433</c:v>
                </c:pt>
                <c:pt idx="3">
                  <c:v>602</c:v>
                </c:pt>
                <c:pt idx="4">
                  <c:v>833</c:v>
                </c:pt>
                <c:pt idx="5">
                  <c:v>977</c:v>
                </c:pt>
                <c:pt idx="6">
                  <c:v>1261</c:v>
                </c:pt>
                <c:pt idx="7">
                  <c:v>1766</c:v>
                </c:pt>
                <c:pt idx="8">
                  <c:v>2337</c:v>
                </c:pt>
                <c:pt idx="9">
                  <c:v>3150</c:v>
                </c:pt>
                <c:pt idx="10">
                  <c:v>3736</c:v>
                </c:pt>
                <c:pt idx="11">
                  <c:v>4335</c:v>
                </c:pt>
                <c:pt idx="12">
                  <c:v>5186</c:v>
                </c:pt>
                <c:pt idx="13">
                  <c:v>5621</c:v>
                </c:pt>
                <c:pt idx="14">
                  <c:v>6088</c:v>
                </c:pt>
                <c:pt idx="15">
                  <c:v>6593</c:v>
                </c:pt>
                <c:pt idx="16">
                  <c:v>7041</c:v>
                </c:pt>
                <c:pt idx="17">
                  <c:v>7314</c:v>
                </c:pt>
                <c:pt idx="18">
                  <c:v>7478</c:v>
                </c:pt>
                <c:pt idx="19">
                  <c:v>7513</c:v>
                </c:pt>
                <c:pt idx="20">
                  <c:v>7755</c:v>
                </c:pt>
                <c:pt idx="21">
                  <c:v>7869</c:v>
                </c:pt>
                <c:pt idx="22">
                  <c:v>7979</c:v>
                </c:pt>
                <c:pt idx="23">
                  <c:v>8086</c:v>
                </c:pt>
                <c:pt idx="24">
                  <c:v>8162</c:v>
                </c:pt>
                <c:pt idx="25">
                  <c:v>8236</c:v>
                </c:pt>
                <c:pt idx="26">
                  <c:v>8320</c:v>
                </c:pt>
                <c:pt idx="27">
                  <c:v>8413</c:v>
                </c:pt>
                <c:pt idx="28">
                  <c:v>8565</c:v>
                </c:pt>
                <c:pt idx="29">
                  <c:v>8652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39-447C-95C3-9E180202C83B}"/>
            </c:ext>
          </c:extLst>
        </c:ser>
        <c:ser>
          <c:idx val="10"/>
          <c:order val="9"/>
          <c:tx>
            <c:strRef>
              <c:f>Days_Since_100!$H$11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Days_Since_100!$I$11:$HW$11</c:f>
              <c:numCache>
                <c:formatCode>General</c:formatCode>
                <c:ptCount val="223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2716</c:v>
                </c:pt>
                <c:pt idx="15">
                  <c:v>4014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39-447C-95C3-9E180202C83B}"/>
            </c:ext>
          </c:extLst>
        </c:ser>
        <c:ser>
          <c:idx val="11"/>
          <c:order val="10"/>
          <c:tx>
            <c:strRef>
              <c:f>Days_Since_100!$H$12</c:f>
              <c:strCache>
                <c:ptCount val="1"/>
                <c:pt idx="0">
                  <c:v>Japan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40000"/>
                  <a:lumOff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Days_Since_100!$I$12:$HQ$12</c:f>
              <c:numCache>
                <c:formatCode>General</c:formatCode>
                <c:ptCount val="217"/>
                <c:pt idx="0">
                  <c:v>105</c:v>
                </c:pt>
                <c:pt idx="1">
                  <c:v>122</c:v>
                </c:pt>
                <c:pt idx="2">
                  <c:v>147</c:v>
                </c:pt>
                <c:pt idx="3">
                  <c:v>159</c:v>
                </c:pt>
                <c:pt idx="4">
                  <c:v>170</c:v>
                </c:pt>
                <c:pt idx="5">
                  <c:v>189</c:v>
                </c:pt>
                <c:pt idx="6">
                  <c:v>214</c:v>
                </c:pt>
                <c:pt idx="7">
                  <c:v>228</c:v>
                </c:pt>
                <c:pt idx="8">
                  <c:v>241</c:v>
                </c:pt>
                <c:pt idx="9">
                  <c:v>256</c:v>
                </c:pt>
                <c:pt idx="10">
                  <c:v>274</c:v>
                </c:pt>
                <c:pt idx="11">
                  <c:v>293</c:v>
                </c:pt>
                <c:pt idx="12">
                  <c:v>331</c:v>
                </c:pt>
                <c:pt idx="13">
                  <c:v>360</c:v>
                </c:pt>
                <c:pt idx="14">
                  <c:v>420</c:v>
                </c:pt>
                <c:pt idx="15">
                  <c:v>461</c:v>
                </c:pt>
                <c:pt idx="16">
                  <c:v>502</c:v>
                </c:pt>
                <c:pt idx="17">
                  <c:v>511</c:v>
                </c:pt>
                <c:pt idx="18">
                  <c:v>581</c:v>
                </c:pt>
                <c:pt idx="19">
                  <c:v>639</c:v>
                </c:pt>
                <c:pt idx="20">
                  <c:v>639</c:v>
                </c:pt>
                <c:pt idx="21">
                  <c:v>701</c:v>
                </c:pt>
                <c:pt idx="22">
                  <c:v>773</c:v>
                </c:pt>
                <c:pt idx="23">
                  <c:v>839</c:v>
                </c:pt>
                <c:pt idx="24">
                  <c:v>825</c:v>
                </c:pt>
                <c:pt idx="25">
                  <c:v>878</c:v>
                </c:pt>
                <c:pt idx="26">
                  <c:v>889</c:v>
                </c:pt>
                <c:pt idx="27">
                  <c:v>924</c:v>
                </c:pt>
                <c:pt idx="28">
                  <c:v>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939-447C-95C3-9E180202C83B}"/>
            </c:ext>
          </c:extLst>
        </c:ser>
        <c:ser>
          <c:idx val="12"/>
          <c:order val="11"/>
          <c:tx>
            <c:strRef>
              <c:f>Days_Since_100!$H$13</c:f>
              <c:strCache>
                <c:ptCount val="1"/>
                <c:pt idx="0">
                  <c:v>Spain</c:v>
                </c:pt>
              </c:strCache>
            </c:strRef>
          </c:tx>
          <c:spPr>
            <a:ln w="44450" cap="rnd" cmpd="sng" algn="ctr">
              <a:solidFill>
                <a:srgbClr val="FFC000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Days_Since_100!$I$13:$HM$13</c:f>
              <c:numCache>
                <c:formatCode>General</c:formatCode>
                <c:ptCount val="213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2277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939-447C-95C3-9E180202C83B}"/>
            </c:ext>
          </c:extLst>
        </c:ser>
        <c:ser>
          <c:idx val="13"/>
          <c:order val="12"/>
          <c:tx>
            <c:strRef>
              <c:f>Days_Since_100!$H$14</c:f>
              <c:strCache>
                <c:ptCount val="1"/>
                <c:pt idx="0">
                  <c:v>Iran</c:v>
                </c:pt>
              </c:strCache>
            </c:strRef>
          </c:tx>
          <c:spPr>
            <a:ln w="44450" cap="rnd" cmpd="sng" algn="ctr">
              <a:solidFill>
                <a:srgbClr val="70AD47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Days_Since_100!$I$14:$HK$14</c:f>
              <c:numCache>
                <c:formatCode>General</c:formatCode>
                <c:ptCount val="211"/>
                <c:pt idx="0">
                  <c:v>139</c:v>
                </c:pt>
                <c:pt idx="1">
                  <c:v>245</c:v>
                </c:pt>
                <c:pt idx="2">
                  <c:v>388</c:v>
                </c:pt>
                <c:pt idx="3">
                  <c:v>593</c:v>
                </c:pt>
                <c:pt idx="4">
                  <c:v>978</c:v>
                </c:pt>
                <c:pt idx="5">
                  <c:v>1501</c:v>
                </c:pt>
                <c:pt idx="6">
                  <c:v>2336</c:v>
                </c:pt>
                <c:pt idx="7">
                  <c:v>2922</c:v>
                </c:pt>
                <c:pt idx="8">
                  <c:v>3513</c:v>
                </c:pt>
                <c:pt idx="9">
                  <c:v>4747</c:v>
                </c:pt>
                <c:pt idx="10">
                  <c:v>5823</c:v>
                </c:pt>
                <c:pt idx="11">
                  <c:v>6566</c:v>
                </c:pt>
                <c:pt idx="12">
                  <c:v>7161</c:v>
                </c:pt>
                <c:pt idx="13">
                  <c:v>8042</c:v>
                </c:pt>
                <c:pt idx="14">
                  <c:v>9000</c:v>
                </c:pt>
                <c:pt idx="15">
                  <c:v>10075</c:v>
                </c:pt>
                <c:pt idx="16">
                  <c:v>11364</c:v>
                </c:pt>
                <c:pt idx="17">
                  <c:v>12729</c:v>
                </c:pt>
                <c:pt idx="18">
                  <c:v>13938</c:v>
                </c:pt>
                <c:pt idx="19">
                  <c:v>14991</c:v>
                </c:pt>
                <c:pt idx="20">
                  <c:v>16169</c:v>
                </c:pt>
                <c:pt idx="21">
                  <c:v>17361</c:v>
                </c:pt>
                <c:pt idx="22">
                  <c:v>18407</c:v>
                </c:pt>
                <c:pt idx="23">
                  <c:v>19644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939-447C-95C3-9E180202C83B}"/>
            </c:ext>
          </c:extLst>
        </c:ser>
        <c:ser>
          <c:idx val="14"/>
          <c:order val="13"/>
          <c:tx>
            <c:strRef>
              <c:f>Days_Since_100!$H$15</c:f>
              <c:strCache>
                <c:ptCount val="1"/>
                <c:pt idx="0">
                  <c:v>Switzerland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Days_Since_100!$I$15:$HK$15</c:f>
              <c:numCache>
                <c:formatCode>General</c:formatCode>
                <c:ptCount val="211"/>
                <c:pt idx="0">
                  <c:v>114</c:v>
                </c:pt>
                <c:pt idx="1">
                  <c:v>214</c:v>
                </c:pt>
                <c:pt idx="2">
                  <c:v>268</c:v>
                </c:pt>
                <c:pt idx="3">
                  <c:v>337</c:v>
                </c:pt>
                <c:pt idx="4">
                  <c:v>374</c:v>
                </c:pt>
                <c:pt idx="5">
                  <c:v>491</c:v>
                </c:pt>
                <c:pt idx="6">
                  <c:v>652</c:v>
                </c:pt>
                <c:pt idx="7">
                  <c:v>652</c:v>
                </c:pt>
                <c:pt idx="8">
                  <c:v>1139</c:v>
                </c:pt>
                <c:pt idx="9">
                  <c:v>1359</c:v>
                </c:pt>
                <c:pt idx="10">
                  <c:v>2200</c:v>
                </c:pt>
                <c:pt idx="11">
                  <c:v>2200</c:v>
                </c:pt>
                <c:pt idx="12">
                  <c:v>2700</c:v>
                </c:pt>
                <c:pt idx="13">
                  <c:v>3028</c:v>
                </c:pt>
                <c:pt idx="14">
                  <c:v>4075</c:v>
                </c:pt>
                <c:pt idx="15">
                  <c:v>5294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939-447C-95C3-9E180202C83B}"/>
            </c:ext>
          </c:extLst>
        </c:ser>
        <c:ser>
          <c:idx val="16"/>
          <c:order val="14"/>
          <c:tx>
            <c:strRef>
              <c:f>Days_Since_100!$H$16</c:f>
              <c:strCache>
                <c:ptCount val="1"/>
                <c:pt idx="0">
                  <c:v>Netherlands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Days_Since_100!$I$16:$HC$16</c:f>
              <c:numCache>
                <c:formatCode>General</c:formatCode>
                <c:ptCount val="203"/>
                <c:pt idx="0">
                  <c:v>128</c:v>
                </c:pt>
                <c:pt idx="1">
                  <c:v>188</c:v>
                </c:pt>
                <c:pt idx="2">
                  <c:v>265</c:v>
                </c:pt>
                <c:pt idx="3">
                  <c:v>321</c:v>
                </c:pt>
                <c:pt idx="4">
                  <c:v>382</c:v>
                </c:pt>
                <c:pt idx="5">
                  <c:v>503</c:v>
                </c:pt>
                <c:pt idx="6">
                  <c:v>503</c:v>
                </c:pt>
                <c:pt idx="7">
                  <c:v>806</c:v>
                </c:pt>
                <c:pt idx="8">
                  <c:v>962</c:v>
                </c:pt>
                <c:pt idx="9">
                  <c:v>1138</c:v>
                </c:pt>
                <c:pt idx="10">
                  <c:v>1416</c:v>
                </c:pt>
                <c:pt idx="11">
                  <c:v>1711</c:v>
                </c:pt>
                <c:pt idx="12">
                  <c:v>2058</c:v>
                </c:pt>
                <c:pt idx="13">
                  <c:v>2467</c:v>
                </c:pt>
                <c:pt idx="14">
                  <c:v>3003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939-447C-95C3-9E180202C83B}"/>
            </c:ext>
          </c:extLst>
        </c:ser>
        <c:ser>
          <c:idx val="19"/>
          <c:order val="15"/>
          <c:tx>
            <c:strRef>
              <c:f>Days_Since_100!$H$17</c:f>
              <c:strCache>
                <c:ptCount val="1"/>
                <c:pt idx="0">
                  <c:v>Austria</c:v>
                </c:pt>
              </c:strCache>
            </c:strRef>
          </c:tx>
          <c:spPr>
            <a:ln w="25400" cap="rnd" cmpd="sng" algn="ctr">
              <a:solidFill>
                <a:srgbClr val="5B9BD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Days_Since_100!$I$17:$HK$17</c:f>
              <c:numCache>
                <c:formatCode>General</c:formatCode>
                <c:ptCount val="211"/>
                <c:pt idx="0">
                  <c:v>104</c:v>
                </c:pt>
                <c:pt idx="1">
                  <c:v>131</c:v>
                </c:pt>
                <c:pt idx="2">
                  <c:v>182</c:v>
                </c:pt>
                <c:pt idx="3">
                  <c:v>246</c:v>
                </c:pt>
                <c:pt idx="4">
                  <c:v>302</c:v>
                </c:pt>
                <c:pt idx="5">
                  <c:v>504</c:v>
                </c:pt>
                <c:pt idx="6">
                  <c:v>655</c:v>
                </c:pt>
                <c:pt idx="7">
                  <c:v>860</c:v>
                </c:pt>
                <c:pt idx="8">
                  <c:v>1018</c:v>
                </c:pt>
                <c:pt idx="9">
                  <c:v>1332</c:v>
                </c:pt>
                <c:pt idx="10">
                  <c:v>1646</c:v>
                </c:pt>
                <c:pt idx="11">
                  <c:v>2013</c:v>
                </c:pt>
                <c:pt idx="12">
                  <c:v>2388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939-447C-95C3-9E180202C83B}"/>
            </c:ext>
          </c:extLst>
        </c:ser>
        <c:ser>
          <c:idx val="20"/>
          <c:order val="16"/>
          <c:tx>
            <c:strRef>
              <c:f>Days_Since_100!$H$18</c:f>
              <c:strCache>
                <c:ptCount val="1"/>
                <c:pt idx="0">
                  <c:v>Belgium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Days_Since_100!$I$18:$HM$18</c:f>
              <c:numCache>
                <c:formatCode>General</c:formatCode>
                <c:ptCount val="213"/>
                <c:pt idx="0">
                  <c:v>109</c:v>
                </c:pt>
                <c:pt idx="1">
                  <c:v>169</c:v>
                </c:pt>
                <c:pt idx="2">
                  <c:v>200</c:v>
                </c:pt>
                <c:pt idx="3">
                  <c:v>239</c:v>
                </c:pt>
                <c:pt idx="4">
                  <c:v>267</c:v>
                </c:pt>
                <c:pt idx="5">
                  <c:v>314</c:v>
                </c:pt>
                <c:pt idx="6">
                  <c:v>314</c:v>
                </c:pt>
                <c:pt idx="7">
                  <c:v>559</c:v>
                </c:pt>
                <c:pt idx="8">
                  <c:v>689</c:v>
                </c:pt>
                <c:pt idx="9">
                  <c:v>886</c:v>
                </c:pt>
                <c:pt idx="10">
                  <c:v>1058</c:v>
                </c:pt>
                <c:pt idx="11">
                  <c:v>1243</c:v>
                </c:pt>
                <c:pt idx="12">
                  <c:v>1486</c:v>
                </c:pt>
                <c:pt idx="13">
                  <c:v>1795</c:v>
                </c:pt>
                <c:pt idx="14">
                  <c:v>2257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939-447C-95C3-9E180202C83B}"/>
            </c:ext>
          </c:extLst>
        </c:ser>
        <c:ser>
          <c:idx val="23"/>
          <c:order val="17"/>
          <c:tx>
            <c:strRef>
              <c:f>Days_Since_100!$H$19</c:f>
              <c:strCache>
                <c:ptCount val="1"/>
                <c:pt idx="0">
                  <c:v>Norway</c:v>
                </c:pt>
              </c:strCache>
            </c:strRef>
          </c:tx>
          <c:spPr>
            <a:ln w="25400" cap="rnd" cmpd="sng" algn="ctr">
              <a:solidFill>
                <a:srgbClr val="002060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Days_Since_100!$I$19:$IM$19</c:f>
              <c:numCache>
                <c:formatCode>General</c:formatCode>
                <c:ptCount val="239"/>
                <c:pt idx="0">
                  <c:v>108</c:v>
                </c:pt>
                <c:pt idx="1">
                  <c:v>147</c:v>
                </c:pt>
                <c:pt idx="2">
                  <c:v>176</c:v>
                </c:pt>
                <c:pt idx="3">
                  <c:v>205</c:v>
                </c:pt>
                <c:pt idx="4">
                  <c:v>400</c:v>
                </c:pt>
                <c:pt idx="5">
                  <c:v>598</c:v>
                </c:pt>
                <c:pt idx="6">
                  <c:v>702</c:v>
                </c:pt>
                <c:pt idx="7">
                  <c:v>996</c:v>
                </c:pt>
                <c:pt idx="8">
                  <c:v>1090</c:v>
                </c:pt>
                <c:pt idx="9">
                  <c:v>1221</c:v>
                </c:pt>
                <c:pt idx="10">
                  <c:v>1333</c:v>
                </c:pt>
                <c:pt idx="11">
                  <c:v>1463</c:v>
                </c:pt>
                <c:pt idx="12">
                  <c:v>1550</c:v>
                </c:pt>
                <c:pt idx="13">
                  <c:v>1746</c:v>
                </c:pt>
                <c:pt idx="14">
                  <c:v>1914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939-447C-95C3-9E180202C83B}"/>
            </c:ext>
          </c:extLst>
        </c:ser>
        <c:ser>
          <c:idx val="26"/>
          <c:order val="18"/>
          <c:tx>
            <c:strRef>
              <c:f>Days_Since_100!$H$20</c:f>
              <c:strCache>
                <c:ptCount val="1"/>
                <c:pt idx="0">
                  <c:v>Sweden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Days_Since_100!$I$20:$JI$20</c:f>
              <c:numCache>
                <c:formatCode>General</c:formatCode>
                <c:ptCount val="261"/>
                <c:pt idx="0">
                  <c:v>101</c:v>
                </c:pt>
                <c:pt idx="1">
                  <c:v>161</c:v>
                </c:pt>
                <c:pt idx="2">
                  <c:v>203</c:v>
                </c:pt>
                <c:pt idx="3">
                  <c:v>248</c:v>
                </c:pt>
                <c:pt idx="4">
                  <c:v>355</c:v>
                </c:pt>
                <c:pt idx="5">
                  <c:v>500</c:v>
                </c:pt>
                <c:pt idx="6">
                  <c:v>599</c:v>
                </c:pt>
                <c:pt idx="7">
                  <c:v>814</c:v>
                </c:pt>
                <c:pt idx="8">
                  <c:v>961</c:v>
                </c:pt>
                <c:pt idx="9">
                  <c:v>1022</c:v>
                </c:pt>
                <c:pt idx="10">
                  <c:v>1103</c:v>
                </c:pt>
                <c:pt idx="11">
                  <c:v>1190</c:v>
                </c:pt>
                <c:pt idx="12">
                  <c:v>1279</c:v>
                </c:pt>
                <c:pt idx="13">
                  <c:v>1439</c:v>
                </c:pt>
                <c:pt idx="14">
                  <c:v>1639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939-447C-95C3-9E180202C83B}"/>
            </c:ext>
          </c:extLst>
        </c:ser>
        <c:ser>
          <c:idx val="27"/>
          <c:order val="19"/>
          <c:tx>
            <c:strRef>
              <c:f>Days_Since_100!$H$21</c:f>
              <c:strCache>
                <c:ptCount val="1"/>
                <c:pt idx="0">
                  <c:v>Denmark</c:v>
                </c:pt>
              </c:strCache>
            </c:strRef>
          </c:tx>
          <c:spPr>
            <a:ln w="25400" cap="rnd" cmpd="sng" algn="ctr">
              <a:solidFill>
                <a:srgbClr val="5B9BD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Days_Since_100!$I$21:$HK$21</c:f>
              <c:numCache>
                <c:formatCode>General</c:formatCode>
                <c:ptCount val="211"/>
                <c:pt idx="0">
                  <c:v>264</c:v>
                </c:pt>
                <c:pt idx="1">
                  <c:v>444</c:v>
                </c:pt>
                <c:pt idx="2">
                  <c:v>617</c:v>
                </c:pt>
                <c:pt idx="3">
                  <c:v>804</c:v>
                </c:pt>
                <c:pt idx="4">
                  <c:v>836</c:v>
                </c:pt>
                <c:pt idx="5">
                  <c:v>875</c:v>
                </c:pt>
                <c:pt idx="6">
                  <c:v>933</c:v>
                </c:pt>
                <c:pt idx="7">
                  <c:v>1025</c:v>
                </c:pt>
                <c:pt idx="8">
                  <c:v>1116</c:v>
                </c:pt>
                <c:pt idx="9">
                  <c:v>1225</c:v>
                </c:pt>
                <c:pt idx="10">
                  <c:v>1337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939-447C-95C3-9E180202C83B}"/>
            </c:ext>
          </c:extLst>
        </c:ser>
        <c:ser>
          <c:idx val="29"/>
          <c:order val="20"/>
          <c:tx>
            <c:strRef>
              <c:f>Days_Since_100!$H$22</c:f>
              <c:strCache>
                <c:ptCount val="1"/>
                <c:pt idx="0">
                  <c:v>Malaysia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Days_Since_100!$I$22:$HG$22</c:f>
              <c:numCache>
                <c:formatCode>General</c:formatCode>
                <c:ptCount val="207"/>
                <c:pt idx="0">
                  <c:v>117</c:v>
                </c:pt>
                <c:pt idx="1">
                  <c:v>129</c:v>
                </c:pt>
                <c:pt idx="2">
                  <c:v>149</c:v>
                </c:pt>
                <c:pt idx="3">
                  <c:v>149</c:v>
                </c:pt>
                <c:pt idx="4">
                  <c:v>197</c:v>
                </c:pt>
                <c:pt idx="5">
                  <c:v>238</c:v>
                </c:pt>
                <c:pt idx="6">
                  <c:v>428</c:v>
                </c:pt>
                <c:pt idx="7">
                  <c:v>566</c:v>
                </c:pt>
                <c:pt idx="8">
                  <c:v>673</c:v>
                </c:pt>
                <c:pt idx="9">
                  <c:v>790</c:v>
                </c:pt>
                <c:pt idx="10">
                  <c:v>900</c:v>
                </c:pt>
                <c:pt idx="11">
                  <c:v>1030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939-447C-95C3-9E180202C83B}"/>
            </c:ext>
          </c:extLst>
        </c:ser>
        <c:ser>
          <c:idx val="30"/>
          <c:order val="21"/>
          <c:tx>
            <c:strRef>
              <c:f>Days_Since_100!$H$23</c:f>
              <c:strCache>
                <c:ptCount val="1"/>
                <c:pt idx="0">
                  <c:v>Portugal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Days_Since_100!$I$23:$HA$23</c:f>
              <c:numCache>
                <c:formatCode>General</c:formatCode>
                <c:ptCount val="201"/>
                <c:pt idx="0">
                  <c:v>112</c:v>
                </c:pt>
                <c:pt idx="1">
                  <c:v>169</c:v>
                </c:pt>
                <c:pt idx="2">
                  <c:v>245</c:v>
                </c:pt>
                <c:pt idx="3">
                  <c:v>331</c:v>
                </c:pt>
                <c:pt idx="4">
                  <c:v>448</c:v>
                </c:pt>
                <c:pt idx="5">
                  <c:v>448</c:v>
                </c:pt>
                <c:pt idx="6">
                  <c:v>785</c:v>
                </c:pt>
                <c:pt idx="7">
                  <c:v>1020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939-447C-95C3-9E180202C83B}"/>
            </c:ext>
          </c:extLst>
        </c:ser>
        <c:ser>
          <c:idx val="31"/>
          <c:order val="22"/>
          <c:tx>
            <c:strRef>
              <c:f>Days_Since_100!$H$24</c:f>
              <c:strCache>
                <c:ptCount val="1"/>
                <c:pt idx="0">
                  <c:v>Canada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Days_Since_100!$I$24:$HC$24</c:f>
              <c:numCache>
                <c:formatCode>General</c:formatCode>
                <c:ptCount val="203"/>
                <c:pt idx="0">
                  <c:v>108</c:v>
                </c:pt>
                <c:pt idx="1">
                  <c:v>117</c:v>
                </c:pt>
                <c:pt idx="2">
                  <c:v>193</c:v>
                </c:pt>
                <c:pt idx="3">
                  <c:v>198</c:v>
                </c:pt>
                <c:pt idx="4">
                  <c:v>252</c:v>
                </c:pt>
                <c:pt idx="5">
                  <c:v>415</c:v>
                </c:pt>
                <c:pt idx="6">
                  <c:v>478</c:v>
                </c:pt>
                <c:pt idx="7">
                  <c:v>657</c:v>
                </c:pt>
                <c:pt idx="8">
                  <c:v>800</c:v>
                </c:pt>
                <c:pt idx="9">
                  <c:v>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939-447C-95C3-9E180202C83B}"/>
            </c:ext>
          </c:extLst>
        </c:ser>
        <c:ser>
          <c:idx val="32"/>
          <c:order val="23"/>
          <c:tx>
            <c:strRef>
              <c:f>Days_Since_100!$H$25</c:f>
              <c:strCache>
                <c:ptCount val="1"/>
                <c:pt idx="0">
                  <c:v>Czechia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Days_Since_100!$I$25:$HW$25</c:f>
              <c:numCache>
                <c:formatCode>General</c:formatCode>
                <c:ptCount val="223"/>
                <c:pt idx="0">
                  <c:v>141</c:v>
                </c:pt>
                <c:pt idx="1">
                  <c:v>189</c:v>
                </c:pt>
                <c:pt idx="2">
                  <c:v>253</c:v>
                </c:pt>
                <c:pt idx="3">
                  <c:v>298</c:v>
                </c:pt>
                <c:pt idx="4">
                  <c:v>396</c:v>
                </c:pt>
                <c:pt idx="5">
                  <c:v>464</c:v>
                </c:pt>
                <c:pt idx="6">
                  <c:v>694</c:v>
                </c:pt>
                <c:pt idx="7">
                  <c:v>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939-447C-95C3-9E180202C83B}"/>
            </c:ext>
          </c:extLst>
        </c:ser>
        <c:ser>
          <c:idx val="0"/>
          <c:order val="24"/>
          <c:tx>
            <c:strRef>
              <c:f>Days_Since_100!$H$26</c:f>
              <c:strCache>
                <c:ptCount val="1"/>
                <c:pt idx="0">
                  <c:v>Brazil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Days_Since_100!$I$26:$HE$26</c:f>
              <c:numCache>
                <c:formatCode>General</c:formatCode>
                <c:ptCount val="205"/>
                <c:pt idx="0">
                  <c:v>151</c:v>
                </c:pt>
                <c:pt idx="1">
                  <c:v>151</c:v>
                </c:pt>
                <c:pt idx="2">
                  <c:v>162</c:v>
                </c:pt>
                <c:pt idx="3">
                  <c:v>200</c:v>
                </c:pt>
                <c:pt idx="4">
                  <c:v>321</c:v>
                </c:pt>
                <c:pt idx="5">
                  <c:v>372</c:v>
                </c:pt>
                <c:pt idx="6">
                  <c:v>621</c:v>
                </c:pt>
                <c:pt idx="7">
                  <c:v>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939-447C-95C3-9E180202C83B}"/>
            </c:ext>
          </c:extLst>
        </c:ser>
        <c:ser>
          <c:idx val="15"/>
          <c:order val="25"/>
          <c:tx>
            <c:strRef>
              <c:f>Days_Since_100!$H$27</c:f>
              <c:strCache>
                <c:ptCount val="1"/>
                <c:pt idx="0">
                  <c:v>Australia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Days_Since_100!$I$27:$HA$27</c:f>
              <c:numCache>
                <c:formatCode>General</c:formatCode>
                <c:ptCount val="201"/>
                <c:pt idx="0">
                  <c:v>107</c:v>
                </c:pt>
                <c:pt idx="1">
                  <c:v>128</c:v>
                </c:pt>
                <c:pt idx="2">
                  <c:v>128</c:v>
                </c:pt>
                <c:pt idx="3">
                  <c:v>200</c:v>
                </c:pt>
                <c:pt idx="4">
                  <c:v>250</c:v>
                </c:pt>
                <c:pt idx="5">
                  <c:v>297</c:v>
                </c:pt>
                <c:pt idx="6">
                  <c:v>377</c:v>
                </c:pt>
                <c:pt idx="7">
                  <c:v>452</c:v>
                </c:pt>
                <c:pt idx="8">
                  <c:v>568</c:v>
                </c:pt>
                <c:pt idx="9">
                  <c:v>681</c:v>
                </c:pt>
                <c:pt idx="10">
                  <c:v>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939-447C-95C3-9E180202C83B}"/>
            </c:ext>
          </c:extLst>
        </c:ser>
        <c:ser>
          <c:idx val="33"/>
          <c:order val="26"/>
          <c:tx>
            <c:strRef>
              <c:f>Days_Since_100!$H$28</c:f>
              <c:strCache>
                <c:ptCount val="1"/>
                <c:pt idx="0">
                  <c:v>Cruise Ship</c:v>
                </c:pt>
              </c:strCache>
            </c:strRef>
          </c:tx>
          <c:spPr>
            <a:ln w="25400" cap="rnd" cmpd="sng" algn="ctr">
              <a:solidFill>
                <a:srgbClr val="E7E6E6">
                  <a:lumMod val="75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Days_Since_100!$I$28:$GW$28</c:f>
              <c:numCache>
                <c:formatCode>General</c:formatCode>
                <c:ptCount val="197"/>
                <c:pt idx="0">
                  <c:v>135</c:v>
                </c:pt>
                <c:pt idx="1">
                  <c:v>135</c:v>
                </c:pt>
                <c:pt idx="2">
                  <c:v>175</c:v>
                </c:pt>
                <c:pt idx="3">
                  <c:v>175</c:v>
                </c:pt>
                <c:pt idx="4">
                  <c:v>218</c:v>
                </c:pt>
                <c:pt idx="5">
                  <c:v>285</c:v>
                </c:pt>
                <c:pt idx="6">
                  <c:v>355</c:v>
                </c:pt>
                <c:pt idx="7">
                  <c:v>454</c:v>
                </c:pt>
                <c:pt idx="8">
                  <c:v>542</c:v>
                </c:pt>
                <c:pt idx="9">
                  <c:v>621</c:v>
                </c:pt>
                <c:pt idx="10">
                  <c:v>634</c:v>
                </c:pt>
                <c:pt idx="11">
                  <c:v>634</c:v>
                </c:pt>
                <c:pt idx="12">
                  <c:v>634</c:v>
                </c:pt>
                <c:pt idx="13">
                  <c:v>691</c:v>
                </c:pt>
                <c:pt idx="14">
                  <c:v>691</c:v>
                </c:pt>
                <c:pt idx="15">
                  <c:v>691</c:v>
                </c:pt>
                <c:pt idx="16">
                  <c:v>705</c:v>
                </c:pt>
                <c:pt idx="17">
                  <c:v>705</c:v>
                </c:pt>
                <c:pt idx="18">
                  <c:v>705</c:v>
                </c:pt>
                <c:pt idx="19">
                  <c:v>705</c:v>
                </c:pt>
                <c:pt idx="20">
                  <c:v>705</c:v>
                </c:pt>
                <c:pt idx="21">
                  <c:v>705</c:v>
                </c:pt>
                <c:pt idx="22">
                  <c:v>706</c:v>
                </c:pt>
                <c:pt idx="23">
                  <c:v>706</c:v>
                </c:pt>
                <c:pt idx="24">
                  <c:v>706</c:v>
                </c:pt>
                <c:pt idx="25">
                  <c:v>696</c:v>
                </c:pt>
                <c:pt idx="26">
                  <c:v>696</c:v>
                </c:pt>
                <c:pt idx="27">
                  <c:v>696</c:v>
                </c:pt>
                <c:pt idx="28">
                  <c:v>696</c:v>
                </c:pt>
                <c:pt idx="29">
                  <c:v>696</c:v>
                </c:pt>
                <c:pt idx="30">
                  <c:v>696</c:v>
                </c:pt>
                <c:pt idx="31">
                  <c:v>696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696</c:v>
                </c:pt>
                <c:pt idx="36">
                  <c:v>696</c:v>
                </c:pt>
                <c:pt idx="37">
                  <c:v>712</c:v>
                </c:pt>
                <c:pt idx="38">
                  <c:v>712</c:v>
                </c:pt>
                <c:pt idx="39">
                  <c:v>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939-447C-95C3-9E180202C83B}"/>
            </c:ext>
          </c:extLst>
        </c:ser>
        <c:ser>
          <c:idx val="17"/>
          <c:order val="27"/>
          <c:tx>
            <c:strRef>
              <c:f>Days_Since_100!$H$29</c:f>
              <c:strCache>
                <c:ptCount val="1"/>
                <c:pt idx="0">
                  <c:v>Israel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Days_Since_100!$I$29:$HC$29</c:f>
              <c:numCache>
                <c:formatCode>General</c:formatCode>
                <c:ptCount val="203"/>
                <c:pt idx="0">
                  <c:v>109</c:v>
                </c:pt>
                <c:pt idx="1">
                  <c:v>131</c:v>
                </c:pt>
                <c:pt idx="2">
                  <c:v>161</c:v>
                </c:pt>
                <c:pt idx="3">
                  <c:v>193</c:v>
                </c:pt>
                <c:pt idx="4">
                  <c:v>251</c:v>
                </c:pt>
                <c:pt idx="5">
                  <c:v>255</c:v>
                </c:pt>
                <c:pt idx="6">
                  <c:v>337</c:v>
                </c:pt>
                <c:pt idx="7">
                  <c:v>433</c:v>
                </c:pt>
                <c:pt idx="8">
                  <c:v>677</c:v>
                </c:pt>
                <c:pt idx="9">
                  <c:v>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939-447C-95C3-9E180202C83B}"/>
            </c:ext>
          </c:extLst>
        </c:ser>
        <c:ser>
          <c:idx val="18"/>
          <c:order val="28"/>
          <c:tx>
            <c:strRef>
              <c:f>Days_Since_100!$H$30</c:f>
              <c:strCache>
                <c:ptCount val="1"/>
                <c:pt idx="0">
                  <c:v>Ireland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Days_Since_100!$I$30:$HA$30</c:f>
              <c:numCache>
                <c:formatCode>General</c:formatCode>
                <c:ptCount val="201"/>
                <c:pt idx="0">
                  <c:v>129</c:v>
                </c:pt>
                <c:pt idx="1">
                  <c:v>129</c:v>
                </c:pt>
                <c:pt idx="2">
                  <c:v>169</c:v>
                </c:pt>
                <c:pt idx="3">
                  <c:v>223</c:v>
                </c:pt>
                <c:pt idx="4">
                  <c:v>292</c:v>
                </c:pt>
                <c:pt idx="5">
                  <c:v>557</c:v>
                </c:pt>
                <c:pt idx="6">
                  <c:v>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939-447C-95C3-9E180202C83B}"/>
            </c:ext>
          </c:extLst>
        </c:ser>
        <c:ser>
          <c:idx val="34"/>
          <c:order val="29"/>
          <c:tx>
            <c:strRef>
              <c:f>Days_Since_100!$H$31</c:f>
              <c:strCache>
                <c:ptCount val="1"/>
                <c:pt idx="0">
                  <c:v>Pakistan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Days_Since_100!$I$31:$GW$31</c:f>
              <c:numCache>
                <c:formatCode>General</c:formatCode>
                <c:ptCount val="197"/>
                <c:pt idx="0">
                  <c:v>136</c:v>
                </c:pt>
                <c:pt idx="1">
                  <c:v>236</c:v>
                </c:pt>
                <c:pt idx="2">
                  <c:v>299</c:v>
                </c:pt>
                <c:pt idx="3">
                  <c:v>454</c:v>
                </c:pt>
                <c:pt idx="4">
                  <c:v>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939-447C-95C3-9E180202C83B}"/>
            </c:ext>
          </c:extLst>
        </c:ser>
        <c:ser>
          <c:idx val="35"/>
          <c:order val="30"/>
          <c:tx>
            <c:strRef>
              <c:f>Days_Since_100!$H$32</c:f>
              <c:strCache>
                <c:ptCount val="1"/>
                <c:pt idx="0">
                  <c:v>Greece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Days_Since_100!$I$32:$GW$32</c:f>
              <c:numCache>
                <c:formatCode>General</c:formatCode>
                <c:ptCount val="197"/>
                <c:pt idx="0">
                  <c:v>190</c:v>
                </c:pt>
                <c:pt idx="1">
                  <c:v>228</c:v>
                </c:pt>
                <c:pt idx="2">
                  <c:v>331</c:v>
                </c:pt>
                <c:pt idx="3">
                  <c:v>331</c:v>
                </c:pt>
                <c:pt idx="4">
                  <c:v>387</c:v>
                </c:pt>
                <c:pt idx="5">
                  <c:v>418</c:v>
                </c:pt>
                <c:pt idx="6">
                  <c:v>418</c:v>
                </c:pt>
                <c:pt idx="7">
                  <c:v>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939-447C-95C3-9E180202C83B}"/>
            </c:ext>
          </c:extLst>
        </c:ser>
        <c:ser>
          <c:idx val="36"/>
          <c:order val="31"/>
          <c:tx>
            <c:strRef>
              <c:f>Days_Since_100!$H$33</c:f>
              <c:strCache>
                <c:ptCount val="1"/>
                <c:pt idx="0">
                  <c:v>Luxembourg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Days_Since_100!$I$33:$GW$33</c:f>
              <c:numCache>
                <c:formatCode>General</c:formatCode>
                <c:ptCount val="197"/>
                <c:pt idx="0">
                  <c:v>140</c:v>
                </c:pt>
                <c:pt idx="1">
                  <c:v>203</c:v>
                </c:pt>
                <c:pt idx="2">
                  <c:v>335</c:v>
                </c:pt>
                <c:pt idx="3">
                  <c:v>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939-447C-95C3-9E180202C83B}"/>
            </c:ext>
          </c:extLst>
        </c:ser>
        <c:ser>
          <c:idx val="21"/>
          <c:order val="32"/>
          <c:tx>
            <c:strRef>
              <c:f>Days_Since_100!$H$34</c:f>
              <c:strCache>
                <c:ptCount val="1"/>
                <c:pt idx="0">
                  <c:v>Qatar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Days_Since_100!$I$34:$GW$34</c:f>
              <c:numCache>
                <c:formatCode>General</c:formatCode>
                <c:ptCount val="197"/>
                <c:pt idx="0">
                  <c:v>262</c:v>
                </c:pt>
                <c:pt idx="1">
                  <c:v>262</c:v>
                </c:pt>
                <c:pt idx="2">
                  <c:v>320</c:v>
                </c:pt>
                <c:pt idx="3">
                  <c:v>337</c:v>
                </c:pt>
                <c:pt idx="4">
                  <c:v>401</c:v>
                </c:pt>
                <c:pt idx="5">
                  <c:v>439</c:v>
                </c:pt>
                <c:pt idx="6">
                  <c:v>439</c:v>
                </c:pt>
                <c:pt idx="7">
                  <c:v>452</c:v>
                </c:pt>
                <c:pt idx="8">
                  <c:v>460</c:v>
                </c:pt>
                <c:pt idx="9">
                  <c:v>470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939-447C-95C3-9E180202C83B}"/>
            </c:ext>
          </c:extLst>
        </c:ser>
        <c:ser>
          <c:idx val="22"/>
          <c:order val="33"/>
          <c:tx>
            <c:strRef>
              <c:f>Days_Since_100!$H$35</c:f>
              <c:strCache>
                <c:ptCount val="1"/>
                <c:pt idx="0">
                  <c:v>Finland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Days_Since_100!$I$35:$GY$35</c:f>
              <c:numCache>
                <c:formatCode>General</c:formatCode>
                <c:ptCount val="199"/>
                <c:pt idx="0">
                  <c:v>155</c:v>
                </c:pt>
                <c:pt idx="1">
                  <c:v>225</c:v>
                </c:pt>
                <c:pt idx="2">
                  <c:v>244</c:v>
                </c:pt>
                <c:pt idx="3">
                  <c:v>277</c:v>
                </c:pt>
                <c:pt idx="4">
                  <c:v>321</c:v>
                </c:pt>
                <c:pt idx="5">
                  <c:v>336</c:v>
                </c:pt>
                <c:pt idx="6">
                  <c:v>400</c:v>
                </c:pt>
                <c:pt idx="7">
                  <c:v>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939-447C-95C3-9E180202C83B}"/>
            </c:ext>
          </c:extLst>
        </c:ser>
        <c:ser>
          <c:idx val="37"/>
          <c:order val="34"/>
          <c:tx>
            <c:strRef>
              <c:f>Days_Since_100!$H$36</c:f>
              <c:strCache>
                <c:ptCount val="1"/>
                <c:pt idx="0">
                  <c:v>Chile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Days_Since_100!$I$36:$GW$36</c:f>
              <c:numCache>
                <c:formatCode>General</c:formatCode>
                <c:ptCount val="197"/>
                <c:pt idx="0">
                  <c:v>155</c:v>
                </c:pt>
                <c:pt idx="1">
                  <c:v>201</c:v>
                </c:pt>
                <c:pt idx="2">
                  <c:v>238</c:v>
                </c:pt>
                <c:pt idx="3">
                  <c:v>238</c:v>
                </c:pt>
                <c:pt idx="4">
                  <c:v>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939-447C-95C3-9E180202C83B}"/>
            </c:ext>
          </c:extLst>
        </c:ser>
        <c:ser>
          <c:idx val="38"/>
          <c:order val="35"/>
          <c:tx>
            <c:strRef>
              <c:f>Days_Since_100!$H$37</c:f>
              <c:strCache>
                <c:ptCount val="1"/>
                <c:pt idx="0">
                  <c:v>Poland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Days_Since_100!$I$37:$GW$37</c:f>
              <c:numCache>
                <c:formatCode>General</c:formatCode>
                <c:ptCount val="197"/>
                <c:pt idx="0">
                  <c:v>103</c:v>
                </c:pt>
                <c:pt idx="1">
                  <c:v>119</c:v>
                </c:pt>
                <c:pt idx="2">
                  <c:v>177</c:v>
                </c:pt>
                <c:pt idx="3">
                  <c:v>238</c:v>
                </c:pt>
                <c:pt idx="4">
                  <c:v>251</c:v>
                </c:pt>
                <c:pt idx="5">
                  <c:v>355</c:v>
                </c:pt>
                <c:pt idx="6">
                  <c:v>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939-447C-95C3-9E180202C83B}"/>
            </c:ext>
          </c:extLst>
        </c:ser>
        <c:ser>
          <c:idx val="39"/>
          <c:order val="36"/>
          <c:tx>
            <c:strRef>
              <c:f>Days_Since_100!$H$38</c:f>
              <c:strCache>
                <c:ptCount val="1"/>
                <c:pt idx="0">
                  <c:v>Iceland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Days_Since_100!$I$38:$GU$38</c:f>
              <c:numCache>
                <c:formatCode>General</c:formatCode>
                <c:ptCount val="195"/>
                <c:pt idx="0">
                  <c:v>103</c:v>
                </c:pt>
                <c:pt idx="1">
                  <c:v>134</c:v>
                </c:pt>
                <c:pt idx="2">
                  <c:v>156</c:v>
                </c:pt>
                <c:pt idx="3">
                  <c:v>171</c:v>
                </c:pt>
                <c:pt idx="4">
                  <c:v>180</c:v>
                </c:pt>
                <c:pt idx="5">
                  <c:v>220</c:v>
                </c:pt>
                <c:pt idx="6">
                  <c:v>250</c:v>
                </c:pt>
                <c:pt idx="7">
                  <c:v>330</c:v>
                </c:pt>
                <c:pt idx="8">
                  <c:v>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939-447C-95C3-9E180202C83B}"/>
            </c:ext>
          </c:extLst>
        </c:ser>
        <c:ser>
          <c:idx val="40"/>
          <c:order val="37"/>
          <c:tx>
            <c:strRef>
              <c:f>Days_Since_100!$H$39</c:f>
              <c:strCache>
                <c:ptCount val="1"/>
                <c:pt idx="0">
                  <c:v>Singapore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Days_Since_100!$I$39:$GU$39</c:f>
              <c:numCache>
                <c:formatCode>General</c:formatCode>
                <c:ptCount val="195"/>
                <c:pt idx="0">
                  <c:v>102</c:v>
                </c:pt>
                <c:pt idx="1">
                  <c:v>106</c:v>
                </c:pt>
                <c:pt idx="2">
                  <c:v>108</c:v>
                </c:pt>
                <c:pt idx="3">
                  <c:v>110</c:v>
                </c:pt>
                <c:pt idx="4">
                  <c:v>110</c:v>
                </c:pt>
                <c:pt idx="5">
                  <c:v>117</c:v>
                </c:pt>
                <c:pt idx="6">
                  <c:v>130</c:v>
                </c:pt>
                <c:pt idx="7">
                  <c:v>138</c:v>
                </c:pt>
                <c:pt idx="8">
                  <c:v>150</c:v>
                </c:pt>
                <c:pt idx="9">
                  <c:v>150</c:v>
                </c:pt>
                <c:pt idx="10">
                  <c:v>160</c:v>
                </c:pt>
                <c:pt idx="11">
                  <c:v>178</c:v>
                </c:pt>
                <c:pt idx="12">
                  <c:v>178</c:v>
                </c:pt>
                <c:pt idx="13">
                  <c:v>200</c:v>
                </c:pt>
                <c:pt idx="14">
                  <c:v>212</c:v>
                </c:pt>
                <c:pt idx="15">
                  <c:v>226</c:v>
                </c:pt>
                <c:pt idx="16">
                  <c:v>243</c:v>
                </c:pt>
                <c:pt idx="17">
                  <c:v>266</c:v>
                </c:pt>
                <c:pt idx="18">
                  <c:v>313</c:v>
                </c:pt>
                <c:pt idx="19">
                  <c:v>345</c:v>
                </c:pt>
                <c:pt idx="20">
                  <c:v>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939-447C-95C3-9E180202C83B}"/>
            </c:ext>
          </c:extLst>
        </c:ser>
        <c:ser>
          <c:idx val="41"/>
          <c:order val="38"/>
          <c:tx>
            <c:strRef>
              <c:f>Days_Since_100!$H$40</c:f>
              <c:strCache>
                <c:ptCount val="1"/>
                <c:pt idx="0">
                  <c:v>Indonesia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Days_Since_100!$I$40:$GU$40</c:f>
              <c:numCache>
                <c:formatCode>General</c:formatCode>
                <c:ptCount val="195"/>
                <c:pt idx="0">
                  <c:v>117</c:v>
                </c:pt>
                <c:pt idx="1">
                  <c:v>134</c:v>
                </c:pt>
                <c:pt idx="2">
                  <c:v>172</c:v>
                </c:pt>
                <c:pt idx="3">
                  <c:v>227</c:v>
                </c:pt>
                <c:pt idx="4">
                  <c:v>311</c:v>
                </c:pt>
                <c:pt idx="5">
                  <c:v>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939-447C-95C3-9E180202C83B}"/>
            </c:ext>
          </c:extLst>
        </c:ser>
        <c:ser>
          <c:idx val="42"/>
          <c:order val="39"/>
          <c:tx>
            <c:strRef>
              <c:f>Days_Since_100!$H$41</c:f>
              <c:strCache>
                <c:ptCount val="1"/>
                <c:pt idx="0">
                  <c:v>Ecuador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Days_Since_100!$I$41:$GM$41</c:f>
              <c:numCache>
                <c:formatCode>General</c:formatCode>
                <c:ptCount val="187"/>
                <c:pt idx="0">
                  <c:v>111</c:v>
                </c:pt>
                <c:pt idx="1">
                  <c:v>199</c:v>
                </c:pt>
                <c:pt idx="2">
                  <c:v>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939-447C-95C3-9E180202C83B}"/>
            </c:ext>
          </c:extLst>
        </c:ser>
        <c:ser>
          <c:idx val="43"/>
          <c:order val="40"/>
          <c:tx>
            <c:strRef>
              <c:f>Days_Since_100!$H$42</c:f>
              <c:strCache>
                <c:ptCount val="1"/>
                <c:pt idx="0">
                  <c:v>Turkey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Days_Since_100!$I$42:$GU$42</c:f>
              <c:numCache>
                <c:formatCode>General</c:formatCode>
                <c:ptCount val="195"/>
                <c:pt idx="0">
                  <c:v>192</c:v>
                </c:pt>
                <c:pt idx="1">
                  <c:v>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939-447C-95C3-9E180202C83B}"/>
            </c:ext>
          </c:extLst>
        </c:ser>
        <c:ser>
          <c:idx val="44"/>
          <c:order val="41"/>
          <c:tx>
            <c:strRef>
              <c:f>Days_Since_100!$H$43</c:f>
              <c:strCache>
                <c:ptCount val="1"/>
                <c:pt idx="0">
                  <c:v>Saudi Arabia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Days_Since_100!$I$43:$GU$43</c:f>
              <c:numCache>
                <c:formatCode>General</c:formatCode>
                <c:ptCount val="195"/>
                <c:pt idx="0">
                  <c:v>103</c:v>
                </c:pt>
                <c:pt idx="1">
                  <c:v>103</c:v>
                </c:pt>
                <c:pt idx="2">
                  <c:v>118</c:v>
                </c:pt>
                <c:pt idx="3">
                  <c:v>171</c:v>
                </c:pt>
                <c:pt idx="4">
                  <c:v>171</c:v>
                </c:pt>
                <c:pt idx="5">
                  <c:v>274</c:v>
                </c:pt>
                <c:pt idx="6">
                  <c:v>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939-447C-95C3-9E180202C83B}"/>
            </c:ext>
          </c:extLst>
        </c:ser>
        <c:ser>
          <c:idx val="45"/>
          <c:order val="42"/>
          <c:tx>
            <c:strRef>
              <c:f>Days_Since_100!$H$44</c:f>
              <c:strCache>
                <c:ptCount val="1"/>
                <c:pt idx="0">
                  <c:v>Slovenia</c:v>
                </c:pt>
              </c:strCache>
            </c:strRef>
          </c:tx>
          <c:spPr>
            <a:ln w="25400" cap="rnd" cmpd="sng" algn="ctr">
              <a:solidFill>
                <a:srgbClr val="ED7D31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Days_Since_100!$I$44:$GU$44</c:f>
              <c:numCache>
                <c:formatCode>General</c:formatCode>
                <c:ptCount val="195"/>
                <c:pt idx="0">
                  <c:v>141</c:v>
                </c:pt>
                <c:pt idx="1">
                  <c:v>181</c:v>
                </c:pt>
                <c:pt idx="2">
                  <c:v>219</c:v>
                </c:pt>
                <c:pt idx="3">
                  <c:v>253</c:v>
                </c:pt>
                <c:pt idx="4">
                  <c:v>275</c:v>
                </c:pt>
                <c:pt idx="5">
                  <c:v>275</c:v>
                </c:pt>
                <c:pt idx="6">
                  <c:v>286</c:v>
                </c:pt>
                <c:pt idx="7">
                  <c:v>341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939-447C-95C3-9E180202C83B}"/>
            </c:ext>
          </c:extLst>
        </c:ser>
        <c:ser>
          <c:idx val="46"/>
          <c:order val="43"/>
          <c:tx>
            <c:strRef>
              <c:f>Days_Since_100!$H$45</c:f>
              <c:strCache>
                <c:ptCount val="1"/>
                <c:pt idx="0">
                  <c:v>Thailand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Days_Since_100!$I$45:$GS$45</c:f>
              <c:numCache>
                <c:formatCode>General</c:formatCode>
                <c:ptCount val="193"/>
                <c:pt idx="0">
                  <c:v>114</c:v>
                </c:pt>
                <c:pt idx="1">
                  <c:v>147</c:v>
                </c:pt>
                <c:pt idx="2">
                  <c:v>177</c:v>
                </c:pt>
                <c:pt idx="3">
                  <c:v>212</c:v>
                </c:pt>
                <c:pt idx="4">
                  <c:v>272</c:v>
                </c:pt>
                <c:pt idx="5">
                  <c:v>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939-447C-95C3-9E180202C83B}"/>
            </c:ext>
          </c:extLst>
        </c:ser>
        <c:ser>
          <c:idx val="47"/>
          <c:order val="44"/>
          <c:tx>
            <c:strRef>
              <c:f>Days_Since_100!$H$46</c:f>
              <c:strCache>
                <c:ptCount val="1"/>
                <c:pt idx="0">
                  <c:v>Romania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Days_Since_100!$I$46:$GU$46</c:f>
              <c:numCache>
                <c:formatCode>General</c:formatCode>
                <c:ptCount val="195"/>
                <c:pt idx="0">
                  <c:v>123</c:v>
                </c:pt>
                <c:pt idx="1">
                  <c:v>131</c:v>
                </c:pt>
                <c:pt idx="2">
                  <c:v>158</c:v>
                </c:pt>
                <c:pt idx="3">
                  <c:v>184</c:v>
                </c:pt>
                <c:pt idx="4">
                  <c:v>260</c:v>
                </c:pt>
                <c:pt idx="5">
                  <c:v>277</c:v>
                </c:pt>
                <c:pt idx="6">
                  <c:v>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939-447C-95C3-9E180202C83B}"/>
            </c:ext>
          </c:extLst>
        </c:ser>
        <c:ser>
          <c:idx val="48"/>
          <c:order val="45"/>
          <c:tx>
            <c:strRef>
              <c:f>Days_Since_100!$H$47</c:f>
              <c:strCache>
                <c:ptCount val="1"/>
                <c:pt idx="0">
                  <c:v>Bahrain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Days_Since_100!$I$47:$GS$47</c:f>
              <c:numCache>
                <c:formatCode>General</c:formatCode>
                <c:ptCount val="193"/>
                <c:pt idx="0">
                  <c:v>110</c:v>
                </c:pt>
                <c:pt idx="1">
                  <c:v>195</c:v>
                </c:pt>
                <c:pt idx="2">
                  <c:v>195</c:v>
                </c:pt>
                <c:pt idx="3">
                  <c:v>189</c:v>
                </c:pt>
                <c:pt idx="4">
                  <c:v>210</c:v>
                </c:pt>
                <c:pt idx="5">
                  <c:v>214</c:v>
                </c:pt>
                <c:pt idx="6">
                  <c:v>214</c:v>
                </c:pt>
                <c:pt idx="7">
                  <c:v>228</c:v>
                </c:pt>
                <c:pt idx="8">
                  <c:v>256</c:v>
                </c:pt>
                <c:pt idx="9">
                  <c:v>278</c:v>
                </c:pt>
                <c:pt idx="10">
                  <c:v>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939-447C-95C3-9E180202C83B}"/>
            </c:ext>
          </c:extLst>
        </c:ser>
        <c:ser>
          <c:idx val="49"/>
          <c:order val="46"/>
          <c:tx>
            <c:strRef>
              <c:f>Days_Since_100!$H$48</c:f>
              <c:strCache>
                <c:ptCount val="1"/>
                <c:pt idx="0">
                  <c:v>Egypt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Days_Since_100!$I$48:$GS$48</c:f>
              <c:numCache>
                <c:formatCode>General</c:formatCode>
                <c:ptCount val="193"/>
                <c:pt idx="0">
                  <c:v>109</c:v>
                </c:pt>
                <c:pt idx="1">
                  <c:v>110</c:v>
                </c:pt>
                <c:pt idx="2">
                  <c:v>150</c:v>
                </c:pt>
                <c:pt idx="3">
                  <c:v>196</c:v>
                </c:pt>
                <c:pt idx="4">
                  <c:v>196</c:v>
                </c:pt>
                <c:pt idx="5">
                  <c:v>256</c:v>
                </c:pt>
                <c:pt idx="6">
                  <c:v>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939-447C-95C3-9E180202C83B}"/>
            </c:ext>
          </c:extLst>
        </c:ser>
        <c:ser>
          <c:idx val="50"/>
          <c:order val="47"/>
          <c:tx>
            <c:strRef>
              <c:f>Days_Since_100!$H$49</c:f>
              <c:strCache>
                <c:ptCount val="1"/>
                <c:pt idx="0">
                  <c:v>Estonia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Days_Since_100!$I$49:$GS$49</c:f>
              <c:numCache>
                <c:formatCode>General</c:formatCode>
                <c:ptCount val="193"/>
                <c:pt idx="0">
                  <c:v>115</c:v>
                </c:pt>
                <c:pt idx="1">
                  <c:v>171</c:v>
                </c:pt>
                <c:pt idx="2">
                  <c:v>205</c:v>
                </c:pt>
                <c:pt idx="3">
                  <c:v>225</c:v>
                </c:pt>
                <c:pt idx="4">
                  <c:v>258</c:v>
                </c:pt>
                <c:pt idx="5">
                  <c:v>267</c:v>
                </c:pt>
                <c:pt idx="6">
                  <c:v>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939-447C-95C3-9E180202C83B}"/>
            </c:ext>
          </c:extLst>
        </c:ser>
        <c:ser>
          <c:idx val="51"/>
          <c:order val="48"/>
          <c:tx>
            <c:strRef>
              <c:f>Days_Since_100!$H$50</c:f>
              <c:strCache>
                <c:ptCount val="1"/>
                <c:pt idx="0">
                  <c:v>Russia</c:v>
                </c:pt>
              </c:strCache>
            </c:strRef>
          </c:tx>
          <c:spPr>
            <a:ln w="25400" cap="rnd" cmpd="sng" algn="ctr">
              <a:solidFill>
                <a:srgbClr val="5B9BD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Days_Since_100!$I$50:$GU$50</c:f>
              <c:numCache>
                <c:formatCode>General</c:formatCode>
                <c:ptCount val="195"/>
                <c:pt idx="0">
                  <c:v>114</c:v>
                </c:pt>
                <c:pt idx="1">
                  <c:v>147</c:v>
                </c:pt>
                <c:pt idx="2">
                  <c:v>199</c:v>
                </c:pt>
                <c:pt idx="3">
                  <c:v>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939-447C-95C3-9E180202C83B}"/>
            </c:ext>
          </c:extLst>
        </c:ser>
        <c:ser>
          <c:idx val="52"/>
          <c:order val="49"/>
          <c:tx>
            <c:strRef>
              <c:f>Days_Since_100!$H$51</c:f>
              <c:strCache>
                <c:ptCount val="1"/>
                <c:pt idx="0">
                  <c:v>India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Days_Since_100!$I$51:$GU$51</c:f>
              <c:numCache>
                <c:formatCode>General</c:formatCode>
                <c:ptCount val="195"/>
                <c:pt idx="0">
                  <c:v>102</c:v>
                </c:pt>
                <c:pt idx="1">
                  <c:v>113</c:v>
                </c:pt>
                <c:pt idx="2">
                  <c:v>119</c:v>
                </c:pt>
                <c:pt idx="3">
                  <c:v>142</c:v>
                </c:pt>
                <c:pt idx="4">
                  <c:v>156</c:v>
                </c:pt>
                <c:pt idx="5">
                  <c:v>194</c:v>
                </c:pt>
                <c:pt idx="6">
                  <c:v>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939-447C-95C3-9E180202C83B}"/>
            </c:ext>
          </c:extLst>
        </c:ser>
        <c:ser>
          <c:idx val="24"/>
          <c:order val="50"/>
          <c:tx>
            <c:strRef>
              <c:f>Days_Since_100!$H$52</c:f>
              <c:strCache>
                <c:ptCount val="1"/>
                <c:pt idx="0">
                  <c:v>Peru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Days_Since_100!$I$52:$GM$52</c:f>
              <c:numCache>
                <c:formatCode>General</c:formatCode>
                <c:ptCount val="187"/>
                <c:pt idx="0">
                  <c:v>117</c:v>
                </c:pt>
                <c:pt idx="1">
                  <c:v>145</c:v>
                </c:pt>
                <c:pt idx="2">
                  <c:v>234</c:v>
                </c:pt>
                <c:pt idx="3">
                  <c:v>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3-40E0-88DB-2AA2E7BEADD9}"/>
            </c:ext>
          </c:extLst>
        </c:ser>
        <c:ser>
          <c:idx val="25"/>
          <c:order val="51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3-40E0-88DB-2AA2E7BEADD9}"/>
            </c:ext>
          </c:extLst>
        </c:ser>
        <c:ser>
          <c:idx val="28"/>
          <c:order val="52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3-40E0-88DB-2AA2E7BEADD9}"/>
            </c:ext>
          </c:extLst>
        </c:ser>
        <c:ser>
          <c:idx val="53"/>
          <c:order val="53"/>
          <c:tx>
            <c:strRef>
              <c:f>Days_Since_100!$H$53</c:f>
              <c:strCache>
                <c:ptCount val="1"/>
                <c:pt idx="0">
                  <c:v>Philippines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Days_Since_100!$I$53:$GP$53</c:f>
              <c:numCache>
                <c:formatCode>General</c:formatCode>
                <c:ptCount val="190"/>
                <c:pt idx="0">
                  <c:v>111</c:v>
                </c:pt>
                <c:pt idx="1">
                  <c:v>140</c:v>
                </c:pt>
                <c:pt idx="2">
                  <c:v>142</c:v>
                </c:pt>
                <c:pt idx="3">
                  <c:v>187</c:v>
                </c:pt>
                <c:pt idx="4">
                  <c:v>202</c:v>
                </c:pt>
                <c:pt idx="5">
                  <c:v>217</c:v>
                </c:pt>
                <c:pt idx="6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3-40E0-88DB-2AA2E7BEADD9}"/>
            </c:ext>
          </c:extLst>
        </c:ser>
        <c:ser>
          <c:idx val="54"/>
          <c:order val="54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5B9BD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3-40E0-88DB-2AA2E7BEADD9}"/>
            </c:ext>
          </c:extLst>
        </c:ser>
        <c:ser>
          <c:idx val="55"/>
          <c:order val="55"/>
          <c:tx>
            <c:strRef>
              <c:f>Days_Since_100!$H$54</c:f>
              <c:strCache>
                <c:ptCount val="1"/>
                <c:pt idx="0">
                  <c:v>Iraq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Days_Since_100!$I$54:$GN$54</c:f>
              <c:numCache>
                <c:formatCode>General</c:formatCode>
                <c:ptCount val="188"/>
                <c:pt idx="0">
                  <c:v>101</c:v>
                </c:pt>
                <c:pt idx="1">
                  <c:v>110</c:v>
                </c:pt>
                <c:pt idx="2">
                  <c:v>116</c:v>
                </c:pt>
                <c:pt idx="3">
                  <c:v>124</c:v>
                </c:pt>
                <c:pt idx="4">
                  <c:v>154</c:v>
                </c:pt>
                <c:pt idx="5">
                  <c:v>164</c:v>
                </c:pt>
                <c:pt idx="6">
                  <c:v>192</c:v>
                </c:pt>
                <c:pt idx="7">
                  <c:v>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DF3-40E0-88DB-2AA2E7BEADD9}"/>
            </c:ext>
          </c:extLst>
        </c:ser>
        <c:ser>
          <c:idx val="56"/>
          <c:order val="56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DF3-40E0-88DB-2AA2E7BEADD9}"/>
            </c:ext>
          </c:extLst>
        </c:ser>
        <c:ser>
          <c:idx val="57"/>
          <c:order val="57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FFC000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F3-40E0-88DB-2AA2E7BEADD9}"/>
            </c:ext>
          </c:extLst>
        </c:ser>
        <c:ser>
          <c:idx val="58"/>
          <c:order val="58"/>
          <c:tx>
            <c:strRef>
              <c:f>Days_Since_100!$H$55</c:f>
              <c:strCache>
                <c:ptCount val="1"/>
                <c:pt idx="0">
                  <c:v>South Africa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Days_Since_100!$I$55:$GK$55</c:f>
              <c:numCache>
                <c:formatCode>General</c:formatCode>
                <c:ptCount val="185"/>
                <c:pt idx="0">
                  <c:v>116</c:v>
                </c:pt>
                <c:pt idx="1">
                  <c:v>150</c:v>
                </c:pt>
                <c:pt idx="2">
                  <c:v>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DF3-40E0-88DB-2AA2E7BEADD9}"/>
            </c:ext>
          </c:extLst>
        </c:ser>
        <c:ser>
          <c:idx val="59"/>
          <c:order val="59"/>
          <c:tx>
            <c:strRef>
              <c:f>Days_Since_100!$H$56</c:f>
              <c:strCache>
                <c:ptCount val="1"/>
                <c:pt idx="0">
                  <c:v>Mexico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Days_Since_100!$I$56:$GN$56</c:f>
              <c:numCache>
                <c:formatCode>General</c:formatCode>
                <c:ptCount val="188"/>
                <c:pt idx="0">
                  <c:v>118</c:v>
                </c:pt>
                <c:pt idx="1">
                  <c:v>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DF3-40E0-88DB-2AA2E7BEADD9}"/>
            </c:ext>
          </c:extLst>
        </c:ser>
        <c:ser>
          <c:idx val="60"/>
          <c:order val="60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DF3-40E0-88DB-2AA2E7BEADD9}"/>
            </c:ext>
          </c:extLst>
        </c:ser>
        <c:ser>
          <c:idx val="61"/>
          <c:order val="61"/>
          <c:tx>
            <c:strRef>
              <c:f>Days_Since_100!$H$57</c:f>
              <c:strCache>
                <c:ptCount val="1"/>
                <c:pt idx="0">
                  <c:v>Lebanon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Days_Since_100!$I$57:$GN$57</c:f>
              <c:numCache>
                <c:formatCode>General</c:formatCode>
                <c:ptCount val="188"/>
                <c:pt idx="0">
                  <c:v>110</c:v>
                </c:pt>
                <c:pt idx="1">
                  <c:v>99</c:v>
                </c:pt>
                <c:pt idx="2">
                  <c:v>120</c:v>
                </c:pt>
                <c:pt idx="3">
                  <c:v>133</c:v>
                </c:pt>
                <c:pt idx="4">
                  <c:v>157</c:v>
                </c:pt>
                <c:pt idx="5">
                  <c:v>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12-4EB5-B872-D6B0C983AD14}"/>
            </c:ext>
          </c:extLst>
        </c:ser>
        <c:ser>
          <c:idx val="62"/>
          <c:order val="62"/>
          <c:tx>
            <c:strRef>
              <c:f>Days_Since_100!$H$58</c:f>
              <c:strCache>
                <c:ptCount val="1"/>
                <c:pt idx="0">
                  <c:v>Kuwait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Days_Since_100!$I$58:$GN$58</c:f>
              <c:numCache>
                <c:formatCode>General</c:formatCode>
                <c:ptCount val="188"/>
                <c:pt idx="0">
                  <c:v>104</c:v>
                </c:pt>
                <c:pt idx="1">
                  <c:v>112</c:v>
                </c:pt>
                <c:pt idx="2">
                  <c:v>123</c:v>
                </c:pt>
                <c:pt idx="3">
                  <c:v>130</c:v>
                </c:pt>
                <c:pt idx="4">
                  <c:v>142</c:v>
                </c:pt>
                <c:pt idx="5">
                  <c:v>148</c:v>
                </c:pt>
                <c:pt idx="6">
                  <c:v>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12-4EB5-B872-D6B0C983AD14}"/>
            </c:ext>
          </c:extLst>
        </c:ser>
        <c:ser>
          <c:idx val="63"/>
          <c:order val="63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12-4EB5-B872-D6B0C983AD14}"/>
            </c:ext>
          </c:extLst>
        </c:ser>
        <c:ser>
          <c:idx val="64"/>
          <c:order val="64"/>
          <c:tx>
            <c:strRef>
              <c:f>Days_Since_100!$H$59</c:f>
              <c:strCache>
                <c:ptCount val="1"/>
                <c:pt idx="0">
                  <c:v>San Marino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Days_Since_100!$I$59:$GJ$59</c:f>
              <c:numCache>
                <c:formatCode>General</c:formatCode>
                <c:ptCount val="184"/>
                <c:pt idx="0">
                  <c:v>101</c:v>
                </c:pt>
                <c:pt idx="1">
                  <c:v>109</c:v>
                </c:pt>
                <c:pt idx="2">
                  <c:v>109</c:v>
                </c:pt>
                <c:pt idx="3">
                  <c:v>119</c:v>
                </c:pt>
                <c:pt idx="4">
                  <c:v>119</c:v>
                </c:pt>
                <c:pt idx="5">
                  <c:v>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12-4EB5-B872-D6B0C983AD14}"/>
            </c:ext>
          </c:extLst>
        </c:ser>
        <c:ser>
          <c:idx val="65"/>
          <c:order val="65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12-4EB5-B872-D6B0C983AD14}"/>
            </c:ext>
          </c:extLst>
        </c:ser>
        <c:ser>
          <c:idx val="66"/>
          <c:order val="66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7C-4BAF-8CC8-7B18947C5EC7}"/>
            </c:ext>
          </c:extLst>
        </c:ser>
        <c:ser>
          <c:idx val="67"/>
          <c:order val="67"/>
          <c:tx>
            <c:strRef>
              <c:f>Days_Since_100!$H$60</c:f>
              <c:strCache>
                <c:ptCount val="1"/>
                <c:pt idx="0">
                  <c:v>United Arab Emirates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Days_Since_100!$I$60:$GO$60</c:f>
              <c:numCache>
                <c:formatCode>General</c:formatCode>
                <c:ptCount val="189"/>
                <c:pt idx="0">
                  <c:v>113</c:v>
                </c:pt>
                <c:pt idx="1">
                  <c:v>140</c:v>
                </c:pt>
                <c:pt idx="2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7C-4BAF-8CC8-7B18947C5EC7}"/>
            </c:ext>
          </c:extLst>
        </c:ser>
        <c:ser>
          <c:idx val="68"/>
          <c:order val="68"/>
          <c:tx>
            <c:strRef>
              <c:f>Days_Since_100!$H$61</c:f>
              <c:strCache>
                <c:ptCount val="1"/>
                <c:pt idx="0">
                  <c:v>Slovakia</c:v>
                </c:pt>
              </c:strCache>
            </c:strRef>
          </c:tx>
          <c:spPr>
            <a:ln w="25400" cap="rnd" cmpd="sng" algn="ctr">
              <a:solidFill>
                <a:srgbClr val="70AD47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Days_Since_100!$I$61:$GL$61</c:f>
              <c:numCache>
                <c:formatCode>General</c:formatCode>
                <c:ptCount val="186"/>
                <c:pt idx="0">
                  <c:v>105</c:v>
                </c:pt>
                <c:pt idx="1">
                  <c:v>123</c:v>
                </c:pt>
                <c:pt idx="2">
                  <c:v>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7C-4BAF-8CC8-7B18947C5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3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050"/>
                  <a:t>Days since 100th infection</a:t>
                </a:r>
              </a:p>
            </c:rich>
          </c:tx>
          <c:layout>
            <c:manualLayout>
              <c:xMode val="edge"/>
              <c:yMode val="edge"/>
              <c:x val="0.3446590360859193"/>
              <c:y val="0.945617922205809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</c:dateAx>
      <c:valAx>
        <c:axId val="510372440"/>
        <c:scaling>
          <c:orientation val="minMax"/>
          <c:max val="5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115604572511713"/>
          <c:y val="5.8569922112763968E-2"/>
          <c:w val="0.18884395427488299"/>
          <c:h val="0.843515083140456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33</xdr:col>
      <xdr:colOff>536219</xdr:colOff>
      <xdr:row>1</xdr:row>
      <xdr:rowOff>159151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2619278" y="338445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37</xdr:col>
      <xdr:colOff>218669</xdr:colOff>
      <xdr:row>1</xdr:row>
      <xdr:rowOff>166289</xdr:rowOff>
    </xdr:from>
    <xdr:ext cx="1447801" cy="478971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4752081" y="345583"/>
          <a:ext cx="1447801" cy="478971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37</xdr:col>
      <xdr:colOff>218669</xdr:colOff>
      <xdr:row>5</xdr:row>
      <xdr:rowOff>28154</xdr:rowOff>
    </xdr:from>
    <xdr:ext cx="1447802" cy="489857"/>
    <xdr:sp macro="[0]!FormatData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4752081" y="924625"/>
          <a:ext cx="1447802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33</xdr:col>
      <xdr:colOff>536219</xdr:colOff>
      <xdr:row>5</xdr:row>
      <xdr:rowOff>55924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2619278" y="952395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  <xdr:twoCellAnchor>
    <xdr:from>
      <xdr:col>3</xdr:col>
      <xdr:colOff>141513</xdr:colOff>
      <xdr:row>1</xdr:row>
      <xdr:rowOff>1089</xdr:rowOff>
    </xdr:from>
    <xdr:to>
      <xdr:col>20</xdr:col>
      <xdr:colOff>341586</xdr:colOff>
      <xdr:row>27</xdr:row>
      <xdr:rowOff>130628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C1F0A1-4E22-436E-A279-1C8C5675E4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141514</xdr:colOff>
      <xdr:row>27</xdr:row>
      <xdr:rowOff>129540</xdr:rowOff>
    </xdr:from>
    <xdr:to>
      <xdr:col>20</xdr:col>
      <xdr:colOff>341586</xdr:colOff>
      <xdr:row>52</xdr:row>
      <xdr:rowOff>99060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FA082E9-A0DA-4384-8266-7FCF349A94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99060</xdr:colOff>
      <xdr:row>29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20</xdr:col>
      <xdr:colOff>137160</xdr:colOff>
      <xdr:row>3</xdr:row>
      <xdr:rowOff>160020</xdr:rowOff>
    </xdr:from>
    <xdr:ext cx="1005840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12496800" y="708660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/>
  <dimension ref="A1:AQ53"/>
  <sheetViews>
    <sheetView showGridLines="0" tabSelected="1" zoomScale="51" zoomScaleNormal="51" workbookViewId="0"/>
  </sheetViews>
  <sheetFormatPr defaultRowHeight="13.8" x14ac:dyDescent="0.25"/>
  <cols>
    <col min="1" max="1" width="3.21875" style="41" customWidth="1"/>
    <col min="2" max="2" width="32.44140625" style="41" bestFit="1" customWidth="1"/>
    <col min="3" max="3" width="18.33203125" style="41" customWidth="1"/>
    <col min="4" max="16384" width="8.88671875" style="41"/>
  </cols>
  <sheetData>
    <row r="1" spans="1:32" x14ac:dyDescent="0.25">
      <c r="A1" s="45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7"/>
    </row>
    <row r="2" spans="1:32" x14ac:dyDescent="0.25">
      <c r="A2" s="48"/>
      <c r="B2" s="81" t="str">
        <f>C7&amp;" Covid-19 Active Case Projections"</f>
        <v>United Kingdom Covid-19 Active Case Projections</v>
      </c>
      <c r="C2" s="82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50"/>
    </row>
    <row r="3" spans="1:32" x14ac:dyDescent="0.25">
      <c r="A3" s="48"/>
      <c r="B3" s="83"/>
      <c r="C3" s="84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50"/>
      <c r="W3" s="132" t="s">
        <v>551</v>
      </c>
      <c r="X3" s="133"/>
      <c r="Y3" s="134"/>
      <c r="Z3" s="124" t="s">
        <v>349</v>
      </c>
      <c r="AA3" s="125"/>
      <c r="AB3" s="125"/>
      <c r="AC3" s="126"/>
    </row>
    <row r="4" spans="1:32" x14ac:dyDescent="0.25">
      <c r="A4" s="48"/>
      <c r="B4" s="83"/>
      <c r="C4" s="84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50"/>
      <c r="W4" s="123"/>
      <c r="X4" s="120"/>
      <c r="Y4" s="135"/>
      <c r="Z4" s="127"/>
      <c r="AA4" s="119"/>
      <c r="AB4" s="119"/>
      <c r="AC4" s="128"/>
    </row>
    <row r="5" spans="1:32" x14ac:dyDescent="0.25">
      <c r="A5" s="48"/>
      <c r="B5" s="85"/>
      <c r="C5" s="86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50"/>
      <c r="W5" s="136"/>
      <c r="X5" s="137"/>
      <c r="Y5" s="138"/>
      <c r="Z5" s="129"/>
      <c r="AA5" s="130"/>
      <c r="AB5" s="130"/>
      <c r="AC5" s="131"/>
    </row>
    <row r="6" spans="1:32" x14ac:dyDescent="0.25">
      <c r="A6" s="48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50"/>
    </row>
    <row r="7" spans="1:32" x14ac:dyDescent="0.25">
      <c r="A7" s="48"/>
      <c r="B7" s="89" t="s">
        <v>479</v>
      </c>
      <c r="C7" s="87" t="str">
        <f>Z3</f>
        <v>United Kingdom</v>
      </c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50"/>
    </row>
    <row r="8" spans="1:32" ht="13.8" customHeight="1" x14ac:dyDescent="0.25">
      <c r="A8" s="48"/>
      <c r="B8" s="90"/>
      <c r="C8" s="88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50"/>
      <c r="W8" s="132" t="s">
        <v>550</v>
      </c>
      <c r="X8" s="133"/>
      <c r="Y8" s="134"/>
      <c r="Z8" s="124">
        <v>5</v>
      </c>
      <c r="AA8" s="126"/>
      <c r="AB8" s="144" t="s">
        <v>559</v>
      </c>
      <c r="AC8" s="145"/>
      <c r="AD8" s="145"/>
      <c r="AE8" s="145"/>
      <c r="AF8" s="145"/>
    </row>
    <row r="9" spans="1:32" ht="17.399999999999999" x14ac:dyDescent="0.3">
      <c r="A9" s="48"/>
      <c r="B9" s="73"/>
      <c r="C9" s="73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50"/>
      <c r="W9" s="123"/>
      <c r="X9" s="120"/>
      <c r="Y9" s="135"/>
      <c r="Z9" s="127"/>
      <c r="AA9" s="128"/>
      <c r="AB9" s="144"/>
      <c r="AC9" s="145"/>
      <c r="AD9" s="145"/>
      <c r="AE9" s="145"/>
      <c r="AF9" s="145"/>
    </row>
    <row r="10" spans="1:32" ht="15.6" customHeight="1" x14ac:dyDescent="0.25">
      <c r="A10" s="48"/>
      <c r="B10" s="89" t="s">
        <v>510</v>
      </c>
      <c r="C10" s="97">
        <f>Projections_Data!C4</f>
        <v>4014</v>
      </c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50"/>
      <c r="W10" s="136"/>
      <c r="X10" s="137"/>
      <c r="Y10" s="138"/>
      <c r="Z10" s="129"/>
      <c r="AA10" s="131"/>
      <c r="AB10" s="144"/>
      <c r="AC10" s="145"/>
      <c r="AD10" s="145"/>
      <c r="AE10" s="145"/>
      <c r="AF10" s="145"/>
    </row>
    <row r="11" spans="1:32" ht="15.6" customHeight="1" x14ac:dyDescent="0.25">
      <c r="A11" s="48"/>
      <c r="B11" s="90"/>
      <c r="C11" s="98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50"/>
    </row>
    <row r="12" spans="1:32" ht="15.6" customHeight="1" x14ac:dyDescent="0.25">
      <c r="A12" s="48"/>
      <c r="B12" s="89" t="s">
        <v>511</v>
      </c>
      <c r="C12" s="95">
        <f>Projections_Data!C6</f>
        <v>3769</v>
      </c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50"/>
    </row>
    <row r="13" spans="1:32" ht="15.6" customHeight="1" x14ac:dyDescent="0.25">
      <c r="A13" s="48"/>
      <c r="B13" s="90"/>
      <c r="C13" s="96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50"/>
      <c r="W13" s="121" t="s">
        <v>552</v>
      </c>
      <c r="X13" s="121"/>
      <c r="Y13" s="121"/>
      <c r="Z13" s="121"/>
      <c r="AA13" s="121"/>
    </row>
    <row r="14" spans="1:32" ht="15.6" customHeight="1" x14ac:dyDescent="0.25">
      <c r="A14" s="48"/>
      <c r="B14" s="89" t="s">
        <v>513</v>
      </c>
      <c r="C14" s="93">
        <f>Projections_Data!C7</f>
        <v>67</v>
      </c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50"/>
      <c r="W14" s="121"/>
      <c r="X14" s="121"/>
      <c r="Y14" s="121"/>
      <c r="Z14" s="121"/>
      <c r="AA14" s="121"/>
    </row>
    <row r="15" spans="1:32" ht="15.6" customHeight="1" x14ac:dyDescent="0.25">
      <c r="A15" s="48"/>
      <c r="B15" s="90"/>
      <c r="C15" s="94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50"/>
      <c r="W15" s="147" t="s">
        <v>553</v>
      </c>
      <c r="X15" s="147"/>
      <c r="Y15" s="147"/>
      <c r="Z15" s="139">
        <v>0.4</v>
      </c>
      <c r="AA15" s="140"/>
    </row>
    <row r="16" spans="1:32" ht="15.6" customHeight="1" x14ac:dyDescent="0.25">
      <c r="A16" s="48"/>
      <c r="B16" s="89" t="s">
        <v>520</v>
      </c>
      <c r="C16" s="91">
        <f>Projections_Data!C8</f>
        <v>178</v>
      </c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50"/>
      <c r="W16" s="147"/>
      <c r="X16" s="147"/>
      <c r="Y16" s="147"/>
      <c r="Z16" s="140"/>
      <c r="AA16" s="140"/>
    </row>
    <row r="17" spans="1:42" ht="15.6" customHeight="1" x14ac:dyDescent="0.25">
      <c r="A17" s="48"/>
      <c r="B17" s="90"/>
      <c r="C17" s="92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50"/>
      <c r="W17" s="147" t="s">
        <v>554</v>
      </c>
      <c r="X17" s="147"/>
      <c r="Y17" s="147"/>
      <c r="Z17" s="139">
        <v>0.25</v>
      </c>
      <c r="AA17" s="140"/>
    </row>
    <row r="18" spans="1:42" ht="15.6" customHeight="1" x14ac:dyDescent="0.25">
      <c r="A18" s="48"/>
      <c r="B18" s="89" t="s">
        <v>512</v>
      </c>
      <c r="C18" s="115">
        <f>Projections_Data!C14</f>
        <v>4987.7535079337376</v>
      </c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50"/>
      <c r="W18" s="147"/>
      <c r="X18" s="147"/>
      <c r="Y18" s="147"/>
      <c r="Z18" s="140"/>
      <c r="AA18" s="140"/>
    </row>
    <row r="19" spans="1:42" ht="15.6" customHeight="1" x14ac:dyDescent="0.25">
      <c r="A19" s="48"/>
      <c r="B19" s="90"/>
      <c r="C19" s="116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50"/>
      <c r="W19" s="147" t="s">
        <v>555</v>
      </c>
      <c r="X19" s="147"/>
      <c r="Y19" s="147"/>
      <c r="Z19" s="139">
        <v>0.1</v>
      </c>
      <c r="AA19" s="140"/>
    </row>
    <row r="20" spans="1:42" ht="19.8" customHeight="1" x14ac:dyDescent="0.25">
      <c r="A20" s="48"/>
      <c r="B20" s="111" t="s">
        <v>535</v>
      </c>
      <c r="C20" s="113">
        <f>Projections_Data!C11</f>
        <v>0.23441183506947327</v>
      </c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50"/>
      <c r="W20" s="147"/>
      <c r="X20" s="147"/>
      <c r="Y20" s="147"/>
      <c r="Z20" s="140"/>
      <c r="AA20" s="140"/>
    </row>
    <row r="21" spans="1:42" ht="19.8" customHeight="1" x14ac:dyDescent="0.25">
      <c r="A21" s="48"/>
      <c r="B21" s="112"/>
      <c r="C21" s="114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50"/>
    </row>
    <row r="22" spans="1:42" ht="19.8" customHeight="1" x14ac:dyDescent="0.25">
      <c r="A22" s="48"/>
      <c r="B22" s="103" t="s">
        <v>509</v>
      </c>
      <c r="C22" s="99">
        <f>Projections_Data!C23</f>
        <v>43904</v>
      </c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50" t="s">
        <v>502</v>
      </c>
    </row>
    <row r="23" spans="1:42" ht="19.8" customHeight="1" x14ac:dyDescent="0.25">
      <c r="A23" s="48"/>
      <c r="B23" s="104"/>
      <c r="C23" s="100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50"/>
    </row>
    <row r="24" spans="1:42" ht="18.600000000000001" customHeight="1" x14ac:dyDescent="0.25">
      <c r="A24" s="48"/>
      <c r="B24" s="89" t="s">
        <v>508</v>
      </c>
      <c r="C24" s="99">
        <f>Projections_Data!C24</f>
        <v>43910</v>
      </c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50"/>
    </row>
    <row r="25" spans="1:42" ht="18.600000000000001" customHeight="1" x14ac:dyDescent="0.25">
      <c r="A25" s="48"/>
      <c r="B25" s="90"/>
      <c r="C25" s="100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50"/>
    </row>
    <row r="26" spans="1:42" ht="15.6" customHeight="1" x14ac:dyDescent="0.25">
      <c r="A26" s="48"/>
      <c r="B26" s="117" t="s">
        <v>536</v>
      </c>
      <c r="C26" s="117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50"/>
    </row>
    <row r="27" spans="1:42" ht="15.6" customHeight="1" x14ac:dyDescent="0.25">
      <c r="A27" s="48"/>
      <c r="B27" s="118"/>
      <c r="C27" s="118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50"/>
    </row>
    <row r="28" spans="1:42" ht="15.6" customHeight="1" x14ac:dyDescent="0.25">
      <c r="A28" s="48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50"/>
    </row>
    <row r="29" spans="1:42" ht="15.6" customHeight="1" x14ac:dyDescent="0.25">
      <c r="A29" s="48"/>
      <c r="B29" s="81" t="str">
        <f>Projections_Data!B35</f>
        <v xml:space="preserve">United Kingdom critically ill projections </v>
      </c>
      <c r="C29" s="82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50"/>
    </row>
    <row r="30" spans="1:42" ht="15.6" customHeight="1" x14ac:dyDescent="0.25">
      <c r="A30" s="48"/>
      <c r="B30" s="83"/>
      <c r="C30" s="84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50"/>
    </row>
    <row r="31" spans="1:42" ht="15.6" customHeight="1" x14ac:dyDescent="0.25">
      <c r="A31" s="48"/>
      <c r="B31" s="83"/>
      <c r="C31" s="84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50"/>
    </row>
    <row r="32" spans="1:42" ht="15.6" customHeight="1" x14ac:dyDescent="0.25">
      <c r="A32" s="48"/>
      <c r="B32" s="85"/>
      <c r="C32" s="86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50"/>
      <c r="W32" s="121" t="s">
        <v>556</v>
      </c>
      <c r="X32" s="121"/>
      <c r="Y32" s="121"/>
      <c r="Z32" s="122"/>
      <c r="AA32" s="122"/>
      <c r="AB32" s="142" t="s">
        <v>557</v>
      </c>
      <c r="AC32" s="143"/>
      <c r="AD32" s="143"/>
      <c r="AE32" s="143"/>
      <c r="AF32" s="143"/>
      <c r="AG32" s="143"/>
      <c r="AH32" s="143"/>
      <c r="AI32" s="143"/>
      <c r="AJ32" s="143"/>
      <c r="AK32" s="143"/>
      <c r="AL32" s="143"/>
      <c r="AM32" s="143"/>
      <c r="AN32" s="143"/>
      <c r="AO32" s="143"/>
      <c r="AP32" s="143"/>
    </row>
    <row r="33" spans="1:43" ht="15.6" customHeight="1" x14ac:dyDescent="0.25">
      <c r="A33" s="48"/>
      <c r="B33" s="75"/>
      <c r="C33" s="75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50"/>
      <c r="W33" s="121"/>
      <c r="X33" s="121"/>
      <c r="Y33" s="121"/>
      <c r="Z33" s="122"/>
      <c r="AA33" s="122"/>
      <c r="AB33" s="142"/>
      <c r="AC33" s="143"/>
      <c r="AD33" s="143"/>
      <c r="AE33" s="143"/>
      <c r="AF33" s="143"/>
      <c r="AG33" s="143"/>
      <c r="AH33" s="143"/>
      <c r="AI33" s="143"/>
      <c r="AJ33" s="143"/>
      <c r="AK33" s="143"/>
      <c r="AL33" s="143"/>
      <c r="AM33" s="143"/>
      <c r="AN33" s="143"/>
      <c r="AO33" s="143"/>
      <c r="AP33" s="143"/>
    </row>
    <row r="34" spans="1:43" ht="15.6" customHeight="1" x14ac:dyDescent="0.25">
      <c r="A34" s="48"/>
      <c r="B34" s="108" t="s">
        <v>467</v>
      </c>
      <c r="C34" s="110">
        <f>Projections_Data!C16</f>
        <v>4480.4767259999999</v>
      </c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50"/>
      <c r="W34" s="121"/>
      <c r="X34" s="121"/>
      <c r="Y34" s="121"/>
      <c r="Z34" s="122"/>
      <c r="AA34" s="122"/>
      <c r="AB34" s="142"/>
      <c r="AC34" s="143"/>
      <c r="AD34" s="143"/>
      <c r="AE34" s="143"/>
      <c r="AF34" s="143"/>
      <c r="AG34" s="143"/>
      <c r="AH34" s="143"/>
      <c r="AI34" s="143"/>
      <c r="AJ34" s="143"/>
      <c r="AK34" s="143"/>
      <c r="AL34" s="143"/>
      <c r="AM34" s="143"/>
      <c r="AN34" s="143"/>
      <c r="AO34" s="143"/>
      <c r="AP34" s="143"/>
    </row>
    <row r="35" spans="1:43" ht="18" customHeight="1" x14ac:dyDescent="0.25">
      <c r="A35" s="48"/>
      <c r="B35" s="108"/>
      <c r="C35" s="110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50"/>
      <c r="W35" s="121"/>
      <c r="X35" s="121"/>
      <c r="Y35" s="121"/>
      <c r="Z35" s="122"/>
      <c r="AA35" s="122"/>
      <c r="AB35" s="142"/>
      <c r="AC35" s="143"/>
      <c r="AD35" s="143"/>
      <c r="AE35" s="143"/>
      <c r="AF35" s="143"/>
      <c r="AG35" s="143"/>
      <c r="AH35" s="143"/>
      <c r="AI35" s="143"/>
      <c r="AJ35" s="143"/>
      <c r="AK35" s="143"/>
      <c r="AL35" s="143"/>
      <c r="AM35" s="143"/>
      <c r="AN35" s="143"/>
      <c r="AO35" s="143"/>
      <c r="AP35" s="143"/>
    </row>
    <row r="36" spans="1:43" ht="18" customHeight="1" x14ac:dyDescent="0.25">
      <c r="A36" s="48"/>
      <c r="B36" s="102" t="s">
        <v>525</v>
      </c>
      <c r="C36" s="101">
        <f>Projections_Data!C15</f>
        <v>0.11086198305929247</v>
      </c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50"/>
      <c r="W36" s="121"/>
      <c r="X36" s="121"/>
      <c r="Y36" s="121"/>
      <c r="Z36" s="122"/>
      <c r="AA36" s="122"/>
      <c r="AB36" s="142"/>
      <c r="AC36" s="143"/>
      <c r="AD36" s="143"/>
      <c r="AE36" s="143"/>
      <c r="AF36" s="143"/>
      <c r="AG36" s="143"/>
      <c r="AH36" s="143"/>
      <c r="AI36" s="143"/>
      <c r="AJ36" s="143"/>
      <c r="AK36" s="143"/>
      <c r="AL36" s="143"/>
      <c r="AM36" s="143"/>
      <c r="AN36" s="143"/>
      <c r="AO36" s="143"/>
      <c r="AP36" s="143"/>
    </row>
    <row r="37" spans="1:43" ht="20.399999999999999" customHeight="1" x14ac:dyDescent="0.25">
      <c r="A37" s="48"/>
      <c r="B37" s="102"/>
      <c r="C37" s="101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50"/>
    </row>
    <row r="38" spans="1:43" ht="20.399999999999999" customHeight="1" x14ac:dyDescent="0.25">
      <c r="A38" s="48"/>
      <c r="B38" s="102" t="s">
        <v>524</v>
      </c>
      <c r="C38" s="110">
        <f>Projections!C12*Projections!C36</f>
        <v>417.8388141504733</v>
      </c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50"/>
    </row>
    <row r="39" spans="1:43" ht="20.399999999999999" customHeight="1" x14ac:dyDescent="0.25">
      <c r="A39" s="48"/>
      <c r="B39" s="102"/>
      <c r="C39" s="110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50"/>
      <c r="W39" s="121" t="s">
        <v>467</v>
      </c>
      <c r="X39" s="121"/>
      <c r="Y39" s="121"/>
      <c r="Z39" s="146"/>
      <c r="AA39" s="146"/>
      <c r="AB39" s="141" t="s">
        <v>558</v>
      </c>
      <c r="AC39" s="141"/>
      <c r="AD39" s="141"/>
      <c r="AE39" s="141"/>
      <c r="AF39" s="141"/>
      <c r="AG39" s="141"/>
      <c r="AH39" s="141"/>
      <c r="AI39" s="141"/>
      <c r="AJ39" s="141"/>
      <c r="AK39" s="141"/>
      <c r="AL39" s="141"/>
      <c r="AM39" s="141"/>
      <c r="AN39" s="141"/>
      <c r="AO39" s="141"/>
      <c r="AP39" s="141"/>
      <c r="AQ39" s="141"/>
    </row>
    <row r="40" spans="1:43" ht="20.399999999999999" customHeight="1" x14ac:dyDescent="0.25">
      <c r="A40" s="48"/>
      <c r="B40" s="102" t="s">
        <v>490</v>
      </c>
      <c r="C40" s="109">
        <f ca="1">Projections_Data!D31</f>
        <v>43922</v>
      </c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50"/>
      <c r="W40" s="121"/>
      <c r="X40" s="121"/>
      <c r="Y40" s="121"/>
      <c r="Z40" s="146"/>
      <c r="AA40" s="146"/>
      <c r="AB40" s="141"/>
      <c r="AC40" s="141"/>
      <c r="AD40" s="141"/>
      <c r="AE40" s="141"/>
      <c r="AF40" s="141"/>
      <c r="AG40" s="141"/>
      <c r="AH40" s="141"/>
      <c r="AI40" s="141"/>
      <c r="AJ40" s="141"/>
      <c r="AK40" s="141"/>
      <c r="AL40" s="141"/>
      <c r="AM40" s="141"/>
      <c r="AN40" s="141"/>
      <c r="AO40" s="141"/>
      <c r="AP40" s="141"/>
      <c r="AQ40" s="141"/>
    </row>
    <row r="41" spans="1:43" ht="20.399999999999999" customHeight="1" x14ac:dyDescent="0.25">
      <c r="A41" s="48"/>
      <c r="B41" s="102"/>
      <c r="C41" s="10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50"/>
      <c r="W41" s="121"/>
      <c r="X41" s="121"/>
      <c r="Y41" s="121"/>
      <c r="Z41" s="146"/>
      <c r="AA41" s="146"/>
      <c r="AB41" s="141"/>
      <c r="AC41" s="141"/>
      <c r="AD41" s="141"/>
      <c r="AE41" s="141"/>
      <c r="AF41" s="141"/>
      <c r="AG41" s="141"/>
      <c r="AH41" s="141"/>
      <c r="AI41" s="141"/>
      <c r="AJ41" s="141"/>
      <c r="AK41" s="141"/>
      <c r="AL41" s="141"/>
      <c r="AM41" s="141"/>
      <c r="AN41" s="141"/>
      <c r="AO41" s="141"/>
      <c r="AP41" s="141"/>
      <c r="AQ41" s="141"/>
    </row>
    <row r="42" spans="1:43" ht="20.399999999999999" customHeight="1" x14ac:dyDescent="0.25">
      <c r="A42" s="48"/>
      <c r="B42" s="108" t="s">
        <v>491</v>
      </c>
      <c r="C42" s="107">
        <f ca="1">IFERROR(C40-TODAY(),"N/A")</f>
        <v>11</v>
      </c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50"/>
      <c r="W42" s="121"/>
      <c r="X42" s="121"/>
      <c r="Y42" s="121"/>
      <c r="Z42" s="146"/>
      <c r="AA42" s="146"/>
      <c r="AB42" s="141"/>
      <c r="AC42" s="141"/>
      <c r="AD42" s="141"/>
      <c r="AE42" s="141"/>
      <c r="AF42" s="141"/>
      <c r="AG42" s="141"/>
      <c r="AH42" s="141"/>
      <c r="AI42" s="141"/>
      <c r="AJ42" s="141"/>
      <c r="AK42" s="141"/>
      <c r="AL42" s="141"/>
      <c r="AM42" s="141"/>
      <c r="AN42" s="141"/>
      <c r="AO42" s="141"/>
      <c r="AP42" s="141"/>
      <c r="AQ42" s="141"/>
    </row>
    <row r="43" spans="1:43" ht="18" customHeight="1" x14ac:dyDescent="0.25">
      <c r="A43" s="48"/>
      <c r="B43" s="108"/>
      <c r="C43" s="107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50"/>
    </row>
    <row r="44" spans="1:43" ht="18" customHeight="1" x14ac:dyDescent="0.25">
      <c r="A44" s="48"/>
      <c r="B44" s="105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05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50"/>
    </row>
    <row r="45" spans="1:43" ht="15.6" customHeight="1" x14ac:dyDescent="0.25">
      <c r="A45" s="48"/>
      <c r="B45" s="106"/>
      <c r="C45" s="106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50"/>
      <c r="W45" s="132" t="s">
        <v>550</v>
      </c>
      <c r="X45" s="133"/>
      <c r="Y45" s="134"/>
      <c r="Z45" s="124"/>
      <c r="AA45" s="126"/>
    </row>
    <row r="46" spans="1:43" ht="15.6" customHeight="1" x14ac:dyDescent="0.25">
      <c r="A46" s="48"/>
      <c r="B46" s="106"/>
      <c r="C46" s="106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50"/>
      <c r="W46" s="123"/>
      <c r="X46" s="120"/>
      <c r="Y46" s="135"/>
      <c r="Z46" s="127"/>
      <c r="AA46" s="128"/>
    </row>
    <row r="47" spans="1:43" ht="13.8" customHeight="1" x14ac:dyDescent="0.25">
      <c r="A47" s="48"/>
      <c r="B47" s="106"/>
      <c r="C47" s="106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50"/>
      <c r="W47" s="136"/>
      <c r="X47" s="137"/>
      <c r="Y47" s="138"/>
      <c r="Z47" s="129"/>
      <c r="AA47" s="131"/>
    </row>
    <row r="48" spans="1:43" ht="14.4" customHeight="1" x14ac:dyDescent="0.25">
      <c r="A48" s="48"/>
      <c r="B48" s="106"/>
      <c r="C48" s="106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50"/>
    </row>
    <row r="49" spans="1:21" ht="13.8" customHeight="1" x14ac:dyDescent="0.25">
      <c r="A49" s="48"/>
      <c r="B49" s="78" t="str">
        <f>"Source: Analysis of John Hopkins University and WHO data.
Data updated: "&amp;TEXT(Projections_Data!C2,"DD/MM/YYYY")&amp;"."</f>
        <v>Source: Analysis of John Hopkins University and WHO data.
Data updated: 20/03/2020.</v>
      </c>
      <c r="C49" s="78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50"/>
    </row>
    <row r="50" spans="1:21" ht="13.8" customHeight="1" x14ac:dyDescent="0.25">
      <c r="A50" s="48"/>
      <c r="B50" s="79"/>
      <c r="C50" s="7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50"/>
    </row>
    <row r="51" spans="1:21" ht="13.8" customHeight="1" x14ac:dyDescent="0.25">
      <c r="A51" s="48"/>
      <c r="B51" s="79"/>
      <c r="C51" s="7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50"/>
    </row>
    <row r="52" spans="1:21" ht="13.8" customHeight="1" x14ac:dyDescent="0.25">
      <c r="A52" s="48"/>
      <c r="B52" s="79"/>
      <c r="C52" s="7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50"/>
    </row>
    <row r="53" spans="1:21" ht="15" customHeight="1" thickBot="1" x14ac:dyDescent="0.3">
      <c r="A53" s="51"/>
      <c r="B53" s="80"/>
      <c r="C53" s="80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</sheetData>
  <mergeCells count="53">
    <mergeCell ref="W45:Y47"/>
    <mergeCell ref="Z45:AA47"/>
    <mergeCell ref="AB32:AP36"/>
    <mergeCell ref="AB39:AQ42"/>
    <mergeCell ref="Z39:AA42"/>
    <mergeCell ref="W39:Y42"/>
    <mergeCell ref="Z19:AA20"/>
    <mergeCell ref="W32:Y36"/>
    <mergeCell ref="Z32:AA36"/>
    <mergeCell ref="Z8:AA10"/>
    <mergeCell ref="W8:Y10"/>
    <mergeCell ref="W3:Y5"/>
    <mergeCell ref="Z3:AC5"/>
    <mergeCell ref="AB8:AF10"/>
    <mergeCell ref="C34:C35"/>
    <mergeCell ref="B34:B35"/>
    <mergeCell ref="B20:B21"/>
    <mergeCell ref="C20:C21"/>
    <mergeCell ref="B18:B19"/>
    <mergeCell ref="C18:C19"/>
    <mergeCell ref="B26:C27"/>
    <mergeCell ref="W13:AA14"/>
    <mergeCell ref="W15:Y16"/>
    <mergeCell ref="Z15:AA16"/>
    <mergeCell ref="W17:Y18"/>
    <mergeCell ref="Z17:AA18"/>
    <mergeCell ref="W19:Y20"/>
    <mergeCell ref="B36:B37"/>
    <mergeCell ref="B22:B23"/>
    <mergeCell ref="B29:C32"/>
    <mergeCell ref="B44:C48"/>
    <mergeCell ref="B40:B41"/>
    <mergeCell ref="C42:C43"/>
    <mergeCell ref="B42:B43"/>
    <mergeCell ref="C40:C41"/>
    <mergeCell ref="C38:C39"/>
    <mergeCell ref="B38:B39"/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Days_Since_100!$C$5:$C$70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/>
  <dimension ref="B1:O66"/>
  <sheetViews>
    <sheetView workbookViewId="0">
      <selection activeCell="P10" sqref="P10"/>
    </sheetView>
  </sheetViews>
  <sheetFormatPr defaultColWidth="9" defaultRowHeight="13.2" customHeight="1" x14ac:dyDescent="0.2"/>
  <cols>
    <col min="1" max="1" width="2.21875" style="60" customWidth="1"/>
    <col min="2" max="2" width="3.88671875" style="59" customWidth="1"/>
    <col min="3" max="3" width="14" style="60" bestFit="1" customWidth="1"/>
    <col min="4" max="4" width="9.21875" style="60" customWidth="1"/>
    <col min="5" max="5" width="10.33203125" style="60" customWidth="1"/>
    <col min="6" max="6" width="11.5546875" style="59" customWidth="1"/>
    <col min="7" max="7" width="3" style="60" customWidth="1"/>
    <col min="8" max="8" width="16" style="60" customWidth="1"/>
    <col min="9" max="9" width="14" style="60" bestFit="1" customWidth="1"/>
    <col min="10" max="10" width="17.6640625" style="60" bestFit="1" customWidth="1"/>
    <col min="11" max="11" width="11.44140625" style="60" bestFit="1" customWidth="1"/>
    <col min="12" max="12" width="9" style="60"/>
    <col min="13" max="13" width="0" style="60" hidden="1" customWidth="1"/>
    <col min="14" max="16384" width="9" style="60"/>
  </cols>
  <sheetData>
    <row r="1" spans="2:15" ht="13.2" customHeight="1" thickBot="1" x14ac:dyDescent="0.25"/>
    <row r="2" spans="2:15" ht="34.799999999999997" thickBot="1" x14ac:dyDescent="0.25">
      <c r="B2" s="65" t="s">
        <v>516</v>
      </c>
      <c r="C2" s="66" t="s">
        <v>479</v>
      </c>
      <c r="D2" s="66" t="s">
        <v>492</v>
      </c>
      <c r="E2" s="66" t="s">
        <v>507</v>
      </c>
      <c r="F2" s="67" t="s">
        <v>546</v>
      </c>
      <c r="H2" s="76" t="s">
        <v>548</v>
      </c>
      <c r="I2" s="66" t="s">
        <v>521</v>
      </c>
      <c r="J2" s="66" t="s">
        <v>480</v>
      </c>
      <c r="K2" s="67" t="s">
        <v>522</v>
      </c>
      <c r="O2" s="77" t="s">
        <v>549</v>
      </c>
    </row>
    <row r="3" spans="2:15" s="61" customFormat="1" ht="13.8" customHeight="1" x14ac:dyDescent="0.3">
      <c r="B3" s="68">
        <v>1</v>
      </c>
      <c r="C3" s="64" t="s">
        <v>103</v>
      </c>
      <c r="D3" s="63">
        <f>VLOOKUP(C3,Country_Data!B:F,5,FALSE)</f>
        <v>367</v>
      </c>
      <c r="E3" s="63">
        <f>D3*Projections_Data!$C$15</f>
        <v>40.686347782760336</v>
      </c>
      <c r="F3" s="74">
        <f>IFERROR(VLOOKUP(C3,Days_Since_100!C:G,5,FALSE)-1,0)</f>
        <v>0.81832513767651194</v>
      </c>
      <c r="H3" s="71" t="str">
        <f t="shared" ref="H3:H34" si="0">IFERROR(LOG((K3/E3),1+F3),"")</f>
        <v/>
      </c>
      <c r="I3" s="70"/>
      <c r="J3" s="63">
        <f>VLOOKUP(C3,Country_Data!C:K,9,FALSE)</f>
        <v>17643054</v>
      </c>
      <c r="K3" s="62"/>
      <c r="M3" s="61">
        <f t="array" ref="M3">IF(OR(C3=$O$3:$O$21),1,0)</f>
        <v>0</v>
      </c>
      <c r="O3" s="61" t="s">
        <v>41</v>
      </c>
    </row>
    <row r="4" spans="2:15" s="61" customFormat="1" ht="13.8" customHeight="1" x14ac:dyDescent="0.3">
      <c r="B4" s="68">
        <f t="shared" ref="B4:B35" si="1">B3+1</f>
        <v>2</v>
      </c>
      <c r="C4" s="64" t="s">
        <v>99</v>
      </c>
      <c r="D4" s="63">
        <f>VLOOKUP(C4,Country_Data!B:F,5,FALSE)</f>
        <v>484</v>
      </c>
      <c r="E4" s="63">
        <f>D4*Projections_Data!$C$15</f>
        <v>53.657199800697555</v>
      </c>
      <c r="F4" s="74">
        <f>IFERROR(VLOOKUP(C4,Days_Since_100!C:G,5,FALSE)-1,0)</f>
        <v>0.51207189773035799</v>
      </c>
      <c r="H4" s="71">
        <f t="shared" si="0"/>
        <v>2.5693404925582435</v>
      </c>
      <c r="I4" s="70">
        <v>24.8</v>
      </c>
      <c r="J4" s="63">
        <f>VLOOKUP(C4,Country_Data!C:K,9,FALSE)</f>
        <v>625978</v>
      </c>
      <c r="K4" s="62">
        <f t="shared" ref="K4:K12" si="2">(J4/100000)*I4</f>
        <v>155.24254400000001</v>
      </c>
      <c r="M4" s="61">
        <f t="array" ref="M4">IF(OR(C4=$O$3:$O$21),1,0)</f>
        <v>0</v>
      </c>
      <c r="O4" s="61" t="s">
        <v>38</v>
      </c>
    </row>
    <row r="5" spans="2:15" s="61" customFormat="1" ht="13.8" customHeight="1" x14ac:dyDescent="0.3">
      <c r="B5" s="68">
        <f t="shared" si="1"/>
        <v>3</v>
      </c>
      <c r="C5" s="64" t="s">
        <v>80</v>
      </c>
      <c r="D5" s="63">
        <f>VLOOKUP(C5,Country_Data!B:F,5,FALSE)</f>
        <v>501</v>
      </c>
      <c r="E5" s="63">
        <f>D5*Projections_Data!$C$15</f>
        <v>55.541853512705529</v>
      </c>
      <c r="F5" s="74">
        <f>IFERROR(VLOOKUP(C5,Days_Since_100!C:G,5,FALSE)-1,0)</f>
        <v>0.3853984722244419</v>
      </c>
      <c r="H5" s="71">
        <f t="shared" si="0"/>
        <v>21.659433590800962</v>
      </c>
      <c r="I5" s="70">
        <v>29.3</v>
      </c>
      <c r="J5" s="63">
        <f>VLOOKUP(C5,Country_Data!C:K,9,FALSE)</f>
        <v>220892340</v>
      </c>
      <c r="K5" s="62">
        <f t="shared" si="2"/>
        <v>64721.455620000008</v>
      </c>
      <c r="M5" s="61">
        <f t="array" ref="M5">IF(OR(C5=$O$3:$O$21),1,0)</f>
        <v>0</v>
      </c>
      <c r="O5" s="61" t="s">
        <v>349</v>
      </c>
    </row>
    <row r="6" spans="2:15" s="61" customFormat="1" ht="13.8" customHeight="1" x14ac:dyDescent="0.3">
      <c r="B6" s="68">
        <f t="shared" si="1"/>
        <v>4</v>
      </c>
      <c r="C6" s="64" t="s">
        <v>160</v>
      </c>
      <c r="D6" s="63">
        <f>VLOOKUP(C6,Country_Data!B:F,5,FALSE)</f>
        <v>234</v>
      </c>
      <c r="E6" s="63">
        <f>D6*Projections_Data!$C$15</f>
        <v>25.941704035874437</v>
      </c>
      <c r="F6" s="74">
        <f>IFERROR(VLOOKUP(C6,Days_Since_100!C:G,5,FALSE)-1,0)</f>
        <v>0.25992104989487319</v>
      </c>
      <c r="H6" s="71">
        <f t="shared" si="0"/>
        <v>19.104988726652795</v>
      </c>
      <c r="I6" s="70">
        <v>6.5</v>
      </c>
      <c r="J6" s="63">
        <f>VLOOKUP(C6,Country_Data!C:K,9,FALSE)</f>
        <v>32971854</v>
      </c>
      <c r="K6" s="62">
        <f t="shared" si="2"/>
        <v>2143.1705099999999</v>
      </c>
      <c r="M6" s="61">
        <f t="array" ref="M6">IF(OR(C6=$O$3:$O$21),1,0)</f>
        <v>0</v>
      </c>
      <c r="O6" s="61" t="s">
        <v>58</v>
      </c>
    </row>
    <row r="7" spans="2:15" s="61" customFormat="1" ht="13.8" customHeight="1" x14ac:dyDescent="0.3">
      <c r="B7" s="68">
        <f t="shared" si="1"/>
        <v>5</v>
      </c>
      <c r="C7" s="64" t="s">
        <v>38</v>
      </c>
      <c r="D7" s="63">
        <f>VLOOKUP(C7,Country_Data!B:F,5,FALSE)</f>
        <v>19100</v>
      </c>
      <c r="E7" s="63">
        <f>D7*Projections_Data!$C$15</f>
        <v>2117.4638764324864</v>
      </c>
      <c r="F7" s="74">
        <f>IFERROR(VLOOKUP(C7,Days_Since_100!C:G,5,FALSE)-1,0)</f>
        <v>0.40416416349332795</v>
      </c>
      <c r="H7" s="71" t="str">
        <f t="shared" si="0"/>
        <v/>
      </c>
      <c r="I7" s="70"/>
      <c r="J7" s="63">
        <f>VLOOKUP(C7,Country_Data!C:K,9,FALSE)</f>
        <v>331002651</v>
      </c>
      <c r="K7" s="62">
        <f t="shared" si="2"/>
        <v>0</v>
      </c>
      <c r="M7" s="61">
        <f t="array" ref="M7">IF(OR(C7=$O$3:$O$21),1,0)</f>
        <v>1</v>
      </c>
      <c r="O7" s="61" t="s">
        <v>60</v>
      </c>
    </row>
    <row r="8" spans="2:15" s="61" customFormat="1" ht="13.8" customHeight="1" x14ac:dyDescent="0.3">
      <c r="B8" s="68">
        <f t="shared" si="1"/>
        <v>6</v>
      </c>
      <c r="C8" s="64" t="s">
        <v>108</v>
      </c>
      <c r="D8" s="63">
        <f>VLOOKUP(C8,Country_Data!B:F,5,FALSE)</f>
        <v>1020</v>
      </c>
      <c r="E8" s="63">
        <f>D8*Projections_Data!$C$15</f>
        <v>113.07922272047833</v>
      </c>
      <c r="F8" s="74">
        <f>IFERROR(VLOOKUP(C8,Days_Since_100!C:G,5,FALSE)-1,0)</f>
        <v>0.33010773025721418</v>
      </c>
      <c r="H8" s="71" t="str">
        <f t="shared" si="0"/>
        <v/>
      </c>
      <c r="I8" s="70"/>
      <c r="J8" s="63">
        <f>VLOOKUP(C8,Country_Data!C:K,9,FALSE)</f>
        <v>10196709</v>
      </c>
      <c r="K8" s="62">
        <f t="shared" si="2"/>
        <v>0</v>
      </c>
      <c r="M8" s="61">
        <f t="array" ref="M8">IF(OR(C8=$O$3:$O$21),1,0)</f>
        <v>0</v>
      </c>
      <c r="O8" s="61" t="s">
        <v>53</v>
      </c>
    </row>
    <row r="9" spans="2:15" s="61" customFormat="1" ht="13.8" customHeight="1" x14ac:dyDescent="0.3">
      <c r="B9" s="68">
        <f t="shared" si="1"/>
        <v>7</v>
      </c>
      <c r="C9" s="64" t="s">
        <v>98</v>
      </c>
      <c r="D9" s="63">
        <f>VLOOKUP(C9,Country_Data!B:F,5,FALSE)</f>
        <v>683</v>
      </c>
      <c r="E9" s="63">
        <f>D9*Projections_Data!$C$15</f>
        <v>75.718734429496763</v>
      </c>
      <c r="F9" s="74">
        <f>IFERROR(VLOOKUP(C9,Days_Since_100!C:G,5,FALSE)-1,0)</f>
        <v>0.39561683203025133</v>
      </c>
      <c r="H9" s="71">
        <f t="shared" si="0"/>
        <v>3.0226545415231572</v>
      </c>
      <c r="I9" s="70">
        <v>4.2</v>
      </c>
      <c r="J9" s="63">
        <f>VLOOKUP(C9,Country_Data!C:K,9,FALSE)</f>
        <v>4937786</v>
      </c>
      <c r="K9" s="62">
        <f t="shared" si="2"/>
        <v>207.387012</v>
      </c>
      <c r="M9" s="61">
        <f t="array" ref="M9">IF(OR(C9=$O$3:$O$21),1,0)</f>
        <v>0</v>
      </c>
    </row>
    <row r="10" spans="2:15" s="61" customFormat="1" ht="13.8" customHeight="1" x14ac:dyDescent="0.3">
      <c r="B10" s="68">
        <f t="shared" si="1"/>
        <v>8</v>
      </c>
      <c r="C10" s="64" t="s">
        <v>81</v>
      </c>
      <c r="D10" s="63">
        <f>VLOOKUP(C10,Country_Data!B:F,5,FALSE)</f>
        <v>793</v>
      </c>
      <c r="E10" s="63">
        <f>D10*Projections_Data!$C$15</f>
        <v>87.913552566018936</v>
      </c>
      <c r="F10" s="74">
        <f>IFERROR(VLOOKUP(C10,Days_Since_100!C:G,5,FALSE)-1,0)</f>
        <v>0.3738889625888695</v>
      </c>
      <c r="H10" s="71" t="str">
        <f t="shared" si="0"/>
        <v/>
      </c>
      <c r="I10" s="70"/>
      <c r="J10" s="63">
        <f>VLOOKUP(C10,Country_Data!C:K,9,FALSE)</f>
        <v>212559417</v>
      </c>
      <c r="K10" s="62">
        <f t="shared" si="2"/>
        <v>0</v>
      </c>
      <c r="M10" s="61">
        <f t="array" ref="M10">IF(OR(C10=$O$3:$O$21),1,0)</f>
        <v>0</v>
      </c>
    </row>
    <row r="11" spans="2:15" s="61" customFormat="1" ht="13.8" customHeight="1" x14ac:dyDescent="0.3">
      <c r="B11" s="68">
        <f t="shared" si="1"/>
        <v>9</v>
      </c>
      <c r="C11" s="64" t="s">
        <v>45</v>
      </c>
      <c r="D11" s="63">
        <f>VLOOKUP(C11,Country_Data!B:F,5,FALSE)</f>
        <v>943</v>
      </c>
      <c r="E11" s="63">
        <f>D11*Projections_Data!$C$15</f>
        <v>104.54285002491279</v>
      </c>
      <c r="F11" s="74">
        <f>IFERROR(VLOOKUP(C11,Days_Since_100!C:G,5,FALSE)-1,0)</f>
        <v>0.30203371603645479</v>
      </c>
      <c r="H11" s="71" t="str">
        <f t="shared" si="0"/>
        <v/>
      </c>
      <c r="I11" s="70"/>
      <c r="J11" s="63">
        <f>VLOOKUP(C11,Country_Data!C:K,9,FALSE)</f>
        <v>37742154</v>
      </c>
      <c r="K11" s="62">
        <f t="shared" si="2"/>
        <v>0</v>
      </c>
      <c r="M11" s="61">
        <f t="array" ref="M11">IF(OR(C11=$O$3:$O$21),1,0)</f>
        <v>0</v>
      </c>
    </row>
    <row r="12" spans="2:15" s="61" customFormat="1" ht="13.8" customHeight="1" x14ac:dyDescent="0.3">
      <c r="B12" s="68">
        <f t="shared" si="1"/>
        <v>10</v>
      </c>
      <c r="C12" s="64" t="s">
        <v>344</v>
      </c>
      <c r="D12" s="63">
        <f>VLOOKUP(C12,Country_Data!B:F,5,FALSE)</f>
        <v>253</v>
      </c>
      <c r="E12" s="63">
        <f>D12*Projections_Data!$C$15</f>
        <v>28.048081714000997</v>
      </c>
      <c r="F12" s="74">
        <f>IFERROR(VLOOKUP(C12,Days_Since_100!C:G,5,FALSE)-1,0)</f>
        <v>0.30438328010531812</v>
      </c>
      <c r="H12" s="71" t="str">
        <f t="shared" si="0"/>
        <v/>
      </c>
      <c r="I12" s="70"/>
      <c r="J12" s="63">
        <f>VLOOKUP(C12,Country_Data!C:K,9,FALSE)</f>
        <v>145934462</v>
      </c>
      <c r="K12" s="62">
        <f t="shared" si="2"/>
        <v>0</v>
      </c>
      <c r="M12" s="61">
        <f t="array" ref="M12">IF(OR(C12=$O$3:$O$21),1,0)</f>
        <v>0</v>
      </c>
    </row>
    <row r="13" spans="2:15" s="61" customFormat="1" ht="13.8" customHeight="1" x14ac:dyDescent="0.3">
      <c r="B13" s="68">
        <f t="shared" si="1"/>
        <v>11</v>
      </c>
      <c r="C13" s="64" t="s">
        <v>43</v>
      </c>
      <c r="D13" s="63">
        <f>VLOOKUP(C13,Country_Data!B:F,5,FALSE)</f>
        <v>1030</v>
      </c>
      <c r="E13" s="63">
        <f>D13*Projections_Data!$C$15</f>
        <v>114.18784255107124</v>
      </c>
      <c r="F13" s="74">
        <f>IFERROR(VLOOKUP(C13,Days_Since_100!C:G,5,FALSE)-1,0)</f>
        <v>0.19200668533312815</v>
      </c>
      <c r="H13" s="71">
        <f t="shared" si="0"/>
        <v>14.662959927978974</v>
      </c>
      <c r="I13" s="70"/>
      <c r="J13" s="63">
        <f>VLOOKUP(C13,Country_Data!C:K,9,FALSE)</f>
        <v>32365999</v>
      </c>
      <c r="K13" s="62">
        <v>1500</v>
      </c>
      <c r="M13" s="61">
        <f t="array" ref="M13">IF(OR(C13=$O$3:$O$21),1,0)</f>
        <v>0</v>
      </c>
    </row>
    <row r="14" spans="2:15" s="61" customFormat="1" ht="13.8" customHeight="1" x14ac:dyDescent="0.3">
      <c r="B14" s="68">
        <f t="shared" si="1"/>
        <v>12</v>
      </c>
      <c r="C14" s="64" t="s">
        <v>145</v>
      </c>
      <c r="D14" s="63">
        <f>VLOOKUP(C14,Country_Data!B:F,5,FALSE)</f>
        <v>202</v>
      </c>
      <c r="E14" s="63">
        <f>D14*Projections_Data!$C$15</f>
        <v>22.39412057797708</v>
      </c>
      <c r="F14" s="74">
        <f>IFERROR(VLOOKUP(C14,Days_Since_100!C:G,5,FALSE)-1,0)</f>
        <v>0.31961331849327279</v>
      </c>
      <c r="H14" s="71">
        <f t="shared" si="0"/>
        <v>18.778709551227873</v>
      </c>
      <c r="I14" s="70">
        <v>6.9</v>
      </c>
      <c r="J14" s="63">
        <f>VLOOKUP(C14,Country_Data!C:K,9,FALSE)</f>
        <v>59308690</v>
      </c>
      <c r="K14" s="62">
        <f t="shared" ref="K14:K31" si="3">(J14/100000)*I14</f>
        <v>4092.2996100000005</v>
      </c>
      <c r="M14" s="61">
        <f t="array" ref="M14">IF(OR(C14=$O$3:$O$21),1,0)</f>
        <v>0</v>
      </c>
    </row>
    <row r="15" spans="2:15" s="61" customFormat="1" ht="13.8" customHeight="1" x14ac:dyDescent="0.3">
      <c r="B15" s="68">
        <f t="shared" si="1"/>
        <v>13</v>
      </c>
      <c r="C15" s="64" t="s">
        <v>79</v>
      </c>
      <c r="D15" s="63">
        <f>VLOOKUP(C15,Country_Data!B:F,5,FALSE)</f>
        <v>705</v>
      </c>
      <c r="E15" s="63">
        <f>D15*Projections_Data!$C$15</f>
        <v>78.157698056801195</v>
      </c>
      <c r="F15" s="74">
        <f>IFERROR(VLOOKUP(C15,Days_Since_100!C:G,5,FALSE)-1,0)</f>
        <v>0.22942794119291454</v>
      </c>
      <c r="H15" s="71">
        <f t="shared" si="0"/>
        <v>16.830024382574273</v>
      </c>
      <c r="I15" s="70">
        <v>29.2</v>
      </c>
      <c r="J15" s="63">
        <f>VLOOKUP(C15,Country_Data!C:K,9,FALSE)</f>
        <v>8655535</v>
      </c>
      <c r="K15" s="62">
        <f t="shared" si="3"/>
        <v>2527.4162200000001</v>
      </c>
      <c r="M15" s="61">
        <f t="array" ref="M15">IF(OR(C15=$O$3:$O$21),1,0)</f>
        <v>0</v>
      </c>
    </row>
    <row r="16" spans="2:15" s="61" customFormat="1" ht="13.8" customHeight="1" x14ac:dyDescent="0.3">
      <c r="B16" s="68">
        <f t="shared" si="1"/>
        <v>14</v>
      </c>
      <c r="C16" s="64" t="s">
        <v>137</v>
      </c>
      <c r="D16" s="63">
        <f>VLOOKUP(C16,Country_Data!B:F,5,FALSE)</f>
        <v>425</v>
      </c>
      <c r="E16" s="63">
        <f>D16*Projections_Data!$C$15</f>
        <v>47.116342800199298</v>
      </c>
      <c r="F16" s="74">
        <f>IFERROR(VLOOKUP(C16,Days_Since_100!C:G,5,FALSE)-1,0)</f>
        <v>0.28993668421168972</v>
      </c>
      <c r="H16" s="71" t="str">
        <f t="shared" si="0"/>
        <v/>
      </c>
      <c r="I16" s="70"/>
      <c r="J16" s="63">
        <f>VLOOKUP(C16,Country_Data!C:K,9,FALSE)</f>
        <v>37846611</v>
      </c>
      <c r="K16" s="62">
        <f t="shared" si="3"/>
        <v>0</v>
      </c>
      <c r="M16" s="61">
        <f t="array" ref="M16">IF(OR(C16=$O$3:$O$21),1,0)</f>
        <v>0</v>
      </c>
    </row>
    <row r="17" spans="2:13" s="61" customFormat="1" ht="13.8" customHeight="1" x14ac:dyDescent="0.3">
      <c r="B17" s="68">
        <f t="shared" si="1"/>
        <v>15</v>
      </c>
      <c r="C17" s="64" t="s">
        <v>107</v>
      </c>
      <c r="D17" s="63">
        <f>VLOOKUP(C17,Country_Data!B:F,5,FALSE)</f>
        <v>369</v>
      </c>
      <c r="E17" s="63">
        <f>D17*Projections_Data!$C$15</f>
        <v>40.908071748878925</v>
      </c>
      <c r="F17" s="74">
        <f>IFERROR(VLOOKUP(C17,Days_Since_100!C:G,5,FALSE)-1,0)</f>
        <v>0.25825336604246707</v>
      </c>
      <c r="H17" s="71" t="str">
        <f t="shared" si="0"/>
        <v/>
      </c>
      <c r="I17" s="70"/>
      <c r="J17" s="63">
        <f>VLOOKUP(C17,Country_Data!C:K,9,FALSE)</f>
        <v>273523615</v>
      </c>
      <c r="K17" s="62">
        <f t="shared" si="3"/>
        <v>0</v>
      </c>
      <c r="M17" s="61">
        <f t="array" ref="M17">IF(OR(C17=$O$3:$O$21),1,0)</f>
        <v>0</v>
      </c>
    </row>
    <row r="18" spans="2:13" s="61" customFormat="1" ht="13.8" customHeight="1" x14ac:dyDescent="0.3">
      <c r="B18" s="68">
        <f t="shared" si="1"/>
        <v>16</v>
      </c>
      <c r="C18" s="64" t="s">
        <v>53</v>
      </c>
      <c r="D18" s="63">
        <f>VLOOKUP(C18,Country_Data!B:F,5,FALSE)</f>
        <v>19848</v>
      </c>
      <c r="E18" s="63">
        <f>D18*Projections_Data!$C$15</f>
        <v>2200.3886397608371</v>
      </c>
      <c r="F18" s="74">
        <f>IFERROR(VLOOKUP(C18,Days_Since_100!C:G,5,FALSE)-1,0)</f>
        <v>0.27918295014541572</v>
      </c>
      <c r="H18" s="71" t="str">
        <f t="shared" si="0"/>
        <v/>
      </c>
      <c r="I18" s="70"/>
      <c r="J18" s="63">
        <f>VLOOKUP(C18,Country_Data!C:K,9,FALSE)</f>
        <v>83783942</v>
      </c>
      <c r="K18" s="62">
        <f t="shared" si="3"/>
        <v>0</v>
      </c>
      <c r="M18" s="61">
        <f t="array" ref="M18">IF(OR(C18=$O$3:$O$21),1,0)</f>
        <v>1</v>
      </c>
    </row>
    <row r="19" spans="2:13" s="61" customFormat="1" ht="13.8" customHeight="1" x14ac:dyDescent="0.3">
      <c r="B19" s="68">
        <f t="shared" si="1"/>
        <v>17</v>
      </c>
      <c r="C19" s="64" t="s">
        <v>78</v>
      </c>
      <c r="D19" s="63">
        <f>VLOOKUP(C19,Country_Data!B:F,5,FALSE)</f>
        <v>2388</v>
      </c>
      <c r="E19" s="63">
        <f>D19*Projections_Data!$C$15</f>
        <v>264.73841554559044</v>
      </c>
      <c r="F19" s="74">
        <f>IFERROR(VLOOKUP(C19,Days_Since_100!C:G,5,FALSE)-1,0)</f>
        <v>0.22661190156525945</v>
      </c>
      <c r="H19" s="71">
        <f t="shared" si="0"/>
        <v>3.9599740170799449</v>
      </c>
      <c r="I19" s="70">
        <v>6.6</v>
      </c>
      <c r="J19" s="63">
        <f>VLOOKUP(C19,Country_Data!C:K,9,FALSE)</f>
        <v>9006398</v>
      </c>
      <c r="K19" s="62">
        <f t="shared" si="3"/>
        <v>594.42226799999992</v>
      </c>
      <c r="M19" s="61">
        <f t="array" ref="M19">IF(OR(C19=$O$3:$O$21),1,0)</f>
        <v>0</v>
      </c>
    </row>
    <row r="20" spans="2:13" s="61" customFormat="1" ht="13.8" customHeight="1" x14ac:dyDescent="0.3">
      <c r="B20" s="68">
        <f t="shared" si="1"/>
        <v>18</v>
      </c>
      <c r="C20" s="64" t="s">
        <v>77</v>
      </c>
      <c r="D20" s="63">
        <f>VLOOKUP(C20,Country_Data!B:F,5,FALSE)</f>
        <v>5294</v>
      </c>
      <c r="E20" s="63">
        <f>D20*Projections_Data!$C$15</f>
        <v>586.9033383158943</v>
      </c>
      <c r="F20" s="74">
        <f>IFERROR(VLOOKUP(C20,Days_Since_100!C:G,5,FALSE)-1,0)</f>
        <v>0.19198900986426848</v>
      </c>
      <c r="H20" s="71" t="str">
        <f t="shared" si="0"/>
        <v/>
      </c>
      <c r="I20" s="70"/>
      <c r="J20" s="63">
        <f>VLOOKUP(C20,Country_Data!C:K,9,FALSE)</f>
        <v>8654622</v>
      </c>
      <c r="K20" s="62">
        <f t="shared" si="3"/>
        <v>0</v>
      </c>
      <c r="M20" s="61">
        <f t="array" ref="M20">IF(OR(C20=$O$3:$O$21),1,0)</f>
        <v>0</v>
      </c>
    </row>
    <row r="21" spans="2:13" s="61" customFormat="1" ht="13.8" customHeight="1" x14ac:dyDescent="0.3">
      <c r="B21" s="68">
        <f t="shared" si="1"/>
        <v>19</v>
      </c>
      <c r="C21" s="64" t="s">
        <v>35</v>
      </c>
      <c r="D21" s="63">
        <f>VLOOKUP(C21,Country_Data!B:F,5,FALSE)</f>
        <v>322</v>
      </c>
      <c r="E21" s="63">
        <f>D21*Projections_Data!$C$15</f>
        <v>35.697558545092178</v>
      </c>
      <c r="F21" s="74">
        <f>IFERROR(VLOOKUP(C21,Days_Since_100!C:G,5,FALSE)-1,0)</f>
        <v>0.23080769863405504</v>
      </c>
      <c r="H21" s="71">
        <f t="shared" si="0"/>
        <v>26.118964744374033</v>
      </c>
      <c r="I21" s="70">
        <v>11.6</v>
      </c>
      <c r="J21" s="63">
        <f>VLOOKUP(C21,Country_Data!C:K,9,FALSE)</f>
        <v>69799978</v>
      </c>
      <c r="K21" s="62">
        <f t="shared" si="3"/>
        <v>8096.7974479999993</v>
      </c>
      <c r="M21" s="61">
        <f t="array" ref="M21">IF(OR(C21=$O$3:$O$21),1,0)</f>
        <v>0</v>
      </c>
    </row>
    <row r="22" spans="2:13" s="61" customFormat="1" ht="13.8" customHeight="1" x14ac:dyDescent="0.3">
      <c r="B22" s="68">
        <f t="shared" si="1"/>
        <v>20</v>
      </c>
      <c r="C22" s="64" t="s">
        <v>55</v>
      </c>
      <c r="D22" s="63">
        <f>VLOOKUP(C22,Country_Data!B:F,5,FALSE)</f>
        <v>140</v>
      </c>
      <c r="E22" s="63">
        <f>D22*Projections_Data!$C$15</f>
        <v>15.520677628300946</v>
      </c>
      <c r="F22" s="74">
        <f>IFERROR(VLOOKUP(C22,Days_Since_100!C:G,5,FALSE)-1,0)</f>
        <v>0.11307594219682282</v>
      </c>
      <c r="H22" s="71" t="str">
        <f t="shared" si="0"/>
        <v/>
      </c>
      <c r="I22" s="70"/>
      <c r="J22" s="63">
        <f>VLOOKUP(C22,Country_Data!C:K,9,FALSE)</f>
        <v>9890402</v>
      </c>
      <c r="K22" s="62">
        <f t="shared" si="3"/>
        <v>0</v>
      </c>
      <c r="M22" s="61">
        <f t="array" ref="M22">IF(OR(C22=$O$3:$O$21),1,0)</f>
        <v>0</v>
      </c>
    </row>
    <row r="23" spans="2:13" s="61" customFormat="1" ht="13.8" customHeight="1" x14ac:dyDescent="0.3">
      <c r="B23" s="68">
        <f t="shared" si="1"/>
        <v>21</v>
      </c>
      <c r="C23" s="64" t="s">
        <v>349</v>
      </c>
      <c r="D23" s="63">
        <f>VLOOKUP(C23,Country_Data!B:F,5,FALSE)</f>
        <v>4014</v>
      </c>
      <c r="E23" s="63">
        <f>D23*Projections_Data!$C$15</f>
        <v>445</v>
      </c>
      <c r="F23" s="74">
        <f>IFERROR(VLOOKUP(C23,Days_Since_100!C:G,5,FALSE)-1,0)</f>
        <v>0.2425893143830935</v>
      </c>
      <c r="H23" s="71">
        <f t="shared" si="0"/>
        <v>16.133947406947037</v>
      </c>
      <c r="I23" s="70">
        <v>21.8</v>
      </c>
      <c r="J23" s="63">
        <f>VLOOKUP(C23,Country_Data!C:K,9,FALSE)</f>
        <v>67886011</v>
      </c>
      <c r="K23" s="62">
        <f t="shared" si="3"/>
        <v>14799.150398</v>
      </c>
      <c r="M23" s="61">
        <f t="array" ref="M23">IF(OR(C23=$O$3:$O$21),1,0)</f>
        <v>1</v>
      </c>
    </row>
    <row r="24" spans="2:13" s="61" customFormat="1" ht="13.8" customHeight="1" x14ac:dyDescent="0.3">
      <c r="B24" s="68">
        <f t="shared" si="1"/>
        <v>22</v>
      </c>
      <c r="C24" s="64" t="s">
        <v>60</v>
      </c>
      <c r="D24" s="63">
        <f>VLOOKUP(C24,Country_Data!B:F,5,FALSE)</f>
        <v>20410</v>
      </c>
      <c r="E24" s="63">
        <f>D24*Projections_Data!$C$15</f>
        <v>2262.6930742401591</v>
      </c>
      <c r="F24" s="74">
        <f>IFERROR(VLOOKUP(C24,Days_Since_100!C:G,5,FALSE)-1,0)</f>
        <v>0.21219351076798576</v>
      </c>
      <c r="H24" s="71" t="str">
        <f t="shared" si="0"/>
        <v/>
      </c>
      <c r="I24" s="70"/>
      <c r="J24" s="63">
        <f>VLOOKUP(C24,Country_Data!C:K,9,FALSE)</f>
        <v>46754778</v>
      </c>
      <c r="K24" s="62">
        <f t="shared" si="3"/>
        <v>0</v>
      </c>
      <c r="M24" s="61">
        <f t="array" ref="M24">IF(OR(C24=$O$3:$O$21),1,0)</f>
        <v>1</v>
      </c>
    </row>
    <row r="25" spans="2:13" s="61" customFormat="1" ht="13.8" customHeight="1" x14ac:dyDescent="0.3">
      <c r="B25" s="68">
        <f t="shared" si="1"/>
        <v>23</v>
      </c>
      <c r="C25" s="64" t="s">
        <v>48</v>
      </c>
      <c r="D25" s="63">
        <f>VLOOKUP(C25,Country_Data!B:F,5,FALSE)</f>
        <v>791</v>
      </c>
      <c r="E25" s="63">
        <f>D25*Projections_Data!$C$15</f>
        <v>87.691828599900347</v>
      </c>
      <c r="F25" s="74">
        <f>IFERROR(VLOOKUP(C25,Days_Since_100!C:G,5,FALSE)-1,0)</f>
        <v>0.21642127377146925</v>
      </c>
      <c r="H25" s="71" t="str">
        <f t="shared" si="0"/>
        <v/>
      </c>
      <c r="I25" s="70"/>
      <c r="J25" s="63">
        <f>VLOOKUP(C25,Country_Data!C:K,9,FALSE)</f>
        <v>25499884</v>
      </c>
      <c r="K25" s="62">
        <f t="shared" si="3"/>
        <v>0</v>
      </c>
      <c r="M25" s="61">
        <f t="array" ref="M25">IF(OR(C25=$O$3:$O$21),1,0)</f>
        <v>0</v>
      </c>
    </row>
    <row r="26" spans="2:13" s="61" customFormat="1" ht="13.8" customHeight="1" x14ac:dyDescent="0.3">
      <c r="B26" s="68">
        <f t="shared" si="1"/>
        <v>24</v>
      </c>
      <c r="C26" s="64" t="s">
        <v>113</v>
      </c>
      <c r="D26" s="63">
        <f>VLOOKUP(C26,Country_Data!B:F,5,FALSE)</f>
        <v>344</v>
      </c>
      <c r="E26" s="63">
        <f>D26*Projections_Data!$C$15</f>
        <v>38.13652217239661</v>
      </c>
      <c r="F26" s="74">
        <f>IFERROR(VLOOKUP(C26,Days_Since_100!C:G,5,FALSE)-1,0)</f>
        <v>0.27275333464557083</v>
      </c>
      <c r="H26" s="71">
        <f t="shared" si="0"/>
        <v>18.589880438113642</v>
      </c>
      <c r="I26" s="70">
        <v>9.6999999999999993</v>
      </c>
      <c r="J26" s="63">
        <f>VLOOKUP(C26,Country_Data!C:K,9,FALSE)</f>
        <v>34813871</v>
      </c>
      <c r="K26" s="62">
        <f t="shared" si="3"/>
        <v>3376.945487</v>
      </c>
      <c r="M26" s="61">
        <f t="array" ref="M26">IF(OR(C26=$O$3:$O$21),1,0)</f>
        <v>0</v>
      </c>
    </row>
    <row r="27" spans="2:13" s="61" customFormat="1" ht="13.8" customHeight="1" x14ac:dyDescent="0.3">
      <c r="B27" s="68">
        <f t="shared" si="1"/>
        <v>25</v>
      </c>
      <c r="C27" s="64" t="s">
        <v>63</v>
      </c>
      <c r="D27" s="63">
        <f>VLOOKUP(C27,Country_Data!B:F,5,FALSE)</f>
        <v>2257</v>
      </c>
      <c r="E27" s="63">
        <f>D27*Projections_Data!$C$15</f>
        <v>250.21549576482312</v>
      </c>
      <c r="F27" s="74">
        <f>IFERROR(VLOOKUP(C27,Days_Since_100!C:G,5,FALSE)-1,0)</f>
        <v>0.20564532768960508</v>
      </c>
      <c r="H27" s="71" t="str">
        <f t="shared" si="0"/>
        <v/>
      </c>
      <c r="I27" s="70"/>
      <c r="J27" s="63">
        <f>VLOOKUP(C27,Country_Data!C:K,9,FALSE)</f>
        <v>11589623</v>
      </c>
      <c r="K27" s="62">
        <f t="shared" si="3"/>
        <v>0</v>
      </c>
      <c r="M27" s="61">
        <f t="array" ref="M27">IF(OR(C27=$O$3:$O$21),1,0)</f>
        <v>0</v>
      </c>
    </row>
    <row r="28" spans="2:13" s="61" customFormat="1" ht="13.8" customHeight="1" x14ac:dyDescent="0.3">
      <c r="B28" s="68">
        <f t="shared" si="1"/>
        <v>26</v>
      </c>
      <c r="C28" s="64" t="s">
        <v>89</v>
      </c>
      <c r="D28" s="63">
        <f>VLOOKUP(C28,Country_Data!B:F,5,FALSE)</f>
        <v>3003</v>
      </c>
      <c r="E28" s="63">
        <f>D28*Projections_Data!$C$15</f>
        <v>332.91853512705529</v>
      </c>
      <c r="F28" s="74">
        <f>IFERROR(VLOOKUP(C28,Days_Since_100!C:G,5,FALSE)-1,0)</f>
        <v>0.21417871155150547</v>
      </c>
      <c r="H28" s="71">
        <f t="shared" si="0"/>
        <v>10.831890115837766</v>
      </c>
      <c r="I28" s="70">
        <v>15.9</v>
      </c>
      <c r="J28" s="63">
        <f>VLOOKUP(C28,Country_Data!C:K,9,FALSE)</f>
        <v>17134872</v>
      </c>
      <c r="K28" s="62">
        <f t="shared" si="3"/>
        <v>2724.4446479999997</v>
      </c>
      <c r="M28" s="61">
        <f t="array" ref="M28">IF(OR(C28=$O$3:$O$21),1,0)</f>
        <v>0</v>
      </c>
    </row>
    <row r="29" spans="2:13" s="61" customFormat="1" ht="13.8" customHeight="1" x14ac:dyDescent="0.3">
      <c r="B29" s="68">
        <f t="shared" si="1"/>
        <v>27</v>
      </c>
      <c r="C29" s="64" t="s">
        <v>41</v>
      </c>
      <c r="D29" s="63">
        <f>VLOOKUP(C29,Country_Data!B:F,5,FALSE)</f>
        <v>12726</v>
      </c>
      <c r="E29" s="63">
        <f>D29*Projections_Data!$C$15</f>
        <v>1410.8295964125559</v>
      </c>
      <c r="F29" s="74">
        <f>IFERROR(VLOOKUP(C29,Days_Since_100!C:G,5,FALSE)-1,0)</f>
        <v>0.22985260745057179</v>
      </c>
      <c r="H29" s="71" t="str">
        <f t="shared" si="0"/>
        <v/>
      </c>
      <c r="I29" s="70"/>
      <c r="J29" s="63">
        <f>VLOOKUP(C29,Country_Data!C:K,9,FALSE)</f>
        <v>65273511</v>
      </c>
      <c r="K29" s="62">
        <f t="shared" si="3"/>
        <v>0</v>
      </c>
      <c r="M29" s="61">
        <f t="array" ref="M29">IF(OR(C29=$O$3:$O$21),1,0)</f>
        <v>1</v>
      </c>
    </row>
    <row r="30" spans="2:13" s="61" customFormat="1" ht="13.8" customHeight="1" x14ac:dyDescent="0.3">
      <c r="B30" s="68">
        <f t="shared" si="1"/>
        <v>28</v>
      </c>
      <c r="C30" s="64" t="s">
        <v>65</v>
      </c>
      <c r="D30" s="63">
        <f>VLOOKUP(C30,Country_Data!B:F,5,FALSE)</f>
        <v>285</v>
      </c>
      <c r="E30" s="63">
        <f>D30*Projections_Data!$C$15</f>
        <v>31.595665171898354</v>
      </c>
      <c r="F30" s="74">
        <f>IFERROR(VLOOKUP(C30,Days_Since_100!C:G,5,FALSE)-1,0)</f>
        <v>0.20973552688431263</v>
      </c>
      <c r="H30" s="71">
        <f t="shared" si="0"/>
        <v>30.859516554746982</v>
      </c>
      <c r="I30" s="70">
        <v>11</v>
      </c>
      <c r="J30" s="63">
        <f>VLOOKUP(C30,Country_Data!C:K,9,FALSE)</f>
        <v>102334404</v>
      </c>
      <c r="K30" s="62">
        <f t="shared" si="3"/>
        <v>11256.784439999999</v>
      </c>
      <c r="M30" s="61">
        <f t="array" ref="M30">IF(OR(C30=$O$3:$O$21),1,0)</f>
        <v>0</v>
      </c>
    </row>
    <row r="31" spans="2:13" s="61" customFormat="1" ht="13.8" customHeight="1" x14ac:dyDescent="0.3">
      <c r="B31" s="68">
        <f t="shared" si="1"/>
        <v>29</v>
      </c>
      <c r="C31" s="64" t="s">
        <v>88</v>
      </c>
      <c r="D31" s="63">
        <f>VLOOKUP(C31,Country_Data!B:F,5,FALSE)</f>
        <v>283</v>
      </c>
      <c r="E31" s="63">
        <f>D31*Projections_Data!$C$15</f>
        <v>31.373941205779769</v>
      </c>
      <c r="F31" s="74">
        <f>IFERROR(VLOOKUP(C31,Days_Since_100!C:G,5,FALSE)-1,0)</f>
        <v>0.10600748225684686</v>
      </c>
      <c r="H31" s="71" t="str">
        <f t="shared" si="0"/>
        <v/>
      </c>
      <c r="I31" s="70"/>
      <c r="J31" s="63">
        <f>VLOOKUP(C31,Country_Data!C:K,9,FALSE)</f>
        <v>1326535</v>
      </c>
      <c r="K31" s="62">
        <f t="shared" si="3"/>
        <v>0</v>
      </c>
      <c r="M31" s="61">
        <f t="array" ref="M31">IF(OR(C31=$O$3:$O$21),1,0)</f>
        <v>0</v>
      </c>
    </row>
    <row r="32" spans="2:13" s="61" customFormat="1" ht="13.8" customHeight="1" x14ac:dyDescent="0.2">
      <c r="B32" s="68">
        <f t="shared" si="1"/>
        <v>30</v>
      </c>
      <c r="C32" s="64" t="s">
        <v>86</v>
      </c>
      <c r="D32" s="63">
        <f>VLOOKUP(C32,Country_Data!B:F,5,FALSE)</f>
        <v>308</v>
      </c>
      <c r="E32" s="63">
        <f>D32*Projections_Data!$C$15</f>
        <v>34.14549078226208</v>
      </c>
      <c r="F32" s="74">
        <f>IFERROR(VLOOKUP(C32,Days_Since_100!C:G,5,FALSE)-1,0)</f>
        <v>0.18646760313194255</v>
      </c>
      <c r="G32" s="60"/>
      <c r="H32" s="71" t="str">
        <f t="shared" si="0"/>
        <v/>
      </c>
      <c r="I32" s="70">
        <v>9.1</v>
      </c>
      <c r="J32" s="63">
        <f>VLOOKUP(C32,Country_Data!C:K,9,FALSE)</f>
        <v>19237691</v>
      </c>
      <c r="K32" s="62"/>
      <c r="M32" s="61">
        <f t="array" ref="M32">IF(OR(C32=$O$3:$O$21),1,0)</f>
        <v>0</v>
      </c>
    </row>
    <row r="33" spans="2:13" s="61" customFormat="1" ht="13.8" customHeight="1" x14ac:dyDescent="0.3">
      <c r="B33" s="68">
        <f t="shared" si="1"/>
        <v>31</v>
      </c>
      <c r="C33" s="64" t="s">
        <v>162</v>
      </c>
      <c r="D33" s="63">
        <f>VLOOKUP(C33,Country_Data!B:F,5,FALSE)</f>
        <v>137</v>
      </c>
      <c r="E33" s="63">
        <f>D33*Projections_Data!$C$15</f>
        <v>15.188091679123069</v>
      </c>
      <c r="F33" s="74">
        <f>IFERROR(VLOOKUP(C33,Days_Since_100!C:G,5,FALSE)-1,0)</f>
        <v>0.14226174967119731</v>
      </c>
      <c r="H33" s="71">
        <f t="shared" si="0"/>
        <v>32.650463561155945</v>
      </c>
      <c r="I33" s="70">
        <v>21.4</v>
      </c>
      <c r="J33" s="63">
        <f>VLOOKUP(C33,Country_Data!C:K,9,FALSE)</f>
        <v>5459642</v>
      </c>
      <c r="K33" s="62">
        <f>(J33/100000)*I33</f>
        <v>1168.363388</v>
      </c>
      <c r="M33" s="61">
        <f t="array" ref="M33">IF(OR(C33=$O$3:$O$21),1,0)</f>
        <v>0</v>
      </c>
    </row>
    <row r="34" spans="2:13" s="61" customFormat="1" ht="13.8" customHeight="1" x14ac:dyDescent="0.3">
      <c r="B34" s="68">
        <f t="shared" si="1"/>
        <v>32</v>
      </c>
      <c r="C34" s="64" t="s">
        <v>92</v>
      </c>
      <c r="D34" s="63">
        <f>VLOOKUP(C34,Country_Data!B:F,5,FALSE)</f>
        <v>409</v>
      </c>
      <c r="E34" s="63">
        <f>D34*Projections_Data!$C$15</f>
        <v>45.342551071250618</v>
      </c>
      <c r="F34" s="74">
        <f>IFERROR(VLOOKUP(C34,Days_Since_100!C:G,5,FALSE)-1,0)</f>
        <v>0.19054396950470376</v>
      </c>
      <c r="H34" s="71">
        <f t="shared" si="0"/>
        <v>-10.05624059036397</v>
      </c>
      <c r="I34" s="70">
        <v>2.2999999999999998</v>
      </c>
      <c r="J34" s="63">
        <f>VLOOKUP(C34,Country_Data!C:K,9,FALSE)</f>
        <v>341243</v>
      </c>
      <c r="K34" s="62">
        <f>(J34/100000)*I34</f>
        <v>7.8485889999999996</v>
      </c>
      <c r="M34" s="61">
        <f t="array" ref="M34">IF(OR(C34=$O$3:$O$21),1,0)</f>
        <v>0</v>
      </c>
    </row>
    <row r="35" spans="2:13" s="61" customFormat="1" ht="13.8" customHeight="1" x14ac:dyDescent="0.3">
      <c r="B35" s="68">
        <f t="shared" si="1"/>
        <v>33</v>
      </c>
      <c r="C35" s="64" t="s">
        <v>92</v>
      </c>
      <c r="D35" s="63">
        <f>VLOOKUP(C35,Country_Data!B:F,5,FALSE)</f>
        <v>409</v>
      </c>
      <c r="E35" s="63">
        <f>D35*Projections_Data!$C$15</f>
        <v>45.342551071250618</v>
      </c>
      <c r="F35" s="74">
        <f>IFERROR(VLOOKUP(C35,Days_Since_100!C:G,5,FALSE)-1,0)</f>
        <v>0.19054396950470376</v>
      </c>
      <c r="H35" s="71" t="str">
        <f t="shared" ref="H35:H65" si="4">IFERROR(LOG((K35/E35),1+F35),"")</f>
        <v/>
      </c>
      <c r="I35" s="70"/>
      <c r="J35" s="63">
        <f>VLOOKUP(C35,Country_Data!C:K,9,FALSE)</f>
        <v>341243</v>
      </c>
      <c r="K35" s="62"/>
      <c r="M35" s="61">
        <f t="array" ref="M35">IF(OR(C35=$O$3:$O$21),1,0)</f>
        <v>0</v>
      </c>
    </row>
    <row r="36" spans="2:13" s="61" customFormat="1" ht="13.8" customHeight="1" x14ac:dyDescent="0.3">
      <c r="B36" s="68">
        <f t="shared" ref="B36:B58" si="5">B35+1</f>
        <v>34</v>
      </c>
      <c r="C36" s="64" t="s">
        <v>124</v>
      </c>
      <c r="D36" s="63">
        <f>VLOOKUP(C36,Country_Data!B:F,5,FALSE)</f>
        <v>434</v>
      </c>
      <c r="E36" s="63">
        <f>D36*Projections_Data!$C$15</f>
        <v>48.114100647732933</v>
      </c>
      <c r="F36" s="74">
        <f>IFERROR(VLOOKUP(C36,Days_Since_100!C:G,5,FALSE)-1,0)</f>
        <v>0.29356872761680153</v>
      </c>
      <c r="H36" s="71" t="str">
        <f t="shared" si="4"/>
        <v/>
      </c>
      <c r="I36" s="70">
        <v>9.1999999999999993</v>
      </c>
      <c r="J36" s="63">
        <f>VLOOKUP(C36,Country_Data!C:K,9,FALSE)</f>
        <v>19116201</v>
      </c>
      <c r="K36" s="62"/>
      <c r="M36" s="61">
        <f t="array" ref="M36">IF(OR(C36=$O$3:$O$21),1,0)</f>
        <v>0</v>
      </c>
    </row>
    <row r="37" spans="2:13" s="61" customFormat="1" ht="13.8" customHeight="1" x14ac:dyDescent="0.3">
      <c r="B37" s="68">
        <f t="shared" si="5"/>
        <v>35</v>
      </c>
      <c r="C37" s="64" t="s">
        <v>56</v>
      </c>
      <c r="D37" s="63">
        <f>VLOOKUP(C37,Country_Data!B:F,5,FALSE)</f>
        <v>230</v>
      </c>
      <c r="E37" s="63">
        <f>D37*Projections_Data!$C$15</f>
        <v>25.498256103637267</v>
      </c>
      <c r="F37" s="74">
        <f>IFERROR(VLOOKUP(C37,Days_Since_100!C:G,5,FALSE)-1,0)</f>
        <v>0.10438362870438156</v>
      </c>
      <c r="H37" s="71">
        <f t="shared" si="4"/>
        <v>63.314880123732699</v>
      </c>
      <c r="I37" s="70">
        <v>12.5</v>
      </c>
      <c r="J37" s="63">
        <f>VLOOKUP(C37,Country_Data!C:K,9,FALSE)</f>
        <v>109581078</v>
      </c>
      <c r="K37" s="62">
        <f>(J37/100000)*I37</f>
        <v>13697.634750000001</v>
      </c>
      <c r="M37" s="61">
        <f t="array" ref="M37">IF(OR(C37=$O$3:$O$21),1,0)</f>
        <v>0</v>
      </c>
    </row>
    <row r="38" spans="2:13" s="61" customFormat="1" ht="13.8" customHeight="1" x14ac:dyDescent="0.3">
      <c r="B38" s="68">
        <f t="shared" si="5"/>
        <v>36</v>
      </c>
      <c r="C38" s="64" t="s">
        <v>58</v>
      </c>
      <c r="D38" s="63">
        <f>VLOOKUP(C38,Country_Data!B:F,5,FALSE)</f>
        <v>47021</v>
      </c>
      <c r="E38" s="63">
        <f>D38*Projections_Data!$C$15</f>
        <v>5212.8413054309913</v>
      </c>
      <c r="F38" s="74">
        <f>IFERROR(VLOOKUP(C38,Days_Since_100!C:G,5,FALSE)-1,0)</f>
        <v>0.13698271023699182</v>
      </c>
      <c r="H38" s="71">
        <f t="shared" si="4"/>
        <v>-2.6951211681973062</v>
      </c>
      <c r="I38" s="70">
        <v>6.1</v>
      </c>
      <c r="J38" s="63">
        <f>VLOOKUP(C38,Country_Data!C:K,9,FALSE)</f>
        <v>60461826</v>
      </c>
      <c r="K38" s="62">
        <f>(J38/100000)*I38</f>
        <v>3688.1713859999995</v>
      </c>
      <c r="M38" s="61">
        <f t="array" ref="M38">IF(OR(C38=$O$3:$O$21),1,0)</f>
        <v>1</v>
      </c>
    </row>
    <row r="39" spans="2:13" s="61" customFormat="1" ht="13.8" customHeight="1" x14ac:dyDescent="0.3">
      <c r="B39" s="68">
        <f t="shared" si="5"/>
        <v>37</v>
      </c>
      <c r="C39" s="64" t="s">
        <v>57</v>
      </c>
      <c r="D39" s="63">
        <f>VLOOKUP(C39,Country_Data!B:F,5,FALSE)</f>
        <v>244</v>
      </c>
      <c r="E39" s="63">
        <f>D39*Projections_Data!$C$15</f>
        <v>27.050323866467362</v>
      </c>
      <c r="F39" s="74">
        <f>IFERROR(VLOOKUP(C39,Days_Since_100!C:G,5,FALSE)-1,0)</f>
        <v>0.16643965715897213</v>
      </c>
      <c r="H39" s="71" t="str">
        <f t="shared" si="4"/>
        <v/>
      </c>
      <c r="I39" s="70"/>
      <c r="J39" s="63">
        <f>VLOOKUP(C39,Country_Data!C:K,9,FALSE)</f>
        <v>1380004385</v>
      </c>
      <c r="K39" s="62">
        <f>(J39/100000)*I39</f>
        <v>0</v>
      </c>
      <c r="M39" s="61">
        <f t="array" ref="M39">IF(OR(C39=$O$3:$O$21),1,0)</f>
        <v>0</v>
      </c>
    </row>
    <row r="40" spans="2:13" s="61" customFormat="1" ht="13.8" customHeight="1" x14ac:dyDescent="0.3">
      <c r="B40" s="68">
        <f t="shared" si="5"/>
        <v>38</v>
      </c>
      <c r="C40" s="64" t="s">
        <v>83</v>
      </c>
      <c r="D40" s="63">
        <f>VLOOKUP(C40,Country_Data!B:F,5,FALSE)</f>
        <v>495</v>
      </c>
      <c r="E40" s="63">
        <f>D40*Projections_Data!$C$15</f>
        <v>54.876681614349771</v>
      </c>
      <c r="F40" s="74">
        <f>IFERROR(VLOOKUP(C40,Days_Since_100!C:G,5,FALSE)-1,0)</f>
        <v>8.381570793985027E-2</v>
      </c>
      <c r="H40" s="71" t="str">
        <f t="shared" si="4"/>
        <v/>
      </c>
      <c r="I40" s="70"/>
      <c r="J40" s="63">
        <f>VLOOKUP(C40,Country_Data!C:K,9,FALSE)</f>
        <v>10423054</v>
      </c>
      <c r="K40" s="62"/>
      <c r="M40" s="61">
        <f t="array" ref="M40">IF(OR(C40=$O$3:$O$21),1,0)</f>
        <v>0</v>
      </c>
    </row>
    <row r="41" spans="2:13" s="61" customFormat="1" ht="13.8" customHeight="1" x14ac:dyDescent="0.3">
      <c r="B41" s="68">
        <f t="shared" si="5"/>
        <v>39</v>
      </c>
      <c r="C41" s="64" t="s">
        <v>54</v>
      </c>
      <c r="D41" s="63">
        <f>VLOOKUP(C41,Country_Data!B:F,5,FALSE)</f>
        <v>450</v>
      </c>
      <c r="E41" s="63">
        <f>D41*Projections_Data!$C$15</f>
        <v>49.887892376681613</v>
      </c>
      <c r="F41" s="74">
        <f>IFERROR(VLOOKUP(C41,Days_Since_100!C:G,5,FALSE)-1,0)</f>
        <v>0.13022403201526322</v>
      </c>
      <c r="H41" s="71" t="str">
        <f t="shared" si="4"/>
        <v/>
      </c>
      <c r="I41" s="70"/>
      <c r="J41" s="63">
        <f>VLOOKUP(C41,Country_Data!C:K,9,FALSE)</f>
        <v>5540720</v>
      </c>
      <c r="K41" s="62">
        <f t="shared" ref="K41:K58" si="6">(J41/100000)*I41</f>
        <v>0</v>
      </c>
      <c r="M41" s="61">
        <f t="array" ref="M41">IF(OR(C41=$O$3:$O$21),1,0)</f>
        <v>0</v>
      </c>
    </row>
    <row r="42" spans="2:13" s="61" customFormat="1" ht="13.8" customHeight="1" x14ac:dyDescent="0.3">
      <c r="B42" s="68">
        <f t="shared" si="5"/>
        <v>40</v>
      </c>
      <c r="C42" s="64" t="s">
        <v>70</v>
      </c>
      <c r="D42" s="63">
        <f>VLOOKUP(C42,Country_Data!B:F,5,FALSE)</f>
        <v>208</v>
      </c>
      <c r="E42" s="63">
        <f>D42*Projections_Data!$C$15</f>
        <v>23.059292476332836</v>
      </c>
      <c r="F42" s="74">
        <f>IFERROR(VLOOKUP(C42,Days_Since_100!C:G,5,FALSE)-1,0)</f>
        <v>0.12388291480088842</v>
      </c>
      <c r="H42" s="71">
        <f t="shared" si="4"/>
        <v>47.435432715048861</v>
      </c>
      <c r="I42" s="70">
        <v>14.6</v>
      </c>
      <c r="J42" s="63">
        <f>VLOOKUP(C42,Country_Data!C:K,9,FALSE)</f>
        <v>40222493</v>
      </c>
      <c r="K42" s="62">
        <f t="shared" si="6"/>
        <v>5872.4839779999993</v>
      </c>
      <c r="M42" s="61">
        <f t="array" ref="M42">IF(OR(C42=$O$3:$O$21),1,0)</f>
        <v>0</v>
      </c>
    </row>
    <row r="43" spans="2:13" s="61" customFormat="1" ht="13.8" customHeight="1" x14ac:dyDescent="0.3">
      <c r="B43" s="68">
        <f t="shared" si="5"/>
        <v>41</v>
      </c>
      <c r="C43" s="64" t="s">
        <v>40</v>
      </c>
      <c r="D43" s="63">
        <f>VLOOKUP(C43,Country_Data!B:F,5,FALSE)</f>
        <v>385</v>
      </c>
      <c r="E43" s="63">
        <f>D43*Projections_Data!$C$15</f>
        <v>42.681863477827598</v>
      </c>
      <c r="F43" s="74">
        <f>IFERROR(VLOOKUP(C43,Days_Since_100!C:G,5,FALSE)-1,0)</f>
        <v>0.11242427686582857</v>
      </c>
      <c r="H43" s="71" t="str">
        <f t="shared" si="4"/>
        <v/>
      </c>
      <c r="I43" s="70"/>
      <c r="J43" s="63">
        <f>VLOOKUP(C43,Country_Data!C:K,9,FALSE)</f>
        <v>5850342</v>
      </c>
      <c r="K43" s="62">
        <f t="shared" si="6"/>
        <v>0</v>
      </c>
      <c r="M43" s="61">
        <f t="array" ref="M43">IF(OR(C43=$O$3:$O$21),1,0)</f>
        <v>0</v>
      </c>
    </row>
    <row r="44" spans="2:13" s="61" customFormat="1" ht="13.8" customHeight="1" x14ac:dyDescent="0.3">
      <c r="B44" s="68">
        <f t="shared" si="5"/>
        <v>42</v>
      </c>
      <c r="C44" s="64" t="s">
        <v>85</v>
      </c>
      <c r="D44" s="63">
        <f>VLOOKUP(C44,Country_Data!B:F,5,FALSE)</f>
        <v>1914</v>
      </c>
      <c r="E44" s="63">
        <f>D44*Projections_Data!$C$15</f>
        <v>212.1898355754858</v>
      </c>
      <c r="F44" s="74">
        <f>IFERROR(VLOOKUP(C44,Days_Since_100!C:G,5,FALSE)-1,0)</f>
        <v>9.4070363507941179E-2</v>
      </c>
      <c r="H44" s="71">
        <f t="shared" si="4"/>
        <v>4.3744658929083879</v>
      </c>
      <c r="I44" s="70">
        <v>5.8</v>
      </c>
      <c r="J44" s="63">
        <f>VLOOKUP(C44,Country_Data!C:K,9,FALSE)</f>
        <v>5421241</v>
      </c>
      <c r="K44" s="62">
        <f t="shared" si="6"/>
        <v>314.43197799999996</v>
      </c>
      <c r="M44" s="61">
        <f t="array" ref="M44">IF(OR(C44=$O$3:$O$21),1,0)</f>
        <v>0</v>
      </c>
    </row>
    <row r="45" spans="2:13" s="61" customFormat="1" ht="13.8" customHeight="1" x14ac:dyDescent="0.3">
      <c r="B45" s="68">
        <f t="shared" si="5"/>
        <v>43</v>
      </c>
      <c r="C45" s="64" t="s">
        <v>141</v>
      </c>
      <c r="D45" s="63">
        <f>VLOOKUP(C45,Country_Data!B:F,5,FALSE)</f>
        <v>341</v>
      </c>
      <c r="E45" s="63">
        <f>D45*Projections_Data!$C$15</f>
        <v>37.803936223218734</v>
      </c>
      <c r="F45" s="74">
        <f>IFERROR(VLOOKUP(C45,Days_Since_100!C:G,5,FALSE)-1,0)</f>
        <v>9.2602155170837808E-2</v>
      </c>
      <c r="H45" s="71">
        <f t="shared" si="4"/>
        <v>16.728033357999376</v>
      </c>
      <c r="I45" s="70">
        <v>8</v>
      </c>
      <c r="J45" s="63">
        <f>VLOOKUP(C45,Country_Data!C:K,9,FALSE)</f>
        <v>2078938</v>
      </c>
      <c r="K45" s="62">
        <f t="shared" si="6"/>
        <v>166.31504000000001</v>
      </c>
      <c r="M45" s="61">
        <f t="array" ref="M45">IF(OR(C45=$O$3:$O$21),1,0)</f>
        <v>0</v>
      </c>
    </row>
    <row r="46" spans="2:13" s="61" customFormat="1" ht="13.8" customHeight="1" x14ac:dyDescent="0.3">
      <c r="B46" s="68">
        <f t="shared" si="5"/>
        <v>44</v>
      </c>
      <c r="C46" s="64" t="s">
        <v>67</v>
      </c>
      <c r="D46" s="63">
        <f>VLOOKUP(C46,Country_Data!B:F,5,FALSE)</f>
        <v>163</v>
      </c>
      <c r="E46" s="63">
        <f>D46*Projections_Data!$C$15</f>
        <v>18.070503238664674</v>
      </c>
      <c r="F46" s="74">
        <f>IFERROR(VLOOKUP(C46,Days_Since_100!C:G,5,FALSE)-1,0)</f>
        <v>8.1829908448710631E-2</v>
      </c>
      <c r="H46" s="71">
        <f t="shared" si="4"/>
        <v>40.497126737898171</v>
      </c>
      <c r="I46" s="70">
        <v>6.4</v>
      </c>
      <c r="J46" s="63">
        <f>VLOOKUP(C46,Country_Data!C:K,9,FALSE)</f>
        <v>6825445</v>
      </c>
      <c r="K46" s="62">
        <f t="shared" si="6"/>
        <v>436.82848000000007</v>
      </c>
      <c r="M46" s="61">
        <f t="array" ref="M46">IF(OR(C46=$O$3:$O$21),1,0)</f>
        <v>0</v>
      </c>
    </row>
    <row r="47" spans="2:13" s="61" customFormat="1" ht="13.8" customHeight="1" x14ac:dyDescent="0.3">
      <c r="B47" s="68">
        <f t="shared" si="5"/>
        <v>45</v>
      </c>
      <c r="C47" s="64" t="s">
        <v>59</v>
      </c>
      <c r="D47" s="63">
        <f>VLOOKUP(C47,Country_Data!B:F,5,FALSE)</f>
        <v>1639</v>
      </c>
      <c r="E47" s="63">
        <f>D47*Projections_Data!$C$15</f>
        <v>181.70279023418036</v>
      </c>
      <c r="F47" s="74">
        <f>IFERROR(VLOOKUP(C47,Days_Since_100!C:G,5,FALSE)-1,0)</f>
        <v>9.9070652776806378E-2</v>
      </c>
      <c r="H47" s="71">
        <f t="shared" si="4"/>
        <v>13.91820749773434</v>
      </c>
      <c r="I47" s="70">
        <v>6.7</v>
      </c>
      <c r="J47" s="63">
        <f>VLOOKUP(C47,Country_Data!C:K,9,FALSE)</f>
        <v>10099265</v>
      </c>
      <c r="K47" s="62">
        <f t="shared" si="6"/>
        <v>676.650755</v>
      </c>
      <c r="M47" s="61">
        <f t="array" ref="M47">IF(OR(C47=$O$3:$O$21),1,0)</f>
        <v>0</v>
      </c>
    </row>
    <row r="48" spans="2:13" s="61" customFormat="1" ht="13.8" customHeight="1" x14ac:dyDescent="0.3">
      <c r="B48" s="68">
        <f t="shared" si="5"/>
        <v>46</v>
      </c>
      <c r="C48" s="64" t="s">
        <v>342</v>
      </c>
      <c r="D48" s="63">
        <f>VLOOKUP(C48,Country_Data!B:F,5,FALSE)</f>
        <v>135</v>
      </c>
      <c r="E48" s="63">
        <f>D48*Projections_Data!$C$15</f>
        <v>14.966367713004484</v>
      </c>
      <c r="F48" s="74">
        <f>IFERROR(VLOOKUP(C48,Days_Since_100!C:G,5,FALSE)-1,0)</f>
        <v>0.16189500386222511</v>
      </c>
      <c r="H48" s="71">
        <f t="shared" si="4"/>
        <v>30.382268782247742</v>
      </c>
      <c r="I48" s="70">
        <v>6</v>
      </c>
      <c r="J48" s="63">
        <f>VLOOKUP(C48,Country_Data!C:K,9,FALSE)</f>
        <v>23816775</v>
      </c>
      <c r="K48" s="62">
        <f t="shared" si="6"/>
        <v>1429.0065</v>
      </c>
      <c r="M48" s="61">
        <f t="array" ref="M48">IF(OR(C48=$O$3:$O$21),1,0)</f>
        <v>0</v>
      </c>
    </row>
    <row r="49" spans="2:13" s="61" customFormat="1" ht="13.8" customHeight="1" x14ac:dyDescent="0.3">
      <c r="B49" s="68">
        <f t="shared" si="5"/>
        <v>47</v>
      </c>
      <c r="C49" s="64" t="s">
        <v>87</v>
      </c>
      <c r="D49" s="63">
        <f>VLOOKUP(C49,Country_Data!B:F,5,FALSE)</f>
        <v>1337</v>
      </c>
      <c r="E49" s="63">
        <f>D49*Projections_Data!$C$15</f>
        <v>148.22247135027402</v>
      </c>
      <c r="F49" s="74">
        <f>IFERROR(VLOOKUP(C49,Days_Since_100!C:G,5,FALSE)-1,0)</f>
        <v>8.8490569773641781E-2</v>
      </c>
      <c r="H49" s="71" t="str">
        <f t="shared" si="4"/>
        <v/>
      </c>
      <c r="I49" s="70"/>
      <c r="J49" s="63">
        <f>VLOOKUP(C49,Country_Data!C:K,9,FALSE)</f>
        <v>5792202</v>
      </c>
      <c r="K49" s="62">
        <f t="shared" si="6"/>
        <v>0</v>
      </c>
      <c r="M49" s="61">
        <f t="array" ref="M49">IF(OR(C49=$O$3:$O$21),1,0)</f>
        <v>0</v>
      </c>
    </row>
    <row r="50" spans="2:13" s="61" customFormat="1" ht="13.8" customHeight="1" x14ac:dyDescent="0.3">
      <c r="B50" s="68">
        <f t="shared" si="5"/>
        <v>48</v>
      </c>
      <c r="C50" s="64" t="s">
        <v>338</v>
      </c>
      <c r="D50" s="63">
        <f>VLOOKUP(C50,Country_Data!B:F,5,FALSE)</f>
        <v>19644</v>
      </c>
      <c r="E50" s="63">
        <f>D50*Projections_Data!$C$15</f>
        <v>2177.7727952167411</v>
      </c>
      <c r="F50" s="74">
        <f>IFERROR(VLOOKUP(C50,Days_Since_100!C:G,5,FALSE)-1,0)</f>
        <v>7.1040499095448295E-2</v>
      </c>
      <c r="H50" s="71" t="str">
        <f t="shared" si="4"/>
        <v/>
      </c>
      <c r="I50" s="70"/>
      <c r="J50" s="63">
        <f>VLOOKUP(C50,Country_Data!C:K,9,FALSE)</f>
        <v>83992949</v>
      </c>
      <c r="K50" s="62">
        <f t="shared" si="6"/>
        <v>0</v>
      </c>
      <c r="M50" s="61">
        <f t="array" ref="M50">IF(OR(C50=$O$3:$O$21),1,0)</f>
        <v>0</v>
      </c>
    </row>
    <row r="51" spans="2:13" s="61" customFormat="1" ht="13.8" customHeight="1" x14ac:dyDescent="0.3">
      <c r="B51" s="68">
        <f t="shared" si="5"/>
        <v>49</v>
      </c>
      <c r="C51" s="64" t="s">
        <v>74</v>
      </c>
      <c r="D51" s="63">
        <f>VLOOKUP(C51,Country_Data!B:F,5,FALSE)</f>
        <v>159</v>
      </c>
      <c r="E51" s="63">
        <f>D51*Projections_Data!$C$15</f>
        <v>17.627055306427504</v>
      </c>
      <c r="F51" s="74">
        <f>IFERROR(VLOOKUP(C51,Days_Since_100!C:G,5,FALSE)-1,0)</f>
        <v>7.2595128925091901E-2</v>
      </c>
      <c r="H51" s="71" t="str">
        <f t="shared" si="4"/>
        <v/>
      </c>
      <c r="I51" s="70"/>
      <c r="J51" s="63">
        <f>VLOOKUP(C51,Country_Data!C:K,9,FALSE)</f>
        <v>4270571</v>
      </c>
      <c r="K51" s="62">
        <f t="shared" si="6"/>
        <v>0</v>
      </c>
      <c r="M51" s="61">
        <f t="array" ref="M51">IF(OR(C51=$O$3:$O$21),1,0)</f>
        <v>0</v>
      </c>
    </row>
    <row r="52" spans="2:13" s="61" customFormat="1" ht="13.8" customHeight="1" x14ac:dyDescent="0.3">
      <c r="B52" s="68">
        <f t="shared" si="5"/>
        <v>50</v>
      </c>
      <c r="C52" s="64" t="s">
        <v>101</v>
      </c>
      <c r="D52" s="63">
        <f>VLOOKUP(C52,Country_Data!B:F,5,FALSE)</f>
        <v>470</v>
      </c>
      <c r="E52" s="63">
        <f>D52*Projections_Data!$C$15</f>
        <v>52.105132037867463</v>
      </c>
      <c r="F52" s="74">
        <f>IFERROR(VLOOKUP(C52,Days_Since_100!C:G,5,FALSE)-1,0)</f>
        <v>3.2263798895852069E-2</v>
      </c>
      <c r="H52" s="71" t="str">
        <f t="shared" si="4"/>
        <v/>
      </c>
      <c r="I52" s="70"/>
      <c r="J52" s="63">
        <f>VLOOKUP(C52,Country_Data!C:K,9,FALSE)</f>
        <v>2881053</v>
      </c>
      <c r="K52" s="62">
        <f t="shared" si="6"/>
        <v>0</v>
      </c>
      <c r="M52" s="61">
        <f t="array" ref="M52">IF(OR(C52=$O$3:$O$21),1,0)</f>
        <v>0</v>
      </c>
    </row>
    <row r="53" spans="2:13" s="61" customFormat="1" ht="13.8" customHeight="1" x14ac:dyDescent="0.3">
      <c r="B53" s="68">
        <f t="shared" si="5"/>
        <v>51</v>
      </c>
      <c r="C53" s="64" t="s">
        <v>73</v>
      </c>
      <c r="D53" s="63">
        <f>VLOOKUP(C53,Country_Data!B:F,5,FALSE)</f>
        <v>285</v>
      </c>
      <c r="E53" s="63">
        <f>D53*Projections_Data!$C$15</f>
        <v>31.595665171898354</v>
      </c>
      <c r="F53" s="74">
        <f>IFERROR(VLOOKUP(C53,Days_Since_100!C:G,5,FALSE)-1,0)</f>
        <v>5.8976243115942628E-2</v>
      </c>
      <c r="H53" s="71" t="str">
        <f t="shared" si="4"/>
        <v/>
      </c>
      <c r="I53" s="70"/>
      <c r="J53" s="63">
        <f>VLOOKUP(C53,Country_Data!C:K,9,FALSE)</f>
        <v>1701575</v>
      </c>
      <c r="K53" s="62">
        <f t="shared" si="6"/>
        <v>0</v>
      </c>
      <c r="M53" s="61">
        <f t="array" ref="M53">IF(OR(C53=$O$3:$O$21),1,0)</f>
        <v>0</v>
      </c>
    </row>
    <row r="54" spans="2:13" s="61" customFormat="1" ht="13.8" customHeight="1" x14ac:dyDescent="0.3">
      <c r="B54" s="68">
        <f t="shared" si="5"/>
        <v>52</v>
      </c>
      <c r="C54" s="64" t="s">
        <v>90</v>
      </c>
      <c r="D54" s="63">
        <f>VLOOKUP(C54,Country_Data!B:F,5,FALSE)</f>
        <v>144</v>
      </c>
      <c r="E54" s="63">
        <f>D54*Projections_Data!$C$15</f>
        <v>15.964125560538116</v>
      </c>
      <c r="F54" s="74">
        <f>IFERROR(VLOOKUP(C54,Days_Since_100!C:G,5,FALSE)-1,0)</f>
        <v>7.3515263357211369E-2</v>
      </c>
      <c r="H54" s="71" t="str">
        <f t="shared" si="4"/>
        <v/>
      </c>
      <c r="I54" s="70"/>
      <c r="J54" s="63">
        <f>VLOOKUP(C54,Country_Data!C:K,9,FALSE)</f>
        <v>33931</v>
      </c>
      <c r="K54" s="62">
        <f t="shared" si="6"/>
        <v>0</v>
      </c>
      <c r="M54" s="61">
        <f t="array" ref="M54">IF(OR(C54=$O$3:$O$21),1,0)</f>
        <v>0</v>
      </c>
    </row>
    <row r="55" spans="2:13" s="61" customFormat="1" ht="13.8" customHeight="1" x14ac:dyDescent="0.3">
      <c r="B55" s="68">
        <f t="shared" si="5"/>
        <v>53</v>
      </c>
      <c r="C55" s="64" t="s">
        <v>36</v>
      </c>
      <c r="D55" s="63">
        <f>VLOOKUP(C55,Country_Data!B:F,5,FALSE)</f>
        <v>963</v>
      </c>
      <c r="E55" s="63">
        <f>D55*Projections_Data!$C$15</f>
        <v>106.76008968609865</v>
      </c>
      <c r="F55" s="74">
        <f>IFERROR(VLOOKUP(C55,Days_Since_100!C:G,5,FALSE)-1,0)</f>
        <v>2.7952069623549125E-2</v>
      </c>
      <c r="H55" s="71">
        <f t="shared" si="4"/>
        <v>161.77611566875015</v>
      </c>
      <c r="I55" s="70">
        <v>7.3</v>
      </c>
      <c r="J55" s="63">
        <f>VLOOKUP(C55,Country_Data!C:K,9,FALSE)</f>
        <v>126476461</v>
      </c>
      <c r="K55" s="62">
        <f t="shared" si="6"/>
        <v>9232.781653</v>
      </c>
      <c r="M55" s="61">
        <f t="array" ref="M55">IF(OR(C55=$O$3:$O$21),1,0)</f>
        <v>0</v>
      </c>
    </row>
    <row r="56" spans="2:13" s="61" customFormat="1" ht="13.8" customHeight="1" x14ac:dyDescent="0.3">
      <c r="B56" s="68">
        <f t="shared" si="5"/>
        <v>54</v>
      </c>
      <c r="C56" s="64" t="s">
        <v>340</v>
      </c>
      <c r="D56" s="63">
        <f>VLOOKUP(C56,Country_Data!B:F,5,FALSE)</f>
        <v>712</v>
      </c>
      <c r="E56" s="63">
        <f>D56*Projections_Data!$C$15</f>
        <v>78.933731938216241</v>
      </c>
      <c r="F56" s="74">
        <f>IFERROR(VLOOKUP(C56,Days_Since_100!C:G,5,FALSE)-1,0)</f>
        <v>4.5559973556712485E-3</v>
      </c>
      <c r="H56" s="71" t="str">
        <f t="shared" si="4"/>
        <v/>
      </c>
      <c r="I56" s="70"/>
      <c r="J56" s="63" t="e">
        <f>VLOOKUP(C56,Country_Data!C:K,9,FALSE)</f>
        <v>#N/A</v>
      </c>
      <c r="K56" s="62" t="e">
        <f t="shared" si="6"/>
        <v>#N/A</v>
      </c>
      <c r="M56" s="61">
        <f t="array" ref="M56">IF(OR(C56=$O$3:$O$21),1,0)</f>
        <v>0</v>
      </c>
    </row>
    <row r="57" spans="2:13" s="61" customFormat="1" ht="13.8" customHeight="1" x14ac:dyDescent="0.3">
      <c r="B57" s="68">
        <f t="shared" si="5"/>
        <v>55</v>
      </c>
      <c r="C57" s="64" t="s">
        <v>337</v>
      </c>
      <c r="D57" s="63">
        <f>VLOOKUP(C57,Country_Data!B:F,5,FALSE)</f>
        <v>81250</v>
      </c>
      <c r="E57" s="63">
        <f>D57*Projections_Data!$C$15</f>
        <v>9007.5361235675136</v>
      </c>
      <c r="F57" s="74">
        <f>IFERROR(VLOOKUP(C57,Days_Since_100!C:G,5,FALSE)-1,0)</f>
        <v>6.0911147034081736E-4</v>
      </c>
      <c r="H57" s="71">
        <f t="shared" si="4"/>
        <v>2873.3058872694419</v>
      </c>
      <c r="I57" s="70">
        <v>3.6</v>
      </c>
      <c r="J57" s="63">
        <f>VLOOKUP(C57,Country_Data!C:K,9,FALSE)</f>
        <v>1439323776</v>
      </c>
      <c r="K57" s="62">
        <f t="shared" si="6"/>
        <v>51815.655936000003</v>
      </c>
      <c r="M57" s="61">
        <f t="array" ref="M57">IF(OR(C57=$O$3:$O$21),1,0)</f>
        <v>0</v>
      </c>
    </row>
    <row r="58" spans="2:13" s="61" customFormat="1" ht="13.8" customHeight="1" x14ac:dyDescent="0.3">
      <c r="B58" s="68">
        <f t="shared" si="5"/>
        <v>56</v>
      </c>
      <c r="C58" s="64" t="s">
        <v>481</v>
      </c>
      <c r="D58" s="63">
        <f>VLOOKUP(C58,Country_Data!B:F,5,FALSE)</f>
        <v>833</v>
      </c>
      <c r="E58" s="63">
        <f>D58*Projections_Data!$C$15</f>
        <v>92.348031888390622</v>
      </c>
      <c r="F58" s="74">
        <f>IFERROR(VLOOKUP(C58,Days_Since_100!C:G,5,FALSE)-1,0)</f>
        <v>0</v>
      </c>
      <c r="H58" s="71" t="str">
        <f t="shared" si="4"/>
        <v/>
      </c>
      <c r="I58" s="70">
        <v>11.6</v>
      </c>
      <c r="J58" s="63" t="e">
        <f>VLOOKUP(C58,Country_Data!C:K,9,FALSE)</f>
        <v>#N/A</v>
      </c>
      <c r="K58" s="62" t="e">
        <f t="shared" si="6"/>
        <v>#N/A</v>
      </c>
      <c r="M58" s="61">
        <f t="array" ref="M58">IF(OR(C58=$O$3:$O$21),1,0)</f>
        <v>0</v>
      </c>
    </row>
    <row r="59" spans="2:13" ht="13.2" customHeight="1" x14ac:dyDescent="0.2">
      <c r="B59" s="68">
        <f t="shared" ref="B59:B65" si="7">B58+1</f>
        <v>57</v>
      </c>
      <c r="C59" s="64" t="s">
        <v>478</v>
      </c>
      <c r="D59" s="63">
        <f>VLOOKUP(C59,Country_Data!B:F,5,FALSE)</f>
        <v>8652</v>
      </c>
      <c r="E59" s="63">
        <f>D59*Projections_Data!$C$15</f>
        <v>959.1778774289985</v>
      </c>
      <c r="F59" s="74">
        <f>IFERROR(VLOOKUP(C59,Days_Since_100!C:G,5,FALSE)-1,0)</f>
        <v>0</v>
      </c>
      <c r="G59" s="61"/>
      <c r="H59" s="71" t="str">
        <f t="shared" si="4"/>
        <v/>
      </c>
      <c r="I59" s="70">
        <v>10.6</v>
      </c>
      <c r="J59" s="63" t="e">
        <f>VLOOKUP(C59,Country_Data!C:K,9,FALSE)</f>
        <v>#N/A</v>
      </c>
      <c r="K59" s="62">
        <v>1500</v>
      </c>
      <c r="M59" s="61">
        <f t="array" ref="M59">IF(OR(C59=$O$3:$O$21),1,0)</f>
        <v>0</v>
      </c>
    </row>
    <row r="60" spans="2:13" ht="13.2" customHeight="1" x14ac:dyDescent="0.2">
      <c r="B60" s="68">
        <f t="shared" si="7"/>
        <v>58</v>
      </c>
      <c r="C60" s="64" t="s">
        <v>199</v>
      </c>
      <c r="D60" s="63">
        <f>VLOOKUP(C60,Country_Data!B:F,5,FALSE)</f>
        <v>127</v>
      </c>
      <c r="E60" s="63">
        <f>D60*Projections_Data!$C$15</f>
        <v>14.079471848530144</v>
      </c>
      <c r="F60" s="74">
        <f>IFERROR(VLOOKUP(C60,Days_Since_100!C:G,5,FALSE)-1,0)</f>
        <v>0</v>
      </c>
      <c r="H60" s="71" t="str">
        <f t="shared" si="4"/>
        <v/>
      </c>
      <c r="I60" s="70">
        <v>12.2</v>
      </c>
      <c r="J60" s="63">
        <f>VLOOKUP(C60,Country_Data!C:K,9,FALSE)</f>
        <v>6948445</v>
      </c>
      <c r="K60" s="62"/>
      <c r="M60" s="61">
        <f t="array" ref="M60">IF(OR(C60=$O$3:$O$21),1,0)</f>
        <v>0</v>
      </c>
    </row>
    <row r="61" spans="2:13" ht="13.2" customHeight="1" x14ac:dyDescent="0.2">
      <c r="B61" s="68">
        <f t="shared" si="7"/>
        <v>59</v>
      </c>
      <c r="C61" s="64" t="s">
        <v>231</v>
      </c>
      <c r="D61" s="63">
        <f>VLOOKUP(C61,Country_Data!B:F,5,FALSE)</f>
        <v>67</v>
      </c>
      <c r="E61" s="63">
        <f>D61*Projections_Data!$C$15</f>
        <v>7.4277528649725957</v>
      </c>
      <c r="F61" s="74">
        <f>IFERROR(VLOOKUP(C61,Days_Since_100!C:G,5,FALSE)-1,0)</f>
        <v>0</v>
      </c>
      <c r="H61" s="71" t="str">
        <f t="shared" si="4"/>
        <v/>
      </c>
      <c r="I61" s="70">
        <v>11.4</v>
      </c>
      <c r="J61" s="63">
        <f>VLOOKUP(C61,Country_Data!C:K,9,FALSE)</f>
        <v>1207359</v>
      </c>
      <c r="K61" s="62"/>
      <c r="M61" s="61">
        <f t="array" ref="M61">IF(OR(C61=$O$3:$O$21),1,0)</f>
        <v>0</v>
      </c>
    </row>
    <row r="62" spans="2:13" ht="13.2" customHeight="1" x14ac:dyDescent="0.2">
      <c r="B62" s="68">
        <f t="shared" si="7"/>
        <v>60</v>
      </c>
      <c r="C62" s="64" t="s">
        <v>111</v>
      </c>
      <c r="D62" s="63">
        <f>VLOOKUP(C62,Country_Data!B:F,5,FALSE)</f>
        <v>111</v>
      </c>
      <c r="E62" s="63">
        <f>D62*Projections_Data!$C$15</f>
        <v>12.305680119581464</v>
      </c>
      <c r="F62" s="74">
        <f>IFERROR(VLOOKUP(C62,Days_Since_100!C:G,5,FALSE)-1,0)</f>
        <v>0</v>
      </c>
      <c r="H62" s="71" t="str">
        <f t="shared" si="4"/>
        <v/>
      </c>
      <c r="I62" s="70">
        <v>9.6999999999999993</v>
      </c>
      <c r="J62" s="63">
        <f>VLOOKUP(C62,Country_Data!C:K,9,FALSE)</f>
        <v>1886198</v>
      </c>
      <c r="K62" s="62"/>
      <c r="M62" s="61">
        <f t="array" ref="M62">IF(OR(C62=$O$3:$O$21),1,0)</f>
        <v>0</v>
      </c>
    </row>
    <row r="63" spans="2:13" ht="13.2" customHeight="1" x14ac:dyDescent="0.2">
      <c r="B63" s="68">
        <f t="shared" si="7"/>
        <v>61</v>
      </c>
      <c r="C63" s="64" t="s">
        <v>76</v>
      </c>
      <c r="D63" s="63"/>
      <c r="E63" s="63"/>
      <c r="F63" s="69"/>
      <c r="H63" s="71" t="str">
        <f t="shared" si="4"/>
        <v/>
      </c>
      <c r="I63" s="70">
        <v>14.7</v>
      </c>
      <c r="J63" s="63">
        <f>VLOOKUP(C63,Country_Data!C:K,9,FALSE)</f>
        <v>4105267</v>
      </c>
      <c r="K63" s="62"/>
      <c r="M63" s="61">
        <f t="array" ref="M63">IF(OR(C63=$O$3:$O$21),1,0)</f>
        <v>0</v>
      </c>
    </row>
    <row r="64" spans="2:13" ht="13.2" customHeight="1" x14ac:dyDescent="0.2">
      <c r="B64" s="68">
        <f t="shared" si="7"/>
        <v>62</v>
      </c>
      <c r="C64" s="64" t="s">
        <v>132</v>
      </c>
      <c r="D64" s="63"/>
      <c r="E64" s="63"/>
      <c r="F64" s="69"/>
      <c r="H64" s="71" t="str">
        <f t="shared" si="4"/>
        <v/>
      </c>
      <c r="I64" s="70">
        <v>13.8</v>
      </c>
      <c r="J64" s="63">
        <f>VLOOKUP(C64,Country_Data!C:K,9,FALSE)</f>
        <v>9660351</v>
      </c>
      <c r="K64" s="62"/>
      <c r="M64" s="61">
        <f t="array" ref="M64">IF(OR(C64=$O$3:$O$21),1,0)</f>
        <v>0</v>
      </c>
    </row>
    <row r="65" spans="2:13" ht="13.2" customHeight="1" x14ac:dyDescent="0.2">
      <c r="B65" s="68">
        <f t="shared" si="7"/>
        <v>63</v>
      </c>
      <c r="C65" s="64" t="s">
        <v>93</v>
      </c>
      <c r="D65" s="63"/>
      <c r="E65" s="63"/>
      <c r="F65" s="69"/>
      <c r="H65" s="71" t="str">
        <f t="shared" si="4"/>
        <v/>
      </c>
      <c r="I65" s="70">
        <v>15.5</v>
      </c>
      <c r="J65" s="63">
        <f>VLOOKUP(C65,Country_Data!C:K,9,FALSE)</f>
        <v>2722289</v>
      </c>
      <c r="K65" s="62"/>
      <c r="M65" s="61">
        <f t="array" ref="M65">IF(OR(C65=$O$3:$O$21),1,0)</f>
        <v>0</v>
      </c>
    </row>
    <row r="66" spans="2:13" ht="13.2" customHeight="1" x14ac:dyDescent="0.2">
      <c r="J66" s="63"/>
    </row>
  </sheetData>
  <conditionalFormatting sqref="B3:F65">
    <cfRule type="expression" dxfId="2" priority="3">
      <formula>ISEVEN(ROW())</formula>
    </cfRule>
  </conditionalFormatting>
  <conditionalFormatting sqref="K37:K65 J37:J66 H3:K36 H37:I65">
    <cfRule type="expression" dxfId="1" priority="2">
      <formula>ISEVEN(ROW())</formula>
    </cfRule>
  </conditionalFormatting>
  <conditionalFormatting sqref="B3:F65">
    <cfRule type="expression" dxfId="0" priority="1">
      <formula>$M3=1</formula>
    </cfRule>
  </conditionalFormatting>
  <pageMargins left="0.7" right="0.7" top="0.75" bottom="0.75" header="0.3" footer="0.3"/>
  <pageSetup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/>
  <dimension ref="L4:S29"/>
  <sheetViews>
    <sheetView workbookViewId="0">
      <selection activeCell="U23" sqref="U23"/>
    </sheetView>
  </sheetViews>
  <sheetFormatPr defaultRowHeight="14.4" x14ac:dyDescent="0.3"/>
  <cols>
    <col min="19" max="19" width="11.33203125" bestFit="1" customWidth="1"/>
  </cols>
  <sheetData>
    <row r="4" spans="12:19" x14ac:dyDescent="0.3">
      <c r="R4" t="s">
        <v>426</v>
      </c>
      <c r="S4" s="5">
        <v>0</v>
      </c>
    </row>
    <row r="5" spans="12:19" x14ac:dyDescent="0.3">
      <c r="R5" t="s">
        <v>427</v>
      </c>
      <c r="S5" s="5">
        <v>50000</v>
      </c>
    </row>
    <row r="6" spans="12:19" x14ac:dyDescent="0.3">
      <c r="L6" s="5"/>
    </row>
    <row r="7" spans="12:19" x14ac:dyDescent="0.3">
      <c r="R7" t="s">
        <v>428</v>
      </c>
      <c r="S7" s="5">
        <v>1</v>
      </c>
    </row>
    <row r="8" spans="12:19" x14ac:dyDescent="0.3">
      <c r="R8" t="s">
        <v>429</v>
      </c>
      <c r="S8" s="5">
        <v>30</v>
      </c>
    </row>
    <row r="10" spans="12:19" x14ac:dyDescent="0.3">
      <c r="R10">
        <v>1</v>
      </c>
      <c r="S10" t="s">
        <v>349</v>
      </c>
    </row>
    <row r="11" spans="12:19" x14ac:dyDescent="0.3">
      <c r="R11">
        <v>2</v>
      </c>
      <c r="S11" t="s">
        <v>38</v>
      </c>
    </row>
    <row r="12" spans="12:19" x14ac:dyDescent="0.3">
      <c r="R12">
        <v>3</v>
      </c>
      <c r="S12" s="17" t="s">
        <v>58</v>
      </c>
    </row>
    <row r="13" spans="12:19" x14ac:dyDescent="0.3">
      <c r="R13">
        <v>4</v>
      </c>
      <c r="S13" s="17" t="s">
        <v>337</v>
      </c>
    </row>
    <row r="14" spans="12:19" x14ac:dyDescent="0.3">
      <c r="R14">
        <v>5</v>
      </c>
      <c r="S14" s="17" t="s">
        <v>41</v>
      </c>
    </row>
    <row r="15" spans="12:19" x14ac:dyDescent="0.3">
      <c r="R15">
        <v>6</v>
      </c>
      <c r="S15" s="17" t="s">
        <v>53</v>
      </c>
    </row>
    <row r="16" spans="12:19" x14ac:dyDescent="0.3">
      <c r="R16">
        <v>7</v>
      </c>
      <c r="S16" s="17"/>
    </row>
    <row r="17" spans="18:19" x14ac:dyDescent="0.3">
      <c r="R17">
        <v>8</v>
      </c>
      <c r="S17" s="17" t="s">
        <v>339</v>
      </c>
    </row>
    <row r="18" spans="18:19" x14ac:dyDescent="0.3">
      <c r="R18">
        <v>9</v>
      </c>
      <c r="S18" s="17" t="s">
        <v>36</v>
      </c>
    </row>
    <row r="19" spans="18:19" x14ac:dyDescent="0.3">
      <c r="R19">
        <v>10</v>
      </c>
      <c r="S19" s="17"/>
    </row>
    <row r="20" spans="18:19" x14ac:dyDescent="0.3">
      <c r="R20">
        <v>11</v>
      </c>
    </row>
    <row r="21" spans="18:19" x14ac:dyDescent="0.3">
      <c r="R21">
        <f>R20+1</f>
        <v>12</v>
      </c>
    </row>
    <row r="22" spans="18:19" x14ac:dyDescent="0.3">
      <c r="R22">
        <f t="shared" ref="R22:R29" si="0">R21+1</f>
        <v>13</v>
      </c>
    </row>
    <row r="23" spans="18:19" x14ac:dyDescent="0.3">
      <c r="R23">
        <f t="shared" si="0"/>
        <v>14</v>
      </c>
    </row>
    <row r="24" spans="18:19" x14ac:dyDescent="0.3">
      <c r="R24">
        <f t="shared" si="0"/>
        <v>15</v>
      </c>
    </row>
    <row r="25" spans="18:19" x14ac:dyDescent="0.3">
      <c r="R25">
        <f t="shared" si="0"/>
        <v>16</v>
      </c>
    </row>
    <row r="26" spans="18:19" x14ac:dyDescent="0.3">
      <c r="R26">
        <f t="shared" si="0"/>
        <v>17</v>
      </c>
    </row>
    <row r="27" spans="18:19" x14ac:dyDescent="0.3">
      <c r="R27">
        <f t="shared" si="0"/>
        <v>18</v>
      </c>
    </row>
    <row r="28" spans="18:19" x14ac:dyDescent="0.3">
      <c r="R28">
        <f t="shared" si="0"/>
        <v>19</v>
      </c>
    </row>
    <row r="29" spans="18:19" x14ac:dyDescent="0.3">
      <c r="R29">
        <f t="shared" si="0"/>
        <v>20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/>
  <dimension ref="B2:IN264"/>
  <sheetViews>
    <sheetView workbookViewId="0">
      <pane xSplit="6" ySplit="3" topLeftCell="M4" activePane="bottomRight" state="frozen"/>
      <selection pane="topRight" activeCell="G1" sqref="G1"/>
      <selection pane="bottomLeft" activeCell="A4" sqref="A4"/>
      <selection pane="bottomRight" activeCell="D28" sqref="D28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2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" style="19" bestFit="1" customWidth="1"/>
    <col min="8" max="8" width="14" style="19" bestFit="1" customWidth="1"/>
    <col min="9" max="9" width="10.5546875" style="19" bestFit="1" customWidth="1"/>
    <col min="10" max="10" width="12.109375" style="19" bestFit="1" customWidth="1"/>
    <col min="11" max="11" width="14.44140625" style="19" bestFit="1" customWidth="1"/>
    <col min="12" max="12" width="11.109375" style="19" bestFit="1" customWidth="1"/>
    <col min="13" max="13" width="10.5546875" style="19" bestFit="1" customWidth="1"/>
    <col min="14" max="14" width="13.77734375" style="19" customWidth="1"/>
    <col min="15" max="18" width="10.5546875" style="19" bestFit="1" customWidth="1"/>
    <col min="19" max="19" width="13.44140625" style="19" customWidth="1"/>
    <col min="20" max="20" width="12.33203125" style="19" bestFit="1" customWidth="1"/>
    <col min="21" max="44" width="10.5546875" style="19" bestFit="1" customWidth="1"/>
    <col min="45" max="248" width="11.21875" style="19" bestFit="1" customWidth="1"/>
    <col min="249" max="16384" width="8.77734375" style="19"/>
  </cols>
  <sheetData>
    <row r="2" spans="2:248" x14ac:dyDescent="0.3">
      <c r="B2" s="19" t="str">
        <f>country</f>
        <v>United Kingdom</v>
      </c>
      <c r="C2" s="20">
        <f>MAX(ConfirmedRaw!1:1)</f>
        <v>43910</v>
      </c>
    </row>
    <row r="3" spans="2:248" x14ac:dyDescent="0.3">
      <c r="G3" s="20">
        <f ca="1">VLOOKUP(B2,Country_Data!B:E,4,FALSE)</f>
        <v>43895</v>
      </c>
      <c r="H3" s="20">
        <f t="shared" ref="H3:BS3" ca="1" si="0">G3+1</f>
        <v>43896</v>
      </c>
      <c r="I3" s="20">
        <f t="shared" ca="1" si="0"/>
        <v>43897</v>
      </c>
      <c r="J3" s="20">
        <f t="shared" ca="1" si="0"/>
        <v>43898</v>
      </c>
      <c r="K3" s="20">
        <f t="shared" ca="1" si="0"/>
        <v>43899</v>
      </c>
      <c r="L3" s="20">
        <f t="shared" ca="1" si="0"/>
        <v>43900</v>
      </c>
      <c r="M3" s="20">
        <f t="shared" ca="1" si="0"/>
        <v>43901</v>
      </c>
      <c r="N3" s="20">
        <f t="shared" ca="1" si="0"/>
        <v>43902</v>
      </c>
      <c r="O3" s="20">
        <f t="shared" ca="1" si="0"/>
        <v>43903</v>
      </c>
      <c r="P3" s="20">
        <f t="shared" ca="1" si="0"/>
        <v>43904</v>
      </c>
      <c r="Q3" s="20">
        <f t="shared" ca="1" si="0"/>
        <v>43905</v>
      </c>
      <c r="R3" s="20">
        <f t="shared" ca="1" si="0"/>
        <v>43906</v>
      </c>
      <c r="S3" s="20">
        <f t="shared" ca="1" si="0"/>
        <v>43907</v>
      </c>
      <c r="T3" s="20">
        <f t="shared" ca="1" si="0"/>
        <v>43908</v>
      </c>
      <c r="U3" s="20">
        <f t="shared" ca="1" si="0"/>
        <v>43909</v>
      </c>
      <c r="V3" s="20">
        <f t="shared" ca="1" si="0"/>
        <v>43910</v>
      </c>
      <c r="W3" s="20">
        <f t="shared" ca="1" si="0"/>
        <v>43911</v>
      </c>
      <c r="X3" s="20">
        <f t="shared" ca="1" si="0"/>
        <v>43912</v>
      </c>
      <c r="Y3" s="20">
        <f t="shared" ca="1" si="0"/>
        <v>43913</v>
      </c>
      <c r="Z3" s="20">
        <f t="shared" ca="1" si="0"/>
        <v>43914</v>
      </c>
      <c r="AA3" s="20">
        <f t="shared" ca="1" si="0"/>
        <v>43915</v>
      </c>
      <c r="AB3" s="20">
        <f t="shared" ca="1" si="0"/>
        <v>43916</v>
      </c>
      <c r="AC3" s="20">
        <f t="shared" ca="1" si="0"/>
        <v>43917</v>
      </c>
      <c r="AD3" s="20">
        <f t="shared" ca="1" si="0"/>
        <v>43918</v>
      </c>
      <c r="AE3" s="20">
        <f t="shared" ca="1" si="0"/>
        <v>43919</v>
      </c>
      <c r="AF3" s="20">
        <f t="shared" ca="1" si="0"/>
        <v>43920</v>
      </c>
      <c r="AG3" s="20">
        <f t="shared" ca="1" si="0"/>
        <v>43921</v>
      </c>
      <c r="AH3" s="20">
        <f t="shared" ca="1" si="0"/>
        <v>43922</v>
      </c>
      <c r="AI3" s="20">
        <f t="shared" ca="1" si="0"/>
        <v>43923</v>
      </c>
      <c r="AJ3" s="20">
        <f t="shared" ca="1" si="0"/>
        <v>43924</v>
      </c>
      <c r="AK3" s="20">
        <f t="shared" ca="1" si="0"/>
        <v>43925</v>
      </c>
      <c r="AL3" s="20">
        <f t="shared" ca="1" si="0"/>
        <v>43926</v>
      </c>
      <c r="AM3" s="20">
        <f t="shared" ca="1" si="0"/>
        <v>43927</v>
      </c>
      <c r="AN3" s="20">
        <f t="shared" ca="1" si="0"/>
        <v>43928</v>
      </c>
      <c r="AO3" s="20">
        <f t="shared" ca="1" si="0"/>
        <v>43929</v>
      </c>
      <c r="AP3" s="20">
        <f t="shared" ca="1" si="0"/>
        <v>43930</v>
      </c>
      <c r="AQ3" s="20">
        <f t="shared" ca="1" si="0"/>
        <v>43931</v>
      </c>
      <c r="AR3" s="20">
        <f t="shared" ca="1" si="0"/>
        <v>43932</v>
      </c>
      <c r="AS3" s="20">
        <f t="shared" ca="1" si="0"/>
        <v>43933</v>
      </c>
      <c r="AT3" s="20">
        <f t="shared" ca="1" si="0"/>
        <v>43934</v>
      </c>
      <c r="AU3" s="20">
        <f t="shared" ca="1" si="0"/>
        <v>43935</v>
      </c>
      <c r="AV3" s="20">
        <f t="shared" ca="1" si="0"/>
        <v>43936</v>
      </c>
      <c r="AW3" s="20">
        <f t="shared" ca="1" si="0"/>
        <v>43937</v>
      </c>
      <c r="AX3" s="20">
        <f t="shared" ca="1" si="0"/>
        <v>43938</v>
      </c>
      <c r="AY3" s="20">
        <f t="shared" ca="1" si="0"/>
        <v>43939</v>
      </c>
      <c r="AZ3" s="20">
        <f t="shared" ca="1" si="0"/>
        <v>43940</v>
      </c>
      <c r="BA3" s="20">
        <f t="shared" ca="1" si="0"/>
        <v>43941</v>
      </c>
      <c r="BB3" s="20">
        <f t="shared" ca="1" si="0"/>
        <v>43942</v>
      </c>
      <c r="BC3" s="20">
        <f t="shared" ca="1" si="0"/>
        <v>43943</v>
      </c>
      <c r="BD3" s="20">
        <f t="shared" ca="1" si="0"/>
        <v>43944</v>
      </c>
      <c r="BE3" s="20">
        <f t="shared" ca="1" si="0"/>
        <v>43945</v>
      </c>
      <c r="BF3" s="20">
        <f t="shared" ca="1" si="0"/>
        <v>43946</v>
      </c>
      <c r="BG3" s="20">
        <f t="shared" ca="1" si="0"/>
        <v>43947</v>
      </c>
      <c r="BH3" s="20">
        <f t="shared" ca="1" si="0"/>
        <v>43948</v>
      </c>
      <c r="BI3" s="20">
        <f t="shared" ca="1" si="0"/>
        <v>43949</v>
      </c>
      <c r="BJ3" s="20">
        <f t="shared" ca="1" si="0"/>
        <v>43950</v>
      </c>
      <c r="BK3" s="20">
        <f t="shared" ca="1" si="0"/>
        <v>43951</v>
      </c>
      <c r="BL3" s="20">
        <f t="shared" ca="1" si="0"/>
        <v>43952</v>
      </c>
      <c r="BM3" s="20">
        <f t="shared" ca="1" si="0"/>
        <v>43953</v>
      </c>
      <c r="BN3" s="20">
        <f t="shared" ca="1" si="0"/>
        <v>43954</v>
      </c>
      <c r="BO3" s="20">
        <f t="shared" ca="1" si="0"/>
        <v>43955</v>
      </c>
      <c r="BP3" s="20">
        <f t="shared" ca="1" si="0"/>
        <v>43956</v>
      </c>
      <c r="BQ3" s="20">
        <f t="shared" ca="1" si="0"/>
        <v>43957</v>
      </c>
      <c r="BR3" s="20">
        <f t="shared" ca="1" si="0"/>
        <v>43958</v>
      </c>
      <c r="BS3" s="20">
        <f t="shared" ca="1" si="0"/>
        <v>43959</v>
      </c>
      <c r="BT3" s="20">
        <f t="shared" ref="BT3:EE3" ca="1" si="1">BS3+1</f>
        <v>43960</v>
      </c>
      <c r="BU3" s="20">
        <f t="shared" ca="1" si="1"/>
        <v>43961</v>
      </c>
      <c r="BV3" s="20">
        <f t="shared" ca="1" si="1"/>
        <v>43962</v>
      </c>
      <c r="BW3" s="20">
        <f t="shared" ca="1" si="1"/>
        <v>43963</v>
      </c>
      <c r="BX3" s="20">
        <f t="shared" ca="1" si="1"/>
        <v>43964</v>
      </c>
      <c r="BY3" s="20">
        <f t="shared" ca="1" si="1"/>
        <v>43965</v>
      </c>
      <c r="BZ3" s="20">
        <f t="shared" ca="1" si="1"/>
        <v>43966</v>
      </c>
      <c r="CA3" s="20">
        <f t="shared" ca="1" si="1"/>
        <v>43967</v>
      </c>
      <c r="CB3" s="20">
        <f t="shared" ca="1" si="1"/>
        <v>43968</v>
      </c>
      <c r="CC3" s="20">
        <f t="shared" ca="1" si="1"/>
        <v>43969</v>
      </c>
      <c r="CD3" s="20">
        <f t="shared" ca="1" si="1"/>
        <v>43970</v>
      </c>
      <c r="CE3" s="20">
        <f t="shared" ca="1" si="1"/>
        <v>43971</v>
      </c>
      <c r="CF3" s="20">
        <f t="shared" ca="1" si="1"/>
        <v>43972</v>
      </c>
      <c r="CG3" s="20">
        <f t="shared" ca="1" si="1"/>
        <v>43973</v>
      </c>
      <c r="CH3" s="20">
        <f t="shared" ca="1" si="1"/>
        <v>43974</v>
      </c>
      <c r="CI3" s="20">
        <f t="shared" ca="1" si="1"/>
        <v>43975</v>
      </c>
      <c r="CJ3" s="20">
        <f t="shared" ca="1" si="1"/>
        <v>43976</v>
      </c>
      <c r="CK3" s="20">
        <f t="shared" ca="1" si="1"/>
        <v>43977</v>
      </c>
      <c r="CL3" s="20">
        <f t="shared" ca="1" si="1"/>
        <v>43978</v>
      </c>
      <c r="CM3" s="20">
        <f t="shared" ca="1" si="1"/>
        <v>43979</v>
      </c>
      <c r="CN3" s="20">
        <f t="shared" ca="1" si="1"/>
        <v>43980</v>
      </c>
      <c r="CO3" s="20">
        <f t="shared" ca="1" si="1"/>
        <v>43981</v>
      </c>
      <c r="CP3" s="20">
        <f t="shared" ca="1" si="1"/>
        <v>43982</v>
      </c>
      <c r="CQ3" s="20">
        <f t="shared" ca="1" si="1"/>
        <v>43983</v>
      </c>
      <c r="CR3" s="20">
        <f t="shared" ca="1" si="1"/>
        <v>43984</v>
      </c>
      <c r="CS3" s="20">
        <f t="shared" ca="1" si="1"/>
        <v>43985</v>
      </c>
      <c r="CT3" s="20">
        <f t="shared" ca="1" si="1"/>
        <v>43986</v>
      </c>
      <c r="CU3" s="20">
        <f t="shared" ca="1" si="1"/>
        <v>43987</v>
      </c>
      <c r="CV3" s="20">
        <f t="shared" ca="1" si="1"/>
        <v>43988</v>
      </c>
      <c r="CW3" s="20">
        <f t="shared" ca="1" si="1"/>
        <v>43989</v>
      </c>
      <c r="CX3" s="20">
        <f t="shared" ca="1" si="1"/>
        <v>43990</v>
      </c>
      <c r="CY3" s="20">
        <f t="shared" ca="1" si="1"/>
        <v>43991</v>
      </c>
      <c r="CZ3" s="20">
        <f t="shared" ca="1" si="1"/>
        <v>43992</v>
      </c>
      <c r="DA3" s="20">
        <f t="shared" ca="1" si="1"/>
        <v>43993</v>
      </c>
      <c r="DB3" s="20">
        <f t="shared" ca="1" si="1"/>
        <v>43994</v>
      </c>
      <c r="DC3" s="20">
        <f t="shared" ca="1" si="1"/>
        <v>43995</v>
      </c>
      <c r="DD3" s="20">
        <f t="shared" ca="1" si="1"/>
        <v>43996</v>
      </c>
      <c r="DE3" s="20">
        <f t="shared" ca="1" si="1"/>
        <v>43997</v>
      </c>
      <c r="DF3" s="20">
        <f t="shared" ca="1" si="1"/>
        <v>43998</v>
      </c>
      <c r="DG3" s="20">
        <f t="shared" ca="1" si="1"/>
        <v>43999</v>
      </c>
      <c r="DH3" s="20">
        <f t="shared" ca="1" si="1"/>
        <v>44000</v>
      </c>
      <c r="DI3" s="20">
        <f t="shared" ca="1" si="1"/>
        <v>44001</v>
      </c>
      <c r="DJ3" s="20">
        <f t="shared" ca="1" si="1"/>
        <v>44002</v>
      </c>
      <c r="DK3" s="20">
        <f t="shared" ca="1" si="1"/>
        <v>44003</v>
      </c>
      <c r="DL3" s="20">
        <f t="shared" ca="1" si="1"/>
        <v>44004</v>
      </c>
      <c r="DM3" s="20">
        <f t="shared" ca="1" si="1"/>
        <v>44005</v>
      </c>
      <c r="DN3" s="20">
        <f t="shared" ca="1" si="1"/>
        <v>44006</v>
      </c>
      <c r="DO3" s="20">
        <f t="shared" ca="1" si="1"/>
        <v>44007</v>
      </c>
      <c r="DP3" s="20">
        <f t="shared" ca="1" si="1"/>
        <v>44008</v>
      </c>
      <c r="DQ3" s="20">
        <f t="shared" ca="1" si="1"/>
        <v>44009</v>
      </c>
      <c r="DR3" s="20">
        <f t="shared" ca="1" si="1"/>
        <v>44010</v>
      </c>
      <c r="DS3" s="20">
        <f t="shared" ca="1" si="1"/>
        <v>44011</v>
      </c>
      <c r="DT3" s="20">
        <f t="shared" ca="1" si="1"/>
        <v>44012</v>
      </c>
      <c r="DU3" s="20">
        <f t="shared" ca="1" si="1"/>
        <v>44013</v>
      </c>
      <c r="DV3" s="20">
        <f t="shared" ca="1" si="1"/>
        <v>44014</v>
      </c>
      <c r="DW3" s="20">
        <f t="shared" ca="1" si="1"/>
        <v>44015</v>
      </c>
      <c r="DX3" s="20">
        <f t="shared" ca="1" si="1"/>
        <v>44016</v>
      </c>
      <c r="DY3" s="20">
        <f t="shared" ca="1" si="1"/>
        <v>44017</v>
      </c>
      <c r="DZ3" s="20">
        <f t="shared" ca="1" si="1"/>
        <v>44018</v>
      </c>
      <c r="EA3" s="20">
        <f t="shared" ca="1" si="1"/>
        <v>44019</v>
      </c>
      <c r="EB3" s="20">
        <f t="shared" ca="1" si="1"/>
        <v>44020</v>
      </c>
      <c r="EC3" s="20">
        <f t="shared" ca="1" si="1"/>
        <v>44021</v>
      </c>
      <c r="ED3" s="20">
        <f t="shared" ca="1" si="1"/>
        <v>44022</v>
      </c>
      <c r="EE3" s="20">
        <f t="shared" ca="1" si="1"/>
        <v>44023</v>
      </c>
      <c r="EF3" s="20">
        <f t="shared" ref="EF3:GQ3" ca="1" si="2">EE3+1</f>
        <v>44024</v>
      </c>
      <c r="EG3" s="20">
        <f t="shared" ca="1" si="2"/>
        <v>44025</v>
      </c>
      <c r="EH3" s="20">
        <f t="shared" ca="1" si="2"/>
        <v>44026</v>
      </c>
      <c r="EI3" s="20">
        <f t="shared" ca="1" si="2"/>
        <v>44027</v>
      </c>
      <c r="EJ3" s="20">
        <f t="shared" ca="1" si="2"/>
        <v>44028</v>
      </c>
      <c r="EK3" s="20">
        <f t="shared" ca="1" si="2"/>
        <v>44029</v>
      </c>
      <c r="EL3" s="20">
        <f t="shared" ca="1" si="2"/>
        <v>44030</v>
      </c>
      <c r="EM3" s="20">
        <f t="shared" ca="1" si="2"/>
        <v>44031</v>
      </c>
      <c r="EN3" s="20">
        <f t="shared" ca="1" si="2"/>
        <v>44032</v>
      </c>
      <c r="EO3" s="20">
        <f t="shared" ca="1" si="2"/>
        <v>44033</v>
      </c>
      <c r="EP3" s="20">
        <f t="shared" ca="1" si="2"/>
        <v>44034</v>
      </c>
      <c r="EQ3" s="20">
        <f t="shared" ca="1" si="2"/>
        <v>44035</v>
      </c>
      <c r="ER3" s="20">
        <f t="shared" ca="1" si="2"/>
        <v>44036</v>
      </c>
      <c r="ES3" s="20">
        <f t="shared" ca="1" si="2"/>
        <v>44037</v>
      </c>
      <c r="ET3" s="20">
        <f t="shared" ca="1" si="2"/>
        <v>44038</v>
      </c>
      <c r="EU3" s="20">
        <f t="shared" ca="1" si="2"/>
        <v>44039</v>
      </c>
      <c r="EV3" s="20">
        <f t="shared" ca="1" si="2"/>
        <v>44040</v>
      </c>
      <c r="EW3" s="20">
        <f t="shared" ca="1" si="2"/>
        <v>44041</v>
      </c>
      <c r="EX3" s="20">
        <f t="shared" ca="1" si="2"/>
        <v>44042</v>
      </c>
      <c r="EY3" s="20">
        <f t="shared" ca="1" si="2"/>
        <v>44043</v>
      </c>
      <c r="EZ3" s="20">
        <f t="shared" ca="1" si="2"/>
        <v>44044</v>
      </c>
      <c r="FA3" s="20">
        <f t="shared" ca="1" si="2"/>
        <v>44045</v>
      </c>
      <c r="FB3" s="20">
        <f t="shared" ca="1" si="2"/>
        <v>44046</v>
      </c>
      <c r="FC3" s="20">
        <f t="shared" ca="1" si="2"/>
        <v>44047</v>
      </c>
      <c r="FD3" s="20">
        <f t="shared" ca="1" si="2"/>
        <v>44048</v>
      </c>
      <c r="FE3" s="20">
        <f t="shared" ca="1" si="2"/>
        <v>44049</v>
      </c>
      <c r="FF3" s="20">
        <f t="shared" ca="1" si="2"/>
        <v>44050</v>
      </c>
      <c r="FG3" s="20">
        <f t="shared" ca="1" si="2"/>
        <v>44051</v>
      </c>
      <c r="FH3" s="20">
        <f t="shared" ca="1" si="2"/>
        <v>44052</v>
      </c>
      <c r="FI3" s="20">
        <f t="shared" ca="1" si="2"/>
        <v>44053</v>
      </c>
      <c r="FJ3" s="20">
        <f t="shared" ca="1" si="2"/>
        <v>44054</v>
      </c>
      <c r="FK3" s="20">
        <f t="shared" ca="1" si="2"/>
        <v>44055</v>
      </c>
      <c r="FL3" s="20">
        <f t="shared" ca="1" si="2"/>
        <v>44056</v>
      </c>
      <c r="FM3" s="20">
        <f t="shared" ca="1" si="2"/>
        <v>44057</v>
      </c>
      <c r="FN3" s="20">
        <f t="shared" ca="1" si="2"/>
        <v>44058</v>
      </c>
      <c r="FO3" s="20">
        <f t="shared" ca="1" si="2"/>
        <v>44059</v>
      </c>
      <c r="FP3" s="20">
        <f t="shared" ca="1" si="2"/>
        <v>44060</v>
      </c>
      <c r="FQ3" s="20">
        <f t="shared" ca="1" si="2"/>
        <v>44061</v>
      </c>
      <c r="FR3" s="20">
        <f t="shared" ca="1" si="2"/>
        <v>44062</v>
      </c>
      <c r="FS3" s="20">
        <f t="shared" ca="1" si="2"/>
        <v>44063</v>
      </c>
      <c r="FT3" s="20">
        <f t="shared" ca="1" si="2"/>
        <v>44064</v>
      </c>
      <c r="FU3" s="20">
        <f t="shared" ca="1" si="2"/>
        <v>44065</v>
      </c>
      <c r="FV3" s="20">
        <f t="shared" ca="1" si="2"/>
        <v>44066</v>
      </c>
      <c r="FW3" s="20">
        <f t="shared" ca="1" si="2"/>
        <v>44067</v>
      </c>
      <c r="FX3" s="20">
        <f t="shared" ca="1" si="2"/>
        <v>44068</v>
      </c>
      <c r="FY3" s="20">
        <f t="shared" ca="1" si="2"/>
        <v>44069</v>
      </c>
      <c r="FZ3" s="20">
        <f t="shared" ca="1" si="2"/>
        <v>44070</v>
      </c>
      <c r="GA3" s="20">
        <f t="shared" ca="1" si="2"/>
        <v>44071</v>
      </c>
      <c r="GB3" s="20">
        <f t="shared" ca="1" si="2"/>
        <v>44072</v>
      </c>
      <c r="GC3" s="20">
        <f t="shared" ca="1" si="2"/>
        <v>44073</v>
      </c>
      <c r="GD3" s="20">
        <f t="shared" ca="1" si="2"/>
        <v>44074</v>
      </c>
      <c r="GE3" s="20">
        <f t="shared" ca="1" si="2"/>
        <v>44075</v>
      </c>
      <c r="GF3" s="20">
        <f t="shared" ca="1" si="2"/>
        <v>44076</v>
      </c>
      <c r="GG3" s="20">
        <f t="shared" ca="1" si="2"/>
        <v>44077</v>
      </c>
      <c r="GH3" s="20">
        <f t="shared" ca="1" si="2"/>
        <v>44078</v>
      </c>
      <c r="GI3" s="20">
        <f t="shared" ca="1" si="2"/>
        <v>44079</v>
      </c>
      <c r="GJ3" s="20">
        <f t="shared" ca="1" si="2"/>
        <v>44080</v>
      </c>
      <c r="GK3" s="20">
        <f t="shared" ca="1" si="2"/>
        <v>44081</v>
      </c>
      <c r="GL3" s="20">
        <f t="shared" ca="1" si="2"/>
        <v>44082</v>
      </c>
      <c r="GM3" s="20">
        <f t="shared" ca="1" si="2"/>
        <v>44083</v>
      </c>
      <c r="GN3" s="20">
        <f t="shared" ca="1" si="2"/>
        <v>44084</v>
      </c>
      <c r="GO3" s="20">
        <f t="shared" ca="1" si="2"/>
        <v>44085</v>
      </c>
      <c r="GP3" s="20">
        <f t="shared" ca="1" si="2"/>
        <v>44086</v>
      </c>
      <c r="GQ3" s="20">
        <f t="shared" ca="1" si="2"/>
        <v>44087</v>
      </c>
      <c r="GR3" s="20">
        <f t="shared" ref="GR3:IN3" ca="1" si="3">GQ3+1</f>
        <v>44088</v>
      </c>
      <c r="GS3" s="20">
        <f t="shared" ca="1" si="3"/>
        <v>44089</v>
      </c>
      <c r="GT3" s="20">
        <f t="shared" ca="1" si="3"/>
        <v>44090</v>
      </c>
      <c r="GU3" s="20">
        <f t="shared" ca="1" si="3"/>
        <v>44091</v>
      </c>
      <c r="GV3" s="20">
        <f t="shared" ca="1" si="3"/>
        <v>44092</v>
      </c>
      <c r="GW3" s="20">
        <f t="shared" ca="1" si="3"/>
        <v>44093</v>
      </c>
      <c r="GX3" s="20">
        <f t="shared" ca="1" si="3"/>
        <v>44094</v>
      </c>
      <c r="GY3" s="20">
        <f t="shared" ca="1" si="3"/>
        <v>44095</v>
      </c>
      <c r="GZ3" s="20">
        <f t="shared" ca="1" si="3"/>
        <v>44096</v>
      </c>
      <c r="HA3" s="20">
        <f t="shared" ca="1" si="3"/>
        <v>44097</v>
      </c>
      <c r="HB3" s="20">
        <f t="shared" ca="1" si="3"/>
        <v>44098</v>
      </c>
      <c r="HC3" s="20">
        <f t="shared" ca="1" si="3"/>
        <v>44099</v>
      </c>
      <c r="HD3" s="20">
        <f t="shared" ca="1" si="3"/>
        <v>44100</v>
      </c>
      <c r="HE3" s="20">
        <f t="shared" ca="1" si="3"/>
        <v>44101</v>
      </c>
      <c r="HF3" s="20">
        <f t="shared" ca="1" si="3"/>
        <v>44102</v>
      </c>
      <c r="HG3" s="20">
        <f t="shared" ca="1" si="3"/>
        <v>44103</v>
      </c>
      <c r="HH3" s="20">
        <f t="shared" ca="1" si="3"/>
        <v>44104</v>
      </c>
      <c r="HI3" s="20">
        <f t="shared" ca="1" si="3"/>
        <v>44105</v>
      </c>
      <c r="HJ3" s="20">
        <f t="shared" ca="1" si="3"/>
        <v>44106</v>
      </c>
      <c r="HK3" s="20">
        <f t="shared" ca="1" si="3"/>
        <v>44107</v>
      </c>
      <c r="HL3" s="20">
        <f t="shared" ca="1" si="3"/>
        <v>44108</v>
      </c>
      <c r="HM3" s="20">
        <f t="shared" ca="1" si="3"/>
        <v>44109</v>
      </c>
      <c r="HN3" s="20">
        <f t="shared" ca="1" si="3"/>
        <v>44110</v>
      </c>
      <c r="HO3" s="20">
        <f t="shared" ca="1" si="3"/>
        <v>44111</v>
      </c>
      <c r="HP3" s="20">
        <f t="shared" ca="1" si="3"/>
        <v>44112</v>
      </c>
      <c r="HQ3" s="20">
        <f t="shared" ca="1" si="3"/>
        <v>44113</v>
      </c>
      <c r="HR3" s="20">
        <f t="shared" ca="1" si="3"/>
        <v>44114</v>
      </c>
      <c r="HS3" s="20">
        <f t="shared" ca="1" si="3"/>
        <v>44115</v>
      </c>
      <c r="HT3" s="20">
        <f t="shared" ca="1" si="3"/>
        <v>44116</v>
      </c>
      <c r="HU3" s="20">
        <f t="shared" ca="1" si="3"/>
        <v>44117</v>
      </c>
      <c r="HV3" s="20">
        <f t="shared" ca="1" si="3"/>
        <v>44118</v>
      </c>
      <c r="HW3" s="20">
        <f t="shared" ca="1" si="3"/>
        <v>44119</v>
      </c>
      <c r="HX3" s="20">
        <f t="shared" ca="1" si="3"/>
        <v>44120</v>
      </c>
      <c r="HY3" s="20">
        <f t="shared" ca="1" si="3"/>
        <v>44121</v>
      </c>
      <c r="HZ3" s="20">
        <f t="shared" ca="1" si="3"/>
        <v>44122</v>
      </c>
      <c r="IA3" s="20">
        <f t="shared" ca="1" si="3"/>
        <v>44123</v>
      </c>
      <c r="IB3" s="20">
        <f t="shared" ca="1" si="3"/>
        <v>44124</v>
      </c>
      <c r="IC3" s="20">
        <f t="shared" ca="1" si="3"/>
        <v>44125</v>
      </c>
      <c r="ID3" s="20">
        <f t="shared" ca="1" si="3"/>
        <v>44126</v>
      </c>
      <c r="IE3" s="20">
        <f t="shared" ca="1" si="3"/>
        <v>44127</v>
      </c>
      <c r="IF3" s="20">
        <f t="shared" ca="1" si="3"/>
        <v>44128</v>
      </c>
      <c r="IG3" s="20">
        <f t="shared" ca="1" si="3"/>
        <v>44129</v>
      </c>
      <c r="IH3" s="20">
        <f t="shared" ca="1" si="3"/>
        <v>44130</v>
      </c>
      <c r="II3" s="20">
        <f t="shared" ca="1" si="3"/>
        <v>44131</v>
      </c>
      <c r="IJ3" s="20">
        <f t="shared" ca="1" si="3"/>
        <v>44132</v>
      </c>
      <c r="IK3" s="20">
        <f t="shared" ca="1" si="3"/>
        <v>44133</v>
      </c>
      <c r="IL3" s="20">
        <f t="shared" ca="1" si="3"/>
        <v>44134</v>
      </c>
      <c r="IM3" s="20">
        <f t="shared" ca="1" si="3"/>
        <v>44135</v>
      </c>
      <c r="IN3" s="20">
        <f t="shared" ca="1" si="3"/>
        <v>44136</v>
      </c>
    </row>
    <row r="4" spans="2:248" x14ac:dyDescent="0.3">
      <c r="B4" s="19" t="s">
        <v>450</v>
      </c>
      <c r="C4" s="21">
        <f>VLOOKUP(B2,Days_Since_100!C:D,2,FALSE)</f>
        <v>4014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456</v>
      </c>
      <c r="C5" s="21">
        <f>COUNTIF(G5:BL5,"&gt;"&amp;0)</f>
        <v>16</v>
      </c>
      <c r="F5" s="19" t="s">
        <v>511</v>
      </c>
      <c r="G5" s="21">
        <f>IF(VLOOKUP($B$2,Days_Since_100_active!$H:$KU,Projections_Data!G$4+2,FALSE)=0,#N/A,VLOOKUP($B$2,Days_Since_100_active!$H:$KU,Projections_Data!G$4+2,FALSE))</f>
        <v>107</v>
      </c>
      <c r="H5" s="21">
        <f>IF(VLOOKUP($B$2,Days_Since_100_active!$H:$KU,Projections_Data!H$4+2,FALSE)=0,#N/A,VLOOKUP($B$2,Days_Since_100_active!$H:$KU,Projections_Data!H$4+2,FALSE))</f>
        <v>154</v>
      </c>
      <c r="I5" s="21">
        <f>IF(VLOOKUP($B$2,Days_Since_100_active!$H:$KU,Projections_Data!I$4+2,FALSE)=0,#N/A,VLOOKUP($B$2,Days_Since_100_active!$H:$KU,Projections_Data!I$4+2,FALSE))</f>
        <v>187</v>
      </c>
      <c r="J5" s="21">
        <f>IF(VLOOKUP($B$2,Days_Since_100_active!$H:$KU,Projections_Data!J$4+2,FALSE)=0,#N/A,VLOOKUP($B$2,Days_Since_100_active!$H:$KU,Projections_Data!J$4+2,FALSE))</f>
        <v>253</v>
      </c>
      <c r="K5" s="21">
        <f>IF(VLOOKUP($B$2,Days_Since_100_active!$H:$KU,Projections_Data!K$4+2,FALSE)=0,#N/A,VLOOKUP($B$2,Days_Since_100_active!$H:$KU,Projections_Data!K$4+2,FALSE))</f>
        <v>300</v>
      </c>
      <c r="L5" s="21">
        <f>IF(VLOOKUP($B$2,Days_Since_100_active!$H:$KU,Projections_Data!L$4+2,FALSE)=0,#N/A,VLOOKUP($B$2,Days_Since_100_active!$H:$KU,Projections_Data!L$4+2,FALSE))</f>
        <v>359</v>
      </c>
      <c r="M5" s="21">
        <f>IF(VLOOKUP($B$2,Days_Since_100_active!$H:$KU,Projections_Data!M$4+2,FALSE)=0,#N/A,VLOOKUP($B$2,Days_Since_100_active!$H:$KU,Projections_Data!M$4+2,FALSE))</f>
        <v>432</v>
      </c>
      <c r="N5" s="21">
        <f>IF(VLOOKUP($B$2,Days_Since_100_active!$H:$KU,Projections_Data!N$4+2,FALSE)=0,#N/A,VLOOKUP($B$2,Days_Since_100_active!$H:$KU,Projections_Data!N$4+2,FALSE))</f>
        <v>563</v>
      </c>
      <c r="O5" s="21">
        <f>IF(VLOOKUP($B$2,Days_Since_100_active!$H:$KU,Projections_Data!O$4+2,FALSE)=0,#N/A,VLOOKUP($B$2,Days_Since_100_active!$H:$KU,Projections_Data!O$4+2,FALSE))</f>
        <v>775</v>
      </c>
      <c r="P5" s="21">
        <f>IF(VLOOKUP($B$2,Days_Since_100_active!$H:$KU,Projections_Data!P$4+2,FALSE)=0,#N/A,VLOOKUP($B$2,Days_Since_100_active!$H:$KU,Projections_Data!P$4+2,FALSE))</f>
        <v>1104</v>
      </c>
      <c r="Q5" s="21">
        <f>IF(VLOOKUP($B$2,Days_Since_100_active!$H:$KU,Projections_Data!Q$4+2,FALSE)=0,#N/A,VLOOKUP($B$2,Days_Since_100_active!$H:$KU,Projections_Data!Q$4+2,FALSE))</f>
        <v>1315</v>
      </c>
      <c r="R5" s="21">
        <f>IF(VLOOKUP($B$2,Days_Since_100_active!$H:$KU,Projections_Data!R$4+2,FALSE)=0,#N/A,VLOOKUP($B$2,Days_Since_100_active!$H:$KU,Projections_Data!R$4+2,FALSE))</f>
        <v>1474</v>
      </c>
      <c r="S5" s="21">
        <f>IF(VLOOKUP($B$2,Days_Since_100_active!$H:$KU,Projections_Data!S$4+2,FALSE)=0,#N/A,VLOOKUP($B$2,Days_Since_100_active!$H:$KU,Projections_Data!S$4+2,FALSE))</f>
        <v>1851</v>
      </c>
      <c r="T5" s="21">
        <f>IF(VLOOKUP($B$2,Days_Since_100_active!$H:$KU,Projections_Data!T$4+2,FALSE)=0,#N/A,VLOOKUP($B$2,Days_Since_100_active!$H:$KU,Projections_Data!T$4+2,FALSE))</f>
        <v>2503</v>
      </c>
      <c r="U5" s="21">
        <f>IF(VLOOKUP($B$2,Days_Since_100_active!$H:$KU,Projections_Data!U$4+2,FALSE)=0,#N/A,VLOOKUP($B$2,Days_Since_100_active!$H:$KU,Projections_Data!U$4+2,FALSE))</f>
        <v>2511</v>
      </c>
      <c r="V5" s="21">
        <f>IF(VLOOKUP($B$2,Days_Since_100_active!$H:$KU,Projections_Data!V$4+2,FALSE)=0,#N/A,VLOOKUP($B$2,Days_Since_100_active!$H:$KU,Projections_Data!V$4+2,FALSE))</f>
        <v>3769</v>
      </c>
      <c r="W5" s="21" t="e">
        <f>IF(VLOOKUP($B$2,Days_Since_100_active!$H:$KU,Projections_Data!W$4+2,FALSE)=0,#N/A,VLOOKUP($B$2,Days_Since_100_active!$H:$KU,Projections_Data!W$4+2,FALSE))</f>
        <v>#N/A</v>
      </c>
      <c r="X5" s="21" t="e">
        <f>IF(VLOOKUP($B$2,Days_Since_100_active!$H:$KU,Projections_Data!X$4+2,FALSE)=0,#N/A,VLOOKUP($B$2,Days_Since_100_active!$H:$KU,Projections_Data!X$4+2,FALSE))</f>
        <v>#N/A</v>
      </c>
      <c r="Y5" s="21" t="e">
        <f>IF(VLOOKUP($B$2,Days_Since_100_active!$H:$KU,Projections_Data!Y$4+2,FALSE)=0,#N/A,VLOOKUP($B$2,Days_Since_100_active!$H:$KU,Projections_Data!Y$4+2,FALSE))</f>
        <v>#N/A</v>
      </c>
      <c r="Z5" s="21" t="e">
        <f>IF(VLOOKUP($B$2,Days_Since_100_active!$H:$KU,Projections_Data!Z$4+2,FALSE)=0,#N/A,VLOOKUP($B$2,Days_Since_100_active!$H:$KU,Projections_Data!Z$4+2,FALSE))</f>
        <v>#N/A</v>
      </c>
      <c r="AA5" s="21" t="e">
        <f>IF(VLOOKUP($B$2,Days_Since_100_active!$H:$KU,Projections_Data!AA$4+2,FALSE)=0,#N/A,VLOOKUP($B$2,Days_Since_100_active!$H:$KU,Projections_Data!AA$4+2,FALSE))</f>
        <v>#N/A</v>
      </c>
      <c r="AB5" s="21" t="e">
        <f>IF(VLOOKUP($B$2,Days_Since_100_active!$H:$KU,Projections_Data!AB$4+2,FALSE)=0,#N/A,VLOOKUP($B$2,Days_Since_100_active!$H:$KU,Projections_Data!AB$4+2,FALSE))</f>
        <v>#N/A</v>
      </c>
      <c r="AC5" s="21" t="e">
        <f>IF(VLOOKUP($B$2,Days_Since_100_active!$H:$KU,Projections_Data!AC$4+2,FALSE)=0,#N/A,VLOOKUP($B$2,Days_Since_100_active!$H:$KU,Projections_Data!AC$4+2,FALSE))</f>
        <v>#N/A</v>
      </c>
      <c r="AD5" s="21" t="e">
        <f>IF(VLOOKUP($B$2,Days_Since_100_active!$H:$KU,Projections_Data!AD$4+2,FALSE)=0,#N/A,VLOOKUP($B$2,Days_Since_100_active!$H:$KU,Projections_Data!AD$4+2,FALSE))</f>
        <v>#N/A</v>
      </c>
      <c r="AE5" s="21" t="e">
        <f>IF(VLOOKUP($B$2,Days_Since_100_active!$H:$KU,Projections_Data!AE$4+2,FALSE)=0,#N/A,VLOOKUP($B$2,Days_Since_100_active!$H:$KU,Projections_Data!AE$4+2,FALSE))</f>
        <v>#N/A</v>
      </c>
      <c r="AF5" s="21" t="e">
        <f>IF(VLOOKUP($B$2,Days_Since_100_active!$H:$KU,Projections_Data!AF$4+2,FALSE)=0,#N/A,VLOOKUP($B$2,Days_Since_100_active!$H:$KU,Projections_Data!AF$4+2,FALSE))</f>
        <v>#N/A</v>
      </c>
      <c r="AG5" s="21" t="e">
        <f>IF(VLOOKUP($B$2,Days_Since_100_active!$H:$KU,Projections_Data!AG$4+2,FALSE)=0,#N/A,VLOOKUP($B$2,Days_Since_100_active!$H:$KU,Projections_Data!AG$4+2,FALSE))</f>
        <v>#N/A</v>
      </c>
      <c r="AH5" s="21" t="e">
        <f>IF(VLOOKUP($B$2,Days_Since_100_active!$H:$KU,Projections_Data!AH$4+2,FALSE)=0,#N/A,VLOOKUP($B$2,Days_Since_100_active!$H:$KU,Projections_Data!AH$4+2,FALSE))</f>
        <v>#N/A</v>
      </c>
      <c r="AI5" s="21" t="e">
        <f>IF(VLOOKUP($B$2,Days_Since_100_active!$H:$KU,Projections_Data!AI$4+2,FALSE)=0,#N/A,VLOOKUP($B$2,Days_Since_100_active!$H:$KU,Projections_Data!AI$4+2,FALSE))</f>
        <v>#N/A</v>
      </c>
      <c r="AJ5" s="21" t="e">
        <f>IF(VLOOKUP($B$2,Days_Since_100_active!$H:$KU,Projections_Data!AJ$4+2,FALSE)=0,#N/A,VLOOKUP($B$2,Days_Since_100_active!$H:$KU,Projections_Data!AJ$4+2,FALSE))</f>
        <v>#N/A</v>
      </c>
      <c r="AK5" s="21" t="e">
        <f>IF(VLOOKUP($B$2,Days_Since_100_active!$H:$KU,Projections_Data!AK$4+2,FALSE)=0,#N/A,VLOOKUP($B$2,Days_Since_100_active!$H:$KU,Projections_Data!AK$4+2,FALSE))</f>
        <v>#N/A</v>
      </c>
      <c r="AL5" s="21" t="e">
        <f>IF(VLOOKUP($B$2,Days_Since_100_active!$H:$KU,Projections_Data!AL$4+2,FALSE)=0,#N/A,VLOOKUP($B$2,Days_Since_100_active!$H:$KU,Projections_Data!AL$4+2,FALSE))</f>
        <v>#N/A</v>
      </c>
      <c r="AM5" s="21" t="e">
        <f>IF(VLOOKUP($B$2,Days_Since_100_active!$H:$KU,Projections_Data!AM$4+2,FALSE)=0,#N/A,VLOOKUP($B$2,Days_Since_100_active!$H:$KU,Projections_Data!AM$4+2,FALSE))</f>
        <v>#N/A</v>
      </c>
      <c r="AN5" s="21" t="e">
        <f>IF(VLOOKUP($B$2,Days_Since_100_active!$H:$KU,Projections_Data!AN$4+2,FALSE)=0,#N/A,VLOOKUP($B$2,Days_Since_100_active!$H:$KU,Projections_Data!AN$4+2,FALSE))</f>
        <v>#N/A</v>
      </c>
      <c r="AO5" s="21" t="e">
        <f>IF(VLOOKUP($B$2,Days_Since_100_active!$H:$KU,Projections_Data!AO$4+2,FALSE)=0,#N/A,VLOOKUP($B$2,Days_Since_100_active!$H:$KU,Projections_Data!AO$4+2,FALSE))</f>
        <v>#N/A</v>
      </c>
      <c r="AP5" s="21" t="e">
        <f>IF(VLOOKUP($B$2,Days_Since_100_active!$H:$KU,Projections_Data!AP$4+2,FALSE)=0,#N/A,VLOOKUP($B$2,Days_Since_100_active!$H:$KU,Projections_Data!AP$4+2,FALSE))</f>
        <v>#N/A</v>
      </c>
      <c r="AQ5" s="21" t="e">
        <f>IF(VLOOKUP($B$2,Days_Since_100_active!$H:$KU,Projections_Data!AQ$4+2,FALSE)=0,#N/A,VLOOKUP($B$2,Days_Since_100_active!$H:$KU,Projections_Data!AQ$4+2,FALSE))</f>
        <v>#N/A</v>
      </c>
      <c r="AR5" s="21" t="e">
        <f>IF(VLOOKUP($B$2,Days_Since_100_active!$H:$KU,Projections_Data!AR$4+2,FALSE)=0,#N/A,VLOOKUP($B$2,Days_Since_100_active!$H:$KU,Projections_Data!AR$4+2,FALSE))</f>
        <v>#N/A</v>
      </c>
      <c r="AS5" s="21" t="e">
        <f>IF(VLOOKUP($B$2,Days_Since_100_active!$H:$KU,Projections_Data!AS$4+2,FALSE)=0,#N/A,VLOOKUP($B$2,Days_Since_100_active!$H:$KU,Projections_Data!AS$4+2,FALSE))</f>
        <v>#N/A</v>
      </c>
      <c r="AT5" s="21" t="e">
        <f>IF(VLOOKUP($B$2,Days_Since_100_active!$H:$KU,Projections_Data!AT$4+2,FALSE)=0,#N/A,VLOOKUP($B$2,Days_Since_100_active!$H:$KU,Projections_Data!AT$4+2,FALSE))</f>
        <v>#N/A</v>
      </c>
      <c r="AU5" s="21" t="e">
        <f>IF(VLOOKUP($B$2,Days_Since_100_active!$H:$KU,Projections_Data!AU$4+2,FALSE)=0,#N/A,VLOOKUP($B$2,Days_Since_100_active!$H:$KU,Projections_Data!AU$4+2,FALSE))</f>
        <v>#N/A</v>
      </c>
      <c r="AV5" s="21" t="e">
        <f>IF(VLOOKUP($B$2,Days_Since_100_active!$H:$KU,Projections_Data!AV$4+2,FALSE)=0,#N/A,VLOOKUP($B$2,Days_Since_100_active!$H:$KU,Projections_Data!AV$4+2,FALSE))</f>
        <v>#N/A</v>
      </c>
      <c r="AW5" s="21" t="e">
        <f>IF(VLOOKUP($B$2,Days_Since_100_active!$H:$KU,Projections_Data!AW$4+2,FALSE)=0,#N/A,VLOOKUP($B$2,Days_Since_100_active!$H:$KU,Projections_Data!AW$4+2,FALSE))</f>
        <v>#N/A</v>
      </c>
      <c r="AX5" s="21" t="e">
        <f>IF(VLOOKUP($B$2,Days_Since_100_active!$H:$KU,Projections_Data!AX$4+2,FALSE)=0,#N/A,VLOOKUP($B$2,Days_Since_100_active!$H:$KU,Projections_Data!AX$4+2,FALSE))</f>
        <v>#N/A</v>
      </c>
      <c r="AY5" s="21" t="e">
        <f>IF(VLOOKUP($B$2,Days_Since_100_active!$H:$KU,Projections_Data!AY$4+2,FALSE)=0,#N/A,VLOOKUP($B$2,Days_Since_100_active!$H:$KU,Projections_Data!AY$4+2,FALSE))</f>
        <v>#N/A</v>
      </c>
      <c r="AZ5" s="21" t="e">
        <f>IF(VLOOKUP($B$2,Days_Since_100_active!$H:$KU,Projections_Data!AZ$4+2,FALSE)=0,#N/A,VLOOKUP($B$2,Days_Since_100_active!$H:$KU,Projections_Data!AZ$4+2,FALSE))</f>
        <v>#N/A</v>
      </c>
      <c r="BA5" s="21" t="e">
        <f>IF(VLOOKUP($B$2,Days_Since_100_active!$H:$KU,Projections_Data!BA$4+2,FALSE)=0,#N/A,VLOOKUP($B$2,Days_Since_100_active!$H:$KU,Projections_Data!BA$4+2,FALSE))</f>
        <v>#N/A</v>
      </c>
      <c r="BB5" s="21" t="e">
        <f>IF(VLOOKUP($B$2,Days_Since_100_active!$H:$KU,Projections_Data!BB$4+2,FALSE)=0,#N/A,VLOOKUP($B$2,Days_Since_100_active!$H:$KU,Projections_Data!BB$4+2,FALSE))</f>
        <v>#N/A</v>
      </c>
      <c r="BC5" s="21" t="e">
        <f>IF(VLOOKUP($B$2,Days_Since_100_active!$H:$KU,Projections_Data!BC$4+2,FALSE)=0,#N/A,VLOOKUP($B$2,Days_Since_100_active!$H:$KU,Projections_Data!BC$4+2,FALSE))</f>
        <v>#N/A</v>
      </c>
      <c r="BD5" s="21" t="e">
        <f>IF(VLOOKUP($B$2,Days_Since_100_active!$H:$KU,Projections_Data!BD$4+2,FALSE)=0,#N/A,VLOOKUP($B$2,Days_Since_100_active!$H:$KU,Projections_Data!BD$4+2,FALSE))</f>
        <v>#N/A</v>
      </c>
      <c r="BE5" s="21" t="e">
        <f>IF(VLOOKUP($B$2,Days_Since_100_active!$H:$KU,Projections_Data!BE$4+2,FALSE)=0,#N/A,VLOOKUP($B$2,Days_Since_100_active!$H:$KU,Projections_Data!BE$4+2,FALSE))</f>
        <v>#N/A</v>
      </c>
      <c r="BF5" s="21" t="e">
        <f>IF(VLOOKUP($B$2,Days_Since_100_active!$H:$KU,Projections_Data!BF$4+2,FALSE)=0,#N/A,VLOOKUP($B$2,Days_Since_100_active!$H:$KU,Projections_Data!BF$4+2,FALSE))</f>
        <v>#N/A</v>
      </c>
      <c r="BG5" s="21" t="e">
        <f>IF(VLOOKUP($B$2,Days_Since_100_active!$H:$KU,Projections_Data!BG$4+2,FALSE)=0,#N/A,VLOOKUP($B$2,Days_Since_100_active!$H:$KU,Projections_Data!BG$4+2,FALSE))</f>
        <v>#N/A</v>
      </c>
      <c r="BH5" s="21" t="e">
        <f>IF(VLOOKUP($B$2,Days_Since_100_active!$H:$KU,Projections_Data!BH$4+2,FALSE)=0,#N/A,VLOOKUP($B$2,Days_Since_100_active!$H:$KU,Projections_Data!BH$4+2,FALSE))</f>
        <v>#N/A</v>
      </c>
      <c r="BI5" s="21" t="e">
        <f>IF(VLOOKUP($B$2,Days_Since_100_active!$H:$KU,Projections_Data!BI$4+2,FALSE)=0,#N/A,VLOOKUP($B$2,Days_Since_100_active!$H:$KU,Projections_Data!BI$4+2,FALSE))</f>
        <v>#N/A</v>
      </c>
      <c r="BJ5" s="21" t="e">
        <f>IF(VLOOKUP($B$2,Days_Since_100_active!$H:$KU,Projections_Data!BJ$4+2,FALSE)=0,#N/A,VLOOKUP($B$2,Days_Since_100_active!$H:$KU,Projections_Data!BJ$4+2,FALSE))</f>
        <v>#N/A</v>
      </c>
      <c r="BK5" s="21" t="e">
        <f>IF(VLOOKUP($B$2,Days_Since_100_active!$H:$KU,Projections_Data!BK$4+2,FALSE)=0,#N/A,VLOOKUP($B$2,Days_Since_100_active!$H:$KU,Projections_Data!BK$4+2,FALSE))</f>
        <v>#N/A</v>
      </c>
      <c r="BL5" s="21" t="e">
        <f>IF(VLOOKUP($B$2,Days_Since_100_active!$H:$KU,Projections_Data!BL$4+2,FALSE)=0,#N/A,VLOOKUP($B$2,Days_Since_100_active!$H:$KU,Projections_Data!BL$4+2,FALSE))</f>
        <v>#N/A</v>
      </c>
      <c r="BM5" s="21" t="e">
        <f>IF(VLOOKUP($B$2,Days_Since_100_active!$H:$KU,Projections_Data!BM$4+2,FALSE)=0,#N/A,VLOOKUP($B$2,Days_Since_100_active!$H:$KU,Projections_Data!BM$4+2,FALSE))</f>
        <v>#N/A</v>
      </c>
      <c r="BN5" s="21" t="e">
        <f>IF(VLOOKUP($B$2,Days_Since_100_active!$H:$KU,Projections_Data!BN$4+2,FALSE)=0,#N/A,VLOOKUP($B$2,Days_Since_100_active!$H:$KU,Projections_Data!BN$4+2,FALSE))</f>
        <v>#N/A</v>
      </c>
      <c r="BO5" s="21" t="e">
        <f>IF(VLOOKUP($B$2,Days_Since_100_active!$H:$KU,Projections_Data!BO$4+2,FALSE)=0,#N/A,VLOOKUP($B$2,Days_Since_100_active!$H:$KU,Projections_Data!BO$4+2,FALSE))</f>
        <v>#N/A</v>
      </c>
      <c r="BP5" s="21" t="e">
        <f>IF(VLOOKUP($B$2,Days_Since_100_active!$H:$KU,Projections_Data!BP$4+2,FALSE)=0,#N/A,VLOOKUP($B$2,Days_Since_100_active!$H:$KU,Projections_Data!BP$4+2,FALSE))</f>
        <v>#N/A</v>
      </c>
      <c r="BQ5" s="21" t="e">
        <f>IF(VLOOKUP($B$2,Days_Since_100_active!$H:$KU,Projections_Data!BQ$4+2,FALSE)=0,#N/A,VLOOKUP($B$2,Days_Since_100_active!$H:$KU,Projections_Data!BQ$4+2,FALSE))</f>
        <v>#N/A</v>
      </c>
      <c r="BR5" s="21" t="e">
        <f>IF(VLOOKUP($B$2,Days_Since_100_active!$H:$KU,Projections_Data!BR$4+2,FALSE)=0,#N/A,VLOOKUP($B$2,Days_Since_100_active!$H:$KU,Projections_Data!BR$4+2,FALSE))</f>
        <v>#N/A</v>
      </c>
      <c r="BS5" s="21" t="e">
        <f>IF(VLOOKUP($B$2,Days_Since_100_active!$H:$KU,Projections_Data!BS$4+2,FALSE)=0,#N/A,VLOOKUP($B$2,Days_Since_100_active!$H:$KU,Projections_Data!BS$4+2,FALSE))</f>
        <v>#N/A</v>
      </c>
      <c r="BT5" s="21" t="e">
        <f>IF(VLOOKUP($B$2,Days_Since_100_active!$H:$KU,Projections_Data!BT$4+2,FALSE)=0,#N/A,VLOOKUP($B$2,Days_Since_100_active!$H:$KU,Projections_Data!BT$4+2,FALSE))</f>
        <v>#N/A</v>
      </c>
      <c r="BU5" s="21" t="e">
        <f>IF(VLOOKUP($B$2,Days_Since_100_active!$H:$KU,Projections_Data!BU$4+2,FALSE)=0,#N/A,VLOOKUP($B$2,Days_Since_100_active!$H:$KU,Projections_Data!BU$4+2,FALSE))</f>
        <v>#N/A</v>
      </c>
      <c r="BV5" s="21" t="e">
        <f>IF(VLOOKUP($B$2,Days_Since_100_active!$H:$KU,Projections_Data!BV$4+2,FALSE)=0,#N/A,VLOOKUP($B$2,Days_Since_100_active!$H:$KU,Projections_Data!BV$4+2,FALSE))</f>
        <v>#N/A</v>
      </c>
      <c r="BW5" s="21" t="e">
        <f>IF(VLOOKUP($B$2,Days_Since_100_active!$H:$KU,Projections_Data!BW$4+2,FALSE)=0,#N/A,VLOOKUP($B$2,Days_Since_100_active!$H:$KU,Projections_Data!BW$4+2,FALSE))</f>
        <v>#N/A</v>
      </c>
      <c r="BX5" s="21" t="e">
        <f>IF(VLOOKUP($B$2,Days_Since_100_active!$H:$KU,Projections_Data!BX$4+2,FALSE)=0,#N/A,VLOOKUP($B$2,Days_Since_100_active!$H:$KU,Projections_Data!BX$4+2,FALSE))</f>
        <v>#N/A</v>
      </c>
      <c r="BY5" s="21" t="e">
        <f>IF(VLOOKUP($B$2,Days_Since_100_active!$H:$KU,Projections_Data!BY$4+2,FALSE)=0,#N/A,VLOOKUP($B$2,Days_Since_100_active!$H:$KU,Projections_Data!BY$4+2,FALSE))</f>
        <v>#N/A</v>
      </c>
      <c r="BZ5" s="21" t="e">
        <f>IF(VLOOKUP($B$2,Days_Since_100_active!$H:$KU,Projections_Data!BZ$4+2,FALSE)=0,#N/A,VLOOKUP($B$2,Days_Since_100_active!$H:$KU,Projections_Data!BZ$4+2,FALSE))</f>
        <v>#N/A</v>
      </c>
      <c r="CA5" s="21" t="e">
        <f>IF(VLOOKUP($B$2,Days_Since_100_active!$H:$KU,Projections_Data!CA$4+2,FALSE)=0,#N/A,VLOOKUP($B$2,Days_Since_100_active!$H:$KU,Projections_Data!CA$4+2,FALSE))</f>
        <v>#N/A</v>
      </c>
      <c r="CB5" s="21" t="e">
        <f>IF(VLOOKUP($B$2,Days_Since_100_active!$H:$KU,Projections_Data!CB$4+2,FALSE)=0,#N/A,VLOOKUP($B$2,Days_Since_100_active!$H:$KU,Projections_Data!CB$4+2,FALSE))</f>
        <v>#N/A</v>
      </c>
      <c r="CC5" s="21" t="e">
        <f>IF(VLOOKUP($B$2,Days_Since_100_active!$H:$KU,Projections_Data!CC$4+2,FALSE)=0,#N/A,VLOOKUP($B$2,Days_Since_100_active!$H:$KU,Projections_Data!CC$4+2,FALSE))</f>
        <v>#N/A</v>
      </c>
      <c r="CD5" s="21" t="e">
        <f>IF(VLOOKUP($B$2,Days_Since_100_active!$H:$KU,Projections_Data!CD$4+2,FALSE)=0,#N/A,VLOOKUP($B$2,Days_Since_100_active!$H:$KU,Projections_Data!CD$4+2,FALSE))</f>
        <v>#N/A</v>
      </c>
      <c r="CE5" s="21" t="e">
        <f>IF(VLOOKUP($B$2,Days_Since_100_active!$H:$KU,Projections_Data!CE$4+2,FALSE)=0,#N/A,VLOOKUP($B$2,Days_Since_100_active!$H:$KU,Projections_Data!CE$4+2,FALSE))</f>
        <v>#N/A</v>
      </c>
      <c r="CF5" s="21" t="e">
        <f>IF(VLOOKUP($B$2,Days_Since_100_active!$H:$KU,Projections_Data!CF$4+2,FALSE)=0,#N/A,VLOOKUP($B$2,Days_Since_100_active!$H:$KU,Projections_Data!CF$4+2,FALSE))</f>
        <v>#N/A</v>
      </c>
      <c r="CG5" s="21" t="e">
        <f>IF(VLOOKUP($B$2,Days_Since_100_active!$H:$KU,Projections_Data!CG$4+2,FALSE)=0,#N/A,VLOOKUP($B$2,Days_Since_100_active!$H:$KU,Projections_Data!CG$4+2,FALSE))</f>
        <v>#N/A</v>
      </c>
      <c r="CH5" s="21" t="e">
        <f>IF(VLOOKUP($B$2,Days_Since_100_active!$H:$KU,Projections_Data!CH$4+2,FALSE)=0,#N/A,VLOOKUP($B$2,Days_Since_100_active!$H:$KU,Projections_Data!CH$4+2,FALSE))</f>
        <v>#N/A</v>
      </c>
      <c r="CI5" s="21" t="e">
        <f>IF(VLOOKUP($B$2,Days_Since_100_active!$H:$KU,Projections_Data!CI$4+2,FALSE)=0,#N/A,VLOOKUP($B$2,Days_Since_100_active!$H:$KU,Projections_Data!CI$4+2,FALSE))</f>
        <v>#N/A</v>
      </c>
      <c r="CJ5" s="21" t="e">
        <f>IF(VLOOKUP($B$2,Days_Since_100_active!$H:$KU,Projections_Data!CJ$4+2,FALSE)=0,#N/A,VLOOKUP($B$2,Days_Since_100_active!$H:$KU,Projections_Data!CJ$4+2,FALSE))</f>
        <v>#N/A</v>
      </c>
      <c r="CK5" s="21" t="e">
        <f>IF(VLOOKUP($B$2,Days_Since_100_active!$H:$KU,Projections_Data!CK$4+2,FALSE)=0,#N/A,VLOOKUP($B$2,Days_Since_100_active!$H:$KU,Projections_Data!CK$4+2,FALSE))</f>
        <v>#N/A</v>
      </c>
      <c r="CL5" s="21" t="e">
        <f>IF(VLOOKUP($B$2,Days_Since_100_active!$H:$KU,Projections_Data!CL$4+2,FALSE)=0,#N/A,VLOOKUP($B$2,Days_Since_100_active!$H:$KU,Projections_Data!CL$4+2,FALSE))</f>
        <v>#N/A</v>
      </c>
      <c r="CM5" s="21" t="e">
        <f>IF(VLOOKUP($B$2,Days_Since_100_active!$H:$KU,Projections_Data!CM$4+2,FALSE)=0,#N/A,VLOOKUP($B$2,Days_Since_100_active!$H:$KU,Projections_Data!CM$4+2,FALSE))</f>
        <v>#N/A</v>
      </c>
      <c r="CN5" s="21" t="e">
        <f>IF(VLOOKUP($B$2,Days_Since_100_active!$H:$KU,Projections_Data!CN$4+2,FALSE)=0,#N/A,VLOOKUP($B$2,Days_Since_100_active!$H:$KU,Projections_Data!CN$4+2,FALSE))</f>
        <v>#N/A</v>
      </c>
      <c r="CO5" s="21" t="e">
        <f>IF(VLOOKUP($B$2,Days_Since_100_active!$H:$KU,Projections_Data!CO$4+2,FALSE)=0,#N/A,VLOOKUP($B$2,Days_Since_100_active!$H:$KU,Projections_Data!CO$4+2,FALSE))</f>
        <v>#N/A</v>
      </c>
      <c r="CP5" s="21" t="e">
        <f>IF(VLOOKUP($B$2,Days_Since_100_active!$H:$KU,Projections_Data!CP$4+2,FALSE)=0,#N/A,VLOOKUP($B$2,Days_Since_100_active!$H:$KU,Projections_Data!CP$4+2,FALSE))</f>
        <v>#N/A</v>
      </c>
      <c r="CQ5" s="21" t="e">
        <f>IF(VLOOKUP($B$2,Days_Since_100_active!$H:$KU,Projections_Data!CQ$4+2,FALSE)=0,#N/A,VLOOKUP($B$2,Days_Since_100_active!$H:$KU,Projections_Data!CQ$4+2,FALSE))</f>
        <v>#N/A</v>
      </c>
      <c r="CR5" s="21" t="e">
        <f>IF(VLOOKUP($B$2,Days_Since_100_active!$H:$KU,Projections_Data!CR$4+2,FALSE)=0,#N/A,VLOOKUP($B$2,Days_Since_100_active!$H:$KU,Projections_Data!CR$4+2,FALSE))</f>
        <v>#N/A</v>
      </c>
      <c r="CS5" s="21" t="e">
        <f>IF(VLOOKUP($B$2,Days_Since_100_active!$H:$KU,Projections_Data!CS$4+2,FALSE)=0,#N/A,VLOOKUP($B$2,Days_Since_100_active!$H:$KU,Projections_Data!CS$4+2,FALSE))</f>
        <v>#N/A</v>
      </c>
      <c r="CT5" s="21" t="e">
        <f>IF(VLOOKUP($B$2,Days_Since_100_active!$H:$KU,Projections_Data!CT$4+2,FALSE)=0,#N/A,VLOOKUP($B$2,Days_Since_100_active!$H:$KU,Projections_Data!CT$4+2,FALSE))</f>
        <v>#N/A</v>
      </c>
      <c r="CU5" s="21" t="e">
        <f>IF(VLOOKUP($B$2,Days_Since_100_active!$H:$KU,Projections_Data!CU$4+2,FALSE)=0,#N/A,VLOOKUP($B$2,Days_Since_100_active!$H:$KU,Projections_Data!CU$4+2,FALSE))</f>
        <v>#N/A</v>
      </c>
      <c r="CV5" s="21" t="e">
        <f>IF(VLOOKUP($B$2,Days_Since_100_active!$H:$KU,Projections_Data!CV$4+2,FALSE)=0,#N/A,VLOOKUP($B$2,Days_Since_100_active!$H:$KU,Projections_Data!CV$4+2,FALSE))</f>
        <v>#N/A</v>
      </c>
      <c r="CW5" s="21" t="e">
        <f>IF(VLOOKUP($B$2,Days_Since_100_active!$H:$KU,Projections_Data!CW$4+2,FALSE)=0,#N/A,VLOOKUP($B$2,Days_Since_100_active!$H:$KU,Projections_Data!CW$4+2,FALSE))</f>
        <v>#N/A</v>
      </c>
      <c r="CX5" s="21" t="e">
        <f>IF(VLOOKUP($B$2,Days_Since_100_active!$H:$KU,Projections_Data!CX$4+2,FALSE)=0,#N/A,VLOOKUP($B$2,Days_Since_100_active!$H:$KU,Projections_Data!CX$4+2,FALSE))</f>
        <v>#N/A</v>
      </c>
      <c r="CY5" s="21" t="e">
        <f>IF(VLOOKUP($B$2,Days_Since_100_active!$H:$KU,Projections_Data!CY$4+2,FALSE)=0,#N/A,VLOOKUP($B$2,Days_Since_100_active!$H:$KU,Projections_Data!CY$4+2,FALSE))</f>
        <v>#N/A</v>
      </c>
      <c r="CZ5" s="21" t="e">
        <f>IF(VLOOKUP($B$2,Days_Since_100_active!$H:$KU,Projections_Data!CZ$4+2,FALSE)=0,#N/A,VLOOKUP($B$2,Days_Since_100_active!$H:$KU,Projections_Data!CZ$4+2,FALSE))</f>
        <v>#N/A</v>
      </c>
      <c r="DA5" s="21" t="e">
        <f>IF(VLOOKUP($B$2,Days_Since_100_active!$H:$KU,Projections_Data!DA$4+2,FALSE)=0,#N/A,VLOOKUP($B$2,Days_Since_100_active!$H:$KU,Projections_Data!DA$4+2,FALSE))</f>
        <v>#N/A</v>
      </c>
      <c r="DB5" s="21" t="e">
        <f>IF(VLOOKUP($B$2,Days_Since_100_active!$H:$KU,Projections_Data!DB$4+2,FALSE)=0,#N/A,VLOOKUP($B$2,Days_Since_100_active!$H:$KU,Projections_Data!DB$4+2,FALSE))</f>
        <v>#N/A</v>
      </c>
      <c r="DC5" s="21" t="e">
        <f>IF(VLOOKUP($B$2,Days_Since_100_active!$H:$KU,Projections_Data!DC$4+2,FALSE)=0,#N/A,VLOOKUP($B$2,Days_Since_100_active!$H:$KU,Projections_Data!DC$4+2,FALSE))</f>
        <v>#N/A</v>
      </c>
      <c r="DD5" s="21" t="e">
        <f>IF(VLOOKUP($B$2,Days_Since_100_active!$H:$KU,Projections_Data!DD$4+2,FALSE)=0,#N/A,VLOOKUP($B$2,Days_Since_100_active!$H:$KU,Projections_Data!DD$4+2,FALSE))</f>
        <v>#N/A</v>
      </c>
      <c r="DE5" s="21" t="e">
        <f>IF(VLOOKUP($B$2,Days_Since_100_active!$H:$KU,Projections_Data!DE$4+2,FALSE)=0,#N/A,VLOOKUP($B$2,Days_Since_100_active!$H:$KU,Projections_Data!DE$4+2,FALSE))</f>
        <v>#N/A</v>
      </c>
      <c r="DF5" s="21" t="e">
        <f>IF(VLOOKUP($B$2,Days_Since_100_active!$H:$KU,Projections_Data!DF$4+2,FALSE)=0,#N/A,VLOOKUP($B$2,Days_Since_100_active!$H:$KU,Projections_Data!DF$4+2,FALSE))</f>
        <v>#N/A</v>
      </c>
      <c r="DG5" s="21" t="e">
        <f>IF(VLOOKUP($B$2,Days_Since_100_active!$H:$KU,Projections_Data!DG$4+2,FALSE)=0,#N/A,VLOOKUP($B$2,Days_Since_100_active!$H:$KU,Projections_Data!DG$4+2,FALSE))</f>
        <v>#N/A</v>
      </c>
      <c r="DH5" s="21" t="e">
        <f>IF(VLOOKUP($B$2,Days_Since_100_active!$H:$KU,Projections_Data!DH$4+2,FALSE)=0,#N/A,VLOOKUP($B$2,Days_Since_100_active!$H:$KU,Projections_Data!DH$4+2,FALSE))</f>
        <v>#N/A</v>
      </c>
      <c r="DI5" s="21" t="e">
        <f>IF(VLOOKUP($B$2,Days_Since_100_active!$H:$KU,Projections_Data!DI$4+2,FALSE)=0,#N/A,VLOOKUP($B$2,Days_Since_100_active!$H:$KU,Projections_Data!DI$4+2,FALSE))</f>
        <v>#N/A</v>
      </c>
      <c r="DJ5" s="21" t="e">
        <f>IF(VLOOKUP($B$2,Days_Since_100_active!$H:$KU,Projections_Data!DJ$4+2,FALSE)=0,#N/A,VLOOKUP($B$2,Days_Since_100_active!$H:$KU,Projections_Data!DJ$4+2,FALSE))</f>
        <v>#N/A</v>
      </c>
      <c r="DK5" s="21" t="e">
        <f>IF(VLOOKUP($B$2,Days_Since_100_active!$H:$KU,Projections_Data!DK$4+2,FALSE)=0,#N/A,VLOOKUP($B$2,Days_Since_100_active!$H:$KU,Projections_Data!DK$4+2,FALSE))</f>
        <v>#N/A</v>
      </c>
      <c r="DL5" s="21" t="e">
        <f>IF(VLOOKUP($B$2,Days_Since_100_active!$H:$KU,Projections_Data!DL$4+2,FALSE)=0,#N/A,VLOOKUP($B$2,Days_Since_100_active!$H:$KU,Projections_Data!DL$4+2,FALSE))</f>
        <v>#N/A</v>
      </c>
      <c r="DM5" s="21" t="e">
        <f>IF(VLOOKUP($B$2,Days_Since_100_active!$H:$KU,Projections_Data!DM$4+2,FALSE)=0,#N/A,VLOOKUP($B$2,Days_Since_100_active!$H:$KU,Projections_Data!DM$4+2,FALSE))</f>
        <v>#N/A</v>
      </c>
      <c r="DN5" s="21" t="e">
        <f>IF(VLOOKUP($B$2,Days_Since_100_active!$H:$KU,Projections_Data!DN$4+2,FALSE)=0,#N/A,VLOOKUP($B$2,Days_Since_100_active!$H:$KU,Projections_Data!DN$4+2,FALSE))</f>
        <v>#N/A</v>
      </c>
      <c r="DO5" s="21" t="e">
        <f>IF(VLOOKUP($B$2,Days_Since_100_active!$H:$KU,Projections_Data!DO$4+2,FALSE)=0,#N/A,VLOOKUP($B$2,Days_Since_100_active!$H:$KU,Projections_Data!DO$4+2,FALSE))</f>
        <v>#N/A</v>
      </c>
      <c r="DP5" s="21" t="e">
        <f>IF(VLOOKUP($B$2,Days_Since_100_active!$H:$KU,Projections_Data!DP$4+2,FALSE)=0,#N/A,VLOOKUP($B$2,Days_Since_100_active!$H:$KU,Projections_Data!DP$4+2,FALSE))</f>
        <v>#N/A</v>
      </c>
      <c r="DQ5" s="21" t="e">
        <f>IF(VLOOKUP($B$2,Days_Since_100_active!$H:$KU,Projections_Data!DQ$4+2,FALSE)=0,#N/A,VLOOKUP($B$2,Days_Since_100_active!$H:$KU,Projections_Data!DQ$4+2,FALSE))</f>
        <v>#N/A</v>
      </c>
      <c r="DR5" s="21" t="e">
        <f>IF(VLOOKUP($B$2,Days_Since_100_active!$H:$KU,Projections_Data!DR$4+2,FALSE)=0,#N/A,VLOOKUP($B$2,Days_Since_100_active!$H:$KU,Projections_Data!DR$4+2,FALSE))</f>
        <v>#N/A</v>
      </c>
      <c r="DS5" s="21" t="e">
        <f>IF(VLOOKUP($B$2,Days_Since_100_active!$H:$KU,Projections_Data!DS$4+2,FALSE)=0,#N/A,VLOOKUP($B$2,Days_Since_100_active!$H:$KU,Projections_Data!DS$4+2,FALSE))</f>
        <v>#N/A</v>
      </c>
      <c r="DT5" s="21" t="e">
        <f>IF(VLOOKUP($B$2,Days_Since_100_active!$H:$KU,Projections_Data!DT$4+2,FALSE)=0,#N/A,VLOOKUP($B$2,Days_Since_100_active!$H:$KU,Projections_Data!DT$4+2,FALSE))</f>
        <v>#N/A</v>
      </c>
      <c r="DU5" s="21" t="e">
        <f>IF(VLOOKUP($B$2,Days_Since_100_active!$H:$KU,Projections_Data!DU$4+2,FALSE)=0,#N/A,VLOOKUP($B$2,Days_Since_100_active!$H:$KU,Projections_Data!DU$4+2,FALSE))</f>
        <v>#N/A</v>
      </c>
      <c r="DV5" s="21" t="e">
        <f>IF(VLOOKUP($B$2,Days_Since_100_active!$H:$KU,Projections_Data!DV$4+2,FALSE)=0,#N/A,VLOOKUP($B$2,Days_Since_100_active!$H:$KU,Projections_Data!DV$4+2,FALSE))</f>
        <v>#N/A</v>
      </c>
      <c r="DW5" s="21" t="e">
        <f>IF(VLOOKUP($B$2,Days_Since_100_active!$H:$KU,Projections_Data!DW$4+2,FALSE)=0,#N/A,VLOOKUP($B$2,Days_Since_100_active!$H:$KU,Projections_Data!DW$4+2,FALSE))</f>
        <v>#N/A</v>
      </c>
      <c r="DX5" s="21" t="e">
        <f>IF(VLOOKUP($B$2,Days_Since_100_active!$H:$KU,Projections_Data!DX$4+2,FALSE)=0,#N/A,VLOOKUP($B$2,Days_Since_100_active!$H:$KU,Projections_Data!DX$4+2,FALSE))</f>
        <v>#N/A</v>
      </c>
      <c r="DY5" s="21" t="e">
        <f>IF(VLOOKUP($B$2,Days_Since_100_active!$H:$KU,Projections_Data!DY$4+2,FALSE)=0,#N/A,VLOOKUP($B$2,Days_Since_100_active!$H:$KU,Projections_Data!DY$4+2,FALSE))</f>
        <v>#N/A</v>
      </c>
      <c r="DZ5" s="21" t="e">
        <f>IF(VLOOKUP($B$2,Days_Since_100_active!$H:$KU,Projections_Data!DZ$4+2,FALSE)=0,#N/A,VLOOKUP($B$2,Days_Since_100_active!$H:$KU,Projections_Data!DZ$4+2,FALSE))</f>
        <v>#N/A</v>
      </c>
      <c r="EA5" s="21" t="e">
        <f>IF(VLOOKUP($B$2,Days_Since_100_active!$H:$KU,Projections_Data!EA$4+2,FALSE)=0,#N/A,VLOOKUP($B$2,Days_Since_100_active!$H:$KU,Projections_Data!EA$4+2,FALSE))</f>
        <v>#N/A</v>
      </c>
      <c r="EB5" s="21" t="e">
        <f>IF(VLOOKUP($B$2,Days_Since_100_active!$H:$KU,Projections_Data!EB$4+2,FALSE)=0,#N/A,VLOOKUP($B$2,Days_Since_100_active!$H:$KU,Projections_Data!EB$4+2,FALSE))</f>
        <v>#N/A</v>
      </c>
      <c r="EC5" s="21" t="e">
        <f>IF(VLOOKUP($B$2,Days_Since_100_active!$H:$KU,Projections_Data!EC$4+2,FALSE)=0,#N/A,VLOOKUP($B$2,Days_Since_100_active!$H:$KU,Projections_Data!EC$4+2,FALSE))</f>
        <v>#N/A</v>
      </c>
      <c r="ED5" s="21" t="e">
        <f>IF(VLOOKUP($B$2,Days_Since_100_active!$H:$KU,Projections_Data!ED$4+2,FALSE)=0,#N/A,VLOOKUP($B$2,Days_Since_100_active!$H:$KU,Projections_Data!ED$4+2,FALSE))</f>
        <v>#N/A</v>
      </c>
      <c r="EE5" s="21" t="e">
        <f>IF(VLOOKUP($B$2,Days_Since_100_active!$H:$KU,Projections_Data!EE$4+2,FALSE)=0,#N/A,VLOOKUP($B$2,Days_Since_100_active!$H:$KU,Projections_Data!EE$4+2,FALSE))</f>
        <v>#N/A</v>
      </c>
      <c r="EF5" s="21" t="e">
        <f>IF(VLOOKUP($B$2,Days_Since_100_active!$H:$KU,Projections_Data!EF$4+2,FALSE)=0,#N/A,VLOOKUP($B$2,Days_Since_100_active!$H:$KU,Projections_Data!EF$4+2,FALSE))</f>
        <v>#N/A</v>
      </c>
      <c r="EG5" s="21" t="e">
        <f>IF(VLOOKUP($B$2,Days_Since_100_active!$H:$KU,Projections_Data!EG$4+2,FALSE)=0,#N/A,VLOOKUP($B$2,Days_Since_100_active!$H:$KU,Projections_Data!EG$4+2,FALSE))</f>
        <v>#N/A</v>
      </c>
      <c r="EH5" s="21" t="e">
        <f>IF(VLOOKUP($B$2,Days_Since_100_active!$H:$KU,Projections_Data!EH$4+2,FALSE)=0,#N/A,VLOOKUP($B$2,Days_Since_100_active!$H:$KU,Projections_Data!EH$4+2,FALSE))</f>
        <v>#N/A</v>
      </c>
      <c r="EI5" s="21" t="e">
        <f>IF(VLOOKUP($B$2,Days_Since_100_active!$H:$KU,Projections_Data!EI$4+2,FALSE)=0,#N/A,VLOOKUP($B$2,Days_Since_100_active!$H:$KU,Projections_Data!EI$4+2,FALSE))</f>
        <v>#N/A</v>
      </c>
      <c r="EJ5" s="21" t="e">
        <f>IF(VLOOKUP($B$2,Days_Since_100_active!$H:$KU,Projections_Data!EJ$4+2,FALSE)=0,#N/A,VLOOKUP($B$2,Days_Since_100_active!$H:$KU,Projections_Data!EJ$4+2,FALSE))</f>
        <v>#N/A</v>
      </c>
      <c r="EK5" s="21" t="e">
        <f>IF(VLOOKUP($B$2,Days_Since_100_active!$H:$KU,Projections_Data!EK$4+2,FALSE)=0,#N/A,VLOOKUP($B$2,Days_Since_100_active!$H:$KU,Projections_Data!EK$4+2,FALSE))</f>
        <v>#N/A</v>
      </c>
      <c r="EL5" s="21" t="e">
        <f>IF(VLOOKUP($B$2,Days_Since_100_active!$H:$KU,Projections_Data!EL$4+2,FALSE)=0,#N/A,VLOOKUP($B$2,Days_Since_100_active!$H:$KU,Projections_Data!EL$4+2,FALSE))</f>
        <v>#N/A</v>
      </c>
      <c r="EM5" s="21" t="e">
        <f>IF(VLOOKUP($B$2,Days_Since_100_active!$H:$KU,Projections_Data!EM$4+2,FALSE)=0,#N/A,VLOOKUP($B$2,Days_Since_100_active!$H:$KU,Projections_Data!EM$4+2,FALSE))</f>
        <v>#N/A</v>
      </c>
      <c r="EN5" s="21" t="e">
        <f>IF(VLOOKUP($B$2,Days_Since_100_active!$H:$KU,Projections_Data!EN$4+2,FALSE)=0,#N/A,VLOOKUP($B$2,Days_Since_100_active!$H:$KU,Projections_Data!EN$4+2,FALSE))</f>
        <v>#N/A</v>
      </c>
      <c r="EO5" s="21" t="e">
        <f>IF(VLOOKUP($B$2,Days_Since_100_active!$H:$KU,Projections_Data!EO$4+2,FALSE)=0,#N/A,VLOOKUP($B$2,Days_Since_100_active!$H:$KU,Projections_Data!EO$4+2,FALSE))</f>
        <v>#N/A</v>
      </c>
      <c r="EP5" s="21" t="e">
        <f>IF(VLOOKUP($B$2,Days_Since_100_active!$H:$KU,Projections_Data!EP$4+2,FALSE)=0,#N/A,VLOOKUP($B$2,Days_Since_100_active!$H:$KU,Projections_Data!EP$4+2,FALSE))</f>
        <v>#N/A</v>
      </c>
      <c r="EQ5" s="21" t="e">
        <f>IF(VLOOKUP($B$2,Days_Since_100_active!$H:$KU,Projections_Data!EQ$4+2,FALSE)=0,#N/A,VLOOKUP($B$2,Days_Since_100_active!$H:$KU,Projections_Data!EQ$4+2,FALSE))</f>
        <v>#N/A</v>
      </c>
      <c r="ER5" s="21" t="e">
        <f>IF(VLOOKUP($B$2,Days_Since_100_active!$H:$KU,Projections_Data!ER$4+2,FALSE)=0,#N/A,VLOOKUP($B$2,Days_Since_100_active!$H:$KU,Projections_Data!ER$4+2,FALSE))</f>
        <v>#N/A</v>
      </c>
      <c r="ES5" s="21" t="e">
        <f>IF(VLOOKUP($B$2,Days_Since_100_active!$H:$KU,Projections_Data!ES$4+2,FALSE)=0,#N/A,VLOOKUP($B$2,Days_Since_100_active!$H:$KU,Projections_Data!ES$4+2,FALSE))</f>
        <v>#N/A</v>
      </c>
      <c r="ET5" s="21" t="e">
        <f>IF(VLOOKUP($B$2,Days_Since_100_active!$H:$KU,Projections_Data!ET$4+2,FALSE)=0,#N/A,VLOOKUP($B$2,Days_Since_100_active!$H:$KU,Projections_Data!ET$4+2,FALSE))</f>
        <v>#N/A</v>
      </c>
      <c r="EU5" s="21" t="e">
        <f>IF(VLOOKUP($B$2,Days_Since_100_active!$H:$KU,Projections_Data!EU$4+2,FALSE)=0,#N/A,VLOOKUP($B$2,Days_Since_100_active!$H:$KU,Projections_Data!EU$4+2,FALSE))</f>
        <v>#N/A</v>
      </c>
      <c r="EV5" s="21" t="e">
        <f>IF(VLOOKUP($B$2,Days_Since_100_active!$H:$KU,Projections_Data!EV$4+2,FALSE)=0,#N/A,VLOOKUP($B$2,Days_Since_100_active!$H:$KU,Projections_Data!EV$4+2,FALSE))</f>
        <v>#N/A</v>
      </c>
      <c r="EW5" s="21" t="e">
        <f>IF(VLOOKUP($B$2,Days_Since_100_active!$H:$KU,Projections_Data!EW$4+2,FALSE)=0,#N/A,VLOOKUP($B$2,Days_Since_100_active!$H:$KU,Projections_Data!EW$4+2,FALSE))</f>
        <v>#N/A</v>
      </c>
      <c r="EX5" s="21" t="e">
        <f>IF(VLOOKUP($B$2,Days_Since_100_active!$H:$KU,Projections_Data!EX$4+2,FALSE)=0,#N/A,VLOOKUP($B$2,Days_Since_100_active!$H:$KU,Projections_Data!EX$4+2,FALSE))</f>
        <v>#N/A</v>
      </c>
      <c r="EY5" s="21" t="e">
        <f>IF(VLOOKUP($B$2,Days_Since_100_active!$H:$KU,Projections_Data!EY$4+2,FALSE)=0,#N/A,VLOOKUP($B$2,Days_Since_100_active!$H:$KU,Projections_Data!EY$4+2,FALSE))</f>
        <v>#N/A</v>
      </c>
      <c r="EZ5" s="21" t="e">
        <f>IF(VLOOKUP($B$2,Days_Since_100_active!$H:$KU,Projections_Data!EZ$4+2,FALSE)=0,#N/A,VLOOKUP($B$2,Days_Since_100_active!$H:$KU,Projections_Data!EZ$4+2,FALSE))</f>
        <v>#N/A</v>
      </c>
      <c r="FA5" s="21" t="e">
        <f>IF(VLOOKUP($B$2,Days_Since_100_active!$H:$KU,Projections_Data!FA$4+2,FALSE)=0,#N/A,VLOOKUP($B$2,Days_Since_100_active!$H:$KU,Projections_Data!FA$4+2,FALSE))</f>
        <v>#N/A</v>
      </c>
      <c r="FB5" s="21" t="e">
        <f>IF(VLOOKUP($B$2,Days_Since_100_active!$H:$KU,Projections_Data!FB$4+2,FALSE)=0,#N/A,VLOOKUP($B$2,Days_Since_100_active!$H:$KU,Projections_Data!FB$4+2,FALSE))</f>
        <v>#N/A</v>
      </c>
      <c r="FC5" s="21" t="e">
        <f>IF(VLOOKUP($B$2,Days_Since_100_active!$H:$KU,Projections_Data!FC$4+2,FALSE)=0,#N/A,VLOOKUP($B$2,Days_Since_100_active!$H:$KU,Projections_Data!FC$4+2,FALSE))</f>
        <v>#N/A</v>
      </c>
      <c r="FD5" s="21" t="e">
        <f>IF(VLOOKUP($B$2,Days_Since_100_active!$H:$KU,Projections_Data!FD$4+2,FALSE)=0,#N/A,VLOOKUP($B$2,Days_Since_100_active!$H:$KU,Projections_Data!FD$4+2,FALSE))</f>
        <v>#N/A</v>
      </c>
      <c r="FE5" s="21" t="e">
        <f>IF(VLOOKUP($B$2,Days_Since_100_active!$H:$KU,Projections_Data!FE$4+2,FALSE)=0,#N/A,VLOOKUP($B$2,Days_Since_100_active!$H:$KU,Projections_Data!FE$4+2,FALSE))</f>
        <v>#N/A</v>
      </c>
      <c r="FF5" s="21" t="e">
        <f>IF(VLOOKUP($B$2,Days_Since_100_active!$H:$KU,Projections_Data!FF$4+2,FALSE)=0,#N/A,VLOOKUP($B$2,Days_Since_100_active!$H:$KU,Projections_Data!FF$4+2,FALSE))</f>
        <v>#N/A</v>
      </c>
      <c r="FG5" s="21" t="e">
        <f>IF(VLOOKUP($B$2,Days_Since_100_active!$H:$KU,Projections_Data!FG$4+2,FALSE)=0,#N/A,VLOOKUP($B$2,Days_Since_100_active!$H:$KU,Projections_Data!FG$4+2,FALSE))</f>
        <v>#N/A</v>
      </c>
      <c r="FH5" s="21" t="e">
        <f>IF(VLOOKUP($B$2,Days_Since_100_active!$H:$KU,Projections_Data!FH$4+2,FALSE)=0,#N/A,VLOOKUP($B$2,Days_Since_100_active!$H:$KU,Projections_Data!FH$4+2,FALSE))</f>
        <v>#N/A</v>
      </c>
      <c r="FI5" s="21" t="e">
        <f>IF(VLOOKUP($B$2,Days_Since_100_active!$H:$KU,Projections_Data!FI$4+2,FALSE)=0,#N/A,VLOOKUP($B$2,Days_Since_100_active!$H:$KU,Projections_Data!FI$4+2,FALSE))</f>
        <v>#N/A</v>
      </c>
      <c r="FJ5" s="21" t="e">
        <f>IF(VLOOKUP($B$2,Days_Since_100_active!$H:$KU,Projections_Data!FJ$4+2,FALSE)=0,#N/A,VLOOKUP($B$2,Days_Since_100_active!$H:$KU,Projections_Data!FJ$4+2,FALSE))</f>
        <v>#N/A</v>
      </c>
      <c r="FK5" s="21" t="e">
        <f>IF(VLOOKUP($B$2,Days_Since_100_active!$H:$KU,Projections_Data!FK$4+2,FALSE)=0,#N/A,VLOOKUP($B$2,Days_Since_100_active!$H:$KU,Projections_Data!FK$4+2,FALSE))</f>
        <v>#N/A</v>
      </c>
      <c r="FL5" s="21" t="e">
        <f>IF(VLOOKUP($B$2,Days_Since_100_active!$H:$KU,Projections_Data!FL$4+2,FALSE)=0,#N/A,VLOOKUP($B$2,Days_Since_100_active!$H:$KU,Projections_Data!FL$4+2,FALSE))</f>
        <v>#N/A</v>
      </c>
      <c r="FM5" s="21" t="e">
        <f>IF(VLOOKUP($B$2,Days_Since_100_active!$H:$KU,Projections_Data!FM$4+2,FALSE)=0,#N/A,VLOOKUP($B$2,Days_Since_100_active!$H:$KU,Projections_Data!FM$4+2,FALSE))</f>
        <v>#N/A</v>
      </c>
      <c r="FN5" s="21" t="e">
        <f>IF(VLOOKUP($B$2,Days_Since_100_active!$H:$KU,Projections_Data!FN$4+2,FALSE)=0,#N/A,VLOOKUP($B$2,Days_Since_100_active!$H:$KU,Projections_Data!FN$4+2,FALSE))</f>
        <v>#N/A</v>
      </c>
      <c r="FO5" s="21" t="e">
        <f>IF(VLOOKUP($B$2,Days_Since_100_active!$H:$KU,Projections_Data!FO$4+2,FALSE)=0,#N/A,VLOOKUP($B$2,Days_Since_100_active!$H:$KU,Projections_Data!FO$4+2,FALSE))</f>
        <v>#N/A</v>
      </c>
      <c r="FP5" s="21" t="e">
        <f>IF(VLOOKUP($B$2,Days_Since_100_active!$H:$KU,Projections_Data!FP$4+2,FALSE)=0,#N/A,VLOOKUP($B$2,Days_Since_100_active!$H:$KU,Projections_Data!FP$4+2,FALSE))</f>
        <v>#N/A</v>
      </c>
      <c r="FQ5" s="21" t="e">
        <f>IF(VLOOKUP($B$2,Days_Since_100_active!$H:$KU,Projections_Data!FQ$4+2,FALSE)=0,#N/A,VLOOKUP($B$2,Days_Since_100_active!$H:$KU,Projections_Data!FQ$4+2,FALSE))</f>
        <v>#N/A</v>
      </c>
      <c r="FR5" s="21" t="e">
        <f>IF(VLOOKUP($B$2,Days_Since_100_active!$H:$KU,Projections_Data!FR$4+2,FALSE)=0,#N/A,VLOOKUP($B$2,Days_Since_100_active!$H:$KU,Projections_Data!FR$4+2,FALSE))</f>
        <v>#N/A</v>
      </c>
      <c r="FS5" s="21" t="e">
        <f>IF(VLOOKUP($B$2,Days_Since_100_active!$H:$KU,Projections_Data!FS$4+2,FALSE)=0,#N/A,VLOOKUP($B$2,Days_Since_100_active!$H:$KU,Projections_Data!FS$4+2,FALSE))</f>
        <v>#N/A</v>
      </c>
      <c r="FT5" s="21" t="e">
        <f>IF(VLOOKUP($B$2,Days_Since_100_active!$H:$KU,Projections_Data!FT$4+2,FALSE)=0,#N/A,VLOOKUP($B$2,Days_Since_100_active!$H:$KU,Projections_Data!FT$4+2,FALSE))</f>
        <v>#N/A</v>
      </c>
      <c r="FU5" s="21" t="e">
        <f>IF(VLOOKUP($B$2,Days_Since_100_active!$H:$KU,Projections_Data!FU$4+2,FALSE)=0,#N/A,VLOOKUP($B$2,Days_Since_100_active!$H:$KU,Projections_Data!FU$4+2,FALSE))</f>
        <v>#N/A</v>
      </c>
      <c r="FV5" s="21" t="e">
        <f>IF(VLOOKUP($B$2,Days_Since_100_active!$H:$KU,Projections_Data!FV$4+2,FALSE)=0,#N/A,VLOOKUP($B$2,Days_Since_100_active!$H:$KU,Projections_Data!FV$4+2,FALSE))</f>
        <v>#N/A</v>
      </c>
      <c r="FW5" s="21" t="e">
        <f>IF(VLOOKUP($B$2,Days_Since_100_active!$H:$KU,Projections_Data!FW$4+2,FALSE)=0,#N/A,VLOOKUP($B$2,Days_Since_100_active!$H:$KU,Projections_Data!FW$4+2,FALSE))</f>
        <v>#N/A</v>
      </c>
      <c r="FX5" s="21" t="e">
        <f>IF(VLOOKUP($B$2,Days_Since_100_active!$H:$KU,Projections_Data!FX$4+2,FALSE)=0,#N/A,VLOOKUP($B$2,Days_Since_100_active!$H:$KU,Projections_Data!FX$4+2,FALSE))</f>
        <v>#N/A</v>
      </c>
      <c r="FY5" s="21" t="e">
        <f>IF(VLOOKUP($B$2,Days_Since_100_active!$H:$KU,Projections_Data!FY$4+2,FALSE)=0,#N/A,VLOOKUP($B$2,Days_Since_100_active!$H:$KU,Projections_Data!FY$4+2,FALSE))</f>
        <v>#N/A</v>
      </c>
      <c r="FZ5" s="21" t="e">
        <f>IF(VLOOKUP($B$2,Days_Since_100_active!$H:$KU,Projections_Data!FZ$4+2,FALSE)=0,#N/A,VLOOKUP($B$2,Days_Since_100_active!$H:$KU,Projections_Data!FZ$4+2,FALSE))</f>
        <v>#N/A</v>
      </c>
      <c r="GA5" s="21" t="e">
        <f>IF(VLOOKUP($B$2,Days_Since_100_active!$H:$KU,Projections_Data!GA$4+2,FALSE)=0,#N/A,VLOOKUP($B$2,Days_Since_100_active!$H:$KU,Projections_Data!GA$4+2,FALSE))</f>
        <v>#N/A</v>
      </c>
      <c r="GB5" s="21" t="e">
        <f>IF(VLOOKUP($B$2,Days_Since_100_active!$H:$KU,Projections_Data!GB$4+2,FALSE)=0,#N/A,VLOOKUP($B$2,Days_Since_100_active!$H:$KU,Projections_Data!GB$4+2,FALSE))</f>
        <v>#N/A</v>
      </c>
      <c r="GC5" s="21" t="e">
        <f>IF(VLOOKUP($B$2,Days_Since_100_active!$H:$KU,Projections_Data!GC$4+2,FALSE)=0,#N/A,VLOOKUP($B$2,Days_Since_100_active!$H:$KU,Projections_Data!GC$4+2,FALSE))</f>
        <v>#N/A</v>
      </c>
      <c r="GD5" s="21" t="e">
        <f>IF(VLOOKUP($B$2,Days_Since_100_active!$H:$KU,Projections_Data!GD$4+2,FALSE)=0,#N/A,VLOOKUP($B$2,Days_Since_100_active!$H:$KU,Projections_Data!GD$4+2,FALSE))</f>
        <v>#N/A</v>
      </c>
      <c r="GE5" s="21" t="e">
        <f>IF(VLOOKUP($B$2,Days_Since_100_active!$H:$KU,Projections_Data!GE$4+2,FALSE)=0,#N/A,VLOOKUP($B$2,Days_Since_100_active!$H:$KU,Projections_Data!GE$4+2,FALSE))</f>
        <v>#N/A</v>
      </c>
      <c r="GF5" s="21" t="e">
        <f>IF(VLOOKUP($B$2,Days_Since_100_active!$H:$KU,Projections_Data!GF$4+2,FALSE)=0,#N/A,VLOOKUP($B$2,Days_Since_100_active!$H:$KU,Projections_Data!GF$4+2,FALSE))</f>
        <v>#N/A</v>
      </c>
      <c r="GG5" s="21" t="e">
        <f>IF(VLOOKUP($B$2,Days_Since_100_active!$H:$KU,Projections_Data!GG$4+2,FALSE)=0,#N/A,VLOOKUP($B$2,Days_Since_100_active!$H:$KU,Projections_Data!GG$4+2,FALSE))</f>
        <v>#N/A</v>
      </c>
      <c r="GH5" s="21" t="e">
        <f>IF(VLOOKUP($B$2,Days_Since_100_active!$H:$KU,Projections_Data!GH$4+2,FALSE)=0,#N/A,VLOOKUP($B$2,Days_Since_100_active!$H:$KU,Projections_Data!GH$4+2,FALSE))</f>
        <v>#N/A</v>
      </c>
      <c r="GI5" s="21" t="e">
        <f>IF(VLOOKUP($B$2,Days_Since_100_active!$H:$KU,Projections_Data!GI$4+2,FALSE)=0,#N/A,VLOOKUP($B$2,Days_Since_100_active!$H:$KU,Projections_Data!GI$4+2,FALSE))</f>
        <v>#N/A</v>
      </c>
      <c r="GJ5" s="21" t="e">
        <f>IF(VLOOKUP($B$2,Days_Since_100_active!$H:$KU,Projections_Data!GJ$4+2,FALSE)=0,#N/A,VLOOKUP($B$2,Days_Since_100_active!$H:$KU,Projections_Data!GJ$4+2,FALSE))</f>
        <v>#N/A</v>
      </c>
      <c r="GK5" s="21" t="e">
        <f>IF(VLOOKUP($B$2,Days_Since_100_active!$H:$KU,Projections_Data!GK$4+2,FALSE)=0,#N/A,VLOOKUP($B$2,Days_Since_100_active!$H:$KU,Projections_Data!GK$4+2,FALSE))</f>
        <v>#N/A</v>
      </c>
      <c r="GL5" s="21" t="e">
        <f>IF(VLOOKUP($B$2,Days_Since_100_active!$H:$KU,Projections_Data!GL$4+2,FALSE)=0,#N/A,VLOOKUP($B$2,Days_Since_100_active!$H:$KU,Projections_Data!GL$4+2,FALSE))</f>
        <v>#N/A</v>
      </c>
      <c r="GM5" s="21" t="e">
        <f>IF(VLOOKUP($B$2,Days_Since_100_active!$H:$KU,Projections_Data!GM$4+2,FALSE)=0,#N/A,VLOOKUP($B$2,Days_Since_100_active!$H:$KU,Projections_Data!GM$4+2,FALSE))</f>
        <v>#N/A</v>
      </c>
      <c r="GN5" s="21" t="e">
        <f>IF(VLOOKUP($B$2,Days_Since_100_active!$H:$KU,Projections_Data!GN$4+2,FALSE)=0,#N/A,VLOOKUP($B$2,Days_Since_100_active!$H:$KU,Projections_Data!GN$4+2,FALSE))</f>
        <v>#N/A</v>
      </c>
      <c r="GO5" s="21" t="e">
        <f>IF(VLOOKUP($B$2,Days_Since_100_active!$H:$KU,Projections_Data!GO$4+2,FALSE)=0,#N/A,VLOOKUP($B$2,Days_Since_100_active!$H:$KU,Projections_Data!GO$4+2,FALSE))</f>
        <v>#N/A</v>
      </c>
      <c r="GP5" s="21" t="e">
        <f>IF(VLOOKUP($B$2,Days_Since_100_active!$H:$KU,Projections_Data!GP$4+2,FALSE)=0,#N/A,VLOOKUP($B$2,Days_Since_100_active!$H:$KU,Projections_Data!GP$4+2,FALSE))</f>
        <v>#N/A</v>
      </c>
      <c r="GQ5" s="21" t="e">
        <f>IF(VLOOKUP($B$2,Days_Since_100_active!$H:$KU,Projections_Data!GQ$4+2,FALSE)=0,#N/A,VLOOKUP($B$2,Days_Since_100_active!$H:$KU,Projections_Data!GQ$4+2,FALSE))</f>
        <v>#N/A</v>
      </c>
      <c r="GR5" s="21" t="e">
        <f>IF(VLOOKUP($B$2,Days_Since_100_active!$H:$KU,Projections_Data!GR$4+2,FALSE)=0,#N/A,VLOOKUP($B$2,Days_Since_100_active!$H:$KU,Projections_Data!GR$4+2,FALSE))</f>
        <v>#N/A</v>
      </c>
      <c r="GS5" s="21" t="e">
        <f>IF(VLOOKUP($B$2,Days_Since_100_active!$H:$KU,Projections_Data!GS$4+2,FALSE)=0,#N/A,VLOOKUP($B$2,Days_Since_100_active!$H:$KU,Projections_Data!GS$4+2,FALSE))</f>
        <v>#N/A</v>
      </c>
      <c r="GT5" s="21" t="e">
        <f>IF(VLOOKUP($B$2,Days_Since_100_active!$H:$KU,Projections_Data!GT$4+2,FALSE)=0,#N/A,VLOOKUP($B$2,Days_Since_100_active!$H:$KU,Projections_Data!GT$4+2,FALSE))</f>
        <v>#N/A</v>
      </c>
      <c r="GU5" s="21" t="e">
        <f>IF(VLOOKUP($B$2,Days_Since_100_active!$H:$KU,Projections_Data!GU$4+2,FALSE)=0,#N/A,VLOOKUP($B$2,Days_Since_100_active!$H:$KU,Projections_Data!GU$4+2,FALSE))</f>
        <v>#N/A</v>
      </c>
      <c r="GV5" s="21" t="e">
        <f>IF(VLOOKUP($B$2,Days_Since_100_active!$H:$KU,Projections_Data!GV$4+2,FALSE)=0,#N/A,VLOOKUP($B$2,Days_Since_100_active!$H:$KU,Projections_Data!GV$4+2,FALSE))</f>
        <v>#N/A</v>
      </c>
      <c r="GW5" s="21" t="e">
        <f>IF(VLOOKUP($B$2,Days_Since_100_active!$H:$KU,Projections_Data!GW$4+2,FALSE)=0,#N/A,VLOOKUP($B$2,Days_Since_100_active!$H:$KU,Projections_Data!GW$4+2,FALSE))</f>
        <v>#N/A</v>
      </c>
      <c r="GX5" s="21" t="e">
        <f>IF(VLOOKUP($B$2,Days_Since_100_active!$H:$KU,Projections_Data!GX$4+2,FALSE)=0,#N/A,VLOOKUP($B$2,Days_Since_100_active!$H:$KU,Projections_Data!GX$4+2,FALSE))</f>
        <v>#N/A</v>
      </c>
      <c r="GY5" s="21" t="e">
        <f>IF(VLOOKUP($B$2,Days_Since_100_active!$H:$KU,Projections_Data!GY$4+2,FALSE)=0,#N/A,VLOOKUP($B$2,Days_Since_100_active!$H:$KU,Projections_Data!GY$4+2,FALSE))</f>
        <v>#N/A</v>
      </c>
      <c r="GZ5" s="21" t="e">
        <f>IF(VLOOKUP($B$2,Days_Since_100_active!$H:$KU,Projections_Data!GZ$4+2,FALSE)=0,#N/A,VLOOKUP($B$2,Days_Since_100_active!$H:$KU,Projections_Data!GZ$4+2,FALSE))</f>
        <v>#N/A</v>
      </c>
      <c r="HA5" s="21" t="e">
        <f>IF(VLOOKUP($B$2,Days_Since_100_active!$H:$KU,Projections_Data!HA$4+2,FALSE)=0,#N/A,VLOOKUP($B$2,Days_Since_100_active!$H:$KU,Projections_Data!HA$4+2,FALSE))</f>
        <v>#N/A</v>
      </c>
      <c r="HB5" s="21" t="e">
        <f>IF(VLOOKUP($B$2,Days_Since_100_active!$H:$KU,Projections_Data!HB$4+2,FALSE)=0,#N/A,VLOOKUP($B$2,Days_Since_100_active!$H:$KU,Projections_Data!HB$4+2,FALSE))</f>
        <v>#N/A</v>
      </c>
      <c r="HC5" s="21" t="e">
        <f>IF(VLOOKUP($B$2,Days_Since_100_active!$H:$KU,Projections_Data!HC$4+2,FALSE)=0,#N/A,VLOOKUP($B$2,Days_Since_100_active!$H:$KU,Projections_Data!HC$4+2,FALSE))</f>
        <v>#N/A</v>
      </c>
      <c r="HD5" s="21" t="e">
        <f>IF(VLOOKUP($B$2,Days_Since_100_active!$H:$KU,Projections_Data!HD$4+2,FALSE)=0,#N/A,VLOOKUP($B$2,Days_Since_100_active!$H:$KU,Projections_Data!HD$4+2,FALSE))</f>
        <v>#N/A</v>
      </c>
      <c r="HE5" s="21" t="e">
        <f>IF(VLOOKUP($B$2,Days_Since_100_active!$H:$KU,Projections_Data!HE$4+2,FALSE)=0,#N/A,VLOOKUP($B$2,Days_Since_100_active!$H:$KU,Projections_Data!HE$4+2,FALSE))</f>
        <v>#N/A</v>
      </c>
      <c r="HF5" s="21" t="e">
        <f>IF(VLOOKUP($B$2,Days_Since_100_active!$H:$KU,Projections_Data!HF$4+2,FALSE)=0,#N/A,VLOOKUP($B$2,Days_Since_100_active!$H:$KU,Projections_Data!HF$4+2,FALSE))</f>
        <v>#N/A</v>
      </c>
      <c r="HG5" s="21" t="e">
        <f>IF(VLOOKUP($B$2,Days_Since_100_active!$H:$KU,Projections_Data!HG$4+2,FALSE)=0,#N/A,VLOOKUP($B$2,Days_Since_100_active!$H:$KU,Projections_Data!HG$4+2,FALSE))</f>
        <v>#N/A</v>
      </c>
      <c r="HH5" s="21" t="e">
        <f>IF(VLOOKUP($B$2,Days_Since_100_active!$H:$KU,Projections_Data!HH$4+2,FALSE)=0,#N/A,VLOOKUP($B$2,Days_Since_100_active!$H:$KU,Projections_Data!HH$4+2,FALSE))</f>
        <v>#N/A</v>
      </c>
      <c r="HI5" s="21" t="e">
        <f>IF(VLOOKUP($B$2,Days_Since_100_active!$H:$KU,Projections_Data!HI$4+2,FALSE)=0,#N/A,VLOOKUP($B$2,Days_Since_100_active!$H:$KU,Projections_Data!HI$4+2,FALSE))</f>
        <v>#N/A</v>
      </c>
      <c r="HJ5" s="21" t="e">
        <f>IF(VLOOKUP($B$2,Days_Since_100_active!$H:$KU,Projections_Data!HJ$4+2,FALSE)=0,#N/A,VLOOKUP($B$2,Days_Since_100_active!$H:$KU,Projections_Data!HJ$4+2,FALSE))</f>
        <v>#N/A</v>
      </c>
      <c r="HK5" s="21" t="e">
        <f>IF(VLOOKUP($B$2,Days_Since_100_active!$H:$KU,Projections_Data!HK$4+2,FALSE)=0,#N/A,VLOOKUP($B$2,Days_Since_100_active!$H:$KU,Projections_Data!HK$4+2,FALSE))</f>
        <v>#N/A</v>
      </c>
      <c r="HL5" s="21" t="e">
        <f>IF(VLOOKUP($B$2,Days_Since_100_active!$H:$KU,Projections_Data!HL$4+2,FALSE)=0,#N/A,VLOOKUP($B$2,Days_Since_100_active!$H:$KU,Projections_Data!HL$4+2,FALSE))</f>
        <v>#N/A</v>
      </c>
      <c r="HM5" s="21" t="e">
        <f>IF(VLOOKUP($B$2,Days_Since_100_active!$H:$KU,Projections_Data!HM$4+2,FALSE)=0,#N/A,VLOOKUP($B$2,Days_Since_100_active!$H:$KU,Projections_Data!HM$4+2,FALSE))</f>
        <v>#N/A</v>
      </c>
      <c r="HN5" s="21" t="e">
        <f>IF(VLOOKUP($B$2,Days_Since_100_active!$H:$KU,Projections_Data!HN$4+2,FALSE)=0,#N/A,VLOOKUP($B$2,Days_Since_100_active!$H:$KU,Projections_Data!HN$4+2,FALSE))</f>
        <v>#N/A</v>
      </c>
      <c r="HO5" s="21" t="e">
        <f>IF(VLOOKUP($B$2,Days_Since_100_active!$H:$KU,Projections_Data!HO$4+2,FALSE)=0,#N/A,VLOOKUP($B$2,Days_Since_100_active!$H:$KU,Projections_Data!HO$4+2,FALSE))</f>
        <v>#N/A</v>
      </c>
      <c r="HP5" s="21" t="e">
        <f>IF(VLOOKUP($B$2,Days_Since_100_active!$H:$KU,Projections_Data!HP$4+2,FALSE)=0,#N/A,VLOOKUP($B$2,Days_Since_100_active!$H:$KU,Projections_Data!HP$4+2,FALSE))</f>
        <v>#N/A</v>
      </c>
      <c r="HQ5" s="21" t="e">
        <f>IF(VLOOKUP($B$2,Days_Since_100_active!$H:$KU,Projections_Data!HQ$4+2,FALSE)=0,#N/A,VLOOKUP($B$2,Days_Since_100_active!$H:$KU,Projections_Data!HQ$4+2,FALSE))</f>
        <v>#N/A</v>
      </c>
      <c r="HR5" s="21" t="e">
        <f>IF(VLOOKUP($B$2,Days_Since_100_active!$H:$KU,Projections_Data!HR$4+2,FALSE)=0,#N/A,VLOOKUP($B$2,Days_Since_100_active!$H:$KU,Projections_Data!HR$4+2,FALSE))</f>
        <v>#N/A</v>
      </c>
      <c r="HS5" s="21" t="e">
        <f>IF(VLOOKUP($B$2,Days_Since_100_active!$H:$KU,Projections_Data!HS$4+2,FALSE)=0,#N/A,VLOOKUP($B$2,Days_Since_100_active!$H:$KU,Projections_Data!HS$4+2,FALSE))</f>
        <v>#N/A</v>
      </c>
      <c r="HT5" s="21" t="e">
        <f>IF(VLOOKUP($B$2,Days_Since_100_active!$H:$KU,Projections_Data!HT$4+2,FALSE)=0,#N/A,VLOOKUP($B$2,Days_Since_100_active!$H:$KU,Projections_Data!HT$4+2,FALSE))</f>
        <v>#N/A</v>
      </c>
      <c r="HU5" s="21" t="e">
        <f>IF(VLOOKUP($B$2,Days_Since_100_active!$H:$KU,Projections_Data!HU$4+2,FALSE)=0,#N/A,VLOOKUP($B$2,Days_Since_100_active!$H:$KU,Projections_Data!HU$4+2,FALSE))</f>
        <v>#N/A</v>
      </c>
      <c r="HV5" s="21" t="e">
        <f>IF(VLOOKUP($B$2,Days_Since_100_active!$H:$KU,Projections_Data!HV$4+2,FALSE)=0,#N/A,VLOOKUP($B$2,Days_Since_100_active!$H:$KU,Projections_Data!HV$4+2,FALSE))</f>
        <v>#N/A</v>
      </c>
      <c r="HW5" s="21" t="e">
        <f>IF(VLOOKUP($B$2,Days_Since_100_active!$H:$KU,Projections_Data!HW$4+2,FALSE)=0,#N/A,VLOOKUP($B$2,Days_Since_100_active!$H:$KU,Projections_Data!HW$4+2,FALSE))</f>
        <v>#N/A</v>
      </c>
      <c r="HX5" s="21" t="e">
        <f>IF(VLOOKUP($B$2,Days_Since_100_active!$H:$KU,Projections_Data!HX$4+2,FALSE)=0,#N/A,VLOOKUP($B$2,Days_Since_100_active!$H:$KU,Projections_Data!HX$4+2,FALSE))</f>
        <v>#N/A</v>
      </c>
      <c r="HY5" s="21" t="e">
        <f>IF(VLOOKUP($B$2,Days_Since_100_active!$H:$KU,Projections_Data!HY$4+2,FALSE)=0,#N/A,VLOOKUP($B$2,Days_Since_100_active!$H:$KU,Projections_Data!HY$4+2,FALSE))</f>
        <v>#N/A</v>
      </c>
      <c r="HZ5" s="21" t="e">
        <f>IF(VLOOKUP($B$2,Days_Since_100_active!$H:$KU,Projections_Data!HZ$4+2,FALSE)=0,#N/A,VLOOKUP($B$2,Days_Since_100_active!$H:$KU,Projections_Data!HZ$4+2,FALSE))</f>
        <v>#N/A</v>
      </c>
      <c r="IA5" s="21" t="e">
        <f>IF(VLOOKUP($B$2,Days_Since_100_active!$H:$KU,Projections_Data!IA$4+2,FALSE)=0,#N/A,VLOOKUP($B$2,Days_Since_100_active!$H:$KU,Projections_Data!IA$4+2,FALSE))</f>
        <v>#N/A</v>
      </c>
      <c r="IB5" s="21" t="e">
        <f>IF(VLOOKUP($B$2,Days_Since_100_active!$H:$KU,Projections_Data!IB$4+2,FALSE)=0,#N/A,VLOOKUP($B$2,Days_Since_100_active!$H:$KU,Projections_Data!IB$4+2,FALSE))</f>
        <v>#N/A</v>
      </c>
      <c r="IC5" s="21" t="e">
        <f>IF(VLOOKUP($B$2,Days_Since_100_active!$H:$KU,Projections_Data!IC$4+2,FALSE)=0,#N/A,VLOOKUP($B$2,Days_Since_100_active!$H:$KU,Projections_Data!IC$4+2,FALSE))</f>
        <v>#N/A</v>
      </c>
      <c r="ID5" s="21" t="e">
        <f>IF(VLOOKUP($B$2,Days_Since_100_active!$H:$KU,Projections_Data!ID$4+2,FALSE)=0,#N/A,VLOOKUP($B$2,Days_Since_100_active!$H:$KU,Projections_Data!ID$4+2,FALSE))</f>
        <v>#N/A</v>
      </c>
      <c r="IE5" s="21" t="e">
        <f>IF(VLOOKUP($B$2,Days_Since_100_active!$H:$KU,Projections_Data!IE$4+2,FALSE)=0,#N/A,VLOOKUP($B$2,Days_Since_100_active!$H:$KU,Projections_Data!IE$4+2,FALSE))</f>
        <v>#N/A</v>
      </c>
      <c r="IF5" s="21" t="e">
        <f>IF(VLOOKUP($B$2,Days_Since_100_active!$H:$KU,Projections_Data!IF$4+2,FALSE)=0,#N/A,VLOOKUP($B$2,Days_Since_100_active!$H:$KU,Projections_Data!IF$4+2,FALSE))</f>
        <v>#N/A</v>
      </c>
      <c r="IG5" s="21" t="e">
        <f>IF(VLOOKUP($B$2,Days_Since_100_active!$H:$KU,Projections_Data!IG$4+2,FALSE)=0,#N/A,VLOOKUP($B$2,Days_Since_100_active!$H:$KU,Projections_Data!IG$4+2,FALSE))</f>
        <v>#N/A</v>
      </c>
      <c r="IH5" s="21" t="e">
        <f>IF(VLOOKUP($B$2,Days_Since_100_active!$H:$KU,Projections_Data!IH$4+2,FALSE)=0,#N/A,VLOOKUP($B$2,Days_Since_100_active!$H:$KU,Projections_Data!IH$4+2,FALSE))</f>
        <v>#N/A</v>
      </c>
      <c r="II5" s="21" t="e">
        <f>IF(VLOOKUP($B$2,Days_Since_100_active!$H:$KU,Projections_Data!II$4+2,FALSE)=0,#N/A,VLOOKUP($B$2,Days_Since_100_active!$H:$KU,Projections_Data!II$4+2,FALSE))</f>
        <v>#N/A</v>
      </c>
      <c r="IJ5" s="21" t="e">
        <f>IF(VLOOKUP($B$2,Days_Since_100_active!$H:$KU,Projections_Data!IJ$4+2,FALSE)=0,#N/A,VLOOKUP($B$2,Days_Since_100_active!$H:$KU,Projections_Data!IJ$4+2,FALSE))</f>
        <v>#N/A</v>
      </c>
      <c r="IK5" s="21" t="e">
        <f>IF(VLOOKUP($B$2,Days_Since_100_active!$H:$KU,Projections_Data!IK$4+2,FALSE)=0,#N/A,VLOOKUP($B$2,Days_Since_100_active!$H:$KU,Projections_Data!IK$4+2,FALSE))</f>
        <v>#N/A</v>
      </c>
      <c r="IL5" s="21" t="e">
        <f>IF(VLOOKUP($B$2,Days_Since_100_active!$H:$KU,Projections_Data!IL$4+2,FALSE)=0,#N/A,VLOOKUP($B$2,Days_Since_100_active!$H:$KU,Projections_Data!IL$4+2,FALSE))</f>
        <v>#N/A</v>
      </c>
      <c r="IM5" s="21" t="e">
        <f>IF(VLOOKUP($B$2,Days_Since_100_active!$H:$KU,Projections_Data!IM$4+2,FALSE)=0,#N/A,VLOOKUP($B$2,Days_Since_100_active!$H:$KU,Projections_Data!IM$4+2,FALSE))</f>
        <v>#N/A</v>
      </c>
      <c r="IN5" s="21" t="e">
        <f>IF(VLOOKUP($B$2,Days_Since_100_active!$H:$KU,Projections_Data!IN$4+2,FALSE)=0,#N/A,VLOOKUP($B$2,Days_Since_100_active!$H:$KU,Projections_Data!IN$4+2,FALSE))</f>
        <v>#N/A</v>
      </c>
    </row>
    <row r="6" spans="2:248" x14ac:dyDescent="0.3">
      <c r="B6" s="19" t="s">
        <v>511</v>
      </c>
      <c r="C6" s="21">
        <f>C4-C7-C8</f>
        <v>3769</v>
      </c>
      <c r="D6" s="19">
        <f>HLOOKUP(C5-1,G4:IN7,4,FALSE)</f>
        <v>0</v>
      </c>
      <c r="F6" s="19" t="str">
        <f>"Current Avg ("&amp;TEXT(C11,"0%")&amp;")"</f>
        <v>Current Avg (23%)</v>
      </c>
      <c r="G6" s="21">
        <f>IF(IF(AND(ISNA(G$5),ISNA(F$5)),F6*(1+$C$11),IF(AND(F$5&gt;0,ISNA(G$5)),F6*(1+$C$11),G$5))&gt;$C$21,$C$21,IF(AND(ISNA(G$5),ISNA(F$5)),F6*(1+$C$11),IF(AND(F$5&gt;0,ISNA(G$5)),F6*(1+$C$11),G$5)))</f>
        <v>107</v>
      </c>
      <c r="H6" s="21">
        <f t="shared" ref="H6:BS6" si="11">IF(IF(AND(ISNA(H$5),ISNA(G$5)),G6*(1+$C$11),IF(AND(G$5&gt;0,ISNA(H$5)),G6*(1+$C$11),H$5))&gt;$C$21,$C$21,IF(AND(ISNA(H$5),ISNA(G$5)),G6*(1+$C$11),IF(AND(G$5&gt;0,ISNA(H$5)),G6*(1+$C$11),H$5)))</f>
        <v>154</v>
      </c>
      <c r="I6" s="21">
        <f t="shared" si="11"/>
        <v>187</v>
      </c>
      <c r="J6" s="21">
        <f t="shared" si="11"/>
        <v>253</v>
      </c>
      <c r="K6" s="21">
        <f t="shared" si="11"/>
        <v>300</v>
      </c>
      <c r="L6" s="21">
        <f t="shared" si="11"/>
        <v>359</v>
      </c>
      <c r="M6" s="21">
        <f t="shared" si="11"/>
        <v>432</v>
      </c>
      <c r="N6" s="21">
        <f t="shared" si="11"/>
        <v>563</v>
      </c>
      <c r="O6" s="21">
        <f t="shared" si="11"/>
        <v>775</v>
      </c>
      <c r="P6" s="21">
        <f t="shared" si="11"/>
        <v>1104</v>
      </c>
      <c r="Q6" s="21">
        <f t="shared" si="11"/>
        <v>1315</v>
      </c>
      <c r="R6" s="21">
        <f t="shared" si="11"/>
        <v>1474</v>
      </c>
      <c r="S6" s="21">
        <f t="shared" si="11"/>
        <v>1851</v>
      </c>
      <c r="T6" s="21">
        <f t="shared" si="11"/>
        <v>2503</v>
      </c>
      <c r="U6" s="21">
        <f t="shared" si="11"/>
        <v>2511</v>
      </c>
      <c r="V6" s="21">
        <f t="shared" si="11"/>
        <v>3769</v>
      </c>
      <c r="W6" s="21">
        <f t="shared" si="11"/>
        <v>4652.4982063768448</v>
      </c>
      <c r="X6" s="21">
        <f t="shared" si="11"/>
        <v>5743.0988485910739</v>
      </c>
      <c r="Y6" s="21">
        <f t="shared" si="11"/>
        <v>7089.349188674687</v>
      </c>
      <c r="Z6" s="21">
        <f t="shared" si="11"/>
        <v>8751.1765414402016</v>
      </c>
      <c r="AA6" s="21">
        <f t="shared" si="11"/>
        <v>10802.555893536126</v>
      </c>
      <c r="AB6" s="21">
        <f t="shared" si="11"/>
        <v>13334.802843980482</v>
      </c>
      <c r="AC6" s="21">
        <f t="shared" si="11"/>
        <v>16460.638448927577</v>
      </c>
      <c r="AD6" s="21">
        <f t="shared" si="11"/>
        <v>20319.206914155817</v>
      </c>
      <c r="AE6" s="21">
        <f t="shared" si="11"/>
        <v>25082.269494059412</v>
      </c>
      <c r="AF6" s="21">
        <f t="shared" si="11"/>
        <v>30961.850313868948</v>
      </c>
      <c r="AG6" s="21">
        <f t="shared" si="11"/>
        <v>38219.674463089315</v>
      </c>
      <c r="AH6" s="21">
        <f t="shared" si="11"/>
        <v>47178.81848973997</v>
      </c>
      <c r="AI6" s="21">
        <f t="shared" si="11"/>
        <v>58238.091908329508</v>
      </c>
      <c r="AJ6" s="21">
        <f t="shared" si="11"/>
        <v>71889.789903505676</v>
      </c>
      <c r="AK6" s="21">
        <f t="shared" si="11"/>
        <v>88741.607477545331</v>
      </c>
      <c r="AL6" s="21">
        <f t="shared" si="11"/>
        <v>109543.69053337163</v>
      </c>
      <c r="AM6" s="21">
        <f t="shared" si="11"/>
        <v>135222.02805158176</v>
      </c>
      <c r="AN6" s="21">
        <f t="shared" si="11"/>
        <v>166919.67178896882</v>
      </c>
      <c r="AO6" s="21">
        <f t="shared" si="11"/>
        <v>206047.61836221517</v>
      </c>
      <c r="AP6" s="21">
        <f t="shared" si="11"/>
        <v>254347.61869419654</v>
      </c>
      <c r="AQ6" s="21">
        <f t="shared" si="11"/>
        <v>313969.71073785383</v>
      </c>
      <c r="AR6" s="21">
        <f t="shared" si="11"/>
        <v>387567.92678814585</v>
      </c>
      <c r="AS6" s="21">
        <f t="shared" si="11"/>
        <v>478418.43572062638</v>
      </c>
      <c r="AT6" s="21">
        <f t="shared" si="11"/>
        <v>590565.37916896527</v>
      </c>
      <c r="AU6" s="21">
        <f t="shared" si="11"/>
        <v>729000.89342846174</v>
      </c>
      <c r="AV6" s="21">
        <f t="shared" si="11"/>
        <v>899887.33062431298</v>
      </c>
      <c r="AW6" s="21">
        <f t="shared" si="11"/>
        <v>1110831.571151728</v>
      </c>
      <c r="AX6" s="21">
        <f t="shared" si="11"/>
        <v>1371223.6381985107</v>
      </c>
      <c r="AY6" s="21">
        <f t="shared" si="11"/>
        <v>1692654.6875192632</v>
      </c>
      <c r="AZ6" s="21">
        <f t="shared" si="11"/>
        <v>2089432.9789595995</v>
      </c>
      <c r="BA6" s="21">
        <f t="shared" si="11"/>
        <v>2579220.7978121955</v>
      </c>
      <c r="BB6" s="21">
        <f t="shared" si="11"/>
        <v>3183820.6780767031</v>
      </c>
      <c r="BC6" s="21">
        <f t="shared" si="11"/>
        <v>3930145.9257567977</v>
      </c>
      <c r="BD6" s="21">
        <f t="shared" si="11"/>
        <v>4851418.6443042625</v>
      </c>
      <c r="BE6" s="21">
        <f t="shared" si="11"/>
        <v>5988648.5914058806</v>
      </c>
      <c r="BF6" s="21">
        <f t="shared" si="11"/>
        <v>7392458.6973035494</v>
      </c>
      <c r="BG6" s="21">
        <f t="shared" si="11"/>
        <v>9125338.5062137619</v>
      </c>
      <c r="BH6" s="21">
        <f t="shared" si="11"/>
        <v>11264425.851085456</v>
      </c>
      <c r="BI6" s="21">
        <f t="shared" si="11"/>
        <v>13904940.585842412</v>
      </c>
      <c r="BJ6" s="21">
        <f t="shared" si="11"/>
        <v>17164423.225101728</v>
      </c>
      <c r="BK6" s="21">
        <f t="shared" si="11"/>
        <v>21187967.17120691</v>
      </c>
      <c r="BL6" s="21">
        <f t="shared" si="11"/>
        <v>26154677.43720128</v>
      </c>
      <c r="BM6" s="21">
        <f t="shared" si="11"/>
        <v>27154404.400000002</v>
      </c>
      <c r="BN6" s="21">
        <f t="shared" si="11"/>
        <v>27154404.400000002</v>
      </c>
      <c r="BO6" s="21">
        <f t="shared" si="11"/>
        <v>27154404.400000002</v>
      </c>
      <c r="BP6" s="21">
        <f t="shared" si="11"/>
        <v>27154404.400000002</v>
      </c>
      <c r="BQ6" s="21">
        <f t="shared" si="11"/>
        <v>27154404.400000002</v>
      </c>
      <c r="BR6" s="21">
        <f t="shared" si="11"/>
        <v>27154404.400000002</v>
      </c>
      <c r="BS6" s="21">
        <f t="shared" si="11"/>
        <v>27154404.400000002</v>
      </c>
      <c r="BT6" s="21">
        <f t="shared" ref="BT6:EE6" si="12">IF(IF(AND(ISNA(BT$5),ISNA(BS$5)),BS6*(1+$C$11),IF(AND(BS$5&gt;0,ISNA(BT$5)),BS6*(1+$C$11),BT$5))&gt;$C$21,$C$21,IF(AND(ISNA(BT$5),ISNA(BS$5)),BS6*(1+$C$11),IF(AND(BS$5&gt;0,ISNA(BT$5)),BS6*(1+$C$11),BT$5)))</f>
        <v>27154404.400000002</v>
      </c>
      <c r="BU6" s="21">
        <f t="shared" si="12"/>
        <v>27154404.400000002</v>
      </c>
      <c r="BV6" s="21">
        <f t="shared" si="12"/>
        <v>27154404.400000002</v>
      </c>
      <c r="BW6" s="21">
        <f t="shared" si="12"/>
        <v>27154404.400000002</v>
      </c>
      <c r="BX6" s="21">
        <f t="shared" si="12"/>
        <v>27154404.400000002</v>
      </c>
      <c r="BY6" s="21">
        <f t="shared" si="12"/>
        <v>27154404.400000002</v>
      </c>
      <c r="BZ6" s="21">
        <f t="shared" si="12"/>
        <v>27154404.400000002</v>
      </c>
      <c r="CA6" s="21">
        <f t="shared" si="12"/>
        <v>27154404.400000002</v>
      </c>
      <c r="CB6" s="21">
        <f t="shared" si="12"/>
        <v>27154404.400000002</v>
      </c>
      <c r="CC6" s="21">
        <f t="shared" si="12"/>
        <v>27154404.400000002</v>
      </c>
      <c r="CD6" s="21">
        <f t="shared" si="12"/>
        <v>27154404.400000002</v>
      </c>
      <c r="CE6" s="21">
        <f t="shared" si="12"/>
        <v>27154404.400000002</v>
      </c>
      <c r="CF6" s="21">
        <f t="shared" si="12"/>
        <v>27154404.400000002</v>
      </c>
      <c r="CG6" s="21">
        <f t="shared" si="12"/>
        <v>27154404.400000002</v>
      </c>
      <c r="CH6" s="21">
        <f t="shared" si="12"/>
        <v>27154404.400000002</v>
      </c>
      <c r="CI6" s="21">
        <f t="shared" si="12"/>
        <v>27154404.400000002</v>
      </c>
      <c r="CJ6" s="21">
        <f t="shared" si="12"/>
        <v>27154404.400000002</v>
      </c>
      <c r="CK6" s="21">
        <f t="shared" si="12"/>
        <v>27154404.400000002</v>
      </c>
      <c r="CL6" s="21">
        <f t="shared" si="12"/>
        <v>27154404.400000002</v>
      </c>
      <c r="CM6" s="21">
        <f t="shared" si="12"/>
        <v>27154404.400000002</v>
      </c>
      <c r="CN6" s="21">
        <f t="shared" si="12"/>
        <v>27154404.400000002</v>
      </c>
      <c r="CO6" s="21">
        <f t="shared" si="12"/>
        <v>27154404.400000002</v>
      </c>
      <c r="CP6" s="21">
        <f t="shared" si="12"/>
        <v>27154404.400000002</v>
      </c>
      <c r="CQ6" s="21">
        <f t="shared" si="12"/>
        <v>27154404.400000002</v>
      </c>
      <c r="CR6" s="21">
        <f t="shared" si="12"/>
        <v>27154404.400000002</v>
      </c>
      <c r="CS6" s="21">
        <f t="shared" si="12"/>
        <v>27154404.400000002</v>
      </c>
      <c r="CT6" s="21">
        <f t="shared" si="12"/>
        <v>27154404.400000002</v>
      </c>
      <c r="CU6" s="21">
        <f t="shared" si="12"/>
        <v>27154404.400000002</v>
      </c>
      <c r="CV6" s="21">
        <f t="shared" si="12"/>
        <v>27154404.400000002</v>
      </c>
      <c r="CW6" s="21">
        <f t="shared" si="12"/>
        <v>27154404.400000002</v>
      </c>
      <c r="CX6" s="21">
        <f t="shared" si="12"/>
        <v>27154404.400000002</v>
      </c>
      <c r="CY6" s="21">
        <f t="shared" si="12"/>
        <v>27154404.400000002</v>
      </c>
      <c r="CZ6" s="21">
        <f t="shared" si="12"/>
        <v>27154404.400000002</v>
      </c>
      <c r="DA6" s="21">
        <f t="shared" si="12"/>
        <v>27154404.400000002</v>
      </c>
      <c r="DB6" s="21">
        <f t="shared" si="12"/>
        <v>27154404.400000002</v>
      </c>
      <c r="DC6" s="21">
        <f t="shared" si="12"/>
        <v>27154404.400000002</v>
      </c>
      <c r="DD6" s="21">
        <f t="shared" si="12"/>
        <v>27154404.400000002</v>
      </c>
      <c r="DE6" s="21">
        <f t="shared" si="12"/>
        <v>27154404.400000002</v>
      </c>
      <c r="DF6" s="21">
        <f t="shared" si="12"/>
        <v>27154404.400000002</v>
      </c>
      <c r="DG6" s="21">
        <f t="shared" si="12"/>
        <v>27154404.400000002</v>
      </c>
      <c r="DH6" s="21">
        <f t="shared" si="12"/>
        <v>27154404.400000002</v>
      </c>
      <c r="DI6" s="21">
        <f t="shared" si="12"/>
        <v>27154404.400000002</v>
      </c>
      <c r="DJ6" s="21">
        <f t="shared" si="12"/>
        <v>27154404.400000002</v>
      </c>
      <c r="DK6" s="21">
        <f t="shared" si="12"/>
        <v>27154404.400000002</v>
      </c>
      <c r="DL6" s="21">
        <f t="shared" si="12"/>
        <v>27154404.400000002</v>
      </c>
      <c r="DM6" s="21">
        <f t="shared" si="12"/>
        <v>27154404.400000002</v>
      </c>
      <c r="DN6" s="21">
        <f t="shared" si="12"/>
        <v>27154404.400000002</v>
      </c>
      <c r="DO6" s="21">
        <f t="shared" si="12"/>
        <v>27154404.400000002</v>
      </c>
      <c r="DP6" s="21">
        <f t="shared" si="12"/>
        <v>27154404.400000002</v>
      </c>
      <c r="DQ6" s="21">
        <f t="shared" si="12"/>
        <v>27154404.400000002</v>
      </c>
      <c r="DR6" s="21">
        <f t="shared" si="12"/>
        <v>27154404.400000002</v>
      </c>
      <c r="DS6" s="21">
        <f t="shared" si="12"/>
        <v>27154404.400000002</v>
      </c>
      <c r="DT6" s="21">
        <f t="shared" si="12"/>
        <v>27154404.400000002</v>
      </c>
      <c r="DU6" s="21">
        <f t="shared" si="12"/>
        <v>27154404.400000002</v>
      </c>
      <c r="DV6" s="21">
        <f t="shared" si="12"/>
        <v>27154404.400000002</v>
      </c>
      <c r="DW6" s="21">
        <f t="shared" si="12"/>
        <v>27154404.400000002</v>
      </c>
      <c r="DX6" s="21">
        <f t="shared" si="12"/>
        <v>27154404.400000002</v>
      </c>
      <c r="DY6" s="21">
        <f t="shared" si="12"/>
        <v>27154404.400000002</v>
      </c>
      <c r="DZ6" s="21">
        <f t="shared" si="12"/>
        <v>27154404.400000002</v>
      </c>
      <c r="EA6" s="21">
        <f t="shared" si="12"/>
        <v>27154404.400000002</v>
      </c>
      <c r="EB6" s="21">
        <f t="shared" si="12"/>
        <v>27154404.400000002</v>
      </c>
      <c r="EC6" s="21">
        <f t="shared" si="12"/>
        <v>27154404.400000002</v>
      </c>
      <c r="ED6" s="21">
        <f t="shared" si="12"/>
        <v>27154404.400000002</v>
      </c>
      <c r="EE6" s="21">
        <f t="shared" si="12"/>
        <v>27154404.400000002</v>
      </c>
      <c r="EF6" s="21">
        <f t="shared" ref="EF6:GQ6" si="13">IF(IF(AND(ISNA(EF$5),ISNA(EE$5)),EE6*(1+$C$11),IF(AND(EE$5&gt;0,ISNA(EF$5)),EE6*(1+$C$11),EF$5))&gt;$C$21,$C$21,IF(AND(ISNA(EF$5),ISNA(EE$5)),EE6*(1+$C$11),IF(AND(EE$5&gt;0,ISNA(EF$5)),EE6*(1+$C$11),EF$5)))</f>
        <v>27154404.400000002</v>
      </c>
      <c r="EG6" s="21">
        <f t="shared" si="13"/>
        <v>27154404.400000002</v>
      </c>
      <c r="EH6" s="21">
        <f t="shared" si="13"/>
        <v>27154404.400000002</v>
      </c>
      <c r="EI6" s="21">
        <f t="shared" si="13"/>
        <v>27154404.400000002</v>
      </c>
      <c r="EJ6" s="21">
        <f t="shared" si="13"/>
        <v>27154404.400000002</v>
      </c>
      <c r="EK6" s="21">
        <f t="shared" si="13"/>
        <v>27154404.400000002</v>
      </c>
      <c r="EL6" s="21">
        <f t="shared" si="13"/>
        <v>27154404.400000002</v>
      </c>
      <c r="EM6" s="21">
        <f t="shared" si="13"/>
        <v>27154404.400000002</v>
      </c>
      <c r="EN6" s="21">
        <f t="shared" si="13"/>
        <v>27154404.400000002</v>
      </c>
      <c r="EO6" s="21">
        <f t="shared" si="13"/>
        <v>27154404.400000002</v>
      </c>
      <c r="EP6" s="21">
        <f t="shared" si="13"/>
        <v>27154404.400000002</v>
      </c>
      <c r="EQ6" s="21">
        <f t="shared" si="13"/>
        <v>27154404.400000002</v>
      </c>
      <c r="ER6" s="21">
        <f t="shared" si="13"/>
        <v>27154404.400000002</v>
      </c>
      <c r="ES6" s="21">
        <f t="shared" si="13"/>
        <v>27154404.400000002</v>
      </c>
      <c r="ET6" s="21">
        <f t="shared" si="13"/>
        <v>27154404.400000002</v>
      </c>
      <c r="EU6" s="21">
        <f t="shared" si="13"/>
        <v>27154404.400000002</v>
      </c>
      <c r="EV6" s="21">
        <f t="shared" si="13"/>
        <v>27154404.400000002</v>
      </c>
      <c r="EW6" s="21">
        <f t="shared" si="13"/>
        <v>27154404.400000002</v>
      </c>
      <c r="EX6" s="21">
        <f t="shared" si="13"/>
        <v>27154404.400000002</v>
      </c>
      <c r="EY6" s="21">
        <f t="shared" si="13"/>
        <v>27154404.400000002</v>
      </c>
      <c r="EZ6" s="21">
        <f t="shared" si="13"/>
        <v>27154404.400000002</v>
      </c>
      <c r="FA6" s="21">
        <f t="shared" si="13"/>
        <v>27154404.400000002</v>
      </c>
      <c r="FB6" s="21">
        <f t="shared" si="13"/>
        <v>27154404.400000002</v>
      </c>
      <c r="FC6" s="21">
        <f t="shared" si="13"/>
        <v>27154404.400000002</v>
      </c>
      <c r="FD6" s="21">
        <f t="shared" si="13"/>
        <v>27154404.400000002</v>
      </c>
      <c r="FE6" s="21">
        <f t="shared" si="13"/>
        <v>27154404.400000002</v>
      </c>
      <c r="FF6" s="21">
        <f t="shared" si="13"/>
        <v>27154404.400000002</v>
      </c>
      <c r="FG6" s="21">
        <f t="shared" si="13"/>
        <v>27154404.400000002</v>
      </c>
      <c r="FH6" s="21">
        <f t="shared" si="13"/>
        <v>27154404.400000002</v>
      </c>
      <c r="FI6" s="21">
        <f t="shared" si="13"/>
        <v>27154404.400000002</v>
      </c>
      <c r="FJ6" s="21">
        <f t="shared" si="13"/>
        <v>27154404.400000002</v>
      </c>
      <c r="FK6" s="21">
        <f t="shared" si="13"/>
        <v>27154404.400000002</v>
      </c>
      <c r="FL6" s="21">
        <f t="shared" si="13"/>
        <v>27154404.400000002</v>
      </c>
      <c r="FM6" s="21">
        <f t="shared" si="13"/>
        <v>27154404.400000002</v>
      </c>
      <c r="FN6" s="21">
        <f t="shared" si="13"/>
        <v>27154404.400000002</v>
      </c>
      <c r="FO6" s="21">
        <f t="shared" si="13"/>
        <v>27154404.400000002</v>
      </c>
      <c r="FP6" s="21">
        <f t="shared" si="13"/>
        <v>27154404.400000002</v>
      </c>
      <c r="FQ6" s="21">
        <f t="shared" si="13"/>
        <v>27154404.400000002</v>
      </c>
      <c r="FR6" s="21">
        <f t="shared" si="13"/>
        <v>27154404.400000002</v>
      </c>
      <c r="FS6" s="21">
        <f t="shared" si="13"/>
        <v>27154404.400000002</v>
      </c>
      <c r="FT6" s="21">
        <f t="shared" si="13"/>
        <v>27154404.400000002</v>
      </c>
      <c r="FU6" s="21">
        <f t="shared" si="13"/>
        <v>27154404.400000002</v>
      </c>
      <c r="FV6" s="21">
        <f t="shared" si="13"/>
        <v>27154404.400000002</v>
      </c>
      <c r="FW6" s="21">
        <f t="shared" si="13"/>
        <v>27154404.400000002</v>
      </c>
      <c r="FX6" s="21">
        <f t="shared" si="13"/>
        <v>27154404.400000002</v>
      </c>
      <c r="FY6" s="21">
        <f t="shared" si="13"/>
        <v>27154404.400000002</v>
      </c>
      <c r="FZ6" s="21">
        <f t="shared" si="13"/>
        <v>27154404.400000002</v>
      </c>
      <c r="GA6" s="21">
        <f t="shared" si="13"/>
        <v>27154404.400000002</v>
      </c>
      <c r="GB6" s="21">
        <f t="shared" si="13"/>
        <v>27154404.400000002</v>
      </c>
      <c r="GC6" s="21">
        <f t="shared" si="13"/>
        <v>27154404.400000002</v>
      </c>
      <c r="GD6" s="21">
        <f t="shared" si="13"/>
        <v>27154404.400000002</v>
      </c>
      <c r="GE6" s="21">
        <f t="shared" si="13"/>
        <v>27154404.400000002</v>
      </c>
      <c r="GF6" s="21">
        <f t="shared" si="13"/>
        <v>27154404.400000002</v>
      </c>
      <c r="GG6" s="21">
        <f t="shared" si="13"/>
        <v>27154404.400000002</v>
      </c>
      <c r="GH6" s="21">
        <f t="shared" si="13"/>
        <v>27154404.400000002</v>
      </c>
      <c r="GI6" s="21">
        <f t="shared" si="13"/>
        <v>27154404.400000002</v>
      </c>
      <c r="GJ6" s="21">
        <f t="shared" si="13"/>
        <v>27154404.400000002</v>
      </c>
      <c r="GK6" s="21">
        <f t="shared" si="13"/>
        <v>27154404.400000002</v>
      </c>
      <c r="GL6" s="21">
        <f t="shared" si="13"/>
        <v>27154404.400000002</v>
      </c>
      <c r="GM6" s="21">
        <f t="shared" si="13"/>
        <v>27154404.400000002</v>
      </c>
      <c r="GN6" s="21">
        <f t="shared" si="13"/>
        <v>27154404.400000002</v>
      </c>
      <c r="GO6" s="21">
        <f t="shared" si="13"/>
        <v>27154404.400000002</v>
      </c>
      <c r="GP6" s="21">
        <f t="shared" si="13"/>
        <v>27154404.400000002</v>
      </c>
      <c r="GQ6" s="21">
        <f t="shared" si="13"/>
        <v>27154404.400000002</v>
      </c>
      <c r="GR6" s="21">
        <f t="shared" ref="GR6:IN6" si="14">IF(IF(AND(ISNA(GR$5),ISNA(GQ$5)),GQ6*(1+$C$11),IF(AND(GQ$5&gt;0,ISNA(GR$5)),GQ6*(1+$C$11),GR$5))&gt;$C$21,$C$21,IF(AND(ISNA(GR$5),ISNA(GQ$5)),GQ6*(1+$C$11),IF(AND(GQ$5&gt;0,ISNA(GR$5)),GQ6*(1+$C$11),GR$5)))</f>
        <v>27154404.400000002</v>
      </c>
      <c r="GS6" s="21">
        <f t="shared" si="14"/>
        <v>27154404.400000002</v>
      </c>
      <c r="GT6" s="21">
        <f t="shared" si="14"/>
        <v>27154404.400000002</v>
      </c>
      <c r="GU6" s="21">
        <f t="shared" si="14"/>
        <v>27154404.400000002</v>
      </c>
      <c r="GV6" s="21">
        <f t="shared" si="14"/>
        <v>27154404.400000002</v>
      </c>
      <c r="GW6" s="21">
        <f t="shared" si="14"/>
        <v>27154404.400000002</v>
      </c>
      <c r="GX6" s="21">
        <f t="shared" si="14"/>
        <v>27154404.400000002</v>
      </c>
      <c r="GY6" s="21">
        <f t="shared" si="14"/>
        <v>27154404.400000002</v>
      </c>
      <c r="GZ6" s="21">
        <f t="shared" si="14"/>
        <v>27154404.400000002</v>
      </c>
      <c r="HA6" s="21">
        <f t="shared" si="14"/>
        <v>27154404.400000002</v>
      </c>
      <c r="HB6" s="21">
        <f t="shared" si="14"/>
        <v>27154404.400000002</v>
      </c>
      <c r="HC6" s="21">
        <f t="shared" si="14"/>
        <v>27154404.400000002</v>
      </c>
      <c r="HD6" s="21">
        <f t="shared" si="14"/>
        <v>27154404.400000002</v>
      </c>
      <c r="HE6" s="21">
        <f t="shared" si="14"/>
        <v>27154404.400000002</v>
      </c>
      <c r="HF6" s="21">
        <f t="shared" si="14"/>
        <v>27154404.400000002</v>
      </c>
      <c r="HG6" s="21">
        <f t="shared" si="14"/>
        <v>27154404.400000002</v>
      </c>
      <c r="HH6" s="21">
        <f t="shared" si="14"/>
        <v>27154404.400000002</v>
      </c>
      <c r="HI6" s="21">
        <f t="shared" si="14"/>
        <v>27154404.400000002</v>
      </c>
      <c r="HJ6" s="21">
        <f t="shared" si="14"/>
        <v>27154404.400000002</v>
      </c>
      <c r="HK6" s="21">
        <f t="shared" si="14"/>
        <v>27154404.400000002</v>
      </c>
      <c r="HL6" s="21">
        <f t="shared" si="14"/>
        <v>27154404.400000002</v>
      </c>
      <c r="HM6" s="21">
        <f t="shared" si="14"/>
        <v>27154404.400000002</v>
      </c>
      <c r="HN6" s="21">
        <f t="shared" si="14"/>
        <v>27154404.400000002</v>
      </c>
      <c r="HO6" s="21">
        <f t="shared" si="14"/>
        <v>27154404.400000002</v>
      </c>
      <c r="HP6" s="21">
        <f t="shared" si="14"/>
        <v>27154404.400000002</v>
      </c>
      <c r="HQ6" s="21">
        <f t="shared" si="14"/>
        <v>27154404.400000002</v>
      </c>
      <c r="HR6" s="21">
        <f t="shared" si="14"/>
        <v>27154404.400000002</v>
      </c>
      <c r="HS6" s="21">
        <f t="shared" si="14"/>
        <v>27154404.400000002</v>
      </c>
      <c r="HT6" s="21">
        <f t="shared" si="14"/>
        <v>27154404.400000002</v>
      </c>
      <c r="HU6" s="21">
        <f t="shared" si="14"/>
        <v>27154404.400000002</v>
      </c>
      <c r="HV6" s="21">
        <f t="shared" si="14"/>
        <v>27154404.400000002</v>
      </c>
      <c r="HW6" s="21">
        <f t="shared" si="14"/>
        <v>27154404.400000002</v>
      </c>
      <c r="HX6" s="21">
        <f t="shared" si="14"/>
        <v>27154404.400000002</v>
      </c>
      <c r="HY6" s="21">
        <f t="shared" si="14"/>
        <v>27154404.400000002</v>
      </c>
      <c r="HZ6" s="21">
        <f t="shared" si="14"/>
        <v>27154404.400000002</v>
      </c>
      <c r="IA6" s="21">
        <f t="shared" si="14"/>
        <v>27154404.400000002</v>
      </c>
      <c r="IB6" s="21">
        <f t="shared" si="14"/>
        <v>27154404.400000002</v>
      </c>
      <c r="IC6" s="21">
        <f t="shared" si="14"/>
        <v>27154404.400000002</v>
      </c>
      <c r="ID6" s="21">
        <f t="shared" si="14"/>
        <v>27154404.400000002</v>
      </c>
      <c r="IE6" s="21">
        <f t="shared" si="14"/>
        <v>27154404.400000002</v>
      </c>
      <c r="IF6" s="21">
        <f t="shared" si="14"/>
        <v>27154404.400000002</v>
      </c>
      <c r="IG6" s="21">
        <f t="shared" si="14"/>
        <v>27154404.400000002</v>
      </c>
      <c r="IH6" s="21">
        <f t="shared" si="14"/>
        <v>27154404.400000002</v>
      </c>
      <c r="II6" s="21">
        <f t="shared" si="14"/>
        <v>27154404.400000002</v>
      </c>
      <c r="IJ6" s="21">
        <f t="shared" si="14"/>
        <v>27154404.400000002</v>
      </c>
      <c r="IK6" s="21">
        <f t="shared" si="14"/>
        <v>27154404.400000002</v>
      </c>
      <c r="IL6" s="21">
        <f t="shared" si="14"/>
        <v>27154404.400000002</v>
      </c>
      <c r="IM6" s="21">
        <f t="shared" si="14"/>
        <v>27154404.400000002</v>
      </c>
      <c r="IN6" s="21">
        <f>IF(IF(AND(ISNA(IN$5),ISNA(IM$5)),IM6*(1+$C$11),IF(AND(IM$5&gt;0,ISNA(IN$5)),IM6*(1+$C$11),IN$5))&gt;$C$21,$C$21,IF(AND(ISNA(IN$5),ISNA(IM$5)),IM6*(1+$C$11),IF(AND(IM$5&gt;0,ISNA(IN$5)),IM6*(1+$C$11),IN$5)))</f>
        <v>27154404.400000002</v>
      </c>
    </row>
    <row r="7" spans="2:248" x14ac:dyDescent="0.3">
      <c r="B7" s="19" t="s">
        <v>513</v>
      </c>
      <c r="C7" s="21">
        <f>VLOOKUP(B2,Country_Data!C:G,5,FALSE)</f>
        <v>67</v>
      </c>
      <c r="G7" s="149"/>
      <c r="H7" s="149"/>
      <c r="I7" s="149"/>
      <c r="J7" s="149"/>
      <c r="K7" s="149"/>
      <c r="L7" s="149"/>
      <c r="M7" s="149"/>
      <c r="N7" s="149"/>
      <c r="O7" s="149"/>
      <c r="P7" s="149"/>
      <c r="Q7" s="149"/>
      <c r="R7" s="149"/>
      <c r="S7" s="149"/>
      <c r="T7" s="149"/>
      <c r="U7" s="149"/>
      <c r="V7" s="149"/>
      <c r="W7" s="149"/>
      <c r="X7" s="149"/>
      <c r="Y7" s="149"/>
      <c r="Z7" s="149"/>
      <c r="AA7" s="149"/>
      <c r="AB7" s="149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  <c r="AW7" s="149"/>
      <c r="AX7" s="149"/>
      <c r="AY7" s="149"/>
      <c r="AZ7" s="149"/>
      <c r="BA7" s="149"/>
      <c r="BB7" s="149"/>
      <c r="BC7" s="149"/>
      <c r="BD7" s="149"/>
      <c r="BE7" s="149"/>
      <c r="BF7" s="149"/>
      <c r="BG7" s="149"/>
      <c r="BH7" s="149"/>
      <c r="BI7" s="149"/>
      <c r="BJ7" s="149"/>
      <c r="BK7" s="149"/>
      <c r="BL7" s="149"/>
      <c r="BM7" s="149"/>
      <c r="BN7" s="149"/>
      <c r="BO7" s="149"/>
      <c r="BP7" s="149"/>
      <c r="BQ7" s="149"/>
      <c r="BR7" s="149"/>
      <c r="BS7" s="149"/>
      <c r="BT7" s="149"/>
      <c r="BU7" s="149"/>
      <c r="BV7" s="149"/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49"/>
      <c r="CM7" s="149"/>
      <c r="CN7" s="149"/>
      <c r="CO7" s="149"/>
      <c r="CP7" s="149"/>
      <c r="CQ7" s="149"/>
      <c r="CR7" s="149"/>
      <c r="CS7" s="149"/>
      <c r="CT7" s="149"/>
      <c r="CU7" s="149"/>
      <c r="CV7" s="149"/>
      <c r="CW7" s="149"/>
      <c r="CX7" s="149"/>
      <c r="CY7" s="149"/>
      <c r="CZ7" s="149"/>
      <c r="DA7" s="149"/>
      <c r="DB7" s="149"/>
      <c r="DC7" s="149"/>
      <c r="DD7" s="149"/>
      <c r="DE7" s="149"/>
      <c r="DF7" s="149"/>
      <c r="DG7" s="149"/>
      <c r="DH7" s="149"/>
      <c r="DI7" s="149"/>
      <c r="DJ7" s="149"/>
      <c r="DK7" s="149"/>
      <c r="DL7" s="149"/>
      <c r="DM7" s="149"/>
      <c r="DN7" s="149"/>
      <c r="DO7" s="149"/>
      <c r="DP7" s="149"/>
      <c r="DQ7" s="149"/>
      <c r="DR7" s="149"/>
      <c r="DS7" s="149"/>
      <c r="DT7" s="149"/>
      <c r="DU7" s="149"/>
      <c r="DV7" s="149"/>
      <c r="DW7" s="149"/>
      <c r="DX7" s="149"/>
      <c r="DY7" s="149"/>
      <c r="DZ7" s="149"/>
      <c r="EA7" s="149"/>
      <c r="EB7" s="149"/>
      <c r="EC7" s="149"/>
      <c r="ED7" s="149"/>
      <c r="EE7" s="149"/>
      <c r="EF7" s="149"/>
      <c r="EG7" s="149"/>
      <c r="EH7" s="149"/>
      <c r="EI7" s="149"/>
      <c r="EJ7" s="149"/>
      <c r="EK7" s="149"/>
      <c r="EL7" s="149"/>
      <c r="EM7" s="149"/>
      <c r="EN7" s="149"/>
      <c r="EO7" s="149"/>
      <c r="EP7" s="149"/>
      <c r="EQ7" s="149"/>
      <c r="ER7" s="149"/>
      <c r="ES7" s="149"/>
      <c r="ET7" s="149"/>
      <c r="EU7" s="149"/>
      <c r="EV7" s="149"/>
      <c r="EW7" s="149"/>
      <c r="EX7" s="149"/>
      <c r="EY7" s="149"/>
      <c r="EZ7" s="149"/>
      <c r="FA7" s="149"/>
      <c r="FB7" s="149"/>
      <c r="FC7" s="149"/>
      <c r="FD7" s="149"/>
      <c r="FE7" s="149"/>
      <c r="FF7" s="149"/>
      <c r="FG7" s="149"/>
      <c r="FH7" s="149"/>
      <c r="FI7" s="149"/>
      <c r="FJ7" s="149"/>
      <c r="FK7" s="149"/>
      <c r="FL7" s="149"/>
      <c r="FM7" s="149"/>
      <c r="FN7" s="149"/>
      <c r="FO7" s="149"/>
      <c r="FP7" s="149"/>
      <c r="FQ7" s="149"/>
      <c r="FR7" s="149"/>
      <c r="FS7" s="149"/>
      <c r="FT7" s="149"/>
      <c r="FU7" s="149"/>
      <c r="FV7" s="149"/>
      <c r="FW7" s="149"/>
      <c r="FX7" s="149"/>
      <c r="FY7" s="149"/>
      <c r="FZ7" s="149"/>
      <c r="GA7" s="149"/>
      <c r="GB7" s="149"/>
      <c r="GC7" s="149"/>
      <c r="GD7" s="149"/>
      <c r="GE7" s="149"/>
      <c r="GF7" s="149"/>
      <c r="GG7" s="149"/>
      <c r="GH7" s="149"/>
      <c r="GI7" s="149"/>
      <c r="GJ7" s="149"/>
      <c r="GK7" s="149"/>
      <c r="GL7" s="149"/>
      <c r="GM7" s="149"/>
      <c r="GN7" s="149"/>
      <c r="GO7" s="149"/>
      <c r="GP7" s="149"/>
      <c r="GQ7" s="149"/>
      <c r="GR7" s="149"/>
      <c r="GS7" s="149"/>
      <c r="GT7" s="149"/>
      <c r="GU7" s="149"/>
      <c r="GV7" s="149"/>
      <c r="GW7" s="149"/>
      <c r="GX7" s="149"/>
      <c r="GY7" s="149"/>
      <c r="GZ7" s="149"/>
      <c r="HA7" s="149"/>
      <c r="HB7" s="149"/>
      <c r="HC7" s="149"/>
      <c r="HD7" s="149"/>
      <c r="HE7" s="149"/>
      <c r="HF7" s="149"/>
      <c r="HG7" s="149"/>
      <c r="HH7" s="149"/>
      <c r="HI7" s="149"/>
      <c r="HJ7" s="149"/>
      <c r="HK7" s="149"/>
      <c r="HL7" s="149"/>
      <c r="HM7" s="149"/>
      <c r="HN7" s="149"/>
      <c r="HO7" s="149"/>
      <c r="HP7" s="149"/>
      <c r="HQ7" s="149"/>
      <c r="HR7" s="149"/>
      <c r="HS7" s="149"/>
      <c r="HT7" s="149"/>
      <c r="HU7" s="149"/>
      <c r="HV7" s="149"/>
      <c r="HW7" s="149"/>
      <c r="HX7" s="149"/>
      <c r="HY7" s="149"/>
      <c r="HZ7" s="149"/>
      <c r="IA7" s="149"/>
      <c r="IB7" s="149"/>
      <c r="IC7" s="149"/>
      <c r="ID7" s="149"/>
      <c r="IE7" s="149"/>
      <c r="IF7" s="149"/>
      <c r="IG7" s="149"/>
      <c r="IH7" s="149"/>
      <c r="II7" s="149"/>
      <c r="IJ7" s="149"/>
      <c r="IK7" s="149"/>
      <c r="IL7" s="149"/>
      <c r="IM7" s="149"/>
      <c r="IN7" s="149"/>
    </row>
    <row r="8" spans="2:248" x14ac:dyDescent="0.3">
      <c r="B8" s="19" t="s">
        <v>514</v>
      </c>
      <c r="C8" s="21">
        <f>VLOOKUP(B2,Country_Data!C:H,6,FALSE)</f>
        <v>178</v>
      </c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/>
      <c r="BB8" s="55"/>
      <c r="BC8" s="55"/>
      <c r="BD8" s="55"/>
      <c r="BE8" s="55"/>
      <c r="BF8" s="55"/>
      <c r="BG8" s="55"/>
      <c r="BH8" s="55"/>
      <c r="BI8" s="55"/>
      <c r="BJ8" s="55"/>
      <c r="BK8" s="55"/>
      <c r="BL8" s="55"/>
      <c r="BM8" s="55"/>
      <c r="BN8" s="55"/>
      <c r="BO8" s="55"/>
      <c r="BP8" s="55"/>
      <c r="BQ8" s="55"/>
      <c r="BR8" s="55"/>
      <c r="BS8" s="55"/>
      <c r="BT8" s="55"/>
      <c r="BU8" s="55"/>
      <c r="BV8" s="55"/>
      <c r="BW8" s="55"/>
      <c r="BX8" s="55"/>
      <c r="BY8" s="55"/>
      <c r="BZ8" s="55"/>
      <c r="CA8" s="55"/>
      <c r="CB8" s="55"/>
      <c r="CC8" s="55"/>
      <c r="CD8" s="55"/>
      <c r="CE8" s="55"/>
      <c r="CF8" s="55"/>
      <c r="CG8" s="55"/>
      <c r="CH8" s="55"/>
      <c r="CI8" s="55"/>
      <c r="CJ8" s="55"/>
      <c r="CK8" s="55"/>
      <c r="CL8" s="55"/>
      <c r="CM8" s="55"/>
      <c r="CN8" s="55"/>
      <c r="CO8" s="55"/>
      <c r="CP8" s="55"/>
      <c r="CQ8" s="55"/>
      <c r="CR8" s="55"/>
      <c r="CS8" s="55"/>
      <c r="CT8" s="55"/>
      <c r="CU8" s="55"/>
      <c r="CV8" s="55"/>
      <c r="CW8" s="55"/>
      <c r="CX8" s="55"/>
      <c r="CY8" s="55"/>
      <c r="CZ8" s="55"/>
      <c r="DA8" s="55"/>
      <c r="DB8" s="55"/>
      <c r="DC8" s="55"/>
      <c r="DD8" s="55"/>
      <c r="DE8" s="55"/>
      <c r="DF8" s="55"/>
      <c r="DG8" s="55"/>
      <c r="DH8" s="55"/>
      <c r="DI8" s="55"/>
      <c r="DJ8" s="55"/>
      <c r="DK8" s="55"/>
      <c r="DL8" s="55"/>
      <c r="DM8" s="55"/>
      <c r="DN8" s="55"/>
      <c r="DO8" s="55"/>
      <c r="DP8" s="55"/>
      <c r="DQ8" s="55"/>
      <c r="DR8" s="55"/>
      <c r="DS8" s="55"/>
      <c r="DT8" s="55"/>
      <c r="DU8" s="55"/>
      <c r="DV8" s="55"/>
      <c r="DW8" s="55"/>
      <c r="DX8" s="55"/>
      <c r="DY8" s="55"/>
      <c r="DZ8" s="55"/>
      <c r="EA8" s="55"/>
      <c r="EB8" s="55"/>
      <c r="EC8" s="55"/>
      <c r="ED8" s="55"/>
      <c r="EE8" s="55"/>
      <c r="EF8" s="55"/>
      <c r="EG8" s="55"/>
      <c r="EH8" s="55"/>
      <c r="EI8" s="55"/>
      <c r="EJ8" s="55"/>
      <c r="EK8" s="55"/>
      <c r="EL8" s="55"/>
      <c r="EM8" s="55"/>
      <c r="EN8" s="55"/>
      <c r="EO8" s="55"/>
      <c r="EP8" s="55"/>
      <c r="EQ8" s="55"/>
      <c r="ER8" s="55"/>
      <c r="ES8" s="55"/>
      <c r="ET8" s="55"/>
      <c r="EU8" s="55"/>
      <c r="EV8" s="55"/>
      <c r="EW8" s="55"/>
      <c r="EX8" s="55"/>
      <c r="EY8" s="55"/>
      <c r="EZ8" s="55"/>
      <c r="FA8" s="55"/>
      <c r="FB8" s="55"/>
      <c r="FC8" s="55"/>
      <c r="FD8" s="55"/>
      <c r="FE8" s="55"/>
      <c r="FF8" s="55"/>
      <c r="FG8" s="55"/>
      <c r="FH8" s="55"/>
      <c r="FI8" s="55"/>
      <c r="FJ8" s="55"/>
      <c r="FK8" s="55"/>
      <c r="FL8" s="55"/>
      <c r="FM8" s="55"/>
      <c r="FN8" s="55"/>
      <c r="FO8" s="55"/>
      <c r="FP8" s="55"/>
      <c r="FQ8" s="55"/>
      <c r="FR8" s="55"/>
      <c r="FS8" s="55"/>
      <c r="FT8" s="55"/>
      <c r="FU8" s="55"/>
      <c r="FV8" s="55"/>
      <c r="FW8" s="55"/>
      <c r="FX8" s="55"/>
      <c r="FY8" s="55"/>
      <c r="FZ8" s="55"/>
      <c r="GA8" s="55"/>
      <c r="GB8" s="55"/>
      <c r="GC8" s="55"/>
      <c r="GD8" s="55"/>
      <c r="GE8" s="55"/>
      <c r="GF8" s="55"/>
      <c r="GG8" s="55"/>
      <c r="GH8" s="55"/>
      <c r="GI8" s="55"/>
      <c r="GJ8" s="55"/>
      <c r="GK8" s="55"/>
      <c r="GL8" s="55"/>
      <c r="GM8" s="55"/>
      <c r="GN8" s="55"/>
      <c r="GO8" s="55"/>
      <c r="GP8" s="55"/>
      <c r="GQ8" s="55"/>
      <c r="GR8" s="55"/>
      <c r="GS8" s="55"/>
      <c r="GT8" s="55"/>
      <c r="GU8" s="55"/>
      <c r="GV8" s="55"/>
      <c r="GW8" s="55"/>
      <c r="GX8" s="55"/>
      <c r="GY8" s="55"/>
      <c r="GZ8" s="55"/>
      <c r="HA8" s="55"/>
      <c r="HB8" s="55"/>
      <c r="HC8" s="55"/>
      <c r="HD8" s="55"/>
      <c r="HE8" s="55"/>
      <c r="HF8" s="55"/>
      <c r="HG8" s="55"/>
      <c r="HH8" s="55"/>
      <c r="HI8" s="55"/>
      <c r="HJ8" s="55"/>
      <c r="HK8" s="55"/>
      <c r="HL8" s="55"/>
      <c r="HM8" s="55"/>
      <c r="HN8" s="55"/>
      <c r="HO8" s="55"/>
      <c r="HP8" s="55"/>
      <c r="HQ8" s="55"/>
      <c r="HR8" s="55"/>
      <c r="HS8" s="55"/>
      <c r="HT8" s="55"/>
      <c r="HU8" s="55"/>
      <c r="HV8" s="55"/>
      <c r="HW8" s="55"/>
      <c r="HX8" s="55"/>
      <c r="HY8" s="55"/>
      <c r="HZ8" s="55"/>
      <c r="IA8" s="55"/>
      <c r="IB8" s="55"/>
      <c r="IC8" s="55"/>
      <c r="ID8" s="55"/>
      <c r="IE8" s="55"/>
      <c r="IF8" s="55"/>
      <c r="IG8" s="55"/>
      <c r="IH8" s="55"/>
      <c r="II8" s="55"/>
      <c r="IJ8" s="55"/>
      <c r="IK8" s="55"/>
      <c r="IL8" s="55"/>
      <c r="IM8" s="55"/>
      <c r="IN8" s="55"/>
    </row>
    <row r="9" spans="2:248" x14ac:dyDescent="0.3">
      <c r="E9" s="22">
        <f>Projections!Z19</f>
        <v>0.1</v>
      </c>
      <c r="F9" s="22" t="s">
        <v>495</v>
      </c>
      <c r="G9" s="21">
        <f t="shared" ref="G9:BR9" si="15">IF(IF(AND(ISNA(G$5),ISNA(F$5)),F9*(1+$E9),IF(AND(F$5&gt;0,ISNA(G$5)),F9*(1+$E9),G$5))&gt;$C$21,$C$21,IF(AND(ISNA(G$5),ISNA(F$5)),F9*(1+$E9),IF(AND(F$5&gt;0,ISNA(G$5)),F9*(1+$E9),G$5)))</f>
        <v>107</v>
      </c>
      <c r="H9" s="21">
        <f t="shared" si="15"/>
        <v>154</v>
      </c>
      <c r="I9" s="21">
        <f t="shared" si="15"/>
        <v>187</v>
      </c>
      <c r="J9" s="21">
        <f t="shared" si="15"/>
        <v>253</v>
      </c>
      <c r="K9" s="21">
        <f t="shared" si="15"/>
        <v>300</v>
      </c>
      <c r="L9" s="21">
        <f t="shared" si="15"/>
        <v>359</v>
      </c>
      <c r="M9" s="21">
        <f t="shared" si="15"/>
        <v>432</v>
      </c>
      <c r="N9" s="21">
        <f t="shared" si="15"/>
        <v>563</v>
      </c>
      <c r="O9" s="21">
        <f t="shared" si="15"/>
        <v>775</v>
      </c>
      <c r="P9" s="21">
        <f>IF(IF(AND(ISNA(P$5),ISNA(O$5)),O9*(1+$E9),IF(AND(O$5&gt;0,ISNA(P$5)),O9*(1+$E9),P$5))&gt;$C$21,$C$21,IF(AND(ISNA(P$5),ISNA(O$5)),O9*(1+$E9),IF(AND(O$5&gt;0,ISNA(P$5)),O9*(1+$E9),P$5)))</f>
        <v>1104</v>
      </c>
      <c r="Q9" s="21">
        <f t="shared" si="15"/>
        <v>1315</v>
      </c>
      <c r="R9" s="21">
        <f t="shared" si="15"/>
        <v>1474</v>
      </c>
      <c r="S9" s="21">
        <f t="shared" si="15"/>
        <v>1851</v>
      </c>
      <c r="T9" s="21">
        <f t="shared" si="15"/>
        <v>2503</v>
      </c>
      <c r="U9" s="21">
        <f t="shared" si="15"/>
        <v>2511</v>
      </c>
      <c r="V9" s="21">
        <f t="shared" si="15"/>
        <v>3769</v>
      </c>
      <c r="W9" s="21">
        <f t="shared" si="15"/>
        <v>4145.9000000000005</v>
      </c>
      <c r="X9" s="21">
        <f t="shared" si="15"/>
        <v>4560.4900000000007</v>
      </c>
      <c r="Y9" s="21">
        <f t="shared" si="15"/>
        <v>5016.5390000000016</v>
      </c>
      <c r="Z9" s="21">
        <f t="shared" si="15"/>
        <v>5518.1929000000018</v>
      </c>
      <c r="AA9" s="21">
        <f t="shared" si="15"/>
        <v>6070.0121900000022</v>
      </c>
      <c r="AB9" s="21">
        <f t="shared" si="15"/>
        <v>6677.0134090000029</v>
      </c>
      <c r="AC9" s="21">
        <f t="shared" si="15"/>
        <v>7344.7147499000039</v>
      </c>
      <c r="AD9" s="21">
        <f t="shared" si="15"/>
        <v>8079.1862248900052</v>
      </c>
      <c r="AE9" s="21">
        <f t="shared" si="15"/>
        <v>8887.104847379007</v>
      </c>
      <c r="AF9" s="21">
        <f t="shared" si="15"/>
        <v>9775.8153321169084</v>
      </c>
      <c r="AG9" s="21">
        <f t="shared" si="15"/>
        <v>10753.396865328599</v>
      </c>
      <c r="AH9" s="21">
        <f t="shared" si="15"/>
        <v>11828.736551861461</v>
      </c>
      <c r="AI9" s="21">
        <f t="shared" si="15"/>
        <v>13011.610207047608</v>
      </c>
      <c r="AJ9" s="21">
        <f t="shared" si="15"/>
        <v>14312.77122775237</v>
      </c>
      <c r="AK9" s="21">
        <f t="shared" si="15"/>
        <v>15744.048350527608</v>
      </c>
      <c r="AL9" s="21">
        <f t="shared" si="15"/>
        <v>17318.453185580369</v>
      </c>
      <c r="AM9" s="21">
        <f t="shared" si="15"/>
        <v>19050.298504138409</v>
      </c>
      <c r="AN9" s="21">
        <f t="shared" si="15"/>
        <v>20955.32835455225</v>
      </c>
      <c r="AO9" s="21">
        <f t="shared" si="15"/>
        <v>23050.861190007476</v>
      </c>
      <c r="AP9" s="21">
        <f t="shared" si="15"/>
        <v>25355.947309008225</v>
      </c>
      <c r="AQ9" s="21">
        <f t="shared" si="15"/>
        <v>27891.542039909051</v>
      </c>
      <c r="AR9" s="21">
        <f t="shared" si="15"/>
        <v>30680.696243899958</v>
      </c>
      <c r="AS9" s="21">
        <f t="shared" si="15"/>
        <v>33748.765868289956</v>
      </c>
      <c r="AT9" s="21">
        <f t="shared" si="15"/>
        <v>37123.642455118956</v>
      </c>
      <c r="AU9" s="21">
        <f t="shared" si="15"/>
        <v>40836.006700630853</v>
      </c>
      <c r="AV9" s="21">
        <f t="shared" si="15"/>
        <v>44919.607370693942</v>
      </c>
      <c r="AW9" s="21">
        <f t="shared" si="15"/>
        <v>49411.568107763342</v>
      </c>
      <c r="AX9" s="21">
        <f t="shared" si="15"/>
        <v>54352.724918539679</v>
      </c>
      <c r="AY9" s="21">
        <f t="shared" si="15"/>
        <v>59787.997410393655</v>
      </c>
      <c r="AZ9" s="21">
        <f t="shared" si="15"/>
        <v>65766.797151433027</v>
      </c>
      <c r="BA9" s="21">
        <f t="shared" si="15"/>
        <v>72343.47686657634</v>
      </c>
      <c r="BB9" s="21">
        <f t="shared" si="15"/>
        <v>79577.824553233979</v>
      </c>
      <c r="BC9" s="21">
        <f t="shared" si="15"/>
        <v>87535.607008557388</v>
      </c>
      <c r="BD9" s="21">
        <f t="shared" si="15"/>
        <v>96289.16770941313</v>
      </c>
      <c r="BE9" s="21">
        <f t="shared" si="15"/>
        <v>105918.08448035445</v>
      </c>
      <c r="BF9" s="21">
        <f t="shared" si="15"/>
        <v>116509.89292838991</v>
      </c>
      <c r="BG9" s="21">
        <f t="shared" si="15"/>
        <v>128160.88222122891</v>
      </c>
      <c r="BH9" s="21">
        <f t="shared" si="15"/>
        <v>140976.97044335181</v>
      </c>
      <c r="BI9" s="21">
        <f t="shared" si="15"/>
        <v>155074.66748768699</v>
      </c>
      <c r="BJ9" s="21">
        <f t="shared" si="15"/>
        <v>170582.13423645572</v>
      </c>
      <c r="BK9" s="21">
        <f t="shared" si="15"/>
        <v>187640.34766010131</v>
      </c>
      <c r="BL9" s="21">
        <f t="shared" si="15"/>
        <v>206404.38242611146</v>
      </c>
      <c r="BM9" s="21">
        <f t="shared" si="15"/>
        <v>227044.82066872262</v>
      </c>
      <c r="BN9" s="21">
        <f t="shared" si="15"/>
        <v>249749.30273559489</v>
      </c>
      <c r="BO9" s="21">
        <f t="shared" si="15"/>
        <v>274724.23300915438</v>
      </c>
      <c r="BP9" s="21">
        <f t="shared" si="15"/>
        <v>302196.65631006984</v>
      </c>
      <c r="BQ9" s="21">
        <f t="shared" si="15"/>
        <v>332416.32194107684</v>
      </c>
      <c r="BR9" s="21">
        <f t="shared" si="15"/>
        <v>365657.95413518453</v>
      </c>
      <c r="BS9" s="21">
        <f t="shared" ref="BS9:ED9" si="16">IF(IF(AND(ISNA(BS$5),ISNA(BR$5)),BR9*(1+$E9),IF(AND(BR$5&gt;0,ISNA(BS$5)),BR9*(1+$E9),BS$5))&gt;$C$21,$C$21,IF(AND(ISNA(BS$5),ISNA(BR$5)),BR9*(1+$E9),IF(AND(BR$5&gt;0,ISNA(BS$5)),BR9*(1+$E9),BS$5)))</f>
        <v>402223.74954870302</v>
      </c>
      <c r="BT9" s="21">
        <f t="shared" si="16"/>
        <v>442446.12450357334</v>
      </c>
      <c r="BU9" s="21">
        <f t="shared" si="16"/>
        <v>486690.7369539307</v>
      </c>
      <c r="BV9" s="21">
        <f t="shared" si="16"/>
        <v>535359.81064932386</v>
      </c>
      <c r="BW9" s="21">
        <f t="shared" si="16"/>
        <v>588895.79171425628</v>
      </c>
      <c r="BX9" s="21">
        <f t="shared" si="16"/>
        <v>647785.37088568194</v>
      </c>
      <c r="BY9" s="21">
        <f t="shared" si="16"/>
        <v>712563.90797425015</v>
      </c>
      <c r="BZ9" s="21">
        <f t="shared" si="16"/>
        <v>783820.29877167521</v>
      </c>
      <c r="CA9" s="21">
        <f t="shared" si="16"/>
        <v>862202.32864884275</v>
      </c>
      <c r="CB9" s="21">
        <f t="shared" si="16"/>
        <v>948422.56151372707</v>
      </c>
      <c r="CC9" s="21">
        <f t="shared" si="16"/>
        <v>1043264.8176650999</v>
      </c>
      <c r="CD9" s="21">
        <f t="shared" si="16"/>
        <v>1147591.2994316099</v>
      </c>
      <c r="CE9" s="21">
        <f t="shared" si="16"/>
        <v>1262350.429374771</v>
      </c>
      <c r="CF9" s="21">
        <f t="shared" si="16"/>
        <v>1388585.4723122481</v>
      </c>
      <c r="CG9" s="21">
        <f t="shared" si="16"/>
        <v>1527444.0195434729</v>
      </c>
      <c r="CH9" s="21">
        <f t="shared" si="16"/>
        <v>1680188.4214978204</v>
      </c>
      <c r="CI9" s="21">
        <f t="shared" si="16"/>
        <v>1848207.2636476026</v>
      </c>
      <c r="CJ9" s="21">
        <f t="shared" si="16"/>
        <v>2033027.9900123631</v>
      </c>
      <c r="CK9" s="21">
        <f t="shared" si="16"/>
        <v>2236330.7890135995</v>
      </c>
      <c r="CL9" s="21">
        <f t="shared" si="16"/>
        <v>2459963.8679149598</v>
      </c>
      <c r="CM9" s="21">
        <f t="shared" si="16"/>
        <v>2705960.2547064559</v>
      </c>
      <c r="CN9" s="21">
        <f t="shared" si="16"/>
        <v>2976556.2801771015</v>
      </c>
      <c r="CO9" s="21">
        <f t="shared" si="16"/>
        <v>3274211.908194812</v>
      </c>
      <c r="CP9" s="21">
        <f t="shared" si="16"/>
        <v>3601633.0990142934</v>
      </c>
      <c r="CQ9" s="21">
        <f t="shared" si="16"/>
        <v>3961796.4089157232</v>
      </c>
      <c r="CR9" s="21">
        <f t="shared" si="16"/>
        <v>4357976.0498072961</v>
      </c>
      <c r="CS9" s="21">
        <f t="shared" si="16"/>
        <v>4793773.6547880266</v>
      </c>
      <c r="CT9" s="21">
        <f t="shared" si="16"/>
        <v>5273151.02026683</v>
      </c>
      <c r="CU9" s="21">
        <f t="shared" si="16"/>
        <v>5800466.1222935133</v>
      </c>
      <c r="CV9" s="21">
        <f t="shared" si="16"/>
        <v>6380512.7345228652</v>
      </c>
      <c r="CW9" s="21">
        <f t="shared" si="16"/>
        <v>7018564.0079751527</v>
      </c>
      <c r="CX9" s="21">
        <f t="shared" si="16"/>
        <v>7720420.4087726688</v>
      </c>
      <c r="CY9" s="21">
        <f t="shared" si="16"/>
        <v>8492462.4496499356</v>
      </c>
      <c r="CZ9" s="21">
        <f t="shared" si="16"/>
        <v>9341708.6946149301</v>
      </c>
      <c r="DA9" s="21">
        <f t="shared" si="16"/>
        <v>10275879.564076424</v>
      </c>
      <c r="DB9" s="21">
        <f t="shared" si="16"/>
        <v>11303467.520484067</v>
      </c>
      <c r="DC9" s="21">
        <f t="shared" si="16"/>
        <v>12433814.272532476</v>
      </c>
      <c r="DD9" s="21">
        <f t="shared" si="16"/>
        <v>13677195.699785724</v>
      </c>
      <c r="DE9" s="21">
        <f t="shared" si="16"/>
        <v>15044915.269764299</v>
      </c>
      <c r="DF9" s="21">
        <f t="shared" si="16"/>
        <v>16549406.796740729</v>
      </c>
      <c r="DG9" s="21">
        <f t="shared" si="16"/>
        <v>18204347.476414803</v>
      </c>
      <c r="DH9" s="21">
        <f t="shared" si="16"/>
        <v>20024782.224056285</v>
      </c>
      <c r="DI9" s="21">
        <f t="shared" si="16"/>
        <v>22027260.446461916</v>
      </c>
      <c r="DJ9" s="21">
        <f t="shared" si="16"/>
        <v>24229986.491108108</v>
      </c>
      <c r="DK9" s="21">
        <f t="shared" si="16"/>
        <v>26652985.140218921</v>
      </c>
      <c r="DL9" s="21">
        <f t="shared" si="16"/>
        <v>27154404.400000002</v>
      </c>
      <c r="DM9" s="21">
        <f t="shared" si="16"/>
        <v>27154404.400000002</v>
      </c>
      <c r="DN9" s="21">
        <f t="shared" si="16"/>
        <v>27154404.400000002</v>
      </c>
      <c r="DO9" s="21">
        <f t="shared" si="16"/>
        <v>27154404.400000002</v>
      </c>
      <c r="DP9" s="21">
        <f t="shared" si="16"/>
        <v>27154404.400000002</v>
      </c>
      <c r="DQ9" s="21">
        <f t="shared" si="16"/>
        <v>27154404.400000002</v>
      </c>
      <c r="DR9" s="21">
        <f t="shared" si="16"/>
        <v>27154404.400000002</v>
      </c>
      <c r="DS9" s="21">
        <f t="shared" si="16"/>
        <v>27154404.400000002</v>
      </c>
      <c r="DT9" s="21">
        <f t="shared" si="16"/>
        <v>27154404.400000002</v>
      </c>
      <c r="DU9" s="21">
        <f t="shared" si="16"/>
        <v>27154404.400000002</v>
      </c>
      <c r="DV9" s="21">
        <f t="shared" si="16"/>
        <v>27154404.400000002</v>
      </c>
      <c r="DW9" s="21">
        <f t="shared" si="16"/>
        <v>27154404.400000002</v>
      </c>
      <c r="DX9" s="21">
        <f t="shared" si="16"/>
        <v>27154404.400000002</v>
      </c>
      <c r="DY9" s="21">
        <f t="shared" si="16"/>
        <v>27154404.400000002</v>
      </c>
      <c r="DZ9" s="21">
        <f t="shared" si="16"/>
        <v>27154404.400000002</v>
      </c>
      <c r="EA9" s="21">
        <f t="shared" si="16"/>
        <v>27154404.400000002</v>
      </c>
      <c r="EB9" s="21">
        <f t="shared" si="16"/>
        <v>27154404.400000002</v>
      </c>
      <c r="EC9" s="21">
        <f t="shared" si="16"/>
        <v>27154404.400000002</v>
      </c>
      <c r="ED9" s="21">
        <f t="shared" si="16"/>
        <v>27154404.400000002</v>
      </c>
      <c r="EE9" s="21">
        <f t="shared" ref="EE9:GP9" si="17">IF(IF(AND(ISNA(EE$5),ISNA(ED$5)),ED9*(1+$E9),IF(AND(ED$5&gt;0,ISNA(EE$5)),ED9*(1+$E9),EE$5))&gt;$C$21,$C$21,IF(AND(ISNA(EE$5),ISNA(ED$5)),ED9*(1+$E9),IF(AND(ED$5&gt;0,ISNA(EE$5)),ED9*(1+$E9),EE$5)))</f>
        <v>27154404.400000002</v>
      </c>
      <c r="EF9" s="21">
        <f t="shared" si="17"/>
        <v>27154404.400000002</v>
      </c>
      <c r="EG9" s="21">
        <f t="shared" si="17"/>
        <v>27154404.400000002</v>
      </c>
      <c r="EH9" s="21">
        <f t="shared" si="17"/>
        <v>27154404.400000002</v>
      </c>
      <c r="EI9" s="21">
        <f t="shared" si="17"/>
        <v>27154404.400000002</v>
      </c>
      <c r="EJ9" s="21">
        <f t="shared" si="17"/>
        <v>27154404.400000002</v>
      </c>
      <c r="EK9" s="21">
        <f t="shared" si="17"/>
        <v>27154404.400000002</v>
      </c>
      <c r="EL9" s="21">
        <f t="shared" si="17"/>
        <v>27154404.400000002</v>
      </c>
      <c r="EM9" s="21">
        <f t="shared" si="17"/>
        <v>27154404.400000002</v>
      </c>
      <c r="EN9" s="21">
        <f t="shared" si="17"/>
        <v>27154404.400000002</v>
      </c>
      <c r="EO9" s="21">
        <f t="shared" si="17"/>
        <v>27154404.400000002</v>
      </c>
      <c r="EP9" s="21">
        <f t="shared" si="17"/>
        <v>27154404.400000002</v>
      </c>
      <c r="EQ9" s="21">
        <f t="shared" si="17"/>
        <v>27154404.400000002</v>
      </c>
      <c r="ER9" s="21">
        <f t="shared" si="17"/>
        <v>27154404.400000002</v>
      </c>
      <c r="ES9" s="21">
        <f t="shared" si="17"/>
        <v>27154404.400000002</v>
      </c>
      <c r="ET9" s="21">
        <f t="shared" si="17"/>
        <v>27154404.400000002</v>
      </c>
      <c r="EU9" s="21">
        <f t="shared" si="17"/>
        <v>27154404.400000002</v>
      </c>
      <c r="EV9" s="21">
        <f t="shared" si="17"/>
        <v>27154404.400000002</v>
      </c>
      <c r="EW9" s="21">
        <f t="shared" si="17"/>
        <v>27154404.400000002</v>
      </c>
      <c r="EX9" s="21">
        <f t="shared" si="17"/>
        <v>27154404.400000002</v>
      </c>
      <c r="EY9" s="21">
        <f t="shared" si="17"/>
        <v>27154404.400000002</v>
      </c>
      <c r="EZ9" s="21">
        <f t="shared" si="17"/>
        <v>27154404.400000002</v>
      </c>
      <c r="FA9" s="21">
        <f t="shared" si="17"/>
        <v>27154404.400000002</v>
      </c>
      <c r="FB9" s="21">
        <f t="shared" si="17"/>
        <v>27154404.400000002</v>
      </c>
      <c r="FC9" s="21">
        <f t="shared" si="17"/>
        <v>27154404.400000002</v>
      </c>
      <c r="FD9" s="21">
        <f t="shared" si="17"/>
        <v>27154404.400000002</v>
      </c>
      <c r="FE9" s="21">
        <f t="shared" si="17"/>
        <v>27154404.400000002</v>
      </c>
      <c r="FF9" s="21">
        <f t="shared" si="17"/>
        <v>27154404.400000002</v>
      </c>
      <c r="FG9" s="21">
        <f t="shared" si="17"/>
        <v>27154404.400000002</v>
      </c>
      <c r="FH9" s="21">
        <f t="shared" si="17"/>
        <v>27154404.400000002</v>
      </c>
      <c r="FI9" s="21">
        <f t="shared" si="17"/>
        <v>27154404.400000002</v>
      </c>
      <c r="FJ9" s="21">
        <f t="shared" si="17"/>
        <v>27154404.400000002</v>
      </c>
      <c r="FK9" s="21">
        <f t="shared" si="17"/>
        <v>27154404.400000002</v>
      </c>
      <c r="FL9" s="21">
        <f t="shared" si="17"/>
        <v>27154404.400000002</v>
      </c>
      <c r="FM9" s="21">
        <f t="shared" si="17"/>
        <v>27154404.400000002</v>
      </c>
      <c r="FN9" s="21">
        <f t="shared" si="17"/>
        <v>27154404.400000002</v>
      </c>
      <c r="FO9" s="21">
        <f t="shared" si="17"/>
        <v>27154404.400000002</v>
      </c>
      <c r="FP9" s="21">
        <f t="shared" si="17"/>
        <v>27154404.400000002</v>
      </c>
      <c r="FQ9" s="21">
        <f t="shared" si="17"/>
        <v>27154404.400000002</v>
      </c>
      <c r="FR9" s="21">
        <f t="shared" si="17"/>
        <v>27154404.400000002</v>
      </c>
      <c r="FS9" s="21">
        <f t="shared" si="17"/>
        <v>27154404.400000002</v>
      </c>
      <c r="FT9" s="21">
        <f t="shared" si="17"/>
        <v>27154404.400000002</v>
      </c>
      <c r="FU9" s="21">
        <f t="shared" si="17"/>
        <v>27154404.400000002</v>
      </c>
      <c r="FV9" s="21">
        <f t="shared" si="17"/>
        <v>27154404.400000002</v>
      </c>
      <c r="FW9" s="21">
        <f t="shared" si="17"/>
        <v>27154404.400000002</v>
      </c>
      <c r="FX9" s="21">
        <f t="shared" si="17"/>
        <v>27154404.400000002</v>
      </c>
      <c r="FY9" s="21">
        <f t="shared" si="17"/>
        <v>27154404.400000002</v>
      </c>
      <c r="FZ9" s="21">
        <f t="shared" si="17"/>
        <v>27154404.400000002</v>
      </c>
      <c r="GA9" s="21">
        <f t="shared" si="17"/>
        <v>27154404.400000002</v>
      </c>
      <c r="GB9" s="21">
        <f t="shared" si="17"/>
        <v>27154404.400000002</v>
      </c>
      <c r="GC9" s="21">
        <f t="shared" si="17"/>
        <v>27154404.400000002</v>
      </c>
      <c r="GD9" s="21">
        <f t="shared" si="17"/>
        <v>27154404.400000002</v>
      </c>
      <c r="GE9" s="21">
        <f t="shared" si="17"/>
        <v>27154404.400000002</v>
      </c>
      <c r="GF9" s="21">
        <f t="shared" si="17"/>
        <v>27154404.400000002</v>
      </c>
      <c r="GG9" s="21">
        <f t="shared" si="17"/>
        <v>27154404.400000002</v>
      </c>
      <c r="GH9" s="21">
        <f t="shared" si="17"/>
        <v>27154404.400000002</v>
      </c>
      <c r="GI9" s="21">
        <f t="shared" si="17"/>
        <v>27154404.400000002</v>
      </c>
      <c r="GJ9" s="21">
        <f t="shared" si="17"/>
        <v>27154404.400000002</v>
      </c>
      <c r="GK9" s="21">
        <f t="shared" si="17"/>
        <v>27154404.400000002</v>
      </c>
      <c r="GL9" s="21">
        <f t="shared" si="17"/>
        <v>27154404.400000002</v>
      </c>
      <c r="GM9" s="21">
        <f t="shared" si="17"/>
        <v>27154404.400000002</v>
      </c>
      <c r="GN9" s="21">
        <f t="shared" si="17"/>
        <v>27154404.400000002</v>
      </c>
      <c r="GO9" s="21">
        <f t="shared" si="17"/>
        <v>27154404.400000002</v>
      </c>
      <c r="GP9" s="21">
        <f t="shared" si="17"/>
        <v>27154404.400000002</v>
      </c>
      <c r="GQ9" s="21">
        <f t="shared" ref="GQ9:IN9" si="18">IF(IF(AND(ISNA(GQ$5),ISNA(GP$5)),GP9*(1+$E9),IF(AND(GP$5&gt;0,ISNA(GQ$5)),GP9*(1+$E9),GQ$5))&gt;$C$21,$C$21,IF(AND(ISNA(GQ$5),ISNA(GP$5)),GP9*(1+$E9),IF(AND(GP$5&gt;0,ISNA(GQ$5)),GP9*(1+$E9),GQ$5)))</f>
        <v>27154404.400000002</v>
      </c>
      <c r="GR9" s="21">
        <f t="shared" si="18"/>
        <v>27154404.400000002</v>
      </c>
      <c r="GS9" s="21">
        <f t="shared" si="18"/>
        <v>27154404.400000002</v>
      </c>
      <c r="GT9" s="21">
        <f t="shared" si="18"/>
        <v>27154404.400000002</v>
      </c>
      <c r="GU9" s="21">
        <f t="shared" si="18"/>
        <v>27154404.400000002</v>
      </c>
      <c r="GV9" s="21">
        <f t="shared" si="18"/>
        <v>27154404.400000002</v>
      </c>
      <c r="GW9" s="21">
        <f t="shared" si="18"/>
        <v>27154404.400000002</v>
      </c>
      <c r="GX9" s="21">
        <f t="shared" si="18"/>
        <v>27154404.400000002</v>
      </c>
      <c r="GY9" s="21">
        <f t="shared" si="18"/>
        <v>27154404.400000002</v>
      </c>
      <c r="GZ9" s="21">
        <f t="shared" si="18"/>
        <v>27154404.400000002</v>
      </c>
      <c r="HA9" s="21">
        <f t="shared" si="18"/>
        <v>27154404.400000002</v>
      </c>
      <c r="HB9" s="21">
        <f t="shared" si="18"/>
        <v>27154404.400000002</v>
      </c>
      <c r="HC9" s="21">
        <f t="shared" si="18"/>
        <v>27154404.400000002</v>
      </c>
      <c r="HD9" s="21">
        <f t="shared" si="18"/>
        <v>27154404.400000002</v>
      </c>
      <c r="HE9" s="21">
        <f t="shared" si="18"/>
        <v>27154404.400000002</v>
      </c>
      <c r="HF9" s="21">
        <f t="shared" si="18"/>
        <v>27154404.400000002</v>
      </c>
      <c r="HG9" s="21">
        <f t="shared" si="18"/>
        <v>27154404.400000002</v>
      </c>
      <c r="HH9" s="21">
        <f t="shared" si="18"/>
        <v>27154404.400000002</v>
      </c>
      <c r="HI9" s="21">
        <f t="shared" si="18"/>
        <v>27154404.400000002</v>
      </c>
      <c r="HJ9" s="21">
        <f t="shared" si="18"/>
        <v>27154404.400000002</v>
      </c>
      <c r="HK9" s="21">
        <f t="shared" si="18"/>
        <v>27154404.400000002</v>
      </c>
      <c r="HL9" s="21">
        <f t="shared" si="18"/>
        <v>27154404.400000002</v>
      </c>
      <c r="HM9" s="21">
        <f t="shared" si="18"/>
        <v>27154404.400000002</v>
      </c>
      <c r="HN9" s="21">
        <f t="shared" si="18"/>
        <v>27154404.400000002</v>
      </c>
      <c r="HO9" s="21">
        <f t="shared" si="18"/>
        <v>27154404.400000002</v>
      </c>
      <c r="HP9" s="21">
        <f t="shared" si="18"/>
        <v>27154404.400000002</v>
      </c>
      <c r="HQ9" s="21">
        <f t="shared" si="18"/>
        <v>27154404.400000002</v>
      </c>
      <c r="HR9" s="21">
        <f t="shared" si="18"/>
        <v>27154404.400000002</v>
      </c>
      <c r="HS9" s="21">
        <f t="shared" si="18"/>
        <v>27154404.400000002</v>
      </c>
      <c r="HT9" s="21">
        <f t="shared" si="18"/>
        <v>27154404.400000002</v>
      </c>
      <c r="HU9" s="21">
        <f t="shared" si="18"/>
        <v>27154404.400000002</v>
      </c>
      <c r="HV9" s="21">
        <f t="shared" si="18"/>
        <v>27154404.400000002</v>
      </c>
      <c r="HW9" s="21">
        <f t="shared" si="18"/>
        <v>27154404.400000002</v>
      </c>
      <c r="HX9" s="21">
        <f t="shared" si="18"/>
        <v>27154404.400000002</v>
      </c>
      <c r="HY9" s="21">
        <f t="shared" si="18"/>
        <v>27154404.400000002</v>
      </c>
      <c r="HZ9" s="21">
        <f t="shared" si="18"/>
        <v>27154404.400000002</v>
      </c>
      <c r="IA9" s="21">
        <f t="shared" si="18"/>
        <v>27154404.400000002</v>
      </c>
      <c r="IB9" s="21">
        <f t="shared" si="18"/>
        <v>27154404.400000002</v>
      </c>
      <c r="IC9" s="21">
        <f t="shared" si="18"/>
        <v>27154404.400000002</v>
      </c>
      <c r="ID9" s="21">
        <f t="shared" si="18"/>
        <v>27154404.400000002</v>
      </c>
      <c r="IE9" s="21">
        <f t="shared" si="18"/>
        <v>27154404.400000002</v>
      </c>
      <c r="IF9" s="21">
        <f t="shared" si="18"/>
        <v>27154404.400000002</v>
      </c>
      <c r="IG9" s="21">
        <f t="shared" si="18"/>
        <v>27154404.400000002</v>
      </c>
      <c r="IH9" s="21">
        <f t="shared" si="18"/>
        <v>27154404.400000002</v>
      </c>
      <c r="II9" s="21">
        <f t="shared" si="18"/>
        <v>27154404.400000002</v>
      </c>
      <c r="IJ9" s="21">
        <f t="shared" si="18"/>
        <v>27154404.400000002</v>
      </c>
      <c r="IK9" s="21">
        <f t="shared" si="18"/>
        <v>27154404.400000002</v>
      </c>
      <c r="IL9" s="21">
        <f t="shared" si="18"/>
        <v>27154404.400000002</v>
      </c>
      <c r="IM9" s="21">
        <f t="shared" si="18"/>
        <v>27154404.400000002</v>
      </c>
      <c r="IN9" s="21">
        <f t="shared" si="18"/>
        <v>27154404.400000002</v>
      </c>
    </row>
    <row r="10" spans="2:248" x14ac:dyDescent="0.3">
      <c r="B10" s="19" t="s">
        <v>452</v>
      </c>
      <c r="C10" s="19">
        <v>5</v>
      </c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  <c r="CD10" s="21"/>
      <c r="CE10" s="21"/>
      <c r="CF10" s="21"/>
      <c r="CG10" s="21"/>
      <c r="CH10" s="21"/>
      <c r="CI10" s="21"/>
      <c r="CJ10" s="21"/>
      <c r="CK10" s="21"/>
      <c r="CL10" s="21"/>
      <c r="CM10" s="21"/>
      <c r="CN10" s="21"/>
      <c r="CO10" s="21"/>
      <c r="CP10" s="21"/>
      <c r="CQ10" s="21"/>
      <c r="CR10" s="21"/>
      <c r="CS10" s="21"/>
      <c r="CT10" s="21"/>
      <c r="CU10" s="21"/>
      <c r="CV10" s="21"/>
      <c r="CW10" s="21"/>
      <c r="CX10" s="21"/>
      <c r="CY10" s="21"/>
      <c r="CZ10" s="21"/>
      <c r="DA10" s="21"/>
      <c r="DB10" s="21"/>
      <c r="DC10" s="21"/>
      <c r="DD10" s="21"/>
      <c r="DE10" s="21"/>
      <c r="DF10" s="21"/>
      <c r="DG10" s="21"/>
      <c r="DH10" s="21"/>
      <c r="DI10" s="21"/>
      <c r="DJ10" s="21"/>
      <c r="DK10" s="21"/>
      <c r="DL10" s="21"/>
      <c r="DM10" s="21"/>
      <c r="DN10" s="21"/>
      <c r="DO10" s="21"/>
      <c r="DP10" s="21"/>
      <c r="DQ10" s="21"/>
      <c r="DR10" s="21"/>
      <c r="DS10" s="21"/>
      <c r="DT10" s="21"/>
      <c r="DU10" s="21"/>
      <c r="DV10" s="21"/>
      <c r="DW10" s="21"/>
      <c r="DX10" s="21"/>
      <c r="DY10" s="21"/>
      <c r="DZ10" s="21"/>
      <c r="EA10" s="21"/>
      <c r="EB10" s="21"/>
      <c r="EC10" s="21"/>
      <c r="ED10" s="21"/>
      <c r="EE10" s="21"/>
      <c r="EF10" s="21"/>
      <c r="EG10" s="21"/>
      <c r="EH10" s="21"/>
      <c r="EI10" s="21"/>
      <c r="EJ10" s="21"/>
      <c r="EK10" s="21"/>
      <c r="EL10" s="21"/>
      <c r="EM10" s="21"/>
      <c r="EN10" s="21"/>
      <c r="EO10" s="21"/>
      <c r="EP10" s="21"/>
      <c r="EQ10" s="21"/>
      <c r="ER10" s="21"/>
      <c r="ES10" s="21"/>
      <c r="ET10" s="21"/>
      <c r="EU10" s="21"/>
      <c r="EV10" s="21"/>
      <c r="EW10" s="21"/>
      <c r="EX10" s="21"/>
      <c r="EY10" s="21"/>
      <c r="EZ10" s="21"/>
      <c r="FA10" s="21"/>
      <c r="FB10" s="21"/>
      <c r="FC10" s="21"/>
      <c r="FD10" s="21"/>
      <c r="FE10" s="21"/>
      <c r="FF10" s="21"/>
      <c r="FG10" s="21"/>
      <c r="FH10" s="21"/>
      <c r="FI10" s="21"/>
      <c r="FJ10" s="21"/>
      <c r="FK10" s="21"/>
      <c r="FL10" s="21"/>
      <c r="FM10" s="21"/>
      <c r="FN10" s="21"/>
      <c r="FO10" s="21"/>
      <c r="FP10" s="21"/>
      <c r="FQ10" s="21"/>
      <c r="FR10" s="21"/>
      <c r="FS10" s="21"/>
      <c r="FT10" s="21"/>
      <c r="FU10" s="21"/>
      <c r="FV10" s="21"/>
      <c r="FW10" s="21"/>
      <c r="FX10" s="21"/>
      <c r="FY10" s="21"/>
      <c r="FZ10" s="21"/>
      <c r="GA10" s="21"/>
      <c r="GB10" s="21"/>
      <c r="GC10" s="21"/>
      <c r="GD10" s="21"/>
      <c r="GE10" s="21"/>
      <c r="GF10" s="21"/>
      <c r="GG10" s="21"/>
      <c r="GH10" s="21"/>
      <c r="GI10" s="21"/>
      <c r="GJ10" s="21"/>
      <c r="GK10" s="21"/>
      <c r="GL10" s="21"/>
      <c r="GM10" s="21"/>
      <c r="GN10" s="21"/>
      <c r="GO10" s="21"/>
      <c r="GP10" s="21"/>
      <c r="GQ10" s="21"/>
      <c r="GR10" s="21"/>
      <c r="GS10" s="21"/>
      <c r="GT10" s="21"/>
      <c r="GU10" s="21"/>
      <c r="GV10" s="21"/>
      <c r="GW10" s="21"/>
      <c r="GX10" s="21"/>
      <c r="GY10" s="21"/>
      <c r="GZ10" s="21"/>
      <c r="HA10" s="21"/>
      <c r="HB10" s="21"/>
      <c r="HC10" s="21"/>
      <c r="HD10" s="21"/>
      <c r="HE10" s="21"/>
      <c r="HF10" s="21"/>
      <c r="HG10" s="21"/>
      <c r="HH10" s="21"/>
      <c r="HI10" s="21"/>
      <c r="HJ10" s="21"/>
      <c r="HK10" s="21"/>
      <c r="HL10" s="21"/>
      <c r="HM10" s="21"/>
      <c r="HN10" s="21"/>
      <c r="HO10" s="21"/>
      <c r="HP10" s="21"/>
      <c r="HQ10" s="21"/>
      <c r="HR10" s="21"/>
      <c r="HS10" s="21"/>
      <c r="HT10" s="21"/>
      <c r="HU10" s="21"/>
      <c r="HV10" s="21"/>
      <c r="HW10" s="21"/>
      <c r="HX10" s="21"/>
      <c r="HY10" s="21"/>
      <c r="HZ10" s="21"/>
      <c r="IA10" s="21"/>
      <c r="IB10" s="21"/>
      <c r="IC10" s="21"/>
      <c r="ID10" s="21"/>
      <c r="IE10" s="21"/>
      <c r="IF10" s="21"/>
      <c r="IG10" s="21"/>
      <c r="IH10" s="21"/>
      <c r="II10" s="21"/>
      <c r="IJ10" s="21"/>
      <c r="IK10" s="21"/>
      <c r="IL10" s="21"/>
      <c r="IM10" s="21"/>
      <c r="IN10" s="21"/>
    </row>
    <row r="11" spans="2:248" x14ac:dyDescent="0.3">
      <c r="B11" s="19" t="s">
        <v>533</v>
      </c>
      <c r="C11" s="23">
        <f>VLOOKUP(B2,Days_Since_100_active!C:G,5,FALSE)-1</f>
        <v>0.23441183506947327</v>
      </c>
      <c r="E11" s="22">
        <f>Projections!Z17</f>
        <v>0.25</v>
      </c>
      <c r="F11" s="22" t="s">
        <v>499</v>
      </c>
      <c r="G11" s="21">
        <f t="shared" ref="G11:BR11" si="19">IF(IF(AND(ISNA(G$5),ISNA(F$5)),F11*(1+$E11),IF(AND(F$5&gt;0,ISNA(G$5)),F11*(1+$E11),G$5))&gt;$C$21,$C$21,IF(AND(ISNA(G$5),ISNA(F$5)),F11*(1+$E11),IF(AND(F$5&gt;0,ISNA(G$5)),F11*(1+$E11),G$5)))</f>
        <v>107</v>
      </c>
      <c r="H11" s="21">
        <f t="shared" si="19"/>
        <v>154</v>
      </c>
      <c r="I11" s="21">
        <f t="shared" si="19"/>
        <v>187</v>
      </c>
      <c r="J11" s="21">
        <f t="shared" si="19"/>
        <v>253</v>
      </c>
      <c r="K11" s="21">
        <f t="shared" si="19"/>
        <v>300</v>
      </c>
      <c r="L11" s="21">
        <f t="shared" si="19"/>
        <v>359</v>
      </c>
      <c r="M11" s="21">
        <f t="shared" si="19"/>
        <v>432</v>
      </c>
      <c r="N11" s="21">
        <f t="shared" si="19"/>
        <v>563</v>
      </c>
      <c r="O11" s="21">
        <f t="shared" si="19"/>
        <v>775</v>
      </c>
      <c r="P11" s="21">
        <f t="shared" si="19"/>
        <v>1104</v>
      </c>
      <c r="Q11" s="21">
        <f t="shared" si="19"/>
        <v>1315</v>
      </c>
      <c r="R11" s="21">
        <f t="shared" si="19"/>
        <v>1474</v>
      </c>
      <c r="S11" s="21">
        <f t="shared" si="19"/>
        <v>1851</v>
      </c>
      <c r="T11" s="21">
        <f t="shared" si="19"/>
        <v>2503</v>
      </c>
      <c r="U11" s="21">
        <f t="shared" si="19"/>
        <v>2511</v>
      </c>
      <c r="V11" s="21">
        <f t="shared" si="19"/>
        <v>3769</v>
      </c>
      <c r="W11" s="21">
        <f t="shared" si="19"/>
        <v>4711.25</v>
      </c>
      <c r="X11" s="21">
        <f t="shared" si="19"/>
        <v>5889.0625</v>
      </c>
      <c r="Y11" s="21">
        <f t="shared" si="19"/>
        <v>7361.328125</v>
      </c>
      <c r="Z11" s="21">
        <f t="shared" si="19"/>
        <v>9201.66015625</v>
      </c>
      <c r="AA11" s="21">
        <f t="shared" si="19"/>
        <v>11502.0751953125</v>
      </c>
      <c r="AB11" s="21">
        <f t="shared" si="19"/>
        <v>14377.593994140625</v>
      </c>
      <c r="AC11" s="21">
        <f t="shared" si="19"/>
        <v>17971.992492675781</v>
      </c>
      <c r="AD11" s="21">
        <f t="shared" si="19"/>
        <v>22464.990615844727</v>
      </c>
      <c r="AE11" s="21">
        <f t="shared" si="19"/>
        <v>28081.238269805908</v>
      </c>
      <c r="AF11" s="21">
        <f t="shared" si="19"/>
        <v>35101.547837257385</v>
      </c>
      <c r="AG11" s="21">
        <f t="shared" si="19"/>
        <v>43876.934796571732</v>
      </c>
      <c r="AH11" s="21">
        <f t="shared" si="19"/>
        <v>54846.168495714664</v>
      </c>
      <c r="AI11" s="21">
        <f t="shared" si="19"/>
        <v>68557.710619643331</v>
      </c>
      <c r="AJ11" s="21">
        <f t="shared" si="19"/>
        <v>85697.138274554163</v>
      </c>
      <c r="AK11" s="21">
        <f t="shared" si="19"/>
        <v>107121.4228431927</v>
      </c>
      <c r="AL11" s="21">
        <f t="shared" si="19"/>
        <v>133901.77855399088</v>
      </c>
      <c r="AM11" s="21">
        <f t="shared" si="19"/>
        <v>167377.2231924886</v>
      </c>
      <c r="AN11" s="21">
        <f t="shared" si="19"/>
        <v>209221.52899061074</v>
      </c>
      <c r="AO11" s="21">
        <f t="shared" si="19"/>
        <v>261526.91123826342</v>
      </c>
      <c r="AP11" s="21">
        <f t="shared" si="19"/>
        <v>326908.63904782926</v>
      </c>
      <c r="AQ11" s="21">
        <f t="shared" si="19"/>
        <v>408635.79880978656</v>
      </c>
      <c r="AR11" s="21">
        <f t="shared" si="19"/>
        <v>510794.7485122332</v>
      </c>
      <c r="AS11" s="21">
        <f t="shared" si="19"/>
        <v>638493.43564029154</v>
      </c>
      <c r="AT11" s="21">
        <f t="shared" si="19"/>
        <v>798116.79455036437</v>
      </c>
      <c r="AU11" s="21">
        <f t="shared" si="19"/>
        <v>997645.99318795546</v>
      </c>
      <c r="AV11" s="21">
        <f t="shared" si="19"/>
        <v>1247057.4914849442</v>
      </c>
      <c r="AW11" s="21">
        <f t="shared" si="19"/>
        <v>1558821.8643561802</v>
      </c>
      <c r="AX11" s="21">
        <f t="shared" si="19"/>
        <v>1948527.3304452254</v>
      </c>
      <c r="AY11" s="21">
        <f t="shared" si="19"/>
        <v>2435659.1630565319</v>
      </c>
      <c r="AZ11" s="21">
        <f t="shared" si="19"/>
        <v>3044573.9538206649</v>
      </c>
      <c r="BA11" s="21">
        <f t="shared" si="19"/>
        <v>3805717.442275831</v>
      </c>
      <c r="BB11" s="21">
        <f t="shared" si="19"/>
        <v>4757146.8028447889</v>
      </c>
      <c r="BC11" s="21">
        <f t="shared" si="19"/>
        <v>5946433.5035559861</v>
      </c>
      <c r="BD11" s="21">
        <f t="shared" si="19"/>
        <v>7433041.8794449829</v>
      </c>
      <c r="BE11" s="21">
        <f t="shared" si="19"/>
        <v>9291302.3493062295</v>
      </c>
      <c r="BF11" s="21">
        <f t="shared" si="19"/>
        <v>11614127.936632786</v>
      </c>
      <c r="BG11" s="21">
        <f t="shared" si="19"/>
        <v>14517659.920790982</v>
      </c>
      <c r="BH11" s="21">
        <f t="shared" si="19"/>
        <v>18147074.900988728</v>
      </c>
      <c r="BI11" s="21">
        <f t="shared" si="19"/>
        <v>22683843.62623591</v>
      </c>
      <c r="BJ11" s="21">
        <f t="shared" si="19"/>
        <v>27154404.400000002</v>
      </c>
      <c r="BK11" s="21">
        <f t="shared" si="19"/>
        <v>27154404.400000002</v>
      </c>
      <c r="BL11" s="21">
        <f t="shared" si="19"/>
        <v>27154404.400000002</v>
      </c>
      <c r="BM11" s="21">
        <f t="shared" si="19"/>
        <v>27154404.400000002</v>
      </c>
      <c r="BN11" s="21">
        <f t="shared" si="19"/>
        <v>27154404.400000002</v>
      </c>
      <c r="BO11" s="21">
        <f t="shared" si="19"/>
        <v>27154404.400000002</v>
      </c>
      <c r="BP11" s="21">
        <f t="shared" si="19"/>
        <v>27154404.400000002</v>
      </c>
      <c r="BQ11" s="21">
        <f t="shared" si="19"/>
        <v>27154404.400000002</v>
      </c>
      <c r="BR11" s="21">
        <f t="shared" si="19"/>
        <v>27154404.400000002</v>
      </c>
      <c r="BS11" s="21">
        <f t="shared" ref="BS11:ED11" si="20">IF(IF(AND(ISNA(BS$5),ISNA(BR$5)),BR11*(1+$E11),IF(AND(BR$5&gt;0,ISNA(BS$5)),BR11*(1+$E11),BS$5))&gt;$C$21,$C$21,IF(AND(ISNA(BS$5),ISNA(BR$5)),BR11*(1+$E11),IF(AND(BR$5&gt;0,ISNA(BS$5)),BR11*(1+$E11),BS$5)))</f>
        <v>27154404.400000002</v>
      </c>
      <c r="BT11" s="21">
        <f t="shared" si="20"/>
        <v>27154404.400000002</v>
      </c>
      <c r="BU11" s="21">
        <f t="shared" si="20"/>
        <v>27154404.400000002</v>
      </c>
      <c r="BV11" s="21">
        <f t="shared" si="20"/>
        <v>27154404.400000002</v>
      </c>
      <c r="BW11" s="21">
        <f t="shared" si="20"/>
        <v>27154404.400000002</v>
      </c>
      <c r="BX11" s="21">
        <f t="shared" si="20"/>
        <v>27154404.400000002</v>
      </c>
      <c r="BY11" s="21">
        <f t="shared" si="20"/>
        <v>27154404.400000002</v>
      </c>
      <c r="BZ11" s="21">
        <f t="shared" si="20"/>
        <v>27154404.400000002</v>
      </c>
      <c r="CA11" s="21">
        <f t="shared" si="20"/>
        <v>27154404.400000002</v>
      </c>
      <c r="CB11" s="21">
        <f t="shared" si="20"/>
        <v>27154404.400000002</v>
      </c>
      <c r="CC11" s="21">
        <f t="shared" si="20"/>
        <v>27154404.400000002</v>
      </c>
      <c r="CD11" s="21">
        <f t="shared" si="20"/>
        <v>27154404.400000002</v>
      </c>
      <c r="CE11" s="21">
        <f t="shared" si="20"/>
        <v>27154404.400000002</v>
      </c>
      <c r="CF11" s="21">
        <f t="shared" si="20"/>
        <v>27154404.400000002</v>
      </c>
      <c r="CG11" s="21">
        <f t="shared" si="20"/>
        <v>27154404.400000002</v>
      </c>
      <c r="CH11" s="21">
        <f t="shared" si="20"/>
        <v>27154404.400000002</v>
      </c>
      <c r="CI11" s="21">
        <f t="shared" si="20"/>
        <v>27154404.400000002</v>
      </c>
      <c r="CJ11" s="21">
        <f t="shared" si="20"/>
        <v>27154404.400000002</v>
      </c>
      <c r="CK11" s="21">
        <f t="shared" si="20"/>
        <v>27154404.400000002</v>
      </c>
      <c r="CL11" s="21">
        <f t="shared" si="20"/>
        <v>27154404.400000002</v>
      </c>
      <c r="CM11" s="21">
        <f t="shared" si="20"/>
        <v>27154404.400000002</v>
      </c>
      <c r="CN11" s="21">
        <f t="shared" si="20"/>
        <v>27154404.400000002</v>
      </c>
      <c r="CO11" s="21">
        <f t="shared" si="20"/>
        <v>27154404.400000002</v>
      </c>
      <c r="CP11" s="21">
        <f t="shared" si="20"/>
        <v>27154404.400000002</v>
      </c>
      <c r="CQ11" s="21">
        <f t="shared" si="20"/>
        <v>27154404.400000002</v>
      </c>
      <c r="CR11" s="21">
        <f t="shared" si="20"/>
        <v>27154404.400000002</v>
      </c>
      <c r="CS11" s="21">
        <f t="shared" si="20"/>
        <v>27154404.400000002</v>
      </c>
      <c r="CT11" s="21">
        <f t="shared" si="20"/>
        <v>27154404.400000002</v>
      </c>
      <c r="CU11" s="21">
        <f t="shared" si="20"/>
        <v>27154404.400000002</v>
      </c>
      <c r="CV11" s="21">
        <f t="shared" si="20"/>
        <v>27154404.400000002</v>
      </c>
      <c r="CW11" s="21">
        <f t="shared" si="20"/>
        <v>27154404.400000002</v>
      </c>
      <c r="CX11" s="21">
        <f t="shared" si="20"/>
        <v>27154404.400000002</v>
      </c>
      <c r="CY11" s="21">
        <f t="shared" si="20"/>
        <v>27154404.400000002</v>
      </c>
      <c r="CZ11" s="21">
        <f t="shared" si="20"/>
        <v>27154404.400000002</v>
      </c>
      <c r="DA11" s="21">
        <f t="shared" si="20"/>
        <v>27154404.400000002</v>
      </c>
      <c r="DB11" s="21">
        <f t="shared" si="20"/>
        <v>27154404.400000002</v>
      </c>
      <c r="DC11" s="21">
        <f t="shared" si="20"/>
        <v>27154404.400000002</v>
      </c>
      <c r="DD11" s="21">
        <f t="shared" si="20"/>
        <v>27154404.400000002</v>
      </c>
      <c r="DE11" s="21">
        <f t="shared" si="20"/>
        <v>27154404.400000002</v>
      </c>
      <c r="DF11" s="21">
        <f t="shared" si="20"/>
        <v>27154404.400000002</v>
      </c>
      <c r="DG11" s="21">
        <f t="shared" si="20"/>
        <v>27154404.400000002</v>
      </c>
      <c r="DH11" s="21">
        <f t="shared" si="20"/>
        <v>27154404.400000002</v>
      </c>
      <c r="DI11" s="21">
        <f t="shared" si="20"/>
        <v>27154404.400000002</v>
      </c>
      <c r="DJ11" s="21">
        <f t="shared" si="20"/>
        <v>27154404.400000002</v>
      </c>
      <c r="DK11" s="21">
        <f t="shared" si="20"/>
        <v>27154404.400000002</v>
      </c>
      <c r="DL11" s="21">
        <f t="shared" si="20"/>
        <v>27154404.400000002</v>
      </c>
      <c r="DM11" s="21">
        <f t="shared" si="20"/>
        <v>27154404.400000002</v>
      </c>
      <c r="DN11" s="21">
        <f t="shared" si="20"/>
        <v>27154404.400000002</v>
      </c>
      <c r="DO11" s="21">
        <f t="shared" si="20"/>
        <v>27154404.400000002</v>
      </c>
      <c r="DP11" s="21">
        <f t="shared" si="20"/>
        <v>27154404.400000002</v>
      </c>
      <c r="DQ11" s="21">
        <f t="shared" si="20"/>
        <v>27154404.400000002</v>
      </c>
      <c r="DR11" s="21">
        <f t="shared" si="20"/>
        <v>27154404.400000002</v>
      </c>
      <c r="DS11" s="21">
        <f t="shared" si="20"/>
        <v>27154404.400000002</v>
      </c>
      <c r="DT11" s="21">
        <f t="shared" si="20"/>
        <v>27154404.400000002</v>
      </c>
      <c r="DU11" s="21">
        <f t="shared" si="20"/>
        <v>27154404.400000002</v>
      </c>
      <c r="DV11" s="21">
        <f t="shared" si="20"/>
        <v>27154404.400000002</v>
      </c>
      <c r="DW11" s="21">
        <f t="shared" si="20"/>
        <v>27154404.400000002</v>
      </c>
      <c r="DX11" s="21">
        <f t="shared" si="20"/>
        <v>27154404.400000002</v>
      </c>
      <c r="DY11" s="21">
        <f t="shared" si="20"/>
        <v>27154404.400000002</v>
      </c>
      <c r="DZ11" s="21">
        <f t="shared" si="20"/>
        <v>27154404.400000002</v>
      </c>
      <c r="EA11" s="21">
        <f t="shared" si="20"/>
        <v>27154404.400000002</v>
      </c>
      <c r="EB11" s="21">
        <f t="shared" si="20"/>
        <v>27154404.400000002</v>
      </c>
      <c r="EC11" s="21">
        <f t="shared" si="20"/>
        <v>27154404.400000002</v>
      </c>
      <c r="ED11" s="21">
        <f t="shared" si="20"/>
        <v>27154404.400000002</v>
      </c>
      <c r="EE11" s="21">
        <f t="shared" ref="EE11:GP11" si="21">IF(IF(AND(ISNA(EE$5),ISNA(ED$5)),ED11*(1+$E11),IF(AND(ED$5&gt;0,ISNA(EE$5)),ED11*(1+$E11),EE$5))&gt;$C$21,$C$21,IF(AND(ISNA(EE$5),ISNA(ED$5)),ED11*(1+$E11),IF(AND(ED$5&gt;0,ISNA(EE$5)),ED11*(1+$E11),EE$5)))</f>
        <v>27154404.400000002</v>
      </c>
      <c r="EF11" s="21">
        <f t="shared" si="21"/>
        <v>27154404.400000002</v>
      </c>
      <c r="EG11" s="21">
        <f t="shared" si="21"/>
        <v>27154404.400000002</v>
      </c>
      <c r="EH11" s="21">
        <f t="shared" si="21"/>
        <v>27154404.400000002</v>
      </c>
      <c r="EI11" s="21">
        <f t="shared" si="21"/>
        <v>27154404.400000002</v>
      </c>
      <c r="EJ11" s="21">
        <f t="shared" si="21"/>
        <v>27154404.400000002</v>
      </c>
      <c r="EK11" s="21">
        <f t="shared" si="21"/>
        <v>27154404.400000002</v>
      </c>
      <c r="EL11" s="21">
        <f t="shared" si="21"/>
        <v>27154404.400000002</v>
      </c>
      <c r="EM11" s="21">
        <f t="shared" si="21"/>
        <v>27154404.400000002</v>
      </c>
      <c r="EN11" s="21">
        <f t="shared" si="21"/>
        <v>27154404.400000002</v>
      </c>
      <c r="EO11" s="21">
        <f t="shared" si="21"/>
        <v>27154404.400000002</v>
      </c>
      <c r="EP11" s="21">
        <f t="shared" si="21"/>
        <v>27154404.400000002</v>
      </c>
      <c r="EQ11" s="21">
        <f t="shared" si="21"/>
        <v>27154404.400000002</v>
      </c>
      <c r="ER11" s="21">
        <f t="shared" si="21"/>
        <v>27154404.400000002</v>
      </c>
      <c r="ES11" s="21">
        <f t="shared" si="21"/>
        <v>27154404.400000002</v>
      </c>
      <c r="ET11" s="21">
        <f t="shared" si="21"/>
        <v>27154404.400000002</v>
      </c>
      <c r="EU11" s="21">
        <f t="shared" si="21"/>
        <v>27154404.400000002</v>
      </c>
      <c r="EV11" s="21">
        <f t="shared" si="21"/>
        <v>27154404.400000002</v>
      </c>
      <c r="EW11" s="21">
        <f t="shared" si="21"/>
        <v>27154404.400000002</v>
      </c>
      <c r="EX11" s="21">
        <f t="shared" si="21"/>
        <v>27154404.400000002</v>
      </c>
      <c r="EY11" s="21">
        <f t="shared" si="21"/>
        <v>27154404.400000002</v>
      </c>
      <c r="EZ11" s="21">
        <f t="shared" si="21"/>
        <v>27154404.400000002</v>
      </c>
      <c r="FA11" s="21">
        <f t="shared" si="21"/>
        <v>27154404.400000002</v>
      </c>
      <c r="FB11" s="21">
        <f t="shared" si="21"/>
        <v>27154404.400000002</v>
      </c>
      <c r="FC11" s="21">
        <f t="shared" si="21"/>
        <v>27154404.400000002</v>
      </c>
      <c r="FD11" s="21">
        <f t="shared" si="21"/>
        <v>27154404.400000002</v>
      </c>
      <c r="FE11" s="21">
        <f t="shared" si="21"/>
        <v>27154404.400000002</v>
      </c>
      <c r="FF11" s="21">
        <f t="shared" si="21"/>
        <v>27154404.400000002</v>
      </c>
      <c r="FG11" s="21">
        <f t="shared" si="21"/>
        <v>27154404.400000002</v>
      </c>
      <c r="FH11" s="21">
        <f t="shared" si="21"/>
        <v>27154404.400000002</v>
      </c>
      <c r="FI11" s="21">
        <f t="shared" si="21"/>
        <v>27154404.400000002</v>
      </c>
      <c r="FJ11" s="21">
        <f t="shared" si="21"/>
        <v>27154404.400000002</v>
      </c>
      <c r="FK11" s="21">
        <f t="shared" si="21"/>
        <v>27154404.400000002</v>
      </c>
      <c r="FL11" s="21">
        <f t="shared" si="21"/>
        <v>27154404.400000002</v>
      </c>
      <c r="FM11" s="21">
        <f t="shared" si="21"/>
        <v>27154404.400000002</v>
      </c>
      <c r="FN11" s="21">
        <f t="shared" si="21"/>
        <v>27154404.400000002</v>
      </c>
      <c r="FO11" s="21">
        <f t="shared" si="21"/>
        <v>27154404.400000002</v>
      </c>
      <c r="FP11" s="21">
        <f t="shared" si="21"/>
        <v>27154404.400000002</v>
      </c>
      <c r="FQ11" s="21">
        <f t="shared" si="21"/>
        <v>27154404.400000002</v>
      </c>
      <c r="FR11" s="21">
        <f t="shared" si="21"/>
        <v>27154404.400000002</v>
      </c>
      <c r="FS11" s="21">
        <f t="shared" si="21"/>
        <v>27154404.400000002</v>
      </c>
      <c r="FT11" s="21">
        <f t="shared" si="21"/>
        <v>27154404.400000002</v>
      </c>
      <c r="FU11" s="21">
        <f t="shared" si="21"/>
        <v>27154404.400000002</v>
      </c>
      <c r="FV11" s="21">
        <f t="shared" si="21"/>
        <v>27154404.400000002</v>
      </c>
      <c r="FW11" s="21">
        <f t="shared" si="21"/>
        <v>27154404.400000002</v>
      </c>
      <c r="FX11" s="21">
        <f t="shared" si="21"/>
        <v>27154404.400000002</v>
      </c>
      <c r="FY11" s="21">
        <f t="shared" si="21"/>
        <v>27154404.400000002</v>
      </c>
      <c r="FZ11" s="21">
        <f t="shared" si="21"/>
        <v>27154404.400000002</v>
      </c>
      <c r="GA11" s="21">
        <f t="shared" si="21"/>
        <v>27154404.400000002</v>
      </c>
      <c r="GB11" s="21">
        <f t="shared" si="21"/>
        <v>27154404.400000002</v>
      </c>
      <c r="GC11" s="21">
        <f t="shared" si="21"/>
        <v>27154404.400000002</v>
      </c>
      <c r="GD11" s="21">
        <f t="shared" si="21"/>
        <v>27154404.400000002</v>
      </c>
      <c r="GE11" s="21">
        <f t="shared" si="21"/>
        <v>27154404.400000002</v>
      </c>
      <c r="GF11" s="21">
        <f t="shared" si="21"/>
        <v>27154404.400000002</v>
      </c>
      <c r="GG11" s="21">
        <f t="shared" si="21"/>
        <v>27154404.400000002</v>
      </c>
      <c r="GH11" s="21">
        <f t="shared" si="21"/>
        <v>27154404.400000002</v>
      </c>
      <c r="GI11" s="21">
        <f t="shared" si="21"/>
        <v>27154404.400000002</v>
      </c>
      <c r="GJ11" s="21">
        <f t="shared" si="21"/>
        <v>27154404.400000002</v>
      </c>
      <c r="GK11" s="21">
        <f t="shared" si="21"/>
        <v>27154404.400000002</v>
      </c>
      <c r="GL11" s="21">
        <f t="shared" si="21"/>
        <v>27154404.400000002</v>
      </c>
      <c r="GM11" s="21">
        <f t="shared" si="21"/>
        <v>27154404.400000002</v>
      </c>
      <c r="GN11" s="21">
        <f t="shared" si="21"/>
        <v>27154404.400000002</v>
      </c>
      <c r="GO11" s="21">
        <f t="shared" si="21"/>
        <v>27154404.400000002</v>
      </c>
      <c r="GP11" s="21">
        <f t="shared" si="21"/>
        <v>27154404.400000002</v>
      </c>
      <c r="GQ11" s="21">
        <f t="shared" ref="GQ11:IN11" si="22">IF(IF(AND(ISNA(GQ$5),ISNA(GP$5)),GP11*(1+$E11),IF(AND(GP$5&gt;0,ISNA(GQ$5)),GP11*(1+$E11),GQ$5))&gt;$C$21,$C$21,IF(AND(ISNA(GQ$5),ISNA(GP$5)),GP11*(1+$E11),IF(AND(GP$5&gt;0,ISNA(GQ$5)),GP11*(1+$E11),GQ$5)))</f>
        <v>27154404.400000002</v>
      </c>
      <c r="GR11" s="21">
        <f t="shared" si="22"/>
        <v>27154404.400000002</v>
      </c>
      <c r="GS11" s="21">
        <f t="shared" si="22"/>
        <v>27154404.400000002</v>
      </c>
      <c r="GT11" s="21">
        <f t="shared" si="22"/>
        <v>27154404.400000002</v>
      </c>
      <c r="GU11" s="21">
        <f t="shared" si="22"/>
        <v>27154404.400000002</v>
      </c>
      <c r="GV11" s="21">
        <f t="shared" si="22"/>
        <v>27154404.400000002</v>
      </c>
      <c r="GW11" s="21">
        <f t="shared" si="22"/>
        <v>27154404.400000002</v>
      </c>
      <c r="GX11" s="21">
        <f t="shared" si="22"/>
        <v>27154404.400000002</v>
      </c>
      <c r="GY11" s="21">
        <f t="shared" si="22"/>
        <v>27154404.400000002</v>
      </c>
      <c r="GZ11" s="21">
        <f t="shared" si="22"/>
        <v>27154404.400000002</v>
      </c>
      <c r="HA11" s="21">
        <f t="shared" si="22"/>
        <v>27154404.400000002</v>
      </c>
      <c r="HB11" s="21">
        <f t="shared" si="22"/>
        <v>27154404.400000002</v>
      </c>
      <c r="HC11" s="21">
        <f t="shared" si="22"/>
        <v>27154404.400000002</v>
      </c>
      <c r="HD11" s="21">
        <f t="shared" si="22"/>
        <v>27154404.400000002</v>
      </c>
      <c r="HE11" s="21">
        <f t="shared" si="22"/>
        <v>27154404.400000002</v>
      </c>
      <c r="HF11" s="21">
        <f t="shared" si="22"/>
        <v>27154404.400000002</v>
      </c>
      <c r="HG11" s="21">
        <f t="shared" si="22"/>
        <v>27154404.400000002</v>
      </c>
      <c r="HH11" s="21">
        <f t="shared" si="22"/>
        <v>27154404.400000002</v>
      </c>
      <c r="HI11" s="21">
        <f t="shared" si="22"/>
        <v>27154404.400000002</v>
      </c>
      <c r="HJ11" s="21">
        <f t="shared" si="22"/>
        <v>27154404.400000002</v>
      </c>
      <c r="HK11" s="21">
        <f t="shared" si="22"/>
        <v>27154404.400000002</v>
      </c>
      <c r="HL11" s="21">
        <f t="shared" si="22"/>
        <v>27154404.400000002</v>
      </c>
      <c r="HM11" s="21">
        <f t="shared" si="22"/>
        <v>27154404.400000002</v>
      </c>
      <c r="HN11" s="21">
        <f t="shared" si="22"/>
        <v>27154404.400000002</v>
      </c>
      <c r="HO11" s="21">
        <f t="shared" si="22"/>
        <v>27154404.400000002</v>
      </c>
      <c r="HP11" s="21">
        <f t="shared" si="22"/>
        <v>27154404.400000002</v>
      </c>
      <c r="HQ11" s="21">
        <f t="shared" si="22"/>
        <v>27154404.400000002</v>
      </c>
      <c r="HR11" s="21">
        <f t="shared" si="22"/>
        <v>27154404.400000002</v>
      </c>
      <c r="HS11" s="21">
        <f t="shared" si="22"/>
        <v>27154404.400000002</v>
      </c>
      <c r="HT11" s="21">
        <f t="shared" si="22"/>
        <v>27154404.400000002</v>
      </c>
      <c r="HU11" s="21">
        <f t="shared" si="22"/>
        <v>27154404.400000002</v>
      </c>
      <c r="HV11" s="21">
        <f t="shared" si="22"/>
        <v>27154404.400000002</v>
      </c>
      <c r="HW11" s="21">
        <f t="shared" si="22"/>
        <v>27154404.400000002</v>
      </c>
      <c r="HX11" s="21">
        <f t="shared" si="22"/>
        <v>27154404.400000002</v>
      </c>
      <c r="HY11" s="21">
        <f t="shared" si="22"/>
        <v>27154404.400000002</v>
      </c>
      <c r="HZ11" s="21">
        <f t="shared" si="22"/>
        <v>27154404.400000002</v>
      </c>
      <c r="IA11" s="21">
        <f t="shared" si="22"/>
        <v>27154404.400000002</v>
      </c>
      <c r="IB11" s="21">
        <f t="shared" si="22"/>
        <v>27154404.400000002</v>
      </c>
      <c r="IC11" s="21">
        <f t="shared" si="22"/>
        <v>27154404.400000002</v>
      </c>
      <c r="ID11" s="21">
        <f t="shared" si="22"/>
        <v>27154404.400000002</v>
      </c>
      <c r="IE11" s="21">
        <f t="shared" si="22"/>
        <v>27154404.400000002</v>
      </c>
      <c r="IF11" s="21">
        <f t="shared" si="22"/>
        <v>27154404.400000002</v>
      </c>
      <c r="IG11" s="21">
        <f t="shared" si="22"/>
        <v>27154404.400000002</v>
      </c>
      <c r="IH11" s="21">
        <f t="shared" si="22"/>
        <v>27154404.400000002</v>
      </c>
      <c r="II11" s="21">
        <f t="shared" si="22"/>
        <v>27154404.400000002</v>
      </c>
      <c r="IJ11" s="21">
        <f t="shared" si="22"/>
        <v>27154404.400000002</v>
      </c>
      <c r="IK11" s="21">
        <f t="shared" si="22"/>
        <v>27154404.400000002</v>
      </c>
      <c r="IL11" s="21">
        <f t="shared" si="22"/>
        <v>27154404.400000002</v>
      </c>
      <c r="IM11" s="21">
        <f t="shared" si="22"/>
        <v>27154404.400000002</v>
      </c>
      <c r="IN11" s="21">
        <f t="shared" si="22"/>
        <v>27154404.400000002</v>
      </c>
    </row>
    <row r="12" spans="2:248" x14ac:dyDescent="0.3">
      <c r="B12" s="19" t="s">
        <v>534</v>
      </c>
      <c r="C12" s="44">
        <f>VLOOKUP(B2,Days_Since_100!C:G,5,FALSE)-1</f>
        <v>0.2425893143830935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</row>
    <row r="13" spans="2:248" x14ac:dyDescent="0.3">
      <c r="B13" s="19" t="s">
        <v>561</v>
      </c>
      <c r="C13" s="148">
        <f ca="1">(HLOOKUP($C$5-1,$G$4:IN25,22,FALSE)-HLOOKUP($C$5-(C10*2)-1,$G$4:$IN$25,22,FALSE))/(C10*2)</f>
        <v>-3.950810120326542E-3</v>
      </c>
      <c r="F13" s="22" t="s">
        <v>454</v>
      </c>
      <c r="G13" s="21">
        <f t="shared" ref="G13:BR13" si="23">IF(IF(AND(ISNA(G$5),ISNA(F$5)),F13*(1+$E13),IF(AND(F$5&gt;0,ISNA(G$5)),F13*(1+$E13),G$5))&gt;$C$21,$C$21,IF(AND(ISNA(G$5),ISNA(F$5)),F13*(1+$E13),IF(AND(F$5&gt;0,ISNA(G$5)),F13*(1+$E13),G$5)))</f>
        <v>107</v>
      </c>
      <c r="H13" s="21">
        <f t="shared" si="23"/>
        <v>154</v>
      </c>
      <c r="I13" s="21">
        <f t="shared" si="23"/>
        <v>187</v>
      </c>
      <c r="J13" s="21">
        <f t="shared" si="23"/>
        <v>253</v>
      </c>
      <c r="K13" s="21">
        <f t="shared" si="23"/>
        <v>300</v>
      </c>
      <c r="L13" s="21">
        <f t="shared" si="23"/>
        <v>359</v>
      </c>
      <c r="M13" s="21">
        <f t="shared" si="23"/>
        <v>432</v>
      </c>
      <c r="N13" s="21">
        <f t="shared" si="23"/>
        <v>563</v>
      </c>
      <c r="O13" s="21">
        <f t="shared" si="23"/>
        <v>775</v>
      </c>
      <c r="P13" s="21">
        <f t="shared" si="23"/>
        <v>1104</v>
      </c>
      <c r="Q13" s="21">
        <f t="shared" si="23"/>
        <v>1315</v>
      </c>
      <c r="R13" s="21">
        <f t="shared" si="23"/>
        <v>1474</v>
      </c>
      <c r="S13" s="21">
        <f t="shared" si="23"/>
        <v>1851</v>
      </c>
      <c r="T13" s="21">
        <f t="shared" si="23"/>
        <v>2503</v>
      </c>
      <c r="U13" s="21">
        <f t="shared" si="23"/>
        <v>2511</v>
      </c>
      <c r="V13" s="21">
        <f t="shared" si="23"/>
        <v>3769</v>
      </c>
      <c r="W13" s="21">
        <f t="shared" si="23"/>
        <v>3769</v>
      </c>
      <c r="X13" s="21">
        <f t="shared" si="23"/>
        <v>3769</v>
      </c>
      <c r="Y13" s="21">
        <f t="shared" si="23"/>
        <v>3769</v>
      </c>
      <c r="Z13" s="21">
        <f t="shared" si="23"/>
        <v>3769</v>
      </c>
      <c r="AA13" s="21">
        <f t="shared" si="23"/>
        <v>3769</v>
      </c>
      <c r="AB13" s="21">
        <f t="shared" si="23"/>
        <v>3769</v>
      </c>
      <c r="AC13" s="21">
        <f t="shared" si="23"/>
        <v>3769</v>
      </c>
      <c r="AD13" s="21">
        <f t="shared" si="23"/>
        <v>3769</v>
      </c>
      <c r="AE13" s="21">
        <f t="shared" si="23"/>
        <v>3769</v>
      </c>
      <c r="AF13" s="21">
        <f t="shared" si="23"/>
        <v>3769</v>
      </c>
      <c r="AG13" s="21">
        <f t="shared" si="23"/>
        <v>3769</v>
      </c>
      <c r="AH13" s="21">
        <f t="shared" si="23"/>
        <v>3769</v>
      </c>
      <c r="AI13" s="21">
        <f t="shared" si="23"/>
        <v>3769</v>
      </c>
      <c r="AJ13" s="21">
        <f t="shared" si="23"/>
        <v>3769</v>
      </c>
      <c r="AK13" s="21">
        <f t="shared" si="23"/>
        <v>3769</v>
      </c>
      <c r="AL13" s="21">
        <f t="shared" si="23"/>
        <v>3769</v>
      </c>
      <c r="AM13" s="21">
        <f t="shared" si="23"/>
        <v>3769</v>
      </c>
      <c r="AN13" s="21">
        <f t="shared" si="23"/>
        <v>3769</v>
      </c>
      <c r="AO13" s="21">
        <f t="shared" si="23"/>
        <v>3769</v>
      </c>
      <c r="AP13" s="21">
        <f t="shared" si="23"/>
        <v>3769</v>
      </c>
      <c r="AQ13" s="21">
        <f t="shared" si="23"/>
        <v>3769</v>
      </c>
      <c r="AR13" s="21">
        <f t="shared" si="23"/>
        <v>3769</v>
      </c>
      <c r="AS13" s="21">
        <f t="shared" si="23"/>
        <v>3769</v>
      </c>
      <c r="AT13" s="21">
        <f t="shared" si="23"/>
        <v>3769</v>
      </c>
      <c r="AU13" s="21">
        <f t="shared" si="23"/>
        <v>3769</v>
      </c>
      <c r="AV13" s="21">
        <f t="shared" si="23"/>
        <v>3769</v>
      </c>
      <c r="AW13" s="21">
        <f t="shared" si="23"/>
        <v>3769</v>
      </c>
      <c r="AX13" s="21">
        <f t="shared" si="23"/>
        <v>3769</v>
      </c>
      <c r="AY13" s="21">
        <f t="shared" si="23"/>
        <v>3769</v>
      </c>
      <c r="AZ13" s="21">
        <f t="shared" si="23"/>
        <v>3769</v>
      </c>
      <c r="BA13" s="21">
        <f t="shared" si="23"/>
        <v>3769</v>
      </c>
      <c r="BB13" s="21">
        <f t="shared" si="23"/>
        <v>3769</v>
      </c>
      <c r="BC13" s="21">
        <f t="shared" si="23"/>
        <v>3769</v>
      </c>
      <c r="BD13" s="21">
        <f t="shared" si="23"/>
        <v>3769</v>
      </c>
      <c r="BE13" s="21">
        <f t="shared" si="23"/>
        <v>3769</v>
      </c>
      <c r="BF13" s="21">
        <f t="shared" si="23"/>
        <v>3769</v>
      </c>
      <c r="BG13" s="21">
        <f t="shared" si="23"/>
        <v>3769</v>
      </c>
      <c r="BH13" s="21">
        <f t="shared" si="23"/>
        <v>3769</v>
      </c>
      <c r="BI13" s="21">
        <f t="shared" si="23"/>
        <v>3769</v>
      </c>
      <c r="BJ13" s="21">
        <f t="shared" si="23"/>
        <v>3769</v>
      </c>
      <c r="BK13" s="21">
        <f t="shared" si="23"/>
        <v>3769</v>
      </c>
      <c r="BL13" s="21">
        <f t="shared" si="23"/>
        <v>3769</v>
      </c>
      <c r="BM13" s="21">
        <f t="shared" si="23"/>
        <v>3769</v>
      </c>
      <c r="BN13" s="21">
        <f t="shared" si="23"/>
        <v>3769</v>
      </c>
      <c r="BO13" s="21">
        <f t="shared" si="23"/>
        <v>3769</v>
      </c>
      <c r="BP13" s="21">
        <f t="shared" si="23"/>
        <v>3769</v>
      </c>
      <c r="BQ13" s="21">
        <f t="shared" si="23"/>
        <v>3769</v>
      </c>
      <c r="BR13" s="21">
        <f t="shared" si="23"/>
        <v>3769</v>
      </c>
      <c r="BS13" s="21">
        <f t="shared" ref="BS13:ED13" si="24">IF(IF(AND(ISNA(BS$5),ISNA(BR$5)),BR13*(1+$E13),IF(AND(BR$5&gt;0,ISNA(BS$5)),BR13*(1+$E13),BS$5))&gt;$C$21,$C$21,IF(AND(ISNA(BS$5),ISNA(BR$5)),BR13*(1+$E13),IF(AND(BR$5&gt;0,ISNA(BS$5)),BR13*(1+$E13),BS$5)))</f>
        <v>3769</v>
      </c>
      <c r="BT13" s="21">
        <f t="shared" si="24"/>
        <v>3769</v>
      </c>
      <c r="BU13" s="21">
        <f t="shared" si="24"/>
        <v>3769</v>
      </c>
      <c r="BV13" s="21">
        <f t="shared" si="24"/>
        <v>3769</v>
      </c>
      <c r="BW13" s="21">
        <f t="shared" si="24"/>
        <v>3769</v>
      </c>
      <c r="BX13" s="21">
        <f t="shared" si="24"/>
        <v>3769</v>
      </c>
      <c r="BY13" s="21">
        <f t="shared" si="24"/>
        <v>3769</v>
      </c>
      <c r="BZ13" s="21">
        <f t="shared" si="24"/>
        <v>3769</v>
      </c>
      <c r="CA13" s="21">
        <f t="shared" si="24"/>
        <v>3769</v>
      </c>
      <c r="CB13" s="21">
        <f t="shared" si="24"/>
        <v>3769</v>
      </c>
      <c r="CC13" s="21">
        <f t="shared" si="24"/>
        <v>3769</v>
      </c>
      <c r="CD13" s="21">
        <f t="shared" si="24"/>
        <v>3769</v>
      </c>
      <c r="CE13" s="21">
        <f t="shared" si="24"/>
        <v>3769</v>
      </c>
      <c r="CF13" s="21">
        <f t="shared" si="24"/>
        <v>3769</v>
      </c>
      <c r="CG13" s="21">
        <f t="shared" si="24"/>
        <v>3769</v>
      </c>
      <c r="CH13" s="21">
        <f t="shared" si="24"/>
        <v>3769</v>
      </c>
      <c r="CI13" s="21">
        <f t="shared" si="24"/>
        <v>3769</v>
      </c>
      <c r="CJ13" s="21">
        <f t="shared" si="24"/>
        <v>3769</v>
      </c>
      <c r="CK13" s="21">
        <f t="shared" si="24"/>
        <v>3769</v>
      </c>
      <c r="CL13" s="21">
        <f t="shared" si="24"/>
        <v>3769</v>
      </c>
      <c r="CM13" s="21">
        <f t="shared" si="24"/>
        <v>3769</v>
      </c>
      <c r="CN13" s="21">
        <f t="shared" si="24"/>
        <v>3769</v>
      </c>
      <c r="CO13" s="21">
        <f t="shared" si="24"/>
        <v>3769</v>
      </c>
      <c r="CP13" s="21">
        <f t="shared" si="24"/>
        <v>3769</v>
      </c>
      <c r="CQ13" s="21">
        <f t="shared" si="24"/>
        <v>3769</v>
      </c>
      <c r="CR13" s="21">
        <f t="shared" si="24"/>
        <v>3769</v>
      </c>
      <c r="CS13" s="21">
        <f t="shared" si="24"/>
        <v>3769</v>
      </c>
      <c r="CT13" s="21">
        <f t="shared" si="24"/>
        <v>3769</v>
      </c>
      <c r="CU13" s="21">
        <f t="shared" si="24"/>
        <v>3769</v>
      </c>
      <c r="CV13" s="21">
        <f t="shared" si="24"/>
        <v>3769</v>
      </c>
      <c r="CW13" s="21">
        <f t="shared" si="24"/>
        <v>3769</v>
      </c>
      <c r="CX13" s="21">
        <f t="shared" si="24"/>
        <v>3769</v>
      </c>
      <c r="CY13" s="21">
        <f t="shared" si="24"/>
        <v>3769</v>
      </c>
      <c r="CZ13" s="21">
        <f t="shared" si="24"/>
        <v>3769</v>
      </c>
      <c r="DA13" s="21">
        <f t="shared" si="24"/>
        <v>3769</v>
      </c>
      <c r="DB13" s="21">
        <f t="shared" si="24"/>
        <v>3769</v>
      </c>
      <c r="DC13" s="21">
        <f t="shared" si="24"/>
        <v>3769</v>
      </c>
      <c r="DD13" s="21">
        <f t="shared" si="24"/>
        <v>3769</v>
      </c>
      <c r="DE13" s="21">
        <f t="shared" si="24"/>
        <v>3769</v>
      </c>
      <c r="DF13" s="21">
        <f t="shared" si="24"/>
        <v>3769</v>
      </c>
      <c r="DG13" s="21">
        <f t="shared" si="24"/>
        <v>3769</v>
      </c>
      <c r="DH13" s="21">
        <f t="shared" si="24"/>
        <v>3769</v>
      </c>
      <c r="DI13" s="21">
        <f t="shared" si="24"/>
        <v>3769</v>
      </c>
      <c r="DJ13" s="21">
        <f t="shared" si="24"/>
        <v>3769</v>
      </c>
      <c r="DK13" s="21">
        <f t="shared" si="24"/>
        <v>3769</v>
      </c>
      <c r="DL13" s="21">
        <f t="shared" si="24"/>
        <v>3769</v>
      </c>
      <c r="DM13" s="21">
        <f t="shared" si="24"/>
        <v>3769</v>
      </c>
      <c r="DN13" s="21">
        <f t="shared" si="24"/>
        <v>3769</v>
      </c>
      <c r="DO13" s="21">
        <f t="shared" si="24"/>
        <v>3769</v>
      </c>
      <c r="DP13" s="21">
        <f t="shared" si="24"/>
        <v>3769</v>
      </c>
      <c r="DQ13" s="21">
        <f t="shared" si="24"/>
        <v>3769</v>
      </c>
      <c r="DR13" s="21">
        <f t="shared" si="24"/>
        <v>3769</v>
      </c>
      <c r="DS13" s="21">
        <f t="shared" si="24"/>
        <v>3769</v>
      </c>
      <c r="DT13" s="21">
        <f t="shared" si="24"/>
        <v>3769</v>
      </c>
      <c r="DU13" s="21">
        <f t="shared" si="24"/>
        <v>3769</v>
      </c>
      <c r="DV13" s="21">
        <f t="shared" si="24"/>
        <v>3769</v>
      </c>
      <c r="DW13" s="21">
        <f t="shared" si="24"/>
        <v>3769</v>
      </c>
      <c r="DX13" s="21">
        <f t="shared" si="24"/>
        <v>3769</v>
      </c>
      <c r="DY13" s="21">
        <f t="shared" si="24"/>
        <v>3769</v>
      </c>
      <c r="DZ13" s="21">
        <f t="shared" si="24"/>
        <v>3769</v>
      </c>
      <c r="EA13" s="21">
        <f t="shared" si="24"/>
        <v>3769</v>
      </c>
      <c r="EB13" s="21">
        <f t="shared" si="24"/>
        <v>3769</v>
      </c>
      <c r="EC13" s="21">
        <f t="shared" si="24"/>
        <v>3769</v>
      </c>
      <c r="ED13" s="21">
        <f t="shared" si="24"/>
        <v>3769</v>
      </c>
      <c r="EE13" s="21">
        <f t="shared" ref="EE13:GP13" si="25">IF(IF(AND(ISNA(EE$5),ISNA(ED$5)),ED13*(1+$E13),IF(AND(ED$5&gt;0,ISNA(EE$5)),ED13*(1+$E13),EE$5))&gt;$C$21,$C$21,IF(AND(ISNA(EE$5),ISNA(ED$5)),ED13*(1+$E13),IF(AND(ED$5&gt;0,ISNA(EE$5)),ED13*(1+$E13),EE$5)))</f>
        <v>3769</v>
      </c>
      <c r="EF13" s="21">
        <f t="shared" si="25"/>
        <v>3769</v>
      </c>
      <c r="EG13" s="21">
        <f t="shared" si="25"/>
        <v>3769</v>
      </c>
      <c r="EH13" s="21">
        <f t="shared" si="25"/>
        <v>3769</v>
      </c>
      <c r="EI13" s="21">
        <f t="shared" si="25"/>
        <v>3769</v>
      </c>
      <c r="EJ13" s="21">
        <f t="shared" si="25"/>
        <v>3769</v>
      </c>
      <c r="EK13" s="21">
        <f t="shared" si="25"/>
        <v>3769</v>
      </c>
      <c r="EL13" s="21">
        <f t="shared" si="25"/>
        <v>3769</v>
      </c>
      <c r="EM13" s="21">
        <f t="shared" si="25"/>
        <v>3769</v>
      </c>
      <c r="EN13" s="21">
        <f t="shared" si="25"/>
        <v>3769</v>
      </c>
      <c r="EO13" s="21">
        <f t="shared" si="25"/>
        <v>3769</v>
      </c>
      <c r="EP13" s="21">
        <f t="shared" si="25"/>
        <v>3769</v>
      </c>
      <c r="EQ13" s="21">
        <f t="shared" si="25"/>
        <v>3769</v>
      </c>
      <c r="ER13" s="21">
        <f t="shared" si="25"/>
        <v>3769</v>
      </c>
      <c r="ES13" s="21">
        <f t="shared" si="25"/>
        <v>3769</v>
      </c>
      <c r="ET13" s="21">
        <f t="shared" si="25"/>
        <v>3769</v>
      </c>
      <c r="EU13" s="21">
        <f t="shared" si="25"/>
        <v>3769</v>
      </c>
      <c r="EV13" s="21">
        <f t="shared" si="25"/>
        <v>3769</v>
      </c>
      <c r="EW13" s="21">
        <f t="shared" si="25"/>
        <v>3769</v>
      </c>
      <c r="EX13" s="21">
        <f t="shared" si="25"/>
        <v>3769</v>
      </c>
      <c r="EY13" s="21">
        <f t="shared" si="25"/>
        <v>3769</v>
      </c>
      <c r="EZ13" s="21">
        <f t="shared" si="25"/>
        <v>3769</v>
      </c>
      <c r="FA13" s="21">
        <f t="shared" si="25"/>
        <v>3769</v>
      </c>
      <c r="FB13" s="21">
        <f t="shared" si="25"/>
        <v>3769</v>
      </c>
      <c r="FC13" s="21">
        <f t="shared" si="25"/>
        <v>3769</v>
      </c>
      <c r="FD13" s="21">
        <f t="shared" si="25"/>
        <v>3769</v>
      </c>
      <c r="FE13" s="21">
        <f t="shared" si="25"/>
        <v>3769</v>
      </c>
      <c r="FF13" s="21">
        <f t="shared" si="25"/>
        <v>3769</v>
      </c>
      <c r="FG13" s="21">
        <f t="shared" si="25"/>
        <v>3769</v>
      </c>
      <c r="FH13" s="21">
        <f t="shared" si="25"/>
        <v>3769</v>
      </c>
      <c r="FI13" s="21">
        <f t="shared" si="25"/>
        <v>3769</v>
      </c>
      <c r="FJ13" s="21">
        <f t="shared" si="25"/>
        <v>3769</v>
      </c>
      <c r="FK13" s="21">
        <f t="shared" si="25"/>
        <v>3769</v>
      </c>
      <c r="FL13" s="21">
        <f t="shared" si="25"/>
        <v>3769</v>
      </c>
      <c r="FM13" s="21">
        <f t="shared" si="25"/>
        <v>3769</v>
      </c>
      <c r="FN13" s="21">
        <f t="shared" si="25"/>
        <v>3769</v>
      </c>
      <c r="FO13" s="21">
        <f t="shared" si="25"/>
        <v>3769</v>
      </c>
      <c r="FP13" s="21">
        <f t="shared" si="25"/>
        <v>3769</v>
      </c>
      <c r="FQ13" s="21">
        <f t="shared" si="25"/>
        <v>3769</v>
      </c>
      <c r="FR13" s="21">
        <f t="shared" si="25"/>
        <v>3769</v>
      </c>
      <c r="FS13" s="21">
        <f t="shared" si="25"/>
        <v>3769</v>
      </c>
      <c r="FT13" s="21">
        <f t="shared" si="25"/>
        <v>3769</v>
      </c>
      <c r="FU13" s="21">
        <f t="shared" si="25"/>
        <v>3769</v>
      </c>
      <c r="FV13" s="21">
        <f t="shared" si="25"/>
        <v>3769</v>
      </c>
      <c r="FW13" s="21">
        <f t="shared" si="25"/>
        <v>3769</v>
      </c>
      <c r="FX13" s="21">
        <f t="shared" si="25"/>
        <v>3769</v>
      </c>
      <c r="FY13" s="21">
        <f t="shared" si="25"/>
        <v>3769</v>
      </c>
      <c r="FZ13" s="21">
        <f t="shared" si="25"/>
        <v>3769</v>
      </c>
      <c r="GA13" s="21">
        <f t="shared" si="25"/>
        <v>3769</v>
      </c>
      <c r="GB13" s="21">
        <f t="shared" si="25"/>
        <v>3769</v>
      </c>
      <c r="GC13" s="21">
        <f t="shared" si="25"/>
        <v>3769</v>
      </c>
      <c r="GD13" s="21">
        <f t="shared" si="25"/>
        <v>3769</v>
      </c>
      <c r="GE13" s="21">
        <f t="shared" si="25"/>
        <v>3769</v>
      </c>
      <c r="GF13" s="21">
        <f t="shared" si="25"/>
        <v>3769</v>
      </c>
      <c r="GG13" s="21">
        <f t="shared" si="25"/>
        <v>3769</v>
      </c>
      <c r="GH13" s="21">
        <f t="shared" si="25"/>
        <v>3769</v>
      </c>
      <c r="GI13" s="21">
        <f t="shared" si="25"/>
        <v>3769</v>
      </c>
      <c r="GJ13" s="21">
        <f t="shared" si="25"/>
        <v>3769</v>
      </c>
      <c r="GK13" s="21">
        <f t="shared" si="25"/>
        <v>3769</v>
      </c>
      <c r="GL13" s="21">
        <f t="shared" si="25"/>
        <v>3769</v>
      </c>
      <c r="GM13" s="21">
        <f t="shared" si="25"/>
        <v>3769</v>
      </c>
      <c r="GN13" s="21">
        <f t="shared" si="25"/>
        <v>3769</v>
      </c>
      <c r="GO13" s="21">
        <f t="shared" si="25"/>
        <v>3769</v>
      </c>
      <c r="GP13" s="21">
        <f t="shared" si="25"/>
        <v>3769</v>
      </c>
      <c r="GQ13" s="21">
        <f t="shared" ref="GQ13:IN13" si="26">IF(IF(AND(ISNA(GQ$5),ISNA(GP$5)),GP13*(1+$E13),IF(AND(GP$5&gt;0,ISNA(GQ$5)),GP13*(1+$E13),GQ$5))&gt;$C$21,$C$21,IF(AND(ISNA(GQ$5),ISNA(GP$5)),GP13*(1+$E13),IF(AND(GP$5&gt;0,ISNA(GQ$5)),GP13*(1+$E13),GQ$5)))</f>
        <v>3769</v>
      </c>
      <c r="GR13" s="21">
        <f t="shared" si="26"/>
        <v>3769</v>
      </c>
      <c r="GS13" s="21">
        <f t="shared" si="26"/>
        <v>3769</v>
      </c>
      <c r="GT13" s="21">
        <f t="shared" si="26"/>
        <v>3769</v>
      </c>
      <c r="GU13" s="21">
        <f t="shared" si="26"/>
        <v>3769</v>
      </c>
      <c r="GV13" s="21">
        <f t="shared" si="26"/>
        <v>3769</v>
      </c>
      <c r="GW13" s="21">
        <f t="shared" si="26"/>
        <v>3769</v>
      </c>
      <c r="GX13" s="21">
        <f t="shared" si="26"/>
        <v>3769</v>
      </c>
      <c r="GY13" s="21">
        <f t="shared" si="26"/>
        <v>3769</v>
      </c>
      <c r="GZ13" s="21">
        <f t="shared" si="26"/>
        <v>3769</v>
      </c>
      <c r="HA13" s="21">
        <f t="shared" si="26"/>
        <v>3769</v>
      </c>
      <c r="HB13" s="21">
        <f t="shared" si="26"/>
        <v>3769</v>
      </c>
      <c r="HC13" s="21">
        <f t="shared" si="26"/>
        <v>3769</v>
      </c>
      <c r="HD13" s="21">
        <f t="shared" si="26"/>
        <v>3769</v>
      </c>
      <c r="HE13" s="21">
        <f t="shared" si="26"/>
        <v>3769</v>
      </c>
      <c r="HF13" s="21">
        <f t="shared" si="26"/>
        <v>3769</v>
      </c>
      <c r="HG13" s="21">
        <f t="shared" si="26"/>
        <v>3769</v>
      </c>
      <c r="HH13" s="21">
        <f t="shared" si="26"/>
        <v>3769</v>
      </c>
      <c r="HI13" s="21">
        <f t="shared" si="26"/>
        <v>3769</v>
      </c>
      <c r="HJ13" s="21">
        <f t="shared" si="26"/>
        <v>3769</v>
      </c>
      <c r="HK13" s="21">
        <f t="shared" si="26"/>
        <v>3769</v>
      </c>
      <c r="HL13" s="21">
        <f t="shared" si="26"/>
        <v>3769</v>
      </c>
      <c r="HM13" s="21">
        <f t="shared" si="26"/>
        <v>3769</v>
      </c>
      <c r="HN13" s="21">
        <f t="shared" si="26"/>
        <v>3769</v>
      </c>
      <c r="HO13" s="21">
        <f t="shared" si="26"/>
        <v>3769</v>
      </c>
      <c r="HP13" s="21">
        <f t="shared" si="26"/>
        <v>3769</v>
      </c>
      <c r="HQ13" s="21">
        <f t="shared" si="26"/>
        <v>3769</v>
      </c>
      <c r="HR13" s="21">
        <f t="shared" si="26"/>
        <v>3769</v>
      </c>
      <c r="HS13" s="21">
        <f t="shared" si="26"/>
        <v>3769</v>
      </c>
      <c r="HT13" s="21">
        <f t="shared" si="26"/>
        <v>3769</v>
      </c>
      <c r="HU13" s="21">
        <f t="shared" si="26"/>
        <v>3769</v>
      </c>
      <c r="HV13" s="21">
        <f t="shared" si="26"/>
        <v>3769</v>
      </c>
      <c r="HW13" s="21">
        <f t="shared" si="26"/>
        <v>3769</v>
      </c>
      <c r="HX13" s="21">
        <f t="shared" si="26"/>
        <v>3769</v>
      </c>
      <c r="HY13" s="21">
        <f t="shared" si="26"/>
        <v>3769</v>
      </c>
      <c r="HZ13" s="21">
        <f t="shared" si="26"/>
        <v>3769</v>
      </c>
      <c r="IA13" s="21">
        <f t="shared" si="26"/>
        <v>3769</v>
      </c>
      <c r="IB13" s="21">
        <f t="shared" si="26"/>
        <v>3769</v>
      </c>
      <c r="IC13" s="21">
        <f t="shared" si="26"/>
        <v>3769</v>
      </c>
      <c r="ID13" s="21">
        <f t="shared" si="26"/>
        <v>3769</v>
      </c>
      <c r="IE13" s="21">
        <f t="shared" si="26"/>
        <v>3769</v>
      </c>
      <c r="IF13" s="21">
        <f t="shared" si="26"/>
        <v>3769</v>
      </c>
      <c r="IG13" s="21">
        <f t="shared" si="26"/>
        <v>3769</v>
      </c>
      <c r="IH13" s="21">
        <f t="shared" si="26"/>
        <v>3769</v>
      </c>
      <c r="II13" s="21">
        <f t="shared" si="26"/>
        <v>3769</v>
      </c>
      <c r="IJ13" s="21">
        <f t="shared" si="26"/>
        <v>3769</v>
      </c>
      <c r="IK13" s="21">
        <f t="shared" si="26"/>
        <v>3769</v>
      </c>
      <c r="IL13" s="21">
        <f t="shared" si="26"/>
        <v>3769</v>
      </c>
      <c r="IM13" s="21">
        <f t="shared" si="26"/>
        <v>3769</v>
      </c>
      <c r="IN13" s="21">
        <f t="shared" si="26"/>
        <v>3769</v>
      </c>
    </row>
    <row r="14" spans="2:248" x14ac:dyDescent="0.3">
      <c r="B14" s="19" t="s">
        <v>453</v>
      </c>
      <c r="C14" s="21">
        <f>C4*(1+C12)</f>
        <v>4987.7535079337376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  <c r="CD14" s="21"/>
      <c r="CE14" s="21"/>
      <c r="CF14" s="21"/>
      <c r="CG14" s="21"/>
      <c r="CH14" s="21"/>
      <c r="CI14" s="21"/>
      <c r="CJ14" s="21"/>
      <c r="CK14" s="21"/>
      <c r="CL14" s="21"/>
      <c r="CM14" s="21"/>
      <c r="CN14" s="21"/>
      <c r="CO14" s="21"/>
      <c r="CP14" s="21"/>
      <c r="CQ14" s="21"/>
      <c r="CR14" s="21"/>
      <c r="CS14" s="21"/>
      <c r="CT14" s="21"/>
      <c r="CU14" s="21"/>
      <c r="CV14" s="21"/>
      <c r="CW14" s="21"/>
      <c r="CX14" s="21"/>
      <c r="CY14" s="21"/>
      <c r="CZ14" s="21"/>
      <c r="DA14" s="21"/>
      <c r="DB14" s="21"/>
      <c r="DC14" s="21"/>
      <c r="DD14" s="21"/>
      <c r="DE14" s="21"/>
      <c r="DF14" s="21"/>
      <c r="DG14" s="21"/>
      <c r="DH14" s="21"/>
      <c r="DI14" s="21"/>
      <c r="DJ14" s="21"/>
      <c r="DK14" s="21"/>
      <c r="DL14" s="21"/>
      <c r="DM14" s="21"/>
      <c r="DN14" s="21"/>
      <c r="DO14" s="21"/>
      <c r="DP14" s="21"/>
      <c r="DQ14" s="21"/>
      <c r="DR14" s="21"/>
      <c r="DS14" s="21"/>
      <c r="DT14" s="21"/>
      <c r="DU14" s="21"/>
      <c r="DV14" s="21"/>
      <c r="DW14" s="21"/>
      <c r="DX14" s="21"/>
      <c r="DY14" s="21"/>
      <c r="DZ14" s="21"/>
      <c r="EA14" s="21"/>
      <c r="EB14" s="21"/>
      <c r="EC14" s="21"/>
      <c r="ED14" s="21"/>
      <c r="EE14" s="21"/>
      <c r="EF14" s="21"/>
      <c r="EG14" s="21"/>
      <c r="EH14" s="21"/>
      <c r="EI14" s="21"/>
      <c r="EJ14" s="21"/>
      <c r="EK14" s="21"/>
      <c r="EL14" s="21"/>
      <c r="EM14" s="21"/>
      <c r="EN14" s="21"/>
      <c r="EO14" s="21"/>
      <c r="EP14" s="21"/>
      <c r="EQ14" s="21"/>
      <c r="ER14" s="21"/>
      <c r="ES14" s="21"/>
      <c r="ET14" s="21"/>
      <c r="EU14" s="21"/>
      <c r="EV14" s="21"/>
      <c r="EW14" s="21"/>
      <c r="EX14" s="21"/>
      <c r="EY14" s="21"/>
      <c r="EZ14" s="21"/>
      <c r="FA14" s="21"/>
      <c r="FB14" s="21"/>
      <c r="FC14" s="21"/>
      <c r="FD14" s="21"/>
      <c r="FE14" s="21"/>
      <c r="FF14" s="21"/>
      <c r="FG14" s="21"/>
      <c r="FH14" s="21"/>
      <c r="FI14" s="21"/>
      <c r="FJ14" s="21"/>
      <c r="FK14" s="21"/>
      <c r="FL14" s="21"/>
      <c r="FM14" s="21"/>
      <c r="FN14" s="21"/>
      <c r="FO14" s="21"/>
      <c r="FP14" s="21"/>
      <c r="FQ14" s="21"/>
      <c r="FR14" s="21"/>
      <c r="FS14" s="21"/>
      <c r="FT14" s="21"/>
      <c r="FU14" s="21"/>
      <c r="FV14" s="21"/>
      <c r="FW14" s="21"/>
      <c r="FX14" s="21"/>
      <c r="FY14" s="21"/>
      <c r="FZ14" s="21"/>
      <c r="GA14" s="21"/>
      <c r="GB14" s="21"/>
      <c r="GC14" s="21"/>
      <c r="GD14" s="21"/>
      <c r="GE14" s="21"/>
      <c r="GF14" s="21"/>
      <c r="GG14" s="21"/>
      <c r="GH14" s="21"/>
      <c r="GI14" s="21"/>
      <c r="GJ14" s="21"/>
      <c r="GK14" s="21"/>
      <c r="GL14" s="21"/>
      <c r="GM14" s="21"/>
      <c r="GN14" s="21"/>
      <c r="GO14" s="21"/>
      <c r="GP14" s="21"/>
      <c r="GQ14" s="21"/>
      <c r="GR14" s="21"/>
      <c r="GS14" s="21"/>
      <c r="GT14" s="21"/>
      <c r="GU14" s="21"/>
      <c r="GV14" s="21"/>
      <c r="GW14" s="21"/>
      <c r="GX14" s="21"/>
      <c r="GY14" s="21"/>
      <c r="GZ14" s="21"/>
      <c r="HA14" s="21"/>
      <c r="HB14" s="21"/>
      <c r="HC14" s="21"/>
      <c r="HD14" s="21"/>
      <c r="HE14" s="21"/>
      <c r="HF14" s="21"/>
      <c r="HG14" s="21"/>
      <c r="HH14" s="21"/>
      <c r="HI14" s="21"/>
      <c r="HJ14" s="21"/>
      <c r="HK14" s="21"/>
      <c r="HL14" s="21"/>
      <c r="HM14" s="21"/>
      <c r="HN14" s="21"/>
      <c r="HO14" s="21"/>
      <c r="HP14" s="21"/>
      <c r="HQ14" s="21"/>
      <c r="HR14" s="21"/>
      <c r="HS14" s="21"/>
      <c r="HT14" s="21"/>
      <c r="HU14" s="21"/>
      <c r="HV14" s="21"/>
      <c r="HW14" s="21"/>
      <c r="HX14" s="21"/>
      <c r="HY14" s="21"/>
      <c r="HZ14" s="21"/>
      <c r="IA14" s="21"/>
      <c r="IB14" s="21"/>
      <c r="IC14" s="21"/>
      <c r="ID14" s="21"/>
      <c r="IE14" s="21"/>
      <c r="IF14" s="21"/>
      <c r="IG14" s="21"/>
      <c r="IH14" s="21"/>
      <c r="II14" s="21"/>
      <c r="IJ14" s="21"/>
      <c r="IK14" s="21"/>
      <c r="IL14" s="21"/>
      <c r="IM14" s="21"/>
      <c r="IN14" s="21"/>
    </row>
    <row r="15" spans="2:248" x14ac:dyDescent="0.3">
      <c r="B15" s="19" t="s">
        <v>468</v>
      </c>
      <c r="C15" s="25">
        <f>IF(VLOOKUP(B2,Country_Data!C:N,12,FALSE)=0,0.047,VLOOKUP(B2,Country_Data!C:N,12,FALSE)*$C$32)</f>
        <v>0.11086198305929247</v>
      </c>
      <c r="E15" s="22">
        <f>Projections!Z15</f>
        <v>0.4</v>
      </c>
      <c r="F15" s="22" t="s">
        <v>455</v>
      </c>
      <c r="G15" s="21">
        <f t="shared" ref="G15:BR15" si="27">IF(IF(AND(ISNA(G$5),ISNA(F$5)),F15*(1+$E15),IF(AND(F$5&gt;0,ISNA(G$5)),F15*(1+$E15),G$5))&gt;$C$21,$C$21,IF(AND(ISNA(G$5),ISNA(F$5)),F15*(1+$E15),IF(AND(F$5&gt;0,ISNA(G$5)),F15*(1+$E15),G$5)))</f>
        <v>107</v>
      </c>
      <c r="H15" s="21">
        <f t="shared" si="27"/>
        <v>154</v>
      </c>
      <c r="I15" s="21">
        <f t="shared" si="27"/>
        <v>187</v>
      </c>
      <c r="J15" s="21">
        <f t="shared" si="27"/>
        <v>253</v>
      </c>
      <c r="K15" s="21">
        <f t="shared" si="27"/>
        <v>300</v>
      </c>
      <c r="L15" s="21">
        <f t="shared" si="27"/>
        <v>359</v>
      </c>
      <c r="M15" s="21">
        <f t="shared" si="27"/>
        <v>432</v>
      </c>
      <c r="N15" s="21">
        <f t="shared" si="27"/>
        <v>563</v>
      </c>
      <c r="O15" s="21">
        <f t="shared" si="27"/>
        <v>775</v>
      </c>
      <c r="P15" s="21">
        <f t="shared" si="27"/>
        <v>1104</v>
      </c>
      <c r="Q15" s="21">
        <f t="shared" si="27"/>
        <v>1315</v>
      </c>
      <c r="R15" s="21">
        <f t="shared" si="27"/>
        <v>1474</v>
      </c>
      <c r="S15" s="21">
        <f t="shared" si="27"/>
        <v>1851</v>
      </c>
      <c r="T15" s="21">
        <f t="shared" si="27"/>
        <v>2503</v>
      </c>
      <c r="U15" s="21">
        <f t="shared" si="27"/>
        <v>2511</v>
      </c>
      <c r="V15" s="21">
        <f t="shared" si="27"/>
        <v>3769</v>
      </c>
      <c r="W15" s="21">
        <f t="shared" si="27"/>
        <v>5276.5999999999995</v>
      </c>
      <c r="X15" s="21">
        <f t="shared" si="27"/>
        <v>7387.2399999999989</v>
      </c>
      <c r="Y15" s="21">
        <f t="shared" si="27"/>
        <v>10342.135999999999</v>
      </c>
      <c r="Z15" s="21">
        <f t="shared" si="27"/>
        <v>14478.990399999997</v>
      </c>
      <c r="AA15" s="21">
        <f t="shared" si="27"/>
        <v>20270.586559999996</v>
      </c>
      <c r="AB15" s="21">
        <f t="shared" si="27"/>
        <v>28378.821183999993</v>
      </c>
      <c r="AC15" s="21">
        <f t="shared" si="27"/>
        <v>39730.349657599989</v>
      </c>
      <c r="AD15" s="21">
        <f t="shared" si="27"/>
        <v>55622.489520639981</v>
      </c>
      <c r="AE15" s="21">
        <f t="shared" si="27"/>
        <v>77871.485328895971</v>
      </c>
      <c r="AF15" s="21">
        <f t="shared" si="27"/>
        <v>109020.07946045435</v>
      </c>
      <c r="AG15" s="21">
        <f t="shared" si="27"/>
        <v>152628.11124463606</v>
      </c>
      <c r="AH15" s="21">
        <f t="shared" si="27"/>
        <v>213679.35574249047</v>
      </c>
      <c r="AI15" s="21">
        <f t="shared" si="27"/>
        <v>299151.09803948662</v>
      </c>
      <c r="AJ15" s="21">
        <f t="shared" si="27"/>
        <v>418811.53725528123</v>
      </c>
      <c r="AK15" s="21">
        <f t="shared" si="27"/>
        <v>586336.15215739363</v>
      </c>
      <c r="AL15" s="21">
        <f t="shared" si="27"/>
        <v>820870.61302035104</v>
      </c>
      <c r="AM15" s="21">
        <f t="shared" si="27"/>
        <v>1149218.8582284914</v>
      </c>
      <c r="AN15" s="21">
        <f t="shared" si="27"/>
        <v>1608906.4015198878</v>
      </c>
      <c r="AO15" s="21">
        <f t="shared" si="27"/>
        <v>2252468.9621278429</v>
      </c>
      <c r="AP15" s="21">
        <f t="shared" si="27"/>
        <v>3153456.5469789798</v>
      </c>
      <c r="AQ15" s="21">
        <f t="shared" si="27"/>
        <v>4414839.1657705717</v>
      </c>
      <c r="AR15" s="21">
        <f t="shared" si="27"/>
        <v>6180774.8320787996</v>
      </c>
      <c r="AS15" s="21">
        <f t="shared" si="27"/>
        <v>8653084.7649103198</v>
      </c>
      <c r="AT15" s="21">
        <f t="shared" si="27"/>
        <v>12114318.670874447</v>
      </c>
      <c r="AU15" s="21">
        <f t="shared" si="27"/>
        <v>16960046.139224224</v>
      </c>
      <c r="AV15" s="21">
        <f t="shared" si="27"/>
        <v>23744064.594913911</v>
      </c>
      <c r="AW15" s="21">
        <f t="shared" si="27"/>
        <v>27154404.400000002</v>
      </c>
      <c r="AX15" s="21">
        <f t="shared" si="27"/>
        <v>27154404.400000002</v>
      </c>
      <c r="AY15" s="21">
        <f t="shared" si="27"/>
        <v>27154404.400000002</v>
      </c>
      <c r="AZ15" s="21">
        <f t="shared" si="27"/>
        <v>27154404.400000002</v>
      </c>
      <c r="BA15" s="21">
        <f t="shared" si="27"/>
        <v>27154404.400000002</v>
      </c>
      <c r="BB15" s="21">
        <f t="shared" si="27"/>
        <v>27154404.400000002</v>
      </c>
      <c r="BC15" s="21">
        <f t="shared" si="27"/>
        <v>27154404.400000002</v>
      </c>
      <c r="BD15" s="21">
        <f t="shared" si="27"/>
        <v>27154404.400000002</v>
      </c>
      <c r="BE15" s="21">
        <f t="shared" si="27"/>
        <v>27154404.400000002</v>
      </c>
      <c r="BF15" s="21">
        <f t="shared" si="27"/>
        <v>27154404.400000002</v>
      </c>
      <c r="BG15" s="21">
        <f t="shared" si="27"/>
        <v>27154404.400000002</v>
      </c>
      <c r="BH15" s="21">
        <f t="shared" si="27"/>
        <v>27154404.400000002</v>
      </c>
      <c r="BI15" s="21">
        <f t="shared" si="27"/>
        <v>27154404.400000002</v>
      </c>
      <c r="BJ15" s="21">
        <f t="shared" si="27"/>
        <v>27154404.400000002</v>
      </c>
      <c r="BK15" s="21">
        <f t="shared" si="27"/>
        <v>27154404.400000002</v>
      </c>
      <c r="BL15" s="21">
        <f t="shared" si="27"/>
        <v>27154404.400000002</v>
      </c>
      <c r="BM15" s="21">
        <f t="shared" si="27"/>
        <v>27154404.400000002</v>
      </c>
      <c r="BN15" s="21">
        <f t="shared" si="27"/>
        <v>27154404.400000002</v>
      </c>
      <c r="BO15" s="21">
        <f t="shared" si="27"/>
        <v>27154404.400000002</v>
      </c>
      <c r="BP15" s="21">
        <f t="shared" si="27"/>
        <v>27154404.400000002</v>
      </c>
      <c r="BQ15" s="21">
        <f t="shared" si="27"/>
        <v>27154404.400000002</v>
      </c>
      <c r="BR15" s="21">
        <f t="shared" si="27"/>
        <v>27154404.400000002</v>
      </c>
      <c r="BS15" s="21">
        <f t="shared" ref="BS15:ED15" si="28">IF(IF(AND(ISNA(BS$5),ISNA(BR$5)),BR15*(1+$E15),IF(AND(BR$5&gt;0,ISNA(BS$5)),BR15*(1+$E15),BS$5))&gt;$C$21,$C$21,IF(AND(ISNA(BS$5),ISNA(BR$5)),BR15*(1+$E15),IF(AND(BR$5&gt;0,ISNA(BS$5)),BR15*(1+$E15),BS$5)))</f>
        <v>27154404.400000002</v>
      </c>
      <c r="BT15" s="21">
        <f t="shared" si="28"/>
        <v>27154404.400000002</v>
      </c>
      <c r="BU15" s="21">
        <f t="shared" si="28"/>
        <v>27154404.400000002</v>
      </c>
      <c r="BV15" s="21">
        <f t="shared" si="28"/>
        <v>27154404.400000002</v>
      </c>
      <c r="BW15" s="21">
        <f t="shared" si="28"/>
        <v>27154404.400000002</v>
      </c>
      <c r="BX15" s="21">
        <f t="shared" si="28"/>
        <v>27154404.400000002</v>
      </c>
      <c r="BY15" s="21">
        <f t="shared" si="28"/>
        <v>27154404.400000002</v>
      </c>
      <c r="BZ15" s="21">
        <f t="shared" si="28"/>
        <v>27154404.400000002</v>
      </c>
      <c r="CA15" s="21">
        <f t="shared" si="28"/>
        <v>27154404.400000002</v>
      </c>
      <c r="CB15" s="21">
        <f t="shared" si="28"/>
        <v>27154404.400000002</v>
      </c>
      <c r="CC15" s="21">
        <f t="shared" si="28"/>
        <v>27154404.400000002</v>
      </c>
      <c r="CD15" s="21">
        <f t="shared" si="28"/>
        <v>27154404.400000002</v>
      </c>
      <c r="CE15" s="21">
        <f t="shared" si="28"/>
        <v>27154404.400000002</v>
      </c>
      <c r="CF15" s="21">
        <f t="shared" si="28"/>
        <v>27154404.400000002</v>
      </c>
      <c r="CG15" s="21">
        <f t="shared" si="28"/>
        <v>27154404.400000002</v>
      </c>
      <c r="CH15" s="21">
        <f t="shared" si="28"/>
        <v>27154404.400000002</v>
      </c>
      <c r="CI15" s="21">
        <f t="shared" si="28"/>
        <v>27154404.400000002</v>
      </c>
      <c r="CJ15" s="21">
        <f t="shared" si="28"/>
        <v>27154404.400000002</v>
      </c>
      <c r="CK15" s="21">
        <f t="shared" si="28"/>
        <v>27154404.400000002</v>
      </c>
      <c r="CL15" s="21">
        <f t="shared" si="28"/>
        <v>27154404.400000002</v>
      </c>
      <c r="CM15" s="21">
        <f t="shared" si="28"/>
        <v>27154404.400000002</v>
      </c>
      <c r="CN15" s="21">
        <f t="shared" si="28"/>
        <v>27154404.400000002</v>
      </c>
      <c r="CO15" s="21">
        <f t="shared" si="28"/>
        <v>27154404.400000002</v>
      </c>
      <c r="CP15" s="21">
        <f t="shared" si="28"/>
        <v>27154404.400000002</v>
      </c>
      <c r="CQ15" s="21">
        <f t="shared" si="28"/>
        <v>27154404.400000002</v>
      </c>
      <c r="CR15" s="21">
        <f t="shared" si="28"/>
        <v>27154404.400000002</v>
      </c>
      <c r="CS15" s="21">
        <f t="shared" si="28"/>
        <v>27154404.400000002</v>
      </c>
      <c r="CT15" s="21">
        <f t="shared" si="28"/>
        <v>27154404.400000002</v>
      </c>
      <c r="CU15" s="21">
        <f t="shared" si="28"/>
        <v>27154404.400000002</v>
      </c>
      <c r="CV15" s="21">
        <f t="shared" si="28"/>
        <v>27154404.400000002</v>
      </c>
      <c r="CW15" s="21">
        <f t="shared" si="28"/>
        <v>27154404.400000002</v>
      </c>
      <c r="CX15" s="21">
        <f t="shared" si="28"/>
        <v>27154404.400000002</v>
      </c>
      <c r="CY15" s="21">
        <f t="shared" si="28"/>
        <v>27154404.400000002</v>
      </c>
      <c r="CZ15" s="21">
        <f t="shared" si="28"/>
        <v>27154404.400000002</v>
      </c>
      <c r="DA15" s="21">
        <f t="shared" si="28"/>
        <v>27154404.400000002</v>
      </c>
      <c r="DB15" s="21">
        <f t="shared" si="28"/>
        <v>27154404.400000002</v>
      </c>
      <c r="DC15" s="21">
        <f t="shared" si="28"/>
        <v>27154404.400000002</v>
      </c>
      <c r="DD15" s="21">
        <f t="shared" si="28"/>
        <v>27154404.400000002</v>
      </c>
      <c r="DE15" s="21">
        <f t="shared" si="28"/>
        <v>27154404.400000002</v>
      </c>
      <c r="DF15" s="21">
        <f t="shared" si="28"/>
        <v>27154404.400000002</v>
      </c>
      <c r="DG15" s="21">
        <f t="shared" si="28"/>
        <v>27154404.400000002</v>
      </c>
      <c r="DH15" s="21">
        <f t="shared" si="28"/>
        <v>27154404.400000002</v>
      </c>
      <c r="DI15" s="21">
        <f t="shared" si="28"/>
        <v>27154404.400000002</v>
      </c>
      <c r="DJ15" s="21">
        <f t="shared" si="28"/>
        <v>27154404.400000002</v>
      </c>
      <c r="DK15" s="21">
        <f t="shared" si="28"/>
        <v>27154404.400000002</v>
      </c>
      <c r="DL15" s="21">
        <f t="shared" si="28"/>
        <v>27154404.400000002</v>
      </c>
      <c r="DM15" s="21">
        <f t="shared" si="28"/>
        <v>27154404.400000002</v>
      </c>
      <c r="DN15" s="21">
        <f t="shared" si="28"/>
        <v>27154404.400000002</v>
      </c>
      <c r="DO15" s="21">
        <f t="shared" si="28"/>
        <v>27154404.400000002</v>
      </c>
      <c r="DP15" s="21">
        <f t="shared" si="28"/>
        <v>27154404.400000002</v>
      </c>
      <c r="DQ15" s="21">
        <f t="shared" si="28"/>
        <v>27154404.400000002</v>
      </c>
      <c r="DR15" s="21">
        <f t="shared" si="28"/>
        <v>27154404.400000002</v>
      </c>
      <c r="DS15" s="21">
        <f t="shared" si="28"/>
        <v>27154404.400000002</v>
      </c>
      <c r="DT15" s="21">
        <f t="shared" si="28"/>
        <v>27154404.400000002</v>
      </c>
      <c r="DU15" s="21">
        <f t="shared" si="28"/>
        <v>27154404.400000002</v>
      </c>
      <c r="DV15" s="21">
        <f t="shared" si="28"/>
        <v>27154404.400000002</v>
      </c>
      <c r="DW15" s="21">
        <f t="shared" si="28"/>
        <v>27154404.400000002</v>
      </c>
      <c r="DX15" s="21">
        <f t="shared" si="28"/>
        <v>27154404.400000002</v>
      </c>
      <c r="DY15" s="21">
        <f t="shared" si="28"/>
        <v>27154404.400000002</v>
      </c>
      <c r="DZ15" s="21">
        <f t="shared" si="28"/>
        <v>27154404.400000002</v>
      </c>
      <c r="EA15" s="21">
        <f t="shared" si="28"/>
        <v>27154404.400000002</v>
      </c>
      <c r="EB15" s="21">
        <f t="shared" si="28"/>
        <v>27154404.400000002</v>
      </c>
      <c r="EC15" s="21">
        <f t="shared" si="28"/>
        <v>27154404.400000002</v>
      </c>
      <c r="ED15" s="21">
        <f t="shared" si="28"/>
        <v>27154404.400000002</v>
      </c>
      <c r="EE15" s="21">
        <f t="shared" ref="EE15:GP15" si="29">IF(IF(AND(ISNA(EE$5),ISNA(ED$5)),ED15*(1+$E15),IF(AND(ED$5&gt;0,ISNA(EE$5)),ED15*(1+$E15),EE$5))&gt;$C$21,$C$21,IF(AND(ISNA(EE$5),ISNA(ED$5)),ED15*(1+$E15),IF(AND(ED$5&gt;0,ISNA(EE$5)),ED15*(1+$E15),EE$5)))</f>
        <v>27154404.400000002</v>
      </c>
      <c r="EF15" s="21">
        <f t="shared" si="29"/>
        <v>27154404.400000002</v>
      </c>
      <c r="EG15" s="21">
        <f t="shared" si="29"/>
        <v>27154404.400000002</v>
      </c>
      <c r="EH15" s="21">
        <f t="shared" si="29"/>
        <v>27154404.400000002</v>
      </c>
      <c r="EI15" s="21">
        <f t="shared" si="29"/>
        <v>27154404.400000002</v>
      </c>
      <c r="EJ15" s="21">
        <f t="shared" si="29"/>
        <v>27154404.400000002</v>
      </c>
      <c r="EK15" s="21">
        <f t="shared" si="29"/>
        <v>27154404.400000002</v>
      </c>
      <c r="EL15" s="21">
        <f t="shared" si="29"/>
        <v>27154404.400000002</v>
      </c>
      <c r="EM15" s="21">
        <f t="shared" si="29"/>
        <v>27154404.400000002</v>
      </c>
      <c r="EN15" s="21">
        <f t="shared" si="29"/>
        <v>27154404.400000002</v>
      </c>
      <c r="EO15" s="21">
        <f t="shared" si="29"/>
        <v>27154404.400000002</v>
      </c>
      <c r="EP15" s="21">
        <f t="shared" si="29"/>
        <v>27154404.400000002</v>
      </c>
      <c r="EQ15" s="21">
        <f t="shared" si="29"/>
        <v>27154404.400000002</v>
      </c>
      <c r="ER15" s="21">
        <f t="shared" si="29"/>
        <v>27154404.400000002</v>
      </c>
      <c r="ES15" s="21">
        <f t="shared" si="29"/>
        <v>27154404.400000002</v>
      </c>
      <c r="ET15" s="21">
        <f t="shared" si="29"/>
        <v>27154404.400000002</v>
      </c>
      <c r="EU15" s="21">
        <f t="shared" si="29"/>
        <v>27154404.400000002</v>
      </c>
      <c r="EV15" s="21">
        <f t="shared" si="29"/>
        <v>27154404.400000002</v>
      </c>
      <c r="EW15" s="21">
        <f t="shared" si="29"/>
        <v>27154404.400000002</v>
      </c>
      <c r="EX15" s="21">
        <f t="shared" si="29"/>
        <v>27154404.400000002</v>
      </c>
      <c r="EY15" s="21">
        <f t="shared" si="29"/>
        <v>27154404.400000002</v>
      </c>
      <c r="EZ15" s="21">
        <f t="shared" si="29"/>
        <v>27154404.400000002</v>
      </c>
      <c r="FA15" s="21">
        <f t="shared" si="29"/>
        <v>27154404.400000002</v>
      </c>
      <c r="FB15" s="21">
        <f t="shared" si="29"/>
        <v>27154404.400000002</v>
      </c>
      <c r="FC15" s="21">
        <f t="shared" si="29"/>
        <v>27154404.400000002</v>
      </c>
      <c r="FD15" s="21">
        <f t="shared" si="29"/>
        <v>27154404.400000002</v>
      </c>
      <c r="FE15" s="21">
        <f t="shared" si="29"/>
        <v>27154404.400000002</v>
      </c>
      <c r="FF15" s="21">
        <f t="shared" si="29"/>
        <v>27154404.400000002</v>
      </c>
      <c r="FG15" s="21">
        <f t="shared" si="29"/>
        <v>27154404.400000002</v>
      </c>
      <c r="FH15" s="21">
        <f t="shared" si="29"/>
        <v>27154404.400000002</v>
      </c>
      <c r="FI15" s="21">
        <f t="shared" si="29"/>
        <v>27154404.400000002</v>
      </c>
      <c r="FJ15" s="21">
        <f t="shared" si="29"/>
        <v>27154404.400000002</v>
      </c>
      <c r="FK15" s="21">
        <f t="shared" si="29"/>
        <v>27154404.400000002</v>
      </c>
      <c r="FL15" s="21">
        <f t="shared" si="29"/>
        <v>27154404.400000002</v>
      </c>
      <c r="FM15" s="21">
        <f t="shared" si="29"/>
        <v>27154404.400000002</v>
      </c>
      <c r="FN15" s="21">
        <f t="shared" si="29"/>
        <v>27154404.400000002</v>
      </c>
      <c r="FO15" s="21">
        <f t="shared" si="29"/>
        <v>27154404.400000002</v>
      </c>
      <c r="FP15" s="21">
        <f t="shared" si="29"/>
        <v>27154404.400000002</v>
      </c>
      <c r="FQ15" s="21">
        <f t="shared" si="29"/>
        <v>27154404.400000002</v>
      </c>
      <c r="FR15" s="21">
        <f t="shared" si="29"/>
        <v>27154404.400000002</v>
      </c>
      <c r="FS15" s="21">
        <f t="shared" si="29"/>
        <v>27154404.400000002</v>
      </c>
      <c r="FT15" s="21">
        <f t="shared" si="29"/>
        <v>27154404.400000002</v>
      </c>
      <c r="FU15" s="21">
        <f t="shared" si="29"/>
        <v>27154404.400000002</v>
      </c>
      <c r="FV15" s="21">
        <f t="shared" si="29"/>
        <v>27154404.400000002</v>
      </c>
      <c r="FW15" s="21">
        <f t="shared" si="29"/>
        <v>27154404.400000002</v>
      </c>
      <c r="FX15" s="21">
        <f t="shared" si="29"/>
        <v>27154404.400000002</v>
      </c>
      <c r="FY15" s="21">
        <f t="shared" si="29"/>
        <v>27154404.400000002</v>
      </c>
      <c r="FZ15" s="21">
        <f t="shared" si="29"/>
        <v>27154404.400000002</v>
      </c>
      <c r="GA15" s="21">
        <f t="shared" si="29"/>
        <v>27154404.400000002</v>
      </c>
      <c r="GB15" s="21">
        <f t="shared" si="29"/>
        <v>27154404.400000002</v>
      </c>
      <c r="GC15" s="21">
        <f t="shared" si="29"/>
        <v>27154404.400000002</v>
      </c>
      <c r="GD15" s="21">
        <f t="shared" si="29"/>
        <v>27154404.400000002</v>
      </c>
      <c r="GE15" s="21">
        <f t="shared" si="29"/>
        <v>27154404.400000002</v>
      </c>
      <c r="GF15" s="21">
        <f t="shared" si="29"/>
        <v>27154404.400000002</v>
      </c>
      <c r="GG15" s="21">
        <f t="shared" si="29"/>
        <v>27154404.400000002</v>
      </c>
      <c r="GH15" s="21">
        <f t="shared" si="29"/>
        <v>27154404.400000002</v>
      </c>
      <c r="GI15" s="21">
        <f t="shared" si="29"/>
        <v>27154404.400000002</v>
      </c>
      <c r="GJ15" s="21">
        <f t="shared" si="29"/>
        <v>27154404.400000002</v>
      </c>
      <c r="GK15" s="21">
        <f t="shared" si="29"/>
        <v>27154404.400000002</v>
      </c>
      <c r="GL15" s="21">
        <f t="shared" si="29"/>
        <v>27154404.400000002</v>
      </c>
      <c r="GM15" s="21">
        <f t="shared" si="29"/>
        <v>27154404.400000002</v>
      </c>
      <c r="GN15" s="21">
        <f t="shared" si="29"/>
        <v>27154404.400000002</v>
      </c>
      <c r="GO15" s="21">
        <f t="shared" si="29"/>
        <v>27154404.400000002</v>
      </c>
      <c r="GP15" s="21">
        <f t="shared" si="29"/>
        <v>27154404.400000002</v>
      </c>
      <c r="GQ15" s="21">
        <f t="shared" ref="GQ15:IN15" si="30">IF(IF(AND(ISNA(GQ$5),ISNA(GP$5)),GP15*(1+$E15),IF(AND(GP$5&gt;0,ISNA(GQ$5)),GP15*(1+$E15),GQ$5))&gt;$C$21,$C$21,IF(AND(ISNA(GQ$5),ISNA(GP$5)),GP15*(1+$E15),IF(AND(GP$5&gt;0,ISNA(GQ$5)),GP15*(1+$E15),GQ$5)))</f>
        <v>27154404.400000002</v>
      </c>
      <c r="GR15" s="21">
        <f t="shared" si="30"/>
        <v>27154404.400000002</v>
      </c>
      <c r="GS15" s="21">
        <f t="shared" si="30"/>
        <v>27154404.400000002</v>
      </c>
      <c r="GT15" s="21">
        <f t="shared" si="30"/>
        <v>27154404.400000002</v>
      </c>
      <c r="GU15" s="21">
        <f t="shared" si="30"/>
        <v>27154404.400000002</v>
      </c>
      <c r="GV15" s="21">
        <f t="shared" si="30"/>
        <v>27154404.400000002</v>
      </c>
      <c r="GW15" s="21">
        <f t="shared" si="30"/>
        <v>27154404.400000002</v>
      </c>
      <c r="GX15" s="21">
        <f t="shared" si="30"/>
        <v>27154404.400000002</v>
      </c>
      <c r="GY15" s="21">
        <f t="shared" si="30"/>
        <v>27154404.400000002</v>
      </c>
      <c r="GZ15" s="21">
        <f t="shared" si="30"/>
        <v>27154404.400000002</v>
      </c>
      <c r="HA15" s="21">
        <f t="shared" si="30"/>
        <v>27154404.400000002</v>
      </c>
      <c r="HB15" s="21">
        <f t="shared" si="30"/>
        <v>27154404.400000002</v>
      </c>
      <c r="HC15" s="21">
        <f t="shared" si="30"/>
        <v>27154404.400000002</v>
      </c>
      <c r="HD15" s="21">
        <f t="shared" si="30"/>
        <v>27154404.400000002</v>
      </c>
      <c r="HE15" s="21">
        <f t="shared" si="30"/>
        <v>27154404.400000002</v>
      </c>
      <c r="HF15" s="21">
        <f t="shared" si="30"/>
        <v>27154404.400000002</v>
      </c>
      <c r="HG15" s="21">
        <f t="shared" si="30"/>
        <v>27154404.400000002</v>
      </c>
      <c r="HH15" s="21">
        <f t="shared" si="30"/>
        <v>27154404.400000002</v>
      </c>
      <c r="HI15" s="21">
        <f t="shared" si="30"/>
        <v>27154404.400000002</v>
      </c>
      <c r="HJ15" s="21">
        <f t="shared" si="30"/>
        <v>27154404.400000002</v>
      </c>
      <c r="HK15" s="21">
        <f t="shared" si="30"/>
        <v>27154404.400000002</v>
      </c>
      <c r="HL15" s="21">
        <f t="shared" si="30"/>
        <v>27154404.400000002</v>
      </c>
      <c r="HM15" s="21">
        <f t="shared" si="30"/>
        <v>27154404.400000002</v>
      </c>
      <c r="HN15" s="21">
        <f t="shared" si="30"/>
        <v>27154404.400000002</v>
      </c>
      <c r="HO15" s="21">
        <f t="shared" si="30"/>
        <v>27154404.400000002</v>
      </c>
      <c r="HP15" s="21">
        <f t="shared" si="30"/>
        <v>27154404.400000002</v>
      </c>
      <c r="HQ15" s="21">
        <f t="shared" si="30"/>
        <v>27154404.400000002</v>
      </c>
      <c r="HR15" s="21">
        <f t="shared" si="30"/>
        <v>27154404.400000002</v>
      </c>
      <c r="HS15" s="21">
        <f t="shared" si="30"/>
        <v>27154404.400000002</v>
      </c>
      <c r="HT15" s="21">
        <f t="shared" si="30"/>
        <v>27154404.400000002</v>
      </c>
      <c r="HU15" s="21">
        <f t="shared" si="30"/>
        <v>27154404.400000002</v>
      </c>
      <c r="HV15" s="21">
        <f t="shared" si="30"/>
        <v>27154404.400000002</v>
      </c>
      <c r="HW15" s="21">
        <f t="shared" si="30"/>
        <v>27154404.400000002</v>
      </c>
      <c r="HX15" s="21">
        <f t="shared" si="30"/>
        <v>27154404.400000002</v>
      </c>
      <c r="HY15" s="21">
        <f t="shared" si="30"/>
        <v>27154404.400000002</v>
      </c>
      <c r="HZ15" s="21">
        <f t="shared" si="30"/>
        <v>27154404.400000002</v>
      </c>
      <c r="IA15" s="21">
        <f t="shared" si="30"/>
        <v>27154404.400000002</v>
      </c>
      <c r="IB15" s="21">
        <f t="shared" si="30"/>
        <v>27154404.400000002</v>
      </c>
      <c r="IC15" s="21">
        <f t="shared" si="30"/>
        <v>27154404.400000002</v>
      </c>
      <c r="ID15" s="21">
        <f t="shared" si="30"/>
        <v>27154404.400000002</v>
      </c>
      <c r="IE15" s="21">
        <f t="shared" si="30"/>
        <v>27154404.400000002</v>
      </c>
      <c r="IF15" s="21">
        <f t="shared" si="30"/>
        <v>27154404.400000002</v>
      </c>
      <c r="IG15" s="21">
        <f t="shared" si="30"/>
        <v>27154404.400000002</v>
      </c>
      <c r="IH15" s="21">
        <f t="shared" si="30"/>
        <v>27154404.400000002</v>
      </c>
      <c r="II15" s="21">
        <f t="shared" si="30"/>
        <v>27154404.400000002</v>
      </c>
      <c r="IJ15" s="21">
        <f t="shared" si="30"/>
        <v>27154404.400000002</v>
      </c>
      <c r="IK15" s="21">
        <f t="shared" si="30"/>
        <v>27154404.400000002</v>
      </c>
      <c r="IL15" s="21">
        <f t="shared" si="30"/>
        <v>27154404.400000002</v>
      </c>
      <c r="IM15" s="21">
        <f t="shared" si="30"/>
        <v>27154404.400000002</v>
      </c>
      <c r="IN15" s="21">
        <f t="shared" si="30"/>
        <v>27154404.400000002</v>
      </c>
    </row>
    <row r="16" spans="2:248" x14ac:dyDescent="0.3">
      <c r="B16" s="19" t="s">
        <v>467</v>
      </c>
      <c r="C16" s="21">
        <f>IF(Projections!Z39="",VLOOKUP(B2,Country_Data!C:M,11,FALSE),Projections!Z39)</f>
        <v>4480.4767259999999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  <c r="CN16" s="21"/>
      <c r="CO16" s="21"/>
      <c r="CP16" s="21"/>
      <c r="CQ16" s="21"/>
      <c r="CR16" s="21"/>
      <c r="CS16" s="21"/>
      <c r="CT16" s="21"/>
      <c r="CU16" s="21"/>
      <c r="CV16" s="21"/>
      <c r="CW16" s="21"/>
      <c r="CX16" s="21"/>
      <c r="CY16" s="21"/>
      <c r="CZ16" s="21"/>
      <c r="DA16" s="21"/>
      <c r="DB16" s="21"/>
      <c r="DC16" s="21"/>
      <c r="DD16" s="21"/>
      <c r="DE16" s="21"/>
      <c r="DF16" s="21"/>
      <c r="DG16" s="21"/>
      <c r="DH16" s="21"/>
      <c r="DI16" s="21"/>
      <c r="DJ16" s="21"/>
      <c r="DK16" s="21"/>
      <c r="DL16" s="21"/>
      <c r="DM16" s="21"/>
      <c r="DN16" s="21"/>
      <c r="DO16" s="21"/>
      <c r="DP16" s="21"/>
      <c r="DQ16" s="21"/>
      <c r="DR16" s="21"/>
      <c r="DS16" s="21"/>
      <c r="DT16" s="21"/>
      <c r="DU16" s="21"/>
      <c r="DV16" s="21"/>
      <c r="DW16" s="21"/>
      <c r="DX16" s="21"/>
      <c r="DY16" s="21"/>
      <c r="DZ16" s="21"/>
      <c r="EA16" s="21"/>
      <c r="EB16" s="21"/>
      <c r="EC16" s="21"/>
      <c r="ED16" s="21"/>
      <c r="EE16" s="21"/>
      <c r="EF16" s="21"/>
      <c r="EG16" s="21"/>
      <c r="EH16" s="21"/>
      <c r="EI16" s="21"/>
      <c r="EJ16" s="21"/>
      <c r="EK16" s="21"/>
      <c r="EL16" s="21"/>
      <c r="EM16" s="21"/>
      <c r="EN16" s="21"/>
      <c r="EO16" s="21"/>
      <c r="EP16" s="21"/>
      <c r="EQ16" s="21"/>
      <c r="ER16" s="21"/>
      <c r="ES16" s="21"/>
      <c r="ET16" s="21"/>
      <c r="EU16" s="21"/>
      <c r="EV16" s="21"/>
      <c r="EW16" s="21"/>
      <c r="EX16" s="21"/>
      <c r="EY16" s="21"/>
      <c r="EZ16" s="21"/>
      <c r="FA16" s="21"/>
      <c r="FB16" s="21"/>
      <c r="FC16" s="21"/>
      <c r="FD16" s="21"/>
      <c r="FE16" s="21"/>
      <c r="FF16" s="21"/>
      <c r="FG16" s="21"/>
      <c r="FH16" s="21"/>
      <c r="FI16" s="21"/>
      <c r="FJ16" s="21"/>
      <c r="FK16" s="21"/>
      <c r="FL16" s="21"/>
      <c r="FM16" s="21"/>
      <c r="FN16" s="21"/>
      <c r="FO16" s="21"/>
      <c r="FP16" s="21"/>
      <c r="FQ16" s="21"/>
      <c r="FR16" s="21"/>
      <c r="FS16" s="21"/>
      <c r="FT16" s="21"/>
      <c r="FU16" s="21"/>
      <c r="FV16" s="21"/>
      <c r="FW16" s="21"/>
      <c r="FX16" s="21"/>
      <c r="FY16" s="21"/>
      <c r="FZ16" s="21"/>
      <c r="GA16" s="21"/>
      <c r="GB16" s="21"/>
      <c r="GC16" s="21"/>
      <c r="GD16" s="21"/>
      <c r="GE16" s="21"/>
      <c r="GF16" s="21"/>
      <c r="GG16" s="21"/>
      <c r="GH16" s="21"/>
      <c r="GI16" s="21"/>
      <c r="GJ16" s="21"/>
      <c r="GK16" s="21"/>
      <c r="GL16" s="21"/>
      <c r="GM16" s="21"/>
      <c r="GN16" s="21"/>
      <c r="GO16" s="21"/>
      <c r="GP16" s="21"/>
      <c r="GQ16" s="21"/>
      <c r="GR16" s="21"/>
      <c r="GS16" s="21"/>
      <c r="GT16" s="21"/>
      <c r="GU16" s="21"/>
      <c r="GV16" s="21"/>
      <c r="GW16" s="21"/>
      <c r="GX16" s="21"/>
      <c r="GY16" s="21"/>
      <c r="GZ16" s="21"/>
      <c r="HA16" s="21"/>
      <c r="HB16" s="21"/>
      <c r="HC16" s="21"/>
      <c r="HD16" s="21"/>
      <c r="HE16" s="21"/>
      <c r="HF16" s="21"/>
      <c r="HG16" s="21"/>
      <c r="HH16" s="21"/>
      <c r="HI16" s="21"/>
      <c r="HJ16" s="21"/>
      <c r="HK16" s="21"/>
      <c r="HL16" s="21"/>
      <c r="HM16" s="21"/>
      <c r="HN16" s="21"/>
      <c r="HO16" s="21"/>
      <c r="HP16" s="21"/>
      <c r="HQ16" s="21"/>
      <c r="HR16" s="21"/>
      <c r="HS16" s="21"/>
      <c r="HT16" s="21"/>
      <c r="HU16" s="21"/>
      <c r="HV16" s="21"/>
      <c r="HW16" s="21"/>
      <c r="HX16" s="21"/>
      <c r="HY16" s="21"/>
      <c r="HZ16" s="21"/>
      <c r="IA16" s="21"/>
      <c r="IB16" s="21"/>
      <c r="IC16" s="21"/>
      <c r="ID16" s="21"/>
      <c r="IE16" s="21"/>
      <c r="IF16" s="21"/>
      <c r="IG16" s="21"/>
      <c r="IH16" s="21"/>
      <c r="II16" s="21"/>
      <c r="IJ16" s="21"/>
      <c r="IK16" s="21"/>
      <c r="IL16" s="21"/>
      <c r="IM16" s="21"/>
      <c r="IN16" s="21"/>
    </row>
    <row r="17" spans="2:248" x14ac:dyDescent="0.3">
      <c r="B17" s="19" t="s">
        <v>501</v>
      </c>
      <c r="C17" s="23">
        <v>2.5000000000000001E-2</v>
      </c>
      <c r="F17" s="22" t="s">
        <v>467</v>
      </c>
      <c r="G17" s="24">
        <f t="shared" ref="G17:BR17" si="31">$C$16</f>
        <v>4480.4767259999999</v>
      </c>
      <c r="H17" s="24">
        <f t="shared" si="31"/>
        <v>4480.4767259999999</v>
      </c>
      <c r="I17" s="24">
        <f t="shared" si="31"/>
        <v>4480.4767259999999</v>
      </c>
      <c r="J17" s="24">
        <f t="shared" si="31"/>
        <v>4480.4767259999999</v>
      </c>
      <c r="K17" s="24">
        <f t="shared" si="31"/>
        <v>4480.4767259999999</v>
      </c>
      <c r="L17" s="24">
        <f t="shared" si="31"/>
        <v>4480.4767259999999</v>
      </c>
      <c r="M17" s="24">
        <f t="shared" si="31"/>
        <v>4480.4767259999999</v>
      </c>
      <c r="N17" s="24">
        <f t="shared" si="31"/>
        <v>4480.4767259999999</v>
      </c>
      <c r="O17" s="24">
        <f t="shared" si="31"/>
        <v>4480.4767259999999</v>
      </c>
      <c r="P17" s="24">
        <f t="shared" si="31"/>
        <v>4480.4767259999999</v>
      </c>
      <c r="Q17" s="24">
        <f t="shared" si="31"/>
        <v>4480.4767259999999</v>
      </c>
      <c r="R17" s="24">
        <f t="shared" si="31"/>
        <v>4480.4767259999999</v>
      </c>
      <c r="S17" s="24">
        <f t="shared" si="31"/>
        <v>4480.4767259999999</v>
      </c>
      <c r="T17" s="24">
        <f t="shared" si="31"/>
        <v>4480.4767259999999</v>
      </c>
      <c r="U17" s="24">
        <f t="shared" si="31"/>
        <v>4480.4767259999999</v>
      </c>
      <c r="V17" s="24">
        <f t="shared" si="31"/>
        <v>4480.4767259999999</v>
      </c>
      <c r="W17" s="24">
        <f t="shared" si="31"/>
        <v>4480.4767259999999</v>
      </c>
      <c r="X17" s="24">
        <f t="shared" si="31"/>
        <v>4480.4767259999999</v>
      </c>
      <c r="Y17" s="24">
        <f t="shared" si="31"/>
        <v>4480.4767259999999</v>
      </c>
      <c r="Z17" s="24">
        <f t="shared" si="31"/>
        <v>4480.4767259999999</v>
      </c>
      <c r="AA17" s="24">
        <f t="shared" si="31"/>
        <v>4480.4767259999999</v>
      </c>
      <c r="AB17" s="24">
        <f t="shared" si="31"/>
        <v>4480.4767259999999</v>
      </c>
      <c r="AC17" s="24">
        <f t="shared" si="31"/>
        <v>4480.4767259999999</v>
      </c>
      <c r="AD17" s="24">
        <f t="shared" si="31"/>
        <v>4480.4767259999999</v>
      </c>
      <c r="AE17" s="24">
        <f t="shared" si="31"/>
        <v>4480.4767259999999</v>
      </c>
      <c r="AF17" s="24">
        <f t="shared" si="31"/>
        <v>4480.4767259999999</v>
      </c>
      <c r="AG17" s="24">
        <f t="shared" si="31"/>
        <v>4480.4767259999999</v>
      </c>
      <c r="AH17" s="24">
        <f t="shared" si="31"/>
        <v>4480.4767259999999</v>
      </c>
      <c r="AI17" s="24">
        <f t="shared" si="31"/>
        <v>4480.4767259999999</v>
      </c>
      <c r="AJ17" s="24">
        <f t="shared" si="31"/>
        <v>4480.4767259999999</v>
      </c>
      <c r="AK17" s="24">
        <f t="shared" si="31"/>
        <v>4480.4767259999999</v>
      </c>
      <c r="AL17" s="24">
        <f t="shared" si="31"/>
        <v>4480.4767259999999</v>
      </c>
      <c r="AM17" s="24">
        <f t="shared" si="31"/>
        <v>4480.4767259999999</v>
      </c>
      <c r="AN17" s="24">
        <f t="shared" si="31"/>
        <v>4480.4767259999999</v>
      </c>
      <c r="AO17" s="24">
        <f t="shared" si="31"/>
        <v>4480.4767259999999</v>
      </c>
      <c r="AP17" s="24">
        <f t="shared" si="31"/>
        <v>4480.4767259999999</v>
      </c>
      <c r="AQ17" s="24">
        <f t="shared" si="31"/>
        <v>4480.4767259999999</v>
      </c>
      <c r="AR17" s="24">
        <f t="shared" si="31"/>
        <v>4480.4767259999999</v>
      </c>
      <c r="AS17" s="24">
        <f t="shared" si="31"/>
        <v>4480.4767259999999</v>
      </c>
      <c r="AT17" s="24">
        <f t="shared" si="31"/>
        <v>4480.4767259999999</v>
      </c>
      <c r="AU17" s="24">
        <f t="shared" si="31"/>
        <v>4480.4767259999999</v>
      </c>
      <c r="AV17" s="24">
        <f t="shared" si="31"/>
        <v>4480.4767259999999</v>
      </c>
      <c r="AW17" s="24">
        <f t="shared" si="31"/>
        <v>4480.4767259999999</v>
      </c>
      <c r="AX17" s="24">
        <f t="shared" si="31"/>
        <v>4480.4767259999999</v>
      </c>
      <c r="AY17" s="24">
        <f t="shared" si="31"/>
        <v>4480.4767259999999</v>
      </c>
      <c r="AZ17" s="24">
        <f t="shared" si="31"/>
        <v>4480.4767259999999</v>
      </c>
      <c r="BA17" s="24">
        <f t="shared" si="31"/>
        <v>4480.4767259999999</v>
      </c>
      <c r="BB17" s="24">
        <f t="shared" si="31"/>
        <v>4480.4767259999999</v>
      </c>
      <c r="BC17" s="24">
        <f t="shared" si="31"/>
        <v>4480.4767259999999</v>
      </c>
      <c r="BD17" s="24">
        <f t="shared" si="31"/>
        <v>4480.4767259999999</v>
      </c>
      <c r="BE17" s="24">
        <f t="shared" si="31"/>
        <v>4480.4767259999999</v>
      </c>
      <c r="BF17" s="24">
        <f t="shared" si="31"/>
        <v>4480.4767259999999</v>
      </c>
      <c r="BG17" s="24">
        <f t="shared" si="31"/>
        <v>4480.4767259999999</v>
      </c>
      <c r="BH17" s="24">
        <f t="shared" si="31"/>
        <v>4480.4767259999999</v>
      </c>
      <c r="BI17" s="24">
        <f t="shared" si="31"/>
        <v>4480.4767259999999</v>
      </c>
      <c r="BJ17" s="24">
        <f t="shared" si="31"/>
        <v>4480.4767259999999</v>
      </c>
      <c r="BK17" s="24">
        <f t="shared" si="31"/>
        <v>4480.4767259999999</v>
      </c>
      <c r="BL17" s="24">
        <f t="shared" si="31"/>
        <v>4480.4767259999999</v>
      </c>
      <c r="BM17" s="24">
        <f t="shared" si="31"/>
        <v>4480.4767259999999</v>
      </c>
      <c r="BN17" s="24">
        <f t="shared" si="31"/>
        <v>4480.4767259999999</v>
      </c>
      <c r="BO17" s="24">
        <f t="shared" si="31"/>
        <v>4480.4767259999999</v>
      </c>
      <c r="BP17" s="24">
        <f t="shared" si="31"/>
        <v>4480.4767259999999</v>
      </c>
      <c r="BQ17" s="24">
        <f t="shared" si="31"/>
        <v>4480.4767259999999</v>
      </c>
      <c r="BR17" s="24">
        <f t="shared" si="31"/>
        <v>4480.4767259999999</v>
      </c>
      <c r="BS17" s="24">
        <f t="shared" ref="BS17:ED17" si="32">$C$16</f>
        <v>4480.4767259999999</v>
      </c>
      <c r="BT17" s="24">
        <f t="shared" si="32"/>
        <v>4480.4767259999999</v>
      </c>
      <c r="BU17" s="24">
        <f t="shared" si="32"/>
        <v>4480.4767259999999</v>
      </c>
      <c r="BV17" s="24">
        <f t="shared" si="32"/>
        <v>4480.4767259999999</v>
      </c>
      <c r="BW17" s="24">
        <f t="shared" si="32"/>
        <v>4480.4767259999999</v>
      </c>
      <c r="BX17" s="24">
        <f t="shared" si="32"/>
        <v>4480.4767259999999</v>
      </c>
      <c r="BY17" s="24">
        <f t="shared" si="32"/>
        <v>4480.4767259999999</v>
      </c>
      <c r="BZ17" s="24">
        <f t="shared" si="32"/>
        <v>4480.4767259999999</v>
      </c>
      <c r="CA17" s="24">
        <f t="shared" si="32"/>
        <v>4480.4767259999999</v>
      </c>
      <c r="CB17" s="24">
        <f t="shared" si="32"/>
        <v>4480.4767259999999</v>
      </c>
      <c r="CC17" s="24">
        <f t="shared" si="32"/>
        <v>4480.4767259999999</v>
      </c>
      <c r="CD17" s="24">
        <f t="shared" si="32"/>
        <v>4480.4767259999999</v>
      </c>
      <c r="CE17" s="24">
        <f t="shared" si="32"/>
        <v>4480.4767259999999</v>
      </c>
      <c r="CF17" s="24">
        <f t="shared" si="32"/>
        <v>4480.4767259999999</v>
      </c>
      <c r="CG17" s="24">
        <f t="shared" si="32"/>
        <v>4480.4767259999999</v>
      </c>
      <c r="CH17" s="24">
        <f t="shared" si="32"/>
        <v>4480.4767259999999</v>
      </c>
      <c r="CI17" s="24">
        <f t="shared" si="32"/>
        <v>4480.4767259999999</v>
      </c>
      <c r="CJ17" s="24">
        <f t="shared" si="32"/>
        <v>4480.4767259999999</v>
      </c>
      <c r="CK17" s="24">
        <f t="shared" si="32"/>
        <v>4480.4767259999999</v>
      </c>
      <c r="CL17" s="24">
        <f t="shared" si="32"/>
        <v>4480.4767259999999</v>
      </c>
      <c r="CM17" s="24">
        <f t="shared" si="32"/>
        <v>4480.4767259999999</v>
      </c>
      <c r="CN17" s="24">
        <f t="shared" si="32"/>
        <v>4480.4767259999999</v>
      </c>
      <c r="CO17" s="24">
        <f t="shared" si="32"/>
        <v>4480.4767259999999</v>
      </c>
      <c r="CP17" s="24">
        <f t="shared" si="32"/>
        <v>4480.4767259999999</v>
      </c>
      <c r="CQ17" s="24">
        <f t="shared" si="32"/>
        <v>4480.4767259999999</v>
      </c>
      <c r="CR17" s="24">
        <f t="shared" si="32"/>
        <v>4480.4767259999999</v>
      </c>
      <c r="CS17" s="24">
        <f t="shared" si="32"/>
        <v>4480.4767259999999</v>
      </c>
      <c r="CT17" s="24">
        <f t="shared" si="32"/>
        <v>4480.4767259999999</v>
      </c>
      <c r="CU17" s="24">
        <f t="shared" si="32"/>
        <v>4480.4767259999999</v>
      </c>
      <c r="CV17" s="24">
        <f t="shared" si="32"/>
        <v>4480.4767259999999</v>
      </c>
      <c r="CW17" s="24">
        <f t="shared" si="32"/>
        <v>4480.4767259999999</v>
      </c>
      <c r="CX17" s="24">
        <f t="shared" si="32"/>
        <v>4480.4767259999999</v>
      </c>
      <c r="CY17" s="24">
        <f t="shared" si="32"/>
        <v>4480.4767259999999</v>
      </c>
      <c r="CZ17" s="24">
        <f t="shared" si="32"/>
        <v>4480.4767259999999</v>
      </c>
      <c r="DA17" s="24">
        <f t="shared" si="32"/>
        <v>4480.4767259999999</v>
      </c>
      <c r="DB17" s="24">
        <f t="shared" si="32"/>
        <v>4480.4767259999999</v>
      </c>
      <c r="DC17" s="24">
        <f t="shared" si="32"/>
        <v>4480.4767259999999</v>
      </c>
      <c r="DD17" s="24">
        <f t="shared" si="32"/>
        <v>4480.4767259999999</v>
      </c>
      <c r="DE17" s="24">
        <f t="shared" si="32"/>
        <v>4480.4767259999999</v>
      </c>
      <c r="DF17" s="24">
        <f t="shared" si="32"/>
        <v>4480.4767259999999</v>
      </c>
      <c r="DG17" s="24">
        <f t="shared" si="32"/>
        <v>4480.4767259999999</v>
      </c>
      <c r="DH17" s="24">
        <f t="shared" si="32"/>
        <v>4480.4767259999999</v>
      </c>
      <c r="DI17" s="24">
        <f t="shared" si="32"/>
        <v>4480.4767259999999</v>
      </c>
      <c r="DJ17" s="24">
        <f t="shared" si="32"/>
        <v>4480.4767259999999</v>
      </c>
      <c r="DK17" s="24">
        <f t="shared" si="32"/>
        <v>4480.4767259999999</v>
      </c>
      <c r="DL17" s="24">
        <f t="shared" si="32"/>
        <v>4480.4767259999999</v>
      </c>
      <c r="DM17" s="24">
        <f t="shared" si="32"/>
        <v>4480.4767259999999</v>
      </c>
      <c r="DN17" s="24">
        <f t="shared" si="32"/>
        <v>4480.4767259999999</v>
      </c>
      <c r="DO17" s="24">
        <f t="shared" si="32"/>
        <v>4480.4767259999999</v>
      </c>
      <c r="DP17" s="24">
        <f t="shared" si="32"/>
        <v>4480.4767259999999</v>
      </c>
      <c r="DQ17" s="24">
        <f t="shared" si="32"/>
        <v>4480.4767259999999</v>
      </c>
      <c r="DR17" s="24">
        <f t="shared" si="32"/>
        <v>4480.4767259999999</v>
      </c>
      <c r="DS17" s="24">
        <f t="shared" si="32"/>
        <v>4480.4767259999999</v>
      </c>
      <c r="DT17" s="24">
        <f t="shared" si="32"/>
        <v>4480.4767259999999</v>
      </c>
      <c r="DU17" s="24">
        <f t="shared" si="32"/>
        <v>4480.4767259999999</v>
      </c>
      <c r="DV17" s="24">
        <f t="shared" si="32"/>
        <v>4480.4767259999999</v>
      </c>
      <c r="DW17" s="24">
        <f t="shared" si="32"/>
        <v>4480.4767259999999</v>
      </c>
      <c r="DX17" s="24">
        <f t="shared" si="32"/>
        <v>4480.4767259999999</v>
      </c>
      <c r="DY17" s="24">
        <f t="shared" si="32"/>
        <v>4480.4767259999999</v>
      </c>
      <c r="DZ17" s="24">
        <f t="shared" si="32"/>
        <v>4480.4767259999999</v>
      </c>
      <c r="EA17" s="24">
        <f t="shared" si="32"/>
        <v>4480.4767259999999</v>
      </c>
      <c r="EB17" s="24">
        <f t="shared" si="32"/>
        <v>4480.4767259999999</v>
      </c>
      <c r="EC17" s="24">
        <f t="shared" si="32"/>
        <v>4480.4767259999999</v>
      </c>
      <c r="ED17" s="24">
        <f t="shared" si="32"/>
        <v>4480.4767259999999</v>
      </c>
      <c r="EE17" s="24">
        <f t="shared" ref="EE17:GP17" si="33">$C$16</f>
        <v>4480.4767259999999</v>
      </c>
      <c r="EF17" s="24">
        <f t="shared" si="33"/>
        <v>4480.4767259999999</v>
      </c>
      <c r="EG17" s="24">
        <f t="shared" si="33"/>
        <v>4480.4767259999999</v>
      </c>
      <c r="EH17" s="24">
        <f t="shared" si="33"/>
        <v>4480.4767259999999</v>
      </c>
      <c r="EI17" s="24">
        <f t="shared" si="33"/>
        <v>4480.4767259999999</v>
      </c>
      <c r="EJ17" s="24">
        <f t="shared" si="33"/>
        <v>4480.4767259999999</v>
      </c>
      <c r="EK17" s="24">
        <f t="shared" si="33"/>
        <v>4480.4767259999999</v>
      </c>
      <c r="EL17" s="24">
        <f t="shared" si="33"/>
        <v>4480.4767259999999</v>
      </c>
      <c r="EM17" s="24">
        <f t="shared" si="33"/>
        <v>4480.4767259999999</v>
      </c>
      <c r="EN17" s="24">
        <f t="shared" si="33"/>
        <v>4480.4767259999999</v>
      </c>
      <c r="EO17" s="24">
        <f t="shared" si="33"/>
        <v>4480.4767259999999</v>
      </c>
      <c r="EP17" s="24">
        <f t="shared" si="33"/>
        <v>4480.4767259999999</v>
      </c>
      <c r="EQ17" s="24">
        <f t="shared" si="33"/>
        <v>4480.4767259999999</v>
      </c>
      <c r="ER17" s="24">
        <f t="shared" si="33"/>
        <v>4480.4767259999999</v>
      </c>
      <c r="ES17" s="24">
        <f t="shared" si="33"/>
        <v>4480.4767259999999</v>
      </c>
      <c r="ET17" s="24">
        <f t="shared" si="33"/>
        <v>4480.4767259999999</v>
      </c>
      <c r="EU17" s="24">
        <f t="shared" si="33"/>
        <v>4480.4767259999999</v>
      </c>
      <c r="EV17" s="24">
        <f t="shared" si="33"/>
        <v>4480.4767259999999</v>
      </c>
      <c r="EW17" s="24">
        <f t="shared" si="33"/>
        <v>4480.4767259999999</v>
      </c>
      <c r="EX17" s="24">
        <f t="shared" si="33"/>
        <v>4480.4767259999999</v>
      </c>
      <c r="EY17" s="24">
        <f t="shared" si="33"/>
        <v>4480.4767259999999</v>
      </c>
      <c r="EZ17" s="24">
        <f t="shared" si="33"/>
        <v>4480.4767259999999</v>
      </c>
      <c r="FA17" s="24">
        <f t="shared" si="33"/>
        <v>4480.4767259999999</v>
      </c>
      <c r="FB17" s="24">
        <f t="shared" si="33"/>
        <v>4480.4767259999999</v>
      </c>
      <c r="FC17" s="24">
        <f t="shared" si="33"/>
        <v>4480.4767259999999</v>
      </c>
      <c r="FD17" s="24">
        <f t="shared" si="33"/>
        <v>4480.4767259999999</v>
      </c>
      <c r="FE17" s="24">
        <f t="shared" si="33"/>
        <v>4480.4767259999999</v>
      </c>
      <c r="FF17" s="24">
        <f t="shared" si="33"/>
        <v>4480.4767259999999</v>
      </c>
      <c r="FG17" s="24">
        <f t="shared" si="33"/>
        <v>4480.4767259999999</v>
      </c>
      <c r="FH17" s="24">
        <f t="shared" si="33"/>
        <v>4480.4767259999999</v>
      </c>
      <c r="FI17" s="24">
        <f t="shared" si="33"/>
        <v>4480.4767259999999</v>
      </c>
      <c r="FJ17" s="24">
        <f t="shared" si="33"/>
        <v>4480.4767259999999</v>
      </c>
      <c r="FK17" s="24">
        <f t="shared" si="33"/>
        <v>4480.4767259999999</v>
      </c>
      <c r="FL17" s="24">
        <f t="shared" si="33"/>
        <v>4480.4767259999999</v>
      </c>
      <c r="FM17" s="24">
        <f t="shared" si="33"/>
        <v>4480.4767259999999</v>
      </c>
      <c r="FN17" s="24">
        <f t="shared" si="33"/>
        <v>4480.4767259999999</v>
      </c>
      <c r="FO17" s="24">
        <f t="shared" si="33"/>
        <v>4480.4767259999999</v>
      </c>
      <c r="FP17" s="24">
        <f t="shared" si="33"/>
        <v>4480.4767259999999</v>
      </c>
      <c r="FQ17" s="24">
        <f t="shared" si="33"/>
        <v>4480.4767259999999</v>
      </c>
      <c r="FR17" s="24">
        <f t="shared" si="33"/>
        <v>4480.4767259999999</v>
      </c>
      <c r="FS17" s="24">
        <f t="shared" si="33"/>
        <v>4480.4767259999999</v>
      </c>
      <c r="FT17" s="24">
        <f t="shared" si="33"/>
        <v>4480.4767259999999</v>
      </c>
      <c r="FU17" s="24">
        <f t="shared" si="33"/>
        <v>4480.4767259999999</v>
      </c>
      <c r="FV17" s="24">
        <f t="shared" si="33"/>
        <v>4480.4767259999999</v>
      </c>
      <c r="FW17" s="24">
        <f t="shared" si="33"/>
        <v>4480.4767259999999</v>
      </c>
      <c r="FX17" s="24">
        <f t="shared" si="33"/>
        <v>4480.4767259999999</v>
      </c>
      <c r="FY17" s="24">
        <f t="shared" si="33"/>
        <v>4480.4767259999999</v>
      </c>
      <c r="FZ17" s="24">
        <f t="shared" si="33"/>
        <v>4480.4767259999999</v>
      </c>
      <c r="GA17" s="24">
        <f t="shared" si="33"/>
        <v>4480.4767259999999</v>
      </c>
      <c r="GB17" s="24">
        <f t="shared" si="33"/>
        <v>4480.4767259999999</v>
      </c>
      <c r="GC17" s="24">
        <f t="shared" si="33"/>
        <v>4480.4767259999999</v>
      </c>
      <c r="GD17" s="24">
        <f t="shared" si="33"/>
        <v>4480.4767259999999</v>
      </c>
      <c r="GE17" s="24">
        <f t="shared" si="33"/>
        <v>4480.4767259999999</v>
      </c>
      <c r="GF17" s="24">
        <f t="shared" si="33"/>
        <v>4480.4767259999999</v>
      </c>
      <c r="GG17" s="24">
        <f t="shared" si="33"/>
        <v>4480.4767259999999</v>
      </c>
      <c r="GH17" s="24">
        <f t="shared" si="33"/>
        <v>4480.4767259999999</v>
      </c>
      <c r="GI17" s="24">
        <f t="shared" si="33"/>
        <v>4480.4767259999999</v>
      </c>
      <c r="GJ17" s="24">
        <f t="shared" si="33"/>
        <v>4480.4767259999999</v>
      </c>
      <c r="GK17" s="24">
        <f t="shared" si="33"/>
        <v>4480.4767259999999</v>
      </c>
      <c r="GL17" s="24">
        <f t="shared" si="33"/>
        <v>4480.4767259999999</v>
      </c>
      <c r="GM17" s="24">
        <f t="shared" si="33"/>
        <v>4480.4767259999999</v>
      </c>
      <c r="GN17" s="24">
        <f t="shared" si="33"/>
        <v>4480.4767259999999</v>
      </c>
      <c r="GO17" s="24">
        <f t="shared" si="33"/>
        <v>4480.4767259999999</v>
      </c>
      <c r="GP17" s="24">
        <f t="shared" si="33"/>
        <v>4480.4767259999999</v>
      </c>
      <c r="GQ17" s="24">
        <f t="shared" ref="GQ17:IN17" si="34">$C$16</f>
        <v>4480.4767259999999</v>
      </c>
      <c r="GR17" s="24">
        <f t="shared" si="34"/>
        <v>4480.4767259999999</v>
      </c>
      <c r="GS17" s="24">
        <f t="shared" si="34"/>
        <v>4480.4767259999999</v>
      </c>
      <c r="GT17" s="24">
        <f t="shared" si="34"/>
        <v>4480.4767259999999</v>
      </c>
      <c r="GU17" s="24">
        <f t="shared" si="34"/>
        <v>4480.4767259999999</v>
      </c>
      <c r="GV17" s="24">
        <f t="shared" si="34"/>
        <v>4480.4767259999999</v>
      </c>
      <c r="GW17" s="24">
        <f t="shared" si="34"/>
        <v>4480.4767259999999</v>
      </c>
      <c r="GX17" s="24">
        <f t="shared" si="34"/>
        <v>4480.4767259999999</v>
      </c>
      <c r="GY17" s="24">
        <f t="shared" si="34"/>
        <v>4480.4767259999999</v>
      </c>
      <c r="GZ17" s="24">
        <f t="shared" si="34"/>
        <v>4480.4767259999999</v>
      </c>
      <c r="HA17" s="24">
        <f t="shared" si="34"/>
        <v>4480.4767259999999</v>
      </c>
      <c r="HB17" s="24">
        <f t="shared" si="34"/>
        <v>4480.4767259999999</v>
      </c>
      <c r="HC17" s="24">
        <f t="shared" si="34"/>
        <v>4480.4767259999999</v>
      </c>
      <c r="HD17" s="24">
        <f t="shared" si="34"/>
        <v>4480.4767259999999</v>
      </c>
      <c r="HE17" s="24">
        <f t="shared" si="34"/>
        <v>4480.4767259999999</v>
      </c>
      <c r="HF17" s="24">
        <f t="shared" si="34"/>
        <v>4480.4767259999999</v>
      </c>
      <c r="HG17" s="24">
        <f t="shared" si="34"/>
        <v>4480.4767259999999</v>
      </c>
      <c r="HH17" s="24">
        <f t="shared" si="34"/>
        <v>4480.4767259999999</v>
      </c>
      <c r="HI17" s="24">
        <f t="shared" si="34"/>
        <v>4480.4767259999999</v>
      </c>
      <c r="HJ17" s="24">
        <f t="shared" si="34"/>
        <v>4480.4767259999999</v>
      </c>
      <c r="HK17" s="24">
        <f t="shared" si="34"/>
        <v>4480.4767259999999</v>
      </c>
      <c r="HL17" s="24">
        <f t="shared" si="34"/>
        <v>4480.4767259999999</v>
      </c>
      <c r="HM17" s="24">
        <f t="shared" si="34"/>
        <v>4480.4767259999999</v>
      </c>
      <c r="HN17" s="24">
        <f t="shared" si="34"/>
        <v>4480.4767259999999</v>
      </c>
      <c r="HO17" s="24">
        <f t="shared" si="34"/>
        <v>4480.4767259999999</v>
      </c>
      <c r="HP17" s="24">
        <f t="shared" si="34"/>
        <v>4480.4767259999999</v>
      </c>
      <c r="HQ17" s="24">
        <f t="shared" si="34"/>
        <v>4480.4767259999999</v>
      </c>
      <c r="HR17" s="24">
        <f t="shared" si="34"/>
        <v>4480.4767259999999</v>
      </c>
      <c r="HS17" s="24">
        <f t="shared" si="34"/>
        <v>4480.4767259999999</v>
      </c>
      <c r="HT17" s="24">
        <f t="shared" si="34"/>
        <v>4480.4767259999999</v>
      </c>
      <c r="HU17" s="24">
        <f t="shared" si="34"/>
        <v>4480.4767259999999</v>
      </c>
      <c r="HV17" s="24">
        <f t="shared" si="34"/>
        <v>4480.4767259999999</v>
      </c>
      <c r="HW17" s="24">
        <f t="shared" si="34"/>
        <v>4480.4767259999999</v>
      </c>
      <c r="HX17" s="24">
        <f t="shared" si="34"/>
        <v>4480.4767259999999</v>
      </c>
      <c r="HY17" s="24">
        <f t="shared" si="34"/>
        <v>4480.4767259999999</v>
      </c>
      <c r="HZ17" s="24">
        <f t="shared" si="34"/>
        <v>4480.4767259999999</v>
      </c>
      <c r="IA17" s="24">
        <f t="shared" si="34"/>
        <v>4480.4767259999999</v>
      </c>
      <c r="IB17" s="24">
        <f t="shared" si="34"/>
        <v>4480.4767259999999</v>
      </c>
      <c r="IC17" s="24">
        <f t="shared" si="34"/>
        <v>4480.4767259999999</v>
      </c>
      <c r="ID17" s="24">
        <f t="shared" si="34"/>
        <v>4480.4767259999999</v>
      </c>
      <c r="IE17" s="24">
        <f t="shared" si="34"/>
        <v>4480.4767259999999</v>
      </c>
      <c r="IF17" s="24">
        <f t="shared" si="34"/>
        <v>4480.4767259999999</v>
      </c>
      <c r="IG17" s="24">
        <f t="shared" si="34"/>
        <v>4480.4767259999999</v>
      </c>
      <c r="IH17" s="24">
        <f t="shared" si="34"/>
        <v>4480.4767259999999</v>
      </c>
      <c r="II17" s="24">
        <f t="shared" si="34"/>
        <v>4480.4767259999999</v>
      </c>
      <c r="IJ17" s="24">
        <f t="shared" si="34"/>
        <v>4480.4767259999999</v>
      </c>
      <c r="IK17" s="24">
        <f t="shared" si="34"/>
        <v>4480.4767259999999</v>
      </c>
      <c r="IL17" s="24">
        <f t="shared" si="34"/>
        <v>4480.4767259999999</v>
      </c>
      <c r="IM17" s="24">
        <f t="shared" si="34"/>
        <v>4480.4767259999999</v>
      </c>
      <c r="IN17" s="24">
        <f t="shared" si="34"/>
        <v>4480.4767259999999</v>
      </c>
    </row>
    <row r="18" spans="2:248" x14ac:dyDescent="0.3">
      <c r="F18" s="22" t="s">
        <v>560</v>
      </c>
      <c r="G18" s="24">
        <f>G6*$C$15</f>
        <v>11.862232187344294</v>
      </c>
      <c r="H18" s="24">
        <f t="shared" ref="H18:BS18" si="35">H6*$C$15</f>
        <v>17.07274539113104</v>
      </c>
      <c r="I18" s="24">
        <f t="shared" si="35"/>
        <v>20.731190832087691</v>
      </c>
      <c r="J18" s="24">
        <f t="shared" si="35"/>
        <v>28.048081714000997</v>
      </c>
      <c r="K18" s="24">
        <f t="shared" si="35"/>
        <v>33.25859491778774</v>
      </c>
      <c r="L18" s="24">
        <f t="shared" si="35"/>
        <v>39.799451918285996</v>
      </c>
      <c r="M18" s="24">
        <f t="shared" si="35"/>
        <v>47.892376681614344</v>
      </c>
      <c r="N18" s="24">
        <f t="shared" si="35"/>
        <v>62.415296462381662</v>
      </c>
      <c r="O18" s="24">
        <f t="shared" si="35"/>
        <v>85.918036870951667</v>
      </c>
      <c r="P18" s="24">
        <f t="shared" si="35"/>
        <v>122.39162929745889</v>
      </c>
      <c r="Q18" s="24">
        <f t="shared" si="35"/>
        <v>145.7835077229696</v>
      </c>
      <c r="R18" s="24">
        <f>R6*$C$15</f>
        <v>163.41056302939711</v>
      </c>
      <c r="S18" s="24">
        <f t="shared" si="35"/>
        <v>205.20553064275038</v>
      </c>
      <c r="T18" s="24">
        <f t="shared" si="35"/>
        <v>277.48754359740906</v>
      </c>
      <c r="U18" s="24">
        <f t="shared" si="35"/>
        <v>278.37443946188341</v>
      </c>
      <c r="V18" s="24">
        <f t="shared" si="35"/>
        <v>417.8388141504733</v>
      </c>
      <c r="W18" s="24">
        <f t="shared" si="35"/>
        <v>515.78517733873832</v>
      </c>
      <c r="X18" s="24">
        <f t="shared" si="35"/>
        <v>636.6913272603457</v>
      </c>
      <c r="Y18" s="24">
        <f t="shared" si="35"/>
        <v>785.93930965626203</v>
      </c>
      <c r="Z18" s="24">
        <f t="shared" si="35"/>
        <v>970.17278548602133</v>
      </c>
      <c r="AA18" s="24">
        <f t="shared" si="35"/>
        <v>1197.592768466262</v>
      </c>
      <c r="AB18" s="24">
        <f t="shared" si="35"/>
        <v>1478.3226869883692</v>
      </c>
      <c r="AC18" s="24">
        <f t="shared" si="35"/>
        <v>1824.8590208701473</v>
      </c>
      <c r="AD18" s="24">
        <f t="shared" si="35"/>
        <v>2252.6275726954004</v>
      </c>
      <c r="AE18" s="24">
        <f>AE6*$C$15</f>
        <v>2780.670135739023</v>
      </c>
      <c r="AF18" s="24">
        <f t="shared" si="35"/>
        <v>3432.4921249804888</v>
      </c>
      <c r="AG18" s="24">
        <f t="shared" si="35"/>
        <v>4237.1089028586812</v>
      </c>
      <c r="AH18" s="24">
        <f t="shared" si="35"/>
        <v>5230.3373761669873</v>
      </c>
      <c r="AI18" s="24">
        <f t="shared" si="35"/>
        <v>6456.3903585467442</v>
      </c>
      <c r="AJ18" s="24">
        <f t="shared" si="35"/>
        <v>7969.8446704185408</v>
      </c>
      <c r="AK18" s="24">
        <f t="shared" si="35"/>
        <v>9838.0705848300131</v>
      </c>
      <c r="AL18" s="24">
        <f t="shared" si="35"/>
        <v>12144.230764163023</v>
      </c>
      <c r="AM18" s="24">
        <f t="shared" si="35"/>
        <v>14990.982183097629</v>
      </c>
      <c r="AN18" s="24">
        <f t="shared" si="35"/>
        <v>18505.045826131322</v>
      </c>
      <c r="AO18" s="24">
        <f t="shared" si="35"/>
        <v>22842.847576279459</v>
      </c>
      <c r="AP18" s="24">
        <f t="shared" si="35"/>
        <v>28197.481394847397</v>
      </c>
      <c r="AQ18" s="24">
        <f t="shared" si="35"/>
        <v>34807.304752950906</v>
      </c>
      <c r="AR18" s="24">
        <f t="shared" si="35"/>
        <v>42966.548933912527</v>
      </c>
      <c r="AS18" s="24">
        <f t="shared" si="35"/>
        <v>53038.416516113284</v>
      </c>
      <c r="AT18" s="24">
        <f t="shared" si="35"/>
        <v>65471.24906083446</v>
      </c>
      <c r="AU18" s="24">
        <f t="shared" si="35"/>
        <v>80818.4846974752</v>
      </c>
      <c r="AV18" s="24">
        <f t="shared" si="35"/>
        <v>99763.294002944502</v>
      </c>
      <c r="AW18" s="24">
        <f t="shared" si="35"/>
        <v>123148.99082275011</v>
      </c>
      <c r="AX18" s="24">
        <f t="shared" si="35"/>
        <v>152016.57174846469</v>
      </c>
      <c r="AY18" s="24">
        <f t="shared" si="35"/>
        <v>187651.05529299256</v>
      </c>
      <c r="AZ18" s="24">
        <f t="shared" si="35"/>
        <v>231638.68351694613</v>
      </c>
      <c r="BA18" s="24">
        <f t="shared" si="35"/>
        <v>285937.53239323042</v>
      </c>
      <c r="BB18" s="24">
        <f t="shared" si="35"/>
        <v>352964.67407676455</v>
      </c>
      <c r="BC18" s="24">
        <f t="shared" si="35"/>
        <v>435703.77104179742</v>
      </c>
      <c r="BD18" s="24">
        <f t="shared" si="35"/>
        <v>537837.89155839477</v>
      </c>
      <c r="BE18" s="24">
        <f t="shared" si="35"/>
        <v>663913.4586884944</v>
      </c>
      <c r="BF18" s="24">
        <f t="shared" si="35"/>
        <v>819542.63086698542</v>
      </c>
      <c r="BG18" s="24">
        <f t="shared" si="35"/>
        <v>1011653.1228861794</v>
      </c>
      <c r="BH18" s="24">
        <f t="shared" si="35"/>
        <v>1248796.5878756919</v>
      </c>
      <c r="BI18" s="24">
        <f t="shared" si="35"/>
        <v>1541529.2876681299</v>
      </c>
      <c r="BJ18" s="24">
        <f t="shared" si="35"/>
        <v>1902881.996803754</v>
      </c>
      <c r="BK18" s="24">
        <f t="shared" si="35"/>
        <v>2348940.0575951855</v>
      </c>
      <c r="BL18" s="24">
        <f t="shared" si="35"/>
        <v>2899559.4069642671</v>
      </c>
      <c r="BM18" s="24">
        <f t="shared" si="35"/>
        <v>3010391.120577977</v>
      </c>
      <c r="BN18" s="24">
        <f>BN6*$C$15</f>
        <v>3010391.120577977</v>
      </c>
      <c r="BO18" s="24">
        <f t="shared" si="35"/>
        <v>3010391.120577977</v>
      </c>
      <c r="BP18" s="24">
        <f t="shared" si="35"/>
        <v>3010391.120577977</v>
      </c>
      <c r="BQ18" s="24">
        <f t="shared" si="35"/>
        <v>3010391.120577977</v>
      </c>
      <c r="BR18" s="24">
        <f t="shared" si="35"/>
        <v>3010391.120577977</v>
      </c>
      <c r="BS18" s="24">
        <f t="shared" si="35"/>
        <v>3010391.120577977</v>
      </c>
      <c r="BT18" s="24">
        <f t="shared" ref="BT18:EE18" si="36">BT6*$C$15</f>
        <v>3010391.120577977</v>
      </c>
      <c r="BU18" s="24">
        <f t="shared" si="36"/>
        <v>3010391.120577977</v>
      </c>
      <c r="BV18" s="24">
        <f t="shared" si="36"/>
        <v>3010391.120577977</v>
      </c>
      <c r="BW18" s="24">
        <f t="shared" si="36"/>
        <v>3010391.120577977</v>
      </c>
      <c r="BX18" s="24">
        <f t="shared" si="36"/>
        <v>3010391.120577977</v>
      </c>
      <c r="BY18" s="24">
        <f t="shared" si="36"/>
        <v>3010391.120577977</v>
      </c>
      <c r="BZ18" s="24">
        <f t="shared" si="36"/>
        <v>3010391.120577977</v>
      </c>
      <c r="CA18" s="24">
        <f t="shared" si="36"/>
        <v>3010391.120577977</v>
      </c>
      <c r="CB18" s="24">
        <f t="shared" si="36"/>
        <v>3010391.120577977</v>
      </c>
      <c r="CC18" s="24">
        <f t="shared" si="36"/>
        <v>3010391.120577977</v>
      </c>
      <c r="CD18" s="24">
        <f t="shared" si="36"/>
        <v>3010391.120577977</v>
      </c>
      <c r="CE18" s="24">
        <f t="shared" si="36"/>
        <v>3010391.120577977</v>
      </c>
      <c r="CF18" s="24">
        <f t="shared" si="36"/>
        <v>3010391.120577977</v>
      </c>
      <c r="CG18" s="24">
        <f t="shared" si="36"/>
        <v>3010391.120577977</v>
      </c>
      <c r="CH18" s="24">
        <f t="shared" si="36"/>
        <v>3010391.120577977</v>
      </c>
      <c r="CI18" s="24">
        <f t="shared" si="36"/>
        <v>3010391.120577977</v>
      </c>
      <c r="CJ18" s="24">
        <f t="shared" si="36"/>
        <v>3010391.120577977</v>
      </c>
      <c r="CK18" s="24">
        <f t="shared" si="36"/>
        <v>3010391.120577977</v>
      </c>
      <c r="CL18" s="24">
        <f t="shared" si="36"/>
        <v>3010391.120577977</v>
      </c>
      <c r="CM18" s="24">
        <f t="shared" si="36"/>
        <v>3010391.120577977</v>
      </c>
      <c r="CN18" s="24">
        <f t="shared" si="36"/>
        <v>3010391.120577977</v>
      </c>
      <c r="CO18" s="24">
        <f t="shared" si="36"/>
        <v>3010391.120577977</v>
      </c>
      <c r="CP18" s="24">
        <f t="shared" si="36"/>
        <v>3010391.120577977</v>
      </c>
      <c r="CQ18" s="24">
        <f t="shared" si="36"/>
        <v>3010391.120577977</v>
      </c>
      <c r="CR18" s="24">
        <f t="shared" si="36"/>
        <v>3010391.120577977</v>
      </c>
      <c r="CS18" s="24">
        <f t="shared" si="36"/>
        <v>3010391.120577977</v>
      </c>
      <c r="CT18" s="24">
        <f t="shared" si="36"/>
        <v>3010391.120577977</v>
      </c>
      <c r="CU18" s="24">
        <f t="shared" si="36"/>
        <v>3010391.120577977</v>
      </c>
      <c r="CV18" s="24">
        <f t="shared" si="36"/>
        <v>3010391.120577977</v>
      </c>
      <c r="CW18" s="24">
        <f t="shared" si="36"/>
        <v>3010391.120577977</v>
      </c>
      <c r="CX18" s="24">
        <f t="shared" si="36"/>
        <v>3010391.120577977</v>
      </c>
      <c r="CY18" s="24">
        <f t="shared" si="36"/>
        <v>3010391.120577977</v>
      </c>
      <c r="CZ18" s="24">
        <f t="shared" si="36"/>
        <v>3010391.120577977</v>
      </c>
      <c r="DA18" s="24">
        <f t="shared" si="36"/>
        <v>3010391.120577977</v>
      </c>
      <c r="DB18" s="24">
        <f t="shared" si="36"/>
        <v>3010391.120577977</v>
      </c>
      <c r="DC18" s="24">
        <f t="shared" si="36"/>
        <v>3010391.120577977</v>
      </c>
      <c r="DD18" s="24">
        <f t="shared" si="36"/>
        <v>3010391.120577977</v>
      </c>
      <c r="DE18" s="24">
        <f t="shared" si="36"/>
        <v>3010391.120577977</v>
      </c>
      <c r="DF18" s="24">
        <f t="shared" si="36"/>
        <v>3010391.120577977</v>
      </c>
      <c r="DG18" s="24">
        <f t="shared" si="36"/>
        <v>3010391.120577977</v>
      </c>
      <c r="DH18" s="24">
        <f t="shared" si="36"/>
        <v>3010391.120577977</v>
      </c>
      <c r="DI18" s="24">
        <f t="shared" si="36"/>
        <v>3010391.120577977</v>
      </c>
      <c r="DJ18" s="24">
        <f t="shared" si="36"/>
        <v>3010391.120577977</v>
      </c>
      <c r="DK18" s="24">
        <f t="shared" si="36"/>
        <v>3010391.120577977</v>
      </c>
      <c r="DL18" s="24">
        <f t="shared" si="36"/>
        <v>3010391.120577977</v>
      </c>
      <c r="DM18" s="24">
        <f t="shared" si="36"/>
        <v>3010391.120577977</v>
      </c>
      <c r="DN18" s="24">
        <f t="shared" si="36"/>
        <v>3010391.120577977</v>
      </c>
      <c r="DO18" s="24">
        <f t="shared" si="36"/>
        <v>3010391.120577977</v>
      </c>
      <c r="DP18" s="24">
        <f t="shared" si="36"/>
        <v>3010391.120577977</v>
      </c>
      <c r="DQ18" s="24">
        <f t="shared" si="36"/>
        <v>3010391.120577977</v>
      </c>
      <c r="DR18" s="24">
        <f t="shared" si="36"/>
        <v>3010391.120577977</v>
      </c>
      <c r="DS18" s="24">
        <f t="shared" si="36"/>
        <v>3010391.120577977</v>
      </c>
      <c r="DT18" s="24">
        <f t="shared" si="36"/>
        <v>3010391.120577977</v>
      </c>
      <c r="DU18" s="24">
        <f t="shared" si="36"/>
        <v>3010391.120577977</v>
      </c>
      <c r="DV18" s="24">
        <f t="shared" si="36"/>
        <v>3010391.120577977</v>
      </c>
      <c r="DW18" s="24">
        <f t="shared" si="36"/>
        <v>3010391.120577977</v>
      </c>
      <c r="DX18" s="24">
        <f t="shared" si="36"/>
        <v>3010391.120577977</v>
      </c>
      <c r="DY18" s="24">
        <f t="shared" si="36"/>
        <v>3010391.120577977</v>
      </c>
      <c r="DZ18" s="24">
        <f t="shared" si="36"/>
        <v>3010391.120577977</v>
      </c>
      <c r="EA18" s="24">
        <f t="shared" si="36"/>
        <v>3010391.120577977</v>
      </c>
      <c r="EB18" s="24">
        <f t="shared" si="36"/>
        <v>3010391.120577977</v>
      </c>
      <c r="EC18" s="24">
        <f t="shared" si="36"/>
        <v>3010391.120577977</v>
      </c>
      <c r="ED18" s="24">
        <f t="shared" si="36"/>
        <v>3010391.120577977</v>
      </c>
      <c r="EE18" s="24">
        <f t="shared" si="36"/>
        <v>3010391.120577977</v>
      </c>
      <c r="EF18" s="24">
        <f t="shared" ref="EF18:GQ18" si="37">EF6*$C$15</f>
        <v>3010391.120577977</v>
      </c>
      <c r="EG18" s="24">
        <f t="shared" si="37"/>
        <v>3010391.120577977</v>
      </c>
      <c r="EH18" s="24">
        <f t="shared" si="37"/>
        <v>3010391.120577977</v>
      </c>
      <c r="EI18" s="24">
        <f t="shared" si="37"/>
        <v>3010391.120577977</v>
      </c>
      <c r="EJ18" s="24">
        <f t="shared" si="37"/>
        <v>3010391.120577977</v>
      </c>
      <c r="EK18" s="24">
        <f t="shared" si="37"/>
        <v>3010391.120577977</v>
      </c>
      <c r="EL18" s="24">
        <f t="shared" si="37"/>
        <v>3010391.120577977</v>
      </c>
      <c r="EM18" s="24">
        <f t="shared" si="37"/>
        <v>3010391.120577977</v>
      </c>
      <c r="EN18" s="24">
        <f t="shared" si="37"/>
        <v>3010391.120577977</v>
      </c>
      <c r="EO18" s="24">
        <f t="shared" si="37"/>
        <v>3010391.120577977</v>
      </c>
      <c r="EP18" s="24">
        <f t="shared" si="37"/>
        <v>3010391.120577977</v>
      </c>
      <c r="EQ18" s="24">
        <f t="shared" si="37"/>
        <v>3010391.120577977</v>
      </c>
      <c r="ER18" s="24">
        <f t="shared" si="37"/>
        <v>3010391.120577977</v>
      </c>
      <c r="ES18" s="24">
        <f t="shared" si="37"/>
        <v>3010391.120577977</v>
      </c>
      <c r="ET18" s="24">
        <f t="shared" si="37"/>
        <v>3010391.120577977</v>
      </c>
      <c r="EU18" s="24">
        <f t="shared" si="37"/>
        <v>3010391.120577977</v>
      </c>
      <c r="EV18" s="24">
        <f t="shared" si="37"/>
        <v>3010391.120577977</v>
      </c>
      <c r="EW18" s="24">
        <f t="shared" si="37"/>
        <v>3010391.120577977</v>
      </c>
      <c r="EX18" s="24">
        <f t="shared" si="37"/>
        <v>3010391.120577977</v>
      </c>
      <c r="EY18" s="24">
        <f t="shared" si="37"/>
        <v>3010391.120577977</v>
      </c>
      <c r="EZ18" s="24">
        <f t="shared" si="37"/>
        <v>3010391.120577977</v>
      </c>
      <c r="FA18" s="24">
        <f t="shared" si="37"/>
        <v>3010391.120577977</v>
      </c>
      <c r="FB18" s="24">
        <f t="shared" si="37"/>
        <v>3010391.120577977</v>
      </c>
      <c r="FC18" s="24">
        <f t="shared" si="37"/>
        <v>3010391.120577977</v>
      </c>
      <c r="FD18" s="24">
        <f t="shared" si="37"/>
        <v>3010391.120577977</v>
      </c>
      <c r="FE18" s="24">
        <f t="shared" si="37"/>
        <v>3010391.120577977</v>
      </c>
      <c r="FF18" s="24">
        <f t="shared" si="37"/>
        <v>3010391.120577977</v>
      </c>
      <c r="FG18" s="24">
        <f t="shared" si="37"/>
        <v>3010391.120577977</v>
      </c>
      <c r="FH18" s="24">
        <f t="shared" si="37"/>
        <v>3010391.120577977</v>
      </c>
      <c r="FI18" s="24">
        <f t="shared" si="37"/>
        <v>3010391.120577977</v>
      </c>
      <c r="FJ18" s="24">
        <f t="shared" si="37"/>
        <v>3010391.120577977</v>
      </c>
      <c r="FK18" s="24">
        <f t="shared" si="37"/>
        <v>3010391.120577977</v>
      </c>
      <c r="FL18" s="24">
        <f t="shared" si="37"/>
        <v>3010391.120577977</v>
      </c>
      <c r="FM18" s="24">
        <f t="shared" si="37"/>
        <v>3010391.120577977</v>
      </c>
      <c r="FN18" s="24">
        <f t="shared" si="37"/>
        <v>3010391.120577977</v>
      </c>
      <c r="FO18" s="24">
        <f t="shared" si="37"/>
        <v>3010391.120577977</v>
      </c>
      <c r="FP18" s="24">
        <f t="shared" si="37"/>
        <v>3010391.120577977</v>
      </c>
      <c r="FQ18" s="24">
        <f t="shared" si="37"/>
        <v>3010391.120577977</v>
      </c>
      <c r="FR18" s="24">
        <f t="shared" si="37"/>
        <v>3010391.120577977</v>
      </c>
      <c r="FS18" s="24">
        <f t="shared" si="37"/>
        <v>3010391.120577977</v>
      </c>
      <c r="FT18" s="24">
        <f t="shared" si="37"/>
        <v>3010391.120577977</v>
      </c>
      <c r="FU18" s="24">
        <f t="shared" si="37"/>
        <v>3010391.120577977</v>
      </c>
      <c r="FV18" s="24">
        <f t="shared" si="37"/>
        <v>3010391.120577977</v>
      </c>
      <c r="FW18" s="24">
        <f t="shared" si="37"/>
        <v>3010391.120577977</v>
      </c>
      <c r="FX18" s="24">
        <f t="shared" si="37"/>
        <v>3010391.120577977</v>
      </c>
      <c r="FY18" s="24">
        <f t="shared" si="37"/>
        <v>3010391.120577977</v>
      </c>
      <c r="FZ18" s="24">
        <f t="shared" si="37"/>
        <v>3010391.120577977</v>
      </c>
      <c r="GA18" s="24">
        <f t="shared" si="37"/>
        <v>3010391.120577977</v>
      </c>
      <c r="GB18" s="24">
        <f t="shared" si="37"/>
        <v>3010391.120577977</v>
      </c>
      <c r="GC18" s="24">
        <f t="shared" si="37"/>
        <v>3010391.120577977</v>
      </c>
      <c r="GD18" s="24">
        <f t="shared" si="37"/>
        <v>3010391.120577977</v>
      </c>
      <c r="GE18" s="24">
        <f t="shared" si="37"/>
        <v>3010391.120577977</v>
      </c>
      <c r="GF18" s="24">
        <f t="shared" si="37"/>
        <v>3010391.120577977</v>
      </c>
      <c r="GG18" s="24">
        <f t="shared" si="37"/>
        <v>3010391.120577977</v>
      </c>
      <c r="GH18" s="24">
        <f t="shared" si="37"/>
        <v>3010391.120577977</v>
      </c>
      <c r="GI18" s="24">
        <f t="shared" si="37"/>
        <v>3010391.120577977</v>
      </c>
      <c r="GJ18" s="24">
        <f t="shared" si="37"/>
        <v>3010391.120577977</v>
      </c>
      <c r="GK18" s="24">
        <f t="shared" si="37"/>
        <v>3010391.120577977</v>
      </c>
      <c r="GL18" s="24">
        <f t="shared" si="37"/>
        <v>3010391.120577977</v>
      </c>
      <c r="GM18" s="24">
        <f t="shared" si="37"/>
        <v>3010391.120577977</v>
      </c>
      <c r="GN18" s="24">
        <f t="shared" si="37"/>
        <v>3010391.120577977</v>
      </c>
      <c r="GO18" s="24">
        <f t="shared" si="37"/>
        <v>3010391.120577977</v>
      </c>
      <c r="GP18" s="24">
        <f t="shared" si="37"/>
        <v>3010391.120577977</v>
      </c>
      <c r="GQ18" s="24">
        <f t="shared" si="37"/>
        <v>3010391.120577977</v>
      </c>
      <c r="GR18" s="24">
        <f t="shared" ref="GR18:IN18" si="38">GR6*$C$15</f>
        <v>3010391.120577977</v>
      </c>
      <c r="GS18" s="24">
        <f t="shared" si="38"/>
        <v>3010391.120577977</v>
      </c>
      <c r="GT18" s="24">
        <f t="shared" si="38"/>
        <v>3010391.120577977</v>
      </c>
      <c r="GU18" s="24">
        <f t="shared" si="38"/>
        <v>3010391.120577977</v>
      </c>
      <c r="GV18" s="24">
        <f t="shared" si="38"/>
        <v>3010391.120577977</v>
      </c>
      <c r="GW18" s="24">
        <f t="shared" si="38"/>
        <v>3010391.120577977</v>
      </c>
      <c r="GX18" s="24">
        <f t="shared" si="38"/>
        <v>3010391.120577977</v>
      </c>
      <c r="GY18" s="24">
        <f t="shared" si="38"/>
        <v>3010391.120577977</v>
      </c>
      <c r="GZ18" s="24">
        <f t="shared" si="38"/>
        <v>3010391.120577977</v>
      </c>
      <c r="HA18" s="24">
        <f t="shared" si="38"/>
        <v>3010391.120577977</v>
      </c>
      <c r="HB18" s="24">
        <f t="shared" si="38"/>
        <v>3010391.120577977</v>
      </c>
      <c r="HC18" s="24">
        <f t="shared" si="38"/>
        <v>3010391.120577977</v>
      </c>
      <c r="HD18" s="24">
        <f t="shared" si="38"/>
        <v>3010391.120577977</v>
      </c>
      <c r="HE18" s="24">
        <f t="shared" si="38"/>
        <v>3010391.120577977</v>
      </c>
      <c r="HF18" s="24">
        <f t="shared" si="38"/>
        <v>3010391.120577977</v>
      </c>
      <c r="HG18" s="24">
        <f t="shared" si="38"/>
        <v>3010391.120577977</v>
      </c>
      <c r="HH18" s="24">
        <f t="shared" si="38"/>
        <v>3010391.120577977</v>
      </c>
      <c r="HI18" s="24">
        <f t="shared" si="38"/>
        <v>3010391.120577977</v>
      </c>
      <c r="HJ18" s="24">
        <f t="shared" si="38"/>
        <v>3010391.120577977</v>
      </c>
      <c r="HK18" s="24">
        <f t="shared" si="38"/>
        <v>3010391.120577977</v>
      </c>
      <c r="HL18" s="24">
        <f t="shared" si="38"/>
        <v>3010391.120577977</v>
      </c>
      <c r="HM18" s="24">
        <f t="shared" si="38"/>
        <v>3010391.120577977</v>
      </c>
      <c r="HN18" s="24">
        <f t="shared" si="38"/>
        <v>3010391.120577977</v>
      </c>
      <c r="HO18" s="24">
        <f t="shared" si="38"/>
        <v>3010391.120577977</v>
      </c>
      <c r="HP18" s="24">
        <f t="shared" si="38"/>
        <v>3010391.120577977</v>
      </c>
      <c r="HQ18" s="24">
        <f t="shared" si="38"/>
        <v>3010391.120577977</v>
      </c>
      <c r="HR18" s="24">
        <f t="shared" si="38"/>
        <v>3010391.120577977</v>
      </c>
      <c r="HS18" s="24">
        <f t="shared" si="38"/>
        <v>3010391.120577977</v>
      </c>
      <c r="HT18" s="24">
        <f t="shared" si="38"/>
        <v>3010391.120577977</v>
      </c>
      <c r="HU18" s="24">
        <f t="shared" si="38"/>
        <v>3010391.120577977</v>
      </c>
      <c r="HV18" s="24">
        <f t="shared" si="38"/>
        <v>3010391.120577977</v>
      </c>
      <c r="HW18" s="24">
        <f t="shared" si="38"/>
        <v>3010391.120577977</v>
      </c>
      <c r="HX18" s="24">
        <f t="shared" si="38"/>
        <v>3010391.120577977</v>
      </c>
      <c r="HY18" s="24">
        <f t="shared" si="38"/>
        <v>3010391.120577977</v>
      </c>
      <c r="HZ18" s="24">
        <f t="shared" si="38"/>
        <v>3010391.120577977</v>
      </c>
      <c r="IA18" s="24">
        <f t="shared" si="38"/>
        <v>3010391.120577977</v>
      </c>
      <c r="IB18" s="24">
        <f t="shared" si="38"/>
        <v>3010391.120577977</v>
      </c>
      <c r="IC18" s="24">
        <f t="shared" si="38"/>
        <v>3010391.120577977</v>
      </c>
      <c r="ID18" s="24">
        <f t="shared" si="38"/>
        <v>3010391.120577977</v>
      </c>
      <c r="IE18" s="24">
        <f t="shared" si="38"/>
        <v>3010391.120577977</v>
      </c>
      <c r="IF18" s="24">
        <f t="shared" si="38"/>
        <v>3010391.120577977</v>
      </c>
      <c r="IG18" s="24">
        <f t="shared" si="38"/>
        <v>3010391.120577977</v>
      </c>
      <c r="IH18" s="24">
        <f t="shared" si="38"/>
        <v>3010391.120577977</v>
      </c>
      <c r="II18" s="24">
        <f t="shared" si="38"/>
        <v>3010391.120577977</v>
      </c>
      <c r="IJ18" s="24">
        <f t="shared" si="38"/>
        <v>3010391.120577977</v>
      </c>
      <c r="IK18" s="24">
        <f t="shared" si="38"/>
        <v>3010391.120577977</v>
      </c>
      <c r="IL18" s="24">
        <f t="shared" si="38"/>
        <v>3010391.120577977</v>
      </c>
      <c r="IM18" s="24">
        <f t="shared" si="38"/>
        <v>3010391.120577977</v>
      </c>
      <c r="IN18" s="24">
        <f t="shared" si="38"/>
        <v>3010391.120577977</v>
      </c>
    </row>
    <row r="19" spans="2:248" x14ac:dyDescent="0.3">
      <c r="B19" s="19" t="s">
        <v>480</v>
      </c>
      <c r="C19" s="42">
        <f>VLOOKUP(B2,Country_Data!B:K,10,FALSE)</f>
        <v>67886011</v>
      </c>
      <c r="F19" s="22" t="s">
        <v>496</v>
      </c>
      <c r="G19" s="24">
        <f>G9*$C$15</f>
        <v>11.862232187344294</v>
      </c>
      <c r="H19" s="24">
        <f t="shared" ref="H19:BS19" si="39">H9*$C$15</f>
        <v>17.07274539113104</v>
      </c>
      <c r="I19" s="24">
        <f t="shared" si="39"/>
        <v>20.731190832087691</v>
      </c>
      <c r="J19" s="24">
        <f t="shared" si="39"/>
        <v>28.048081714000997</v>
      </c>
      <c r="K19" s="24">
        <f t="shared" si="39"/>
        <v>33.25859491778774</v>
      </c>
      <c r="L19" s="24">
        <f t="shared" si="39"/>
        <v>39.799451918285996</v>
      </c>
      <c r="M19" s="24">
        <f t="shared" si="39"/>
        <v>47.892376681614344</v>
      </c>
      <c r="N19" s="24">
        <f t="shared" si="39"/>
        <v>62.415296462381662</v>
      </c>
      <c r="O19" s="24">
        <f t="shared" si="39"/>
        <v>85.918036870951667</v>
      </c>
      <c r="P19" s="24">
        <f t="shared" si="39"/>
        <v>122.39162929745889</v>
      </c>
      <c r="Q19" s="24">
        <f t="shared" si="39"/>
        <v>145.7835077229696</v>
      </c>
      <c r="R19" s="24">
        <f t="shared" si="39"/>
        <v>163.41056302939711</v>
      </c>
      <c r="S19" s="24">
        <f t="shared" si="39"/>
        <v>205.20553064275038</v>
      </c>
      <c r="T19" s="24">
        <f t="shared" si="39"/>
        <v>277.48754359740906</v>
      </c>
      <c r="U19" s="24">
        <f t="shared" si="39"/>
        <v>278.37443946188341</v>
      </c>
      <c r="V19" s="24">
        <f t="shared" si="39"/>
        <v>417.8388141504733</v>
      </c>
      <c r="W19" s="24">
        <f t="shared" si="39"/>
        <v>459.6226955655207</v>
      </c>
      <c r="X19" s="24">
        <f t="shared" si="39"/>
        <v>505.58496512207279</v>
      </c>
      <c r="Y19" s="24">
        <f t="shared" si="39"/>
        <v>556.14346163428013</v>
      </c>
      <c r="Z19" s="24">
        <f t="shared" si="39"/>
        <v>611.75780779770821</v>
      </c>
      <c r="AA19" s="24">
        <f t="shared" si="39"/>
        <v>672.93358857747899</v>
      </c>
      <c r="AB19" s="24">
        <f t="shared" si="39"/>
        <v>740.22694743522698</v>
      </c>
      <c r="AC19" s="24">
        <f t="shared" si="39"/>
        <v>814.24964217874981</v>
      </c>
      <c r="AD19" s="24">
        <f t="shared" si="39"/>
        <v>895.67460639662488</v>
      </c>
      <c r="AE19" s="24">
        <f t="shared" si="39"/>
        <v>985.24206703628749</v>
      </c>
      <c r="AF19" s="24">
        <f t="shared" si="39"/>
        <v>1083.7662737399162</v>
      </c>
      <c r="AG19" s="24">
        <f t="shared" si="39"/>
        <v>1192.142901113908</v>
      </c>
      <c r="AH19" s="24">
        <f t="shared" si="39"/>
        <v>1311.3571912252989</v>
      </c>
      <c r="AI19" s="24">
        <f t="shared" si="39"/>
        <v>1442.4929103478289</v>
      </c>
      <c r="AJ19" s="24">
        <f t="shared" si="39"/>
        <v>1586.7422013826119</v>
      </c>
      <c r="AK19" s="24">
        <f t="shared" si="39"/>
        <v>1745.4164215208732</v>
      </c>
      <c r="AL19" s="24">
        <f t="shared" si="39"/>
        <v>1919.9580636729606</v>
      </c>
      <c r="AM19" s="24">
        <f t="shared" si="39"/>
        <v>2111.9538700402568</v>
      </c>
      <c r="AN19" s="24">
        <f t="shared" si="39"/>
        <v>2323.1492570442829</v>
      </c>
      <c r="AO19" s="24">
        <f t="shared" si="39"/>
        <v>2555.4641827487112</v>
      </c>
      <c r="AP19" s="24">
        <f t="shared" si="39"/>
        <v>2811.0106010235822</v>
      </c>
      <c r="AQ19" s="24">
        <f t="shared" si="39"/>
        <v>3092.1116611259408</v>
      </c>
      <c r="AR19" s="24">
        <f t="shared" si="39"/>
        <v>3401.3228272385354</v>
      </c>
      <c r="AS19" s="24">
        <f t="shared" si="39"/>
        <v>3741.4551099623891</v>
      </c>
      <c r="AT19" s="24">
        <f t="shared" si="39"/>
        <v>4115.6006209586285</v>
      </c>
      <c r="AU19" s="24">
        <f t="shared" si="39"/>
        <v>4527.1606830544915</v>
      </c>
      <c r="AV19" s="24">
        <f t="shared" si="39"/>
        <v>4979.8767513599414</v>
      </c>
      <c r="AW19" s="24">
        <f t="shared" si="39"/>
        <v>5477.8644264959357</v>
      </c>
      <c r="AX19" s="24">
        <f t="shared" si="39"/>
        <v>6025.6508691455301</v>
      </c>
      <c r="AY19" s="24">
        <f t="shared" si="39"/>
        <v>6628.215956060083</v>
      </c>
      <c r="AZ19" s="24">
        <f t="shared" si="39"/>
        <v>7291.0375516660924</v>
      </c>
      <c r="BA19" s="24">
        <f t="shared" si="39"/>
        <v>8020.1413068327029</v>
      </c>
      <c r="BB19" s="24">
        <f t="shared" si="39"/>
        <v>8822.155437515974</v>
      </c>
      <c r="BC19" s="24">
        <f t="shared" si="39"/>
        <v>9704.3709812675734</v>
      </c>
      <c r="BD19" s="24">
        <f t="shared" si="39"/>
        <v>10674.80807939433</v>
      </c>
      <c r="BE19" s="24">
        <f t="shared" si="39"/>
        <v>11742.288887333763</v>
      </c>
      <c r="BF19" s="24">
        <f t="shared" si="39"/>
        <v>12916.517776067141</v>
      </c>
      <c r="BG19" s="24">
        <f t="shared" si="39"/>
        <v>14208.169553673857</v>
      </c>
      <c r="BH19" s="24">
        <f t="shared" si="39"/>
        <v>15628.986509041244</v>
      </c>
      <c r="BI19" s="24">
        <f t="shared" si="39"/>
        <v>17191.88515994537</v>
      </c>
      <c r="BJ19" s="24">
        <f t="shared" si="39"/>
        <v>18911.073675939908</v>
      </c>
      <c r="BK19" s="24">
        <f t="shared" si="39"/>
        <v>20802.181043533899</v>
      </c>
      <c r="BL19" s="24">
        <f t="shared" si="39"/>
        <v>22882.399147887292</v>
      </c>
      <c r="BM19" s="24">
        <f t="shared" si="39"/>
        <v>25170.639062676026</v>
      </c>
      <c r="BN19" s="24">
        <f t="shared" si="39"/>
        <v>27687.702968943628</v>
      </c>
      <c r="BO19" s="24">
        <f t="shared" si="39"/>
        <v>30456.473265837991</v>
      </c>
      <c r="BP19" s="24">
        <f t="shared" si="39"/>
        <v>33502.120592421794</v>
      </c>
      <c r="BQ19" s="24">
        <f t="shared" si="39"/>
        <v>36852.332651663972</v>
      </c>
      <c r="BR19" s="24">
        <f t="shared" si="39"/>
        <v>40537.565916830368</v>
      </c>
      <c r="BS19" s="24">
        <f t="shared" si="39"/>
        <v>44591.322508513411</v>
      </c>
      <c r="BT19" s="24">
        <f t="shared" ref="BT19:EE19" si="40">BT9*$C$15</f>
        <v>49050.454759364759</v>
      </c>
      <c r="BU19" s="24">
        <f t="shared" si="40"/>
        <v>53955.500235301231</v>
      </c>
      <c r="BV19" s="24">
        <f t="shared" si="40"/>
        <v>59351.050258831368</v>
      </c>
      <c r="BW19" s="24">
        <f t="shared" si="40"/>
        <v>65286.155284714507</v>
      </c>
      <c r="BX19" s="24">
        <f t="shared" si="40"/>
        <v>71814.770813185969</v>
      </c>
      <c r="BY19" s="24">
        <f t="shared" si="40"/>
        <v>78996.247894504559</v>
      </c>
      <c r="BZ19" s="24">
        <f t="shared" si="40"/>
        <v>86895.872683955022</v>
      </c>
      <c r="CA19" s="24">
        <f t="shared" si="40"/>
        <v>95585.459952350531</v>
      </c>
      <c r="CB19" s="24">
        <f t="shared" si="40"/>
        <v>105144.00594758558</v>
      </c>
      <c r="CC19" s="24">
        <f t="shared" si="40"/>
        <v>115658.40654234415</v>
      </c>
      <c r="CD19" s="24">
        <f t="shared" si="40"/>
        <v>127224.24719657857</v>
      </c>
      <c r="CE19" s="24">
        <f t="shared" si="40"/>
        <v>139946.67191623643</v>
      </c>
      <c r="CF19" s="24">
        <f t="shared" si="40"/>
        <v>153941.33910786008</v>
      </c>
      <c r="CG19" s="24">
        <f t="shared" si="40"/>
        <v>169335.47301864609</v>
      </c>
      <c r="CH19" s="24">
        <f t="shared" si="40"/>
        <v>186269.02032051072</v>
      </c>
      <c r="CI19" s="24">
        <f t="shared" si="40"/>
        <v>204895.92235256181</v>
      </c>
      <c r="CJ19" s="24">
        <f t="shared" si="40"/>
        <v>225385.514587818</v>
      </c>
      <c r="CK19" s="24">
        <f t="shared" si="40"/>
        <v>247924.06604659982</v>
      </c>
      <c r="CL19" s="24">
        <f t="shared" si="40"/>
        <v>272716.47265125986</v>
      </c>
      <c r="CM19" s="24">
        <f t="shared" si="40"/>
        <v>299988.11991638585</v>
      </c>
      <c r="CN19" s="24">
        <f t="shared" si="40"/>
        <v>329986.93190802442</v>
      </c>
      <c r="CO19" s="24">
        <f t="shared" si="40"/>
        <v>362985.62509882695</v>
      </c>
      <c r="CP19" s="24">
        <f t="shared" si="40"/>
        <v>399284.18760870962</v>
      </c>
      <c r="CQ19" s="24">
        <f t="shared" si="40"/>
        <v>439212.60636958067</v>
      </c>
      <c r="CR19" s="24">
        <f t="shared" si="40"/>
        <v>483133.86700653879</v>
      </c>
      <c r="CS19" s="24">
        <f t="shared" si="40"/>
        <v>531447.25370719272</v>
      </c>
      <c r="CT19" s="24">
        <f t="shared" si="40"/>
        <v>584591.97907791217</v>
      </c>
      <c r="CU19" s="24">
        <f t="shared" si="40"/>
        <v>643051.17698570341</v>
      </c>
      <c r="CV19" s="24">
        <f t="shared" si="40"/>
        <v>707356.29468427377</v>
      </c>
      <c r="CW19" s="24">
        <f t="shared" si="40"/>
        <v>778091.92415270128</v>
      </c>
      <c r="CX19" s="24">
        <f t="shared" si="40"/>
        <v>855901.11656797142</v>
      </c>
      <c r="CY19" s="24">
        <f t="shared" si="40"/>
        <v>941491.22822476865</v>
      </c>
      <c r="CZ19" s="24">
        <f t="shared" si="40"/>
        <v>1035640.3510472456</v>
      </c>
      <c r="DA19" s="24">
        <f t="shared" si="40"/>
        <v>1139204.3861519701</v>
      </c>
      <c r="DB19" s="24">
        <f t="shared" si="40"/>
        <v>1253124.8247671674</v>
      </c>
      <c r="DC19" s="24">
        <f t="shared" si="40"/>
        <v>1378437.3072438843</v>
      </c>
      <c r="DD19" s="24">
        <f t="shared" si="40"/>
        <v>1516281.0379682728</v>
      </c>
      <c r="DE19" s="24">
        <f t="shared" si="40"/>
        <v>1667909.1417651002</v>
      </c>
      <c r="DF19" s="24">
        <f t="shared" si="40"/>
        <v>1834700.0559416104</v>
      </c>
      <c r="DG19" s="24">
        <f t="shared" si="40"/>
        <v>2018170.0615357715</v>
      </c>
      <c r="DH19" s="24">
        <f t="shared" si="40"/>
        <v>2219987.0676893489</v>
      </c>
      <c r="DI19" s="24">
        <f t="shared" si="40"/>
        <v>2441985.774458284</v>
      </c>
      <c r="DJ19" s="24">
        <f t="shared" si="40"/>
        <v>2686184.3519041124</v>
      </c>
      <c r="DK19" s="24">
        <f t="shared" si="40"/>
        <v>2954802.7870945241</v>
      </c>
      <c r="DL19" s="24">
        <f t="shared" si="40"/>
        <v>3010391.120577977</v>
      </c>
      <c r="DM19" s="24">
        <f t="shared" si="40"/>
        <v>3010391.120577977</v>
      </c>
      <c r="DN19" s="24">
        <f t="shared" si="40"/>
        <v>3010391.120577977</v>
      </c>
      <c r="DO19" s="24">
        <f t="shared" si="40"/>
        <v>3010391.120577977</v>
      </c>
      <c r="DP19" s="24">
        <f t="shared" si="40"/>
        <v>3010391.120577977</v>
      </c>
      <c r="DQ19" s="24">
        <f t="shared" si="40"/>
        <v>3010391.120577977</v>
      </c>
      <c r="DR19" s="24">
        <f t="shared" si="40"/>
        <v>3010391.120577977</v>
      </c>
      <c r="DS19" s="24">
        <f t="shared" si="40"/>
        <v>3010391.120577977</v>
      </c>
      <c r="DT19" s="24">
        <f t="shared" si="40"/>
        <v>3010391.120577977</v>
      </c>
      <c r="DU19" s="24">
        <f t="shared" si="40"/>
        <v>3010391.120577977</v>
      </c>
      <c r="DV19" s="24">
        <f t="shared" si="40"/>
        <v>3010391.120577977</v>
      </c>
      <c r="DW19" s="24">
        <f t="shared" si="40"/>
        <v>3010391.120577977</v>
      </c>
      <c r="DX19" s="24">
        <f t="shared" si="40"/>
        <v>3010391.120577977</v>
      </c>
      <c r="DY19" s="24">
        <f t="shared" si="40"/>
        <v>3010391.120577977</v>
      </c>
      <c r="DZ19" s="24">
        <f t="shared" si="40"/>
        <v>3010391.120577977</v>
      </c>
      <c r="EA19" s="24">
        <f t="shared" si="40"/>
        <v>3010391.120577977</v>
      </c>
      <c r="EB19" s="24">
        <f t="shared" si="40"/>
        <v>3010391.120577977</v>
      </c>
      <c r="EC19" s="24">
        <f t="shared" si="40"/>
        <v>3010391.120577977</v>
      </c>
      <c r="ED19" s="24">
        <f t="shared" si="40"/>
        <v>3010391.120577977</v>
      </c>
      <c r="EE19" s="24">
        <f t="shared" si="40"/>
        <v>3010391.120577977</v>
      </c>
      <c r="EF19" s="24">
        <f t="shared" ref="EF19:GQ19" si="41">EF9*$C$15</f>
        <v>3010391.120577977</v>
      </c>
      <c r="EG19" s="24">
        <f t="shared" si="41"/>
        <v>3010391.120577977</v>
      </c>
      <c r="EH19" s="24">
        <f t="shared" si="41"/>
        <v>3010391.120577977</v>
      </c>
      <c r="EI19" s="24">
        <f t="shared" si="41"/>
        <v>3010391.120577977</v>
      </c>
      <c r="EJ19" s="24">
        <f t="shared" si="41"/>
        <v>3010391.120577977</v>
      </c>
      <c r="EK19" s="24">
        <f t="shared" si="41"/>
        <v>3010391.120577977</v>
      </c>
      <c r="EL19" s="24">
        <f t="shared" si="41"/>
        <v>3010391.120577977</v>
      </c>
      <c r="EM19" s="24">
        <f t="shared" si="41"/>
        <v>3010391.120577977</v>
      </c>
      <c r="EN19" s="24">
        <f t="shared" si="41"/>
        <v>3010391.120577977</v>
      </c>
      <c r="EO19" s="24">
        <f t="shared" si="41"/>
        <v>3010391.120577977</v>
      </c>
      <c r="EP19" s="24">
        <f t="shared" si="41"/>
        <v>3010391.120577977</v>
      </c>
      <c r="EQ19" s="24">
        <f t="shared" si="41"/>
        <v>3010391.120577977</v>
      </c>
      <c r="ER19" s="24">
        <f t="shared" si="41"/>
        <v>3010391.120577977</v>
      </c>
      <c r="ES19" s="24">
        <f t="shared" si="41"/>
        <v>3010391.120577977</v>
      </c>
      <c r="ET19" s="24">
        <f t="shared" si="41"/>
        <v>3010391.120577977</v>
      </c>
      <c r="EU19" s="24">
        <f t="shared" si="41"/>
        <v>3010391.120577977</v>
      </c>
      <c r="EV19" s="24">
        <f t="shared" si="41"/>
        <v>3010391.120577977</v>
      </c>
      <c r="EW19" s="24">
        <f t="shared" si="41"/>
        <v>3010391.120577977</v>
      </c>
      <c r="EX19" s="24">
        <f t="shared" si="41"/>
        <v>3010391.120577977</v>
      </c>
      <c r="EY19" s="24">
        <f t="shared" si="41"/>
        <v>3010391.120577977</v>
      </c>
      <c r="EZ19" s="24">
        <f t="shared" si="41"/>
        <v>3010391.120577977</v>
      </c>
      <c r="FA19" s="24">
        <f t="shared" si="41"/>
        <v>3010391.120577977</v>
      </c>
      <c r="FB19" s="24">
        <f t="shared" si="41"/>
        <v>3010391.120577977</v>
      </c>
      <c r="FC19" s="24">
        <f t="shared" si="41"/>
        <v>3010391.120577977</v>
      </c>
      <c r="FD19" s="24">
        <f t="shared" si="41"/>
        <v>3010391.120577977</v>
      </c>
      <c r="FE19" s="24">
        <f t="shared" si="41"/>
        <v>3010391.120577977</v>
      </c>
      <c r="FF19" s="24">
        <f t="shared" si="41"/>
        <v>3010391.120577977</v>
      </c>
      <c r="FG19" s="24">
        <f t="shared" si="41"/>
        <v>3010391.120577977</v>
      </c>
      <c r="FH19" s="24">
        <f t="shared" si="41"/>
        <v>3010391.120577977</v>
      </c>
      <c r="FI19" s="24">
        <f t="shared" si="41"/>
        <v>3010391.120577977</v>
      </c>
      <c r="FJ19" s="24">
        <f t="shared" si="41"/>
        <v>3010391.120577977</v>
      </c>
      <c r="FK19" s="24">
        <f t="shared" si="41"/>
        <v>3010391.120577977</v>
      </c>
      <c r="FL19" s="24">
        <f t="shared" si="41"/>
        <v>3010391.120577977</v>
      </c>
      <c r="FM19" s="24">
        <f t="shared" si="41"/>
        <v>3010391.120577977</v>
      </c>
      <c r="FN19" s="24">
        <f t="shared" si="41"/>
        <v>3010391.120577977</v>
      </c>
      <c r="FO19" s="24">
        <f t="shared" si="41"/>
        <v>3010391.120577977</v>
      </c>
      <c r="FP19" s="24">
        <f t="shared" si="41"/>
        <v>3010391.120577977</v>
      </c>
      <c r="FQ19" s="24">
        <f t="shared" si="41"/>
        <v>3010391.120577977</v>
      </c>
      <c r="FR19" s="24">
        <f t="shared" si="41"/>
        <v>3010391.120577977</v>
      </c>
      <c r="FS19" s="24">
        <f t="shared" si="41"/>
        <v>3010391.120577977</v>
      </c>
      <c r="FT19" s="24">
        <f t="shared" si="41"/>
        <v>3010391.120577977</v>
      </c>
      <c r="FU19" s="24">
        <f t="shared" si="41"/>
        <v>3010391.120577977</v>
      </c>
      <c r="FV19" s="24">
        <f t="shared" si="41"/>
        <v>3010391.120577977</v>
      </c>
      <c r="FW19" s="24">
        <f t="shared" si="41"/>
        <v>3010391.120577977</v>
      </c>
      <c r="FX19" s="24">
        <f t="shared" si="41"/>
        <v>3010391.120577977</v>
      </c>
      <c r="FY19" s="24">
        <f t="shared" si="41"/>
        <v>3010391.120577977</v>
      </c>
      <c r="FZ19" s="24">
        <f t="shared" si="41"/>
        <v>3010391.120577977</v>
      </c>
      <c r="GA19" s="24">
        <f t="shared" si="41"/>
        <v>3010391.120577977</v>
      </c>
      <c r="GB19" s="24">
        <f t="shared" si="41"/>
        <v>3010391.120577977</v>
      </c>
      <c r="GC19" s="24">
        <f t="shared" si="41"/>
        <v>3010391.120577977</v>
      </c>
      <c r="GD19" s="24">
        <f t="shared" si="41"/>
        <v>3010391.120577977</v>
      </c>
      <c r="GE19" s="24">
        <f t="shared" si="41"/>
        <v>3010391.120577977</v>
      </c>
      <c r="GF19" s="24">
        <f t="shared" si="41"/>
        <v>3010391.120577977</v>
      </c>
      <c r="GG19" s="24">
        <f t="shared" si="41"/>
        <v>3010391.120577977</v>
      </c>
      <c r="GH19" s="24">
        <f t="shared" si="41"/>
        <v>3010391.120577977</v>
      </c>
      <c r="GI19" s="24">
        <f t="shared" si="41"/>
        <v>3010391.120577977</v>
      </c>
      <c r="GJ19" s="24">
        <f t="shared" si="41"/>
        <v>3010391.120577977</v>
      </c>
      <c r="GK19" s="24">
        <f t="shared" si="41"/>
        <v>3010391.120577977</v>
      </c>
      <c r="GL19" s="24">
        <f t="shared" si="41"/>
        <v>3010391.120577977</v>
      </c>
      <c r="GM19" s="24">
        <f t="shared" si="41"/>
        <v>3010391.120577977</v>
      </c>
      <c r="GN19" s="24">
        <f t="shared" si="41"/>
        <v>3010391.120577977</v>
      </c>
      <c r="GO19" s="24">
        <f t="shared" si="41"/>
        <v>3010391.120577977</v>
      </c>
      <c r="GP19" s="24">
        <f t="shared" si="41"/>
        <v>3010391.120577977</v>
      </c>
      <c r="GQ19" s="24">
        <f t="shared" si="41"/>
        <v>3010391.120577977</v>
      </c>
      <c r="GR19" s="24">
        <f t="shared" ref="GR19:IN19" si="42">GR9*$C$15</f>
        <v>3010391.120577977</v>
      </c>
      <c r="GS19" s="24">
        <f t="shared" si="42"/>
        <v>3010391.120577977</v>
      </c>
      <c r="GT19" s="24">
        <f t="shared" si="42"/>
        <v>3010391.120577977</v>
      </c>
      <c r="GU19" s="24">
        <f t="shared" si="42"/>
        <v>3010391.120577977</v>
      </c>
      <c r="GV19" s="24">
        <f t="shared" si="42"/>
        <v>3010391.120577977</v>
      </c>
      <c r="GW19" s="24">
        <f t="shared" si="42"/>
        <v>3010391.120577977</v>
      </c>
      <c r="GX19" s="24">
        <f t="shared" si="42"/>
        <v>3010391.120577977</v>
      </c>
      <c r="GY19" s="24">
        <f t="shared" si="42"/>
        <v>3010391.120577977</v>
      </c>
      <c r="GZ19" s="24">
        <f t="shared" si="42"/>
        <v>3010391.120577977</v>
      </c>
      <c r="HA19" s="24">
        <f t="shared" si="42"/>
        <v>3010391.120577977</v>
      </c>
      <c r="HB19" s="24">
        <f t="shared" si="42"/>
        <v>3010391.120577977</v>
      </c>
      <c r="HC19" s="24">
        <f t="shared" si="42"/>
        <v>3010391.120577977</v>
      </c>
      <c r="HD19" s="24">
        <f t="shared" si="42"/>
        <v>3010391.120577977</v>
      </c>
      <c r="HE19" s="24">
        <f t="shared" si="42"/>
        <v>3010391.120577977</v>
      </c>
      <c r="HF19" s="24">
        <f t="shared" si="42"/>
        <v>3010391.120577977</v>
      </c>
      <c r="HG19" s="24">
        <f t="shared" si="42"/>
        <v>3010391.120577977</v>
      </c>
      <c r="HH19" s="24">
        <f t="shared" si="42"/>
        <v>3010391.120577977</v>
      </c>
      <c r="HI19" s="24">
        <f t="shared" si="42"/>
        <v>3010391.120577977</v>
      </c>
      <c r="HJ19" s="24">
        <f t="shared" si="42"/>
        <v>3010391.120577977</v>
      </c>
      <c r="HK19" s="24">
        <f t="shared" si="42"/>
        <v>3010391.120577977</v>
      </c>
      <c r="HL19" s="24">
        <f t="shared" si="42"/>
        <v>3010391.120577977</v>
      </c>
      <c r="HM19" s="24">
        <f t="shared" si="42"/>
        <v>3010391.120577977</v>
      </c>
      <c r="HN19" s="24">
        <f t="shared" si="42"/>
        <v>3010391.120577977</v>
      </c>
      <c r="HO19" s="24">
        <f t="shared" si="42"/>
        <v>3010391.120577977</v>
      </c>
      <c r="HP19" s="24">
        <f t="shared" si="42"/>
        <v>3010391.120577977</v>
      </c>
      <c r="HQ19" s="24">
        <f t="shared" si="42"/>
        <v>3010391.120577977</v>
      </c>
      <c r="HR19" s="24">
        <f t="shared" si="42"/>
        <v>3010391.120577977</v>
      </c>
      <c r="HS19" s="24">
        <f t="shared" si="42"/>
        <v>3010391.120577977</v>
      </c>
      <c r="HT19" s="24">
        <f t="shared" si="42"/>
        <v>3010391.120577977</v>
      </c>
      <c r="HU19" s="24">
        <f t="shared" si="42"/>
        <v>3010391.120577977</v>
      </c>
      <c r="HV19" s="24">
        <f t="shared" si="42"/>
        <v>3010391.120577977</v>
      </c>
      <c r="HW19" s="24">
        <f t="shared" si="42"/>
        <v>3010391.120577977</v>
      </c>
      <c r="HX19" s="24">
        <f t="shared" si="42"/>
        <v>3010391.120577977</v>
      </c>
      <c r="HY19" s="24">
        <f t="shared" si="42"/>
        <v>3010391.120577977</v>
      </c>
      <c r="HZ19" s="24">
        <f t="shared" si="42"/>
        <v>3010391.120577977</v>
      </c>
      <c r="IA19" s="24">
        <f t="shared" si="42"/>
        <v>3010391.120577977</v>
      </c>
      <c r="IB19" s="24">
        <f t="shared" si="42"/>
        <v>3010391.120577977</v>
      </c>
      <c r="IC19" s="24">
        <f t="shared" si="42"/>
        <v>3010391.120577977</v>
      </c>
      <c r="ID19" s="24">
        <f t="shared" si="42"/>
        <v>3010391.120577977</v>
      </c>
      <c r="IE19" s="24">
        <f t="shared" si="42"/>
        <v>3010391.120577977</v>
      </c>
      <c r="IF19" s="24">
        <f t="shared" si="42"/>
        <v>3010391.120577977</v>
      </c>
      <c r="IG19" s="24">
        <f t="shared" si="42"/>
        <v>3010391.120577977</v>
      </c>
      <c r="IH19" s="24">
        <f t="shared" si="42"/>
        <v>3010391.120577977</v>
      </c>
      <c r="II19" s="24">
        <f t="shared" si="42"/>
        <v>3010391.120577977</v>
      </c>
      <c r="IJ19" s="24">
        <f t="shared" si="42"/>
        <v>3010391.120577977</v>
      </c>
      <c r="IK19" s="24">
        <f t="shared" si="42"/>
        <v>3010391.120577977</v>
      </c>
      <c r="IL19" s="24">
        <f t="shared" si="42"/>
        <v>3010391.120577977</v>
      </c>
      <c r="IM19" s="24">
        <f t="shared" si="42"/>
        <v>3010391.120577977</v>
      </c>
      <c r="IN19" s="24">
        <f t="shared" si="42"/>
        <v>3010391.120577977</v>
      </c>
    </row>
    <row r="20" spans="2:248" x14ac:dyDescent="0.3">
      <c r="B20" s="19" t="s">
        <v>493</v>
      </c>
      <c r="C20" s="44">
        <v>0.4</v>
      </c>
      <c r="F20" s="22" t="s">
        <v>500</v>
      </c>
      <c r="G20" s="24">
        <f>G11*$C$15</f>
        <v>11.862232187344294</v>
      </c>
      <c r="H20" s="24">
        <f t="shared" ref="H20:BS20" si="43">H11*$C$15</f>
        <v>17.07274539113104</v>
      </c>
      <c r="I20" s="24">
        <f t="shared" si="43"/>
        <v>20.731190832087691</v>
      </c>
      <c r="J20" s="24">
        <f t="shared" si="43"/>
        <v>28.048081714000997</v>
      </c>
      <c r="K20" s="24">
        <f t="shared" si="43"/>
        <v>33.25859491778774</v>
      </c>
      <c r="L20" s="24">
        <f t="shared" si="43"/>
        <v>39.799451918285996</v>
      </c>
      <c r="M20" s="24">
        <f t="shared" si="43"/>
        <v>47.892376681614344</v>
      </c>
      <c r="N20" s="24">
        <f t="shared" si="43"/>
        <v>62.415296462381662</v>
      </c>
      <c r="O20" s="24">
        <f t="shared" si="43"/>
        <v>85.918036870951667</v>
      </c>
      <c r="P20" s="24">
        <f t="shared" si="43"/>
        <v>122.39162929745889</v>
      </c>
      <c r="Q20" s="24">
        <f t="shared" si="43"/>
        <v>145.7835077229696</v>
      </c>
      <c r="R20" s="24">
        <f t="shared" si="43"/>
        <v>163.41056302939711</v>
      </c>
      <c r="S20" s="24">
        <f t="shared" si="43"/>
        <v>205.20553064275038</v>
      </c>
      <c r="T20" s="24">
        <f t="shared" si="43"/>
        <v>277.48754359740906</v>
      </c>
      <c r="U20" s="24">
        <f t="shared" si="43"/>
        <v>278.37443946188341</v>
      </c>
      <c r="V20" s="24">
        <f t="shared" si="43"/>
        <v>417.8388141504733</v>
      </c>
      <c r="W20" s="24">
        <f t="shared" si="43"/>
        <v>522.29851768809169</v>
      </c>
      <c r="X20" s="24">
        <f t="shared" si="43"/>
        <v>652.87314711011459</v>
      </c>
      <c r="Y20" s="24">
        <f t="shared" si="43"/>
        <v>816.09143388764323</v>
      </c>
      <c r="Z20" s="24">
        <f t="shared" si="43"/>
        <v>1020.114292359554</v>
      </c>
      <c r="AA20" s="24">
        <f t="shared" si="43"/>
        <v>1275.1428654494425</v>
      </c>
      <c r="AB20" s="24">
        <f t="shared" si="43"/>
        <v>1593.928581811803</v>
      </c>
      <c r="AC20" s="24">
        <f t="shared" si="43"/>
        <v>1992.4107272647539</v>
      </c>
      <c r="AD20" s="24">
        <f t="shared" si="43"/>
        <v>2490.5134090809424</v>
      </c>
      <c r="AE20" s="24">
        <f t="shared" si="43"/>
        <v>3113.141761351178</v>
      </c>
      <c r="AF20" s="24">
        <f t="shared" si="43"/>
        <v>3891.4272016889727</v>
      </c>
      <c r="AG20" s="24">
        <f t="shared" si="43"/>
        <v>4864.2840021112161</v>
      </c>
      <c r="AH20" s="24">
        <f t="shared" si="43"/>
        <v>6080.3550026390194</v>
      </c>
      <c r="AI20" s="24">
        <f t="shared" si="43"/>
        <v>7600.443753298774</v>
      </c>
      <c r="AJ20" s="24">
        <f t="shared" si="43"/>
        <v>9500.5546916234689</v>
      </c>
      <c r="AK20" s="24">
        <f t="shared" si="43"/>
        <v>11875.693364529336</v>
      </c>
      <c r="AL20" s="24">
        <f t="shared" si="43"/>
        <v>14844.616705661669</v>
      </c>
      <c r="AM20" s="24">
        <f t="shared" si="43"/>
        <v>18555.770882077086</v>
      </c>
      <c r="AN20" s="24">
        <f t="shared" si="43"/>
        <v>23194.713602596355</v>
      </c>
      <c r="AO20" s="24">
        <f t="shared" si="43"/>
        <v>28993.392003245444</v>
      </c>
      <c r="AP20" s="24">
        <f t="shared" si="43"/>
        <v>36241.740004056803</v>
      </c>
      <c r="AQ20" s="24">
        <f t="shared" si="43"/>
        <v>45302.175005071003</v>
      </c>
      <c r="AR20" s="24">
        <f t="shared" si="43"/>
        <v>56627.718756338756</v>
      </c>
      <c r="AS20" s="24">
        <f t="shared" si="43"/>
        <v>70784.648445423445</v>
      </c>
      <c r="AT20" s="24">
        <f t="shared" si="43"/>
        <v>88480.81055677931</v>
      </c>
      <c r="AU20" s="24">
        <f t="shared" si="43"/>
        <v>110601.01319597413</v>
      </c>
      <c r="AV20" s="24">
        <f t="shared" si="43"/>
        <v>138251.26649496765</v>
      </c>
      <c r="AW20" s="24">
        <f t="shared" si="43"/>
        <v>172814.08311870956</v>
      </c>
      <c r="AX20" s="24">
        <f t="shared" si="43"/>
        <v>216017.60389838697</v>
      </c>
      <c r="AY20" s="24">
        <f t="shared" si="43"/>
        <v>270022.00487298373</v>
      </c>
      <c r="AZ20" s="24">
        <f t="shared" si="43"/>
        <v>337527.50609122968</v>
      </c>
      <c r="BA20" s="24">
        <f t="shared" si="43"/>
        <v>421909.38261403702</v>
      </c>
      <c r="BB20" s="24">
        <f t="shared" si="43"/>
        <v>527386.72826754628</v>
      </c>
      <c r="BC20" s="24">
        <f t="shared" si="43"/>
        <v>659233.41033443296</v>
      </c>
      <c r="BD20" s="24">
        <f t="shared" si="43"/>
        <v>824041.7629180412</v>
      </c>
      <c r="BE20" s="24">
        <f t="shared" si="43"/>
        <v>1030052.2036475516</v>
      </c>
      <c r="BF20" s="24">
        <f t="shared" si="43"/>
        <v>1287565.2545594394</v>
      </c>
      <c r="BG20" s="24">
        <f t="shared" si="43"/>
        <v>1609456.568199299</v>
      </c>
      <c r="BH20" s="24">
        <f t="shared" si="43"/>
        <v>2011820.7102491239</v>
      </c>
      <c r="BI20" s="24">
        <f t="shared" si="43"/>
        <v>2514775.8878114051</v>
      </c>
      <c r="BJ20" s="24">
        <f t="shared" si="43"/>
        <v>3010391.120577977</v>
      </c>
      <c r="BK20" s="24">
        <f t="shared" si="43"/>
        <v>3010391.120577977</v>
      </c>
      <c r="BL20" s="24">
        <f t="shared" si="43"/>
        <v>3010391.120577977</v>
      </c>
      <c r="BM20" s="24">
        <f t="shared" si="43"/>
        <v>3010391.120577977</v>
      </c>
      <c r="BN20" s="24">
        <f t="shared" si="43"/>
        <v>3010391.120577977</v>
      </c>
      <c r="BO20" s="24">
        <f t="shared" si="43"/>
        <v>3010391.120577977</v>
      </c>
      <c r="BP20" s="24">
        <f t="shared" si="43"/>
        <v>3010391.120577977</v>
      </c>
      <c r="BQ20" s="24">
        <f t="shared" si="43"/>
        <v>3010391.120577977</v>
      </c>
      <c r="BR20" s="24">
        <f t="shared" si="43"/>
        <v>3010391.120577977</v>
      </c>
      <c r="BS20" s="24">
        <f t="shared" si="43"/>
        <v>3010391.120577977</v>
      </c>
      <c r="BT20" s="24">
        <f t="shared" ref="BT20:EE20" si="44">BT11*$C$15</f>
        <v>3010391.120577977</v>
      </c>
      <c r="BU20" s="24">
        <f t="shared" si="44"/>
        <v>3010391.120577977</v>
      </c>
      <c r="BV20" s="24">
        <f t="shared" si="44"/>
        <v>3010391.120577977</v>
      </c>
      <c r="BW20" s="24">
        <f t="shared" si="44"/>
        <v>3010391.120577977</v>
      </c>
      <c r="BX20" s="24">
        <f t="shared" si="44"/>
        <v>3010391.120577977</v>
      </c>
      <c r="BY20" s="24">
        <f t="shared" si="44"/>
        <v>3010391.120577977</v>
      </c>
      <c r="BZ20" s="24">
        <f t="shared" si="44"/>
        <v>3010391.120577977</v>
      </c>
      <c r="CA20" s="24">
        <f t="shared" si="44"/>
        <v>3010391.120577977</v>
      </c>
      <c r="CB20" s="24">
        <f t="shared" si="44"/>
        <v>3010391.120577977</v>
      </c>
      <c r="CC20" s="24">
        <f t="shared" si="44"/>
        <v>3010391.120577977</v>
      </c>
      <c r="CD20" s="24">
        <f t="shared" si="44"/>
        <v>3010391.120577977</v>
      </c>
      <c r="CE20" s="24">
        <f t="shared" si="44"/>
        <v>3010391.120577977</v>
      </c>
      <c r="CF20" s="24">
        <f t="shared" si="44"/>
        <v>3010391.120577977</v>
      </c>
      <c r="CG20" s="24">
        <f t="shared" si="44"/>
        <v>3010391.120577977</v>
      </c>
      <c r="CH20" s="24">
        <f t="shared" si="44"/>
        <v>3010391.120577977</v>
      </c>
      <c r="CI20" s="24">
        <f t="shared" si="44"/>
        <v>3010391.120577977</v>
      </c>
      <c r="CJ20" s="24">
        <f t="shared" si="44"/>
        <v>3010391.120577977</v>
      </c>
      <c r="CK20" s="24">
        <f t="shared" si="44"/>
        <v>3010391.120577977</v>
      </c>
      <c r="CL20" s="24">
        <f t="shared" si="44"/>
        <v>3010391.120577977</v>
      </c>
      <c r="CM20" s="24">
        <f t="shared" si="44"/>
        <v>3010391.120577977</v>
      </c>
      <c r="CN20" s="24">
        <f t="shared" si="44"/>
        <v>3010391.120577977</v>
      </c>
      <c r="CO20" s="24">
        <f t="shared" si="44"/>
        <v>3010391.120577977</v>
      </c>
      <c r="CP20" s="24">
        <f t="shared" si="44"/>
        <v>3010391.120577977</v>
      </c>
      <c r="CQ20" s="24">
        <f t="shared" si="44"/>
        <v>3010391.120577977</v>
      </c>
      <c r="CR20" s="24">
        <f t="shared" si="44"/>
        <v>3010391.120577977</v>
      </c>
      <c r="CS20" s="24">
        <f t="shared" si="44"/>
        <v>3010391.120577977</v>
      </c>
      <c r="CT20" s="24">
        <f t="shared" si="44"/>
        <v>3010391.120577977</v>
      </c>
      <c r="CU20" s="24">
        <f t="shared" si="44"/>
        <v>3010391.120577977</v>
      </c>
      <c r="CV20" s="24">
        <f t="shared" si="44"/>
        <v>3010391.120577977</v>
      </c>
      <c r="CW20" s="24">
        <f t="shared" si="44"/>
        <v>3010391.120577977</v>
      </c>
      <c r="CX20" s="24">
        <f t="shared" si="44"/>
        <v>3010391.120577977</v>
      </c>
      <c r="CY20" s="24">
        <f t="shared" si="44"/>
        <v>3010391.120577977</v>
      </c>
      <c r="CZ20" s="24">
        <f t="shared" si="44"/>
        <v>3010391.120577977</v>
      </c>
      <c r="DA20" s="24">
        <f t="shared" si="44"/>
        <v>3010391.120577977</v>
      </c>
      <c r="DB20" s="24">
        <f t="shared" si="44"/>
        <v>3010391.120577977</v>
      </c>
      <c r="DC20" s="24">
        <f t="shared" si="44"/>
        <v>3010391.120577977</v>
      </c>
      <c r="DD20" s="24">
        <f t="shared" si="44"/>
        <v>3010391.120577977</v>
      </c>
      <c r="DE20" s="24">
        <f t="shared" si="44"/>
        <v>3010391.120577977</v>
      </c>
      <c r="DF20" s="24">
        <f t="shared" si="44"/>
        <v>3010391.120577977</v>
      </c>
      <c r="DG20" s="24">
        <f t="shared" si="44"/>
        <v>3010391.120577977</v>
      </c>
      <c r="DH20" s="24">
        <f t="shared" si="44"/>
        <v>3010391.120577977</v>
      </c>
      <c r="DI20" s="24">
        <f t="shared" si="44"/>
        <v>3010391.120577977</v>
      </c>
      <c r="DJ20" s="24">
        <f t="shared" si="44"/>
        <v>3010391.120577977</v>
      </c>
      <c r="DK20" s="24">
        <f t="shared" si="44"/>
        <v>3010391.120577977</v>
      </c>
      <c r="DL20" s="24">
        <f t="shared" si="44"/>
        <v>3010391.120577977</v>
      </c>
      <c r="DM20" s="24">
        <f t="shared" si="44"/>
        <v>3010391.120577977</v>
      </c>
      <c r="DN20" s="24">
        <f t="shared" si="44"/>
        <v>3010391.120577977</v>
      </c>
      <c r="DO20" s="24">
        <f t="shared" si="44"/>
        <v>3010391.120577977</v>
      </c>
      <c r="DP20" s="24">
        <f t="shared" si="44"/>
        <v>3010391.120577977</v>
      </c>
      <c r="DQ20" s="24">
        <f t="shared" si="44"/>
        <v>3010391.120577977</v>
      </c>
      <c r="DR20" s="24">
        <f t="shared" si="44"/>
        <v>3010391.120577977</v>
      </c>
      <c r="DS20" s="24">
        <f t="shared" si="44"/>
        <v>3010391.120577977</v>
      </c>
      <c r="DT20" s="24">
        <f t="shared" si="44"/>
        <v>3010391.120577977</v>
      </c>
      <c r="DU20" s="24">
        <f t="shared" si="44"/>
        <v>3010391.120577977</v>
      </c>
      <c r="DV20" s="24">
        <f t="shared" si="44"/>
        <v>3010391.120577977</v>
      </c>
      <c r="DW20" s="24">
        <f t="shared" si="44"/>
        <v>3010391.120577977</v>
      </c>
      <c r="DX20" s="24">
        <f t="shared" si="44"/>
        <v>3010391.120577977</v>
      </c>
      <c r="DY20" s="24">
        <f t="shared" si="44"/>
        <v>3010391.120577977</v>
      </c>
      <c r="DZ20" s="24">
        <f t="shared" si="44"/>
        <v>3010391.120577977</v>
      </c>
      <c r="EA20" s="24">
        <f t="shared" si="44"/>
        <v>3010391.120577977</v>
      </c>
      <c r="EB20" s="24">
        <f t="shared" si="44"/>
        <v>3010391.120577977</v>
      </c>
      <c r="EC20" s="24">
        <f t="shared" si="44"/>
        <v>3010391.120577977</v>
      </c>
      <c r="ED20" s="24">
        <f t="shared" si="44"/>
        <v>3010391.120577977</v>
      </c>
      <c r="EE20" s="24">
        <f t="shared" si="44"/>
        <v>3010391.120577977</v>
      </c>
      <c r="EF20" s="24">
        <f t="shared" ref="EF20:GQ20" si="45">EF11*$C$15</f>
        <v>3010391.120577977</v>
      </c>
      <c r="EG20" s="24">
        <f t="shared" si="45"/>
        <v>3010391.120577977</v>
      </c>
      <c r="EH20" s="24">
        <f t="shared" si="45"/>
        <v>3010391.120577977</v>
      </c>
      <c r="EI20" s="24">
        <f t="shared" si="45"/>
        <v>3010391.120577977</v>
      </c>
      <c r="EJ20" s="24">
        <f t="shared" si="45"/>
        <v>3010391.120577977</v>
      </c>
      <c r="EK20" s="24">
        <f t="shared" si="45"/>
        <v>3010391.120577977</v>
      </c>
      <c r="EL20" s="24">
        <f t="shared" si="45"/>
        <v>3010391.120577977</v>
      </c>
      <c r="EM20" s="24">
        <f t="shared" si="45"/>
        <v>3010391.120577977</v>
      </c>
      <c r="EN20" s="24">
        <f t="shared" si="45"/>
        <v>3010391.120577977</v>
      </c>
      <c r="EO20" s="24">
        <f t="shared" si="45"/>
        <v>3010391.120577977</v>
      </c>
      <c r="EP20" s="24">
        <f t="shared" si="45"/>
        <v>3010391.120577977</v>
      </c>
      <c r="EQ20" s="24">
        <f t="shared" si="45"/>
        <v>3010391.120577977</v>
      </c>
      <c r="ER20" s="24">
        <f t="shared" si="45"/>
        <v>3010391.120577977</v>
      </c>
      <c r="ES20" s="24">
        <f t="shared" si="45"/>
        <v>3010391.120577977</v>
      </c>
      <c r="ET20" s="24">
        <f t="shared" si="45"/>
        <v>3010391.120577977</v>
      </c>
      <c r="EU20" s="24">
        <f t="shared" si="45"/>
        <v>3010391.120577977</v>
      </c>
      <c r="EV20" s="24">
        <f t="shared" si="45"/>
        <v>3010391.120577977</v>
      </c>
      <c r="EW20" s="24">
        <f t="shared" si="45"/>
        <v>3010391.120577977</v>
      </c>
      <c r="EX20" s="24">
        <f t="shared" si="45"/>
        <v>3010391.120577977</v>
      </c>
      <c r="EY20" s="24">
        <f t="shared" si="45"/>
        <v>3010391.120577977</v>
      </c>
      <c r="EZ20" s="24">
        <f t="shared" si="45"/>
        <v>3010391.120577977</v>
      </c>
      <c r="FA20" s="24">
        <f t="shared" si="45"/>
        <v>3010391.120577977</v>
      </c>
      <c r="FB20" s="24">
        <f t="shared" si="45"/>
        <v>3010391.120577977</v>
      </c>
      <c r="FC20" s="24">
        <f t="shared" si="45"/>
        <v>3010391.120577977</v>
      </c>
      <c r="FD20" s="24">
        <f t="shared" si="45"/>
        <v>3010391.120577977</v>
      </c>
      <c r="FE20" s="24">
        <f t="shared" si="45"/>
        <v>3010391.120577977</v>
      </c>
      <c r="FF20" s="24">
        <f t="shared" si="45"/>
        <v>3010391.120577977</v>
      </c>
      <c r="FG20" s="24">
        <f t="shared" si="45"/>
        <v>3010391.120577977</v>
      </c>
      <c r="FH20" s="24">
        <f t="shared" si="45"/>
        <v>3010391.120577977</v>
      </c>
      <c r="FI20" s="24">
        <f t="shared" si="45"/>
        <v>3010391.120577977</v>
      </c>
      <c r="FJ20" s="24">
        <f t="shared" si="45"/>
        <v>3010391.120577977</v>
      </c>
      <c r="FK20" s="24">
        <f t="shared" si="45"/>
        <v>3010391.120577977</v>
      </c>
      <c r="FL20" s="24">
        <f t="shared" si="45"/>
        <v>3010391.120577977</v>
      </c>
      <c r="FM20" s="24">
        <f t="shared" si="45"/>
        <v>3010391.120577977</v>
      </c>
      <c r="FN20" s="24">
        <f t="shared" si="45"/>
        <v>3010391.120577977</v>
      </c>
      <c r="FO20" s="24">
        <f t="shared" si="45"/>
        <v>3010391.120577977</v>
      </c>
      <c r="FP20" s="24">
        <f t="shared" si="45"/>
        <v>3010391.120577977</v>
      </c>
      <c r="FQ20" s="24">
        <f t="shared" si="45"/>
        <v>3010391.120577977</v>
      </c>
      <c r="FR20" s="24">
        <f t="shared" si="45"/>
        <v>3010391.120577977</v>
      </c>
      <c r="FS20" s="24">
        <f t="shared" si="45"/>
        <v>3010391.120577977</v>
      </c>
      <c r="FT20" s="24">
        <f t="shared" si="45"/>
        <v>3010391.120577977</v>
      </c>
      <c r="FU20" s="24">
        <f t="shared" si="45"/>
        <v>3010391.120577977</v>
      </c>
      <c r="FV20" s="24">
        <f t="shared" si="45"/>
        <v>3010391.120577977</v>
      </c>
      <c r="FW20" s="24">
        <f t="shared" si="45"/>
        <v>3010391.120577977</v>
      </c>
      <c r="FX20" s="24">
        <f t="shared" si="45"/>
        <v>3010391.120577977</v>
      </c>
      <c r="FY20" s="24">
        <f t="shared" si="45"/>
        <v>3010391.120577977</v>
      </c>
      <c r="FZ20" s="24">
        <f t="shared" si="45"/>
        <v>3010391.120577977</v>
      </c>
      <c r="GA20" s="24">
        <f t="shared" si="45"/>
        <v>3010391.120577977</v>
      </c>
      <c r="GB20" s="24">
        <f t="shared" si="45"/>
        <v>3010391.120577977</v>
      </c>
      <c r="GC20" s="24">
        <f t="shared" si="45"/>
        <v>3010391.120577977</v>
      </c>
      <c r="GD20" s="24">
        <f t="shared" si="45"/>
        <v>3010391.120577977</v>
      </c>
      <c r="GE20" s="24">
        <f t="shared" si="45"/>
        <v>3010391.120577977</v>
      </c>
      <c r="GF20" s="24">
        <f t="shared" si="45"/>
        <v>3010391.120577977</v>
      </c>
      <c r="GG20" s="24">
        <f t="shared" si="45"/>
        <v>3010391.120577977</v>
      </c>
      <c r="GH20" s="24">
        <f t="shared" si="45"/>
        <v>3010391.120577977</v>
      </c>
      <c r="GI20" s="24">
        <f t="shared" si="45"/>
        <v>3010391.120577977</v>
      </c>
      <c r="GJ20" s="24">
        <f t="shared" si="45"/>
        <v>3010391.120577977</v>
      </c>
      <c r="GK20" s="24">
        <f t="shared" si="45"/>
        <v>3010391.120577977</v>
      </c>
      <c r="GL20" s="24">
        <f t="shared" si="45"/>
        <v>3010391.120577977</v>
      </c>
      <c r="GM20" s="24">
        <f t="shared" si="45"/>
        <v>3010391.120577977</v>
      </c>
      <c r="GN20" s="24">
        <f t="shared" si="45"/>
        <v>3010391.120577977</v>
      </c>
      <c r="GO20" s="24">
        <f t="shared" si="45"/>
        <v>3010391.120577977</v>
      </c>
      <c r="GP20" s="24">
        <f t="shared" si="45"/>
        <v>3010391.120577977</v>
      </c>
      <c r="GQ20" s="24">
        <f t="shared" si="45"/>
        <v>3010391.120577977</v>
      </c>
      <c r="GR20" s="24">
        <f t="shared" ref="GR20:IN20" si="46">GR11*$C$15</f>
        <v>3010391.120577977</v>
      </c>
      <c r="GS20" s="24">
        <f t="shared" si="46"/>
        <v>3010391.120577977</v>
      </c>
      <c r="GT20" s="24">
        <f t="shared" si="46"/>
        <v>3010391.120577977</v>
      </c>
      <c r="GU20" s="24">
        <f t="shared" si="46"/>
        <v>3010391.120577977</v>
      </c>
      <c r="GV20" s="24">
        <f t="shared" si="46"/>
        <v>3010391.120577977</v>
      </c>
      <c r="GW20" s="24">
        <f t="shared" si="46"/>
        <v>3010391.120577977</v>
      </c>
      <c r="GX20" s="24">
        <f t="shared" si="46"/>
        <v>3010391.120577977</v>
      </c>
      <c r="GY20" s="24">
        <f t="shared" si="46"/>
        <v>3010391.120577977</v>
      </c>
      <c r="GZ20" s="24">
        <f t="shared" si="46"/>
        <v>3010391.120577977</v>
      </c>
      <c r="HA20" s="24">
        <f t="shared" si="46"/>
        <v>3010391.120577977</v>
      </c>
      <c r="HB20" s="24">
        <f t="shared" si="46"/>
        <v>3010391.120577977</v>
      </c>
      <c r="HC20" s="24">
        <f t="shared" si="46"/>
        <v>3010391.120577977</v>
      </c>
      <c r="HD20" s="24">
        <f t="shared" si="46"/>
        <v>3010391.120577977</v>
      </c>
      <c r="HE20" s="24">
        <f t="shared" si="46"/>
        <v>3010391.120577977</v>
      </c>
      <c r="HF20" s="24">
        <f t="shared" si="46"/>
        <v>3010391.120577977</v>
      </c>
      <c r="HG20" s="24">
        <f t="shared" si="46"/>
        <v>3010391.120577977</v>
      </c>
      <c r="HH20" s="24">
        <f t="shared" si="46"/>
        <v>3010391.120577977</v>
      </c>
      <c r="HI20" s="24">
        <f t="shared" si="46"/>
        <v>3010391.120577977</v>
      </c>
      <c r="HJ20" s="24">
        <f t="shared" si="46"/>
        <v>3010391.120577977</v>
      </c>
      <c r="HK20" s="24">
        <f t="shared" si="46"/>
        <v>3010391.120577977</v>
      </c>
      <c r="HL20" s="24">
        <f t="shared" si="46"/>
        <v>3010391.120577977</v>
      </c>
      <c r="HM20" s="24">
        <f t="shared" si="46"/>
        <v>3010391.120577977</v>
      </c>
      <c r="HN20" s="24">
        <f t="shared" si="46"/>
        <v>3010391.120577977</v>
      </c>
      <c r="HO20" s="24">
        <f t="shared" si="46"/>
        <v>3010391.120577977</v>
      </c>
      <c r="HP20" s="24">
        <f t="shared" si="46"/>
        <v>3010391.120577977</v>
      </c>
      <c r="HQ20" s="24">
        <f t="shared" si="46"/>
        <v>3010391.120577977</v>
      </c>
      <c r="HR20" s="24">
        <f t="shared" si="46"/>
        <v>3010391.120577977</v>
      </c>
      <c r="HS20" s="24">
        <f t="shared" si="46"/>
        <v>3010391.120577977</v>
      </c>
      <c r="HT20" s="24">
        <f t="shared" si="46"/>
        <v>3010391.120577977</v>
      </c>
      <c r="HU20" s="24">
        <f t="shared" si="46"/>
        <v>3010391.120577977</v>
      </c>
      <c r="HV20" s="24">
        <f t="shared" si="46"/>
        <v>3010391.120577977</v>
      </c>
      <c r="HW20" s="24">
        <f t="shared" si="46"/>
        <v>3010391.120577977</v>
      </c>
      <c r="HX20" s="24">
        <f t="shared" si="46"/>
        <v>3010391.120577977</v>
      </c>
      <c r="HY20" s="24">
        <f t="shared" si="46"/>
        <v>3010391.120577977</v>
      </c>
      <c r="HZ20" s="24">
        <f t="shared" si="46"/>
        <v>3010391.120577977</v>
      </c>
      <c r="IA20" s="24">
        <f t="shared" si="46"/>
        <v>3010391.120577977</v>
      </c>
      <c r="IB20" s="24">
        <f t="shared" si="46"/>
        <v>3010391.120577977</v>
      </c>
      <c r="IC20" s="24">
        <f t="shared" si="46"/>
        <v>3010391.120577977</v>
      </c>
      <c r="ID20" s="24">
        <f t="shared" si="46"/>
        <v>3010391.120577977</v>
      </c>
      <c r="IE20" s="24">
        <f t="shared" si="46"/>
        <v>3010391.120577977</v>
      </c>
      <c r="IF20" s="24">
        <f t="shared" si="46"/>
        <v>3010391.120577977</v>
      </c>
      <c r="IG20" s="24">
        <f t="shared" si="46"/>
        <v>3010391.120577977</v>
      </c>
      <c r="IH20" s="24">
        <f t="shared" si="46"/>
        <v>3010391.120577977</v>
      </c>
      <c r="II20" s="24">
        <f t="shared" si="46"/>
        <v>3010391.120577977</v>
      </c>
      <c r="IJ20" s="24">
        <f t="shared" si="46"/>
        <v>3010391.120577977</v>
      </c>
      <c r="IK20" s="24">
        <f t="shared" si="46"/>
        <v>3010391.120577977</v>
      </c>
      <c r="IL20" s="24">
        <f t="shared" si="46"/>
        <v>3010391.120577977</v>
      </c>
      <c r="IM20" s="24">
        <f t="shared" si="46"/>
        <v>3010391.120577977</v>
      </c>
      <c r="IN20" s="24">
        <f t="shared" si="46"/>
        <v>3010391.120577977</v>
      </c>
    </row>
    <row r="21" spans="2:248" x14ac:dyDescent="0.3">
      <c r="B21" s="19" t="s">
        <v>494</v>
      </c>
      <c r="C21" s="42">
        <f>C20*C19</f>
        <v>27154404.400000002</v>
      </c>
      <c r="F21" s="22" t="s">
        <v>497</v>
      </c>
      <c r="G21" s="24">
        <f>G13*$C$15</f>
        <v>11.862232187344294</v>
      </c>
      <c r="H21" s="24">
        <f t="shared" ref="H21:BS21" si="47">H13*$C$15</f>
        <v>17.07274539113104</v>
      </c>
      <c r="I21" s="24">
        <f t="shared" si="47"/>
        <v>20.731190832087691</v>
      </c>
      <c r="J21" s="24">
        <f t="shared" si="47"/>
        <v>28.048081714000997</v>
      </c>
      <c r="K21" s="24">
        <f t="shared" si="47"/>
        <v>33.25859491778774</v>
      </c>
      <c r="L21" s="24">
        <f t="shared" si="47"/>
        <v>39.799451918285996</v>
      </c>
      <c r="M21" s="24">
        <f t="shared" si="47"/>
        <v>47.892376681614344</v>
      </c>
      <c r="N21" s="24">
        <f t="shared" si="47"/>
        <v>62.415296462381662</v>
      </c>
      <c r="O21" s="24">
        <f t="shared" si="47"/>
        <v>85.918036870951667</v>
      </c>
      <c r="P21" s="24">
        <f t="shared" si="47"/>
        <v>122.39162929745889</v>
      </c>
      <c r="Q21" s="24">
        <f t="shared" si="47"/>
        <v>145.7835077229696</v>
      </c>
      <c r="R21" s="24">
        <f t="shared" si="47"/>
        <v>163.41056302939711</v>
      </c>
      <c r="S21" s="24">
        <f t="shared" si="47"/>
        <v>205.20553064275038</v>
      </c>
      <c r="T21" s="24">
        <f t="shared" si="47"/>
        <v>277.48754359740906</v>
      </c>
      <c r="U21" s="24">
        <f t="shared" si="47"/>
        <v>278.37443946188341</v>
      </c>
      <c r="V21" s="24">
        <f t="shared" si="47"/>
        <v>417.8388141504733</v>
      </c>
      <c r="W21" s="24">
        <f t="shared" si="47"/>
        <v>417.8388141504733</v>
      </c>
      <c r="X21" s="24">
        <f t="shared" si="47"/>
        <v>417.8388141504733</v>
      </c>
      <c r="Y21" s="24">
        <f t="shared" si="47"/>
        <v>417.8388141504733</v>
      </c>
      <c r="Z21" s="24">
        <f t="shared" si="47"/>
        <v>417.8388141504733</v>
      </c>
      <c r="AA21" s="24">
        <f t="shared" si="47"/>
        <v>417.8388141504733</v>
      </c>
      <c r="AB21" s="24">
        <f t="shared" si="47"/>
        <v>417.8388141504733</v>
      </c>
      <c r="AC21" s="24">
        <f t="shared" si="47"/>
        <v>417.8388141504733</v>
      </c>
      <c r="AD21" s="24">
        <f t="shared" si="47"/>
        <v>417.8388141504733</v>
      </c>
      <c r="AE21" s="24">
        <f t="shared" si="47"/>
        <v>417.8388141504733</v>
      </c>
      <c r="AF21" s="24">
        <f t="shared" si="47"/>
        <v>417.8388141504733</v>
      </c>
      <c r="AG21" s="24">
        <f t="shared" si="47"/>
        <v>417.8388141504733</v>
      </c>
      <c r="AH21" s="24">
        <f t="shared" si="47"/>
        <v>417.8388141504733</v>
      </c>
      <c r="AI21" s="24">
        <f t="shared" si="47"/>
        <v>417.8388141504733</v>
      </c>
      <c r="AJ21" s="24">
        <f t="shared" si="47"/>
        <v>417.8388141504733</v>
      </c>
      <c r="AK21" s="24">
        <f t="shared" si="47"/>
        <v>417.8388141504733</v>
      </c>
      <c r="AL21" s="24">
        <f t="shared" si="47"/>
        <v>417.8388141504733</v>
      </c>
      <c r="AM21" s="24">
        <f t="shared" si="47"/>
        <v>417.8388141504733</v>
      </c>
      <c r="AN21" s="24">
        <f t="shared" si="47"/>
        <v>417.8388141504733</v>
      </c>
      <c r="AO21" s="24">
        <f t="shared" si="47"/>
        <v>417.8388141504733</v>
      </c>
      <c r="AP21" s="24">
        <f t="shared" si="47"/>
        <v>417.8388141504733</v>
      </c>
      <c r="AQ21" s="24">
        <f t="shared" si="47"/>
        <v>417.8388141504733</v>
      </c>
      <c r="AR21" s="24">
        <f t="shared" si="47"/>
        <v>417.8388141504733</v>
      </c>
      <c r="AS21" s="24">
        <f t="shared" si="47"/>
        <v>417.8388141504733</v>
      </c>
      <c r="AT21" s="24">
        <f t="shared" si="47"/>
        <v>417.8388141504733</v>
      </c>
      <c r="AU21" s="24">
        <f t="shared" si="47"/>
        <v>417.8388141504733</v>
      </c>
      <c r="AV21" s="24">
        <f t="shared" si="47"/>
        <v>417.8388141504733</v>
      </c>
      <c r="AW21" s="24">
        <f t="shared" si="47"/>
        <v>417.8388141504733</v>
      </c>
      <c r="AX21" s="24">
        <f t="shared" si="47"/>
        <v>417.8388141504733</v>
      </c>
      <c r="AY21" s="24">
        <f t="shared" si="47"/>
        <v>417.8388141504733</v>
      </c>
      <c r="AZ21" s="24">
        <f t="shared" si="47"/>
        <v>417.8388141504733</v>
      </c>
      <c r="BA21" s="24">
        <f t="shared" si="47"/>
        <v>417.8388141504733</v>
      </c>
      <c r="BB21" s="24">
        <f t="shared" si="47"/>
        <v>417.8388141504733</v>
      </c>
      <c r="BC21" s="24">
        <f t="shared" si="47"/>
        <v>417.8388141504733</v>
      </c>
      <c r="BD21" s="24">
        <f t="shared" si="47"/>
        <v>417.8388141504733</v>
      </c>
      <c r="BE21" s="24">
        <f t="shared" si="47"/>
        <v>417.8388141504733</v>
      </c>
      <c r="BF21" s="24">
        <f t="shared" si="47"/>
        <v>417.8388141504733</v>
      </c>
      <c r="BG21" s="24">
        <f t="shared" si="47"/>
        <v>417.8388141504733</v>
      </c>
      <c r="BH21" s="24">
        <f t="shared" si="47"/>
        <v>417.8388141504733</v>
      </c>
      <c r="BI21" s="24">
        <f t="shared" si="47"/>
        <v>417.8388141504733</v>
      </c>
      <c r="BJ21" s="24">
        <f t="shared" si="47"/>
        <v>417.8388141504733</v>
      </c>
      <c r="BK21" s="24">
        <f t="shared" si="47"/>
        <v>417.8388141504733</v>
      </c>
      <c r="BL21" s="24">
        <f t="shared" si="47"/>
        <v>417.8388141504733</v>
      </c>
      <c r="BM21" s="24">
        <f t="shared" si="47"/>
        <v>417.8388141504733</v>
      </c>
      <c r="BN21" s="24">
        <f t="shared" si="47"/>
        <v>417.8388141504733</v>
      </c>
      <c r="BO21" s="24">
        <f t="shared" si="47"/>
        <v>417.8388141504733</v>
      </c>
      <c r="BP21" s="24">
        <f t="shared" si="47"/>
        <v>417.8388141504733</v>
      </c>
      <c r="BQ21" s="24">
        <f t="shared" si="47"/>
        <v>417.8388141504733</v>
      </c>
      <c r="BR21" s="24">
        <f t="shared" si="47"/>
        <v>417.8388141504733</v>
      </c>
      <c r="BS21" s="24">
        <f t="shared" si="47"/>
        <v>417.8388141504733</v>
      </c>
      <c r="BT21" s="24">
        <f t="shared" ref="BT21:EE21" si="48">BT13*$C$15</f>
        <v>417.8388141504733</v>
      </c>
      <c r="BU21" s="24">
        <f t="shared" si="48"/>
        <v>417.8388141504733</v>
      </c>
      <c r="BV21" s="24">
        <f t="shared" si="48"/>
        <v>417.8388141504733</v>
      </c>
      <c r="BW21" s="24">
        <f t="shared" si="48"/>
        <v>417.8388141504733</v>
      </c>
      <c r="BX21" s="24">
        <f t="shared" si="48"/>
        <v>417.8388141504733</v>
      </c>
      <c r="BY21" s="24">
        <f t="shared" si="48"/>
        <v>417.8388141504733</v>
      </c>
      <c r="BZ21" s="24">
        <f t="shared" si="48"/>
        <v>417.8388141504733</v>
      </c>
      <c r="CA21" s="24">
        <f t="shared" si="48"/>
        <v>417.8388141504733</v>
      </c>
      <c r="CB21" s="24">
        <f t="shared" si="48"/>
        <v>417.8388141504733</v>
      </c>
      <c r="CC21" s="24">
        <f t="shared" si="48"/>
        <v>417.8388141504733</v>
      </c>
      <c r="CD21" s="24">
        <f t="shared" si="48"/>
        <v>417.8388141504733</v>
      </c>
      <c r="CE21" s="24">
        <f t="shared" si="48"/>
        <v>417.8388141504733</v>
      </c>
      <c r="CF21" s="24">
        <f t="shared" si="48"/>
        <v>417.8388141504733</v>
      </c>
      <c r="CG21" s="24">
        <f t="shared" si="48"/>
        <v>417.8388141504733</v>
      </c>
      <c r="CH21" s="24">
        <f t="shared" si="48"/>
        <v>417.8388141504733</v>
      </c>
      <c r="CI21" s="24">
        <f t="shared" si="48"/>
        <v>417.8388141504733</v>
      </c>
      <c r="CJ21" s="24">
        <f t="shared" si="48"/>
        <v>417.8388141504733</v>
      </c>
      <c r="CK21" s="24">
        <f t="shared" si="48"/>
        <v>417.8388141504733</v>
      </c>
      <c r="CL21" s="24">
        <f t="shared" si="48"/>
        <v>417.8388141504733</v>
      </c>
      <c r="CM21" s="24">
        <f t="shared" si="48"/>
        <v>417.8388141504733</v>
      </c>
      <c r="CN21" s="24">
        <f t="shared" si="48"/>
        <v>417.8388141504733</v>
      </c>
      <c r="CO21" s="24">
        <f t="shared" si="48"/>
        <v>417.8388141504733</v>
      </c>
      <c r="CP21" s="24">
        <f t="shared" si="48"/>
        <v>417.8388141504733</v>
      </c>
      <c r="CQ21" s="24">
        <f t="shared" si="48"/>
        <v>417.8388141504733</v>
      </c>
      <c r="CR21" s="24">
        <f t="shared" si="48"/>
        <v>417.8388141504733</v>
      </c>
      <c r="CS21" s="24">
        <f t="shared" si="48"/>
        <v>417.8388141504733</v>
      </c>
      <c r="CT21" s="24">
        <f t="shared" si="48"/>
        <v>417.8388141504733</v>
      </c>
      <c r="CU21" s="24">
        <f t="shared" si="48"/>
        <v>417.8388141504733</v>
      </c>
      <c r="CV21" s="24">
        <f t="shared" si="48"/>
        <v>417.8388141504733</v>
      </c>
      <c r="CW21" s="24">
        <f t="shared" si="48"/>
        <v>417.8388141504733</v>
      </c>
      <c r="CX21" s="24">
        <f t="shared" si="48"/>
        <v>417.8388141504733</v>
      </c>
      <c r="CY21" s="24">
        <f t="shared" si="48"/>
        <v>417.8388141504733</v>
      </c>
      <c r="CZ21" s="24">
        <f t="shared" si="48"/>
        <v>417.8388141504733</v>
      </c>
      <c r="DA21" s="24">
        <f t="shared" si="48"/>
        <v>417.8388141504733</v>
      </c>
      <c r="DB21" s="24">
        <f t="shared" si="48"/>
        <v>417.8388141504733</v>
      </c>
      <c r="DC21" s="24">
        <f t="shared" si="48"/>
        <v>417.8388141504733</v>
      </c>
      <c r="DD21" s="24">
        <f t="shared" si="48"/>
        <v>417.8388141504733</v>
      </c>
      <c r="DE21" s="24">
        <f t="shared" si="48"/>
        <v>417.8388141504733</v>
      </c>
      <c r="DF21" s="24">
        <f t="shared" si="48"/>
        <v>417.8388141504733</v>
      </c>
      <c r="DG21" s="24">
        <f t="shared" si="48"/>
        <v>417.8388141504733</v>
      </c>
      <c r="DH21" s="24">
        <f t="shared" si="48"/>
        <v>417.8388141504733</v>
      </c>
      <c r="DI21" s="24">
        <f t="shared" si="48"/>
        <v>417.8388141504733</v>
      </c>
      <c r="DJ21" s="24">
        <f t="shared" si="48"/>
        <v>417.8388141504733</v>
      </c>
      <c r="DK21" s="24">
        <f t="shared" si="48"/>
        <v>417.8388141504733</v>
      </c>
      <c r="DL21" s="24">
        <f t="shared" si="48"/>
        <v>417.8388141504733</v>
      </c>
      <c r="DM21" s="24">
        <f t="shared" si="48"/>
        <v>417.8388141504733</v>
      </c>
      <c r="DN21" s="24">
        <f t="shared" si="48"/>
        <v>417.8388141504733</v>
      </c>
      <c r="DO21" s="24">
        <f t="shared" si="48"/>
        <v>417.8388141504733</v>
      </c>
      <c r="DP21" s="24">
        <f t="shared" si="48"/>
        <v>417.8388141504733</v>
      </c>
      <c r="DQ21" s="24">
        <f t="shared" si="48"/>
        <v>417.8388141504733</v>
      </c>
      <c r="DR21" s="24">
        <f t="shared" si="48"/>
        <v>417.8388141504733</v>
      </c>
      <c r="DS21" s="24">
        <f t="shared" si="48"/>
        <v>417.8388141504733</v>
      </c>
      <c r="DT21" s="24">
        <f t="shared" si="48"/>
        <v>417.8388141504733</v>
      </c>
      <c r="DU21" s="24">
        <f t="shared" si="48"/>
        <v>417.8388141504733</v>
      </c>
      <c r="DV21" s="24">
        <f t="shared" si="48"/>
        <v>417.8388141504733</v>
      </c>
      <c r="DW21" s="24">
        <f t="shared" si="48"/>
        <v>417.8388141504733</v>
      </c>
      <c r="DX21" s="24">
        <f t="shared" si="48"/>
        <v>417.8388141504733</v>
      </c>
      <c r="DY21" s="24">
        <f t="shared" si="48"/>
        <v>417.8388141504733</v>
      </c>
      <c r="DZ21" s="24">
        <f t="shared" si="48"/>
        <v>417.8388141504733</v>
      </c>
      <c r="EA21" s="24">
        <f t="shared" si="48"/>
        <v>417.8388141504733</v>
      </c>
      <c r="EB21" s="24">
        <f t="shared" si="48"/>
        <v>417.8388141504733</v>
      </c>
      <c r="EC21" s="24">
        <f t="shared" si="48"/>
        <v>417.8388141504733</v>
      </c>
      <c r="ED21" s="24">
        <f t="shared" si="48"/>
        <v>417.8388141504733</v>
      </c>
      <c r="EE21" s="24">
        <f t="shared" si="48"/>
        <v>417.8388141504733</v>
      </c>
      <c r="EF21" s="24">
        <f t="shared" ref="EF21:GQ21" si="49">EF13*$C$15</f>
        <v>417.8388141504733</v>
      </c>
      <c r="EG21" s="24">
        <f t="shared" si="49"/>
        <v>417.8388141504733</v>
      </c>
      <c r="EH21" s="24">
        <f t="shared" si="49"/>
        <v>417.8388141504733</v>
      </c>
      <c r="EI21" s="24">
        <f t="shared" si="49"/>
        <v>417.8388141504733</v>
      </c>
      <c r="EJ21" s="24">
        <f t="shared" si="49"/>
        <v>417.8388141504733</v>
      </c>
      <c r="EK21" s="24">
        <f t="shared" si="49"/>
        <v>417.8388141504733</v>
      </c>
      <c r="EL21" s="24">
        <f t="shared" si="49"/>
        <v>417.8388141504733</v>
      </c>
      <c r="EM21" s="24">
        <f t="shared" si="49"/>
        <v>417.8388141504733</v>
      </c>
      <c r="EN21" s="24">
        <f t="shared" si="49"/>
        <v>417.8388141504733</v>
      </c>
      <c r="EO21" s="24">
        <f t="shared" si="49"/>
        <v>417.8388141504733</v>
      </c>
      <c r="EP21" s="24">
        <f t="shared" si="49"/>
        <v>417.8388141504733</v>
      </c>
      <c r="EQ21" s="24">
        <f t="shared" si="49"/>
        <v>417.8388141504733</v>
      </c>
      <c r="ER21" s="24">
        <f t="shared" si="49"/>
        <v>417.8388141504733</v>
      </c>
      <c r="ES21" s="24">
        <f t="shared" si="49"/>
        <v>417.8388141504733</v>
      </c>
      <c r="ET21" s="24">
        <f t="shared" si="49"/>
        <v>417.8388141504733</v>
      </c>
      <c r="EU21" s="24">
        <f t="shared" si="49"/>
        <v>417.8388141504733</v>
      </c>
      <c r="EV21" s="24">
        <f t="shared" si="49"/>
        <v>417.8388141504733</v>
      </c>
      <c r="EW21" s="24">
        <f t="shared" si="49"/>
        <v>417.8388141504733</v>
      </c>
      <c r="EX21" s="24">
        <f t="shared" si="49"/>
        <v>417.8388141504733</v>
      </c>
      <c r="EY21" s="24">
        <f t="shared" si="49"/>
        <v>417.8388141504733</v>
      </c>
      <c r="EZ21" s="24">
        <f t="shared" si="49"/>
        <v>417.8388141504733</v>
      </c>
      <c r="FA21" s="24">
        <f t="shared" si="49"/>
        <v>417.8388141504733</v>
      </c>
      <c r="FB21" s="24">
        <f t="shared" si="49"/>
        <v>417.8388141504733</v>
      </c>
      <c r="FC21" s="24">
        <f t="shared" si="49"/>
        <v>417.8388141504733</v>
      </c>
      <c r="FD21" s="24">
        <f t="shared" si="49"/>
        <v>417.8388141504733</v>
      </c>
      <c r="FE21" s="24">
        <f t="shared" si="49"/>
        <v>417.8388141504733</v>
      </c>
      <c r="FF21" s="24">
        <f t="shared" si="49"/>
        <v>417.8388141504733</v>
      </c>
      <c r="FG21" s="24">
        <f t="shared" si="49"/>
        <v>417.8388141504733</v>
      </c>
      <c r="FH21" s="24">
        <f t="shared" si="49"/>
        <v>417.8388141504733</v>
      </c>
      <c r="FI21" s="24">
        <f t="shared" si="49"/>
        <v>417.8388141504733</v>
      </c>
      <c r="FJ21" s="24">
        <f t="shared" si="49"/>
        <v>417.8388141504733</v>
      </c>
      <c r="FK21" s="24">
        <f t="shared" si="49"/>
        <v>417.8388141504733</v>
      </c>
      <c r="FL21" s="24">
        <f t="shared" si="49"/>
        <v>417.8388141504733</v>
      </c>
      <c r="FM21" s="24">
        <f t="shared" si="49"/>
        <v>417.8388141504733</v>
      </c>
      <c r="FN21" s="24">
        <f t="shared" si="49"/>
        <v>417.8388141504733</v>
      </c>
      <c r="FO21" s="24">
        <f t="shared" si="49"/>
        <v>417.8388141504733</v>
      </c>
      <c r="FP21" s="24">
        <f t="shared" si="49"/>
        <v>417.8388141504733</v>
      </c>
      <c r="FQ21" s="24">
        <f t="shared" si="49"/>
        <v>417.8388141504733</v>
      </c>
      <c r="FR21" s="24">
        <f t="shared" si="49"/>
        <v>417.8388141504733</v>
      </c>
      <c r="FS21" s="24">
        <f t="shared" si="49"/>
        <v>417.8388141504733</v>
      </c>
      <c r="FT21" s="24">
        <f t="shared" si="49"/>
        <v>417.8388141504733</v>
      </c>
      <c r="FU21" s="24">
        <f t="shared" si="49"/>
        <v>417.8388141504733</v>
      </c>
      <c r="FV21" s="24">
        <f t="shared" si="49"/>
        <v>417.8388141504733</v>
      </c>
      <c r="FW21" s="24">
        <f t="shared" si="49"/>
        <v>417.8388141504733</v>
      </c>
      <c r="FX21" s="24">
        <f t="shared" si="49"/>
        <v>417.8388141504733</v>
      </c>
      <c r="FY21" s="24">
        <f t="shared" si="49"/>
        <v>417.8388141504733</v>
      </c>
      <c r="FZ21" s="24">
        <f t="shared" si="49"/>
        <v>417.8388141504733</v>
      </c>
      <c r="GA21" s="24">
        <f t="shared" si="49"/>
        <v>417.8388141504733</v>
      </c>
      <c r="GB21" s="24">
        <f t="shared" si="49"/>
        <v>417.8388141504733</v>
      </c>
      <c r="GC21" s="24">
        <f t="shared" si="49"/>
        <v>417.8388141504733</v>
      </c>
      <c r="GD21" s="24">
        <f t="shared" si="49"/>
        <v>417.8388141504733</v>
      </c>
      <c r="GE21" s="24">
        <f t="shared" si="49"/>
        <v>417.8388141504733</v>
      </c>
      <c r="GF21" s="24">
        <f t="shared" si="49"/>
        <v>417.8388141504733</v>
      </c>
      <c r="GG21" s="24">
        <f t="shared" si="49"/>
        <v>417.8388141504733</v>
      </c>
      <c r="GH21" s="24">
        <f t="shared" si="49"/>
        <v>417.8388141504733</v>
      </c>
      <c r="GI21" s="24">
        <f t="shared" si="49"/>
        <v>417.8388141504733</v>
      </c>
      <c r="GJ21" s="24">
        <f t="shared" si="49"/>
        <v>417.8388141504733</v>
      </c>
      <c r="GK21" s="24">
        <f t="shared" si="49"/>
        <v>417.8388141504733</v>
      </c>
      <c r="GL21" s="24">
        <f t="shared" si="49"/>
        <v>417.8388141504733</v>
      </c>
      <c r="GM21" s="24">
        <f t="shared" si="49"/>
        <v>417.8388141504733</v>
      </c>
      <c r="GN21" s="24">
        <f t="shared" si="49"/>
        <v>417.8388141504733</v>
      </c>
      <c r="GO21" s="24">
        <f t="shared" si="49"/>
        <v>417.8388141504733</v>
      </c>
      <c r="GP21" s="24">
        <f t="shared" si="49"/>
        <v>417.8388141504733</v>
      </c>
      <c r="GQ21" s="24">
        <f t="shared" si="49"/>
        <v>417.8388141504733</v>
      </c>
      <c r="GR21" s="24">
        <f t="shared" ref="GR21:IN21" si="50">GR13*$C$15</f>
        <v>417.8388141504733</v>
      </c>
      <c r="GS21" s="24">
        <f t="shared" si="50"/>
        <v>417.8388141504733</v>
      </c>
      <c r="GT21" s="24">
        <f t="shared" si="50"/>
        <v>417.8388141504733</v>
      </c>
      <c r="GU21" s="24">
        <f t="shared" si="50"/>
        <v>417.8388141504733</v>
      </c>
      <c r="GV21" s="24">
        <f t="shared" si="50"/>
        <v>417.8388141504733</v>
      </c>
      <c r="GW21" s="24">
        <f t="shared" si="50"/>
        <v>417.8388141504733</v>
      </c>
      <c r="GX21" s="24">
        <f t="shared" si="50"/>
        <v>417.8388141504733</v>
      </c>
      <c r="GY21" s="24">
        <f t="shared" si="50"/>
        <v>417.8388141504733</v>
      </c>
      <c r="GZ21" s="24">
        <f t="shared" si="50"/>
        <v>417.8388141504733</v>
      </c>
      <c r="HA21" s="24">
        <f t="shared" si="50"/>
        <v>417.8388141504733</v>
      </c>
      <c r="HB21" s="24">
        <f t="shared" si="50"/>
        <v>417.8388141504733</v>
      </c>
      <c r="HC21" s="24">
        <f t="shared" si="50"/>
        <v>417.8388141504733</v>
      </c>
      <c r="HD21" s="24">
        <f t="shared" si="50"/>
        <v>417.8388141504733</v>
      </c>
      <c r="HE21" s="24">
        <f t="shared" si="50"/>
        <v>417.8388141504733</v>
      </c>
      <c r="HF21" s="24">
        <f t="shared" si="50"/>
        <v>417.8388141504733</v>
      </c>
      <c r="HG21" s="24">
        <f t="shared" si="50"/>
        <v>417.8388141504733</v>
      </c>
      <c r="HH21" s="24">
        <f t="shared" si="50"/>
        <v>417.8388141504733</v>
      </c>
      <c r="HI21" s="24">
        <f t="shared" si="50"/>
        <v>417.8388141504733</v>
      </c>
      <c r="HJ21" s="24">
        <f t="shared" si="50"/>
        <v>417.8388141504733</v>
      </c>
      <c r="HK21" s="24">
        <f t="shared" si="50"/>
        <v>417.8388141504733</v>
      </c>
      <c r="HL21" s="24">
        <f t="shared" si="50"/>
        <v>417.8388141504733</v>
      </c>
      <c r="HM21" s="24">
        <f t="shared" si="50"/>
        <v>417.8388141504733</v>
      </c>
      <c r="HN21" s="24">
        <f t="shared" si="50"/>
        <v>417.8388141504733</v>
      </c>
      <c r="HO21" s="24">
        <f t="shared" si="50"/>
        <v>417.8388141504733</v>
      </c>
      <c r="HP21" s="24">
        <f t="shared" si="50"/>
        <v>417.8388141504733</v>
      </c>
      <c r="HQ21" s="24">
        <f t="shared" si="50"/>
        <v>417.8388141504733</v>
      </c>
      <c r="HR21" s="24">
        <f t="shared" si="50"/>
        <v>417.8388141504733</v>
      </c>
      <c r="HS21" s="24">
        <f t="shared" si="50"/>
        <v>417.8388141504733</v>
      </c>
      <c r="HT21" s="24">
        <f t="shared" si="50"/>
        <v>417.8388141504733</v>
      </c>
      <c r="HU21" s="24">
        <f t="shared" si="50"/>
        <v>417.8388141504733</v>
      </c>
      <c r="HV21" s="24">
        <f t="shared" si="50"/>
        <v>417.8388141504733</v>
      </c>
      <c r="HW21" s="24">
        <f t="shared" si="50"/>
        <v>417.8388141504733</v>
      </c>
      <c r="HX21" s="24">
        <f t="shared" si="50"/>
        <v>417.8388141504733</v>
      </c>
      <c r="HY21" s="24">
        <f t="shared" si="50"/>
        <v>417.8388141504733</v>
      </c>
      <c r="HZ21" s="24">
        <f t="shared" si="50"/>
        <v>417.8388141504733</v>
      </c>
      <c r="IA21" s="24">
        <f t="shared" si="50"/>
        <v>417.8388141504733</v>
      </c>
      <c r="IB21" s="24">
        <f t="shared" si="50"/>
        <v>417.8388141504733</v>
      </c>
      <c r="IC21" s="24">
        <f t="shared" si="50"/>
        <v>417.8388141504733</v>
      </c>
      <c r="ID21" s="24">
        <f t="shared" si="50"/>
        <v>417.8388141504733</v>
      </c>
      <c r="IE21" s="24">
        <f t="shared" si="50"/>
        <v>417.8388141504733</v>
      </c>
      <c r="IF21" s="24">
        <f t="shared" si="50"/>
        <v>417.8388141504733</v>
      </c>
      <c r="IG21" s="24">
        <f t="shared" si="50"/>
        <v>417.8388141504733</v>
      </c>
      <c r="IH21" s="24">
        <f t="shared" si="50"/>
        <v>417.8388141504733</v>
      </c>
      <c r="II21" s="24">
        <f t="shared" si="50"/>
        <v>417.8388141504733</v>
      </c>
      <c r="IJ21" s="24">
        <f t="shared" si="50"/>
        <v>417.8388141504733</v>
      </c>
      <c r="IK21" s="24">
        <f t="shared" si="50"/>
        <v>417.8388141504733</v>
      </c>
      <c r="IL21" s="24">
        <f t="shared" si="50"/>
        <v>417.8388141504733</v>
      </c>
      <c r="IM21" s="24">
        <f t="shared" si="50"/>
        <v>417.8388141504733</v>
      </c>
      <c r="IN21" s="24">
        <f t="shared" si="50"/>
        <v>417.8388141504733</v>
      </c>
    </row>
    <row r="22" spans="2:248" x14ac:dyDescent="0.3">
      <c r="C22" s="42"/>
      <c r="F22" s="22" t="s">
        <v>498</v>
      </c>
      <c r="G22" s="24">
        <f>G15*$C$15</f>
        <v>11.862232187344294</v>
      </c>
      <c r="H22" s="24">
        <f t="shared" ref="H22:BS22" si="51">H15*$C$15</f>
        <v>17.07274539113104</v>
      </c>
      <c r="I22" s="24">
        <f t="shared" si="51"/>
        <v>20.731190832087691</v>
      </c>
      <c r="J22" s="24">
        <f t="shared" si="51"/>
        <v>28.048081714000997</v>
      </c>
      <c r="K22" s="24">
        <f t="shared" si="51"/>
        <v>33.25859491778774</v>
      </c>
      <c r="L22" s="24">
        <f t="shared" si="51"/>
        <v>39.799451918285996</v>
      </c>
      <c r="M22" s="24">
        <f t="shared" si="51"/>
        <v>47.892376681614344</v>
      </c>
      <c r="N22" s="24">
        <f t="shared" si="51"/>
        <v>62.415296462381662</v>
      </c>
      <c r="O22" s="24">
        <f t="shared" si="51"/>
        <v>85.918036870951667</v>
      </c>
      <c r="P22" s="24">
        <f t="shared" si="51"/>
        <v>122.39162929745889</v>
      </c>
      <c r="Q22" s="24">
        <f t="shared" si="51"/>
        <v>145.7835077229696</v>
      </c>
      <c r="R22" s="24">
        <f t="shared" si="51"/>
        <v>163.41056302939711</v>
      </c>
      <c r="S22" s="24">
        <f t="shared" si="51"/>
        <v>205.20553064275038</v>
      </c>
      <c r="T22" s="24">
        <f t="shared" si="51"/>
        <v>277.48754359740906</v>
      </c>
      <c r="U22" s="24">
        <f t="shared" si="51"/>
        <v>278.37443946188341</v>
      </c>
      <c r="V22" s="24">
        <f t="shared" si="51"/>
        <v>417.8388141504733</v>
      </c>
      <c r="W22" s="24">
        <f t="shared" si="51"/>
        <v>584.97433981066263</v>
      </c>
      <c r="X22" s="24">
        <f t="shared" si="51"/>
        <v>818.96407573492763</v>
      </c>
      <c r="Y22" s="24">
        <f t="shared" si="51"/>
        <v>1146.5497060288988</v>
      </c>
      <c r="Z22" s="24">
        <f t="shared" si="51"/>
        <v>1605.169588440458</v>
      </c>
      <c r="AA22" s="24">
        <f t="shared" si="51"/>
        <v>2247.2374238166412</v>
      </c>
      <c r="AB22" s="24">
        <f t="shared" si="51"/>
        <v>3146.1323933432977</v>
      </c>
      <c r="AC22" s="24">
        <f t="shared" si="51"/>
        <v>4404.5853506806161</v>
      </c>
      <c r="AD22" s="24">
        <f t="shared" si="51"/>
        <v>6166.4194909528624</v>
      </c>
      <c r="AE22" s="24">
        <f t="shared" si="51"/>
        <v>8632.9872873340082</v>
      </c>
      <c r="AF22" s="24">
        <f t="shared" si="51"/>
        <v>12086.18220226761</v>
      </c>
      <c r="AG22" s="24">
        <f t="shared" si="51"/>
        <v>16920.65508317465</v>
      </c>
      <c r="AH22" s="24">
        <f t="shared" si="51"/>
        <v>23688.917116444507</v>
      </c>
      <c r="AI22" s="24">
        <f t="shared" si="51"/>
        <v>33164.483963022307</v>
      </c>
      <c r="AJ22" s="24">
        <f t="shared" si="51"/>
        <v>46430.277548231228</v>
      </c>
      <c r="AK22" s="24">
        <f t="shared" si="51"/>
        <v>65002.388567523703</v>
      </c>
      <c r="AL22" s="24">
        <f t="shared" si="51"/>
        <v>91003.343994533177</v>
      </c>
      <c r="AM22" s="24">
        <f t="shared" si="51"/>
        <v>127404.68159234645</v>
      </c>
      <c r="AN22" s="24">
        <f t="shared" si="51"/>
        <v>178366.55422928502</v>
      </c>
      <c r="AO22" s="24">
        <f t="shared" si="51"/>
        <v>249713.17592099903</v>
      </c>
      <c r="AP22" s="24">
        <f t="shared" si="51"/>
        <v>349598.44628939859</v>
      </c>
      <c r="AQ22" s="24">
        <f t="shared" si="51"/>
        <v>489437.82480515802</v>
      </c>
      <c r="AR22" s="24">
        <f t="shared" si="51"/>
        <v>685212.95472722116</v>
      </c>
      <c r="AS22" s="24">
        <f t="shared" si="51"/>
        <v>959298.13661810965</v>
      </c>
      <c r="AT22" s="24">
        <f t="shared" si="51"/>
        <v>1343017.3912653534</v>
      </c>
      <c r="AU22" s="24">
        <f t="shared" si="51"/>
        <v>1880224.3477714946</v>
      </c>
      <c r="AV22" s="24">
        <f t="shared" si="51"/>
        <v>2632314.086880092</v>
      </c>
      <c r="AW22" s="24">
        <f t="shared" si="51"/>
        <v>3010391.120577977</v>
      </c>
      <c r="AX22" s="24">
        <f t="shared" si="51"/>
        <v>3010391.120577977</v>
      </c>
      <c r="AY22" s="24">
        <f t="shared" si="51"/>
        <v>3010391.120577977</v>
      </c>
      <c r="AZ22" s="24">
        <f t="shared" si="51"/>
        <v>3010391.120577977</v>
      </c>
      <c r="BA22" s="24">
        <f t="shared" si="51"/>
        <v>3010391.120577977</v>
      </c>
      <c r="BB22" s="24">
        <f t="shared" si="51"/>
        <v>3010391.120577977</v>
      </c>
      <c r="BC22" s="24">
        <f t="shared" si="51"/>
        <v>3010391.120577977</v>
      </c>
      <c r="BD22" s="24">
        <f t="shared" si="51"/>
        <v>3010391.120577977</v>
      </c>
      <c r="BE22" s="24">
        <f t="shared" si="51"/>
        <v>3010391.120577977</v>
      </c>
      <c r="BF22" s="24">
        <f t="shared" si="51"/>
        <v>3010391.120577977</v>
      </c>
      <c r="BG22" s="24">
        <f t="shared" si="51"/>
        <v>3010391.120577977</v>
      </c>
      <c r="BH22" s="24">
        <f t="shared" si="51"/>
        <v>3010391.120577977</v>
      </c>
      <c r="BI22" s="24">
        <f t="shared" si="51"/>
        <v>3010391.120577977</v>
      </c>
      <c r="BJ22" s="24">
        <f t="shared" si="51"/>
        <v>3010391.120577977</v>
      </c>
      <c r="BK22" s="24">
        <f t="shared" si="51"/>
        <v>3010391.120577977</v>
      </c>
      <c r="BL22" s="24">
        <f t="shared" si="51"/>
        <v>3010391.120577977</v>
      </c>
      <c r="BM22" s="24">
        <f t="shared" si="51"/>
        <v>3010391.120577977</v>
      </c>
      <c r="BN22" s="24">
        <f t="shared" si="51"/>
        <v>3010391.120577977</v>
      </c>
      <c r="BO22" s="24">
        <f t="shared" si="51"/>
        <v>3010391.120577977</v>
      </c>
      <c r="BP22" s="24">
        <f t="shared" si="51"/>
        <v>3010391.120577977</v>
      </c>
      <c r="BQ22" s="24">
        <f t="shared" si="51"/>
        <v>3010391.120577977</v>
      </c>
      <c r="BR22" s="24">
        <f t="shared" si="51"/>
        <v>3010391.120577977</v>
      </c>
      <c r="BS22" s="24">
        <f t="shared" si="51"/>
        <v>3010391.120577977</v>
      </c>
      <c r="BT22" s="24">
        <f t="shared" ref="BT22:EE22" si="52">BT15*$C$15</f>
        <v>3010391.120577977</v>
      </c>
      <c r="BU22" s="24">
        <f t="shared" si="52"/>
        <v>3010391.120577977</v>
      </c>
      <c r="BV22" s="24">
        <f t="shared" si="52"/>
        <v>3010391.120577977</v>
      </c>
      <c r="BW22" s="24">
        <f t="shared" si="52"/>
        <v>3010391.120577977</v>
      </c>
      <c r="BX22" s="24">
        <f t="shared" si="52"/>
        <v>3010391.120577977</v>
      </c>
      <c r="BY22" s="24">
        <f t="shared" si="52"/>
        <v>3010391.120577977</v>
      </c>
      <c r="BZ22" s="24">
        <f t="shared" si="52"/>
        <v>3010391.120577977</v>
      </c>
      <c r="CA22" s="24">
        <f t="shared" si="52"/>
        <v>3010391.120577977</v>
      </c>
      <c r="CB22" s="24">
        <f t="shared" si="52"/>
        <v>3010391.120577977</v>
      </c>
      <c r="CC22" s="24">
        <f t="shared" si="52"/>
        <v>3010391.120577977</v>
      </c>
      <c r="CD22" s="24">
        <f t="shared" si="52"/>
        <v>3010391.120577977</v>
      </c>
      <c r="CE22" s="24">
        <f t="shared" si="52"/>
        <v>3010391.120577977</v>
      </c>
      <c r="CF22" s="24">
        <f t="shared" si="52"/>
        <v>3010391.120577977</v>
      </c>
      <c r="CG22" s="24">
        <f t="shared" si="52"/>
        <v>3010391.120577977</v>
      </c>
      <c r="CH22" s="24">
        <f t="shared" si="52"/>
        <v>3010391.120577977</v>
      </c>
      <c r="CI22" s="24">
        <f t="shared" si="52"/>
        <v>3010391.120577977</v>
      </c>
      <c r="CJ22" s="24">
        <f t="shared" si="52"/>
        <v>3010391.120577977</v>
      </c>
      <c r="CK22" s="24">
        <f t="shared" si="52"/>
        <v>3010391.120577977</v>
      </c>
      <c r="CL22" s="24">
        <f t="shared" si="52"/>
        <v>3010391.120577977</v>
      </c>
      <c r="CM22" s="24">
        <f t="shared" si="52"/>
        <v>3010391.120577977</v>
      </c>
      <c r="CN22" s="24">
        <f t="shared" si="52"/>
        <v>3010391.120577977</v>
      </c>
      <c r="CO22" s="24">
        <f t="shared" si="52"/>
        <v>3010391.120577977</v>
      </c>
      <c r="CP22" s="24">
        <f t="shared" si="52"/>
        <v>3010391.120577977</v>
      </c>
      <c r="CQ22" s="24">
        <f t="shared" si="52"/>
        <v>3010391.120577977</v>
      </c>
      <c r="CR22" s="24">
        <f t="shared" si="52"/>
        <v>3010391.120577977</v>
      </c>
      <c r="CS22" s="24">
        <f t="shared" si="52"/>
        <v>3010391.120577977</v>
      </c>
      <c r="CT22" s="24">
        <f t="shared" si="52"/>
        <v>3010391.120577977</v>
      </c>
      <c r="CU22" s="24">
        <f t="shared" si="52"/>
        <v>3010391.120577977</v>
      </c>
      <c r="CV22" s="24">
        <f t="shared" si="52"/>
        <v>3010391.120577977</v>
      </c>
      <c r="CW22" s="24">
        <f t="shared" si="52"/>
        <v>3010391.120577977</v>
      </c>
      <c r="CX22" s="24">
        <f t="shared" si="52"/>
        <v>3010391.120577977</v>
      </c>
      <c r="CY22" s="24">
        <f t="shared" si="52"/>
        <v>3010391.120577977</v>
      </c>
      <c r="CZ22" s="24">
        <f t="shared" si="52"/>
        <v>3010391.120577977</v>
      </c>
      <c r="DA22" s="24">
        <f t="shared" si="52"/>
        <v>3010391.120577977</v>
      </c>
      <c r="DB22" s="24">
        <f t="shared" si="52"/>
        <v>3010391.120577977</v>
      </c>
      <c r="DC22" s="24">
        <f t="shared" si="52"/>
        <v>3010391.120577977</v>
      </c>
      <c r="DD22" s="24">
        <f t="shared" si="52"/>
        <v>3010391.120577977</v>
      </c>
      <c r="DE22" s="24">
        <f t="shared" si="52"/>
        <v>3010391.120577977</v>
      </c>
      <c r="DF22" s="24">
        <f t="shared" si="52"/>
        <v>3010391.120577977</v>
      </c>
      <c r="DG22" s="24">
        <f t="shared" si="52"/>
        <v>3010391.120577977</v>
      </c>
      <c r="DH22" s="24">
        <f t="shared" si="52"/>
        <v>3010391.120577977</v>
      </c>
      <c r="DI22" s="24">
        <f t="shared" si="52"/>
        <v>3010391.120577977</v>
      </c>
      <c r="DJ22" s="24">
        <f t="shared" si="52"/>
        <v>3010391.120577977</v>
      </c>
      <c r="DK22" s="24">
        <f t="shared" si="52"/>
        <v>3010391.120577977</v>
      </c>
      <c r="DL22" s="24">
        <f t="shared" si="52"/>
        <v>3010391.120577977</v>
      </c>
      <c r="DM22" s="24">
        <f t="shared" si="52"/>
        <v>3010391.120577977</v>
      </c>
      <c r="DN22" s="24">
        <f t="shared" si="52"/>
        <v>3010391.120577977</v>
      </c>
      <c r="DO22" s="24">
        <f t="shared" si="52"/>
        <v>3010391.120577977</v>
      </c>
      <c r="DP22" s="24">
        <f t="shared" si="52"/>
        <v>3010391.120577977</v>
      </c>
      <c r="DQ22" s="24">
        <f t="shared" si="52"/>
        <v>3010391.120577977</v>
      </c>
      <c r="DR22" s="24">
        <f t="shared" si="52"/>
        <v>3010391.120577977</v>
      </c>
      <c r="DS22" s="24">
        <f t="shared" si="52"/>
        <v>3010391.120577977</v>
      </c>
      <c r="DT22" s="24">
        <f t="shared" si="52"/>
        <v>3010391.120577977</v>
      </c>
      <c r="DU22" s="24">
        <f t="shared" si="52"/>
        <v>3010391.120577977</v>
      </c>
      <c r="DV22" s="24">
        <f t="shared" si="52"/>
        <v>3010391.120577977</v>
      </c>
      <c r="DW22" s="24">
        <f t="shared" si="52"/>
        <v>3010391.120577977</v>
      </c>
      <c r="DX22" s="24">
        <f t="shared" si="52"/>
        <v>3010391.120577977</v>
      </c>
      <c r="DY22" s="24">
        <f t="shared" si="52"/>
        <v>3010391.120577977</v>
      </c>
      <c r="DZ22" s="24">
        <f t="shared" si="52"/>
        <v>3010391.120577977</v>
      </c>
      <c r="EA22" s="24">
        <f t="shared" si="52"/>
        <v>3010391.120577977</v>
      </c>
      <c r="EB22" s="24">
        <f t="shared" si="52"/>
        <v>3010391.120577977</v>
      </c>
      <c r="EC22" s="24">
        <f t="shared" si="52"/>
        <v>3010391.120577977</v>
      </c>
      <c r="ED22" s="24">
        <f t="shared" si="52"/>
        <v>3010391.120577977</v>
      </c>
      <c r="EE22" s="24">
        <f t="shared" si="52"/>
        <v>3010391.120577977</v>
      </c>
      <c r="EF22" s="24">
        <f t="shared" ref="EF22:GQ22" si="53">EF15*$C$15</f>
        <v>3010391.120577977</v>
      </c>
      <c r="EG22" s="24">
        <f t="shared" si="53"/>
        <v>3010391.120577977</v>
      </c>
      <c r="EH22" s="24">
        <f t="shared" si="53"/>
        <v>3010391.120577977</v>
      </c>
      <c r="EI22" s="24">
        <f t="shared" si="53"/>
        <v>3010391.120577977</v>
      </c>
      <c r="EJ22" s="24">
        <f t="shared" si="53"/>
        <v>3010391.120577977</v>
      </c>
      <c r="EK22" s="24">
        <f t="shared" si="53"/>
        <v>3010391.120577977</v>
      </c>
      <c r="EL22" s="24">
        <f t="shared" si="53"/>
        <v>3010391.120577977</v>
      </c>
      <c r="EM22" s="24">
        <f t="shared" si="53"/>
        <v>3010391.120577977</v>
      </c>
      <c r="EN22" s="24">
        <f t="shared" si="53"/>
        <v>3010391.120577977</v>
      </c>
      <c r="EO22" s="24">
        <f t="shared" si="53"/>
        <v>3010391.120577977</v>
      </c>
      <c r="EP22" s="24">
        <f t="shared" si="53"/>
        <v>3010391.120577977</v>
      </c>
      <c r="EQ22" s="24">
        <f t="shared" si="53"/>
        <v>3010391.120577977</v>
      </c>
      <c r="ER22" s="24">
        <f t="shared" si="53"/>
        <v>3010391.120577977</v>
      </c>
      <c r="ES22" s="24">
        <f t="shared" si="53"/>
        <v>3010391.120577977</v>
      </c>
      <c r="ET22" s="24">
        <f t="shared" si="53"/>
        <v>3010391.120577977</v>
      </c>
      <c r="EU22" s="24">
        <f t="shared" si="53"/>
        <v>3010391.120577977</v>
      </c>
      <c r="EV22" s="24">
        <f t="shared" si="53"/>
        <v>3010391.120577977</v>
      </c>
      <c r="EW22" s="24">
        <f t="shared" si="53"/>
        <v>3010391.120577977</v>
      </c>
      <c r="EX22" s="24">
        <f t="shared" si="53"/>
        <v>3010391.120577977</v>
      </c>
      <c r="EY22" s="24">
        <f t="shared" si="53"/>
        <v>3010391.120577977</v>
      </c>
      <c r="EZ22" s="24">
        <f t="shared" si="53"/>
        <v>3010391.120577977</v>
      </c>
      <c r="FA22" s="24">
        <f t="shared" si="53"/>
        <v>3010391.120577977</v>
      </c>
      <c r="FB22" s="24">
        <f t="shared" si="53"/>
        <v>3010391.120577977</v>
      </c>
      <c r="FC22" s="24">
        <f t="shared" si="53"/>
        <v>3010391.120577977</v>
      </c>
      <c r="FD22" s="24">
        <f t="shared" si="53"/>
        <v>3010391.120577977</v>
      </c>
      <c r="FE22" s="24">
        <f t="shared" si="53"/>
        <v>3010391.120577977</v>
      </c>
      <c r="FF22" s="24">
        <f t="shared" si="53"/>
        <v>3010391.120577977</v>
      </c>
      <c r="FG22" s="24">
        <f t="shared" si="53"/>
        <v>3010391.120577977</v>
      </c>
      <c r="FH22" s="24">
        <f t="shared" si="53"/>
        <v>3010391.120577977</v>
      </c>
      <c r="FI22" s="24">
        <f t="shared" si="53"/>
        <v>3010391.120577977</v>
      </c>
      <c r="FJ22" s="24">
        <f t="shared" si="53"/>
        <v>3010391.120577977</v>
      </c>
      <c r="FK22" s="24">
        <f t="shared" si="53"/>
        <v>3010391.120577977</v>
      </c>
      <c r="FL22" s="24">
        <f t="shared" si="53"/>
        <v>3010391.120577977</v>
      </c>
      <c r="FM22" s="24">
        <f t="shared" si="53"/>
        <v>3010391.120577977</v>
      </c>
      <c r="FN22" s="24">
        <f t="shared" si="53"/>
        <v>3010391.120577977</v>
      </c>
      <c r="FO22" s="24">
        <f t="shared" si="53"/>
        <v>3010391.120577977</v>
      </c>
      <c r="FP22" s="24">
        <f t="shared" si="53"/>
        <v>3010391.120577977</v>
      </c>
      <c r="FQ22" s="24">
        <f t="shared" si="53"/>
        <v>3010391.120577977</v>
      </c>
      <c r="FR22" s="24">
        <f t="shared" si="53"/>
        <v>3010391.120577977</v>
      </c>
      <c r="FS22" s="24">
        <f t="shared" si="53"/>
        <v>3010391.120577977</v>
      </c>
      <c r="FT22" s="24">
        <f t="shared" si="53"/>
        <v>3010391.120577977</v>
      </c>
      <c r="FU22" s="24">
        <f t="shared" si="53"/>
        <v>3010391.120577977</v>
      </c>
      <c r="FV22" s="24">
        <f t="shared" si="53"/>
        <v>3010391.120577977</v>
      </c>
      <c r="FW22" s="24">
        <f t="shared" si="53"/>
        <v>3010391.120577977</v>
      </c>
      <c r="FX22" s="24">
        <f t="shared" si="53"/>
        <v>3010391.120577977</v>
      </c>
      <c r="FY22" s="24">
        <f t="shared" si="53"/>
        <v>3010391.120577977</v>
      </c>
      <c r="FZ22" s="24">
        <f t="shared" si="53"/>
        <v>3010391.120577977</v>
      </c>
      <c r="GA22" s="24">
        <f t="shared" si="53"/>
        <v>3010391.120577977</v>
      </c>
      <c r="GB22" s="24">
        <f t="shared" si="53"/>
        <v>3010391.120577977</v>
      </c>
      <c r="GC22" s="24">
        <f t="shared" si="53"/>
        <v>3010391.120577977</v>
      </c>
      <c r="GD22" s="24">
        <f t="shared" si="53"/>
        <v>3010391.120577977</v>
      </c>
      <c r="GE22" s="24">
        <f t="shared" si="53"/>
        <v>3010391.120577977</v>
      </c>
      <c r="GF22" s="24">
        <f t="shared" si="53"/>
        <v>3010391.120577977</v>
      </c>
      <c r="GG22" s="24">
        <f t="shared" si="53"/>
        <v>3010391.120577977</v>
      </c>
      <c r="GH22" s="24">
        <f t="shared" si="53"/>
        <v>3010391.120577977</v>
      </c>
      <c r="GI22" s="24">
        <f t="shared" si="53"/>
        <v>3010391.120577977</v>
      </c>
      <c r="GJ22" s="24">
        <f t="shared" si="53"/>
        <v>3010391.120577977</v>
      </c>
      <c r="GK22" s="24">
        <f t="shared" si="53"/>
        <v>3010391.120577977</v>
      </c>
      <c r="GL22" s="24">
        <f t="shared" si="53"/>
        <v>3010391.120577977</v>
      </c>
      <c r="GM22" s="24">
        <f t="shared" si="53"/>
        <v>3010391.120577977</v>
      </c>
      <c r="GN22" s="24">
        <f t="shared" si="53"/>
        <v>3010391.120577977</v>
      </c>
      <c r="GO22" s="24">
        <f t="shared" si="53"/>
        <v>3010391.120577977</v>
      </c>
      <c r="GP22" s="24">
        <f t="shared" si="53"/>
        <v>3010391.120577977</v>
      </c>
      <c r="GQ22" s="24">
        <f t="shared" si="53"/>
        <v>3010391.120577977</v>
      </c>
      <c r="GR22" s="24">
        <f t="shared" ref="GR22:IN22" si="54">GR15*$C$15</f>
        <v>3010391.120577977</v>
      </c>
      <c r="GS22" s="24">
        <f t="shared" si="54"/>
        <v>3010391.120577977</v>
      </c>
      <c r="GT22" s="24">
        <f t="shared" si="54"/>
        <v>3010391.120577977</v>
      </c>
      <c r="GU22" s="24">
        <f t="shared" si="54"/>
        <v>3010391.120577977</v>
      </c>
      <c r="GV22" s="24">
        <f t="shared" si="54"/>
        <v>3010391.120577977</v>
      </c>
      <c r="GW22" s="24">
        <f t="shared" si="54"/>
        <v>3010391.120577977</v>
      </c>
      <c r="GX22" s="24">
        <f t="shared" si="54"/>
        <v>3010391.120577977</v>
      </c>
      <c r="GY22" s="24">
        <f t="shared" si="54"/>
        <v>3010391.120577977</v>
      </c>
      <c r="GZ22" s="24">
        <f t="shared" si="54"/>
        <v>3010391.120577977</v>
      </c>
      <c r="HA22" s="24">
        <f t="shared" si="54"/>
        <v>3010391.120577977</v>
      </c>
      <c r="HB22" s="24">
        <f t="shared" si="54"/>
        <v>3010391.120577977</v>
      </c>
      <c r="HC22" s="24">
        <f t="shared" si="54"/>
        <v>3010391.120577977</v>
      </c>
      <c r="HD22" s="24">
        <f t="shared" si="54"/>
        <v>3010391.120577977</v>
      </c>
      <c r="HE22" s="24">
        <f t="shared" si="54"/>
        <v>3010391.120577977</v>
      </c>
      <c r="HF22" s="24">
        <f t="shared" si="54"/>
        <v>3010391.120577977</v>
      </c>
      <c r="HG22" s="24">
        <f t="shared" si="54"/>
        <v>3010391.120577977</v>
      </c>
      <c r="HH22" s="24">
        <f t="shared" si="54"/>
        <v>3010391.120577977</v>
      </c>
      <c r="HI22" s="24">
        <f t="shared" si="54"/>
        <v>3010391.120577977</v>
      </c>
      <c r="HJ22" s="24">
        <f t="shared" si="54"/>
        <v>3010391.120577977</v>
      </c>
      <c r="HK22" s="24">
        <f t="shared" si="54"/>
        <v>3010391.120577977</v>
      </c>
      <c r="HL22" s="24">
        <f t="shared" si="54"/>
        <v>3010391.120577977</v>
      </c>
      <c r="HM22" s="24">
        <f t="shared" si="54"/>
        <v>3010391.120577977</v>
      </c>
      <c r="HN22" s="24">
        <f t="shared" si="54"/>
        <v>3010391.120577977</v>
      </c>
      <c r="HO22" s="24">
        <f t="shared" si="54"/>
        <v>3010391.120577977</v>
      </c>
      <c r="HP22" s="24">
        <f t="shared" si="54"/>
        <v>3010391.120577977</v>
      </c>
      <c r="HQ22" s="24">
        <f t="shared" si="54"/>
        <v>3010391.120577977</v>
      </c>
      <c r="HR22" s="24">
        <f t="shared" si="54"/>
        <v>3010391.120577977</v>
      </c>
      <c r="HS22" s="24">
        <f t="shared" si="54"/>
        <v>3010391.120577977</v>
      </c>
      <c r="HT22" s="24">
        <f t="shared" si="54"/>
        <v>3010391.120577977</v>
      </c>
      <c r="HU22" s="24">
        <f t="shared" si="54"/>
        <v>3010391.120577977</v>
      </c>
      <c r="HV22" s="24">
        <f t="shared" si="54"/>
        <v>3010391.120577977</v>
      </c>
      <c r="HW22" s="24">
        <f t="shared" si="54"/>
        <v>3010391.120577977</v>
      </c>
      <c r="HX22" s="24">
        <f t="shared" si="54"/>
        <v>3010391.120577977</v>
      </c>
      <c r="HY22" s="24">
        <f t="shared" si="54"/>
        <v>3010391.120577977</v>
      </c>
      <c r="HZ22" s="24">
        <f t="shared" si="54"/>
        <v>3010391.120577977</v>
      </c>
      <c r="IA22" s="24">
        <f t="shared" si="54"/>
        <v>3010391.120577977</v>
      </c>
      <c r="IB22" s="24">
        <f t="shared" si="54"/>
        <v>3010391.120577977</v>
      </c>
      <c r="IC22" s="24">
        <f t="shared" si="54"/>
        <v>3010391.120577977</v>
      </c>
      <c r="ID22" s="24">
        <f t="shared" si="54"/>
        <v>3010391.120577977</v>
      </c>
      <c r="IE22" s="24">
        <f t="shared" si="54"/>
        <v>3010391.120577977</v>
      </c>
      <c r="IF22" s="24">
        <f t="shared" si="54"/>
        <v>3010391.120577977</v>
      </c>
      <c r="IG22" s="24">
        <f t="shared" si="54"/>
        <v>3010391.120577977</v>
      </c>
      <c r="IH22" s="24">
        <f t="shared" si="54"/>
        <v>3010391.120577977</v>
      </c>
      <c r="II22" s="24">
        <f t="shared" si="54"/>
        <v>3010391.120577977</v>
      </c>
      <c r="IJ22" s="24">
        <f t="shared" si="54"/>
        <v>3010391.120577977</v>
      </c>
      <c r="IK22" s="24">
        <f t="shared" si="54"/>
        <v>3010391.120577977</v>
      </c>
      <c r="IL22" s="24">
        <f t="shared" si="54"/>
        <v>3010391.120577977</v>
      </c>
      <c r="IM22" s="24">
        <f t="shared" si="54"/>
        <v>3010391.120577977</v>
      </c>
      <c r="IN22" s="24">
        <f t="shared" si="54"/>
        <v>3010391.120577977</v>
      </c>
    </row>
    <row r="23" spans="2:248" x14ac:dyDescent="0.3">
      <c r="B23" s="19" t="s">
        <v>504</v>
      </c>
      <c r="C23" s="56">
        <f>IF(VLOOKUP(B2,Country_Data!C:J,8,FALSE)="","Not initiated",VLOOKUP(B2,Country_Data!C:J,8,FALSE))</f>
        <v>43904</v>
      </c>
      <c r="F23" s="22" t="s">
        <v>476</v>
      </c>
      <c r="G23" s="27">
        <f t="shared" ref="G23:AE23" ca="1" si="55">IF(G3=TODAY(),1,-1000)</f>
        <v>-1000</v>
      </c>
      <c r="H23" s="27">
        <f t="shared" ca="1" si="55"/>
        <v>-1000</v>
      </c>
      <c r="I23" s="27">
        <f t="shared" ca="1" si="55"/>
        <v>-1000</v>
      </c>
      <c r="J23" s="27">
        <f t="shared" ca="1" si="55"/>
        <v>-1000</v>
      </c>
      <c r="K23" s="27">
        <f t="shared" ca="1" si="55"/>
        <v>-1000</v>
      </c>
      <c r="L23" s="27">
        <f t="shared" ca="1" si="55"/>
        <v>-1000</v>
      </c>
      <c r="M23" s="27">
        <f t="shared" ca="1" si="55"/>
        <v>-1000</v>
      </c>
      <c r="N23" s="27">
        <f t="shared" ca="1" si="55"/>
        <v>-1000</v>
      </c>
      <c r="O23" s="27">
        <f t="shared" ca="1" si="55"/>
        <v>-1000</v>
      </c>
      <c r="P23" s="27">
        <f t="shared" ca="1" si="55"/>
        <v>-1000</v>
      </c>
      <c r="Q23" s="27">
        <f t="shared" ca="1" si="55"/>
        <v>-1000</v>
      </c>
      <c r="R23" s="27">
        <f t="shared" ca="1" si="55"/>
        <v>-1000</v>
      </c>
      <c r="S23" s="27">
        <f t="shared" ca="1" si="55"/>
        <v>-1000</v>
      </c>
      <c r="T23" s="27">
        <f t="shared" ca="1" si="55"/>
        <v>-1000</v>
      </c>
      <c r="U23" s="27">
        <f t="shared" ca="1" si="55"/>
        <v>-1000</v>
      </c>
      <c r="V23" s="27">
        <f t="shared" ca="1" si="55"/>
        <v>-1000</v>
      </c>
      <c r="W23" s="27">
        <f t="shared" ca="1" si="55"/>
        <v>1</v>
      </c>
      <c r="X23" s="27">
        <f t="shared" ca="1" si="55"/>
        <v>-1000</v>
      </c>
      <c r="Y23" s="27">
        <f t="shared" ca="1" si="55"/>
        <v>-1000</v>
      </c>
      <c r="Z23" s="27">
        <f t="shared" ca="1" si="55"/>
        <v>-1000</v>
      </c>
      <c r="AA23" s="27">
        <f t="shared" ca="1" si="55"/>
        <v>-1000</v>
      </c>
      <c r="AB23" s="27">
        <f t="shared" ca="1" si="55"/>
        <v>-1000</v>
      </c>
      <c r="AC23" s="27">
        <f t="shared" ca="1" si="55"/>
        <v>-1000</v>
      </c>
      <c r="AD23" s="27">
        <f t="shared" ca="1" si="55"/>
        <v>-1000</v>
      </c>
      <c r="AE23" s="27">
        <f t="shared" ca="1" si="55"/>
        <v>-1000</v>
      </c>
      <c r="AF23" s="27">
        <f ca="1">IF(AF3=TODAY(),1,-1000)</f>
        <v>-1000</v>
      </c>
      <c r="AG23" s="27">
        <f t="shared" ref="AG23:CR23" ca="1" si="56">IF(AG3=TODAY(),1,-1000)</f>
        <v>-1000</v>
      </c>
      <c r="AH23" s="27">
        <f t="shared" ca="1" si="56"/>
        <v>-1000</v>
      </c>
      <c r="AI23" s="27">
        <f t="shared" ca="1" si="56"/>
        <v>-1000</v>
      </c>
      <c r="AJ23" s="27">
        <f t="shared" ca="1" si="56"/>
        <v>-1000</v>
      </c>
      <c r="AK23" s="27">
        <f t="shared" ca="1" si="56"/>
        <v>-1000</v>
      </c>
      <c r="AL23" s="27">
        <f t="shared" ca="1" si="56"/>
        <v>-1000</v>
      </c>
      <c r="AM23" s="27">
        <f t="shared" ca="1" si="56"/>
        <v>-1000</v>
      </c>
      <c r="AN23" s="27">
        <f t="shared" ca="1" si="56"/>
        <v>-1000</v>
      </c>
      <c r="AO23" s="27">
        <f t="shared" ca="1" si="56"/>
        <v>-1000</v>
      </c>
      <c r="AP23" s="27">
        <f t="shared" ca="1" si="56"/>
        <v>-1000</v>
      </c>
      <c r="AQ23" s="27">
        <f t="shared" ca="1" si="56"/>
        <v>-1000</v>
      </c>
      <c r="AR23" s="27">
        <f t="shared" ca="1" si="56"/>
        <v>-1000</v>
      </c>
      <c r="AS23" s="27">
        <f t="shared" ca="1" si="56"/>
        <v>-1000</v>
      </c>
      <c r="AT23" s="27">
        <f t="shared" ca="1" si="56"/>
        <v>-1000</v>
      </c>
      <c r="AU23" s="27">
        <f t="shared" ca="1" si="56"/>
        <v>-1000</v>
      </c>
      <c r="AV23" s="27">
        <f t="shared" ca="1" si="56"/>
        <v>-1000</v>
      </c>
      <c r="AW23" s="27">
        <f t="shared" ca="1" si="56"/>
        <v>-1000</v>
      </c>
      <c r="AX23" s="27">
        <f t="shared" ca="1" si="56"/>
        <v>-1000</v>
      </c>
      <c r="AY23" s="27">
        <f t="shared" ca="1" si="56"/>
        <v>-1000</v>
      </c>
      <c r="AZ23" s="27">
        <f t="shared" ca="1" si="56"/>
        <v>-1000</v>
      </c>
      <c r="BA23" s="27">
        <f t="shared" ca="1" si="56"/>
        <v>-1000</v>
      </c>
      <c r="BB23" s="27">
        <f t="shared" ca="1" si="56"/>
        <v>-1000</v>
      </c>
      <c r="BC23" s="27">
        <f t="shared" ca="1" si="56"/>
        <v>-1000</v>
      </c>
      <c r="BD23" s="27">
        <f t="shared" ca="1" si="56"/>
        <v>-1000</v>
      </c>
      <c r="BE23" s="27">
        <f t="shared" ca="1" si="56"/>
        <v>-1000</v>
      </c>
      <c r="BF23" s="27">
        <f t="shared" ca="1" si="56"/>
        <v>-1000</v>
      </c>
      <c r="BG23" s="27">
        <f t="shared" ca="1" si="56"/>
        <v>-1000</v>
      </c>
      <c r="BH23" s="27">
        <f t="shared" ca="1" si="56"/>
        <v>-1000</v>
      </c>
      <c r="BI23" s="27">
        <f t="shared" ca="1" si="56"/>
        <v>-1000</v>
      </c>
      <c r="BJ23" s="27">
        <f t="shared" ca="1" si="56"/>
        <v>-1000</v>
      </c>
      <c r="BK23" s="27">
        <f t="shared" ca="1" si="56"/>
        <v>-1000</v>
      </c>
      <c r="BL23" s="27">
        <f t="shared" ca="1" si="56"/>
        <v>-1000</v>
      </c>
      <c r="BM23" s="27">
        <f t="shared" ca="1" si="56"/>
        <v>-1000</v>
      </c>
      <c r="BN23" s="27">
        <f t="shared" ca="1" si="56"/>
        <v>-1000</v>
      </c>
      <c r="BO23" s="27">
        <f t="shared" ca="1" si="56"/>
        <v>-1000</v>
      </c>
      <c r="BP23" s="27">
        <f t="shared" ca="1" si="56"/>
        <v>-1000</v>
      </c>
      <c r="BQ23" s="27">
        <f t="shared" ca="1" si="56"/>
        <v>-1000</v>
      </c>
      <c r="BR23" s="27">
        <f t="shared" ca="1" si="56"/>
        <v>-1000</v>
      </c>
      <c r="BS23" s="27">
        <f t="shared" ca="1" si="56"/>
        <v>-1000</v>
      </c>
      <c r="BT23" s="27">
        <f t="shared" ca="1" si="56"/>
        <v>-1000</v>
      </c>
      <c r="BU23" s="27">
        <f t="shared" ca="1" si="56"/>
        <v>-1000</v>
      </c>
      <c r="BV23" s="27">
        <f t="shared" ca="1" si="56"/>
        <v>-1000</v>
      </c>
      <c r="BW23" s="27">
        <f t="shared" ca="1" si="56"/>
        <v>-1000</v>
      </c>
      <c r="BX23" s="27">
        <f t="shared" ca="1" si="56"/>
        <v>-1000</v>
      </c>
      <c r="BY23" s="27">
        <f t="shared" ca="1" si="56"/>
        <v>-1000</v>
      </c>
      <c r="BZ23" s="27">
        <f t="shared" ca="1" si="56"/>
        <v>-1000</v>
      </c>
      <c r="CA23" s="27">
        <f t="shared" ca="1" si="56"/>
        <v>-1000</v>
      </c>
      <c r="CB23" s="27">
        <f t="shared" ca="1" si="56"/>
        <v>-1000</v>
      </c>
      <c r="CC23" s="27">
        <f t="shared" ca="1" si="56"/>
        <v>-1000</v>
      </c>
      <c r="CD23" s="27">
        <f t="shared" ca="1" si="56"/>
        <v>-1000</v>
      </c>
      <c r="CE23" s="27">
        <f t="shared" ca="1" si="56"/>
        <v>-1000</v>
      </c>
      <c r="CF23" s="27">
        <f t="shared" ca="1" si="56"/>
        <v>-1000</v>
      </c>
      <c r="CG23" s="27">
        <f t="shared" ca="1" si="56"/>
        <v>-1000</v>
      </c>
      <c r="CH23" s="27">
        <f t="shared" ca="1" si="56"/>
        <v>-1000</v>
      </c>
      <c r="CI23" s="27">
        <f t="shared" ca="1" si="56"/>
        <v>-1000</v>
      </c>
      <c r="CJ23" s="27">
        <f t="shared" ca="1" si="56"/>
        <v>-1000</v>
      </c>
      <c r="CK23" s="27">
        <f t="shared" ca="1" si="56"/>
        <v>-1000</v>
      </c>
      <c r="CL23" s="27">
        <f t="shared" ca="1" si="56"/>
        <v>-1000</v>
      </c>
      <c r="CM23" s="27">
        <f t="shared" ca="1" si="56"/>
        <v>-1000</v>
      </c>
      <c r="CN23" s="27">
        <f t="shared" ca="1" si="56"/>
        <v>-1000</v>
      </c>
      <c r="CO23" s="27">
        <f t="shared" ca="1" si="56"/>
        <v>-1000</v>
      </c>
      <c r="CP23" s="27">
        <f t="shared" ca="1" si="56"/>
        <v>-1000</v>
      </c>
      <c r="CQ23" s="27">
        <f t="shared" ca="1" si="56"/>
        <v>-1000</v>
      </c>
      <c r="CR23" s="27">
        <f t="shared" ca="1" si="56"/>
        <v>-1000</v>
      </c>
      <c r="CS23" s="27">
        <f t="shared" ref="CS23:FD23" ca="1" si="57">IF(CS3=TODAY(),1,-1000)</f>
        <v>-1000</v>
      </c>
      <c r="CT23" s="27">
        <f t="shared" ca="1" si="57"/>
        <v>-1000</v>
      </c>
      <c r="CU23" s="27">
        <f t="shared" ca="1" si="57"/>
        <v>-1000</v>
      </c>
      <c r="CV23" s="27">
        <f t="shared" ca="1" si="57"/>
        <v>-1000</v>
      </c>
      <c r="CW23" s="27">
        <f t="shared" ca="1" si="57"/>
        <v>-1000</v>
      </c>
      <c r="CX23" s="27">
        <f t="shared" ca="1" si="57"/>
        <v>-1000</v>
      </c>
      <c r="CY23" s="27">
        <f t="shared" ca="1" si="57"/>
        <v>-1000</v>
      </c>
      <c r="CZ23" s="27">
        <f t="shared" ca="1" si="57"/>
        <v>-1000</v>
      </c>
      <c r="DA23" s="27">
        <f t="shared" ca="1" si="57"/>
        <v>-1000</v>
      </c>
      <c r="DB23" s="27">
        <f t="shared" ca="1" si="57"/>
        <v>-1000</v>
      </c>
      <c r="DC23" s="27">
        <f t="shared" ca="1" si="57"/>
        <v>-1000</v>
      </c>
      <c r="DD23" s="27">
        <f t="shared" ca="1" si="57"/>
        <v>-1000</v>
      </c>
      <c r="DE23" s="27">
        <f t="shared" ca="1" si="57"/>
        <v>-1000</v>
      </c>
      <c r="DF23" s="27">
        <f t="shared" ca="1" si="57"/>
        <v>-1000</v>
      </c>
      <c r="DG23" s="27">
        <f t="shared" ca="1" si="57"/>
        <v>-1000</v>
      </c>
      <c r="DH23" s="27">
        <f t="shared" ca="1" si="57"/>
        <v>-1000</v>
      </c>
      <c r="DI23" s="27">
        <f t="shared" ca="1" si="57"/>
        <v>-1000</v>
      </c>
      <c r="DJ23" s="27">
        <f t="shared" ca="1" si="57"/>
        <v>-1000</v>
      </c>
      <c r="DK23" s="27">
        <f t="shared" ca="1" si="57"/>
        <v>-1000</v>
      </c>
      <c r="DL23" s="27">
        <f t="shared" ca="1" si="57"/>
        <v>-1000</v>
      </c>
      <c r="DM23" s="27">
        <f t="shared" ca="1" si="57"/>
        <v>-1000</v>
      </c>
      <c r="DN23" s="27">
        <f t="shared" ca="1" si="57"/>
        <v>-1000</v>
      </c>
      <c r="DO23" s="27">
        <f t="shared" ca="1" si="57"/>
        <v>-1000</v>
      </c>
      <c r="DP23" s="27">
        <f t="shared" ca="1" si="57"/>
        <v>-1000</v>
      </c>
      <c r="DQ23" s="27">
        <f t="shared" ca="1" si="57"/>
        <v>-1000</v>
      </c>
      <c r="DR23" s="27">
        <f t="shared" ca="1" si="57"/>
        <v>-1000</v>
      </c>
      <c r="DS23" s="27">
        <f t="shared" ca="1" si="57"/>
        <v>-1000</v>
      </c>
      <c r="DT23" s="27">
        <f t="shared" ca="1" si="57"/>
        <v>-1000</v>
      </c>
      <c r="DU23" s="27">
        <f t="shared" ca="1" si="57"/>
        <v>-1000</v>
      </c>
      <c r="DV23" s="27">
        <f t="shared" ca="1" si="57"/>
        <v>-1000</v>
      </c>
      <c r="DW23" s="27">
        <f t="shared" ca="1" si="57"/>
        <v>-1000</v>
      </c>
      <c r="DX23" s="27">
        <f t="shared" ca="1" si="57"/>
        <v>-1000</v>
      </c>
      <c r="DY23" s="27">
        <f t="shared" ca="1" si="57"/>
        <v>-1000</v>
      </c>
      <c r="DZ23" s="27">
        <f t="shared" ca="1" si="57"/>
        <v>-1000</v>
      </c>
      <c r="EA23" s="27">
        <f t="shared" ca="1" si="57"/>
        <v>-1000</v>
      </c>
      <c r="EB23" s="27">
        <f t="shared" ca="1" si="57"/>
        <v>-1000</v>
      </c>
      <c r="EC23" s="27">
        <f t="shared" ca="1" si="57"/>
        <v>-1000</v>
      </c>
      <c r="ED23" s="27">
        <f t="shared" ca="1" si="57"/>
        <v>-1000</v>
      </c>
      <c r="EE23" s="27">
        <f t="shared" ca="1" si="57"/>
        <v>-1000</v>
      </c>
      <c r="EF23" s="27">
        <f t="shared" ca="1" si="57"/>
        <v>-1000</v>
      </c>
      <c r="EG23" s="27">
        <f t="shared" ca="1" si="57"/>
        <v>-1000</v>
      </c>
      <c r="EH23" s="27">
        <f t="shared" ca="1" si="57"/>
        <v>-1000</v>
      </c>
      <c r="EI23" s="27">
        <f t="shared" ca="1" si="57"/>
        <v>-1000</v>
      </c>
      <c r="EJ23" s="27">
        <f t="shared" ca="1" si="57"/>
        <v>-1000</v>
      </c>
      <c r="EK23" s="27">
        <f t="shared" ca="1" si="57"/>
        <v>-1000</v>
      </c>
      <c r="EL23" s="27">
        <f t="shared" ca="1" si="57"/>
        <v>-1000</v>
      </c>
      <c r="EM23" s="27">
        <f t="shared" ca="1" si="57"/>
        <v>-1000</v>
      </c>
      <c r="EN23" s="27">
        <f t="shared" ca="1" si="57"/>
        <v>-1000</v>
      </c>
      <c r="EO23" s="27">
        <f t="shared" ca="1" si="57"/>
        <v>-1000</v>
      </c>
      <c r="EP23" s="27">
        <f t="shared" ca="1" si="57"/>
        <v>-1000</v>
      </c>
      <c r="EQ23" s="27">
        <f t="shared" ca="1" si="57"/>
        <v>-1000</v>
      </c>
      <c r="ER23" s="27">
        <f t="shared" ca="1" si="57"/>
        <v>-1000</v>
      </c>
      <c r="ES23" s="27">
        <f t="shared" ca="1" si="57"/>
        <v>-1000</v>
      </c>
      <c r="ET23" s="27">
        <f t="shared" ca="1" si="57"/>
        <v>-1000</v>
      </c>
      <c r="EU23" s="27">
        <f t="shared" ca="1" si="57"/>
        <v>-1000</v>
      </c>
      <c r="EV23" s="27">
        <f t="shared" ca="1" si="57"/>
        <v>-1000</v>
      </c>
      <c r="EW23" s="27">
        <f t="shared" ca="1" si="57"/>
        <v>-1000</v>
      </c>
      <c r="EX23" s="27">
        <f t="shared" ca="1" si="57"/>
        <v>-1000</v>
      </c>
      <c r="EY23" s="27">
        <f t="shared" ca="1" si="57"/>
        <v>-1000</v>
      </c>
      <c r="EZ23" s="27">
        <f t="shared" ca="1" si="57"/>
        <v>-1000</v>
      </c>
      <c r="FA23" s="27">
        <f t="shared" ca="1" si="57"/>
        <v>-1000</v>
      </c>
      <c r="FB23" s="27">
        <f t="shared" ca="1" si="57"/>
        <v>-1000</v>
      </c>
      <c r="FC23" s="27">
        <f t="shared" ca="1" si="57"/>
        <v>-1000</v>
      </c>
      <c r="FD23" s="27">
        <f t="shared" ca="1" si="57"/>
        <v>-1000</v>
      </c>
      <c r="FE23" s="27">
        <f t="shared" ref="FE23:HP23" ca="1" si="58">IF(FE3=TODAY(),1,-1000)</f>
        <v>-1000</v>
      </c>
      <c r="FF23" s="27">
        <f t="shared" ca="1" si="58"/>
        <v>-1000</v>
      </c>
      <c r="FG23" s="27">
        <f t="shared" ca="1" si="58"/>
        <v>-1000</v>
      </c>
      <c r="FH23" s="27">
        <f t="shared" ca="1" si="58"/>
        <v>-1000</v>
      </c>
      <c r="FI23" s="27">
        <f t="shared" ca="1" si="58"/>
        <v>-1000</v>
      </c>
      <c r="FJ23" s="27">
        <f t="shared" ca="1" si="58"/>
        <v>-1000</v>
      </c>
      <c r="FK23" s="27">
        <f t="shared" ca="1" si="58"/>
        <v>-1000</v>
      </c>
      <c r="FL23" s="27">
        <f t="shared" ca="1" si="58"/>
        <v>-1000</v>
      </c>
      <c r="FM23" s="27">
        <f t="shared" ca="1" si="58"/>
        <v>-1000</v>
      </c>
      <c r="FN23" s="27">
        <f t="shared" ca="1" si="58"/>
        <v>-1000</v>
      </c>
      <c r="FO23" s="27">
        <f t="shared" ca="1" si="58"/>
        <v>-1000</v>
      </c>
      <c r="FP23" s="27">
        <f t="shared" ca="1" si="58"/>
        <v>-1000</v>
      </c>
      <c r="FQ23" s="27">
        <f t="shared" ca="1" si="58"/>
        <v>-1000</v>
      </c>
      <c r="FR23" s="27">
        <f t="shared" ca="1" si="58"/>
        <v>-1000</v>
      </c>
      <c r="FS23" s="27">
        <f t="shared" ca="1" si="58"/>
        <v>-1000</v>
      </c>
      <c r="FT23" s="27">
        <f t="shared" ca="1" si="58"/>
        <v>-1000</v>
      </c>
      <c r="FU23" s="27">
        <f t="shared" ca="1" si="58"/>
        <v>-1000</v>
      </c>
      <c r="FV23" s="27">
        <f t="shared" ca="1" si="58"/>
        <v>-1000</v>
      </c>
      <c r="FW23" s="27">
        <f t="shared" ca="1" si="58"/>
        <v>-1000</v>
      </c>
      <c r="FX23" s="27">
        <f t="shared" ca="1" si="58"/>
        <v>-1000</v>
      </c>
      <c r="FY23" s="27">
        <f t="shared" ca="1" si="58"/>
        <v>-1000</v>
      </c>
      <c r="FZ23" s="27">
        <f t="shared" ca="1" si="58"/>
        <v>-1000</v>
      </c>
      <c r="GA23" s="27">
        <f t="shared" ca="1" si="58"/>
        <v>-1000</v>
      </c>
      <c r="GB23" s="27">
        <f t="shared" ca="1" si="58"/>
        <v>-1000</v>
      </c>
      <c r="GC23" s="27">
        <f t="shared" ca="1" si="58"/>
        <v>-1000</v>
      </c>
      <c r="GD23" s="27">
        <f t="shared" ca="1" si="58"/>
        <v>-1000</v>
      </c>
      <c r="GE23" s="27">
        <f t="shared" ca="1" si="58"/>
        <v>-1000</v>
      </c>
      <c r="GF23" s="27">
        <f t="shared" ca="1" si="58"/>
        <v>-1000</v>
      </c>
      <c r="GG23" s="27">
        <f t="shared" ca="1" si="58"/>
        <v>-1000</v>
      </c>
      <c r="GH23" s="27">
        <f t="shared" ca="1" si="58"/>
        <v>-1000</v>
      </c>
      <c r="GI23" s="27">
        <f t="shared" ca="1" si="58"/>
        <v>-1000</v>
      </c>
      <c r="GJ23" s="27">
        <f t="shared" ca="1" si="58"/>
        <v>-1000</v>
      </c>
      <c r="GK23" s="27">
        <f t="shared" ca="1" si="58"/>
        <v>-1000</v>
      </c>
      <c r="GL23" s="27">
        <f t="shared" ca="1" si="58"/>
        <v>-1000</v>
      </c>
      <c r="GM23" s="27">
        <f t="shared" ca="1" si="58"/>
        <v>-1000</v>
      </c>
      <c r="GN23" s="27">
        <f t="shared" ca="1" si="58"/>
        <v>-1000</v>
      </c>
      <c r="GO23" s="27">
        <f t="shared" ca="1" si="58"/>
        <v>-1000</v>
      </c>
      <c r="GP23" s="27">
        <f t="shared" ca="1" si="58"/>
        <v>-1000</v>
      </c>
      <c r="GQ23" s="27">
        <f t="shared" ca="1" si="58"/>
        <v>-1000</v>
      </c>
      <c r="GR23" s="27">
        <f t="shared" ca="1" si="58"/>
        <v>-1000</v>
      </c>
      <c r="GS23" s="27">
        <f t="shared" ca="1" si="58"/>
        <v>-1000</v>
      </c>
      <c r="GT23" s="27">
        <f t="shared" ca="1" si="58"/>
        <v>-1000</v>
      </c>
      <c r="GU23" s="27">
        <f t="shared" ca="1" si="58"/>
        <v>-1000</v>
      </c>
      <c r="GV23" s="27">
        <f t="shared" ca="1" si="58"/>
        <v>-1000</v>
      </c>
      <c r="GW23" s="27">
        <f t="shared" ca="1" si="58"/>
        <v>-1000</v>
      </c>
      <c r="GX23" s="27">
        <f t="shared" ca="1" si="58"/>
        <v>-1000</v>
      </c>
      <c r="GY23" s="27">
        <f t="shared" ca="1" si="58"/>
        <v>-1000</v>
      </c>
      <c r="GZ23" s="27">
        <f t="shared" ca="1" si="58"/>
        <v>-1000</v>
      </c>
      <c r="HA23" s="27">
        <f t="shared" ca="1" si="58"/>
        <v>-1000</v>
      </c>
      <c r="HB23" s="27">
        <f t="shared" ca="1" si="58"/>
        <v>-1000</v>
      </c>
      <c r="HC23" s="27">
        <f t="shared" ca="1" si="58"/>
        <v>-1000</v>
      </c>
      <c r="HD23" s="27">
        <f t="shared" ca="1" si="58"/>
        <v>-1000</v>
      </c>
      <c r="HE23" s="27">
        <f t="shared" ca="1" si="58"/>
        <v>-1000</v>
      </c>
      <c r="HF23" s="27">
        <f t="shared" ca="1" si="58"/>
        <v>-1000</v>
      </c>
      <c r="HG23" s="27">
        <f t="shared" ca="1" si="58"/>
        <v>-1000</v>
      </c>
      <c r="HH23" s="27">
        <f t="shared" ca="1" si="58"/>
        <v>-1000</v>
      </c>
      <c r="HI23" s="27">
        <f t="shared" ca="1" si="58"/>
        <v>-1000</v>
      </c>
      <c r="HJ23" s="27">
        <f t="shared" ca="1" si="58"/>
        <v>-1000</v>
      </c>
      <c r="HK23" s="27">
        <f t="shared" ca="1" si="58"/>
        <v>-1000</v>
      </c>
      <c r="HL23" s="27">
        <f t="shared" ca="1" si="58"/>
        <v>-1000</v>
      </c>
      <c r="HM23" s="27">
        <f t="shared" ca="1" si="58"/>
        <v>-1000</v>
      </c>
      <c r="HN23" s="27">
        <f t="shared" ca="1" si="58"/>
        <v>-1000</v>
      </c>
      <c r="HO23" s="27">
        <f t="shared" ca="1" si="58"/>
        <v>-1000</v>
      </c>
      <c r="HP23" s="27">
        <f t="shared" ca="1" si="58"/>
        <v>-1000</v>
      </c>
      <c r="HQ23" s="27">
        <f t="shared" ref="HQ23:IN23" ca="1" si="59">IF(HQ3=TODAY(),1,-1000)</f>
        <v>-1000</v>
      </c>
      <c r="HR23" s="27">
        <f t="shared" ca="1" si="59"/>
        <v>-1000</v>
      </c>
      <c r="HS23" s="27">
        <f t="shared" ca="1" si="59"/>
        <v>-1000</v>
      </c>
      <c r="HT23" s="27">
        <f t="shared" ca="1" si="59"/>
        <v>-1000</v>
      </c>
      <c r="HU23" s="27">
        <f t="shared" ca="1" si="59"/>
        <v>-1000</v>
      </c>
      <c r="HV23" s="27">
        <f t="shared" ca="1" si="59"/>
        <v>-1000</v>
      </c>
      <c r="HW23" s="27">
        <f t="shared" ca="1" si="59"/>
        <v>-1000</v>
      </c>
      <c r="HX23" s="27">
        <f t="shared" ca="1" si="59"/>
        <v>-1000</v>
      </c>
      <c r="HY23" s="27">
        <f t="shared" ca="1" si="59"/>
        <v>-1000</v>
      </c>
      <c r="HZ23" s="27">
        <f t="shared" ca="1" si="59"/>
        <v>-1000</v>
      </c>
      <c r="IA23" s="27">
        <f t="shared" ca="1" si="59"/>
        <v>-1000</v>
      </c>
      <c r="IB23" s="27">
        <f t="shared" ca="1" si="59"/>
        <v>-1000</v>
      </c>
      <c r="IC23" s="27">
        <f t="shared" ca="1" si="59"/>
        <v>-1000</v>
      </c>
      <c r="ID23" s="27">
        <f t="shared" ca="1" si="59"/>
        <v>-1000</v>
      </c>
      <c r="IE23" s="27">
        <f t="shared" ca="1" si="59"/>
        <v>-1000</v>
      </c>
      <c r="IF23" s="27">
        <f t="shared" ca="1" si="59"/>
        <v>-1000</v>
      </c>
      <c r="IG23" s="27">
        <f t="shared" ca="1" si="59"/>
        <v>-1000</v>
      </c>
      <c r="IH23" s="27">
        <f t="shared" ca="1" si="59"/>
        <v>-1000</v>
      </c>
      <c r="II23" s="27">
        <f t="shared" ca="1" si="59"/>
        <v>-1000</v>
      </c>
      <c r="IJ23" s="27">
        <f t="shared" ca="1" si="59"/>
        <v>-1000</v>
      </c>
      <c r="IK23" s="27">
        <f t="shared" ca="1" si="59"/>
        <v>-1000</v>
      </c>
      <c r="IL23" s="27">
        <f t="shared" ca="1" si="59"/>
        <v>-1000</v>
      </c>
      <c r="IM23" s="27">
        <f t="shared" ca="1" si="59"/>
        <v>-1000</v>
      </c>
      <c r="IN23" s="27">
        <f t="shared" ca="1" si="59"/>
        <v>-1000</v>
      </c>
    </row>
    <row r="24" spans="2:248" x14ac:dyDescent="0.3">
      <c r="B24" s="19" t="s">
        <v>503</v>
      </c>
      <c r="C24" s="56">
        <f>IF(VLOOKUP(B2,Country_Data!C:I,7,FALSE)="","Not initiated",VLOOKUP(B2,Country_Data!C:I,7,FALSE))</f>
        <v>43910</v>
      </c>
      <c r="F24" s="22" t="s">
        <v>477</v>
      </c>
      <c r="G24" s="26">
        <f>IF(AND(G18&gt;G17,F18&lt;F17),1,0)</f>
        <v>0</v>
      </c>
      <c r="H24" s="26">
        <f>IF(AND(H18&gt;H17,G18&lt;G17),1,0)</f>
        <v>0</v>
      </c>
      <c r="I24" s="26">
        <f t="shared" ref="I24:BS24" si="60">IF(AND(I18&gt;I17,H18&lt;H17),1,0)</f>
        <v>0</v>
      </c>
      <c r="J24" s="26">
        <f t="shared" si="60"/>
        <v>0</v>
      </c>
      <c r="K24" s="26">
        <f t="shared" si="60"/>
        <v>0</v>
      </c>
      <c r="L24" s="26">
        <f t="shared" si="60"/>
        <v>0</v>
      </c>
      <c r="M24" s="26">
        <f t="shared" si="60"/>
        <v>0</v>
      </c>
      <c r="N24" s="26">
        <f t="shared" si="60"/>
        <v>0</v>
      </c>
      <c r="O24" s="26">
        <f t="shared" si="60"/>
        <v>0</v>
      </c>
      <c r="P24" s="26">
        <f t="shared" si="60"/>
        <v>0</v>
      </c>
      <c r="Q24" s="26">
        <f t="shared" si="60"/>
        <v>0</v>
      </c>
      <c r="R24" s="26">
        <f t="shared" si="60"/>
        <v>0</v>
      </c>
      <c r="S24" s="26">
        <f t="shared" si="60"/>
        <v>0</v>
      </c>
      <c r="T24" s="26">
        <f t="shared" si="60"/>
        <v>0</v>
      </c>
      <c r="U24" s="26">
        <f t="shared" si="60"/>
        <v>0</v>
      </c>
      <c r="V24" s="26">
        <f t="shared" si="60"/>
        <v>0</v>
      </c>
      <c r="W24" s="26">
        <f t="shared" si="60"/>
        <v>0</v>
      </c>
      <c r="X24" s="26">
        <f t="shared" si="60"/>
        <v>0</v>
      </c>
      <c r="Y24" s="26">
        <f t="shared" si="60"/>
        <v>0</v>
      </c>
      <c r="Z24" s="26">
        <f t="shared" si="60"/>
        <v>0</v>
      </c>
      <c r="AA24" s="26">
        <f t="shared" si="60"/>
        <v>0</v>
      </c>
      <c r="AB24" s="26">
        <f t="shared" si="60"/>
        <v>0</v>
      </c>
      <c r="AC24" s="26">
        <f t="shared" si="60"/>
        <v>0</v>
      </c>
      <c r="AD24" s="26">
        <f t="shared" si="60"/>
        <v>0</v>
      </c>
      <c r="AE24" s="26">
        <f t="shared" si="60"/>
        <v>0</v>
      </c>
      <c r="AF24" s="26">
        <f t="shared" si="60"/>
        <v>0</v>
      </c>
      <c r="AG24" s="26">
        <f t="shared" si="60"/>
        <v>0</v>
      </c>
      <c r="AH24" s="26">
        <f t="shared" si="60"/>
        <v>1</v>
      </c>
      <c r="AI24" s="26">
        <f t="shared" si="60"/>
        <v>0</v>
      </c>
      <c r="AJ24" s="26">
        <f>IF(AND(AJ18&gt;AJ17,AI18&lt;AI17),1,0)</f>
        <v>0</v>
      </c>
      <c r="AK24" s="26">
        <f t="shared" si="60"/>
        <v>0</v>
      </c>
      <c r="AL24" s="26">
        <f t="shared" si="60"/>
        <v>0</v>
      </c>
      <c r="AM24" s="26">
        <f t="shared" si="60"/>
        <v>0</v>
      </c>
      <c r="AN24" s="26">
        <f t="shared" si="60"/>
        <v>0</v>
      </c>
      <c r="AO24" s="26">
        <f t="shared" si="60"/>
        <v>0</v>
      </c>
      <c r="AP24" s="26">
        <f t="shared" si="60"/>
        <v>0</v>
      </c>
      <c r="AQ24" s="26">
        <f t="shared" si="60"/>
        <v>0</v>
      </c>
      <c r="AR24" s="26">
        <f t="shared" si="60"/>
        <v>0</v>
      </c>
      <c r="AS24" s="26">
        <f t="shared" si="60"/>
        <v>0</v>
      </c>
      <c r="AT24" s="26">
        <f t="shared" si="60"/>
        <v>0</v>
      </c>
      <c r="AU24" s="26">
        <f t="shared" si="60"/>
        <v>0</v>
      </c>
      <c r="AV24" s="26">
        <f t="shared" si="60"/>
        <v>0</v>
      </c>
      <c r="AW24" s="26">
        <f t="shared" si="60"/>
        <v>0</v>
      </c>
      <c r="AX24" s="26">
        <f t="shared" si="60"/>
        <v>0</v>
      </c>
      <c r="AY24" s="26">
        <f t="shared" si="60"/>
        <v>0</v>
      </c>
      <c r="AZ24" s="26">
        <f t="shared" si="60"/>
        <v>0</v>
      </c>
      <c r="BA24" s="26">
        <f t="shared" si="60"/>
        <v>0</v>
      </c>
      <c r="BB24" s="26">
        <f t="shared" si="60"/>
        <v>0</v>
      </c>
      <c r="BC24" s="26">
        <f t="shared" si="60"/>
        <v>0</v>
      </c>
      <c r="BD24" s="26">
        <f t="shared" si="60"/>
        <v>0</v>
      </c>
      <c r="BE24" s="26">
        <f t="shared" si="60"/>
        <v>0</v>
      </c>
      <c r="BF24" s="26">
        <f t="shared" si="60"/>
        <v>0</v>
      </c>
      <c r="BG24" s="26">
        <f t="shared" si="60"/>
        <v>0</v>
      </c>
      <c r="BH24" s="26">
        <f t="shared" si="60"/>
        <v>0</v>
      </c>
      <c r="BI24" s="26">
        <f t="shared" si="60"/>
        <v>0</v>
      </c>
      <c r="BJ24" s="26">
        <f t="shared" si="60"/>
        <v>0</v>
      </c>
      <c r="BK24" s="26">
        <f t="shared" si="60"/>
        <v>0</v>
      </c>
      <c r="BL24" s="26">
        <f t="shared" si="60"/>
        <v>0</v>
      </c>
      <c r="BM24" s="26">
        <f t="shared" si="60"/>
        <v>0</v>
      </c>
      <c r="BN24" s="26">
        <f t="shared" si="60"/>
        <v>0</v>
      </c>
      <c r="BO24" s="26">
        <f t="shared" si="60"/>
        <v>0</v>
      </c>
      <c r="BP24" s="26">
        <f t="shared" si="60"/>
        <v>0</v>
      </c>
      <c r="BQ24" s="26">
        <f t="shared" si="60"/>
        <v>0</v>
      </c>
      <c r="BR24" s="26">
        <f t="shared" si="60"/>
        <v>0</v>
      </c>
      <c r="BS24" s="26">
        <f t="shared" si="60"/>
        <v>0</v>
      </c>
      <c r="BT24" s="26">
        <f t="shared" ref="BT24:EE24" si="61">IF(AND(BT18&gt;BT17,BS18&lt;BS17),1,0)</f>
        <v>0</v>
      </c>
      <c r="BU24" s="26">
        <f t="shared" si="61"/>
        <v>0</v>
      </c>
      <c r="BV24" s="26">
        <f t="shared" si="61"/>
        <v>0</v>
      </c>
      <c r="BW24" s="26">
        <f t="shared" si="61"/>
        <v>0</v>
      </c>
      <c r="BX24" s="26">
        <f t="shared" si="61"/>
        <v>0</v>
      </c>
      <c r="BY24" s="26">
        <f t="shared" si="61"/>
        <v>0</v>
      </c>
      <c r="BZ24" s="26">
        <f t="shared" si="61"/>
        <v>0</v>
      </c>
      <c r="CA24" s="26">
        <f t="shared" si="61"/>
        <v>0</v>
      </c>
      <c r="CB24" s="26">
        <f t="shared" si="61"/>
        <v>0</v>
      </c>
      <c r="CC24" s="26">
        <f t="shared" si="61"/>
        <v>0</v>
      </c>
      <c r="CD24" s="26">
        <f t="shared" si="61"/>
        <v>0</v>
      </c>
      <c r="CE24" s="26">
        <f t="shared" si="61"/>
        <v>0</v>
      </c>
      <c r="CF24" s="26">
        <f t="shared" si="61"/>
        <v>0</v>
      </c>
      <c r="CG24" s="26">
        <f t="shared" si="61"/>
        <v>0</v>
      </c>
      <c r="CH24" s="26">
        <f t="shared" si="61"/>
        <v>0</v>
      </c>
      <c r="CI24" s="26">
        <f t="shared" si="61"/>
        <v>0</v>
      </c>
      <c r="CJ24" s="26">
        <f t="shared" si="61"/>
        <v>0</v>
      </c>
      <c r="CK24" s="26">
        <f t="shared" si="61"/>
        <v>0</v>
      </c>
      <c r="CL24" s="26">
        <f t="shared" si="61"/>
        <v>0</v>
      </c>
      <c r="CM24" s="26">
        <f t="shared" si="61"/>
        <v>0</v>
      </c>
      <c r="CN24" s="26">
        <f t="shared" si="61"/>
        <v>0</v>
      </c>
      <c r="CO24" s="26">
        <f t="shared" si="61"/>
        <v>0</v>
      </c>
      <c r="CP24" s="26">
        <f t="shared" si="61"/>
        <v>0</v>
      </c>
      <c r="CQ24" s="26">
        <f t="shared" si="61"/>
        <v>0</v>
      </c>
      <c r="CR24" s="26">
        <f t="shared" si="61"/>
        <v>0</v>
      </c>
      <c r="CS24" s="26">
        <f t="shared" si="61"/>
        <v>0</v>
      </c>
      <c r="CT24" s="26">
        <f t="shared" si="61"/>
        <v>0</v>
      </c>
      <c r="CU24" s="26">
        <f t="shared" si="61"/>
        <v>0</v>
      </c>
      <c r="CV24" s="26">
        <f t="shared" si="61"/>
        <v>0</v>
      </c>
      <c r="CW24" s="26">
        <f t="shared" si="61"/>
        <v>0</v>
      </c>
      <c r="CX24" s="26">
        <f t="shared" si="61"/>
        <v>0</v>
      </c>
      <c r="CY24" s="26">
        <f t="shared" si="61"/>
        <v>0</v>
      </c>
      <c r="CZ24" s="26">
        <f t="shared" si="61"/>
        <v>0</v>
      </c>
      <c r="DA24" s="26">
        <f t="shared" si="61"/>
        <v>0</v>
      </c>
      <c r="DB24" s="26">
        <f t="shared" si="61"/>
        <v>0</v>
      </c>
      <c r="DC24" s="26">
        <f t="shared" si="61"/>
        <v>0</v>
      </c>
      <c r="DD24" s="26">
        <f t="shared" si="61"/>
        <v>0</v>
      </c>
      <c r="DE24" s="26">
        <f t="shared" si="61"/>
        <v>0</v>
      </c>
      <c r="DF24" s="26">
        <f t="shared" si="61"/>
        <v>0</v>
      </c>
      <c r="DG24" s="26">
        <f t="shared" si="61"/>
        <v>0</v>
      </c>
      <c r="DH24" s="26">
        <f t="shared" si="61"/>
        <v>0</v>
      </c>
      <c r="DI24" s="26">
        <f t="shared" si="61"/>
        <v>0</v>
      </c>
      <c r="DJ24" s="26">
        <f t="shared" si="61"/>
        <v>0</v>
      </c>
      <c r="DK24" s="26">
        <f t="shared" si="61"/>
        <v>0</v>
      </c>
      <c r="DL24" s="26">
        <f t="shared" si="61"/>
        <v>0</v>
      </c>
      <c r="DM24" s="26">
        <f t="shared" si="61"/>
        <v>0</v>
      </c>
      <c r="DN24" s="26">
        <f t="shared" si="61"/>
        <v>0</v>
      </c>
      <c r="DO24" s="26">
        <f t="shared" si="61"/>
        <v>0</v>
      </c>
      <c r="DP24" s="26">
        <f t="shared" si="61"/>
        <v>0</v>
      </c>
      <c r="DQ24" s="26">
        <f t="shared" si="61"/>
        <v>0</v>
      </c>
      <c r="DR24" s="26">
        <f t="shared" si="61"/>
        <v>0</v>
      </c>
      <c r="DS24" s="26">
        <f t="shared" si="61"/>
        <v>0</v>
      </c>
      <c r="DT24" s="26">
        <f t="shared" si="61"/>
        <v>0</v>
      </c>
      <c r="DU24" s="26">
        <f t="shared" si="61"/>
        <v>0</v>
      </c>
      <c r="DV24" s="26">
        <f t="shared" si="61"/>
        <v>0</v>
      </c>
      <c r="DW24" s="26">
        <f t="shared" si="61"/>
        <v>0</v>
      </c>
      <c r="DX24" s="26">
        <f t="shared" si="61"/>
        <v>0</v>
      </c>
      <c r="DY24" s="26">
        <f t="shared" si="61"/>
        <v>0</v>
      </c>
      <c r="DZ24" s="26">
        <f t="shared" si="61"/>
        <v>0</v>
      </c>
      <c r="EA24" s="26">
        <f t="shared" si="61"/>
        <v>0</v>
      </c>
      <c r="EB24" s="26">
        <f t="shared" si="61"/>
        <v>0</v>
      </c>
      <c r="EC24" s="26">
        <f t="shared" si="61"/>
        <v>0</v>
      </c>
      <c r="ED24" s="26">
        <f t="shared" si="61"/>
        <v>0</v>
      </c>
      <c r="EE24" s="26">
        <f t="shared" si="61"/>
        <v>0</v>
      </c>
      <c r="EF24" s="26">
        <f t="shared" ref="EF24:GQ24" si="62">IF(AND(EF18&gt;EF17,EE18&lt;EE17),1,0)</f>
        <v>0</v>
      </c>
      <c r="EG24" s="26">
        <f t="shared" si="62"/>
        <v>0</v>
      </c>
      <c r="EH24" s="26">
        <f t="shared" si="62"/>
        <v>0</v>
      </c>
      <c r="EI24" s="26">
        <f t="shared" si="62"/>
        <v>0</v>
      </c>
      <c r="EJ24" s="26">
        <f t="shared" si="62"/>
        <v>0</v>
      </c>
      <c r="EK24" s="26">
        <f t="shared" si="62"/>
        <v>0</v>
      </c>
      <c r="EL24" s="26">
        <f t="shared" si="62"/>
        <v>0</v>
      </c>
      <c r="EM24" s="26">
        <f t="shared" si="62"/>
        <v>0</v>
      </c>
      <c r="EN24" s="26">
        <f t="shared" si="62"/>
        <v>0</v>
      </c>
      <c r="EO24" s="26">
        <f t="shared" si="62"/>
        <v>0</v>
      </c>
      <c r="EP24" s="26">
        <f t="shared" si="62"/>
        <v>0</v>
      </c>
      <c r="EQ24" s="26">
        <f t="shared" si="62"/>
        <v>0</v>
      </c>
      <c r="ER24" s="26">
        <f t="shared" si="62"/>
        <v>0</v>
      </c>
      <c r="ES24" s="26">
        <f t="shared" si="62"/>
        <v>0</v>
      </c>
      <c r="ET24" s="26">
        <f t="shared" si="62"/>
        <v>0</v>
      </c>
      <c r="EU24" s="26">
        <f t="shared" si="62"/>
        <v>0</v>
      </c>
      <c r="EV24" s="26">
        <f t="shared" si="62"/>
        <v>0</v>
      </c>
      <c r="EW24" s="26">
        <f t="shared" si="62"/>
        <v>0</v>
      </c>
      <c r="EX24" s="26">
        <f t="shared" si="62"/>
        <v>0</v>
      </c>
      <c r="EY24" s="26">
        <f t="shared" si="62"/>
        <v>0</v>
      </c>
      <c r="EZ24" s="26">
        <f t="shared" si="62"/>
        <v>0</v>
      </c>
      <c r="FA24" s="26">
        <f t="shared" si="62"/>
        <v>0</v>
      </c>
      <c r="FB24" s="26">
        <f t="shared" si="62"/>
        <v>0</v>
      </c>
      <c r="FC24" s="26">
        <f t="shared" si="62"/>
        <v>0</v>
      </c>
      <c r="FD24" s="26">
        <f t="shared" si="62"/>
        <v>0</v>
      </c>
      <c r="FE24" s="26">
        <f t="shared" si="62"/>
        <v>0</v>
      </c>
      <c r="FF24" s="26">
        <f t="shared" si="62"/>
        <v>0</v>
      </c>
      <c r="FG24" s="26">
        <f t="shared" si="62"/>
        <v>0</v>
      </c>
      <c r="FH24" s="26">
        <f t="shared" si="62"/>
        <v>0</v>
      </c>
      <c r="FI24" s="26">
        <f t="shared" si="62"/>
        <v>0</v>
      </c>
      <c r="FJ24" s="26">
        <f t="shared" si="62"/>
        <v>0</v>
      </c>
      <c r="FK24" s="26">
        <f t="shared" si="62"/>
        <v>0</v>
      </c>
      <c r="FL24" s="26">
        <f t="shared" si="62"/>
        <v>0</v>
      </c>
      <c r="FM24" s="26">
        <f t="shared" si="62"/>
        <v>0</v>
      </c>
      <c r="FN24" s="26">
        <f t="shared" si="62"/>
        <v>0</v>
      </c>
      <c r="FO24" s="26">
        <f t="shared" si="62"/>
        <v>0</v>
      </c>
      <c r="FP24" s="26">
        <f t="shared" si="62"/>
        <v>0</v>
      </c>
      <c r="FQ24" s="26">
        <f t="shared" si="62"/>
        <v>0</v>
      </c>
      <c r="FR24" s="26">
        <f t="shared" si="62"/>
        <v>0</v>
      </c>
      <c r="FS24" s="26">
        <f t="shared" si="62"/>
        <v>0</v>
      </c>
      <c r="FT24" s="26">
        <f t="shared" si="62"/>
        <v>0</v>
      </c>
      <c r="FU24" s="26">
        <f t="shared" si="62"/>
        <v>0</v>
      </c>
      <c r="FV24" s="26">
        <f t="shared" si="62"/>
        <v>0</v>
      </c>
      <c r="FW24" s="26">
        <f t="shared" si="62"/>
        <v>0</v>
      </c>
      <c r="FX24" s="26">
        <f t="shared" si="62"/>
        <v>0</v>
      </c>
      <c r="FY24" s="26">
        <f t="shared" si="62"/>
        <v>0</v>
      </c>
      <c r="FZ24" s="26">
        <f t="shared" si="62"/>
        <v>0</v>
      </c>
      <c r="GA24" s="26">
        <f t="shared" si="62"/>
        <v>0</v>
      </c>
      <c r="GB24" s="26">
        <f t="shared" si="62"/>
        <v>0</v>
      </c>
      <c r="GC24" s="26">
        <f t="shared" si="62"/>
        <v>0</v>
      </c>
      <c r="GD24" s="26">
        <f t="shared" si="62"/>
        <v>0</v>
      </c>
      <c r="GE24" s="26">
        <f t="shared" si="62"/>
        <v>0</v>
      </c>
      <c r="GF24" s="26">
        <f t="shared" si="62"/>
        <v>0</v>
      </c>
      <c r="GG24" s="26">
        <f t="shared" si="62"/>
        <v>0</v>
      </c>
      <c r="GH24" s="26">
        <f t="shared" si="62"/>
        <v>0</v>
      </c>
      <c r="GI24" s="26">
        <f t="shared" si="62"/>
        <v>0</v>
      </c>
      <c r="GJ24" s="26">
        <f t="shared" si="62"/>
        <v>0</v>
      </c>
      <c r="GK24" s="26">
        <f t="shared" si="62"/>
        <v>0</v>
      </c>
      <c r="GL24" s="26">
        <f t="shared" si="62"/>
        <v>0</v>
      </c>
      <c r="GM24" s="26">
        <f t="shared" si="62"/>
        <v>0</v>
      </c>
      <c r="GN24" s="26">
        <f t="shared" si="62"/>
        <v>0</v>
      </c>
      <c r="GO24" s="26">
        <f t="shared" si="62"/>
        <v>0</v>
      </c>
      <c r="GP24" s="26">
        <f t="shared" si="62"/>
        <v>0</v>
      </c>
      <c r="GQ24" s="26">
        <f t="shared" si="62"/>
        <v>0</v>
      </c>
      <c r="GR24" s="26">
        <f t="shared" ref="GR24:IN24" si="63">IF(AND(GR18&gt;GR17,GQ18&lt;GQ17),1,0)</f>
        <v>0</v>
      </c>
      <c r="GS24" s="26">
        <f t="shared" si="63"/>
        <v>0</v>
      </c>
      <c r="GT24" s="26">
        <f t="shared" si="63"/>
        <v>0</v>
      </c>
      <c r="GU24" s="26">
        <f t="shared" si="63"/>
        <v>0</v>
      </c>
      <c r="GV24" s="26">
        <f t="shared" si="63"/>
        <v>0</v>
      </c>
      <c r="GW24" s="26">
        <f t="shared" si="63"/>
        <v>0</v>
      </c>
      <c r="GX24" s="26">
        <f t="shared" si="63"/>
        <v>0</v>
      </c>
      <c r="GY24" s="26">
        <f t="shared" si="63"/>
        <v>0</v>
      </c>
      <c r="GZ24" s="26">
        <f t="shared" si="63"/>
        <v>0</v>
      </c>
      <c r="HA24" s="26">
        <f t="shared" si="63"/>
        <v>0</v>
      </c>
      <c r="HB24" s="26">
        <f t="shared" si="63"/>
        <v>0</v>
      </c>
      <c r="HC24" s="26">
        <f t="shared" si="63"/>
        <v>0</v>
      </c>
      <c r="HD24" s="26">
        <f t="shared" si="63"/>
        <v>0</v>
      </c>
      <c r="HE24" s="26">
        <f t="shared" si="63"/>
        <v>0</v>
      </c>
      <c r="HF24" s="26">
        <f t="shared" si="63"/>
        <v>0</v>
      </c>
      <c r="HG24" s="26">
        <f t="shared" si="63"/>
        <v>0</v>
      </c>
      <c r="HH24" s="26">
        <f t="shared" si="63"/>
        <v>0</v>
      </c>
      <c r="HI24" s="26">
        <f t="shared" si="63"/>
        <v>0</v>
      </c>
      <c r="HJ24" s="26">
        <f t="shared" si="63"/>
        <v>0</v>
      </c>
      <c r="HK24" s="26">
        <f t="shared" si="63"/>
        <v>0</v>
      </c>
      <c r="HL24" s="26">
        <f t="shared" si="63"/>
        <v>0</v>
      </c>
      <c r="HM24" s="26">
        <f t="shared" si="63"/>
        <v>0</v>
      </c>
      <c r="HN24" s="26">
        <f t="shared" si="63"/>
        <v>0</v>
      </c>
      <c r="HO24" s="26">
        <f t="shared" si="63"/>
        <v>0</v>
      </c>
      <c r="HP24" s="26">
        <f t="shared" si="63"/>
        <v>0</v>
      </c>
      <c r="HQ24" s="26">
        <f t="shared" si="63"/>
        <v>0</v>
      </c>
      <c r="HR24" s="26">
        <f t="shared" si="63"/>
        <v>0</v>
      </c>
      <c r="HS24" s="26">
        <f t="shared" si="63"/>
        <v>0</v>
      </c>
      <c r="HT24" s="26">
        <f t="shared" si="63"/>
        <v>0</v>
      </c>
      <c r="HU24" s="26">
        <f t="shared" si="63"/>
        <v>0</v>
      </c>
      <c r="HV24" s="26">
        <f t="shared" si="63"/>
        <v>0</v>
      </c>
      <c r="HW24" s="26">
        <f t="shared" si="63"/>
        <v>0</v>
      </c>
      <c r="HX24" s="26">
        <f t="shared" si="63"/>
        <v>0</v>
      </c>
      <c r="HY24" s="26">
        <f t="shared" si="63"/>
        <v>0</v>
      </c>
      <c r="HZ24" s="26">
        <f t="shared" si="63"/>
        <v>0</v>
      </c>
      <c r="IA24" s="26">
        <f t="shared" si="63"/>
        <v>0</v>
      </c>
      <c r="IB24" s="26">
        <f t="shared" si="63"/>
        <v>0</v>
      </c>
      <c r="IC24" s="26">
        <f t="shared" si="63"/>
        <v>0</v>
      </c>
      <c r="ID24" s="26">
        <f t="shared" si="63"/>
        <v>0</v>
      </c>
      <c r="IE24" s="26">
        <f t="shared" si="63"/>
        <v>0</v>
      </c>
      <c r="IF24" s="26">
        <f t="shared" si="63"/>
        <v>0</v>
      </c>
      <c r="IG24" s="26">
        <f t="shared" si="63"/>
        <v>0</v>
      </c>
      <c r="IH24" s="26">
        <f t="shared" si="63"/>
        <v>0</v>
      </c>
      <c r="II24" s="26">
        <f t="shared" si="63"/>
        <v>0</v>
      </c>
      <c r="IJ24" s="26">
        <f t="shared" si="63"/>
        <v>0</v>
      </c>
      <c r="IK24" s="26">
        <f t="shared" si="63"/>
        <v>0</v>
      </c>
      <c r="IL24" s="26">
        <f t="shared" si="63"/>
        <v>0</v>
      </c>
      <c r="IM24" s="26">
        <f t="shared" si="63"/>
        <v>0</v>
      </c>
      <c r="IN24" s="26">
        <f t="shared" si="63"/>
        <v>0</v>
      </c>
    </row>
    <row r="25" spans="2:248" x14ac:dyDescent="0.3">
      <c r="F25" s="22" t="s">
        <v>451</v>
      </c>
      <c r="G25" s="55">
        <f ca="1">H25</f>
        <v>0.43925233644859807</v>
      </c>
      <c r="H25" s="55">
        <f t="shared" ref="H25:BS25" ca="1" si="64">IF(H4&lt;$C$10,(H5/OFFSET(H5,0,-H4))^(1/H4),(H5/OFFSET(H5,0,-$C$10))^(1/$C$10))-1</f>
        <v>0.43925233644859807</v>
      </c>
      <c r="I25" s="55">
        <f t="shared" ca="1" si="64"/>
        <v>0.32199226601439279</v>
      </c>
      <c r="J25" s="55">
        <f t="shared" ca="1" si="64"/>
        <v>0.3322290961318255</v>
      </c>
      <c r="K25" s="55">
        <f t="shared" ca="1" si="64"/>
        <v>0.29400027687703489</v>
      </c>
      <c r="L25" s="55">
        <f t="shared" ca="1" si="64"/>
        <v>0.2739199362727387</v>
      </c>
      <c r="M25" s="55">
        <f t="shared" ca="1" si="64"/>
        <v>0.22911524453248044</v>
      </c>
      <c r="N25" s="55">
        <f t="shared" ca="1" si="64"/>
        <v>0.24661789739564544</v>
      </c>
      <c r="O25" s="55">
        <f t="shared" ca="1" si="64"/>
        <v>0.25093929874985577</v>
      </c>
      <c r="P25" s="55">
        <f t="shared" ca="1" si="64"/>
        <v>0.29768583396252413</v>
      </c>
      <c r="Q25" s="55">
        <f t="shared" ca="1" si="64"/>
        <v>0.29648131138297362</v>
      </c>
      <c r="R25" s="55">
        <f t="shared" ca="1" si="64"/>
        <v>0.278211578840591</v>
      </c>
      <c r="S25" s="55">
        <f t="shared" ca="1" si="64"/>
        <v>0.26876036963610472</v>
      </c>
      <c r="T25" s="55">
        <f t="shared" ca="1" si="64"/>
        <v>0.26424670212945167</v>
      </c>
      <c r="U25" s="55">
        <f t="shared" ca="1" si="64"/>
        <v>0.1786246719420399</v>
      </c>
      <c r="V25" s="55">
        <f t="shared" ca="1" si="64"/>
        <v>0.23441183506947327</v>
      </c>
      <c r="W25" s="55" t="e">
        <f t="shared" ca="1" si="64"/>
        <v>#N/A</v>
      </c>
      <c r="X25" s="55" t="e">
        <f t="shared" ca="1" si="64"/>
        <v>#N/A</v>
      </c>
      <c r="Y25" s="55" t="e">
        <f t="shared" ca="1" si="64"/>
        <v>#N/A</v>
      </c>
      <c r="Z25" s="55" t="e">
        <f t="shared" ca="1" si="64"/>
        <v>#N/A</v>
      </c>
      <c r="AA25" s="55" t="e">
        <f t="shared" ca="1" si="64"/>
        <v>#N/A</v>
      </c>
      <c r="AB25" s="55" t="e">
        <f t="shared" ca="1" si="64"/>
        <v>#N/A</v>
      </c>
      <c r="AC25" s="55" t="e">
        <f t="shared" ca="1" si="64"/>
        <v>#N/A</v>
      </c>
      <c r="AD25" s="55" t="e">
        <f t="shared" ca="1" si="64"/>
        <v>#N/A</v>
      </c>
      <c r="AE25" s="55" t="e">
        <f t="shared" ca="1" si="64"/>
        <v>#N/A</v>
      </c>
      <c r="AF25" s="55" t="e">
        <f t="shared" ca="1" si="64"/>
        <v>#N/A</v>
      </c>
      <c r="AG25" s="55" t="e">
        <f t="shared" ca="1" si="64"/>
        <v>#N/A</v>
      </c>
      <c r="AH25" s="55" t="e">
        <f t="shared" ca="1" si="64"/>
        <v>#N/A</v>
      </c>
      <c r="AI25" s="55" t="e">
        <f t="shared" ca="1" si="64"/>
        <v>#N/A</v>
      </c>
      <c r="AJ25" s="55" t="e">
        <f t="shared" ca="1" si="64"/>
        <v>#N/A</v>
      </c>
      <c r="AK25" s="55" t="e">
        <f t="shared" ca="1" si="64"/>
        <v>#N/A</v>
      </c>
      <c r="AL25" s="55" t="e">
        <f t="shared" ca="1" si="64"/>
        <v>#N/A</v>
      </c>
      <c r="AM25" s="55" t="e">
        <f t="shared" ca="1" si="64"/>
        <v>#N/A</v>
      </c>
      <c r="AN25" s="55" t="e">
        <f t="shared" ca="1" si="64"/>
        <v>#N/A</v>
      </c>
      <c r="AO25" s="55" t="e">
        <f t="shared" ca="1" si="64"/>
        <v>#N/A</v>
      </c>
      <c r="AP25" s="55" t="e">
        <f t="shared" ca="1" si="64"/>
        <v>#N/A</v>
      </c>
      <c r="AQ25" s="55" t="e">
        <f t="shared" ca="1" si="64"/>
        <v>#N/A</v>
      </c>
      <c r="AR25" s="55" t="e">
        <f t="shared" ca="1" si="64"/>
        <v>#N/A</v>
      </c>
      <c r="AS25" s="55" t="e">
        <f t="shared" ca="1" si="64"/>
        <v>#N/A</v>
      </c>
      <c r="AT25" s="55" t="e">
        <f t="shared" ca="1" si="64"/>
        <v>#N/A</v>
      </c>
      <c r="AU25" s="55" t="e">
        <f t="shared" ca="1" si="64"/>
        <v>#N/A</v>
      </c>
      <c r="AV25" s="55" t="e">
        <f t="shared" ca="1" si="64"/>
        <v>#N/A</v>
      </c>
      <c r="AW25" s="55" t="e">
        <f t="shared" ca="1" si="64"/>
        <v>#N/A</v>
      </c>
      <c r="AX25" s="55" t="e">
        <f t="shared" ca="1" si="64"/>
        <v>#N/A</v>
      </c>
      <c r="AY25" s="55" t="e">
        <f t="shared" ca="1" si="64"/>
        <v>#N/A</v>
      </c>
      <c r="AZ25" s="55" t="e">
        <f t="shared" ca="1" si="64"/>
        <v>#N/A</v>
      </c>
      <c r="BA25" s="55" t="e">
        <f t="shared" ca="1" si="64"/>
        <v>#N/A</v>
      </c>
      <c r="BB25" s="55" t="e">
        <f t="shared" ca="1" si="64"/>
        <v>#N/A</v>
      </c>
      <c r="BC25" s="55" t="e">
        <f t="shared" ca="1" si="64"/>
        <v>#N/A</v>
      </c>
      <c r="BD25" s="55" t="e">
        <f t="shared" ca="1" si="64"/>
        <v>#N/A</v>
      </c>
      <c r="BE25" s="55" t="e">
        <f t="shared" ca="1" si="64"/>
        <v>#N/A</v>
      </c>
      <c r="BF25" s="55" t="e">
        <f t="shared" ca="1" si="64"/>
        <v>#N/A</v>
      </c>
      <c r="BG25" s="55" t="e">
        <f t="shared" ca="1" si="64"/>
        <v>#N/A</v>
      </c>
      <c r="BH25" s="55" t="e">
        <f t="shared" ca="1" si="64"/>
        <v>#N/A</v>
      </c>
      <c r="BI25" s="55" t="e">
        <f t="shared" ca="1" si="64"/>
        <v>#N/A</v>
      </c>
      <c r="BJ25" s="55" t="e">
        <f t="shared" ca="1" si="64"/>
        <v>#N/A</v>
      </c>
      <c r="BK25" s="55" t="e">
        <f t="shared" ca="1" si="64"/>
        <v>#N/A</v>
      </c>
      <c r="BL25" s="55" t="e">
        <f t="shared" ca="1" si="64"/>
        <v>#N/A</v>
      </c>
      <c r="BM25" s="55" t="e">
        <f t="shared" ca="1" si="64"/>
        <v>#N/A</v>
      </c>
      <c r="BN25" s="55" t="e">
        <f t="shared" ca="1" si="64"/>
        <v>#N/A</v>
      </c>
      <c r="BO25" s="55" t="e">
        <f t="shared" ca="1" si="64"/>
        <v>#N/A</v>
      </c>
      <c r="BP25" s="55" t="e">
        <f t="shared" ca="1" si="64"/>
        <v>#N/A</v>
      </c>
      <c r="BQ25" s="55" t="e">
        <f t="shared" ca="1" si="64"/>
        <v>#N/A</v>
      </c>
      <c r="BR25" s="55" t="e">
        <f t="shared" ca="1" si="64"/>
        <v>#N/A</v>
      </c>
      <c r="BS25" s="55" t="e">
        <f t="shared" ca="1" si="64"/>
        <v>#N/A</v>
      </c>
      <c r="BT25" s="55" t="e">
        <f t="shared" ref="BT25:EE25" ca="1" si="65">IF(BT4&lt;$C$10,(BT5/OFFSET(BT5,0,-BT4))^(1/BT4),(BT5/OFFSET(BT5,0,-$C$10))^(1/$C$10))-1</f>
        <v>#N/A</v>
      </c>
      <c r="BU25" s="55" t="e">
        <f t="shared" ca="1" si="65"/>
        <v>#N/A</v>
      </c>
      <c r="BV25" s="55" t="e">
        <f t="shared" ca="1" si="65"/>
        <v>#N/A</v>
      </c>
      <c r="BW25" s="55" t="e">
        <f t="shared" ca="1" si="65"/>
        <v>#N/A</v>
      </c>
      <c r="BX25" s="55" t="e">
        <f t="shared" ca="1" si="65"/>
        <v>#N/A</v>
      </c>
      <c r="BY25" s="55" t="e">
        <f t="shared" ca="1" si="65"/>
        <v>#N/A</v>
      </c>
      <c r="BZ25" s="55" t="e">
        <f t="shared" ca="1" si="65"/>
        <v>#N/A</v>
      </c>
      <c r="CA25" s="55" t="e">
        <f t="shared" ca="1" si="65"/>
        <v>#N/A</v>
      </c>
      <c r="CB25" s="55" t="e">
        <f t="shared" ca="1" si="65"/>
        <v>#N/A</v>
      </c>
      <c r="CC25" s="55" t="e">
        <f t="shared" ca="1" si="65"/>
        <v>#N/A</v>
      </c>
      <c r="CD25" s="55" t="e">
        <f t="shared" ca="1" si="65"/>
        <v>#N/A</v>
      </c>
      <c r="CE25" s="55" t="e">
        <f t="shared" ca="1" si="65"/>
        <v>#N/A</v>
      </c>
      <c r="CF25" s="55" t="e">
        <f t="shared" ca="1" si="65"/>
        <v>#N/A</v>
      </c>
      <c r="CG25" s="55" t="e">
        <f t="shared" ca="1" si="65"/>
        <v>#N/A</v>
      </c>
      <c r="CH25" s="55" t="e">
        <f t="shared" ca="1" si="65"/>
        <v>#N/A</v>
      </c>
      <c r="CI25" s="55" t="e">
        <f t="shared" ca="1" si="65"/>
        <v>#N/A</v>
      </c>
      <c r="CJ25" s="55" t="e">
        <f t="shared" ca="1" si="65"/>
        <v>#N/A</v>
      </c>
      <c r="CK25" s="55" t="e">
        <f t="shared" ca="1" si="65"/>
        <v>#N/A</v>
      </c>
      <c r="CL25" s="55" t="e">
        <f t="shared" ca="1" si="65"/>
        <v>#N/A</v>
      </c>
      <c r="CM25" s="55" t="e">
        <f t="shared" ca="1" si="65"/>
        <v>#N/A</v>
      </c>
      <c r="CN25" s="55" t="e">
        <f t="shared" ca="1" si="65"/>
        <v>#N/A</v>
      </c>
      <c r="CO25" s="55" t="e">
        <f t="shared" ca="1" si="65"/>
        <v>#N/A</v>
      </c>
      <c r="CP25" s="55" t="e">
        <f t="shared" ca="1" si="65"/>
        <v>#N/A</v>
      </c>
      <c r="CQ25" s="55" t="e">
        <f t="shared" ca="1" si="65"/>
        <v>#N/A</v>
      </c>
      <c r="CR25" s="55" t="e">
        <f t="shared" ca="1" si="65"/>
        <v>#N/A</v>
      </c>
      <c r="CS25" s="55" t="e">
        <f t="shared" ca="1" si="65"/>
        <v>#N/A</v>
      </c>
      <c r="CT25" s="55" t="e">
        <f t="shared" ca="1" si="65"/>
        <v>#N/A</v>
      </c>
      <c r="CU25" s="55" t="e">
        <f t="shared" ca="1" si="65"/>
        <v>#N/A</v>
      </c>
      <c r="CV25" s="55" t="e">
        <f t="shared" ca="1" si="65"/>
        <v>#N/A</v>
      </c>
      <c r="CW25" s="55" t="e">
        <f t="shared" ca="1" si="65"/>
        <v>#N/A</v>
      </c>
      <c r="CX25" s="55" t="e">
        <f t="shared" ca="1" si="65"/>
        <v>#N/A</v>
      </c>
      <c r="CY25" s="55" t="e">
        <f t="shared" ca="1" si="65"/>
        <v>#N/A</v>
      </c>
      <c r="CZ25" s="55" t="e">
        <f t="shared" ca="1" si="65"/>
        <v>#N/A</v>
      </c>
      <c r="DA25" s="55" t="e">
        <f t="shared" ca="1" si="65"/>
        <v>#N/A</v>
      </c>
      <c r="DB25" s="55" t="e">
        <f t="shared" ca="1" si="65"/>
        <v>#N/A</v>
      </c>
      <c r="DC25" s="55" t="e">
        <f t="shared" ca="1" si="65"/>
        <v>#N/A</v>
      </c>
      <c r="DD25" s="55" t="e">
        <f t="shared" ca="1" si="65"/>
        <v>#N/A</v>
      </c>
      <c r="DE25" s="55" t="e">
        <f t="shared" ca="1" si="65"/>
        <v>#N/A</v>
      </c>
      <c r="DF25" s="55" t="e">
        <f t="shared" ca="1" si="65"/>
        <v>#N/A</v>
      </c>
      <c r="DG25" s="55" t="e">
        <f t="shared" ca="1" si="65"/>
        <v>#N/A</v>
      </c>
      <c r="DH25" s="55" t="e">
        <f t="shared" ca="1" si="65"/>
        <v>#N/A</v>
      </c>
      <c r="DI25" s="55" t="e">
        <f t="shared" ca="1" si="65"/>
        <v>#N/A</v>
      </c>
      <c r="DJ25" s="55" t="e">
        <f t="shared" ca="1" si="65"/>
        <v>#N/A</v>
      </c>
      <c r="DK25" s="55" t="e">
        <f t="shared" ca="1" si="65"/>
        <v>#N/A</v>
      </c>
      <c r="DL25" s="55" t="e">
        <f t="shared" ca="1" si="65"/>
        <v>#N/A</v>
      </c>
      <c r="DM25" s="55" t="e">
        <f t="shared" ca="1" si="65"/>
        <v>#N/A</v>
      </c>
      <c r="DN25" s="55" t="e">
        <f t="shared" ca="1" si="65"/>
        <v>#N/A</v>
      </c>
      <c r="DO25" s="55" t="e">
        <f t="shared" ca="1" si="65"/>
        <v>#N/A</v>
      </c>
      <c r="DP25" s="55" t="e">
        <f t="shared" ca="1" si="65"/>
        <v>#N/A</v>
      </c>
      <c r="DQ25" s="55" t="e">
        <f t="shared" ca="1" si="65"/>
        <v>#N/A</v>
      </c>
      <c r="DR25" s="55" t="e">
        <f t="shared" ca="1" si="65"/>
        <v>#N/A</v>
      </c>
      <c r="DS25" s="55" t="e">
        <f t="shared" ca="1" si="65"/>
        <v>#N/A</v>
      </c>
      <c r="DT25" s="55" t="e">
        <f t="shared" ca="1" si="65"/>
        <v>#N/A</v>
      </c>
      <c r="DU25" s="55" t="e">
        <f t="shared" ca="1" si="65"/>
        <v>#N/A</v>
      </c>
      <c r="DV25" s="55" t="e">
        <f t="shared" ca="1" si="65"/>
        <v>#N/A</v>
      </c>
      <c r="DW25" s="55" t="e">
        <f t="shared" ca="1" si="65"/>
        <v>#N/A</v>
      </c>
      <c r="DX25" s="55" t="e">
        <f t="shared" ca="1" si="65"/>
        <v>#N/A</v>
      </c>
      <c r="DY25" s="55" t="e">
        <f t="shared" ca="1" si="65"/>
        <v>#N/A</v>
      </c>
      <c r="DZ25" s="55" t="e">
        <f t="shared" ca="1" si="65"/>
        <v>#N/A</v>
      </c>
      <c r="EA25" s="55" t="e">
        <f t="shared" ca="1" si="65"/>
        <v>#N/A</v>
      </c>
      <c r="EB25" s="55" t="e">
        <f t="shared" ca="1" si="65"/>
        <v>#N/A</v>
      </c>
      <c r="EC25" s="55" t="e">
        <f t="shared" ca="1" si="65"/>
        <v>#N/A</v>
      </c>
      <c r="ED25" s="55" t="e">
        <f t="shared" ca="1" si="65"/>
        <v>#N/A</v>
      </c>
      <c r="EE25" s="55" t="e">
        <f t="shared" ca="1" si="65"/>
        <v>#N/A</v>
      </c>
      <c r="EF25" s="55" t="e">
        <f t="shared" ref="EF25:GQ25" ca="1" si="66">IF(EF4&lt;$C$10,(EF5/OFFSET(EF5,0,-EF4))^(1/EF4),(EF5/OFFSET(EF5,0,-$C$10))^(1/$C$10))-1</f>
        <v>#N/A</v>
      </c>
      <c r="EG25" s="55" t="e">
        <f t="shared" ca="1" si="66"/>
        <v>#N/A</v>
      </c>
      <c r="EH25" s="55" t="e">
        <f t="shared" ca="1" si="66"/>
        <v>#N/A</v>
      </c>
      <c r="EI25" s="55" t="e">
        <f t="shared" ca="1" si="66"/>
        <v>#N/A</v>
      </c>
      <c r="EJ25" s="55" t="e">
        <f t="shared" ca="1" si="66"/>
        <v>#N/A</v>
      </c>
      <c r="EK25" s="55" t="e">
        <f t="shared" ca="1" si="66"/>
        <v>#N/A</v>
      </c>
      <c r="EL25" s="55" t="e">
        <f t="shared" ca="1" si="66"/>
        <v>#N/A</v>
      </c>
      <c r="EM25" s="55" t="e">
        <f t="shared" ca="1" si="66"/>
        <v>#N/A</v>
      </c>
      <c r="EN25" s="55" t="e">
        <f t="shared" ca="1" si="66"/>
        <v>#N/A</v>
      </c>
      <c r="EO25" s="55" t="e">
        <f t="shared" ca="1" si="66"/>
        <v>#N/A</v>
      </c>
      <c r="EP25" s="55" t="e">
        <f t="shared" ca="1" si="66"/>
        <v>#N/A</v>
      </c>
      <c r="EQ25" s="55" t="e">
        <f t="shared" ca="1" si="66"/>
        <v>#N/A</v>
      </c>
      <c r="ER25" s="55" t="e">
        <f t="shared" ca="1" si="66"/>
        <v>#N/A</v>
      </c>
      <c r="ES25" s="55" t="e">
        <f t="shared" ca="1" si="66"/>
        <v>#N/A</v>
      </c>
      <c r="ET25" s="55" t="e">
        <f t="shared" ca="1" si="66"/>
        <v>#N/A</v>
      </c>
      <c r="EU25" s="55" t="e">
        <f t="shared" ca="1" si="66"/>
        <v>#N/A</v>
      </c>
      <c r="EV25" s="55" t="e">
        <f t="shared" ca="1" si="66"/>
        <v>#N/A</v>
      </c>
      <c r="EW25" s="55" t="e">
        <f t="shared" ca="1" si="66"/>
        <v>#N/A</v>
      </c>
      <c r="EX25" s="55" t="e">
        <f t="shared" ca="1" si="66"/>
        <v>#N/A</v>
      </c>
      <c r="EY25" s="55" t="e">
        <f t="shared" ca="1" si="66"/>
        <v>#N/A</v>
      </c>
      <c r="EZ25" s="55" t="e">
        <f t="shared" ca="1" si="66"/>
        <v>#N/A</v>
      </c>
      <c r="FA25" s="55" t="e">
        <f t="shared" ca="1" si="66"/>
        <v>#N/A</v>
      </c>
      <c r="FB25" s="55" t="e">
        <f t="shared" ca="1" si="66"/>
        <v>#N/A</v>
      </c>
      <c r="FC25" s="55" t="e">
        <f t="shared" ca="1" si="66"/>
        <v>#N/A</v>
      </c>
      <c r="FD25" s="55" t="e">
        <f t="shared" ca="1" si="66"/>
        <v>#N/A</v>
      </c>
      <c r="FE25" s="55" t="e">
        <f t="shared" ca="1" si="66"/>
        <v>#N/A</v>
      </c>
      <c r="FF25" s="55" t="e">
        <f t="shared" ca="1" si="66"/>
        <v>#N/A</v>
      </c>
      <c r="FG25" s="55" t="e">
        <f t="shared" ca="1" si="66"/>
        <v>#N/A</v>
      </c>
      <c r="FH25" s="55" t="e">
        <f t="shared" ca="1" si="66"/>
        <v>#N/A</v>
      </c>
      <c r="FI25" s="55" t="e">
        <f t="shared" ca="1" si="66"/>
        <v>#N/A</v>
      </c>
      <c r="FJ25" s="55" t="e">
        <f t="shared" ca="1" si="66"/>
        <v>#N/A</v>
      </c>
      <c r="FK25" s="55" t="e">
        <f t="shared" ca="1" si="66"/>
        <v>#N/A</v>
      </c>
      <c r="FL25" s="55" t="e">
        <f t="shared" ca="1" si="66"/>
        <v>#N/A</v>
      </c>
      <c r="FM25" s="55" t="e">
        <f t="shared" ca="1" si="66"/>
        <v>#N/A</v>
      </c>
      <c r="FN25" s="55" t="e">
        <f t="shared" ca="1" si="66"/>
        <v>#N/A</v>
      </c>
      <c r="FO25" s="55" t="e">
        <f t="shared" ca="1" si="66"/>
        <v>#N/A</v>
      </c>
      <c r="FP25" s="55" t="e">
        <f t="shared" ca="1" si="66"/>
        <v>#N/A</v>
      </c>
      <c r="FQ25" s="55" t="e">
        <f t="shared" ca="1" si="66"/>
        <v>#N/A</v>
      </c>
      <c r="FR25" s="55" t="e">
        <f t="shared" ca="1" si="66"/>
        <v>#N/A</v>
      </c>
      <c r="FS25" s="55" t="e">
        <f t="shared" ca="1" si="66"/>
        <v>#N/A</v>
      </c>
      <c r="FT25" s="55" t="e">
        <f t="shared" ca="1" si="66"/>
        <v>#N/A</v>
      </c>
      <c r="FU25" s="55" t="e">
        <f t="shared" ca="1" si="66"/>
        <v>#N/A</v>
      </c>
      <c r="FV25" s="55" t="e">
        <f t="shared" ca="1" si="66"/>
        <v>#N/A</v>
      </c>
      <c r="FW25" s="55" t="e">
        <f t="shared" ca="1" si="66"/>
        <v>#N/A</v>
      </c>
      <c r="FX25" s="55" t="e">
        <f t="shared" ca="1" si="66"/>
        <v>#N/A</v>
      </c>
      <c r="FY25" s="55" t="e">
        <f t="shared" ca="1" si="66"/>
        <v>#N/A</v>
      </c>
      <c r="FZ25" s="55" t="e">
        <f t="shared" ca="1" si="66"/>
        <v>#N/A</v>
      </c>
      <c r="GA25" s="55" t="e">
        <f t="shared" ca="1" si="66"/>
        <v>#N/A</v>
      </c>
      <c r="GB25" s="55" t="e">
        <f t="shared" ca="1" si="66"/>
        <v>#N/A</v>
      </c>
      <c r="GC25" s="55" t="e">
        <f t="shared" ca="1" si="66"/>
        <v>#N/A</v>
      </c>
      <c r="GD25" s="55" t="e">
        <f t="shared" ca="1" si="66"/>
        <v>#N/A</v>
      </c>
      <c r="GE25" s="55" t="e">
        <f t="shared" ca="1" si="66"/>
        <v>#N/A</v>
      </c>
      <c r="GF25" s="55" t="e">
        <f t="shared" ca="1" si="66"/>
        <v>#N/A</v>
      </c>
      <c r="GG25" s="55" t="e">
        <f t="shared" ca="1" si="66"/>
        <v>#N/A</v>
      </c>
      <c r="GH25" s="55" t="e">
        <f t="shared" ca="1" si="66"/>
        <v>#N/A</v>
      </c>
      <c r="GI25" s="55" t="e">
        <f t="shared" ca="1" si="66"/>
        <v>#N/A</v>
      </c>
      <c r="GJ25" s="55" t="e">
        <f t="shared" ca="1" si="66"/>
        <v>#N/A</v>
      </c>
      <c r="GK25" s="55" t="e">
        <f t="shared" ca="1" si="66"/>
        <v>#N/A</v>
      </c>
      <c r="GL25" s="55" t="e">
        <f t="shared" ca="1" si="66"/>
        <v>#N/A</v>
      </c>
      <c r="GM25" s="55" t="e">
        <f t="shared" ca="1" si="66"/>
        <v>#N/A</v>
      </c>
      <c r="GN25" s="55" t="e">
        <f t="shared" ca="1" si="66"/>
        <v>#N/A</v>
      </c>
      <c r="GO25" s="55" t="e">
        <f t="shared" ca="1" si="66"/>
        <v>#N/A</v>
      </c>
      <c r="GP25" s="55" t="e">
        <f t="shared" ca="1" si="66"/>
        <v>#N/A</v>
      </c>
      <c r="GQ25" s="55" t="e">
        <f t="shared" ca="1" si="66"/>
        <v>#N/A</v>
      </c>
      <c r="GR25" s="55" t="e">
        <f t="shared" ref="GR25:IN25" ca="1" si="67">IF(GR4&lt;$C$10,(GR5/OFFSET(GR5,0,-GR4))^(1/GR4),(GR5/OFFSET(GR5,0,-$C$10))^(1/$C$10))-1</f>
        <v>#N/A</v>
      </c>
      <c r="GS25" s="55" t="e">
        <f t="shared" ca="1" si="67"/>
        <v>#N/A</v>
      </c>
      <c r="GT25" s="55" t="e">
        <f t="shared" ca="1" si="67"/>
        <v>#N/A</v>
      </c>
      <c r="GU25" s="55" t="e">
        <f t="shared" ca="1" si="67"/>
        <v>#N/A</v>
      </c>
      <c r="GV25" s="55" t="e">
        <f t="shared" ca="1" si="67"/>
        <v>#N/A</v>
      </c>
      <c r="GW25" s="55" t="e">
        <f t="shared" ca="1" si="67"/>
        <v>#N/A</v>
      </c>
      <c r="GX25" s="55" t="e">
        <f t="shared" ca="1" si="67"/>
        <v>#N/A</v>
      </c>
      <c r="GY25" s="55" t="e">
        <f t="shared" ca="1" si="67"/>
        <v>#N/A</v>
      </c>
      <c r="GZ25" s="55" t="e">
        <f t="shared" ca="1" si="67"/>
        <v>#N/A</v>
      </c>
      <c r="HA25" s="55" t="e">
        <f t="shared" ca="1" si="67"/>
        <v>#N/A</v>
      </c>
      <c r="HB25" s="55" t="e">
        <f t="shared" ca="1" si="67"/>
        <v>#N/A</v>
      </c>
      <c r="HC25" s="55" t="e">
        <f t="shared" ca="1" si="67"/>
        <v>#N/A</v>
      </c>
      <c r="HD25" s="55" t="e">
        <f t="shared" ca="1" si="67"/>
        <v>#N/A</v>
      </c>
      <c r="HE25" s="55" t="e">
        <f t="shared" ca="1" si="67"/>
        <v>#N/A</v>
      </c>
      <c r="HF25" s="55" t="e">
        <f t="shared" ca="1" si="67"/>
        <v>#N/A</v>
      </c>
      <c r="HG25" s="55" t="e">
        <f t="shared" ca="1" si="67"/>
        <v>#N/A</v>
      </c>
      <c r="HH25" s="55" t="e">
        <f t="shared" ca="1" si="67"/>
        <v>#N/A</v>
      </c>
      <c r="HI25" s="55" t="e">
        <f t="shared" ca="1" si="67"/>
        <v>#N/A</v>
      </c>
      <c r="HJ25" s="55" t="e">
        <f t="shared" ca="1" si="67"/>
        <v>#N/A</v>
      </c>
      <c r="HK25" s="55" t="e">
        <f t="shared" ca="1" si="67"/>
        <v>#N/A</v>
      </c>
      <c r="HL25" s="55" t="e">
        <f t="shared" ca="1" si="67"/>
        <v>#N/A</v>
      </c>
      <c r="HM25" s="55" t="e">
        <f t="shared" ca="1" si="67"/>
        <v>#N/A</v>
      </c>
      <c r="HN25" s="55" t="e">
        <f t="shared" ca="1" si="67"/>
        <v>#N/A</v>
      </c>
      <c r="HO25" s="55" t="e">
        <f t="shared" ca="1" si="67"/>
        <v>#N/A</v>
      </c>
      <c r="HP25" s="55" t="e">
        <f t="shared" ca="1" si="67"/>
        <v>#N/A</v>
      </c>
      <c r="HQ25" s="55" t="e">
        <f t="shared" ca="1" si="67"/>
        <v>#N/A</v>
      </c>
      <c r="HR25" s="55" t="e">
        <f t="shared" ca="1" si="67"/>
        <v>#N/A</v>
      </c>
      <c r="HS25" s="55" t="e">
        <f t="shared" ca="1" si="67"/>
        <v>#N/A</v>
      </c>
      <c r="HT25" s="55" t="e">
        <f t="shared" ca="1" si="67"/>
        <v>#N/A</v>
      </c>
      <c r="HU25" s="55" t="e">
        <f t="shared" ca="1" si="67"/>
        <v>#N/A</v>
      </c>
      <c r="HV25" s="55" t="e">
        <f t="shared" ca="1" si="67"/>
        <v>#N/A</v>
      </c>
      <c r="HW25" s="55" t="e">
        <f t="shared" ca="1" si="67"/>
        <v>#N/A</v>
      </c>
      <c r="HX25" s="55" t="e">
        <f t="shared" ca="1" si="67"/>
        <v>#N/A</v>
      </c>
      <c r="HY25" s="55" t="e">
        <f t="shared" ca="1" si="67"/>
        <v>#N/A</v>
      </c>
      <c r="HZ25" s="55" t="e">
        <f t="shared" ca="1" si="67"/>
        <v>#N/A</v>
      </c>
      <c r="IA25" s="55" t="e">
        <f t="shared" ca="1" si="67"/>
        <v>#N/A</v>
      </c>
      <c r="IB25" s="55" t="e">
        <f t="shared" ca="1" si="67"/>
        <v>#N/A</v>
      </c>
      <c r="IC25" s="55" t="e">
        <f t="shared" ca="1" si="67"/>
        <v>#N/A</v>
      </c>
      <c r="ID25" s="55" t="e">
        <f t="shared" ca="1" si="67"/>
        <v>#N/A</v>
      </c>
      <c r="IE25" s="55" t="e">
        <f t="shared" ca="1" si="67"/>
        <v>#N/A</v>
      </c>
      <c r="IF25" s="55" t="e">
        <f t="shared" ca="1" si="67"/>
        <v>#N/A</v>
      </c>
      <c r="IG25" s="55" t="e">
        <f t="shared" ca="1" si="67"/>
        <v>#N/A</v>
      </c>
      <c r="IH25" s="55" t="e">
        <f t="shared" ca="1" si="67"/>
        <v>#N/A</v>
      </c>
      <c r="II25" s="55" t="e">
        <f t="shared" ca="1" si="67"/>
        <v>#N/A</v>
      </c>
      <c r="IJ25" s="55" t="e">
        <f t="shared" ca="1" si="67"/>
        <v>#N/A</v>
      </c>
      <c r="IK25" s="55" t="e">
        <f t="shared" ca="1" si="67"/>
        <v>#N/A</v>
      </c>
      <c r="IL25" s="55" t="e">
        <f t="shared" ca="1" si="67"/>
        <v>#N/A</v>
      </c>
      <c r="IM25" s="55" t="e">
        <f t="shared" ca="1" si="67"/>
        <v>#N/A</v>
      </c>
      <c r="IN25" s="55" t="e">
        <f t="shared" ca="1" si="67"/>
        <v>#N/A</v>
      </c>
    </row>
    <row r="26" spans="2:248" x14ac:dyDescent="0.3">
      <c r="B26" s="19" t="s">
        <v>426</v>
      </c>
      <c r="C26" s="21">
        <v>0</v>
      </c>
      <c r="D26" s="19">
        <v>0</v>
      </c>
      <c r="F26" s="22" t="s">
        <v>508</v>
      </c>
      <c r="G26" s="27">
        <f t="shared" ref="G26:BR26" ca="1" si="68">IF(G3=$C$24,1,-1000)</f>
        <v>-1000</v>
      </c>
      <c r="H26" s="27">
        <f t="shared" ca="1" si="68"/>
        <v>-1000</v>
      </c>
      <c r="I26" s="27">
        <f t="shared" ca="1" si="68"/>
        <v>-1000</v>
      </c>
      <c r="J26" s="27">
        <f t="shared" ca="1" si="68"/>
        <v>-1000</v>
      </c>
      <c r="K26" s="27">
        <f t="shared" ca="1" si="68"/>
        <v>-1000</v>
      </c>
      <c r="L26" s="27">
        <f t="shared" ca="1" si="68"/>
        <v>-1000</v>
      </c>
      <c r="M26" s="27">
        <f t="shared" ca="1" si="68"/>
        <v>-1000</v>
      </c>
      <c r="N26" s="27">
        <f t="shared" ca="1" si="68"/>
        <v>-1000</v>
      </c>
      <c r="O26" s="27">
        <f t="shared" ca="1" si="68"/>
        <v>-1000</v>
      </c>
      <c r="P26" s="27">
        <f t="shared" ca="1" si="68"/>
        <v>-1000</v>
      </c>
      <c r="Q26" s="27">
        <f t="shared" ca="1" si="68"/>
        <v>-1000</v>
      </c>
      <c r="R26" s="27">
        <f t="shared" ca="1" si="68"/>
        <v>-1000</v>
      </c>
      <c r="S26" s="27">
        <f t="shared" ca="1" si="68"/>
        <v>-1000</v>
      </c>
      <c r="T26" s="27">
        <f t="shared" ca="1" si="68"/>
        <v>-1000</v>
      </c>
      <c r="U26" s="27">
        <f t="shared" ca="1" si="68"/>
        <v>-1000</v>
      </c>
      <c r="V26" s="27">
        <f t="shared" ca="1" si="68"/>
        <v>1</v>
      </c>
      <c r="W26" s="27">
        <f t="shared" ca="1" si="68"/>
        <v>-1000</v>
      </c>
      <c r="X26" s="27">
        <f t="shared" ca="1" si="68"/>
        <v>-1000</v>
      </c>
      <c r="Y26" s="27">
        <f t="shared" ca="1" si="68"/>
        <v>-1000</v>
      </c>
      <c r="Z26" s="27">
        <f t="shared" ca="1" si="68"/>
        <v>-1000</v>
      </c>
      <c r="AA26" s="27">
        <f t="shared" ca="1" si="68"/>
        <v>-1000</v>
      </c>
      <c r="AB26" s="27">
        <f t="shared" ca="1" si="68"/>
        <v>-1000</v>
      </c>
      <c r="AC26" s="27">
        <f t="shared" ca="1" si="68"/>
        <v>-1000</v>
      </c>
      <c r="AD26" s="27">
        <f t="shared" ca="1" si="68"/>
        <v>-1000</v>
      </c>
      <c r="AE26" s="27">
        <f t="shared" ca="1" si="68"/>
        <v>-1000</v>
      </c>
      <c r="AF26" s="27">
        <f t="shared" ca="1" si="68"/>
        <v>-1000</v>
      </c>
      <c r="AG26" s="27">
        <f t="shared" ca="1" si="68"/>
        <v>-1000</v>
      </c>
      <c r="AH26" s="27">
        <f t="shared" ca="1" si="68"/>
        <v>-1000</v>
      </c>
      <c r="AI26" s="27">
        <f t="shared" ca="1" si="68"/>
        <v>-1000</v>
      </c>
      <c r="AJ26" s="27">
        <f t="shared" ca="1" si="68"/>
        <v>-1000</v>
      </c>
      <c r="AK26" s="27">
        <f t="shared" ca="1" si="68"/>
        <v>-1000</v>
      </c>
      <c r="AL26" s="27">
        <f t="shared" ca="1" si="68"/>
        <v>-1000</v>
      </c>
      <c r="AM26" s="27">
        <f t="shared" ca="1" si="68"/>
        <v>-1000</v>
      </c>
      <c r="AN26" s="27">
        <f t="shared" ca="1" si="68"/>
        <v>-1000</v>
      </c>
      <c r="AO26" s="27">
        <f t="shared" ca="1" si="68"/>
        <v>-1000</v>
      </c>
      <c r="AP26" s="27">
        <f t="shared" ca="1" si="68"/>
        <v>-1000</v>
      </c>
      <c r="AQ26" s="27">
        <f t="shared" ca="1" si="68"/>
        <v>-1000</v>
      </c>
      <c r="AR26" s="27">
        <f t="shared" ca="1" si="68"/>
        <v>-1000</v>
      </c>
      <c r="AS26" s="27">
        <f t="shared" ca="1" si="68"/>
        <v>-1000</v>
      </c>
      <c r="AT26" s="27">
        <f t="shared" ca="1" si="68"/>
        <v>-1000</v>
      </c>
      <c r="AU26" s="27">
        <f t="shared" ca="1" si="68"/>
        <v>-1000</v>
      </c>
      <c r="AV26" s="27">
        <f t="shared" ca="1" si="68"/>
        <v>-1000</v>
      </c>
      <c r="AW26" s="27">
        <f t="shared" ca="1" si="68"/>
        <v>-1000</v>
      </c>
      <c r="AX26" s="27">
        <f t="shared" ca="1" si="68"/>
        <v>-1000</v>
      </c>
      <c r="AY26" s="27">
        <f t="shared" ca="1" si="68"/>
        <v>-1000</v>
      </c>
      <c r="AZ26" s="27">
        <f t="shared" ca="1" si="68"/>
        <v>-1000</v>
      </c>
      <c r="BA26" s="27">
        <f t="shared" ca="1" si="68"/>
        <v>-1000</v>
      </c>
      <c r="BB26" s="27">
        <f t="shared" ca="1" si="68"/>
        <v>-1000</v>
      </c>
      <c r="BC26" s="27">
        <f t="shared" ca="1" si="68"/>
        <v>-1000</v>
      </c>
      <c r="BD26" s="27">
        <f t="shared" ca="1" si="68"/>
        <v>-1000</v>
      </c>
      <c r="BE26" s="27">
        <f t="shared" ca="1" si="68"/>
        <v>-1000</v>
      </c>
      <c r="BF26" s="27">
        <f t="shared" ca="1" si="68"/>
        <v>-1000</v>
      </c>
      <c r="BG26" s="27">
        <f t="shared" ca="1" si="68"/>
        <v>-1000</v>
      </c>
      <c r="BH26" s="27">
        <f t="shared" ca="1" si="68"/>
        <v>-1000</v>
      </c>
      <c r="BI26" s="27">
        <f t="shared" ca="1" si="68"/>
        <v>-1000</v>
      </c>
      <c r="BJ26" s="27">
        <f t="shared" ca="1" si="68"/>
        <v>-1000</v>
      </c>
      <c r="BK26" s="27">
        <f t="shared" ca="1" si="68"/>
        <v>-1000</v>
      </c>
      <c r="BL26" s="27">
        <f t="shared" ca="1" si="68"/>
        <v>-1000</v>
      </c>
      <c r="BM26" s="27">
        <f t="shared" ca="1" si="68"/>
        <v>-1000</v>
      </c>
      <c r="BN26" s="27">
        <f t="shared" ca="1" si="68"/>
        <v>-1000</v>
      </c>
      <c r="BO26" s="27">
        <f t="shared" ca="1" si="68"/>
        <v>-1000</v>
      </c>
      <c r="BP26" s="27">
        <f t="shared" ca="1" si="68"/>
        <v>-1000</v>
      </c>
      <c r="BQ26" s="27">
        <f t="shared" ca="1" si="68"/>
        <v>-1000</v>
      </c>
      <c r="BR26" s="27">
        <f t="shared" ca="1" si="68"/>
        <v>-1000</v>
      </c>
      <c r="BS26" s="27">
        <f t="shared" ref="BS26:ED26" ca="1" si="69">IF(BS3=$C$24,1,-1000)</f>
        <v>-1000</v>
      </c>
      <c r="BT26" s="27">
        <f t="shared" ca="1" si="69"/>
        <v>-1000</v>
      </c>
      <c r="BU26" s="27">
        <f t="shared" ca="1" si="69"/>
        <v>-1000</v>
      </c>
      <c r="BV26" s="27">
        <f t="shared" ca="1" si="69"/>
        <v>-1000</v>
      </c>
      <c r="BW26" s="27">
        <f t="shared" ca="1" si="69"/>
        <v>-1000</v>
      </c>
      <c r="BX26" s="27">
        <f t="shared" ca="1" si="69"/>
        <v>-1000</v>
      </c>
      <c r="BY26" s="27">
        <f t="shared" ca="1" si="69"/>
        <v>-1000</v>
      </c>
      <c r="BZ26" s="27">
        <f t="shared" ca="1" si="69"/>
        <v>-1000</v>
      </c>
      <c r="CA26" s="27">
        <f t="shared" ca="1" si="69"/>
        <v>-1000</v>
      </c>
      <c r="CB26" s="27">
        <f t="shared" ca="1" si="69"/>
        <v>-1000</v>
      </c>
      <c r="CC26" s="27">
        <f t="shared" ca="1" si="69"/>
        <v>-1000</v>
      </c>
      <c r="CD26" s="27">
        <f t="shared" ca="1" si="69"/>
        <v>-1000</v>
      </c>
      <c r="CE26" s="27">
        <f t="shared" ca="1" si="69"/>
        <v>-1000</v>
      </c>
      <c r="CF26" s="27">
        <f t="shared" ca="1" si="69"/>
        <v>-1000</v>
      </c>
      <c r="CG26" s="27">
        <f t="shared" ca="1" si="69"/>
        <v>-1000</v>
      </c>
      <c r="CH26" s="27">
        <f t="shared" ca="1" si="69"/>
        <v>-1000</v>
      </c>
      <c r="CI26" s="27">
        <f t="shared" ca="1" si="69"/>
        <v>-1000</v>
      </c>
      <c r="CJ26" s="27">
        <f t="shared" ca="1" si="69"/>
        <v>-1000</v>
      </c>
      <c r="CK26" s="27">
        <f t="shared" ca="1" si="69"/>
        <v>-1000</v>
      </c>
      <c r="CL26" s="27">
        <f t="shared" ca="1" si="69"/>
        <v>-1000</v>
      </c>
      <c r="CM26" s="27">
        <f t="shared" ca="1" si="69"/>
        <v>-1000</v>
      </c>
      <c r="CN26" s="27">
        <f t="shared" ca="1" si="69"/>
        <v>-1000</v>
      </c>
      <c r="CO26" s="27">
        <f t="shared" ca="1" si="69"/>
        <v>-1000</v>
      </c>
      <c r="CP26" s="27">
        <f t="shared" ca="1" si="69"/>
        <v>-1000</v>
      </c>
      <c r="CQ26" s="27">
        <f t="shared" ca="1" si="69"/>
        <v>-1000</v>
      </c>
      <c r="CR26" s="27">
        <f t="shared" ca="1" si="69"/>
        <v>-1000</v>
      </c>
      <c r="CS26" s="27">
        <f t="shared" ca="1" si="69"/>
        <v>-1000</v>
      </c>
      <c r="CT26" s="27">
        <f t="shared" ca="1" si="69"/>
        <v>-1000</v>
      </c>
      <c r="CU26" s="27">
        <f t="shared" ca="1" si="69"/>
        <v>-1000</v>
      </c>
      <c r="CV26" s="27">
        <f t="shared" ca="1" si="69"/>
        <v>-1000</v>
      </c>
      <c r="CW26" s="27">
        <f t="shared" ca="1" si="69"/>
        <v>-1000</v>
      </c>
      <c r="CX26" s="27">
        <f t="shared" ca="1" si="69"/>
        <v>-1000</v>
      </c>
      <c r="CY26" s="27">
        <f t="shared" ca="1" si="69"/>
        <v>-1000</v>
      </c>
      <c r="CZ26" s="27">
        <f t="shared" ca="1" si="69"/>
        <v>-1000</v>
      </c>
      <c r="DA26" s="27">
        <f t="shared" ca="1" si="69"/>
        <v>-1000</v>
      </c>
      <c r="DB26" s="27">
        <f t="shared" ca="1" si="69"/>
        <v>-1000</v>
      </c>
      <c r="DC26" s="27">
        <f t="shared" ca="1" si="69"/>
        <v>-1000</v>
      </c>
      <c r="DD26" s="27">
        <f t="shared" ca="1" si="69"/>
        <v>-1000</v>
      </c>
      <c r="DE26" s="27">
        <f t="shared" ca="1" si="69"/>
        <v>-1000</v>
      </c>
      <c r="DF26" s="27">
        <f t="shared" ca="1" si="69"/>
        <v>-1000</v>
      </c>
      <c r="DG26" s="27">
        <f t="shared" ca="1" si="69"/>
        <v>-1000</v>
      </c>
      <c r="DH26" s="27">
        <f t="shared" ca="1" si="69"/>
        <v>-1000</v>
      </c>
      <c r="DI26" s="27">
        <f t="shared" ca="1" si="69"/>
        <v>-1000</v>
      </c>
      <c r="DJ26" s="27">
        <f t="shared" ca="1" si="69"/>
        <v>-1000</v>
      </c>
      <c r="DK26" s="27">
        <f t="shared" ca="1" si="69"/>
        <v>-1000</v>
      </c>
      <c r="DL26" s="27">
        <f t="shared" ca="1" si="69"/>
        <v>-1000</v>
      </c>
      <c r="DM26" s="27">
        <f t="shared" ca="1" si="69"/>
        <v>-1000</v>
      </c>
      <c r="DN26" s="27">
        <f t="shared" ca="1" si="69"/>
        <v>-1000</v>
      </c>
      <c r="DO26" s="27">
        <f t="shared" ca="1" si="69"/>
        <v>-1000</v>
      </c>
      <c r="DP26" s="27">
        <f t="shared" ca="1" si="69"/>
        <v>-1000</v>
      </c>
      <c r="DQ26" s="27">
        <f t="shared" ca="1" si="69"/>
        <v>-1000</v>
      </c>
      <c r="DR26" s="27">
        <f t="shared" ca="1" si="69"/>
        <v>-1000</v>
      </c>
      <c r="DS26" s="27">
        <f t="shared" ca="1" si="69"/>
        <v>-1000</v>
      </c>
      <c r="DT26" s="27">
        <f t="shared" ca="1" si="69"/>
        <v>-1000</v>
      </c>
      <c r="DU26" s="27">
        <f t="shared" ca="1" si="69"/>
        <v>-1000</v>
      </c>
      <c r="DV26" s="27">
        <f t="shared" ca="1" si="69"/>
        <v>-1000</v>
      </c>
      <c r="DW26" s="27">
        <f t="shared" ca="1" si="69"/>
        <v>-1000</v>
      </c>
      <c r="DX26" s="27">
        <f t="shared" ca="1" si="69"/>
        <v>-1000</v>
      </c>
      <c r="DY26" s="27">
        <f t="shared" ca="1" si="69"/>
        <v>-1000</v>
      </c>
      <c r="DZ26" s="27">
        <f t="shared" ca="1" si="69"/>
        <v>-1000</v>
      </c>
      <c r="EA26" s="27">
        <f t="shared" ca="1" si="69"/>
        <v>-1000</v>
      </c>
      <c r="EB26" s="27">
        <f t="shared" ca="1" si="69"/>
        <v>-1000</v>
      </c>
      <c r="EC26" s="27">
        <f t="shared" ca="1" si="69"/>
        <v>-1000</v>
      </c>
      <c r="ED26" s="27">
        <f t="shared" ca="1" si="69"/>
        <v>-1000</v>
      </c>
      <c r="EE26" s="27">
        <f t="shared" ref="EE26:GP26" ca="1" si="70">IF(EE3=$C$24,1,-1000)</f>
        <v>-1000</v>
      </c>
      <c r="EF26" s="27">
        <f t="shared" ca="1" si="70"/>
        <v>-1000</v>
      </c>
      <c r="EG26" s="27">
        <f t="shared" ca="1" si="70"/>
        <v>-1000</v>
      </c>
      <c r="EH26" s="27">
        <f t="shared" ca="1" si="70"/>
        <v>-1000</v>
      </c>
      <c r="EI26" s="27">
        <f t="shared" ca="1" si="70"/>
        <v>-1000</v>
      </c>
      <c r="EJ26" s="27">
        <f t="shared" ca="1" si="70"/>
        <v>-1000</v>
      </c>
      <c r="EK26" s="27">
        <f t="shared" ca="1" si="70"/>
        <v>-1000</v>
      </c>
      <c r="EL26" s="27">
        <f t="shared" ca="1" si="70"/>
        <v>-1000</v>
      </c>
      <c r="EM26" s="27">
        <f t="shared" ca="1" si="70"/>
        <v>-1000</v>
      </c>
      <c r="EN26" s="27">
        <f t="shared" ca="1" si="70"/>
        <v>-1000</v>
      </c>
      <c r="EO26" s="27">
        <f t="shared" ca="1" si="70"/>
        <v>-1000</v>
      </c>
      <c r="EP26" s="27">
        <f t="shared" ca="1" si="70"/>
        <v>-1000</v>
      </c>
      <c r="EQ26" s="27">
        <f t="shared" ca="1" si="70"/>
        <v>-1000</v>
      </c>
      <c r="ER26" s="27">
        <f t="shared" ca="1" si="70"/>
        <v>-1000</v>
      </c>
      <c r="ES26" s="27">
        <f t="shared" ca="1" si="70"/>
        <v>-1000</v>
      </c>
      <c r="ET26" s="27">
        <f t="shared" ca="1" si="70"/>
        <v>-1000</v>
      </c>
      <c r="EU26" s="27">
        <f t="shared" ca="1" si="70"/>
        <v>-1000</v>
      </c>
      <c r="EV26" s="27">
        <f t="shared" ca="1" si="70"/>
        <v>-1000</v>
      </c>
      <c r="EW26" s="27">
        <f t="shared" ca="1" si="70"/>
        <v>-1000</v>
      </c>
      <c r="EX26" s="27">
        <f t="shared" ca="1" si="70"/>
        <v>-1000</v>
      </c>
      <c r="EY26" s="27">
        <f t="shared" ca="1" si="70"/>
        <v>-1000</v>
      </c>
      <c r="EZ26" s="27">
        <f t="shared" ca="1" si="70"/>
        <v>-1000</v>
      </c>
      <c r="FA26" s="27">
        <f t="shared" ca="1" si="70"/>
        <v>-1000</v>
      </c>
      <c r="FB26" s="27">
        <f t="shared" ca="1" si="70"/>
        <v>-1000</v>
      </c>
      <c r="FC26" s="27">
        <f t="shared" ca="1" si="70"/>
        <v>-1000</v>
      </c>
      <c r="FD26" s="27">
        <f t="shared" ca="1" si="70"/>
        <v>-1000</v>
      </c>
      <c r="FE26" s="27">
        <f t="shared" ca="1" si="70"/>
        <v>-1000</v>
      </c>
      <c r="FF26" s="27">
        <f t="shared" ca="1" si="70"/>
        <v>-1000</v>
      </c>
      <c r="FG26" s="27">
        <f t="shared" ca="1" si="70"/>
        <v>-1000</v>
      </c>
      <c r="FH26" s="27">
        <f t="shared" ca="1" si="70"/>
        <v>-1000</v>
      </c>
      <c r="FI26" s="27">
        <f t="shared" ca="1" si="70"/>
        <v>-1000</v>
      </c>
      <c r="FJ26" s="27">
        <f t="shared" ca="1" si="70"/>
        <v>-1000</v>
      </c>
      <c r="FK26" s="27">
        <f t="shared" ca="1" si="70"/>
        <v>-1000</v>
      </c>
      <c r="FL26" s="27">
        <f t="shared" ca="1" si="70"/>
        <v>-1000</v>
      </c>
      <c r="FM26" s="27">
        <f t="shared" ca="1" si="70"/>
        <v>-1000</v>
      </c>
      <c r="FN26" s="27">
        <f t="shared" ca="1" si="70"/>
        <v>-1000</v>
      </c>
      <c r="FO26" s="27">
        <f t="shared" ca="1" si="70"/>
        <v>-1000</v>
      </c>
      <c r="FP26" s="27">
        <f t="shared" ca="1" si="70"/>
        <v>-1000</v>
      </c>
      <c r="FQ26" s="27">
        <f t="shared" ca="1" si="70"/>
        <v>-1000</v>
      </c>
      <c r="FR26" s="27">
        <f t="shared" ca="1" si="70"/>
        <v>-1000</v>
      </c>
      <c r="FS26" s="27">
        <f t="shared" ca="1" si="70"/>
        <v>-1000</v>
      </c>
      <c r="FT26" s="27">
        <f t="shared" ca="1" si="70"/>
        <v>-1000</v>
      </c>
      <c r="FU26" s="27">
        <f t="shared" ca="1" si="70"/>
        <v>-1000</v>
      </c>
      <c r="FV26" s="27">
        <f t="shared" ca="1" si="70"/>
        <v>-1000</v>
      </c>
      <c r="FW26" s="27">
        <f t="shared" ca="1" si="70"/>
        <v>-1000</v>
      </c>
      <c r="FX26" s="27">
        <f t="shared" ca="1" si="70"/>
        <v>-1000</v>
      </c>
      <c r="FY26" s="27">
        <f t="shared" ca="1" si="70"/>
        <v>-1000</v>
      </c>
      <c r="FZ26" s="27">
        <f t="shared" ca="1" si="70"/>
        <v>-1000</v>
      </c>
      <c r="GA26" s="27">
        <f t="shared" ca="1" si="70"/>
        <v>-1000</v>
      </c>
      <c r="GB26" s="27">
        <f t="shared" ca="1" si="70"/>
        <v>-1000</v>
      </c>
      <c r="GC26" s="27">
        <f t="shared" ca="1" si="70"/>
        <v>-1000</v>
      </c>
      <c r="GD26" s="27">
        <f t="shared" ca="1" si="70"/>
        <v>-1000</v>
      </c>
      <c r="GE26" s="27">
        <f t="shared" ca="1" si="70"/>
        <v>-1000</v>
      </c>
      <c r="GF26" s="27">
        <f t="shared" ca="1" si="70"/>
        <v>-1000</v>
      </c>
      <c r="GG26" s="27">
        <f t="shared" ca="1" si="70"/>
        <v>-1000</v>
      </c>
      <c r="GH26" s="27">
        <f t="shared" ca="1" si="70"/>
        <v>-1000</v>
      </c>
      <c r="GI26" s="27">
        <f t="shared" ca="1" si="70"/>
        <v>-1000</v>
      </c>
      <c r="GJ26" s="27">
        <f t="shared" ca="1" si="70"/>
        <v>-1000</v>
      </c>
      <c r="GK26" s="27">
        <f t="shared" ca="1" si="70"/>
        <v>-1000</v>
      </c>
      <c r="GL26" s="27">
        <f t="shared" ca="1" si="70"/>
        <v>-1000</v>
      </c>
      <c r="GM26" s="27">
        <f t="shared" ca="1" si="70"/>
        <v>-1000</v>
      </c>
      <c r="GN26" s="27">
        <f t="shared" ca="1" si="70"/>
        <v>-1000</v>
      </c>
      <c r="GO26" s="27">
        <f t="shared" ca="1" si="70"/>
        <v>-1000</v>
      </c>
      <c r="GP26" s="27">
        <f t="shared" ca="1" si="70"/>
        <v>-1000</v>
      </c>
      <c r="GQ26" s="27">
        <f t="shared" ref="GQ26:IN26" ca="1" si="71">IF(GQ3=$C$24,1,-1000)</f>
        <v>-1000</v>
      </c>
      <c r="GR26" s="27">
        <f t="shared" ca="1" si="71"/>
        <v>-1000</v>
      </c>
      <c r="GS26" s="27">
        <f t="shared" ca="1" si="71"/>
        <v>-1000</v>
      </c>
      <c r="GT26" s="27">
        <f t="shared" ca="1" si="71"/>
        <v>-1000</v>
      </c>
      <c r="GU26" s="27">
        <f t="shared" ca="1" si="71"/>
        <v>-1000</v>
      </c>
      <c r="GV26" s="27">
        <f t="shared" ca="1" si="71"/>
        <v>-1000</v>
      </c>
      <c r="GW26" s="27">
        <f t="shared" ca="1" si="71"/>
        <v>-1000</v>
      </c>
      <c r="GX26" s="27">
        <f t="shared" ca="1" si="71"/>
        <v>-1000</v>
      </c>
      <c r="GY26" s="27">
        <f t="shared" ca="1" si="71"/>
        <v>-1000</v>
      </c>
      <c r="GZ26" s="27">
        <f t="shared" ca="1" si="71"/>
        <v>-1000</v>
      </c>
      <c r="HA26" s="27">
        <f t="shared" ca="1" si="71"/>
        <v>-1000</v>
      </c>
      <c r="HB26" s="27">
        <f t="shared" ca="1" si="71"/>
        <v>-1000</v>
      </c>
      <c r="HC26" s="27">
        <f t="shared" ca="1" si="71"/>
        <v>-1000</v>
      </c>
      <c r="HD26" s="27">
        <f t="shared" ca="1" si="71"/>
        <v>-1000</v>
      </c>
      <c r="HE26" s="27">
        <f t="shared" ca="1" si="71"/>
        <v>-1000</v>
      </c>
      <c r="HF26" s="27">
        <f t="shared" ca="1" si="71"/>
        <v>-1000</v>
      </c>
      <c r="HG26" s="27">
        <f t="shared" ca="1" si="71"/>
        <v>-1000</v>
      </c>
      <c r="HH26" s="27">
        <f t="shared" ca="1" si="71"/>
        <v>-1000</v>
      </c>
      <c r="HI26" s="27">
        <f t="shared" ca="1" si="71"/>
        <v>-1000</v>
      </c>
      <c r="HJ26" s="27">
        <f t="shared" ca="1" si="71"/>
        <v>-1000</v>
      </c>
      <c r="HK26" s="27">
        <f t="shared" ca="1" si="71"/>
        <v>-1000</v>
      </c>
      <c r="HL26" s="27">
        <f t="shared" ca="1" si="71"/>
        <v>-1000</v>
      </c>
      <c r="HM26" s="27">
        <f t="shared" ca="1" si="71"/>
        <v>-1000</v>
      </c>
      <c r="HN26" s="27">
        <f t="shared" ca="1" si="71"/>
        <v>-1000</v>
      </c>
      <c r="HO26" s="27">
        <f t="shared" ca="1" si="71"/>
        <v>-1000</v>
      </c>
      <c r="HP26" s="27">
        <f t="shared" ca="1" si="71"/>
        <v>-1000</v>
      </c>
      <c r="HQ26" s="27">
        <f t="shared" ca="1" si="71"/>
        <v>-1000</v>
      </c>
      <c r="HR26" s="27">
        <f t="shared" ca="1" si="71"/>
        <v>-1000</v>
      </c>
      <c r="HS26" s="27">
        <f t="shared" ca="1" si="71"/>
        <v>-1000</v>
      </c>
      <c r="HT26" s="27">
        <f t="shared" ca="1" si="71"/>
        <v>-1000</v>
      </c>
      <c r="HU26" s="27">
        <f t="shared" ca="1" si="71"/>
        <v>-1000</v>
      </c>
      <c r="HV26" s="27">
        <f t="shared" ca="1" si="71"/>
        <v>-1000</v>
      </c>
      <c r="HW26" s="27">
        <f t="shared" ca="1" si="71"/>
        <v>-1000</v>
      </c>
      <c r="HX26" s="27">
        <f t="shared" ca="1" si="71"/>
        <v>-1000</v>
      </c>
      <c r="HY26" s="27">
        <f t="shared" ca="1" si="71"/>
        <v>-1000</v>
      </c>
      <c r="HZ26" s="27">
        <f t="shared" ca="1" si="71"/>
        <v>-1000</v>
      </c>
      <c r="IA26" s="27">
        <f t="shared" ca="1" si="71"/>
        <v>-1000</v>
      </c>
      <c r="IB26" s="27">
        <f t="shared" ca="1" si="71"/>
        <v>-1000</v>
      </c>
      <c r="IC26" s="27">
        <f t="shared" ca="1" si="71"/>
        <v>-1000</v>
      </c>
      <c r="ID26" s="27">
        <f t="shared" ca="1" si="71"/>
        <v>-1000</v>
      </c>
      <c r="IE26" s="27">
        <f t="shared" ca="1" si="71"/>
        <v>-1000</v>
      </c>
      <c r="IF26" s="27">
        <f t="shared" ca="1" si="71"/>
        <v>-1000</v>
      </c>
      <c r="IG26" s="27">
        <f t="shared" ca="1" si="71"/>
        <v>-1000</v>
      </c>
      <c r="IH26" s="27">
        <f t="shared" ca="1" si="71"/>
        <v>-1000</v>
      </c>
      <c r="II26" s="27">
        <f t="shared" ca="1" si="71"/>
        <v>-1000</v>
      </c>
      <c r="IJ26" s="27">
        <f t="shared" ca="1" si="71"/>
        <v>-1000</v>
      </c>
      <c r="IK26" s="27">
        <f t="shared" ca="1" si="71"/>
        <v>-1000</v>
      </c>
      <c r="IL26" s="27">
        <f t="shared" ca="1" si="71"/>
        <v>-1000</v>
      </c>
      <c r="IM26" s="27">
        <f t="shared" ca="1" si="71"/>
        <v>-1000</v>
      </c>
      <c r="IN26" s="27">
        <f t="shared" ca="1" si="71"/>
        <v>-1000</v>
      </c>
    </row>
    <row r="27" spans="2:248" x14ac:dyDescent="0.3">
      <c r="B27" s="19" t="s">
        <v>427</v>
      </c>
      <c r="C27" s="21">
        <f>IF(C11&lt;0,MAX(G6:IN6)*1.1,_xlfn.MAXIFS(G5:IN5,G5:IN5,"&gt;"&amp;0)*3)</f>
        <v>11307</v>
      </c>
      <c r="D27" s="24">
        <f ca="1">_xlfn.MAXIFS(G18:IN18,G3:IN3,"&lt;"&amp;$D$31)*1.5</f>
        <v>6355.6633542880218</v>
      </c>
      <c r="F27" s="22" t="s">
        <v>506</v>
      </c>
      <c r="G27" s="27">
        <f t="shared" ref="G27:BR27" ca="1" si="72">IF(G26=1,-1000,IF(G3=$C$23,1,-1000))</f>
        <v>-1000</v>
      </c>
      <c r="H27" s="27">
        <f t="shared" ca="1" si="72"/>
        <v>-1000</v>
      </c>
      <c r="I27" s="27">
        <f t="shared" ca="1" si="72"/>
        <v>-1000</v>
      </c>
      <c r="J27" s="27">
        <f t="shared" ca="1" si="72"/>
        <v>-1000</v>
      </c>
      <c r="K27" s="27">
        <f t="shared" ca="1" si="72"/>
        <v>-1000</v>
      </c>
      <c r="L27" s="27">
        <f t="shared" ca="1" si="72"/>
        <v>-1000</v>
      </c>
      <c r="M27" s="27">
        <f t="shared" ca="1" si="72"/>
        <v>-1000</v>
      </c>
      <c r="N27" s="27">
        <f t="shared" ca="1" si="72"/>
        <v>-1000</v>
      </c>
      <c r="O27" s="27">
        <f t="shared" ca="1" si="72"/>
        <v>-1000</v>
      </c>
      <c r="P27" s="27">
        <f t="shared" ca="1" si="72"/>
        <v>1</v>
      </c>
      <c r="Q27" s="27">
        <f t="shared" ca="1" si="72"/>
        <v>-1000</v>
      </c>
      <c r="R27" s="27">
        <f t="shared" ca="1" si="72"/>
        <v>-1000</v>
      </c>
      <c r="S27" s="27">
        <f t="shared" ca="1" si="72"/>
        <v>-1000</v>
      </c>
      <c r="T27" s="27">
        <f t="shared" ca="1" si="72"/>
        <v>-1000</v>
      </c>
      <c r="U27" s="27">
        <f t="shared" ca="1" si="72"/>
        <v>-1000</v>
      </c>
      <c r="V27" s="27">
        <f t="shared" ca="1" si="72"/>
        <v>-1000</v>
      </c>
      <c r="W27" s="27">
        <f t="shared" ca="1" si="72"/>
        <v>-1000</v>
      </c>
      <c r="X27" s="27">
        <f t="shared" ca="1" si="72"/>
        <v>-1000</v>
      </c>
      <c r="Y27" s="27">
        <f t="shared" ca="1" si="72"/>
        <v>-1000</v>
      </c>
      <c r="Z27" s="27">
        <f t="shared" ca="1" si="72"/>
        <v>-1000</v>
      </c>
      <c r="AA27" s="27">
        <f t="shared" ca="1" si="72"/>
        <v>-1000</v>
      </c>
      <c r="AB27" s="27">
        <f t="shared" ca="1" si="72"/>
        <v>-1000</v>
      </c>
      <c r="AC27" s="27">
        <f t="shared" ca="1" si="72"/>
        <v>-1000</v>
      </c>
      <c r="AD27" s="27">
        <f t="shared" ca="1" si="72"/>
        <v>-1000</v>
      </c>
      <c r="AE27" s="27">
        <f t="shared" ca="1" si="72"/>
        <v>-1000</v>
      </c>
      <c r="AF27" s="27">
        <f t="shared" ca="1" si="72"/>
        <v>-1000</v>
      </c>
      <c r="AG27" s="27">
        <f t="shared" ca="1" si="72"/>
        <v>-1000</v>
      </c>
      <c r="AH27" s="27">
        <f t="shared" ca="1" si="72"/>
        <v>-1000</v>
      </c>
      <c r="AI27" s="27">
        <f t="shared" ca="1" si="72"/>
        <v>-1000</v>
      </c>
      <c r="AJ27" s="27">
        <f t="shared" ca="1" si="72"/>
        <v>-1000</v>
      </c>
      <c r="AK27" s="27">
        <f t="shared" ca="1" si="72"/>
        <v>-1000</v>
      </c>
      <c r="AL27" s="27">
        <f t="shared" ca="1" si="72"/>
        <v>-1000</v>
      </c>
      <c r="AM27" s="27">
        <f t="shared" ca="1" si="72"/>
        <v>-1000</v>
      </c>
      <c r="AN27" s="27">
        <f t="shared" ca="1" si="72"/>
        <v>-1000</v>
      </c>
      <c r="AO27" s="27">
        <f t="shared" ca="1" si="72"/>
        <v>-1000</v>
      </c>
      <c r="AP27" s="27">
        <f t="shared" ca="1" si="72"/>
        <v>-1000</v>
      </c>
      <c r="AQ27" s="27">
        <f t="shared" ca="1" si="72"/>
        <v>-1000</v>
      </c>
      <c r="AR27" s="27">
        <f t="shared" ca="1" si="72"/>
        <v>-1000</v>
      </c>
      <c r="AS27" s="27">
        <f t="shared" ca="1" si="72"/>
        <v>-1000</v>
      </c>
      <c r="AT27" s="27">
        <f t="shared" ca="1" si="72"/>
        <v>-1000</v>
      </c>
      <c r="AU27" s="27">
        <f t="shared" ca="1" si="72"/>
        <v>-1000</v>
      </c>
      <c r="AV27" s="27">
        <f t="shared" ca="1" si="72"/>
        <v>-1000</v>
      </c>
      <c r="AW27" s="27">
        <f t="shared" ca="1" si="72"/>
        <v>-1000</v>
      </c>
      <c r="AX27" s="27">
        <f t="shared" ca="1" si="72"/>
        <v>-1000</v>
      </c>
      <c r="AY27" s="27">
        <f t="shared" ca="1" si="72"/>
        <v>-1000</v>
      </c>
      <c r="AZ27" s="27">
        <f t="shared" ca="1" si="72"/>
        <v>-1000</v>
      </c>
      <c r="BA27" s="27">
        <f t="shared" ca="1" si="72"/>
        <v>-1000</v>
      </c>
      <c r="BB27" s="27">
        <f t="shared" ca="1" si="72"/>
        <v>-1000</v>
      </c>
      <c r="BC27" s="27">
        <f t="shared" ca="1" si="72"/>
        <v>-1000</v>
      </c>
      <c r="BD27" s="27">
        <f t="shared" ca="1" si="72"/>
        <v>-1000</v>
      </c>
      <c r="BE27" s="27">
        <f t="shared" ca="1" si="72"/>
        <v>-1000</v>
      </c>
      <c r="BF27" s="27">
        <f t="shared" ca="1" si="72"/>
        <v>-1000</v>
      </c>
      <c r="BG27" s="27">
        <f t="shared" ca="1" si="72"/>
        <v>-1000</v>
      </c>
      <c r="BH27" s="27">
        <f t="shared" ca="1" si="72"/>
        <v>-1000</v>
      </c>
      <c r="BI27" s="27">
        <f t="shared" ca="1" si="72"/>
        <v>-1000</v>
      </c>
      <c r="BJ27" s="27">
        <f t="shared" ca="1" si="72"/>
        <v>-1000</v>
      </c>
      <c r="BK27" s="27">
        <f t="shared" ca="1" si="72"/>
        <v>-1000</v>
      </c>
      <c r="BL27" s="27">
        <f t="shared" ca="1" si="72"/>
        <v>-1000</v>
      </c>
      <c r="BM27" s="27">
        <f t="shared" ca="1" si="72"/>
        <v>-1000</v>
      </c>
      <c r="BN27" s="27">
        <f t="shared" ca="1" si="72"/>
        <v>-1000</v>
      </c>
      <c r="BO27" s="27">
        <f t="shared" ca="1" si="72"/>
        <v>-1000</v>
      </c>
      <c r="BP27" s="27">
        <f t="shared" ca="1" si="72"/>
        <v>-1000</v>
      </c>
      <c r="BQ27" s="27">
        <f t="shared" ca="1" si="72"/>
        <v>-1000</v>
      </c>
      <c r="BR27" s="27">
        <f t="shared" ca="1" si="72"/>
        <v>-1000</v>
      </c>
      <c r="BS27" s="27">
        <f t="shared" ref="BS27:ED27" ca="1" si="73">IF(BS26=1,-1000,IF(BS3=$C$23,1,-1000))</f>
        <v>-1000</v>
      </c>
      <c r="BT27" s="27">
        <f t="shared" ca="1" si="73"/>
        <v>-1000</v>
      </c>
      <c r="BU27" s="27">
        <f t="shared" ca="1" si="73"/>
        <v>-1000</v>
      </c>
      <c r="BV27" s="27">
        <f t="shared" ca="1" si="73"/>
        <v>-1000</v>
      </c>
      <c r="BW27" s="27">
        <f t="shared" ca="1" si="73"/>
        <v>-1000</v>
      </c>
      <c r="BX27" s="27">
        <f t="shared" ca="1" si="73"/>
        <v>-1000</v>
      </c>
      <c r="BY27" s="27">
        <f t="shared" ca="1" si="73"/>
        <v>-1000</v>
      </c>
      <c r="BZ27" s="27">
        <f t="shared" ca="1" si="73"/>
        <v>-1000</v>
      </c>
      <c r="CA27" s="27">
        <f t="shared" ca="1" si="73"/>
        <v>-1000</v>
      </c>
      <c r="CB27" s="27">
        <f t="shared" ca="1" si="73"/>
        <v>-1000</v>
      </c>
      <c r="CC27" s="27">
        <f t="shared" ca="1" si="73"/>
        <v>-1000</v>
      </c>
      <c r="CD27" s="27">
        <f t="shared" ca="1" si="73"/>
        <v>-1000</v>
      </c>
      <c r="CE27" s="27">
        <f t="shared" ca="1" si="73"/>
        <v>-1000</v>
      </c>
      <c r="CF27" s="27">
        <f t="shared" ca="1" si="73"/>
        <v>-1000</v>
      </c>
      <c r="CG27" s="27">
        <f t="shared" ca="1" si="73"/>
        <v>-1000</v>
      </c>
      <c r="CH27" s="27">
        <f t="shared" ca="1" si="73"/>
        <v>-1000</v>
      </c>
      <c r="CI27" s="27">
        <f t="shared" ca="1" si="73"/>
        <v>-1000</v>
      </c>
      <c r="CJ27" s="27">
        <f t="shared" ca="1" si="73"/>
        <v>-1000</v>
      </c>
      <c r="CK27" s="27">
        <f t="shared" ca="1" si="73"/>
        <v>-1000</v>
      </c>
      <c r="CL27" s="27">
        <f t="shared" ca="1" si="73"/>
        <v>-1000</v>
      </c>
      <c r="CM27" s="27">
        <f t="shared" ca="1" si="73"/>
        <v>-1000</v>
      </c>
      <c r="CN27" s="27">
        <f t="shared" ca="1" si="73"/>
        <v>-1000</v>
      </c>
      <c r="CO27" s="27">
        <f t="shared" ca="1" si="73"/>
        <v>-1000</v>
      </c>
      <c r="CP27" s="27">
        <f t="shared" ca="1" si="73"/>
        <v>-1000</v>
      </c>
      <c r="CQ27" s="27">
        <f t="shared" ca="1" si="73"/>
        <v>-1000</v>
      </c>
      <c r="CR27" s="27">
        <f t="shared" ca="1" si="73"/>
        <v>-1000</v>
      </c>
      <c r="CS27" s="27">
        <f t="shared" ca="1" si="73"/>
        <v>-1000</v>
      </c>
      <c r="CT27" s="27">
        <f t="shared" ca="1" si="73"/>
        <v>-1000</v>
      </c>
      <c r="CU27" s="27">
        <f t="shared" ca="1" si="73"/>
        <v>-1000</v>
      </c>
      <c r="CV27" s="27">
        <f t="shared" ca="1" si="73"/>
        <v>-1000</v>
      </c>
      <c r="CW27" s="27">
        <f t="shared" ca="1" si="73"/>
        <v>-1000</v>
      </c>
      <c r="CX27" s="27">
        <f t="shared" ca="1" si="73"/>
        <v>-1000</v>
      </c>
      <c r="CY27" s="27">
        <f t="shared" ca="1" si="73"/>
        <v>-1000</v>
      </c>
      <c r="CZ27" s="27">
        <f t="shared" ca="1" si="73"/>
        <v>-1000</v>
      </c>
      <c r="DA27" s="27">
        <f t="shared" ca="1" si="73"/>
        <v>-1000</v>
      </c>
      <c r="DB27" s="27">
        <f t="shared" ca="1" si="73"/>
        <v>-1000</v>
      </c>
      <c r="DC27" s="27">
        <f t="shared" ca="1" si="73"/>
        <v>-1000</v>
      </c>
      <c r="DD27" s="27">
        <f t="shared" ca="1" si="73"/>
        <v>-1000</v>
      </c>
      <c r="DE27" s="27">
        <f t="shared" ca="1" si="73"/>
        <v>-1000</v>
      </c>
      <c r="DF27" s="27">
        <f t="shared" ca="1" si="73"/>
        <v>-1000</v>
      </c>
      <c r="DG27" s="27">
        <f t="shared" ca="1" si="73"/>
        <v>-1000</v>
      </c>
      <c r="DH27" s="27">
        <f t="shared" ca="1" si="73"/>
        <v>-1000</v>
      </c>
      <c r="DI27" s="27">
        <f t="shared" ca="1" si="73"/>
        <v>-1000</v>
      </c>
      <c r="DJ27" s="27">
        <f t="shared" ca="1" si="73"/>
        <v>-1000</v>
      </c>
      <c r="DK27" s="27">
        <f t="shared" ca="1" si="73"/>
        <v>-1000</v>
      </c>
      <c r="DL27" s="27">
        <f t="shared" ca="1" si="73"/>
        <v>-1000</v>
      </c>
      <c r="DM27" s="27">
        <f t="shared" ca="1" si="73"/>
        <v>-1000</v>
      </c>
      <c r="DN27" s="27">
        <f t="shared" ca="1" si="73"/>
        <v>-1000</v>
      </c>
      <c r="DO27" s="27">
        <f t="shared" ca="1" si="73"/>
        <v>-1000</v>
      </c>
      <c r="DP27" s="27">
        <f t="shared" ca="1" si="73"/>
        <v>-1000</v>
      </c>
      <c r="DQ27" s="27">
        <f t="shared" ca="1" si="73"/>
        <v>-1000</v>
      </c>
      <c r="DR27" s="27">
        <f t="shared" ca="1" si="73"/>
        <v>-1000</v>
      </c>
      <c r="DS27" s="27">
        <f t="shared" ca="1" si="73"/>
        <v>-1000</v>
      </c>
      <c r="DT27" s="27">
        <f t="shared" ca="1" si="73"/>
        <v>-1000</v>
      </c>
      <c r="DU27" s="27">
        <f t="shared" ca="1" si="73"/>
        <v>-1000</v>
      </c>
      <c r="DV27" s="27">
        <f t="shared" ca="1" si="73"/>
        <v>-1000</v>
      </c>
      <c r="DW27" s="27">
        <f t="shared" ca="1" si="73"/>
        <v>-1000</v>
      </c>
      <c r="DX27" s="27">
        <f t="shared" ca="1" si="73"/>
        <v>-1000</v>
      </c>
      <c r="DY27" s="27">
        <f t="shared" ca="1" si="73"/>
        <v>-1000</v>
      </c>
      <c r="DZ27" s="27">
        <f t="shared" ca="1" si="73"/>
        <v>-1000</v>
      </c>
      <c r="EA27" s="27">
        <f t="shared" ca="1" si="73"/>
        <v>-1000</v>
      </c>
      <c r="EB27" s="27">
        <f t="shared" ca="1" si="73"/>
        <v>-1000</v>
      </c>
      <c r="EC27" s="27">
        <f t="shared" ca="1" si="73"/>
        <v>-1000</v>
      </c>
      <c r="ED27" s="27">
        <f t="shared" ca="1" si="73"/>
        <v>-1000</v>
      </c>
      <c r="EE27" s="27">
        <f t="shared" ref="EE27:GP27" ca="1" si="74">IF(EE26=1,-1000,IF(EE3=$C$23,1,-1000))</f>
        <v>-1000</v>
      </c>
      <c r="EF27" s="27">
        <f t="shared" ca="1" si="74"/>
        <v>-1000</v>
      </c>
      <c r="EG27" s="27">
        <f t="shared" ca="1" si="74"/>
        <v>-1000</v>
      </c>
      <c r="EH27" s="27">
        <f t="shared" ca="1" si="74"/>
        <v>-1000</v>
      </c>
      <c r="EI27" s="27">
        <f t="shared" ca="1" si="74"/>
        <v>-1000</v>
      </c>
      <c r="EJ27" s="27">
        <f t="shared" ca="1" si="74"/>
        <v>-1000</v>
      </c>
      <c r="EK27" s="27">
        <f t="shared" ca="1" si="74"/>
        <v>-1000</v>
      </c>
      <c r="EL27" s="27">
        <f t="shared" ca="1" si="74"/>
        <v>-1000</v>
      </c>
      <c r="EM27" s="27">
        <f t="shared" ca="1" si="74"/>
        <v>-1000</v>
      </c>
      <c r="EN27" s="27">
        <f t="shared" ca="1" si="74"/>
        <v>-1000</v>
      </c>
      <c r="EO27" s="27">
        <f t="shared" ca="1" si="74"/>
        <v>-1000</v>
      </c>
      <c r="EP27" s="27">
        <f t="shared" ca="1" si="74"/>
        <v>-1000</v>
      </c>
      <c r="EQ27" s="27">
        <f t="shared" ca="1" si="74"/>
        <v>-1000</v>
      </c>
      <c r="ER27" s="27">
        <f t="shared" ca="1" si="74"/>
        <v>-1000</v>
      </c>
      <c r="ES27" s="27">
        <f t="shared" ca="1" si="74"/>
        <v>-1000</v>
      </c>
      <c r="ET27" s="27">
        <f t="shared" ca="1" si="74"/>
        <v>-1000</v>
      </c>
      <c r="EU27" s="27">
        <f t="shared" ca="1" si="74"/>
        <v>-1000</v>
      </c>
      <c r="EV27" s="27">
        <f t="shared" ca="1" si="74"/>
        <v>-1000</v>
      </c>
      <c r="EW27" s="27">
        <f t="shared" ca="1" si="74"/>
        <v>-1000</v>
      </c>
      <c r="EX27" s="27">
        <f t="shared" ca="1" si="74"/>
        <v>-1000</v>
      </c>
      <c r="EY27" s="27">
        <f t="shared" ca="1" si="74"/>
        <v>-1000</v>
      </c>
      <c r="EZ27" s="27">
        <f t="shared" ca="1" si="74"/>
        <v>-1000</v>
      </c>
      <c r="FA27" s="27">
        <f t="shared" ca="1" si="74"/>
        <v>-1000</v>
      </c>
      <c r="FB27" s="27">
        <f t="shared" ca="1" si="74"/>
        <v>-1000</v>
      </c>
      <c r="FC27" s="27">
        <f t="shared" ca="1" si="74"/>
        <v>-1000</v>
      </c>
      <c r="FD27" s="27">
        <f t="shared" ca="1" si="74"/>
        <v>-1000</v>
      </c>
      <c r="FE27" s="27">
        <f t="shared" ca="1" si="74"/>
        <v>-1000</v>
      </c>
      <c r="FF27" s="27">
        <f t="shared" ca="1" si="74"/>
        <v>-1000</v>
      </c>
      <c r="FG27" s="27">
        <f t="shared" ca="1" si="74"/>
        <v>-1000</v>
      </c>
      <c r="FH27" s="27">
        <f t="shared" ca="1" si="74"/>
        <v>-1000</v>
      </c>
      <c r="FI27" s="27">
        <f t="shared" ca="1" si="74"/>
        <v>-1000</v>
      </c>
      <c r="FJ27" s="27">
        <f t="shared" ca="1" si="74"/>
        <v>-1000</v>
      </c>
      <c r="FK27" s="27">
        <f t="shared" ca="1" si="74"/>
        <v>-1000</v>
      </c>
      <c r="FL27" s="27">
        <f t="shared" ca="1" si="74"/>
        <v>-1000</v>
      </c>
      <c r="FM27" s="27">
        <f t="shared" ca="1" si="74"/>
        <v>-1000</v>
      </c>
      <c r="FN27" s="27">
        <f t="shared" ca="1" si="74"/>
        <v>-1000</v>
      </c>
      <c r="FO27" s="27">
        <f t="shared" ca="1" si="74"/>
        <v>-1000</v>
      </c>
      <c r="FP27" s="27">
        <f t="shared" ca="1" si="74"/>
        <v>-1000</v>
      </c>
      <c r="FQ27" s="27">
        <f t="shared" ca="1" si="74"/>
        <v>-1000</v>
      </c>
      <c r="FR27" s="27">
        <f t="shared" ca="1" si="74"/>
        <v>-1000</v>
      </c>
      <c r="FS27" s="27">
        <f t="shared" ca="1" si="74"/>
        <v>-1000</v>
      </c>
      <c r="FT27" s="27">
        <f t="shared" ca="1" si="74"/>
        <v>-1000</v>
      </c>
      <c r="FU27" s="27">
        <f t="shared" ca="1" si="74"/>
        <v>-1000</v>
      </c>
      <c r="FV27" s="27">
        <f t="shared" ca="1" si="74"/>
        <v>-1000</v>
      </c>
      <c r="FW27" s="27">
        <f t="shared" ca="1" si="74"/>
        <v>-1000</v>
      </c>
      <c r="FX27" s="27">
        <f t="shared" ca="1" si="74"/>
        <v>-1000</v>
      </c>
      <c r="FY27" s="27">
        <f t="shared" ca="1" si="74"/>
        <v>-1000</v>
      </c>
      <c r="FZ27" s="27">
        <f t="shared" ca="1" si="74"/>
        <v>-1000</v>
      </c>
      <c r="GA27" s="27">
        <f t="shared" ca="1" si="74"/>
        <v>-1000</v>
      </c>
      <c r="GB27" s="27">
        <f t="shared" ca="1" si="74"/>
        <v>-1000</v>
      </c>
      <c r="GC27" s="27">
        <f t="shared" ca="1" si="74"/>
        <v>-1000</v>
      </c>
      <c r="GD27" s="27">
        <f t="shared" ca="1" si="74"/>
        <v>-1000</v>
      </c>
      <c r="GE27" s="27">
        <f t="shared" ca="1" si="74"/>
        <v>-1000</v>
      </c>
      <c r="GF27" s="27">
        <f t="shared" ca="1" si="74"/>
        <v>-1000</v>
      </c>
      <c r="GG27" s="27">
        <f t="shared" ca="1" si="74"/>
        <v>-1000</v>
      </c>
      <c r="GH27" s="27">
        <f t="shared" ca="1" si="74"/>
        <v>-1000</v>
      </c>
      <c r="GI27" s="27">
        <f t="shared" ca="1" si="74"/>
        <v>-1000</v>
      </c>
      <c r="GJ27" s="27">
        <f t="shared" ca="1" si="74"/>
        <v>-1000</v>
      </c>
      <c r="GK27" s="27">
        <f t="shared" ca="1" si="74"/>
        <v>-1000</v>
      </c>
      <c r="GL27" s="27">
        <f t="shared" ca="1" si="74"/>
        <v>-1000</v>
      </c>
      <c r="GM27" s="27">
        <f t="shared" ca="1" si="74"/>
        <v>-1000</v>
      </c>
      <c r="GN27" s="27">
        <f t="shared" ca="1" si="74"/>
        <v>-1000</v>
      </c>
      <c r="GO27" s="27">
        <f t="shared" ca="1" si="74"/>
        <v>-1000</v>
      </c>
      <c r="GP27" s="27">
        <f t="shared" ca="1" si="74"/>
        <v>-1000</v>
      </c>
      <c r="GQ27" s="27">
        <f t="shared" ref="GQ27:IN27" ca="1" si="75">IF(GQ26=1,-1000,IF(GQ3=$C$23,1,-1000))</f>
        <v>-1000</v>
      </c>
      <c r="GR27" s="27">
        <f t="shared" ca="1" si="75"/>
        <v>-1000</v>
      </c>
      <c r="GS27" s="27">
        <f t="shared" ca="1" si="75"/>
        <v>-1000</v>
      </c>
      <c r="GT27" s="27">
        <f t="shared" ca="1" si="75"/>
        <v>-1000</v>
      </c>
      <c r="GU27" s="27">
        <f t="shared" ca="1" si="75"/>
        <v>-1000</v>
      </c>
      <c r="GV27" s="27">
        <f t="shared" ca="1" si="75"/>
        <v>-1000</v>
      </c>
      <c r="GW27" s="27">
        <f t="shared" ca="1" si="75"/>
        <v>-1000</v>
      </c>
      <c r="GX27" s="27">
        <f t="shared" ca="1" si="75"/>
        <v>-1000</v>
      </c>
      <c r="GY27" s="27">
        <f t="shared" ca="1" si="75"/>
        <v>-1000</v>
      </c>
      <c r="GZ27" s="27">
        <f t="shared" ca="1" si="75"/>
        <v>-1000</v>
      </c>
      <c r="HA27" s="27">
        <f t="shared" ca="1" si="75"/>
        <v>-1000</v>
      </c>
      <c r="HB27" s="27">
        <f t="shared" ca="1" si="75"/>
        <v>-1000</v>
      </c>
      <c r="HC27" s="27">
        <f t="shared" ca="1" si="75"/>
        <v>-1000</v>
      </c>
      <c r="HD27" s="27">
        <f t="shared" ca="1" si="75"/>
        <v>-1000</v>
      </c>
      <c r="HE27" s="27">
        <f t="shared" ca="1" si="75"/>
        <v>-1000</v>
      </c>
      <c r="HF27" s="27">
        <f t="shared" ca="1" si="75"/>
        <v>-1000</v>
      </c>
      <c r="HG27" s="27">
        <f t="shared" ca="1" si="75"/>
        <v>-1000</v>
      </c>
      <c r="HH27" s="27">
        <f t="shared" ca="1" si="75"/>
        <v>-1000</v>
      </c>
      <c r="HI27" s="27">
        <f t="shared" ca="1" si="75"/>
        <v>-1000</v>
      </c>
      <c r="HJ27" s="27">
        <f t="shared" ca="1" si="75"/>
        <v>-1000</v>
      </c>
      <c r="HK27" s="27">
        <f t="shared" ca="1" si="75"/>
        <v>-1000</v>
      </c>
      <c r="HL27" s="27">
        <f t="shared" ca="1" si="75"/>
        <v>-1000</v>
      </c>
      <c r="HM27" s="27">
        <f t="shared" ca="1" si="75"/>
        <v>-1000</v>
      </c>
      <c r="HN27" s="27">
        <f t="shared" ca="1" si="75"/>
        <v>-1000</v>
      </c>
      <c r="HO27" s="27">
        <f t="shared" ca="1" si="75"/>
        <v>-1000</v>
      </c>
      <c r="HP27" s="27">
        <f t="shared" ca="1" si="75"/>
        <v>-1000</v>
      </c>
      <c r="HQ27" s="27">
        <f t="shared" ca="1" si="75"/>
        <v>-1000</v>
      </c>
      <c r="HR27" s="27">
        <f t="shared" ca="1" si="75"/>
        <v>-1000</v>
      </c>
      <c r="HS27" s="27">
        <f t="shared" ca="1" si="75"/>
        <v>-1000</v>
      </c>
      <c r="HT27" s="27">
        <f t="shared" ca="1" si="75"/>
        <v>-1000</v>
      </c>
      <c r="HU27" s="27">
        <f t="shared" ca="1" si="75"/>
        <v>-1000</v>
      </c>
      <c r="HV27" s="27">
        <f t="shared" ca="1" si="75"/>
        <v>-1000</v>
      </c>
      <c r="HW27" s="27">
        <f t="shared" ca="1" si="75"/>
        <v>-1000</v>
      </c>
      <c r="HX27" s="27">
        <f t="shared" ca="1" si="75"/>
        <v>-1000</v>
      </c>
      <c r="HY27" s="27">
        <f t="shared" ca="1" si="75"/>
        <v>-1000</v>
      </c>
      <c r="HZ27" s="27">
        <f t="shared" ca="1" si="75"/>
        <v>-1000</v>
      </c>
      <c r="IA27" s="27">
        <f t="shared" ca="1" si="75"/>
        <v>-1000</v>
      </c>
      <c r="IB27" s="27">
        <f t="shared" ca="1" si="75"/>
        <v>-1000</v>
      </c>
      <c r="IC27" s="27">
        <f t="shared" ca="1" si="75"/>
        <v>-1000</v>
      </c>
      <c r="ID27" s="27">
        <f t="shared" ca="1" si="75"/>
        <v>-1000</v>
      </c>
      <c r="IE27" s="27">
        <f t="shared" ca="1" si="75"/>
        <v>-1000</v>
      </c>
      <c r="IF27" s="27">
        <f t="shared" ca="1" si="75"/>
        <v>-1000</v>
      </c>
      <c r="IG27" s="27">
        <f t="shared" ca="1" si="75"/>
        <v>-1000</v>
      </c>
      <c r="IH27" s="27">
        <f t="shared" ca="1" si="75"/>
        <v>-1000</v>
      </c>
      <c r="II27" s="27">
        <f t="shared" ca="1" si="75"/>
        <v>-1000</v>
      </c>
      <c r="IJ27" s="27">
        <f t="shared" ca="1" si="75"/>
        <v>-1000</v>
      </c>
      <c r="IK27" s="27">
        <f t="shared" ca="1" si="75"/>
        <v>-1000</v>
      </c>
      <c r="IL27" s="27">
        <f t="shared" ca="1" si="75"/>
        <v>-1000</v>
      </c>
      <c r="IM27" s="27">
        <f t="shared" ca="1" si="75"/>
        <v>-1000</v>
      </c>
      <c r="IN27" s="27">
        <f t="shared" ca="1" si="75"/>
        <v>-1000</v>
      </c>
    </row>
    <row r="28" spans="2:248" x14ac:dyDescent="0.3"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</row>
    <row r="29" spans="2:248" ht="15" thickBot="1" x14ac:dyDescent="0.35">
      <c r="B29" s="19" t="s">
        <v>428</v>
      </c>
      <c r="C29" s="20">
        <f ca="1">G3</f>
        <v>43895</v>
      </c>
      <c r="D29" s="20">
        <f ca="1">G3</f>
        <v>43895</v>
      </c>
    </row>
    <row r="30" spans="2:248" ht="15" thickBot="1" x14ac:dyDescent="0.35">
      <c r="B30" s="19" t="s">
        <v>457</v>
      </c>
      <c r="C30" s="20">
        <f ca="1">MIN(IF(Projections!$Z$8="",xMin2+C5+5,xMin2+Projections!$Z$8+C5),MAX(3:3))</f>
        <v>43916</v>
      </c>
      <c r="D30" s="20">
        <f ca="1">IF(D31&lt;TODAY(),TODAY()+3+Projections!Z45,IFERROR(OFFSET(G24,-21,MATCH(1,G24:KU24,0))+3+Projections!Z45,xMax2+3+Projections!Z45))</f>
        <v>43926</v>
      </c>
      <c r="S30" s="18"/>
      <c r="T30" s="30"/>
      <c r="W30" s="28"/>
      <c r="X30" s="21"/>
      <c r="AI30" s="31"/>
      <c r="AJ30" s="32"/>
      <c r="AK30" s="33"/>
      <c r="AL30" s="32"/>
      <c r="AM30" s="32"/>
      <c r="AN30" s="33"/>
      <c r="AO30" s="33"/>
      <c r="AP30" s="34"/>
      <c r="AQ30" s="31"/>
    </row>
    <row r="31" spans="2:248" ht="15" thickBot="1" x14ac:dyDescent="0.35">
      <c r="C31" s="20"/>
      <c r="D31" s="20">
        <f ca="1">IFERROR(OFFSET(G24,-21,MATCH(1,G24:KU24,0))-1,"N/A")</f>
        <v>43922</v>
      </c>
      <c r="S31" s="18"/>
      <c r="T31" s="30"/>
      <c r="W31" s="28"/>
      <c r="X31" s="21"/>
      <c r="AI31" s="31"/>
      <c r="AJ31" s="32"/>
      <c r="AK31" s="33"/>
      <c r="AL31" s="32"/>
      <c r="AM31" s="32"/>
      <c r="AN31" s="33"/>
      <c r="AO31" s="33"/>
      <c r="AP31" s="34"/>
      <c r="AQ31" s="31"/>
    </row>
    <row r="32" spans="2:248" ht="15" thickBot="1" x14ac:dyDescent="0.35">
      <c r="B32" s="19" t="s">
        <v>547</v>
      </c>
      <c r="C32" s="19">
        <f>IF(Projections!Z32="",2.5,Projections!Z32)</f>
        <v>2.5</v>
      </c>
      <c r="S32" s="18"/>
      <c r="T32" s="30"/>
      <c r="W32" s="28"/>
      <c r="X32" s="21"/>
      <c r="AI32" s="31"/>
      <c r="AJ32" s="32"/>
      <c r="AK32" s="33"/>
      <c r="AL32" s="32"/>
      <c r="AM32" s="32"/>
      <c r="AN32" s="33"/>
      <c r="AO32" s="33"/>
      <c r="AP32" s="34"/>
      <c r="AQ32" s="31"/>
    </row>
    <row r="33" spans="2:43" ht="15" thickBot="1" x14ac:dyDescent="0.35">
      <c r="S33" s="18"/>
      <c r="T33" s="30"/>
      <c r="W33" s="28"/>
      <c r="X33" s="21"/>
      <c r="AI33" s="31"/>
      <c r="AJ33" s="32"/>
      <c r="AK33" s="33"/>
      <c r="AL33" s="32"/>
      <c r="AM33" s="32"/>
      <c r="AN33" s="33"/>
      <c r="AO33" s="33"/>
      <c r="AP33" s="34"/>
      <c r="AQ33" s="31"/>
    </row>
    <row r="34" spans="2:43" ht="15" thickBot="1" x14ac:dyDescent="0.35">
      <c r="B34" s="19" t="str">
        <f>B2&amp;" Covid-19 projections"</f>
        <v>United Kingdom Covid-19 projections</v>
      </c>
      <c r="S34" s="18"/>
      <c r="T34" s="30"/>
      <c r="W34" s="35"/>
      <c r="X34" s="21"/>
      <c r="AI34" s="31"/>
      <c r="AJ34" s="32"/>
      <c r="AK34" s="33"/>
      <c r="AL34" s="32"/>
      <c r="AM34" s="32"/>
      <c r="AN34" s="33"/>
      <c r="AO34" s="33"/>
      <c r="AP34" s="34"/>
      <c r="AQ34" s="31"/>
    </row>
    <row r="35" spans="2:43" ht="15" thickBot="1" x14ac:dyDescent="0.35">
      <c r="B35" s="19" t="str">
        <f>B2&amp;" critically ill projections "</f>
        <v xml:space="preserve">United Kingdom critically ill projections </v>
      </c>
      <c r="S35" s="18"/>
      <c r="T35" s="30"/>
      <c r="W35" s="28"/>
      <c r="X35" s="21"/>
      <c r="AI35" s="31"/>
      <c r="AJ35" s="32"/>
      <c r="AK35" s="33"/>
      <c r="AL35" s="32"/>
      <c r="AM35" s="32"/>
      <c r="AN35" s="33"/>
      <c r="AO35" s="33"/>
      <c r="AP35" s="34"/>
      <c r="AQ35" s="31"/>
    </row>
    <row r="36" spans="2:43" ht="15" thickBot="1" x14ac:dyDescent="0.35">
      <c r="S36" s="18"/>
      <c r="T36" s="30"/>
      <c r="W36" s="28"/>
      <c r="X36" s="21"/>
      <c r="AI36" s="31"/>
      <c r="AJ36" s="32"/>
      <c r="AK36" s="33"/>
      <c r="AL36" s="32"/>
      <c r="AM36" s="32"/>
      <c r="AN36" s="33"/>
      <c r="AO36" s="33"/>
      <c r="AP36" s="34"/>
      <c r="AQ36" s="31"/>
    </row>
    <row r="37" spans="2:43" ht="15" thickBot="1" x14ac:dyDescent="0.35">
      <c r="C37" s="20"/>
      <c r="S37" s="18"/>
      <c r="T37" s="30"/>
      <c r="W37" s="28"/>
      <c r="X37" s="21"/>
      <c r="AI37" s="31"/>
      <c r="AJ37" s="32"/>
      <c r="AK37" s="32"/>
      <c r="AL37" s="32"/>
      <c r="AM37" s="32"/>
      <c r="AN37" s="33"/>
      <c r="AO37" s="33"/>
      <c r="AP37" s="34"/>
      <c r="AQ37" s="31"/>
    </row>
    <row r="38" spans="2:43" ht="15" thickBot="1" x14ac:dyDescent="0.35">
      <c r="S38" s="18"/>
      <c r="T38" s="30"/>
      <c r="W38" s="28"/>
      <c r="X38" s="21"/>
      <c r="AI38" s="31"/>
      <c r="AJ38" s="32"/>
      <c r="AK38" s="33"/>
      <c r="AL38" s="32"/>
      <c r="AM38" s="32"/>
      <c r="AN38" s="33"/>
      <c r="AO38" s="33"/>
      <c r="AP38" s="34"/>
      <c r="AQ38" s="31"/>
    </row>
    <row r="39" spans="2:43" ht="15" thickBot="1" x14ac:dyDescent="0.35">
      <c r="B39" s="21"/>
      <c r="S39" s="18"/>
      <c r="T39" s="30"/>
      <c r="W39" s="28"/>
      <c r="X39" s="21"/>
      <c r="AI39" s="31"/>
      <c r="AJ39" s="32"/>
      <c r="AK39" s="33"/>
      <c r="AL39" s="32"/>
      <c r="AM39" s="32"/>
      <c r="AN39" s="33"/>
      <c r="AO39" s="33"/>
      <c r="AP39" s="34"/>
      <c r="AQ39" s="31"/>
    </row>
    <row r="40" spans="2:43" ht="15" thickBot="1" x14ac:dyDescent="0.35">
      <c r="B40" s="24"/>
      <c r="S40" s="18"/>
      <c r="T40" s="30"/>
      <c r="AI40" s="31"/>
      <c r="AJ40" s="32"/>
      <c r="AK40" s="33"/>
      <c r="AL40" s="32"/>
      <c r="AM40" s="32"/>
      <c r="AN40" s="33"/>
      <c r="AO40" s="33"/>
      <c r="AP40" s="34"/>
      <c r="AQ40" s="31"/>
    </row>
    <row r="41" spans="2:43" ht="15" thickBot="1" x14ac:dyDescent="0.35">
      <c r="B41" s="24"/>
      <c r="S41" s="18"/>
      <c r="T41" s="30"/>
      <c r="AI41" s="31"/>
      <c r="AJ41" s="32"/>
      <c r="AK41" s="33"/>
      <c r="AL41" s="32"/>
      <c r="AM41" s="32"/>
      <c r="AN41" s="33"/>
      <c r="AO41" s="33"/>
      <c r="AP41" s="34"/>
      <c r="AQ41" s="31"/>
    </row>
    <row r="42" spans="2:43" ht="15" thickBot="1" x14ac:dyDescent="0.35">
      <c r="S42" s="18"/>
      <c r="T42" s="30"/>
      <c r="AI42" s="31"/>
      <c r="AJ42" s="32"/>
      <c r="AK42" s="33"/>
      <c r="AL42" s="32"/>
      <c r="AM42" s="32"/>
      <c r="AN42" s="33"/>
      <c r="AO42" s="33"/>
      <c r="AP42" s="34"/>
      <c r="AQ42" s="31"/>
    </row>
    <row r="43" spans="2:43" ht="15" thickBot="1" x14ac:dyDescent="0.35">
      <c r="S43" s="18"/>
      <c r="T43" s="30"/>
      <c r="AI43" s="31"/>
      <c r="AJ43" s="32"/>
      <c r="AK43" s="33"/>
      <c r="AL43" s="32"/>
      <c r="AM43" s="32"/>
      <c r="AN43" s="33"/>
      <c r="AO43" s="33"/>
      <c r="AP43" s="34"/>
      <c r="AQ43" s="31"/>
    </row>
    <row r="44" spans="2:43" ht="15" thickBot="1" x14ac:dyDescent="0.35">
      <c r="S44" s="18"/>
      <c r="T44" s="30"/>
      <c r="AI44" s="31"/>
      <c r="AJ44" s="32"/>
      <c r="AK44" s="33"/>
      <c r="AL44" s="32"/>
      <c r="AM44" s="32"/>
      <c r="AN44" s="33"/>
      <c r="AO44" s="33"/>
      <c r="AP44" s="34"/>
      <c r="AQ44" s="31"/>
    </row>
    <row r="45" spans="2:43" ht="15" thickBot="1" x14ac:dyDescent="0.35">
      <c r="S45" s="18"/>
      <c r="T45" s="30"/>
      <c r="AI45" s="31"/>
      <c r="AJ45" s="32"/>
      <c r="AK45" s="33"/>
      <c r="AL45" s="32"/>
      <c r="AM45" s="32"/>
      <c r="AN45" s="33"/>
      <c r="AO45" s="33"/>
      <c r="AP45" s="34"/>
      <c r="AQ45" s="31"/>
    </row>
    <row r="46" spans="2:43" ht="15" thickBot="1" x14ac:dyDescent="0.35">
      <c r="S46" s="18"/>
      <c r="T46" s="30"/>
      <c r="AI46" s="31"/>
      <c r="AJ46" s="32"/>
      <c r="AK46" s="33"/>
      <c r="AL46" s="32"/>
      <c r="AM46" s="32"/>
      <c r="AN46" s="33"/>
      <c r="AO46" s="33"/>
      <c r="AP46" s="34"/>
      <c r="AQ46" s="31"/>
    </row>
    <row r="47" spans="2:43" ht="15" thickBot="1" x14ac:dyDescent="0.35">
      <c r="S47" s="18"/>
      <c r="T47" s="30"/>
      <c r="AI47" s="31"/>
      <c r="AJ47" s="32"/>
      <c r="AK47" s="33"/>
      <c r="AL47" s="32"/>
      <c r="AM47" s="32"/>
      <c r="AN47" s="33"/>
      <c r="AO47" s="33"/>
      <c r="AP47" s="34"/>
      <c r="AQ47" s="31"/>
    </row>
    <row r="48" spans="2:43" ht="15" thickBot="1" x14ac:dyDescent="0.35">
      <c r="S48" s="18"/>
      <c r="T48" s="30"/>
      <c r="AI48" s="31"/>
      <c r="AJ48" s="32"/>
      <c r="AK48" s="33"/>
      <c r="AL48" s="32"/>
      <c r="AM48" s="32"/>
      <c r="AN48" s="33"/>
      <c r="AO48" s="33"/>
      <c r="AP48" s="34"/>
      <c r="AQ48" s="31"/>
    </row>
    <row r="49" spans="14:43" ht="15" thickBot="1" x14ac:dyDescent="0.35">
      <c r="S49" s="18"/>
      <c r="T49" s="30"/>
      <c r="AI49" s="31"/>
      <c r="AJ49" s="32"/>
      <c r="AK49" s="33"/>
      <c r="AL49" s="32"/>
      <c r="AM49" s="32"/>
      <c r="AN49" s="33"/>
      <c r="AO49" s="33"/>
      <c r="AP49" s="34"/>
      <c r="AQ49" s="31"/>
    </row>
    <row r="50" spans="14:43" ht="15" thickBot="1" x14ac:dyDescent="0.35">
      <c r="S50" s="18"/>
      <c r="T50" s="30"/>
      <c r="AI50" s="31"/>
      <c r="AJ50" s="32"/>
      <c r="AK50" s="33"/>
      <c r="AL50" s="32"/>
      <c r="AM50" s="32"/>
      <c r="AN50" s="33"/>
      <c r="AO50" s="33"/>
      <c r="AP50" s="34"/>
      <c r="AQ50" s="31"/>
    </row>
    <row r="51" spans="14:43" ht="15" thickBot="1" x14ac:dyDescent="0.35">
      <c r="S51" s="18"/>
      <c r="T51" s="30"/>
      <c r="AI51" s="31"/>
      <c r="AJ51" s="32"/>
      <c r="AK51" s="33"/>
      <c r="AL51" s="32"/>
      <c r="AM51" s="32"/>
      <c r="AN51" s="33"/>
      <c r="AO51" s="33"/>
      <c r="AP51" s="34"/>
      <c r="AQ51" s="31"/>
    </row>
    <row r="52" spans="14:43" ht="15" thickBot="1" x14ac:dyDescent="0.35">
      <c r="S52" s="18"/>
      <c r="T52" s="30"/>
      <c r="AI52" s="31"/>
      <c r="AJ52" s="32"/>
      <c r="AK52" s="33"/>
      <c r="AL52" s="32"/>
      <c r="AM52" s="32"/>
      <c r="AN52" s="33"/>
      <c r="AO52" s="33"/>
      <c r="AP52" s="34"/>
      <c r="AQ52" s="31"/>
    </row>
    <row r="53" spans="14:43" ht="15" thickBot="1" x14ac:dyDescent="0.35">
      <c r="S53" s="18"/>
      <c r="T53" s="30"/>
      <c r="AI53" s="31"/>
      <c r="AJ53" s="32"/>
      <c r="AK53" s="33"/>
      <c r="AL53" s="32"/>
      <c r="AM53" s="32"/>
      <c r="AN53" s="33"/>
      <c r="AO53" s="33"/>
      <c r="AP53" s="34"/>
      <c r="AQ53" s="31"/>
    </row>
    <row r="54" spans="14:43" ht="15" thickBot="1" x14ac:dyDescent="0.35">
      <c r="S54" s="18"/>
      <c r="T54" s="30"/>
      <c r="AI54" s="31"/>
      <c r="AJ54" s="32"/>
      <c r="AK54" s="33"/>
      <c r="AL54" s="32"/>
      <c r="AM54" s="32"/>
      <c r="AN54" s="33"/>
      <c r="AO54" s="33"/>
      <c r="AP54" s="34"/>
      <c r="AQ54" s="31"/>
    </row>
    <row r="55" spans="14:43" ht="15" thickBot="1" x14ac:dyDescent="0.35">
      <c r="S55" s="18"/>
      <c r="T55" s="30"/>
      <c r="AI55" s="31"/>
      <c r="AJ55" s="32"/>
      <c r="AK55" s="33"/>
      <c r="AL55" s="32"/>
      <c r="AM55" s="32"/>
      <c r="AN55" s="33"/>
      <c r="AO55" s="33"/>
      <c r="AP55" s="34"/>
      <c r="AQ55" s="31"/>
    </row>
    <row r="56" spans="14:43" ht="15" thickBot="1" x14ac:dyDescent="0.35">
      <c r="S56" s="18"/>
      <c r="T56" s="30"/>
      <c r="AI56" s="31"/>
      <c r="AJ56" s="32"/>
      <c r="AK56" s="33"/>
      <c r="AL56" s="32"/>
      <c r="AM56" s="32"/>
      <c r="AN56" s="33"/>
      <c r="AO56" s="33"/>
      <c r="AP56" s="34"/>
      <c r="AQ56" s="31"/>
    </row>
    <row r="57" spans="14:43" ht="15" thickBot="1" x14ac:dyDescent="0.35">
      <c r="S57" s="18"/>
      <c r="T57" s="30"/>
      <c r="AI57" s="31"/>
      <c r="AJ57" s="32"/>
      <c r="AK57" s="33"/>
      <c r="AL57" s="32"/>
      <c r="AM57" s="32"/>
      <c r="AN57" s="33"/>
      <c r="AO57" s="33"/>
      <c r="AP57" s="34"/>
      <c r="AQ57" s="31"/>
    </row>
    <row r="58" spans="14:43" ht="15" thickBot="1" x14ac:dyDescent="0.35">
      <c r="S58" s="18"/>
      <c r="T58" s="30"/>
      <c r="AI58" s="31"/>
      <c r="AJ58" s="32"/>
      <c r="AK58" s="33"/>
      <c r="AL58" s="32"/>
      <c r="AM58" s="32"/>
      <c r="AN58" s="33"/>
      <c r="AO58" s="33"/>
      <c r="AP58" s="34"/>
      <c r="AQ58" s="31"/>
    </row>
    <row r="59" spans="14:43" ht="15" thickBot="1" x14ac:dyDescent="0.35">
      <c r="S59" s="18"/>
      <c r="T59" s="30"/>
      <c r="AI59" s="31"/>
      <c r="AJ59" s="32"/>
      <c r="AK59" s="33"/>
      <c r="AL59" s="32"/>
      <c r="AM59" s="32"/>
      <c r="AN59" s="33"/>
      <c r="AO59" s="33"/>
      <c r="AP59" s="34"/>
      <c r="AQ59" s="31"/>
    </row>
    <row r="60" spans="14:43" ht="15" thickBot="1" x14ac:dyDescent="0.35">
      <c r="S60" s="18"/>
      <c r="T60" s="30"/>
      <c r="AI60" s="31"/>
      <c r="AJ60" s="32"/>
      <c r="AK60" s="33"/>
      <c r="AL60" s="32"/>
      <c r="AM60" s="32"/>
      <c r="AN60" s="33"/>
      <c r="AO60" s="33"/>
      <c r="AP60" s="34"/>
      <c r="AQ60" s="31"/>
    </row>
    <row r="61" spans="14:43" ht="15" thickBot="1" x14ac:dyDescent="0.35">
      <c r="S61" s="18"/>
      <c r="T61" s="30"/>
      <c r="AI61" s="31"/>
      <c r="AJ61" s="32"/>
      <c r="AK61" s="33"/>
      <c r="AL61" s="32"/>
      <c r="AM61" s="32"/>
      <c r="AN61" s="33"/>
      <c r="AO61" s="33"/>
      <c r="AP61" s="34"/>
      <c r="AQ61" s="31"/>
    </row>
    <row r="62" spans="14:43" ht="15" thickBot="1" x14ac:dyDescent="0.35">
      <c r="S62" s="18"/>
      <c r="T62" s="30"/>
      <c r="AI62" s="31"/>
      <c r="AJ62" s="32"/>
      <c r="AK62" s="33"/>
      <c r="AL62" s="32"/>
      <c r="AM62" s="32"/>
      <c r="AN62" s="33"/>
      <c r="AO62" s="33"/>
      <c r="AP62" s="34"/>
      <c r="AQ62" s="31"/>
    </row>
    <row r="63" spans="14:43" ht="15" thickBot="1" x14ac:dyDescent="0.35">
      <c r="S63" s="18"/>
      <c r="T63" s="30"/>
      <c r="AI63" s="31"/>
      <c r="AJ63" s="32"/>
      <c r="AK63" s="33"/>
      <c r="AL63" s="32"/>
      <c r="AM63" s="32"/>
      <c r="AN63" s="33"/>
      <c r="AO63" s="33"/>
      <c r="AP63" s="34"/>
      <c r="AQ63" s="31"/>
    </row>
    <row r="64" spans="14:43" ht="15" thickBot="1" x14ac:dyDescent="0.35">
      <c r="N64" s="29"/>
      <c r="S64" s="18"/>
      <c r="T64" s="30"/>
      <c r="AI64" s="31"/>
      <c r="AJ64" s="32"/>
      <c r="AK64" s="33"/>
      <c r="AL64" s="32"/>
      <c r="AM64" s="32"/>
      <c r="AN64" s="33"/>
      <c r="AO64" s="33"/>
      <c r="AP64" s="34"/>
      <c r="AQ64" s="31"/>
    </row>
    <row r="65" spans="14:43" ht="15" thickBot="1" x14ac:dyDescent="0.35">
      <c r="N65" s="29"/>
      <c r="S65" s="18"/>
      <c r="T65" s="30"/>
      <c r="AI65" s="31"/>
      <c r="AJ65" s="32"/>
      <c r="AK65" s="33"/>
      <c r="AL65" s="32"/>
      <c r="AM65" s="32"/>
      <c r="AN65" s="33"/>
      <c r="AO65" s="33"/>
      <c r="AP65" s="34"/>
      <c r="AQ65" s="31"/>
    </row>
    <row r="66" spans="14:43" ht="15" thickBot="1" x14ac:dyDescent="0.35">
      <c r="N66" s="29"/>
      <c r="S66" s="18"/>
      <c r="T66" s="30"/>
      <c r="AI66" s="31"/>
      <c r="AJ66" s="32"/>
      <c r="AK66" s="33"/>
      <c r="AL66" s="32"/>
      <c r="AM66" s="32"/>
      <c r="AN66" s="33"/>
      <c r="AO66" s="33"/>
      <c r="AP66" s="34"/>
      <c r="AQ66" s="31"/>
    </row>
    <row r="67" spans="14:43" ht="15" thickBot="1" x14ac:dyDescent="0.35">
      <c r="N67" s="29"/>
      <c r="S67" s="18"/>
      <c r="T67" s="30"/>
      <c r="AI67" s="31"/>
      <c r="AJ67" s="32"/>
      <c r="AK67" s="33"/>
      <c r="AL67" s="32"/>
      <c r="AM67" s="32"/>
      <c r="AN67" s="33"/>
      <c r="AO67" s="33"/>
      <c r="AP67" s="34"/>
      <c r="AQ67" s="31"/>
    </row>
    <row r="68" spans="14:43" ht="15" thickBot="1" x14ac:dyDescent="0.35">
      <c r="N68" s="29"/>
      <c r="S68" s="18"/>
      <c r="T68" s="30"/>
      <c r="AI68" s="31"/>
      <c r="AJ68" s="32"/>
      <c r="AK68" s="33"/>
      <c r="AL68" s="32"/>
      <c r="AM68" s="32"/>
      <c r="AN68" s="33"/>
      <c r="AO68" s="33"/>
      <c r="AP68" s="34"/>
      <c r="AQ68" s="31"/>
    </row>
    <row r="69" spans="14:43" ht="15" thickBot="1" x14ac:dyDescent="0.35">
      <c r="N69" s="29"/>
      <c r="S69" s="18"/>
      <c r="T69" s="30"/>
      <c r="AI69" s="31"/>
      <c r="AJ69" s="32"/>
      <c r="AK69" s="33"/>
      <c r="AL69" s="32"/>
      <c r="AM69" s="32"/>
      <c r="AN69" s="33"/>
      <c r="AO69" s="33"/>
      <c r="AP69" s="34"/>
      <c r="AQ69" s="31"/>
    </row>
    <row r="70" spans="14:43" ht="15" thickBot="1" x14ac:dyDescent="0.35">
      <c r="N70" s="29"/>
      <c r="S70" s="18"/>
      <c r="T70" s="30"/>
      <c r="AI70" s="31"/>
      <c r="AJ70" s="32"/>
      <c r="AK70" s="33"/>
      <c r="AL70" s="32"/>
      <c r="AM70" s="32"/>
      <c r="AN70" s="33"/>
      <c r="AO70" s="33"/>
      <c r="AP70" s="34"/>
      <c r="AQ70" s="31"/>
    </row>
    <row r="71" spans="14:43" ht="15" thickBot="1" x14ac:dyDescent="0.35">
      <c r="N71" s="29"/>
      <c r="S71" s="18"/>
      <c r="T71" s="30"/>
      <c r="AI71" s="31"/>
      <c r="AJ71" s="32"/>
      <c r="AK71" s="33"/>
      <c r="AL71" s="32"/>
      <c r="AM71" s="32"/>
      <c r="AN71" s="33"/>
      <c r="AO71" s="33"/>
      <c r="AP71" s="34"/>
      <c r="AQ71" s="31"/>
    </row>
    <row r="72" spans="14:43" ht="15" thickBot="1" x14ac:dyDescent="0.35">
      <c r="N72" s="29"/>
      <c r="S72" s="18"/>
      <c r="T72" s="30"/>
      <c r="AI72" s="31"/>
      <c r="AJ72" s="32"/>
      <c r="AK72" s="33"/>
      <c r="AL72" s="32"/>
      <c r="AM72" s="32"/>
      <c r="AN72" s="33"/>
      <c r="AO72" s="33"/>
      <c r="AP72" s="34"/>
      <c r="AQ72" s="31"/>
    </row>
    <row r="73" spans="14:43" ht="15" thickBot="1" x14ac:dyDescent="0.35">
      <c r="N73" s="29"/>
      <c r="S73" s="18"/>
      <c r="T73" s="30"/>
      <c r="AI73" s="31"/>
      <c r="AJ73" s="32"/>
      <c r="AK73" s="33"/>
      <c r="AL73" s="32"/>
      <c r="AM73" s="32"/>
      <c r="AN73" s="33"/>
      <c r="AO73" s="33"/>
      <c r="AP73" s="34"/>
      <c r="AQ73" s="31"/>
    </row>
    <row r="74" spans="14:43" ht="15" thickBot="1" x14ac:dyDescent="0.35">
      <c r="N74" s="29"/>
      <c r="S74" s="18"/>
      <c r="T74" s="30"/>
      <c r="AI74" s="31"/>
      <c r="AJ74" s="32"/>
      <c r="AK74" s="33"/>
      <c r="AL74" s="32"/>
      <c r="AM74" s="32"/>
      <c r="AN74" s="33"/>
      <c r="AO74" s="33"/>
      <c r="AP74" s="34"/>
      <c r="AQ74" s="31"/>
    </row>
    <row r="75" spans="14:43" ht="15" thickBot="1" x14ac:dyDescent="0.35">
      <c r="N75" s="29"/>
      <c r="S75" s="18"/>
      <c r="T75" s="30"/>
      <c r="AI75" s="31"/>
      <c r="AJ75" s="32"/>
      <c r="AK75" s="33"/>
      <c r="AL75" s="32"/>
      <c r="AM75" s="32"/>
      <c r="AN75" s="33"/>
      <c r="AO75" s="33"/>
      <c r="AP75" s="34"/>
      <c r="AQ75" s="31"/>
    </row>
    <row r="76" spans="14:43" ht="15" thickBot="1" x14ac:dyDescent="0.35">
      <c r="N76" s="29"/>
      <c r="S76" s="18"/>
      <c r="T76" s="30"/>
      <c r="AI76" s="31"/>
      <c r="AJ76" s="32"/>
      <c r="AK76" s="33"/>
      <c r="AL76" s="32"/>
      <c r="AM76" s="32"/>
      <c r="AN76" s="33"/>
      <c r="AO76" s="33"/>
      <c r="AP76" s="34"/>
      <c r="AQ76" s="31"/>
    </row>
    <row r="77" spans="14:43" ht="15" thickBot="1" x14ac:dyDescent="0.35">
      <c r="N77" s="29"/>
      <c r="S77" s="18"/>
      <c r="T77" s="30"/>
      <c r="AI77" s="31"/>
      <c r="AJ77" s="32"/>
      <c r="AK77" s="33"/>
      <c r="AL77" s="32"/>
      <c r="AM77" s="32"/>
      <c r="AN77" s="33"/>
      <c r="AO77" s="33"/>
      <c r="AP77" s="34"/>
      <c r="AQ77" s="31"/>
    </row>
    <row r="78" spans="14:43" ht="15" thickBot="1" x14ac:dyDescent="0.35">
      <c r="N78" s="29"/>
      <c r="S78" s="18"/>
      <c r="T78" s="30"/>
      <c r="AI78" s="31"/>
      <c r="AJ78" s="32"/>
      <c r="AK78" s="33"/>
      <c r="AL78" s="32"/>
      <c r="AM78" s="32"/>
      <c r="AN78" s="33"/>
      <c r="AO78" s="33"/>
      <c r="AP78" s="34"/>
      <c r="AQ78" s="31"/>
    </row>
    <row r="79" spans="14:43" ht="15" thickBot="1" x14ac:dyDescent="0.35">
      <c r="N79" s="29"/>
      <c r="S79" s="18"/>
      <c r="T79" s="30"/>
      <c r="AI79" s="31"/>
      <c r="AJ79" s="32"/>
      <c r="AK79" s="33"/>
      <c r="AL79" s="32"/>
      <c r="AM79" s="32"/>
      <c r="AN79" s="33"/>
      <c r="AO79" s="33"/>
      <c r="AP79" s="33"/>
      <c r="AQ79" s="31"/>
    </row>
    <row r="80" spans="14:43" ht="15" thickBot="1" x14ac:dyDescent="0.35">
      <c r="N80" s="29"/>
      <c r="S80" s="18"/>
      <c r="T80" s="30"/>
      <c r="AI80" s="31"/>
      <c r="AJ80" s="32"/>
      <c r="AK80" s="33"/>
      <c r="AL80" s="32"/>
      <c r="AM80" s="32"/>
      <c r="AN80" s="33"/>
      <c r="AO80" s="33"/>
      <c r="AP80" s="34"/>
      <c r="AQ80" s="31"/>
    </row>
    <row r="81" spans="14:43" ht="15" thickBot="1" x14ac:dyDescent="0.35">
      <c r="N81" s="29"/>
      <c r="S81" s="18"/>
      <c r="T81" s="30"/>
      <c r="AI81" s="31"/>
      <c r="AJ81" s="32"/>
      <c r="AK81" s="33"/>
      <c r="AL81" s="32"/>
      <c r="AM81" s="32"/>
      <c r="AN81" s="33"/>
      <c r="AO81" s="33"/>
      <c r="AP81" s="34"/>
      <c r="AQ81" s="31"/>
    </row>
    <row r="82" spans="14:43" ht="15" thickBot="1" x14ac:dyDescent="0.35">
      <c r="N82" s="29"/>
      <c r="S82" s="18"/>
      <c r="T82" s="30"/>
      <c r="AI82" s="31"/>
      <c r="AJ82" s="32"/>
      <c r="AK82" s="33"/>
      <c r="AL82" s="32"/>
      <c r="AM82" s="32"/>
      <c r="AN82" s="33"/>
      <c r="AO82" s="33"/>
      <c r="AP82" s="34"/>
      <c r="AQ82" s="31"/>
    </row>
    <row r="83" spans="14:43" ht="15" thickBot="1" x14ac:dyDescent="0.35">
      <c r="N83" s="29"/>
      <c r="S83" s="18"/>
      <c r="T83" s="30"/>
      <c r="AI83" s="31"/>
      <c r="AJ83" s="32"/>
      <c r="AK83" s="33"/>
      <c r="AL83" s="32"/>
      <c r="AM83" s="32"/>
      <c r="AN83" s="33"/>
      <c r="AO83" s="33"/>
      <c r="AP83" s="34"/>
      <c r="AQ83" s="31"/>
    </row>
    <row r="84" spans="14:43" ht="15" thickBot="1" x14ac:dyDescent="0.35">
      <c r="N84" s="29"/>
      <c r="S84" s="18"/>
      <c r="T84" s="30"/>
      <c r="AI84" s="31"/>
      <c r="AJ84" s="32"/>
      <c r="AK84" s="33"/>
      <c r="AL84" s="32"/>
      <c r="AM84" s="32"/>
      <c r="AN84" s="33"/>
      <c r="AO84" s="33"/>
      <c r="AP84" s="34"/>
      <c r="AQ84" s="31"/>
    </row>
    <row r="85" spans="14:43" ht="15" thickBot="1" x14ac:dyDescent="0.35">
      <c r="N85" s="29"/>
      <c r="S85" s="18"/>
      <c r="T85" s="30"/>
      <c r="AI85" s="31"/>
      <c r="AJ85" s="32"/>
      <c r="AK85" s="33"/>
      <c r="AL85" s="32"/>
      <c r="AM85" s="32"/>
      <c r="AN85" s="33"/>
      <c r="AO85" s="33"/>
      <c r="AP85" s="34"/>
      <c r="AQ85" s="31"/>
    </row>
    <row r="86" spans="14:43" ht="15" thickBot="1" x14ac:dyDescent="0.35">
      <c r="N86" s="29"/>
      <c r="S86" s="18"/>
      <c r="T86" s="30"/>
      <c r="AI86" s="31"/>
      <c r="AJ86" s="32"/>
      <c r="AK86" s="33"/>
      <c r="AL86" s="32"/>
      <c r="AM86" s="32"/>
      <c r="AN86" s="33"/>
      <c r="AO86" s="33"/>
      <c r="AP86" s="34"/>
      <c r="AQ86" s="31"/>
    </row>
    <row r="87" spans="14:43" ht="15" thickBot="1" x14ac:dyDescent="0.35">
      <c r="N87" s="29"/>
      <c r="S87" s="18"/>
      <c r="T87" s="30"/>
      <c r="AI87" s="31"/>
      <c r="AJ87" s="32"/>
      <c r="AK87" s="33"/>
      <c r="AL87" s="32"/>
      <c r="AM87" s="32"/>
      <c r="AN87" s="33"/>
      <c r="AO87" s="33"/>
      <c r="AP87" s="34"/>
      <c r="AQ87" s="31"/>
    </row>
    <row r="88" spans="14:43" ht="15" thickBot="1" x14ac:dyDescent="0.35">
      <c r="N88" s="29"/>
      <c r="S88" s="18"/>
      <c r="T88" s="30"/>
      <c r="AI88" s="31"/>
      <c r="AJ88" s="32"/>
      <c r="AK88" s="33"/>
      <c r="AL88" s="32"/>
      <c r="AM88" s="32"/>
      <c r="AN88" s="33"/>
      <c r="AO88" s="33"/>
      <c r="AP88" s="34"/>
      <c r="AQ88" s="31"/>
    </row>
    <row r="89" spans="14:43" ht="15" thickBot="1" x14ac:dyDescent="0.35">
      <c r="N89" s="29"/>
      <c r="S89" s="18"/>
      <c r="T89" s="30"/>
      <c r="AI89" s="31"/>
      <c r="AJ89" s="32"/>
      <c r="AK89" s="33"/>
      <c r="AL89" s="32"/>
      <c r="AM89" s="32"/>
      <c r="AN89" s="33"/>
      <c r="AO89" s="33"/>
      <c r="AP89" s="34"/>
      <c r="AQ89" s="31"/>
    </row>
    <row r="90" spans="14:43" ht="15" thickBot="1" x14ac:dyDescent="0.35">
      <c r="N90" s="29"/>
      <c r="S90" s="18"/>
      <c r="T90" s="30"/>
      <c r="AI90" s="31"/>
      <c r="AJ90" s="32"/>
      <c r="AK90" s="33"/>
      <c r="AL90" s="32"/>
      <c r="AM90" s="32"/>
      <c r="AN90" s="33"/>
      <c r="AO90" s="33"/>
      <c r="AP90" s="34"/>
      <c r="AQ90" s="31"/>
    </row>
    <row r="91" spans="14:43" ht="15" thickBot="1" x14ac:dyDescent="0.35">
      <c r="N91" s="29"/>
      <c r="S91" s="18"/>
      <c r="T91" s="30"/>
      <c r="AI91" s="31"/>
      <c r="AJ91" s="32"/>
      <c r="AK91" s="33"/>
      <c r="AL91" s="32"/>
      <c r="AM91" s="32"/>
      <c r="AN91" s="33"/>
      <c r="AO91" s="33"/>
      <c r="AP91" s="34"/>
      <c r="AQ91" s="31"/>
    </row>
    <row r="92" spans="14:43" ht="15" thickBot="1" x14ac:dyDescent="0.35">
      <c r="N92" s="29"/>
      <c r="S92" s="18"/>
      <c r="T92" s="30"/>
      <c r="AI92" s="31"/>
      <c r="AJ92" s="32"/>
      <c r="AK92" s="33"/>
      <c r="AL92" s="32"/>
      <c r="AM92" s="32"/>
      <c r="AN92" s="33"/>
      <c r="AO92" s="33"/>
      <c r="AP92" s="34"/>
      <c r="AQ92" s="31"/>
    </row>
    <row r="93" spans="14:43" ht="15" thickBot="1" x14ac:dyDescent="0.35">
      <c r="N93" s="29"/>
      <c r="S93" s="18"/>
      <c r="T93" s="30"/>
      <c r="AI93" s="31"/>
      <c r="AJ93" s="32"/>
      <c r="AK93" s="33"/>
      <c r="AL93" s="32"/>
      <c r="AM93" s="32"/>
      <c r="AN93" s="33"/>
      <c r="AO93" s="33"/>
      <c r="AP93" s="34"/>
      <c r="AQ93" s="31"/>
    </row>
    <row r="94" spans="14:43" ht="15" thickBot="1" x14ac:dyDescent="0.35">
      <c r="N94" s="29"/>
      <c r="S94" s="18"/>
      <c r="T94" s="30"/>
      <c r="AI94" s="31"/>
      <c r="AJ94" s="32"/>
      <c r="AK94" s="33"/>
      <c r="AL94" s="32"/>
      <c r="AM94" s="32"/>
      <c r="AN94" s="33"/>
      <c r="AO94" s="33"/>
      <c r="AP94" s="34"/>
      <c r="AQ94" s="31"/>
    </row>
    <row r="95" spans="14:43" ht="15" thickBot="1" x14ac:dyDescent="0.35">
      <c r="N95" s="29"/>
      <c r="S95" s="18"/>
      <c r="T95" s="30"/>
      <c r="AI95" s="31"/>
      <c r="AJ95" s="32"/>
      <c r="AK95" s="33"/>
      <c r="AL95" s="32"/>
      <c r="AM95" s="32"/>
      <c r="AN95" s="33"/>
      <c r="AO95" s="33"/>
      <c r="AP95" s="34"/>
      <c r="AQ95" s="31"/>
    </row>
    <row r="96" spans="14:43" ht="15" thickBot="1" x14ac:dyDescent="0.35">
      <c r="N96" s="29"/>
      <c r="S96" s="18"/>
      <c r="T96" s="30"/>
      <c r="AI96" s="31"/>
      <c r="AJ96" s="32"/>
      <c r="AK96" s="33"/>
      <c r="AL96" s="32"/>
      <c r="AM96" s="32"/>
      <c r="AN96" s="33"/>
      <c r="AO96" s="33"/>
      <c r="AP96" s="34"/>
      <c r="AQ96" s="31"/>
    </row>
    <row r="97" spans="14:43" ht="15" thickBot="1" x14ac:dyDescent="0.35">
      <c r="N97" s="29"/>
      <c r="S97" s="18"/>
      <c r="T97" s="30"/>
      <c r="AI97" s="31"/>
      <c r="AJ97" s="32"/>
      <c r="AK97" s="33"/>
      <c r="AL97" s="32"/>
      <c r="AM97" s="32"/>
      <c r="AN97" s="33"/>
      <c r="AO97" s="33"/>
      <c r="AP97" s="34"/>
      <c r="AQ97" s="31"/>
    </row>
    <row r="98" spans="14:43" ht="15" thickBot="1" x14ac:dyDescent="0.35">
      <c r="N98" s="29"/>
      <c r="S98" s="18"/>
      <c r="T98" s="30"/>
      <c r="AI98" s="31"/>
      <c r="AJ98" s="32"/>
      <c r="AK98" s="33"/>
      <c r="AL98" s="32"/>
      <c r="AM98" s="32"/>
      <c r="AN98" s="33"/>
      <c r="AO98" s="33"/>
      <c r="AP98" s="34"/>
      <c r="AQ98" s="31"/>
    </row>
    <row r="99" spans="14:43" ht="15" thickBot="1" x14ac:dyDescent="0.35">
      <c r="N99" s="29"/>
      <c r="S99" s="18"/>
      <c r="T99" s="30"/>
      <c r="AI99" s="31"/>
      <c r="AJ99" s="32"/>
      <c r="AK99" s="33"/>
      <c r="AL99" s="32"/>
      <c r="AM99" s="32"/>
      <c r="AN99" s="33"/>
      <c r="AO99" s="33"/>
      <c r="AP99" s="34"/>
      <c r="AQ99" s="31"/>
    </row>
    <row r="100" spans="14:43" ht="15" thickBot="1" x14ac:dyDescent="0.35">
      <c r="N100" s="29"/>
      <c r="S100" s="18"/>
      <c r="T100" s="30"/>
      <c r="AI100" s="31"/>
      <c r="AJ100" s="32"/>
      <c r="AK100" s="33"/>
      <c r="AL100" s="32"/>
      <c r="AM100" s="32"/>
      <c r="AN100" s="33"/>
      <c r="AO100" s="33"/>
      <c r="AP100" s="34"/>
      <c r="AQ100" s="31"/>
    </row>
    <row r="101" spans="14:43" ht="15" thickBot="1" x14ac:dyDescent="0.35">
      <c r="N101" s="29"/>
      <c r="S101" s="18"/>
      <c r="T101" s="30"/>
      <c r="AI101" s="31"/>
      <c r="AJ101" s="32"/>
      <c r="AK101" s="33"/>
      <c r="AL101" s="32"/>
      <c r="AM101" s="32"/>
      <c r="AN101" s="33"/>
      <c r="AO101" s="33"/>
      <c r="AP101" s="34"/>
      <c r="AQ101" s="31"/>
    </row>
    <row r="102" spans="14:43" ht="15" thickBot="1" x14ac:dyDescent="0.35">
      <c r="N102" s="29"/>
      <c r="S102" s="18"/>
      <c r="T102" s="30"/>
      <c r="AI102" s="31"/>
      <c r="AJ102" s="32"/>
      <c r="AK102" s="33"/>
      <c r="AL102" s="32"/>
      <c r="AM102" s="32"/>
      <c r="AN102" s="33"/>
      <c r="AO102" s="33"/>
      <c r="AP102" s="34"/>
      <c r="AQ102" s="31"/>
    </row>
    <row r="103" spans="14:43" ht="15" thickBot="1" x14ac:dyDescent="0.35">
      <c r="N103" s="29"/>
      <c r="S103" s="18"/>
      <c r="T103" s="30"/>
      <c r="AI103" s="31"/>
      <c r="AJ103" s="32"/>
      <c r="AK103" s="33"/>
      <c r="AL103" s="32"/>
      <c r="AM103" s="32"/>
      <c r="AN103" s="33"/>
      <c r="AO103" s="33"/>
      <c r="AP103" s="34"/>
      <c r="AQ103" s="31"/>
    </row>
    <row r="104" spans="14:43" ht="15" thickBot="1" x14ac:dyDescent="0.35">
      <c r="N104" s="29"/>
      <c r="S104" s="18"/>
      <c r="T104" s="30"/>
      <c r="AI104" s="31"/>
      <c r="AJ104" s="32"/>
      <c r="AK104" s="33"/>
      <c r="AL104" s="32"/>
      <c r="AM104" s="32"/>
      <c r="AN104" s="33"/>
      <c r="AO104" s="33"/>
      <c r="AP104" s="34"/>
      <c r="AQ104" s="31"/>
    </row>
    <row r="105" spans="14:43" ht="15" thickBot="1" x14ac:dyDescent="0.35">
      <c r="N105" s="29"/>
      <c r="S105" s="18"/>
      <c r="T105" s="30"/>
      <c r="AI105" s="31"/>
      <c r="AJ105" s="32"/>
      <c r="AK105" s="33"/>
      <c r="AL105" s="32"/>
      <c r="AM105" s="32"/>
      <c r="AN105" s="33"/>
      <c r="AO105" s="33"/>
      <c r="AP105" s="34"/>
      <c r="AQ105" s="31"/>
    </row>
    <row r="106" spans="14:43" ht="15" thickBot="1" x14ac:dyDescent="0.35">
      <c r="N106" s="29"/>
      <c r="S106" s="18"/>
      <c r="T106" s="30"/>
      <c r="AI106" s="31"/>
      <c r="AJ106" s="32"/>
      <c r="AK106" s="33"/>
      <c r="AL106" s="32"/>
      <c r="AM106" s="32"/>
      <c r="AN106" s="33"/>
      <c r="AO106" s="33"/>
      <c r="AP106" s="34"/>
      <c r="AQ106" s="31"/>
    </row>
    <row r="107" spans="14:43" ht="15" thickBot="1" x14ac:dyDescent="0.35">
      <c r="N107" s="29"/>
      <c r="S107" s="18"/>
      <c r="T107" s="30"/>
      <c r="AI107" s="31"/>
      <c r="AJ107" s="32"/>
      <c r="AK107" s="33"/>
      <c r="AL107" s="32"/>
      <c r="AM107" s="32"/>
      <c r="AN107" s="33"/>
      <c r="AO107" s="33"/>
      <c r="AP107" s="34"/>
      <c r="AQ107" s="31"/>
    </row>
    <row r="108" spans="14:43" ht="15" thickBot="1" x14ac:dyDescent="0.35">
      <c r="N108" s="29"/>
      <c r="S108" s="18"/>
      <c r="T108" s="30"/>
      <c r="AI108" s="31"/>
      <c r="AJ108" s="32"/>
      <c r="AK108" s="33"/>
      <c r="AL108" s="32"/>
      <c r="AM108" s="32"/>
      <c r="AN108" s="33"/>
      <c r="AO108" s="33"/>
      <c r="AP108" s="34"/>
      <c r="AQ108" s="31"/>
    </row>
    <row r="109" spans="14:43" ht="15" thickBot="1" x14ac:dyDescent="0.35">
      <c r="N109" s="29"/>
      <c r="S109" s="18"/>
      <c r="T109" s="30"/>
      <c r="AI109" s="31"/>
      <c r="AJ109" s="32"/>
      <c r="AK109" s="33"/>
      <c r="AL109" s="32"/>
      <c r="AM109" s="32"/>
      <c r="AN109" s="33"/>
      <c r="AO109" s="33"/>
      <c r="AP109" s="34"/>
      <c r="AQ109" s="31"/>
    </row>
    <row r="110" spans="14:43" ht="15" thickBot="1" x14ac:dyDescent="0.35">
      <c r="N110" s="29"/>
      <c r="S110" s="18"/>
      <c r="T110" s="30"/>
      <c r="AI110" s="31"/>
      <c r="AJ110" s="32"/>
      <c r="AK110" s="33"/>
      <c r="AL110" s="32"/>
      <c r="AM110" s="32"/>
      <c r="AN110" s="33"/>
      <c r="AO110" s="33"/>
      <c r="AP110" s="34"/>
      <c r="AQ110" s="31"/>
    </row>
    <row r="111" spans="14:43" ht="15" thickBot="1" x14ac:dyDescent="0.35">
      <c r="N111" s="29"/>
      <c r="S111" s="18"/>
      <c r="T111" s="30"/>
      <c r="AI111" s="31"/>
      <c r="AJ111" s="32"/>
      <c r="AK111" s="33"/>
      <c r="AL111" s="32"/>
      <c r="AM111" s="32"/>
      <c r="AN111" s="33"/>
      <c r="AO111" s="33"/>
      <c r="AP111" s="34"/>
      <c r="AQ111" s="31"/>
    </row>
    <row r="112" spans="14:43" ht="15" thickBot="1" x14ac:dyDescent="0.35">
      <c r="N112" s="29"/>
      <c r="S112" s="18"/>
      <c r="T112" s="30"/>
      <c r="AI112" s="31"/>
      <c r="AJ112" s="32"/>
      <c r="AK112" s="33"/>
      <c r="AL112" s="32"/>
      <c r="AM112" s="32"/>
      <c r="AN112" s="33"/>
      <c r="AO112" s="33"/>
      <c r="AP112" s="34"/>
      <c r="AQ112" s="31"/>
    </row>
    <row r="113" spans="14:43" ht="15" thickBot="1" x14ac:dyDescent="0.35">
      <c r="N113" s="29"/>
      <c r="S113" s="18"/>
      <c r="T113" s="30"/>
      <c r="AI113" s="31"/>
      <c r="AJ113" s="32"/>
      <c r="AK113" s="33"/>
      <c r="AL113" s="32"/>
      <c r="AM113" s="32"/>
      <c r="AN113" s="33"/>
      <c r="AO113" s="33"/>
      <c r="AP113" s="34"/>
      <c r="AQ113" s="31"/>
    </row>
    <row r="114" spans="14:43" ht="15" thickBot="1" x14ac:dyDescent="0.35">
      <c r="N114" s="29"/>
      <c r="S114" s="18"/>
      <c r="T114" s="30"/>
      <c r="AI114" s="31"/>
      <c r="AJ114" s="32"/>
      <c r="AK114" s="33"/>
      <c r="AL114" s="32"/>
      <c r="AM114" s="32"/>
      <c r="AN114" s="33"/>
      <c r="AO114" s="33"/>
      <c r="AP114" s="34"/>
      <c r="AQ114" s="31"/>
    </row>
    <row r="115" spans="14:43" ht="15" thickBot="1" x14ac:dyDescent="0.35">
      <c r="N115" s="29"/>
      <c r="S115" s="18"/>
      <c r="T115" s="30"/>
      <c r="AI115" s="31"/>
      <c r="AJ115" s="32"/>
      <c r="AK115" s="33"/>
      <c r="AL115" s="32"/>
      <c r="AM115" s="32"/>
      <c r="AN115" s="33"/>
      <c r="AO115" s="33"/>
      <c r="AP115" s="34"/>
      <c r="AQ115" s="31"/>
    </row>
    <row r="116" spans="14:43" ht="15" thickBot="1" x14ac:dyDescent="0.35">
      <c r="N116" s="29"/>
      <c r="S116" s="18"/>
      <c r="T116" s="30"/>
      <c r="AI116" s="31"/>
      <c r="AJ116" s="32"/>
      <c r="AK116" s="33"/>
      <c r="AL116" s="32"/>
      <c r="AM116" s="32"/>
      <c r="AN116" s="33"/>
      <c r="AO116" s="33"/>
      <c r="AP116" s="34"/>
      <c r="AQ116" s="31"/>
    </row>
    <row r="117" spans="14:43" ht="15" thickBot="1" x14ac:dyDescent="0.35">
      <c r="N117" s="29"/>
      <c r="S117" s="18"/>
      <c r="T117" s="30"/>
      <c r="AI117" s="31"/>
      <c r="AJ117" s="32"/>
      <c r="AK117" s="33"/>
      <c r="AL117" s="32"/>
      <c r="AM117" s="32"/>
      <c r="AN117" s="33"/>
      <c r="AO117" s="33"/>
      <c r="AP117" s="34"/>
      <c r="AQ117" s="31"/>
    </row>
    <row r="118" spans="14:43" ht="15" thickBot="1" x14ac:dyDescent="0.35">
      <c r="N118" s="29"/>
      <c r="S118" s="18"/>
      <c r="T118" s="30"/>
      <c r="AI118" s="31"/>
      <c r="AJ118" s="32"/>
      <c r="AK118" s="33"/>
      <c r="AL118" s="32"/>
      <c r="AM118" s="32"/>
      <c r="AN118" s="33"/>
      <c r="AO118" s="33"/>
      <c r="AP118" s="34"/>
      <c r="AQ118" s="31"/>
    </row>
    <row r="119" spans="14:43" ht="15" thickBot="1" x14ac:dyDescent="0.35">
      <c r="N119" s="29"/>
      <c r="S119" s="18"/>
      <c r="T119" s="30"/>
      <c r="AI119" s="31"/>
      <c r="AJ119" s="32"/>
      <c r="AK119" s="33"/>
      <c r="AL119" s="32"/>
      <c r="AM119" s="32"/>
      <c r="AN119" s="33"/>
      <c r="AO119" s="33"/>
      <c r="AP119" s="34"/>
      <c r="AQ119" s="31"/>
    </row>
    <row r="120" spans="14:43" ht="15" thickBot="1" x14ac:dyDescent="0.35">
      <c r="N120" s="29"/>
      <c r="S120" s="18"/>
      <c r="T120" s="30"/>
      <c r="AI120" s="31"/>
      <c r="AJ120" s="32"/>
      <c r="AK120" s="33"/>
      <c r="AL120" s="32"/>
      <c r="AM120" s="32"/>
      <c r="AN120" s="33"/>
      <c r="AO120" s="33"/>
      <c r="AP120" s="34"/>
      <c r="AQ120" s="31"/>
    </row>
    <row r="121" spans="14:43" ht="15" thickBot="1" x14ac:dyDescent="0.35">
      <c r="N121" s="29"/>
      <c r="S121" s="18"/>
      <c r="T121" s="30"/>
      <c r="AI121" s="31"/>
      <c r="AJ121" s="32"/>
      <c r="AK121" s="33"/>
      <c r="AL121" s="32"/>
      <c r="AM121" s="32"/>
      <c r="AN121" s="33"/>
      <c r="AO121" s="33"/>
      <c r="AP121" s="34"/>
      <c r="AQ121" s="31"/>
    </row>
    <row r="122" spans="14:43" ht="15" thickBot="1" x14ac:dyDescent="0.35">
      <c r="N122" s="29"/>
      <c r="S122" s="18"/>
      <c r="T122" s="30"/>
      <c r="AI122" s="31"/>
      <c r="AJ122" s="32"/>
      <c r="AK122" s="33"/>
      <c r="AL122" s="32"/>
      <c r="AM122" s="32"/>
      <c r="AN122" s="33"/>
      <c r="AO122" s="33"/>
      <c r="AP122" s="34"/>
      <c r="AQ122" s="31"/>
    </row>
    <row r="123" spans="14:43" ht="15" thickBot="1" x14ac:dyDescent="0.35">
      <c r="N123" s="29"/>
      <c r="S123" s="18"/>
      <c r="T123" s="30"/>
      <c r="AI123" s="31"/>
      <c r="AJ123" s="32"/>
      <c r="AK123" s="33"/>
      <c r="AL123" s="32"/>
      <c r="AM123" s="32"/>
      <c r="AN123" s="33"/>
      <c r="AO123" s="33"/>
      <c r="AP123" s="34"/>
      <c r="AQ123" s="31"/>
    </row>
    <row r="124" spans="14:43" ht="15" thickBot="1" x14ac:dyDescent="0.35">
      <c r="N124" s="29"/>
      <c r="S124" s="18"/>
      <c r="T124" s="30"/>
      <c r="AI124" s="31"/>
      <c r="AJ124" s="32"/>
      <c r="AK124" s="33"/>
      <c r="AL124" s="32"/>
      <c r="AM124" s="32"/>
      <c r="AN124" s="33"/>
      <c r="AO124" s="33"/>
      <c r="AP124" s="34"/>
      <c r="AQ124" s="31"/>
    </row>
    <row r="125" spans="14:43" ht="15" thickBot="1" x14ac:dyDescent="0.35">
      <c r="N125" s="29"/>
      <c r="S125" s="18"/>
      <c r="T125" s="30"/>
      <c r="AI125" s="31"/>
      <c r="AJ125" s="32"/>
      <c r="AK125" s="33"/>
      <c r="AL125" s="32"/>
      <c r="AM125" s="32"/>
      <c r="AN125" s="33"/>
      <c r="AO125" s="33"/>
      <c r="AP125" s="34"/>
      <c r="AQ125" s="31"/>
    </row>
    <row r="126" spans="14:43" ht="15" thickBot="1" x14ac:dyDescent="0.35">
      <c r="N126" s="29"/>
      <c r="S126" s="18"/>
      <c r="T126" s="30"/>
      <c r="AI126" s="31"/>
      <c r="AJ126" s="32"/>
      <c r="AK126" s="33"/>
      <c r="AL126" s="32"/>
      <c r="AM126" s="32"/>
      <c r="AN126" s="33"/>
      <c r="AO126" s="33"/>
      <c r="AP126" s="34"/>
      <c r="AQ126" s="31"/>
    </row>
    <row r="127" spans="14:43" ht="15" thickBot="1" x14ac:dyDescent="0.35">
      <c r="N127" s="29"/>
      <c r="S127" s="18"/>
      <c r="T127" s="30"/>
      <c r="AI127" s="31"/>
      <c r="AJ127" s="32"/>
      <c r="AK127" s="33"/>
      <c r="AL127" s="32"/>
      <c r="AM127" s="33"/>
      <c r="AN127" s="33"/>
      <c r="AO127" s="33"/>
      <c r="AP127" s="34"/>
      <c r="AQ127" s="31"/>
    </row>
    <row r="128" spans="14:43" ht="15" thickBot="1" x14ac:dyDescent="0.35">
      <c r="N128" s="29"/>
      <c r="S128" s="18"/>
      <c r="T128" s="30"/>
      <c r="AI128" s="31"/>
      <c r="AJ128" s="32"/>
      <c r="AK128" s="33"/>
      <c r="AL128" s="32"/>
      <c r="AM128" s="32"/>
      <c r="AN128" s="33"/>
      <c r="AO128" s="33"/>
      <c r="AP128" s="34"/>
      <c r="AQ128" s="31"/>
    </row>
    <row r="129" spans="14:43" ht="15" thickBot="1" x14ac:dyDescent="0.35">
      <c r="N129" s="29"/>
      <c r="S129" s="18"/>
      <c r="T129" s="30"/>
      <c r="AI129" s="31"/>
      <c r="AJ129" s="32"/>
      <c r="AK129" s="33"/>
      <c r="AL129" s="32"/>
      <c r="AM129" s="32"/>
      <c r="AN129" s="33"/>
      <c r="AO129" s="33"/>
      <c r="AP129" s="34"/>
      <c r="AQ129" s="31"/>
    </row>
    <row r="130" spans="14:43" ht="15" thickBot="1" x14ac:dyDescent="0.35">
      <c r="N130" s="29"/>
      <c r="S130" s="18"/>
      <c r="T130" s="30"/>
      <c r="AI130" s="31"/>
      <c r="AJ130" s="32"/>
      <c r="AK130" s="33"/>
      <c r="AL130" s="32"/>
      <c r="AM130" s="32"/>
      <c r="AN130" s="33"/>
      <c r="AO130" s="33"/>
      <c r="AP130" s="34"/>
      <c r="AQ130" s="31"/>
    </row>
    <row r="131" spans="14:43" ht="15" thickBot="1" x14ac:dyDescent="0.35">
      <c r="N131" s="29"/>
      <c r="S131" s="18"/>
      <c r="T131" s="30"/>
      <c r="AI131" s="31"/>
      <c r="AJ131" s="32"/>
      <c r="AK131" s="33"/>
      <c r="AL131" s="32"/>
      <c r="AM131" s="32"/>
      <c r="AN131" s="33"/>
      <c r="AO131" s="33"/>
      <c r="AP131" s="34"/>
      <c r="AQ131" s="31"/>
    </row>
    <row r="132" spans="14:43" ht="15" thickBot="1" x14ac:dyDescent="0.35">
      <c r="N132" s="29"/>
      <c r="S132" s="18"/>
      <c r="T132" s="30"/>
      <c r="AI132" s="31"/>
      <c r="AJ132" s="32"/>
      <c r="AK132" s="33"/>
      <c r="AL132" s="32"/>
      <c r="AM132" s="32"/>
      <c r="AN132" s="33"/>
      <c r="AO132" s="33"/>
      <c r="AP132" s="34"/>
      <c r="AQ132" s="31"/>
    </row>
    <row r="133" spans="14:43" ht="15" thickBot="1" x14ac:dyDescent="0.35">
      <c r="N133" s="29"/>
      <c r="S133" s="18"/>
      <c r="T133" s="30"/>
      <c r="AI133" s="31"/>
      <c r="AJ133" s="32"/>
      <c r="AK133" s="32"/>
      <c r="AL133" s="32"/>
      <c r="AM133" s="32"/>
      <c r="AN133" s="33"/>
      <c r="AO133" s="33"/>
      <c r="AP133" s="33"/>
      <c r="AQ133" s="31"/>
    </row>
    <row r="134" spans="14:43" ht="15" thickBot="1" x14ac:dyDescent="0.35">
      <c r="N134" s="29"/>
      <c r="S134" s="18"/>
      <c r="T134" s="30"/>
      <c r="AI134" s="31"/>
      <c r="AJ134" s="32"/>
      <c r="AK134" s="33"/>
      <c r="AL134" s="32"/>
      <c r="AM134" s="32"/>
      <c r="AN134" s="33"/>
      <c r="AO134" s="33"/>
      <c r="AP134" s="34"/>
      <c r="AQ134" s="31"/>
    </row>
    <row r="135" spans="14:43" ht="15" thickBot="1" x14ac:dyDescent="0.35">
      <c r="N135" s="29"/>
      <c r="S135" s="18"/>
      <c r="T135" s="30"/>
      <c r="AI135" s="31"/>
      <c r="AJ135" s="32"/>
      <c r="AK135" s="33"/>
      <c r="AL135" s="32"/>
      <c r="AM135" s="32"/>
      <c r="AN135" s="33"/>
      <c r="AO135" s="33"/>
      <c r="AP135" s="34"/>
      <c r="AQ135" s="31"/>
    </row>
    <row r="136" spans="14:43" ht="15" thickBot="1" x14ac:dyDescent="0.35">
      <c r="N136" s="29"/>
      <c r="S136" s="18"/>
      <c r="T136" s="30"/>
      <c r="AI136" s="31"/>
      <c r="AJ136" s="32"/>
      <c r="AK136" s="33"/>
      <c r="AL136" s="32"/>
      <c r="AM136" s="32"/>
      <c r="AN136" s="33"/>
      <c r="AO136" s="33"/>
      <c r="AP136" s="34"/>
      <c r="AQ136" s="31"/>
    </row>
    <row r="137" spans="14:43" ht="15" thickBot="1" x14ac:dyDescent="0.35">
      <c r="N137" s="29"/>
      <c r="S137" s="18"/>
      <c r="T137" s="30"/>
      <c r="AI137" s="31"/>
      <c r="AJ137" s="32"/>
      <c r="AK137" s="33"/>
      <c r="AL137" s="32"/>
      <c r="AM137" s="32"/>
      <c r="AN137" s="33"/>
      <c r="AO137" s="33"/>
      <c r="AP137" s="34"/>
      <c r="AQ137" s="31"/>
    </row>
    <row r="138" spans="14:43" ht="15" thickBot="1" x14ac:dyDescent="0.35">
      <c r="N138" s="29"/>
      <c r="S138" s="18"/>
      <c r="T138" s="30"/>
      <c r="AI138" s="31"/>
      <c r="AJ138" s="32"/>
      <c r="AK138" s="33"/>
      <c r="AL138" s="32"/>
      <c r="AM138" s="32"/>
      <c r="AN138" s="33"/>
      <c r="AO138" s="33"/>
      <c r="AP138" s="34"/>
      <c r="AQ138" s="31"/>
    </row>
    <row r="139" spans="14:43" ht="15" thickBot="1" x14ac:dyDescent="0.35">
      <c r="N139" s="29"/>
      <c r="S139" s="18"/>
      <c r="T139" s="30"/>
      <c r="AI139" s="31"/>
      <c r="AJ139" s="32"/>
      <c r="AK139" s="33"/>
      <c r="AL139" s="32"/>
      <c r="AM139" s="32"/>
      <c r="AN139" s="33"/>
      <c r="AO139" s="33"/>
      <c r="AP139" s="34"/>
      <c r="AQ139" s="31"/>
    </row>
    <row r="140" spans="14:43" ht="15" thickBot="1" x14ac:dyDescent="0.35">
      <c r="N140" s="29"/>
      <c r="S140" s="18"/>
      <c r="T140" s="30"/>
      <c r="AI140" s="31"/>
      <c r="AJ140" s="32"/>
      <c r="AK140" s="33"/>
      <c r="AL140" s="32"/>
      <c r="AM140" s="32"/>
      <c r="AN140" s="33"/>
      <c r="AO140" s="33"/>
      <c r="AP140" s="34"/>
      <c r="AQ140" s="31"/>
    </row>
    <row r="141" spans="14:43" ht="15" thickBot="1" x14ac:dyDescent="0.35">
      <c r="N141" s="29"/>
      <c r="S141" s="18"/>
      <c r="T141" s="30"/>
      <c r="AI141" s="31"/>
      <c r="AJ141" s="32"/>
      <c r="AK141" s="33"/>
      <c r="AL141" s="32"/>
      <c r="AM141" s="32"/>
      <c r="AN141" s="33"/>
      <c r="AO141" s="33"/>
      <c r="AP141" s="34"/>
      <c r="AQ141" s="31"/>
    </row>
    <row r="142" spans="14:43" ht="15" thickBot="1" x14ac:dyDescent="0.35">
      <c r="N142" s="29"/>
      <c r="S142" s="18"/>
      <c r="T142" s="30"/>
      <c r="AI142" s="31"/>
      <c r="AJ142" s="32"/>
      <c r="AK142" s="33"/>
      <c r="AL142" s="32"/>
      <c r="AM142" s="32"/>
      <c r="AN142" s="33"/>
      <c r="AO142" s="33"/>
      <c r="AP142" s="34"/>
      <c r="AQ142" s="31"/>
    </row>
    <row r="143" spans="14:43" ht="15" thickBot="1" x14ac:dyDescent="0.35">
      <c r="N143" s="29"/>
      <c r="S143" s="18"/>
      <c r="T143" s="30"/>
      <c r="AI143" s="31"/>
      <c r="AJ143" s="32"/>
      <c r="AK143" s="32"/>
      <c r="AL143" s="33"/>
      <c r="AM143" s="32"/>
      <c r="AN143" s="33"/>
      <c r="AO143" s="33"/>
      <c r="AP143" s="33"/>
      <c r="AQ143" s="31"/>
    </row>
    <row r="144" spans="14:43" ht="15" thickBot="1" x14ac:dyDescent="0.35">
      <c r="N144" s="29"/>
      <c r="S144" s="18"/>
      <c r="T144" s="30"/>
      <c r="AI144" s="31"/>
      <c r="AJ144" s="32"/>
      <c r="AK144" s="33"/>
      <c r="AL144" s="32"/>
      <c r="AM144" s="32"/>
      <c r="AN144" s="33"/>
      <c r="AO144" s="33"/>
      <c r="AP144" s="34"/>
      <c r="AQ144" s="31"/>
    </row>
    <row r="145" spans="14:43" ht="15" thickBot="1" x14ac:dyDescent="0.35">
      <c r="N145" s="29"/>
      <c r="S145" s="18"/>
      <c r="T145" s="30"/>
      <c r="AI145" s="31"/>
      <c r="AJ145" s="32"/>
      <c r="AK145" s="33"/>
      <c r="AL145" s="32"/>
      <c r="AM145" s="32"/>
      <c r="AN145" s="33"/>
      <c r="AO145" s="33"/>
      <c r="AP145" s="34"/>
      <c r="AQ145" s="31"/>
    </row>
    <row r="146" spans="14:43" ht="15" thickBot="1" x14ac:dyDescent="0.35">
      <c r="N146" s="29"/>
      <c r="S146" s="18"/>
      <c r="T146" s="30"/>
      <c r="AI146" s="31"/>
      <c r="AJ146" s="32"/>
      <c r="AK146" s="33"/>
      <c r="AL146" s="32"/>
      <c r="AM146" s="32"/>
      <c r="AN146" s="33"/>
      <c r="AO146" s="33"/>
      <c r="AP146" s="34"/>
      <c r="AQ146" s="31"/>
    </row>
    <row r="147" spans="14:43" ht="15" thickBot="1" x14ac:dyDescent="0.35">
      <c r="N147" s="29"/>
      <c r="S147" s="18"/>
      <c r="T147" s="30"/>
      <c r="AI147" s="31"/>
      <c r="AJ147" s="32"/>
      <c r="AK147" s="33"/>
      <c r="AL147" s="32"/>
      <c r="AM147" s="32"/>
      <c r="AN147" s="33"/>
      <c r="AO147" s="33"/>
      <c r="AP147" s="34"/>
      <c r="AQ147" s="31"/>
    </row>
    <row r="148" spans="14:43" ht="15" thickBot="1" x14ac:dyDescent="0.35">
      <c r="N148" s="29"/>
      <c r="S148" s="18"/>
      <c r="T148" s="30"/>
      <c r="AI148" s="31"/>
      <c r="AJ148" s="32"/>
      <c r="AK148" s="33"/>
      <c r="AL148" s="32"/>
      <c r="AM148" s="32"/>
      <c r="AN148" s="33"/>
      <c r="AO148" s="33"/>
      <c r="AP148" s="34"/>
      <c r="AQ148" s="31"/>
    </row>
    <row r="149" spans="14:43" ht="15" thickBot="1" x14ac:dyDescent="0.35">
      <c r="N149" s="29"/>
      <c r="S149" s="18"/>
      <c r="T149" s="30"/>
      <c r="AI149" s="31"/>
      <c r="AJ149" s="32"/>
      <c r="AK149" s="33"/>
      <c r="AL149" s="32"/>
      <c r="AM149" s="32"/>
      <c r="AN149" s="33"/>
      <c r="AO149" s="33"/>
      <c r="AP149" s="34"/>
      <c r="AQ149" s="31"/>
    </row>
    <row r="150" spans="14:43" ht="15" thickBot="1" x14ac:dyDescent="0.35">
      <c r="N150" s="29"/>
      <c r="S150" s="18"/>
      <c r="T150" s="30"/>
      <c r="AI150" s="31"/>
      <c r="AJ150" s="32"/>
      <c r="AK150" s="33"/>
      <c r="AL150" s="32"/>
      <c r="AM150" s="32"/>
      <c r="AN150" s="33"/>
      <c r="AO150" s="33"/>
      <c r="AP150" s="34"/>
      <c r="AQ150" s="31"/>
    </row>
    <row r="151" spans="14:43" ht="15" thickBot="1" x14ac:dyDescent="0.35">
      <c r="N151" s="29"/>
      <c r="S151" s="18"/>
      <c r="T151" s="30"/>
      <c r="AI151" s="31"/>
      <c r="AJ151" s="32"/>
      <c r="AK151" s="33"/>
      <c r="AL151" s="32"/>
      <c r="AM151" s="32"/>
      <c r="AN151" s="33"/>
      <c r="AO151" s="33"/>
      <c r="AP151" s="34"/>
      <c r="AQ151" s="31"/>
    </row>
    <row r="152" spans="14:43" ht="15" thickBot="1" x14ac:dyDescent="0.35">
      <c r="N152" s="29"/>
      <c r="S152" s="18"/>
      <c r="T152" s="30"/>
      <c r="AI152" s="31"/>
      <c r="AJ152" s="32"/>
      <c r="AK152" s="33"/>
      <c r="AL152" s="32"/>
      <c r="AM152" s="32"/>
      <c r="AN152" s="33"/>
      <c r="AO152" s="33"/>
      <c r="AP152" s="34"/>
      <c r="AQ152" s="31"/>
    </row>
    <row r="153" spans="14:43" ht="15" thickBot="1" x14ac:dyDescent="0.35">
      <c r="N153" s="29"/>
      <c r="S153" s="18"/>
      <c r="T153" s="30"/>
      <c r="AI153" s="31"/>
      <c r="AJ153" s="32"/>
      <c r="AK153" s="33"/>
      <c r="AL153" s="32"/>
      <c r="AM153" s="32"/>
      <c r="AN153" s="33"/>
      <c r="AO153" s="33"/>
      <c r="AP153" s="34"/>
      <c r="AQ153" s="31"/>
    </row>
    <row r="154" spans="14:43" ht="15" thickBot="1" x14ac:dyDescent="0.35">
      <c r="N154" s="29"/>
      <c r="S154" s="18"/>
      <c r="T154" s="30"/>
      <c r="AI154" s="31"/>
      <c r="AJ154" s="32"/>
      <c r="AK154" s="33"/>
      <c r="AL154" s="32"/>
      <c r="AM154" s="32"/>
      <c r="AN154" s="33"/>
      <c r="AO154" s="33"/>
      <c r="AP154" s="34"/>
      <c r="AQ154" s="31"/>
    </row>
    <row r="155" spans="14:43" ht="15" thickBot="1" x14ac:dyDescent="0.35">
      <c r="N155" s="29"/>
      <c r="S155" s="18"/>
      <c r="T155" s="30"/>
      <c r="AI155" s="31"/>
      <c r="AJ155" s="32"/>
      <c r="AK155" s="33"/>
      <c r="AL155" s="32"/>
      <c r="AM155" s="32"/>
      <c r="AN155" s="33"/>
      <c r="AO155" s="33"/>
      <c r="AP155" s="34"/>
      <c r="AQ155" s="31"/>
    </row>
    <row r="156" spans="14:43" ht="15" thickBot="1" x14ac:dyDescent="0.35">
      <c r="N156" s="29"/>
      <c r="S156" s="18"/>
      <c r="T156" s="30"/>
      <c r="AI156" s="31"/>
      <c r="AJ156" s="32"/>
      <c r="AK156" s="33"/>
      <c r="AL156" s="32"/>
      <c r="AM156" s="32"/>
      <c r="AN156" s="33"/>
      <c r="AO156" s="33"/>
      <c r="AP156" s="34"/>
      <c r="AQ156" s="31"/>
    </row>
    <row r="157" spans="14:43" ht="15" thickBot="1" x14ac:dyDescent="0.35">
      <c r="N157" s="29"/>
      <c r="S157" s="18"/>
      <c r="T157" s="30"/>
      <c r="AI157" s="31"/>
      <c r="AJ157" s="32"/>
      <c r="AK157" s="33"/>
      <c r="AL157" s="32"/>
      <c r="AM157" s="32"/>
      <c r="AN157" s="33"/>
      <c r="AO157" s="33"/>
      <c r="AP157" s="34"/>
      <c r="AQ157" s="31"/>
    </row>
    <row r="158" spans="14:43" ht="15" thickBot="1" x14ac:dyDescent="0.35">
      <c r="N158" s="29"/>
      <c r="S158" s="18"/>
      <c r="T158" s="30"/>
      <c r="AI158" s="31"/>
      <c r="AJ158" s="32"/>
      <c r="AK158" s="33"/>
      <c r="AL158" s="32"/>
      <c r="AM158" s="32"/>
      <c r="AN158" s="33"/>
      <c r="AO158" s="33"/>
      <c r="AP158" s="33"/>
      <c r="AQ158" s="31"/>
    </row>
    <row r="159" spans="14:43" ht="15" thickBot="1" x14ac:dyDescent="0.35">
      <c r="N159" s="29"/>
      <c r="S159" s="18"/>
      <c r="T159" s="30"/>
      <c r="AI159" s="31"/>
      <c r="AJ159" s="32"/>
      <c r="AK159" s="33"/>
      <c r="AL159" s="32"/>
      <c r="AM159" s="32"/>
      <c r="AN159" s="33"/>
      <c r="AO159" s="33"/>
      <c r="AP159" s="34"/>
      <c r="AQ159" s="31"/>
    </row>
    <row r="160" spans="14:43" ht="15" thickBot="1" x14ac:dyDescent="0.35">
      <c r="N160" s="29"/>
      <c r="S160" s="18"/>
      <c r="T160" s="30"/>
      <c r="AI160" s="31"/>
      <c r="AJ160" s="32"/>
      <c r="AK160" s="33"/>
      <c r="AL160" s="32"/>
      <c r="AM160" s="32"/>
      <c r="AN160" s="33"/>
      <c r="AO160" s="33"/>
      <c r="AP160" s="34"/>
      <c r="AQ160" s="31"/>
    </row>
    <row r="161" spans="14:43" ht="15" thickBot="1" x14ac:dyDescent="0.35">
      <c r="N161" s="29"/>
      <c r="S161" s="18"/>
      <c r="T161" s="30"/>
      <c r="AI161" s="31"/>
      <c r="AJ161" s="32"/>
      <c r="AK161" s="33"/>
      <c r="AL161" s="32"/>
      <c r="AM161" s="32"/>
      <c r="AN161" s="33"/>
      <c r="AO161" s="33"/>
      <c r="AP161" s="34"/>
      <c r="AQ161" s="31"/>
    </row>
    <row r="162" spans="14:43" ht="15" thickBot="1" x14ac:dyDescent="0.35">
      <c r="N162" s="29"/>
      <c r="S162" s="18"/>
      <c r="T162" s="30"/>
      <c r="AI162" s="31"/>
      <c r="AJ162" s="32"/>
      <c r="AK162" s="33"/>
      <c r="AL162" s="32"/>
      <c r="AM162" s="32"/>
      <c r="AN162" s="33"/>
      <c r="AO162" s="33"/>
      <c r="AP162" s="34"/>
      <c r="AQ162" s="31"/>
    </row>
    <row r="163" spans="14:43" ht="15" thickBot="1" x14ac:dyDescent="0.35">
      <c r="N163" s="29"/>
      <c r="S163" s="18"/>
      <c r="T163" s="30"/>
      <c r="AI163" s="31"/>
      <c r="AJ163" s="32"/>
      <c r="AK163" s="33"/>
      <c r="AL163" s="32"/>
      <c r="AM163" s="32"/>
      <c r="AN163" s="33"/>
      <c r="AO163" s="33"/>
      <c r="AP163" s="34"/>
      <c r="AQ163" s="31"/>
    </row>
    <row r="164" spans="14:43" ht="15" thickBot="1" x14ac:dyDescent="0.35">
      <c r="N164" s="29"/>
      <c r="S164" s="18"/>
      <c r="T164" s="30"/>
      <c r="AI164" s="31"/>
      <c r="AJ164" s="32"/>
      <c r="AK164" s="33"/>
      <c r="AL164" s="32"/>
      <c r="AM164" s="32"/>
      <c r="AN164" s="33"/>
      <c r="AO164" s="33"/>
      <c r="AP164" s="34"/>
      <c r="AQ164" s="31"/>
    </row>
    <row r="165" spans="14:43" ht="15" thickBot="1" x14ac:dyDescent="0.35">
      <c r="N165" s="29"/>
      <c r="S165" s="18"/>
      <c r="T165" s="30"/>
      <c r="AI165" s="31"/>
      <c r="AJ165" s="32"/>
      <c r="AK165" s="33"/>
      <c r="AL165" s="32"/>
      <c r="AM165" s="33"/>
      <c r="AN165" s="33"/>
      <c r="AO165" s="33"/>
      <c r="AP165" s="34"/>
      <c r="AQ165" s="31"/>
    </row>
    <row r="166" spans="14:43" ht="15" thickBot="1" x14ac:dyDescent="0.35">
      <c r="N166" s="29"/>
      <c r="S166" s="18"/>
      <c r="T166" s="30"/>
      <c r="AI166" s="31"/>
      <c r="AJ166" s="32"/>
      <c r="AK166" s="33"/>
      <c r="AL166" s="32"/>
      <c r="AM166" s="32"/>
      <c r="AN166" s="33"/>
      <c r="AO166" s="33"/>
      <c r="AP166" s="34"/>
      <c r="AQ166" s="31"/>
    </row>
    <row r="167" spans="14:43" ht="15" thickBot="1" x14ac:dyDescent="0.35">
      <c r="N167" s="29"/>
      <c r="S167" s="18"/>
      <c r="T167" s="30"/>
      <c r="AI167" s="31"/>
      <c r="AJ167" s="32"/>
      <c r="AK167" s="33"/>
      <c r="AL167" s="32"/>
      <c r="AM167" s="32"/>
      <c r="AN167" s="33"/>
      <c r="AO167" s="33"/>
      <c r="AP167" s="34"/>
      <c r="AQ167" s="31"/>
    </row>
    <row r="168" spans="14:43" ht="15" thickBot="1" x14ac:dyDescent="0.35">
      <c r="N168" s="29"/>
      <c r="S168" s="18"/>
      <c r="T168" s="30"/>
      <c r="AI168" s="31"/>
      <c r="AJ168" s="32"/>
      <c r="AK168" s="33"/>
      <c r="AL168" s="32"/>
      <c r="AM168" s="32"/>
      <c r="AN168" s="33"/>
      <c r="AO168" s="33"/>
      <c r="AP168" s="34"/>
      <c r="AQ168" s="31"/>
    </row>
    <row r="169" spans="14:43" ht="15" thickBot="1" x14ac:dyDescent="0.35">
      <c r="N169" s="29"/>
      <c r="S169" s="18"/>
      <c r="T169" s="30"/>
      <c r="AI169" s="31"/>
      <c r="AJ169" s="32"/>
      <c r="AK169" s="33"/>
      <c r="AL169" s="32"/>
      <c r="AM169" s="32"/>
      <c r="AN169" s="33"/>
      <c r="AO169" s="33"/>
      <c r="AP169" s="34"/>
      <c r="AQ169" s="31"/>
    </row>
    <row r="170" spans="14:43" ht="15" thickBot="1" x14ac:dyDescent="0.35">
      <c r="N170" s="29"/>
      <c r="S170" s="18"/>
      <c r="T170" s="30"/>
      <c r="AI170" s="31"/>
      <c r="AJ170" s="32"/>
      <c r="AK170" s="33"/>
      <c r="AL170" s="32"/>
      <c r="AM170" s="32"/>
      <c r="AN170" s="33"/>
      <c r="AO170" s="33"/>
      <c r="AP170" s="33"/>
      <c r="AQ170" s="31"/>
    </row>
    <row r="171" spans="14:43" ht="15" thickBot="1" x14ac:dyDescent="0.35">
      <c r="N171" s="29"/>
      <c r="S171" s="18"/>
      <c r="T171" s="30"/>
      <c r="AI171" s="31"/>
      <c r="AJ171" s="32"/>
      <c r="AK171" s="33"/>
      <c r="AL171" s="32"/>
      <c r="AM171" s="32"/>
      <c r="AN171" s="33"/>
      <c r="AO171" s="33"/>
      <c r="AP171" s="34"/>
      <c r="AQ171" s="31"/>
    </row>
    <row r="172" spans="14:43" ht="15" thickBot="1" x14ac:dyDescent="0.35">
      <c r="N172" s="29"/>
      <c r="S172" s="18"/>
      <c r="T172" s="30"/>
      <c r="AI172" s="31"/>
      <c r="AJ172" s="32"/>
      <c r="AK172" s="33"/>
      <c r="AL172" s="32"/>
      <c r="AM172" s="32"/>
      <c r="AN172" s="33"/>
      <c r="AO172" s="33"/>
      <c r="AP172" s="34"/>
      <c r="AQ172" s="31"/>
    </row>
    <row r="173" spans="14:43" ht="15" thickBot="1" x14ac:dyDescent="0.35">
      <c r="N173" s="29"/>
      <c r="S173" s="18"/>
      <c r="T173" s="30"/>
      <c r="AI173" s="31"/>
      <c r="AJ173" s="32"/>
      <c r="AK173" s="33"/>
      <c r="AL173" s="32"/>
      <c r="AM173" s="32"/>
      <c r="AN173" s="33"/>
      <c r="AO173" s="33"/>
      <c r="AP173" s="34"/>
      <c r="AQ173" s="31"/>
    </row>
    <row r="174" spans="14:43" ht="15" thickBot="1" x14ac:dyDescent="0.35">
      <c r="N174" s="29"/>
      <c r="S174" s="18"/>
      <c r="T174" s="30"/>
      <c r="AI174" s="31"/>
      <c r="AJ174" s="32"/>
      <c r="AK174" s="33"/>
      <c r="AL174" s="32"/>
      <c r="AM174" s="32"/>
      <c r="AN174" s="33"/>
      <c r="AO174" s="33"/>
      <c r="AP174" s="34"/>
      <c r="AQ174" s="31"/>
    </row>
    <row r="175" spans="14:43" ht="15" thickBot="1" x14ac:dyDescent="0.35">
      <c r="N175" s="29"/>
      <c r="S175" s="18"/>
      <c r="T175" s="30"/>
      <c r="AI175" s="31"/>
      <c r="AJ175" s="32"/>
      <c r="AK175" s="33"/>
      <c r="AL175" s="32"/>
      <c r="AM175" s="32"/>
      <c r="AN175" s="33"/>
      <c r="AO175" s="33"/>
      <c r="AP175" s="34"/>
      <c r="AQ175" s="31"/>
    </row>
    <row r="176" spans="14:43" ht="15" thickBot="1" x14ac:dyDescent="0.35">
      <c r="N176" s="29"/>
      <c r="S176" s="18"/>
      <c r="T176" s="30"/>
      <c r="AI176" s="31"/>
      <c r="AJ176" s="32"/>
      <c r="AK176" s="33"/>
      <c r="AL176" s="32"/>
      <c r="AM176" s="32"/>
      <c r="AN176" s="33"/>
      <c r="AO176" s="33"/>
      <c r="AP176" s="34"/>
      <c r="AQ176" s="31"/>
    </row>
    <row r="177" spans="14:43" ht="15" thickBot="1" x14ac:dyDescent="0.35">
      <c r="N177" s="29"/>
      <c r="S177" s="18"/>
      <c r="T177" s="30"/>
      <c r="AI177" s="31"/>
      <c r="AJ177" s="33"/>
      <c r="AK177" s="33"/>
      <c r="AL177" s="32"/>
      <c r="AM177" s="32"/>
      <c r="AN177" s="33"/>
      <c r="AO177" s="33"/>
      <c r="AP177" s="34"/>
      <c r="AQ177" s="31"/>
    </row>
    <row r="178" spans="14:43" ht="15" thickBot="1" x14ac:dyDescent="0.35">
      <c r="N178" s="29"/>
      <c r="S178" s="18"/>
      <c r="T178" s="30"/>
      <c r="AI178" s="31"/>
      <c r="AJ178" s="33"/>
      <c r="AK178" s="33"/>
      <c r="AL178" s="32"/>
      <c r="AM178" s="32"/>
      <c r="AN178" s="33"/>
      <c r="AO178" s="33"/>
      <c r="AP178" s="34"/>
      <c r="AQ178" s="31"/>
    </row>
    <row r="179" spans="14:43" ht="15" thickBot="1" x14ac:dyDescent="0.35">
      <c r="N179" s="29"/>
      <c r="S179" s="18"/>
      <c r="T179" s="30"/>
      <c r="AI179" s="31"/>
      <c r="AJ179" s="32"/>
      <c r="AK179" s="33"/>
      <c r="AL179" s="32"/>
      <c r="AM179" s="32"/>
      <c r="AN179" s="33"/>
      <c r="AO179" s="33"/>
      <c r="AP179" s="34"/>
      <c r="AQ179" s="31"/>
    </row>
    <row r="180" spans="14:43" ht="15" thickBot="1" x14ac:dyDescent="0.35">
      <c r="N180" s="29"/>
      <c r="S180" s="18"/>
      <c r="T180" s="30"/>
      <c r="AI180" s="31"/>
      <c r="AJ180" s="32"/>
      <c r="AK180" s="33"/>
      <c r="AL180" s="32"/>
      <c r="AM180" s="32"/>
      <c r="AN180" s="33"/>
      <c r="AO180" s="33"/>
      <c r="AP180" s="34"/>
      <c r="AQ180" s="31"/>
    </row>
    <row r="181" spans="14:43" ht="15" thickBot="1" x14ac:dyDescent="0.35">
      <c r="N181" s="29"/>
      <c r="S181" s="18"/>
      <c r="T181" s="30"/>
      <c r="AI181" s="31"/>
      <c r="AJ181" s="32"/>
      <c r="AK181" s="32"/>
      <c r="AL181" s="33"/>
      <c r="AM181" s="32"/>
      <c r="AN181" s="33"/>
      <c r="AO181" s="33"/>
      <c r="AP181" s="34"/>
      <c r="AQ181" s="31"/>
    </row>
    <row r="182" spans="14:43" ht="15" thickBot="1" x14ac:dyDescent="0.35">
      <c r="N182" s="29"/>
      <c r="S182" s="18"/>
      <c r="T182" s="30"/>
      <c r="AI182" s="31"/>
      <c r="AJ182" s="32"/>
      <c r="AK182" s="33"/>
      <c r="AL182" s="32"/>
      <c r="AM182" s="32"/>
      <c r="AN182" s="33"/>
      <c r="AO182" s="33"/>
      <c r="AP182" s="34"/>
      <c r="AQ182" s="31"/>
    </row>
    <row r="183" spans="14:43" ht="15" thickBot="1" x14ac:dyDescent="0.35">
      <c r="N183" s="29"/>
      <c r="S183" s="18"/>
      <c r="T183" s="30"/>
      <c r="AI183" s="31"/>
      <c r="AJ183" s="32"/>
      <c r="AK183" s="33"/>
      <c r="AL183" s="32"/>
      <c r="AM183" s="33"/>
      <c r="AN183" s="33"/>
      <c r="AO183" s="33"/>
      <c r="AP183" s="34"/>
      <c r="AQ183" s="31"/>
    </row>
    <row r="184" spans="14:43" ht="15" thickBot="1" x14ac:dyDescent="0.35">
      <c r="N184" s="29"/>
      <c r="S184" s="18"/>
      <c r="T184" s="30"/>
      <c r="AI184" s="31"/>
      <c r="AJ184" s="33"/>
      <c r="AK184" s="33"/>
      <c r="AL184" s="32"/>
      <c r="AM184" s="32"/>
      <c r="AN184" s="33"/>
      <c r="AO184" s="33"/>
      <c r="AP184" s="34"/>
      <c r="AQ184" s="31"/>
    </row>
    <row r="185" spans="14:43" ht="15" thickBot="1" x14ac:dyDescent="0.35">
      <c r="N185" s="29"/>
      <c r="S185" s="18"/>
      <c r="T185" s="30"/>
      <c r="AI185" s="31"/>
      <c r="AJ185" s="32"/>
      <c r="AK185" s="33"/>
      <c r="AL185" s="32"/>
      <c r="AM185" s="32"/>
      <c r="AN185" s="33"/>
      <c r="AO185" s="33"/>
      <c r="AP185" s="34"/>
      <c r="AQ185" s="31"/>
    </row>
    <row r="186" spans="14:43" ht="15" thickBot="1" x14ac:dyDescent="0.35">
      <c r="N186" s="29"/>
      <c r="S186" s="18"/>
      <c r="T186" s="30"/>
      <c r="AI186" s="31"/>
      <c r="AJ186" s="32"/>
      <c r="AK186" s="33"/>
      <c r="AL186" s="32"/>
      <c r="AM186" s="33"/>
      <c r="AN186" s="33"/>
      <c r="AO186" s="33"/>
      <c r="AP186" s="34"/>
      <c r="AQ186" s="31"/>
    </row>
    <row r="187" spans="14:43" ht="15" thickBot="1" x14ac:dyDescent="0.35">
      <c r="N187" s="29"/>
      <c r="S187" s="18"/>
      <c r="T187" s="30"/>
      <c r="AI187" s="31"/>
      <c r="AJ187" s="32"/>
      <c r="AK187" s="33"/>
      <c r="AL187" s="32"/>
      <c r="AM187" s="32"/>
      <c r="AN187" s="33"/>
      <c r="AO187" s="33"/>
      <c r="AP187" s="34"/>
      <c r="AQ187" s="31"/>
    </row>
    <row r="188" spans="14:43" ht="15" thickBot="1" x14ac:dyDescent="0.35">
      <c r="N188" s="29"/>
      <c r="S188" s="18"/>
      <c r="T188" s="30"/>
      <c r="AI188" s="31"/>
      <c r="AJ188" s="32"/>
      <c r="AK188" s="33"/>
      <c r="AL188" s="32"/>
      <c r="AM188" s="32"/>
      <c r="AN188" s="33"/>
      <c r="AO188" s="33"/>
      <c r="AP188" s="34"/>
      <c r="AQ188" s="31"/>
    </row>
    <row r="189" spans="14:43" ht="15" thickBot="1" x14ac:dyDescent="0.35">
      <c r="N189" s="29"/>
      <c r="S189" s="18"/>
      <c r="T189" s="30"/>
      <c r="AI189" s="31"/>
      <c r="AJ189" s="32"/>
      <c r="AK189" s="33"/>
      <c r="AL189" s="32"/>
      <c r="AM189" s="33"/>
      <c r="AN189" s="33"/>
      <c r="AO189" s="33"/>
      <c r="AP189" s="34"/>
      <c r="AQ189" s="31"/>
    </row>
    <row r="190" spans="14:43" ht="15" thickBot="1" x14ac:dyDescent="0.35">
      <c r="N190" s="29"/>
      <c r="S190" s="18"/>
      <c r="T190" s="30"/>
      <c r="AI190" s="31"/>
      <c r="AJ190" s="32"/>
      <c r="AK190" s="33"/>
      <c r="AL190" s="32"/>
      <c r="AM190" s="32"/>
      <c r="AN190" s="33"/>
      <c r="AO190" s="33"/>
      <c r="AP190" s="34"/>
      <c r="AQ190" s="31"/>
    </row>
    <row r="191" spans="14:43" ht="15" thickBot="1" x14ac:dyDescent="0.35">
      <c r="N191" s="29"/>
      <c r="S191" s="18"/>
      <c r="T191" s="30"/>
      <c r="AI191" s="31"/>
      <c r="AJ191" s="32"/>
      <c r="AK191" s="33"/>
      <c r="AL191" s="32"/>
      <c r="AM191" s="32"/>
      <c r="AN191" s="33"/>
      <c r="AO191" s="33"/>
      <c r="AP191" s="34"/>
      <c r="AQ191" s="31"/>
    </row>
    <row r="192" spans="14:43" ht="15" thickBot="1" x14ac:dyDescent="0.35">
      <c r="N192" s="29"/>
      <c r="S192" s="18"/>
      <c r="T192" s="30"/>
      <c r="AI192" s="31"/>
      <c r="AJ192" s="32"/>
      <c r="AK192" s="33"/>
      <c r="AL192" s="32"/>
      <c r="AM192" s="32"/>
      <c r="AN192" s="33"/>
      <c r="AO192" s="33"/>
      <c r="AP192" s="34"/>
      <c r="AQ192" s="31"/>
    </row>
    <row r="193" spans="14:43" ht="15" thickBot="1" x14ac:dyDescent="0.35">
      <c r="N193" s="29"/>
      <c r="S193" s="18"/>
      <c r="T193" s="30"/>
      <c r="AI193" s="31"/>
      <c r="AJ193" s="32"/>
      <c r="AK193" s="33"/>
      <c r="AL193" s="32"/>
      <c r="AM193" s="32"/>
      <c r="AN193" s="33"/>
      <c r="AO193" s="33"/>
      <c r="AP193" s="34"/>
      <c r="AQ193" s="31"/>
    </row>
    <row r="194" spans="14:43" ht="15" thickBot="1" x14ac:dyDescent="0.35">
      <c r="N194" s="29"/>
      <c r="S194" s="18"/>
      <c r="T194" s="30"/>
      <c r="AI194" s="31"/>
      <c r="AJ194" s="32"/>
      <c r="AK194" s="33"/>
      <c r="AL194" s="32"/>
      <c r="AM194" s="33"/>
      <c r="AN194" s="33"/>
      <c r="AO194" s="33"/>
      <c r="AP194" s="34"/>
      <c r="AQ194" s="31"/>
    </row>
    <row r="195" spans="14:43" ht="15" thickBot="1" x14ac:dyDescent="0.35">
      <c r="N195" s="29"/>
      <c r="S195" s="18"/>
      <c r="T195" s="30"/>
      <c r="AI195" s="31"/>
      <c r="AJ195" s="32"/>
      <c r="AK195" s="33"/>
      <c r="AL195" s="32"/>
      <c r="AM195" s="32"/>
      <c r="AN195" s="33"/>
      <c r="AO195" s="33"/>
      <c r="AP195" s="34"/>
      <c r="AQ195" s="31"/>
    </row>
    <row r="196" spans="14:43" ht="15" thickBot="1" x14ac:dyDescent="0.35">
      <c r="N196" s="29"/>
      <c r="S196" s="18"/>
      <c r="T196" s="30"/>
      <c r="AI196" s="31"/>
      <c r="AJ196" s="32"/>
      <c r="AK196" s="32"/>
      <c r="AL196" s="33"/>
      <c r="AM196" s="32"/>
      <c r="AN196" s="33"/>
      <c r="AO196" s="33"/>
      <c r="AP196" s="33"/>
      <c r="AQ196" s="31"/>
    </row>
    <row r="197" spans="14:43" ht="15" thickBot="1" x14ac:dyDescent="0.35">
      <c r="N197" s="29"/>
      <c r="S197" s="18"/>
      <c r="T197" s="30"/>
      <c r="AI197" s="31"/>
      <c r="AJ197" s="33"/>
      <c r="AK197" s="33"/>
      <c r="AL197" s="32"/>
      <c r="AM197" s="33"/>
      <c r="AN197" s="33"/>
      <c r="AO197" s="33"/>
      <c r="AP197" s="34"/>
      <c r="AQ197" s="31"/>
    </row>
    <row r="198" spans="14:43" ht="15" thickBot="1" x14ac:dyDescent="0.35">
      <c r="N198" s="29"/>
      <c r="S198" s="18"/>
      <c r="T198" s="30"/>
      <c r="AI198" s="31"/>
      <c r="AJ198" s="32"/>
      <c r="AK198" s="33"/>
      <c r="AL198" s="32"/>
      <c r="AM198" s="32"/>
      <c r="AN198" s="33"/>
      <c r="AO198" s="33"/>
      <c r="AP198" s="34"/>
      <c r="AQ198" s="31"/>
    </row>
    <row r="199" spans="14:43" ht="15" thickBot="1" x14ac:dyDescent="0.35">
      <c r="N199" s="29"/>
      <c r="S199" s="18"/>
      <c r="T199" s="30"/>
      <c r="AI199" s="31"/>
      <c r="AJ199" s="32"/>
      <c r="AK199" s="33"/>
      <c r="AL199" s="32"/>
      <c r="AM199" s="32"/>
      <c r="AN199" s="33"/>
      <c r="AO199" s="33"/>
      <c r="AP199" s="34"/>
      <c r="AQ199" s="31"/>
    </row>
    <row r="200" spans="14:43" ht="15" thickBot="1" x14ac:dyDescent="0.35">
      <c r="N200" s="29"/>
      <c r="S200" s="18"/>
      <c r="T200" s="30"/>
      <c r="AI200" s="31"/>
      <c r="AJ200" s="32"/>
      <c r="AK200" s="33"/>
      <c r="AL200" s="32"/>
      <c r="AM200" s="32"/>
      <c r="AN200" s="33"/>
      <c r="AO200" s="33"/>
      <c r="AP200" s="34"/>
      <c r="AQ200" s="31"/>
    </row>
    <row r="201" spans="14:43" ht="15" thickBot="1" x14ac:dyDescent="0.35">
      <c r="N201" s="29"/>
      <c r="S201" s="18"/>
      <c r="T201" s="30"/>
      <c r="AI201" s="31"/>
      <c r="AJ201" s="32"/>
      <c r="AK201" s="33"/>
      <c r="AL201" s="32"/>
      <c r="AM201" s="32"/>
      <c r="AN201" s="33"/>
      <c r="AO201" s="33"/>
      <c r="AP201" s="34"/>
      <c r="AQ201" s="31"/>
    </row>
    <row r="202" spans="14:43" ht="15" thickBot="1" x14ac:dyDescent="0.35">
      <c r="N202" s="29"/>
      <c r="S202" s="18"/>
      <c r="T202" s="30"/>
      <c r="AI202" s="31"/>
      <c r="AJ202" s="32"/>
      <c r="AK202" s="32"/>
      <c r="AL202" s="33"/>
      <c r="AM202" s="32"/>
      <c r="AN202" s="33"/>
      <c r="AO202" s="33"/>
      <c r="AP202" s="34"/>
      <c r="AQ202" s="31"/>
    </row>
    <row r="203" spans="14:43" ht="15" thickBot="1" x14ac:dyDescent="0.35">
      <c r="N203" s="29"/>
      <c r="S203" s="18"/>
      <c r="T203" s="30"/>
      <c r="AI203" s="31"/>
      <c r="AJ203" s="32"/>
      <c r="AK203" s="32"/>
      <c r="AL203" s="33"/>
      <c r="AM203" s="33"/>
      <c r="AN203" s="33"/>
      <c r="AO203" s="33"/>
      <c r="AP203" s="34"/>
      <c r="AQ203" s="31"/>
    </row>
    <row r="204" spans="14:43" ht="15" thickBot="1" x14ac:dyDescent="0.35">
      <c r="N204" s="29"/>
      <c r="S204" s="18"/>
      <c r="T204" s="30"/>
      <c r="AI204" s="31"/>
      <c r="AJ204" s="32"/>
      <c r="AK204" s="33"/>
      <c r="AL204" s="32"/>
      <c r="AM204" s="33"/>
      <c r="AN204" s="33"/>
      <c r="AO204" s="33"/>
      <c r="AP204" s="34"/>
      <c r="AQ204" s="31"/>
    </row>
    <row r="205" spans="14:43" ht="15" thickBot="1" x14ac:dyDescent="0.35">
      <c r="N205" s="29"/>
      <c r="S205" s="18"/>
      <c r="T205" s="30"/>
      <c r="AI205" s="31"/>
      <c r="AJ205" s="33"/>
      <c r="AK205" s="33"/>
      <c r="AL205" s="32"/>
      <c r="AM205" s="32"/>
      <c r="AN205" s="33"/>
      <c r="AO205" s="33"/>
      <c r="AP205" s="33"/>
      <c r="AQ205" s="31"/>
    </row>
    <row r="206" spans="14:43" ht="15" thickBot="1" x14ac:dyDescent="0.35">
      <c r="N206" s="29"/>
      <c r="S206" s="18"/>
      <c r="T206" s="30"/>
      <c r="AI206" s="31"/>
      <c r="AJ206" s="32"/>
      <c r="AK206" s="33"/>
      <c r="AL206" s="32"/>
      <c r="AM206" s="32"/>
      <c r="AN206" s="33"/>
      <c r="AO206" s="33"/>
      <c r="AP206" s="34"/>
      <c r="AQ206" s="31"/>
    </row>
    <row r="207" spans="14:43" ht="15" thickBot="1" x14ac:dyDescent="0.35">
      <c r="N207" s="29"/>
      <c r="S207" s="18"/>
      <c r="T207" s="30"/>
      <c r="AI207" s="31"/>
      <c r="AJ207" s="32"/>
      <c r="AK207" s="33"/>
      <c r="AL207" s="32"/>
      <c r="AM207" s="32"/>
      <c r="AN207" s="33"/>
      <c r="AO207" s="33"/>
      <c r="AP207" s="34"/>
      <c r="AQ207" s="31"/>
    </row>
    <row r="208" spans="14:43" ht="15" thickBot="1" x14ac:dyDescent="0.35">
      <c r="N208" s="29"/>
      <c r="S208" s="18"/>
      <c r="T208" s="30"/>
      <c r="AI208" s="31"/>
      <c r="AJ208" s="33"/>
      <c r="AK208" s="33"/>
      <c r="AL208" s="32"/>
      <c r="AM208" s="33"/>
      <c r="AN208" s="33"/>
      <c r="AO208" s="33"/>
      <c r="AP208" s="34"/>
      <c r="AQ208" s="31"/>
    </row>
    <row r="209" spans="14:43" ht="15" thickBot="1" x14ac:dyDescent="0.35">
      <c r="N209" s="29"/>
      <c r="S209" s="18"/>
      <c r="T209" s="30"/>
      <c r="AI209" s="31"/>
      <c r="AJ209" s="32"/>
      <c r="AK209" s="33"/>
      <c r="AL209" s="32"/>
      <c r="AM209" s="33"/>
      <c r="AN209" s="33"/>
      <c r="AO209" s="33"/>
      <c r="AP209" s="34"/>
      <c r="AQ209" s="31"/>
    </row>
    <row r="210" spans="14:43" ht="15" thickBot="1" x14ac:dyDescent="0.35">
      <c r="N210" s="29"/>
      <c r="S210" s="18"/>
      <c r="T210" s="30"/>
      <c r="AI210" s="31"/>
      <c r="AJ210" s="32"/>
      <c r="AK210" s="33"/>
      <c r="AL210" s="32"/>
      <c r="AM210" s="33"/>
      <c r="AN210" s="33"/>
      <c r="AO210" s="33"/>
      <c r="AP210" s="34"/>
      <c r="AQ210" s="31"/>
    </row>
    <row r="211" spans="14:43" ht="15" thickBot="1" x14ac:dyDescent="0.35">
      <c r="N211" s="29"/>
      <c r="S211" s="18"/>
      <c r="T211" s="30"/>
      <c r="AI211" s="31"/>
      <c r="AJ211" s="32"/>
      <c r="AK211" s="33"/>
      <c r="AL211" s="32"/>
      <c r="AM211" s="32"/>
      <c r="AN211" s="33"/>
      <c r="AO211" s="33"/>
      <c r="AP211" s="34"/>
      <c r="AQ211" s="31"/>
    </row>
    <row r="212" spans="14:43" ht="15" thickBot="1" x14ac:dyDescent="0.35">
      <c r="N212" s="29"/>
      <c r="S212" s="18"/>
      <c r="T212" s="30"/>
      <c r="AI212" s="31"/>
      <c r="AJ212" s="33"/>
      <c r="AK212" s="33"/>
      <c r="AL212" s="33"/>
      <c r="AM212" s="33"/>
      <c r="AN212" s="33"/>
      <c r="AO212" s="33"/>
      <c r="AP212" s="34"/>
      <c r="AQ212" s="31"/>
    </row>
    <row r="213" spans="14:43" ht="15" thickBot="1" x14ac:dyDescent="0.35">
      <c r="N213" s="29"/>
      <c r="S213" s="18"/>
      <c r="T213" s="30"/>
      <c r="AI213" s="31"/>
      <c r="AJ213" s="32"/>
      <c r="AK213" s="33"/>
      <c r="AL213" s="32"/>
      <c r="AM213" s="33"/>
      <c r="AN213" s="33"/>
      <c r="AO213" s="33"/>
      <c r="AP213" s="34"/>
      <c r="AQ213" s="31"/>
    </row>
    <row r="214" spans="14:43" ht="15" thickBot="1" x14ac:dyDescent="0.35">
      <c r="N214" s="29"/>
      <c r="S214" s="18"/>
      <c r="T214" s="30"/>
      <c r="AI214" s="31"/>
      <c r="AJ214" s="32"/>
      <c r="AK214" s="33"/>
      <c r="AL214" s="32"/>
      <c r="AM214" s="32"/>
      <c r="AN214" s="33"/>
      <c r="AO214" s="33"/>
      <c r="AP214" s="34"/>
      <c r="AQ214" s="31"/>
    </row>
    <row r="215" spans="14:43" ht="15" thickBot="1" x14ac:dyDescent="0.35">
      <c r="N215" s="29"/>
      <c r="S215" s="18"/>
      <c r="T215" s="30"/>
      <c r="AI215" s="31"/>
      <c r="AJ215" s="32"/>
      <c r="AK215" s="33"/>
      <c r="AL215" s="33"/>
      <c r="AM215" s="33"/>
      <c r="AN215" s="33"/>
      <c r="AO215" s="33"/>
      <c r="AP215" s="34"/>
      <c r="AQ215" s="31"/>
    </row>
    <row r="216" spans="14:43" ht="15" thickBot="1" x14ac:dyDescent="0.35">
      <c r="N216" s="29"/>
      <c r="S216" s="18"/>
      <c r="T216" s="30"/>
      <c r="AI216" s="31"/>
      <c r="AJ216" s="32"/>
      <c r="AK216" s="33"/>
      <c r="AL216" s="33"/>
      <c r="AM216" s="32"/>
      <c r="AN216" s="33"/>
      <c r="AO216" s="33"/>
      <c r="AP216" s="34"/>
      <c r="AQ216" s="31"/>
    </row>
    <row r="217" spans="14:43" ht="15" thickBot="1" x14ac:dyDescent="0.35">
      <c r="N217" s="29"/>
      <c r="S217" s="18"/>
      <c r="T217" s="30"/>
      <c r="AI217" s="31"/>
      <c r="AJ217" s="32"/>
      <c r="AK217" s="33"/>
      <c r="AL217" s="32"/>
      <c r="AM217" s="32"/>
      <c r="AN217" s="33"/>
      <c r="AO217" s="33"/>
      <c r="AP217" s="34"/>
      <c r="AQ217" s="31"/>
    </row>
    <row r="218" spans="14:43" ht="15" thickBot="1" x14ac:dyDescent="0.35">
      <c r="N218" s="29"/>
      <c r="S218" s="18"/>
      <c r="T218" s="30"/>
      <c r="AI218" s="31"/>
      <c r="AJ218" s="33"/>
      <c r="AK218" s="33"/>
      <c r="AL218" s="33"/>
      <c r="AM218" s="33"/>
      <c r="AN218" s="33"/>
      <c r="AO218" s="33"/>
      <c r="AP218" s="34"/>
      <c r="AQ218" s="31"/>
    </row>
    <row r="219" spans="14:43" ht="15" thickBot="1" x14ac:dyDescent="0.35">
      <c r="N219" s="29"/>
      <c r="S219" s="18"/>
      <c r="T219" s="30"/>
      <c r="AI219" s="31"/>
      <c r="AJ219" s="32"/>
      <c r="AK219" s="33"/>
      <c r="AL219" s="33"/>
      <c r="AM219" s="32"/>
      <c r="AN219" s="33"/>
      <c r="AO219" s="33"/>
      <c r="AP219" s="34"/>
      <c r="AQ219" s="31"/>
    </row>
    <row r="220" spans="14:43" ht="15" thickBot="1" x14ac:dyDescent="0.35">
      <c r="N220" s="29"/>
      <c r="S220" s="18"/>
      <c r="T220" s="30"/>
      <c r="AI220" s="31"/>
      <c r="AJ220" s="32"/>
      <c r="AK220" s="33"/>
      <c r="AL220" s="33"/>
      <c r="AM220" s="33"/>
      <c r="AN220" s="33"/>
      <c r="AO220" s="33"/>
      <c r="AP220" s="34"/>
      <c r="AQ220" s="31"/>
    </row>
    <row r="221" spans="14:43" ht="15" thickBot="1" x14ac:dyDescent="0.35">
      <c r="N221" s="29"/>
      <c r="S221" s="18"/>
      <c r="T221" s="30"/>
      <c r="AI221" s="31"/>
      <c r="AJ221" s="33"/>
      <c r="AK221" s="33"/>
      <c r="AL221" s="33"/>
      <c r="AM221" s="33"/>
      <c r="AN221" s="33"/>
      <c r="AO221" s="33"/>
      <c r="AP221" s="34"/>
      <c r="AQ221" s="31"/>
    </row>
    <row r="222" spans="14:43" ht="15" thickBot="1" x14ac:dyDescent="0.35">
      <c r="N222" s="29"/>
      <c r="S222" s="18"/>
      <c r="T222" s="30"/>
      <c r="AI222" s="31"/>
      <c r="AJ222" s="32"/>
      <c r="AK222" s="33"/>
      <c r="AL222" s="33"/>
      <c r="AM222" s="33"/>
      <c r="AN222" s="33"/>
      <c r="AO222" s="33"/>
      <c r="AP222" s="34"/>
      <c r="AQ222" s="31"/>
    </row>
    <row r="223" spans="14:43" ht="15" thickBot="1" x14ac:dyDescent="0.35">
      <c r="N223" s="29"/>
      <c r="S223" s="18"/>
      <c r="T223" s="30"/>
      <c r="AI223" s="31"/>
      <c r="AJ223" s="32"/>
      <c r="AK223" s="33"/>
      <c r="AL223" s="33"/>
      <c r="AM223" s="33"/>
      <c r="AN223" s="33"/>
      <c r="AO223" s="33"/>
      <c r="AP223" s="34"/>
      <c r="AQ223" s="31"/>
    </row>
    <row r="224" spans="14:43" ht="15" thickBot="1" x14ac:dyDescent="0.35">
      <c r="N224" s="29"/>
      <c r="S224" s="18"/>
      <c r="T224" s="30"/>
      <c r="AI224" s="31"/>
      <c r="AJ224" s="33"/>
      <c r="AK224" s="33"/>
      <c r="AL224" s="33"/>
      <c r="AM224" s="33"/>
      <c r="AN224" s="33"/>
      <c r="AO224" s="33"/>
      <c r="AP224" s="34"/>
      <c r="AQ224" s="31"/>
    </row>
    <row r="225" spans="14:43" ht="15" thickBot="1" x14ac:dyDescent="0.35">
      <c r="N225" s="29"/>
      <c r="S225" s="18"/>
      <c r="T225" s="30"/>
      <c r="AI225" s="31"/>
      <c r="AJ225" s="33"/>
      <c r="AK225" s="33"/>
      <c r="AL225" s="33"/>
      <c r="AM225" s="33"/>
      <c r="AN225" s="33"/>
      <c r="AO225" s="33"/>
      <c r="AP225" s="34"/>
      <c r="AQ225" s="31"/>
    </row>
    <row r="226" spans="14:43" ht="15" thickBot="1" x14ac:dyDescent="0.35">
      <c r="N226" s="29"/>
      <c r="S226" s="18"/>
      <c r="T226" s="30"/>
      <c r="AI226" s="31"/>
      <c r="AJ226" s="33"/>
      <c r="AK226" s="33"/>
      <c r="AL226" s="33"/>
      <c r="AM226" s="33"/>
      <c r="AN226" s="33"/>
      <c r="AO226" s="33"/>
      <c r="AP226" s="34"/>
      <c r="AQ226" s="31"/>
    </row>
    <row r="227" spans="14:43" ht="15" thickBot="1" x14ac:dyDescent="0.35">
      <c r="N227" s="29"/>
      <c r="S227" s="18"/>
      <c r="T227" s="30"/>
      <c r="AI227" s="31"/>
      <c r="AJ227" s="32"/>
      <c r="AK227" s="33"/>
      <c r="AL227" s="33"/>
      <c r="AM227" s="33"/>
      <c r="AN227" s="33"/>
      <c r="AO227" s="33"/>
      <c r="AP227" s="34"/>
      <c r="AQ227" s="31"/>
    </row>
    <row r="228" spans="14:43" ht="15" thickBot="1" x14ac:dyDescent="0.35">
      <c r="N228" s="29"/>
      <c r="S228" s="18"/>
      <c r="T228" s="30"/>
      <c r="AI228" s="31"/>
      <c r="AJ228" s="33"/>
      <c r="AK228" s="33"/>
      <c r="AL228" s="33"/>
      <c r="AM228" s="33"/>
      <c r="AN228" s="33"/>
      <c r="AO228" s="33"/>
      <c r="AP228" s="34"/>
      <c r="AQ228" s="31"/>
    </row>
    <row r="229" spans="14:43" ht="15" thickBot="1" x14ac:dyDescent="0.35">
      <c r="N229" s="29"/>
      <c r="S229" s="18"/>
      <c r="T229" s="30"/>
      <c r="AI229" s="31"/>
      <c r="AJ229" s="33"/>
      <c r="AK229" s="33"/>
      <c r="AL229" s="33"/>
      <c r="AM229" s="33"/>
      <c r="AN229" s="33"/>
      <c r="AO229" s="33"/>
      <c r="AP229" s="34"/>
      <c r="AQ229" s="31"/>
    </row>
    <row r="230" spans="14:43" ht="15" thickBot="1" x14ac:dyDescent="0.35">
      <c r="N230" s="29"/>
      <c r="S230" s="18"/>
      <c r="T230" s="30"/>
      <c r="AI230" s="31"/>
      <c r="AJ230" s="33"/>
      <c r="AK230" s="33"/>
      <c r="AL230" s="33"/>
      <c r="AM230" s="33"/>
      <c r="AN230" s="33"/>
      <c r="AO230" s="33"/>
      <c r="AP230" s="34"/>
      <c r="AQ230" s="31"/>
    </row>
    <row r="231" spans="14:43" ht="15" thickBot="1" x14ac:dyDescent="0.35">
      <c r="N231" s="29"/>
      <c r="S231" s="18"/>
      <c r="T231" s="30"/>
      <c r="AI231" s="31"/>
      <c r="AJ231" s="33"/>
      <c r="AK231" s="33"/>
      <c r="AL231" s="33"/>
      <c r="AM231" s="33"/>
      <c r="AN231" s="33"/>
      <c r="AO231" s="33"/>
      <c r="AP231" s="34"/>
      <c r="AQ231" s="31"/>
    </row>
    <row r="232" spans="14:43" ht="15" thickBot="1" x14ac:dyDescent="0.35">
      <c r="N232" s="29"/>
      <c r="S232" s="18"/>
      <c r="T232" s="30"/>
      <c r="AI232" s="31"/>
      <c r="AJ232" s="33"/>
      <c r="AK232" s="33"/>
      <c r="AL232" s="33"/>
      <c r="AM232" s="33"/>
      <c r="AN232" s="33"/>
      <c r="AO232" s="33"/>
      <c r="AP232" s="34"/>
      <c r="AQ232" s="31"/>
    </row>
    <row r="233" spans="14:43" ht="15" thickBot="1" x14ac:dyDescent="0.35">
      <c r="N233" s="29"/>
      <c r="S233" s="18"/>
      <c r="T233" s="30"/>
      <c r="AI233" s="31"/>
      <c r="AJ233" s="33"/>
      <c r="AK233" s="33"/>
      <c r="AL233" s="33"/>
      <c r="AM233" s="33"/>
      <c r="AN233" s="33"/>
      <c r="AO233" s="33"/>
      <c r="AP233" s="34"/>
      <c r="AQ233" s="31"/>
    </row>
    <row r="234" spans="14:43" ht="15" thickBot="1" x14ac:dyDescent="0.35">
      <c r="N234" s="29"/>
      <c r="S234" s="18"/>
      <c r="T234" s="30"/>
      <c r="AI234" s="31"/>
      <c r="AJ234" s="33"/>
      <c r="AK234" s="33"/>
      <c r="AL234" s="33"/>
      <c r="AM234" s="33"/>
      <c r="AN234" s="33"/>
      <c r="AO234" s="33"/>
      <c r="AP234" s="34"/>
      <c r="AQ234" s="31"/>
    </row>
    <row r="235" spans="14:43" ht="15" thickBot="1" x14ac:dyDescent="0.35">
      <c r="N235" s="29"/>
      <c r="S235" s="18"/>
      <c r="T235" s="30"/>
      <c r="AI235" s="31"/>
      <c r="AJ235" s="33"/>
      <c r="AK235" s="32"/>
      <c r="AL235" s="33"/>
      <c r="AM235" s="33"/>
      <c r="AN235" s="33"/>
      <c r="AO235" s="33"/>
      <c r="AP235" s="34"/>
      <c r="AQ235" s="31"/>
    </row>
    <row r="236" spans="14:43" ht="15" thickBot="1" x14ac:dyDescent="0.35">
      <c r="N236" s="29"/>
      <c r="S236" s="18"/>
      <c r="T236" s="30"/>
      <c r="AI236" s="31"/>
      <c r="AJ236" s="33"/>
      <c r="AK236" s="33"/>
      <c r="AL236" s="33"/>
      <c r="AM236" s="33"/>
      <c r="AN236" s="33"/>
      <c r="AO236" s="33"/>
      <c r="AP236" s="34"/>
      <c r="AQ236" s="31"/>
    </row>
    <row r="237" spans="14:43" ht="15" thickBot="1" x14ac:dyDescent="0.35">
      <c r="N237" s="29"/>
      <c r="S237" s="18"/>
      <c r="T237" s="30"/>
      <c r="AI237" s="31"/>
      <c r="AJ237" s="33"/>
      <c r="AK237" s="33"/>
      <c r="AL237" s="33"/>
      <c r="AM237" s="33"/>
      <c r="AN237" s="33"/>
      <c r="AO237" s="33"/>
      <c r="AP237" s="34"/>
      <c r="AQ237" s="31"/>
    </row>
    <row r="238" spans="14:43" ht="15" thickBot="1" x14ac:dyDescent="0.35">
      <c r="N238" s="29"/>
      <c r="S238" s="18"/>
      <c r="T238" s="30"/>
      <c r="AI238" s="31"/>
      <c r="AJ238" s="33"/>
      <c r="AK238" s="33"/>
      <c r="AL238" s="32"/>
      <c r="AM238" s="33"/>
      <c r="AN238" s="33"/>
      <c r="AO238" s="33"/>
      <c r="AP238" s="34"/>
      <c r="AQ238" s="31"/>
    </row>
    <row r="239" spans="14:43" ht="15" thickBot="1" x14ac:dyDescent="0.35">
      <c r="N239" s="29"/>
      <c r="S239" s="18"/>
      <c r="T239" s="30"/>
      <c r="AI239" s="31"/>
      <c r="AJ239" s="33"/>
      <c r="AK239" s="33"/>
      <c r="AL239" s="33"/>
      <c r="AM239" s="33"/>
      <c r="AN239" s="33"/>
      <c r="AO239" s="33"/>
      <c r="AP239" s="34"/>
      <c r="AQ239" s="31"/>
    </row>
    <row r="240" spans="14:43" ht="15" thickBot="1" x14ac:dyDescent="0.35">
      <c r="N240" s="29"/>
      <c r="S240" s="18"/>
      <c r="T240" s="30"/>
      <c r="AI240" s="31"/>
      <c r="AJ240" s="33"/>
      <c r="AK240" s="33"/>
      <c r="AL240" s="33"/>
      <c r="AM240" s="33"/>
      <c r="AN240" s="33"/>
      <c r="AO240" s="33"/>
      <c r="AP240" s="34"/>
      <c r="AQ240" s="31"/>
    </row>
    <row r="241" spans="14:43" ht="15" thickBot="1" x14ac:dyDescent="0.35">
      <c r="N241" s="29"/>
      <c r="S241" s="18"/>
      <c r="T241" s="30"/>
      <c r="AI241" s="31"/>
      <c r="AJ241" s="33"/>
      <c r="AK241" s="33"/>
      <c r="AL241" s="32"/>
      <c r="AM241" s="33"/>
      <c r="AN241" s="33"/>
      <c r="AO241" s="33"/>
      <c r="AP241" s="34"/>
      <c r="AQ241" s="31"/>
    </row>
    <row r="242" spans="14:43" ht="15" thickBot="1" x14ac:dyDescent="0.35">
      <c r="N242" s="29"/>
      <c r="S242" s="18"/>
      <c r="T242" s="30"/>
      <c r="AI242" s="31"/>
      <c r="AJ242" s="33"/>
      <c r="AK242" s="32"/>
      <c r="AL242" s="33"/>
      <c r="AM242" s="33"/>
      <c r="AN242" s="33"/>
      <c r="AO242" s="33"/>
      <c r="AP242" s="34"/>
      <c r="AQ242" s="31"/>
    </row>
    <row r="243" spans="14:43" ht="15" thickBot="1" x14ac:dyDescent="0.35">
      <c r="N243" s="29"/>
      <c r="S243" s="18"/>
      <c r="T243" s="30"/>
      <c r="AI243" s="31"/>
      <c r="AJ243" s="33"/>
      <c r="AK243" s="32"/>
      <c r="AL243" s="33"/>
      <c r="AM243" s="33"/>
      <c r="AN243" s="33"/>
      <c r="AO243" s="33"/>
      <c r="AP243" s="33"/>
      <c r="AQ243" s="31"/>
    </row>
    <row r="244" spans="14:43" ht="15" thickBot="1" x14ac:dyDescent="0.35">
      <c r="N244" s="29"/>
      <c r="S244" s="18"/>
      <c r="T244" s="30"/>
      <c r="AI244" s="31"/>
      <c r="AJ244" s="33"/>
      <c r="AK244" s="33"/>
      <c r="AL244" s="33"/>
      <c r="AM244" s="33"/>
      <c r="AN244" s="33"/>
      <c r="AO244" s="33"/>
      <c r="AP244" s="34"/>
      <c r="AQ244" s="31"/>
    </row>
    <row r="245" spans="14:43" ht="15" thickBot="1" x14ac:dyDescent="0.35">
      <c r="N245" s="29"/>
      <c r="S245" s="18"/>
      <c r="T245" s="30"/>
      <c r="AI245" s="31"/>
      <c r="AJ245" s="33"/>
      <c r="AK245" s="33"/>
      <c r="AL245" s="33"/>
      <c r="AM245" s="33"/>
      <c r="AN245" s="33"/>
      <c r="AO245" s="33"/>
      <c r="AP245" s="34"/>
      <c r="AQ245" s="31"/>
    </row>
    <row r="246" spans="14:43" ht="15" thickBot="1" x14ac:dyDescent="0.35">
      <c r="N246" s="29"/>
      <c r="S246" s="18"/>
      <c r="T246" s="30"/>
      <c r="AI246" s="31"/>
      <c r="AJ246" s="33"/>
      <c r="AK246" s="33"/>
      <c r="AL246" s="33"/>
      <c r="AM246" s="33"/>
      <c r="AN246" s="33"/>
      <c r="AO246" s="33"/>
      <c r="AP246" s="34"/>
      <c r="AQ246" s="31"/>
    </row>
    <row r="247" spans="14:43" ht="15" thickBot="1" x14ac:dyDescent="0.35">
      <c r="N247" s="29"/>
      <c r="S247" s="18"/>
      <c r="T247" s="30"/>
      <c r="AI247" s="31"/>
      <c r="AJ247" s="33"/>
      <c r="AK247" s="33"/>
      <c r="AL247" s="33"/>
      <c r="AM247" s="33"/>
      <c r="AN247" s="33"/>
      <c r="AO247" s="33"/>
      <c r="AP247" s="34"/>
      <c r="AQ247" s="31"/>
    </row>
    <row r="248" spans="14:43" ht="15" thickBot="1" x14ac:dyDescent="0.35">
      <c r="N248" s="29"/>
      <c r="S248" s="18"/>
      <c r="T248" s="30"/>
      <c r="AI248" s="31"/>
      <c r="AJ248" s="33"/>
      <c r="AK248" s="32"/>
      <c r="AL248" s="33"/>
      <c r="AM248" s="33"/>
      <c r="AN248" s="33"/>
      <c r="AO248" s="33"/>
      <c r="AP248" s="33"/>
      <c r="AQ248" s="31"/>
    </row>
    <row r="249" spans="14:43" ht="15" thickBot="1" x14ac:dyDescent="0.35">
      <c r="N249" s="29"/>
      <c r="S249" s="18"/>
      <c r="T249" s="30"/>
      <c r="AI249" s="31"/>
      <c r="AJ249" s="33"/>
      <c r="AK249" s="33"/>
      <c r="AL249" s="33"/>
      <c r="AM249" s="33"/>
      <c r="AN249" s="33"/>
      <c r="AO249" s="33"/>
      <c r="AP249" s="34"/>
      <c r="AQ249" s="31"/>
    </row>
    <row r="250" spans="14:43" ht="15" thickBot="1" x14ac:dyDescent="0.35">
      <c r="N250" s="29"/>
      <c r="S250" s="18"/>
      <c r="T250" s="30"/>
      <c r="AI250" s="31"/>
      <c r="AJ250" s="33"/>
      <c r="AK250" s="33"/>
      <c r="AL250" s="33"/>
      <c r="AM250" s="33"/>
      <c r="AN250" s="33"/>
      <c r="AO250" s="33"/>
      <c r="AP250" s="34"/>
      <c r="AQ250" s="31"/>
    </row>
    <row r="251" spans="14:43" ht="15" thickBot="1" x14ac:dyDescent="0.35">
      <c r="N251" s="29"/>
      <c r="S251" s="18"/>
      <c r="T251" s="30"/>
      <c r="AI251" s="31"/>
      <c r="AJ251" s="33"/>
      <c r="AK251" s="33"/>
      <c r="AL251" s="33"/>
      <c r="AM251" s="33"/>
      <c r="AN251" s="33"/>
      <c r="AO251" s="33"/>
      <c r="AP251" s="33"/>
      <c r="AQ251" s="31"/>
    </row>
    <row r="252" spans="14:43" ht="15" thickBot="1" x14ac:dyDescent="0.35">
      <c r="N252" s="29"/>
      <c r="S252" s="18"/>
      <c r="T252" s="30"/>
      <c r="AI252" s="31"/>
      <c r="AJ252" s="33"/>
      <c r="AK252" s="33"/>
      <c r="AL252" s="33"/>
      <c r="AM252" s="33"/>
      <c r="AN252" s="33"/>
      <c r="AO252" s="33"/>
      <c r="AP252" s="34"/>
      <c r="AQ252" s="31"/>
    </row>
    <row r="253" spans="14:43" ht="15" thickBot="1" x14ac:dyDescent="0.35">
      <c r="N253" s="29"/>
      <c r="S253" s="18"/>
      <c r="T253" s="30"/>
      <c r="AI253" s="31"/>
      <c r="AJ253" s="33"/>
      <c r="AK253" s="33"/>
      <c r="AL253" s="33"/>
      <c r="AM253" s="33"/>
      <c r="AN253" s="33"/>
      <c r="AO253" s="33"/>
      <c r="AP253" s="33"/>
      <c r="AQ253" s="31"/>
    </row>
    <row r="254" spans="14:43" ht="15" thickBot="1" x14ac:dyDescent="0.35">
      <c r="N254" s="29"/>
      <c r="S254" s="18"/>
      <c r="T254" s="30"/>
      <c r="AI254" s="31"/>
      <c r="AJ254" s="33"/>
      <c r="AK254" s="33"/>
      <c r="AL254" s="33"/>
      <c r="AM254" s="33"/>
      <c r="AN254" s="33"/>
      <c r="AO254" s="33"/>
      <c r="AP254" s="34"/>
      <c r="AQ254" s="31"/>
    </row>
    <row r="255" spans="14:43" ht="15" thickBot="1" x14ac:dyDescent="0.35">
      <c r="N255" s="29"/>
      <c r="S255" s="18"/>
      <c r="T255" s="30"/>
      <c r="AI255" s="31"/>
      <c r="AJ255" s="33"/>
      <c r="AK255" s="33"/>
      <c r="AL255" s="33"/>
      <c r="AM255" s="33"/>
      <c r="AN255" s="33"/>
      <c r="AO255" s="33"/>
      <c r="AP255" s="34"/>
      <c r="AQ255" s="31"/>
    </row>
    <row r="256" spans="14:43" ht="15" thickBot="1" x14ac:dyDescent="0.35">
      <c r="N256" s="29"/>
      <c r="S256" s="18"/>
      <c r="T256" s="30"/>
      <c r="AI256" s="31"/>
      <c r="AJ256" s="33"/>
      <c r="AK256" s="33"/>
      <c r="AL256" s="33"/>
      <c r="AM256" s="33"/>
      <c r="AN256" s="33"/>
      <c r="AO256" s="33"/>
      <c r="AP256" s="33"/>
      <c r="AQ256" s="31"/>
    </row>
    <row r="257" spans="14:43" ht="15" thickBot="1" x14ac:dyDescent="0.35">
      <c r="N257" s="29"/>
      <c r="S257" s="18"/>
      <c r="T257" s="30"/>
      <c r="AI257" s="31"/>
      <c r="AJ257" s="33"/>
      <c r="AK257" s="33"/>
      <c r="AL257" s="33"/>
      <c r="AM257" s="33"/>
      <c r="AN257" s="33"/>
      <c r="AO257" s="33"/>
      <c r="AP257" s="34"/>
      <c r="AQ257" s="31"/>
    </row>
    <row r="258" spans="14:43" ht="15" thickBot="1" x14ac:dyDescent="0.35">
      <c r="N258" s="29"/>
      <c r="S258" s="18"/>
      <c r="T258" s="30"/>
      <c r="AI258" s="31"/>
      <c r="AJ258" s="33"/>
      <c r="AK258" s="33"/>
      <c r="AL258" s="33"/>
      <c r="AM258" s="33"/>
      <c r="AN258" s="33"/>
      <c r="AO258" s="33"/>
      <c r="AP258" s="34"/>
      <c r="AQ258" s="31"/>
    </row>
    <row r="259" spans="14:43" ht="15" thickBot="1" x14ac:dyDescent="0.35">
      <c r="N259" s="29"/>
      <c r="S259" s="18"/>
      <c r="T259" s="30"/>
      <c r="AI259" s="31"/>
      <c r="AJ259" s="33"/>
      <c r="AK259" s="33"/>
      <c r="AL259" s="33"/>
      <c r="AM259" s="33"/>
      <c r="AN259" s="33"/>
      <c r="AO259" s="33"/>
      <c r="AP259" s="34"/>
      <c r="AQ259" s="31"/>
    </row>
    <row r="260" spans="14:43" ht="15" thickBot="1" x14ac:dyDescent="0.35">
      <c r="N260" s="29"/>
      <c r="S260" s="18"/>
      <c r="T260" s="30"/>
      <c r="AI260" s="31"/>
      <c r="AJ260" s="33"/>
      <c r="AK260" s="33"/>
      <c r="AL260" s="33"/>
      <c r="AM260" s="33"/>
      <c r="AN260" s="33"/>
      <c r="AO260" s="33"/>
      <c r="AP260" s="34"/>
      <c r="AQ260" s="31"/>
    </row>
    <row r="261" spans="14:43" ht="15" thickBot="1" x14ac:dyDescent="0.35">
      <c r="N261" s="29"/>
      <c r="S261" s="18"/>
      <c r="T261" s="30"/>
      <c r="AI261" s="31"/>
      <c r="AJ261" s="33"/>
      <c r="AK261" s="33"/>
      <c r="AL261" s="32"/>
      <c r="AM261" s="33"/>
      <c r="AN261" s="33"/>
      <c r="AO261" s="33"/>
      <c r="AP261" s="34"/>
      <c r="AQ261" s="31"/>
    </row>
    <row r="262" spans="14:43" ht="15" thickBot="1" x14ac:dyDescent="0.35">
      <c r="N262" s="29"/>
      <c r="S262" s="18"/>
      <c r="T262" s="30"/>
      <c r="AI262" s="31"/>
      <c r="AJ262" s="33"/>
      <c r="AK262" s="33"/>
      <c r="AL262" s="33"/>
      <c r="AM262" s="33"/>
      <c r="AN262" s="33"/>
      <c r="AO262" s="33"/>
      <c r="AP262" s="34"/>
      <c r="AQ262" s="31"/>
    </row>
    <row r="263" spans="14:43" ht="15" thickBot="1" x14ac:dyDescent="0.35">
      <c r="N263" s="29"/>
      <c r="S263" s="18"/>
      <c r="T263" s="30"/>
      <c r="AI263" s="31"/>
      <c r="AJ263" s="33"/>
      <c r="AK263" s="33"/>
      <c r="AL263" s="33"/>
      <c r="AM263" s="33"/>
      <c r="AN263" s="33"/>
      <c r="AO263" s="33"/>
      <c r="AP263" s="34"/>
      <c r="AQ263" s="31"/>
    </row>
    <row r="264" spans="14:43" ht="15" thickBot="1" x14ac:dyDescent="0.35">
      <c r="N264" s="36"/>
      <c r="S264" s="18"/>
      <c r="T264" s="37"/>
      <c r="AI264" s="38"/>
      <c r="AJ264" s="39"/>
      <c r="AK264" s="40"/>
      <c r="AL264" s="39"/>
      <c r="AM264" s="39"/>
      <c r="AN264" s="39"/>
      <c r="AO264" s="39"/>
      <c r="AP264" s="39"/>
      <c r="AQ264" s="38"/>
    </row>
  </sheetData>
  <pageMargins left="0.7" right="0.7" top="0.75" bottom="0.75" header="0.3" footer="0.3"/>
  <pageSetup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KU200"/>
  <sheetViews>
    <sheetView zoomScale="94" workbookViewId="0">
      <selection activeCell="I5" sqref="I5:L5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>MAX(I2:CL2)</f>
        <v>95643225032.107452</v>
      </c>
      <c r="E2" s="6">
        <f>IF(COUNTIF(I2:XFD2,"&gt;"&amp;0)=0,,HLOOKUP(COUNTIF(I2:XFD2,"&gt;"&amp;0)-1,I$1:XFD2,A2+1,FALSE))</f>
        <v>95643225032.107452</v>
      </c>
      <c r="F2" s="7">
        <f>IF(COUNTIF(I2:XFD2,"&gt;"&amp;0)=0,,HLOOKUP(COUNTIF(I2:XFD2,"&gt;"&amp;0)-MIN($F$1+1,COUNTIF(I2:XFD2,"&gt;"&amp;0)),I$1:XFD2,A2+1,FALSE))</f>
        <v>12594992596.820734</v>
      </c>
      <c r="G2" s="8">
        <f>IF(COUNTIF(I2:XFD2,"&gt;"&amp;0)=0,,(E2/F2)^(1/MIN(COUNTIF(I2:XFD2,"&gt;"&amp;0)-1,$F$1)))</f>
        <v>1.5</v>
      </c>
      <c r="H2" s="15" t="s">
        <v>430</v>
      </c>
      <c r="I2" s="9">
        <v>100</v>
      </c>
      <c r="J2" s="10">
        <f>I2*1.5</f>
        <v>150</v>
      </c>
      <c r="K2" s="10">
        <f>J2*1.5</f>
        <v>225</v>
      </c>
      <c r="L2" s="10">
        <f>K2*1.5</f>
        <v>337.5</v>
      </c>
      <c r="M2" s="10">
        <f>L2*1.5</f>
        <v>506.25</v>
      </c>
      <c r="N2" s="10">
        <f>M2*1.5</f>
        <v>759.375</v>
      </c>
      <c r="O2" s="10">
        <f>N2*1.5</f>
        <v>1139.0625</v>
      </c>
      <c r="P2" s="10">
        <f>O2*1.5</f>
        <v>1708.59375</v>
      </c>
      <c r="Q2" s="10">
        <f>P2*1.5</f>
        <v>2562.890625</v>
      </c>
      <c r="R2" s="10">
        <f>Q2*1.5</f>
        <v>3844.3359375</v>
      </c>
      <c r="S2" s="10">
        <f>R2*1.5</f>
        <v>5766.50390625</v>
      </c>
      <c r="T2" s="10">
        <f>S2*1.5</f>
        <v>8649.755859375</v>
      </c>
      <c r="U2" s="10">
        <f>T2*1.5</f>
        <v>12974.6337890625</v>
      </c>
      <c r="V2" s="10">
        <f>U2*1.5</f>
        <v>19461.95068359375</v>
      </c>
      <c r="W2" s="10">
        <f>V2*1.5</f>
        <v>29192.926025390625</v>
      </c>
      <c r="X2" s="10">
        <f>W2*1.5</f>
        <v>43789.389038085938</v>
      </c>
      <c r="Y2" s="10">
        <f>X2*1.5</f>
        <v>65684.083557128906</v>
      </c>
      <c r="Z2" s="10">
        <f>Y2*1.5</f>
        <v>98526.125335693359</v>
      </c>
      <c r="AA2" s="10">
        <f>Z2*1.5</f>
        <v>147789.18800354004</v>
      </c>
      <c r="AB2" s="10">
        <f>AA2*1.5</f>
        <v>221683.78200531006</v>
      </c>
      <c r="AC2" s="10">
        <f>AB2*1.5</f>
        <v>332525.67300796509</v>
      </c>
      <c r="AD2" s="10">
        <f>AC2*1.5</f>
        <v>498788.50951194763</v>
      </c>
      <c r="AE2" s="10">
        <f>AD2*1.5</f>
        <v>748182.76426792145</v>
      </c>
      <c r="AF2" s="10">
        <f>AE2*1.5</f>
        <v>1122274.1464018822</v>
      </c>
      <c r="AG2" s="10">
        <f>AF2*1.5</f>
        <v>1683411.2196028233</v>
      </c>
      <c r="AH2" s="10">
        <f>AG2*1.5</f>
        <v>2525116.8294042349</v>
      </c>
      <c r="AI2" s="10">
        <f>AH2*1.5</f>
        <v>3787675.2441063523</v>
      </c>
      <c r="AJ2" s="10">
        <f>AI2*1.5</f>
        <v>5681512.8661595285</v>
      </c>
      <c r="AK2" s="10">
        <f>AJ2*1.5</f>
        <v>8522269.2992392927</v>
      </c>
      <c r="AL2" s="10">
        <f>AK2*1.5</f>
        <v>12783403.948858939</v>
      </c>
      <c r="AM2" s="10">
        <f>AL2*1.5</f>
        <v>19175105.923288409</v>
      </c>
      <c r="AN2" s="10">
        <f>AM2*1.5</f>
        <v>28762658.884932615</v>
      </c>
      <c r="AO2" s="10">
        <f>AN2*1.5</f>
        <v>43143988.327398926</v>
      </c>
      <c r="AP2" s="10">
        <f>AO2*1.5</f>
        <v>64715982.491098389</v>
      </c>
      <c r="AQ2" s="10">
        <f>AP2*1.5</f>
        <v>97073973.736647576</v>
      </c>
      <c r="AR2" s="10">
        <f>AQ2*1.5</f>
        <v>145610960.60497135</v>
      </c>
      <c r="AS2" s="10">
        <f>AR2*1.5</f>
        <v>218416440.90745702</v>
      </c>
      <c r="AT2" s="10">
        <f>AS2*1.5</f>
        <v>327624661.36118555</v>
      </c>
      <c r="AU2" s="10">
        <f>AT2*1.5</f>
        <v>491436992.04177833</v>
      </c>
      <c r="AV2" s="10">
        <f>AU2*1.5</f>
        <v>737155488.06266749</v>
      </c>
      <c r="AW2" s="10">
        <f>AV2*1.5</f>
        <v>1105733232.0940013</v>
      </c>
      <c r="AX2" s="10">
        <f>AW2*1.5</f>
        <v>1658599848.1410019</v>
      </c>
      <c r="AY2" s="10">
        <f>AX2*1.5</f>
        <v>2487899772.211503</v>
      </c>
      <c r="AZ2" s="10">
        <f>AY2*1.5</f>
        <v>3731849658.3172545</v>
      </c>
      <c r="BA2" s="10">
        <f>AZ2*1.5</f>
        <v>5597774487.4758816</v>
      </c>
      <c r="BB2" s="10">
        <f>BA2*1.5</f>
        <v>8396661731.2138224</v>
      </c>
      <c r="BC2" s="10">
        <f>BB2*1.5</f>
        <v>12594992596.820734</v>
      </c>
      <c r="BD2" s="10">
        <f>BC2*1.5</f>
        <v>18892488895.231102</v>
      </c>
      <c r="BE2" s="10">
        <f>BD2*1.5</f>
        <v>28338733342.846653</v>
      </c>
      <c r="BF2" s="10">
        <f>BE2*1.5</f>
        <v>42508100014.269981</v>
      </c>
      <c r="BG2" s="10">
        <f>BF2*1.5</f>
        <v>63762150021.404968</v>
      </c>
      <c r="BH2" s="10">
        <f>BG2*1.5</f>
        <v>95643225032.107452</v>
      </c>
    </row>
    <row r="3" spans="1:307" x14ac:dyDescent="0.25">
      <c r="A3" s="9">
        <f t="shared" ref="A3:A200" si="5">A2+1</f>
        <v>2</v>
      </c>
      <c r="B3" s="9">
        <v>1</v>
      </c>
      <c r="C3" s="9" t="str">
        <f>H3</f>
        <v>40% Daily Increase</v>
      </c>
      <c r="D3" s="6">
        <f>MAX(I3:CL3)</f>
        <v>2834848273.5670052</v>
      </c>
      <c r="E3" s="6">
        <f>IF(COUNTIF(I3:XFD3,"&gt;"&amp;0)=0,,HLOOKUP(COUNTIF(I3:XFD3,"&gt;"&amp;0)-1,I$1:XFD3,A3+1,FALSE))</f>
        <v>2834848273.5670052</v>
      </c>
      <c r="F3" s="7">
        <f>IF(COUNTIF(I3:XFD3,"&gt;"&amp;0)=0,,HLOOKUP(COUNTIF(I3:XFD3,"&gt;"&amp;0)-MIN($F$1+1,COUNTIF(I3:XFD3,"&gt;"&amp;0)),I$1:XFD3,A3+1,FALSE))</f>
        <v>527095903.78395271</v>
      </c>
      <c r="G3" s="8">
        <f>IF(COUNTIF(I3:XFD3,"&gt;"&amp;0)=0,,(E3/F3)^(1/MIN(COUNTIF(I3:XFD3,"&gt;"&amp;0)-1,$F$1)))</f>
        <v>1.4000000000000001</v>
      </c>
      <c r="H3" s="15" t="s">
        <v>431</v>
      </c>
      <c r="I3" s="9">
        <v>100</v>
      </c>
      <c r="J3" s="10">
        <f>I3*1.4</f>
        <v>140</v>
      </c>
      <c r="K3" s="10">
        <f>J3*1.4</f>
        <v>196</v>
      </c>
      <c r="L3" s="10">
        <f>K3*1.4</f>
        <v>274.39999999999998</v>
      </c>
      <c r="M3" s="10">
        <f>L3*1.4</f>
        <v>384.15999999999997</v>
      </c>
      <c r="N3" s="10">
        <f>M3*1.4</f>
        <v>537.82399999999996</v>
      </c>
      <c r="O3" s="10">
        <f>N3*1.4</f>
        <v>752.95359999999994</v>
      </c>
      <c r="P3" s="10">
        <f>O3*1.4</f>
        <v>1054.1350399999999</v>
      </c>
      <c r="Q3" s="10">
        <f>P3*1.4</f>
        <v>1475.7890559999998</v>
      </c>
      <c r="R3" s="10">
        <f>Q3*1.4</f>
        <v>2066.1046783999996</v>
      </c>
      <c r="S3" s="10">
        <f>R3*1.4</f>
        <v>2892.5465497599994</v>
      </c>
      <c r="T3" s="10">
        <f>S3*1.4</f>
        <v>4049.5651696639989</v>
      </c>
      <c r="U3" s="10">
        <f>T3*1.4</f>
        <v>5669.3912375295977</v>
      </c>
      <c r="V3" s="10">
        <f>U3*1.4</f>
        <v>7937.1477325414362</v>
      </c>
      <c r="W3" s="10">
        <f>V3*1.4</f>
        <v>11112.00682555801</v>
      </c>
      <c r="X3" s="10">
        <f>W3*1.4</f>
        <v>15556.809555781212</v>
      </c>
      <c r="Y3" s="10">
        <f>X3*1.4</f>
        <v>21779.533378093696</v>
      </c>
      <c r="Z3" s="10">
        <f>Y3*1.4</f>
        <v>30491.346729331173</v>
      </c>
      <c r="AA3" s="10">
        <f>Z3*1.4</f>
        <v>42687.885421063642</v>
      </c>
      <c r="AB3" s="10">
        <f>AA3*1.4</f>
        <v>59763.039589489097</v>
      </c>
      <c r="AC3" s="10">
        <f>AB3*1.4</f>
        <v>83668.255425284733</v>
      </c>
      <c r="AD3" s="10">
        <f>AC3*1.4</f>
        <v>117135.55759539861</v>
      </c>
      <c r="AE3" s="10">
        <f>AD3*1.4</f>
        <v>163989.78063355805</v>
      </c>
      <c r="AF3" s="10">
        <f>AE3*1.4</f>
        <v>229585.69288698127</v>
      </c>
      <c r="AG3" s="10">
        <f>AF3*1.4</f>
        <v>321419.97004177375</v>
      </c>
      <c r="AH3" s="10">
        <f>AG3*1.4</f>
        <v>449987.9580584832</v>
      </c>
      <c r="AI3" s="10">
        <f>AH3*1.4</f>
        <v>629983.14128187648</v>
      </c>
      <c r="AJ3" s="10">
        <f>AI3*1.4</f>
        <v>881976.397794627</v>
      </c>
      <c r="AK3" s="10">
        <f>AJ3*1.4</f>
        <v>1234766.9569124777</v>
      </c>
      <c r="AL3" s="10">
        <f>AK3*1.4</f>
        <v>1728673.7396774688</v>
      </c>
      <c r="AM3" s="10">
        <f>AL3*1.4</f>
        <v>2420143.2355484562</v>
      </c>
      <c r="AN3" s="10">
        <f>AM3*1.4</f>
        <v>3388200.5297678383</v>
      </c>
      <c r="AO3" s="10">
        <f>AN3*1.4</f>
        <v>4743480.7416749736</v>
      </c>
      <c r="AP3" s="10">
        <f>AO3*1.4</f>
        <v>6640873.0383449625</v>
      </c>
      <c r="AQ3" s="10">
        <f>AP3*1.4</f>
        <v>9297222.2536829468</v>
      </c>
      <c r="AR3" s="10">
        <f>AQ3*1.4</f>
        <v>13016111.155156124</v>
      </c>
      <c r="AS3" s="10">
        <f>AR3*1.4</f>
        <v>18222555.617218573</v>
      </c>
      <c r="AT3" s="10">
        <f>AS3*1.4</f>
        <v>25511577.864105999</v>
      </c>
      <c r="AU3" s="10">
        <f>AT3*1.4</f>
        <v>35716209.009748399</v>
      </c>
      <c r="AV3" s="10">
        <f>AU3*1.4</f>
        <v>50002692.613647759</v>
      </c>
      <c r="AW3" s="10">
        <f>AV3*1.4</f>
        <v>70003769.659106866</v>
      </c>
      <c r="AX3" s="10">
        <f>AW3*1.4</f>
        <v>98005277.522749603</v>
      </c>
      <c r="AY3" s="10">
        <f>AX3*1.4</f>
        <v>137207388.53184944</v>
      </c>
      <c r="AZ3" s="10">
        <f>AY3*1.4</f>
        <v>192090343.9445892</v>
      </c>
      <c r="BA3" s="10">
        <f>AZ3*1.4</f>
        <v>268926481.52242488</v>
      </c>
      <c r="BB3" s="10">
        <f>BA3*1.4</f>
        <v>376497074.1313948</v>
      </c>
      <c r="BC3" s="10">
        <f>BB3*1.4</f>
        <v>527095903.78395271</v>
      </c>
      <c r="BD3" s="10">
        <f>BC3*1.4</f>
        <v>737934265.29753375</v>
      </c>
      <c r="BE3" s="10">
        <f>BD3*1.4</f>
        <v>1033107971.4165472</v>
      </c>
      <c r="BF3" s="10">
        <f>BE3*1.4</f>
        <v>1446351159.983166</v>
      </c>
      <c r="BG3" s="10">
        <f>BF3*1.4</f>
        <v>2024891623.9764323</v>
      </c>
      <c r="BH3" s="10">
        <f>BG3*1.4</f>
        <v>2834848273.5670052</v>
      </c>
    </row>
    <row r="4" spans="1:307" x14ac:dyDescent="0.25">
      <c r="A4" s="9">
        <f t="shared" si="5"/>
        <v>3</v>
      </c>
      <c r="B4" s="9">
        <v>1</v>
      </c>
      <c r="C4" s="9" t="str">
        <f>H4</f>
        <v>30% Daily Increase</v>
      </c>
      <c r="D4" s="6">
        <f>MAX(I4:CL4)</f>
        <v>64730798.98728662</v>
      </c>
      <c r="E4" s="6">
        <f>IF(COUNTIF(I4:XFD4,"&gt;"&amp;0)=0,,HLOOKUP(COUNTIF(I4:XFD4,"&gt;"&amp;0)-1,I$1:XFD4,A4+1,FALSE))</f>
        <v>64730798.98728662</v>
      </c>
      <c r="F4" s="7">
        <f>IF(COUNTIF(I4:XFD4,"&gt;"&amp;0)=0,,HLOOKUP(COUNTIF(I4:XFD4,"&gt;"&amp;0)-MIN($F$1+1,COUNTIF(I4:XFD4,"&gt;"&amp;0)),I$1:XFD4,A4+1,FALSE))</f>
        <v>17433886.172722515</v>
      </c>
      <c r="G4" s="8">
        <f>IF(COUNTIF(I4:XFD4,"&gt;"&amp;0)=0,,(E4/F4)^(1/MIN(COUNTIF(I4:XFD4,"&gt;"&amp;0)-1,$F$1)))</f>
        <v>1.3</v>
      </c>
      <c r="H4" s="15" t="s">
        <v>432</v>
      </c>
      <c r="I4" s="9">
        <v>100</v>
      </c>
      <c r="J4" s="10">
        <f>I4*1.3</f>
        <v>130</v>
      </c>
      <c r="K4" s="10">
        <f>J4*1.3</f>
        <v>169</v>
      </c>
      <c r="L4" s="10">
        <f>K4*1.3</f>
        <v>219.70000000000002</v>
      </c>
      <c r="M4" s="10">
        <f>L4*1.3</f>
        <v>285.61</v>
      </c>
      <c r="N4" s="10">
        <f>M4*1.3</f>
        <v>371.29300000000001</v>
      </c>
      <c r="O4" s="10">
        <f>N4*1.3</f>
        <v>482.68090000000001</v>
      </c>
      <c r="P4" s="10">
        <f>O4*1.3</f>
        <v>627.48517000000004</v>
      </c>
      <c r="Q4" s="10">
        <f>P4*1.3</f>
        <v>815.73072100000013</v>
      </c>
      <c r="R4" s="10">
        <f>Q4*1.3</f>
        <v>1060.4499373000001</v>
      </c>
      <c r="S4" s="10">
        <f>R4*1.3</f>
        <v>1378.5849184900003</v>
      </c>
      <c r="T4" s="10">
        <f>S4*1.3</f>
        <v>1792.1603940370005</v>
      </c>
      <c r="U4" s="10">
        <f>T4*1.3</f>
        <v>2329.8085122481007</v>
      </c>
      <c r="V4" s="10">
        <f>U4*1.3</f>
        <v>3028.7510659225309</v>
      </c>
      <c r="W4" s="10">
        <f>V4*1.3</f>
        <v>3937.37638569929</v>
      </c>
      <c r="X4" s="10">
        <f>W4*1.3</f>
        <v>5118.5893014090771</v>
      </c>
      <c r="Y4" s="10">
        <f>X4*1.3</f>
        <v>6654.1660918318003</v>
      </c>
      <c r="Z4" s="10">
        <f>Y4*1.3</f>
        <v>8650.4159193813412</v>
      </c>
      <c r="AA4" s="10">
        <f>Z4*1.3</f>
        <v>11245.540695195745</v>
      </c>
      <c r="AB4" s="10">
        <f>AA4*1.3</f>
        <v>14619.202903754469</v>
      </c>
      <c r="AC4" s="10">
        <f>AB4*1.3</f>
        <v>19004.963774880809</v>
      </c>
      <c r="AD4" s="10">
        <f>AC4*1.3</f>
        <v>24706.452907345054</v>
      </c>
      <c r="AE4" s="10">
        <f>AD4*1.3</f>
        <v>32118.388779548572</v>
      </c>
      <c r="AF4" s="10">
        <f>AE4*1.3</f>
        <v>41753.905413413144</v>
      </c>
      <c r="AG4" s="10">
        <f>AF4*1.3</f>
        <v>54280.077037437091</v>
      </c>
      <c r="AH4" s="10">
        <f>AG4*1.3</f>
        <v>70564.100148668222</v>
      </c>
      <c r="AI4" s="10">
        <f>AH4*1.3</f>
        <v>91733.330193268688</v>
      </c>
      <c r="AJ4" s="10">
        <f>AI4*1.3</f>
        <v>119253.32925124929</v>
      </c>
      <c r="AK4" s="10">
        <f>AJ4*1.3</f>
        <v>155029.32802662408</v>
      </c>
      <c r="AL4" s="10">
        <f>AK4*1.3</f>
        <v>201538.1264346113</v>
      </c>
      <c r="AM4" s="10">
        <f>AL4*1.3</f>
        <v>261999.5643649947</v>
      </c>
      <c r="AN4" s="10">
        <f>AM4*1.3</f>
        <v>340599.43367449311</v>
      </c>
      <c r="AO4" s="10">
        <f>AN4*1.3</f>
        <v>442779.26377684105</v>
      </c>
      <c r="AP4" s="10">
        <f>AO4*1.3</f>
        <v>575613.04290989344</v>
      </c>
      <c r="AQ4" s="10">
        <f>AP4*1.3</f>
        <v>748296.95578286145</v>
      </c>
      <c r="AR4" s="10">
        <f>AQ4*1.3</f>
        <v>972786.04251771991</v>
      </c>
      <c r="AS4" s="10">
        <f>AR4*1.3</f>
        <v>1264621.8552730358</v>
      </c>
      <c r="AT4" s="10">
        <f>AS4*1.3</f>
        <v>1644008.4118549465</v>
      </c>
      <c r="AU4" s="10">
        <f>AT4*1.3</f>
        <v>2137210.9354114304</v>
      </c>
      <c r="AV4" s="10">
        <f>AU4*1.3</f>
        <v>2778374.2160348599</v>
      </c>
      <c r="AW4" s="10">
        <f>AV4*1.3</f>
        <v>3611886.4808453182</v>
      </c>
      <c r="AX4" s="10">
        <f>AW4*1.3</f>
        <v>4695452.4250989137</v>
      </c>
      <c r="AY4" s="10">
        <f>AX4*1.3</f>
        <v>6104088.1526285885</v>
      </c>
      <c r="AZ4" s="10">
        <f>AY4*1.3</f>
        <v>7935314.5984171657</v>
      </c>
      <c r="BA4" s="10">
        <f>AZ4*1.3</f>
        <v>10315908.977942316</v>
      </c>
      <c r="BB4" s="10">
        <f>BA4*1.3</f>
        <v>13410681.671325011</v>
      </c>
      <c r="BC4" s="10">
        <f>BB4*1.3</f>
        <v>17433886.172722515</v>
      </c>
      <c r="BD4" s="10">
        <f>BC4*1.3</f>
        <v>22664052.02453927</v>
      </c>
      <c r="BE4" s="10">
        <f>BD4*1.3</f>
        <v>29463267.631901052</v>
      </c>
      <c r="BF4" s="10">
        <f>BE4*1.3</f>
        <v>38302247.921471372</v>
      </c>
      <c r="BG4" s="10">
        <f>BF4*1.3</f>
        <v>49792922.297912784</v>
      </c>
      <c r="BH4" s="10">
        <f>BG4*1.3</f>
        <v>64730798.98728662</v>
      </c>
    </row>
    <row r="5" spans="1:307" x14ac:dyDescent="0.25">
      <c r="A5" s="9">
        <f t="shared" si="5"/>
        <v>4</v>
      </c>
      <c r="B5" s="9">
        <f t="array" ref="B5">IF(C5="",0,IF(OR(C5=Country_Comparison!$S$10:$S$29),1,0))</f>
        <v>1</v>
      </c>
      <c r="C5" s="9" t="str">
        <f>IF(H5="","",H5)</f>
        <v>China</v>
      </c>
      <c r="D5" s="6">
        <f>MAX(I5:CL5)</f>
        <v>81250</v>
      </c>
      <c r="E5" s="6">
        <f>IF(COUNTIF(I5:XFD5,"&gt;"&amp;0)=0,,HLOOKUP(COUNTIF(I5:XFD5,"&gt;"&amp;0)-1,I$1:XFD5,A5+1,FALSE))</f>
        <v>81250</v>
      </c>
      <c r="F5" s="7">
        <f>IF(COUNTIF(I5:XFD5,"&gt;"&amp;0)=0,,HLOOKUP(COUNTIF(I5:XFD5,"&gt;"&amp;0)-MIN($F$1+1,COUNTIF(I5:XFD5,"&gt;"&amp;0)),I$1:XFD5,A5+1,FALSE))</f>
        <v>81003</v>
      </c>
      <c r="G5" s="8">
        <f>IF(COUNTIF(I5:XFD5,"&gt;"&amp;0)=0,,(E5/F5)^(1/MIN(COUNTIF(I5:XFD5,"&gt;"&amp;0)-1,$F$1)))</f>
        <v>1.0006091114703408</v>
      </c>
      <c r="H5" s="15" t="s">
        <v>337</v>
      </c>
      <c r="I5" s="9">
        <v>155</v>
      </c>
      <c r="J5" s="9">
        <v>229</v>
      </c>
      <c r="K5" s="9">
        <v>322</v>
      </c>
      <c r="L5" s="9">
        <v>453</v>
      </c>
      <c r="M5" s="9">
        <v>548</v>
      </c>
      <c r="N5" s="9">
        <v>643</v>
      </c>
      <c r="O5" s="9">
        <v>920</v>
      </c>
      <c r="P5" s="9">
        <v>1406</v>
      </c>
      <c r="Q5" s="9">
        <v>2075</v>
      </c>
      <c r="R5" s="9">
        <v>2877</v>
      </c>
      <c r="S5" s="9">
        <v>5509</v>
      </c>
      <c r="T5" s="9">
        <v>6087</v>
      </c>
      <c r="U5" s="9">
        <v>8141</v>
      </c>
      <c r="V5" s="9">
        <v>9802</v>
      </c>
      <c r="W5" s="9">
        <v>11891</v>
      </c>
      <c r="X5" s="9">
        <v>16630</v>
      </c>
      <c r="Y5" s="9">
        <v>19716</v>
      </c>
      <c r="Z5" s="9">
        <v>23707</v>
      </c>
      <c r="AA5" s="9">
        <v>27440</v>
      </c>
      <c r="AB5" s="9">
        <v>30587</v>
      </c>
      <c r="AC5" s="9">
        <v>34110</v>
      </c>
      <c r="AD5" s="9">
        <v>36814</v>
      </c>
      <c r="AE5" s="9">
        <v>39829</v>
      </c>
      <c r="AF5" s="9">
        <v>42354</v>
      </c>
      <c r="AG5" s="9">
        <v>44386</v>
      </c>
      <c r="AH5" s="9">
        <v>44759</v>
      </c>
      <c r="AI5" s="9">
        <v>59895</v>
      </c>
      <c r="AJ5" s="9">
        <v>66358</v>
      </c>
      <c r="AK5" s="9">
        <v>68413</v>
      </c>
      <c r="AL5" s="9">
        <v>70513</v>
      </c>
      <c r="AM5" s="9">
        <v>72434</v>
      </c>
      <c r="AN5" s="9">
        <v>74211</v>
      </c>
      <c r="AO5" s="9">
        <v>74619</v>
      </c>
      <c r="AP5" s="9">
        <v>75077</v>
      </c>
      <c r="AQ5" s="9">
        <v>75550</v>
      </c>
      <c r="AR5" s="9">
        <v>77001</v>
      </c>
      <c r="AS5" s="9">
        <v>77022</v>
      </c>
      <c r="AT5" s="9">
        <v>77241</v>
      </c>
      <c r="AU5" s="9">
        <v>77754</v>
      </c>
      <c r="AV5" s="9">
        <v>78166</v>
      </c>
      <c r="AW5" s="9">
        <v>78600</v>
      </c>
      <c r="AX5" s="9">
        <v>78928</v>
      </c>
      <c r="AY5" s="9">
        <v>79356</v>
      </c>
      <c r="AZ5" s="9">
        <v>79932</v>
      </c>
      <c r="BA5" s="9">
        <v>80136</v>
      </c>
      <c r="BB5" s="9">
        <v>80261</v>
      </c>
      <c r="BC5" s="9">
        <v>80386</v>
      </c>
      <c r="BD5" s="9">
        <v>80537</v>
      </c>
      <c r="BE5" s="9">
        <v>80690</v>
      </c>
      <c r="BF5" s="9">
        <v>80770</v>
      </c>
      <c r="BG5" s="9">
        <v>80823</v>
      </c>
      <c r="BH5" s="9">
        <v>80860</v>
      </c>
      <c r="BI5" s="9">
        <v>80887</v>
      </c>
      <c r="BJ5" s="9">
        <v>80921</v>
      </c>
      <c r="BK5" s="9">
        <v>80932</v>
      </c>
      <c r="BL5" s="9">
        <v>80945</v>
      </c>
      <c r="BM5" s="9">
        <v>80977</v>
      </c>
      <c r="BN5" s="9">
        <v>81003</v>
      </c>
      <c r="BO5" s="9">
        <v>81033</v>
      </c>
      <c r="BP5" s="9">
        <v>81058</v>
      </c>
      <c r="BQ5" s="9">
        <v>81102</v>
      </c>
      <c r="BR5" s="9">
        <v>81156</v>
      </c>
      <c r="BS5" s="9">
        <v>81250</v>
      </c>
    </row>
    <row r="6" spans="1:307" x14ac:dyDescent="0.25">
      <c r="A6" s="9">
        <f t="shared" si="5"/>
        <v>5</v>
      </c>
      <c r="B6" s="9">
        <f t="array" ref="B6">IF(C6="",0,IF(OR(C6=Country_Comparison!$S$10:$S$29),1,0))</f>
        <v>1</v>
      </c>
      <c r="C6" s="9" t="str">
        <f t="shared" ref="C6:C69" si="6">IF(H6="","",H6)</f>
        <v>Italy</v>
      </c>
      <c r="D6" s="6">
        <f t="shared" ref="D6:D69" si="7">MAX(I6:CL6)</f>
        <v>47021</v>
      </c>
      <c r="E6" s="6">
        <f>IF(COUNTIF(I6:XFD6,"&gt;"&amp;0)=0,,HLOOKUP(COUNTIF(I6:XFD6,"&gt;"&amp;0)-1,I$1:XFD6,A6+1,FALSE))</f>
        <v>47021</v>
      </c>
      <c r="F6" s="7">
        <f>IF(COUNTIF(I6:XFD6,"&gt;"&amp;0)=0,,HLOOKUP(COUNTIF(I6:XFD6,"&gt;"&amp;0)-MIN($F$1+1,COUNTIF(I6:XFD6,"&gt;"&amp;0)),I$1:XFD6,A6+1,FALSE))</f>
        <v>24747</v>
      </c>
      <c r="G6" s="8">
        <f t="shared" ref="G6:G69" si="8">IF(COUNTIF(I6:XFD6,"&gt;"&amp;0)=0,,(E6/F6)^(1/MIN(COUNTIF(I6:XFD6,"&gt;"&amp;0)-1,$F$1)))</f>
        <v>1.1369827102369918</v>
      </c>
      <c r="H6" s="15" t="s">
        <v>58</v>
      </c>
      <c r="I6" s="9">
        <v>155</v>
      </c>
      <c r="J6" s="9">
        <v>229</v>
      </c>
      <c r="K6" s="9">
        <v>322</v>
      </c>
      <c r="L6" s="9">
        <v>453</v>
      </c>
      <c r="M6" s="9">
        <v>655</v>
      </c>
      <c r="N6" s="9">
        <v>888</v>
      </c>
      <c r="O6" s="9">
        <v>1128</v>
      </c>
      <c r="P6" s="9">
        <v>1694</v>
      </c>
      <c r="Q6" s="9">
        <v>2036</v>
      </c>
      <c r="R6" s="9">
        <v>2502</v>
      </c>
      <c r="S6" s="9">
        <v>3089</v>
      </c>
      <c r="T6" s="9">
        <v>3858</v>
      </c>
      <c r="U6" s="9">
        <v>4636</v>
      </c>
      <c r="V6" s="9">
        <v>5883</v>
      </c>
      <c r="W6" s="9">
        <v>7375</v>
      </c>
      <c r="X6" s="9">
        <v>9172</v>
      </c>
      <c r="Y6" s="9">
        <v>10149</v>
      </c>
      <c r="Z6" s="9">
        <v>12462</v>
      </c>
      <c r="AA6" s="9">
        <v>12462</v>
      </c>
      <c r="AB6" s="9">
        <v>17660</v>
      </c>
      <c r="AC6" s="9">
        <v>21157</v>
      </c>
      <c r="AD6" s="9">
        <v>24747</v>
      </c>
      <c r="AE6" s="9">
        <v>27980</v>
      </c>
      <c r="AF6" s="9">
        <v>31506</v>
      </c>
      <c r="AG6" s="9">
        <v>35713</v>
      </c>
      <c r="AH6" s="9">
        <v>41035</v>
      </c>
      <c r="AI6" s="9">
        <v>47021</v>
      </c>
    </row>
    <row r="7" spans="1:307" x14ac:dyDescent="0.25">
      <c r="A7" s="9">
        <f t="shared" si="5"/>
        <v>6</v>
      </c>
      <c r="B7" s="9">
        <f t="array" ref="B7">IF(C7="",0,IF(OR(C7=Country_Comparison!$S$10:$S$29),1,0))</f>
        <v>1</v>
      </c>
      <c r="C7" s="9" t="str">
        <f t="shared" si="6"/>
        <v>Germany</v>
      </c>
      <c r="D7" s="6">
        <f t="shared" si="7"/>
        <v>19848</v>
      </c>
      <c r="E7" s="6">
        <f>IF(COUNTIF(I7:XFD7,"&gt;"&amp;0)=0,,HLOOKUP(COUNTIF(I7:XFD7,"&gt;"&amp;0)-1,I$1:XFD7,A7+1,FALSE))</f>
        <v>19848</v>
      </c>
      <c r="F7" s="7">
        <f>IF(COUNTIF(I7:XFD7,"&gt;"&amp;0)=0,,HLOOKUP(COUNTIF(I7:XFD7,"&gt;"&amp;0)-MIN($F$1+1,COUNTIF(I7:XFD7,"&gt;"&amp;0)),I$1:XFD7,A7+1,FALSE))</f>
        <v>5795</v>
      </c>
      <c r="G7" s="8">
        <f t="shared" si="8"/>
        <v>1.2791829501454157</v>
      </c>
      <c r="H7" s="13" t="s">
        <v>53</v>
      </c>
      <c r="I7" s="9">
        <v>130</v>
      </c>
      <c r="J7" s="9">
        <v>159</v>
      </c>
      <c r="K7" s="9">
        <v>196</v>
      </c>
      <c r="L7" s="9">
        <v>262</v>
      </c>
      <c r="M7" s="9">
        <v>482</v>
      </c>
      <c r="N7" s="9">
        <v>670</v>
      </c>
      <c r="O7" s="9">
        <v>799</v>
      </c>
      <c r="P7" s="9">
        <v>1040</v>
      </c>
      <c r="Q7" s="9">
        <v>1176</v>
      </c>
      <c r="R7" s="9">
        <v>1457</v>
      </c>
      <c r="S7" s="9">
        <v>1908</v>
      </c>
      <c r="T7" s="9">
        <v>2078</v>
      </c>
      <c r="U7" s="9">
        <v>3675</v>
      </c>
      <c r="V7" s="9">
        <v>4585</v>
      </c>
      <c r="W7" s="9">
        <v>5795</v>
      </c>
      <c r="X7" s="9">
        <v>7272</v>
      </c>
      <c r="Y7" s="9">
        <v>9257</v>
      </c>
      <c r="Z7" s="9">
        <v>12327</v>
      </c>
      <c r="AA7" s="9">
        <v>15320</v>
      </c>
      <c r="AB7" s="9">
        <v>19848</v>
      </c>
    </row>
    <row r="8" spans="1:307" x14ac:dyDescent="0.25">
      <c r="A8" s="9">
        <f t="shared" si="5"/>
        <v>7</v>
      </c>
      <c r="B8" s="9">
        <f t="array" ref="B8">IF(C8="",0,IF(OR(C8=Country_Comparison!$S$10:$S$29),1,0))</f>
        <v>1</v>
      </c>
      <c r="C8" s="9" t="str">
        <f t="shared" si="6"/>
        <v>US</v>
      </c>
      <c r="D8" s="6">
        <f t="shared" si="7"/>
        <v>19100</v>
      </c>
      <c r="E8" s="6">
        <f>IF(COUNTIF(I8:XFD8,"&gt;"&amp;0)=0,,HLOOKUP(COUNTIF(I8:XFD8,"&gt;"&amp;0)-1,I$1:XFD8,A8+1,FALSE))</f>
        <v>19100</v>
      </c>
      <c r="F8" s="7">
        <f>IF(COUNTIF(I8:XFD8,"&gt;"&amp;0)=0,,HLOOKUP(COUNTIF(I8:XFD8,"&gt;"&amp;0)-MIN($F$1+1,COUNTIF(I8:XFD8,"&gt;"&amp;0)),I$1:XFD8,A8+1,FALSE))</f>
        <v>3499</v>
      </c>
      <c r="G8" s="8">
        <f t="shared" si="8"/>
        <v>1.404164163493328</v>
      </c>
      <c r="H8" s="13" t="s">
        <v>38</v>
      </c>
      <c r="I8" s="9">
        <v>118</v>
      </c>
      <c r="J8" s="9">
        <v>149</v>
      </c>
      <c r="K8" s="9">
        <v>217</v>
      </c>
      <c r="L8" s="9">
        <v>262</v>
      </c>
      <c r="M8" s="9">
        <v>402</v>
      </c>
      <c r="N8" s="9">
        <v>518</v>
      </c>
      <c r="O8" s="9">
        <v>583</v>
      </c>
      <c r="P8" s="9">
        <v>959</v>
      </c>
      <c r="Q8" s="9">
        <v>1281</v>
      </c>
      <c r="R8" s="9">
        <v>1663</v>
      </c>
      <c r="S8" s="9">
        <v>2179</v>
      </c>
      <c r="T8" s="9">
        <v>2727</v>
      </c>
      <c r="U8" s="9">
        <v>3499</v>
      </c>
      <c r="V8" s="9">
        <v>4632</v>
      </c>
      <c r="W8" s="9">
        <v>6421</v>
      </c>
      <c r="X8" s="9">
        <v>7783</v>
      </c>
      <c r="Y8" s="9">
        <v>13677</v>
      </c>
      <c r="Z8" s="9">
        <v>19100</v>
      </c>
    </row>
    <row r="9" spans="1:307" x14ac:dyDescent="0.25">
      <c r="A9" s="9">
        <f t="shared" si="5"/>
        <v>8</v>
      </c>
      <c r="B9" s="9">
        <f t="array" ref="B9">IF(C9="",0,IF(OR(C9=Country_Comparison!$S$10:$S$29),1,0))</f>
        <v>1</v>
      </c>
      <c r="C9" s="9" t="str">
        <f t="shared" si="6"/>
        <v>France</v>
      </c>
      <c r="D9" s="6">
        <f t="shared" si="7"/>
        <v>12726</v>
      </c>
      <c r="E9" s="6">
        <f>IF(COUNTIF(I9:XFD9,"&gt;"&amp;0)=0,,HLOOKUP(COUNTIF(I9:XFD9,"&gt;"&amp;0)-1,I$1:XFD9,A9+1,FALSE))</f>
        <v>12726</v>
      </c>
      <c r="F9" s="7">
        <f>IF(COUNTIF(I9:XFD9,"&gt;"&amp;0)=0,,HLOOKUP(COUNTIF(I9:XFD9,"&gt;"&amp;0)-MIN($F$1+1,COUNTIF(I9:XFD9,"&gt;"&amp;0)),I$1:XFD9,A9+1,FALSE))</f>
        <v>4523</v>
      </c>
      <c r="G9" s="8">
        <f t="shared" si="8"/>
        <v>1.2298526074505718</v>
      </c>
      <c r="H9" s="13" t="s">
        <v>41</v>
      </c>
      <c r="I9" s="9">
        <v>100</v>
      </c>
      <c r="J9" s="9">
        <v>130</v>
      </c>
      <c r="K9" s="9">
        <v>191</v>
      </c>
      <c r="L9" s="9">
        <v>204</v>
      </c>
      <c r="M9" s="9">
        <v>288</v>
      </c>
      <c r="N9" s="9">
        <v>380</v>
      </c>
      <c r="O9" s="9">
        <v>656</v>
      </c>
      <c r="P9" s="9">
        <v>957</v>
      </c>
      <c r="Q9" s="9">
        <v>1134</v>
      </c>
      <c r="R9" s="9">
        <v>1217</v>
      </c>
      <c r="S9" s="9">
        <v>1792</v>
      </c>
      <c r="T9" s="9">
        <v>2290</v>
      </c>
      <c r="U9" s="9">
        <v>2290</v>
      </c>
      <c r="V9" s="9">
        <v>3678</v>
      </c>
      <c r="W9" s="9">
        <v>4487</v>
      </c>
      <c r="X9" s="9">
        <v>4523</v>
      </c>
      <c r="Y9" s="9">
        <v>6668</v>
      </c>
      <c r="Z9" s="9">
        <v>7699</v>
      </c>
      <c r="AA9" s="9">
        <v>9105</v>
      </c>
      <c r="AB9" s="9">
        <v>10947</v>
      </c>
      <c r="AC9" s="9">
        <v>12726</v>
      </c>
    </row>
    <row r="10" spans="1:307" x14ac:dyDescent="0.25">
      <c r="A10" s="9">
        <f t="shared" si="5"/>
        <v>9</v>
      </c>
      <c r="B10" s="9">
        <f t="array" ref="B10">IF(C10="",0,IF(OR(C10=Country_Comparison!$S$10:$S$29),1,0))</f>
        <v>1</v>
      </c>
      <c r="C10" s="9" t="str">
        <f t="shared" si="6"/>
        <v>Korea, South</v>
      </c>
      <c r="D10" s="6">
        <f t="shared" si="7"/>
        <v>8652</v>
      </c>
      <c r="E10" s="6">
        <f>IF(COUNTIF(I10:XFD10,"&gt;"&amp;0)=0,,HLOOKUP(COUNTIF(I10:XFD10,"&gt;"&amp;0)-1,I$1:XFD10,A10+1,FALSE))</f>
        <v>8652</v>
      </c>
      <c r="F10" s="7">
        <f>IF(COUNTIF(I10:XFD10,"&gt;"&amp;0)=0,,HLOOKUP(COUNTIF(I10:XFD10,"&gt;"&amp;0)-MIN($F$1+1,COUNTIF(I10:XFD10,"&gt;"&amp;0)),I$1:XFD10,A10+1,FALSE))</f>
        <v>8162</v>
      </c>
      <c r="G10" s="8">
        <f t="shared" si="8"/>
        <v>1.0117284999820555</v>
      </c>
      <c r="H10" s="13" t="s">
        <v>339</v>
      </c>
      <c r="I10" s="9">
        <v>104</v>
      </c>
      <c r="J10" s="9">
        <v>204</v>
      </c>
      <c r="K10" s="9">
        <v>433</v>
      </c>
      <c r="L10" s="9">
        <v>602</v>
      </c>
      <c r="M10" s="9">
        <v>833</v>
      </c>
      <c r="N10" s="9">
        <v>977</v>
      </c>
      <c r="O10" s="9">
        <v>1261</v>
      </c>
      <c r="P10" s="9">
        <v>1766</v>
      </c>
      <c r="Q10" s="9">
        <v>2337</v>
      </c>
      <c r="R10" s="9">
        <v>3150</v>
      </c>
      <c r="S10" s="9">
        <v>3736</v>
      </c>
      <c r="T10" s="9">
        <v>4335</v>
      </c>
      <c r="U10" s="9">
        <v>5186</v>
      </c>
      <c r="V10" s="9">
        <v>5621</v>
      </c>
      <c r="W10" s="9">
        <v>6088</v>
      </c>
      <c r="X10" s="9">
        <v>6593</v>
      </c>
      <c r="Y10" s="9">
        <v>7041</v>
      </c>
      <c r="Z10" s="9">
        <v>7314</v>
      </c>
      <c r="AA10" s="9">
        <v>7478</v>
      </c>
      <c r="AB10" s="9">
        <v>7513</v>
      </c>
      <c r="AC10" s="9">
        <v>7755</v>
      </c>
      <c r="AD10" s="9">
        <v>7869</v>
      </c>
      <c r="AE10" s="9">
        <v>7979</v>
      </c>
      <c r="AF10" s="9">
        <v>8086</v>
      </c>
      <c r="AG10" s="9">
        <v>8162</v>
      </c>
      <c r="AH10" s="9">
        <v>8236</v>
      </c>
      <c r="AI10" s="9">
        <v>8320</v>
      </c>
      <c r="AJ10" s="9">
        <v>8413</v>
      </c>
      <c r="AK10" s="9">
        <v>8565</v>
      </c>
      <c r="AL10" s="9">
        <v>8652</v>
      </c>
    </row>
    <row r="11" spans="1:307" x14ac:dyDescent="0.25">
      <c r="A11" s="9">
        <f t="shared" si="5"/>
        <v>10</v>
      </c>
      <c r="B11" s="9">
        <f t="array" ref="B11">IF(C11="",0,IF(OR(C11=Country_Comparison!$S$10:$S$29),1,0))</f>
        <v>1</v>
      </c>
      <c r="C11" s="9" t="str">
        <f t="shared" si="6"/>
        <v>United Kingdom</v>
      </c>
      <c r="D11" s="6">
        <f t="shared" si="7"/>
        <v>4014</v>
      </c>
      <c r="E11" s="6">
        <f>IF(COUNTIF(I11:XFD11,"&gt;"&amp;0)=0,,HLOOKUP(COUNTIF(I11:XFD11,"&gt;"&amp;0)-1,I$1:XFD11,A11+1,FALSE))</f>
        <v>4014</v>
      </c>
      <c r="F11" s="7">
        <f>IF(COUNTIF(I11:XFD11,"&gt;"&amp;0)=0,,HLOOKUP(COUNTIF(I11:XFD11,"&gt;"&amp;0)-MIN($F$1+1,COUNTIF(I11:XFD11,"&gt;"&amp;0)),I$1:XFD11,A11+1,FALSE))</f>
        <v>1355</v>
      </c>
      <c r="G11" s="8">
        <f t="shared" si="8"/>
        <v>1.2425893143830935</v>
      </c>
      <c r="H11" s="13" t="s">
        <v>349</v>
      </c>
      <c r="I11" s="9">
        <v>116</v>
      </c>
      <c r="J11" s="9">
        <v>164</v>
      </c>
      <c r="K11" s="9">
        <v>207</v>
      </c>
      <c r="L11" s="9">
        <v>274</v>
      </c>
      <c r="M11" s="9">
        <v>322</v>
      </c>
      <c r="N11" s="9">
        <v>384</v>
      </c>
      <c r="O11" s="9">
        <v>459</v>
      </c>
      <c r="P11" s="9">
        <v>590</v>
      </c>
      <c r="Q11" s="9">
        <v>802</v>
      </c>
      <c r="R11" s="9">
        <v>1144</v>
      </c>
      <c r="S11" s="9">
        <v>1355</v>
      </c>
      <c r="T11" s="9">
        <v>1551</v>
      </c>
      <c r="U11" s="9">
        <v>1960</v>
      </c>
      <c r="V11" s="9">
        <v>2642</v>
      </c>
      <c r="W11" s="9">
        <v>2716</v>
      </c>
      <c r="X11" s="9">
        <v>4014</v>
      </c>
    </row>
    <row r="12" spans="1:307" x14ac:dyDescent="0.25">
      <c r="A12" s="9">
        <f t="shared" si="5"/>
        <v>11</v>
      </c>
      <c r="B12" s="9">
        <f t="array" ref="B12">IF(C12="",0,IF(OR(C12=Country_Comparison!$S$10:$S$29),1,0))</f>
        <v>1</v>
      </c>
      <c r="C12" s="9" t="str">
        <f t="shared" si="6"/>
        <v>Japan</v>
      </c>
      <c r="D12" s="6">
        <f t="shared" si="7"/>
        <v>963</v>
      </c>
      <c r="E12" s="6">
        <f>IF(COUNTIF(I12:XFD12,"&gt;"&amp;0)=0,,HLOOKUP(COUNTIF(I12:XFD12,"&gt;"&amp;0)-1,I$1:XFD12,A12+1,FALSE))</f>
        <v>963</v>
      </c>
      <c r="F12" s="7">
        <f>IF(COUNTIF(I12:XFD12,"&gt;"&amp;0)=0,,HLOOKUP(COUNTIF(I12:XFD12,"&gt;"&amp;0)-MIN($F$1+1,COUNTIF(I12:XFD12,"&gt;"&amp;0)),I$1:XFD12,A12+1,FALSE))</f>
        <v>839</v>
      </c>
      <c r="G12" s="8">
        <f t="shared" si="8"/>
        <v>1.0279520696235491</v>
      </c>
      <c r="H12" s="13" t="s">
        <v>36</v>
      </c>
      <c r="I12" s="9">
        <v>105</v>
      </c>
      <c r="J12" s="9">
        <v>122</v>
      </c>
      <c r="K12" s="9">
        <v>147</v>
      </c>
      <c r="L12" s="9">
        <v>159</v>
      </c>
      <c r="M12" s="9">
        <v>170</v>
      </c>
      <c r="N12" s="9">
        <v>189</v>
      </c>
      <c r="O12" s="9">
        <v>214</v>
      </c>
      <c r="P12" s="9">
        <v>228</v>
      </c>
      <c r="Q12" s="9">
        <v>241</v>
      </c>
      <c r="R12" s="9">
        <v>256</v>
      </c>
      <c r="S12" s="9">
        <v>274</v>
      </c>
      <c r="T12" s="9">
        <v>293</v>
      </c>
      <c r="U12" s="9">
        <v>331</v>
      </c>
      <c r="V12" s="9">
        <v>360</v>
      </c>
      <c r="W12" s="9">
        <v>420</v>
      </c>
      <c r="X12" s="9">
        <v>461</v>
      </c>
      <c r="Y12" s="9">
        <v>502</v>
      </c>
      <c r="Z12" s="9">
        <v>511</v>
      </c>
      <c r="AA12" s="9">
        <v>581</v>
      </c>
      <c r="AB12" s="9">
        <v>639</v>
      </c>
      <c r="AC12" s="9">
        <v>639</v>
      </c>
      <c r="AD12" s="9">
        <v>701</v>
      </c>
      <c r="AE12" s="9">
        <v>773</v>
      </c>
      <c r="AF12" s="9">
        <v>839</v>
      </c>
      <c r="AG12" s="9">
        <v>825</v>
      </c>
      <c r="AH12" s="9">
        <v>878</v>
      </c>
      <c r="AI12" s="9">
        <v>889</v>
      </c>
      <c r="AJ12" s="9">
        <v>924</v>
      </c>
      <c r="AK12" s="9">
        <v>963</v>
      </c>
    </row>
    <row r="13" spans="1:307" x14ac:dyDescent="0.25">
      <c r="A13" s="9">
        <f t="shared" si="5"/>
        <v>12</v>
      </c>
      <c r="B13" s="9">
        <f t="array" ref="B13">IF(C13="",0,IF(OR(C13=Country_Comparison!$S$10:$S$29),1,0))</f>
        <v>0</v>
      </c>
      <c r="C13" s="9" t="str">
        <f t="shared" si="6"/>
        <v>Spain</v>
      </c>
      <c r="D13" s="6">
        <f t="shared" si="7"/>
        <v>20410</v>
      </c>
      <c r="E13" s="6">
        <f>IF(COUNTIF(I13:XFD13,"&gt;"&amp;0)=0,,HLOOKUP(COUNTIF(I13:XFD13,"&gt;"&amp;0)-1,I$1:XFD13,A13+1,FALSE))</f>
        <v>20410</v>
      </c>
      <c r="F13" s="7">
        <f>IF(COUNTIF(I13:XFD13,"&gt;"&amp;0)=0,,HLOOKUP(COUNTIF(I13:XFD13,"&gt;"&amp;0)-MIN($F$1+1,COUNTIF(I13:XFD13,"&gt;"&amp;0)),I$1:XFD13,A13+1,FALSE))</f>
        <v>7798</v>
      </c>
      <c r="G13" s="8">
        <f t="shared" si="8"/>
        <v>1.2121935107679858</v>
      </c>
      <c r="H13" s="13" t="s">
        <v>60</v>
      </c>
      <c r="I13" s="9">
        <v>120</v>
      </c>
      <c r="J13" s="9">
        <v>165</v>
      </c>
      <c r="K13" s="9">
        <v>222</v>
      </c>
      <c r="L13" s="9">
        <v>259</v>
      </c>
      <c r="M13" s="9">
        <v>400</v>
      </c>
      <c r="N13" s="9">
        <v>500</v>
      </c>
      <c r="O13" s="9">
        <v>673</v>
      </c>
      <c r="P13" s="9">
        <v>1073</v>
      </c>
      <c r="Q13" s="9">
        <v>1695</v>
      </c>
      <c r="R13" s="9">
        <v>2277</v>
      </c>
      <c r="S13" s="9">
        <v>2277</v>
      </c>
      <c r="T13" s="9">
        <v>5232</v>
      </c>
      <c r="U13" s="9">
        <v>6391</v>
      </c>
      <c r="V13" s="9">
        <v>7798</v>
      </c>
      <c r="W13" s="9">
        <v>9942</v>
      </c>
      <c r="X13" s="9">
        <v>11748</v>
      </c>
      <c r="Y13" s="9">
        <v>13910</v>
      </c>
      <c r="Z13" s="9">
        <v>17963</v>
      </c>
      <c r="AA13" s="9">
        <v>20410</v>
      </c>
    </row>
    <row r="14" spans="1:307" x14ac:dyDescent="0.25">
      <c r="A14" s="9">
        <f t="shared" si="5"/>
        <v>13</v>
      </c>
      <c r="B14" s="9">
        <f t="array" ref="B14">IF(C14="",0,IF(OR(C14=Country_Comparison!$S$10:$S$29),1,0))</f>
        <v>0</v>
      </c>
      <c r="C14" s="9" t="str">
        <f t="shared" si="6"/>
        <v>Iran</v>
      </c>
      <c r="D14" s="6">
        <f t="shared" si="7"/>
        <v>19644</v>
      </c>
      <c r="E14" s="6">
        <f>IF(COUNTIF(I14:XFD14,"&gt;"&amp;0)=0,,HLOOKUP(COUNTIF(I14:XFD14,"&gt;"&amp;0)-1,I$1:XFD14,A14+1,FALSE))</f>
        <v>19644</v>
      </c>
      <c r="F14" s="7">
        <f>IF(COUNTIF(I14:XFD14,"&gt;"&amp;0)=0,,HLOOKUP(COUNTIF(I14:XFD14,"&gt;"&amp;0)-MIN($F$1+1,COUNTIF(I14:XFD14,"&gt;"&amp;0)),I$1:XFD14,A14+1,FALSE))</f>
        <v>13938</v>
      </c>
      <c r="G14" s="8">
        <f t="shared" si="8"/>
        <v>1.0710404990954483</v>
      </c>
      <c r="H14" s="13" t="s">
        <v>338</v>
      </c>
      <c r="I14" s="9">
        <v>139</v>
      </c>
      <c r="J14" s="9">
        <v>245</v>
      </c>
      <c r="K14" s="9">
        <v>388</v>
      </c>
      <c r="L14" s="9">
        <v>593</v>
      </c>
      <c r="M14" s="9">
        <v>978</v>
      </c>
      <c r="N14" s="9">
        <v>1501</v>
      </c>
      <c r="O14" s="9">
        <v>2336</v>
      </c>
      <c r="P14" s="9">
        <v>2922</v>
      </c>
      <c r="Q14" s="9">
        <v>3513</v>
      </c>
      <c r="R14" s="9">
        <v>4747</v>
      </c>
      <c r="S14" s="9">
        <v>5823</v>
      </c>
      <c r="T14" s="9">
        <v>6566</v>
      </c>
      <c r="U14" s="9">
        <v>7161</v>
      </c>
      <c r="V14" s="9">
        <v>8042</v>
      </c>
      <c r="W14" s="9">
        <v>9000</v>
      </c>
      <c r="X14" s="9">
        <v>10075</v>
      </c>
      <c r="Y14" s="9">
        <v>11364</v>
      </c>
      <c r="Z14" s="9">
        <v>12729</v>
      </c>
      <c r="AA14" s="9">
        <v>13938</v>
      </c>
      <c r="AB14" s="9">
        <v>14991</v>
      </c>
      <c r="AC14" s="9">
        <v>16169</v>
      </c>
      <c r="AD14" s="9">
        <v>17361</v>
      </c>
      <c r="AE14" s="9">
        <v>18407</v>
      </c>
      <c r="AF14" s="9">
        <v>19644</v>
      </c>
    </row>
    <row r="15" spans="1:307" x14ac:dyDescent="0.25">
      <c r="A15" s="9">
        <f t="shared" si="5"/>
        <v>14</v>
      </c>
      <c r="B15" s="9">
        <f t="array" ref="B15">IF(C15="",0,IF(OR(C15=Country_Comparison!$S$10:$S$29),1,0))</f>
        <v>0</v>
      </c>
      <c r="C15" s="9" t="str">
        <f t="shared" si="6"/>
        <v>Switzerland</v>
      </c>
      <c r="D15" s="6">
        <f t="shared" si="7"/>
        <v>5294</v>
      </c>
      <c r="E15" s="6">
        <f>IF(COUNTIF(I15:XFD15,"&gt;"&amp;0)=0,,HLOOKUP(COUNTIF(I15:XFD15,"&gt;"&amp;0)-1,I$1:XFD15,A15+1,FALSE))</f>
        <v>5294</v>
      </c>
      <c r="F15" s="7">
        <f>IF(COUNTIF(I15:XFD15,"&gt;"&amp;0)=0,,HLOOKUP(COUNTIF(I15:XFD15,"&gt;"&amp;0)-MIN($F$1+1,COUNTIF(I15:XFD15,"&gt;"&amp;0)),I$1:XFD15,A15+1,FALSE))</f>
        <v>2200</v>
      </c>
      <c r="G15" s="8">
        <f t="shared" si="8"/>
        <v>1.1919890098642685</v>
      </c>
      <c r="H15" s="13" t="s">
        <v>77</v>
      </c>
      <c r="I15" s="9">
        <v>114</v>
      </c>
      <c r="J15" s="9">
        <v>214</v>
      </c>
      <c r="K15" s="9">
        <v>268</v>
      </c>
      <c r="L15" s="9">
        <v>337</v>
      </c>
      <c r="M15" s="9">
        <v>374</v>
      </c>
      <c r="N15" s="9">
        <v>491</v>
      </c>
      <c r="O15" s="9">
        <v>652</v>
      </c>
      <c r="P15" s="9">
        <v>652</v>
      </c>
      <c r="Q15" s="9">
        <v>1139</v>
      </c>
      <c r="R15" s="9">
        <v>1359</v>
      </c>
      <c r="S15" s="9">
        <v>2200</v>
      </c>
      <c r="T15" s="9">
        <v>2200</v>
      </c>
      <c r="U15" s="9">
        <v>2700</v>
      </c>
      <c r="V15" s="9">
        <v>3028</v>
      </c>
      <c r="W15" s="9">
        <v>4075</v>
      </c>
      <c r="X15" s="9">
        <v>5294</v>
      </c>
    </row>
    <row r="16" spans="1:307" x14ac:dyDescent="0.25">
      <c r="A16" s="9">
        <f t="shared" si="5"/>
        <v>15</v>
      </c>
      <c r="B16" s="9">
        <f t="array" ref="B16">IF(C16="",0,IF(OR(C16=Country_Comparison!$S$10:$S$29),1,0))</f>
        <v>0</v>
      </c>
      <c r="C16" s="9" t="str">
        <f t="shared" si="6"/>
        <v>Netherlands</v>
      </c>
      <c r="D16" s="6">
        <f t="shared" si="7"/>
        <v>3003</v>
      </c>
      <c r="E16" s="6">
        <f>IF(COUNTIF(I16:XFD16,"&gt;"&amp;0)=0,,HLOOKUP(COUNTIF(I16:XFD16,"&gt;"&amp;0)-1,I$1:XFD16,A16+1,FALSE))</f>
        <v>3003</v>
      </c>
      <c r="F16" s="7">
        <f>IF(COUNTIF(I16:XFD16,"&gt;"&amp;0)=0,,HLOOKUP(COUNTIF(I16:XFD16,"&gt;"&amp;0)-MIN($F$1+1,COUNTIF(I16:XFD16,"&gt;"&amp;0)),I$1:XFD16,A16+1,FALSE))</f>
        <v>1138</v>
      </c>
      <c r="G16" s="8">
        <f t="shared" si="8"/>
        <v>1.2141787115515055</v>
      </c>
      <c r="H16" s="13" t="s">
        <v>89</v>
      </c>
      <c r="I16" s="9">
        <v>128</v>
      </c>
      <c r="J16" s="9">
        <v>188</v>
      </c>
      <c r="K16" s="9">
        <v>265</v>
      </c>
      <c r="L16" s="9">
        <v>321</v>
      </c>
      <c r="M16" s="9">
        <v>382</v>
      </c>
      <c r="N16" s="9">
        <v>503</v>
      </c>
      <c r="O16" s="9">
        <v>503</v>
      </c>
      <c r="P16" s="9">
        <v>806</v>
      </c>
      <c r="Q16" s="9">
        <v>962</v>
      </c>
      <c r="R16" s="9">
        <v>1138</v>
      </c>
      <c r="S16" s="9">
        <v>1416</v>
      </c>
      <c r="T16" s="9">
        <v>1711</v>
      </c>
      <c r="U16" s="9">
        <v>2058</v>
      </c>
      <c r="V16" s="9">
        <v>2467</v>
      </c>
      <c r="W16" s="9">
        <v>3003</v>
      </c>
    </row>
    <row r="17" spans="1:48" x14ac:dyDescent="0.25">
      <c r="A17" s="9">
        <f t="shared" si="5"/>
        <v>16</v>
      </c>
      <c r="B17" s="9">
        <f t="array" ref="B17">IF(C17="",0,IF(OR(C17=Country_Comparison!$S$10:$S$29),1,0))</f>
        <v>0</v>
      </c>
      <c r="C17" s="9" t="str">
        <f t="shared" si="6"/>
        <v>Austria</v>
      </c>
      <c r="D17" s="6">
        <f t="shared" si="7"/>
        <v>2388</v>
      </c>
      <c r="E17" s="6">
        <f>IF(COUNTIF(I17:XFD17,"&gt;"&amp;0)=0,,HLOOKUP(COUNTIF(I17:XFD17,"&gt;"&amp;0)-1,I$1:XFD17,A17+1,FALSE))</f>
        <v>2388</v>
      </c>
      <c r="F17" s="7">
        <f>IF(COUNTIF(I17:XFD17,"&gt;"&amp;0)=0,,HLOOKUP(COUNTIF(I17:XFD17,"&gt;"&amp;0)-MIN($F$1+1,COUNTIF(I17:XFD17,"&gt;"&amp;0)),I$1:XFD17,A17+1,FALSE))</f>
        <v>860</v>
      </c>
      <c r="G17" s="8">
        <f t="shared" si="8"/>
        <v>1.2266119015652595</v>
      </c>
      <c r="H17" s="13" t="s">
        <v>78</v>
      </c>
      <c r="I17" s="9">
        <v>104</v>
      </c>
      <c r="J17" s="9">
        <v>131</v>
      </c>
      <c r="K17" s="9">
        <v>182</v>
      </c>
      <c r="L17" s="9">
        <v>246</v>
      </c>
      <c r="M17" s="9">
        <v>302</v>
      </c>
      <c r="N17" s="9">
        <v>504</v>
      </c>
      <c r="O17" s="9">
        <v>655</v>
      </c>
      <c r="P17" s="9">
        <v>860</v>
      </c>
      <c r="Q17" s="9">
        <v>1018</v>
      </c>
      <c r="R17" s="9">
        <v>1332</v>
      </c>
      <c r="S17" s="9">
        <v>1646</v>
      </c>
      <c r="T17" s="9">
        <v>2013</v>
      </c>
      <c r="U17" s="9">
        <v>2388</v>
      </c>
    </row>
    <row r="18" spans="1:48" x14ac:dyDescent="0.25">
      <c r="A18" s="9">
        <f t="shared" si="5"/>
        <v>17</v>
      </c>
      <c r="B18" s="9">
        <f t="array" ref="B18">IF(C18="",0,IF(OR(C18=Country_Comparison!$S$10:$S$29),1,0))</f>
        <v>0</v>
      </c>
      <c r="C18" s="9" t="str">
        <f t="shared" si="6"/>
        <v>Belgium</v>
      </c>
      <c r="D18" s="6">
        <f t="shared" si="7"/>
        <v>2257</v>
      </c>
      <c r="E18" s="6">
        <f>IF(COUNTIF(I18:XFD18,"&gt;"&amp;0)=0,,HLOOKUP(COUNTIF(I18:XFD18,"&gt;"&amp;0)-1,I$1:XFD18,A18+1,FALSE))</f>
        <v>2257</v>
      </c>
      <c r="F18" s="7">
        <f>IF(COUNTIF(I18:XFD18,"&gt;"&amp;0)=0,,HLOOKUP(COUNTIF(I18:XFD18,"&gt;"&amp;0)-MIN($F$1+1,COUNTIF(I18:XFD18,"&gt;"&amp;0)),I$1:XFD18,A18+1,FALSE))</f>
        <v>886</v>
      </c>
      <c r="G18" s="8">
        <f t="shared" si="8"/>
        <v>1.2056453276896051</v>
      </c>
      <c r="H18" s="13" t="s">
        <v>63</v>
      </c>
      <c r="I18" s="9">
        <v>109</v>
      </c>
      <c r="J18" s="9">
        <v>169</v>
      </c>
      <c r="K18" s="9">
        <v>200</v>
      </c>
      <c r="L18" s="9">
        <v>239</v>
      </c>
      <c r="M18" s="9">
        <v>267</v>
      </c>
      <c r="N18" s="9">
        <v>314</v>
      </c>
      <c r="O18" s="9">
        <v>314</v>
      </c>
      <c r="P18" s="9">
        <v>559</v>
      </c>
      <c r="Q18" s="9">
        <v>689</v>
      </c>
      <c r="R18" s="9">
        <v>886</v>
      </c>
      <c r="S18" s="9">
        <v>1058</v>
      </c>
      <c r="T18" s="9">
        <v>1243</v>
      </c>
      <c r="U18" s="9">
        <v>1486</v>
      </c>
      <c r="V18" s="9">
        <v>1795</v>
      </c>
      <c r="W18" s="9">
        <v>2257</v>
      </c>
    </row>
    <row r="19" spans="1:48" x14ac:dyDescent="0.25">
      <c r="A19" s="9">
        <f t="shared" si="5"/>
        <v>18</v>
      </c>
      <c r="B19" s="9">
        <f t="array" ref="B19">IF(C19="",0,IF(OR(C19=Country_Comparison!$S$10:$S$29),1,0))</f>
        <v>0</v>
      </c>
      <c r="C19" s="9" t="str">
        <f t="shared" si="6"/>
        <v>Norway</v>
      </c>
      <c r="D19" s="6">
        <f t="shared" si="7"/>
        <v>1914</v>
      </c>
      <c r="E19" s="6">
        <f>IF(COUNTIF(I19:XFD19,"&gt;"&amp;0)=0,,HLOOKUP(COUNTIF(I19:XFD19,"&gt;"&amp;0)-1,I$1:XFD19,A19+1,FALSE))</f>
        <v>1914</v>
      </c>
      <c r="F19" s="7">
        <f>IF(COUNTIF(I19:XFD19,"&gt;"&amp;0)=0,,HLOOKUP(COUNTIF(I19:XFD19,"&gt;"&amp;0)-MIN($F$1+1,COUNTIF(I19:XFD19,"&gt;"&amp;0)),I$1:XFD19,A19+1,FALSE))</f>
        <v>1221</v>
      </c>
      <c r="G19" s="8">
        <f t="shared" si="8"/>
        <v>1.0940703635079412</v>
      </c>
      <c r="H19" s="13" t="s">
        <v>85</v>
      </c>
      <c r="I19" s="9">
        <v>108</v>
      </c>
      <c r="J19" s="9">
        <v>147</v>
      </c>
      <c r="K19" s="9">
        <v>176</v>
      </c>
      <c r="L19" s="9">
        <v>205</v>
      </c>
      <c r="M19" s="9">
        <v>400</v>
      </c>
      <c r="N19" s="9">
        <v>598</v>
      </c>
      <c r="O19" s="9">
        <v>702</v>
      </c>
      <c r="P19" s="9">
        <v>996</v>
      </c>
      <c r="Q19" s="9">
        <v>1090</v>
      </c>
      <c r="R19" s="9">
        <v>1221</v>
      </c>
      <c r="S19" s="9">
        <v>1333</v>
      </c>
      <c r="T19" s="9">
        <v>1463</v>
      </c>
      <c r="U19" s="9">
        <v>1550</v>
      </c>
      <c r="V19" s="9">
        <v>1746</v>
      </c>
      <c r="W19" s="9">
        <v>1914</v>
      </c>
    </row>
    <row r="20" spans="1:48" x14ac:dyDescent="0.25">
      <c r="A20" s="9">
        <f t="shared" si="5"/>
        <v>19</v>
      </c>
      <c r="B20" s="9">
        <f t="array" ref="B20">IF(C20="",0,IF(OR(C20=Country_Comparison!$S$10:$S$29),1,0))</f>
        <v>0</v>
      </c>
      <c r="C20" s="9" t="str">
        <f t="shared" si="6"/>
        <v>Sweden</v>
      </c>
      <c r="D20" s="6">
        <f t="shared" si="7"/>
        <v>1639</v>
      </c>
      <c r="E20" s="6">
        <f>IF(COUNTIF(I20:XFD20,"&gt;"&amp;0)=0,,HLOOKUP(COUNTIF(I20:XFD20,"&gt;"&amp;0)-1,I$1:XFD20,A20+1,FALSE))</f>
        <v>1639</v>
      </c>
      <c r="F20" s="7">
        <f>IF(COUNTIF(I20:XFD20,"&gt;"&amp;0)=0,,HLOOKUP(COUNTIF(I20:XFD20,"&gt;"&amp;0)-MIN($F$1+1,COUNTIF(I20:XFD20,"&gt;"&amp;0)),I$1:XFD20,A20+1,FALSE))</f>
        <v>1022</v>
      </c>
      <c r="G20" s="8">
        <f t="shared" si="8"/>
        <v>1.0990706527768064</v>
      </c>
      <c r="H20" s="13" t="s">
        <v>59</v>
      </c>
      <c r="I20" s="9">
        <v>101</v>
      </c>
      <c r="J20" s="9">
        <v>161</v>
      </c>
      <c r="K20" s="9">
        <v>203</v>
      </c>
      <c r="L20" s="9">
        <v>248</v>
      </c>
      <c r="M20" s="9">
        <v>355</v>
      </c>
      <c r="N20" s="9">
        <v>500</v>
      </c>
      <c r="O20" s="9">
        <v>599</v>
      </c>
      <c r="P20" s="9">
        <v>814</v>
      </c>
      <c r="Q20" s="9">
        <v>961</v>
      </c>
      <c r="R20" s="9">
        <v>1022</v>
      </c>
      <c r="S20" s="9">
        <v>1103</v>
      </c>
      <c r="T20" s="9">
        <v>1190</v>
      </c>
      <c r="U20" s="9">
        <v>1279</v>
      </c>
      <c r="V20" s="9">
        <v>1439</v>
      </c>
      <c r="W20" s="9">
        <v>1639</v>
      </c>
    </row>
    <row r="21" spans="1:48" x14ac:dyDescent="0.25">
      <c r="A21" s="9">
        <f t="shared" si="5"/>
        <v>20</v>
      </c>
      <c r="B21" s="9">
        <f t="array" ref="B21">IF(C21="",0,IF(OR(C21=Country_Comparison!$S$10:$S$29),1,0))</f>
        <v>0</v>
      </c>
      <c r="C21" s="9" t="str">
        <f t="shared" si="6"/>
        <v>Denmark</v>
      </c>
      <c r="D21" s="6">
        <f t="shared" si="7"/>
        <v>1337</v>
      </c>
      <c r="E21" s="6">
        <f>IF(COUNTIF(I21:XFD21,"&gt;"&amp;0)=0,,HLOOKUP(COUNTIF(I21:XFD21,"&gt;"&amp;0)-1,I$1:XFD21,A21+1,FALSE))</f>
        <v>1337</v>
      </c>
      <c r="F21" s="7">
        <f>IF(COUNTIF(I21:XFD21,"&gt;"&amp;0)=0,,HLOOKUP(COUNTIF(I21:XFD21,"&gt;"&amp;0)-MIN($F$1+1,COUNTIF(I21:XFD21,"&gt;"&amp;0)),I$1:XFD21,A21+1,FALSE))</f>
        <v>875</v>
      </c>
      <c r="G21" s="8">
        <f t="shared" si="8"/>
        <v>1.0884905697736418</v>
      </c>
      <c r="H21" s="13" t="s">
        <v>87</v>
      </c>
      <c r="I21" s="9">
        <v>264</v>
      </c>
      <c r="J21" s="9">
        <v>444</v>
      </c>
      <c r="K21" s="9">
        <v>617</v>
      </c>
      <c r="L21" s="9">
        <v>804</v>
      </c>
      <c r="M21" s="9">
        <v>836</v>
      </c>
      <c r="N21" s="9">
        <v>875</v>
      </c>
      <c r="O21" s="9">
        <v>933</v>
      </c>
      <c r="P21" s="9">
        <v>1025</v>
      </c>
      <c r="Q21" s="9">
        <v>1116</v>
      </c>
      <c r="R21" s="9">
        <v>1225</v>
      </c>
      <c r="S21" s="9">
        <v>1337</v>
      </c>
    </row>
    <row r="22" spans="1:48" x14ac:dyDescent="0.25">
      <c r="A22" s="9">
        <f t="shared" si="5"/>
        <v>21</v>
      </c>
      <c r="B22" s="9">
        <f t="array" ref="B22">IF(C22="",0,IF(OR(C22=Country_Comparison!$S$10:$S$29),1,0))</f>
        <v>0</v>
      </c>
      <c r="C22" s="9" t="str">
        <f t="shared" si="6"/>
        <v>Malaysia</v>
      </c>
      <c r="D22" s="6">
        <f t="shared" si="7"/>
        <v>1030</v>
      </c>
      <c r="E22" s="6">
        <f>IF(COUNTIF(I22:XFD22,"&gt;"&amp;0)=0,,HLOOKUP(COUNTIF(I22:XFD22,"&gt;"&amp;0)-1,I$1:XFD22,A22+1,FALSE))</f>
        <v>1030</v>
      </c>
      <c r="F22" s="7">
        <f>IF(COUNTIF(I22:XFD22,"&gt;"&amp;0)=0,,HLOOKUP(COUNTIF(I22:XFD22,"&gt;"&amp;0)-MIN($F$1+1,COUNTIF(I22:XFD22,"&gt;"&amp;0)),I$1:XFD22,A22+1,FALSE))</f>
        <v>428</v>
      </c>
      <c r="G22" s="8">
        <f t="shared" si="8"/>
        <v>1.1920066853331281</v>
      </c>
      <c r="H22" s="13" t="s">
        <v>43</v>
      </c>
      <c r="I22" s="9">
        <v>117</v>
      </c>
      <c r="J22" s="9">
        <v>129</v>
      </c>
      <c r="K22" s="9">
        <v>149</v>
      </c>
      <c r="L22" s="9">
        <v>149</v>
      </c>
      <c r="M22" s="9">
        <v>197</v>
      </c>
      <c r="N22" s="9">
        <v>238</v>
      </c>
      <c r="O22" s="9">
        <v>428</v>
      </c>
      <c r="P22" s="9">
        <v>566</v>
      </c>
      <c r="Q22" s="9">
        <v>673</v>
      </c>
      <c r="R22" s="9">
        <v>790</v>
      </c>
      <c r="S22" s="9">
        <v>900</v>
      </c>
      <c r="T22" s="9">
        <v>1030</v>
      </c>
    </row>
    <row r="23" spans="1:48" x14ac:dyDescent="0.25">
      <c r="A23" s="9">
        <f t="shared" si="5"/>
        <v>22</v>
      </c>
      <c r="B23" s="9">
        <f t="array" ref="B23">IF(C23="",0,IF(OR(C23=Country_Comparison!$S$10:$S$29),1,0))</f>
        <v>0</v>
      </c>
      <c r="C23" s="9" t="str">
        <f t="shared" si="6"/>
        <v>Portugal</v>
      </c>
      <c r="D23" s="6">
        <f t="shared" si="7"/>
        <v>1020</v>
      </c>
      <c r="E23" s="6">
        <f>IF(COUNTIF(I23:XFD23,"&gt;"&amp;0)=0,,HLOOKUP(COUNTIF(I23:XFD23,"&gt;"&amp;0)-1,I$1:XFD23,A23+1,FALSE))</f>
        <v>1020</v>
      </c>
      <c r="F23" s="7">
        <f>IF(COUNTIF(I23:XFD23,"&gt;"&amp;0)=0,,HLOOKUP(COUNTIF(I23:XFD23,"&gt;"&amp;0)-MIN($F$1+1,COUNTIF(I23:XFD23,"&gt;"&amp;0)),I$1:XFD23,A23+1,FALSE))</f>
        <v>245</v>
      </c>
      <c r="G23" s="8">
        <f t="shared" si="8"/>
        <v>1.3301077302572142</v>
      </c>
      <c r="H23" s="13" t="s">
        <v>108</v>
      </c>
      <c r="I23" s="9">
        <v>112</v>
      </c>
      <c r="J23" s="9">
        <v>169</v>
      </c>
      <c r="K23" s="9">
        <v>245</v>
      </c>
      <c r="L23" s="9">
        <v>331</v>
      </c>
      <c r="M23" s="9">
        <v>448</v>
      </c>
      <c r="N23" s="9">
        <v>448</v>
      </c>
      <c r="O23" s="9">
        <v>785</v>
      </c>
      <c r="P23" s="9">
        <v>1020</v>
      </c>
    </row>
    <row r="24" spans="1:48" x14ac:dyDescent="0.25">
      <c r="A24" s="9">
        <f t="shared" si="5"/>
        <v>23</v>
      </c>
      <c r="B24" s="9">
        <f t="array" ref="B24">IF(C24="",0,IF(OR(C24=Country_Comparison!$S$10:$S$29),1,0))</f>
        <v>0</v>
      </c>
      <c r="C24" s="9" t="str">
        <f t="shared" si="6"/>
        <v>Canada</v>
      </c>
      <c r="D24" s="6">
        <f t="shared" si="7"/>
        <v>943</v>
      </c>
      <c r="E24" s="6">
        <f>IF(COUNTIF(I24:XFD24,"&gt;"&amp;0)=0,,HLOOKUP(COUNTIF(I24:XFD24,"&gt;"&amp;0)-1,I$1:XFD24,A24+1,FALSE))</f>
        <v>943</v>
      </c>
      <c r="F24" s="7">
        <f>IF(COUNTIF(I24:XFD24,"&gt;"&amp;0)=0,,HLOOKUP(COUNTIF(I24:XFD24,"&gt;"&amp;0)-MIN($F$1+1,COUNTIF(I24:XFD24,"&gt;"&amp;0)),I$1:XFD24,A24+1,FALSE))</f>
        <v>252</v>
      </c>
      <c r="G24" s="8">
        <f t="shared" si="8"/>
        <v>1.3020337160364548</v>
      </c>
      <c r="H24" s="13" t="s">
        <v>45</v>
      </c>
      <c r="I24" s="9">
        <v>108</v>
      </c>
      <c r="J24" s="9">
        <v>117</v>
      </c>
      <c r="K24" s="9">
        <v>193</v>
      </c>
      <c r="L24" s="9">
        <v>198</v>
      </c>
      <c r="M24" s="9">
        <v>252</v>
      </c>
      <c r="N24" s="9">
        <v>415</v>
      </c>
      <c r="O24" s="9">
        <v>478</v>
      </c>
      <c r="P24" s="9">
        <v>657</v>
      </c>
      <c r="Q24" s="9">
        <v>800</v>
      </c>
      <c r="R24" s="9">
        <v>943</v>
      </c>
    </row>
    <row r="25" spans="1:48" x14ac:dyDescent="0.25">
      <c r="A25" s="9">
        <f t="shared" si="5"/>
        <v>24</v>
      </c>
      <c r="B25" s="9">
        <f t="array" ref="B25">IF(C25="",0,IF(OR(C25=Country_Comparison!$S$10:$S$29),1,0))</f>
        <v>0</v>
      </c>
      <c r="C25" s="9" t="str">
        <f t="shared" si="6"/>
        <v>Czechia</v>
      </c>
      <c r="D25" s="6">
        <f t="shared" si="7"/>
        <v>833</v>
      </c>
      <c r="E25" s="6">
        <f>IF(COUNTIF(I25:XFD25,"&gt;"&amp;0)=0,,HLOOKUP(COUNTIF(I25:XFD25,"&gt;"&amp;0)-1,I$1:XFD25,A25+1,FALSE))</f>
        <v>833</v>
      </c>
      <c r="F25" s="7">
        <f>IF(COUNTIF(I25:XFD25,"&gt;"&amp;0)=0,,HLOOKUP(COUNTIF(I25:XFD25,"&gt;"&amp;0)-MIN($F$1+1,COUNTIF(I25:XFD25,"&gt;"&amp;0)),I$1:XFD25,A25+1,FALSE))</f>
        <v>253</v>
      </c>
      <c r="G25" s="8">
        <f t="shared" si="8"/>
        <v>1.2691264519415288</v>
      </c>
      <c r="H25" s="13" t="s">
        <v>341</v>
      </c>
      <c r="I25" s="9">
        <v>141</v>
      </c>
      <c r="J25" s="9">
        <v>189</v>
      </c>
      <c r="K25" s="9">
        <v>253</v>
      </c>
      <c r="L25" s="9">
        <v>298</v>
      </c>
      <c r="M25" s="9">
        <v>396</v>
      </c>
      <c r="N25" s="9">
        <v>464</v>
      </c>
      <c r="O25" s="9">
        <v>694</v>
      </c>
      <c r="P25" s="9">
        <v>833</v>
      </c>
    </row>
    <row r="26" spans="1:48" x14ac:dyDescent="0.25">
      <c r="A26" s="9">
        <f t="shared" si="5"/>
        <v>25</v>
      </c>
      <c r="B26" s="9">
        <f t="array" ref="B26">IF(C26="",0,IF(OR(C26=Country_Comparison!$S$10:$S$29),1,0))</f>
        <v>0</v>
      </c>
      <c r="C26" s="9" t="str">
        <f t="shared" si="6"/>
        <v>Brazil</v>
      </c>
      <c r="D26" s="6">
        <f t="shared" si="7"/>
        <v>793</v>
      </c>
      <c r="E26" s="6">
        <f>IF(COUNTIF(I26:XFD26,"&gt;"&amp;0)=0,,HLOOKUP(COUNTIF(I26:XFD26,"&gt;"&amp;0)-1,I$1:XFD26,A26+1,FALSE))</f>
        <v>793</v>
      </c>
      <c r="F26" s="7">
        <f>IF(COUNTIF(I26:XFD26,"&gt;"&amp;0)=0,,HLOOKUP(COUNTIF(I26:XFD26,"&gt;"&amp;0)-MIN($F$1+1,COUNTIF(I26:XFD26,"&gt;"&amp;0)),I$1:XFD26,A26+1,FALSE))</f>
        <v>162</v>
      </c>
      <c r="G26" s="8">
        <f t="shared" si="8"/>
        <v>1.3738889625888695</v>
      </c>
      <c r="H26" s="13" t="s">
        <v>81</v>
      </c>
      <c r="I26" s="9">
        <v>151</v>
      </c>
      <c r="J26" s="9">
        <v>151</v>
      </c>
      <c r="K26" s="9">
        <v>162</v>
      </c>
      <c r="L26" s="9">
        <v>200</v>
      </c>
      <c r="M26" s="9">
        <v>321</v>
      </c>
      <c r="N26" s="9">
        <v>372</v>
      </c>
      <c r="O26" s="9">
        <v>621</v>
      </c>
      <c r="P26" s="9">
        <v>793</v>
      </c>
    </row>
    <row r="27" spans="1:48" x14ac:dyDescent="0.25">
      <c r="A27" s="9">
        <f t="shared" si="5"/>
        <v>26</v>
      </c>
      <c r="B27" s="9">
        <f t="array" ref="B27">IF(C27="",0,IF(OR(C27=Country_Comparison!$S$10:$S$29),1,0))</f>
        <v>0</v>
      </c>
      <c r="C27" s="9" t="str">
        <f t="shared" si="6"/>
        <v>Australia</v>
      </c>
      <c r="D27" s="6">
        <f t="shared" si="7"/>
        <v>791</v>
      </c>
      <c r="E27" s="6">
        <f>IF(COUNTIF(I27:XFD27,"&gt;"&amp;0)=0,,HLOOKUP(COUNTIF(I27:XFD27,"&gt;"&amp;0)-1,I$1:XFD27,A27+1,FALSE))</f>
        <v>791</v>
      </c>
      <c r="F27" s="7">
        <f>IF(COUNTIF(I27:XFD27,"&gt;"&amp;0)=0,,HLOOKUP(COUNTIF(I27:XFD27,"&gt;"&amp;0)-MIN($F$1+1,COUNTIF(I27:XFD27,"&gt;"&amp;0)),I$1:XFD27,A27+1,FALSE))</f>
        <v>297</v>
      </c>
      <c r="G27" s="8">
        <f t="shared" si="8"/>
        <v>1.2164212737714692</v>
      </c>
      <c r="H27" s="13" t="s">
        <v>48</v>
      </c>
      <c r="I27" s="9">
        <v>107</v>
      </c>
      <c r="J27" s="9">
        <v>128</v>
      </c>
      <c r="K27" s="9">
        <v>128</v>
      </c>
      <c r="L27" s="9">
        <v>200</v>
      </c>
      <c r="M27" s="9">
        <v>250</v>
      </c>
      <c r="N27" s="9">
        <v>297</v>
      </c>
      <c r="O27" s="9">
        <v>377</v>
      </c>
      <c r="P27" s="9">
        <v>452</v>
      </c>
      <c r="Q27" s="9">
        <v>568</v>
      </c>
      <c r="R27" s="9">
        <v>681</v>
      </c>
      <c r="S27" s="9">
        <v>791</v>
      </c>
    </row>
    <row r="28" spans="1:48" x14ac:dyDescent="0.25">
      <c r="A28" s="9">
        <f t="shared" si="5"/>
        <v>27</v>
      </c>
      <c r="B28" s="9">
        <f t="array" ref="B28">IF(C28="",0,IF(OR(C28=Country_Comparison!$S$10:$S$29),1,0))</f>
        <v>0</v>
      </c>
      <c r="C28" s="9" t="str">
        <f t="shared" si="6"/>
        <v>Cruise Ship</v>
      </c>
      <c r="D28" s="6">
        <f t="shared" si="7"/>
        <v>712</v>
      </c>
      <c r="E28" s="6">
        <f>IF(COUNTIF(I28:XFD28,"&gt;"&amp;0)=0,,HLOOKUP(COUNTIF(I28:XFD28,"&gt;"&amp;0)-1,I$1:XFD28,A28+1,FALSE))</f>
        <v>712</v>
      </c>
      <c r="F28" s="7">
        <f>IF(COUNTIF(I28:XFD28,"&gt;"&amp;0)=0,,HLOOKUP(COUNTIF(I28:XFD28,"&gt;"&amp;0)-MIN($F$1+1,COUNTIF(I28:XFD28,"&gt;"&amp;0)),I$1:XFD28,A28+1,FALSE))</f>
        <v>696</v>
      </c>
      <c r="G28" s="8">
        <f t="shared" si="8"/>
        <v>1.0045559973556712</v>
      </c>
      <c r="H28" s="13" t="s">
        <v>340</v>
      </c>
      <c r="I28" s="9">
        <v>135</v>
      </c>
      <c r="J28" s="9">
        <v>135</v>
      </c>
      <c r="K28" s="9">
        <v>175</v>
      </c>
      <c r="L28" s="9">
        <v>175</v>
      </c>
      <c r="M28" s="9">
        <v>218</v>
      </c>
      <c r="N28" s="9">
        <v>285</v>
      </c>
      <c r="O28" s="9">
        <v>355</v>
      </c>
      <c r="P28" s="9">
        <v>454</v>
      </c>
      <c r="Q28" s="9">
        <v>542</v>
      </c>
      <c r="R28" s="9">
        <v>621</v>
      </c>
      <c r="S28" s="9">
        <v>634</v>
      </c>
      <c r="T28" s="9">
        <v>634</v>
      </c>
      <c r="U28" s="9">
        <v>634</v>
      </c>
      <c r="V28" s="9">
        <v>691</v>
      </c>
      <c r="W28" s="9">
        <v>691</v>
      </c>
      <c r="X28" s="9">
        <v>691</v>
      </c>
      <c r="Y28" s="9">
        <v>705</v>
      </c>
      <c r="Z28" s="9">
        <v>705</v>
      </c>
      <c r="AA28" s="9">
        <v>705</v>
      </c>
      <c r="AB28" s="9">
        <v>705</v>
      </c>
      <c r="AC28" s="9">
        <v>705</v>
      </c>
      <c r="AD28" s="9">
        <v>705</v>
      </c>
      <c r="AE28" s="9">
        <v>706</v>
      </c>
      <c r="AF28" s="9">
        <v>706</v>
      </c>
      <c r="AG28" s="9">
        <v>706</v>
      </c>
      <c r="AH28" s="9">
        <v>696</v>
      </c>
      <c r="AI28" s="9">
        <v>696</v>
      </c>
      <c r="AJ28" s="9">
        <v>696</v>
      </c>
      <c r="AK28" s="9">
        <v>696</v>
      </c>
      <c r="AL28" s="9">
        <v>696</v>
      </c>
      <c r="AM28" s="9">
        <v>696</v>
      </c>
      <c r="AN28" s="9">
        <v>696</v>
      </c>
      <c r="AO28" s="9">
        <v>696</v>
      </c>
      <c r="AP28" s="9">
        <v>696</v>
      </c>
      <c r="AQ28" s="9">
        <v>696</v>
      </c>
      <c r="AR28" s="9">
        <v>696</v>
      </c>
      <c r="AS28" s="9">
        <v>696</v>
      </c>
      <c r="AT28" s="9">
        <v>712</v>
      </c>
      <c r="AU28" s="9">
        <v>712</v>
      </c>
      <c r="AV28" s="9">
        <v>712</v>
      </c>
    </row>
    <row r="29" spans="1:48" x14ac:dyDescent="0.25">
      <c r="A29" s="9">
        <f t="shared" si="5"/>
        <v>28</v>
      </c>
      <c r="B29" s="9">
        <f t="array" ref="B29">IF(C29="",0,IF(OR(C29=Country_Comparison!$S$10:$S$29),1,0))</f>
        <v>0</v>
      </c>
      <c r="C29" s="9" t="str">
        <f t="shared" si="6"/>
        <v>Israel</v>
      </c>
      <c r="D29" s="6">
        <f t="shared" si="7"/>
        <v>705</v>
      </c>
      <c r="E29" s="6">
        <f>IF(COUNTIF(I29:XFD29,"&gt;"&amp;0)=0,,HLOOKUP(COUNTIF(I29:XFD29,"&gt;"&amp;0)-1,I$1:XFD29,A29+1,FALSE))</f>
        <v>705</v>
      </c>
      <c r="F29" s="7">
        <f>IF(COUNTIF(I29:XFD29,"&gt;"&amp;0)=0,,HLOOKUP(COUNTIF(I29:XFD29,"&gt;"&amp;0)-MIN($F$1+1,COUNTIF(I29:XFD29,"&gt;"&amp;0)),I$1:XFD29,A29+1,FALSE))</f>
        <v>251</v>
      </c>
      <c r="G29" s="8">
        <f t="shared" si="8"/>
        <v>1.2294279411929145</v>
      </c>
      <c r="H29" s="13" t="s">
        <v>79</v>
      </c>
      <c r="I29" s="9">
        <v>109</v>
      </c>
      <c r="J29" s="9">
        <v>131</v>
      </c>
      <c r="K29" s="9">
        <v>161</v>
      </c>
      <c r="L29" s="9">
        <v>193</v>
      </c>
      <c r="M29" s="9">
        <v>251</v>
      </c>
      <c r="N29" s="9">
        <v>255</v>
      </c>
      <c r="O29" s="9">
        <v>337</v>
      </c>
      <c r="P29" s="9">
        <v>433</v>
      </c>
      <c r="Q29" s="9">
        <v>677</v>
      </c>
      <c r="R29" s="9">
        <v>705</v>
      </c>
    </row>
    <row r="30" spans="1:48" x14ac:dyDescent="0.25">
      <c r="A30" s="9">
        <f t="shared" si="5"/>
        <v>29</v>
      </c>
      <c r="B30" s="9">
        <f t="array" ref="B30">IF(C30="",0,IF(OR(C30=Country_Comparison!$S$10:$S$29),1,0))</f>
        <v>0</v>
      </c>
      <c r="C30" s="9" t="str">
        <f t="shared" si="6"/>
        <v>Ireland</v>
      </c>
      <c r="D30" s="6">
        <f t="shared" si="7"/>
        <v>683</v>
      </c>
      <c r="E30" s="6">
        <f>IF(COUNTIF(I30:XFD30,"&gt;"&amp;0)=0,,HLOOKUP(COUNTIF(I30:XFD30,"&gt;"&amp;0)-1,I$1:XFD30,A30+1,FALSE))</f>
        <v>683</v>
      </c>
      <c r="F30" s="7">
        <f>IF(COUNTIF(I30:XFD30,"&gt;"&amp;0)=0,,HLOOKUP(COUNTIF(I30:XFD30,"&gt;"&amp;0)-MIN($F$1+1,COUNTIF(I30:XFD30,"&gt;"&amp;0)),I$1:XFD30,A30+1,FALSE))</f>
        <v>129</v>
      </c>
      <c r="G30" s="8">
        <f t="shared" si="8"/>
        <v>1.3956168320302513</v>
      </c>
      <c r="H30" s="13" t="s">
        <v>98</v>
      </c>
      <c r="I30" s="9">
        <v>129</v>
      </c>
      <c r="J30" s="9">
        <v>129</v>
      </c>
      <c r="K30" s="9">
        <v>169</v>
      </c>
      <c r="L30" s="9">
        <v>223</v>
      </c>
      <c r="M30" s="9">
        <v>292</v>
      </c>
      <c r="N30" s="9">
        <v>557</v>
      </c>
      <c r="O30" s="9">
        <v>683</v>
      </c>
    </row>
    <row r="31" spans="1:48" x14ac:dyDescent="0.25">
      <c r="A31" s="9">
        <f t="shared" si="5"/>
        <v>30</v>
      </c>
      <c r="B31" s="9">
        <f t="array" ref="B31">IF(C31="",0,IF(OR(C31=Country_Comparison!$S$10:$S$29),1,0))</f>
        <v>0</v>
      </c>
      <c r="C31" s="9" t="str">
        <f t="shared" si="6"/>
        <v>Pakistan</v>
      </c>
      <c r="D31" s="6">
        <f t="shared" si="7"/>
        <v>501</v>
      </c>
      <c r="E31" s="6">
        <f>IF(COUNTIF(I31:XFD31,"&gt;"&amp;0)=0,,HLOOKUP(COUNTIF(I31:XFD31,"&gt;"&amp;0)-1,I$1:XFD31,A31+1,FALSE))</f>
        <v>501</v>
      </c>
      <c r="F31" s="7">
        <f>IF(COUNTIF(I31:XFD31,"&gt;"&amp;0)=0,,HLOOKUP(COUNTIF(I31:XFD31,"&gt;"&amp;0)-MIN($F$1+1,COUNTIF(I31:XFD31,"&gt;"&amp;0)),I$1:XFD31,A31+1,FALSE))</f>
        <v>136</v>
      </c>
      <c r="G31" s="8">
        <f t="shared" si="8"/>
        <v>1.3853984722244419</v>
      </c>
      <c r="H31" s="13" t="s">
        <v>80</v>
      </c>
      <c r="I31" s="9">
        <v>136</v>
      </c>
      <c r="J31" s="9">
        <v>236</v>
      </c>
      <c r="K31" s="9">
        <v>299</v>
      </c>
      <c r="L31" s="9">
        <v>454</v>
      </c>
      <c r="M31" s="9">
        <v>501</v>
      </c>
    </row>
    <row r="32" spans="1:48" x14ac:dyDescent="0.25">
      <c r="A32" s="9">
        <f t="shared" si="5"/>
        <v>31</v>
      </c>
      <c r="B32" s="9">
        <f t="array" ref="B32">IF(C32="",0,IF(OR(C32=Country_Comparison!$S$10:$S$29),1,0))</f>
        <v>0</v>
      </c>
      <c r="C32" s="9" t="str">
        <f t="shared" si="6"/>
        <v>Greece</v>
      </c>
      <c r="D32" s="6">
        <f t="shared" si="7"/>
        <v>495</v>
      </c>
      <c r="E32" s="6">
        <f>IF(COUNTIF(I32:XFD32,"&gt;"&amp;0)=0,,HLOOKUP(COUNTIF(I32:XFD32,"&gt;"&amp;0)-1,I$1:XFD32,A32+1,FALSE))</f>
        <v>495</v>
      </c>
      <c r="F32" s="7">
        <f>IF(COUNTIF(I32:XFD32,"&gt;"&amp;0)=0,,HLOOKUP(COUNTIF(I32:XFD32,"&gt;"&amp;0)-MIN($F$1+1,COUNTIF(I32:XFD32,"&gt;"&amp;0)),I$1:XFD32,A32+1,FALSE))</f>
        <v>331</v>
      </c>
      <c r="G32" s="8">
        <f t="shared" si="8"/>
        <v>1.0838157079398503</v>
      </c>
      <c r="H32" s="13" t="s">
        <v>83</v>
      </c>
      <c r="I32" s="9">
        <v>190</v>
      </c>
      <c r="J32" s="9">
        <v>228</v>
      </c>
      <c r="K32" s="9">
        <v>331</v>
      </c>
      <c r="L32" s="9">
        <v>331</v>
      </c>
      <c r="M32" s="9">
        <v>387</v>
      </c>
      <c r="N32" s="9">
        <v>418</v>
      </c>
      <c r="O32" s="9">
        <v>418</v>
      </c>
      <c r="P32" s="9">
        <v>495</v>
      </c>
    </row>
    <row r="33" spans="1:29" x14ac:dyDescent="0.25">
      <c r="A33" s="9">
        <f t="shared" si="5"/>
        <v>32</v>
      </c>
      <c r="B33" s="9">
        <f t="array" ref="B33">IF(C33="",0,IF(OR(C33=Country_Comparison!$S$10:$S$29),1,0))</f>
        <v>0</v>
      </c>
      <c r="C33" s="9" t="str">
        <f t="shared" si="6"/>
        <v>Luxembourg</v>
      </c>
      <c r="D33" s="6">
        <f t="shared" si="7"/>
        <v>484</v>
      </c>
      <c r="E33" s="6">
        <f>IF(COUNTIF(I33:XFD33,"&gt;"&amp;0)=0,,HLOOKUP(COUNTIF(I33:XFD33,"&gt;"&amp;0)-1,I$1:XFD33,A33+1,FALSE))</f>
        <v>484</v>
      </c>
      <c r="F33" s="7">
        <f>IF(COUNTIF(I33:XFD33,"&gt;"&amp;0)=0,,HLOOKUP(COUNTIF(I33:XFD33,"&gt;"&amp;0)-MIN($F$1+1,COUNTIF(I33:XFD33,"&gt;"&amp;0)),I$1:XFD33,A33+1,FALSE))</f>
        <v>140</v>
      </c>
      <c r="G33" s="8">
        <f t="shared" si="8"/>
        <v>1.512071897730358</v>
      </c>
      <c r="H33" s="13" t="s">
        <v>99</v>
      </c>
      <c r="I33" s="9">
        <v>140</v>
      </c>
      <c r="J33" s="9">
        <v>203</v>
      </c>
      <c r="K33" s="9">
        <v>335</v>
      </c>
      <c r="L33" s="9">
        <v>484</v>
      </c>
    </row>
    <row r="34" spans="1:29" x14ac:dyDescent="0.25">
      <c r="A34" s="9">
        <f t="shared" si="5"/>
        <v>33</v>
      </c>
      <c r="B34" s="9">
        <f t="array" ref="B34">IF(C34="",0,IF(OR(C34=Country_Comparison!$S$10:$S$29),1,0))</f>
        <v>0</v>
      </c>
      <c r="C34" s="9" t="str">
        <f t="shared" si="6"/>
        <v>Qatar</v>
      </c>
      <c r="D34" s="6">
        <f t="shared" si="7"/>
        <v>470</v>
      </c>
      <c r="E34" s="6">
        <f>IF(COUNTIF(I34:XFD34,"&gt;"&amp;0)=0,,HLOOKUP(COUNTIF(I34:XFD34,"&gt;"&amp;0)-1,I$1:XFD34,A34+1,FALSE))</f>
        <v>470</v>
      </c>
      <c r="F34" s="7">
        <f>IF(COUNTIF(I34:XFD34,"&gt;"&amp;0)=0,,HLOOKUP(COUNTIF(I34:XFD34,"&gt;"&amp;0)-MIN($F$1+1,COUNTIF(I34:XFD34,"&gt;"&amp;0)),I$1:XFD34,A34+1,FALSE))</f>
        <v>401</v>
      </c>
      <c r="G34" s="8">
        <f t="shared" si="8"/>
        <v>1.0322637988958521</v>
      </c>
      <c r="H34" s="13" t="s">
        <v>101</v>
      </c>
      <c r="I34" s="9">
        <v>262</v>
      </c>
      <c r="J34" s="9">
        <v>262</v>
      </c>
      <c r="K34" s="9">
        <v>320</v>
      </c>
      <c r="L34" s="9">
        <v>337</v>
      </c>
      <c r="M34" s="9">
        <v>401</v>
      </c>
      <c r="N34" s="9">
        <v>439</v>
      </c>
      <c r="O34" s="9">
        <v>439</v>
      </c>
      <c r="P34" s="9">
        <v>452</v>
      </c>
      <c r="Q34" s="9">
        <v>460</v>
      </c>
      <c r="R34" s="9">
        <v>470</v>
      </c>
    </row>
    <row r="35" spans="1:29" x14ac:dyDescent="0.25">
      <c r="A35" s="9">
        <f t="shared" si="5"/>
        <v>34</v>
      </c>
      <c r="B35" s="9">
        <f t="array" ref="B35">IF(C35="",0,IF(OR(C35=Country_Comparison!$S$10:$S$29),1,0))</f>
        <v>0</v>
      </c>
      <c r="C35" s="9" t="str">
        <f t="shared" si="6"/>
        <v>Finland</v>
      </c>
      <c r="D35" s="6">
        <f t="shared" si="7"/>
        <v>450</v>
      </c>
      <c r="E35" s="6">
        <f>IF(COUNTIF(I35:XFD35,"&gt;"&amp;0)=0,,HLOOKUP(COUNTIF(I35:XFD35,"&gt;"&amp;0)-1,I$1:XFD35,A35+1,FALSE))</f>
        <v>450</v>
      </c>
      <c r="F35" s="7">
        <f>IF(COUNTIF(I35:XFD35,"&gt;"&amp;0)=0,,HLOOKUP(COUNTIF(I35:XFD35,"&gt;"&amp;0)-MIN($F$1+1,COUNTIF(I35:XFD35,"&gt;"&amp;0)),I$1:XFD35,A35+1,FALSE))</f>
        <v>244</v>
      </c>
      <c r="G35" s="8">
        <f t="shared" si="8"/>
        <v>1.1302240320152632</v>
      </c>
      <c r="H35" s="13" t="s">
        <v>54</v>
      </c>
      <c r="I35" s="9">
        <v>155</v>
      </c>
      <c r="J35" s="9">
        <v>225</v>
      </c>
      <c r="K35" s="9">
        <v>244</v>
      </c>
      <c r="L35" s="9">
        <v>277</v>
      </c>
      <c r="M35" s="9">
        <v>321</v>
      </c>
      <c r="N35" s="9">
        <v>336</v>
      </c>
      <c r="O35" s="9">
        <v>400</v>
      </c>
      <c r="P35" s="9">
        <v>450</v>
      </c>
    </row>
    <row r="36" spans="1:29" x14ac:dyDescent="0.25">
      <c r="A36" s="9">
        <f t="shared" si="5"/>
        <v>35</v>
      </c>
      <c r="B36" s="9">
        <f t="array" ref="B36">IF(C36="",0,IF(OR(C36=Country_Comparison!$S$10:$S$29),1,0))</f>
        <v>0</v>
      </c>
      <c r="C36" s="9" t="str">
        <f t="shared" si="6"/>
        <v>Chile</v>
      </c>
      <c r="D36" s="6">
        <f t="shared" si="7"/>
        <v>434</v>
      </c>
      <c r="E36" s="6">
        <f>IF(COUNTIF(I36:XFD36,"&gt;"&amp;0)=0,,HLOOKUP(COUNTIF(I36:XFD36,"&gt;"&amp;0)-1,I$1:XFD36,A36+1,FALSE))</f>
        <v>434</v>
      </c>
      <c r="F36" s="7">
        <f>IF(COUNTIF(I36:XFD36,"&gt;"&amp;0)=0,,HLOOKUP(COUNTIF(I36:XFD36,"&gt;"&amp;0)-MIN($F$1+1,COUNTIF(I36:XFD36,"&gt;"&amp;0)),I$1:XFD36,A36+1,FALSE))</f>
        <v>155</v>
      </c>
      <c r="G36" s="8">
        <f t="shared" si="8"/>
        <v>1.2935687276168015</v>
      </c>
      <c r="H36" s="13" t="s">
        <v>124</v>
      </c>
      <c r="I36" s="9">
        <v>155</v>
      </c>
      <c r="J36" s="9">
        <v>201</v>
      </c>
      <c r="K36" s="9">
        <v>238</v>
      </c>
      <c r="L36" s="9">
        <v>238</v>
      </c>
      <c r="M36" s="9">
        <v>434</v>
      </c>
    </row>
    <row r="37" spans="1:29" x14ac:dyDescent="0.25">
      <c r="A37" s="9">
        <f t="shared" si="5"/>
        <v>36</v>
      </c>
      <c r="B37" s="9">
        <f t="array" ref="B37">IF(C37="",0,IF(OR(C37=Country_Comparison!$S$10:$S$29),1,0))</f>
        <v>0</v>
      </c>
      <c r="C37" s="9" t="str">
        <f t="shared" si="6"/>
        <v>Poland</v>
      </c>
      <c r="D37" s="6">
        <f t="shared" si="7"/>
        <v>425</v>
      </c>
      <c r="E37" s="6">
        <f>IF(COUNTIF(I37:XFD37,"&gt;"&amp;0)=0,,HLOOKUP(COUNTIF(I37:XFD37,"&gt;"&amp;0)-1,I$1:XFD37,A37+1,FALSE))</f>
        <v>425</v>
      </c>
      <c r="F37" s="7">
        <f>IF(COUNTIF(I37:XFD37,"&gt;"&amp;0)=0,,HLOOKUP(COUNTIF(I37:XFD37,"&gt;"&amp;0)-MIN($F$1+1,COUNTIF(I37:XFD37,"&gt;"&amp;0)),I$1:XFD37,A37+1,FALSE))</f>
        <v>119</v>
      </c>
      <c r="G37" s="8">
        <f t="shared" si="8"/>
        <v>1.2899366842116897</v>
      </c>
      <c r="H37" s="13" t="s">
        <v>137</v>
      </c>
      <c r="I37" s="9">
        <v>103</v>
      </c>
      <c r="J37" s="9">
        <v>119</v>
      </c>
      <c r="K37" s="9">
        <v>177</v>
      </c>
      <c r="L37" s="9">
        <v>238</v>
      </c>
      <c r="M37" s="9">
        <v>251</v>
      </c>
      <c r="N37" s="9">
        <v>355</v>
      </c>
      <c r="O37" s="9">
        <v>425</v>
      </c>
    </row>
    <row r="38" spans="1:29" x14ac:dyDescent="0.25">
      <c r="A38" s="9">
        <f t="shared" si="5"/>
        <v>37</v>
      </c>
      <c r="B38" s="9">
        <f t="array" ref="B38">IF(C38="",0,IF(OR(C38=Country_Comparison!$S$10:$S$29),1,0))</f>
        <v>0</v>
      </c>
      <c r="C38" s="9" t="str">
        <f t="shared" si="6"/>
        <v>Iceland</v>
      </c>
      <c r="D38" s="6">
        <f t="shared" si="7"/>
        <v>409</v>
      </c>
      <c r="E38" s="6">
        <f>IF(COUNTIF(I38:XFD38,"&gt;"&amp;0)=0,,HLOOKUP(COUNTIF(I38:XFD38,"&gt;"&amp;0)-1,I$1:XFD38,A38+1,FALSE))</f>
        <v>409</v>
      </c>
      <c r="F38" s="7">
        <f>IF(COUNTIF(I38:XFD38,"&gt;"&amp;0)=0,,HLOOKUP(COUNTIF(I38:XFD38,"&gt;"&amp;0)-MIN($F$1+1,COUNTIF(I38:XFD38,"&gt;"&amp;0)),I$1:XFD38,A38+1,FALSE))</f>
        <v>171</v>
      </c>
      <c r="G38" s="8">
        <f t="shared" si="8"/>
        <v>1.1905439695047038</v>
      </c>
      <c r="H38" s="13" t="s">
        <v>92</v>
      </c>
      <c r="I38" s="9">
        <v>103</v>
      </c>
      <c r="J38" s="9">
        <v>134</v>
      </c>
      <c r="K38" s="9">
        <v>156</v>
      </c>
      <c r="L38" s="9">
        <v>171</v>
      </c>
      <c r="M38" s="9">
        <v>180</v>
      </c>
      <c r="N38" s="9">
        <v>220</v>
      </c>
      <c r="O38" s="9">
        <v>250</v>
      </c>
      <c r="P38" s="9">
        <v>330</v>
      </c>
      <c r="Q38" s="9">
        <v>409</v>
      </c>
    </row>
    <row r="39" spans="1:29" x14ac:dyDescent="0.25">
      <c r="A39" s="9">
        <f t="shared" si="5"/>
        <v>38</v>
      </c>
      <c r="B39" s="9">
        <f t="array" ref="B39">IF(C39="",0,IF(OR(C39=Country_Comparison!$S$10:$S$29),1,0))</f>
        <v>0</v>
      </c>
      <c r="C39" s="9" t="str">
        <f t="shared" si="6"/>
        <v>Singapore</v>
      </c>
      <c r="D39" s="6">
        <f t="shared" si="7"/>
        <v>385</v>
      </c>
      <c r="E39" s="6">
        <f>IF(COUNTIF(I39:XFD39,"&gt;"&amp;0)=0,,HLOOKUP(COUNTIF(I39:XFD39,"&gt;"&amp;0)-1,I$1:XFD39,A39+1,FALSE))</f>
        <v>385</v>
      </c>
      <c r="F39" s="7">
        <f>IF(COUNTIF(I39:XFD39,"&gt;"&amp;0)=0,,HLOOKUP(COUNTIF(I39:XFD39,"&gt;"&amp;0)-MIN($F$1+1,COUNTIF(I39:XFD39,"&gt;"&amp;0)),I$1:XFD39,A39+1,FALSE))</f>
        <v>226</v>
      </c>
      <c r="G39" s="8">
        <f t="shared" si="8"/>
        <v>1.1124242768658286</v>
      </c>
      <c r="H39" s="13" t="s">
        <v>40</v>
      </c>
      <c r="I39" s="9">
        <v>102</v>
      </c>
      <c r="J39" s="9">
        <v>106</v>
      </c>
      <c r="K39" s="9">
        <v>108</v>
      </c>
      <c r="L39" s="9">
        <v>110</v>
      </c>
      <c r="M39" s="9">
        <v>110</v>
      </c>
      <c r="N39" s="9">
        <v>117</v>
      </c>
      <c r="O39" s="9">
        <v>130</v>
      </c>
      <c r="P39" s="9">
        <v>138</v>
      </c>
      <c r="Q39" s="9">
        <v>150</v>
      </c>
      <c r="R39" s="9">
        <v>150</v>
      </c>
      <c r="S39" s="9">
        <v>160</v>
      </c>
      <c r="T39" s="9">
        <v>178</v>
      </c>
      <c r="U39" s="9">
        <v>178</v>
      </c>
      <c r="V39" s="9">
        <v>200</v>
      </c>
      <c r="W39" s="9">
        <v>212</v>
      </c>
      <c r="X39" s="9">
        <v>226</v>
      </c>
      <c r="Y39" s="9">
        <v>243</v>
      </c>
      <c r="Z39" s="9">
        <v>266</v>
      </c>
      <c r="AA39" s="9">
        <v>313</v>
      </c>
      <c r="AB39" s="9">
        <v>345</v>
      </c>
      <c r="AC39" s="9">
        <v>385</v>
      </c>
    </row>
    <row r="40" spans="1:29" x14ac:dyDescent="0.25">
      <c r="A40" s="9">
        <f t="shared" si="5"/>
        <v>39</v>
      </c>
      <c r="B40" s="9">
        <f t="array" ref="B40">IF(C40="",0,IF(OR(C40=Country_Comparison!$S$10:$S$29),1,0))</f>
        <v>0</v>
      </c>
      <c r="C40" s="9" t="str">
        <f t="shared" si="6"/>
        <v>Indonesia</v>
      </c>
      <c r="D40" s="6">
        <f t="shared" si="7"/>
        <v>369</v>
      </c>
      <c r="E40" s="6">
        <f>IF(COUNTIF(I40:XFD40,"&gt;"&amp;0)=0,,HLOOKUP(COUNTIF(I40:XFD40,"&gt;"&amp;0)-1,I$1:XFD40,A40+1,FALSE))</f>
        <v>369</v>
      </c>
      <c r="F40" s="7">
        <f>IF(COUNTIF(I40:XFD40,"&gt;"&amp;0)=0,,HLOOKUP(COUNTIF(I40:XFD40,"&gt;"&amp;0)-MIN($F$1+1,COUNTIF(I40:XFD40,"&gt;"&amp;0)),I$1:XFD40,A40+1,FALSE))</f>
        <v>117</v>
      </c>
      <c r="G40" s="8">
        <f t="shared" si="8"/>
        <v>1.2582533660424671</v>
      </c>
      <c r="H40" s="13" t="s">
        <v>107</v>
      </c>
      <c r="I40" s="9">
        <v>117</v>
      </c>
      <c r="J40" s="9">
        <v>134</v>
      </c>
      <c r="K40" s="9">
        <v>172</v>
      </c>
      <c r="L40" s="9">
        <v>227</v>
      </c>
      <c r="M40" s="9">
        <v>311</v>
      </c>
      <c r="N40" s="9">
        <v>369</v>
      </c>
    </row>
    <row r="41" spans="1:29" x14ac:dyDescent="0.25">
      <c r="A41" s="9">
        <f t="shared" si="5"/>
        <v>40</v>
      </c>
      <c r="B41" s="9">
        <f t="array" ref="B41">IF(C41="",0,IF(OR(C41=Country_Comparison!$S$10:$S$29),1,0))</f>
        <v>0</v>
      </c>
      <c r="C41" s="9" t="str">
        <f t="shared" si="6"/>
        <v>Ecuador</v>
      </c>
      <c r="D41" s="6">
        <f t="shared" si="7"/>
        <v>367</v>
      </c>
      <c r="E41" s="6">
        <f>IF(COUNTIF(I41:XFD41,"&gt;"&amp;0)=0,,HLOOKUP(COUNTIF(I41:XFD41,"&gt;"&amp;0)-1,I$1:XFD41,A41+1,FALSE))</f>
        <v>367</v>
      </c>
      <c r="F41" s="7">
        <f>IF(COUNTIF(I41:XFD41,"&gt;"&amp;0)=0,,HLOOKUP(COUNTIF(I41:XFD41,"&gt;"&amp;0)-MIN($F$1+1,COUNTIF(I41:XFD41,"&gt;"&amp;0)),I$1:XFD41,A41+1,FALSE))</f>
        <v>111</v>
      </c>
      <c r="G41" s="8">
        <f t="shared" si="8"/>
        <v>1.8183251376765119</v>
      </c>
      <c r="H41" s="13" t="s">
        <v>103</v>
      </c>
      <c r="I41" s="9">
        <v>111</v>
      </c>
      <c r="J41" s="9">
        <v>199</v>
      </c>
      <c r="K41" s="9">
        <v>367</v>
      </c>
    </row>
    <row r="42" spans="1:29" x14ac:dyDescent="0.25">
      <c r="A42" s="9">
        <f t="shared" si="5"/>
        <v>41</v>
      </c>
      <c r="B42" s="9">
        <f t="array" ref="B42">IF(C42="",0,IF(OR(C42=Country_Comparison!$S$10:$S$29),1,0))</f>
        <v>0</v>
      </c>
      <c r="C42" s="9" t="str">
        <f t="shared" si="6"/>
        <v>Turkey</v>
      </c>
      <c r="D42" s="6">
        <f t="shared" si="7"/>
        <v>359</v>
      </c>
      <c r="E42" s="6">
        <f>IF(COUNTIF(I42:XFD42,"&gt;"&amp;0)=0,,HLOOKUP(COUNTIF(I42:XFD42,"&gt;"&amp;0)-1,I$1:XFD42,A42+1,FALSE))</f>
        <v>359</v>
      </c>
      <c r="F42" s="7">
        <f>IF(COUNTIF(I42:XFD42,"&gt;"&amp;0)=0,,HLOOKUP(COUNTIF(I42:XFD42,"&gt;"&amp;0)-MIN($F$1+1,COUNTIF(I42:XFD42,"&gt;"&amp;0)),I$1:XFD42,A42+1,FALSE))</f>
        <v>192</v>
      </c>
      <c r="G42" s="8">
        <f t="shared" si="8"/>
        <v>1.8697916666666667</v>
      </c>
      <c r="H42" s="13" t="s">
        <v>355</v>
      </c>
      <c r="I42" s="9">
        <v>192</v>
      </c>
      <c r="J42" s="9">
        <v>359</v>
      </c>
    </row>
    <row r="43" spans="1:29" x14ac:dyDescent="0.25">
      <c r="A43" s="9">
        <f t="shared" si="5"/>
        <v>42</v>
      </c>
      <c r="B43" s="9">
        <f t="array" ref="B43">IF(C43="",0,IF(OR(C43=Country_Comparison!$S$10:$S$29),1,0))</f>
        <v>0</v>
      </c>
      <c r="C43" s="9" t="str">
        <f t="shared" si="6"/>
        <v>Saudi Arabia</v>
      </c>
      <c r="D43" s="6">
        <f t="shared" si="7"/>
        <v>344</v>
      </c>
      <c r="E43" s="6">
        <f>IF(COUNTIF(I43:XFD43,"&gt;"&amp;0)=0,,HLOOKUP(COUNTIF(I43:XFD43,"&gt;"&amp;0)-1,I$1:XFD43,A43+1,FALSE))</f>
        <v>344</v>
      </c>
      <c r="F43" s="7">
        <f>IF(COUNTIF(I43:XFD43,"&gt;"&amp;0)=0,,HLOOKUP(COUNTIF(I43:XFD43,"&gt;"&amp;0)-MIN($F$1+1,COUNTIF(I43:XFD43,"&gt;"&amp;0)),I$1:XFD43,A43+1,FALSE))</f>
        <v>103</v>
      </c>
      <c r="G43" s="8">
        <f t="shared" si="8"/>
        <v>1.2727533346455708</v>
      </c>
      <c r="H43" s="13" t="s">
        <v>113</v>
      </c>
      <c r="I43" s="9">
        <v>103</v>
      </c>
      <c r="J43" s="9">
        <v>103</v>
      </c>
      <c r="K43" s="9">
        <v>118</v>
      </c>
      <c r="L43" s="9">
        <v>171</v>
      </c>
      <c r="M43" s="9">
        <v>171</v>
      </c>
      <c r="N43" s="9">
        <v>274</v>
      </c>
      <c r="O43" s="9">
        <v>344</v>
      </c>
    </row>
    <row r="44" spans="1:29" x14ac:dyDescent="0.25">
      <c r="A44" s="9">
        <f t="shared" si="5"/>
        <v>43</v>
      </c>
      <c r="B44" s="9">
        <f t="array" ref="B44">IF(C44="",0,IF(OR(C44=Country_Comparison!$S$10:$S$29),1,0))</f>
        <v>0</v>
      </c>
      <c r="C44" s="9" t="str">
        <f t="shared" si="6"/>
        <v>Slovenia</v>
      </c>
      <c r="D44" s="6">
        <f t="shared" si="7"/>
        <v>341</v>
      </c>
      <c r="E44" s="6">
        <f>IF(COUNTIF(I44:XFD44,"&gt;"&amp;0)=0,,HLOOKUP(COUNTIF(I44:XFD44,"&gt;"&amp;0)-1,I$1:XFD44,A44+1,FALSE))</f>
        <v>341</v>
      </c>
      <c r="F44" s="7">
        <f>IF(COUNTIF(I44:XFD44,"&gt;"&amp;0)=0,,HLOOKUP(COUNTIF(I44:XFD44,"&gt;"&amp;0)-MIN($F$1+1,COUNTIF(I44:XFD44,"&gt;"&amp;0)),I$1:XFD44,A44+1,FALSE))</f>
        <v>219</v>
      </c>
      <c r="G44" s="8">
        <f t="shared" si="8"/>
        <v>1.0926021551708378</v>
      </c>
      <c r="H44" s="13" t="s">
        <v>141</v>
      </c>
      <c r="I44" s="9">
        <v>141</v>
      </c>
      <c r="J44" s="9">
        <v>181</v>
      </c>
      <c r="K44" s="9">
        <v>219</v>
      </c>
      <c r="L44" s="9">
        <v>253</v>
      </c>
      <c r="M44" s="9">
        <v>275</v>
      </c>
      <c r="N44" s="9">
        <v>275</v>
      </c>
      <c r="O44" s="9">
        <v>286</v>
      </c>
      <c r="P44" s="9">
        <v>341</v>
      </c>
    </row>
    <row r="45" spans="1:29" x14ac:dyDescent="0.25">
      <c r="A45" s="9">
        <f t="shared" si="5"/>
        <v>44</v>
      </c>
      <c r="B45" s="9">
        <f t="array" ref="B45">IF(C45="",0,IF(OR(C45=Country_Comparison!$S$10:$S$29),1,0))</f>
        <v>0</v>
      </c>
      <c r="C45" s="9" t="str">
        <f t="shared" si="6"/>
        <v>Thailand</v>
      </c>
      <c r="D45" s="6">
        <f t="shared" si="7"/>
        <v>322</v>
      </c>
      <c r="E45" s="6">
        <f>IF(COUNTIF(I45:XFD45,"&gt;"&amp;0)=0,,HLOOKUP(COUNTIF(I45:XFD45,"&gt;"&amp;0)-1,I$1:XFD45,A45+1,FALSE))</f>
        <v>322</v>
      </c>
      <c r="F45" s="7">
        <f>IF(COUNTIF(I45:XFD45,"&gt;"&amp;0)=0,,HLOOKUP(COUNTIF(I45:XFD45,"&gt;"&amp;0)-MIN($F$1+1,COUNTIF(I45:XFD45,"&gt;"&amp;0)),I$1:XFD45,A45+1,FALSE))</f>
        <v>114</v>
      </c>
      <c r="G45" s="8">
        <f t="shared" si="8"/>
        <v>1.230807698634055</v>
      </c>
      <c r="H45" s="13" t="s">
        <v>35</v>
      </c>
      <c r="I45" s="9">
        <v>114</v>
      </c>
      <c r="J45" s="9">
        <v>147</v>
      </c>
      <c r="K45" s="9">
        <v>177</v>
      </c>
      <c r="L45" s="9">
        <v>212</v>
      </c>
      <c r="M45" s="9">
        <v>272</v>
      </c>
      <c r="N45" s="9">
        <v>322</v>
      </c>
    </row>
    <row r="46" spans="1:29" x14ac:dyDescent="0.25">
      <c r="A46" s="9">
        <f t="shared" si="5"/>
        <v>45</v>
      </c>
      <c r="B46" s="9">
        <f t="array" ref="B46">IF(C46="",0,IF(OR(C46=Country_Comparison!$S$10:$S$29),1,0))</f>
        <v>0</v>
      </c>
      <c r="C46" s="9" t="str">
        <f t="shared" si="6"/>
        <v>Romania</v>
      </c>
      <c r="D46" s="6">
        <f t="shared" si="7"/>
        <v>308</v>
      </c>
      <c r="E46" s="6">
        <f>IF(COUNTIF(I46:XFD46,"&gt;"&amp;0)=0,,HLOOKUP(COUNTIF(I46:XFD46,"&gt;"&amp;0)-1,I$1:XFD46,A46+1,FALSE))</f>
        <v>308</v>
      </c>
      <c r="F46" s="7">
        <f>IF(COUNTIF(I46:XFD46,"&gt;"&amp;0)=0,,HLOOKUP(COUNTIF(I46:XFD46,"&gt;"&amp;0)-MIN($F$1+1,COUNTIF(I46:XFD46,"&gt;"&amp;0)),I$1:XFD46,A46+1,FALSE))</f>
        <v>131</v>
      </c>
      <c r="G46" s="8">
        <f t="shared" si="8"/>
        <v>1.1864676031319425</v>
      </c>
      <c r="H46" s="13" t="s">
        <v>86</v>
      </c>
      <c r="I46" s="9">
        <v>123</v>
      </c>
      <c r="J46" s="9">
        <v>131</v>
      </c>
      <c r="K46" s="9">
        <v>158</v>
      </c>
      <c r="L46" s="9">
        <v>184</v>
      </c>
      <c r="M46" s="9">
        <v>260</v>
      </c>
      <c r="N46" s="9">
        <v>277</v>
      </c>
      <c r="O46" s="9">
        <v>308</v>
      </c>
    </row>
    <row r="47" spans="1:29" x14ac:dyDescent="0.25">
      <c r="A47" s="9">
        <f t="shared" si="5"/>
        <v>46</v>
      </c>
      <c r="B47" s="9">
        <f t="array" ref="B47">IF(C47="",0,IF(OR(C47=Country_Comparison!$S$10:$S$29),1,0))</f>
        <v>0</v>
      </c>
      <c r="C47" s="9" t="str">
        <f t="shared" si="6"/>
        <v>Bahrain</v>
      </c>
      <c r="D47" s="6">
        <f t="shared" si="7"/>
        <v>285</v>
      </c>
      <c r="E47" s="6">
        <f>IF(COUNTIF(I47:XFD47,"&gt;"&amp;0)=0,,HLOOKUP(COUNTIF(I47:XFD47,"&gt;"&amp;0)-1,I$1:XFD47,A47+1,FALSE))</f>
        <v>285</v>
      </c>
      <c r="F47" s="7">
        <f>IF(COUNTIF(I47:XFD47,"&gt;"&amp;0)=0,,HLOOKUP(COUNTIF(I47:XFD47,"&gt;"&amp;0)-MIN($F$1+1,COUNTIF(I47:XFD47,"&gt;"&amp;0)),I$1:XFD47,A47+1,FALSE))</f>
        <v>214</v>
      </c>
      <c r="G47" s="8">
        <f t="shared" si="8"/>
        <v>1.0589762431159426</v>
      </c>
      <c r="H47" s="13" t="s">
        <v>73</v>
      </c>
      <c r="I47" s="9">
        <v>110</v>
      </c>
      <c r="J47" s="9">
        <v>195</v>
      </c>
      <c r="K47" s="9">
        <v>195</v>
      </c>
      <c r="L47" s="9">
        <v>189</v>
      </c>
      <c r="M47" s="9">
        <v>210</v>
      </c>
      <c r="N47" s="9">
        <v>214</v>
      </c>
      <c r="O47" s="9">
        <v>214</v>
      </c>
      <c r="P47" s="9">
        <v>228</v>
      </c>
      <c r="Q47" s="9">
        <v>256</v>
      </c>
      <c r="R47" s="9">
        <v>278</v>
      </c>
      <c r="S47" s="9">
        <v>285</v>
      </c>
    </row>
    <row r="48" spans="1:29" x14ac:dyDescent="0.25">
      <c r="A48" s="9">
        <f t="shared" si="5"/>
        <v>47</v>
      </c>
      <c r="B48" s="9">
        <f t="array" ref="B48">IF(C48="",0,IF(OR(C48=Country_Comparison!$S$10:$S$29),1,0))</f>
        <v>0</v>
      </c>
      <c r="C48" s="9" t="str">
        <f t="shared" si="6"/>
        <v>Egypt</v>
      </c>
      <c r="D48" s="6">
        <f t="shared" si="7"/>
        <v>285</v>
      </c>
      <c r="E48" s="6">
        <f>IF(COUNTIF(I48:XFD48,"&gt;"&amp;0)=0,,HLOOKUP(COUNTIF(I48:XFD48,"&gt;"&amp;0)-1,I$1:XFD48,A48+1,FALSE))</f>
        <v>285</v>
      </c>
      <c r="F48" s="7">
        <f>IF(COUNTIF(I48:XFD48,"&gt;"&amp;0)=0,,HLOOKUP(COUNTIF(I48:XFD48,"&gt;"&amp;0)-MIN($F$1+1,COUNTIF(I48:XFD48,"&gt;"&amp;0)),I$1:XFD48,A48+1,FALSE))</f>
        <v>110</v>
      </c>
      <c r="G48" s="8">
        <f t="shared" si="8"/>
        <v>1.2097355268843126</v>
      </c>
      <c r="H48" s="13" t="s">
        <v>65</v>
      </c>
      <c r="I48" s="9">
        <v>109</v>
      </c>
      <c r="J48" s="9">
        <v>110</v>
      </c>
      <c r="K48" s="9">
        <v>150</v>
      </c>
      <c r="L48" s="9">
        <v>196</v>
      </c>
      <c r="M48" s="9">
        <v>196</v>
      </c>
      <c r="N48" s="9">
        <v>256</v>
      </c>
      <c r="O48" s="9">
        <v>285</v>
      </c>
    </row>
    <row r="49" spans="1:16" x14ac:dyDescent="0.25">
      <c r="A49" s="9">
        <f t="shared" si="5"/>
        <v>48</v>
      </c>
      <c r="B49" s="9">
        <f t="array" ref="B49">IF(C49="",0,IF(OR(C49=Country_Comparison!$S$10:$S$29),1,0))</f>
        <v>0</v>
      </c>
      <c r="C49" s="9" t="str">
        <f t="shared" si="6"/>
        <v>Estonia</v>
      </c>
      <c r="D49" s="6">
        <f t="shared" si="7"/>
        <v>283</v>
      </c>
      <c r="E49" s="6">
        <f>IF(COUNTIF(I49:XFD49,"&gt;"&amp;0)=0,,HLOOKUP(COUNTIF(I49:XFD49,"&gt;"&amp;0)-1,I$1:XFD49,A49+1,FALSE))</f>
        <v>283</v>
      </c>
      <c r="F49" s="7">
        <f>IF(COUNTIF(I49:XFD49,"&gt;"&amp;0)=0,,HLOOKUP(COUNTIF(I49:XFD49,"&gt;"&amp;0)-MIN($F$1+1,COUNTIF(I49:XFD49,"&gt;"&amp;0)),I$1:XFD49,A49+1,FALSE))</f>
        <v>171</v>
      </c>
      <c r="G49" s="8">
        <f t="shared" si="8"/>
        <v>1.1060074822568469</v>
      </c>
      <c r="H49" s="13" t="s">
        <v>88</v>
      </c>
      <c r="I49" s="9">
        <v>115</v>
      </c>
      <c r="J49" s="9">
        <v>171</v>
      </c>
      <c r="K49" s="9">
        <v>205</v>
      </c>
      <c r="L49" s="9">
        <v>225</v>
      </c>
      <c r="M49" s="9">
        <v>258</v>
      </c>
      <c r="N49" s="9">
        <v>267</v>
      </c>
      <c r="O49" s="9">
        <v>283</v>
      </c>
    </row>
    <row r="50" spans="1:16" x14ac:dyDescent="0.25">
      <c r="A50" s="9">
        <f t="shared" si="5"/>
        <v>49</v>
      </c>
      <c r="B50" s="9">
        <f t="array" ref="B50">IF(C50="",0,IF(OR(C50=Country_Comparison!$S$10:$S$29),1,0))</f>
        <v>0</v>
      </c>
      <c r="C50" s="9" t="str">
        <f t="shared" si="6"/>
        <v>Russia</v>
      </c>
      <c r="D50" s="6">
        <f t="shared" si="7"/>
        <v>253</v>
      </c>
      <c r="E50" s="6">
        <f>IF(COUNTIF(I50:XFD50,"&gt;"&amp;0)=0,,HLOOKUP(COUNTIF(I50:XFD50,"&gt;"&amp;0)-1,I$1:XFD50,A50+1,FALSE))</f>
        <v>253</v>
      </c>
      <c r="F50" s="7">
        <f>IF(COUNTIF(I50:XFD50,"&gt;"&amp;0)=0,,HLOOKUP(COUNTIF(I50:XFD50,"&gt;"&amp;0)-MIN($F$1+1,COUNTIF(I50:XFD50,"&gt;"&amp;0)),I$1:XFD50,A50+1,FALSE))</f>
        <v>114</v>
      </c>
      <c r="G50" s="8">
        <f t="shared" si="8"/>
        <v>1.3043832801053181</v>
      </c>
      <c r="H50" s="13" t="s">
        <v>344</v>
      </c>
      <c r="I50" s="9">
        <v>114</v>
      </c>
      <c r="J50" s="9">
        <v>147</v>
      </c>
      <c r="K50" s="9">
        <v>199</v>
      </c>
      <c r="L50" s="9">
        <v>253</v>
      </c>
    </row>
    <row r="51" spans="1:16" x14ac:dyDescent="0.25">
      <c r="A51" s="9">
        <f t="shared" si="5"/>
        <v>50</v>
      </c>
      <c r="B51" s="9">
        <f t="array" ref="B51">IF(C51="",0,IF(OR(C51=Country_Comparison!$S$10:$S$29),1,0))</f>
        <v>0</v>
      </c>
      <c r="C51" s="9" t="str">
        <f t="shared" si="6"/>
        <v>India</v>
      </c>
      <c r="D51" s="6">
        <f t="shared" si="7"/>
        <v>244</v>
      </c>
      <c r="E51" s="6">
        <f>IF(COUNTIF(I51:XFD51,"&gt;"&amp;0)=0,,HLOOKUP(COUNTIF(I51:XFD51,"&gt;"&amp;0)-1,I$1:XFD51,A51+1,FALSE))</f>
        <v>244</v>
      </c>
      <c r="F51" s="7">
        <f>IF(COUNTIF(I51:XFD51,"&gt;"&amp;0)=0,,HLOOKUP(COUNTIF(I51:XFD51,"&gt;"&amp;0)-MIN($F$1+1,COUNTIF(I51:XFD51,"&gt;"&amp;0)),I$1:XFD51,A51+1,FALSE))</f>
        <v>113</v>
      </c>
      <c r="G51" s="8">
        <f t="shared" si="8"/>
        <v>1.1664396571589721</v>
      </c>
      <c r="H51" s="13" t="s">
        <v>57</v>
      </c>
      <c r="I51" s="9">
        <v>102</v>
      </c>
      <c r="J51" s="9">
        <v>113</v>
      </c>
      <c r="K51" s="9">
        <v>119</v>
      </c>
      <c r="L51" s="9">
        <v>142</v>
      </c>
      <c r="M51" s="9">
        <v>156</v>
      </c>
      <c r="N51" s="9">
        <v>194</v>
      </c>
      <c r="O51" s="9">
        <v>244</v>
      </c>
    </row>
    <row r="52" spans="1:16" x14ac:dyDescent="0.25">
      <c r="A52" s="9">
        <f t="shared" si="5"/>
        <v>51</v>
      </c>
      <c r="B52" s="9">
        <f t="array" ref="B52">IF(C52="",0,IF(OR(C52=Country_Comparison!$S$10:$S$29),1,0))</f>
        <v>0</v>
      </c>
      <c r="C52" s="9" t="str">
        <f t="shared" si="6"/>
        <v>Peru</v>
      </c>
      <c r="D52" s="6">
        <f t="shared" si="7"/>
        <v>234</v>
      </c>
      <c r="E52" s="6">
        <f>IF(COUNTIF(I52:XFD52,"&gt;"&amp;0)=0,,HLOOKUP(COUNTIF(I52:XFD52,"&gt;"&amp;0)-1,I$1:XFD52,A52+1,FALSE))</f>
        <v>234</v>
      </c>
      <c r="F52" s="7">
        <f>IF(COUNTIF(I52:XFD52,"&gt;"&amp;0)=0,,HLOOKUP(COUNTIF(I52:XFD52,"&gt;"&amp;0)-MIN($F$1+1,COUNTIF(I52:XFD52,"&gt;"&amp;0)),I$1:XFD52,A52+1,FALSE))</f>
        <v>117</v>
      </c>
      <c r="G52" s="8">
        <f t="shared" si="8"/>
        <v>1.2599210498948732</v>
      </c>
      <c r="H52" s="13" t="s">
        <v>160</v>
      </c>
      <c r="I52" s="9">
        <v>117</v>
      </c>
      <c r="J52" s="9">
        <v>145</v>
      </c>
      <c r="K52" s="9">
        <v>234</v>
      </c>
      <c r="L52" s="9">
        <v>234</v>
      </c>
    </row>
    <row r="53" spans="1:16" x14ac:dyDescent="0.25">
      <c r="A53" s="9">
        <f t="shared" si="5"/>
        <v>52</v>
      </c>
      <c r="B53" s="9">
        <f t="array" ref="B53">IF(C53="",0,IF(OR(C53=Country_Comparison!$S$10:$S$29),1,0))</f>
        <v>0</v>
      </c>
      <c r="C53" s="9" t="str">
        <f t="shared" si="6"/>
        <v>Philippines</v>
      </c>
      <c r="D53" s="6">
        <f t="shared" si="7"/>
        <v>230</v>
      </c>
      <c r="E53" s="6">
        <f>IF(COUNTIF(I53:XFD53,"&gt;"&amp;0)=0,,HLOOKUP(COUNTIF(I53:XFD53,"&gt;"&amp;0)-1,I$1:XFD53,A53+1,FALSE))</f>
        <v>230</v>
      </c>
      <c r="F53" s="7">
        <f>IF(COUNTIF(I53:XFD53,"&gt;"&amp;0)=0,,HLOOKUP(COUNTIF(I53:XFD53,"&gt;"&amp;0)-MIN($F$1+1,COUNTIF(I53:XFD53,"&gt;"&amp;0)),I$1:XFD53,A53+1,FALSE))</f>
        <v>140</v>
      </c>
      <c r="G53" s="8">
        <f t="shared" si="8"/>
        <v>1.1043836287043816</v>
      </c>
      <c r="H53" s="13" t="s">
        <v>56</v>
      </c>
      <c r="I53" s="9">
        <v>111</v>
      </c>
      <c r="J53" s="9">
        <v>140</v>
      </c>
      <c r="K53" s="9">
        <v>142</v>
      </c>
      <c r="L53" s="9">
        <v>187</v>
      </c>
      <c r="M53" s="9">
        <v>202</v>
      </c>
      <c r="N53" s="9">
        <v>217</v>
      </c>
      <c r="O53" s="9">
        <v>230</v>
      </c>
    </row>
    <row r="54" spans="1:16" x14ac:dyDescent="0.25">
      <c r="A54" s="9">
        <f t="shared" si="5"/>
        <v>53</v>
      </c>
      <c r="B54" s="9">
        <f t="array" ref="B54">IF(C54="",0,IF(OR(C54=Country_Comparison!$S$10:$S$29),1,0))</f>
        <v>0</v>
      </c>
      <c r="C54" s="9" t="str">
        <f t="shared" si="6"/>
        <v>Iraq</v>
      </c>
      <c r="D54" s="6">
        <f t="shared" si="7"/>
        <v>208</v>
      </c>
      <c r="E54" s="6">
        <f>IF(COUNTIF(I54:XFD54,"&gt;"&amp;0)=0,,HLOOKUP(COUNTIF(I54:XFD54,"&gt;"&amp;0)-1,I$1:XFD54,A54+1,FALSE))</f>
        <v>208</v>
      </c>
      <c r="F54" s="7">
        <f>IF(COUNTIF(I54:XFD54,"&gt;"&amp;0)=0,,HLOOKUP(COUNTIF(I54:XFD54,"&gt;"&amp;0)-MIN($F$1+1,COUNTIF(I54:XFD54,"&gt;"&amp;0)),I$1:XFD54,A54+1,FALSE))</f>
        <v>116</v>
      </c>
      <c r="G54" s="8">
        <f t="shared" si="8"/>
        <v>1.1238829148008884</v>
      </c>
      <c r="H54" s="13" t="s">
        <v>70</v>
      </c>
      <c r="I54" s="9">
        <v>101</v>
      </c>
      <c r="J54" s="9">
        <v>110</v>
      </c>
      <c r="K54" s="9">
        <v>116</v>
      </c>
      <c r="L54" s="9">
        <v>124</v>
      </c>
      <c r="M54" s="9">
        <v>154</v>
      </c>
      <c r="N54" s="9">
        <v>164</v>
      </c>
      <c r="O54" s="9">
        <v>192</v>
      </c>
      <c r="P54" s="9">
        <v>208</v>
      </c>
    </row>
    <row r="55" spans="1:16" x14ac:dyDescent="0.25">
      <c r="A55" s="9">
        <f t="shared" si="5"/>
        <v>54</v>
      </c>
      <c r="B55" s="9">
        <f t="array" ref="B55">IF(C55="",0,IF(OR(C55=Country_Comparison!$S$10:$S$29),1,0))</f>
        <v>0</v>
      </c>
      <c r="C55" s="9" t="str">
        <f t="shared" si="6"/>
        <v>South Africa</v>
      </c>
      <c r="D55" s="6">
        <f t="shared" si="7"/>
        <v>202</v>
      </c>
      <c r="E55" s="6">
        <f>IF(COUNTIF(I55:XFD55,"&gt;"&amp;0)=0,,HLOOKUP(COUNTIF(I55:XFD55,"&gt;"&amp;0)-1,I$1:XFD55,A55+1,FALSE))</f>
        <v>202</v>
      </c>
      <c r="F55" s="7">
        <f>IF(COUNTIF(I55:XFD55,"&gt;"&amp;0)=0,,HLOOKUP(COUNTIF(I55:XFD55,"&gt;"&amp;0)-MIN($F$1+1,COUNTIF(I55:XFD55,"&gt;"&amp;0)),I$1:XFD55,A55+1,FALSE))</f>
        <v>116</v>
      </c>
      <c r="G55" s="8">
        <f t="shared" si="8"/>
        <v>1.3196133184932728</v>
      </c>
      <c r="H55" s="13" t="s">
        <v>145</v>
      </c>
      <c r="I55" s="9">
        <v>116</v>
      </c>
      <c r="J55" s="9">
        <v>150</v>
      </c>
      <c r="K55" s="9">
        <v>202</v>
      </c>
    </row>
    <row r="56" spans="1:16" x14ac:dyDescent="0.25">
      <c r="A56" s="9">
        <f t="shared" si="5"/>
        <v>55</v>
      </c>
      <c r="B56" s="9">
        <f t="array" ref="B56">IF(C56="",0,IF(OR(C56=Country_Comparison!$S$10:$S$29),1,0))</f>
        <v>0</v>
      </c>
      <c r="C56" s="9" t="str">
        <f t="shared" si="6"/>
        <v>Mexico</v>
      </c>
      <c r="D56" s="6">
        <f t="shared" si="7"/>
        <v>164</v>
      </c>
      <c r="E56" s="6">
        <f>IF(COUNTIF(I56:XFD56,"&gt;"&amp;0)=0,,HLOOKUP(COUNTIF(I56:XFD56,"&gt;"&amp;0)-1,I$1:XFD56,A56+1,FALSE))</f>
        <v>164</v>
      </c>
      <c r="F56" s="7">
        <f>IF(COUNTIF(I56:XFD56,"&gt;"&amp;0)=0,,HLOOKUP(COUNTIF(I56:XFD56,"&gt;"&amp;0)-MIN($F$1+1,COUNTIF(I56:XFD56,"&gt;"&amp;0)),I$1:XFD56,A56+1,FALSE))</f>
        <v>118</v>
      </c>
      <c r="G56" s="8">
        <f t="shared" si="8"/>
        <v>1.3898305084745763</v>
      </c>
      <c r="H56" s="13" t="s">
        <v>94</v>
      </c>
      <c r="I56" s="9">
        <v>118</v>
      </c>
      <c r="J56" s="9">
        <v>164</v>
      </c>
    </row>
    <row r="57" spans="1:16" x14ac:dyDescent="0.25">
      <c r="A57" s="9">
        <f t="shared" si="5"/>
        <v>56</v>
      </c>
      <c r="B57" s="9">
        <f t="array" ref="B57">IF(C57="",0,IF(OR(C57=Country_Comparison!$S$10:$S$29),1,0))</f>
        <v>0</v>
      </c>
      <c r="C57" s="9" t="str">
        <f t="shared" si="6"/>
        <v>Lebanon</v>
      </c>
      <c r="D57" s="6">
        <f t="shared" si="7"/>
        <v>163</v>
      </c>
      <c r="E57" s="6">
        <f>IF(COUNTIF(I57:XFD57,"&gt;"&amp;0)=0,,HLOOKUP(COUNTIF(I57:XFD57,"&gt;"&amp;0)-1,I$1:XFD57,A57+1,FALSE))</f>
        <v>163</v>
      </c>
      <c r="F57" s="7">
        <f>IF(COUNTIF(I57:XFD57,"&gt;"&amp;0)=0,,HLOOKUP(COUNTIF(I57:XFD57,"&gt;"&amp;0)-MIN($F$1+1,COUNTIF(I57:XFD57,"&gt;"&amp;0)),I$1:XFD57,A57+1,FALSE))</f>
        <v>110</v>
      </c>
      <c r="G57" s="8">
        <f t="shared" si="8"/>
        <v>1.0818299084487106</v>
      </c>
      <c r="H57" s="13" t="s">
        <v>67</v>
      </c>
      <c r="I57" s="9">
        <v>110</v>
      </c>
      <c r="J57" s="9">
        <v>99</v>
      </c>
      <c r="K57" s="9">
        <v>120</v>
      </c>
      <c r="L57" s="9">
        <v>133</v>
      </c>
      <c r="M57" s="9">
        <v>157</v>
      </c>
      <c r="N57" s="9">
        <v>163</v>
      </c>
    </row>
    <row r="58" spans="1:16" x14ac:dyDescent="0.25">
      <c r="A58" s="9">
        <f t="shared" si="5"/>
        <v>57</v>
      </c>
      <c r="B58" s="9">
        <f t="array" ref="B58">IF(C58="",0,IF(OR(C58=Country_Comparison!$S$10:$S$29),1,0))</f>
        <v>0</v>
      </c>
      <c r="C58" s="9" t="str">
        <f t="shared" si="6"/>
        <v>Kuwait</v>
      </c>
      <c r="D58" s="6">
        <f t="shared" si="7"/>
        <v>159</v>
      </c>
      <c r="E58" s="6">
        <f>IF(COUNTIF(I58:XFD58,"&gt;"&amp;0)=0,,HLOOKUP(COUNTIF(I58:XFD58,"&gt;"&amp;0)-1,I$1:XFD58,A58+1,FALSE))</f>
        <v>159</v>
      </c>
      <c r="F58" s="7">
        <f>IF(COUNTIF(I58:XFD58,"&gt;"&amp;0)=0,,HLOOKUP(COUNTIF(I58:XFD58,"&gt;"&amp;0)-MIN($F$1+1,COUNTIF(I58:XFD58,"&gt;"&amp;0)),I$1:XFD58,A58+1,FALSE))</f>
        <v>112</v>
      </c>
      <c r="G58" s="8">
        <f t="shared" si="8"/>
        <v>1.0725951289250919</v>
      </c>
      <c r="H58" s="13" t="s">
        <v>74</v>
      </c>
      <c r="I58" s="9">
        <v>104</v>
      </c>
      <c r="J58" s="9">
        <v>112</v>
      </c>
      <c r="K58" s="9">
        <v>123</v>
      </c>
      <c r="L58" s="9">
        <v>130</v>
      </c>
      <c r="M58" s="9">
        <v>142</v>
      </c>
      <c r="N58" s="9">
        <v>148</v>
      </c>
      <c r="O58" s="9">
        <v>159</v>
      </c>
    </row>
    <row r="59" spans="1:16" x14ac:dyDescent="0.25">
      <c r="A59" s="9">
        <f t="shared" si="5"/>
        <v>58</v>
      </c>
      <c r="B59" s="9">
        <f t="array" ref="B59">IF(C59="",0,IF(OR(C59=Country_Comparison!$S$10:$S$29),1,0))</f>
        <v>0</v>
      </c>
      <c r="C59" s="9" t="str">
        <f t="shared" si="6"/>
        <v>San Marino</v>
      </c>
      <c r="D59" s="6">
        <f t="shared" si="7"/>
        <v>144</v>
      </c>
      <c r="E59" s="6">
        <f>IF(COUNTIF(I59:XFD59,"&gt;"&amp;0)=0,,HLOOKUP(COUNTIF(I59:XFD59,"&gt;"&amp;0)-1,I$1:XFD59,A59+1,FALSE))</f>
        <v>144</v>
      </c>
      <c r="F59" s="7">
        <f>IF(COUNTIF(I59:XFD59,"&gt;"&amp;0)=0,,HLOOKUP(COUNTIF(I59:XFD59,"&gt;"&amp;0)-MIN($F$1+1,COUNTIF(I59:XFD59,"&gt;"&amp;0)),I$1:XFD59,A59+1,FALSE))</f>
        <v>101</v>
      </c>
      <c r="G59" s="8">
        <f t="shared" si="8"/>
        <v>1.0735152633572114</v>
      </c>
      <c r="H59" s="13" t="s">
        <v>90</v>
      </c>
      <c r="I59" s="9">
        <v>101</v>
      </c>
      <c r="J59" s="9">
        <v>109</v>
      </c>
      <c r="K59" s="9">
        <v>109</v>
      </c>
      <c r="L59" s="9">
        <v>119</v>
      </c>
      <c r="M59" s="9">
        <v>119</v>
      </c>
      <c r="N59" s="9">
        <v>144</v>
      </c>
    </row>
    <row r="60" spans="1:16" x14ac:dyDescent="0.25">
      <c r="A60" s="9">
        <f t="shared" si="5"/>
        <v>59</v>
      </c>
      <c r="B60" s="9">
        <f t="array" ref="B60">IF(C60="",0,IF(OR(C60=Country_Comparison!$S$10:$S$29),1,0))</f>
        <v>0</v>
      </c>
      <c r="C60" s="9" t="str">
        <f t="shared" si="6"/>
        <v>United Arab Emirates</v>
      </c>
      <c r="D60" s="6">
        <f t="shared" si="7"/>
        <v>140</v>
      </c>
      <c r="E60" s="6">
        <f>IF(COUNTIF(I60:XFD60,"&gt;"&amp;0)=0,,HLOOKUP(COUNTIF(I60:XFD60,"&gt;"&amp;0)-1,I$1:XFD60,A60+1,FALSE))</f>
        <v>140</v>
      </c>
      <c r="F60" s="7">
        <f>IF(COUNTIF(I60:XFD60,"&gt;"&amp;0)=0,,HLOOKUP(COUNTIF(I60:XFD60,"&gt;"&amp;0)-MIN($F$1+1,COUNTIF(I60:XFD60,"&gt;"&amp;0)),I$1:XFD60,A60+1,FALSE))</f>
        <v>113</v>
      </c>
      <c r="G60" s="8">
        <f t="shared" si="8"/>
        <v>1.1130759421968228</v>
      </c>
      <c r="H60" s="13" t="s">
        <v>55</v>
      </c>
      <c r="I60" s="9">
        <v>113</v>
      </c>
      <c r="J60" s="9">
        <v>140</v>
      </c>
      <c r="K60" s="9">
        <v>140</v>
      </c>
    </row>
    <row r="61" spans="1:16" x14ac:dyDescent="0.25">
      <c r="A61" s="9">
        <f t="shared" si="5"/>
        <v>60</v>
      </c>
      <c r="B61" s="9">
        <f t="array" ref="B61">IF(C61="",0,IF(OR(C61=Country_Comparison!$S$10:$S$29),1,0))</f>
        <v>0</v>
      </c>
      <c r="C61" s="9" t="str">
        <f t="shared" si="6"/>
        <v>Slovakia</v>
      </c>
      <c r="D61" s="6">
        <f t="shared" si="7"/>
        <v>137</v>
      </c>
      <c r="E61" s="6">
        <f>IF(COUNTIF(I61:XFD61,"&gt;"&amp;0)=0,,HLOOKUP(COUNTIF(I61:XFD61,"&gt;"&amp;0)-1,I$1:XFD61,A61+1,FALSE))</f>
        <v>137</v>
      </c>
      <c r="F61" s="7">
        <f>IF(COUNTIF(I61:XFD61,"&gt;"&amp;0)=0,,HLOOKUP(COUNTIF(I61:XFD61,"&gt;"&amp;0)-MIN($F$1+1,COUNTIF(I61:XFD61,"&gt;"&amp;0)),I$1:XFD61,A61+1,FALSE))</f>
        <v>105</v>
      </c>
      <c r="G61" s="8">
        <f t="shared" si="8"/>
        <v>1.1422617496711973</v>
      </c>
      <c r="H61" s="13" t="s">
        <v>162</v>
      </c>
      <c r="I61" s="9">
        <v>105</v>
      </c>
      <c r="J61" s="9">
        <v>123</v>
      </c>
      <c r="K61" s="9">
        <v>137</v>
      </c>
    </row>
    <row r="62" spans="1:16" x14ac:dyDescent="0.25">
      <c r="A62" s="9">
        <f t="shared" si="5"/>
        <v>61</v>
      </c>
      <c r="B62" s="9">
        <f t="array" ref="B62">IF(C62="",0,IF(OR(C62=Country_Comparison!$S$10:$S$29),1,0))</f>
        <v>0</v>
      </c>
      <c r="C62" s="9" t="str">
        <f t="shared" si="6"/>
        <v>Panama</v>
      </c>
      <c r="D62" s="6">
        <f t="shared" si="7"/>
        <v>137</v>
      </c>
      <c r="E62" s="6">
        <f>IF(COUNTIF(I62:XFD62,"&gt;"&amp;0)=0,,HLOOKUP(COUNTIF(I62:XFD62,"&gt;"&amp;0)-1,I$1:XFD62,A62+1,FALSE))</f>
        <v>137</v>
      </c>
      <c r="F62" s="7">
        <f>IF(COUNTIF(I62:XFD62,"&gt;"&amp;0)=0,,HLOOKUP(COUNTIF(I62:XFD62,"&gt;"&amp;0)-MIN($F$1+1,COUNTIF(I62:XFD62,"&gt;"&amp;0)),I$1:XFD62,A62+1,FALSE))</f>
        <v>109</v>
      </c>
      <c r="G62" s="8">
        <f t="shared" si="8"/>
        <v>1.2568807339449541</v>
      </c>
      <c r="H62" s="13" t="s">
        <v>283</v>
      </c>
      <c r="I62" s="9">
        <v>109</v>
      </c>
      <c r="J62" s="9">
        <v>137</v>
      </c>
    </row>
    <row r="63" spans="1:16" x14ac:dyDescent="0.25">
      <c r="A63" s="9">
        <f t="shared" si="5"/>
        <v>62</v>
      </c>
      <c r="B63" s="9">
        <f t="array" ref="B63">IF(C63="",0,IF(OR(C63=Country_Comparison!$S$10:$S$29),1,0))</f>
        <v>0</v>
      </c>
      <c r="C63" s="9" t="str">
        <f t="shared" si="6"/>
        <v>Armenia</v>
      </c>
      <c r="D63" s="6">
        <f t="shared" si="7"/>
        <v>136</v>
      </c>
      <c r="E63" s="6">
        <f>IF(COUNTIF(I63:XFD63,"&gt;"&amp;0)=0,,HLOOKUP(COUNTIF(I63:XFD63,"&gt;"&amp;0)-1,I$1:XFD63,A63+1,FALSE))</f>
        <v>136</v>
      </c>
      <c r="F63" s="7">
        <f>IF(COUNTIF(I63:XFD63,"&gt;"&amp;0)=0,,HLOOKUP(COUNTIF(I63:XFD63,"&gt;"&amp;0)-MIN($F$1+1,COUNTIF(I63:XFD63,"&gt;"&amp;0)),I$1:XFD63,A63+1,FALSE))</f>
        <v>115</v>
      </c>
      <c r="G63" s="8">
        <f t="shared" si="8"/>
        <v>1.182608695652174</v>
      </c>
      <c r="H63" s="13" t="s">
        <v>105</v>
      </c>
      <c r="I63" s="9">
        <v>115</v>
      </c>
      <c r="J63" s="9">
        <v>136</v>
      </c>
    </row>
    <row r="64" spans="1:16" x14ac:dyDescent="0.25">
      <c r="A64" s="9">
        <f t="shared" si="5"/>
        <v>63</v>
      </c>
      <c r="B64" s="9">
        <f t="array" ref="B64">IF(C64="",0,IF(OR(C64=Country_Comparison!$S$10:$S$29),1,0))</f>
        <v>0</v>
      </c>
      <c r="C64" s="9" t="str">
        <f t="shared" si="6"/>
        <v>Taiwan*</v>
      </c>
      <c r="D64" s="6">
        <f t="shared" si="7"/>
        <v>135</v>
      </c>
      <c r="E64" s="6">
        <f>IF(COUNTIF(I64:XFD64,"&gt;"&amp;0)=0,,HLOOKUP(COUNTIF(I64:XFD64,"&gt;"&amp;0)-1,I$1:XFD64,A64+1,FALSE))</f>
        <v>135</v>
      </c>
      <c r="F64" s="7">
        <f>IF(COUNTIF(I64:XFD64,"&gt;"&amp;0)=0,,HLOOKUP(COUNTIF(I64:XFD64,"&gt;"&amp;0)-MIN($F$1+1,COUNTIF(I64:XFD64,"&gt;"&amp;0)),I$1:XFD64,A64+1,FALSE))</f>
        <v>100</v>
      </c>
      <c r="G64" s="8">
        <f t="shared" si="8"/>
        <v>1.1618950038622251</v>
      </c>
      <c r="H64" s="15" t="s">
        <v>342</v>
      </c>
      <c r="I64" s="9">
        <v>100</v>
      </c>
      <c r="J64" s="9">
        <v>108</v>
      </c>
      <c r="K64" s="9">
        <v>135</v>
      </c>
    </row>
    <row r="65" spans="1:10" x14ac:dyDescent="0.25">
      <c r="A65" s="9">
        <f t="shared" si="5"/>
        <v>64</v>
      </c>
      <c r="B65" s="9">
        <f t="array" ref="B65">IF(C65="",0,IF(OR(C65=Country_Comparison!$S$10:$S$29),1,0))</f>
        <v>0</v>
      </c>
      <c r="C65" s="9" t="str">
        <f t="shared" si="6"/>
        <v>Serbia</v>
      </c>
      <c r="D65" s="6">
        <f t="shared" si="7"/>
        <v>135</v>
      </c>
      <c r="E65" s="6">
        <f>IF(COUNTIF(I65:XFD65,"&gt;"&amp;0)=0,,HLOOKUP(COUNTIF(I65:XFD65,"&gt;"&amp;0)-1,I$1:XFD65,A65+1,FALSE))</f>
        <v>135</v>
      </c>
      <c r="F65" s="7">
        <f>IF(COUNTIF(I65:XFD65,"&gt;"&amp;0)=0,,HLOOKUP(COUNTIF(I65:XFD65,"&gt;"&amp;0)-MIN($F$1+1,COUNTIF(I65:XFD65,"&gt;"&amp;0)),I$1:XFD65,A65+1,FALSE))</f>
        <v>103</v>
      </c>
      <c r="G65" s="8">
        <f t="shared" si="8"/>
        <v>1.3106796116504855</v>
      </c>
      <c r="H65" s="13" t="s">
        <v>161</v>
      </c>
      <c r="I65" s="9">
        <v>103</v>
      </c>
      <c r="J65" s="9">
        <v>135</v>
      </c>
    </row>
    <row r="66" spans="1:10" x14ac:dyDescent="0.25">
      <c r="A66" s="9">
        <f t="shared" si="5"/>
        <v>65</v>
      </c>
      <c r="B66" s="9">
        <f t="array" ref="B66">IF(C66="",0,IF(OR(C66=Country_Comparison!$S$10:$S$29),1,0))</f>
        <v>0</v>
      </c>
      <c r="C66" s="9" t="str">
        <f t="shared" si="6"/>
        <v>Croatia</v>
      </c>
      <c r="D66" s="6">
        <f t="shared" si="7"/>
        <v>128</v>
      </c>
      <c r="E66" s="6">
        <f>IF(COUNTIF(I66:XFD66,"&gt;"&amp;0)=0,,HLOOKUP(COUNTIF(I66:XFD66,"&gt;"&amp;0)-1,I$1:XFD66,A66+1,FALSE))</f>
        <v>128</v>
      </c>
      <c r="F66" s="7">
        <f>IF(COUNTIF(I66:XFD66,"&gt;"&amp;0)=0,,HLOOKUP(COUNTIF(I66:XFD66,"&gt;"&amp;0)-MIN($F$1+1,COUNTIF(I66:XFD66,"&gt;"&amp;0)),I$1:XFD66,A66+1,FALSE))</f>
        <v>105</v>
      </c>
      <c r="G66" s="8">
        <f t="shared" si="8"/>
        <v>1.2190476190476192</v>
      </c>
      <c r="H66" s="13" t="s">
        <v>76</v>
      </c>
      <c r="I66" s="9">
        <v>105</v>
      </c>
      <c r="J66" s="9">
        <v>128</v>
      </c>
    </row>
    <row r="67" spans="1:10" x14ac:dyDescent="0.25">
      <c r="A67" s="9">
        <f t="shared" si="5"/>
        <v>66</v>
      </c>
      <c r="B67" s="9">
        <f t="array" ref="B67">IF(C67="",0,IF(OR(C67=Country_Comparison!$S$10:$S$29),1,0))</f>
        <v>0</v>
      </c>
      <c r="C67" s="9" t="str">
        <f t="shared" si="6"/>
        <v>Argentina</v>
      </c>
      <c r="D67" s="6">
        <f t="shared" si="7"/>
        <v>128</v>
      </c>
      <c r="E67" s="6">
        <f>IF(COUNTIF(I67:XFD67,"&gt;"&amp;0)=0,,HLOOKUP(COUNTIF(I67:XFD67,"&gt;"&amp;0)-1,I$1:XFD67,A67+1,FALSE))</f>
        <v>128</v>
      </c>
      <c r="F67" s="7">
        <f>IF(COUNTIF(I67:XFD67,"&gt;"&amp;0)=0,,HLOOKUP(COUNTIF(I67:XFD67,"&gt;"&amp;0)-MIN($F$1+1,COUNTIF(I67:XFD67,"&gt;"&amp;0)),I$1:XFD67,A67+1,FALSE))</f>
        <v>128</v>
      </c>
      <c r="G67" s="8" t="e">
        <f t="shared" si="8"/>
        <v>#DIV/0!</v>
      </c>
      <c r="H67" s="13" t="s">
        <v>123</v>
      </c>
      <c r="I67" s="9">
        <v>128</v>
      </c>
    </row>
    <row r="68" spans="1:10" x14ac:dyDescent="0.25">
      <c r="A68" s="9">
        <f t="shared" si="5"/>
        <v>67</v>
      </c>
      <c r="B68" s="9">
        <f t="array" ref="B68">IF(C68="",0,IF(OR(C68=Country_Comparison!$S$10:$S$29),1,0))</f>
        <v>0</v>
      </c>
      <c r="C68" s="9" t="str">
        <f t="shared" si="6"/>
        <v>Colombia</v>
      </c>
      <c r="D68" s="6">
        <f t="shared" si="7"/>
        <v>128</v>
      </c>
      <c r="E68" s="6">
        <f>IF(COUNTIF(I68:XFD68,"&gt;"&amp;0)=0,,HLOOKUP(COUNTIF(I68:XFD68,"&gt;"&amp;0)-1,I$1:XFD68,A68+1,FALSE))</f>
        <v>128</v>
      </c>
      <c r="F68" s="7">
        <f>IF(COUNTIF(I68:XFD68,"&gt;"&amp;0)=0,,HLOOKUP(COUNTIF(I68:XFD68,"&gt;"&amp;0)-MIN($F$1+1,COUNTIF(I68:XFD68,"&gt;"&amp;0)),I$1:XFD68,A68+1,FALSE))</f>
        <v>102</v>
      </c>
      <c r="G68" s="8">
        <f t="shared" si="8"/>
        <v>1.2549019607843137</v>
      </c>
      <c r="H68" s="13" t="s">
        <v>158</v>
      </c>
      <c r="I68" s="9">
        <v>102</v>
      </c>
      <c r="J68" s="9">
        <v>128</v>
      </c>
    </row>
    <row r="69" spans="1:10" x14ac:dyDescent="0.25">
      <c r="A69" s="9">
        <f t="shared" si="5"/>
        <v>68</v>
      </c>
      <c r="B69" s="9">
        <f t="array" ref="B69">IF(C69="",0,IF(OR(C69=Country_Comparison!$S$10:$S$29),1,0))</f>
        <v>0</v>
      </c>
      <c r="C69" s="9" t="str">
        <f t="shared" si="6"/>
        <v>Bulgaria</v>
      </c>
      <c r="D69" s="6">
        <f t="shared" si="7"/>
        <v>127</v>
      </c>
      <c r="E69" s="6">
        <f>IF(COUNTIF(I69:XFD69,"&gt;"&amp;0)=0,,HLOOKUP(COUNTIF(I69:XFD69,"&gt;"&amp;0)-1,I$1:XFD69,A69+1,FALSE))</f>
        <v>127</v>
      </c>
      <c r="F69" s="7">
        <f>IF(COUNTIF(I69:XFD69,"&gt;"&amp;0)=0,,HLOOKUP(COUNTIF(I69:XFD69,"&gt;"&amp;0)-MIN($F$1+1,COUNTIF(I69:XFD69,"&gt;"&amp;0)),I$1:XFD69,A69+1,FALSE))</f>
        <v>127</v>
      </c>
      <c r="G69" s="8" t="e">
        <f t="shared" si="8"/>
        <v>#DIV/0!</v>
      </c>
      <c r="H69" s="13" t="s">
        <v>199</v>
      </c>
      <c r="I69" s="9">
        <v>127</v>
      </c>
    </row>
    <row r="70" spans="1:10" x14ac:dyDescent="0.25">
      <c r="A70" s="9">
        <f t="shared" si="5"/>
        <v>69</v>
      </c>
      <c r="B70" s="9">
        <f t="array" ref="B70">IF(C70="",0,IF(OR(C70=Country_Comparison!$S$10:$S$29),1,0))</f>
        <v>0</v>
      </c>
      <c r="C70" s="9" t="str">
        <f t="shared" ref="C70:C133" si="9">IF(H70="","",H70)</f>
        <v>Latvia</v>
      </c>
      <c r="D70" s="6">
        <f t="shared" ref="D70:D133" si="10">MAX(I70:CL70)</f>
        <v>111</v>
      </c>
      <c r="E70" s="6">
        <f>IF(COUNTIF(I70:XFD70,"&gt;"&amp;0)=0,,HLOOKUP(COUNTIF(I70:XFD70,"&gt;"&amp;0)-1,I$1:XFD70,A70+1,FALSE))</f>
        <v>111</v>
      </c>
      <c r="F70" s="7">
        <f>IF(COUNTIF(I70:XFD70,"&gt;"&amp;0)=0,,HLOOKUP(COUNTIF(I70:XFD70,"&gt;"&amp;0)-MIN($F$1+1,COUNTIF(I70:XFD70,"&gt;"&amp;0)),I$1:XFD70,A70+1,FALSE))</f>
        <v>111</v>
      </c>
      <c r="G70" s="8" t="e">
        <f t="shared" ref="G70:G133" si="11">IF(COUNTIF(I70:XFD70,"&gt;"&amp;0)=0,,(E70/F70)^(1/MIN(COUNTIF(I70:XFD70,"&gt;"&amp;0)-1,$F$1)))</f>
        <v>#DIV/0!</v>
      </c>
      <c r="H70" s="13" t="s">
        <v>111</v>
      </c>
      <c r="I70" s="9">
        <v>111</v>
      </c>
    </row>
    <row r="71" spans="1:10" x14ac:dyDescent="0.25">
      <c r="A71" s="9">
        <f t="shared" si="5"/>
        <v>70</v>
      </c>
      <c r="B71" s="9">
        <f t="array" ref="B71">IF(C71="",0,IF(OR(C71=Country_Comparison!$S$10:$S$29),1,0))</f>
        <v>0</v>
      </c>
      <c r="C71" s="9" t="str">
        <f t="shared" si="9"/>
        <v/>
      </c>
      <c r="D71" s="6">
        <f t="shared" si="10"/>
        <v>0</v>
      </c>
      <c r="E71" s="6">
        <f>IF(COUNTIF(I71:XFD71,"&gt;"&amp;0)=0,,HLOOKUP(COUNTIF(I71:XFD71,"&gt;"&amp;0)-1,I$1:XFD71,A71+1,FALSE))</f>
        <v>0</v>
      </c>
      <c r="F71" s="7">
        <f>IF(COUNTIF(I71:XFD71,"&gt;"&amp;0)=0,,HLOOKUP(COUNTIF(I71:XFD71,"&gt;"&amp;0)-MIN($F$1+1,COUNTIF(I71:XFD71,"&gt;"&amp;0)),I$1:XFD71,A71+1,FALSE))</f>
        <v>0</v>
      </c>
      <c r="G71" s="8">
        <f t="shared" si="11"/>
        <v>0</v>
      </c>
    </row>
    <row r="72" spans="1:10" x14ac:dyDescent="0.25">
      <c r="A72" s="9">
        <f t="shared" si="5"/>
        <v>71</v>
      </c>
      <c r="B72" s="9">
        <f t="array" ref="B72">IF(C72="",0,IF(OR(C72=Country_Comparison!$S$10:$S$29),1,0))</f>
        <v>0</v>
      </c>
      <c r="C72" s="9" t="str">
        <f t="shared" si="9"/>
        <v/>
      </c>
      <c r="D72" s="6">
        <f t="shared" si="10"/>
        <v>0</v>
      </c>
      <c r="E72" s="6">
        <f>IF(COUNTIF(I72:XFD72,"&gt;"&amp;0)=0,,HLOOKUP(COUNTIF(I72:XFD72,"&gt;"&amp;0)-1,I$1:XFD72,A72+1,FALSE))</f>
        <v>0</v>
      </c>
      <c r="F72" s="7">
        <f>IF(COUNTIF(I72:XFD72,"&gt;"&amp;0)=0,,HLOOKUP(COUNTIF(I72:XFD72,"&gt;"&amp;0)-MIN($F$1+1,COUNTIF(I72:XFD72,"&gt;"&amp;0)),I$1:XFD72,A72+1,FALSE))</f>
        <v>0</v>
      </c>
      <c r="G72" s="8">
        <f t="shared" si="11"/>
        <v>0</v>
      </c>
    </row>
    <row r="73" spans="1:10" x14ac:dyDescent="0.25">
      <c r="A73" s="9">
        <f t="shared" si="5"/>
        <v>72</v>
      </c>
      <c r="B73" s="9">
        <f t="array" ref="B73">IF(C73="",0,IF(OR(C73=Country_Comparison!$S$10:$S$29),1,0))</f>
        <v>0</v>
      </c>
      <c r="C73" s="9" t="str">
        <f t="shared" si="9"/>
        <v/>
      </c>
      <c r="D73" s="6">
        <f t="shared" si="10"/>
        <v>0</v>
      </c>
      <c r="E73" s="6">
        <f>IF(COUNTIF(I73:XFD73,"&gt;"&amp;0)=0,,HLOOKUP(COUNTIF(I73:XFD73,"&gt;"&amp;0)-1,I$1:XFD73,A73+1,FALSE))</f>
        <v>0</v>
      </c>
      <c r="F73" s="7">
        <f>IF(COUNTIF(I73:XFD73,"&gt;"&amp;0)=0,,HLOOKUP(COUNTIF(I73:XFD73,"&gt;"&amp;0)-MIN($F$1+1,COUNTIF(I73:XFD73,"&gt;"&amp;0)),I$1:XFD73,A73+1,FALSE))</f>
        <v>0</v>
      </c>
      <c r="G73" s="8">
        <f t="shared" si="11"/>
        <v>0</v>
      </c>
    </row>
    <row r="74" spans="1:10" x14ac:dyDescent="0.25">
      <c r="A74" s="9">
        <f t="shared" si="5"/>
        <v>73</v>
      </c>
      <c r="B74" s="9">
        <f t="array" ref="B74">IF(C74="",0,IF(OR(C74=Country_Comparison!$S$10:$S$29),1,0))</f>
        <v>0</v>
      </c>
      <c r="C74" s="9" t="str">
        <f t="shared" si="9"/>
        <v/>
      </c>
      <c r="D74" s="6">
        <f t="shared" si="10"/>
        <v>0</v>
      </c>
      <c r="E74" s="6">
        <f>IF(COUNTIF(I74:XFD74,"&gt;"&amp;0)=0,,HLOOKUP(COUNTIF(I74:XFD74,"&gt;"&amp;0)-1,I$1:XFD74,A74+1,FALSE))</f>
        <v>0</v>
      </c>
      <c r="F74" s="7">
        <f>IF(COUNTIF(I74:XFD74,"&gt;"&amp;0)=0,,HLOOKUP(COUNTIF(I74:XFD74,"&gt;"&amp;0)-MIN($F$1+1,COUNTIF(I74:XFD74,"&gt;"&amp;0)),I$1:XFD74,A74+1,FALSE))</f>
        <v>0</v>
      </c>
      <c r="G74" s="8">
        <f t="shared" si="11"/>
        <v>0</v>
      </c>
    </row>
    <row r="75" spans="1:10" x14ac:dyDescent="0.25">
      <c r="A75" s="9">
        <f t="shared" si="5"/>
        <v>74</v>
      </c>
      <c r="B75" s="9">
        <f t="array" ref="B75">IF(C75="",0,IF(OR(C75=Country_Comparison!$S$10:$S$29),1,0))</f>
        <v>0</v>
      </c>
      <c r="C75" s="9" t="str">
        <f t="shared" si="9"/>
        <v/>
      </c>
      <c r="D75" s="6">
        <f t="shared" si="10"/>
        <v>0</v>
      </c>
      <c r="E75" s="6">
        <f>IF(COUNTIF(I75:XFD75,"&gt;"&amp;0)=0,,HLOOKUP(COUNTIF(I75:XFD75,"&gt;"&amp;0)-1,I$1:XFD75,A75+1,FALSE))</f>
        <v>0</v>
      </c>
      <c r="F75" s="7">
        <f>IF(COUNTIF(I75:XFD75,"&gt;"&amp;0)=0,,HLOOKUP(COUNTIF(I75:XFD75,"&gt;"&amp;0)-MIN($F$1+1,COUNTIF(I75:XFD75,"&gt;"&amp;0)),I$1:XFD75,A75+1,FALSE))</f>
        <v>0</v>
      </c>
      <c r="G75" s="8">
        <f t="shared" si="11"/>
        <v>0</v>
      </c>
    </row>
    <row r="76" spans="1:10" x14ac:dyDescent="0.25">
      <c r="A76" s="9">
        <f t="shared" si="5"/>
        <v>75</v>
      </c>
      <c r="B76" s="9">
        <f t="array" ref="B76">IF(C76="",0,IF(OR(C76=Country_Comparison!$S$10:$S$29),1,0))</f>
        <v>0</v>
      </c>
      <c r="C76" s="9" t="str">
        <f t="shared" si="9"/>
        <v/>
      </c>
      <c r="D76" s="6">
        <f t="shared" si="10"/>
        <v>0</v>
      </c>
      <c r="E76" s="6">
        <f>IF(COUNTIF(I76:XFD76,"&gt;"&amp;0)=0,,HLOOKUP(COUNTIF(I76:XFD76,"&gt;"&amp;0)-1,I$1:XFD76,A76+1,FALSE))</f>
        <v>0</v>
      </c>
      <c r="F76" s="7">
        <f>IF(COUNTIF(I76:XFD76,"&gt;"&amp;0)=0,,HLOOKUP(COUNTIF(I76:XFD76,"&gt;"&amp;0)-MIN($F$1+1,COUNTIF(I76:XFD76,"&gt;"&amp;0)),I$1:XFD76,A76+1,FALSE))</f>
        <v>0</v>
      </c>
      <c r="G76" s="8">
        <f t="shared" si="11"/>
        <v>0</v>
      </c>
    </row>
    <row r="77" spans="1:10" x14ac:dyDescent="0.25">
      <c r="A77" s="9">
        <f t="shared" si="5"/>
        <v>76</v>
      </c>
      <c r="B77" s="9">
        <f t="array" ref="B77">IF(C77="",0,IF(OR(C77=Country_Comparison!$S$10:$S$29),1,0))</f>
        <v>0</v>
      </c>
      <c r="C77" s="9" t="str">
        <f t="shared" si="9"/>
        <v/>
      </c>
      <c r="D77" s="6">
        <f t="shared" si="10"/>
        <v>0</v>
      </c>
      <c r="E77" s="6">
        <f>IF(COUNTIF(I77:XFD77,"&gt;"&amp;0)=0,,HLOOKUP(COUNTIF(I77:XFD77,"&gt;"&amp;0)-1,I$1:XFD77,A77+1,FALSE))</f>
        <v>0</v>
      </c>
      <c r="F77" s="7">
        <f>IF(COUNTIF(I77:XFD77,"&gt;"&amp;0)=0,,HLOOKUP(COUNTIF(I77:XFD77,"&gt;"&amp;0)-MIN($F$1+1,COUNTIF(I77:XFD77,"&gt;"&amp;0)),I$1:XFD77,A77+1,FALSE))</f>
        <v>0</v>
      </c>
      <c r="G77" s="8">
        <f t="shared" si="11"/>
        <v>0</v>
      </c>
    </row>
    <row r="78" spans="1:10" x14ac:dyDescent="0.25">
      <c r="A78" s="9">
        <f t="shared" si="5"/>
        <v>77</v>
      </c>
      <c r="B78" s="9">
        <f t="array" ref="B78">IF(C78="",0,IF(OR(C78=Country_Comparison!$S$10:$S$29),1,0))</f>
        <v>0</v>
      </c>
      <c r="C78" s="9" t="str">
        <f t="shared" si="9"/>
        <v/>
      </c>
      <c r="D78" s="6">
        <f t="shared" si="10"/>
        <v>0</v>
      </c>
      <c r="E78" s="6">
        <f>IF(COUNTIF(I78:XFD78,"&gt;"&amp;0)=0,,HLOOKUP(COUNTIF(I78:XFD78,"&gt;"&amp;0)-1,I$1:XFD78,A78+1,FALSE))</f>
        <v>0</v>
      </c>
      <c r="F78" s="7">
        <f>IF(COUNTIF(I78:XFD78,"&gt;"&amp;0)=0,,HLOOKUP(COUNTIF(I78:XFD78,"&gt;"&amp;0)-MIN($F$1+1,COUNTIF(I78:XFD78,"&gt;"&amp;0)),I$1:XFD78,A78+1,FALSE))</f>
        <v>0</v>
      </c>
      <c r="G78" s="8">
        <f t="shared" si="11"/>
        <v>0</v>
      </c>
    </row>
    <row r="79" spans="1:10" x14ac:dyDescent="0.25">
      <c r="A79" s="9">
        <f t="shared" si="5"/>
        <v>78</v>
      </c>
      <c r="B79" s="9">
        <f t="array" ref="B79">IF(C79="",0,IF(OR(C79=Country_Comparison!$S$10:$S$29),1,0))</f>
        <v>0</v>
      </c>
      <c r="C79" s="9" t="str">
        <f t="shared" si="9"/>
        <v/>
      </c>
      <c r="D79" s="6">
        <f t="shared" si="10"/>
        <v>0</v>
      </c>
      <c r="E79" s="6">
        <f>IF(COUNTIF(I79:XFD79,"&gt;"&amp;0)=0,,HLOOKUP(COUNTIF(I79:XFD79,"&gt;"&amp;0)-1,I$1:XFD79,A79+1,FALSE))</f>
        <v>0</v>
      </c>
      <c r="F79" s="7">
        <f>IF(COUNTIF(I79:XFD79,"&gt;"&amp;0)=0,,HLOOKUP(COUNTIF(I79:XFD79,"&gt;"&amp;0)-MIN($F$1+1,COUNTIF(I79:XFD79,"&gt;"&amp;0)),I$1:XFD79,A79+1,FALSE))</f>
        <v>0</v>
      </c>
      <c r="G79" s="8">
        <f t="shared" si="11"/>
        <v>0</v>
      </c>
    </row>
    <row r="80" spans="1:10" x14ac:dyDescent="0.25">
      <c r="A80" s="9">
        <f t="shared" si="5"/>
        <v>79</v>
      </c>
      <c r="B80" s="9">
        <f t="array" ref="B80">IF(C80="",0,IF(OR(C80=Country_Comparison!$S$10:$S$29),1,0))</f>
        <v>0</v>
      </c>
      <c r="C80" s="9" t="str">
        <f t="shared" si="9"/>
        <v/>
      </c>
      <c r="D80" s="6">
        <f t="shared" si="10"/>
        <v>0</v>
      </c>
      <c r="E80" s="6">
        <f>IF(COUNTIF(I80:XFD80,"&gt;"&amp;0)=0,,HLOOKUP(COUNTIF(I80:XFD80,"&gt;"&amp;0)-1,I$1:XFD80,A80+1,FALSE))</f>
        <v>0</v>
      </c>
      <c r="F80" s="7">
        <f>IF(COUNTIF(I80:XFD80,"&gt;"&amp;0)=0,,HLOOKUP(COUNTIF(I80:XFD80,"&gt;"&amp;0)-MIN($F$1+1,COUNTIF(I80:XFD80,"&gt;"&amp;0)),I$1:XFD80,A80+1,FALSE))</f>
        <v>0</v>
      </c>
      <c r="G80" s="8">
        <f t="shared" si="11"/>
        <v>0</v>
      </c>
    </row>
    <row r="81" spans="1:7" x14ac:dyDescent="0.25">
      <c r="A81" s="9">
        <f t="shared" si="5"/>
        <v>80</v>
      </c>
      <c r="B81" s="9">
        <f t="array" ref="B81">IF(C81="",0,IF(OR(C81=Country_Comparison!$S$10:$S$29),1,0))</f>
        <v>0</v>
      </c>
      <c r="C81" s="9" t="str">
        <f t="shared" si="9"/>
        <v/>
      </c>
      <c r="D81" s="6">
        <f t="shared" si="10"/>
        <v>0</v>
      </c>
      <c r="E81" s="6">
        <f>IF(COUNTIF(I81:XFD81,"&gt;"&amp;0)=0,,HLOOKUP(COUNTIF(I81:XFD81,"&gt;"&amp;0)-1,I$1:XFD81,A81+1,FALSE))</f>
        <v>0</v>
      </c>
      <c r="F81" s="7">
        <f>IF(COUNTIF(I81:XFD81,"&gt;"&amp;0)=0,,HLOOKUP(COUNTIF(I81:XFD81,"&gt;"&amp;0)-MIN($F$1+1,COUNTIF(I81:XFD81,"&gt;"&amp;0)),I$1:XFD81,A81+1,FALSE))</f>
        <v>0</v>
      </c>
      <c r="G81" s="8">
        <f t="shared" si="11"/>
        <v>0</v>
      </c>
    </row>
    <row r="82" spans="1:7" x14ac:dyDescent="0.25">
      <c r="A82" s="9">
        <f t="shared" si="5"/>
        <v>81</v>
      </c>
      <c r="B82" s="9">
        <f t="array" ref="B82">IF(C82="",0,IF(OR(C82=Country_Comparison!$S$10:$S$29),1,0))</f>
        <v>0</v>
      </c>
      <c r="C82" s="9" t="str">
        <f t="shared" si="9"/>
        <v/>
      </c>
      <c r="D82" s="6">
        <f t="shared" si="10"/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 t="shared" si="11"/>
        <v>0</v>
      </c>
    </row>
    <row r="83" spans="1:7" x14ac:dyDescent="0.25">
      <c r="A83" s="9">
        <f t="shared" si="5"/>
        <v>82</v>
      </c>
      <c r="B83" s="9">
        <f t="array" ref="B83">IF(C83="",0,IF(OR(C83=Country_Comparison!$S$10:$S$29),1,0))</f>
        <v>0</v>
      </c>
      <c r="C83" s="9" t="str">
        <f t="shared" si="9"/>
        <v/>
      </c>
      <c r="D83" s="6">
        <f t="shared" si="10"/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 t="shared" si="11"/>
        <v>0</v>
      </c>
    </row>
    <row r="84" spans="1:7" x14ac:dyDescent="0.25">
      <c r="A84" s="9">
        <f t="shared" si="5"/>
        <v>83</v>
      </c>
      <c r="B84" s="9">
        <f t="array" ref="B84">IF(C84="",0,IF(OR(C84=Country_Comparison!$S$10:$S$29),1,0))</f>
        <v>0</v>
      </c>
      <c r="C84" s="9" t="str">
        <f t="shared" si="9"/>
        <v/>
      </c>
      <c r="D84" s="6">
        <f t="shared" si="10"/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 t="shared" si="11"/>
        <v>0</v>
      </c>
    </row>
    <row r="85" spans="1:7" x14ac:dyDescent="0.25">
      <c r="A85" s="9">
        <f t="shared" si="5"/>
        <v>84</v>
      </c>
      <c r="B85" s="9">
        <f t="array" ref="B85">IF(C85="",0,IF(OR(C85=Country_Comparison!$S$10:$S$29),1,0))</f>
        <v>0</v>
      </c>
      <c r="C85" s="9" t="str">
        <f t="shared" si="9"/>
        <v/>
      </c>
      <c r="D85" s="6">
        <f t="shared" si="10"/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 t="shared" si="11"/>
        <v>0</v>
      </c>
    </row>
    <row r="86" spans="1:7" x14ac:dyDescent="0.25">
      <c r="A86" s="9">
        <f t="shared" si="5"/>
        <v>85</v>
      </c>
      <c r="B86" s="9">
        <f t="array" ref="B86">IF(C86="",0,IF(OR(C86=Country_Comparison!$S$10:$S$29),1,0))</f>
        <v>0</v>
      </c>
      <c r="C86" s="9" t="str">
        <f t="shared" si="9"/>
        <v/>
      </c>
      <c r="D86" s="6">
        <f t="shared" si="10"/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 t="shared" si="11"/>
        <v>0</v>
      </c>
    </row>
    <row r="87" spans="1:7" x14ac:dyDescent="0.25">
      <c r="A87" s="9">
        <f t="shared" si="5"/>
        <v>86</v>
      </c>
      <c r="B87" s="9">
        <f t="array" ref="B87">IF(C87="",0,IF(OR(C87=Country_Comparison!$S$10:$S$29),1,0))</f>
        <v>0</v>
      </c>
      <c r="C87" s="9" t="str">
        <f t="shared" si="9"/>
        <v/>
      </c>
      <c r="D87" s="6">
        <f t="shared" si="10"/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 t="shared" si="11"/>
        <v>0</v>
      </c>
    </row>
    <row r="88" spans="1:7" x14ac:dyDescent="0.25">
      <c r="A88" s="9">
        <f t="shared" si="5"/>
        <v>87</v>
      </c>
      <c r="B88" s="9">
        <f t="array" ref="B88">IF(C88="",0,IF(OR(C88=Country_Comparison!$S$10:$S$29),1,0))</f>
        <v>0</v>
      </c>
      <c r="C88" s="9" t="str">
        <f t="shared" si="9"/>
        <v/>
      </c>
      <c r="D88" s="6">
        <f t="shared" si="10"/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 t="shared" si="11"/>
        <v>0</v>
      </c>
    </row>
    <row r="89" spans="1:7" x14ac:dyDescent="0.25">
      <c r="A89" s="9">
        <f t="shared" si="5"/>
        <v>88</v>
      </c>
      <c r="B89" s="9">
        <f t="array" ref="B89">IF(C89="",0,IF(OR(C89=Country_Comparison!$S$10:$S$29),1,0))</f>
        <v>0</v>
      </c>
      <c r="C89" s="9" t="str">
        <f t="shared" si="9"/>
        <v/>
      </c>
      <c r="D89" s="6">
        <f t="shared" si="10"/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 t="shared" si="11"/>
        <v>0</v>
      </c>
    </row>
    <row r="90" spans="1:7" x14ac:dyDescent="0.25">
      <c r="A90" s="9">
        <f t="shared" si="5"/>
        <v>89</v>
      </c>
      <c r="B90" s="9">
        <f t="array" ref="B90">IF(C90="",0,IF(OR(C90=Country_Comparison!$S$10:$S$29),1,0))</f>
        <v>0</v>
      </c>
      <c r="C90" s="9" t="str">
        <f t="shared" si="9"/>
        <v/>
      </c>
      <c r="D90" s="6">
        <f t="shared" si="10"/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 t="shared" si="11"/>
        <v>0</v>
      </c>
    </row>
    <row r="91" spans="1:7" x14ac:dyDescent="0.25">
      <c r="A91" s="9">
        <f t="shared" si="5"/>
        <v>90</v>
      </c>
      <c r="B91" s="9">
        <f t="array" ref="B91">IF(C91="",0,IF(OR(C91=Country_Comparison!$S$10:$S$29),1,0))</f>
        <v>0</v>
      </c>
      <c r="C91" s="9" t="str">
        <f t="shared" si="9"/>
        <v/>
      </c>
      <c r="D91" s="6">
        <f t="shared" si="10"/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 t="shared" si="11"/>
        <v>0</v>
      </c>
    </row>
    <row r="92" spans="1:7" x14ac:dyDescent="0.25">
      <c r="A92" s="9">
        <f t="shared" si="5"/>
        <v>91</v>
      </c>
      <c r="B92" s="9">
        <f t="array" ref="B92">IF(C92="",0,IF(OR(C92=Country_Comparison!$S$10:$S$29),1,0))</f>
        <v>0</v>
      </c>
      <c r="C92" s="9" t="str">
        <f t="shared" si="9"/>
        <v/>
      </c>
      <c r="D92" s="6">
        <f t="shared" si="10"/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 t="shared" si="11"/>
        <v>0</v>
      </c>
    </row>
    <row r="93" spans="1:7" x14ac:dyDescent="0.25">
      <c r="A93" s="9">
        <f t="shared" si="5"/>
        <v>92</v>
      </c>
      <c r="B93" s="9">
        <f t="array" ref="B93">IF(C93="",0,IF(OR(C93=Country_Comparison!$S$10:$S$29),1,0))</f>
        <v>0</v>
      </c>
      <c r="C93" s="9" t="str">
        <f t="shared" si="9"/>
        <v/>
      </c>
      <c r="D93" s="6">
        <f t="shared" si="10"/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 t="shared" si="11"/>
        <v>0</v>
      </c>
    </row>
    <row r="94" spans="1:7" x14ac:dyDescent="0.25">
      <c r="A94" s="9">
        <f t="shared" si="5"/>
        <v>93</v>
      </c>
      <c r="B94" s="9">
        <f t="array" ref="B94">IF(C94="",0,IF(OR(C94=Country_Comparison!$S$10:$S$29),1,0))</f>
        <v>0</v>
      </c>
      <c r="C94" s="9" t="str">
        <f t="shared" si="9"/>
        <v/>
      </c>
      <c r="D94" s="6">
        <f t="shared" si="10"/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 t="shared" si="11"/>
        <v>0</v>
      </c>
    </row>
    <row r="95" spans="1:7" x14ac:dyDescent="0.25">
      <c r="A95" s="9">
        <f t="shared" si="5"/>
        <v>94</v>
      </c>
      <c r="B95" s="9">
        <f t="array" ref="B95">IF(C95="",0,IF(OR(C95=Country_Comparison!$S$10:$S$29),1,0))</f>
        <v>0</v>
      </c>
      <c r="C95" s="9" t="str">
        <f t="shared" si="9"/>
        <v/>
      </c>
      <c r="D95" s="6">
        <f t="shared" si="10"/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 t="shared" si="11"/>
        <v>0</v>
      </c>
    </row>
    <row r="96" spans="1:7" x14ac:dyDescent="0.25">
      <c r="A96" s="9">
        <f t="shared" si="5"/>
        <v>95</v>
      </c>
      <c r="B96" s="9">
        <f t="array" ref="B96">IF(C96="",0,IF(OR(C96=Country_Comparison!$S$10:$S$29),1,0))</f>
        <v>0</v>
      </c>
      <c r="C96" s="9" t="str">
        <f t="shared" si="9"/>
        <v/>
      </c>
      <c r="D96" s="6">
        <f t="shared" si="10"/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 t="shared" si="11"/>
        <v>0</v>
      </c>
    </row>
    <row r="97" spans="1:7" x14ac:dyDescent="0.25">
      <c r="A97" s="9">
        <f t="shared" si="5"/>
        <v>96</v>
      </c>
      <c r="B97" s="9">
        <f t="array" ref="B97">IF(C97="",0,IF(OR(C97=Country_Comparison!$S$10:$S$29),1,0))</f>
        <v>0</v>
      </c>
      <c r="C97" s="9" t="str">
        <f t="shared" si="9"/>
        <v/>
      </c>
      <c r="D97" s="6">
        <f t="shared" si="10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1"/>
        <v>0</v>
      </c>
    </row>
    <row r="98" spans="1:7" x14ac:dyDescent="0.25">
      <c r="A98" s="9">
        <f t="shared" si="5"/>
        <v>97</v>
      </c>
      <c r="B98" s="9">
        <f t="array" ref="B98">IF(C98="",0,IF(OR(C98=Country_Comparison!$S$10:$S$29),1,0))</f>
        <v>0</v>
      </c>
      <c r="C98" s="9" t="str">
        <f t="shared" si="9"/>
        <v/>
      </c>
      <c r="D98" s="6">
        <f t="shared" si="10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si="11"/>
        <v>0</v>
      </c>
    </row>
    <row r="99" spans="1:7" x14ac:dyDescent="0.25">
      <c r="A99" s="9">
        <f t="shared" si="5"/>
        <v>98</v>
      </c>
      <c r="B99" s="9">
        <f t="array" ref="B99">IF(C99="",0,IF(OR(C99=Country_Comparison!$S$10:$S$29),1,0))</f>
        <v>0</v>
      </c>
      <c r="C99" s="9" t="str">
        <f t="shared" si="9"/>
        <v/>
      </c>
      <c r="D99" s="6">
        <f t="shared" si="10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11"/>
        <v>0</v>
      </c>
    </row>
    <row r="100" spans="1:7" x14ac:dyDescent="0.25">
      <c r="A100" s="9">
        <f t="shared" si="5"/>
        <v>99</v>
      </c>
      <c r="B100" s="9">
        <f t="array" ref="B100">IF(C100="",0,IF(OR(C100=Country_Comparison!$S$10:$S$29),1,0))</f>
        <v>0</v>
      </c>
      <c r="C100" s="9" t="str">
        <f t="shared" si="9"/>
        <v/>
      </c>
      <c r="D100" s="6">
        <f t="shared" si="10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11"/>
        <v>0</v>
      </c>
    </row>
    <row r="101" spans="1:7" x14ac:dyDescent="0.25">
      <c r="A101" s="9">
        <f t="shared" si="5"/>
        <v>100</v>
      </c>
      <c r="B101" s="9">
        <f t="array" ref="B101">IF(C101="",0,IF(OR(C101=Country_Comparison!$S$10:$S$29),1,0))</f>
        <v>0</v>
      </c>
      <c r="C101" s="9" t="str">
        <f t="shared" si="9"/>
        <v/>
      </c>
      <c r="D101" s="6">
        <f t="shared" si="10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11"/>
        <v>0</v>
      </c>
    </row>
    <row r="102" spans="1:7" x14ac:dyDescent="0.25">
      <c r="A102" s="9">
        <f t="shared" si="5"/>
        <v>101</v>
      </c>
      <c r="B102" s="9">
        <f t="array" ref="B102">IF(C102="",0,IF(OR(C102=Country_Comparison!$S$10:$S$29),1,0))</f>
        <v>0</v>
      </c>
      <c r="C102" s="9" t="str">
        <f t="shared" si="9"/>
        <v/>
      </c>
      <c r="D102" s="6">
        <f t="shared" si="10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11"/>
        <v>0</v>
      </c>
    </row>
    <row r="103" spans="1:7" x14ac:dyDescent="0.25">
      <c r="A103" s="9">
        <f t="shared" si="5"/>
        <v>102</v>
      </c>
      <c r="B103" s="9">
        <f t="array" ref="B103">IF(C103="",0,IF(OR(C103=Country_Comparison!$S$10:$S$29),1,0))</f>
        <v>0</v>
      </c>
      <c r="C103" s="9" t="str">
        <f t="shared" si="9"/>
        <v/>
      </c>
      <c r="D103" s="6">
        <f t="shared" si="10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11"/>
        <v>0</v>
      </c>
    </row>
    <row r="104" spans="1:7" x14ac:dyDescent="0.25">
      <c r="A104" s="9">
        <f t="shared" si="5"/>
        <v>103</v>
      </c>
      <c r="B104" s="9">
        <f t="array" ref="B104">IF(C104="",0,IF(OR(C104=Country_Comparison!$S$10:$S$29),1,0))</f>
        <v>0</v>
      </c>
      <c r="C104" s="9" t="str">
        <f t="shared" si="9"/>
        <v/>
      </c>
      <c r="D104" s="6">
        <f t="shared" si="10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11"/>
        <v>0</v>
      </c>
    </row>
    <row r="105" spans="1:7" x14ac:dyDescent="0.25">
      <c r="A105" s="9">
        <f t="shared" si="5"/>
        <v>104</v>
      </c>
      <c r="B105" s="9">
        <f t="array" ref="B105">IF(C105="",0,IF(OR(C105=Country_Comparison!$S$10:$S$29),1,0))</f>
        <v>0</v>
      </c>
      <c r="C105" s="9" t="str">
        <f t="shared" si="9"/>
        <v/>
      </c>
      <c r="D105" s="6">
        <f t="shared" si="10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1"/>
        <v>0</v>
      </c>
    </row>
    <row r="106" spans="1:7" x14ac:dyDescent="0.25">
      <c r="A106" s="9">
        <f t="shared" si="5"/>
        <v>105</v>
      </c>
      <c r="B106" s="9">
        <f t="array" ref="B106">IF(C106="",0,IF(OR(C106=Country_Comparison!$S$10:$S$29),1,0))</f>
        <v>0</v>
      </c>
      <c r="C106" s="9" t="str">
        <f t="shared" si="9"/>
        <v/>
      </c>
      <c r="D106" s="6">
        <f t="shared" si="10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1"/>
        <v>0</v>
      </c>
    </row>
    <row r="107" spans="1:7" x14ac:dyDescent="0.25">
      <c r="A107" s="9">
        <f t="shared" si="5"/>
        <v>106</v>
      </c>
      <c r="B107" s="9">
        <f t="array" ref="B107">IF(C107="",0,IF(OR(C107=Country_Comparison!$S$10:$S$29),1,0))</f>
        <v>0</v>
      </c>
      <c r="C107" s="9" t="str">
        <f t="shared" si="9"/>
        <v/>
      </c>
      <c r="D107" s="6">
        <f t="shared" si="10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1"/>
        <v>0</v>
      </c>
    </row>
    <row r="108" spans="1:7" x14ac:dyDescent="0.25">
      <c r="A108" s="9">
        <f t="shared" si="5"/>
        <v>107</v>
      </c>
      <c r="B108" s="9">
        <f t="array" ref="B108">IF(C108="",0,IF(OR(C108=Country_Comparison!$S$10:$S$29),1,0))</f>
        <v>0</v>
      </c>
      <c r="C108" s="9" t="str">
        <f t="shared" si="9"/>
        <v/>
      </c>
      <c r="D108" s="6">
        <f t="shared" si="10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1"/>
        <v>0</v>
      </c>
    </row>
    <row r="109" spans="1:7" x14ac:dyDescent="0.25">
      <c r="A109" s="9">
        <f t="shared" si="5"/>
        <v>108</v>
      </c>
      <c r="B109" s="9">
        <f t="array" ref="B109">IF(C109="",0,IF(OR(C109=Country_Comparison!$S$10:$S$29),1,0))</f>
        <v>0</v>
      </c>
      <c r="C109" s="9" t="str">
        <f t="shared" si="9"/>
        <v/>
      </c>
      <c r="D109" s="6">
        <f t="shared" si="10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1"/>
        <v>0</v>
      </c>
    </row>
    <row r="110" spans="1:7" x14ac:dyDescent="0.25">
      <c r="A110" s="9">
        <f t="shared" si="5"/>
        <v>109</v>
      </c>
      <c r="B110" s="9">
        <f t="array" ref="B110">IF(C110="",0,IF(OR(C110=Country_Comparison!$S$10:$S$29),1,0))</f>
        <v>0</v>
      </c>
      <c r="C110" s="9" t="str">
        <f t="shared" si="9"/>
        <v/>
      </c>
      <c r="D110" s="6">
        <f t="shared" si="10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1"/>
        <v>0</v>
      </c>
    </row>
    <row r="111" spans="1:7" x14ac:dyDescent="0.25">
      <c r="A111" s="9">
        <f t="shared" si="5"/>
        <v>110</v>
      </c>
      <c r="B111" s="9">
        <f t="array" ref="B111">IF(C111="",0,IF(OR(C111=Country_Comparison!$S$10:$S$29),1,0))</f>
        <v>0</v>
      </c>
      <c r="C111" s="9" t="str">
        <f t="shared" si="9"/>
        <v/>
      </c>
      <c r="D111" s="6">
        <f t="shared" si="10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1"/>
        <v>0</v>
      </c>
    </row>
    <row r="112" spans="1:7" x14ac:dyDescent="0.25">
      <c r="A112" s="9">
        <f t="shared" si="5"/>
        <v>111</v>
      </c>
      <c r="B112" s="9">
        <f t="array" ref="B112">IF(C112="",0,IF(OR(C112=Country_Comparison!$S$10:$S$29),1,0))</f>
        <v>0</v>
      </c>
      <c r="C112" s="9" t="str">
        <f t="shared" si="9"/>
        <v/>
      </c>
      <c r="D112" s="6">
        <f t="shared" si="10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1"/>
        <v>0</v>
      </c>
    </row>
    <row r="113" spans="1:7" x14ac:dyDescent="0.25">
      <c r="A113" s="9">
        <f t="shared" si="5"/>
        <v>112</v>
      </c>
      <c r="B113" s="9">
        <f t="array" ref="B113">IF(C113="",0,IF(OR(C113=Country_Comparison!$S$10:$S$29),1,0))</f>
        <v>0</v>
      </c>
      <c r="C113" s="9" t="str">
        <f t="shared" si="9"/>
        <v/>
      </c>
      <c r="D113" s="6">
        <f t="shared" si="10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1"/>
        <v>0</v>
      </c>
    </row>
    <row r="114" spans="1:7" x14ac:dyDescent="0.25">
      <c r="A114" s="9">
        <f t="shared" si="5"/>
        <v>113</v>
      </c>
      <c r="B114" s="9">
        <f t="array" ref="B114">IF(C114="",0,IF(OR(C114=Country_Comparison!$S$10:$S$29),1,0))</f>
        <v>0</v>
      </c>
      <c r="C114" s="9" t="str">
        <f t="shared" si="9"/>
        <v/>
      </c>
      <c r="D114" s="6">
        <f t="shared" si="10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1"/>
        <v>0</v>
      </c>
    </row>
    <row r="115" spans="1:7" x14ac:dyDescent="0.25">
      <c r="A115" s="9">
        <f t="shared" si="5"/>
        <v>114</v>
      </c>
      <c r="B115" s="9">
        <f t="array" ref="B115">IF(C115="",0,IF(OR(C115=Country_Comparison!$S$10:$S$29),1,0))</f>
        <v>0</v>
      </c>
      <c r="C115" s="9" t="str">
        <f t="shared" si="9"/>
        <v/>
      </c>
      <c r="D115" s="6">
        <f t="shared" si="10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1"/>
        <v>0</v>
      </c>
    </row>
    <row r="116" spans="1:7" x14ac:dyDescent="0.25">
      <c r="A116" s="9">
        <f t="shared" si="5"/>
        <v>115</v>
      </c>
      <c r="B116" s="9">
        <f t="array" ref="B116">IF(C116="",0,IF(OR(C116=Country_Comparison!$S$10:$S$29),1,0))</f>
        <v>0</v>
      </c>
      <c r="C116" s="9" t="str">
        <f t="shared" si="9"/>
        <v/>
      </c>
      <c r="D116" s="6">
        <f t="shared" si="10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1"/>
        <v>0</v>
      </c>
    </row>
    <row r="117" spans="1:7" x14ac:dyDescent="0.25">
      <c r="A117" s="9">
        <f t="shared" si="5"/>
        <v>116</v>
      </c>
      <c r="B117" s="9">
        <f t="array" ref="B117">IF(C117="",0,IF(OR(C117=Country_Comparison!$S$10:$S$29),1,0))</f>
        <v>0</v>
      </c>
      <c r="C117" s="9" t="str">
        <f t="shared" si="9"/>
        <v/>
      </c>
      <c r="D117" s="6">
        <f t="shared" si="10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1"/>
        <v>0</v>
      </c>
    </row>
    <row r="118" spans="1:7" x14ac:dyDescent="0.25">
      <c r="A118" s="9">
        <f t="shared" si="5"/>
        <v>117</v>
      </c>
      <c r="B118" s="9">
        <f t="array" ref="B118">IF(C118="",0,IF(OR(C118=Country_Comparison!$S$10:$S$29),1,0))</f>
        <v>0</v>
      </c>
      <c r="C118" s="9" t="str">
        <f t="shared" si="9"/>
        <v/>
      </c>
      <c r="D118" s="6">
        <f t="shared" si="10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1"/>
        <v>0</v>
      </c>
    </row>
    <row r="119" spans="1:7" x14ac:dyDescent="0.25">
      <c r="A119" s="9">
        <f t="shared" si="5"/>
        <v>118</v>
      </c>
      <c r="B119" s="9">
        <f t="array" ref="B119">IF(C119="",0,IF(OR(C119=Country_Comparison!$S$10:$S$29),1,0))</f>
        <v>0</v>
      </c>
      <c r="C119" s="9" t="str">
        <f t="shared" si="9"/>
        <v/>
      </c>
      <c r="D119" s="6">
        <f t="shared" si="10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1"/>
        <v>0</v>
      </c>
    </row>
    <row r="120" spans="1:7" x14ac:dyDescent="0.25">
      <c r="A120" s="9">
        <f t="shared" si="5"/>
        <v>119</v>
      </c>
      <c r="B120" s="9">
        <f t="array" ref="B120">IF(C120="",0,IF(OR(C120=Country_Comparison!$S$10:$S$29),1,0))</f>
        <v>0</v>
      </c>
      <c r="C120" s="9" t="str">
        <f t="shared" si="9"/>
        <v/>
      </c>
      <c r="D120" s="6">
        <f t="shared" si="10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1"/>
        <v>0</v>
      </c>
    </row>
    <row r="121" spans="1:7" x14ac:dyDescent="0.25">
      <c r="A121" s="9">
        <f t="shared" si="5"/>
        <v>120</v>
      </c>
      <c r="B121" s="9">
        <f t="array" ref="B121">IF(C121="",0,IF(OR(C121=Country_Comparison!$S$10:$S$29),1,0))</f>
        <v>0</v>
      </c>
      <c r="C121" s="9" t="str">
        <f t="shared" si="9"/>
        <v/>
      </c>
      <c r="D121" s="6">
        <f t="shared" si="10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1"/>
        <v>0</v>
      </c>
    </row>
    <row r="122" spans="1:7" x14ac:dyDescent="0.25">
      <c r="A122" s="9">
        <f t="shared" si="5"/>
        <v>121</v>
      </c>
      <c r="B122" s="9">
        <f t="array" ref="B122">IF(C122="",0,IF(OR(C122=Country_Comparison!$S$10:$S$29),1,0))</f>
        <v>0</v>
      </c>
      <c r="C122" s="9" t="str">
        <f t="shared" si="9"/>
        <v/>
      </c>
      <c r="D122" s="6">
        <f t="shared" si="10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1"/>
        <v>0</v>
      </c>
    </row>
    <row r="123" spans="1:7" x14ac:dyDescent="0.25">
      <c r="A123" s="9">
        <f t="shared" si="5"/>
        <v>122</v>
      </c>
      <c r="B123" s="9">
        <f t="array" ref="B123">IF(C123="",0,IF(OR(C123=Country_Comparison!$S$10:$S$29),1,0))</f>
        <v>0</v>
      </c>
      <c r="C123" s="9" t="str">
        <f t="shared" si="9"/>
        <v/>
      </c>
      <c r="D123" s="6">
        <f t="shared" si="10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1"/>
        <v>0</v>
      </c>
    </row>
    <row r="124" spans="1:7" x14ac:dyDescent="0.25">
      <c r="A124" s="9">
        <f t="shared" si="5"/>
        <v>123</v>
      </c>
      <c r="B124" s="9">
        <f t="array" ref="B124">IF(C124="",0,IF(OR(C124=Country_Comparison!$S$10:$S$29),1,0))</f>
        <v>0</v>
      </c>
      <c r="C124" s="9" t="str">
        <f t="shared" si="9"/>
        <v/>
      </c>
      <c r="D124" s="6">
        <f t="shared" si="10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1"/>
        <v>0</v>
      </c>
    </row>
    <row r="125" spans="1:7" x14ac:dyDescent="0.25">
      <c r="A125" s="9">
        <f t="shared" si="5"/>
        <v>124</v>
      </c>
      <c r="B125" s="9">
        <f t="array" ref="B125">IF(C125="",0,IF(OR(C125=Country_Comparison!$S$10:$S$29),1,0))</f>
        <v>0</v>
      </c>
      <c r="C125" s="9" t="str">
        <f t="shared" si="9"/>
        <v/>
      </c>
      <c r="D125" s="6">
        <f t="shared" si="10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1"/>
        <v>0</v>
      </c>
    </row>
    <row r="126" spans="1:7" x14ac:dyDescent="0.25">
      <c r="A126" s="9">
        <f t="shared" si="5"/>
        <v>125</v>
      </c>
      <c r="B126" s="9">
        <f t="array" ref="B126">IF(C126="",0,IF(OR(C126=Country_Comparison!$S$10:$S$29),1,0))</f>
        <v>0</v>
      </c>
      <c r="C126" s="9" t="str">
        <f t="shared" si="9"/>
        <v/>
      </c>
      <c r="D126" s="6">
        <f t="shared" si="10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1"/>
        <v>0</v>
      </c>
    </row>
    <row r="127" spans="1:7" x14ac:dyDescent="0.25">
      <c r="A127" s="9">
        <f t="shared" si="5"/>
        <v>126</v>
      </c>
      <c r="B127" s="9">
        <f t="array" ref="B127">IF(C127="",0,IF(OR(C127=Country_Comparison!$S$10:$S$29),1,0))</f>
        <v>0</v>
      </c>
      <c r="C127" s="9" t="str">
        <f t="shared" si="9"/>
        <v/>
      </c>
      <c r="D127" s="6">
        <f t="shared" si="10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1"/>
        <v>0</v>
      </c>
    </row>
    <row r="128" spans="1:7" x14ac:dyDescent="0.25">
      <c r="A128" s="9">
        <f t="shared" si="5"/>
        <v>127</v>
      </c>
      <c r="B128" s="9">
        <f t="array" ref="B128">IF(C128="",0,IF(OR(C128=Country_Comparison!$S$10:$S$29),1,0))</f>
        <v>0</v>
      </c>
      <c r="C128" s="9" t="str">
        <f t="shared" si="9"/>
        <v/>
      </c>
      <c r="D128" s="6">
        <f t="shared" si="10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1"/>
        <v>0</v>
      </c>
    </row>
    <row r="129" spans="1:7" x14ac:dyDescent="0.25">
      <c r="A129" s="9">
        <f t="shared" si="5"/>
        <v>128</v>
      </c>
      <c r="B129" s="9">
        <f t="array" ref="B129">IF(C129="",0,IF(OR(C129=Country_Comparison!$S$10:$S$29),1,0))</f>
        <v>0</v>
      </c>
      <c r="C129" s="9" t="str">
        <f t="shared" si="9"/>
        <v/>
      </c>
      <c r="D129" s="6">
        <f t="shared" si="10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1"/>
        <v>0</v>
      </c>
    </row>
    <row r="130" spans="1:7" x14ac:dyDescent="0.25">
      <c r="A130" s="9">
        <f t="shared" si="5"/>
        <v>129</v>
      </c>
      <c r="B130" s="9">
        <f t="array" ref="B130">IF(C130="",0,IF(OR(C130=Country_Comparison!$S$10:$S$29),1,0))</f>
        <v>0</v>
      </c>
      <c r="C130" s="9" t="str">
        <f t="shared" si="9"/>
        <v/>
      </c>
      <c r="D130" s="6">
        <f t="shared" si="10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1"/>
        <v>0</v>
      </c>
    </row>
    <row r="131" spans="1:7" x14ac:dyDescent="0.25">
      <c r="A131" s="9">
        <f t="shared" si="5"/>
        <v>130</v>
      </c>
      <c r="B131" s="9">
        <f t="array" ref="B131">IF(C131="",0,IF(OR(C131=Country_Comparison!$S$10:$S$29),1,0))</f>
        <v>0</v>
      </c>
      <c r="C131" s="9" t="str">
        <f t="shared" si="9"/>
        <v/>
      </c>
      <c r="D131" s="6">
        <f t="shared" si="10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1"/>
        <v>0</v>
      </c>
    </row>
    <row r="132" spans="1:7" x14ac:dyDescent="0.25">
      <c r="A132" s="9">
        <f t="shared" si="5"/>
        <v>131</v>
      </c>
      <c r="B132" s="9">
        <f t="array" ref="B132">IF(C132="",0,IF(OR(C132=Country_Comparison!$S$10:$S$29),1,0))</f>
        <v>0</v>
      </c>
      <c r="C132" s="9" t="str">
        <f t="shared" si="9"/>
        <v/>
      </c>
      <c r="D132" s="6">
        <f t="shared" si="10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1"/>
        <v>0</v>
      </c>
    </row>
    <row r="133" spans="1:7" x14ac:dyDescent="0.25">
      <c r="A133" s="9">
        <f t="shared" si="5"/>
        <v>132</v>
      </c>
      <c r="B133" s="9">
        <f t="array" ref="B133">IF(C133="",0,IF(OR(C133=Country_Comparison!$S$10:$S$29),1,0))</f>
        <v>0</v>
      </c>
      <c r="C133" s="9" t="str">
        <f t="shared" si="9"/>
        <v/>
      </c>
      <c r="D133" s="6">
        <f t="shared" si="10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1"/>
        <v>0</v>
      </c>
    </row>
    <row r="134" spans="1:7" x14ac:dyDescent="0.25">
      <c r="A134" s="9">
        <f t="shared" si="5"/>
        <v>133</v>
      </c>
      <c r="B134" s="9">
        <f t="array" ref="B134">IF(C134="",0,IF(OR(C134=Country_Comparison!$S$10:$S$29),1,0))</f>
        <v>0</v>
      </c>
      <c r="C134" s="9" t="str">
        <f t="shared" ref="C134:C197" si="12">IF(H134="","",H134)</f>
        <v/>
      </c>
      <c r="D134" s="6">
        <f t="shared" ref="D134:D197" si="13"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14">IF(COUNTIF(I134:XFD134,"&gt;"&amp;0)=0,,(E134/F134)^(1/MIN(COUNTIF(I134:XFD134,"&gt;"&amp;0)-1,$F$1)))</f>
        <v>0</v>
      </c>
    </row>
    <row r="135" spans="1:7" x14ac:dyDescent="0.25">
      <c r="A135" s="9">
        <f t="shared" si="5"/>
        <v>134</v>
      </c>
      <c r="B135" s="9">
        <f t="array" ref="B135">IF(C135="",0,IF(OR(C135=Country_Comparison!$S$10:$S$29),1,0))</f>
        <v>0</v>
      </c>
      <c r="C135" s="9" t="str">
        <f t="shared" si="12"/>
        <v/>
      </c>
      <c r="D135" s="6">
        <f t="shared" si="13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14"/>
        <v>0</v>
      </c>
    </row>
    <row r="136" spans="1:7" x14ac:dyDescent="0.25">
      <c r="A136" s="9">
        <f t="shared" si="5"/>
        <v>135</v>
      </c>
      <c r="B136" s="9">
        <f t="array" ref="B136">IF(C136="",0,IF(OR(C136=Country_Comparison!$S$10:$S$29),1,0))</f>
        <v>0</v>
      </c>
      <c r="C136" s="9" t="str">
        <f t="shared" si="12"/>
        <v/>
      </c>
      <c r="D136" s="6">
        <f t="shared" si="13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14"/>
        <v>0</v>
      </c>
    </row>
    <row r="137" spans="1:7" x14ac:dyDescent="0.25">
      <c r="A137" s="9">
        <f t="shared" si="5"/>
        <v>136</v>
      </c>
      <c r="B137" s="9">
        <f t="array" ref="B137">IF(C137="",0,IF(OR(C137=Country_Comparison!$S$10:$S$29),1,0))</f>
        <v>0</v>
      </c>
      <c r="C137" s="9" t="str">
        <f t="shared" si="12"/>
        <v/>
      </c>
      <c r="D137" s="6">
        <f t="shared" si="13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14"/>
        <v>0</v>
      </c>
    </row>
    <row r="138" spans="1:7" x14ac:dyDescent="0.25">
      <c r="A138" s="9">
        <f t="shared" si="5"/>
        <v>137</v>
      </c>
      <c r="B138" s="9">
        <f t="array" ref="B138">IF(C138="",0,IF(OR(C138=Country_Comparison!$S$10:$S$29),1,0))</f>
        <v>0</v>
      </c>
      <c r="C138" s="9" t="str">
        <f t="shared" si="12"/>
        <v/>
      </c>
      <c r="D138" s="6">
        <f t="shared" si="13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14"/>
        <v>0</v>
      </c>
    </row>
    <row r="139" spans="1:7" x14ac:dyDescent="0.25">
      <c r="A139" s="9">
        <f t="shared" si="5"/>
        <v>138</v>
      </c>
      <c r="B139" s="9">
        <f t="array" ref="B139">IF(C139="",0,IF(OR(C139=Country_Comparison!$S$10:$S$29),1,0))</f>
        <v>0</v>
      </c>
      <c r="C139" s="9" t="str">
        <f t="shared" si="12"/>
        <v/>
      </c>
      <c r="D139" s="6">
        <f t="shared" si="13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14"/>
        <v>0</v>
      </c>
    </row>
    <row r="140" spans="1:7" x14ac:dyDescent="0.25">
      <c r="A140" s="9">
        <f t="shared" si="5"/>
        <v>139</v>
      </c>
      <c r="B140" s="9">
        <f t="array" ref="B140">IF(C140="",0,IF(OR(C140=Country_Comparison!$S$10:$S$29),1,0))</f>
        <v>0</v>
      </c>
      <c r="C140" s="9" t="str">
        <f t="shared" si="12"/>
        <v/>
      </c>
      <c r="D140" s="6">
        <f t="shared" si="13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14"/>
        <v>0</v>
      </c>
    </row>
    <row r="141" spans="1:7" x14ac:dyDescent="0.25">
      <c r="A141" s="9">
        <f t="shared" si="5"/>
        <v>140</v>
      </c>
      <c r="B141" s="9">
        <f t="array" ref="B141">IF(C141="",0,IF(OR(C141=Country_Comparison!$S$10:$S$29),1,0))</f>
        <v>0</v>
      </c>
      <c r="C141" s="9" t="str">
        <f t="shared" si="12"/>
        <v/>
      </c>
      <c r="D141" s="6">
        <f t="shared" si="13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14"/>
        <v>0</v>
      </c>
    </row>
    <row r="142" spans="1:7" x14ac:dyDescent="0.25">
      <c r="A142" s="9">
        <f t="shared" si="5"/>
        <v>141</v>
      </c>
      <c r="B142" s="9">
        <f t="array" ref="B142">IF(C142="",0,IF(OR(C142=Country_Comparison!$S$10:$S$29),1,0))</f>
        <v>0</v>
      </c>
      <c r="C142" s="9" t="str">
        <f t="shared" si="12"/>
        <v/>
      </c>
      <c r="D142" s="6">
        <f t="shared" si="13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14"/>
        <v>0</v>
      </c>
    </row>
    <row r="143" spans="1:7" x14ac:dyDescent="0.25">
      <c r="A143" s="9">
        <f t="shared" si="5"/>
        <v>142</v>
      </c>
      <c r="B143" s="9">
        <f t="array" ref="B143">IF(C143="",0,IF(OR(C143=Country_Comparison!$S$10:$S$29),1,0))</f>
        <v>0</v>
      </c>
      <c r="C143" s="9" t="str">
        <f t="shared" si="12"/>
        <v/>
      </c>
      <c r="D143" s="6">
        <f t="shared" si="13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14"/>
        <v>0</v>
      </c>
    </row>
    <row r="144" spans="1:7" x14ac:dyDescent="0.25">
      <c r="A144" s="9">
        <f t="shared" si="5"/>
        <v>143</v>
      </c>
      <c r="B144" s="9">
        <f t="array" ref="B144">IF(C144="",0,IF(OR(C144=Country_Comparison!$S$10:$S$29),1,0))</f>
        <v>0</v>
      </c>
      <c r="C144" s="9" t="str">
        <f t="shared" si="12"/>
        <v/>
      </c>
      <c r="D144" s="6">
        <f t="shared" si="13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14"/>
        <v>0</v>
      </c>
    </row>
    <row r="145" spans="1:7" x14ac:dyDescent="0.25">
      <c r="A145" s="9">
        <f t="shared" si="5"/>
        <v>144</v>
      </c>
      <c r="B145" s="9">
        <f t="array" ref="B145">IF(C145="",0,IF(OR(C145=Country_Comparison!$S$10:$S$29),1,0))</f>
        <v>0</v>
      </c>
      <c r="C145" s="9" t="str">
        <f t="shared" si="12"/>
        <v/>
      </c>
      <c r="D145" s="6">
        <f t="shared" si="13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14"/>
        <v>0</v>
      </c>
    </row>
    <row r="146" spans="1:7" x14ac:dyDescent="0.25">
      <c r="A146" s="9">
        <f t="shared" si="5"/>
        <v>145</v>
      </c>
      <c r="B146" s="9">
        <f t="array" ref="B146">IF(C146="",0,IF(OR(C146=Country_Comparison!$S$10:$S$29),1,0))</f>
        <v>0</v>
      </c>
      <c r="C146" s="9" t="str">
        <f t="shared" si="12"/>
        <v/>
      </c>
      <c r="D146" s="6">
        <f t="shared" si="13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14"/>
        <v>0</v>
      </c>
    </row>
    <row r="147" spans="1:7" x14ac:dyDescent="0.25">
      <c r="A147" s="9">
        <f t="shared" si="5"/>
        <v>146</v>
      </c>
      <c r="B147" s="9">
        <f t="array" ref="B147">IF(C147="",0,IF(OR(C147=Country_Comparison!$S$10:$S$29),1,0))</f>
        <v>0</v>
      </c>
      <c r="C147" s="9" t="str">
        <f t="shared" si="12"/>
        <v/>
      </c>
      <c r="D147" s="6">
        <f t="shared" si="13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14"/>
        <v>0</v>
      </c>
    </row>
    <row r="148" spans="1:7" x14ac:dyDescent="0.25">
      <c r="A148" s="9">
        <f t="shared" si="5"/>
        <v>147</v>
      </c>
      <c r="B148" s="9">
        <f t="array" ref="B148">IF(C148="",0,IF(OR(C148=Country_Comparison!$S$10:$S$29),1,0))</f>
        <v>0</v>
      </c>
      <c r="C148" s="9" t="str">
        <f t="shared" si="12"/>
        <v/>
      </c>
      <c r="D148" s="6">
        <f t="shared" si="13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14"/>
        <v>0</v>
      </c>
    </row>
    <row r="149" spans="1:7" x14ac:dyDescent="0.25">
      <c r="A149" s="9">
        <f t="shared" si="5"/>
        <v>148</v>
      </c>
      <c r="B149" s="9">
        <f t="array" ref="B149">IF(C149="",0,IF(OR(C149=Country_Comparison!$S$10:$S$29),1,0))</f>
        <v>0</v>
      </c>
      <c r="C149" s="9" t="str">
        <f t="shared" si="12"/>
        <v/>
      </c>
      <c r="D149" s="6">
        <f t="shared" si="13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14"/>
        <v>0</v>
      </c>
    </row>
    <row r="150" spans="1:7" x14ac:dyDescent="0.25">
      <c r="A150" s="9">
        <f t="shared" si="5"/>
        <v>149</v>
      </c>
      <c r="B150" s="9">
        <f t="array" ref="B150">IF(C150="",0,IF(OR(C150=Country_Comparison!$S$10:$S$29),1,0))</f>
        <v>0</v>
      </c>
      <c r="C150" s="9" t="str">
        <f t="shared" si="12"/>
        <v/>
      </c>
      <c r="D150" s="6">
        <f t="shared" si="13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14"/>
        <v>0</v>
      </c>
    </row>
    <row r="151" spans="1:7" x14ac:dyDescent="0.25">
      <c r="A151" s="9">
        <f t="shared" si="5"/>
        <v>150</v>
      </c>
      <c r="B151" s="9">
        <f t="array" ref="B151">IF(C151="",0,IF(OR(C151=Country_Comparison!$S$10:$S$29),1,0))</f>
        <v>0</v>
      </c>
      <c r="C151" s="9" t="str">
        <f t="shared" si="12"/>
        <v/>
      </c>
      <c r="D151" s="6">
        <f t="shared" si="13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14"/>
        <v>0</v>
      </c>
    </row>
    <row r="152" spans="1:7" x14ac:dyDescent="0.25">
      <c r="A152" s="9">
        <f t="shared" si="5"/>
        <v>151</v>
      </c>
      <c r="B152" s="9">
        <f t="array" ref="B152">IF(C152="",0,IF(OR(C152=Country_Comparison!$S$10:$S$29),1,0))</f>
        <v>0</v>
      </c>
      <c r="C152" s="9" t="str">
        <f t="shared" si="12"/>
        <v/>
      </c>
      <c r="D152" s="6">
        <f t="shared" si="13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14"/>
        <v>0</v>
      </c>
    </row>
    <row r="153" spans="1:7" x14ac:dyDescent="0.25">
      <c r="A153" s="9">
        <f t="shared" si="5"/>
        <v>152</v>
      </c>
      <c r="B153" s="9">
        <f t="array" ref="B153">IF(C153="",0,IF(OR(C153=Country_Comparison!$S$10:$S$29),1,0))</f>
        <v>0</v>
      </c>
      <c r="C153" s="9" t="str">
        <f t="shared" si="12"/>
        <v/>
      </c>
      <c r="D153" s="6">
        <f t="shared" si="13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14"/>
        <v>0</v>
      </c>
    </row>
    <row r="154" spans="1:7" x14ac:dyDescent="0.25">
      <c r="A154" s="9">
        <f t="shared" si="5"/>
        <v>153</v>
      </c>
      <c r="B154" s="9">
        <f t="array" ref="B154">IF(C154="",0,IF(OR(C154=Country_Comparison!$S$10:$S$29),1,0))</f>
        <v>0</v>
      </c>
      <c r="C154" s="9" t="str">
        <f t="shared" si="12"/>
        <v/>
      </c>
      <c r="D154" s="6">
        <f t="shared" si="13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14"/>
        <v>0</v>
      </c>
    </row>
    <row r="155" spans="1:7" x14ac:dyDescent="0.25">
      <c r="A155" s="9">
        <f t="shared" si="5"/>
        <v>154</v>
      </c>
      <c r="B155" s="9">
        <f t="array" ref="B155">IF(C155="",0,IF(OR(C155=Country_Comparison!$S$10:$S$29),1,0))</f>
        <v>0</v>
      </c>
      <c r="C155" s="9" t="str">
        <f t="shared" si="12"/>
        <v/>
      </c>
      <c r="D155" s="6">
        <f t="shared" si="13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14"/>
        <v>0</v>
      </c>
    </row>
    <row r="156" spans="1:7" x14ac:dyDescent="0.25">
      <c r="A156" s="9">
        <f t="shared" si="5"/>
        <v>155</v>
      </c>
      <c r="B156" s="9">
        <f t="array" ref="B156">IF(C156="",0,IF(OR(C156=Country_Comparison!$S$10:$S$29),1,0))</f>
        <v>0</v>
      </c>
      <c r="C156" s="9" t="str">
        <f t="shared" si="12"/>
        <v/>
      </c>
      <c r="D156" s="6">
        <f t="shared" si="13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14"/>
        <v>0</v>
      </c>
    </row>
    <row r="157" spans="1:7" x14ac:dyDescent="0.25">
      <c r="A157" s="9">
        <f t="shared" si="5"/>
        <v>156</v>
      </c>
      <c r="B157" s="9">
        <f t="array" ref="B157">IF(C157="",0,IF(OR(C157=Country_Comparison!$S$10:$S$29),1,0))</f>
        <v>0</v>
      </c>
      <c r="C157" s="9" t="str">
        <f t="shared" si="12"/>
        <v/>
      </c>
      <c r="D157" s="6">
        <f t="shared" si="13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14"/>
        <v>0</v>
      </c>
    </row>
    <row r="158" spans="1:7" x14ac:dyDescent="0.25">
      <c r="A158" s="9">
        <f t="shared" si="5"/>
        <v>157</v>
      </c>
      <c r="B158" s="9">
        <f t="array" ref="B158">IF(C158="",0,IF(OR(C158=Country_Comparison!$S$10:$S$29),1,0))</f>
        <v>0</v>
      </c>
      <c r="C158" s="9" t="str">
        <f t="shared" si="12"/>
        <v/>
      </c>
      <c r="D158" s="6">
        <f t="shared" si="13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14"/>
        <v>0</v>
      </c>
    </row>
    <row r="159" spans="1:7" x14ac:dyDescent="0.25">
      <c r="A159" s="9">
        <f t="shared" si="5"/>
        <v>158</v>
      </c>
      <c r="B159" s="9">
        <f t="array" ref="B159">IF(C159="",0,IF(OR(C159=Country_Comparison!$S$10:$S$29),1,0))</f>
        <v>0</v>
      </c>
      <c r="C159" s="9" t="str">
        <f t="shared" si="12"/>
        <v/>
      </c>
      <c r="D159" s="6">
        <f t="shared" si="13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14"/>
        <v>0</v>
      </c>
    </row>
    <row r="160" spans="1:7" x14ac:dyDescent="0.25">
      <c r="A160" s="9">
        <f t="shared" si="5"/>
        <v>159</v>
      </c>
      <c r="B160" s="9">
        <f t="array" ref="B160">IF(C160="",0,IF(OR(C160=Country_Comparison!$S$10:$S$29),1,0))</f>
        <v>0</v>
      </c>
      <c r="C160" s="9" t="str">
        <f t="shared" si="12"/>
        <v/>
      </c>
      <c r="D160" s="6">
        <f t="shared" si="13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14"/>
        <v>0</v>
      </c>
    </row>
    <row r="161" spans="1:7" x14ac:dyDescent="0.25">
      <c r="A161" s="9">
        <f t="shared" si="5"/>
        <v>160</v>
      </c>
      <c r="B161" s="9">
        <f t="array" ref="B161">IF(C161="",0,IF(OR(C161=Country_Comparison!$S$10:$S$29),1,0))</f>
        <v>0</v>
      </c>
      <c r="C161" s="9" t="str">
        <f t="shared" si="12"/>
        <v/>
      </c>
      <c r="D161" s="6">
        <f t="shared" si="13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14"/>
        <v>0</v>
      </c>
    </row>
    <row r="162" spans="1:7" x14ac:dyDescent="0.25">
      <c r="A162" s="9">
        <f t="shared" si="5"/>
        <v>161</v>
      </c>
      <c r="B162" s="9">
        <f t="array" ref="B162">IF(C162="",0,IF(OR(C162=Country_Comparison!$S$10:$S$29),1,0))</f>
        <v>0</v>
      </c>
      <c r="C162" s="9" t="str">
        <f t="shared" si="12"/>
        <v/>
      </c>
      <c r="D162" s="6">
        <f t="shared" si="13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14"/>
        <v>0</v>
      </c>
    </row>
    <row r="163" spans="1:7" x14ac:dyDescent="0.25">
      <c r="A163" s="9">
        <f t="shared" si="5"/>
        <v>162</v>
      </c>
      <c r="B163" s="9">
        <f t="array" ref="B163">IF(C163="",0,IF(OR(C163=Country_Comparison!$S$10:$S$29),1,0))</f>
        <v>0</v>
      </c>
      <c r="C163" s="9" t="str">
        <f t="shared" si="12"/>
        <v/>
      </c>
      <c r="D163" s="6">
        <f t="shared" si="13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14"/>
        <v>0</v>
      </c>
    </row>
    <row r="164" spans="1:7" x14ac:dyDescent="0.25">
      <c r="A164" s="9">
        <f t="shared" si="5"/>
        <v>163</v>
      </c>
      <c r="B164" s="9">
        <f t="array" ref="B164">IF(C164="",0,IF(OR(C164=Country_Comparison!$S$10:$S$29),1,0))</f>
        <v>0</v>
      </c>
      <c r="C164" s="9" t="str">
        <f t="shared" si="12"/>
        <v/>
      </c>
      <c r="D164" s="6">
        <f t="shared" si="13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14"/>
        <v>0</v>
      </c>
    </row>
    <row r="165" spans="1:7" x14ac:dyDescent="0.25">
      <c r="A165" s="9">
        <f t="shared" si="5"/>
        <v>164</v>
      </c>
      <c r="B165" s="9">
        <f t="array" ref="B165">IF(C165="",0,IF(OR(C165=Country_Comparison!$S$10:$S$29),1,0))</f>
        <v>0</v>
      </c>
      <c r="C165" s="9" t="str">
        <f t="shared" si="12"/>
        <v/>
      </c>
      <c r="D165" s="6">
        <f t="shared" si="13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14"/>
        <v>0</v>
      </c>
    </row>
    <row r="166" spans="1:7" x14ac:dyDescent="0.25">
      <c r="A166" s="9">
        <f t="shared" si="5"/>
        <v>165</v>
      </c>
      <c r="B166" s="9">
        <f t="array" ref="B166">IF(C166="",0,IF(OR(C166=Country_Comparison!$S$10:$S$29),1,0))</f>
        <v>0</v>
      </c>
      <c r="C166" s="9" t="str">
        <f t="shared" si="12"/>
        <v/>
      </c>
      <c r="D166" s="6">
        <f t="shared" si="13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14"/>
        <v>0</v>
      </c>
    </row>
    <row r="167" spans="1:7" x14ac:dyDescent="0.25">
      <c r="A167" s="9">
        <f t="shared" si="5"/>
        <v>166</v>
      </c>
      <c r="B167" s="9">
        <f t="array" ref="B167">IF(C167="",0,IF(OR(C167=Country_Comparison!$S$10:$S$29),1,0))</f>
        <v>0</v>
      </c>
      <c r="C167" s="9" t="str">
        <f t="shared" si="12"/>
        <v/>
      </c>
      <c r="D167" s="6">
        <f t="shared" si="13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14"/>
        <v>0</v>
      </c>
    </row>
    <row r="168" spans="1:7" x14ac:dyDescent="0.25">
      <c r="A168" s="9">
        <f t="shared" si="5"/>
        <v>167</v>
      </c>
      <c r="B168" s="9">
        <f t="array" ref="B168">IF(C168="",0,IF(OR(C168=Country_Comparison!$S$10:$S$29),1,0))</f>
        <v>0</v>
      </c>
      <c r="C168" s="9" t="str">
        <f t="shared" si="12"/>
        <v/>
      </c>
      <c r="D168" s="6">
        <f t="shared" si="13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14"/>
        <v>0</v>
      </c>
    </row>
    <row r="169" spans="1:7" x14ac:dyDescent="0.25">
      <c r="A169" s="9">
        <f t="shared" si="5"/>
        <v>168</v>
      </c>
      <c r="B169" s="9">
        <f t="array" ref="B169">IF(C169="",0,IF(OR(C169=Country_Comparison!$S$10:$S$29),1,0))</f>
        <v>0</v>
      </c>
      <c r="C169" s="9" t="str">
        <f t="shared" si="12"/>
        <v/>
      </c>
      <c r="D169" s="6">
        <f t="shared" si="13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14"/>
        <v>0</v>
      </c>
    </row>
    <row r="170" spans="1:7" x14ac:dyDescent="0.25">
      <c r="A170" s="9">
        <f t="shared" si="5"/>
        <v>169</v>
      </c>
      <c r="B170" s="9">
        <f t="array" ref="B170">IF(C170="",0,IF(OR(C170=Country_Comparison!$S$10:$S$29),1,0))</f>
        <v>0</v>
      </c>
      <c r="C170" s="9" t="str">
        <f t="shared" si="12"/>
        <v/>
      </c>
      <c r="D170" s="6">
        <f t="shared" si="13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14"/>
        <v>0</v>
      </c>
    </row>
    <row r="171" spans="1:7" x14ac:dyDescent="0.25">
      <c r="A171" s="9">
        <f t="shared" si="5"/>
        <v>170</v>
      </c>
      <c r="B171" s="9">
        <f t="array" ref="B171">IF(C171="",0,IF(OR(C171=Country_Comparison!$S$10:$S$29),1,0))</f>
        <v>0</v>
      </c>
      <c r="C171" s="9" t="str">
        <f t="shared" si="12"/>
        <v/>
      </c>
      <c r="D171" s="6">
        <f t="shared" si="13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14"/>
        <v>0</v>
      </c>
    </row>
    <row r="172" spans="1:7" x14ac:dyDescent="0.25">
      <c r="A172" s="9">
        <f t="shared" si="5"/>
        <v>171</v>
      </c>
      <c r="B172" s="9">
        <f t="array" ref="B172">IF(C172="",0,IF(OR(C172=Country_Comparison!$S$10:$S$29),1,0))</f>
        <v>0</v>
      </c>
      <c r="C172" s="9" t="str">
        <f t="shared" si="12"/>
        <v/>
      </c>
      <c r="D172" s="6">
        <f t="shared" si="13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14"/>
        <v>0</v>
      </c>
    </row>
    <row r="173" spans="1:7" x14ac:dyDescent="0.25">
      <c r="A173" s="9">
        <f t="shared" si="5"/>
        <v>172</v>
      </c>
      <c r="B173" s="9">
        <f t="array" ref="B173">IF(C173="",0,IF(OR(C173=Country_Comparison!$S$10:$S$29),1,0))</f>
        <v>0</v>
      </c>
      <c r="C173" s="9" t="str">
        <f t="shared" si="12"/>
        <v/>
      </c>
      <c r="D173" s="6">
        <f t="shared" si="13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14"/>
        <v>0</v>
      </c>
    </row>
    <row r="174" spans="1:7" x14ac:dyDescent="0.25">
      <c r="A174" s="9">
        <f t="shared" si="5"/>
        <v>173</v>
      </c>
      <c r="B174" s="9">
        <f t="array" ref="B174">IF(C174="",0,IF(OR(C174=Country_Comparison!$S$10:$S$29),1,0))</f>
        <v>0</v>
      </c>
      <c r="C174" s="9" t="str">
        <f t="shared" si="12"/>
        <v/>
      </c>
      <c r="D174" s="6">
        <f t="shared" si="13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14"/>
        <v>0</v>
      </c>
    </row>
    <row r="175" spans="1:7" x14ac:dyDescent="0.25">
      <c r="A175" s="9">
        <f t="shared" si="5"/>
        <v>174</v>
      </c>
      <c r="B175" s="9">
        <f t="array" ref="B175">IF(C175="",0,IF(OR(C175=Country_Comparison!$S$10:$S$29),1,0))</f>
        <v>0</v>
      </c>
      <c r="C175" s="9" t="str">
        <f t="shared" si="12"/>
        <v/>
      </c>
      <c r="D175" s="6">
        <f t="shared" si="13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14"/>
        <v>0</v>
      </c>
    </row>
    <row r="176" spans="1:7" x14ac:dyDescent="0.25">
      <c r="A176" s="9">
        <f t="shared" si="5"/>
        <v>175</v>
      </c>
      <c r="B176" s="9">
        <f t="array" ref="B176">IF(C176="",0,IF(OR(C176=Country_Comparison!$S$10:$S$29),1,0))</f>
        <v>0</v>
      </c>
      <c r="C176" s="9" t="str">
        <f t="shared" si="12"/>
        <v/>
      </c>
      <c r="D176" s="6">
        <f t="shared" si="13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14"/>
        <v>0</v>
      </c>
    </row>
    <row r="177" spans="1:7" x14ac:dyDescent="0.25">
      <c r="A177" s="9">
        <f t="shared" si="5"/>
        <v>176</v>
      </c>
      <c r="B177" s="9">
        <f t="array" ref="B177">IF(C177="",0,IF(OR(C177=Country_Comparison!$S$10:$S$29),1,0))</f>
        <v>0</v>
      </c>
      <c r="C177" s="9" t="str">
        <f t="shared" si="12"/>
        <v/>
      </c>
      <c r="D177" s="6">
        <f t="shared" si="13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14"/>
        <v>0</v>
      </c>
    </row>
    <row r="178" spans="1:7" x14ac:dyDescent="0.25">
      <c r="A178" s="9">
        <f t="shared" si="5"/>
        <v>177</v>
      </c>
      <c r="B178" s="9">
        <f t="array" ref="B178">IF(C178="",0,IF(OR(C178=Country_Comparison!$S$10:$S$29),1,0))</f>
        <v>0</v>
      </c>
      <c r="C178" s="9" t="str">
        <f t="shared" si="12"/>
        <v/>
      </c>
      <c r="D178" s="6">
        <f t="shared" si="13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14"/>
        <v>0</v>
      </c>
    </row>
    <row r="179" spans="1:7" x14ac:dyDescent="0.25">
      <c r="A179" s="9">
        <f t="shared" si="5"/>
        <v>178</v>
      </c>
      <c r="B179" s="9">
        <f t="array" ref="B179">IF(C179="",0,IF(OR(C179=Country_Comparison!$S$10:$S$29),1,0))</f>
        <v>0</v>
      </c>
      <c r="C179" s="9" t="str">
        <f t="shared" si="12"/>
        <v/>
      </c>
      <c r="D179" s="6">
        <f t="shared" si="13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14"/>
        <v>0</v>
      </c>
    </row>
    <row r="180" spans="1:7" x14ac:dyDescent="0.25">
      <c r="A180" s="9">
        <f t="shared" si="5"/>
        <v>179</v>
      </c>
      <c r="B180" s="9">
        <f t="array" ref="B180">IF(C180="",0,IF(OR(C180=Country_Comparison!$S$10:$S$29),1,0))</f>
        <v>0</v>
      </c>
      <c r="C180" s="9" t="str">
        <f t="shared" si="12"/>
        <v/>
      </c>
      <c r="D180" s="6">
        <f t="shared" si="13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14"/>
        <v>0</v>
      </c>
    </row>
    <row r="181" spans="1:7" x14ac:dyDescent="0.25">
      <c r="A181" s="9">
        <f t="shared" si="5"/>
        <v>180</v>
      </c>
      <c r="B181" s="9">
        <f t="array" ref="B181">IF(C181="",0,IF(OR(C181=Country_Comparison!$S$10:$S$29),1,0))</f>
        <v>0</v>
      </c>
      <c r="C181" s="9" t="str">
        <f t="shared" si="12"/>
        <v/>
      </c>
      <c r="D181" s="6">
        <f t="shared" si="13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14"/>
        <v>0</v>
      </c>
    </row>
    <row r="182" spans="1:7" x14ac:dyDescent="0.25">
      <c r="A182" s="9">
        <f t="shared" si="5"/>
        <v>181</v>
      </c>
      <c r="B182" s="9">
        <f t="array" ref="B182">IF(C182="",0,IF(OR(C182=Country_Comparison!$S$10:$S$29),1,0))</f>
        <v>0</v>
      </c>
      <c r="C182" s="9" t="str">
        <f t="shared" si="12"/>
        <v/>
      </c>
      <c r="D182" s="6">
        <f t="shared" si="13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14"/>
        <v>0</v>
      </c>
    </row>
    <row r="183" spans="1:7" x14ac:dyDescent="0.25">
      <c r="A183" s="9">
        <f t="shared" si="5"/>
        <v>182</v>
      </c>
      <c r="B183" s="9">
        <f t="array" ref="B183">IF(C183="",0,IF(OR(C183=Country_Comparison!$S$10:$S$29),1,0))</f>
        <v>0</v>
      </c>
      <c r="C183" s="9" t="str">
        <f t="shared" si="12"/>
        <v/>
      </c>
      <c r="D183" s="6">
        <f t="shared" si="13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14"/>
        <v>0</v>
      </c>
    </row>
    <row r="184" spans="1:7" x14ac:dyDescent="0.25">
      <c r="A184" s="9">
        <f t="shared" si="5"/>
        <v>183</v>
      </c>
      <c r="B184" s="9">
        <f t="array" ref="B184">IF(C184="",0,IF(OR(C184=Country_Comparison!$S$10:$S$29),1,0))</f>
        <v>0</v>
      </c>
      <c r="C184" s="9" t="str">
        <f t="shared" si="12"/>
        <v/>
      </c>
      <c r="D184" s="6">
        <f t="shared" si="13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14"/>
        <v>0</v>
      </c>
    </row>
    <row r="185" spans="1:7" x14ac:dyDescent="0.25">
      <c r="A185" s="9">
        <f t="shared" si="5"/>
        <v>184</v>
      </c>
      <c r="B185" s="9">
        <f t="array" ref="B185">IF(C185="",0,IF(OR(C185=Country_Comparison!$S$10:$S$29),1,0))</f>
        <v>0</v>
      </c>
      <c r="C185" s="9" t="str">
        <f t="shared" si="12"/>
        <v/>
      </c>
      <c r="D185" s="6">
        <f t="shared" si="13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14"/>
        <v>0</v>
      </c>
    </row>
    <row r="186" spans="1:7" x14ac:dyDescent="0.25">
      <c r="A186" s="9">
        <f t="shared" si="5"/>
        <v>185</v>
      </c>
      <c r="B186" s="9">
        <f t="array" ref="B186">IF(C186="",0,IF(OR(C186=Country_Comparison!$S$10:$S$29),1,0))</f>
        <v>0</v>
      </c>
      <c r="C186" s="9" t="str">
        <f t="shared" si="12"/>
        <v/>
      </c>
      <c r="D186" s="6">
        <f t="shared" si="13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14"/>
        <v>0</v>
      </c>
    </row>
    <row r="187" spans="1:7" x14ac:dyDescent="0.25">
      <c r="A187" s="9">
        <f t="shared" si="5"/>
        <v>186</v>
      </c>
      <c r="B187" s="9">
        <f t="array" ref="B187">IF(C187="",0,IF(OR(C187=Country_Comparison!$S$10:$S$29),1,0))</f>
        <v>0</v>
      </c>
      <c r="C187" s="9" t="str">
        <f t="shared" si="12"/>
        <v/>
      </c>
      <c r="D187" s="6">
        <f t="shared" si="13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14"/>
        <v>0</v>
      </c>
    </row>
    <row r="188" spans="1:7" x14ac:dyDescent="0.25">
      <c r="A188" s="9">
        <f t="shared" si="5"/>
        <v>187</v>
      </c>
      <c r="B188" s="9">
        <f t="array" ref="B188">IF(C188="",0,IF(OR(C188=Country_Comparison!$S$10:$S$29),1,0))</f>
        <v>0</v>
      </c>
      <c r="C188" s="9" t="str">
        <f t="shared" si="12"/>
        <v/>
      </c>
      <c r="D188" s="6">
        <f t="shared" si="13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14"/>
        <v>0</v>
      </c>
    </row>
    <row r="189" spans="1:7" x14ac:dyDescent="0.25">
      <c r="A189" s="9">
        <f t="shared" si="5"/>
        <v>188</v>
      </c>
      <c r="B189" s="9">
        <f t="array" ref="B189">IF(C189="",0,IF(OR(C189=Country_Comparison!$S$10:$S$29),1,0))</f>
        <v>0</v>
      </c>
      <c r="C189" s="9" t="str">
        <f t="shared" si="12"/>
        <v/>
      </c>
      <c r="D189" s="6">
        <f t="shared" si="13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14"/>
        <v>0</v>
      </c>
    </row>
    <row r="190" spans="1:7" x14ac:dyDescent="0.25">
      <c r="A190" s="9">
        <f t="shared" si="5"/>
        <v>189</v>
      </c>
      <c r="B190" s="9">
        <f t="array" ref="B190">IF(C190="",0,IF(OR(C190=Country_Comparison!$S$10:$S$29),1,0))</f>
        <v>0</v>
      </c>
      <c r="C190" s="9" t="str">
        <f t="shared" si="12"/>
        <v/>
      </c>
      <c r="D190" s="6">
        <f t="shared" si="13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14"/>
        <v>0</v>
      </c>
    </row>
    <row r="191" spans="1:7" x14ac:dyDescent="0.25">
      <c r="A191" s="9">
        <f t="shared" si="5"/>
        <v>190</v>
      </c>
      <c r="B191" s="9">
        <f t="array" ref="B191">IF(C191="",0,IF(OR(C191=Country_Comparison!$S$10:$S$29),1,0))</f>
        <v>0</v>
      </c>
      <c r="C191" s="9" t="str">
        <f t="shared" si="12"/>
        <v/>
      </c>
      <c r="D191" s="6">
        <f t="shared" si="13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14"/>
        <v>0</v>
      </c>
    </row>
    <row r="192" spans="1:7" x14ac:dyDescent="0.25">
      <c r="A192" s="9">
        <f t="shared" si="5"/>
        <v>191</v>
      </c>
      <c r="B192" s="9">
        <f t="array" ref="B192">IF(C192="",0,IF(OR(C192=Country_Comparison!$S$10:$S$29),1,0))</f>
        <v>0</v>
      </c>
      <c r="C192" s="9" t="str">
        <f t="shared" si="12"/>
        <v/>
      </c>
      <c r="D192" s="6">
        <f t="shared" si="13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14"/>
        <v>0</v>
      </c>
    </row>
    <row r="193" spans="1:7" x14ac:dyDescent="0.25">
      <c r="A193" s="9">
        <f t="shared" si="5"/>
        <v>192</v>
      </c>
      <c r="B193" s="9">
        <f t="array" ref="B193">IF(C193="",0,IF(OR(C193=Country_Comparison!$S$10:$S$29),1,0))</f>
        <v>0</v>
      </c>
      <c r="C193" s="9" t="str">
        <f t="shared" si="12"/>
        <v/>
      </c>
      <c r="D193" s="6">
        <f t="shared" si="13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14"/>
        <v>0</v>
      </c>
    </row>
    <row r="194" spans="1:7" x14ac:dyDescent="0.25">
      <c r="A194" s="9">
        <f t="shared" si="5"/>
        <v>193</v>
      </c>
      <c r="B194" s="9">
        <f t="array" ref="B194">IF(C194="",0,IF(OR(C194=Country_Comparison!$S$10:$S$29),1,0))</f>
        <v>0</v>
      </c>
      <c r="C194" s="9" t="str">
        <f t="shared" si="12"/>
        <v/>
      </c>
      <c r="D194" s="6">
        <f t="shared" si="13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14"/>
        <v>0</v>
      </c>
    </row>
    <row r="195" spans="1:7" x14ac:dyDescent="0.25">
      <c r="A195" s="9">
        <f t="shared" si="5"/>
        <v>194</v>
      </c>
      <c r="B195" s="9">
        <f t="array" ref="B195">IF(C195="",0,IF(OR(C195=Country_Comparison!$S$10:$S$29),1,0))</f>
        <v>0</v>
      </c>
      <c r="C195" s="9" t="str">
        <f t="shared" si="12"/>
        <v/>
      </c>
      <c r="D195" s="6">
        <f t="shared" si="13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14"/>
        <v>0</v>
      </c>
    </row>
    <row r="196" spans="1:7" x14ac:dyDescent="0.25">
      <c r="A196" s="9">
        <f t="shared" si="5"/>
        <v>195</v>
      </c>
      <c r="B196" s="9">
        <f t="array" ref="B196">IF(C196="",0,IF(OR(C196=Country_Comparison!$S$10:$S$29),1,0))</f>
        <v>0</v>
      </c>
      <c r="C196" s="9" t="str">
        <f t="shared" si="12"/>
        <v/>
      </c>
      <c r="D196" s="6">
        <f t="shared" si="13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14"/>
        <v>0</v>
      </c>
    </row>
    <row r="197" spans="1:7" x14ac:dyDescent="0.25">
      <c r="A197" s="9">
        <f t="shared" si="5"/>
        <v>196</v>
      </c>
      <c r="B197" s="9">
        <f t="array" ref="B197">IF(C197="",0,IF(OR(C197=Country_Comparison!$S$10:$S$29),1,0))</f>
        <v>0</v>
      </c>
      <c r="C197" s="9" t="str">
        <f t="shared" si="12"/>
        <v/>
      </c>
      <c r="D197" s="6">
        <f t="shared" si="13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14"/>
        <v>0</v>
      </c>
    </row>
    <row r="198" spans="1:7" x14ac:dyDescent="0.25">
      <c r="A198" s="9">
        <f t="shared" si="5"/>
        <v>197</v>
      </c>
      <c r="B198" s="9">
        <f t="array" ref="B198">IF(C198="",0,IF(OR(C198=Country_Comparison!$S$10:$S$29),1,0))</f>
        <v>0</v>
      </c>
      <c r="C198" s="9" t="str">
        <f t="shared" ref="C198:C200" si="15">IF(H198="","",H198)</f>
        <v/>
      </c>
      <c r="D198" s="6">
        <f t="shared" ref="D198:D200" si="16"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17">IF(COUNTIF(I198:XFD198,"&gt;"&amp;0)=0,,(E198/F198)^(1/MIN(COUNTIF(I198:XFD198,"&gt;"&amp;0)-1,$F$1)))</f>
        <v>0</v>
      </c>
    </row>
    <row r="199" spans="1:7" x14ac:dyDescent="0.25">
      <c r="A199" s="9">
        <f t="shared" si="5"/>
        <v>198</v>
      </c>
      <c r="B199" s="9">
        <f t="array" ref="B199">IF(C199="",0,IF(OR(C199=Country_Comparison!$S$10:$S$29),1,0))</f>
        <v>0</v>
      </c>
      <c r="C199" s="9" t="str">
        <f t="shared" si="15"/>
        <v/>
      </c>
      <c r="D199" s="6">
        <f t="shared" si="16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17"/>
        <v>0</v>
      </c>
    </row>
    <row r="200" spans="1:7" x14ac:dyDescent="0.25">
      <c r="A200" s="9">
        <f t="shared" si="5"/>
        <v>199</v>
      </c>
      <c r="B200" s="9">
        <f t="array" ref="B200">IF(C200="",0,IF(OR(C200=Country_Comparison!$S$10:$S$29),1,0))</f>
        <v>0</v>
      </c>
      <c r="C200" s="9" t="str">
        <f t="shared" si="15"/>
        <v/>
      </c>
      <c r="D200" s="6">
        <f t="shared" si="16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17"/>
        <v>0</v>
      </c>
    </row>
  </sheetData>
  <autoFilter ref="B1:CU1" xr:uid="{A13DDBA3-FED6-4D82-BBD5-9B71C68B67F1}">
    <sortState xmlns:xlrd2="http://schemas.microsoft.com/office/spreadsheetml/2017/richdata2" ref="B2:CU141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0095D-2E11-49F9-8D39-29784EA4B79C}">
  <sheetPr codeName="Sheet13"/>
  <dimension ref="A1:KU200"/>
  <sheetViews>
    <sheetView workbookViewId="0">
      <selection activeCell="I5" sqref="I5:L5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 t="shared" ref="D2" si="5">MAX(I2:CL2)</f>
        <v>95643225032.107452</v>
      </c>
      <c r="E2" s="6">
        <f>IF(COUNTIF(I2:XFD2,"&gt;"&amp;0)=0,,HLOOKUP(COUNTIF(I2:XFD2,"&gt;"&amp;0)-1,I$1:XFD2,A2+1,FALSE))</f>
        <v>95643225032.107452</v>
      </c>
      <c r="F2" s="7">
        <f>IF(COUNTIF(I2:XFD2,"&gt;"&amp;0)=0,,HLOOKUP(COUNTIF(I2:XFD2,"&gt;"&amp;0)-MIN($F$1+1,COUNTIF(I2:XFD2,"&gt;"&amp;0)),I$1:XFD2,A2+1,FALSE))</f>
        <v>12594992596.820734</v>
      </c>
      <c r="G2" s="8">
        <f>IF(COUNTIF(I2:XFD2,"&gt;"&amp;0)=0,,(E2/F2)^(1/MIN(COUNTIF(I2:XFD2,"&gt;"&amp;0)-1,$F$1)))</f>
        <v>1.5</v>
      </c>
      <c r="H2" s="15" t="s">
        <v>430</v>
      </c>
      <c r="I2" s="9">
        <v>100</v>
      </c>
      <c r="J2" s="10">
        <f t="shared" ref="J2:BH2" si="6">I2*1.5</f>
        <v>150</v>
      </c>
      <c r="K2" s="10">
        <f t="shared" si="6"/>
        <v>225</v>
      </c>
      <c r="L2" s="10">
        <f t="shared" si="6"/>
        <v>337.5</v>
      </c>
      <c r="M2" s="10">
        <f t="shared" si="6"/>
        <v>506.25</v>
      </c>
      <c r="N2" s="10">
        <f t="shared" si="6"/>
        <v>759.375</v>
      </c>
      <c r="O2" s="10">
        <f t="shared" si="6"/>
        <v>1139.0625</v>
      </c>
      <c r="P2" s="10">
        <f t="shared" si="6"/>
        <v>1708.59375</v>
      </c>
      <c r="Q2" s="10">
        <f t="shared" si="6"/>
        <v>2562.890625</v>
      </c>
      <c r="R2" s="10">
        <f t="shared" si="6"/>
        <v>3844.3359375</v>
      </c>
      <c r="S2" s="10">
        <f t="shared" si="6"/>
        <v>5766.50390625</v>
      </c>
      <c r="T2" s="10">
        <f t="shared" si="6"/>
        <v>8649.755859375</v>
      </c>
      <c r="U2" s="10">
        <f t="shared" si="6"/>
        <v>12974.6337890625</v>
      </c>
      <c r="V2" s="10">
        <f t="shared" si="6"/>
        <v>19461.95068359375</v>
      </c>
      <c r="W2" s="10">
        <f t="shared" si="6"/>
        <v>29192.926025390625</v>
      </c>
      <c r="X2" s="10">
        <f t="shared" si="6"/>
        <v>43789.389038085938</v>
      </c>
      <c r="Y2" s="10">
        <f t="shared" si="6"/>
        <v>65684.083557128906</v>
      </c>
      <c r="Z2" s="10">
        <f t="shared" si="6"/>
        <v>98526.125335693359</v>
      </c>
      <c r="AA2" s="10">
        <f t="shared" si="6"/>
        <v>147789.18800354004</v>
      </c>
      <c r="AB2" s="10">
        <f t="shared" si="6"/>
        <v>221683.78200531006</v>
      </c>
      <c r="AC2" s="10">
        <f t="shared" si="6"/>
        <v>332525.67300796509</v>
      </c>
      <c r="AD2" s="10">
        <f t="shared" si="6"/>
        <v>498788.50951194763</v>
      </c>
      <c r="AE2" s="10">
        <f t="shared" si="6"/>
        <v>748182.76426792145</v>
      </c>
      <c r="AF2" s="10">
        <f t="shared" si="6"/>
        <v>1122274.1464018822</v>
      </c>
      <c r="AG2" s="10">
        <f t="shared" si="6"/>
        <v>1683411.2196028233</v>
      </c>
      <c r="AH2" s="10">
        <f t="shared" si="6"/>
        <v>2525116.8294042349</v>
      </c>
      <c r="AI2" s="10">
        <f t="shared" si="6"/>
        <v>3787675.2441063523</v>
      </c>
      <c r="AJ2" s="10">
        <f t="shared" si="6"/>
        <v>5681512.8661595285</v>
      </c>
      <c r="AK2" s="10">
        <f t="shared" si="6"/>
        <v>8522269.2992392927</v>
      </c>
      <c r="AL2" s="10">
        <f t="shared" si="6"/>
        <v>12783403.948858939</v>
      </c>
      <c r="AM2" s="10">
        <f t="shared" si="6"/>
        <v>19175105.923288409</v>
      </c>
      <c r="AN2" s="10">
        <f t="shared" si="6"/>
        <v>28762658.884932615</v>
      </c>
      <c r="AO2" s="10">
        <f t="shared" si="6"/>
        <v>43143988.327398926</v>
      </c>
      <c r="AP2" s="10">
        <f t="shared" si="6"/>
        <v>64715982.491098389</v>
      </c>
      <c r="AQ2" s="10">
        <f t="shared" si="6"/>
        <v>97073973.736647576</v>
      </c>
      <c r="AR2" s="10">
        <f t="shared" si="6"/>
        <v>145610960.60497135</v>
      </c>
      <c r="AS2" s="10">
        <f t="shared" si="6"/>
        <v>218416440.90745702</v>
      </c>
      <c r="AT2" s="10">
        <f t="shared" si="6"/>
        <v>327624661.36118555</v>
      </c>
      <c r="AU2" s="10">
        <f t="shared" si="6"/>
        <v>491436992.04177833</v>
      </c>
      <c r="AV2" s="10">
        <f t="shared" si="6"/>
        <v>737155488.06266749</v>
      </c>
      <c r="AW2" s="10">
        <f t="shared" si="6"/>
        <v>1105733232.0940013</v>
      </c>
      <c r="AX2" s="10">
        <f t="shared" si="6"/>
        <v>1658599848.1410019</v>
      </c>
      <c r="AY2" s="10">
        <f t="shared" si="6"/>
        <v>2487899772.211503</v>
      </c>
      <c r="AZ2" s="10">
        <f t="shared" si="6"/>
        <v>3731849658.3172545</v>
      </c>
      <c r="BA2" s="10">
        <f t="shared" si="6"/>
        <v>5597774487.4758816</v>
      </c>
      <c r="BB2" s="10">
        <f t="shared" si="6"/>
        <v>8396661731.2138224</v>
      </c>
      <c r="BC2" s="10">
        <f t="shared" si="6"/>
        <v>12594992596.820734</v>
      </c>
      <c r="BD2" s="10">
        <f t="shared" si="6"/>
        <v>18892488895.231102</v>
      </c>
      <c r="BE2" s="10">
        <f t="shared" si="6"/>
        <v>28338733342.846653</v>
      </c>
      <c r="BF2" s="10">
        <f t="shared" si="6"/>
        <v>42508100014.269981</v>
      </c>
      <c r="BG2" s="10">
        <f t="shared" si="6"/>
        <v>63762150021.404968</v>
      </c>
      <c r="BH2" s="10">
        <f t="shared" si="6"/>
        <v>95643225032.107452</v>
      </c>
    </row>
    <row r="3" spans="1:307" x14ac:dyDescent="0.25">
      <c r="A3" s="9">
        <f t="shared" ref="A3:A200" si="7">A2+1</f>
        <v>2</v>
      </c>
      <c r="B3" s="9">
        <v>1</v>
      </c>
      <c r="C3" s="9" t="str">
        <f>H3</f>
        <v>40% Daily Increase</v>
      </c>
      <c r="D3" s="6">
        <f t="shared" ref="D3:D5" si="8">MAX(I3:CL3)</f>
        <v>2834848273.5670052</v>
      </c>
      <c r="E3" s="6">
        <f>IF(COUNTIF(I3:XFD3,"&gt;"&amp;0)=0,,HLOOKUP(COUNTIF(I3:XFD3,"&gt;"&amp;0)-1,I$1:XFD3,A3+1,FALSE))</f>
        <v>2834848273.5670052</v>
      </c>
      <c r="F3" s="7">
        <f>IF(COUNTIF(I3:XFD3,"&gt;"&amp;0)=0,,HLOOKUP(COUNTIF(I3:XFD3,"&gt;"&amp;0)-MIN($F$1+1,COUNTIF(I3:XFD3,"&gt;"&amp;0)),I$1:XFD3,A3+1,FALSE))</f>
        <v>527095903.78395271</v>
      </c>
      <c r="G3" s="8">
        <f t="shared" ref="G3:G5" si="9">IF(COUNTIF(I3:XFD3,"&gt;"&amp;0)=0,,(E3/F3)^(1/MIN(COUNTIF(I3:XFD3,"&gt;"&amp;0)-1,$F$1)))</f>
        <v>1.4000000000000001</v>
      </c>
      <c r="H3" s="15" t="s">
        <v>431</v>
      </c>
      <c r="I3" s="9">
        <v>100</v>
      </c>
      <c r="J3" s="10">
        <f t="shared" ref="J3:BH3" si="10">I3*1.4</f>
        <v>140</v>
      </c>
      <c r="K3" s="10">
        <f t="shared" si="10"/>
        <v>196</v>
      </c>
      <c r="L3" s="10">
        <f t="shared" si="10"/>
        <v>274.39999999999998</v>
      </c>
      <c r="M3" s="10">
        <f t="shared" si="10"/>
        <v>384.15999999999997</v>
      </c>
      <c r="N3" s="10">
        <f t="shared" si="10"/>
        <v>537.82399999999996</v>
      </c>
      <c r="O3" s="10">
        <f t="shared" si="10"/>
        <v>752.95359999999994</v>
      </c>
      <c r="P3" s="10">
        <f t="shared" si="10"/>
        <v>1054.1350399999999</v>
      </c>
      <c r="Q3" s="10">
        <f t="shared" si="10"/>
        <v>1475.7890559999998</v>
      </c>
      <c r="R3" s="10">
        <f t="shared" si="10"/>
        <v>2066.1046783999996</v>
      </c>
      <c r="S3" s="10">
        <f t="shared" si="10"/>
        <v>2892.5465497599994</v>
      </c>
      <c r="T3" s="10">
        <f t="shared" si="10"/>
        <v>4049.5651696639989</v>
      </c>
      <c r="U3" s="10">
        <f t="shared" si="10"/>
        <v>5669.3912375295977</v>
      </c>
      <c r="V3" s="10">
        <f t="shared" si="10"/>
        <v>7937.1477325414362</v>
      </c>
      <c r="W3" s="10">
        <f t="shared" si="10"/>
        <v>11112.00682555801</v>
      </c>
      <c r="X3" s="10">
        <f t="shared" si="10"/>
        <v>15556.809555781212</v>
      </c>
      <c r="Y3" s="10">
        <f t="shared" si="10"/>
        <v>21779.533378093696</v>
      </c>
      <c r="Z3" s="10">
        <f t="shared" si="10"/>
        <v>30491.346729331173</v>
      </c>
      <c r="AA3" s="10">
        <f t="shared" si="10"/>
        <v>42687.885421063642</v>
      </c>
      <c r="AB3" s="10">
        <f t="shared" si="10"/>
        <v>59763.039589489097</v>
      </c>
      <c r="AC3" s="10">
        <f t="shared" si="10"/>
        <v>83668.255425284733</v>
      </c>
      <c r="AD3" s="10">
        <f t="shared" si="10"/>
        <v>117135.55759539861</v>
      </c>
      <c r="AE3" s="10">
        <f t="shared" si="10"/>
        <v>163989.78063355805</v>
      </c>
      <c r="AF3" s="10">
        <f t="shared" si="10"/>
        <v>229585.69288698127</v>
      </c>
      <c r="AG3" s="10">
        <f t="shared" si="10"/>
        <v>321419.97004177375</v>
      </c>
      <c r="AH3" s="10">
        <f t="shared" si="10"/>
        <v>449987.9580584832</v>
      </c>
      <c r="AI3" s="10">
        <f t="shared" si="10"/>
        <v>629983.14128187648</v>
      </c>
      <c r="AJ3" s="10">
        <f t="shared" si="10"/>
        <v>881976.397794627</v>
      </c>
      <c r="AK3" s="10">
        <f t="shared" si="10"/>
        <v>1234766.9569124777</v>
      </c>
      <c r="AL3" s="10">
        <f t="shared" si="10"/>
        <v>1728673.7396774688</v>
      </c>
      <c r="AM3" s="10">
        <f t="shared" si="10"/>
        <v>2420143.2355484562</v>
      </c>
      <c r="AN3" s="10">
        <f t="shared" si="10"/>
        <v>3388200.5297678383</v>
      </c>
      <c r="AO3" s="10">
        <f t="shared" si="10"/>
        <v>4743480.7416749736</v>
      </c>
      <c r="AP3" s="10">
        <f t="shared" si="10"/>
        <v>6640873.0383449625</v>
      </c>
      <c r="AQ3" s="10">
        <f t="shared" si="10"/>
        <v>9297222.2536829468</v>
      </c>
      <c r="AR3" s="10">
        <f t="shared" si="10"/>
        <v>13016111.155156124</v>
      </c>
      <c r="AS3" s="10">
        <f t="shared" si="10"/>
        <v>18222555.617218573</v>
      </c>
      <c r="AT3" s="10">
        <f t="shared" si="10"/>
        <v>25511577.864105999</v>
      </c>
      <c r="AU3" s="10">
        <f t="shared" si="10"/>
        <v>35716209.009748399</v>
      </c>
      <c r="AV3" s="10">
        <f t="shared" si="10"/>
        <v>50002692.613647759</v>
      </c>
      <c r="AW3" s="10">
        <f t="shared" si="10"/>
        <v>70003769.659106866</v>
      </c>
      <c r="AX3" s="10">
        <f t="shared" si="10"/>
        <v>98005277.522749603</v>
      </c>
      <c r="AY3" s="10">
        <f t="shared" si="10"/>
        <v>137207388.53184944</v>
      </c>
      <c r="AZ3" s="10">
        <f t="shared" si="10"/>
        <v>192090343.9445892</v>
      </c>
      <c r="BA3" s="10">
        <f t="shared" si="10"/>
        <v>268926481.52242488</v>
      </c>
      <c r="BB3" s="10">
        <f t="shared" si="10"/>
        <v>376497074.1313948</v>
      </c>
      <c r="BC3" s="10">
        <f t="shared" si="10"/>
        <v>527095903.78395271</v>
      </c>
      <c r="BD3" s="10">
        <f t="shared" si="10"/>
        <v>737934265.29753375</v>
      </c>
      <c r="BE3" s="10">
        <f t="shared" si="10"/>
        <v>1033107971.4165472</v>
      </c>
      <c r="BF3" s="10">
        <f t="shared" si="10"/>
        <v>1446351159.983166</v>
      </c>
      <c r="BG3" s="10">
        <f t="shared" si="10"/>
        <v>2024891623.9764323</v>
      </c>
      <c r="BH3" s="10">
        <f t="shared" si="10"/>
        <v>2834848273.5670052</v>
      </c>
    </row>
    <row r="4" spans="1:307" x14ac:dyDescent="0.25">
      <c r="A4" s="9">
        <f t="shared" si="7"/>
        <v>3</v>
      </c>
      <c r="B4" s="9">
        <v>1</v>
      </c>
      <c r="C4" s="9" t="str">
        <f>H4</f>
        <v>30% Daily Increase</v>
      </c>
      <c r="D4" s="6">
        <f t="shared" si="8"/>
        <v>64730798.98728662</v>
      </c>
      <c r="E4" s="6">
        <f>IF(COUNTIF(I4:XFD4,"&gt;"&amp;0)=0,,HLOOKUP(COUNTIF(I4:XFD4,"&gt;"&amp;0)-1,I$1:XFD4,A4+1,FALSE))</f>
        <v>64730798.98728662</v>
      </c>
      <c r="F4" s="7">
        <f>IF(COUNTIF(I4:XFD4,"&gt;"&amp;0)=0,,HLOOKUP(COUNTIF(I4:XFD4,"&gt;"&amp;0)-MIN($F$1+1,COUNTIF(I4:XFD4,"&gt;"&amp;0)),I$1:XFD4,A4+1,FALSE))</f>
        <v>17433886.172722515</v>
      </c>
      <c r="G4" s="8">
        <f t="shared" si="9"/>
        <v>1.3</v>
      </c>
      <c r="H4" s="15" t="s">
        <v>432</v>
      </c>
      <c r="I4" s="9">
        <v>100</v>
      </c>
      <c r="J4" s="10">
        <f t="shared" ref="J4:BH4" si="11">I4*1.3</f>
        <v>130</v>
      </c>
      <c r="K4" s="10">
        <f t="shared" si="11"/>
        <v>169</v>
      </c>
      <c r="L4" s="10">
        <f t="shared" si="11"/>
        <v>219.70000000000002</v>
      </c>
      <c r="M4" s="10">
        <f t="shared" si="11"/>
        <v>285.61</v>
      </c>
      <c r="N4" s="10">
        <f t="shared" si="11"/>
        <v>371.29300000000001</v>
      </c>
      <c r="O4" s="10">
        <f t="shared" si="11"/>
        <v>482.68090000000001</v>
      </c>
      <c r="P4" s="10">
        <f t="shared" si="11"/>
        <v>627.48517000000004</v>
      </c>
      <c r="Q4" s="10">
        <f t="shared" si="11"/>
        <v>815.73072100000013</v>
      </c>
      <c r="R4" s="10">
        <f t="shared" si="11"/>
        <v>1060.4499373000001</v>
      </c>
      <c r="S4" s="10">
        <f t="shared" si="11"/>
        <v>1378.5849184900003</v>
      </c>
      <c r="T4" s="10">
        <f t="shared" si="11"/>
        <v>1792.1603940370005</v>
      </c>
      <c r="U4" s="10">
        <f t="shared" si="11"/>
        <v>2329.8085122481007</v>
      </c>
      <c r="V4" s="10">
        <f t="shared" si="11"/>
        <v>3028.7510659225309</v>
      </c>
      <c r="W4" s="10">
        <f t="shared" si="11"/>
        <v>3937.37638569929</v>
      </c>
      <c r="X4" s="10">
        <f t="shared" si="11"/>
        <v>5118.5893014090771</v>
      </c>
      <c r="Y4" s="10">
        <f t="shared" si="11"/>
        <v>6654.1660918318003</v>
      </c>
      <c r="Z4" s="10">
        <f t="shared" si="11"/>
        <v>8650.4159193813412</v>
      </c>
      <c r="AA4" s="10">
        <f t="shared" si="11"/>
        <v>11245.540695195745</v>
      </c>
      <c r="AB4" s="10">
        <f t="shared" si="11"/>
        <v>14619.202903754469</v>
      </c>
      <c r="AC4" s="10">
        <f t="shared" si="11"/>
        <v>19004.963774880809</v>
      </c>
      <c r="AD4" s="10">
        <f t="shared" si="11"/>
        <v>24706.452907345054</v>
      </c>
      <c r="AE4" s="10">
        <f t="shared" si="11"/>
        <v>32118.388779548572</v>
      </c>
      <c r="AF4" s="10">
        <f t="shared" si="11"/>
        <v>41753.905413413144</v>
      </c>
      <c r="AG4" s="10">
        <f t="shared" si="11"/>
        <v>54280.077037437091</v>
      </c>
      <c r="AH4" s="10">
        <f t="shared" si="11"/>
        <v>70564.100148668222</v>
      </c>
      <c r="AI4" s="10">
        <f t="shared" si="11"/>
        <v>91733.330193268688</v>
      </c>
      <c r="AJ4" s="10">
        <f t="shared" si="11"/>
        <v>119253.32925124929</v>
      </c>
      <c r="AK4" s="10">
        <f t="shared" si="11"/>
        <v>155029.32802662408</v>
      </c>
      <c r="AL4" s="10">
        <f t="shared" si="11"/>
        <v>201538.1264346113</v>
      </c>
      <c r="AM4" s="10">
        <f t="shared" si="11"/>
        <v>261999.5643649947</v>
      </c>
      <c r="AN4" s="10">
        <f t="shared" si="11"/>
        <v>340599.43367449311</v>
      </c>
      <c r="AO4" s="10">
        <f t="shared" si="11"/>
        <v>442779.26377684105</v>
      </c>
      <c r="AP4" s="10">
        <f t="shared" si="11"/>
        <v>575613.04290989344</v>
      </c>
      <c r="AQ4" s="10">
        <f t="shared" si="11"/>
        <v>748296.95578286145</v>
      </c>
      <c r="AR4" s="10">
        <f t="shared" si="11"/>
        <v>972786.04251771991</v>
      </c>
      <c r="AS4" s="10">
        <f t="shared" si="11"/>
        <v>1264621.8552730358</v>
      </c>
      <c r="AT4" s="10">
        <f t="shared" si="11"/>
        <v>1644008.4118549465</v>
      </c>
      <c r="AU4" s="10">
        <f t="shared" si="11"/>
        <v>2137210.9354114304</v>
      </c>
      <c r="AV4" s="10">
        <f t="shared" si="11"/>
        <v>2778374.2160348599</v>
      </c>
      <c r="AW4" s="10">
        <f t="shared" si="11"/>
        <v>3611886.4808453182</v>
      </c>
      <c r="AX4" s="10">
        <f t="shared" si="11"/>
        <v>4695452.4250989137</v>
      </c>
      <c r="AY4" s="10">
        <f t="shared" si="11"/>
        <v>6104088.1526285885</v>
      </c>
      <c r="AZ4" s="10">
        <f t="shared" si="11"/>
        <v>7935314.5984171657</v>
      </c>
      <c r="BA4" s="10">
        <f t="shared" si="11"/>
        <v>10315908.977942316</v>
      </c>
      <c r="BB4" s="10">
        <f t="shared" si="11"/>
        <v>13410681.671325011</v>
      </c>
      <c r="BC4" s="10">
        <f t="shared" si="11"/>
        <v>17433886.172722515</v>
      </c>
      <c r="BD4" s="10">
        <f t="shared" si="11"/>
        <v>22664052.02453927</v>
      </c>
      <c r="BE4" s="10">
        <f t="shared" si="11"/>
        <v>29463267.631901052</v>
      </c>
      <c r="BF4" s="10">
        <f t="shared" si="11"/>
        <v>38302247.921471372</v>
      </c>
      <c r="BG4" s="10">
        <f t="shared" si="11"/>
        <v>49792922.297912784</v>
      </c>
      <c r="BH4" s="10">
        <f t="shared" si="11"/>
        <v>64730798.98728662</v>
      </c>
    </row>
    <row r="5" spans="1:307" x14ac:dyDescent="0.25">
      <c r="A5" s="9">
        <f t="shared" si="7"/>
        <v>4</v>
      </c>
      <c r="B5" s="9">
        <f t="array" ref="B5">IF(C5="",0,IF(OR(C5=Country_Comparison!$S$10:$S$29),1,0))</f>
        <v>1</v>
      </c>
      <c r="C5" s="9" t="str">
        <f t="shared" ref="C5" si="12">IF(H5="","",H5)</f>
        <v>China</v>
      </c>
      <c r="D5" s="6">
        <f t="shared" si="8"/>
        <v>58108</v>
      </c>
      <c r="E5" s="6">
        <f>IF(COUNTIF(I5:XFD5,"&gt;"&amp;0)=0,,HLOOKUP(COUNTIF(I5:XFD5,"&gt;"&amp;0)-1,I$1:XFD5,A5+1,FALSE))</f>
        <v>6731</v>
      </c>
      <c r="F5" s="7">
        <f>IF(COUNTIF(I5:XFD5,"&gt;"&amp;0)=0,,HLOOKUP(COUNTIF(I5:XFD5,"&gt;"&amp;0)-MIN($F$1+1,COUNTIF(I5:XFD5,"&gt;"&amp;0)),I$1:XFD5,A5+1,FALSE))</f>
        <v>10783</v>
      </c>
      <c r="G5" s="8">
        <f t="shared" si="9"/>
        <v>0.91005574803177858</v>
      </c>
      <c r="H5" s="15" t="s">
        <v>337</v>
      </c>
      <c r="I5" s="9">
        <v>150</v>
      </c>
      <c r="J5" s="9">
        <v>221</v>
      </c>
      <c r="K5" s="9">
        <v>311</v>
      </c>
      <c r="L5" s="9">
        <v>438</v>
      </c>
      <c r="M5" s="9">
        <v>1970</v>
      </c>
      <c r="N5" s="9">
        <v>2737</v>
      </c>
      <c r="O5" s="9">
        <v>5277</v>
      </c>
      <c r="P5" s="9">
        <v>5834</v>
      </c>
      <c r="Q5" s="9">
        <v>7835</v>
      </c>
      <c r="R5" s="9">
        <v>9375</v>
      </c>
      <c r="S5" s="9">
        <v>11357</v>
      </c>
      <c r="T5" s="9">
        <v>15806</v>
      </c>
      <c r="U5" s="9">
        <v>18677</v>
      </c>
      <c r="V5" s="9">
        <v>22373</v>
      </c>
      <c r="W5" s="9">
        <v>25762</v>
      </c>
      <c r="X5" s="9">
        <v>28477</v>
      </c>
      <c r="Y5" s="9">
        <v>31393</v>
      </c>
      <c r="Z5" s="9">
        <v>33413</v>
      </c>
      <c r="AA5" s="9">
        <v>35705</v>
      </c>
      <c r="AB5" s="9">
        <v>37424</v>
      </c>
      <c r="AC5" s="9">
        <v>38638</v>
      </c>
      <c r="AD5" s="9">
        <v>38560</v>
      </c>
      <c r="AE5" s="9">
        <v>52309</v>
      </c>
      <c r="AF5" s="9">
        <v>56860</v>
      </c>
      <c r="AG5" s="9">
        <v>57452</v>
      </c>
      <c r="AH5" s="9">
        <v>57992</v>
      </c>
      <c r="AI5" s="9">
        <v>58108</v>
      </c>
      <c r="AJ5" s="9">
        <v>58002</v>
      </c>
      <c r="AK5" s="9">
        <v>56541</v>
      </c>
      <c r="AL5" s="9">
        <v>54825</v>
      </c>
      <c r="AM5" s="9">
        <v>54608</v>
      </c>
      <c r="AN5" s="9">
        <v>51859</v>
      </c>
      <c r="AO5" s="9">
        <v>51390</v>
      </c>
      <c r="AP5" s="9">
        <v>49631</v>
      </c>
      <c r="AQ5" s="9">
        <v>47413</v>
      </c>
      <c r="AR5" s="9">
        <v>45365</v>
      </c>
      <c r="AS5" s="9">
        <v>42924</v>
      </c>
      <c r="AT5" s="9">
        <v>39809</v>
      </c>
      <c r="AU5" s="9">
        <v>37199</v>
      </c>
      <c r="AV5" s="9">
        <v>34898</v>
      </c>
      <c r="AW5" s="9">
        <v>32368</v>
      </c>
      <c r="AX5" s="9">
        <v>29864</v>
      </c>
      <c r="AY5" s="9">
        <v>27402</v>
      </c>
      <c r="AZ5" s="9">
        <v>25230</v>
      </c>
      <c r="BA5" s="9">
        <v>23702</v>
      </c>
      <c r="BB5" s="9">
        <v>22159</v>
      </c>
      <c r="BC5" s="9">
        <v>20335</v>
      </c>
      <c r="BD5" s="9">
        <v>18933</v>
      </c>
      <c r="BE5" s="9">
        <v>17567</v>
      </c>
      <c r="BF5" s="9">
        <v>16116</v>
      </c>
      <c r="BG5" s="9">
        <v>14859</v>
      </c>
      <c r="BH5" s="9">
        <v>13569</v>
      </c>
      <c r="BI5" s="9">
        <v>12124</v>
      </c>
      <c r="BJ5" s="9">
        <v>10783</v>
      </c>
      <c r="BK5" s="9">
        <v>9906</v>
      </c>
      <c r="BL5" s="9">
        <v>9030</v>
      </c>
      <c r="BM5" s="9">
        <v>8106</v>
      </c>
      <c r="BN5" s="9">
        <v>7372</v>
      </c>
      <c r="BO5" s="9">
        <v>6731</v>
      </c>
    </row>
    <row r="6" spans="1:307" x14ac:dyDescent="0.25">
      <c r="A6" s="9">
        <f t="shared" si="7"/>
        <v>5</v>
      </c>
      <c r="B6" s="9">
        <f t="array" ref="B6">IF(C6="",0,IF(OR(C6=Country_Comparison!$S$10:$S$29),1,0))</f>
        <v>1</v>
      </c>
      <c r="C6" s="9" t="str">
        <f t="shared" ref="C6:C69" si="13">IF(H6="","",H6)</f>
        <v>Italy</v>
      </c>
      <c r="D6" s="6">
        <f t="shared" ref="D6:D69" si="14">MAX(I6:CL6)</f>
        <v>38549</v>
      </c>
      <c r="E6" s="6">
        <f>IF(COUNTIF(I6:XFD6,"&gt;"&amp;0)=0,,HLOOKUP(COUNTIF(I6:XFD6,"&gt;"&amp;0)-1,I$1:XFD6,A6+1,FALSE))</f>
        <v>38549</v>
      </c>
      <c r="F6" s="7">
        <f>IF(COUNTIF(I6:XFD6,"&gt;"&amp;0)=0,,HLOOKUP(COUNTIF(I6:XFD6,"&gt;"&amp;0)-MIN($F$1+1,COUNTIF(I6:XFD6,"&gt;"&amp;0)),I$1:XFD6,A6+1,FALSE))</f>
        <v>20603</v>
      </c>
      <c r="G6" s="8">
        <f t="shared" ref="G6:G69" si="15">IF(COUNTIF(I6:XFD6,"&gt;"&amp;0)=0,,(E6/F6)^(1/MIN(COUNTIF(I6:XFD6,"&gt;"&amp;0)-1,$F$1)))</f>
        <v>1.1334869666947758</v>
      </c>
      <c r="H6" s="15" t="s">
        <v>58</v>
      </c>
      <c r="I6" s="9">
        <v>150</v>
      </c>
      <c r="J6" s="9">
        <v>221</v>
      </c>
      <c r="K6" s="9">
        <v>311</v>
      </c>
      <c r="L6" s="9">
        <v>438</v>
      </c>
      <c r="M6" s="9">
        <v>593</v>
      </c>
      <c r="N6" s="9">
        <v>821</v>
      </c>
      <c r="O6" s="9">
        <v>1053</v>
      </c>
      <c r="P6" s="9">
        <v>1577</v>
      </c>
      <c r="Q6" s="9">
        <v>1835</v>
      </c>
      <c r="R6" s="9">
        <v>2263</v>
      </c>
      <c r="S6" s="9">
        <v>2706</v>
      </c>
      <c r="T6" s="9">
        <v>3296</v>
      </c>
      <c r="U6" s="9">
        <v>3916</v>
      </c>
      <c r="V6" s="9">
        <v>5061</v>
      </c>
      <c r="W6" s="9">
        <v>6387</v>
      </c>
      <c r="X6" s="9">
        <v>7985</v>
      </c>
      <c r="Y6" s="9">
        <v>8794</v>
      </c>
      <c r="Z6" s="9">
        <v>10590</v>
      </c>
      <c r="AA6" s="9">
        <v>10590</v>
      </c>
      <c r="AB6" s="9">
        <v>14955</v>
      </c>
      <c r="AC6" s="9">
        <v>17750</v>
      </c>
      <c r="AD6" s="9">
        <v>20603</v>
      </c>
      <c r="AE6" s="9">
        <v>23073</v>
      </c>
      <c r="AF6" s="9">
        <v>26062</v>
      </c>
      <c r="AG6" s="9">
        <v>28710</v>
      </c>
      <c r="AH6" s="9">
        <v>33190</v>
      </c>
      <c r="AI6" s="9">
        <v>38549</v>
      </c>
    </row>
    <row r="7" spans="1:307" x14ac:dyDescent="0.25">
      <c r="A7" s="9">
        <f t="shared" si="7"/>
        <v>6</v>
      </c>
      <c r="B7" s="9">
        <f t="array" ref="B7">IF(C7="",0,IF(OR(C7=Country_Comparison!$S$10:$S$29),1,0))</f>
        <v>0</v>
      </c>
      <c r="C7" s="9" t="str">
        <f t="shared" si="13"/>
        <v>Iran</v>
      </c>
      <c r="D7" s="6">
        <f t="shared" si="14"/>
        <v>11466</v>
      </c>
      <c r="E7" s="6">
        <f>IF(COUNTIF(I7:XFD7,"&gt;"&amp;0)=0,,HLOOKUP(COUNTIF(I7:XFD7,"&gt;"&amp;0)-1,I$1:XFD7,A7+1,FALSE))</f>
        <v>11466</v>
      </c>
      <c r="F7" s="7">
        <f>IF(COUNTIF(I7:XFD7,"&gt;"&amp;0)=0,,HLOOKUP(COUNTIF(I7:XFD7,"&gt;"&amp;0)-MIN($F$1+1,COUNTIF(I7:XFD7,"&gt;"&amp;0)),I$1:XFD7,A7+1,FALSE))</f>
        <v>8624</v>
      </c>
      <c r="G7" s="8">
        <f t="shared" si="15"/>
        <v>1.0586213242531914</v>
      </c>
      <c r="H7" s="13" t="s">
        <v>338</v>
      </c>
      <c r="I7" s="9">
        <v>71</v>
      </c>
      <c r="J7" s="9">
        <v>170</v>
      </c>
      <c r="K7" s="9">
        <v>281</v>
      </c>
      <c r="L7" s="9">
        <v>427</v>
      </c>
      <c r="M7" s="9">
        <v>749</v>
      </c>
      <c r="N7" s="9">
        <v>1144</v>
      </c>
      <c r="O7" s="9">
        <v>1968</v>
      </c>
      <c r="P7" s="9">
        <v>2278</v>
      </c>
      <c r="Q7" s="9">
        <v>2667</v>
      </c>
      <c r="R7" s="9">
        <v>3710</v>
      </c>
      <c r="S7" s="9">
        <v>4009</v>
      </c>
      <c r="T7" s="9">
        <v>4238</v>
      </c>
      <c r="U7" s="9">
        <v>4530</v>
      </c>
      <c r="V7" s="9">
        <v>5020</v>
      </c>
      <c r="W7" s="9">
        <v>5687</v>
      </c>
      <c r="X7" s="9">
        <v>6687</v>
      </c>
      <c r="Y7" s="9">
        <v>7891</v>
      </c>
      <c r="Z7" s="9">
        <v>9159</v>
      </c>
      <c r="AA7" s="9">
        <v>8624</v>
      </c>
      <c r="AB7" s="9">
        <v>9548</v>
      </c>
      <c r="AC7" s="9">
        <v>9792</v>
      </c>
      <c r="AD7" s="9">
        <v>10837</v>
      </c>
      <c r="AE7" s="9">
        <v>11413</v>
      </c>
      <c r="AF7" s="9">
        <v>11466</v>
      </c>
    </row>
    <row r="8" spans="1:307" x14ac:dyDescent="0.25">
      <c r="A8" s="9">
        <f t="shared" si="7"/>
        <v>7</v>
      </c>
      <c r="B8" s="9">
        <f t="array" ref="B8">IF(C8="",0,IF(OR(C8=Country_Comparison!$S$10:$S$29),1,0))</f>
        <v>1</v>
      </c>
      <c r="C8" s="9" t="str">
        <f t="shared" si="13"/>
        <v>Korea, South</v>
      </c>
      <c r="D8" s="6">
        <f t="shared" si="14"/>
        <v>7577</v>
      </c>
      <c r="E8" s="6">
        <f>IF(COUNTIF(I8:XFD8,"&gt;"&amp;0)=0,,HLOOKUP(COUNTIF(I8:XFD8,"&gt;"&amp;0)-1,I$1:XFD8,A8+1,FALSE))</f>
        <v>7018</v>
      </c>
      <c r="F8" s="7">
        <f>IF(COUNTIF(I8:XFD8,"&gt;"&amp;0)=0,,HLOOKUP(COUNTIF(I8:XFD8,"&gt;"&amp;0)-MIN($F$1+1,COUNTIF(I8:XFD8,"&gt;"&amp;0)),I$1:XFD8,A8+1,FALSE))</f>
        <v>7577</v>
      </c>
      <c r="G8" s="8">
        <f t="shared" si="15"/>
        <v>0.98478905987251342</v>
      </c>
      <c r="H8" s="13" t="s">
        <v>339</v>
      </c>
      <c r="I8" s="9">
        <v>87</v>
      </c>
      <c r="J8" s="9">
        <v>186</v>
      </c>
      <c r="K8" s="9">
        <v>415</v>
      </c>
      <c r="L8" s="9">
        <v>578</v>
      </c>
      <c r="M8" s="9">
        <v>807</v>
      </c>
      <c r="N8" s="9">
        <v>945</v>
      </c>
      <c r="O8" s="9">
        <v>1227</v>
      </c>
      <c r="P8" s="9">
        <v>1731</v>
      </c>
      <c r="Q8" s="9">
        <v>2302</v>
      </c>
      <c r="R8" s="9">
        <v>3107</v>
      </c>
      <c r="S8" s="9">
        <v>3689</v>
      </c>
      <c r="T8" s="9">
        <v>4277</v>
      </c>
      <c r="U8" s="9">
        <v>5128</v>
      </c>
      <c r="V8" s="9">
        <v>5545</v>
      </c>
      <c r="W8" s="9">
        <v>6012</v>
      </c>
      <c r="X8" s="9">
        <v>6416</v>
      </c>
      <c r="Y8" s="9">
        <v>6862</v>
      </c>
      <c r="Z8" s="9">
        <v>7146</v>
      </c>
      <c r="AA8" s="9">
        <v>7307</v>
      </c>
      <c r="AB8" s="9">
        <v>7212</v>
      </c>
      <c r="AC8" s="9">
        <v>7407</v>
      </c>
      <c r="AD8" s="9">
        <v>7470</v>
      </c>
      <c r="AE8" s="9">
        <v>7403</v>
      </c>
      <c r="AF8" s="9">
        <v>7504</v>
      </c>
      <c r="AG8" s="9">
        <v>7577</v>
      </c>
      <c r="AH8" s="9">
        <v>7024</v>
      </c>
      <c r="AI8" s="9">
        <v>6832</v>
      </c>
      <c r="AJ8" s="9">
        <v>6789</v>
      </c>
      <c r="AK8" s="9">
        <v>6934</v>
      </c>
      <c r="AL8" s="9">
        <v>7018</v>
      </c>
    </row>
    <row r="9" spans="1:307" x14ac:dyDescent="0.25">
      <c r="A9" s="9">
        <f t="shared" si="7"/>
        <v>8</v>
      </c>
      <c r="B9" s="9">
        <f t="array" ref="B9">IF(C9="",0,IF(OR(C9=Country_Comparison!$S$10:$S$29),1,0))</f>
        <v>0</v>
      </c>
      <c r="C9" s="9" t="str">
        <f t="shared" si="13"/>
        <v>Spain</v>
      </c>
      <c r="D9" s="6">
        <f t="shared" si="14"/>
        <v>17779</v>
      </c>
      <c r="E9" s="6">
        <f>IF(COUNTIF(I9:XFD9,"&gt;"&amp;0)=0,,HLOOKUP(COUNTIF(I9:XFD9,"&gt;"&amp;0)-1,I$1:XFD9,A9+1,FALSE))</f>
        <v>17779</v>
      </c>
      <c r="F9" s="7">
        <f>IF(COUNTIF(I9:XFD9,"&gt;"&amp;0)=0,,HLOOKUP(COUNTIF(I9:XFD9,"&gt;"&amp;0)-MIN($F$1+1,COUNTIF(I9:XFD9,"&gt;"&amp;0)),I$1:XFD9,A9+1,FALSE))</f>
        <v>6992</v>
      </c>
      <c r="G9" s="8">
        <f t="shared" si="15"/>
        <v>1.2052057140622663</v>
      </c>
      <c r="H9" s="13" t="s">
        <v>60</v>
      </c>
      <c r="I9" s="9">
        <v>118</v>
      </c>
      <c r="J9" s="9">
        <v>162</v>
      </c>
      <c r="K9" s="9">
        <v>218</v>
      </c>
      <c r="L9" s="9">
        <v>254</v>
      </c>
      <c r="M9" s="9">
        <v>393</v>
      </c>
      <c r="N9" s="9">
        <v>460</v>
      </c>
      <c r="O9" s="9">
        <v>626</v>
      </c>
      <c r="P9" s="9">
        <v>1013</v>
      </c>
      <c r="Q9" s="9">
        <v>1628</v>
      </c>
      <c r="R9" s="9">
        <v>2040</v>
      </c>
      <c r="S9" s="9">
        <v>2039</v>
      </c>
      <c r="T9" s="9">
        <v>4906</v>
      </c>
      <c r="U9" s="9">
        <v>5679</v>
      </c>
      <c r="V9" s="9">
        <v>6992</v>
      </c>
      <c r="W9" s="9">
        <v>9070</v>
      </c>
      <c r="X9" s="9">
        <v>10187</v>
      </c>
      <c r="Y9" s="9">
        <v>12206</v>
      </c>
      <c r="Z9" s="9">
        <v>16026</v>
      </c>
      <c r="AA9" s="9">
        <v>17779</v>
      </c>
    </row>
    <row r="10" spans="1:307" x14ac:dyDescent="0.25">
      <c r="A10" s="9">
        <f t="shared" si="7"/>
        <v>9</v>
      </c>
      <c r="B10" s="9">
        <f t="array" ref="B10">IF(C10="",0,IF(OR(C10=Country_Comparison!$S$10:$S$29),1,0))</f>
        <v>1</v>
      </c>
      <c r="C10" s="9" t="str">
        <f t="shared" si="13"/>
        <v>Germany</v>
      </c>
      <c r="D10" s="6">
        <f t="shared" si="14"/>
        <v>19601</v>
      </c>
      <c r="E10" s="6">
        <f>IF(COUNTIF(I10:XFD10,"&gt;"&amp;0)=0,,HLOOKUP(COUNTIF(I10:XFD10,"&gt;"&amp;0)-1,I$1:XFD10,A10+1,FALSE))</f>
        <v>19601</v>
      </c>
      <c r="F10" s="7">
        <f>IF(COUNTIF(I10:XFD10,"&gt;"&amp;0)=0,,HLOOKUP(COUNTIF(I10:XFD10,"&gt;"&amp;0)-MIN($F$1+1,COUNTIF(I10:XFD10,"&gt;"&amp;0)),I$1:XFD10,A10+1,FALSE))</f>
        <v>5738</v>
      </c>
      <c r="G10" s="8">
        <f t="shared" si="15"/>
        <v>1.2785082563337888</v>
      </c>
      <c r="H10" s="13" t="s">
        <v>53</v>
      </c>
      <c r="I10" s="9">
        <v>114</v>
      </c>
      <c r="J10" s="9">
        <v>143</v>
      </c>
      <c r="K10" s="9">
        <v>180</v>
      </c>
      <c r="L10" s="9">
        <v>246</v>
      </c>
      <c r="M10" s="9">
        <v>466</v>
      </c>
      <c r="N10" s="9">
        <v>653</v>
      </c>
      <c r="O10" s="9">
        <v>781</v>
      </c>
      <c r="P10" s="9">
        <v>1022</v>
      </c>
      <c r="Q10" s="9">
        <v>1156</v>
      </c>
      <c r="R10" s="9">
        <v>1437</v>
      </c>
      <c r="S10" s="9">
        <v>1880</v>
      </c>
      <c r="T10" s="9">
        <v>2050</v>
      </c>
      <c r="U10" s="9">
        <v>3622</v>
      </c>
      <c r="V10" s="9">
        <v>4530</v>
      </c>
      <c r="W10" s="9">
        <v>5738</v>
      </c>
      <c r="X10" s="9">
        <v>7188</v>
      </c>
      <c r="Y10" s="9">
        <v>9166</v>
      </c>
      <c r="Z10" s="9">
        <v>12194</v>
      </c>
      <c r="AA10" s="9">
        <v>15163</v>
      </c>
      <c r="AB10" s="9">
        <v>19601</v>
      </c>
    </row>
    <row r="11" spans="1:307" x14ac:dyDescent="0.25">
      <c r="A11" s="9">
        <f t="shared" si="7"/>
        <v>10</v>
      </c>
      <c r="B11" s="9">
        <f t="array" ref="B11">IF(C11="",0,IF(OR(C11=Country_Comparison!$S$10:$S$29),1,0))</f>
        <v>1</v>
      </c>
      <c r="C11" s="9" t="str">
        <f t="shared" si="13"/>
        <v>France</v>
      </c>
      <c r="D11" s="6">
        <f t="shared" si="14"/>
        <v>12264</v>
      </c>
      <c r="E11" s="6">
        <f>IF(COUNTIF(I11:XFD11,"&gt;"&amp;0)=0,,HLOOKUP(COUNTIF(I11:XFD11,"&gt;"&amp;0)-1,I$1:XFD11,A11+1,FALSE))</f>
        <v>12264</v>
      </c>
      <c r="F11" s="7">
        <f>IF(COUNTIF(I11:XFD11,"&gt;"&amp;0)=0,,HLOOKUP(COUNTIF(I11:XFD11,"&gt;"&amp;0)-MIN($F$1+1,COUNTIF(I11:XFD11,"&gt;"&amp;0)),I$1:XFD11,A11+1,FALSE))</f>
        <v>4420</v>
      </c>
      <c r="G11" s="8">
        <f t="shared" si="15"/>
        <v>1.2264277666486827</v>
      </c>
      <c r="H11" s="13" t="s">
        <v>41</v>
      </c>
      <c r="I11" s="9">
        <v>86</v>
      </c>
      <c r="J11" s="9">
        <v>116</v>
      </c>
      <c r="K11" s="9">
        <v>176</v>
      </c>
      <c r="L11" s="9">
        <v>188</v>
      </c>
      <c r="M11" s="9">
        <v>272</v>
      </c>
      <c r="N11" s="9">
        <v>362</v>
      </c>
      <c r="O11" s="9">
        <v>635</v>
      </c>
      <c r="P11" s="9">
        <v>934</v>
      </c>
      <c r="Q11" s="9">
        <v>1103</v>
      </c>
      <c r="R11" s="9">
        <v>1186</v>
      </c>
      <c r="S11" s="9">
        <v>1747</v>
      </c>
      <c r="T11" s="9">
        <v>2230</v>
      </c>
      <c r="U11" s="9">
        <v>2230</v>
      </c>
      <c r="V11" s="9">
        <v>3587</v>
      </c>
      <c r="W11" s="9">
        <v>4384</v>
      </c>
      <c r="X11" s="9">
        <v>4420</v>
      </c>
      <c r="Y11" s="9">
        <v>6508</v>
      </c>
      <c r="Z11" s="9">
        <v>7539</v>
      </c>
      <c r="AA11" s="9">
        <v>8945</v>
      </c>
      <c r="AB11" s="9">
        <v>10692</v>
      </c>
      <c r="AC11" s="9">
        <v>12264</v>
      </c>
    </row>
    <row r="12" spans="1:307" x14ac:dyDescent="0.25">
      <c r="A12" s="9">
        <f t="shared" si="7"/>
        <v>11</v>
      </c>
      <c r="B12" s="9">
        <f t="array" ref="B12">IF(C12="",0,IF(OR(C12=Country_Comparison!$S$10:$S$29),1,0))</f>
        <v>1</v>
      </c>
      <c r="C12" s="9" t="str">
        <f t="shared" si="13"/>
        <v>US</v>
      </c>
      <c r="D12" s="6">
        <f t="shared" si="14"/>
        <v>18856</v>
      </c>
      <c r="E12" s="6">
        <f>IF(COUNTIF(I12:XFD12,"&gt;"&amp;0)=0,,HLOOKUP(COUNTIF(I12:XFD12,"&gt;"&amp;0)-1,I$1:XFD12,A12+1,FALSE))</f>
        <v>18856</v>
      </c>
      <c r="F12" s="7">
        <f>IF(COUNTIF(I12:XFD12,"&gt;"&amp;0)=0,,HLOOKUP(COUNTIF(I12:XFD12,"&gt;"&amp;0)-MIN($F$1+1,COUNTIF(I12:XFD12,"&gt;"&amp;0)),I$1:XFD12,A12+1,FALSE))</f>
        <v>3424</v>
      </c>
      <c r="G12" s="8">
        <f t="shared" si="15"/>
        <v>1.4066406465154122</v>
      </c>
      <c r="H12" s="13" t="s">
        <v>38</v>
      </c>
      <c r="I12" s="9">
        <v>104</v>
      </c>
      <c r="J12" s="9">
        <v>131</v>
      </c>
      <c r="K12" s="9">
        <v>198</v>
      </c>
      <c r="L12" s="9">
        <v>241</v>
      </c>
      <c r="M12" s="9">
        <v>378</v>
      </c>
      <c r="N12" s="9">
        <v>490</v>
      </c>
      <c r="O12" s="9">
        <v>554</v>
      </c>
      <c r="P12" s="9">
        <v>923</v>
      </c>
      <c r="Q12" s="9">
        <v>1237</v>
      </c>
      <c r="R12" s="9">
        <v>1611</v>
      </c>
      <c r="S12" s="9">
        <v>2120</v>
      </c>
      <c r="T12" s="9">
        <v>2661</v>
      </c>
      <c r="U12" s="9">
        <v>3424</v>
      </c>
      <c r="V12" s="9">
        <v>4530</v>
      </c>
      <c r="W12" s="9">
        <v>6296</v>
      </c>
      <c r="X12" s="9">
        <v>7665</v>
      </c>
      <c r="Y12" s="9">
        <v>13477</v>
      </c>
      <c r="Z12" s="9">
        <v>18856</v>
      </c>
    </row>
    <row r="13" spans="1:307" x14ac:dyDescent="0.25">
      <c r="A13" s="9">
        <f t="shared" si="7"/>
        <v>12</v>
      </c>
      <c r="B13" s="9">
        <f t="array" ref="B13">IF(C13="",0,IF(OR(C13=Country_Comparison!$S$10:$S$29),1,0))</f>
        <v>0</v>
      </c>
      <c r="C13" s="9" t="str">
        <f t="shared" si="13"/>
        <v>Switzerland</v>
      </c>
      <c r="D13" s="6">
        <f t="shared" si="14"/>
        <v>5225</v>
      </c>
      <c r="E13" s="6">
        <f>IF(COUNTIF(I13:XFD13,"&gt;"&amp;0)=0,,HLOOKUP(COUNTIF(I13:XFD13,"&gt;"&amp;0)-1,I$1:XFD13,A13+1,FALSE))</f>
        <v>5225</v>
      </c>
      <c r="F13" s="7">
        <f>IF(COUNTIF(I13:XFD13,"&gt;"&amp;0)=0,,HLOOKUP(COUNTIF(I13:XFD13,"&gt;"&amp;0)-MIN($F$1+1,COUNTIF(I13:XFD13,"&gt;"&amp;0)),I$1:XFD13,A13+1,FALSE))</f>
        <v>2182</v>
      </c>
      <c r="G13" s="8">
        <f t="shared" si="15"/>
        <v>1.1908205199572743</v>
      </c>
      <c r="H13" s="13" t="s">
        <v>77</v>
      </c>
      <c r="I13" s="9">
        <v>110</v>
      </c>
      <c r="J13" s="9">
        <v>210</v>
      </c>
      <c r="K13" s="9">
        <v>264</v>
      </c>
      <c r="L13" s="9">
        <v>332</v>
      </c>
      <c r="M13" s="9">
        <v>369</v>
      </c>
      <c r="N13" s="9">
        <v>485</v>
      </c>
      <c r="O13" s="9">
        <v>644</v>
      </c>
      <c r="P13" s="9">
        <v>644</v>
      </c>
      <c r="Q13" s="9">
        <v>1124</v>
      </c>
      <c r="R13" s="9">
        <v>1342</v>
      </c>
      <c r="S13" s="9">
        <v>2182</v>
      </c>
      <c r="T13" s="9">
        <v>2182</v>
      </c>
      <c r="U13" s="9">
        <v>2669</v>
      </c>
      <c r="V13" s="9">
        <v>2985</v>
      </c>
      <c r="W13" s="9">
        <v>4019</v>
      </c>
      <c r="X13" s="9">
        <v>5225</v>
      </c>
    </row>
    <row r="14" spans="1:307" x14ac:dyDescent="0.25">
      <c r="A14" s="9">
        <f t="shared" si="7"/>
        <v>13</v>
      </c>
      <c r="B14" s="9">
        <f t="array" ref="B14">IF(C14="",0,IF(OR(C14=Country_Comparison!$S$10:$S$29),1,0))</f>
        <v>0</v>
      </c>
      <c r="C14" s="9" t="str">
        <f t="shared" si="13"/>
        <v>Norway</v>
      </c>
      <c r="D14" s="6">
        <f t="shared" si="14"/>
        <v>1906</v>
      </c>
      <c r="E14" s="6">
        <f>IF(COUNTIF(I14:XFD14,"&gt;"&amp;0)=0,,HLOOKUP(COUNTIF(I14:XFD14,"&gt;"&amp;0)-1,I$1:XFD14,A14+1,FALSE))</f>
        <v>1906</v>
      </c>
      <c r="F14" s="7">
        <f>IF(COUNTIF(I14:XFD14,"&gt;"&amp;0)=0,,HLOOKUP(COUNTIF(I14:XFD14,"&gt;"&amp;0)-MIN($F$1+1,COUNTIF(I14:XFD14,"&gt;"&amp;0)),I$1:XFD14,A14+1,FALSE))</f>
        <v>1217</v>
      </c>
      <c r="G14" s="8">
        <f t="shared" si="15"/>
        <v>1.0938718938057475</v>
      </c>
      <c r="H14" s="13" t="s">
        <v>85</v>
      </c>
      <c r="I14" s="9">
        <v>108</v>
      </c>
      <c r="J14" s="9">
        <v>147</v>
      </c>
      <c r="K14" s="9">
        <v>176</v>
      </c>
      <c r="L14" s="9">
        <v>204</v>
      </c>
      <c r="M14" s="9">
        <v>399</v>
      </c>
      <c r="N14" s="9">
        <v>597</v>
      </c>
      <c r="O14" s="9">
        <v>701</v>
      </c>
      <c r="P14" s="9">
        <v>995</v>
      </c>
      <c r="Q14" s="9">
        <v>1086</v>
      </c>
      <c r="R14" s="9">
        <v>1217</v>
      </c>
      <c r="S14" s="9">
        <v>1329</v>
      </c>
      <c r="T14" s="9">
        <v>1459</v>
      </c>
      <c r="U14" s="9">
        <v>1543</v>
      </c>
      <c r="V14" s="9">
        <v>1738</v>
      </c>
      <c r="W14" s="9">
        <v>1906</v>
      </c>
    </row>
    <row r="15" spans="1:307" x14ac:dyDescent="0.25">
      <c r="A15" s="9">
        <f t="shared" si="7"/>
        <v>14</v>
      </c>
      <c r="B15" s="9">
        <f t="array" ref="B15">IF(C15="",0,IF(OR(C15=Country_Comparison!$S$10:$S$29),1,0))</f>
        <v>0</v>
      </c>
      <c r="C15" s="9" t="str">
        <f t="shared" si="13"/>
        <v>Sweden</v>
      </c>
      <c r="D15" s="6">
        <f t="shared" si="14"/>
        <v>1607</v>
      </c>
      <c r="E15" s="6">
        <f>IF(COUNTIF(I15:XFD15,"&gt;"&amp;0)=0,,HLOOKUP(COUNTIF(I15:XFD15,"&gt;"&amp;0)-1,I$1:XFD15,A15+1,FALSE))</f>
        <v>1607</v>
      </c>
      <c r="F15" s="7">
        <f>IF(COUNTIF(I15:XFD15,"&gt;"&amp;0)=0,,HLOOKUP(COUNTIF(I15:XFD15,"&gt;"&amp;0)-MIN($F$1+1,COUNTIF(I15:XFD15,"&gt;"&amp;0)),I$1:XFD15,A15+1,FALSE))</f>
        <v>1018</v>
      </c>
      <c r="G15" s="8">
        <f t="shared" si="15"/>
        <v>1.0956040266864828</v>
      </c>
      <c r="H15" s="13" t="s">
        <v>59</v>
      </c>
      <c r="I15" s="9">
        <v>101</v>
      </c>
      <c r="J15" s="9">
        <v>161</v>
      </c>
      <c r="K15" s="9">
        <v>203</v>
      </c>
      <c r="L15" s="9">
        <v>247</v>
      </c>
      <c r="M15" s="9">
        <v>354</v>
      </c>
      <c r="N15" s="9">
        <v>498</v>
      </c>
      <c r="O15" s="9">
        <v>597</v>
      </c>
      <c r="P15" s="9">
        <v>812</v>
      </c>
      <c r="Q15" s="9">
        <v>958</v>
      </c>
      <c r="R15" s="9">
        <v>1018</v>
      </c>
      <c r="S15" s="9">
        <v>1096</v>
      </c>
      <c r="T15" s="9">
        <v>1182</v>
      </c>
      <c r="U15" s="9">
        <v>1268</v>
      </c>
      <c r="V15" s="9">
        <v>1412</v>
      </c>
      <c r="W15" s="9">
        <v>1607</v>
      </c>
    </row>
    <row r="16" spans="1:307" x14ac:dyDescent="0.25">
      <c r="A16" s="9">
        <f t="shared" si="7"/>
        <v>15</v>
      </c>
      <c r="B16" s="9">
        <f t="array" ref="B16">IF(C16="",0,IF(OR(C16=Country_Comparison!$S$10:$S$29),1,0))</f>
        <v>0</v>
      </c>
      <c r="C16" s="9" t="str">
        <f t="shared" si="13"/>
        <v>Denmark</v>
      </c>
      <c r="D16" s="6">
        <f t="shared" si="14"/>
        <v>1327</v>
      </c>
      <c r="E16" s="6">
        <f>IF(COUNTIF(I16:XFD16,"&gt;"&amp;0)=0,,HLOOKUP(COUNTIF(I16:XFD16,"&gt;"&amp;0)-1,I$1:XFD16,A16+1,FALSE))</f>
        <v>1327</v>
      </c>
      <c r="F16" s="7">
        <f>IF(COUNTIF(I16:XFD16,"&gt;"&amp;0)=0,,HLOOKUP(COUNTIF(I16:XFD16,"&gt;"&amp;0)-MIN($F$1+1,COUNTIF(I16:XFD16,"&gt;"&amp;0)),I$1:XFD16,A16+1,FALSE))</f>
        <v>872</v>
      </c>
      <c r="G16" s="8">
        <f t="shared" si="15"/>
        <v>1.0876042289325103</v>
      </c>
      <c r="H16" s="13" t="s">
        <v>87</v>
      </c>
      <c r="I16" s="9">
        <v>263</v>
      </c>
      <c r="J16" s="9">
        <v>443</v>
      </c>
      <c r="K16" s="9">
        <v>616</v>
      </c>
      <c r="L16" s="9">
        <v>803</v>
      </c>
      <c r="M16" s="9">
        <v>834</v>
      </c>
      <c r="N16" s="9">
        <v>872</v>
      </c>
      <c r="O16" s="9">
        <v>929</v>
      </c>
      <c r="P16" s="9">
        <v>1020</v>
      </c>
      <c r="Q16" s="9">
        <v>1111</v>
      </c>
      <c r="R16" s="9">
        <v>1218</v>
      </c>
      <c r="S16" s="9">
        <v>1327</v>
      </c>
    </row>
    <row r="17" spans="1:48" x14ac:dyDescent="0.25">
      <c r="A17" s="9">
        <f t="shared" si="7"/>
        <v>16</v>
      </c>
      <c r="B17" s="9">
        <f t="array" ref="B17">IF(C17="",0,IF(OR(C17=Country_Comparison!$S$10:$S$29),1,0))</f>
        <v>0</v>
      </c>
      <c r="C17" s="9" t="str">
        <f t="shared" si="13"/>
        <v>Netherlands</v>
      </c>
      <c r="D17" s="6">
        <f t="shared" si="14"/>
        <v>2894</v>
      </c>
      <c r="E17" s="6">
        <f>IF(COUNTIF(I17:XFD17,"&gt;"&amp;0)=0,,HLOOKUP(COUNTIF(I17:XFD17,"&gt;"&amp;0)-1,I$1:XFD17,A17+1,FALSE))</f>
        <v>2894</v>
      </c>
      <c r="F17" s="7">
        <f>IF(COUNTIF(I17:XFD17,"&gt;"&amp;0)=0,,HLOOKUP(COUNTIF(I17:XFD17,"&gt;"&amp;0)-MIN($F$1+1,COUNTIF(I17:XFD17,"&gt;"&amp;0)),I$1:XFD17,A17+1,FALSE))</f>
        <v>1116</v>
      </c>
      <c r="G17" s="8">
        <f t="shared" si="15"/>
        <v>1.2099484469203383</v>
      </c>
      <c r="H17" s="13" t="s">
        <v>89</v>
      </c>
      <c r="I17" s="9">
        <v>127</v>
      </c>
      <c r="J17" s="9">
        <v>187</v>
      </c>
      <c r="K17" s="9">
        <v>262</v>
      </c>
      <c r="L17" s="9">
        <v>318</v>
      </c>
      <c r="M17" s="9">
        <v>378</v>
      </c>
      <c r="N17" s="9">
        <v>498</v>
      </c>
      <c r="O17" s="9">
        <v>498</v>
      </c>
      <c r="P17" s="9">
        <v>796</v>
      </c>
      <c r="Q17" s="9">
        <v>948</v>
      </c>
      <c r="R17" s="9">
        <v>1116</v>
      </c>
      <c r="S17" s="9">
        <v>1390</v>
      </c>
      <c r="T17" s="9">
        <v>1666</v>
      </c>
      <c r="U17" s="9">
        <v>1998</v>
      </c>
      <c r="V17" s="9">
        <v>2388</v>
      </c>
      <c r="W17" s="9">
        <v>2894</v>
      </c>
    </row>
    <row r="18" spans="1:48" x14ac:dyDescent="0.25">
      <c r="A18" s="9">
        <f t="shared" si="7"/>
        <v>17</v>
      </c>
      <c r="B18" s="9">
        <f t="array" ref="B18">IF(C18="",0,IF(OR(C18=Country_Comparison!$S$10:$S$29),1,0))</f>
        <v>1</v>
      </c>
      <c r="C18" s="9" t="str">
        <f t="shared" si="13"/>
        <v>United Kingdom</v>
      </c>
      <c r="D18" s="6">
        <f t="shared" si="14"/>
        <v>3769</v>
      </c>
      <c r="E18" s="6">
        <f>IF(COUNTIF(I18:XFD18,"&gt;"&amp;0)=0,,HLOOKUP(COUNTIF(I18:XFD18,"&gt;"&amp;0)-1,I$1:XFD18,A18+1,FALSE))</f>
        <v>3769</v>
      </c>
      <c r="F18" s="7">
        <f>IF(COUNTIF(I18:XFD18,"&gt;"&amp;0)=0,,HLOOKUP(COUNTIF(I18:XFD18,"&gt;"&amp;0)-MIN($F$1+1,COUNTIF(I18:XFD18,"&gt;"&amp;0)),I$1:XFD18,A18+1,FALSE))</f>
        <v>1315</v>
      </c>
      <c r="G18" s="8">
        <f t="shared" si="15"/>
        <v>1.2344118350694733</v>
      </c>
      <c r="H18" s="13" t="s">
        <v>349</v>
      </c>
      <c r="I18" s="9">
        <v>107</v>
      </c>
      <c r="J18" s="9">
        <v>154</v>
      </c>
      <c r="K18" s="9">
        <v>187</v>
      </c>
      <c r="L18" s="9">
        <v>253</v>
      </c>
      <c r="M18" s="9">
        <v>300</v>
      </c>
      <c r="N18" s="9">
        <v>359</v>
      </c>
      <c r="O18" s="9">
        <v>432</v>
      </c>
      <c r="P18" s="9">
        <v>563</v>
      </c>
      <c r="Q18" s="9">
        <v>775</v>
      </c>
      <c r="R18" s="9">
        <v>1104</v>
      </c>
      <c r="S18" s="9">
        <v>1315</v>
      </c>
      <c r="T18" s="9">
        <v>1474</v>
      </c>
      <c r="U18" s="9">
        <v>1851</v>
      </c>
      <c r="V18" s="9">
        <v>2503</v>
      </c>
      <c r="W18" s="9">
        <v>2511</v>
      </c>
      <c r="X18" s="9">
        <v>3769</v>
      </c>
    </row>
    <row r="19" spans="1:48" x14ac:dyDescent="0.25">
      <c r="A19" s="9">
        <f t="shared" si="7"/>
        <v>18</v>
      </c>
      <c r="B19" s="9">
        <f t="array" ref="B19">IF(C19="",0,IF(OR(C19=Country_Comparison!$S$10:$S$29),1,0))</f>
        <v>1</v>
      </c>
      <c r="C19" s="9" t="str">
        <f t="shared" si="13"/>
        <v>Japan</v>
      </c>
      <c r="D19" s="6">
        <f t="shared" si="14"/>
        <v>745</v>
      </c>
      <c r="E19" s="6">
        <f>IF(COUNTIF(I19:XFD19,"&gt;"&amp;0)=0,,HLOOKUP(COUNTIF(I19:XFD19,"&gt;"&amp;0)-1,I$1:XFD19,A19+1,FALSE))</f>
        <v>739</v>
      </c>
      <c r="F19" s="7">
        <f>IF(COUNTIF(I19:XFD19,"&gt;"&amp;0)=0,,HLOOKUP(COUNTIF(I19:XFD19,"&gt;"&amp;0)-MIN($F$1+1,COUNTIF(I19:XFD19,"&gt;"&amp;0)),I$1:XFD19,A19+1,FALSE))</f>
        <v>699</v>
      </c>
      <c r="G19" s="8">
        <f t="shared" si="15"/>
        <v>1.0111915983102491</v>
      </c>
      <c r="H19" s="13" t="s">
        <v>36</v>
      </c>
      <c r="I19" s="9">
        <v>82</v>
      </c>
      <c r="J19" s="9">
        <v>99</v>
      </c>
      <c r="K19" s="9">
        <v>124</v>
      </c>
      <c r="L19" s="9">
        <v>136</v>
      </c>
      <c r="M19" s="9">
        <v>147</v>
      </c>
      <c r="N19" s="9">
        <v>165</v>
      </c>
      <c r="O19" s="9">
        <v>188</v>
      </c>
      <c r="P19" s="9">
        <v>202</v>
      </c>
      <c r="Q19" s="9">
        <v>204</v>
      </c>
      <c r="R19" s="9">
        <v>218</v>
      </c>
      <c r="S19" s="9">
        <v>236</v>
      </c>
      <c r="T19" s="9">
        <v>244</v>
      </c>
      <c r="U19" s="9">
        <v>282</v>
      </c>
      <c r="V19" s="9">
        <v>311</v>
      </c>
      <c r="W19" s="9">
        <v>368</v>
      </c>
      <c r="X19" s="9">
        <v>379</v>
      </c>
      <c r="Y19" s="9">
        <v>420</v>
      </c>
      <c r="Z19" s="9">
        <v>425</v>
      </c>
      <c r="AA19" s="9">
        <v>470</v>
      </c>
      <c r="AB19" s="9">
        <v>506</v>
      </c>
      <c r="AC19" s="9">
        <v>505</v>
      </c>
      <c r="AD19" s="9">
        <v>564</v>
      </c>
      <c r="AE19" s="9">
        <v>633</v>
      </c>
      <c r="AF19" s="9">
        <v>699</v>
      </c>
      <c r="AG19" s="9">
        <v>654</v>
      </c>
      <c r="AH19" s="9">
        <v>705</v>
      </c>
      <c r="AI19" s="9">
        <v>716</v>
      </c>
      <c r="AJ19" s="9">
        <v>745</v>
      </c>
      <c r="AK19" s="9">
        <v>739</v>
      </c>
    </row>
    <row r="20" spans="1:48" x14ac:dyDescent="0.25">
      <c r="A20" s="9">
        <f t="shared" si="7"/>
        <v>19</v>
      </c>
      <c r="B20" s="9">
        <f t="array" ref="B20">IF(C20="",0,IF(OR(C20=Country_Comparison!$S$10:$S$29),1,0))</f>
        <v>0</v>
      </c>
      <c r="C20" s="9" t="str">
        <f t="shared" si="13"/>
        <v>Cruise Ship</v>
      </c>
      <c r="D20" s="6">
        <f t="shared" si="14"/>
        <v>691</v>
      </c>
      <c r="E20" s="6">
        <f>IF(COUNTIF(I20:XFD20,"&gt;"&amp;0)=0,,HLOOKUP(COUNTIF(I20:XFD20,"&gt;"&amp;0)-1,I$1:XFD20,A20+1,FALSE))</f>
        <v>380</v>
      </c>
      <c r="F20" s="7">
        <f>IF(COUNTIF(I20:XFD20,"&gt;"&amp;0)=0,,HLOOKUP(COUNTIF(I20:XFD20,"&gt;"&amp;0)-MIN($F$1+1,COUNTIF(I20:XFD20,"&gt;"&amp;0)),I$1:XFD20,A20+1,FALSE))</f>
        <v>364</v>
      </c>
      <c r="G20" s="8">
        <f t="shared" si="15"/>
        <v>1.0086405932917746</v>
      </c>
      <c r="H20" s="13" t="s">
        <v>340</v>
      </c>
      <c r="I20" s="9">
        <v>135</v>
      </c>
      <c r="J20" s="9">
        <v>135</v>
      </c>
      <c r="K20" s="9">
        <v>175</v>
      </c>
      <c r="L20" s="9">
        <v>175</v>
      </c>
      <c r="M20" s="9">
        <v>218</v>
      </c>
      <c r="N20" s="9">
        <v>285</v>
      </c>
      <c r="O20" s="9">
        <v>355</v>
      </c>
      <c r="P20" s="9">
        <v>454</v>
      </c>
      <c r="Q20" s="9">
        <v>542</v>
      </c>
      <c r="R20" s="9">
        <v>620</v>
      </c>
      <c r="S20" s="9">
        <v>631</v>
      </c>
      <c r="T20" s="9">
        <v>631</v>
      </c>
      <c r="U20" s="9">
        <v>631</v>
      </c>
      <c r="V20" s="9">
        <v>688</v>
      </c>
      <c r="W20" s="9">
        <v>688</v>
      </c>
      <c r="X20" s="9">
        <v>688</v>
      </c>
      <c r="Y20" s="9">
        <v>691</v>
      </c>
      <c r="Z20" s="9">
        <v>691</v>
      </c>
      <c r="AA20" s="9">
        <v>689</v>
      </c>
      <c r="AB20" s="9">
        <v>689</v>
      </c>
      <c r="AC20" s="9">
        <v>689</v>
      </c>
      <c r="AD20" s="9">
        <v>689</v>
      </c>
      <c r="AE20" s="9">
        <v>690</v>
      </c>
      <c r="AF20" s="9">
        <v>690</v>
      </c>
      <c r="AG20" s="9">
        <v>690</v>
      </c>
      <c r="AH20" s="9">
        <v>650</v>
      </c>
      <c r="AI20" s="9">
        <v>650</v>
      </c>
      <c r="AJ20" s="9">
        <v>650</v>
      </c>
      <c r="AK20" s="9">
        <v>650</v>
      </c>
      <c r="AL20" s="9">
        <v>650</v>
      </c>
      <c r="AM20" s="9">
        <v>364</v>
      </c>
      <c r="AN20" s="9">
        <v>364</v>
      </c>
      <c r="AO20" s="9">
        <v>364</v>
      </c>
      <c r="AP20" s="9">
        <v>364</v>
      </c>
      <c r="AQ20" s="9">
        <v>364</v>
      </c>
      <c r="AR20" s="9">
        <v>364</v>
      </c>
      <c r="AS20" s="9">
        <v>364</v>
      </c>
      <c r="AT20" s="9">
        <v>380</v>
      </c>
      <c r="AU20" s="9">
        <v>380</v>
      </c>
      <c r="AV20" s="9">
        <v>380</v>
      </c>
    </row>
    <row r="21" spans="1:48" x14ac:dyDescent="0.25">
      <c r="A21" s="9">
        <f t="shared" si="7"/>
        <v>20</v>
      </c>
      <c r="B21" s="9">
        <f t="array" ref="B21">IF(C21="",0,IF(OR(C21=Country_Comparison!$S$10:$S$29),1,0))</f>
        <v>0</v>
      </c>
      <c r="C21" s="9" t="str">
        <f t="shared" si="13"/>
        <v>Belgium</v>
      </c>
      <c r="D21" s="6">
        <f t="shared" si="14"/>
        <v>2219</v>
      </c>
      <c r="E21" s="6">
        <f>IF(COUNTIF(I21:XFD21,"&gt;"&amp;0)=0,,HLOOKUP(COUNTIF(I21:XFD21,"&gt;"&amp;0)-1,I$1:XFD21,A21+1,FALSE))</f>
        <v>2219</v>
      </c>
      <c r="F21" s="7">
        <f>IF(COUNTIF(I21:XFD21,"&gt;"&amp;0)=0,,HLOOKUP(COUNTIF(I21:XFD21,"&gt;"&amp;0)-MIN($F$1+1,COUNTIF(I21:XFD21,"&gt;"&amp;0)),I$1:XFD21,A21+1,FALSE))</f>
        <v>881</v>
      </c>
      <c r="G21" s="8">
        <f t="shared" si="15"/>
        <v>1.2029187069021363</v>
      </c>
      <c r="H21" s="13" t="s">
        <v>63</v>
      </c>
      <c r="I21" s="9">
        <v>108</v>
      </c>
      <c r="J21" s="9">
        <v>168</v>
      </c>
      <c r="K21" s="9">
        <v>199</v>
      </c>
      <c r="L21" s="9">
        <v>238</v>
      </c>
      <c r="M21" s="9">
        <v>266</v>
      </c>
      <c r="N21" s="9">
        <v>310</v>
      </c>
      <c r="O21" s="9">
        <v>310</v>
      </c>
      <c r="P21" s="9">
        <v>555</v>
      </c>
      <c r="Q21" s="9">
        <v>684</v>
      </c>
      <c r="R21" s="9">
        <v>881</v>
      </c>
      <c r="S21" s="9">
        <v>1052</v>
      </c>
      <c r="T21" s="9">
        <v>1232</v>
      </c>
      <c r="U21" s="9">
        <v>1441</v>
      </c>
      <c r="V21" s="9">
        <v>1743</v>
      </c>
      <c r="W21" s="9">
        <v>2219</v>
      </c>
    </row>
    <row r="22" spans="1:48" x14ac:dyDescent="0.25">
      <c r="A22" s="9">
        <f t="shared" si="7"/>
        <v>21</v>
      </c>
      <c r="B22" s="9">
        <f t="array" ref="B22">IF(C22="",0,IF(OR(C22=Country_Comparison!$S$10:$S$29),1,0))</f>
        <v>0</v>
      </c>
      <c r="C22" s="9" t="str">
        <f t="shared" si="13"/>
        <v>Austria</v>
      </c>
      <c r="D22" s="6">
        <f t="shared" si="14"/>
        <v>2373</v>
      </c>
      <c r="E22" s="6">
        <f>IF(COUNTIF(I22:XFD22,"&gt;"&amp;0)=0,,HLOOKUP(COUNTIF(I22:XFD22,"&gt;"&amp;0)-1,I$1:XFD22,A22+1,FALSE))</f>
        <v>2373</v>
      </c>
      <c r="F22" s="7">
        <f>IF(COUNTIF(I22:XFD22,"&gt;"&amp;0)=0,,HLOOKUP(COUNTIF(I22:XFD22,"&gt;"&amp;0)-MIN($F$1+1,COUNTIF(I22:XFD22,"&gt;"&amp;0)),I$1:XFD22,A22+1,FALSE))</f>
        <v>853</v>
      </c>
      <c r="G22" s="8">
        <f t="shared" si="15"/>
        <v>1.2270711386878226</v>
      </c>
      <c r="H22" s="13" t="s">
        <v>78</v>
      </c>
      <c r="I22" s="9">
        <v>104</v>
      </c>
      <c r="J22" s="9">
        <v>129</v>
      </c>
      <c r="K22" s="9">
        <v>178</v>
      </c>
      <c r="L22" s="9">
        <v>242</v>
      </c>
      <c r="M22" s="9">
        <v>297</v>
      </c>
      <c r="N22" s="9">
        <v>497</v>
      </c>
      <c r="O22" s="9">
        <v>648</v>
      </c>
      <c r="P22" s="9">
        <v>853</v>
      </c>
      <c r="Q22" s="9">
        <v>1009</v>
      </c>
      <c r="R22" s="9">
        <v>1328</v>
      </c>
      <c r="S22" s="9">
        <v>1633</v>
      </c>
      <c r="T22" s="9">
        <v>1998</v>
      </c>
      <c r="U22" s="9">
        <v>2373</v>
      </c>
    </row>
    <row r="23" spans="1:48" x14ac:dyDescent="0.25">
      <c r="A23" s="9">
        <f t="shared" si="7"/>
        <v>22</v>
      </c>
      <c r="B23" s="9">
        <f t="array" ref="B23">IF(C23="",0,IF(OR(C23=Country_Comparison!$S$10:$S$29),1,0))</f>
        <v>0</v>
      </c>
      <c r="C23" s="9" t="str">
        <f t="shared" si="13"/>
        <v>Qatar</v>
      </c>
      <c r="D23" s="6">
        <f t="shared" si="14"/>
        <v>460</v>
      </c>
      <c r="E23" s="6">
        <f>IF(COUNTIF(I23:XFD23,"&gt;"&amp;0)=0,,HLOOKUP(COUNTIF(I23:XFD23,"&gt;"&amp;0)-1,I$1:XFD23,A23+1,FALSE))</f>
        <v>460</v>
      </c>
      <c r="F23" s="7">
        <f>IF(COUNTIF(I23:XFD23,"&gt;"&amp;0)=0,,HLOOKUP(COUNTIF(I23:XFD23,"&gt;"&amp;0)-MIN($F$1+1,COUNTIF(I23:XFD23,"&gt;"&amp;0)),I$1:XFD23,A23+1,FALSE))</f>
        <v>397</v>
      </c>
      <c r="G23" s="8">
        <f t="shared" si="15"/>
        <v>1.029896221931627</v>
      </c>
      <c r="H23" s="13" t="s">
        <v>101</v>
      </c>
      <c r="I23" s="9">
        <v>262</v>
      </c>
      <c r="J23" s="9">
        <v>262</v>
      </c>
      <c r="K23" s="9">
        <v>320</v>
      </c>
      <c r="L23" s="9">
        <v>333</v>
      </c>
      <c r="M23" s="9">
        <v>397</v>
      </c>
      <c r="N23" s="9">
        <v>435</v>
      </c>
      <c r="O23" s="9">
        <v>435</v>
      </c>
      <c r="P23" s="9">
        <v>448</v>
      </c>
      <c r="Q23" s="9">
        <v>456</v>
      </c>
      <c r="R23" s="9">
        <v>460</v>
      </c>
    </row>
    <row r="24" spans="1:48" x14ac:dyDescent="0.25">
      <c r="A24" s="9">
        <f t="shared" si="7"/>
        <v>23</v>
      </c>
      <c r="B24" s="9">
        <f t="array" ref="B24">IF(C24="",0,IF(OR(C24=Country_Comparison!$S$10:$S$29),1,0))</f>
        <v>0</v>
      </c>
      <c r="C24" s="9" t="str">
        <f t="shared" si="13"/>
        <v>Australia</v>
      </c>
      <c r="D24" s="6">
        <f t="shared" si="14"/>
        <v>758</v>
      </c>
      <c r="E24" s="6">
        <f>IF(COUNTIF(I24:XFD24,"&gt;"&amp;0)=0,,HLOOKUP(COUNTIF(I24:XFD24,"&gt;"&amp;0)-1,I$1:XFD24,A24+1,FALSE))</f>
        <v>758</v>
      </c>
      <c r="F24" s="7">
        <f>IF(COUNTIF(I24:XFD24,"&gt;"&amp;0)=0,,HLOOKUP(COUNTIF(I24:XFD24,"&gt;"&amp;0)-MIN($F$1+1,COUNTIF(I24:XFD24,"&gt;"&amp;0)),I$1:XFD24,A24+1,FALSE))</f>
        <v>271</v>
      </c>
      <c r="G24" s="8">
        <f t="shared" si="15"/>
        <v>1.228400495497356</v>
      </c>
      <c r="H24" s="13" t="s">
        <v>48</v>
      </c>
      <c r="I24" s="9">
        <v>83</v>
      </c>
      <c r="J24" s="9">
        <v>104</v>
      </c>
      <c r="K24" s="9">
        <v>104</v>
      </c>
      <c r="L24" s="9">
        <v>174</v>
      </c>
      <c r="M24" s="9">
        <v>224</v>
      </c>
      <c r="N24" s="9">
        <v>271</v>
      </c>
      <c r="O24" s="9">
        <v>351</v>
      </c>
      <c r="P24" s="9">
        <v>424</v>
      </c>
      <c r="Q24" s="9">
        <v>539</v>
      </c>
      <c r="R24" s="9">
        <v>649</v>
      </c>
      <c r="S24" s="9">
        <v>758</v>
      </c>
    </row>
    <row r="25" spans="1:48" x14ac:dyDescent="0.25">
      <c r="A25" s="9">
        <f t="shared" si="7"/>
        <v>24</v>
      </c>
      <c r="B25" s="9">
        <f t="array" ref="B25">IF(C25="",0,IF(OR(C25=Country_Comparison!$S$10:$S$29),1,0))</f>
        <v>0</v>
      </c>
      <c r="C25" s="9" t="str">
        <f t="shared" si="13"/>
        <v>Singapore</v>
      </c>
      <c r="D25" s="6">
        <f t="shared" si="14"/>
        <v>261</v>
      </c>
      <c r="E25" s="6">
        <f>IF(COUNTIF(I25:XFD25,"&gt;"&amp;0)=0,,HLOOKUP(COUNTIF(I25:XFD25,"&gt;"&amp;0)-1,I$1:XFD25,A25+1,FALSE))</f>
        <v>261</v>
      </c>
      <c r="F25" s="7">
        <f>IF(COUNTIF(I25:XFD25,"&gt;"&amp;0)=0,,HLOOKUP(COUNTIF(I25:XFD25,"&gt;"&amp;0)-MIN($F$1+1,COUNTIF(I25:XFD25,"&gt;"&amp;0)),I$1:XFD25,A25+1,FALSE))</f>
        <v>121</v>
      </c>
      <c r="G25" s="8">
        <f t="shared" si="15"/>
        <v>1.166194603467785</v>
      </c>
      <c r="H25" s="13" t="s">
        <v>40</v>
      </c>
      <c r="I25" s="9">
        <v>30</v>
      </c>
      <c r="J25" s="9">
        <v>34</v>
      </c>
      <c r="K25" s="9">
        <v>30</v>
      </c>
      <c r="L25" s="9">
        <v>32</v>
      </c>
      <c r="M25" s="9">
        <v>32</v>
      </c>
      <c r="N25" s="9">
        <v>39</v>
      </c>
      <c r="O25" s="9">
        <v>52</v>
      </c>
      <c r="P25" s="9">
        <v>60</v>
      </c>
      <c r="Q25" s="9">
        <v>72</v>
      </c>
      <c r="R25" s="9">
        <v>72</v>
      </c>
      <c r="S25" s="9">
        <v>82</v>
      </c>
      <c r="T25" s="9">
        <v>82</v>
      </c>
      <c r="U25" s="9">
        <v>82</v>
      </c>
      <c r="V25" s="9">
        <v>103</v>
      </c>
      <c r="W25" s="9">
        <v>107</v>
      </c>
      <c r="X25" s="9">
        <v>121</v>
      </c>
      <c r="Y25" s="9">
        <v>134</v>
      </c>
      <c r="Z25" s="9">
        <v>152</v>
      </c>
      <c r="AA25" s="9">
        <v>199</v>
      </c>
      <c r="AB25" s="9">
        <v>231</v>
      </c>
      <c r="AC25" s="9">
        <v>261</v>
      </c>
    </row>
    <row r="26" spans="1:48" x14ac:dyDescent="0.25">
      <c r="A26" s="9">
        <f t="shared" si="7"/>
        <v>25</v>
      </c>
      <c r="B26" s="9">
        <f t="array" ref="B26">IF(C26="",0,IF(OR(C26=Country_Comparison!$S$10:$S$29),1,0))</f>
        <v>0</v>
      </c>
      <c r="C26" s="9" t="str">
        <f t="shared" si="13"/>
        <v>Malaysia</v>
      </c>
      <c r="D26" s="6">
        <f t="shared" si="14"/>
        <v>940</v>
      </c>
      <c r="E26" s="6">
        <f>IF(COUNTIF(I26:XFD26,"&gt;"&amp;0)=0,,HLOOKUP(COUNTIF(I26:XFD26,"&gt;"&amp;0)-1,I$1:XFD26,A26+1,FALSE))</f>
        <v>940</v>
      </c>
      <c r="F26" s="7">
        <f>IF(COUNTIF(I26:XFD26,"&gt;"&amp;0)=0,,HLOOKUP(COUNTIF(I26:XFD26,"&gt;"&amp;0)-MIN($F$1+1,COUNTIF(I26:XFD26,"&gt;"&amp;0)),I$1:XFD26,A26+1,FALSE))</f>
        <v>386</v>
      </c>
      <c r="G26" s="8">
        <f t="shared" si="15"/>
        <v>1.194835478679017</v>
      </c>
      <c r="H26" s="13" t="s">
        <v>43</v>
      </c>
      <c r="I26" s="9">
        <v>93</v>
      </c>
      <c r="J26" s="9">
        <v>105</v>
      </c>
      <c r="K26" s="9">
        <v>123</v>
      </c>
      <c r="L26" s="9">
        <v>123</v>
      </c>
      <c r="M26" s="9">
        <v>171</v>
      </c>
      <c r="N26" s="9">
        <v>203</v>
      </c>
      <c r="O26" s="9">
        <v>386</v>
      </c>
      <c r="P26" s="9">
        <v>524</v>
      </c>
      <c r="Q26" s="9">
        <v>622</v>
      </c>
      <c r="R26" s="9">
        <v>728</v>
      </c>
      <c r="S26" s="9">
        <v>823</v>
      </c>
      <c r="T26" s="9">
        <v>940</v>
      </c>
    </row>
    <row r="27" spans="1:48" x14ac:dyDescent="0.25">
      <c r="A27" s="9">
        <f t="shared" si="7"/>
        <v>26</v>
      </c>
      <c r="B27" s="9">
        <f t="array" ref="B27">IF(C27="",0,IF(OR(C27=Country_Comparison!$S$10:$S$29),1,0))</f>
        <v>0</v>
      </c>
      <c r="C27" s="9" t="str">
        <f t="shared" si="13"/>
        <v>Canada</v>
      </c>
      <c r="D27" s="6">
        <f t="shared" si="14"/>
        <v>922</v>
      </c>
      <c r="E27" s="6">
        <f>IF(COUNTIF(I27:XFD27,"&gt;"&amp;0)=0,,HLOOKUP(COUNTIF(I27:XFD27,"&gt;"&amp;0)-1,I$1:XFD27,A27+1,FALSE))</f>
        <v>922</v>
      </c>
      <c r="F27" s="7">
        <f>IF(COUNTIF(I27:XFD27,"&gt;"&amp;0)=0,,HLOOKUP(COUNTIF(I27:XFD27,"&gt;"&amp;0)-MIN($F$1+1,COUNTIF(I27:XFD27,"&gt;"&amp;0)),I$1:XFD27,A27+1,FALSE))</f>
        <v>243</v>
      </c>
      <c r="G27" s="8">
        <f t="shared" si="15"/>
        <v>1.3056444575016242</v>
      </c>
      <c r="H27" s="13" t="s">
        <v>45</v>
      </c>
      <c r="I27" s="9">
        <v>99</v>
      </c>
      <c r="J27" s="9">
        <v>108</v>
      </c>
      <c r="K27" s="9">
        <v>184</v>
      </c>
      <c r="L27" s="9">
        <v>189</v>
      </c>
      <c r="M27" s="9">
        <v>243</v>
      </c>
      <c r="N27" s="9">
        <v>402</v>
      </c>
      <c r="O27" s="9">
        <v>464</v>
      </c>
      <c r="P27" s="9">
        <v>640</v>
      </c>
      <c r="Q27" s="9">
        <v>782</v>
      </c>
      <c r="R27" s="9">
        <v>922</v>
      </c>
    </row>
    <row r="28" spans="1:48" x14ac:dyDescent="0.25">
      <c r="A28" s="9">
        <f t="shared" si="7"/>
        <v>27</v>
      </c>
      <c r="B28" s="9">
        <f t="array" ref="B28">IF(C28="",0,IF(OR(C28=Country_Comparison!$S$10:$S$29),1,0))</f>
        <v>0</v>
      </c>
      <c r="C28" s="9" t="str">
        <f t="shared" si="13"/>
        <v>Greece</v>
      </c>
      <c r="D28" s="6">
        <f t="shared" si="14"/>
        <v>470</v>
      </c>
      <c r="E28" s="6">
        <f>IF(COUNTIF(I28:XFD28,"&gt;"&amp;0)=0,,HLOOKUP(COUNTIF(I28:XFD28,"&gt;"&amp;0)-1,I$1:XFD28,A28+1,FALSE))</f>
        <v>470</v>
      </c>
      <c r="F28" s="7">
        <f>IF(COUNTIF(I28:XFD28,"&gt;"&amp;0)=0,,HLOOKUP(COUNTIF(I28:XFD28,"&gt;"&amp;0)-MIN($F$1+1,COUNTIF(I28:XFD28,"&gt;"&amp;0)),I$1:XFD28,A28+1,FALSE))</f>
        <v>319</v>
      </c>
      <c r="G28" s="8">
        <f t="shared" si="15"/>
        <v>1.0805912211937387</v>
      </c>
      <c r="H28" s="13" t="s">
        <v>83</v>
      </c>
      <c r="I28" s="9">
        <v>189</v>
      </c>
      <c r="J28" s="9">
        <v>217</v>
      </c>
      <c r="K28" s="9">
        <v>319</v>
      </c>
      <c r="L28" s="9">
        <v>319</v>
      </c>
      <c r="M28" s="9">
        <v>374</v>
      </c>
      <c r="N28" s="9">
        <v>405</v>
      </c>
      <c r="O28" s="9">
        <v>404</v>
      </c>
      <c r="P28" s="9">
        <v>470</v>
      </c>
    </row>
    <row r="29" spans="1:48" x14ac:dyDescent="0.25">
      <c r="A29" s="9">
        <f t="shared" si="7"/>
        <v>28</v>
      </c>
      <c r="B29" s="9">
        <f t="array" ref="B29">IF(C29="",0,IF(OR(C29=Country_Comparison!$S$10:$S$29),1,0))</f>
        <v>0</v>
      </c>
      <c r="C29" s="9" t="str">
        <f t="shared" si="13"/>
        <v>Bahrain</v>
      </c>
      <c r="D29" s="6">
        <f t="shared" si="14"/>
        <v>184</v>
      </c>
      <c r="E29" s="6">
        <f>IF(COUNTIF(I29:XFD29,"&gt;"&amp;0)=0,,HLOOKUP(COUNTIF(I29:XFD29,"&gt;"&amp;0)-1,I$1:XFD29,A29+1,FALSE))</f>
        <v>184</v>
      </c>
      <c r="F29" s="7">
        <f>IF(COUNTIF(I29:XFD29,"&gt;"&amp;0)=0,,HLOOKUP(COUNTIF(I29:XFD29,"&gt;"&amp;0)-MIN($F$1+1,COUNTIF(I29:XFD29,"&gt;"&amp;0)),I$1:XFD29,A29+1,FALSE))</f>
        <v>154</v>
      </c>
      <c r="G29" s="8">
        <f t="shared" si="15"/>
        <v>1.0362377760232777</v>
      </c>
      <c r="H29" s="13" t="s">
        <v>73</v>
      </c>
      <c r="I29" s="9">
        <v>88</v>
      </c>
      <c r="J29" s="9">
        <v>160</v>
      </c>
      <c r="K29" s="9">
        <v>160</v>
      </c>
      <c r="L29" s="9">
        <v>145</v>
      </c>
      <c r="M29" s="9">
        <v>166</v>
      </c>
      <c r="N29" s="9">
        <v>154</v>
      </c>
      <c r="O29" s="9">
        <v>136</v>
      </c>
      <c r="P29" s="9">
        <v>146</v>
      </c>
      <c r="Q29" s="9">
        <v>167</v>
      </c>
      <c r="R29" s="9">
        <v>177</v>
      </c>
      <c r="S29" s="9">
        <v>184</v>
      </c>
    </row>
    <row r="30" spans="1:48" x14ac:dyDescent="0.25">
      <c r="A30" s="9">
        <f t="shared" si="7"/>
        <v>29</v>
      </c>
      <c r="B30" s="9">
        <f t="array" ref="B30">IF(C30="",0,IF(OR(C30=Country_Comparison!$S$10:$S$29),1,0))</f>
        <v>0</v>
      </c>
      <c r="C30" s="9" t="str">
        <f t="shared" si="13"/>
        <v>Israel</v>
      </c>
      <c r="D30" s="6">
        <f t="shared" si="14"/>
        <v>691</v>
      </c>
      <c r="E30" s="6">
        <f>IF(COUNTIF(I30:XFD30,"&gt;"&amp;0)=0,,HLOOKUP(COUNTIF(I30:XFD30,"&gt;"&amp;0)-1,I$1:XFD30,A30+1,FALSE))</f>
        <v>691</v>
      </c>
      <c r="F30" s="7">
        <f>IF(COUNTIF(I30:XFD30,"&gt;"&amp;0)=0,,HLOOKUP(COUNTIF(I30:XFD30,"&gt;"&amp;0)-MIN($F$1+1,COUNTIF(I30:XFD30,"&gt;"&amp;0)),I$1:XFD30,A30+1,FALSE))</f>
        <v>247</v>
      </c>
      <c r="G30" s="8">
        <f t="shared" si="15"/>
        <v>1.2284464194638829</v>
      </c>
      <c r="H30" s="13" t="s">
        <v>79</v>
      </c>
      <c r="I30" s="9">
        <v>105</v>
      </c>
      <c r="J30" s="9">
        <v>127</v>
      </c>
      <c r="K30" s="9">
        <v>157</v>
      </c>
      <c r="L30" s="9">
        <v>189</v>
      </c>
      <c r="M30" s="9">
        <v>247</v>
      </c>
      <c r="N30" s="9">
        <v>251</v>
      </c>
      <c r="O30" s="9">
        <v>326</v>
      </c>
      <c r="P30" s="9">
        <v>422</v>
      </c>
      <c r="Q30" s="9">
        <v>666</v>
      </c>
      <c r="R30" s="9">
        <v>691</v>
      </c>
    </row>
    <row r="31" spans="1:48" x14ac:dyDescent="0.25">
      <c r="A31" s="9">
        <f t="shared" si="7"/>
        <v>30</v>
      </c>
      <c r="B31" s="9">
        <f t="array" ref="B31">IF(C31="",0,IF(OR(C31=Country_Comparison!$S$10:$S$29),1,0))</f>
        <v>0</v>
      </c>
      <c r="C31" s="9" t="str">
        <f t="shared" si="13"/>
        <v>Finland</v>
      </c>
      <c r="D31" s="6">
        <f t="shared" si="14"/>
        <v>440</v>
      </c>
      <c r="E31" s="6">
        <f>IF(COUNTIF(I31:XFD31,"&gt;"&amp;0)=0,,HLOOKUP(COUNTIF(I31:XFD31,"&gt;"&amp;0)-1,I$1:XFD31,A31+1,FALSE))</f>
        <v>440</v>
      </c>
      <c r="F31" s="7">
        <f>IF(COUNTIF(I31:XFD31,"&gt;"&amp;0)=0,,HLOOKUP(COUNTIF(I31:XFD31,"&gt;"&amp;0)-MIN($F$1+1,COUNTIF(I31:XFD31,"&gt;"&amp;0)),I$1:XFD31,A31+1,FALSE))</f>
        <v>234</v>
      </c>
      <c r="G31" s="8">
        <f t="shared" si="15"/>
        <v>1.1346119773553296</v>
      </c>
      <c r="H31" s="13" t="s">
        <v>54</v>
      </c>
      <c r="I31" s="9">
        <v>154</v>
      </c>
      <c r="J31" s="9">
        <v>224</v>
      </c>
      <c r="K31" s="9">
        <v>234</v>
      </c>
      <c r="L31" s="9">
        <v>267</v>
      </c>
      <c r="M31" s="9">
        <v>311</v>
      </c>
      <c r="N31" s="9">
        <v>326</v>
      </c>
      <c r="O31" s="9">
        <v>390</v>
      </c>
      <c r="P31" s="9">
        <v>440</v>
      </c>
    </row>
    <row r="32" spans="1:48" x14ac:dyDescent="0.25">
      <c r="A32" s="9">
        <f t="shared" si="7"/>
        <v>31</v>
      </c>
      <c r="B32" s="9">
        <f t="array" ref="B32">IF(C32="",0,IF(OR(C32=Country_Comparison!$S$10:$S$29),1,0))</f>
        <v>0</v>
      </c>
      <c r="C32" s="9" t="str">
        <f t="shared" si="13"/>
        <v>Brazil</v>
      </c>
      <c r="D32" s="6">
        <f t="shared" si="14"/>
        <v>780</v>
      </c>
      <c r="E32" s="6">
        <f>IF(COUNTIF(I32:XFD32,"&gt;"&amp;0)=0,,HLOOKUP(COUNTIF(I32:XFD32,"&gt;"&amp;0)-1,I$1:XFD32,A32+1,FALSE))</f>
        <v>780</v>
      </c>
      <c r="F32" s="7">
        <f>IF(COUNTIF(I32:XFD32,"&gt;"&amp;0)=0,,HLOOKUP(COUNTIF(I32:XFD32,"&gt;"&amp;0)-MIN($F$1+1,COUNTIF(I32:XFD32,"&gt;"&amp;0)),I$1:XFD32,A32+1,FALSE))</f>
        <v>162</v>
      </c>
      <c r="G32" s="8">
        <f t="shared" si="15"/>
        <v>1.3693545766398905</v>
      </c>
      <c r="H32" s="13" t="s">
        <v>81</v>
      </c>
      <c r="I32" s="9">
        <v>151</v>
      </c>
      <c r="J32" s="9">
        <v>151</v>
      </c>
      <c r="K32" s="9">
        <v>162</v>
      </c>
      <c r="L32" s="9">
        <v>199</v>
      </c>
      <c r="M32" s="9">
        <v>318</v>
      </c>
      <c r="N32" s="9">
        <v>367</v>
      </c>
      <c r="O32" s="9">
        <v>613</v>
      </c>
      <c r="P32" s="9">
        <v>780</v>
      </c>
    </row>
    <row r="33" spans="1:17" x14ac:dyDescent="0.25">
      <c r="A33" s="9">
        <f t="shared" si="7"/>
        <v>32</v>
      </c>
      <c r="B33" s="9">
        <f t="array" ref="B33">IF(C33="",0,IF(OR(C33=Country_Comparison!$S$10:$S$29),1,0))</f>
        <v>0</v>
      </c>
      <c r="C33" s="9" t="str">
        <f t="shared" si="13"/>
        <v>Czechia</v>
      </c>
      <c r="D33" s="6">
        <f t="shared" si="14"/>
        <v>829</v>
      </c>
      <c r="E33" s="6">
        <f>IF(COUNTIF(I33:XFD33,"&gt;"&amp;0)=0,,HLOOKUP(COUNTIF(I33:XFD33,"&gt;"&amp;0)-1,I$1:XFD33,A33+1,FALSE))</f>
        <v>829</v>
      </c>
      <c r="F33" s="7">
        <f>IF(COUNTIF(I33:XFD33,"&gt;"&amp;0)=0,,HLOOKUP(COUNTIF(I33:XFD33,"&gt;"&amp;0)-MIN($F$1+1,COUNTIF(I33:XFD33,"&gt;"&amp;0)),I$1:XFD33,A33+1,FALSE))</f>
        <v>253</v>
      </c>
      <c r="G33" s="8">
        <f t="shared" si="15"/>
        <v>1.2679052551137908</v>
      </c>
      <c r="H33" s="13" t="s">
        <v>341</v>
      </c>
      <c r="I33" s="9">
        <v>141</v>
      </c>
      <c r="J33" s="9">
        <v>189</v>
      </c>
      <c r="K33" s="9">
        <v>253</v>
      </c>
      <c r="L33" s="9">
        <v>295</v>
      </c>
      <c r="M33" s="9">
        <v>393</v>
      </c>
      <c r="N33" s="9">
        <v>461</v>
      </c>
      <c r="O33" s="9">
        <v>691</v>
      </c>
      <c r="P33" s="9">
        <v>829</v>
      </c>
    </row>
    <row r="34" spans="1:17" x14ac:dyDescent="0.25">
      <c r="A34" s="9">
        <f t="shared" si="7"/>
        <v>33</v>
      </c>
      <c r="B34" s="9">
        <f t="array" ref="B34">IF(C34="",0,IF(OR(C34=Country_Comparison!$S$10:$S$29),1,0))</f>
        <v>0</v>
      </c>
      <c r="C34" s="9" t="str">
        <f t="shared" si="13"/>
        <v>Slovenia</v>
      </c>
      <c r="D34" s="6">
        <f t="shared" si="14"/>
        <v>340</v>
      </c>
      <c r="E34" s="6">
        <f>IF(COUNTIF(I34:XFD34,"&gt;"&amp;0)=0,,HLOOKUP(COUNTIF(I34:XFD34,"&gt;"&amp;0)-1,I$1:XFD34,A34+1,FALSE))</f>
        <v>340</v>
      </c>
      <c r="F34" s="7">
        <f>IF(COUNTIF(I34:XFD34,"&gt;"&amp;0)=0,,HLOOKUP(COUNTIF(I34:XFD34,"&gt;"&amp;0)-MIN($F$1+1,COUNTIF(I34:XFD34,"&gt;"&amp;0)),I$1:XFD34,A34+1,FALSE))</f>
        <v>218</v>
      </c>
      <c r="G34" s="8">
        <f t="shared" si="15"/>
        <v>1.0929605453465414</v>
      </c>
      <c r="H34" s="13" t="s">
        <v>141</v>
      </c>
      <c r="I34" s="9">
        <v>141</v>
      </c>
      <c r="J34" s="9">
        <v>180</v>
      </c>
      <c r="K34" s="9">
        <v>218</v>
      </c>
      <c r="L34" s="9">
        <v>252</v>
      </c>
      <c r="M34" s="9">
        <v>274</v>
      </c>
      <c r="N34" s="9">
        <v>274</v>
      </c>
      <c r="O34" s="9">
        <v>285</v>
      </c>
      <c r="P34" s="9">
        <v>340</v>
      </c>
    </row>
    <row r="35" spans="1:17" x14ac:dyDescent="0.25">
      <c r="A35" s="9">
        <f t="shared" si="7"/>
        <v>34</v>
      </c>
      <c r="B35" s="9">
        <f t="array" ref="B35">IF(C35="",0,IF(OR(C35=Country_Comparison!$S$10:$S$29),1,0))</f>
        <v>0</v>
      </c>
      <c r="C35" s="9" t="str">
        <f t="shared" si="13"/>
        <v>Iceland</v>
      </c>
      <c r="D35" s="6">
        <f t="shared" si="14"/>
        <v>404</v>
      </c>
      <c r="E35" s="6">
        <f>IF(COUNTIF(I35:XFD35,"&gt;"&amp;0)=0,,HLOOKUP(COUNTIF(I35:XFD35,"&gt;"&amp;0)-1,I$1:XFD35,A35+1,FALSE))</f>
        <v>404</v>
      </c>
      <c r="F35" s="7">
        <f>IF(COUNTIF(I35:XFD35,"&gt;"&amp;0)=0,,HLOOKUP(COUNTIF(I35:XFD35,"&gt;"&amp;0)-MIN($F$1+1,COUNTIF(I35:XFD35,"&gt;"&amp;0)),I$1:XFD35,A35+1,FALSE))</f>
        <v>158</v>
      </c>
      <c r="G35" s="8">
        <f t="shared" si="15"/>
        <v>1.2065486988263465</v>
      </c>
      <c r="H35" s="13" t="s">
        <v>92</v>
      </c>
      <c r="I35" s="9">
        <v>102</v>
      </c>
      <c r="J35" s="9">
        <v>133</v>
      </c>
      <c r="K35" s="9">
        <v>155</v>
      </c>
      <c r="L35" s="9">
        <v>158</v>
      </c>
      <c r="M35" s="9">
        <v>180</v>
      </c>
      <c r="N35" s="9">
        <v>219</v>
      </c>
      <c r="O35" s="9">
        <v>244</v>
      </c>
      <c r="P35" s="9">
        <v>324</v>
      </c>
      <c r="Q35" s="9">
        <v>404</v>
      </c>
    </row>
    <row r="36" spans="1:17" x14ac:dyDescent="0.25">
      <c r="A36" s="9">
        <f t="shared" si="7"/>
        <v>35</v>
      </c>
      <c r="B36" s="9">
        <f t="array" ref="B36">IF(C36="",0,IF(OR(C36=Country_Comparison!$S$10:$S$29),1,0))</f>
        <v>0</v>
      </c>
      <c r="C36" s="9" t="str">
        <f t="shared" si="13"/>
        <v>Portugal</v>
      </c>
      <c r="D36" s="6">
        <f t="shared" si="14"/>
        <v>1009</v>
      </c>
      <c r="E36" s="6">
        <f>IF(COUNTIF(I36:XFD36,"&gt;"&amp;0)=0,,HLOOKUP(COUNTIF(I36:XFD36,"&gt;"&amp;0)-1,I$1:XFD36,A36+1,FALSE))</f>
        <v>1009</v>
      </c>
      <c r="F36" s="7">
        <f>IF(COUNTIF(I36:XFD36,"&gt;"&amp;0)=0,,HLOOKUP(COUNTIF(I36:XFD36,"&gt;"&amp;0)-MIN($F$1+1,COUNTIF(I36:XFD36,"&gt;"&amp;0)),I$1:XFD36,A36+1,FALSE))</f>
        <v>243</v>
      </c>
      <c r="G36" s="8">
        <f t="shared" si="15"/>
        <v>1.3294039918980931</v>
      </c>
      <c r="H36" s="13" t="s">
        <v>108</v>
      </c>
      <c r="I36" s="9">
        <v>111</v>
      </c>
      <c r="J36" s="9">
        <v>167</v>
      </c>
      <c r="K36" s="9">
        <v>243</v>
      </c>
      <c r="L36" s="9">
        <v>328</v>
      </c>
      <c r="M36" s="9">
        <v>444</v>
      </c>
      <c r="N36" s="9">
        <v>443</v>
      </c>
      <c r="O36" s="9">
        <v>779</v>
      </c>
      <c r="P36" s="9">
        <v>1009</v>
      </c>
    </row>
    <row r="37" spans="1:17" x14ac:dyDescent="0.25">
      <c r="A37" s="9">
        <f t="shared" si="7"/>
        <v>36</v>
      </c>
      <c r="B37" s="9">
        <f t="array" ref="B37">IF(C37="",0,IF(OR(C37=Country_Comparison!$S$10:$S$29),1,0))</f>
        <v>0</v>
      </c>
      <c r="C37" s="9" t="str">
        <f t="shared" si="13"/>
        <v>Iraq</v>
      </c>
      <c r="D37" s="6">
        <f t="shared" si="14"/>
        <v>142</v>
      </c>
      <c r="E37" s="6">
        <f>IF(COUNTIF(I37:XFD37,"&gt;"&amp;0)=0,,HLOOKUP(COUNTIF(I37:XFD37,"&gt;"&amp;0)-1,I$1:XFD37,A37+1,FALSE))</f>
        <v>142</v>
      </c>
      <c r="F37" s="7">
        <f>IF(COUNTIF(I37:XFD37,"&gt;"&amp;0)=0,,HLOOKUP(COUNTIF(I37:XFD37,"&gt;"&amp;0)-MIN($F$1+1,COUNTIF(I37:XFD37,"&gt;"&amp;0)),I$1:XFD37,A37+1,FALSE))</f>
        <v>80</v>
      </c>
      <c r="G37" s="8">
        <f t="shared" si="15"/>
        <v>1.121604315125722</v>
      </c>
      <c r="H37" s="13" t="s">
        <v>70</v>
      </c>
      <c r="I37" s="9">
        <v>68</v>
      </c>
      <c r="J37" s="9">
        <v>74</v>
      </c>
      <c r="K37" s="9">
        <v>80</v>
      </c>
      <c r="L37" s="9">
        <v>88</v>
      </c>
      <c r="M37" s="9">
        <v>111</v>
      </c>
      <c r="N37" s="9">
        <v>109</v>
      </c>
      <c r="O37" s="9">
        <v>136</v>
      </c>
      <c r="P37" s="9">
        <v>142</v>
      </c>
    </row>
    <row r="38" spans="1:17" x14ac:dyDescent="0.25">
      <c r="A38" s="9">
        <f t="shared" si="7"/>
        <v>37</v>
      </c>
      <c r="B38" s="9">
        <f t="array" ref="B38">IF(C38="",0,IF(OR(C38=Country_Comparison!$S$10:$S$29),1,0))</f>
        <v>0</v>
      </c>
      <c r="C38" s="9" t="str">
        <f t="shared" si="13"/>
        <v>Ireland</v>
      </c>
      <c r="D38" s="6">
        <f t="shared" si="14"/>
        <v>675</v>
      </c>
      <c r="E38" s="6">
        <f>IF(COUNTIF(I38:XFD38,"&gt;"&amp;0)=0,,HLOOKUP(COUNTIF(I38:XFD38,"&gt;"&amp;0)-1,I$1:XFD38,A38+1,FALSE))</f>
        <v>675</v>
      </c>
      <c r="F38" s="7">
        <f>IF(COUNTIF(I38:XFD38,"&gt;"&amp;0)=0,,HLOOKUP(COUNTIF(I38:XFD38,"&gt;"&amp;0)-MIN($F$1+1,COUNTIF(I38:XFD38,"&gt;"&amp;0)),I$1:XFD38,A38+1,FALSE))</f>
        <v>127</v>
      </c>
      <c r="G38" s="8">
        <f t="shared" si="15"/>
        <v>1.3966899571390596</v>
      </c>
      <c r="H38" s="13" t="s">
        <v>98</v>
      </c>
      <c r="I38" s="9">
        <v>127</v>
      </c>
      <c r="J38" s="9">
        <v>127</v>
      </c>
      <c r="K38" s="9">
        <v>167</v>
      </c>
      <c r="L38" s="9">
        <v>216</v>
      </c>
      <c r="M38" s="9">
        <v>285</v>
      </c>
      <c r="N38" s="9">
        <v>549</v>
      </c>
      <c r="O38" s="9">
        <v>675</v>
      </c>
    </row>
    <row r="39" spans="1:17" x14ac:dyDescent="0.25">
      <c r="A39" s="9">
        <f t="shared" si="7"/>
        <v>38</v>
      </c>
      <c r="B39" s="9">
        <f t="array" ref="B39">IF(C39="",0,IF(OR(C39=Country_Comparison!$S$10:$S$29),1,0))</f>
        <v>0</v>
      </c>
      <c r="C39" s="9" t="str">
        <f t="shared" si="13"/>
        <v>Romania</v>
      </c>
      <c r="D39" s="6">
        <f t="shared" si="14"/>
        <v>283</v>
      </c>
      <c r="E39" s="6">
        <f>IF(COUNTIF(I39:XFD39,"&gt;"&amp;0)=0,,HLOOKUP(COUNTIF(I39:XFD39,"&gt;"&amp;0)-1,I$1:XFD39,A39+1,FALSE))</f>
        <v>283</v>
      </c>
      <c r="F39" s="7">
        <f>IF(COUNTIF(I39:XFD39,"&gt;"&amp;0)=0,,HLOOKUP(COUNTIF(I39:XFD39,"&gt;"&amp;0)-MIN($F$1+1,COUNTIF(I39:XFD39,"&gt;"&amp;0)),I$1:XFD39,A39+1,FALSE))</f>
        <v>122</v>
      </c>
      <c r="G39" s="8">
        <f t="shared" si="15"/>
        <v>1.1832739974736461</v>
      </c>
      <c r="H39" s="13" t="s">
        <v>86</v>
      </c>
      <c r="I39" s="9">
        <v>114</v>
      </c>
      <c r="J39" s="9">
        <v>122</v>
      </c>
      <c r="K39" s="9">
        <v>149</v>
      </c>
      <c r="L39" s="9">
        <v>168</v>
      </c>
      <c r="M39" s="9">
        <v>241</v>
      </c>
      <c r="N39" s="9">
        <v>252</v>
      </c>
      <c r="O39" s="9">
        <v>283</v>
      </c>
    </row>
    <row r="40" spans="1:17" x14ac:dyDescent="0.25">
      <c r="A40" s="9">
        <f t="shared" si="7"/>
        <v>39</v>
      </c>
      <c r="B40" s="9">
        <f t="array" ref="B40">IF(C40="",0,IF(OR(C40=Country_Comparison!$S$10:$S$29),1,0))</f>
        <v>0</v>
      </c>
      <c r="C40" s="9" t="str">
        <f t="shared" si="13"/>
        <v>Saudi Arabia</v>
      </c>
      <c r="D40" s="6">
        <f t="shared" si="14"/>
        <v>336</v>
      </c>
      <c r="E40" s="6">
        <f>IF(COUNTIF(I40:XFD40,"&gt;"&amp;0)=0,,HLOOKUP(COUNTIF(I40:XFD40,"&gt;"&amp;0)-1,I$1:XFD40,A40+1,FALSE))</f>
        <v>336</v>
      </c>
      <c r="F40" s="7">
        <f>IF(COUNTIF(I40:XFD40,"&gt;"&amp;0)=0,,HLOOKUP(COUNTIF(I40:XFD40,"&gt;"&amp;0)-MIN($F$1+1,COUNTIF(I40:XFD40,"&gt;"&amp;0)),I$1:XFD40,A40+1,FALSE))</f>
        <v>102</v>
      </c>
      <c r="G40" s="8">
        <f t="shared" si="15"/>
        <v>1.269251896883383</v>
      </c>
      <c r="H40" s="13" t="s">
        <v>113</v>
      </c>
      <c r="I40" s="9">
        <v>102</v>
      </c>
      <c r="J40" s="9">
        <v>102</v>
      </c>
      <c r="K40" s="9">
        <v>116</v>
      </c>
      <c r="L40" s="9">
        <v>165</v>
      </c>
      <c r="M40" s="9">
        <v>165</v>
      </c>
      <c r="N40" s="9">
        <v>268</v>
      </c>
      <c r="O40" s="9">
        <v>336</v>
      </c>
    </row>
    <row r="41" spans="1:17" x14ac:dyDescent="0.25">
      <c r="A41" s="9">
        <f t="shared" si="7"/>
        <v>40</v>
      </c>
      <c r="B41" s="9">
        <f t="array" ref="B41">IF(C41="",0,IF(OR(C41=Country_Comparison!$S$10:$S$29),1,0))</f>
        <v>0</v>
      </c>
      <c r="C41" s="9" t="str">
        <f t="shared" si="13"/>
        <v>United Arab Emirates</v>
      </c>
      <c r="D41" s="6">
        <f t="shared" si="14"/>
        <v>109</v>
      </c>
      <c r="E41" s="6">
        <f>IF(COUNTIF(I41:XFD41,"&gt;"&amp;0)=0,,HLOOKUP(COUNTIF(I41:XFD41,"&gt;"&amp;0)-1,I$1:XFD41,A41+1,FALSE))</f>
        <v>107</v>
      </c>
      <c r="F41" s="7">
        <f>IF(COUNTIF(I41:XFD41,"&gt;"&amp;0)=0,,HLOOKUP(COUNTIF(I41:XFD41,"&gt;"&amp;0)-MIN($F$1+1,COUNTIF(I41:XFD41,"&gt;"&amp;0)),I$1:XFD41,A41+1,FALSE))</f>
        <v>87</v>
      </c>
      <c r="G41" s="8">
        <f t="shared" si="15"/>
        <v>1.109001829336302</v>
      </c>
      <c r="H41" s="13" t="s">
        <v>55</v>
      </c>
      <c r="I41" s="9">
        <v>87</v>
      </c>
      <c r="J41" s="9">
        <v>109</v>
      </c>
      <c r="K41" s="9">
        <v>107</v>
      </c>
    </row>
    <row r="42" spans="1:17" x14ac:dyDescent="0.25">
      <c r="A42" s="9">
        <f t="shared" si="7"/>
        <v>41</v>
      </c>
      <c r="B42" s="9">
        <f t="array" ref="B42">IF(C42="",0,IF(OR(C42=Country_Comparison!$S$10:$S$29),1,0))</f>
        <v>0</v>
      </c>
      <c r="C42" s="9" t="str">
        <f t="shared" si="13"/>
        <v>India</v>
      </c>
      <c r="D42" s="6">
        <f t="shared" si="14"/>
        <v>219</v>
      </c>
      <c r="E42" s="6">
        <f>IF(COUNTIF(I42:XFD42,"&gt;"&amp;0)=0,,HLOOKUP(COUNTIF(I42:XFD42,"&gt;"&amp;0)-1,I$1:XFD42,A42+1,FALSE))</f>
        <v>219</v>
      </c>
      <c r="F42" s="7">
        <f>IF(COUNTIF(I42:XFD42,"&gt;"&amp;0)=0,,HLOOKUP(COUNTIF(I42:XFD42,"&gt;"&amp;0)-MIN($F$1+1,COUNTIF(I42:XFD42,"&gt;"&amp;0)),I$1:XFD42,A42+1,FALSE))</f>
        <v>98</v>
      </c>
      <c r="G42" s="8">
        <f t="shared" si="15"/>
        <v>1.1744745431203498</v>
      </c>
      <c r="H42" s="15" t="s">
        <v>57</v>
      </c>
      <c r="I42" s="9">
        <v>96</v>
      </c>
      <c r="J42" s="9">
        <v>98</v>
      </c>
      <c r="K42" s="9">
        <v>104</v>
      </c>
      <c r="L42" s="9">
        <v>125</v>
      </c>
      <c r="M42" s="9">
        <v>139</v>
      </c>
      <c r="N42" s="9">
        <v>175</v>
      </c>
      <c r="O42" s="9">
        <v>219</v>
      </c>
    </row>
    <row r="43" spans="1:17" x14ac:dyDescent="0.25">
      <c r="A43" s="9">
        <f t="shared" si="7"/>
        <v>42</v>
      </c>
      <c r="B43" s="9">
        <f t="array" ref="B43">IF(C43="",0,IF(OR(C43=Country_Comparison!$S$10:$S$29),1,0))</f>
        <v>0</v>
      </c>
      <c r="C43" s="9" t="str">
        <f t="shared" si="13"/>
        <v>Egypt</v>
      </c>
      <c r="D43" s="6">
        <f t="shared" si="14"/>
        <v>238</v>
      </c>
      <c r="E43" s="6">
        <f>IF(COUNTIF(I43:XFD43,"&gt;"&amp;0)=0,,HLOOKUP(COUNTIF(I43:XFD43,"&gt;"&amp;0)-1,I$1:XFD43,A43+1,FALSE))</f>
        <v>238</v>
      </c>
      <c r="F43" s="7">
        <f>IF(COUNTIF(I43:XFD43,"&gt;"&amp;0)=0,,HLOOKUP(COUNTIF(I43:XFD43,"&gt;"&amp;0)-MIN($F$1+1,COUNTIF(I43:XFD43,"&gt;"&amp;0)),I$1:XFD43,A43+1,FALSE))</f>
        <v>87</v>
      </c>
      <c r="G43" s="8">
        <f t="shared" si="15"/>
        <v>1.2229579959282071</v>
      </c>
      <c r="H43" s="13" t="s">
        <v>65</v>
      </c>
      <c r="I43" s="9">
        <v>80</v>
      </c>
      <c r="J43" s="9">
        <v>87</v>
      </c>
      <c r="K43" s="9">
        <v>121</v>
      </c>
      <c r="L43" s="9">
        <v>160</v>
      </c>
      <c r="M43" s="9">
        <v>158</v>
      </c>
      <c r="N43" s="9">
        <v>218</v>
      </c>
      <c r="O43" s="9">
        <v>238</v>
      </c>
    </row>
    <row r="44" spans="1:17" x14ac:dyDescent="0.25">
      <c r="A44" s="9">
        <f t="shared" si="7"/>
        <v>43</v>
      </c>
      <c r="B44" s="9">
        <f t="array" ref="B44">IF(C44="",0,IF(OR(C44=Country_Comparison!$S$10:$S$29),1,0))</f>
        <v>0</v>
      </c>
      <c r="C44" s="9" t="str">
        <f t="shared" si="13"/>
        <v>Kuwait</v>
      </c>
      <c r="D44" s="6">
        <f t="shared" si="14"/>
        <v>141</v>
      </c>
      <c r="E44" s="6">
        <f>IF(COUNTIF(I44:XFD44,"&gt;"&amp;0)=0,,HLOOKUP(COUNTIF(I44:XFD44,"&gt;"&amp;0)-1,I$1:XFD44,A44+1,FALSE))</f>
        <v>141</v>
      </c>
      <c r="F44" s="7">
        <f>IF(COUNTIF(I44:XFD44,"&gt;"&amp;0)=0,,HLOOKUP(COUNTIF(I44:XFD44,"&gt;"&amp;0)-MIN($F$1+1,COUNTIF(I44:XFD44,"&gt;"&amp;0)),I$1:XFD44,A44+1,FALSE))</f>
        <v>107</v>
      </c>
      <c r="G44" s="8">
        <f t="shared" si="15"/>
        <v>1.0567373726722085</v>
      </c>
      <c r="H44" s="13" t="s">
        <v>74</v>
      </c>
      <c r="I44" s="9">
        <v>99</v>
      </c>
      <c r="J44" s="9">
        <v>107</v>
      </c>
      <c r="K44" s="9">
        <v>114</v>
      </c>
      <c r="L44" s="9">
        <v>121</v>
      </c>
      <c r="M44" s="9">
        <v>127</v>
      </c>
      <c r="N44" s="9">
        <v>130</v>
      </c>
      <c r="O44" s="9">
        <v>141</v>
      </c>
    </row>
    <row r="45" spans="1:17" x14ac:dyDescent="0.25">
      <c r="A45" s="9">
        <f t="shared" si="7"/>
        <v>44</v>
      </c>
      <c r="B45" s="9">
        <f t="array" ref="B45">IF(C45="",0,IF(OR(C45=Country_Comparison!$S$10:$S$29),1,0))</f>
        <v>0</v>
      </c>
      <c r="C45" s="9" t="str">
        <f t="shared" si="13"/>
        <v>San Marino</v>
      </c>
      <c r="D45" s="6">
        <f t="shared" si="14"/>
        <v>126</v>
      </c>
      <c r="E45" s="6">
        <f>IF(COUNTIF(I45:XFD45,"&gt;"&amp;0)=0,,HLOOKUP(COUNTIF(I45:XFD45,"&gt;"&amp;0)-1,I$1:XFD45,A45+1,FALSE))</f>
        <v>126</v>
      </c>
      <c r="F45" s="7">
        <f>IF(COUNTIF(I45:XFD45,"&gt;"&amp;0)=0,,HLOOKUP(COUNTIF(I45:XFD45,"&gt;"&amp;0)-MIN($F$1+1,COUNTIF(I45:XFD45,"&gt;"&amp;0)),I$1:XFD45,A45+1,FALSE))</f>
        <v>92</v>
      </c>
      <c r="G45" s="8">
        <f t="shared" si="15"/>
        <v>1.0649189212487713</v>
      </c>
      <c r="H45" s="13" t="s">
        <v>90</v>
      </c>
      <c r="I45" s="9">
        <v>92</v>
      </c>
      <c r="J45" s="9">
        <v>98</v>
      </c>
      <c r="K45" s="9">
        <v>98</v>
      </c>
      <c r="L45" s="9">
        <v>104</v>
      </c>
      <c r="M45" s="9">
        <v>104</v>
      </c>
      <c r="N45" s="9">
        <v>126</v>
      </c>
    </row>
    <row r="46" spans="1:17" x14ac:dyDescent="0.25">
      <c r="A46" s="9">
        <f t="shared" si="7"/>
        <v>45</v>
      </c>
      <c r="B46" s="9">
        <f t="array" ref="B46">IF(C46="",0,IF(OR(C46=Country_Comparison!$S$10:$S$29),1,0))</f>
        <v>0</v>
      </c>
      <c r="C46" s="9" t="str">
        <f t="shared" si="13"/>
        <v>Estonia</v>
      </c>
      <c r="D46" s="6">
        <f t="shared" si="14"/>
        <v>282</v>
      </c>
      <c r="E46" s="6">
        <f>IF(COUNTIF(I46:XFD46,"&gt;"&amp;0)=0,,HLOOKUP(COUNTIF(I46:XFD46,"&gt;"&amp;0)-1,I$1:XFD46,A46+1,FALSE))</f>
        <v>282</v>
      </c>
      <c r="F46" s="7">
        <f>IF(COUNTIF(I46:XFD46,"&gt;"&amp;0)=0,,HLOOKUP(COUNTIF(I46:XFD46,"&gt;"&amp;0)-MIN($F$1+1,COUNTIF(I46:XFD46,"&gt;"&amp;0)),I$1:XFD46,A46+1,FALSE))</f>
        <v>170</v>
      </c>
      <c r="G46" s="8">
        <f t="shared" si="15"/>
        <v>1.1065219601141218</v>
      </c>
      <c r="H46" s="13" t="s">
        <v>88</v>
      </c>
      <c r="I46" s="9">
        <v>115</v>
      </c>
      <c r="J46" s="9">
        <v>170</v>
      </c>
      <c r="K46" s="9">
        <v>204</v>
      </c>
      <c r="L46" s="9">
        <v>224</v>
      </c>
      <c r="M46" s="9">
        <v>257</v>
      </c>
      <c r="N46" s="9">
        <v>266</v>
      </c>
      <c r="O46" s="9">
        <v>282</v>
      </c>
    </row>
    <row r="47" spans="1:17" x14ac:dyDescent="0.25">
      <c r="A47" s="9">
        <f t="shared" si="7"/>
        <v>46</v>
      </c>
      <c r="B47" s="9">
        <f t="array" ref="B47">IF(C47="",0,IF(OR(C47=Country_Comparison!$S$10:$S$29),1,0))</f>
        <v>0</v>
      </c>
      <c r="C47" s="9" t="str">
        <f t="shared" si="13"/>
        <v>Lebanon</v>
      </c>
      <c r="D47" s="6">
        <f t="shared" si="14"/>
        <v>155</v>
      </c>
      <c r="E47" s="6">
        <f>IF(COUNTIF(I47:XFD47,"&gt;"&amp;0)=0,,HLOOKUP(COUNTIF(I47:XFD47,"&gt;"&amp;0)-1,I$1:XFD47,A47+1,FALSE))</f>
        <v>155</v>
      </c>
      <c r="F47" s="7">
        <f>IF(COUNTIF(I47:XFD47,"&gt;"&amp;0)=0,,HLOOKUP(COUNTIF(I47:XFD47,"&gt;"&amp;0)-MIN($F$1+1,COUNTIF(I47:XFD47,"&gt;"&amp;0)),I$1:XFD47,A47+1,FALSE))</f>
        <v>106</v>
      </c>
      <c r="G47" s="8">
        <f t="shared" si="15"/>
        <v>1.0789595579879105</v>
      </c>
      <c r="H47" s="13" t="s">
        <v>67</v>
      </c>
      <c r="I47" s="9">
        <v>106</v>
      </c>
      <c r="J47" s="9">
        <v>95</v>
      </c>
      <c r="K47" s="9">
        <v>114</v>
      </c>
      <c r="L47" s="9">
        <v>127</v>
      </c>
      <c r="M47" s="9">
        <v>149</v>
      </c>
      <c r="N47" s="9">
        <v>155</v>
      </c>
    </row>
    <row r="48" spans="1:17" x14ac:dyDescent="0.25">
      <c r="A48" s="9">
        <f t="shared" si="7"/>
        <v>47</v>
      </c>
      <c r="B48" s="9">
        <f t="array" ref="B48">IF(C48="",0,IF(OR(C48=Country_Comparison!$S$10:$S$29),1,0))</f>
        <v>0</v>
      </c>
      <c r="C48" s="9" t="str">
        <f t="shared" si="13"/>
        <v>Thailand</v>
      </c>
      <c r="D48" s="6">
        <f t="shared" si="14"/>
        <v>279</v>
      </c>
      <c r="E48" s="6">
        <f>IF(COUNTIF(I48:XFD48,"&gt;"&amp;0)=0,,HLOOKUP(COUNTIF(I48:XFD48,"&gt;"&amp;0)-1,I$1:XFD48,A48+1,FALSE))</f>
        <v>279</v>
      </c>
      <c r="F48" s="7">
        <f>IF(COUNTIF(I48:XFD48,"&gt;"&amp;0)=0,,HLOOKUP(COUNTIF(I48:XFD48,"&gt;"&amp;0)-MIN($F$1+1,COUNTIF(I48:XFD48,"&gt;"&amp;0)),I$1:XFD48,A48+1,FALSE))</f>
        <v>78</v>
      </c>
      <c r="G48" s="8">
        <f t="shared" si="15"/>
        <v>1.290333343783683</v>
      </c>
      <c r="H48" s="13" t="s">
        <v>35</v>
      </c>
      <c r="I48" s="9">
        <v>78</v>
      </c>
      <c r="J48" s="9">
        <v>111</v>
      </c>
      <c r="K48" s="9">
        <v>135</v>
      </c>
      <c r="L48" s="9">
        <v>169</v>
      </c>
      <c r="M48" s="9">
        <v>229</v>
      </c>
      <c r="N48" s="9">
        <v>279</v>
      </c>
    </row>
    <row r="49" spans="1:15" x14ac:dyDescent="0.25">
      <c r="A49" s="9">
        <f t="shared" si="7"/>
        <v>48</v>
      </c>
      <c r="B49" s="9">
        <f t="array" ref="B49">IF(C49="",0,IF(OR(C49=Country_Comparison!$S$10:$S$29),1,0))</f>
        <v>0</v>
      </c>
      <c r="C49" s="9" t="str">
        <f t="shared" si="13"/>
        <v>Indonesia</v>
      </c>
      <c r="D49" s="6">
        <f t="shared" si="14"/>
        <v>322</v>
      </c>
      <c r="E49" s="6">
        <f>IF(COUNTIF(I49:XFD49,"&gt;"&amp;0)=0,,HLOOKUP(COUNTIF(I49:XFD49,"&gt;"&amp;0)-1,I$1:XFD49,A49+1,FALSE))</f>
        <v>322</v>
      </c>
      <c r="F49" s="7">
        <f>IF(COUNTIF(I49:XFD49,"&gt;"&amp;0)=0,,HLOOKUP(COUNTIF(I49:XFD49,"&gt;"&amp;0)-MIN($F$1+1,COUNTIF(I49:XFD49,"&gt;"&amp;0)),I$1:XFD49,A49+1,FALSE))</f>
        <v>104</v>
      </c>
      <c r="G49" s="8">
        <f t="shared" si="15"/>
        <v>1.253615942409533</v>
      </c>
      <c r="H49" s="13" t="s">
        <v>107</v>
      </c>
      <c r="I49" s="9">
        <v>104</v>
      </c>
      <c r="J49" s="9">
        <v>121</v>
      </c>
      <c r="K49" s="9">
        <v>159</v>
      </c>
      <c r="L49" s="9">
        <v>197</v>
      </c>
      <c r="M49" s="9">
        <v>275</v>
      </c>
      <c r="N49" s="9">
        <v>322</v>
      </c>
    </row>
    <row r="50" spans="1:15" x14ac:dyDescent="0.25">
      <c r="A50" s="9">
        <f t="shared" si="7"/>
        <v>49</v>
      </c>
      <c r="B50" s="9">
        <f t="array" ref="B50">IF(C50="",0,IF(OR(C50=Country_Comparison!$S$10:$S$29),1,0))</f>
        <v>0</v>
      </c>
      <c r="C50" s="9" t="str">
        <f t="shared" si="13"/>
        <v>Poland</v>
      </c>
      <c r="D50" s="6">
        <f t="shared" si="14"/>
        <v>419</v>
      </c>
      <c r="E50" s="6">
        <f>IF(COUNTIF(I50:XFD50,"&gt;"&amp;0)=0,,HLOOKUP(COUNTIF(I50:XFD50,"&gt;"&amp;0)-1,I$1:XFD50,A50+1,FALSE))</f>
        <v>419</v>
      </c>
      <c r="F50" s="7">
        <f>IF(COUNTIF(I50:XFD50,"&gt;"&amp;0)=0,,HLOOKUP(COUNTIF(I50:XFD50,"&gt;"&amp;0)-MIN($F$1+1,COUNTIF(I50:XFD50,"&gt;"&amp;0)),I$1:XFD50,A50+1,FALSE))</f>
        <v>116</v>
      </c>
      <c r="G50" s="8">
        <f t="shared" si="15"/>
        <v>1.2928591301179602</v>
      </c>
      <c r="H50" s="13" t="s">
        <v>137</v>
      </c>
      <c r="I50" s="9">
        <v>100</v>
      </c>
      <c r="J50" s="9">
        <v>116</v>
      </c>
      <c r="K50" s="9">
        <v>160</v>
      </c>
      <c r="L50" s="9">
        <v>220</v>
      </c>
      <c r="M50" s="9">
        <v>233</v>
      </c>
      <c r="N50" s="9">
        <v>349</v>
      </c>
      <c r="O50" s="9">
        <v>419</v>
      </c>
    </row>
    <row r="51" spans="1:15" x14ac:dyDescent="0.25">
      <c r="A51" s="9">
        <f t="shared" si="7"/>
        <v>50</v>
      </c>
      <c r="B51" s="9">
        <f t="array" ref="B51">IF(C51="",0,IF(OR(C51=Country_Comparison!$S$10:$S$29),1,0))</f>
        <v>0</v>
      </c>
      <c r="C51" s="9" t="str">
        <f t="shared" si="13"/>
        <v>Philippines</v>
      </c>
      <c r="D51" s="6">
        <f t="shared" si="14"/>
        <v>204</v>
      </c>
      <c r="E51" s="6">
        <f>IF(COUNTIF(I51:XFD51,"&gt;"&amp;0)=0,,HLOOKUP(COUNTIF(I51:XFD51,"&gt;"&amp;0)-1,I$1:XFD51,A51+1,FALSE))</f>
        <v>204</v>
      </c>
      <c r="F51" s="7">
        <f>IF(COUNTIF(I51:XFD51,"&gt;"&amp;0)=0,,HLOOKUP(COUNTIF(I51:XFD51,"&gt;"&amp;0)-MIN($F$1+1,COUNTIF(I51:XFD51,"&gt;"&amp;0)),I$1:XFD51,A51+1,FALSE))</f>
        <v>127</v>
      </c>
      <c r="G51" s="8">
        <f t="shared" si="15"/>
        <v>1.0994241925991313</v>
      </c>
      <c r="H51" s="13" t="s">
        <v>56</v>
      </c>
      <c r="I51" s="9">
        <v>101</v>
      </c>
      <c r="J51" s="9">
        <v>127</v>
      </c>
      <c r="K51" s="9">
        <v>128</v>
      </c>
      <c r="L51" s="9">
        <v>170</v>
      </c>
      <c r="M51" s="9">
        <v>178</v>
      </c>
      <c r="N51" s="9">
        <v>192</v>
      </c>
      <c r="O51" s="9">
        <v>204</v>
      </c>
    </row>
    <row r="52" spans="1:15" x14ac:dyDescent="0.25">
      <c r="A52" s="9">
        <f t="shared" si="7"/>
        <v>51</v>
      </c>
      <c r="B52" s="9">
        <f t="array" ref="B52">IF(C52="",0,IF(OR(C52=Country_Comparison!$S$10:$S$29),1,0))</f>
        <v>0</v>
      </c>
      <c r="C52" s="9" t="str">
        <f t="shared" si="13"/>
        <v>Taiwan*</v>
      </c>
      <c r="D52" s="6">
        <f t="shared" si="14"/>
        <v>107</v>
      </c>
      <c r="E52" s="6">
        <f>IF(COUNTIF(I52:XFD52,"&gt;"&amp;0)=0,,HLOOKUP(COUNTIF(I52:XFD52,"&gt;"&amp;0)-1,I$1:XFD52,A52+1,FALSE))</f>
        <v>107</v>
      </c>
      <c r="F52" s="7">
        <f>IF(COUNTIF(I52:XFD52,"&gt;"&amp;0)=0,,HLOOKUP(COUNTIF(I52:XFD52,"&gt;"&amp;0)-MIN($F$1+1,COUNTIF(I52:XFD52,"&gt;"&amp;0)),I$1:XFD52,A52+1,FALSE))</f>
        <v>77</v>
      </c>
      <c r="G52" s="8">
        <f t="shared" si="15"/>
        <v>1.17881736906545</v>
      </c>
      <c r="H52" s="13" t="s">
        <v>342</v>
      </c>
      <c r="I52" s="9">
        <v>77</v>
      </c>
      <c r="J52" s="9">
        <v>81</v>
      </c>
      <c r="K52" s="9">
        <v>107</v>
      </c>
    </row>
    <row r="53" spans="1:15" x14ac:dyDescent="0.25">
      <c r="A53" s="9">
        <f t="shared" si="7"/>
        <v>52</v>
      </c>
      <c r="B53" s="9">
        <f t="array" ref="B53">IF(C53="",0,IF(OR(C53=Country_Comparison!$S$10:$S$29),1,0))</f>
        <v>0</v>
      </c>
      <c r="C53" s="9" t="str">
        <f t="shared" si="13"/>
        <v>Russia</v>
      </c>
      <c r="D53" s="6">
        <f t="shared" si="14"/>
        <v>243</v>
      </c>
      <c r="E53" s="6">
        <f>IF(COUNTIF(I53:XFD53,"&gt;"&amp;0)=0,,HLOOKUP(COUNTIF(I53:XFD53,"&gt;"&amp;0)-1,I$1:XFD53,A53+1,FALSE))</f>
        <v>243</v>
      </c>
      <c r="F53" s="7">
        <f>IF(COUNTIF(I53:XFD53,"&gt;"&amp;0)=0,,HLOOKUP(COUNTIF(I53:XFD53,"&gt;"&amp;0)-MIN($F$1+1,COUNTIF(I53:XFD53,"&gt;"&amp;0)),I$1:XFD53,A53+1,FALSE))</f>
        <v>106</v>
      </c>
      <c r="G53" s="8">
        <f t="shared" si="15"/>
        <v>1.3185607265837536</v>
      </c>
      <c r="H53" s="13" t="s">
        <v>344</v>
      </c>
      <c r="I53" s="9">
        <v>106</v>
      </c>
      <c r="J53" s="9">
        <v>139</v>
      </c>
      <c r="K53" s="9">
        <v>189</v>
      </c>
      <c r="L53" s="9">
        <v>243</v>
      </c>
    </row>
    <row r="54" spans="1:15" x14ac:dyDescent="0.25">
      <c r="A54" s="9">
        <f t="shared" si="7"/>
        <v>53</v>
      </c>
      <c r="B54" s="9">
        <f t="array" ref="B54">IF(C54="",0,IF(OR(C54=Country_Comparison!$S$10:$S$29),1,0))</f>
        <v>0</v>
      </c>
      <c r="C54" s="9" t="str">
        <f t="shared" si="13"/>
        <v>Chile</v>
      </c>
      <c r="D54" s="6">
        <f t="shared" si="14"/>
        <v>428</v>
      </c>
      <c r="E54" s="6">
        <f>IF(COUNTIF(I54:XFD54,"&gt;"&amp;0)=0,,HLOOKUP(COUNTIF(I54:XFD54,"&gt;"&amp;0)-1,I$1:XFD54,A54+1,FALSE))</f>
        <v>428</v>
      </c>
      <c r="F54" s="7">
        <f>IF(COUNTIF(I54:XFD54,"&gt;"&amp;0)=0,,HLOOKUP(COUNTIF(I54:XFD54,"&gt;"&amp;0)-MIN($F$1+1,COUNTIF(I54:XFD54,"&gt;"&amp;0)),I$1:XFD54,A54+1,FALSE))</f>
        <v>155</v>
      </c>
      <c r="G54" s="8">
        <f t="shared" si="15"/>
        <v>1.2890745008212621</v>
      </c>
      <c r="H54" s="13" t="s">
        <v>124</v>
      </c>
      <c r="I54" s="9">
        <v>155</v>
      </c>
      <c r="J54" s="9">
        <v>201</v>
      </c>
      <c r="K54" s="9">
        <v>238</v>
      </c>
      <c r="L54" s="9">
        <v>238</v>
      </c>
      <c r="M54" s="9">
        <v>428</v>
      </c>
    </row>
    <row r="55" spans="1:15" x14ac:dyDescent="0.25">
      <c r="A55" s="9">
        <f t="shared" si="7"/>
        <v>54</v>
      </c>
      <c r="B55" s="9">
        <f t="array" ref="B55">IF(C55="",0,IF(OR(C55=Country_Comparison!$S$10:$S$29),1,0))</f>
        <v>0</v>
      </c>
      <c r="C55" s="9" t="str">
        <f t="shared" si="13"/>
        <v>Serbia</v>
      </c>
      <c r="D55" s="6">
        <f t="shared" si="14"/>
        <v>133</v>
      </c>
      <c r="E55" s="6">
        <f>IF(COUNTIF(I55:XFD55,"&gt;"&amp;0)=0,,HLOOKUP(COUNTIF(I55:XFD55,"&gt;"&amp;0)-1,I$1:XFD55,A55+1,FALSE))</f>
        <v>133</v>
      </c>
      <c r="F55" s="7">
        <f>IF(COUNTIF(I55:XFD55,"&gt;"&amp;0)=0,,HLOOKUP(COUNTIF(I55:XFD55,"&gt;"&amp;0)-MIN($F$1+1,COUNTIF(I55:XFD55,"&gt;"&amp;0)),I$1:XFD55,A55+1,FALSE))</f>
        <v>102</v>
      </c>
      <c r="G55" s="8">
        <f t="shared" si="15"/>
        <v>1.303921568627451</v>
      </c>
      <c r="H55" s="13" t="s">
        <v>161</v>
      </c>
      <c r="I55" s="9">
        <v>102</v>
      </c>
      <c r="J55" s="9">
        <v>133</v>
      </c>
    </row>
    <row r="56" spans="1:15" x14ac:dyDescent="0.25">
      <c r="A56" s="9">
        <f t="shared" si="7"/>
        <v>55</v>
      </c>
      <c r="B56" s="9">
        <f t="array" ref="B56">IF(C56="",0,IF(OR(C56=Country_Comparison!$S$10:$S$29),1,0))</f>
        <v>0</v>
      </c>
      <c r="C56" s="9" t="str">
        <f t="shared" si="13"/>
        <v>Luxembourg</v>
      </c>
      <c r="D56" s="6">
        <f t="shared" si="14"/>
        <v>480</v>
      </c>
      <c r="E56" s="6">
        <f>IF(COUNTIF(I56:XFD56,"&gt;"&amp;0)=0,,HLOOKUP(COUNTIF(I56:XFD56,"&gt;"&amp;0)-1,I$1:XFD56,A56+1,FALSE))</f>
        <v>480</v>
      </c>
      <c r="F56" s="7">
        <f>IF(COUNTIF(I56:XFD56,"&gt;"&amp;0)=0,,HLOOKUP(COUNTIF(I56:XFD56,"&gt;"&amp;0)-MIN($F$1+1,COUNTIF(I56:XFD56,"&gt;"&amp;0)),I$1:XFD56,A56+1,FALSE))</f>
        <v>139</v>
      </c>
      <c r="G56" s="8">
        <f t="shared" si="15"/>
        <v>1.5115023000307022</v>
      </c>
      <c r="H56" s="13" t="s">
        <v>99</v>
      </c>
      <c r="I56" s="9">
        <v>139</v>
      </c>
      <c r="J56" s="9">
        <v>201</v>
      </c>
      <c r="K56" s="9">
        <v>331</v>
      </c>
      <c r="L56" s="9">
        <v>480</v>
      </c>
    </row>
    <row r="57" spans="1:15" x14ac:dyDescent="0.25">
      <c r="A57" s="9">
        <f t="shared" si="7"/>
        <v>56</v>
      </c>
      <c r="B57" s="9">
        <f t="array" ref="B57">IF(C57="",0,IF(OR(C57=Country_Comparison!$S$10:$S$29),1,0))</f>
        <v>0</v>
      </c>
      <c r="C57" s="9" t="str">
        <f t="shared" si="13"/>
        <v>Croatia</v>
      </c>
      <c r="D57" s="6">
        <f t="shared" si="14"/>
        <v>122</v>
      </c>
      <c r="E57" s="6">
        <f>IF(COUNTIF(I57:XFD57,"&gt;"&amp;0)=0,,HLOOKUP(COUNTIF(I57:XFD57,"&gt;"&amp;0)-1,I$1:XFD57,A57+1,FALSE))</f>
        <v>122</v>
      </c>
      <c r="F57" s="7">
        <f>IF(COUNTIF(I57:XFD57,"&gt;"&amp;0)=0,,HLOOKUP(COUNTIF(I57:XFD57,"&gt;"&amp;0)-MIN($F$1+1,COUNTIF(I57:XFD57,"&gt;"&amp;0)),I$1:XFD57,A57+1,FALSE))</f>
        <v>99</v>
      </c>
      <c r="G57" s="8">
        <f t="shared" si="15"/>
        <v>1.2323232323232323</v>
      </c>
      <c r="H57" s="13" t="s">
        <v>76</v>
      </c>
      <c r="I57" s="9">
        <v>99</v>
      </c>
      <c r="J57" s="9">
        <v>122</v>
      </c>
    </row>
    <row r="58" spans="1:15" x14ac:dyDescent="0.25">
      <c r="A58" s="9">
        <f t="shared" si="7"/>
        <v>57</v>
      </c>
      <c r="B58" s="9">
        <f t="array" ref="B58">IF(C58="",0,IF(OR(C58=Country_Comparison!$S$10:$S$29),1,0))</f>
        <v>0</v>
      </c>
      <c r="C58" s="9" t="str">
        <f t="shared" si="13"/>
        <v>Slovakia</v>
      </c>
      <c r="D58" s="6">
        <f t="shared" si="14"/>
        <v>136</v>
      </c>
      <c r="E58" s="6">
        <f>IF(COUNTIF(I58:XFD58,"&gt;"&amp;0)=0,,HLOOKUP(COUNTIF(I58:XFD58,"&gt;"&amp;0)-1,I$1:XFD58,A58+1,FALSE))</f>
        <v>136</v>
      </c>
      <c r="F58" s="7">
        <f>IF(COUNTIF(I58:XFD58,"&gt;"&amp;0)=0,,HLOOKUP(COUNTIF(I58:XFD58,"&gt;"&amp;0)-MIN($F$1+1,COUNTIF(I58:XFD58,"&gt;"&amp;0)),I$1:XFD58,A58+1,FALSE))</f>
        <v>104</v>
      </c>
      <c r="G58" s="8">
        <f t="shared" si="15"/>
        <v>1.1435437497937313</v>
      </c>
      <c r="H58" s="13" t="s">
        <v>162</v>
      </c>
      <c r="I58" s="9">
        <v>104</v>
      </c>
      <c r="J58" s="9">
        <v>122</v>
      </c>
      <c r="K58" s="9">
        <v>136</v>
      </c>
    </row>
    <row r="59" spans="1:15" x14ac:dyDescent="0.25">
      <c r="A59" s="9">
        <f t="shared" si="7"/>
        <v>58</v>
      </c>
      <c r="B59" s="9">
        <f t="array" ref="B59">IF(C59="",0,IF(OR(C59=Country_Comparison!$S$10:$S$29),1,0))</f>
        <v>0</v>
      </c>
      <c r="C59" s="9" t="str">
        <f t="shared" si="13"/>
        <v>Argentina</v>
      </c>
      <c r="D59" s="6">
        <f t="shared" si="14"/>
        <v>122</v>
      </c>
      <c r="E59" s="6">
        <f>IF(COUNTIF(I59:XFD59,"&gt;"&amp;0)=0,,HLOOKUP(COUNTIF(I59:XFD59,"&gt;"&amp;0)-1,I$1:XFD59,A59+1,FALSE))</f>
        <v>122</v>
      </c>
      <c r="F59" s="7">
        <f>IF(COUNTIF(I59:XFD59,"&gt;"&amp;0)=0,,HLOOKUP(COUNTIF(I59:XFD59,"&gt;"&amp;0)-MIN($F$1+1,COUNTIF(I59:XFD59,"&gt;"&amp;0)),I$1:XFD59,A59+1,FALSE))</f>
        <v>122</v>
      </c>
      <c r="G59" s="8" t="e">
        <f t="shared" si="15"/>
        <v>#DIV/0!</v>
      </c>
      <c r="H59" s="13" t="s">
        <v>123</v>
      </c>
      <c r="I59" s="9">
        <v>122</v>
      </c>
    </row>
    <row r="60" spans="1:15" x14ac:dyDescent="0.25">
      <c r="A60" s="9">
        <f t="shared" si="7"/>
        <v>59</v>
      </c>
      <c r="B60" s="9">
        <f t="array" ref="B60">IF(C60="",0,IF(OR(C60=Country_Comparison!$S$10:$S$29),1,0))</f>
        <v>0</v>
      </c>
      <c r="C60" s="9" t="str">
        <f t="shared" si="13"/>
        <v>Pakistan</v>
      </c>
      <c r="D60" s="6">
        <f t="shared" si="14"/>
        <v>485</v>
      </c>
      <c r="E60" s="6">
        <f>IF(COUNTIF(I60:XFD60,"&gt;"&amp;0)=0,,HLOOKUP(COUNTIF(I60:XFD60,"&gt;"&amp;0)-1,I$1:XFD60,A60+1,FALSE))</f>
        <v>485</v>
      </c>
      <c r="F60" s="7">
        <f>IF(COUNTIF(I60:XFD60,"&gt;"&amp;0)=0,,HLOOKUP(COUNTIF(I60:XFD60,"&gt;"&amp;0)-MIN($F$1+1,COUNTIF(I60:XFD60,"&gt;"&amp;0)),I$1:XFD60,A60+1,FALSE))</f>
        <v>134</v>
      </c>
      <c r="G60" s="8">
        <f t="shared" si="15"/>
        <v>1.3793015843301388</v>
      </c>
      <c r="H60" s="13" t="s">
        <v>80</v>
      </c>
      <c r="I60" s="9">
        <v>134</v>
      </c>
      <c r="J60" s="9">
        <v>234</v>
      </c>
      <c r="K60" s="9">
        <v>297</v>
      </c>
      <c r="L60" s="9">
        <v>439</v>
      </c>
      <c r="M60" s="9">
        <v>485</v>
      </c>
    </row>
    <row r="61" spans="1:15" x14ac:dyDescent="0.25">
      <c r="A61" s="9">
        <f t="shared" si="7"/>
        <v>60</v>
      </c>
      <c r="B61" s="9">
        <f t="array" ref="B61">IF(C61="",0,IF(OR(C61=Country_Comparison!$S$10:$S$29),1,0))</f>
        <v>0</v>
      </c>
      <c r="C61" s="9" t="str">
        <f t="shared" si="13"/>
        <v>Peru</v>
      </c>
      <c r="D61" s="6">
        <f t="shared" si="14"/>
        <v>233</v>
      </c>
      <c r="E61" s="6">
        <f>IF(COUNTIF(I61:XFD61,"&gt;"&amp;0)=0,,HLOOKUP(COUNTIF(I61:XFD61,"&gt;"&amp;0)-1,I$1:XFD61,A61+1,FALSE))</f>
        <v>230</v>
      </c>
      <c r="F61" s="7">
        <f>IF(COUNTIF(I61:XFD61,"&gt;"&amp;0)=0,,HLOOKUP(COUNTIF(I61:XFD61,"&gt;"&amp;0)-MIN($F$1+1,COUNTIF(I61:XFD61,"&gt;"&amp;0)),I$1:XFD61,A61+1,FALSE))</f>
        <v>116</v>
      </c>
      <c r="G61" s="8">
        <f t="shared" si="15"/>
        <v>1.2562901333651348</v>
      </c>
      <c r="H61" s="13" t="s">
        <v>160</v>
      </c>
      <c r="I61" s="9">
        <v>116</v>
      </c>
      <c r="J61" s="9">
        <v>144</v>
      </c>
      <c r="K61" s="9">
        <v>233</v>
      </c>
      <c r="L61" s="9">
        <v>230</v>
      </c>
    </row>
    <row r="62" spans="1:15" x14ac:dyDescent="0.25">
      <c r="A62" s="9">
        <f t="shared" si="7"/>
        <v>61</v>
      </c>
      <c r="B62" s="9">
        <f t="array" ref="B62">IF(C62="",0,IF(OR(C62=Country_Comparison!$S$10:$S$29),1,0))</f>
        <v>0</v>
      </c>
      <c r="C62" s="9" t="str">
        <f t="shared" si="13"/>
        <v>Panama</v>
      </c>
      <c r="D62" s="6">
        <f t="shared" si="14"/>
        <v>136</v>
      </c>
      <c r="E62" s="6">
        <f>IF(COUNTIF(I62:XFD62,"&gt;"&amp;0)=0,,HLOOKUP(COUNTIF(I62:XFD62,"&gt;"&amp;0)-1,I$1:XFD62,A62+1,FALSE))</f>
        <v>136</v>
      </c>
      <c r="F62" s="7">
        <f>IF(COUNTIF(I62:XFD62,"&gt;"&amp;0)=0,,HLOOKUP(COUNTIF(I62:XFD62,"&gt;"&amp;0)-MIN($F$1+1,COUNTIF(I62:XFD62,"&gt;"&amp;0)),I$1:XFD62,A62+1,FALSE))</f>
        <v>108</v>
      </c>
      <c r="G62" s="8">
        <f t="shared" si="15"/>
        <v>1.2592592592592593</v>
      </c>
      <c r="H62" s="13" t="s">
        <v>283</v>
      </c>
      <c r="I62" s="9">
        <v>108</v>
      </c>
      <c r="J62" s="9">
        <v>136</v>
      </c>
    </row>
    <row r="63" spans="1:15" x14ac:dyDescent="0.25">
      <c r="A63" s="9">
        <f t="shared" si="7"/>
        <v>62</v>
      </c>
      <c r="B63" s="9">
        <f t="array" ref="B63">IF(C63="",0,IF(OR(C63=Country_Comparison!$S$10:$S$29),1,0))</f>
        <v>0</v>
      </c>
      <c r="C63" s="9" t="str">
        <f t="shared" si="13"/>
        <v>South Africa</v>
      </c>
      <c r="D63" s="6">
        <f t="shared" si="14"/>
        <v>202</v>
      </c>
      <c r="E63" s="6">
        <f>IF(COUNTIF(I63:XFD63,"&gt;"&amp;0)=0,,HLOOKUP(COUNTIF(I63:XFD63,"&gt;"&amp;0)-1,I$1:XFD63,A63+1,FALSE))</f>
        <v>202</v>
      </c>
      <c r="F63" s="7">
        <f>IF(COUNTIF(I63:XFD63,"&gt;"&amp;0)=0,,HLOOKUP(COUNTIF(I63:XFD63,"&gt;"&amp;0)-MIN($F$1+1,COUNTIF(I63:XFD63,"&gt;"&amp;0)),I$1:XFD63,A63+1,FALSE))</f>
        <v>116</v>
      </c>
      <c r="G63" s="8">
        <f t="shared" si="15"/>
        <v>1.3196133184932728</v>
      </c>
      <c r="H63" s="13" t="s">
        <v>145</v>
      </c>
      <c r="I63" s="9">
        <v>116</v>
      </c>
      <c r="J63" s="9">
        <v>150</v>
      </c>
      <c r="K63" s="9">
        <v>202</v>
      </c>
    </row>
    <row r="64" spans="1:15" x14ac:dyDescent="0.25">
      <c r="A64" s="9">
        <f t="shared" si="7"/>
        <v>63</v>
      </c>
      <c r="B64" s="9">
        <f t="array" ref="B64">IF(C64="",0,IF(OR(C64=Country_Comparison!$S$10:$S$29),1,0))</f>
        <v>0</v>
      </c>
      <c r="C64" s="9" t="str">
        <f t="shared" si="13"/>
        <v>Bulgaria</v>
      </c>
      <c r="D64" s="6">
        <f t="shared" si="14"/>
        <v>124</v>
      </c>
      <c r="E64" s="6">
        <f>IF(COUNTIF(I64:XFD64,"&gt;"&amp;0)=0,,HLOOKUP(COUNTIF(I64:XFD64,"&gt;"&amp;0)-1,I$1:XFD64,A64+1,FALSE))</f>
        <v>124</v>
      </c>
      <c r="F64" s="7">
        <f>IF(COUNTIF(I64:XFD64,"&gt;"&amp;0)=0,,HLOOKUP(COUNTIF(I64:XFD64,"&gt;"&amp;0)-MIN($F$1+1,COUNTIF(I64:XFD64,"&gt;"&amp;0)),I$1:XFD64,A64+1,FALSE))</f>
        <v>124</v>
      </c>
      <c r="G64" s="8" t="e">
        <f t="shared" si="15"/>
        <v>#DIV/0!</v>
      </c>
      <c r="H64" s="13" t="s">
        <v>199</v>
      </c>
      <c r="I64" s="9">
        <v>124</v>
      </c>
    </row>
    <row r="65" spans="1:11" x14ac:dyDescent="0.25">
      <c r="A65" s="9">
        <f t="shared" si="7"/>
        <v>64</v>
      </c>
      <c r="B65" s="9">
        <f t="array" ref="B65">IF(C65="",0,IF(OR(C65=Country_Comparison!$S$10:$S$29),1,0))</f>
        <v>0</v>
      </c>
      <c r="C65" s="9" t="str">
        <f t="shared" si="13"/>
        <v>Ecuador</v>
      </c>
      <c r="D65" s="6">
        <f t="shared" si="14"/>
        <v>362</v>
      </c>
      <c r="E65" s="6">
        <f>IF(COUNTIF(I65:XFD65,"&gt;"&amp;0)=0,,HLOOKUP(COUNTIF(I65:XFD65,"&gt;"&amp;0)-1,I$1:XFD65,A65+1,FALSE))</f>
        <v>362</v>
      </c>
      <c r="F65" s="7">
        <f>IF(COUNTIF(I65:XFD65,"&gt;"&amp;0)=0,,HLOOKUP(COUNTIF(I65:XFD65,"&gt;"&amp;0)-MIN($F$1+1,COUNTIF(I65:XFD65,"&gt;"&amp;0)),I$1:XFD65,A65+1,FALSE))</f>
        <v>109</v>
      </c>
      <c r="G65" s="8">
        <f t="shared" si="15"/>
        <v>1.8223887942563719</v>
      </c>
      <c r="H65" s="13" t="s">
        <v>103</v>
      </c>
      <c r="I65" s="9">
        <v>109</v>
      </c>
      <c r="J65" s="9">
        <v>196</v>
      </c>
      <c r="K65" s="9">
        <v>362</v>
      </c>
    </row>
    <row r="66" spans="1:11" x14ac:dyDescent="0.25">
      <c r="A66" s="9">
        <f t="shared" si="7"/>
        <v>65</v>
      </c>
      <c r="B66" s="9">
        <f t="array" ref="B66">IF(C66="",0,IF(OR(C66=Country_Comparison!$S$10:$S$29),1,0))</f>
        <v>0</v>
      </c>
      <c r="C66" s="9" t="str">
        <f t="shared" si="13"/>
        <v>Latvia</v>
      </c>
      <c r="D66" s="6">
        <f t="shared" si="14"/>
        <v>110</v>
      </c>
      <c r="E66" s="6">
        <f>IF(COUNTIF(I66:XFD66,"&gt;"&amp;0)=0,,HLOOKUP(COUNTIF(I66:XFD66,"&gt;"&amp;0)-1,I$1:XFD66,A66+1,FALSE))</f>
        <v>110</v>
      </c>
      <c r="F66" s="7">
        <f>IF(COUNTIF(I66:XFD66,"&gt;"&amp;0)=0,,HLOOKUP(COUNTIF(I66:XFD66,"&gt;"&amp;0)-MIN($F$1+1,COUNTIF(I66:XFD66,"&gt;"&amp;0)),I$1:XFD66,A66+1,FALSE))</f>
        <v>110</v>
      </c>
      <c r="G66" s="8" t="e">
        <f t="shared" si="15"/>
        <v>#DIV/0!</v>
      </c>
      <c r="H66" s="13" t="s">
        <v>111</v>
      </c>
      <c r="I66" s="9">
        <v>110</v>
      </c>
    </row>
    <row r="67" spans="1:11" x14ac:dyDescent="0.25">
      <c r="A67" s="9">
        <f t="shared" si="7"/>
        <v>66</v>
      </c>
      <c r="B67" s="9">
        <f t="array" ref="B67">IF(C67="",0,IF(OR(C67=Country_Comparison!$S$10:$S$29),1,0))</f>
        <v>0</v>
      </c>
      <c r="C67" s="9" t="str">
        <f t="shared" si="13"/>
        <v>Colombia</v>
      </c>
      <c r="D67" s="6">
        <f t="shared" si="14"/>
        <v>127</v>
      </c>
      <c r="E67" s="6">
        <f>IF(COUNTIF(I67:XFD67,"&gt;"&amp;0)=0,,HLOOKUP(COUNTIF(I67:XFD67,"&gt;"&amp;0)-1,I$1:XFD67,A67+1,FALSE))</f>
        <v>127</v>
      </c>
      <c r="F67" s="7">
        <f>IF(COUNTIF(I67:XFD67,"&gt;"&amp;0)=0,,HLOOKUP(COUNTIF(I67:XFD67,"&gt;"&amp;0)-MIN($F$1+1,COUNTIF(I67:XFD67,"&gt;"&amp;0)),I$1:XFD67,A67+1,FALSE))</f>
        <v>101</v>
      </c>
      <c r="G67" s="8">
        <f t="shared" si="15"/>
        <v>1.2574257425742574</v>
      </c>
      <c r="H67" s="13" t="s">
        <v>158</v>
      </c>
      <c r="I67" s="9">
        <v>101</v>
      </c>
      <c r="J67" s="9">
        <v>127</v>
      </c>
    </row>
    <row r="68" spans="1:11" x14ac:dyDescent="0.25">
      <c r="A68" s="9">
        <f t="shared" si="7"/>
        <v>67</v>
      </c>
      <c r="B68" s="9">
        <f t="array" ref="B68">IF(C68="",0,IF(OR(C68=Country_Comparison!$S$10:$S$29),1,0))</f>
        <v>0</v>
      </c>
      <c r="C68" s="9" t="str">
        <f t="shared" si="13"/>
        <v>Mexico</v>
      </c>
      <c r="D68" s="6">
        <f t="shared" si="14"/>
        <v>159</v>
      </c>
      <c r="E68" s="6">
        <f>IF(COUNTIF(I68:XFD68,"&gt;"&amp;0)=0,,HLOOKUP(COUNTIF(I68:XFD68,"&gt;"&amp;0)-1,I$1:XFD68,A68+1,FALSE))</f>
        <v>159</v>
      </c>
      <c r="F68" s="7">
        <f>IF(COUNTIF(I68:XFD68,"&gt;"&amp;0)=0,,HLOOKUP(COUNTIF(I68:XFD68,"&gt;"&amp;0)-MIN($F$1+1,COUNTIF(I68:XFD68,"&gt;"&amp;0)),I$1:XFD68,A68+1,FALSE))</f>
        <v>113</v>
      </c>
      <c r="G68" s="8">
        <f t="shared" si="15"/>
        <v>1.4070796460176991</v>
      </c>
      <c r="H68" s="13" t="s">
        <v>94</v>
      </c>
      <c r="I68" s="9">
        <v>113</v>
      </c>
      <c r="J68" s="9">
        <v>159</v>
      </c>
    </row>
    <row r="69" spans="1:11" x14ac:dyDescent="0.25">
      <c r="A69" s="9">
        <f t="shared" si="7"/>
        <v>68</v>
      </c>
      <c r="B69" s="9">
        <f t="array" ref="B69">IF(C69="",0,IF(OR(C69=Country_Comparison!$S$10:$S$29),1,0))</f>
        <v>0</v>
      </c>
      <c r="C69" s="9" t="str">
        <f t="shared" si="13"/>
        <v>Armenia</v>
      </c>
      <c r="D69" s="6">
        <f t="shared" si="14"/>
        <v>135</v>
      </c>
      <c r="E69" s="6">
        <f>IF(COUNTIF(I69:XFD69,"&gt;"&amp;0)=0,,HLOOKUP(COUNTIF(I69:XFD69,"&gt;"&amp;0)-1,I$1:XFD69,A69+1,FALSE))</f>
        <v>135</v>
      </c>
      <c r="F69" s="7">
        <f>IF(COUNTIF(I69:XFD69,"&gt;"&amp;0)=0,,HLOOKUP(COUNTIF(I69:XFD69,"&gt;"&amp;0)-MIN($F$1+1,COUNTIF(I69:XFD69,"&gt;"&amp;0)),I$1:XFD69,A69+1,FALSE))</f>
        <v>114</v>
      </c>
      <c r="G69" s="8">
        <f t="shared" si="15"/>
        <v>1.1842105263157894</v>
      </c>
      <c r="H69" s="13" t="s">
        <v>105</v>
      </c>
      <c r="I69" s="9">
        <v>114</v>
      </c>
      <c r="J69" s="9">
        <v>135</v>
      </c>
    </row>
    <row r="70" spans="1:11" x14ac:dyDescent="0.25">
      <c r="A70" s="9">
        <f t="shared" si="7"/>
        <v>69</v>
      </c>
      <c r="B70" s="9">
        <f t="array" ref="B70">IF(C70="",0,IF(OR(C70=Country_Comparison!$S$10:$S$29),1,0))</f>
        <v>0</v>
      </c>
      <c r="C70" s="9" t="str">
        <f t="shared" ref="C70:C133" si="16">IF(H70="","",H70)</f>
        <v>Turkey</v>
      </c>
      <c r="D70" s="6">
        <f t="shared" ref="D70:D133" si="17">MAX(I70:CL70)</f>
        <v>355</v>
      </c>
      <c r="E70" s="6">
        <f>IF(COUNTIF(I70:XFD70,"&gt;"&amp;0)=0,,HLOOKUP(COUNTIF(I70:XFD70,"&gt;"&amp;0)-1,I$1:XFD70,A70+1,FALSE))</f>
        <v>355</v>
      </c>
      <c r="F70" s="7">
        <f>IF(COUNTIF(I70:XFD70,"&gt;"&amp;0)=0,,HLOOKUP(COUNTIF(I70:XFD70,"&gt;"&amp;0)-MIN($F$1+1,COUNTIF(I70:XFD70,"&gt;"&amp;0)),I$1:XFD70,A70+1,FALSE))</f>
        <v>189</v>
      </c>
      <c r="G70" s="8">
        <f t="shared" ref="G70:G133" si="18">IF(COUNTIF(I70:XFD70,"&gt;"&amp;0)=0,,(E70/F70)^(1/MIN(COUNTIF(I70:XFD70,"&gt;"&amp;0)-1,$F$1)))</f>
        <v>1.8783068783068784</v>
      </c>
      <c r="H70" s="13" t="s">
        <v>355</v>
      </c>
      <c r="I70" s="9">
        <v>189</v>
      </c>
      <c r="J70" s="9">
        <v>355</v>
      </c>
    </row>
    <row r="71" spans="1:11" x14ac:dyDescent="0.25">
      <c r="A71" s="9">
        <f t="shared" si="7"/>
        <v>70</v>
      </c>
      <c r="B71" s="9">
        <f t="array" ref="B71">IF(C71="",0,IF(OR(C71=Country_Comparison!$S$10:$S$29),1,0))</f>
        <v>0</v>
      </c>
      <c r="C71" s="9" t="str">
        <f t="shared" si="16"/>
        <v/>
      </c>
      <c r="D71" s="6">
        <f t="shared" si="17"/>
        <v>0</v>
      </c>
      <c r="E71" s="6">
        <f>IF(COUNTIF(I71:XFD71,"&gt;"&amp;0)=0,,HLOOKUP(COUNTIF(I71:XFD71,"&gt;"&amp;0)-1,I$1:XFD71,A71+1,FALSE))</f>
        <v>0</v>
      </c>
      <c r="F71" s="7">
        <f>IF(COUNTIF(I71:XFD71,"&gt;"&amp;0)=0,,HLOOKUP(COUNTIF(I71:XFD71,"&gt;"&amp;0)-MIN($F$1+1,COUNTIF(I71:XFD71,"&gt;"&amp;0)),I$1:XFD71,A71+1,FALSE))</f>
        <v>0</v>
      </c>
      <c r="G71" s="8">
        <f t="shared" si="18"/>
        <v>0</v>
      </c>
    </row>
    <row r="72" spans="1:11" x14ac:dyDescent="0.25">
      <c r="A72" s="9">
        <f t="shared" si="7"/>
        <v>71</v>
      </c>
      <c r="B72" s="9">
        <f t="array" ref="B72">IF(C72="",0,IF(OR(C72=Country_Comparison!$S$10:$S$29),1,0))</f>
        <v>0</v>
      </c>
      <c r="C72" s="9" t="str">
        <f t="shared" si="16"/>
        <v/>
      </c>
      <c r="D72" s="6">
        <f t="shared" si="17"/>
        <v>0</v>
      </c>
      <c r="E72" s="6">
        <f>IF(COUNTIF(I72:XFD72,"&gt;"&amp;0)=0,,HLOOKUP(COUNTIF(I72:XFD72,"&gt;"&amp;0)-1,I$1:XFD72,A72+1,FALSE))</f>
        <v>0</v>
      </c>
      <c r="F72" s="7">
        <f>IF(COUNTIF(I72:XFD72,"&gt;"&amp;0)=0,,HLOOKUP(COUNTIF(I72:XFD72,"&gt;"&amp;0)-MIN($F$1+1,COUNTIF(I72:XFD72,"&gt;"&amp;0)),I$1:XFD72,A72+1,FALSE))</f>
        <v>0</v>
      </c>
      <c r="G72" s="8">
        <f t="shared" si="18"/>
        <v>0</v>
      </c>
    </row>
    <row r="73" spans="1:11" x14ac:dyDescent="0.25">
      <c r="A73" s="9">
        <f t="shared" si="7"/>
        <v>72</v>
      </c>
      <c r="B73" s="9">
        <f t="array" ref="B73">IF(C73="",0,IF(OR(C73=Country_Comparison!$S$10:$S$29),1,0))</f>
        <v>0</v>
      </c>
      <c r="C73" s="9" t="str">
        <f t="shared" si="16"/>
        <v/>
      </c>
      <c r="D73" s="6">
        <f t="shared" si="17"/>
        <v>0</v>
      </c>
      <c r="E73" s="6">
        <f>IF(COUNTIF(I73:XFD73,"&gt;"&amp;0)=0,,HLOOKUP(COUNTIF(I73:XFD73,"&gt;"&amp;0)-1,I$1:XFD73,A73+1,FALSE))</f>
        <v>0</v>
      </c>
      <c r="F73" s="7">
        <f>IF(COUNTIF(I73:XFD73,"&gt;"&amp;0)=0,,HLOOKUP(COUNTIF(I73:XFD73,"&gt;"&amp;0)-MIN($F$1+1,COUNTIF(I73:XFD73,"&gt;"&amp;0)),I$1:XFD73,A73+1,FALSE))</f>
        <v>0</v>
      </c>
      <c r="G73" s="8">
        <f t="shared" si="18"/>
        <v>0</v>
      </c>
    </row>
    <row r="74" spans="1:11" x14ac:dyDescent="0.25">
      <c r="A74" s="9">
        <f t="shared" si="7"/>
        <v>73</v>
      </c>
      <c r="B74" s="9">
        <f t="array" ref="B74">IF(C74="",0,IF(OR(C74=Country_Comparison!$S$10:$S$29),1,0))</f>
        <v>0</v>
      </c>
      <c r="C74" s="9" t="str">
        <f t="shared" si="16"/>
        <v/>
      </c>
      <c r="D74" s="6">
        <f t="shared" si="17"/>
        <v>0</v>
      </c>
      <c r="E74" s="6">
        <f>IF(COUNTIF(I74:XFD74,"&gt;"&amp;0)=0,,HLOOKUP(COUNTIF(I74:XFD74,"&gt;"&amp;0)-1,I$1:XFD74,A74+1,FALSE))</f>
        <v>0</v>
      </c>
      <c r="F74" s="7">
        <f>IF(COUNTIF(I74:XFD74,"&gt;"&amp;0)=0,,HLOOKUP(COUNTIF(I74:XFD74,"&gt;"&amp;0)-MIN($F$1+1,COUNTIF(I74:XFD74,"&gt;"&amp;0)),I$1:XFD74,A74+1,FALSE))</f>
        <v>0</v>
      </c>
      <c r="G74" s="8">
        <f t="shared" si="18"/>
        <v>0</v>
      </c>
    </row>
    <row r="75" spans="1:11" x14ac:dyDescent="0.25">
      <c r="A75" s="9">
        <f t="shared" si="7"/>
        <v>74</v>
      </c>
      <c r="B75" s="9">
        <f t="array" ref="B75">IF(C75="",0,IF(OR(C75=Country_Comparison!$S$10:$S$29),1,0))</f>
        <v>0</v>
      </c>
      <c r="C75" s="9" t="str">
        <f t="shared" si="16"/>
        <v/>
      </c>
      <c r="D75" s="6">
        <f t="shared" si="17"/>
        <v>0</v>
      </c>
      <c r="E75" s="6">
        <f>IF(COUNTIF(I75:XFD75,"&gt;"&amp;0)=0,,HLOOKUP(COUNTIF(I75:XFD75,"&gt;"&amp;0)-1,I$1:XFD75,A75+1,FALSE))</f>
        <v>0</v>
      </c>
      <c r="F75" s="7">
        <f>IF(COUNTIF(I75:XFD75,"&gt;"&amp;0)=0,,HLOOKUP(COUNTIF(I75:XFD75,"&gt;"&amp;0)-MIN($F$1+1,COUNTIF(I75:XFD75,"&gt;"&amp;0)),I$1:XFD75,A75+1,FALSE))</f>
        <v>0</v>
      </c>
      <c r="G75" s="8">
        <f t="shared" si="18"/>
        <v>0</v>
      </c>
    </row>
    <row r="76" spans="1:11" x14ac:dyDescent="0.25">
      <c r="A76" s="9">
        <f t="shared" si="7"/>
        <v>75</v>
      </c>
      <c r="B76" s="9">
        <f t="array" ref="B76">IF(C76="",0,IF(OR(C76=Country_Comparison!$S$10:$S$29),1,0))</f>
        <v>0</v>
      </c>
      <c r="C76" s="9" t="str">
        <f t="shared" si="16"/>
        <v/>
      </c>
      <c r="D76" s="6">
        <f t="shared" si="17"/>
        <v>0</v>
      </c>
      <c r="E76" s="6">
        <f>IF(COUNTIF(I76:XFD76,"&gt;"&amp;0)=0,,HLOOKUP(COUNTIF(I76:XFD76,"&gt;"&amp;0)-1,I$1:XFD76,A76+1,FALSE))</f>
        <v>0</v>
      </c>
      <c r="F76" s="7">
        <f>IF(COUNTIF(I76:XFD76,"&gt;"&amp;0)=0,,HLOOKUP(COUNTIF(I76:XFD76,"&gt;"&amp;0)-MIN($F$1+1,COUNTIF(I76:XFD76,"&gt;"&amp;0)),I$1:XFD76,A76+1,FALSE))</f>
        <v>0</v>
      </c>
      <c r="G76" s="8">
        <f t="shared" si="18"/>
        <v>0</v>
      </c>
    </row>
    <row r="77" spans="1:11" x14ac:dyDescent="0.25">
      <c r="A77" s="9">
        <f t="shared" si="7"/>
        <v>76</v>
      </c>
      <c r="B77" s="9">
        <f t="array" ref="B77">IF(C77="",0,IF(OR(C77=Country_Comparison!$S$10:$S$29),1,0))</f>
        <v>0</v>
      </c>
      <c r="C77" s="9" t="str">
        <f t="shared" si="16"/>
        <v/>
      </c>
      <c r="D77" s="6">
        <f t="shared" si="17"/>
        <v>0</v>
      </c>
      <c r="E77" s="6">
        <f>IF(COUNTIF(I77:XFD77,"&gt;"&amp;0)=0,,HLOOKUP(COUNTIF(I77:XFD77,"&gt;"&amp;0)-1,I$1:XFD77,A77+1,FALSE))</f>
        <v>0</v>
      </c>
      <c r="F77" s="7">
        <f>IF(COUNTIF(I77:XFD77,"&gt;"&amp;0)=0,,HLOOKUP(COUNTIF(I77:XFD77,"&gt;"&amp;0)-MIN($F$1+1,COUNTIF(I77:XFD77,"&gt;"&amp;0)),I$1:XFD77,A77+1,FALSE))</f>
        <v>0</v>
      </c>
      <c r="G77" s="8">
        <f t="shared" si="18"/>
        <v>0</v>
      </c>
    </row>
    <row r="78" spans="1:11" x14ac:dyDescent="0.25">
      <c r="A78" s="9">
        <f t="shared" si="7"/>
        <v>77</v>
      </c>
      <c r="B78" s="9">
        <f t="array" ref="B78">IF(C78="",0,IF(OR(C78=Country_Comparison!$S$10:$S$29),1,0))</f>
        <v>0</v>
      </c>
      <c r="C78" s="9" t="str">
        <f t="shared" si="16"/>
        <v/>
      </c>
      <c r="D78" s="6">
        <f t="shared" si="17"/>
        <v>0</v>
      </c>
      <c r="E78" s="6">
        <f>IF(COUNTIF(I78:XFD78,"&gt;"&amp;0)=0,,HLOOKUP(COUNTIF(I78:XFD78,"&gt;"&amp;0)-1,I$1:XFD78,A78+1,FALSE))</f>
        <v>0</v>
      </c>
      <c r="F78" s="7">
        <f>IF(COUNTIF(I78:XFD78,"&gt;"&amp;0)=0,,HLOOKUP(COUNTIF(I78:XFD78,"&gt;"&amp;0)-MIN($F$1+1,COUNTIF(I78:XFD78,"&gt;"&amp;0)),I$1:XFD78,A78+1,FALSE))</f>
        <v>0</v>
      </c>
      <c r="G78" s="8">
        <f t="shared" si="18"/>
        <v>0</v>
      </c>
    </row>
    <row r="79" spans="1:11" x14ac:dyDescent="0.25">
      <c r="A79" s="9">
        <f t="shared" si="7"/>
        <v>78</v>
      </c>
      <c r="B79" s="9">
        <f t="array" ref="B79">IF(C79="",0,IF(OR(C79=Country_Comparison!$S$10:$S$29),1,0))</f>
        <v>0</v>
      </c>
      <c r="C79" s="9" t="str">
        <f t="shared" si="16"/>
        <v/>
      </c>
      <c r="D79" s="6">
        <f t="shared" si="17"/>
        <v>0</v>
      </c>
      <c r="E79" s="6">
        <f>IF(COUNTIF(I79:XFD79,"&gt;"&amp;0)=0,,HLOOKUP(COUNTIF(I79:XFD79,"&gt;"&amp;0)-1,I$1:XFD79,A79+1,FALSE))</f>
        <v>0</v>
      </c>
      <c r="F79" s="7">
        <f>IF(COUNTIF(I79:XFD79,"&gt;"&amp;0)=0,,HLOOKUP(COUNTIF(I79:XFD79,"&gt;"&amp;0)-MIN($F$1+1,COUNTIF(I79:XFD79,"&gt;"&amp;0)),I$1:XFD79,A79+1,FALSE))</f>
        <v>0</v>
      </c>
      <c r="G79" s="8">
        <f t="shared" si="18"/>
        <v>0</v>
      </c>
    </row>
    <row r="80" spans="1:11" x14ac:dyDescent="0.25">
      <c r="A80" s="9">
        <f t="shared" si="7"/>
        <v>79</v>
      </c>
      <c r="B80" s="9">
        <f t="array" ref="B80">IF(C80="",0,IF(OR(C80=Country_Comparison!$S$10:$S$29),1,0))</f>
        <v>0</v>
      </c>
      <c r="C80" s="9" t="str">
        <f t="shared" si="16"/>
        <v/>
      </c>
      <c r="D80" s="6">
        <f t="shared" si="17"/>
        <v>0</v>
      </c>
      <c r="E80" s="6">
        <f>IF(COUNTIF(I80:XFD80,"&gt;"&amp;0)=0,,HLOOKUP(COUNTIF(I80:XFD80,"&gt;"&amp;0)-1,I$1:XFD80,A80+1,FALSE))</f>
        <v>0</v>
      </c>
      <c r="F80" s="7">
        <f>IF(COUNTIF(I80:XFD80,"&gt;"&amp;0)=0,,HLOOKUP(COUNTIF(I80:XFD80,"&gt;"&amp;0)-MIN($F$1+1,COUNTIF(I80:XFD80,"&gt;"&amp;0)),I$1:XFD80,A80+1,FALSE))</f>
        <v>0</v>
      </c>
      <c r="G80" s="8">
        <f t="shared" si="18"/>
        <v>0</v>
      </c>
    </row>
    <row r="81" spans="1:7" x14ac:dyDescent="0.25">
      <c r="A81" s="9">
        <f t="shared" si="7"/>
        <v>80</v>
      </c>
      <c r="B81" s="9">
        <f t="array" ref="B81">IF(C81="",0,IF(OR(C81=Country_Comparison!$S$10:$S$29),1,0))</f>
        <v>0</v>
      </c>
      <c r="C81" s="9" t="str">
        <f t="shared" si="16"/>
        <v/>
      </c>
      <c r="D81" s="6">
        <f t="shared" si="17"/>
        <v>0</v>
      </c>
      <c r="E81" s="6">
        <f>IF(COUNTIF(I81:XFD81,"&gt;"&amp;0)=0,,HLOOKUP(COUNTIF(I81:XFD81,"&gt;"&amp;0)-1,I$1:XFD81,A81+1,FALSE))</f>
        <v>0</v>
      </c>
      <c r="F81" s="7">
        <f>IF(COUNTIF(I81:XFD81,"&gt;"&amp;0)=0,,HLOOKUP(COUNTIF(I81:XFD81,"&gt;"&amp;0)-MIN($F$1+1,COUNTIF(I81:XFD81,"&gt;"&amp;0)),I$1:XFD81,A81+1,FALSE))</f>
        <v>0</v>
      </c>
      <c r="G81" s="8">
        <f t="shared" si="18"/>
        <v>0</v>
      </c>
    </row>
    <row r="82" spans="1:7" x14ac:dyDescent="0.25">
      <c r="A82" s="9">
        <f t="shared" si="7"/>
        <v>81</v>
      </c>
      <c r="B82" s="9">
        <f t="array" ref="B82">IF(C82="",0,IF(OR(C82=Country_Comparison!$S$10:$S$29),1,0))</f>
        <v>0</v>
      </c>
      <c r="C82" s="9" t="str">
        <f t="shared" si="16"/>
        <v/>
      </c>
      <c r="D82" s="6">
        <f t="shared" si="17"/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 t="shared" si="18"/>
        <v>0</v>
      </c>
    </row>
    <row r="83" spans="1:7" x14ac:dyDescent="0.25">
      <c r="A83" s="9">
        <f t="shared" si="7"/>
        <v>82</v>
      </c>
      <c r="B83" s="9">
        <f t="array" ref="B83">IF(C83="",0,IF(OR(C83=Country_Comparison!$S$10:$S$29),1,0))</f>
        <v>0</v>
      </c>
      <c r="C83" s="9" t="str">
        <f t="shared" si="16"/>
        <v/>
      </c>
      <c r="D83" s="6">
        <f t="shared" si="17"/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 t="shared" si="18"/>
        <v>0</v>
      </c>
    </row>
    <row r="84" spans="1:7" x14ac:dyDescent="0.25">
      <c r="A84" s="9">
        <f t="shared" si="7"/>
        <v>83</v>
      </c>
      <c r="B84" s="9">
        <f t="array" ref="B84">IF(C84="",0,IF(OR(C84=Country_Comparison!$S$10:$S$29),1,0))</f>
        <v>0</v>
      </c>
      <c r="C84" s="9" t="str">
        <f t="shared" si="16"/>
        <v/>
      </c>
      <c r="D84" s="6">
        <f t="shared" si="17"/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 t="shared" si="18"/>
        <v>0</v>
      </c>
    </row>
    <row r="85" spans="1:7" x14ac:dyDescent="0.25">
      <c r="A85" s="9">
        <f t="shared" si="7"/>
        <v>84</v>
      </c>
      <c r="B85" s="9">
        <f t="array" ref="B85">IF(C85="",0,IF(OR(C85=Country_Comparison!$S$10:$S$29),1,0))</f>
        <v>0</v>
      </c>
      <c r="C85" s="9" t="str">
        <f t="shared" si="16"/>
        <v/>
      </c>
      <c r="D85" s="6">
        <f t="shared" si="17"/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 t="shared" si="18"/>
        <v>0</v>
      </c>
    </row>
    <row r="86" spans="1:7" x14ac:dyDescent="0.25">
      <c r="A86" s="9">
        <f t="shared" si="7"/>
        <v>85</v>
      </c>
      <c r="B86" s="9">
        <f t="array" ref="B86">IF(C86="",0,IF(OR(C86=Country_Comparison!$S$10:$S$29),1,0))</f>
        <v>0</v>
      </c>
      <c r="C86" s="9" t="str">
        <f t="shared" si="16"/>
        <v/>
      </c>
      <c r="D86" s="6">
        <f t="shared" si="17"/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 t="shared" si="18"/>
        <v>0</v>
      </c>
    </row>
    <row r="87" spans="1:7" x14ac:dyDescent="0.25">
      <c r="A87" s="9">
        <f t="shared" si="7"/>
        <v>86</v>
      </c>
      <c r="B87" s="9">
        <f t="array" ref="B87">IF(C87="",0,IF(OR(C87=Country_Comparison!$S$10:$S$29),1,0))</f>
        <v>0</v>
      </c>
      <c r="C87" s="9" t="str">
        <f t="shared" si="16"/>
        <v/>
      </c>
      <c r="D87" s="6">
        <f t="shared" si="17"/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 t="shared" si="18"/>
        <v>0</v>
      </c>
    </row>
    <row r="88" spans="1:7" x14ac:dyDescent="0.25">
      <c r="A88" s="9">
        <f t="shared" si="7"/>
        <v>87</v>
      </c>
      <c r="B88" s="9">
        <f t="array" ref="B88">IF(C88="",0,IF(OR(C88=Country_Comparison!$S$10:$S$29),1,0))</f>
        <v>0</v>
      </c>
      <c r="C88" s="9" t="str">
        <f t="shared" si="16"/>
        <v/>
      </c>
      <c r="D88" s="6">
        <f t="shared" si="17"/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 t="shared" si="18"/>
        <v>0</v>
      </c>
    </row>
    <row r="89" spans="1:7" x14ac:dyDescent="0.25">
      <c r="A89" s="9">
        <f t="shared" si="7"/>
        <v>88</v>
      </c>
      <c r="B89" s="9">
        <f t="array" ref="B89">IF(C89="",0,IF(OR(C89=Country_Comparison!$S$10:$S$29),1,0))</f>
        <v>0</v>
      </c>
      <c r="C89" s="9" t="str">
        <f t="shared" si="16"/>
        <v/>
      </c>
      <c r="D89" s="6">
        <f t="shared" si="17"/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 t="shared" si="18"/>
        <v>0</v>
      </c>
    </row>
    <row r="90" spans="1:7" x14ac:dyDescent="0.25">
      <c r="A90" s="9">
        <f t="shared" si="7"/>
        <v>89</v>
      </c>
      <c r="B90" s="9">
        <f t="array" ref="B90">IF(C90="",0,IF(OR(C90=Country_Comparison!$S$10:$S$29),1,0))</f>
        <v>0</v>
      </c>
      <c r="C90" s="9" t="str">
        <f t="shared" si="16"/>
        <v/>
      </c>
      <c r="D90" s="6">
        <f t="shared" si="17"/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 t="shared" si="18"/>
        <v>0</v>
      </c>
    </row>
    <row r="91" spans="1:7" x14ac:dyDescent="0.25">
      <c r="A91" s="9">
        <f t="shared" si="7"/>
        <v>90</v>
      </c>
      <c r="B91" s="9">
        <f t="array" ref="B91">IF(C91="",0,IF(OR(C91=Country_Comparison!$S$10:$S$29),1,0))</f>
        <v>0</v>
      </c>
      <c r="C91" s="9" t="str">
        <f t="shared" si="16"/>
        <v/>
      </c>
      <c r="D91" s="6">
        <f t="shared" si="17"/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 t="shared" si="18"/>
        <v>0</v>
      </c>
    </row>
    <row r="92" spans="1:7" x14ac:dyDescent="0.25">
      <c r="A92" s="9">
        <f t="shared" si="7"/>
        <v>91</v>
      </c>
      <c r="B92" s="9">
        <f t="array" ref="B92">IF(C92="",0,IF(OR(C92=Country_Comparison!$S$10:$S$29),1,0))</f>
        <v>0</v>
      </c>
      <c r="C92" s="9" t="str">
        <f t="shared" si="16"/>
        <v/>
      </c>
      <c r="D92" s="6">
        <f t="shared" si="17"/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 t="shared" si="18"/>
        <v>0</v>
      </c>
    </row>
    <row r="93" spans="1:7" x14ac:dyDescent="0.25">
      <c r="A93" s="9">
        <f t="shared" si="7"/>
        <v>92</v>
      </c>
      <c r="B93" s="9">
        <f t="array" ref="B93">IF(C93="",0,IF(OR(C93=Country_Comparison!$S$10:$S$29),1,0))</f>
        <v>0</v>
      </c>
      <c r="C93" s="9" t="str">
        <f t="shared" si="16"/>
        <v/>
      </c>
      <c r="D93" s="6">
        <f t="shared" si="17"/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 t="shared" si="18"/>
        <v>0</v>
      </c>
    </row>
    <row r="94" spans="1:7" x14ac:dyDescent="0.25">
      <c r="A94" s="9">
        <f t="shared" si="7"/>
        <v>93</v>
      </c>
      <c r="B94" s="9">
        <f t="array" ref="B94">IF(C94="",0,IF(OR(C94=Country_Comparison!$S$10:$S$29),1,0))</f>
        <v>0</v>
      </c>
      <c r="C94" s="9" t="str">
        <f t="shared" si="16"/>
        <v/>
      </c>
      <c r="D94" s="6">
        <f t="shared" si="17"/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 t="shared" si="18"/>
        <v>0</v>
      </c>
    </row>
    <row r="95" spans="1:7" x14ac:dyDescent="0.25">
      <c r="A95" s="9">
        <f t="shared" si="7"/>
        <v>94</v>
      </c>
      <c r="B95" s="9">
        <f t="array" ref="B95">IF(C95="",0,IF(OR(C95=Country_Comparison!$S$10:$S$29),1,0))</f>
        <v>0</v>
      </c>
      <c r="C95" s="9" t="str">
        <f t="shared" si="16"/>
        <v/>
      </c>
      <c r="D95" s="6">
        <f t="shared" si="17"/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 t="shared" si="18"/>
        <v>0</v>
      </c>
    </row>
    <row r="96" spans="1:7" x14ac:dyDescent="0.25">
      <c r="A96" s="9">
        <f t="shared" si="7"/>
        <v>95</v>
      </c>
      <c r="B96" s="9">
        <f t="array" ref="B96">IF(C96="",0,IF(OR(C96=Country_Comparison!$S$10:$S$29),1,0))</f>
        <v>0</v>
      </c>
      <c r="C96" s="9" t="str">
        <f t="shared" si="16"/>
        <v/>
      </c>
      <c r="D96" s="6">
        <f t="shared" si="17"/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 t="shared" si="18"/>
        <v>0</v>
      </c>
    </row>
    <row r="97" spans="1:7" x14ac:dyDescent="0.25">
      <c r="A97" s="9">
        <f t="shared" si="7"/>
        <v>96</v>
      </c>
      <c r="B97" s="9">
        <f t="array" ref="B97">IF(C97="",0,IF(OR(C97=Country_Comparison!$S$10:$S$29),1,0))</f>
        <v>0</v>
      </c>
      <c r="C97" s="9" t="str">
        <f t="shared" si="16"/>
        <v/>
      </c>
      <c r="D97" s="6">
        <f t="shared" si="17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8"/>
        <v>0</v>
      </c>
    </row>
    <row r="98" spans="1:7" x14ac:dyDescent="0.25">
      <c r="A98" s="9">
        <f t="shared" si="7"/>
        <v>97</v>
      </c>
      <c r="B98" s="9">
        <f t="array" ref="B98">IF(C98="",0,IF(OR(C98=Country_Comparison!$S$10:$S$29),1,0))</f>
        <v>0</v>
      </c>
      <c r="C98" s="9" t="str">
        <f t="shared" si="16"/>
        <v/>
      </c>
      <c r="D98" s="6">
        <f t="shared" si="17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si="18"/>
        <v>0</v>
      </c>
    </row>
    <row r="99" spans="1:7" x14ac:dyDescent="0.25">
      <c r="A99" s="9">
        <f t="shared" si="7"/>
        <v>98</v>
      </c>
      <c r="B99" s="9">
        <f t="array" ref="B99">IF(C99="",0,IF(OR(C99=Country_Comparison!$S$10:$S$29),1,0))</f>
        <v>0</v>
      </c>
      <c r="C99" s="9" t="str">
        <f t="shared" si="16"/>
        <v/>
      </c>
      <c r="D99" s="6">
        <f t="shared" si="17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18"/>
        <v>0</v>
      </c>
    </row>
    <row r="100" spans="1:7" x14ac:dyDescent="0.25">
      <c r="A100" s="9">
        <f t="shared" si="7"/>
        <v>99</v>
      </c>
      <c r="B100" s="9">
        <f t="array" ref="B100">IF(C100="",0,IF(OR(C100=Country_Comparison!$S$10:$S$29),1,0))</f>
        <v>0</v>
      </c>
      <c r="C100" s="9" t="str">
        <f t="shared" si="16"/>
        <v/>
      </c>
      <c r="D100" s="6">
        <f t="shared" si="17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18"/>
        <v>0</v>
      </c>
    </row>
    <row r="101" spans="1:7" x14ac:dyDescent="0.25">
      <c r="A101" s="9">
        <f t="shared" si="7"/>
        <v>100</v>
      </c>
      <c r="B101" s="9">
        <f t="array" ref="B101">IF(C101="",0,IF(OR(C101=Country_Comparison!$S$10:$S$29),1,0))</f>
        <v>0</v>
      </c>
      <c r="C101" s="9" t="str">
        <f t="shared" si="16"/>
        <v/>
      </c>
      <c r="D101" s="6">
        <f t="shared" si="17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18"/>
        <v>0</v>
      </c>
    </row>
    <row r="102" spans="1:7" x14ac:dyDescent="0.25">
      <c r="A102" s="9">
        <f t="shared" si="7"/>
        <v>101</v>
      </c>
      <c r="B102" s="9">
        <f t="array" ref="B102">IF(C102="",0,IF(OR(C102=Country_Comparison!$S$10:$S$29),1,0))</f>
        <v>0</v>
      </c>
      <c r="C102" s="9" t="str">
        <f t="shared" si="16"/>
        <v/>
      </c>
      <c r="D102" s="6">
        <f t="shared" si="17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18"/>
        <v>0</v>
      </c>
    </row>
    <row r="103" spans="1:7" x14ac:dyDescent="0.25">
      <c r="A103" s="9">
        <f t="shared" si="7"/>
        <v>102</v>
      </c>
      <c r="B103" s="9">
        <f t="array" ref="B103">IF(C103="",0,IF(OR(C103=Country_Comparison!$S$10:$S$29),1,0))</f>
        <v>0</v>
      </c>
      <c r="C103" s="9" t="str">
        <f t="shared" si="16"/>
        <v/>
      </c>
      <c r="D103" s="6">
        <f t="shared" si="17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18"/>
        <v>0</v>
      </c>
    </row>
    <row r="104" spans="1:7" x14ac:dyDescent="0.25">
      <c r="A104" s="9">
        <f t="shared" si="7"/>
        <v>103</v>
      </c>
      <c r="B104" s="9">
        <f t="array" ref="B104">IF(C104="",0,IF(OR(C104=Country_Comparison!$S$10:$S$29),1,0))</f>
        <v>0</v>
      </c>
      <c r="C104" s="9" t="str">
        <f t="shared" si="16"/>
        <v/>
      </c>
      <c r="D104" s="6">
        <f t="shared" si="17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18"/>
        <v>0</v>
      </c>
    </row>
    <row r="105" spans="1:7" x14ac:dyDescent="0.25">
      <c r="A105" s="9">
        <f t="shared" si="7"/>
        <v>104</v>
      </c>
      <c r="B105" s="9">
        <f t="array" ref="B105">IF(C105="",0,IF(OR(C105=Country_Comparison!$S$10:$S$29),1,0))</f>
        <v>0</v>
      </c>
      <c r="C105" s="9" t="str">
        <f t="shared" si="16"/>
        <v/>
      </c>
      <c r="D105" s="6">
        <f t="shared" si="17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8"/>
        <v>0</v>
      </c>
    </row>
    <row r="106" spans="1:7" x14ac:dyDescent="0.25">
      <c r="A106" s="9">
        <f t="shared" si="7"/>
        <v>105</v>
      </c>
      <c r="B106" s="9">
        <f t="array" ref="B106">IF(C106="",0,IF(OR(C106=Country_Comparison!$S$10:$S$29),1,0))</f>
        <v>0</v>
      </c>
      <c r="C106" s="9" t="str">
        <f t="shared" si="16"/>
        <v/>
      </c>
      <c r="D106" s="6">
        <f t="shared" si="17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8"/>
        <v>0</v>
      </c>
    </row>
    <row r="107" spans="1:7" x14ac:dyDescent="0.25">
      <c r="A107" s="9">
        <f t="shared" si="7"/>
        <v>106</v>
      </c>
      <c r="B107" s="9">
        <f t="array" ref="B107">IF(C107="",0,IF(OR(C107=Country_Comparison!$S$10:$S$29),1,0))</f>
        <v>0</v>
      </c>
      <c r="C107" s="9" t="str">
        <f t="shared" si="16"/>
        <v/>
      </c>
      <c r="D107" s="6">
        <f t="shared" si="17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8"/>
        <v>0</v>
      </c>
    </row>
    <row r="108" spans="1:7" x14ac:dyDescent="0.25">
      <c r="A108" s="9">
        <f t="shared" si="7"/>
        <v>107</v>
      </c>
      <c r="B108" s="9">
        <f t="array" ref="B108">IF(C108="",0,IF(OR(C108=Country_Comparison!$S$10:$S$29),1,0))</f>
        <v>0</v>
      </c>
      <c r="C108" s="9" t="str">
        <f t="shared" si="16"/>
        <v/>
      </c>
      <c r="D108" s="6">
        <f t="shared" si="17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8"/>
        <v>0</v>
      </c>
    </row>
    <row r="109" spans="1:7" x14ac:dyDescent="0.25">
      <c r="A109" s="9">
        <f t="shared" si="7"/>
        <v>108</v>
      </c>
      <c r="B109" s="9">
        <f t="array" ref="B109">IF(C109="",0,IF(OR(C109=Country_Comparison!$S$10:$S$29),1,0))</f>
        <v>0</v>
      </c>
      <c r="C109" s="9" t="str">
        <f t="shared" si="16"/>
        <v/>
      </c>
      <c r="D109" s="6">
        <f t="shared" si="17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8"/>
        <v>0</v>
      </c>
    </row>
    <row r="110" spans="1:7" x14ac:dyDescent="0.25">
      <c r="A110" s="9">
        <f t="shared" si="7"/>
        <v>109</v>
      </c>
      <c r="B110" s="9">
        <f t="array" ref="B110">IF(C110="",0,IF(OR(C110=Country_Comparison!$S$10:$S$29),1,0))</f>
        <v>0</v>
      </c>
      <c r="C110" s="9" t="str">
        <f t="shared" si="16"/>
        <v/>
      </c>
      <c r="D110" s="6">
        <f t="shared" si="17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8"/>
        <v>0</v>
      </c>
    </row>
    <row r="111" spans="1:7" x14ac:dyDescent="0.25">
      <c r="A111" s="9">
        <f t="shared" si="7"/>
        <v>110</v>
      </c>
      <c r="B111" s="9">
        <f t="array" ref="B111">IF(C111="",0,IF(OR(C111=Country_Comparison!$S$10:$S$29),1,0))</f>
        <v>0</v>
      </c>
      <c r="C111" s="9" t="str">
        <f t="shared" si="16"/>
        <v/>
      </c>
      <c r="D111" s="6">
        <f t="shared" si="17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8"/>
        <v>0</v>
      </c>
    </row>
    <row r="112" spans="1:7" x14ac:dyDescent="0.25">
      <c r="A112" s="9">
        <f t="shared" si="7"/>
        <v>111</v>
      </c>
      <c r="B112" s="9">
        <f t="array" ref="B112">IF(C112="",0,IF(OR(C112=Country_Comparison!$S$10:$S$29),1,0))</f>
        <v>0</v>
      </c>
      <c r="C112" s="9" t="str">
        <f t="shared" si="16"/>
        <v/>
      </c>
      <c r="D112" s="6">
        <f t="shared" si="17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8"/>
        <v>0</v>
      </c>
    </row>
    <row r="113" spans="1:7" x14ac:dyDescent="0.25">
      <c r="A113" s="9">
        <f t="shared" si="7"/>
        <v>112</v>
      </c>
      <c r="B113" s="9">
        <f t="array" ref="B113">IF(C113="",0,IF(OR(C113=Country_Comparison!$S$10:$S$29),1,0))</f>
        <v>0</v>
      </c>
      <c r="C113" s="9" t="str">
        <f t="shared" si="16"/>
        <v/>
      </c>
      <c r="D113" s="6">
        <f t="shared" si="17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8"/>
        <v>0</v>
      </c>
    </row>
    <row r="114" spans="1:7" x14ac:dyDescent="0.25">
      <c r="A114" s="9">
        <f t="shared" si="7"/>
        <v>113</v>
      </c>
      <c r="B114" s="9">
        <f t="array" ref="B114">IF(C114="",0,IF(OR(C114=Country_Comparison!$S$10:$S$29),1,0))</f>
        <v>0</v>
      </c>
      <c r="C114" s="9" t="str">
        <f t="shared" si="16"/>
        <v/>
      </c>
      <c r="D114" s="6">
        <f t="shared" si="17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8"/>
        <v>0</v>
      </c>
    </row>
    <row r="115" spans="1:7" x14ac:dyDescent="0.25">
      <c r="A115" s="9">
        <f t="shared" si="7"/>
        <v>114</v>
      </c>
      <c r="B115" s="9">
        <f t="array" ref="B115">IF(C115="",0,IF(OR(C115=Country_Comparison!$S$10:$S$29),1,0))</f>
        <v>0</v>
      </c>
      <c r="C115" s="9" t="str">
        <f t="shared" si="16"/>
        <v/>
      </c>
      <c r="D115" s="6">
        <f t="shared" si="17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8"/>
        <v>0</v>
      </c>
    </row>
    <row r="116" spans="1:7" x14ac:dyDescent="0.25">
      <c r="A116" s="9">
        <f t="shared" si="7"/>
        <v>115</v>
      </c>
      <c r="B116" s="9">
        <f t="array" ref="B116">IF(C116="",0,IF(OR(C116=Country_Comparison!$S$10:$S$29),1,0))</f>
        <v>0</v>
      </c>
      <c r="C116" s="9" t="str">
        <f t="shared" si="16"/>
        <v/>
      </c>
      <c r="D116" s="6">
        <f t="shared" si="17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8"/>
        <v>0</v>
      </c>
    </row>
    <row r="117" spans="1:7" x14ac:dyDescent="0.25">
      <c r="A117" s="9">
        <f t="shared" si="7"/>
        <v>116</v>
      </c>
      <c r="B117" s="9">
        <f t="array" ref="B117">IF(C117="",0,IF(OR(C117=Country_Comparison!$S$10:$S$29),1,0))</f>
        <v>0</v>
      </c>
      <c r="C117" s="9" t="str">
        <f t="shared" si="16"/>
        <v/>
      </c>
      <c r="D117" s="6">
        <f t="shared" si="17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8"/>
        <v>0</v>
      </c>
    </row>
    <row r="118" spans="1:7" x14ac:dyDescent="0.25">
      <c r="A118" s="9">
        <f t="shared" si="7"/>
        <v>117</v>
      </c>
      <c r="B118" s="9">
        <f t="array" ref="B118">IF(C118="",0,IF(OR(C118=Country_Comparison!$S$10:$S$29),1,0))</f>
        <v>0</v>
      </c>
      <c r="C118" s="9" t="str">
        <f t="shared" si="16"/>
        <v/>
      </c>
      <c r="D118" s="6">
        <f t="shared" si="17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8"/>
        <v>0</v>
      </c>
    </row>
    <row r="119" spans="1:7" x14ac:dyDescent="0.25">
      <c r="A119" s="9">
        <f t="shared" si="7"/>
        <v>118</v>
      </c>
      <c r="B119" s="9">
        <f t="array" ref="B119">IF(C119="",0,IF(OR(C119=Country_Comparison!$S$10:$S$29),1,0))</f>
        <v>0</v>
      </c>
      <c r="C119" s="9" t="str">
        <f t="shared" si="16"/>
        <v/>
      </c>
      <c r="D119" s="6">
        <f t="shared" si="17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8"/>
        <v>0</v>
      </c>
    </row>
    <row r="120" spans="1:7" x14ac:dyDescent="0.25">
      <c r="A120" s="9">
        <f t="shared" si="7"/>
        <v>119</v>
      </c>
      <c r="B120" s="9">
        <f t="array" ref="B120">IF(C120="",0,IF(OR(C120=Country_Comparison!$S$10:$S$29),1,0))</f>
        <v>0</v>
      </c>
      <c r="C120" s="9" t="str">
        <f t="shared" si="16"/>
        <v/>
      </c>
      <c r="D120" s="6">
        <f t="shared" si="17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8"/>
        <v>0</v>
      </c>
    </row>
    <row r="121" spans="1:7" x14ac:dyDescent="0.25">
      <c r="A121" s="9">
        <f t="shared" si="7"/>
        <v>120</v>
      </c>
      <c r="B121" s="9">
        <f t="array" ref="B121">IF(C121="",0,IF(OR(C121=Country_Comparison!$S$10:$S$29),1,0))</f>
        <v>0</v>
      </c>
      <c r="C121" s="9" t="str">
        <f t="shared" si="16"/>
        <v/>
      </c>
      <c r="D121" s="6">
        <f t="shared" si="17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8"/>
        <v>0</v>
      </c>
    </row>
    <row r="122" spans="1:7" x14ac:dyDescent="0.25">
      <c r="A122" s="9">
        <f t="shared" si="7"/>
        <v>121</v>
      </c>
      <c r="B122" s="9">
        <f t="array" ref="B122">IF(C122="",0,IF(OR(C122=Country_Comparison!$S$10:$S$29),1,0))</f>
        <v>0</v>
      </c>
      <c r="C122" s="9" t="str">
        <f t="shared" si="16"/>
        <v/>
      </c>
      <c r="D122" s="6">
        <f t="shared" si="17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8"/>
        <v>0</v>
      </c>
    </row>
    <row r="123" spans="1:7" x14ac:dyDescent="0.25">
      <c r="A123" s="9">
        <f t="shared" si="7"/>
        <v>122</v>
      </c>
      <c r="B123" s="9">
        <f t="array" ref="B123">IF(C123="",0,IF(OR(C123=Country_Comparison!$S$10:$S$29),1,0))</f>
        <v>0</v>
      </c>
      <c r="C123" s="9" t="str">
        <f t="shared" si="16"/>
        <v/>
      </c>
      <c r="D123" s="6">
        <f t="shared" si="17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8"/>
        <v>0</v>
      </c>
    </row>
    <row r="124" spans="1:7" x14ac:dyDescent="0.25">
      <c r="A124" s="9">
        <f t="shared" si="7"/>
        <v>123</v>
      </c>
      <c r="B124" s="9">
        <f t="array" ref="B124">IF(C124="",0,IF(OR(C124=Country_Comparison!$S$10:$S$29),1,0))</f>
        <v>0</v>
      </c>
      <c r="C124" s="9" t="str">
        <f t="shared" si="16"/>
        <v/>
      </c>
      <c r="D124" s="6">
        <f t="shared" si="17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8"/>
        <v>0</v>
      </c>
    </row>
    <row r="125" spans="1:7" x14ac:dyDescent="0.25">
      <c r="A125" s="9">
        <f t="shared" si="7"/>
        <v>124</v>
      </c>
      <c r="B125" s="9">
        <f t="array" ref="B125">IF(C125="",0,IF(OR(C125=Country_Comparison!$S$10:$S$29),1,0))</f>
        <v>0</v>
      </c>
      <c r="C125" s="9" t="str">
        <f t="shared" si="16"/>
        <v/>
      </c>
      <c r="D125" s="6">
        <f t="shared" si="17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8"/>
        <v>0</v>
      </c>
    </row>
    <row r="126" spans="1:7" x14ac:dyDescent="0.25">
      <c r="A126" s="9">
        <f t="shared" si="7"/>
        <v>125</v>
      </c>
      <c r="B126" s="9">
        <f t="array" ref="B126">IF(C126="",0,IF(OR(C126=Country_Comparison!$S$10:$S$29),1,0))</f>
        <v>0</v>
      </c>
      <c r="C126" s="9" t="str">
        <f t="shared" si="16"/>
        <v/>
      </c>
      <c r="D126" s="6">
        <f t="shared" si="17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8"/>
        <v>0</v>
      </c>
    </row>
    <row r="127" spans="1:7" x14ac:dyDescent="0.25">
      <c r="A127" s="9">
        <f t="shared" si="7"/>
        <v>126</v>
      </c>
      <c r="B127" s="9">
        <f t="array" ref="B127">IF(C127="",0,IF(OR(C127=Country_Comparison!$S$10:$S$29),1,0))</f>
        <v>0</v>
      </c>
      <c r="C127" s="9" t="str">
        <f t="shared" si="16"/>
        <v/>
      </c>
      <c r="D127" s="6">
        <f t="shared" si="17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8"/>
        <v>0</v>
      </c>
    </row>
    <row r="128" spans="1:7" x14ac:dyDescent="0.25">
      <c r="A128" s="9">
        <f t="shared" si="7"/>
        <v>127</v>
      </c>
      <c r="B128" s="9">
        <f t="array" ref="B128">IF(C128="",0,IF(OR(C128=Country_Comparison!$S$10:$S$29),1,0))</f>
        <v>0</v>
      </c>
      <c r="C128" s="9" t="str">
        <f t="shared" si="16"/>
        <v/>
      </c>
      <c r="D128" s="6">
        <f t="shared" si="17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8"/>
        <v>0</v>
      </c>
    </row>
    <row r="129" spans="1:7" x14ac:dyDescent="0.25">
      <c r="A129" s="9">
        <f t="shared" si="7"/>
        <v>128</v>
      </c>
      <c r="B129" s="9">
        <f t="array" ref="B129">IF(C129="",0,IF(OR(C129=Country_Comparison!$S$10:$S$29),1,0))</f>
        <v>0</v>
      </c>
      <c r="C129" s="9" t="str">
        <f t="shared" si="16"/>
        <v/>
      </c>
      <c r="D129" s="6">
        <f t="shared" si="17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8"/>
        <v>0</v>
      </c>
    </row>
    <row r="130" spans="1:7" x14ac:dyDescent="0.25">
      <c r="A130" s="9">
        <f t="shared" si="7"/>
        <v>129</v>
      </c>
      <c r="B130" s="9">
        <f t="array" ref="B130">IF(C130="",0,IF(OR(C130=Country_Comparison!$S$10:$S$29),1,0))</f>
        <v>0</v>
      </c>
      <c r="C130" s="9" t="str">
        <f t="shared" si="16"/>
        <v/>
      </c>
      <c r="D130" s="6">
        <f t="shared" si="17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8"/>
        <v>0</v>
      </c>
    </row>
    <row r="131" spans="1:7" x14ac:dyDescent="0.25">
      <c r="A131" s="9">
        <f t="shared" si="7"/>
        <v>130</v>
      </c>
      <c r="B131" s="9">
        <f t="array" ref="B131">IF(C131="",0,IF(OR(C131=Country_Comparison!$S$10:$S$29),1,0))</f>
        <v>0</v>
      </c>
      <c r="C131" s="9" t="str">
        <f t="shared" si="16"/>
        <v/>
      </c>
      <c r="D131" s="6">
        <f t="shared" si="17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8"/>
        <v>0</v>
      </c>
    </row>
    <row r="132" spans="1:7" x14ac:dyDescent="0.25">
      <c r="A132" s="9">
        <f t="shared" si="7"/>
        <v>131</v>
      </c>
      <c r="B132" s="9">
        <f t="array" ref="B132">IF(C132="",0,IF(OR(C132=Country_Comparison!$S$10:$S$29),1,0))</f>
        <v>0</v>
      </c>
      <c r="C132" s="9" t="str">
        <f t="shared" si="16"/>
        <v/>
      </c>
      <c r="D132" s="6">
        <f t="shared" si="17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8"/>
        <v>0</v>
      </c>
    </row>
    <row r="133" spans="1:7" x14ac:dyDescent="0.25">
      <c r="A133" s="9">
        <f t="shared" si="7"/>
        <v>132</v>
      </c>
      <c r="B133" s="9">
        <f t="array" ref="B133">IF(C133="",0,IF(OR(C133=Country_Comparison!$S$10:$S$29),1,0))</f>
        <v>0</v>
      </c>
      <c r="C133" s="9" t="str">
        <f t="shared" si="16"/>
        <v/>
      </c>
      <c r="D133" s="6">
        <f t="shared" si="17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8"/>
        <v>0</v>
      </c>
    </row>
    <row r="134" spans="1:7" x14ac:dyDescent="0.25">
      <c r="A134" s="9">
        <f t="shared" si="7"/>
        <v>133</v>
      </c>
      <c r="B134" s="9">
        <f t="array" ref="B134">IF(C134="",0,IF(OR(C134=Country_Comparison!$S$10:$S$29),1,0))</f>
        <v>0</v>
      </c>
      <c r="C134" s="9" t="str">
        <f t="shared" ref="C134:C197" si="19">IF(H134="","",H134)</f>
        <v/>
      </c>
      <c r="D134" s="6">
        <f t="shared" ref="D134:D197" si="20"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21">IF(COUNTIF(I134:XFD134,"&gt;"&amp;0)=0,,(E134/F134)^(1/MIN(COUNTIF(I134:XFD134,"&gt;"&amp;0)-1,$F$1)))</f>
        <v>0</v>
      </c>
    </row>
    <row r="135" spans="1:7" x14ac:dyDescent="0.25">
      <c r="A135" s="9">
        <f t="shared" si="7"/>
        <v>134</v>
      </c>
      <c r="B135" s="9">
        <f t="array" ref="B135">IF(C135="",0,IF(OR(C135=Country_Comparison!$S$10:$S$29),1,0))</f>
        <v>0</v>
      </c>
      <c r="C135" s="9" t="str">
        <f t="shared" si="19"/>
        <v/>
      </c>
      <c r="D135" s="6">
        <f t="shared" si="20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21"/>
        <v>0</v>
      </c>
    </row>
    <row r="136" spans="1:7" x14ac:dyDescent="0.25">
      <c r="A136" s="9">
        <f t="shared" si="7"/>
        <v>135</v>
      </c>
      <c r="B136" s="9">
        <f t="array" ref="B136">IF(C136="",0,IF(OR(C136=Country_Comparison!$S$10:$S$29),1,0))</f>
        <v>0</v>
      </c>
      <c r="C136" s="9" t="str">
        <f t="shared" si="19"/>
        <v/>
      </c>
      <c r="D136" s="6">
        <f t="shared" si="20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21"/>
        <v>0</v>
      </c>
    </row>
    <row r="137" spans="1:7" x14ac:dyDescent="0.25">
      <c r="A137" s="9">
        <f t="shared" si="7"/>
        <v>136</v>
      </c>
      <c r="B137" s="9">
        <f t="array" ref="B137">IF(C137="",0,IF(OR(C137=Country_Comparison!$S$10:$S$29),1,0))</f>
        <v>0</v>
      </c>
      <c r="C137" s="9" t="str">
        <f t="shared" si="19"/>
        <v/>
      </c>
      <c r="D137" s="6">
        <f t="shared" si="20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21"/>
        <v>0</v>
      </c>
    </row>
    <row r="138" spans="1:7" x14ac:dyDescent="0.25">
      <c r="A138" s="9">
        <f t="shared" si="7"/>
        <v>137</v>
      </c>
      <c r="B138" s="9">
        <f t="array" ref="B138">IF(C138="",0,IF(OR(C138=Country_Comparison!$S$10:$S$29),1,0))</f>
        <v>0</v>
      </c>
      <c r="C138" s="9" t="str">
        <f t="shared" si="19"/>
        <v/>
      </c>
      <c r="D138" s="6">
        <f t="shared" si="20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21"/>
        <v>0</v>
      </c>
    </row>
    <row r="139" spans="1:7" x14ac:dyDescent="0.25">
      <c r="A139" s="9">
        <f t="shared" si="7"/>
        <v>138</v>
      </c>
      <c r="B139" s="9">
        <f t="array" ref="B139">IF(C139="",0,IF(OR(C139=Country_Comparison!$S$10:$S$29),1,0))</f>
        <v>0</v>
      </c>
      <c r="C139" s="9" t="str">
        <f t="shared" si="19"/>
        <v/>
      </c>
      <c r="D139" s="6">
        <f t="shared" si="20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21"/>
        <v>0</v>
      </c>
    </row>
    <row r="140" spans="1:7" x14ac:dyDescent="0.25">
      <c r="A140" s="9">
        <f t="shared" si="7"/>
        <v>139</v>
      </c>
      <c r="B140" s="9">
        <f t="array" ref="B140">IF(C140="",0,IF(OR(C140=Country_Comparison!$S$10:$S$29),1,0))</f>
        <v>0</v>
      </c>
      <c r="C140" s="9" t="str">
        <f t="shared" si="19"/>
        <v/>
      </c>
      <c r="D140" s="6">
        <f t="shared" si="20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21"/>
        <v>0</v>
      </c>
    </row>
    <row r="141" spans="1:7" x14ac:dyDescent="0.25">
      <c r="A141" s="9">
        <f t="shared" si="7"/>
        <v>140</v>
      </c>
      <c r="B141" s="9">
        <f t="array" ref="B141">IF(C141="",0,IF(OR(C141=Country_Comparison!$S$10:$S$29),1,0))</f>
        <v>0</v>
      </c>
      <c r="C141" s="9" t="str">
        <f t="shared" si="19"/>
        <v/>
      </c>
      <c r="D141" s="6">
        <f t="shared" si="20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21"/>
        <v>0</v>
      </c>
    </row>
    <row r="142" spans="1:7" x14ac:dyDescent="0.25">
      <c r="A142" s="9">
        <f t="shared" si="7"/>
        <v>141</v>
      </c>
      <c r="B142" s="9">
        <f t="array" ref="B142">IF(C142="",0,IF(OR(C142=Country_Comparison!$S$10:$S$29),1,0))</f>
        <v>0</v>
      </c>
      <c r="C142" s="9" t="str">
        <f t="shared" si="19"/>
        <v/>
      </c>
      <c r="D142" s="6">
        <f t="shared" si="20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21"/>
        <v>0</v>
      </c>
    </row>
    <row r="143" spans="1:7" x14ac:dyDescent="0.25">
      <c r="A143" s="9">
        <f t="shared" si="7"/>
        <v>142</v>
      </c>
      <c r="B143" s="9">
        <f t="array" ref="B143">IF(C143="",0,IF(OR(C143=Country_Comparison!$S$10:$S$29),1,0))</f>
        <v>0</v>
      </c>
      <c r="C143" s="9" t="str">
        <f t="shared" si="19"/>
        <v/>
      </c>
      <c r="D143" s="6">
        <f t="shared" si="20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21"/>
        <v>0</v>
      </c>
    </row>
    <row r="144" spans="1:7" x14ac:dyDescent="0.25">
      <c r="A144" s="9">
        <f t="shared" si="7"/>
        <v>143</v>
      </c>
      <c r="B144" s="9">
        <f t="array" ref="B144">IF(C144="",0,IF(OR(C144=Country_Comparison!$S$10:$S$29),1,0))</f>
        <v>0</v>
      </c>
      <c r="C144" s="9" t="str">
        <f t="shared" si="19"/>
        <v/>
      </c>
      <c r="D144" s="6">
        <f t="shared" si="20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21"/>
        <v>0</v>
      </c>
    </row>
    <row r="145" spans="1:7" x14ac:dyDescent="0.25">
      <c r="A145" s="9">
        <f t="shared" si="7"/>
        <v>144</v>
      </c>
      <c r="B145" s="9">
        <f t="array" ref="B145">IF(C145="",0,IF(OR(C145=Country_Comparison!$S$10:$S$29),1,0))</f>
        <v>0</v>
      </c>
      <c r="C145" s="9" t="str">
        <f t="shared" si="19"/>
        <v/>
      </c>
      <c r="D145" s="6">
        <f t="shared" si="20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21"/>
        <v>0</v>
      </c>
    </row>
    <row r="146" spans="1:7" x14ac:dyDescent="0.25">
      <c r="A146" s="9">
        <f t="shared" si="7"/>
        <v>145</v>
      </c>
      <c r="B146" s="9">
        <f t="array" ref="B146">IF(C146="",0,IF(OR(C146=Country_Comparison!$S$10:$S$29),1,0))</f>
        <v>0</v>
      </c>
      <c r="C146" s="9" t="str">
        <f t="shared" si="19"/>
        <v/>
      </c>
      <c r="D146" s="6">
        <f t="shared" si="20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21"/>
        <v>0</v>
      </c>
    </row>
    <row r="147" spans="1:7" x14ac:dyDescent="0.25">
      <c r="A147" s="9">
        <f t="shared" si="7"/>
        <v>146</v>
      </c>
      <c r="B147" s="9">
        <f t="array" ref="B147">IF(C147="",0,IF(OR(C147=Country_Comparison!$S$10:$S$29),1,0))</f>
        <v>0</v>
      </c>
      <c r="C147" s="9" t="str">
        <f t="shared" si="19"/>
        <v/>
      </c>
      <c r="D147" s="6">
        <f t="shared" si="20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21"/>
        <v>0</v>
      </c>
    </row>
    <row r="148" spans="1:7" x14ac:dyDescent="0.25">
      <c r="A148" s="9">
        <f t="shared" si="7"/>
        <v>147</v>
      </c>
      <c r="B148" s="9">
        <f t="array" ref="B148">IF(C148="",0,IF(OR(C148=Country_Comparison!$S$10:$S$29),1,0))</f>
        <v>0</v>
      </c>
      <c r="C148" s="9" t="str">
        <f t="shared" si="19"/>
        <v/>
      </c>
      <c r="D148" s="6">
        <f t="shared" si="20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21"/>
        <v>0</v>
      </c>
    </row>
    <row r="149" spans="1:7" x14ac:dyDescent="0.25">
      <c r="A149" s="9">
        <f t="shared" si="7"/>
        <v>148</v>
      </c>
      <c r="B149" s="9">
        <f t="array" ref="B149">IF(C149="",0,IF(OR(C149=Country_Comparison!$S$10:$S$29),1,0))</f>
        <v>0</v>
      </c>
      <c r="C149" s="9" t="str">
        <f t="shared" si="19"/>
        <v/>
      </c>
      <c r="D149" s="6">
        <f t="shared" si="20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21"/>
        <v>0</v>
      </c>
    </row>
    <row r="150" spans="1:7" x14ac:dyDescent="0.25">
      <c r="A150" s="9">
        <f t="shared" si="7"/>
        <v>149</v>
      </c>
      <c r="B150" s="9">
        <f t="array" ref="B150">IF(C150="",0,IF(OR(C150=Country_Comparison!$S$10:$S$29),1,0))</f>
        <v>0</v>
      </c>
      <c r="C150" s="9" t="str">
        <f t="shared" si="19"/>
        <v/>
      </c>
      <c r="D150" s="6">
        <f t="shared" si="20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21"/>
        <v>0</v>
      </c>
    </row>
    <row r="151" spans="1:7" x14ac:dyDescent="0.25">
      <c r="A151" s="9">
        <f t="shared" si="7"/>
        <v>150</v>
      </c>
      <c r="B151" s="9">
        <f t="array" ref="B151">IF(C151="",0,IF(OR(C151=Country_Comparison!$S$10:$S$29),1,0))</f>
        <v>0</v>
      </c>
      <c r="C151" s="9" t="str">
        <f t="shared" si="19"/>
        <v/>
      </c>
      <c r="D151" s="6">
        <f t="shared" si="20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21"/>
        <v>0</v>
      </c>
    </row>
    <row r="152" spans="1:7" x14ac:dyDescent="0.25">
      <c r="A152" s="9">
        <f t="shared" si="7"/>
        <v>151</v>
      </c>
      <c r="B152" s="9">
        <f t="array" ref="B152">IF(C152="",0,IF(OR(C152=Country_Comparison!$S$10:$S$29),1,0))</f>
        <v>0</v>
      </c>
      <c r="C152" s="9" t="str">
        <f t="shared" si="19"/>
        <v/>
      </c>
      <c r="D152" s="6">
        <f t="shared" si="20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21"/>
        <v>0</v>
      </c>
    </row>
    <row r="153" spans="1:7" x14ac:dyDescent="0.25">
      <c r="A153" s="9">
        <f t="shared" si="7"/>
        <v>152</v>
      </c>
      <c r="B153" s="9">
        <f t="array" ref="B153">IF(C153="",0,IF(OR(C153=Country_Comparison!$S$10:$S$29),1,0))</f>
        <v>0</v>
      </c>
      <c r="C153" s="9" t="str">
        <f t="shared" si="19"/>
        <v/>
      </c>
      <c r="D153" s="6">
        <f t="shared" si="20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21"/>
        <v>0</v>
      </c>
    </row>
    <row r="154" spans="1:7" x14ac:dyDescent="0.25">
      <c r="A154" s="9">
        <f t="shared" si="7"/>
        <v>153</v>
      </c>
      <c r="B154" s="9">
        <f t="array" ref="B154">IF(C154="",0,IF(OR(C154=Country_Comparison!$S$10:$S$29),1,0))</f>
        <v>0</v>
      </c>
      <c r="C154" s="9" t="str">
        <f t="shared" si="19"/>
        <v/>
      </c>
      <c r="D154" s="6">
        <f t="shared" si="20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21"/>
        <v>0</v>
      </c>
    </row>
    <row r="155" spans="1:7" x14ac:dyDescent="0.25">
      <c r="A155" s="9">
        <f t="shared" si="7"/>
        <v>154</v>
      </c>
      <c r="B155" s="9">
        <f t="array" ref="B155">IF(C155="",0,IF(OR(C155=Country_Comparison!$S$10:$S$29),1,0))</f>
        <v>0</v>
      </c>
      <c r="C155" s="9" t="str">
        <f t="shared" si="19"/>
        <v/>
      </c>
      <c r="D155" s="6">
        <f t="shared" si="20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21"/>
        <v>0</v>
      </c>
    </row>
    <row r="156" spans="1:7" x14ac:dyDescent="0.25">
      <c r="A156" s="9">
        <f t="shared" si="7"/>
        <v>155</v>
      </c>
      <c r="B156" s="9">
        <f t="array" ref="B156">IF(C156="",0,IF(OR(C156=Country_Comparison!$S$10:$S$29),1,0))</f>
        <v>0</v>
      </c>
      <c r="C156" s="9" t="str">
        <f t="shared" si="19"/>
        <v/>
      </c>
      <c r="D156" s="6">
        <f t="shared" si="20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21"/>
        <v>0</v>
      </c>
    </row>
    <row r="157" spans="1:7" x14ac:dyDescent="0.25">
      <c r="A157" s="9">
        <f t="shared" si="7"/>
        <v>156</v>
      </c>
      <c r="B157" s="9">
        <f t="array" ref="B157">IF(C157="",0,IF(OR(C157=Country_Comparison!$S$10:$S$29),1,0))</f>
        <v>0</v>
      </c>
      <c r="C157" s="9" t="str">
        <f t="shared" si="19"/>
        <v/>
      </c>
      <c r="D157" s="6">
        <f t="shared" si="20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21"/>
        <v>0</v>
      </c>
    </row>
    <row r="158" spans="1:7" x14ac:dyDescent="0.25">
      <c r="A158" s="9">
        <f t="shared" si="7"/>
        <v>157</v>
      </c>
      <c r="B158" s="9">
        <f t="array" ref="B158">IF(C158="",0,IF(OR(C158=Country_Comparison!$S$10:$S$29),1,0))</f>
        <v>0</v>
      </c>
      <c r="C158" s="9" t="str">
        <f t="shared" si="19"/>
        <v/>
      </c>
      <c r="D158" s="6">
        <f t="shared" si="20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21"/>
        <v>0</v>
      </c>
    </row>
    <row r="159" spans="1:7" x14ac:dyDescent="0.25">
      <c r="A159" s="9">
        <f t="shared" si="7"/>
        <v>158</v>
      </c>
      <c r="B159" s="9">
        <f t="array" ref="B159">IF(C159="",0,IF(OR(C159=Country_Comparison!$S$10:$S$29),1,0))</f>
        <v>0</v>
      </c>
      <c r="C159" s="9" t="str">
        <f t="shared" si="19"/>
        <v/>
      </c>
      <c r="D159" s="6">
        <f t="shared" si="20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21"/>
        <v>0</v>
      </c>
    </row>
    <row r="160" spans="1:7" x14ac:dyDescent="0.25">
      <c r="A160" s="9">
        <f t="shared" si="7"/>
        <v>159</v>
      </c>
      <c r="B160" s="9">
        <f t="array" ref="B160">IF(C160="",0,IF(OR(C160=Country_Comparison!$S$10:$S$29),1,0))</f>
        <v>0</v>
      </c>
      <c r="C160" s="9" t="str">
        <f t="shared" si="19"/>
        <v/>
      </c>
      <c r="D160" s="6">
        <f t="shared" si="20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21"/>
        <v>0</v>
      </c>
    </row>
    <row r="161" spans="1:7" x14ac:dyDescent="0.25">
      <c r="A161" s="9">
        <f t="shared" si="7"/>
        <v>160</v>
      </c>
      <c r="B161" s="9">
        <f t="array" ref="B161">IF(C161="",0,IF(OR(C161=Country_Comparison!$S$10:$S$29),1,0))</f>
        <v>0</v>
      </c>
      <c r="C161" s="9" t="str">
        <f t="shared" si="19"/>
        <v/>
      </c>
      <c r="D161" s="6">
        <f t="shared" si="20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21"/>
        <v>0</v>
      </c>
    </row>
    <row r="162" spans="1:7" x14ac:dyDescent="0.25">
      <c r="A162" s="9">
        <f t="shared" si="7"/>
        <v>161</v>
      </c>
      <c r="B162" s="9">
        <f t="array" ref="B162">IF(C162="",0,IF(OR(C162=Country_Comparison!$S$10:$S$29),1,0))</f>
        <v>0</v>
      </c>
      <c r="C162" s="9" t="str">
        <f t="shared" si="19"/>
        <v/>
      </c>
      <c r="D162" s="6">
        <f t="shared" si="20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21"/>
        <v>0</v>
      </c>
    </row>
    <row r="163" spans="1:7" x14ac:dyDescent="0.25">
      <c r="A163" s="9">
        <f t="shared" si="7"/>
        <v>162</v>
      </c>
      <c r="B163" s="9">
        <f t="array" ref="B163">IF(C163="",0,IF(OR(C163=Country_Comparison!$S$10:$S$29),1,0))</f>
        <v>0</v>
      </c>
      <c r="C163" s="9" t="str">
        <f t="shared" si="19"/>
        <v/>
      </c>
      <c r="D163" s="6">
        <f t="shared" si="20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21"/>
        <v>0</v>
      </c>
    </row>
    <row r="164" spans="1:7" x14ac:dyDescent="0.25">
      <c r="A164" s="9">
        <f t="shared" si="7"/>
        <v>163</v>
      </c>
      <c r="B164" s="9">
        <f t="array" ref="B164">IF(C164="",0,IF(OR(C164=Country_Comparison!$S$10:$S$29),1,0))</f>
        <v>0</v>
      </c>
      <c r="C164" s="9" t="str">
        <f t="shared" si="19"/>
        <v/>
      </c>
      <c r="D164" s="6">
        <f t="shared" si="20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21"/>
        <v>0</v>
      </c>
    </row>
    <row r="165" spans="1:7" x14ac:dyDescent="0.25">
      <c r="A165" s="9">
        <f t="shared" si="7"/>
        <v>164</v>
      </c>
      <c r="B165" s="9">
        <f t="array" ref="B165">IF(C165="",0,IF(OR(C165=Country_Comparison!$S$10:$S$29),1,0))</f>
        <v>0</v>
      </c>
      <c r="C165" s="9" t="str">
        <f t="shared" si="19"/>
        <v/>
      </c>
      <c r="D165" s="6">
        <f t="shared" si="20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21"/>
        <v>0</v>
      </c>
    </row>
    <row r="166" spans="1:7" x14ac:dyDescent="0.25">
      <c r="A166" s="9">
        <f t="shared" si="7"/>
        <v>165</v>
      </c>
      <c r="B166" s="9">
        <f t="array" ref="B166">IF(C166="",0,IF(OR(C166=Country_Comparison!$S$10:$S$29),1,0))</f>
        <v>0</v>
      </c>
      <c r="C166" s="9" t="str">
        <f t="shared" si="19"/>
        <v/>
      </c>
      <c r="D166" s="6">
        <f t="shared" si="20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21"/>
        <v>0</v>
      </c>
    </row>
    <row r="167" spans="1:7" x14ac:dyDescent="0.25">
      <c r="A167" s="9">
        <f t="shared" si="7"/>
        <v>166</v>
      </c>
      <c r="B167" s="9">
        <f t="array" ref="B167">IF(C167="",0,IF(OR(C167=Country_Comparison!$S$10:$S$29),1,0))</f>
        <v>0</v>
      </c>
      <c r="C167" s="9" t="str">
        <f t="shared" si="19"/>
        <v/>
      </c>
      <c r="D167" s="6">
        <f t="shared" si="20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21"/>
        <v>0</v>
      </c>
    </row>
    <row r="168" spans="1:7" x14ac:dyDescent="0.25">
      <c r="A168" s="9">
        <f t="shared" si="7"/>
        <v>167</v>
      </c>
      <c r="B168" s="9">
        <f t="array" ref="B168">IF(C168="",0,IF(OR(C168=Country_Comparison!$S$10:$S$29),1,0))</f>
        <v>0</v>
      </c>
      <c r="C168" s="9" t="str">
        <f t="shared" si="19"/>
        <v/>
      </c>
      <c r="D168" s="6">
        <f t="shared" si="20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21"/>
        <v>0</v>
      </c>
    </row>
    <row r="169" spans="1:7" x14ac:dyDescent="0.25">
      <c r="A169" s="9">
        <f t="shared" si="7"/>
        <v>168</v>
      </c>
      <c r="B169" s="9">
        <f t="array" ref="B169">IF(C169="",0,IF(OR(C169=Country_Comparison!$S$10:$S$29),1,0))</f>
        <v>0</v>
      </c>
      <c r="C169" s="9" t="str">
        <f t="shared" si="19"/>
        <v/>
      </c>
      <c r="D169" s="6">
        <f t="shared" si="20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21"/>
        <v>0</v>
      </c>
    </row>
    <row r="170" spans="1:7" x14ac:dyDescent="0.25">
      <c r="A170" s="9">
        <f t="shared" si="7"/>
        <v>169</v>
      </c>
      <c r="B170" s="9">
        <f t="array" ref="B170">IF(C170="",0,IF(OR(C170=Country_Comparison!$S$10:$S$29),1,0))</f>
        <v>0</v>
      </c>
      <c r="C170" s="9" t="str">
        <f t="shared" si="19"/>
        <v/>
      </c>
      <c r="D170" s="6">
        <f t="shared" si="20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21"/>
        <v>0</v>
      </c>
    </row>
    <row r="171" spans="1:7" x14ac:dyDescent="0.25">
      <c r="A171" s="9">
        <f t="shared" si="7"/>
        <v>170</v>
      </c>
      <c r="B171" s="9">
        <f t="array" ref="B171">IF(C171="",0,IF(OR(C171=Country_Comparison!$S$10:$S$29),1,0))</f>
        <v>0</v>
      </c>
      <c r="C171" s="9" t="str">
        <f t="shared" si="19"/>
        <v/>
      </c>
      <c r="D171" s="6">
        <f t="shared" si="20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21"/>
        <v>0</v>
      </c>
    </row>
    <row r="172" spans="1:7" x14ac:dyDescent="0.25">
      <c r="A172" s="9">
        <f t="shared" si="7"/>
        <v>171</v>
      </c>
      <c r="B172" s="9">
        <f t="array" ref="B172">IF(C172="",0,IF(OR(C172=Country_Comparison!$S$10:$S$29),1,0))</f>
        <v>0</v>
      </c>
      <c r="C172" s="9" t="str">
        <f t="shared" si="19"/>
        <v/>
      </c>
      <c r="D172" s="6">
        <f t="shared" si="20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21"/>
        <v>0</v>
      </c>
    </row>
    <row r="173" spans="1:7" x14ac:dyDescent="0.25">
      <c r="A173" s="9">
        <f t="shared" si="7"/>
        <v>172</v>
      </c>
      <c r="B173" s="9">
        <f t="array" ref="B173">IF(C173="",0,IF(OR(C173=Country_Comparison!$S$10:$S$29),1,0))</f>
        <v>0</v>
      </c>
      <c r="C173" s="9" t="str">
        <f t="shared" si="19"/>
        <v/>
      </c>
      <c r="D173" s="6">
        <f t="shared" si="20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21"/>
        <v>0</v>
      </c>
    </row>
    <row r="174" spans="1:7" x14ac:dyDescent="0.25">
      <c r="A174" s="9">
        <f t="shared" si="7"/>
        <v>173</v>
      </c>
      <c r="B174" s="9">
        <f t="array" ref="B174">IF(C174="",0,IF(OR(C174=Country_Comparison!$S$10:$S$29),1,0))</f>
        <v>0</v>
      </c>
      <c r="C174" s="9" t="str">
        <f t="shared" si="19"/>
        <v/>
      </c>
      <c r="D174" s="6">
        <f t="shared" si="20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21"/>
        <v>0</v>
      </c>
    </row>
    <row r="175" spans="1:7" x14ac:dyDescent="0.25">
      <c r="A175" s="9">
        <f t="shared" si="7"/>
        <v>174</v>
      </c>
      <c r="B175" s="9">
        <f t="array" ref="B175">IF(C175="",0,IF(OR(C175=Country_Comparison!$S$10:$S$29),1,0))</f>
        <v>0</v>
      </c>
      <c r="C175" s="9" t="str">
        <f t="shared" si="19"/>
        <v/>
      </c>
      <c r="D175" s="6">
        <f t="shared" si="20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21"/>
        <v>0</v>
      </c>
    </row>
    <row r="176" spans="1:7" x14ac:dyDescent="0.25">
      <c r="A176" s="9">
        <f t="shared" si="7"/>
        <v>175</v>
      </c>
      <c r="B176" s="9">
        <f t="array" ref="B176">IF(C176="",0,IF(OR(C176=Country_Comparison!$S$10:$S$29),1,0))</f>
        <v>0</v>
      </c>
      <c r="C176" s="9" t="str">
        <f t="shared" si="19"/>
        <v/>
      </c>
      <c r="D176" s="6">
        <f t="shared" si="20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21"/>
        <v>0</v>
      </c>
    </row>
    <row r="177" spans="1:7" x14ac:dyDescent="0.25">
      <c r="A177" s="9">
        <f t="shared" si="7"/>
        <v>176</v>
      </c>
      <c r="B177" s="9">
        <f t="array" ref="B177">IF(C177="",0,IF(OR(C177=Country_Comparison!$S$10:$S$29),1,0))</f>
        <v>0</v>
      </c>
      <c r="C177" s="9" t="str">
        <f t="shared" si="19"/>
        <v/>
      </c>
      <c r="D177" s="6">
        <f t="shared" si="20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21"/>
        <v>0</v>
      </c>
    </row>
    <row r="178" spans="1:7" x14ac:dyDescent="0.25">
      <c r="A178" s="9">
        <f t="shared" si="7"/>
        <v>177</v>
      </c>
      <c r="B178" s="9">
        <f t="array" ref="B178">IF(C178="",0,IF(OR(C178=Country_Comparison!$S$10:$S$29),1,0))</f>
        <v>0</v>
      </c>
      <c r="C178" s="9" t="str">
        <f t="shared" si="19"/>
        <v/>
      </c>
      <c r="D178" s="6">
        <f t="shared" si="20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21"/>
        <v>0</v>
      </c>
    </row>
    <row r="179" spans="1:7" x14ac:dyDescent="0.25">
      <c r="A179" s="9">
        <f t="shared" si="7"/>
        <v>178</v>
      </c>
      <c r="B179" s="9">
        <f t="array" ref="B179">IF(C179="",0,IF(OR(C179=Country_Comparison!$S$10:$S$29),1,0))</f>
        <v>0</v>
      </c>
      <c r="C179" s="9" t="str">
        <f t="shared" si="19"/>
        <v/>
      </c>
      <c r="D179" s="6">
        <f t="shared" si="20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21"/>
        <v>0</v>
      </c>
    </row>
    <row r="180" spans="1:7" x14ac:dyDescent="0.25">
      <c r="A180" s="9">
        <f t="shared" si="7"/>
        <v>179</v>
      </c>
      <c r="B180" s="9">
        <f t="array" ref="B180">IF(C180="",0,IF(OR(C180=Country_Comparison!$S$10:$S$29),1,0))</f>
        <v>0</v>
      </c>
      <c r="C180" s="9" t="str">
        <f t="shared" si="19"/>
        <v/>
      </c>
      <c r="D180" s="6">
        <f t="shared" si="20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21"/>
        <v>0</v>
      </c>
    </row>
    <row r="181" spans="1:7" x14ac:dyDescent="0.25">
      <c r="A181" s="9">
        <f t="shared" si="7"/>
        <v>180</v>
      </c>
      <c r="B181" s="9">
        <f t="array" ref="B181">IF(C181="",0,IF(OR(C181=Country_Comparison!$S$10:$S$29),1,0))</f>
        <v>0</v>
      </c>
      <c r="C181" s="9" t="str">
        <f t="shared" si="19"/>
        <v/>
      </c>
      <c r="D181" s="6">
        <f t="shared" si="20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21"/>
        <v>0</v>
      </c>
    </row>
    <row r="182" spans="1:7" x14ac:dyDescent="0.25">
      <c r="A182" s="9">
        <f t="shared" si="7"/>
        <v>181</v>
      </c>
      <c r="B182" s="9">
        <f t="array" ref="B182">IF(C182="",0,IF(OR(C182=Country_Comparison!$S$10:$S$29),1,0))</f>
        <v>0</v>
      </c>
      <c r="C182" s="9" t="str">
        <f t="shared" si="19"/>
        <v/>
      </c>
      <c r="D182" s="6">
        <f t="shared" si="20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21"/>
        <v>0</v>
      </c>
    </row>
    <row r="183" spans="1:7" x14ac:dyDescent="0.25">
      <c r="A183" s="9">
        <f t="shared" si="7"/>
        <v>182</v>
      </c>
      <c r="B183" s="9">
        <f t="array" ref="B183">IF(C183="",0,IF(OR(C183=Country_Comparison!$S$10:$S$29),1,0))</f>
        <v>0</v>
      </c>
      <c r="C183" s="9" t="str">
        <f t="shared" si="19"/>
        <v/>
      </c>
      <c r="D183" s="6">
        <f t="shared" si="20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21"/>
        <v>0</v>
      </c>
    </row>
    <row r="184" spans="1:7" x14ac:dyDescent="0.25">
      <c r="A184" s="9">
        <f t="shared" si="7"/>
        <v>183</v>
      </c>
      <c r="B184" s="9">
        <f t="array" ref="B184">IF(C184="",0,IF(OR(C184=Country_Comparison!$S$10:$S$29),1,0))</f>
        <v>0</v>
      </c>
      <c r="C184" s="9" t="str">
        <f t="shared" si="19"/>
        <v/>
      </c>
      <c r="D184" s="6">
        <f t="shared" si="20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21"/>
        <v>0</v>
      </c>
    </row>
    <row r="185" spans="1:7" x14ac:dyDescent="0.25">
      <c r="A185" s="9">
        <f t="shared" si="7"/>
        <v>184</v>
      </c>
      <c r="B185" s="9">
        <f t="array" ref="B185">IF(C185="",0,IF(OR(C185=Country_Comparison!$S$10:$S$29),1,0))</f>
        <v>0</v>
      </c>
      <c r="C185" s="9" t="str">
        <f t="shared" si="19"/>
        <v/>
      </c>
      <c r="D185" s="6">
        <f t="shared" si="20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21"/>
        <v>0</v>
      </c>
    </row>
    <row r="186" spans="1:7" x14ac:dyDescent="0.25">
      <c r="A186" s="9">
        <f t="shared" si="7"/>
        <v>185</v>
      </c>
      <c r="B186" s="9">
        <f t="array" ref="B186">IF(C186="",0,IF(OR(C186=Country_Comparison!$S$10:$S$29),1,0))</f>
        <v>0</v>
      </c>
      <c r="C186" s="9" t="str">
        <f t="shared" si="19"/>
        <v/>
      </c>
      <c r="D186" s="6">
        <f t="shared" si="20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21"/>
        <v>0</v>
      </c>
    </row>
    <row r="187" spans="1:7" x14ac:dyDescent="0.25">
      <c r="A187" s="9">
        <f t="shared" si="7"/>
        <v>186</v>
      </c>
      <c r="B187" s="9">
        <f t="array" ref="B187">IF(C187="",0,IF(OR(C187=Country_Comparison!$S$10:$S$29),1,0))</f>
        <v>0</v>
      </c>
      <c r="C187" s="9" t="str">
        <f t="shared" si="19"/>
        <v/>
      </c>
      <c r="D187" s="6">
        <f t="shared" si="20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21"/>
        <v>0</v>
      </c>
    </row>
    <row r="188" spans="1:7" x14ac:dyDescent="0.25">
      <c r="A188" s="9">
        <f t="shared" si="7"/>
        <v>187</v>
      </c>
      <c r="B188" s="9">
        <f t="array" ref="B188">IF(C188="",0,IF(OR(C188=Country_Comparison!$S$10:$S$29),1,0))</f>
        <v>0</v>
      </c>
      <c r="C188" s="9" t="str">
        <f t="shared" si="19"/>
        <v/>
      </c>
      <c r="D188" s="6">
        <f t="shared" si="20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21"/>
        <v>0</v>
      </c>
    </row>
    <row r="189" spans="1:7" x14ac:dyDescent="0.25">
      <c r="A189" s="9">
        <f t="shared" si="7"/>
        <v>188</v>
      </c>
      <c r="B189" s="9">
        <f t="array" ref="B189">IF(C189="",0,IF(OR(C189=Country_Comparison!$S$10:$S$29),1,0))</f>
        <v>0</v>
      </c>
      <c r="C189" s="9" t="str">
        <f t="shared" si="19"/>
        <v/>
      </c>
      <c r="D189" s="6">
        <f t="shared" si="20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21"/>
        <v>0</v>
      </c>
    </row>
    <row r="190" spans="1:7" x14ac:dyDescent="0.25">
      <c r="A190" s="9">
        <f t="shared" si="7"/>
        <v>189</v>
      </c>
      <c r="B190" s="9">
        <f t="array" ref="B190">IF(C190="",0,IF(OR(C190=Country_Comparison!$S$10:$S$29),1,0))</f>
        <v>0</v>
      </c>
      <c r="C190" s="9" t="str">
        <f t="shared" si="19"/>
        <v/>
      </c>
      <c r="D190" s="6">
        <f t="shared" si="20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21"/>
        <v>0</v>
      </c>
    </row>
    <row r="191" spans="1:7" x14ac:dyDescent="0.25">
      <c r="A191" s="9">
        <f t="shared" si="7"/>
        <v>190</v>
      </c>
      <c r="B191" s="9">
        <f t="array" ref="B191">IF(C191="",0,IF(OR(C191=Country_Comparison!$S$10:$S$29),1,0))</f>
        <v>0</v>
      </c>
      <c r="C191" s="9" t="str">
        <f t="shared" si="19"/>
        <v/>
      </c>
      <c r="D191" s="6">
        <f t="shared" si="20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21"/>
        <v>0</v>
      </c>
    </row>
    <row r="192" spans="1:7" x14ac:dyDescent="0.25">
      <c r="A192" s="9">
        <f t="shared" si="7"/>
        <v>191</v>
      </c>
      <c r="B192" s="9">
        <f t="array" ref="B192">IF(C192="",0,IF(OR(C192=Country_Comparison!$S$10:$S$29),1,0))</f>
        <v>0</v>
      </c>
      <c r="C192" s="9" t="str">
        <f t="shared" si="19"/>
        <v/>
      </c>
      <c r="D192" s="6">
        <f t="shared" si="20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21"/>
        <v>0</v>
      </c>
    </row>
    <row r="193" spans="1:7" x14ac:dyDescent="0.25">
      <c r="A193" s="9">
        <f t="shared" si="7"/>
        <v>192</v>
      </c>
      <c r="B193" s="9">
        <f t="array" ref="B193">IF(C193="",0,IF(OR(C193=Country_Comparison!$S$10:$S$29),1,0))</f>
        <v>0</v>
      </c>
      <c r="C193" s="9" t="str">
        <f t="shared" si="19"/>
        <v/>
      </c>
      <c r="D193" s="6">
        <f t="shared" si="20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21"/>
        <v>0</v>
      </c>
    </row>
    <row r="194" spans="1:7" x14ac:dyDescent="0.25">
      <c r="A194" s="9">
        <f t="shared" si="7"/>
        <v>193</v>
      </c>
      <c r="B194" s="9">
        <f t="array" ref="B194">IF(C194="",0,IF(OR(C194=Country_Comparison!$S$10:$S$29),1,0))</f>
        <v>0</v>
      </c>
      <c r="C194" s="9" t="str">
        <f t="shared" si="19"/>
        <v/>
      </c>
      <c r="D194" s="6">
        <f t="shared" si="20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21"/>
        <v>0</v>
      </c>
    </row>
    <row r="195" spans="1:7" x14ac:dyDescent="0.25">
      <c r="A195" s="9">
        <f t="shared" si="7"/>
        <v>194</v>
      </c>
      <c r="B195" s="9">
        <f t="array" ref="B195">IF(C195="",0,IF(OR(C195=Country_Comparison!$S$10:$S$29),1,0))</f>
        <v>0</v>
      </c>
      <c r="C195" s="9" t="str">
        <f t="shared" si="19"/>
        <v/>
      </c>
      <c r="D195" s="6">
        <f t="shared" si="20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21"/>
        <v>0</v>
      </c>
    </row>
    <row r="196" spans="1:7" x14ac:dyDescent="0.25">
      <c r="A196" s="9">
        <f t="shared" si="7"/>
        <v>195</v>
      </c>
      <c r="B196" s="9">
        <f t="array" ref="B196">IF(C196="",0,IF(OR(C196=Country_Comparison!$S$10:$S$29),1,0))</f>
        <v>0</v>
      </c>
      <c r="C196" s="9" t="str">
        <f t="shared" si="19"/>
        <v/>
      </c>
      <c r="D196" s="6">
        <f t="shared" si="20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21"/>
        <v>0</v>
      </c>
    </row>
    <row r="197" spans="1:7" x14ac:dyDescent="0.25">
      <c r="A197" s="9">
        <f t="shared" si="7"/>
        <v>196</v>
      </c>
      <c r="B197" s="9">
        <f t="array" ref="B197">IF(C197="",0,IF(OR(C197=Country_Comparison!$S$10:$S$29),1,0))</f>
        <v>0</v>
      </c>
      <c r="C197" s="9" t="str">
        <f t="shared" si="19"/>
        <v/>
      </c>
      <c r="D197" s="6">
        <f t="shared" si="20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21"/>
        <v>0</v>
      </c>
    </row>
    <row r="198" spans="1:7" x14ac:dyDescent="0.25">
      <c r="A198" s="9">
        <f t="shared" si="7"/>
        <v>197</v>
      </c>
      <c r="B198" s="9">
        <f t="array" ref="B198">IF(C198="",0,IF(OR(C198=Country_Comparison!$S$10:$S$29),1,0))</f>
        <v>0</v>
      </c>
      <c r="C198" s="9" t="str">
        <f t="shared" ref="C198:C200" si="22">IF(H198="","",H198)</f>
        <v/>
      </c>
      <c r="D198" s="6">
        <f t="shared" ref="D198:D200" si="23"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24">IF(COUNTIF(I198:XFD198,"&gt;"&amp;0)=0,,(E198/F198)^(1/MIN(COUNTIF(I198:XFD198,"&gt;"&amp;0)-1,$F$1)))</f>
        <v>0</v>
      </c>
    </row>
    <row r="199" spans="1:7" x14ac:dyDescent="0.25">
      <c r="A199" s="9">
        <f t="shared" si="7"/>
        <v>198</v>
      </c>
      <c r="B199" s="9">
        <f t="array" ref="B199">IF(C199="",0,IF(OR(C199=Country_Comparison!$S$10:$S$29),1,0))</f>
        <v>0</v>
      </c>
      <c r="C199" s="9" t="str">
        <f t="shared" si="22"/>
        <v/>
      </c>
      <c r="D199" s="6">
        <f t="shared" si="23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24"/>
        <v>0</v>
      </c>
    </row>
    <row r="200" spans="1:7" x14ac:dyDescent="0.25">
      <c r="A200" s="9">
        <f t="shared" si="7"/>
        <v>199</v>
      </c>
      <c r="B200" s="9">
        <f t="array" ref="B200">IF(C200="",0,IF(OR(C200=Country_Comparison!$S$10:$S$29),1,0))</f>
        <v>0</v>
      </c>
      <c r="C200" s="9" t="str">
        <f t="shared" si="22"/>
        <v/>
      </c>
      <c r="D200" s="6">
        <f t="shared" si="23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24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/>
  <dimension ref="A1:N127"/>
  <sheetViews>
    <sheetView workbookViewId="0">
      <selection activeCell="F9" sqref="F9"/>
    </sheetView>
  </sheetViews>
  <sheetFormatPr defaultRowHeight="14.4" x14ac:dyDescent="0.3"/>
  <cols>
    <col min="1" max="3" width="8.88671875" style="54"/>
    <col min="4" max="5" width="10.5546875" style="54" bestFit="1" customWidth="1"/>
    <col min="6" max="8" width="8.88671875" style="54"/>
    <col min="9" max="9" width="17.77734375" style="54" bestFit="1" customWidth="1"/>
    <col min="10" max="10" width="10.5546875" style="54" bestFit="1" customWidth="1"/>
    <col min="11" max="11" width="13.77734375" style="43" bestFit="1" customWidth="1"/>
    <col min="12" max="12" width="8.88671875" style="54"/>
    <col min="13" max="13" width="10.33203125" style="54" bestFit="1" customWidth="1"/>
    <col min="14" max="16384" width="8.88671875" style="54"/>
  </cols>
  <sheetData>
    <row r="1" spans="1:14" x14ac:dyDescent="0.3">
      <c r="C1" s="54" t="s">
        <v>479</v>
      </c>
      <c r="D1" s="54">
        <v>100</v>
      </c>
      <c r="E1" s="54" t="s">
        <v>489</v>
      </c>
      <c r="F1" s="54" t="s">
        <v>450</v>
      </c>
      <c r="G1" s="54" t="s">
        <v>513</v>
      </c>
      <c r="H1" s="54" t="s">
        <v>514</v>
      </c>
      <c r="I1" s="54" t="s">
        <v>508</v>
      </c>
      <c r="J1" s="54" t="s">
        <v>505</v>
      </c>
      <c r="K1" s="43" t="s">
        <v>518</v>
      </c>
      <c r="L1" s="54" t="s">
        <v>519</v>
      </c>
      <c r="M1" s="54" t="s">
        <v>467</v>
      </c>
      <c r="N1" s="54" t="s">
        <v>523</v>
      </c>
    </row>
    <row r="2" spans="1:14" x14ac:dyDescent="0.3">
      <c r="A2" s="54">
        <v>1</v>
      </c>
      <c r="B2" s="57" t="s">
        <v>337</v>
      </c>
      <c r="C2" s="57" t="s">
        <v>337</v>
      </c>
      <c r="D2" s="54">
        <v>548</v>
      </c>
      <c r="E2" s="58">
        <f ca="1">OFFSET(CumulativeConfirmed!A2,-A2,MATCH(Country_Data!D2,CumulativeConfirmed!B2:BT2,0))</f>
        <v>43852</v>
      </c>
      <c r="F2" s="43">
        <f>MAX(CumulativeConfirmed!2:2)</f>
        <v>81250</v>
      </c>
      <c r="G2" s="43">
        <f>MAX(CumulativeRecovered!2:2)</f>
        <v>71266</v>
      </c>
      <c r="H2" s="43">
        <f>MAX(CumulativeDead!2:2)</f>
        <v>3253</v>
      </c>
      <c r="I2" s="58">
        <v>43853</v>
      </c>
      <c r="J2" s="58">
        <v>43853</v>
      </c>
      <c r="K2" s="43">
        <v>1439323776</v>
      </c>
      <c r="L2" s="54">
        <v>3.6</v>
      </c>
      <c r="M2" s="43">
        <v>51815.655936000003</v>
      </c>
      <c r="N2" s="72">
        <f>H2/F2</f>
        <v>4.0036923076923074E-2</v>
      </c>
    </row>
    <row r="3" spans="1:14" x14ac:dyDescent="0.3">
      <c r="A3" s="54">
        <v>2</v>
      </c>
      <c r="B3" s="57" t="s">
        <v>58</v>
      </c>
      <c r="C3" s="57" t="s">
        <v>58</v>
      </c>
      <c r="D3" s="54">
        <f>VLOOKUP(C3,Days_Since_100!H:I,2,FALSE)</f>
        <v>155</v>
      </c>
      <c r="E3" s="58">
        <f ca="1">OFFSET(CumulativeConfirmed!A3,-A3,MATCH(Country_Data!D3,CumulativeConfirmed!B3:BT3,0))</f>
        <v>43884</v>
      </c>
      <c r="F3" s="43">
        <f>MAX(CumulativeConfirmed!3:3)</f>
        <v>47021</v>
      </c>
      <c r="G3" s="43">
        <f>MAX(CumulativeRecovered!3:3)</f>
        <v>4440</v>
      </c>
      <c r="H3" s="43">
        <f>MAX(CumulativeDead!3:3)</f>
        <v>4032</v>
      </c>
      <c r="I3" s="58">
        <v>43886</v>
      </c>
      <c r="J3" s="58">
        <v>43886</v>
      </c>
      <c r="K3" s="43">
        <v>60461826</v>
      </c>
      <c r="L3" s="54">
        <v>12.5</v>
      </c>
      <c r="M3" s="43">
        <v>7557.7282499999992</v>
      </c>
      <c r="N3" s="72">
        <f t="shared" ref="N3:N66" si="0">H3/F3</f>
        <v>8.5748920695008612E-2</v>
      </c>
    </row>
    <row r="4" spans="1:14" x14ac:dyDescent="0.3">
      <c r="A4" s="54">
        <v>3</v>
      </c>
      <c r="B4" s="57" t="s">
        <v>338</v>
      </c>
      <c r="C4" s="57" t="s">
        <v>338</v>
      </c>
      <c r="D4" s="54">
        <f>VLOOKUP(C4,Days_Since_100!H:I,2,FALSE)</f>
        <v>139</v>
      </c>
      <c r="E4" s="58">
        <f ca="1">OFFSET(CumulativeConfirmed!A4,-A4,MATCH(Country_Data!D4,CumulativeConfirmed!B4:BT4,0))</f>
        <v>43887</v>
      </c>
      <c r="F4" s="43">
        <f>MAX(CumulativeConfirmed!4:4)</f>
        <v>19644</v>
      </c>
      <c r="G4" s="43">
        <f>MAX(CumulativeRecovered!4:4)</f>
        <v>6745</v>
      </c>
      <c r="H4" s="43">
        <f>MAX(CumulativeDead!4:4)</f>
        <v>1433</v>
      </c>
      <c r="K4" s="43">
        <v>83992949</v>
      </c>
      <c r="L4" s="54">
        <v>0</v>
      </c>
      <c r="M4" s="43">
        <v>0</v>
      </c>
      <c r="N4" s="72">
        <f t="shared" si="0"/>
        <v>7.2948482997352876E-2</v>
      </c>
    </row>
    <row r="5" spans="1:14" x14ac:dyDescent="0.3">
      <c r="A5" s="54">
        <v>4</v>
      </c>
      <c r="B5" s="57" t="s">
        <v>478</v>
      </c>
      <c r="C5" s="57" t="s">
        <v>339</v>
      </c>
      <c r="D5" s="54">
        <f>VLOOKUP(C5,Days_Since_100!H:I,2,FALSE)</f>
        <v>104</v>
      </c>
      <c r="E5" s="58">
        <f ca="1">OFFSET(CumulativeConfirmed!A5,-A5,MATCH(Country_Data!D5,CumulativeConfirmed!B5:BT5,0))</f>
        <v>43881</v>
      </c>
      <c r="F5" s="43">
        <f>MAX(CumulativeConfirmed!5:5)</f>
        <v>8652</v>
      </c>
      <c r="G5" s="43">
        <f>MAX(CumulativeRecovered!5:5)</f>
        <v>1540</v>
      </c>
      <c r="H5" s="43">
        <f>MAX(CumulativeDead!5:5)</f>
        <v>94</v>
      </c>
      <c r="I5" s="58">
        <v>43882</v>
      </c>
      <c r="J5" s="58">
        <v>43881</v>
      </c>
      <c r="K5" s="43">
        <v>51269185</v>
      </c>
      <c r="L5" s="54">
        <v>10.6</v>
      </c>
      <c r="M5" s="43">
        <v>5434.5336100000004</v>
      </c>
      <c r="N5" s="72">
        <f t="shared" si="0"/>
        <v>1.0864539990753583E-2</v>
      </c>
    </row>
    <row r="6" spans="1:14" x14ac:dyDescent="0.3">
      <c r="A6" s="54">
        <v>5</v>
      </c>
      <c r="B6" s="57" t="s">
        <v>60</v>
      </c>
      <c r="C6" s="57" t="s">
        <v>60</v>
      </c>
      <c r="D6" s="54">
        <f>VLOOKUP(C6,Days_Since_100!H:I,2,FALSE)</f>
        <v>120</v>
      </c>
      <c r="E6" s="58">
        <f ca="1">OFFSET(CumulativeConfirmed!A6,-A6,MATCH(Country_Data!D6,CumulativeConfirmed!B6:BT6,0))</f>
        <v>43892</v>
      </c>
      <c r="F6" s="43">
        <f>MAX(CumulativeConfirmed!6:6)</f>
        <v>20410</v>
      </c>
      <c r="G6" s="43">
        <f>MAX(CumulativeRecovered!6:6)</f>
        <v>1588</v>
      </c>
      <c r="H6" s="43">
        <f>MAX(CumulativeDead!6:6)</f>
        <v>1043</v>
      </c>
      <c r="I6" s="58">
        <v>43905</v>
      </c>
      <c r="J6" s="58">
        <v>43900</v>
      </c>
      <c r="K6" s="43">
        <v>46754778</v>
      </c>
      <c r="L6" s="54">
        <v>9.6999999999999993</v>
      </c>
      <c r="M6" s="43">
        <v>4535.2134659999992</v>
      </c>
      <c r="N6" s="72">
        <f t="shared" si="0"/>
        <v>5.1102400783929448E-2</v>
      </c>
    </row>
    <row r="7" spans="1:14" x14ac:dyDescent="0.3">
      <c r="A7" s="54">
        <v>6</v>
      </c>
      <c r="B7" s="57" t="s">
        <v>53</v>
      </c>
      <c r="C7" s="57" t="s">
        <v>53</v>
      </c>
      <c r="D7" s="54">
        <f>VLOOKUP(C7,Days_Since_100!H:I,2,FALSE)</f>
        <v>130</v>
      </c>
      <c r="E7" s="58">
        <f ca="1">OFFSET(CumulativeConfirmed!A7,-A7,MATCH(Country_Data!D7,CumulativeConfirmed!B7:BT7,0))</f>
        <v>43891</v>
      </c>
      <c r="F7" s="43">
        <f>MAX(CumulativeConfirmed!7:7)</f>
        <v>19848</v>
      </c>
      <c r="G7" s="43">
        <f>MAX(CumulativeRecovered!7:7)</f>
        <v>180</v>
      </c>
      <c r="H7" s="43">
        <f>MAX(CumulativeDead!7:7)</f>
        <v>67</v>
      </c>
      <c r="I7" s="58">
        <v>43907</v>
      </c>
      <c r="J7" s="58">
        <v>43900</v>
      </c>
      <c r="K7" s="43">
        <v>83783942</v>
      </c>
      <c r="L7" s="54">
        <v>29.2</v>
      </c>
      <c r="M7" s="43">
        <v>24464.911064</v>
      </c>
      <c r="N7" s="72">
        <f t="shared" si="0"/>
        <v>3.3756549778315194E-3</v>
      </c>
    </row>
    <row r="8" spans="1:14" x14ac:dyDescent="0.3">
      <c r="A8" s="54">
        <v>7</v>
      </c>
      <c r="B8" s="57" t="s">
        <v>41</v>
      </c>
      <c r="C8" s="57" t="s">
        <v>41</v>
      </c>
      <c r="D8" s="54">
        <f>VLOOKUP(C8,Days_Since_100!H:I,2,FALSE)</f>
        <v>100</v>
      </c>
      <c r="E8" s="58">
        <f ca="1">OFFSET(CumulativeConfirmed!A8,-A8,MATCH(Country_Data!D8,CumulativeConfirmed!B8:BT8,0))</f>
        <v>43890</v>
      </c>
      <c r="F8" s="43">
        <f>MAX(CumulativeConfirmed!8:8)</f>
        <v>12726</v>
      </c>
      <c r="G8" s="43">
        <f>MAX(CumulativeRecovered!8:8)</f>
        <v>12</v>
      </c>
      <c r="H8" s="43">
        <f>MAX(CumulativeDead!8:8)</f>
        <v>450</v>
      </c>
      <c r="I8" s="58">
        <v>43907</v>
      </c>
      <c r="J8" s="58">
        <v>43900</v>
      </c>
      <c r="K8" s="43">
        <v>65273511</v>
      </c>
      <c r="L8" s="54">
        <v>11.6</v>
      </c>
      <c r="M8" s="43">
        <v>7571.7272759999996</v>
      </c>
      <c r="N8" s="72">
        <f t="shared" si="0"/>
        <v>3.536067892503536E-2</v>
      </c>
    </row>
    <row r="9" spans="1:14" x14ac:dyDescent="0.3">
      <c r="A9" s="54">
        <v>8</v>
      </c>
      <c r="B9" s="57" t="s">
        <v>38</v>
      </c>
      <c r="C9" s="57" t="s">
        <v>38</v>
      </c>
      <c r="D9" s="54">
        <f>VLOOKUP(C9,Days_Since_100!H:I,2,FALSE)</f>
        <v>118</v>
      </c>
      <c r="E9" s="58">
        <f ca="1">OFFSET(CumulativeConfirmed!A9,-A9,MATCH(Country_Data!D9,CumulativeConfirmed!B9:BT9,0))</f>
        <v>43893</v>
      </c>
      <c r="F9" s="43">
        <f>MAX(CumulativeConfirmed!9:9)</f>
        <v>19100</v>
      </c>
      <c r="G9" s="43">
        <f>MAX(CumulativeRecovered!9:9)</f>
        <v>17</v>
      </c>
      <c r="H9" s="43">
        <f>MAX(CumulativeDead!9:9)</f>
        <v>244</v>
      </c>
      <c r="J9" s="58">
        <v>43904</v>
      </c>
      <c r="K9" s="43">
        <v>331002651</v>
      </c>
      <c r="L9" s="54">
        <v>29.3</v>
      </c>
      <c r="M9" s="43">
        <v>96983.776743000009</v>
      </c>
      <c r="N9" s="72">
        <f t="shared" si="0"/>
        <v>1.2774869109947644E-2</v>
      </c>
    </row>
    <row r="10" spans="1:14" x14ac:dyDescent="0.3">
      <c r="A10" s="54">
        <v>9</v>
      </c>
      <c r="B10" s="57" t="s">
        <v>77</v>
      </c>
      <c r="C10" s="57" t="s">
        <v>77</v>
      </c>
      <c r="D10" s="54">
        <f>VLOOKUP(C10,Days_Since_100!H:I,2,FALSE)</f>
        <v>114</v>
      </c>
      <c r="E10" s="58">
        <f ca="1">OFFSET(CumulativeConfirmed!A10,-A10,MATCH(Country_Data!D10,CumulativeConfirmed!B10:BT10,0))</f>
        <v>43895</v>
      </c>
      <c r="F10" s="43">
        <f>MAX(CumulativeConfirmed!10:10)</f>
        <v>5294</v>
      </c>
      <c r="G10" s="43">
        <f>MAX(CumulativeRecovered!10:10)</f>
        <v>15</v>
      </c>
      <c r="H10" s="43">
        <f>MAX(CumulativeDead!10:10)</f>
        <v>54</v>
      </c>
      <c r="I10" s="58">
        <v>43903</v>
      </c>
      <c r="J10" s="58">
        <v>43903</v>
      </c>
      <c r="K10" s="43">
        <v>8654622</v>
      </c>
      <c r="L10" s="54">
        <v>11</v>
      </c>
      <c r="M10" s="43">
        <v>952.00842000000011</v>
      </c>
      <c r="N10" s="72">
        <f t="shared" si="0"/>
        <v>1.0200226671703816E-2</v>
      </c>
    </row>
    <row r="11" spans="1:14" x14ac:dyDescent="0.3">
      <c r="A11" s="54">
        <v>10</v>
      </c>
      <c r="B11" s="57" t="s">
        <v>85</v>
      </c>
      <c r="C11" s="57" t="s">
        <v>85</v>
      </c>
      <c r="D11" s="54">
        <f>VLOOKUP(C11,Days_Since_100!H:I,2,FALSE)</f>
        <v>108</v>
      </c>
      <c r="E11" s="58">
        <f ca="1">OFFSET(CumulativeConfirmed!A11,-A11,MATCH(Country_Data!D11,CumulativeConfirmed!B11:BT11,0))</f>
        <v>43896</v>
      </c>
      <c r="F11" s="43">
        <f>MAX(CumulativeConfirmed!11:11)</f>
        <v>1914</v>
      </c>
      <c r="G11" s="43">
        <f>MAX(CumulativeRecovered!11:11)</f>
        <v>1</v>
      </c>
      <c r="H11" s="43">
        <f>MAX(CumulativeDead!11:11)</f>
        <v>7</v>
      </c>
      <c r="I11" s="58">
        <v>43902</v>
      </c>
      <c r="J11" s="58">
        <v>43902</v>
      </c>
      <c r="K11" s="43">
        <v>5421241</v>
      </c>
      <c r="L11" s="54">
        <v>8</v>
      </c>
      <c r="M11" s="43">
        <v>433.69927999999999</v>
      </c>
      <c r="N11" s="72">
        <f t="shared" si="0"/>
        <v>3.6572622779519333E-3</v>
      </c>
    </row>
    <row r="12" spans="1:14" x14ac:dyDescent="0.3">
      <c r="A12" s="54">
        <v>11</v>
      </c>
      <c r="B12" s="57" t="s">
        <v>59</v>
      </c>
      <c r="C12" s="57" t="s">
        <v>59</v>
      </c>
      <c r="D12" s="54">
        <f>VLOOKUP(C12,Days_Since_100!H:I,2,FALSE)</f>
        <v>101</v>
      </c>
      <c r="E12" s="58">
        <f ca="1">OFFSET(CumulativeConfirmed!A12,-A12,MATCH(Country_Data!D12,CumulativeConfirmed!B12:BT12,0))</f>
        <v>43896</v>
      </c>
      <c r="F12" s="43">
        <f>MAX(CumulativeConfirmed!12:12)</f>
        <v>1639</v>
      </c>
      <c r="G12" s="43">
        <f>MAX(CumulativeRecovered!12:12)</f>
        <v>16</v>
      </c>
      <c r="H12" s="43">
        <f>MAX(CumulativeDead!12:12)</f>
        <v>16</v>
      </c>
      <c r="K12" s="43">
        <v>10099265</v>
      </c>
      <c r="L12" s="54">
        <v>5.8</v>
      </c>
      <c r="M12" s="43">
        <v>585.75736999999992</v>
      </c>
      <c r="N12" s="72">
        <f t="shared" si="0"/>
        <v>9.762050030506406E-3</v>
      </c>
    </row>
    <row r="13" spans="1:14" x14ac:dyDescent="0.3">
      <c r="A13" s="54">
        <v>12</v>
      </c>
      <c r="B13" s="57" t="s">
        <v>87</v>
      </c>
      <c r="C13" s="57" t="s">
        <v>87</v>
      </c>
      <c r="D13" s="54">
        <f>VLOOKUP(C13,Days_Since_100!H:I,2,FALSE)</f>
        <v>264</v>
      </c>
      <c r="E13" s="58">
        <f ca="1">OFFSET(CumulativeConfirmed!A13,-A13,MATCH(Country_Data!D13,CumulativeConfirmed!B13:BT13,0))</f>
        <v>43900</v>
      </c>
      <c r="F13" s="43">
        <f>MAX(CumulativeConfirmed!13:13)</f>
        <v>1337</v>
      </c>
      <c r="G13" s="43">
        <f>MAX(CumulativeRecovered!13:13)</f>
        <v>1</v>
      </c>
      <c r="H13" s="43">
        <f>MAX(CumulativeDead!13:13)</f>
        <v>9</v>
      </c>
      <c r="I13" s="58">
        <v>43902</v>
      </c>
      <c r="J13" s="58">
        <v>43902</v>
      </c>
      <c r="K13" s="43">
        <v>5792202</v>
      </c>
      <c r="L13" s="54">
        <v>6.7</v>
      </c>
      <c r="M13" s="43">
        <v>388.07753400000001</v>
      </c>
      <c r="N13" s="72">
        <f t="shared" si="0"/>
        <v>6.7314884068810773E-3</v>
      </c>
    </row>
    <row r="14" spans="1:14" x14ac:dyDescent="0.3">
      <c r="A14" s="54">
        <v>13</v>
      </c>
      <c r="B14" s="57" t="s">
        <v>89</v>
      </c>
      <c r="C14" s="57" t="s">
        <v>89</v>
      </c>
      <c r="D14" s="54">
        <f>VLOOKUP(C14,Days_Since_100!H:I,2,FALSE)</f>
        <v>128</v>
      </c>
      <c r="E14" s="58">
        <f ca="1">OFFSET(CumulativeConfirmed!A14,-A14,MATCH(Country_Data!D14,CumulativeConfirmed!B14:BT14,0))</f>
        <v>43896</v>
      </c>
      <c r="F14" s="43">
        <f>MAX(CumulativeConfirmed!14:14)</f>
        <v>3003</v>
      </c>
      <c r="G14" s="43">
        <f>MAX(CumulativeRecovered!14:14)</f>
        <v>2</v>
      </c>
      <c r="H14" s="43">
        <f>MAX(CumulativeDead!14:14)</f>
        <v>107</v>
      </c>
      <c r="K14" s="43">
        <v>17134872</v>
      </c>
      <c r="L14" s="54">
        <v>0</v>
      </c>
      <c r="M14" s="43">
        <v>0</v>
      </c>
      <c r="N14" s="72">
        <f t="shared" si="0"/>
        <v>3.5631035631035632E-2</v>
      </c>
    </row>
    <row r="15" spans="1:14" x14ac:dyDescent="0.3">
      <c r="A15" s="54">
        <v>14</v>
      </c>
      <c r="B15" s="57" t="s">
        <v>349</v>
      </c>
      <c r="C15" s="57" t="s">
        <v>349</v>
      </c>
      <c r="D15" s="54">
        <f>VLOOKUP(C15,Days_Since_100!H:I,2,FALSE)</f>
        <v>116</v>
      </c>
      <c r="E15" s="58">
        <f ca="1">OFFSET(CumulativeConfirmed!A15,-A15,MATCH(Country_Data!D15,CumulativeConfirmed!B15:BT15,0))</f>
        <v>43895</v>
      </c>
      <c r="F15" s="43">
        <f>MAX(CumulativeConfirmed!15:15)</f>
        <v>4014</v>
      </c>
      <c r="G15" s="43">
        <f>MAX(CumulativeRecovered!15:15)</f>
        <v>67</v>
      </c>
      <c r="H15" s="43">
        <f>MAX(CumulativeDead!15:15)</f>
        <v>178</v>
      </c>
      <c r="I15" s="58">
        <v>43910</v>
      </c>
      <c r="J15" s="58">
        <v>43904</v>
      </c>
      <c r="K15" s="43">
        <v>67886011</v>
      </c>
      <c r="L15" s="54">
        <v>6.6</v>
      </c>
      <c r="M15" s="43">
        <v>4480.4767259999999</v>
      </c>
      <c r="N15" s="72">
        <f t="shared" si="0"/>
        <v>4.434479322371699E-2</v>
      </c>
    </row>
    <row r="16" spans="1:14" x14ac:dyDescent="0.3">
      <c r="A16" s="54">
        <v>15</v>
      </c>
      <c r="B16" s="57" t="s">
        <v>36</v>
      </c>
      <c r="C16" s="57" t="s">
        <v>36</v>
      </c>
      <c r="D16" s="54">
        <f>VLOOKUP(C16,Days_Since_100!H:I,2,FALSE)</f>
        <v>105</v>
      </c>
      <c r="E16" s="58">
        <f ca="1">OFFSET(CumulativeConfirmed!A16,-A16,MATCH(Country_Data!D16,CumulativeConfirmed!B16:BT16,0))</f>
        <v>43882</v>
      </c>
      <c r="F16" s="43">
        <f>MAX(CumulativeConfirmed!16:16)</f>
        <v>963</v>
      </c>
      <c r="G16" s="43">
        <f>MAX(CumulativeRecovered!16:16)</f>
        <v>191</v>
      </c>
      <c r="H16" s="43">
        <f>MAX(CumulativeDead!16:16)</f>
        <v>33</v>
      </c>
      <c r="I16" s="58">
        <v>43888</v>
      </c>
      <c r="J16" s="58">
        <v>43888</v>
      </c>
      <c r="K16" s="43">
        <v>126476461</v>
      </c>
      <c r="L16" s="54">
        <v>7.3</v>
      </c>
      <c r="M16" s="43">
        <v>9232.781653</v>
      </c>
      <c r="N16" s="72">
        <f t="shared" si="0"/>
        <v>3.4267912772585667E-2</v>
      </c>
    </row>
    <row r="17" spans="1:14" x14ac:dyDescent="0.3">
      <c r="A17" s="54">
        <v>16</v>
      </c>
      <c r="B17" s="57" t="s">
        <v>340</v>
      </c>
      <c r="C17" s="57" t="s">
        <v>340</v>
      </c>
      <c r="D17" s="54">
        <f>VLOOKUP(C17,Days_Since_100!H:I,2,FALSE)</f>
        <v>135</v>
      </c>
      <c r="E17" s="58">
        <f ca="1">OFFSET(CumulativeConfirmed!A17,-A17,MATCH(Country_Data!D17,CumulativeConfirmed!B17:BT17,0))</f>
        <v>43871</v>
      </c>
      <c r="F17" s="43">
        <f>MAX(CumulativeConfirmed!17:17)</f>
        <v>712</v>
      </c>
      <c r="G17" s="43">
        <f>MAX(CumulativeRecovered!17:17)</f>
        <v>325</v>
      </c>
      <c r="H17" s="43">
        <f>MAX(CumulativeDead!17:17)</f>
        <v>7</v>
      </c>
      <c r="K17" s="43" t="e">
        <v>#N/A</v>
      </c>
      <c r="L17" s="54">
        <v>0</v>
      </c>
      <c r="M17" s="43" t="e">
        <v>#N/A</v>
      </c>
      <c r="N17" s="72">
        <f t="shared" si="0"/>
        <v>9.8314606741573031E-3</v>
      </c>
    </row>
    <row r="18" spans="1:14" x14ac:dyDescent="0.3">
      <c r="A18" s="54">
        <v>17</v>
      </c>
      <c r="B18" s="57" t="s">
        <v>63</v>
      </c>
      <c r="C18" s="57" t="s">
        <v>63</v>
      </c>
      <c r="D18" s="54">
        <f>VLOOKUP(C18,Days_Since_100!H:I,2,FALSE)</f>
        <v>109</v>
      </c>
      <c r="E18" s="58">
        <f ca="1">OFFSET(CumulativeConfirmed!A18,-A18,MATCH(Country_Data!D18,CumulativeConfirmed!B18:BT18,0))</f>
        <v>43896</v>
      </c>
      <c r="F18" s="43">
        <f>MAX(CumulativeConfirmed!18:18)</f>
        <v>2257</v>
      </c>
      <c r="G18" s="43">
        <f>MAX(CumulativeRecovered!18:18)</f>
        <v>31</v>
      </c>
      <c r="H18" s="43">
        <f>MAX(CumulativeDead!18:18)</f>
        <v>37</v>
      </c>
      <c r="I18" s="58">
        <v>43908</v>
      </c>
      <c r="J18" s="58">
        <v>43908</v>
      </c>
      <c r="K18" s="43">
        <v>11589623</v>
      </c>
      <c r="L18" s="54">
        <v>15.9</v>
      </c>
      <c r="M18" s="43">
        <v>1842.7500570000002</v>
      </c>
      <c r="N18" s="72">
        <f t="shared" si="0"/>
        <v>1.6393442622950821E-2</v>
      </c>
    </row>
    <row r="19" spans="1:14" x14ac:dyDescent="0.3">
      <c r="A19" s="54">
        <v>18</v>
      </c>
      <c r="B19" s="57" t="s">
        <v>78</v>
      </c>
      <c r="C19" s="57" t="s">
        <v>78</v>
      </c>
      <c r="D19" s="54">
        <f>VLOOKUP(C19,Days_Since_100!H:I,2,FALSE)</f>
        <v>104</v>
      </c>
      <c r="E19" s="58">
        <f ca="1">OFFSET(CumulativeConfirmed!A19,-A19,MATCH(Country_Data!D19,CumulativeConfirmed!B19:BT19,0))</f>
        <v>43898</v>
      </c>
      <c r="F19" s="43">
        <f>MAX(CumulativeConfirmed!19:19)</f>
        <v>2388</v>
      </c>
      <c r="G19" s="43">
        <f>MAX(CumulativeRecovered!19:19)</f>
        <v>9</v>
      </c>
      <c r="H19" s="43">
        <f>MAX(CumulativeDead!19:19)</f>
        <v>6</v>
      </c>
      <c r="I19" s="58">
        <v>43903</v>
      </c>
      <c r="J19" s="58">
        <v>43903</v>
      </c>
      <c r="K19" s="43">
        <v>9006398</v>
      </c>
      <c r="L19" s="54">
        <v>21.8</v>
      </c>
      <c r="M19" s="43">
        <v>1963.3947640000001</v>
      </c>
      <c r="N19" s="72">
        <f t="shared" si="0"/>
        <v>2.5125628140703518E-3</v>
      </c>
    </row>
    <row r="20" spans="1:14" x14ac:dyDescent="0.3">
      <c r="A20" s="54">
        <v>19</v>
      </c>
      <c r="B20" s="57" t="s">
        <v>101</v>
      </c>
      <c r="C20" s="57" t="s">
        <v>101</v>
      </c>
      <c r="D20" s="54">
        <f>VLOOKUP(C20,Days_Since_100!H:I,2,FALSE)</f>
        <v>262</v>
      </c>
      <c r="E20" s="58">
        <f ca="1">OFFSET(CumulativeConfirmed!A20,-A20,MATCH(Country_Data!D20,CumulativeConfirmed!B20:BT20,0))</f>
        <v>43901</v>
      </c>
      <c r="F20" s="43">
        <f>MAX(CumulativeConfirmed!20:20)</f>
        <v>470</v>
      </c>
      <c r="G20" s="43">
        <f>MAX(CumulativeRecovered!20:20)</f>
        <v>10</v>
      </c>
      <c r="H20" s="43">
        <f>MAX(CumulativeDead!20:20)</f>
        <v>0</v>
      </c>
      <c r="K20" s="43">
        <v>2881053</v>
      </c>
      <c r="L20" s="54">
        <v>0</v>
      </c>
      <c r="M20" s="43">
        <v>0</v>
      </c>
      <c r="N20" s="72">
        <f t="shared" si="0"/>
        <v>0</v>
      </c>
    </row>
    <row r="21" spans="1:14" x14ac:dyDescent="0.3">
      <c r="A21" s="54">
        <v>20</v>
      </c>
      <c r="B21" s="57" t="s">
        <v>48</v>
      </c>
      <c r="C21" s="57" t="s">
        <v>48</v>
      </c>
      <c r="D21" s="54">
        <f>VLOOKUP(C21,Days_Since_100!H:I,2,FALSE)</f>
        <v>107</v>
      </c>
      <c r="E21" s="58">
        <f ca="1">OFFSET(CumulativeConfirmed!A21,-A21,MATCH(Country_Data!D21,CumulativeConfirmed!B21:BT21,0))</f>
        <v>43900</v>
      </c>
      <c r="F21" s="43">
        <f>MAX(CumulativeConfirmed!21:21)</f>
        <v>791</v>
      </c>
      <c r="G21" s="43">
        <f>MAX(CumulativeRecovered!21:21)</f>
        <v>26</v>
      </c>
      <c r="H21" s="43">
        <f>MAX(CumulativeDead!21:21)</f>
        <v>7</v>
      </c>
      <c r="K21" s="43">
        <v>25499884</v>
      </c>
      <c r="L21" s="54">
        <v>0</v>
      </c>
      <c r="M21" s="43">
        <v>0</v>
      </c>
      <c r="N21" s="72">
        <f t="shared" si="0"/>
        <v>8.8495575221238937E-3</v>
      </c>
    </row>
    <row r="22" spans="1:14" x14ac:dyDescent="0.3">
      <c r="A22" s="54">
        <v>21</v>
      </c>
      <c r="B22" s="57" t="s">
        <v>40</v>
      </c>
      <c r="C22" s="57" t="s">
        <v>40</v>
      </c>
      <c r="D22" s="54">
        <f>VLOOKUP(C22,Days_Since_100!H:I,2,FALSE)</f>
        <v>102</v>
      </c>
      <c r="E22" s="58">
        <f ca="1">OFFSET(CumulativeConfirmed!A22,-A22,MATCH(Country_Data!D22,CumulativeConfirmed!B22:BT22,0))</f>
        <v>43890</v>
      </c>
      <c r="F22" s="43">
        <f>MAX(CumulativeConfirmed!22:22)</f>
        <v>385</v>
      </c>
      <c r="G22" s="43">
        <f>MAX(CumulativeRecovered!22:22)</f>
        <v>124</v>
      </c>
      <c r="H22" s="43">
        <f>MAX(CumulativeDead!22:22)</f>
        <v>0</v>
      </c>
      <c r="K22" s="43">
        <v>5850342</v>
      </c>
      <c r="L22" s="54">
        <v>0</v>
      </c>
      <c r="M22" s="43">
        <v>0</v>
      </c>
      <c r="N22" s="72">
        <f t="shared" si="0"/>
        <v>0</v>
      </c>
    </row>
    <row r="23" spans="1:14" x14ac:dyDescent="0.3">
      <c r="A23" s="54">
        <v>22</v>
      </c>
      <c r="B23" s="57" t="s">
        <v>43</v>
      </c>
      <c r="C23" s="57" t="s">
        <v>43</v>
      </c>
      <c r="D23" s="54">
        <f>VLOOKUP(C23,Days_Since_100!H:I,2,FALSE)</f>
        <v>117</v>
      </c>
      <c r="E23" s="58">
        <f ca="1">OFFSET(CumulativeConfirmed!A23,-A23,MATCH(Country_Data!D23,CumulativeConfirmed!B23:BT23,0))</f>
        <v>43899</v>
      </c>
      <c r="F23" s="43">
        <f>MAX(CumulativeConfirmed!23:23)</f>
        <v>1030</v>
      </c>
      <c r="G23" s="43">
        <f>MAX(CumulativeRecovered!23:23)</f>
        <v>87</v>
      </c>
      <c r="H23" s="43">
        <f>MAX(CumulativeDead!23:23)</f>
        <v>3</v>
      </c>
      <c r="K23" s="43">
        <v>32365999</v>
      </c>
      <c r="L23" s="54">
        <v>0</v>
      </c>
      <c r="M23" s="43">
        <v>0</v>
      </c>
      <c r="N23" s="72">
        <f t="shared" si="0"/>
        <v>2.9126213592233011E-3</v>
      </c>
    </row>
    <row r="24" spans="1:14" x14ac:dyDescent="0.3">
      <c r="A24" s="54">
        <v>23</v>
      </c>
      <c r="B24" s="57" t="s">
        <v>45</v>
      </c>
      <c r="C24" s="57" t="s">
        <v>45</v>
      </c>
      <c r="D24" s="54">
        <f>VLOOKUP(C24,Days_Since_100!H:I,2,FALSE)</f>
        <v>108</v>
      </c>
      <c r="E24" s="58">
        <f ca="1">OFFSET(CumulativeConfirmed!A24,-A24,MATCH(Country_Data!D24,CumulativeConfirmed!B24:BT24,0))</f>
        <v>43901</v>
      </c>
      <c r="F24" s="43">
        <f>MAX(CumulativeConfirmed!24:24)</f>
        <v>943</v>
      </c>
      <c r="G24" s="43">
        <f>MAX(CumulativeRecovered!24:24)</f>
        <v>9</v>
      </c>
      <c r="H24" s="43">
        <f>MAX(CumulativeDead!24:24)</f>
        <v>12</v>
      </c>
      <c r="K24" s="43">
        <v>37742154</v>
      </c>
      <c r="L24" s="54">
        <v>0</v>
      </c>
      <c r="M24" s="43">
        <v>0</v>
      </c>
      <c r="N24" s="72">
        <f t="shared" si="0"/>
        <v>1.2725344644750796E-2</v>
      </c>
    </row>
    <row r="25" spans="1:14" x14ac:dyDescent="0.3">
      <c r="A25" s="54">
        <v>24</v>
      </c>
      <c r="B25" s="57" t="s">
        <v>83</v>
      </c>
      <c r="C25" s="57" t="s">
        <v>83</v>
      </c>
      <c r="D25" s="54">
        <f>VLOOKUP(C25,Days_Since_100!H:I,2,FALSE)</f>
        <v>190</v>
      </c>
      <c r="E25" s="58">
        <f ca="1">OFFSET(CumulativeConfirmed!A25,-A25,MATCH(Country_Data!D25,CumulativeConfirmed!B25:BT25,0))</f>
        <v>43903</v>
      </c>
      <c r="F25" s="43">
        <f>MAX(CumulativeConfirmed!25:25)</f>
        <v>495</v>
      </c>
      <c r="G25" s="43">
        <f>MAX(CumulativeRecovered!25:25)</f>
        <v>19</v>
      </c>
      <c r="H25" s="43">
        <f>MAX(CumulativeDead!25:25)</f>
        <v>6</v>
      </c>
      <c r="K25" s="43">
        <v>10423054</v>
      </c>
      <c r="L25" s="54">
        <v>6</v>
      </c>
      <c r="M25" s="43">
        <v>625.38324</v>
      </c>
      <c r="N25" s="72">
        <f t="shared" si="0"/>
        <v>1.2121212121212121E-2</v>
      </c>
    </row>
    <row r="26" spans="1:14" x14ac:dyDescent="0.3">
      <c r="A26" s="54">
        <v>25</v>
      </c>
      <c r="B26" s="57" t="s">
        <v>73</v>
      </c>
      <c r="C26" s="57" t="s">
        <v>73</v>
      </c>
      <c r="D26" s="54">
        <f>VLOOKUP(C26,Days_Since_100!H:I,2,FALSE)</f>
        <v>110</v>
      </c>
      <c r="E26" s="58">
        <f ca="1">OFFSET(CumulativeConfirmed!A26,-A26,MATCH(Country_Data!D26,CumulativeConfirmed!B26:BT26,0))</f>
        <v>43900</v>
      </c>
      <c r="F26" s="43">
        <f>MAX(CumulativeConfirmed!26:26)</f>
        <v>285</v>
      </c>
      <c r="G26" s="43">
        <f>MAX(CumulativeRecovered!26:26)</f>
        <v>100</v>
      </c>
      <c r="H26" s="43">
        <f>MAX(CumulativeDead!26:26)</f>
        <v>1</v>
      </c>
      <c r="K26" s="43">
        <v>1701575</v>
      </c>
      <c r="L26" s="54">
        <v>0</v>
      </c>
      <c r="M26" s="43">
        <v>0</v>
      </c>
      <c r="N26" s="72">
        <f t="shared" si="0"/>
        <v>3.5087719298245615E-3</v>
      </c>
    </row>
    <row r="27" spans="1:14" x14ac:dyDescent="0.3">
      <c r="A27" s="54">
        <v>26</v>
      </c>
      <c r="B27" s="57" t="s">
        <v>79</v>
      </c>
      <c r="C27" s="57" t="s">
        <v>79</v>
      </c>
      <c r="D27" s="54">
        <f>VLOOKUP(C27,Days_Since_100!H:I,2,FALSE)</f>
        <v>109</v>
      </c>
      <c r="E27" s="58">
        <f ca="1">OFFSET(CumulativeConfirmed!A27,-A27,MATCH(Country_Data!D27,CumulativeConfirmed!B27:BT27,0))</f>
        <v>43901</v>
      </c>
      <c r="F27" s="43">
        <f>MAX(CumulativeConfirmed!27:27)</f>
        <v>705</v>
      </c>
      <c r="G27" s="43">
        <f>MAX(CumulativeRecovered!27:27)</f>
        <v>14</v>
      </c>
      <c r="H27" s="43">
        <f>MAX(CumulativeDead!27:27)</f>
        <v>0</v>
      </c>
      <c r="I27" s="58">
        <v>43902</v>
      </c>
      <c r="J27" s="58">
        <v>43902</v>
      </c>
      <c r="K27" s="43">
        <v>8655535</v>
      </c>
      <c r="L27" s="54">
        <v>0</v>
      </c>
      <c r="M27" s="43">
        <v>0</v>
      </c>
      <c r="N27" s="72">
        <f t="shared" si="0"/>
        <v>0</v>
      </c>
    </row>
    <row r="28" spans="1:14" x14ac:dyDescent="0.3">
      <c r="A28" s="54">
        <v>27</v>
      </c>
      <c r="B28" s="57" t="s">
        <v>54</v>
      </c>
      <c r="C28" s="57" t="s">
        <v>54</v>
      </c>
      <c r="D28" s="54">
        <f>VLOOKUP(C28,Days_Since_100!H:I,2,FALSE)</f>
        <v>155</v>
      </c>
      <c r="E28" s="58">
        <f ca="1">OFFSET(CumulativeConfirmed!A28,-A28,MATCH(Country_Data!D28,CumulativeConfirmed!B28:BT28,0))</f>
        <v>43903</v>
      </c>
      <c r="F28" s="43">
        <f>MAX(CumulativeConfirmed!28:28)</f>
        <v>450</v>
      </c>
      <c r="G28" s="43">
        <f>MAX(CumulativeRecovered!28:28)</f>
        <v>10</v>
      </c>
      <c r="H28" s="43">
        <f>MAX(CumulativeDead!28:28)</f>
        <v>0</v>
      </c>
      <c r="K28" s="43">
        <v>5540720</v>
      </c>
      <c r="L28" s="54">
        <v>6.1</v>
      </c>
      <c r="M28" s="43">
        <v>337.98392000000001</v>
      </c>
      <c r="N28" s="72">
        <f t="shared" si="0"/>
        <v>0</v>
      </c>
    </row>
    <row r="29" spans="1:14" x14ac:dyDescent="0.3">
      <c r="A29" s="54">
        <v>28</v>
      </c>
      <c r="B29" s="57" t="s">
        <v>81</v>
      </c>
      <c r="C29" s="57" t="s">
        <v>81</v>
      </c>
      <c r="D29" s="54">
        <f>VLOOKUP(C29,Days_Since_100!H:I,2,FALSE)</f>
        <v>151</v>
      </c>
      <c r="E29" s="58">
        <f ca="1">OFFSET(CumulativeConfirmed!A29,-A29,MATCH(Country_Data!D29,CumulativeConfirmed!B29:BT29,0))</f>
        <v>43903</v>
      </c>
      <c r="F29" s="43">
        <f>MAX(CumulativeConfirmed!29:29)</f>
        <v>793</v>
      </c>
      <c r="G29" s="43">
        <f>MAX(CumulativeRecovered!29:29)</f>
        <v>2</v>
      </c>
      <c r="H29" s="43">
        <f>MAX(CumulativeDead!29:29)</f>
        <v>11</v>
      </c>
      <c r="K29" s="43">
        <v>212559417</v>
      </c>
      <c r="L29" s="54">
        <v>0</v>
      </c>
      <c r="M29" s="43">
        <v>0</v>
      </c>
      <c r="N29" s="72">
        <f t="shared" si="0"/>
        <v>1.3871374527112233E-2</v>
      </c>
    </row>
    <row r="30" spans="1:14" x14ac:dyDescent="0.3">
      <c r="A30" s="54">
        <v>29</v>
      </c>
      <c r="B30" s="57" t="s">
        <v>481</v>
      </c>
      <c r="C30" s="57" t="s">
        <v>341</v>
      </c>
      <c r="D30" s="54">
        <f>VLOOKUP(C30,Days_Since_100!H:I,2,FALSE)</f>
        <v>141</v>
      </c>
      <c r="E30" s="58">
        <f ca="1">OFFSET(CumulativeConfirmed!A30,-A30,MATCH(Country_Data!D30,CumulativeConfirmed!B30:BT30,0))</f>
        <v>43903</v>
      </c>
      <c r="F30" s="43">
        <f>MAX(CumulativeConfirmed!30:30)</f>
        <v>833</v>
      </c>
      <c r="G30" s="43">
        <f>MAX(CumulativeRecovered!30:30)</f>
        <v>4</v>
      </c>
      <c r="H30" s="43">
        <f>MAX(CumulativeDead!30:30)</f>
        <v>0</v>
      </c>
      <c r="K30" s="43">
        <v>10708981</v>
      </c>
      <c r="L30" s="54">
        <v>11.6</v>
      </c>
      <c r="M30" s="43">
        <v>1242.241796</v>
      </c>
      <c r="N30" s="72">
        <f t="shared" si="0"/>
        <v>0</v>
      </c>
    </row>
    <row r="31" spans="1:14" x14ac:dyDescent="0.3">
      <c r="A31" s="54">
        <v>30</v>
      </c>
      <c r="B31" s="57" t="s">
        <v>141</v>
      </c>
      <c r="C31" s="57" t="s">
        <v>141</v>
      </c>
      <c r="D31" s="54">
        <f>VLOOKUP(C31,Days_Since_100!H:I,2,FALSE)</f>
        <v>141</v>
      </c>
      <c r="E31" s="58">
        <f ca="1">OFFSET(CumulativeConfirmed!A31,-A31,MATCH(Country_Data!D31,CumulativeConfirmed!B31:BT31,0))</f>
        <v>43903</v>
      </c>
      <c r="F31" s="43">
        <f>MAX(CumulativeConfirmed!31:31)</f>
        <v>341</v>
      </c>
      <c r="G31" s="43">
        <f>MAX(CumulativeRecovered!31:31)</f>
        <v>0</v>
      </c>
      <c r="H31" s="43">
        <f>MAX(CumulativeDead!31:31)</f>
        <v>1</v>
      </c>
      <c r="K31" s="43">
        <v>2078938</v>
      </c>
      <c r="L31" s="54">
        <v>6.4</v>
      </c>
      <c r="M31" s="43">
        <v>133.05203200000003</v>
      </c>
      <c r="N31" s="72">
        <f t="shared" si="0"/>
        <v>2.9325513196480938E-3</v>
      </c>
    </row>
    <row r="32" spans="1:14" x14ac:dyDescent="0.3">
      <c r="A32" s="54">
        <v>31</v>
      </c>
      <c r="B32" s="57" t="s">
        <v>92</v>
      </c>
      <c r="C32" s="57" t="s">
        <v>92</v>
      </c>
      <c r="D32" s="54">
        <f>VLOOKUP(C32,Days_Since_100!H:I,2,FALSE)</f>
        <v>103</v>
      </c>
      <c r="E32" s="58">
        <f ca="1">OFFSET(CumulativeConfirmed!A32,-A32,MATCH(Country_Data!D32,CumulativeConfirmed!B32:BT32,0))</f>
        <v>43902</v>
      </c>
      <c r="F32" s="43">
        <f>MAX(CumulativeConfirmed!32:32)</f>
        <v>409</v>
      </c>
      <c r="G32" s="43">
        <f>MAX(CumulativeRecovered!32:32)</f>
        <v>8</v>
      </c>
      <c r="H32" s="43">
        <f>MAX(CumulativeDead!32:32)</f>
        <v>5</v>
      </c>
      <c r="K32" s="43">
        <v>341243</v>
      </c>
      <c r="L32" s="54">
        <v>0</v>
      </c>
      <c r="M32" s="43">
        <v>0</v>
      </c>
      <c r="N32" s="72">
        <f t="shared" si="0"/>
        <v>1.2224938875305624E-2</v>
      </c>
    </row>
    <row r="33" spans="1:14" x14ac:dyDescent="0.3">
      <c r="A33" s="54">
        <v>32</v>
      </c>
      <c r="B33" s="57" t="s">
        <v>108</v>
      </c>
      <c r="C33" s="57" t="s">
        <v>108</v>
      </c>
      <c r="D33" s="54">
        <f>VLOOKUP(C33,Days_Since_100!H:I,2,FALSE)</f>
        <v>112</v>
      </c>
      <c r="E33" s="58">
        <f ca="1">OFFSET(CumulativeConfirmed!A33,-A33,MATCH(Country_Data!D33,CumulativeConfirmed!B33:BT33,0))</f>
        <v>43903</v>
      </c>
      <c r="F33" s="43">
        <f>MAX(CumulativeConfirmed!33:33)</f>
        <v>1020</v>
      </c>
      <c r="G33" s="43">
        <f>MAX(CumulativeRecovered!33:33)</f>
        <v>5</v>
      </c>
      <c r="H33" s="43">
        <f>MAX(CumulativeDead!33:33)</f>
        <v>6</v>
      </c>
      <c r="I33" s="58">
        <v>43902</v>
      </c>
      <c r="J33" s="58">
        <v>43902</v>
      </c>
      <c r="K33" s="43">
        <v>10196709</v>
      </c>
      <c r="L33" s="54">
        <v>4.2</v>
      </c>
      <c r="M33" s="43">
        <v>428.26177799999999</v>
      </c>
      <c r="N33" s="72">
        <f t="shared" si="0"/>
        <v>5.8823529411764705E-3</v>
      </c>
    </row>
    <row r="34" spans="1:14" x14ac:dyDescent="0.3">
      <c r="A34" s="54">
        <v>33</v>
      </c>
      <c r="B34" s="57" t="s">
        <v>70</v>
      </c>
      <c r="C34" s="57" t="s">
        <v>70</v>
      </c>
      <c r="D34" s="54">
        <f>VLOOKUP(C34,Days_Since_100!H:I,2,FALSE)</f>
        <v>101</v>
      </c>
      <c r="E34" s="58">
        <f ca="1">OFFSET(CumulativeConfirmed!A34,-A34,MATCH(Country_Data!D34,CumulativeConfirmed!B34:BT34,0))</f>
        <v>43903</v>
      </c>
      <c r="F34" s="43">
        <f>MAX(CumulativeConfirmed!34:34)</f>
        <v>208</v>
      </c>
      <c r="G34" s="43">
        <f>MAX(CumulativeRecovered!34:34)</f>
        <v>49</v>
      </c>
      <c r="H34" s="43">
        <f>MAX(CumulativeDead!34:34)</f>
        <v>17</v>
      </c>
      <c r="K34" s="43">
        <v>40222493</v>
      </c>
      <c r="L34" s="54">
        <v>0</v>
      </c>
      <c r="M34" s="43">
        <v>0</v>
      </c>
      <c r="N34" s="72">
        <f t="shared" si="0"/>
        <v>8.1730769230769232E-2</v>
      </c>
    </row>
    <row r="35" spans="1:14" x14ac:dyDescent="0.3">
      <c r="A35" s="54">
        <v>34</v>
      </c>
      <c r="B35" s="57" t="s">
        <v>98</v>
      </c>
      <c r="C35" s="57" t="s">
        <v>98</v>
      </c>
      <c r="D35" s="54">
        <f>VLOOKUP(C35,Days_Since_100!H:I,2,FALSE)</f>
        <v>129</v>
      </c>
      <c r="E35" s="58">
        <f ca="1">OFFSET(CumulativeConfirmed!A35,-A35,MATCH(Country_Data!D35,CumulativeConfirmed!B35:BT35,0))</f>
        <v>43904</v>
      </c>
      <c r="F35" s="43">
        <f>MAX(CumulativeConfirmed!35:35)</f>
        <v>683</v>
      </c>
      <c r="G35" s="43">
        <f>MAX(CumulativeRecovered!35:35)</f>
        <v>5</v>
      </c>
      <c r="H35" s="43">
        <f>MAX(CumulativeDead!35:35)</f>
        <v>3</v>
      </c>
      <c r="I35" s="58">
        <v>43905</v>
      </c>
      <c r="J35" s="58">
        <v>43905</v>
      </c>
      <c r="K35" s="43">
        <v>4937786</v>
      </c>
      <c r="L35" s="54">
        <v>6.5</v>
      </c>
      <c r="M35" s="43">
        <v>320.95609000000002</v>
      </c>
      <c r="N35" s="72">
        <f t="shared" si="0"/>
        <v>4.3923865300146414E-3</v>
      </c>
    </row>
    <row r="36" spans="1:14" x14ac:dyDescent="0.3">
      <c r="A36" s="54">
        <v>35</v>
      </c>
      <c r="B36" s="57" t="s">
        <v>86</v>
      </c>
      <c r="C36" s="57" t="s">
        <v>86</v>
      </c>
      <c r="D36" s="54">
        <f>VLOOKUP(C36,Days_Since_100!H:I,2,FALSE)</f>
        <v>123</v>
      </c>
      <c r="E36" s="58">
        <f ca="1">OFFSET(CumulativeConfirmed!A36,-A36,MATCH(Country_Data!D36,CumulativeConfirmed!B36:BT36,0))</f>
        <v>43904</v>
      </c>
      <c r="F36" s="43">
        <f>MAX(CumulativeConfirmed!36:36)</f>
        <v>308</v>
      </c>
      <c r="G36" s="43">
        <f>MAX(CumulativeRecovered!36:36)</f>
        <v>25</v>
      </c>
      <c r="H36" s="43">
        <f>MAX(CumulativeDead!36:36)</f>
        <v>0</v>
      </c>
      <c r="K36" s="43">
        <v>19237691</v>
      </c>
      <c r="L36" s="54">
        <v>21.4</v>
      </c>
      <c r="M36" s="43">
        <v>4116.8658740000001</v>
      </c>
      <c r="N36" s="72">
        <f t="shared" si="0"/>
        <v>0</v>
      </c>
    </row>
    <row r="37" spans="1:14" x14ac:dyDescent="0.3">
      <c r="A37" s="54">
        <v>36</v>
      </c>
      <c r="B37" s="57" t="s">
        <v>113</v>
      </c>
      <c r="C37" s="57" t="s">
        <v>113</v>
      </c>
      <c r="D37" s="54">
        <f>VLOOKUP(C37,Days_Since_100!H:I,2,FALSE)</f>
        <v>103</v>
      </c>
      <c r="E37" s="58">
        <f ca="1">OFFSET(CumulativeConfirmed!A37,-A37,MATCH(Country_Data!D37,CumulativeConfirmed!B37:BT37,0))</f>
        <v>43904</v>
      </c>
      <c r="F37" s="43">
        <f>MAX(CumulativeConfirmed!37:37)</f>
        <v>344</v>
      </c>
      <c r="G37" s="43">
        <f>MAX(CumulativeRecovered!37:37)</f>
        <v>8</v>
      </c>
      <c r="H37" s="43">
        <f>MAX(CumulativeDead!37:37)</f>
        <v>0</v>
      </c>
      <c r="K37" s="43">
        <v>34813871</v>
      </c>
      <c r="L37" s="54">
        <v>0</v>
      </c>
      <c r="M37" s="43">
        <v>0</v>
      </c>
      <c r="N37" s="72">
        <f t="shared" si="0"/>
        <v>0</v>
      </c>
    </row>
    <row r="38" spans="1:14" x14ac:dyDescent="0.3">
      <c r="A38" s="54">
        <v>37</v>
      </c>
      <c r="B38" s="57" t="s">
        <v>55</v>
      </c>
      <c r="C38" s="57" t="s">
        <v>55</v>
      </c>
      <c r="D38" s="54">
        <f>VLOOKUP(C38,Days_Since_100!H:I,2,FALSE)</f>
        <v>113</v>
      </c>
      <c r="E38" s="58">
        <f ca="1">OFFSET(CumulativeConfirmed!A38,-A38,MATCH(Country_Data!D38,CumulativeConfirmed!B38:BT38,0))</f>
        <v>43908</v>
      </c>
      <c r="F38" s="43">
        <f>MAX(CumulativeConfirmed!38:38)</f>
        <v>140</v>
      </c>
      <c r="G38" s="43">
        <f>MAX(CumulativeRecovered!38:38)</f>
        <v>31</v>
      </c>
      <c r="H38" s="43">
        <f>MAX(CumulativeDead!38:38)</f>
        <v>2</v>
      </c>
      <c r="K38" s="43">
        <v>9890402</v>
      </c>
      <c r="L38" s="54">
        <v>0</v>
      </c>
      <c r="M38" s="43">
        <v>0</v>
      </c>
      <c r="N38" s="72">
        <f t="shared" si="0"/>
        <v>1.4285714285714285E-2</v>
      </c>
    </row>
    <row r="39" spans="1:14" x14ac:dyDescent="0.3">
      <c r="A39" s="54">
        <v>38</v>
      </c>
      <c r="B39" s="57" t="s">
        <v>57</v>
      </c>
      <c r="C39" s="57" t="s">
        <v>57</v>
      </c>
      <c r="D39" s="54">
        <f>VLOOKUP(C39,Days_Since_100!H:I,2,FALSE)</f>
        <v>102</v>
      </c>
      <c r="E39" s="58">
        <f ca="1">OFFSET(CumulativeConfirmed!A39,-A39,MATCH(Country_Data!D39,CumulativeConfirmed!B39:BT39,0))</f>
        <v>43904</v>
      </c>
      <c r="F39" s="43">
        <f>MAX(CumulativeConfirmed!39:39)</f>
        <v>244</v>
      </c>
      <c r="G39" s="43">
        <f>MAX(CumulativeRecovered!39:39)</f>
        <v>20</v>
      </c>
      <c r="H39" s="43">
        <f>MAX(CumulativeDead!39:39)</f>
        <v>5</v>
      </c>
      <c r="K39" s="43">
        <v>1380004385</v>
      </c>
      <c r="L39" s="54">
        <v>2.2999999999999998</v>
      </c>
      <c r="M39" s="43">
        <v>31740.100854999997</v>
      </c>
      <c r="N39" s="72">
        <f t="shared" si="0"/>
        <v>2.0491803278688523E-2</v>
      </c>
    </row>
    <row r="40" spans="1:14" x14ac:dyDescent="0.3">
      <c r="A40" s="54">
        <v>39</v>
      </c>
      <c r="B40" s="57" t="s">
        <v>65</v>
      </c>
      <c r="C40" s="57" t="s">
        <v>65</v>
      </c>
      <c r="D40" s="54">
        <f>VLOOKUP(C40,Days_Since_100!H:I,2,FALSE)</f>
        <v>109</v>
      </c>
      <c r="E40" s="58">
        <f ca="1">OFFSET(CumulativeConfirmed!A40,-A40,MATCH(Country_Data!D40,CumulativeConfirmed!B40:BT40,0))</f>
        <v>43904</v>
      </c>
      <c r="F40" s="43">
        <f>MAX(CumulativeConfirmed!40:40)</f>
        <v>285</v>
      </c>
      <c r="G40" s="43">
        <f>MAX(CumulativeRecovered!40:40)</f>
        <v>39</v>
      </c>
      <c r="H40" s="43">
        <f>MAX(CumulativeDead!40:40)</f>
        <v>8</v>
      </c>
      <c r="K40" s="43">
        <v>102334404</v>
      </c>
      <c r="L40" s="54">
        <v>0</v>
      </c>
      <c r="M40" s="43">
        <v>0</v>
      </c>
      <c r="N40" s="72">
        <f t="shared" si="0"/>
        <v>2.8070175438596492E-2</v>
      </c>
    </row>
    <row r="41" spans="1:14" x14ac:dyDescent="0.3">
      <c r="A41" s="54">
        <v>40</v>
      </c>
      <c r="B41" s="57" t="s">
        <v>74</v>
      </c>
      <c r="C41" s="57" t="s">
        <v>74</v>
      </c>
      <c r="D41" s="54">
        <f>VLOOKUP(C41,Days_Since_100!H:I,2,FALSE)</f>
        <v>104</v>
      </c>
      <c r="E41" s="58">
        <f ca="1">OFFSET(CumulativeConfirmed!A41,-A41,MATCH(Country_Data!D41,CumulativeConfirmed!B41:BT41,0))</f>
        <v>43904</v>
      </c>
      <c r="F41" s="43">
        <f>MAX(CumulativeConfirmed!41:41)</f>
        <v>159</v>
      </c>
      <c r="G41" s="43">
        <f>MAX(CumulativeRecovered!41:41)</f>
        <v>18</v>
      </c>
      <c r="H41" s="43">
        <f>MAX(CumulativeDead!41:41)</f>
        <v>0</v>
      </c>
      <c r="K41" s="43">
        <v>4270571</v>
      </c>
      <c r="L41" s="54">
        <v>0</v>
      </c>
      <c r="M41" s="43">
        <v>0</v>
      </c>
      <c r="N41" s="72">
        <f t="shared" si="0"/>
        <v>0</v>
      </c>
    </row>
    <row r="42" spans="1:14" x14ac:dyDescent="0.3">
      <c r="A42" s="54">
        <v>41</v>
      </c>
      <c r="B42" s="57" t="s">
        <v>90</v>
      </c>
      <c r="C42" s="57" t="s">
        <v>90</v>
      </c>
      <c r="D42" s="54">
        <f>VLOOKUP(C42,Days_Since_100!H:I,2,FALSE)</f>
        <v>101</v>
      </c>
      <c r="E42" s="58">
        <f ca="1">OFFSET(CumulativeConfirmed!A42,-A42,MATCH(Country_Data!D42,CumulativeConfirmed!B42:BT42,0))</f>
        <v>43905</v>
      </c>
      <c r="F42" s="43">
        <f>MAX(CumulativeConfirmed!42:42)</f>
        <v>144</v>
      </c>
      <c r="G42" s="43">
        <f>MAX(CumulativeRecovered!42:42)</f>
        <v>4</v>
      </c>
      <c r="H42" s="43">
        <f>MAX(CumulativeDead!42:42)</f>
        <v>14</v>
      </c>
      <c r="K42" s="43">
        <v>33931</v>
      </c>
      <c r="L42" s="54">
        <v>0</v>
      </c>
      <c r="M42" s="43">
        <v>0</v>
      </c>
      <c r="N42" s="72">
        <f t="shared" si="0"/>
        <v>9.7222222222222224E-2</v>
      </c>
    </row>
    <row r="43" spans="1:14" x14ac:dyDescent="0.3">
      <c r="A43" s="54">
        <v>42</v>
      </c>
      <c r="B43" s="57" t="s">
        <v>88</v>
      </c>
      <c r="C43" s="57" t="s">
        <v>88</v>
      </c>
      <c r="D43" s="54">
        <f>VLOOKUP(C43,Days_Since_100!H:I,2,FALSE)</f>
        <v>115</v>
      </c>
      <c r="E43" s="58">
        <f ca="1">OFFSET(CumulativeConfirmed!A43,-A43,MATCH(Country_Data!D43,CumulativeConfirmed!B43:BT43,0))</f>
        <v>43904</v>
      </c>
      <c r="F43" s="43">
        <f>MAX(CumulativeConfirmed!43:43)</f>
        <v>283</v>
      </c>
      <c r="G43" s="43">
        <f>MAX(CumulativeRecovered!43:43)</f>
        <v>1</v>
      </c>
      <c r="H43" s="43">
        <f>MAX(CumulativeDead!43:43)</f>
        <v>0</v>
      </c>
      <c r="K43" s="43">
        <v>1326535</v>
      </c>
      <c r="L43" s="54">
        <v>14.6</v>
      </c>
      <c r="M43" s="43">
        <v>193.67410999999998</v>
      </c>
      <c r="N43" s="72">
        <f t="shared" si="0"/>
        <v>0</v>
      </c>
    </row>
    <row r="44" spans="1:14" x14ac:dyDescent="0.3">
      <c r="A44" s="54">
        <v>43</v>
      </c>
      <c r="B44" s="57" t="s">
        <v>67</v>
      </c>
      <c r="C44" s="57" t="s">
        <v>67</v>
      </c>
      <c r="D44" s="54">
        <f>VLOOKUP(C44,Days_Since_100!H:I,2,FALSE)</f>
        <v>110</v>
      </c>
      <c r="E44" s="58">
        <f ca="1">OFFSET(CumulativeConfirmed!A44,-A44,MATCH(Country_Data!D44,CumulativeConfirmed!B44:BT44,0))</f>
        <v>43905</v>
      </c>
      <c r="F44" s="43">
        <f>MAX(CumulativeConfirmed!44:44)</f>
        <v>163</v>
      </c>
      <c r="G44" s="43">
        <f>MAX(CumulativeRecovered!44:44)</f>
        <v>4</v>
      </c>
      <c r="H44" s="43">
        <f>MAX(CumulativeDead!44:44)</f>
        <v>4</v>
      </c>
      <c r="K44" s="43">
        <v>6825445</v>
      </c>
      <c r="L44" s="54">
        <v>0</v>
      </c>
      <c r="M44" s="43">
        <v>0</v>
      </c>
      <c r="N44" s="72">
        <f t="shared" si="0"/>
        <v>2.4539877300613498E-2</v>
      </c>
    </row>
    <row r="45" spans="1:14" x14ac:dyDescent="0.3">
      <c r="A45" s="54">
        <v>44</v>
      </c>
      <c r="B45" s="57" t="s">
        <v>35</v>
      </c>
      <c r="C45" s="57" t="s">
        <v>35</v>
      </c>
      <c r="D45" s="54">
        <f>VLOOKUP(C45,Days_Since_100!H:I,2,FALSE)</f>
        <v>114</v>
      </c>
      <c r="E45" s="58">
        <f ca="1">OFFSET(CumulativeConfirmed!A45,-A45,MATCH(Country_Data!D45,CumulativeConfirmed!B45:BT45,0))</f>
        <v>43905</v>
      </c>
      <c r="F45" s="43">
        <f>MAX(CumulativeConfirmed!45:45)</f>
        <v>322</v>
      </c>
      <c r="G45" s="43">
        <f>MAX(CumulativeRecovered!45:45)</f>
        <v>42</v>
      </c>
      <c r="H45" s="43">
        <f>MAX(CumulativeDead!45:45)</f>
        <v>1</v>
      </c>
      <c r="K45" s="43">
        <v>69799978</v>
      </c>
      <c r="L45" s="54">
        <v>0</v>
      </c>
      <c r="M45" s="43">
        <v>0</v>
      </c>
      <c r="N45" s="72">
        <f t="shared" si="0"/>
        <v>3.105590062111801E-3</v>
      </c>
    </row>
    <row r="46" spans="1:14" x14ac:dyDescent="0.3">
      <c r="A46" s="54">
        <v>45</v>
      </c>
      <c r="B46" s="57" t="s">
        <v>107</v>
      </c>
      <c r="C46" s="57" t="s">
        <v>107</v>
      </c>
      <c r="D46" s="54">
        <f>VLOOKUP(C46,Days_Since_100!H:I,2,FALSE)</f>
        <v>117</v>
      </c>
      <c r="E46" s="58">
        <f ca="1">OFFSET(CumulativeConfirmed!A46,-A46,MATCH(Country_Data!D46,CumulativeConfirmed!B46:BT46,0))</f>
        <v>43905</v>
      </c>
      <c r="F46" s="43">
        <f>MAX(CumulativeConfirmed!46:46)</f>
        <v>369</v>
      </c>
      <c r="G46" s="43">
        <f>MAX(CumulativeRecovered!46:46)</f>
        <v>15</v>
      </c>
      <c r="H46" s="43">
        <f>MAX(CumulativeDead!46:46)</f>
        <v>32</v>
      </c>
      <c r="K46" s="43">
        <v>273523615</v>
      </c>
      <c r="L46" s="54">
        <v>0</v>
      </c>
      <c r="M46" s="43">
        <v>0</v>
      </c>
      <c r="N46" s="72">
        <f t="shared" si="0"/>
        <v>8.6720867208672087E-2</v>
      </c>
    </row>
    <row r="47" spans="1:14" x14ac:dyDescent="0.3">
      <c r="A47" s="54">
        <v>46</v>
      </c>
      <c r="B47" s="57" t="s">
        <v>137</v>
      </c>
      <c r="C47" s="57" t="s">
        <v>137</v>
      </c>
      <c r="D47" s="54">
        <f>VLOOKUP(C47,Days_Since_100!H:I,2,FALSE)</f>
        <v>103</v>
      </c>
      <c r="E47" s="58">
        <f ca="1">OFFSET(CumulativeConfirmed!A47,-A47,MATCH(Country_Data!D47,CumulativeConfirmed!B47:BT47,0))</f>
        <v>43904</v>
      </c>
      <c r="F47" s="43">
        <f>MAX(CumulativeConfirmed!47:47)</f>
        <v>425</v>
      </c>
      <c r="G47" s="43">
        <f>MAX(CumulativeRecovered!47:47)</f>
        <v>13</v>
      </c>
      <c r="H47" s="43">
        <f>MAX(CumulativeDead!47:47)</f>
        <v>5</v>
      </c>
      <c r="I47" s="58">
        <v>43901</v>
      </c>
      <c r="J47" s="58">
        <v>43901</v>
      </c>
      <c r="K47" s="43">
        <v>37846611</v>
      </c>
      <c r="L47" s="54">
        <v>6.9</v>
      </c>
      <c r="M47" s="43">
        <v>2611.4161590000003</v>
      </c>
      <c r="N47" s="72">
        <f t="shared" si="0"/>
        <v>1.1764705882352941E-2</v>
      </c>
    </row>
    <row r="48" spans="1:14" x14ac:dyDescent="0.3">
      <c r="A48" s="54">
        <v>47</v>
      </c>
      <c r="B48" s="57" t="s">
        <v>56</v>
      </c>
      <c r="C48" s="57" t="s">
        <v>56</v>
      </c>
      <c r="D48" s="54">
        <f>VLOOKUP(C48,Days_Since_100!H:I,2,FALSE)</f>
        <v>111</v>
      </c>
      <c r="E48" s="58">
        <f ca="1">OFFSET(CumulativeConfirmed!A48,-A48,MATCH(Country_Data!D48,CumulativeConfirmed!B48:BT48,0))</f>
        <v>43904</v>
      </c>
      <c r="F48" s="43">
        <f>MAX(CumulativeConfirmed!48:48)</f>
        <v>230</v>
      </c>
      <c r="G48" s="43">
        <f>MAX(CumulativeRecovered!48:48)</f>
        <v>8</v>
      </c>
      <c r="H48" s="43">
        <f>MAX(CumulativeDead!48:48)</f>
        <v>19</v>
      </c>
      <c r="K48" s="43">
        <v>109581078</v>
      </c>
      <c r="L48" s="54">
        <v>0</v>
      </c>
      <c r="M48" s="43">
        <v>0</v>
      </c>
      <c r="N48" s="72">
        <f t="shared" si="0"/>
        <v>8.2608695652173908E-2</v>
      </c>
    </row>
    <row r="49" spans="1:14" x14ac:dyDescent="0.3">
      <c r="A49" s="54">
        <v>48</v>
      </c>
      <c r="B49" s="57" t="s">
        <v>342</v>
      </c>
      <c r="C49" s="57" t="s">
        <v>342</v>
      </c>
      <c r="D49" s="54">
        <f>VLOOKUP(C49,Days_Since_100!H:I,2,FALSE)</f>
        <v>100</v>
      </c>
      <c r="E49" s="58">
        <f ca="1">OFFSET(CumulativeConfirmed!A49,-A49,MATCH(Country_Data!D49,CumulativeConfirmed!B49:BT49,0))</f>
        <v>43908</v>
      </c>
      <c r="F49" s="43">
        <f>MAX(CumulativeConfirmed!49:49)</f>
        <v>135</v>
      </c>
      <c r="G49" s="43">
        <f>MAX(CumulativeRecovered!49:49)</f>
        <v>26</v>
      </c>
      <c r="H49" s="43">
        <f>MAX(CumulativeDead!49:49)</f>
        <v>2</v>
      </c>
      <c r="K49" s="43">
        <v>23816775</v>
      </c>
      <c r="L49" s="54">
        <v>0</v>
      </c>
      <c r="M49" s="43">
        <v>0</v>
      </c>
      <c r="N49" s="72">
        <f t="shared" si="0"/>
        <v>1.4814814814814815E-2</v>
      </c>
    </row>
    <row r="50" spans="1:14" x14ac:dyDescent="0.3">
      <c r="A50" s="54">
        <v>49</v>
      </c>
      <c r="B50" s="57" t="s">
        <v>343</v>
      </c>
      <c r="C50" s="57" t="s">
        <v>343</v>
      </c>
      <c r="D50" s="54" t="e">
        <f>VLOOKUP(C50,Days_Since_100!H:I,2,FALSE)</f>
        <v>#N/A</v>
      </c>
      <c r="E50" s="58" t="e">
        <f ca="1">OFFSET(CumulativeConfirmed!A50,-A50,MATCH(Country_Data!D50,CumulativeConfirmed!B50:BT50,0))</f>
        <v>#N/A</v>
      </c>
      <c r="F50" s="43">
        <f>MAX(CumulativeConfirmed!50:50)</f>
        <v>91</v>
      </c>
      <c r="G50" s="43">
        <f>MAX(CumulativeRecovered!50:50)</f>
        <v>16</v>
      </c>
      <c r="H50" s="43">
        <f>MAX(CumulativeDead!50:50)</f>
        <v>0</v>
      </c>
      <c r="K50" s="43">
        <v>97338579</v>
      </c>
      <c r="L50" s="54" t="s">
        <v>517</v>
      </c>
      <c r="M50" s="43" t="e">
        <v>#VALUE!</v>
      </c>
      <c r="N50" s="72">
        <f t="shared" si="0"/>
        <v>0</v>
      </c>
    </row>
    <row r="51" spans="1:14" x14ac:dyDescent="0.3">
      <c r="A51" s="54">
        <v>50</v>
      </c>
      <c r="B51" s="57" t="s">
        <v>344</v>
      </c>
      <c r="C51" s="57" t="s">
        <v>344</v>
      </c>
      <c r="D51" s="54">
        <f>VLOOKUP(C51,Days_Since_100!H:I,2,FALSE)</f>
        <v>114</v>
      </c>
      <c r="E51" s="58">
        <f ca="1">OFFSET(CumulativeConfirmed!A51,-A51,MATCH(Country_Data!D51,CumulativeConfirmed!B51:BT51,0))</f>
        <v>43907</v>
      </c>
      <c r="F51" s="43">
        <f>MAX(CumulativeConfirmed!51:51)</f>
        <v>253</v>
      </c>
      <c r="G51" s="43">
        <f>MAX(CumulativeRecovered!51:51)</f>
        <v>9</v>
      </c>
      <c r="H51" s="43">
        <f>MAX(CumulativeDead!51:51)</f>
        <v>1</v>
      </c>
      <c r="K51" s="43">
        <v>145934462</v>
      </c>
      <c r="L51" s="54">
        <v>0</v>
      </c>
      <c r="M51" s="43">
        <v>0</v>
      </c>
      <c r="N51" s="72">
        <f t="shared" si="0"/>
        <v>3.952569169960474E-3</v>
      </c>
    </row>
    <row r="52" spans="1:14" x14ac:dyDescent="0.3">
      <c r="A52" s="54">
        <v>51</v>
      </c>
      <c r="B52" s="57" t="s">
        <v>124</v>
      </c>
      <c r="C52" s="57" t="s">
        <v>124</v>
      </c>
      <c r="D52" s="54">
        <f>VLOOKUP(C52,Days_Since_100!H:I,2,FALSE)</f>
        <v>155</v>
      </c>
      <c r="E52" s="58">
        <f ca="1">OFFSET(CumulativeConfirmed!A52,-A52,MATCH(Country_Data!D52,CumulativeConfirmed!B52:BT52,0))</f>
        <v>43906</v>
      </c>
      <c r="F52" s="43">
        <f>MAX(CumulativeConfirmed!52:52)</f>
        <v>434</v>
      </c>
      <c r="G52" s="43">
        <f>MAX(CumulativeRecovered!52:52)</f>
        <v>6</v>
      </c>
      <c r="H52" s="43">
        <f>MAX(CumulativeDead!52:52)</f>
        <v>0</v>
      </c>
      <c r="I52" s="58">
        <v>43905</v>
      </c>
      <c r="J52" s="58">
        <v>43905</v>
      </c>
      <c r="K52" s="43">
        <v>19116201</v>
      </c>
      <c r="L52" s="54">
        <v>7.84</v>
      </c>
      <c r="M52" s="43">
        <v>1500</v>
      </c>
      <c r="N52" s="72">
        <f t="shared" si="0"/>
        <v>0</v>
      </c>
    </row>
    <row r="53" spans="1:14" x14ac:dyDescent="0.3">
      <c r="A53" s="54">
        <v>52</v>
      </c>
      <c r="B53" s="57" t="s">
        <v>233</v>
      </c>
      <c r="C53" s="57" t="s">
        <v>233</v>
      </c>
      <c r="D53" s="54" t="e">
        <f>VLOOKUP(C53,Days_Since_100!H:I,2,FALSE)</f>
        <v>#N/A</v>
      </c>
      <c r="E53" s="58" t="e">
        <f ca="1">OFFSET(CumulativeConfirmed!A53,-A53,MATCH(Country_Data!D53,CumulativeConfirmed!B53:BT53,0))</f>
        <v>#N/A</v>
      </c>
      <c r="F53" s="43">
        <f>MAX(CumulativeConfirmed!53:53)</f>
        <v>78</v>
      </c>
      <c r="G53" s="43">
        <f>MAX(CumulativeRecovered!53:53)</f>
        <v>1</v>
      </c>
      <c r="H53" s="43">
        <f>MAX(CumulativeDead!53:53)</f>
        <v>0</v>
      </c>
      <c r="K53" s="43">
        <v>437479</v>
      </c>
      <c r="L53" s="54" t="s">
        <v>517</v>
      </c>
      <c r="M53" s="43" t="e">
        <v>#VALUE!</v>
      </c>
      <c r="N53" s="72">
        <f t="shared" si="0"/>
        <v>0</v>
      </c>
    </row>
    <row r="54" spans="1:14" x14ac:dyDescent="0.3">
      <c r="A54" s="54">
        <v>53</v>
      </c>
      <c r="B54" s="57" t="s">
        <v>161</v>
      </c>
      <c r="C54" s="57" t="s">
        <v>161</v>
      </c>
      <c r="D54" s="54">
        <f>VLOOKUP(C54,Days_Since_100!H:I,2,FALSE)</f>
        <v>103</v>
      </c>
      <c r="E54" s="58">
        <f ca="1">OFFSET(CumulativeConfirmed!A54,-A54,MATCH(Country_Data!D54,CumulativeConfirmed!B54:BT54,0))</f>
        <v>43909</v>
      </c>
      <c r="F54" s="43">
        <f>MAX(CumulativeConfirmed!54:54)</f>
        <v>135</v>
      </c>
      <c r="G54" s="43">
        <f>MAX(CumulativeRecovered!54:54)</f>
        <v>1</v>
      </c>
      <c r="H54" s="43">
        <f>MAX(CumulativeDead!54:54)</f>
        <v>1</v>
      </c>
      <c r="K54" s="43">
        <v>8737371</v>
      </c>
      <c r="L54" s="54" t="s">
        <v>517</v>
      </c>
      <c r="M54" s="43" t="e">
        <v>#VALUE!</v>
      </c>
      <c r="N54" s="72">
        <f t="shared" si="0"/>
        <v>7.4074074074074077E-3</v>
      </c>
    </row>
    <row r="55" spans="1:14" x14ac:dyDescent="0.3">
      <c r="A55" s="54">
        <v>54</v>
      </c>
      <c r="B55" s="57" t="s">
        <v>99</v>
      </c>
      <c r="C55" s="57" t="s">
        <v>99</v>
      </c>
      <c r="D55" s="54">
        <f>VLOOKUP(C55,Days_Since_100!H:I,2,FALSE)</f>
        <v>140</v>
      </c>
      <c r="E55" s="58">
        <f ca="1">OFFSET(CumulativeConfirmed!A55,-A55,MATCH(Country_Data!D55,CumulativeConfirmed!B55:BT55,0))</f>
        <v>43907</v>
      </c>
      <c r="F55" s="43">
        <f>MAX(CumulativeConfirmed!55:55)</f>
        <v>484</v>
      </c>
      <c r="G55" s="43">
        <f>MAX(CumulativeRecovered!55:55)</f>
        <v>0</v>
      </c>
      <c r="H55" s="43">
        <f>MAX(CumulativeDead!55:55)</f>
        <v>4</v>
      </c>
      <c r="K55" s="43">
        <v>625978</v>
      </c>
      <c r="L55" s="54">
        <v>24.8</v>
      </c>
      <c r="M55" s="43">
        <v>155.24254400000001</v>
      </c>
      <c r="N55" s="72">
        <f t="shared" si="0"/>
        <v>8.2644628099173556E-3</v>
      </c>
    </row>
    <row r="56" spans="1:14" x14ac:dyDescent="0.3">
      <c r="A56" s="54">
        <v>55</v>
      </c>
      <c r="B56" s="57" t="s">
        <v>230</v>
      </c>
      <c r="C56" s="57" t="s">
        <v>230</v>
      </c>
      <c r="D56" s="54" t="e">
        <f>VLOOKUP(C56,Days_Since_100!H:I,2,FALSE)</f>
        <v>#N/A</v>
      </c>
      <c r="E56" s="58" t="e">
        <f ca="1">OFFSET(CumulativeConfirmed!A56,-A56,MATCH(Country_Data!D56,CumulativeConfirmed!B56:BT56,0))</f>
        <v>#N/A</v>
      </c>
      <c r="F56" s="43">
        <f>MAX(CumulativeConfirmed!56:56)</f>
        <v>70</v>
      </c>
      <c r="G56" s="43">
        <f>MAX(CumulativeRecovered!56:56)</f>
        <v>0</v>
      </c>
      <c r="H56" s="43">
        <f>MAX(CumulativeDead!56:56)</f>
        <v>2</v>
      </c>
      <c r="K56" s="43">
        <v>2877797</v>
      </c>
      <c r="L56" s="54" t="s">
        <v>517</v>
      </c>
      <c r="M56" s="43" t="e">
        <v>#VALUE!</v>
      </c>
      <c r="N56" s="72">
        <f t="shared" si="0"/>
        <v>2.8571428571428571E-2</v>
      </c>
    </row>
    <row r="57" spans="1:14" x14ac:dyDescent="0.3">
      <c r="A57" s="54">
        <v>56</v>
      </c>
      <c r="B57" s="57" t="s">
        <v>76</v>
      </c>
      <c r="C57" s="57" t="s">
        <v>76</v>
      </c>
      <c r="D57" s="54">
        <f>VLOOKUP(C57,Days_Since_100!H:I,2,FALSE)</f>
        <v>105</v>
      </c>
      <c r="E57" s="58">
        <f ca="1">OFFSET(CumulativeConfirmed!A57,-A57,MATCH(Country_Data!D57,CumulativeConfirmed!B57:BT57,0))</f>
        <v>43909</v>
      </c>
      <c r="F57" s="43">
        <f>MAX(CumulativeConfirmed!57:57)</f>
        <v>128</v>
      </c>
      <c r="G57" s="43">
        <f>MAX(CumulativeRecovered!57:57)</f>
        <v>5</v>
      </c>
      <c r="H57" s="43">
        <f>MAX(CumulativeDead!57:57)</f>
        <v>1</v>
      </c>
      <c r="K57" s="43">
        <v>4105267</v>
      </c>
      <c r="L57" s="54">
        <v>14.7</v>
      </c>
      <c r="M57" s="43">
        <v>603.47424899999999</v>
      </c>
      <c r="N57" s="72">
        <f t="shared" si="0"/>
        <v>7.8125E-3</v>
      </c>
    </row>
    <row r="58" spans="1:14" x14ac:dyDescent="0.3">
      <c r="A58" s="54">
        <v>57</v>
      </c>
      <c r="B58" s="57" t="s">
        <v>162</v>
      </c>
      <c r="C58" s="57" t="s">
        <v>162</v>
      </c>
      <c r="D58" s="54">
        <f>VLOOKUP(C58,Days_Since_100!H:I,2,FALSE)</f>
        <v>105</v>
      </c>
      <c r="E58" s="58">
        <f ca="1">OFFSET(CumulativeConfirmed!A58,-A58,MATCH(Country_Data!D58,CumulativeConfirmed!B58:BT58,0))</f>
        <v>43908</v>
      </c>
      <c r="F58" s="43">
        <f>MAX(CumulativeConfirmed!58:58)</f>
        <v>137</v>
      </c>
      <c r="G58" s="43">
        <f>MAX(CumulativeRecovered!58:58)</f>
        <v>0</v>
      </c>
      <c r="H58" s="43">
        <f>MAX(CumulativeDead!58:58)</f>
        <v>1</v>
      </c>
      <c r="K58" s="43">
        <v>5459642</v>
      </c>
      <c r="L58" s="54">
        <v>9.1999999999999993</v>
      </c>
      <c r="M58" s="43">
        <v>502.28706399999999</v>
      </c>
      <c r="N58" s="72">
        <f t="shared" si="0"/>
        <v>7.2992700729927005E-3</v>
      </c>
    </row>
    <row r="59" spans="1:14" x14ac:dyDescent="0.3">
      <c r="A59" s="54">
        <v>58</v>
      </c>
      <c r="B59" s="57" t="s">
        <v>123</v>
      </c>
      <c r="C59" s="57" t="s">
        <v>123</v>
      </c>
      <c r="D59" s="54">
        <f>VLOOKUP(C59,Days_Since_100!H:I,2,FALSE)</f>
        <v>128</v>
      </c>
      <c r="E59" s="58">
        <f ca="1">OFFSET(CumulativeConfirmed!A59,-A59,MATCH(Country_Data!D59,CumulativeConfirmed!B59:BT59,0))</f>
        <v>43910</v>
      </c>
      <c r="F59" s="43">
        <f>MAX(CumulativeConfirmed!59:59)</f>
        <v>128</v>
      </c>
      <c r="G59" s="43">
        <f>MAX(CumulativeRecovered!59:59)</f>
        <v>3</v>
      </c>
      <c r="H59" s="43">
        <f>MAX(CumulativeDead!59:59)</f>
        <v>3</v>
      </c>
      <c r="K59" s="43">
        <v>45195774</v>
      </c>
      <c r="L59" s="54" t="s">
        <v>517</v>
      </c>
      <c r="M59" s="43" t="e">
        <v>#VALUE!</v>
      </c>
      <c r="N59" s="72">
        <f t="shared" si="0"/>
        <v>2.34375E-2</v>
      </c>
    </row>
    <row r="60" spans="1:14" x14ac:dyDescent="0.3">
      <c r="A60" s="54">
        <v>59</v>
      </c>
      <c r="B60" s="57" t="s">
        <v>80</v>
      </c>
      <c r="C60" s="57" t="s">
        <v>80</v>
      </c>
      <c r="D60" s="54">
        <f>VLOOKUP(C60,Days_Since_100!H:I,2,FALSE)</f>
        <v>136</v>
      </c>
      <c r="E60" s="58">
        <f ca="1">OFFSET(CumulativeConfirmed!A60,-A60,MATCH(Country_Data!D60,CumulativeConfirmed!B60:BT60,0))</f>
        <v>43906</v>
      </c>
      <c r="F60" s="43">
        <f>MAX(CumulativeConfirmed!60:60)</f>
        <v>501</v>
      </c>
      <c r="G60" s="43">
        <f>MAX(CumulativeRecovered!60:60)</f>
        <v>13</v>
      </c>
      <c r="H60" s="43">
        <f>MAX(CumulativeDead!60:60)</f>
        <v>3</v>
      </c>
      <c r="K60" s="43">
        <v>220892340</v>
      </c>
      <c r="L60" s="54">
        <v>0</v>
      </c>
      <c r="M60" s="43">
        <v>0</v>
      </c>
      <c r="N60" s="72">
        <f t="shared" si="0"/>
        <v>5.9880239520958087E-3</v>
      </c>
    </row>
    <row r="61" spans="1:14" x14ac:dyDescent="0.3">
      <c r="A61" s="54">
        <v>60</v>
      </c>
      <c r="B61" s="57" t="s">
        <v>160</v>
      </c>
      <c r="C61" s="57" t="s">
        <v>160</v>
      </c>
      <c r="D61" s="54">
        <f>VLOOKUP(C61,Days_Since_100!H:I,2,FALSE)</f>
        <v>117</v>
      </c>
      <c r="E61" s="58">
        <f ca="1">OFFSET(CumulativeConfirmed!A61,-A61,MATCH(Country_Data!D61,CumulativeConfirmed!B61:BT61,0))</f>
        <v>43907</v>
      </c>
      <c r="F61" s="43">
        <f>MAX(CumulativeConfirmed!61:61)</f>
        <v>234</v>
      </c>
      <c r="G61" s="43">
        <f>MAX(CumulativeRecovered!61:61)</f>
        <v>1</v>
      </c>
      <c r="H61" s="43">
        <f>MAX(CumulativeDead!61:61)</f>
        <v>3</v>
      </c>
      <c r="K61" s="43">
        <v>32971854</v>
      </c>
      <c r="L61" s="54">
        <v>0</v>
      </c>
      <c r="M61" s="43">
        <v>0</v>
      </c>
      <c r="N61" s="72">
        <f t="shared" si="0"/>
        <v>1.282051282051282E-2</v>
      </c>
    </row>
    <row r="62" spans="1:14" x14ac:dyDescent="0.3">
      <c r="A62" s="54">
        <v>61</v>
      </c>
      <c r="B62" s="57" t="s">
        <v>91</v>
      </c>
      <c r="C62" s="57" t="s">
        <v>91</v>
      </c>
      <c r="D62" s="54" t="e">
        <f>VLOOKUP(C62,Days_Since_100!H:I,2,FALSE)</f>
        <v>#N/A</v>
      </c>
      <c r="E62" s="58" t="e">
        <f ca="1">OFFSET(CumulativeConfirmed!A62,-A62,MATCH(Country_Data!D62,CumulativeConfirmed!B62:BT62,0))</f>
        <v>#N/A</v>
      </c>
      <c r="F62" s="43">
        <f>MAX(CumulativeConfirmed!62:62)</f>
        <v>69</v>
      </c>
      <c r="G62" s="43">
        <f>MAX(CumulativeRecovered!62:62)</f>
        <v>5</v>
      </c>
      <c r="H62" s="43">
        <f>MAX(CumulativeDead!62:62)</f>
        <v>0</v>
      </c>
      <c r="K62" s="43">
        <v>9449323</v>
      </c>
      <c r="L62" s="54" t="s">
        <v>517</v>
      </c>
      <c r="M62" s="43" t="e">
        <v>#VALUE!</v>
      </c>
      <c r="N62" s="72">
        <f t="shared" si="0"/>
        <v>0</v>
      </c>
    </row>
    <row r="63" spans="1:14" x14ac:dyDescent="0.3">
      <c r="A63" s="54">
        <v>62</v>
      </c>
      <c r="B63" s="57" t="s">
        <v>283</v>
      </c>
      <c r="C63" s="57" t="s">
        <v>283</v>
      </c>
      <c r="D63" s="54">
        <f>VLOOKUP(C63,Days_Since_100!H:I,2,FALSE)</f>
        <v>109</v>
      </c>
      <c r="E63" s="58">
        <f ca="1">OFFSET(CumulativeConfirmed!A63,-A63,MATCH(Country_Data!D63,CumulativeConfirmed!B63:BT63,0))</f>
        <v>43909</v>
      </c>
      <c r="F63" s="43">
        <f>MAX(CumulativeConfirmed!63:63)</f>
        <v>137</v>
      </c>
      <c r="G63" s="43">
        <f>MAX(CumulativeRecovered!63:63)</f>
        <v>0</v>
      </c>
      <c r="H63" s="43">
        <f>MAX(CumulativeDead!63:63)</f>
        <v>1</v>
      </c>
      <c r="K63" s="43">
        <v>4314767</v>
      </c>
      <c r="L63" s="54" t="s">
        <v>517</v>
      </c>
      <c r="M63" s="43" t="e">
        <v>#VALUE!</v>
      </c>
      <c r="N63" s="72">
        <f t="shared" si="0"/>
        <v>7.2992700729927005E-3</v>
      </c>
    </row>
    <row r="64" spans="1:14" x14ac:dyDescent="0.3">
      <c r="A64" s="54">
        <v>63</v>
      </c>
      <c r="B64" s="57" t="s">
        <v>75</v>
      </c>
      <c r="C64" s="57" t="s">
        <v>75</v>
      </c>
      <c r="D64" s="54" t="e">
        <f>VLOOKUP(C64,Days_Since_100!H:I,2,FALSE)</f>
        <v>#N/A</v>
      </c>
      <c r="E64" s="58" t="e">
        <f ca="1">OFFSET(CumulativeConfirmed!A64,-A64,MATCH(Country_Data!D64,CumulativeConfirmed!B64:BT64,0))</f>
        <v>#N/A</v>
      </c>
      <c r="F64" s="43">
        <f>MAX(CumulativeConfirmed!64:64)</f>
        <v>90</v>
      </c>
      <c r="G64" s="43">
        <f>MAX(CumulativeRecovered!64:64)</f>
        <v>32</v>
      </c>
      <c r="H64" s="43">
        <f>MAX(CumulativeDead!64:64)</f>
        <v>11</v>
      </c>
      <c r="K64" s="43">
        <v>43851044</v>
      </c>
      <c r="L64" s="54" t="s">
        <v>517</v>
      </c>
      <c r="M64" s="43" t="e">
        <v>#VALUE!</v>
      </c>
      <c r="N64" s="72">
        <f t="shared" si="0"/>
        <v>0.12222222222222222</v>
      </c>
    </row>
    <row r="65" spans="1:14" x14ac:dyDescent="0.3">
      <c r="A65" s="54">
        <v>64</v>
      </c>
      <c r="B65" s="57" t="s">
        <v>82</v>
      </c>
      <c r="C65" s="57" t="s">
        <v>82</v>
      </c>
      <c r="D65" s="54" t="e">
        <f>VLOOKUP(C65,Days_Since_100!H:I,2,FALSE)</f>
        <v>#N/A</v>
      </c>
      <c r="E65" s="58" t="e">
        <f ca="1">OFFSET(CumulativeConfirmed!A65,-A65,MATCH(Country_Data!D65,CumulativeConfirmed!B65:BT65,0))</f>
        <v>#N/A</v>
      </c>
      <c r="F65" s="43">
        <f>MAX(CumulativeConfirmed!65:65)</f>
        <v>43</v>
      </c>
      <c r="G65" s="43">
        <f>MAX(CumulativeRecovered!65:65)</f>
        <v>1</v>
      </c>
      <c r="H65" s="43">
        <f>MAX(CumulativeDead!65:65)</f>
        <v>0</v>
      </c>
      <c r="K65" s="43">
        <v>3989167</v>
      </c>
      <c r="L65" s="54" t="s">
        <v>517</v>
      </c>
      <c r="M65" s="43" t="e">
        <v>#VALUE!</v>
      </c>
      <c r="N65" s="72">
        <f t="shared" si="0"/>
        <v>0</v>
      </c>
    </row>
    <row r="66" spans="1:14" x14ac:dyDescent="0.3">
      <c r="A66" s="54">
        <v>65</v>
      </c>
      <c r="B66" s="57" t="s">
        <v>145</v>
      </c>
      <c r="C66" s="57" t="s">
        <v>145</v>
      </c>
      <c r="D66" s="54">
        <f>VLOOKUP(C66,Days_Since_100!H:I,2,FALSE)</f>
        <v>116</v>
      </c>
      <c r="E66" s="58">
        <f ca="1">OFFSET(CumulativeConfirmed!A66,-A66,MATCH(Country_Data!D66,CumulativeConfirmed!B66:BT66,0))</f>
        <v>43908</v>
      </c>
      <c r="F66" s="43">
        <f>MAX(CumulativeConfirmed!66:66)</f>
        <v>202</v>
      </c>
      <c r="G66" s="43">
        <f>MAX(CumulativeRecovered!66:66)</f>
        <v>0</v>
      </c>
      <c r="H66" s="43">
        <f>MAX(CumulativeDead!66:66)</f>
        <v>0</v>
      </c>
      <c r="K66" s="43">
        <v>59308690</v>
      </c>
      <c r="L66" s="54">
        <v>0</v>
      </c>
      <c r="M66" s="43">
        <v>0</v>
      </c>
      <c r="N66" s="72">
        <f t="shared" si="0"/>
        <v>0</v>
      </c>
    </row>
    <row r="67" spans="1:14" x14ac:dyDescent="0.3">
      <c r="A67" s="54">
        <v>66</v>
      </c>
      <c r="B67" s="57" t="s">
        <v>199</v>
      </c>
      <c r="C67" s="57" t="s">
        <v>199</v>
      </c>
      <c r="D67" s="54">
        <f>VLOOKUP(C67,Days_Since_100!H:I,2,FALSE)</f>
        <v>127</v>
      </c>
      <c r="E67" s="58">
        <f ca="1">OFFSET(CumulativeConfirmed!A67,-A67,MATCH(Country_Data!D67,CumulativeConfirmed!B67:BT67,0))</f>
        <v>43910</v>
      </c>
      <c r="F67" s="43">
        <f>MAX(CumulativeConfirmed!67:67)</f>
        <v>127</v>
      </c>
      <c r="G67" s="43">
        <f>MAX(CumulativeRecovered!67:67)</f>
        <v>0</v>
      </c>
      <c r="H67" s="43">
        <f>MAX(CumulativeDead!67:67)</f>
        <v>3</v>
      </c>
      <c r="K67" s="43">
        <v>6948445</v>
      </c>
      <c r="L67" s="54">
        <v>12.2</v>
      </c>
      <c r="M67" s="43">
        <v>847.71028999999987</v>
      </c>
      <c r="N67" s="72">
        <f t="shared" ref="N67:N127" si="1">H67/F67</f>
        <v>2.3622047244094488E-2</v>
      </c>
    </row>
    <row r="68" spans="1:14" x14ac:dyDescent="0.3">
      <c r="A68" s="54">
        <v>67</v>
      </c>
      <c r="B68" s="57" t="s">
        <v>159</v>
      </c>
      <c r="C68" s="57" t="s">
        <v>159</v>
      </c>
      <c r="D68" s="54" t="e">
        <f>VLOOKUP(C68,Days_Since_100!H:I,2,FALSE)</f>
        <v>#N/A</v>
      </c>
      <c r="E68" s="58" t="e">
        <f ca="1">OFFSET(CumulativeConfirmed!A68,-A68,MATCH(Country_Data!D68,CumulativeConfirmed!B68:BT68,0))</f>
        <v>#N/A</v>
      </c>
      <c r="F68" s="43">
        <f>MAX(CumulativeConfirmed!68:68)</f>
        <v>89</v>
      </c>
      <c r="G68" s="43">
        <f>MAX(CumulativeRecovered!68:68)</f>
        <v>0</v>
      </c>
      <c r="H68" s="43">
        <f>MAX(CumulativeDead!68:68)</f>
        <v>1</v>
      </c>
      <c r="K68" s="43">
        <v>5094118</v>
      </c>
      <c r="L68" s="54" t="s">
        <v>517</v>
      </c>
      <c r="M68" s="43" t="e">
        <v>#VALUE!</v>
      </c>
      <c r="N68" s="72">
        <f t="shared" si="1"/>
        <v>1.1235955056179775E-2</v>
      </c>
    </row>
    <row r="69" spans="1:14" x14ac:dyDescent="0.3">
      <c r="A69" s="54">
        <v>68</v>
      </c>
      <c r="B69" s="57" t="s">
        <v>132</v>
      </c>
      <c r="C69" s="57" t="s">
        <v>132</v>
      </c>
      <c r="D69" s="54" t="e">
        <f>VLOOKUP(C69,Days_Since_100!H:I,2,FALSE)</f>
        <v>#N/A</v>
      </c>
      <c r="E69" s="58" t="e">
        <f ca="1">OFFSET(CumulativeConfirmed!A69,-A69,MATCH(Country_Data!D69,CumulativeConfirmed!B69:BT69,0))</f>
        <v>#N/A</v>
      </c>
      <c r="F69" s="43">
        <f>MAX(CumulativeConfirmed!69:69)</f>
        <v>85</v>
      </c>
      <c r="G69" s="43">
        <f>MAX(CumulativeRecovered!69:69)</f>
        <v>2</v>
      </c>
      <c r="H69" s="43">
        <f>MAX(CumulativeDead!69:69)</f>
        <v>3</v>
      </c>
      <c r="I69" s="58">
        <v>43913</v>
      </c>
      <c r="J69" s="58">
        <v>43913</v>
      </c>
      <c r="K69" s="43">
        <v>9660351</v>
      </c>
      <c r="L69" s="54">
        <v>13.8</v>
      </c>
      <c r="M69" s="43">
        <v>1333.128438</v>
      </c>
      <c r="N69" s="72">
        <f t="shared" si="1"/>
        <v>3.5294117647058823E-2</v>
      </c>
    </row>
    <row r="70" spans="1:14" x14ac:dyDescent="0.3">
      <c r="A70" s="54">
        <v>69</v>
      </c>
      <c r="B70" s="57" t="s">
        <v>71</v>
      </c>
      <c r="C70" s="57" t="s">
        <v>71</v>
      </c>
      <c r="D70" s="54" t="e">
        <f>VLOOKUP(C70,Days_Since_100!H:I,2,FALSE)</f>
        <v>#N/A</v>
      </c>
      <c r="E70" s="58" t="e">
        <f ca="1">OFFSET(CumulativeConfirmed!A70,-A70,MATCH(Country_Data!D70,CumulativeConfirmed!B70:BT70,0))</f>
        <v>#N/A</v>
      </c>
      <c r="F70" s="43">
        <f>MAX(CumulativeConfirmed!70:70)</f>
        <v>48</v>
      </c>
      <c r="G70" s="43">
        <f>MAX(CumulativeRecovered!70:70)</f>
        <v>12</v>
      </c>
      <c r="H70" s="43">
        <f>MAX(CumulativeDead!70:70)</f>
        <v>0</v>
      </c>
      <c r="K70" s="43">
        <v>5106626</v>
      </c>
      <c r="L70" s="54" t="s">
        <v>517</v>
      </c>
      <c r="M70" s="43" t="e">
        <v>#VALUE!</v>
      </c>
      <c r="N70" s="72">
        <f t="shared" si="1"/>
        <v>0</v>
      </c>
    </row>
    <row r="71" spans="1:14" x14ac:dyDescent="0.3">
      <c r="A71" s="54">
        <v>70</v>
      </c>
      <c r="B71" s="57" t="s">
        <v>103</v>
      </c>
      <c r="C71" s="57" t="s">
        <v>103</v>
      </c>
      <c r="D71" s="54">
        <f>VLOOKUP(C71,Days_Since_100!H:I,2,FALSE)</f>
        <v>111</v>
      </c>
      <c r="E71" s="58">
        <f ca="1">OFFSET(CumulativeConfirmed!A71,-A71,MATCH(Country_Data!D71,CumulativeConfirmed!B71:BT71,0))</f>
        <v>43908</v>
      </c>
      <c r="F71" s="43">
        <f>MAX(CumulativeConfirmed!71:71)</f>
        <v>367</v>
      </c>
      <c r="G71" s="43">
        <f>MAX(CumulativeRecovered!71:71)</f>
        <v>0</v>
      </c>
      <c r="H71" s="43">
        <f>MAX(CumulativeDead!71:71)</f>
        <v>5</v>
      </c>
      <c r="K71" s="43">
        <v>17643054</v>
      </c>
      <c r="L71" s="54">
        <v>0</v>
      </c>
      <c r="M71" s="43">
        <v>0</v>
      </c>
      <c r="N71" s="72">
        <f t="shared" si="1"/>
        <v>1.3623978201634877E-2</v>
      </c>
    </row>
    <row r="72" spans="1:14" x14ac:dyDescent="0.3">
      <c r="A72" s="54">
        <v>71</v>
      </c>
      <c r="B72" s="57" t="s">
        <v>111</v>
      </c>
      <c r="C72" s="57" t="s">
        <v>111</v>
      </c>
      <c r="D72" s="54">
        <f>VLOOKUP(C72,Days_Since_100!H:I,2,FALSE)</f>
        <v>111</v>
      </c>
      <c r="E72" s="58">
        <f ca="1">OFFSET(CumulativeConfirmed!A72,-A72,MATCH(Country_Data!D72,CumulativeConfirmed!B72:BT72,0))</f>
        <v>43910</v>
      </c>
      <c r="F72" s="43">
        <f>MAX(CumulativeConfirmed!72:72)</f>
        <v>111</v>
      </c>
      <c r="G72" s="43">
        <f>MAX(CumulativeRecovered!72:72)</f>
        <v>1</v>
      </c>
      <c r="H72" s="43">
        <f>MAX(CumulativeDead!72:72)</f>
        <v>0</v>
      </c>
      <c r="K72" s="43">
        <v>1886198</v>
      </c>
      <c r="L72" s="54">
        <v>9.6999999999999993</v>
      </c>
      <c r="M72" s="43">
        <v>182.96120599999998</v>
      </c>
      <c r="N72" s="72">
        <f t="shared" si="1"/>
        <v>0</v>
      </c>
    </row>
    <row r="73" spans="1:14" x14ac:dyDescent="0.3">
      <c r="A73" s="54">
        <v>72</v>
      </c>
      <c r="B73" s="57" t="s">
        <v>138</v>
      </c>
      <c r="C73" s="57" t="s">
        <v>138</v>
      </c>
      <c r="D73" s="54" t="e">
        <f>VLOOKUP(C73,Days_Since_100!H:I,2,FALSE)</f>
        <v>#N/A</v>
      </c>
      <c r="E73" s="58" t="e">
        <f ca="1">OFFSET(CumulativeConfirmed!A73,-A73,MATCH(Country_Data!D73,CumulativeConfirmed!B73:BT73,0))</f>
        <v>#N/A</v>
      </c>
      <c r="F73" s="43">
        <f>MAX(CumulativeConfirmed!73:73)</f>
        <v>54</v>
      </c>
      <c r="G73" s="43">
        <f>MAX(CumulativeRecovered!73:73)</f>
        <v>0</v>
      </c>
      <c r="H73" s="43">
        <f>MAX(CumulativeDead!73:73)</f>
        <v>1</v>
      </c>
      <c r="K73" s="43">
        <v>11818619</v>
      </c>
      <c r="L73" s="54" t="s">
        <v>517</v>
      </c>
      <c r="M73" s="43" t="e">
        <v>#VALUE!</v>
      </c>
      <c r="N73" s="72">
        <f t="shared" si="1"/>
        <v>1.8518518518518517E-2</v>
      </c>
    </row>
    <row r="74" spans="1:14" x14ac:dyDescent="0.3">
      <c r="A74" s="54">
        <v>73</v>
      </c>
      <c r="B74" s="57" t="s">
        <v>104</v>
      </c>
      <c r="C74" s="57" t="s">
        <v>104</v>
      </c>
      <c r="D74" s="54" t="e">
        <f>VLOOKUP(C74,Days_Since_100!H:I,2,FALSE)</f>
        <v>#N/A</v>
      </c>
      <c r="E74" s="58" t="e">
        <f ca="1">OFFSET(CumulativeConfirmed!A74,-A74,MATCH(Country_Data!D74,CumulativeConfirmed!B74:BT74,0))</f>
        <v>#N/A</v>
      </c>
      <c r="F74" s="43">
        <f>MAX(CumulativeConfirmed!74:74)</f>
        <v>44</v>
      </c>
      <c r="G74" s="43">
        <f>MAX(CumulativeRecovered!74:74)</f>
        <v>6</v>
      </c>
      <c r="H74" s="43">
        <f>MAX(CumulativeDead!74:74)</f>
        <v>1</v>
      </c>
      <c r="K74" s="43">
        <v>10139177</v>
      </c>
      <c r="L74" s="54" t="s">
        <v>517</v>
      </c>
      <c r="M74" s="43" t="e">
        <v>#VALUE!</v>
      </c>
      <c r="N74" s="72">
        <f t="shared" si="1"/>
        <v>2.2727272727272728E-2</v>
      </c>
    </row>
    <row r="75" spans="1:14" x14ac:dyDescent="0.3">
      <c r="A75" s="54">
        <v>74</v>
      </c>
      <c r="B75" s="57" t="s">
        <v>231</v>
      </c>
      <c r="C75" s="57" t="s">
        <v>231</v>
      </c>
      <c r="D75" s="54" t="e">
        <f>VLOOKUP(C75,Days_Since_100!H:I,2,FALSE)</f>
        <v>#N/A</v>
      </c>
      <c r="E75" s="58" t="e">
        <f ca="1">OFFSET(CumulativeConfirmed!A75,-A75,MATCH(Country_Data!D75,CumulativeConfirmed!B75:BT75,0))</f>
        <v>#N/A</v>
      </c>
      <c r="F75" s="43">
        <f>MAX(CumulativeConfirmed!75:75)</f>
        <v>67</v>
      </c>
      <c r="G75" s="43">
        <f>MAX(CumulativeRecovered!75:75)</f>
        <v>0</v>
      </c>
      <c r="H75" s="43">
        <f>MAX(CumulativeDead!75:75)</f>
        <v>0</v>
      </c>
      <c r="K75" s="43">
        <v>1207359</v>
      </c>
      <c r="L75" s="54">
        <v>11.4</v>
      </c>
      <c r="M75" s="43">
        <v>137.638926</v>
      </c>
      <c r="N75" s="72">
        <f t="shared" si="1"/>
        <v>0</v>
      </c>
    </row>
    <row r="76" spans="1:14" x14ac:dyDescent="0.3">
      <c r="A76" s="54">
        <v>75</v>
      </c>
      <c r="B76" s="57" t="s">
        <v>84</v>
      </c>
      <c r="C76" s="57" t="s">
        <v>84</v>
      </c>
      <c r="D76" s="54" t="e">
        <f>VLOOKUP(C76,Days_Since_100!H:I,2,FALSE)</f>
        <v>#N/A</v>
      </c>
      <c r="E76" s="58" t="e">
        <f ca="1">OFFSET(CumulativeConfirmed!A76,-A76,MATCH(Country_Data!D76,CumulativeConfirmed!B76:BT76,0))</f>
        <v>#N/A</v>
      </c>
      <c r="F76" s="43">
        <f>MAX(CumulativeConfirmed!76:76)</f>
        <v>67</v>
      </c>
      <c r="G76" s="43">
        <f>MAX(CumulativeRecovered!76:76)</f>
        <v>1</v>
      </c>
      <c r="H76" s="43">
        <f>MAX(CumulativeDead!76:76)</f>
        <v>0</v>
      </c>
      <c r="K76" s="43">
        <v>2083374</v>
      </c>
      <c r="L76" s="54" t="s">
        <v>517</v>
      </c>
      <c r="M76" s="43" t="e">
        <v>#VALUE!</v>
      </c>
      <c r="N76" s="72">
        <f t="shared" si="1"/>
        <v>0</v>
      </c>
    </row>
    <row r="77" spans="1:14" x14ac:dyDescent="0.3">
      <c r="A77" s="54">
        <v>76</v>
      </c>
      <c r="B77" s="57" t="s">
        <v>140</v>
      </c>
      <c r="C77" s="57" t="s">
        <v>140</v>
      </c>
      <c r="D77" s="54" t="e">
        <f>VLOOKUP(C77,Days_Since_100!H:I,2,FALSE)</f>
        <v>#N/A</v>
      </c>
      <c r="E77" s="58" t="e">
        <f ca="1">OFFSET(CumulativeConfirmed!A77,-A77,MATCH(Country_Data!D77,CumulativeConfirmed!B77:BT77,0))</f>
        <v>#N/A</v>
      </c>
      <c r="F77" s="43">
        <f>MAX(CumulativeConfirmed!77:77)</f>
        <v>89</v>
      </c>
      <c r="G77" s="43">
        <f>MAX(CumulativeRecovered!77:77)</f>
        <v>2</v>
      </c>
      <c r="H77" s="43">
        <f>MAX(CumulativeDead!77:77)</f>
        <v>0</v>
      </c>
      <c r="K77" s="43">
        <v>3280819</v>
      </c>
      <c r="L77" s="54" t="s">
        <v>517</v>
      </c>
      <c r="M77" s="43" t="e">
        <v>#VALUE!</v>
      </c>
      <c r="N77" s="72">
        <f t="shared" si="1"/>
        <v>0</v>
      </c>
    </row>
    <row r="78" spans="1:14" x14ac:dyDescent="0.3">
      <c r="A78" s="54">
        <v>77</v>
      </c>
      <c r="B78" s="57" t="s">
        <v>158</v>
      </c>
      <c r="C78" s="57" t="s">
        <v>158</v>
      </c>
      <c r="D78" s="54">
        <f>VLOOKUP(C78,Days_Since_100!H:I,2,FALSE)</f>
        <v>102</v>
      </c>
      <c r="E78" s="58">
        <f ca="1">OFFSET(CumulativeConfirmed!A78,-A78,MATCH(Country_Data!D78,CumulativeConfirmed!B78:BT78,0))</f>
        <v>43909</v>
      </c>
      <c r="F78" s="43">
        <f>MAX(CumulativeConfirmed!78:78)</f>
        <v>128</v>
      </c>
      <c r="G78" s="43">
        <f>MAX(CumulativeRecovered!78:78)</f>
        <v>1</v>
      </c>
      <c r="H78" s="43">
        <f>MAX(CumulativeDead!78:78)</f>
        <v>0</v>
      </c>
      <c r="K78" s="43">
        <v>50882891</v>
      </c>
      <c r="L78" s="54" t="s">
        <v>517</v>
      </c>
      <c r="M78" s="43" t="e">
        <v>#VALUE!</v>
      </c>
      <c r="N78" s="72">
        <f t="shared" si="1"/>
        <v>0</v>
      </c>
    </row>
    <row r="79" spans="1:14" x14ac:dyDescent="0.3">
      <c r="A79" s="54">
        <v>78</v>
      </c>
      <c r="B79" s="57" t="s">
        <v>177</v>
      </c>
      <c r="C79" s="57" t="s">
        <v>177</v>
      </c>
      <c r="D79" s="54" t="e">
        <f>VLOOKUP(C79,Days_Since_100!H:I,2,FALSE)</f>
        <v>#N/A</v>
      </c>
      <c r="E79" s="58" t="e">
        <f ca="1">OFFSET(CumulativeConfirmed!A79,-A79,MATCH(Country_Data!D79,CumulativeConfirmed!B79:BT79,0))</f>
        <v>#N/A</v>
      </c>
      <c r="F79" s="43">
        <f>MAX(CumulativeConfirmed!79:79)</f>
        <v>64</v>
      </c>
      <c r="G79" s="43">
        <f>MAX(CumulativeRecovered!79:79)</f>
        <v>2</v>
      </c>
      <c r="H79" s="43">
        <f>MAX(CumulativeDead!79:79)</f>
        <v>0</v>
      </c>
      <c r="K79" s="43">
        <v>441543</v>
      </c>
      <c r="L79" s="54" t="s">
        <v>517</v>
      </c>
      <c r="M79" s="43" t="e">
        <v>#VALUE!</v>
      </c>
      <c r="N79" s="72">
        <f t="shared" si="1"/>
        <v>0</v>
      </c>
    </row>
    <row r="80" spans="1:14" x14ac:dyDescent="0.3">
      <c r="A80" s="54">
        <v>79</v>
      </c>
      <c r="B80" s="57" t="s">
        <v>94</v>
      </c>
      <c r="C80" s="57" t="s">
        <v>94</v>
      </c>
      <c r="D80" s="54">
        <f>VLOOKUP(C80,Days_Since_100!H:I,2,FALSE)</f>
        <v>118</v>
      </c>
      <c r="E80" s="58">
        <f ca="1">OFFSET(CumulativeConfirmed!A80,-A80,MATCH(Country_Data!D80,CumulativeConfirmed!B80:BT80,0))</f>
        <v>43909</v>
      </c>
      <c r="F80" s="43">
        <f>MAX(CumulativeConfirmed!80:80)</f>
        <v>164</v>
      </c>
      <c r="G80" s="43">
        <f>MAX(CumulativeRecovered!80:80)</f>
        <v>4</v>
      </c>
      <c r="H80" s="43">
        <f>MAX(CumulativeDead!80:80)</f>
        <v>1</v>
      </c>
      <c r="K80" s="43">
        <v>128932753</v>
      </c>
      <c r="L80" s="54" t="s">
        <v>517</v>
      </c>
      <c r="M80" s="43" t="e">
        <v>#VALUE!</v>
      </c>
      <c r="N80" s="72">
        <f t="shared" si="1"/>
        <v>6.0975609756097563E-3</v>
      </c>
    </row>
    <row r="81" spans="1:14" x14ac:dyDescent="0.3">
      <c r="A81" s="54">
        <v>80</v>
      </c>
      <c r="B81" s="57" t="s">
        <v>114</v>
      </c>
      <c r="C81" s="57" t="s">
        <v>114</v>
      </c>
      <c r="D81" s="54" t="e">
        <f>VLOOKUP(C81,Days_Since_100!H:I,2,FALSE)</f>
        <v>#N/A</v>
      </c>
      <c r="E81" s="58" t="e">
        <f ca="1">OFFSET(CumulativeConfirmed!A81,-A81,MATCH(Country_Data!D81,CumulativeConfirmed!B81:BT81,0))</f>
        <v>#N/A</v>
      </c>
      <c r="F81" s="43">
        <f>MAX(CumulativeConfirmed!81:81)</f>
        <v>38</v>
      </c>
      <c r="G81" s="43">
        <f>MAX(CumulativeRecovered!81:81)</f>
        <v>2</v>
      </c>
      <c r="H81" s="43">
        <f>MAX(CumulativeDead!81:81)</f>
        <v>0</v>
      </c>
      <c r="K81" s="43">
        <v>16743927</v>
      </c>
      <c r="L81" s="54" t="s">
        <v>517</v>
      </c>
      <c r="M81" s="43" t="e">
        <v>#VALUE!</v>
      </c>
      <c r="N81" s="72">
        <f t="shared" si="1"/>
        <v>0</v>
      </c>
    </row>
    <row r="82" spans="1:14" x14ac:dyDescent="0.3">
      <c r="A82" s="54">
        <v>81</v>
      </c>
      <c r="B82" s="57" t="s">
        <v>200</v>
      </c>
      <c r="C82" s="57" t="s">
        <v>200</v>
      </c>
      <c r="D82" s="54" t="e">
        <f>VLOOKUP(C82,Days_Since_100!H:I,2,FALSE)</f>
        <v>#N/A</v>
      </c>
      <c r="E82" s="58" t="e">
        <f ca="1">OFFSET(CumulativeConfirmed!A82,-A82,MATCH(Country_Data!D82,CumulativeConfirmed!B82:BT82,0))</f>
        <v>#N/A</v>
      </c>
      <c r="F82" s="43">
        <f>MAX(CumulativeConfirmed!82:82)</f>
        <v>13</v>
      </c>
      <c r="G82" s="43">
        <f>MAX(CumulativeRecovered!82:82)</f>
        <v>0</v>
      </c>
      <c r="H82" s="43">
        <f>MAX(CumulativeDead!82:82)</f>
        <v>0</v>
      </c>
      <c r="K82" s="43">
        <v>540544</v>
      </c>
      <c r="L82" s="54" t="s">
        <v>517</v>
      </c>
      <c r="M82" s="43" t="e">
        <v>#VALUE!</v>
      </c>
      <c r="N82" s="72">
        <f t="shared" si="1"/>
        <v>0</v>
      </c>
    </row>
    <row r="83" spans="1:14" x14ac:dyDescent="0.3">
      <c r="A83" s="54">
        <v>82</v>
      </c>
      <c r="B83" s="57" t="s">
        <v>105</v>
      </c>
      <c r="C83" s="57" t="s">
        <v>105</v>
      </c>
      <c r="D83" s="54">
        <f>VLOOKUP(C83,Days_Since_100!H:I,2,FALSE)</f>
        <v>115</v>
      </c>
      <c r="E83" s="58">
        <f ca="1">OFFSET(CumulativeConfirmed!A83,-A83,MATCH(Country_Data!D83,CumulativeConfirmed!B83:BT83,0))</f>
        <v>43909</v>
      </c>
      <c r="F83" s="43">
        <f>MAX(CumulativeConfirmed!83:83)</f>
        <v>136</v>
      </c>
      <c r="G83" s="43">
        <f>MAX(CumulativeRecovered!83:83)</f>
        <v>1</v>
      </c>
      <c r="H83" s="43">
        <f>MAX(CumulativeDead!83:83)</f>
        <v>0</v>
      </c>
      <c r="K83" s="43">
        <v>2963243</v>
      </c>
      <c r="L83" s="54" t="s">
        <v>517</v>
      </c>
      <c r="M83" s="43" t="e">
        <v>#VALUE!</v>
      </c>
      <c r="N83" s="72">
        <f t="shared" si="1"/>
        <v>0</v>
      </c>
    </row>
    <row r="84" spans="1:14" x14ac:dyDescent="0.3">
      <c r="A84" s="54">
        <v>83</v>
      </c>
      <c r="B84" s="57" t="s">
        <v>353</v>
      </c>
      <c r="C84" s="57" t="s">
        <v>353</v>
      </c>
      <c r="D84" s="54" t="e">
        <f>VLOOKUP(C84,Days_Since_100!H:I,2,FALSE)</f>
        <v>#N/A</v>
      </c>
      <c r="E84" s="58" t="e">
        <f ca="1">OFFSET(CumulativeConfirmed!A84,-A84,MATCH(Country_Data!D84,CumulativeConfirmed!B84:BT84,0))</f>
        <v>#N/A</v>
      </c>
      <c r="F84" s="43">
        <f>MAX(CumulativeConfirmed!84:84)</f>
        <v>16</v>
      </c>
      <c r="G84" s="43">
        <f>MAX(CumulativeRecovered!84:84)</f>
        <v>2</v>
      </c>
      <c r="H84" s="43">
        <f>MAX(CumulativeDead!84:84)</f>
        <v>1</v>
      </c>
      <c r="K84" s="43">
        <v>2961167</v>
      </c>
      <c r="L84" s="54" t="s">
        <v>517</v>
      </c>
      <c r="M84" s="43" t="e">
        <v>#VALUE!</v>
      </c>
      <c r="N84" s="72">
        <f t="shared" si="1"/>
        <v>6.25E-2</v>
      </c>
    </row>
    <row r="85" spans="1:14" x14ac:dyDescent="0.3">
      <c r="A85" s="54">
        <v>84</v>
      </c>
      <c r="B85" s="57" t="s">
        <v>72</v>
      </c>
      <c r="C85" s="57" t="s">
        <v>72</v>
      </c>
      <c r="D85" s="54" t="e">
        <f>VLOOKUP(C85,Days_Since_100!H:I,2,FALSE)</f>
        <v>#N/A</v>
      </c>
      <c r="E85" s="58" t="e">
        <f ca="1">OFFSET(CumulativeConfirmed!A85,-A85,MATCH(Country_Data!D85,CumulativeConfirmed!B85:BT85,0))</f>
        <v>#N/A</v>
      </c>
      <c r="F85" s="43">
        <f>MAX(CumulativeConfirmed!85:85)</f>
        <v>24</v>
      </c>
      <c r="G85" s="43">
        <f>MAX(CumulativeRecovered!85:85)</f>
        <v>1</v>
      </c>
      <c r="H85" s="43">
        <f>MAX(CumulativeDead!85:85)</f>
        <v>0</v>
      </c>
      <c r="K85" s="43">
        <v>38928346</v>
      </c>
      <c r="L85" s="54" t="s">
        <v>517</v>
      </c>
      <c r="M85" s="43" t="e">
        <v>#VALUE!</v>
      </c>
      <c r="N85" s="72">
        <f t="shared" si="1"/>
        <v>0</v>
      </c>
    </row>
    <row r="86" spans="1:14" x14ac:dyDescent="0.3">
      <c r="A86" s="54">
        <v>85</v>
      </c>
      <c r="B86" s="57" t="s">
        <v>112</v>
      </c>
      <c r="C86" s="57" t="s">
        <v>112</v>
      </c>
      <c r="D86" s="54" t="e">
        <f>VLOOKUP(C86,Days_Since_100!H:I,2,FALSE)</f>
        <v>#N/A</v>
      </c>
      <c r="E86" s="58" t="e">
        <f ca="1">OFFSET(CumulativeConfirmed!A86,-A86,MATCH(Country_Data!D86,CumulativeConfirmed!B86:BT86,0))</f>
        <v>#N/A</v>
      </c>
      <c r="F86" s="43">
        <f>MAX(CumulativeConfirmed!86:86)</f>
        <v>77</v>
      </c>
      <c r="G86" s="43">
        <f>MAX(CumulativeRecovered!86:86)</f>
        <v>1</v>
      </c>
      <c r="H86" s="43">
        <f>MAX(CumulativeDead!86:86)</f>
        <v>3</v>
      </c>
      <c r="K86" s="43">
        <v>36910560</v>
      </c>
      <c r="L86" s="54" t="s">
        <v>517</v>
      </c>
      <c r="M86" s="43" t="e">
        <v>#VALUE!</v>
      </c>
      <c r="N86" s="72">
        <f t="shared" si="1"/>
        <v>3.896103896103896E-2</v>
      </c>
    </row>
    <row r="87" spans="1:14" x14ac:dyDescent="0.3">
      <c r="A87" s="54">
        <v>86</v>
      </c>
      <c r="B87" s="57" t="s">
        <v>93</v>
      </c>
      <c r="C87" s="57" t="s">
        <v>93</v>
      </c>
      <c r="D87" s="54" t="e">
        <f>VLOOKUP(C87,Days_Since_100!H:I,2,FALSE)</f>
        <v>#N/A</v>
      </c>
      <c r="E87" s="58" t="e">
        <f ca="1">OFFSET(CumulativeConfirmed!A87,-A87,MATCH(Country_Data!D87,CumulativeConfirmed!B87:BT87,0))</f>
        <v>#N/A</v>
      </c>
      <c r="F87" s="43">
        <f>MAX(CumulativeConfirmed!87:87)</f>
        <v>49</v>
      </c>
      <c r="G87" s="43">
        <f>MAX(CumulativeRecovered!87:87)</f>
        <v>1</v>
      </c>
      <c r="H87" s="43">
        <f>MAX(CumulativeDead!87:87)</f>
        <v>0</v>
      </c>
      <c r="K87" s="43">
        <v>2722289</v>
      </c>
      <c r="L87" s="54">
        <v>15.5</v>
      </c>
      <c r="M87" s="43">
        <v>421.95479499999999</v>
      </c>
      <c r="N87" s="72">
        <f t="shared" si="1"/>
        <v>0</v>
      </c>
    </row>
    <row r="88" spans="1:14" x14ac:dyDescent="0.3">
      <c r="A88" s="54">
        <v>87</v>
      </c>
      <c r="B88" s="57" t="s">
        <v>345</v>
      </c>
      <c r="C88" s="57" t="s">
        <v>345</v>
      </c>
      <c r="D88" s="54" t="e">
        <f>VLOOKUP(C88,Days_Since_100!H:I,2,FALSE)</f>
        <v>#N/A</v>
      </c>
      <c r="E88" s="58" t="e">
        <f ca="1">OFFSET(CumulativeConfirmed!A88,-A88,MATCH(Country_Data!D88,CumulativeConfirmed!B88:BT88,0))</f>
        <v>#N/A</v>
      </c>
      <c r="F88" s="43">
        <f>MAX(CumulativeConfirmed!88:88)</f>
        <v>66</v>
      </c>
      <c r="G88" s="43">
        <f>MAX(CumulativeRecovered!88:88)</f>
        <v>1</v>
      </c>
      <c r="H88" s="43">
        <f>MAX(CumulativeDead!88:88)</f>
        <v>1</v>
      </c>
      <c r="K88" s="43">
        <v>4033963</v>
      </c>
      <c r="L88" s="54" t="s">
        <v>517</v>
      </c>
      <c r="M88" s="43" t="e">
        <v>#VALUE!</v>
      </c>
      <c r="N88" s="72">
        <f t="shared" si="1"/>
        <v>1.5151515151515152E-2</v>
      </c>
    </row>
    <row r="89" spans="1:14" x14ac:dyDescent="0.3">
      <c r="A89" s="54">
        <v>88</v>
      </c>
      <c r="B89" s="57" t="s">
        <v>206</v>
      </c>
      <c r="C89" s="57" t="s">
        <v>206</v>
      </c>
      <c r="D89" s="54" t="e">
        <f>VLOOKUP(C89,Days_Since_100!H:I,2,FALSE)</f>
        <v>#N/A</v>
      </c>
      <c r="E89" s="58" t="e">
        <f ca="1">OFFSET(CumulativeConfirmed!A89,-A89,MATCH(Country_Data!D89,CumulativeConfirmed!B89:BT89,0))</f>
        <v>#N/A</v>
      </c>
      <c r="F89" s="43">
        <f>MAX(CumulativeConfirmed!89:89)</f>
        <v>13</v>
      </c>
      <c r="G89" s="43">
        <f>MAX(CumulativeRecovered!89:89)</f>
        <v>0</v>
      </c>
      <c r="H89" s="43">
        <f>MAX(CumulativeDead!89:89)</f>
        <v>0</v>
      </c>
      <c r="K89" s="43">
        <v>7132538</v>
      </c>
      <c r="L89" s="54" t="s">
        <v>517</v>
      </c>
      <c r="M89" s="43" t="e">
        <v>#VALUE!</v>
      </c>
      <c r="N89" s="72">
        <f t="shared" si="1"/>
        <v>0</v>
      </c>
    </row>
    <row r="90" spans="1:14" x14ac:dyDescent="0.3">
      <c r="A90" s="54">
        <v>89</v>
      </c>
      <c r="B90" s="57" t="s">
        <v>52</v>
      </c>
      <c r="C90" s="57" t="s">
        <v>52</v>
      </c>
      <c r="D90" s="54" t="e">
        <f>VLOOKUP(C90,Days_Since_100!H:I,2,FALSE)</f>
        <v>#N/A</v>
      </c>
      <c r="E90" s="58" t="e">
        <f ca="1">OFFSET(CumulativeConfirmed!A90,-A90,MATCH(Country_Data!D90,CumulativeConfirmed!B90:BT90,0))</f>
        <v>#N/A</v>
      </c>
      <c r="F90" s="43">
        <f>MAX(CumulativeConfirmed!90:90)</f>
        <v>73</v>
      </c>
      <c r="G90" s="43">
        <f>MAX(CumulativeRecovered!90:90)</f>
        <v>3</v>
      </c>
      <c r="H90" s="43">
        <f>MAX(CumulativeDead!90:90)</f>
        <v>0</v>
      </c>
      <c r="K90" s="43">
        <v>21413249</v>
      </c>
      <c r="L90" s="54" t="s">
        <v>517</v>
      </c>
      <c r="M90" s="43" t="e">
        <v>#VALUE!</v>
      </c>
      <c r="N90" s="72">
        <f t="shared" si="1"/>
        <v>0</v>
      </c>
    </row>
    <row r="91" spans="1:14" x14ac:dyDescent="0.3">
      <c r="A91" s="54">
        <v>90</v>
      </c>
      <c r="B91" s="57" t="s">
        <v>51</v>
      </c>
      <c r="C91" s="57" t="s">
        <v>51</v>
      </c>
      <c r="D91" s="54" t="e">
        <f>VLOOKUP(C91,Days_Since_100!H:I,2,FALSE)</f>
        <v>#N/A</v>
      </c>
      <c r="E91" s="58" t="e">
        <f ca="1">OFFSET(CumulativeConfirmed!A91,-A91,MATCH(Country_Data!D91,CumulativeConfirmed!B91:BT91,0))</f>
        <v>#N/A</v>
      </c>
      <c r="F91" s="43">
        <f>MAX(CumulativeConfirmed!91:91)</f>
        <v>51</v>
      </c>
      <c r="G91" s="43">
        <f>MAX(CumulativeRecovered!91:91)</f>
        <v>1</v>
      </c>
      <c r="H91" s="43">
        <f>MAX(CumulativeDead!91:91)</f>
        <v>0</v>
      </c>
      <c r="K91" s="43">
        <v>16718965</v>
      </c>
      <c r="L91" s="54" t="s">
        <v>517</v>
      </c>
      <c r="M91" s="43" t="e">
        <v>#VALUE!</v>
      </c>
      <c r="N91" s="72">
        <f t="shared" si="1"/>
        <v>0</v>
      </c>
    </row>
    <row r="92" spans="1:14" x14ac:dyDescent="0.3">
      <c r="A92" s="54">
        <v>91</v>
      </c>
      <c r="B92" s="57" t="s">
        <v>106</v>
      </c>
      <c r="C92" s="57" t="s">
        <v>106</v>
      </c>
      <c r="D92" s="54" t="e">
        <f>VLOOKUP(C92,Days_Since_100!H:I,2,FALSE)</f>
        <v>#N/A</v>
      </c>
      <c r="E92" s="58" t="e">
        <f ca="1">OFFSET(CumulativeConfirmed!A92,-A92,MATCH(Country_Data!D92,CumulativeConfirmed!B92:BT92,0))</f>
        <v>#N/A</v>
      </c>
      <c r="F92" s="43">
        <f>MAX(CumulativeConfirmed!92:92)</f>
        <v>72</v>
      </c>
      <c r="G92" s="43">
        <f>MAX(CumulativeRecovered!92:92)</f>
        <v>0</v>
      </c>
      <c r="H92" s="43">
        <f>MAX(CumulativeDead!92:92)</f>
        <v>2</v>
      </c>
      <c r="K92" s="43">
        <v>10847910</v>
      </c>
      <c r="L92" s="54" t="s">
        <v>517</v>
      </c>
      <c r="M92" s="43" t="e">
        <v>#VALUE!</v>
      </c>
      <c r="N92" s="72">
        <f t="shared" si="1"/>
        <v>2.7777777777777776E-2</v>
      </c>
    </row>
    <row r="93" spans="1:14" x14ac:dyDescent="0.3">
      <c r="A93" s="54">
        <v>92</v>
      </c>
      <c r="B93" s="57" t="s">
        <v>176</v>
      </c>
      <c r="C93" s="57" t="s">
        <v>176</v>
      </c>
      <c r="D93" s="54" t="e">
        <f>VLOOKUP(C93,Days_Since_100!H:I,2,FALSE)</f>
        <v>#N/A</v>
      </c>
      <c r="E93" s="58" t="e">
        <f ca="1">OFFSET(CumulativeConfirmed!A93,-A93,MATCH(Country_Data!D93,CumulativeConfirmed!B93:BT93,0))</f>
        <v>#N/A</v>
      </c>
      <c r="F93" s="43">
        <f>MAX(CumulativeConfirmed!93:93)</f>
        <v>0</v>
      </c>
      <c r="G93" s="43">
        <f>MAX(CumulativeRecovered!93:93)</f>
        <v>0</v>
      </c>
      <c r="H93" s="43">
        <f>MAX(CumulativeDead!93:93)</f>
        <v>0</v>
      </c>
      <c r="K93" s="43">
        <v>298682</v>
      </c>
      <c r="L93" s="54" t="s">
        <v>517</v>
      </c>
      <c r="M93" s="43" t="e">
        <v>#VALUE!</v>
      </c>
      <c r="N93" s="72" t="e">
        <f t="shared" si="1"/>
        <v>#DIV/0!</v>
      </c>
    </row>
    <row r="94" spans="1:14" x14ac:dyDescent="0.3">
      <c r="A94" s="54">
        <v>93</v>
      </c>
      <c r="B94" s="57" t="s">
        <v>95</v>
      </c>
      <c r="C94" s="57" t="s">
        <v>95</v>
      </c>
      <c r="D94" s="54" t="e">
        <f>VLOOKUP(C94,Days_Since_100!H:I,2,FALSE)</f>
        <v>#N/A</v>
      </c>
      <c r="E94" s="58" t="e">
        <f ca="1">OFFSET(CumulativeConfirmed!A94,-A94,MATCH(Country_Data!D94,CumulativeConfirmed!B94:BT94,0))</f>
        <v>#N/A</v>
      </c>
      <c r="F94" s="43">
        <f>MAX(CumulativeConfirmed!94:94)</f>
        <v>39</v>
      </c>
      <c r="G94" s="43">
        <f>MAX(CumulativeRecovered!94:94)</f>
        <v>0</v>
      </c>
      <c r="H94" s="43">
        <f>MAX(CumulativeDead!94:94)</f>
        <v>0</v>
      </c>
      <c r="K94" s="43">
        <v>4822233</v>
      </c>
      <c r="L94" s="54" t="s">
        <v>517</v>
      </c>
      <c r="M94" s="43" t="e">
        <v>#VALUE!</v>
      </c>
      <c r="N94" s="72">
        <f t="shared" si="1"/>
        <v>0</v>
      </c>
    </row>
    <row r="95" spans="1:14" x14ac:dyDescent="0.3">
      <c r="A95" s="54">
        <v>94</v>
      </c>
      <c r="B95" s="57" t="s">
        <v>354</v>
      </c>
      <c r="C95" s="57" t="s">
        <v>354</v>
      </c>
      <c r="D95" s="54" t="e">
        <f>VLOOKUP(C95,Days_Since_100!H:I,2,FALSE)</f>
        <v>#N/A</v>
      </c>
      <c r="E95" s="58" t="e">
        <f ca="1">OFFSET(CumulativeConfirmed!A95,-A95,MATCH(Country_Data!D95,CumulativeConfirmed!B95:BT95,0))</f>
        <v>#N/A</v>
      </c>
      <c r="F95" s="43">
        <f>MAX(CumulativeConfirmed!95:95)</f>
        <v>0</v>
      </c>
      <c r="G95" s="43">
        <f>MAX(CumulativeRecovered!95:95)</f>
        <v>0</v>
      </c>
      <c r="H95" s="43">
        <f>MAX(CumulativeDead!95:95)</f>
        <v>0</v>
      </c>
      <c r="K95" s="43" t="e">
        <v>#N/A</v>
      </c>
      <c r="L95" s="54" t="s">
        <v>517</v>
      </c>
      <c r="M95" s="43" t="e">
        <v>#N/A</v>
      </c>
      <c r="N95" s="72" t="e">
        <f t="shared" si="1"/>
        <v>#DIV/0!</v>
      </c>
    </row>
    <row r="96" spans="1:14" x14ac:dyDescent="0.3">
      <c r="A96" s="54">
        <v>95</v>
      </c>
      <c r="B96" s="57" t="s">
        <v>355</v>
      </c>
      <c r="C96" s="57" t="s">
        <v>355</v>
      </c>
      <c r="D96" s="54">
        <f>VLOOKUP(C96,Days_Since_100!H:I,2,FALSE)</f>
        <v>192</v>
      </c>
      <c r="E96" s="58">
        <f ca="1">OFFSET(CumulativeConfirmed!A96,-A96,MATCH(Country_Data!D96,CumulativeConfirmed!B96:BT96,0))</f>
        <v>43909</v>
      </c>
      <c r="F96" s="43">
        <f>MAX(CumulativeConfirmed!96:96)</f>
        <v>359</v>
      </c>
      <c r="G96" s="43">
        <f>MAX(CumulativeRecovered!96:96)</f>
        <v>0</v>
      </c>
      <c r="H96" s="43">
        <f>MAX(CumulativeDead!96:96)</f>
        <v>4</v>
      </c>
      <c r="K96" s="43">
        <v>84339067</v>
      </c>
      <c r="L96" s="54" t="s">
        <v>517</v>
      </c>
      <c r="M96" s="43" t="e">
        <v>#VALUE!</v>
      </c>
      <c r="N96" s="72">
        <f t="shared" si="1"/>
        <v>1.1142061281337047E-2</v>
      </c>
    </row>
    <row r="97" spans="1:14" x14ac:dyDescent="0.3">
      <c r="A97" s="54">
        <v>96</v>
      </c>
      <c r="B97" s="57" t="s">
        <v>410</v>
      </c>
      <c r="C97" s="57" t="s">
        <v>410</v>
      </c>
      <c r="D97" s="54" t="e">
        <f>VLOOKUP(C97,Days_Since_100!H:I,2,FALSE)</f>
        <v>#N/A</v>
      </c>
      <c r="E97" s="58" t="e">
        <f ca="1">OFFSET(CumulativeConfirmed!A97,-A97,MATCH(Country_Data!D97,CumulativeConfirmed!B97:BT97,0))</f>
        <v>#N/A</v>
      </c>
      <c r="F97" s="43">
        <f>MAX(CumulativeConfirmed!97:97)</f>
        <v>16</v>
      </c>
      <c r="G97" s="43">
        <f>MAX(CumulativeRecovered!97:97)</f>
        <v>0</v>
      </c>
      <c r="H97" s="43">
        <f>MAX(CumulativeDead!97:97)</f>
        <v>1</v>
      </c>
      <c r="K97" s="43">
        <v>11326616</v>
      </c>
      <c r="L97" s="54" t="s">
        <v>517</v>
      </c>
      <c r="M97" s="43" t="e">
        <v>#VALUE!</v>
      </c>
      <c r="N97" s="72">
        <f t="shared" si="1"/>
        <v>6.25E-2</v>
      </c>
    </row>
    <row r="98" spans="1:14" x14ac:dyDescent="0.3">
      <c r="A98" s="54">
        <v>97</v>
      </c>
      <c r="B98" s="57" t="s">
        <v>413</v>
      </c>
      <c r="C98" s="57" t="s">
        <v>413</v>
      </c>
      <c r="D98" s="54" t="e">
        <f>VLOOKUP(C98,Days_Since_100!H:I,2,FALSE)</f>
        <v>#N/A</v>
      </c>
      <c r="E98" s="58" t="e">
        <f ca="1">OFFSET(CumulativeConfirmed!A98,-A98,MATCH(Country_Data!D98,CumulativeConfirmed!B98:BT98,0))</f>
        <v>#N/A</v>
      </c>
      <c r="F98" s="43">
        <f>MAX(CumulativeConfirmed!98:98)</f>
        <v>49</v>
      </c>
      <c r="G98" s="43">
        <f>MAX(CumulativeRecovered!98:98)</f>
        <v>0</v>
      </c>
      <c r="H98" s="43">
        <f>MAX(CumulativeDead!98:98)</f>
        <v>3</v>
      </c>
      <c r="K98" s="43">
        <v>18776707</v>
      </c>
      <c r="L98" s="54" t="s">
        <v>517</v>
      </c>
      <c r="M98" s="43" t="e">
        <v>#VALUE!</v>
      </c>
      <c r="N98" s="72">
        <f t="shared" si="1"/>
        <v>6.1224489795918366E-2</v>
      </c>
    </row>
    <row r="99" spans="1:14" x14ac:dyDescent="0.3">
      <c r="A99" s="54">
        <v>98</v>
      </c>
      <c r="B99" s="57" t="s">
        <v>202</v>
      </c>
      <c r="C99" s="57" t="s">
        <v>202</v>
      </c>
      <c r="D99" s="54" t="e">
        <f>VLOOKUP(C99,Days_Since_100!H:I,2,FALSE)</f>
        <v>#N/A</v>
      </c>
      <c r="E99" s="58" t="e">
        <f ca="1">OFFSET(CumulativeConfirmed!A99,-A99,MATCH(Country_Data!D99,CumulativeConfirmed!B99:BT99,0))</f>
        <v>#N/A</v>
      </c>
      <c r="F99" s="43">
        <f>MAX(CumulativeConfirmed!99:99)</f>
        <v>20</v>
      </c>
      <c r="G99" s="43">
        <f>MAX(CumulativeRecovered!99:99)</f>
        <v>3</v>
      </c>
      <c r="H99" s="43">
        <f>MAX(CumulativeDead!99:99)</f>
        <v>1</v>
      </c>
      <c r="K99" s="43">
        <v>164689383</v>
      </c>
      <c r="L99" s="54" t="s">
        <v>517</v>
      </c>
      <c r="M99" s="43" t="e">
        <v>#VALUE!</v>
      </c>
      <c r="N99" s="72">
        <f t="shared" si="1"/>
        <v>0.05</v>
      </c>
    </row>
    <row r="100" spans="1:14" x14ac:dyDescent="0.3">
      <c r="A100" s="54">
        <v>99</v>
      </c>
      <c r="B100" s="57" t="s">
        <v>346</v>
      </c>
      <c r="C100" s="57" t="s">
        <v>346</v>
      </c>
      <c r="D100" s="54" t="e">
        <f>VLOOKUP(C100,Days_Since_100!H:I,2,FALSE)</f>
        <v>#N/A</v>
      </c>
      <c r="E100" s="58" t="e">
        <f ca="1">OFFSET(CumulativeConfirmed!A100,-A100,MATCH(Country_Data!D100,CumulativeConfirmed!B100:BT100,0))</f>
        <v>#N/A</v>
      </c>
      <c r="F100" s="43">
        <f>MAX(CumulativeConfirmed!100:100)</f>
        <v>15</v>
      </c>
      <c r="G100" s="43">
        <f>MAX(CumulativeRecovered!100:100)</f>
        <v>0</v>
      </c>
      <c r="H100" s="43">
        <f>MAX(CumulativeDead!100:100)</f>
        <v>0</v>
      </c>
      <c r="K100" s="43">
        <v>11673021</v>
      </c>
      <c r="L100" s="54" t="s">
        <v>517</v>
      </c>
      <c r="M100" s="43" t="e">
        <v>#VALUE!</v>
      </c>
      <c r="N100" s="72">
        <f t="shared" si="1"/>
        <v>0</v>
      </c>
    </row>
    <row r="101" spans="1:14" x14ac:dyDescent="0.3">
      <c r="A101" s="54">
        <v>100</v>
      </c>
      <c r="B101" s="57" t="s">
        <v>180</v>
      </c>
      <c r="C101" s="57" t="s">
        <v>180</v>
      </c>
      <c r="D101" s="54" t="e">
        <f>VLOOKUP(C101,Days_Since_100!H:I,2,FALSE)</f>
        <v>#N/A</v>
      </c>
      <c r="E101" s="58" t="e">
        <f ca="1">OFFSET(CumulativeConfirmed!A101,-A101,MATCH(Country_Data!D101,CumulativeConfirmed!B101:BT101,0))</f>
        <v>#N/A</v>
      </c>
      <c r="F101" s="43">
        <f>MAX(CumulativeConfirmed!101:101)</f>
        <v>32</v>
      </c>
      <c r="G101" s="43">
        <f>MAX(CumulativeRecovered!101:101)</f>
        <v>0</v>
      </c>
      <c r="H101" s="43">
        <f>MAX(CumulativeDead!101:101)</f>
        <v>1</v>
      </c>
      <c r="K101" s="43">
        <v>375265</v>
      </c>
      <c r="L101" s="54" t="s">
        <v>517</v>
      </c>
      <c r="M101" s="43" t="e">
        <v>#VALUE!</v>
      </c>
      <c r="N101" s="72">
        <f t="shared" si="1"/>
        <v>3.125E-2</v>
      </c>
    </row>
    <row r="102" spans="1:14" x14ac:dyDescent="0.3">
      <c r="A102" s="54">
        <v>101</v>
      </c>
      <c r="B102" s="57" t="s">
        <v>129</v>
      </c>
      <c r="C102" s="57" t="s">
        <v>129</v>
      </c>
      <c r="D102" s="54" t="e">
        <f>VLOOKUP(C102,Days_Since_100!H:I,2,FALSE)</f>
        <v>#N/A</v>
      </c>
      <c r="E102" s="58" t="e">
        <f ca="1">OFFSET(CumulativeConfirmed!A102,-A102,MATCH(Country_Data!D102,CumulativeConfirmed!B102:BT102,0))</f>
        <v>#N/A</v>
      </c>
      <c r="F102" s="43">
        <f>MAX(CumulativeConfirmed!102:102)</f>
        <v>29</v>
      </c>
      <c r="G102" s="43">
        <f>MAX(CumulativeRecovered!102:102)</f>
        <v>0</v>
      </c>
      <c r="H102" s="43">
        <f>MAX(CumulativeDead!102:102)</f>
        <v>3</v>
      </c>
      <c r="K102" s="43">
        <v>43733762</v>
      </c>
      <c r="L102" s="54" t="s">
        <v>517</v>
      </c>
      <c r="M102" s="43" t="e">
        <v>#VALUE!</v>
      </c>
      <c r="N102" s="72">
        <f t="shared" si="1"/>
        <v>0.10344827586206896</v>
      </c>
    </row>
    <row r="103" spans="1:14" x14ac:dyDescent="0.3">
      <c r="A103" s="54">
        <v>102</v>
      </c>
      <c r="B103" s="57" t="s">
        <v>422</v>
      </c>
      <c r="C103" s="57" t="s">
        <v>422</v>
      </c>
      <c r="D103" s="54" t="e">
        <f>VLOOKUP(C103,Days_Since_100!H:I,2,FALSE)</f>
        <v>#N/A</v>
      </c>
      <c r="E103" s="58" t="e">
        <f ca="1">OFFSET(CumulativeConfirmed!A103,-A103,MATCH(Country_Data!D103,CumulativeConfirmed!B103:BT103,0))</f>
        <v>#N/A</v>
      </c>
      <c r="F103" s="43">
        <f>MAX(CumulativeConfirmed!103:103)</f>
        <v>0</v>
      </c>
      <c r="G103" s="43">
        <f>MAX(CumulativeRecovered!103:103)</f>
        <v>0</v>
      </c>
      <c r="H103" s="43">
        <f>MAX(CumulativeDead!103:103)</f>
        <v>0</v>
      </c>
      <c r="K103" s="43">
        <v>106766</v>
      </c>
      <c r="L103" s="54" t="s">
        <v>517</v>
      </c>
      <c r="M103" s="43" t="e">
        <v>#VALUE!</v>
      </c>
      <c r="N103" s="72" t="e">
        <f t="shared" si="1"/>
        <v>#DIV/0!</v>
      </c>
    </row>
    <row r="104" spans="1:14" x14ac:dyDescent="0.3">
      <c r="A104" s="54">
        <v>103</v>
      </c>
      <c r="B104" s="57" t="s">
        <v>279</v>
      </c>
      <c r="C104" s="57" t="s">
        <v>279</v>
      </c>
      <c r="D104" s="54" t="e">
        <f>VLOOKUP(C104,Days_Since_100!H:I,2,FALSE)</f>
        <v>#N/A</v>
      </c>
      <c r="E104" s="58" t="e">
        <f ca="1">OFFSET(CumulativeConfirmed!A104,-A104,MATCH(Country_Data!D104,CumulativeConfirmed!B104:BT104,0))</f>
        <v>#N/A</v>
      </c>
      <c r="F104" s="43">
        <f>MAX(CumulativeConfirmed!104:104)</f>
        <v>40</v>
      </c>
      <c r="G104" s="43">
        <f>MAX(CumulativeRecovered!104:104)</f>
        <v>0</v>
      </c>
      <c r="H104" s="43">
        <f>MAX(CumulativeDead!104:104)</f>
        <v>1</v>
      </c>
      <c r="K104" s="43">
        <v>20903273</v>
      </c>
      <c r="L104" s="54" t="s">
        <v>517</v>
      </c>
      <c r="M104" s="43" t="e">
        <v>#VALUE!</v>
      </c>
      <c r="N104" s="72">
        <f t="shared" si="1"/>
        <v>2.5000000000000001E-2</v>
      </c>
    </row>
    <row r="105" spans="1:14" x14ac:dyDescent="0.3">
      <c r="A105" s="54">
        <v>104</v>
      </c>
      <c r="B105" s="57" t="s">
        <v>157</v>
      </c>
      <c r="C105" s="57" t="s">
        <v>157</v>
      </c>
      <c r="D105" s="54" t="e">
        <f>VLOOKUP(C105,Days_Since_100!H:I,2,FALSE)</f>
        <v>#N/A</v>
      </c>
      <c r="E105" s="58" t="e">
        <f ca="1">OFFSET(CumulativeConfirmed!A105,-A105,MATCH(Country_Data!D105,CumulativeConfirmed!B105:BT105,0))</f>
        <v>#N/A</v>
      </c>
      <c r="F105" s="43">
        <f>MAX(CumulativeConfirmed!105:105)</f>
        <v>20</v>
      </c>
      <c r="G105" s="43">
        <f>MAX(CumulativeRecovered!105:105)</f>
        <v>0</v>
      </c>
      <c r="H105" s="43">
        <f>MAX(CumulativeDead!105:105)</f>
        <v>0</v>
      </c>
      <c r="K105" s="43">
        <v>26545863</v>
      </c>
      <c r="L105" s="54" t="s">
        <v>517</v>
      </c>
      <c r="M105" s="43" t="e">
        <v>#VALUE!</v>
      </c>
      <c r="N105" s="72">
        <f t="shared" si="1"/>
        <v>0</v>
      </c>
    </row>
    <row r="106" spans="1:14" x14ac:dyDescent="0.3">
      <c r="A106" s="54">
        <v>105</v>
      </c>
      <c r="B106" s="57" t="s">
        <v>351</v>
      </c>
      <c r="C106" s="57" t="s">
        <v>351</v>
      </c>
      <c r="D106" s="54" t="e">
        <f>VLOOKUP(C106,Days_Since_100!H:I,2,FALSE)</f>
        <v>#N/A</v>
      </c>
      <c r="E106" s="58" t="e">
        <f ca="1">OFFSET(CumulativeConfirmed!A106,-A106,MATCH(Country_Data!D106,CumulativeConfirmed!B106:BT106,0))</f>
        <v>#N/A</v>
      </c>
      <c r="F106" s="43">
        <f>MAX(CumulativeConfirmed!106:106)</f>
        <v>18</v>
      </c>
      <c r="G106" s="43">
        <f>MAX(CumulativeRecovered!106:106)</f>
        <v>0</v>
      </c>
      <c r="H106" s="43">
        <f>MAX(CumulativeDead!106:106)</f>
        <v>0</v>
      </c>
      <c r="K106" s="43" t="e">
        <v>#N/A</v>
      </c>
      <c r="L106" s="54" t="s">
        <v>517</v>
      </c>
      <c r="M106" s="43" t="e">
        <v>#N/A</v>
      </c>
      <c r="N106" s="72">
        <f t="shared" si="1"/>
        <v>0</v>
      </c>
    </row>
    <row r="107" spans="1:14" x14ac:dyDescent="0.3">
      <c r="A107" s="54">
        <v>106</v>
      </c>
      <c r="B107" s="57" t="s">
        <v>348</v>
      </c>
      <c r="C107" s="57" t="s">
        <v>348</v>
      </c>
      <c r="D107" s="54" t="e">
        <f>VLOOKUP(C107,Days_Since_100!H:I,2,FALSE)</f>
        <v>#N/A</v>
      </c>
      <c r="E107" s="58" t="e">
        <f ca="1">OFFSET(CumulativeConfirmed!A107,-A107,MATCH(Country_Data!D107,CumulativeConfirmed!B107:BT107,0))</f>
        <v>#N/A</v>
      </c>
      <c r="F107" s="43">
        <f>MAX(CumulativeConfirmed!107:107)</f>
        <v>24</v>
      </c>
      <c r="G107" s="43">
        <f>MAX(CumulativeRecovered!107:107)</f>
        <v>0</v>
      </c>
      <c r="H107" s="43">
        <f>MAX(CumulativeDead!107:107)</f>
        <v>0</v>
      </c>
      <c r="K107" s="43">
        <v>9904607</v>
      </c>
      <c r="L107" s="54" t="s">
        <v>517</v>
      </c>
      <c r="M107" s="43" t="e">
        <v>#VALUE!</v>
      </c>
      <c r="N107" s="72">
        <f t="shared" si="1"/>
        <v>0</v>
      </c>
    </row>
    <row r="108" spans="1:14" x14ac:dyDescent="0.3">
      <c r="A108" s="54">
        <v>107</v>
      </c>
      <c r="B108" s="57" t="s">
        <v>100</v>
      </c>
      <c r="C108" s="57" t="s">
        <v>100</v>
      </c>
      <c r="D108" s="54" t="e">
        <f>VLOOKUP(C108,Days_Since_100!H:I,2,FALSE)</f>
        <v>#N/A</v>
      </c>
      <c r="E108" s="58" t="e">
        <f ca="1">OFFSET(CumulativeConfirmed!A108,-A108,MATCH(Country_Data!D108,CumulativeConfirmed!B108:BT108,0))</f>
        <v>#N/A</v>
      </c>
      <c r="F108" s="43">
        <f>MAX(CumulativeConfirmed!108:108)</f>
        <v>11</v>
      </c>
      <c r="G108" s="43">
        <f>MAX(CumulativeRecovered!108:108)</f>
        <v>0</v>
      </c>
      <c r="H108" s="43">
        <f>MAX(CumulativeDead!108:108)</f>
        <v>0</v>
      </c>
      <c r="K108" s="43">
        <v>39242</v>
      </c>
      <c r="L108" s="54" t="s">
        <v>517</v>
      </c>
      <c r="M108" s="43" t="e">
        <v>#VALUE!</v>
      </c>
      <c r="N108" s="72">
        <f t="shared" si="1"/>
        <v>0</v>
      </c>
    </row>
    <row r="109" spans="1:14" x14ac:dyDescent="0.3">
      <c r="A109" s="54">
        <v>108</v>
      </c>
      <c r="B109" s="57" t="s">
        <v>96</v>
      </c>
      <c r="C109" s="57" t="s">
        <v>96</v>
      </c>
      <c r="D109" s="54" t="e">
        <f>VLOOKUP(C109,Days_Since_100!H:I,2,FALSE)</f>
        <v>#N/A</v>
      </c>
      <c r="E109" s="58" t="e">
        <f ca="1">OFFSET(CumulativeConfirmed!A109,-A109,MATCH(Country_Data!D109,CumulativeConfirmed!B109:BT109,0))</f>
        <v>#N/A</v>
      </c>
      <c r="F109" s="43">
        <f>MAX(CumulativeConfirmed!109:109)</f>
        <v>12</v>
      </c>
      <c r="G109" s="43">
        <f>MAX(CumulativeRecovered!109:109)</f>
        <v>1</v>
      </c>
      <c r="H109" s="43">
        <f>MAX(CumulativeDead!109:109)</f>
        <v>0</v>
      </c>
      <c r="K109" s="43">
        <v>206139589</v>
      </c>
      <c r="L109" s="54" t="s">
        <v>517</v>
      </c>
      <c r="M109" s="43" t="e">
        <v>#VALUE!</v>
      </c>
      <c r="N109" s="72">
        <f t="shared" si="1"/>
        <v>0</v>
      </c>
    </row>
    <row r="110" spans="1:14" x14ac:dyDescent="0.3">
      <c r="A110" s="54">
        <v>109</v>
      </c>
      <c r="B110" s="57" t="s">
        <v>109</v>
      </c>
      <c r="C110" s="57" t="s">
        <v>109</v>
      </c>
      <c r="D110" s="54" t="e">
        <f>VLOOKUP(C110,Days_Since_100!H:I,2,FALSE)</f>
        <v>#N/A</v>
      </c>
      <c r="E110" s="58" t="e">
        <f ca="1">OFFSET(CumulativeConfirmed!A110,-A110,MATCH(Country_Data!D110,CumulativeConfirmed!B110:BT110,0))</f>
        <v>#N/A</v>
      </c>
      <c r="F110" s="43">
        <f>MAX(CumulativeConfirmed!110:110)</f>
        <v>75</v>
      </c>
      <c r="G110" s="43">
        <f>MAX(CumulativeRecovered!110:110)</f>
        <v>1</v>
      </c>
      <c r="H110" s="43">
        <f>MAX(CumulativeDead!110:110)</f>
        <v>0</v>
      </c>
      <c r="K110" s="43">
        <v>77265</v>
      </c>
      <c r="L110" s="54" t="s">
        <v>517</v>
      </c>
      <c r="M110" s="43" t="e">
        <v>#VALUE!</v>
      </c>
      <c r="N110" s="72">
        <f t="shared" si="1"/>
        <v>0</v>
      </c>
    </row>
    <row r="111" spans="1:14" x14ac:dyDescent="0.3">
      <c r="A111" s="54">
        <v>110</v>
      </c>
      <c r="B111" s="57" t="s">
        <v>424</v>
      </c>
      <c r="C111" s="57" t="s">
        <v>424</v>
      </c>
      <c r="D111" s="54" t="e">
        <f>VLOOKUP(C111,Days_Since_100!H:I,2,FALSE)</f>
        <v>#N/A</v>
      </c>
      <c r="E111" s="58" t="e">
        <f ca="1">OFFSET(CumulativeConfirmed!A111,-A111,MATCH(Country_Data!D111,CumulativeConfirmed!B111:BT111,0))</f>
        <v>#N/A</v>
      </c>
      <c r="F111" s="43">
        <f>MAX(CumulativeConfirmed!111:111)</f>
        <v>1</v>
      </c>
      <c r="G111" s="43">
        <f>MAX(CumulativeRecovered!111:111)</f>
        <v>0</v>
      </c>
      <c r="H111" s="43">
        <f>MAX(CumulativeDead!111:111)</f>
        <v>0</v>
      </c>
      <c r="K111" s="43">
        <v>97929</v>
      </c>
      <c r="L111" s="54" t="s">
        <v>517</v>
      </c>
      <c r="M111" s="43" t="e">
        <v>#VALUE!</v>
      </c>
      <c r="N111" s="72">
        <f t="shared" si="1"/>
        <v>0</v>
      </c>
    </row>
    <row r="112" spans="1:14" x14ac:dyDescent="0.3">
      <c r="A112" s="54">
        <v>111</v>
      </c>
      <c r="B112" s="57" t="s">
        <v>156</v>
      </c>
      <c r="C112" s="57" t="s">
        <v>156</v>
      </c>
      <c r="D112" s="54" t="e">
        <f>VLOOKUP(C112,Days_Since_100!H:I,2,FALSE)</f>
        <v>#N/A</v>
      </c>
      <c r="E112" s="58" t="e">
        <f ca="1">OFFSET(CumulativeConfirmed!A112,-A112,MATCH(Country_Data!D112,CumulativeConfirmed!B112:BT112,0))</f>
        <v>#N/A</v>
      </c>
      <c r="F112" s="43">
        <f>MAX(CumulativeConfirmed!112:112)</f>
        <v>2</v>
      </c>
      <c r="G112" s="43">
        <f>MAX(CumulativeRecovered!112:112)</f>
        <v>0</v>
      </c>
      <c r="H112" s="43">
        <f>MAX(CumulativeDead!112:112)</f>
        <v>0</v>
      </c>
      <c r="K112" s="43">
        <v>771608</v>
      </c>
      <c r="L112" s="54" t="s">
        <v>517</v>
      </c>
      <c r="M112" s="43" t="e">
        <v>#VALUE!</v>
      </c>
      <c r="N112" s="72">
        <f t="shared" si="1"/>
        <v>0</v>
      </c>
    </row>
    <row r="113" spans="1:14" x14ac:dyDescent="0.3">
      <c r="A113" s="54">
        <v>112</v>
      </c>
      <c r="B113" s="57" t="s">
        <v>415</v>
      </c>
      <c r="C113" s="57" t="s">
        <v>415</v>
      </c>
      <c r="D113" s="54" t="e">
        <f>VLOOKUP(C113,Days_Since_100!H:I,2,FALSE)</f>
        <v>#N/A</v>
      </c>
      <c r="E113" s="58" t="e">
        <f ca="1">OFFSET(CumulativeConfirmed!A113,-A113,MATCH(Country_Data!D113,CumulativeConfirmed!B113:BT113,0))</f>
        <v>#N/A</v>
      </c>
      <c r="F113" s="43">
        <f>MAX(CumulativeConfirmed!113:113)</f>
        <v>0</v>
      </c>
      <c r="G113" s="43">
        <f>MAX(CumulativeRecovered!113:113)</f>
        <v>0</v>
      </c>
      <c r="H113" s="43">
        <f>MAX(CumulativeDead!113:113)</f>
        <v>0</v>
      </c>
      <c r="K113" s="43">
        <v>65722</v>
      </c>
      <c r="L113" s="54" t="s">
        <v>517</v>
      </c>
      <c r="M113" s="43" t="e">
        <v>#VALUE!</v>
      </c>
      <c r="N113" s="72" t="e">
        <f t="shared" si="1"/>
        <v>#DIV/0!</v>
      </c>
    </row>
    <row r="114" spans="1:14" x14ac:dyDescent="0.3">
      <c r="A114" s="54">
        <v>113</v>
      </c>
      <c r="B114" s="57" t="s">
        <v>352</v>
      </c>
      <c r="C114" s="57" t="s">
        <v>352</v>
      </c>
      <c r="D114" s="54" t="e">
        <f>VLOOKUP(C114,Days_Since_100!H:I,2,FALSE)</f>
        <v>#N/A</v>
      </c>
      <c r="E114" s="58" t="e">
        <f ca="1">OFFSET(CumulativeConfirmed!A114,-A114,MATCH(Country_Data!D114,CumulativeConfirmed!B114:BT114,0))</f>
        <v>#N/A</v>
      </c>
      <c r="F114" s="43">
        <f>MAX(CumulativeConfirmed!114:114)</f>
        <v>9</v>
      </c>
      <c r="G114" s="43">
        <f>MAX(CumulativeRecovered!114:114)</f>
        <v>1</v>
      </c>
      <c r="H114" s="43">
        <f>MAX(CumulativeDead!114:114)</f>
        <v>0</v>
      </c>
      <c r="K114" s="43" t="e">
        <v>#N/A</v>
      </c>
      <c r="L114" s="54" t="s">
        <v>517</v>
      </c>
      <c r="M114" s="43" t="e">
        <v>#N/A</v>
      </c>
      <c r="N114" s="72">
        <f t="shared" si="1"/>
        <v>0</v>
      </c>
    </row>
    <row r="115" spans="1:14" x14ac:dyDescent="0.3">
      <c r="A115" s="54">
        <v>114</v>
      </c>
      <c r="B115" s="57" t="s">
        <v>419</v>
      </c>
      <c r="C115" s="57" t="s">
        <v>419</v>
      </c>
      <c r="D115" s="54" t="e">
        <f>VLOOKUP(C115,Days_Since_100!H:I,2,FALSE)</f>
        <v>#N/A</v>
      </c>
      <c r="E115" s="58" t="e">
        <f ca="1">OFFSET(CumulativeConfirmed!A115,-A115,MATCH(Country_Data!D115,CumulativeConfirmed!B115:BT115,0))</f>
        <v>#N/A</v>
      </c>
      <c r="F115" s="43">
        <f>MAX(CumulativeConfirmed!115:115)</f>
        <v>9</v>
      </c>
      <c r="G115" s="43">
        <f>MAX(CumulativeRecovered!115:115)</f>
        <v>0</v>
      </c>
      <c r="H115" s="43">
        <f>MAX(CumulativeDead!115:115)</f>
        <v>0</v>
      </c>
      <c r="K115" s="43">
        <v>114963588</v>
      </c>
      <c r="L115" s="54" t="s">
        <v>517</v>
      </c>
      <c r="M115" s="43" t="e">
        <v>#VALUE!</v>
      </c>
      <c r="N115" s="72">
        <f t="shared" si="1"/>
        <v>0</v>
      </c>
    </row>
    <row r="116" spans="1:14" x14ac:dyDescent="0.3">
      <c r="A116" s="54">
        <v>115</v>
      </c>
      <c r="B116" s="57" t="s">
        <v>416</v>
      </c>
      <c r="C116" s="57" t="s">
        <v>416</v>
      </c>
      <c r="D116" s="54" t="e">
        <f>VLOOKUP(C116,Days_Since_100!H:I,2,FALSE)</f>
        <v>#N/A</v>
      </c>
      <c r="E116" s="58" t="e">
        <f ca="1">OFFSET(CumulativeConfirmed!A116,-A116,MATCH(Country_Data!D116,CumulativeConfirmed!B116:BT116,0))</f>
        <v>#N/A</v>
      </c>
      <c r="F116" s="43">
        <f>MAX(CumulativeConfirmed!116:116)</f>
        <v>0</v>
      </c>
      <c r="G116" s="43">
        <f>MAX(CumulativeRecovered!116:116)</f>
        <v>0</v>
      </c>
      <c r="H116" s="43">
        <f>MAX(CumulativeDead!116:116)</f>
        <v>0</v>
      </c>
      <c r="K116" s="43">
        <v>400124</v>
      </c>
      <c r="L116" s="54" t="s">
        <v>517</v>
      </c>
      <c r="M116" s="43" t="e">
        <v>#VALUE!</v>
      </c>
      <c r="N116" s="72" t="e">
        <f t="shared" si="1"/>
        <v>#DIV/0!</v>
      </c>
    </row>
    <row r="117" spans="1:14" x14ac:dyDescent="0.3">
      <c r="A117" s="54">
        <v>116</v>
      </c>
      <c r="B117" s="57" t="s">
        <v>421</v>
      </c>
      <c r="C117" s="57" t="s">
        <v>421</v>
      </c>
      <c r="D117" s="54" t="e">
        <f>VLOOKUP(C117,Days_Since_100!H:I,2,FALSE)</f>
        <v>#N/A</v>
      </c>
      <c r="E117" s="58" t="e">
        <f ca="1">OFFSET(CumulativeConfirmed!A117,-A117,MATCH(Country_Data!D117,CumulativeConfirmed!B117:BT117,0))</f>
        <v>#N/A</v>
      </c>
      <c r="F117" s="43">
        <f>MAX(CumulativeConfirmed!117:117)</f>
        <v>1</v>
      </c>
      <c r="G117" s="43">
        <f>MAX(CumulativeRecovered!117:117)</f>
        <v>0</v>
      </c>
      <c r="H117" s="43">
        <f>MAX(CumulativeDead!117:117)</f>
        <v>0</v>
      </c>
      <c r="K117" s="43">
        <v>13132795</v>
      </c>
      <c r="L117" s="54" t="s">
        <v>517</v>
      </c>
      <c r="M117" s="43" t="e">
        <v>#VALUE!</v>
      </c>
      <c r="N117" s="72">
        <f t="shared" si="1"/>
        <v>0</v>
      </c>
    </row>
    <row r="118" spans="1:14" x14ac:dyDescent="0.3">
      <c r="A118" s="54">
        <v>117</v>
      </c>
      <c r="B118" s="57" t="s">
        <v>411</v>
      </c>
      <c r="C118" s="57" t="s">
        <v>411</v>
      </c>
      <c r="D118" s="54" t="e">
        <f>VLOOKUP(C118,Days_Since_100!H:I,2,FALSE)</f>
        <v>#N/A</v>
      </c>
      <c r="E118" s="58" t="e">
        <f ca="1">OFFSET(CumulativeConfirmed!A118,-A118,MATCH(Country_Data!D118,CumulativeConfirmed!B118:BT118,0))</f>
        <v>#N/A</v>
      </c>
      <c r="F118" s="43">
        <f>MAX(CumulativeConfirmed!118:118)</f>
        <v>7</v>
      </c>
      <c r="G118" s="43">
        <f>MAX(CumulativeRecovered!118:118)</f>
        <v>0</v>
      </c>
      <c r="H118" s="43">
        <f>MAX(CumulativeDead!118:118)</f>
        <v>1</v>
      </c>
      <c r="K118" s="43">
        <v>786552</v>
      </c>
      <c r="L118" s="54" t="s">
        <v>517</v>
      </c>
      <c r="M118" s="43" t="e">
        <v>#VALUE!</v>
      </c>
      <c r="N118" s="72">
        <f t="shared" si="1"/>
        <v>0.14285714285714285</v>
      </c>
    </row>
    <row r="119" spans="1:14" x14ac:dyDescent="0.3">
      <c r="A119" s="54">
        <v>118</v>
      </c>
      <c r="B119" s="57" t="s">
        <v>281</v>
      </c>
      <c r="C119" s="57" t="s">
        <v>281</v>
      </c>
      <c r="D119" s="54" t="e">
        <f>VLOOKUP(C119,Days_Since_100!H:I,2,FALSE)</f>
        <v>#N/A</v>
      </c>
      <c r="E119" s="58" t="e">
        <f ca="1">OFFSET(CumulativeConfirmed!A119,-A119,MATCH(Country_Data!D119,CumulativeConfirmed!B119:BT119,0))</f>
        <v>#N/A</v>
      </c>
      <c r="F119" s="43">
        <f>MAX(CumulativeConfirmed!119:119)</f>
        <v>1</v>
      </c>
      <c r="G119" s="43">
        <f>MAX(CumulativeRecovered!119:119)</f>
        <v>0</v>
      </c>
      <c r="H119" s="43">
        <f>MAX(CumulativeDead!119:119)</f>
        <v>0</v>
      </c>
      <c r="K119" s="43">
        <v>801</v>
      </c>
      <c r="L119" s="54" t="s">
        <v>517</v>
      </c>
      <c r="M119" s="43" t="e">
        <v>#VALUE!</v>
      </c>
      <c r="N119" s="72">
        <f t="shared" si="1"/>
        <v>0</v>
      </c>
    </row>
    <row r="120" spans="1:14" x14ac:dyDescent="0.3">
      <c r="A120" s="54">
        <v>119</v>
      </c>
      <c r="B120" s="57" t="s">
        <v>125</v>
      </c>
      <c r="C120" s="57" t="s">
        <v>125</v>
      </c>
      <c r="D120" s="54" t="e">
        <f>VLOOKUP(C120,Days_Since_100!H:I,2,FALSE)</f>
        <v>#N/A</v>
      </c>
      <c r="E120" s="58" t="e">
        <f ca="1">OFFSET(CumulativeConfirmed!A120,-A120,MATCH(Country_Data!D120,CumulativeConfirmed!B120:BT120,0))</f>
        <v>#N/A</v>
      </c>
      <c r="F120" s="43">
        <f>MAX(CumulativeConfirmed!120:120)</f>
        <v>85</v>
      </c>
      <c r="G120" s="43">
        <f>MAX(CumulativeRecovered!120:120)</f>
        <v>1</v>
      </c>
      <c r="H120" s="43">
        <f>MAX(CumulativeDead!120:120)</f>
        <v>0</v>
      </c>
      <c r="K120" s="43">
        <v>10203134</v>
      </c>
      <c r="L120" s="54" t="s">
        <v>517</v>
      </c>
      <c r="M120" s="43" t="e">
        <v>#VALUE!</v>
      </c>
      <c r="N120" s="72">
        <f t="shared" si="1"/>
        <v>0</v>
      </c>
    </row>
    <row r="121" spans="1:14" x14ac:dyDescent="0.3">
      <c r="A121" s="54">
        <v>120</v>
      </c>
      <c r="B121" s="57" t="s">
        <v>423</v>
      </c>
      <c r="C121" s="57" t="s">
        <v>423</v>
      </c>
      <c r="D121" s="54" t="e">
        <f>VLOOKUP(C121,Days_Since_100!H:I,2,FALSE)</f>
        <v>#N/A</v>
      </c>
      <c r="E121" s="58" t="e">
        <f ca="1">OFFSET(CumulativeConfirmed!A121,-A121,MATCH(Country_Data!D121,CumulativeConfirmed!B121:BT121,0))</f>
        <v>#N/A</v>
      </c>
      <c r="F121" s="43">
        <f>MAX(CumulativeConfirmed!121:121)</f>
        <v>7</v>
      </c>
      <c r="G121" s="43">
        <f>MAX(CumulativeRecovered!121:121)</f>
        <v>0</v>
      </c>
      <c r="H121" s="43">
        <f>MAX(CumulativeDead!121:121)</f>
        <v>0</v>
      </c>
      <c r="K121" s="43">
        <v>53771296</v>
      </c>
      <c r="L121" s="54" t="s">
        <v>517</v>
      </c>
      <c r="M121" s="43" t="e">
        <v>#VALUE!</v>
      </c>
      <c r="N121" s="72">
        <f t="shared" si="1"/>
        <v>0</v>
      </c>
    </row>
    <row r="122" spans="1:14" x14ac:dyDescent="0.3">
      <c r="A122" s="54">
        <v>121</v>
      </c>
      <c r="B122" s="57" t="s">
        <v>136</v>
      </c>
      <c r="C122" s="57" t="s">
        <v>136</v>
      </c>
      <c r="D122" s="54" t="e">
        <f>VLOOKUP(C122,Days_Since_100!H:I,2,FALSE)</f>
        <v>#N/A</v>
      </c>
      <c r="E122" s="58" t="e">
        <f ca="1">OFFSET(CumulativeConfirmed!A122,-A122,MATCH(Country_Data!D122,CumulativeConfirmed!B122:BT122,0))</f>
        <v>#N/A</v>
      </c>
      <c r="F122" s="43">
        <f>MAX(CumulativeConfirmed!122:122)</f>
        <v>28</v>
      </c>
      <c r="G122" s="43">
        <f>MAX(CumulativeRecovered!122:122)</f>
        <v>0</v>
      </c>
      <c r="H122" s="43">
        <f>MAX(CumulativeDead!122:122)</f>
        <v>0</v>
      </c>
      <c r="K122" s="43">
        <v>38128</v>
      </c>
      <c r="L122" s="54" t="s">
        <v>517</v>
      </c>
      <c r="M122" s="43" t="e">
        <v>#VALUE!</v>
      </c>
      <c r="N122" s="72">
        <f t="shared" si="1"/>
        <v>0</v>
      </c>
    </row>
    <row r="123" spans="1:14" x14ac:dyDescent="0.3">
      <c r="A123" s="54">
        <v>122</v>
      </c>
      <c r="B123" s="57" t="s">
        <v>282</v>
      </c>
      <c r="C123" s="57" t="s">
        <v>282</v>
      </c>
      <c r="D123" s="54" t="e">
        <f>VLOOKUP(C123,Days_Since_100!H:I,2,FALSE)</f>
        <v>#N/A</v>
      </c>
      <c r="E123" s="58" t="e">
        <f ca="1">OFFSET(CumulativeConfirmed!A123,-A123,MATCH(Country_Data!D123,CumulativeConfirmed!B123:BT123,0))</f>
        <v>#N/A</v>
      </c>
      <c r="F123" s="43">
        <f>MAX(CumulativeConfirmed!123:123)</f>
        <v>6</v>
      </c>
      <c r="G123" s="43">
        <f>MAX(CumulativeRecovered!123:123)</f>
        <v>0</v>
      </c>
      <c r="H123" s="43">
        <f>MAX(CumulativeDead!123:123)</f>
        <v>0</v>
      </c>
      <c r="K123" s="43">
        <v>3278290</v>
      </c>
      <c r="L123" s="54" t="s">
        <v>517</v>
      </c>
      <c r="M123" s="43" t="e">
        <v>#VALUE!</v>
      </c>
      <c r="N123" s="72">
        <f t="shared" si="1"/>
        <v>0</v>
      </c>
    </row>
    <row r="124" spans="1:14" x14ac:dyDescent="0.3">
      <c r="A124" s="54">
        <v>123</v>
      </c>
      <c r="B124" s="57" t="s">
        <v>42</v>
      </c>
      <c r="C124" s="57" t="s">
        <v>42</v>
      </c>
      <c r="D124" s="54" t="e">
        <f>VLOOKUP(C124,Days_Since_100!H:I,2,FALSE)</f>
        <v>#N/A</v>
      </c>
      <c r="E124" s="58" t="e">
        <f ca="1">OFFSET(CumulativeConfirmed!A124,-A124,MATCH(Country_Data!D124,CumulativeConfirmed!B124:BT124,0))</f>
        <v>#N/A</v>
      </c>
      <c r="F124" s="43">
        <f>MAX(CumulativeConfirmed!124:124)</f>
        <v>1</v>
      </c>
      <c r="G124" s="43">
        <f>MAX(CumulativeRecovered!124:124)</f>
        <v>1</v>
      </c>
      <c r="H124" s="43">
        <f>MAX(CumulativeDead!124:124)</f>
        <v>0</v>
      </c>
      <c r="K124" s="43">
        <v>29136808</v>
      </c>
      <c r="L124" s="54" t="s">
        <v>517</v>
      </c>
      <c r="M124" s="43" t="e">
        <v>#VALUE!</v>
      </c>
      <c r="N124" s="72">
        <f t="shared" si="1"/>
        <v>0</v>
      </c>
    </row>
    <row r="125" spans="1:14" x14ac:dyDescent="0.3">
      <c r="A125" s="54">
        <v>124</v>
      </c>
      <c r="B125" s="57" t="s">
        <v>420</v>
      </c>
      <c r="C125" s="57" t="s">
        <v>420</v>
      </c>
      <c r="D125" s="54" t="e">
        <f>VLOOKUP(C125,Days_Since_100!H:I,2,FALSE)</f>
        <v>#N/A</v>
      </c>
      <c r="E125" s="58" t="e">
        <f ca="1">OFFSET(CumulativeConfirmed!A125,-A125,MATCH(Country_Data!D125,CumulativeConfirmed!B125:BT125,0))</f>
        <v>#N/A</v>
      </c>
      <c r="F125" s="43">
        <f>MAX(CumulativeConfirmed!125:125)</f>
        <v>2</v>
      </c>
      <c r="G125" s="43">
        <f>MAX(CumulativeRecovered!125:125)</f>
        <v>0</v>
      </c>
      <c r="H125" s="43">
        <f>MAX(CumulativeDead!125:125)</f>
        <v>1</v>
      </c>
      <c r="K125" s="43">
        <v>43849260</v>
      </c>
      <c r="L125" s="54" t="s">
        <v>517</v>
      </c>
      <c r="M125" s="43" t="e">
        <v>#VALUE!</v>
      </c>
      <c r="N125" s="72">
        <f t="shared" si="1"/>
        <v>0.5</v>
      </c>
    </row>
    <row r="126" spans="1:14" x14ac:dyDescent="0.3">
      <c r="A126" s="54">
        <v>125</v>
      </c>
      <c r="B126" s="54" t="e">
        <f>VLOOKUP(A125,Days_Since_100!G:H,2,FALSE)</f>
        <v>#N/A</v>
      </c>
      <c r="C126" s="54" t="e">
        <f>VLOOKUP(B127,Days_Since_100!H:I,2,FALSE)</f>
        <v>#N/A</v>
      </c>
      <c r="D126" s="54" t="e">
        <f>VLOOKUP(C126,Days_Since_100!H:I,2,FALSE)</f>
        <v>#N/A</v>
      </c>
      <c r="E126" s="43">
        <f>MAX(CumulativeConfirmed!126:126)</f>
        <v>9</v>
      </c>
      <c r="G126" s="43">
        <f>MAX(CumulativeRecovered!126:126)</f>
        <v>1</v>
      </c>
      <c r="H126" s="43">
        <f>MAX(CumulativeDead!126:126)</f>
        <v>0</v>
      </c>
      <c r="K126" s="43" t="e">
        <v>#N/A</v>
      </c>
      <c r="L126" s="54" t="s">
        <v>517</v>
      </c>
      <c r="M126" s="43" t="e">
        <v>#N/A</v>
      </c>
      <c r="N126" s="72" t="e">
        <f t="shared" si="1"/>
        <v>#DIV/0!</v>
      </c>
    </row>
    <row r="127" spans="1:14" x14ac:dyDescent="0.3">
      <c r="B127" s="57" t="s">
        <v>163</v>
      </c>
      <c r="G127" s="43">
        <f>MAX(CumulativeRecovered!127:127)</f>
        <v>0</v>
      </c>
      <c r="H127" s="43">
        <f>MAX(CumulativeDead!127:127)</f>
        <v>0</v>
      </c>
      <c r="K127" s="43">
        <v>8278724</v>
      </c>
      <c r="L127" s="54" t="s">
        <v>517</v>
      </c>
      <c r="M127" s="43" t="e">
        <v>#VALUE!</v>
      </c>
      <c r="N127" s="72" t="e">
        <f t="shared" si="1"/>
        <v>#DIV/0!</v>
      </c>
    </row>
  </sheetData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T126"/>
  <sheetViews>
    <sheetView workbookViewId="0">
      <pane xSplit="1" ySplit="1" topLeftCell="AZ2" activePane="bottomRight" state="frozen"/>
      <selection pane="topRight" activeCell="B1" sqref="B1"/>
      <selection pane="bottomLeft" activeCell="A2" sqref="A2"/>
      <selection pane="bottomRight" activeCell="A2" sqref="A2:BX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SUMIF(ConfirmedRaw!$B:$B,$A2,ConfirmedRaw!E:E)</f>
        <v>548</v>
      </c>
      <c r="C2">
        <f>SUMIF(ConfirmedRaw!$B:$B,$A2,ConfirmedRaw!F:F)</f>
        <v>643</v>
      </c>
      <c r="D2">
        <f>SUMIF(ConfirmedRaw!$B:$B,$A2,ConfirmedRaw!G:G)</f>
        <v>920</v>
      </c>
      <c r="E2">
        <f>SUMIF(ConfirmedRaw!$B:$B,$A2,ConfirmedRaw!H:H)</f>
        <v>1406</v>
      </c>
      <c r="F2">
        <f>SUMIF(ConfirmedRaw!$B:$B,$A2,ConfirmedRaw!I:I)</f>
        <v>2075</v>
      </c>
      <c r="G2">
        <f>SUMIF(ConfirmedRaw!$B:$B,$A2,ConfirmedRaw!J:J)</f>
        <v>2877</v>
      </c>
      <c r="H2">
        <f>SUMIF(ConfirmedRaw!$B:$B,$A2,ConfirmedRaw!K:K)</f>
        <v>5509</v>
      </c>
      <c r="I2">
        <f>SUMIF(ConfirmedRaw!$B:$B,$A2,ConfirmedRaw!L:L)</f>
        <v>6087</v>
      </c>
      <c r="J2">
        <f>SUMIF(ConfirmedRaw!$B:$B,$A2,ConfirmedRaw!M:M)</f>
        <v>8141</v>
      </c>
      <c r="K2">
        <f>SUMIF(ConfirmedRaw!$B:$B,$A2,ConfirmedRaw!N:N)</f>
        <v>9802</v>
      </c>
      <c r="L2">
        <f>SUMIF(ConfirmedRaw!$B:$B,$A2,ConfirmedRaw!O:O)</f>
        <v>11891</v>
      </c>
      <c r="M2">
        <f>SUMIF(ConfirmedRaw!$B:$B,$A2,ConfirmedRaw!P:P)</f>
        <v>16630</v>
      </c>
      <c r="N2">
        <f>SUMIF(ConfirmedRaw!$B:$B,$A2,ConfirmedRaw!Q:Q)</f>
        <v>19716</v>
      </c>
      <c r="O2">
        <f>SUMIF(ConfirmedRaw!$B:$B,$A2,ConfirmedRaw!R:R)</f>
        <v>23707</v>
      </c>
      <c r="P2">
        <f>SUMIF(ConfirmedRaw!$B:$B,$A2,ConfirmedRaw!S:S)</f>
        <v>27440</v>
      </c>
      <c r="Q2">
        <f>SUMIF(ConfirmedRaw!$B:$B,$A2,ConfirmedRaw!T:T)</f>
        <v>30587</v>
      </c>
      <c r="R2">
        <f>SUMIF(ConfirmedRaw!$B:$B,$A2,ConfirmedRaw!U:U)</f>
        <v>34110</v>
      </c>
      <c r="S2">
        <f>SUMIF(ConfirmedRaw!$B:$B,$A2,ConfirmedRaw!V:V)</f>
        <v>36814</v>
      </c>
      <c r="T2">
        <f>SUMIF(ConfirmedRaw!$B:$B,$A2,ConfirmedRaw!W:W)</f>
        <v>39829</v>
      </c>
      <c r="U2">
        <f>SUMIF(ConfirmedRaw!$B:$B,$A2,ConfirmedRaw!X:X)</f>
        <v>42354</v>
      </c>
      <c r="V2">
        <f>SUMIF(ConfirmedRaw!$B:$B,$A2,ConfirmedRaw!Y:Y)</f>
        <v>44386</v>
      </c>
      <c r="W2">
        <f>SUMIF(ConfirmedRaw!$B:$B,$A2,ConfirmedRaw!Z:Z)</f>
        <v>44759</v>
      </c>
      <c r="X2">
        <f>SUMIF(ConfirmedRaw!$B:$B,$A2,ConfirmedRaw!AA:AA)</f>
        <v>59895</v>
      </c>
      <c r="Y2">
        <f>SUMIF(ConfirmedRaw!$B:$B,$A2,ConfirmedRaw!AB:AB)</f>
        <v>66358</v>
      </c>
      <c r="Z2">
        <f>SUMIF(ConfirmedRaw!$B:$B,$A2,ConfirmedRaw!AC:AC)</f>
        <v>68413</v>
      </c>
      <c r="AA2">
        <f>SUMIF(ConfirmedRaw!$B:$B,$A2,ConfirmedRaw!AD:AD)</f>
        <v>70513</v>
      </c>
      <c r="AB2">
        <f>SUMIF(ConfirmedRaw!$B:$B,$A2,ConfirmedRaw!AE:AE)</f>
        <v>72434</v>
      </c>
      <c r="AC2">
        <f>SUMIF(ConfirmedRaw!$B:$B,$A2,ConfirmedRaw!AF:AF)</f>
        <v>74211</v>
      </c>
      <c r="AD2">
        <f>SUMIF(ConfirmedRaw!$B:$B,$A2,ConfirmedRaw!AG:AG)</f>
        <v>74619</v>
      </c>
      <c r="AE2">
        <f>SUMIF(ConfirmedRaw!$B:$B,$A2,ConfirmedRaw!AH:AH)</f>
        <v>75077</v>
      </c>
      <c r="AF2">
        <f>SUMIF(ConfirmedRaw!$B:$B,$A2,ConfirmedRaw!AI:AI)</f>
        <v>75550</v>
      </c>
      <c r="AG2">
        <f>SUMIF(ConfirmedRaw!$B:$B,$A2,ConfirmedRaw!AJ:AJ)</f>
        <v>77001</v>
      </c>
      <c r="AH2">
        <f>SUMIF(ConfirmedRaw!$B:$B,$A2,ConfirmedRaw!AK:AK)</f>
        <v>77022</v>
      </c>
      <c r="AI2">
        <f>SUMIF(ConfirmedRaw!$B:$B,$A2,ConfirmedRaw!AL:AL)</f>
        <v>77241</v>
      </c>
      <c r="AJ2">
        <f>SUMIF(ConfirmedRaw!$B:$B,$A2,ConfirmedRaw!AM:AM)</f>
        <v>77754</v>
      </c>
      <c r="AK2">
        <f>SUMIF(ConfirmedRaw!$B:$B,$A2,ConfirmedRaw!AN:AN)</f>
        <v>78166</v>
      </c>
      <c r="AL2">
        <f>SUMIF(ConfirmedRaw!$B:$B,$A2,ConfirmedRaw!AO:AO)</f>
        <v>78600</v>
      </c>
      <c r="AM2">
        <f>SUMIF(ConfirmedRaw!$B:$B,$A2,ConfirmedRaw!AP:AP)</f>
        <v>78928</v>
      </c>
      <c r="AN2">
        <f>SUMIF(ConfirmedRaw!$B:$B,$A2,ConfirmedRaw!AQ:AQ)</f>
        <v>79356</v>
      </c>
      <c r="AO2">
        <f>SUMIF(ConfirmedRaw!$B:$B,$A2,ConfirmedRaw!AR:AR)</f>
        <v>79932</v>
      </c>
      <c r="AP2">
        <f>SUMIF(ConfirmedRaw!$B:$B,$A2,ConfirmedRaw!AS:AS)</f>
        <v>80136</v>
      </c>
      <c r="AQ2">
        <f>SUMIF(ConfirmedRaw!$B:$B,$A2,ConfirmedRaw!AT:AT)</f>
        <v>80261</v>
      </c>
      <c r="AR2">
        <f>SUMIF(ConfirmedRaw!$B:$B,$A2,ConfirmedRaw!AU:AU)</f>
        <v>80386</v>
      </c>
      <c r="AS2">
        <f>SUMIF(ConfirmedRaw!$B:$B,$A2,ConfirmedRaw!AV:AV)</f>
        <v>80537</v>
      </c>
      <c r="AT2">
        <f>SUMIF(ConfirmedRaw!$B:$B,$A2,ConfirmedRaw!AW:AW)</f>
        <v>80690</v>
      </c>
      <c r="AU2">
        <f>SUMIF(ConfirmedRaw!$B:$B,$A2,ConfirmedRaw!AX:AX)</f>
        <v>80770</v>
      </c>
      <c r="AV2">
        <f>SUMIF(ConfirmedRaw!$B:$B,$A2,ConfirmedRaw!AY:AY)</f>
        <v>80823</v>
      </c>
      <c r="AW2">
        <f>SUMIF(ConfirmedRaw!$B:$B,$A2,ConfirmedRaw!AZ:AZ)</f>
        <v>80860</v>
      </c>
      <c r="AX2">
        <f>SUMIF(ConfirmedRaw!$B:$B,$A2,ConfirmedRaw!BA:BA)</f>
        <v>80887</v>
      </c>
      <c r="AY2">
        <f>SUMIF(ConfirmedRaw!$B:$B,$A2,ConfirmedRaw!BB:BB)</f>
        <v>80921</v>
      </c>
      <c r="AZ2">
        <f>SUMIF(ConfirmedRaw!$B:$B,$A2,ConfirmedRaw!BC:BC)</f>
        <v>80932</v>
      </c>
      <c r="BA2">
        <f>SUMIF(ConfirmedRaw!$B:$B,$A2,ConfirmedRaw!BD:BD)</f>
        <v>80945</v>
      </c>
      <c r="BB2">
        <f>SUMIF(ConfirmedRaw!$B:$B,$A2,ConfirmedRaw!BE:BE)</f>
        <v>80977</v>
      </c>
      <c r="BC2">
        <f>SUMIF(ConfirmedRaw!$B:$B,$A2,ConfirmedRaw!BF:BF)</f>
        <v>81003</v>
      </c>
      <c r="BD2">
        <f>SUMIF(ConfirmedRaw!$B:$B,$A2,ConfirmedRaw!BG:BG)</f>
        <v>81033</v>
      </c>
      <c r="BE2">
        <f>SUMIF(ConfirmedRaw!$B:$B,$A2,ConfirmedRaw!BH:BH)</f>
        <v>81058</v>
      </c>
      <c r="BF2">
        <f>SUMIF(ConfirmedRaw!$B:$B,$A2,ConfirmedRaw!BI:BI)</f>
        <v>81102</v>
      </c>
      <c r="BG2">
        <f>SUMIF(ConfirmedRaw!$B:$B,$A2,ConfirmedRaw!BJ:BJ)</f>
        <v>81156</v>
      </c>
      <c r="BH2">
        <f>SUMIF(ConfirmedRaw!$B:$B,$A2,ConfirmedRaw!BK:BK)</f>
        <v>81250</v>
      </c>
      <c r="BI2">
        <f>SUMIF(ConfirmedRaw!$B:$B,$A2,ConfirmedRaw!BL:BL)</f>
        <v>0</v>
      </c>
      <c r="BJ2">
        <f>SUMIF(ConfirmedRaw!$B:$B,$A2,ConfirmedRaw!BM:BM)</f>
        <v>0</v>
      </c>
      <c r="BK2">
        <f>SUMIF(ConfirmedRaw!$B:$B,$A2,ConfirmedRaw!BN:BN)</f>
        <v>0</v>
      </c>
      <c r="BL2">
        <f>SUMIF(ConfirmedRaw!$B:$B,$A2,ConfirmedRaw!BO:BO)</f>
        <v>0</v>
      </c>
      <c r="BM2">
        <f>SUMIF(ConfirmedRaw!$B:$B,$A2,ConfirmedRaw!BP:BP)</f>
        <v>0</v>
      </c>
      <c r="BN2">
        <f>SUMIF(ConfirmedRaw!$B:$B,$A2,ConfirmedRaw!BQ:BQ)</f>
        <v>0</v>
      </c>
      <c r="BO2">
        <f>SUMIF(ConfirmedRaw!$B:$B,$A2,ConfirmedRaw!BR:BR)</f>
        <v>0</v>
      </c>
      <c r="BP2">
        <f>SUMIF(ConfirmedRaw!$B:$B,$A2,ConfirmedRaw!BS:BS)</f>
        <v>0</v>
      </c>
      <c r="BQ2">
        <f>SUMIF(ConfirmedRaw!$B:$B,$A2,ConfirmedRaw!BT:BT)</f>
        <v>0</v>
      </c>
      <c r="BR2">
        <f>SUMIF(ConfirmedRaw!$B:$B,$A2,ConfirmedRaw!BU:BU)</f>
        <v>0</v>
      </c>
      <c r="BS2">
        <f>SUMIF(ConfirmedRaw!$B:$B,$A2,ConfirmedRaw!BV:BV)</f>
        <v>0</v>
      </c>
      <c r="BT2">
        <f>SUMIF(ConfirmedRaw!$B:$B,$A2,ConfirmedRaw!BW:BW)</f>
        <v>0</v>
      </c>
    </row>
    <row r="3" spans="1:72" ht="15" thickBot="1" x14ac:dyDescent="0.35">
      <c r="A3" s="3" t="s">
        <v>58</v>
      </c>
      <c r="B3">
        <f>SUMIF(ConfirmedRaw!$B:$B,$A3,ConfirmedRaw!E:E)</f>
        <v>0</v>
      </c>
      <c r="C3">
        <f>SUMIF(ConfirmedRaw!$B:$B,$A3,ConfirmedRaw!F:F)</f>
        <v>0</v>
      </c>
      <c r="D3">
        <f>SUMIF(ConfirmedRaw!$B:$B,$A3,ConfirmedRaw!G:G)</f>
        <v>0</v>
      </c>
      <c r="E3">
        <f>SUMIF(ConfirmedRaw!$B:$B,$A3,ConfirmedRaw!H:H)</f>
        <v>0</v>
      </c>
      <c r="F3">
        <f>SUMIF(ConfirmedRaw!$B:$B,$A3,ConfirmedRaw!I:I)</f>
        <v>0</v>
      </c>
      <c r="G3">
        <f>SUMIF(ConfirmedRaw!$B:$B,$A3,ConfirmedRaw!J:J)</f>
        <v>0</v>
      </c>
      <c r="H3">
        <f>SUMIF(ConfirmedRaw!$B:$B,$A3,ConfirmedRaw!K:K)</f>
        <v>0</v>
      </c>
      <c r="I3">
        <f>SUMIF(ConfirmedRaw!$B:$B,$A3,ConfirmedRaw!L:L)</f>
        <v>0</v>
      </c>
      <c r="J3">
        <f>SUMIF(ConfirmedRaw!$B:$B,$A3,ConfirmedRaw!M:M)</f>
        <v>0</v>
      </c>
      <c r="K3">
        <f>SUMIF(ConfirmedRaw!$B:$B,$A3,ConfirmedRaw!N:N)</f>
        <v>2</v>
      </c>
      <c r="L3">
        <f>SUMIF(ConfirmedRaw!$B:$B,$A3,ConfirmedRaw!O:O)</f>
        <v>2</v>
      </c>
      <c r="M3">
        <f>SUMIF(ConfirmedRaw!$B:$B,$A3,ConfirmedRaw!P:P)</f>
        <v>2</v>
      </c>
      <c r="N3">
        <f>SUMIF(ConfirmedRaw!$B:$B,$A3,ConfirmedRaw!Q:Q)</f>
        <v>2</v>
      </c>
      <c r="O3">
        <f>SUMIF(ConfirmedRaw!$B:$B,$A3,ConfirmedRaw!R:R)</f>
        <v>2</v>
      </c>
      <c r="P3">
        <f>SUMIF(ConfirmedRaw!$B:$B,$A3,ConfirmedRaw!S:S)</f>
        <v>2</v>
      </c>
      <c r="Q3">
        <f>SUMIF(ConfirmedRaw!$B:$B,$A3,ConfirmedRaw!T:T)</f>
        <v>2</v>
      </c>
      <c r="R3">
        <f>SUMIF(ConfirmedRaw!$B:$B,$A3,ConfirmedRaw!U:U)</f>
        <v>3</v>
      </c>
      <c r="S3">
        <f>SUMIF(ConfirmedRaw!$B:$B,$A3,ConfirmedRaw!V:V)</f>
        <v>3</v>
      </c>
      <c r="T3">
        <f>SUMIF(ConfirmedRaw!$B:$B,$A3,ConfirmedRaw!W:W)</f>
        <v>3</v>
      </c>
      <c r="U3">
        <f>SUMIF(ConfirmedRaw!$B:$B,$A3,ConfirmedRaw!X:X)</f>
        <v>3</v>
      </c>
      <c r="V3">
        <f>SUMIF(ConfirmedRaw!$B:$B,$A3,ConfirmedRaw!Y:Y)</f>
        <v>3</v>
      </c>
      <c r="W3">
        <f>SUMIF(ConfirmedRaw!$B:$B,$A3,ConfirmedRaw!Z:Z)</f>
        <v>3</v>
      </c>
      <c r="X3">
        <f>SUMIF(ConfirmedRaw!$B:$B,$A3,ConfirmedRaw!AA:AA)</f>
        <v>3</v>
      </c>
      <c r="Y3">
        <f>SUMIF(ConfirmedRaw!$B:$B,$A3,ConfirmedRaw!AB:AB)</f>
        <v>3</v>
      </c>
      <c r="Z3">
        <f>SUMIF(ConfirmedRaw!$B:$B,$A3,ConfirmedRaw!AC:AC)</f>
        <v>3</v>
      </c>
      <c r="AA3">
        <f>SUMIF(ConfirmedRaw!$B:$B,$A3,ConfirmedRaw!AD:AD)</f>
        <v>3</v>
      </c>
      <c r="AB3">
        <f>SUMIF(ConfirmedRaw!$B:$B,$A3,ConfirmedRaw!AE:AE)</f>
        <v>3</v>
      </c>
      <c r="AC3">
        <f>SUMIF(ConfirmedRaw!$B:$B,$A3,ConfirmedRaw!AF:AF)</f>
        <v>3</v>
      </c>
      <c r="AD3">
        <f>SUMIF(ConfirmedRaw!$B:$B,$A3,ConfirmedRaw!AG:AG)</f>
        <v>3</v>
      </c>
      <c r="AE3">
        <f>SUMIF(ConfirmedRaw!$B:$B,$A3,ConfirmedRaw!AH:AH)</f>
        <v>3</v>
      </c>
      <c r="AF3">
        <f>SUMIF(ConfirmedRaw!$B:$B,$A3,ConfirmedRaw!AI:AI)</f>
        <v>20</v>
      </c>
      <c r="AG3">
        <f>SUMIF(ConfirmedRaw!$B:$B,$A3,ConfirmedRaw!AJ:AJ)</f>
        <v>62</v>
      </c>
      <c r="AH3">
        <f>SUMIF(ConfirmedRaw!$B:$B,$A3,ConfirmedRaw!AK:AK)</f>
        <v>155</v>
      </c>
      <c r="AI3">
        <f>SUMIF(ConfirmedRaw!$B:$B,$A3,ConfirmedRaw!AL:AL)</f>
        <v>229</v>
      </c>
      <c r="AJ3">
        <f>SUMIF(ConfirmedRaw!$B:$B,$A3,ConfirmedRaw!AM:AM)</f>
        <v>322</v>
      </c>
      <c r="AK3">
        <f>SUMIF(ConfirmedRaw!$B:$B,$A3,ConfirmedRaw!AN:AN)</f>
        <v>453</v>
      </c>
      <c r="AL3">
        <f>SUMIF(ConfirmedRaw!$B:$B,$A3,ConfirmedRaw!AO:AO)</f>
        <v>655</v>
      </c>
      <c r="AM3">
        <f>SUMIF(ConfirmedRaw!$B:$B,$A3,ConfirmedRaw!AP:AP)</f>
        <v>888</v>
      </c>
      <c r="AN3">
        <f>SUMIF(ConfirmedRaw!$B:$B,$A3,ConfirmedRaw!AQ:AQ)</f>
        <v>1128</v>
      </c>
      <c r="AO3">
        <f>SUMIF(ConfirmedRaw!$B:$B,$A3,ConfirmedRaw!AR:AR)</f>
        <v>1694</v>
      </c>
      <c r="AP3">
        <f>SUMIF(ConfirmedRaw!$B:$B,$A3,ConfirmedRaw!AS:AS)</f>
        <v>2036</v>
      </c>
      <c r="AQ3">
        <f>SUMIF(ConfirmedRaw!$B:$B,$A3,ConfirmedRaw!AT:AT)</f>
        <v>2502</v>
      </c>
      <c r="AR3">
        <f>SUMIF(ConfirmedRaw!$B:$B,$A3,ConfirmedRaw!AU:AU)</f>
        <v>3089</v>
      </c>
      <c r="AS3">
        <f>SUMIF(ConfirmedRaw!$B:$B,$A3,ConfirmedRaw!AV:AV)</f>
        <v>3858</v>
      </c>
      <c r="AT3">
        <f>SUMIF(ConfirmedRaw!$B:$B,$A3,ConfirmedRaw!AW:AW)</f>
        <v>4636</v>
      </c>
      <c r="AU3">
        <f>SUMIF(ConfirmedRaw!$B:$B,$A3,ConfirmedRaw!AX:AX)</f>
        <v>5883</v>
      </c>
      <c r="AV3">
        <f>SUMIF(ConfirmedRaw!$B:$B,$A3,ConfirmedRaw!AY:AY)</f>
        <v>7375</v>
      </c>
      <c r="AW3">
        <f>SUMIF(ConfirmedRaw!$B:$B,$A3,ConfirmedRaw!AZ:AZ)</f>
        <v>9172</v>
      </c>
      <c r="AX3">
        <f>SUMIF(ConfirmedRaw!$B:$B,$A3,ConfirmedRaw!BA:BA)</f>
        <v>10149</v>
      </c>
      <c r="AY3">
        <f>SUMIF(ConfirmedRaw!$B:$B,$A3,ConfirmedRaw!BB:BB)</f>
        <v>12462</v>
      </c>
      <c r="AZ3">
        <f>SUMIF(ConfirmedRaw!$B:$B,$A3,ConfirmedRaw!BC:BC)</f>
        <v>12462</v>
      </c>
      <c r="BA3">
        <f>SUMIF(ConfirmedRaw!$B:$B,$A3,ConfirmedRaw!BD:BD)</f>
        <v>17660</v>
      </c>
      <c r="BB3">
        <f>SUMIF(ConfirmedRaw!$B:$B,$A3,ConfirmedRaw!BE:BE)</f>
        <v>21157</v>
      </c>
      <c r="BC3">
        <f>SUMIF(ConfirmedRaw!$B:$B,$A3,ConfirmedRaw!BF:BF)</f>
        <v>24747</v>
      </c>
      <c r="BD3">
        <f>SUMIF(ConfirmedRaw!$B:$B,$A3,ConfirmedRaw!BG:BG)</f>
        <v>27980</v>
      </c>
      <c r="BE3">
        <f>SUMIF(ConfirmedRaw!$B:$B,$A3,ConfirmedRaw!BH:BH)</f>
        <v>31506</v>
      </c>
      <c r="BF3">
        <f>SUMIF(ConfirmedRaw!$B:$B,$A3,ConfirmedRaw!BI:BI)</f>
        <v>35713</v>
      </c>
      <c r="BG3">
        <f>SUMIF(ConfirmedRaw!$B:$B,$A3,ConfirmedRaw!BJ:BJ)</f>
        <v>41035</v>
      </c>
      <c r="BH3">
        <f>SUMIF(ConfirmedRaw!$B:$B,$A3,ConfirmedRaw!BK:BK)</f>
        <v>47021</v>
      </c>
      <c r="BI3">
        <f>SUMIF(ConfirmedRaw!$B:$B,$A3,ConfirmedRaw!BL:BL)</f>
        <v>0</v>
      </c>
      <c r="BJ3">
        <f>SUMIF(ConfirmedRaw!$B:$B,$A3,ConfirmedRaw!BM:BM)</f>
        <v>0</v>
      </c>
      <c r="BK3">
        <f>SUMIF(ConfirmedRaw!$B:$B,$A3,ConfirmedRaw!BN:BN)</f>
        <v>0</v>
      </c>
      <c r="BL3">
        <f>SUMIF(ConfirmedRaw!$B:$B,$A3,ConfirmedRaw!BO:BO)</f>
        <v>0</v>
      </c>
      <c r="BM3">
        <f>SUMIF(ConfirmedRaw!$B:$B,$A3,ConfirmedRaw!BP:BP)</f>
        <v>0</v>
      </c>
      <c r="BN3">
        <f>SUMIF(ConfirmedRaw!$B:$B,$A3,ConfirmedRaw!BQ:BQ)</f>
        <v>0</v>
      </c>
      <c r="BO3">
        <f>SUMIF(ConfirmedRaw!$B:$B,$A3,ConfirmedRaw!BR:BR)</f>
        <v>0</v>
      </c>
      <c r="BP3">
        <f>SUMIF(ConfirmedRaw!$B:$B,$A3,ConfirmedRaw!BS:BS)</f>
        <v>0</v>
      </c>
      <c r="BQ3">
        <f>SUMIF(ConfirmedRaw!$B:$B,$A3,ConfirmedRaw!BT:BT)</f>
        <v>0</v>
      </c>
      <c r="BR3">
        <f>SUMIF(ConfirmedRaw!$B:$B,$A3,ConfirmedRaw!BU:BU)</f>
        <v>0</v>
      </c>
      <c r="BS3">
        <f>SUMIF(ConfirmedRaw!$B:$B,$A3,ConfirmedRaw!BV:BV)</f>
        <v>0</v>
      </c>
      <c r="BT3">
        <f>SUMIF(ConfirmedRaw!$B:$B,$A3,ConfirmedRaw!BW:BW)</f>
        <v>0</v>
      </c>
    </row>
    <row r="4" spans="1:72" ht="15" thickBot="1" x14ac:dyDescent="0.35">
      <c r="A4" s="4" t="s">
        <v>338</v>
      </c>
      <c r="B4">
        <f>SUMIF(ConfirmedRaw!$B:$B,$A4,ConfirmedRaw!E:E)</f>
        <v>0</v>
      </c>
      <c r="C4">
        <f>SUMIF(ConfirmedRaw!$B:$B,$A4,ConfirmedRaw!F:F)</f>
        <v>0</v>
      </c>
      <c r="D4">
        <f>SUMIF(ConfirmedRaw!$B:$B,$A4,ConfirmedRaw!G:G)</f>
        <v>0</v>
      </c>
      <c r="E4">
        <f>SUMIF(ConfirmedRaw!$B:$B,$A4,ConfirmedRaw!H:H)</f>
        <v>0</v>
      </c>
      <c r="F4">
        <f>SUMIF(ConfirmedRaw!$B:$B,$A4,ConfirmedRaw!I:I)</f>
        <v>0</v>
      </c>
      <c r="G4">
        <f>SUMIF(ConfirmedRaw!$B:$B,$A4,ConfirmedRaw!J:J)</f>
        <v>0</v>
      </c>
      <c r="H4">
        <f>SUMIF(ConfirmedRaw!$B:$B,$A4,ConfirmedRaw!K:K)</f>
        <v>0</v>
      </c>
      <c r="I4">
        <f>SUMIF(ConfirmedRaw!$B:$B,$A4,ConfirmedRaw!L:L)</f>
        <v>0</v>
      </c>
      <c r="J4">
        <f>SUMIF(ConfirmedRaw!$B:$B,$A4,ConfirmedRaw!M:M)</f>
        <v>0</v>
      </c>
      <c r="K4">
        <f>SUMIF(ConfirmedRaw!$B:$B,$A4,ConfirmedRaw!N:N)</f>
        <v>0</v>
      </c>
      <c r="L4">
        <f>SUMIF(ConfirmedRaw!$B:$B,$A4,ConfirmedRaw!O:O)</f>
        <v>0</v>
      </c>
      <c r="M4">
        <f>SUMIF(ConfirmedRaw!$B:$B,$A4,ConfirmedRaw!P:P)</f>
        <v>0</v>
      </c>
      <c r="N4">
        <f>SUMIF(ConfirmedRaw!$B:$B,$A4,ConfirmedRaw!Q:Q)</f>
        <v>0</v>
      </c>
      <c r="O4">
        <f>SUMIF(ConfirmedRaw!$B:$B,$A4,ConfirmedRaw!R:R)</f>
        <v>0</v>
      </c>
      <c r="P4">
        <f>SUMIF(ConfirmedRaw!$B:$B,$A4,ConfirmedRaw!S:S)</f>
        <v>0</v>
      </c>
      <c r="Q4">
        <f>SUMIF(ConfirmedRaw!$B:$B,$A4,ConfirmedRaw!T:T)</f>
        <v>0</v>
      </c>
      <c r="R4">
        <f>SUMIF(ConfirmedRaw!$B:$B,$A4,ConfirmedRaw!U:U)</f>
        <v>0</v>
      </c>
      <c r="S4">
        <f>SUMIF(ConfirmedRaw!$B:$B,$A4,ConfirmedRaw!V:V)</f>
        <v>0</v>
      </c>
      <c r="T4">
        <f>SUMIF(ConfirmedRaw!$B:$B,$A4,ConfirmedRaw!W:W)</f>
        <v>0</v>
      </c>
      <c r="U4">
        <f>SUMIF(ConfirmedRaw!$B:$B,$A4,ConfirmedRaw!X:X)</f>
        <v>0</v>
      </c>
      <c r="V4">
        <f>SUMIF(ConfirmedRaw!$B:$B,$A4,ConfirmedRaw!Y:Y)</f>
        <v>0</v>
      </c>
      <c r="W4">
        <f>SUMIF(ConfirmedRaw!$B:$B,$A4,ConfirmedRaw!Z:Z)</f>
        <v>0</v>
      </c>
      <c r="X4">
        <f>SUMIF(ConfirmedRaw!$B:$B,$A4,ConfirmedRaw!AA:AA)</f>
        <v>0</v>
      </c>
      <c r="Y4">
        <f>SUMIF(ConfirmedRaw!$B:$B,$A4,ConfirmedRaw!AB:AB)</f>
        <v>0</v>
      </c>
      <c r="Z4">
        <f>SUMIF(ConfirmedRaw!$B:$B,$A4,ConfirmedRaw!AC:AC)</f>
        <v>0</v>
      </c>
      <c r="AA4">
        <f>SUMIF(ConfirmedRaw!$B:$B,$A4,ConfirmedRaw!AD:AD)</f>
        <v>0</v>
      </c>
      <c r="AB4">
        <f>SUMIF(ConfirmedRaw!$B:$B,$A4,ConfirmedRaw!AE:AE)</f>
        <v>0</v>
      </c>
      <c r="AC4">
        <f>SUMIF(ConfirmedRaw!$B:$B,$A4,ConfirmedRaw!AF:AF)</f>
        <v>0</v>
      </c>
      <c r="AD4">
        <f>SUMIF(ConfirmedRaw!$B:$B,$A4,ConfirmedRaw!AG:AG)</f>
        <v>2</v>
      </c>
      <c r="AE4">
        <f>SUMIF(ConfirmedRaw!$B:$B,$A4,ConfirmedRaw!AH:AH)</f>
        <v>5</v>
      </c>
      <c r="AF4">
        <f>SUMIF(ConfirmedRaw!$B:$B,$A4,ConfirmedRaw!AI:AI)</f>
        <v>18</v>
      </c>
      <c r="AG4">
        <f>SUMIF(ConfirmedRaw!$B:$B,$A4,ConfirmedRaw!AJ:AJ)</f>
        <v>28</v>
      </c>
      <c r="AH4">
        <f>SUMIF(ConfirmedRaw!$B:$B,$A4,ConfirmedRaw!AK:AK)</f>
        <v>43</v>
      </c>
      <c r="AI4">
        <f>SUMIF(ConfirmedRaw!$B:$B,$A4,ConfirmedRaw!AL:AL)</f>
        <v>61</v>
      </c>
      <c r="AJ4">
        <f>SUMIF(ConfirmedRaw!$B:$B,$A4,ConfirmedRaw!AM:AM)</f>
        <v>95</v>
      </c>
      <c r="AK4">
        <f>SUMIF(ConfirmedRaw!$B:$B,$A4,ConfirmedRaw!AN:AN)</f>
        <v>139</v>
      </c>
      <c r="AL4">
        <f>SUMIF(ConfirmedRaw!$B:$B,$A4,ConfirmedRaw!AO:AO)</f>
        <v>245</v>
      </c>
      <c r="AM4">
        <f>SUMIF(ConfirmedRaw!$B:$B,$A4,ConfirmedRaw!AP:AP)</f>
        <v>388</v>
      </c>
      <c r="AN4">
        <f>SUMIF(ConfirmedRaw!$B:$B,$A4,ConfirmedRaw!AQ:AQ)</f>
        <v>593</v>
      </c>
      <c r="AO4">
        <f>SUMIF(ConfirmedRaw!$B:$B,$A4,ConfirmedRaw!AR:AR)</f>
        <v>978</v>
      </c>
      <c r="AP4">
        <f>SUMIF(ConfirmedRaw!$B:$B,$A4,ConfirmedRaw!AS:AS)</f>
        <v>1501</v>
      </c>
      <c r="AQ4">
        <f>SUMIF(ConfirmedRaw!$B:$B,$A4,ConfirmedRaw!AT:AT)</f>
        <v>2336</v>
      </c>
      <c r="AR4">
        <f>SUMIF(ConfirmedRaw!$B:$B,$A4,ConfirmedRaw!AU:AU)</f>
        <v>2922</v>
      </c>
      <c r="AS4">
        <f>SUMIF(ConfirmedRaw!$B:$B,$A4,ConfirmedRaw!AV:AV)</f>
        <v>3513</v>
      </c>
      <c r="AT4">
        <f>SUMIF(ConfirmedRaw!$B:$B,$A4,ConfirmedRaw!AW:AW)</f>
        <v>4747</v>
      </c>
      <c r="AU4">
        <f>SUMIF(ConfirmedRaw!$B:$B,$A4,ConfirmedRaw!AX:AX)</f>
        <v>5823</v>
      </c>
      <c r="AV4">
        <f>SUMIF(ConfirmedRaw!$B:$B,$A4,ConfirmedRaw!AY:AY)</f>
        <v>6566</v>
      </c>
      <c r="AW4">
        <f>SUMIF(ConfirmedRaw!$B:$B,$A4,ConfirmedRaw!AZ:AZ)</f>
        <v>7161</v>
      </c>
      <c r="AX4">
        <f>SUMIF(ConfirmedRaw!$B:$B,$A4,ConfirmedRaw!BA:BA)</f>
        <v>8042</v>
      </c>
      <c r="AY4">
        <f>SUMIF(ConfirmedRaw!$B:$B,$A4,ConfirmedRaw!BB:BB)</f>
        <v>9000</v>
      </c>
      <c r="AZ4">
        <f>SUMIF(ConfirmedRaw!$B:$B,$A4,ConfirmedRaw!BC:BC)</f>
        <v>10075</v>
      </c>
      <c r="BA4">
        <f>SUMIF(ConfirmedRaw!$B:$B,$A4,ConfirmedRaw!BD:BD)</f>
        <v>11364</v>
      </c>
      <c r="BB4">
        <f>SUMIF(ConfirmedRaw!$B:$B,$A4,ConfirmedRaw!BE:BE)</f>
        <v>12729</v>
      </c>
      <c r="BC4">
        <f>SUMIF(ConfirmedRaw!$B:$B,$A4,ConfirmedRaw!BF:BF)</f>
        <v>13938</v>
      </c>
      <c r="BD4">
        <f>SUMIF(ConfirmedRaw!$B:$B,$A4,ConfirmedRaw!BG:BG)</f>
        <v>14991</v>
      </c>
      <c r="BE4">
        <f>SUMIF(ConfirmedRaw!$B:$B,$A4,ConfirmedRaw!BH:BH)</f>
        <v>16169</v>
      </c>
      <c r="BF4">
        <f>SUMIF(ConfirmedRaw!$B:$B,$A4,ConfirmedRaw!BI:BI)</f>
        <v>17361</v>
      </c>
      <c r="BG4">
        <f>SUMIF(ConfirmedRaw!$B:$B,$A4,ConfirmedRaw!BJ:BJ)</f>
        <v>18407</v>
      </c>
      <c r="BH4">
        <f>SUMIF(ConfirmedRaw!$B:$B,$A4,ConfirmedRaw!BK:BK)</f>
        <v>19644</v>
      </c>
      <c r="BI4">
        <f>SUMIF(ConfirmedRaw!$B:$B,$A4,ConfirmedRaw!BL:BL)</f>
        <v>0</v>
      </c>
      <c r="BJ4">
        <f>SUMIF(ConfirmedRaw!$B:$B,$A4,ConfirmedRaw!BM:BM)</f>
        <v>0</v>
      </c>
      <c r="BK4">
        <f>SUMIF(ConfirmedRaw!$B:$B,$A4,ConfirmedRaw!BN:BN)</f>
        <v>0</v>
      </c>
      <c r="BL4">
        <f>SUMIF(ConfirmedRaw!$B:$B,$A4,ConfirmedRaw!BO:BO)</f>
        <v>0</v>
      </c>
      <c r="BM4">
        <f>SUMIF(ConfirmedRaw!$B:$B,$A4,ConfirmedRaw!BP:BP)</f>
        <v>0</v>
      </c>
      <c r="BN4">
        <f>SUMIF(ConfirmedRaw!$B:$B,$A4,ConfirmedRaw!BQ:BQ)</f>
        <v>0</v>
      </c>
      <c r="BO4">
        <f>SUMIF(ConfirmedRaw!$B:$B,$A4,ConfirmedRaw!BR:BR)</f>
        <v>0</v>
      </c>
      <c r="BP4">
        <f>SUMIF(ConfirmedRaw!$B:$B,$A4,ConfirmedRaw!BS:BS)</f>
        <v>0</v>
      </c>
      <c r="BQ4">
        <f>SUMIF(ConfirmedRaw!$B:$B,$A4,ConfirmedRaw!BT:BT)</f>
        <v>0</v>
      </c>
      <c r="BR4">
        <f>SUMIF(ConfirmedRaw!$B:$B,$A4,ConfirmedRaw!BU:BU)</f>
        <v>0</v>
      </c>
      <c r="BS4">
        <f>SUMIF(ConfirmedRaw!$B:$B,$A4,ConfirmedRaw!BV:BV)</f>
        <v>0</v>
      </c>
      <c r="BT4">
        <f>SUMIF(ConfirmedRaw!$B:$B,$A4,ConfirmedRaw!BW:BW)</f>
        <v>0</v>
      </c>
    </row>
    <row r="5" spans="1:72" ht="15" thickBot="1" x14ac:dyDescent="0.35">
      <c r="A5" s="3" t="s">
        <v>339</v>
      </c>
      <c r="B5">
        <f>SUMIF(ConfirmedRaw!$B:$B,$A5,ConfirmedRaw!E:E)</f>
        <v>1</v>
      </c>
      <c r="C5">
        <f>SUMIF(ConfirmedRaw!$B:$B,$A5,ConfirmedRaw!F:F)</f>
        <v>1</v>
      </c>
      <c r="D5">
        <f>SUMIF(ConfirmedRaw!$B:$B,$A5,ConfirmedRaw!G:G)</f>
        <v>2</v>
      </c>
      <c r="E5">
        <f>SUMIF(ConfirmedRaw!$B:$B,$A5,ConfirmedRaw!H:H)</f>
        <v>2</v>
      </c>
      <c r="F5">
        <f>SUMIF(ConfirmedRaw!$B:$B,$A5,ConfirmedRaw!I:I)</f>
        <v>3</v>
      </c>
      <c r="G5">
        <f>SUMIF(ConfirmedRaw!$B:$B,$A5,ConfirmedRaw!J:J)</f>
        <v>4</v>
      </c>
      <c r="H5">
        <f>SUMIF(ConfirmedRaw!$B:$B,$A5,ConfirmedRaw!K:K)</f>
        <v>4</v>
      </c>
      <c r="I5">
        <f>SUMIF(ConfirmedRaw!$B:$B,$A5,ConfirmedRaw!L:L)</f>
        <v>4</v>
      </c>
      <c r="J5">
        <f>SUMIF(ConfirmedRaw!$B:$B,$A5,ConfirmedRaw!M:M)</f>
        <v>4</v>
      </c>
      <c r="K5">
        <f>SUMIF(ConfirmedRaw!$B:$B,$A5,ConfirmedRaw!N:N)</f>
        <v>11</v>
      </c>
      <c r="L5">
        <f>SUMIF(ConfirmedRaw!$B:$B,$A5,ConfirmedRaw!O:O)</f>
        <v>12</v>
      </c>
      <c r="M5">
        <f>SUMIF(ConfirmedRaw!$B:$B,$A5,ConfirmedRaw!P:P)</f>
        <v>15</v>
      </c>
      <c r="N5">
        <f>SUMIF(ConfirmedRaw!$B:$B,$A5,ConfirmedRaw!Q:Q)</f>
        <v>15</v>
      </c>
      <c r="O5">
        <f>SUMIF(ConfirmedRaw!$B:$B,$A5,ConfirmedRaw!R:R)</f>
        <v>16</v>
      </c>
      <c r="P5">
        <f>SUMIF(ConfirmedRaw!$B:$B,$A5,ConfirmedRaw!S:S)</f>
        <v>19</v>
      </c>
      <c r="Q5">
        <f>SUMIF(ConfirmedRaw!$B:$B,$A5,ConfirmedRaw!T:T)</f>
        <v>23</v>
      </c>
      <c r="R5">
        <f>SUMIF(ConfirmedRaw!$B:$B,$A5,ConfirmedRaw!U:U)</f>
        <v>24</v>
      </c>
      <c r="S5">
        <f>SUMIF(ConfirmedRaw!$B:$B,$A5,ConfirmedRaw!V:V)</f>
        <v>24</v>
      </c>
      <c r="T5">
        <f>SUMIF(ConfirmedRaw!$B:$B,$A5,ConfirmedRaw!W:W)</f>
        <v>25</v>
      </c>
      <c r="U5">
        <f>SUMIF(ConfirmedRaw!$B:$B,$A5,ConfirmedRaw!X:X)</f>
        <v>27</v>
      </c>
      <c r="V5">
        <f>SUMIF(ConfirmedRaw!$B:$B,$A5,ConfirmedRaw!Y:Y)</f>
        <v>28</v>
      </c>
      <c r="W5">
        <f>SUMIF(ConfirmedRaw!$B:$B,$A5,ConfirmedRaw!Z:Z)</f>
        <v>28</v>
      </c>
      <c r="X5">
        <f>SUMIF(ConfirmedRaw!$B:$B,$A5,ConfirmedRaw!AA:AA)</f>
        <v>28</v>
      </c>
      <c r="Y5">
        <f>SUMIF(ConfirmedRaw!$B:$B,$A5,ConfirmedRaw!AB:AB)</f>
        <v>28</v>
      </c>
      <c r="Z5">
        <f>SUMIF(ConfirmedRaw!$B:$B,$A5,ConfirmedRaw!AC:AC)</f>
        <v>28</v>
      </c>
      <c r="AA5">
        <f>SUMIF(ConfirmedRaw!$B:$B,$A5,ConfirmedRaw!AD:AD)</f>
        <v>29</v>
      </c>
      <c r="AB5">
        <f>SUMIF(ConfirmedRaw!$B:$B,$A5,ConfirmedRaw!AE:AE)</f>
        <v>30</v>
      </c>
      <c r="AC5">
        <f>SUMIF(ConfirmedRaw!$B:$B,$A5,ConfirmedRaw!AF:AF)</f>
        <v>31</v>
      </c>
      <c r="AD5">
        <f>SUMIF(ConfirmedRaw!$B:$B,$A5,ConfirmedRaw!AG:AG)</f>
        <v>31</v>
      </c>
      <c r="AE5">
        <f>SUMIF(ConfirmedRaw!$B:$B,$A5,ConfirmedRaw!AH:AH)</f>
        <v>104</v>
      </c>
      <c r="AF5">
        <f>SUMIF(ConfirmedRaw!$B:$B,$A5,ConfirmedRaw!AI:AI)</f>
        <v>204</v>
      </c>
      <c r="AG5">
        <f>SUMIF(ConfirmedRaw!$B:$B,$A5,ConfirmedRaw!AJ:AJ)</f>
        <v>433</v>
      </c>
      <c r="AH5">
        <f>SUMIF(ConfirmedRaw!$B:$B,$A5,ConfirmedRaw!AK:AK)</f>
        <v>602</v>
      </c>
      <c r="AI5">
        <f>SUMIF(ConfirmedRaw!$B:$B,$A5,ConfirmedRaw!AL:AL)</f>
        <v>833</v>
      </c>
      <c r="AJ5">
        <f>SUMIF(ConfirmedRaw!$B:$B,$A5,ConfirmedRaw!AM:AM)</f>
        <v>977</v>
      </c>
      <c r="AK5">
        <f>SUMIF(ConfirmedRaw!$B:$B,$A5,ConfirmedRaw!AN:AN)</f>
        <v>1261</v>
      </c>
      <c r="AL5">
        <f>SUMIF(ConfirmedRaw!$B:$B,$A5,ConfirmedRaw!AO:AO)</f>
        <v>1766</v>
      </c>
      <c r="AM5">
        <f>SUMIF(ConfirmedRaw!$B:$B,$A5,ConfirmedRaw!AP:AP)</f>
        <v>2337</v>
      </c>
      <c r="AN5">
        <f>SUMIF(ConfirmedRaw!$B:$B,$A5,ConfirmedRaw!AQ:AQ)</f>
        <v>3150</v>
      </c>
      <c r="AO5">
        <f>SUMIF(ConfirmedRaw!$B:$B,$A5,ConfirmedRaw!AR:AR)</f>
        <v>3736</v>
      </c>
      <c r="AP5">
        <f>SUMIF(ConfirmedRaw!$B:$B,$A5,ConfirmedRaw!AS:AS)</f>
        <v>4335</v>
      </c>
      <c r="AQ5">
        <f>SUMIF(ConfirmedRaw!$B:$B,$A5,ConfirmedRaw!AT:AT)</f>
        <v>5186</v>
      </c>
      <c r="AR5">
        <f>SUMIF(ConfirmedRaw!$B:$B,$A5,ConfirmedRaw!AU:AU)</f>
        <v>5621</v>
      </c>
      <c r="AS5">
        <f>SUMIF(ConfirmedRaw!$B:$B,$A5,ConfirmedRaw!AV:AV)</f>
        <v>6088</v>
      </c>
      <c r="AT5">
        <f>SUMIF(ConfirmedRaw!$B:$B,$A5,ConfirmedRaw!AW:AW)</f>
        <v>6593</v>
      </c>
      <c r="AU5">
        <f>SUMIF(ConfirmedRaw!$B:$B,$A5,ConfirmedRaw!AX:AX)</f>
        <v>7041</v>
      </c>
      <c r="AV5">
        <f>SUMIF(ConfirmedRaw!$B:$B,$A5,ConfirmedRaw!AY:AY)</f>
        <v>7314</v>
      </c>
      <c r="AW5">
        <f>SUMIF(ConfirmedRaw!$B:$B,$A5,ConfirmedRaw!AZ:AZ)</f>
        <v>7478</v>
      </c>
      <c r="AX5">
        <f>SUMIF(ConfirmedRaw!$B:$B,$A5,ConfirmedRaw!BA:BA)</f>
        <v>7513</v>
      </c>
      <c r="AY5">
        <f>SUMIF(ConfirmedRaw!$B:$B,$A5,ConfirmedRaw!BB:BB)</f>
        <v>7755</v>
      </c>
      <c r="AZ5">
        <f>SUMIF(ConfirmedRaw!$B:$B,$A5,ConfirmedRaw!BC:BC)</f>
        <v>7869</v>
      </c>
      <c r="BA5">
        <f>SUMIF(ConfirmedRaw!$B:$B,$A5,ConfirmedRaw!BD:BD)</f>
        <v>7979</v>
      </c>
      <c r="BB5">
        <f>SUMIF(ConfirmedRaw!$B:$B,$A5,ConfirmedRaw!BE:BE)</f>
        <v>8086</v>
      </c>
      <c r="BC5">
        <f>SUMIF(ConfirmedRaw!$B:$B,$A5,ConfirmedRaw!BF:BF)</f>
        <v>8162</v>
      </c>
      <c r="BD5">
        <f>SUMIF(ConfirmedRaw!$B:$B,$A5,ConfirmedRaw!BG:BG)</f>
        <v>8236</v>
      </c>
      <c r="BE5">
        <f>SUMIF(ConfirmedRaw!$B:$B,$A5,ConfirmedRaw!BH:BH)</f>
        <v>8320</v>
      </c>
      <c r="BF5">
        <f>SUMIF(ConfirmedRaw!$B:$B,$A5,ConfirmedRaw!BI:BI)</f>
        <v>8413</v>
      </c>
      <c r="BG5">
        <f>SUMIF(ConfirmedRaw!$B:$B,$A5,ConfirmedRaw!BJ:BJ)</f>
        <v>8565</v>
      </c>
      <c r="BH5">
        <f>SUMIF(ConfirmedRaw!$B:$B,$A5,ConfirmedRaw!BK:BK)</f>
        <v>8652</v>
      </c>
      <c r="BI5">
        <f>SUMIF(ConfirmedRaw!$B:$B,$A5,ConfirmedRaw!BL:BL)</f>
        <v>0</v>
      </c>
      <c r="BJ5">
        <f>SUMIF(ConfirmedRaw!$B:$B,$A5,ConfirmedRaw!BM:BM)</f>
        <v>0</v>
      </c>
      <c r="BK5">
        <f>SUMIF(ConfirmedRaw!$B:$B,$A5,ConfirmedRaw!BN:BN)</f>
        <v>0</v>
      </c>
      <c r="BL5">
        <f>SUMIF(ConfirmedRaw!$B:$B,$A5,ConfirmedRaw!BO:BO)</f>
        <v>0</v>
      </c>
      <c r="BM5">
        <f>SUMIF(ConfirmedRaw!$B:$B,$A5,ConfirmedRaw!BP:BP)</f>
        <v>0</v>
      </c>
      <c r="BN5">
        <f>SUMIF(ConfirmedRaw!$B:$B,$A5,ConfirmedRaw!BQ:BQ)</f>
        <v>0</v>
      </c>
      <c r="BO5">
        <f>SUMIF(ConfirmedRaw!$B:$B,$A5,ConfirmedRaw!BR:BR)</f>
        <v>0</v>
      </c>
      <c r="BP5">
        <f>SUMIF(ConfirmedRaw!$B:$B,$A5,ConfirmedRaw!BS:BS)</f>
        <v>0</v>
      </c>
      <c r="BQ5">
        <f>SUMIF(ConfirmedRaw!$B:$B,$A5,ConfirmedRaw!BT:BT)</f>
        <v>0</v>
      </c>
      <c r="BR5">
        <f>SUMIF(ConfirmedRaw!$B:$B,$A5,ConfirmedRaw!BU:BU)</f>
        <v>0</v>
      </c>
      <c r="BS5">
        <f>SUMIF(ConfirmedRaw!$B:$B,$A5,ConfirmedRaw!BV:BV)</f>
        <v>0</v>
      </c>
      <c r="BT5">
        <f>SUMIF(ConfirmedRaw!$B:$B,$A5,ConfirmedRaw!BW:BW)</f>
        <v>0</v>
      </c>
    </row>
    <row r="6" spans="1:72" ht="15" thickBot="1" x14ac:dyDescent="0.35">
      <c r="A6" s="3" t="s">
        <v>60</v>
      </c>
      <c r="B6">
        <f>SUMIF(ConfirmedRaw!$B:$B,$A6,ConfirmedRaw!E:E)</f>
        <v>0</v>
      </c>
      <c r="C6">
        <f>SUMIF(ConfirmedRaw!$B:$B,$A6,ConfirmedRaw!F:F)</f>
        <v>0</v>
      </c>
      <c r="D6">
        <f>SUMIF(ConfirmedRaw!$B:$B,$A6,ConfirmedRaw!G:G)</f>
        <v>0</v>
      </c>
      <c r="E6">
        <f>SUMIF(ConfirmedRaw!$B:$B,$A6,ConfirmedRaw!H:H)</f>
        <v>0</v>
      </c>
      <c r="F6">
        <f>SUMIF(ConfirmedRaw!$B:$B,$A6,ConfirmedRaw!I:I)</f>
        <v>0</v>
      </c>
      <c r="G6">
        <f>SUMIF(ConfirmedRaw!$B:$B,$A6,ConfirmedRaw!J:J)</f>
        <v>0</v>
      </c>
      <c r="H6">
        <f>SUMIF(ConfirmedRaw!$B:$B,$A6,ConfirmedRaw!K:K)</f>
        <v>0</v>
      </c>
      <c r="I6">
        <f>SUMIF(ConfirmedRaw!$B:$B,$A6,ConfirmedRaw!L:L)</f>
        <v>0</v>
      </c>
      <c r="J6">
        <f>SUMIF(ConfirmedRaw!$B:$B,$A6,ConfirmedRaw!M:M)</f>
        <v>0</v>
      </c>
      <c r="K6">
        <f>SUMIF(ConfirmedRaw!$B:$B,$A6,ConfirmedRaw!N:N)</f>
        <v>0</v>
      </c>
      <c r="L6">
        <f>SUMIF(ConfirmedRaw!$B:$B,$A6,ConfirmedRaw!O:O)</f>
        <v>1</v>
      </c>
      <c r="M6">
        <f>SUMIF(ConfirmedRaw!$B:$B,$A6,ConfirmedRaw!P:P)</f>
        <v>1</v>
      </c>
      <c r="N6">
        <f>SUMIF(ConfirmedRaw!$B:$B,$A6,ConfirmedRaw!Q:Q)</f>
        <v>1</v>
      </c>
      <c r="O6">
        <f>SUMIF(ConfirmedRaw!$B:$B,$A6,ConfirmedRaw!R:R)</f>
        <v>1</v>
      </c>
      <c r="P6">
        <f>SUMIF(ConfirmedRaw!$B:$B,$A6,ConfirmedRaw!S:S)</f>
        <v>1</v>
      </c>
      <c r="Q6">
        <f>SUMIF(ConfirmedRaw!$B:$B,$A6,ConfirmedRaw!T:T)</f>
        <v>1</v>
      </c>
      <c r="R6">
        <f>SUMIF(ConfirmedRaw!$B:$B,$A6,ConfirmedRaw!U:U)</f>
        <v>1</v>
      </c>
      <c r="S6">
        <f>SUMIF(ConfirmedRaw!$B:$B,$A6,ConfirmedRaw!V:V)</f>
        <v>1</v>
      </c>
      <c r="T6">
        <f>SUMIF(ConfirmedRaw!$B:$B,$A6,ConfirmedRaw!W:W)</f>
        <v>2</v>
      </c>
      <c r="U6">
        <f>SUMIF(ConfirmedRaw!$B:$B,$A6,ConfirmedRaw!X:X)</f>
        <v>2</v>
      </c>
      <c r="V6">
        <f>SUMIF(ConfirmedRaw!$B:$B,$A6,ConfirmedRaw!Y:Y)</f>
        <v>2</v>
      </c>
      <c r="W6">
        <f>SUMIF(ConfirmedRaw!$B:$B,$A6,ConfirmedRaw!Z:Z)</f>
        <v>2</v>
      </c>
      <c r="X6">
        <f>SUMIF(ConfirmedRaw!$B:$B,$A6,ConfirmedRaw!AA:AA)</f>
        <v>2</v>
      </c>
      <c r="Y6">
        <f>SUMIF(ConfirmedRaw!$B:$B,$A6,ConfirmedRaw!AB:AB)</f>
        <v>2</v>
      </c>
      <c r="Z6">
        <f>SUMIF(ConfirmedRaw!$B:$B,$A6,ConfirmedRaw!AC:AC)</f>
        <v>2</v>
      </c>
      <c r="AA6">
        <f>SUMIF(ConfirmedRaw!$B:$B,$A6,ConfirmedRaw!AD:AD)</f>
        <v>2</v>
      </c>
      <c r="AB6">
        <f>SUMIF(ConfirmedRaw!$B:$B,$A6,ConfirmedRaw!AE:AE)</f>
        <v>2</v>
      </c>
      <c r="AC6">
        <f>SUMIF(ConfirmedRaw!$B:$B,$A6,ConfirmedRaw!AF:AF)</f>
        <v>2</v>
      </c>
      <c r="AD6">
        <f>SUMIF(ConfirmedRaw!$B:$B,$A6,ConfirmedRaw!AG:AG)</f>
        <v>2</v>
      </c>
      <c r="AE6">
        <f>SUMIF(ConfirmedRaw!$B:$B,$A6,ConfirmedRaw!AH:AH)</f>
        <v>2</v>
      </c>
      <c r="AF6">
        <f>SUMIF(ConfirmedRaw!$B:$B,$A6,ConfirmedRaw!AI:AI)</f>
        <v>2</v>
      </c>
      <c r="AG6">
        <f>SUMIF(ConfirmedRaw!$B:$B,$A6,ConfirmedRaw!AJ:AJ)</f>
        <v>2</v>
      </c>
      <c r="AH6">
        <f>SUMIF(ConfirmedRaw!$B:$B,$A6,ConfirmedRaw!AK:AK)</f>
        <v>2</v>
      </c>
      <c r="AI6">
        <f>SUMIF(ConfirmedRaw!$B:$B,$A6,ConfirmedRaw!AL:AL)</f>
        <v>2</v>
      </c>
      <c r="AJ6">
        <f>SUMIF(ConfirmedRaw!$B:$B,$A6,ConfirmedRaw!AM:AM)</f>
        <v>6</v>
      </c>
      <c r="AK6">
        <f>SUMIF(ConfirmedRaw!$B:$B,$A6,ConfirmedRaw!AN:AN)</f>
        <v>13</v>
      </c>
      <c r="AL6">
        <f>SUMIF(ConfirmedRaw!$B:$B,$A6,ConfirmedRaw!AO:AO)</f>
        <v>15</v>
      </c>
      <c r="AM6">
        <f>SUMIF(ConfirmedRaw!$B:$B,$A6,ConfirmedRaw!AP:AP)</f>
        <v>32</v>
      </c>
      <c r="AN6">
        <f>SUMIF(ConfirmedRaw!$B:$B,$A6,ConfirmedRaw!AQ:AQ)</f>
        <v>45</v>
      </c>
      <c r="AO6">
        <f>SUMIF(ConfirmedRaw!$B:$B,$A6,ConfirmedRaw!AR:AR)</f>
        <v>84</v>
      </c>
      <c r="AP6">
        <f>SUMIF(ConfirmedRaw!$B:$B,$A6,ConfirmedRaw!AS:AS)</f>
        <v>120</v>
      </c>
      <c r="AQ6">
        <f>SUMIF(ConfirmedRaw!$B:$B,$A6,ConfirmedRaw!AT:AT)</f>
        <v>165</v>
      </c>
      <c r="AR6">
        <f>SUMIF(ConfirmedRaw!$B:$B,$A6,ConfirmedRaw!AU:AU)</f>
        <v>222</v>
      </c>
      <c r="AS6">
        <f>SUMIF(ConfirmedRaw!$B:$B,$A6,ConfirmedRaw!AV:AV)</f>
        <v>259</v>
      </c>
      <c r="AT6">
        <f>SUMIF(ConfirmedRaw!$B:$B,$A6,ConfirmedRaw!AW:AW)</f>
        <v>400</v>
      </c>
      <c r="AU6">
        <f>SUMIF(ConfirmedRaw!$B:$B,$A6,ConfirmedRaw!AX:AX)</f>
        <v>500</v>
      </c>
      <c r="AV6">
        <f>SUMIF(ConfirmedRaw!$B:$B,$A6,ConfirmedRaw!AY:AY)</f>
        <v>673</v>
      </c>
      <c r="AW6">
        <f>SUMIF(ConfirmedRaw!$B:$B,$A6,ConfirmedRaw!AZ:AZ)</f>
        <v>1073</v>
      </c>
      <c r="AX6">
        <f>SUMIF(ConfirmedRaw!$B:$B,$A6,ConfirmedRaw!BA:BA)</f>
        <v>1695</v>
      </c>
      <c r="AY6">
        <f>SUMIF(ConfirmedRaw!$B:$B,$A6,ConfirmedRaw!BB:BB)</f>
        <v>2277</v>
      </c>
      <c r="AZ6">
        <f>SUMIF(ConfirmedRaw!$B:$B,$A6,ConfirmedRaw!BC:BC)</f>
        <v>2277</v>
      </c>
      <c r="BA6">
        <f>SUMIF(ConfirmedRaw!$B:$B,$A6,ConfirmedRaw!BD:BD)</f>
        <v>5232</v>
      </c>
      <c r="BB6">
        <f>SUMIF(ConfirmedRaw!$B:$B,$A6,ConfirmedRaw!BE:BE)</f>
        <v>6391</v>
      </c>
      <c r="BC6">
        <f>SUMIF(ConfirmedRaw!$B:$B,$A6,ConfirmedRaw!BF:BF)</f>
        <v>7798</v>
      </c>
      <c r="BD6">
        <f>SUMIF(ConfirmedRaw!$B:$B,$A6,ConfirmedRaw!BG:BG)</f>
        <v>9942</v>
      </c>
      <c r="BE6">
        <f>SUMIF(ConfirmedRaw!$B:$B,$A6,ConfirmedRaw!BH:BH)</f>
        <v>11748</v>
      </c>
      <c r="BF6">
        <f>SUMIF(ConfirmedRaw!$B:$B,$A6,ConfirmedRaw!BI:BI)</f>
        <v>13910</v>
      </c>
      <c r="BG6">
        <f>SUMIF(ConfirmedRaw!$B:$B,$A6,ConfirmedRaw!BJ:BJ)</f>
        <v>17963</v>
      </c>
      <c r="BH6">
        <f>SUMIF(ConfirmedRaw!$B:$B,$A6,ConfirmedRaw!BK:BK)</f>
        <v>20410</v>
      </c>
      <c r="BI6">
        <f>SUMIF(ConfirmedRaw!$B:$B,$A6,ConfirmedRaw!BL:BL)</f>
        <v>0</v>
      </c>
      <c r="BJ6">
        <f>SUMIF(ConfirmedRaw!$B:$B,$A6,ConfirmedRaw!BM:BM)</f>
        <v>0</v>
      </c>
      <c r="BK6">
        <f>SUMIF(ConfirmedRaw!$B:$B,$A6,ConfirmedRaw!BN:BN)</f>
        <v>0</v>
      </c>
      <c r="BL6">
        <f>SUMIF(ConfirmedRaw!$B:$B,$A6,ConfirmedRaw!BO:BO)</f>
        <v>0</v>
      </c>
      <c r="BM6">
        <f>SUMIF(ConfirmedRaw!$B:$B,$A6,ConfirmedRaw!BP:BP)</f>
        <v>0</v>
      </c>
      <c r="BN6">
        <f>SUMIF(ConfirmedRaw!$B:$B,$A6,ConfirmedRaw!BQ:BQ)</f>
        <v>0</v>
      </c>
      <c r="BO6">
        <f>SUMIF(ConfirmedRaw!$B:$B,$A6,ConfirmedRaw!BR:BR)</f>
        <v>0</v>
      </c>
      <c r="BP6">
        <f>SUMIF(ConfirmedRaw!$B:$B,$A6,ConfirmedRaw!BS:BS)</f>
        <v>0</v>
      </c>
      <c r="BQ6">
        <f>SUMIF(ConfirmedRaw!$B:$B,$A6,ConfirmedRaw!BT:BT)</f>
        <v>0</v>
      </c>
      <c r="BR6">
        <f>SUMIF(ConfirmedRaw!$B:$B,$A6,ConfirmedRaw!BU:BU)</f>
        <v>0</v>
      </c>
      <c r="BS6">
        <f>SUMIF(ConfirmedRaw!$B:$B,$A6,ConfirmedRaw!BV:BV)</f>
        <v>0</v>
      </c>
      <c r="BT6">
        <f>SUMIF(ConfirmedRaw!$B:$B,$A6,ConfirmedRaw!BW:BW)</f>
        <v>0</v>
      </c>
    </row>
    <row r="7" spans="1:72" ht="15" thickBot="1" x14ac:dyDescent="0.35">
      <c r="A7" s="4" t="s">
        <v>53</v>
      </c>
      <c r="B7">
        <f>SUMIF(ConfirmedRaw!$B:$B,$A7,ConfirmedRaw!E:E)</f>
        <v>0</v>
      </c>
      <c r="C7">
        <f>SUMIF(ConfirmedRaw!$B:$B,$A7,ConfirmedRaw!F:F)</f>
        <v>0</v>
      </c>
      <c r="D7">
        <f>SUMIF(ConfirmedRaw!$B:$B,$A7,ConfirmedRaw!G:G)</f>
        <v>0</v>
      </c>
      <c r="E7">
        <f>SUMIF(ConfirmedRaw!$B:$B,$A7,ConfirmedRaw!H:H)</f>
        <v>0</v>
      </c>
      <c r="F7">
        <f>SUMIF(ConfirmedRaw!$B:$B,$A7,ConfirmedRaw!I:I)</f>
        <v>0</v>
      </c>
      <c r="G7">
        <f>SUMIF(ConfirmedRaw!$B:$B,$A7,ConfirmedRaw!J:J)</f>
        <v>1</v>
      </c>
      <c r="H7">
        <f>SUMIF(ConfirmedRaw!$B:$B,$A7,ConfirmedRaw!K:K)</f>
        <v>4</v>
      </c>
      <c r="I7">
        <f>SUMIF(ConfirmedRaw!$B:$B,$A7,ConfirmedRaw!L:L)</f>
        <v>4</v>
      </c>
      <c r="J7">
        <f>SUMIF(ConfirmedRaw!$B:$B,$A7,ConfirmedRaw!M:M)</f>
        <v>4</v>
      </c>
      <c r="K7">
        <f>SUMIF(ConfirmedRaw!$B:$B,$A7,ConfirmedRaw!N:N)</f>
        <v>5</v>
      </c>
      <c r="L7">
        <f>SUMIF(ConfirmedRaw!$B:$B,$A7,ConfirmedRaw!O:O)</f>
        <v>8</v>
      </c>
      <c r="M7">
        <f>SUMIF(ConfirmedRaw!$B:$B,$A7,ConfirmedRaw!P:P)</f>
        <v>10</v>
      </c>
      <c r="N7">
        <f>SUMIF(ConfirmedRaw!$B:$B,$A7,ConfirmedRaw!Q:Q)</f>
        <v>12</v>
      </c>
      <c r="O7">
        <f>SUMIF(ConfirmedRaw!$B:$B,$A7,ConfirmedRaw!R:R)</f>
        <v>12</v>
      </c>
      <c r="P7">
        <f>SUMIF(ConfirmedRaw!$B:$B,$A7,ConfirmedRaw!S:S)</f>
        <v>12</v>
      </c>
      <c r="Q7">
        <f>SUMIF(ConfirmedRaw!$B:$B,$A7,ConfirmedRaw!T:T)</f>
        <v>12</v>
      </c>
      <c r="R7">
        <f>SUMIF(ConfirmedRaw!$B:$B,$A7,ConfirmedRaw!U:U)</f>
        <v>13</v>
      </c>
      <c r="S7">
        <f>SUMIF(ConfirmedRaw!$B:$B,$A7,ConfirmedRaw!V:V)</f>
        <v>13</v>
      </c>
      <c r="T7">
        <f>SUMIF(ConfirmedRaw!$B:$B,$A7,ConfirmedRaw!W:W)</f>
        <v>14</v>
      </c>
      <c r="U7">
        <f>SUMIF(ConfirmedRaw!$B:$B,$A7,ConfirmedRaw!X:X)</f>
        <v>14</v>
      </c>
      <c r="V7">
        <f>SUMIF(ConfirmedRaw!$B:$B,$A7,ConfirmedRaw!Y:Y)</f>
        <v>16</v>
      </c>
      <c r="W7">
        <f>SUMIF(ConfirmedRaw!$B:$B,$A7,ConfirmedRaw!Z:Z)</f>
        <v>16</v>
      </c>
      <c r="X7">
        <f>SUMIF(ConfirmedRaw!$B:$B,$A7,ConfirmedRaw!AA:AA)</f>
        <v>16</v>
      </c>
      <c r="Y7">
        <f>SUMIF(ConfirmedRaw!$B:$B,$A7,ConfirmedRaw!AB:AB)</f>
        <v>16</v>
      </c>
      <c r="Z7">
        <f>SUMIF(ConfirmedRaw!$B:$B,$A7,ConfirmedRaw!AC:AC)</f>
        <v>16</v>
      </c>
      <c r="AA7">
        <f>SUMIF(ConfirmedRaw!$B:$B,$A7,ConfirmedRaw!AD:AD)</f>
        <v>16</v>
      </c>
      <c r="AB7">
        <f>SUMIF(ConfirmedRaw!$B:$B,$A7,ConfirmedRaw!AE:AE)</f>
        <v>16</v>
      </c>
      <c r="AC7">
        <f>SUMIF(ConfirmedRaw!$B:$B,$A7,ConfirmedRaw!AF:AF)</f>
        <v>16</v>
      </c>
      <c r="AD7">
        <f>SUMIF(ConfirmedRaw!$B:$B,$A7,ConfirmedRaw!AG:AG)</f>
        <v>16</v>
      </c>
      <c r="AE7">
        <f>SUMIF(ConfirmedRaw!$B:$B,$A7,ConfirmedRaw!AH:AH)</f>
        <v>16</v>
      </c>
      <c r="AF7">
        <f>SUMIF(ConfirmedRaw!$B:$B,$A7,ConfirmedRaw!AI:AI)</f>
        <v>16</v>
      </c>
      <c r="AG7">
        <f>SUMIF(ConfirmedRaw!$B:$B,$A7,ConfirmedRaw!AJ:AJ)</f>
        <v>16</v>
      </c>
      <c r="AH7">
        <f>SUMIF(ConfirmedRaw!$B:$B,$A7,ConfirmedRaw!AK:AK)</f>
        <v>16</v>
      </c>
      <c r="AI7">
        <f>SUMIF(ConfirmedRaw!$B:$B,$A7,ConfirmedRaw!AL:AL)</f>
        <v>16</v>
      </c>
      <c r="AJ7">
        <f>SUMIF(ConfirmedRaw!$B:$B,$A7,ConfirmedRaw!AM:AM)</f>
        <v>17</v>
      </c>
      <c r="AK7">
        <f>SUMIF(ConfirmedRaw!$B:$B,$A7,ConfirmedRaw!AN:AN)</f>
        <v>27</v>
      </c>
      <c r="AL7">
        <f>SUMIF(ConfirmedRaw!$B:$B,$A7,ConfirmedRaw!AO:AO)</f>
        <v>46</v>
      </c>
      <c r="AM7">
        <f>SUMIF(ConfirmedRaw!$B:$B,$A7,ConfirmedRaw!AP:AP)</f>
        <v>48</v>
      </c>
      <c r="AN7">
        <f>SUMIF(ConfirmedRaw!$B:$B,$A7,ConfirmedRaw!AQ:AQ)</f>
        <v>79</v>
      </c>
      <c r="AO7">
        <f>SUMIF(ConfirmedRaw!$B:$B,$A7,ConfirmedRaw!AR:AR)</f>
        <v>130</v>
      </c>
      <c r="AP7">
        <f>SUMIF(ConfirmedRaw!$B:$B,$A7,ConfirmedRaw!AS:AS)</f>
        <v>159</v>
      </c>
      <c r="AQ7">
        <f>SUMIF(ConfirmedRaw!$B:$B,$A7,ConfirmedRaw!AT:AT)</f>
        <v>196</v>
      </c>
      <c r="AR7">
        <f>SUMIF(ConfirmedRaw!$B:$B,$A7,ConfirmedRaw!AU:AU)</f>
        <v>262</v>
      </c>
      <c r="AS7">
        <f>SUMIF(ConfirmedRaw!$B:$B,$A7,ConfirmedRaw!AV:AV)</f>
        <v>482</v>
      </c>
      <c r="AT7">
        <f>SUMIF(ConfirmedRaw!$B:$B,$A7,ConfirmedRaw!AW:AW)</f>
        <v>670</v>
      </c>
      <c r="AU7">
        <f>SUMIF(ConfirmedRaw!$B:$B,$A7,ConfirmedRaw!AX:AX)</f>
        <v>799</v>
      </c>
      <c r="AV7">
        <f>SUMIF(ConfirmedRaw!$B:$B,$A7,ConfirmedRaw!AY:AY)</f>
        <v>1040</v>
      </c>
      <c r="AW7">
        <f>SUMIF(ConfirmedRaw!$B:$B,$A7,ConfirmedRaw!AZ:AZ)</f>
        <v>1176</v>
      </c>
      <c r="AX7">
        <f>SUMIF(ConfirmedRaw!$B:$B,$A7,ConfirmedRaw!BA:BA)</f>
        <v>1457</v>
      </c>
      <c r="AY7">
        <f>SUMIF(ConfirmedRaw!$B:$B,$A7,ConfirmedRaw!BB:BB)</f>
        <v>1908</v>
      </c>
      <c r="AZ7">
        <f>SUMIF(ConfirmedRaw!$B:$B,$A7,ConfirmedRaw!BC:BC)</f>
        <v>2078</v>
      </c>
      <c r="BA7">
        <f>SUMIF(ConfirmedRaw!$B:$B,$A7,ConfirmedRaw!BD:BD)</f>
        <v>3675</v>
      </c>
      <c r="BB7">
        <f>SUMIF(ConfirmedRaw!$B:$B,$A7,ConfirmedRaw!BE:BE)</f>
        <v>4585</v>
      </c>
      <c r="BC7">
        <f>SUMIF(ConfirmedRaw!$B:$B,$A7,ConfirmedRaw!BF:BF)</f>
        <v>5795</v>
      </c>
      <c r="BD7">
        <f>SUMIF(ConfirmedRaw!$B:$B,$A7,ConfirmedRaw!BG:BG)</f>
        <v>7272</v>
      </c>
      <c r="BE7">
        <f>SUMIF(ConfirmedRaw!$B:$B,$A7,ConfirmedRaw!BH:BH)</f>
        <v>9257</v>
      </c>
      <c r="BF7">
        <f>SUMIF(ConfirmedRaw!$B:$B,$A7,ConfirmedRaw!BI:BI)</f>
        <v>12327</v>
      </c>
      <c r="BG7">
        <f>SUMIF(ConfirmedRaw!$B:$B,$A7,ConfirmedRaw!BJ:BJ)</f>
        <v>15320</v>
      </c>
      <c r="BH7">
        <f>SUMIF(ConfirmedRaw!$B:$B,$A7,ConfirmedRaw!BK:BK)</f>
        <v>19848</v>
      </c>
      <c r="BI7">
        <f>SUMIF(ConfirmedRaw!$B:$B,$A7,ConfirmedRaw!BL:BL)</f>
        <v>0</v>
      </c>
      <c r="BJ7">
        <f>SUMIF(ConfirmedRaw!$B:$B,$A7,ConfirmedRaw!BM:BM)</f>
        <v>0</v>
      </c>
      <c r="BK7">
        <f>SUMIF(ConfirmedRaw!$B:$B,$A7,ConfirmedRaw!BN:BN)</f>
        <v>0</v>
      </c>
      <c r="BL7">
        <f>SUMIF(ConfirmedRaw!$B:$B,$A7,ConfirmedRaw!BO:BO)</f>
        <v>0</v>
      </c>
      <c r="BM7">
        <f>SUMIF(ConfirmedRaw!$B:$B,$A7,ConfirmedRaw!BP:BP)</f>
        <v>0</v>
      </c>
      <c r="BN7">
        <f>SUMIF(ConfirmedRaw!$B:$B,$A7,ConfirmedRaw!BQ:BQ)</f>
        <v>0</v>
      </c>
      <c r="BO7">
        <f>SUMIF(ConfirmedRaw!$B:$B,$A7,ConfirmedRaw!BR:BR)</f>
        <v>0</v>
      </c>
      <c r="BP7">
        <f>SUMIF(ConfirmedRaw!$B:$B,$A7,ConfirmedRaw!BS:BS)</f>
        <v>0</v>
      </c>
      <c r="BQ7">
        <f>SUMIF(ConfirmedRaw!$B:$B,$A7,ConfirmedRaw!BT:BT)</f>
        <v>0</v>
      </c>
      <c r="BR7">
        <f>SUMIF(ConfirmedRaw!$B:$B,$A7,ConfirmedRaw!BU:BU)</f>
        <v>0</v>
      </c>
      <c r="BS7">
        <f>SUMIF(ConfirmedRaw!$B:$B,$A7,ConfirmedRaw!BV:BV)</f>
        <v>0</v>
      </c>
      <c r="BT7">
        <f>SUMIF(ConfirmedRaw!$B:$B,$A7,ConfirmedRaw!BW:BW)</f>
        <v>0</v>
      </c>
    </row>
    <row r="8" spans="1:72" ht="15" thickBot="1" x14ac:dyDescent="0.35">
      <c r="A8" s="4" t="s">
        <v>41</v>
      </c>
      <c r="B8">
        <f>SUMIF(ConfirmedRaw!$B:$B,$A8,ConfirmedRaw!E:E)</f>
        <v>0</v>
      </c>
      <c r="C8">
        <f>SUMIF(ConfirmedRaw!$B:$B,$A8,ConfirmedRaw!F:F)</f>
        <v>0</v>
      </c>
      <c r="D8">
        <f>SUMIF(ConfirmedRaw!$B:$B,$A8,ConfirmedRaw!G:G)</f>
        <v>2</v>
      </c>
      <c r="E8">
        <f>SUMIF(ConfirmedRaw!$B:$B,$A8,ConfirmedRaw!H:H)</f>
        <v>3</v>
      </c>
      <c r="F8">
        <f>SUMIF(ConfirmedRaw!$B:$B,$A8,ConfirmedRaw!I:I)</f>
        <v>3</v>
      </c>
      <c r="G8">
        <f>SUMIF(ConfirmedRaw!$B:$B,$A8,ConfirmedRaw!J:J)</f>
        <v>3</v>
      </c>
      <c r="H8">
        <f>SUMIF(ConfirmedRaw!$B:$B,$A8,ConfirmedRaw!K:K)</f>
        <v>4</v>
      </c>
      <c r="I8">
        <f>SUMIF(ConfirmedRaw!$B:$B,$A8,ConfirmedRaw!L:L)</f>
        <v>5</v>
      </c>
      <c r="J8">
        <f>SUMIF(ConfirmedRaw!$B:$B,$A8,ConfirmedRaw!M:M)</f>
        <v>5</v>
      </c>
      <c r="K8">
        <f>SUMIF(ConfirmedRaw!$B:$B,$A8,ConfirmedRaw!N:N)</f>
        <v>5</v>
      </c>
      <c r="L8">
        <f>SUMIF(ConfirmedRaw!$B:$B,$A8,ConfirmedRaw!O:O)</f>
        <v>6</v>
      </c>
      <c r="M8">
        <f>SUMIF(ConfirmedRaw!$B:$B,$A8,ConfirmedRaw!P:P)</f>
        <v>6</v>
      </c>
      <c r="N8">
        <f>SUMIF(ConfirmedRaw!$B:$B,$A8,ConfirmedRaw!Q:Q)</f>
        <v>6</v>
      </c>
      <c r="O8">
        <f>SUMIF(ConfirmedRaw!$B:$B,$A8,ConfirmedRaw!R:R)</f>
        <v>6</v>
      </c>
      <c r="P8">
        <f>SUMIF(ConfirmedRaw!$B:$B,$A8,ConfirmedRaw!S:S)</f>
        <v>6</v>
      </c>
      <c r="Q8">
        <f>SUMIF(ConfirmedRaw!$B:$B,$A8,ConfirmedRaw!T:T)</f>
        <v>6</v>
      </c>
      <c r="R8">
        <f>SUMIF(ConfirmedRaw!$B:$B,$A8,ConfirmedRaw!U:U)</f>
        <v>6</v>
      </c>
      <c r="S8">
        <f>SUMIF(ConfirmedRaw!$B:$B,$A8,ConfirmedRaw!V:V)</f>
        <v>11</v>
      </c>
      <c r="T8">
        <f>SUMIF(ConfirmedRaw!$B:$B,$A8,ConfirmedRaw!W:W)</f>
        <v>11</v>
      </c>
      <c r="U8">
        <f>SUMIF(ConfirmedRaw!$B:$B,$A8,ConfirmedRaw!X:X)</f>
        <v>11</v>
      </c>
      <c r="V8">
        <f>SUMIF(ConfirmedRaw!$B:$B,$A8,ConfirmedRaw!Y:Y)</f>
        <v>11</v>
      </c>
      <c r="W8">
        <f>SUMIF(ConfirmedRaw!$B:$B,$A8,ConfirmedRaw!Z:Z)</f>
        <v>11</v>
      </c>
      <c r="X8">
        <f>SUMIF(ConfirmedRaw!$B:$B,$A8,ConfirmedRaw!AA:AA)</f>
        <v>11</v>
      </c>
      <c r="Y8">
        <f>SUMIF(ConfirmedRaw!$B:$B,$A8,ConfirmedRaw!AB:AB)</f>
        <v>11</v>
      </c>
      <c r="Z8">
        <f>SUMIF(ConfirmedRaw!$B:$B,$A8,ConfirmedRaw!AC:AC)</f>
        <v>12</v>
      </c>
      <c r="AA8">
        <f>SUMIF(ConfirmedRaw!$B:$B,$A8,ConfirmedRaw!AD:AD)</f>
        <v>12</v>
      </c>
      <c r="AB8">
        <f>SUMIF(ConfirmedRaw!$B:$B,$A8,ConfirmedRaw!AE:AE)</f>
        <v>12</v>
      </c>
      <c r="AC8">
        <f>SUMIF(ConfirmedRaw!$B:$B,$A8,ConfirmedRaw!AF:AF)</f>
        <v>12</v>
      </c>
      <c r="AD8">
        <f>SUMIF(ConfirmedRaw!$B:$B,$A8,ConfirmedRaw!AG:AG)</f>
        <v>12</v>
      </c>
      <c r="AE8">
        <f>SUMIF(ConfirmedRaw!$B:$B,$A8,ConfirmedRaw!AH:AH)</f>
        <v>12</v>
      </c>
      <c r="AF8">
        <f>SUMIF(ConfirmedRaw!$B:$B,$A8,ConfirmedRaw!AI:AI)</f>
        <v>12</v>
      </c>
      <c r="AG8">
        <f>SUMIF(ConfirmedRaw!$B:$B,$A8,ConfirmedRaw!AJ:AJ)</f>
        <v>12</v>
      </c>
      <c r="AH8">
        <f>SUMIF(ConfirmedRaw!$B:$B,$A8,ConfirmedRaw!AK:AK)</f>
        <v>12</v>
      </c>
      <c r="AI8">
        <f>SUMIF(ConfirmedRaw!$B:$B,$A8,ConfirmedRaw!AL:AL)</f>
        <v>12</v>
      </c>
      <c r="AJ8">
        <f>SUMIF(ConfirmedRaw!$B:$B,$A8,ConfirmedRaw!AM:AM)</f>
        <v>14</v>
      </c>
      <c r="AK8">
        <f>SUMIF(ConfirmedRaw!$B:$B,$A8,ConfirmedRaw!AN:AN)</f>
        <v>18</v>
      </c>
      <c r="AL8">
        <f>SUMIF(ConfirmedRaw!$B:$B,$A8,ConfirmedRaw!AO:AO)</f>
        <v>38</v>
      </c>
      <c r="AM8">
        <f>SUMIF(ConfirmedRaw!$B:$B,$A8,ConfirmedRaw!AP:AP)</f>
        <v>57</v>
      </c>
      <c r="AN8">
        <f>SUMIF(ConfirmedRaw!$B:$B,$A8,ConfirmedRaw!AQ:AQ)</f>
        <v>100</v>
      </c>
      <c r="AO8">
        <f>SUMIF(ConfirmedRaw!$B:$B,$A8,ConfirmedRaw!AR:AR)</f>
        <v>130</v>
      </c>
      <c r="AP8">
        <f>SUMIF(ConfirmedRaw!$B:$B,$A8,ConfirmedRaw!AS:AS)</f>
        <v>191</v>
      </c>
      <c r="AQ8">
        <f>SUMIF(ConfirmedRaw!$B:$B,$A8,ConfirmedRaw!AT:AT)</f>
        <v>204</v>
      </c>
      <c r="AR8">
        <f>SUMIF(ConfirmedRaw!$B:$B,$A8,ConfirmedRaw!AU:AU)</f>
        <v>288</v>
      </c>
      <c r="AS8">
        <f>SUMIF(ConfirmedRaw!$B:$B,$A8,ConfirmedRaw!AV:AV)</f>
        <v>380</v>
      </c>
      <c r="AT8">
        <f>SUMIF(ConfirmedRaw!$B:$B,$A8,ConfirmedRaw!AW:AW)</f>
        <v>656</v>
      </c>
      <c r="AU8">
        <f>SUMIF(ConfirmedRaw!$B:$B,$A8,ConfirmedRaw!AX:AX)</f>
        <v>957</v>
      </c>
      <c r="AV8">
        <f>SUMIF(ConfirmedRaw!$B:$B,$A8,ConfirmedRaw!AY:AY)</f>
        <v>1134</v>
      </c>
      <c r="AW8">
        <f>SUMIF(ConfirmedRaw!$B:$B,$A8,ConfirmedRaw!AZ:AZ)</f>
        <v>1217</v>
      </c>
      <c r="AX8">
        <f>SUMIF(ConfirmedRaw!$B:$B,$A8,ConfirmedRaw!BA:BA)</f>
        <v>1792</v>
      </c>
      <c r="AY8">
        <f>SUMIF(ConfirmedRaw!$B:$B,$A8,ConfirmedRaw!BB:BB)</f>
        <v>2290</v>
      </c>
      <c r="AZ8">
        <f>SUMIF(ConfirmedRaw!$B:$B,$A8,ConfirmedRaw!BC:BC)</f>
        <v>2290</v>
      </c>
      <c r="BA8">
        <f>SUMIF(ConfirmedRaw!$B:$B,$A8,ConfirmedRaw!BD:BD)</f>
        <v>3678</v>
      </c>
      <c r="BB8">
        <f>SUMIF(ConfirmedRaw!$B:$B,$A8,ConfirmedRaw!BE:BE)</f>
        <v>4487</v>
      </c>
      <c r="BC8">
        <f>SUMIF(ConfirmedRaw!$B:$B,$A8,ConfirmedRaw!BF:BF)</f>
        <v>4523</v>
      </c>
      <c r="BD8">
        <f>SUMIF(ConfirmedRaw!$B:$B,$A8,ConfirmedRaw!BG:BG)</f>
        <v>6668</v>
      </c>
      <c r="BE8">
        <f>SUMIF(ConfirmedRaw!$B:$B,$A8,ConfirmedRaw!BH:BH)</f>
        <v>7699</v>
      </c>
      <c r="BF8">
        <f>SUMIF(ConfirmedRaw!$B:$B,$A8,ConfirmedRaw!BI:BI)</f>
        <v>9105</v>
      </c>
      <c r="BG8">
        <f>SUMIF(ConfirmedRaw!$B:$B,$A8,ConfirmedRaw!BJ:BJ)</f>
        <v>10947</v>
      </c>
      <c r="BH8">
        <f>SUMIF(ConfirmedRaw!$B:$B,$A8,ConfirmedRaw!BK:BK)</f>
        <v>12726</v>
      </c>
      <c r="BI8">
        <f>SUMIF(ConfirmedRaw!$B:$B,$A8,ConfirmedRaw!BL:BL)</f>
        <v>0</v>
      </c>
      <c r="BJ8">
        <f>SUMIF(ConfirmedRaw!$B:$B,$A8,ConfirmedRaw!BM:BM)</f>
        <v>0</v>
      </c>
      <c r="BK8">
        <f>SUMIF(ConfirmedRaw!$B:$B,$A8,ConfirmedRaw!BN:BN)</f>
        <v>0</v>
      </c>
      <c r="BL8">
        <f>SUMIF(ConfirmedRaw!$B:$B,$A8,ConfirmedRaw!BO:BO)</f>
        <v>0</v>
      </c>
      <c r="BM8">
        <f>SUMIF(ConfirmedRaw!$B:$B,$A8,ConfirmedRaw!BP:BP)</f>
        <v>0</v>
      </c>
      <c r="BN8">
        <f>SUMIF(ConfirmedRaw!$B:$B,$A8,ConfirmedRaw!BQ:BQ)</f>
        <v>0</v>
      </c>
      <c r="BO8">
        <f>SUMIF(ConfirmedRaw!$B:$B,$A8,ConfirmedRaw!BR:BR)</f>
        <v>0</v>
      </c>
      <c r="BP8">
        <f>SUMIF(ConfirmedRaw!$B:$B,$A8,ConfirmedRaw!BS:BS)</f>
        <v>0</v>
      </c>
      <c r="BQ8">
        <f>SUMIF(ConfirmedRaw!$B:$B,$A8,ConfirmedRaw!BT:BT)</f>
        <v>0</v>
      </c>
      <c r="BR8">
        <f>SUMIF(ConfirmedRaw!$B:$B,$A8,ConfirmedRaw!BU:BU)</f>
        <v>0</v>
      </c>
      <c r="BS8">
        <f>SUMIF(ConfirmedRaw!$B:$B,$A8,ConfirmedRaw!BV:BV)</f>
        <v>0</v>
      </c>
      <c r="BT8">
        <f>SUMIF(ConfirmedRaw!$B:$B,$A8,ConfirmedRaw!BW:BW)</f>
        <v>0</v>
      </c>
    </row>
    <row r="9" spans="1:72" ht="15" thickBot="1" x14ac:dyDescent="0.35">
      <c r="A9" s="3" t="s">
        <v>38</v>
      </c>
      <c r="B9">
        <f>SUMIF(ConfirmedRaw!$B:$B,$A9,ConfirmedRaw!E:E)</f>
        <v>1</v>
      </c>
      <c r="C9">
        <f>SUMIF(ConfirmedRaw!$B:$B,$A9,ConfirmedRaw!F:F)</f>
        <v>1</v>
      </c>
      <c r="D9">
        <f>SUMIF(ConfirmedRaw!$B:$B,$A9,ConfirmedRaw!G:G)</f>
        <v>2</v>
      </c>
      <c r="E9">
        <f>SUMIF(ConfirmedRaw!$B:$B,$A9,ConfirmedRaw!H:H)</f>
        <v>2</v>
      </c>
      <c r="F9">
        <f>SUMIF(ConfirmedRaw!$B:$B,$A9,ConfirmedRaw!I:I)</f>
        <v>5</v>
      </c>
      <c r="G9">
        <f>SUMIF(ConfirmedRaw!$B:$B,$A9,ConfirmedRaw!J:J)</f>
        <v>5</v>
      </c>
      <c r="H9">
        <f>SUMIF(ConfirmedRaw!$B:$B,$A9,ConfirmedRaw!K:K)</f>
        <v>5</v>
      </c>
      <c r="I9">
        <f>SUMIF(ConfirmedRaw!$B:$B,$A9,ConfirmedRaw!L:L)</f>
        <v>5</v>
      </c>
      <c r="J9">
        <f>SUMIF(ConfirmedRaw!$B:$B,$A9,ConfirmedRaw!M:M)</f>
        <v>5</v>
      </c>
      <c r="K9">
        <f>SUMIF(ConfirmedRaw!$B:$B,$A9,ConfirmedRaw!N:N)</f>
        <v>7</v>
      </c>
      <c r="L9">
        <f>SUMIF(ConfirmedRaw!$B:$B,$A9,ConfirmedRaw!O:O)</f>
        <v>8</v>
      </c>
      <c r="M9">
        <f>SUMIF(ConfirmedRaw!$B:$B,$A9,ConfirmedRaw!P:P)</f>
        <v>8</v>
      </c>
      <c r="N9">
        <f>SUMIF(ConfirmedRaw!$B:$B,$A9,ConfirmedRaw!Q:Q)</f>
        <v>11</v>
      </c>
      <c r="O9">
        <f>SUMIF(ConfirmedRaw!$B:$B,$A9,ConfirmedRaw!R:R)</f>
        <v>11</v>
      </c>
      <c r="P9">
        <f>SUMIF(ConfirmedRaw!$B:$B,$A9,ConfirmedRaw!S:S)</f>
        <v>11</v>
      </c>
      <c r="Q9">
        <f>SUMIF(ConfirmedRaw!$B:$B,$A9,ConfirmedRaw!T:T)</f>
        <v>11</v>
      </c>
      <c r="R9">
        <f>SUMIF(ConfirmedRaw!$B:$B,$A9,ConfirmedRaw!U:U)</f>
        <v>11</v>
      </c>
      <c r="S9">
        <f>SUMIF(ConfirmedRaw!$B:$B,$A9,ConfirmedRaw!V:V)</f>
        <v>11</v>
      </c>
      <c r="T9">
        <f>SUMIF(ConfirmedRaw!$B:$B,$A9,ConfirmedRaw!W:W)</f>
        <v>11</v>
      </c>
      <c r="U9">
        <f>SUMIF(ConfirmedRaw!$B:$B,$A9,ConfirmedRaw!X:X)</f>
        <v>11</v>
      </c>
      <c r="V9">
        <f>SUMIF(ConfirmedRaw!$B:$B,$A9,ConfirmedRaw!Y:Y)</f>
        <v>12</v>
      </c>
      <c r="W9">
        <f>SUMIF(ConfirmedRaw!$B:$B,$A9,ConfirmedRaw!Z:Z)</f>
        <v>12</v>
      </c>
      <c r="X9">
        <f>SUMIF(ConfirmedRaw!$B:$B,$A9,ConfirmedRaw!AA:AA)</f>
        <v>13</v>
      </c>
      <c r="Y9">
        <f>SUMIF(ConfirmedRaw!$B:$B,$A9,ConfirmedRaw!AB:AB)</f>
        <v>13</v>
      </c>
      <c r="Z9">
        <f>SUMIF(ConfirmedRaw!$B:$B,$A9,ConfirmedRaw!AC:AC)</f>
        <v>13</v>
      </c>
      <c r="AA9">
        <f>SUMIF(ConfirmedRaw!$B:$B,$A9,ConfirmedRaw!AD:AD)</f>
        <v>13</v>
      </c>
      <c r="AB9">
        <f>SUMIF(ConfirmedRaw!$B:$B,$A9,ConfirmedRaw!AE:AE)</f>
        <v>13</v>
      </c>
      <c r="AC9">
        <f>SUMIF(ConfirmedRaw!$B:$B,$A9,ConfirmedRaw!AF:AF)</f>
        <v>13</v>
      </c>
      <c r="AD9">
        <f>SUMIF(ConfirmedRaw!$B:$B,$A9,ConfirmedRaw!AG:AG)</f>
        <v>13</v>
      </c>
      <c r="AE9">
        <f>SUMIF(ConfirmedRaw!$B:$B,$A9,ConfirmedRaw!AH:AH)</f>
        <v>13</v>
      </c>
      <c r="AF9">
        <f>SUMIF(ConfirmedRaw!$B:$B,$A9,ConfirmedRaw!AI:AI)</f>
        <v>15</v>
      </c>
      <c r="AG9">
        <f>SUMIF(ConfirmedRaw!$B:$B,$A9,ConfirmedRaw!AJ:AJ)</f>
        <v>15</v>
      </c>
      <c r="AH9">
        <f>SUMIF(ConfirmedRaw!$B:$B,$A9,ConfirmedRaw!AK:AK)</f>
        <v>15</v>
      </c>
      <c r="AI9">
        <f>SUMIF(ConfirmedRaw!$B:$B,$A9,ConfirmedRaw!AL:AL)</f>
        <v>51</v>
      </c>
      <c r="AJ9">
        <f>SUMIF(ConfirmedRaw!$B:$B,$A9,ConfirmedRaw!AM:AM)</f>
        <v>51</v>
      </c>
      <c r="AK9">
        <f>SUMIF(ConfirmedRaw!$B:$B,$A9,ConfirmedRaw!AN:AN)</f>
        <v>57</v>
      </c>
      <c r="AL9">
        <f>SUMIF(ConfirmedRaw!$B:$B,$A9,ConfirmedRaw!AO:AO)</f>
        <v>58</v>
      </c>
      <c r="AM9">
        <f>SUMIF(ConfirmedRaw!$B:$B,$A9,ConfirmedRaw!AP:AP)</f>
        <v>60</v>
      </c>
      <c r="AN9">
        <f>SUMIF(ConfirmedRaw!$B:$B,$A9,ConfirmedRaw!AQ:AQ)</f>
        <v>68</v>
      </c>
      <c r="AO9">
        <f>SUMIF(ConfirmedRaw!$B:$B,$A9,ConfirmedRaw!AR:AR)</f>
        <v>74</v>
      </c>
      <c r="AP9">
        <f>SUMIF(ConfirmedRaw!$B:$B,$A9,ConfirmedRaw!AS:AS)</f>
        <v>98</v>
      </c>
      <c r="AQ9">
        <f>SUMIF(ConfirmedRaw!$B:$B,$A9,ConfirmedRaw!AT:AT)</f>
        <v>118</v>
      </c>
      <c r="AR9">
        <f>SUMIF(ConfirmedRaw!$B:$B,$A9,ConfirmedRaw!AU:AU)</f>
        <v>149</v>
      </c>
      <c r="AS9">
        <f>SUMIF(ConfirmedRaw!$B:$B,$A9,ConfirmedRaw!AV:AV)</f>
        <v>217</v>
      </c>
      <c r="AT9">
        <f>SUMIF(ConfirmedRaw!$B:$B,$A9,ConfirmedRaw!AW:AW)</f>
        <v>262</v>
      </c>
      <c r="AU9">
        <f>SUMIF(ConfirmedRaw!$B:$B,$A9,ConfirmedRaw!AX:AX)</f>
        <v>402</v>
      </c>
      <c r="AV9">
        <f>SUMIF(ConfirmedRaw!$B:$B,$A9,ConfirmedRaw!AY:AY)</f>
        <v>518</v>
      </c>
      <c r="AW9">
        <f>SUMIF(ConfirmedRaw!$B:$B,$A9,ConfirmedRaw!AZ:AZ)</f>
        <v>583</v>
      </c>
      <c r="AX9">
        <f>SUMIF(ConfirmedRaw!$B:$B,$A9,ConfirmedRaw!BA:BA)</f>
        <v>959</v>
      </c>
      <c r="AY9">
        <f>SUMIF(ConfirmedRaw!$B:$B,$A9,ConfirmedRaw!BB:BB)</f>
        <v>1281</v>
      </c>
      <c r="AZ9">
        <f>SUMIF(ConfirmedRaw!$B:$B,$A9,ConfirmedRaw!BC:BC)</f>
        <v>1663</v>
      </c>
      <c r="BA9">
        <f>SUMIF(ConfirmedRaw!$B:$B,$A9,ConfirmedRaw!BD:BD)</f>
        <v>2179</v>
      </c>
      <c r="BB9">
        <f>SUMIF(ConfirmedRaw!$B:$B,$A9,ConfirmedRaw!BE:BE)</f>
        <v>2727</v>
      </c>
      <c r="BC9">
        <f>SUMIF(ConfirmedRaw!$B:$B,$A9,ConfirmedRaw!BF:BF)</f>
        <v>3499</v>
      </c>
      <c r="BD9">
        <f>SUMIF(ConfirmedRaw!$B:$B,$A9,ConfirmedRaw!BG:BG)</f>
        <v>4632</v>
      </c>
      <c r="BE9">
        <f>SUMIF(ConfirmedRaw!$B:$B,$A9,ConfirmedRaw!BH:BH)</f>
        <v>6421</v>
      </c>
      <c r="BF9">
        <f>SUMIF(ConfirmedRaw!$B:$B,$A9,ConfirmedRaw!BI:BI)</f>
        <v>7783</v>
      </c>
      <c r="BG9">
        <f>SUMIF(ConfirmedRaw!$B:$B,$A9,ConfirmedRaw!BJ:BJ)</f>
        <v>13677</v>
      </c>
      <c r="BH9">
        <f>SUMIF(ConfirmedRaw!$B:$B,$A9,ConfirmedRaw!BK:BK)</f>
        <v>19100</v>
      </c>
      <c r="BI9">
        <f>SUMIF(ConfirmedRaw!$B:$B,$A9,ConfirmedRaw!BL:BL)</f>
        <v>0</v>
      </c>
      <c r="BJ9">
        <f>SUMIF(ConfirmedRaw!$B:$B,$A9,ConfirmedRaw!BM:BM)</f>
        <v>0</v>
      </c>
      <c r="BK9">
        <f>SUMIF(ConfirmedRaw!$B:$B,$A9,ConfirmedRaw!BN:BN)</f>
        <v>0</v>
      </c>
      <c r="BL9">
        <f>SUMIF(ConfirmedRaw!$B:$B,$A9,ConfirmedRaw!BO:BO)</f>
        <v>0</v>
      </c>
      <c r="BM9">
        <f>SUMIF(ConfirmedRaw!$B:$B,$A9,ConfirmedRaw!BP:BP)</f>
        <v>0</v>
      </c>
      <c r="BN9">
        <f>SUMIF(ConfirmedRaw!$B:$B,$A9,ConfirmedRaw!BQ:BQ)</f>
        <v>0</v>
      </c>
      <c r="BO9">
        <f>SUMIF(ConfirmedRaw!$B:$B,$A9,ConfirmedRaw!BR:BR)</f>
        <v>0</v>
      </c>
      <c r="BP9">
        <f>SUMIF(ConfirmedRaw!$B:$B,$A9,ConfirmedRaw!BS:BS)</f>
        <v>0</v>
      </c>
      <c r="BQ9">
        <f>SUMIF(ConfirmedRaw!$B:$B,$A9,ConfirmedRaw!BT:BT)</f>
        <v>0</v>
      </c>
      <c r="BR9">
        <f>SUMIF(ConfirmedRaw!$B:$B,$A9,ConfirmedRaw!BU:BU)</f>
        <v>0</v>
      </c>
      <c r="BS9">
        <f>SUMIF(ConfirmedRaw!$B:$B,$A9,ConfirmedRaw!BV:BV)</f>
        <v>0</v>
      </c>
      <c r="BT9">
        <f>SUMIF(ConfirmedRaw!$B:$B,$A9,ConfirmedRaw!BW:BW)</f>
        <v>0</v>
      </c>
    </row>
    <row r="10" spans="1:72" ht="15" thickBot="1" x14ac:dyDescent="0.35">
      <c r="A10" s="4" t="s">
        <v>77</v>
      </c>
      <c r="B10">
        <f>SUMIF(ConfirmedRaw!$B:$B,$A10,ConfirmedRaw!E:E)</f>
        <v>0</v>
      </c>
      <c r="C10">
        <f>SUMIF(ConfirmedRaw!$B:$B,$A10,ConfirmedRaw!F:F)</f>
        <v>0</v>
      </c>
      <c r="D10">
        <f>SUMIF(ConfirmedRaw!$B:$B,$A10,ConfirmedRaw!G:G)</f>
        <v>0</v>
      </c>
      <c r="E10">
        <f>SUMIF(ConfirmedRaw!$B:$B,$A10,ConfirmedRaw!H:H)</f>
        <v>0</v>
      </c>
      <c r="F10">
        <f>SUMIF(ConfirmedRaw!$B:$B,$A10,ConfirmedRaw!I:I)</f>
        <v>0</v>
      </c>
      <c r="G10">
        <f>SUMIF(ConfirmedRaw!$B:$B,$A10,ConfirmedRaw!J:J)</f>
        <v>0</v>
      </c>
      <c r="H10">
        <f>SUMIF(ConfirmedRaw!$B:$B,$A10,ConfirmedRaw!K:K)</f>
        <v>0</v>
      </c>
      <c r="I10">
        <f>SUMIF(ConfirmedRaw!$B:$B,$A10,ConfirmedRaw!L:L)</f>
        <v>0</v>
      </c>
      <c r="J10">
        <f>SUMIF(ConfirmedRaw!$B:$B,$A10,ConfirmedRaw!M:M)</f>
        <v>0</v>
      </c>
      <c r="K10">
        <f>SUMIF(ConfirmedRaw!$B:$B,$A10,ConfirmedRaw!N:N)</f>
        <v>0</v>
      </c>
      <c r="L10">
        <f>SUMIF(ConfirmedRaw!$B:$B,$A10,ConfirmedRaw!O:O)</f>
        <v>0</v>
      </c>
      <c r="M10">
        <f>SUMIF(ConfirmedRaw!$B:$B,$A10,ConfirmedRaw!P:P)</f>
        <v>0</v>
      </c>
      <c r="N10">
        <f>SUMIF(ConfirmedRaw!$B:$B,$A10,ConfirmedRaw!Q:Q)</f>
        <v>0</v>
      </c>
      <c r="O10">
        <f>SUMIF(ConfirmedRaw!$B:$B,$A10,ConfirmedRaw!R:R)</f>
        <v>0</v>
      </c>
      <c r="P10">
        <f>SUMIF(ConfirmedRaw!$B:$B,$A10,ConfirmedRaw!S:S)</f>
        <v>0</v>
      </c>
      <c r="Q10">
        <f>SUMIF(ConfirmedRaw!$B:$B,$A10,ConfirmedRaw!T:T)</f>
        <v>0</v>
      </c>
      <c r="R10">
        <f>SUMIF(ConfirmedRaw!$B:$B,$A10,ConfirmedRaw!U:U)</f>
        <v>0</v>
      </c>
      <c r="S10">
        <f>SUMIF(ConfirmedRaw!$B:$B,$A10,ConfirmedRaw!V:V)</f>
        <v>0</v>
      </c>
      <c r="T10">
        <f>SUMIF(ConfirmedRaw!$B:$B,$A10,ConfirmedRaw!W:W)</f>
        <v>0</v>
      </c>
      <c r="U10">
        <f>SUMIF(ConfirmedRaw!$B:$B,$A10,ConfirmedRaw!X:X)</f>
        <v>0</v>
      </c>
      <c r="V10">
        <f>SUMIF(ConfirmedRaw!$B:$B,$A10,ConfirmedRaw!Y:Y)</f>
        <v>0</v>
      </c>
      <c r="W10">
        <f>SUMIF(ConfirmedRaw!$B:$B,$A10,ConfirmedRaw!Z:Z)</f>
        <v>0</v>
      </c>
      <c r="X10">
        <f>SUMIF(ConfirmedRaw!$B:$B,$A10,ConfirmedRaw!AA:AA)</f>
        <v>0</v>
      </c>
      <c r="Y10">
        <f>SUMIF(ConfirmedRaw!$B:$B,$A10,ConfirmedRaw!AB:AB)</f>
        <v>0</v>
      </c>
      <c r="Z10">
        <f>SUMIF(ConfirmedRaw!$B:$B,$A10,ConfirmedRaw!AC:AC)</f>
        <v>0</v>
      </c>
      <c r="AA10">
        <f>SUMIF(ConfirmedRaw!$B:$B,$A10,ConfirmedRaw!AD:AD)</f>
        <v>0</v>
      </c>
      <c r="AB10">
        <f>SUMIF(ConfirmedRaw!$B:$B,$A10,ConfirmedRaw!AE:AE)</f>
        <v>0</v>
      </c>
      <c r="AC10">
        <f>SUMIF(ConfirmedRaw!$B:$B,$A10,ConfirmedRaw!AF:AF)</f>
        <v>0</v>
      </c>
      <c r="AD10">
        <f>SUMIF(ConfirmedRaw!$B:$B,$A10,ConfirmedRaw!AG:AG)</f>
        <v>0</v>
      </c>
      <c r="AE10">
        <f>SUMIF(ConfirmedRaw!$B:$B,$A10,ConfirmedRaw!AH:AH)</f>
        <v>0</v>
      </c>
      <c r="AF10">
        <f>SUMIF(ConfirmedRaw!$B:$B,$A10,ConfirmedRaw!AI:AI)</f>
        <v>0</v>
      </c>
      <c r="AG10">
        <f>SUMIF(ConfirmedRaw!$B:$B,$A10,ConfirmedRaw!AJ:AJ)</f>
        <v>0</v>
      </c>
      <c r="AH10">
        <f>SUMIF(ConfirmedRaw!$B:$B,$A10,ConfirmedRaw!AK:AK)</f>
        <v>0</v>
      </c>
      <c r="AI10">
        <f>SUMIF(ConfirmedRaw!$B:$B,$A10,ConfirmedRaw!AL:AL)</f>
        <v>0</v>
      </c>
      <c r="AJ10">
        <f>SUMIF(ConfirmedRaw!$B:$B,$A10,ConfirmedRaw!AM:AM)</f>
        <v>1</v>
      </c>
      <c r="AK10">
        <f>SUMIF(ConfirmedRaw!$B:$B,$A10,ConfirmedRaw!AN:AN)</f>
        <v>1</v>
      </c>
      <c r="AL10">
        <f>SUMIF(ConfirmedRaw!$B:$B,$A10,ConfirmedRaw!AO:AO)</f>
        <v>8</v>
      </c>
      <c r="AM10">
        <f>SUMIF(ConfirmedRaw!$B:$B,$A10,ConfirmedRaw!AP:AP)</f>
        <v>8</v>
      </c>
      <c r="AN10">
        <f>SUMIF(ConfirmedRaw!$B:$B,$A10,ConfirmedRaw!AQ:AQ)</f>
        <v>18</v>
      </c>
      <c r="AO10">
        <f>SUMIF(ConfirmedRaw!$B:$B,$A10,ConfirmedRaw!AR:AR)</f>
        <v>27</v>
      </c>
      <c r="AP10">
        <f>SUMIF(ConfirmedRaw!$B:$B,$A10,ConfirmedRaw!AS:AS)</f>
        <v>42</v>
      </c>
      <c r="AQ10">
        <f>SUMIF(ConfirmedRaw!$B:$B,$A10,ConfirmedRaw!AT:AT)</f>
        <v>56</v>
      </c>
      <c r="AR10">
        <f>SUMIF(ConfirmedRaw!$B:$B,$A10,ConfirmedRaw!AU:AU)</f>
        <v>90</v>
      </c>
      <c r="AS10">
        <f>SUMIF(ConfirmedRaw!$B:$B,$A10,ConfirmedRaw!AV:AV)</f>
        <v>114</v>
      </c>
      <c r="AT10">
        <f>SUMIF(ConfirmedRaw!$B:$B,$A10,ConfirmedRaw!AW:AW)</f>
        <v>214</v>
      </c>
      <c r="AU10">
        <f>SUMIF(ConfirmedRaw!$B:$B,$A10,ConfirmedRaw!AX:AX)</f>
        <v>268</v>
      </c>
      <c r="AV10">
        <f>SUMIF(ConfirmedRaw!$B:$B,$A10,ConfirmedRaw!AY:AY)</f>
        <v>337</v>
      </c>
      <c r="AW10">
        <f>SUMIF(ConfirmedRaw!$B:$B,$A10,ConfirmedRaw!AZ:AZ)</f>
        <v>374</v>
      </c>
      <c r="AX10">
        <f>SUMIF(ConfirmedRaw!$B:$B,$A10,ConfirmedRaw!BA:BA)</f>
        <v>491</v>
      </c>
      <c r="AY10">
        <f>SUMIF(ConfirmedRaw!$B:$B,$A10,ConfirmedRaw!BB:BB)</f>
        <v>652</v>
      </c>
      <c r="AZ10">
        <f>SUMIF(ConfirmedRaw!$B:$B,$A10,ConfirmedRaw!BC:BC)</f>
        <v>652</v>
      </c>
      <c r="BA10">
        <f>SUMIF(ConfirmedRaw!$B:$B,$A10,ConfirmedRaw!BD:BD)</f>
        <v>1139</v>
      </c>
      <c r="BB10">
        <f>SUMIF(ConfirmedRaw!$B:$B,$A10,ConfirmedRaw!BE:BE)</f>
        <v>1359</v>
      </c>
      <c r="BC10">
        <f>SUMIF(ConfirmedRaw!$B:$B,$A10,ConfirmedRaw!BF:BF)</f>
        <v>2200</v>
      </c>
      <c r="BD10">
        <f>SUMIF(ConfirmedRaw!$B:$B,$A10,ConfirmedRaw!BG:BG)</f>
        <v>2200</v>
      </c>
      <c r="BE10">
        <f>SUMIF(ConfirmedRaw!$B:$B,$A10,ConfirmedRaw!BH:BH)</f>
        <v>2700</v>
      </c>
      <c r="BF10">
        <f>SUMIF(ConfirmedRaw!$B:$B,$A10,ConfirmedRaw!BI:BI)</f>
        <v>3028</v>
      </c>
      <c r="BG10">
        <f>SUMIF(ConfirmedRaw!$B:$B,$A10,ConfirmedRaw!BJ:BJ)</f>
        <v>4075</v>
      </c>
      <c r="BH10">
        <f>SUMIF(ConfirmedRaw!$B:$B,$A10,ConfirmedRaw!BK:BK)</f>
        <v>5294</v>
      </c>
      <c r="BI10">
        <f>SUMIF(ConfirmedRaw!$B:$B,$A10,ConfirmedRaw!BL:BL)</f>
        <v>0</v>
      </c>
      <c r="BJ10">
        <f>SUMIF(ConfirmedRaw!$B:$B,$A10,ConfirmedRaw!BM:BM)</f>
        <v>0</v>
      </c>
      <c r="BK10">
        <f>SUMIF(ConfirmedRaw!$B:$B,$A10,ConfirmedRaw!BN:BN)</f>
        <v>0</v>
      </c>
      <c r="BL10">
        <f>SUMIF(ConfirmedRaw!$B:$B,$A10,ConfirmedRaw!BO:BO)</f>
        <v>0</v>
      </c>
      <c r="BM10">
        <f>SUMIF(ConfirmedRaw!$B:$B,$A10,ConfirmedRaw!BP:BP)</f>
        <v>0</v>
      </c>
      <c r="BN10">
        <f>SUMIF(ConfirmedRaw!$B:$B,$A10,ConfirmedRaw!BQ:BQ)</f>
        <v>0</v>
      </c>
      <c r="BO10">
        <f>SUMIF(ConfirmedRaw!$B:$B,$A10,ConfirmedRaw!BR:BR)</f>
        <v>0</v>
      </c>
      <c r="BP10">
        <f>SUMIF(ConfirmedRaw!$B:$B,$A10,ConfirmedRaw!BS:BS)</f>
        <v>0</v>
      </c>
      <c r="BQ10">
        <f>SUMIF(ConfirmedRaw!$B:$B,$A10,ConfirmedRaw!BT:BT)</f>
        <v>0</v>
      </c>
      <c r="BR10">
        <f>SUMIF(ConfirmedRaw!$B:$B,$A10,ConfirmedRaw!BU:BU)</f>
        <v>0</v>
      </c>
      <c r="BS10">
        <f>SUMIF(ConfirmedRaw!$B:$B,$A10,ConfirmedRaw!BV:BV)</f>
        <v>0</v>
      </c>
      <c r="BT10">
        <f>SUMIF(ConfirmedRaw!$B:$B,$A10,ConfirmedRaw!BW:BW)</f>
        <v>0</v>
      </c>
    </row>
    <row r="11" spans="1:72" ht="15" thickBot="1" x14ac:dyDescent="0.35">
      <c r="A11" s="4" t="s">
        <v>85</v>
      </c>
      <c r="B11">
        <f>SUMIF(ConfirmedRaw!$B:$B,$A11,ConfirmedRaw!E:E)</f>
        <v>0</v>
      </c>
      <c r="C11">
        <f>SUMIF(ConfirmedRaw!$B:$B,$A11,ConfirmedRaw!F:F)</f>
        <v>0</v>
      </c>
      <c r="D11">
        <f>SUMIF(ConfirmedRaw!$B:$B,$A11,ConfirmedRaw!G:G)</f>
        <v>0</v>
      </c>
      <c r="E11">
        <f>SUMIF(ConfirmedRaw!$B:$B,$A11,ConfirmedRaw!H:H)</f>
        <v>0</v>
      </c>
      <c r="F11">
        <f>SUMIF(ConfirmedRaw!$B:$B,$A11,ConfirmedRaw!I:I)</f>
        <v>0</v>
      </c>
      <c r="G11">
        <f>SUMIF(ConfirmedRaw!$B:$B,$A11,ConfirmedRaw!J:J)</f>
        <v>0</v>
      </c>
      <c r="H11">
        <f>SUMIF(ConfirmedRaw!$B:$B,$A11,ConfirmedRaw!K:K)</f>
        <v>0</v>
      </c>
      <c r="I11">
        <f>SUMIF(ConfirmedRaw!$B:$B,$A11,ConfirmedRaw!L:L)</f>
        <v>0</v>
      </c>
      <c r="J11">
        <f>SUMIF(ConfirmedRaw!$B:$B,$A11,ConfirmedRaw!M:M)</f>
        <v>0</v>
      </c>
      <c r="K11">
        <f>SUMIF(ConfirmedRaw!$B:$B,$A11,ConfirmedRaw!N:N)</f>
        <v>0</v>
      </c>
      <c r="L11">
        <f>SUMIF(ConfirmedRaw!$B:$B,$A11,ConfirmedRaw!O:O)</f>
        <v>0</v>
      </c>
      <c r="M11">
        <f>SUMIF(ConfirmedRaw!$B:$B,$A11,ConfirmedRaw!P:P)</f>
        <v>0</v>
      </c>
      <c r="N11">
        <f>SUMIF(ConfirmedRaw!$B:$B,$A11,ConfirmedRaw!Q:Q)</f>
        <v>0</v>
      </c>
      <c r="O11">
        <f>SUMIF(ConfirmedRaw!$B:$B,$A11,ConfirmedRaw!R:R)</f>
        <v>0</v>
      </c>
      <c r="P11">
        <f>SUMIF(ConfirmedRaw!$B:$B,$A11,ConfirmedRaw!S:S)</f>
        <v>0</v>
      </c>
      <c r="Q11">
        <f>SUMIF(ConfirmedRaw!$B:$B,$A11,ConfirmedRaw!T:T)</f>
        <v>0</v>
      </c>
      <c r="R11">
        <f>SUMIF(ConfirmedRaw!$B:$B,$A11,ConfirmedRaw!U:U)</f>
        <v>0</v>
      </c>
      <c r="S11">
        <f>SUMIF(ConfirmedRaw!$B:$B,$A11,ConfirmedRaw!V:V)</f>
        <v>0</v>
      </c>
      <c r="T11">
        <f>SUMIF(ConfirmedRaw!$B:$B,$A11,ConfirmedRaw!W:W)</f>
        <v>0</v>
      </c>
      <c r="U11">
        <f>SUMIF(ConfirmedRaw!$B:$B,$A11,ConfirmedRaw!X:X)</f>
        <v>0</v>
      </c>
      <c r="V11">
        <f>SUMIF(ConfirmedRaw!$B:$B,$A11,ConfirmedRaw!Y:Y)</f>
        <v>0</v>
      </c>
      <c r="W11">
        <f>SUMIF(ConfirmedRaw!$B:$B,$A11,ConfirmedRaw!Z:Z)</f>
        <v>0</v>
      </c>
      <c r="X11">
        <f>SUMIF(ConfirmedRaw!$B:$B,$A11,ConfirmedRaw!AA:AA)</f>
        <v>0</v>
      </c>
      <c r="Y11">
        <f>SUMIF(ConfirmedRaw!$B:$B,$A11,ConfirmedRaw!AB:AB)</f>
        <v>0</v>
      </c>
      <c r="Z11">
        <f>SUMIF(ConfirmedRaw!$B:$B,$A11,ConfirmedRaw!AC:AC)</f>
        <v>0</v>
      </c>
      <c r="AA11">
        <f>SUMIF(ConfirmedRaw!$B:$B,$A11,ConfirmedRaw!AD:AD)</f>
        <v>0</v>
      </c>
      <c r="AB11">
        <f>SUMIF(ConfirmedRaw!$B:$B,$A11,ConfirmedRaw!AE:AE)</f>
        <v>0</v>
      </c>
      <c r="AC11">
        <f>SUMIF(ConfirmedRaw!$B:$B,$A11,ConfirmedRaw!AF:AF)</f>
        <v>0</v>
      </c>
      <c r="AD11">
        <f>SUMIF(ConfirmedRaw!$B:$B,$A11,ConfirmedRaw!AG:AG)</f>
        <v>0</v>
      </c>
      <c r="AE11">
        <f>SUMIF(ConfirmedRaw!$B:$B,$A11,ConfirmedRaw!AH:AH)</f>
        <v>0</v>
      </c>
      <c r="AF11">
        <f>SUMIF(ConfirmedRaw!$B:$B,$A11,ConfirmedRaw!AI:AI)</f>
        <v>0</v>
      </c>
      <c r="AG11">
        <f>SUMIF(ConfirmedRaw!$B:$B,$A11,ConfirmedRaw!AJ:AJ)</f>
        <v>0</v>
      </c>
      <c r="AH11">
        <f>SUMIF(ConfirmedRaw!$B:$B,$A11,ConfirmedRaw!AK:AK)</f>
        <v>0</v>
      </c>
      <c r="AI11">
        <f>SUMIF(ConfirmedRaw!$B:$B,$A11,ConfirmedRaw!AL:AL)</f>
        <v>0</v>
      </c>
      <c r="AJ11">
        <f>SUMIF(ConfirmedRaw!$B:$B,$A11,ConfirmedRaw!AM:AM)</f>
        <v>0</v>
      </c>
      <c r="AK11">
        <f>SUMIF(ConfirmedRaw!$B:$B,$A11,ConfirmedRaw!AN:AN)</f>
        <v>1</v>
      </c>
      <c r="AL11">
        <f>SUMIF(ConfirmedRaw!$B:$B,$A11,ConfirmedRaw!AO:AO)</f>
        <v>1</v>
      </c>
      <c r="AM11">
        <f>SUMIF(ConfirmedRaw!$B:$B,$A11,ConfirmedRaw!AP:AP)</f>
        <v>6</v>
      </c>
      <c r="AN11">
        <f>SUMIF(ConfirmedRaw!$B:$B,$A11,ConfirmedRaw!AQ:AQ)</f>
        <v>15</v>
      </c>
      <c r="AO11">
        <f>SUMIF(ConfirmedRaw!$B:$B,$A11,ConfirmedRaw!AR:AR)</f>
        <v>19</v>
      </c>
      <c r="AP11">
        <f>SUMIF(ConfirmedRaw!$B:$B,$A11,ConfirmedRaw!AS:AS)</f>
        <v>25</v>
      </c>
      <c r="AQ11">
        <f>SUMIF(ConfirmedRaw!$B:$B,$A11,ConfirmedRaw!AT:AT)</f>
        <v>32</v>
      </c>
      <c r="AR11">
        <f>SUMIF(ConfirmedRaw!$B:$B,$A11,ConfirmedRaw!AU:AU)</f>
        <v>56</v>
      </c>
      <c r="AS11">
        <f>SUMIF(ConfirmedRaw!$B:$B,$A11,ConfirmedRaw!AV:AV)</f>
        <v>87</v>
      </c>
      <c r="AT11">
        <f>SUMIF(ConfirmedRaw!$B:$B,$A11,ConfirmedRaw!AW:AW)</f>
        <v>108</v>
      </c>
      <c r="AU11">
        <f>SUMIF(ConfirmedRaw!$B:$B,$A11,ConfirmedRaw!AX:AX)</f>
        <v>147</v>
      </c>
      <c r="AV11">
        <f>SUMIF(ConfirmedRaw!$B:$B,$A11,ConfirmedRaw!AY:AY)</f>
        <v>176</v>
      </c>
      <c r="AW11">
        <f>SUMIF(ConfirmedRaw!$B:$B,$A11,ConfirmedRaw!AZ:AZ)</f>
        <v>205</v>
      </c>
      <c r="AX11">
        <f>SUMIF(ConfirmedRaw!$B:$B,$A11,ConfirmedRaw!BA:BA)</f>
        <v>400</v>
      </c>
      <c r="AY11">
        <f>SUMIF(ConfirmedRaw!$B:$B,$A11,ConfirmedRaw!BB:BB)</f>
        <v>598</v>
      </c>
      <c r="AZ11">
        <f>SUMIF(ConfirmedRaw!$B:$B,$A11,ConfirmedRaw!BC:BC)</f>
        <v>702</v>
      </c>
      <c r="BA11">
        <f>SUMIF(ConfirmedRaw!$B:$B,$A11,ConfirmedRaw!BD:BD)</f>
        <v>996</v>
      </c>
      <c r="BB11">
        <f>SUMIF(ConfirmedRaw!$B:$B,$A11,ConfirmedRaw!BE:BE)</f>
        <v>1090</v>
      </c>
      <c r="BC11">
        <f>SUMIF(ConfirmedRaw!$B:$B,$A11,ConfirmedRaw!BF:BF)</f>
        <v>1221</v>
      </c>
      <c r="BD11">
        <f>SUMIF(ConfirmedRaw!$B:$B,$A11,ConfirmedRaw!BG:BG)</f>
        <v>1333</v>
      </c>
      <c r="BE11">
        <f>SUMIF(ConfirmedRaw!$B:$B,$A11,ConfirmedRaw!BH:BH)</f>
        <v>1463</v>
      </c>
      <c r="BF11">
        <f>SUMIF(ConfirmedRaw!$B:$B,$A11,ConfirmedRaw!BI:BI)</f>
        <v>1550</v>
      </c>
      <c r="BG11">
        <f>SUMIF(ConfirmedRaw!$B:$B,$A11,ConfirmedRaw!BJ:BJ)</f>
        <v>1746</v>
      </c>
      <c r="BH11">
        <f>SUMIF(ConfirmedRaw!$B:$B,$A11,ConfirmedRaw!BK:BK)</f>
        <v>1914</v>
      </c>
      <c r="BI11">
        <f>SUMIF(ConfirmedRaw!$B:$B,$A11,ConfirmedRaw!BL:BL)</f>
        <v>0</v>
      </c>
      <c r="BJ11">
        <f>SUMIF(ConfirmedRaw!$B:$B,$A11,ConfirmedRaw!BM:BM)</f>
        <v>0</v>
      </c>
      <c r="BK11">
        <f>SUMIF(ConfirmedRaw!$B:$B,$A11,ConfirmedRaw!BN:BN)</f>
        <v>0</v>
      </c>
      <c r="BL11">
        <f>SUMIF(ConfirmedRaw!$B:$B,$A11,ConfirmedRaw!BO:BO)</f>
        <v>0</v>
      </c>
      <c r="BM11">
        <f>SUMIF(ConfirmedRaw!$B:$B,$A11,ConfirmedRaw!BP:BP)</f>
        <v>0</v>
      </c>
      <c r="BN11">
        <f>SUMIF(ConfirmedRaw!$B:$B,$A11,ConfirmedRaw!BQ:BQ)</f>
        <v>0</v>
      </c>
      <c r="BO11">
        <f>SUMIF(ConfirmedRaw!$B:$B,$A11,ConfirmedRaw!BR:BR)</f>
        <v>0</v>
      </c>
      <c r="BP11">
        <f>SUMIF(ConfirmedRaw!$B:$B,$A11,ConfirmedRaw!BS:BS)</f>
        <v>0</v>
      </c>
      <c r="BQ11">
        <f>SUMIF(ConfirmedRaw!$B:$B,$A11,ConfirmedRaw!BT:BT)</f>
        <v>0</v>
      </c>
      <c r="BR11">
        <f>SUMIF(ConfirmedRaw!$B:$B,$A11,ConfirmedRaw!BU:BU)</f>
        <v>0</v>
      </c>
      <c r="BS11">
        <f>SUMIF(ConfirmedRaw!$B:$B,$A11,ConfirmedRaw!BV:BV)</f>
        <v>0</v>
      </c>
      <c r="BT11">
        <f>SUMIF(ConfirmedRaw!$B:$B,$A11,ConfirmedRaw!BW:BW)</f>
        <v>0</v>
      </c>
    </row>
    <row r="12" spans="1:72" ht="15" thickBot="1" x14ac:dyDescent="0.35">
      <c r="A12" s="4" t="s">
        <v>59</v>
      </c>
      <c r="B12">
        <f>SUMIF(ConfirmedRaw!$B:$B,$A12,ConfirmedRaw!E:E)</f>
        <v>0</v>
      </c>
      <c r="C12">
        <f>SUMIF(ConfirmedRaw!$B:$B,$A12,ConfirmedRaw!F:F)</f>
        <v>0</v>
      </c>
      <c r="D12">
        <f>SUMIF(ConfirmedRaw!$B:$B,$A12,ConfirmedRaw!G:G)</f>
        <v>0</v>
      </c>
      <c r="E12">
        <f>SUMIF(ConfirmedRaw!$B:$B,$A12,ConfirmedRaw!H:H)</f>
        <v>0</v>
      </c>
      <c r="F12">
        <f>SUMIF(ConfirmedRaw!$B:$B,$A12,ConfirmedRaw!I:I)</f>
        <v>0</v>
      </c>
      <c r="G12">
        <f>SUMIF(ConfirmedRaw!$B:$B,$A12,ConfirmedRaw!J:J)</f>
        <v>0</v>
      </c>
      <c r="H12">
        <f>SUMIF(ConfirmedRaw!$B:$B,$A12,ConfirmedRaw!K:K)</f>
        <v>0</v>
      </c>
      <c r="I12">
        <f>SUMIF(ConfirmedRaw!$B:$B,$A12,ConfirmedRaw!L:L)</f>
        <v>0</v>
      </c>
      <c r="J12">
        <f>SUMIF(ConfirmedRaw!$B:$B,$A12,ConfirmedRaw!M:M)</f>
        <v>0</v>
      </c>
      <c r="K12">
        <f>SUMIF(ConfirmedRaw!$B:$B,$A12,ConfirmedRaw!N:N)</f>
        <v>1</v>
      </c>
      <c r="L12">
        <f>SUMIF(ConfirmedRaw!$B:$B,$A12,ConfirmedRaw!O:O)</f>
        <v>1</v>
      </c>
      <c r="M12">
        <f>SUMIF(ConfirmedRaw!$B:$B,$A12,ConfirmedRaw!P:P)</f>
        <v>1</v>
      </c>
      <c r="N12">
        <f>SUMIF(ConfirmedRaw!$B:$B,$A12,ConfirmedRaw!Q:Q)</f>
        <v>1</v>
      </c>
      <c r="O12">
        <f>SUMIF(ConfirmedRaw!$B:$B,$A12,ConfirmedRaw!R:R)</f>
        <v>1</v>
      </c>
      <c r="P12">
        <f>SUMIF(ConfirmedRaw!$B:$B,$A12,ConfirmedRaw!S:S)</f>
        <v>1</v>
      </c>
      <c r="Q12">
        <f>SUMIF(ConfirmedRaw!$B:$B,$A12,ConfirmedRaw!T:T)</f>
        <v>1</v>
      </c>
      <c r="R12">
        <f>SUMIF(ConfirmedRaw!$B:$B,$A12,ConfirmedRaw!U:U)</f>
        <v>1</v>
      </c>
      <c r="S12">
        <f>SUMIF(ConfirmedRaw!$B:$B,$A12,ConfirmedRaw!V:V)</f>
        <v>1</v>
      </c>
      <c r="T12">
        <f>SUMIF(ConfirmedRaw!$B:$B,$A12,ConfirmedRaw!W:W)</f>
        <v>1</v>
      </c>
      <c r="U12">
        <f>SUMIF(ConfirmedRaw!$B:$B,$A12,ConfirmedRaw!X:X)</f>
        <v>1</v>
      </c>
      <c r="V12">
        <f>SUMIF(ConfirmedRaw!$B:$B,$A12,ConfirmedRaw!Y:Y)</f>
        <v>1</v>
      </c>
      <c r="W12">
        <f>SUMIF(ConfirmedRaw!$B:$B,$A12,ConfirmedRaw!Z:Z)</f>
        <v>1</v>
      </c>
      <c r="X12">
        <f>SUMIF(ConfirmedRaw!$B:$B,$A12,ConfirmedRaw!AA:AA)</f>
        <v>1</v>
      </c>
      <c r="Y12">
        <f>SUMIF(ConfirmedRaw!$B:$B,$A12,ConfirmedRaw!AB:AB)</f>
        <v>1</v>
      </c>
      <c r="Z12">
        <f>SUMIF(ConfirmedRaw!$B:$B,$A12,ConfirmedRaw!AC:AC)</f>
        <v>1</v>
      </c>
      <c r="AA12">
        <f>SUMIF(ConfirmedRaw!$B:$B,$A12,ConfirmedRaw!AD:AD)</f>
        <v>1</v>
      </c>
      <c r="AB12">
        <f>SUMIF(ConfirmedRaw!$B:$B,$A12,ConfirmedRaw!AE:AE)</f>
        <v>1</v>
      </c>
      <c r="AC12">
        <f>SUMIF(ConfirmedRaw!$B:$B,$A12,ConfirmedRaw!AF:AF)</f>
        <v>1</v>
      </c>
      <c r="AD12">
        <f>SUMIF(ConfirmedRaw!$B:$B,$A12,ConfirmedRaw!AG:AG)</f>
        <v>1</v>
      </c>
      <c r="AE12">
        <f>SUMIF(ConfirmedRaw!$B:$B,$A12,ConfirmedRaw!AH:AH)</f>
        <v>1</v>
      </c>
      <c r="AF12">
        <f>SUMIF(ConfirmedRaw!$B:$B,$A12,ConfirmedRaw!AI:AI)</f>
        <v>1</v>
      </c>
      <c r="AG12">
        <f>SUMIF(ConfirmedRaw!$B:$B,$A12,ConfirmedRaw!AJ:AJ)</f>
        <v>1</v>
      </c>
      <c r="AH12">
        <f>SUMIF(ConfirmedRaw!$B:$B,$A12,ConfirmedRaw!AK:AK)</f>
        <v>1</v>
      </c>
      <c r="AI12">
        <f>SUMIF(ConfirmedRaw!$B:$B,$A12,ConfirmedRaw!AL:AL)</f>
        <v>1</v>
      </c>
      <c r="AJ12">
        <f>SUMIF(ConfirmedRaw!$B:$B,$A12,ConfirmedRaw!AM:AM)</f>
        <v>1</v>
      </c>
      <c r="AK12">
        <f>SUMIF(ConfirmedRaw!$B:$B,$A12,ConfirmedRaw!AN:AN)</f>
        <v>2</v>
      </c>
      <c r="AL12">
        <f>SUMIF(ConfirmedRaw!$B:$B,$A12,ConfirmedRaw!AO:AO)</f>
        <v>7</v>
      </c>
      <c r="AM12">
        <f>SUMIF(ConfirmedRaw!$B:$B,$A12,ConfirmedRaw!AP:AP)</f>
        <v>7</v>
      </c>
      <c r="AN12">
        <f>SUMIF(ConfirmedRaw!$B:$B,$A12,ConfirmedRaw!AQ:AQ)</f>
        <v>12</v>
      </c>
      <c r="AO12">
        <f>SUMIF(ConfirmedRaw!$B:$B,$A12,ConfirmedRaw!AR:AR)</f>
        <v>14</v>
      </c>
      <c r="AP12">
        <f>SUMIF(ConfirmedRaw!$B:$B,$A12,ConfirmedRaw!AS:AS)</f>
        <v>15</v>
      </c>
      <c r="AQ12">
        <f>SUMIF(ConfirmedRaw!$B:$B,$A12,ConfirmedRaw!AT:AT)</f>
        <v>21</v>
      </c>
      <c r="AR12">
        <f>SUMIF(ConfirmedRaw!$B:$B,$A12,ConfirmedRaw!AU:AU)</f>
        <v>35</v>
      </c>
      <c r="AS12">
        <f>SUMIF(ConfirmedRaw!$B:$B,$A12,ConfirmedRaw!AV:AV)</f>
        <v>94</v>
      </c>
      <c r="AT12">
        <f>SUMIF(ConfirmedRaw!$B:$B,$A12,ConfirmedRaw!AW:AW)</f>
        <v>101</v>
      </c>
      <c r="AU12">
        <f>SUMIF(ConfirmedRaw!$B:$B,$A12,ConfirmedRaw!AX:AX)</f>
        <v>161</v>
      </c>
      <c r="AV12">
        <f>SUMIF(ConfirmedRaw!$B:$B,$A12,ConfirmedRaw!AY:AY)</f>
        <v>203</v>
      </c>
      <c r="AW12">
        <f>SUMIF(ConfirmedRaw!$B:$B,$A12,ConfirmedRaw!AZ:AZ)</f>
        <v>248</v>
      </c>
      <c r="AX12">
        <f>SUMIF(ConfirmedRaw!$B:$B,$A12,ConfirmedRaw!BA:BA)</f>
        <v>355</v>
      </c>
      <c r="AY12">
        <f>SUMIF(ConfirmedRaw!$B:$B,$A12,ConfirmedRaw!BB:BB)</f>
        <v>500</v>
      </c>
      <c r="AZ12">
        <f>SUMIF(ConfirmedRaw!$B:$B,$A12,ConfirmedRaw!BC:BC)</f>
        <v>599</v>
      </c>
      <c r="BA12">
        <f>SUMIF(ConfirmedRaw!$B:$B,$A12,ConfirmedRaw!BD:BD)</f>
        <v>814</v>
      </c>
      <c r="BB12">
        <f>SUMIF(ConfirmedRaw!$B:$B,$A12,ConfirmedRaw!BE:BE)</f>
        <v>961</v>
      </c>
      <c r="BC12">
        <f>SUMIF(ConfirmedRaw!$B:$B,$A12,ConfirmedRaw!BF:BF)</f>
        <v>1022</v>
      </c>
      <c r="BD12">
        <f>SUMIF(ConfirmedRaw!$B:$B,$A12,ConfirmedRaw!BG:BG)</f>
        <v>1103</v>
      </c>
      <c r="BE12">
        <f>SUMIF(ConfirmedRaw!$B:$B,$A12,ConfirmedRaw!BH:BH)</f>
        <v>1190</v>
      </c>
      <c r="BF12">
        <f>SUMIF(ConfirmedRaw!$B:$B,$A12,ConfirmedRaw!BI:BI)</f>
        <v>1279</v>
      </c>
      <c r="BG12">
        <f>SUMIF(ConfirmedRaw!$B:$B,$A12,ConfirmedRaw!BJ:BJ)</f>
        <v>1439</v>
      </c>
      <c r="BH12">
        <f>SUMIF(ConfirmedRaw!$B:$B,$A12,ConfirmedRaw!BK:BK)</f>
        <v>1639</v>
      </c>
      <c r="BI12">
        <f>SUMIF(ConfirmedRaw!$B:$B,$A12,ConfirmedRaw!BL:BL)</f>
        <v>0</v>
      </c>
      <c r="BJ12">
        <f>SUMIF(ConfirmedRaw!$B:$B,$A12,ConfirmedRaw!BM:BM)</f>
        <v>0</v>
      </c>
      <c r="BK12">
        <f>SUMIF(ConfirmedRaw!$B:$B,$A12,ConfirmedRaw!BN:BN)</f>
        <v>0</v>
      </c>
      <c r="BL12">
        <f>SUMIF(ConfirmedRaw!$B:$B,$A12,ConfirmedRaw!BO:BO)</f>
        <v>0</v>
      </c>
      <c r="BM12">
        <f>SUMIF(ConfirmedRaw!$B:$B,$A12,ConfirmedRaw!BP:BP)</f>
        <v>0</v>
      </c>
      <c r="BN12">
        <f>SUMIF(ConfirmedRaw!$B:$B,$A12,ConfirmedRaw!BQ:BQ)</f>
        <v>0</v>
      </c>
      <c r="BO12">
        <f>SUMIF(ConfirmedRaw!$B:$B,$A12,ConfirmedRaw!BR:BR)</f>
        <v>0</v>
      </c>
      <c r="BP12">
        <f>SUMIF(ConfirmedRaw!$B:$B,$A12,ConfirmedRaw!BS:BS)</f>
        <v>0</v>
      </c>
      <c r="BQ12">
        <f>SUMIF(ConfirmedRaw!$B:$B,$A12,ConfirmedRaw!BT:BT)</f>
        <v>0</v>
      </c>
      <c r="BR12">
        <f>SUMIF(ConfirmedRaw!$B:$B,$A12,ConfirmedRaw!BU:BU)</f>
        <v>0</v>
      </c>
      <c r="BS12">
        <f>SUMIF(ConfirmedRaw!$B:$B,$A12,ConfirmedRaw!BV:BV)</f>
        <v>0</v>
      </c>
      <c r="BT12">
        <f>SUMIF(ConfirmedRaw!$B:$B,$A12,ConfirmedRaw!BW:BW)</f>
        <v>0</v>
      </c>
    </row>
    <row r="13" spans="1:72" ht="15" thickBot="1" x14ac:dyDescent="0.35">
      <c r="A13" s="3" t="s">
        <v>87</v>
      </c>
      <c r="B13">
        <f>SUMIF(ConfirmedRaw!$B:$B,$A13,ConfirmedRaw!E:E)</f>
        <v>0</v>
      </c>
      <c r="C13">
        <f>SUMIF(ConfirmedRaw!$B:$B,$A13,ConfirmedRaw!F:F)</f>
        <v>0</v>
      </c>
      <c r="D13">
        <f>SUMIF(ConfirmedRaw!$B:$B,$A13,ConfirmedRaw!G:G)</f>
        <v>0</v>
      </c>
      <c r="E13">
        <f>SUMIF(ConfirmedRaw!$B:$B,$A13,ConfirmedRaw!H:H)</f>
        <v>0</v>
      </c>
      <c r="F13">
        <f>SUMIF(ConfirmedRaw!$B:$B,$A13,ConfirmedRaw!I:I)</f>
        <v>0</v>
      </c>
      <c r="G13">
        <f>SUMIF(ConfirmedRaw!$B:$B,$A13,ConfirmedRaw!J:J)</f>
        <v>0</v>
      </c>
      <c r="H13">
        <f>SUMIF(ConfirmedRaw!$B:$B,$A13,ConfirmedRaw!K:K)</f>
        <v>0</v>
      </c>
      <c r="I13">
        <f>SUMIF(ConfirmedRaw!$B:$B,$A13,ConfirmedRaw!L:L)</f>
        <v>0</v>
      </c>
      <c r="J13">
        <f>SUMIF(ConfirmedRaw!$B:$B,$A13,ConfirmedRaw!M:M)</f>
        <v>0</v>
      </c>
      <c r="K13">
        <f>SUMIF(ConfirmedRaw!$B:$B,$A13,ConfirmedRaw!N:N)</f>
        <v>0</v>
      </c>
      <c r="L13">
        <f>SUMIF(ConfirmedRaw!$B:$B,$A13,ConfirmedRaw!O:O)</f>
        <v>0</v>
      </c>
      <c r="M13">
        <f>SUMIF(ConfirmedRaw!$B:$B,$A13,ConfirmedRaw!P:P)</f>
        <v>0</v>
      </c>
      <c r="N13">
        <f>SUMIF(ConfirmedRaw!$B:$B,$A13,ConfirmedRaw!Q:Q)</f>
        <v>0</v>
      </c>
      <c r="O13">
        <f>SUMIF(ConfirmedRaw!$B:$B,$A13,ConfirmedRaw!R:R)</f>
        <v>0</v>
      </c>
      <c r="P13">
        <f>SUMIF(ConfirmedRaw!$B:$B,$A13,ConfirmedRaw!S:S)</f>
        <v>0</v>
      </c>
      <c r="Q13">
        <f>SUMIF(ConfirmedRaw!$B:$B,$A13,ConfirmedRaw!T:T)</f>
        <v>0</v>
      </c>
      <c r="R13">
        <f>SUMIF(ConfirmedRaw!$B:$B,$A13,ConfirmedRaw!U:U)</f>
        <v>0</v>
      </c>
      <c r="S13">
        <f>SUMIF(ConfirmedRaw!$B:$B,$A13,ConfirmedRaw!V:V)</f>
        <v>0</v>
      </c>
      <c r="T13">
        <f>SUMIF(ConfirmedRaw!$B:$B,$A13,ConfirmedRaw!W:W)</f>
        <v>0</v>
      </c>
      <c r="U13">
        <f>SUMIF(ConfirmedRaw!$B:$B,$A13,ConfirmedRaw!X:X)</f>
        <v>0</v>
      </c>
      <c r="V13">
        <f>SUMIF(ConfirmedRaw!$B:$B,$A13,ConfirmedRaw!Y:Y)</f>
        <v>0</v>
      </c>
      <c r="W13">
        <f>SUMIF(ConfirmedRaw!$B:$B,$A13,ConfirmedRaw!Z:Z)</f>
        <v>0</v>
      </c>
      <c r="X13">
        <f>SUMIF(ConfirmedRaw!$B:$B,$A13,ConfirmedRaw!AA:AA)</f>
        <v>0</v>
      </c>
      <c r="Y13">
        <f>SUMIF(ConfirmedRaw!$B:$B,$A13,ConfirmedRaw!AB:AB)</f>
        <v>0</v>
      </c>
      <c r="Z13">
        <f>SUMIF(ConfirmedRaw!$B:$B,$A13,ConfirmedRaw!AC:AC)</f>
        <v>0</v>
      </c>
      <c r="AA13">
        <f>SUMIF(ConfirmedRaw!$B:$B,$A13,ConfirmedRaw!AD:AD)</f>
        <v>0</v>
      </c>
      <c r="AB13">
        <f>SUMIF(ConfirmedRaw!$B:$B,$A13,ConfirmedRaw!AE:AE)</f>
        <v>0</v>
      </c>
      <c r="AC13">
        <f>SUMIF(ConfirmedRaw!$B:$B,$A13,ConfirmedRaw!AF:AF)</f>
        <v>0</v>
      </c>
      <c r="AD13">
        <f>SUMIF(ConfirmedRaw!$B:$B,$A13,ConfirmedRaw!AG:AG)</f>
        <v>0</v>
      </c>
      <c r="AE13">
        <f>SUMIF(ConfirmedRaw!$B:$B,$A13,ConfirmedRaw!AH:AH)</f>
        <v>0</v>
      </c>
      <c r="AF13">
        <f>SUMIF(ConfirmedRaw!$B:$B,$A13,ConfirmedRaw!AI:AI)</f>
        <v>0</v>
      </c>
      <c r="AG13">
        <f>SUMIF(ConfirmedRaw!$B:$B,$A13,ConfirmedRaw!AJ:AJ)</f>
        <v>0</v>
      </c>
      <c r="AH13">
        <f>SUMIF(ConfirmedRaw!$B:$B,$A13,ConfirmedRaw!AK:AK)</f>
        <v>0</v>
      </c>
      <c r="AI13">
        <f>SUMIF(ConfirmedRaw!$B:$B,$A13,ConfirmedRaw!AL:AL)</f>
        <v>0</v>
      </c>
      <c r="AJ13">
        <f>SUMIF(ConfirmedRaw!$B:$B,$A13,ConfirmedRaw!AM:AM)</f>
        <v>0</v>
      </c>
      <c r="AK13">
        <f>SUMIF(ConfirmedRaw!$B:$B,$A13,ConfirmedRaw!AN:AN)</f>
        <v>0</v>
      </c>
      <c r="AL13">
        <f>SUMIF(ConfirmedRaw!$B:$B,$A13,ConfirmedRaw!AO:AO)</f>
        <v>1</v>
      </c>
      <c r="AM13">
        <f>SUMIF(ConfirmedRaw!$B:$B,$A13,ConfirmedRaw!AP:AP)</f>
        <v>1</v>
      </c>
      <c r="AN13">
        <f>SUMIF(ConfirmedRaw!$B:$B,$A13,ConfirmedRaw!AQ:AQ)</f>
        <v>3</v>
      </c>
      <c r="AO13">
        <f>SUMIF(ConfirmedRaw!$B:$B,$A13,ConfirmedRaw!AR:AR)</f>
        <v>4</v>
      </c>
      <c r="AP13">
        <f>SUMIF(ConfirmedRaw!$B:$B,$A13,ConfirmedRaw!AS:AS)</f>
        <v>4</v>
      </c>
      <c r="AQ13">
        <f>SUMIF(ConfirmedRaw!$B:$B,$A13,ConfirmedRaw!AT:AT)</f>
        <v>6</v>
      </c>
      <c r="AR13">
        <f>SUMIF(ConfirmedRaw!$B:$B,$A13,ConfirmedRaw!AU:AU)</f>
        <v>11</v>
      </c>
      <c r="AS13">
        <f>SUMIF(ConfirmedRaw!$B:$B,$A13,ConfirmedRaw!AV:AV)</f>
        <v>11</v>
      </c>
      <c r="AT13">
        <f>SUMIF(ConfirmedRaw!$B:$B,$A13,ConfirmedRaw!AW:AW)</f>
        <v>24</v>
      </c>
      <c r="AU13">
        <f>SUMIF(ConfirmedRaw!$B:$B,$A13,ConfirmedRaw!AX:AX)</f>
        <v>24</v>
      </c>
      <c r="AV13">
        <f>SUMIF(ConfirmedRaw!$B:$B,$A13,ConfirmedRaw!AY:AY)</f>
        <v>37</v>
      </c>
      <c r="AW13">
        <f>SUMIF(ConfirmedRaw!$B:$B,$A13,ConfirmedRaw!AZ:AZ)</f>
        <v>92</v>
      </c>
      <c r="AX13">
        <f>SUMIF(ConfirmedRaw!$B:$B,$A13,ConfirmedRaw!BA:BA)</f>
        <v>264</v>
      </c>
      <c r="AY13">
        <f>SUMIF(ConfirmedRaw!$B:$B,$A13,ConfirmedRaw!BB:BB)</f>
        <v>444</v>
      </c>
      <c r="AZ13">
        <f>SUMIF(ConfirmedRaw!$B:$B,$A13,ConfirmedRaw!BC:BC)</f>
        <v>617</v>
      </c>
      <c r="BA13">
        <f>SUMIF(ConfirmedRaw!$B:$B,$A13,ConfirmedRaw!BD:BD)</f>
        <v>804</v>
      </c>
      <c r="BB13">
        <f>SUMIF(ConfirmedRaw!$B:$B,$A13,ConfirmedRaw!BE:BE)</f>
        <v>836</v>
      </c>
      <c r="BC13">
        <f>SUMIF(ConfirmedRaw!$B:$B,$A13,ConfirmedRaw!BF:BF)</f>
        <v>875</v>
      </c>
      <c r="BD13">
        <f>SUMIF(ConfirmedRaw!$B:$B,$A13,ConfirmedRaw!BG:BG)</f>
        <v>933</v>
      </c>
      <c r="BE13">
        <f>SUMIF(ConfirmedRaw!$B:$B,$A13,ConfirmedRaw!BH:BH)</f>
        <v>1025</v>
      </c>
      <c r="BF13">
        <f>SUMIF(ConfirmedRaw!$B:$B,$A13,ConfirmedRaw!BI:BI)</f>
        <v>1116</v>
      </c>
      <c r="BG13">
        <f>SUMIF(ConfirmedRaw!$B:$B,$A13,ConfirmedRaw!BJ:BJ)</f>
        <v>1225</v>
      </c>
      <c r="BH13">
        <f>SUMIF(ConfirmedRaw!$B:$B,$A13,ConfirmedRaw!BK:BK)</f>
        <v>1337</v>
      </c>
      <c r="BI13">
        <f>SUMIF(ConfirmedRaw!$B:$B,$A13,ConfirmedRaw!BL:BL)</f>
        <v>0</v>
      </c>
      <c r="BJ13">
        <f>SUMIF(ConfirmedRaw!$B:$B,$A13,ConfirmedRaw!BM:BM)</f>
        <v>0</v>
      </c>
      <c r="BK13">
        <f>SUMIF(ConfirmedRaw!$B:$B,$A13,ConfirmedRaw!BN:BN)</f>
        <v>0</v>
      </c>
      <c r="BL13">
        <f>SUMIF(ConfirmedRaw!$B:$B,$A13,ConfirmedRaw!BO:BO)</f>
        <v>0</v>
      </c>
      <c r="BM13">
        <f>SUMIF(ConfirmedRaw!$B:$B,$A13,ConfirmedRaw!BP:BP)</f>
        <v>0</v>
      </c>
      <c r="BN13">
        <f>SUMIF(ConfirmedRaw!$B:$B,$A13,ConfirmedRaw!BQ:BQ)</f>
        <v>0</v>
      </c>
      <c r="BO13">
        <f>SUMIF(ConfirmedRaw!$B:$B,$A13,ConfirmedRaw!BR:BR)</f>
        <v>0</v>
      </c>
      <c r="BP13">
        <f>SUMIF(ConfirmedRaw!$B:$B,$A13,ConfirmedRaw!BS:BS)</f>
        <v>0</v>
      </c>
      <c r="BQ13">
        <f>SUMIF(ConfirmedRaw!$B:$B,$A13,ConfirmedRaw!BT:BT)</f>
        <v>0</v>
      </c>
      <c r="BR13">
        <f>SUMIF(ConfirmedRaw!$B:$B,$A13,ConfirmedRaw!BU:BU)</f>
        <v>0</v>
      </c>
      <c r="BS13">
        <f>SUMIF(ConfirmedRaw!$B:$B,$A13,ConfirmedRaw!BV:BV)</f>
        <v>0</v>
      </c>
      <c r="BT13">
        <f>SUMIF(ConfirmedRaw!$B:$B,$A13,ConfirmedRaw!BW:BW)</f>
        <v>0</v>
      </c>
    </row>
    <row r="14" spans="1:72" ht="15" thickBot="1" x14ac:dyDescent="0.35">
      <c r="A14" s="3" t="s">
        <v>89</v>
      </c>
      <c r="B14">
        <f>SUMIF(ConfirmedRaw!$B:$B,$A14,ConfirmedRaw!E:E)</f>
        <v>0</v>
      </c>
      <c r="C14">
        <f>SUMIF(ConfirmedRaw!$B:$B,$A14,ConfirmedRaw!F:F)</f>
        <v>0</v>
      </c>
      <c r="D14">
        <f>SUMIF(ConfirmedRaw!$B:$B,$A14,ConfirmedRaw!G:G)</f>
        <v>0</v>
      </c>
      <c r="E14">
        <f>SUMIF(ConfirmedRaw!$B:$B,$A14,ConfirmedRaw!H:H)</f>
        <v>0</v>
      </c>
      <c r="F14">
        <f>SUMIF(ConfirmedRaw!$B:$B,$A14,ConfirmedRaw!I:I)</f>
        <v>0</v>
      </c>
      <c r="G14">
        <f>SUMIF(ConfirmedRaw!$B:$B,$A14,ConfirmedRaw!J:J)</f>
        <v>0</v>
      </c>
      <c r="H14">
        <f>SUMIF(ConfirmedRaw!$B:$B,$A14,ConfirmedRaw!K:K)</f>
        <v>0</v>
      </c>
      <c r="I14">
        <f>SUMIF(ConfirmedRaw!$B:$B,$A14,ConfirmedRaw!L:L)</f>
        <v>0</v>
      </c>
      <c r="J14">
        <f>SUMIF(ConfirmedRaw!$B:$B,$A14,ConfirmedRaw!M:M)</f>
        <v>0</v>
      </c>
      <c r="K14">
        <f>SUMIF(ConfirmedRaw!$B:$B,$A14,ConfirmedRaw!N:N)</f>
        <v>0</v>
      </c>
      <c r="L14">
        <f>SUMIF(ConfirmedRaw!$B:$B,$A14,ConfirmedRaw!O:O)</f>
        <v>0</v>
      </c>
      <c r="M14">
        <f>SUMIF(ConfirmedRaw!$B:$B,$A14,ConfirmedRaw!P:P)</f>
        <v>0</v>
      </c>
      <c r="N14">
        <f>SUMIF(ConfirmedRaw!$B:$B,$A14,ConfirmedRaw!Q:Q)</f>
        <v>0</v>
      </c>
      <c r="O14">
        <f>SUMIF(ConfirmedRaw!$B:$B,$A14,ConfirmedRaw!R:R)</f>
        <v>0</v>
      </c>
      <c r="P14">
        <f>SUMIF(ConfirmedRaw!$B:$B,$A14,ConfirmedRaw!S:S)</f>
        <v>0</v>
      </c>
      <c r="Q14">
        <f>SUMIF(ConfirmedRaw!$B:$B,$A14,ConfirmedRaw!T:T)</f>
        <v>0</v>
      </c>
      <c r="R14">
        <f>SUMIF(ConfirmedRaw!$B:$B,$A14,ConfirmedRaw!U:U)</f>
        <v>0</v>
      </c>
      <c r="S14">
        <f>SUMIF(ConfirmedRaw!$B:$B,$A14,ConfirmedRaw!V:V)</f>
        <v>0</v>
      </c>
      <c r="T14">
        <f>SUMIF(ConfirmedRaw!$B:$B,$A14,ConfirmedRaw!W:W)</f>
        <v>0</v>
      </c>
      <c r="U14">
        <f>SUMIF(ConfirmedRaw!$B:$B,$A14,ConfirmedRaw!X:X)</f>
        <v>0</v>
      </c>
      <c r="V14">
        <f>SUMIF(ConfirmedRaw!$B:$B,$A14,ConfirmedRaw!Y:Y)</f>
        <v>0</v>
      </c>
      <c r="W14">
        <f>SUMIF(ConfirmedRaw!$B:$B,$A14,ConfirmedRaw!Z:Z)</f>
        <v>0</v>
      </c>
      <c r="X14">
        <f>SUMIF(ConfirmedRaw!$B:$B,$A14,ConfirmedRaw!AA:AA)</f>
        <v>0</v>
      </c>
      <c r="Y14">
        <f>SUMIF(ConfirmedRaw!$B:$B,$A14,ConfirmedRaw!AB:AB)</f>
        <v>0</v>
      </c>
      <c r="Z14">
        <f>SUMIF(ConfirmedRaw!$B:$B,$A14,ConfirmedRaw!AC:AC)</f>
        <v>0</v>
      </c>
      <c r="AA14">
        <f>SUMIF(ConfirmedRaw!$B:$B,$A14,ConfirmedRaw!AD:AD)</f>
        <v>0</v>
      </c>
      <c r="AB14">
        <f>SUMIF(ConfirmedRaw!$B:$B,$A14,ConfirmedRaw!AE:AE)</f>
        <v>0</v>
      </c>
      <c r="AC14">
        <f>SUMIF(ConfirmedRaw!$B:$B,$A14,ConfirmedRaw!AF:AF)</f>
        <v>0</v>
      </c>
      <c r="AD14">
        <f>SUMIF(ConfirmedRaw!$B:$B,$A14,ConfirmedRaw!AG:AG)</f>
        <v>0</v>
      </c>
      <c r="AE14">
        <f>SUMIF(ConfirmedRaw!$B:$B,$A14,ConfirmedRaw!AH:AH)</f>
        <v>0</v>
      </c>
      <c r="AF14">
        <f>SUMIF(ConfirmedRaw!$B:$B,$A14,ConfirmedRaw!AI:AI)</f>
        <v>0</v>
      </c>
      <c r="AG14">
        <f>SUMIF(ConfirmedRaw!$B:$B,$A14,ConfirmedRaw!AJ:AJ)</f>
        <v>0</v>
      </c>
      <c r="AH14">
        <f>SUMIF(ConfirmedRaw!$B:$B,$A14,ConfirmedRaw!AK:AK)</f>
        <v>0</v>
      </c>
      <c r="AI14">
        <f>SUMIF(ConfirmedRaw!$B:$B,$A14,ConfirmedRaw!AL:AL)</f>
        <v>0</v>
      </c>
      <c r="AJ14">
        <f>SUMIF(ConfirmedRaw!$B:$B,$A14,ConfirmedRaw!AM:AM)</f>
        <v>0</v>
      </c>
      <c r="AK14">
        <f>SUMIF(ConfirmedRaw!$B:$B,$A14,ConfirmedRaw!AN:AN)</f>
        <v>0</v>
      </c>
      <c r="AL14">
        <f>SUMIF(ConfirmedRaw!$B:$B,$A14,ConfirmedRaw!AO:AO)</f>
        <v>1</v>
      </c>
      <c r="AM14">
        <f>SUMIF(ConfirmedRaw!$B:$B,$A14,ConfirmedRaw!AP:AP)</f>
        <v>1</v>
      </c>
      <c r="AN14">
        <f>SUMIF(ConfirmedRaw!$B:$B,$A14,ConfirmedRaw!AQ:AQ)</f>
        <v>6</v>
      </c>
      <c r="AO14">
        <f>SUMIF(ConfirmedRaw!$B:$B,$A14,ConfirmedRaw!AR:AR)</f>
        <v>10</v>
      </c>
      <c r="AP14">
        <f>SUMIF(ConfirmedRaw!$B:$B,$A14,ConfirmedRaw!AS:AS)</f>
        <v>18</v>
      </c>
      <c r="AQ14">
        <f>SUMIF(ConfirmedRaw!$B:$B,$A14,ConfirmedRaw!AT:AT)</f>
        <v>24</v>
      </c>
      <c r="AR14">
        <f>SUMIF(ConfirmedRaw!$B:$B,$A14,ConfirmedRaw!AU:AU)</f>
        <v>38</v>
      </c>
      <c r="AS14">
        <f>SUMIF(ConfirmedRaw!$B:$B,$A14,ConfirmedRaw!AV:AV)</f>
        <v>82</v>
      </c>
      <c r="AT14">
        <f>SUMIF(ConfirmedRaw!$B:$B,$A14,ConfirmedRaw!AW:AW)</f>
        <v>128</v>
      </c>
      <c r="AU14">
        <f>SUMIF(ConfirmedRaw!$B:$B,$A14,ConfirmedRaw!AX:AX)</f>
        <v>188</v>
      </c>
      <c r="AV14">
        <f>SUMIF(ConfirmedRaw!$B:$B,$A14,ConfirmedRaw!AY:AY)</f>
        <v>265</v>
      </c>
      <c r="AW14">
        <f>SUMIF(ConfirmedRaw!$B:$B,$A14,ConfirmedRaw!AZ:AZ)</f>
        <v>321</v>
      </c>
      <c r="AX14">
        <f>SUMIF(ConfirmedRaw!$B:$B,$A14,ConfirmedRaw!BA:BA)</f>
        <v>382</v>
      </c>
      <c r="AY14">
        <f>SUMIF(ConfirmedRaw!$B:$B,$A14,ConfirmedRaw!BB:BB)</f>
        <v>503</v>
      </c>
      <c r="AZ14">
        <f>SUMIF(ConfirmedRaw!$B:$B,$A14,ConfirmedRaw!BC:BC)</f>
        <v>503</v>
      </c>
      <c r="BA14">
        <f>SUMIF(ConfirmedRaw!$B:$B,$A14,ConfirmedRaw!BD:BD)</f>
        <v>806</v>
      </c>
      <c r="BB14">
        <f>SUMIF(ConfirmedRaw!$B:$B,$A14,ConfirmedRaw!BE:BE)</f>
        <v>962</v>
      </c>
      <c r="BC14">
        <f>SUMIF(ConfirmedRaw!$B:$B,$A14,ConfirmedRaw!BF:BF)</f>
        <v>1138</v>
      </c>
      <c r="BD14">
        <f>SUMIF(ConfirmedRaw!$B:$B,$A14,ConfirmedRaw!BG:BG)</f>
        <v>1416</v>
      </c>
      <c r="BE14">
        <f>SUMIF(ConfirmedRaw!$B:$B,$A14,ConfirmedRaw!BH:BH)</f>
        <v>1711</v>
      </c>
      <c r="BF14">
        <f>SUMIF(ConfirmedRaw!$B:$B,$A14,ConfirmedRaw!BI:BI)</f>
        <v>2058</v>
      </c>
      <c r="BG14">
        <f>SUMIF(ConfirmedRaw!$B:$B,$A14,ConfirmedRaw!BJ:BJ)</f>
        <v>2467</v>
      </c>
      <c r="BH14">
        <f>SUMIF(ConfirmedRaw!$B:$B,$A14,ConfirmedRaw!BK:BK)</f>
        <v>3003</v>
      </c>
      <c r="BI14">
        <f>SUMIF(ConfirmedRaw!$B:$B,$A14,ConfirmedRaw!BL:BL)</f>
        <v>0</v>
      </c>
      <c r="BJ14">
        <f>SUMIF(ConfirmedRaw!$B:$B,$A14,ConfirmedRaw!BM:BM)</f>
        <v>0</v>
      </c>
      <c r="BK14">
        <f>SUMIF(ConfirmedRaw!$B:$B,$A14,ConfirmedRaw!BN:BN)</f>
        <v>0</v>
      </c>
      <c r="BL14">
        <f>SUMIF(ConfirmedRaw!$B:$B,$A14,ConfirmedRaw!BO:BO)</f>
        <v>0</v>
      </c>
      <c r="BM14">
        <f>SUMIF(ConfirmedRaw!$B:$B,$A14,ConfirmedRaw!BP:BP)</f>
        <v>0</v>
      </c>
      <c r="BN14">
        <f>SUMIF(ConfirmedRaw!$B:$B,$A14,ConfirmedRaw!BQ:BQ)</f>
        <v>0</v>
      </c>
      <c r="BO14">
        <f>SUMIF(ConfirmedRaw!$B:$B,$A14,ConfirmedRaw!BR:BR)</f>
        <v>0</v>
      </c>
      <c r="BP14">
        <f>SUMIF(ConfirmedRaw!$B:$B,$A14,ConfirmedRaw!BS:BS)</f>
        <v>0</v>
      </c>
      <c r="BQ14">
        <f>SUMIF(ConfirmedRaw!$B:$B,$A14,ConfirmedRaw!BT:BT)</f>
        <v>0</v>
      </c>
      <c r="BR14">
        <f>SUMIF(ConfirmedRaw!$B:$B,$A14,ConfirmedRaw!BU:BU)</f>
        <v>0</v>
      </c>
      <c r="BS14">
        <f>SUMIF(ConfirmedRaw!$B:$B,$A14,ConfirmedRaw!BV:BV)</f>
        <v>0</v>
      </c>
      <c r="BT14">
        <f>SUMIF(ConfirmedRaw!$B:$B,$A14,ConfirmedRaw!BW:BW)</f>
        <v>0</v>
      </c>
    </row>
    <row r="15" spans="1:72" ht="15" thickBot="1" x14ac:dyDescent="0.35">
      <c r="A15" s="3" t="s">
        <v>349</v>
      </c>
      <c r="B15">
        <f>SUMIF(ConfirmedRaw!$B:$B,$A15,ConfirmedRaw!E:E)</f>
        <v>0</v>
      </c>
      <c r="C15">
        <f>SUMIF(ConfirmedRaw!$B:$B,$A15,ConfirmedRaw!F:F)</f>
        <v>0</v>
      </c>
      <c r="D15">
        <f>SUMIF(ConfirmedRaw!$B:$B,$A15,ConfirmedRaw!G:G)</f>
        <v>0</v>
      </c>
      <c r="E15">
        <f>SUMIF(ConfirmedRaw!$B:$B,$A15,ConfirmedRaw!H:H)</f>
        <v>0</v>
      </c>
      <c r="F15">
        <f>SUMIF(ConfirmedRaw!$B:$B,$A15,ConfirmedRaw!I:I)</f>
        <v>0</v>
      </c>
      <c r="G15">
        <f>SUMIF(ConfirmedRaw!$B:$B,$A15,ConfirmedRaw!J:J)</f>
        <v>0</v>
      </c>
      <c r="H15">
        <f>SUMIF(ConfirmedRaw!$B:$B,$A15,ConfirmedRaw!K:K)</f>
        <v>0</v>
      </c>
      <c r="I15">
        <f>SUMIF(ConfirmedRaw!$B:$B,$A15,ConfirmedRaw!L:L)</f>
        <v>0</v>
      </c>
      <c r="J15">
        <f>SUMIF(ConfirmedRaw!$B:$B,$A15,ConfirmedRaw!M:M)</f>
        <v>0</v>
      </c>
      <c r="K15">
        <f>SUMIF(ConfirmedRaw!$B:$B,$A15,ConfirmedRaw!N:N)</f>
        <v>2</v>
      </c>
      <c r="L15">
        <f>SUMIF(ConfirmedRaw!$B:$B,$A15,ConfirmedRaw!O:O)</f>
        <v>2</v>
      </c>
      <c r="M15">
        <f>SUMIF(ConfirmedRaw!$B:$B,$A15,ConfirmedRaw!P:P)</f>
        <v>2</v>
      </c>
      <c r="N15">
        <f>SUMIF(ConfirmedRaw!$B:$B,$A15,ConfirmedRaw!Q:Q)</f>
        <v>2</v>
      </c>
      <c r="O15">
        <f>SUMIF(ConfirmedRaw!$B:$B,$A15,ConfirmedRaw!R:R)</f>
        <v>2</v>
      </c>
      <c r="P15">
        <f>SUMIF(ConfirmedRaw!$B:$B,$A15,ConfirmedRaw!S:S)</f>
        <v>2</v>
      </c>
      <c r="Q15">
        <f>SUMIF(ConfirmedRaw!$B:$B,$A15,ConfirmedRaw!T:T)</f>
        <v>2</v>
      </c>
      <c r="R15">
        <f>SUMIF(ConfirmedRaw!$B:$B,$A15,ConfirmedRaw!U:U)</f>
        <v>3</v>
      </c>
      <c r="S15">
        <f>SUMIF(ConfirmedRaw!$B:$B,$A15,ConfirmedRaw!V:V)</f>
        <v>3</v>
      </c>
      <c r="T15">
        <f>SUMIF(ConfirmedRaw!$B:$B,$A15,ConfirmedRaw!W:W)</f>
        <v>3</v>
      </c>
      <c r="U15">
        <f>SUMIF(ConfirmedRaw!$B:$B,$A15,ConfirmedRaw!X:X)</f>
        <v>8</v>
      </c>
      <c r="V15">
        <f>SUMIF(ConfirmedRaw!$B:$B,$A15,ConfirmedRaw!Y:Y)</f>
        <v>8</v>
      </c>
      <c r="W15">
        <f>SUMIF(ConfirmedRaw!$B:$B,$A15,ConfirmedRaw!Z:Z)</f>
        <v>9</v>
      </c>
      <c r="X15">
        <f>SUMIF(ConfirmedRaw!$B:$B,$A15,ConfirmedRaw!AA:AA)</f>
        <v>9</v>
      </c>
      <c r="Y15">
        <f>SUMIF(ConfirmedRaw!$B:$B,$A15,ConfirmedRaw!AB:AB)</f>
        <v>9</v>
      </c>
      <c r="Z15">
        <f>SUMIF(ConfirmedRaw!$B:$B,$A15,ConfirmedRaw!AC:AC)</f>
        <v>9</v>
      </c>
      <c r="AA15">
        <f>SUMIF(ConfirmedRaw!$B:$B,$A15,ConfirmedRaw!AD:AD)</f>
        <v>9</v>
      </c>
      <c r="AB15">
        <f>SUMIF(ConfirmedRaw!$B:$B,$A15,ConfirmedRaw!AE:AE)</f>
        <v>9</v>
      </c>
      <c r="AC15">
        <f>SUMIF(ConfirmedRaw!$B:$B,$A15,ConfirmedRaw!AF:AF)</f>
        <v>9</v>
      </c>
      <c r="AD15">
        <f>SUMIF(ConfirmedRaw!$B:$B,$A15,ConfirmedRaw!AG:AG)</f>
        <v>9</v>
      </c>
      <c r="AE15">
        <f>SUMIF(ConfirmedRaw!$B:$B,$A15,ConfirmedRaw!AH:AH)</f>
        <v>9</v>
      </c>
      <c r="AF15">
        <f>SUMIF(ConfirmedRaw!$B:$B,$A15,ConfirmedRaw!AI:AI)</f>
        <v>9</v>
      </c>
      <c r="AG15">
        <f>SUMIF(ConfirmedRaw!$B:$B,$A15,ConfirmedRaw!AJ:AJ)</f>
        <v>9</v>
      </c>
      <c r="AH15">
        <f>SUMIF(ConfirmedRaw!$B:$B,$A15,ConfirmedRaw!AK:AK)</f>
        <v>9</v>
      </c>
      <c r="AI15">
        <f>SUMIF(ConfirmedRaw!$B:$B,$A15,ConfirmedRaw!AL:AL)</f>
        <v>13</v>
      </c>
      <c r="AJ15">
        <f>SUMIF(ConfirmedRaw!$B:$B,$A15,ConfirmedRaw!AM:AM)</f>
        <v>13</v>
      </c>
      <c r="AK15">
        <f>SUMIF(ConfirmedRaw!$B:$B,$A15,ConfirmedRaw!AN:AN)</f>
        <v>13</v>
      </c>
      <c r="AL15">
        <f>SUMIF(ConfirmedRaw!$B:$B,$A15,ConfirmedRaw!AO:AO)</f>
        <v>15</v>
      </c>
      <c r="AM15">
        <f>SUMIF(ConfirmedRaw!$B:$B,$A15,ConfirmedRaw!AP:AP)</f>
        <v>20</v>
      </c>
      <c r="AN15">
        <f>SUMIF(ConfirmedRaw!$B:$B,$A15,ConfirmedRaw!AQ:AQ)</f>
        <v>23</v>
      </c>
      <c r="AO15">
        <f>SUMIF(ConfirmedRaw!$B:$B,$A15,ConfirmedRaw!AR:AR)</f>
        <v>36</v>
      </c>
      <c r="AP15">
        <f>SUMIF(ConfirmedRaw!$B:$B,$A15,ConfirmedRaw!AS:AS)</f>
        <v>40</v>
      </c>
      <c r="AQ15">
        <f>SUMIF(ConfirmedRaw!$B:$B,$A15,ConfirmedRaw!AT:AT)</f>
        <v>51</v>
      </c>
      <c r="AR15">
        <f>SUMIF(ConfirmedRaw!$B:$B,$A15,ConfirmedRaw!AU:AU)</f>
        <v>86</v>
      </c>
      <c r="AS15">
        <f>SUMIF(ConfirmedRaw!$B:$B,$A15,ConfirmedRaw!AV:AV)</f>
        <v>116</v>
      </c>
      <c r="AT15">
        <f>SUMIF(ConfirmedRaw!$B:$B,$A15,ConfirmedRaw!AW:AW)</f>
        <v>164</v>
      </c>
      <c r="AU15">
        <f>SUMIF(ConfirmedRaw!$B:$B,$A15,ConfirmedRaw!AX:AX)</f>
        <v>207</v>
      </c>
      <c r="AV15">
        <f>SUMIF(ConfirmedRaw!$B:$B,$A15,ConfirmedRaw!AY:AY)</f>
        <v>274</v>
      </c>
      <c r="AW15">
        <f>SUMIF(ConfirmedRaw!$B:$B,$A15,ConfirmedRaw!AZ:AZ)</f>
        <v>322</v>
      </c>
      <c r="AX15">
        <f>SUMIF(ConfirmedRaw!$B:$B,$A15,ConfirmedRaw!BA:BA)</f>
        <v>384</v>
      </c>
      <c r="AY15">
        <f>SUMIF(ConfirmedRaw!$B:$B,$A15,ConfirmedRaw!BB:BB)</f>
        <v>459</v>
      </c>
      <c r="AZ15">
        <v>590</v>
      </c>
      <c r="BA15">
        <f>SUMIF(ConfirmedRaw!$B:$B,$A15,ConfirmedRaw!BD:BD)</f>
        <v>802</v>
      </c>
      <c r="BB15">
        <f>SUMIF(ConfirmedRaw!$B:$B,$A15,ConfirmedRaw!BE:BE)</f>
        <v>1144</v>
      </c>
      <c r="BC15">
        <v>1355</v>
      </c>
      <c r="BD15">
        <f>SUMIF(ConfirmedRaw!$B:$B,$A15,ConfirmedRaw!BG:BG)</f>
        <v>1551</v>
      </c>
      <c r="BE15">
        <f>SUMIF(ConfirmedRaw!$B:$B,$A15,ConfirmedRaw!BH:BH)</f>
        <v>1960</v>
      </c>
      <c r="BF15">
        <f>SUMIF(ConfirmedRaw!$B:$B,$A15,ConfirmedRaw!BI:BI)</f>
        <v>2642</v>
      </c>
      <c r="BG15">
        <f>SUMIF(ConfirmedRaw!$B:$B,$A15,ConfirmedRaw!BJ:BJ)</f>
        <v>2716</v>
      </c>
      <c r="BH15">
        <f>SUMIF(ConfirmedRaw!$B:$B,$A15,ConfirmedRaw!BK:BK)</f>
        <v>4014</v>
      </c>
      <c r="BI15">
        <f>SUMIF(ConfirmedRaw!$B:$B,$A15,ConfirmedRaw!BL:BL)</f>
        <v>0</v>
      </c>
      <c r="BJ15">
        <f>SUMIF(ConfirmedRaw!$B:$B,$A15,ConfirmedRaw!BM:BM)</f>
        <v>0</v>
      </c>
      <c r="BK15">
        <f>SUMIF(ConfirmedRaw!$B:$B,$A15,ConfirmedRaw!BN:BN)</f>
        <v>0</v>
      </c>
      <c r="BL15">
        <f>SUMIF(ConfirmedRaw!$B:$B,$A15,ConfirmedRaw!BO:BO)</f>
        <v>0</v>
      </c>
      <c r="BM15">
        <f>SUMIF(ConfirmedRaw!$B:$B,$A15,ConfirmedRaw!BP:BP)</f>
        <v>0</v>
      </c>
      <c r="BN15">
        <f>SUMIF(ConfirmedRaw!$B:$B,$A15,ConfirmedRaw!BQ:BQ)</f>
        <v>0</v>
      </c>
      <c r="BO15">
        <f>SUMIF(ConfirmedRaw!$B:$B,$A15,ConfirmedRaw!BR:BR)</f>
        <v>0</v>
      </c>
      <c r="BP15">
        <f>SUMIF(ConfirmedRaw!$B:$B,$A15,ConfirmedRaw!BS:BS)</f>
        <v>0</v>
      </c>
      <c r="BQ15">
        <f>SUMIF(ConfirmedRaw!$B:$B,$A15,ConfirmedRaw!BT:BT)</f>
        <v>0</v>
      </c>
      <c r="BR15">
        <f>SUMIF(ConfirmedRaw!$B:$B,$A15,ConfirmedRaw!BU:BU)</f>
        <v>0</v>
      </c>
      <c r="BS15">
        <f>SUMIF(ConfirmedRaw!$B:$B,$A15,ConfirmedRaw!BV:BV)</f>
        <v>0</v>
      </c>
      <c r="BT15">
        <f>SUMIF(ConfirmedRaw!$B:$B,$A15,ConfirmedRaw!BW:BW)</f>
        <v>0</v>
      </c>
    </row>
    <row r="16" spans="1:72" ht="15" thickBot="1" x14ac:dyDescent="0.35">
      <c r="A16" s="4" t="s">
        <v>36</v>
      </c>
      <c r="B16">
        <f>SUMIF(ConfirmedRaw!$B:$B,$A16,ConfirmedRaw!E:E)</f>
        <v>2</v>
      </c>
      <c r="C16">
        <f>SUMIF(ConfirmedRaw!$B:$B,$A16,ConfirmedRaw!F:F)</f>
        <v>1</v>
      </c>
      <c r="D16">
        <f>SUMIF(ConfirmedRaw!$B:$B,$A16,ConfirmedRaw!G:G)</f>
        <v>2</v>
      </c>
      <c r="E16">
        <f>SUMIF(ConfirmedRaw!$B:$B,$A16,ConfirmedRaw!H:H)</f>
        <v>2</v>
      </c>
      <c r="F16">
        <f>SUMIF(ConfirmedRaw!$B:$B,$A16,ConfirmedRaw!I:I)</f>
        <v>4</v>
      </c>
      <c r="G16">
        <f>SUMIF(ConfirmedRaw!$B:$B,$A16,ConfirmedRaw!J:J)</f>
        <v>4</v>
      </c>
      <c r="H16">
        <f>SUMIF(ConfirmedRaw!$B:$B,$A16,ConfirmedRaw!K:K)</f>
        <v>7</v>
      </c>
      <c r="I16">
        <f>SUMIF(ConfirmedRaw!$B:$B,$A16,ConfirmedRaw!L:L)</f>
        <v>7</v>
      </c>
      <c r="J16">
        <f>SUMIF(ConfirmedRaw!$B:$B,$A16,ConfirmedRaw!M:M)</f>
        <v>11</v>
      </c>
      <c r="K16">
        <f>SUMIF(ConfirmedRaw!$B:$B,$A16,ConfirmedRaw!N:N)</f>
        <v>15</v>
      </c>
      <c r="L16">
        <f>SUMIF(ConfirmedRaw!$B:$B,$A16,ConfirmedRaw!O:O)</f>
        <v>20</v>
      </c>
      <c r="M16">
        <f>SUMIF(ConfirmedRaw!$B:$B,$A16,ConfirmedRaw!P:P)</f>
        <v>20</v>
      </c>
      <c r="N16">
        <f>SUMIF(ConfirmedRaw!$B:$B,$A16,ConfirmedRaw!Q:Q)</f>
        <v>20</v>
      </c>
      <c r="O16">
        <f>SUMIF(ConfirmedRaw!$B:$B,$A16,ConfirmedRaw!R:R)</f>
        <v>22</v>
      </c>
      <c r="P16">
        <f>SUMIF(ConfirmedRaw!$B:$B,$A16,ConfirmedRaw!S:S)</f>
        <v>22</v>
      </c>
      <c r="Q16">
        <f>SUMIF(ConfirmedRaw!$B:$B,$A16,ConfirmedRaw!T:T)</f>
        <v>45</v>
      </c>
      <c r="R16">
        <f>SUMIF(ConfirmedRaw!$B:$B,$A16,ConfirmedRaw!U:U)</f>
        <v>25</v>
      </c>
      <c r="S16">
        <f>SUMIF(ConfirmedRaw!$B:$B,$A16,ConfirmedRaw!V:V)</f>
        <v>25</v>
      </c>
      <c r="T16">
        <f>SUMIF(ConfirmedRaw!$B:$B,$A16,ConfirmedRaw!W:W)</f>
        <v>26</v>
      </c>
      <c r="U16">
        <f>SUMIF(ConfirmedRaw!$B:$B,$A16,ConfirmedRaw!X:X)</f>
        <v>26</v>
      </c>
      <c r="V16">
        <f>SUMIF(ConfirmedRaw!$B:$B,$A16,ConfirmedRaw!Y:Y)</f>
        <v>26</v>
      </c>
      <c r="W16">
        <f>SUMIF(ConfirmedRaw!$B:$B,$A16,ConfirmedRaw!Z:Z)</f>
        <v>28</v>
      </c>
      <c r="X16">
        <f>SUMIF(ConfirmedRaw!$B:$B,$A16,ConfirmedRaw!AA:AA)</f>
        <v>28</v>
      </c>
      <c r="Y16">
        <f>SUMIF(ConfirmedRaw!$B:$B,$A16,ConfirmedRaw!AB:AB)</f>
        <v>29</v>
      </c>
      <c r="Z16">
        <f>SUMIF(ConfirmedRaw!$B:$B,$A16,ConfirmedRaw!AC:AC)</f>
        <v>43</v>
      </c>
      <c r="AA16">
        <f>SUMIF(ConfirmedRaw!$B:$B,$A16,ConfirmedRaw!AD:AD)</f>
        <v>59</v>
      </c>
      <c r="AB16">
        <f>SUMIF(ConfirmedRaw!$B:$B,$A16,ConfirmedRaw!AE:AE)</f>
        <v>66</v>
      </c>
      <c r="AC16">
        <f>SUMIF(ConfirmedRaw!$B:$B,$A16,ConfirmedRaw!AF:AF)</f>
        <v>74</v>
      </c>
      <c r="AD16">
        <f>SUMIF(ConfirmedRaw!$B:$B,$A16,ConfirmedRaw!AG:AG)</f>
        <v>84</v>
      </c>
      <c r="AE16">
        <f>SUMIF(ConfirmedRaw!$B:$B,$A16,ConfirmedRaw!AH:AH)</f>
        <v>94</v>
      </c>
      <c r="AF16">
        <f>SUMIF(ConfirmedRaw!$B:$B,$A16,ConfirmedRaw!AI:AI)</f>
        <v>105</v>
      </c>
      <c r="AG16">
        <f>SUMIF(ConfirmedRaw!$B:$B,$A16,ConfirmedRaw!AJ:AJ)</f>
        <v>122</v>
      </c>
      <c r="AH16">
        <f>SUMIF(ConfirmedRaw!$B:$B,$A16,ConfirmedRaw!AK:AK)</f>
        <v>147</v>
      </c>
      <c r="AI16">
        <f>SUMIF(ConfirmedRaw!$B:$B,$A16,ConfirmedRaw!AL:AL)</f>
        <v>159</v>
      </c>
      <c r="AJ16">
        <f>SUMIF(ConfirmedRaw!$B:$B,$A16,ConfirmedRaw!AM:AM)</f>
        <v>170</v>
      </c>
      <c r="AK16">
        <f>SUMIF(ConfirmedRaw!$B:$B,$A16,ConfirmedRaw!AN:AN)</f>
        <v>189</v>
      </c>
      <c r="AL16">
        <f>SUMIF(ConfirmedRaw!$B:$B,$A16,ConfirmedRaw!AO:AO)</f>
        <v>214</v>
      </c>
      <c r="AM16">
        <f>SUMIF(ConfirmedRaw!$B:$B,$A16,ConfirmedRaw!AP:AP)</f>
        <v>228</v>
      </c>
      <c r="AN16">
        <f>SUMIF(ConfirmedRaw!$B:$B,$A16,ConfirmedRaw!AQ:AQ)</f>
        <v>241</v>
      </c>
      <c r="AO16">
        <f>SUMIF(ConfirmedRaw!$B:$B,$A16,ConfirmedRaw!AR:AR)</f>
        <v>256</v>
      </c>
      <c r="AP16">
        <f>SUMIF(ConfirmedRaw!$B:$B,$A16,ConfirmedRaw!AS:AS)</f>
        <v>274</v>
      </c>
      <c r="AQ16">
        <f>SUMIF(ConfirmedRaw!$B:$B,$A16,ConfirmedRaw!AT:AT)</f>
        <v>293</v>
      </c>
      <c r="AR16">
        <f>SUMIF(ConfirmedRaw!$B:$B,$A16,ConfirmedRaw!AU:AU)</f>
        <v>331</v>
      </c>
      <c r="AS16">
        <f>SUMIF(ConfirmedRaw!$B:$B,$A16,ConfirmedRaw!AV:AV)</f>
        <v>360</v>
      </c>
      <c r="AT16">
        <f>SUMIF(ConfirmedRaw!$B:$B,$A16,ConfirmedRaw!AW:AW)</f>
        <v>420</v>
      </c>
      <c r="AU16">
        <f>SUMIF(ConfirmedRaw!$B:$B,$A16,ConfirmedRaw!AX:AX)</f>
        <v>461</v>
      </c>
      <c r="AV16">
        <f>SUMIF(ConfirmedRaw!$B:$B,$A16,ConfirmedRaw!AY:AY)</f>
        <v>502</v>
      </c>
      <c r="AW16">
        <f>SUMIF(ConfirmedRaw!$B:$B,$A16,ConfirmedRaw!AZ:AZ)</f>
        <v>511</v>
      </c>
      <c r="AX16">
        <f>SUMIF(ConfirmedRaw!$B:$B,$A16,ConfirmedRaw!BA:BA)</f>
        <v>581</v>
      </c>
      <c r="AY16">
        <f>SUMIF(ConfirmedRaw!$B:$B,$A16,ConfirmedRaw!BB:BB)</f>
        <v>639</v>
      </c>
      <c r="AZ16">
        <f>SUMIF(ConfirmedRaw!$B:$B,$A16,ConfirmedRaw!BC:BC)</f>
        <v>639</v>
      </c>
      <c r="BA16">
        <f>SUMIF(ConfirmedRaw!$B:$B,$A16,ConfirmedRaw!BD:BD)</f>
        <v>701</v>
      </c>
      <c r="BB16">
        <f>SUMIF(ConfirmedRaw!$B:$B,$A16,ConfirmedRaw!BE:BE)</f>
        <v>773</v>
      </c>
      <c r="BC16">
        <f>SUMIF(ConfirmedRaw!$B:$B,$A16,ConfirmedRaw!BF:BF)</f>
        <v>839</v>
      </c>
      <c r="BD16">
        <f>SUMIF(ConfirmedRaw!$B:$B,$A16,ConfirmedRaw!BG:BG)</f>
        <v>825</v>
      </c>
      <c r="BE16">
        <f>SUMIF(ConfirmedRaw!$B:$B,$A16,ConfirmedRaw!BH:BH)</f>
        <v>878</v>
      </c>
      <c r="BF16">
        <f>SUMIF(ConfirmedRaw!$B:$B,$A16,ConfirmedRaw!BI:BI)</f>
        <v>889</v>
      </c>
      <c r="BG16">
        <f>SUMIF(ConfirmedRaw!$B:$B,$A16,ConfirmedRaw!BJ:BJ)</f>
        <v>924</v>
      </c>
      <c r="BH16">
        <f>SUMIF(ConfirmedRaw!$B:$B,$A16,ConfirmedRaw!BK:BK)</f>
        <v>963</v>
      </c>
      <c r="BI16">
        <f>SUMIF(ConfirmedRaw!$B:$B,$A16,ConfirmedRaw!BL:BL)</f>
        <v>0</v>
      </c>
      <c r="BJ16">
        <f>SUMIF(ConfirmedRaw!$B:$B,$A16,ConfirmedRaw!BM:BM)</f>
        <v>0</v>
      </c>
      <c r="BK16">
        <f>SUMIF(ConfirmedRaw!$B:$B,$A16,ConfirmedRaw!BN:BN)</f>
        <v>0</v>
      </c>
      <c r="BL16">
        <f>SUMIF(ConfirmedRaw!$B:$B,$A16,ConfirmedRaw!BO:BO)</f>
        <v>0</v>
      </c>
      <c r="BM16">
        <f>SUMIF(ConfirmedRaw!$B:$B,$A16,ConfirmedRaw!BP:BP)</f>
        <v>0</v>
      </c>
      <c r="BN16">
        <f>SUMIF(ConfirmedRaw!$B:$B,$A16,ConfirmedRaw!BQ:BQ)</f>
        <v>0</v>
      </c>
      <c r="BO16">
        <f>SUMIF(ConfirmedRaw!$B:$B,$A16,ConfirmedRaw!BR:BR)</f>
        <v>0</v>
      </c>
      <c r="BP16">
        <f>SUMIF(ConfirmedRaw!$B:$B,$A16,ConfirmedRaw!BS:BS)</f>
        <v>0</v>
      </c>
      <c r="BQ16">
        <f>SUMIF(ConfirmedRaw!$B:$B,$A16,ConfirmedRaw!BT:BT)</f>
        <v>0</v>
      </c>
      <c r="BR16">
        <f>SUMIF(ConfirmedRaw!$B:$B,$A16,ConfirmedRaw!BU:BU)</f>
        <v>0</v>
      </c>
      <c r="BS16">
        <f>SUMIF(ConfirmedRaw!$B:$B,$A16,ConfirmedRaw!BV:BV)</f>
        <v>0</v>
      </c>
      <c r="BT16">
        <f>SUMIF(ConfirmedRaw!$B:$B,$A16,ConfirmedRaw!BW:BW)</f>
        <v>0</v>
      </c>
    </row>
    <row r="17" spans="1:72" ht="15" thickBot="1" x14ac:dyDescent="0.35">
      <c r="A17" s="4" t="s">
        <v>340</v>
      </c>
      <c r="B17">
        <f>SUMIF(ConfirmedRaw!$B:$B,$A17,ConfirmedRaw!E:E)</f>
        <v>0</v>
      </c>
      <c r="C17">
        <f>SUMIF(ConfirmedRaw!$B:$B,$A17,ConfirmedRaw!F:F)</f>
        <v>0</v>
      </c>
      <c r="D17">
        <f>SUMIF(ConfirmedRaw!$B:$B,$A17,ConfirmedRaw!G:G)</f>
        <v>0</v>
      </c>
      <c r="E17">
        <f>SUMIF(ConfirmedRaw!$B:$B,$A17,ConfirmedRaw!H:H)</f>
        <v>0</v>
      </c>
      <c r="F17">
        <f>SUMIF(ConfirmedRaw!$B:$B,$A17,ConfirmedRaw!I:I)</f>
        <v>0</v>
      </c>
      <c r="G17">
        <f>SUMIF(ConfirmedRaw!$B:$B,$A17,ConfirmedRaw!J:J)</f>
        <v>0</v>
      </c>
      <c r="H17">
        <f>SUMIF(ConfirmedRaw!$B:$B,$A17,ConfirmedRaw!K:K)</f>
        <v>0</v>
      </c>
      <c r="I17">
        <f>SUMIF(ConfirmedRaw!$B:$B,$A17,ConfirmedRaw!L:L)</f>
        <v>0</v>
      </c>
      <c r="J17">
        <f>SUMIF(ConfirmedRaw!$B:$B,$A17,ConfirmedRaw!M:M)</f>
        <v>0</v>
      </c>
      <c r="K17">
        <f>SUMIF(ConfirmedRaw!$B:$B,$A17,ConfirmedRaw!N:N)</f>
        <v>0</v>
      </c>
      <c r="L17">
        <f>SUMIF(ConfirmedRaw!$B:$B,$A17,ConfirmedRaw!O:O)</f>
        <v>0</v>
      </c>
      <c r="M17">
        <f>SUMIF(ConfirmedRaw!$B:$B,$A17,ConfirmedRaw!P:P)</f>
        <v>0</v>
      </c>
      <c r="N17">
        <f>SUMIF(ConfirmedRaw!$B:$B,$A17,ConfirmedRaw!Q:Q)</f>
        <v>0</v>
      </c>
      <c r="O17">
        <f>SUMIF(ConfirmedRaw!$B:$B,$A17,ConfirmedRaw!R:R)</f>
        <v>0</v>
      </c>
      <c r="P17">
        <f>SUMIF(ConfirmedRaw!$B:$B,$A17,ConfirmedRaw!S:S)</f>
        <v>0</v>
      </c>
      <c r="Q17">
        <f>SUMIF(ConfirmedRaw!$B:$B,$A17,ConfirmedRaw!T:T)</f>
        <v>0</v>
      </c>
      <c r="R17">
        <f>SUMIF(ConfirmedRaw!$B:$B,$A17,ConfirmedRaw!U:U)</f>
        <v>61</v>
      </c>
      <c r="S17">
        <f>SUMIF(ConfirmedRaw!$B:$B,$A17,ConfirmedRaw!V:V)</f>
        <v>61</v>
      </c>
      <c r="T17">
        <f>SUMIF(ConfirmedRaw!$B:$B,$A17,ConfirmedRaw!W:W)</f>
        <v>64</v>
      </c>
      <c r="U17">
        <f>SUMIF(ConfirmedRaw!$B:$B,$A17,ConfirmedRaw!X:X)</f>
        <v>135</v>
      </c>
      <c r="V17">
        <f>SUMIF(ConfirmedRaw!$B:$B,$A17,ConfirmedRaw!Y:Y)</f>
        <v>135</v>
      </c>
      <c r="W17">
        <f>SUMIF(ConfirmedRaw!$B:$B,$A17,ConfirmedRaw!Z:Z)</f>
        <v>175</v>
      </c>
      <c r="X17">
        <f>SUMIF(ConfirmedRaw!$B:$B,$A17,ConfirmedRaw!AA:AA)</f>
        <v>175</v>
      </c>
      <c r="Y17">
        <f>SUMIF(ConfirmedRaw!$B:$B,$A17,ConfirmedRaw!AB:AB)</f>
        <v>218</v>
      </c>
      <c r="Z17">
        <f>SUMIF(ConfirmedRaw!$B:$B,$A17,ConfirmedRaw!AC:AC)</f>
        <v>285</v>
      </c>
      <c r="AA17">
        <f>SUMIF(ConfirmedRaw!$B:$B,$A17,ConfirmedRaw!AD:AD)</f>
        <v>355</v>
      </c>
      <c r="AB17">
        <f>SUMIF(ConfirmedRaw!$B:$B,$A17,ConfirmedRaw!AE:AE)</f>
        <v>454</v>
      </c>
      <c r="AC17">
        <f>SUMIF(ConfirmedRaw!$B:$B,$A17,ConfirmedRaw!AF:AF)</f>
        <v>542</v>
      </c>
      <c r="AD17">
        <f>SUMIF(ConfirmedRaw!$B:$B,$A17,ConfirmedRaw!AG:AG)</f>
        <v>621</v>
      </c>
      <c r="AE17">
        <f>SUMIF(ConfirmedRaw!$B:$B,$A17,ConfirmedRaw!AH:AH)</f>
        <v>634</v>
      </c>
      <c r="AF17">
        <f>SUMIF(ConfirmedRaw!$B:$B,$A17,ConfirmedRaw!AI:AI)</f>
        <v>634</v>
      </c>
      <c r="AG17">
        <f>SUMIF(ConfirmedRaw!$B:$B,$A17,ConfirmedRaw!AJ:AJ)</f>
        <v>634</v>
      </c>
      <c r="AH17">
        <f>SUMIF(ConfirmedRaw!$B:$B,$A17,ConfirmedRaw!AK:AK)</f>
        <v>691</v>
      </c>
      <c r="AI17">
        <f>SUMIF(ConfirmedRaw!$B:$B,$A17,ConfirmedRaw!AL:AL)</f>
        <v>691</v>
      </c>
      <c r="AJ17">
        <f>SUMIF(ConfirmedRaw!$B:$B,$A17,ConfirmedRaw!AM:AM)</f>
        <v>691</v>
      </c>
      <c r="AK17">
        <f>SUMIF(ConfirmedRaw!$B:$B,$A17,ConfirmedRaw!AN:AN)</f>
        <v>705</v>
      </c>
      <c r="AL17">
        <f>SUMIF(ConfirmedRaw!$B:$B,$A17,ConfirmedRaw!AO:AO)</f>
        <v>705</v>
      </c>
      <c r="AM17">
        <f>SUMIF(ConfirmedRaw!$B:$B,$A17,ConfirmedRaw!AP:AP)</f>
        <v>705</v>
      </c>
      <c r="AN17">
        <f>SUMIF(ConfirmedRaw!$B:$B,$A17,ConfirmedRaw!AQ:AQ)</f>
        <v>705</v>
      </c>
      <c r="AO17">
        <f>SUMIF(ConfirmedRaw!$B:$B,$A17,ConfirmedRaw!AR:AR)</f>
        <v>705</v>
      </c>
      <c r="AP17">
        <f>SUMIF(ConfirmedRaw!$B:$B,$A17,ConfirmedRaw!AS:AS)</f>
        <v>705</v>
      </c>
      <c r="AQ17">
        <f>SUMIF(ConfirmedRaw!$B:$B,$A17,ConfirmedRaw!AT:AT)</f>
        <v>706</v>
      </c>
      <c r="AR17">
        <f>SUMIF(ConfirmedRaw!$B:$B,$A17,ConfirmedRaw!AU:AU)</f>
        <v>706</v>
      </c>
      <c r="AS17">
        <f>SUMIF(ConfirmedRaw!$B:$B,$A17,ConfirmedRaw!AV:AV)</f>
        <v>706</v>
      </c>
      <c r="AT17">
        <f>SUMIF(ConfirmedRaw!$B:$B,$A17,ConfirmedRaw!AW:AW)</f>
        <v>696</v>
      </c>
      <c r="AU17">
        <f>SUMIF(ConfirmedRaw!$B:$B,$A17,ConfirmedRaw!AX:AX)</f>
        <v>696</v>
      </c>
      <c r="AV17">
        <f>SUMIF(ConfirmedRaw!$B:$B,$A17,ConfirmedRaw!AY:AY)</f>
        <v>696</v>
      </c>
      <c r="AW17">
        <f>SUMIF(ConfirmedRaw!$B:$B,$A17,ConfirmedRaw!AZ:AZ)</f>
        <v>696</v>
      </c>
      <c r="AX17">
        <f>SUMIF(ConfirmedRaw!$B:$B,$A17,ConfirmedRaw!BA:BA)</f>
        <v>696</v>
      </c>
      <c r="AY17">
        <f>SUMIF(ConfirmedRaw!$B:$B,$A17,ConfirmedRaw!BB:BB)</f>
        <v>696</v>
      </c>
      <c r="AZ17">
        <f>SUMIF(ConfirmedRaw!$B:$B,$A17,ConfirmedRaw!BC:BC)</f>
        <v>696</v>
      </c>
      <c r="BA17">
        <f>SUMIF(ConfirmedRaw!$B:$B,$A17,ConfirmedRaw!BD:BD)</f>
        <v>696</v>
      </c>
      <c r="BB17">
        <f>SUMIF(ConfirmedRaw!$B:$B,$A17,ConfirmedRaw!BE:BE)</f>
        <v>696</v>
      </c>
      <c r="BC17">
        <f>SUMIF(ConfirmedRaw!$B:$B,$A17,ConfirmedRaw!BF:BF)</f>
        <v>696</v>
      </c>
      <c r="BD17">
        <f>SUMIF(ConfirmedRaw!$B:$B,$A17,ConfirmedRaw!BG:BG)</f>
        <v>696</v>
      </c>
      <c r="BE17">
        <f>SUMIF(ConfirmedRaw!$B:$B,$A17,ConfirmedRaw!BH:BH)</f>
        <v>696</v>
      </c>
      <c r="BF17">
        <f>SUMIF(ConfirmedRaw!$B:$B,$A17,ConfirmedRaw!BI:BI)</f>
        <v>712</v>
      </c>
      <c r="BG17">
        <f>SUMIF(ConfirmedRaw!$B:$B,$A17,ConfirmedRaw!BJ:BJ)</f>
        <v>712</v>
      </c>
      <c r="BH17">
        <f>SUMIF(ConfirmedRaw!$B:$B,$A17,ConfirmedRaw!BK:BK)</f>
        <v>712</v>
      </c>
      <c r="BI17">
        <f>SUMIF(ConfirmedRaw!$B:$B,$A17,ConfirmedRaw!BL:BL)</f>
        <v>0</v>
      </c>
      <c r="BJ17">
        <f>SUMIF(ConfirmedRaw!$B:$B,$A17,ConfirmedRaw!BM:BM)</f>
        <v>0</v>
      </c>
      <c r="BK17">
        <f>SUMIF(ConfirmedRaw!$B:$B,$A17,ConfirmedRaw!BN:BN)</f>
        <v>0</v>
      </c>
      <c r="BL17">
        <f>SUMIF(ConfirmedRaw!$B:$B,$A17,ConfirmedRaw!BO:BO)</f>
        <v>0</v>
      </c>
      <c r="BM17">
        <f>SUMIF(ConfirmedRaw!$B:$B,$A17,ConfirmedRaw!BP:BP)</f>
        <v>0</v>
      </c>
      <c r="BN17">
        <f>SUMIF(ConfirmedRaw!$B:$B,$A17,ConfirmedRaw!BQ:BQ)</f>
        <v>0</v>
      </c>
      <c r="BO17">
        <f>SUMIF(ConfirmedRaw!$B:$B,$A17,ConfirmedRaw!BR:BR)</f>
        <v>0</v>
      </c>
      <c r="BP17">
        <f>SUMIF(ConfirmedRaw!$B:$B,$A17,ConfirmedRaw!BS:BS)</f>
        <v>0</v>
      </c>
      <c r="BQ17">
        <f>SUMIF(ConfirmedRaw!$B:$B,$A17,ConfirmedRaw!BT:BT)</f>
        <v>0</v>
      </c>
      <c r="BR17">
        <f>SUMIF(ConfirmedRaw!$B:$B,$A17,ConfirmedRaw!BU:BU)</f>
        <v>0</v>
      </c>
      <c r="BS17">
        <f>SUMIF(ConfirmedRaw!$B:$B,$A17,ConfirmedRaw!BV:BV)</f>
        <v>0</v>
      </c>
      <c r="BT17">
        <f>SUMIF(ConfirmedRaw!$B:$B,$A17,ConfirmedRaw!BW:BW)</f>
        <v>0</v>
      </c>
    </row>
    <row r="18" spans="1:72" ht="15" thickBot="1" x14ac:dyDescent="0.35">
      <c r="A18" s="3" t="s">
        <v>63</v>
      </c>
      <c r="B18">
        <f>SUMIF(ConfirmedRaw!$B:$B,$A18,ConfirmedRaw!E:E)</f>
        <v>0</v>
      </c>
      <c r="C18">
        <f>SUMIF(ConfirmedRaw!$B:$B,$A18,ConfirmedRaw!F:F)</f>
        <v>0</v>
      </c>
      <c r="D18">
        <f>SUMIF(ConfirmedRaw!$B:$B,$A18,ConfirmedRaw!G:G)</f>
        <v>0</v>
      </c>
      <c r="E18">
        <f>SUMIF(ConfirmedRaw!$B:$B,$A18,ConfirmedRaw!H:H)</f>
        <v>0</v>
      </c>
      <c r="F18">
        <f>SUMIF(ConfirmedRaw!$B:$B,$A18,ConfirmedRaw!I:I)</f>
        <v>0</v>
      </c>
      <c r="G18">
        <f>SUMIF(ConfirmedRaw!$B:$B,$A18,ConfirmedRaw!J:J)</f>
        <v>0</v>
      </c>
      <c r="H18">
        <f>SUMIF(ConfirmedRaw!$B:$B,$A18,ConfirmedRaw!K:K)</f>
        <v>0</v>
      </c>
      <c r="I18">
        <f>SUMIF(ConfirmedRaw!$B:$B,$A18,ConfirmedRaw!L:L)</f>
        <v>0</v>
      </c>
      <c r="J18">
        <f>SUMIF(ConfirmedRaw!$B:$B,$A18,ConfirmedRaw!M:M)</f>
        <v>0</v>
      </c>
      <c r="K18">
        <f>SUMIF(ConfirmedRaw!$B:$B,$A18,ConfirmedRaw!N:N)</f>
        <v>0</v>
      </c>
      <c r="L18">
        <f>SUMIF(ConfirmedRaw!$B:$B,$A18,ConfirmedRaw!O:O)</f>
        <v>0</v>
      </c>
      <c r="M18">
        <f>SUMIF(ConfirmedRaw!$B:$B,$A18,ConfirmedRaw!P:P)</f>
        <v>0</v>
      </c>
      <c r="N18">
        <f>SUMIF(ConfirmedRaw!$B:$B,$A18,ConfirmedRaw!Q:Q)</f>
        <v>0</v>
      </c>
      <c r="O18">
        <f>SUMIF(ConfirmedRaw!$B:$B,$A18,ConfirmedRaw!R:R)</f>
        <v>1</v>
      </c>
      <c r="P18">
        <f>SUMIF(ConfirmedRaw!$B:$B,$A18,ConfirmedRaw!S:S)</f>
        <v>1</v>
      </c>
      <c r="Q18">
        <f>SUMIF(ConfirmedRaw!$B:$B,$A18,ConfirmedRaw!T:T)</f>
        <v>1</v>
      </c>
      <c r="R18">
        <f>SUMIF(ConfirmedRaw!$B:$B,$A18,ConfirmedRaw!U:U)</f>
        <v>1</v>
      </c>
      <c r="S18">
        <f>SUMIF(ConfirmedRaw!$B:$B,$A18,ConfirmedRaw!V:V)</f>
        <v>1</v>
      </c>
      <c r="T18">
        <f>SUMIF(ConfirmedRaw!$B:$B,$A18,ConfirmedRaw!W:W)</f>
        <v>1</v>
      </c>
      <c r="U18">
        <f>SUMIF(ConfirmedRaw!$B:$B,$A18,ConfirmedRaw!X:X)</f>
        <v>1</v>
      </c>
      <c r="V18">
        <f>SUMIF(ConfirmedRaw!$B:$B,$A18,ConfirmedRaw!Y:Y)</f>
        <v>1</v>
      </c>
      <c r="W18">
        <f>SUMIF(ConfirmedRaw!$B:$B,$A18,ConfirmedRaw!Z:Z)</f>
        <v>1</v>
      </c>
      <c r="X18">
        <f>SUMIF(ConfirmedRaw!$B:$B,$A18,ConfirmedRaw!AA:AA)</f>
        <v>1</v>
      </c>
      <c r="Y18">
        <f>SUMIF(ConfirmedRaw!$B:$B,$A18,ConfirmedRaw!AB:AB)</f>
        <v>1</v>
      </c>
      <c r="Z18">
        <f>SUMIF(ConfirmedRaw!$B:$B,$A18,ConfirmedRaw!AC:AC)</f>
        <v>1</v>
      </c>
      <c r="AA18">
        <f>SUMIF(ConfirmedRaw!$B:$B,$A18,ConfirmedRaw!AD:AD)</f>
        <v>1</v>
      </c>
      <c r="AB18">
        <f>SUMIF(ConfirmedRaw!$B:$B,$A18,ConfirmedRaw!AE:AE)</f>
        <v>1</v>
      </c>
      <c r="AC18">
        <f>SUMIF(ConfirmedRaw!$B:$B,$A18,ConfirmedRaw!AF:AF)</f>
        <v>1</v>
      </c>
      <c r="AD18">
        <f>SUMIF(ConfirmedRaw!$B:$B,$A18,ConfirmedRaw!AG:AG)</f>
        <v>1</v>
      </c>
      <c r="AE18">
        <f>SUMIF(ConfirmedRaw!$B:$B,$A18,ConfirmedRaw!AH:AH)</f>
        <v>1</v>
      </c>
      <c r="AF18">
        <f>SUMIF(ConfirmedRaw!$B:$B,$A18,ConfirmedRaw!AI:AI)</f>
        <v>1</v>
      </c>
      <c r="AG18">
        <f>SUMIF(ConfirmedRaw!$B:$B,$A18,ConfirmedRaw!AJ:AJ)</f>
        <v>1</v>
      </c>
      <c r="AH18">
        <f>SUMIF(ConfirmedRaw!$B:$B,$A18,ConfirmedRaw!AK:AK)</f>
        <v>1</v>
      </c>
      <c r="AI18">
        <f>SUMIF(ConfirmedRaw!$B:$B,$A18,ConfirmedRaw!AL:AL)</f>
        <v>1</v>
      </c>
      <c r="AJ18">
        <f>SUMIF(ConfirmedRaw!$B:$B,$A18,ConfirmedRaw!AM:AM)</f>
        <v>1</v>
      </c>
      <c r="AK18">
        <f>SUMIF(ConfirmedRaw!$B:$B,$A18,ConfirmedRaw!AN:AN)</f>
        <v>1</v>
      </c>
      <c r="AL18">
        <f>SUMIF(ConfirmedRaw!$B:$B,$A18,ConfirmedRaw!AO:AO)</f>
        <v>1</v>
      </c>
      <c r="AM18">
        <f>SUMIF(ConfirmedRaw!$B:$B,$A18,ConfirmedRaw!AP:AP)</f>
        <v>1</v>
      </c>
      <c r="AN18">
        <f>SUMIF(ConfirmedRaw!$B:$B,$A18,ConfirmedRaw!AQ:AQ)</f>
        <v>1</v>
      </c>
      <c r="AO18">
        <f>SUMIF(ConfirmedRaw!$B:$B,$A18,ConfirmedRaw!AR:AR)</f>
        <v>2</v>
      </c>
      <c r="AP18">
        <f>SUMIF(ConfirmedRaw!$B:$B,$A18,ConfirmedRaw!AS:AS)</f>
        <v>8</v>
      </c>
      <c r="AQ18">
        <f>SUMIF(ConfirmedRaw!$B:$B,$A18,ConfirmedRaw!AT:AT)</f>
        <v>13</v>
      </c>
      <c r="AR18">
        <f>SUMIF(ConfirmedRaw!$B:$B,$A18,ConfirmedRaw!AU:AU)</f>
        <v>23</v>
      </c>
      <c r="AS18">
        <f>SUMIF(ConfirmedRaw!$B:$B,$A18,ConfirmedRaw!AV:AV)</f>
        <v>50</v>
      </c>
      <c r="AT18">
        <f>SUMIF(ConfirmedRaw!$B:$B,$A18,ConfirmedRaw!AW:AW)</f>
        <v>109</v>
      </c>
      <c r="AU18">
        <f>SUMIF(ConfirmedRaw!$B:$B,$A18,ConfirmedRaw!AX:AX)</f>
        <v>169</v>
      </c>
      <c r="AV18">
        <f>SUMIF(ConfirmedRaw!$B:$B,$A18,ConfirmedRaw!AY:AY)</f>
        <v>200</v>
      </c>
      <c r="AW18">
        <f>SUMIF(ConfirmedRaw!$B:$B,$A18,ConfirmedRaw!AZ:AZ)</f>
        <v>239</v>
      </c>
      <c r="AX18">
        <f>SUMIF(ConfirmedRaw!$B:$B,$A18,ConfirmedRaw!BA:BA)</f>
        <v>267</v>
      </c>
      <c r="AY18">
        <f>SUMIF(ConfirmedRaw!$B:$B,$A18,ConfirmedRaw!BB:BB)</f>
        <v>314</v>
      </c>
      <c r="AZ18">
        <f>SUMIF(ConfirmedRaw!$B:$B,$A18,ConfirmedRaw!BC:BC)</f>
        <v>314</v>
      </c>
      <c r="BA18">
        <f>SUMIF(ConfirmedRaw!$B:$B,$A18,ConfirmedRaw!BD:BD)</f>
        <v>559</v>
      </c>
      <c r="BB18">
        <f>SUMIF(ConfirmedRaw!$B:$B,$A18,ConfirmedRaw!BE:BE)</f>
        <v>689</v>
      </c>
      <c r="BC18">
        <f>SUMIF(ConfirmedRaw!$B:$B,$A18,ConfirmedRaw!BF:BF)</f>
        <v>886</v>
      </c>
      <c r="BD18">
        <f>SUMIF(ConfirmedRaw!$B:$B,$A18,ConfirmedRaw!BG:BG)</f>
        <v>1058</v>
      </c>
      <c r="BE18">
        <f>SUMIF(ConfirmedRaw!$B:$B,$A18,ConfirmedRaw!BH:BH)</f>
        <v>1243</v>
      </c>
      <c r="BF18">
        <f>SUMIF(ConfirmedRaw!$B:$B,$A18,ConfirmedRaw!BI:BI)</f>
        <v>1486</v>
      </c>
      <c r="BG18">
        <f>SUMIF(ConfirmedRaw!$B:$B,$A18,ConfirmedRaw!BJ:BJ)</f>
        <v>1795</v>
      </c>
      <c r="BH18">
        <f>SUMIF(ConfirmedRaw!$B:$B,$A18,ConfirmedRaw!BK:BK)</f>
        <v>2257</v>
      </c>
      <c r="BI18">
        <f>SUMIF(ConfirmedRaw!$B:$B,$A18,ConfirmedRaw!BL:BL)</f>
        <v>0</v>
      </c>
      <c r="BJ18">
        <f>SUMIF(ConfirmedRaw!$B:$B,$A18,ConfirmedRaw!BM:BM)</f>
        <v>0</v>
      </c>
      <c r="BK18">
        <f>SUMIF(ConfirmedRaw!$B:$B,$A18,ConfirmedRaw!BN:BN)</f>
        <v>0</v>
      </c>
      <c r="BL18">
        <f>SUMIF(ConfirmedRaw!$B:$B,$A18,ConfirmedRaw!BO:BO)</f>
        <v>0</v>
      </c>
      <c r="BM18">
        <f>SUMIF(ConfirmedRaw!$B:$B,$A18,ConfirmedRaw!BP:BP)</f>
        <v>0</v>
      </c>
      <c r="BN18">
        <f>SUMIF(ConfirmedRaw!$B:$B,$A18,ConfirmedRaw!BQ:BQ)</f>
        <v>0</v>
      </c>
      <c r="BO18">
        <f>SUMIF(ConfirmedRaw!$B:$B,$A18,ConfirmedRaw!BR:BR)</f>
        <v>0</v>
      </c>
      <c r="BP18">
        <f>SUMIF(ConfirmedRaw!$B:$B,$A18,ConfirmedRaw!BS:BS)</f>
        <v>0</v>
      </c>
      <c r="BQ18">
        <f>SUMIF(ConfirmedRaw!$B:$B,$A18,ConfirmedRaw!BT:BT)</f>
        <v>0</v>
      </c>
      <c r="BR18">
        <f>SUMIF(ConfirmedRaw!$B:$B,$A18,ConfirmedRaw!BU:BU)</f>
        <v>0</v>
      </c>
      <c r="BS18">
        <f>SUMIF(ConfirmedRaw!$B:$B,$A18,ConfirmedRaw!BV:BV)</f>
        <v>0</v>
      </c>
      <c r="BT18">
        <f>SUMIF(ConfirmedRaw!$B:$B,$A18,ConfirmedRaw!BW:BW)</f>
        <v>0</v>
      </c>
    </row>
    <row r="19" spans="1:72" ht="15" thickBot="1" x14ac:dyDescent="0.35">
      <c r="A19" s="3" t="s">
        <v>78</v>
      </c>
      <c r="B19">
        <f>SUMIF(ConfirmedRaw!$B:$B,$A19,ConfirmedRaw!E:E)</f>
        <v>0</v>
      </c>
      <c r="C19">
        <f>SUMIF(ConfirmedRaw!$B:$B,$A19,ConfirmedRaw!F:F)</f>
        <v>0</v>
      </c>
      <c r="D19">
        <f>SUMIF(ConfirmedRaw!$B:$B,$A19,ConfirmedRaw!G:G)</f>
        <v>0</v>
      </c>
      <c r="E19">
        <f>SUMIF(ConfirmedRaw!$B:$B,$A19,ConfirmedRaw!H:H)</f>
        <v>0</v>
      </c>
      <c r="F19">
        <f>SUMIF(ConfirmedRaw!$B:$B,$A19,ConfirmedRaw!I:I)</f>
        <v>0</v>
      </c>
      <c r="G19">
        <f>SUMIF(ConfirmedRaw!$B:$B,$A19,ConfirmedRaw!J:J)</f>
        <v>0</v>
      </c>
      <c r="H19">
        <f>SUMIF(ConfirmedRaw!$B:$B,$A19,ConfirmedRaw!K:K)</f>
        <v>0</v>
      </c>
      <c r="I19">
        <f>SUMIF(ConfirmedRaw!$B:$B,$A19,ConfirmedRaw!L:L)</f>
        <v>0</v>
      </c>
      <c r="J19">
        <f>SUMIF(ConfirmedRaw!$B:$B,$A19,ConfirmedRaw!M:M)</f>
        <v>0</v>
      </c>
      <c r="K19">
        <f>SUMIF(ConfirmedRaw!$B:$B,$A19,ConfirmedRaw!N:N)</f>
        <v>0</v>
      </c>
      <c r="L19">
        <f>SUMIF(ConfirmedRaw!$B:$B,$A19,ConfirmedRaw!O:O)</f>
        <v>0</v>
      </c>
      <c r="M19">
        <f>SUMIF(ConfirmedRaw!$B:$B,$A19,ConfirmedRaw!P:P)</f>
        <v>0</v>
      </c>
      <c r="N19">
        <f>SUMIF(ConfirmedRaw!$B:$B,$A19,ConfirmedRaw!Q:Q)</f>
        <v>0</v>
      </c>
      <c r="O19">
        <f>SUMIF(ConfirmedRaw!$B:$B,$A19,ConfirmedRaw!R:R)</f>
        <v>0</v>
      </c>
      <c r="P19">
        <f>SUMIF(ConfirmedRaw!$B:$B,$A19,ConfirmedRaw!S:S)</f>
        <v>0</v>
      </c>
      <c r="Q19">
        <f>SUMIF(ConfirmedRaw!$B:$B,$A19,ConfirmedRaw!T:T)</f>
        <v>0</v>
      </c>
      <c r="R19">
        <f>SUMIF(ConfirmedRaw!$B:$B,$A19,ConfirmedRaw!U:U)</f>
        <v>0</v>
      </c>
      <c r="S19">
        <f>SUMIF(ConfirmedRaw!$B:$B,$A19,ConfirmedRaw!V:V)</f>
        <v>0</v>
      </c>
      <c r="T19">
        <f>SUMIF(ConfirmedRaw!$B:$B,$A19,ConfirmedRaw!W:W)</f>
        <v>0</v>
      </c>
      <c r="U19">
        <f>SUMIF(ConfirmedRaw!$B:$B,$A19,ConfirmedRaw!X:X)</f>
        <v>0</v>
      </c>
      <c r="V19">
        <f>SUMIF(ConfirmedRaw!$B:$B,$A19,ConfirmedRaw!Y:Y)</f>
        <v>0</v>
      </c>
      <c r="W19">
        <f>SUMIF(ConfirmedRaw!$B:$B,$A19,ConfirmedRaw!Z:Z)</f>
        <v>0</v>
      </c>
      <c r="X19">
        <f>SUMIF(ConfirmedRaw!$B:$B,$A19,ConfirmedRaw!AA:AA)</f>
        <v>0</v>
      </c>
      <c r="Y19">
        <f>SUMIF(ConfirmedRaw!$B:$B,$A19,ConfirmedRaw!AB:AB)</f>
        <v>0</v>
      </c>
      <c r="Z19">
        <f>SUMIF(ConfirmedRaw!$B:$B,$A19,ConfirmedRaw!AC:AC)</f>
        <v>0</v>
      </c>
      <c r="AA19">
        <f>SUMIF(ConfirmedRaw!$B:$B,$A19,ConfirmedRaw!AD:AD)</f>
        <v>0</v>
      </c>
      <c r="AB19">
        <f>SUMIF(ConfirmedRaw!$B:$B,$A19,ConfirmedRaw!AE:AE)</f>
        <v>0</v>
      </c>
      <c r="AC19">
        <f>SUMIF(ConfirmedRaw!$B:$B,$A19,ConfirmedRaw!AF:AF)</f>
        <v>0</v>
      </c>
      <c r="AD19">
        <f>SUMIF(ConfirmedRaw!$B:$B,$A19,ConfirmedRaw!AG:AG)</f>
        <v>0</v>
      </c>
      <c r="AE19">
        <f>SUMIF(ConfirmedRaw!$B:$B,$A19,ConfirmedRaw!AH:AH)</f>
        <v>0</v>
      </c>
      <c r="AF19">
        <f>SUMIF(ConfirmedRaw!$B:$B,$A19,ConfirmedRaw!AI:AI)</f>
        <v>0</v>
      </c>
      <c r="AG19">
        <f>SUMIF(ConfirmedRaw!$B:$B,$A19,ConfirmedRaw!AJ:AJ)</f>
        <v>0</v>
      </c>
      <c r="AH19">
        <f>SUMIF(ConfirmedRaw!$B:$B,$A19,ConfirmedRaw!AK:AK)</f>
        <v>0</v>
      </c>
      <c r="AI19">
        <f>SUMIF(ConfirmedRaw!$B:$B,$A19,ConfirmedRaw!AL:AL)</f>
        <v>0</v>
      </c>
      <c r="AJ19">
        <f>SUMIF(ConfirmedRaw!$B:$B,$A19,ConfirmedRaw!AM:AM)</f>
        <v>2</v>
      </c>
      <c r="AK19">
        <f>SUMIF(ConfirmedRaw!$B:$B,$A19,ConfirmedRaw!AN:AN)</f>
        <v>2</v>
      </c>
      <c r="AL19">
        <f>SUMIF(ConfirmedRaw!$B:$B,$A19,ConfirmedRaw!AO:AO)</f>
        <v>3</v>
      </c>
      <c r="AM19">
        <f>SUMIF(ConfirmedRaw!$B:$B,$A19,ConfirmedRaw!AP:AP)</f>
        <v>3</v>
      </c>
      <c r="AN19">
        <f>SUMIF(ConfirmedRaw!$B:$B,$A19,ConfirmedRaw!AQ:AQ)</f>
        <v>9</v>
      </c>
      <c r="AO19">
        <f>SUMIF(ConfirmedRaw!$B:$B,$A19,ConfirmedRaw!AR:AR)</f>
        <v>14</v>
      </c>
      <c r="AP19">
        <f>SUMIF(ConfirmedRaw!$B:$B,$A19,ConfirmedRaw!AS:AS)</f>
        <v>18</v>
      </c>
      <c r="AQ19">
        <f>SUMIF(ConfirmedRaw!$B:$B,$A19,ConfirmedRaw!AT:AT)</f>
        <v>21</v>
      </c>
      <c r="AR19">
        <f>SUMIF(ConfirmedRaw!$B:$B,$A19,ConfirmedRaw!AU:AU)</f>
        <v>29</v>
      </c>
      <c r="AS19">
        <f>SUMIF(ConfirmedRaw!$B:$B,$A19,ConfirmedRaw!AV:AV)</f>
        <v>41</v>
      </c>
      <c r="AT19">
        <f>SUMIF(ConfirmedRaw!$B:$B,$A19,ConfirmedRaw!AW:AW)</f>
        <v>55</v>
      </c>
      <c r="AU19">
        <f>SUMIF(ConfirmedRaw!$B:$B,$A19,ConfirmedRaw!AX:AX)</f>
        <v>79</v>
      </c>
      <c r="AV19">
        <f>SUMIF(ConfirmedRaw!$B:$B,$A19,ConfirmedRaw!AY:AY)</f>
        <v>104</v>
      </c>
      <c r="AW19">
        <f>SUMIF(ConfirmedRaw!$B:$B,$A19,ConfirmedRaw!AZ:AZ)</f>
        <v>131</v>
      </c>
      <c r="AX19">
        <f>SUMIF(ConfirmedRaw!$B:$B,$A19,ConfirmedRaw!BA:BA)</f>
        <v>182</v>
      </c>
      <c r="AY19">
        <f>SUMIF(ConfirmedRaw!$B:$B,$A19,ConfirmedRaw!BB:BB)</f>
        <v>246</v>
      </c>
      <c r="AZ19">
        <f>SUMIF(ConfirmedRaw!$B:$B,$A19,ConfirmedRaw!BC:BC)</f>
        <v>302</v>
      </c>
      <c r="BA19">
        <f>SUMIF(ConfirmedRaw!$B:$B,$A19,ConfirmedRaw!BD:BD)</f>
        <v>504</v>
      </c>
      <c r="BB19">
        <f>SUMIF(ConfirmedRaw!$B:$B,$A19,ConfirmedRaw!BE:BE)</f>
        <v>655</v>
      </c>
      <c r="BC19">
        <f>SUMIF(ConfirmedRaw!$B:$B,$A19,ConfirmedRaw!BF:BF)</f>
        <v>860</v>
      </c>
      <c r="BD19">
        <f>SUMIF(ConfirmedRaw!$B:$B,$A19,ConfirmedRaw!BG:BG)</f>
        <v>1018</v>
      </c>
      <c r="BE19">
        <f>SUMIF(ConfirmedRaw!$B:$B,$A19,ConfirmedRaw!BH:BH)</f>
        <v>1332</v>
      </c>
      <c r="BF19">
        <f>SUMIF(ConfirmedRaw!$B:$B,$A19,ConfirmedRaw!BI:BI)</f>
        <v>1646</v>
      </c>
      <c r="BG19">
        <f>SUMIF(ConfirmedRaw!$B:$B,$A19,ConfirmedRaw!BJ:BJ)</f>
        <v>2013</v>
      </c>
      <c r="BH19">
        <f>SUMIF(ConfirmedRaw!$B:$B,$A19,ConfirmedRaw!BK:BK)</f>
        <v>2388</v>
      </c>
      <c r="BI19">
        <f>SUMIF(ConfirmedRaw!$B:$B,$A19,ConfirmedRaw!BL:BL)</f>
        <v>0</v>
      </c>
      <c r="BJ19">
        <f>SUMIF(ConfirmedRaw!$B:$B,$A19,ConfirmedRaw!BM:BM)</f>
        <v>0</v>
      </c>
      <c r="BK19">
        <f>SUMIF(ConfirmedRaw!$B:$B,$A19,ConfirmedRaw!BN:BN)</f>
        <v>0</v>
      </c>
      <c r="BL19">
        <f>SUMIF(ConfirmedRaw!$B:$B,$A19,ConfirmedRaw!BO:BO)</f>
        <v>0</v>
      </c>
      <c r="BM19">
        <f>SUMIF(ConfirmedRaw!$B:$B,$A19,ConfirmedRaw!BP:BP)</f>
        <v>0</v>
      </c>
      <c r="BN19">
        <f>SUMIF(ConfirmedRaw!$B:$B,$A19,ConfirmedRaw!BQ:BQ)</f>
        <v>0</v>
      </c>
      <c r="BO19">
        <f>SUMIF(ConfirmedRaw!$B:$B,$A19,ConfirmedRaw!BR:BR)</f>
        <v>0</v>
      </c>
      <c r="BP19">
        <f>SUMIF(ConfirmedRaw!$B:$B,$A19,ConfirmedRaw!BS:BS)</f>
        <v>0</v>
      </c>
      <c r="BQ19">
        <f>SUMIF(ConfirmedRaw!$B:$B,$A19,ConfirmedRaw!BT:BT)</f>
        <v>0</v>
      </c>
      <c r="BR19">
        <f>SUMIF(ConfirmedRaw!$B:$B,$A19,ConfirmedRaw!BU:BU)</f>
        <v>0</v>
      </c>
      <c r="BS19">
        <f>SUMIF(ConfirmedRaw!$B:$B,$A19,ConfirmedRaw!BV:BV)</f>
        <v>0</v>
      </c>
      <c r="BT19">
        <f>SUMIF(ConfirmedRaw!$B:$B,$A19,ConfirmedRaw!BW:BW)</f>
        <v>0</v>
      </c>
    </row>
    <row r="20" spans="1:72" ht="15" thickBot="1" x14ac:dyDescent="0.35">
      <c r="A20" s="3" t="s">
        <v>101</v>
      </c>
      <c r="B20">
        <f>SUMIF(ConfirmedRaw!$B:$B,$A20,ConfirmedRaw!E:E)</f>
        <v>0</v>
      </c>
      <c r="C20">
        <f>SUMIF(ConfirmedRaw!$B:$B,$A20,ConfirmedRaw!F:F)</f>
        <v>0</v>
      </c>
      <c r="D20">
        <f>SUMIF(ConfirmedRaw!$B:$B,$A20,ConfirmedRaw!G:G)</f>
        <v>0</v>
      </c>
      <c r="E20">
        <f>SUMIF(ConfirmedRaw!$B:$B,$A20,ConfirmedRaw!H:H)</f>
        <v>0</v>
      </c>
      <c r="F20">
        <f>SUMIF(ConfirmedRaw!$B:$B,$A20,ConfirmedRaw!I:I)</f>
        <v>0</v>
      </c>
      <c r="G20">
        <f>SUMIF(ConfirmedRaw!$B:$B,$A20,ConfirmedRaw!J:J)</f>
        <v>0</v>
      </c>
      <c r="H20">
        <f>SUMIF(ConfirmedRaw!$B:$B,$A20,ConfirmedRaw!K:K)</f>
        <v>0</v>
      </c>
      <c r="I20">
        <f>SUMIF(ConfirmedRaw!$B:$B,$A20,ConfirmedRaw!L:L)</f>
        <v>0</v>
      </c>
      <c r="J20">
        <f>SUMIF(ConfirmedRaw!$B:$B,$A20,ConfirmedRaw!M:M)</f>
        <v>0</v>
      </c>
      <c r="K20">
        <f>SUMIF(ConfirmedRaw!$B:$B,$A20,ConfirmedRaw!N:N)</f>
        <v>0</v>
      </c>
      <c r="L20">
        <f>SUMIF(ConfirmedRaw!$B:$B,$A20,ConfirmedRaw!O:O)</f>
        <v>0</v>
      </c>
      <c r="M20">
        <f>SUMIF(ConfirmedRaw!$B:$B,$A20,ConfirmedRaw!P:P)</f>
        <v>0</v>
      </c>
      <c r="N20">
        <f>SUMIF(ConfirmedRaw!$B:$B,$A20,ConfirmedRaw!Q:Q)</f>
        <v>0</v>
      </c>
      <c r="O20">
        <f>SUMIF(ConfirmedRaw!$B:$B,$A20,ConfirmedRaw!R:R)</f>
        <v>0</v>
      </c>
      <c r="P20">
        <f>SUMIF(ConfirmedRaw!$B:$B,$A20,ConfirmedRaw!S:S)</f>
        <v>0</v>
      </c>
      <c r="Q20">
        <f>SUMIF(ConfirmedRaw!$B:$B,$A20,ConfirmedRaw!T:T)</f>
        <v>0</v>
      </c>
      <c r="R20">
        <f>SUMIF(ConfirmedRaw!$B:$B,$A20,ConfirmedRaw!U:U)</f>
        <v>0</v>
      </c>
      <c r="S20">
        <f>SUMIF(ConfirmedRaw!$B:$B,$A20,ConfirmedRaw!V:V)</f>
        <v>0</v>
      </c>
      <c r="T20">
        <f>SUMIF(ConfirmedRaw!$B:$B,$A20,ConfirmedRaw!W:W)</f>
        <v>0</v>
      </c>
      <c r="U20">
        <f>SUMIF(ConfirmedRaw!$B:$B,$A20,ConfirmedRaw!X:X)</f>
        <v>0</v>
      </c>
      <c r="V20">
        <f>SUMIF(ConfirmedRaw!$B:$B,$A20,ConfirmedRaw!Y:Y)</f>
        <v>0</v>
      </c>
      <c r="W20">
        <f>SUMIF(ConfirmedRaw!$B:$B,$A20,ConfirmedRaw!Z:Z)</f>
        <v>0</v>
      </c>
      <c r="X20">
        <f>SUMIF(ConfirmedRaw!$B:$B,$A20,ConfirmedRaw!AA:AA)</f>
        <v>0</v>
      </c>
      <c r="Y20">
        <f>SUMIF(ConfirmedRaw!$B:$B,$A20,ConfirmedRaw!AB:AB)</f>
        <v>0</v>
      </c>
      <c r="Z20">
        <f>SUMIF(ConfirmedRaw!$B:$B,$A20,ConfirmedRaw!AC:AC)</f>
        <v>0</v>
      </c>
      <c r="AA20">
        <f>SUMIF(ConfirmedRaw!$B:$B,$A20,ConfirmedRaw!AD:AD)</f>
        <v>0</v>
      </c>
      <c r="AB20">
        <f>SUMIF(ConfirmedRaw!$B:$B,$A20,ConfirmedRaw!AE:AE)</f>
        <v>0</v>
      </c>
      <c r="AC20">
        <f>SUMIF(ConfirmedRaw!$B:$B,$A20,ConfirmedRaw!AF:AF)</f>
        <v>0</v>
      </c>
      <c r="AD20">
        <f>SUMIF(ConfirmedRaw!$B:$B,$A20,ConfirmedRaw!AG:AG)</f>
        <v>0</v>
      </c>
      <c r="AE20">
        <f>SUMIF(ConfirmedRaw!$B:$B,$A20,ConfirmedRaw!AH:AH)</f>
        <v>0</v>
      </c>
      <c r="AF20">
        <f>SUMIF(ConfirmedRaw!$B:$B,$A20,ConfirmedRaw!AI:AI)</f>
        <v>0</v>
      </c>
      <c r="AG20">
        <f>SUMIF(ConfirmedRaw!$B:$B,$A20,ConfirmedRaw!AJ:AJ)</f>
        <v>0</v>
      </c>
      <c r="AH20">
        <f>SUMIF(ConfirmedRaw!$B:$B,$A20,ConfirmedRaw!AK:AK)</f>
        <v>0</v>
      </c>
      <c r="AI20">
        <f>SUMIF(ConfirmedRaw!$B:$B,$A20,ConfirmedRaw!AL:AL)</f>
        <v>0</v>
      </c>
      <c r="AJ20">
        <f>SUMIF(ConfirmedRaw!$B:$B,$A20,ConfirmedRaw!AM:AM)</f>
        <v>0</v>
      </c>
      <c r="AK20">
        <f>SUMIF(ConfirmedRaw!$B:$B,$A20,ConfirmedRaw!AN:AN)</f>
        <v>0</v>
      </c>
      <c r="AL20">
        <f>SUMIF(ConfirmedRaw!$B:$B,$A20,ConfirmedRaw!AO:AO)</f>
        <v>0</v>
      </c>
      <c r="AM20">
        <f>SUMIF(ConfirmedRaw!$B:$B,$A20,ConfirmedRaw!AP:AP)</f>
        <v>0</v>
      </c>
      <c r="AN20">
        <f>SUMIF(ConfirmedRaw!$B:$B,$A20,ConfirmedRaw!AQ:AQ)</f>
        <v>1</v>
      </c>
      <c r="AO20">
        <f>SUMIF(ConfirmedRaw!$B:$B,$A20,ConfirmedRaw!AR:AR)</f>
        <v>3</v>
      </c>
      <c r="AP20">
        <f>SUMIF(ConfirmedRaw!$B:$B,$A20,ConfirmedRaw!AS:AS)</f>
        <v>3</v>
      </c>
      <c r="AQ20">
        <f>SUMIF(ConfirmedRaw!$B:$B,$A20,ConfirmedRaw!AT:AT)</f>
        <v>7</v>
      </c>
      <c r="AR20">
        <f>SUMIF(ConfirmedRaw!$B:$B,$A20,ConfirmedRaw!AU:AU)</f>
        <v>8</v>
      </c>
      <c r="AS20">
        <f>SUMIF(ConfirmedRaw!$B:$B,$A20,ConfirmedRaw!AV:AV)</f>
        <v>8</v>
      </c>
      <c r="AT20">
        <f>SUMIF(ConfirmedRaw!$B:$B,$A20,ConfirmedRaw!AW:AW)</f>
        <v>8</v>
      </c>
      <c r="AU20">
        <f>SUMIF(ConfirmedRaw!$B:$B,$A20,ConfirmedRaw!AX:AX)</f>
        <v>8</v>
      </c>
      <c r="AV20">
        <f>SUMIF(ConfirmedRaw!$B:$B,$A20,ConfirmedRaw!AY:AY)</f>
        <v>15</v>
      </c>
      <c r="AW20">
        <f>SUMIF(ConfirmedRaw!$B:$B,$A20,ConfirmedRaw!AZ:AZ)</f>
        <v>18</v>
      </c>
      <c r="AX20">
        <f>SUMIF(ConfirmedRaw!$B:$B,$A20,ConfirmedRaw!BA:BA)</f>
        <v>24</v>
      </c>
      <c r="AY20">
        <f>SUMIF(ConfirmedRaw!$B:$B,$A20,ConfirmedRaw!BB:BB)</f>
        <v>262</v>
      </c>
      <c r="AZ20">
        <f>SUMIF(ConfirmedRaw!$B:$B,$A20,ConfirmedRaw!BC:BC)</f>
        <v>262</v>
      </c>
      <c r="BA20">
        <f>SUMIF(ConfirmedRaw!$B:$B,$A20,ConfirmedRaw!BD:BD)</f>
        <v>320</v>
      </c>
      <c r="BB20">
        <f>SUMIF(ConfirmedRaw!$B:$B,$A20,ConfirmedRaw!BE:BE)</f>
        <v>337</v>
      </c>
      <c r="BC20">
        <f>SUMIF(ConfirmedRaw!$B:$B,$A20,ConfirmedRaw!BF:BF)</f>
        <v>401</v>
      </c>
      <c r="BD20">
        <f>SUMIF(ConfirmedRaw!$B:$B,$A20,ConfirmedRaw!BG:BG)</f>
        <v>439</v>
      </c>
      <c r="BE20">
        <f>SUMIF(ConfirmedRaw!$B:$B,$A20,ConfirmedRaw!BH:BH)</f>
        <v>439</v>
      </c>
      <c r="BF20">
        <f>SUMIF(ConfirmedRaw!$B:$B,$A20,ConfirmedRaw!BI:BI)</f>
        <v>452</v>
      </c>
      <c r="BG20">
        <f>SUMIF(ConfirmedRaw!$B:$B,$A20,ConfirmedRaw!BJ:BJ)</f>
        <v>460</v>
      </c>
      <c r="BH20">
        <f>SUMIF(ConfirmedRaw!$B:$B,$A20,ConfirmedRaw!BK:BK)</f>
        <v>470</v>
      </c>
      <c r="BI20">
        <f>SUMIF(ConfirmedRaw!$B:$B,$A20,ConfirmedRaw!BL:BL)</f>
        <v>0</v>
      </c>
      <c r="BJ20">
        <f>SUMIF(ConfirmedRaw!$B:$B,$A20,ConfirmedRaw!BM:BM)</f>
        <v>0</v>
      </c>
      <c r="BK20">
        <f>SUMIF(ConfirmedRaw!$B:$B,$A20,ConfirmedRaw!BN:BN)</f>
        <v>0</v>
      </c>
      <c r="BL20">
        <f>SUMIF(ConfirmedRaw!$B:$B,$A20,ConfirmedRaw!BO:BO)</f>
        <v>0</v>
      </c>
      <c r="BM20">
        <f>SUMIF(ConfirmedRaw!$B:$B,$A20,ConfirmedRaw!BP:BP)</f>
        <v>0</v>
      </c>
      <c r="BN20">
        <f>SUMIF(ConfirmedRaw!$B:$B,$A20,ConfirmedRaw!BQ:BQ)</f>
        <v>0</v>
      </c>
      <c r="BO20">
        <f>SUMIF(ConfirmedRaw!$B:$B,$A20,ConfirmedRaw!BR:BR)</f>
        <v>0</v>
      </c>
      <c r="BP20">
        <f>SUMIF(ConfirmedRaw!$B:$B,$A20,ConfirmedRaw!BS:BS)</f>
        <v>0</v>
      </c>
      <c r="BQ20">
        <f>SUMIF(ConfirmedRaw!$B:$B,$A20,ConfirmedRaw!BT:BT)</f>
        <v>0</v>
      </c>
      <c r="BR20">
        <f>SUMIF(ConfirmedRaw!$B:$B,$A20,ConfirmedRaw!BU:BU)</f>
        <v>0</v>
      </c>
      <c r="BS20">
        <f>SUMIF(ConfirmedRaw!$B:$B,$A20,ConfirmedRaw!BV:BV)</f>
        <v>0</v>
      </c>
      <c r="BT20">
        <f>SUMIF(ConfirmedRaw!$B:$B,$A20,ConfirmedRaw!BW:BW)</f>
        <v>0</v>
      </c>
    </row>
    <row r="21" spans="1:72" ht="15" thickBot="1" x14ac:dyDescent="0.35">
      <c r="A21" s="3" t="s">
        <v>48</v>
      </c>
      <c r="B21">
        <f>SUMIF(ConfirmedRaw!$B:$B,$A21,ConfirmedRaw!E:E)</f>
        <v>0</v>
      </c>
      <c r="C21">
        <f>SUMIF(ConfirmedRaw!$B:$B,$A21,ConfirmedRaw!F:F)</f>
        <v>0</v>
      </c>
      <c r="D21">
        <f>SUMIF(ConfirmedRaw!$B:$B,$A21,ConfirmedRaw!G:G)</f>
        <v>0</v>
      </c>
      <c r="E21">
        <f>SUMIF(ConfirmedRaw!$B:$B,$A21,ConfirmedRaw!H:H)</f>
        <v>0</v>
      </c>
      <c r="F21">
        <f>SUMIF(ConfirmedRaw!$B:$B,$A21,ConfirmedRaw!I:I)</f>
        <v>4</v>
      </c>
      <c r="G21">
        <f>SUMIF(ConfirmedRaw!$B:$B,$A21,ConfirmedRaw!J:J)</f>
        <v>5</v>
      </c>
      <c r="H21">
        <f>SUMIF(ConfirmedRaw!$B:$B,$A21,ConfirmedRaw!K:K)</f>
        <v>5</v>
      </c>
      <c r="I21">
        <f>SUMIF(ConfirmedRaw!$B:$B,$A21,ConfirmedRaw!L:L)</f>
        <v>6</v>
      </c>
      <c r="J21">
        <f>SUMIF(ConfirmedRaw!$B:$B,$A21,ConfirmedRaw!M:M)</f>
        <v>9</v>
      </c>
      <c r="K21">
        <f>SUMIF(ConfirmedRaw!$B:$B,$A21,ConfirmedRaw!N:N)</f>
        <v>9</v>
      </c>
      <c r="L21">
        <f>SUMIF(ConfirmedRaw!$B:$B,$A21,ConfirmedRaw!O:O)</f>
        <v>12</v>
      </c>
      <c r="M21">
        <f>SUMIF(ConfirmedRaw!$B:$B,$A21,ConfirmedRaw!P:P)</f>
        <v>12</v>
      </c>
      <c r="N21">
        <f>SUMIF(ConfirmedRaw!$B:$B,$A21,ConfirmedRaw!Q:Q)</f>
        <v>12</v>
      </c>
      <c r="O21">
        <f>SUMIF(ConfirmedRaw!$B:$B,$A21,ConfirmedRaw!R:R)</f>
        <v>13</v>
      </c>
      <c r="P21">
        <f>SUMIF(ConfirmedRaw!$B:$B,$A21,ConfirmedRaw!S:S)</f>
        <v>13</v>
      </c>
      <c r="Q21">
        <f>SUMIF(ConfirmedRaw!$B:$B,$A21,ConfirmedRaw!T:T)</f>
        <v>14</v>
      </c>
      <c r="R21">
        <f>SUMIF(ConfirmedRaw!$B:$B,$A21,ConfirmedRaw!U:U)</f>
        <v>15</v>
      </c>
      <c r="S21">
        <f>SUMIF(ConfirmedRaw!$B:$B,$A21,ConfirmedRaw!V:V)</f>
        <v>15</v>
      </c>
      <c r="T21">
        <f>SUMIF(ConfirmedRaw!$B:$B,$A21,ConfirmedRaw!W:W)</f>
        <v>15</v>
      </c>
      <c r="U21">
        <f>SUMIF(ConfirmedRaw!$B:$B,$A21,ConfirmedRaw!X:X)</f>
        <v>15</v>
      </c>
      <c r="V21">
        <f>SUMIF(ConfirmedRaw!$B:$B,$A21,ConfirmedRaw!Y:Y)</f>
        <v>15</v>
      </c>
      <c r="W21">
        <f>SUMIF(ConfirmedRaw!$B:$B,$A21,ConfirmedRaw!Z:Z)</f>
        <v>15</v>
      </c>
      <c r="X21">
        <f>SUMIF(ConfirmedRaw!$B:$B,$A21,ConfirmedRaw!AA:AA)</f>
        <v>15</v>
      </c>
      <c r="Y21">
        <f>SUMIF(ConfirmedRaw!$B:$B,$A21,ConfirmedRaw!AB:AB)</f>
        <v>15</v>
      </c>
      <c r="Z21">
        <f>SUMIF(ConfirmedRaw!$B:$B,$A21,ConfirmedRaw!AC:AC)</f>
        <v>15</v>
      </c>
      <c r="AA21">
        <f>SUMIF(ConfirmedRaw!$B:$B,$A21,ConfirmedRaw!AD:AD)</f>
        <v>15</v>
      </c>
      <c r="AB21">
        <f>SUMIF(ConfirmedRaw!$B:$B,$A21,ConfirmedRaw!AE:AE)</f>
        <v>15</v>
      </c>
      <c r="AC21">
        <f>SUMIF(ConfirmedRaw!$B:$B,$A21,ConfirmedRaw!AF:AF)</f>
        <v>15</v>
      </c>
      <c r="AD21">
        <f>SUMIF(ConfirmedRaw!$B:$B,$A21,ConfirmedRaw!AG:AG)</f>
        <v>15</v>
      </c>
      <c r="AE21">
        <f>SUMIF(ConfirmedRaw!$B:$B,$A21,ConfirmedRaw!AH:AH)</f>
        <v>15</v>
      </c>
      <c r="AF21">
        <f>SUMIF(ConfirmedRaw!$B:$B,$A21,ConfirmedRaw!AI:AI)</f>
        <v>19</v>
      </c>
      <c r="AG21">
        <f>SUMIF(ConfirmedRaw!$B:$B,$A21,ConfirmedRaw!AJ:AJ)</f>
        <v>22</v>
      </c>
      <c r="AH21">
        <f>SUMIF(ConfirmedRaw!$B:$B,$A21,ConfirmedRaw!AK:AK)</f>
        <v>22</v>
      </c>
      <c r="AI21">
        <f>SUMIF(ConfirmedRaw!$B:$B,$A21,ConfirmedRaw!AL:AL)</f>
        <v>22</v>
      </c>
      <c r="AJ21">
        <f>SUMIF(ConfirmedRaw!$B:$B,$A21,ConfirmedRaw!AM:AM)</f>
        <v>22</v>
      </c>
      <c r="AK21">
        <f>SUMIF(ConfirmedRaw!$B:$B,$A21,ConfirmedRaw!AN:AN)</f>
        <v>22</v>
      </c>
      <c r="AL21">
        <f>SUMIF(ConfirmedRaw!$B:$B,$A21,ConfirmedRaw!AO:AO)</f>
        <v>23</v>
      </c>
      <c r="AM21">
        <f>SUMIF(ConfirmedRaw!$B:$B,$A21,ConfirmedRaw!AP:AP)</f>
        <v>23</v>
      </c>
      <c r="AN21">
        <f>SUMIF(ConfirmedRaw!$B:$B,$A21,ConfirmedRaw!AQ:AQ)</f>
        <v>25</v>
      </c>
      <c r="AO21">
        <f>SUMIF(ConfirmedRaw!$B:$B,$A21,ConfirmedRaw!AR:AR)</f>
        <v>27</v>
      </c>
      <c r="AP21">
        <f>SUMIF(ConfirmedRaw!$B:$B,$A21,ConfirmedRaw!AS:AS)</f>
        <v>30</v>
      </c>
      <c r="AQ21">
        <f>SUMIF(ConfirmedRaw!$B:$B,$A21,ConfirmedRaw!AT:AT)</f>
        <v>39</v>
      </c>
      <c r="AR21">
        <f>SUMIF(ConfirmedRaw!$B:$B,$A21,ConfirmedRaw!AU:AU)</f>
        <v>52</v>
      </c>
      <c r="AS21">
        <f>SUMIF(ConfirmedRaw!$B:$B,$A21,ConfirmedRaw!AV:AV)</f>
        <v>55</v>
      </c>
      <c r="AT21">
        <f>SUMIF(ConfirmedRaw!$B:$B,$A21,ConfirmedRaw!AW:AW)</f>
        <v>60</v>
      </c>
      <c r="AU21">
        <f>SUMIF(ConfirmedRaw!$B:$B,$A21,ConfirmedRaw!AX:AX)</f>
        <v>63</v>
      </c>
      <c r="AV21">
        <f>SUMIF(ConfirmedRaw!$B:$B,$A21,ConfirmedRaw!AY:AY)</f>
        <v>76</v>
      </c>
      <c r="AW21">
        <f>SUMIF(ConfirmedRaw!$B:$B,$A21,ConfirmedRaw!AZ:AZ)</f>
        <v>91</v>
      </c>
      <c r="AX21">
        <f>SUMIF(ConfirmedRaw!$B:$B,$A21,ConfirmedRaw!BA:BA)</f>
        <v>107</v>
      </c>
      <c r="AY21">
        <f>SUMIF(ConfirmedRaw!$B:$B,$A21,ConfirmedRaw!BB:BB)</f>
        <v>128</v>
      </c>
      <c r="AZ21">
        <f>SUMIF(ConfirmedRaw!$B:$B,$A21,ConfirmedRaw!BC:BC)</f>
        <v>128</v>
      </c>
      <c r="BA21">
        <f>SUMIF(ConfirmedRaw!$B:$B,$A21,ConfirmedRaw!BD:BD)</f>
        <v>200</v>
      </c>
      <c r="BB21">
        <f>SUMIF(ConfirmedRaw!$B:$B,$A21,ConfirmedRaw!BE:BE)</f>
        <v>250</v>
      </c>
      <c r="BC21">
        <f>SUMIF(ConfirmedRaw!$B:$B,$A21,ConfirmedRaw!BF:BF)</f>
        <v>297</v>
      </c>
      <c r="BD21">
        <f>SUMIF(ConfirmedRaw!$B:$B,$A21,ConfirmedRaw!BG:BG)</f>
        <v>377</v>
      </c>
      <c r="BE21">
        <f>SUMIF(ConfirmedRaw!$B:$B,$A21,ConfirmedRaw!BH:BH)</f>
        <v>452</v>
      </c>
      <c r="BF21">
        <f>SUMIF(ConfirmedRaw!$B:$B,$A21,ConfirmedRaw!BI:BI)</f>
        <v>568</v>
      </c>
      <c r="BG21">
        <f>SUMIF(ConfirmedRaw!$B:$B,$A21,ConfirmedRaw!BJ:BJ)</f>
        <v>681</v>
      </c>
      <c r="BH21">
        <f>SUMIF(ConfirmedRaw!$B:$B,$A21,ConfirmedRaw!BK:BK)</f>
        <v>791</v>
      </c>
      <c r="BI21">
        <f>SUMIF(ConfirmedRaw!$B:$B,$A21,ConfirmedRaw!BL:BL)</f>
        <v>0</v>
      </c>
      <c r="BJ21">
        <f>SUMIF(ConfirmedRaw!$B:$B,$A21,ConfirmedRaw!BM:BM)</f>
        <v>0</v>
      </c>
      <c r="BK21">
        <f>SUMIF(ConfirmedRaw!$B:$B,$A21,ConfirmedRaw!BN:BN)</f>
        <v>0</v>
      </c>
      <c r="BL21">
        <f>SUMIF(ConfirmedRaw!$B:$B,$A21,ConfirmedRaw!BO:BO)</f>
        <v>0</v>
      </c>
      <c r="BM21">
        <f>SUMIF(ConfirmedRaw!$B:$B,$A21,ConfirmedRaw!BP:BP)</f>
        <v>0</v>
      </c>
      <c r="BN21">
        <f>SUMIF(ConfirmedRaw!$B:$B,$A21,ConfirmedRaw!BQ:BQ)</f>
        <v>0</v>
      </c>
      <c r="BO21">
        <f>SUMIF(ConfirmedRaw!$B:$B,$A21,ConfirmedRaw!BR:BR)</f>
        <v>0</v>
      </c>
      <c r="BP21">
        <f>SUMIF(ConfirmedRaw!$B:$B,$A21,ConfirmedRaw!BS:BS)</f>
        <v>0</v>
      </c>
      <c r="BQ21">
        <f>SUMIF(ConfirmedRaw!$B:$B,$A21,ConfirmedRaw!BT:BT)</f>
        <v>0</v>
      </c>
      <c r="BR21">
        <f>SUMIF(ConfirmedRaw!$B:$B,$A21,ConfirmedRaw!BU:BU)</f>
        <v>0</v>
      </c>
      <c r="BS21">
        <f>SUMIF(ConfirmedRaw!$B:$B,$A21,ConfirmedRaw!BV:BV)</f>
        <v>0</v>
      </c>
      <c r="BT21">
        <f>SUMIF(ConfirmedRaw!$B:$B,$A21,ConfirmedRaw!BW:BW)</f>
        <v>0</v>
      </c>
    </row>
    <row r="22" spans="1:72" ht="15" thickBot="1" x14ac:dyDescent="0.35">
      <c r="A22" s="3" t="s">
        <v>40</v>
      </c>
      <c r="B22">
        <f>SUMIF(ConfirmedRaw!$B:$B,$A22,ConfirmedRaw!E:E)</f>
        <v>0</v>
      </c>
      <c r="C22">
        <f>SUMIF(ConfirmedRaw!$B:$B,$A22,ConfirmedRaw!F:F)</f>
        <v>1</v>
      </c>
      <c r="D22">
        <f>SUMIF(ConfirmedRaw!$B:$B,$A22,ConfirmedRaw!G:G)</f>
        <v>3</v>
      </c>
      <c r="E22">
        <f>SUMIF(ConfirmedRaw!$B:$B,$A22,ConfirmedRaw!H:H)</f>
        <v>3</v>
      </c>
      <c r="F22">
        <f>SUMIF(ConfirmedRaw!$B:$B,$A22,ConfirmedRaw!I:I)</f>
        <v>4</v>
      </c>
      <c r="G22">
        <f>SUMIF(ConfirmedRaw!$B:$B,$A22,ConfirmedRaw!J:J)</f>
        <v>5</v>
      </c>
      <c r="H22">
        <f>SUMIF(ConfirmedRaw!$B:$B,$A22,ConfirmedRaw!K:K)</f>
        <v>7</v>
      </c>
      <c r="I22">
        <f>SUMIF(ConfirmedRaw!$B:$B,$A22,ConfirmedRaw!L:L)</f>
        <v>7</v>
      </c>
      <c r="J22">
        <f>SUMIF(ConfirmedRaw!$B:$B,$A22,ConfirmedRaw!M:M)</f>
        <v>10</v>
      </c>
      <c r="K22">
        <f>SUMIF(ConfirmedRaw!$B:$B,$A22,ConfirmedRaw!N:N)</f>
        <v>13</v>
      </c>
      <c r="L22">
        <f>SUMIF(ConfirmedRaw!$B:$B,$A22,ConfirmedRaw!O:O)</f>
        <v>16</v>
      </c>
      <c r="M22">
        <f>SUMIF(ConfirmedRaw!$B:$B,$A22,ConfirmedRaw!P:P)</f>
        <v>18</v>
      </c>
      <c r="N22">
        <f>SUMIF(ConfirmedRaw!$B:$B,$A22,ConfirmedRaw!Q:Q)</f>
        <v>18</v>
      </c>
      <c r="O22">
        <f>SUMIF(ConfirmedRaw!$B:$B,$A22,ConfirmedRaw!R:R)</f>
        <v>24</v>
      </c>
      <c r="P22">
        <f>SUMIF(ConfirmedRaw!$B:$B,$A22,ConfirmedRaw!S:S)</f>
        <v>28</v>
      </c>
      <c r="Q22">
        <f>SUMIF(ConfirmedRaw!$B:$B,$A22,ConfirmedRaw!T:T)</f>
        <v>28</v>
      </c>
      <c r="R22">
        <f>SUMIF(ConfirmedRaw!$B:$B,$A22,ConfirmedRaw!U:U)</f>
        <v>30</v>
      </c>
      <c r="S22">
        <f>SUMIF(ConfirmedRaw!$B:$B,$A22,ConfirmedRaw!V:V)</f>
        <v>33</v>
      </c>
      <c r="T22">
        <f>SUMIF(ConfirmedRaw!$B:$B,$A22,ConfirmedRaw!W:W)</f>
        <v>40</v>
      </c>
      <c r="U22">
        <f>SUMIF(ConfirmedRaw!$B:$B,$A22,ConfirmedRaw!X:X)</f>
        <v>45</v>
      </c>
      <c r="V22">
        <f>SUMIF(ConfirmedRaw!$B:$B,$A22,ConfirmedRaw!Y:Y)</f>
        <v>47</v>
      </c>
      <c r="W22">
        <f>SUMIF(ConfirmedRaw!$B:$B,$A22,ConfirmedRaw!Z:Z)</f>
        <v>50</v>
      </c>
      <c r="X22">
        <f>SUMIF(ConfirmedRaw!$B:$B,$A22,ConfirmedRaw!AA:AA)</f>
        <v>58</v>
      </c>
      <c r="Y22">
        <f>SUMIF(ConfirmedRaw!$B:$B,$A22,ConfirmedRaw!AB:AB)</f>
        <v>67</v>
      </c>
      <c r="Z22">
        <f>SUMIF(ConfirmedRaw!$B:$B,$A22,ConfirmedRaw!AC:AC)</f>
        <v>72</v>
      </c>
      <c r="AA22">
        <f>SUMIF(ConfirmedRaw!$B:$B,$A22,ConfirmedRaw!AD:AD)</f>
        <v>75</v>
      </c>
      <c r="AB22">
        <f>SUMIF(ConfirmedRaw!$B:$B,$A22,ConfirmedRaw!AE:AE)</f>
        <v>77</v>
      </c>
      <c r="AC22">
        <f>SUMIF(ConfirmedRaw!$B:$B,$A22,ConfirmedRaw!AF:AF)</f>
        <v>81</v>
      </c>
      <c r="AD22">
        <f>SUMIF(ConfirmedRaw!$B:$B,$A22,ConfirmedRaw!AG:AG)</f>
        <v>84</v>
      </c>
      <c r="AE22">
        <f>SUMIF(ConfirmedRaw!$B:$B,$A22,ConfirmedRaw!AH:AH)</f>
        <v>84</v>
      </c>
      <c r="AF22">
        <f>SUMIF(ConfirmedRaw!$B:$B,$A22,ConfirmedRaw!AI:AI)</f>
        <v>85</v>
      </c>
      <c r="AG22">
        <f>SUMIF(ConfirmedRaw!$B:$B,$A22,ConfirmedRaw!AJ:AJ)</f>
        <v>85</v>
      </c>
      <c r="AH22">
        <f>SUMIF(ConfirmedRaw!$B:$B,$A22,ConfirmedRaw!AK:AK)</f>
        <v>89</v>
      </c>
      <c r="AI22">
        <f>SUMIF(ConfirmedRaw!$B:$B,$A22,ConfirmedRaw!AL:AL)</f>
        <v>89</v>
      </c>
      <c r="AJ22">
        <f>SUMIF(ConfirmedRaw!$B:$B,$A22,ConfirmedRaw!AM:AM)</f>
        <v>91</v>
      </c>
      <c r="AK22">
        <f>SUMIF(ConfirmedRaw!$B:$B,$A22,ConfirmedRaw!AN:AN)</f>
        <v>93</v>
      </c>
      <c r="AL22">
        <f>SUMIF(ConfirmedRaw!$B:$B,$A22,ConfirmedRaw!AO:AO)</f>
        <v>93</v>
      </c>
      <c r="AM22">
        <f>SUMIF(ConfirmedRaw!$B:$B,$A22,ConfirmedRaw!AP:AP)</f>
        <v>93</v>
      </c>
      <c r="AN22">
        <f>SUMIF(ConfirmedRaw!$B:$B,$A22,ConfirmedRaw!AQ:AQ)</f>
        <v>102</v>
      </c>
      <c r="AO22">
        <f>SUMIF(ConfirmedRaw!$B:$B,$A22,ConfirmedRaw!AR:AR)</f>
        <v>106</v>
      </c>
      <c r="AP22">
        <f>SUMIF(ConfirmedRaw!$B:$B,$A22,ConfirmedRaw!AS:AS)</f>
        <v>108</v>
      </c>
      <c r="AQ22">
        <f>SUMIF(ConfirmedRaw!$B:$B,$A22,ConfirmedRaw!AT:AT)</f>
        <v>110</v>
      </c>
      <c r="AR22">
        <f>SUMIF(ConfirmedRaw!$B:$B,$A22,ConfirmedRaw!AU:AU)</f>
        <v>110</v>
      </c>
      <c r="AS22">
        <f>SUMIF(ConfirmedRaw!$B:$B,$A22,ConfirmedRaw!AV:AV)</f>
        <v>117</v>
      </c>
      <c r="AT22">
        <f>SUMIF(ConfirmedRaw!$B:$B,$A22,ConfirmedRaw!AW:AW)</f>
        <v>130</v>
      </c>
      <c r="AU22">
        <f>SUMIF(ConfirmedRaw!$B:$B,$A22,ConfirmedRaw!AX:AX)</f>
        <v>138</v>
      </c>
      <c r="AV22">
        <f>SUMIF(ConfirmedRaw!$B:$B,$A22,ConfirmedRaw!AY:AY)</f>
        <v>150</v>
      </c>
      <c r="AW22">
        <f>SUMIF(ConfirmedRaw!$B:$B,$A22,ConfirmedRaw!AZ:AZ)</f>
        <v>150</v>
      </c>
      <c r="AX22">
        <f>SUMIF(ConfirmedRaw!$B:$B,$A22,ConfirmedRaw!BA:BA)</f>
        <v>160</v>
      </c>
      <c r="AY22">
        <f>SUMIF(ConfirmedRaw!$B:$B,$A22,ConfirmedRaw!BB:BB)</f>
        <v>178</v>
      </c>
      <c r="AZ22">
        <f>SUMIF(ConfirmedRaw!$B:$B,$A22,ConfirmedRaw!BC:BC)</f>
        <v>178</v>
      </c>
      <c r="BA22">
        <f>SUMIF(ConfirmedRaw!$B:$B,$A22,ConfirmedRaw!BD:BD)</f>
        <v>200</v>
      </c>
      <c r="BB22">
        <f>SUMIF(ConfirmedRaw!$B:$B,$A22,ConfirmedRaw!BE:BE)</f>
        <v>212</v>
      </c>
      <c r="BC22">
        <f>SUMIF(ConfirmedRaw!$B:$B,$A22,ConfirmedRaw!BF:BF)</f>
        <v>226</v>
      </c>
      <c r="BD22">
        <f>SUMIF(ConfirmedRaw!$B:$B,$A22,ConfirmedRaw!BG:BG)</f>
        <v>243</v>
      </c>
      <c r="BE22">
        <f>SUMIF(ConfirmedRaw!$B:$B,$A22,ConfirmedRaw!BH:BH)</f>
        <v>266</v>
      </c>
      <c r="BF22">
        <f>SUMIF(ConfirmedRaw!$B:$B,$A22,ConfirmedRaw!BI:BI)</f>
        <v>313</v>
      </c>
      <c r="BG22">
        <f>SUMIF(ConfirmedRaw!$B:$B,$A22,ConfirmedRaw!BJ:BJ)</f>
        <v>345</v>
      </c>
      <c r="BH22">
        <f>SUMIF(ConfirmedRaw!$B:$B,$A22,ConfirmedRaw!BK:BK)</f>
        <v>385</v>
      </c>
      <c r="BI22">
        <f>SUMIF(ConfirmedRaw!$B:$B,$A22,ConfirmedRaw!BL:BL)</f>
        <v>0</v>
      </c>
      <c r="BJ22">
        <f>SUMIF(ConfirmedRaw!$B:$B,$A22,ConfirmedRaw!BM:BM)</f>
        <v>0</v>
      </c>
      <c r="BK22">
        <f>SUMIF(ConfirmedRaw!$B:$B,$A22,ConfirmedRaw!BN:BN)</f>
        <v>0</v>
      </c>
      <c r="BL22">
        <f>SUMIF(ConfirmedRaw!$B:$B,$A22,ConfirmedRaw!BO:BO)</f>
        <v>0</v>
      </c>
      <c r="BM22">
        <f>SUMIF(ConfirmedRaw!$B:$B,$A22,ConfirmedRaw!BP:BP)</f>
        <v>0</v>
      </c>
      <c r="BN22">
        <f>SUMIF(ConfirmedRaw!$B:$B,$A22,ConfirmedRaw!BQ:BQ)</f>
        <v>0</v>
      </c>
      <c r="BO22">
        <f>SUMIF(ConfirmedRaw!$B:$B,$A22,ConfirmedRaw!BR:BR)</f>
        <v>0</v>
      </c>
      <c r="BP22">
        <f>SUMIF(ConfirmedRaw!$B:$B,$A22,ConfirmedRaw!BS:BS)</f>
        <v>0</v>
      </c>
      <c r="BQ22">
        <f>SUMIF(ConfirmedRaw!$B:$B,$A22,ConfirmedRaw!BT:BT)</f>
        <v>0</v>
      </c>
      <c r="BR22">
        <f>SUMIF(ConfirmedRaw!$B:$B,$A22,ConfirmedRaw!BU:BU)</f>
        <v>0</v>
      </c>
      <c r="BS22">
        <f>SUMIF(ConfirmedRaw!$B:$B,$A22,ConfirmedRaw!BV:BV)</f>
        <v>0</v>
      </c>
      <c r="BT22">
        <f>SUMIF(ConfirmedRaw!$B:$B,$A22,ConfirmedRaw!BW:BW)</f>
        <v>0</v>
      </c>
    </row>
    <row r="23" spans="1:72" ht="15" thickBot="1" x14ac:dyDescent="0.35">
      <c r="A23" s="3" t="s">
        <v>43</v>
      </c>
      <c r="B23">
        <f>SUMIF(ConfirmedRaw!$B:$B,$A23,ConfirmedRaw!E:E)</f>
        <v>0</v>
      </c>
      <c r="C23">
        <f>SUMIF(ConfirmedRaw!$B:$B,$A23,ConfirmedRaw!F:F)</f>
        <v>0</v>
      </c>
      <c r="D23">
        <f>SUMIF(ConfirmedRaw!$B:$B,$A23,ConfirmedRaw!G:G)</f>
        <v>0</v>
      </c>
      <c r="E23">
        <f>SUMIF(ConfirmedRaw!$B:$B,$A23,ConfirmedRaw!H:H)</f>
        <v>3</v>
      </c>
      <c r="F23">
        <f>SUMIF(ConfirmedRaw!$B:$B,$A23,ConfirmedRaw!I:I)</f>
        <v>4</v>
      </c>
      <c r="G23">
        <f>SUMIF(ConfirmedRaw!$B:$B,$A23,ConfirmedRaw!J:J)</f>
        <v>4</v>
      </c>
      <c r="H23">
        <f>SUMIF(ConfirmedRaw!$B:$B,$A23,ConfirmedRaw!K:K)</f>
        <v>4</v>
      </c>
      <c r="I23">
        <f>SUMIF(ConfirmedRaw!$B:$B,$A23,ConfirmedRaw!L:L)</f>
        <v>7</v>
      </c>
      <c r="J23">
        <f>SUMIF(ConfirmedRaw!$B:$B,$A23,ConfirmedRaw!M:M)</f>
        <v>8</v>
      </c>
      <c r="K23">
        <f>SUMIF(ConfirmedRaw!$B:$B,$A23,ConfirmedRaw!N:N)</f>
        <v>8</v>
      </c>
      <c r="L23">
        <f>SUMIF(ConfirmedRaw!$B:$B,$A23,ConfirmedRaw!O:O)</f>
        <v>8</v>
      </c>
      <c r="M23">
        <f>SUMIF(ConfirmedRaw!$B:$B,$A23,ConfirmedRaw!P:P)</f>
        <v>8</v>
      </c>
      <c r="N23">
        <f>SUMIF(ConfirmedRaw!$B:$B,$A23,ConfirmedRaw!Q:Q)</f>
        <v>8</v>
      </c>
      <c r="O23">
        <f>SUMIF(ConfirmedRaw!$B:$B,$A23,ConfirmedRaw!R:R)</f>
        <v>10</v>
      </c>
      <c r="P23">
        <f>SUMIF(ConfirmedRaw!$B:$B,$A23,ConfirmedRaw!S:S)</f>
        <v>12</v>
      </c>
      <c r="Q23">
        <f>SUMIF(ConfirmedRaw!$B:$B,$A23,ConfirmedRaw!T:T)</f>
        <v>12</v>
      </c>
      <c r="R23">
        <f>SUMIF(ConfirmedRaw!$B:$B,$A23,ConfirmedRaw!U:U)</f>
        <v>12</v>
      </c>
      <c r="S23">
        <f>SUMIF(ConfirmedRaw!$B:$B,$A23,ConfirmedRaw!V:V)</f>
        <v>16</v>
      </c>
      <c r="T23">
        <f>SUMIF(ConfirmedRaw!$B:$B,$A23,ConfirmedRaw!W:W)</f>
        <v>16</v>
      </c>
      <c r="U23">
        <f>SUMIF(ConfirmedRaw!$B:$B,$A23,ConfirmedRaw!X:X)</f>
        <v>18</v>
      </c>
      <c r="V23">
        <f>SUMIF(ConfirmedRaw!$B:$B,$A23,ConfirmedRaw!Y:Y)</f>
        <v>18</v>
      </c>
      <c r="W23">
        <f>SUMIF(ConfirmedRaw!$B:$B,$A23,ConfirmedRaw!Z:Z)</f>
        <v>18</v>
      </c>
      <c r="X23">
        <f>SUMIF(ConfirmedRaw!$B:$B,$A23,ConfirmedRaw!AA:AA)</f>
        <v>19</v>
      </c>
      <c r="Y23">
        <f>SUMIF(ConfirmedRaw!$B:$B,$A23,ConfirmedRaw!AB:AB)</f>
        <v>19</v>
      </c>
      <c r="Z23">
        <f>SUMIF(ConfirmedRaw!$B:$B,$A23,ConfirmedRaw!AC:AC)</f>
        <v>22</v>
      </c>
      <c r="AA23">
        <f>SUMIF(ConfirmedRaw!$B:$B,$A23,ConfirmedRaw!AD:AD)</f>
        <v>22</v>
      </c>
      <c r="AB23">
        <f>SUMIF(ConfirmedRaw!$B:$B,$A23,ConfirmedRaw!AE:AE)</f>
        <v>22</v>
      </c>
      <c r="AC23">
        <f>SUMIF(ConfirmedRaw!$B:$B,$A23,ConfirmedRaw!AF:AF)</f>
        <v>22</v>
      </c>
      <c r="AD23">
        <f>SUMIF(ConfirmedRaw!$B:$B,$A23,ConfirmedRaw!AG:AG)</f>
        <v>22</v>
      </c>
      <c r="AE23">
        <f>SUMIF(ConfirmedRaw!$B:$B,$A23,ConfirmedRaw!AH:AH)</f>
        <v>22</v>
      </c>
      <c r="AF23">
        <f>SUMIF(ConfirmedRaw!$B:$B,$A23,ConfirmedRaw!AI:AI)</f>
        <v>22</v>
      </c>
      <c r="AG23">
        <f>SUMIF(ConfirmedRaw!$B:$B,$A23,ConfirmedRaw!AJ:AJ)</f>
        <v>22</v>
      </c>
      <c r="AH23">
        <f>SUMIF(ConfirmedRaw!$B:$B,$A23,ConfirmedRaw!AK:AK)</f>
        <v>22</v>
      </c>
      <c r="AI23">
        <f>SUMIF(ConfirmedRaw!$B:$B,$A23,ConfirmedRaw!AL:AL)</f>
        <v>22</v>
      </c>
      <c r="AJ23">
        <f>SUMIF(ConfirmedRaw!$B:$B,$A23,ConfirmedRaw!AM:AM)</f>
        <v>22</v>
      </c>
      <c r="AK23">
        <f>SUMIF(ConfirmedRaw!$B:$B,$A23,ConfirmedRaw!AN:AN)</f>
        <v>22</v>
      </c>
      <c r="AL23">
        <f>SUMIF(ConfirmedRaw!$B:$B,$A23,ConfirmedRaw!AO:AO)</f>
        <v>23</v>
      </c>
      <c r="AM23">
        <f>SUMIF(ConfirmedRaw!$B:$B,$A23,ConfirmedRaw!AP:AP)</f>
        <v>23</v>
      </c>
      <c r="AN23">
        <f>SUMIF(ConfirmedRaw!$B:$B,$A23,ConfirmedRaw!AQ:AQ)</f>
        <v>25</v>
      </c>
      <c r="AO23">
        <f>SUMIF(ConfirmedRaw!$B:$B,$A23,ConfirmedRaw!AR:AR)</f>
        <v>29</v>
      </c>
      <c r="AP23">
        <f>SUMIF(ConfirmedRaw!$B:$B,$A23,ConfirmedRaw!AS:AS)</f>
        <v>29</v>
      </c>
      <c r="AQ23">
        <f>SUMIF(ConfirmedRaw!$B:$B,$A23,ConfirmedRaw!AT:AT)</f>
        <v>36</v>
      </c>
      <c r="AR23">
        <f>SUMIF(ConfirmedRaw!$B:$B,$A23,ConfirmedRaw!AU:AU)</f>
        <v>50</v>
      </c>
      <c r="AS23">
        <f>SUMIF(ConfirmedRaw!$B:$B,$A23,ConfirmedRaw!AV:AV)</f>
        <v>50</v>
      </c>
      <c r="AT23">
        <f>SUMIF(ConfirmedRaw!$B:$B,$A23,ConfirmedRaw!AW:AW)</f>
        <v>83</v>
      </c>
      <c r="AU23">
        <f>SUMIF(ConfirmedRaw!$B:$B,$A23,ConfirmedRaw!AX:AX)</f>
        <v>93</v>
      </c>
      <c r="AV23">
        <f>SUMIF(ConfirmedRaw!$B:$B,$A23,ConfirmedRaw!AY:AY)</f>
        <v>99</v>
      </c>
      <c r="AW23">
        <f>SUMIF(ConfirmedRaw!$B:$B,$A23,ConfirmedRaw!AZ:AZ)</f>
        <v>117</v>
      </c>
      <c r="AX23">
        <f>SUMIF(ConfirmedRaw!$B:$B,$A23,ConfirmedRaw!BA:BA)</f>
        <v>129</v>
      </c>
      <c r="AY23">
        <f>SUMIF(ConfirmedRaw!$B:$B,$A23,ConfirmedRaw!BB:BB)</f>
        <v>149</v>
      </c>
      <c r="AZ23">
        <f>SUMIF(ConfirmedRaw!$B:$B,$A23,ConfirmedRaw!BC:BC)</f>
        <v>149</v>
      </c>
      <c r="BA23">
        <f>SUMIF(ConfirmedRaw!$B:$B,$A23,ConfirmedRaw!BD:BD)</f>
        <v>197</v>
      </c>
      <c r="BB23">
        <f>SUMIF(ConfirmedRaw!$B:$B,$A23,ConfirmedRaw!BE:BE)</f>
        <v>238</v>
      </c>
      <c r="BC23">
        <f>SUMIF(ConfirmedRaw!$B:$B,$A23,ConfirmedRaw!BF:BF)</f>
        <v>428</v>
      </c>
      <c r="BD23">
        <f>SUMIF(ConfirmedRaw!$B:$B,$A23,ConfirmedRaw!BG:BG)</f>
        <v>566</v>
      </c>
      <c r="BE23">
        <f>SUMIF(ConfirmedRaw!$B:$B,$A23,ConfirmedRaw!BH:BH)</f>
        <v>673</v>
      </c>
      <c r="BF23">
        <f>SUMIF(ConfirmedRaw!$B:$B,$A23,ConfirmedRaw!BI:BI)</f>
        <v>790</v>
      </c>
      <c r="BG23">
        <f>SUMIF(ConfirmedRaw!$B:$B,$A23,ConfirmedRaw!BJ:BJ)</f>
        <v>900</v>
      </c>
      <c r="BH23">
        <f>SUMIF(ConfirmedRaw!$B:$B,$A23,ConfirmedRaw!BK:BK)</f>
        <v>1030</v>
      </c>
      <c r="BI23">
        <f>SUMIF(ConfirmedRaw!$B:$B,$A23,ConfirmedRaw!BL:BL)</f>
        <v>0</v>
      </c>
      <c r="BJ23">
        <f>SUMIF(ConfirmedRaw!$B:$B,$A23,ConfirmedRaw!BM:BM)</f>
        <v>0</v>
      </c>
      <c r="BK23">
        <f>SUMIF(ConfirmedRaw!$B:$B,$A23,ConfirmedRaw!BN:BN)</f>
        <v>0</v>
      </c>
      <c r="BL23">
        <f>SUMIF(ConfirmedRaw!$B:$B,$A23,ConfirmedRaw!BO:BO)</f>
        <v>0</v>
      </c>
      <c r="BM23">
        <f>SUMIF(ConfirmedRaw!$B:$B,$A23,ConfirmedRaw!BP:BP)</f>
        <v>0</v>
      </c>
      <c r="BN23">
        <f>SUMIF(ConfirmedRaw!$B:$B,$A23,ConfirmedRaw!BQ:BQ)</f>
        <v>0</v>
      </c>
      <c r="BO23">
        <f>SUMIF(ConfirmedRaw!$B:$B,$A23,ConfirmedRaw!BR:BR)</f>
        <v>0</v>
      </c>
      <c r="BP23">
        <f>SUMIF(ConfirmedRaw!$B:$B,$A23,ConfirmedRaw!BS:BS)</f>
        <v>0</v>
      </c>
      <c r="BQ23">
        <f>SUMIF(ConfirmedRaw!$B:$B,$A23,ConfirmedRaw!BT:BT)</f>
        <v>0</v>
      </c>
      <c r="BR23">
        <f>SUMIF(ConfirmedRaw!$B:$B,$A23,ConfirmedRaw!BU:BU)</f>
        <v>0</v>
      </c>
      <c r="BS23">
        <f>SUMIF(ConfirmedRaw!$B:$B,$A23,ConfirmedRaw!BV:BV)</f>
        <v>0</v>
      </c>
      <c r="BT23">
        <f>SUMIF(ConfirmedRaw!$B:$B,$A23,ConfirmedRaw!BW:BW)</f>
        <v>0</v>
      </c>
    </row>
    <row r="24" spans="1:72" ht="15" thickBot="1" x14ac:dyDescent="0.35">
      <c r="A24" s="4" t="s">
        <v>45</v>
      </c>
      <c r="B24">
        <f>SUMIF(ConfirmedRaw!$B:$B,$A24,ConfirmedRaw!E:E)</f>
        <v>0</v>
      </c>
      <c r="C24">
        <f>SUMIF(ConfirmedRaw!$B:$B,$A24,ConfirmedRaw!F:F)</f>
        <v>0</v>
      </c>
      <c r="D24">
        <f>SUMIF(ConfirmedRaw!$B:$B,$A24,ConfirmedRaw!G:G)</f>
        <v>0</v>
      </c>
      <c r="E24">
        <f>SUMIF(ConfirmedRaw!$B:$B,$A24,ConfirmedRaw!H:H)</f>
        <v>0</v>
      </c>
      <c r="F24">
        <f>SUMIF(ConfirmedRaw!$B:$B,$A24,ConfirmedRaw!I:I)</f>
        <v>1</v>
      </c>
      <c r="G24">
        <f>SUMIF(ConfirmedRaw!$B:$B,$A24,ConfirmedRaw!J:J)</f>
        <v>1</v>
      </c>
      <c r="H24">
        <f>SUMIF(ConfirmedRaw!$B:$B,$A24,ConfirmedRaw!K:K)</f>
        <v>2</v>
      </c>
      <c r="I24">
        <f>SUMIF(ConfirmedRaw!$B:$B,$A24,ConfirmedRaw!L:L)</f>
        <v>2</v>
      </c>
      <c r="J24">
        <f>SUMIF(ConfirmedRaw!$B:$B,$A24,ConfirmedRaw!M:M)</f>
        <v>2</v>
      </c>
      <c r="K24">
        <f>SUMIF(ConfirmedRaw!$B:$B,$A24,ConfirmedRaw!N:N)</f>
        <v>4</v>
      </c>
      <c r="L24">
        <f>SUMIF(ConfirmedRaw!$B:$B,$A24,ConfirmedRaw!O:O)</f>
        <v>4</v>
      </c>
      <c r="M24">
        <f>SUMIF(ConfirmedRaw!$B:$B,$A24,ConfirmedRaw!P:P)</f>
        <v>4</v>
      </c>
      <c r="N24">
        <f>SUMIF(ConfirmedRaw!$B:$B,$A24,ConfirmedRaw!Q:Q)</f>
        <v>4</v>
      </c>
      <c r="O24">
        <f>SUMIF(ConfirmedRaw!$B:$B,$A24,ConfirmedRaw!R:R)</f>
        <v>4</v>
      </c>
      <c r="P24">
        <f>SUMIF(ConfirmedRaw!$B:$B,$A24,ConfirmedRaw!S:S)</f>
        <v>5</v>
      </c>
      <c r="Q24">
        <f>SUMIF(ConfirmedRaw!$B:$B,$A24,ConfirmedRaw!T:T)</f>
        <v>5</v>
      </c>
      <c r="R24">
        <f>SUMIF(ConfirmedRaw!$B:$B,$A24,ConfirmedRaw!U:U)</f>
        <v>7</v>
      </c>
      <c r="S24">
        <f>SUMIF(ConfirmedRaw!$B:$B,$A24,ConfirmedRaw!V:V)</f>
        <v>7</v>
      </c>
      <c r="T24">
        <f>SUMIF(ConfirmedRaw!$B:$B,$A24,ConfirmedRaw!W:W)</f>
        <v>7</v>
      </c>
      <c r="U24">
        <f>SUMIF(ConfirmedRaw!$B:$B,$A24,ConfirmedRaw!X:X)</f>
        <v>7</v>
      </c>
      <c r="V24">
        <f>SUMIF(ConfirmedRaw!$B:$B,$A24,ConfirmedRaw!Y:Y)</f>
        <v>7</v>
      </c>
      <c r="W24">
        <f>SUMIF(ConfirmedRaw!$B:$B,$A24,ConfirmedRaw!Z:Z)</f>
        <v>7</v>
      </c>
      <c r="X24">
        <f>SUMIF(ConfirmedRaw!$B:$B,$A24,ConfirmedRaw!AA:AA)</f>
        <v>7</v>
      </c>
      <c r="Y24">
        <f>SUMIF(ConfirmedRaw!$B:$B,$A24,ConfirmedRaw!AB:AB)</f>
        <v>7</v>
      </c>
      <c r="Z24">
        <f>SUMIF(ConfirmedRaw!$B:$B,$A24,ConfirmedRaw!AC:AC)</f>
        <v>7</v>
      </c>
      <c r="AA24">
        <f>SUMIF(ConfirmedRaw!$B:$B,$A24,ConfirmedRaw!AD:AD)</f>
        <v>7</v>
      </c>
      <c r="AB24">
        <f>SUMIF(ConfirmedRaw!$B:$B,$A24,ConfirmedRaw!AE:AE)</f>
        <v>8</v>
      </c>
      <c r="AC24">
        <f>SUMIF(ConfirmedRaw!$B:$B,$A24,ConfirmedRaw!AF:AF)</f>
        <v>8</v>
      </c>
      <c r="AD24">
        <f>SUMIF(ConfirmedRaw!$B:$B,$A24,ConfirmedRaw!AG:AG)</f>
        <v>8</v>
      </c>
      <c r="AE24">
        <f>SUMIF(ConfirmedRaw!$B:$B,$A24,ConfirmedRaw!AH:AH)</f>
        <v>8</v>
      </c>
      <c r="AF24">
        <f>SUMIF(ConfirmedRaw!$B:$B,$A24,ConfirmedRaw!AI:AI)</f>
        <v>9</v>
      </c>
      <c r="AG24">
        <f>SUMIF(ConfirmedRaw!$B:$B,$A24,ConfirmedRaw!AJ:AJ)</f>
        <v>9</v>
      </c>
      <c r="AH24">
        <f>SUMIF(ConfirmedRaw!$B:$B,$A24,ConfirmedRaw!AK:AK)</f>
        <v>9</v>
      </c>
      <c r="AI24">
        <f>SUMIF(ConfirmedRaw!$B:$B,$A24,ConfirmedRaw!AL:AL)</f>
        <v>10</v>
      </c>
      <c r="AJ24">
        <f>SUMIF(ConfirmedRaw!$B:$B,$A24,ConfirmedRaw!AM:AM)</f>
        <v>11</v>
      </c>
      <c r="AK24">
        <f>SUMIF(ConfirmedRaw!$B:$B,$A24,ConfirmedRaw!AN:AN)</f>
        <v>11</v>
      </c>
      <c r="AL24">
        <f>SUMIF(ConfirmedRaw!$B:$B,$A24,ConfirmedRaw!AO:AO)</f>
        <v>13</v>
      </c>
      <c r="AM24">
        <f>SUMIF(ConfirmedRaw!$B:$B,$A24,ConfirmedRaw!AP:AP)</f>
        <v>14</v>
      </c>
      <c r="AN24">
        <f>SUMIF(ConfirmedRaw!$B:$B,$A24,ConfirmedRaw!AQ:AQ)</f>
        <v>20</v>
      </c>
      <c r="AO24">
        <f>SUMIF(ConfirmedRaw!$B:$B,$A24,ConfirmedRaw!AR:AR)</f>
        <v>24</v>
      </c>
      <c r="AP24">
        <f>SUMIF(ConfirmedRaw!$B:$B,$A24,ConfirmedRaw!AS:AS)</f>
        <v>27</v>
      </c>
      <c r="AQ24">
        <f>SUMIF(ConfirmedRaw!$B:$B,$A24,ConfirmedRaw!AT:AT)</f>
        <v>30</v>
      </c>
      <c r="AR24">
        <f>SUMIF(ConfirmedRaw!$B:$B,$A24,ConfirmedRaw!AU:AU)</f>
        <v>33</v>
      </c>
      <c r="AS24">
        <f>SUMIF(ConfirmedRaw!$B:$B,$A24,ConfirmedRaw!AV:AV)</f>
        <v>37</v>
      </c>
      <c r="AT24">
        <f>SUMIF(ConfirmedRaw!$B:$B,$A24,ConfirmedRaw!AW:AW)</f>
        <v>49</v>
      </c>
      <c r="AU24">
        <f>SUMIF(ConfirmedRaw!$B:$B,$A24,ConfirmedRaw!AX:AX)</f>
        <v>54</v>
      </c>
      <c r="AV24">
        <f>SUMIF(ConfirmedRaw!$B:$B,$A24,ConfirmedRaw!AY:AY)</f>
        <v>64</v>
      </c>
      <c r="AW24">
        <f>SUMIF(ConfirmedRaw!$B:$B,$A24,ConfirmedRaw!AZ:AZ)</f>
        <v>77</v>
      </c>
      <c r="AX24">
        <f>SUMIF(ConfirmedRaw!$B:$B,$A24,ConfirmedRaw!BA:BA)</f>
        <v>79</v>
      </c>
      <c r="AY24">
        <f>SUMIF(ConfirmedRaw!$B:$B,$A24,ConfirmedRaw!BB:BB)</f>
        <v>108</v>
      </c>
      <c r="AZ24">
        <f>SUMIF(ConfirmedRaw!$B:$B,$A24,ConfirmedRaw!BC:BC)</f>
        <v>117</v>
      </c>
      <c r="BA24">
        <f>SUMIF(ConfirmedRaw!$B:$B,$A24,ConfirmedRaw!BD:BD)</f>
        <v>193</v>
      </c>
      <c r="BB24">
        <f>SUMIF(ConfirmedRaw!$B:$B,$A24,ConfirmedRaw!BE:BE)</f>
        <v>198</v>
      </c>
      <c r="BC24">
        <f>SUMIF(ConfirmedRaw!$B:$B,$A24,ConfirmedRaw!BF:BF)</f>
        <v>252</v>
      </c>
      <c r="BD24">
        <f>SUMIF(ConfirmedRaw!$B:$B,$A24,ConfirmedRaw!BG:BG)</f>
        <v>415</v>
      </c>
      <c r="BE24">
        <f>SUMIF(ConfirmedRaw!$B:$B,$A24,ConfirmedRaw!BH:BH)</f>
        <v>478</v>
      </c>
      <c r="BF24">
        <f>SUMIF(ConfirmedRaw!$B:$B,$A24,ConfirmedRaw!BI:BI)</f>
        <v>657</v>
      </c>
      <c r="BG24">
        <f>SUMIF(ConfirmedRaw!$B:$B,$A24,ConfirmedRaw!BJ:BJ)</f>
        <v>800</v>
      </c>
      <c r="BH24">
        <f>SUMIF(ConfirmedRaw!$B:$B,$A24,ConfirmedRaw!BK:BK)</f>
        <v>943</v>
      </c>
      <c r="BI24">
        <f>SUMIF(ConfirmedRaw!$B:$B,$A24,ConfirmedRaw!BL:BL)</f>
        <v>0</v>
      </c>
      <c r="BJ24">
        <f>SUMIF(ConfirmedRaw!$B:$B,$A24,ConfirmedRaw!BM:BM)</f>
        <v>0</v>
      </c>
      <c r="BK24">
        <f>SUMIF(ConfirmedRaw!$B:$B,$A24,ConfirmedRaw!BN:BN)</f>
        <v>0</v>
      </c>
      <c r="BL24">
        <f>SUMIF(ConfirmedRaw!$B:$B,$A24,ConfirmedRaw!BO:BO)</f>
        <v>0</v>
      </c>
      <c r="BM24">
        <f>SUMIF(ConfirmedRaw!$B:$B,$A24,ConfirmedRaw!BP:BP)</f>
        <v>0</v>
      </c>
      <c r="BN24">
        <f>SUMIF(ConfirmedRaw!$B:$B,$A24,ConfirmedRaw!BQ:BQ)</f>
        <v>0</v>
      </c>
      <c r="BO24">
        <f>SUMIF(ConfirmedRaw!$B:$B,$A24,ConfirmedRaw!BR:BR)</f>
        <v>0</v>
      </c>
      <c r="BP24">
        <f>SUMIF(ConfirmedRaw!$B:$B,$A24,ConfirmedRaw!BS:BS)</f>
        <v>0</v>
      </c>
      <c r="BQ24">
        <f>SUMIF(ConfirmedRaw!$B:$B,$A24,ConfirmedRaw!BT:BT)</f>
        <v>0</v>
      </c>
      <c r="BR24">
        <f>SUMIF(ConfirmedRaw!$B:$B,$A24,ConfirmedRaw!BU:BU)</f>
        <v>0</v>
      </c>
      <c r="BS24">
        <f>SUMIF(ConfirmedRaw!$B:$B,$A24,ConfirmedRaw!BV:BV)</f>
        <v>0</v>
      </c>
      <c r="BT24">
        <f>SUMIF(ConfirmedRaw!$B:$B,$A24,ConfirmedRaw!BW:BW)</f>
        <v>0</v>
      </c>
    </row>
    <row r="25" spans="1:72" ht="15" thickBot="1" x14ac:dyDescent="0.35">
      <c r="A25" s="4" t="s">
        <v>83</v>
      </c>
      <c r="B25">
        <f>SUMIF(ConfirmedRaw!$B:$B,$A25,ConfirmedRaw!E:E)</f>
        <v>0</v>
      </c>
      <c r="C25">
        <f>SUMIF(ConfirmedRaw!$B:$B,$A25,ConfirmedRaw!F:F)</f>
        <v>0</v>
      </c>
      <c r="D25">
        <f>SUMIF(ConfirmedRaw!$B:$B,$A25,ConfirmedRaw!G:G)</f>
        <v>0</v>
      </c>
      <c r="E25">
        <f>SUMIF(ConfirmedRaw!$B:$B,$A25,ConfirmedRaw!H:H)</f>
        <v>0</v>
      </c>
      <c r="F25">
        <f>SUMIF(ConfirmedRaw!$B:$B,$A25,ConfirmedRaw!I:I)</f>
        <v>0</v>
      </c>
      <c r="G25">
        <f>SUMIF(ConfirmedRaw!$B:$B,$A25,ConfirmedRaw!J:J)</f>
        <v>0</v>
      </c>
      <c r="H25">
        <f>SUMIF(ConfirmedRaw!$B:$B,$A25,ConfirmedRaw!K:K)</f>
        <v>0</v>
      </c>
      <c r="I25">
        <f>SUMIF(ConfirmedRaw!$B:$B,$A25,ConfirmedRaw!L:L)</f>
        <v>0</v>
      </c>
      <c r="J25">
        <f>SUMIF(ConfirmedRaw!$B:$B,$A25,ConfirmedRaw!M:M)</f>
        <v>0</v>
      </c>
      <c r="K25">
        <f>SUMIF(ConfirmedRaw!$B:$B,$A25,ConfirmedRaw!N:N)</f>
        <v>0</v>
      </c>
      <c r="L25">
        <f>SUMIF(ConfirmedRaw!$B:$B,$A25,ConfirmedRaw!O:O)</f>
        <v>0</v>
      </c>
      <c r="M25">
        <f>SUMIF(ConfirmedRaw!$B:$B,$A25,ConfirmedRaw!P:P)</f>
        <v>0</v>
      </c>
      <c r="N25">
        <f>SUMIF(ConfirmedRaw!$B:$B,$A25,ConfirmedRaw!Q:Q)</f>
        <v>0</v>
      </c>
      <c r="O25">
        <f>SUMIF(ConfirmedRaw!$B:$B,$A25,ConfirmedRaw!R:R)</f>
        <v>0</v>
      </c>
      <c r="P25">
        <f>SUMIF(ConfirmedRaw!$B:$B,$A25,ConfirmedRaw!S:S)</f>
        <v>0</v>
      </c>
      <c r="Q25">
        <f>SUMIF(ConfirmedRaw!$B:$B,$A25,ConfirmedRaw!T:T)</f>
        <v>0</v>
      </c>
      <c r="R25">
        <f>SUMIF(ConfirmedRaw!$B:$B,$A25,ConfirmedRaw!U:U)</f>
        <v>0</v>
      </c>
      <c r="S25">
        <f>SUMIF(ConfirmedRaw!$B:$B,$A25,ConfirmedRaw!V:V)</f>
        <v>0</v>
      </c>
      <c r="T25">
        <f>SUMIF(ConfirmedRaw!$B:$B,$A25,ConfirmedRaw!W:W)</f>
        <v>0</v>
      </c>
      <c r="U25">
        <f>SUMIF(ConfirmedRaw!$B:$B,$A25,ConfirmedRaw!X:X)</f>
        <v>0</v>
      </c>
      <c r="V25">
        <f>SUMIF(ConfirmedRaw!$B:$B,$A25,ConfirmedRaw!Y:Y)</f>
        <v>0</v>
      </c>
      <c r="W25">
        <f>SUMIF(ConfirmedRaw!$B:$B,$A25,ConfirmedRaw!Z:Z)</f>
        <v>0</v>
      </c>
      <c r="X25">
        <f>SUMIF(ConfirmedRaw!$B:$B,$A25,ConfirmedRaw!AA:AA)</f>
        <v>0</v>
      </c>
      <c r="Y25">
        <f>SUMIF(ConfirmedRaw!$B:$B,$A25,ConfirmedRaw!AB:AB)</f>
        <v>0</v>
      </c>
      <c r="Z25">
        <f>SUMIF(ConfirmedRaw!$B:$B,$A25,ConfirmedRaw!AC:AC)</f>
        <v>0</v>
      </c>
      <c r="AA25">
        <f>SUMIF(ConfirmedRaw!$B:$B,$A25,ConfirmedRaw!AD:AD)</f>
        <v>0</v>
      </c>
      <c r="AB25">
        <f>SUMIF(ConfirmedRaw!$B:$B,$A25,ConfirmedRaw!AE:AE)</f>
        <v>0</v>
      </c>
      <c r="AC25">
        <f>SUMIF(ConfirmedRaw!$B:$B,$A25,ConfirmedRaw!AF:AF)</f>
        <v>0</v>
      </c>
      <c r="AD25">
        <f>SUMIF(ConfirmedRaw!$B:$B,$A25,ConfirmedRaw!AG:AG)</f>
        <v>0</v>
      </c>
      <c r="AE25">
        <f>SUMIF(ConfirmedRaw!$B:$B,$A25,ConfirmedRaw!AH:AH)</f>
        <v>0</v>
      </c>
      <c r="AF25">
        <f>SUMIF(ConfirmedRaw!$B:$B,$A25,ConfirmedRaw!AI:AI)</f>
        <v>0</v>
      </c>
      <c r="AG25">
        <f>SUMIF(ConfirmedRaw!$B:$B,$A25,ConfirmedRaw!AJ:AJ)</f>
        <v>0</v>
      </c>
      <c r="AH25">
        <f>SUMIF(ConfirmedRaw!$B:$B,$A25,ConfirmedRaw!AK:AK)</f>
        <v>0</v>
      </c>
      <c r="AI25">
        <f>SUMIF(ConfirmedRaw!$B:$B,$A25,ConfirmedRaw!AL:AL)</f>
        <v>0</v>
      </c>
      <c r="AJ25">
        <f>SUMIF(ConfirmedRaw!$B:$B,$A25,ConfirmedRaw!AM:AM)</f>
        <v>0</v>
      </c>
      <c r="AK25">
        <f>SUMIF(ConfirmedRaw!$B:$B,$A25,ConfirmedRaw!AN:AN)</f>
        <v>1</v>
      </c>
      <c r="AL25">
        <f>SUMIF(ConfirmedRaw!$B:$B,$A25,ConfirmedRaw!AO:AO)</f>
        <v>3</v>
      </c>
      <c r="AM25">
        <f>SUMIF(ConfirmedRaw!$B:$B,$A25,ConfirmedRaw!AP:AP)</f>
        <v>4</v>
      </c>
      <c r="AN25">
        <f>SUMIF(ConfirmedRaw!$B:$B,$A25,ConfirmedRaw!AQ:AQ)</f>
        <v>4</v>
      </c>
      <c r="AO25">
        <f>SUMIF(ConfirmedRaw!$B:$B,$A25,ConfirmedRaw!AR:AR)</f>
        <v>7</v>
      </c>
      <c r="AP25">
        <f>SUMIF(ConfirmedRaw!$B:$B,$A25,ConfirmedRaw!AS:AS)</f>
        <v>7</v>
      </c>
      <c r="AQ25">
        <f>SUMIF(ConfirmedRaw!$B:$B,$A25,ConfirmedRaw!AT:AT)</f>
        <v>7</v>
      </c>
      <c r="AR25">
        <f>SUMIF(ConfirmedRaw!$B:$B,$A25,ConfirmedRaw!AU:AU)</f>
        <v>9</v>
      </c>
      <c r="AS25">
        <f>SUMIF(ConfirmedRaw!$B:$B,$A25,ConfirmedRaw!AV:AV)</f>
        <v>31</v>
      </c>
      <c r="AT25">
        <f>SUMIF(ConfirmedRaw!$B:$B,$A25,ConfirmedRaw!AW:AW)</f>
        <v>45</v>
      </c>
      <c r="AU25">
        <f>SUMIF(ConfirmedRaw!$B:$B,$A25,ConfirmedRaw!AX:AX)</f>
        <v>46</v>
      </c>
      <c r="AV25">
        <f>SUMIF(ConfirmedRaw!$B:$B,$A25,ConfirmedRaw!AY:AY)</f>
        <v>73</v>
      </c>
      <c r="AW25">
        <f>SUMIF(ConfirmedRaw!$B:$B,$A25,ConfirmedRaw!AZ:AZ)</f>
        <v>73</v>
      </c>
      <c r="AX25">
        <f>SUMIF(ConfirmedRaw!$B:$B,$A25,ConfirmedRaw!BA:BA)</f>
        <v>89</v>
      </c>
      <c r="AY25">
        <f>SUMIF(ConfirmedRaw!$B:$B,$A25,ConfirmedRaw!BB:BB)</f>
        <v>99</v>
      </c>
      <c r="AZ25">
        <f>SUMIF(ConfirmedRaw!$B:$B,$A25,ConfirmedRaw!BC:BC)</f>
        <v>99</v>
      </c>
      <c r="BA25">
        <f>SUMIF(ConfirmedRaw!$B:$B,$A25,ConfirmedRaw!BD:BD)</f>
        <v>190</v>
      </c>
      <c r="BB25">
        <f>SUMIF(ConfirmedRaw!$B:$B,$A25,ConfirmedRaw!BE:BE)</f>
        <v>228</v>
      </c>
      <c r="BC25">
        <f>SUMIF(ConfirmedRaw!$B:$B,$A25,ConfirmedRaw!BF:BF)</f>
        <v>331</v>
      </c>
      <c r="BD25">
        <f>SUMIF(ConfirmedRaw!$B:$B,$A25,ConfirmedRaw!BG:BG)</f>
        <v>331</v>
      </c>
      <c r="BE25">
        <f>SUMIF(ConfirmedRaw!$B:$B,$A25,ConfirmedRaw!BH:BH)</f>
        <v>387</v>
      </c>
      <c r="BF25">
        <f>SUMIF(ConfirmedRaw!$B:$B,$A25,ConfirmedRaw!BI:BI)</f>
        <v>418</v>
      </c>
      <c r="BG25">
        <f>SUMIF(ConfirmedRaw!$B:$B,$A25,ConfirmedRaw!BJ:BJ)</f>
        <v>418</v>
      </c>
      <c r="BH25">
        <f>SUMIF(ConfirmedRaw!$B:$B,$A25,ConfirmedRaw!BK:BK)</f>
        <v>495</v>
      </c>
      <c r="BI25">
        <f>SUMIF(ConfirmedRaw!$B:$B,$A25,ConfirmedRaw!BL:BL)</f>
        <v>0</v>
      </c>
      <c r="BJ25">
        <f>SUMIF(ConfirmedRaw!$B:$B,$A25,ConfirmedRaw!BM:BM)</f>
        <v>0</v>
      </c>
      <c r="BK25">
        <f>SUMIF(ConfirmedRaw!$B:$B,$A25,ConfirmedRaw!BN:BN)</f>
        <v>0</v>
      </c>
      <c r="BL25">
        <f>SUMIF(ConfirmedRaw!$B:$B,$A25,ConfirmedRaw!BO:BO)</f>
        <v>0</v>
      </c>
      <c r="BM25">
        <f>SUMIF(ConfirmedRaw!$B:$B,$A25,ConfirmedRaw!BP:BP)</f>
        <v>0</v>
      </c>
      <c r="BN25">
        <f>SUMIF(ConfirmedRaw!$B:$B,$A25,ConfirmedRaw!BQ:BQ)</f>
        <v>0</v>
      </c>
      <c r="BO25">
        <f>SUMIF(ConfirmedRaw!$B:$B,$A25,ConfirmedRaw!BR:BR)</f>
        <v>0</v>
      </c>
      <c r="BP25">
        <f>SUMIF(ConfirmedRaw!$B:$B,$A25,ConfirmedRaw!BS:BS)</f>
        <v>0</v>
      </c>
      <c r="BQ25">
        <f>SUMIF(ConfirmedRaw!$B:$B,$A25,ConfirmedRaw!BT:BT)</f>
        <v>0</v>
      </c>
      <c r="BR25">
        <f>SUMIF(ConfirmedRaw!$B:$B,$A25,ConfirmedRaw!BU:BU)</f>
        <v>0</v>
      </c>
      <c r="BS25">
        <f>SUMIF(ConfirmedRaw!$B:$B,$A25,ConfirmedRaw!BV:BV)</f>
        <v>0</v>
      </c>
      <c r="BT25">
        <f>SUMIF(ConfirmedRaw!$B:$B,$A25,ConfirmedRaw!BW:BW)</f>
        <v>0</v>
      </c>
    </row>
    <row r="26" spans="1:72" ht="15" thickBot="1" x14ac:dyDescent="0.35">
      <c r="A26" s="4" t="s">
        <v>73</v>
      </c>
      <c r="B26">
        <f>SUMIF(ConfirmedRaw!$B:$B,$A26,ConfirmedRaw!E:E)</f>
        <v>0</v>
      </c>
      <c r="C26">
        <f>SUMIF(ConfirmedRaw!$B:$B,$A26,ConfirmedRaw!F:F)</f>
        <v>0</v>
      </c>
      <c r="D26">
        <f>SUMIF(ConfirmedRaw!$B:$B,$A26,ConfirmedRaw!G:G)</f>
        <v>0</v>
      </c>
      <c r="E26">
        <f>SUMIF(ConfirmedRaw!$B:$B,$A26,ConfirmedRaw!H:H)</f>
        <v>0</v>
      </c>
      <c r="F26">
        <f>SUMIF(ConfirmedRaw!$B:$B,$A26,ConfirmedRaw!I:I)</f>
        <v>0</v>
      </c>
      <c r="G26">
        <f>SUMIF(ConfirmedRaw!$B:$B,$A26,ConfirmedRaw!J:J)</f>
        <v>0</v>
      </c>
      <c r="H26">
        <f>SUMIF(ConfirmedRaw!$B:$B,$A26,ConfirmedRaw!K:K)</f>
        <v>0</v>
      </c>
      <c r="I26">
        <f>SUMIF(ConfirmedRaw!$B:$B,$A26,ConfirmedRaw!L:L)</f>
        <v>0</v>
      </c>
      <c r="J26">
        <f>SUMIF(ConfirmedRaw!$B:$B,$A26,ConfirmedRaw!M:M)</f>
        <v>0</v>
      </c>
      <c r="K26">
        <f>SUMIF(ConfirmedRaw!$B:$B,$A26,ConfirmedRaw!N:N)</f>
        <v>0</v>
      </c>
      <c r="L26">
        <f>SUMIF(ConfirmedRaw!$B:$B,$A26,ConfirmedRaw!O:O)</f>
        <v>0</v>
      </c>
      <c r="M26">
        <f>SUMIF(ConfirmedRaw!$B:$B,$A26,ConfirmedRaw!P:P)</f>
        <v>0</v>
      </c>
      <c r="N26">
        <f>SUMIF(ConfirmedRaw!$B:$B,$A26,ConfirmedRaw!Q:Q)</f>
        <v>0</v>
      </c>
      <c r="O26">
        <f>SUMIF(ConfirmedRaw!$B:$B,$A26,ConfirmedRaw!R:R)</f>
        <v>0</v>
      </c>
      <c r="P26">
        <f>SUMIF(ConfirmedRaw!$B:$B,$A26,ConfirmedRaw!S:S)</f>
        <v>0</v>
      </c>
      <c r="Q26">
        <f>SUMIF(ConfirmedRaw!$B:$B,$A26,ConfirmedRaw!T:T)</f>
        <v>0</v>
      </c>
      <c r="R26">
        <f>SUMIF(ConfirmedRaw!$B:$B,$A26,ConfirmedRaw!U:U)</f>
        <v>0</v>
      </c>
      <c r="S26">
        <f>SUMIF(ConfirmedRaw!$B:$B,$A26,ConfirmedRaw!V:V)</f>
        <v>0</v>
      </c>
      <c r="T26">
        <f>SUMIF(ConfirmedRaw!$B:$B,$A26,ConfirmedRaw!W:W)</f>
        <v>0</v>
      </c>
      <c r="U26">
        <f>SUMIF(ConfirmedRaw!$B:$B,$A26,ConfirmedRaw!X:X)</f>
        <v>0</v>
      </c>
      <c r="V26">
        <f>SUMIF(ConfirmedRaw!$B:$B,$A26,ConfirmedRaw!Y:Y)</f>
        <v>0</v>
      </c>
      <c r="W26">
        <f>SUMIF(ConfirmedRaw!$B:$B,$A26,ConfirmedRaw!Z:Z)</f>
        <v>0</v>
      </c>
      <c r="X26">
        <f>SUMIF(ConfirmedRaw!$B:$B,$A26,ConfirmedRaw!AA:AA)</f>
        <v>0</v>
      </c>
      <c r="Y26">
        <f>SUMIF(ConfirmedRaw!$B:$B,$A26,ConfirmedRaw!AB:AB)</f>
        <v>0</v>
      </c>
      <c r="Z26">
        <f>SUMIF(ConfirmedRaw!$B:$B,$A26,ConfirmedRaw!AC:AC)</f>
        <v>0</v>
      </c>
      <c r="AA26">
        <f>SUMIF(ConfirmedRaw!$B:$B,$A26,ConfirmedRaw!AD:AD)</f>
        <v>0</v>
      </c>
      <c r="AB26">
        <f>SUMIF(ConfirmedRaw!$B:$B,$A26,ConfirmedRaw!AE:AE)</f>
        <v>0</v>
      </c>
      <c r="AC26">
        <f>SUMIF(ConfirmedRaw!$B:$B,$A26,ConfirmedRaw!AF:AF)</f>
        <v>0</v>
      </c>
      <c r="AD26">
        <f>SUMIF(ConfirmedRaw!$B:$B,$A26,ConfirmedRaw!AG:AG)</f>
        <v>0</v>
      </c>
      <c r="AE26">
        <f>SUMIF(ConfirmedRaw!$B:$B,$A26,ConfirmedRaw!AH:AH)</f>
        <v>0</v>
      </c>
      <c r="AF26">
        <f>SUMIF(ConfirmedRaw!$B:$B,$A26,ConfirmedRaw!AI:AI)</f>
        <v>0</v>
      </c>
      <c r="AG26">
        <f>SUMIF(ConfirmedRaw!$B:$B,$A26,ConfirmedRaw!AJ:AJ)</f>
        <v>0</v>
      </c>
      <c r="AH26">
        <f>SUMIF(ConfirmedRaw!$B:$B,$A26,ConfirmedRaw!AK:AK)</f>
        <v>0</v>
      </c>
      <c r="AI26">
        <f>SUMIF(ConfirmedRaw!$B:$B,$A26,ConfirmedRaw!AL:AL)</f>
        <v>1</v>
      </c>
      <c r="AJ26">
        <f>SUMIF(ConfirmedRaw!$B:$B,$A26,ConfirmedRaw!AM:AM)</f>
        <v>23</v>
      </c>
      <c r="AK26">
        <f>SUMIF(ConfirmedRaw!$B:$B,$A26,ConfirmedRaw!AN:AN)</f>
        <v>33</v>
      </c>
      <c r="AL26">
        <f>SUMIF(ConfirmedRaw!$B:$B,$A26,ConfirmedRaw!AO:AO)</f>
        <v>33</v>
      </c>
      <c r="AM26">
        <f>SUMIF(ConfirmedRaw!$B:$B,$A26,ConfirmedRaw!AP:AP)</f>
        <v>36</v>
      </c>
      <c r="AN26">
        <f>SUMIF(ConfirmedRaw!$B:$B,$A26,ConfirmedRaw!AQ:AQ)</f>
        <v>41</v>
      </c>
      <c r="AO26">
        <f>SUMIF(ConfirmedRaw!$B:$B,$A26,ConfirmedRaw!AR:AR)</f>
        <v>47</v>
      </c>
      <c r="AP26">
        <f>SUMIF(ConfirmedRaw!$B:$B,$A26,ConfirmedRaw!AS:AS)</f>
        <v>49</v>
      </c>
      <c r="AQ26">
        <f>SUMIF(ConfirmedRaw!$B:$B,$A26,ConfirmedRaw!AT:AT)</f>
        <v>49</v>
      </c>
      <c r="AR26">
        <f>SUMIF(ConfirmedRaw!$B:$B,$A26,ConfirmedRaw!AU:AU)</f>
        <v>52</v>
      </c>
      <c r="AS26">
        <f>SUMIF(ConfirmedRaw!$B:$B,$A26,ConfirmedRaw!AV:AV)</f>
        <v>55</v>
      </c>
      <c r="AT26">
        <f>SUMIF(ConfirmedRaw!$B:$B,$A26,ConfirmedRaw!AW:AW)</f>
        <v>60</v>
      </c>
      <c r="AU26">
        <f>SUMIF(ConfirmedRaw!$B:$B,$A26,ConfirmedRaw!AX:AX)</f>
        <v>85</v>
      </c>
      <c r="AV26">
        <f>SUMIF(ConfirmedRaw!$B:$B,$A26,ConfirmedRaw!AY:AY)</f>
        <v>85</v>
      </c>
      <c r="AW26">
        <f>SUMIF(ConfirmedRaw!$B:$B,$A26,ConfirmedRaw!AZ:AZ)</f>
        <v>95</v>
      </c>
      <c r="AX26">
        <f>SUMIF(ConfirmedRaw!$B:$B,$A26,ConfirmedRaw!BA:BA)</f>
        <v>110</v>
      </c>
      <c r="AY26">
        <f>SUMIF(ConfirmedRaw!$B:$B,$A26,ConfirmedRaw!BB:BB)</f>
        <v>195</v>
      </c>
      <c r="AZ26">
        <f>SUMIF(ConfirmedRaw!$B:$B,$A26,ConfirmedRaw!BC:BC)</f>
        <v>195</v>
      </c>
      <c r="BA26">
        <f>SUMIF(ConfirmedRaw!$B:$B,$A26,ConfirmedRaw!BD:BD)</f>
        <v>189</v>
      </c>
      <c r="BB26">
        <f>SUMIF(ConfirmedRaw!$B:$B,$A26,ConfirmedRaw!BE:BE)</f>
        <v>210</v>
      </c>
      <c r="BC26">
        <f>SUMIF(ConfirmedRaw!$B:$B,$A26,ConfirmedRaw!BF:BF)</f>
        <v>214</v>
      </c>
      <c r="BD26">
        <f>SUMIF(ConfirmedRaw!$B:$B,$A26,ConfirmedRaw!BG:BG)</f>
        <v>214</v>
      </c>
      <c r="BE26">
        <f>SUMIF(ConfirmedRaw!$B:$B,$A26,ConfirmedRaw!BH:BH)</f>
        <v>228</v>
      </c>
      <c r="BF26">
        <f>SUMIF(ConfirmedRaw!$B:$B,$A26,ConfirmedRaw!BI:BI)</f>
        <v>256</v>
      </c>
      <c r="BG26">
        <f>SUMIF(ConfirmedRaw!$B:$B,$A26,ConfirmedRaw!BJ:BJ)</f>
        <v>278</v>
      </c>
      <c r="BH26">
        <f>SUMIF(ConfirmedRaw!$B:$B,$A26,ConfirmedRaw!BK:BK)</f>
        <v>285</v>
      </c>
      <c r="BI26">
        <f>SUMIF(ConfirmedRaw!$B:$B,$A26,ConfirmedRaw!BL:BL)</f>
        <v>0</v>
      </c>
      <c r="BJ26">
        <f>SUMIF(ConfirmedRaw!$B:$B,$A26,ConfirmedRaw!BM:BM)</f>
        <v>0</v>
      </c>
      <c r="BK26">
        <f>SUMIF(ConfirmedRaw!$B:$B,$A26,ConfirmedRaw!BN:BN)</f>
        <v>0</v>
      </c>
      <c r="BL26">
        <f>SUMIF(ConfirmedRaw!$B:$B,$A26,ConfirmedRaw!BO:BO)</f>
        <v>0</v>
      </c>
      <c r="BM26">
        <f>SUMIF(ConfirmedRaw!$B:$B,$A26,ConfirmedRaw!BP:BP)</f>
        <v>0</v>
      </c>
      <c r="BN26">
        <f>SUMIF(ConfirmedRaw!$B:$B,$A26,ConfirmedRaw!BQ:BQ)</f>
        <v>0</v>
      </c>
      <c r="BO26">
        <f>SUMIF(ConfirmedRaw!$B:$B,$A26,ConfirmedRaw!BR:BR)</f>
        <v>0</v>
      </c>
      <c r="BP26">
        <f>SUMIF(ConfirmedRaw!$B:$B,$A26,ConfirmedRaw!BS:BS)</f>
        <v>0</v>
      </c>
      <c r="BQ26">
        <f>SUMIF(ConfirmedRaw!$B:$B,$A26,ConfirmedRaw!BT:BT)</f>
        <v>0</v>
      </c>
      <c r="BR26">
        <f>SUMIF(ConfirmedRaw!$B:$B,$A26,ConfirmedRaw!BU:BU)</f>
        <v>0</v>
      </c>
      <c r="BS26">
        <f>SUMIF(ConfirmedRaw!$B:$B,$A26,ConfirmedRaw!BV:BV)</f>
        <v>0</v>
      </c>
      <c r="BT26">
        <f>SUMIF(ConfirmedRaw!$B:$B,$A26,ConfirmedRaw!BW:BW)</f>
        <v>0</v>
      </c>
    </row>
    <row r="27" spans="1:72" ht="15" thickBot="1" x14ac:dyDescent="0.35">
      <c r="A27" s="4" t="s">
        <v>79</v>
      </c>
      <c r="B27">
        <f>SUMIF(ConfirmedRaw!$B:$B,$A27,ConfirmedRaw!E:E)</f>
        <v>0</v>
      </c>
      <c r="C27">
        <f>SUMIF(ConfirmedRaw!$B:$B,$A27,ConfirmedRaw!F:F)</f>
        <v>0</v>
      </c>
      <c r="D27">
        <f>SUMIF(ConfirmedRaw!$B:$B,$A27,ConfirmedRaw!G:G)</f>
        <v>0</v>
      </c>
      <c r="E27">
        <f>SUMIF(ConfirmedRaw!$B:$B,$A27,ConfirmedRaw!H:H)</f>
        <v>0</v>
      </c>
      <c r="F27">
        <f>SUMIF(ConfirmedRaw!$B:$B,$A27,ConfirmedRaw!I:I)</f>
        <v>0</v>
      </c>
      <c r="G27">
        <f>SUMIF(ConfirmedRaw!$B:$B,$A27,ConfirmedRaw!J:J)</f>
        <v>0</v>
      </c>
      <c r="H27">
        <f>SUMIF(ConfirmedRaw!$B:$B,$A27,ConfirmedRaw!K:K)</f>
        <v>0</v>
      </c>
      <c r="I27">
        <f>SUMIF(ConfirmedRaw!$B:$B,$A27,ConfirmedRaw!L:L)</f>
        <v>0</v>
      </c>
      <c r="J27">
        <f>SUMIF(ConfirmedRaw!$B:$B,$A27,ConfirmedRaw!M:M)</f>
        <v>0</v>
      </c>
      <c r="K27">
        <f>SUMIF(ConfirmedRaw!$B:$B,$A27,ConfirmedRaw!N:N)</f>
        <v>0</v>
      </c>
      <c r="L27">
        <f>SUMIF(ConfirmedRaw!$B:$B,$A27,ConfirmedRaw!O:O)</f>
        <v>0</v>
      </c>
      <c r="M27">
        <f>SUMIF(ConfirmedRaw!$B:$B,$A27,ConfirmedRaw!P:P)</f>
        <v>0</v>
      </c>
      <c r="N27">
        <f>SUMIF(ConfirmedRaw!$B:$B,$A27,ConfirmedRaw!Q:Q)</f>
        <v>0</v>
      </c>
      <c r="O27">
        <f>SUMIF(ConfirmedRaw!$B:$B,$A27,ConfirmedRaw!R:R)</f>
        <v>0</v>
      </c>
      <c r="P27">
        <f>SUMIF(ConfirmedRaw!$B:$B,$A27,ConfirmedRaw!S:S)</f>
        <v>0</v>
      </c>
      <c r="Q27">
        <f>SUMIF(ConfirmedRaw!$B:$B,$A27,ConfirmedRaw!T:T)</f>
        <v>0</v>
      </c>
      <c r="R27">
        <f>SUMIF(ConfirmedRaw!$B:$B,$A27,ConfirmedRaw!U:U)</f>
        <v>0</v>
      </c>
      <c r="S27">
        <f>SUMIF(ConfirmedRaw!$B:$B,$A27,ConfirmedRaw!V:V)</f>
        <v>0</v>
      </c>
      <c r="T27">
        <f>SUMIF(ConfirmedRaw!$B:$B,$A27,ConfirmedRaw!W:W)</f>
        <v>0</v>
      </c>
      <c r="U27">
        <f>SUMIF(ConfirmedRaw!$B:$B,$A27,ConfirmedRaw!X:X)</f>
        <v>0</v>
      </c>
      <c r="V27">
        <f>SUMIF(ConfirmedRaw!$B:$B,$A27,ConfirmedRaw!Y:Y)</f>
        <v>0</v>
      </c>
      <c r="W27">
        <f>SUMIF(ConfirmedRaw!$B:$B,$A27,ConfirmedRaw!Z:Z)</f>
        <v>0</v>
      </c>
      <c r="X27">
        <f>SUMIF(ConfirmedRaw!$B:$B,$A27,ConfirmedRaw!AA:AA)</f>
        <v>0</v>
      </c>
      <c r="Y27">
        <f>SUMIF(ConfirmedRaw!$B:$B,$A27,ConfirmedRaw!AB:AB)</f>
        <v>0</v>
      </c>
      <c r="Z27">
        <f>SUMIF(ConfirmedRaw!$B:$B,$A27,ConfirmedRaw!AC:AC)</f>
        <v>0</v>
      </c>
      <c r="AA27">
        <f>SUMIF(ConfirmedRaw!$B:$B,$A27,ConfirmedRaw!AD:AD)</f>
        <v>0</v>
      </c>
      <c r="AB27">
        <f>SUMIF(ConfirmedRaw!$B:$B,$A27,ConfirmedRaw!AE:AE)</f>
        <v>0</v>
      </c>
      <c r="AC27">
        <f>SUMIF(ConfirmedRaw!$B:$B,$A27,ConfirmedRaw!AF:AF)</f>
        <v>0</v>
      </c>
      <c r="AD27">
        <f>SUMIF(ConfirmedRaw!$B:$B,$A27,ConfirmedRaw!AG:AG)</f>
        <v>0</v>
      </c>
      <c r="AE27">
        <f>SUMIF(ConfirmedRaw!$B:$B,$A27,ConfirmedRaw!AH:AH)</f>
        <v>0</v>
      </c>
      <c r="AF27">
        <f>SUMIF(ConfirmedRaw!$B:$B,$A27,ConfirmedRaw!AI:AI)</f>
        <v>1</v>
      </c>
      <c r="AG27">
        <f>SUMIF(ConfirmedRaw!$B:$B,$A27,ConfirmedRaw!AJ:AJ)</f>
        <v>1</v>
      </c>
      <c r="AH27">
        <f>SUMIF(ConfirmedRaw!$B:$B,$A27,ConfirmedRaw!AK:AK)</f>
        <v>1</v>
      </c>
      <c r="AI27">
        <f>SUMIF(ConfirmedRaw!$B:$B,$A27,ConfirmedRaw!AL:AL)</f>
        <v>1</v>
      </c>
      <c r="AJ27">
        <f>SUMIF(ConfirmedRaw!$B:$B,$A27,ConfirmedRaw!AM:AM)</f>
        <v>1</v>
      </c>
      <c r="AK27">
        <f>SUMIF(ConfirmedRaw!$B:$B,$A27,ConfirmedRaw!AN:AN)</f>
        <v>2</v>
      </c>
      <c r="AL27">
        <f>SUMIF(ConfirmedRaw!$B:$B,$A27,ConfirmedRaw!AO:AO)</f>
        <v>3</v>
      </c>
      <c r="AM27">
        <f>SUMIF(ConfirmedRaw!$B:$B,$A27,ConfirmedRaw!AP:AP)</f>
        <v>4</v>
      </c>
      <c r="AN27">
        <f>SUMIF(ConfirmedRaw!$B:$B,$A27,ConfirmedRaw!AQ:AQ)</f>
        <v>7</v>
      </c>
      <c r="AO27">
        <f>SUMIF(ConfirmedRaw!$B:$B,$A27,ConfirmedRaw!AR:AR)</f>
        <v>10</v>
      </c>
      <c r="AP27">
        <f>SUMIF(ConfirmedRaw!$B:$B,$A27,ConfirmedRaw!AS:AS)</f>
        <v>10</v>
      </c>
      <c r="AQ27">
        <f>SUMIF(ConfirmedRaw!$B:$B,$A27,ConfirmedRaw!AT:AT)</f>
        <v>12</v>
      </c>
      <c r="AR27">
        <f>SUMIF(ConfirmedRaw!$B:$B,$A27,ConfirmedRaw!AU:AU)</f>
        <v>15</v>
      </c>
      <c r="AS27">
        <f>SUMIF(ConfirmedRaw!$B:$B,$A27,ConfirmedRaw!AV:AV)</f>
        <v>20</v>
      </c>
      <c r="AT27">
        <f>SUMIF(ConfirmedRaw!$B:$B,$A27,ConfirmedRaw!AW:AW)</f>
        <v>37</v>
      </c>
      <c r="AU27">
        <f>SUMIF(ConfirmedRaw!$B:$B,$A27,ConfirmedRaw!AX:AX)</f>
        <v>43</v>
      </c>
      <c r="AV27">
        <f>SUMIF(ConfirmedRaw!$B:$B,$A27,ConfirmedRaw!AY:AY)</f>
        <v>61</v>
      </c>
      <c r="AW27">
        <f>SUMIF(ConfirmedRaw!$B:$B,$A27,ConfirmedRaw!AZ:AZ)</f>
        <v>61</v>
      </c>
      <c r="AX27">
        <f>SUMIF(ConfirmedRaw!$B:$B,$A27,ConfirmedRaw!BA:BA)</f>
        <v>83</v>
      </c>
      <c r="AY27">
        <f>SUMIF(ConfirmedRaw!$B:$B,$A27,ConfirmedRaw!BB:BB)</f>
        <v>109</v>
      </c>
      <c r="AZ27">
        <f>SUMIF(ConfirmedRaw!$B:$B,$A27,ConfirmedRaw!BC:BC)</f>
        <v>131</v>
      </c>
      <c r="BA27">
        <f>SUMIF(ConfirmedRaw!$B:$B,$A27,ConfirmedRaw!BD:BD)</f>
        <v>161</v>
      </c>
      <c r="BB27">
        <f>SUMIF(ConfirmedRaw!$B:$B,$A27,ConfirmedRaw!BE:BE)</f>
        <v>193</v>
      </c>
      <c r="BC27">
        <f>SUMIF(ConfirmedRaw!$B:$B,$A27,ConfirmedRaw!BF:BF)</f>
        <v>251</v>
      </c>
      <c r="BD27">
        <f>SUMIF(ConfirmedRaw!$B:$B,$A27,ConfirmedRaw!BG:BG)</f>
        <v>255</v>
      </c>
      <c r="BE27">
        <f>SUMIF(ConfirmedRaw!$B:$B,$A27,ConfirmedRaw!BH:BH)</f>
        <v>337</v>
      </c>
      <c r="BF27">
        <f>SUMIF(ConfirmedRaw!$B:$B,$A27,ConfirmedRaw!BI:BI)</f>
        <v>433</v>
      </c>
      <c r="BG27">
        <f>SUMIF(ConfirmedRaw!$B:$B,$A27,ConfirmedRaw!BJ:BJ)</f>
        <v>677</v>
      </c>
      <c r="BH27">
        <f>SUMIF(ConfirmedRaw!$B:$B,$A27,ConfirmedRaw!BK:BK)</f>
        <v>705</v>
      </c>
      <c r="BI27">
        <f>SUMIF(ConfirmedRaw!$B:$B,$A27,ConfirmedRaw!BL:BL)</f>
        <v>0</v>
      </c>
      <c r="BJ27">
        <f>SUMIF(ConfirmedRaw!$B:$B,$A27,ConfirmedRaw!BM:BM)</f>
        <v>0</v>
      </c>
      <c r="BK27">
        <f>SUMIF(ConfirmedRaw!$B:$B,$A27,ConfirmedRaw!BN:BN)</f>
        <v>0</v>
      </c>
      <c r="BL27">
        <f>SUMIF(ConfirmedRaw!$B:$B,$A27,ConfirmedRaw!BO:BO)</f>
        <v>0</v>
      </c>
      <c r="BM27">
        <f>SUMIF(ConfirmedRaw!$B:$B,$A27,ConfirmedRaw!BP:BP)</f>
        <v>0</v>
      </c>
      <c r="BN27">
        <f>SUMIF(ConfirmedRaw!$B:$B,$A27,ConfirmedRaw!BQ:BQ)</f>
        <v>0</v>
      </c>
      <c r="BO27">
        <f>SUMIF(ConfirmedRaw!$B:$B,$A27,ConfirmedRaw!BR:BR)</f>
        <v>0</v>
      </c>
      <c r="BP27">
        <f>SUMIF(ConfirmedRaw!$B:$B,$A27,ConfirmedRaw!BS:BS)</f>
        <v>0</v>
      </c>
      <c r="BQ27">
        <f>SUMIF(ConfirmedRaw!$B:$B,$A27,ConfirmedRaw!BT:BT)</f>
        <v>0</v>
      </c>
      <c r="BR27">
        <f>SUMIF(ConfirmedRaw!$B:$B,$A27,ConfirmedRaw!BU:BU)</f>
        <v>0</v>
      </c>
      <c r="BS27">
        <f>SUMIF(ConfirmedRaw!$B:$B,$A27,ConfirmedRaw!BV:BV)</f>
        <v>0</v>
      </c>
      <c r="BT27">
        <f>SUMIF(ConfirmedRaw!$B:$B,$A27,ConfirmedRaw!BW:BW)</f>
        <v>0</v>
      </c>
    </row>
    <row r="28" spans="1:72" ht="15" thickBot="1" x14ac:dyDescent="0.35">
      <c r="A28" s="3" t="s">
        <v>54</v>
      </c>
      <c r="B28">
        <f>SUMIF(ConfirmedRaw!$B:$B,$A28,ConfirmedRaw!E:E)</f>
        <v>0</v>
      </c>
      <c r="C28">
        <f>SUMIF(ConfirmedRaw!$B:$B,$A28,ConfirmedRaw!F:F)</f>
        <v>0</v>
      </c>
      <c r="D28">
        <f>SUMIF(ConfirmedRaw!$B:$B,$A28,ConfirmedRaw!G:G)</f>
        <v>0</v>
      </c>
      <c r="E28">
        <f>SUMIF(ConfirmedRaw!$B:$B,$A28,ConfirmedRaw!H:H)</f>
        <v>0</v>
      </c>
      <c r="F28">
        <f>SUMIF(ConfirmedRaw!$B:$B,$A28,ConfirmedRaw!I:I)</f>
        <v>0</v>
      </c>
      <c r="G28">
        <f>SUMIF(ConfirmedRaw!$B:$B,$A28,ConfirmedRaw!J:J)</f>
        <v>0</v>
      </c>
      <c r="H28">
        <f>SUMIF(ConfirmedRaw!$B:$B,$A28,ConfirmedRaw!K:K)</f>
        <v>0</v>
      </c>
      <c r="I28">
        <f>SUMIF(ConfirmedRaw!$B:$B,$A28,ConfirmedRaw!L:L)</f>
        <v>1</v>
      </c>
      <c r="J28">
        <f>SUMIF(ConfirmedRaw!$B:$B,$A28,ConfirmedRaw!M:M)</f>
        <v>1</v>
      </c>
      <c r="K28">
        <f>SUMIF(ConfirmedRaw!$B:$B,$A28,ConfirmedRaw!N:N)</f>
        <v>1</v>
      </c>
      <c r="L28">
        <f>SUMIF(ConfirmedRaw!$B:$B,$A28,ConfirmedRaw!O:O)</f>
        <v>1</v>
      </c>
      <c r="M28">
        <f>SUMIF(ConfirmedRaw!$B:$B,$A28,ConfirmedRaw!P:P)</f>
        <v>1</v>
      </c>
      <c r="N28">
        <f>SUMIF(ConfirmedRaw!$B:$B,$A28,ConfirmedRaw!Q:Q)</f>
        <v>1</v>
      </c>
      <c r="O28">
        <f>SUMIF(ConfirmedRaw!$B:$B,$A28,ConfirmedRaw!R:R)</f>
        <v>1</v>
      </c>
      <c r="P28">
        <f>SUMIF(ConfirmedRaw!$B:$B,$A28,ConfirmedRaw!S:S)</f>
        <v>1</v>
      </c>
      <c r="Q28">
        <f>SUMIF(ConfirmedRaw!$B:$B,$A28,ConfirmedRaw!T:T)</f>
        <v>1</v>
      </c>
      <c r="R28">
        <f>SUMIF(ConfirmedRaw!$B:$B,$A28,ConfirmedRaw!U:U)</f>
        <v>1</v>
      </c>
      <c r="S28">
        <f>SUMIF(ConfirmedRaw!$B:$B,$A28,ConfirmedRaw!V:V)</f>
        <v>1</v>
      </c>
      <c r="T28">
        <f>SUMIF(ConfirmedRaw!$B:$B,$A28,ConfirmedRaw!W:W)</f>
        <v>1</v>
      </c>
      <c r="U28">
        <f>SUMIF(ConfirmedRaw!$B:$B,$A28,ConfirmedRaw!X:X)</f>
        <v>1</v>
      </c>
      <c r="V28">
        <f>SUMIF(ConfirmedRaw!$B:$B,$A28,ConfirmedRaw!Y:Y)</f>
        <v>1</v>
      </c>
      <c r="W28">
        <f>SUMIF(ConfirmedRaw!$B:$B,$A28,ConfirmedRaw!Z:Z)</f>
        <v>1</v>
      </c>
      <c r="X28">
        <f>SUMIF(ConfirmedRaw!$B:$B,$A28,ConfirmedRaw!AA:AA)</f>
        <v>1</v>
      </c>
      <c r="Y28">
        <f>SUMIF(ConfirmedRaw!$B:$B,$A28,ConfirmedRaw!AB:AB)</f>
        <v>1</v>
      </c>
      <c r="Z28">
        <f>SUMIF(ConfirmedRaw!$B:$B,$A28,ConfirmedRaw!AC:AC)</f>
        <v>1</v>
      </c>
      <c r="AA28">
        <f>SUMIF(ConfirmedRaw!$B:$B,$A28,ConfirmedRaw!AD:AD)</f>
        <v>1</v>
      </c>
      <c r="AB28">
        <f>SUMIF(ConfirmedRaw!$B:$B,$A28,ConfirmedRaw!AE:AE)</f>
        <v>1</v>
      </c>
      <c r="AC28">
        <f>SUMIF(ConfirmedRaw!$B:$B,$A28,ConfirmedRaw!AF:AF)</f>
        <v>1</v>
      </c>
      <c r="AD28">
        <f>SUMIF(ConfirmedRaw!$B:$B,$A28,ConfirmedRaw!AG:AG)</f>
        <v>1</v>
      </c>
      <c r="AE28">
        <f>SUMIF(ConfirmedRaw!$B:$B,$A28,ConfirmedRaw!AH:AH)</f>
        <v>1</v>
      </c>
      <c r="AF28">
        <f>SUMIF(ConfirmedRaw!$B:$B,$A28,ConfirmedRaw!AI:AI)</f>
        <v>1</v>
      </c>
      <c r="AG28">
        <f>SUMIF(ConfirmedRaw!$B:$B,$A28,ConfirmedRaw!AJ:AJ)</f>
        <v>1</v>
      </c>
      <c r="AH28">
        <f>SUMIF(ConfirmedRaw!$B:$B,$A28,ConfirmedRaw!AK:AK)</f>
        <v>1</v>
      </c>
      <c r="AI28">
        <f>SUMIF(ConfirmedRaw!$B:$B,$A28,ConfirmedRaw!AL:AL)</f>
        <v>1</v>
      </c>
      <c r="AJ28">
        <f>SUMIF(ConfirmedRaw!$B:$B,$A28,ConfirmedRaw!AM:AM)</f>
        <v>1</v>
      </c>
      <c r="AK28">
        <f>SUMIF(ConfirmedRaw!$B:$B,$A28,ConfirmedRaw!AN:AN)</f>
        <v>2</v>
      </c>
      <c r="AL28">
        <f>SUMIF(ConfirmedRaw!$B:$B,$A28,ConfirmedRaw!AO:AO)</f>
        <v>2</v>
      </c>
      <c r="AM28">
        <f>SUMIF(ConfirmedRaw!$B:$B,$A28,ConfirmedRaw!AP:AP)</f>
        <v>2</v>
      </c>
      <c r="AN28">
        <f>SUMIF(ConfirmedRaw!$B:$B,$A28,ConfirmedRaw!AQ:AQ)</f>
        <v>3</v>
      </c>
      <c r="AO28">
        <f>SUMIF(ConfirmedRaw!$B:$B,$A28,ConfirmedRaw!AR:AR)</f>
        <v>6</v>
      </c>
      <c r="AP28">
        <f>SUMIF(ConfirmedRaw!$B:$B,$A28,ConfirmedRaw!AS:AS)</f>
        <v>6</v>
      </c>
      <c r="AQ28">
        <f>SUMIF(ConfirmedRaw!$B:$B,$A28,ConfirmedRaw!AT:AT)</f>
        <v>6</v>
      </c>
      <c r="AR28">
        <f>SUMIF(ConfirmedRaw!$B:$B,$A28,ConfirmedRaw!AU:AU)</f>
        <v>6</v>
      </c>
      <c r="AS28">
        <f>SUMIF(ConfirmedRaw!$B:$B,$A28,ConfirmedRaw!AV:AV)</f>
        <v>12</v>
      </c>
      <c r="AT28">
        <f>SUMIF(ConfirmedRaw!$B:$B,$A28,ConfirmedRaw!AW:AW)</f>
        <v>15</v>
      </c>
      <c r="AU28">
        <f>SUMIF(ConfirmedRaw!$B:$B,$A28,ConfirmedRaw!AX:AX)</f>
        <v>15</v>
      </c>
      <c r="AV28">
        <f>SUMIF(ConfirmedRaw!$B:$B,$A28,ConfirmedRaw!AY:AY)</f>
        <v>23</v>
      </c>
      <c r="AW28">
        <f>SUMIF(ConfirmedRaw!$B:$B,$A28,ConfirmedRaw!AZ:AZ)</f>
        <v>30</v>
      </c>
      <c r="AX28">
        <f>SUMIF(ConfirmedRaw!$B:$B,$A28,ConfirmedRaw!BA:BA)</f>
        <v>40</v>
      </c>
      <c r="AY28">
        <f>SUMIF(ConfirmedRaw!$B:$B,$A28,ConfirmedRaw!BB:BB)</f>
        <v>59</v>
      </c>
      <c r="AZ28">
        <f>SUMIF(ConfirmedRaw!$B:$B,$A28,ConfirmedRaw!BC:BC)</f>
        <v>59</v>
      </c>
      <c r="BA28">
        <f>SUMIF(ConfirmedRaw!$B:$B,$A28,ConfirmedRaw!BD:BD)</f>
        <v>155</v>
      </c>
      <c r="BB28">
        <f>SUMIF(ConfirmedRaw!$B:$B,$A28,ConfirmedRaw!BE:BE)</f>
        <v>225</v>
      </c>
      <c r="BC28">
        <f>SUMIF(ConfirmedRaw!$B:$B,$A28,ConfirmedRaw!BF:BF)</f>
        <v>244</v>
      </c>
      <c r="BD28">
        <f>SUMIF(ConfirmedRaw!$B:$B,$A28,ConfirmedRaw!BG:BG)</f>
        <v>277</v>
      </c>
      <c r="BE28">
        <f>SUMIF(ConfirmedRaw!$B:$B,$A28,ConfirmedRaw!BH:BH)</f>
        <v>321</v>
      </c>
      <c r="BF28">
        <f>SUMIF(ConfirmedRaw!$B:$B,$A28,ConfirmedRaw!BI:BI)</f>
        <v>336</v>
      </c>
      <c r="BG28">
        <f>SUMIF(ConfirmedRaw!$B:$B,$A28,ConfirmedRaw!BJ:BJ)</f>
        <v>400</v>
      </c>
      <c r="BH28">
        <f>SUMIF(ConfirmedRaw!$B:$B,$A28,ConfirmedRaw!BK:BK)</f>
        <v>450</v>
      </c>
      <c r="BI28">
        <f>SUMIF(ConfirmedRaw!$B:$B,$A28,ConfirmedRaw!BL:BL)</f>
        <v>0</v>
      </c>
      <c r="BJ28">
        <f>SUMIF(ConfirmedRaw!$B:$B,$A28,ConfirmedRaw!BM:BM)</f>
        <v>0</v>
      </c>
      <c r="BK28">
        <f>SUMIF(ConfirmedRaw!$B:$B,$A28,ConfirmedRaw!BN:BN)</f>
        <v>0</v>
      </c>
      <c r="BL28">
        <f>SUMIF(ConfirmedRaw!$B:$B,$A28,ConfirmedRaw!BO:BO)</f>
        <v>0</v>
      </c>
      <c r="BM28">
        <f>SUMIF(ConfirmedRaw!$B:$B,$A28,ConfirmedRaw!BP:BP)</f>
        <v>0</v>
      </c>
      <c r="BN28">
        <f>SUMIF(ConfirmedRaw!$B:$B,$A28,ConfirmedRaw!BQ:BQ)</f>
        <v>0</v>
      </c>
      <c r="BO28">
        <f>SUMIF(ConfirmedRaw!$B:$B,$A28,ConfirmedRaw!BR:BR)</f>
        <v>0</v>
      </c>
      <c r="BP28">
        <f>SUMIF(ConfirmedRaw!$B:$B,$A28,ConfirmedRaw!BS:BS)</f>
        <v>0</v>
      </c>
      <c r="BQ28">
        <f>SUMIF(ConfirmedRaw!$B:$B,$A28,ConfirmedRaw!BT:BT)</f>
        <v>0</v>
      </c>
      <c r="BR28">
        <f>SUMIF(ConfirmedRaw!$B:$B,$A28,ConfirmedRaw!BU:BU)</f>
        <v>0</v>
      </c>
      <c r="BS28">
        <f>SUMIF(ConfirmedRaw!$B:$B,$A28,ConfirmedRaw!BV:BV)</f>
        <v>0</v>
      </c>
      <c r="BT28">
        <f>SUMIF(ConfirmedRaw!$B:$B,$A28,ConfirmedRaw!BW:BW)</f>
        <v>0</v>
      </c>
    </row>
    <row r="29" spans="1:72" ht="15" thickBot="1" x14ac:dyDescent="0.35">
      <c r="A29" s="4" t="s">
        <v>81</v>
      </c>
      <c r="B29">
        <f>SUMIF(ConfirmedRaw!$B:$B,$A29,ConfirmedRaw!E:E)</f>
        <v>0</v>
      </c>
      <c r="C29">
        <f>SUMIF(ConfirmedRaw!$B:$B,$A29,ConfirmedRaw!F:F)</f>
        <v>0</v>
      </c>
      <c r="D29">
        <f>SUMIF(ConfirmedRaw!$B:$B,$A29,ConfirmedRaw!G:G)</f>
        <v>0</v>
      </c>
      <c r="E29">
        <f>SUMIF(ConfirmedRaw!$B:$B,$A29,ConfirmedRaw!H:H)</f>
        <v>0</v>
      </c>
      <c r="F29">
        <f>SUMIF(ConfirmedRaw!$B:$B,$A29,ConfirmedRaw!I:I)</f>
        <v>0</v>
      </c>
      <c r="G29">
        <f>SUMIF(ConfirmedRaw!$B:$B,$A29,ConfirmedRaw!J:J)</f>
        <v>0</v>
      </c>
      <c r="H29">
        <f>SUMIF(ConfirmedRaw!$B:$B,$A29,ConfirmedRaw!K:K)</f>
        <v>0</v>
      </c>
      <c r="I29">
        <f>SUMIF(ConfirmedRaw!$B:$B,$A29,ConfirmedRaw!L:L)</f>
        <v>0</v>
      </c>
      <c r="J29">
        <f>SUMIF(ConfirmedRaw!$B:$B,$A29,ConfirmedRaw!M:M)</f>
        <v>0</v>
      </c>
      <c r="K29">
        <f>SUMIF(ConfirmedRaw!$B:$B,$A29,ConfirmedRaw!N:N)</f>
        <v>0</v>
      </c>
      <c r="L29">
        <f>SUMIF(ConfirmedRaw!$B:$B,$A29,ConfirmedRaw!O:O)</f>
        <v>0</v>
      </c>
      <c r="M29">
        <f>SUMIF(ConfirmedRaw!$B:$B,$A29,ConfirmedRaw!P:P)</f>
        <v>0</v>
      </c>
      <c r="N29">
        <f>SUMIF(ConfirmedRaw!$B:$B,$A29,ConfirmedRaw!Q:Q)</f>
        <v>0</v>
      </c>
      <c r="O29">
        <f>SUMIF(ConfirmedRaw!$B:$B,$A29,ConfirmedRaw!R:R)</f>
        <v>0</v>
      </c>
      <c r="P29">
        <f>SUMIF(ConfirmedRaw!$B:$B,$A29,ConfirmedRaw!S:S)</f>
        <v>0</v>
      </c>
      <c r="Q29">
        <f>SUMIF(ConfirmedRaw!$B:$B,$A29,ConfirmedRaw!T:T)</f>
        <v>0</v>
      </c>
      <c r="R29">
        <f>SUMIF(ConfirmedRaw!$B:$B,$A29,ConfirmedRaw!U:U)</f>
        <v>0</v>
      </c>
      <c r="S29">
        <f>SUMIF(ConfirmedRaw!$B:$B,$A29,ConfirmedRaw!V:V)</f>
        <v>0</v>
      </c>
      <c r="T29">
        <f>SUMIF(ConfirmedRaw!$B:$B,$A29,ConfirmedRaw!W:W)</f>
        <v>0</v>
      </c>
      <c r="U29">
        <f>SUMIF(ConfirmedRaw!$B:$B,$A29,ConfirmedRaw!X:X)</f>
        <v>0</v>
      </c>
      <c r="V29">
        <f>SUMIF(ConfirmedRaw!$B:$B,$A29,ConfirmedRaw!Y:Y)</f>
        <v>0</v>
      </c>
      <c r="W29">
        <f>SUMIF(ConfirmedRaw!$B:$B,$A29,ConfirmedRaw!Z:Z)</f>
        <v>0</v>
      </c>
      <c r="X29">
        <f>SUMIF(ConfirmedRaw!$B:$B,$A29,ConfirmedRaw!AA:AA)</f>
        <v>0</v>
      </c>
      <c r="Y29">
        <f>SUMIF(ConfirmedRaw!$B:$B,$A29,ConfirmedRaw!AB:AB)</f>
        <v>0</v>
      </c>
      <c r="Z29">
        <f>SUMIF(ConfirmedRaw!$B:$B,$A29,ConfirmedRaw!AC:AC)</f>
        <v>0</v>
      </c>
      <c r="AA29">
        <f>SUMIF(ConfirmedRaw!$B:$B,$A29,ConfirmedRaw!AD:AD)</f>
        <v>0</v>
      </c>
      <c r="AB29">
        <f>SUMIF(ConfirmedRaw!$B:$B,$A29,ConfirmedRaw!AE:AE)</f>
        <v>0</v>
      </c>
      <c r="AC29">
        <f>SUMIF(ConfirmedRaw!$B:$B,$A29,ConfirmedRaw!AF:AF)</f>
        <v>0</v>
      </c>
      <c r="AD29">
        <f>SUMIF(ConfirmedRaw!$B:$B,$A29,ConfirmedRaw!AG:AG)</f>
        <v>0</v>
      </c>
      <c r="AE29">
        <f>SUMIF(ConfirmedRaw!$B:$B,$A29,ConfirmedRaw!AH:AH)</f>
        <v>0</v>
      </c>
      <c r="AF29">
        <f>SUMIF(ConfirmedRaw!$B:$B,$A29,ConfirmedRaw!AI:AI)</f>
        <v>0</v>
      </c>
      <c r="AG29">
        <f>SUMIF(ConfirmedRaw!$B:$B,$A29,ConfirmedRaw!AJ:AJ)</f>
        <v>0</v>
      </c>
      <c r="AH29">
        <f>SUMIF(ConfirmedRaw!$B:$B,$A29,ConfirmedRaw!AK:AK)</f>
        <v>0</v>
      </c>
      <c r="AI29">
        <f>SUMIF(ConfirmedRaw!$B:$B,$A29,ConfirmedRaw!AL:AL)</f>
        <v>0</v>
      </c>
      <c r="AJ29">
        <f>SUMIF(ConfirmedRaw!$B:$B,$A29,ConfirmedRaw!AM:AM)</f>
        <v>0</v>
      </c>
      <c r="AK29">
        <f>SUMIF(ConfirmedRaw!$B:$B,$A29,ConfirmedRaw!AN:AN)</f>
        <v>1</v>
      </c>
      <c r="AL29">
        <f>SUMIF(ConfirmedRaw!$B:$B,$A29,ConfirmedRaw!AO:AO)</f>
        <v>1</v>
      </c>
      <c r="AM29">
        <f>SUMIF(ConfirmedRaw!$B:$B,$A29,ConfirmedRaw!AP:AP)</f>
        <v>1</v>
      </c>
      <c r="AN29">
        <f>SUMIF(ConfirmedRaw!$B:$B,$A29,ConfirmedRaw!AQ:AQ)</f>
        <v>2</v>
      </c>
      <c r="AO29">
        <f>SUMIF(ConfirmedRaw!$B:$B,$A29,ConfirmedRaw!AR:AR)</f>
        <v>2</v>
      </c>
      <c r="AP29">
        <f>SUMIF(ConfirmedRaw!$B:$B,$A29,ConfirmedRaw!AS:AS)</f>
        <v>2</v>
      </c>
      <c r="AQ29">
        <f>SUMIF(ConfirmedRaw!$B:$B,$A29,ConfirmedRaw!AT:AT)</f>
        <v>2</v>
      </c>
      <c r="AR29">
        <f>SUMIF(ConfirmedRaw!$B:$B,$A29,ConfirmedRaw!AU:AU)</f>
        <v>4</v>
      </c>
      <c r="AS29">
        <f>SUMIF(ConfirmedRaw!$B:$B,$A29,ConfirmedRaw!AV:AV)</f>
        <v>4</v>
      </c>
      <c r="AT29">
        <f>SUMIF(ConfirmedRaw!$B:$B,$A29,ConfirmedRaw!AW:AW)</f>
        <v>13</v>
      </c>
      <c r="AU29">
        <f>SUMIF(ConfirmedRaw!$B:$B,$A29,ConfirmedRaw!AX:AX)</f>
        <v>13</v>
      </c>
      <c r="AV29">
        <f>SUMIF(ConfirmedRaw!$B:$B,$A29,ConfirmedRaw!AY:AY)</f>
        <v>20</v>
      </c>
      <c r="AW29">
        <f>SUMIF(ConfirmedRaw!$B:$B,$A29,ConfirmedRaw!AZ:AZ)</f>
        <v>25</v>
      </c>
      <c r="AX29">
        <f>SUMIF(ConfirmedRaw!$B:$B,$A29,ConfirmedRaw!BA:BA)</f>
        <v>31</v>
      </c>
      <c r="AY29">
        <f>SUMIF(ConfirmedRaw!$B:$B,$A29,ConfirmedRaw!BB:BB)</f>
        <v>38</v>
      </c>
      <c r="AZ29">
        <f>SUMIF(ConfirmedRaw!$B:$B,$A29,ConfirmedRaw!BC:BC)</f>
        <v>52</v>
      </c>
      <c r="BA29">
        <f>SUMIF(ConfirmedRaw!$B:$B,$A29,ConfirmedRaw!BD:BD)</f>
        <v>151</v>
      </c>
      <c r="BB29">
        <f>SUMIF(ConfirmedRaw!$B:$B,$A29,ConfirmedRaw!BE:BE)</f>
        <v>151</v>
      </c>
      <c r="BC29">
        <f>SUMIF(ConfirmedRaw!$B:$B,$A29,ConfirmedRaw!BF:BF)</f>
        <v>162</v>
      </c>
      <c r="BD29">
        <f>SUMIF(ConfirmedRaw!$B:$B,$A29,ConfirmedRaw!BG:BG)</f>
        <v>200</v>
      </c>
      <c r="BE29">
        <f>SUMIF(ConfirmedRaw!$B:$B,$A29,ConfirmedRaw!BH:BH)</f>
        <v>321</v>
      </c>
      <c r="BF29">
        <f>SUMIF(ConfirmedRaw!$B:$B,$A29,ConfirmedRaw!BI:BI)</f>
        <v>372</v>
      </c>
      <c r="BG29">
        <f>SUMIF(ConfirmedRaw!$B:$B,$A29,ConfirmedRaw!BJ:BJ)</f>
        <v>621</v>
      </c>
      <c r="BH29">
        <f>SUMIF(ConfirmedRaw!$B:$B,$A29,ConfirmedRaw!BK:BK)</f>
        <v>793</v>
      </c>
      <c r="BI29">
        <f>SUMIF(ConfirmedRaw!$B:$B,$A29,ConfirmedRaw!BL:BL)</f>
        <v>0</v>
      </c>
      <c r="BJ29">
        <f>SUMIF(ConfirmedRaw!$B:$B,$A29,ConfirmedRaw!BM:BM)</f>
        <v>0</v>
      </c>
      <c r="BK29">
        <f>SUMIF(ConfirmedRaw!$B:$B,$A29,ConfirmedRaw!BN:BN)</f>
        <v>0</v>
      </c>
      <c r="BL29">
        <f>SUMIF(ConfirmedRaw!$B:$B,$A29,ConfirmedRaw!BO:BO)</f>
        <v>0</v>
      </c>
      <c r="BM29">
        <f>SUMIF(ConfirmedRaw!$B:$B,$A29,ConfirmedRaw!BP:BP)</f>
        <v>0</v>
      </c>
      <c r="BN29">
        <f>SUMIF(ConfirmedRaw!$B:$B,$A29,ConfirmedRaw!BQ:BQ)</f>
        <v>0</v>
      </c>
      <c r="BO29">
        <f>SUMIF(ConfirmedRaw!$B:$B,$A29,ConfirmedRaw!BR:BR)</f>
        <v>0</v>
      </c>
      <c r="BP29">
        <f>SUMIF(ConfirmedRaw!$B:$B,$A29,ConfirmedRaw!BS:BS)</f>
        <v>0</v>
      </c>
      <c r="BQ29">
        <f>SUMIF(ConfirmedRaw!$B:$B,$A29,ConfirmedRaw!BT:BT)</f>
        <v>0</v>
      </c>
      <c r="BR29">
        <f>SUMIF(ConfirmedRaw!$B:$B,$A29,ConfirmedRaw!BU:BU)</f>
        <v>0</v>
      </c>
      <c r="BS29">
        <f>SUMIF(ConfirmedRaw!$B:$B,$A29,ConfirmedRaw!BV:BV)</f>
        <v>0</v>
      </c>
      <c r="BT29">
        <f>SUMIF(ConfirmedRaw!$B:$B,$A29,ConfirmedRaw!BW:BW)</f>
        <v>0</v>
      </c>
    </row>
    <row r="30" spans="1:72" ht="15" thickBot="1" x14ac:dyDescent="0.35">
      <c r="A30" s="3" t="s">
        <v>341</v>
      </c>
      <c r="B30">
        <f>SUMIF(ConfirmedRaw!$B:$B,$A30,ConfirmedRaw!E:E)</f>
        <v>0</v>
      </c>
      <c r="C30">
        <f>SUMIF(ConfirmedRaw!$B:$B,$A30,ConfirmedRaw!F:F)</f>
        <v>0</v>
      </c>
      <c r="D30">
        <f>SUMIF(ConfirmedRaw!$B:$B,$A30,ConfirmedRaw!G:G)</f>
        <v>0</v>
      </c>
      <c r="E30">
        <f>SUMIF(ConfirmedRaw!$B:$B,$A30,ConfirmedRaw!H:H)</f>
        <v>0</v>
      </c>
      <c r="F30">
        <f>SUMIF(ConfirmedRaw!$B:$B,$A30,ConfirmedRaw!I:I)</f>
        <v>0</v>
      </c>
      <c r="G30">
        <f>SUMIF(ConfirmedRaw!$B:$B,$A30,ConfirmedRaw!J:J)</f>
        <v>0</v>
      </c>
      <c r="H30">
        <f>SUMIF(ConfirmedRaw!$B:$B,$A30,ConfirmedRaw!K:K)</f>
        <v>0</v>
      </c>
      <c r="I30">
        <f>SUMIF(ConfirmedRaw!$B:$B,$A30,ConfirmedRaw!L:L)</f>
        <v>0</v>
      </c>
      <c r="J30">
        <f>SUMIF(ConfirmedRaw!$B:$B,$A30,ConfirmedRaw!M:M)</f>
        <v>0</v>
      </c>
      <c r="K30">
        <f>SUMIF(ConfirmedRaw!$B:$B,$A30,ConfirmedRaw!N:N)</f>
        <v>0</v>
      </c>
      <c r="L30">
        <f>SUMIF(ConfirmedRaw!$B:$B,$A30,ConfirmedRaw!O:O)</f>
        <v>0</v>
      </c>
      <c r="M30">
        <f>SUMIF(ConfirmedRaw!$B:$B,$A30,ConfirmedRaw!P:P)</f>
        <v>0</v>
      </c>
      <c r="N30">
        <f>SUMIF(ConfirmedRaw!$B:$B,$A30,ConfirmedRaw!Q:Q)</f>
        <v>0</v>
      </c>
      <c r="O30">
        <f>SUMIF(ConfirmedRaw!$B:$B,$A30,ConfirmedRaw!R:R)</f>
        <v>0</v>
      </c>
      <c r="P30">
        <f>SUMIF(ConfirmedRaw!$B:$B,$A30,ConfirmedRaw!S:S)</f>
        <v>0</v>
      </c>
      <c r="Q30">
        <f>SUMIF(ConfirmedRaw!$B:$B,$A30,ConfirmedRaw!T:T)</f>
        <v>0</v>
      </c>
      <c r="R30">
        <f>SUMIF(ConfirmedRaw!$B:$B,$A30,ConfirmedRaw!U:U)</f>
        <v>0</v>
      </c>
      <c r="S30">
        <f>SUMIF(ConfirmedRaw!$B:$B,$A30,ConfirmedRaw!V:V)</f>
        <v>0</v>
      </c>
      <c r="T30">
        <f>SUMIF(ConfirmedRaw!$B:$B,$A30,ConfirmedRaw!W:W)</f>
        <v>0</v>
      </c>
      <c r="U30">
        <f>SUMIF(ConfirmedRaw!$B:$B,$A30,ConfirmedRaw!X:X)</f>
        <v>0</v>
      </c>
      <c r="V30">
        <f>SUMIF(ConfirmedRaw!$B:$B,$A30,ConfirmedRaw!Y:Y)</f>
        <v>0</v>
      </c>
      <c r="W30">
        <f>SUMIF(ConfirmedRaw!$B:$B,$A30,ConfirmedRaw!Z:Z)</f>
        <v>0</v>
      </c>
      <c r="X30">
        <f>SUMIF(ConfirmedRaw!$B:$B,$A30,ConfirmedRaw!AA:AA)</f>
        <v>0</v>
      </c>
      <c r="Y30">
        <f>SUMIF(ConfirmedRaw!$B:$B,$A30,ConfirmedRaw!AB:AB)</f>
        <v>0</v>
      </c>
      <c r="Z30">
        <f>SUMIF(ConfirmedRaw!$B:$B,$A30,ConfirmedRaw!AC:AC)</f>
        <v>0</v>
      </c>
      <c r="AA30">
        <f>SUMIF(ConfirmedRaw!$B:$B,$A30,ConfirmedRaw!AD:AD)</f>
        <v>0</v>
      </c>
      <c r="AB30">
        <f>SUMIF(ConfirmedRaw!$B:$B,$A30,ConfirmedRaw!AE:AE)</f>
        <v>0</v>
      </c>
      <c r="AC30">
        <f>SUMIF(ConfirmedRaw!$B:$B,$A30,ConfirmedRaw!AF:AF)</f>
        <v>0</v>
      </c>
      <c r="AD30">
        <f>SUMIF(ConfirmedRaw!$B:$B,$A30,ConfirmedRaw!AG:AG)</f>
        <v>0</v>
      </c>
      <c r="AE30">
        <f>SUMIF(ConfirmedRaw!$B:$B,$A30,ConfirmedRaw!AH:AH)</f>
        <v>0</v>
      </c>
      <c r="AF30">
        <f>SUMIF(ConfirmedRaw!$B:$B,$A30,ConfirmedRaw!AI:AI)</f>
        <v>0</v>
      </c>
      <c r="AG30">
        <f>SUMIF(ConfirmedRaw!$B:$B,$A30,ConfirmedRaw!AJ:AJ)</f>
        <v>0</v>
      </c>
      <c r="AH30">
        <f>SUMIF(ConfirmedRaw!$B:$B,$A30,ConfirmedRaw!AK:AK)</f>
        <v>0</v>
      </c>
      <c r="AI30">
        <f>SUMIF(ConfirmedRaw!$B:$B,$A30,ConfirmedRaw!AL:AL)</f>
        <v>0</v>
      </c>
      <c r="AJ30">
        <f>SUMIF(ConfirmedRaw!$B:$B,$A30,ConfirmedRaw!AM:AM)</f>
        <v>0</v>
      </c>
      <c r="AK30">
        <f>SUMIF(ConfirmedRaw!$B:$B,$A30,ConfirmedRaw!AN:AN)</f>
        <v>0</v>
      </c>
      <c r="AL30">
        <f>SUMIF(ConfirmedRaw!$B:$B,$A30,ConfirmedRaw!AO:AO)</f>
        <v>0</v>
      </c>
      <c r="AM30">
        <f>SUMIF(ConfirmedRaw!$B:$B,$A30,ConfirmedRaw!AP:AP)</f>
        <v>0</v>
      </c>
      <c r="AN30">
        <f>SUMIF(ConfirmedRaw!$B:$B,$A30,ConfirmedRaw!AQ:AQ)</f>
        <v>0</v>
      </c>
      <c r="AO30">
        <f>SUMIF(ConfirmedRaw!$B:$B,$A30,ConfirmedRaw!AR:AR)</f>
        <v>3</v>
      </c>
      <c r="AP30">
        <f>SUMIF(ConfirmedRaw!$B:$B,$A30,ConfirmedRaw!AS:AS)</f>
        <v>3</v>
      </c>
      <c r="AQ30">
        <f>SUMIF(ConfirmedRaw!$B:$B,$A30,ConfirmedRaw!AT:AT)</f>
        <v>5</v>
      </c>
      <c r="AR30">
        <f>SUMIF(ConfirmedRaw!$B:$B,$A30,ConfirmedRaw!AU:AU)</f>
        <v>8</v>
      </c>
      <c r="AS30">
        <f>SUMIF(ConfirmedRaw!$B:$B,$A30,ConfirmedRaw!AV:AV)</f>
        <v>12</v>
      </c>
      <c r="AT30">
        <f>SUMIF(ConfirmedRaw!$B:$B,$A30,ConfirmedRaw!AW:AW)</f>
        <v>18</v>
      </c>
      <c r="AU30">
        <f>SUMIF(ConfirmedRaw!$B:$B,$A30,ConfirmedRaw!AX:AX)</f>
        <v>19</v>
      </c>
      <c r="AV30">
        <f>SUMIF(ConfirmedRaw!$B:$B,$A30,ConfirmedRaw!AY:AY)</f>
        <v>31</v>
      </c>
      <c r="AW30">
        <f>SUMIF(ConfirmedRaw!$B:$B,$A30,ConfirmedRaw!AZ:AZ)</f>
        <v>31</v>
      </c>
      <c r="AX30">
        <f>SUMIF(ConfirmedRaw!$B:$B,$A30,ConfirmedRaw!BA:BA)</f>
        <v>41</v>
      </c>
      <c r="AY30">
        <f>SUMIF(ConfirmedRaw!$B:$B,$A30,ConfirmedRaw!BB:BB)</f>
        <v>91</v>
      </c>
      <c r="AZ30">
        <f>SUMIF(ConfirmedRaw!$B:$B,$A30,ConfirmedRaw!BC:BC)</f>
        <v>94</v>
      </c>
      <c r="BA30">
        <f>SUMIF(ConfirmedRaw!$B:$B,$A30,ConfirmedRaw!BD:BD)</f>
        <v>141</v>
      </c>
      <c r="BB30">
        <f>SUMIF(ConfirmedRaw!$B:$B,$A30,ConfirmedRaw!BE:BE)</f>
        <v>189</v>
      </c>
      <c r="BC30">
        <f>SUMIF(ConfirmedRaw!$B:$B,$A30,ConfirmedRaw!BF:BF)</f>
        <v>253</v>
      </c>
      <c r="BD30">
        <f>SUMIF(ConfirmedRaw!$B:$B,$A30,ConfirmedRaw!BG:BG)</f>
        <v>298</v>
      </c>
      <c r="BE30">
        <f>SUMIF(ConfirmedRaw!$B:$B,$A30,ConfirmedRaw!BH:BH)</f>
        <v>396</v>
      </c>
      <c r="BF30">
        <f>SUMIF(ConfirmedRaw!$B:$B,$A30,ConfirmedRaw!BI:BI)</f>
        <v>464</v>
      </c>
      <c r="BG30">
        <f>SUMIF(ConfirmedRaw!$B:$B,$A30,ConfirmedRaw!BJ:BJ)</f>
        <v>694</v>
      </c>
      <c r="BH30">
        <f>SUMIF(ConfirmedRaw!$B:$B,$A30,ConfirmedRaw!BK:BK)</f>
        <v>833</v>
      </c>
      <c r="BI30">
        <f>SUMIF(ConfirmedRaw!$B:$B,$A30,ConfirmedRaw!BL:BL)</f>
        <v>0</v>
      </c>
      <c r="BJ30">
        <f>SUMIF(ConfirmedRaw!$B:$B,$A30,ConfirmedRaw!BM:BM)</f>
        <v>0</v>
      </c>
      <c r="BK30">
        <f>SUMIF(ConfirmedRaw!$B:$B,$A30,ConfirmedRaw!BN:BN)</f>
        <v>0</v>
      </c>
      <c r="BL30">
        <f>SUMIF(ConfirmedRaw!$B:$B,$A30,ConfirmedRaw!BO:BO)</f>
        <v>0</v>
      </c>
      <c r="BM30">
        <f>SUMIF(ConfirmedRaw!$B:$B,$A30,ConfirmedRaw!BP:BP)</f>
        <v>0</v>
      </c>
      <c r="BN30">
        <f>SUMIF(ConfirmedRaw!$B:$B,$A30,ConfirmedRaw!BQ:BQ)</f>
        <v>0</v>
      </c>
      <c r="BO30">
        <f>SUMIF(ConfirmedRaw!$B:$B,$A30,ConfirmedRaw!BR:BR)</f>
        <v>0</v>
      </c>
      <c r="BP30">
        <f>SUMIF(ConfirmedRaw!$B:$B,$A30,ConfirmedRaw!BS:BS)</f>
        <v>0</v>
      </c>
      <c r="BQ30">
        <f>SUMIF(ConfirmedRaw!$B:$B,$A30,ConfirmedRaw!BT:BT)</f>
        <v>0</v>
      </c>
      <c r="BR30">
        <f>SUMIF(ConfirmedRaw!$B:$B,$A30,ConfirmedRaw!BU:BU)</f>
        <v>0</v>
      </c>
      <c r="BS30">
        <f>SUMIF(ConfirmedRaw!$B:$B,$A30,ConfirmedRaw!BV:BV)</f>
        <v>0</v>
      </c>
      <c r="BT30">
        <f>SUMIF(ConfirmedRaw!$B:$B,$A30,ConfirmedRaw!BW:BW)</f>
        <v>0</v>
      </c>
    </row>
    <row r="31" spans="1:72" ht="15" thickBot="1" x14ac:dyDescent="0.35">
      <c r="A31" s="4" t="s">
        <v>141</v>
      </c>
      <c r="B31">
        <f>SUMIF(ConfirmedRaw!$B:$B,$A31,ConfirmedRaw!E:E)</f>
        <v>0</v>
      </c>
      <c r="C31">
        <f>SUMIF(ConfirmedRaw!$B:$B,$A31,ConfirmedRaw!F:F)</f>
        <v>0</v>
      </c>
      <c r="D31">
        <f>SUMIF(ConfirmedRaw!$B:$B,$A31,ConfirmedRaw!G:G)</f>
        <v>0</v>
      </c>
      <c r="E31">
        <f>SUMIF(ConfirmedRaw!$B:$B,$A31,ConfirmedRaw!H:H)</f>
        <v>0</v>
      </c>
      <c r="F31">
        <f>SUMIF(ConfirmedRaw!$B:$B,$A31,ConfirmedRaw!I:I)</f>
        <v>0</v>
      </c>
      <c r="G31">
        <f>SUMIF(ConfirmedRaw!$B:$B,$A31,ConfirmedRaw!J:J)</f>
        <v>0</v>
      </c>
      <c r="H31">
        <f>SUMIF(ConfirmedRaw!$B:$B,$A31,ConfirmedRaw!K:K)</f>
        <v>0</v>
      </c>
      <c r="I31">
        <f>SUMIF(ConfirmedRaw!$B:$B,$A31,ConfirmedRaw!L:L)</f>
        <v>0</v>
      </c>
      <c r="J31">
        <f>SUMIF(ConfirmedRaw!$B:$B,$A31,ConfirmedRaw!M:M)</f>
        <v>0</v>
      </c>
      <c r="K31">
        <f>SUMIF(ConfirmedRaw!$B:$B,$A31,ConfirmedRaw!N:N)</f>
        <v>0</v>
      </c>
      <c r="L31">
        <f>SUMIF(ConfirmedRaw!$B:$B,$A31,ConfirmedRaw!O:O)</f>
        <v>0</v>
      </c>
      <c r="M31">
        <f>SUMIF(ConfirmedRaw!$B:$B,$A31,ConfirmedRaw!P:P)</f>
        <v>0</v>
      </c>
      <c r="N31">
        <f>SUMIF(ConfirmedRaw!$B:$B,$A31,ConfirmedRaw!Q:Q)</f>
        <v>0</v>
      </c>
      <c r="O31">
        <f>SUMIF(ConfirmedRaw!$B:$B,$A31,ConfirmedRaw!R:R)</f>
        <v>0</v>
      </c>
      <c r="P31">
        <f>SUMIF(ConfirmedRaw!$B:$B,$A31,ConfirmedRaw!S:S)</f>
        <v>0</v>
      </c>
      <c r="Q31">
        <f>SUMIF(ConfirmedRaw!$B:$B,$A31,ConfirmedRaw!T:T)</f>
        <v>0</v>
      </c>
      <c r="R31">
        <f>SUMIF(ConfirmedRaw!$B:$B,$A31,ConfirmedRaw!U:U)</f>
        <v>0</v>
      </c>
      <c r="S31">
        <f>SUMIF(ConfirmedRaw!$B:$B,$A31,ConfirmedRaw!V:V)</f>
        <v>0</v>
      </c>
      <c r="T31">
        <f>SUMIF(ConfirmedRaw!$B:$B,$A31,ConfirmedRaw!W:W)</f>
        <v>0</v>
      </c>
      <c r="U31">
        <f>SUMIF(ConfirmedRaw!$B:$B,$A31,ConfirmedRaw!X:X)</f>
        <v>0</v>
      </c>
      <c r="V31">
        <f>SUMIF(ConfirmedRaw!$B:$B,$A31,ConfirmedRaw!Y:Y)</f>
        <v>0</v>
      </c>
      <c r="W31">
        <f>SUMIF(ConfirmedRaw!$B:$B,$A31,ConfirmedRaw!Z:Z)</f>
        <v>0</v>
      </c>
      <c r="X31">
        <f>SUMIF(ConfirmedRaw!$B:$B,$A31,ConfirmedRaw!AA:AA)</f>
        <v>0</v>
      </c>
      <c r="Y31">
        <f>SUMIF(ConfirmedRaw!$B:$B,$A31,ConfirmedRaw!AB:AB)</f>
        <v>0</v>
      </c>
      <c r="Z31">
        <f>SUMIF(ConfirmedRaw!$B:$B,$A31,ConfirmedRaw!AC:AC)</f>
        <v>0</v>
      </c>
      <c r="AA31">
        <f>SUMIF(ConfirmedRaw!$B:$B,$A31,ConfirmedRaw!AD:AD)</f>
        <v>0</v>
      </c>
      <c r="AB31">
        <f>SUMIF(ConfirmedRaw!$B:$B,$A31,ConfirmedRaw!AE:AE)</f>
        <v>0</v>
      </c>
      <c r="AC31">
        <f>SUMIF(ConfirmedRaw!$B:$B,$A31,ConfirmedRaw!AF:AF)</f>
        <v>0</v>
      </c>
      <c r="AD31">
        <f>SUMIF(ConfirmedRaw!$B:$B,$A31,ConfirmedRaw!AG:AG)</f>
        <v>0</v>
      </c>
      <c r="AE31">
        <f>SUMIF(ConfirmedRaw!$B:$B,$A31,ConfirmedRaw!AH:AH)</f>
        <v>0</v>
      </c>
      <c r="AF31">
        <f>SUMIF(ConfirmedRaw!$B:$B,$A31,ConfirmedRaw!AI:AI)</f>
        <v>0</v>
      </c>
      <c r="AG31">
        <f>SUMIF(ConfirmedRaw!$B:$B,$A31,ConfirmedRaw!AJ:AJ)</f>
        <v>0</v>
      </c>
      <c r="AH31">
        <f>SUMIF(ConfirmedRaw!$B:$B,$A31,ConfirmedRaw!AK:AK)</f>
        <v>0</v>
      </c>
      <c r="AI31">
        <f>SUMIF(ConfirmedRaw!$B:$B,$A31,ConfirmedRaw!AL:AL)</f>
        <v>0</v>
      </c>
      <c r="AJ31">
        <f>SUMIF(ConfirmedRaw!$B:$B,$A31,ConfirmedRaw!AM:AM)</f>
        <v>0</v>
      </c>
      <c r="AK31">
        <f>SUMIF(ConfirmedRaw!$B:$B,$A31,ConfirmedRaw!AN:AN)</f>
        <v>0</v>
      </c>
      <c r="AL31">
        <f>SUMIF(ConfirmedRaw!$B:$B,$A31,ConfirmedRaw!AO:AO)</f>
        <v>0</v>
      </c>
      <c r="AM31">
        <f>SUMIF(ConfirmedRaw!$B:$B,$A31,ConfirmedRaw!AP:AP)</f>
        <v>0</v>
      </c>
      <c r="AN31">
        <f>SUMIF(ConfirmedRaw!$B:$B,$A31,ConfirmedRaw!AQ:AQ)</f>
        <v>0</v>
      </c>
      <c r="AO31">
        <f>SUMIF(ConfirmedRaw!$B:$B,$A31,ConfirmedRaw!AR:AR)</f>
        <v>0</v>
      </c>
      <c r="AP31">
        <f>SUMIF(ConfirmedRaw!$B:$B,$A31,ConfirmedRaw!AS:AS)</f>
        <v>0</v>
      </c>
      <c r="AQ31">
        <f>SUMIF(ConfirmedRaw!$B:$B,$A31,ConfirmedRaw!AT:AT)</f>
        <v>0</v>
      </c>
      <c r="AR31">
        <f>SUMIF(ConfirmedRaw!$B:$B,$A31,ConfirmedRaw!AU:AU)</f>
        <v>0</v>
      </c>
      <c r="AS31">
        <f>SUMIF(ConfirmedRaw!$B:$B,$A31,ConfirmedRaw!AV:AV)</f>
        <v>2</v>
      </c>
      <c r="AT31">
        <f>SUMIF(ConfirmedRaw!$B:$B,$A31,ConfirmedRaw!AW:AW)</f>
        <v>7</v>
      </c>
      <c r="AU31">
        <f>SUMIF(ConfirmedRaw!$B:$B,$A31,ConfirmedRaw!AX:AX)</f>
        <v>7</v>
      </c>
      <c r="AV31">
        <f>SUMIF(ConfirmedRaw!$B:$B,$A31,ConfirmedRaw!AY:AY)</f>
        <v>16</v>
      </c>
      <c r="AW31">
        <f>SUMIF(ConfirmedRaw!$B:$B,$A31,ConfirmedRaw!AZ:AZ)</f>
        <v>16</v>
      </c>
      <c r="AX31">
        <f>SUMIF(ConfirmedRaw!$B:$B,$A31,ConfirmedRaw!BA:BA)</f>
        <v>31</v>
      </c>
      <c r="AY31">
        <f>SUMIF(ConfirmedRaw!$B:$B,$A31,ConfirmedRaw!BB:BB)</f>
        <v>57</v>
      </c>
      <c r="AZ31">
        <f>SUMIF(ConfirmedRaw!$B:$B,$A31,ConfirmedRaw!BC:BC)</f>
        <v>89</v>
      </c>
      <c r="BA31">
        <f>SUMIF(ConfirmedRaw!$B:$B,$A31,ConfirmedRaw!BD:BD)</f>
        <v>141</v>
      </c>
      <c r="BB31">
        <f>SUMIF(ConfirmedRaw!$B:$B,$A31,ConfirmedRaw!BE:BE)</f>
        <v>181</v>
      </c>
      <c r="BC31">
        <f>SUMIF(ConfirmedRaw!$B:$B,$A31,ConfirmedRaw!BF:BF)</f>
        <v>219</v>
      </c>
      <c r="BD31">
        <f>SUMIF(ConfirmedRaw!$B:$B,$A31,ConfirmedRaw!BG:BG)</f>
        <v>253</v>
      </c>
      <c r="BE31">
        <f>SUMIF(ConfirmedRaw!$B:$B,$A31,ConfirmedRaw!BH:BH)</f>
        <v>275</v>
      </c>
      <c r="BF31">
        <f>SUMIF(ConfirmedRaw!$B:$B,$A31,ConfirmedRaw!BI:BI)</f>
        <v>275</v>
      </c>
      <c r="BG31">
        <f>SUMIF(ConfirmedRaw!$B:$B,$A31,ConfirmedRaw!BJ:BJ)</f>
        <v>286</v>
      </c>
      <c r="BH31">
        <f>SUMIF(ConfirmedRaw!$B:$B,$A31,ConfirmedRaw!BK:BK)</f>
        <v>341</v>
      </c>
      <c r="BI31">
        <f>SUMIF(ConfirmedRaw!$B:$B,$A31,ConfirmedRaw!BL:BL)</f>
        <v>0</v>
      </c>
      <c r="BJ31">
        <f>SUMIF(ConfirmedRaw!$B:$B,$A31,ConfirmedRaw!BM:BM)</f>
        <v>0</v>
      </c>
      <c r="BK31">
        <f>SUMIF(ConfirmedRaw!$B:$B,$A31,ConfirmedRaw!BN:BN)</f>
        <v>0</v>
      </c>
      <c r="BL31">
        <f>SUMIF(ConfirmedRaw!$B:$B,$A31,ConfirmedRaw!BO:BO)</f>
        <v>0</v>
      </c>
      <c r="BM31">
        <f>SUMIF(ConfirmedRaw!$B:$B,$A31,ConfirmedRaw!BP:BP)</f>
        <v>0</v>
      </c>
      <c r="BN31">
        <f>SUMIF(ConfirmedRaw!$B:$B,$A31,ConfirmedRaw!BQ:BQ)</f>
        <v>0</v>
      </c>
      <c r="BO31">
        <f>SUMIF(ConfirmedRaw!$B:$B,$A31,ConfirmedRaw!BR:BR)</f>
        <v>0</v>
      </c>
      <c r="BP31">
        <f>SUMIF(ConfirmedRaw!$B:$B,$A31,ConfirmedRaw!BS:BS)</f>
        <v>0</v>
      </c>
      <c r="BQ31">
        <f>SUMIF(ConfirmedRaw!$B:$B,$A31,ConfirmedRaw!BT:BT)</f>
        <v>0</v>
      </c>
      <c r="BR31">
        <f>SUMIF(ConfirmedRaw!$B:$B,$A31,ConfirmedRaw!BU:BU)</f>
        <v>0</v>
      </c>
      <c r="BS31">
        <f>SUMIF(ConfirmedRaw!$B:$B,$A31,ConfirmedRaw!BV:BV)</f>
        <v>0</v>
      </c>
      <c r="BT31">
        <f>SUMIF(ConfirmedRaw!$B:$B,$A31,ConfirmedRaw!BW:BW)</f>
        <v>0</v>
      </c>
    </row>
    <row r="32" spans="1:72" ht="15" thickBot="1" x14ac:dyDescent="0.35">
      <c r="A32" s="4" t="s">
        <v>92</v>
      </c>
      <c r="B32">
        <f>SUMIF(ConfirmedRaw!$B:$B,$A32,ConfirmedRaw!E:E)</f>
        <v>0</v>
      </c>
      <c r="C32">
        <f>SUMIF(ConfirmedRaw!$B:$B,$A32,ConfirmedRaw!F:F)</f>
        <v>0</v>
      </c>
      <c r="D32">
        <f>SUMIF(ConfirmedRaw!$B:$B,$A32,ConfirmedRaw!G:G)</f>
        <v>0</v>
      </c>
      <c r="E32">
        <f>SUMIF(ConfirmedRaw!$B:$B,$A32,ConfirmedRaw!H:H)</f>
        <v>0</v>
      </c>
      <c r="F32">
        <f>SUMIF(ConfirmedRaw!$B:$B,$A32,ConfirmedRaw!I:I)</f>
        <v>0</v>
      </c>
      <c r="G32">
        <f>SUMIF(ConfirmedRaw!$B:$B,$A32,ConfirmedRaw!J:J)</f>
        <v>0</v>
      </c>
      <c r="H32">
        <f>SUMIF(ConfirmedRaw!$B:$B,$A32,ConfirmedRaw!K:K)</f>
        <v>0</v>
      </c>
      <c r="I32">
        <f>SUMIF(ConfirmedRaw!$B:$B,$A32,ConfirmedRaw!L:L)</f>
        <v>0</v>
      </c>
      <c r="J32">
        <f>SUMIF(ConfirmedRaw!$B:$B,$A32,ConfirmedRaw!M:M)</f>
        <v>0</v>
      </c>
      <c r="K32">
        <f>SUMIF(ConfirmedRaw!$B:$B,$A32,ConfirmedRaw!N:N)</f>
        <v>0</v>
      </c>
      <c r="L32">
        <f>SUMIF(ConfirmedRaw!$B:$B,$A32,ConfirmedRaw!O:O)</f>
        <v>0</v>
      </c>
      <c r="M32">
        <f>SUMIF(ConfirmedRaw!$B:$B,$A32,ConfirmedRaw!P:P)</f>
        <v>0</v>
      </c>
      <c r="N32">
        <f>SUMIF(ConfirmedRaw!$B:$B,$A32,ConfirmedRaw!Q:Q)</f>
        <v>0</v>
      </c>
      <c r="O32">
        <f>SUMIF(ConfirmedRaw!$B:$B,$A32,ConfirmedRaw!R:R)</f>
        <v>0</v>
      </c>
      <c r="P32">
        <f>SUMIF(ConfirmedRaw!$B:$B,$A32,ConfirmedRaw!S:S)</f>
        <v>0</v>
      </c>
      <c r="Q32">
        <f>SUMIF(ConfirmedRaw!$B:$B,$A32,ConfirmedRaw!T:T)</f>
        <v>0</v>
      </c>
      <c r="R32">
        <f>SUMIF(ConfirmedRaw!$B:$B,$A32,ConfirmedRaw!U:U)</f>
        <v>0</v>
      </c>
      <c r="S32">
        <f>SUMIF(ConfirmedRaw!$B:$B,$A32,ConfirmedRaw!V:V)</f>
        <v>0</v>
      </c>
      <c r="T32">
        <f>SUMIF(ConfirmedRaw!$B:$B,$A32,ConfirmedRaw!W:W)</f>
        <v>0</v>
      </c>
      <c r="U32">
        <f>SUMIF(ConfirmedRaw!$B:$B,$A32,ConfirmedRaw!X:X)</f>
        <v>0</v>
      </c>
      <c r="V32">
        <f>SUMIF(ConfirmedRaw!$B:$B,$A32,ConfirmedRaw!Y:Y)</f>
        <v>0</v>
      </c>
      <c r="W32">
        <f>SUMIF(ConfirmedRaw!$B:$B,$A32,ConfirmedRaw!Z:Z)</f>
        <v>0</v>
      </c>
      <c r="X32">
        <f>SUMIF(ConfirmedRaw!$B:$B,$A32,ConfirmedRaw!AA:AA)</f>
        <v>0</v>
      </c>
      <c r="Y32">
        <f>SUMIF(ConfirmedRaw!$B:$B,$A32,ConfirmedRaw!AB:AB)</f>
        <v>0</v>
      </c>
      <c r="Z32">
        <f>SUMIF(ConfirmedRaw!$B:$B,$A32,ConfirmedRaw!AC:AC)</f>
        <v>0</v>
      </c>
      <c r="AA32">
        <f>SUMIF(ConfirmedRaw!$B:$B,$A32,ConfirmedRaw!AD:AD)</f>
        <v>0</v>
      </c>
      <c r="AB32">
        <f>SUMIF(ConfirmedRaw!$B:$B,$A32,ConfirmedRaw!AE:AE)</f>
        <v>0</v>
      </c>
      <c r="AC32">
        <f>SUMIF(ConfirmedRaw!$B:$B,$A32,ConfirmedRaw!AF:AF)</f>
        <v>0</v>
      </c>
      <c r="AD32">
        <f>SUMIF(ConfirmedRaw!$B:$B,$A32,ConfirmedRaw!AG:AG)</f>
        <v>0</v>
      </c>
      <c r="AE32">
        <f>SUMIF(ConfirmedRaw!$B:$B,$A32,ConfirmedRaw!AH:AH)</f>
        <v>0</v>
      </c>
      <c r="AF32">
        <f>SUMIF(ConfirmedRaw!$B:$B,$A32,ConfirmedRaw!AI:AI)</f>
        <v>0</v>
      </c>
      <c r="AG32">
        <f>SUMIF(ConfirmedRaw!$B:$B,$A32,ConfirmedRaw!AJ:AJ)</f>
        <v>0</v>
      </c>
      <c r="AH32">
        <f>SUMIF(ConfirmedRaw!$B:$B,$A32,ConfirmedRaw!AK:AK)</f>
        <v>0</v>
      </c>
      <c r="AI32">
        <f>SUMIF(ConfirmedRaw!$B:$B,$A32,ConfirmedRaw!AL:AL)</f>
        <v>0</v>
      </c>
      <c r="AJ32">
        <f>SUMIF(ConfirmedRaw!$B:$B,$A32,ConfirmedRaw!AM:AM)</f>
        <v>0</v>
      </c>
      <c r="AK32">
        <f>SUMIF(ConfirmedRaw!$B:$B,$A32,ConfirmedRaw!AN:AN)</f>
        <v>0</v>
      </c>
      <c r="AL32">
        <f>SUMIF(ConfirmedRaw!$B:$B,$A32,ConfirmedRaw!AO:AO)</f>
        <v>0</v>
      </c>
      <c r="AM32">
        <f>SUMIF(ConfirmedRaw!$B:$B,$A32,ConfirmedRaw!AP:AP)</f>
        <v>1</v>
      </c>
      <c r="AN32">
        <f>SUMIF(ConfirmedRaw!$B:$B,$A32,ConfirmedRaw!AQ:AQ)</f>
        <v>1</v>
      </c>
      <c r="AO32">
        <f>SUMIF(ConfirmedRaw!$B:$B,$A32,ConfirmedRaw!AR:AR)</f>
        <v>3</v>
      </c>
      <c r="AP32">
        <f>SUMIF(ConfirmedRaw!$B:$B,$A32,ConfirmedRaw!AS:AS)</f>
        <v>6</v>
      </c>
      <c r="AQ32">
        <f>SUMIF(ConfirmedRaw!$B:$B,$A32,ConfirmedRaw!AT:AT)</f>
        <v>11</v>
      </c>
      <c r="AR32">
        <f>SUMIF(ConfirmedRaw!$B:$B,$A32,ConfirmedRaw!AU:AU)</f>
        <v>26</v>
      </c>
      <c r="AS32">
        <f>SUMIF(ConfirmedRaw!$B:$B,$A32,ConfirmedRaw!AV:AV)</f>
        <v>34</v>
      </c>
      <c r="AT32">
        <f>SUMIF(ConfirmedRaw!$B:$B,$A32,ConfirmedRaw!AW:AW)</f>
        <v>43</v>
      </c>
      <c r="AU32">
        <f>SUMIF(ConfirmedRaw!$B:$B,$A32,ConfirmedRaw!AX:AX)</f>
        <v>50</v>
      </c>
      <c r="AV32">
        <f>SUMIF(ConfirmedRaw!$B:$B,$A32,ConfirmedRaw!AY:AY)</f>
        <v>50</v>
      </c>
      <c r="AW32">
        <f>SUMIF(ConfirmedRaw!$B:$B,$A32,ConfirmedRaw!AZ:AZ)</f>
        <v>58</v>
      </c>
      <c r="AX32">
        <f>SUMIF(ConfirmedRaw!$B:$B,$A32,ConfirmedRaw!BA:BA)</f>
        <v>69</v>
      </c>
      <c r="AY32">
        <f>SUMIF(ConfirmedRaw!$B:$B,$A32,ConfirmedRaw!BB:BB)</f>
        <v>85</v>
      </c>
      <c r="AZ32">
        <f>SUMIF(ConfirmedRaw!$B:$B,$A32,ConfirmedRaw!BC:BC)</f>
        <v>103</v>
      </c>
      <c r="BA32">
        <f>SUMIF(ConfirmedRaw!$B:$B,$A32,ConfirmedRaw!BD:BD)</f>
        <v>134</v>
      </c>
      <c r="BB32">
        <f>SUMIF(ConfirmedRaw!$B:$B,$A32,ConfirmedRaw!BE:BE)</f>
        <v>156</v>
      </c>
      <c r="BC32">
        <f>SUMIF(ConfirmedRaw!$B:$B,$A32,ConfirmedRaw!BF:BF)</f>
        <v>171</v>
      </c>
      <c r="BD32">
        <f>SUMIF(ConfirmedRaw!$B:$B,$A32,ConfirmedRaw!BG:BG)</f>
        <v>180</v>
      </c>
      <c r="BE32">
        <f>SUMIF(ConfirmedRaw!$B:$B,$A32,ConfirmedRaw!BH:BH)</f>
        <v>220</v>
      </c>
      <c r="BF32">
        <f>SUMIF(ConfirmedRaw!$B:$B,$A32,ConfirmedRaw!BI:BI)</f>
        <v>250</v>
      </c>
      <c r="BG32">
        <f>SUMIF(ConfirmedRaw!$B:$B,$A32,ConfirmedRaw!BJ:BJ)</f>
        <v>330</v>
      </c>
      <c r="BH32">
        <f>SUMIF(ConfirmedRaw!$B:$B,$A32,ConfirmedRaw!BK:BK)</f>
        <v>409</v>
      </c>
      <c r="BI32">
        <f>SUMIF(ConfirmedRaw!$B:$B,$A32,ConfirmedRaw!BL:BL)</f>
        <v>0</v>
      </c>
      <c r="BJ32">
        <f>SUMIF(ConfirmedRaw!$B:$B,$A32,ConfirmedRaw!BM:BM)</f>
        <v>0</v>
      </c>
      <c r="BK32">
        <f>SUMIF(ConfirmedRaw!$B:$B,$A32,ConfirmedRaw!BN:BN)</f>
        <v>0</v>
      </c>
      <c r="BL32">
        <f>SUMIF(ConfirmedRaw!$B:$B,$A32,ConfirmedRaw!BO:BO)</f>
        <v>0</v>
      </c>
      <c r="BM32">
        <f>SUMIF(ConfirmedRaw!$B:$B,$A32,ConfirmedRaw!BP:BP)</f>
        <v>0</v>
      </c>
      <c r="BN32">
        <f>SUMIF(ConfirmedRaw!$B:$B,$A32,ConfirmedRaw!BQ:BQ)</f>
        <v>0</v>
      </c>
      <c r="BO32">
        <f>SUMIF(ConfirmedRaw!$B:$B,$A32,ConfirmedRaw!BR:BR)</f>
        <v>0</v>
      </c>
      <c r="BP32">
        <f>SUMIF(ConfirmedRaw!$B:$B,$A32,ConfirmedRaw!BS:BS)</f>
        <v>0</v>
      </c>
      <c r="BQ32">
        <f>SUMIF(ConfirmedRaw!$B:$B,$A32,ConfirmedRaw!BT:BT)</f>
        <v>0</v>
      </c>
      <c r="BR32">
        <f>SUMIF(ConfirmedRaw!$B:$B,$A32,ConfirmedRaw!BU:BU)</f>
        <v>0</v>
      </c>
      <c r="BS32">
        <f>SUMIF(ConfirmedRaw!$B:$B,$A32,ConfirmedRaw!BV:BV)</f>
        <v>0</v>
      </c>
      <c r="BT32">
        <f>SUMIF(ConfirmedRaw!$B:$B,$A32,ConfirmedRaw!BW:BW)</f>
        <v>0</v>
      </c>
    </row>
    <row r="33" spans="1:72" ht="15" thickBot="1" x14ac:dyDescent="0.35">
      <c r="A33" s="3" t="s">
        <v>108</v>
      </c>
      <c r="B33">
        <f>SUMIF(ConfirmedRaw!$B:$B,$A33,ConfirmedRaw!E:E)</f>
        <v>0</v>
      </c>
      <c r="C33">
        <f>SUMIF(ConfirmedRaw!$B:$B,$A33,ConfirmedRaw!F:F)</f>
        <v>0</v>
      </c>
      <c r="D33">
        <f>SUMIF(ConfirmedRaw!$B:$B,$A33,ConfirmedRaw!G:G)</f>
        <v>0</v>
      </c>
      <c r="E33">
        <f>SUMIF(ConfirmedRaw!$B:$B,$A33,ConfirmedRaw!H:H)</f>
        <v>0</v>
      </c>
      <c r="F33">
        <f>SUMIF(ConfirmedRaw!$B:$B,$A33,ConfirmedRaw!I:I)</f>
        <v>0</v>
      </c>
      <c r="G33">
        <f>SUMIF(ConfirmedRaw!$B:$B,$A33,ConfirmedRaw!J:J)</f>
        <v>0</v>
      </c>
      <c r="H33">
        <f>SUMIF(ConfirmedRaw!$B:$B,$A33,ConfirmedRaw!K:K)</f>
        <v>0</v>
      </c>
      <c r="I33">
        <f>SUMIF(ConfirmedRaw!$B:$B,$A33,ConfirmedRaw!L:L)</f>
        <v>0</v>
      </c>
      <c r="J33">
        <f>SUMIF(ConfirmedRaw!$B:$B,$A33,ConfirmedRaw!M:M)</f>
        <v>0</v>
      </c>
      <c r="K33">
        <f>SUMIF(ConfirmedRaw!$B:$B,$A33,ConfirmedRaw!N:N)</f>
        <v>0</v>
      </c>
      <c r="L33">
        <f>SUMIF(ConfirmedRaw!$B:$B,$A33,ConfirmedRaw!O:O)</f>
        <v>0</v>
      </c>
      <c r="M33">
        <f>SUMIF(ConfirmedRaw!$B:$B,$A33,ConfirmedRaw!P:P)</f>
        <v>0</v>
      </c>
      <c r="N33">
        <f>SUMIF(ConfirmedRaw!$B:$B,$A33,ConfirmedRaw!Q:Q)</f>
        <v>0</v>
      </c>
      <c r="O33">
        <f>SUMIF(ConfirmedRaw!$B:$B,$A33,ConfirmedRaw!R:R)</f>
        <v>0</v>
      </c>
      <c r="P33">
        <f>SUMIF(ConfirmedRaw!$B:$B,$A33,ConfirmedRaw!S:S)</f>
        <v>0</v>
      </c>
      <c r="Q33">
        <f>SUMIF(ConfirmedRaw!$B:$B,$A33,ConfirmedRaw!T:T)</f>
        <v>0</v>
      </c>
      <c r="R33">
        <f>SUMIF(ConfirmedRaw!$B:$B,$A33,ConfirmedRaw!U:U)</f>
        <v>0</v>
      </c>
      <c r="S33">
        <f>SUMIF(ConfirmedRaw!$B:$B,$A33,ConfirmedRaw!V:V)</f>
        <v>0</v>
      </c>
      <c r="T33">
        <f>SUMIF(ConfirmedRaw!$B:$B,$A33,ConfirmedRaw!W:W)</f>
        <v>0</v>
      </c>
      <c r="U33">
        <f>SUMIF(ConfirmedRaw!$B:$B,$A33,ConfirmedRaw!X:X)</f>
        <v>0</v>
      </c>
      <c r="V33">
        <f>SUMIF(ConfirmedRaw!$B:$B,$A33,ConfirmedRaw!Y:Y)</f>
        <v>0</v>
      </c>
      <c r="W33">
        <f>SUMIF(ConfirmedRaw!$B:$B,$A33,ConfirmedRaw!Z:Z)</f>
        <v>0</v>
      </c>
      <c r="X33">
        <f>SUMIF(ConfirmedRaw!$B:$B,$A33,ConfirmedRaw!AA:AA)</f>
        <v>0</v>
      </c>
      <c r="Y33">
        <f>SUMIF(ConfirmedRaw!$B:$B,$A33,ConfirmedRaw!AB:AB)</f>
        <v>0</v>
      </c>
      <c r="Z33">
        <f>SUMIF(ConfirmedRaw!$B:$B,$A33,ConfirmedRaw!AC:AC)</f>
        <v>0</v>
      </c>
      <c r="AA33">
        <f>SUMIF(ConfirmedRaw!$B:$B,$A33,ConfirmedRaw!AD:AD)</f>
        <v>0</v>
      </c>
      <c r="AB33">
        <f>SUMIF(ConfirmedRaw!$B:$B,$A33,ConfirmedRaw!AE:AE)</f>
        <v>0</v>
      </c>
      <c r="AC33">
        <f>SUMIF(ConfirmedRaw!$B:$B,$A33,ConfirmedRaw!AF:AF)</f>
        <v>0</v>
      </c>
      <c r="AD33">
        <f>SUMIF(ConfirmedRaw!$B:$B,$A33,ConfirmedRaw!AG:AG)</f>
        <v>0</v>
      </c>
      <c r="AE33">
        <f>SUMIF(ConfirmedRaw!$B:$B,$A33,ConfirmedRaw!AH:AH)</f>
        <v>0</v>
      </c>
      <c r="AF33">
        <f>SUMIF(ConfirmedRaw!$B:$B,$A33,ConfirmedRaw!AI:AI)</f>
        <v>0</v>
      </c>
      <c r="AG33">
        <f>SUMIF(ConfirmedRaw!$B:$B,$A33,ConfirmedRaw!AJ:AJ)</f>
        <v>0</v>
      </c>
      <c r="AH33">
        <f>SUMIF(ConfirmedRaw!$B:$B,$A33,ConfirmedRaw!AK:AK)</f>
        <v>0</v>
      </c>
      <c r="AI33">
        <f>SUMIF(ConfirmedRaw!$B:$B,$A33,ConfirmedRaw!AL:AL)</f>
        <v>0</v>
      </c>
      <c r="AJ33">
        <f>SUMIF(ConfirmedRaw!$B:$B,$A33,ConfirmedRaw!AM:AM)</f>
        <v>0</v>
      </c>
      <c r="AK33">
        <f>SUMIF(ConfirmedRaw!$B:$B,$A33,ConfirmedRaw!AN:AN)</f>
        <v>0</v>
      </c>
      <c r="AL33">
        <f>SUMIF(ConfirmedRaw!$B:$B,$A33,ConfirmedRaw!AO:AO)</f>
        <v>0</v>
      </c>
      <c r="AM33">
        <f>SUMIF(ConfirmedRaw!$B:$B,$A33,ConfirmedRaw!AP:AP)</f>
        <v>0</v>
      </c>
      <c r="AN33">
        <f>SUMIF(ConfirmedRaw!$B:$B,$A33,ConfirmedRaw!AQ:AQ)</f>
        <v>0</v>
      </c>
      <c r="AO33">
        <f>SUMIF(ConfirmedRaw!$B:$B,$A33,ConfirmedRaw!AR:AR)</f>
        <v>0</v>
      </c>
      <c r="AP33">
        <f>SUMIF(ConfirmedRaw!$B:$B,$A33,ConfirmedRaw!AS:AS)</f>
        <v>2</v>
      </c>
      <c r="AQ33">
        <f>SUMIF(ConfirmedRaw!$B:$B,$A33,ConfirmedRaw!AT:AT)</f>
        <v>2</v>
      </c>
      <c r="AR33">
        <f>SUMIF(ConfirmedRaw!$B:$B,$A33,ConfirmedRaw!AU:AU)</f>
        <v>5</v>
      </c>
      <c r="AS33">
        <f>SUMIF(ConfirmedRaw!$B:$B,$A33,ConfirmedRaw!AV:AV)</f>
        <v>8</v>
      </c>
      <c r="AT33">
        <f>SUMIF(ConfirmedRaw!$B:$B,$A33,ConfirmedRaw!AW:AW)</f>
        <v>13</v>
      </c>
      <c r="AU33">
        <f>SUMIF(ConfirmedRaw!$B:$B,$A33,ConfirmedRaw!AX:AX)</f>
        <v>20</v>
      </c>
      <c r="AV33">
        <f>SUMIF(ConfirmedRaw!$B:$B,$A33,ConfirmedRaw!AY:AY)</f>
        <v>30</v>
      </c>
      <c r="AW33">
        <f>SUMIF(ConfirmedRaw!$B:$B,$A33,ConfirmedRaw!AZ:AZ)</f>
        <v>30</v>
      </c>
      <c r="AX33">
        <f>SUMIF(ConfirmedRaw!$B:$B,$A33,ConfirmedRaw!BA:BA)</f>
        <v>41</v>
      </c>
      <c r="AY33">
        <f>SUMIF(ConfirmedRaw!$B:$B,$A33,ConfirmedRaw!BB:BB)</f>
        <v>59</v>
      </c>
      <c r="AZ33">
        <f>SUMIF(ConfirmedRaw!$B:$B,$A33,ConfirmedRaw!BC:BC)</f>
        <v>59</v>
      </c>
      <c r="BA33">
        <f>SUMIF(ConfirmedRaw!$B:$B,$A33,ConfirmedRaw!BD:BD)</f>
        <v>112</v>
      </c>
      <c r="BB33">
        <f>SUMIF(ConfirmedRaw!$B:$B,$A33,ConfirmedRaw!BE:BE)</f>
        <v>169</v>
      </c>
      <c r="BC33">
        <f>SUMIF(ConfirmedRaw!$B:$B,$A33,ConfirmedRaw!BF:BF)</f>
        <v>245</v>
      </c>
      <c r="BD33">
        <f>SUMIF(ConfirmedRaw!$B:$B,$A33,ConfirmedRaw!BG:BG)</f>
        <v>331</v>
      </c>
      <c r="BE33">
        <f>SUMIF(ConfirmedRaw!$B:$B,$A33,ConfirmedRaw!BH:BH)</f>
        <v>448</v>
      </c>
      <c r="BF33">
        <f>SUMIF(ConfirmedRaw!$B:$B,$A33,ConfirmedRaw!BI:BI)</f>
        <v>448</v>
      </c>
      <c r="BG33">
        <f>SUMIF(ConfirmedRaw!$B:$B,$A33,ConfirmedRaw!BJ:BJ)</f>
        <v>785</v>
      </c>
      <c r="BH33">
        <f>SUMIF(ConfirmedRaw!$B:$B,$A33,ConfirmedRaw!BK:BK)</f>
        <v>1020</v>
      </c>
      <c r="BI33">
        <f>SUMIF(ConfirmedRaw!$B:$B,$A33,ConfirmedRaw!BL:BL)</f>
        <v>0</v>
      </c>
      <c r="BJ33">
        <f>SUMIF(ConfirmedRaw!$B:$B,$A33,ConfirmedRaw!BM:BM)</f>
        <v>0</v>
      </c>
      <c r="BK33">
        <f>SUMIF(ConfirmedRaw!$B:$B,$A33,ConfirmedRaw!BN:BN)</f>
        <v>0</v>
      </c>
      <c r="BL33">
        <f>SUMIF(ConfirmedRaw!$B:$B,$A33,ConfirmedRaw!BO:BO)</f>
        <v>0</v>
      </c>
      <c r="BM33">
        <f>SUMIF(ConfirmedRaw!$B:$B,$A33,ConfirmedRaw!BP:BP)</f>
        <v>0</v>
      </c>
      <c r="BN33">
        <f>SUMIF(ConfirmedRaw!$B:$B,$A33,ConfirmedRaw!BQ:BQ)</f>
        <v>0</v>
      </c>
      <c r="BO33">
        <f>SUMIF(ConfirmedRaw!$B:$B,$A33,ConfirmedRaw!BR:BR)</f>
        <v>0</v>
      </c>
      <c r="BP33">
        <f>SUMIF(ConfirmedRaw!$B:$B,$A33,ConfirmedRaw!BS:BS)</f>
        <v>0</v>
      </c>
      <c r="BQ33">
        <f>SUMIF(ConfirmedRaw!$B:$B,$A33,ConfirmedRaw!BT:BT)</f>
        <v>0</v>
      </c>
      <c r="BR33">
        <f>SUMIF(ConfirmedRaw!$B:$B,$A33,ConfirmedRaw!BU:BU)</f>
        <v>0</v>
      </c>
      <c r="BS33">
        <f>SUMIF(ConfirmedRaw!$B:$B,$A33,ConfirmedRaw!BV:BV)</f>
        <v>0</v>
      </c>
      <c r="BT33">
        <f>SUMIF(ConfirmedRaw!$B:$B,$A33,ConfirmedRaw!BW:BW)</f>
        <v>0</v>
      </c>
    </row>
    <row r="34" spans="1:72" ht="15" thickBot="1" x14ac:dyDescent="0.35">
      <c r="A34" s="3" t="s">
        <v>70</v>
      </c>
      <c r="B34">
        <f>SUMIF(ConfirmedRaw!$B:$B,$A34,ConfirmedRaw!E:E)</f>
        <v>0</v>
      </c>
      <c r="C34">
        <f>SUMIF(ConfirmedRaw!$B:$B,$A34,ConfirmedRaw!F:F)</f>
        <v>0</v>
      </c>
      <c r="D34">
        <f>SUMIF(ConfirmedRaw!$B:$B,$A34,ConfirmedRaw!G:G)</f>
        <v>0</v>
      </c>
      <c r="E34">
        <f>SUMIF(ConfirmedRaw!$B:$B,$A34,ConfirmedRaw!H:H)</f>
        <v>0</v>
      </c>
      <c r="F34">
        <f>SUMIF(ConfirmedRaw!$B:$B,$A34,ConfirmedRaw!I:I)</f>
        <v>0</v>
      </c>
      <c r="G34">
        <f>SUMIF(ConfirmedRaw!$B:$B,$A34,ConfirmedRaw!J:J)</f>
        <v>0</v>
      </c>
      <c r="H34">
        <f>SUMIF(ConfirmedRaw!$B:$B,$A34,ConfirmedRaw!K:K)</f>
        <v>0</v>
      </c>
      <c r="I34">
        <f>SUMIF(ConfirmedRaw!$B:$B,$A34,ConfirmedRaw!L:L)</f>
        <v>0</v>
      </c>
      <c r="J34">
        <f>SUMIF(ConfirmedRaw!$B:$B,$A34,ConfirmedRaw!M:M)</f>
        <v>0</v>
      </c>
      <c r="K34">
        <f>SUMIF(ConfirmedRaw!$B:$B,$A34,ConfirmedRaw!N:N)</f>
        <v>0</v>
      </c>
      <c r="L34">
        <f>SUMIF(ConfirmedRaw!$B:$B,$A34,ConfirmedRaw!O:O)</f>
        <v>0</v>
      </c>
      <c r="M34">
        <f>SUMIF(ConfirmedRaw!$B:$B,$A34,ConfirmedRaw!P:P)</f>
        <v>0</v>
      </c>
      <c r="N34">
        <f>SUMIF(ConfirmedRaw!$B:$B,$A34,ConfirmedRaw!Q:Q)</f>
        <v>0</v>
      </c>
      <c r="O34">
        <f>SUMIF(ConfirmedRaw!$B:$B,$A34,ConfirmedRaw!R:R)</f>
        <v>0</v>
      </c>
      <c r="P34">
        <f>SUMIF(ConfirmedRaw!$B:$B,$A34,ConfirmedRaw!S:S)</f>
        <v>0</v>
      </c>
      <c r="Q34">
        <f>SUMIF(ConfirmedRaw!$B:$B,$A34,ConfirmedRaw!T:T)</f>
        <v>0</v>
      </c>
      <c r="R34">
        <f>SUMIF(ConfirmedRaw!$B:$B,$A34,ConfirmedRaw!U:U)</f>
        <v>0</v>
      </c>
      <c r="S34">
        <f>SUMIF(ConfirmedRaw!$B:$B,$A34,ConfirmedRaw!V:V)</f>
        <v>0</v>
      </c>
      <c r="T34">
        <f>SUMIF(ConfirmedRaw!$B:$B,$A34,ConfirmedRaw!W:W)</f>
        <v>0</v>
      </c>
      <c r="U34">
        <f>SUMIF(ConfirmedRaw!$B:$B,$A34,ConfirmedRaw!X:X)</f>
        <v>0</v>
      </c>
      <c r="V34">
        <f>SUMIF(ConfirmedRaw!$B:$B,$A34,ConfirmedRaw!Y:Y)</f>
        <v>0</v>
      </c>
      <c r="W34">
        <f>SUMIF(ConfirmedRaw!$B:$B,$A34,ConfirmedRaw!Z:Z)</f>
        <v>0</v>
      </c>
      <c r="X34">
        <f>SUMIF(ConfirmedRaw!$B:$B,$A34,ConfirmedRaw!AA:AA)</f>
        <v>0</v>
      </c>
      <c r="Y34">
        <f>SUMIF(ConfirmedRaw!$B:$B,$A34,ConfirmedRaw!AB:AB)</f>
        <v>0</v>
      </c>
      <c r="Z34">
        <f>SUMIF(ConfirmedRaw!$B:$B,$A34,ConfirmedRaw!AC:AC)</f>
        <v>0</v>
      </c>
      <c r="AA34">
        <f>SUMIF(ConfirmedRaw!$B:$B,$A34,ConfirmedRaw!AD:AD)</f>
        <v>0</v>
      </c>
      <c r="AB34">
        <f>SUMIF(ConfirmedRaw!$B:$B,$A34,ConfirmedRaw!AE:AE)</f>
        <v>0</v>
      </c>
      <c r="AC34">
        <f>SUMIF(ConfirmedRaw!$B:$B,$A34,ConfirmedRaw!AF:AF)</f>
        <v>0</v>
      </c>
      <c r="AD34">
        <f>SUMIF(ConfirmedRaw!$B:$B,$A34,ConfirmedRaw!AG:AG)</f>
        <v>0</v>
      </c>
      <c r="AE34">
        <f>SUMIF(ConfirmedRaw!$B:$B,$A34,ConfirmedRaw!AH:AH)</f>
        <v>0</v>
      </c>
      <c r="AF34">
        <f>SUMIF(ConfirmedRaw!$B:$B,$A34,ConfirmedRaw!AI:AI)</f>
        <v>0</v>
      </c>
      <c r="AG34">
        <f>SUMIF(ConfirmedRaw!$B:$B,$A34,ConfirmedRaw!AJ:AJ)</f>
        <v>0</v>
      </c>
      <c r="AH34">
        <f>SUMIF(ConfirmedRaw!$B:$B,$A34,ConfirmedRaw!AK:AK)</f>
        <v>0</v>
      </c>
      <c r="AI34">
        <f>SUMIF(ConfirmedRaw!$B:$B,$A34,ConfirmedRaw!AL:AL)</f>
        <v>1</v>
      </c>
      <c r="AJ34">
        <f>SUMIF(ConfirmedRaw!$B:$B,$A34,ConfirmedRaw!AM:AM)</f>
        <v>1</v>
      </c>
      <c r="AK34">
        <f>SUMIF(ConfirmedRaw!$B:$B,$A34,ConfirmedRaw!AN:AN)</f>
        <v>5</v>
      </c>
      <c r="AL34">
        <f>SUMIF(ConfirmedRaw!$B:$B,$A34,ConfirmedRaw!AO:AO)</f>
        <v>7</v>
      </c>
      <c r="AM34">
        <f>SUMIF(ConfirmedRaw!$B:$B,$A34,ConfirmedRaw!AP:AP)</f>
        <v>7</v>
      </c>
      <c r="AN34">
        <f>SUMIF(ConfirmedRaw!$B:$B,$A34,ConfirmedRaw!AQ:AQ)</f>
        <v>13</v>
      </c>
      <c r="AO34">
        <f>SUMIF(ConfirmedRaw!$B:$B,$A34,ConfirmedRaw!AR:AR)</f>
        <v>19</v>
      </c>
      <c r="AP34">
        <f>SUMIF(ConfirmedRaw!$B:$B,$A34,ConfirmedRaw!AS:AS)</f>
        <v>26</v>
      </c>
      <c r="AQ34">
        <f>SUMIF(ConfirmedRaw!$B:$B,$A34,ConfirmedRaw!AT:AT)</f>
        <v>32</v>
      </c>
      <c r="AR34">
        <f>SUMIF(ConfirmedRaw!$B:$B,$A34,ConfirmedRaw!AU:AU)</f>
        <v>35</v>
      </c>
      <c r="AS34">
        <f>SUMIF(ConfirmedRaw!$B:$B,$A34,ConfirmedRaw!AV:AV)</f>
        <v>35</v>
      </c>
      <c r="AT34">
        <f>SUMIF(ConfirmedRaw!$B:$B,$A34,ConfirmedRaw!AW:AW)</f>
        <v>40</v>
      </c>
      <c r="AU34">
        <f>SUMIF(ConfirmedRaw!$B:$B,$A34,ConfirmedRaw!AX:AX)</f>
        <v>54</v>
      </c>
      <c r="AV34">
        <f>SUMIF(ConfirmedRaw!$B:$B,$A34,ConfirmedRaw!AY:AY)</f>
        <v>60</v>
      </c>
      <c r="AW34">
        <f>SUMIF(ConfirmedRaw!$B:$B,$A34,ConfirmedRaw!AZ:AZ)</f>
        <v>60</v>
      </c>
      <c r="AX34">
        <f>SUMIF(ConfirmedRaw!$B:$B,$A34,ConfirmedRaw!BA:BA)</f>
        <v>71</v>
      </c>
      <c r="AY34">
        <f>SUMIF(ConfirmedRaw!$B:$B,$A34,ConfirmedRaw!BB:BB)</f>
        <v>71</v>
      </c>
      <c r="AZ34">
        <f>SUMIF(ConfirmedRaw!$B:$B,$A34,ConfirmedRaw!BC:BC)</f>
        <v>71</v>
      </c>
      <c r="BA34">
        <f>SUMIF(ConfirmedRaw!$B:$B,$A34,ConfirmedRaw!BD:BD)</f>
        <v>101</v>
      </c>
      <c r="BB34">
        <f>SUMIF(ConfirmedRaw!$B:$B,$A34,ConfirmedRaw!BE:BE)</f>
        <v>110</v>
      </c>
      <c r="BC34">
        <f>SUMIF(ConfirmedRaw!$B:$B,$A34,ConfirmedRaw!BF:BF)</f>
        <v>116</v>
      </c>
      <c r="BD34">
        <f>SUMIF(ConfirmedRaw!$B:$B,$A34,ConfirmedRaw!BG:BG)</f>
        <v>124</v>
      </c>
      <c r="BE34">
        <f>SUMIF(ConfirmedRaw!$B:$B,$A34,ConfirmedRaw!BH:BH)</f>
        <v>154</v>
      </c>
      <c r="BF34">
        <f>SUMIF(ConfirmedRaw!$B:$B,$A34,ConfirmedRaw!BI:BI)</f>
        <v>164</v>
      </c>
      <c r="BG34">
        <f>SUMIF(ConfirmedRaw!$B:$B,$A34,ConfirmedRaw!BJ:BJ)</f>
        <v>192</v>
      </c>
      <c r="BH34">
        <f>SUMIF(ConfirmedRaw!$B:$B,$A34,ConfirmedRaw!BK:BK)</f>
        <v>208</v>
      </c>
      <c r="BI34">
        <f>SUMIF(ConfirmedRaw!$B:$B,$A34,ConfirmedRaw!BL:BL)</f>
        <v>0</v>
      </c>
      <c r="BJ34">
        <f>SUMIF(ConfirmedRaw!$B:$B,$A34,ConfirmedRaw!BM:BM)</f>
        <v>0</v>
      </c>
      <c r="BK34">
        <f>SUMIF(ConfirmedRaw!$B:$B,$A34,ConfirmedRaw!BN:BN)</f>
        <v>0</v>
      </c>
      <c r="BL34">
        <f>SUMIF(ConfirmedRaw!$B:$B,$A34,ConfirmedRaw!BO:BO)</f>
        <v>0</v>
      </c>
      <c r="BM34">
        <f>SUMIF(ConfirmedRaw!$B:$B,$A34,ConfirmedRaw!BP:BP)</f>
        <v>0</v>
      </c>
      <c r="BN34">
        <f>SUMIF(ConfirmedRaw!$B:$B,$A34,ConfirmedRaw!BQ:BQ)</f>
        <v>0</v>
      </c>
      <c r="BO34">
        <f>SUMIF(ConfirmedRaw!$B:$B,$A34,ConfirmedRaw!BR:BR)</f>
        <v>0</v>
      </c>
      <c r="BP34">
        <f>SUMIF(ConfirmedRaw!$B:$B,$A34,ConfirmedRaw!BS:BS)</f>
        <v>0</v>
      </c>
      <c r="BQ34">
        <f>SUMIF(ConfirmedRaw!$B:$B,$A34,ConfirmedRaw!BT:BT)</f>
        <v>0</v>
      </c>
      <c r="BR34">
        <f>SUMIF(ConfirmedRaw!$B:$B,$A34,ConfirmedRaw!BU:BU)</f>
        <v>0</v>
      </c>
      <c r="BS34">
        <f>SUMIF(ConfirmedRaw!$B:$B,$A34,ConfirmedRaw!BV:BV)</f>
        <v>0</v>
      </c>
      <c r="BT34">
        <f>SUMIF(ConfirmedRaw!$B:$B,$A34,ConfirmedRaw!BW:BW)</f>
        <v>0</v>
      </c>
    </row>
    <row r="35" spans="1:72" ht="15" thickBot="1" x14ac:dyDescent="0.35">
      <c r="A35" s="4" t="s">
        <v>98</v>
      </c>
      <c r="B35">
        <f>SUMIF(ConfirmedRaw!$B:$B,$A35,ConfirmedRaw!E:E)</f>
        <v>0</v>
      </c>
      <c r="C35">
        <f>SUMIF(ConfirmedRaw!$B:$B,$A35,ConfirmedRaw!F:F)</f>
        <v>0</v>
      </c>
      <c r="D35">
        <f>SUMIF(ConfirmedRaw!$B:$B,$A35,ConfirmedRaw!G:G)</f>
        <v>0</v>
      </c>
      <c r="E35">
        <f>SUMIF(ConfirmedRaw!$B:$B,$A35,ConfirmedRaw!H:H)</f>
        <v>0</v>
      </c>
      <c r="F35">
        <f>SUMIF(ConfirmedRaw!$B:$B,$A35,ConfirmedRaw!I:I)</f>
        <v>0</v>
      </c>
      <c r="G35">
        <f>SUMIF(ConfirmedRaw!$B:$B,$A35,ConfirmedRaw!J:J)</f>
        <v>0</v>
      </c>
      <c r="H35">
        <f>SUMIF(ConfirmedRaw!$B:$B,$A35,ConfirmedRaw!K:K)</f>
        <v>0</v>
      </c>
      <c r="I35">
        <f>SUMIF(ConfirmedRaw!$B:$B,$A35,ConfirmedRaw!L:L)</f>
        <v>0</v>
      </c>
      <c r="J35">
        <f>SUMIF(ConfirmedRaw!$B:$B,$A35,ConfirmedRaw!M:M)</f>
        <v>0</v>
      </c>
      <c r="K35">
        <f>SUMIF(ConfirmedRaw!$B:$B,$A35,ConfirmedRaw!N:N)</f>
        <v>0</v>
      </c>
      <c r="L35">
        <f>SUMIF(ConfirmedRaw!$B:$B,$A35,ConfirmedRaw!O:O)</f>
        <v>0</v>
      </c>
      <c r="M35">
        <f>SUMIF(ConfirmedRaw!$B:$B,$A35,ConfirmedRaw!P:P)</f>
        <v>0</v>
      </c>
      <c r="N35">
        <f>SUMIF(ConfirmedRaw!$B:$B,$A35,ConfirmedRaw!Q:Q)</f>
        <v>0</v>
      </c>
      <c r="O35">
        <f>SUMIF(ConfirmedRaw!$B:$B,$A35,ConfirmedRaw!R:R)</f>
        <v>0</v>
      </c>
      <c r="P35">
        <f>SUMIF(ConfirmedRaw!$B:$B,$A35,ConfirmedRaw!S:S)</f>
        <v>0</v>
      </c>
      <c r="Q35">
        <f>SUMIF(ConfirmedRaw!$B:$B,$A35,ConfirmedRaw!T:T)</f>
        <v>0</v>
      </c>
      <c r="R35">
        <f>SUMIF(ConfirmedRaw!$B:$B,$A35,ConfirmedRaw!U:U)</f>
        <v>0</v>
      </c>
      <c r="S35">
        <f>SUMIF(ConfirmedRaw!$B:$B,$A35,ConfirmedRaw!V:V)</f>
        <v>0</v>
      </c>
      <c r="T35">
        <f>SUMIF(ConfirmedRaw!$B:$B,$A35,ConfirmedRaw!W:W)</f>
        <v>0</v>
      </c>
      <c r="U35">
        <f>SUMIF(ConfirmedRaw!$B:$B,$A35,ConfirmedRaw!X:X)</f>
        <v>0</v>
      </c>
      <c r="V35">
        <f>SUMIF(ConfirmedRaw!$B:$B,$A35,ConfirmedRaw!Y:Y)</f>
        <v>0</v>
      </c>
      <c r="W35">
        <f>SUMIF(ConfirmedRaw!$B:$B,$A35,ConfirmedRaw!Z:Z)</f>
        <v>0</v>
      </c>
      <c r="X35">
        <f>SUMIF(ConfirmedRaw!$B:$B,$A35,ConfirmedRaw!AA:AA)</f>
        <v>0</v>
      </c>
      <c r="Y35">
        <f>SUMIF(ConfirmedRaw!$B:$B,$A35,ConfirmedRaw!AB:AB)</f>
        <v>0</v>
      </c>
      <c r="Z35">
        <f>SUMIF(ConfirmedRaw!$B:$B,$A35,ConfirmedRaw!AC:AC)</f>
        <v>0</v>
      </c>
      <c r="AA35">
        <f>SUMIF(ConfirmedRaw!$B:$B,$A35,ConfirmedRaw!AD:AD)</f>
        <v>0</v>
      </c>
      <c r="AB35">
        <f>SUMIF(ConfirmedRaw!$B:$B,$A35,ConfirmedRaw!AE:AE)</f>
        <v>0</v>
      </c>
      <c r="AC35">
        <f>SUMIF(ConfirmedRaw!$B:$B,$A35,ConfirmedRaw!AF:AF)</f>
        <v>0</v>
      </c>
      <c r="AD35">
        <f>SUMIF(ConfirmedRaw!$B:$B,$A35,ConfirmedRaw!AG:AG)</f>
        <v>0</v>
      </c>
      <c r="AE35">
        <f>SUMIF(ConfirmedRaw!$B:$B,$A35,ConfirmedRaw!AH:AH)</f>
        <v>0</v>
      </c>
      <c r="AF35">
        <f>SUMIF(ConfirmedRaw!$B:$B,$A35,ConfirmedRaw!AI:AI)</f>
        <v>0</v>
      </c>
      <c r="AG35">
        <f>SUMIF(ConfirmedRaw!$B:$B,$A35,ConfirmedRaw!AJ:AJ)</f>
        <v>0</v>
      </c>
      <c r="AH35">
        <f>SUMIF(ConfirmedRaw!$B:$B,$A35,ConfirmedRaw!AK:AK)</f>
        <v>0</v>
      </c>
      <c r="AI35">
        <f>SUMIF(ConfirmedRaw!$B:$B,$A35,ConfirmedRaw!AL:AL)</f>
        <v>0</v>
      </c>
      <c r="AJ35">
        <f>SUMIF(ConfirmedRaw!$B:$B,$A35,ConfirmedRaw!AM:AM)</f>
        <v>0</v>
      </c>
      <c r="AK35">
        <f>SUMIF(ConfirmedRaw!$B:$B,$A35,ConfirmedRaw!AN:AN)</f>
        <v>0</v>
      </c>
      <c r="AL35">
        <f>SUMIF(ConfirmedRaw!$B:$B,$A35,ConfirmedRaw!AO:AO)</f>
        <v>0</v>
      </c>
      <c r="AM35">
        <f>SUMIF(ConfirmedRaw!$B:$B,$A35,ConfirmedRaw!AP:AP)</f>
        <v>0</v>
      </c>
      <c r="AN35">
        <f>SUMIF(ConfirmedRaw!$B:$B,$A35,ConfirmedRaw!AQ:AQ)</f>
        <v>1</v>
      </c>
      <c r="AO35">
        <f>SUMIF(ConfirmedRaw!$B:$B,$A35,ConfirmedRaw!AR:AR)</f>
        <v>1</v>
      </c>
      <c r="AP35">
        <f>SUMIF(ConfirmedRaw!$B:$B,$A35,ConfirmedRaw!AS:AS)</f>
        <v>1</v>
      </c>
      <c r="AQ35">
        <f>SUMIF(ConfirmedRaw!$B:$B,$A35,ConfirmedRaw!AT:AT)</f>
        <v>2</v>
      </c>
      <c r="AR35">
        <f>SUMIF(ConfirmedRaw!$B:$B,$A35,ConfirmedRaw!AU:AU)</f>
        <v>6</v>
      </c>
      <c r="AS35">
        <f>SUMIF(ConfirmedRaw!$B:$B,$A35,ConfirmedRaw!AV:AV)</f>
        <v>6</v>
      </c>
      <c r="AT35">
        <f>SUMIF(ConfirmedRaw!$B:$B,$A35,ConfirmedRaw!AW:AW)</f>
        <v>18</v>
      </c>
      <c r="AU35">
        <f>SUMIF(ConfirmedRaw!$B:$B,$A35,ConfirmedRaw!AX:AX)</f>
        <v>18</v>
      </c>
      <c r="AV35">
        <f>SUMIF(ConfirmedRaw!$B:$B,$A35,ConfirmedRaw!AY:AY)</f>
        <v>19</v>
      </c>
      <c r="AW35">
        <f>SUMIF(ConfirmedRaw!$B:$B,$A35,ConfirmedRaw!AZ:AZ)</f>
        <v>21</v>
      </c>
      <c r="AX35">
        <f>SUMIF(ConfirmedRaw!$B:$B,$A35,ConfirmedRaw!BA:BA)</f>
        <v>34</v>
      </c>
      <c r="AY35">
        <f>SUMIF(ConfirmedRaw!$B:$B,$A35,ConfirmedRaw!BB:BB)</f>
        <v>43</v>
      </c>
      <c r="AZ35">
        <f>SUMIF(ConfirmedRaw!$B:$B,$A35,ConfirmedRaw!BC:BC)</f>
        <v>43</v>
      </c>
      <c r="BA35">
        <f>SUMIF(ConfirmedRaw!$B:$B,$A35,ConfirmedRaw!BD:BD)</f>
        <v>90</v>
      </c>
      <c r="BB35">
        <f>SUMIF(ConfirmedRaw!$B:$B,$A35,ConfirmedRaw!BE:BE)</f>
        <v>129</v>
      </c>
      <c r="BC35">
        <f>SUMIF(ConfirmedRaw!$B:$B,$A35,ConfirmedRaw!BF:BF)</f>
        <v>129</v>
      </c>
      <c r="BD35">
        <f>SUMIF(ConfirmedRaw!$B:$B,$A35,ConfirmedRaw!BG:BG)</f>
        <v>169</v>
      </c>
      <c r="BE35">
        <f>SUMIF(ConfirmedRaw!$B:$B,$A35,ConfirmedRaw!BH:BH)</f>
        <v>223</v>
      </c>
      <c r="BF35">
        <f>SUMIF(ConfirmedRaw!$B:$B,$A35,ConfirmedRaw!BI:BI)</f>
        <v>292</v>
      </c>
      <c r="BG35">
        <f>SUMIF(ConfirmedRaw!$B:$B,$A35,ConfirmedRaw!BJ:BJ)</f>
        <v>557</v>
      </c>
      <c r="BH35">
        <f>SUMIF(ConfirmedRaw!$B:$B,$A35,ConfirmedRaw!BK:BK)</f>
        <v>683</v>
      </c>
      <c r="BI35">
        <f>SUMIF(ConfirmedRaw!$B:$B,$A35,ConfirmedRaw!BL:BL)</f>
        <v>0</v>
      </c>
      <c r="BJ35">
        <f>SUMIF(ConfirmedRaw!$B:$B,$A35,ConfirmedRaw!BM:BM)</f>
        <v>0</v>
      </c>
      <c r="BK35">
        <f>SUMIF(ConfirmedRaw!$B:$B,$A35,ConfirmedRaw!BN:BN)</f>
        <v>0</v>
      </c>
      <c r="BL35">
        <f>SUMIF(ConfirmedRaw!$B:$B,$A35,ConfirmedRaw!BO:BO)</f>
        <v>0</v>
      </c>
      <c r="BM35">
        <f>SUMIF(ConfirmedRaw!$B:$B,$A35,ConfirmedRaw!BP:BP)</f>
        <v>0</v>
      </c>
      <c r="BN35">
        <f>SUMIF(ConfirmedRaw!$B:$B,$A35,ConfirmedRaw!BQ:BQ)</f>
        <v>0</v>
      </c>
      <c r="BO35">
        <f>SUMIF(ConfirmedRaw!$B:$B,$A35,ConfirmedRaw!BR:BR)</f>
        <v>0</v>
      </c>
      <c r="BP35">
        <f>SUMIF(ConfirmedRaw!$B:$B,$A35,ConfirmedRaw!BS:BS)</f>
        <v>0</v>
      </c>
      <c r="BQ35">
        <f>SUMIF(ConfirmedRaw!$B:$B,$A35,ConfirmedRaw!BT:BT)</f>
        <v>0</v>
      </c>
      <c r="BR35">
        <f>SUMIF(ConfirmedRaw!$B:$B,$A35,ConfirmedRaw!BU:BU)</f>
        <v>0</v>
      </c>
      <c r="BS35">
        <f>SUMIF(ConfirmedRaw!$B:$B,$A35,ConfirmedRaw!BV:BV)</f>
        <v>0</v>
      </c>
      <c r="BT35">
        <f>SUMIF(ConfirmedRaw!$B:$B,$A35,ConfirmedRaw!BW:BW)</f>
        <v>0</v>
      </c>
    </row>
    <row r="36" spans="1:72" ht="15" thickBot="1" x14ac:dyDescent="0.35">
      <c r="A36" s="3" t="s">
        <v>86</v>
      </c>
      <c r="B36">
        <f>SUMIF(ConfirmedRaw!$B:$B,$A36,ConfirmedRaw!E:E)</f>
        <v>0</v>
      </c>
      <c r="C36">
        <f>SUMIF(ConfirmedRaw!$B:$B,$A36,ConfirmedRaw!F:F)</f>
        <v>0</v>
      </c>
      <c r="D36">
        <f>SUMIF(ConfirmedRaw!$B:$B,$A36,ConfirmedRaw!G:G)</f>
        <v>0</v>
      </c>
      <c r="E36">
        <f>SUMIF(ConfirmedRaw!$B:$B,$A36,ConfirmedRaw!H:H)</f>
        <v>0</v>
      </c>
      <c r="F36">
        <f>SUMIF(ConfirmedRaw!$B:$B,$A36,ConfirmedRaw!I:I)</f>
        <v>0</v>
      </c>
      <c r="G36">
        <f>SUMIF(ConfirmedRaw!$B:$B,$A36,ConfirmedRaw!J:J)</f>
        <v>0</v>
      </c>
      <c r="H36">
        <f>SUMIF(ConfirmedRaw!$B:$B,$A36,ConfirmedRaw!K:K)</f>
        <v>0</v>
      </c>
      <c r="I36">
        <f>SUMIF(ConfirmedRaw!$B:$B,$A36,ConfirmedRaw!L:L)</f>
        <v>0</v>
      </c>
      <c r="J36">
        <f>SUMIF(ConfirmedRaw!$B:$B,$A36,ConfirmedRaw!M:M)</f>
        <v>0</v>
      </c>
      <c r="K36">
        <f>SUMIF(ConfirmedRaw!$B:$B,$A36,ConfirmedRaw!N:N)</f>
        <v>0</v>
      </c>
      <c r="L36">
        <f>SUMIF(ConfirmedRaw!$B:$B,$A36,ConfirmedRaw!O:O)</f>
        <v>0</v>
      </c>
      <c r="M36">
        <f>SUMIF(ConfirmedRaw!$B:$B,$A36,ConfirmedRaw!P:P)</f>
        <v>0</v>
      </c>
      <c r="N36">
        <f>SUMIF(ConfirmedRaw!$B:$B,$A36,ConfirmedRaw!Q:Q)</f>
        <v>0</v>
      </c>
      <c r="O36">
        <f>SUMIF(ConfirmedRaw!$B:$B,$A36,ConfirmedRaw!R:R)</f>
        <v>0</v>
      </c>
      <c r="P36">
        <f>SUMIF(ConfirmedRaw!$B:$B,$A36,ConfirmedRaw!S:S)</f>
        <v>0</v>
      </c>
      <c r="Q36">
        <f>SUMIF(ConfirmedRaw!$B:$B,$A36,ConfirmedRaw!T:T)</f>
        <v>0</v>
      </c>
      <c r="R36">
        <f>SUMIF(ConfirmedRaw!$B:$B,$A36,ConfirmedRaw!U:U)</f>
        <v>0</v>
      </c>
      <c r="S36">
        <f>SUMIF(ConfirmedRaw!$B:$B,$A36,ConfirmedRaw!V:V)</f>
        <v>0</v>
      </c>
      <c r="T36">
        <f>SUMIF(ConfirmedRaw!$B:$B,$A36,ConfirmedRaw!W:W)</f>
        <v>0</v>
      </c>
      <c r="U36">
        <f>SUMIF(ConfirmedRaw!$B:$B,$A36,ConfirmedRaw!X:X)</f>
        <v>0</v>
      </c>
      <c r="V36">
        <f>SUMIF(ConfirmedRaw!$B:$B,$A36,ConfirmedRaw!Y:Y)</f>
        <v>0</v>
      </c>
      <c r="W36">
        <f>SUMIF(ConfirmedRaw!$B:$B,$A36,ConfirmedRaw!Z:Z)</f>
        <v>0</v>
      </c>
      <c r="X36">
        <f>SUMIF(ConfirmedRaw!$B:$B,$A36,ConfirmedRaw!AA:AA)</f>
        <v>0</v>
      </c>
      <c r="Y36">
        <f>SUMIF(ConfirmedRaw!$B:$B,$A36,ConfirmedRaw!AB:AB)</f>
        <v>0</v>
      </c>
      <c r="Z36">
        <f>SUMIF(ConfirmedRaw!$B:$B,$A36,ConfirmedRaw!AC:AC)</f>
        <v>0</v>
      </c>
      <c r="AA36">
        <f>SUMIF(ConfirmedRaw!$B:$B,$A36,ConfirmedRaw!AD:AD)</f>
        <v>0</v>
      </c>
      <c r="AB36">
        <f>SUMIF(ConfirmedRaw!$B:$B,$A36,ConfirmedRaw!AE:AE)</f>
        <v>0</v>
      </c>
      <c r="AC36">
        <f>SUMIF(ConfirmedRaw!$B:$B,$A36,ConfirmedRaw!AF:AF)</f>
        <v>0</v>
      </c>
      <c r="AD36">
        <f>SUMIF(ConfirmedRaw!$B:$B,$A36,ConfirmedRaw!AG:AG)</f>
        <v>0</v>
      </c>
      <c r="AE36">
        <f>SUMIF(ConfirmedRaw!$B:$B,$A36,ConfirmedRaw!AH:AH)</f>
        <v>0</v>
      </c>
      <c r="AF36">
        <f>SUMIF(ConfirmedRaw!$B:$B,$A36,ConfirmedRaw!AI:AI)</f>
        <v>0</v>
      </c>
      <c r="AG36">
        <f>SUMIF(ConfirmedRaw!$B:$B,$A36,ConfirmedRaw!AJ:AJ)</f>
        <v>0</v>
      </c>
      <c r="AH36">
        <f>SUMIF(ConfirmedRaw!$B:$B,$A36,ConfirmedRaw!AK:AK)</f>
        <v>0</v>
      </c>
      <c r="AI36">
        <f>SUMIF(ConfirmedRaw!$B:$B,$A36,ConfirmedRaw!AL:AL)</f>
        <v>0</v>
      </c>
      <c r="AJ36">
        <f>SUMIF(ConfirmedRaw!$B:$B,$A36,ConfirmedRaw!AM:AM)</f>
        <v>0</v>
      </c>
      <c r="AK36">
        <f>SUMIF(ConfirmedRaw!$B:$B,$A36,ConfirmedRaw!AN:AN)</f>
        <v>1</v>
      </c>
      <c r="AL36">
        <f>SUMIF(ConfirmedRaw!$B:$B,$A36,ConfirmedRaw!AO:AO)</f>
        <v>1</v>
      </c>
      <c r="AM36">
        <f>SUMIF(ConfirmedRaw!$B:$B,$A36,ConfirmedRaw!AP:AP)</f>
        <v>3</v>
      </c>
      <c r="AN36">
        <f>SUMIF(ConfirmedRaw!$B:$B,$A36,ConfirmedRaw!AQ:AQ)</f>
        <v>3</v>
      </c>
      <c r="AO36">
        <f>SUMIF(ConfirmedRaw!$B:$B,$A36,ConfirmedRaw!AR:AR)</f>
        <v>3</v>
      </c>
      <c r="AP36">
        <f>SUMIF(ConfirmedRaw!$B:$B,$A36,ConfirmedRaw!AS:AS)</f>
        <v>3</v>
      </c>
      <c r="AQ36">
        <f>SUMIF(ConfirmedRaw!$B:$B,$A36,ConfirmedRaw!AT:AT)</f>
        <v>3</v>
      </c>
      <c r="AR36">
        <f>SUMIF(ConfirmedRaw!$B:$B,$A36,ConfirmedRaw!AU:AU)</f>
        <v>4</v>
      </c>
      <c r="AS36">
        <f>SUMIF(ConfirmedRaw!$B:$B,$A36,ConfirmedRaw!AV:AV)</f>
        <v>6</v>
      </c>
      <c r="AT36">
        <f>SUMIF(ConfirmedRaw!$B:$B,$A36,ConfirmedRaw!AW:AW)</f>
        <v>9</v>
      </c>
      <c r="AU36">
        <f>SUMIF(ConfirmedRaw!$B:$B,$A36,ConfirmedRaw!AX:AX)</f>
        <v>9</v>
      </c>
      <c r="AV36">
        <f>SUMIF(ConfirmedRaw!$B:$B,$A36,ConfirmedRaw!AY:AY)</f>
        <v>15</v>
      </c>
      <c r="AW36">
        <f>SUMIF(ConfirmedRaw!$B:$B,$A36,ConfirmedRaw!AZ:AZ)</f>
        <v>15</v>
      </c>
      <c r="AX36">
        <f>SUMIF(ConfirmedRaw!$B:$B,$A36,ConfirmedRaw!BA:BA)</f>
        <v>25</v>
      </c>
      <c r="AY36">
        <f>SUMIF(ConfirmedRaw!$B:$B,$A36,ConfirmedRaw!BB:BB)</f>
        <v>45</v>
      </c>
      <c r="AZ36">
        <f>SUMIF(ConfirmedRaw!$B:$B,$A36,ConfirmedRaw!BC:BC)</f>
        <v>49</v>
      </c>
      <c r="BA36">
        <f>SUMIF(ConfirmedRaw!$B:$B,$A36,ConfirmedRaw!BD:BD)</f>
        <v>89</v>
      </c>
      <c r="BB36">
        <f>SUMIF(ConfirmedRaw!$B:$B,$A36,ConfirmedRaw!BE:BE)</f>
        <v>123</v>
      </c>
      <c r="BC36">
        <f>SUMIF(ConfirmedRaw!$B:$B,$A36,ConfirmedRaw!BF:BF)</f>
        <v>131</v>
      </c>
      <c r="BD36">
        <f>SUMIF(ConfirmedRaw!$B:$B,$A36,ConfirmedRaw!BG:BG)</f>
        <v>158</v>
      </c>
      <c r="BE36">
        <f>SUMIF(ConfirmedRaw!$B:$B,$A36,ConfirmedRaw!BH:BH)</f>
        <v>184</v>
      </c>
      <c r="BF36">
        <f>SUMIF(ConfirmedRaw!$B:$B,$A36,ConfirmedRaw!BI:BI)</f>
        <v>260</v>
      </c>
      <c r="BG36">
        <f>SUMIF(ConfirmedRaw!$B:$B,$A36,ConfirmedRaw!BJ:BJ)</f>
        <v>277</v>
      </c>
      <c r="BH36">
        <f>SUMIF(ConfirmedRaw!$B:$B,$A36,ConfirmedRaw!BK:BK)</f>
        <v>308</v>
      </c>
      <c r="BI36">
        <f>SUMIF(ConfirmedRaw!$B:$B,$A36,ConfirmedRaw!BL:BL)</f>
        <v>0</v>
      </c>
      <c r="BJ36">
        <f>SUMIF(ConfirmedRaw!$B:$B,$A36,ConfirmedRaw!BM:BM)</f>
        <v>0</v>
      </c>
      <c r="BK36">
        <f>SUMIF(ConfirmedRaw!$B:$B,$A36,ConfirmedRaw!BN:BN)</f>
        <v>0</v>
      </c>
      <c r="BL36">
        <f>SUMIF(ConfirmedRaw!$B:$B,$A36,ConfirmedRaw!BO:BO)</f>
        <v>0</v>
      </c>
      <c r="BM36">
        <f>SUMIF(ConfirmedRaw!$B:$B,$A36,ConfirmedRaw!BP:BP)</f>
        <v>0</v>
      </c>
      <c r="BN36">
        <f>SUMIF(ConfirmedRaw!$B:$B,$A36,ConfirmedRaw!BQ:BQ)</f>
        <v>0</v>
      </c>
      <c r="BO36">
        <f>SUMIF(ConfirmedRaw!$B:$B,$A36,ConfirmedRaw!BR:BR)</f>
        <v>0</v>
      </c>
      <c r="BP36">
        <f>SUMIF(ConfirmedRaw!$B:$B,$A36,ConfirmedRaw!BS:BS)</f>
        <v>0</v>
      </c>
      <c r="BQ36">
        <f>SUMIF(ConfirmedRaw!$B:$B,$A36,ConfirmedRaw!BT:BT)</f>
        <v>0</v>
      </c>
      <c r="BR36">
        <f>SUMIF(ConfirmedRaw!$B:$B,$A36,ConfirmedRaw!BU:BU)</f>
        <v>0</v>
      </c>
      <c r="BS36">
        <f>SUMIF(ConfirmedRaw!$B:$B,$A36,ConfirmedRaw!BV:BV)</f>
        <v>0</v>
      </c>
      <c r="BT36">
        <f>SUMIF(ConfirmedRaw!$B:$B,$A36,ConfirmedRaw!BW:BW)</f>
        <v>0</v>
      </c>
    </row>
    <row r="37" spans="1:72" ht="15" thickBot="1" x14ac:dyDescent="0.35">
      <c r="A37" s="4" t="s">
        <v>113</v>
      </c>
      <c r="B37">
        <f>SUMIF(ConfirmedRaw!$B:$B,$A37,ConfirmedRaw!E:E)</f>
        <v>0</v>
      </c>
      <c r="C37">
        <f>SUMIF(ConfirmedRaw!$B:$B,$A37,ConfirmedRaw!F:F)</f>
        <v>0</v>
      </c>
      <c r="D37">
        <f>SUMIF(ConfirmedRaw!$B:$B,$A37,ConfirmedRaw!G:G)</f>
        <v>0</v>
      </c>
      <c r="E37">
        <f>SUMIF(ConfirmedRaw!$B:$B,$A37,ConfirmedRaw!H:H)</f>
        <v>0</v>
      </c>
      <c r="F37">
        <f>SUMIF(ConfirmedRaw!$B:$B,$A37,ConfirmedRaw!I:I)</f>
        <v>0</v>
      </c>
      <c r="G37">
        <f>SUMIF(ConfirmedRaw!$B:$B,$A37,ConfirmedRaw!J:J)</f>
        <v>0</v>
      </c>
      <c r="H37">
        <f>SUMIF(ConfirmedRaw!$B:$B,$A37,ConfirmedRaw!K:K)</f>
        <v>0</v>
      </c>
      <c r="I37">
        <f>SUMIF(ConfirmedRaw!$B:$B,$A37,ConfirmedRaw!L:L)</f>
        <v>0</v>
      </c>
      <c r="J37">
        <f>SUMIF(ConfirmedRaw!$B:$B,$A37,ConfirmedRaw!M:M)</f>
        <v>0</v>
      </c>
      <c r="K37">
        <f>SUMIF(ConfirmedRaw!$B:$B,$A37,ConfirmedRaw!N:N)</f>
        <v>0</v>
      </c>
      <c r="L37">
        <f>SUMIF(ConfirmedRaw!$B:$B,$A37,ConfirmedRaw!O:O)</f>
        <v>0</v>
      </c>
      <c r="M37">
        <f>SUMIF(ConfirmedRaw!$B:$B,$A37,ConfirmedRaw!P:P)</f>
        <v>0</v>
      </c>
      <c r="N37">
        <f>SUMIF(ConfirmedRaw!$B:$B,$A37,ConfirmedRaw!Q:Q)</f>
        <v>0</v>
      </c>
      <c r="O37">
        <f>SUMIF(ConfirmedRaw!$B:$B,$A37,ConfirmedRaw!R:R)</f>
        <v>0</v>
      </c>
      <c r="P37">
        <f>SUMIF(ConfirmedRaw!$B:$B,$A37,ConfirmedRaw!S:S)</f>
        <v>0</v>
      </c>
      <c r="Q37">
        <f>SUMIF(ConfirmedRaw!$B:$B,$A37,ConfirmedRaw!T:T)</f>
        <v>0</v>
      </c>
      <c r="R37">
        <f>SUMIF(ConfirmedRaw!$B:$B,$A37,ConfirmedRaw!U:U)</f>
        <v>0</v>
      </c>
      <c r="S37">
        <f>SUMIF(ConfirmedRaw!$B:$B,$A37,ConfirmedRaw!V:V)</f>
        <v>0</v>
      </c>
      <c r="T37">
        <f>SUMIF(ConfirmedRaw!$B:$B,$A37,ConfirmedRaw!W:W)</f>
        <v>0</v>
      </c>
      <c r="U37">
        <f>SUMIF(ConfirmedRaw!$B:$B,$A37,ConfirmedRaw!X:X)</f>
        <v>0</v>
      </c>
      <c r="V37">
        <f>SUMIF(ConfirmedRaw!$B:$B,$A37,ConfirmedRaw!Y:Y)</f>
        <v>0</v>
      </c>
      <c r="W37">
        <f>SUMIF(ConfirmedRaw!$B:$B,$A37,ConfirmedRaw!Z:Z)</f>
        <v>0</v>
      </c>
      <c r="X37">
        <f>SUMIF(ConfirmedRaw!$B:$B,$A37,ConfirmedRaw!AA:AA)</f>
        <v>0</v>
      </c>
      <c r="Y37">
        <f>SUMIF(ConfirmedRaw!$B:$B,$A37,ConfirmedRaw!AB:AB)</f>
        <v>0</v>
      </c>
      <c r="Z37">
        <f>SUMIF(ConfirmedRaw!$B:$B,$A37,ConfirmedRaw!AC:AC)</f>
        <v>0</v>
      </c>
      <c r="AA37">
        <f>SUMIF(ConfirmedRaw!$B:$B,$A37,ConfirmedRaw!AD:AD)</f>
        <v>0</v>
      </c>
      <c r="AB37">
        <f>SUMIF(ConfirmedRaw!$B:$B,$A37,ConfirmedRaw!AE:AE)</f>
        <v>0</v>
      </c>
      <c r="AC37">
        <f>SUMIF(ConfirmedRaw!$B:$B,$A37,ConfirmedRaw!AF:AF)</f>
        <v>0</v>
      </c>
      <c r="AD37">
        <f>SUMIF(ConfirmedRaw!$B:$B,$A37,ConfirmedRaw!AG:AG)</f>
        <v>0</v>
      </c>
      <c r="AE37">
        <f>SUMIF(ConfirmedRaw!$B:$B,$A37,ConfirmedRaw!AH:AH)</f>
        <v>0</v>
      </c>
      <c r="AF37">
        <f>SUMIF(ConfirmedRaw!$B:$B,$A37,ConfirmedRaw!AI:AI)</f>
        <v>0</v>
      </c>
      <c r="AG37">
        <f>SUMIF(ConfirmedRaw!$B:$B,$A37,ConfirmedRaw!AJ:AJ)</f>
        <v>0</v>
      </c>
      <c r="AH37">
        <f>SUMIF(ConfirmedRaw!$B:$B,$A37,ConfirmedRaw!AK:AK)</f>
        <v>0</v>
      </c>
      <c r="AI37">
        <f>SUMIF(ConfirmedRaw!$B:$B,$A37,ConfirmedRaw!AL:AL)</f>
        <v>0</v>
      </c>
      <c r="AJ37">
        <f>SUMIF(ConfirmedRaw!$B:$B,$A37,ConfirmedRaw!AM:AM)</f>
        <v>0</v>
      </c>
      <c r="AK37">
        <f>SUMIF(ConfirmedRaw!$B:$B,$A37,ConfirmedRaw!AN:AN)</f>
        <v>0</v>
      </c>
      <c r="AL37">
        <f>SUMIF(ConfirmedRaw!$B:$B,$A37,ConfirmedRaw!AO:AO)</f>
        <v>0</v>
      </c>
      <c r="AM37">
        <f>SUMIF(ConfirmedRaw!$B:$B,$A37,ConfirmedRaw!AP:AP)</f>
        <v>0</v>
      </c>
      <c r="AN37">
        <f>SUMIF(ConfirmedRaw!$B:$B,$A37,ConfirmedRaw!AQ:AQ)</f>
        <v>0</v>
      </c>
      <c r="AO37">
        <f>SUMIF(ConfirmedRaw!$B:$B,$A37,ConfirmedRaw!AR:AR)</f>
        <v>0</v>
      </c>
      <c r="AP37">
        <f>SUMIF(ConfirmedRaw!$B:$B,$A37,ConfirmedRaw!AS:AS)</f>
        <v>1</v>
      </c>
      <c r="AQ37">
        <f>SUMIF(ConfirmedRaw!$B:$B,$A37,ConfirmedRaw!AT:AT)</f>
        <v>1</v>
      </c>
      <c r="AR37">
        <f>SUMIF(ConfirmedRaw!$B:$B,$A37,ConfirmedRaw!AU:AU)</f>
        <v>1</v>
      </c>
      <c r="AS37">
        <f>SUMIF(ConfirmedRaw!$B:$B,$A37,ConfirmedRaw!AV:AV)</f>
        <v>5</v>
      </c>
      <c r="AT37">
        <f>SUMIF(ConfirmedRaw!$B:$B,$A37,ConfirmedRaw!AW:AW)</f>
        <v>5</v>
      </c>
      <c r="AU37">
        <f>SUMIF(ConfirmedRaw!$B:$B,$A37,ConfirmedRaw!AX:AX)</f>
        <v>5</v>
      </c>
      <c r="AV37">
        <f>SUMIF(ConfirmedRaw!$B:$B,$A37,ConfirmedRaw!AY:AY)</f>
        <v>11</v>
      </c>
      <c r="AW37">
        <f>SUMIF(ConfirmedRaw!$B:$B,$A37,ConfirmedRaw!AZ:AZ)</f>
        <v>15</v>
      </c>
      <c r="AX37">
        <f>SUMIF(ConfirmedRaw!$B:$B,$A37,ConfirmedRaw!BA:BA)</f>
        <v>20</v>
      </c>
      <c r="AY37">
        <f>SUMIF(ConfirmedRaw!$B:$B,$A37,ConfirmedRaw!BB:BB)</f>
        <v>21</v>
      </c>
      <c r="AZ37">
        <f>SUMIF(ConfirmedRaw!$B:$B,$A37,ConfirmedRaw!BC:BC)</f>
        <v>45</v>
      </c>
      <c r="BA37">
        <f>SUMIF(ConfirmedRaw!$B:$B,$A37,ConfirmedRaw!BD:BD)</f>
        <v>86</v>
      </c>
      <c r="BB37">
        <f>SUMIF(ConfirmedRaw!$B:$B,$A37,ConfirmedRaw!BE:BE)</f>
        <v>103</v>
      </c>
      <c r="BC37">
        <f>SUMIF(ConfirmedRaw!$B:$B,$A37,ConfirmedRaw!BF:BF)</f>
        <v>103</v>
      </c>
      <c r="BD37">
        <f>SUMIF(ConfirmedRaw!$B:$B,$A37,ConfirmedRaw!BG:BG)</f>
        <v>118</v>
      </c>
      <c r="BE37">
        <f>SUMIF(ConfirmedRaw!$B:$B,$A37,ConfirmedRaw!BH:BH)</f>
        <v>171</v>
      </c>
      <c r="BF37">
        <f>SUMIF(ConfirmedRaw!$B:$B,$A37,ConfirmedRaw!BI:BI)</f>
        <v>171</v>
      </c>
      <c r="BG37">
        <f>SUMIF(ConfirmedRaw!$B:$B,$A37,ConfirmedRaw!BJ:BJ)</f>
        <v>274</v>
      </c>
      <c r="BH37">
        <f>SUMIF(ConfirmedRaw!$B:$B,$A37,ConfirmedRaw!BK:BK)</f>
        <v>344</v>
      </c>
      <c r="BI37">
        <f>SUMIF(ConfirmedRaw!$B:$B,$A37,ConfirmedRaw!BL:BL)</f>
        <v>0</v>
      </c>
      <c r="BJ37">
        <f>SUMIF(ConfirmedRaw!$B:$B,$A37,ConfirmedRaw!BM:BM)</f>
        <v>0</v>
      </c>
      <c r="BK37">
        <f>SUMIF(ConfirmedRaw!$B:$B,$A37,ConfirmedRaw!BN:BN)</f>
        <v>0</v>
      </c>
      <c r="BL37">
        <f>SUMIF(ConfirmedRaw!$B:$B,$A37,ConfirmedRaw!BO:BO)</f>
        <v>0</v>
      </c>
      <c r="BM37">
        <f>SUMIF(ConfirmedRaw!$B:$B,$A37,ConfirmedRaw!BP:BP)</f>
        <v>0</v>
      </c>
      <c r="BN37">
        <f>SUMIF(ConfirmedRaw!$B:$B,$A37,ConfirmedRaw!BQ:BQ)</f>
        <v>0</v>
      </c>
      <c r="BO37">
        <f>SUMIF(ConfirmedRaw!$B:$B,$A37,ConfirmedRaw!BR:BR)</f>
        <v>0</v>
      </c>
      <c r="BP37">
        <f>SUMIF(ConfirmedRaw!$B:$B,$A37,ConfirmedRaw!BS:BS)</f>
        <v>0</v>
      </c>
      <c r="BQ37">
        <f>SUMIF(ConfirmedRaw!$B:$B,$A37,ConfirmedRaw!BT:BT)</f>
        <v>0</v>
      </c>
      <c r="BR37">
        <f>SUMIF(ConfirmedRaw!$B:$B,$A37,ConfirmedRaw!BU:BU)</f>
        <v>0</v>
      </c>
      <c r="BS37">
        <f>SUMIF(ConfirmedRaw!$B:$B,$A37,ConfirmedRaw!BV:BV)</f>
        <v>0</v>
      </c>
      <c r="BT37">
        <f>SUMIF(ConfirmedRaw!$B:$B,$A37,ConfirmedRaw!BW:BW)</f>
        <v>0</v>
      </c>
    </row>
    <row r="38" spans="1:72" ht="15" thickBot="1" x14ac:dyDescent="0.35">
      <c r="A38" s="4" t="s">
        <v>55</v>
      </c>
      <c r="B38">
        <f>SUMIF(ConfirmedRaw!$B:$B,$A38,ConfirmedRaw!E:E)</f>
        <v>0</v>
      </c>
      <c r="C38">
        <f>SUMIF(ConfirmedRaw!$B:$B,$A38,ConfirmedRaw!F:F)</f>
        <v>0</v>
      </c>
      <c r="D38">
        <f>SUMIF(ConfirmedRaw!$B:$B,$A38,ConfirmedRaw!G:G)</f>
        <v>0</v>
      </c>
      <c r="E38">
        <f>SUMIF(ConfirmedRaw!$B:$B,$A38,ConfirmedRaw!H:H)</f>
        <v>0</v>
      </c>
      <c r="F38">
        <f>SUMIF(ConfirmedRaw!$B:$B,$A38,ConfirmedRaw!I:I)</f>
        <v>0</v>
      </c>
      <c r="G38">
        <f>SUMIF(ConfirmedRaw!$B:$B,$A38,ConfirmedRaw!J:J)</f>
        <v>0</v>
      </c>
      <c r="H38">
        <f>SUMIF(ConfirmedRaw!$B:$B,$A38,ConfirmedRaw!K:K)</f>
        <v>0</v>
      </c>
      <c r="I38">
        <f>SUMIF(ConfirmedRaw!$B:$B,$A38,ConfirmedRaw!L:L)</f>
        <v>4</v>
      </c>
      <c r="J38">
        <f>SUMIF(ConfirmedRaw!$B:$B,$A38,ConfirmedRaw!M:M)</f>
        <v>4</v>
      </c>
      <c r="K38">
        <f>SUMIF(ConfirmedRaw!$B:$B,$A38,ConfirmedRaw!N:N)</f>
        <v>4</v>
      </c>
      <c r="L38">
        <f>SUMIF(ConfirmedRaw!$B:$B,$A38,ConfirmedRaw!O:O)</f>
        <v>4</v>
      </c>
      <c r="M38">
        <f>SUMIF(ConfirmedRaw!$B:$B,$A38,ConfirmedRaw!P:P)</f>
        <v>5</v>
      </c>
      <c r="N38">
        <f>SUMIF(ConfirmedRaw!$B:$B,$A38,ConfirmedRaw!Q:Q)</f>
        <v>5</v>
      </c>
      <c r="O38">
        <f>SUMIF(ConfirmedRaw!$B:$B,$A38,ConfirmedRaw!R:R)</f>
        <v>5</v>
      </c>
      <c r="P38">
        <f>SUMIF(ConfirmedRaw!$B:$B,$A38,ConfirmedRaw!S:S)</f>
        <v>5</v>
      </c>
      <c r="Q38">
        <f>SUMIF(ConfirmedRaw!$B:$B,$A38,ConfirmedRaw!T:T)</f>
        <v>5</v>
      </c>
      <c r="R38">
        <f>SUMIF(ConfirmedRaw!$B:$B,$A38,ConfirmedRaw!U:U)</f>
        <v>5</v>
      </c>
      <c r="S38">
        <f>SUMIF(ConfirmedRaw!$B:$B,$A38,ConfirmedRaw!V:V)</f>
        <v>7</v>
      </c>
      <c r="T38">
        <f>SUMIF(ConfirmedRaw!$B:$B,$A38,ConfirmedRaw!W:W)</f>
        <v>7</v>
      </c>
      <c r="U38">
        <f>SUMIF(ConfirmedRaw!$B:$B,$A38,ConfirmedRaw!X:X)</f>
        <v>8</v>
      </c>
      <c r="V38">
        <f>SUMIF(ConfirmedRaw!$B:$B,$A38,ConfirmedRaw!Y:Y)</f>
        <v>8</v>
      </c>
      <c r="W38">
        <f>SUMIF(ConfirmedRaw!$B:$B,$A38,ConfirmedRaw!Z:Z)</f>
        <v>8</v>
      </c>
      <c r="X38">
        <f>SUMIF(ConfirmedRaw!$B:$B,$A38,ConfirmedRaw!AA:AA)</f>
        <v>8</v>
      </c>
      <c r="Y38">
        <f>SUMIF(ConfirmedRaw!$B:$B,$A38,ConfirmedRaw!AB:AB)</f>
        <v>8</v>
      </c>
      <c r="Z38">
        <f>SUMIF(ConfirmedRaw!$B:$B,$A38,ConfirmedRaw!AC:AC)</f>
        <v>8</v>
      </c>
      <c r="AA38">
        <f>SUMIF(ConfirmedRaw!$B:$B,$A38,ConfirmedRaw!AD:AD)</f>
        <v>9</v>
      </c>
      <c r="AB38">
        <f>SUMIF(ConfirmedRaw!$B:$B,$A38,ConfirmedRaw!AE:AE)</f>
        <v>9</v>
      </c>
      <c r="AC38">
        <f>SUMIF(ConfirmedRaw!$B:$B,$A38,ConfirmedRaw!AF:AF)</f>
        <v>9</v>
      </c>
      <c r="AD38">
        <f>SUMIF(ConfirmedRaw!$B:$B,$A38,ConfirmedRaw!AG:AG)</f>
        <v>9</v>
      </c>
      <c r="AE38">
        <f>SUMIF(ConfirmedRaw!$B:$B,$A38,ConfirmedRaw!AH:AH)</f>
        <v>9</v>
      </c>
      <c r="AF38">
        <f>SUMIF(ConfirmedRaw!$B:$B,$A38,ConfirmedRaw!AI:AI)</f>
        <v>9</v>
      </c>
      <c r="AG38">
        <f>SUMIF(ConfirmedRaw!$B:$B,$A38,ConfirmedRaw!AJ:AJ)</f>
        <v>13</v>
      </c>
      <c r="AH38">
        <f>SUMIF(ConfirmedRaw!$B:$B,$A38,ConfirmedRaw!AK:AK)</f>
        <v>13</v>
      </c>
      <c r="AI38">
        <f>SUMIF(ConfirmedRaw!$B:$B,$A38,ConfirmedRaw!AL:AL)</f>
        <v>13</v>
      </c>
      <c r="AJ38">
        <f>SUMIF(ConfirmedRaw!$B:$B,$A38,ConfirmedRaw!AM:AM)</f>
        <v>13</v>
      </c>
      <c r="AK38">
        <f>SUMIF(ConfirmedRaw!$B:$B,$A38,ConfirmedRaw!AN:AN)</f>
        <v>13</v>
      </c>
      <c r="AL38">
        <f>SUMIF(ConfirmedRaw!$B:$B,$A38,ConfirmedRaw!AO:AO)</f>
        <v>13</v>
      </c>
      <c r="AM38">
        <f>SUMIF(ConfirmedRaw!$B:$B,$A38,ConfirmedRaw!AP:AP)</f>
        <v>19</v>
      </c>
      <c r="AN38">
        <f>SUMIF(ConfirmedRaw!$B:$B,$A38,ConfirmedRaw!AQ:AQ)</f>
        <v>21</v>
      </c>
      <c r="AO38">
        <f>SUMIF(ConfirmedRaw!$B:$B,$A38,ConfirmedRaw!AR:AR)</f>
        <v>21</v>
      </c>
      <c r="AP38">
        <f>SUMIF(ConfirmedRaw!$B:$B,$A38,ConfirmedRaw!AS:AS)</f>
        <v>21</v>
      </c>
      <c r="AQ38">
        <f>SUMIF(ConfirmedRaw!$B:$B,$A38,ConfirmedRaw!AT:AT)</f>
        <v>27</v>
      </c>
      <c r="AR38">
        <f>SUMIF(ConfirmedRaw!$B:$B,$A38,ConfirmedRaw!AU:AU)</f>
        <v>27</v>
      </c>
      <c r="AS38">
        <f>SUMIF(ConfirmedRaw!$B:$B,$A38,ConfirmedRaw!AV:AV)</f>
        <v>29</v>
      </c>
      <c r="AT38">
        <f>SUMIF(ConfirmedRaw!$B:$B,$A38,ConfirmedRaw!AW:AW)</f>
        <v>29</v>
      </c>
      <c r="AU38">
        <f>SUMIF(ConfirmedRaw!$B:$B,$A38,ConfirmedRaw!AX:AX)</f>
        <v>45</v>
      </c>
      <c r="AV38">
        <f>SUMIF(ConfirmedRaw!$B:$B,$A38,ConfirmedRaw!AY:AY)</f>
        <v>45</v>
      </c>
      <c r="AW38">
        <f>SUMIF(ConfirmedRaw!$B:$B,$A38,ConfirmedRaw!AZ:AZ)</f>
        <v>45</v>
      </c>
      <c r="AX38">
        <f>SUMIF(ConfirmedRaw!$B:$B,$A38,ConfirmedRaw!BA:BA)</f>
        <v>74</v>
      </c>
      <c r="AY38">
        <f>SUMIF(ConfirmedRaw!$B:$B,$A38,ConfirmedRaw!BB:BB)</f>
        <v>74</v>
      </c>
      <c r="AZ38">
        <f>SUMIF(ConfirmedRaw!$B:$B,$A38,ConfirmedRaw!BC:BC)</f>
        <v>85</v>
      </c>
      <c r="BA38">
        <f>SUMIF(ConfirmedRaw!$B:$B,$A38,ConfirmedRaw!BD:BD)</f>
        <v>85</v>
      </c>
      <c r="BB38">
        <f>SUMIF(ConfirmedRaw!$B:$B,$A38,ConfirmedRaw!BE:BE)</f>
        <v>85</v>
      </c>
      <c r="BC38">
        <f>SUMIF(ConfirmedRaw!$B:$B,$A38,ConfirmedRaw!BF:BF)</f>
        <v>98</v>
      </c>
      <c r="BD38">
        <f>SUMIF(ConfirmedRaw!$B:$B,$A38,ConfirmedRaw!BG:BG)</f>
        <v>98</v>
      </c>
      <c r="BE38">
        <f>SUMIF(ConfirmedRaw!$B:$B,$A38,ConfirmedRaw!BH:BH)</f>
        <v>98</v>
      </c>
      <c r="BF38">
        <f>SUMIF(ConfirmedRaw!$B:$B,$A38,ConfirmedRaw!BI:BI)</f>
        <v>113</v>
      </c>
      <c r="BG38">
        <f>SUMIF(ConfirmedRaw!$B:$B,$A38,ConfirmedRaw!BJ:BJ)</f>
        <v>140</v>
      </c>
      <c r="BH38">
        <f>SUMIF(ConfirmedRaw!$B:$B,$A38,ConfirmedRaw!BK:BK)</f>
        <v>140</v>
      </c>
      <c r="BI38">
        <f>SUMIF(ConfirmedRaw!$B:$B,$A38,ConfirmedRaw!BL:BL)</f>
        <v>0</v>
      </c>
      <c r="BJ38">
        <f>SUMIF(ConfirmedRaw!$B:$B,$A38,ConfirmedRaw!BM:BM)</f>
        <v>0</v>
      </c>
      <c r="BK38">
        <f>SUMIF(ConfirmedRaw!$B:$B,$A38,ConfirmedRaw!BN:BN)</f>
        <v>0</v>
      </c>
      <c r="BL38">
        <f>SUMIF(ConfirmedRaw!$B:$B,$A38,ConfirmedRaw!BO:BO)</f>
        <v>0</v>
      </c>
      <c r="BM38">
        <f>SUMIF(ConfirmedRaw!$B:$B,$A38,ConfirmedRaw!BP:BP)</f>
        <v>0</v>
      </c>
      <c r="BN38">
        <f>SUMIF(ConfirmedRaw!$B:$B,$A38,ConfirmedRaw!BQ:BQ)</f>
        <v>0</v>
      </c>
      <c r="BO38">
        <f>SUMIF(ConfirmedRaw!$B:$B,$A38,ConfirmedRaw!BR:BR)</f>
        <v>0</v>
      </c>
      <c r="BP38">
        <f>SUMIF(ConfirmedRaw!$B:$B,$A38,ConfirmedRaw!BS:BS)</f>
        <v>0</v>
      </c>
      <c r="BQ38">
        <f>SUMIF(ConfirmedRaw!$B:$B,$A38,ConfirmedRaw!BT:BT)</f>
        <v>0</v>
      </c>
      <c r="BR38">
        <f>SUMIF(ConfirmedRaw!$B:$B,$A38,ConfirmedRaw!BU:BU)</f>
        <v>0</v>
      </c>
      <c r="BS38">
        <f>SUMIF(ConfirmedRaw!$B:$B,$A38,ConfirmedRaw!BV:BV)</f>
        <v>0</v>
      </c>
      <c r="BT38">
        <f>SUMIF(ConfirmedRaw!$B:$B,$A38,ConfirmedRaw!BW:BW)</f>
        <v>0</v>
      </c>
    </row>
    <row r="39" spans="1:72" ht="15" thickBot="1" x14ac:dyDescent="0.35">
      <c r="A39" s="4" t="s">
        <v>57</v>
      </c>
      <c r="B39">
        <f>SUMIF(ConfirmedRaw!$B:$B,$A39,ConfirmedRaw!E:E)</f>
        <v>0</v>
      </c>
      <c r="C39">
        <f>SUMIF(ConfirmedRaw!$B:$B,$A39,ConfirmedRaw!F:F)</f>
        <v>0</v>
      </c>
      <c r="D39">
        <f>SUMIF(ConfirmedRaw!$B:$B,$A39,ConfirmedRaw!G:G)</f>
        <v>0</v>
      </c>
      <c r="E39">
        <f>SUMIF(ConfirmedRaw!$B:$B,$A39,ConfirmedRaw!H:H)</f>
        <v>0</v>
      </c>
      <c r="F39">
        <f>SUMIF(ConfirmedRaw!$B:$B,$A39,ConfirmedRaw!I:I)</f>
        <v>0</v>
      </c>
      <c r="G39">
        <f>SUMIF(ConfirmedRaw!$B:$B,$A39,ConfirmedRaw!J:J)</f>
        <v>0</v>
      </c>
      <c r="H39">
        <f>SUMIF(ConfirmedRaw!$B:$B,$A39,ConfirmedRaw!K:K)</f>
        <v>0</v>
      </c>
      <c r="I39">
        <f>SUMIF(ConfirmedRaw!$B:$B,$A39,ConfirmedRaw!L:L)</f>
        <v>0</v>
      </c>
      <c r="J39">
        <f>SUMIF(ConfirmedRaw!$B:$B,$A39,ConfirmedRaw!M:M)</f>
        <v>1</v>
      </c>
      <c r="K39">
        <f>SUMIF(ConfirmedRaw!$B:$B,$A39,ConfirmedRaw!N:N)</f>
        <v>1</v>
      </c>
      <c r="L39">
        <f>SUMIF(ConfirmedRaw!$B:$B,$A39,ConfirmedRaw!O:O)</f>
        <v>1</v>
      </c>
      <c r="M39">
        <f>SUMIF(ConfirmedRaw!$B:$B,$A39,ConfirmedRaw!P:P)</f>
        <v>2</v>
      </c>
      <c r="N39">
        <f>SUMIF(ConfirmedRaw!$B:$B,$A39,ConfirmedRaw!Q:Q)</f>
        <v>3</v>
      </c>
      <c r="O39">
        <f>SUMIF(ConfirmedRaw!$B:$B,$A39,ConfirmedRaw!R:R)</f>
        <v>3</v>
      </c>
      <c r="P39">
        <f>SUMIF(ConfirmedRaw!$B:$B,$A39,ConfirmedRaw!S:S)</f>
        <v>3</v>
      </c>
      <c r="Q39">
        <f>SUMIF(ConfirmedRaw!$B:$B,$A39,ConfirmedRaw!T:T)</f>
        <v>3</v>
      </c>
      <c r="R39">
        <f>SUMIF(ConfirmedRaw!$B:$B,$A39,ConfirmedRaw!U:U)</f>
        <v>3</v>
      </c>
      <c r="S39">
        <f>SUMIF(ConfirmedRaw!$B:$B,$A39,ConfirmedRaw!V:V)</f>
        <v>3</v>
      </c>
      <c r="T39">
        <f>SUMIF(ConfirmedRaw!$B:$B,$A39,ConfirmedRaw!W:W)</f>
        <v>3</v>
      </c>
      <c r="U39">
        <f>SUMIF(ConfirmedRaw!$B:$B,$A39,ConfirmedRaw!X:X)</f>
        <v>3</v>
      </c>
      <c r="V39">
        <f>SUMIF(ConfirmedRaw!$B:$B,$A39,ConfirmedRaw!Y:Y)</f>
        <v>3</v>
      </c>
      <c r="W39">
        <f>SUMIF(ConfirmedRaw!$B:$B,$A39,ConfirmedRaw!Z:Z)</f>
        <v>3</v>
      </c>
      <c r="X39">
        <f>SUMIF(ConfirmedRaw!$B:$B,$A39,ConfirmedRaw!AA:AA)</f>
        <v>3</v>
      </c>
      <c r="Y39">
        <f>SUMIF(ConfirmedRaw!$B:$B,$A39,ConfirmedRaw!AB:AB)</f>
        <v>3</v>
      </c>
      <c r="Z39">
        <f>SUMIF(ConfirmedRaw!$B:$B,$A39,ConfirmedRaw!AC:AC)</f>
        <v>3</v>
      </c>
      <c r="AA39">
        <f>SUMIF(ConfirmedRaw!$B:$B,$A39,ConfirmedRaw!AD:AD)</f>
        <v>3</v>
      </c>
      <c r="AB39">
        <f>SUMIF(ConfirmedRaw!$B:$B,$A39,ConfirmedRaw!AE:AE)</f>
        <v>3</v>
      </c>
      <c r="AC39">
        <f>SUMIF(ConfirmedRaw!$B:$B,$A39,ConfirmedRaw!AF:AF)</f>
        <v>3</v>
      </c>
      <c r="AD39">
        <f>SUMIF(ConfirmedRaw!$B:$B,$A39,ConfirmedRaw!AG:AG)</f>
        <v>3</v>
      </c>
      <c r="AE39">
        <f>SUMIF(ConfirmedRaw!$B:$B,$A39,ConfirmedRaw!AH:AH)</f>
        <v>3</v>
      </c>
      <c r="AF39">
        <f>SUMIF(ConfirmedRaw!$B:$B,$A39,ConfirmedRaw!AI:AI)</f>
        <v>3</v>
      </c>
      <c r="AG39">
        <f>SUMIF(ConfirmedRaw!$B:$B,$A39,ConfirmedRaw!AJ:AJ)</f>
        <v>3</v>
      </c>
      <c r="AH39">
        <f>SUMIF(ConfirmedRaw!$B:$B,$A39,ConfirmedRaw!AK:AK)</f>
        <v>3</v>
      </c>
      <c r="AI39">
        <f>SUMIF(ConfirmedRaw!$B:$B,$A39,ConfirmedRaw!AL:AL)</f>
        <v>3</v>
      </c>
      <c r="AJ39">
        <f>SUMIF(ConfirmedRaw!$B:$B,$A39,ConfirmedRaw!AM:AM)</f>
        <v>3</v>
      </c>
      <c r="AK39">
        <f>SUMIF(ConfirmedRaw!$B:$B,$A39,ConfirmedRaw!AN:AN)</f>
        <v>3</v>
      </c>
      <c r="AL39">
        <f>SUMIF(ConfirmedRaw!$B:$B,$A39,ConfirmedRaw!AO:AO)</f>
        <v>3</v>
      </c>
      <c r="AM39">
        <f>SUMIF(ConfirmedRaw!$B:$B,$A39,ConfirmedRaw!AP:AP)</f>
        <v>3</v>
      </c>
      <c r="AN39">
        <f>SUMIF(ConfirmedRaw!$B:$B,$A39,ConfirmedRaw!AQ:AQ)</f>
        <v>3</v>
      </c>
      <c r="AO39">
        <f>SUMIF(ConfirmedRaw!$B:$B,$A39,ConfirmedRaw!AR:AR)</f>
        <v>3</v>
      </c>
      <c r="AP39">
        <f>SUMIF(ConfirmedRaw!$B:$B,$A39,ConfirmedRaw!AS:AS)</f>
        <v>5</v>
      </c>
      <c r="AQ39">
        <f>SUMIF(ConfirmedRaw!$B:$B,$A39,ConfirmedRaw!AT:AT)</f>
        <v>5</v>
      </c>
      <c r="AR39">
        <f>SUMIF(ConfirmedRaw!$B:$B,$A39,ConfirmedRaw!AU:AU)</f>
        <v>28</v>
      </c>
      <c r="AS39">
        <f>SUMIF(ConfirmedRaw!$B:$B,$A39,ConfirmedRaw!AV:AV)</f>
        <v>30</v>
      </c>
      <c r="AT39">
        <f>SUMIF(ConfirmedRaw!$B:$B,$A39,ConfirmedRaw!AW:AW)</f>
        <v>31</v>
      </c>
      <c r="AU39">
        <f>SUMIF(ConfirmedRaw!$B:$B,$A39,ConfirmedRaw!AX:AX)</f>
        <v>34</v>
      </c>
      <c r="AV39">
        <f>SUMIF(ConfirmedRaw!$B:$B,$A39,ConfirmedRaw!AY:AY)</f>
        <v>39</v>
      </c>
      <c r="AW39">
        <f>SUMIF(ConfirmedRaw!$B:$B,$A39,ConfirmedRaw!AZ:AZ)</f>
        <v>43</v>
      </c>
      <c r="AX39">
        <f>SUMIF(ConfirmedRaw!$B:$B,$A39,ConfirmedRaw!BA:BA)</f>
        <v>56</v>
      </c>
      <c r="AY39">
        <f>SUMIF(ConfirmedRaw!$B:$B,$A39,ConfirmedRaw!BB:BB)</f>
        <v>62</v>
      </c>
      <c r="AZ39">
        <f>SUMIF(ConfirmedRaw!$B:$B,$A39,ConfirmedRaw!BC:BC)</f>
        <v>73</v>
      </c>
      <c r="BA39">
        <f>SUMIF(ConfirmedRaw!$B:$B,$A39,ConfirmedRaw!BD:BD)</f>
        <v>82</v>
      </c>
      <c r="BB39">
        <f>SUMIF(ConfirmedRaw!$B:$B,$A39,ConfirmedRaw!BE:BE)</f>
        <v>102</v>
      </c>
      <c r="BC39">
        <f>SUMIF(ConfirmedRaw!$B:$B,$A39,ConfirmedRaw!BF:BF)</f>
        <v>113</v>
      </c>
      <c r="BD39">
        <f>SUMIF(ConfirmedRaw!$B:$B,$A39,ConfirmedRaw!BG:BG)</f>
        <v>119</v>
      </c>
      <c r="BE39">
        <f>SUMIF(ConfirmedRaw!$B:$B,$A39,ConfirmedRaw!BH:BH)</f>
        <v>142</v>
      </c>
      <c r="BF39">
        <f>SUMIF(ConfirmedRaw!$B:$B,$A39,ConfirmedRaw!BI:BI)</f>
        <v>156</v>
      </c>
      <c r="BG39">
        <f>SUMIF(ConfirmedRaw!$B:$B,$A39,ConfirmedRaw!BJ:BJ)</f>
        <v>194</v>
      </c>
      <c r="BH39">
        <f>SUMIF(ConfirmedRaw!$B:$B,$A39,ConfirmedRaw!BK:BK)</f>
        <v>244</v>
      </c>
      <c r="BI39">
        <f>SUMIF(ConfirmedRaw!$B:$B,$A39,ConfirmedRaw!BL:BL)</f>
        <v>0</v>
      </c>
      <c r="BJ39">
        <f>SUMIF(ConfirmedRaw!$B:$B,$A39,ConfirmedRaw!BM:BM)</f>
        <v>0</v>
      </c>
      <c r="BK39">
        <f>SUMIF(ConfirmedRaw!$B:$B,$A39,ConfirmedRaw!BN:BN)</f>
        <v>0</v>
      </c>
      <c r="BL39">
        <f>SUMIF(ConfirmedRaw!$B:$B,$A39,ConfirmedRaw!BO:BO)</f>
        <v>0</v>
      </c>
      <c r="BM39">
        <f>SUMIF(ConfirmedRaw!$B:$B,$A39,ConfirmedRaw!BP:BP)</f>
        <v>0</v>
      </c>
      <c r="BN39">
        <f>SUMIF(ConfirmedRaw!$B:$B,$A39,ConfirmedRaw!BQ:BQ)</f>
        <v>0</v>
      </c>
      <c r="BO39">
        <f>SUMIF(ConfirmedRaw!$B:$B,$A39,ConfirmedRaw!BR:BR)</f>
        <v>0</v>
      </c>
      <c r="BP39">
        <f>SUMIF(ConfirmedRaw!$B:$B,$A39,ConfirmedRaw!BS:BS)</f>
        <v>0</v>
      </c>
      <c r="BQ39">
        <f>SUMIF(ConfirmedRaw!$B:$B,$A39,ConfirmedRaw!BT:BT)</f>
        <v>0</v>
      </c>
      <c r="BR39">
        <f>SUMIF(ConfirmedRaw!$B:$B,$A39,ConfirmedRaw!BU:BU)</f>
        <v>0</v>
      </c>
      <c r="BS39">
        <f>SUMIF(ConfirmedRaw!$B:$B,$A39,ConfirmedRaw!BV:BV)</f>
        <v>0</v>
      </c>
      <c r="BT39">
        <f>SUMIF(ConfirmedRaw!$B:$B,$A39,ConfirmedRaw!BW:BW)</f>
        <v>0</v>
      </c>
    </row>
    <row r="40" spans="1:72" ht="15" thickBot="1" x14ac:dyDescent="0.35">
      <c r="A40" s="4" t="s">
        <v>65</v>
      </c>
      <c r="B40">
        <f>SUMIF(ConfirmedRaw!$B:$B,$A40,ConfirmedRaw!E:E)</f>
        <v>0</v>
      </c>
      <c r="C40">
        <f>SUMIF(ConfirmedRaw!$B:$B,$A40,ConfirmedRaw!F:F)</f>
        <v>0</v>
      </c>
      <c r="D40">
        <f>SUMIF(ConfirmedRaw!$B:$B,$A40,ConfirmedRaw!G:G)</f>
        <v>0</v>
      </c>
      <c r="E40">
        <f>SUMIF(ConfirmedRaw!$B:$B,$A40,ConfirmedRaw!H:H)</f>
        <v>0</v>
      </c>
      <c r="F40">
        <f>SUMIF(ConfirmedRaw!$B:$B,$A40,ConfirmedRaw!I:I)</f>
        <v>0</v>
      </c>
      <c r="G40">
        <f>SUMIF(ConfirmedRaw!$B:$B,$A40,ConfirmedRaw!J:J)</f>
        <v>0</v>
      </c>
      <c r="H40">
        <f>SUMIF(ConfirmedRaw!$B:$B,$A40,ConfirmedRaw!K:K)</f>
        <v>0</v>
      </c>
      <c r="I40">
        <f>SUMIF(ConfirmedRaw!$B:$B,$A40,ConfirmedRaw!L:L)</f>
        <v>0</v>
      </c>
      <c r="J40">
        <f>SUMIF(ConfirmedRaw!$B:$B,$A40,ConfirmedRaw!M:M)</f>
        <v>0</v>
      </c>
      <c r="K40">
        <f>SUMIF(ConfirmedRaw!$B:$B,$A40,ConfirmedRaw!N:N)</f>
        <v>0</v>
      </c>
      <c r="L40">
        <f>SUMIF(ConfirmedRaw!$B:$B,$A40,ConfirmedRaw!O:O)</f>
        <v>0</v>
      </c>
      <c r="M40">
        <f>SUMIF(ConfirmedRaw!$B:$B,$A40,ConfirmedRaw!P:P)</f>
        <v>0</v>
      </c>
      <c r="N40">
        <f>SUMIF(ConfirmedRaw!$B:$B,$A40,ConfirmedRaw!Q:Q)</f>
        <v>0</v>
      </c>
      <c r="O40">
        <f>SUMIF(ConfirmedRaw!$B:$B,$A40,ConfirmedRaw!R:R)</f>
        <v>0</v>
      </c>
      <c r="P40">
        <f>SUMIF(ConfirmedRaw!$B:$B,$A40,ConfirmedRaw!S:S)</f>
        <v>0</v>
      </c>
      <c r="Q40">
        <f>SUMIF(ConfirmedRaw!$B:$B,$A40,ConfirmedRaw!T:T)</f>
        <v>0</v>
      </c>
      <c r="R40">
        <f>SUMIF(ConfirmedRaw!$B:$B,$A40,ConfirmedRaw!U:U)</f>
        <v>0</v>
      </c>
      <c r="S40">
        <f>SUMIF(ConfirmedRaw!$B:$B,$A40,ConfirmedRaw!V:V)</f>
        <v>0</v>
      </c>
      <c r="T40">
        <f>SUMIF(ConfirmedRaw!$B:$B,$A40,ConfirmedRaw!W:W)</f>
        <v>0</v>
      </c>
      <c r="U40">
        <f>SUMIF(ConfirmedRaw!$B:$B,$A40,ConfirmedRaw!X:X)</f>
        <v>0</v>
      </c>
      <c r="V40">
        <f>SUMIF(ConfirmedRaw!$B:$B,$A40,ConfirmedRaw!Y:Y)</f>
        <v>0</v>
      </c>
      <c r="W40">
        <f>SUMIF(ConfirmedRaw!$B:$B,$A40,ConfirmedRaw!Z:Z)</f>
        <v>0</v>
      </c>
      <c r="X40">
        <f>SUMIF(ConfirmedRaw!$B:$B,$A40,ConfirmedRaw!AA:AA)</f>
        <v>0</v>
      </c>
      <c r="Y40">
        <f>SUMIF(ConfirmedRaw!$B:$B,$A40,ConfirmedRaw!AB:AB)</f>
        <v>1</v>
      </c>
      <c r="Z40">
        <f>SUMIF(ConfirmedRaw!$B:$B,$A40,ConfirmedRaw!AC:AC)</f>
        <v>1</v>
      </c>
      <c r="AA40">
        <f>SUMIF(ConfirmedRaw!$B:$B,$A40,ConfirmedRaw!AD:AD)</f>
        <v>1</v>
      </c>
      <c r="AB40">
        <f>SUMIF(ConfirmedRaw!$B:$B,$A40,ConfirmedRaw!AE:AE)</f>
        <v>1</v>
      </c>
      <c r="AC40">
        <f>SUMIF(ConfirmedRaw!$B:$B,$A40,ConfirmedRaw!AF:AF)</f>
        <v>1</v>
      </c>
      <c r="AD40">
        <f>SUMIF(ConfirmedRaw!$B:$B,$A40,ConfirmedRaw!AG:AG)</f>
        <v>1</v>
      </c>
      <c r="AE40">
        <f>SUMIF(ConfirmedRaw!$B:$B,$A40,ConfirmedRaw!AH:AH)</f>
        <v>1</v>
      </c>
      <c r="AF40">
        <f>SUMIF(ConfirmedRaw!$B:$B,$A40,ConfirmedRaw!AI:AI)</f>
        <v>1</v>
      </c>
      <c r="AG40">
        <f>SUMIF(ConfirmedRaw!$B:$B,$A40,ConfirmedRaw!AJ:AJ)</f>
        <v>1</v>
      </c>
      <c r="AH40">
        <f>SUMIF(ConfirmedRaw!$B:$B,$A40,ConfirmedRaw!AK:AK)</f>
        <v>1</v>
      </c>
      <c r="AI40">
        <f>SUMIF(ConfirmedRaw!$B:$B,$A40,ConfirmedRaw!AL:AL)</f>
        <v>1</v>
      </c>
      <c r="AJ40">
        <f>SUMIF(ConfirmedRaw!$B:$B,$A40,ConfirmedRaw!AM:AM)</f>
        <v>1</v>
      </c>
      <c r="AK40">
        <f>SUMIF(ConfirmedRaw!$B:$B,$A40,ConfirmedRaw!AN:AN)</f>
        <v>1</v>
      </c>
      <c r="AL40">
        <f>SUMIF(ConfirmedRaw!$B:$B,$A40,ConfirmedRaw!AO:AO)</f>
        <v>1</v>
      </c>
      <c r="AM40">
        <f>SUMIF(ConfirmedRaw!$B:$B,$A40,ConfirmedRaw!AP:AP)</f>
        <v>1</v>
      </c>
      <c r="AN40">
        <f>SUMIF(ConfirmedRaw!$B:$B,$A40,ConfirmedRaw!AQ:AQ)</f>
        <v>1</v>
      </c>
      <c r="AO40">
        <f>SUMIF(ConfirmedRaw!$B:$B,$A40,ConfirmedRaw!AR:AR)</f>
        <v>2</v>
      </c>
      <c r="AP40">
        <f>SUMIF(ConfirmedRaw!$B:$B,$A40,ConfirmedRaw!AS:AS)</f>
        <v>2</v>
      </c>
      <c r="AQ40">
        <f>SUMIF(ConfirmedRaw!$B:$B,$A40,ConfirmedRaw!AT:AT)</f>
        <v>2</v>
      </c>
      <c r="AR40">
        <f>SUMIF(ConfirmedRaw!$B:$B,$A40,ConfirmedRaw!AU:AU)</f>
        <v>2</v>
      </c>
      <c r="AS40">
        <f>SUMIF(ConfirmedRaw!$B:$B,$A40,ConfirmedRaw!AV:AV)</f>
        <v>3</v>
      </c>
      <c r="AT40">
        <f>SUMIF(ConfirmedRaw!$B:$B,$A40,ConfirmedRaw!AW:AW)</f>
        <v>15</v>
      </c>
      <c r="AU40">
        <f>SUMIF(ConfirmedRaw!$B:$B,$A40,ConfirmedRaw!AX:AX)</f>
        <v>15</v>
      </c>
      <c r="AV40">
        <f>SUMIF(ConfirmedRaw!$B:$B,$A40,ConfirmedRaw!AY:AY)</f>
        <v>49</v>
      </c>
      <c r="AW40">
        <f>SUMIF(ConfirmedRaw!$B:$B,$A40,ConfirmedRaw!AZ:AZ)</f>
        <v>55</v>
      </c>
      <c r="AX40">
        <f>SUMIF(ConfirmedRaw!$B:$B,$A40,ConfirmedRaw!BA:BA)</f>
        <v>59</v>
      </c>
      <c r="AY40">
        <f>SUMIF(ConfirmedRaw!$B:$B,$A40,ConfirmedRaw!BB:BB)</f>
        <v>60</v>
      </c>
      <c r="AZ40">
        <f>SUMIF(ConfirmedRaw!$B:$B,$A40,ConfirmedRaw!BC:BC)</f>
        <v>67</v>
      </c>
      <c r="BA40">
        <f>SUMIF(ConfirmedRaw!$B:$B,$A40,ConfirmedRaw!BD:BD)</f>
        <v>80</v>
      </c>
      <c r="BB40">
        <f>SUMIF(ConfirmedRaw!$B:$B,$A40,ConfirmedRaw!BE:BE)</f>
        <v>109</v>
      </c>
      <c r="BC40">
        <f>SUMIF(ConfirmedRaw!$B:$B,$A40,ConfirmedRaw!BF:BF)</f>
        <v>110</v>
      </c>
      <c r="BD40">
        <f>SUMIF(ConfirmedRaw!$B:$B,$A40,ConfirmedRaw!BG:BG)</f>
        <v>150</v>
      </c>
      <c r="BE40">
        <f>SUMIF(ConfirmedRaw!$B:$B,$A40,ConfirmedRaw!BH:BH)</f>
        <v>196</v>
      </c>
      <c r="BF40">
        <f>SUMIF(ConfirmedRaw!$B:$B,$A40,ConfirmedRaw!BI:BI)</f>
        <v>196</v>
      </c>
      <c r="BG40">
        <f>SUMIF(ConfirmedRaw!$B:$B,$A40,ConfirmedRaw!BJ:BJ)</f>
        <v>256</v>
      </c>
      <c r="BH40">
        <f>SUMIF(ConfirmedRaw!$B:$B,$A40,ConfirmedRaw!BK:BK)</f>
        <v>285</v>
      </c>
      <c r="BI40">
        <f>SUMIF(ConfirmedRaw!$B:$B,$A40,ConfirmedRaw!BL:BL)</f>
        <v>0</v>
      </c>
      <c r="BJ40">
        <f>SUMIF(ConfirmedRaw!$B:$B,$A40,ConfirmedRaw!BM:BM)</f>
        <v>0</v>
      </c>
      <c r="BK40">
        <f>SUMIF(ConfirmedRaw!$B:$B,$A40,ConfirmedRaw!BN:BN)</f>
        <v>0</v>
      </c>
      <c r="BL40">
        <f>SUMIF(ConfirmedRaw!$B:$B,$A40,ConfirmedRaw!BO:BO)</f>
        <v>0</v>
      </c>
      <c r="BM40">
        <f>SUMIF(ConfirmedRaw!$B:$B,$A40,ConfirmedRaw!BP:BP)</f>
        <v>0</v>
      </c>
      <c r="BN40">
        <f>SUMIF(ConfirmedRaw!$B:$B,$A40,ConfirmedRaw!BQ:BQ)</f>
        <v>0</v>
      </c>
      <c r="BO40">
        <f>SUMIF(ConfirmedRaw!$B:$B,$A40,ConfirmedRaw!BR:BR)</f>
        <v>0</v>
      </c>
      <c r="BP40">
        <f>SUMIF(ConfirmedRaw!$B:$B,$A40,ConfirmedRaw!BS:BS)</f>
        <v>0</v>
      </c>
      <c r="BQ40">
        <f>SUMIF(ConfirmedRaw!$B:$B,$A40,ConfirmedRaw!BT:BT)</f>
        <v>0</v>
      </c>
      <c r="BR40">
        <f>SUMIF(ConfirmedRaw!$B:$B,$A40,ConfirmedRaw!BU:BU)</f>
        <v>0</v>
      </c>
      <c r="BS40">
        <f>SUMIF(ConfirmedRaw!$B:$B,$A40,ConfirmedRaw!BV:BV)</f>
        <v>0</v>
      </c>
      <c r="BT40">
        <f>SUMIF(ConfirmedRaw!$B:$B,$A40,ConfirmedRaw!BW:BW)</f>
        <v>0</v>
      </c>
    </row>
    <row r="41" spans="1:72" ht="15" thickBot="1" x14ac:dyDescent="0.35">
      <c r="A41" s="3" t="s">
        <v>74</v>
      </c>
      <c r="B41">
        <f>SUMIF(ConfirmedRaw!$B:$B,$A41,ConfirmedRaw!E:E)</f>
        <v>0</v>
      </c>
      <c r="C41">
        <f>SUMIF(ConfirmedRaw!$B:$B,$A41,ConfirmedRaw!F:F)</f>
        <v>0</v>
      </c>
      <c r="D41">
        <f>SUMIF(ConfirmedRaw!$B:$B,$A41,ConfirmedRaw!G:G)</f>
        <v>0</v>
      </c>
      <c r="E41">
        <f>SUMIF(ConfirmedRaw!$B:$B,$A41,ConfirmedRaw!H:H)</f>
        <v>0</v>
      </c>
      <c r="F41">
        <f>SUMIF(ConfirmedRaw!$B:$B,$A41,ConfirmedRaw!I:I)</f>
        <v>0</v>
      </c>
      <c r="G41">
        <f>SUMIF(ConfirmedRaw!$B:$B,$A41,ConfirmedRaw!J:J)</f>
        <v>0</v>
      </c>
      <c r="H41">
        <f>SUMIF(ConfirmedRaw!$B:$B,$A41,ConfirmedRaw!K:K)</f>
        <v>0</v>
      </c>
      <c r="I41">
        <f>SUMIF(ConfirmedRaw!$B:$B,$A41,ConfirmedRaw!L:L)</f>
        <v>0</v>
      </c>
      <c r="J41">
        <f>SUMIF(ConfirmedRaw!$B:$B,$A41,ConfirmedRaw!M:M)</f>
        <v>0</v>
      </c>
      <c r="K41">
        <f>SUMIF(ConfirmedRaw!$B:$B,$A41,ConfirmedRaw!N:N)</f>
        <v>0</v>
      </c>
      <c r="L41">
        <f>SUMIF(ConfirmedRaw!$B:$B,$A41,ConfirmedRaw!O:O)</f>
        <v>0</v>
      </c>
      <c r="M41">
        <f>SUMIF(ConfirmedRaw!$B:$B,$A41,ConfirmedRaw!P:P)</f>
        <v>0</v>
      </c>
      <c r="N41">
        <f>SUMIF(ConfirmedRaw!$B:$B,$A41,ConfirmedRaw!Q:Q)</f>
        <v>0</v>
      </c>
      <c r="O41">
        <f>SUMIF(ConfirmedRaw!$B:$B,$A41,ConfirmedRaw!R:R)</f>
        <v>0</v>
      </c>
      <c r="P41">
        <f>SUMIF(ConfirmedRaw!$B:$B,$A41,ConfirmedRaw!S:S)</f>
        <v>0</v>
      </c>
      <c r="Q41">
        <f>SUMIF(ConfirmedRaw!$B:$B,$A41,ConfirmedRaw!T:T)</f>
        <v>0</v>
      </c>
      <c r="R41">
        <f>SUMIF(ConfirmedRaw!$B:$B,$A41,ConfirmedRaw!U:U)</f>
        <v>0</v>
      </c>
      <c r="S41">
        <f>SUMIF(ConfirmedRaw!$B:$B,$A41,ConfirmedRaw!V:V)</f>
        <v>0</v>
      </c>
      <c r="T41">
        <f>SUMIF(ConfirmedRaw!$B:$B,$A41,ConfirmedRaw!W:W)</f>
        <v>0</v>
      </c>
      <c r="U41">
        <f>SUMIF(ConfirmedRaw!$B:$B,$A41,ConfirmedRaw!X:X)</f>
        <v>0</v>
      </c>
      <c r="V41">
        <f>SUMIF(ConfirmedRaw!$B:$B,$A41,ConfirmedRaw!Y:Y)</f>
        <v>0</v>
      </c>
      <c r="W41">
        <f>SUMIF(ConfirmedRaw!$B:$B,$A41,ConfirmedRaw!Z:Z)</f>
        <v>0</v>
      </c>
      <c r="X41">
        <f>SUMIF(ConfirmedRaw!$B:$B,$A41,ConfirmedRaw!AA:AA)</f>
        <v>0</v>
      </c>
      <c r="Y41">
        <f>SUMIF(ConfirmedRaw!$B:$B,$A41,ConfirmedRaw!AB:AB)</f>
        <v>0</v>
      </c>
      <c r="Z41">
        <f>SUMIF(ConfirmedRaw!$B:$B,$A41,ConfirmedRaw!AC:AC)</f>
        <v>0</v>
      </c>
      <c r="AA41">
        <f>SUMIF(ConfirmedRaw!$B:$B,$A41,ConfirmedRaw!AD:AD)</f>
        <v>0</v>
      </c>
      <c r="AB41">
        <f>SUMIF(ConfirmedRaw!$B:$B,$A41,ConfirmedRaw!AE:AE)</f>
        <v>0</v>
      </c>
      <c r="AC41">
        <f>SUMIF(ConfirmedRaw!$B:$B,$A41,ConfirmedRaw!AF:AF)</f>
        <v>0</v>
      </c>
      <c r="AD41">
        <f>SUMIF(ConfirmedRaw!$B:$B,$A41,ConfirmedRaw!AG:AG)</f>
        <v>0</v>
      </c>
      <c r="AE41">
        <f>SUMIF(ConfirmedRaw!$B:$B,$A41,ConfirmedRaw!AH:AH)</f>
        <v>0</v>
      </c>
      <c r="AF41">
        <f>SUMIF(ConfirmedRaw!$B:$B,$A41,ConfirmedRaw!AI:AI)</f>
        <v>0</v>
      </c>
      <c r="AG41">
        <f>SUMIF(ConfirmedRaw!$B:$B,$A41,ConfirmedRaw!AJ:AJ)</f>
        <v>0</v>
      </c>
      <c r="AH41">
        <f>SUMIF(ConfirmedRaw!$B:$B,$A41,ConfirmedRaw!AK:AK)</f>
        <v>0</v>
      </c>
      <c r="AI41">
        <f>SUMIF(ConfirmedRaw!$B:$B,$A41,ConfirmedRaw!AL:AL)</f>
        <v>1</v>
      </c>
      <c r="AJ41">
        <f>SUMIF(ConfirmedRaw!$B:$B,$A41,ConfirmedRaw!AM:AM)</f>
        <v>11</v>
      </c>
      <c r="AK41">
        <f>SUMIF(ConfirmedRaw!$B:$B,$A41,ConfirmedRaw!AN:AN)</f>
        <v>26</v>
      </c>
      <c r="AL41">
        <f>SUMIF(ConfirmedRaw!$B:$B,$A41,ConfirmedRaw!AO:AO)</f>
        <v>43</v>
      </c>
      <c r="AM41">
        <f>SUMIF(ConfirmedRaw!$B:$B,$A41,ConfirmedRaw!AP:AP)</f>
        <v>45</v>
      </c>
      <c r="AN41">
        <f>SUMIF(ConfirmedRaw!$B:$B,$A41,ConfirmedRaw!AQ:AQ)</f>
        <v>45</v>
      </c>
      <c r="AO41">
        <f>SUMIF(ConfirmedRaw!$B:$B,$A41,ConfirmedRaw!AR:AR)</f>
        <v>45</v>
      </c>
      <c r="AP41">
        <f>SUMIF(ConfirmedRaw!$B:$B,$A41,ConfirmedRaw!AS:AS)</f>
        <v>56</v>
      </c>
      <c r="AQ41">
        <f>SUMIF(ConfirmedRaw!$B:$B,$A41,ConfirmedRaw!AT:AT)</f>
        <v>56</v>
      </c>
      <c r="AR41">
        <f>SUMIF(ConfirmedRaw!$B:$B,$A41,ConfirmedRaw!AU:AU)</f>
        <v>56</v>
      </c>
      <c r="AS41">
        <f>SUMIF(ConfirmedRaw!$B:$B,$A41,ConfirmedRaw!AV:AV)</f>
        <v>58</v>
      </c>
      <c r="AT41">
        <f>SUMIF(ConfirmedRaw!$B:$B,$A41,ConfirmedRaw!AW:AW)</f>
        <v>58</v>
      </c>
      <c r="AU41">
        <f>SUMIF(ConfirmedRaw!$B:$B,$A41,ConfirmedRaw!AX:AX)</f>
        <v>61</v>
      </c>
      <c r="AV41">
        <f>SUMIF(ConfirmedRaw!$B:$B,$A41,ConfirmedRaw!AY:AY)</f>
        <v>64</v>
      </c>
      <c r="AW41">
        <f>SUMIF(ConfirmedRaw!$B:$B,$A41,ConfirmedRaw!AZ:AZ)</f>
        <v>64</v>
      </c>
      <c r="AX41">
        <f>SUMIF(ConfirmedRaw!$B:$B,$A41,ConfirmedRaw!BA:BA)</f>
        <v>69</v>
      </c>
      <c r="AY41">
        <f>SUMIF(ConfirmedRaw!$B:$B,$A41,ConfirmedRaw!BB:BB)</f>
        <v>72</v>
      </c>
      <c r="AZ41">
        <f>SUMIF(ConfirmedRaw!$B:$B,$A41,ConfirmedRaw!BC:BC)</f>
        <v>80</v>
      </c>
      <c r="BA41">
        <f>SUMIF(ConfirmedRaw!$B:$B,$A41,ConfirmedRaw!BD:BD)</f>
        <v>80</v>
      </c>
      <c r="BB41">
        <f>SUMIF(ConfirmedRaw!$B:$B,$A41,ConfirmedRaw!BE:BE)</f>
        <v>104</v>
      </c>
      <c r="BC41">
        <f>SUMIF(ConfirmedRaw!$B:$B,$A41,ConfirmedRaw!BF:BF)</f>
        <v>112</v>
      </c>
      <c r="BD41">
        <f>SUMIF(ConfirmedRaw!$B:$B,$A41,ConfirmedRaw!BG:BG)</f>
        <v>123</v>
      </c>
      <c r="BE41">
        <f>SUMIF(ConfirmedRaw!$B:$B,$A41,ConfirmedRaw!BH:BH)</f>
        <v>130</v>
      </c>
      <c r="BF41">
        <f>SUMIF(ConfirmedRaw!$B:$B,$A41,ConfirmedRaw!BI:BI)</f>
        <v>142</v>
      </c>
      <c r="BG41">
        <f>SUMIF(ConfirmedRaw!$B:$B,$A41,ConfirmedRaw!BJ:BJ)</f>
        <v>148</v>
      </c>
      <c r="BH41">
        <f>SUMIF(ConfirmedRaw!$B:$B,$A41,ConfirmedRaw!BK:BK)</f>
        <v>159</v>
      </c>
      <c r="BI41">
        <f>SUMIF(ConfirmedRaw!$B:$B,$A41,ConfirmedRaw!BL:BL)</f>
        <v>0</v>
      </c>
      <c r="BJ41">
        <f>SUMIF(ConfirmedRaw!$B:$B,$A41,ConfirmedRaw!BM:BM)</f>
        <v>0</v>
      </c>
      <c r="BK41">
        <f>SUMIF(ConfirmedRaw!$B:$B,$A41,ConfirmedRaw!BN:BN)</f>
        <v>0</v>
      </c>
      <c r="BL41">
        <f>SUMIF(ConfirmedRaw!$B:$B,$A41,ConfirmedRaw!BO:BO)</f>
        <v>0</v>
      </c>
      <c r="BM41">
        <f>SUMIF(ConfirmedRaw!$B:$B,$A41,ConfirmedRaw!BP:BP)</f>
        <v>0</v>
      </c>
      <c r="BN41">
        <f>SUMIF(ConfirmedRaw!$B:$B,$A41,ConfirmedRaw!BQ:BQ)</f>
        <v>0</v>
      </c>
      <c r="BO41">
        <f>SUMIF(ConfirmedRaw!$B:$B,$A41,ConfirmedRaw!BR:BR)</f>
        <v>0</v>
      </c>
      <c r="BP41">
        <f>SUMIF(ConfirmedRaw!$B:$B,$A41,ConfirmedRaw!BS:BS)</f>
        <v>0</v>
      </c>
      <c r="BQ41">
        <f>SUMIF(ConfirmedRaw!$B:$B,$A41,ConfirmedRaw!BT:BT)</f>
        <v>0</v>
      </c>
      <c r="BR41">
        <f>SUMIF(ConfirmedRaw!$B:$B,$A41,ConfirmedRaw!BU:BU)</f>
        <v>0</v>
      </c>
      <c r="BS41">
        <f>SUMIF(ConfirmedRaw!$B:$B,$A41,ConfirmedRaw!BV:BV)</f>
        <v>0</v>
      </c>
      <c r="BT41">
        <f>SUMIF(ConfirmedRaw!$B:$B,$A41,ConfirmedRaw!BW:BW)</f>
        <v>0</v>
      </c>
    </row>
    <row r="42" spans="1:72" ht="15" thickBot="1" x14ac:dyDescent="0.35">
      <c r="A42" s="4" t="s">
        <v>90</v>
      </c>
      <c r="B42">
        <f>SUMIF(ConfirmedRaw!$B:$B,$A42,ConfirmedRaw!E:E)</f>
        <v>0</v>
      </c>
      <c r="C42">
        <f>SUMIF(ConfirmedRaw!$B:$B,$A42,ConfirmedRaw!F:F)</f>
        <v>0</v>
      </c>
      <c r="D42">
        <f>SUMIF(ConfirmedRaw!$B:$B,$A42,ConfirmedRaw!G:G)</f>
        <v>0</v>
      </c>
      <c r="E42">
        <f>SUMIF(ConfirmedRaw!$B:$B,$A42,ConfirmedRaw!H:H)</f>
        <v>0</v>
      </c>
      <c r="F42">
        <f>SUMIF(ConfirmedRaw!$B:$B,$A42,ConfirmedRaw!I:I)</f>
        <v>0</v>
      </c>
      <c r="G42">
        <f>SUMIF(ConfirmedRaw!$B:$B,$A42,ConfirmedRaw!J:J)</f>
        <v>0</v>
      </c>
      <c r="H42">
        <f>SUMIF(ConfirmedRaw!$B:$B,$A42,ConfirmedRaw!K:K)</f>
        <v>0</v>
      </c>
      <c r="I42">
        <f>SUMIF(ConfirmedRaw!$B:$B,$A42,ConfirmedRaw!L:L)</f>
        <v>0</v>
      </c>
      <c r="J42">
        <f>SUMIF(ConfirmedRaw!$B:$B,$A42,ConfirmedRaw!M:M)</f>
        <v>0</v>
      </c>
      <c r="K42">
        <f>SUMIF(ConfirmedRaw!$B:$B,$A42,ConfirmedRaw!N:N)</f>
        <v>0</v>
      </c>
      <c r="L42">
        <f>SUMIF(ConfirmedRaw!$B:$B,$A42,ConfirmedRaw!O:O)</f>
        <v>0</v>
      </c>
      <c r="M42">
        <f>SUMIF(ConfirmedRaw!$B:$B,$A42,ConfirmedRaw!P:P)</f>
        <v>0</v>
      </c>
      <c r="N42">
        <f>SUMIF(ConfirmedRaw!$B:$B,$A42,ConfirmedRaw!Q:Q)</f>
        <v>0</v>
      </c>
      <c r="O42">
        <f>SUMIF(ConfirmedRaw!$B:$B,$A42,ConfirmedRaw!R:R)</f>
        <v>0</v>
      </c>
      <c r="P42">
        <f>SUMIF(ConfirmedRaw!$B:$B,$A42,ConfirmedRaw!S:S)</f>
        <v>0</v>
      </c>
      <c r="Q42">
        <f>SUMIF(ConfirmedRaw!$B:$B,$A42,ConfirmedRaw!T:T)</f>
        <v>0</v>
      </c>
      <c r="R42">
        <f>SUMIF(ConfirmedRaw!$B:$B,$A42,ConfirmedRaw!U:U)</f>
        <v>0</v>
      </c>
      <c r="S42">
        <f>SUMIF(ConfirmedRaw!$B:$B,$A42,ConfirmedRaw!V:V)</f>
        <v>0</v>
      </c>
      <c r="T42">
        <f>SUMIF(ConfirmedRaw!$B:$B,$A42,ConfirmedRaw!W:W)</f>
        <v>0</v>
      </c>
      <c r="U42">
        <f>SUMIF(ConfirmedRaw!$B:$B,$A42,ConfirmedRaw!X:X)</f>
        <v>0</v>
      </c>
      <c r="V42">
        <f>SUMIF(ConfirmedRaw!$B:$B,$A42,ConfirmedRaw!Y:Y)</f>
        <v>0</v>
      </c>
      <c r="W42">
        <f>SUMIF(ConfirmedRaw!$B:$B,$A42,ConfirmedRaw!Z:Z)</f>
        <v>0</v>
      </c>
      <c r="X42">
        <f>SUMIF(ConfirmedRaw!$B:$B,$A42,ConfirmedRaw!AA:AA)</f>
        <v>0</v>
      </c>
      <c r="Y42">
        <f>SUMIF(ConfirmedRaw!$B:$B,$A42,ConfirmedRaw!AB:AB)</f>
        <v>0</v>
      </c>
      <c r="Z42">
        <f>SUMIF(ConfirmedRaw!$B:$B,$A42,ConfirmedRaw!AC:AC)</f>
        <v>0</v>
      </c>
      <c r="AA42">
        <f>SUMIF(ConfirmedRaw!$B:$B,$A42,ConfirmedRaw!AD:AD)</f>
        <v>0</v>
      </c>
      <c r="AB42">
        <f>SUMIF(ConfirmedRaw!$B:$B,$A42,ConfirmedRaw!AE:AE)</f>
        <v>0</v>
      </c>
      <c r="AC42">
        <f>SUMIF(ConfirmedRaw!$B:$B,$A42,ConfirmedRaw!AF:AF)</f>
        <v>0</v>
      </c>
      <c r="AD42">
        <f>SUMIF(ConfirmedRaw!$B:$B,$A42,ConfirmedRaw!AG:AG)</f>
        <v>0</v>
      </c>
      <c r="AE42">
        <f>SUMIF(ConfirmedRaw!$B:$B,$A42,ConfirmedRaw!AH:AH)</f>
        <v>0</v>
      </c>
      <c r="AF42">
        <f>SUMIF(ConfirmedRaw!$B:$B,$A42,ConfirmedRaw!AI:AI)</f>
        <v>0</v>
      </c>
      <c r="AG42">
        <f>SUMIF(ConfirmedRaw!$B:$B,$A42,ConfirmedRaw!AJ:AJ)</f>
        <v>0</v>
      </c>
      <c r="AH42">
        <f>SUMIF(ConfirmedRaw!$B:$B,$A42,ConfirmedRaw!AK:AK)</f>
        <v>0</v>
      </c>
      <c r="AI42">
        <f>SUMIF(ConfirmedRaw!$B:$B,$A42,ConfirmedRaw!AL:AL)</f>
        <v>0</v>
      </c>
      <c r="AJ42">
        <f>SUMIF(ConfirmedRaw!$B:$B,$A42,ConfirmedRaw!AM:AM)</f>
        <v>0</v>
      </c>
      <c r="AK42">
        <f>SUMIF(ConfirmedRaw!$B:$B,$A42,ConfirmedRaw!AN:AN)</f>
        <v>0</v>
      </c>
      <c r="AL42">
        <f>SUMIF(ConfirmedRaw!$B:$B,$A42,ConfirmedRaw!AO:AO)</f>
        <v>1</v>
      </c>
      <c r="AM42">
        <f>SUMIF(ConfirmedRaw!$B:$B,$A42,ConfirmedRaw!AP:AP)</f>
        <v>1</v>
      </c>
      <c r="AN42">
        <f>SUMIF(ConfirmedRaw!$B:$B,$A42,ConfirmedRaw!AQ:AQ)</f>
        <v>1</v>
      </c>
      <c r="AO42">
        <f>SUMIF(ConfirmedRaw!$B:$B,$A42,ConfirmedRaw!AR:AR)</f>
        <v>1</v>
      </c>
      <c r="AP42">
        <f>SUMIF(ConfirmedRaw!$B:$B,$A42,ConfirmedRaw!AS:AS)</f>
        <v>8</v>
      </c>
      <c r="AQ42">
        <f>SUMIF(ConfirmedRaw!$B:$B,$A42,ConfirmedRaw!AT:AT)</f>
        <v>10</v>
      </c>
      <c r="AR42">
        <f>SUMIF(ConfirmedRaw!$B:$B,$A42,ConfirmedRaw!AU:AU)</f>
        <v>16</v>
      </c>
      <c r="AS42">
        <f>SUMIF(ConfirmedRaw!$B:$B,$A42,ConfirmedRaw!AV:AV)</f>
        <v>21</v>
      </c>
      <c r="AT42">
        <f>SUMIF(ConfirmedRaw!$B:$B,$A42,ConfirmedRaw!AW:AW)</f>
        <v>21</v>
      </c>
      <c r="AU42">
        <f>SUMIF(ConfirmedRaw!$B:$B,$A42,ConfirmedRaw!AX:AX)</f>
        <v>23</v>
      </c>
      <c r="AV42">
        <f>SUMIF(ConfirmedRaw!$B:$B,$A42,ConfirmedRaw!AY:AY)</f>
        <v>36</v>
      </c>
      <c r="AW42">
        <f>SUMIF(ConfirmedRaw!$B:$B,$A42,ConfirmedRaw!AZ:AZ)</f>
        <v>36</v>
      </c>
      <c r="AX42">
        <f>SUMIF(ConfirmedRaw!$B:$B,$A42,ConfirmedRaw!BA:BA)</f>
        <v>51</v>
      </c>
      <c r="AY42">
        <f>SUMIF(ConfirmedRaw!$B:$B,$A42,ConfirmedRaw!BB:BB)</f>
        <v>62</v>
      </c>
      <c r="AZ42">
        <f>SUMIF(ConfirmedRaw!$B:$B,$A42,ConfirmedRaw!BC:BC)</f>
        <v>69</v>
      </c>
      <c r="BA42">
        <f>SUMIF(ConfirmedRaw!$B:$B,$A42,ConfirmedRaw!BD:BD)</f>
        <v>80</v>
      </c>
      <c r="BB42">
        <f>SUMIF(ConfirmedRaw!$B:$B,$A42,ConfirmedRaw!BE:BE)</f>
        <v>80</v>
      </c>
      <c r="BC42">
        <f>SUMIF(ConfirmedRaw!$B:$B,$A42,ConfirmedRaw!BF:BF)</f>
        <v>101</v>
      </c>
      <c r="BD42">
        <f>SUMIF(ConfirmedRaw!$B:$B,$A42,ConfirmedRaw!BG:BG)</f>
        <v>109</v>
      </c>
      <c r="BE42">
        <f>SUMIF(ConfirmedRaw!$B:$B,$A42,ConfirmedRaw!BH:BH)</f>
        <v>109</v>
      </c>
      <c r="BF42">
        <f>SUMIF(ConfirmedRaw!$B:$B,$A42,ConfirmedRaw!BI:BI)</f>
        <v>119</v>
      </c>
      <c r="BG42">
        <f>SUMIF(ConfirmedRaw!$B:$B,$A42,ConfirmedRaw!BJ:BJ)</f>
        <v>119</v>
      </c>
      <c r="BH42">
        <f>SUMIF(ConfirmedRaw!$B:$B,$A42,ConfirmedRaw!BK:BK)</f>
        <v>144</v>
      </c>
      <c r="BI42">
        <f>SUMIF(ConfirmedRaw!$B:$B,$A42,ConfirmedRaw!BL:BL)</f>
        <v>0</v>
      </c>
      <c r="BJ42">
        <f>SUMIF(ConfirmedRaw!$B:$B,$A42,ConfirmedRaw!BM:BM)</f>
        <v>0</v>
      </c>
      <c r="BK42">
        <f>SUMIF(ConfirmedRaw!$B:$B,$A42,ConfirmedRaw!BN:BN)</f>
        <v>0</v>
      </c>
      <c r="BL42">
        <f>SUMIF(ConfirmedRaw!$B:$B,$A42,ConfirmedRaw!BO:BO)</f>
        <v>0</v>
      </c>
      <c r="BM42">
        <f>SUMIF(ConfirmedRaw!$B:$B,$A42,ConfirmedRaw!BP:BP)</f>
        <v>0</v>
      </c>
      <c r="BN42">
        <f>SUMIF(ConfirmedRaw!$B:$B,$A42,ConfirmedRaw!BQ:BQ)</f>
        <v>0</v>
      </c>
      <c r="BO42">
        <f>SUMIF(ConfirmedRaw!$B:$B,$A42,ConfirmedRaw!BR:BR)</f>
        <v>0</v>
      </c>
      <c r="BP42">
        <f>SUMIF(ConfirmedRaw!$B:$B,$A42,ConfirmedRaw!BS:BS)</f>
        <v>0</v>
      </c>
      <c r="BQ42">
        <f>SUMIF(ConfirmedRaw!$B:$B,$A42,ConfirmedRaw!BT:BT)</f>
        <v>0</v>
      </c>
      <c r="BR42">
        <f>SUMIF(ConfirmedRaw!$B:$B,$A42,ConfirmedRaw!BU:BU)</f>
        <v>0</v>
      </c>
      <c r="BS42">
        <f>SUMIF(ConfirmedRaw!$B:$B,$A42,ConfirmedRaw!BV:BV)</f>
        <v>0</v>
      </c>
      <c r="BT42">
        <f>SUMIF(ConfirmedRaw!$B:$B,$A42,ConfirmedRaw!BW:BW)</f>
        <v>0</v>
      </c>
    </row>
    <row r="43" spans="1:72" ht="15" thickBot="1" x14ac:dyDescent="0.35">
      <c r="A43" s="4" t="s">
        <v>88</v>
      </c>
      <c r="B43">
        <f>SUMIF(ConfirmedRaw!$B:$B,$A43,ConfirmedRaw!E:E)</f>
        <v>0</v>
      </c>
      <c r="C43">
        <f>SUMIF(ConfirmedRaw!$B:$B,$A43,ConfirmedRaw!F:F)</f>
        <v>0</v>
      </c>
      <c r="D43">
        <f>SUMIF(ConfirmedRaw!$B:$B,$A43,ConfirmedRaw!G:G)</f>
        <v>0</v>
      </c>
      <c r="E43">
        <f>SUMIF(ConfirmedRaw!$B:$B,$A43,ConfirmedRaw!H:H)</f>
        <v>0</v>
      </c>
      <c r="F43">
        <f>SUMIF(ConfirmedRaw!$B:$B,$A43,ConfirmedRaw!I:I)</f>
        <v>0</v>
      </c>
      <c r="G43">
        <f>SUMIF(ConfirmedRaw!$B:$B,$A43,ConfirmedRaw!J:J)</f>
        <v>0</v>
      </c>
      <c r="H43">
        <f>SUMIF(ConfirmedRaw!$B:$B,$A43,ConfirmedRaw!K:K)</f>
        <v>0</v>
      </c>
      <c r="I43">
        <f>SUMIF(ConfirmedRaw!$B:$B,$A43,ConfirmedRaw!L:L)</f>
        <v>0</v>
      </c>
      <c r="J43">
        <f>SUMIF(ConfirmedRaw!$B:$B,$A43,ConfirmedRaw!M:M)</f>
        <v>0</v>
      </c>
      <c r="K43">
        <f>SUMIF(ConfirmedRaw!$B:$B,$A43,ConfirmedRaw!N:N)</f>
        <v>0</v>
      </c>
      <c r="L43">
        <f>SUMIF(ConfirmedRaw!$B:$B,$A43,ConfirmedRaw!O:O)</f>
        <v>0</v>
      </c>
      <c r="M43">
        <f>SUMIF(ConfirmedRaw!$B:$B,$A43,ConfirmedRaw!P:P)</f>
        <v>0</v>
      </c>
      <c r="N43">
        <f>SUMIF(ConfirmedRaw!$B:$B,$A43,ConfirmedRaw!Q:Q)</f>
        <v>0</v>
      </c>
      <c r="O43">
        <f>SUMIF(ConfirmedRaw!$B:$B,$A43,ConfirmedRaw!R:R)</f>
        <v>0</v>
      </c>
      <c r="P43">
        <f>SUMIF(ConfirmedRaw!$B:$B,$A43,ConfirmedRaw!S:S)</f>
        <v>0</v>
      </c>
      <c r="Q43">
        <f>SUMIF(ConfirmedRaw!$B:$B,$A43,ConfirmedRaw!T:T)</f>
        <v>0</v>
      </c>
      <c r="R43">
        <f>SUMIF(ConfirmedRaw!$B:$B,$A43,ConfirmedRaw!U:U)</f>
        <v>0</v>
      </c>
      <c r="S43">
        <f>SUMIF(ConfirmedRaw!$B:$B,$A43,ConfirmedRaw!V:V)</f>
        <v>0</v>
      </c>
      <c r="T43">
        <f>SUMIF(ConfirmedRaw!$B:$B,$A43,ConfirmedRaw!W:W)</f>
        <v>0</v>
      </c>
      <c r="U43">
        <f>SUMIF(ConfirmedRaw!$B:$B,$A43,ConfirmedRaw!X:X)</f>
        <v>0</v>
      </c>
      <c r="V43">
        <f>SUMIF(ConfirmedRaw!$B:$B,$A43,ConfirmedRaw!Y:Y)</f>
        <v>0</v>
      </c>
      <c r="W43">
        <f>SUMIF(ConfirmedRaw!$B:$B,$A43,ConfirmedRaw!Z:Z)</f>
        <v>0</v>
      </c>
      <c r="X43">
        <f>SUMIF(ConfirmedRaw!$B:$B,$A43,ConfirmedRaw!AA:AA)</f>
        <v>0</v>
      </c>
      <c r="Y43">
        <f>SUMIF(ConfirmedRaw!$B:$B,$A43,ConfirmedRaw!AB:AB)</f>
        <v>0</v>
      </c>
      <c r="Z43">
        <f>SUMIF(ConfirmedRaw!$B:$B,$A43,ConfirmedRaw!AC:AC)</f>
        <v>0</v>
      </c>
      <c r="AA43">
        <f>SUMIF(ConfirmedRaw!$B:$B,$A43,ConfirmedRaw!AD:AD)</f>
        <v>0</v>
      </c>
      <c r="AB43">
        <f>SUMIF(ConfirmedRaw!$B:$B,$A43,ConfirmedRaw!AE:AE)</f>
        <v>0</v>
      </c>
      <c r="AC43">
        <f>SUMIF(ConfirmedRaw!$B:$B,$A43,ConfirmedRaw!AF:AF)</f>
        <v>0</v>
      </c>
      <c r="AD43">
        <f>SUMIF(ConfirmedRaw!$B:$B,$A43,ConfirmedRaw!AG:AG)</f>
        <v>0</v>
      </c>
      <c r="AE43">
        <f>SUMIF(ConfirmedRaw!$B:$B,$A43,ConfirmedRaw!AH:AH)</f>
        <v>0</v>
      </c>
      <c r="AF43">
        <f>SUMIF(ConfirmedRaw!$B:$B,$A43,ConfirmedRaw!AI:AI)</f>
        <v>0</v>
      </c>
      <c r="AG43">
        <f>SUMIF(ConfirmedRaw!$B:$B,$A43,ConfirmedRaw!AJ:AJ)</f>
        <v>0</v>
      </c>
      <c r="AH43">
        <f>SUMIF(ConfirmedRaw!$B:$B,$A43,ConfirmedRaw!AK:AK)</f>
        <v>0</v>
      </c>
      <c r="AI43">
        <f>SUMIF(ConfirmedRaw!$B:$B,$A43,ConfirmedRaw!AL:AL)</f>
        <v>0</v>
      </c>
      <c r="AJ43">
        <f>SUMIF(ConfirmedRaw!$B:$B,$A43,ConfirmedRaw!AM:AM)</f>
        <v>0</v>
      </c>
      <c r="AK43">
        <f>SUMIF(ConfirmedRaw!$B:$B,$A43,ConfirmedRaw!AN:AN)</f>
        <v>0</v>
      </c>
      <c r="AL43">
        <f>SUMIF(ConfirmedRaw!$B:$B,$A43,ConfirmedRaw!AO:AO)</f>
        <v>1</v>
      </c>
      <c r="AM43">
        <f>SUMIF(ConfirmedRaw!$B:$B,$A43,ConfirmedRaw!AP:AP)</f>
        <v>1</v>
      </c>
      <c r="AN43">
        <f>SUMIF(ConfirmedRaw!$B:$B,$A43,ConfirmedRaw!AQ:AQ)</f>
        <v>1</v>
      </c>
      <c r="AO43">
        <f>SUMIF(ConfirmedRaw!$B:$B,$A43,ConfirmedRaw!AR:AR)</f>
        <v>1</v>
      </c>
      <c r="AP43">
        <f>SUMIF(ConfirmedRaw!$B:$B,$A43,ConfirmedRaw!AS:AS)</f>
        <v>1</v>
      </c>
      <c r="AQ43">
        <f>SUMIF(ConfirmedRaw!$B:$B,$A43,ConfirmedRaw!AT:AT)</f>
        <v>2</v>
      </c>
      <c r="AR43">
        <f>SUMIF(ConfirmedRaw!$B:$B,$A43,ConfirmedRaw!AU:AU)</f>
        <v>2</v>
      </c>
      <c r="AS43">
        <f>SUMIF(ConfirmedRaw!$B:$B,$A43,ConfirmedRaw!AV:AV)</f>
        <v>3</v>
      </c>
      <c r="AT43">
        <f>SUMIF(ConfirmedRaw!$B:$B,$A43,ConfirmedRaw!AW:AW)</f>
        <v>10</v>
      </c>
      <c r="AU43">
        <f>SUMIF(ConfirmedRaw!$B:$B,$A43,ConfirmedRaw!AX:AX)</f>
        <v>10</v>
      </c>
      <c r="AV43">
        <f>SUMIF(ConfirmedRaw!$B:$B,$A43,ConfirmedRaw!AY:AY)</f>
        <v>10</v>
      </c>
      <c r="AW43">
        <f>SUMIF(ConfirmedRaw!$B:$B,$A43,ConfirmedRaw!AZ:AZ)</f>
        <v>10</v>
      </c>
      <c r="AX43">
        <f>SUMIF(ConfirmedRaw!$B:$B,$A43,ConfirmedRaw!BA:BA)</f>
        <v>12</v>
      </c>
      <c r="AY43">
        <f>SUMIF(ConfirmedRaw!$B:$B,$A43,ConfirmedRaw!BB:BB)</f>
        <v>16</v>
      </c>
      <c r="AZ43">
        <f>SUMIF(ConfirmedRaw!$B:$B,$A43,ConfirmedRaw!BC:BC)</f>
        <v>16</v>
      </c>
      <c r="BA43">
        <f>SUMIF(ConfirmedRaw!$B:$B,$A43,ConfirmedRaw!BD:BD)</f>
        <v>79</v>
      </c>
      <c r="BB43">
        <f>SUMIF(ConfirmedRaw!$B:$B,$A43,ConfirmedRaw!BE:BE)</f>
        <v>115</v>
      </c>
      <c r="BC43">
        <f>SUMIF(ConfirmedRaw!$B:$B,$A43,ConfirmedRaw!BF:BF)</f>
        <v>171</v>
      </c>
      <c r="BD43">
        <f>SUMIF(ConfirmedRaw!$B:$B,$A43,ConfirmedRaw!BG:BG)</f>
        <v>205</v>
      </c>
      <c r="BE43">
        <f>SUMIF(ConfirmedRaw!$B:$B,$A43,ConfirmedRaw!BH:BH)</f>
        <v>225</v>
      </c>
      <c r="BF43">
        <f>SUMIF(ConfirmedRaw!$B:$B,$A43,ConfirmedRaw!BI:BI)</f>
        <v>258</v>
      </c>
      <c r="BG43">
        <f>SUMIF(ConfirmedRaw!$B:$B,$A43,ConfirmedRaw!BJ:BJ)</f>
        <v>267</v>
      </c>
      <c r="BH43">
        <f>SUMIF(ConfirmedRaw!$B:$B,$A43,ConfirmedRaw!BK:BK)</f>
        <v>283</v>
      </c>
      <c r="BI43">
        <f>SUMIF(ConfirmedRaw!$B:$B,$A43,ConfirmedRaw!BL:BL)</f>
        <v>0</v>
      </c>
      <c r="BJ43">
        <f>SUMIF(ConfirmedRaw!$B:$B,$A43,ConfirmedRaw!BM:BM)</f>
        <v>0</v>
      </c>
      <c r="BK43">
        <f>SUMIF(ConfirmedRaw!$B:$B,$A43,ConfirmedRaw!BN:BN)</f>
        <v>0</v>
      </c>
      <c r="BL43">
        <f>SUMIF(ConfirmedRaw!$B:$B,$A43,ConfirmedRaw!BO:BO)</f>
        <v>0</v>
      </c>
      <c r="BM43">
        <f>SUMIF(ConfirmedRaw!$B:$B,$A43,ConfirmedRaw!BP:BP)</f>
        <v>0</v>
      </c>
      <c r="BN43">
        <f>SUMIF(ConfirmedRaw!$B:$B,$A43,ConfirmedRaw!BQ:BQ)</f>
        <v>0</v>
      </c>
      <c r="BO43">
        <f>SUMIF(ConfirmedRaw!$B:$B,$A43,ConfirmedRaw!BR:BR)</f>
        <v>0</v>
      </c>
      <c r="BP43">
        <f>SUMIF(ConfirmedRaw!$B:$B,$A43,ConfirmedRaw!BS:BS)</f>
        <v>0</v>
      </c>
      <c r="BQ43">
        <f>SUMIF(ConfirmedRaw!$B:$B,$A43,ConfirmedRaw!BT:BT)</f>
        <v>0</v>
      </c>
      <c r="BR43">
        <f>SUMIF(ConfirmedRaw!$B:$B,$A43,ConfirmedRaw!BU:BU)</f>
        <v>0</v>
      </c>
      <c r="BS43">
        <f>SUMIF(ConfirmedRaw!$B:$B,$A43,ConfirmedRaw!BV:BV)</f>
        <v>0</v>
      </c>
      <c r="BT43">
        <f>SUMIF(ConfirmedRaw!$B:$B,$A43,ConfirmedRaw!BW:BW)</f>
        <v>0</v>
      </c>
    </row>
    <row r="44" spans="1:72" ht="15" thickBot="1" x14ac:dyDescent="0.35">
      <c r="A44" s="4" t="s">
        <v>67</v>
      </c>
      <c r="B44">
        <f>SUMIF(ConfirmedRaw!$B:$B,$A44,ConfirmedRaw!E:E)</f>
        <v>0</v>
      </c>
      <c r="C44">
        <f>SUMIF(ConfirmedRaw!$B:$B,$A44,ConfirmedRaw!F:F)</f>
        <v>0</v>
      </c>
      <c r="D44">
        <f>SUMIF(ConfirmedRaw!$B:$B,$A44,ConfirmedRaw!G:G)</f>
        <v>0</v>
      </c>
      <c r="E44">
        <f>SUMIF(ConfirmedRaw!$B:$B,$A44,ConfirmedRaw!H:H)</f>
        <v>0</v>
      </c>
      <c r="F44">
        <f>SUMIF(ConfirmedRaw!$B:$B,$A44,ConfirmedRaw!I:I)</f>
        <v>0</v>
      </c>
      <c r="G44">
        <f>SUMIF(ConfirmedRaw!$B:$B,$A44,ConfirmedRaw!J:J)</f>
        <v>0</v>
      </c>
      <c r="H44">
        <f>SUMIF(ConfirmedRaw!$B:$B,$A44,ConfirmedRaw!K:K)</f>
        <v>0</v>
      </c>
      <c r="I44">
        <f>SUMIF(ConfirmedRaw!$B:$B,$A44,ConfirmedRaw!L:L)</f>
        <v>0</v>
      </c>
      <c r="J44">
        <f>SUMIF(ConfirmedRaw!$B:$B,$A44,ConfirmedRaw!M:M)</f>
        <v>0</v>
      </c>
      <c r="K44">
        <f>SUMIF(ConfirmedRaw!$B:$B,$A44,ConfirmedRaw!N:N)</f>
        <v>0</v>
      </c>
      <c r="L44">
        <f>SUMIF(ConfirmedRaw!$B:$B,$A44,ConfirmedRaw!O:O)</f>
        <v>0</v>
      </c>
      <c r="M44">
        <f>SUMIF(ConfirmedRaw!$B:$B,$A44,ConfirmedRaw!P:P)</f>
        <v>0</v>
      </c>
      <c r="N44">
        <f>SUMIF(ConfirmedRaw!$B:$B,$A44,ConfirmedRaw!Q:Q)</f>
        <v>0</v>
      </c>
      <c r="O44">
        <f>SUMIF(ConfirmedRaw!$B:$B,$A44,ConfirmedRaw!R:R)</f>
        <v>0</v>
      </c>
      <c r="P44">
        <f>SUMIF(ConfirmedRaw!$B:$B,$A44,ConfirmedRaw!S:S)</f>
        <v>0</v>
      </c>
      <c r="Q44">
        <f>SUMIF(ConfirmedRaw!$B:$B,$A44,ConfirmedRaw!T:T)</f>
        <v>0</v>
      </c>
      <c r="R44">
        <f>SUMIF(ConfirmedRaw!$B:$B,$A44,ConfirmedRaw!U:U)</f>
        <v>0</v>
      </c>
      <c r="S44">
        <f>SUMIF(ConfirmedRaw!$B:$B,$A44,ConfirmedRaw!V:V)</f>
        <v>0</v>
      </c>
      <c r="T44">
        <f>SUMIF(ConfirmedRaw!$B:$B,$A44,ConfirmedRaw!W:W)</f>
        <v>0</v>
      </c>
      <c r="U44">
        <f>SUMIF(ConfirmedRaw!$B:$B,$A44,ConfirmedRaw!X:X)</f>
        <v>0</v>
      </c>
      <c r="V44">
        <f>SUMIF(ConfirmedRaw!$B:$B,$A44,ConfirmedRaw!Y:Y)</f>
        <v>0</v>
      </c>
      <c r="W44">
        <f>SUMIF(ConfirmedRaw!$B:$B,$A44,ConfirmedRaw!Z:Z)</f>
        <v>0</v>
      </c>
      <c r="X44">
        <f>SUMIF(ConfirmedRaw!$B:$B,$A44,ConfirmedRaw!AA:AA)</f>
        <v>0</v>
      </c>
      <c r="Y44">
        <f>SUMIF(ConfirmedRaw!$B:$B,$A44,ConfirmedRaw!AB:AB)</f>
        <v>0</v>
      </c>
      <c r="Z44">
        <f>SUMIF(ConfirmedRaw!$B:$B,$A44,ConfirmedRaw!AC:AC)</f>
        <v>0</v>
      </c>
      <c r="AA44">
        <f>SUMIF(ConfirmedRaw!$B:$B,$A44,ConfirmedRaw!AD:AD)</f>
        <v>0</v>
      </c>
      <c r="AB44">
        <f>SUMIF(ConfirmedRaw!$B:$B,$A44,ConfirmedRaw!AE:AE)</f>
        <v>0</v>
      </c>
      <c r="AC44">
        <f>SUMIF(ConfirmedRaw!$B:$B,$A44,ConfirmedRaw!AF:AF)</f>
        <v>0</v>
      </c>
      <c r="AD44">
        <f>SUMIF(ConfirmedRaw!$B:$B,$A44,ConfirmedRaw!AG:AG)</f>
        <v>0</v>
      </c>
      <c r="AE44">
        <f>SUMIF(ConfirmedRaw!$B:$B,$A44,ConfirmedRaw!AH:AH)</f>
        <v>0</v>
      </c>
      <c r="AF44">
        <f>SUMIF(ConfirmedRaw!$B:$B,$A44,ConfirmedRaw!AI:AI)</f>
        <v>1</v>
      </c>
      <c r="AG44">
        <f>SUMIF(ConfirmedRaw!$B:$B,$A44,ConfirmedRaw!AJ:AJ)</f>
        <v>1</v>
      </c>
      <c r="AH44">
        <f>SUMIF(ConfirmedRaw!$B:$B,$A44,ConfirmedRaw!AK:AK)</f>
        <v>1</v>
      </c>
      <c r="AI44">
        <f>SUMIF(ConfirmedRaw!$B:$B,$A44,ConfirmedRaw!AL:AL)</f>
        <v>1</v>
      </c>
      <c r="AJ44">
        <f>SUMIF(ConfirmedRaw!$B:$B,$A44,ConfirmedRaw!AM:AM)</f>
        <v>1</v>
      </c>
      <c r="AK44">
        <f>SUMIF(ConfirmedRaw!$B:$B,$A44,ConfirmedRaw!AN:AN)</f>
        <v>2</v>
      </c>
      <c r="AL44">
        <f>SUMIF(ConfirmedRaw!$B:$B,$A44,ConfirmedRaw!AO:AO)</f>
        <v>2</v>
      </c>
      <c r="AM44">
        <f>SUMIF(ConfirmedRaw!$B:$B,$A44,ConfirmedRaw!AP:AP)</f>
        <v>2</v>
      </c>
      <c r="AN44">
        <f>SUMIF(ConfirmedRaw!$B:$B,$A44,ConfirmedRaw!AQ:AQ)</f>
        <v>4</v>
      </c>
      <c r="AO44">
        <f>SUMIF(ConfirmedRaw!$B:$B,$A44,ConfirmedRaw!AR:AR)</f>
        <v>10</v>
      </c>
      <c r="AP44">
        <f>SUMIF(ConfirmedRaw!$B:$B,$A44,ConfirmedRaw!AS:AS)</f>
        <v>13</v>
      </c>
      <c r="AQ44">
        <f>SUMIF(ConfirmedRaw!$B:$B,$A44,ConfirmedRaw!AT:AT)</f>
        <v>13</v>
      </c>
      <c r="AR44">
        <f>SUMIF(ConfirmedRaw!$B:$B,$A44,ConfirmedRaw!AU:AU)</f>
        <v>13</v>
      </c>
      <c r="AS44">
        <f>SUMIF(ConfirmedRaw!$B:$B,$A44,ConfirmedRaw!AV:AV)</f>
        <v>16</v>
      </c>
      <c r="AT44">
        <f>SUMIF(ConfirmedRaw!$B:$B,$A44,ConfirmedRaw!AW:AW)</f>
        <v>22</v>
      </c>
      <c r="AU44">
        <f>SUMIF(ConfirmedRaw!$B:$B,$A44,ConfirmedRaw!AX:AX)</f>
        <v>22</v>
      </c>
      <c r="AV44">
        <f>SUMIF(ConfirmedRaw!$B:$B,$A44,ConfirmedRaw!AY:AY)</f>
        <v>32</v>
      </c>
      <c r="AW44">
        <f>SUMIF(ConfirmedRaw!$B:$B,$A44,ConfirmedRaw!AZ:AZ)</f>
        <v>32</v>
      </c>
      <c r="AX44">
        <f>SUMIF(ConfirmedRaw!$B:$B,$A44,ConfirmedRaw!BA:BA)</f>
        <v>41</v>
      </c>
      <c r="AY44">
        <f>SUMIF(ConfirmedRaw!$B:$B,$A44,ConfirmedRaw!BB:BB)</f>
        <v>61</v>
      </c>
      <c r="AZ44">
        <f>SUMIF(ConfirmedRaw!$B:$B,$A44,ConfirmedRaw!BC:BC)</f>
        <v>61</v>
      </c>
      <c r="BA44">
        <f>SUMIF(ConfirmedRaw!$B:$B,$A44,ConfirmedRaw!BD:BD)</f>
        <v>77</v>
      </c>
      <c r="BB44">
        <f>SUMIF(ConfirmedRaw!$B:$B,$A44,ConfirmedRaw!BE:BE)</f>
        <v>93</v>
      </c>
      <c r="BC44">
        <f>SUMIF(ConfirmedRaw!$B:$B,$A44,ConfirmedRaw!BF:BF)</f>
        <v>110</v>
      </c>
      <c r="BD44">
        <f>SUMIF(ConfirmedRaw!$B:$B,$A44,ConfirmedRaw!BG:BG)</f>
        <v>99</v>
      </c>
      <c r="BE44">
        <f>SUMIF(ConfirmedRaw!$B:$B,$A44,ConfirmedRaw!BH:BH)</f>
        <v>120</v>
      </c>
      <c r="BF44">
        <f>SUMIF(ConfirmedRaw!$B:$B,$A44,ConfirmedRaw!BI:BI)</f>
        <v>133</v>
      </c>
      <c r="BG44">
        <f>SUMIF(ConfirmedRaw!$B:$B,$A44,ConfirmedRaw!BJ:BJ)</f>
        <v>157</v>
      </c>
      <c r="BH44">
        <f>SUMIF(ConfirmedRaw!$B:$B,$A44,ConfirmedRaw!BK:BK)</f>
        <v>163</v>
      </c>
      <c r="BI44">
        <f>SUMIF(ConfirmedRaw!$B:$B,$A44,ConfirmedRaw!BL:BL)</f>
        <v>0</v>
      </c>
      <c r="BJ44">
        <f>SUMIF(ConfirmedRaw!$B:$B,$A44,ConfirmedRaw!BM:BM)</f>
        <v>0</v>
      </c>
      <c r="BK44">
        <f>SUMIF(ConfirmedRaw!$B:$B,$A44,ConfirmedRaw!BN:BN)</f>
        <v>0</v>
      </c>
      <c r="BL44">
        <f>SUMIF(ConfirmedRaw!$B:$B,$A44,ConfirmedRaw!BO:BO)</f>
        <v>0</v>
      </c>
      <c r="BM44">
        <f>SUMIF(ConfirmedRaw!$B:$B,$A44,ConfirmedRaw!BP:BP)</f>
        <v>0</v>
      </c>
      <c r="BN44">
        <f>SUMIF(ConfirmedRaw!$B:$B,$A44,ConfirmedRaw!BQ:BQ)</f>
        <v>0</v>
      </c>
      <c r="BO44">
        <f>SUMIF(ConfirmedRaw!$B:$B,$A44,ConfirmedRaw!BR:BR)</f>
        <v>0</v>
      </c>
      <c r="BP44">
        <f>SUMIF(ConfirmedRaw!$B:$B,$A44,ConfirmedRaw!BS:BS)</f>
        <v>0</v>
      </c>
      <c r="BQ44">
        <f>SUMIF(ConfirmedRaw!$B:$B,$A44,ConfirmedRaw!BT:BT)</f>
        <v>0</v>
      </c>
      <c r="BR44">
        <f>SUMIF(ConfirmedRaw!$B:$B,$A44,ConfirmedRaw!BU:BU)</f>
        <v>0</v>
      </c>
      <c r="BS44">
        <f>SUMIF(ConfirmedRaw!$B:$B,$A44,ConfirmedRaw!BV:BV)</f>
        <v>0</v>
      </c>
      <c r="BT44">
        <f>SUMIF(ConfirmedRaw!$B:$B,$A44,ConfirmedRaw!BW:BW)</f>
        <v>0</v>
      </c>
    </row>
    <row r="45" spans="1:72" ht="15" thickBot="1" x14ac:dyDescent="0.35">
      <c r="A45" s="3" t="s">
        <v>35</v>
      </c>
      <c r="B45">
        <f>SUMIF(ConfirmedRaw!$B:$B,$A45,ConfirmedRaw!E:E)</f>
        <v>2</v>
      </c>
      <c r="C45">
        <f>SUMIF(ConfirmedRaw!$B:$B,$A45,ConfirmedRaw!F:F)</f>
        <v>3</v>
      </c>
      <c r="D45">
        <f>SUMIF(ConfirmedRaw!$B:$B,$A45,ConfirmedRaw!G:G)</f>
        <v>5</v>
      </c>
      <c r="E45">
        <f>SUMIF(ConfirmedRaw!$B:$B,$A45,ConfirmedRaw!H:H)</f>
        <v>7</v>
      </c>
      <c r="F45">
        <f>SUMIF(ConfirmedRaw!$B:$B,$A45,ConfirmedRaw!I:I)</f>
        <v>8</v>
      </c>
      <c r="G45">
        <f>SUMIF(ConfirmedRaw!$B:$B,$A45,ConfirmedRaw!J:J)</f>
        <v>8</v>
      </c>
      <c r="H45">
        <f>SUMIF(ConfirmedRaw!$B:$B,$A45,ConfirmedRaw!K:K)</f>
        <v>14</v>
      </c>
      <c r="I45">
        <f>SUMIF(ConfirmedRaw!$B:$B,$A45,ConfirmedRaw!L:L)</f>
        <v>14</v>
      </c>
      <c r="J45">
        <f>SUMIF(ConfirmedRaw!$B:$B,$A45,ConfirmedRaw!M:M)</f>
        <v>14</v>
      </c>
      <c r="K45">
        <f>SUMIF(ConfirmedRaw!$B:$B,$A45,ConfirmedRaw!N:N)</f>
        <v>19</v>
      </c>
      <c r="L45">
        <f>SUMIF(ConfirmedRaw!$B:$B,$A45,ConfirmedRaw!O:O)</f>
        <v>19</v>
      </c>
      <c r="M45">
        <f>SUMIF(ConfirmedRaw!$B:$B,$A45,ConfirmedRaw!P:P)</f>
        <v>19</v>
      </c>
      <c r="N45">
        <f>SUMIF(ConfirmedRaw!$B:$B,$A45,ConfirmedRaw!Q:Q)</f>
        <v>19</v>
      </c>
      <c r="O45">
        <f>SUMIF(ConfirmedRaw!$B:$B,$A45,ConfirmedRaw!R:R)</f>
        <v>25</v>
      </c>
      <c r="P45">
        <f>SUMIF(ConfirmedRaw!$B:$B,$A45,ConfirmedRaw!S:S)</f>
        <v>25</v>
      </c>
      <c r="Q45">
        <f>SUMIF(ConfirmedRaw!$B:$B,$A45,ConfirmedRaw!T:T)</f>
        <v>25</v>
      </c>
      <c r="R45">
        <f>SUMIF(ConfirmedRaw!$B:$B,$A45,ConfirmedRaw!U:U)</f>
        <v>25</v>
      </c>
      <c r="S45">
        <f>SUMIF(ConfirmedRaw!$B:$B,$A45,ConfirmedRaw!V:V)</f>
        <v>32</v>
      </c>
      <c r="T45">
        <f>SUMIF(ConfirmedRaw!$B:$B,$A45,ConfirmedRaw!W:W)</f>
        <v>32</v>
      </c>
      <c r="U45">
        <f>SUMIF(ConfirmedRaw!$B:$B,$A45,ConfirmedRaw!X:X)</f>
        <v>32</v>
      </c>
      <c r="V45">
        <f>SUMIF(ConfirmedRaw!$B:$B,$A45,ConfirmedRaw!Y:Y)</f>
        <v>33</v>
      </c>
      <c r="W45">
        <f>SUMIF(ConfirmedRaw!$B:$B,$A45,ConfirmedRaw!Z:Z)</f>
        <v>33</v>
      </c>
      <c r="X45">
        <f>SUMIF(ConfirmedRaw!$B:$B,$A45,ConfirmedRaw!AA:AA)</f>
        <v>33</v>
      </c>
      <c r="Y45">
        <f>SUMIF(ConfirmedRaw!$B:$B,$A45,ConfirmedRaw!AB:AB)</f>
        <v>33</v>
      </c>
      <c r="Z45">
        <f>SUMIF(ConfirmedRaw!$B:$B,$A45,ConfirmedRaw!AC:AC)</f>
        <v>33</v>
      </c>
      <c r="AA45">
        <f>SUMIF(ConfirmedRaw!$B:$B,$A45,ConfirmedRaw!AD:AD)</f>
        <v>34</v>
      </c>
      <c r="AB45">
        <f>SUMIF(ConfirmedRaw!$B:$B,$A45,ConfirmedRaw!AE:AE)</f>
        <v>35</v>
      </c>
      <c r="AC45">
        <f>SUMIF(ConfirmedRaw!$B:$B,$A45,ConfirmedRaw!AF:AF)</f>
        <v>35</v>
      </c>
      <c r="AD45">
        <f>SUMIF(ConfirmedRaw!$B:$B,$A45,ConfirmedRaw!AG:AG)</f>
        <v>35</v>
      </c>
      <c r="AE45">
        <f>SUMIF(ConfirmedRaw!$B:$B,$A45,ConfirmedRaw!AH:AH)</f>
        <v>35</v>
      </c>
      <c r="AF45">
        <f>SUMIF(ConfirmedRaw!$B:$B,$A45,ConfirmedRaw!AI:AI)</f>
        <v>35</v>
      </c>
      <c r="AG45">
        <f>SUMIF(ConfirmedRaw!$B:$B,$A45,ConfirmedRaw!AJ:AJ)</f>
        <v>35</v>
      </c>
      <c r="AH45">
        <f>SUMIF(ConfirmedRaw!$B:$B,$A45,ConfirmedRaw!AK:AK)</f>
        <v>35</v>
      </c>
      <c r="AI45">
        <f>SUMIF(ConfirmedRaw!$B:$B,$A45,ConfirmedRaw!AL:AL)</f>
        <v>35</v>
      </c>
      <c r="AJ45">
        <f>SUMIF(ConfirmedRaw!$B:$B,$A45,ConfirmedRaw!AM:AM)</f>
        <v>37</v>
      </c>
      <c r="AK45">
        <f>SUMIF(ConfirmedRaw!$B:$B,$A45,ConfirmedRaw!AN:AN)</f>
        <v>40</v>
      </c>
      <c r="AL45">
        <f>SUMIF(ConfirmedRaw!$B:$B,$A45,ConfirmedRaw!AO:AO)</f>
        <v>40</v>
      </c>
      <c r="AM45">
        <f>SUMIF(ConfirmedRaw!$B:$B,$A45,ConfirmedRaw!AP:AP)</f>
        <v>41</v>
      </c>
      <c r="AN45">
        <f>SUMIF(ConfirmedRaw!$B:$B,$A45,ConfirmedRaw!AQ:AQ)</f>
        <v>42</v>
      </c>
      <c r="AO45">
        <f>SUMIF(ConfirmedRaw!$B:$B,$A45,ConfirmedRaw!AR:AR)</f>
        <v>42</v>
      </c>
      <c r="AP45">
        <f>SUMIF(ConfirmedRaw!$B:$B,$A45,ConfirmedRaw!AS:AS)</f>
        <v>43</v>
      </c>
      <c r="AQ45">
        <f>SUMIF(ConfirmedRaw!$B:$B,$A45,ConfirmedRaw!AT:AT)</f>
        <v>43</v>
      </c>
      <c r="AR45">
        <f>SUMIF(ConfirmedRaw!$B:$B,$A45,ConfirmedRaw!AU:AU)</f>
        <v>43</v>
      </c>
      <c r="AS45">
        <f>SUMIF(ConfirmedRaw!$B:$B,$A45,ConfirmedRaw!AV:AV)</f>
        <v>47</v>
      </c>
      <c r="AT45">
        <f>SUMIF(ConfirmedRaw!$B:$B,$A45,ConfirmedRaw!AW:AW)</f>
        <v>48</v>
      </c>
      <c r="AU45">
        <f>SUMIF(ConfirmedRaw!$B:$B,$A45,ConfirmedRaw!AX:AX)</f>
        <v>50</v>
      </c>
      <c r="AV45">
        <f>SUMIF(ConfirmedRaw!$B:$B,$A45,ConfirmedRaw!AY:AY)</f>
        <v>50</v>
      </c>
      <c r="AW45">
        <f>SUMIF(ConfirmedRaw!$B:$B,$A45,ConfirmedRaw!AZ:AZ)</f>
        <v>50</v>
      </c>
      <c r="AX45">
        <f>SUMIF(ConfirmedRaw!$B:$B,$A45,ConfirmedRaw!BA:BA)</f>
        <v>53</v>
      </c>
      <c r="AY45">
        <f>SUMIF(ConfirmedRaw!$B:$B,$A45,ConfirmedRaw!BB:BB)</f>
        <v>59</v>
      </c>
      <c r="AZ45">
        <f>SUMIF(ConfirmedRaw!$B:$B,$A45,ConfirmedRaw!BC:BC)</f>
        <v>70</v>
      </c>
      <c r="BA45">
        <f>SUMIF(ConfirmedRaw!$B:$B,$A45,ConfirmedRaw!BD:BD)</f>
        <v>75</v>
      </c>
      <c r="BB45">
        <f>SUMIF(ConfirmedRaw!$B:$B,$A45,ConfirmedRaw!BE:BE)</f>
        <v>82</v>
      </c>
      <c r="BC45">
        <f>SUMIF(ConfirmedRaw!$B:$B,$A45,ConfirmedRaw!BF:BF)</f>
        <v>114</v>
      </c>
      <c r="BD45">
        <f>SUMIF(ConfirmedRaw!$B:$B,$A45,ConfirmedRaw!BG:BG)</f>
        <v>147</v>
      </c>
      <c r="BE45">
        <f>SUMIF(ConfirmedRaw!$B:$B,$A45,ConfirmedRaw!BH:BH)</f>
        <v>177</v>
      </c>
      <c r="BF45">
        <f>SUMIF(ConfirmedRaw!$B:$B,$A45,ConfirmedRaw!BI:BI)</f>
        <v>212</v>
      </c>
      <c r="BG45">
        <f>SUMIF(ConfirmedRaw!$B:$B,$A45,ConfirmedRaw!BJ:BJ)</f>
        <v>272</v>
      </c>
      <c r="BH45">
        <f>SUMIF(ConfirmedRaw!$B:$B,$A45,ConfirmedRaw!BK:BK)</f>
        <v>322</v>
      </c>
      <c r="BI45">
        <f>SUMIF(ConfirmedRaw!$B:$B,$A45,ConfirmedRaw!BL:BL)</f>
        <v>0</v>
      </c>
      <c r="BJ45">
        <f>SUMIF(ConfirmedRaw!$B:$B,$A45,ConfirmedRaw!BM:BM)</f>
        <v>0</v>
      </c>
      <c r="BK45">
        <f>SUMIF(ConfirmedRaw!$B:$B,$A45,ConfirmedRaw!BN:BN)</f>
        <v>0</v>
      </c>
      <c r="BL45">
        <f>SUMIF(ConfirmedRaw!$B:$B,$A45,ConfirmedRaw!BO:BO)</f>
        <v>0</v>
      </c>
      <c r="BM45">
        <f>SUMIF(ConfirmedRaw!$B:$B,$A45,ConfirmedRaw!BP:BP)</f>
        <v>0</v>
      </c>
      <c r="BN45">
        <f>SUMIF(ConfirmedRaw!$B:$B,$A45,ConfirmedRaw!BQ:BQ)</f>
        <v>0</v>
      </c>
      <c r="BO45">
        <f>SUMIF(ConfirmedRaw!$B:$B,$A45,ConfirmedRaw!BR:BR)</f>
        <v>0</v>
      </c>
      <c r="BP45">
        <f>SUMIF(ConfirmedRaw!$B:$B,$A45,ConfirmedRaw!BS:BS)</f>
        <v>0</v>
      </c>
      <c r="BQ45">
        <f>SUMIF(ConfirmedRaw!$B:$B,$A45,ConfirmedRaw!BT:BT)</f>
        <v>0</v>
      </c>
      <c r="BR45">
        <f>SUMIF(ConfirmedRaw!$B:$B,$A45,ConfirmedRaw!BU:BU)</f>
        <v>0</v>
      </c>
      <c r="BS45">
        <f>SUMIF(ConfirmedRaw!$B:$B,$A45,ConfirmedRaw!BV:BV)</f>
        <v>0</v>
      </c>
      <c r="BT45">
        <f>SUMIF(ConfirmedRaw!$B:$B,$A45,ConfirmedRaw!BW:BW)</f>
        <v>0</v>
      </c>
    </row>
    <row r="46" spans="1:72" ht="15" thickBot="1" x14ac:dyDescent="0.35">
      <c r="A46" s="4" t="s">
        <v>107</v>
      </c>
      <c r="B46">
        <f>SUMIF(ConfirmedRaw!$B:$B,$A46,ConfirmedRaw!E:E)</f>
        <v>0</v>
      </c>
      <c r="C46">
        <f>SUMIF(ConfirmedRaw!$B:$B,$A46,ConfirmedRaw!F:F)</f>
        <v>0</v>
      </c>
      <c r="D46">
        <f>SUMIF(ConfirmedRaw!$B:$B,$A46,ConfirmedRaw!G:G)</f>
        <v>0</v>
      </c>
      <c r="E46">
        <f>SUMIF(ConfirmedRaw!$B:$B,$A46,ConfirmedRaw!H:H)</f>
        <v>0</v>
      </c>
      <c r="F46">
        <f>SUMIF(ConfirmedRaw!$B:$B,$A46,ConfirmedRaw!I:I)</f>
        <v>0</v>
      </c>
      <c r="G46">
        <f>SUMIF(ConfirmedRaw!$B:$B,$A46,ConfirmedRaw!J:J)</f>
        <v>0</v>
      </c>
      <c r="H46">
        <f>SUMIF(ConfirmedRaw!$B:$B,$A46,ConfirmedRaw!K:K)</f>
        <v>0</v>
      </c>
      <c r="I46">
        <f>SUMIF(ConfirmedRaw!$B:$B,$A46,ConfirmedRaw!L:L)</f>
        <v>0</v>
      </c>
      <c r="J46">
        <f>SUMIF(ConfirmedRaw!$B:$B,$A46,ConfirmedRaw!M:M)</f>
        <v>0</v>
      </c>
      <c r="K46">
        <f>SUMIF(ConfirmedRaw!$B:$B,$A46,ConfirmedRaw!N:N)</f>
        <v>0</v>
      </c>
      <c r="L46">
        <f>SUMIF(ConfirmedRaw!$B:$B,$A46,ConfirmedRaw!O:O)</f>
        <v>0</v>
      </c>
      <c r="M46">
        <f>SUMIF(ConfirmedRaw!$B:$B,$A46,ConfirmedRaw!P:P)</f>
        <v>0</v>
      </c>
      <c r="N46">
        <f>SUMIF(ConfirmedRaw!$B:$B,$A46,ConfirmedRaw!Q:Q)</f>
        <v>0</v>
      </c>
      <c r="O46">
        <f>SUMIF(ConfirmedRaw!$B:$B,$A46,ConfirmedRaw!R:R)</f>
        <v>0</v>
      </c>
      <c r="P46">
        <f>SUMIF(ConfirmedRaw!$B:$B,$A46,ConfirmedRaw!S:S)</f>
        <v>0</v>
      </c>
      <c r="Q46">
        <f>SUMIF(ConfirmedRaw!$B:$B,$A46,ConfirmedRaw!T:T)</f>
        <v>0</v>
      </c>
      <c r="R46">
        <f>SUMIF(ConfirmedRaw!$B:$B,$A46,ConfirmedRaw!U:U)</f>
        <v>0</v>
      </c>
      <c r="S46">
        <f>SUMIF(ConfirmedRaw!$B:$B,$A46,ConfirmedRaw!V:V)</f>
        <v>0</v>
      </c>
      <c r="T46">
        <f>SUMIF(ConfirmedRaw!$B:$B,$A46,ConfirmedRaw!W:W)</f>
        <v>0</v>
      </c>
      <c r="U46">
        <f>SUMIF(ConfirmedRaw!$B:$B,$A46,ConfirmedRaw!X:X)</f>
        <v>0</v>
      </c>
      <c r="V46">
        <f>SUMIF(ConfirmedRaw!$B:$B,$A46,ConfirmedRaw!Y:Y)</f>
        <v>0</v>
      </c>
      <c r="W46">
        <f>SUMIF(ConfirmedRaw!$B:$B,$A46,ConfirmedRaw!Z:Z)</f>
        <v>0</v>
      </c>
      <c r="X46">
        <f>SUMIF(ConfirmedRaw!$B:$B,$A46,ConfirmedRaw!AA:AA)</f>
        <v>0</v>
      </c>
      <c r="Y46">
        <f>SUMIF(ConfirmedRaw!$B:$B,$A46,ConfirmedRaw!AB:AB)</f>
        <v>0</v>
      </c>
      <c r="Z46">
        <f>SUMIF(ConfirmedRaw!$B:$B,$A46,ConfirmedRaw!AC:AC)</f>
        <v>0</v>
      </c>
      <c r="AA46">
        <f>SUMIF(ConfirmedRaw!$B:$B,$A46,ConfirmedRaw!AD:AD)</f>
        <v>0</v>
      </c>
      <c r="AB46">
        <f>SUMIF(ConfirmedRaw!$B:$B,$A46,ConfirmedRaw!AE:AE)</f>
        <v>0</v>
      </c>
      <c r="AC46">
        <f>SUMIF(ConfirmedRaw!$B:$B,$A46,ConfirmedRaw!AF:AF)</f>
        <v>0</v>
      </c>
      <c r="AD46">
        <f>SUMIF(ConfirmedRaw!$B:$B,$A46,ConfirmedRaw!AG:AG)</f>
        <v>0</v>
      </c>
      <c r="AE46">
        <f>SUMIF(ConfirmedRaw!$B:$B,$A46,ConfirmedRaw!AH:AH)</f>
        <v>0</v>
      </c>
      <c r="AF46">
        <f>SUMIF(ConfirmedRaw!$B:$B,$A46,ConfirmedRaw!AI:AI)</f>
        <v>0</v>
      </c>
      <c r="AG46">
        <f>SUMIF(ConfirmedRaw!$B:$B,$A46,ConfirmedRaw!AJ:AJ)</f>
        <v>0</v>
      </c>
      <c r="AH46">
        <f>SUMIF(ConfirmedRaw!$B:$B,$A46,ConfirmedRaw!AK:AK)</f>
        <v>0</v>
      </c>
      <c r="AI46">
        <f>SUMIF(ConfirmedRaw!$B:$B,$A46,ConfirmedRaw!AL:AL)</f>
        <v>0</v>
      </c>
      <c r="AJ46">
        <f>SUMIF(ConfirmedRaw!$B:$B,$A46,ConfirmedRaw!AM:AM)</f>
        <v>0</v>
      </c>
      <c r="AK46">
        <f>SUMIF(ConfirmedRaw!$B:$B,$A46,ConfirmedRaw!AN:AN)</f>
        <v>0</v>
      </c>
      <c r="AL46">
        <f>SUMIF(ConfirmedRaw!$B:$B,$A46,ConfirmedRaw!AO:AO)</f>
        <v>0</v>
      </c>
      <c r="AM46">
        <f>SUMIF(ConfirmedRaw!$B:$B,$A46,ConfirmedRaw!AP:AP)</f>
        <v>0</v>
      </c>
      <c r="AN46">
        <f>SUMIF(ConfirmedRaw!$B:$B,$A46,ConfirmedRaw!AQ:AQ)</f>
        <v>0</v>
      </c>
      <c r="AO46">
        <f>SUMIF(ConfirmedRaw!$B:$B,$A46,ConfirmedRaw!AR:AR)</f>
        <v>0</v>
      </c>
      <c r="AP46">
        <f>SUMIF(ConfirmedRaw!$B:$B,$A46,ConfirmedRaw!AS:AS)</f>
        <v>2</v>
      </c>
      <c r="AQ46">
        <f>SUMIF(ConfirmedRaw!$B:$B,$A46,ConfirmedRaw!AT:AT)</f>
        <v>2</v>
      </c>
      <c r="AR46">
        <f>SUMIF(ConfirmedRaw!$B:$B,$A46,ConfirmedRaw!AU:AU)</f>
        <v>2</v>
      </c>
      <c r="AS46">
        <f>SUMIF(ConfirmedRaw!$B:$B,$A46,ConfirmedRaw!AV:AV)</f>
        <v>2</v>
      </c>
      <c r="AT46">
        <f>SUMIF(ConfirmedRaw!$B:$B,$A46,ConfirmedRaw!AW:AW)</f>
        <v>4</v>
      </c>
      <c r="AU46">
        <f>SUMIF(ConfirmedRaw!$B:$B,$A46,ConfirmedRaw!AX:AX)</f>
        <v>4</v>
      </c>
      <c r="AV46">
        <f>SUMIF(ConfirmedRaw!$B:$B,$A46,ConfirmedRaw!AY:AY)</f>
        <v>6</v>
      </c>
      <c r="AW46">
        <f>SUMIF(ConfirmedRaw!$B:$B,$A46,ConfirmedRaw!AZ:AZ)</f>
        <v>19</v>
      </c>
      <c r="AX46">
        <f>SUMIF(ConfirmedRaw!$B:$B,$A46,ConfirmedRaw!BA:BA)</f>
        <v>27</v>
      </c>
      <c r="AY46">
        <f>SUMIF(ConfirmedRaw!$B:$B,$A46,ConfirmedRaw!BB:BB)</f>
        <v>34</v>
      </c>
      <c r="AZ46">
        <f>SUMIF(ConfirmedRaw!$B:$B,$A46,ConfirmedRaw!BC:BC)</f>
        <v>34</v>
      </c>
      <c r="BA46">
        <f>SUMIF(ConfirmedRaw!$B:$B,$A46,ConfirmedRaw!BD:BD)</f>
        <v>69</v>
      </c>
      <c r="BB46">
        <f>SUMIF(ConfirmedRaw!$B:$B,$A46,ConfirmedRaw!BE:BE)</f>
        <v>96</v>
      </c>
      <c r="BC46">
        <f>SUMIF(ConfirmedRaw!$B:$B,$A46,ConfirmedRaw!BF:BF)</f>
        <v>117</v>
      </c>
      <c r="BD46">
        <f>SUMIF(ConfirmedRaw!$B:$B,$A46,ConfirmedRaw!BG:BG)</f>
        <v>134</v>
      </c>
      <c r="BE46">
        <f>SUMIF(ConfirmedRaw!$B:$B,$A46,ConfirmedRaw!BH:BH)</f>
        <v>172</v>
      </c>
      <c r="BF46">
        <f>SUMIF(ConfirmedRaw!$B:$B,$A46,ConfirmedRaw!BI:BI)</f>
        <v>227</v>
      </c>
      <c r="BG46">
        <f>SUMIF(ConfirmedRaw!$B:$B,$A46,ConfirmedRaw!BJ:BJ)</f>
        <v>311</v>
      </c>
      <c r="BH46">
        <f>SUMIF(ConfirmedRaw!$B:$B,$A46,ConfirmedRaw!BK:BK)</f>
        <v>369</v>
      </c>
      <c r="BI46">
        <f>SUMIF(ConfirmedRaw!$B:$B,$A46,ConfirmedRaw!BL:BL)</f>
        <v>0</v>
      </c>
      <c r="BJ46">
        <f>SUMIF(ConfirmedRaw!$B:$B,$A46,ConfirmedRaw!BM:BM)</f>
        <v>0</v>
      </c>
      <c r="BK46">
        <f>SUMIF(ConfirmedRaw!$B:$B,$A46,ConfirmedRaw!BN:BN)</f>
        <v>0</v>
      </c>
      <c r="BL46">
        <f>SUMIF(ConfirmedRaw!$B:$B,$A46,ConfirmedRaw!BO:BO)</f>
        <v>0</v>
      </c>
      <c r="BM46">
        <f>SUMIF(ConfirmedRaw!$B:$B,$A46,ConfirmedRaw!BP:BP)</f>
        <v>0</v>
      </c>
      <c r="BN46">
        <f>SUMIF(ConfirmedRaw!$B:$B,$A46,ConfirmedRaw!BQ:BQ)</f>
        <v>0</v>
      </c>
      <c r="BO46">
        <f>SUMIF(ConfirmedRaw!$B:$B,$A46,ConfirmedRaw!BR:BR)</f>
        <v>0</v>
      </c>
      <c r="BP46">
        <f>SUMIF(ConfirmedRaw!$B:$B,$A46,ConfirmedRaw!BS:BS)</f>
        <v>0</v>
      </c>
      <c r="BQ46">
        <f>SUMIF(ConfirmedRaw!$B:$B,$A46,ConfirmedRaw!BT:BT)</f>
        <v>0</v>
      </c>
      <c r="BR46">
        <f>SUMIF(ConfirmedRaw!$B:$B,$A46,ConfirmedRaw!BU:BU)</f>
        <v>0</v>
      </c>
      <c r="BS46">
        <f>SUMIF(ConfirmedRaw!$B:$B,$A46,ConfirmedRaw!BV:BV)</f>
        <v>0</v>
      </c>
      <c r="BT46">
        <f>SUMIF(ConfirmedRaw!$B:$B,$A46,ConfirmedRaw!BW:BW)</f>
        <v>0</v>
      </c>
    </row>
    <row r="47" spans="1:72" ht="15" thickBot="1" x14ac:dyDescent="0.35">
      <c r="A47" s="3" t="s">
        <v>137</v>
      </c>
      <c r="B47">
        <f>SUMIF(ConfirmedRaw!$B:$B,$A47,ConfirmedRaw!E:E)</f>
        <v>0</v>
      </c>
      <c r="C47">
        <f>SUMIF(ConfirmedRaw!$B:$B,$A47,ConfirmedRaw!F:F)</f>
        <v>0</v>
      </c>
      <c r="D47">
        <f>SUMIF(ConfirmedRaw!$B:$B,$A47,ConfirmedRaw!G:G)</f>
        <v>0</v>
      </c>
      <c r="E47">
        <f>SUMIF(ConfirmedRaw!$B:$B,$A47,ConfirmedRaw!H:H)</f>
        <v>0</v>
      </c>
      <c r="F47">
        <f>SUMIF(ConfirmedRaw!$B:$B,$A47,ConfirmedRaw!I:I)</f>
        <v>0</v>
      </c>
      <c r="G47">
        <f>SUMIF(ConfirmedRaw!$B:$B,$A47,ConfirmedRaw!J:J)</f>
        <v>0</v>
      </c>
      <c r="H47">
        <f>SUMIF(ConfirmedRaw!$B:$B,$A47,ConfirmedRaw!K:K)</f>
        <v>0</v>
      </c>
      <c r="I47">
        <f>SUMIF(ConfirmedRaw!$B:$B,$A47,ConfirmedRaw!L:L)</f>
        <v>0</v>
      </c>
      <c r="J47">
        <f>SUMIF(ConfirmedRaw!$B:$B,$A47,ConfirmedRaw!M:M)</f>
        <v>0</v>
      </c>
      <c r="K47">
        <f>SUMIF(ConfirmedRaw!$B:$B,$A47,ConfirmedRaw!N:N)</f>
        <v>0</v>
      </c>
      <c r="L47">
        <f>SUMIF(ConfirmedRaw!$B:$B,$A47,ConfirmedRaw!O:O)</f>
        <v>0</v>
      </c>
      <c r="M47">
        <f>SUMIF(ConfirmedRaw!$B:$B,$A47,ConfirmedRaw!P:P)</f>
        <v>0</v>
      </c>
      <c r="N47">
        <f>SUMIF(ConfirmedRaw!$B:$B,$A47,ConfirmedRaw!Q:Q)</f>
        <v>0</v>
      </c>
      <c r="O47">
        <f>SUMIF(ConfirmedRaw!$B:$B,$A47,ConfirmedRaw!R:R)</f>
        <v>0</v>
      </c>
      <c r="P47">
        <f>SUMIF(ConfirmedRaw!$B:$B,$A47,ConfirmedRaw!S:S)</f>
        <v>0</v>
      </c>
      <c r="Q47">
        <f>SUMIF(ConfirmedRaw!$B:$B,$A47,ConfirmedRaw!T:T)</f>
        <v>0</v>
      </c>
      <c r="R47">
        <f>SUMIF(ConfirmedRaw!$B:$B,$A47,ConfirmedRaw!U:U)</f>
        <v>0</v>
      </c>
      <c r="S47">
        <f>SUMIF(ConfirmedRaw!$B:$B,$A47,ConfirmedRaw!V:V)</f>
        <v>0</v>
      </c>
      <c r="T47">
        <f>SUMIF(ConfirmedRaw!$B:$B,$A47,ConfirmedRaw!W:W)</f>
        <v>0</v>
      </c>
      <c r="U47">
        <f>SUMIF(ConfirmedRaw!$B:$B,$A47,ConfirmedRaw!X:X)</f>
        <v>0</v>
      </c>
      <c r="V47">
        <f>SUMIF(ConfirmedRaw!$B:$B,$A47,ConfirmedRaw!Y:Y)</f>
        <v>0</v>
      </c>
      <c r="W47">
        <f>SUMIF(ConfirmedRaw!$B:$B,$A47,ConfirmedRaw!Z:Z)</f>
        <v>0</v>
      </c>
      <c r="X47">
        <f>SUMIF(ConfirmedRaw!$B:$B,$A47,ConfirmedRaw!AA:AA)</f>
        <v>0</v>
      </c>
      <c r="Y47">
        <f>SUMIF(ConfirmedRaw!$B:$B,$A47,ConfirmedRaw!AB:AB)</f>
        <v>0</v>
      </c>
      <c r="Z47">
        <f>SUMIF(ConfirmedRaw!$B:$B,$A47,ConfirmedRaw!AC:AC)</f>
        <v>0</v>
      </c>
      <c r="AA47">
        <f>SUMIF(ConfirmedRaw!$B:$B,$A47,ConfirmedRaw!AD:AD)</f>
        <v>0</v>
      </c>
      <c r="AB47">
        <f>SUMIF(ConfirmedRaw!$B:$B,$A47,ConfirmedRaw!AE:AE)</f>
        <v>0</v>
      </c>
      <c r="AC47">
        <f>SUMIF(ConfirmedRaw!$B:$B,$A47,ConfirmedRaw!AF:AF)</f>
        <v>0</v>
      </c>
      <c r="AD47">
        <f>SUMIF(ConfirmedRaw!$B:$B,$A47,ConfirmedRaw!AG:AG)</f>
        <v>0</v>
      </c>
      <c r="AE47">
        <f>SUMIF(ConfirmedRaw!$B:$B,$A47,ConfirmedRaw!AH:AH)</f>
        <v>0</v>
      </c>
      <c r="AF47">
        <f>SUMIF(ConfirmedRaw!$B:$B,$A47,ConfirmedRaw!AI:AI)</f>
        <v>0</v>
      </c>
      <c r="AG47">
        <f>SUMIF(ConfirmedRaw!$B:$B,$A47,ConfirmedRaw!AJ:AJ)</f>
        <v>0</v>
      </c>
      <c r="AH47">
        <f>SUMIF(ConfirmedRaw!$B:$B,$A47,ConfirmedRaw!AK:AK)</f>
        <v>0</v>
      </c>
      <c r="AI47">
        <f>SUMIF(ConfirmedRaw!$B:$B,$A47,ConfirmedRaw!AL:AL)</f>
        <v>0</v>
      </c>
      <c r="AJ47">
        <f>SUMIF(ConfirmedRaw!$B:$B,$A47,ConfirmedRaw!AM:AM)</f>
        <v>0</v>
      </c>
      <c r="AK47">
        <f>SUMIF(ConfirmedRaw!$B:$B,$A47,ConfirmedRaw!AN:AN)</f>
        <v>0</v>
      </c>
      <c r="AL47">
        <f>SUMIF(ConfirmedRaw!$B:$B,$A47,ConfirmedRaw!AO:AO)</f>
        <v>0</v>
      </c>
      <c r="AM47">
        <f>SUMIF(ConfirmedRaw!$B:$B,$A47,ConfirmedRaw!AP:AP)</f>
        <v>0</v>
      </c>
      <c r="AN47">
        <f>SUMIF(ConfirmedRaw!$B:$B,$A47,ConfirmedRaw!AQ:AQ)</f>
        <v>0</v>
      </c>
      <c r="AO47">
        <f>SUMIF(ConfirmedRaw!$B:$B,$A47,ConfirmedRaw!AR:AR)</f>
        <v>0</v>
      </c>
      <c r="AP47">
        <f>SUMIF(ConfirmedRaw!$B:$B,$A47,ConfirmedRaw!AS:AS)</f>
        <v>0</v>
      </c>
      <c r="AQ47">
        <f>SUMIF(ConfirmedRaw!$B:$B,$A47,ConfirmedRaw!AT:AT)</f>
        <v>0</v>
      </c>
      <c r="AR47">
        <f>SUMIF(ConfirmedRaw!$B:$B,$A47,ConfirmedRaw!AU:AU)</f>
        <v>1</v>
      </c>
      <c r="AS47">
        <f>SUMIF(ConfirmedRaw!$B:$B,$A47,ConfirmedRaw!AV:AV)</f>
        <v>1</v>
      </c>
      <c r="AT47">
        <f>SUMIF(ConfirmedRaw!$B:$B,$A47,ConfirmedRaw!AW:AW)</f>
        <v>5</v>
      </c>
      <c r="AU47">
        <f>SUMIF(ConfirmedRaw!$B:$B,$A47,ConfirmedRaw!AX:AX)</f>
        <v>5</v>
      </c>
      <c r="AV47">
        <f>SUMIF(ConfirmedRaw!$B:$B,$A47,ConfirmedRaw!AY:AY)</f>
        <v>11</v>
      </c>
      <c r="AW47">
        <f>SUMIF(ConfirmedRaw!$B:$B,$A47,ConfirmedRaw!AZ:AZ)</f>
        <v>16</v>
      </c>
      <c r="AX47">
        <f>SUMIF(ConfirmedRaw!$B:$B,$A47,ConfirmedRaw!BA:BA)</f>
        <v>22</v>
      </c>
      <c r="AY47">
        <f>SUMIF(ConfirmedRaw!$B:$B,$A47,ConfirmedRaw!BB:BB)</f>
        <v>31</v>
      </c>
      <c r="AZ47">
        <f>SUMIF(ConfirmedRaw!$B:$B,$A47,ConfirmedRaw!BC:BC)</f>
        <v>49</v>
      </c>
      <c r="BA47">
        <f>SUMIF(ConfirmedRaw!$B:$B,$A47,ConfirmedRaw!BD:BD)</f>
        <v>68</v>
      </c>
      <c r="BB47">
        <f>SUMIF(ConfirmedRaw!$B:$B,$A47,ConfirmedRaw!BE:BE)</f>
        <v>103</v>
      </c>
      <c r="BC47">
        <f>SUMIF(ConfirmedRaw!$B:$B,$A47,ConfirmedRaw!BF:BF)</f>
        <v>119</v>
      </c>
      <c r="BD47">
        <f>SUMIF(ConfirmedRaw!$B:$B,$A47,ConfirmedRaw!BG:BG)</f>
        <v>177</v>
      </c>
      <c r="BE47">
        <f>SUMIF(ConfirmedRaw!$B:$B,$A47,ConfirmedRaw!BH:BH)</f>
        <v>238</v>
      </c>
      <c r="BF47">
        <f>SUMIF(ConfirmedRaw!$B:$B,$A47,ConfirmedRaw!BI:BI)</f>
        <v>251</v>
      </c>
      <c r="BG47">
        <f>SUMIF(ConfirmedRaw!$B:$B,$A47,ConfirmedRaw!BJ:BJ)</f>
        <v>355</v>
      </c>
      <c r="BH47">
        <f>SUMIF(ConfirmedRaw!$B:$B,$A47,ConfirmedRaw!BK:BK)</f>
        <v>425</v>
      </c>
      <c r="BI47">
        <f>SUMIF(ConfirmedRaw!$B:$B,$A47,ConfirmedRaw!BL:BL)</f>
        <v>0</v>
      </c>
      <c r="BJ47">
        <f>SUMIF(ConfirmedRaw!$B:$B,$A47,ConfirmedRaw!BM:BM)</f>
        <v>0</v>
      </c>
      <c r="BK47">
        <f>SUMIF(ConfirmedRaw!$B:$B,$A47,ConfirmedRaw!BN:BN)</f>
        <v>0</v>
      </c>
      <c r="BL47">
        <f>SUMIF(ConfirmedRaw!$B:$B,$A47,ConfirmedRaw!BO:BO)</f>
        <v>0</v>
      </c>
      <c r="BM47">
        <f>SUMIF(ConfirmedRaw!$B:$B,$A47,ConfirmedRaw!BP:BP)</f>
        <v>0</v>
      </c>
      <c r="BN47">
        <f>SUMIF(ConfirmedRaw!$B:$B,$A47,ConfirmedRaw!BQ:BQ)</f>
        <v>0</v>
      </c>
      <c r="BO47">
        <f>SUMIF(ConfirmedRaw!$B:$B,$A47,ConfirmedRaw!BR:BR)</f>
        <v>0</v>
      </c>
      <c r="BP47">
        <f>SUMIF(ConfirmedRaw!$B:$B,$A47,ConfirmedRaw!BS:BS)</f>
        <v>0</v>
      </c>
      <c r="BQ47">
        <f>SUMIF(ConfirmedRaw!$B:$B,$A47,ConfirmedRaw!BT:BT)</f>
        <v>0</v>
      </c>
      <c r="BR47">
        <f>SUMIF(ConfirmedRaw!$B:$B,$A47,ConfirmedRaw!BU:BU)</f>
        <v>0</v>
      </c>
      <c r="BS47">
        <f>SUMIF(ConfirmedRaw!$B:$B,$A47,ConfirmedRaw!BV:BV)</f>
        <v>0</v>
      </c>
      <c r="BT47">
        <f>SUMIF(ConfirmedRaw!$B:$B,$A47,ConfirmedRaw!BW:BW)</f>
        <v>0</v>
      </c>
    </row>
    <row r="48" spans="1:72" ht="15" thickBot="1" x14ac:dyDescent="0.35">
      <c r="A48" s="3" t="s">
        <v>56</v>
      </c>
      <c r="B48">
        <f>SUMIF(ConfirmedRaw!$B:$B,$A48,ConfirmedRaw!E:E)</f>
        <v>0</v>
      </c>
      <c r="C48">
        <f>SUMIF(ConfirmedRaw!$B:$B,$A48,ConfirmedRaw!F:F)</f>
        <v>0</v>
      </c>
      <c r="D48">
        <f>SUMIF(ConfirmedRaw!$B:$B,$A48,ConfirmedRaw!G:G)</f>
        <v>0</v>
      </c>
      <c r="E48">
        <f>SUMIF(ConfirmedRaw!$B:$B,$A48,ConfirmedRaw!H:H)</f>
        <v>0</v>
      </c>
      <c r="F48">
        <f>SUMIF(ConfirmedRaw!$B:$B,$A48,ConfirmedRaw!I:I)</f>
        <v>0</v>
      </c>
      <c r="G48">
        <f>SUMIF(ConfirmedRaw!$B:$B,$A48,ConfirmedRaw!J:J)</f>
        <v>0</v>
      </c>
      <c r="H48">
        <f>SUMIF(ConfirmedRaw!$B:$B,$A48,ConfirmedRaw!K:K)</f>
        <v>0</v>
      </c>
      <c r="I48">
        <f>SUMIF(ConfirmedRaw!$B:$B,$A48,ConfirmedRaw!L:L)</f>
        <v>0</v>
      </c>
      <c r="J48">
        <f>SUMIF(ConfirmedRaw!$B:$B,$A48,ConfirmedRaw!M:M)</f>
        <v>1</v>
      </c>
      <c r="K48">
        <f>SUMIF(ConfirmedRaw!$B:$B,$A48,ConfirmedRaw!N:N)</f>
        <v>1</v>
      </c>
      <c r="L48">
        <f>SUMIF(ConfirmedRaw!$B:$B,$A48,ConfirmedRaw!O:O)</f>
        <v>1</v>
      </c>
      <c r="M48">
        <f>SUMIF(ConfirmedRaw!$B:$B,$A48,ConfirmedRaw!P:P)</f>
        <v>2</v>
      </c>
      <c r="N48">
        <f>SUMIF(ConfirmedRaw!$B:$B,$A48,ConfirmedRaw!Q:Q)</f>
        <v>2</v>
      </c>
      <c r="O48">
        <f>SUMIF(ConfirmedRaw!$B:$B,$A48,ConfirmedRaw!R:R)</f>
        <v>2</v>
      </c>
      <c r="P48">
        <f>SUMIF(ConfirmedRaw!$B:$B,$A48,ConfirmedRaw!S:S)</f>
        <v>2</v>
      </c>
      <c r="Q48">
        <f>SUMIF(ConfirmedRaw!$B:$B,$A48,ConfirmedRaw!T:T)</f>
        <v>2</v>
      </c>
      <c r="R48">
        <f>SUMIF(ConfirmedRaw!$B:$B,$A48,ConfirmedRaw!U:U)</f>
        <v>3</v>
      </c>
      <c r="S48">
        <f>SUMIF(ConfirmedRaw!$B:$B,$A48,ConfirmedRaw!V:V)</f>
        <v>3</v>
      </c>
      <c r="T48">
        <f>SUMIF(ConfirmedRaw!$B:$B,$A48,ConfirmedRaw!W:W)</f>
        <v>3</v>
      </c>
      <c r="U48">
        <f>SUMIF(ConfirmedRaw!$B:$B,$A48,ConfirmedRaw!X:X)</f>
        <v>3</v>
      </c>
      <c r="V48">
        <f>SUMIF(ConfirmedRaw!$B:$B,$A48,ConfirmedRaw!Y:Y)</f>
        <v>3</v>
      </c>
      <c r="W48">
        <f>SUMIF(ConfirmedRaw!$B:$B,$A48,ConfirmedRaw!Z:Z)</f>
        <v>3</v>
      </c>
      <c r="X48">
        <f>SUMIF(ConfirmedRaw!$B:$B,$A48,ConfirmedRaw!AA:AA)</f>
        <v>3</v>
      </c>
      <c r="Y48">
        <f>SUMIF(ConfirmedRaw!$B:$B,$A48,ConfirmedRaw!AB:AB)</f>
        <v>3</v>
      </c>
      <c r="Z48">
        <f>SUMIF(ConfirmedRaw!$B:$B,$A48,ConfirmedRaw!AC:AC)</f>
        <v>3</v>
      </c>
      <c r="AA48">
        <f>SUMIF(ConfirmedRaw!$B:$B,$A48,ConfirmedRaw!AD:AD)</f>
        <v>3</v>
      </c>
      <c r="AB48">
        <f>SUMIF(ConfirmedRaw!$B:$B,$A48,ConfirmedRaw!AE:AE)</f>
        <v>3</v>
      </c>
      <c r="AC48">
        <f>SUMIF(ConfirmedRaw!$B:$B,$A48,ConfirmedRaw!AF:AF)</f>
        <v>3</v>
      </c>
      <c r="AD48">
        <f>SUMIF(ConfirmedRaw!$B:$B,$A48,ConfirmedRaw!AG:AG)</f>
        <v>3</v>
      </c>
      <c r="AE48">
        <f>SUMIF(ConfirmedRaw!$B:$B,$A48,ConfirmedRaw!AH:AH)</f>
        <v>3</v>
      </c>
      <c r="AF48">
        <f>SUMIF(ConfirmedRaw!$B:$B,$A48,ConfirmedRaw!AI:AI)</f>
        <v>3</v>
      </c>
      <c r="AG48">
        <f>SUMIF(ConfirmedRaw!$B:$B,$A48,ConfirmedRaw!AJ:AJ)</f>
        <v>3</v>
      </c>
      <c r="AH48">
        <f>SUMIF(ConfirmedRaw!$B:$B,$A48,ConfirmedRaw!AK:AK)</f>
        <v>3</v>
      </c>
      <c r="AI48">
        <f>SUMIF(ConfirmedRaw!$B:$B,$A48,ConfirmedRaw!AL:AL)</f>
        <v>3</v>
      </c>
      <c r="AJ48">
        <f>SUMIF(ConfirmedRaw!$B:$B,$A48,ConfirmedRaw!AM:AM)</f>
        <v>3</v>
      </c>
      <c r="AK48">
        <f>SUMIF(ConfirmedRaw!$B:$B,$A48,ConfirmedRaw!AN:AN)</f>
        <v>3</v>
      </c>
      <c r="AL48">
        <f>SUMIF(ConfirmedRaw!$B:$B,$A48,ConfirmedRaw!AO:AO)</f>
        <v>3</v>
      </c>
      <c r="AM48">
        <f>SUMIF(ConfirmedRaw!$B:$B,$A48,ConfirmedRaw!AP:AP)</f>
        <v>3</v>
      </c>
      <c r="AN48">
        <f>SUMIF(ConfirmedRaw!$B:$B,$A48,ConfirmedRaw!AQ:AQ)</f>
        <v>3</v>
      </c>
      <c r="AO48">
        <f>SUMIF(ConfirmedRaw!$B:$B,$A48,ConfirmedRaw!AR:AR)</f>
        <v>3</v>
      </c>
      <c r="AP48">
        <f>SUMIF(ConfirmedRaw!$B:$B,$A48,ConfirmedRaw!AS:AS)</f>
        <v>3</v>
      </c>
      <c r="AQ48">
        <f>SUMIF(ConfirmedRaw!$B:$B,$A48,ConfirmedRaw!AT:AT)</f>
        <v>3</v>
      </c>
      <c r="AR48">
        <f>SUMIF(ConfirmedRaw!$B:$B,$A48,ConfirmedRaw!AU:AU)</f>
        <v>3</v>
      </c>
      <c r="AS48">
        <f>SUMIF(ConfirmedRaw!$B:$B,$A48,ConfirmedRaw!AV:AV)</f>
        <v>3</v>
      </c>
      <c r="AT48">
        <f>SUMIF(ConfirmedRaw!$B:$B,$A48,ConfirmedRaw!AW:AW)</f>
        <v>5</v>
      </c>
      <c r="AU48">
        <f>SUMIF(ConfirmedRaw!$B:$B,$A48,ConfirmedRaw!AX:AX)</f>
        <v>6</v>
      </c>
      <c r="AV48">
        <f>SUMIF(ConfirmedRaw!$B:$B,$A48,ConfirmedRaw!AY:AY)</f>
        <v>10</v>
      </c>
      <c r="AW48">
        <f>SUMIF(ConfirmedRaw!$B:$B,$A48,ConfirmedRaw!AZ:AZ)</f>
        <v>20</v>
      </c>
      <c r="AX48">
        <f>SUMIF(ConfirmedRaw!$B:$B,$A48,ConfirmedRaw!BA:BA)</f>
        <v>33</v>
      </c>
      <c r="AY48">
        <f>SUMIF(ConfirmedRaw!$B:$B,$A48,ConfirmedRaw!BB:BB)</f>
        <v>49</v>
      </c>
      <c r="AZ48">
        <f>SUMIF(ConfirmedRaw!$B:$B,$A48,ConfirmedRaw!BC:BC)</f>
        <v>52</v>
      </c>
      <c r="BA48">
        <f>SUMIF(ConfirmedRaw!$B:$B,$A48,ConfirmedRaw!BD:BD)</f>
        <v>64</v>
      </c>
      <c r="BB48">
        <f>SUMIF(ConfirmedRaw!$B:$B,$A48,ConfirmedRaw!BE:BE)</f>
        <v>111</v>
      </c>
      <c r="BC48">
        <f>SUMIF(ConfirmedRaw!$B:$B,$A48,ConfirmedRaw!BF:BF)</f>
        <v>140</v>
      </c>
      <c r="BD48">
        <f>SUMIF(ConfirmedRaw!$B:$B,$A48,ConfirmedRaw!BG:BG)</f>
        <v>142</v>
      </c>
      <c r="BE48">
        <f>SUMIF(ConfirmedRaw!$B:$B,$A48,ConfirmedRaw!BH:BH)</f>
        <v>187</v>
      </c>
      <c r="BF48">
        <f>SUMIF(ConfirmedRaw!$B:$B,$A48,ConfirmedRaw!BI:BI)</f>
        <v>202</v>
      </c>
      <c r="BG48">
        <f>SUMIF(ConfirmedRaw!$B:$B,$A48,ConfirmedRaw!BJ:BJ)</f>
        <v>217</v>
      </c>
      <c r="BH48">
        <f>SUMIF(ConfirmedRaw!$B:$B,$A48,ConfirmedRaw!BK:BK)</f>
        <v>230</v>
      </c>
      <c r="BI48">
        <f>SUMIF(ConfirmedRaw!$B:$B,$A48,ConfirmedRaw!BL:BL)</f>
        <v>0</v>
      </c>
      <c r="BJ48">
        <f>SUMIF(ConfirmedRaw!$B:$B,$A48,ConfirmedRaw!BM:BM)</f>
        <v>0</v>
      </c>
      <c r="BK48">
        <f>SUMIF(ConfirmedRaw!$B:$B,$A48,ConfirmedRaw!BN:BN)</f>
        <v>0</v>
      </c>
      <c r="BL48">
        <f>SUMIF(ConfirmedRaw!$B:$B,$A48,ConfirmedRaw!BO:BO)</f>
        <v>0</v>
      </c>
      <c r="BM48">
        <f>SUMIF(ConfirmedRaw!$B:$B,$A48,ConfirmedRaw!BP:BP)</f>
        <v>0</v>
      </c>
      <c r="BN48">
        <f>SUMIF(ConfirmedRaw!$B:$B,$A48,ConfirmedRaw!BQ:BQ)</f>
        <v>0</v>
      </c>
      <c r="BO48">
        <f>SUMIF(ConfirmedRaw!$B:$B,$A48,ConfirmedRaw!BR:BR)</f>
        <v>0</v>
      </c>
      <c r="BP48">
        <f>SUMIF(ConfirmedRaw!$B:$B,$A48,ConfirmedRaw!BS:BS)</f>
        <v>0</v>
      </c>
      <c r="BQ48">
        <f>SUMIF(ConfirmedRaw!$B:$B,$A48,ConfirmedRaw!BT:BT)</f>
        <v>0</v>
      </c>
      <c r="BR48">
        <f>SUMIF(ConfirmedRaw!$B:$B,$A48,ConfirmedRaw!BU:BU)</f>
        <v>0</v>
      </c>
      <c r="BS48">
        <f>SUMIF(ConfirmedRaw!$B:$B,$A48,ConfirmedRaw!BV:BV)</f>
        <v>0</v>
      </c>
      <c r="BT48">
        <f>SUMIF(ConfirmedRaw!$B:$B,$A48,ConfirmedRaw!BW:BW)</f>
        <v>0</v>
      </c>
    </row>
    <row r="49" spans="1:72" ht="15" thickBot="1" x14ac:dyDescent="0.35">
      <c r="A49" s="3" t="s">
        <v>342</v>
      </c>
      <c r="B49">
        <f>SUMIF(ConfirmedRaw!$B:$B,$A49,ConfirmedRaw!E:E)</f>
        <v>1</v>
      </c>
      <c r="C49">
        <f>SUMIF(ConfirmedRaw!$B:$B,$A49,ConfirmedRaw!F:F)</f>
        <v>1</v>
      </c>
      <c r="D49">
        <f>SUMIF(ConfirmedRaw!$B:$B,$A49,ConfirmedRaw!G:G)</f>
        <v>3</v>
      </c>
      <c r="E49">
        <f>SUMIF(ConfirmedRaw!$B:$B,$A49,ConfirmedRaw!H:H)</f>
        <v>3</v>
      </c>
      <c r="F49">
        <f>SUMIF(ConfirmedRaw!$B:$B,$A49,ConfirmedRaw!I:I)</f>
        <v>4</v>
      </c>
      <c r="G49">
        <f>SUMIF(ConfirmedRaw!$B:$B,$A49,ConfirmedRaw!J:J)</f>
        <v>5</v>
      </c>
      <c r="H49">
        <f>SUMIF(ConfirmedRaw!$B:$B,$A49,ConfirmedRaw!K:K)</f>
        <v>8</v>
      </c>
      <c r="I49">
        <f>SUMIF(ConfirmedRaw!$B:$B,$A49,ConfirmedRaw!L:L)</f>
        <v>8</v>
      </c>
      <c r="J49">
        <f>SUMIF(ConfirmedRaw!$B:$B,$A49,ConfirmedRaw!M:M)</f>
        <v>9</v>
      </c>
      <c r="K49">
        <f>SUMIF(ConfirmedRaw!$B:$B,$A49,ConfirmedRaw!N:N)</f>
        <v>10</v>
      </c>
      <c r="L49">
        <f>SUMIF(ConfirmedRaw!$B:$B,$A49,ConfirmedRaw!O:O)</f>
        <v>10</v>
      </c>
      <c r="M49">
        <f>SUMIF(ConfirmedRaw!$B:$B,$A49,ConfirmedRaw!P:P)</f>
        <v>10</v>
      </c>
      <c r="N49">
        <f>SUMIF(ConfirmedRaw!$B:$B,$A49,ConfirmedRaw!Q:Q)</f>
        <v>10</v>
      </c>
      <c r="O49">
        <f>SUMIF(ConfirmedRaw!$B:$B,$A49,ConfirmedRaw!R:R)</f>
        <v>11</v>
      </c>
      <c r="P49">
        <f>SUMIF(ConfirmedRaw!$B:$B,$A49,ConfirmedRaw!S:S)</f>
        <v>11</v>
      </c>
      <c r="Q49">
        <f>SUMIF(ConfirmedRaw!$B:$B,$A49,ConfirmedRaw!T:T)</f>
        <v>16</v>
      </c>
      <c r="R49">
        <f>SUMIF(ConfirmedRaw!$B:$B,$A49,ConfirmedRaw!U:U)</f>
        <v>16</v>
      </c>
      <c r="S49">
        <f>SUMIF(ConfirmedRaw!$B:$B,$A49,ConfirmedRaw!V:V)</f>
        <v>17</v>
      </c>
      <c r="T49">
        <f>SUMIF(ConfirmedRaw!$B:$B,$A49,ConfirmedRaw!W:W)</f>
        <v>18</v>
      </c>
      <c r="U49">
        <f>SUMIF(ConfirmedRaw!$B:$B,$A49,ConfirmedRaw!X:X)</f>
        <v>18</v>
      </c>
      <c r="V49">
        <f>SUMIF(ConfirmedRaw!$B:$B,$A49,ConfirmedRaw!Y:Y)</f>
        <v>18</v>
      </c>
      <c r="W49">
        <f>SUMIF(ConfirmedRaw!$B:$B,$A49,ConfirmedRaw!Z:Z)</f>
        <v>18</v>
      </c>
      <c r="X49">
        <f>SUMIF(ConfirmedRaw!$B:$B,$A49,ConfirmedRaw!AA:AA)</f>
        <v>18</v>
      </c>
      <c r="Y49">
        <f>SUMIF(ConfirmedRaw!$B:$B,$A49,ConfirmedRaw!AB:AB)</f>
        <v>18</v>
      </c>
      <c r="Z49">
        <f>SUMIF(ConfirmedRaw!$B:$B,$A49,ConfirmedRaw!AC:AC)</f>
        <v>18</v>
      </c>
      <c r="AA49">
        <f>SUMIF(ConfirmedRaw!$B:$B,$A49,ConfirmedRaw!AD:AD)</f>
        <v>20</v>
      </c>
      <c r="AB49">
        <f>SUMIF(ConfirmedRaw!$B:$B,$A49,ConfirmedRaw!AE:AE)</f>
        <v>22</v>
      </c>
      <c r="AC49">
        <f>SUMIF(ConfirmedRaw!$B:$B,$A49,ConfirmedRaw!AF:AF)</f>
        <v>22</v>
      </c>
      <c r="AD49">
        <f>SUMIF(ConfirmedRaw!$B:$B,$A49,ConfirmedRaw!AG:AG)</f>
        <v>23</v>
      </c>
      <c r="AE49">
        <f>SUMIF(ConfirmedRaw!$B:$B,$A49,ConfirmedRaw!AH:AH)</f>
        <v>24</v>
      </c>
      <c r="AF49">
        <f>SUMIF(ConfirmedRaw!$B:$B,$A49,ConfirmedRaw!AI:AI)</f>
        <v>26</v>
      </c>
      <c r="AG49">
        <f>SUMIF(ConfirmedRaw!$B:$B,$A49,ConfirmedRaw!AJ:AJ)</f>
        <v>26</v>
      </c>
      <c r="AH49">
        <f>SUMIF(ConfirmedRaw!$B:$B,$A49,ConfirmedRaw!AK:AK)</f>
        <v>28</v>
      </c>
      <c r="AI49">
        <f>SUMIF(ConfirmedRaw!$B:$B,$A49,ConfirmedRaw!AL:AL)</f>
        <v>30</v>
      </c>
      <c r="AJ49">
        <f>SUMIF(ConfirmedRaw!$B:$B,$A49,ConfirmedRaw!AM:AM)</f>
        <v>31</v>
      </c>
      <c r="AK49">
        <f>SUMIF(ConfirmedRaw!$B:$B,$A49,ConfirmedRaw!AN:AN)</f>
        <v>32</v>
      </c>
      <c r="AL49">
        <f>SUMIF(ConfirmedRaw!$B:$B,$A49,ConfirmedRaw!AO:AO)</f>
        <v>32</v>
      </c>
      <c r="AM49">
        <f>SUMIF(ConfirmedRaw!$B:$B,$A49,ConfirmedRaw!AP:AP)</f>
        <v>34</v>
      </c>
      <c r="AN49">
        <f>SUMIF(ConfirmedRaw!$B:$B,$A49,ConfirmedRaw!AQ:AQ)</f>
        <v>39</v>
      </c>
      <c r="AO49">
        <f>SUMIF(ConfirmedRaw!$B:$B,$A49,ConfirmedRaw!AR:AR)</f>
        <v>40</v>
      </c>
      <c r="AP49">
        <f>SUMIF(ConfirmedRaw!$B:$B,$A49,ConfirmedRaw!AS:AS)</f>
        <v>41</v>
      </c>
      <c r="AQ49">
        <f>SUMIF(ConfirmedRaw!$B:$B,$A49,ConfirmedRaw!AT:AT)</f>
        <v>42</v>
      </c>
      <c r="AR49">
        <f>SUMIF(ConfirmedRaw!$B:$B,$A49,ConfirmedRaw!AU:AU)</f>
        <v>42</v>
      </c>
      <c r="AS49">
        <f>SUMIF(ConfirmedRaw!$B:$B,$A49,ConfirmedRaw!AV:AV)</f>
        <v>44</v>
      </c>
      <c r="AT49">
        <f>SUMIF(ConfirmedRaw!$B:$B,$A49,ConfirmedRaw!AW:AW)</f>
        <v>45</v>
      </c>
      <c r="AU49">
        <f>SUMIF(ConfirmedRaw!$B:$B,$A49,ConfirmedRaw!AX:AX)</f>
        <v>45</v>
      </c>
      <c r="AV49">
        <f>SUMIF(ConfirmedRaw!$B:$B,$A49,ConfirmedRaw!AY:AY)</f>
        <v>45</v>
      </c>
      <c r="AW49">
        <f>SUMIF(ConfirmedRaw!$B:$B,$A49,ConfirmedRaw!AZ:AZ)</f>
        <v>45</v>
      </c>
      <c r="AX49">
        <f>SUMIF(ConfirmedRaw!$B:$B,$A49,ConfirmedRaw!BA:BA)</f>
        <v>47</v>
      </c>
      <c r="AY49">
        <f>SUMIF(ConfirmedRaw!$B:$B,$A49,ConfirmedRaw!BB:BB)</f>
        <v>48</v>
      </c>
      <c r="AZ49">
        <f>SUMIF(ConfirmedRaw!$B:$B,$A49,ConfirmedRaw!BC:BC)</f>
        <v>49</v>
      </c>
      <c r="BA49">
        <f>SUMIF(ConfirmedRaw!$B:$B,$A49,ConfirmedRaw!BD:BD)</f>
        <v>50</v>
      </c>
      <c r="BB49">
        <f>SUMIF(ConfirmedRaw!$B:$B,$A49,ConfirmedRaw!BE:BE)</f>
        <v>53</v>
      </c>
      <c r="BC49">
        <f>SUMIF(ConfirmedRaw!$B:$B,$A49,ConfirmedRaw!BF:BF)</f>
        <v>59</v>
      </c>
      <c r="BD49">
        <f>SUMIF(ConfirmedRaw!$B:$B,$A49,ConfirmedRaw!BG:BG)</f>
        <v>67</v>
      </c>
      <c r="BE49">
        <f>SUMIF(ConfirmedRaw!$B:$B,$A49,ConfirmedRaw!BH:BH)</f>
        <v>77</v>
      </c>
      <c r="BF49">
        <f>SUMIF(ConfirmedRaw!$B:$B,$A49,ConfirmedRaw!BI:BI)</f>
        <v>100</v>
      </c>
      <c r="BG49">
        <f>SUMIF(ConfirmedRaw!$B:$B,$A49,ConfirmedRaw!BJ:BJ)</f>
        <v>108</v>
      </c>
      <c r="BH49">
        <f>SUMIF(ConfirmedRaw!$B:$B,$A49,ConfirmedRaw!BK:BK)</f>
        <v>135</v>
      </c>
      <c r="BI49">
        <f>SUMIF(ConfirmedRaw!$B:$B,$A49,ConfirmedRaw!BL:BL)</f>
        <v>0</v>
      </c>
      <c r="BJ49">
        <f>SUMIF(ConfirmedRaw!$B:$B,$A49,ConfirmedRaw!BM:BM)</f>
        <v>0</v>
      </c>
      <c r="BK49">
        <f>SUMIF(ConfirmedRaw!$B:$B,$A49,ConfirmedRaw!BN:BN)</f>
        <v>0</v>
      </c>
      <c r="BL49">
        <f>SUMIF(ConfirmedRaw!$B:$B,$A49,ConfirmedRaw!BO:BO)</f>
        <v>0</v>
      </c>
      <c r="BM49">
        <f>SUMIF(ConfirmedRaw!$B:$B,$A49,ConfirmedRaw!BP:BP)</f>
        <v>0</v>
      </c>
      <c r="BN49">
        <f>SUMIF(ConfirmedRaw!$B:$B,$A49,ConfirmedRaw!BQ:BQ)</f>
        <v>0</v>
      </c>
      <c r="BO49">
        <f>SUMIF(ConfirmedRaw!$B:$B,$A49,ConfirmedRaw!BR:BR)</f>
        <v>0</v>
      </c>
      <c r="BP49">
        <f>SUMIF(ConfirmedRaw!$B:$B,$A49,ConfirmedRaw!BS:BS)</f>
        <v>0</v>
      </c>
      <c r="BQ49">
        <f>SUMIF(ConfirmedRaw!$B:$B,$A49,ConfirmedRaw!BT:BT)</f>
        <v>0</v>
      </c>
      <c r="BR49">
        <f>SUMIF(ConfirmedRaw!$B:$B,$A49,ConfirmedRaw!BU:BU)</f>
        <v>0</v>
      </c>
      <c r="BS49">
        <f>SUMIF(ConfirmedRaw!$B:$B,$A49,ConfirmedRaw!BV:BV)</f>
        <v>0</v>
      </c>
      <c r="BT49">
        <f>SUMIF(ConfirmedRaw!$B:$B,$A49,ConfirmedRaw!BW:BW)</f>
        <v>0</v>
      </c>
    </row>
    <row r="50" spans="1:72" ht="15" thickBot="1" x14ac:dyDescent="0.35">
      <c r="A50" s="4" t="s">
        <v>343</v>
      </c>
      <c r="B50">
        <f>SUMIF(ConfirmedRaw!$B:$B,$A50,ConfirmedRaw!E:E)</f>
        <v>0</v>
      </c>
      <c r="C50">
        <f>SUMIF(ConfirmedRaw!$B:$B,$A50,ConfirmedRaw!F:F)</f>
        <v>2</v>
      </c>
      <c r="D50">
        <f>SUMIF(ConfirmedRaw!$B:$B,$A50,ConfirmedRaw!G:G)</f>
        <v>2</v>
      </c>
      <c r="E50">
        <f>SUMIF(ConfirmedRaw!$B:$B,$A50,ConfirmedRaw!H:H)</f>
        <v>2</v>
      </c>
      <c r="F50">
        <f>SUMIF(ConfirmedRaw!$B:$B,$A50,ConfirmedRaw!I:I)</f>
        <v>2</v>
      </c>
      <c r="G50">
        <f>SUMIF(ConfirmedRaw!$B:$B,$A50,ConfirmedRaw!J:J)</f>
        <v>2</v>
      </c>
      <c r="H50">
        <f>SUMIF(ConfirmedRaw!$B:$B,$A50,ConfirmedRaw!K:K)</f>
        <v>2</v>
      </c>
      <c r="I50">
        <f>SUMIF(ConfirmedRaw!$B:$B,$A50,ConfirmedRaw!L:L)</f>
        <v>2</v>
      </c>
      <c r="J50">
        <f>SUMIF(ConfirmedRaw!$B:$B,$A50,ConfirmedRaw!M:M)</f>
        <v>2</v>
      </c>
      <c r="K50">
        <f>SUMIF(ConfirmedRaw!$B:$B,$A50,ConfirmedRaw!N:N)</f>
        <v>2</v>
      </c>
      <c r="L50">
        <f>SUMIF(ConfirmedRaw!$B:$B,$A50,ConfirmedRaw!O:O)</f>
        <v>6</v>
      </c>
      <c r="M50">
        <f>SUMIF(ConfirmedRaw!$B:$B,$A50,ConfirmedRaw!P:P)</f>
        <v>6</v>
      </c>
      <c r="N50">
        <f>SUMIF(ConfirmedRaw!$B:$B,$A50,ConfirmedRaw!Q:Q)</f>
        <v>8</v>
      </c>
      <c r="O50">
        <f>SUMIF(ConfirmedRaw!$B:$B,$A50,ConfirmedRaw!R:R)</f>
        <v>8</v>
      </c>
      <c r="P50">
        <f>SUMIF(ConfirmedRaw!$B:$B,$A50,ConfirmedRaw!S:S)</f>
        <v>8</v>
      </c>
      <c r="Q50">
        <f>SUMIF(ConfirmedRaw!$B:$B,$A50,ConfirmedRaw!T:T)</f>
        <v>10</v>
      </c>
      <c r="R50">
        <f>SUMIF(ConfirmedRaw!$B:$B,$A50,ConfirmedRaw!U:U)</f>
        <v>10</v>
      </c>
      <c r="S50">
        <f>SUMIF(ConfirmedRaw!$B:$B,$A50,ConfirmedRaw!V:V)</f>
        <v>13</v>
      </c>
      <c r="T50">
        <f>SUMIF(ConfirmedRaw!$B:$B,$A50,ConfirmedRaw!W:W)</f>
        <v>13</v>
      </c>
      <c r="U50">
        <f>SUMIF(ConfirmedRaw!$B:$B,$A50,ConfirmedRaw!X:X)</f>
        <v>14</v>
      </c>
      <c r="V50">
        <f>SUMIF(ConfirmedRaw!$B:$B,$A50,ConfirmedRaw!Y:Y)</f>
        <v>15</v>
      </c>
      <c r="W50">
        <f>SUMIF(ConfirmedRaw!$B:$B,$A50,ConfirmedRaw!Z:Z)</f>
        <v>15</v>
      </c>
      <c r="X50">
        <f>SUMIF(ConfirmedRaw!$B:$B,$A50,ConfirmedRaw!AA:AA)</f>
        <v>16</v>
      </c>
      <c r="Y50">
        <f>SUMIF(ConfirmedRaw!$B:$B,$A50,ConfirmedRaw!AB:AB)</f>
        <v>16</v>
      </c>
      <c r="Z50">
        <f>SUMIF(ConfirmedRaw!$B:$B,$A50,ConfirmedRaw!AC:AC)</f>
        <v>16</v>
      </c>
      <c r="AA50">
        <f>SUMIF(ConfirmedRaw!$B:$B,$A50,ConfirmedRaw!AD:AD)</f>
        <v>16</v>
      </c>
      <c r="AB50">
        <f>SUMIF(ConfirmedRaw!$B:$B,$A50,ConfirmedRaw!AE:AE)</f>
        <v>16</v>
      </c>
      <c r="AC50">
        <f>SUMIF(ConfirmedRaw!$B:$B,$A50,ConfirmedRaw!AF:AF)</f>
        <v>16</v>
      </c>
      <c r="AD50">
        <f>SUMIF(ConfirmedRaw!$B:$B,$A50,ConfirmedRaw!AG:AG)</f>
        <v>16</v>
      </c>
      <c r="AE50">
        <f>SUMIF(ConfirmedRaw!$B:$B,$A50,ConfirmedRaw!AH:AH)</f>
        <v>16</v>
      </c>
      <c r="AF50">
        <f>SUMIF(ConfirmedRaw!$B:$B,$A50,ConfirmedRaw!AI:AI)</f>
        <v>16</v>
      </c>
      <c r="AG50">
        <f>SUMIF(ConfirmedRaw!$B:$B,$A50,ConfirmedRaw!AJ:AJ)</f>
        <v>16</v>
      </c>
      <c r="AH50">
        <f>SUMIF(ConfirmedRaw!$B:$B,$A50,ConfirmedRaw!AK:AK)</f>
        <v>16</v>
      </c>
      <c r="AI50">
        <f>SUMIF(ConfirmedRaw!$B:$B,$A50,ConfirmedRaw!AL:AL)</f>
        <v>16</v>
      </c>
      <c r="AJ50">
        <f>SUMIF(ConfirmedRaw!$B:$B,$A50,ConfirmedRaw!AM:AM)</f>
        <v>16</v>
      </c>
      <c r="AK50">
        <f>SUMIF(ConfirmedRaw!$B:$B,$A50,ConfirmedRaw!AN:AN)</f>
        <v>16</v>
      </c>
      <c r="AL50">
        <f>SUMIF(ConfirmedRaw!$B:$B,$A50,ConfirmedRaw!AO:AO)</f>
        <v>16</v>
      </c>
      <c r="AM50">
        <f>SUMIF(ConfirmedRaw!$B:$B,$A50,ConfirmedRaw!AP:AP)</f>
        <v>16</v>
      </c>
      <c r="AN50">
        <f>SUMIF(ConfirmedRaw!$B:$B,$A50,ConfirmedRaw!AQ:AQ)</f>
        <v>16</v>
      </c>
      <c r="AO50">
        <f>SUMIF(ConfirmedRaw!$B:$B,$A50,ConfirmedRaw!AR:AR)</f>
        <v>16</v>
      </c>
      <c r="AP50">
        <f>SUMIF(ConfirmedRaw!$B:$B,$A50,ConfirmedRaw!AS:AS)</f>
        <v>16</v>
      </c>
      <c r="AQ50">
        <f>SUMIF(ConfirmedRaw!$B:$B,$A50,ConfirmedRaw!AT:AT)</f>
        <v>16</v>
      </c>
      <c r="AR50">
        <f>SUMIF(ConfirmedRaw!$B:$B,$A50,ConfirmedRaw!AU:AU)</f>
        <v>16</v>
      </c>
      <c r="AS50">
        <f>SUMIF(ConfirmedRaw!$B:$B,$A50,ConfirmedRaw!AV:AV)</f>
        <v>16</v>
      </c>
      <c r="AT50">
        <f>SUMIF(ConfirmedRaw!$B:$B,$A50,ConfirmedRaw!AW:AW)</f>
        <v>16</v>
      </c>
      <c r="AU50">
        <f>SUMIF(ConfirmedRaw!$B:$B,$A50,ConfirmedRaw!AX:AX)</f>
        <v>18</v>
      </c>
      <c r="AV50">
        <f>SUMIF(ConfirmedRaw!$B:$B,$A50,ConfirmedRaw!AY:AY)</f>
        <v>30</v>
      </c>
      <c r="AW50">
        <f>SUMIF(ConfirmedRaw!$B:$B,$A50,ConfirmedRaw!AZ:AZ)</f>
        <v>30</v>
      </c>
      <c r="AX50">
        <f>SUMIF(ConfirmedRaw!$B:$B,$A50,ConfirmedRaw!BA:BA)</f>
        <v>31</v>
      </c>
      <c r="AY50">
        <f>SUMIF(ConfirmedRaw!$B:$B,$A50,ConfirmedRaw!BB:BB)</f>
        <v>38</v>
      </c>
      <c r="AZ50">
        <f>SUMIF(ConfirmedRaw!$B:$B,$A50,ConfirmedRaw!BC:BC)</f>
        <v>39</v>
      </c>
      <c r="BA50">
        <f>SUMIF(ConfirmedRaw!$B:$B,$A50,ConfirmedRaw!BD:BD)</f>
        <v>47</v>
      </c>
      <c r="BB50">
        <f>SUMIF(ConfirmedRaw!$B:$B,$A50,ConfirmedRaw!BE:BE)</f>
        <v>53</v>
      </c>
      <c r="BC50">
        <f>SUMIF(ConfirmedRaw!$B:$B,$A50,ConfirmedRaw!BF:BF)</f>
        <v>56</v>
      </c>
      <c r="BD50">
        <f>SUMIF(ConfirmedRaw!$B:$B,$A50,ConfirmedRaw!BG:BG)</f>
        <v>61</v>
      </c>
      <c r="BE50">
        <f>SUMIF(ConfirmedRaw!$B:$B,$A50,ConfirmedRaw!BH:BH)</f>
        <v>66</v>
      </c>
      <c r="BF50">
        <f>SUMIF(ConfirmedRaw!$B:$B,$A50,ConfirmedRaw!BI:BI)</f>
        <v>75</v>
      </c>
      <c r="BG50">
        <f>SUMIF(ConfirmedRaw!$B:$B,$A50,ConfirmedRaw!BJ:BJ)</f>
        <v>85</v>
      </c>
      <c r="BH50">
        <f>SUMIF(ConfirmedRaw!$B:$B,$A50,ConfirmedRaw!BK:BK)</f>
        <v>91</v>
      </c>
      <c r="BI50">
        <f>SUMIF(ConfirmedRaw!$B:$B,$A50,ConfirmedRaw!BL:BL)</f>
        <v>0</v>
      </c>
      <c r="BJ50">
        <f>SUMIF(ConfirmedRaw!$B:$B,$A50,ConfirmedRaw!BM:BM)</f>
        <v>0</v>
      </c>
      <c r="BK50">
        <f>SUMIF(ConfirmedRaw!$B:$B,$A50,ConfirmedRaw!BN:BN)</f>
        <v>0</v>
      </c>
      <c r="BL50">
        <f>SUMIF(ConfirmedRaw!$B:$B,$A50,ConfirmedRaw!BO:BO)</f>
        <v>0</v>
      </c>
      <c r="BM50">
        <f>SUMIF(ConfirmedRaw!$B:$B,$A50,ConfirmedRaw!BP:BP)</f>
        <v>0</v>
      </c>
      <c r="BN50">
        <f>SUMIF(ConfirmedRaw!$B:$B,$A50,ConfirmedRaw!BQ:BQ)</f>
        <v>0</v>
      </c>
      <c r="BO50">
        <f>SUMIF(ConfirmedRaw!$B:$B,$A50,ConfirmedRaw!BR:BR)</f>
        <v>0</v>
      </c>
      <c r="BP50">
        <f>SUMIF(ConfirmedRaw!$B:$B,$A50,ConfirmedRaw!BS:BS)</f>
        <v>0</v>
      </c>
      <c r="BQ50">
        <f>SUMIF(ConfirmedRaw!$B:$B,$A50,ConfirmedRaw!BT:BT)</f>
        <v>0</v>
      </c>
      <c r="BR50">
        <f>SUMIF(ConfirmedRaw!$B:$B,$A50,ConfirmedRaw!BU:BU)</f>
        <v>0</v>
      </c>
      <c r="BS50">
        <f>SUMIF(ConfirmedRaw!$B:$B,$A50,ConfirmedRaw!BV:BV)</f>
        <v>0</v>
      </c>
      <c r="BT50">
        <f>SUMIF(ConfirmedRaw!$B:$B,$A50,ConfirmedRaw!BW:BW)</f>
        <v>0</v>
      </c>
    </row>
    <row r="51" spans="1:72" ht="15" thickBot="1" x14ac:dyDescent="0.35">
      <c r="A51" s="3" t="s">
        <v>344</v>
      </c>
      <c r="B51">
        <f>SUMIF(ConfirmedRaw!$B:$B,$A51,ConfirmedRaw!E:E)</f>
        <v>0</v>
      </c>
      <c r="C51">
        <f>SUMIF(ConfirmedRaw!$B:$B,$A51,ConfirmedRaw!F:F)</f>
        <v>0</v>
      </c>
      <c r="D51">
        <f>SUMIF(ConfirmedRaw!$B:$B,$A51,ConfirmedRaw!G:G)</f>
        <v>0</v>
      </c>
      <c r="E51">
        <f>SUMIF(ConfirmedRaw!$B:$B,$A51,ConfirmedRaw!H:H)</f>
        <v>0</v>
      </c>
      <c r="F51">
        <f>SUMIF(ConfirmedRaw!$B:$B,$A51,ConfirmedRaw!I:I)</f>
        <v>0</v>
      </c>
      <c r="G51">
        <f>SUMIF(ConfirmedRaw!$B:$B,$A51,ConfirmedRaw!J:J)</f>
        <v>0</v>
      </c>
      <c r="H51">
        <f>SUMIF(ConfirmedRaw!$B:$B,$A51,ConfirmedRaw!K:K)</f>
        <v>0</v>
      </c>
      <c r="I51">
        <f>SUMIF(ConfirmedRaw!$B:$B,$A51,ConfirmedRaw!L:L)</f>
        <v>0</v>
      </c>
      <c r="J51">
        <f>SUMIF(ConfirmedRaw!$B:$B,$A51,ConfirmedRaw!M:M)</f>
        <v>0</v>
      </c>
      <c r="K51">
        <f>SUMIF(ConfirmedRaw!$B:$B,$A51,ConfirmedRaw!N:N)</f>
        <v>2</v>
      </c>
      <c r="L51">
        <f>SUMIF(ConfirmedRaw!$B:$B,$A51,ConfirmedRaw!O:O)</f>
        <v>2</v>
      </c>
      <c r="M51">
        <f>SUMIF(ConfirmedRaw!$B:$B,$A51,ConfirmedRaw!P:P)</f>
        <v>2</v>
      </c>
      <c r="N51">
        <f>SUMIF(ConfirmedRaw!$B:$B,$A51,ConfirmedRaw!Q:Q)</f>
        <v>2</v>
      </c>
      <c r="O51">
        <f>SUMIF(ConfirmedRaw!$B:$B,$A51,ConfirmedRaw!R:R)</f>
        <v>2</v>
      </c>
      <c r="P51">
        <f>SUMIF(ConfirmedRaw!$B:$B,$A51,ConfirmedRaw!S:S)</f>
        <v>2</v>
      </c>
      <c r="Q51">
        <f>SUMIF(ConfirmedRaw!$B:$B,$A51,ConfirmedRaw!T:T)</f>
        <v>2</v>
      </c>
      <c r="R51">
        <f>SUMIF(ConfirmedRaw!$B:$B,$A51,ConfirmedRaw!U:U)</f>
        <v>2</v>
      </c>
      <c r="S51">
        <f>SUMIF(ConfirmedRaw!$B:$B,$A51,ConfirmedRaw!V:V)</f>
        <v>2</v>
      </c>
      <c r="T51">
        <f>SUMIF(ConfirmedRaw!$B:$B,$A51,ConfirmedRaw!W:W)</f>
        <v>2</v>
      </c>
      <c r="U51">
        <f>SUMIF(ConfirmedRaw!$B:$B,$A51,ConfirmedRaw!X:X)</f>
        <v>2</v>
      </c>
      <c r="V51">
        <f>SUMIF(ConfirmedRaw!$B:$B,$A51,ConfirmedRaw!Y:Y)</f>
        <v>2</v>
      </c>
      <c r="W51">
        <f>SUMIF(ConfirmedRaw!$B:$B,$A51,ConfirmedRaw!Z:Z)</f>
        <v>2</v>
      </c>
      <c r="X51">
        <f>SUMIF(ConfirmedRaw!$B:$B,$A51,ConfirmedRaw!AA:AA)</f>
        <v>2</v>
      </c>
      <c r="Y51">
        <f>SUMIF(ConfirmedRaw!$B:$B,$A51,ConfirmedRaw!AB:AB)</f>
        <v>2</v>
      </c>
      <c r="Z51">
        <f>SUMIF(ConfirmedRaw!$B:$B,$A51,ConfirmedRaw!AC:AC)</f>
        <v>2</v>
      </c>
      <c r="AA51">
        <f>SUMIF(ConfirmedRaw!$B:$B,$A51,ConfirmedRaw!AD:AD)</f>
        <v>2</v>
      </c>
      <c r="AB51">
        <f>SUMIF(ConfirmedRaw!$B:$B,$A51,ConfirmedRaw!AE:AE)</f>
        <v>2</v>
      </c>
      <c r="AC51">
        <f>SUMIF(ConfirmedRaw!$B:$B,$A51,ConfirmedRaw!AF:AF)</f>
        <v>2</v>
      </c>
      <c r="AD51">
        <f>SUMIF(ConfirmedRaw!$B:$B,$A51,ConfirmedRaw!AG:AG)</f>
        <v>2</v>
      </c>
      <c r="AE51">
        <f>SUMIF(ConfirmedRaw!$B:$B,$A51,ConfirmedRaw!AH:AH)</f>
        <v>2</v>
      </c>
      <c r="AF51">
        <f>SUMIF(ConfirmedRaw!$B:$B,$A51,ConfirmedRaw!AI:AI)</f>
        <v>2</v>
      </c>
      <c r="AG51">
        <f>SUMIF(ConfirmedRaw!$B:$B,$A51,ConfirmedRaw!AJ:AJ)</f>
        <v>2</v>
      </c>
      <c r="AH51">
        <f>SUMIF(ConfirmedRaw!$B:$B,$A51,ConfirmedRaw!AK:AK)</f>
        <v>2</v>
      </c>
      <c r="AI51">
        <f>SUMIF(ConfirmedRaw!$B:$B,$A51,ConfirmedRaw!AL:AL)</f>
        <v>2</v>
      </c>
      <c r="AJ51">
        <f>SUMIF(ConfirmedRaw!$B:$B,$A51,ConfirmedRaw!AM:AM)</f>
        <v>2</v>
      </c>
      <c r="AK51">
        <f>SUMIF(ConfirmedRaw!$B:$B,$A51,ConfirmedRaw!AN:AN)</f>
        <v>2</v>
      </c>
      <c r="AL51">
        <f>SUMIF(ConfirmedRaw!$B:$B,$A51,ConfirmedRaw!AO:AO)</f>
        <v>2</v>
      </c>
      <c r="AM51">
        <f>SUMIF(ConfirmedRaw!$B:$B,$A51,ConfirmedRaw!AP:AP)</f>
        <v>2</v>
      </c>
      <c r="AN51">
        <f>SUMIF(ConfirmedRaw!$B:$B,$A51,ConfirmedRaw!AQ:AQ)</f>
        <v>2</v>
      </c>
      <c r="AO51">
        <f>SUMIF(ConfirmedRaw!$B:$B,$A51,ConfirmedRaw!AR:AR)</f>
        <v>2</v>
      </c>
      <c r="AP51">
        <f>SUMIF(ConfirmedRaw!$B:$B,$A51,ConfirmedRaw!AS:AS)</f>
        <v>3</v>
      </c>
      <c r="AQ51">
        <f>SUMIF(ConfirmedRaw!$B:$B,$A51,ConfirmedRaw!AT:AT)</f>
        <v>3</v>
      </c>
      <c r="AR51">
        <f>SUMIF(ConfirmedRaw!$B:$B,$A51,ConfirmedRaw!AU:AU)</f>
        <v>3</v>
      </c>
      <c r="AS51">
        <f>SUMIF(ConfirmedRaw!$B:$B,$A51,ConfirmedRaw!AV:AV)</f>
        <v>4</v>
      </c>
      <c r="AT51">
        <f>SUMIF(ConfirmedRaw!$B:$B,$A51,ConfirmedRaw!AW:AW)</f>
        <v>13</v>
      </c>
      <c r="AU51">
        <f>SUMIF(ConfirmedRaw!$B:$B,$A51,ConfirmedRaw!AX:AX)</f>
        <v>13</v>
      </c>
      <c r="AV51">
        <f>SUMIF(ConfirmedRaw!$B:$B,$A51,ConfirmedRaw!AY:AY)</f>
        <v>17</v>
      </c>
      <c r="AW51">
        <f>SUMIF(ConfirmedRaw!$B:$B,$A51,ConfirmedRaw!AZ:AZ)</f>
        <v>17</v>
      </c>
      <c r="AX51">
        <f>SUMIF(ConfirmedRaw!$B:$B,$A51,ConfirmedRaw!BA:BA)</f>
        <v>20</v>
      </c>
      <c r="AY51">
        <f>SUMIF(ConfirmedRaw!$B:$B,$A51,ConfirmedRaw!BB:BB)</f>
        <v>20</v>
      </c>
      <c r="AZ51">
        <f>SUMIF(ConfirmedRaw!$B:$B,$A51,ConfirmedRaw!BC:BC)</f>
        <v>28</v>
      </c>
      <c r="BA51">
        <f>SUMIF(ConfirmedRaw!$B:$B,$A51,ConfirmedRaw!BD:BD)</f>
        <v>45</v>
      </c>
      <c r="BB51">
        <f>SUMIF(ConfirmedRaw!$B:$B,$A51,ConfirmedRaw!BE:BE)</f>
        <v>59</v>
      </c>
      <c r="BC51">
        <f>SUMIF(ConfirmedRaw!$B:$B,$A51,ConfirmedRaw!BF:BF)</f>
        <v>63</v>
      </c>
      <c r="BD51">
        <f>SUMIF(ConfirmedRaw!$B:$B,$A51,ConfirmedRaw!BG:BG)</f>
        <v>90</v>
      </c>
      <c r="BE51">
        <f>SUMIF(ConfirmedRaw!$B:$B,$A51,ConfirmedRaw!BH:BH)</f>
        <v>114</v>
      </c>
      <c r="BF51">
        <f>SUMIF(ConfirmedRaw!$B:$B,$A51,ConfirmedRaw!BI:BI)</f>
        <v>147</v>
      </c>
      <c r="BG51">
        <f>SUMIF(ConfirmedRaw!$B:$B,$A51,ConfirmedRaw!BJ:BJ)</f>
        <v>199</v>
      </c>
      <c r="BH51">
        <f>SUMIF(ConfirmedRaw!$B:$B,$A51,ConfirmedRaw!BK:BK)</f>
        <v>253</v>
      </c>
      <c r="BI51">
        <f>SUMIF(ConfirmedRaw!$B:$B,$A51,ConfirmedRaw!BL:BL)</f>
        <v>0</v>
      </c>
      <c r="BJ51">
        <f>SUMIF(ConfirmedRaw!$B:$B,$A51,ConfirmedRaw!BM:BM)</f>
        <v>0</v>
      </c>
      <c r="BK51">
        <f>SUMIF(ConfirmedRaw!$B:$B,$A51,ConfirmedRaw!BN:BN)</f>
        <v>0</v>
      </c>
      <c r="BL51">
        <f>SUMIF(ConfirmedRaw!$B:$B,$A51,ConfirmedRaw!BO:BO)</f>
        <v>0</v>
      </c>
      <c r="BM51">
        <f>SUMIF(ConfirmedRaw!$B:$B,$A51,ConfirmedRaw!BP:BP)</f>
        <v>0</v>
      </c>
      <c r="BN51">
        <f>SUMIF(ConfirmedRaw!$B:$B,$A51,ConfirmedRaw!BQ:BQ)</f>
        <v>0</v>
      </c>
      <c r="BO51">
        <f>SUMIF(ConfirmedRaw!$B:$B,$A51,ConfirmedRaw!BR:BR)</f>
        <v>0</v>
      </c>
      <c r="BP51">
        <f>SUMIF(ConfirmedRaw!$B:$B,$A51,ConfirmedRaw!BS:BS)</f>
        <v>0</v>
      </c>
      <c r="BQ51">
        <f>SUMIF(ConfirmedRaw!$B:$B,$A51,ConfirmedRaw!BT:BT)</f>
        <v>0</v>
      </c>
      <c r="BR51">
        <f>SUMIF(ConfirmedRaw!$B:$B,$A51,ConfirmedRaw!BU:BU)</f>
        <v>0</v>
      </c>
      <c r="BS51">
        <f>SUMIF(ConfirmedRaw!$B:$B,$A51,ConfirmedRaw!BV:BV)</f>
        <v>0</v>
      </c>
      <c r="BT51">
        <f>SUMIF(ConfirmedRaw!$B:$B,$A51,ConfirmedRaw!BW:BW)</f>
        <v>0</v>
      </c>
    </row>
    <row r="52" spans="1:72" ht="15" thickBot="1" x14ac:dyDescent="0.35">
      <c r="A52" s="3" t="s">
        <v>124</v>
      </c>
      <c r="B52">
        <f>SUMIF(ConfirmedRaw!$B:$B,$A52,ConfirmedRaw!E:E)</f>
        <v>0</v>
      </c>
      <c r="C52">
        <f>SUMIF(ConfirmedRaw!$B:$B,$A52,ConfirmedRaw!F:F)</f>
        <v>0</v>
      </c>
      <c r="D52">
        <f>SUMIF(ConfirmedRaw!$B:$B,$A52,ConfirmedRaw!G:G)</f>
        <v>0</v>
      </c>
      <c r="E52">
        <f>SUMIF(ConfirmedRaw!$B:$B,$A52,ConfirmedRaw!H:H)</f>
        <v>0</v>
      </c>
      <c r="F52">
        <f>SUMIF(ConfirmedRaw!$B:$B,$A52,ConfirmedRaw!I:I)</f>
        <v>0</v>
      </c>
      <c r="G52">
        <f>SUMIF(ConfirmedRaw!$B:$B,$A52,ConfirmedRaw!J:J)</f>
        <v>0</v>
      </c>
      <c r="H52">
        <f>SUMIF(ConfirmedRaw!$B:$B,$A52,ConfirmedRaw!K:K)</f>
        <v>0</v>
      </c>
      <c r="I52">
        <f>SUMIF(ConfirmedRaw!$B:$B,$A52,ConfirmedRaw!L:L)</f>
        <v>0</v>
      </c>
      <c r="J52">
        <f>SUMIF(ConfirmedRaw!$B:$B,$A52,ConfirmedRaw!M:M)</f>
        <v>0</v>
      </c>
      <c r="K52">
        <f>SUMIF(ConfirmedRaw!$B:$B,$A52,ConfirmedRaw!N:N)</f>
        <v>0</v>
      </c>
      <c r="L52">
        <f>SUMIF(ConfirmedRaw!$B:$B,$A52,ConfirmedRaw!O:O)</f>
        <v>0</v>
      </c>
      <c r="M52">
        <f>SUMIF(ConfirmedRaw!$B:$B,$A52,ConfirmedRaw!P:P)</f>
        <v>0</v>
      </c>
      <c r="N52">
        <f>SUMIF(ConfirmedRaw!$B:$B,$A52,ConfirmedRaw!Q:Q)</f>
        <v>0</v>
      </c>
      <c r="O52">
        <f>SUMIF(ConfirmedRaw!$B:$B,$A52,ConfirmedRaw!R:R)</f>
        <v>0</v>
      </c>
      <c r="P52">
        <f>SUMIF(ConfirmedRaw!$B:$B,$A52,ConfirmedRaw!S:S)</f>
        <v>0</v>
      </c>
      <c r="Q52">
        <f>SUMIF(ConfirmedRaw!$B:$B,$A52,ConfirmedRaw!T:T)</f>
        <v>0</v>
      </c>
      <c r="R52">
        <f>SUMIF(ConfirmedRaw!$B:$B,$A52,ConfirmedRaw!U:U)</f>
        <v>0</v>
      </c>
      <c r="S52">
        <f>SUMIF(ConfirmedRaw!$B:$B,$A52,ConfirmedRaw!V:V)</f>
        <v>0</v>
      </c>
      <c r="T52">
        <f>SUMIF(ConfirmedRaw!$B:$B,$A52,ConfirmedRaw!W:W)</f>
        <v>0</v>
      </c>
      <c r="U52">
        <f>SUMIF(ConfirmedRaw!$B:$B,$A52,ConfirmedRaw!X:X)</f>
        <v>0</v>
      </c>
      <c r="V52">
        <f>SUMIF(ConfirmedRaw!$B:$B,$A52,ConfirmedRaw!Y:Y)</f>
        <v>0</v>
      </c>
      <c r="W52">
        <f>SUMIF(ConfirmedRaw!$B:$B,$A52,ConfirmedRaw!Z:Z)</f>
        <v>0</v>
      </c>
      <c r="X52">
        <f>SUMIF(ConfirmedRaw!$B:$B,$A52,ConfirmedRaw!AA:AA)</f>
        <v>0</v>
      </c>
      <c r="Y52">
        <f>SUMIF(ConfirmedRaw!$B:$B,$A52,ConfirmedRaw!AB:AB)</f>
        <v>0</v>
      </c>
      <c r="Z52">
        <f>SUMIF(ConfirmedRaw!$B:$B,$A52,ConfirmedRaw!AC:AC)</f>
        <v>0</v>
      </c>
      <c r="AA52">
        <f>SUMIF(ConfirmedRaw!$B:$B,$A52,ConfirmedRaw!AD:AD)</f>
        <v>0</v>
      </c>
      <c r="AB52">
        <f>SUMIF(ConfirmedRaw!$B:$B,$A52,ConfirmedRaw!AE:AE)</f>
        <v>0</v>
      </c>
      <c r="AC52">
        <f>SUMIF(ConfirmedRaw!$B:$B,$A52,ConfirmedRaw!AF:AF)</f>
        <v>0</v>
      </c>
      <c r="AD52">
        <f>SUMIF(ConfirmedRaw!$B:$B,$A52,ConfirmedRaw!AG:AG)</f>
        <v>0</v>
      </c>
      <c r="AE52">
        <f>SUMIF(ConfirmedRaw!$B:$B,$A52,ConfirmedRaw!AH:AH)</f>
        <v>0</v>
      </c>
      <c r="AF52">
        <f>SUMIF(ConfirmedRaw!$B:$B,$A52,ConfirmedRaw!AI:AI)</f>
        <v>0</v>
      </c>
      <c r="AG52">
        <f>SUMIF(ConfirmedRaw!$B:$B,$A52,ConfirmedRaw!AJ:AJ)</f>
        <v>0</v>
      </c>
      <c r="AH52">
        <f>SUMIF(ConfirmedRaw!$B:$B,$A52,ConfirmedRaw!AK:AK)</f>
        <v>0</v>
      </c>
      <c r="AI52">
        <f>SUMIF(ConfirmedRaw!$B:$B,$A52,ConfirmedRaw!AL:AL)</f>
        <v>0</v>
      </c>
      <c r="AJ52">
        <f>SUMIF(ConfirmedRaw!$B:$B,$A52,ConfirmedRaw!AM:AM)</f>
        <v>0</v>
      </c>
      <c r="AK52">
        <f>SUMIF(ConfirmedRaw!$B:$B,$A52,ConfirmedRaw!AN:AN)</f>
        <v>0</v>
      </c>
      <c r="AL52">
        <f>SUMIF(ConfirmedRaw!$B:$B,$A52,ConfirmedRaw!AO:AO)</f>
        <v>0</v>
      </c>
      <c r="AM52">
        <f>SUMIF(ConfirmedRaw!$B:$B,$A52,ConfirmedRaw!AP:AP)</f>
        <v>0</v>
      </c>
      <c r="AN52">
        <f>SUMIF(ConfirmedRaw!$B:$B,$A52,ConfirmedRaw!AQ:AQ)</f>
        <v>0</v>
      </c>
      <c r="AO52">
        <f>SUMIF(ConfirmedRaw!$B:$B,$A52,ConfirmedRaw!AR:AR)</f>
        <v>0</v>
      </c>
      <c r="AP52">
        <f>SUMIF(ConfirmedRaw!$B:$B,$A52,ConfirmedRaw!AS:AS)</f>
        <v>0</v>
      </c>
      <c r="AQ52">
        <f>SUMIF(ConfirmedRaw!$B:$B,$A52,ConfirmedRaw!AT:AT)</f>
        <v>1</v>
      </c>
      <c r="AR52">
        <f>SUMIF(ConfirmedRaw!$B:$B,$A52,ConfirmedRaw!AU:AU)</f>
        <v>1</v>
      </c>
      <c r="AS52">
        <f>SUMIF(ConfirmedRaw!$B:$B,$A52,ConfirmedRaw!AV:AV)</f>
        <v>4</v>
      </c>
      <c r="AT52">
        <f>SUMIF(ConfirmedRaw!$B:$B,$A52,ConfirmedRaw!AW:AW)</f>
        <v>4</v>
      </c>
      <c r="AU52">
        <f>SUMIF(ConfirmedRaw!$B:$B,$A52,ConfirmedRaw!AX:AX)</f>
        <v>4</v>
      </c>
      <c r="AV52">
        <f>SUMIF(ConfirmedRaw!$B:$B,$A52,ConfirmedRaw!AY:AY)</f>
        <v>8</v>
      </c>
      <c r="AW52">
        <f>SUMIF(ConfirmedRaw!$B:$B,$A52,ConfirmedRaw!AZ:AZ)</f>
        <v>8</v>
      </c>
      <c r="AX52">
        <f>SUMIF(ConfirmedRaw!$B:$B,$A52,ConfirmedRaw!BA:BA)</f>
        <v>13</v>
      </c>
      <c r="AY52">
        <f>SUMIF(ConfirmedRaw!$B:$B,$A52,ConfirmedRaw!BB:BB)</f>
        <v>23</v>
      </c>
      <c r="AZ52">
        <f>SUMIF(ConfirmedRaw!$B:$B,$A52,ConfirmedRaw!BC:BC)</f>
        <v>23</v>
      </c>
      <c r="BA52">
        <f>SUMIF(ConfirmedRaw!$B:$B,$A52,ConfirmedRaw!BD:BD)</f>
        <v>43</v>
      </c>
      <c r="BB52">
        <f>SUMIF(ConfirmedRaw!$B:$B,$A52,ConfirmedRaw!BE:BE)</f>
        <v>61</v>
      </c>
      <c r="BC52">
        <f>SUMIF(ConfirmedRaw!$B:$B,$A52,ConfirmedRaw!BF:BF)</f>
        <v>74</v>
      </c>
      <c r="BD52">
        <f>SUMIF(ConfirmedRaw!$B:$B,$A52,ConfirmedRaw!BG:BG)</f>
        <v>155</v>
      </c>
      <c r="BE52">
        <f>SUMIF(ConfirmedRaw!$B:$B,$A52,ConfirmedRaw!BH:BH)</f>
        <v>201</v>
      </c>
      <c r="BF52">
        <f>SUMIF(ConfirmedRaw!$B:$B,$A52,ConfirmedRaw!BI:BI)</f>
        <v>238</v>
      </c>
      <c r="BG52">
        <f>SUMIF(ConfirmedRaw!$B:$B,$A52,ConfirmedRaw!BJ:BJ)</f>
        <v>238</v>
      </c>
      <c r="BH52">
        <f>SUMIF(ConfirmedRaw!$B:$B,$A52,ConfirmedRaw!BK:BK)</f>
        <v>434</v>
      </c>
      <c r="BI52">
        <f>SUMIF(ConfirmedRaw!$B:$B,$A52,ConfirmedRaw!BL:BL)</f>
        <v>0</v>
      </c>
      <c r="BJ52">
        <f>SUMIF(ConfirmedRaw!$B:$B,$A52,ConfirmedRaw!BM:BM)</f>
        <v>0</v>
      </c>
      <c r="BK52">
        <f>SUMIF(ConfirmedRaw!$B:$B,$A52,ConfirmedRaw!BN:BN)</f>
        <v>0</v>
      </c>
      <c r="BL52">
        <f>SUMIF(ConfirmedRaw!$B:$B,$A52,ConfirmedRaw!BO:BO)</f>
        <v>0</v>
      </c>
      <c r="BM52">
        <f>SUMIF(ConfirmedRaw!$B:$B,$A52,ConfirmedRaw!BP:BP)</f>
        <v>0</v>
      </c>
      <c r="BN52">
        <f>SUMIF(ConfirmedRaw!$B:$B,$A52,ConfirmedRaw!BQ:BQ)</f>
        <v>0</v>
      </c>
      <c r="BO52">
        <f>SUMIF(ConfirmedRaw!$B:$B,$A52,ConfirmedRaw!BR:BR)</f>
        <v>0</v>
      </c>
      <c r="BP52">
        <f>SUMIF(ConfirmedRaw!$B:$B,$A52,ConfirmedRaw!BS:BS)</f>
        <v>0</v>
      </c>
      <c r="BQ52">
        <f>SUMIF(ConfirmedRaw!$B:$B,$A52,ConfirmedRaw!BT:BT)</f>
        <v>0</v>
      </c>
      <c r="BR52">
        <f>SUMIF(ConfirmedRaw!$B:$B,$A52,ConfirmedRaw!BU:BU)</f>
        <v>0</v>
      </c>
      <c r="BS52">
        <f>SUMIF(ConfirmedRaw!$B:$B,$A52,ConfirmedRaw!BV:BV)</f>
        <v>0</v>
      </c>
      <c r="BT52">
        <f>SUMIF(ConfirmedRaw!$B:$B,$A52,ConfirmedRaw!BW:BW)</f>
        <v>0</v>
      </c>
    </row>
    <row r="53" spans="1:72" ht="15" thickBot="1" x14ac:dyDescent="0.35">
      <c r="A53" s="4" t="s">
        <v>233</v>
      </c>
      <c r="B53">
        <f>SUMIF(ConfirmedRaw!$B:$B,$A53,ConfirmedRaw!E:E)</f>
        <v>0</v>
      </c>
      <c r="C53">
        <f>SUMIF(ConfirmedRaw!$B:$B,$A53,ConfirmedRaw!F:F)</f>
        <v>0</v>
      </c>
      <c r="D53">
        <f>SUMIF(ConfirmedRaw!$B:$B,$A53,ConfirmedRaw!G:G)</f>
        <v>0</v>
      </c>
      <c r="E53">
        <f>SUMIF(ConfirmedRaw!$B:$B,$A53,ConfirmedRaw!H:H)</f>
        <v>0</v>
      </c>
      <c r="F53">
        <f>SUMIF(ConfirmedRaw!$B:$B,$A53,ConfirmedRaw!I:I)</f>
        <v>0</v>
      </c>
      <c r="G53">
        <f>SUMIF(ConfirmedRaw!$B:$B,$A53,ConfirmedRaw!J:J)</f>
        <v>0</v>
      </c>
      <c r="H53">
        <f>SUMIF(ConfirmedRaw!$B:$B,$A53,ConfirmedRaw!K:K)</f>
        <v>0</v>
      </c>
      <c r="I53">
        <f>SUMIF(ConfirmedRaw!$B:$B,$A53,ConfirmedRaw!L:L)</f>
        <v>0</v>
      </c>
      <c r="J53">
        <f>SUMIF(ConfirmedRaw!$B:$B,$A53,ConfirmedRaw!M:M)</f>
        <v>0</v>
      </c>
      <c r="K53">
        <f>SUMIF(ConfirmedRaw!$B:$B,$A53,ConfirmedRaw!N:N)</f>
        <v>0</v>
      </c>
      <c r="L53">
        <f>SUMIF(ConfirmedRaw!$B:$B,$A53,ConfirmedRaw!O:O)</f>
        <v>0</v>
      </c>
      <c r="M53">
        <f>SUMIF(ConfirmedRaw!$B:$B,$A53,ConfirmedRaw!P:P)</f>
        <v>0</v>
      </c>
      <c r="N53">
        <f>SUMIF(ConfirmedRaw!$B:$B,$A53,ConfirmedRaw!Q:Q)</f>
        <v>0</v>
      </c>
      <c r="O53">
        <f>SUMIF(ConfirmedRaw!$B:$B,$A53,ConfirmedRaw!R:R)</f>
        <v>0</v>
      </c>
      <c r="P53">
        <f>SUMIF(ConfirmedRaw!$B:$B,$A53,ConfirmedRaw!S:S)</f>
        <v>0</v>
      </c>
      <c r="Q53">
        <f>SUMIF(ConfirmedRaw!$B:$B,$A53,ConfirmedRaw!T:T)</f>
        <v>0</v>
      </c>
      <c r="R53">
        <f>SUMIF(ConfirmedRaw!$B:$B,$A53,ConfirmedRaw!U:U)</f>
        <v>0</v>
      </c>
      <c r="S53">
        <f>SUMIF(ConfirmedRaw!$B:$B,$A53,ConfirmedRaw!V:V)</f>
        <v>0</v>
      </c>
      <c r="T53">
        <f>SUMIF(ConfirmedRaw!$B:$B,$A53,ConfirmedRaw!W:W)</f>
        <v>0</v>
      </c>
      <c r="U53">
        <f>SUMIF(ConfirmedRaw!$B:$B,$A53,ConfirmedRaw!X:X)</f>
        <v>0</v>
      </c>
      <c r="V53">
        <f>SUMIF(ConfirmedRaw!$B:$B,$A53,ConfirmedRaw!Y:Y)</f>
        <v>0</v>
      </c>
      <c r="W53">
        <f>SUMIF(ConfirmedRaw!$B:$B,$A53,ConfirmedRaw!Z:Z)</f>
        <v>0</v>
      </c>
      <c r="X53">
        <f>SUMIF(ConfirmedRaw!$B:$B,$A53,ConfirmedRaw!AA:AA)</f>
        <v>0</v>
      </c>
      <c r="Y53">
        <f>SUMIF(ConfirmedRaw!$B:$B,$A53,ConfirmedRaw!AB:AB)</f>
        <v>0</v>
      </c>
      <c r="Z53">
        <f>SUMIF(ConfirmedRaw!$B:$B,$A53,ConfirmedRaw!AC:AC)</f>
        <v>0</v>
      </c>
      <c r="AA53">
        <f>SUMIF(ConfirmedRaw!$B:$B,$A53,ConfirmedRaw!AD:AD)</f>
        <v>0</v>
      </c>
      <c r="AB53">
        <f>SUMIF(ConfirmedRaw!$B:$B,$A53,ConfirmedRaw!AE:AE)</f>
        <v>0</v>
      </c>
      <c r="AC53">
        <f>SUMIF(ConfirmedRaw!$B:$B,$A53,ConfirmedRaw!AF:AF)</f>
        <v>0</v>
      </c>
      <c r="AD53">
        <f>SUMIF(ConfirmedRaw!$B:$B,$A53,ConfirmedRaw!AG:AG)</f>
        <v>0</v>
      </c>
      <c r="AE53">
        <f>SUMIF(ConfirmedRaw!$B:$B,$A53,ConfirmedRaw!AH:AH)</f>
        <v>0</v>
      </c>
      <c r="AF53">
        <f>SUMIF(ConfirmedRaw!$B:$B,$A53,ConfirmedRaw!AI:AI)</f>
        <v>0</v>
      </c>
      <c r="AG53">
        <f>SUMIF(ConfirmedRaw!$B:$B,$A53,ConfirmedRaw!AJ:AJ)</f>
        <v>0</v>
      </c>
      <c r="AH53">
        <f>SUMIF(ConfirmedRaw!$B:$B,$A53,ConfirmedRaw!AK:AK)</f>
        <v>0</v>
      </c>
      <c r="AI53">
        <f>SUMIF(ConfirmedRaw!$B:$B,$A53,ConfirmedRaw!AL:AL)</f>
        <v>0</v>
      </c>
      <c r="AJ53">
        <f>SUMIF(ConfirmedRaw!$B:$B,$A53,ConfirmedRaw!AM:AM)</f>
        <v>0</v>
      </c>
      <c r="AK53">
        <f>SUMIF(ConfirmedRaw!$B:$B,$A53,ConfirmedRaw!AN:AN)</f>
        <v>0</v>
      </c>
      <c r="AL53">
        <f>SUMIF(ConfirmedRaw!$B:$B,$A53,ConfirmedRaw!AO:AO)</f>
        <v>0</v>
      </c>
      <c r="AM53">
        <f>SUMIF(ConfirmedRaw!$B:$B,$A53,ConfirmedRaw!AP:AP)</f>
        <v>0</v>
      </c>
      <c r="AN53">
        <f>SUMIF(ConfirmedRaw!$B:$B,$A53,ConfirmedRaw!AQ:AQ)</f>
        <v>0</v>
      </c>
      <c r="AO53">
        <f>SUMIF(ConfirmedRaw!$B:$B,$A53,ConfirmedRaw!AR:AR)</f>
        <v>0</v>
      </c>
      <c r="AP53">
        <f>SUMIF(ConfirmedRaw!$B:$B,$A53,ConfirmedRaw!AS:AS)</f>
        <v>0</v>
      </c>
      <c r="AQ53">
        <f>SUMIF(ConfirmedRaw!$B:$B,$A53,ConfirmedRaw!AT:AT)</f>
        <v>0</v>
      </c>
      <c r="AR53">
        <f>SUMIF(ConfirmedRaw!$B:$B,$A53,ConfirmedRaw!AU:AU)</f>
        <v>0</v>
      </c>
      <c r="AS53">
        <f>SUMIF(ConfirmedRaw!$B:$B,$A53,ConfirmedRaw!AV:AV)</f>
        <v>0</v>
      </c>
      <c r="AT53">
        <f>SUMIF(ConfirmedRaw!$B:$B,$A53,ConfirmedRaw!AW:AW)</f>
        <v>0</v>
      </c>
      <c r="AU53">
        <f>SUMIF(ConfirmedRaw!$B:$B,$A53,ConfirmedRaw!AX:AX)</f>
        <v>0</v>
      </c>
      <c r="AV53">
        <f>SUMIF(ConfirmedRaw!$B:$B,$A53,ConfirmedRaw!AY:AY)</f>
        <v>0</v>
      </c>
      <c r="AW53">
        <f>SUMIF(ConfirmedRaw!$B:$B,$A53,ConfirmedRaw!AZ:AZ)</f>
        <v>1</v>
      </c>
      <c r="AX53">
        <f>SUMIF(ConfirmedRaw!$B:$B,$A53,ConfirmedRaw!BA:BA)</f>
        <v>1</v>
      </c>
      <c r="AY53">
        <f>SUMIF(ConfirmedRaw!$B:$B,$A53,ConfirmedRaw!BB:BB)</f>
        <v>11</v>
      </c>
      <c r="AZ53">
        <f>SUMIF(ConfirmedRaw!$B:$B,$A53,ConfirmedRaw!BC:BC)</f>
        <v>11</v>
      </c>
      <c r="BA53">
        <f>SUMIF(ConfirmedRaw!$B:$B,$A53,ConfirmedRaw!BD:BD)</f>
        <v>37</v>
      </c>
      <c r="BB53">
        <f>SUMIF(ConfirmedRaw!$B:$B,$A53,ConfirmedRaw!BE:BE)</f>
        <v>40</v>
      </c>
      <c r="BC53">
        <f>SUMIF(ConfirmedRaw!$B:$B,$A53,ConfirmedRaw!BF:BF)</f>
        <v>50</v>
      </c>
      <c r="BD53">
        <f>SUMIF(ConfirmedRaw!$B:$B,$A53,ConfirmedRaw!BG:BG)</f>
        <v>54</v>
      </c>
      <c r="BE53">
        <f>SUMIF(ConfirmedRaw!$B:$B,$A53,ConfirmedRaw!BH:BH)</f>
        <v>56</v>
      </c>
      <c r="BF53">
        <f>SUMIF(ConfirmedRaw!$B:$B,$A53,ConfirmedRaw!BI:BI)</f>
        <v>68</v>
      </c>
      <c r="BG53">
        <f>SUMIF(ConfirmedRaw!$B:$B,$A53,ConfirmedRaw!BJ:BJ)</f>
        <v>75</v>
      </c>
      <c r="BH53">
        <f>SUMIF(ConfirmedRaw!$B:$B,$A53,ConfirmedRaw!BK:BK)</f>
        <v>78</v>
      </c>
      <c r="BI53">
        <f>SUMIF(ConfirmedRaw!$B:$B,$A53,ConfirmedRaw!BL:BL)</f>
        <v>0</v>
      </c>
      <c r="BJ53">
        <f>SUMIF(ConfirmedRaw!$B:$B,$A53,ConfirmedRaw!BM:BM)</f>
        <v>0</v>
      </c>
      <c r="BK53">
        <f>SUMIF(ConfirmedRaw!$B:$B,$A53,ConfirmedRaw!BN:BN)</f>
        <v>0</v>
      </c>
      <c r="BL53">
        <f>SUMIF(ConfirmedRaw!$B:$B,$A53,ConfirmedRaw!BO:BO)</f>
        <v>0</v>
      </c>
      <c r="BM53">
        <f>SUMIF(ConfirmedRaw!$B:$B,$A53,ConfirmedRaw!BP:BP)</f>
        <v>0</v>
      </c>
      <c r="BN53">
        <f>SUMIF(ConfirmedRaw!$B:$B,$A53,ConfirmedRaw!BQ:BQ)</f>
        <v>0</v>
      </c>
      <c r="BO53">
        <f>SUMIF(ConfirmedRaw!$B:$B,$A53,ConfirmedRaw!BR:BR)</f>
        <v>0</v>
      </c>
      <c r="BP53">
        <f>SUMIF(ConfirmedRaw!$B:$B,$A53,ConfirmedRaw!BS:BS)</f>
        <v>0</v>
      </c>
      <c r="BQ53">
        <f>SUMIF(ConfirmedRaw!$B:$B,$A53,ConfirmedRaw!BT:BT)</f>
        <v>0</v>
      </c>
      <c r="BR53">
        <f>SUMIF(ConfirmedRaw!$B:$B,$A53,ConfirmedRaw!BU:BU)</f>
        <v>0</v>
      </c>
      <c r="BS53">
        <f>SUMIF(ConfirmedRaw!$B:$B,$A53,ConfirmedRaw!BV:BV)</f>
        <v>0</v>
      </c>
      <c r="BT53">
        <f>SUMIF(ConfirmedRaw!$B:$B,$A53,ConfirmedRaw!BW:BW)</f>
        <v>0</v>
      </c>
    </row>
    <row r="54" spans="1:72" ht="15" thickBot="1" x14ac:dyDescent="0.35">
      <c r="A54" s="3" t="s">
        <v>161</v>
      </c>
      <c r="B54">
        <f>SUMIF(ConfirmedRaw!$B:$B,$A54,ConfirmedRaw!E:E)</f>
        <v>0</v>
      </c>
      <c r="C54">
        <f>SUMIF(ConfirmedRaw!$B:$B,$A54,ConfirmedRaw!F:F)</f>
        <v>0</v>
      </c>
      <c r="D54">
        <f>SUMIF(ConfirmedRaw!$B:$B,$A54,ConfirmedRaw!G:G)</f>
        <v>0</v>
      </c>
      <c r="E54">
        <f>SUMIF(ConfirmedRaw!$B:$B,$A54,ConfirmedRaw!H:H)</f>
        <v>0</v>
      </c>
      <c r="F54">
        <f>SUMIF(ConfirmedRaw!$B:$B,$A54,ConfirmedRaw!I:I)</f>
        <v>0</v>
      </c>
      <c r="G54">
        <f>SUMIF(ConfirmedRaw!$B:$B,$A54,ConfirmedRaw!J:J)</f>
        <v>0</v>
      </c>
      <c r="H54">
        <f>SUMIF(ConfirmedRaw!$B:$B,$A54,ConfirmedRaw!K:K)</f>
        <v>0</v>
      </c>
      <c r="I54">
        <f>SUMIF(ConfirmedRaw!$B:$B,$A54,ConfirmedRaw!L:L)</f>
        <v>0</v>
      </c>
      <c r="J54">
        <f>SUMIF(ConfirmedRaw!$B:$B,$A54,ConfirmedRaw!M:M)</f>
        <v>0</v>
      </c>
      <c r="K54">
        <f>SUMIF(ConfirmedRaw!$B:$B,$A54,ConfirmedRaw!N:N)</f>
        <v>0</v>
      </c>
      <c r="L54">
        <f>SUMIF(ConfirmedRaw!$B:$B,$A54,ConfirmedRaw!O:O)</f>
        <v>0</v>
      </c>
      <c r="M54">
        <f>SUMIF(ConfirmedRaw!$B:$B,$A54,ConfirmedRaw!P:P)</f>
        <v>0</v>
      </c>
      <c r="N54">
        <f>SUMIF(ConfirmedRaw!$B:$B,$A54,ConfirmedRaw!Q:Q)</f>
        <v>0</v>
      </c>
      <c r="O54">
        <f>SUMIF(ConfirmedRaw!$B:$B,$A54,ConfirmedRaw!R:R)</f>
        <v>0</v>
      </c>
      <c r="P54">
        <f>SUMIF(ConfirmedRaw!$B:$B,$A54,ConfirmedRaw!S:S)</f>
        <v>0</v>
      </c>
      <c r="Q54">
        <f>SUMIF(ConfirmedRaw!$B:$B,$A54,ConfirmedRaw!T:T)</f>
        <v>0</v>
      </c>
      <c r="R54">
        <f>SUMIF(ConfirmedRaw!$B:$B,$A54,ConfirmedRaw!U:U)</f>
        <v>0</v>
      </c>
      <c r="S54">
        <f>SUMIF(ConfirmedRaw!$B:$B,$A54,ConfirmedRaw!V:V)</f>
        <v>0</v>
      </c>
      <c r="T54">
        <f>SUMIF(ConfirmedRaw!$B:$B,$A54,ConfirmedRaw!W:W)</f>
        <v>0</v>
      </c>
      <c r="U54">
        <f>SUMIF(ConfirmedRaw!$B:$B,$A54,ConfirmedRaw!X:X)</f>
        <v>0</v>
      </c>
      <c r="V54">
        <f>SUMIF(ConfirmedRaw!$B:$B,$A54,ConfirmedRaw!Y:Y)</f>
        <v>0</v>
      </c>
      <c r="W54">
        <f>SUMIF(ConfirmedRaw!$B:$B,$A54,ConfirmedRaw!Z:Z)</f>
        <v>0</v>
      </c>
      <c r="X54">
        <f>SUMIF(ConfirmedRaw!$B:$B,$A54,ConfirmedRaw!AA:AA)</f>
        <v>0</v>
      </c>
      <c r="Y54">
        <f>SUMIF(ConfirmedRaw!$B:$B,$A54,ConfirmedRaw!AB:AB)</f>
        <v>0</v>
      </c>
      <c r="Z54">
        <f>SUMIF(ConfirmedRaw!$B:$B,$A54,ConfirmedRaw!AC:AC)</f>
        <v>0</v>
      </c>
      <c r="AA54">
        <f>SUMIF(ConfirmedRaw!$B:$B,$A54,ConfirmedRaw!AD:AD)</f>
        <v>0</v>
      </c>
      <c r="AB54">
        <f>SUMIF(ConfirmedRaw!$B:$B,$A54,ConfirmedRaw!AE:AE)</f>
        <v>0</v>
      </c>
      <c r="AC54">
        <f>SUMIF(ConfirmedRaw!$B:$B,$A54,ConfirmedRaw!AF:AF)</f>
        <v>0</v>
      </c>
      <c r="AD54">
        <f>SUMIF(ConfirmedRaw!$B:$B,$A54,ConfirmedRaw!AG:AG)</f>
        <v>0</v>
      </c>
      <c r="AE54">
        <f>SUMIF(ConfirmedRaw!$B:$B,$A54,ConfirmedRaw!AH:AH)</f>
        <v>0</v>
      </c>
      <c r="AF54">
        <f>SUMIF(ConfirmedRaw!$B:$B,$A54,ConfirmedRaw!AI:AI)</f>
        <v>0</v>
      </c>
      <c r="AG54">
        <f>SUMIF(ConfirmedRaw!$B:$B,$A54,ConfirmedRaw!AJ:AJ)</f>
        <v>0</v>
      </c>
      <c r="AH54">
        <f>SUMIF(ConfirmedRaw!$B:$B,$A54,ConfirmedRaw!AK:AK)</f>
        <v>0</v>
      </c>
      <c r="AI54">
        <f>SUMIF(ConfirmedRaw!$B:$B,$A54,ConfirmedRaw!AL:AL)</f>
        <v>0</v>
      </c>
      <c r="AJ54">
        <f>SUMIF(ConfirmedRaw!$B:$B,$A54,ConfirmedRaw!AM:AM)</f>
        <v>0</v>
      </c>
      <c r="AK54">
        <f>SUMIF(ConfirmedRaw!$B:$B,$A54,ConfirmedRaw!AN:AN)</f>
        <v>0</v>
      </c>
      <c r="AL54">
        <f>SUMIF(ConfirmedRaw!$B:$B,$A54,ConfirmedRaw!AO:AO)</f>
        <v>0</v>
      </c>
      <c r="AM54">
        <f>SUMIF(ConfirmedRaw!$B:$B,$A54,ConfirmedRaw!AP:AP)</f>
        <v>0</v>
      </c>
      <c r="AN54">
        <f>SUMIF(ConfirmedRaw!$B:$B,$A54,ConfirmedRaw!AQ:AQ)</f>
        <v>0</v>
      </c>
      <c r="AO54">
        <f>SUMIF(ConfirmedRaw!$B:$B,$A54,ConfirmedRaw!AR:AR)</f>
        <v>0</v>
      </c>
      <c r="AP54">
        <f>SUMIF(ConfirmedRaw!$B:$B,$A54,ConfirmedRaw!AS:AS)</f>
        <v>0</v>
      </c>
      <c r="AQ54">
        <f>SUMIF(ConfirmedRaw!$B:$B,$A54,ConfirmedRaw!AT:AT)</f>
        <v>0</v>
      </c>
      <c r="AR54">
        <f>SUMIF(ConfirmedRaw!$B:$B,$A54,ConfirmedRaw!AU:AU)</f>
        <v>0</v>
      </c>
      <c r="AS54">
        <f>SUMIF(ConfirmedRaw!$B:$B,$A54,ConfirmedRaw!AV:AV)</f>
        <v>0</v>
      </c>
      <c r="AT54">
        <f>SUMIF(ConfirmedRaw!$B:$B,$A54,ConfirmedRaw!AW:AW)</f>
        <v>1</v>
      </c>
      <c r="AU54">
        <f>SUMIF(ConfirmedRaw!$B:$B,$A54,ConfirmedRaw!AX:AX)</f>
        <v>1</v>
      </c>
      <c r="AV54">
        <f>SUMIF(ConfirmedRaw!$B:$B,$A54,ConfirmedRaw!AY:AY)</f>
        <v>1</v>
      </c>
      <c r="AW54">
        <f>SUMIF(ConfirmedRaw!$B:$B,$A54,ConfirmedRaw!AZ:AZ)</f>
        <v>1</v>
      </c>
      <c r="AX54">
        <f>SUMIF(ConfirmedRaw!$B:$B,$A54,ConfirmedRaw!BA:BA)</f>
        <v>5</v>
      </c>
      <c r="AY54">
        <f>SUMIF(ConfirmedRaw!$B:$B,$A54,ConfirmedRaw!BB:BB)</f>
        <v>12</v>
      </c>
      <c r="AZ54">
        <f>SUMIF(ConfirmedRaw!$B:$B,$A54,ConfirmedRaw!BC:BC)</f>
        <v>19</v>
      </c>
      <c r="BA54">
        <f>SUMIF(ConfirmedRaw!$B:$B,$A54,ConfirmedRaw!BD:BD)</f>
        <v>35</v>
      </c>
      <c r="BB54">
        <f>SUMIF(ConfirmedRaw!$B:$B,$A54,ConfirmedRaw!BE:BE)</f>
        <v>46</v>
      </c>
      <c r="BC54">
        <f>SUMIF(ConfirmedRaw!$B:$B,$A54,ConfirmedRaw!BF:BF)</f>
        <v>48</v>
      </c>
      <c r="BD54">
        <f>SUMIF(ConfirmedRaw!$B:$B,$A54,ConfirmedRaw!BG:BG)</f>
        <v>55</v>
      </c>
      <c r="BE54">
        <f>SUMIF(ConfirmedRaw!$B:$B,$A54,ConfirmedRaw!BH:BH)</f>
        <v>65</v>
      </c>
      <c r="BF54">
        <f>SUMIF(ConfirmedRaw!$B:$B,$A54,ConfirmedRaw!BI:BI)</f>
        <v>83</v>
      </c>
      <c r="BG54">
        <f>SUMIF(ConfirmedRaw!$B:$B,$A54,ConfirmedRaw!BJ:BJ)</f>
        <v>103</v>
      </c>
      <c r="BH54">
        <f>SUMIF(ConfirmedRaw!$B:$B,$A54,ConfirmedRaw!BK:BK)</f>
        <v>135</v>
      </c>
      <c r="BI54">
        <f>SUMIF(ConfirmedRaw!$B:$B,$A54,ConfirmedRaw!BL:BL)</f>
        <v>0</v>
      </c>
      <c r="BJ54">
        <f>SUMIF(ConfirmedRaw!$B:$B,$A54,ConfirmedRaw!BM:BM)</f>
        <v>0</v>
      </c>
      <c r="BK54">
        <f>SUMIF(ConfirmedRaw!$B:$B,$A54,ConfirmedRaw!BN:BN)</f>
        <v>0</v>
      </c>
      <c r="BL54">
        <f>SUMIF(ConfirmedRaw!$B:$B,$A54,ConfirmedRaw!BO:BO)</f>
        <v>0</v>
      </c>
      <c r="BM54">
        <f>SUMIF(ConfirmedRaw!$B:$B,$A54,ConfirmedRaw!BP:BP)</f>
        <v>0</v>
      </c>
      <c r="BN54">
        <f>SUMIF(ConfirmedRaw!$B:$B,$A54,ConfirmedRaw!BQ:BQ)</f>
        <v>0</v>
      </c>
      <c r="BO54">
        <f>SUMIF(ConfirmedRaw!$B:$B,$A54,ConfirmedRaw!BR:BR)</f>
        <v>0</v>
      </c>
      <c r="BP54">
        <f>SUMIF(ConfirmedRaw!$B:$B,$A54,ConfirmedRaw!BS:BS)</f>
        <v>0</v>
      </c>
      <c r="BQ54">
        <f>SUMIF(ConfirmedRaw!$B:$B,$A54,ConfirmedRaw!BT:BT)</f>
        <v>0</v>
      </c>
      <c r="BR54">
        <f>SUMIF(ConfirmedRaw!$B:$B,$A54,ConfirmedRaw!BU:BU)</f>
        <v>0</v>
      </c>
      <c r="BS54">
        <f>SUMIF(ConfirmedRaw!$B:$B,$A54,ConfirmedRaw!BV:BV)</f>
        <v>0</v>
      </c>
      <c r="BT54">
        <f>SUMIF(ConfirmedRaw!$B:$B,$A54,ConfirmedRaw!BW:BW)</f>
        <v>0</v>
      </c>
    </row>
    <row r="55" spans="1:72" ht="15" thickBot="1" x14ac:dyDescent="0.35">
      <c r="A55" s="3" t="s">
        <v>99</v>
      </c>
      <c r="B55">
        <f>SUMIF(ConfirmedRaw!$B:$B,$A55,ConfirmedRaw!E:E)</f>
        <v>0</v>
      </c>
      <c r="C55">
        <f>SUMIF(ConfirmedRaw!$B:$B,$A55,ConfirmedRaw!F:F)</f>
        <v>0</v>
      </c>
      <c r="D55">
        <f>SUMIF(ConfirmedRaw!$B:$B,$A55,ConfirmedRaw!G:G)</f>
        <v>0</v>
      </c>
      <c r="E55">
        <f>SUMIF(ConfirmedRaw!$B:$B,$A55,ConfirmedRaw!H:H)</f>
        <v>0</v>
      </c>
      <c r="F55">
        <f>SUMIF(ConfirmedRaw!$B:$B,$A55,ConfirmedRaw!I:I)</f>
        <v>0</v>
      </c>
      <c r="G55">
        <f>SUMIF(ConfirmedRaw!$B:$B,$A55,ConfirmedRaw!J:J)</f>
        <v>0</v>
      </c>
      <c r="H55">
        <f>SUMIF(ConfirmedRaw!$B:$B,$A55,ConfirmedRaw!K:K)</f>
        <v>0</v>
      </c>
      <c r="I55">
        <f>SUMIF(ConfirmedRaw!$B:$B,$A55,ConfirmedRaw!L:L)</f>
        <v>0</v>
      </c>
      <c r="J55">
        <f>SUMIF(ConfirmedRaw!$B:$B,$A55,ConfirmedRaw!M:M)</f>
        <v>0</v>
      </c>
      <c r="K55">
        <f>SUMIF(ConfirmedRaw!$B:$B,$A55,ConfirmedRaw!N:N)</f>
        <v>0</v>
      </c>
      <c r="L55">
        <f>SUMIF(ConfirmedRaw!$B:$B,$A55,ConfirmedRaw!O:O)</f>
        <v>0</v>
      </c>
      <c r="M55">
        <f>SUMIF(ConfirmedRaw!$B:$B,$A55,ConfirmedRaw!P:P)</f>
        <v>0</v>
      </c>
      <c r="N55">
        <f>SUMIF(ConfirmedRaw!$B:$B,$A55,ConfirmedRaw!Q:Q)</f>
        <v>0</v>
      </c>
      <c r="O55">
        <f>SUMIF(ConfirmedRaw!$B:$B,$A55,ConfirmedRaw!R:R)</f>
        <v>0</v>
      </c>
      <c r="P55">
        <f>SUMIF(ConfirmedRaw!$B:$B,$A55,ConfirmedRaw!S:S)</f>
        <v>0</v>
      </c>
      <c r="Q55">
        <f>SUMIF(ConfirmedRaw!$B:$B,$A55,ConfirmedRaw!T:T)</f>
        <v>0</v>
      </c>
      <c r="R55">
        <f>SUMIF(ConfirmedRaw!$B:$B,$A55,ConfirmedRaw!U:U)</f>
        <v>0</v>
      </c>
      <c r="S55">
        <f>SUMIF(ConfirmedRaw!$B:$B,$A55,ConfirmedRaw!V:V)</f>
        <v>0</v>
      </c>
      <c r="T55">
        <f>SUMIF(ConfirmedRaw!$B:$B,$A55,ConfirmedRaw!W:W)</f>
        <v>0</v>
      </c>
      <c r="U55">
        <f>SUMIF(ConfirmedRaw!$B:$B,$A55,ConfirmedRaw!X:X)</f>
        <v>0</v>
      </c>
      <c r="V55">
        <f>SUMIF(ConfirmedRaw!$B:$B,$A55,ConfirmedRaw!Y:Y)</f>
        <v>0</v>
      </c>
      <c r="W55">
        <f>SUMIF(ConfirmedRaw!$B:$B,$A55,ConfirmedRaw!Z:Z)</f>
        <v>0</v>
      </c>
      <c r="X55">
        <f>SUMIF(ConfirmedRaw!$B:$B,$A55,ConfirmedRaw!AA:AA)</f>
        <v>0</v>
      </c>
      <c r="Y55">
        <f>SUMIF(ConfirmedRaw!$B:$B,$A55,ConfirmedRaw!AB:AB)</f>
        <v>0</v>
      </c>
      <c r="Z55">
        <f>SUMIF(ConfirmedRaw!$B:$B,$A55,ConfirmedRaw!AC:AC)</f>
        <v>0</v>
      </c>
      <c r="AA55">
        <f>SUMIF(ConfirmedRaw!$B:$B,$A55,ConfirmedRaw!AD:AD)</f>
        <v>0</v>
      </c>
      <c r="AB55">
        <f>SUMIF(ConfirmedRaw!$B:$B,$A55,ConfirmedRaw!AE:AE)</f>
        <v>0</v>
      </c>
      <c r="AC55">
        <f>SUMIF(ConfirmedRaw!$B:$B,$A55,ConfirmedRaw!AF:AF)</f>
        <v>0</v>
      </c>
      <c r="AD55">
        <f>SUMIF(ConfirmedRaw!$B:$B,$A55,ConfirmedRaw!AG:AG)</f>
        <v>0</v>
      </c>
      <c r="AE55">
        <f>SUMIF(ConfirmedRaw!$B:$B,$A55,ConfirmedRaw!AH:AH)</f>
        <v>0</v>
      </c>
      <c r="AF55">
        <f>SUMIF(ConfirmedRaw!$B:$B,$A55,ConfirmedRaw!AI:AI)</f>
        <v>0</v>
      </c>
      <c r="AG55">
        <f>SUMIF(ConfirmedRaw!$B:$B,$A55,ConfirmedRaw!AJ:AJ)</f>
        <v>0</v>
      </c>
      <c r="AH55">
        <f>SUMIF(ConfirmedRaw!$B:$B,$A55,ConfirmedRaw!AK:AK)</f>
        <v>0</v>
      </c>
      <c r="AI55">
        <f>SUMIF(ConfirmedRaw!$B:$B,$A55,ConfirmedRaw!AL:AL)</f>
        <v>0</v>
      </c>
      <c r="AJ55">
        <f>SUMIF(ConfirmedRaw!$B:$B,$A55,ConfirmedRaw!AM:AM)</f>
        <v>0</v>
      </c>
      <c r="AK55">
        <f>SUMIF(ConfirmedRaw!$B:$B,$A55,ConfirmedRaw!AN:AN)</f>
        <v>0</v>
      </c>
      <c r="AL55">
        <f>SUMIF(ConfirmedRaw!$B:$B,$A55,ConfirmedRaw!AO:AO)</f>
        <v>0</v>
      </c>
      <c r="AM55">
        <f>SUMIF(ConfirmedRaw!$B:$B,$A55,ConfirmedRaw!AP:AP)</f>
        <v>0</v>
      </c>
      <c r="AN55">
        <f>SUMIF(ConfirmedRaw!$B:$B,$A55,ConfirmedRaw!AQ:AQ)</f>
        <v>1</v>
      </c>
      <c r="AO55">
        <f>SUMIF(ConfirmedRaw!$B:$B,$A55,ConfirmedRaw!AR:AR)</f>
        <v>1</v>
      </c>
      <c r="AP55">
        <f>SUMIF(ConfirmedRaw!$B:$B,$A55,ConfirmedRaw!AS:AS)</f>
        <v>1</v>
      </c>
      <c r="AQ55">
        <f>SUMIF(ConfirmedRaw!$B:$B,$A55,ConfirmedRaw!AT:AT)</f>
        <v>1</v>
      </c>
      <c r="AR55">
        <f>SUMIF(ConfirmedRaw!$B:$B,$A55,ConfirmedRaw!AU:AU)</f>
        <v>1</v>
      </c>
      <c r="AS55">
        <f>SUMIF(ConfirmedRaw!$B:$B,$A55,ConfirmedRaw!AV:AV)</f>
        <v>1</v>
      </c>
      <c r="AT55">
        <f>SUMIF(ConfirmedRaw!$B:$B,$A55,ConfirmedRaw!AW:AW)</f>
        <v>2</v>
      </c>
      <c r="AU55">
        <f>SUMIF(ConfirmedRaw!$B:$B,$A55,ConfirmedRaw!AX:AX)</f>
        <v>2</v>
      </c>
      <c r="AV55">
        <f>SUMIF(ConfirmedRaw!$B:$B,$A55,ConfirmedRaw!AY:AY)</f>
        <v>3</v>
      </c>
      <c r="AW55">
        <f>SUMIF(ConfirmedRaw!$B:$B,$A55,ConfirmedRaw!AZ:AZ)</f>
        <v>3</v>
      </c>
      <c r="AX55">
        <f>SUMIF(ConfirmedRaw!$B:$B,$A55,ConfirmedRaw!BA:BA)</f>
        <v>5</v>
      </c>
      <c r="AY55">
        <f>SUMIF(ConfirmedRaw!$B:$B,$A55,ConfirmedRaw!BB:BB)</f>
        <v>7</v>
      </c>
      <c r="AZ55">
        <f>SUMIF(ConfirmedRaw!$B:$B,$A55,ConfirmedRaw!BC:BC)</f>
        <v>19</v>
      </c>
      <c r="BA55">
        <f>SUMIF(ConfirmedRaw!$B:$B,$A55,ConfirmedRaw!BD:BD)</f>
        <v>34</v>
      </c>
      <c r="BB55">
        <f>SUMIF(ConfirmedRaw!$B:$B,$A55,ConfirmedRaw!BE:BE)</f>
        <v>51</v>
      </c>
      <c r="BC55">
        <f>SUMIF(ConfirmedRaw!$B:$B,$A55,ConfirmedRaw!BF:BF)</f>
        <v>59</v>
      </c>
      <c r="BD55">
        <f>SUMIF(ConfirmedRaw!$B:$B,$A55,ConfirmedRaw!BG:BG)</f>
        <v>77</v>
      </c>
      <c r="BE55">
        <f>SUMIF(ConfirmedRaw!$B:$B,$A55,ConfirmedRaw!BH:BH)</f>
        <v>140</v>
      </c>
      <c r="BF55">
        <f>SUMIF(ConfirmedRaw!$B:$B,$A55,ConfirmedRaw!BI:BI)</f>
        <v>203</v>
      </c>
      <c r="BG55">
        <f>SUMIF(ConfirmedRaw!$B:$B,$A55,ConfirmedRaw!BJ:BJ)</f>
        <v>335</v>
      </c>
      <c r="BH55">
        <f>SUMIF(ConfirmedRaw!$B:$B,$A55,ConfirmedRaw!BK:BK)</f>
        <v>484</v>
      </c>
      <c r="BI55">
        <f>SUMIF(ConfirmedRaw!$B:$B,$A55,ConfirmedRaw!BL:BL)</f>
        <v>0</v>
      </c>
      <c r="BJ55">
        <f>SUMIF(ConfirmedRaw!$B:$B,$A55,ConfirmedRaw!BM:BM)</f>
        <v>0</v>
      </c>
      <c r="BK55">
        <f>SUMIF(ConfirmedRaw!$B:$B,$A55,ConfirmedRaw!BN:BN)</f>
        <v>0</v>
      </c>
      <c r="BL55">
        <f>SUMIF(ConfirmedRaw!$B:$B,$A55,ConfirmedRaw!BO:BO)</f>
        <v>0</v>
      </c>
      <c r="BM55">
        <f>SUMIF(ConfirmedRaw!$B:$B,$A55,ConfirmedRaw!BP:BP)</f>
        <v>0</v>
      </c>
      <c r="BN55">
        <f>SUMIF(ConfirmedRaw!$B:$B,$A55,ConfirmedRaw!BQ:BQ)</f>
        <v>0</v>
      </c>
      <c r="BO55">
        <f>SUMIF(ConfirmedRaw!$B:$B,$A55,ConfirmedRaw!BR:BR)</f>
        <v>0</v>
      </c>
      <c r="BP55">
        <f>SUMIF(ConfirmedRaw!$B:$B,$A55,ConfirmedRaw!BS:BS)</f>
        <v>0</v>
      </c>
      <c r="BQ55">
        <f>SUMIF(ConfirmedRaw!$B:$B,$A55,ConfirmedRaw!BT:BT)</f>
        <v>0</v>
      </c>
      <c r="BR55">
        <f>SUMIF(ConfirmedRaw!$B:$B,$A55,ConfirmedRaw!BU:BU)</f>
        <v>0</v>
      </c>
      <c r="BS55">
        <f>SUMIF(ConfirmedRaw!$B:$B,$A55,ConfirmedRaw!BV:BV)</f>
        <v>0</v>
      </c>
      <c r="BT55">
        <f>SUMIF(ConfirmedRaw!$B:$B,$A55,ConfirmedRaw!BW:BW)</f>
        <v>0</v>
      </c>
    </row>
    <row r="56" spans="1:72" ht="15" thickBot="1" x14ac:dyDescent="0.35">
      <c r="A56" s="4" t="s">
        <v>230</v>
      </c>
      <c r="B56">
        <f>SUMIF(ConfirmedRaw!$B:$B,$A56,ConfirmedRaw!E:E)</f>
        <v>0</v>
      </c>
      <c r="C56">
        <f>SUMIF(ConfirmedRaw!$B:$B,$A56,ConfirmedRaw!F:F)</f>
        <v>0</v>
      </c>
      <c r="D56">
        <f>SUMIF(ConfirmedRaw!$B:$B,$A56,ConfirmedRaw!G:G)</f>
        <v>0</v>
      </c>
      <c r="E56">
        <f>SUMIF(ConfirmedRaw!$B:$B,$A56,ConfirmedRaw!H:H)</f>
        <v>0</v>
      </c>
      <c r="F56">
        <f>SUMIF(ConfirmedRaw!$B:$B,$A56,ConfirmedRaw!I:I)</f>
        <v>0</v>
      </c>
      <c r="G56">
        <f>SUMIF(ConfirmedRaw!$B:$B,$A56,ConfirmedRaw!J:J)</f>
        <v>0</v>
      </c>
      <c r="H56">
        <f>SUMIF(ConfirmedRaw!$B:$B,$A56,ConfirmedRaw!K:K)</f>
        <v>0</v>
      </c>
      <c r="I56">
        <f>SUMIF(ConfirmedRaw!$B:$B,$A56,ConfirmedRaw!L:L)</f>
        <v>0</v>
      </c>
      <c r="J56">
        <f>SUMIF(ConfirmedRaw!$B:$B,$A56,ConfirmedRaw!M:M)</f>
        <v>0</v>
      </c>
      <c r="K56">
        <f>SUMIF(ConfirmedRaw!$B:$B,$A56,ConfirmedRaw!N:N)</f>
        <v>0</v>
      </c>
      <c r="L56">
        <f>SUMIF(ConfirmedRaw!$B:$B,$A56,ConfirmedRaw!O:O)</f>
        <v>0</v>
      </c>
      <c r="M56">
        <f>SUMIF(ConfirmedRaw!$B:$B,$A56,ConfirmedRaw!P:P)</f>
        <v>0</v>
      </c>
      <c r="N56">
        <f>SUMIF(ConfirmedRaw!$B:$B,$A56,ConfirmedRaw!Q:Q)</f>
        <v>0</v>
      </c>
      <c r="O56">
        <f>SUMIF(ConfirmedRaw!$B:$B,$A56,ConfirmedRaw!R:R)</f>
        <v>0</v>
      </c>
      <c r="P56">
        <f>SUMIF(ConfirmedRaw!$B:$B,$A56,ConfirmedRaw!S:S)</f>
        <v>0</v>
      </c>
      <c r="Q56">
        <f>SUMIF(ConfirmedRaw!$B:$B,$A56,ConfirmedRaw!T:T)</f>
        <v>0</v>
      </c>
      <c r="R56">
        <f>SUMIF(ConfirmedRaw!$B:$B,$A56,ConfirmedRaw!U:U)</f>
        <v>0</v>
      </c>
      <c r="S56">
        <f>SUMIF(ConfirmedRaw!$B:$B,$A56,ConfirmedRaw!V:V)</f>
        <v>0</v>
      </c>
      <c r="T56">
        <f>SUMIF(ConfirmedRaw!$B:$B,$A56,ConfirmedRaw!W:W)</f>
        <v>0</v>
      </c>
      <c r="U56">
        <f>SUMIF(ConfirmedRaw!$B:$B,$A56,ConfirmedRaw!X:X)</f>
        <v>0</v>
      </c>
      <c r="V56">
        <f>SUMIF(ConfirmedRaw!$B:$B,$A56,ConfirmedRaw!Y:Y)</f>
        <v>0</v>
      </c>
      <c r="W56">
        <f>SUMIF(ConfirmedRaw!$B:$B,$A56,ConfirmedRaw!Z:Z)</f>
        <v>0</v>
      </c>
      <c r="X56">
        <f>SUMIF(ConfirmedRaw!$B:$B,$A56,ConfirmedRaw!AA:AA)</f>
        <v>0</v>
      </c>
      <c r="Y56">
        <f>SUMIF(ConfirmedRaw!$B:$B,$A56,ConfirmedRaw!AB:AB)</f>
        <v>0</v>
      </c>
      <c r="Z56">
        <f>SUMIF(ConfirmedRaw!$B:$B,$A56,ConfirmedRaw!AC:AC)</f>
        <v>0</v>
      </c>
      <c r="AA56">
        <f>SUMIF(ConfirmedRaw!$B:$B,$A56,ConfirmedRaw!AD:AD)</f>
        <v>0</v>
      </c>
      <c r="AB56">
        <f>SUMIF(ConfirmedRaw!$B:$B,$A56,ConfirmedRaw!AE:AE)</f>
        <v>0</v>
      </c>
      <c r="AC56">
        <f>SUMIF(ConfirmedRaw!$B:$B,$A56,ConfirmedRaw!AF:AF)</f>
        <v>0</v>
      </c>
      <c r="AD56">
        <f>SUMIF(ConfirmedRaw!$B:$B,$A56,ConfirmedRaw!AG:AG)</f>
        <v>0</v>
      </c>
      <c r="AE56">
        <f>SUMIF(ConfirmedRaw!$B:$B,$A56,ConfirmedRaw!AH:AH)</f>
        <v>0</v>
      </c>
      <c r="AF56">
        <f>SUMIF(ConfirmedRaw!$B:$B,$A56,ConfirmedRaw!AI:AI)</f>
        <v>0</v>
      </c>
      <c r="AG56">
        <f>SUMIF(ConfirmedRaw!$B:$B,$A56,ConfirmedRaw!AJ:AJ)</f>
        <v>0</v>
      </c>
      <c r="AH56">
        <f>SUMIF(ConfirmedRaw!$B:$B,$A56,ConfirmedRaw!AK:AK)</f>
        <v>0</v>
      </c>
      <c r="AI56">
        <f>SUMIF(ConfirmedRaw!$B:$B,$A56,ConfirmedRaw!AL:AL)</f>
        <v>0</v>
      </c>
      <c r="AJ56">
        <f>SUMIF(ConfirmedRaw!$B:$B,$A56,ConfirmedRaw!AM:AM)</f>
        <v>0</v>
      </c>
      <c r="AK56">
        <f>SUMIF(ConfirmedRaw!$B:$B,$A56,ConfirmedRaw!AN:AN)</f>
        <v>0</v>
      </c>
      <c r="AL56">
        <f>SUMIF(ConfirmedRaw!$B:$B,$A56,ConfirmedRaw!AO:AO)</f>
        <v>0</v>
      </c>
      <c r="AM56">
        <f>SUMIF(ConfirmedRaw!$B:$B,$A56,ConfirmedRaw!AP:AP)</f>
        <v>0</v>
      </c>
      <c r="AN56">
        <f>SUMIF(ConfirmedRaw!$B:$B,$A56,ConfirmedRaw!AQ:AQ)</f>
        <v>0</v>
      </c>
      <c r="AO56">
        <f>SUMIF(ConfirmedRaw!$B:$B,$A56,ConfirmedRaw!AR:AR)</f>
        <v>0</v>
      </c>
      <c r="AP56">
        <f>SUMIF(ConfirmedRaw!$B:$B,$A56,ConfirmedRaw!AS:AS)</f>
        <v>0</v>
      </c>
      <c r="AQ56">
        <f>SUMIF(ConfirmedRaw!$B:$B,$A56,ConfirmedRaw!AT:AT)</f>
        <v>0</v>
      </c>
      <c r="AR56">
        <f>SUMIF(ConfirmedRaw!$B:$B,$A56,ConfirmedRaw!AU:AU)</f>
        <v>0</v>
      </c>
      <c r="AS56">
        <f>SUMIF(ConfirmedRaw!$B:$B,$A56,ConfirmedRaw!AV:AV)</f>
        <v>0</v>
      </c>
      <c r="AT56">
        <f>SUMIF(ConfirmedRaw!$B:$B,$A56,ConfirmedRaw!AW:AW)</f>
        <v>0</v>
      </c>
      <c r="AU56">
        <f>SUMIF(ConfirmedRaw!$B:$B,$A56,ConfirmedRaw!AX:AX)</f>
        <v>0</v>
      </c>
      <c r="AV56">
        <f>SUMIF(ConfirmedRaw!$B:$B,$A56,ConfirmedRaw!AY:AY)</f>
        <v>0</v>
      </c>
      <c r="AW56">
        <f>SUMIF(ConfirmedRaw!$B:$B,$A56,ConfirmedRaw!AZ:AZ)</f>
        <v>2</v>
      </c>
      <c r="AX56">
        <f>SUMIF(ConfirmedRaw!$B:$B,$A56,ConfirmedRaw!BA:BA)</f>
        <v>10</v>
      </c>
      <c r="AY56">
        <f>SUMIF(ConfirmedRaw!$B:$B,$A56,ConfirmedRaw!BB:BB)</f>
        <v>12</v>
      </c>
      <c r="AZ56">
        <f>SUMIF(ConfirmedRaw!$B:$B,$A56,ConfirmedRaw!BC:BC)</f>
        <v>23</v>
      </c>
      <c r="BA56">
        <f>SUMIF(ConfirmedRaw!$B:$B,$A56,ConfirmedRaw!BD:BD)</f>
        <v>33</v>
      </c>
      <c r="BB56">
        <f>SUMIF(ConfirmedRaw!$B:$B,$A56,ConfirmedRaw!BE:BE)</f>
        <v>38</v>
      </c>
      <c r="BC56">
        <f>SUMIF(ConfirmedRaw!$B:$B,$A56,ConfirmedRaw!BF:BF)</f>
        <v>42</v>
      </c>
      <c r="BD56">
        <f>SUMIF(ConfirmedRaw!$B:$B,$A56,ConfirmedRaw!BG:BG)</f>
        <v>51</v>
      </c>
      <c r="BE56">
        <f>SUMIF(ConfirmedRaw!$B:$B,$A56,ConfirmedRaw!BH:BH)</f>
        <v>55</v>
      </c>
      <c r="BF56">
        <f>SUMIF(ConfirmedRaw!$B:$B,$A56,ConfirmedRaw!BI:BI)</f>
        <v>59</v>
      </c>
      <c r="BG56">
        <f>SUMIF(ConfirmedRaw!$B:$B,$A56,ConfirmedRaw!BJ:BJ)</f>
        <v>64</v>
      </c>
      <c r="BH56">
        <f>SUMIF(ConfirmedRaw!$B:$B,$A56,ConfirmedRaw!BK:BK)</f>
        <v>70</v>
      </c>
      <c r="BI56">
        <f>SUMIF(ConfirmedRaw!$B:$B,$A56,ConfirmedRaw!BL:BL)</f>
        <v>0</v>
      </c>
      <c r="BJ56">
        <f>SUMIF(ConfirmedRaw!$B:$B,$A56,ConfirmedRaw!BM:BM)</f>
        <v>0</v>
      </c>
      <c r="BK56">
        <f>SUMIF(ConfirmedRaw!$B:$B,$A56,ConfirmedRaw!BN:BN)</f>
        <v>0</v>
      </c>
      <c r="BL56">
        <f>SUMIF(ConfirmedRaw!$B:$B,$A56,ConfirmedRaw!BO:BO)</f>
        <v>0</v>
      </c>
      <c r="BM56">
        <f>SUMIF(ConfirmedRaw!$B:$B,$A56,ConfirmedRaw!BP:BP)</f>
        <v>0</v>
      </c>
      <c r="BN56">
        <f>SUMIF(ConfirmedRaw!$B:$B,$A56,ConfirmedRaw!BQ:BQ)</f>
        <v>0</v>
      </c>
      <c r="BO56">
        <f>SUMIF(ConfirmedRaw!$B:$B,$A56,ConfirmedRaw!BR:BR)</f>
        <v>0</v>
      </c>
      <c r="BP56">
        <f>SUMIF(ConfirmedRaw!$B:$B,$A56,ConfirmedRaw!BS:BS)</f>
        <v>0</v>
      </c>
      <c r="BQ56">
        <f>SUMIF(ConfirmedRaw!$B:$B,$A56,ConfirmedRaw!BT:BT)</f>
        <v>0</v>
      </c>
      <c r="BR56">
        <f>SUMIF(ConfirmedRaw!$B:$B,$A56,ConfirmedRaw!BU:BU)</f>
        <v>0</v>
      </c>
      <c r="BS56">
        <f>SUMIF(ConfirmedRaw!$B:$B,$A56,ConfirmedRaw!BV:BV)</f>
        <v>0</v>
      </c>
      <c r="BT56">
        <f>SUMIF(ConfirmedRaw!$B:$B,$A56,ConfirmedRaw!BW:BW)</f>
        <v>0</v>
      </c>
    </row>
    <row r="57" spans="1:72" ht="15" thickBot="1" x14ac:dyDescent="0.35">
      <c r="A57" s="3" t="s">
        <v>76</v>
      </c>
      <c r="B57">
        <f>SUMIF(ConfirmedRaw!$B:$B,$A57,ConfirmedRaw!E:E)</f>
        <v>0</v>
      </c>
      <c r="C57">
        <f>SUMIF(ConfirmedRaw!$B:$B,$A57,ConfirmedRaw!F:F)</f>
        <v>0</v>
      </c>
      <c r="D57">
        <f>SUMIF(ConfirmedRaw!$B:$B,$A57,ConfirmedRaw!G:G)</f>
        <v>0</v>
      </c>
      <c r="E57">
        <f>SUMIF(ConfirmedRaw!$B:$B,$A57,ConfirmedRaw!H:H)</f>
        <v>0</v>
      </c>
      <c r="F57">
        <f>SUMIF(ConfirmedRaw!$B:$B,$A57,ConfirmedRaw!I:I)</f>
        <v>0</v>
      </c>
      <c r="G57">
        <f>SUMIF(ConfirmedRaw!$B:$B,$A57,ConfirmedRaw!J:J)</f>
        <v>0</v>
      </c>
      <c r="H57">
        <f>SUMIF(ConfirmedRaw!$B:$B,$A57,ConfirmedRaw!K:K)</f>
        <v>0</v>
      </c>
      <c r="I57">
        <f>SUMIF(ConfirmedRaw!$B:$B,$A57,ConfirmedRaw!L:L)</f>
        <v>0</v>
      </c>
      <c r="J57">
        <f>SUMIF(ConfirmedRaw!$B:$B,$A57,ConfirmedRaw!M:M)</f>
        <v>0</v>
      </c>
      <c r="K57">
        <f>SUMIF(ConfirmedRaw!$B:$B,$A57,ConfirmedRaw!N:N)</f>
        <v>0</v>
      </c>
      <c r="L57">
        <f>SUMIF(ConfirmedRaw!$B:$B,$A57,ConfirmedRaw!O:O)</f>
        <v>0</v>
      </c>
      <c r="M57">
        <f>SUMIF(ConfirmedRaw!$B:$B,$A57,ConfirmedRaw!P:P)</f>
        <v>0</v>
      </c>
      <c r="N57">
        <f>SUMIF(ConfirmedRaw!$B:$B,$A57,ConfirmedRaw!Q:Q)</f>
        <v>0</v>
      </c>
      <c r="O57">
        <f>SUMIF(ConfirmedRaw!$B:$B,$A57,ConfirmedRaw!R:R)</f>
        <v>0</v>
      </c>
      <c r="P57">
        <f>SUMIF(ConfirmedRaw!$B:$B,$A57,ConfirmedRaw!S:S)</f>
        <v>0</v>
      </c>
      <c r="Q57">
        <f>SUMIF(ConfirmedRaw!$B:$B,$A57,ConfirmedRaw!T:T)</f>
        <v>0</v>
      </c>
      <c r="R57">
        <f>SUMIF(ConfirmedRaw!$B:$B,$A57,ConfirmedRaw!U:U)</f>
        <v>0</v>
      </c>
      <c r="S57">
        <f>SUMIF(ConfirmedRaw!$B:$B,$A57,ConfirmedRaw!V:V)</f>
        <v>0</v>
      </c>
      <c r="T57">
        <f>SUMIF(ConfirmedRaw!$B:$B,$A57,ConfirmedRaw!W:W)</f>
        <v>0</v>
      </c>
      <c r="U57">
        <f>SUMIF(ConfirmedRaw!$B:$B,$A57,ConfirmedRaw!X:X)</f>
        <v>0</v>
      </c>
      <c r="V57">
        <f>SUMIF(ConfirmedRaw!$B:$B,$A57,ConfirmedRaw!Y:Y)</f>
        <v>0</v>
      </c>
      <c r="W57">
        <f>SUMIF(ConfirmedRaw!$B:$B,$A57,ConfirmedRaw!Z:Z)</f>
        <v>0</v>
      </c>
      <c r="X57">
        <f>SUMIF(ConfirmedRaw!$B:$B,$A57,ConfirmedRaw!AA:AA)</f>
        <v>0</v>
      </c>
      <c r="Y57">
        <f>SUMIF(ConfirmedRaw!$B:$B,$A57,ConfirmedRaw!AB:AB)</f>
        <v>0</v>
      </c>
      <c r="Z57">
        <f>SUMIF(ConfirmedRaw!$B:$B,$A57,ConfirmedRaw!AC:AC)</f>
        <v>0</v>
      </c>
      <c r="AA57">
        <f>SUMIF(ConfirmedRaw!$B:$B,$A57,ConfirmedRaw!AD:AD)</f>
        <v>0</v>
      </c>
      <c r="AB57">
        <f>SUMIF(ConfirmedRaw!$B:$B,$A57,ConfirmedRaw!AE:AE)</f>
        <v>0</v>
      </c>
      <c r="AC57">
        <f>SUMIF(ConfirmedRaw!$B:$B,$A57,ConfirmedRaw!AF:AF)</f>
        <v>0</v>
      </c>
      <c r="AD57">
        <f>SUMIF(ConfirmedRaw!$B:$B,$A57,ConfirmedRaw!AG:AG)</f>
        <v>0</v>
      </c>
      <c r="AE57">
        <f>SUMIF(ConfirmedRaw!$B:$B,$A57,ConfirmedRaw!AH:AH)</f>
        <v>0</v>
      </c>
      <c r="AF57">
        <f>SUMIF(ConfirmedRaw!$B:$B,$A57,ConfirmedRaw!AI:AI)</f>
        <v>0</v>
      </c>
      <c r="AG57">
        <f>SUMIF(ConfirmedRaw!$B:$B,$A57,ConfirmedRaw!AJ:AJ)</f>
        <v>0</v>
      </c>
      <c r="AH57">
        <f>SUMIF(ConfirmedRaw!$B:$B,$A57,ConfirmedRaw!AK:AK)</f>
        <v>0</v>
      </c>
      <c r="AI57">
        <f>SUMIF(ConfirmedRaw!$B:$B,$A57,ConfirmedRaw!AL:AL)</f>
        <v>0</v>
      </c>
      <c r="AJ57">
        <f>SUMIF(ConfirmedRaw!$B:$B,$A57,ConfirmedRaw!AM:AM)</f>
        <v>1</v>
      </c>
      <c r="AK57">
        <f>SUMIF(ConfirmedRaw!$B:$B,$A57,ConfirmedRaw!AN:AN)</f>
        <v>3</v>
      </c>
      <c r="AL57">
        <f>SUMIF(ConfirmedRaw!$B:$B,$A57,ConfirmedRaw!AO:AO)</f>
        <v>3</v>
      </c>
      <c r="AM57">
        <f>SUMIF(ConfirmedRaw!$B:$B,$A57,ConfirmedRaw!AP:AP)</f>
        <v>5</v>
      </c>
      <c r="AN57">
        <f>SUMIF(ConfirmedRaw!$B:$B,$A57,ConfirmedRaw!AQ:AQ)</f>
        <v>6</v>
      </c>
      <c r="AO57">
        <f>SUMIF(ConfirmedRaw!$B:$B,$A57,ConfirmedRaw!AR:AR)</f>
        <v>7</v>
      </c>
      <c r="AP57">
        <f>SUMIF(ConfirmedRaw!$B:$B,$A57,ConfirmedRaw!AS:AS)</f>
        <v>7</v>
      </c>
      <c r="AQ57">
        <f>SUMIF(ConfirmedRaw!$B:$B,$A57,ConfirmedRaw!AT:AT)</f>
        <v>9</v>
      </c>
      <c r="AR57">
        <f>SUMIF(ConfirmedRaw!$B:$B,$A57,ConfirmedRaw!AU:AU)</f>
        <v>10</v>
      </c>
      <c r="AS57">
        <f>SUMIF(ConfirmedRaw!$B:$B,$A57,ConfirmedRaw!AV:AV)</f>
        <v>10</v>
      </c>
      <c r="AT57">
        <f>SUMIF(ConfirmedRaw!$B:$B,$A57,ConfirmedRaw!AW:AW)</f>
        <v>11</v>
      </c>
      <c r="AU57">
        <f>SUMIF(ConfirmedRaw!$B:$B,$A57,ConfirmedRaw!AX:AX)</f>
        <v>12</v>
      </c>
      <c r="AV57">
        <f>SUMIF(ConfirmedRaw!$B:$B,$A57,ConfirmedRaw!AY:AY)</f>
        <v>12</v>
      </c>
      <c r="AW57">
        <f>SUMIF(ConfirmedRaw!$B:$B,$A57,ConfirmedRaw!AZ:AZ)</f>
        <v>12</v>
      </c>
      <c r="AX57">
        <f>SUMIF(ConfirmedRaw!$B:$B,$A57,ConfirmedRaw!BA:BA)</f>
        <v>14</v>
      </c>
      <c r="AY57">
        <f>SUMIF(ConfirmedRaw!$B:$B,$A57,ConfirmedRaw!BB:BB)</f>
        <v>19</v>
      </c>
      <c r="AZ57">
        <f>SUMIF(ConfirmedRaw!$B:$B,$A57,ConfirmedRaw!BC:BC)</f>
        <v>19</v>
      </c>
      <c r="BA57">
        <f>SUMIF(ConfirmedRaw!$B:$B,$A57,ConfirmedRaw!BD:BD)</f>
        <v>32</v>
      </c>
      <c r="BB57">
        <f>SUMIF(ConfirmedRaw!$B:$B,$A57,ConfirmedRaw!BE:BE)</f>
        <v>38</v>
      </c>
      <c r="BC57">
        <f>SUMIF(ConfirmedRaw!$B:$B,$A57,ConfirmedRaw!BF:BF)</f>
        <v>49</v>
      </c>
      <c r="BD57">
        <f>SUMIF(ConfirmedRaw!$B:$B,$A57,ConfirmedRaw!BG:BG)</f>
        <v>57</v>
      </c>
      <c r="BE57">
        <f>SUMIF(ConfirmedRaw!$B:$B,$A57,ConfirmedRaw!BH:BH)</f>
        <v>65</v>
      </c>
      <c r="BF57">
        <f>SUMIF(ConfirmedRaw!$B:$B,$A57,ConfirmedRaw!BI:BI)</f>
        <v>81</v>
      </c>
      <c r="BG57">
        <f>SUMIF(ConfirmedRaw!$B:$B,$A57,ConfirmedRaw!BJ:BJ)</f>
        <v>105</v>
      </c>
      <c r="BH57">
        <f>SUMIF(ConfirmedRaw!$B:$B,$A57,ConfirmedRaw!BK:BK)</f>
        <v>128</v>
      </c>
      <c r="BI57">
        <f>SUMIF(ConfirmedRaw!$B:$B,$A57,ConfirmedRaw!BL:BL)</f>
        <v>0</v>
      </c>
      <c r="BJ57">
        <f>SUMIF(ConfirmedRaw!$B:$B,$A57,ConfirmedRaw!BM:BM)</f>
        <v>0</v>
      </c>
      <c r="BK57">
        <f>SUMIF(ConfirmedRaw!$B:$B,$A57,ConfirmedRaw!BN:BN)</f>
        <v>0</v>
      </c>
      <c r="BL57">
        <f>SUMIF(ConfirmedRaw!$B:$B,$A57,ConfirmedRaw!BO:BO)</f>
        <v>0</v>
      </c>
      <c r="BM57">
        <f>SUMIF(ConfirmedRaw!$B:$B,$A57,ConfirmedRaw!BP:BP)</f>
        <v>0</v>
      </c>
      <c r="BN57">
        <f>SUMIF(ConfirmedRaw!$B:$B,$A57,ConfirmedRaw!BQ:BQ)</f>
        <v>0</v>
      </c>
      <c r="BO57">
        <f>SUMIF(ConfirmedRaw!$B:$B,$A57,ConfirmedRaw!BR:BR)</f>
        <v>0</v>
      </c>
      <c r="BP57">
        <f>SUMIF(ConfirmedRaw!$B:$B,$A57,ConfirmedRaw!BS:BS)</f>
        <v>0</v>
      </c>
      <c r="BQ57">
        <f>SUMIF(ConfirmedRaw!$B:$B,$A57,ConfirmedRaw!BT:BT)</f>
        <v>0</v>
      </c>
      <c r="BR57">
        <f>SUMIF(ConfirmedRaw!$B:$B,$A57,ConfirmedRaw!BU:BU)</f>
        <v>0</v>
      </c>
      <c r="BS57">
        <f>SUMIF(ConfirmedRaw!$B:$B,$A57,ConfirmedRaw!BV:BV)</f>
        <v>0</v>
      </c>
      <c r="BT57">
        <f>SUMIF(ConfirmedRaw!$B:$B,$A57,ConfirmedRaw!BW:BW)</f>
        <v>0</v>
      </c>
    </row>
    <row r="58" spans="1:72" ht="15" thickBot="1" x14ac:dyDescent="0.35">
      <c r="A58" s="4" t="s">
        <v>162</v>
      </c>
      <c r="B58">
        <f>SUMIF(ConfirmedRaw!$B:$B,$A58,ConfirmedRaw!E:E)</f>
        <v>0</v>
      </c>
      <c r="C58">
        <f>SUMIF(ConfirmedRaw!$B:$B,$A58,ConfirmedRaw!F:F)</f>
        <v>0</v>
      </c>
      <c r="D58">
        <f>SUMIF(ConfirmedRaw!$B:$B,$A58,ConfirmedRaw!G:G)</f>
        <v>0</v>
      </c>
      <c r="E58">
        <f>SUMIF(ConfirmedRaw!$B:$B,$A58,ConfirmedRaw!H:H)</f>
        <v>0</v>
      </c>
      <c r="F58">
        <f>SUMIF(ConfirmedRaw!$B:$B,$A58,ConfirmedRaw!I:I)</f>
        <v>0</v>
      </c>
      <c r="G58">
        <f>SUMIF(ConfirmedRaw!$B:$B,$A58,ConfirmedRaw!J:J)</f>
        <v>0</v>
      </c>
      <c r="H58">
        <f>SUMIF(ConfirmedRaw!$B:$B,$A58,ConfirmedRaw!K:K)</f>
        <v>0</v>
      </c>
      <c r="I58">
        <f>SUMIF(ConfirmedRaw!$B:$B,$A58,ConfirmedRaw!L:L)</f>
        <v>0</v>
      </c>
      <c r="J58">
        <f>SUMIF(ConfirmedRaw!$B:$B,$A58,ConfirmedRaw!M:M)</f>
        <v>0</v>
      </c>
      <c r="K58">
        <f>SUMIF(ConfirmedRaw!$B:$B,$A58,ConfirmedRaw!N:N)</f>
        <v>0</v>
      </c>
      <c r="L58">
        <f>SUMIF(ConfirmedRaw!$B:$B,$A58,ConfirmedRaw!O:O)</f>
        <v>0</v>
      </c>
      <c r="M58">
        <f>SUMIF(ConfirmedRaw!$B:$B,$A58,ConfirmedRaw!P:P)</f>
        <v>0</v>
      </c>
      <c r="N58">
        <f>SUMIF(ConfirmedRaw!$B:$B,$A58,ConfirmedRaw!Q:Q)</f>
        <v>0</v>
      </c>
      <c r="O58">
        <f>SUMIF(ConfirmedRaw!$B:$B,$A58,ConfirmedRaw!R:R)</f>
        <v>0</v>
      </c>
      <c r="P58">
        <f>SUMIF(ConfirmedRaw!$B:$B,$A58,ConfirmedRaw!S:S)</f>
        <v>0</v>
      </c>
      <c r="Q58">
        <f>SUMIF(ConfirmedRaw!$B:$B,$A58,ConfirmedRaw!T:T)</f>
        <v>0</v>
      </c>
      <c r="R58">
        <f>SUMIF(ConfirmedRaw!$B:$B,$A58,ConfirmedRaw!U:U)</f>
        <v>0</v>
      </c>
      <c r="S58">
        <f>SUMIF(ConfirmedRaw!$B:$B,$A58,ConfirmedRaw!V:V)</f>
        <v>0</v>
      </c>
      <c r="T58">
        <f>SUMIF(ConfirmedRaw!$B:$B,$A58,ConfirmedRaw!W:W)</f>
        <v>0</v>
      </c>
      <c r="U58">
        <f>SUMIF(ConfirmedRaw!$B:$B,$A58,ConfirmedRaw!X:X)</f>
        <v>0</v>
      </c>
      <c r="V58">
        <f>SUMIF(ConfirmedRaw!$B:$B,$A58,ConfirmedRaw!Y:Y)</f>
        <v>0</v>
      </c>
      <c r="W58">
        <f>SUMIF(ConfirmedRaw!$B:$B,$A58,ConfirmedRaw!Z:Z)</f>
        <v>0</v>
      </c>
      <c r="X58">
        <f>SUMIF(ConfirmedRaw!$B:$B,$A58,ConfirmedRaw!AA:AA)</f>
        <v>0</v>
      </c>
      <c r="Y58">
        <f>SUMIF(ConfirmedRaw!$B:$B,$A58,ConfirmedRaw!AB:AB)</f>
        <v>0</v>
      </c>
      <c r="Z58">
        <f>SUMIF(ConfirmedRaw!$B:$B,$A58,ConfirmedRaw!AC:AC)</f>
        <v>0</v>
      </c>
      <c r="AA58">
        <f>SUMIF(ConfirmedRaw!$B:$B,$A58,ConfirmedRaw!AD:AD)</f>
        <v>0</v>
      </c>
      <c r="AB58">
        <f>SUMIF(ConfirmedRaw!$B:$B,$A58,ConfirmedRaw!AE:AE)</f>
        <v>0</v>
      </c>
      <c r="AC58">
        <f>SUMIF(ConfirmedRaw!$B:$B,$A58,ConfirmedRaw!AF:AF)</f>
        <v>0</v>
      </c>
      <c r="AD58">
        <f>SUMIF(ConfirmedRaw!$B:$B,$A58,ConfirmedRaw!AG:AG)</f>
        <v>0</v>
      </c>
      <c r="AE58">
        <f>SUMIF(ConfirmedRaw!$B:$B,$A58,ConfirmedRaw!AH:AH)</f>
        <v>0</v>
      </c>
      <c r="AF58">
        <f>SUMIF(ConfirmedRaw!$B:$B,$A58,ConfirmedRaw!AI:AI)</f>
        <v>0</v>
      </c>
      <c r="AG58">
        <f>SUMIF(ConfirmedRaw!$B:$B,$A58,ConfirmedRaw!AJ:AJ)</f>
        <v>0</v>
      </c>
      <c r="AH58">
        <f>SUMIF(ConfirmedRaw!$B:$B,$A58,ConfirmedRaw!AK:AK)</f>
        <v>0</v>
      </c>
      <c r="AI58">
        <f>SUMIF(ConfirmedRaw!$B:$B,$A58,ConfirmedRaw!AL:AL)</f>
        <v>0</v>
      </c>
      <c r="AJ58">
        <f>SUMIF(ConfirmedRaw!$B:$B,$A58,ConfirmedRaw!AM:AM)</f>
        <v>0</v>
      </c>
      <c r="AK58">
        <f>SUMIF(ConfirmedRaw!$B:$B,$A58,ConfirmedRaw!AN:AN)</f>
        <v>0</v>
      </c>
      <c r="AL58">
        <f>SUMIF(ConfirmedRaw!$B:$B,$A58,ConfirmedRaw!AO:AO)</f>
        <v>0</v>
      </c>
      <c r="AM58">
        <f>SUMIF(ConfirmedRaw!$B:$B,$A58,ConfirmedRaw!AP:AP)</f>
        <v>0</v>
      </c>
      <c r="AN58">
        <f>SUMIF(ConfirmedRaw!$B:$B,$A58,ConfirmedRaw!AQ:AQ)</f>
        <v>0</v>
      </c>
      <c r="AO58">
        <f>SUMIF(ConfirmedRaw!$B:$B,$A58,ConfirmedRaw!AR:AR)</f>
        <v>0</v>
      </c>
      <c r="AP58">
        <f>SUMIF(ConfirmedRaw!$B:$B,$A58,ConfirmedRaw!AS:AS)</f>
        <v>0</v>
      </c>
      <c r="AQ58">
        <f>SUMIF(ConfirmedRaw!$B:$B,$A58,ConfirmedRaw!AT:AT)</f>
        <v>0</v>
      </c>
      <c r="AR58">
        <f>SUMIF(ConfirmedRaw!$B:$B,$A58,ConfirmedRaw!AU:AU)</f>
        <v>0</v>
      </c>
      <c r="AS58">
        <f>SUMIF(ConfirmedRaw!$B:$B,$A58,ConfirmedRaw!AV:AV)</f>
        <v>0</v>
      </c>
      <c r="AT58">
        <f>SUMIF(ConfirmedRaw!$B:$B,$A58,ConfirmedRaw!AW:AW)</f>
        <v>1</v>
      </c>
      <c r="AU58">
        <f>SUMIF(ConfirmedRaw!$B:$B,$A58,ConfirmedRaw!AX:AX)</f>
        <v>1</v>
      </c>
      <c r="AV58">
        <f>SUMIF(ConfirmedRaw!$B:$B,$A58,ConfirmedRaw!AY:AY)</f>
        <v>3</v>
      </c>
      <c r="AW58">
        <f>SUMIF(ConfirmedRaw!$B:$B,$A58,ConfirmedRaw!AZ:AZ)</f>
        <v>3</v>
      </c>
      <c r="AX58">
        <f>SUMIF(ConfirmedRaw!$B:$B,$A58,ConfirmedRaw!BA:BA)</f>
        <v>7</v>
      </c>
      <c r="AY58">
        <f>SUMIF(ConfirmedRaw!$B:$B,$A58,ConfirmedRaw!BB:BB)</f>
        <v>10</v>
      </c>
      <c r="AZ58">
        <f>SUMIF(ConfirmedRaw!$B:$B,$A58,ConfirmedRaw!BC:BC)</f>
        <v>16</v>
      </c>
      <c r="BA58">
        <f>SUMIF(ConfirmedRaw!$B:$B,$A58,ConfirmedRaw!BD:BD)</f>
        <v>32</v>
      </c>
      <c r="BB58">
        <f>SUMIF(ConfirmedRaw!$B:$B,$A58,ConfirmedRaw!BE:BE)</f>
        <v>44</v>
      </c>
      <c r="BC58">
        <f>SUMIF(ConfirmedRaw!$B:$B,$A58,ConfirmedRaw!BF:BF)</f>
        <v>54</v>
      </c>
      <c r="BD58">
        <f>SUMIF(ConfirmedRaw!$B:$B,$A58,ConfirmedRaw!BG:BG)</f>
        <v>63</v>
      </c>
      <c r="BE58">
        <f>SUMIF(ConfirmedRaw!$B:$B,$A58,ConfirmedRaw!BH:BH)</f>
        <v>72</v>
      </c>
      <c r="BF58">
        <f>SUMIF(ConfirmedRaw!$B:$B,$A58,ConfirmedRaw!BI:BI)</f>
        <v>105</v>
      </c>
      <c r="BG58">
        <f>SUMIF(ConfirmedRaw!$B:$B,$A58,ConfirmedRaw!BJ:BJ)</f>
        <v>123</v>
      </c>
      <c r="BH58">
        <f>SUMIF(ConfirmedRaw!$B:$B,$A58,ConfirmedRaw!BK:BK)</f>
        <v>137</v>
      </c>
      <c r="BI58">
        <f>SUMIF(ConfirmedRaw!$B:$B,$A58,ConfirmedRaw!BL:BL)</f>
        <v>0</v>
      </c>
      <c r="BJ58">
        <f>SUMIF(ConfirmedRaw!$B:$B,$A58,ConfirmedRaw!BM:BM)</f>
        <v>0</v>
      </c>
      <c r="BK58">
        <f>SUMIF(ConfirmedRaw!$B:$B,$A58,ConfirmedRaw!BN:BN)</f>
        <v>0</v>
      </c>
      <c r="BL58">
        <f>SUMIF(ConfirmedRaw!$B:$B,$A58,ConfirmedRaw!BO:BO)</f>
        <v>0</v>
      </c>
      <c r="BM58">
        <f>SUMIF(ConfirmedRaw!$B:$B,$A58,ConfirmedRaw!BP:BP)</f>
        <v>0</v>
      </c>
      <c r="BN58">
        <f>SUMIF(ConfirmedRaw!$B:$B,$A58,ConfirmedRaw!BQ:BQ)</f>
        <v>0</v>
      </c>
      <c r="BO58">
        <f>SUMIF(ConfirmedRaw!$B:$B,$A58,ConfirmedRaw!BR:BR)</f>
        <v>0</v>
      </c>
      <c r="BP58">
        <f>SUMIF(ConfirmedRaw!$B:$B,$A58,ConfirmedRaw!BS:BS)</f>
        <v>0</v>
      </c>
      <c r="BQ58">
        <f>SUMIF(ConfirmedRaw!$B:$B,$A58,ConfirmedRaw!BT:BT)</f>
        <v>0</v>
      </c>
      <c r="BR58">
        <f>SUMIF(ConfirmedRaw!$B:$B,$A58,ConfirmedRaw!BU:BU)</f>
        <v>0</v>
      </c>
      <c r="BS58">
        <f>SUMIF(ConfirmedRaw!$B:$B,$A58,ConfirmedRaw!BV:BV)</f>
        <v>0</v>
      </c>
      <c r="BT58">
        <f>SUMIF(ConfirmedRaw!$B:$B,$A58,ConfirmedRaw!BW:BW)</f>
        <v>0</v>
      </c>
    </row>
    <row r="59" spans="1:72" ht="15" thickBot="1" x14ac:dyDescent="0.35">
      <c r="A59" s="4" t="s">
        <v>123</v>
      </c>
      <c r="B59">
        <f>SUMIF(ConfirmedRaw!$B:$B,$A59,ConfirmedRaw!E:E)</f>
        <v>0</v>
      </c>
      <c r="C59">
        <f>SUMIF(ConfirmedRaw!$B:$B,$A59,ConfirmedRaw!F:F)</f>
        <v>0</v>
      </c>
      <c r="D59">
        <f>SUMIF(ConfirmedRaw!$B:$B,$A59,ConfirmedRaw!G:G)</f>
        <v>0</v>
      </c>
      <c r="E59">
        <f>SUMIF(ConfirmedRaw!$B:$B,$A59,ConfirmedRaw!H:H)</f>
        <v>0</v>
      </c>
      <c r="F59">
        <f>SUMIF(ConfirmedRaw!$B:$B,$A59,ConfirmedRaw!I:I)</f>
        <v>0</v>
      </c>
      <c r="G59">
        <f>SUMIF(ConfirmedRaw!$B:$B,$A59,ConfirmedRaw!J:J)</f>
        <v>0</v>
      </c>
      <c r="H59">
        <f>SUMIF(ConfirmedRaw!$B:$B,$A59,ConfirmedRaw!K:K)</f>
        <v>0</v>
      </c>
      <c r="I59">
        <f>SUMIF(ConfirmedRaw!$B:$B,$A59,ConfirmedRaw!L:L)</f>
        <v>0</v>
      </c>
      <c r="J59">
        <f>SUMIF(ConfirmedRaw!$B:$B,$A59,ConfirmedRaw!M:M)</f>
        <v>0</v>
      </c>
      <c r="K59">
        <f>SUMIF(ConfirmedRaw!$B:$B,$A59,ConfirmedRaw!N:N)</f>
        <v>0</v>
      </c>
      <c r="L59">
        <f>SUMIF(ConfirmedRaw!$B:$B,$A59,ConfirmedRaw!O:O)</f>
        <v>0</v>
      </c>
      <c r="M59">
        <f>SUMIF(ConfirmedRaw!$B:$B,$A59,ConfirmedRaw!P:P)</f>
        <v>0</v>
      </c>
      <c r="N59">
        <f>SUMIF(ConfirmedRaw!$B:$B,$A59,ConfirmedRaw!Q:Q)</f>
        <v>0</v>
      </c>
      <c r="O59">
        <f>SUMIF(ConfirmedRaw!$B:$B,$A59,ConfirmedRaw!R:R)</f>
        <v>0</v>
      </c>
      <c r="P59">
        <f>SUMIF(ConfirmedRaw!$B:$B,$A59,ConfirmedRaw!S:S)</f>
        <v>0</v>
      </c>
      <c r="Q59">
        <f>SUMIF(ConfirmedRaw!$B:$B,$A59,ConfirmedRaw!T:T)</f>
        <v>0</v>
      </c>
      <c r="R59">
        <f>SUMIF(ConfirmedRaw!$B:$B,$A59,ConfirmedRaw!U:U)</f>
        <v>0</v>
      </c>
      <c r="S59">
        <f>SUMIF(ConfirmedRaw!$B:$B,$A59,ConfirmedRaw!V:V)</f>
        <v>0</v>
      </c>
      <c r="T59">
        <f>SUMIF(ConfirmedRaw!$B:$B,$A59,ConfirmedRaw!W:W)</f>
        <v>0</v>
      </c>
      <c r="U59">
        <f>SUMIF(ConfirmedRaw!$B:$B,$A59,ConfirmedRaw!X:X)</f>
        <v>0</v>
      </c>
      <c r="V59">
        <f>SUMIF(ConfirmedRaw!$B:$B,$A59,ConfirmedRaw!Y:Y)</f>
        <v>0</v>
      </c>
      <c r="W59">
        <f>SUMIF(ConfirmedRaw!$B:$B,$A59,ConfirmedRaw!Z:Z)</f>
        <v>0</v>
      </c>
      <c r="X59">
        <f>SUMIF(ConfirmedRaw!$B:$B,$A59,ConfirmedRaw!AA:AA)</f>
        <v>0</v>
      </c>
      <c r="Y59">
        <f>SUMIF(ConfirmedRaw!$B:$B,$A59,ConfirmedRaw!AB:AB)</f>
        <v>0</v>
      </c>
      <c r="Z59">
        <f>SUMIF(ConfirmedRaw!$B:$B,$A59,ConfirmedRaw!AC:AC)</f>
        <v>0</v>
      </c>
      <c r="AA59">
        <f>SUMIF(ConfirmedRaw!$B:$B,$A59,ConfirmedRaw!AD:AD)</f>
        <v>0</v>
      </c>
      <c r="AB59">
        <f>SUMIF(ConfirmedRaw!$B:$B,$A59,ConfirmedRaw!AE:AE)</f>
        <v>0</v>
      </c>
      <c r="AC59">
        <f>SUMIF(ConfirmedRaw!$B:$B,$A59,ConfirmedRaw!AF:AF)</f>
        <v>0</v>
      </c>
      <c r="AD59">
        <f>SUMIF(ConfirmedRaw!$B:$B,$A59,ConfirmedRaw!AG:AG)</f>
        <v>0</v>
      </c>
      <c r="AE59">
        <f>SUMIF(ConfirmedRaw!$B:$B,$A59,ConfirmedRaw!AH:AH)</f>
        <v>0</v>
      </c>
      <c r="AF59">
        <f>SUMIF(ConfirmedRaw!$B:$B,$A59,ConfirmedRaw!AI:AI)</f>
        <v>0</v>
      </c>
      <c r="AG59">
        <f>SUMIF(ConfirmedRaw!$B:$B,$A59,ConfirmedRaw!AJ:AJ)</f>
        <v>0</v>
      </c>
      <c r="AH59">
        <f>SUMIF(ConfirmedRaw!$B:$B,$A59,ConfirmedRaw!AK:AK)</f>
        <v>0</v>
      </c>
      <c r="AI59">
        <f>SUMIF(ConfirmedRaw!$B:$B,$A59,ConfirmedRaw!AL:AL)</f>
        <v>0</v>
      </c>
      <c r="AJ59">
        <f>SUMIF(ConfirmedRaw!$B:$B,$A59,ConfirmedRaw!AM:AM)</f>
        <v>0</v>
      </c>
      <c r="AK59">
        <f>SUMIF(ConfirmedRaw!$B:$B,$A59,ConfirmedRaw!AN:AN)</f>
        <v>0</v>
      </c>
      <c r="AL59">
        <f>SUMIF(ConfirmedRaw!$B:$B,$A59,ConfirmedRaw!AO:AO)</f>
        <v>0</v>
      </c>
      <c r="AM59">
        <f>SUMIF(ConfirmedRaw!$B:$B,$A59,ConfirmedRaw!AP:AP)</f>
        <v>0</v>
      </c>
      <c r="AN59">
        <f>SUMIF(ConfirmedRaw!$B:$B,$A59,ConfirmedRaw!AQ:AQ)</f>
        <v>0</v>
      </c>
      <c r="AO59">
        <f>SUMIF(ConfirmedRaw!$B:$B,$A59,ConfirmedRaw!AR:AR)</f>
        <v>0</v>
      </c>
      <c r="AP59">
        <f>SUMIF(ConfirmedRaw!$B:$B,$A59,ConfirmedRaw!AS:AS)</f>
        <v>0</v>
      </c>
      <c r="AQ59">
        <f>SUMIF(ConfirmedRaw!$B:$B,$A59,ConfirmedRaw!AT:AT)</f>
        <v>1</v>
      </c>
      <c r="AR59">
        <f>SUMIF(ConfirmedRaw!$B:$B,$A59,ConfirmedRaw!AU:AU)</f>
        <v>1</v>
      </c>
      <c r="AS59">
        <f>SUMIF(ConfirmedRaw!$B:$B,$A59,ConfirmedRaw!AV:AV)</f>
        <v>1</v>
      </c>
      <c r="AT59">
        <f>SUMIF(ConfirmedRaw!$B:$B,$A59,ConfirmedRaw!AW:AW)</f>
        <v>2</v>
      </c>
      <c r="AU59">
        <f>SUMIF(ConfirmedRaw!$B:$B,$A59,ConfirmedRaw!AX:AX)</f>
        <v>8</v>
      </c>
      <c r="AV59">
        <f>SUMIF(ConfirmedRaw!$B:$B,$A59,ConfirmedRaw!AY:AY)</f>
        <v>12</v>
      </c>
      <c r="AW59">
        <f>SUMIF(ConfirmedRaw!$B:$B,$A59,ConfirmedRaw!AZ:AZ)</f>
        <v>12</v>
      </c>
      <c r="AX59">
        <f>SUMIF(ConfirmedRaw!$B:$B,$A59,ConfirmedRaw!BA:BA)</f>
        <v>17</v>
      </c>
      <c r="AY59">
        <f>SUMIF(ConfirmedRaw!$B:$B,$A59,ConfirmedRaw!BB:BB)</f>
        <v>19</v>
      </c>
      <c r="AZ59">
        <f>SUMIF(ConfirmedRaw!$B:$B,$A59,ConfirmedRaw!BC:BC)</f>
        <v>19</v>
      </c>
      <c r="BA59">
        <f>SUMIF(ConfirmedRaw!$B:$B,$A59,ConfirmedRaw!BD:BD)</f>
        <v>31</v>
      </c>
      <c r="BB59">
        <f>SUMIF(ConfirmedRaw!$B:$B,$A59,ConfirmedRaw!BE:BE)</f>
        <v>34</v>
      </c>
      <c r="BC59">
        <f>SUMIF(ConfirmedRaw!$B:$B,$A59,ConfirmedRaw!BF:BF)</f>
        <v>45</v>
      </c>
      <c r="BD59">
        <f>SUMIF(ConfirmedRaw!$B:$B,$A59,ConfirmedRaw!BG:BG)</f>
        <v>56</v>
      </c>
      <c r="BE59">
        <f>SUMIF(ConfirmedRaw!$B:$B,$A59,ConfirmedRaw!BH:BH)</f>
        <v>68</v>
      </c>
      <c r="BF59">
        <f>SUMIF(ConfirmedRaw!$B:$B,$A59,ConfirmedRaw!BI:BI)</f>
        <v>79</v>
      </c>
      <c r="BG59">
        <f>SUMIF(ConfirmedRaw!$B:$B,$A59,ConfirmedRaw!BJ:BJ)</f>
        <v>97</v>
      </c>
      <c r="BH59">
        <f>SUMIF(ConfirmedRaw!$B:$B,$A59,ConfirmedRaw!BK:BK)</f>
        <v>128</v>
      </c>
      <c r="BI59">
        <f>SUMIF(ConfirmedRaw!$B:$B,$A59,ConfirmedRaw!BL:BL)</f>
        <v>0</v>
      </c>
      <c r="BJ59">
        <f>SUMIF(ConfirmedRaw!$B:$B,$A59,ConfirmedRaw!BM:BM)</f>
        <v>0</v>
      </c>
      <c r="BK59">
        <f>SUMIF(ConfirmedRaw!$B:$B,$A59,ConfirmedRaw!BN:BN)</f>
        <v>0</v>
      </c>
      <c r="BL59">
        <f>SUMIF(ConfirmedRaw!$B:$B,$A59,ConfirmedRaw!BO:BO)</f>
        <v>0</v>
      </c>
      <c r="BM59">
        <f>SUMIF(ConfirmedRaw!$B:$B,$A59,ConfirmedRaw!BP:BP)</f>
        <v>0</v>
      </c>
      <c r="BN59">
        <f>SUMIF(ConfirmedRaw!$B:$B,$A59,ConfirmedRaw!BQ:BQ)</f>
        <v>0</v>
      </c>
      <c r="BO59">
        <f>SUMIF(ConfirmedRaw!$B:$B,$A59,ConfirmedRaw!BR:BR)</f>
        <v>0</v>
      </c>
      <c r="BP59">
        <f>SUMIF(ConfirmedRaw!$B:$B,$A59,ConfirmedRaw!BS:BS)</f>
        <v>0</v>
      </c>
      <c r="BQ59">
        <f>SUMIF(ConfirmedRaw!$B:$B,$A59,ConfirmedRaw!BT:BT)</f>
        <v>0</v>
      </c>
      <c r="BR59">
        <f>SUMIF(ConfirmedRaw!$B:$B,$A59,ConfirmedRaw!BU:BU)</f>
        <v>0</v>
      </c>
      <c r="BS59">
        <f>SUMIF(ConfirmedRaw!$B:$B,$A59,ConfirmedRaw!BV:BV)</f>
        <v>0</v>
      </c>
      <c r="BT59">
        <f>SUMIF(ConfirmedRaw!$B:$B,$A59,ConfirmedRaw!BW:BW)</f>
        <v>0</v>
      </c>
    </row>
    <row r="60" spans="1:72" ht="15" thickBot="1" x14ac:dyDescent="0.35">
      <c r="A60" s="3" t="s">
        <v>80</v>
      </c>
      <c r="B60">
        <f>SUMIF(ConfirmedRaw!$B:$B,$A60,ConfirmedRaw!E:E)</f>
        <v>0</v>
      </c>
      <c r="C60">
        <f>SUMIF(ConfirmedRaw!$B:$B,$A60,ConfirmedRaw!F:F)</f>
        <v>0</v>
      </c>
      <c r="D60">
        <f>SUMIF(ConfirmedRaw!$B:$B,$A60,ConfirmedRaw!G:G)</f>
        <v>0</v>
      </c>
      <c r="E60">
        <f>SUMIF(ConfirmedRaw!$B:$B,$A60,ConfirmedRaw!H:H)</f>
        <v>0</v>
      </c>
      <c r="F60">
        <f>SUMIF(ConfirmedRaw!$B:$B,$A60,ConfirmedRaw!I:I)</f>
        <v>0</v>
      </c>
      <c r="G60">
        <f>SUMIF(ConfirmedRaw!$B:$B,$A60,ConfirmedRaw!J:J)</f>
        <v>0</v>
      </c>
      <c r="H60">
        <f>SUMIF(ConfirmedRaw!$B:$B,$A60,ConfirmedRaw!K:K)</f>
        <v>0</v>
      </c>
      <c r="I60">
        <f>SUMIF(ConfirmedRaw!$B:$B,$A60,ConfirmedRaw!L:L)</f>
        <v>0</v>
      </c>
      <c r="J60">
        <f>SUMIF(ConfirmedRaw!$B:$B,$A60,ConfirmedRaw!M:M)</f>
        <v>0</v>
      </c>
      <c r="K60">
        <f>SUMIF(ConfirmedRaw!$B:$B,$A60,ConfirmedRaw!N:N)</f>
        <v>0</v>
      </c>
      <c r="L60">
        <f>SUMIF(ConfirmedRaw!$B:$B,$A60,ConfirmedRaw!O:O)</f>
        <v>0</v>
      </c>
      <c r="M60">
        <f>SUMIF(ConfirmedRaw!$B:$B,$A60,ConfirmedRaw!P:P)</f>
        <v>0</v>
      </c>
      <c r="N60">
        <f>SUMIF(ConfirmedRaw!$B:$B,$A60,ConfirmedRaw!Q:Q)</f>
        <v>0</v>
      </c>
      <c r="O60">
        <f>SUMIF(ConfirmedRaw!$B:$B,$A60,ConfirmedRaw!R:R)</f>
        <v>0</v>
      </c>
      <c r="P60">
        <f>SUMIF(ConfirmedRaw!$B:$B,$A60,ConfirmedRaw!S:S)</f>
        <v>0</v>
      </c>
      <c r="Q60">
        <f>SUMIF(ConfirmedRaw!$B:$B,$A60,ConfirmedRaw!T:T)</f>
        <v>0</v>
      </c>
      <c r="R60">
        <f>SUMIF(ConfirmedRaw!$B:$B,$A60,ConfirmedRaw!U:U)</f>
        <v>0</v>
      </c>
      <c r="S60">
        <f>SUMIF(ConfirmedRaw!$B:$B,$A60,ConfirmedRaw!V:V)</f>
        <v>0</v>
      </c>
      <c r="T60">
        <f>SUMIF(ConfirmedRaw!$B:$B,$A60,ConfirmedRaw!W:W)</f>
        <v>0</v>
      </c>
      <c r="U60">
        <f>SUMIF(ConfirmedRaw!$B:$B,$A60,ConfirmedRaw!X:X)</f>
        <v>0</v>
      </c>
      <c r="V60">
        <f>SUMIF(ConfirmedRaw!$B:$B,$A60,ConfirmedRaw!Y:Y)</f>
        <v>0</v>
      </c>
      <c r="W60">
        <f>SUMIF(ConfirmedRaw!$B:$B,$A60,ConfirmedRaw!Z:Z)</f>
        <v>0</v>
      </c>
      <c r="X60">
        <f>SUMIF(ConfirmedRaw!$B:$B,$A60,ConfirmedRaw!AA:AA)</f>
        <v>0</v>
      </c>
      <c r="Y60">
        <f>SUMIF(ConfirmedRaw!$B:$B,$A60,ConfirmedRaw!AB:AB)</f>
        <v>0</v>
      </c>
      <c r="Z60">
        <f>SUMIF(ConfirmedRaw!$B:$B,$A60,ConfirmedRaw!AC:AC)</f>
        <v>0</v>
      </c>
      <c r="AA60">
        <f>SUMIF(ConfirmedRaw!$B:$B,$A60,ConfirmedRaw!AD:AD)</f>
        <v>0</v>
      </c>
      <c r="AB60">
        <f>SUMIF(ConfirmedRaw!$B:$B,$A60,ConfirmedRaw!AE:AE)</f>
        <v>0</v>
      </c>
      <c r="AC60">
        <f>SUMIF(ConfirmedRaw!$B:$B,$A60,ConfirmedRaw!AF:AF)</f>
        <v>0</v>
      </c>
      <c r="AD60">
        <f>SUMIF(ConfirmedRaw!$B:$B,$A60,ConfirmedRaw!AG:AG)</f>
        <v>0</v>
      </c>
      <c r="AE60">
        <f>SUMIF(ConfirmedRaw!$B:$B,$A60,ConfirmedRaw!AH:AH)</f>
        <v>0</v>
      </c>
      <c r="AF60">
        <f>SUMIF(ConfirmedRaw!$B:$B,$A60,ConfirmedRaw!AI:AI)</f>
        <v>0</v>
      </c>
      <c r="AG60">
        <f>SUMIF(ConfirmedRaw!$B:$B,$A60,ConfirmedRaw!AJ:AJ)</f>
        <v>0</v>
      </c>
      <c r="AH60">
        <f>SUMIF(ConfirmedRaw!$B:$B,$A60,ConfirmedRaw!AK:AK)</f>
        <v>0</v>
      </c>
      <c r="AI60">
        <f>SUMIF(ConfirmedRaw!$B:$B,$A60,ConfirmedRaw!AL:AL)</f>
        <v>0</v>
      </c>
      <c r="AJ60">
        <f>SUMIF(ConfirmedRaw!$B:$B,$A60,ConfirmedRaw!AM:AM)</f>
        <v>0</v>
      </c>
      <c r="AK60">
        <f>SUMIF(ConfirmedRaw!$B:$B,$A60,ConfirmedRaw!AN:AN)</f>
        <v>2</v>
      </c>
      <c r="AL60">
        <f>SUMIF(ConfirmedRaw!$B:$B,$A60,ConfirmedRaw!AO:AO)</f>
        <v>2</v>
      </c>
      <c r="AM60">
        <f>SUMIF(ConfirmedRaw!$B:$B,$A60,ConfirmedRaw!AP:AP)</f>
        <v>2</v>
      </c>
      <c r="AN60">
        <f>SUMIF(ConfirmedRaw!$B:$B,$A60,ConfirmedRaw!AQ:AQ)</f>
        <v>4</v>
      </c>
      <c r="AO60">
        <f>SUMIF(ConfirmedRaw!$B:$B,$A60,ConfirmedRaw!AR:AR)</f>
        <v>4</v>
      </c>
      <c r="AP60">
        <f>SUMIF(ConfirmedRaw!$B:$B,$A60,ConfirmedRaw!AS:AS)</f>
        <v>4</v>
      </c>
      <c r="AQ60">
        <f>SUMIF(ConfirmedRaw!$B:$B,$A60,ConfirmedRaw!AT:AT)</f>
        <v>5</v>
      </c>
      <c r="AR60">
        <f>SUMIF(ConfirmedRaw!$B:$B,$A60,ConfirmedRaw!AU:AU)</f>
        <v>5</v>
      </c>
      <c r="AS60">
        <f>SUMIF(ConfirmedRaw!$B:$B,$A60,ConfirmedRaw!AV:AV)</f>
        <v>5</v>
      </c>
      <c r="AT60">
        <f>SUMIF(ConfirmedRaw!$B:$B,$A60,ConfirmedRaw!AW:AW)</f>
        <v>6</v>
      </c>
      <c r="AU60">
        <f>SUMIF(ConfirmedRaw!$B:$B,$A60,ConfirmedRaw!AX:AX)</f>
        <v>6</v>
      </c>
      <c r="AV60">
        <f>SUMIF(ConfirmedRaw!$B:$B,$A60,ConfirmedRaw!AY:AY)</f>
        <v>6</v>
      </c>
      <c r="AW60">
        <f>SUMIF(ConfirmedRaw!$B:$B,$A60,ConfirmedRaw!AZ:AZ)</f>
        <v>6</v>
      </c>
      <c r="AX60">
        <f>SUMIF(ConfirmedRaw!$B:$B,$A60,ConfirmedRaw!BA:BA)</f>
        <v>16</v>
      </c>
      <c r="AY60">
        <f>SUMIF(ConfirmedRaw!$B:$B,$A60,ConfirmedRaw!BB:BB)</f>
        <v>19</v>
      </c>
      <c r="AZ60">
        <f>SUMIF(ConfirmedRaw!$B:$B,$A60,ConfirmedRaw!BC:BC)</f>
        <v>20</v>
      </c>
      <c r="BA60">
        <f>SUMIF(ConfirmedRaw!$B:$B,$A60,ConfirmedRaw!BD:BD)</f>
        <v>28</v>
      </c>
      <c r="BB60">
        <f>SUMIF(ConfirmedRaw!$B:$B,$A60,ConfirmedRaw!BE:BE)</f>
        <v>31</v>
      </c>
      <c r="BC60">
        <f>SUMIF(ConfirmedRaw!$B:$B,$A60,ConfirmedRaw!BF:BF)</f>
        <v>53</v>
      </c>
      <c r="BD60">
        <f>SUMIF(ConfirmedRaw!$B:$B,$A60,ConfirmedRaw!BG:BG)</f>
        <v>136</v>
      </c>
      <c r="BE60">
        <f>SUMIF(ConfirmedRaw!$B:$B,$A60,ConfirmedRaw!BH:BH)</f>
        <v>236</v>
      </c>
      <c r="BF60">
        <f>SUMIF(ConfirmedRaw!$B:$B,$A60,ConfirmedRaw!BI:BI)</f>
        <v>299</v>
      </c>
      <c r="BG60">
        <f>SUMIF(ConfirmedRaw!$B:$B,$A60,ConfirmedRaw!BJ:BJ)</f>
        <v>454</v>
      </c>
      <c r="BH60">
        <f>SUMIF(ConfirmedRaw!$B:$B,$A60,ConfirmedRaw!BK:BK)</f>
        <v>501</v>
      </c>
      <c r="BI60">
        <f>SUMIF(ConfirmedRaw!$B:$B,$A60,ConfirmedRaw!BL:BL)</f>
        <v>0</v>
      </c>
      <c r="BJ60">
        <f>SUMIF(ConfirmedRaw!$B:$B,$A60,ConfirmedRaw!BM:BM)</f>
        <v>0</v>
      </c>
      <c r="BK60">
        <f>SUMIF(ConfirmedRaw!$B:$B,$A60,ConfirmedRaw!BN:BN)</f>
        <v>0</v>
      </c>
      <c r="BL60">
        <f>SUMIF(ConfirmedRaw!$B:$B,$A60,ConfirmedRaw!BO:BO)</f>
        <v>0</v>
      </c>
      <c r="BM60">
        <f>SUMIF(ConfirmedRaw!$B:$B,$A60,ConfirmedRaw!BP:BP)</f>
        <v>0</v>
      </c>
      <c r="BN60">
        <f>SUMIF(ConfirmedRaw!$B:$B,$A60,ConfirmedRaw!BQ:BQ)</f>
        <v>0</v>
      </c>
      <c r="BO60">
        <f>SUMIF(ConfirmedRaw!$B:$B,$A60,ConfirmedRaw!BR:BR)</f>
        <v>0</v>
      </c>
      <c r="BP60">
        <f>SUMIF(ConfirmedRaw!$B:$B,$A60,ConfirmedRaw!BS:BS)</f>
        <v>0</v>
      </c>
      <c r="BQ60">
        <f>SUMIF(ConfirmedRaw!$B:$B,$A60,ConfirmedRaw!BT:BT)</f>
        <v>0</v>
      </c>
      <c r="BR60">
        <f>SUMIF(ConfirmedRaw!$B:$B,$A60,ConfirmedRaw!BU:BU)</f>
        <v>0</v>
      </c>
      <c r="BS60">
        <f>SUMIF(ConfirmedRaw!$B:$B,$A60,ConfirmedRaw!BV:BV)</f>
        <v>0</v>
      </c>
      <c r="BT60">
        <f>SUMIF(ConfirmedRaw!$B:$B,$A60,ConfirmedRaw!BW:BW)</f>
        <v>0</v>
      </c>
    </row>
    <row r="61" spans="1:72" ht="15" thickBot="1" x14ac:dyDescent="0.35">
      <c r="A61" s="4" t="s">
        <v>160</v>
      </c>
      <c r="B61">
        <f>SUMIF(ConfirmedRaw!$B:$B,$A61,ConfirmedRaw!E:E)</f>
        <v>0</v>
      </c>
      <c r="C61">
        <f>SUMIF(ConfirmedRaw!$B:$B,$A61,ConfirmedRaw!F:F)</f>
        <v>0</v>
      </c>
      <c r="D61">
        <f>SUMIF(ConfirmedRaw!$B:$B,$A61,ConfirmedRaw!G:G)</f>
        <v>0</v>
      </c>
      <c r="E61">
        <f>SUMIF(ConfirmedRaw!$B:$B,$A61,ConfirmedRaw!H:H)</f>
        <v>0</v>
      </c>
      <c r="F61">
        <f>SUMIF(ConfirmedRaw!$B:$B,$A61,ConfirmedRaw!I:I)</f>
        <v>0</v>
      </c>
      <c r="G61">
        <f>SUMIF(ConfirmedRaw!$B:$B,$A61,ConfirmedRaw!J:J)</f>
        <v>0</v>
      </c>
      <c r="H61">
        <f>SUMIF(ConfirmedRaw!$B:$B,$A61,ConfirmedRaw!K:K)</f>
        <v>0</v>
      </c>
      <c r="I61">
        <f>SUMIF(ConfirmedRaw!$B:$B,$A61,ConfirmedRaw!L:L)</f>
        <v>0</v>
      </c>
      <c r="J61">
        <f>SUMIF(ConfirmedRaw!$B:$B,$A61,ConfirmedRaw!M:M)</f>
        <v>0</v>
      </c>
      <c r="K61">
        <f>SUMIF(ConfirmedRaw!$B:$B,$A61,ConfirmedRaw!N:N)</f>
        <v>0</v>
      </c>
      <c r="L61">
        <f>SUMIF(ConfirmedRaw!$B:$B,$A61,ConfirmedRaw!O:O)</f>
        <v>0</v>
      </c>
      <c r="M61">
        <f>SUMIF(ConfirmedRaw!$B:$B,$A61,ConfirmedRaw!P:P)</f>
        <v>0</v>
      </c>
      <c r="N61">
        <f>SUMIF(ConfirmedRaw!$B:$B,$A61,ConfirmedRaw!Q:Q)</f>
        <v>0</v>
      </c>
      <c r="O61">
        <f>SUMIF(ConfirmedRaw!$B:$B,$A61,ConfirmedRaw!R:R)</f>
        <v>0</v>
      </c>
      <c r="P61">
        <f>SUMIF(ConfirmedRaw!$B:$B,$A61,ConfirmedRaw!S:S)</f>
        <v>0</v>
      </c>
      <c r="Q61">
        <f>SUMIF(ConfirmedRaw!$B:$B,$A61,ConfirmedRaw!T:T)</f>
        <v>0</v>
      </c>
      <c r="R61">
        <f>SUMIF(ConfirmedRaw!$B:$B,$A61,ConfirmedRaw!U:U)</f>
        <v>0</v>
      </c>
      <c r="S61">
        <f>SUMIF(ConfirmedRaw!$B:$B,$A61,ConfirmedRaw!V:V)</f>
        <v>0</v>
      </c>
      <c r="T61">
        <f>SUMIF(ConfirmedRaw!$B:$B,$A61,ConfirmedRaw!W:W)</f>
        <v>0</v>
      </c>
      <c r="U61">
        <f>SUMIF(ConfirmedRaw!$B:$B,$A61,ConfirmedRaw!X:X)</f>
        <v>0</v>
      </c>
      <c r="V61">
        <f>SUMIF(ConfirmedRaw!$B:$B,$A61,ConfirmedRaw!Y:Y)</f>
        <v>0</v>
      </c>
      <c r="W61">
        <f>SUMIF(ConfirmedRaw!$B:$B,$A61,ConfirmedRaw!Z:Z)</f>
        <v>0</v>
      </c>
      <c r="X61">
        <f>SUMIF(ConfirmedRaw!$B:$B,$A61,ConfirmedRaw!AA:AA)</f>
        <v>0</v>
      </c>
      <c r="Y61">
        <f>SUMIF(ConfirmedRaw!$B:$B,$A61,ConfirmedRaw!AB:AB)</f>
        <v>0</v>
      </c>
      <c r="Z61">
        <f>SUMIF(ConfirmedRaw!$B:$B,$A61,ConfirmedRaw!AC:AC)</f>
        <v>0</v>
      </c>
      <c r="AA61">
        <f>SUMIF(ConfirmedRaw!$B:$B,$A61,ConfirmedRaw!AD:AD)</f>
        <v>0</v>
      </c>
      <c r="AB61">
        <f>SUMIF(ConfirmedRaw!$B:$B,$A61,ConfirmedRaw!AE:AE)</f>
        <v>0</v>
      </c>
      <c r="AC61">
        <f>SUMIF(ConfirmedRaw!$B:$B,$A61,ConfirmedRaw!AF:AF)</f>
        <v>0</v>
      </c>
      <c r="AD61">
        <f>SUMIF(ConfirmedRaw!$B:$B,$A61,ConfirmedRaw!AG:AG)</f>
        <v>0</v>
      </c>
      <c r="AE61">
        <f>SUMIF(ConfirmedRaw!$B:$B,$A61,ConfirmedRaw!AH:AH)</f>
        <v>0</v>
      </c>
      <c r="AF61">
        <f>SUMIF(ConfirmedRaw!$B:$B,$A61,ConfirmedRaw!AI:AI)</f>
        <v>0</v>
      </c>
      <c r="AG61">
        <f>SUMIF(ConfirmedRaw!$B:$B,$A61,ConfirmedRaw!AJ:AJ)</f>
        <v>0</v>
      </c>
      <c r="AH61">
        <f>SUMIF(ConfirmedRaw!$B:$B,$A61,ConfirmedRaw!AK:AK)</f>
        <v>0</v>
      </c>
      <c r="AI61">
        <f>SUMIF(ConfirmedRaw!$B:$B,$A61,ConfirmedRaw!AL:AL)</f>
        <v>0</v>
      </c>
      <c r="AJ61">
        <f>SUMIF(ConfirmedRaw!$B:$B,$A61,ConfirmedRaw!AM:AM)</f>
        <v>0</v>
      </c>
      <c r="AK61">
        <f>SUMIF(ConfirmedRaw!$B:$B,$A61,ConfirmedRaw!AN:AN)</f>
        <v>0</v>
      </c>
      <c r="AL61">
        <f>SUMIF(ConfirmedRaw!$B:$B,$A61,ConfirmedRaw!AO:AO)</f>
        <v>0</v>
      </c>
      <c r="AM61">
        <f>SUMIF(ConfirmedRaw!$B:$B,$A61,ConfirmedRaw!AP:AP)</f>
        <v>0</v>
      </c>
      <c r="AN61">
        <f>SUMIF(ConfirmedRaw!$B:$B,$A61,ConfirmedRaw!AQ:AQ)</f>
        <v>0</v>
      </c>
      <c r="AO61">
        <f>SUMIF(ConfirmedRaw!$B:$B,$A61,ConfirmedRaw!AR:AR)</f>
        <v>0</v>
      </c>
      <c r="AP61">
        <f>SUMIF(ConfirmedRaw!$B:$B,$A61,ConfirmedRaw!AS:AS)</f>
        <v>0</v>
      </c>
      <c r="AQ61">
        <f>SUMIF(ConfirmedRaw!$B:$B,$A61,ConfirmedRaw!AT:AT)</f>
        <v>0</v>
      </c>
      <c r="AR61">
        <f>SUMIF(ConfirmedRaw!$B:$B,$A61,ConfirmedRaw!AU:AU)</f>
        <v>0</v>
      </c>
      <c r="AS61">
        <f>SUMIF(ConfirmedRaw!$B:$B,$A61,ConfirmedRaw!AV:AV)</f>
        <v>0</v>
      </c>
      <c r="AT61">
        <f>SUMIF(ConfirmedRaw!$B:$B,$A61,ConfirmedRaw!AW:AW)</f>
        <v>1</v>
      </c>
      <c r="AU61">
        <f>SUMIF(ConfirmedRaw!$B:$B,$A61,ConfirmedRaw!AX:AX)</f>
        <v>1</v>
      </c>
      <c r="AV61">
        <f>SUMIF(ConfirmedRaw!$B:$B,$A61,ConfirmedRaw!AY:AY)</f>
        <v>6</v>
      </c>
      <c r="AW61">
        <f>SUMIF(ConfirmedRaw!$B:$B,$A61,ConfirmedRaw!AZ:AZ)</f>
        <v>7</v>
      </c>
      <c r="AX61">
        <f>SUMIF(ConfirmedRaw!$B:$B,$A61,ConfirmedRaw!BA:BA)</f>
        <v>11</v>
      </c>
      <c r="AY61">
        <f>SUMIF(ConfirmedRaw!$B:$B,$A61,ConfirmedRaw!BB:BB)</f>
        <v>11</v>
      </c>
      <c r="AZ61">
        <f>SUMIF(ConfirmedRaw!$B:$B,$A61,ConfirmedRaw!BC:BC)</f>
        <v>15</v>
      </c>
      <c r="BA61">
        <f>SUMIF(ConfirmedRaw!$B:$B,$A61,ConfirmedRaw!BD:BD)</f>
        <v>28</v>
      </c>
      <c r="BB61">
        <f>SUMIF(ConfirmedRaw!$B:$B,$A61,ConfirmedRaw!BE:BE)</f>
        <v>38</v>
      </c>
      <c r="BC61">
        <f>SUMIF(ConfirmedRaw!$B:$B,$A61,ConfirmedRaw!BF:BF)</f>
        <v>43</v>
      </c>
      <c r="BD61">
        <f>SUMIF(ConfirmedRaw!$B:$B,$A61,ConfirmedRaw!BG:BG)</f>
        <v>86</v>
      </c>
      <c r="BE61">
        <f>SUMIF(ConfirmedRaw!$B:$B,$A61,ConfirmedRaw!BH:BH)</f>
        <v>117</v>
      </c>
      <c r="BF61">
        <f>SUMIF(ConfirmedRaw!$B:$B,$A61,ConfirmedRaw!BI:BI)</f>
        <v>145</v>
      </c>
      <c r="BG61">
        <f>SUMIF(ConfirmedRaw!$B:$B,$A61,ConfirmedRaw!BJ:BJ)</f>
        <v>234</v>
      </c>
      <c r="BH61">
        <f>SUMIF(ConfirmedRaw!$B:$B,$A61,ConfirmedRaw!BK:BK)</f>
        <v>234</v>
      </c>
      <c r="BI61">
        <f>SUMIF(ConfirmedRaw!$B:$B,$A61,ConfirmedRaw!BL:BL)</f>
        <v>0</v>
      </c>
      <c r="BJ61">
        <f>SUMIF(ConfirmedRaw!$B:$B,$A61,ConfirmedRaw!BM:BM)</f>
        <v>0</v>
      </c>
      <c r="BK61">
        <f>SUMIF(ConfirmedRaw!$B:$B,$A61,ConfirmedRaw!BN:BN)</f>
        <v>0</v>
      </c>
      <c r="BL61">
        <f>SUMIF(ConfirmedRaw!$B:$B,$A61,ConfirmedRaw!BO:BO)</f>
        <v>0</v>
      </c>
      <c r="BM61">
        <f>SUMIF(ConfirmedRaw!$B:$B,$A61,ConfirmedRaw!BP:BP)</f>
        <v>0</v>
      </c>
      <c r="BN61">
        <f>SUMIF(ConfirmedRaw!$B:$B,$A61,ConfirmedRaw!BQ:BQ)</f>
        <v>0</v>
      </c>
      <c r="BO61">
        <f>SUMIF(ConfirmedRaw!$B:$B,$A61,ConfirmedRaw!BR:BR)</f>
        <v>0</v>
      </c>
      <c r="BP61">
        <f>SUMIF(ConfirmedRaw!$B:$B,$A61,ConfirmedRaw!BS:BS)</f>
        <v>0</v>
      </c>
      <c r="BQ61">
        <f>SUMIF(ConfirmedRaw!$B:$B,$A61,ConfirmedRaw!BT:BT)</f>
        <v>0</v>
      </c>
      <c r="BR61">
        <f>SUMIF(ConfirmedRaw!$B:$B,$A61,ConfirmedRaw!BU:BU)</f>
        <v>0</v>
      </c>
      <c r="BS61">
        <f>SUMIF(ConfirmedRaw!$B:$B,$A61,ConfirmedRaw!BV:BV)</f>
        <v>0</v>
      </c>
      <c r="BT61">
        <f>SUMIF(ConfirmedRaw!$B:$B,$A61,ConfirmedRaw!BW:BW)</f>
        <v>0</v>
      </c>
    </row>
    <row r="62" spans="1:72" ht="15" thickBot="1" x14ac:dyDescent="0.35">
      <c r="A62" s="3" t="s">
        <v>91</v>
      </c>
      <c r="B62">
        <f>SUMIF(ConfirmedRaw!$B:$B,$A62,ConfirmedRaw!E:E)</f>
        <v>0</v>
      </c>
      <c r="C62">
        <f>SUMIF(ConfirmedRaw!$B:$B,$A62,ConfirmedRaw!F:F)</f>
        <v>0</v>
      </c>
      <c r="D62">
        <f>SUMIF(ConfirmedRaw!$B:$B,$A62,ConfirmedRaw!G:G)</f>
        <v>0</v>
      </c>
      <c r="E62">
        <f>SUMIF(ConfirmedRaw!$B:$B,$A62,ConfirmedRaw!H:H)</f>
        <v>0</v>
      </c>
      <c r="F62">
        <f>SUMIF(ConfirmedRaw!$B:$B,$A62,ConfirmedRaw!I:I)</f>
        <v>0</v>
      </c>
      <c r="G62">
        <f>SUMIF(ConfirmedRaw!$B:$B,$A62,ConfirmedRaw!J:J)</f>
        <v>0</v>
      </c>
      <c r="H62">
        <f>SUMIF(ConfirmedRaw!$B:$B,$A62,ConfirmedRaw!K:K)</f>
        <v>0</v>
      </c>
      <c r="I62">
        <f>SUMIF(ConfirmedRaw!$B:$B,$A62,ConfirmedRaw!L:L)</f>
        <v>0</v>
      </c>
      <c r="J62">
        <f>SUMIF(ConfirmedRaw!$B:$B,$A62,ConfirmedRaw!M:M)</f>
        <v>0</v>
      </c>
      <c r="K62">
        <f>SUMIF(ConfirmedRaw!$B:$B,$A62,ConfirmedRaw!N:N)</f>
        <v>0</v>
      </c>
      <c r="L62">
        <f>SUMIF(ConfirmedRaw!$B:$B,$A62,ConfirmedRaw!O:O)</f>
        <v>0</v>
      </c>
      <c r="M62">
        <f>SUMIF(ConfirmedRaw!$B:$B,$A62,ConfirmedRaw!P:P)</f>
        <v>0</v>
      </c>
      <c r="N62">
        <f>SUMIF(ConfirmedRaw!$B:$B,$A62,ConfirmedRaw!Q:Q)</f>
        <v>0</v>
      </c>
      <c r="O62">
        <f>SUMIF(ConfirmedRaw!$B:$B,$A62,ConfirmedRaw!R:R)</f>
        <v>0</v>
      </c>
      <c r="P62">
        <f>SUMIF(ConfirmedRaw!$B:$B,$A62,ConfirmedRaw!S:S)</f>
        <v>0</v>
      </c>
      <c r="Q62">
        <f>SUMIF(ConfirmedRaw!$B:$B,$A62,ConfirmedRaw!T:T)</f>
        <v>0</v>
      </c>
      <c r="R62">
        <f>SUMIF(ConfirmedRaw!$B:$B,$A62,ConfirmedRaw!U:U)</f>
        <v>0</v>
      </c>
      <c r="S62">
        <f>SUMIF(ConfirmedRaw!$B:$B,$A62,ConfirmedRaw!V:V)</f>
        <v>0</v>
      </c>
      <c r="T62">
        <f>SUMIF(ConfirmedRaw!$B:$B,$A62,ConfirmedRaw!W:W)</f>
        <v>0</v>
      </c>
      <c r="U62">
        <f>SUMIF(ConfirmedRaw!$B:$B,$A62,ConfirmedRaw!X:X)</f>
        <v>0</v>
      </c>
      <c r="V62">
        <f>SUMIF(ConfirmedRaw!$B:$B,$A62,ConfirmedRaw!Y:Y)</f>
        <v>0</v>
      </c>
      <c r="W62">
        <f>SUMIF(ConfirmedRaw!$B:$B,$A62,ConfirmedRaw!Z:Z)</f>
        <v>0</v>
      </c>
      <c r="X62">
        <f>SUMIF(ConfirmedRaw!$B:$B,$A62,ConfirmedRaw!AA:AA)</f>
        <v>0</v>
      </c>
      <c r="Y62">
        <f>SUMIF(ConfirmedRaw!$B:$B,$A62,ConfirmedRaw!AB:AB)</f>
        <v>0</v>
      </c>
      <c r="Z62">
        <f>SUMIF(ConfirmedRaw!$B:$B,$A62,ConfirmedRaw!AC:AC)</f>
        <v>0</v>
      </c>
      <c r="AA62">
        <f>SUMIF(ConfirmedRaw!$B:$B,$A62,ConfirmedRaw!AD:AD)</f>
        <v>0</v>
      </c>
      <c r="AB62">
        <f>SUMIF(ConfirmedRaw!$B:$B,$A62,ConfirmedRaw!AE:AE)</f>
        <v>0</v>
      </c>
      <c r="AC62">
        <f>SUMIF(ConfirmedRaw!$B:$B,$A62,ConfirmedRaw!AF:AF)</f>
        <v>0</v>
      </c>
      <c r="AD62">
        <f>SUMIF(ConfirmedRaw!$B:$B,$A62,ConfirmedRaw!AG:AG)</f>
        <v>0</v>
      </c>
      <c r="AE62">
        <f>SUMIF(ConfirmedRaw!$B:$B,$A62,ConfirmedRaw!AH:AH)</f>
        <v>0</v>
      </c>
      <c r="AF62">
        <f>SUMIF(ConfirmedRaw!$B:$B,$A62,ConfirmedRaw!AI:AI)</f>
        <v>0</v>
      </c>
      <c r="AG62">
        <f>SUMIF(ConfirmedRaw!$B:$B,$A62,ConfirmedRaw!AJ:AJ)</f>
        <v>0</v>
      </c>
      <c r="AH62">
        <f>SUMIF(ConfirmedRaw!$B:$B,$A62,ConfirmedRaw!AK:AK)</f>
        <v>0</v>
      </c>
      <c r="AI62">
        <f>SUMIF(ConfirmedRaw!$B:$B,$A62,ConfirmedRaw!AL:AL)</f>
        <v>0</v>
      </c>
      <c r="AJ62">
        <f>SUMIF(ConfirmedRaw!$B:$B,$A62,ConfirmedRaw!AM:AM)</f>
        <v>0</v>
      </c>
      <c r="AK62">
        <f>SUMIF(ConfirmedRaw!$B:$B,$A62,ConfirmedRaw!AN:AN)</f>
        <v>0</v>
      </c>
      <c r="AL62">
        <f>SUMIF(ConfirmedRaw!$B:$B,$A62,ConfirmedRaw!AO:AO)</f>
        <v>0</v>
      </c>
      <c r="AM62">
        <f>SUMIF(ConfirmedRaw!$B:$B,$A62,ConfirmedRaw!AP:AP)</f>
        <v>1</v>
      </c>
      <c r="AN62">
        <f>SUMIF(ConfirmedRaw!$B:$B,$A62,ConfirmedRaw!AQ:AQ)</f>
        <v>1</v>
      </c>
      <c r="AO62">
        <f>SUMIF(ConfirmedRaw!$B:$B,$A62,ConfirmedRaw!AR:AR)</f>
        <v>1</v>
      </c>
      <c r="AP62">
        <f>SUMIF(ConfirmedRaw!$B:$B,$A62,ConfirmedRaw!AS:AS)</f>
        <v>1</v>
      </c>
      <c r="AQ62">
        <f>SUMIF(ConfirmedRaw!$B:$B,$A62,ConfirmedRaw!AT:AT)</f>
        <v>1</v>
      </c>
      <c r="AR62">
        <f>SUMIF(ConfirmedRaw!$B:$B,$A62,ConfirmedRaw!AU:AU)</f>
        <v>6</v>
      </c>
      <c r="AS62">
        <f>SUMIF(ConfirmedRaw!$B:$B,$A62,ConfirmedRaw!AV:AV)</f>
        <v>6</v>
      </c>
      <c r="AT62">
        <f>SUMIF(ConfirmedRaw!$B:$B,$A62,ConfirmedRaw!AW:AW)</f>
        <v>6</v>
      </c>
      <c r="AU62">
        <f>SUMIF(ConfirmedRaw!$B:$B,$A62,ConfirmedRaw!AX:AX)</f>
        <v>6</v>
      </c>
      <c r="AV62">
        <f>SUMIF(ConfirmedRaw!$B:$B,$A62,ConfirmedRaw!AY:AY)</f>
        <v>6</v>
      </c>
      <c r="AW62">
        <f>SUMIF(ConfirmedRaw!$B:$B,$A62,ConfirmedRaw!AZ:AZ)</f>
        <v>6</v>
      </c>
      <c r="AX62">
        <f>SUMIF(ConfirmedRaw!$B:$B,$A62,ConfirmedRaw!BA:BA)</f>
        <v>9</v>
      </c>
      <c r="AY62">
        <f>SUMIF(ConfirmedRaw!$B:$B,$A62,ConfirmedRaw!BB:BB)</f>
        <v>9</v>
      </c>
      <c r="AZ62">
        <f>SUMIF(ConfirmedRaw!$B:$B,$A62,ConfirmedRaw!BC:BC)</f>
        <v>12</v>
      </c>
      <c r="BA62">
        <f>SUMIF(ConfirmedRaw!$B:$B,$A62,ConfirmedRaw!BD:BD)</f>
        <v>27</v>
      </c>
      <c r="BB62">
        <f>SUMIF(ConfirmedRaw!$B:$B,$A62,ConfirmedRaw!BE:BE)</f>
        <v>27</v>
      </c>
      <c r="BC62">
        <f>SUMIF(ConfirmedRaw!$B:$B,$A62,ConfirmedRaw!BF:BF)</f>
        <v>27</v>
      </c>
      <c r="BD62">
        <f>SUMIF(ConfirmedRaw!$B:$B,$A62,ConfirmedRaw!BG:BG)</f>
        <v>36</v>
      </c>
      <c r="BE62">
        <f>SUMIF(ConfirmedRaw!$B:$B,$A62,ConfirmedRaw!BH:BH)</f>
        <v>36</v>
      </c>
      <c r="BF62">
        <f>SUMIF(ConfirmedRaw!$B:$B,$A62,ConfirmedRaw!BI:BI)</f>
        <v>51</v>
      </c>
      <c r="BG62">
        <f>SUMIF(ConfirmedRaw!$B:$B,$A62,ConfirmedRaw!BJ:BJ)</f>
        <v>51</v>
      </c>
      <c r="BH62">
        <f>SUMIF(ConfirmedRaw!$B:$B,$A62,ConfirmedRaw!BK:BK)</f>
        <v>69</v>
      </c>
      <c r="BI62">
        <f>SUMIF(ConfirmedRaw!$B:$B,$A62,ConfirmedRaw!BL:BL)</f>
        <v>0</v>
      </c>
      <c r="BJ62">
        <f>SUMIF(ConfirmedRaw!$B:$B,$A62,ConfirmedRaw!BM:BM)</f>
        <v>0</v>
      </c>
      <c r="BK62">
        <f>SUMIF(ConfirmedRaw!$B:$B,$A62,ConfirmedRaw!BN:BN)</f>
        <v>0</v>
      </c>
      <c r="BL62">
        <f>SUMIF(ConfirmedRaw!$B:$B,$A62,ConfirmedRaw!BO:BO)</f>
        <v>0</v>
      </c>
      <c r="BM62">
        <f>SUMIF(ConfirmedRaw!$B:$B,$A62,ConfirmedRaw!BP:BP)</f>
        <v>0</v>
      </c>
      <c r="BN62">
        <f>SUMIF(ConfirmedRaw!$B:$B,$A62,ConfirmedRaw!BQ:BQ)</f>
        <v>0</v>
      </c>
      <c r="BO62">
        <f>SUMIF(ConfirmedRaw!$B:$B,$A62,ConfirmedRaw!BR:BR)</f>
        <v>0</v>
      </c>
      <c r="BP62">
        <f>SUMIF(ConfirmedRaw!$B:$B,$A62,ConfirmedRaw!BS:BS)</f>
        <v>0</v>
      </c>
      <c r="BQ62">
        <f>SUMIF(ConfirmedRaw!$B:$B,$A62,ConfirmedRaw!BT:BT)</f>
        <v>0</v>
      </c>
      <c r="BR62">
        <f>SUMIF(ConfirmedRaw!$B:$B,$A62,ConfirmedRaw!BU:BU)</f>
        <v>0</v>
      </c>
      <c r="BS62">
        <f>SUMIF(ConfirmedRaw!$B:$B,$A62,ConfirmedRaw!BV:BV)</f>
        <v>0</v>
      </c>
      <c r="BT62">
        <f>SUMIF(ConfirmedRaw!$B:$B,$A62,ConfirmedRaw!BW:BW)</f>
        <v>0</v>
      </c>
    </row>
    <row r="63" spans="1:72" ht="15" thickBot="1" x14ac:dyDescent="0.35">
      <c r="A63" s="3" t="s">
        <v>283</v>
      </c>
      <c r="B63">
        <f>SUMIF(ConfirmedRaw!$B:$B,$A63,ConfirmedRaw!E:E)</f>
        <v>0</v>
      </c>
      <c r="C63">
        <f>SUMIF(ConfirmedRaw!$B:$B,$A63,ConfirmedRaw!F:F)</f>
        <v>0</v>
      </c>
      <c r="D63">
        <f>SUMIF(ConfirmedRaw!$B:$B,$A63,ConfirmedRaw!G:G)</f>
        <v>0</v>
      </c>
      <c r="E63">
        <f>SUMIF(ConfirmedRaw!$B:$B,$A63,ConfirmedRaw!H:H)</f>
        <v>0</v>
      </c>
      <c r="F63">
        <f>SUMIF(ConfirmedRaw!$B:$B,$A63,ConfirmedRaw!I:I)</f>
        <v>0</v>
      </c>
      <c r="G63">
        <f>SUMIF(ConfirmedRaw!$B:$B,$A63,ConfirmedRaw!J:J)</f>
        <v>0</v>
      </c>
      <c r="H63">
        <f>SUMIF(ConfirmedRaw!$B:$B,$A63,ConfirmedRaw!K:K)</f>
        <v>0</v>
      </c>
      <c r="I63">
        <f>SUMIF(ConfirmedRaw!$B:$B,$A63,ConfirmedRaw!L:L)</f>
        <v>0</v>
      </c>
      <c r="J63">
        <f>SUMIF(ConfirmedRaw!$B:$B,$A63,ConfirmedRaw!M:M)</f>
        <v>0</v>
      </c>
      <c r="K63">
        <f>SUMIF(ConfirmedRaw!$B:$B,$A63,ConfirmedRaw!N:N)</f>
        <v>0</v>
      </c>
      <c r="L63">
        <f>SUMIF(ConfirmedRaw!$B:$B,$A63,ConfirmedRaw!O:O)</f>
        <v>0</v>
      </c>
      <c r="M63">
        <f>SUMIF(ConfirmedRaw!$B:$B,$A63,ConfirmedRaw!P:P)</f>
        <v>0</v>
      </c>
      <c r="N63">
        <f>SUMIF(ConfirmedRaw!$B:$B,$A63,ConfirmedRaw!Q:Q)</f>
        <v>0</v>
      </c>
      <c r="O63">
        <f>SUMIF(ConfirmedRaw!$B:$B,$A63,ConfirmedRaw!R:R)</f>
        <v>0</v>
      </c>
      <c r="P63">
        <f>SUMIF(ConfirmedRaw!$B:$B,$A63,ConfirmedRaw!S:S)</f>
        <v>0</v>
      </c>
      <c r="Q63">
        <f>SUMIF(ConfirmedRaw!$B:$B,$A63,ConfirmedRaw!T:T)</f>
        <v>0</v>
      </c>
      <c r="R63">
        <f>SUMIF(ConfirmedRaw!$B:$B,$A63,ConfirmedRaw!U:U)</f>
        <v>0</v>
      </c>
      <c r="S63">
        <f>SUMIF(ConfirmedRaw!$B:$B,$A63,ConfirmedRaw!V:V)</f>
        <v>0</v>
      </c>
      <c r="T63">
        <f>SUMIF(ConfirmedRaw!$B:$B,$A63,ConfirmedRaw!W:W)</f>
        <v>0</v>
      </c>
      <c r="U63">
        <f>SUMIF(ConfirmedRaw!$B:$B,$A63,ConfirmedRaw!X:X)</f>
        <v>0</v>
      </c>
      <c r="V63">
        <f>SUMIF(ConfirmedRaw!$B:$B,$A63,ConfirmedRaw!Y:Y)</f>
        <v>0</v>
      </c>
      <c r="W63">
        <f>SUMIF(ConfirmedRaw!$B:$B,$A63,ConfirmedRaw!Z:Z)</f>
        <v>0</v>
      </c>
      <c r="X63">
        <f>SUMIF(ConfirmedRaw!$B:$B,$A63,ConfirmedRaw!AA:AA)</f>
        <v>0</v>
      </c>
      <c r="Y63">
        <f>SUMIF(ConfirmedRaw!$B:$B,$A63,ConfirmedRaw!AB:AB)</f>
        <v>0</v>
      </c>
      <c r="Z63">
        <f>SUMIF(ConfirmedRaw!$B:$B,$A63,ConfirmedRaw!AC:AC)</f>
        <v>0</v>
      </c>
      <c r="AA63">
        <f>SUMIF(ConfirmedRaw!$B:$B,$A63,ConfirmedRaw!AD:AD)</f>
        <v>0</v>
      </c>
      <c r="AB63">
        <f>SUMIF(ConfirmedRaw!$B:$B,$A63,ConfirmedRaw!AE:AE)</f>
        <v>0</v>
      </c>
      <c r="AC63">
        <f>SUMIF(ConfirmedRaw!$B:$B,$A63,ConfirmedRaw!AF:AF)</f>
        <v>0</v>
      </c>
      <c r="AD63">
        <f>SUMIF(ConfirmedRaw!$B:$B,$A63,ConfirmedRaw!AG:AG)</f>
        <v>0</v>
      </c>
      <c r="AE63">
        <f>SUMIF(ConfirmedRaw!$B:$B,$A63,ConfirmedRaw!AH:AH)</f>
        <v>0</v>
      </c>
      <c r="AF63">
        <f>SUMIF(ConfirmedRaw!$B:$B,$A63,ConfirmedRaw!AI:AI)</f>
        <v>0</v>
      </c>
      <c r="AG63">
        <f>SUMIF(ConfirmedRaw!$B:$B,$A63,ConfirmedRaw!AJ:AJ)</f>
        <v>0</v>
      </c>
      <c r="AH63">
        <f>SUMIF(ConfirmedRaw!$B:$B,$A63,ConfirmedRaw!AK:AK)</f>
        <v>0</v>
      </c>
      <c r="AI63">
        <f>SUMIF(ConfirmedRaw!$B:$B,$A63,ConfirmedRaw!AL:AL)</f>
        <v>0</v>
      </c>
      <c r="AJ63">
        <f>SUMIF(ConfirmedRaw!$B:$B,$A63,ConfirmedRaw!AM:AM)</f>
        <v>0</v>
      </c>
      <c r="AK63">
        <f>SUMIF(ConfirmedRaw!$B:$B,$A63,ConfirmedRaw!AN:AN)</f>
        <v>0</v>
      </c>
      <c r="AL63">
        <f>SUMIF(ConfirmedRaw!$B:$B,$A63,ConfirmedRaw!AO:AO)</f>
        <v>0</v>
      </c>
      <c r="AM63">
        <f>SUMIF(ConfirmedRaw!$B:$B,$A63,ConfirmedRaw!AP:AP)</f>
        <v>0</v>
      </c>
      <c r="AN63">
        <f>SUMIF(ConfirmedRaw!$B:$B,$A63,ConfirmedRaw!AQ:AQ)</f>
        <v>0</v>
      </c>
      <c r="AO63">
        <f>SUMIF(ConfirmedRaw!$B:$B,$A63,ConfirmedRaw!AR:AR)</f>
        <v>0</v>
      </c>
      <c r="AP63">
        <f>SUMIF(ConfirmedRaw!$B:$B,$A63,ConfirmedRaw!AS:AS)</f>
        <v>0</v>
      </c>
      <c r="AQ63">
        <f>SUMIF(ConfirmedRaw!$B:$B,$A63,ConfirmedRaw!AT:AT)</f>
        <v>0</v>
      </c>
      <c r="AR63">
        <f>SUMIF(ConfirmedRaw!$B:$B,$A63,ConfirmedRaw!AU:AU)</f>
        <v>0</v>
      </c>
      <c r="AS63">
        <f>SUMIF(ConfirmedRaw!$B:$B,$A63,ConfirmedRaw!AV:AV)</f>
        <v>0</v>
      </c>
      <c r="AT63">
        <f>SUMIF(ConfirmedRaw!$B:$B,$A63,ConfirmedRaw!AW:AW)</f>
        <v>0</v>
      </c>
      <c r="AU63">
        <f>SUMIF(ConfirmedRaw!$B:$B,$A63,ConfirmedRaw!AX:AX)</f>
        <v>0</v>
      </c>
      <c r="AV63">
        <f>SUMIF(ConfirmedRaw!$B:$B,$A63,ConfirmedRaw!AY:AY)</f>
        <v>0</v>
      </c>
      <c r="AW63">
        <f>SUMIF(ConfirmedRaw!$B:$B,$A63,ConfirmedRaw!AZ:AZ)</f>
        <v>0</v>
      </c>
      <c r="AX63">
        <f>SUMIF(ConfirmedRaw!$B:$B,$A63,ConfirmedRaw!BA:BA)</f>
        <v>1</v>
      </c>
      <c r="AY63">
        <f>SUMIF(ConfirmedRaw!$B:$B,$A63,ConfirmedRaw!BB:BB)</f>
        <v>8</v>
      </c>
      <c r="AZ63">
        <f>SUMIF(ConfirmedRaw!$B:$B,$A63,ConfirmedRaw!BC:BC)</f>
        <v>11</v>
      </c>
      <c r="BA63">
        <f>SUMIF(ConfirmedRaw!$B:$B,$A63,ConfirmedRaw!BD:BD)</f>
        <v>27</v>
      </c>
      <c r="BB63">
        <f>SUMIF(ConfirmedRaw!$B:$B,$A63,ConfirmedRaw!BE:BE)</f>
        <v>36</v>
      </c>
      <c r="BC63">
        <f>SUMIF(ConfirmedRaw!$B:$B,$A63,ConfirmedRaw!BF:BF)</f>
        <v>43</v>
      </c>
      <c r="BD63">
        <f>SUMIF(ConfirmedRaw!$B:$B,$A63,ConfirmedRaw!BG:BG)</f>
        <v>55</v>
      </c>
      <c r="BE63">
        <f>SUMIF(ConfirmedRaw!$B:$B,$A63,ConfirmedRaw!BH:BH)</f>
        <v>69</v>
      </c>
      <c r="BF63">
        <f>SUMIF(ConfirmedRaw!$B:$B,$A63,ConfirmedRaw!BI:BI)</f>
        <v>86</v>
      </c>
      <c r="BG63">
        <f>SUMIF(ConfirmedRaw!$B:$B,$A63,ConfirmedRaw!BJ:BJ)</f>
        <v>109</v>
      </c>
      <c r="BH63">
        <f>SUMIF(ConfirmedRaw!$B:$B,$A63,ConfirmedRaw!BK:BK)</f>
        <v>137</v>
      </c>
      <c r="BI63">
        <f>SUMIF(ConfirmedRaw!$B:$B,$A63,ConfirmedRaw!BL:BL)</f>
        <v>0</v>
      </c>
      <c r="BJ63">
        <f>SUMIF(ConfirmedRaw!$B:$B,$A63,ConfirmedRaw!BM:BM)</f>
        <v>0</v>
      </c>
      <c r="BK63">
        <f>SUMIF(ConfirmedRaw!$B:$B,$A63,ConfirmedRaw!BN:BN)</f>
        <v>0</v>
      </c>
      <c r="BL63">
        <f>SUMIF(ConfirmedRaw!$B:$B,$A63,ConfirmedRaw!BO:BO)</f>
        <v>0</v>
      </c>
      <c r="BM63">
        <f>SUMIF(ConfirmedRaw!$B:$B,$A63,ConfirmedRaw!BP:BP)</f>
        <v>0</v>
      </c>
      <c r="BN63">
        <f>SUMIF(ConfirmedRaw!$B:$B,$A63,ConfirmedRaw!BQ:BQ)</f>
        <v>0</v>
      </c>
      <c r="BO63">
        <f>SUMIF(ConfirmedRaw!$B:$B,$A63,ConfirmedRaw!BR:BR)</f>
        <v>0</v>
      </c>
      <c r="BP63">
        <f>SUMIF(ConfirmedRaw!$B:$B,$A63,ConfirmedRaw!BS:BS)</f>
        <v>0</v>
      </c>
      <c r="BQ63">
        <f>SUMIF(ConfirmedRaw!$B:$B,$A63,ConfirmedRaw!BT:BT)</f>
        <v>0</v>
      </c>
      <c r="BR63">
        <f>SUMIF(ConfirmedRaw!$B:$B,$A63,ConfirmedRaw!BU:BU)</f>
        <v>0</v>
      </c>
      <c r="BS63">
        <f>SUMIF(ConfirmedRaw!$B:$B,$A63,ConfirmedRaw!BV:BV)</f>
        <v>0</v>
      </c>
      <c r="BT63">
        <f>SUMIF(ConfirmedRaw!$B:$B,$A63,ConfirmedRaw!BW:BW)</f>
        <v>0</v>
      </c>
    </row>
    <row r="64" spans="1:72" ht="15" thickBot="1" x14ac:dyDescent="0.35">
      <c r="A64" s="4" t="s">
        <v>75</v>
      </c>
      <c r="B64">
        <f>SUMIF(ConfirmedRaw!$B:$B,$A64,ConfirmedRaw!E:E)</f>
        <v>0</v>
      </c>
      <c r="C64">
        <f>SUMIF(ConfirmedRaw!$B:$B,$A64,ConfirmedRaw!F:F)</f>
        <v>0</v>
      </c>
      <c r="D64">
        <f>SUMIF(ConfirmedRaw!$B:$B,$A64,ConfirmedRaw!G:G)</f>
        <v>0</v>
      </c>
      <c r="E64">
        <f>SUMIF(ConfirmedRaw!$B:$B,$A64,ConfirmedRaw!H:H)</f>
        <v>0</v>
      </c>
      <c r="F64">
        <f>SUMIF(ConfirmedRaw!$B:$B,$A64,ConfirmedRaw!I:I)</f>
        <v>0</v>
      </c>
      <c r="G64">
        <f>SUMIF(ConfirmedRaw!$B:$B,$A64,ConfirmedRaw!J:J)</f>
        <v>0</v>
      </c>
      <c r="H64">
        <f>SUMIF(ConfirmedRaw!$B:$B,$A64,ConfirmedRaw!K:K)</f>
        <v>0</v>
      </c>
      <c r="I64">
        <f>SUMIF(ConfirmedRaw!$B:$B,$A64,ConfirmedRaw!L:L)</f>
        <v>0</v>
      </c>
      <c r="J64">
        <f>SUMIF(ConfirmedRaw!$B:$B,$A64,ConfirmedRaw!M:M)</f>
        <v>0</v>
      </c>
      <c r="K64">
        <f>SUMIF(ConfirmedRaw!$B:$B,$A64,ConfirmedRaw!N:N)</f>
        <v>0</v>
      </c>
      <c r="L64">
        <f>SUMIF(ConfirmedRaw!$B:$B,$A64,ConfirmedRaw!O:O)</f>
        <v>0</v>
      </c>
      <c r="M64">
        <f>SUMIF(ConfirmedRaw!$B:$B,$A64,ConfirmedRaw!P:P)</f>
        <v>0</v>
      </c>
      <c r="N64">
        <f>SUMIF(ConfirmedRaw!$B:$B,$A64,ConfirmedRaw!Q:Q)</f>
        <v>0</v>
      </c>
      <c r="O64">
        <f>SUMIF(ConfirmedRaw!$B:$B,$A64,ConfirmedRaw!R:R)</f>
        <v>0</v>
      </c>
      <c r="P64">
        <f>SUMIF(ConfirmedRaw!$B:$B,$A64,ConfirmedRaw!S:S)</f>
        <v>0</v>
      </c>
      <c r="Q64">
        <f>SUMIF(ConfirmedRaw!$B:$B,$A64,ConfirmedRaw!T:T)</f>
        <v>0</v>
      </c>
      <c r="R64">
        <f>SUMIF(ConfirmedRaw!$B:$B,$A64,ConfirmedRaw!U:U)</f>
        <v>0</v>
      </c>
      <c r="S64">
        <f>SUMIF(ConfirmedRaw!$B:$B,$A64,ConfirmedRaw!V:V)</f>
        <v>0</v>
      </c>
      <c r="T64">
        <f>SUMIF(ConfirmedRaw!$B:$B,$A64,ConfirmedRaw!W:W)</f>
        <v>0</v>
      </c>
      <c r="U64">
        <f>SUMIF(ConfirmedRaw!$B:$B,$A64,ConfirmedRaw!X:X)</f>
        <v>0</v>
      </c>
      <c r="V64">
        <f>SUMIF(ConfirmedRaw!$B:$B,$A64,ConfirmedRaw!Y:Y)</f>
        <v>0</v>
      </c>
      <c r="W64">
        <f>SUMIF(ConfirmedRaw!$B:$B,$A64,ConfirmedRaw!Z:Z)</f>
        <v>0</v>
      </c>
      <c r="X64">
        <f>SUMIF(ConfirmedRaw!$B:$B,$A64,ConfirmedRaw!AA:AA)</f>
        <v>0</v>
      </c>
      <c r="Y64">
        <f>SUMIF(ConfirmedRaw!$B:$B,$A64,ConfirmedRaw!AB:AB)</f>
        <v>0</v>
      </c>
      <c r="Z64">
        <f>SUMIF(ConfirmedRaw!$B:$B,$A64,ConfirmedRaw!AC:AC)</f>
        <v>0</v>
      </c>
      <c r="AA64">
        <f>SUMIF(ConfirmedRaw!$B:$B,$A64,ConfirmedRaw!AD:AD)</f>
        <v>0</v>
      </c>
      <c r="AB64">
        <f>SUMIF(ConfirmedRaw!$B:$B,$A64,ConfirmedRaw!AE:AE)</f>
        <v>0</v>
      </c>
      <c r="AC64">
        <f>SUMIF(ConfirmedRaw!$B:$B,$A64,ConfirmedRaw!AF:AF)</f>
        <v>0</v>
      </c>
      <c r="AD64">
        <f>SUMIF(ConfirmedRaw!$B:$B,$A64,ConfirmedRaw!AG:AG)</f>
        <v>0</v>
      </c>
      <c r="AE64">
        <f>SUMIF(ConfirmedRaw!$B:$B,$A64,ConfirmedRaw!AH:AH)</f>
        <v>0</v>
      </c>
      <c r="AF64">
        <f>SUMIF(ConfirmedRaw!$B:$B,$A64,ConfirmedRaw!AI:AI)</f>
        <v>0</v>
      </c>
      <c r="AG64">
        <f>SUMIF(ConfirmedRaw!$B:$B,$A64,ConfirmedRaw!AJ:AJ)</f>
        <v>0</v>
      </c>
      <c r="AH64">
        <f>SUMIF(ConfirmedRaw!$B:$B,$A64,ConfirmedRaw!AK:AK)</f>
        <v>0</v>
      </c>
      <c r="AI64">
        <f>SUMIF(ConfirmedRaw!$B:$B,$A64,ConfirmedRaw!AL:AL)</f>
        <v>0</v>
      </c>
      <c r="AJ64">
        <f>SUMIF(ConfirmedRaw!$B:$B,$A64,ConfirmedRaw!AM:AM)</f>
        <v>1</v>
      </c>
      <c r="AK64">
        <f>SUMIF(ConfirmedRaw!$B:$B,$A64,ConfirmedRaw!AN:AN)</f>
        <v>1</v>
      </c>
      <c r="AL64">
        <f>SUMIF(ConfirmedRaw!$B:$B,$A64,ConfirmedRaw!AO:AO)</f>
        <v>1</v>
      </c>
      <c r="AM64">
        <f>SUMIF(ConfirmedRaw!$B:$B,$A64,ConfirmedRaw!AP:AP)</f>
        <v>1</v>
      </c>
      <c r="AN64">
        <f>SUMIF(ConfirmedRaw!$B:$B,$A64,ConfirmedRaw!AQ:AQ)</f>
        <v>1</v>
      </c>
      <c r="AO64">
        <f>SUMIF(ConfirmedRaw!$B:$B,$A64,ConfirmedRaw!AR:AR)</f>
        <v>1</v>
      </c>
      <c r="AP64">
        <f>SUMIF(ConfirmedRaw!$B:$B,$A64,ConfirmedRaw!AS:AS)</f>
        <v>3</v>
      </c>
      <c r="AQ64">
        <f>SUMIF(ConfirmedRaw!$B:$B,$A64,ConfirmedRaw!AT:AT)</f>
        <v>5</v>
      </c>
      <c r="AR64">
        <f>SUMIF(ConfirmedRaw!$B:$B,$A64,ConfirmedRaw!AU:AU)</f>
        <v>12</v>
      </c>
      <c r="AS64">
        <f>SUMIF(ConfirmedRaw!$B:$B,$A64,ConfirmedRaw!AV:AV)</f>
        <v>12</v>
      </c>
      <c r="AT64">
        <f>SUMIF(ConfirmedRaw!$B:$B,$A64,ConfirmedRaw!AW:AW)</f>
        <v>17</v>
      </c>
      <c r="AU64">
        <f>SUMIF(ConfirmedRaw!$B:$B,$A64,ConfirmedRaw!AX:AX)</f>
        <v>17</v>
      </c>
      <c r="AV64">
        <f>SUMIF(ConfirmedRaw!$B:$B,$A64,ConfirmedRaw!AY:AY)</f>
        <v>19</v>
      </c>
      <c r="AW64">
        <f>SUMIF(ConfirmedRaw!$B:$B,$A64,ConfirmedRaw!AZ:AZ)</f>
        <v>20</v>
      </c>
      <c r="AX64">
        <f>SUMIF(ConfirmedRaw!$B:$B,$A64,ConfirmedRaw!BA:BA)</f>
        <v>20</v>
      </c>
      <c r="AY64">
        <f>SUMIF(ConfirmedRaw!$B:$B,$A64,ConfirmedRaw!BB:BB)</f>
        <v>20</v>
      </c>
      <c r="AZ64">
        <f>SUMIF(ConfirmedRaw!$B:$B,$A64,ConfirmedRaw!BC:BC)</f>
        <v>24</v>
      </c>
      <c r="BA64">
        <f>SUMIF(ConfirmedRaw!$B:$B,$A64,ConfirmedRaw!BD:BD)</f>
        <v>26</v>
      </c>
      <c r="BB64">
        <f>SUMIF(ConfirmedRaw!$B:$B,$A64,ConfirmedRaw!BE:BE)</f>
        <v>37</v>
      </c>
      <c r="BC64">
        <f>SUMIF(ConfirmedRaw!$B:$B,$A64,ConfirmedRaw!BF:BF)</f>
        <v>48</v>
      </c>
      <c r="BD64">
        <f>SUMIF(ConfirmedRaw!$B:$B,$A64,ConfirmedRaw!BG:BG)</f>
        <v>54</v>
      </c>
      <c r="BE64">
        <f>SUMIF(ConfirmedRaw!$B:$B,$A64,ConfirmedRaw!BH:BH)</f>
        <v>60</v>
      </c>
      <c r="BF64">
        <f>SUMIF(ConfirmedRaw!$B:$B,$A64,ConfirmedRaw!BI:BI)</f>
        <v>74</v>
      </c>
      <c r="BG64">
        <f>SUMIF(ConfirmedRaw!$B:$B,$A64,ConfirmedRaw!BJ:BJ)</f>
        <v>87</v>
      </c>
      <c r="BH64">
        <f>SUMIF(ConfirmedRaw!$B:$B,$A64,ConfirmedRaw!BK:BK)</f>
        <v>90</v>
      </c>
      <c r="BI64">
        <f>SUMIF(ConfirmedRaw!$B:$B,$A64,ConfirmedRaw!BL:BL)</f>
        <v>0</v>
      </c>
      <c r="BJ64">
        <f>SUMIF(ConfirmedRaw!$B:$B,$A64,ConfirmedRaw!BM:BM)</f>
        <v>0</v>
      </c>
      <c r="BK64">
        <f>SUMIF(ConfirmedRaw!$B:$B,$A64,ConfirmedRaw!BN:BN)</f>
        <v>0</v>
      </c>
      <c r="BL64">
        <f>SUMIF(ConfirmedRaw!$B:$B,$A64,ConfirmedRaw!BO:BO)</f>
        <v>0</v>
      </c>
      <c r="BM64">
        <f>SUMIF(ConfirmedRaw!$B:$B,$A64,ConfirmedRaw!BP:BP)</f>
        <v>0</v>
      </c>
      <c r="BN64">
        <f>SUMIF(ConfirmedRaw!$B:$B,$A64,ConfirmedRaw!BQ:BQ)</f>
        <v>0</v>
      </c>
      <c r="BO64">
        <f>SUMIF(ConfirmedRaw!$B:$B,$A64,ConfirmedRaw!BR:BR)</f>
        <v>0</v>
      </c>
      <c r="BP64">
        <f>SUMIF(ConfirmedRaw!$B:$B,$A64,ConfirmedRaw!BS:BS)</f>
        <v>0</v>
      </c>
      <c r="BQ64">
        <f>SUMIF(ConfirmedRaw!$B:$B,$A64,ConfirmedRaw!BT:BT)</f>
        <v>0</v>
      </c>
      <c r="BR64">
        <f>SUMIF(ConfirmedRaw!$B:$B,$A64,ConfirmedRaw!BU:BU)</f>
        <v>0</v>
      </c>
      <c r="BS64">
        <f>SUMIF(ConfirmedRaw!$B:$B,$A64,ConfirmedRaw!BV:BV)</f>
        <v>0</v>
      </c>
      <c r="BT64">
        <f>SUMIF(ConfirmedRaw!$B:$B,$A64,ConfirmedRaw!BW:BW)</f>
        <v>0</v>
      </c>
    </row>
    <row r="65" spans="1:72" ht="15" thickBot="1" x14ac:dyDescent="0.35">
      <c r="A65" s="3" t="s">
        <v>82</v>
      </c>
      <c r="B65">
        <f>SUMIF(ConfirmedRaw!$B:$B,$A65,ConfirmedRaw!E:E)</f>
        <v>0</v>
      </c>
      <c r="C65">
        <f>SUMIF(ConfirmedRaw!$B:$B,$A65,ConfirmedRaw!F:F)</f>
        <v>0</v>
      </c>
      <c r="D65">
        <f>SUMIF(ConfirmedRaw!$B:$B,$A65,ConfirmedRaw!G:G)</f>
        <v>0</v>
      </c>
      <c r="E65">
        <f>SUMIF(ConfirmedRaw!$B:$B,$A65,ConfirmedRaw!H:H)</f>
        <v>0</v>
      </c>
      <c r="F65">
        <f>SUMIF(ConfirmedRaw!$B:$B,$A65,ConfirmedRaw!I:I)</f>
        <v>0</v>
      </c>
      <c r="G65">
        <f>SUMIF(ConfirmedRaw!$B:$B,$A65,ConfirmedRaw!J:J)</f>
        <v>0</v>
      </c>
      <c r="H65">
        <f>SUMIF(ConfirmedRaw!$B:$B,$A65,ConfirmedRaw!K:K)</f>
        <v>0</v>
      </c>
      <c r="I65">
        <f>SUMIF(ConfirmedRaw!$B:$B,$A65,ConfirmedRaw!L:L)</f>
        <v>0</v>
      </c>
      <c r="J65">
        <f>SUMIF(ConfirmedRaw!$B:$B,$A65,ConfirmedRaw!M:M)</f>
        <v>0</v>
      </c>
      <c r="K65">
        <f>SUMIF(ConfirmedRaw!$B:$B,$A65,ConfirmedRaw!N:N)</f>
        <v>0</v>
      </c>
      <c r="L65">
        <f>SUMIF(ConfirmedRaw!$B:$B,$A65,ConfirmedRaw!O:O)</f>
        <v>0</v>
      </c>
      <c r="M65">
        <f>SUMIF(ConfirmedRaw!$B:$B,$A65,ConfirmedRaw!P:P)</f>
        <v>0</v>
      </c>
      <c r="N65">
        <f>SUMIF(ConfirmedRaw!$B:$B,$A65,ConfirmedRaw!Q:Q)</f>
        <v>0</v>
      </c>
      <c r="O65">
        <f>SUMIF(ConfirmedRaw!$B:$B,$A65,ConfirmedRaw!R:R)</f>
        <v>0</v>
      </c>
      <c r="P65">
        <f>SUMIF(ConfirmedRaw!$B:$B,$A65,ConfirmedRaw!S:S)</f>
        <v>0</v>
      </c>
      <c r="Q65">
        <f>SUMIF(ConfirmedRaw!$B:$B,$A65,ConfirmedRaw!T:T)</f>
        <v>0</v>
      </c>
      <c r="R65">
        <f>SUMIF(ConfirmedRaw!$B:$B,$A65,ConfirmedRaw!U:U)</f>
        <v>0</v>
      </c>
      <c r="S65">
        <f>SUMIF(ConfirmedRaw!$B:$B,$A65,ConfirmedRaw!V:V)</f>
        <v>0</v>
      </c>
      <c r="T65">
        <f>SUMIF(ConfirmedRaw!$B:$B,$A65,ConfirmedRaw!W:W)</f>
        <v>0</v>
      </c>
      <c r="U65">
        <f>SUMIF(ConfirmedRaw!$B:$B,$A65,ConfirmedRaw!X:X)</f>
        <v>0</v>
      </c>
      <c r="V65">
        <f>SUMIF(ConfirmedRaw!$B:$B,$A65,ConfirmedRaw!Y:Y)</f>
        <v>0</v>
      </c>
      <c r="W65">
        <f>SUMIF(ConfirmedRaw!$B:$B,$A65,ConfirmedRaw!Z:Z)</f>
        <v>0</v>
      </c>
      <c r="X65">
        <f>SUMIF(ConfirmedRaw!$B:$B,$A65,ConfirmedRaw!AA:AA)</f>
        <v>0</v>
      </c>
      <c r="Y65">
        <f>SUMIF(ConfirmedRaw!$B:$B,$A65,ConfirmedRaw!AB:AB)</f>
        <v>0</v>
      </c>
      <c r="Z65">
        <f>SUMIF(ConfirmedRaw!$B:$B,$A65,ConfirmedRaw!AC:AC)</f>
        <v>0</v>
      </c>
      <c r="AA65">
        <f>SUMIF(ConfirmedRaw!$B:$B,$A65,ConfirmedRaw!AD:AD)</f>
        <v>0</v>
      </c>
      <c r="AB65">
        <f>SUMIF(ConfirmedRaw!$B:$B,$A65,ConfirmedRaw!AE:AE)</f>
        <v>0</v>
      </c>
      <c r="AC65">
        <f>SUMIF(ConfirmedRaw!$B:$B,$A65,ConfirmedRaw!AF:AF)</f>
        <v>0</v>
      </c>
      <c r="AD65">
        <f>SUMIF(ConfirmedRaw!$B:$B,$A65,ConfirmedRaw!AG:AG)</f>
        <v>0</v>
      </c>
      <c r="AE65">
        <f>SUMIF(ConfirmedRaw!$B:$B,$A65,ConfirmedRaw!AH:AH)</f>
        <v>0</v>
      </c>
      <c r="AF65">
        <f>SUMIF(ConfirmedRaw!$B:$B,$A65,ConfirmedRaw!AI:AI)</f>
        <v>0</v>
      </c>
      <c r="AG65">
        <f>SUMIF(ConfirmedRaw!$B:$B,$A65,ConfirmedRaw!AJ:AJ)</f>
        <v>0</v>
      </c>
      <c r="AH65">
        <f>SUMIF(ConfirmedRaw!$B:$B,$A65,ConfirmedRaw!AK:AK)</f>
        <v>0</v>
      </c>
      <c r="AI65">
        <f>SUMIF(ConfirmedRaw!$B:$B,$A65,ConfirmedRaw!AL:AL)</f>
        <v>0</v>
      </c>
      <c r="AJ65">
        <f>SUMIF(ConfirmedRaw!$B:$B,$A65,ConfirmedRaw!AM:AM)</f>
        <v>0</v>
      </c>
      <c r="AK65">
        <f>SUMIF(ConfirmedRaw!$B:$B,$A65,ConfirmedRaw!AN:AN)</f>
        <v>1</v>
      </c>
      <c r="AL65">
        <f>SUMIF(ConfirmedRaw!$B:$B,$A65,ConfirmedRaw!AO:AO)</f>
        <v>1</v>
      </c>
      <c r="AM65">
        <f>SUMIF(ConfirmedRaw!$B:$B,$A65,ConfirmedRaw!AP:AP)</f>
        <v>1</v>
      </c>
      <c r="AN65">
        <f>SUMIF(ConfirmedRaw!$B:$B,$A65,ConfirmedRaw!AQ:AQ)</f>
        <v>1</v>
      </c>
      <c r="AO65">
        <f>SUMIF(ConfirmedRaw!$B:$B,$A65,ConfirmedRaw!AR:AR)</f>
        <v>3</v>
      </c>
      <c r="AP65">
        <f>SUMIF(ConfirmedRaw!$B:$B,$A65,ConfirmedRaw!AS:AS)</f>
        <v>3</v>
      </c>
      <c r="AQ65">
        <f>SUMIF(ConfirmedRaw!$B:$B,$A65,ConfirmedRaw!AT:AT)</f>
        <v>3</v>
      </c>
      <c r="AR65">
        <f>SUMIF(ConfirmedRaw!$B:$B,$A65,ConfirmedRaw!AU:AU)</f>
        <v>3</v>
      </c>
      <c r="AS65">
        <f>SUMIF(ConfirmedRaw!$B:$B,$A65,ConfirmedRaw!AV:AV)</f>
        <v>4</v>
      </c>
      <c r="AT65">
        <f>SUMIF(ConfirmedRaw!$B:$B,$A65,ConfirmedRaw!AW:AW)</f>
        <v>4</v>
      </c>
      <c r="AU65">
        <f>SUMIF(ConfirmedRaw!$B:$B,$A65,ConfirmedRaw!AX:AX)</f>
        <v>4</v>
      </c>
      <c r="AV65">
        <f>SUMIF(ConfirmedRaw!$B:$B,$A65,ConfirmedRaw!AY:AY)</f>
        <v>13</v>
      </c>
      <c r="AW65">
        <f>SUMIF(ConfirmedRaw!$B:$B,$A65,ConfirmedRaw!AZ:AZ)</f>
        <v>15</v>
      </c>
      <c r="AX65">
        <f>SUMIF(ConfirmedRaw!$B:$B,$A65,ConfirmedRaw!BA:BA)</f>
        <v>15</v>
      </c>
      <c r="AY65">
        <f>SUMIF(ConfirmedRaw!$B:$B,$A65,ConfirmedRaw!BB:BB)</f>
        <v>24</v>
      </c>
      <c r="AZ65">
        <f>SUMIF(ConfirmedRaw!$B:$B,$A65,ConfirmedRaw!BC:BC)</f>
        <v>24</v>
      </c>
      <c r="BA65">
        <f>SUMIF(ConfirmedRaw!$B:$B,$A65,ConfirmedRaw!BD:BD)</f>
        <v>25</v>
      </c>
      <c r="BB65">
        <f>SUMIF(ConfirmedRaw!$B:$B,$A65,ConfirmedRaw!BE:BE)</f>
        <v>30</v>
      </c>
      <c r="BC65">
        <f>SUMIF(ConfirmedRaw!$B:$B,$A65,ConfirmedRaw!BF:BF)</f>
        <v>33</v>
      </c>
      <c r="BD65">
        <f>SUMIF(ConfirmedRaw!$B:$B,$A65,ConfirmedRaw!BG:BG)</f>
        <v>33</v>
      </c>
      <c r="BE65">
        <f>SUMIF(ConfirmedRaw!$B:$B,$A65,ConfirmedRaw!BH:BH)</f>
        <v>34</v>
      </c>
      <c r="BF65">
        <f>SUMIF(ConfirmedRaw!$B:$B,$A65,ConfirmedRaw!BI:BI)</f>
        <v>38</v>
      </c>
      <c r="BG65">
        <f>SUMIF(ConfirmedRaw!$B:$B,$A65,ConfirmedRaw!BJ:BJ)</f>
        <v>40</v>
      </c>
      <c r="BH65">
        <f>SUMIF(ConfirmedRaw!$B:$B,$A65,ConfirmedRaw!BK:BK)</f>
        <v>43</v>
      </c>
      <c r="BI65">
        <f>SUMIF(ConfirmedRaw!$B:$B,$A65,ConfirmedRaw!BL:BL)</f>
        <v>0</v>
      </c>
      <c r="BJ65">
        <f>SUMIF(ConfirmedRaw!$B:$B,$A65,ConfirmedRaw!BM:BM)</f>
        <v>0</v>
      </c>
      <c r="BK65">
        <f>SUMIF(ConfirmedRaw!$B:$B,$A65,ConfirmedRaw!BN:BN)</f>
        <v>0</v>
      </c>
      <c r="BL65">
        <f>SUMIF(ConfirmedRaw!$B:$B,$A65,ConfirmedRaw!BO:BO)</f>
        <v>0</v>
      </c>
      <c r="BM65">
        <f>SUMIF(ConfirmedRaw!$B:$B,$A65,ConfirmedRaw!BP:BP)</f>
        <v>0</v>
      </c>
      <c r="BN65">
        <f>SUMIF(ConfirmedRaw!$B:$B,$A65,ConfirmedRaw!BQ:BQ)</f>
        <v>0</v>
      </c>
      <c r="BO65">
        <f>SUMIF(ConfirmedRaw!$B:$B,$A65,ConfirmedRaw!BR:BR)</f>
        <v>0</v>
      </c>
      <c r="BP65">
        <f>SUMIF(ConfirmedRaw!$B:$B,$A65,ConfirmedRaw!BS:BS)</f>
        <v>0</v>
      </c>
      <c r="BQ65">
        <f>SUMIF(ConfirmedRaw!$B:$B,$A65,ConfirmedRaw!BT:BT)</f>
        <v>0</v>
      </c>
      <c r="BR65">
        <f>SUMIF(ConfirmedRaw!$B:$B,$A65,ConfirmedRaw!BU:BU)</f>
        <v>0</v>
      </c>
      <c r="BS65">
        <f>SUMIF(ConfirmedRaw!$B:$B,$A65,ConfirmedRaw!BV:BV)</f>
        <v>0</v>
      </c>
      <c r="BT65">
        <f>SUMIF(ConfirmedRaw!$B:$B,$A65,ConfirmedRaw!BW:BW)</f>
        <v>0</v>
      </c>
    </row>
    <row r="66" spans="1:72" ht="15" thickBot="1" x14ac:dyDescent="0.35">
      <c r="A66" s="3" t="s">
        <v>145</v>
      </c>
      <c r="B66">
        <f>SUMIF(ConfirmedRaw!$B:$B,$A66,ConfirmedRaw!E:E)</f>
        <v>0</v>
      </c>
      <c r="C66">
        <f>SUMIF(ConfirmedRaw!$B:$B,$A66,ConfirmedRaw!F:F)</f>
        <v>0</v>
      </c>
      <c r="D66">
        <f>SUMIF(ConfirmedRaw!$B:$B,$A66,ConfirmedRaw!G:G)</f>
        <v>0</v>
      </c>
      <c r="E66">
        <f>SUMIF(ConfirmedRaw!$B:$B,$A66,ConfirmedRaw!H:H)</f>
        <v>0</v>
      </c>
      <c r="F66">
        <f>SUMIF(ConfirmedRaw!$B:$B,$A66,ConfirmedRaw!I:I)</f>
        <v>0</v>
      </c>
      <c r="G66">
        <f>SUMIF(ConfirmedRaw!$B:$B,$A66,ConfirmedRaw!J:J)</f>
        <v>0</v>
      </c>
      <c r="H66">
        <f>SUMIF(ConfirmedRaw!$B:$B,$A66,ConfirmedRaw!K:K)</f>
        <v>0</v>
      </c>
      <c r="I66">
        <f>SUMIF(ConfirmedRaw!$B:$B,$A66,ConfirmedRaw!L:L)</f>
        <v>0</v>
      </c>
      <c r="J66">
        <f>SUMIF(ConfirmedRaw!$B:$B,$A66,ConfirmedRaw!M:M)</f>
        <v>0</v>
      </c>
      <c r="K66">
        <f>SUMIF(ConfirmedRaw!$B:$B,$A66,ConfirmedRaw!N:N)</f>
        <v>0</v>
      </c>
      <c r="L66">
        <f>SUMIF(ConfirmedRaw!$B:$B,$A66,ConfirmedRaw!O:O)</f>
        <v>0</v>
      </c>
      <c r="M66">
        <f>SUMIF(ConfirmedRaw!$B:$B,$A66,ConfirmedRaw!P:P)</f>
        <v>0</v>
      </c>
      <c r="N66">
        <f>SUMIF(ConfirmedRaw!$B:$B,$A66,ConfirmedRaw!Q:Q)</f>
        <v>0</v>
      </c>
      <c r="O66">
        <f>SUMIF(ConfirmedRaw!$B:$B,$A66,ConfirmedRaw!R:R)</f>
        <v>0</v>
      </c>
      <c r="P66">
        <f>SUMIF(ConfirmedRaw!$B:$B,$A66,ConfirmedRaw!S:S)</f>
        <v>0</v>
      </c>
      <c r="Q66">
        <f>SUMIF(ConfirmedRaw!$B:$B,$A66,ConfirmedRaw!T:T)</f>
        <v>0</v>
      </c>
      <c r="R66">
        <f>SUMIF(ConfirmedRaw!$B:$B,$A66,ConfirmedRaw!U:U)</f>
        <v>0</v>
      </c>
      <c r="S66">
        <f>SUMIF(ConfirmedRaw!$B:$B,$A66,ConfirmedRaw!V:V)</f>
        <v>0</v>
      </c>
      <c r="T66">
        <f>SUMIF(ConfirmedRaw!$B:$B,$A66,ConfirmedRaw!W:W)</f>
        <v>0</v>
      </c>
      <c r="U66">
        <f>SUMIF(ConfirmedRaw!$B:$B,$A66,ConfirmedRaw!X:X)</f>
        <v>0</v>
      </c>
      <c r="V66">
        <f>SUMIF(ConfirmedRaw!$B:$B,$A66,ConfirmedRaw!Y:Y)</f>
        <v>0</v>
      </c>
      <c r="W66">
        <f>SUMIF(ConfirmedRaw!$B:$B,$A66,ConfirmedRaw!Z:Z)</f>
        <v>0</v>
      </c>
      <c r="X66">
        <f>SUMIF(ConfirmedRaw!$B:$B,$A66,ConfirmedRaw!AA:AA)</f>
        <v>0</v>
      </c>
      <c r="Y66">
        <f>SUMIF(ConfirmedRaw!$B:$B,$A66,ConfirmedRaw!AB:AB)</f>
        <v>0</v>
      </c>
      <c r="Z66">
        <f>SUMIF(ConfirmedRaw!$B:$B,$A66,ConfirmedRaw!AC:AC)</f>
        <v>0</v>
      </c>
      <c r="AA66">
        <f>SUMIF(ConfirmedRaw!$B:$B,$A66,ConfirmedRaw!AD:AD)</f>
        <v>0</v>
      </c>
      <c r="AB66">
        <f>SUMIF(ConfirmedRaw!$B:$B,$A66,ConfirmedRaw!AE:AE)</f>
        <v>0</v>
      </c>
      <c r="AC66">
        <f>SUMIF(ConfirmedRaw!$B:$B,$A66,ConfirmedRaw!AF:AF)</f>
        <v>0</v>
      </c>
      <c r="AD66">
        <f>SUMIF(ConfirmedRaw!$B:$B,$A66,ConfirmedRaw!AG:AG)</f>
        <v>0</v>
      </c>
      <c r="AE66">
        <f>SUMIF(ConfirmedRaw!$B:$B,$A66,ConfirmedRaw!AH:AH)</f>
        <v>0</v>
      </c>
      <c r="AF66">
        <f>SUMIF(ConfirmedRaw!$B:$B,$A66,ConfirmedRaw!AI:AI)</f>
        <v>0</v>
      </c>
      <c r="AG66">
        <f>SUMIF(ConfirmedRaw!$B:$B,$A66,ConfirmedRaw!AJ:AJ)</f>
        <v>0</v>
      </c>
      <c r="AH66">
        <f>SUMIF(ConfirmedRaw!$B:$B,$A66,ConfirmedRaw!AK:AK)</f>
        <v>0</v>
      </c>
      <c r="AI66">
        <f>SUMIF(ConfirmedRaw!$B:$B,$A66,ConfirmedRaw!AL:AL)</f>
        <v>0</v>
      </c>
      <c r="AJ66">
        <f>SUMIF(ConfirmedRaw!$B:$B,$A66,ConfirmedRaw!AM:AM)</f>
        <v>0</v>
      </c>
      <c r="AK66">
        <f>SUMIF(ConfirmedRaw!$B:$B,$A66,ConfirmedRaw!AN:AN)</f>
        <v>0</v>
      </c>
      <c r="AL66">
        <f>SUMIF(ConfirmedRaw!$B:$B,$A66,ConfirmedRaw!AO:AO)</f>
        <v>0</v>
      </c>
      <c r="AM66">
        <f>SUMIF(ConfirmedRaw!$B:$B,$A66,ConfirmedRaw!AP:AP)</f>
        <v>0</v>
      </c>
      <c r="AN66">
        <f>SUMIF(ConfirmedRaw!$B:$B,$A66,ConfirmedRaw!AQ:AQ)</f>
        <v>0</v>
      </c>
      <c r="AO66">
        <f>SUMIF(ConfirmedRaw!$B:$B,$A66,ConfirmedRaw!AR:AR)</f>
        <v>0</v>
      </c>
      <c r="AP66">
        <f>SUMIF(ConfirmedRaw!$B:$B,$A66,ConfirmedRaw!AS:AS)</f>
        <v>0</v>
      </c>
      <c r="AQ66">
        <f>SUMIF(ConfirmedRaw!$B:$B,$A66,ConfirmedRaw!AT:AT)</f>
        <v>0</v>
      </c>
      <c r="AR66">
        <f>SUMIF(ConfirmedRaw!$B:$B,$A66,ConfirmedRaw!AU:AU)</f>
        <v>0</v>
      </c>
      <c r="AS66">
        <f>SUMIF(ConfirmedRaw!$B:$B,$A66,ConfirmedRaw!AV:AV)</f>
        <v>1</v>
      </c>
      <c r="AT66">
        <f>SUMIF(ConfirmedRaw!$B:$B,$A66,ConfirmedRaw!AW:AW)</f>
        <v>1</v>
      </c>
      <c r="AU66">
        <f>SUMIF(ConfirmedRaw!$B:$B,$A66,ConfirmedRaw!AX:AX)</f>
        <v>1</v>
      </c>
      <c r="AV66">
        <f>SUMIF(ConfirmedRaw!$B:$B,$A66,ConfirmedRaw!AY:AY)</f>
        <v>3</v>
      </c>
      <c r="AW66">
        <f>SUMIF(ConfirmedRaw!$B:$B,$A66,ConfirmedRaw!AZ:AZ)</f>
        <v>3</v>
      </c>
      <c r="AX66">
        <f>SUMIF(ConfirmedRaw!$B:$B,$A66,ConfirmedRaw!BA:BA)</f>
        <v>7</v>
      </c>
      <c r="AY66">
        <f>SUMIF(ConfirmedRaw!$B:$B,$A66,ConfirmedRaw!BB:BB)</f>
        <v>13</v>
      </c>
      <c r="AZ66">
        <f>SUMIF(ConfirmedRaw!$B:$B,$A66,ConfirmedRaw!BC:BC)</f>
        <v>17</v>
      </c>
      <c r="BA66">
        <f>SUMIF(ConfirmedRaw!$B:$B,$A66,ConfirmedRaw!BD:BD)</f>
        <v>24</v>
      </c>
      <c r="BB66">
        <f>SUMIF(ConfirmedRaw!$B:$B,$A66,ConfirmedRaw!BE:BE)</f>
        <v>38</v>
      </c>
      <c r="BC66">
        <f>SUMIF(ConfirmedRaw!$B:$B,$A66,ConfirmedRaw!BF:BF)</f>
        <v>51</v>
      </c>
      <c r="BD66">
        <f>SUMIF(ConfirmedRaw!$B:$B,$A66,ConfirmedRaw!BG:BG)</f>
        <v>62</v>
      </c>
      <c r="BE66">
        <f>SUMIF(ConfirmedRaw!$B:$B,$A66,ConfirmedRaw!BH:BH)</f>
        <v>62</v>
      </c>
      <c r="BF66">
        <f>SUMIF(ConfirmedRaw!$B:$B,$A66,ConfirmedRaw!BI:BI)</f>
        <v>116</v>
      </c>
      <c r="BG66">
        <f>SUMIF(ConfirmedRaw!$B:$B,$A66,ConfirmedRaw!BJ:BJ)</f>
        <v>150</v>
      </c>
      <c r="BH66">
        <f>SUMIF(ConfirmedRaw!$B:$B,$A66,ConfirmedRaw!BK:BK)</f>
        <v>202</v>
      </c>
      <c r="BI66">
        <f>SUMIF(ConfirmedRaw!$B:$B,$A66,ConfirmedRaw!BL:BL)</f>
        <v>0</v>
      </c>
      <c r="BJ66">
        <f>SUMIF(ConfirmedRaw!$B:$B,$A66,ConfirmedRaw!BM:BM)</f>
        <v>0</v>
      </c>
      <c r="BK66">
        <f>SUMIF(ConfirmedRaw!$B:$B,$A66,ConfirmedRaw!BN:BN)</f>
        <v>0</v>
      </c>
      <c r="BL66">
        <f>SUMIF(ConfirmedRaw!$B:$B,$A66,ConfirmedRaw!BO:BO)</f>
        <v>0</v>
      </c>
      <c r="BM66">
        <f>SUMIF(ConfirmedRaw!$B:$B,$A66,ConfirmedRaw!BP:BP)</f>
        <v>0</v>
      </c>
      <c r="BN66">
        <f>SUMIF(ConfirmedRaw!$B:$B,$A66,ConfirmedRaw!BQ:BQ)</f>
        <v>0</v>
      </c>
      <c r="BO66">
        <f>SUMIF(ConfirmedRaw!$B:$B,$A66,ConfirmedRaw!BR:BR)</f>
        <v>0</v>
      </c>
      <c r="BP66">
        <f>SUMIF(ConfirmedRaw!$B:$B,$A66,ConfirmedRaw!BS:BS)</f>
        <v>0</v>
      </c>
      <c r="BQ66">
        <f>SUMIF(ConfirmedRaw!$B:$B,$A66,ConfirmedRaw!BT:BT)</f>
        <v>0</v>
      </c>
      <c r="BR66">
        <f>SUMIF(ConfirmedRaw!$B:$B,$A66,ConfirmedRaw!BU:BU)</f>
        <v>0</v>
      </c>
      <c r="BS66">
        <f>SUMIF(ConfirmedRaw!$B:$B,$A66,ConfirmedRaw!BV:BV)</f>
        <v>0</v>
      </c>
      <c r="BT66">
        <f>SUMIF(ConfirmedRaw!$B:$B,$A66,ConfirmedRaw!BW:BW)</f>
        <v>0</v>
      </c>
    </row>
    <row r="67" spans="1:72" ht="15" thickBot="1" x14ac:dyDescent="0.35">
      <c r="A67" s="3" t="s">
        <v>199</v>
      </c>
      <c r="B67">
        <f>SUMIF(ConfirmedRaw!$B:$B,$A67,ConfirmedRaw!E:E)</f>
        <v>0</v>
      </c>
      <c r="C67">
        <f>SUMIF(ConfirmedRaw!$B:$B,$A67,ConfirmedRaw!F:F)</f>
        <v>0</v>
      </c>
      <c r="D67">
        <f>SUMIF(ConfirmedRaw!$B:$B,$A67,ConfirmedRaw!G:G)</f>
        <v>0</v>
      </c>
      <c r="E67">
        <f>SUMIF(ConfirmedRaw!$B:$B,$A67,ConfirmedRaw!H:H)</f>
        <v>0</v>
      </c>
      <c r="F67">
        <f>SUMIF(ConfirmedRaw!$B:$B,$A67,ConfirmedRaw!I:I)</f>
        <v>0</v>
      </c>
      <c r="G67">
        <f>SUMIF(ConfirmedRaw!$B:$B,$A67,ConfirmedRaw!J:J)</f>
        <v>0</v>
      </c>
      <c r="H67">
        <f>SUMIF(ConfirmedRaw!$B:$B,$A67,ConfirmedRaw!K:K)</f>
        <v>0</v>
      </c>
      <c r="I67">
        <f>SUMIF(ConfirmedRaw!$B:$B,$A67,ConfirmedRaw!L:L)</f>
        <v>0</v>
      </c>
      <c r="J67">
        <f>SUMIF(ConfirmedRaw!$B:$B,$A67,ConfirmedRaw!M:M)</f>
        <v>0</v>
      </c>
      <c r="K67">
        <f>SUMIF(ConfirmedRaw!$B:$B,$A67,ConfirmedRaw!N:N)</f>
        <v>0</v>
      </c>
      <c r="L67">
        <f>SUMIF(ConfirmedRaw!$B:$B,$A67,ConfirmedRaw!O:O)</f>
        <v>0</v>
      </c>
      <c r="M67">
        <f>SUMIF(ConfirmedRaw!$B:$B,$A67,ConfirmedRaw!P:P)</f>
        <v>0</v>
      </c>
      <c r="N67">
        <f>SUMIF(ConfirmedRaw!$B:$B,$A67,ConfirmedRaw!Q:Q)</f>
        <v>0</v>
      </c>
      <c r="O67">
        <f>SUMIF(ConfirmedRaw!$B:$B,$A67,ConfirmedRaw!R:R)</f>
        <v>0</v>
      </c>
      <c r="P67">
        <f>SUMIF(ConfirmedRaw!$B:$B,$A67,ConfirmedRaw!S:S)</f>
        <v>0</v>
      </c>
      <c r="Q67">
        <f>SUMIF(ConfirmedRaw!$B:$B,$A67,ConfirmedRaw!T:T)</f>
        <v>0</v>
      </c>
      <c r="R67">
        <f>SUMIF(ConfirmedRaw!$B:$B,$A67,ConfirmedRaw!U:U)</f>
        <v>0</v>
      </c>
      <c r="S67">
        <f>SUMIF(ConfirmedRaw!$B:$B,$A67,ConfirmedRaw!V:V)</f>
        <v>0</v>
      </c>
      <c r="T67">
        <f>SUMIF(ConfirmedRaw!$B:$B,$A67,ConfirmedRaw!W:W)</f>
        <v>0</v>
      </c>
      <c r="U67">
        <f>SUMIF(ConfirmedRaw!$B:$B,$A67,ConfirmedRaw!X:X)</f>
        <v>0</v>
      </c>
      <c r="V67">
        <f>SUMIF(ConfirmedRaw!$B:$B,$A67,ConfirmedRaw!Y:Y)</f>
        <v>0</v>
      </c>
      <c r="W67">
        <f>SUMIF(ConfirmedRaw!$B:$B,$A67,ConfirmedRaw!Z:Z)</f>
        <v>0</v>
      </c>
      <c r="X67">
        <f>SUMIF(ConfirmedRaw!$B:$B,$A67,ConfirmedRaw!AA:AA)</f>
        <v>0</v>
      </c>
      <c r="Y67">
        <f>SUMIF(ConfirmedRaw!$B:$B,$A67,ConfirmedRaw!AB:AB)</f>
        <v>0</v>
      </c>
      <c r="Z67">
        <f>SUMIF(ConfirmedRaw!$B:$B,$A67,ConfirmedRaw!AC:AC)</f>
        <v>0</v>
      </c>
      <c r="AA67">
        <f>SUMIF(ConfirmedRaw!$B:$B,$A67,ConfirmedRaw!AD:AD)</f>
        <v>0</v>
      </c>
      <c r="AB67">
        <f>SUMIF(ConfirmedRaw!$B:$B,$A67,ConfirmedRaw!AE:AE)</f>
        <v>0</v>
      </c>
      <c r="AC67">
        <f>SUMIF(ConfirmedRaw!$B:$B,$A67,ConfirmedRaw!AF:AF)</f>
        <v>0</v>
      </c>
      <c r="AD67">
        <f>SUMIF(ConfirmedRaw!$B:$B,$A67,ConfirmedRaw!AG:AG)</f>
        <v>0</v>
      </c>
      <c r="AE67">
        <f>SUMIF(ConfirmedRaw!$B:$B,$A67,ConfirmedRaw!AH:AH)</f>
        <v>0</v>
      </c>
      <c r="AF67">
        <f>SUMIF(ConfirmedRaw!$B:$B,$A67,ConfirmedRaw!AI:AI)</f>
        <v>0</v>
      </c>
      <c r="AG67">
        <f>SUMIF(ConfirmedRaw!$B:$B,$A67,ConfirmedRaw!AJ:AJ)</f>
        <v>0</v>
      </c>
      <c r="AH67">
        <f>SUMIF(ConfirmedRaw!$B:$B,$A67,ConfirmedRaw!AK:AK)</f>
        <v>0</v>
      </c>
      <c r="AI67">
        <f>SUMIF(ConfirmedRaw!$B:$B,$A67,ConfirmedRaw!AL:AL)</f>
        <v>0</v>
      </c>
      <c r="AJ67">
        <f>SUMIF(ConfirmedRaw!$B:$B,$A67,ConfirmedRaw!AM:AM)</f>
        <v>0</v>
      </c>
      <c r="AK67">
        <f>SUMIF(ConfirmedRaw!$B:$B,$A67,ConfirmedRaw!AN:AN)</f>
        <v>0</v>
      </c>
      <c r="AL67">
        <f>SUMIF(ConfirmedRaw!$B:$B,$A67,ConfirmedRaw!AO:AO)</f>
        <v>0</v>
      </c>
      <c r="AM67">
        <f>SUMIF(ConfirmedRaw!$B:$B,$A67,ConfirmedRaw!AP:AP)</f>
        <v>0</v>
      </c>
      <c r="AN67">
        <f>SUMIF(ConfirmedRaw!$B:$B,$A67,ConfirmedRaw!AQ:AQ)</f>
        <v>0</v>
      </c>
      <c r="AO67">
        <f>SUMIF(ConfirmedRaw!$B:$B,$A67,ConfirmedRaw!AR:AR)</f>
        <v>0</v>
      </c>
      <c r="AP67">
        <f>SUMIF(ConfirmedRaw!$B:$B,$A67,ConfirmedRaw!AS:AS)</f>
        <v>0</v>
      </c>
      <c r="AQ67">
        <f>SUMIF(ConfirmedRaw!$B:$B,$A67,ConfirmedRaw!AT:AT)</f>
        <v>0</v>
      </c>
      <c r="AR67">
        <f>SUMIF(ConfirmedRaw!$B:$B,$A67,ConfirmedRaw!AU:AU)</f>
        <v>0</v>
      </c>
      <c r="AS67">
        <f>SUMIF(ConfirmedRaw!$B:$B,$A67,ConfirmedRaw!AV:AV)</f>
        <v>0</v>
      </c>
      <c r="AT67">
        <f>SUMIF(ConfirmedRaw!$B:$B,$A67,ConfirmedRaw!AW:AW)</f>
        <v>0</v>
      </c>
      <c r="AU67">
        <f>SUMIF(ConfirmedRaw!$B:$B,$A67,ConfirmedRaw!AX:AX)</f>
        <v>0</v>
      </c>
      <c r="AV67">
        <f>SUMIF(ConfirmedRaw!$B:$B,$A67,ConfirmedRaw!AY:AY)</f>
        <v>4</v>
      </c>
      <c r="AW67">
        <f>SUMIF(ConfirmedRaw!$B:$B,$A67,ConfirmedRaw!AZ:AZ)</f>
        <v>4</v>
      </c>
      <c r="AX67">
        <f>SUMIF(ConfirmedRaw!$B:$B,$A67,ConfirmedRaw!BA:BA)</f>
        <v>4</v>
      </c>
      <c r="AY67">
        <f>SUMIF(ConfirmedRaw!$B:$B,$A67,ConfirmedRaw!BB:BB)</f>
        <v>7</v>
      </c>
      <c r="AZ67">
        <f>SUMIF(ConfirmedRaw!$B:$B,$A67,ConfirmedRaw!BC:BC)</f>
        <v>7</v>
      </c>
      <c r="BA67">
        <f>SUMIF(ConfirmedRaw!$B:$B,$A67,ConfirmedRaw!BD:BD)</f>
        <v>23</v>
      </c>
      <c r="BB67">
        <f>SUMIF(ConfirmedRaw!$B:$B,$A67,ConfirmedRaw!BE:BE)</f>
        <v>41</v>
      </c>
      <c r="BC67">
        <f>SUMIF(ConfirmedRaw!$B:$B,$A67,ConfirmedRaw!BF:BF)</f>
        <v>51</v>
      </c>
      <c r="BD67">
        <f>SUMIF(ConfirmedRaw!$B:$B,$A67,ConfirmedRaw!BG:BG)</f>
        <v>52</v>
      </c>
      <c r="BE67">
        <f>SUMIF(ConfirmedRaw!$B:$B,$A67,ConfirmedRaw!BH:BH)</f>
        <v>67</v>
      </c>
      <c r="BF67">
        <f>SUMIF(ConfirmedRaw!$B:$B,$A67,ConfirmedRaw!BI:BI)</f>
        <v>92</v>
      </c>
      <c r="BG67">
        <f>SUMIF(ConfirmedRaw!$B:$B,$A67,ConfirmedRaw!BJ:BJ)</f>
        <v>94</v>
      </c>
      <c r="BH67">
        <f>SUMIF(ConfirmedRaw!$B:$B,$A67,ConfirmedRaw!BK:BK)</f>
        <v>127</v>
      </c>
      <c r="BI67">
        <f>SUMIF(ConfirmedRaw!$B:$B,$A67,ConfirmedRaw!BL:BL)</f>
        <v>0</v>
      </c>
      <c r="BJ67">
        <f>SUMIF(ConfirmedRaw!$B:$B,$A67,ConfirmedRaw!BM:BM)</f>
        <v>0</v>
      </c>
      <c r="BK67">
        <f>SUMIF(ConfirmedRaw!$B:$B,$A67,ConfirmedRaw!BN:BN)</f>
        <v>0</v>
      </c>
      <c r="BL67">
        <f>SUMIF(ConfirmedRaw!$B:$B,$A67,ConfirmedRaw!BO:BO)</f>
        <v>0</v>
      </c>
      <c r="BM67">
        <f>SUMIF(ConfirmedRaw!$B:$B,$A67,ConfirmedRaw!BP:BP)</f>
        <v>0</v>
      </c>
      <c r="BN67">
        <f>SUMIF(ConfirmedRaw!$B:$B,$A67,ConfirmedRaw!BQ:BQ)</f>
        <v>0</v>
      </c>
      <c r="BO67">
        <f>SUMIF(ConfirmedRaw!$B:$B,$A67,ConfirmedRaw!BR:BR)</f>
        <v>0</v>
      </c>
      <c r="BP67">
        <f>SUMIF(ConfirmedRaw!$B:$B,$A67,ConfirmedRaw!BS:BS)</f>
        <v>0</v>
      </c>
      <c r="BQ67">
        <f>SUMIF(ConfirmedRaw!$B:$B,$A67,ConfirmedRaw!BT:BT)</f>
        <v>0</v>
      </c>
      <c r="BR67">
        <f>SUMIF(ConfirmedRaw!$B:$B,$A67,ConfirmedRaw!BU:BU)</f>
        <v>0</v>
      </c>
      <c r="BS67">
        <f>SUMIF(ConfirmedRaw!$B:$B,$A67,ConfirmedRaw!BV:BV)</f>
        <v>0</v>
      </c>
      <c r="BT67">
        <f>SUMIF(ConfirmedRaw!$B:$B,$A67,ConfirmedRaw!BW:BW)</f>
        <v>0</v>
      </c>
    </row>
    <row r="68" spans="1:72" ht="15" thickBot="1" x14ac:dyDescent="0.35">
      <c r="A68" s="3" t="s">
        <v>159</v>
      </c>
      <c r="B68">
        <f>SUMIF(ConfirmedRaw!$B:$B,$A68,ConfirmedRaw!E:E)</f>
        <v>0</v>
      </c>
      <c r="C68">
        <f>SUMIF(ConfirmedRaw!$B:$B,$A68,ConfirmedRaw!F:F)</f>
        <v>0</v>
      </c>
      <c r="D68">
        <f>SUMIF(ConfirmedRaw!$B:$B,$A68,ConfirmedRaw!G:G)</f>
        <v>0</v>
      </c>
      <c r="E68">
        <f>SUMIF(ConfirmedRaw!$B:$B,$A68,ConfirmedRaw!H:H)</f>
        <v>0</v>
      </c>
      <c r="F68">
        <f>SUMIF(ConfirmedRaw!$B:$B,$A68,ConfirmedRaw!I:I)</f>
        <v>0</v>
      </c>
      <c r="G68">
        <f>SUMIF(ConfirmedRaw!$B:$B,$A68,ConfirmedRaw!J:J)</f>
        <v>0</v>
      </c>
      <c r="H68">
        <f>SUMIF(ConfirmedRaw!$B:$B,$A68,ConfirmedRaw!K:K)</f>
        <v>0</v>
      </c>
      <c r="I68">
        <f>SUMIF(ConfirmedRaw!$B:$B,$A68,ConfirmedRaw!L:L)</f>
        <v>0</v>
      </c>
      <c r="J68">
        <f>SUMIF(ConfirmedRaw!$B:$B,$A68,ConfirmedRaw!M:M)</f>
        <v>0</v>
      </c>
      <c r="K68">
        <f>SUMIF(ConfirmedRaw!$B:$B,$A68,ConfirmedRaw!N:N)</f>
        <v>0</v>
      </c>
      <c r="L68">
        <f>SUMIF(ConfirmedRaw!$B:$B,$A68,ConfirmedRaw!O:O)</f>
        <v>0</v>
      </c>
      <c r="M68">
        <f>SUMIF(ConfirmedRaw!$B:$B,$A68,ConfirmedRaw!P:P)</f>
        <v>0</v>
      </c>
      <c r="N68">
        <f>SUMIF(ConfirmedRaw!$B:$B,$A68,ConfirmedRaw!Q:Q)</f>
        <v>0</v>
      </c>
      <c r="O68">
        <f>SUMIF(ConfirmedRaw!$B:$B,$A68,ConfirmedRaw!R:R)</f>
        <v>0</v>
      </c>
      <c r="P68">
        <f>SUMIF(ConfirmedRaw!$B:$B,$A68,ConfirmedRaw!S:S)</f>
        <v>0</v>
      </c>
      <c r="Q68">
        <f>SUMIF(ConfirmedRaw!$B:$B,$A68,ConfirmedRaw!T:T)</f>
        <v>0</v>
      </c>
      <c r="R68">
        <f>SUMIF(ConfirmedRaw!$B:$B,$A68,ConfirmedRaw!U:U)</f>
        <v>0</v>
      </c>
      <c r="S68">
        <f>SUMIF(ConfirmedRaw!$B:$B,$A68,ConfirmedRaw!V:V)</f>
        <v>0</v>
      </c>
      <c r="T68">
        <f>SUMIF(ConfirmedRaw!$B:$B,$A68,ConfirmedRaw!W:W)</f>
        <v>0</v>
      </c>
      <c r="U68">
        <f>SUMIF(ConfirmedRaw!$B:$B,$A68,ConfirmedRaw!X:X)</f>
        <v>0</v>
      </c>
      <c r="V68">
        <f>SUMIF(ConfirmedRaw!$B:$B,$A68,ConfirmedRaw!Y:Y)</f>
        <v>0</v>
      </c>
      <c r="W68">
        <f>SUMIF(ConfirmedRaw!$B:$B,$A68,ConfirmedRaw!Z:Z)</f>
        <v>0</v>
      </c>
      <c r="X68">
        <f>SUMIF(ConfirmedRaw!$B:$B,$A68,ConfirmedRaw!AA:AA)</f>
        <v>0</v>
      </c>
      <c r="Y68">
        <f>SUMIF(ConfirmedRaw!$B:$B,$A68,ConfirmedRaw!AB:AB)</f>
        <v>0</v>
      </c>
      <c r="Z68">
        <f>SUMIF(ConfirmedRaw!$B:$B,$A68,ConfirmedRaw!AC:AC)</f>
        <v>0</v>
      </c>
      <c r="AA68">
        <f>SUMIF(ConfirmedRaw!$B:$B,$A68,ConfirmedRaw!AD:AD)</f>
        <v>0</v>
      </c>
      <c r="AB68">
        <f>SUMIF(ConfirmedRaw!$B:$B,$A68,ConfirmedRaw!AE:AE)</f>
        <v>0</v>
      </c>
      <c r="AC68">
        <f>SUMIF(ConfirmedRaw!$B:$B,$A68,ConfirmedRaw!AF:AF)</f>
        <v>0</v>
      </c>
      <c r="AD68">
        <f>SUMIF(ConfirmedRaw!$B:$B,$A68,ConfirmedRaw!AG:AG)</f>
        <v>0</v>
      </c>
      <c r="AE68">
        <f>SUMIF(ConfirmedRaw!$B:$B,$A68,ConfirmedRaw!AH:AH)</f>
        <v>0</v>
      </c>
      <c r="AF68">
        <f>SUMIF(ConfirmedRaw!$B:$B,$A68,ConfirmedRaw!AI:AI)</f>
        <v>0</v>
      </c>
      <c r="AG68">
        <f>SUMIF(ConfirmedRaw!$B:$B,$A68,ConfirmedRaw!AJ:AJ)</f>
        <v>0</v>
      </c>
      <c r="AH68">
        <f>SUMIF(ConfirmedRaw!$B:$B,$A68,ConfirmedRaw!AK:AK)</f>
        <v>0</v>
      </c>
      <c r="AI68">
        <f>SUMIF(ConfirmedRaw!$B:$B,$A68,ConfirmedRaw!AL:AL)</f>
        <v>0</v>
      </c>
      <c r="AJ68">
        <f>SUMIF(ConfirmedRaw!$B:$B,$A68,ConfirmedRaw!AM:AM)</f>
        <v>0</v>
      </c>
      <c r="AK68">
        <f>SUMIF(ConfirmedRaw!$B:$B,$A68,ConfirmedRaw!AN:AN)</f>
        <v>0</v>
      </c>
      <c r="AL68">
        <f>SUMIF(ConfirmedRaw!$B:$B,$A68,ConfirmedRaw!AO:AO)</f>
        <v>0</v>
      </c>
      <c r="AM68">
        <f>SUMIF(ConfirmedRaw!$B:$B,$A68,ConfirmedRaw!AP:AP)</f>
        <v>0</v>
      </c>
      <c r="AN68">
        <f>SUMIF(ConfirmedRaw!$B:$B,$A68,ConfirmedRaw!AQ:AQ)</f>
        <v>0</v>
      </c>
      <c r="AO68">
        <f>SUMIF(ConfirmedRaw!$B:$B,$A68,ConfirmedRaw!AR:AR)</f>
        <v>0</v>
      </c>
      <c r="AP68">
        <f>SUMIF(ConfirmedRaw!$B:$B,$A68,ConfirmedRaw!AS:AS)</f>
        <v>0</v>
      </c>
      <c r="AQ68">
        <f>SUMIF(ConfirmedRaw!$B:$B,$A68,ConfirmedRaw!AT:AT)</f>
        <v>0</v>
      </c>
      <c r="AR68">
        <f>SUMIF(ConfirmedRaw!$B:$B,$A68,ConfirmedRaw!AU:AU)</f>
        <v>0</v>
      </c>
      <c r="AS68">
        <f>SUMIF(ConfirmedRaw!$B:$B,$A68,ConfirmedRaw!AV:AV)</f>
        <v>0</v>
      </c>
      <c r="AT68">
        <f>SUMIF(ConfirmedRaw!$B:$B,$A68,ConfirmedRaw!AW:AW)</f>
        <v>1</v>
      </c>
      <c r="AU68">
        <f>SUMIF(ConfirmedRaw!$B:$B,$A68,ConfirmedRaw!AX:AX)</f>
        <v>1</v>
      </c>
      <c r="AV68">
        <f>SUMIF(ConfirmedRaw!$B:$B,$A68,ConfirmedRaw!AY:AY)</f>
        <v>5</v>
      </c>
      <c r="AW68">
        <f>SUMIF(ConfirmedRaw!$B:$B,$A68,ConfirmedRaw!AZ:AZ)</f>
        <v>9</v>
      </c>
      <c r="AX68">
        <f>SUMIF(ConfirmedRaw!$B:$B,$A68,ConfirmedRaw!BA:BA)</f>
        <v>9</v>
      </c>
      <c r="AY68">
        <f>SUMIF(ConfirmedRaw!$B:$B,$A68,ConfirmedRaw!BB:BB)</f>
        <v>13</v>
      </c>
      <c r="AZ68">
        <f>SUMIF(ConfirmedRaw!$B:$B,$A68,ConfirmedRaw!BC:BC)</f>
        <v>22</v>
      </c>
      <c r="BA68">
        <f>SUMIF(ConfirmedRaw!$B:$B,$A68,ConfirmedRaw!BD:BD)</f>
        <v>23</v>
      </c>
      <c r="BB68">
        <f>SUMIF(ConfirmedRaw!$B:$B,$A68,ConfirmedRaw!BE:BE)</f>
        <v>26</v>
      </c>
      <c r="BC68">
        <f>SUMIF(ConfirmedRaw!$B:$B,$A68,ConfirmedRaw!BF:BF)</f>
        <v>27</v>
      </c>
      <c r="BD68">
        <f>SUMIF(ConfirmedRaw!$B:$B,$A68,ConfirmedRaw!BG:BG)</f>
        <v>35</v>
      </c>
      <c r="BE68">
        <f>SUMIF(ConfirmedRaw!$B:$B,$A68,ConfirmedRaw!BH:BH)</f>
        <v>41</v>
      </c>
      <c r="BF68">
        <f>SUMIF(ConfirmedRaw!$B:$B,$A68,ConfirmedRaw!BI:BI)</f>
        <v>50</v>
      </c>
      <c r="BG68">
        <f>SUMIF(ConfirmedRaw!$B:$B,$A68,ConfirmedRaw!BJ:BJ)</f>
        <v>69</v>
      </c>
      <c r="BH68">
        <f>SUMIF(ConfirmedRaw!$B:$B,$A68,ConfirmedRaw!BK:BK)</f>
        <v>89</v>
      </c>
      <c r="BI68">
        <f>SUMIF(ConfirmedRaw!$B:$B,$A68,ConfirmedRaw!BL:BL)</f>
        <v>0</v>
      </c>
      <c r="BJ68">
        <f>SUMIF(ConfirmedRaw!$B:$B,$A68,ConfirmedRaw!BM:BM)</f>
        <v>0</v>
      </c>
      <c r="BK68">
        <f>SUMIF(ConfirmedRaw!$B:$B,$A68,ConfirmedRaw!BN:BN)</f>
        <v>0</v>
      </c>
      <c r="BL68">
        <f>SUMIF(ConfirmedRaw!$B:$B,$A68,ConfirmedRaw!BO:BO)</f>
        <v>0</v>
      </c>
      <c r="BM68">
        <f>SUMIF(ConfirmedRaw!$B:$B,$A68,ConfirmedRaw!BP:BP)</f>
        <v>0</v>
      </c>
      <c r="BN68">
        <f>SUMIF(ConfirmedRaw!$B:$B,$A68,ConfirmedRaw!BQ:BQ)</f>
        <v>0</v>
      </c>
      <c r="BO68">
        <f>SUMIF(ConfirmedRaw!$B:$B,$A68,ConfirmedRaw!BR:BR)</f>
        <v>0</v>
      </c>
      <c r="BP68">
        <f>SUMIF(ConfirmedRaw!$B:$B,$A68,ConfirmedRaw!BS:BS)</f>
        <v>0</v>
      </c>
      <c r="BQ68">
        <f>SUMIF(ConfirmedRaw!$B:$B,$A68,ConfirmedRaw!BT:BT)</f>
        <v>0</v>
      </c>
      <c r="BR68">
        <f>SUMIF(ConfirmedRaw!$B:$B,$A68,ConfirmedRaw!BU:BU)</f>
        <v>0</v>
      </c>
      <c r="BS68">
        <f>SUMIF(ConfirmedRaw!$B:$B,$A68,ConfirmedRaw!BV:BV)</f>
        <v>0</v>
      </c>
      <c r="BT68">
        <f>SUMIF(ConfirmedRaw!$B:$B,$A68,ConfirmedRaw!BW:BW)</f>
        <v>0</v>
      </c>
    </row>
    <row r="69" spans="1:72" ht="15" thickBot="1" x14ac:dyDescent="0.35">
      <c r="A69" s="4" t="s">
        <v>132</v>
      </c>
      <c r="B69">
        <f>SUMIF(ConfirmedRaw!$B:$B,$A69,ConfirmedRaw!E:E)</f>
        <v>0</v>
      </c>
      <c r="C69">
        <f>SUMIF(ConfirmedRaw!$B:$B,$A69,ConfirmedRaw!F:F)</f>
        <v>0</v>
      </c>
      <c r="D69">
        <f>SUMIF(ConfirmedRaw!$B:$B,$A69,ConfirmedRaw!G:G)</f>
        <v>0</v>
      </c>
      <c r="E69">
        <f>SUMIF(ConfirmedRaw!$B:$B,$A69,ConfirmedRaw!H:H)</f>
        <v>0</v>
      </c>
      <c r="F69">
        <f>SUMIF(ConfirmedRaw!$B:$B,$A69,ConfirmedRaw!I:I)</f>
        <v>0</v>
      </c>
      <c r="G69">
        <f>SUMIF(ConfirmedRaw!$B:$B,$A69,ConfirmedRaw!J:J)</f>
        <v>0</v>
      </c>
      <c r="H69">
        <f>SUMIF(ConfirmedRaw!$B:$B,$A69,ConfirmedRaw!K:K)</f>
        <v>0</v>
      </c>
      <c r="I69">
        <f>SUMIF(ConfirmedRaw!$B:$B,$A69,ConfirmedRaw!L:L)</f>
        <v>0</v>
      </c>
      <c r="J69">
        <f>SUMIF(ConfirmedRaw!$B:$B,$A69,ConfirmedRaw!M:M)</f>
        <v>0</v>
      </c>
      <c r="K69">
        <f>SUMIF(ConfirmedRaw!$B:$B,$A69,ConfirmedRaw!N:N)</f>
        <v>0</v>
      </c>
      <c r="L69">
        <f>SUMIF(ConfirmedRaw!$B:$B,$A69,ConfirmedRaw!O:O)</f>
        <v>0</v>
      </c>
      <c r="M69">
        <f>SUMIF(ConfirmedRaw!$B:$B,$A69,ConfirmedRaw!P:P)</f>
        <v>0</v>
      </c>
      <c r="N69">
        <f>SUMIF(ConfirmedRaw!$B:$B,$A69,ConfirmedRaw!Q:Q)</f>
        <v>0</v>
      </c>
      <c r="O69">
        <f>SUMIF(ConfirmedRaw!$B:$B,$A69,ConfirmedRaw!R:R)</f>
        <v>0</v>
      </c>
      <c r="P69">
        <f>SUMIF(ConfirmedRaw!$B:$B,$A69,ConfirmedRaw!S:S)</f>
        <v>0</v>
      </c>
      <c r="Q69">
        <f>SUMIF(ConfirmedRaw!$B:$B,$A69,ConfirmedRaw!T:T)</f>
        <v>0</v>
      </c>
      <c r="R69">
        <f>SUMIF(ConfirmedRaw!$B:$B,$A69,ConfirmedRaw!U:U)</f>
        <v>0</v>
      </c>
      <c r="S69">
        <f>SUMIF(ConfirmedRaw!$B:$B,$A69,ConfirmedRaw!V:V)</f>
        <v>0</v>
      </c>
      <c r="T69">
        <f>SUMIF(ConfirmedRaw!$B:$B,$A69,ConfirmedRaw!W:W)</f>
        <v>0</v>
      </c>
      <c r="U69">
        <f>SUMIF(ConfirmedRaw!$B:$B,$A69,ConfirmedRaw!X:X)</f>
        <v>0</v>
      </c>
      <c r="V69">
        <f>SUMIF(ConfirmedRaw!$B:$B,$A69,ConfirmedRaw!Y:Y)</f>
        <v>0</v>
      </c>
      <c r="W69">
        <f>SUMIF(ConfirmedRaw!$B:$B,$A69,ConfirmedRaw!Z:Z)</f>
        <v>0</v>
      </c>
      <c r="X69">
        <f>SUMIF(ConfirmedRaw!$B:$B,$A69,ConfirmedRaw!AA:AA)</f>
        <v>0</v>
      </c>
      <c r="Y69">
        <f>SUMIF(ConfirmedRaw!$B:$B,$A69,ConfirmedRaw!AB:AB)</f>
        <v>0</v>
      </c>
      <c r="Z69">
        <f>SUMIF(ConfirmedRaw!$B:$B,$A69,ConfirmedRaw!AC:AC)</f>
        <v>0</v>
      </c>
      <c r="AA69">
        <f>SUMIF(ConfirmedRaw!$B:$B,$A69,ConfirmedRaw!AD:AD)</f>
        <v>0</v>
      </c>
      <c r="AB69">
        <f>SUMIF(ConfirmedRaw!$B:$B,$A69,ConfirmedRaw!AE:AE)</f>
        <v>0</v>
      </c>
      <c r="AC69">
        <f>SUMIF(ConfirmedRaw!$B:$B,$A69,ConfirmedRaw!AF:AF)</f>
        <v>0</v>
      </c>
      <c r="AD69">
        <f>SUMIF(ConfirmedRaw!$B:$B,$A69,ConfirmedRaw!AG:AG)</f>
        <v>0</v>
      </c>
      <c r="AE69">
        <f>SUMIF(ConfirmedRaw!$B:$B,$A69,ConfirmedRaw!AH:AH)</f>
        <v>0</v>
      </c>
      <c r="AF69">
        <f>SUMIF(ConfirmedRaw!$B:$B,$A69,ConfirmedRaw!AI:AI)</f>
        <v>0</v>
      </c>
      <c r="AG69">
        <f>SUMIF(ConfirmedRaw!$B:$B,$A69,ConfirmedRaw!AJ:AJ)</f>
        <v>0</v>
      </c>
      <c r="AH69">
        <f>SUMIF(ConfirmedRaw!$B:$B,$A69,ConfirmedRaw!AK:AK)</f>
        <v>0</v>
      </c>
      <c r="AI69">
        <f>SUMIF(ConfirmedRaw!$B:$B,$A69,ConfirmedRaw!AL:AL)</f>
        <v>0</v>
      </c>
      <c r="AJ69">
        <f>SUMIF(ConfirmedRaw!$B:$B,$A69,ConfirmedRaw!AM:AM)</f>
        <v>0</v>
      </c>
      <c r="AK69">
        <f>SUMIF(ConfirmedRaw!$B:$B,$A69,ConfirmedRaw!AN:AN)</f>
        <v>0</v>
      </c>
      <c r="AL69">
        <f>SUMIF(ConfirmedRaw!$B:$B,$A69,ConfirmedRaw!AO:AO)</f>
        <v>0</v>
      </c>
      <c r="AM69">
        <f>SUMIF(ConfirmedRaw!$B:$B,$A69,ConfirmedRaw!AP:AP)</f>
        <v>0</v>
      </c>
      <c r="AN69">
        <f>SUMIF(ConfirmedRaw!$B:$B,$A69,ConfirmedRaw!AQ:AQ)</f>
        <v>0</v>
      </c>
      <c r="AO69">
        <f>SUMIF(ConfirmedRaw!$B:$B,$A69,ConfirmedRaw!AR:AR)</f>
        <v>0</v>
      </c>
      <c r="AP69">
        <f>SUMIF(ConfirmedRaw!$B:$B,$A69,ConfirmedRaw!AS:AS)</f>
        <v>0</v>
      </c>
      <c r="AQ69">
        <f>SUMIF(ConfirmedRaw!$B:$B,$A69,ConfirmedRaw!AT:AT)</f>
        <v>0</v>
      </c>
      <c r="AR69">
        <f>SUMIF(ConfirmedRaw!$B:$B,$A69,ConfirmedRaw!AU:AU)</f>
        <v>2</v>
      </c>
      <c r="AS69">
        <f>SUMIF(ConfirmedRaw!$B:$B,$A69,ConfirmedRaw!AV:AV)</f>
        <v>2</v>
      </c>
      <c r="AT69">
        <f>SUMIF(ConfirmedRaw!$B:$B,$A69,ConfirmedRaw!AW:AW)</f>
        <v>2</v>
      </c>
      <c r="AU69">
        <f>SUMIF(ConfirmedRaw!$B:$B,$A69,ConfirmedRaw!AX:AX)</f>
        <v>4</v>
      </c>
      <c r="AV69">
        <f>SUMIF(ConfirmedRaw!$B:$B,$A69,ConfirmedRaw!AY:AY)</f>
        <v>7</v>
      </c>
      <c r="AW69">
        <f>SUMIF(ConfirmedRaw!$B:$B,$A69,ConfirmedRaw!AZ:AZ)</f>
        <v>9</v>
      </c>
      <c r="AX69">
        <f>SUMIF(ConfirmedRaw!$B:$B,$A69,ConfirmedRaw!BA:BA)</f>
        <v>9</v>
      </c>
      <c r="AY69">
        <f>SUMIF(ConfirmedRaw!$B:$B,$A69,ConfirmedRaw!BB:BB)</f>
        <v>13</v>
      </c>
      <c r="AZ69">
        <f>SUMIF(ConfirmedRaw!$B:$B,$A69,ConfirmedRaw!BC:BC)</f>
        <v>13</v>
      </c>
      <c r="BA69">
        <f>SUMIF(ConfirmedRaw!$B:$B,$A69,ConfirmedRaw!BD:BD)</f>
        <v>19</v>
      </c>
      <c r="BB69">
        <f>SUMIF(ConfirmedRaw!$B:$B,$A69,ConfirmedRaw!BE:BE)</f>
        <v>30</v>
      </c>
      <c r="BC69">
        <f>SUMIF(ConfirmedRaw!$B:$B,$A69,ConfirmedRaw!BF:BF)</f>
        <v>32</v>
      </c>
      <c r="BD69">
        <f>SUMIF(ConfirmedRaw!$B:$B,$A69,ConfirmedRaw!BG:BG)</f>
        <v>39</v>
      </c>
      <c r="BE69">
        <f>SUMIF(ConfirmedRaw!$B:$B,$A69,ConfirmedRaw!BH:BH)</f>
        <v>50</v>
      </c>
      <c r="BF69">
        <f>SUMIF(ConfirmedRaw!$B:$B,$A69,ConfirmedRaw!BI:BI)</f>
        <v>58</v>
      </c>
      <c r="BG69">
        <f>SUMIF(ConfirmedRaw!$B:$B,$A69,ConfirmedRaw!BJ:BJ)</f>
        <v>73</v>
      </c>
      <c r="BH69">
        <f>SUMIF(ConfirmedRaw!$B:$B,$A69,ConfirmedRaw!BK:BK)</f>
        <v>85</v>
      </c>
      <c r="BI69">
        <f>SUMIF(ConfirmedRaw!$B:$B,$A69,ConfirmedRaw!BL:BL)</f>
        <v>0</v>
      </c>
      <c r="BJ69">
        <f>SUMIF(ConfirmedRaw!$B:$B,$A69,ConfirmedRaw!BM:BM)</f>
        <v>0</v>
      </c>
      <c r="BK69">
        <f>SUMIF(ConfirmedRaw!$B:$B,$A69,ConfirmedRaw!BN:BN)</f>
        <v>0</v>
      </c>
      <c r="BL69">
        <f>SUMIF(ConfirmedRaw!$B:$B,$A69,ConfirmedRaw!BO:BO)</f>
        <v>0</v>
      </c>
      <c r="BM69">
        <f>SUMIF(ConfirmedRaw!$B:$B,$A69,ConfirmedRaw!BP:BP)</f>
        <v>0</v>
      </c>
      <c r="BN69">
        <f>SUMIF(ConfirmedRaw!$B:$B,$A69,ConfirmedRaw!BQ:BQ)</f>
        <v>0</v>
      </c>
      <c r="BO69">
        <f>SUMIF(ConfirmedRaw!$B:$B,$A69,ConfirmedRaw!BR:BR)</f>
        <v>0</v>
      </c>
      <c r="BP69">
        <f>SUMIF(ConfirmedRaw!$B:$B,$A69,ConfirmedRaw!BS:BS)</f>
        <v>0</v>
      </c>
      <c r="BQ69">
        <f>SUMIF(ConfirmedRaw!$B:$B,$A69,ConfirmedRaw!BT:BT)</f>
        <v>0</v>
      </c>
      <c r="BR69">
        <f>SUMIF(ConfirmedRaw!$B:$B,$A69,ConfirmedRaw!BU:BU)</f>
        <v>0</v>
      </c>
      <c r="BS69">
        <f>SUMIF(ConfirmedRaw!$B:$B,$A69,ConfirmedRaw!BV:BV)</f>
        <v>0</v>
      </c>
      <c r="BT69">
        <f>SUMIF(ConfirmedRaw!$B:$B,$A69,ConfirmedRaw!BW:BW)</f>
        <v>0</v>
      </c>
    </row>
    <row r="70" spans="1:72" ht="15" thickBot="1" x14ac:dyDescent="0.35">
      <c r="A70" s="4" t="s">
        <v>71</v>
      </c>
      <c r="B70">
        <f>SUMIF(ConfirmedRaw!$B:$B,$A70,ConfirmedRaw!E:E)</f>
        <v>0</v>
      </c>
      <c r="C70">
        <f>SUMIF(ConfirmedRaw!$B:$B,$A70,ConfirmedRaw!F:F)</f>
        <v>0</v>
      </c>
      <c r="D70">
        <f>SUMIF(ConfirmedRaw!$B:$B,$A70,ConfirmedRaw!G:G)</f>
        <v>0</v>
      </c>
      <c r="E70">
        <f>SUMIF(ConfirmedRaw!$B:$B,$A70,ConfirmedRaw!H:H)</f>
        <v>0</v>
      </c>
      <c r="F70">
        <f>SUMIF(ConfirmedRaw!$B:$B,$A70,ConfirmedRaw!I:I)</f>
        <v>0</v>
      </c>
      <c r="G70">
        <f>SUMIF(ConfirmedRaw!$B:$B,$A70,ConfirmedRaw!J:J)</f>
        <v>0</v>
      </c>
      <c r="H70">
        <f>SUMIF(ConfirmedRaw!$B:$B,$A70,ConfirmedRaw!K:K)</f>
        <v>0</v>
      </c>
      <c r="I70">
        <f>SUMIF(ConfirmedRaw!$B:$B,$A70,ConfirmedRaw!L:L)</f>
        <v>0</v>
      </c>
      <c r="J70">
        <f>SUMIF(ConfirmedRaw!$B:$B,$A70,ConfirmedRaw!M:M)</f>
        <v>0</v>
      </c>
      <c r="K70">
        <f>SUMIF(ConfirmedRaw!$B:$B,$A70,ConfirmedRaw!N:N)</f>
        <v>0</v>
      </c>
      <c r="L70">
        <f>SUMIF(ConfirmedRaw!$B:$B,$A70,ConfirmedRaw!O:O)</f>
        <v>0</v>
      </c>
      <c r="M70">
        <f>SUMIF(ConfirmedRaw!$B:$B,$A70,ConfirmedRaw!P:P)</f>
        <v>0</v>
      </c>
      <c r="N70">
        <f>SUMIF(ConfirmedRaw!$B:$B,$A70,ConfirmedRaw!Q:Q)</f>
        <v>0</v>
      </c>
      <c r="O70">
        <f>SUMIF(ConfirmedRaw!$B:$B,$A70,ConfirmedRaw!R:R)</f>
        <v>0</v>
      </c>
      <c r="P70">
        <f>SUMIF(ConfirmedRaw!$B:$B,$A70,ConfirmedRaw!S:S)</f>
        <v>0</v>
      </c>
      <c r="Q70">
        <f>SUMIF(ConfirmedRaw!$B:$B,$A70,ConfirmedRaw!T:T)</f>
        <v>0</v>
      </c>
      <c r="R70">
        <f>SUMIF(ConfirmedRaw!$B:$B,$A70,ConfirmedRaw!U:U)</f>
        <v>0</v>
      </c>
      <c r="S70">
        <f>SUMIF(ConfirmedRaw!$B:$B,$A70,ConfirmedRaw!V:V)</f>
        <v>0</v>
      </c>
      <c r="T70">
        <f>SUMIF(ConfirmedRaw!$B:$B,$A70,ConfirmedRaw!W:W)</f>
        <v>0</v>
      </c>
      <c r="U70">
        <f>SUMIF(ConfirmedRaw!$B:$B,$A70,ConfirmedRaw!X:X)</f>
        <v>0</v>
      </c>
      <c r="V70">
        <f>SUMIF(ConfirmedRaw!$B:$B,$A70,ConfirmedRaw!Y:Y)</f>
        <v>0</v>
      </c>
      <c r="W70">
        <f>SUMIF(ConfirmedRaw!$B:$B,$A70,ConfirmedRaw!Z:Z)</f>
        <v>0</v>
      </c>
      <c r="X70">
        <f>SUMIF(ConfirmedRaw!$B:$B,$A70,ConfirmedRaw!AA:AA)</f>
        <v>0</v>
      </c>
      <c r="Y70">
        <f>SUMIF(ConfirmedRaw!$B:$B,$A70,ConfirmedRaw!AB:AB)</f>
        <v>0</v>
      </c>
      <c r="Z70">
        <f>SUMIF(ConfirmedRaw!$B:$B,$A70,ConfirmedRaw!AC:AC)</f>
        <v>0</v>
      </c>
      <c r="AA70">
        <f>SUMIF(ConfirmedRaw!$B:$B,$A70,ConfirmedRaw!AD:AD)</f>
        <v>0</v>
      </c>
      <c r="AB70">
        <f>SUMIF(ConfirmedRaw!$B:$B,$A70,ConfirmedRaw!AE:AE)</f>
        <v>0</v>
      </c>
      <c r="AC70">
        <f>SUMIF(ConfirmedRaw!$B:$B,$A70,ConfirmedRaw!AF:AF)</f>
        <v>0</v>
      </c>
      <c r="AD70">
        <f>SUMIF(ConfirmedRaw!$B:$B,$A70,ConfirmedRaw!AG:AG)</f>
        <v>0</v>
      </c>
      <c r="AE70">
        <f>SUMIF(ConfirmedRaw!$B:$B,$A70,ConfirmedRaw!AH:AH)</f>
        <v>0</v>
      </c>
      <c r="AF70">
        <f>SUMIF(ConfirmedRaw!$B:$B,$A70,ConfirmedRaw!AI:AI)</f>
        <v>0</v>
      </c>
      <c r="AG70">
        <f>SUMIF(ConfirmedRaw!$B:$B,$A70,ConfirmedRaw!AJ:AJ)</f>
        <v>0</v>
      </c>
      <c r="AH70">
        <f>SUMIF(ConfirmedRaw!$B:$B,$A70,ConfirmedRaw!AK:AK)</f>
        <v>0</v>
      </c>
      <c r="AI70">
        <f>SUMIF(ConfirmedRaw!$B:$B,$A70,ConfirmedRaw!AL:AL)</f>
        <v>2</v>
      </c>
      <c r="AJ70">
        <f>SUMIF(ConfirmedRaw!$B:$B,$A70,ConfirmedRaw!AM:AM)</f>
        <v>2</v>
      </c>
      <c r="AK70">
        <f>SUMIF(ConfirmedRaw!$B:$B,$A70,ConfirmedRaw!AN:AN)</f>
        <v>4</v>
      </c>
      <c r="AL70">
        <f>SUMIF(ConfirmedRaw!$B:$B,$A70,ConfirmedRaw!AO:AO)</f>
        <v>4</v>
      </c>
      <c r="AM70">
        <f>SUMIF(ConfirmedRaw!$B:$B,$A70,ConfirmedRaw!AP:AP)</f>
        <v>4</v>
      </c>
      <c r="AN70">
        <f>SUMIF(ConfirmedRaw!$B:$B,$A70,ConfirmedRaw!AQ:AQ)</f>
        <v>6</v>
      </c>
      <c r="AO70">
        <f>SUMIF(ConfirmedRaw!$B:$B,$A70,ConfirmedRaw!AR:AR)</f>
        <v>6</v>
      </c>
      <c r="AP70">
        <f>SUMIF(ConfirmedRaw!$B:$B,$A70,ConfirmedRaw!AS:AS)</f>
        <v>6</v>
      </c>
      <c r="AQ70">
        <f>SUMIF(ConfirmedRaw!$B:$B,$A70,ConfirmedRaw!AT:AT)</f>
        <v>12</v>
      </c>
      <c r="AR70">
        <f>SUMIF(ConfirmedRaw!$B:$B,$A70,ConfirmedRaw!AU:AU)</f>
        <v>15</v>
      </c>
      <c r="AS70">
        <f>SUMIF(ConfirmedRaw!$B:$B,$A70,ConfirmedRaw!AV:AV)</f>
        <v>16</v>
      </c>
      <c r="AT70">
        <f>SUMIF(ConfirmedRaw!$B:$B,$A70,ConfirmedRaw!AW:AW)</f>
        <v>16</v>
      </c>
      <c r="AU70">
        <f>SUMIF(ConfirmedRaw!$B:$B,$A70,ConfirmedRaw!AX:AX)</f>
        <v>16</v>
      </c>
      <c r="AV70">
        <f>SUMIF(ConfirmedRaw!$B:$B,$A70,ConfirmedRaw!AY:AY)</f>
        <v>16</v>
      </c>
      <c r="AW70">
        <f>SUMIF(ConfirmedRaw!$B:$B,$A70,ConfirmedRaw!AZ:AZ)</f>
        <v>16</v>
      </c>
      <c r="AX70">
        <f>SUMIF(ConfirmedRaw!$B:$B,$A70,ConfirmedRaw!BA:BA)</f>
        <v>18</v>
      </c>
      <c r="AY70">
        <f>SUMIF(ConfirmedRaw!$B:$B,$A70,ConfirmedRaw!BB:BB)</f>
        <v>18</v>
      </c>
      <c r="AZ70">
        <f>SUMIF(ConfirmedRaw!$B:$B,$A70,ConfirmedRaw!BC:BC)</f>
        <v>18</v>
      </c>
      <c r="BA70">
        <f>SUMIF(ConfirmedRaw!$B:$B,$A70,ConfirmedRaw!BD:BD)</f>
        <v>19</v>
      </c>
      <c r="BB70">
        <f>SUMIF(ConfirmedRaw!$B:$B,$A70,ConfirmedRaw!BE:BE)</f>
        <v>19</v>
      </c>
      <c r="BC70">
        <f>SUMIF(ConfirmedRaw!$B:$B,$A70,ConfirmedRaw!BF:BF)</f>
        <v>22</v>
      </c>
      <c r="BD70">
        <f>SUMIF(ConfirmedRaw!$B:$B,$A70,ConfirmedRaw!BG:BG)</f>
        <v>22</v>
      </c>
      <c r="BE70">
        <f>SUMIF(ConfirmedRaw!$B:$B,$A70,ConfirmedRaw!BH:BH)</f>
        <v>24</v>
      </c>
      <c r="BF70">
        <f>SUMIF(ConfirmedRaw!$B:$B,$A70,ConfirmedRaw!BI:BI)</f>
        <v>39</v>
      </c>
      <c r="BG70">
        <f>SUMIF(ConfirmedRaw!$B:$B,$A70,ConfirmedRaw!BJ:BJ)</f>
        <v>48</v>
      </c>
      <c r="BH70">
        <f>SUMIF(ConfirmedRaw!$B:$B,$A70,ConfirmedRaw!BK:BK)</f>
        <v>48</v>
      </c>
      <c r="BI70">
        <f>SUMIF(ConfirmedRaw!$B:$B,$A70,ConfirmedRaw!BL:BL)</f>
        <v>0</v>
      </c>
      <c r="BJ70">
        <f>SUMIF(ConfirmedRaw!$B:$B,$A70,ConfirmedRaw!BM:BM)</f>
        <v>0</v>
      </c>
      <c r="BK70">
        <f>SUMIF(ConfirmedRaw!$B:$B,$A70,ConfirmedRaw!BN:BN)</f>
        <v>0</v>
      </c>
      <c r="BL70">
        <f>SUMIF(ConfirmedRaw!$B:$B,$A70,ConfirmedRaw!BO:BO)</f>
        <v>0</v>
      </c>
      <c r="BM70">
        <f>SUMIF(ConfirmedRaw!$B:$B,$A70,ConfirmedRaw!BP:BP)</f>
        <v>0</v>
      </c>
      <c r="BN70">
        <f>SUMIF(ConfirmedRaw!$B:$B,$A70,ConfirmedRaw!BQ:BQ)</f>
        <v>0</v>
      </c>
      <c r="BO70">
        <f>SUMIF(ConfirmedRaw!$B:$B,$A70,ConfirmedRaw!BR:BR)</f>
        <v>0</v>
      </c>
      <c r="BP70">
        <f>SUMIF(ConfirmedRaw!$B:$B,$A70,ConfirmedRaw!BS:BS)</f>
        <v>0</v>
      </c>
      <c r="BQ70">
        <f>SUMIF(ConfirmedRaw!$B:$B,$A70,ConfirmedRaw!BT:BT)</f>
        <v>0</v>
      </c>
      <c r="BR70">
        <f>SUMIF(ConfirmedRaw!$B:$B,$A70,ConfirmedRaw!BU:BU)</f>
        <v>0</v>
      </c>
      <c r="BS70">
        <f>SUMIF(ConfirmedRaw!$B:$B,$A70,ConfirmedRaw!BV:BV)</f>
        <v>0</v>
      </c>
      <c r="BT70">
        <f>SUMIF(ConfirmedRaw!$B:$B,$A70,ConfirmedRaw!BW:BW)</f>
        <v>0</v>
      </c>
    </row>
    <row r="71" spans="1:72" ht="15" thickBot="1" x14ac:dyDescent="0.35">
      <c r="A71" s="4" t="s">
        <v>103</v>
      </c>
      <c r="B71">
        <f>SUMIF(ConfirmedRaw!$B:$B,$A71,ConfirmedRaw!E:E)</f>
        <v>0</v>
      </c>
      <c r="C71">
        <f>SUMIF(ConfirmedRaw!$B:$B,$A71,ConfirmedRaw!F:F)</f>
        <v>0</v>
      </c>
      <c r="D71">
        <f>SUMIF(ConfirmedRaw!$B:$B,$A71,ConfirmedRaw!G:G)</f>
        <v>0</v>
      </c>
      <c r="E71">
        <f>SUMIF(ConfirmedRaw!$B:$B,$A71,ConfirmedRaw!H:H)</f>
        <v>0</v>
      </c>
      <c r="F71">
        <f>SUMIF(ConfirmedRaw!$B:$B,$A71,ConfirmedRaw!I:I)</f>
        <v>0</v>
      </c>
      <c r="G71">
        <f>SUMIF(ConfirmedRaw!$B:$B,$A71,ConfirmedRaw!J:J)</f>
        <v>0</v>
      </c>
      <c r="H71">
        <f>SUMIF(ConfirmedRaw!$B:$B,$A71,ConfirmedRaw!K:K)</f>
        <v>0</v>
      </c>
      <c r="I71">
        <f>SUMIF(ConfirmedRaw!$B:$B,$A71,ConfirmedRaw!L:L)</f>
        <v>0</v>
      </c>
      <c r="J71">
        <f>SUMIF(ConfirmedRaw!$B:$B,$A71,ConfirmedRaw!M:M)</f>
        <v>0</v>
      </c>
      <c r="K71">
        <f>SUMIF(ConfirmedRaw!$B:$B,$A71,ConfirmedRaw!N:N)</f>
        <v>0</v>
      </c>
      <c r="L71">
        <f>SUMIF(ConfirmedRaw!$B:$B,$A71,ConfirmedRaw!O:O)</f>
        <v>0</v>
      </c>
      <c r="M71">
        <f>SUMIF(ConfirmedRaw!$B:$B,$A71,ConfirmedRaw!P:P)</f>
        <v>0</v>
      </c>
      <c r="N71">
        <f>SUMIF(ConfirmedRaw!$B:$B,$A71,ConfirmedRaw!Q:Q)</f>
        <v>0</v>
      </c>
      <c r="O71">
        <f>SUMIF(ConfirmedRaw!$B:$B,$A71,ConfirmedRaw!R:R)</f>
        <v>0</v>
      </c>
      <c r="P71">
        <f>SUMIF(ConfirmedRaw!$B:$B,$A71,ConfirmedRaw!S:S)</f>
        <v>0</v>
      </c>
      <c r="Q71">
        <f>SUMIF(ConfirmedRaw!$B:$B,$A71,ConfirmedRaw!T:T)</f>
        <v>0</v>
      </c>
      <c r="R71">
        <f>SUMIF(ConfirmedRaw!$B:$B,$A71,ConfirmedRaw!U:U)</f>
        <v>0</v>
      </c>
      <c r="S71">
        <f>SUMIF(ConfirmedRaw!$B:$B,$A71,ConfirmedRaw!V:V)</f>
        <v>0</v>
      </c>
      <c r="T71">
        <f>SUMIF(ConfirmedRaw!$B:$B,$A71,ConfirmedRaw!W:W)</f>
        <v>0</v>
      </c>
      <c r="U71">
        <f>SUMIF(ConfirmedRaw!$B:$B,$A71,ConfirmedRaw!X:X)</f>
        <v>0</v>
      </c>
      <c r="V71">
        <f>SUMIF(ConfirmedRaw!$B:$B,$A71,ConfirmedRaw!Y:Y)</f>
        <v>0</v>
      </c>
      <c r="W71">
        <f>SUMIF(ConfirmedRaw!$B:$B,$A71,ConfirmedRaw!Z:Z)</f>
        <v>0</v>
      </c>
      <c r="X71">
        <f>SUMIF(ConfirmedRaw!$B:$B,$A71,ConfirmedRaw!AA:AA)</f>
        <v>0</v>
      </c>
      <c r="Y71">
        <f>SUMIF(ConfirmedRaw!$B:$B,$A71,ConfirmedRaw!AB:AB)</f>
        <v>0</v>
      </c>
      <c r="Z71">
        <f>SUMIF(ConfirmedRaw!$B:$B,$A71,ConfirmedRaw!AC:AC)</f>
        <v>0</v>
      </c>
      <c r="AA71">
        <f>SUMIF(ConfirmedRaw!$B:$B,$A71,ConfirmedRaw!AD:AD)</f>
        <v>0</v>
      </c>
      <c r="AB71">
        <f>SUMIF(ConfirmedRaw!$B:$B,$A71,ConfirmedRaw!AE:AE)</f>
        <v>0</v>
      </c>
      <c r="AC71">
        <f>SUMIF(ConfirmedRaw!$B:$B,$A71,ConfirmedRaw!AF:AF)</f>
        <v>0</v>
      </c>
      <c r="AD71">
        <f>SUMIF(ConfirmedRaw!$B:$B,$A71,ConfirmedRaw!AG:AG)</f>
        <v>0</v>
      </c>
      <c r="AE71">
        <f>SUMIF(ConfirmedRaw!$B:$B,$A71,ConfirmedRaw!AH:AH)</f>
        <v>0</v>
      </c>
      <c r="AF71">
        <f>SUMIF(ConfirmedRaw!$B:$B,$A71,ConfirmedRaw!AI:AI)</f>
        <v>0</v>
      </c>
      <c r="AG71">
        <f>SUMIF(ConfirmedRaw!$B:$B,$A71,ConfirmedRaw!AJ:AJ)</f>
        <v>0</v>
      </c>
      <c r="AH71">
        <f>SUMIF(ConfirmedRaw!$B:$B,$A71,ConfirmedRaw!AK:AK)</f>
        <v>0</v>
      </c>
      <c r="AI71">
        <f>SUMIF(ConfirmedRaw!$B:$B,$A71,ConfirmedRaw!AL:AL)</f>
        <v>0</v>
      </c>
      <c r="AJ71">
        <f>SUMIF(ConfirmedRaw!$B:$B,$A71,ConfirmedRaw!AM:AM)</f>
        <v>0</v>
      </c>
      <c r="AK71">
        <f>SUMIF(ConfirmedRaw!$B:$B,$A71,ConfirmedRaw!AN:AN)</f>
        <v>0</v>
      </c>
      <c r="AL71">
        <f>SUMIF(ConfirmedRaw!$B:$B,$A71,ConfirmedRaw!AO:AO)</f>
        <v>0</v>
      </c>
      <c r="AM71">
        <f>SUMIF(ConfirmedRaw!$B:$B,$A71,ConfirmedRaw!AP:AP)</f>
        <v>0</v>
      </c>
      <c r="AN71">
        <f>SUMIF(ConfirmedRaw!$B:$B,$A71,ConfirmedRaw!AQ:AQ)</f>
        <v>0</v>
      </c>
      <c r="AO71">
        <f>SUMIF(ConfirmedRaw!$B:$B,$A71,ConfirmedRaw!AR:AR)</f>
        <v>6</v>
      </c>
      <c r="AP71">
        <f>SUMIF(ConfirmedRaw!$B:$B,$A71,ConfirmedRaw!AS:AS)</f>
        <v>6</v>
      </c>
      <c r="AQ71">
        <f>SUMIF(ConfirmedRaw!$B:$B,$A71,ConfirmedRaw!AT:AT)</f>
        <v>7</v>
      </c>
      <c r="AR71">
        <f>SUMIF(ConfirmedRaw!$B:$B,$A71,ConfirmedRaw!AU:AU)</f>
        <v>10</v>
      </c>
      <c r="AS71">
        <f>SUMIF(ConfirmedRaw!$B:$B,$A71,ConfirmedRaw!AV:AV)</f>
        <v>13</v>
      </c>
      <c r="AT71">
        <f>SUMIF(ConfirmedRaw!$B:$B,$A71,ConfirmedRaw!AW:AW)</f>
        <v>13</v>
      </c>
      <c r="AU71">
        <f>SUMIF(ConfirmedRaw!$B:$B,$A71,ConfirmedRaw!AX:AX)</f>
        <v>13</v>
      </c>
      <c r="AV71">
        <f>SUMIF(ConfirmedRaw!$B:$B,$A71,ConfirmedRaw!AY:AY)</f>
        <v>14</v>
      </c>
      <c r="AW71">
        <f>SUMIF(ConfirmedRaw!$B:$B,$A71,ConfirmedRaw!AZ:AZ)</f>
        <v>15</v>
      </c>
      <c r="AX71">
        <f>SUMIF(ConfirmedRaw!$B:$B,$A71,ConfirmedRaw!BA:BA)</f>
        <v>15</v>
      </c>
      <c r="AY71">
        <f>SUMIF(ConfirmedRaw!$B:$B,$A71,ConfirmedRaw!BB:BB)</f>
        <v>17</v>
      </c>
      <c r="AZ71">
        <f>SUMIF(ConfirmedRaw!$B:$B,$A71,ConfirmedRaw!BC:BC)</f>
        <v>17</v>
      </c>
      <c r="BA71">
        <f>SUMIF(ConfirmedRaw!$B:$B,$A71,ConfirmedRaw!BD:BD)</f>
        <v>17</v>
      </c>
      <c r="BB71">
        <f>SUMIF(ConfirmedRaw!$B:$B,$A71,ConfirmedRaw!BE:BE)</f>
        <v>28</v>
      </c>
      <c r="BC71">
        <f>SUMIF(ConfirmedRaw!$B:$B,$A71,ConfirmedRaw!BF:BF)</f>
        <v>28</v>
      </c>
      <c r="BD71">
        <f>SUMIF(ConfirmedRaw!$B:$B,$A71,ConfirmedRaw!BG:BG)</f>
        <v>37</v>
      </c>
      <c r="BE71">
        <f>SUMIF(ConfirmedRaw!$B:$B,$A71,ConfirmedRaw!BH:BH)</f>
        <v>58</v>
      </c>
      <c r="BF71">
        <f>SUMIF(ConfirmedRaw!$B:$B,$A71,ConfirmedRaw!BI:BI)</f>
        <v>111</v>
      </c>
      <c r="BG71">
        <f>SUMIF(ConfirmedRaw!$B:$B,$A71,ConfirmedRaw!BJ:BJ)</f>
        <v>199</v>
      </c>
      <c r="BH71">
        <f>SUMIF(ConfirmedRaw!$B:$B,$A71,ConfirmedRaw!BK:BK)</f>
        <v>367</v>
      </c>
      <c r="BI71">
        <f>SUMIF(ConfirmedRaw!$B:$B,$A71,ConfirmedRaw!BL:BL)</f>
        <v>0</v>
      </c>
      <c r="BJ71">
        <f>SUMIF(ConfirmedRaw!$B:$B,$A71,ConfirmedRaw!BM:BM)</f>
        <v>0</v>
      </c>
      <c r="BK71">
        <f>SUMIF(ConfirmedRaw!$B:$B,$A71,ConfirmedRaw!BN:BN)</f>
        <v>0</v>
      </c>
      <c r="BL71">
        <f>SUMIF(ConfirmedRaw!$B:$B,$A71,ConfirmedRaw!BO:BO)</f>
        <v>0</v>
      </c>
      <c r="BM71">
        <f>SUMIF(ConfirmedRaw!$B:$B,$A71,ConfirmedRaw!BP:BP)</f>
        <v>0</v>
      </c>
      <c r="BN71">
        <f>SUMIF(ConfirmedRaw!$B:$B,$A71,ConfirmedRaw!BQ:BQ)</f>
        <v>0</v>
      </c>
      <c r="BO71">
        <f>SUMIF(ConfirmedRaw!$B:$B,$A71,ConfirmedRaw!BR:BR)</f>
        <v>0</v>
      </c>
      <c r="BP71">
        <f>SUMIF(ConfirmedRaw!$B:$B,$A71,ConfirmedRaw!BS:BS)</f>
        <v>0</v>
      </c>
      <c r="BQ71">
        <f>SUMIF(ConfirmedRaw!$B:$B,$A71,ConfirmedRaw!BT:BT)</f>
        <v>0</v>
      </c>
      <c r="BR71">
        <f>SUMIF(ConfirmedRaw!$B:$B,$A71,ConfirmedRaw!BU:BU)</f>
        <v>0</v>
      </c>
      <c r="BS71">
        <f>SUMIF(ConfirmedRaw!$B:$B,$A71,ConfirmedRaw!BV:BV)</f>
        <v>0</v>
      </c>
      <c r="BT71">
        <f>SUMIF(ConfirmedRaw!$B:$B,$A71,ConfirmedRaw!BW:BW)</f>
        <v>0</v>
      </c>
    </row>
    <row r="72" spans="1:72" ht="15" thickBot="1" x14ac:dyDescent="0.35">
      <c r="A72" s="4" t="s">
        <v>111</v>
      </c>
      <c r="B72">
        <f>SUMIF(ConfirmedRaw!$B:$B,$A72,ConfirmedRaw!E:E)</f>
        <v>0</v>
      </c>
      <c r="C72">
        <f>SUMIF(ConfirmedRaw!$B:$B,$A72,ConfirmedRaw!F:F)</f>
        <v>0</v>
      </c>
      <c r="D72">
        <f>SUMIF(ConfirmedRaw!$B:$B,$A72,ConfirmedRaw!G:G)</f>
        <v>0</v>
      </c>
      <c r="E72">
        <f>SUMIF(ConfirmedRaw!$B:$B,$A72,ConfirmedRaw!H:H)</f>
        <v>0</v>
      </c>
      <c r="F72">
        <f>SUMIF(ConfirmedRaw!$B:$B,$A72,ConfirmedRaw!I:I)</f>
        <v>0</v>
      </c>
      <c r="G72">
        <f>SUMIF(ConfirmedRaw!$B:$B,$A72,ConfirmedRaw!J:J)</f>
        <v>0</v>
      </c>
      <c r="H72">
        <f>SUMIF(ConfirmedRaw!$B:$B,$A72,ConfirmedRaw!K:K)</f>
        <v>0</v>
      </c>
      <c r="I72">
        <f>SUMIF(ConfirmedRaw!$B:$B,$A72,ConfirmedRaw!L:L)</f>
        <v>0</v>
      </c>
      <c r="J72">
        <f>SUMIF(ConfirmedRaw!$B:$B,$A72,ConfirmedRaw!M:M)</f>
        <v>0</v>
      </c>
      <c r="K72">
        <f>SUMIF(ConfirmedRaw!$B:$B,$A72,ConfirmedRaw!N:N)</f>
        <v>0</v>
      </c>
      <c r="L72">
        <f>SUMIF(ConfirmedRaw!$B:$B,$A72,ConfirmedRaw!O:O)</f>
        <v>0</v>
      </c>
      <c r="M72">
        <f>SUMIF(ConfirmedRaw!$B:$B,$A72,ConfirmedRaw!P:P)</f>
        <v>0</v>
      </c>
      <c r="N72">
        <f>SUMIF(ConfirmedRaw!$B:$B,$A72,ConfirmedRaw!Q:Q)</f>
        <v>0</v>
      </c>
      <c r="O72">
        <f>SUMIF(ConfirmedRaw!$B:$B,$A72,ConfirmedRaw!R:R)</f>
        <v>0</v>
      </c>
      <c r="P72">
        <f>SUMIF(ConfirmedRaw!$B:$B,$A72,ConfirmedRaw!S:S)</f>
        <v>0</v>
      </c>
      <c r="Q72">
        <f>SUMIF(ConfirmedRaw!$B:$B,$A72,ConfirmedRaw!T:T)</f>
        <v>0</v>
      </c>
      <c r="R72">
        <f>SUMIF(ConfirmedRaw!$B:$B,$A72,ConfirmedRaw!U:U)</f>
        <v>0</v>
      </c>
      <c r="S72">
        <f>SUMIF(ConfirmedRaw!$B:$B,$A72,ConfirmedRaw!V:V)</f>
        <v>0</v>
      </c>
      <c r="T72">
        <f>SUMIF(ConfirmedRaw!$B:$B,$A72,ConfirmedRaw!W:W)</f>
        <v>0</v>
      </c>
      <c r="U72">
        <f>SUMIF(ConfirmedRaw!$B:$B,$A72,ConfirmedRaw!X:X)</f>
        <v>0</v>
      </c>
      <c r="V72">
        <f>SUMIF(ConfirmedRaw!$B:$B,$A72,ConfirmedRaw!Y:Y)</f>
        <v>0</v>
      </c>
      <c r="W72">
        <f>SUMIF(ConfirmedRaw!$B:$B,$A72,ConfirmedRaw!Z:Z)</f>
        <v>0</v>
      </c>
      <c r="X72">
        <f>SUMIF(ConfirmedRaw!$B:$B,$A72,ConfirmedRaw!AA:AA)</f>
        <v>0</v>
      </c>
      <c r="Y72">
        <f>SUMIF(ConfirmedRaw!$B:$B,$A72,ConfirmedRaw!AB:AB)</f>
        <v>0</v>
      </c>
      <c r="Z72">
        <f>SUMIF(ConfirmedRaw!$B:$B,$A72,ConfirmedRaw!AC:AC)</f>
        <v>0</v>
      </c>
      <c r="AA72">
        <f>SUMIF(ConfirmedRaw!$B:$B,$A72,ConfirmedRaw!AD:AD)</f>
        <v>0</v>
      </c>
      <c r="AB72">
        <f>SUMIF(ConfirmedRaw!$B:$B,$A72,ConfirmedRaw!AE:AE)</f>
        <v>0</v>
      </c>
      <c r="AC72">
        <f>SUMIF(ConfirmedRaw!$B:$B,$A72,ConfirmedRaw!AF:AF)</f>
        <v>0</v>
      </c>
      <c r="AD72">
        <f>SUMIF(ConfirmedRaw!$B:$B,$A72,ConfirmedRaw!AG:AG)</f>
        <v>0</v>
      </c>
      <c r="AE72">
        <f>SUMIF(ConfirmedRaw!$B:$B,$A72,ConfirmedRaw!AH:AH)</f>
        <v>0</v>
      </c>
      <c r="AF72">
        <f>SUMIF(ConfirmedRaw!$B:$B,$A72,ConfirmedRaw!AI:AI)</f>
        <v>0</v>
      </c>
      <c r="AG72">
        <f>SUMIF(ConfirmedRaw!$B:$B,$A72,ConfirmedRaw!AJ:AJ)</f>
        <v>0</v>
      </c>
      <c r="AH72">
        <f>SUMIF(ConfirmedRaw!$B:$B,$A72,ConfirmedRaw!AK:AK)</f>
        <v>0</v>
      </c>
      <c r="AI72">
        <f>SUMIF(ConfirmedRaw!$B:$B,$A72,ConfirmedRaw!AL:AL)</f>
        <v>0</v>
      </c>
      <c r="AJ72">
        <f>SUMIF(ConfirmedRaw!$B:$B,$A72,ConfirmedRaw!AM:AM)</f>
        <v>0</v>
      </c>
      <c r="AK72">
        <f>SUMIF(ConfirmedRaw!$B:$B,$A72,ConfirmedRaw!AN:AN)</f>
        <v>0</v>
      </c>
      <c r="AL72">
        <f>SUMIF(ConfirmedRaw!$B:$B,$A72,ConfirmedRaw!AO:AO)</f>
        <v>0</v>
      </c>
      <c r="AM72">
        <f>SUMIF(ConfirmedRaw!$B:$B,$A72,ConfirmedRaw!AP:AP)</f>
        <v>0</v>
      </c>
      <c r="AN72">
        <f>SUMIF(ConfirmedRaw!$B:$B,$A72,ConfirmedRaw!AQ:AQ)</f>
        <v>0</v>
      </c>
      <c r="AO72">
        <f>SUMIF(ConfirmedRaw!$B:$B,$A72,ConfirmedRaw!AR:AR)</f>
        <v>0</v>
      </c>
      <c r="AP72">
        <f>SUMIF(ConfirmedRaw!$B:$B,$A72,ConfirmedRaw!AS:AS)</f>
        <v>1</v>
      </c>
      <c r="AQ72">
        <f>SUMIF(ConfirmedRaw!$B:$B,$A72,ConfirmedRaw!AT:AT)</f>
        <v>1</v>
      </c>
      <c r="AR72">
        <f>SUMIF(ConfirmedRaw!$B:$B,$A72,ConfirmedRaw!AU:AU)</f>
        <v>1</v>
      </c>
      <c r="AS72">
        <f>SUMIF(ConfirmedRaw!$B:$B,$A72,ConfirmedRaw!AV:AV)</f>
        <v>1</v>
      </c>
      <c r="AT72">
        <f>SUMIF(ConfirmedRaw!$B:$B,$A72,ConfirmedRaw!AW:AW)</f>
        <v>1</v>
      </c>
      <c r="AU72">
        <f>SUMIF(ConfirmedRaw!$B:$B,$A72,ConfirmedRaw!AX:AX)</f>
        <v>1</v>
      </c>
      <c r="AV72">
        <f>SUMIF(ConfirmedRaw!$B:$B,$A72,ConfirmedRaw!AY:AY)</f>
        <v>2</v>
      </c>
      <c r="AW72">
        <f>SUMIF(ConfirmedRaw!$B:$B,$A72,ConfirmedRaw!AZ:AZ)</f>
        <v>6</v>
      </c>
      <c r="AX72">
        <f>SUMIF(ConfirmedRaw!$B:$B,$A72,ConfirmedRaw!BA:BA)</f>
        <v>8</v>
      </c>
      <c r="AY72">
        <f>SUMIF(ConfirmedRaw!$B:$B,$A72,ConfirmedRaw!BB:BB)</f>
        <v>10</v>
      </c>
      <c r="AZ72">
        <f>SUMIF(ConfirmedRaw!$B:$B,$A72,ConfirmedRaw!BC:BC)</f>
        <v>10</v>
      </c>
      <c r="BA72">
        <f>SUMIF(ConfirmedRaw!$B:$B,$A72,ConfirmedRaw!BD:BD)</f>
        <v>17</v>
      </c>
      <c r="BB72">
        <f>SUMIF(ConfirmedRaw!$B:$B,$A72,ConfirmedRaw!BE:BE)</f>
        <v>26</v>
      </c>
      <c r="BC72">
        <f>SUMIF(ConfirmedRaw!$B:$B,$A72,ConfirmedRaw!BF:BF)</f>
        <v>30</v>
      </c>
      <c r="BD72">
        <f>SUMIF(ConfirmedRaw!$B:$B,$A72,ConfirmedRaw!BG:BG)</f>
        <v>34</v>
      </c>
      <c r="BE72">
        <f>SUMIF(ConfirmedRaw!$B:$B,$A72,ConfirmedRaw!BH:BH)</f>
        <v>49</v>
      </c>
      <c r="BF72">
        <f>SUMIF(ConfirmedRaw!$B:$B,$A72,ConfirmedRaw!BI:BI)</f>
        <v>71</v>
      </c>
      <c r="BG72">
        <f>SUMIF(ConfirmedRaw!$B:$B,$A72,ConfirmedRaw!BJ:BJ)</f>
        <v>86</v>
      </c>
      <c r="BH72">
        <f>SUMIF(ConfirmedRaw!$B:$B,$A72,ConfirmedRaw!BK:BK)</f>
        <v>111</v>
      </c>
      <c r="BI72">
        <f>SUMIF(ConfirmedRaw!$B:$B,$A72,ConfirmedRaw!BL:BL)</f>
        <v>0</v>
      </c>
      <c r="BJ72">
        <f>SUMIF(ConfirmedRaw!$B:$B,$A72,ConfirmedRaw!BM:BM)</f>
        <v>0</v>
      </c>
      <c r="BK72">
        <f>SUMIF(ConfirmedRaw!$B:$B,$A72,ConfirmedRaw!BN:BN)</f>
        <v>0</v>
      </c>
      <c r="BL72">
        <f>SUMIF(ConfirmedRaw!$B:$B,$A72,ConfirmedRaw!BO:BO)</f>
        <v>0</v>
      </c>
      <c r="BM72">
        <f>SUMIF(ConfirmedRaw!$B:$B,$A72,ConfirmedRaw!BP:BP)</f>
        <v>0</v>
      </c>
      <c r="BN72">
        <f>SUMIF(ConfirmedRaw!$B:$B,$A72,ConfirmedRaw!BQ:BQ)</f>
        <v>0</v>
      </c>
      <c r="BO72">
        <f>SUMIF(ConfirmedRaw!$B:$B,$A72,ConfirmedRaw!BR:BR)</f>
        <v>0</v>
      </c>
      <c r="BP72">
        <f>SUMIF(ConfirmedRaw!$B:$B,$A72,ConfirmedRaw!BS:BS)</f>
        <v>0</v>
      </c>
      <c r="BQ72">
        <f>SUMIF(ConfirmedRaw!$B:$B,$A72,ConfirmedRaw!BT:BT)</f>
        <v>0</v>
      </c>
      <c r="BR72">
        <f>SUMIF(ConfirmedRaw!$B:$B,$A72,ConfirmedRaw!BU:BU)</f>
        <v>0</v>
      </c>
      <c r="BS72">
        <f>SUMIF(ConfirmedRaw!$B:$B,$A72,ConfirmedRaw!BV:BV)</f>
        <v>0</v>
      </c>
      <c r="BT72">
        <f>SUMIF(ConfirmedRaw!$B:$B,$A72,ConfirmedRaw!BW:BW)</f>
        <v>0</v>
      </c>
    </row>
    <row r="73" spans="1:72" ht="15" thickBot="1" x14ac:dyDescent="0.35">
      <c r="A73" s="4" t="s">
        <v>138</v>
      </c>
      <c r="B73">
        <f>SUMIF(ConfirmedRaw!$B:$B,$A73,ConfirmedRaw!E:E)</f>
        <v>0</v>
      </c>
      <c r="C73">
        <f>SUMIF(ConfirmedRaw!$B:$B,$A73,ConfirmedRaw!F:F)</f>
        <v>0</v>
      </c>
      <c r="D73">
        <f>SUMIF(ConfirmedRaw!$B:$B,$A73,ConfirmedRaw!G:G)</f>
        <v>0</v>
      </c>
      <c r="E73">
        <f>SUMIF(ConfirmedRaw!$B:$B,$A73,ConfirmedRaw!H:H)</f>
        <v>0</v>
      </c>
      <c r="F73">
        <f>SUMIF(ConfirmedRaw!$B:$B,$A73,ConfirmedRaw!I:I)</f>
        <v>0</v>
      </c>
      <c r="G73">
        <f>SUMIF(ConfirmedRaw!$B:$B,$A73,ConfirmedRaw!J:J)</f>
        <v>0</v>
      </c>
      <c r="H73">
        <f>SUMIF(ConfirmedRaw!$B:$B,$A73,ConfirmedRaw!K:K)</f>
        <v>0</v>
      </c>
      <c r="I73">
        <f>SUMIF(ConfirmedRaw!$B:$B,$A73,ConfirmedRaw!L:L)</f>
        <v>0</v>
      </c>
      <c r="J73">
        <f>SUMIF(ConfirmedRaw!$B:$B,$A73,ConfirmedRaw!M:M)</f>
        <v>0</v>
      </c>
      <c r="K73">
        <f>SUMIF(ConfirmedRaw!$B:$B,$A73,ConfirmedRaw!N:N)</f>
        <v>0</v>
      </c>
      <c r="L73">
        <f>SUMIF(ConfirmedRaw!$B:$B,$A73,ConfirmedRaw!O:O)</f>
        <v>0</v>
      </c>
      <c r="M73">
        <f>SUMIF(ConfirmedRaw!$B:$B,$A73,ConfirmedRaw!P:P)</f>
        <v>0</v>
      </c>
      <c r="N73">
        <f>SUMIF(ConfirmedRaw!$B:$B,$A73,ConfirmedRaw!Q:Q)</f>
        <v>0</v>
      </c>
      <c r="O73">
        <f>SUMIF(ConfirmedRaw!$B:$B,$A73,ConfirmedRaw!R:R)</f>
        <v>0</v>
      </c>
      <c r="P73">
        <f>SUMIF(ConfirmedRaw!$B:$B,$A73,ConfirmedRaw!S:S)</f>
        <v>0</v>
      </c>
      <c r="Q73">
        <f>SUMIF(ConfirmedRaw!$B:$B,$A73,ConfirmedRaw!T:T)</f>
        <v>0</v>
      </c>
      <c r="R73">
        <f>SUMIF(ConfirmedRaw!$B:$B,$A73,ConfirmedRaw!U:U)</f>
        <v>0</v>
      </c>
      <c r="S73">
        <f>SUMIF(ConfirmedRaw!$B:$B,$A73,ConfirmedRaw!V:V)</f>
        <v>0</v>
      </c>
      <c r="T73">
        <f>SUMIF(ConfirmedRaw!$B:$B,$A73,ConfirmedRaw!W:W)</f>
        <v>0</v>
      </c>
      <c r="U73">
        <f>SUMIF(ConfirmedRaw!$B:$B,$A73,ConfirmedRaw!X:X)</f>
        <v>0</v>
      </c>
      <c r="V73">
        <f>SUMIF(ConfirmedRaw!$B:$B,$A73,ConfirmedRaw!Y:Y)</f>
        <v>0</v>
      </c>
      <c r="W73">
        <f>SUMIF(ConfirmedRaw!$B:$B,$A73,ConfirmedRaw!Z:Z)</f>
        <v>0</v>
      </c>
      <c r="X73">
        <f>SUMIF(ConfirmedRaw!$B:$B,$A73,ConfirmedRaw!AA:AA)</f>
        <v>0</v>
      </c>
      <c r="Y73">
        <f>SUMIF(ConfirmedRaw!$B:$B,$A73,ConfirmedRaw!AB:AB)</f>
        <v>0</v>
      </c>
      <c r="Z73">
        <f>SUMIF(ConfirmedRaw!$B:$B,$A73,ConfirmedRaw!AC:AC)</f>
        <v>0</v>
      </c>
      <c r="AA73">
        <f>SUMIF(ConfirmedRaw!$B:$B,$A73,ConfirmedRaw!AD:AD)</f>
        <v>0</v>
      </c>
      <c r="AB73">
        <f>SUMIF(ConfirmedRaw!$B:$B,$A73,ConfirmedRaw!AE:AE)</f>
        <v>0</v>
      </c>
      <c r="AC73">
        <f>SUMIF(ConfirmedRaw!$B:$B,$A73,ConfirmedRaw!AF:AF)</f>
        <v>0</v>
      </c>
      <c r="AD73">
        <f>SUMIF(ConfirmedRaw!$B:$B,$A73,ConfirmedRaw!AG:AG)</f>
        <v>0</v>
      </c>
      <c r="AE73">
        <f>SUMIF(ConfirmedRaw!$B:$B,$A73,ConfirmedRaw!AH:AH)</f>
        <v>0</v>
      </c>
      <c r="AF73">
        <f>SUMIF(ConfirmedRaw!$B:$B,$A73,ConfirmedRaw!AI:AI)</f>
        <v>0</v>
      </c>
      <c r="AG73">
        <f>SUMIF(ConfirmedRaw!$B:$B,$A73,ConfirmedRaw!AJ:AJ)</f>
        <v>0</v>
      </c>
      <c r="AH73">
        <f>SUMIF(ConfirmedRaw!$B:$B,$A73,ConfirmedRaw!AK:AK)</f>
        <v>0</v>
      </c>
      <c r="AI73">
        <f>SUMIF(ConfirmedRaw!$B:$B,$A73,ConfirmedRaw!AL:AL)</f>
        <v>0</v>
      </c>
      <c r="AJ73">
        <f>SUMIF(ConfirmedRaw!$B:$B,$A73,ConfirmedRaw!AM:AM)</f>
        <v>0</v>
      </c>
      <c r="AK73">
        <f>SUMIF(ConfirmedRaw!$B:$B,$A73,ConfirmedRaw!AN:AN)</f>
        <v>0</v>
      </c>
      <c r="AL73">
        <f>SUMIF(ConfirmedRaw!$B:$B,$A73,ConfirmedRaw!AO:AO)</f>
        <v>0</v>
      </c>
      <c r="AM73">
        <f>SUMIF(ConfirmedRaw!$B:$B,$A73,ConfirmedRaw!AP:AP)</f>
        <v>0</v>
      </c>
      <c r="AN73">
        <f>SUMIF(ConfirmedRaw!$B:$B,$A73,ConfirmedRaw!AQ:AQ)</f>
        <v>0</v>
      </c>
      <c r="AO73">
        <f>SUMIF(ConfirmedRaw!$B:$B,$A73,ConfirmedRaw!AR:AR)</f>
        <v>0</v>
      </c>
      <c r="AP73">
        <f>SUMIF(ConfirmedRaw!$B:$B,$A73,ConfirmedRaw!AS:AS)</f>
        <v>0</v>
      </c>
      <c r="AQ73">
        <f>SUMIF(ConfirmedRaw!$B:$B,$A73,ConfirmedRaw!AT:AT)</f>
        <v>0</v>
      </c>
      <c r="AR73">
        <f>SUMIF(ConfirmedRaw!$B:$B,$A73,ConfirmedRaw!AU:AU)</f>
        <v>1</v>
      </c>
      <c r="AS73">
        <f>SUMIF(ConfirmedRaw!$B:$B,$A73,ConfirmedRaw!AV:AV)</f>
        <v>1</v>
      </c>
      <c r="AT73">
        <f>SUMIF(ConfirmedRaw!$B:$B,$A73,ConfirmedRaw!AW:AW)</f>
        <v>1</v>
      </c>
      <c r="AU73">
        <f>SUMIF(ConfirmedRaw!$B:$B,$A73,ConfirmedRaw!AX:AX)</f>
        <v>1</v>
      </c>
      <c r="AV73">
        <f>SUMIF(ConfirmedRaw!$B:$B,$A73,ConfirmedRaw!AY:AY)</f>
        <v>2</v>
      </c>
      <c r="AW73">
        <f>SUMIF(ConfirmedRaw!$B:$B,$A73,ConfirmedRaw!AZ:AZ)</f>
        <v>2</v>
      </c>
      <c r="AX73">
        <f>SUMIF(ConfirmedRaw!$B:$B,$A73,ConfirmedRaw!BA:BA)</f>
        <v>5</v>
      </c>
      <c r="AY73">
        <f>SUMIF(ConfirmedRaw!$B:$B,$A73,ConfirmedRaw!BB:BB)</f>
        <v>7</v>
      </c>
      <c r="AZ73">
        <f>SUMIF(ConfirmedRaw!$B:$B,$A73,ConfirmedRaw!BC:BC)</f>
        <v>7</v>
      </c>
      <c r="BA73">
        <f>SUMIF(ConfirmedRaw!$B:$B,$A73,ConfirmedRaw!BD:BD)</f>
        <v>16</v>
      </c>
      <c r="BB73">
        <f>SUMIF(ConfirmedRaw!$B:$B,$A73,ConfirmedRaw!BE:BE)</f>
        <v>18</v>
      </c>
      <c r="BC73">
        <f>SUMIF(ConfirmedRaw!$B:$B,$A73,ConfirmedRaw!BF:BF)</f>
        <v>18</v>
      </c>
      <c r="BD73">
        <f>SUMIF(ConfirmedRaw!$B:$B,$A73,ConfirmedRaw!BG:BG)</f>
        <v>20</v>
      </c>
      <c r="BE73">
        <f>SUMIF(ConfirmedRaw!$B:$B,$A73,ConfirmedRaw!BH:BH)</f>
        <v>24</v>
      </c>
      <c r="BF73">
        <f>SUMIF(ConfirmedRaw!$B:$B,$A73,ConfirmedRaw!BI:BI)</f>
        <v>29</v>
      </c>
      <c r="BG73">
        <f>SUMIF(ConfirmedRaw!$B:$B,$A73,ConfirmedRaw!BJ:BJ)</f>
        <v>39</v>
      </c>
      <c r="BH73">
        <f>SUMIF(ConfirmedRaw!$B:$B,$A73,ConfirmedRaw!BK:BK)</f>
        <v>54</v>
      </c>
      <c r="BI73">
        <f>SUMIF(ConfirmedRaw!$B:$B,$A73,ConfirmedRaw!BL:BL)</f>
        <v>0</v>
      </c>
      <c r="BJ73">
        <f>SUMIF(ConfirmedRaw!$B:$B,$A73,ConfirmedRaw!BM:BM)</f>
        <v>0</v>
      </c>
      <c r="BK73">
        <f>SUMIF(ConfirmedRaw!$B:$B,$A73,ConfirmedRaw!BN:BN)</f>
        <v>0</v>
      </c>
      <c r="BL73">
        <f>SUMIF(ConfirmedRaw!$B:$B,$A73,ConfirmedRaw!BO:BO)</f>
        <v>0</v>
      </c>
      <c r="BM73">
        <f>SUMIF(ConfirmedRaw!$B:$B,$A73,ConfirmedRaw!BP:BP)</f>
        <v>0</v>
      </c>
      <c r="BN73">
        <f>SUMIF(ConfirmedRaw!$B:$B,$A73,ConfirmedRaw!BQ:BQ)</f>
        <v>0</v>
      </c>
      <c r="BO73">
        <f>SUMIF(ConfirmedRaw!$B:$B,$A73,ConfirmedRaw!BR:BR)</f>
        <v>0</v>
      </c>
      <c r="BP73">
        <f>SUMIF(ConfirmedRaw!$B:$B,$A73,ConfirmedRaw!BS:BS)</f>
        <v>0</v>
      </c>
      <c r="BQ73">
        <f>SUMIF(ConfirmedRaw!$B:$B,$A73,ConfirmedRaw!BT:BT)</f>
        <v>0</v>
      </c>
      <c r="BR73">
        <f>SUMIF(ConfirmedRaw!$B:$B,$A73,ConfirmedRaw!BU:BU)</f>
        <v>0</v>
      </c>
      <c r="BS73">
        <f>SUMIF(ConfirmedRaw!$B:$B,$A73,ConfirmedRaw!BV:BV)</f>
        <v>0</v>
      </c>
      <c r="BT73">
        <f>SUMIF(ConfirmedRaw!$B:$B,$A73,ConfirmedRaw!BW:BW)</f>
        <v>0</v>
      </c>
    </row>
    <row r="74" spans="1:72" ht="15" thickBot="1" x14ac:dyDescent="0.35">
      <c r="A74" s="3" t="s">
        <v>104</v>
      </c>
      <c r="B74">
        <f>SUMIF(ConfirmedRaw!$B:$B,$A74,ConfirmedRaw!E:E)</f>
        <v>0</v>
      </c>
      <c r="C74">
        <f>SUMIF(ConfirmedRaw!$B:$B,$A74,ConfirmedRaw!F:F)</f>
        <v>0</v>
      </c>
      <c r="D74">
        <f>SUMIF(ConfirmedRaw!$B:$B,$A74,ConfirmedRaw!G:G)</f>
        <v>0</v>
      </c>
      <c r="E74">
        <f>SUMIF(ConfirmedRaw!$B:$B,$A74,ConfirmedRaw!H:H)</f>
        <v>0</v>
      </c>
      <c r="F74">
        <f>SUMIF(ConfirmedRaw!$B:$B,$A74,ConfirmedRaw!I:I)</f>
        <v>0</v>
      </c>
      <c r="G74">
        <f>SUMIF(ConfirmedRaw!$B:$B,$A74,ConfirmedRaw!J:J)</f>
        <v>0</v>
      </c>
      <c r="H74">
        <f>SUMIF(ConfirmedRaw!$B:$B,$A74,ConfirmedRaw!K:K)</f>
        <v>0</v>
      </c>
      <c r="I74">
        <f>SUMIF(ConfirmedRaw!$B:$B,$A74,ConfirmedRaw!L:L)</f>
        <v>0</v>
      </c>
      <c r="J74">
        <f>SUMIF(ConfirmedRaw!$B:$B,$A74,ConfirmedRaw!M:M)</f>
        <v>0</v>
      </c>
      <c r="K74">
        <f>SUMIF(ConfirmedRaw!$B:$B,$A74,ConfirmedRaw!N:N)</f>
        <v>0</v>
      </c>
      <c r="L74">
        <f>SUMIF(ConfirmedRaw!$B:$B,$A74,ConfirmedRaw!O:O)</f>
        <v>0</v>
      </c>
      <c r="M74">
        <f>SUMIF(ConfirmedRaw!$B:$B,$A74,ConfirmedRaw!P:P)</f>
        <v>0</v>
      </c>
      <c r="N74">
        <f>SUMIF(ConfirmedRaw!$B:$B,$A74,ConfirmedRaw!Q:Q)</f>
        <v>0</v>
      </c>
      <c r="O74">
        <f>SUMIF(ConfirmedRaw!$B:$B,$A74,ConfirmedRaw!R:R)</f>
        <v>0</v>
      </c>
      <c r="P74">
        <f>SUMIF(ConfirmedRaw!$B:$B,$A74,ConfirmedRaw!S:S)</f>
        <v>0</v>
      </c>
      <c r="Q74">
        <f>SUMIF(ConfirmedRaw!$B:$B,$A74,ConfirmedRaw!T:T)</f>
        <v>0</v>
      </c>
      <c r="R74">
        <f>SUMIF(ConfirmedRaw!$B:$B,$A74,ConfirmedRaw!U:U)</f>
        <v>0</v>
      </c>
      <c r="S74">
        <f>SUMIF(ConfirmedRaw!$B:$B,$A74,ConfirmedRaw!V:V)</f>
        <v>0</v>
      </c>
      <c r="T74">
        <f>SUMIF(ConfirmedRaw!$B:$B,$A74,ConfirmedRaw!W:W)</f>
        <v>0</v>
      </c>
      <c r="U74">
        <f>SUMIF(ConfirmedRaw!$B:$B,$A74,ConfirmedRaw!X:X)</f>
        <v>0</v>
      </c>
      <c r="V74">
        <f>SUMIF(ConfirmedRaw!$B:$B,$A74,ConfirmedRaw!Y:Y)</f>
        <v>0</v>
      </c>
      <c r="W74">
        <f>SUMIF(ConfirmedRaw!$B:$B,$A74,ConfirmedRaw!Z:Z)</f>
        <v>0</v>
      </c>
      <c r="X74">
        <f>SUMIF(ConfirmedRaw!$B:$B,$A74,ConfirmedRaw!AA:AA)</f>
        <v>0</v>
      </c>
      <c r="Y74">
        <f>SUMIF(ConfirmedRaw!$B:$B,$A74,ConfirmedRaw!AB:AB)</f>
        <v>0</v>
      </c>
      <c r="Z74">
        <f>SUMIF(ConfirmedRaw!$B:$B,$A74,ConfirmedRaw!AC:AC)</f>
        <v>0</v>
      </c>
      <c r="AA74">
        <f>SUMIF(ConfirmedRaw!$B:$B,$A74,ConfirmedRaw!AD:AD)</f>
        <v>0</v>
      </c>
      <c r="AB74">
        <f>SUMIF(ConfirmedRaw!$B:$B,$A74,ConfirmedRaw!AE:AE)</f>
        <v>0</v>
      </c>
      <c r="AC74">
        <f>SUMIF(ConfirmedRaw!$B:$B,$A74,ConfirmedRaw!AF:AF)</f>
        <v>0</v>
      </c>
      <c r="AD74">
        <f>SUMIF(ConfirmedRaw!$B:$B,$A74,ConfirmedRaw!AG:AG)</f>
        <v>0</v>
      </c>
      <c r="AE74">
        <f>SUMIF(ConfirmedRaw!$B:$B,$A74,ConfirmedRaw!AH:AH)</f>
        <v>0</v>
      </c>
      <c r="AF74">
        <f>SUMIF(ConfirmedRaw!$B:$B,$A74,ConfirmedRaw!AI:AI)</f>
        <v>0</v>
      </c>
      <c r="AG74">
        <f>SUMIF(ConfirmedRaw!$B:$B,$A74,ConfirmedRaw!AJ:AJ)</f>
        <v>0</v>
      </c>
      <c r="AH74">
        <f>SUMIF(ConfirmedRaw!$B:$B,$A74,ConfirmedRaw!AK:AK)</f>
        <v>0</v>
      </c>
      <c r="AI74">
        <f>SUMIF(ConfirmedRaw!$B:$B,$A74,ConfirmedRaw!AL:AL)</f>
        <v>0</v>
      </c>
      <c r="AJ74">
        <f>SUMIF(ConfirmedRaw!$B:$B,$A74,ConfirmedRaw!AM:AM)</f>
        <v>0</v>
      </c>
      <c r="AK74">
        <f>SUMIF(ConfirmedRaw!$B:$B,$A74,ConfirmedRaw!AN:AN)</f>
        <v>0</v>
      </c>
      <c r="AL74">
        <f>SUMIF(ConfirmedRaw!$B:$B,$A74,ConfirmedRaw!AO:AO)</f>
        <v>0</v>
      </c>
      <c r="AM74">
        <f>SUMIF(ConfirmedRaw!$B:$B,$A74,ConfirmedRaw!AP:AP)</f>
        <v>0</v>
      </c>
      <c r="AN74">
        <f>SUMIF(ConfirmedRaw!$B:$B,$A74,ConfirmedRaw!AQ:AQ)</f>
        <v>0</v>
      </c>
      <c r="AO74">
        <f>SUMIF(ConfirmedRaw!$B:$B,$A74,ConfirmedRaw!AR:AR)</f>
        <v>3</v>
      </c>
      <c r="AP74">
        <f>SUMIF(ConfirmedRaw!$B:$B,$A74,ConfirmedRaw!AS:AS)</f>
        <v>3</v>
      </c>
      <c r="AQ74">
        <f>SUMIF(ConfirmedRaw!$B:$B,$A74,ConfirmedRaw!AT:AT)</f>
        <v>3</v>
      </c>
      <c r="AR74">
        <f>SUMIF(ConfirmedRaw!$B:$B,$A74,ConfirmedRaw!AU:AU)</f>
        <v>3</v>
      </c>
      <c r="AS74">
        <f>SUMIF(ConfirmedRaw!$B:$B,$A74,ConfirmedRaw!AV:AV)</f>
        <v>6</v>
      </c>
      <c r="AT74">
        <f>SUMIF(ConfirmedRaw!$B:$B,$A74,ConfirmedRaw!AW:AW)</f>
        <v>6</v>
      </c>
      <c r="AU74">
        <f>SUMIF(ConfirmedRaw!$B:$B,$A74,ConfirmedRaw!AX:AX)</f>
        <v>9</v>
      </c>
      <c r="AV74">
        <f>SUMIF(ConfirmedRaw!$B:$B,$A74,ConfirmedRaw!AY:AY)</f>
        <v>9</v>
      </c>
      <c r="AW74">
        <f>SUMIF(ConfirmedRaw!$B:$B,$A74,ConfirmedRaw!AZ:AZ)</f>
        <v>9</v>
      </c>
      <c r="AX74">
        <f>SUMIF(ConfirmedRaw!$B:$B,$A74,ConfirmedRaw!BA:BA)</f>
        <v>11</v>
      </c>
      <c r="AY74">
        <f>SUMIF(ConfirmedRaw!$B:$B,$A74,ConfirmedRaw!BB:BB)</f>
        <v>11</v>
      </c>
      <c r="AZ74">
        <f>SUMIF(ConfirmedRaw!$B:$B,$A74,ConfirmedRaw!BC:BC)</f>
        <v>11</v>
      </c>
      <c r="BA74">
        <f>SUMIF(ConfirmedRaw!$B:$B,$A74,ConfirmedRaw!BD:BD)</f>
        <v>15</v>
      </c>
      <c r="BB74">
        <f>SUMIF(ConfirmedRaw!$B:$B,$A74,ConfirmedRaw!BE:BE)</f>
        <v>15</v>
      </c>
      <c r="BC74">
        <f>SUMIF(ConfirmedRaw!$B:$B,$A74,ConfirmedRaw!BF:BF)</f>
        <v>23</v>
      </c>
      <c r="BD74">
        <f>SUMIF(ConfirmedRaw!$B:$B,$A74,ConfirmedRaw!BG:BG)</f>
        <v>15</v>
      </c>
      <c r="BE74">
        <f>SUMIF(ConfirmedRaw!$B:$B,$A74,ConfirmedRaw!BH:BH)</f>
        <v>28</v>
      </c>
      <c r="BF74">
        <f>SUMIF(ConfirmedRaw!$B:$B,$A74,ConfirmedRaw!BI:BI)</f>
        <v>28</v>
      </c>
      <c r="BG74">
        <f>SUMIF(ConfirmedRaw!$B:$B,$A74,ConfirmedRaw!BJ:BJ)</f>
        <v>44</v>
      </c>
      <c r="BH74">
        <f>SUMIF(ConfirmedRaw!$B:$B,$A74,ConfirmedRaw!BK:BK)</f>
        <v>44</v>
      </c>
      <c r="BI74">
        <f>SUMIF(ConfirmedRaw!$B:$B,$A74,ConfirmedRaw!BL:BL)</f>
        <v>0</v>
      </c>
      <c r="BJ74">
        <f>SUMIF(ConfirmedRaw!$B:$B,$A74,ConfirmedRaw!BM:BM)</f>
        <v>0</v>
      </c>
      <c r="BK74">
        <f>SUMIF(ConfirmedRaw!$B:$B,$A74,ConfirmedRaw!BN:BN)</f>
        <v>0</v>
      </c>
      <c r="BL74">
        <f>SUMIF(ConfirmedRaw!$B:$B,$A74,ConfirmedRaw!BO:BO)</f>
        <v>0</v>
      </c>
      <c r="BM74">
        <f>SUMIF(ConfirmedRaw!$B:$B,$A74,ConfirmedRaw!BP:BP)</f>
        <v>0</v>
      </c>
      <c r="BN74">
        <f>SUMIF(ConfirmedRaw!$B:$B,$A74,ConfirmedRaw!BQ:BQ)</f>
        <v>0</v>
      </c>
      <c r="BO74">
        <f>SUMIF(ConfirmedRaw!$B:$B,$A74,ConfirmedRaw!BR:BR)</f>
        <v>0</v>
      </c>
      <c r="BP74">
        <f>SUMIF(ConfirmedRaw!$B:$B,$A74,ConfirmedRaw!BS:BS)</f>
        <v>0</v>
      </c>
      <c r="BQ74">
        <f>SUMIF(ConfirmedRaw!$B:$B,$A74,ConfirmedRaw!BT:BT)</f>
        <v>0</v>
      </c>
      <c r="BR74">
        <f>SUMIF(ConfirmedRaw!$B:$B,$A74,ConfirmedRaw!BU:BU)</f>
        <v>0</v>
      </c>
      <c r="BS74">
        <f>SUMIF(ConfirmedRaw!$B:$B,$A74,ConfirmedRaw!BV:BV)</f>
        <v>0</v>
      </c>
      <c r="BT74">
        <f>SUMIF(ConfirmedRaw!$B:$B,$A74,ConfirmedRaw!BW:BW)</f>
        <v>0</v>
      </c>
    </row>
    <row r="75" spans="1:72" ht="15" thickBot="1" x14ac:dyDescent="0.35">
      <c r="A75" s="3" t="s">
        <v>231</v>
      </c>
      <c r="B75">
        <f>SUMIF(ConfirmedRaw!$B:$B,$A75,ConfirmedRaw!E:E)</f>
        <v>0</v>
      </c>
      <c r="C75">
        <f>SUMIF(ConfirmedRaw!$B:$B,$A75,ConfirmedRaw!F:F)</f>
        <v>0</v>
      </c>
      <c r="D75">
        <f>SUMIF(ConfirmedRaw!$B:$B,$A75,ConfirmedRaw!G:G)</f>
        <v>0</v>
      </c>
      <c r="E75">
        <f>SUMIF(ConfirmedRaw!$B:$B,$A75,ConfirmedRaw!H:H)</f>
        <v>0</v>
      </c>
      <c r="F75">
        <f>SUMIF(ConfirmedRaw!$B:$B,$A75,ConfirmedRaw!I:I)</f>
        <v>0</v>
      </c>
      <c r="G75">
        <f>SUMIF(ConfirmedRaw!$B:$B,$A75,ConfirmedRaw!J:J)</f>
        <v>0</v>
      </c>
      <c r="H75">
        <f>SUMIF(ConfirmedRaw!$B:$B,$A75,ConfirmedRaw!K:K)</f>
        <v>0</v>
      </c>
      <c r="I75">
        <f>SUMIF(ConfirmedRaw!$B:$B,$A75,ConfirmedRaw!L:L)</f>
        <v>0</v>
      </c>
      <c r="J75">
        <f>SUMIF(ConfirmedRaw!$B:$B,$A75,ConfirmedRaw!M:M)</f>
        <v>0</v>
      </c>
      <c r="K75">
        <f>SUMIF(ConfirmedRaw!$B:$B,$A75,ConfirmedRaw!N:N)</f>
        <v>0</v>
      </c>
      <c r="L75">
        <f>SUMIF(ConfirmedRaw!$B:$B,$A75,ConfirmedRaw!O:O)</f>
        <v>0</v>
      </c>
      <c r="M75">
        <f>SUMIF(ConfirmedRaw!$B:$B,$A75,ConfirmedRaw!P:P)</f>
        <v>0</v>
      </c>
      <c r="N75">
        <f>SUMIF(ConfirmedRaw!$B:$B,$A75,ConfirmedRaw!Q:Q)</f>
        <v>0</v>
      </c>
      <c r="O75">
        <f>SUMIF(ConfirmedRaw!$B:$B,$A75,ConfirmedRaw!R:R)</f>
        <v>0</v>
      </c>
      <c r="P75">
        <f>SUMIF(ConfirmedRaw!$B:$B,$A75,ConfirmedRaw!S:S)</f>
        <v>0</v>
      </c>
      <c r="Q75">
        <f>SUMIF(ConfirmedRaw!$B:$B,$A75,ConfirmedRaw!T:T)</f>
        <v>0</v>
      </c>
      <c r="R75">
        <f>SUMIF(ConfirmedRaw!$B:$B,$A75,ConfirmedRaw!U:U)</f>
        <v>0</v>
      </c>
      <c r="S75">
        <f>SUMIF(ConfirmedRaw!$B:$B,$A75,ConfirmedRaw!V:V)</f>
        <v>0</v>
      </c>
      <c r="T75">
        <f>SUMIF(ConfirmedRaw!$B:$B,$A75,ConfirmedRaw!W:W)</f>
        <v>0</v>
      </c>
      <c r="U75">
        <f>SUMIF(ConfirmedRaw!$B:$B,$A75,ConfirmedRaw!X:X)</f>
        <v>0</v>
      </c>
      <c r="V75">
        <f>SUMIF(ConfirmedRaw!$B:$B,$A75,ConfirmedRaw!Y:Y)</f>
        <v>0</v>
      </c>
      <c r="W75">
        <f>SUMIF(ConfirmedRaw!$B:$B,$A75,ConfirmedRaw!Z:Z)</f>
        <v>0</v>
      </c>
      <c r="X75">
        <f>SUMIF(ConfirmedRaw!$B:$B,$A75,ConfirmedRaw!AA:AA)</f>
        <v>0</v>
      </c>
      <c r="Y75">
        <f>SUMIF(ConfirmedRaw!$B:$B,$A75,ConfirmedRaw!AB:AB)</f>
        <v>0</v>
      </c>
      <c r="Z75">
        <f>SUMIF(ConfirmedRaw!$B:$B,$A75,ConfirmedRaw!AC:AC)</f>
        <v>0</v>
      </c>
      <c r="AA75">
        <f>SUMIF(ConfirmedRaw!$B:$B,$A75,ConfirmedRaw!AD:AD)</f>
        <v>0</v>
      </c>
      <c r="AB75">
        <f>SUMIF(ConfirmedRaw!$B:$B,$A75,ConfirmedRaw!AE:AE)</f>
        <v>0</v>
      </c>
      <c r="AC75">
        <f>SUMIF(ConfirmedRaw!$B:$B,$A75,ConfirmedRaw!AF:AF)</f>
        <v>0</v>
      </c>
      <c r="AD75">
        <f>SUMIF(ConfirmedRaw!$B:$B,$A75,ConfirmedRaw!AG:AG)</f>
        <v>0</v>
      </c>
      <c r="AE75">
        <f>SUMIF(ConfirmedRaw!$B:$B,$A75,ConfirmedRaw!AH:AH)</f>
        <v>0</v>
      </c>
      <c r="AF75">
        <f>SUMIF(ConfirmedRaw!$B:$B,$A75,ConfirmedRaw!AI:AI)</f>
        <v>0</v>
      </c>
      <c r="AG75">
        <f>SUMIF(ConfirmedRaw!$B:$B,$A75,ConfirmedRaw!AJ:AJ)</f>
        <v>0</v>
      </c>
      <c r="AH75">
        <f>SUMIF(ConfirmedRaw!$B:$B,$A75,ConfirmedRaw!AK:AK)</f>
        <v>0</v>
      </c>
      <c r="AI75">
        <f>SUMIF(ConfirmedRaw!$B:$B,$A75,ConfirmedRaw!AL:AL)</f>
        <v>0</v>
      </c>
      <c r="AJ75">
        <f>SUMIF(ConfirmedRaw!$B:$B,$A75,ConfirmedRaw!AM:AM)</f>
        <v>0</v>
      </c>
      <c r="AK75">
        <f>SUMIF(ConfirmedRaw!$B:$B,$A75,ConfirmedRaw!AN:AN)</f>
        <v>0</v>
      </c>
      <c r="AL75">
        <f>SUMIF(ConfirmedRaw!$B:$B,$A75,ConfirmedRaw!AO:AO)</f>
        <v>0</v>
      </c>
      <c r="AM75">
        <f>SUMIF(ConfirmedRaw!$B:$B,$A75,ConfirmedRaw!AP:AP)</f>
        <v>0</v>
      </c>
      <c r="AN75">
        <f>SUMIF(ConfirmedRaw!$B:$B,$A75,ConfirmedRaw!AQ:AQ)</f>
        <v>0</v>
      </c>
      <c r="AO75">
        <f>SUMIF(ConfirmedRaw!$B:$B,$A75,ConfirmedRaw!AR:AR)</f>
        <v>0</v>
      </c>
      <c r="AP75">
        <f>SUMIF(ConfirmedRaw!$B:$B,$A75,ConfirmedRaw!AS:AS)</f>
        <v>0</v>
      </c>
      <c r="AQ75">
        <f>SUMIF(ConfirmedRaw!$B:$B,$A75,ConfirmedRaw!AT:AT)</f>
        <v>0</v>
      </c>
      <c r="AR75">
        <f>SUMIF(ConfirmedRaw!$B:$B,$A75,ConfirmedRaw!AU:AU)</f>
        <v>0</v>
      </c>
      <c r="AS75">
        <f>SUMIF(ConfirmedRaw!$B:$B,$A75,ConfirmedRaw!AV:AV)</f>
        <v>0</v>
      </c>
      <c r="AT75">
        <f>SUMIF(ConfirmedRaw!$B:$B,$A75,ConfirmedRaw!AW:AW)</f>
        <v>0</v>
      </c>
      <c r="AU75">
        <f>SUMIF(ConfirmedRaw!$B:$B,$A75,ConfirmedRaw!AX:AX)</f>
        <v>0</v>
      </c>
      <c r="AV75">
        <f>SUMIF(ConfirmedRaw!$B:$B,$A75,ConfirmedRaw!AY:AY)</f>
        <v>0</v>
      </c>
      <c r="AW75">
        <f>SUMIF(ConfirmedRaw!$B:$B,$A75,ConfirmedRaw!AZ:AZ)</f>
        <v>2</v>
      </c>
      <c r="AX75">
        <f>SUMIF(ConfirmedRaw!$B:$B,$A75,ConfirmedRaw!BA:BA)</f>
        <v>3</v>
      </c>
      <c r="AY75">
        <f>SUMIF(ConfirmedRaw!$B:$B,$A75,ConfirmedRaw!BB:BB)</f>
        <v>6</v>
      </c>
      <c r="AZ75">
        <f>SUMIF(ConfirmedRaw!$B:$B,$A75,ConfirmedRaw!BC:BC)</f>
        <v>6</v>
      </c>
      <c r="BA75">
        <f>SUMIF(ConfirmedRaw!$B:$B,$A75,ConfirmedRaw!BD:BD)</f>
        <v>14</v>
      </c>
      <c r="BB75">
        <f>SUMIF(ConfirmedRaw!$B:$B,$A75,ConfirmedRaw!BE:BE)</f>
        <v>26</v>
      </c>
      <c r="BC75">
        <f>SUMIF(ConfirmedRaw!$B:$B,$A75,ConfirmedRaw!BF:BF)</f>
        <v>26</v>
      </c>
      <c r="BD75">
        <f>SUMIF(ConfirmedRaw!$B:$B,$A75,ConfirmedRaw!BG:BG)</f>
        <v>33</v>
      </c>
      <c r="BE75">
        <f>SUMIF(ConfirmedRaw!$B:$B,$A75,ConfirmedRaw!BH:BH)</f>
        <v>46</v>
      </c>
      <c r="BF75">
        <f>SUMIF(ConfirmedRaw!$B:$B,$A75,ConfirmedRaw!BI:BI)</f>
        <v>49</v>
      </c>
      <c r="BG75">
        <f>SUMIF(ConfirmedRaw!$B:$B,$A75,ConfirmedRaw!BJ:BJ)</f>
        <v>67</v>
      </c>
      <c r="BH75">
        <f>SUMIF(ConfirmedRaw!$B:$B,$A75,ConfirmedRaw!BK:BK)</f>
        <v>67</v>
      </c>
      <c r="BI75">
        <f>SUMIF(ConfirmedRaw!$B:$B,$A75,ConfirmedRaw!BL:BL)</f>
        <v>0</v>
      </c>
      <c r="BJ75">
        <f>SUMIF(ConfirmedRaw!$B:$B,$A75,ConfirmedRaw!BM:BM)</f>
        <v>0</v>
      </c>
      <c r="BK75">
        <f>SUMIF(ConfirmedRaw!$B:$B,$A75,ConfirmedRaw!BN:BN)</f>
        <v>0</v>
      </c>
      <c r="BL75">
        <f>SUMIF(ConfirmedRaw!$B:$B,$A75,ConfirmedRaw!BO:BO)</f>
        <v>0</v>
      </c>
      <c r="BM75">
        <f>SUMIF(ConfirmedRaw!$B:$B,$A75,ConfirmedRaw!BP:BP)</f>
        <v>0</v>
      </c>
      <c r="BN75">
        <f>SUMIF(ConfirmedRaw!$B:$B,$A75,ConfirmedRaw!BQ:BQ)</f>
        <v>0</v>
      </c>
      <c r="BO75">
        <f>SUMIF(ConfirmedRaw!$B:$B,$A75,ConfirmedRaw!BR:BR)</f>
        <v>0</v>
      </c>
      <c r="BP75">
        <f>SUMIF(ConfirmedRaw!$B:$B,$A75,ConfirmedRaw!BS:BS)</f>
        <v>0</v>
      </c>
      <c r="BQ75">
        <f>SUMIF(ConfirmedRaw!$B:$B,$A75,ConfirmedRaw!BT:BT)</f>
        <v>0</v>
      </c>
      <c r="BR75">
        <f>SUMIF(ConfirmedRaw!$B:$B,$A75,ConfirmedRaw!BU:BU)</f>
        <v>0</v>
      </c>
      <c r="BS75">
        <f>SUMIF(ConfirmedRaw!$B:$B,$A75,ConfirmedRaw!BV:BV)</f>
        <v>0</v>
      </c>
      <c r="BT75">
        <f>SUMIF(ConfirmedRaw!$B:$B,$A75,ConfirmedRaw!BW:BW)</f>
        <v>0</v>
      </c>
    </row>
    <row r="76" spans="1:72" ht="15" thickBot="1" x14ac:dyDescent="0.35">
      <c r="A76" s="3" t="s">
        <v>84</v>
      </c>
      <c r="B76">
        <f>SUMIF(ConfirmedRaw!$B:$B,$A76,ConfirmedRaw!E:E)</f>
        <v>0</v>
      </c>
      <c r="C76">
        <f>SUMIF(ConfirmedRaw!$B:$B,$A76,ConfirmedRaw!F:F)</f>
        <v>0</v>
      </c>
      <c r="D76">
        <f>SUMIF(ConfirmedRaw!$B:$B,$A76,ConfirmedRaw!G:G)</f>
        <v>0</v>
      </c>
      <c r="E76">
        <f>SUMIF(ConfirmedRaw!$B:$B,$A76,ConfirmedRaw!H:H)</f>
        <v>0</v>
      </c>
      <c r="F76">
        <f>SUMIF(ConfirmedRaw!$B:$B,$A76,ConfirmedRaw!I:I)</f>
        <v>0</v>
      </c>
      <c r="G76">
        <f>SUMIF(ConfirmedRaw!$B:$B,$A76,ConfirmedRaw!J:J)</f>
        <v>0</v>
      </c>
      <c r="H76">
        <f>SUMIF(ConfirmedRaw!$B:$B,$A76,ConfirmedRaw!K:K)</f>
        <v>0</v>
      </c>
      <c r="I76">
        <f>SUMIF(ConfirmedRaw!$B:$B,$A76,ConfirmedRaw!L:L)</f>
        <v>0</v>
      </c>
      <c r="J76">
        <f>SUMIF(ConfirmedRaw!$B:$B,$A76,ConfirmedRaw!M:M)</f>
        <v>0</v>
      </c>
      <c r="K76">
        <f>SUMIF(ConfirmedRaw!$B:$B,$A76,ConfirmedRaw!N:N)</f>
        <v>0</v>
      </c>
      <c r="L76">
        <f>SUMIF(ConfirmedRaw!$B:$B,$A76,ConfirmedRaw!O:O)</f>
        <v>0</v>
      </c>
      <c r="M76">
        <f>SUMIF(ConfirmedRaw!$B:$B,$A76,ConfirmedRaw!P:P)</f>
        <v>0</v>
      </c>
      <c r="N76">
        <f>SUMIF(ConfirmedRaw!$B:$B,$A76,ConfirmedRaw!Q:Q)</f>
        <v>0</v>
      </c>
      <c r="O76">
        <f>SUMIF(ConfirmedRaw!$B:$B,$A76,ConfirmedRaw!R:R)</f>
        <v>0</v>
      </c>
      <c r="P76">
        <f>SUMIF(ConfirmedRaw!$B:$B,$A76,ConfirmedRaw!S:S)</f>
        <v>0</v>
      </c>
      <c r="Q76">
        <f>SUMIF(ConfirmedRaw!$B:$B,$A76,ConfirmedRaw!T:T)</f>
        <v>0</v>
      </c>
      <c r="R76">
        <f>SUMIF(ConfirmedRaw!$B:$B,$A76,ConfirmedRaw!U:U)</f>
        <v>0</v>
      </c>
      <c r="S76">
        <f>SUMIF(ConfirmedRaw!$B:$B,$A76,ConfirmedRaw!V:V)</f>
        <v>0</v>
      </c>
      <c r="T76">
        <f>SUMIF(ConfirmedRaw!$B:$B,$A76,ConfirmedRaw!W:W)</f>
        <v>0</v>
      </c>
      <c r="U76">
        <f>SUMIF(ConfirmedRaw!$B:$B,$A76,ConfirmedRaw!X:X)</f>
        <v>0</v>
      </c>
      <c r="V76">
        <f>SUMIF(ConfirmedRaw!$B:$B,$A76,ConfirmedRaw!Y:Y)</f>
        <v>0</v>
      </c>
      <c r="W76">
        <f>SUMIF(ConfirmedRaw!$B:$B,$A76,ConfirmedRaw!Z:Z)</f>
        <v>0</v>
      </c>
      <c r="X76">
        <f>SUMIF(ConfirmedRaw!$B:$B,$A76,ConfirmedRaw!AA:AA)</f>
        <v>0</v>
      </c>
      <c r="Y76">
        <f>SUMIF(ConfirmedRaw!$B:$B,$A76,ConfirmedRaw!AB:AB)</f>
        <v>0</v>
      </c>
      <c r="Z76">
        <f>SUMIF(ConfirmedRaw!$B:$B,$A76,ConfirmedRaw!AC:AC)</f>
        <v>0</v>
      </c>
      <c r="AA76">
        <f>SUMIF(ConfirmedRaw!$B:$B,$A76,ConfirmedRaw!AD:AD)</f>
        <v>0</v>
      </c>
      <c r="AB76">
        <f>SUMIF(ConfirmedRaw!$B:$B,$A76,ConfirmedRaw!AE:AE)</f>
        <v>0</v>
      </c>
      <c r="AC76">
        <f>SUMIF(ConfirmedRaw!$B:$B,$A76,ConfirmedRaw!AF:AF)</f>
        <v>0</v>
      </c>
      <c r="AD76">
        <f>SUMIF(ConfirmedRaw!$B:$B,$A76,ConfirmedRaw!AG:AG)</f>
        <v>0</v>
      </c>
      <c r="AE76">
        <f>SUMIF(ConfirmedRaw!$B:$B,$A76,ConfirmedRaw!AH:AH)</f>
        <v>0</v>
      </c>
      <c r="AF76">
        <f>SUMIF(ConfirmedRaw!$B:$B,$A76,ConfirmedRaw!AI:AI)</f>
        <v>0</v>
      </c>
      <c r="AG76">
        <f>SUMIF(ConfirmedRaw!$B:$B,$A76,ConfirmedRaw!AJ:AJ)</f>
        <v>0</v>
      </c>
      <c r="AH76">
        <f>SUMIF(ConfirmedRaw!$B:$B,$A76,ConfirmedRaw!AK:AK)</f>
        <v>0</v>
      </c>
      <c r="AI76">
        <f>SUMIF(ConfirmedRaw!$B:$B,$A76,ConfirmedRaw!AL:AL)</f>
        <v>0</v>
      </c>
      <c r="AJ76">
        <f>SUMIF(ConfirmedRaw!$B:$B,$A76,ConfirmedRaw!AM:AM)</f>
        <v>0</v>
      </c>
      <c r="AK76">
        <f>SUMIF(ConfirmedRaw!$B:$B,$A76,ConfirmedRaw!AN:AN)</f>
        <v>1</v>
      </c>
      <c r="AL76">
        <f>SUMIF(ConfirmedRaw!$B:$B,$A76,ConfirmedRaw!AO:AO)</f>
        <v>1</v>
      </c>
      <c r="AM76">
        <f>SUMIF(ConfirmedRaw!$B:$B,$A76,ConfirmedRaw!AP:AP)</f>
        <v>1</v>
      </c>
      <c r="AN76">
        <f>SUMIF(ConfirmedRaw!$B:$B,$A76,ConfirmedRaw!AQ:AQ)</f>
        <v>1</v>
      </c>
      <c r="AO76">
        <f>SUMIF(ConfirmedRaw!$B:$B,$A76,ConfirmedRaw!AR:AR)</f>
        <v>1</v>
      </c>
      <c r="AP76">
        <f>SUMIF(ConfirmedRaw!$B:$B,$A76,ConfirmedRaw!AS:AS)</f>
        <v>1</v>
      </c>
      <c r="AQ76">
        <f>SUMIF(ConfirmedRaw!$B:$B,$A76,ConfirmedRaw!AT:AT)</f>
        <v>1</v>
      </c>
      <c r="AR76">
        <f>SUMIF(ConfirmedRaw!$B:$B,$A76,ConfirmedRaw!AU:AU)</f>
        <v>1</v>
      </c>
      <c r="AS76">
        <f>SUMIF(ConfirmedRaw!$B:$B,$A76,ConfirmedRaw!AV:AV)</f>
        <v>1</v>
      </c>
      <c r="AT76">
        <f>SUMIF(ConfirmedRaw!$B:$B,$A76,ConfirmedRaw!AW:AW)</f>
        <v>3</v>
      </c>
      <c r="AU76">
        <f>SUMIF(ConfirmedRaw!$B:$B,$A76,ConfirmedRaw!AX:AX)</f>
        <v>3</v>
      </c>
      <c r="AV76">
        <f>SUMIF(ConfirmedRaw!$B:$B,$A76,ConfirmedRaw!AY:AY)</f>
        <v>3</v>
      </c>
      <c r="AW76">
        <f>SUMIF(ConfirmedRaw!$B:$B,$A76,ConfirmedRaw!AZ:AZ)</f>
        <v>3</v>
      </c>
      <c r="AX76">
        <f>SUMIF(ConfirmedRaw!$B:$B,$A76,ConfirmedRaw!BA:BA)</f>
        <v>7</v>
      </c>
      <c r="AY76">
        <f>SUMIF(ConfirmedRaw!$B:$B,$A76,ConfirmedRaw!BB:BB)</f>
        <v>7</v>
      </c>
      <c r="AZ76">
        <f>SUMIF(ConfirmedRaw!$B:$B,$A76,ConfirmedRaw!BC:BC)</f>
        <v>7</v>
      </c>
      <c r="BA76">
        <f>SUMIF(ConfirmedRaw!$B:$B,$A76,ConfirmedRaw!BD:BD)</f>
        <v>14</v>
      </c>
      <c r="BB76">
        <f>SUMIF(ConfirmedRaw!$B:$B,$A76,ConfirmedRaw!BE:BE)</f>
        <v>14</v>
      </c>
      <c r="BC76">
        <f>SUMIF(ConfirmedRaw!$B:$B,$A76,ConfirmedRaw!BF:BF)</f>
        <v>14</v>
      </c>
      <c r="BD76">
        <f>SUMIF(ConfirmedRaw!$B:$B,$A76,ConfirmedRaw!BG:BG)</f>
        <v>18</v>
      </c>
      <c r="BE76">
        <f>SUMIF(ConfirmedRaw!$B:$B,$A76,ConfirmedRaw!BH:BH)</f>
        <v>26</v>
      </c>
      <c r="BF76">
        <f>SUMIF(ConfirmedRaw!$B:$B,$A76,ConfirmedRaw!BI:BI)</f>
        <v>35</v>
      </c>
      <c r="BG76">
        <f>SUMIF(ConfirmedRaw!$B:$B,$A76,ConfirmedRaw!BJ:BJ)</f>
        <v>48</v>
      </c>
      <c r="BH76">
        <f>SUMIF(ConfirmedRaw!$B:$B,$A76,ConfirmedRaw!BK:BK)</f>
        <v>67</v>
      </c>
      <c r="BI76">
        <f>SUMIF(ConfirmedRaw!$B:$B,$A76,ConfirmedRaw!BL:BL)</f>
        <v>0</v>
      </c>
      <c r="BJ76">
        <f>SUMIF(ConfirmedRaw!$B:$B,$A76,ConfirmedRaw!BM:BM)</f>
        <v>0</v>
      </c>
      <c r="BK76">
        <f>SUMIF(ConfirmedRaw!$B:$B,$A76,ConfirmedRaw!BN:BN)</f>
        <v>0</v>
      </c>
      <c r="BL76">
        <f>SUMIF(ConfirmedRaw!$B:$B,$A76,ConfirmedRaw!BO:BO)</f>
        <v>0</v>
      </c>
      <c r="BM76">
        <f>SUMIF(ConfirmedRaw!$B:$B,$A76,ConfirmedRaw!BP:BP)</f>
        <v>0</v>
      </c>
      <c r="BN76">
        <f>SUMIF(ConfirmedRaw!$B:$B,$A76,ConfirmedRaw!BQ:BQ)</f>
        <v>0</v>
      </c>
      <c r="BO76">
        <f>SUMIF(ConfirmedRaw!$B:$B,$A76,ConfirmedRaw!BR:BR)</f>
        <v>0</v>
      </c>
      <c r="BP76">
        <f>SUMIF(ConfirmedRaw!$B:$B,$A76,ConfirmedRaw!BS:BS)</f>
        <v>0</v>
      </c>
      <c r="BQ76">
        <f>SUMIF(ConfirmedRaw!$B:$B,$A76,ConfirmedRaw!BT:BT)</f>
        <v>0</v>
      </c>
      <c r="BR76">
        <f>SUMIF(ConfirmedRaw!$B:$B,$A76,ConfirmedRaw!BU:BU)</f>
        <v>0</v>
      </c>
      <c r="BS76">
        <f>SUMIF(ConfirmedRaw!$B:$B,$A76,ConfirmedRaw!BV:BV)</f>
        <v>0</v>
      </c>
      <c r="BT76">
        <f>SUMIF(ConfirmedRaw!$B:$B,$A76,ConfirmedRaw!BW:BW)</f>
        <v>0</v>
      </c>
    </row>
    <row r="77" spans="1:72" ht="15" thickBot="1" x14ac:dyDescent="0.35">
      <c r="A77" s="3" t="s">
        <v>140</v>
      </c>
      <c r="B77">
        <f>SUMIF(ConfirmedRaw!$B:$B,$A77,ConfirmedRaw!E:E)</f>
        <v>0</v>
      </c>
      <c r="C77">
        <f>SUMIF(ConfirmedRaw!$B:$B,$A77,ConfirmedRaw!F:F)</f>
        <v>0</v>
      </c>
      <c r="D77">
        <f>SUMIF(ConfirmedRaw!$B:$B,$A77,ConfirmedRaw!G:G)</f>
        <v>0</v>
      </c>
      <c r="E77">
        <f>SUMIF(ConfirmedRaw!$B:$B,$A77,ConfirmedRaw!H:H)</f>
        <v>0</v>
      </c>
      <c r="F77">
        <f>SUMIF(ConfirmedRaw!$B:$B,$A77,ConfirmedRaw!I:I)</f>
        <v>0</v>
      </c>
      <c r="G77">
        <f>SUMIF(ConfirmedRaw!$B:$B,$A77,ConfirmedRaw!J:J)</f>
        <v>0</v>
      </c>
      <c r="H77">
        <f>SUMIF(ConfirmedRaw!$B:$B,$A77,ConfirmedRaw!K:K)</f>
        <v>0</v>
      </c>
      <c r="I77">
        <f>SUMIF(ConfirmedRaw!$B:$B,$A77,ConfirmedRaw!L:L)</f>
        <v>0</v>
      </c>
      <c r="J77">
        <f>SUMIF(ConfirmedRaw!$B:$B,$A77,ConfirmedRaw!M:M)</f>
        <v>0</v>
      </c>
      <c r="K77">
        <f>SUMIF(ConfirmedRaw!$B:$B,$A77,ConfirmedRaw!N:N)</f>
        <v>0</v>
      </c>
      <c r="L77">
        <f>SUMIF(ConfirmedRaw!$B:$B,$A77,ConfirmedRaw!O:O)</f>
        <v>0</v>
      </c>
      <c r="M77">
        <f>SUMIF(ConfirmedRaw!$B:$B,$A77,ConfirmedRaw!P:P)</f>
        <v>0</v>
      </c>
      <c r="N77">
        <f>SUMIF(ConfirmedRaw!$B:$B,$A77,ConfirmedRaw!Q:Q)</f>
        <v>0</v>
      </c>
      <c r="O77">
        <f>SUMIF(ConfirmedRaw!$B:$B,$A77,ConfirmedRaw!R:R)</f>
        <v>0</v>
      </c>
      <c r="P77">
        <f>SUMIF(ConfirmedRaw!$B:$B,$A77,ConfirmedRaw!S:S)</f>
        <v>0</v>
      </c>
      <c r="Q77">
        <f>SUMIF(ConfirmedRaw!$B:$B,$A77,ConfirmedRaw!T:T)</f>
        <v>0</v>
      </c>
      <c r="R77">
        <f>SUMIF(ConfirmedRaw!$B:$B,$A77,ConfirmedRaw!U:U)</f>
        <v>0</v>
      </c>
      <c r="S77">
        <f>SUMIF(ConfirmedRaw!$B:$B,$A77,ConfirmedRaw!V:V)</f>
        <v>0</v>
      </c>
      <c r="T77">
        <f>SUMIF(ConfirmedRaw!$B:$B,$A77,ConfirmedRaw!W:W)</f>
        <v>0</v>
      </c>
      <c r="U77">
        <f>SUMIF(ConfirmedRaw!$B:$B,$A77,ConfirmedRaw!X:X)</f>
        <v>0</v>
      </c>
      <c r="V77">
        <f>SUMIF(ConfirmedRaw!$B:$B,$A77,ConfirmedRaw!Y:Y)</f>
        <v>0</v>
      </c>
      <c r="W77">
        <f>SUMIF(ConfirmedRaw!$B:$B,$A77,ConfirmedRaw!Z:Z)</f>
        <v>0</v>
      </c>
      <c r="X77">
        <f>SUMIF(ConfirmedRaw!$B:$B,$A77,ConfirmedRaw!AA:AA)</f>
        <v>0</v>
      </c>
      <c r="Y77">
        <f>SUMIF(ConfirmedRaw!$B:$B,$A77,ConfirmedRaw!AB:AB)</f>
        <v>0</v>
      </c>
      <c r="Z77">
        <f>SUMIF(ConfirmedRaw!$B:$B,$A77,ConfirmedRaw!AC:AC)</f>
        <v>0</v>
      </c>
      <c r="AA77">
        <f>SUMIF(ConfirmedRaw!$B:$B,$A77,ConfirmedRaw!AD:AD)</f>
        <v>0</v>
      </c>
      <c r="AB77">
        <f>SUMIF(ConfirmedRaw!$B:$B,$A77,ConfirmedRaw!AE:AE)</f>
        <v>0</v>
      </c>
      <c r="AC77">
        <f>SUMIF(ConfirmedRaw!$B:$B,$A77,ConfirmedRaw!AF:AF)</f>
        <v>0</v>
      </c>
      <c r="AD77">
        <f>SUMIF(ConfirmedRaw!$B:$B,$A77,ConfirmedRaw!AG:AG)</f>
        <v>0</v>
      </c>
      <c r="AE77">
        <f>SUMIF(ConfirmedRaw!$B:$B,$A77,ConfirmedRaw!AH:AH)</f>
        <v>0</v>
      </c>
      <c r="AF77">
        <f>SUMIF(ConfirmedRaw!$B:$B,$A77,ConfirmedRaw!AI:AI)</f>
        <v>0</v>
      </c>
      <c r="AG77">
        <f>SUMIF(ConfirmedRaw!$B:$B,$A77,ConfirmedRaw!AJ:AJ)</f>
        <v>0</v>
      </c>
      <c r="AH77">
        <f>SUMIF(ConfirmedRaw!$B:$B,$A77,ConfirmedRaw!AK:AK)</f>
        <v>0</v>
      </c>
      <c r="AI77">
        <f>SUMIF(ConfirmedRaw!$B:$B,$A77,ConfirmedRaw!AL:AL)</f>
        <v>0</v>
      </c>
      <c r="AJ77">
        <f>SUMIF(ConfirmedRaw!$B:$B,$A77,ConfirmedRaw!AM:AM)</f>
        <v>0</v>
      </c>
      <c r="AK77">
        <f>SUMIF(ConfirmedRaw!$B:$B,$A77,ConfirmedRaw!AN:AN)</f>
        <v>0</v>
      </c>
      <c r="AL77">
        <f>SUMIF(ConfirmedRaw!$B:$B,$A77,ConfirmedRaw!AO:AO)</f>
        <v>0</v>
      </c>
      <c r="AM77">
        <f>SUMIF(ConfirmedRaw!$B:$B,$A77,ConfirmedRaw!AP:AP)</f>
        <v>0</v>
      </c>
      <c r="AN77">
        <f>SUMIF(ConfirmedRaw!$B:$B,$A77,ConfirmedRaw!AQ:AQ)</f>
        <v>0</v>
      </c>
      <c r="AO77">
        <f>SUMIF(ConfirmedRaw!$B:$B,$A77,ConfirmedRaw!AR:AR)</f>
        <v>0</v>
      </c>
      <c r="AP77">
        <f>SUMIF(ConfirmedRaw!$B:$B,$A77,ConfirmedRaw!AS:AS)</f>
        <v>0</v>
      </c>
      <c r="AQ77">
        <f>SUMIF(ConfirmedRaw!$B:$B,$A77,ConfirmedRaw!AT:AT)</f>
        <v>0</v>
      </c>
      <c r="AR77">
        <f>SUMIF(ConfirmedRaw!$B:$B,$A77,ConfirmedRaw!AU:AU)</f>
        <v>0</v>
      </c>
      <c r="AS77">
        <f>SUMIF(ConfirmedRaw!$B:$B,$A77,ConfirmedRaw!AV:AV)</f>
        <v>2</v>
      </c>
      <c r="AT77">
        <f>SUMIF(ConfirmedRaw!$B:$B,$A77,ConfirmedRaw!AW:AW)</f>
        <v>2</v>
      </c>
      <c r="AU77">
        <f>SUMIF(ConfirmedRaw!$B:$B,$A77,ConfirmedRaw!AX:AX)</f>
        <v>3</v>
      </c>
      <c r="AV77">
        <f>SUMIF(ConfirmedRaw!$B:$B,$A77,ConfirmedRaw!AY:AY)</f>
        <v>3</v>
      </c>
      <c r="AW77">
        <f>SUMIF(ConfirmedRaw!$B:$B,$A77,ConfirmedRaw!AZ:AZ)</f>
        <v>3</v>
      </c>
      <c r="AX77">
        <f>SUMIF(ConfirmedRaw!$B:$B,$A77,ConfirmedRaw!BA:BA)</f>
        <v>5</v>
      </c>
      <c r="AY77">
        <f>SUMIF(ConfirmedRaw!$B:$B,$A77,ConfirmedRaw!BB:BB)</f>
        <v>7</v>
      </c>
      <c r="AZ77">
        <f>SUMIF(ConfirmedRaw!$B:$B,$A77,ConfirmedRaw!BC:BC)</f>
        <v>11</v>
      </c>
      <c r="BA77">
        <f>SUMIF(ConfirmedRaw!$B:$B,$A77,ConfirmedRaw!BD:BD)</f>
        <v>13</v>
      </c>
      <c r="BB77">
        <f>SUMIF(ConfirmedRaw!$B:$B,$A77,ConfirmedRaw!BE:BE)</f>
        <v>18</v>
      </c>
      <c r="BC77">
        <f>SUMIF(ConfirmedRaw!$B:$B,$A77,ConfirmedRaw!BF:BF)</f>
        <v>24</v>
      </c>
      <c r="BD77">
        <f>SUMIF(ConfirmedRaw!$B:$B,$A77,ConfirmedRaw!BG:BG)</f>
        <v>25</v>
      </c>
      <c r="BE77">
        <f>SUMIF(ConfirmedRaw!$B:$B,$A77,ConfirmedRaw!BH:BH)</f>
        <v>26</v>
      </c>
      <c r="BF77">
        <f>SUMIF(ConfirmedRaw!$B:$B,$A77,ConfirmedRaw!BI:BI)</f>
        <v>38</v>
      </c>
      <c r="BG77">
        <f>SUMIF(ConfirmedRaw!$B:$B,$A77,ConfirmedRaw!BJ:BJ)</f>
        <v>63</v>
      </c>
      <c r="BH77">
        <f>SUMIF(ConfirmedRaw!$B:$B,$A77,ConfirmedRaw!BK:BK)</f>
        <v>89</v>
      </c>
      <c r="BI77">
        <f>SUMIF(ConfirmedRaw!$B:$B,$A77,ConfirmedRaw!BL:BL)</f>
        <v>0</v>
      </c>
      <c r="BJ77">
        <f>SUMIF(ConfirmedRaw!$B:$B,$A77,ConfirmedRaw!BM:BM)</f>
        <v>0</v>
      </c>
      <c r="BK77">
        <f>SUMIF(ConfirmedRaw!$B:$B,$A77,ConfirmedRaw!BN:BN)</f>
        <v>0</v>
      </c>
      <c r="BL77">
        <f>SUMIF(ConfirmedRaw!$B:$B,$A77,ConfirmedRaw!BO:BO)</f>
        <v>0</v>
      </c>
      <c r="BM77">
        <f>SUMIF(ConfirmedRaw!$B:$B,$A77,ConfirmedRaw!BP:BP)</f>
        <v>0</v>
      </c>
      <c r="BN77">
        <f>SUMIF(ConfirmedRaw!$B:$B,$A77,ConfirmedRaw!BQ:BQ)</f>
        <v>0</v>
      </c>
      <c r="BO77">
        <f>SUMIF(ConfirmedRaw!$B:$B,$A77,ConfirmedRaw!BR:BR)</f>
        <v>0</v>
      </c>
      <c r="BP77">
        <f>SUMIF(ConfirmedRaw!$B:$B,$A77,ConfirmedRaw!BS:BS)</f>
        <v>0</v>
      </c>
      <c r="BQ77">
        <f>SUMIF(ConfirmedRaw!$B:$B,$A77,ConfirmedRaw!BT:BT)</f>
        <v>0</v>
      </c>
      <c r="BR77">
        <f>SUMIF(ConfirmedRaw!$B:$B,$A77,ConfirmedRaw!BU:BU)</f>
        <v>0</v>
      </c>
      <c r="BS77">
        <f>SUMIF(ConfirmedRaw!$B:$B,$A77,ConfirmedRaw!BV:BV)</f>
        <v>0</v>
      </c>
      <c r="BT77">
        <f>SUMIF(ConfirmedRaw!$B:$B,$A77,ConfirmedRaw!BW:BW)</f>
        <v>0</v>
      </c>
    </row>
    <row r="78" spans="1:72" ht="15" thickBot="1" x14ac:dyDescent="0.35">
      <c r="A78" s="4" t="s">
        <v>158</v>
      </c>
      <c r="B78">
        <f>SUMIF(ConfirmedRaw!$B:$B,$A78,ConfirmedRaw!E:E)</f>
        <v>0</v>
      </c>
      <c r="C78">
        <f>SUMIF(ConfirmedRaw!$B:$B,$A78,ConfirmedRaw!F:F)</f>
        <v>0</v>
      </c>
      <c r="D78">
        <f>SUMIF(ConfirmedRaw!$B:$B,$A78,ConfirmedRaw!G:G)</f>
        <v>0</v>
      </c>
      <c r="E78">
        <f>SUMIF(ConfirmedRaw!$B:$B,$A78,ConfirmedRaw!H:H)</f>
        <v>0</v>
      </c>
      <c r="F78">
        <f>SUMIF(ConfirmedRaw!$B:$B,$A78,ConfirmedRaw!I:I)</f>
        <v>0</v>
      </c>
      <c r="G78">
        <f>SUMIF(ConfirmedRaw!$B:$B,$A78,ConfirmedRaw!J:J)</f>
        <v>0</v>
      </c>
      <c r="H78">
        <f>SUMIF(ConfirmedRaw!$B:$B,$A78,ConfirmedRaw!K:K)</f>
        <v>0</v>
      </c>
      <c r="I78">
        <f>SUMIF(ConfirmedRaw!$B:$B,$A78,ConfirmedRaw!L:L)</f>
        <v>0</v>
      </c>
      <c r="J78">
        <f>SUMIF(ConfirmedRaw!$B:$B,$A78,ConfirmedRaw!M:M)</f>
        <v>0</v>
      </c>
      <c r="K78">
        <f>SUMIF(ConfirmedRaw!$B:$B,$A78,ConfirmedRaw!N:N)</f>
        <v>0</v>
      </c>
      <c r="L78">
        <f>SUMIF(ConfirmedRaw!$B:$B,$A78,ConfirmedRaw!O:O)</f>
        <v>0</v>
      </c>
      <c r="M78">
        <f>SUMIF(ConfirmedRaw!$B:$B,$A78,ConfirmedRaw!P:P)</f>
        <v>0</v>
      </c>
      <c r="N78">
        <f>SUMIF(ConfirmedRaw!$B:$B,$A78,ConfirmedRaw!Q:Q)</f>
        <v>0</v>
      </c>
      <c r="O78">
        <f>SUMIF(ConfirmedRaw!$B:$B,$A78,ConfirmedRaw!R:R)</f>
        <v>0</v>
      </c>
      <c r="P78">
        <f>SUMIF(ConfirmedRaw!$B:$B,$A78,ConfirmedRaw!S:S)</f>
        <v>0</v>
      </c>
      <c r="Q78">
        <f>SUMIF(ConfirmedRaw!$B:$B,$A78,ConfirmedRaw!T:T)</f>
        <v>0</v>
      </c>
      <c r="R78">
        <f>SUMIF(ConfirmedRaw!$B:$B,$A78,ConfirmedRaw!U:U)</f>
        <v>0</v>
      </c>
      <c r="S78">
        <f>SUMIF(ConfirmedRaw!$B:$B,$A78,ConfirmedRaw!V:V)</f>
        <v>0</v>
      </c>
      <c r="T78">
        <f>SUMIF(ConfirmedRaw!$B:$B,$A78,ConfirmedRaw!W:W)</f>
        <v>0</v>
      </c>
      <c r="U78">
        <f>SUMIF(ConfirmedRaw!$B:$B,$A78,ConfirmedRaw!X:X)</f>
        <v>0</v>
      </c>
      <c r="V78">
        <f>SUMIF(ConfirmedRaw!$B:$B,$A78,ConfirmedRaw!Y:Y)</f>
        <v>0</v>
      </c>
      <c r="W78">
        <f>SUMIF(ConfirmedRaw!$B:$B,$A78,ConfirmedRaw!Z:Z)</f>
        <v>0</v>
      </c>
      <c r="X78">
        <f>SUMIF(ConfirmedRaw!$B:$B,$A78,ConfirmedRaw!AA:AA)</f>
        <v>0</v>
      </c>
      <c r="Y78">
        <f>SUMIF(ConfirmedRaw!$B:$B,$A78,ConfirmedRaw!AB:AB)</f>
        <v>0</v>
      </c>
      <c r="Z78">
        <f>SUMIF(ConfirmedRaw!$B:$B,$A78,ConfirmedRaw!AC:AC)</f>
        <v>0</v>
      </c>
      <c r="AA78">
        <f>SUMIF(ConfirmedRaw!$B:$B,$A78,ConfirmedRaw!AD:AD)</f>
        <v>0</v>
      </c>
      <c r="AB78">
        <f>SUMIF(ConfirmedRaw!$B:$B,$A78,ConfirmedRaw!AE:AE)</f>
        <v>0</v>
      </c>
      <c r="AC78">
        <f>SUMIF(ConfirmedRaw!$B:$B,$A78,ConfirmedRaw!AF:AF)</f>
        <v>0</v>
      </c>
      <c r="AD78">
        <f>SUMIF(ConfirmedRaw!$B:$B,$A78,ConfirmedRaw!AG:AG)</f>
        <v>0</v>
      </c>
      <c r="AE78">
        <f>SUMIF(ConfirmedRaw!$B:$B,$A78,ConfirmedRaw!AH:AH)</f>
        <v>0</v>
      </c>
      <c r="AF78">
        <f>SUMIF(ConfirmedRaw!$B:$B,$A78,ConfirmedRaw!AI:AI)</f>
        <v>0</v>
      </c>
      <c r="AG78">
        <f>SUMIF(ConfirmedRaw!$B:$B,$A78,ConfirmedRaw!AJ:AJ)</f>
        <v>0</v>
      </c>
      <c r="AH78">
        <f>SUMIF(ConfirmedRaw!$B:$B,$A78,ConfirmedRaw!AK:AK)</f>
        <v>0</v>
      </c>
      <c r="AI78">
        <f>SUMIF(ConfirmedRaw!$B:$B,$A78,ConfirmedRaw!AL:AL)</f>
        <v>0</v>
      </c>
      <c r="AJ78">
        <f>SUMIF(ConfirmedRaw!$B:$B,$A78,ConfirmedRaw!AM:AM)</f>
        <v>0</v>
      </c>
      <c r="AK78">
        <f>SUMIF(ConfirmedRaw!$B:$B,$A78,ConfirmedRaw!AN:AN)</f>
        <v>0</v>
      </c>
      <c r="AL78">
        <f>SUMIF(ConfirmedRaw!$B:$B,$A78,ConfirmedRaw!AO:AO)</f>
        <v>0</v>
      </c>
      <c r="AM78">
        <f>SUMIF(ConfirmedRaw!$B:$B,$A78,ConfirmedRaw!AP:AP)</f>
        <v>0</v>
      </c>
      <c r="AN78">
        <f>SUMIF(ConfirmedRaw!$B:$B,$A78,ConfirmedRaw!AQ:AQ)</f>
        <v>0</v>
      </c>
      <c r="AO78">
        <f>SUMIF(ConfirmedRaw!$B:$B,$A78,ConfirmedRaw!AR:AR)</f>
        <v>0</v>
      </c>
      <c r="AP78">
        <f>SUMIF(ConfirmedRaw!$B:$B,$A78,ConfirmedRaw!AS:AS)</f>
        <v>0</v>
      </c>
      <c r="AQ78">
        <f>SUMIF(ConfirmedRaw!$B:$B,$A78,ConfirmedRaw!AT:AT)</f>
        <v>0</v>
      </c>
      <c r="AR78">
        <f>SUMIF(ConfirmedRaw!$B:$B,$A78,ConfirmedRaw!AU:AU)</f>
        <v>0</v>
      </c>
      <c r="AS78">
        <f>SUMIF(ConfirmedRaw!$B:$B,$A78,ConfirmedRaw!AV:AV)</f>
        <v>0</v>
      </c>
      <c r="AT78">
        <f>SUMIF(ConfirmedRaw!$B:$B,$A78,ConfirmedRaw!AW:AW)</f>
        <v>1</v>
      </c>
      <c r="AU78">
        <f>SUMIF(ConfirmedRaw!$B:$B,$A78,ConfirmedRaw!AX:AX)</f>
        <v>1</v>
      </c>
      <c r="AV78">
        <f>SUMIF(ConfirmedRaw!$B:$B,$A78,ConfirmedRaw!AY:AY)</f>
        <v>1</v>
      </c>
      <c r="AW78">
        <f>SUMIF(ConfirmedRaw!$B:$B,$A78,ConfirmedRaw!AZ:AZ)</f>
        <v>1</v>
      </c>
      <c r="AX78">
        <f>SUMIF(ConfirmedRaw!$B:$B,$A78,ConfirmedRaw!BA:BA)</f>
        <v>3</v>
      </c>
      <c r="AY78">
        <f>SUMIF(ConfirmedRaw!$B:$B,$A78,ConfirmedRaw!BB:BB)</f>
        <v>9</v>
      </c>
      <c r="AZ78">
        <f>SUMIF(ConfirmedRaw!$B:$B,$A78,ConfirmedRaw!BC:BC)</f>
        <v>9</v>
      </c>
      <c r="BA78">
        <f>SUMIF(ConfirmedRaw!$B:$B,$A78,ConfirmedRaw!BD:BD)</f>
        <v>13</v>
      </c>
      <c r="BB78">
        <f>SUMIF(ConfirmedRaw!$B:$B,$A78,ConfirmedRaw!BE:BE)</f>
        <v>22</v>
      </c>
      <c r="BC78">
        <f>SUMIF(ConfirmedRaw!$B:$B,$A78,ConfirmedRaw!BF:BF)</f>
        <v>34</v>
      </c>
      <c r="BD78">
        <f>SUMIF(ConfirmedRaw!$B:$B,$A78,ConfirmedRaw!BG:BG)</f>
        <v>54</v>
      </c>
      <c r="BE78">
        <f>SUMIF(ConfirmedRaw!$B:$B,$A78,ConfirmedRaw!BH:BH)</f>
        <v>65</v>
      </c>
      <c r="BF78">
        <f>SUMIF(ConfirmedRaw!$B:$B,$A78,ConfirmedRaw!BI:BI)</f>
        <v>93</v>
      </c>
      <c r="BG78">
        <f>SUMIF(ConfirmedRaw!$B:$B,$A78,ConfirmedRaw!BJ:BJ)</f>
        <v>102</v>
      </c>
      <c r="BH78">
        <f>SUMIF(ConfirmedRaw!$B:$B,$A78,ConfirmedRaw!BK:BK)</f>
        <v>128</v>
      </c>
      <c r="BI78">
        <f>SUMIF(ConfirmedRaw!$B:$B,$A78,ConfirmedRaw!BL:BL)</f>
        <v>0</v>
      </c>
      <c r="BJ78">
        <f>SUMIF(ConfirmedRaw!$B:$B,$A78,ConfirmedRaw!BM:BM)</f>
        <v>0</v>
      </c>
      <c r="BK78">
        <f>SUMIF(ConfirmedRaw!$B:$B,$A78,ConfirmedRaw!BN:BN)</f>
        <v>0</v>
      </c>
      <c r="BL78">
        <f>SUMIF(ConfirmedRaw!$B:$B,$A78,ConfirmedRaw!BO:BO)</f>
        <v>0</v>
      </c>
      <c r="BM78">
        <f>SUMIF(ConfirmedRaw!$B:$B,$A78,ConfirmedRaw!BP:BP)</f>
        <v>0</v>
      </c>
      <c r="BN78">
        <f>SUMIF(ConfirmedRaw!$B:$B,$A78,ConfirmedRaw!BQ:BQ)</f>
        <v>0</v>
      </c>
      <c r="BO78">
        <f>SUMIF(ConfirmedRaw!$B:$B,$A78,ConfirmedRaw!BR:BR)</f>
        <v>0</v>
      </c>
      <c r="BP78">
        <f>SUMIF(ConfirmedRaw!$B:$B,$A78,ConfirmedRaw!BS:BS)</f>
        <v>0</v>
      </c>
      <c r="BQ78">
        <f>SUMIF(ConfirmedRaw!$B:$B,$A78,ConfirmedRaw!BT:BT)</f>
        <v>0</v>
      </c>
      <c r="BR78">
        <f>SUMIF(ConfirmedRaw!$B:$B,$A78,ConfirmedRaw!BU:BU)</f>
        <v>0</v>
      </c>
      <c r="BS78">
        <f>SUMIF(ConfirmedRaw!$B:$B,$A78,ConfirmedRaw!BV:BV)</f>
        <v>0</v>
      </c>
      <c r="BT78">
        <f>SUMIF(ConfirmedRaw!$B:$B,$A78,ConfirmedRaw!BW:BW)</f>
        <v>0</v>
      </c>
    </row>
    <row r="79" spans="1:72" ht="15" thickBot="1" x14ac:dyDescent="0.35">
      <c r="A79" s="3" t="s">
        <v>177</v>
      </c>
      <c r="B79">
        <f>SUMIF(ConfirmedRaw!$B:$B,$A79,ConfirmedRaw!E:E)</f>
        <v>0</v>
      </c>
      <c r="C79">
        <f>SUMIF(ConfirmedRaw!$B:$B,$A79,ConfirmedRaw!F:F)</f>
        <v>0</v>
      </c>
      <c r="D79">
        <f>SUMIF(ConfirmedRaw!$B:$B,$A79,ConfirmedRaw!G:G)</f>
        <v>0</v>
      </c>
      <c r="E79">
        <f>SUMIF(ConfirmedRaw!$B:$B,$A79,ConfirmedRaw!H:H)</f>
        <v>0</v>
      </c>
      <c r="F79">
        <f>SUMIF(ConfirmedRaw!$B:$B,$A79,ConfirmedRaw!I:I)</f>
        <v>0</v>
      </c>
      <c r="G79">
        <f>SUMIF(ConfirmedRaw!$B:$B,$A79,ConfirmedRaw!J:J)</f>
        <v>0</v>
      </c>
      <c r="H79">
        <f>SUMIF(ConfirmedRaw!$B:$B,$A79,ConfirmedRaw!K:K)</f>
        <v>0</v>
      </c>
      <c r="I79">
        <f>SUMIF(ConfirmedRaw!$B:$B,$A79,ConfirmedRaw!L:L)</f>
        <v>0</v>
      </c>
      <c r="J79">
        <f>SUMIF(ConfirmedRaw!$B:$B,$A79,ConfirmedRaw!M:M)</f>
        <v>0</v>
      </c>
      <c r="K79">
        <f>SUMIF(ConfirmedRaw!$B:$B,$A79,ConfirmedRaw!N:N)</f>
        <v>0</v>
      </c>
      <c r="L79">
        <f>SUMIF(ConfirmedRaw!$B:$B,$A79,ConfirmedRaw!O:O)</f>
        <v>0</v>
      </c>
      <c r="M79">
        <f>SUMIF(ConfirmedRaw!$B:$B,$A79,ConfirmedRaw!P:P)</f>
        <v>0</v>
      </c>
      <c r="N79">
        <f>SUMIF(ConfirmedRaw!$B:$B,$A79,ConfirmedRaw!Q:Q)</f>
        <v>0</v>
      </c>
      <c r="O79">
        <f>SUMIF(ConfirmedRaw!$B:$B,$A79,ConfirmedRaw!R:R)</f>
        <v>0</v>
      </c>
      <c r="P79">
        <f>SUMIF(ConfirmedRaw!$B:$B,$A79,ConfirmedRaw!S:S)</f>
        <v>0</v>
      </c>
      <c r="Q79">
        <f>SUMIF(ConfirmedRaw!$B:$B,$A79,ConfirmedRaw!T:T)</f>
        <v>0</v>
      </c>
      <c r="R79">
        <f>SUMIF(ConfirmedRaw!$B:$B,$A79,ConfirmedRaw!U:U)</f>
        <v>0</v>
      </c>
      <c r="S79">
        <f>SUMIF(ConfirmedRaw!$B:$B,$A79,ConfirmedRaw!V:V)</f>
        <v>0</v>
      </c>
      <c r="T79">
        <f>SUMIF(ConfirmedRaw!$B:$B,$A79,ConfirmedRaw!W:W)</f>
        <v>0</v>
      </c>
      <c r="U79">
        <f>SUMIF(ConfirmedRaw!$B:$B,$A79,ConfirmedRaw!X:X)</f>
        <v>0</v>
      </c>
      <c r="V79">
        <f>SUMIF(ConfirmedRaw!$B:$B,$A79,ConfirmedRaw!Y:Y)</f>
        <v>0</v>
      </c>
      <c r="W79">
        <f>SUMIF(ConfirmedRaw!$B:$B,$A79,ConfirmedRaw!Z:Z)</f>
        <v>0</v>
      </c>
      <c r="X79">
        <f>SUMIF(ConfirmedRaw!$B:$B,$A79,ConfirmedRaw!AA:AA)</f>
        <v>0</v>
      </c>
      <c r="Y79">
        <f>SUMIF(ConfirmedRaw!$B:$B,$A79,ConfirmedRaw!AB:AB)</f>
        <v>0</v>
      </c>
      <c r="Z79">
        <f>SUMIF(ConfirmedRaw!$B:$B,$A79,ConfirmedRaw!AC:AC)</f>
        <v>0</v>
      </c>
      <c r="AA79">
        <f>SUMIF(ConfirmedRaw!$B:$B,$A79,ConfirmedRaw!AD:AD)</f>
        <v>0</v>
      </c>
      <c r="AB79">
        <f>SUMIF(ConfirmedRaw!$B:$B,$A79,ConfirmedRaw!AE:AE)</f>
        <v>0</v>
      </c>
      <c r="AC79">
        <f>SUMIF(ConfirmedRaw!$B:$B,$A79,ConfirmedRaw!AF:AF)</f>
        <v>0</v>
      </c>
      <c r="AD79">
        <f>SUMIF(ConfirmedRaw!$B:$B,$A79,ConfirmedRaw!AG:AG)</f>
        <v>0</v>
      </c>
      <c r="AE79">
        <f>SUMIF(ConfirmedRaw!$B:$B,$A79,ConfirmedRaw!AH:AH)</f>
        <v>0</v>
      </c>
      <c r="AF79">
        <f>SUMIF(ConfirmedRaw!$B:$B,$A79,ConfirmedRaw!AI:AI)</f>
        <v>0</v>
      </c>
      <c r="AG79">
        <f>SUMIF(ConfirmedRaw!$B:$B,$A79,ConfirmedRaw!AJ:AJ)</f>
        <v>0</v>
      </c>
      <c r="AH79">
        <f>SUMIF(ConfirmedRaw!$B:$B,$A79,ConfirmedRaw!AK:AK)</f>
        <v>0</v>
      </c>
      <c r="AI79">
        <f>SUMIF(ConfirmedRaw!$B:$B,$A79,ConfirmedRaw!AL:AL)</f>
        <v>0</v>
      </c>
      <c r="AJ79">
        <f>SUMIF(ConfirmedRaw!$B:$B,$A79,ConfirmedRaw!AM:AM)</f>
        <v>0</v>
      </c>
      <c r="AK79">
        <f>SUMIF(ConfirmedRaw!$B:$B,$A79,ConfirmedRaw!AN:AN)</f>
        <v>0</v>
      </c>
      <c r="AL79">
        <f>SUMIF(ConfirmedRaw!$B:$B,$A79,ConfirmedRaw!AO:AO)</f>
        <v>0</v>
      </c>
      <c r="AM79">
        <f>SUMIF(ConfirmedRaw!$B:$B,$A79,ConfirmedRaw!AP:AP)</f>
        <v>0</v>
      </c>
      <c r="AN79">
        <f>SUMIF(ConfirmedRaw!$B:$B,$A79,ConfirmedRaw!AQ:AQ)</f>
        <v>0</v>
      </c>
      <c r="AO79">
        <f>SUMIF(ConfirmedRaw!$B:$B,$A79,ConfirmedRaw!AR:AR)</f>
        <v>0</v>
      </c>
      <c r="AP79">
        <f>SUMIF(ConfirmedRaw!$B:$B,$A79,ConfirmedRaw!AS:AS)</f>
        <v>0</v>
      </c>
      <c r="AQ79">
        <f>SUMIF(ConfirmedRaw!$B:$B,$A79,ConfirmedRaw!AT:AT)</f>
        <v>0</v>
      </c>
      <c r="AR79">
        <f>SUMIF(ConfirmedRaw!$B:$B,$A79,ConfirmedRaw!AU:AU)</f>
        <v>0</v>
      </c>
      <c r="AS79">
        <f>SUMIF(ConfirmedRaw!$B:$B,$A79,ConfirmedRaw!AV:AV)</f>
        <v>0</v>
      </c>
      <c r="AT79">
        <f>SUMIF(ConfirmedRaw!$B:$B,$A79,ConfirmedRaw!AW:AW)</f>
        <v>0</v>
      </c>
      <c r="AU79">
        <f>SUMIF(ConfirmedRaw!$B:$B,$A79,ConfirmedRaw!AX:AX)</f>
        <v>3</v>
      </c>
      <c r="AV79">
        <f>SUMIF(ConfirmedRaw!$B:$B,$A79,ConfirmedRaw!AY:AY)</f>
        <v>3</v>
      </c>
      <c r="AW79">
        <f>SUMIF(ConfirmedRaw!$B:$B,$A79,ConfirmedRaw!AZ:AZ)</f>
        <v>3</v>
      </c>
      <c r="AX79">
        <f>SUMIF(ConfirmedRaw!$B:$B,$A79,ConfirmedRaw!BA:BA)</f>
        <v>5</v>
      </c>
      <c r="AY79">
        <f>SUMIF(ConfirmedRaw!$B:$B,$A79,ConfirmedRaw!BB:BB)</f>
        <v>6</v>
      </c>
      <c r="AZ79">
        <f>SUMIF(ConfirmedRaw!$B:$B,$A79,ConfirmedRaw!BC:BC)</f>
        <v>6</v>
      </c>
      <c r="BA79">
        <f>SUMIF(ConfirmedRaw!$B:$B,$A79,ConfirmedRaw!BD:BD)</f>
        <v>12</v>
      </c>
      <c r="BB79">
        <f>SUMIF(ConfirmedRaw!$B:$B,$A79,ConfirmedRaw!BE:BE)</f>
        <v>18</v>
      </c>
      <c r="BC79">
        <f>SUMIF(ConfirmedRaw!$B:$B,$A79,ConfirmedRaw!BF:BF)</f>
        <v>21</v>
      </c>
      <c r="BD79">
        <f>SUMIF(ConfirmedRaw!$B:$B,$A79,ConfirmedRaw!BG:BG)</f>
        <v>30</v>
      </c>
      <c r="BE79">
        <f>SUMIF(ConfirmedRaw!$B:$B,$A79,ConfirmedRaw!BH:BH)</f>
        <v>38</v>
      </c>
      <c r="BF79">
        <f>SUMIF(ConfirmedRaw!$B:$B,$A79,ConfirmedRaw!BI:BI)</f>
        <v>38</v>
      </c>
      <c r="BG79">
        <f>SUMIF(ConfirmedRaw!$B:$B,$A79,ConfirmedRaw!BJ:BJ)</f>
        <v>53</v>
      </c>
      <c r="BH79">
        <f>SUMIF(ConfirmedRaw!$B:$B,$A79,ConfirmedRaw!BK:BK)</f>
        <v>64</v>
      </c>
      <c r="BI79">
        <f>SUMIF(ConfirmedRaw!$B:$B,$A79,ConfirmedRaw!BL:BL)</f>
        <v>0</v>
      </c>
      <c r="BJ79">
        <f>SUMIF(ConfirmedRaw!$B:$B,$A79,ConfirmedRaw!BM:BM)</f>
        <v>0</v>
      </c>
      <c r="BK79">
        <f>SUMIF(ConfirmedRaw!$B:$B,$A79,ConfirmedRaw!BN:BN)</f>
        <v>0</v>
      </c>
      <c r="BL79">
        <f>SUMIF(ConfirmedRaw!$B:$B,$A79,ConfirmedRaw!BO:BO)</f>
        <v>0</v>
      </c>
      <c r="BM79">
        <f>SUMIF(ConfirmedRaw!$B:$B,$A79,ConfirmedRaw!BP:BP)</f>
        <v>0</v>
      </c>
      <c r="BN79">
        <f>SUMIF(ConfirmedRaw!$B:$B,$A79,ConfirmedRaw!BQ:BQ)</f>
        <v>0</v>
      </c>
      <c r="BO79">
        <f>SUMIF(ConfirmedRaw!$B:$B,$A79,ConfirmedRaw!BR:BR)</f>
        <v>0</v>
      </c>
      <c r="BP79">
        <f>SUMIF(ConfirmedRaw!$B:$B,$A79,ConfirmedRaw!BS:BS)</f>
        <v>0</v>
      </c>
      <c r="BQ79">
        <f>SUMIF(ConfirmedRaw!$B:$B,$A79,ConfirmedRaw!BT:BT)</f>
        <v>0</v>
      </c>
      <c r="BR79">
        <f>SUMIF(ConfirmedRaw!$B:$B,$A79,ConfirmedRaw!BU:BU)</f>
        <v>0</v>
      </c>
      <c r="BS79">
        <f>SUMIF(ConfirmedRaw!$B:$B,$A79,ConfirmedRaw!BV:BV)</f>
        <v>0</v>
      </c>
      <c r="BT79">
        <f>SUMIF(ConfirmedRaw!$B:$B,$A79,ConfirmedRaw!BW:BW)</f>
        <v>0</v>
      </c>
    </row>
    <row r="80" spans="1:72" ht="15" thickBot="1" x14ac:dyDescent="0.35">
      <c r="A80" s="4" t="s">
        <v>94</v>
      </c>
      <c r="B80">
        <f>SUMIF(ConfirmedRaw!$B:$B,$A80,ConfirmedRaw!E:E)</f>
        <v>0</v>
      </c>
      <c r="C80">
        <f>SUMIF(ConfirmedRaw!$B:$B,$A80,ConfirmedRaw!F:F)</f>
        <v>0</v>
      </c>
      <c r="D80">
        <f>SUMIF(ConfirmedRaw!$B:$B,$A80,ConfirmedRaw!G:G)</f>
        <v>0</v>
      </c>
      <c r="E80">
        <f>SUMIF(ConfirmedRaw!$B:$B,$A80,ConfirmedRaw!H:H)</f>
        <v>0</v>
      </c>
      <c r="F80">
        <f>SUMIF(ConfirmedRaw!$B:$B,$A80,ConfirmedRaw!I:I)</f>
        <v>0</v>
      </c>
      <c r="G80">
        <f>SUMIF(ConfirmedRaw!$B:$B,$A80,ConfirmedRaw!J:J)</f>
        <v>0</v>
      </c>
      <c r="H80">
        <f>SUMIF(ConfirmedRaw!$B:$B,$A80,ConfirmedRaw!K:K)</f>
        <v>0</v>
      </c>
      <c r="I80">
        <f>SUMIF(ConfirmedRaw!$B:$B,$A80,ConfirmedRaw!L:L)</f>
        <v>0</v>
      </c>
      <c r="J80">
        <f>SUMIF(ConfirmedRaw!$B:$B,$A80,ConfirmedRaw!M:M)</f>
        <v>0</v>
      </c>
      <c r="K80">
        <f>SUMIF(ConfirmedRaw!$B:$B,$A80,ConfirmedRaw!N:N)</f>
        <v>0</v>
      </c>
      <c r="L80">
        <f>SUMIF(ConfirmedRaw!$B:$B,$A80,ConfirmedRaw!O:O)</f>
        <v>0</v>
      </c>
      <c r="M80">
        <f>SUMIF(ConfirmedRaw!$B:$B,$A80,ConfirmedRaw!P:P)</f>
        <v>0</v>
      </c>
      <c r="N80">
        <f>SUMIF(ConfirmedRaw!$B:$B,$A80,ConfirmedRaw!Q:Q)</f>
        <v>0</v>
      </c>
      <c r="O80">
        <f>SUMIF(ConfirmedRaw!$B:$B,$A80,ConfirmedRaw!R:R)</f>
        <v>0</v>
      </c>
      <c r="P80">
        <f>SUMIF(ConfirmedRaw!$B:$B,$A80,ConfirmedRaw!S:S)</f>
        <v>0</v>
      </c>
      <c r="Q80">
        <f>SUMIF(ConfirmedRaw!$B:$B,$A80,ConfirmedRaw!T:T)</f>
        <v>0</v>
      </c>
      <c r="R80">
        <f>SUMIF(ConfirmedRaw!$B:$B,$A80,ConfirmedRaw!U:U)</f>
        <v>0</v>
      </c>
      <c r="S80">
        <f>SUMIF(ConfirmedRaw!$B:$B,$A80,ConfirmedRaw!V:V)</f>
        <v>0</v>
      </c>
      <c r="T80">
        <f>SUMIF(ConfirmedRaw!$B:$B,$A80,ConfirmedRaw!W:W)</f>
        <v>0</v>
      </c>
      <c r="U80">
        <f>SUMIF(ConfirmedRaw!$B:$B,$A80,ConfirmedRaw!X:X)</f>
        <v>0</v>
      </c>
      <c r="V80">
        <f>SUMIF(ConfirmedRaw!$B:$B,$A80,ConfirmedRaw!Y:Y)</f>
        <v>0</v>
      </c>
      <c r="W80">
        <f>SUMIF(ConfirmedRaw!$B:$B,$A80,ConfirmedRaw!Z:Z)</f>
        <v>0</v>
      </c>
      <c r="X80">
        <f>SUMIF(ConfirmedRaw!$B:$B,$A80,ConfirmedRaw!AA:AA)</f>
        <v>0</v>
      </c>
      <c r="Y80">
        <f>SUMIF(ConfirmedRaw!$B:$B,$A80,ConfirmedRaw!AB:AB)</f>
        <v>0</v>
      </c>
      <c r="Z80">
        <f>SUMIF(ConfirmedRaw!$B:$B,$A80,ConfirmedRaw!AC:AC)</f>
        <v>0</v>
      </c>
      <c r="AA80">
        <f>SUMIF(ConfirmedRaw!$B:$B,$A80,ConfirmedRaw!AD:AD)</f>
        <v>0</v>
      </c>
      <c r="AB80">
        <f>SUMIF(ConfirmedRaw!$B:$B,$A80,ConfirmedRaw!AE:AE)</f>
        <v>0</v>
      </c>
      <c r="AC80">
        <f>SUMIF(ConfirmedRaw!$B:$B,$A80,ConfirmedRaw!AF:AF)</f>
        <v>0</v>
      </c>
      <c r="AD80">
        <f>SUMIF(ConfirmedRaw!$B:$B,$A80,ConfirmedRaw!AG:AG)</f>
        <v>0</v>
      </c>
      <c r="AE80">
        <f>SUMIF(ConfirmedRaw!$B:$B,$A80,ConfirmedRaw!AH:AH)</f>
        <v>0</v>
      </c>
      <c r="AF80">
        <f>SUMIF(ConfirmedRaw!$B:$B,$A80,ConfirmedRaw!AI:AI)</f>
        <v>0</v>
      </c>
      <c r="AG80">
        <f>SUMIF(ConfirmedRaw!$B:$B,$A80,ConfirmedRaw!AJ:AJ)</f>
        <v>0</v>
      </c>
      <c r="AH80">
        <f>SUMIF(ConfirmedRaw!$B:$B,$A80,ConfirmedRaw!AK:AK)</f>
        <v>0</v>
      </c>
      <c r="AI80">
        <f>SUMIF(ConfirmedRaw!$B:$B,$A80,ConfirmedRaw!AL:AL)</f>
        <v>0</v>
      </c>
      <c r="AJ80">
        <f>SUMIF(ConfirmedRaw!$B:$B,$A80,ConfirmedRaw!AM:AM)</f>
        <v>0</v>
      </c>
      <c r="AK80">
        <f>SUMIF(ConfirmedRaw!$B:$B,$A80,ConfirmedRaw!AN:AN)</f>
        <v>0</v>
      </c>
      <c r="AL80">
        <f>SUMIF(ConfirmedRaw!$B:$B,$A80,ConfirmedRaw!AO:AO)</f>
        <v>0</v>
      </c>
      <c r="AM80">
        <f>SUMIF(ConfirmedRaw!$B:$B,$A80,ConfirmedRaw!AP:AP)</f>
        <v>1</v>
      </c>
      <c r="AN80">
        <f>SUMIF(ConfirmedRaw!$B:$B,$A80,ConfirmedRaw!AQ:AQ)</f>
        <v>4</v>
      </c>
      <c r="AO80">
        <f>SUMIF(ConfirmedRaw!$B:$B,$A80,ConfirmedRaw!AR:AR)</f>
        <v>5</v>
      </c>
      <c r="AP80">
        <f>SUMIF(ConfirmedRaw!$B:$B,$A80,ConfirmedRaw!AS:AS)</f>
        <v>5</v>
      </c>
      <c r="AQ80">
        <f>SUMIF(ConfirmedRaw!$B:$B,$A80,ConfirmedRaw!AT:AT)</f>
        <v>5</v>
      </c>
      <c r="AR80">
        <f>SUMIF(ConfirmedRaw!$B:$B,$A80,ConfirmedRaw!AU:AU)</f>
        <v>5</v>
      </c>
      <c r="AS80">
        <f>SUMIF(ConfirmedRaw!$B:$B,$A80,ConfirmedRaw!AV:AV)</f>
        <v>5</v>
      </c>
      <c r="AT80">
        <f>SUMIF(ConfirmedRaw!$B:$B,$A80,ConfirmedRaw!AW:AW)</f>
        <v>6</v>
      </c>
      <c r="AU80">
        <f>SUMIF(ConfirmedRaw!$B:$B,$A80,ConfirmedRaw!AX:AX)</f>
        <v>6</v>
      </c>
      <c r="AV80">
        <f>SUMIF(ConfirmedRaw!$B:$B,$A80,ConfirmedRaw!AY:AY)</f>
        <v>7</v>
      </c>
      <c r="AW80">
        <f>SUMIF(ConfirmedRaw!$B:$B,$A80,ConfirmedRaw!AZ:AZ)</f>
        <v>7</v>
      </c>
      <c r="AX80">
        <f>SUMIF(ConfirmedRaw!$B:$B,$A80,ConfirmedRaw!BA:BA)</f>
        <v>7</v>
      </c>
      <c r="AY80">
        <f>SUMIF(ConfirmedRaw!$B:$B,$A80,ConfirmedRaw!BB:BB)</f>
        <v>8</v>
      </c>
      <c r="AZ80">
        <f>SUMIF(ConfirmedRaw!$B:$B,$A80,ConfirmedRaw!BC:BC)</f>
        <v>12</v>
      </c>
      <c r="BA80">
        <f>SUMIF(ConfirmedRaw!$B:$B,$A80,ConfirmedRaw!BD:BD)</f>
        <v>12</v>
      </c>
      <c r="BB80">
        <f>SUMIF(ConfirmedRaw!$B:$B,$A80,ConfirmedRaw!BE:BE)</f>
        <v>26</v>
      </c>
      <c r="BC80">
        <f>SUMIF(ConfirmedRaw!$B:$B,$A80,ConfirmedRaw!BF:BF)</f>
        <v>41</v>
      </c>
      <c r="BD80">
        <f>SUMIF(ConfirmedRaw!$B:$B,$A80,ConfirmedRaw!BG:BG)</f>
        <v>53</v>
      </c>
      <c r="BE80">
        <f>SUMIF(ConfirmedRaw!$B:$B,$A80,ConfirmedRaw!BH:BH)</f>
        <v>82</v>
      </c>
      <c r="BF80">
        <f>SUMIF(ConfirmedRaw!$B:$B,$A80,ConfirmedRaw!BI:BI)</f>
        <v>93</v>
      </c>
      <c r="BG80">
        <f>SUMIF(ConfirmedRaw!$B:$B,$A80,ConfirmedRaw!BJ:BJ)</f>
        <v>118</v>
      </c>
      <c r="BH80">
        <f>SUMIF(ConfirmedRaw!$B:$B,$A80,ConfirmedRaw!BK:BK)</f>
        <v>164</v>
      </c>
      <c r="BI80">
        <f>SUMIF(ConfirmedRaw!$B:$B,$A80,ConfirmedRaw!BL:BL)</f>
        <v>0</v>
      </c>
      <c r="BJ80">
        <f>SUMIF(ConfirmedRaw!$B:$B,$A80,ConfirmedRaw!BM:BM)</f>
        <v>0</v>
      </c>
      <c r="BK80">
        <f>SUMIF(ConfirmedRaw!$B:$B,$A80,ConfirmedRaw!BN:BN)</f>
        <v>0</v>
      </c>
      <c r="BL80">
        <f>SUMIF(ConfirmedRaw!$B:$B,$A80,ConfirmedRaw!BO:BO)</f>
        <v>0</v>
      </c>
      <c r="BM80">
        <f>SUMIF(ConfirmedRaw!$B:$B,$A80,ConfirmedRaw!BP:BP)</f>
        <v>0</v>
      </c>
      <c r="BN80">
        <f>SUMIF(ConfirmedRaw!$B:$B,$A80,ConfirmedRaw!BQ:BQ)</f>
        <v>0</v>
      </c>
      <c r="BO80">
        <f>SUMIF(ConfirmedRaw!$B:$B,$A80,ConfirmedRaw!BR:BR)</f>
        <v>0</v>
      </c>
      <c r="BP80">
        <f>SUMIF(ConfirmedRaw!$B:$B,$A80,ConfirmedRaw!BS:BS)</f>
        <v>0</v>
      </c>
      <c r="BQ80">
        <f>SUMIF(ConfirmedRaw!$B:$B,$A80,ConfirmedRaw!BT:BT)</f>
        <v>0</v>
      </c>
      <c r="BR80">
        <f>SUMIF(ConfirmedRaw!$B:$B,$A80,ConfirmedRaw!BU:BU)</f>
        <v>0</v>
      </c>
      <c r="BS80">
        <f>SUMIF(ConfirmedRaw!$B:$B,$A80,ConfirmedRaw!BV:BV)</f>
        <v>0</v>
      </c>
      <c r="BT80">
        <f>SUMIF(ConfirmedRaw!$B:$B,$A80,ConfirmedRaw!BW:BW)</f>
        <v>0</v>
      </c>
    </row>
    <row r="81" spans="1:72" ht="15" thickBot="1" x14ac:dyDescent="0.35">
      <c r="A81" s="3" t="s">
        <v>114</v>
      </c>
      <c r="B81">
        <f>SUMIF(ConfirmedRaw!$B:$B,$A81,ConfirmedRaw!E:E)</f>
        <v>0</v>
      </c>
      <c r="C81">
        <f>SUMIF(ConfirmedRaw!$B:$B,$A81,ConfirmedRaw!F:F)</f>
        <v>0</v>
      </c>
      <c r="D81">
        <f>SUMIF(ConfirmedRaw!$B:$B,$A81,ConfirmedRaw!G:G)</f>
        <v>0</v>
      </c>
      <c r="E81">
        <f>SUMIF(ConfirmedRaw!$B:$B,$A81,ConfirmedRaw!H:H)</f>
        <v>0</v>
      </c>
      <c r="F81">
        <f>SUMIF(ConfirmedRaw!$B:$B,$A81,ConfirmedRaw!I:I)</f>
        <v>0</v>
      </c>
      <c r="G81">
        <f>SUMIF(ConfirmedRaw!$B:$B,$A81,ConfirmedRaw!J:J)</f>
        <v>0</v>
      </c>
      <c r="H81">
        <f>SUMIF(ConfirmedRaw!$B:$B,$A81,ConfirmedRaw!K:K)</f>
        <v>0</v>
      </c>
      <c r="I81">
        <f>SUMIF(ConfirmedRaw!$B:$B,$A81,ConfirmedRaw!L:L)</f>
        <v>0</v>
      </c>
      <c r="J81">
        <f>SUMIF(ConfirmedRaw!$B:$B,$A81,ConfirmedRaw!M:M)</f>
        <v>0</v>
      </c>
      <c r="K81">
        <f>SUMIF(ConfirmedRaw!$B:$B,$A81,ConfirmedRaw!N:N)</f>
        <v>0</v>
      </c>
      <c r="L81">
        <f>SUMIF(ConfirmedRaw!$B:$B,$A81,ConfirmedRaw!O:O)</f>
        <v>0</v>
      </c>
      <c r="M81">
        <f>SUMIF(ConfirmedRaw!$B:$B,$A81,ConfirmedRaw!P:P)</f>
        <v>0</v>
      </c>
      <c r="N81">
        <f>SUMIF(ConfirmedRaw!$B:$B,$A81,ConfirmedRaw!Q:Q)</f>
        <v>0</v>
      </c>
      <c r="O81">
        <f>SUMIF(ConfirmedRaw!$B:$B,$A81,ConfirmedRaw!R:R)</f>
        <v>0</v>
      </c>
      <c r="P81">
        <f>SUMIF(ConfirmedRaw!$B:$B,$A81,ConfirmedRaw!S:S)</f>
        <v>0</v>
      </c>
      <c r="Q81">
        <f>SUMIF(ConfirmedRaw!$B:$B,$A81,ConfirmedRaw!T:T)</f>
        <v>0</v>
      </c>
      <c r="R81">
        <f>SUMIF(ConfirmedRaw!$B:$B,$A81,ConfirmedRaw!U:U)</f>
        <v>0</v>
      </c>
      <c r="S81">
        <f>SUMIF(ConfirmedRaw!$B:$B,$A81,ConfirmedRaw!V:V)</f>
        <v>0</v>
      </c>
      <c r="T81">
        <f>SUMIF(ConfirmedRaw!$B:$B,$A81,ConfirmedRaw!W:W)</f>
        <v>0</v>
      </c>
      <c r="U81">
        <f>SUMIF(ConfirmedRaw!$B:$B,$A81,ConfirmedRaw!X:X)</f>
        <v>0</v>
      </c>
      <c r="V81">
        <f>SUMIF(ConfirmedRaw!$B:$B,$A81,ConfirmedRaw!Y:Y)</f>
        <v>0</v>
      </c>
      <c r="W81">
        <f>SUMIF(ConfirmedRaw!$B:$B,$A81,ConfirmedRaw!Z:Z)</f>
        <v>0</v>
      </c>
      <c r="X81">
        <f>SUMIF(ConfirmedRaw!$B:$B,$A81,ConfirmedRaw!AA:AA)</f>
        <v>0</v>
      </c>
      <c r="Y81">
        <f>SUMIF(ConfirmedRaw!$B:$B,$A81,ConfirmedRaw!AB:AB)</f>
        <v>0</v>
      </c>
      <c r="Z81">
        <f>SUMIF(ConfirmedRaw!$B:$B,$A81,ConfirmedRaw!AC:AC)</f>
        <v>0</v>
      </c>
      <c r="AA81">
        <f>SUMIF(ConfirmedRaw!$B:$B,$A81,ConfirmedRaw!AD:AD)</f>
        <v>0</v>
      </c>
      <c r="AB81">
        <f>SUMIF(ConfirmedRaw!$B:$B,$A81,ConfirmedRaw!AE:AE)</f>
        <v>0</v>
      </c>
      <c r="AC81">
        <f>SUMIF(ConfirmedRaw!$B:$B,$A81,ConfirmedRaw!AF:AF)</f>
        <v>0</v>
      </c>
      <c r="AD81">
        <f>SUMIF(ConfirmedRaw!$B:$B,$A81,ConfirmedRaw!AG:AG)</f>
        <v>0</v>
      </c>
      <c r="AE81">
        <f>SUMIF(ConfirmedRaw!$B:$B,$A81,ConfirmedRaw!AH:AH)</f>
        <v>0</v>
      </c>
      <c r="AF81">
        <f>SUMIF(ConfirmedRaw!$B:$B,$A81,ConfirmedRaw!AI:AI)</f>
        <v>0</v>
      </c>
      <c r="AG81">
        <f>SUMIF(ConfirmedRaw!$B:$B,$A81,ConfirmedRaw!AJ:AJ)</f>
        <v>0</v>
      </c>
      <c r="AH81">
        <f>SUMIF(ConfirmedRaw!$B:$B,$A81,ConfirmedRaw!AK:AK)</f>
        <v>0</v>
      </c>
      <c r="AI81">
        <f>SUMIF(ConfirmedRaw!$B:$B,$A81,ConfirmedRaw!AL:AL)</f>
        <v>0</v>
      </c>
      <c r="AJ81">
        <f>SUMIF(ConfirmedRaw!$B:$B,$A81,ConfirmedRaw!AM:AM)</f>
        <v>0</v>
      </c>
      <c r="AK81">
        <f>SUMIF(ConfirmedRaw!$B:$B,$A81,ConfirmedRaw!AN:AN)</f>
        <v>0</v>
      </c>
      <c r="AL81">
        <f>SUMIF(ConfirmedRaw!$B:$B,$A81,ConfirmedRaw!AO:AO)</f>
        <v>0</v>
      </c>
      <c r="AM81">
        <f>SUMIF(ConfirmedRaw!$B:$B,$A81,ConfirmedRaw!AP:AP)</f>
        <v>0</v>
      </c>
      <c r="AN81">
        <f>SUMIF(ConfirmedRaw!$B:$B,$A81,ConfirmedRaw!AQ:AQ)</f>
        <v>0</v>
      </c>
      <c r="AO81">
        <f>SUMIF(ConfirmedRaw!$B:$B,$A81,ConfirmedRaw!AR:AR)</f>
        <v>0</v>
      </c>
      <c r="AP81">
        <f>SUMIF(ConfirmedRaw!$B:$B,$A81,ConfirmedRaw!AS:AS)</f>
        <v>1</v>
      </c>
      <c r="AQ81">
        <f>SUMIF(ConfirmedRaw!$B:$B,$A81,ConfirmedRaw!AT:AT)</f>
        <v>2</v>
      </c>
      <c r="AR81">
        <f>SUMIF(ConfirmedRaw!$B:$B,$A81,ConfirmedRaw!AU:AU)</f>
        <v>4</v>
      </c>
      <c r="AS81">
        <f>SUMIF(ConfirmedRaw!$B:$B,$A81,ConfirmedRaw!AV:AV)</f>
        <v>4</v>
      </c>
      <c r="AT81">
        <f>SUMIF(ConfirmedRaw!$B:$B,$A81,ConfirmedRaw!AW:AW)</f>
        <v>4</v>
      </c>
      <c r="AU81">
        <f>SUMIF(ConfirmedRaw!$B:$B,$A81,ConfirmedRaw!AX:AX)</f>
        <v>4</v>
      </c>
      <c r="AV81">
        <f>SUMIF(ConfirmedRaw!$B:$B,$A81,ConfirmedRaw!AY:AY)</f>
        <v>4</v>
      </c>
      <c r="AW81">
        <f>SUMIF(ConfirmedRaw!$B:$B,$A81,ConfirmedRaw!AZ:AZ)</f>
        <v>4</v>
      </c>
      <c r="AX81">
        <f>SUMIF(ConfirmedRaw!$B:$B,$A81,ConfirmedRaw!BA:BA)</f>
        <v>4</v>
      </c>
      <c r="AY81">
        <f>SUMIF(ConfirmedRaw!$B:$B,$A81,ConfirmedRaw!BB:BB)</f>
        <v>4</v>
      </c>
      <c r="AZ81">
        <f>SUMIF(ConfirmedRaw!$B:$B,$A81,ConfirmedRaw!BC:BC)</f>
        <v>4</v>
      </c>
      <c r="BA81">
        <f>SUMIF(ConfirmedRaw!$B:$B,$A81,ConfirmedRaw!BD:BD)</f>
        <v>10</v>
      </c>
      <c r="BB81">
        <f>SUMIF(ConfirmedRaw!$B:$B,$A81,ConfirmedRaw!BE:BE)</f>
        <v>10</v>
      </c>
      <c r="BC81">
        <f>SUMIF(ConfirmedRaw!$B:$B,$A81,ConfirmedRaw!BF:BF)</f>
        <v>24</v>
      </c>
      <c r="BD81">
        <f>SUMIF(ConfirmedRaw!$B:$B,$A81,ConfirmedRaw!BG:BG)</f>
        <v>24</v>
      </c>
      <c r="BE81">
        <f>SUMIF(ConfirmedRaw!$B:$B,$A81,ConfirmedRaw!BH:BH)</f>
        <v>26</v>
      </c>
      <c r="BF81">
        <f>SUMIF(ConfirmedRaw!$B:$B,$A81,ConfirmedRaw!BI:BI)</f>
        <v>31</v>
      </c>
      <c r="BG81">
        <f>SUMIF(ConfirmedRaw!$B:$B,$A81,ConfirmedRaw!BJ:BJ)</f>
        <v>31</v>
      </c>
      <c r="BH81">
        <f>SUMIF(ConfirmedRaw!$B:$B,$A81,ConfirmedRaw!BK:BK)</f>
        <v>38</v>
      </c>
      <c r="BI81">
        <f>SUMIF(ConfirmedRaw!$B:$B,$A81,ConfirmedRaw!BL:BL)</f>
        <v>0</v>
      </c>
      <c r="BJ81">
        <f>SUMIF(ConfirmedRaw!$B:$B,$A81,ConfirmedRaw!BM:BM)</f>
        <v>0</v>
      </c>
      <c r="BK81">
        <f>SUMIF(ConfirmedRaw!$B:$B,$A81,ConfirmedRaw!BN:BN)</f>
        <v>0</v>
      </c>
      <c r="BL81">
        <f>SUMIF(ConfirmedRaw!$B:$B,$A81,ConfirmedRaw!BO:BO)</f>
        <v>0</v>
      </c>
      <c r="BM81">
        <f>SUMIF(ConfirmedRaw!$B:$B,$A81,ConfirmedRaw!BP:BP)</f>
        <v>0</v>
      </c>
      <c r="BN81">
        <f>SUMIF(ConfirmedRaw!$B:$B,$A81,ConfirmedRaw!BQ:BQ)</f>
        <v>0</v>
      </c>
      <c r="BO81">
        <f>SUMIF(ConfirmedRaw!$B:$B,$A81,ConfirmedRaw!BR:BR)</f>
        <v>0</v>
      </c>
      <c r="BP81">
        <f>SUMIF(ConfirmedRaw!$B:$B,$A81,ConfirmedRaw!BS:BS)</f>
        <v>0</v>
      </c>
      <c r="BQ81">
        <f>SUMIF(ConfirmedRaw!$B:$B,$A81,ConfirmedRaw!BT:BT)</f>
        <v>0</v>
      </c>
      <c r="BR81">
        <f>SUMIF(ConfirmedRaw!$B:$B,$A81,ConfirmedRaw!BU:BU)</f>
        <v>0</v>
      </c>
      <c r="BS81">
        <f>SUMIF(ConfirmedRaw!$B:$B,$A81,ConfirmedRaw!BV:BV)</f>
        <v>0</v>
      </c>
      <c r="BT81">
        <f>SUMIF(ConfirmedRaw!$B:$B,$A81,ConfirmedRaw!BW:BW)</f>
        <v>0</v>
      </c>
    </row>
    <row r="82" spans="1:72" ht="15" thickBot="1" x14ac:dyDescent="0.35">
      <c r="A82" s="4" t="s">
        <v>200</v>
      </c>
      <c r="B82">
        <f>SUMIF(ConfirmedRaw!$B:$B,$A82,ConfirmedRaw!E:E)</f>
        <v>0</v>
      </c>
      <c r="C82">
        <f>SUMIF(ConfirmedRaw!$B:$B,$A82,ConfirmedRaw!F:F)</f>
        <v>0</v>
      </c>
      <c r="D82">
        <f>SUMIF(ConfirmedRaw!$B:$B,$A82,ConfirmedRaw!G:G)</f>
        <v>0</v>
      </c>
      <c r="E82">
        <f>SUMIF(ConfirmedRaw!$B:$B,$A82,ConfirmedRaw!H:H)</f>
        <v>0</v>
      </c>
      <c r="F82">
        <f>SUMIF(ConfirmedRaw!$B:$B,$A82,ConfirmedRaw!I:I)</f>
        <v>0</v>
      </c>
      <c r="G82">
        <f>SUMIF(ConfirmedRaw!$B:$B,$A82,ConfirmedRaw!J:J)</f>
        <v>0</v>
      </c>
      <c r="H82">
        <f>SUMIF(ConfirmedRaw!$B:$B,$A82,ConfirmedRaw!K:K)</f>
        <v>0</v>
      </c>
      <c r="I82">
        <f>SUMIF(ConfirmedRaw!$B:$B,$A82,ConfirmedRaw!L:L)</f>
        <v>0</v>
      </c>
      <c r="J82">
        <f>SUMIF(ConfirmedRaw!$B:$B,$A82,ConfirmedRaw!M:M)</f>
        <v>0</v>
      </c>
      <c r="K82">
        <f>SUMIF(ConfirmedRaw!$B:$B,$A82,ConfirmedRaw!N:N)</f>
        <v>0</v>
      </c>
      <c r="L82">
        <f>SUMIF(ConfirmedRaw!$B:$B,$A82,ConfirmedRaw!O:O)</f>
        <v>0</v>
      </c>
      <c r="M82">
        <f>SUMIF(ConfirmedRaw!$B:$B,$A82,ConfirmedRaw!P:P)</f>
        <v>0</v>
      </c>
      <c r="N82">
        <f>SUMIF(ConfirmedRaw!$B:$B,$A82,ConfirmedRaw!Q:Q)</f>
        <v>0</v>
      </c>
      <c r="O82">
        <f>SUMIF(ConfirmedRaw!$B:$B,$A82,ConfirmedRaw!R:R)</f>
        <v>0</v>
      </c>
      <c r="P82">
        <f>SUMIF(ConfirmedRaw!$B:$B,$A82,ConfirmedRaw!S:S)</f>
        <v>0</v>
      </c>
      <c r="Q82">
        <f>SUMIF(ConfirmedRaw!$B:$B,$A82,ConfirmedRaw!T:T)</f>
        <v>0</v>
      </c>
      <c r="R82">
        <f>SUMIF(ConfirmedRaw!$B:$B,$A82,ConfirmedRaw!U:U)</f>
        <v>0</v>
      </c>
      <c r="S82">
        <f>SUMIF(ConfirmedRaw!$B:$B,$A82,ConfirmedRaw!V:V)</f>
        <v>0</v>
      </c>
      <c r="T82">
        <f>SUMIF(ConfirmedRaw!$B:$B,$A82,ConfirmedRaw!W:W)</f>
        <v>0</v>
      </c>
      <c r="U82">
        <f>SUMIF(ConfirmedRaw!$B:$B,$A82,ConfirmedRaw!X:X)</f>
        <v>0</v>
      </c>
      <c r="V82">
        <f>SUMIF(ConfirmedRaw!$B:$B,$A82,ConfirmedRaw!Y:Y)</f>
        <v>0</v>
      </c>
      <c r="W82">
        <f>SUMIF(ConfirmedRaw!$B:$B,$A82,ConfirmedRaw!Z:Z)</f>
        <v>0</v>
      </c>
      <c r="X82">
        <f>SUMIF(ConfirmedRaw!$B:$B,$A82,ConfirmedRaw!AA:AA)</f>
        <v>0</v>
      </c>
      <c r="Y82">
        <f>SUMIF(ConfirmedRaw!$B:$B,$A82,ConfirmedRaw!AB:AB)</f>
        <v>0</v>
      </c>
      <c r="Z82">
        <f>SUMIF(ConfirmedRaw!$B:$B,$A82,ConfirmedRaw!AC:AC)</f>
        <v>0</v>
      </c>
      <c r="AA82">
        <f>SUMIF(ConfirmedRaw!$B:$B,$A82,ConfirmedRaw!AD:AD)</f>
        <v>0</v>
      </c>
      <c r="AB82">
        <f>SUMIF(ConfirmedRaw!$B:$B,$A82,ConfirmedRaw!AE:AE)</f>
        <v>0</v>
      </c>
      <c r="AC82">
        <f>SUMIF(ConfirmedRaw!$B:$B,$A82,ConfirmedRaw!AF:AF)</f>
        <v>0</v>
      </c>
      <c r="AD82">
        <f>SUMIF(ConfirmedRaw!$B:$B,$A82,ConfirmedRaw!AG:AG)</f>
        <v>0</v>
      </c>
      <c r="AE82">
        <f>SUMIF(ConfirmedRaw!$B:$B,$A82,ConfirmedRaw!AH:AH)</f>
        <v>0</v>
      </c>
      <c r="AF82">
        <f>SUMIF(ConfirmedRaw!$B:$B,$A82,ConfirmedRaw!AI:AI)</f>
        <v>0</v>
      </c>
      <c r="AG82">
        <f>SUMIF(ConfirmedRaw!$B:$B,$A82,ConfirmedRaw!AJ:AJ)</f>
        <v>0</v>
      </c>
      <c r="AH82">
        <f>SUMIF(ConfirmedRaw!$B:$B,$A82,ConfirmedRaw!AK:AK)</f>
        <v>0</v>
      </c>
      <c r="AI82">
        <f>SUMIF(ConfirmedRaw!$B:$B,$A82,ConfirmedRaw!AL:AL)</f>
        <v>0</v>
      </c>
      <c r="AJ82">
        <f>SUMIF(ConfirmedRaw!$B:$B,$A82,ConfirmedRaw!AM:AM)</f>
        <v>0</v>
      </c>
      <c r="AK82">
        <f>SUMIF(ConfirmedRaw!$B:$B,$A82,ConfirmedRaw!AN:AN)</f>
        <v>0</v>
      </c>
      <c r="AL82">
        <f>SUMIF(ConfirmedRaw!$B:$B,$A82,ConfirmedRaw!AO:AO)</f>
        <v>0</v>
      </c>
      <c r="AM82">
        <f>SUMIF(ConfirmedRaw!$B:$B,$A82,ConfirmedRaw!AP:AP)</f>
        <v>0</v>
      </c>
      <c r="AN82">
        <f>SUMIF(ConfirmedRaw!$B:$B,$A82,ConfirmedRaw!AQ:AQ)</f>
        <v>0</v>
      </c>
      <c r="AO82">
        <f>SUMIF(ConfirmedRaw!$B:$B,$A82,ConfirmedRaw!AR:AR)</f>
        <v>0</v>
      </c>
      <c r="AP82">
        <f>SUMIF(ConfirmedRaw!$B:$B,$A82,ConfirmedRaw!AS:AS)</f>
        <v>0</v>
      </c>
      <c r="AQ82">
        <f>SUMIF(ConfirmedRaw!$B:$B,$A82,ConfirmedRaw!AT:AT)</f>
        <v>0</v>
      </c>
      <c r="AR82">
        <f>SUMIF(ConfirmedRaw!$B:$B,$A82,ConfirmedRaw!AU:AU)</f>
        <v>0</v>
      </c>
      <c r="AS82">
        <f>SUMIF(ConfirmedRaw!$B:$B,$A82,ConfirmedRaw!AV:AV)</f>
        <v>0</v>
      </c>
      <c r="AT82">
        <f>SUMIF(ConfirmedRaw!$B:$B,$A82,ConfirmedRaw!AW:AW)</f>
        <v>0</v>
      </c>
      <c r="AU82">
        <f>SUMIF(ConfirmedRaw!$B:$B,$A82,ConfirmedRaw!AX:AX)</f>
        <v>0</v>
      </c>
      <c r="AV82">
        <f>SUMIF(ConfirmedRaw!$B:$B,$A82,ConfirmedRaw!AY:AY)</f>
        <v>4</v>
      </c>
      <c r="AW82">
        <f>SUMIF(ConfirmedRaw!$B:$B,$A82,ConfirmedRaw!AZ:AZ)</f>
        <v>4</v>
      </c>
      <c r="AX82">
        <f>SUMIF(ConfirmedRaw!$B:$B,$A82,ConfirmedRaw!BA:BA)</f>
        <v>6</v>
      </c>
      <c r="AY82">
        <f>SUMIF(ConfirmedRaw!$B:$B,$A82,ConfirmedRaw!BB:BB)</f>
        <v>8</v>
      </c>
      <c r="AZ82">
        <f>SUMIF(ConfirmedRaw!$B:$B,$A82,ConfirmedRaw!BC:BC)</f>
        <v>8</v>
      </c>
      <c r="BA82">
        <f>SUMIF(ConfirmedRaw!$B:$B,$A82,ConfirmedRaw!BD:BD)</f>
        <v>9</v>
      </c>
      <c r="BB82">
        <f>SUMIF(ConfirmedRaw!$B:$B,$A82,ConfirmedRaw!BE:BE)</f>
        <v>10</v>
      </c>
      <c r="BC82">
        <f>SUMIF(ConfirmedRaw!$B:$B,$A82,ConfirmedRaw!BF:BF)</f>
        <v>13</v>
      </c>
      <c r="BD82">
        <f>SUMIF(ConfirmedRaw!$B:$B,$A82,ConfirmedRaw!BG:BG)</f>
        <v>13</v>
      </c>
      <c r="BE82">
        <f>SUMIF(ConfirmedRaw!$B:$B,$A82,ConfirmedRaw!BH:BH)</f>
        <v>13</v>
      </c>
      <c r="BF82">
        <f>SUMIF(ConfirmedRaw!$B:$B,$A82,ConfirmedRaw!BI:BI)</f>
        <v>13</v>
      </c>
      <c r="BG82">
        <f>SUMIF(ConfirmedRaw!$B:$B,$A82,ConfirmedRaw!BJ:BJ)</f>
        <v>13</v>
      </c>
      <c r="BH82">
        <f>SUMIF(ConfirmedRaw!$B:$B,$A82,ConfirmedRaw!BK:BK)</f>
        <v>13</v>
      </c>
      <c r="BI82">
        <f>SUMIF(ConfirmedRaw!$B:$B,$A82,ConfirmedRaw!BL:BL)</f>
        <v>0</v>
      </c>
      <c r="BJ82">
        <f>SUMIF(ConfirmedRaw!$B:$B,$A82,ConfirmedRaw!BM:BM)</f>
        <v>0</v>
      </c>
      <c r="BK82">
        <f>SUMIF(ConfirmedRaw!$B:$B,$A82,ConfirmedRaw!BN:BN)</f>
        <v>0</v>
      </c>
      <c r="BL82">
        <f>SUMIF(ConfirmedRaw!$B:$B,$A82,ConfirmedRaw!BO:BO)</f>
        <v>0</v>
      </c>
      <c r="BM82">
        <f>SUMIF(ConfirmedRaw!$B:$B,$A82,ConfirmedRaw!BP:BP)</f>
        <v>0</v>
      </c>
      <c r="BN82">
        <f>SUMIF(ConfirmedRaw!$B:$B,$A82,ConfirmedRaw!BQ:BQ)</f>
        <v>0</v>
      </c>
      <c r="BO82">
        <f>SUMIF(ConfirmedRaw!$B:$B,$A82,ConfirmedRaw!BR:BR)</f>
        <v>0</v>
      </c>
      <c r="BP82">
        <f>SUMIF(ConfirmedRaw!$B:$B,$A82,ConfirmedRaw!BS:BS)</f>
        <v>0</v>
      </c>
      <c r="BQ82">
        <f>SUMIF(ConfirmedRaw!$B:$B,$A82,ConfirmedRaw!BT:BT)</f>
        <v>0</v>
      </c>
      <c r="BR82">
        <f>SUMIF(ConfirmedRaw!$B:$B,$A82,ConfirmedRaw!BU:BU)</f>
        <v>0</v>
      </c>
      <c r="BS82">
        <f>SUMIF(ConfirmedRaw!$B:$B,$A82,ConfirmedRaw!BV:BV)</f>
        <v>0</v>
      </c>
      <c r="BT82">
        <f>SUMIF(ConfirmedRaw!$B:$B,$A82,ConfirmedRaw!BW:BW)</f>
        <v>0</v>
      </c>
    </row>
    <row r="83" spans="1:72" ht="15" thickBot="1" x14ac:dyDescent="0.35">
      <c r="A83" s="4" t="s">
        <v>105</v>
      </c>
      <c r="B83">
        <f>SUMIF(ConfirmedRaw!$B:$B,$A83,ConfirmedRaw!E:E)</f>
        <v>0</v>
      </c>
      <c r="C83">
        <f>SUMIF(ConfirmedRaw!$B:$B,$A83,ConfirmedRaw!F:F)</f>
        <v>0</v>
      </c>
      <c r="D83">
        <f>SUMIF(ConfirmedRaw!$B:$B,$A83,ConfirmedRaw!G:G)</f>
        <v>0</v>
      </c>
      <c r="E83">
        <f>SUMIF(ConfirmedRaw!$B:$B,$A83,ConfirmedRaw!H:H)</f>
        <v>0</v>
      </c>
      <c r="F83">
        <f>SUMIF(ConfirmedRaw!$B:$B,$A83,ConfirmedRaw!I:I)</f>
        <v>0</v>
      </c>
      <c r="G83">
        <f>SUMIF(ConfirmedRaw!$B:$B,$A83,ConfirmedRaw!J:J)</f>
        <v>0</v>
      </c>
      <c r="H83">
        <f>SUMIF(ConfirmedRaw!$B:$B,$A83,ConfirmedRaw!K:K)</f>
        <v>0</v>
      </c>
      <c r="I83">
        <f>SUMIF(ConfirmedRaw!$B:$B,$A83,ConfirmedRaw!L:L)</f>
        <v>0</v>
      </c>
      <c r="J83">
        <f>SUMIF(ConfirmedRaw!$B:$B,$A83,ConfirmedRaw!M:M)</f>
        <v>0</v>
      </c>
      <c r="K83">
        <f>SUMIF(ConfirmedRaw!$B:$B,$A83,ConfirmedRaw!N:N)</f>
        <v>0</v>
      </c>
      <c r="L83">
        <f>SUMIF(ConfirmedRaw!$B:$B,$A83,ConfirmedRaw!O:O)</f>
        <v>0</v>
      </c>
      <c r="M83">
        <f>SUMIF(ConfirmedRaw!$B:$B,$A83,ConfirmedRaw!P:P)</f>
        <v>0</v>
      </c>
      <c r="N83">
        <f>SUMIF(ConfirmedRaw!$B:$B,$A83,ConfirmedRaw!Q:Q)</f>
        <v>0</v>
      </c>
      <c r="O83">
        <f>SUMIF(ConfirmedRaw!$B:$B,$A83,ConfirmedRaw!R:R)</f>
        <v>0</v>
      </c>
      <c r="P83">
        <f>SUMIF(ConfirmedRaw!$B:$B,$A83,ConfirmedRaw!S:S)</f>
        <v>0</v>
      </c>
      <c r="Q83">
        <f>SUMIF(ConfirmedRaw!$B:$B,$A83,ConfirmedRaw!T:T)</f>
        <v>0</v>
      </c>
      <c r="R83">
        <f>SUMIF(ConfirmedRaw!$B:$B,$A83,ConfirmedRaw!U:U)</f>
        <v>0</v>
      </c>
      <c r="S83">
        <f>SUMIF(ConfirmedRaw!$B:$B,$A83,ConfirmedRaw!V:V)</f>
        <v>0</v>
      </c>
      <c r="T83">
        <f>SUMIF(ConfirmedRaw!$B:$B,$A83,ConfirmedRaw!W:W)</f>
        <v>0</v>
      </c>
      <c r="U83">
        <f>SUMIF(ConfirmedRaw!$B:$B,$A83,ConfirmedRaw!X:X)</f>
        <v>0</v>
      </c>
      <c r="V83">
        <f>SUMIF(ConfirmedRaw!$B:$B,$A83,ConfirmedRaw!Y:Y)</f>
        <v>0</v>
      </c>
      <c r="W83">
        <f>SUMIF(ConfirmedRaw!$B:$B,$A83,ConfirmedRaw!Z:Z)</f>
        <v>0</v>
      </c>
      <c r="X83">
        <f>SUMIF(ConfirmedRaw!$B:$B,$A83,ConfirmedRaw!AA:AA)</f>
        <v>0</v>
      </c>
      <c r="Y83">
        <f>SUMIF(ConfirmedRaw!$B:$B,$A83,ConfirmedRaw!AB:AB)</f>
        <v>0</v>
      </c>
      <c r="Z83">
        <f>SUMIF(ConfirmedRaw!$B:$B,$A83,ConfirmedRaw!AC:AC)</f>
        <v>0</v>
      </c>
      <c r="AA83">
        <f>SUMIF(ConfirmedRaw!$B:$B,$A83,ConfirmedRaw!AD:AD)</f>
        <v>0</v>
      </c>
      <c r="AB83">
        <f>SUMIF(ConfirmedRaw!$B:$B,$A83,ConfirmedRaw!AE:AE)</f>
        <v>0</v>
      </c>
      <c r="AC83">
        <f>SUMIF(ConfirmedRaw!$B:$B,$A83,ConfirmedRaw!AF:AF)</f>
        <v>0</v>
      </c>
      <c r="AD83">
        <f>SUMIF(ConfirmedRaw!$B:$B,$A83,ConfirmedRaw!AG:AG)</f>
        <v>0</v>
      </c>
      <c r="AE83">
        <f>SUMIF(ConfirmedRaw!$B:$B,$A83,ConfirmedRaw!AH:AH)</f>
        <v>0</v>
      </c>
      <c r="AF83">
        <f>SUMIF(ConfirmedRaw!$B:$B,$A83,ConfirmedRaw!AI:AI)</f>
        <v>0</v>
      </c>
      <c r="AG83">
        <f>SUMIF(ConfirmedRaw!$B:$B,$A83,ConfirmedRaw!AJ:AJ)</f>
        <v>0</v>
      </c>
      <c r="AH83">
        <f>SUMIF(ConfirmedRaw!$B:$B,$A83,ConfirmedRaw!AK:AK)</f>
        <v>0</v>
      </c>
      <c r="AI83">
        <f>SUMIF(ConfirmedRaw!$B:$B,$A83,ConfirmedRaw!AL:AL)</f>
        <v>0</v>
      </c>
      <c r="AJ83">
        <f>SUMIF(ConfirmedRaw!$B:$B,$A83,ConfirmedRaw!AM:AM)</f>
        <v>0</v>
      </c>
      <c r="AK83">
        <f>SUMIF(ConfirmedRaw!$B:$B,$A83,ConfirmedRaw!AN:AN)</f>
        <v>0</v>
      </c>
      <c r="AL83">
        <f>SUMIF(ConfirmedRaw!$B:$B,$A83,ConfirmedRaw!AO:AO)</f>
        <v>0</v>
      </c>
      <c r="AM83">
        <f>SUMIF(ConfirmedRaw!$B:$B,$A83,ConfirmedRaw!AP:AP)</f>
        <v>0</v>
      </c>
      <c r="AN83">
        <f>SUMIF(ConfirmedRaw!$B:$B,$A83,ConfirmedRaw!AQ:AQ)</f>
        <v>0</v>
      </c>
      <c r="AO83">
        <f>SUMIF(ConfirmedRaw!$B:$B,$A83,ConfirmedRaw!AR:AR)</f>
        <v>1</v>
      </c>
      <c r="AP83">
        <f>SUMIF(ConfirmedRaw!$B:$B,$A83,ConfirmedRaw!AS:AS)</f>
        <v>1</v>
      </c>
      <c r="AQ83">
        <f>SUMIF(ConfirmedRaw!$B:$B,$A83,ConfirmedRaw!AT:AT)</f>
        <v>1</v>
      </c>
      <c r="AR83">
        <f>SUMIF(ConfirmedRaw!$B:$B,$A83,ConfirmedRaw!AU:AU)</f>
        <v>1</v>
      </c>
      <c r="AS83">
        <f>SUMIF(ConfirmedRaw!$B:$B,$A83,ConfirmedRaw!AV:AV)</f>
        <v>1</v>
      </c>
      <c r="AT83">
        <f>SUMIF(ConfirmedRaw!$B:$B,$A83,ConfirmedRaw!AW:AW)</f>
        <v>1</v>
      </c>
      <c r="AU83">
        <f>SUMIF(ConfirmedRaw!$B:$B,$A83,ConfirmedRaw!AX:AX)</f>
        <v>1</v>
      </c>
      <c r="AV83">
        <f>SUMIF(ConfirmedRaw!$B:$B,$A83,ConfirmedRaw!AY:AY)</f>
        <v>1</v>
      </c>
      <c r="AW83">
        <f>SUMIF(ConfirmedRaw!$B:$B,$A83,ConfirmedRaw!AZ:AZ)</f>
        <v>1</v>
      </c>
      <c r="AX83">
        <f>SUMIF(ConfirmedRaw!$B:$B,$A83,ConfirmedRaw!BA:BA)</f>
        <v>1</v>
      </c>
      <c r="AY83">
        <f>SUMIF(ConfirmedRaw!$B:$B,$A83,ConfirmedRaw!BB:BB)</f>
        <v>1</v>
      </c>
      <c r="AZ83">
        <f>SUMIF(ConfirmedRaw!$B:$B,$A83,ConfirmedRaw!BC:BC)</f>
        <v>4</v>
      </c>
      <c r="BA83">
        <f>SUMIF(ConfirmedRaw!$B:$B,$A83,ConfirmedRaw!BD:BD)</f>
        <v>8</v>
      </c>
      <c r="BB83">
        <f>SUMIF(ConfirmedRaw!$B:$B,$A83,ConfirmedRaw!BE:BE)</f>
        <v>18</v>
      </c>
      <c r="BC83">
        <f>SUMIF(ConfirmedRaw!$B:$B,$A83,ConfirmedRaw!BF:BF)</f>
        <v>26</v>
      </c>
      <c r="BD83">
        <f>SUMIF(ConfirmedRaw!$B:$B,$A83,ConfirmedRaw!BG:BG)</f>
        <v>52</v>
      </c>
      <c r="BE83">
        <f>SUMIF(ConfirmedRaw!$B:$B,$A83,ConfirmedRaw!BH:BH)</f>
        <v>78</v>
      </c>
      <c r="BF83">
        <f>SUMIF(ConfirmedRaw!$B:$B,$A83,ConfirmedRaw!BI:BI)</f>
        <v>84</v>
      </c>
      <c r="BG83">
        <f>SUMIF(ConfirmedRaw!$B:$B,$A83,ConfirmedRaw!BJ:BJ)</f>
        <v>115</v>
      </c>
      <c r="BH83">
        <f>SUMIF(ConfirmedRaw!$B:$B,$A83,ConfirmedRaw!BK:BK)</f>
        <v>136</v>
      </c>
      <c r="BI83">
        <f>SUMIF(ConfirmedRaw!$B:$B,$A83,ConfirmedRaw!BL:BL)</f>
        <v>0</v>
      </c>
      <c r="BJ83">
        <f>SUMIF(ConfirmedRaw!$B:$B,$A83,ConfirmedRaw!BM:BM)</f>
        <v>0</v>
      </c>
      <c r="BK83">
        <f>SUMIF(ConfirmedRaw!$B:$B,$A83,ConfirmedRaw!BN:BN)</f>
        <v>0</v>
      </c>
      <c r="BL83">
        <f>SUMIF(ConfirmedRaw!$B:$B,$A83,ConfirmedRaw!BO:BO)</f>
        <v>0</v>
      </c>
      <c r="BM83">
        <f>SUMIF(ConfirmedRaw!$B:$B,$A83,ConfirmedRaw!BP:BP)</f>
        <v>0</v>
      </c>
      <c r="BN83">
        <f>SUMIF(ConfirmedRaw!$B:$B,$A83,ConfirmedRaw!BQ:BQ)</f>
        <v>0</v>
      </c>
      <c r="BO83">
        <f>SUMIF(ConfirmedRaw!$B:$B,$A83,ConfirmedRaw!BR:BR)</f>
        <v>0</v>
      </c>
      <c r="BP83">
        <f>SUMIF(ConfirmedRaw!$B:$B,$A83,ConfirmedRaw!BS:BS)</f>
        <v>0</v>
      </c>
      <c r="BQ83">
        <f>SUMIF(ConfirmedRaw!$B:$B,$A83,ConfirmedRaw!BT:BT)</f>
        <v>0</v>
      </c>
      <c r="BR83">
        <f>SUMIF(ConfirmedRaw!$B:$B,$A83,ConfirmedRaw!BU:BU)</f>
        <v>0</v>
      </c>
      <c r="BS83">
        <f>SUMIF(ConfirmedRaw!$B:$B,$A83,ConfirmedRaw!BV:BV)</f>
        <v>0</v>
      </c>
      <c r="BT83">
        <f>SUMIF(ConfirmedRaw!$B:$B,$A83,ConfirmedRaw!BW:BW)</f>
        <v>0</v>
      </c>
    </row>
    <row r="84" spans="1:72" ht="15" thickBot="1" x14ac:dyDescent="0.35">
      <c r="A84" s="3" t="s">
        <v>353</v>
      </c>
      <c r="B84">
        <f>SUMIF(ConfirmedRaw!$B:$B,$A84,ConfirmedRaw!E:E)</f>
        <v>0</v>
      </c>
      <c r="C84">
        <f>SUMIF(ConfirmedRaw!$B:$B,$A84,ConfirmedRaw!F:F)</f>
        <v>0</v>
      </c>
      <c r="D84">
        <f>SUMIF(ConfirmedRaw!$B:$B,$A84,ConfirmedRaw!G:G)</f>
        <v>0</v>
      </c>
      <c r="E84">
        <f>SUMIF(ConfirmedRaw!$B:$B,$A84,ConfirmedRaw!H:H)</f>
        <v>0</v>
      </c>
      <c r="F84">
        <f>SUMIF(ConfirmedRaw!$B:$B,$A84,ConfirmedRaw!I:I)</f>
        <v>0</v>
      </c>
      <c r="G84">
        <f>SUMIF(ConfirmedRaw!$B:$B,$A84,ConfirmedRaw!J:J)</f>
        <v>0</v>
      </c>
      <c r="H84">
        <f>SUMIF(ConfirmedRaw!$B:$B,$A84,ConfirmedRaw!K:K)</f>
        <v>0</v>
      </c>
      <c r="I84">
        <f>SUMIF(ConfirmedRaw!$B:$B,$A84,ConfirmedRaw!L:L)</f>
        <v>0</v>
      </c>
      <c r="J84">
        <f>SUMIF(ConfirmedRaw!$B:$B,$A84,ConfirmedRaw!M:M)</f>
        <v>0</v>
      </c>
      <c r="K84">
        <f>SUMIF(ConfirmedRaw!$B:$B,$A84,ConfirmedRaw!N:N)</f>
        <v>0</v>
      </c>
      <c r="L84">
        <f>SUMIF(ConfirmedRaw!$B:$B,$A84,ConfirmedRaw!O:O)</f>
        <v>0</v>
      </c>
      <c r="M84">
        <f>SUMIF(ConfirmedRaw!$B:$B,$A84,ConfirmedRaw!P:P)</f>
        <v>0</v>
      </c>
      <c r="N84">
        <f>SUMIF(ConfirmedRaw!$B:$B,$A84,ConfirmedRaw!Q:Q)</f>
        <v>0</v>
      </c>
      <c r="O84">
        <f>SUMIF(ConfirmedRaw!$B:$B,$A84,ConfirmedRaw!R:R)</f>
        <v>0</v>
      </c>
      <c r="P84">
        <f>SUMIF(ConfirmedRaw!$B:$B,$A84,ConfirmedRaw!S:S)</f>
        <v>0</v>
      </c>
      <c r="Q84">
        <f>SUMIF(ConfirmedRaw!$B:$B,$A84,ConfirmedRaw!T:T)</f>
        <v>0</v>
      </c>
      <c r="R84">
        <f>SUMIF(ConfirmedRaw!$B:$B,$A84,ConfirmedRaw!U:U)</f>
        <v>0</v>
      </c>
      <c r="S84">
        <f>SUMIF(ConfirmedRaw!$B:$B,$A84,ConfirmedRaw!V:V)</f>
        <v>0</v>
      </c>
      <c r="T84">
        <f>SUMIF(ConfirmedRaw!$B:$B,$A84,ConfirmedRaw!W:W)</f>
        <v>0</v>
      </c>
      <c r="U84">
        <f>SUMIF(ConfirmedRaw!$B:$B,$A84,ConfirmedRaw!X:X)</f>
        <v>0</v>
      </c>
      <c r="V84">
        <f>SUMIF(ConfirmedRaw!$B:$B,$A84,ConfirmedRaw!Y:Y)</f>
        <v>0</v>
      </c>
      <c r="W84">
        <f>SUMIF(ConfirmedRaw!$B:$B,$A84,ConfirmedRaw!Z:Z)</f>
        <v>0</v>
      </c>
      <c r="X84">
        <f>SUMIF(ConfirmedRaw!$B:$B,$A84,ConfirmedRaw!AA:AA)</f>
        <v>0</v>
      </c>
      <c r="Y84">
        <f>SUMIF(ConfirmedRaw!$B:$B,$A84,ConfirmedRaw!AB:AB)</f>
        <v>0</v>
      </c>
      <c r="Z84">
        <f>SUMIF(ConfirmedRaw!$B:$B,$A84,ConfirmedRaw!AC:AC)</f>
        <v>0</v>
      </c>
      <c r="AA84">
        <f>SUMIF(ConfirmedRaw!$B:$B,$A84,ConfirmedRaw!AD:AD)</f>
        <v>0</v>
      </c>
      <c r="AB84">
        <f>SUMIF(ConfirmedRaw!$B:$B,$A84,ConfirmedRaw!AE:AE)</f>
        <v>0</v>
      </c>
      <c r="AC84">
        <f>SUMIF(ConfirmedRaw!$B:$B,$A84,ConfirmedRaw!AF:AF)</f>
        <v>0</v>
      </c>
      <c r="AD84">
        <f>SUMIF(ConfirmedRaw!$B:$B,$A84,ConfirmedRaw!AG:AG)</f>
        <v>0</v>
      </c>
      <c r="AE84">
        <f>SUMIF(ConfirmedRaw!$B:$B,$A84,ConfirmedRaw!AH:AH)</f>
        <v>0</v>
      </c>
      <c r="AF84">
        <f>SUMIF(ConfirmedRaw!$B:$B,$A84,ConfirmedRaw!AI:AI)</f>
        <v>0</v>
      </c>
      <c r="AG84">
        <f>SUMIF(ConfirmedRaw!$B:$B,$A84,ConfirmedRaw!AJ:AJ)</f>
        <v>0</v>
      </c>
      <c r="AH84">
        <f>SUMIF(ConfirmedRaw!$B:$B,$A84,ConfirmedRaw!AK:AK)</f>
        <v>0</v>
      </c>
      <c r="AI84">
        <f>SUMIF(ConfirmedRaw!$B:$B,$A84,ConfirmedRaw!AL:AL)</f>
        <v>0</v>
      </c>
      <c r="AJ84">
        <f>SUMIF(ConfirmedRaw!$B:$B,$A84,ConfirmedRaw!AM:AM)</f>
        <v>0</v>
      </c>
      <c r="AK84">
        <f>SUMIF(ConfirmedRaw!$B:$B,$A84,ConfirmedRaw!AN:AN)</f>
        <v>0</v>
      </c>
      <c r="AL84">
        <f>SUMIF(ConfirmedRaw!$B:$B,$A84,ConfirmedRaw!AO:AO)</f>
        <v>0</v>
      </c>
      <c r="AM84">
        <f>SUMIF(ConfirmedRaw!$B:$B,$A84,ConfirmedRaw!AP:AP)</f>
        <v>0</v>
      </c>
      <c r="AN84">
        <f>SUMIF(ConfirmedRaw!$B:$B,$A84,ConfirmedRaw!AQ:AQ)</f>
        <v>0</v>
      </c>
      <c r="AO84">
        <f>SUMIF(ConfirmedRaw!$B:$B,$A84,ConfirmedRaw!AR:AR)</f>
        <v>0</v>
      </c>
      <c r="AP84">
        <f>SUMIF(ConfirmedRaw!$B:$B,$A84,ConfirmedRaw!AS:AS)</f>
        <v>0</v>
      </c>
      <c r="AQ84">
        <f>SUMIF(ConfirmedRaw!$B:$B,$A84,ConfirmedRaw!AT:AT)</f>
        <v>0</v>
      </c>
      <c r="AR84">
        <f>SUMIF(ConfirmedRaw!$B:$B,$A84,ConfirmedRaw!AU:AU)</f>
        <v>0</v>
      </c>
      <c r="AS84">
        <f>SUMIF(ConfirmedRaw!$B:$B,$A84,ConfirmedRaw!AV:AV)</f>
        <v>0</v>
      </c>
      <c r="AT84">
        <f>SUMIF(ConfirmedRaw!$B:$B,$A84,ConfirmedRaw!AW:AW)</f>
        <v>0</v>
      </c>
      <c r="AU84">
        <f>SUMIF(ConfirmedRaw!$B:$B,$A84,ConfirmedRaw!AX:AX)</f>
        <v>0</v>
      </c>
      <c r="AV84">
        <f>SUMIF(ConfirmedRaw!$B:$B,$A84,ConfirmedRaw!AY:AY)</f>
        <v>0</v>
      </c>
      <c r="AW84">
        <f>SUMIF(ConfirmedRaw!$B:$B,$A84,ConfirmedRaw!AZ:AZ)</f>
        <v>0</v>
      </c>
      <c r="AX84">
        <f>SUMIF(ConfirmedRaw!$B:$B,$A84,ConfirmedRaw!BA:BA)</f>
        <v>0</v>
      </c>
      <c r="AY84">
        <f>SUMIF(ConfirmedRaw!$B:$B,$A84,ConfirmedRaw!BB:BB)</f>
        <v>1</v>
      </c>
      <c r="AZ84">
        <f>SUMIF(ConfirmedRaw!$B:$B,$A84,ConfirmedRaw!BC:BC)</f>
        <v>2</v>
      </c>
      <c r="BA84">
        <f>SUMIF(ConfirmedRaw!$B:$B,$A84,ConfirmedRaw!BD:BD)</f>
        <v>8</v>
      </c>
      <c r="BB84">
        <f>SUMIF(ConfirmedRaw!$B:$B,$A84,ConfirmedRaw!BE:BE)</f>
        <v>8</v>
      </c>
      <c r="BC84">
        <f>SUMIF(ConfirmedRaw!$B:$B,$A84,ConfirmedRaw!BF:BF)</f>
        <v>10</v>
      </c>
      <c r="BD84">
        <f>SUMIF(ConfirmedRaw!$B:$B,$A84,ConfirmedRaw!BG:BG)</f>
        <v>10</v>
      </c>
      <c r="BE84">
        <f>SUMIF(ConfirmedRaw!$B:$B,$A84,ConfirmedRaw!BH:BH)</f>
        <v>12</v>
      </c>
      <c r="BF84">
        <f>SUMIF(ConfirmedRaw!$B:$B,$A84,ConfirmedRaw!BI:BI)</f>
        <v>13</v>
      </c>
      <c r="BG84">
        <f>SUMIF(ConfirmedRaw!$B:$B,$A84,ConfirmedRaw!BJ:BJ)</f>
        <v>15</v>
      </c>
      <c r="BH84">
        <f>SUMIF(ConfirmedRaw!$B:$B,$A84,ConfirmedRaw!BK:BK)</f>
        <v>16</v>
      </c>
      <c r="BI84">
        <f>SUMIF(ConfirmedRaw!$B:$B,$A84,ConfirmedRaw!BL:BL)</f>
        <v>0</v>
      </c>
      <c r="BJ84">
        <f>SUMIF(ConfirmedRaw!$B:$B,$A84,ConfirmedRaw!BM:BM)</f>
        <v>0</v>
      </c>
      <c r="BK84">
        <f>SUMIF(ConfirmedRaw!$B:$B,$A84,ConfirmedRaw!BN:BN)</f>
        <v>0</v>
      </c>
      <c r="BL84">
        <f>SUMIF(ConfirmedRaw!$B:$B,$A84,ConfirmedRaw!BO:BO)</f>
        <v>0</v>
      </c>
      <c r="BM84">
        <f>SUMIF(ConfirmedRaw!$B:$B,$A84,ConfirmedRaw!BP:BP)</f>
        <v>0</v>
      </c>
      <c r="BN84">
        <f>SUMIF(ConfirmedRaw!$B:$B,$A84,ConfirmedRaw!BQ:BQ)</f>
        <v>0</v>
      </c>
      <c r="BO84">
        <f>SUMIF(ConfirmedRaw!$B:$B,$A84,ConfirmedRaw!BR:BR)</f>
        <v>0</v>
      </c>
      <c r="BP84">
        <f>SUMIF(ConfirmedRaw!$B:$B,$A84,ConfirmedRaw!BS:BS)</f>
        <v>0</v>
      </c>
      <c r="BQ84">
        <f>SUMIF(ConfirmedRaw!$B:$B,$A84,ConfirmedRaw!BT:BT)</f>
        <v>0</v>
      </c>
      <c r="BR84">
        <f>SUMIF(ConfirmedRaw!$B:$B,$A84,ConfirmedRaw!BU:BU)</f>
        <v>0</v>
      </c>
      <c r="BS84">
        <f>SUMIF(ConfirmedRaw!$B:$B,$A84,ConfirmedRaw!BV:BV)</f>
        <v>0</v>
      </c>
      <c r="BT84">
        <f>SUMIF(ConfirmedRaw!$B:$B,$A84,ConfirmedRaw!BW:BW)</f>
        <v>0</v>
      </c>
    </row>
    <row r="85" spans="1:72" ht="15" thickBot="1" x14ac:dyDescent="0.35">
      <c r="A85" s="3" t="s">
        <v>72</v>
      </c>
      <c r="B85">
        <f>SUMIF(ConfirmedRaw!$B:$B,$A85,ConfirmedRaw!E:E)</f>
        <v>0</v>
      </c>
      <c r="C85">
        <f>SUMIF(ConfirmedRaw!$B:$B,$A85,ConfirmedRaw!F:F)</f>
        <v>0</v>
      </c>
      <c r="D85">
        <f>SUMIF(ConfirmedRaw!$B:$B,$A85,ConfirmedRaw!G:G)</f>
        <v>0</v>
      </c>
      <c r="E85">
        <f>SUMIF(ConfirmedRaw!$B:$B,$A85,ConfirmedRaw!H:H)</f>
        <v>0</v>
      </c>
      <c r="F85">
        <f>SUMIF(ConfirmedRaw!$B:$B,$A85,ConfirmedRaw!I:I)</f>
        <v>0</v>
      </c>
      <c r="G85">
        <f>SUMIF(ConfirmedRaw!$B:$B,$A85,ConfirmedRaw!J:J)</f>
        <v>0</v>
      </c>
      <c r="H85">
        <f>SUMIF(ConfirmedRaw!$B:$B,$A85,ConfirmedRaw!K:K)</f>
        <v>0</v>
      </c>
      <c r="I85">
        <f>SUMIF(ConfirmedRaw!$B:$B,$A85,ConfirmedRaw!L:L)</f>
        <v>0</v>
      </c>
      <c r="J85">
        <f>SUMIF(ConfirmedRaw!$B:$B,$A85,ConfirmedRaw!M:M)</f>
        <v>0</v>
      </c>
      <c r="K85">
        <f>SUMIF(ConfirmedRaw!$B:$B,$A85,ConfirmedRaw!N:N)</f>
        <v>0</v>
      </c>
      <c r="L85">
        <f>SUMIF(ConfirmedRaw!$B:$B,$A85,ConfirmedRaw!O:O)</f>
        <v>0</v>
      </c>
      <c r="M85">
        <f>SUMIF(ConfirmedRaw!$B:$B,$A85,ConfirmedRaw!P:P)</f>
        <v>0</v>
      </c>
      <c r="N85">
        <f>SUMIF(ConfirmedRaw!$B:$B,$A85,ConfirmedRaw!Q:Q)</f>
        <v>0</v>
      </c>
      <c r="O85">
        <f>SUMIF(ConfirmedRaw!$B:$B,$A85,ConfirmedRaw!R:R)</f>
        <v>0</v>
      </c>
      <c r="P85">
        <f>SUMIF(ConfirmedRaw!$B:$B,$A85,ConfirmedRaw!S:S)</f>
        <v>0</v>
      </c>
      <c r="Q85">
        <f>SUMIF(ConfirmedRaw!$B:$B,$A85,ConfirmedRaw!T:T)</f>
        <v>0</v>
      </c>
      <c r="R85">
        <f>SUMIF(ConfirmedRaw!$B:$B,$A85,ConfirmedRaw!U:U)</f>
        <v>0</v>
      </c>
      <c r="S85">
        <f>SUMIF(ConfirmedRaw!$B:$B,$A85,ConfirmedRaw!V:V)</f>
        <v>0</v>
      </c>
      <c r="T85">
        <f>SUMIF(ConfirmedRaw!$B:$B,$A85,ConfirmedRaw!W:W)</f>
        <v>0</v>
      </c>
      <c r="U85">
        <f>SUMIF(ConfirmedRaw!$B:$B,$A85,ConfirmedRaw!X:X)</f>
        <v>0</v>
      </c>
      <c r="V85">
        <f>SUMIF(ConfirmedRaw!$B:$B,$A85,ConfirmedRaw!Y:Y)</f>
        <v>0</v>
      </c>
      <c r="W85">
        <f>SUMIF(ConfirmedRaw!$B:$B,$A85,ConfirmedRaw!Z:Z)</f>
        <v>0</v>
      </c>
      <c r="X85">
        <f>SUMIF(ConfirmedRaw!$B:$B,$A85,ConfirmedRaw!AA:AA)</f>
        <v>0</v>
      </c>
      <c r="Y85">
        <f>SUMIF(ConfirmedRaw!$B:$B,$A85,ConfirmedRaw!AB:AB)</f>
        <v>0</v>
      </c>
      <c r="Z85">
        <f>SUMIF(ConfirmedRaw!$B:$B,$A85,ConfirmedRaw!AC:AC)</f>
        <v>0</v>
      </c>
      <c r="AA85">
        <f>SUMIF(ConfirmedRaw!$B:$B,$A85,ConfirmedRaw!AD:AD)</f>
        <v>0</v>
      </c>
      <c r="AB85">
        <f>SUMIF(ConfirmedRaw!$B:$B,$A85,ConfirmedRaw!AE:AE)</f>
        <v>0</v>
      </c>
      <c r="AC85">
        <f>SUMIF(ConfirmedRaw!$B:$B,$A85,ConfirmedRaw!AF:AF)</f>
        <v>0</v>
      </c>
      <c r="AD85">
        <f>SUMIF(ConfirmedRaw!$B:$B,$A85,ConfirmedRaw!AG:AG)</f>
        <v>0</v>
      </c>
      <c r="AE85">
        <f>SUMIF(ConfirmedRaw!$B:$B,$A85,ConfirmedRaw!AH:AH)</f>
        <v>0</v>
      </c>
      <c r="AF85">
        <f>SUMIF(ConfirmedRaw!$B:$B,$A85,ConfirmedRaw!AI:AI)</f>
        <v>0</v>
      </c>
      <c r="AG85">
        <f>SUMIF(ConfirmedRaw!$B:$B,$A85,ConfirmedRaw!AJ:AJ)</f>
        <v>0</v>
      </c>
      <c r="AH85">
        <f>SUMIF(ConfirmedRaw!$B:$B,$A85,ConfirmedRaw!AK:AK)</f>
        <v>0</v>
      </c>
      <c r="AI85">
        <f>SUMIF(ConfirmedRaw!$B:$B,$A85,ConfirmedRaw!AL:AL)</f>
        <v>1</v>
      </c>
      <c r="AJ85">
        <f>SUMIF(ConfirmedRaw!$B:$B,$A85,ConfirmedRaw!AM:AM)</f>
        <v>1</v>
      </c>
      <c r="AK85">
        <f>SUMIF(ConfirmedRaw!$B:$B,$A85,ConfirmedRaw!AN:AN)</f>
        <v>1</v>
      </c>
      <c r="AL85">
        <f>SUMIF(ConfirmedRaw!$B:$B,$A85,ConfirmedRaw!AO:AO)</f>
        <v>1</v>
      </c>
      <c r="AM85">
        <f>SUMIF(ConfirmedRaw!$B:$B,$A85,ConfirmedRaw!AP:AP)</f>
        <v>1</v>
      </c>
      <c r="AN85">
        <f>SUMIF(ConfirmedRaw!$B:$B,$A85,ConfirmedRaw!AQ:AQ)</f>
        <v>1</v>
      </c>
      <c r="AO85">
        <f>SUMIF(ConfirmedRaw!$B:$B,$A85,ConfirmedRaw!AR:AR)</f>
        <v>1</v>
      </c>
      <c r="AP85">
        <f>SUMIF(ConfirmedRaw!$B:$B,$A85,ConfirmedRaw!AS:AS)</f>
        <v>1</v>
      </c>
      <c r="AQ85">
        <f>SUMIF(ConfirmedRaw!$B:$B,$A85,ConfirmedRaw!AT:AT)</f>
        <v>1</v>
      </c>
      <c r="AR85">
        <f>SUMIF(ConfirmedRaw!$B:$B,$A85,ConfirmedRaw!AU:AU)</f>
        <v>1</v>
      </c>
      <c r="AS85">
        <f>SUMIF(ConfirmedRaw!$B:$B,$A85,ConfirmedRaw!AV:AV)</f>
        <v>1</v>
      </c>
      <c r="AT85">
        <f>SUMIF(ConfirmedRaw!$B:$B,$A85,ConfirmedRaw!AW:AW)</f>
        <v>1</v>
      </c>
      <c r="AU85">
        <f>SUMIF(ConfirmedRaw!$B:$B,$A85,ConfirmedRaw!AX:AX)</f>
        <v>1</v>
      </c>
      <c r="AV85">
        <f>SUMIF(ConfirmedRaw!$B:$B,$A85,ConfirmedRaw!AY:AY)</f>
        <v>4</v>
      </c>
      <c r="AW85">
        <f>SUMIF(ConfirmedRaw!$B:$B,$A85,ConfirmedRaw!AZ:AZ)</f>
        <v>4</v>
      </c>
      <c r="AX85">
        <f>SUMIF(ConfirmedRaw!$B:$B,$A85,ConfirmedRaw!BA:BA)</f>
        <v>5</v>
      </c>
      <c r="AY85">
        <f>SUMIF(ConfirmedRaw!$B:$B,$A85,ConfirmedRaw!BB:BB)</f>
        <v>7</v>
      </c>
      <c r="AZ85">
        <f>SUMIF(ConfirmedRaw!$B:$B,$A85,ConfirmedRaw!BC:BC)</f>
        <v>7</v>
      </c>
      <c r="BA85">
        <f>SUMIF(ConfirmedRaw!$B:$B,$A85,ConfirmedRaw!BD:BD)</f>
        <v>7</v>
      </c>
      <c r="BB85">
        <f>SUMIF(ConfirmedRaw!$B:$B,$A85,ConfirmedRaw!BE:BE)</f>
        <v>11</v>
      </c>
      <c r="BC85">
        <f>SUMIF(ConfirmedRaw!$B:$B,$A85,ConfirmedRaw!BF:BF)</f>
        <v>16</v>
      </c>
      <c r="BD85">
        <f>SUMIF(ConfirmedRaw!$B:$B,$A85,ConfirmedRaw!BG:BG)</f>
        <v>21</v>
      </c>
      <c r="BE85">
        <f>SUMIF(ConfirmedRaw!$B:$B,$A85,ConfirmedRaw!BH:BH)</f>
        <v>22</v>
      </c>
      <c r="BF85">
        <f>SUMIF(ConfirmedRaw!$B:$B,$A85,ConfirmedRaw!BI:BI)</f>
        <v>22</v>
      </c>
      <c r="BG85">
        <f>SUMIF(ConfirmedRaw!$B:$B,$A85,ConfirmedRaw!BJ:BJ)</f>
        <v>22</v>
      </c>
      <c r="BH85">
        <f>SUMIF(ConfirmedRaw!$B:$B,$A85,ConfirmedRaw!BK:BK)</f>
        <v>24</v>
      </c>
      <c r="BI85">
        <f>SUMIF(ConfirmedRaw!$B:$B,$A85,ConfirmedRaw!BL:BL)</f>
        <v>0</v>
      </c>
      <c r="BJ85">
        <f>SUMIF(ConfirmedRaw!$B:$B,$A85,ConfirmedRaw!BM:BM)</f>
        <v>0</v>
      </c>
      <c r="BK85">
        <f>SUMIF(ConfirmedRaw!$B:$B,$A85,ConfirmedRaw!BN:BN)</f>
        <v>0</v>
      </c>
      <c r="BL85">
        <f>SUMIF(ConfirmedRaw!$B:$B,$A85,ConfirmedRaw!BO:BO)</f>
        <v>0</v>
      </c>
      <c r="BM85">
        <f>SUMIF(ConfirmedRaw!$B:$B,$A85,ConfirmedRaw!BP:BP)</f>
        <v>0</v>
      </c>
      <c r="BN85">
        <f>SUMIF(ConfirmedRaw!$B:$B,$A85,ConfirmedRaw!BQ:BQ)</f>
        <v>0</v>
      </c>
      <c r="BO85">
        <f>SUMIF(ConfirmedRaw!$B:$B,$A85,ConfirmedRaw!BR:BR)</f>
        <v>0</v>
      </c>
      <c r="BP85">
        <f>SUMIF(ConfirmedRaw!$B:$B,$A85,ConfirmedRaw!BS:BS)</f>
        <v>0</v>
      </c>
      <c r="BQ85">
        <f>SUMIF(ConfirmedRaw!$B:$B,$A85,ConfirmedRaw!BT:BT)</f>
        <v>0</v>
      </c>
      <c r="BR85">
        <f>SUMIF(ConfirmedRaw!$B:$B,$A85,ConfirmedRaw!BU:BU)</f>
        <v>0</v>
      </c>
      <c r="BS85">
        <f>SUMIF(ConfirmedRaw!$B:$B,$A85,ConfirmedRaw!BV:BV)</f>
        <v>0</v>
      </c>
      <c r="BT85">
        <f>SUMIF(ConfirmedRaw!$B:$B,$A85,ConfirmedRaw!BW:BW)</f>
        <v>0</v>
      </c>
    </row>
    <row r="86" spans="1:72" ht="15" thickBot="1" x14ac:dyDescent="0.35">
      <c r="A86" s="3" t="s">
        <v>112</v>
      </c>
      <c r="B86">
        <f>SUMIF(ConfirmedRaw!$B:$B,$A86,ConfirmedRaw!E:E)</f>
        <v>0</v>
      </c>
      <c r="C86">
        <f>SUMIF(ConfirmedRaw!$B:$B,$A86,ConfirmedRaw!F:F)</f>
        <v>0</v>
      </c>
      <c r="D86">
        <f>SUMIF(ConfirmedRaw!$B:$B,$A86,ConfirmedRaw!G:G)</f>
        <v>0</v>
      </c>
      <c r="E86">
        <f>SUMIF(ConfirmedRaw!$B:$B,$A86,ConfirmedRaw!H:H)</f>
        <v>0</v>
      </c>
      <c r="F86">
        <f>SUMIF(ConfirmedRaw!$B:$B,$A86,ConfirmedRaw!I:I)</f>
        <v>0</v>
      </c>
      <c r="G86">
        <f>SUMIF(ConfirmedRaw!$B:$B,$A86,ConfirmedRaw!J:J)</f>
        <v>0</v>
      </c>
      <c r="H86">
        <f>SUMIF(ConfirmedRaw!$B:$B,$A86,ConfirmedRaw!K:K)</f>
        <v>0</v>
      </c>
      <c r="I86">
        <f>SUMIF(ConfirmedRaw!$B:$B,$A86,ConfirmedRaw!L:L)</f>
        <v>0</v>
      </c>
      <c r="J86">
        <f>SUMIF(ConfirmedRaw!$B:$B,$A86,ConfirmedRaw!M:M)</f>
        <v>0</v>
      </c>
      <c r="K86">
        <f>SUMIF(ConfirmedRaw!$B:$B,$A86,ConfirmedRaw!N:N)</f>
        <v>0</v>
      </c>
      <c r="L86">
        <f>SUMIF(ConfirmedRaw!$B:$B,$A86,ConfirmedRaw!O:O)</f>
        <v>0</v>
      </c>
      <c r="M86">
        <f>SUMIF(ConfirmedRaw!$B:$B,$A86,ConfirmedRaw!P:P)</f>
        <v>0</v>
      </c>
      <c r="N86">
        <f>SUMIF(ConfirmedRaw!$B:$B,$A86,ConfirmedRaw!Q:Q)</f>
        <v>0</v>
      </c>
      <c r="O86">
        <f>SUMIF(ConfirmedRaw!$B:$B,$A86,ConfirmedRaw!R:R)</f>
        <v>0</v>
      </c>
      <c r="P86">
        <f>SUMIF(ConfirmedRaw!$B:$B,$A86,ConfirmedRaw!S:S)</f>
        <v>0</v>
      </c>
      <c r="Q86">
        <f>SUMIF(ConfirmedRaw!$B:$B,$A86,ConfirmedRaw!T:T)</f>
        <v>0</v>
      </c>
      <c r="R86">
        <f>SUMIF(ConfirmedRaw!$B:$B,$A86,ConfirmedRaw!U:U)</f>
        <v>0</v>
      </c>
      <c r="S86">
        <f>SUMIF(ConfirmedRaw!$B:$B,$A86,ConfirmedRaw!V:V)</f>
        <v>0</v>
      </c>
      <c r="T86">
        <f>SUMIF(ConfirmedRaw!$B:$B,$A86,ConfirmedRaw!W:W)</f>
        <v>0</v>
      </c>
      <c r="U86">
        <f>SUMIF(ConfirmedRaw!$B:$B,$A86,ConfirmedRaw!X:X)</f>
        <v>0</v>
      </c>
      <c r="V86">
        <f>SUMIF(ConfirmedRaw!$B:$B,$A86,ConfirmedRaw!Y:Y)</f>
        <v>0</v>
      </c>
      <c r="W86">
        <f>SUMIF(ConfirmedRaw!$B:$B,$A86,ConfirmedRaw!Z:Z)</f>
        <v>0</v>
      </c>
      <c r="X86">
        <f>SUMIF(ConfirmedRaw!$B:$B,$A86,ConfirmedRaw!AA:AA)</f>
        <v>0</v>
      </c>
      <c r="Y86">
        <f>SUMIF(ConfirmedRaw!$B:$B,$A86,ConfirmedRaw!AB:AB)</f>
        <v>0</v>
      </c>
      <c r="Z86">
        <f>SUMIF(ConfirmedRaw!$B:$B,$A86,ConfirmedRaw!AC:AC)</f>
        <v>0</v>
      </c>
      <c r="AA86">
        <f>SUMIF(ConfirmedRaw!$B:$B,$A86,ConfirmedRaw!AD:AD)</f>
        <v>0</v>
      </c>
      <c r="AB86">
        <f>SUMIF(ConfirmedRaw!$B:$B,$A86,ConfirmedRaw!AE:AE)</f>
        <v>0</v>
      </c>
      <c r="AC86">
        <f>SUMIF(ConfirmedRaw!$B:$B,$A86,ConfirmedRaw!AF:AF)</f>
        <v>0</v>
      </c>
      <c r="AD86">
        <f>SUMIF(ConfirmedRaw!$B:$B,$A86,ConfirmedRaw!AG:AG)</f>
        <v>0</v>
      </c>
      <c r="AE86">
        <f>SUMIF(ConfirmedRaw!$B:$B,$A86,ConfirmedRaw!AH:AH)</f>
        <v>0</v>
      </c>
      <c r="AF86">
        <f>SUMIF(ConfirmedRaw!$B:$B,$A86,ConfirmedRaw!AI:AI)</f>
        <v>0</v>
      </c>
      <c r="AG86">
        <f>SUMIF(ConfirmedRaw!$B:$B,$A86,ConfirmedRaw!AJ:AJ)</f>
        <v>0</v>
      </c>
      <c r="AH86">
        <f>SUMIF(ConfirmedRaw!$B:$B,$A86,ConfirmedRaw!AK:AK)</f>
        <v>0</v>
      </c>
      <c r="AI86">
        <f>SUMIF(ConfirmedRaw!$B:$B,$A86,ConfirmedRaw!AL:AL)</f>
        <v>0</v>
      </c>
      <c r="AJ86">
        <f>SUMIF(ConfirmedRaw!$B:$B,$A86,ConfirmedRaw!AM:AM)</f>
        <v>0</v>
      </c>
      <c r="AK86">
        <f>SUMIF(ConfirmedRaw!$B:$B,$A86,ConfirmedRaw!AN:AN)</f>
        <v>0</v>
      </c>
      <c r="AL86">
        <f>SUMIF(ConfirmedRaw!$B:$B,$A86,ConfirmedRaw!AO:AO)</f>
        <v>0</v>
      </c>
      <c r="AM86">
        <f>SUMIF(ConfirmedRaw!$B:$B,$A86,ConfirmedRaw!AP:AP)</f>
        <v>0</v>
      </c>
      <c r="AN86">
        <f>SUMIF(ConfirmedRaw!$B:$B,$A86,ConfirmedRaw!AQ:AQ)</f>
        <v>0</v>
      </c>
      <c r="AO86">
        <f>SUMIF(ConfirmedRaw!$B:$B,$A86,ConfirmedRaw!AR:AR)</f>
        <v>0</v>
      </c>
      <c r="AP86">
        <f>SUMIF(ConfirmedRaw!$B:$B,$A86,ConfirmedRaw!AS:AS)</f>
        <v>1</v>
      </c>
      <c r="AQ86">
        <f>SUMIF(ConfirmedRaw!$B:$B,$A86,ConfirmedRaw!AT:AT)</f>
        <v>1</v>
      </c>
      <c r="AR86">
        <f>SUMIF(ConfirmedRaw!$B:$B,$A86,ConfirmedRaw!AU:AU)</f>
        <v>1</v>
      </c>
      <c r="AS86">
        <f>SUMIF(ConfirmedRaw!$B:$B,$A86,ConfirmedRaw!AV:AV)</f>
        <v>2</v>
      </c>
      <c r="AT86">
        <f>SUMIF(ConfirmedRaw!$B:$B,$A86,ConfirmedRaw!AW:AW)</f>
        <v>2</v>
      </c>
      <c r="AU86">
        <f>SUMIF(ConfirmedRaw!$B:$B,$A86,ConfirmedRaw!AX:AX)</f>
        <v>2</v>
      </c>
      <c r="AV86">
        <f>SUMIF(ConfirmedRaw!$B:$B,$A86,ConfirmedRaw!AY:AY)</f>
        <v>2</v>
      </c>
      <c r="AW86">
        <f>SUMIF(ConfirmedRaw!$B:$B,$A86,ConfirmedRaw!AZ:AZ)</f>
        <v>2</v>
      </c>
      <c r="AX86">
        <f>SUMIF(ConfirmedRaw!$B:$B,$A86,ConfirmedRaw!BA:BA)</f>
        <v>3</v>
      </c>
      <c r="AY86">
        <f>SUMIF(ConfirmedRaw!$B:$B,$A86,ConfirmedRaw!BB:BB)</f>
        <v>5</v>
      </c>
      <c r="AZ86">
        <f>SUMIF(ConfirmedRaw!$B:$B,$A86,ConfirmedRaw!BC:BC)</f>
        <v>6</v>
      </c>
      <c r="BA86">
        <f>SUMIF(ConfirmedRaw!$B:$B,$A86,ConfirmedRaw!BD:BD)</f>
        <v>7</v>
      </c>
      <c r="BB86">
        <f>SUMIF(ConfirmedRaw!$B:$B,$A86,ConfirmedRaw!BE:BE)</f>
        <v>17</v>
      </c>
      <c r="BC86">
        <f>SUMIF(ConfirmedRaw!$B:$B,$A86,ConfirmedRaw!BF:BF)</f>
        <v>28</v>
      </c>
      <c r="BD86">
        <f>SUMIF(ConfirmedRaw!$B:$B,$A86,ConfirmedRaw!BG:BG)</f>
        <v>29</v>
      </c>
      <c r="BE86">
        <f>SUMIF(ConfirmedRaw!$B:$B,$A86,ConfirmedRaw!BH:BH)</f>
        <v>38</v>
      </c>
      <c r="BF86">
        <f>SUMIF(ConfirmedRaw!$B:$B,$A86,ConfirmedRaw!BI:BI)</f>
        <v>49</v>
      </c>
      <c r="BG86">
        <f>SUMIF(ConfirmedRaw!$B:$B,$A86,ConfirmedRaw!BJ:BJ)</f>
        <v>63</v>
      </c>
      <c r="BH86">
        <f>SUMIF(ConfirmedRaw!$B:$B,$A86,ConfirmedRaw!BK:BK)</f>
        <v>77</v>
      </c>
      <c r="BI86">
        <f>SUMIF(ConfirmedRaw!$B:$B,$A86,ConfirmedRaw!BL:BL)</f>
        <v>0</v>
      </c>
      <c r="BJ86">
        <f>SUMIF(ConfirmedRaw!$B:$B,$A86,ConfirmedRaw!BM:BM)</f>
        <v>0</v>
      </c>
      <c r="BK86">
        <f>SUMIF(ConfirmedRaw!$B:$B,$A86,ConfirmedRaw!BN:BN)</f>
        <v>0</v>
      </c>
      <c r="BL86">
        <f>SUMIF(ConfirmedRaw!$B:$B,$A86,ConfirmedRaw!BO:BO)</f>
        <v>0</v>
      </c>
      <c r="BM86">
        <f>SUMIF(ConfirmedRaw!$B:$B,$A86,ConfirmedRaw!BP:BP)</f>
        <v>0</v>
      </c>
      <c r="BN86">
        <f>SUMIF(ConfirmedRaw!$B:$B,$A86,ConfirmedRaw!BQ:BQ)</f>
        <v>0</v>
      </c>
      <c r="BO86">
        <f>SUMIF(ConfirmedRaw!$B:$B,$A86,ConfirmedRaw!BR:BR)</f>
        <v>0</v>
      </c>
      <c r="BP86">
        <f>SUMIF(ConfirmedRaw!$B:$B,$A86,ConfirmedRaw!BS:BS)</f>
        <v>0</v>
      </c>
      <c r="BQ86">
        <f>SUMIF(ConfirmedRaw!$B:$B,$A86,ConfirmedRaw!BT:BT)</f>
        <v>0</v>
      </c>
      <c r="BR86">
        <f>SUMIF(ConfirmedRaw!$B:$B,$A86,ConfirmedRaw!BU:BU)</f>
        <v>0</v>
      </c>
      <c r="BS86">
        <f>SUMIF(ConfirmedRaw!$B:$B,$A86,ConfirmedRaw!BV:BV)</f>
        <v>0</v>
      </c>
      <c r="BT86">
        <f>SUMIF(ConfirmedRaw!$B:$B,$A86,ConfirmedRaw!BW:BW)</f>
        <v>0</v>
      </c>
    </row>
    <row r="87" spans="1:72" ht="15" thickBot="1" x14ac:dyDescent="0.35">
      <c r="A87" s="3" t="s">
        <v>93</v>
      </c>
      <c r="B87">
        <f>SUMIF(ConfirmedRaw!$B:$B,$A87,ConfirmedRaw!E:E)</f>
        <v>0</v>
      </c>
      <c r="C87">
        <f>SUMIF(ConfirmedRaw!$B:$B,$A87,ConfirmedRaw!F:F)</f>
        <v>0</v>
      </c>
      <c r="D87">
        <f>SUMIF(ConfirmedRaw!$B:$B,$A87,ConfirmedRaw!G:G)</f>
        <v>0</v>
      </c>
      <c r="E87">
        <f>SUMIF(ConfirmedRaw!$B:$B,$A87,ConfirmedRaw!H:H)</f>
        <v>0</v>
      </c>
      <c r="F87">
        <f>SUMIF(ConfirmedRaw!$B:$B,$A87,ConfirmedRaw!I:I)</f>
        <v>0</v>
      </c>
      <c r="G87">
        <f>SUMIF(ConfirmedRaw!$B:$B,$A87,ConfirmedRaw!J:J)</f>
        <v>0</v>
      </c>
      <c r="H87">
        <f>SUMIF(ConfirmedRaw!$B:$B,$A87,ConfirmedRaw!K:K)</f>
        <v>0</v>
      </c>
      <c r="I87">
        <f>SUMIF(ConfirmedRaw!$B:$B,$A87,ConfirmedRaw!L:L)</f>
        <v>0</v>
      </c>
      <c r="J87">
        <f>SUMIF(ConfirmedRaw!$B:$B,$A87,ConfirmedRaw!M:M)</f>
        <v>0</v>
      </c>
      <c r="K87">
        <f>SUMIF(ConfirmedRaw!$B:$B,$A87,ConfirmedRaw!N:N)</f>
        <v>0</v>
      </c>
      <c r="L87">
        <f>SUMIF(ConfirmedRaw!$B:$B,$A87,ConfirmedRaw!O:O)</f>
        <v>0</v>
      </c>
      <c r="M87">
        <f>SUMIF(ConfirmedRaw!$B:$B,$A87,ConfirmedRaw!P:P)</f>
        <v>0</v>
      </c>
      <c r="N87">
        <f>SUMIF(ConfirmedRaw!$B:$B,$A87,ConfirmedRaw!Q:Q)</f>
        <v>0</v>
      </c>
      <c r="O87">
        <f>SUMIF(ConfirmedRaw!$B:$B,$A87,ConfirmedRaw!R:R)</f>
        <v>0</v>
      </c>
      <c r="P87">
        <f>SUMIF(ConfirmedRaw!$B:$B,$A87,ConfirmedRaw!S:S)</f>
        <v>0</v>
      </c>
      <c r="Q87">
        <f>SUMIF(ConfirmedRaw!$B:$B,$A87,ConfirmedRaw!T:T)</f>
        <v>0</v>
      </c>
      <c r="R87">
        <f>SUMIF(ConfirmedRaw!$B:$B,$A87,ConfirmedRaw!U:U)</f>
        <v>0</v>
      </c>
      <c r="S87">
        <f>SUMIF(ConfirmedRaw!$B:$B,$A87,ConfirmedRaw!V:V)</f>
        <v>0</v>
      </c>
      <c r="T87">
        <f>SUMIF(ConfirmedRaw!$B:$B,$A87,ConfirmedRaw!W:W)</f>
        <v>0</v>
      </c>
      <c r="U87">
        <f>SUMIF(ConfirmedRaw!$B:$B,$A87,ConfirmedRaw!X:X)</f>
        <v>0</v>
      </c>
      <c r="V87">
        <f>SUMIF(ConfirmedRaw!$B:$B,$A87,ConfirmedRaw!Y:Y)</f>
        <v>0</v>
      </c>
      <c r="W87">
        <f>SUMIF(ConfirmedRaw!$B:$B,$A87,ConfirmedRaw!Z:Z)</f>
        <v>0</v>
      </c>
      <c r="X87">
        <f>SUMIF(ConfirmedRaw!$B:$B,$A87,ConfirmedRaw!AA:AA)</f>
        <v>0</v>
      </c>
      <c r="Y87">
        <f>SUMIF(ConfirmedRaw!$B:$B,$A87,ConfirmedRaw!AB:AB)</f>
        <v>0</v>
      </c>
      <c r="Z87">
        <f>SUMIF(ConfirmedRaw!$B:$B,$A87,ConfirmedRaw!AC:AC)</f>
        <v>0</v>
      </c>
      <c r="AA87">
        <f>SUMIF(ConfirmedRaw!$B:$B,$A87,ConfirmedRaw!AD:AD)</f>
        <v>0</v>
      </c>
      <c r="AB87">
        <f>SUMIF(ConfirmedRaw!$B:$B,$A87,ConfirmedRaw!AE:AE)</f>
        <v>0</v>
      </c>
      <c r="AC87">
        <f>SUMIF(ConfirmedRaw!$B:$B,$A87,ConfirmedRaw!AF:AF)</f>
        <v>0</v>
      </c>
      <c r="AD87">
        <f>SUMIF(ConfirmedRaw!$B:$B,$A87,ConfirmedRaw!AG:AG)</f>
        <v>0</v>
      </c>
      <c r="AE87">
        <f>SUMIF(ConfirmedRaw!$B:$B,$A87,ConfirmedRaw!AH:AH)</f>
        <v>0</v>
      </c>
      <c r="AF87">
        <f>SUMIF(ConfirmedRaw!$B:$B,$A87,ConfirmedRaw!AI:AI)</f>
        <v>0</v>
      </c>
      <c r="AG87">
        <f>SUMIF(ConfirmedRaw!$B:$B,$A87,ConfirmedRaw!AJ:AJ)</f>
        <v>0</v>
      </c>
      <c r="AH87">
        <f>SUMIF(ConfirmedRaw!$B:$B,$A87,ConfirmedRaw!AK:AK)</f>
        <v>0</v>
      </c>
      <c r="AI87">
        <f>SUMIF(ConfirmedRaw!$B:$B,$A87,ConfirmedRaw!AL:AL)</f>
        <v>0</v>
      </c>
      <c r="AJ87">
        <f>SUMIF(ConfirmedRaw!$B:$B,$A87,ConfirmedRaw!AM:AM)</f>
        <v>0</v>
      </c>
      <c r="AK87">
        <f>SUMIF(ConfirmedRaw!$B:$B,$A87,ConfirmedRaw!AN:AN)</f>
        <v>0</v>
      </c>
      <c r="AL87">
        <f>SUMIF(ConfirmedRaw!$B:$B,$A87,ConfirmedRaw!AO:AO)</f>
        <v>0</v>
      </c>
      <c r="AM87">
        <f>SUMIF(ConfirmedRaw!$B:$B,$A87,ConfirmedRaw!AP:AP)</f>
        <v>1</v>
      </c>
      <c r="AN87">
        <f>SUMIF(ConfirmedRaw!$B:$B,$A87,ConfirmedRaw!AQ:AQ)</f>
        <v>1</v>
      </c>
      <c r="AO87">
        <f>SUMIF(ConfirmedRaw!$B:$B,$A87,ConfirmedRaw!AR:AR)</f>
        <v>1</v>
      </c>
      <c r="AP87">
        <f>SUMIF(ConfirmedRaw!$B:$B,$A87,ConfirmedRaw!AS:AS)</f>
        <v>1</v>
      </c>
      <c r="AQ87">
        <f>SUMIF(ConfirmedRaw!$B:$B,$A87,ConfirmedRaw!AT:AT)</f>
        <v>1</v>
      </c>
      <c r="AR87">
        <f>SUMIF(ConfirmedRaw!$B:$B,$A87,ConfirmedRaw!AU:AU)</f>
        <v>1</v>
      </c>
      <c r="AS87">
        <f>SUMIF(ConfirmedRaw!$B:$B,$A87,ConfirmedRaw!AV:AV)</f>
        <v>1</v>
      </c>
      <c r="AT87">
        <f>SUMIF(ConfirmedRaw!$B:$B,$A87,ConfirmedRaw!AW:AW)</f>
        <v>1</v>
      </c>
      <c r="AU87">
        <f>SUMIF(ConfirmedRaw!$B:$B,$A87,ConfirmedRaw!AX:AX)</f>
        <v>1</v>
      </c>
      <c r="AV87">
        <f>SUMIF(ConfirmedRaw!$B:$B,$A87,ConfirmedRaw!AY:AY)</f>
        <v>1</v>
      </c>
      <c r="AW87">
        <f>SUMIF(ConfirmedRaw!$B:$B,$A87,ConfirmedRaw!AZ:AZ)</f>
        <v>1</v>
      </c>
      <c r="AX87">
        <f>SUMIF(ConfirmedRaw!$B:$B,$A87,ConfirmedRaw!BA:BA)</f>
        <v>1</v>
      </c>
      <c r="AY87">
        <f>SUMIF(ConfirmedRaw!$B:$B,$A87,ConfirmedRaw!BB:BB)</f>
        <v>3</v>
      </c>
      <c r="AZ87">
        <f>SUMIF(ConfirmedRaw!$B:$B,$A87,ConfirmedRaw!BC:BC)</f>
        <v>3</v>
      </c>
      <c r="BA87">
        <f>SUMIF(ConfirmedRaw!$B:$B,$A87,ConfirmedRaw!BD:BD)</f>
        <v>6</v>
      </c>
      <c r="BB87">
        <f>SUMIF(ConfirmedRaw!$B:$B,$A87,ConfirmedRaw!BE:BE)</f>
        <v>8</v>
      </c>
      <c r="BC87">
        <f>SUMIF(ConfirmedRaw!$B:$B,$A87,ConfirmedRaw!BF:BF)</f>
        <v>12</v>
      </c>
      <c r="BD87">
        <f>SUMIF(ConfirmedRaw!$B:$B,$A87,ConfirmedRaw!BG:BG)</f>
        <v>17</v>
      </c>
      <c r="BE87">
        <f>SUMIF(ConfirmedRaw!$B:$B,$A87,ConfirmedRaw!BH:BH)</f>
        <v>25</v>
      </c>
      <c r="BF87">
        <f>SUMIF(ConfirmedRaw!$B:$B,$A87,ConfirmedRaw!BI:BI)</f>
        <v>27</v>
      </c>
      <c r="BG87">
        <f>SUMIF(ConfirmedRaw!$B:$B,$A87,ConfirmedRaw!BJ:BJ)</f>
        <v>36</v>
      </c>
      <c r="BH87">
        <f>SUMIF(ConfirmedRaw!$B:$B,$A87,ConfirmedRaw!BK:BK)</f>
        <v>49</v>
      </c>
      <c r="BI87">
        <f>SUMIF(ConfirmedRaw!$B:$B,$A87,ConfirmedRaw!BL:BL)</f>
        <v>0</v>
      </c>
      <c r="BJ87">
        <f>SUMIF(ConfirmedRaw!$B:$B,$A87,ConfirmedRaw!BM:BM)</f>
        <v>0</v>
      </c>
      <c r="BK87">
        <f>SUMIF(ConfirmedRaw!$B:$B,$A87,ConfirmedRaw!BN:BN)</f>
        <v>0</v>
      </c>
      <c r="BL87">
        <f>SUMIF(ConfirmedRaw!$B:$B,$A87,ConfirmedRaw!BO:BO)</f>
        <v>0</v>
      </c>
      <c r="BM87">
        <f>SUMIF(ConfirmedRaw!$B:$B,$A87,ConfirmedRaw!BP:BP)</f>
        <v>0</v>
      </c>
      <c r="BN87">
        <f>SUMIF(ConfirmedRaw!$B:$B,$A87,ConfirmedRaw!BQ:BQ)</f>
        <v>0</v>
      </c>
      <c r="BO87">
        <f>SUMIF(ConfirmedRaw!$B:$B,$A87,ConfirmedRaw!BR:BR)</f>
        <v>0</v>
      </c>
      <c r="BP87">
        <f>SUMIF(ConfirmedRaw!$B:$B,$A87,ConfirmedRaw!BS:BS)</f>
        <v>0</v>
      </c>
      <c r="BQ87">
        <f>SUMIF(ConfirmedRaw!$B:$B,$A87,ConfirmedRaw!BT:BT)</f>
        <v>0</v>
      </c>
      <c r="BR87">
        <f>SUMIF(ConfirmedRaw!$B:$B,$A87,ConfirmedRaw!BU:BU)</f>
        <v>0</v>
      </c>
      <c r="BS87">
        <f>SUMIF(ConfirmedRaw!$B:$B,$A87,ConfirmedRaw!BV:BV)</f>
        <v>0</v>
      </c>
      <c r="BT87">
        <f>SUMIF(ConfirmedRaw!$B:$B,$A87,ConfirmedRaw!BW:BW)</f>
        <v>0</v>
      </c>
    </row>
    <row r="88" spans="1:72" ht="15" thickBot="1" x14ac:dyDescent="0.35">
      <c r="A88" s="4" t="s">
        <v>345</v>
      </c>
      <c r="B88">
        <f>SUMIF(ConfirmedRaw!$B:$B,$A88,ConfirmedRaw!E:E)</f>
        <v>0</v>
      </c>
      <c r="C88">
        <f>SUMIF(ConfirmedRaw!$B:$B,$A88,ConfirmedRaw!F:F)</f>
        <v>0</v>
      </c>
      <c r="D88">
        <f>SUMIF(ConfirmedRaw!$B:$B,$A88,ConfirmedRaw!G:G)</f>
        <v>0</v>
      </c>
      <c r="E88">
        <f>SUMIF(ConfirmedRaw!$B:$B,$A88,ConfirmedRaw!H:H)</f>
        <v>0</v>
      </c>
      <c r="F88">
        <f>SUMIF(ConfirmedRaw!$B:$B,$A88,ConfirmedRaw!I:I)</f>
        <v>0</v>
      </c>
      <c r="G88">
        <f>SUMIF(ConfirmedRaw!$B:$B,$A88,ConfirmedRaw!J:J)</f>
        <v>0</v>
      </c>
      <c r="H88">
        <f>SUMIF(ConfirmedRaw!$B:$B,$A88,ConfirmedRaw!K:K)</f>
        <v>0</v>
      </c>
      <c r="I88">
        <f>SUMIF(ConfirmedRaw!$B:$B,$A88,ConfirmedRaw!L:L)</f>
        <v>0</v>
      </c>
      <c r="J88">
        <f>SUMIF(ConfirmedRaw!$B:$B,$A88,ConfirmedRaw!M:M)</f>
        <v>0</v>
      </c>
      <c r="K88">
        <f>SUMIF(ConfirmedRaw!$B:$B,$A88,ConfirmedRaw!N:N)</f>
        <v>0</v>
      </c>
      <c r="L88">
        <f>SUMIF(ConfirmedRaw!$B:$B,$A88,ConfirmedRaw!O:O)</f>
        <v>0</v>
      </c>
      <c r="M88">
        <f>SUMIF(ConfirmedRaw!$B:$B,$A88,ConfirmedRaw!P:P)</f>
        <v>0</v>
      </c>
      <c r="N88">
        <f>SUMIF(ConfirmedRaw!$B:$B,$A88,ConfirmedRaw!Q:Q)</f>
        <v>0</v>
      </c>
      <c r="O88">
        <f>SUMIF(ConfirmedRaw!$B:$B,$A88,ConfirmedRaw!R:R)</f>
        <v>0</v>
      </c>
      <c r="P88">
        <f>SUMIF(ConfirmedRaw!$B:$B,$A88,ConfirmedRaw!S:S)</f>
        <v>0</v>
      </c>
      <c r="Q88">
        <f>SUMIF(ConfirmedRaw!$B:$B,$A88,ConfirmedRaw!T:T)</f>
        <v>0</v>
      </c>
      <c r="R88">
        <f>SUMIF(ConfirmedRaw!$B:$B,$A88,ConfirmedRaw!U:U)</f>
        <v>0</v>
      </c>
      <c r="S88">
        <f>SUMIF(ConfirmedRaw!$B:$B,$A88,ConfirmedRaw!V:V)</f>
        <v>0</v>
      </c>
      <c r="T88">
        <f>SUMIF(ConfirmedRaw!$B:$B,$A88,ConfirmedRaw!W:W)</f>
        <v>0</v>
      </c>
      <c r="U88">
        <f>SUMIF(ConfirmedRaw!$B:$B,$A88,ConfirmedRaw!X:X)</f>
        <v>0</v>
      </c>
      <c r="V88">
        <f>SUMIF(ConfirmedRaw!$B:$B,$A88,ConfirmedRaw!Y:Y)</f>
        <v>0</v>
      </c>
      <c r="W88">
        <f>SUMIF(ConfirmedRaw!$B:$B,$A88,ConfirmedRaw!Z:Z)</f>
        <v>0</v>
      </c>
      <c r="X88">
        <f>SUMIF(ConfirmedRaw!$B:$B,$A88,ConfirmedRaw!AA:AA)</f>
        <v>0</v>
      </c>
      <c r="Y88">
        <f>SUMIF(ConfirmedRaw!$B:$B,$A88,ConfirmedRaw!AB:AB)</f>
        <v>0</v>
      </c>
      <c r="Z88">
        <f>SUMIF(ConfirmedRaw!$B:$B,$A88,ConfirmedRaw!AC:AC)</f>
        <v>0</v>
      </c>
      <c r="AA88">
        <f>SUMIF(ConfirmedRaw!$B:$B,$A88,ConfirmedRaw!AD:AD)</f>
        <v>0</v>
      </c>
      <c r="AB88">
        <f>SUMIF(ConfirmedRaw!$B:$B,$A88,ConfirmedRaw!AE:AE)</f>
        <v>0</v>
      </c>
      <c r="AC88">
        <f>SUMIF(ConfirmedRaw!$B:$B,$A88,ConfirmedRaw!AF:AF)</f>
        <v>0</v>
      </c>
      <c r="AD88">
        <f>SUMIF(ConfirmedRaw!$B:$B,$A88,ConfirmedRaw!AG:AG)</f>
        <v>0</v>
      </c>
      <c r="AE88">
        <f>SUMIF(ConfirmedRaw!$B:$B,$A88,ConfirmedRaw!AH:AH)</f>
        <v>0</v>
      </c>
      <c r="AF88">
        <f>SUMIF(ConfirmedRaw!$B:$B,$A88,ConfirmedRaw!AI:AI)</f>
        <v>0</v>
      </c>
      <c r="AG88">
        <f>SUMIF(ConfirmedRaw!$B:$B,$A88,ConfirmedRaw!AJ:AJ)</f>
        <v>0</v>
      </c>
      <c r="AH88">
        <f>SUMIF(ConfirmedRaw!$B:$B,$A88,ConfirmedRaw!AK:AK)</f>
        <v>0</v>
      </c>
      <c r="AI88">
        <f>SUMIF(ConfirmedRaw!$B:$B,$A88,ConfirmedRaw!AL:AL)</f>
        <v>0</v>
      </c>
      <c r="AJ88">
        <f>SUMIF(ConfirmedRaw!$B:$B,$A88,ConfirmedRaw!AM:AM)</f>
        <v>0</v>
      </c>
      <c r="AK88">
        <f>SUMIF(ConfirmedRaw!$B:$B,$A88,ConfirmedRaw!AN:AN)</f>
        <v>0</v>
      </c>
      <c r="AL88">
        <f>SUMIF(ConfirmedRaw!$B:$B,$A88,ConfirmedRaw!AO:AO)</f>
        <v>0</v>
      </c>
      <c r="AM88">
        <f>SUMIF(ConfirmedRaw!$B:$B,$A88,ConfirmedRaw!AP:AP)</f>
        <v>0</v>
      </c>
      <c r="AN88">
        <f>SUMIF(ConfirmedRaw!$B:$B,$A88,ConfirmedRaw!AQ:AQ)</f>
        <v>0</v>
      </c>
      <c r="AO88">
        <f>SUMIF(ConfirmedRaw!$B:$B,$A88,ConfirmedRaw!AR:AR)</f>
        <v>0</v>
      </c>
      <c r="AP88">
        <f>SUMIF(ConfirmedRaw!$B:$B,$A88,ConfirmedRaw!AS:AS)</f>
        <v>0</v>
      </c>
      <c r="AQ88">
        <f>SUMIF(ConfirmedRaw!$B:$B,$A88,ConfirmedRaw!AT:AT)</f>
        <v>0</v>
      </c>
      <c r="AR88">
        <f>SUMIF(ConfirmedRaw!$B:$B,$A88,ConfirmedRaw!AU:AU)</f>
        <v>0</v>
      </c>
      <c r="AS88">
        <f>SUMIF(ConfirmedRaw!$B:$B,$A88,ConfirmedRaw!AV:AV)</f>
        <v>0</v>
      </c>
      <c r="AT88">
        <f>SUMIF(ConfirmedRaw!$B:$B,$A88,ConfirmedRaw!AW:AW)</f>
        <v>0</v>
      </c>
      <c r="AU88">
        <f>SUMIF(ConfirmedRaw!$B:$B,$A88,ConfirmedRaw!AX:AX)</f>
        <v>0</v>
      </c>
      <c r="AV88">
        <f>SUMIF(ConfirmedRaw!$B:$B,$A88,ConfirmedRaw!AY:AY)</f>
        <v>1</v>
      </c>
      <c r="AW88">
        <f>SUMIF(ConfirmedRaw!$B:$B,$A88,ConfirmedRaw!AZ:AZ)</f>
        <v>1</v>
      </c>
      <c r="AX88">
        <f>SUMIF(ConfirmedRaw!$B:$B,$A88,ConfirmedRaw!BA:BA)</f>
        <v>3</v>
      </c>
      <c r="AY88">
        <f>SUMIF(ConfirmedRaw!$B:$B,$A88,ConfirmedRaw!BB:BB)</f>
        <v>3</v>
      </c>
      <c r="AZ88">
        <f>SUMIF(ConfirmedRaw!$B:$B,$A88,ConfirmedRaw!BC:BC)</f>
        <v>3</v>
      </c>
      <c r="BA88">
        <f>SUMIF(ConfirmedRaw!$B:$B,$A88,ConfirmedRaw!BD:BD)</f>
        <v>6</v>
      </c>
      <c r="BB88">
        <f>SUMIF(ConfirmedRaw!$B:$B,$A88,ConfirmedRaw!BE:BE)</f>
        <v>12</v>
      </c>
      <c r="BC88">
        <f>SUMIF(ConfirmedRaw!$B:$B,$A88,ConfirmedRaw!BF:BF)</f>
        <v>23</v>
      </c>
      <c r="BD88">
        <f>SUMIF(ConfirmedRaw!$B:$B,$A88,ConfirmedRaw!BG:BG)</f>
        <v>23</v>
      </c>
      <c r="BE88">
        <f>SUMIF(ConfirmedRaw!$B:$B,$A88,ConfirmedRaw!BH:BH)</f>
        <v>30</v>
      </c>
      <c r="BF88">
        <f>SUMIF(ConfirmedRaw!$B:$B,$A88,ConfirmedRaw!BI:BI)</f>
        <v>30</v>
      </c>
      <c r="BG88">
        <f>SUMIF(ConfirmedRaw!$B:$B,$A88,ConfirmedRaw!BJ:BJ)</f>
        <v>49</v>
      </c>
      <c r="BH88">
        <f>SUMIF(ConfirmedRaw!$B:$B,$A88,ConfirmedRaw!BK:BK)</f>
        <v>66</v>
      </c>
      <c r="BI88">
        <f>SUMIF(ConfirmedRaw!$B:$B,$A88,ConfirmedRaw!BL:BL)</f>
        <v>0</v>
      </c>
      <c r="BJ88">
        <f>SUMIF(ConfirmedRaw!$B:$B,$A88,ConfirmedRaw!BM:BM)</f>
        <v>0</v>
      </c>
      <c r="BK88">
        <f>SUMIF(ConfirmedRaw!$B:$B,$A88,ConfirmedRaw!BN:BN)</f>
        <v>0</v>
      </c>
      <c r="BL88">
        <f>SUMIF(ConfirmedRaw!$B:$B,$A88,ConfirmedRaw!BO:BO)</f>
        <v>0</v>
      </c>
      <c r="BM88">
        <f>SUMIF(ConfirmedRaw!$B:$B,$A88,ConfirmedRaw!BP:BP)</f>
        <v>0</v>
      </c>
      <c r="BN88">
        <f>SUMIF(ConfirmedRaw!$B:$B,$A88,ConfirmedRaw!BQ:BQ)</f>
        <v>0</v>
      </c>
      <c r="BO88">
        <f>SUMIF(ConfirmedRaw!$B:$B,$A88,ConfirmedRaw!BR:BR)</f>
        <v>0</v>
      </c>
      <c r="BP88">
        <f>SUMIF(ConfirmedRaw!$B:$B,$A88,ConfirmedRaw!BS:BS)</f>
        <v>0</v>
      </c>
      <c r="BQ88">
        <f>SUMIF(ConfirmedRaw!$B:$B,$A88,ConfirmedRaw!BT:BT)</f>
        <v>0</v>
      </c>
      <c r="BR88">
        <f>SUMIF(ConfirmedRaw!$B:$B,$A88,ConfirmedRaw!BU:BU)</f>
        <v>0</v>
      </c>
      <c r="BS88">
        <f>SUMIF(ConfirmedRaw!$B:$B,$A88,ConfirmedRaw!BV:BV)</f>
        <v>0</v>
      </c>
      <c r="BT88">
        <f>SUMIF(ConfirmedRaw!$B:$B,$A88,ConfirmedRaw!BW:BW)</f>
        <v>0</v>
      </c>
    </row>
    <row r="89" spans="1:72" ht="15" thickBot="1" x14ac:dyDescent="0.35">
      <c r="A89" s="4" t="s">
        <v>206</v>
      </c>
      <c r="B89">
        <f>SUMIF(ConfirmedRaw!$B:$B,$A89,ConfirmedRaw!E:E)</f>
        <v>0</v>
      </c>
      <c r="C89">
        <f>SUMIF(ConfirmedRaw!$B:$B,$A89,ConfirmedRaw!F:F)</f>
        <v>0</v>
      </c>
      <c r="D89">
        <f>SUMIF(ConfirmedRaw!$B:$B,$A89,ConfirmedRaw!G:G)</f>
        <v>0</v>
      </c>
      <c r="E89">
        <f>SUMIF(ConfirmedRaw!$B:$B,$A89,ConfirmedRaw!H:H)</f>
        <v>0</v>
      </c>
      <c r="F89">
        <f>SUMIF(ConfirmedRaw!$B:$B,$A89,ConfirmedRaw!I:I)</f>
        <v>0</v>
      </c>
      <c r="G89">
        <f>SUMIF(ConfirmedRaw!$B:$B,$A89,ConfirmedRaw!J:J)</f>
        <v>0</v>
      </c>
      <c r="H89">
        <f>SUMIF(ConfirmedRaw!$B:$B,$A89,ConfirmedRaw!K:K)</f>
        <v>0</v>
      </c>
      <c r="I89">
        <f>SUMIF(ConfirmedRaw!$B:$B,$A89,ConfirmedRaw!L:L)</f>
        <v>0</v>
      </c>
      <c r="J89">
        <f>SUMIF(ConfirmedRaw!$B:$B,$A89,ConfirmedRaw!M:M)</f>
        <v>0</v>
      </c>
      <c r="K89">
        <f>SUMIF(ConfirmedRaw!$B:$B,$A89,ConfirmedRaw!N:N)</f>
        <v>0</v>
      </c>
      <c r="L89">
        <f>SUMIF(ConfirmedRaw!$B:$B,$A89,ConfirmedRaw!O:O)</f>
        <v>0</v>
      </c>
      <c r="M89">
        <f>SUMIF(ConfirmedRaw!$B:$B,$A89,ConfirmedRaw!P:P)</f>
        <v>0</v>
      </c>
      <c r="N89">
        <f>SUMIF(ConfirmedRaw!$B:$B,$A89,ConfirmedRaw!Q:Q)</f>
        <v>0</v>
      </c>
      <c r="O89">
        <f>SUMIF(ConfirmedRaw!$B:$B,$A89,ConfirmedRaw!R:R)</f>
        <v>0</v>
      </c>
      <c r="P89">
        <f>SUMIF(ConfirmedRaw!$B:$B,$A89,ConfirmedRaw!S:S)</f>
        <v>0</v>
      </c>
      <c r="Q89">
        <f>SUMIF(ConfirmedRaw!$B:$B,$A89,ConfirmedRaw!T:T)</f>
        <v>0</v>
      </c>
      <c r="R89">
        <f>SUMIF(ConfirmedRaw!$B:$B,$A89,ConfirmedRaw!U:U)</f>
        <v>0</v>
      </c>
      <c r="S89">
        <f>SUMIF(ConfirmedRaw!$B:$B,$A89,ConfirmedRaw!V:V)</f>
        <v>0</v>
      </c>
      <c r="T89">
        <f>SUMIF(ConfirmedRaw!$B:$B,$A89,ConfirmedRaw!W:W)</f>
        <v>0</v>
      </c>
      <c r="U89">
        <f>SUMIF(ConfirmedRaw!$B:$B,$A89,ConfirmedRaw!X:X)</f>
        <v>0</v>
      </c>
      <c r="V89">
        <f>SUMIF(ConfirmedRaw!$B:$B,$A89,ConfirmedRaw!Y:Y)</f>
        <v>0</v>
      </c>
      <c r="W89">
        <f>SUMIF(ConfirmedRaw!$B:$B,$A89,ConfirmedRaw!Z:Z)</f>
        <v>0</v>
      </c>
      <c r="X89">
        <f>SUMIF(ConfirmedRaw!$B:$B,$A89,ConfirmedRaw!AA:AA)</f>
        <v>0</v>
      </c>
      <c r="Y89">
        <f>SUMIF(ConfirmedRaw!$B:$B,$A89,ConfirmedRaw!AB:AB)</f>
        <v>0</v>
      </c>
      <c r="Z89">
        <f>SUMIF(ConfirmedRaw!$B:$B,$A89,ConfirmedRaw!AC:AC)</f>
        <v>0</v>
      </c>
      <c r="AA89">
        <f>SUMIF(ConfirmedRaw!$B:$B,$A89,ConfirmedRaw!AD:AD)</f>
        <v>0</v>
      </c>
      <c r="AB89">
        <f>SUMIF(ConfirmedRaw!$B:$B,$A89,ConfirmedRaw!AE:AE)</f>
        <v>0</v>
      </c>
      <c r="AC89">
        <f>SUMIF(ConfirmedRaw!$B:$B,$A89,ConfirmedRaw!AF:AF)</f>
        <v>0</v>
      </c>
      <c r="AD89">
        <f>SUMIF(ConfirmedRaw!$B:$B,$A89,ConfirmedRaw!AG:AG)</f>
        <v>0</v>
      </c>
      <c r="AE89">
        <f>SUMIF(ConfirmedRaw!$B:$B,$A89,ConfirmedRaw!AH:AH)</f>
        <v>0</v>
      </c>
      <c r="AF89">
        <f>SUMIF(ConfirmedRaw!$B:$B,$A89,ConfirmedRaw!AI:AI)</f>
        <v>0</v>
      </c>
      <c r="AG89">
        <f>SUMIF(ConfirmedRaw!$B:$B,$A89,ConfirmedRaw!AJ:AJ)</f>
        <v>0</v>
      </c>
      <c r="AH89">
        <f>SUMIF(ConfirmedRaw!$B:$B,$A89,ConfirmedRaw!AK:AK)</f>
        <v>0</v>
      </c>
      <c r="AI89">
        <f>SUMIF(ConfirmedRaw!$B:$B,$A89,ConfirmedRaw!AL:AL)</f>
        <v>0</v>
      </c>
      <c r="AJ89">
        <f>SUMIF(ConfirmedRaw!$B:$B,$A89,ConfirmedRaw!AM:AM)</f>
        <v>0</v>
      </c>
      <c r="AK89">
        <f>SUMIF(ConfirmedRaw!$B:$B,$A89,ConfirmedRaw!AN:AN)</f>
        <v>0</v>
      </c>
      <c r="AL89">
        <f>SUMIF(ConfirmedRaw!$B:$B,$A89,ConfirmedRaw!AO:AO)</f>
        <v>0</v>
      </c>
      <c r="AM89">
        <f>SUMIF(ConfirmedRaw!$B:$B,$A89,ConfirmedRaw!AP:AP)</f>
        <v>0</v>
      </c>
      <c r="AN89">
        <f>SUMIF(ConfirmedRaw!$B:$B,$A89,ConfirmedRaw!AQ:AQ)</f>
        <v>0</v>
      </c>
      <c r="AO89">
        <f>SUMIF(ConfirmedRaw!$B:$B,$A89,ConfirmedRaw!AR:AR)</f>
        <v>0</v>
      </c>
      <c r="AP89">
        <f>SUMIF(ConfirmedRaw!$B:$B,$A89,ConfirmedRaw!AS:AS)</f>
        <v>0</v>
      </c>
      <c r="AQ89">
        <f>SUMIF(ConfirmedRaw!$B:$B,$A89,ConfirmedRaw!AT:AT)</f>
        <v>0</v>
      </c>
      <c r="AR89">
        <f>SUMIF(ConfirmedRaw!$B:$B,$A89,ConfirmedRaw!AU:AU)</f>
        <v>0</v>
      </c>
      <c r="AS89">
        <f>SUMIF(ConfirmedRaw!$B:$B,$A89,ConfirmedRaw!AV:AV)</f>
        <v>0</v>
      </c>
      <c r="AT89">
        <f>SUMIF(ConfirmedRaw!$B:$B,$A89,ConfirmedRaw!AW:AW)</f>
        <v>0</v>
      </c>
      <c r="AU89">
        <f>SUMIF(ConfirmedRaw!$B:$B,$A89,ConfirmedRaw!AX:AX)</f>
        <v>0</v>
      </c>
      <c r="AV89">
        <f>SUMIF(ConfirmedRaw!$B:$B,$A89,ConfirmedRaw!AY:AY)</f>
        <v>1</v>
      </c>
      <c r="AW89">
        <f>SUMIF(ConfirmedRaw!$B:$B,$A89,ConfirmedRaw!AZ:AZ)</f>
        <v>1</v>
      </c>
      <c r="AX89">
        <f>SUMIF(ConfirmedRaw!$B:$B,$A89,ConfirmedRaw!BA:BA)</f>
        <v>1</v>
      </c>
      <c r="AY89">
        <f>SUMIF(ConfirmedRaw!$B:$B,$A89,ConfirmedRaw!BB:BB)</f>
        <v>5</v>
      </c>
      <c r="AZ89">
        <f>SUMIF(ConfirmedRaw!$B:$B,$A89,ConfirmedRaw!BC:BC)</f>
        <v>5</v>
      </c>
      <c r="BA89">
        <f>SUMIF(ConfirmedRaw!$B:$B,$A89,ConfirmedRaw!BD:BD)</f>
        <v>6</v>
      </c>
      <c r="BB89">
        <f>SUMIF(ConfirmedRaw!$B:$B,$A89,ConfirmedRaw!BE:BE)</f>
        <v>6</v>
      </c>
      <c r="BC89">
        <f>SUMIF(ConfirmedRaw!$B:$B,$A89,ConfirmedRaw!BF:BF)</f>
        <v>6</v>
      </c>
      <c r="BD89">
        <f>SUMIF(ConfirmedRaw!$B:$B,$A89,ConfirmedRaw!BG:BG)</f>
        <v>8</v>
      </c>
      <c r="BE89">
        <f>SUMIF(ConfirmedRaw!$B:$B,$A89,ConfirmedRaw!BH:BH)</f>
        <v>9</v>
      </c>
      <c r="BF89">
        <f>SUMIF(ConfirmedRaw!$B:$B,$A89,ConfirmedRaw!BI:BI)</f>
        <v>11</v>
      </c>
      <c r="BG89">
        <f>SUMIF(ConfirmedRaw!$B:$B,$A89,ConfirmedRaw!BJ:BJ)</f>
        <v>11</v>
      </c>
      <c r="BH89">
        <f>SUMIF(ConfirmedRaw!$B:$B,$A89,ConfirmedRaw!BK:BK)</f>
        <v>13</v>
      </c>
      <c r="BI89">
        <f>SUMIF(ConfirmedRaw!$B:$B,$A89,ConfirmedRaw!BL:BL)</f>
        <v>0</v>
      </c>
      <c r="BJ89">
        <f>SUMIF(ConfirmedRaw!$B:$B,$A89,ConfirmedRaw!BM:BM)</f>
        <v>0</v>
      </c>
      <c r="BK89">
        <f>SUMIF(ConfirmedRaw!$B:$B,$A89,ConfirmedRaw!BN:BN)</f>
        <v>0</v>
      </c>
      <c r="BL89">
        <f>SUMIF(ConfirmedRaw!$B:$B,$A89,ConfirmedRaw!BO:BO)</f>
        <v>0</v>
      </c>
      <c r="BM89">
        <f>SUMIF(ConfirmedRaw!$B:$B,$A89,ConfirmedRaw!BP:BP)</f>
        <v>0</v>
      </c>
      <c r="BN89">
        <f>SUMIF(ConfirmedRaw!$B:$B,$A89,ConfirmedRaw!BQ:BQ)</f>
        <v>0</v>
      </c>
      <c r="BO89">
        <f>SUMIF(ConfirmedRaw!$B:$B,$A89,ConfirmedRaw!BR:BR)</f>
        <v>0</v>
      </c>
      <c r="BP89">
        <f>SUMIF(ConfirmedRaw!$B:$B,$A89,ConfirmedRaw!BS:BS)</f>
        <v>0</v>
      </c>
      <c r="BQ89">
        <f>SUMIF(ConfirmedRaw!$B:$B,$A89,ConfirmedRaw!BT:BT)</f>
        <v>0</v>
      </c>
      <c r="BR89">
        <f>SUMIF(ConfirmedRaw!$B:$B,$A89,ConfirmedRaw!BU:BU)</f>
        <v>0</v>
      </c>
      <c r="BS89">
        <f>SUMIF(ConfirmedRaw!$B:$B,$A89,ConfirmedRaw!BV:BV)</f>
        <v>0</v>
      </c>
      <c r="BT89">
        <f>SUMIF(ConfirmedRaw!$B:$B,$A89,ConfirmedRaw!BW:BW)</f>
        <v>0</v>
      </c>
    </row>
    <row r="90" spans="1:72" ht="15" thickBot="1" x14ac:dyDescent="0.35">
      <c r="A90" s="3" t="s">
        <v>52</v>
      </c>
      <c r="B90">
        <f>SUMIF(ConfirmedRaw!$B:$B,$A90,ConfirmedRaw!E:E)</f>
        <v>0</v>
      </c>
      <c r="C90">
        <f>SUMIF(ConfirmedRaw!$B:$B,$A90,ConfirmedRaw!F:F)</f>
        <v>0</v>
      </c>
      <c r="D90">
        <f>SUMIF(ConfirmedRaw!$B:$B,$A90,ConfirmedRaw!G:G)</f>
        <v>0</v>
      </c>
      <c r="E90">
        <f>SUMIF(ConfirmedRaw!$B:$B,$A90,ConfirmedRaw!H:H)</f>
        <v>0</v>
      </c>
      <c r="F90">
        <f>SUMIF(ConfirmedRaw!$B:$B,$A90,ConfirmedRaw!I:I)</f>
        <v>0</v>
      </c>
      <c r="G90">
        <f>SUMIF(ConfirmedRaw!$B:$B,$A90,ConfirmedRaw!J:J)</f>
        <v>1</v>
      </c>
      <c r="H90">
        <f>SUMIF(ConfirmedRaw!$B:$B,$A90,ConfirmedRaw!K:K)</f>
        <v>1</v>
      </c>
      <c r="I90">
        <f>SUMIF(ConfirmedRaw!$B:$B,$A90,ConfirmedRaw!L:L)</f>
        <v>1</v>
      </c>
      <c r="J90">
        <f>SUMIF(ConfirmedRaw!$B:$B,$A90,ConfirmedRaw!M:M)</f>
        <v>1</v>
      </c>
      <c r="K90">
        <f>SUMIF(ConfirmedRaw!$B:$B,$A90,ConfirmedRaw!N:N)</f>
        <v>1</v>
      </c>
      <c r="L90">
        <f>SUMIF(ConfirmedRaw!$B:$B,$A90,ConfirmedRaw!O:O)</f>
        <v>1</v>
      </c>
      <c r="M90">
        <f>SUMIF(ConfirmedRaw!$B:$B,$A90,ConfirmedRaw!P:P)</f>
        <v>1</v>
      </c>
      <c r="N90">
        <f>SUMIF(ConfirmedRaw!$B:$B,$A90,ConfirmedRaw!Q:Q)</f>
        <v>1</v>
      </c>
      <c r="O90">
        <f>SUMIF(ConfirmedRaw!$B:$B,$A90,ConfirmedRaw!R:R)</f>
        <v>1</v>
      </c>
      <c r="P90">
        <f>SUMIF(ConfirmedRaw!$B:$B,$A90,ConfirmedRaw!S:S)</f>
        <v>1</v>
      </c>
      <c r="Q90">
        <f>SUMIF(ConfirmedRaw!$B:$B,$A90,ConfirmedRaw!T:T)</f>
        <v>1</v>
      </c>
      <c r="R90">
        <f>SUMIF(ConfirmedRaw!$B:$B,$A90,ConfirmedRaw!U:U)</f>
        <v>1</v>
      </c>
      <c r="S90">
        <f>SUMIF(ConfirmedRaw!$B:$B,$A90,ConfirmedRaw!V:V)</f>
        <v>1</v>
      </c>
      <c r="T90">
        <f>SUMIF(ConfirmedRaw!$B:$B,$A90,ConfirmedRaw!W:W)</f>
        <v>1</v>
      </c>
      <c r="U90">
        <f>SUMIF(ConfirmedRaw!$B:$B,$A90,ConfirmedRaw!X:X)</f>
        <v>1</v>
      </c>
      <c r="V90">
        <f>SUMIF(ConfirmedRaw!$B:$B,$A90,ConfirmedRaw!Y:Y)</f>
        <v>1</v>
      </c>
      <c r="W90">
        <f>SUMIF(ConfirmedRaw!$B:$B,$A90,ConfirmedRaw!Z:Z)</f>
        <v>1</v>
      </c>
      <c r="X90">
        <f>SUMIF(ConfirmedRaw!$B:$B,$A90,ConfirmedRaw!AA:AA)</f>
        <v>1</v>
      </c>
      <c r="Y90">
        <f>SUMIF(ConfirmedRaw!$B:$B,$A90,ConfirmedRaw!AB:AB)</f>
        <v>1</v>
      </c>
      <c r="Z90">
        <f>SUMIF(ConfirmedRaw!$B:$B,$A90,ConfirmedRaw!AC:AC)</f>
        <v>1</v>
      </c>
      <c r="AA90">
        <f>SUMIF(ConfirmedRaw!$B:$B,$A90,ConfirmedRaw!AD:AD)</f>
        <v>1</v>
      </c>
      <c r="AB90">
        <f>SUMIF(ConfirmedRaw!$B:$B,$A90,ConfirmedRaw!AE:AE)</f>
        <v>1</v>
      </c>
      <c r="AC90">
        <f>SUMIF(ConfirmedRaw!$B:$B,$A90,ConfirmedRaw!AF:AF)</f>
        <v>1</v>
      </c>
      <c r="AD90">
        <f>SUMIF(ConfirmedRaw!$B:$B,$A90,ConfirmedRaw!AG:AG)</f>
        <v>1</v>
      </c>
      <c r="AE90">
        <f>SUMIF(ConfirmedRaw!$B:$B,$A90,ConfirmedRaw!AH:AH)</f>
        <v>1</v>
      </c>
      <c r="AF90">
        <f>SUMIF(ConfirmedRaw!$B:$B,$A90,ConfirmedRaw!AI:AI)</f>
        <v>1</v>
      </c>
      <c r="AG90">
        <f>SUMIF(ConfirmedRaw!$B:$B,$A90,ConfirmedRaw!AJ:AJ)</f>
        <v>1</v>
      </c>
      <c r="AH90">
        <f>SUMIF(ConfirmedRaw!$B:$B,$A90,ConfirmedRaw!AK:AK)</f>
        <v>1</v>
      </c>
      <c r="AI90">
        <f>SUMIF(ConfirmedRaw!$B:$B,$A90,ConfirmedRaw!AL:AL)</f>
        <v>1</v>
      </c>
      <c r="AJ90">
        <f>SUMIF(ConfirmedRaw!$B:$B,$A90,ConfirmedRaw!AM:AM)</f>
        <v>1</v>
      </c>
      <c r="AK90">
        <f>SUMIF(ConfirmedRaw!$B:$B,$A90,ConfirmedRaw!AN:AN)</f>
        <v>1</v>
      </c>
      <c r="AL90">
        <f>SUMIF(ConfirmedRaw!$B:$B,$A90,ConfirmedRaw!AO:AO)</f>
        <v>1</v>
      </c>
      <c r="AM90">
        <f>SUMIF(ConfirmedRaw!$B:$B,$A90,ConfirmedRaw!AP:AP)</f>
        <v>1</v>
      </c>
      <c r="AN90">
        <f>SUMIF(ConfirmedRaw!$B:$B,$A90,ConfirmedRaw!AQ:AQ)</f>
        <v>1</v>
      </c>
      <c r="AO90">
        <f>SUMIF(ConfirmedRaw!$B:$B,$A90,ConfirmedRaw!AR:AR)</f>
        <v>1</v>
      </c>
      <c r="AP90">
        <f>SUMIF(ConfirmedRaw!$B:$B,$A90,ConfirmedRaw!AS:AS)</f>
        <v>1</v>
      </c>
      <c r="AQ90">
        <f>SUMIF(ConfirmedRaw!$B:$B,$A90,ConfirmedRaw!AT:AT)</f>
        <v>1</v>
      </c>
      <c r="AR90">
        <f>SUMIF(ConfirmedRaw!$B:$B,$A90,ConfirmedRaw!AU:AU)</f>
        <v>1</v>
      </c>
      <c r="AS90">
        <f>SUMIF(ConfirmedRaw!$B:$B,$A90,ConfirmedRaw!AV:AV)</f>
        <v>1</v>
      </c>
      <c r="AT90">
        <f>SUMIF(ConfirmedRaw!$B:$B,$A90,ConfirmedRaw!AW:AW)</f>
        <v>1</v>
      </c>
      <c r="AU90">
        <f>SUMIF(ConfirmedRaw!$B:$B,$A90,ConfirmedRaw!AX:AX)</f>
        <v>1</v>
      </c>
      <c r="AV90">
        <f>SUMIF(ConfirmedRaw!$B:$B,$A90,ConfirmedRaw!AY:AY)</f>
        <v>1</v>
      </c>
      <c r="AW90">
        <f>SUMIF(ConfirmedRaw!$B:$B,$A90,ConfirmedRaw!AZ:AZ)</f>
        <v>1</v>
      </c>
      <c r="AX90">
        <f>SUMIF(ConfirmedRaw!$B:$B,$A90,ConfirmedRaw!BA:BA)</f>
        <v>1</v>
      </c>
      <c r="AY90">
        <f>SUMIF(ConfirmedRaw!$B:$B,$A90,ConfirmedRaw!BB:BB)</f>
        <v>2</v>
      </c>
      <c r="AZ90">
        <f>SUMIF(ConfirmedRaw!$B:$B,$A90,ConfirmedRaw!BC:BC)</f>
        <v>2</v>
      </c>
      <c r="BA90">
        <f>SUMIF(ConfirmedRaw!$B:$B,$A90,ConfirmedRaw!BD:BD)</f>
        <v>6</v>
      </c>
      <c r="BB90">
        <f>SUMIF(ConfirmedRaw!$B:$B,$A90,ConfirmedRaw!BE:BE)</f>
        <v>10</v>
      </c>
      <c r="BC90">
        <f>SUMIF(ConfirmedRaw!$B:$B,$A90,ConfirmedRaw!BF:BF)</f>
        <v>18</v>
      </c>
      <c r="BD90">
        <f>SUMIF(ConfirmedRaw!$B:$B,$A90,ConfirmedRaw!BG:BG)</f>
        <v>28</v>
      </c>
      <c r="BE90">
        <f>SUMIF(ConfirmedRaw!$B:$B,$A90,ConfirmedRaw!BH:BH)</f>
        <v>44</v>
      </c>
      <c r="BF90">
        <f>SUMIF(ConfirmedRaw!$B:$B,$A90,ConfirmedRaw!BI:BI)</f>
        <v>51</v>
      </c>
      <c r="BG90">
        <f>SUMIF(ConfirmedRaw!$B:$B,$A90,ConfirmedRaw!BJ:BJ)</f>
        <v>60</v>
      </c>
      <c r="BH90">
        <f>SUMIF(ConfirmedRaw!$B:$B,$A90,ConfirmedRaw!BK:BK)</f>
        <v>73</v>
      </c>
      <c r="BI90">
        <f>SUMIF(ConfirmedRaw!$B:$B,$A90,ConfirmedRaw!BL:BL)</f>
        <v>0</v>
      </c>
      <c r="BJ90">
        <f>SUMIF(ConfirmedRaw!$B:$B,$A90,ConfirmedRaw!BM:BM)</f>
        <v>0</v>
      </c>
      <c r="BK90">
        <f>SUMIF(ConfirmedRaw!$B:$B,$A90,ConfirmedRaw!BN:BN)</f>
        <v>0</v>
      </c>
      <c r="BL90">
        <f>SUMIF(ConfirmedRaw!$B:$B,$A90,ConfirmedRaw!BO:BO)</f>
        <v>0</v>
      </c>
      <c r="BM90">
        <f>SUMIF(ConfirmedRaw!$B:$B,$A90,ConfirmedRaw!BP:BP)</f>
        <v>0</v>
      </c>
      <c r="BN90">
        <f>SUMIF(ConfirmedRaw!$B:$B,$A90,ConfirmedRaw!BQ:BQ)</f>
        <v>0</v>
      </c>
      <c r="BO90">
        <f>SUMIF(ConfirmedRaw!$B:$B,$A90,ConfirmedRaw!BR:BR)</f>
        <v>0</v>
      </c>
      <c r="BP90">
        <f>SUMIF(ConfirmedRaw!$B:$B,$A90,ConfirmedRaw!BS:BS)</f>
        <v>0</v>
      </c>
      <c r="BQ90">
        <f>SUMIF(ConfirmedRaw!$B:$B,$A90,ConfirmedRaw!BT:BT)</f>
        <v>0</v>
      </c>
      <c r="BR90">
        <f>SUMIF(ConfirmedRaw!$B:$B,$A90,ConfirmedRaw!BU:BU)</f>
        <v>0</v>
      </c>
      <c r="BS90">
        <f>SUMIF(ConfirmedRaw!$B:$B,$A90,ConfirmedRaw!BV:BV)</f>
        <v>0</v>
      </c>
      <c r="BT90">
        <f>SUMIF(ConfirmedRaw!$B:$B,$A90,ConfirmedRaw!BW:BW)</f>
        <v>0</v>
      </c>
    </row>
    <row r="91" spans="1:72" ht="15" thickBot="1" x14ac:dyDescent="0.35">
      <c r="A91" s="4" t="s">
        <v>51</v>
      </c>
      <c r="B91">
        <f>SUMIF(ConfirmedRaw!$B:$B,$A91,ConfirmedRaw!E:E)</f>
        <v>0</v>
      </c>
      <c r="C91">
        <f>SUMIF(ConfirmedRaw!$B:$B,$A91,ConfirmedRaw!F:F)</f>
        <v>0</v>
      </c>
      <c r="D91">
        <f>SUMIF(ConfirmedRaw!$B:$B,$A91,ConfirmedRaw!G:G)</f>
        <v>0</v>
      </c>
      <c r="E91">
        <f>SUMIF(ConfirmedRaw!$B:$B,$A91,ConfirmedRaw!H:H)</f>
        <v>0</v>
      </c>
      <c r="F91">
        <f>SUMIF(ConfirmedRaw!$B:$B,$A91,ConfirmedRaw!I:I)</f>
        <v>0</v>
      </c>
      <c r="G91">
        <f>SUMIF(ConfirmedRaw!$B:$B,$A91,ConfirmedRaw!J:J)</f>
        <v>1</v>
      </c>
      <c r="H91">
        <f>SUMIF(ConfirmedRaw!$B:$B,$A91,ConfirmedRaw!K:K)</f>
        <v>1</v>
      </c>
      <c r="I91">
        <f>SUMIF(ConfirmedRaw!$B:$B,$A91,ConfirmedRaw!L:L)</f>
        <v>1</v>
      </c>
      <c r="J91">
        <f>SUMIF(ConfirmedRaw!$B:$B,$A91,ConfirmedRaw!M:M)</f>
        <v>1</v>
      </c>
      <c r="K91">
        <f>SUMIF(ConfirmedRaw!$B:$B,$A91,ConfirmedRaw!N:N)</f>
        <v>1</v>
      </c>
      <c r="L91">
        <f>SUMIF(ConfirmedRaw!$B:$B,$A91,ConfirmedRaw!O:O)</f>
        <v>1</v>
      </c>
      <c r="M91">
        <f>SUMIF(ConfirmedRaw!$B:$B,$A91,ConfirmedRaw!P:P)</f>
        <v>1</v>
      </c>
      <c r="N91">
        <f>SUMIF(ConfirmedRaw!$B:$B,$A91,ConfirmedRaw!Q:Q)</f>
        <v>1</v>
      </c>
      <c r="O91">
        <f>SUMIF(ConfirmedRaw!$B:$B,$A91,ConfirmedRaw!R:R)</f>
        <v>1</v>
      </c>
      <c r="P91">
        <f>SUMIF(ConfirmedRaw!$B:$B,$A91,ConfirmedRaw!S:S)</f>
        <v>1</v>
      </c>
      <c r="Q91">
        <f>SUMIF(ConfirmedRaw!$B:$B,$A91,ConfirmedRaw!T:T)</f>
        <v>1</v>
      </c>
      <c r="R91">
        <f>SUMIF(ConfirmedRaw!$B:$B,$A91,ConfirmedRaw!U:U)</f>
        <v>1</v>
      </c>
      <c r="S91">
        <f>SUMIF(ConfirmedRaw!$B:$B,$A91,ConfirmedRaw!V:V)</f>
        <v>1</v>
      </c>
      <c r="T91">
        <f>SUMIF(ConfirmedRaw!$B:$B,$A91,ConfirmedRaw!W:W)</f>
        <v>1</v>
      </c>
      <c r="U91">
        <f>SUMIF(ConfirmedRaw!$B:$B,$A91,ConfirmedRaw!X:X)</f>
        <v>1</v>
      </c>
      <c r="V91">
        <f>SUMIF(ConfirmedRaw!$B:$B,$A91,ConfirmedRaw!Y:Y)</f>
        <v>1</v>
      </c>
      <c r="W91">
        <f>SUMIF(ConfirmedRaw!$B:$B,$A91,ConfirmedRaw!Z:Z)</f>
        <v>1</v>
      </c>
      <c r="X91">
        <f>SUMIF(ConfirmedRaw!$B:$B,$A91,ConfirmedRaw!AA:AA)</f>
        <v>1</v>
      </c>
      <c r="Y91">
        <f>SUMIF(ConfirmedRaw!$B:$B,$A91,ConfirmedRaw!AB:AB)</f>
        <v>1</v>
      </c>
      <c r="Z91">
        <f>SUMIF(ConfirmedRaw!$B:$B,$A91,ConfirmedRaw!AC:AC)</f>
        <v>1</v>
      </c>
      <c r="AA91">
        <f>SUMIF(ConfirmedRaw!$B:$B,$A91,ConfirmedRaw!AD:AD)</f>
        <v>1</v>
      </c>
      <c r="AB91">
        <f>SUMIF(ConfirmedRaw!$B:$B,$A91,ConfirmedRaw!AE:AE)</f>
        <v>1</v>
      </c>
      <c r="AC91">
        <f>SUMIF(ConfirmedRaw!$B:$B,$A91,ConfirmedRaw!AF:AF)</f>
        <v>1</v>
      </c>
      <c r="AD91">
        <f>SUMIF(ConfirmedRaw!$B:$B,$A91,ConfirmedRaw!AG:AG)</f>
        <v>1</v>
      </c>
      <c r="AE91">
        <f>SUMIF(ConfirmedRaw!$B:$B,$A91,ConfirmedRaw!AH:AH)</f>
        <v>1</v>
      </c>
      <c r="AF91">
        <f>SUMIF(ConfirmedRaw!$B:$B,$A91,ConfirmedRaw!AI:AI)</f>
        <v>1</v>
      </c>
      <c r="AG91">
        <f>SUMIF(ConfirmedRaw!$B:$B,$A91,ConfirmedRaw!AJ:AJ)</f>
        <v>1</v>
      </c>
      <c r="AH91">
        <f>SUMIF(ConfirmedRaw!$B:$B,$A91,ConfirmedRaw!AK:AK)</f>
        <v>1</v>
      </c>
      <c r="AI91">
        <f>SUMIF(ConfirmedRaw!$B:$B,$A91,ConfirmedRaw!AL:AL)</f>
        <v>1</v>
      </c>
      <c r="AJ91">
        <f>SUMIF(ConfirmedRaw!$B:$B,$A91,ConfirmedRaw!AM:AM)</f>
        <v>1</v>
      </c>
      <c r="AK91">
        <f>SUMIF(ConfirmedRaw!$B:$B,$A91,ConfirmedRaw!AN:AN)</f>
        <v>1</v>
      </c>
      <c r="AL91">
        <f>SUMIF(ConfirmedRaw!$B:$B,$A91,ConfirmedRaw!AO:AO)</f>
        <v>1</v>
      </c>
      <c r="AM91">
        <f>SUMIF(ConfirmedRaw!$B:$B,$A91,ConfirmedRaw!AP:AP)</f>
        <v>1</v>
      </c>
      <c r="AN91">
        <f>SUMIF(ConfirmedRaw!$B:$B,$A91,ConfirmedRaw!AQ:AQ)</f>
        <v>1</v>
      </c>
      <c r="AO91">
        <f>SUMIF(ConfirmedRaw!$B:$B,$A91,ConfirmedRaw!AR:AR)</f>
        <v>1</v>
      </c>
      <c r="AP91">
        <f>SUMIF(ConfirmedRaw!$B:$B,$A91,ConfirmedRaw!AS:AS)</f>
        <v>1</v>
      </c>
      <c r="AQ91">
        <f>SUMIF(ConfirmedRaw!$B:$B,$A91,ConfirmedRaw!AT:AT)</f>
        <v>1</v>
      </c>
      <c r="AR91">
        <f>SUMIF(ConfirmedRaw!$B:$B,$A91,ConfirmedRaw!AU:AU)</f>
        <v>1</v>
      </c>
      <c r="AS91">
        <f>SUMIF(ConfirmedRaw!$B:$B,$A91,ConfirmedRaw!AV:AV)</f>
        <v>1</v>
      </c>
      <c r="AT91">
        <f>SUMIF(ConfirmedRaw!$B:$B,$A91,ConfirmedRaw!AW:AW)</f>
        <v>1</v>
      </c>
      <c r="AU91">
        <f>SUMIF(ConfirmedRaw!$B:$B,$A91,ConfirmedRaw!AX:AX)</f>
        <v>1</v>
      </c>
      <c r="AV91">
        <f>SUMIF(ConfirmedRaw!$B:$B,$A91,ConfirmedRaw!AY:AY)</f>
        <v>2</v>
      </c>
      <c r="AW91">
        <f>SUMIF(ConfirmedRaw!$B:$B,$A91,ConfirmedRaw!AZ:AZ)</f>
        <v>2</v>
      </c>
      <c r="AX91">
        <f>SUMIF(ConfirmedRaw!$B:$B,$A91,ConfirmedRaw!BA:BA)</f>
        <v>2</v>
      </c>
      <c r="AY91">
        <f>SUMIF(ConfirmedRaw!$B:$B,$A91,ConfirmedRaw!BB:BB)</f>
        <v>3</v>
      </c>
      <c r="AZ91">
        <f>SUMIF(ConfirmedRaw!$B:$B,$A91,ConfirmedRaw!BC:BC)</f>
        <v>3</v>
      </c>
      <c r="BA91">
        <f>SUMIF(ConfirmedRaw!$B:$B,$A91,ConfirmedRaw!BD:BD)</f>
        <v>5</v>
      </c>
      <c r="BB91">
        <f>SUMIF(ConfirmedRaw!$B:$B,$A91,ConfirmedRaw!BE:BE)</f>
        <v>7</v>
      </c>
      <c r="BC91">
        <f>SUMIF(ConfirmedRaw!$B:$B,$A91,ConfirmedRaw!BF:BF)</f>
        <v>7</v>
      </c>
      <c r="BD91">
        <f>SUMIF(ConfirmedRaw!$B:$B,$A91,ConfirmedRaw!BG:BG)</f>
        <v>7</v>
      </c>
      <c r="BE91">
        <f>SUMIF(ConfirmedRaw!$B:$B,$A91,ConfirmedRaw!BH:BH)</f>
        <v>33</v>
      </c>
      <c r="BF91">
        <f>SUMIF(ConfirmedRaw!$B:$B,$A91,ConfirmedRaw!BI:BI)</f>
        <v>35</v>
      </c>
      <c r="BG91">
        <f>SUMIF(ConfirmedRaw!$B:$B,$A91,ConfirmedRaw!BJ:BJ)</f>
        <v>37</v>
      </c>
      <c r="BH91">
        <f>SUMIF(ConfirmedRaw!$B:$B,$A91,ConfirmedRaw!BK:BK)</f>
        <v>51</v>
      </c>
      <c r="BI91">
        <f>SUMIF(ConfirmedRaw!$B:$B,$A91,ConfirmedRaw!BL:BL)</f>
        <v>0</v>
      </c>
      <c r="BJ91">
        <f>SUMIF(ConfirmedRaw!$B:$B,$A91,ConfirmedRaw!BM:BM)</f>
        <v>0</v>
      </c>
      <c r="BK91">
        <f>SUMIF(ConfirmedRaw!$B:$B,$A91,ConfirmedRaw!BN:BN)</f>
        <v>0</v>
      </c>
      <c r="BL91">
        <f>SUMIF(ConfirmedRaw!$B:$B,$A91,ConfirmedRaw!BO:BO)</f>
        <v>0</v>
      </c>
      <c r="BM91">
        <f>SUMIF(ConfirmedRaw!$B:$B,$A91,ConfirmedRaw!BP:BP)</f>
        <v>0</v>
      </c>
      <c r="BN91">
        <f>SUMIF(ConfirmedRaw!$B:$B,$A91,ConfirmedRaw!BQ:BQ)</f>
        <v>0</v>
      </c>
      <c r="BO91">
        <f>SUMIF(ConfirmedRaw!$B:$B,$A91,ConfirmedRaw!BR:BR)</f>
        <v>0</v>
      </c>
      <c r="BP91">
        <f>SUMIF(ConfirmedRaw!$B:$B,$A91,ConfirmedRaw!BS:BS)</f>
        <v>0</v>
      </c>
      <c r="BQ91">
        <f>SUMIF(ConfirmedRaw!$B:$B,$A91,ConfirmedRaw!BT:BT)</f>
        <v>0</v>
      </c>
      <c r="BR91">
        <f>SUMIF(ConfirmedRaw!$B:$B,$A91,ConfirmedRaw!BU:BU)</f>
        <v>0</v>
      </c>
      <c r="BS91">
        <f>SUMIF(ConfirmedRaw!$B:$B,$A91,ConfirmedRaw!BV:BV)</f>
        <v>0</v>
      </c>
      <c r="BT91">
        <f>SUMIF(ConfirmedRaw!$B:$B,$A91,ConfirmedRaw!BW:BW)</f>
        <v>0</v>
      </c>
    </row>
    <row r="92" spans="1:72" ht="15" thickBot="1" x14ac:dyDescent="0.35">
      <c r="A92" s="3" t="s">
        <v>106</v>
      </c>
      <c r="B92">
        <f>SUMIF(ConfirmedRaw!$B:$B,$A92,ConfirmedRaw!E:E)</f>
        <v>0</v>
      </c>
      <c r="C92">
        <f>SUMIF(ConfirmedRaw!$B:$B,$A92,ConfirmedRaw!F:F)</f>
        <v>0</v>
      </c>
      <c r="D92">
        <f>SUMIF(ConfirmedRaw!$B:$B,$A92,ConfirmedRaw!G:G)</f>
        <v>0</v>
      </c>
      <c r="E92">
        <f>SUMIF(ConfirmedRaw!$B:$B,$A92,ConfirmedRaw!H:H)</f>
        <v>0</v>
      </c>
      <c r="F92">
        <f>SUMIF(ConfirmedRaw!$B:$B,$A92,ConfirmedRaw!I:I)</f>
        <v>0</v>
      </c>
      <c r="G92">
        <f>SUMIF(ConfirmedRaw!$B:$B,$A92,ConfirmedRaw!J:J)</f>
        <v>0</v>
      </c>
      <c r="H92">
        <f>SUMIF(ConfirmedRaw!$B:$B,$A92,ConfirmedRaw!K:K)</f>
        <v>0</v>
      </c>
      <c r="I92">
        <f>SUMIF(ConfirmedRaw!$B:$B,$A92,ConfirmedRaw!L:L)</f>
        <v>0</v>
      </c>
      <c r="J92">
        <f>SUMIF(ConfirmedRaw!$B:$B,$A92,ConfirmedRaw!M:M)</f>
        <v>0</v>
      </c>
      <c r="K92">
        <f>SUMIF(ConfirmedRaw!$B:$B,$A92,ConfirmedRaw!N:N)</f>
        <v>0</v>
      </c>
      <c r="L92">
        <f>SUMIF(ConfirmedRaw!$B:$B,$A92,ConfirmedRaw!O:O)</f>
        <v>0</v>
      </c>
      <c r="M92">
        <f>SUMIF(ConfirmedRaw!$B:$B,$A92,ConfirmedRaw!P:P)</f>
        <v>0</v>
      </c>
      <c r="N92">
        <f>SUMIF(ConfirmedRaw!$B:$B,$A92,ConfirmedRaw!Q:Q)</f>
        <v>0</v>
      </c>
      <c r="O92">
        <f>SUMIF(ConfirmedRaw!$B:$B,$A92,ConfirmedRaw!R:R)</f>
        <v>0</v>
      </c>
      <c r="P92">
        <f>SUMIF(ConfirmedRaw!$B:$B,$A92,ConfirmedRaw!S:S)</f>
        <v>0</v>
      </c>
      <c r="Q92">
        <f>SUMIF(ConfirmedRaw!$B:$B,$A92,ConfirmedRaw!T:T)</f>
        <v>0</v>
      </c>
      <c r="R92">
        <f>SUMIF(ConfirmedRaw!$B:$B,$A92,ConfirmedRaw!U:U)</f>
        <v>0</v>
      </c>
      <c r="S92">
        <f>SUMIF(ConfirmedRaw!$B:$B,$A92,ConfirmedRaw!V:V)</f>
        <v>0</v>
      </c>
      <c r="T92">
        <f>SUMIF(ConfirmedRaw!$B:$B,$A92,ConfirmedRaw!W:W)</f>
        <v>0</v>
      </c>
      <c r="U92">
        <f>SUMIF(ConfirmedRaw!$B:$B,$A92,ConfirmedRaw!X:X)</f>
        <v>0</v>
      </c>
      <c r="V92">
        <f>SUMIF(ConfirmedRaw!$B:$B,$A92,ConfirmedRaw!Y:Y)</f>
        <v>0</v>
      </c>
      <c r="W92">
        <f>SUMIF(ConfirmedRaw!$B:$B,$A92,ConfirmedRaw!Z:Z)</f>
        <v>0</v>
      </c>
      <c r="X92">
        <f>SUMIF(ConfirmedRaw!$B:$B,$A92,ConfirmedRaw!AA:AA)</f>
        <v>0</v>
      </c>
      <c r="Y92">
        <f>SUMIF(ConfirmedRaw!$B:$B,$A92,ConfirmedRaw!AB:AB)</f>
        <v>0</v>
      </c>
      <c r="Z92">
        <f>SUMIF(ConfirmedRaw!$B:$B,$A92,ConfirmedRaw!AC:AC)</f>
        <v>0</v>
      </c>
      <c r="AA92">
        <f>SUMIF(ConfirmedRaw!$B:$B,$A92,ConfirmedRaw!AD:AD)</f>
        <v>0</v>
      </c>
      <c r="AB92">
        <f>SUMIF(ConfirmedRaw!$B:$B,$A92,ConfirmedRaw!AE:AE)</f>
        <v>0</v>
      </c>
      <c r="AC92">
        <f>SUMIF(ConfirmedRaw!$B:$B,$A92,ConfirmedRaw!AF:AF)</f>
        <v>0</v>
      </c>
      <c r="AD92">
        <f>SUMIF(ConfirmedRaw!$B:$B,$A92,ConfirmedRaw!AG:AG)</f>
        <v>0</v>
      </c>
      <c r="AE92">
        <f>SUMIF(ConfirmedRaw!$B:$B,$A92,ConfirmedRaw!AH:AH)</f>
        <v>0</v>
      </c>
      <c r="AF92">
        <f>SUMIF(ConfirmedRaw!$B:$B,$A92,ConfirmedRaw!AI:AI)</f>
        <v>0</v>
      </c>
      <c r="AG92">
        <f>SUMIF(ConfirmedRaw!$B:$B,$A92,ConfirmedRaw!AJ:AJ)</f>
        <v>0</v>
      </c>
      <c r="AH92">
        <f>SUMIF(ConfirmedRaw!$B:$B,$A92,ConfirmedRaw!AK:AK)</f>
        <v>0</v>
      </c>
      <c r="AI92">
        <f>SUMIF(ConfirmedRaw!$B:$B,$A92,ConfirmedRaw!AL:AL)</f>
        <v>0</v>
      </c>
      <c r="AJ92">
        <f>SUMIF(ConfirmedRaw!$B:$B,$A92,ConfirmedRaw!AM:AM)</f>
        <v>0</v>
      </c>
      <c r="AK92">
        <f>SUMIF(ConfirmedRaw!$B:$B,$A92,ConfirmedRaw!AN:AN)</f>
        <v>0</v>
      </c>
      <c r="AL92">
        <f>SUMIF(ConfirmedRaw!$B:$B,$A92,ConfirmedRaw!AO:AO)</f>
        <v>0</v>
      </c>
      <c r="AM92">
        <f>SUMIF(ConfirmedRaw!$B:$B,$A92,ConfirmedRaw!AP:AP)</f>
        <v>0</v>
      </c>
      <c r="AN92">
        <f>SUMIF(ConfirmedRaw!$B:$B,$A92,ConfirmedRaw!AQ:AQ)</f>
        <v>0</v>
      </c>
      <c r="AO92">
        <f>SUMIF(ConfirmedRaw!$B:$B,$A92,ConfirmedRaw!AR:AR)</f>
        <v>1</v>
      </c>
      <c r="AP92">
        <f>SUMIF(ConfirmedRaw!$B:$B,$A92,ConfirmedRaw!AS:AS)</f>
        <v>1</v>
      </c>
      <c r="AQ92">
        <f>SUMIF(ConfirmedRaw!$B:$B,$A92,ConfirmedRaw!AT:AT)</f>
        <v>1</v>
      </c>
      <c r="AR92">
        <f>SUMIF(ConfirmedRaw!$B:$B,$A92,ConfirmedRaw!AU:AU)</f>
        <v>1</v>
      </c>
      <c r="AS92">
        <f>SUMIF(ConfirmedRaw!$B:$B,$A92,ConfirmedRaw!AV:AV)</f>
        <v>1</v>
      </c>
      <c r="AT92">
        <f>SUMIF(ConfirmedRaw!$B:$B,$A92,ConfirmedRaw!AW:AW)</f>
        <v>2</v>
      </c>
      <c r="AU92">
        <f>SUMIF(ConfirmedRaw!$B:$B,$A92,ConfirmedRaw!AX:AX)</f>
        <v>2</v>
      </c>
      <c r="AV92">
        <f>SUMIF(ConfirmedRaw!$B:$B,$A92,ConfirmedRaw!AY:AY)</f>
        <v>5</v>
      </c>
      <c r="AW92">
        <f>SUMIF(ConfirmedRaw!$B:$B,$A92,ConfirmedRaw!AZ:AZ)</f>
        <v>5</v>
      </c>
      <c r="AX92">
        <f>SUMIF(ConfirmedRaw!$B:$B,$A92,ConfirmedRaw!BA:BA)</f>
        <v>5</v>
      </c>
      <c r="AY92">
        <f>SUMIF(ConfirmedRaw!$B:$B,$A92,ConfirmedRaw!BB:BB)</f>
        <v>5</v>
      </c>
      <c r="AZ92">
        <f>SUMIF(ConfirmedRaw!$B:$B,$A92,ConfirmedRaw!BC:BC)</f>
        <v>5</v>
      </c>
      <c r="BA92">
        <f>SUMIF(ConfirmedRaw!$B:$B,$A92,ConfirmedRaw!BD:BD)</f>
        <v>5</v>
      </c>
      <c r="BB92">
        <f>SUMIF(ConfirmedRaw!$B:$B,$A92,ConfirmedRaw!BE:BE)</f>
        <v>11</v>
      </c>
      <c r="BC92">
        <f>SUMIF(ConfirmedRaw!$B:$B,$A92,ConfirmedRaw!BF:BF)</f>
        <v>11</v>
      </c>
      <c r="BD92">
        <f>SUMIF(ConfirmedRaw!$B:$B,$A92,ConfirmedRaw!BG:BG)</f>
        <v>11</v>
      </c>
      <c r="BE92">
        <f>SUMIF(ConfirmedRaw!$B:$B,$A92,ConfirmedRaw!BH:BH)</f>
        <v>21</v>
      </c>
      <c r="BF92">
        <f>SUMIF(ConfirmedRaw!$B:$B,$A92,ConfirmedRaw!BI:BI)</f>
        <v>21</v>
      </c>
      <c r="BG92">
        <f>SUMIF(ConfirmedRaw!$B:$B,$A92,ConfirmedRaw!BJ:BJ)</f>
        <v>34</v>
      </c>
      <c r="BH92">
        <f>SUMIF(ConfirmedRaw!$B:$B,$A92,ConfirmedRaw!BK:BK)</f>
        <v>72</v>
      </c>
      <c r="BI92">
        <f>SUMIF(ConfirmedRaw!$B:$B,$A92,ConfirmedRaw!BL:BL)</f>
        <v>0</v>
      </c>
      <c r="BJ92">
        <f>SUMIF(ConfirmedRaw!$B:$B,$A92,ConfirmedRaw!BM:BM)</f>
        <v>0</v>
      </c>
      <c r="BK92">
        <f>SUMIF(ConfirmedRaw!$B:$B,$A92,ConfirmedRaw!BN:BN)</f>
        <v>0</v>
      </c>
      <c r="BL92">
        <f>SUMIF(ConfirmedRaw!$B:$B,$A92,ConfirmedRaw!BO:BO)</f>
        <v>0</v>
      </c>
      <c r="BM92">
        <f>SUMIF(ConfirmedRaw!$B:$B,$A92,ConfirmedRaw!BP:BP)</f>
        <v>0</v>
      </c>
      <c r="BN92">
        <f>SUMIF(ConfirmedRaw!$B:$B,$A92,ConfirmedRaw!BQ:BQ)</f>
        <v>0</v>
      </c>
      <c r="BO92">
        <f>SUMIF(ConfirmedRaw!$B:$B,$A92,ConfirmedRaw!BR:BR)</f>
        <v>0</v>
      </c>
      <c r="BP92">
        <f>SUMIF(ConfirmedRaw!$B:$B,$A92,ConfirmedRaw!BS:BS)</f>
        <v>0</v>
      </c>
      <c r="BQ92">
        <f>SUMIF(ConfirmedRaw!$B:$B,$A92,ConfirmedRaw!BT:BT)</f>
        <v>0</v>
      </c>
      <c r="BR92">
        <f>SUMIF(ConfirmedRaw!$B:$B,$A92,ConfirmedRaw!BU:BU)</f>
        <v>0</v>
      </c>
      <c r="BS92">
        <f>SUMIF(ConfirmedRaw!$B:$B,$A92,ConfirmedRaw!BV:BV)</f>
        <v>0</v>
      </c>
      <c r="BT92">
        <f>SUMIF(ConfirmedRaw!$B:$B,$A92,ConfirmedRaw!BW:BW)</f>
        <v>0</v>
      </c>
    </row>
    <row r="93" spans="1:72" ht="15" thickBot="1" x14ac:dyDescent="0.35">
      <c r="A93" s="4" t="s">
        <v>176</v>
      </c>
      <c r="B93">
        <f>SUMIF(ConfirmedRaw!$B:$B,$A93,ConfirmedRaw!E:E)</f>
        <v>0</v>
      </c>
      <c r="C93">
        <f>SUMIF(ConfirmedRaw!$B:$B,$A93,ConfirmedRaw!F:F)</f>
        <v>0</v>
      </c>
      <c r="D93">
        <f>SUMIF(ConfirmedRaw!$B:$B,$A93,ConfirmedRaw!G:G)</f>
        <v>0</v>
      </c>
      <c r="E93">
        <f>SUMIF(ConfirmedRaw!$B:$B,$A93,ConfirmedRaw!H:H)</f>
        <v>0</v>
      </c>
      <c r="F93">
        <f>SUMIF(ConfirmedRaw!$B:$B,$A93,ConfirmedRaw!I:I)</f>
        <v>0</v>
      </c>
      <c r="G93">
        <f>SUMIF(ConfirmedRaw!$B:$B,$A93,ConfirmedRaw!J:J)</f>
        <v>0</v>
      </c>
      <c r="H93">
        <f>SUMIF(ConfirmedRaw!$B:$B,$A93,ConfirmedRaw!K:K)</f>
        <v>0</v>
      </c>
      <c r="I93">
        <f>SUMIF(ConfirmedRaw!$B:$B,$A93,ConfirmedRaw!L:L)</f>
        <v>0</v>
      </c>
      <c r="J93">
        <f>SUMIF(ConfirmedRaw!$B:$B,$A93,ConfirmedRaw!M:M)</f>
        <v>0</v>
      </c>
      <c r="K93">
        <f>SUMIF(ConfirmedRaw!$B:$B,$A93,ConfirmedRaw!N:N)</f>
        <v>0</v>
      </c>
      <c r="L93">
        <f>SUMIF(ConfirmedRaw!$B:$B,$A93,ConfirmedRaw!O:O)</f>
        <v>0</v>
      </c>
      <c r="M93">
        <f>SUMIF(ConfirmedRaw!$B:$B,$A93,ConfirmedRaw!P:P)</f>
        <v>0</v>
      </c>
      <c r="N93">
        <f>SUMIF(ConfirmedRaw!$B:$B,$A93,ConfirmedRaw!Q:Q)</f>
        <v>0</v>
      </c>
      <c r="O93">
        <f>SUMIF(ConfirmedRaw!$B:$B,$A93,ConfirmedRaw!R:R)</f>
        <v>0</v>
      </c>
      <c r="P93">
        <f>SUMIF(ConfirmedRaw!$B:$B,$A93,ConfirmedRaw!S:S)</f>
        <v>0</v>
      </c>
      <c r="Q93">
        <f>SUMIF(ConfirmedRaw!$B:$B,$A93,ConfirmedRaw!T:T)</f>
        <v>0</v>
      </c>
      <c r="R93">
        <f>SUMIF(ConfirmedRaw!$B:$B,$A93,ConfirmedRaw!U:U)</f>
        <v>0</v>
      </c>
      <c r="S93">
        <f>SUMIF(ConfirmedRaw!$B:$B,$A93,ConfirmedRaw!V:V)</f>
        <v>0</v>
      </c>
      <c r="T93">
        <f>SUMIF(ConfirmedRaw!$B:$B,$A93,ConfirmedRaw!W:W)</f>
        <v>0</v>
      </c>
      <c r="U93">
        <f>SUMIF(ConfirmedRaw!$B:$B,$A93,ConfirmedRaw!X:X)</f>
        <v>0</v>
      </c>
      <c r="V93">
        <f>SUMIF(ConfirmedRaw!$B:$B,$A93,ConfirmedRaw!Y:Y)</f>
        <v>0</v>
      </c>
      <c r="W93">
        <f>SUMIF(ConfirmedRaw!$B:$B,$A93,ConfirmedRaw!Z:Z)</f>
        <v>0</v>
      </c>
      <c r="X93">
        <f>SUMIF(ConfirmedRaw!$B:$B,$A93,ConfirmedRaw!AA:AA)</f>
        <v>0</v>
      </c>
      <c r="Y93">
        <f>SUMIF(ConfirmedRaw!$B:$B,$A93,ConfirmedRaw!AB:AB)</f>
        <v>0</v>
      </c>
      <c r="Z93">
        <f>SUMIF(ConfirmedRaw!$B:$B,$A93,ConfirmedRaw!AC:AC)</f>
        <v>0</v>
      </c>
      <c r="AA93">
        <f>SUMIF(ConfirmedRaw!$B:$B,$A93,ConfirmedRaw!AD:AD)</f>
        <v>0</v>
      </c>
      <c r="AB93">
        <f>SUMIF(ConfirmedRaw!$B:$B,$A93,ConfirmedRaw!AE:AE)</f>
        <v>0</v>
      </c>
      <c r="AC93">
        <f>SUMIF(ConfirmedRaw!$B:$B,$A93,ConfirmedRaw!AF:AF)</f>
        <v>0</v>
      </c>
      <c r="AD93">
        <f>SUMIF(ConfirmedRaw!$B:$B,$A93,ConfirmedRaw!AG:AG)</f>
        <v>0</v>
      </c>
      <c r="AE93">
        <f>SUMIF(ConfirmedRaw!$B:$B,$A93,ConfirmedRaw!AH:AH)</f>
        <v>0</v>
      </c>
      <c r="AF93">
        <f>SUMIF(ConfirmedRaw!$B:$B,$A93,ConfirmedRaw!AI:AI)</f>
        <v>0</v>
      </c>
      <c r="AG93">
        <f>SUMIF(ConfirmedRaw!$B:$B,$A93,ConfirmedRaw!AJ:AJ)</f>
        <v>0</v>
      </c>
      <c r="AH93">
        <f>SUMIF(ConfirmedRaw!$B:$B,$A93,ConfirmedRaw!AK:AK)</f>
        <v>0</v>
      </c>
      <c r="AI93">
        <f>SUMIF(ConfirmedRaw!$B:$B,$A93,ConfirmedRaw!AL:AL)</f>
        <v>0</v>
      </c>
      <c r="AJ93">
        <f>SUMIF(ConfirmedRaw!$B:$B,$A93,ConfirmedRaw!AM:AM)</f>
        <v>0</v>
      </c>
      <c r="AK93">
        <f>SUMIF(ConfirmedRaw!$B:$B,$A93,ConfirmedRaw!AN:AN)</f>
        <v>0</v>
      </c>
      <c r="AL93">
        <f>SUMIF(ConfirmedRaw!$B:$B,$A93,ConfirmedRaw!AO:AO)</f>
        <v>0</v>
      </c>
      <c r="AM93">
        <f>SUMIF(ConfirmedRaw!$B:$B,$A93,ConfirmedRaw!AP:AP)</f>
        <v>0</v>
      </c>
      <c r="AN93">
        <f>SUMIF(ConfirmedRaw!$B:$B,$A93,ConfirmedRaw!AQ:AQ)</f>
        <v>0</v>
      </c>
      <c r="AO93">
        <f>SUMIF(ConfirmedRaw!$B:$B,$A93,ConfirmedRaw!AR:AR)</f>
        <v>0</v>
      </c>
      <c r="AP93">
        <f>SUMIF(ConfirmedRaw!$B:$B,$A93,ConfirmedRaw!AS:AS)</f>
        <v>0</v>
      </c>
      <c r="AQ93">
        <f>SUMIF(ConfirmedRaw!$B:$B,$A93,ConfirmedRaw!AT:AT)</f>
        <v>0</v>
      </c>
      <c r="AR93">
        <f>SUMIF(ConfirmedRaw!$B:$B,$A93,ConfirmedRaw!AU:AU)</f>
        <v>0</v>
      </c>
      <c r="AS93">
        <f>SUMIF(ConfirmedRaw!$B:$B,$A93,ConfirmedRaw!AV:AV)</f>
        <v>0</v>
      </c>
      <c r="AT93">
        <f>SUMIF(ConfirmedRaw!$B:$B,$A93,ConfirmedRaw!AW:AW)</f>
        <v>0</v>
      </c>
      <c r="AU93">
        <f>SUMIF(ConfirmedRaw!$B:$B,$A93,ConfirmedRaw!AX:AX)</f>
        <v>0</v>
      </c>
      <c r="AV93">
        <f>SUMIF(ConfirmedRaw!$B:$B,$A93,ConfirmedRaw!AY:AY)</f>
        <v>0</v>
      </c>
      <c r="AW93">
        <f>SUMIF(ConfirmedRaw!$B:$B,$A93,ConfirmedRaw!AZ:AZ)</f>
        <v>0</v>
      </c>
      <c r="AX93">
        <f>SUMIF(ConfirmedRaw!$B:$B,$A93,ConfirmedRaw!BA:BA)</f>
        <v>0</v>
      </c>
      <c r="AY93">
        <f>SUMIF(ConfirmedRaw!$B:$B,$A93,ConfirmedRaw!BB:BB)</f>
        <v>0</v>
      </c>
      <c r="AZ93">
        <f>SUMIF(ConfirmedRaw!$B:$B,$A93,ConfirmedRaw!BC:BC)</f>
        <v>0</v>
      </c>
      <c r="BA93">
        <f>SUMIF(ConfirmedRaw!$B:$B,$A93,ConfirmedRaw!BD:BD)</f>
        <v>0</v>
      </c>
      <c r="BB93">
        <f>SUMIF(ConfirmedRaw!$B:$B,$A93,ConfirmedRaw!BE:BE)</f>
        <v>0</v>
      </c>
      <c r="BC93">
        <f>SUMIF(ConfirmedRaw!$B:$B,$A93,ConfirmedRaw!BF:BF)</f>
        <v>0</v>
      </c>
      <c r="BD93">
        <f>SUMIF(ConfirmedRaw!$B:$B,$A93,ConfirmedRaw!BG:BG)</f>
        <v>0</v>
      </c>
      <c r="BE93">
        <f>SUMIF(ConfirmedRaw!$B:$B,$A93,ConfirmedRaw!BH:BH)</f>
        <v>0</v>
      </c>
      <c r="BF93">
        <f>SUMIF(ConfirmedRaw!$B:$B,$A93,ConfirmedRaw!BI:BI)</f>
        <v>0</v>
      </c>
      <c r="BG93">
        <f>SUMIF(ConfirmedRaw!$B:$B,$A93,ConfirmedRaw!BJ:BJ)</f>
        <v>0</v>
      </c>
      <c r="BH93">
        <f>SUMIF(ConfirmedRaw!$B:$B,$A93,ConfirmedRaw!BK:BK)</f>
        <v>0</v>
      </c>
      <c r="BI93">
        <f>SUMIF(ConfirmedRaw!$B:$B,$A93,ConfirmedRaw!BL:BL)</f>
        <v>0</v>
      </c>
      <c r="BJ93">
        <f>SUMIF(ConfirmedRaw!$B:$B,$A93,ConfirmedRaw!BM:BM)</f>
        <v>0</v>
      </c>
      <c r="BK93">
        <f>SUMIF(ConfirmedRaw!$B:$B,$A93,ConfirmedRaw!BN:BN)</f>
        <v>0</v>
      </c>
      <c r="BL93">
        <f>SUMIF(ConfirmedRaw!$B:$B,$A93,ConfirmedRaw!BO:BO)</f>
        <v>0</v>
      </c>
      <c r="BM93">
        <f>SUMIF(ConfirmedRaw!$B:$B,$A93,ConfirmedRaw!BP:BP)</f>
        <v>0</v>
      </c>
      <c r="BN93">
        <f>SUMIF(ConfirmedRaw!$B:$B,$A93,ConfirmedRaw!BQ:BQ)</f>
        <v>0</v>
      </c>
      <c r="BO93">
        <f>SUMIF(ConfirmedRaw!$B:$B,$A93,ConfirmedRaw!BR:BR)</f>
        <v>0</v>
      </c>
      <c r="BP93">
        <f>SUMIF(ConfirmedRaw!$B:$B,$A93,ConfirmedRaw!BS:BS)</f>
        <v>0</v>
      </c>
      <c r="BQ93">
        <f>SUMIF(ConfirmedRaw!$B:$B,$A93,ConfirmedRaw!BT:BT)</f>
        <v>0</v>
      </c>
      <c r="BR93">
        <f>SUMIF(ConfirmedRaw!$B:$B,$A93,ConfirmedRaw!BU:BU)</f>
        <v>0</v>
      </c>
      <c r="BS93">
        <f>SUMIF(ConfirmedRaw!$B:$B,$A93,ConfirmedRaw!BV:BV)</f>
        <v>0</v>
      </c>
      <c r="BT93">
        <f>SUMIF(ConfirmedRaw!$B:$B,$A93,ConfirmedRaw!BW:BW)</f>
        <v>0</v>
      </c>
    </row>
    <row r="94" spans="1:72" ht="15" thickBot="1" x14ac:dyDescent="0.35">
      <c r="A94" s="3" t="s">
        <v>95</v>
      </c>
      <c r="B94">
        <f>SUMIF(ConfirmedRaw!$B:$B,$A94,ConfirmedRaw!E:E)</f>
        <v>0</v>
      </c>
      <c r="C94">
        <f>SUMIF(ConfirmedRaw!$B:$B,$A94,ConfirmedRaw!F:F)</f>
        <v>0</v>
      </c>
      <c r="D94">
        <f>SUMIF(ConfirmedRaw!$B:$B,$A94,ConfirmedRaw!G:G)</f>
        <v>0</v>
      </c>
      <c r="E94">
        <f>SUMIF(ConfirmedRaw!$B:$B,$A94,ConfirmedRaw!H:H)</f>
        <v>0</v>
      </c>
      <c r="F94">
        <f>SUMIF(ConfirmedRaw!$B:$B,$A94,ConfirmedRaw!I:I)</f>
        <v>0</v>
      </c>
      <c r="G94">
        <f>SUMIF(ConfirmedRaw!$B:$B,$A94,ConfirmedRaw!J:J)</f>
        <v>0</v>
      </c>
      <c r="H94">
        <f>SUMIF(ConfirmedRaw!$B:$B,$A94,ConfirmedRaw!K:K)</f>
        <v>0</v>
      </c>
      <c r="I94">
        <f>SUMIF(ConfirmedRaw!$B:$B,$A94,ConfirmedRaw!L:L)</f>
        <v>0</v>
      </c>
      <c r="J94">
        <f>SUMIF(ConfirmedRaw!$B:$B,$A94,ConfirmedRaw!M:M)</f>
        <v>0</v>
      </c>
      <c r="K94">
        <f>SUMIF(ConfirmedRaw!$B:$B,$A94,ConfirmedRaw!N:N)</f>
        <v>0</v>
      </c>
      <c r="L94">
        <f>SUMIF(ConfirmedRaw!$B:$B,$A94,ConfirmedRaw!O:O)</f>
        <v>0</v>
      </c>
      <c r="M94">
        <f>SUMIF(ConfirmedRaw!$B:$B,$A94,ConfirmedRaw!P:P)</f>
        <v>0</v>
      </c>
      <c r="N94">
        <f>SUMIF(ConfirmedRaw!$B:$B,$A94,ConfirmedRaw!Q:Q)</f>
        <v>0</v>
      </c>
      <c r="O94">
        <f>SUMIF(ConfirmedRaw!$B:$B,$A94,ConfirmedRaw!R:R)</f>
        <v>0</v>
      </c>
      <c r="P94">
        <f>SUMIF(ConfirmedRaw!$B:$B,$A94,ConfirmedRaw!S:S)</f>
        <v>0</v>
      </c>
      <c r="Q94">
        <f>SUMIF(ConfirmedRaw!$B:$B,$A94,ConfirmedRaw!T:T)</f>
        <v>0</v>
      </c>
      <c r="R94">
        <f>SUMIF(ConfirmedRaw!$B:$B,$A94,ConfirmedRaw!U:U)</f>
        <v>0</v>
      </c>
      <c r="S94">
        <f>SUMIF(ConfirmedRaw!$B:$B,$A94,ConfirmedRaw!V:V)</f>
        <v>0</v>
      </c>
      <c r="T94">
        <f>SUMIF(ConfirmedRaw!$B:$B,$A94,ConfirmedRaw!W:W)</f>
        <v>0</v>
      </c>
      <c r="U94">
        <f>SUMIF(ConfirmedRaw!$B:$B,$A94,ConfirmedRaw!X:X)</f>
        <v>0</v>
      </c>
      <c r="V94">
        <f>SUMIF(ConfirmedRaw!$B:$B,$A94,ConfirmedRaw!Y:Y)</f>
        <v>0</v>
      </c>
      <c r="W94">
        <f>SUMIF(ConfirmedRaw!$B:$B,$A94,ConfirmedRaw!Z:Z)</f>
        <v>0</v>
      </c>
      <c r="X94">
        <f>SUMIF(ConfirmedRaw!$B:$B,$A94,ConfirmedRaw!AA:AA)</f>
        <v>0</v>
      </c>
      <c r="Y94">
        <f>SUMIF(ConfirmedRaw!$B:$B,$A94,ConfirmedRaw!AB:AB)</f>
        <v>0</v>
      </c>
      <c r="Z94">
        <f>SUMIF(ConfirmedRaw!$B:$B,$A94,ConfirmedRaw!AC:AC)</f>
        <v>0</v>
      </c>
      <c r="AA94">
        <f>SUMIF(ConfirmedRaw!$B:$B,$A94,ConfirmedRaw!AD:AD)</f>
        <v>0</v>
      </c>
      <c r="AB94">
        <f>SUMIF(ConfirmedRaw!$B:$B,$A94,ConfirmedRaw!AE:AE)</f>
        <v>0</v>
      </c>
      <c r="AC94">
        <f>SUMIF(ConfirmedRaw!$B:$B,$A94,ConfirmedRaw!AF:AF)</f>
        <v>0</v>
      </c>
      <c r="AD94">
        <f>SUMIF(ConfirmedRaw!$B:$B,$A94,ConfirmedRaw!AG:AG)</f>
        <v>0</v>
      </c>
      <c r="AE94">
        <f>SUMIF(ConfirmedRaw!$B:$B,$A94,ConfirmedRaw!AH:AH)</f>
        <v>0</v>
      </c>
      <c r="AF94">
        <f>SUMIF(ConfirmedRaw!$B:$B,$A94,ConfirmedRaw!AI:AI)</f>
        <v>0</v>
      </c>
      <c r="AG94">
        <f>SUMIF(ConfirmedRaw!$B:$B,$A94,ConfirmedRaw!AJ:AJ)</f>
        <v>0</v>
      </c>
      <c r="AH94">
        <f>SUMIF(ConfirmedRaw!$B:$B,$A94,ConfirmedRaw!AK:AK)</f>
        <v>0</v>
      </c>
      <c r="AI94">
        <f>SUMIF(ConfirmedRaw!$B:$B,$A94,ConfirmedRaw!AL:AL)</f>
        <v>0</v>
      </c>
      <c r="AJ94">
        <f>SUMIF(ConfirmedRaw!$B:$B,$A94,ConfirmedRaw!AM:AM)</f>
        <v>0</v>
      </c>
      <c r="AK94">
        <f>SUMIF(ConfirmedRaw!$B:$B,$A94,ConfirmedRaw!AN:AN)</f>
        <v>0</v>
      </c>
      <c r="AL94">
        <f>SUMIF(ConfirmedRaw!$B:$B,$A94,ConfirmedRaw!AO:AO)</f>
        <v>0</v>
      </c>
      <c r="AM94">
        <f>SUMIF(ConfirmedRaw!$B:$B,$A94,ConfirmedRaw!AP:AP)</f>
        <v>1</v>
      </c>
      <c r="AN94">
        <f>SUMIF(ConfirmedRaw!$B:$B,$A94,ConfirmedRaw!AQ:AQ)</f>
        <v>1</v>
      </c>
      <c r="AO94">
        <f>SUMIF(ConfirmedRaw!$B:$B,$A94,ConfirmedRaw!AR:AR)</f>
        <v>1</v>
      </c>
      <c r="AP94">
        <f>SUMIF(ConfirmedRaw!$B:$B,$A94,ConfirmedRaw!AS:AS)</f>
        <v>1</v>
      </c>
      <c r="AQ94">
        <f>SUMIF(ConfirmedRaw!$B:$B,$A94,ConfirmedRaw!AT:AT)</f>
        <v>1</v>
      </c>
      <c r="AR94">
        <f>SUMIF(ConfirmedRaw!$B:$B,$A94,ConfirmedRaw!AU:AU)</f>
        <v>3</v>
      </c>
      <c r="AS94">
        <f>SUMIF(ConfirmedRaw!$B:$B,$A94,ConfirmedRaw!AV:AV)</f>
        <v>3</v>
      </c>
      <c r="AT94">
        <f>SUMIF(ConfirmedRaw!$B:$B,$A94,ConfirmedRaw!AW:AW)</f>
        <v>4</v>
      </c>
      <c r="AU94">
        <f>SUMIF(ConfirmedRaw!$B:$B,$A94,ConfirmedRaw!AX:AX)</f>
        <v>5</v>
      </c>
      <c r="AV94">
        <f>SUMIF(ConfirmedRaw!$B:$B,$A94,ConfirmedRaw!AY:AY)</f>
        <v>5</v>
      </c>
      <c r="AW94">
        <f>SUMIF(ConfirmedRaw!$B:$B,$A94,ConfirmedRaw!AZ:AZ)</f>
        <v>5</v>
      </c>
      <c r="AX94">
        <f>SUMIF(ConfirmedRaw!$B:$B,$A94,ConfirmedRaw!BA:BA)</f>
        <v>5</v>
      </c>
      <c r="AY94">
        <f>SUMIF(ConfirmedRaw!$B:$B,$A94,ConfirmedRaw!BB:BB)</f>
        <v>5</v>
      </c>
      <c r="AZ94">
        <f>SUMIF(ConfirmedRaw!$B:$B,$A94,ConfirmedRaw!BC:BC)</f>
        <v>5</v>
      </c>
      <c r="BA94">
        <f>SUMIF(ConfirmedRaw!$B:$B,$A94,ConfirmedRaw!BD:BD)</f>
        <v>5</v>
      </c>
      <c r="BB94">
        <f>SUMIF(ConfirmedRaw!$B:$B,$A94,ConfirmedRaw!BE:BE)</f>
        <v>6</v>
      </c>
      <c r="BC94">
        <f>SUMIF(ConfirmedRaw!$B:$B,$A94,ConfirmedRaw!BF:BF)</f>
        <v>8</v>
      </c>
      <c r="BD94">
        <f>SUMIF(ConfirmedRaw!$B:$B,$A94,ConfirmedRaw!BG:BG)</f>
        <v>8</v>
      </c>
      <c r="BE94">
        <f>SUMIF(ConfirmedRaw!$B:$B,$A94,ConfirmedRaw!BH:BH)</f>
        <v>12</v>
      </c>
      <c r="BF94">
        <f>SUMIF(ConfirmedRaw!$B:$B,$A94,ConfirmedRaw!BI:BI)</f>
        <v>20</v>
      </c>
      <c r="BG94">
        <f>SUMIF(ConfirmedRaw!$B:$B,$A94,ConfirmedRaw!BJ:BJ)</f>
        <v>28</v>
      </c>
      <c r="BH94">
        <f>SUMIF(ConfirmedRaw!$B:$B,$A94,ConfirmedRaw!BK:BK)</f>
        <v>39</v>
      </c>
      <c r="BI94">
        <f>SUMIF(ConfirmedRaw!$B:$B,$A94,ConfirmedRaw!BL:BL)</f>
        <v>0</v>
      </c>
      <c r="BJ94">
        <f>SUMIF(ConfirmedRaw!$B:$B,$A94,ConfirmedRaw!BM:BM)</f>
        <v>0</v>
      </c>
      <c r="BK94">
        <f>SUMIF(ConfirmedRaw!$B:$B,$A94,ConfirmedRaw!BN:BN)</f>
        <v>0</v>
      </c>
      <c r="BL94">
        <f>SUMIF(ConfirmedRaw!$B:$B,$A94,ConfirmedRaw!BO:BO)</f>
        <v>0</v>
      </c>
      <c r="BM94">
        <f>SUMIF(ConfirmedRaw!$B:$B,$A94,ConfirmedRaw!BP:BP)</f>
        <v>0</v>
      </c>
      <c r="BN94">
        <f>SUMIF(ConfirmedRaw!$B:$B,$A94,ConfirmedRaw!BQ:BQ)</f>
        <v>0</v>
      </c>
      <c r="BO94">
        <f>SUMIF(ConfirmedRaw!$B:$B,$A94,ConfirmedRaw!BR:BR)</f>
        <v>0</v>
      </c>
      <c r="BP94">
        <f>SUMIF(ConfirmedRaw!$B:$B,$A94,ConfirmedRaw!BS:BS)</f>
        <v>0</v>
      </c>
      <c r="BQ94">
        <f>SUMIF(ConfirmedRaw!$B:$B,$A94,ConfirmedRaw!BT:BT)</f>
        <v>0</v>
      </c>
      <c r="BR94">
        <f>SUMIF(ConfirmedRaw!$B:$B,$A94,ConfirmedRaw!BU:BU)</f>
        <v>0</v>
      </c>
      <c r="BS94">
        <f>SUMIF(ConfirmedRaw!$B:$B,$A94,ConfirmedRaw!BV:BV)</f>
        <v>0</v>
      </c>
      <c r="BT94">
        <f>SUMIF(ConfirmedRaw!$B:$B,$A94,ConfirmedRaw!BW:BW)</f>
        <v>0</v>
      </c>
    </row>
    <row r="95" spans="1:72" ht="15" thickBot="1" x14ac:dyDescent="0.35">
      <c r="A95" s="4" t="s">
        <v>354</v>
      </c>
      <c r="B95">
        <f>SUMIF(ConfirmedRaw!$B:$B,$A95,ConfirmedRaw!E:E)</f>
        <v>0</v>
      </c>
      <c r="C95">
        <f>SUMIF(ConfirmedRaw!$B:$B,$A95,ConfirmedRaw!F:F)</f>
        <v>0</v>
      </c>
      <c r="D95">
        <f>SUMIF(ConfirmedRaw!$B:$B,$A95,ConfirmedRaw!G:G)</f>
        <v>0</v>
      </c>
      <c r="E95">
        <f>SUMIF(ConfirmedRaw!$B:$B,$A95,ConfirmedRaw!H:H)</f>
        <v>0</v>
      </c>
      <c r="F95">
        <f>SUMIF(ConfirmedRaw!$B:$B,$A95,ConfirmedRaw!I:I)</f>
        <v>0</v>
      </c>
      <c r="G95">
        <f>SUMIF(ConfirmedRaw!$B:$B,$A95,ConfirmedRaw!J:J)</f>
        <v>0</v>
      </c>
      <c r="H95">
        <f>SUMIF(ConfirmedRaw!$B:$B,$A95,ConfirmedRaw!K:K)</f>
        <v>0</v>
      </c>
      <c r="I95">
        <f>SUMIF(ConfirmedRaw!$B:$B,$A95,ConfirmedRaw!L:L)</f>
        <v>0</v>
      </c>
      <c r="J95">
        <f>SUMIF(ConfirmedRaw!$B:$B,$A95,ConfirmedRaw!M:M)</f>
        <v>0</v>
      </c>
      <c r="K95">
        <f>SUMIF(ConfirmedRaw!$B:$B,$A95,ConfirmedRaw!N:N)</f>
        <v>0</v>
      </c>
      <c r="L95">
        <f>SUMIF(ConfirmedRaw!$B:$B,$A95,ConfirmedRaw!O:O)</f>
        <v>0</v>
      </c>
      <c r="M95">
        <f>SUMIF(ConfirmedRaw!$B:$B,$A95,ConfirmedRaw!P:P)</f>
        <v>0</v>
      </c>
      <c r="N95">
        <f>SUMIF(ConfirmedRaw!$B:$B,$A95,ConfirmedRaw!Q:Q)</f>
        <v>0</v>
      </c>
      <c r="O95">
        <f>SUMIF(ConfirmedRaw!$B:$B,$A95,ConfirmedRaw!R:R)</f>
        <v>0</v>
      </c>
      <c r="P95">
        <f>SUMIF(ConfirmedRaw!$B:$B,$A95,ConfirmedRaw!S:S)</f>
        <v>0</v>
      </c>
      <c r="Q95">
        <f>SUMIF(ConfirmedRaw!$B:$B,$A95,ConfirmedRaw!T:T)</f>
        <v>0</v>
      </c>
      <c r="R95">
        <f>SUMIF(ConfirmedRaw!$B:$B,$A95,ConfirmedRaw!U:U)</f>
        <v>0</v>
      </c>
      <c r="S95">
        <f>SUMIF(ConfirmedRaw!$B:$B,$A95,ConfirmedRaw!V:V)</f>
        <v>0</v>
      </c>
      <c r="T95">
        <f>SUMIF(ConfirmedRaw!$B:$B,$A95,ConfirmedRaw!W:W)</f>
        <v>0</v>
      </c>
      <c r="U95">
        <f>SUMIF(ConfirmedRaw!$B:$B,$A95,ConfirmedRaw!X:X)</f>
        <v>0</v>
      </c>
      <c r="V95">
        <f>SUMIF(ConfirmedRaw!$B:$B,$A95,ConfirmedRaw!Y:Y)</f>
        <v>0</v>
      </c>
      <c r="W95">
        <f>SUMIF(ConfirmedRaw!$B:$B,$A95,ConfirmedRaw!Z:Z)</f>
        <v>0</v>
      </c>
      <c r="X95">
        <f>SUMIF(ConfirmedRaw!$B:$B,$A95,ConfirmedRaw!AA:AA)</f>
        <v>0</v>
      </c>
      <c r="Y95">
        <f>SUMIF(ConfirmedRaw!$B:$B,$A95,ConfirmedRaw!AB:AB)</f>
        <v>0</v>
      </c>
      <c r="Z95">
        <f>SUMIF(ConfirmedRaw!$B:$B,$A95,ConfirmedRaw!AC:AC)</f>
        <v>0</v>
      </c>
      <c r="AA95">
        <f>SUMIF(ConfirmedRaw!$B:$B,$A95,ConfirmedRaw!AD:AD)</f>
        <v>0</v>
      </c>
      <c r="AB95">
        <f>SUMIF(ConfirmedRaw!$B:$B,$A95,ConfirmedRaw!AE:AE)</f>
        <v>0</v>
      </c>
      <c r="AC95">
        <f>SUMIF(ConfirmedRaw!$B:$B,$A95,ConfirmedRaw!AF:AF)</f>
        <v>0</v>
      </c>
      <c r="AD95">
        <f>SUMIF(ConfirmedRaw!$B:$B,$A95,ConfirmedRaw!AG:AG)</f>
        <v>0</v>
      </c>
      <c r="AE95">
        <f>SUMIF(ConfirmedRaw!$B:$B,$A95,ConfirmedRaw!AH:AH)</f>
        <v>0</v>
      </c>
      <c r="AF95">
        <f>SUMIF(ConfirmedRaw!$B:$B,$A95,ConfirmedRaw!AI:AI)</f>
        <v>0</v>
      </c>
      <c r="AG95">
        <f>SUMIF(ConfirmedRaw!$B:$B,$A95,ConfirmedRaw!AJ:AJ)</f>
        <v>0</v>
      </c>
      <c r="AH95">
        <f>SUMIF(ConfirmedRaw!$B:$B,$A95,ConfirmedRaw!AK:AK)</f>
        <v>0</v>
      </c>
      <c r="AI95">
        <f>SUMIF(ConfirmedRaw!$B:$B,$A95,ConfirmedRaw!AL:AL)</f>
        <v>0</v>
      </c>
      <c r="AJ95">
        <f>SUMIF(ConfirmedRaw!$B:$B,$A95,ConfirmedRaw!AM:AM)</f>
        <v>0</v>
      </c>
      <c r="AK95">
        <f>SUMIF(ConfirmedRaw!$B:$B,$A95,ConfirmedRaw!AN:AN)</f>
        <v>0</v>
      </c>
      <c r="AL95">
        <f>SUMIF(ConfirmedRaw!$B:$B,$A95,ConfirmedRaw!AO:AO)</f>
        <v>0</v>
      </c>
      <c r="AM95">
        <f>SUMIF(ConfirmedRaw!$B:$B,$A95,ConfirmedRaw!AP:AP)</f>
        <v>0</v>
      </c>
      <c r="AN95">
        <f>SUMIF(ConfirmedRaw!$B:$B,$A95,ConfirmedRaw!AQ:AQ)</f>
        <v>0</v>
      </c>
      <c r="AO95">
        <f>SUMIF(ConfirmedRaw!$B:$B,$A95,ConfirmedRaw!AR:AR)</f>
        <v>0</v>
      </c>
      <c r="AP95">
        <f>SUMIF(ConfirmedRaw!$B:$B,$A95,ConfirmedRaw!AS:AS)</f>
        <v>0</v>
      </c>
      <c r="AQ95">
        <f>SUMIF(ConfirmedRaw!$B:$B,$A95,ConfirmedRaw!AT:AT)</f>
        <v>0</v>
      </c>
      <c r="AR95">
        <f>SUMIF(ConfirmedRaw!$B:$B,$A95,ConfirmedRaw!AU:AU)</f>
        <v>0</v>
      </c>
      <c r="AS95">
        <f>SUMIF(ConfirmedRaw!$B:$B,$A95,ConfirmedRaw!AV:AV)</f>
        <v>0</v>
      </c>
      <c r="AT95">
        <f>SUMIF(ConfirmedRaw!$B:$B,$A95,ConfirmedRaw!AW:AW)</f>
        <v>0</v>
      </c>
      <c r="AU95">
        <f>SUMIF(ConfirmedRaw!$B:$B,$A95,ConfirmedRaw!AX:AX)</f>
        <v>0</v>
      </c>
      <c r="AV95">
        <f>SUMIF(ConfirmedRaw!$B:$B,$A95,ConfirmedRaw!AY:AY)</f>
        <v>0</v>
      </c>
      <c r="AW95">
        <f>SUMIF(ConfirmedRaw!$B:$B,$A95,ConfirmedRaw!AZ:AZ)</f>
        <v>0</v>
      </c>
      <c r="AX95">
        <f>SUMIF(ConfirmedRaw!$B:$B,$A95,ConfirmedRaw!BA:BA)</f>
        <v>0</v>
      </c>
      <c r="AY95">
        <f>SUMIF(ConfirmedRaw!$B:$B,$A95,ConfirmedRaw!BB:BB)</f>
        <v>0</v>
      </c>
      <c r="AZ95">
        <f>SUMIF(ConfirmedRaw!$B:$B,$A95,ConfirmedRaw!BC:BC)</f>
        <v>0</v>
      </c>
      <c r="BA95">
        <f>SUMIF(ConfirmedRaw!$B:$B,$A95,ConfirmedRaw!BD:BD)</f>
        <v>0</v>
      </c>
      <c r="BB95">
        <f>SUMIF(ConfirmedRaw!$B:$B,$A95,ConfirmedRaw!BE:BE)</f>
        <v>0</v>
      </c>
      <c r="BC95">
        <f>SUMIF(ConfirmedRaw!$B:$B,$A95,ConfirmedRaw!BF:BF)</f>
        <v>0</v>
      </c>
      <c r="BD95">
        <f>SUMIF(ConfirmedRaw!$B:$B,$A95,ConfirmedRaw!BG:BG)</f>
        <v>0</v>
      </c>
      <c r="BE95">
        <f>SUMIF(ConfirmedRaw!$B:$B,$A95,ConfirmedRaw!BH:BH)</f>
        <v>0</v>
      </c>
      <c r="BF95">
        <f>SUMIF(ConfirmedRaw!$B:$B,$A95,ConfirmedRaw!BI:BI)</f>
        <v>0</v>
      </c>
      <c r="BG95">
        <f>SUMIF(ConfirmedRaw!$B:$B,$A95,ConfirmedRaw!BJ:BJ)</f>
        <v>0</v>
      </c>
      <c r="BH95">
        <f>SUMIF(ConfirmedRaw!$B:$B,$A95,ConfirmedRaw!BK:BK)</f>
        <v>0</v>
      </c>
      <c r="BI95">
        <f>SUMIF(ConfirmedRaw!$B:$B,$A95,ConfirmedRaw!BL:BL)</f>
        <v>0</v>
      </c>
      <c r="BJ95">
        <f>SUMIF(ConfirmedRaw!$B:$B,$A95,ConfirmedRaw!BM:BM)</f>
        <v>0</v>
      </c>
      <c r="BK95">
        <f>SUMIF(ConfirmedRaw!$B:$B,$A95,ConfirmedRaw!BN:BN)</f>
        <v>0</v>
      </c>
      <c r="BL95">
        <f>SUMIF(ConfirmedRaw!$B:$B,$A95,ConfirmedRaw!BO:BO)</f>
        <v>0</v>
      </c>
      <c r="BM95">
        <f>SUMIF(ConfirmedRaw!$B:$B,$A95,ConfirmedRaw!BP:BP)</f>
        <v>0</v>
      </c>
      <c r="BN95">
        <f>SUMIF(ConfirmedRaw!$B:$B,$A95,ConfirmedRaw!BQ:BQ)</f>
        <v>0</v>
      </c>
      <c r="BO95">
        <f>SUMIF(ConfirmedRaw!$B:$B,$A95,ConfirmedRaw!BR:BR)</f>
        <v>0</v>
      </c>
      <c r="BP95">
        <f>SUMIF(ConfirmedRaw!$B:$B,$A95,ConfirmedRaw!BS:BS)</f>
        <v>0</v>
      </c>
      <c r="BQ95">
        <f>SUMIF(ConfirmedRaw!$B:$B,$A95,ConfirmedRaw!BT:BT)</f>
        <v>0</v>
      </c>
      <c r="BR95">
        <f>SUMIF(ConfirmedRaw!$B:$B,$A95,ConfirmedRaw!BU:BU)</f>
        <v>0</v>
      </c>
      <c r="BS95">
        <f>SUMIF(ConfirmedRaw!$B:$B,$A95,ConfirmedRaw!BV:BV)</f>
        <v>0</v>
      </c>
      <c r="BT95">
        <f>SUMIF(ConfirmedRaw!$B:$B,$A95,ConfirmedRaw!BW:BW)</f>
        <v>0</v>
      </c>
    </row>
    <row r="96" spans="1:72" ht="15" thickBot="1" x14ac:dyDescent="0.35">
      <c r="A96" s="3" t="s">
        <v>355</v>
      </c>
      <c r="B96">
        <f>SUMIF(ConfirmedRaw!$B:$B,$A96,ConfirmedRaw!E:E)</f>
        <v>0</v>
      </c>
      <c r="C96">
        <f>SUMIF(ConfirmedRaw!$B:$B,$A96,ConfirmedRaw!F:F)</f>
        <v>0</v>
      </c>
      <c r="D96">
        <f>SUMIF(ConfirmedRaw!$B:$B,$A96,ConfirmedRaw!G:G)</f>
        <v>0</v>
      </c>
      <c r="E96">
        <f>SUMIF(ConfirmedRaw!$B:$B,$A96,ConfirmedRaw!H:H)</f>
        <v>0</v>
      </c>
      <c r="F96">
        <f>SUMIF(ConfirmedRaw!$B:$B,$A96,ConfirmedRaw!I:I)</f>
        <v>0</v>
      </c>
      <c r="G96">
        <f>SUMIF(ConfirmedRaw!$B:$B,$A96,ConfirmedRaw!J:J)</f>
        <v>0</v>
      </c>
      <c r="H96">
        <f>SUMIF(ConfirmedRaw!$B:$B,$A96,ConfirmedRaw!K:K)</f>
        <v>0</v>
      </c>
      <c r="I96">
        <f>SUMIF(ConfirmedRaw!$B:$B,$A96,ConfirmedRaw!L:L)</f>
        <v>0</v>
      </c>
      <c r="J96">
        <f>SUMIF(ConfirmedRaw!$B:$B,$A96,ConfirmedRaw!M:M)</f>
        <v>0</v>
      </c>
      <c r="K96">
        <f>SUMIF(ConfirmedRaw!$B:$B,$A96,ConfirmedRaw!N:N)</f>
        <v>0</v>
      </c>
      <c r="L96">
        <f>SUMIF(ConfirmedRaw!$B:$B,$A96,ConfirmedRaw!O:O)</f>
        <v>0</v>
      </c>
      <c r="M96">
        <f>SUMIF(ConfirmedRaw!$B:$B,$A96,ConfirmedRaw!P:P)</f>
        <v>0</v>
      </c>
      <c r="N96">
        <f>SUMIF(ConfirmedRaw!$B:$B,$A96,ConfirmedRaw!Q:Q)</f>
        <v>0</v>
      </c>
      <c r="O96">
        <f>SUMIF(ConfirmedRaw!$B:$B,$A96,ConfirmedRaw!R:R)</f>
        <v>0</v>
      </c>
      <c r="P96">
        <f>SUMIF(ConfirmedRaw!$B:$B,$A96,ConfirmedRaw!S:S)</f>
        <v>0</v>
      </c>
      <c r="Q96">
        <f>SUMIF(ConfirmedRaw!$B:$B,$A96,ConfirmedRaw!T:T)</f>
        <v>0</v>
      </c>
      <c r="R96">
        <f>SUMIF(ConfirmedRaw!$B:$B,$A96,ConfirmedRaw!U:U)</f>
        <v>0</v>
      </c>
      <c r="S96">
        <f>SUMIF(ConfirmedRaw!$B:$B,$A96,ConfirmedRaw!V:V)</f>
        <v>0</v>
      </c>
      <c r="T96">
        <f>SUMIF(ConfirmedRaw!$B:$B,$A96,ConfirmedRaw!W:W)</f>
        <v>0</v>
      </c>
      <c r="U96">
        <f>SUMIF(ConfirmedRaw!$B:$B,$A96,ConfirmedRaw!X:X)</f>
        <v>0</v>
      </c>
      <c r="V96">
        <f>SUMIF(ConfirmedRaw!$B:$B,$A96,ConfirmedRaw!Y:Y)</f>
        <v>0</v>
      </c>
      <c r="W96">
        <f>SUMIF(ConfirmedRaw!$B:$B,$A96,ConfirmedRaw!Z:Z)</f>
        <v>0</v>
      </c>
      <c r="X96">
        <f>SUMIF(ConfirmedRaw!$B:$B,$A96,ConfirmedRaw!AA:AA)</f>
        <v>0</v>
      </c>
      <c r="Y96">
        <f>SUMIF(ConfirmedRaw!$B:$B,$A96,ConfirmedRaw!AB:AB)</f>
        <v>0</v>
      </c>
      <c r="Z96">
        <f>SUMIF(ConfirmedRaw!$B:$B,$A96,ConfirmedRaw!AC:AC)</f>
        <v>0</v>
      </c>
      <c r="AA96">
        <f>SUMIF(ConfirmedRaw!$B:$B,$A96,ConfirmedRaw!AD:AD)</f>
        <v>0</v>
      </c>
      <c r="AB96">
        <f>SUMIF(ConfirmedRaw!$B:$B,$A96,ConfirmedRaw!AE:AE)</f>
        <v>0</v>
      </c>
      <c r="AC96">
        <f>SUMIF(ConfirmedRaw!$B:$B,$A96,ConfirmedRaw!AF:AF)</f>
        <v>0</v>
      </c>
      <c r="AD96">
        <f>SUMIF(ConfirmedRaw!$B:$B,$A96,ConfirmedRaw!AG:AG)</f>
        <v>0</v>
      </c>
      <c r="AE96">
        <f>SUMIF(ConfirmedRaw!$B:$B,$A96,ConfirmedRaw!AH:AH)</f>
        <v>0</v>
      </c>
      <c r="AF96">
        <f>SUMIF(ConfirmedRaw!$B:$B,$A96,ConfirmedRaw!AI:AI)</f>
        <v>0</v>
      </c>
      <c r="AG96">
        <f>SUMIF(ConfirmedRaw!$B:$B,$A96,ConfirmedRaw!AJ:AJ)</f>
        <v>0</v>
      </c>
      <c r="AH96">
        <f>SUMIF(ConfirmedRaw!$B:$B,$A96,ConfirmedRaw!AK:AK)</f>
        <v>0</v>
      </c>
      <c r="AI96">
        <f>SUMIF(ConfirmedRaw!$B:$B,$A96,ConfirmedRaw!AL:AL)</f>
        <v>0</v>
      </c>
      <c r="AJ96">
        <f>SUMIF(ConfirmedRaw!$B:$B,$A96,ConfirmedRaw!AM:AM)</f>
        <v>0</v>
      </c>
      <c r="AK96">
        <f>SUMIF(ConfirmedRaw!$B:$B,$A96,ConfirmedRaw!AN:AN)</f>
        <v>0</v>
      </c>
      <c r="AL96">
        <f>SUMIF(ConfirmedRaw!$B:$B,$A96,ConfirmedRaw!AO:AO)</f>
        <v>0</v>
      </c>
      <c r="AM96">
        <f>SUMIF(ConfirmedRaw!$B:$B,$A96,ConfirmedRaw!AP:AP)</f>
        <v>0</v>
      </c>
      <c r="AN96">
        <f>SUMIF(ConfirmedRaw!$B:$B,$A96,ConfirmedRaw!AQ:AQ)</f>
        <v>0</v>
      </c>
      <c r="AO96">
        <f>SUMIF(ConfirmedRaw!$B:$B,$A96,ConfirmedRaw!AR:AR)</f>
        <v>0</v>
      </c>
      <c r="AP96">
        <f>SUMIF(ConfirmedRaw!$B:$B,$A96,ConfirmedRaw!AS:AS)</f>
        <v>0</v>
      </c>
      <c r="AQ96">
        <f>SUMIF(ConfirmedRaw!$B:$B,$A96,ConfirmedRaw!AT:AT)</f>
        <v>0</v>
      </c>
      <c r="AR96">
        <f>SUMIF(ConfirmedRaw!$B:$B,$A96,ConfirmedRaw!AU:AU)</f>
        <v>0</v>
      </c>
      <c r="AS96">
        <f>SUMIF(ConfirmedRaw!$B:$B,$A96,ConfirmedRaw!AV:AV)</f>
        <v>0</v>
      </c>
      <c r="AT96">
        <f>SUMIF(ConfirmedRaw!$B:$B,$A96,ConfirmedRaw!AW:AW)</f>
        <v>0</v>
      </c>
      <c r="AU96">
        <f>SUMIF(ConfirmedRaw!$B:$B,$A96,ConfirmedRaw!AX:AX)</f>
        <v>0</v>
      </c>
      <c r="AV96">
        <f>SUMIF(ConfirmedRaw!$B:$B,$A96,ConfirmedRaw!AY:AY)</f>
        <v>0</v>
      </c>
      <c r="AW96">
        <f>SUMIF(ConfirmedRaw!$B:$B,$A96,ConfirmedRaw!AZ:AZ)</f>
        <v>0</v>
      </c>
      <c r="AX96">
        <f>SUMIF(ConfirmedRaw!$B:$B,$A96,ConfirmedRaw!BA:BA)</f>
        <v>0</v>
      </c>
      <c r="AY96">
        <f>SUMIF(ConfirmedRaw!$B:$B,$A96,ConfirmedRaw!BB:BB)</f>
        <v>1</v>
      </c>
      <c r="AZ96">
        <f>SUMIF(ConfirmedRaw!$B:$B,$A96,ConfirmedRaw!BC:BC)</f>
        <v>1</v>
      </c>
      <c r="BA96">
        <f>SUMIF(ConfirmedRaw!$B:$B,$A96,ConfirmedRaw!BD:BD)</f>
        <v>5</v>
      </c>
      <c r="BB96">
        <f>SUMIF(ConfirmedRaw!$B:$B,$A96,ConfirmedRaw!BE:BE)</f>
        <v>5</v>
      </c>
      <c r="BC96">
        <f>SUMIF(ConfirmedRaw!$B:$B,$A96,ConfirmedRaw!BF:BF)</f>
        <v>6</v>
      </c>
      <c r="BD96">
        <f>SUMIF(ConfirmedRaw!$B:$B,$A96,ConfirmedRaw!BG:BG)</f>
        <v>18</v>
      </c>
      <c r="BE96">
        <f>SUMIF(ConfirmedRaw!$B:$B,$A96,ConfirmedRaw!BH:BH)</f>
        <v>47</v>
      </c>
      <c r="BF96">
        <f>SUMIF(ConfirmedRaw!$B:$B,$A96,ConfirmedRaw!BI:BI)</f>
        <v>98</v>
      </c>
      <c r="BG96">
        <f>SUMIF(ConfirmedRaw!$B:$B,$A96,ConfirmedRaw!BJ:BJ)</f>
        <v>192</v>
      </c>
      <c r="BH96">
        <f>SUMIF(ConfirmedRaw!$B:$B,$A96,ConfirmedRaw!BK:BK)</f>
        <v>359</v>
      </c>
      <c r="BI96">
        <f>SUMIF(ConfirmedRaw!$B:$B,$A96,ConfirmedRaw!BL:BL)</f>
        <v>0</v>
      </c>
      <c r="BJ96">
        <f>SUMIF(ConfirmedRaw!$B:$B,$A96,ConfirmedRaw!BM:BM)</f>
        <v>0</v>
      </c>
      <c r="BK96">
        <f>SUMIF(ConfirmedRaw!$B:$B,$A96,ConfirmedRaw!BN:BN)</f>
        <v>0</v>
      </c>
      <c r="BL96">
        <f>SUMIF(ConfirmedRaw!$B:$B,$A96,ConfirmedRaw!BO:BO)</f>
        <v>0</v>
      </c>
      <c r="BM96">
        <f>SUMIF(ConfirmedRaw!$B:$B,$A96,ConfirmedRaw!BP:BP)</f>
        <v>0</v>
      </c>
      <c r="BN96">
        <f>SUMIF(ConfirmedRaw!$B:$B,$A96,ConfirmedRaw!BQ:BQ)</f>
        <v>0</v>
      </c>
      <c r="BO96">
        <f>SUMIF(ConfirmedRaw!$B:$B,$A96,ConfirmedRaw!BR:BR)</f>
        <v>0</v>
      </c>
      <c r="BP96">
        <f>SUMIF(ConfirmedRaw!$B:$B,$A96,ConfirmedRaw!BS:BS)</f>
        <v>0</v>
      </c>
      <c r="BQ96">
        <f>SUMIF(ConfirmedRaw!$B:$B,$A96,ConfirmedRaw!BT:BT)</f>
        <v>0</v>
      </c>
      <c r="BR96">
        <f>SUMIF(ConfirmedRaw!$B:$B,$A96,ConfirmedRaw!BU:BU)</f>
        <v>0</v>
      </c>
      <c r="BS96">
        <f>SUMIF(ConfirmedRaw!$B:$B,$A96,ConfirmedRaw!BV:BV)</f>
        <v>0</v>
      </c>
      <c r="BT96">
        <f>SUMIF(ConfirmedRaw!$B:$B,$A96,ConfirmedRaw!BW:BW)</f>
        <v>0</v>
      </c>
    </row>
    <row r="97" spans="1:72" ht="15" thickBot="1" x14ac:dyDescent="0.35">
      <c r="A97" s="4" t="s">
        <v>410</v>
      </c>
      <c r="B97">
        <f>SUMIF(ConfirmedRaw!$B:$B,$A97,ConfirmedRaw!E:E)</f>
        <v>0</v>
      </c>
      <c r="C97">
        <f>SUMIF(ConfirmedRaw!$B:$B,$A97,ConfirmedRaw!F:F)</f>
        <v>0</v>
      </c>
      <c r="D97">
        <f>SUMIF(ConfirmedRaw!$B:$B,$A97,ConfirmedRaw!G:G)</f>
        <v>0</v>
      </c>
      <c r="E97">
        <f>SUMIF(ConfirmedRaw!$B:$B,$A97,ConfirmedRaw!H:H)</f>
        <v>0</v>
      </c>
      <c r="F97">
        <f>SUMIF(ConfirmedRaw!$B:$B,$A97,ConfirmedRaw!I:I)</f>
        <v>0</v>
      </c>
      <c r="G97">
        <f>SUMIF(ConfirmedRaw!$B:$B,$A97,ConfirmedRaw!J:J)</f>
        <v>0</v>
      </c>
      <c r="H97">
        <f>SUMIF(ConfirmedRaw!$B:$B,$A97,ConfirmedRaw!K:K)</f>
        <v>0</v>
      </c>
      <c r="I97">
        <f>SUMIF(ConfirmedRaw!$B:$B,$A97,ConfirmedRaw!L:L)</f>
        <v>0</v>
      </c>
      <c r="J97">
        <f>SUMIF(ConfirmedRaw!$B:$B,$A97,ConfirmedRaw!M:M)</f>
        <v>0</v>
      </c>
      <c r="K97">
        <f>SUMIF(ConfirmedRaw!$B:$B,$A97,ConfirmedRaw!N:N)</f>
        <v>0</v>
      </c>
      <c r="L97">
        <f>SUMIF(ConfirmedRaw!$B:$B,$A97,ConfirmedRaw!O:O)</f>
        <v>0</v>
      </c>
      <c r="M97">
        <f>SUMIF(ConfirmedRaw!$B:$B,$A97,ConfirmedRaw!P:P)</f>
        <v>0</v>
      </c>
      <c r="N97">
        <f>SUMIF(ConfirmedRaw!$B:$B,$A97,ConfirmedRaw!Q:Q)</f>
        <v>0</v>
      </c>
      <c r="O97">
        <f>SUMIF(ConfirmedRaw!$B:$B,$A97,ConfirmedRaw!R:R)</f>
        <v>0</v>
      </c>
      <c r="P97">
        <f>SUMIF(ConfirmedRaw!$B:$B,$A97,ConfirmedRaw!S:S)</f>
        <v>0</v>
      </c>
      <c r="Q97">
        <f>SUMIF(ConfirmedRaw!$B:$B,$A97,ConfirmedRaw!T:T)</f>
        <v>0</v>
      </c>
      <c r="R97">
        <f>SUMIF(ConfirmedRaw!$B:$B,$A97,ConfirmedRaw!U:U)</f>
        <v>0</v>
      </c>
      <c r="S97">
        <f>SUMIF(ConfirmedRaw!$B:$B,$A97,ConfirmedRaw!V:V)</f>
        <v>0</v>
      </c>
      <c r="T97">
        <f>SUMIF(ConfirmedRaw!$B:$B,$A97,ConfirmedRaw!W:W)</f>
        <v>0</v>
      </c>
      <c r="U97">
        <f>SUMIF(ConfirmedRaw!$B:$B,$A97,ConfirmedRaw!X:X)</f>
        <v>0</v>
      </c>
      <c r="V97">
        <f>SUMIF(ConfirmedRaw!$B:$B,$A97,ConfirmedRaw!Y:Y)</f>
        <v>0</v>
      </c>
      <c r="W97">
        <f>SUMIF(ConfirmedRaw!$B:$B,$A97,ConfirmedRaw!Z:Z)</f>
        <v>0</v>
      </c>
      <c r="X97">
        <f>SUMIF(ConfirmedRaw!$B:$B,$A97,ConfirmedRaw!AA:AA)</f>
        <v>0</v>
      </c>
      <c r="Y97">
        <f>SUMIF(ConfirmedRaw!$B:$B,$A97,ConfirmedRaw!AB:AB)</f>
        <v>0</v>
      </c>
      <c r="Z97">
        <f>SUMIF(ConfirmedRaw!$B:$B,$A97,ConfirmedRaw!AC:AC)</f>
        <v>0</v>
      </c>
      <c r="AA97">
        <f>SUMIF(ConfirmedRaw!$B:$B,$A97,ConfirmedRaw!AD:AD)</f>
        <v>0</v>
      </c>
      <c r="AB97">
        <f>SUMIF(ConfirmedRaw!$B:$B,$A97,ConfirmedRaw!AE:AE)</f>
        <v>0</v>
      </c>
      <c r="AC97">
        <f>SUMIF(ConfirmedRaw!$B:$B,$A97,ConfirmedRaw!AF:AF)</f>
        <v>0</v>
      </c>
      <c r="AD97">
        <f>SUMIF(ConfirmedRaw!$B:$B,$A97,ConfirmedRaw!AG:AG)</f>
        <v>0</v>
      </c>
      <c r="AE97">
        <f>SUMIF(ConfirmedRaw!$B:$B,$A97,ConfirmedRaw!AH:AH)</f>
        <v>0</v>
      </c>
      <c r="AF97">
        <f>SUMIF(ConfirmedRaw!$B:$B,$A97,ConfirmedRaw!AI:AI)</f>
        <v>0</v>
      </c>
      <c r="AG97">
        <f>SUMIF(ConfirmedRaw!$B:$B,$A97,ConfirmedRaw!AJ:AJ)</f>
        <v>0</v>
      </c>
      <c r="AH97">
        <f>SUMIF(ConfirmedRaw!$B:$B,$A97,ConfirmedRaw!AK:AK)</f>
        <v>0</v>
      </c>
      <c r="AI97">
        <f>SUMIF(ConfirmedRaw!$B:$B,$A97,ConfirmedRaw!AL:AL)</f>
        <v>0</v>
      </c>
      <c r="AJ97">
        <f>SUMIF(ConfirmedRaw!$B:$B,$A97,ConfirmedRaw!AM:AM)</f>
        <v>0</v>
      </c>
      <c r="AK97">
        <f>SUMIF(ConfirmedRaw!$B:$B,$A97,ConfirmedRaw!AN:AN)</f>
        <v>0</v>
      </c>
      <c r="AL97">
        <f>SUMIF(ConfirmedRaw!$B:$B,$A97,ConfirmedRaw!AO:AO)</f>
        <v>0</v>
      </c>
      <c r="AM97">
        <f>SUMIF(ConfirmedRaw!$B:$B,$A97,ConfirmedRaw!AP:AP)</f>
        <v>0</v>
      </c>
      <c r="AN97">
        <f>SUMIF(ConfirmedRaw!$B:$B,$A97,ConfirmedRaw!AQ:AQ)</f>
        <v>0</v>
      </c>
      <c r="AO97">
        <f>SUMIF(ConfirmedRaw!$B:$B,$A97,ConfirmedRaw!AR:AR)</f>
        <v>0</v>
      </c>
      <c r="AP97">
        <f>SUMIF(ConfirmedRaw!$B:$B,$A97,ConfirmedRaw!AS:AS)</f>
        <v>0</v>
      </c>
      <c r="AQ97">
        <f>SUMIF(ConfirmedRaw!$B:$B,$A97,ConfirmedRaw!AT:AT)</f>
        <v>0</v>
      </c>
      <c r="AR97">
        <f>SUMIF(ConfirmedRaw!$B:$B,$A97,ConfirmedRaw!AU:AU)</f>
        <v>0</v>
      </c>
      <c r="AS97">
        <f>SUMIF(ConfirmedRaw!$B:$B,$A97,ConfirmedRaw!AV:AV)</f>
        <v>0</v>
      </c>
      <c r="AT97">
        <f>SUMIF(ConfirmedRaw!$B:$B,$A97,ConfirmedRaw!AW:AW)</f>
        <v>0</v>
      </c>
      <c r="AU97">
        <f>SUMIF(ConfirmedRaw!$B:$B,$A97,ConfirmedRaw!AX:AX)</f>
        <v>0</v>
      </c>
      <c r="AV97">
        <f>SUMIF(ConfirmedRaw!$B:$B,$A97,ConfirmedRaw!AY:AY)</f>
        <v>0</v>
      </c>
      <c r="AW97">
        <f>SUMIF(ConfirmedRaw!$B:$B,$A97,ConfirmedRaw!AZ:AZ)</f>
        <v>0</v>
      </c>
      <c r="AX97">
        <f>SUMIF(ConfirmedRaw!$B:$B,$A97,ConfirmedRaw!BA:BA)</f>
        <v>0</v>
      </c>
      <c r="AY97">
        <f>SUMIF(ConfirmedRaw!$B:$B,$A97,ConfirmedRaw!BB:BB)</f>
        <v>0</v>
      </c>
      <c r="AZ97">
        <f>SUMIF(ConfirmedRaw!$B:$B,$A97,ConfirmedRaw!BC:BC)</f>
        <v>3</v>
      </c>
      <c r="BA97">
        <f>SUMIF(ConfirmedRaw!$B:$B,$A97,ConfirmedRaw!BD:BD)</f>
        <v>4</v>
      </c>
      <c r="BB97">
        <f>SUMIF(ConfirmedRaw!$B:$B,$A97,ConfirmedRaw!BE:BE)</f>
        <v>4</v>
      </c>
      <c r="BC97">
        <f>SUMIF(ConfirmedRaw!$B:$B,$A97,ConfirmedRaw!BF:BF)</f>
        <v>4</v>
      </c>
      <c r="BD97">
        <f>SUMIF(ConfirmedRaw!$B:$B,$A97,ConfirmedRaw!BG:BG)</f>
        <v>4</v>
      </c>
      <c r="BE97">
        <f>SUMIF(ConfirmedRaw!$B:$B,$A97,ConfirmedRaw!BH:BH)</f>
        <v>5</v>
      </c>
      <c r="BF97">
        <f>SUMIF(ConfirmedRaw!$B:$B,$A97,ConfirmedRaw!BI:BI)</f>
        <v>7</v>
      </c>
      <c r="BG97">
        <f>SUMIF(ConfirmedRaw!$B:$B,$A97,ConfirmedRaw!BJ:BJ)</f>
        <v>11</v>
      </c>
      <c r="BH97">
        <f>SUMIF(ConfirmedRaw!$B:$B,$A97,ConfirmedRaw!BK:BK)</f>
        <v>16</v>
      </c>
      <c r="BI97">
        <f>SUMIF(ConfirmedRaw!$B:$B,$A97,ConfirmedRaw!BL:BL)</f>
        <v>0</v>
      </c>
      <c r="BJ97">
        <f>SUMIF(ConfirmedRaw!$B:$B,$A97,ConfirmedRaw!BM:BM)</f>
        <v>0</v>
      </c>
      <c r="BK97">
        <f>SUMIF(ConfirmedRaw!$B:$B,$A97,ConfirmedRaw!BN:BN)</f>
        <v>0</v>
      </c>
      <c r="BL97">
        <f>SUMIF(ConfirmedRaw!$B:$B,$A97,ConfirmedRaw!BO:BO)</f>
        <v>0</v>
      </c>
      <c r="BM97">
        <f>SUMIF(ConfirmedRaw!$B:$B,$A97,ConfirmedRaw!BP:BP)</f>
        <v>0</v>
      </c>
      <c r="BN97">
        <f>SUMIF(ConfirmedRaw!$B:$B,$A97,ConfirmedRaw!BQ:BQ)</f>
        <v>0</v>
      </c>
      <c r="BO97">
        <f>SUMIF(ConfirmedRaw!$B:$B,$A97,ConfirmedRaw!BR:BR)</f>
        <v>0</v>
      </c>
      <c r="BP97">
        <f>SUMIF(ConfirmedRaw!$B:$B,$A97,ConfirmedRaw!BS:BS)</f>
        <v>0</v>
      </c>
      <c r="BQ97">
        <f>SUMIF(ConfirmedRaw!$B:$B,$A97,ConfirmedRaw!BT:BT)</f>
        <v>0</v>
      </c>
      <c r="BR97">
        <f>SUMIF(ConfirmedRaw!$B:$B,$A97,ConfirmedRaw!BU:BU)</f>
        <v>0</v>
      </c>
      <c r="BS97">
        <f>SUMIF(ConfirmedRaw!$B:$B,$A97,ConfirmedRaw!BV:BV)</f>
        <v>0</v>
      </c>
      <c r="BT97">
        <f>SUMIF(ConfirmedRaw!$B:$B,$A97,ConfirmedRaw!BW:BW)</f>
        <v>0</v>
      </c>
    </row>
    <row r="98" spans="1:72" ht="15" thickBot="1" x14ac:dyDescent="0.35">
      <c r="A98" s="4" t="s">
        <v>413</v>
      </c>
      <c r="B98">
        <f>SUMIF(ConfirmedRaw!$B:$B,$A98,ConfirmedRaw!E:E)</f>
        <v>0</v>
      </c>
      <c r="C98">
        <f>SUMIF(ConfirmedRaw!$B:$B,$A98,ConfirmedRaw!F:F)</f>
        <v>0</v>
      </c>
      <c r="D98">
        <f>SUMIF(ConfirmedRaw!$B:$B,$A98,ConfirmedRaw!G:G)</f>
        <v>0</v>
      </c>
      <c r="E98">
        <f>SUMIF(ConfirmedRaw!$B:$B,$A98,ConfirmedRaw!H:H)</f>
        <v>0</v>
      </c>
      <c r="F98">
        <f>SUMIF(ConfirmedRaw!$B:$B,$A98,ConfirmedRaw!I:I)</f>
        <v>0</v>
      </c>
      <c r="G98">
        <f>SUMIF(ConfirmedRaw!$B:$B,$A98,ConfirmedRaw!J:J)</f>
        <v>0</v>
      </c>
      <c r="H98">
        <f>SUMIF(ConfirmedRaw!$B:$B,$A98,ConfirmedRaw!K:K)</f>
        <v>0</v>
      </c>
      <c r="I98">
        <f>SUMIF(ConfirmedRaw!$B:$B,$A98,ConfirmedRaw!L:L)</f>
        <v>0</v>
      </c>
      <c r="J98">
        <f>SUMIF(ConfirmedRaw!$B:$B,$A98,ConfirmedRaw!M:M)</f>
        <v>0</v>
      </c>
      <c r="K98">
        <f>SUMIF(ConfirmedRaw!$B:$B,$A98,ConfirmedRaw!N:N)</f>
        <v>0</v>
      </c>
      <c r="L98">
        <f>SUMIF(ConfirmedRaw!$B:$B,$A98,ConfirmedRaw!O:O)</f>
        <v>0</v>
      </c>
      <c r="M98">
        <f>SUMIF(ConfirmedRaw!$B:$B,$A98,ConfirmedRaw!P:P)</f>
        <v>0</v>
      </c>
      <c r="N98">
        <f>SUMIF(ConfirmedRaw!$B:$B,$A98,ConfirmedRaw!Q:Q)</f>
        <v>0</v>
      </c>
      <c r="O98">
        <f>SUMIF(ConfirmedRaw!$B:$B,$A98,ConfirmedRaw!R:R)</f>
        <v>0</v>
      </c>
      <c r="P98">
        <f>SUMIF(ConfirmedRaw!$B:$B,$A98,ConfirmedRaw!S:S)</f>
        <v>0</v>
      </c>
      <c r="Q98">
        <f>SUMIF(ConfirmedRaw!$B:$B,$A98,ConfirmedRaw!T:T)</f>
        <v>0</v>
      </c>
      <c r="R98">
        <f>SUMIF(ConfirmedRaw!$B:$B,$A98,ConfirmedRaw!U:U)</f>
        <v>0</v>
      </c>
      <c r="S98">
        <f>SUMIF(ConfirmedRaw!$B:$B,$A98,ConfirmedRaw!V:V)</f>
        <v>0</v>
      </c>
      <c r="T98">
        <f>SUMIF(ConfirmedRaw!$B:$B,$A98,ConfirmedRaw!W:W)</f>
        <v>0</v>
      </c>
      <c r="U98">
        <f>SUMIF(ConfirmedRaw!$B:$B,$A98,ConfirmedRaw!X:X)</f>
        <v>0</v>
      </c>
      <c r="V98">
        <f>SUMIF(ConfirmedRaw!$B:$B,$A98,ConfirmedRaw!Y:Y)</f>
        <v>0</v>
      </c>
      <c r="W98">
        <f>SUMIF(ConfirmedRaw!$B:$B,$A98,ConfirmedRaw!Z:Z)</f>
        <v>0</v>
      </c>
      <c r="X98">
        <f>SUMIF(ConfirmedRaw!$B:$B,$A98,ConfirmedRaw!AA:AA)</f>
        <v>0</v>
      </c>
      <c r="Y98">
        <f>SUMIF(ConfirmedRaw!$B:$B,$A98,ConfirmedRaw!AB:AB)</f>
        <v>0</v>
      </c>
      <c r="Z98">
        <f>SUMIF(ConfirmedRaw!$B:$B,$A98,ConfirmedRaw!AC:AC)</f>
        <v>0</v>
      </c>
      <c r="AA98">
        <f>SUMIF(ConfirmedRaw!$B:$B,$A98,ConfirmedRaw!AD:AD)</f>
        <v>0</v>
      </c>
      <c r="AB98">
        <f>SUMIF(ConfirmedRaw!$B:$B,$A98,ConfirmedRaw!AE:AE)</f>
        <v>0</v>
      </c>
      <c r="AC98">
        <f>SUMIF(ConfirmedRaw!$B:$B,$A98,ConfirmedRaw!AF:AF)</f>
        <v>0</v>
      </c>
      <c r="AD98">
        <f>SUMIF(ConfirmedRaw!$B:$B,$A98,ConfirmedRaw!AG:AG)</f>
        <v>0</v>
      </c>
      <c r="AE98">
        <f>SUMIF(ConfirmedRaw!$B:$B,$A98,ConfirmedRaw!AH:AH)</f>
        <v>0</v>
      </c>
      <c r="AF98">
        <f>SUMIF(ConfirmedRaw!$B:$B,$A98,ConfirmedRaw!AI:AI)</f>
        <v>0</v>
      </c>
      <c r="AG98">
        <f>SUMIF(ConfirmedRaw!$B:$B,$A98,ConfirmedRaw!AJ:AJ)</f>
        <v>0</v>
      </c>
      <c r="AH98">
        <f>SUMIF(ConfirmedRaw!$B:$B,$A98,ConfirmedRaw!AK:AK)</f>
        <v>0</v>
      </c>
      <c r="AI98">
        <f>SUMIF(ConfirmedRaw!$B:$B,$A98,ConfirmedRaw!AL:AL)</f>
        <v>0</v>
      </c>
      <c r="AJ98">
        <f>SUMIF(ConfirmedRaw!$B:$B,$A98,ConfirmedRaw!AM:AM)</f>
        <v>0</v>
      </c>
      <c r="AK98">
        <f>SUMIF(ConfirmedRaw!$B:$B,$A98,ConfirmedRaw!AN:AN)</f>
        <v>0</v>
      </c>
      <c r="AL98">
        <f>SUMIF(ConfirmedRaw!$B:$B,$A98,ConfirmedRaw!AO:AO)</f>
        <v>0</v>
      </c>
      <c r="AM98">
        <f>SUMIF(ConfirmedRaw!$B:$B,$A98,ConfirmedRaw!AP:AP)</f>
        <v>0</v>
      </c>
      <c r="AN98">
        <f>SUMIF(ConfirmedRaw!$B:$B,$A98,ConfirmedRaw!AQ:AQ)</f>
        <v>0</v>
      </c>
      <c r="AO98">
        <f>SUMIF(ConfirmedRaw!$B:$B,$A98,ConfirmedRaw!AR:AR)</f>
        <v>0</v>
      </c>
      <c r="AP98">
        <f>SUMIF(ConfirmedRaw!$B:$B,$A98,ConfirmedRaw!AS:AS)</f>
        <v>0</v>
      </c>
      <c r="AQ98">
        <f>SUMIF(ConfirmedRaw!$B:$B,$A98,ConfirmedRaw!AT:AT)</f>
        <v>0</v>
      </c>
      <c r="AR98">
        <f>SUMIF(ConfirmedRaw!$B:$B,$A98,ConfirmedRaw!AU:AU)</f>
        <v>0</v>
      </c>
      <c r="AS98">
        <f>SUMIF(ConfirmedRaw!$B:$B,$A98,ConfirmedRaw!AV:AV)</f>
        <v>0</v>
      </c>
      <c r="AT98">
        <f>SUMIF(ConfirmedRaw!$B:$B,$A98,ConfirmedRaw!AW:AW)</f>
        <v>0</v>
      </c>
      <c r="AU98">
        <f>SUMIF(ConfirmedRaw!$B:$B,$A98,ConfirmedRaw!AX:AX)</f>
        <v>0</v>
      </c>
      <c r="AV98">
        <f>SUMIF(ConfirmedRaw!$B:$B,$A98,ConfirmedRaw!AY:AY)</f>
        <v>0</v>
      </c>
      <c r="AW98">
        <f>SUMIF(ConfirmedRaw!$B:$B,$A98,ConfirmedRaw!AZ:AZ)</f>
        <v>0</v>
      </c>
      <c r="AX98">
        <f>SUMIF(ConfirmedRaw!$B:$B,$A98,ConfirmedRaw!BA:BA)</f>
        <v>0</v>
      </c>
      <c r="AY98">
        <f>SUMIF(ConfirmedRaw!$B:$B,$A98,ConfirmedRaw!BB:BB)</f>
        <v>0</v>
      </c>
      <c r="AZ98">
        <f>SUMIF(ConfirmedRaw!$B:$B,$A98,ConfirmedRaw!BC:BC)</f>
        <v>0</v>
      </c>
      <c r="BA98">
        <f>SUMIF(ConfirmedRaw!$B:$B,$A98,ConfirmedRaw!BD:BD)</f>
        <v>4</v>
      </c>
      <c r="BB98">
        <f>SUMIF(ConfirmedRaw!$B:$B,$A98,ConfirmedRaw!BE:BE)</f>
        <v>6</v>
      </c>
      <c r="BC98">
        <f>SUMIF(ConfirmedRaw!$B:$B,$A98,ConfirmedRaw!BF:BF)</f>
        <v>9</v>
      </c>
      <c r="BD98">
        <f>SUMIF(ConfirmedRaw!$B:$B,$A98,ConfirmedRaw!BG:BG)</f>
        <v>10</v>
      </c>
      <c r="BE98">
        <f>SUMIF(ConfirmedRaw!$B:$B,$A98,ConfirmedRaw!BH:BH)</f>
        <v>33</v>
      </c>
      <c r="BF98">
        <f>SUMIF(ConfirmedRaw!$B:$B,$A98,ConfirmedRaw!BI:BI)</f>
        <v>35</v>
      </c>
      <c r="BG98">
        <f>SUMIF(ConfirmedRaw!$B:$B,$A98,ConfirmedRaw!BJ:BJ)</f>
        <v>44</v>
      </c>
      <c r="BH98">
        <f>SUMIF(ConfirmedRaw!$B:$B,$A98,ConfirmedRaw!BK:BK)</f>
        <v>49</v>
      </c>
      <c r="BI98">
        <f>SUMIF(ConfirmedRaw!$B:$B,$A98,ConfirmedRaw!BL:BL)</f>
        <v>0</v>
      </c>
      <c r="BJ98">
        <f>SUMIF(ConfirmedRaw!$B:$B,$A98,ConfirmedRaw!BM:BM)</f>
        <v>0</v>
      </c>
      <c r="BK98">
        <f>SUMIF(ConfirmedRaw!$B:$B,$A98,ConfirmedRaw!BN:BN)</f>
        <v>0</v>
      </c>
      <c r="BL98">
        <f>SUMIF(ConfirmedRaw!$B:$B,$A98,ConfirmedRaw!BO:BO)</f>
        <v>0</v>
      </c>
      <c r="BM98">
        <f>SUMIF(ConfirmedRaw!$B:$B,$A98,ConfirmedRaw!BP:BP)</f>
        <v>0</v>
      </c>
      <c r="BN98">
        <f>SUMIF(ConfirmedRaw!$B:$B,$A98,ConfirmedRaw!BQ:BQ)</f>
        <v>0</v>
      </c>
      <c r="BO98">
        <f>SUMIF(ConfirmedRaw!$B:$B,$A98,ConfirmedRaw!BR:BR)</f>
        <v>0</v>
      </c>
      <c r="BP98">
        <f>SUMIF(ConfirmedRaw!$B:$B,$A98,ConfirmedRaw!BS:BS)</f>
        <v>0</v>
      </c>
      <c r="BQ98">
        <f>SUMIF(ConfirmedRaw!$B:$B,$A98,ConfirmedRaw!BT:BT)</f>
        <v>0</v>
      </c>
      <c r="BR98">
        <f>SUMIF(ConfirmedRaw!$B:$B,$A98,ConfirmedRaw!BU:BU)</f>
        <v>0</v>
      </c>
      <c r="BS98">
        <f>SUMIF(ConfirmedRaw!$B:$B,$A98,ConfirmedRaw!BV:BV)</f>
        <v>0</v>
      </c>
      <c r="BT98">
        <f>SUMIF(ConfirmedRaw!$B:$B,$A98,ConfirmedRaw!BW:BW)</f>
        <v>0</v>
      </c>
    </row>
    <row r="99" spans="1:72" ht="15" thickBot="1" x14ac:dyDescent="0.35">
      <c r="A99" s="3" t="s">
        <v>202</v>
      </c>
      <c r="B99">
        <f>SUMIF(ConfirmedRaw!$B:$B,$A99,ConfirmedRaw!E:E)</f>
        <v>0</v>
      </c>
      <c r="C99">
        <f>SUMIF(ConfirmedRaw!$B:$B,$A99,ConfirmedRaw!F:F)</f>
        <v>0</v>
      </c>
      <c r="D99">
        <f>SUMIF(ConfirmedRaw!$B:$B,$A99,ConfirmedRaw!G:G)</f>
        <v>0</v>
      </c>
      <c r="E99">
        <f>SUMIF(ConfirmedRaw!$B:$B,$A99,ConfirmedRaw!H:H)</f>
        <v>0</v>
      </c>
      <c r="F99">
        <f>SUMIF(ConfirmedRaw!$B:$B,$A99,ConfirmedRaw!I:I)</f>
        <v>0</v>
      </c>
      <c r="G99">
        <f>SUMIF(ConfirmedRaw!$B:$B,$A99,ConfirmedRaw!J:J)</f>
        <v>0</v>
      </c>
      <c r="H99">
        <f>SUMIF(ConfirmedRaw!$B:$B,$A99,ConfirmedRaw!K:K)</f>
        <v>0</v>
      </c>
      <c r="I99">
        <f>SUMIF(ConfirmedRaw!$B:$B,$A99,ConfirmedRaw!L:L)</f>
        <v>0</v>
      </c>
      <c r="J99">
        <f>SUMIF(ConfirmedRaw!$B:$B,$A99,ConfirmedRaw!M:M)</f>
        <v>0</v>
      </c>
      <c r="K99">
        <f>SUMIF(ConfirmedRaw!$B:$B,$A99,ConfirmedRaw!N:N)</f>
        <v>0</v>
      </c>
      <c r="L99">
        <f>SUMIF(ConfirmedRaw!$B:$B,$A99,ConfirmedRaw!O:O)</f>
        <v>0</v>
      </c>
      <c r="M99">
        <f>SUMIF(ConfirmedRaw!$B:$B,$A99,ConfirmedRaw!P:P)</f>
        <v>0</v>
      </c>
      <c r="N99">
        <f>SUMIF(ConfirmedRaw!$B:$B,$A99,ConfirmedRaw!Q:Q)</f>
        <v>0</v>
      </c>
      <c r="O99">
        <f>SUMIF(ConfirmedRaw!$B:$B,$A99,ConfirmedRaw!R:R)</f>
        <v>0</v>
      </c>
      <c r="P99">
        <f>SUMIF(ConfirmedRaw!$B:$B,$A99,ConfirmedRaw!S:S)</f>
        <v>0</v>
      </c>
      <c r="Q99">
        <f>SUMIF(ConfirmedRaw!$B:$B,$A99,ConfirmedRaw!T:T)</f>
        <v>0</v>
      </c>
      <c r="R99">
        <f>SUMIF(ConfirmedRaw!$B:$B,$A99,ConfirmedRaw!U:U)</f>
        <v>0</v>
      </c>
      <c r="S99">
        <f>SUMIF(ConfirmedRaw!$B:$B,$A99,ConfirmedRaw!V:V)</f>
        <v>0</v>
      </c>
      <c r="T99">
        <f>SUMIF(ConfirmedRaw!$B:$B,$A99,ConfirmedRaw!W:W)</f>
        <v>0</v>
      </c>
      <c r="U99">
        <f>SUMIF(ConfirmedRaw!$B:$B,$A99,ConfirmedRaw!X:X)</f>
        <v>0</v>
      </c>
      <c r="V99">
        <f>SUMIF(ConfirmedRaw!$B:$B,$A99,ConfirmedRaw!Y:Y)</f>
        <v>0</v>
      </c>
      <c r="W99">
        <f>SUMIF(ConfirmedRaw!$B:$B,$A99,ConfirmedRaw!Z:Z)</f>
        <v>0</v>
      </c>
      <c r="X99">
        <f>SUMIF(ConfirmedRaw!$B:$B,$A99,ConfirmedRaw!AA:AA)</f>
        <v>0</v>
      </c>
      <c r="Y99">
        <f>SUMIF(ConfirmedRaw!$B:$B,$A99,ConfirmedRaw!AB:AB)</f>
        <v>0</v>
      </c>
      <c r="Z99">
        <f>SUMIF(ConfirmedRaw!$B:$B,$A99,ConfirmedRaw!AC:AC)</f>
        <v>0</v>
      </c>
      <c r="AA99">
        <f>SUMIF(ConfirmedRaw!$B:$B,$A99,ConfirmedRaw!AD:AD)</f>
        <v>0</v>
      </c>
      <c r="AB99">
        <f>SUMIF(ConfirmedRaw!$B:$B,$A99,ConfirmedRaw!AE:AE)</f>
        <v>0</v>
      </c>
      <c r="AC99">
        <f>SUMIF(ConfirmedRaw!$B:$B,$A99,ConfirmedRaw!AF:AF)</f>
        <v>0</v>
      </c>
      <c r="AD99">
        <f>SUMIF(ConfirmedRaw!$B:$B,$A99,ConfirmedRaw!AG:AG)</f>
        <v>0</v>
      </c>
      <c r="AE99">
        <f>SUMIF(ConfirmedRaw!$B:$B,$A99,ConfirmedRaw!AH:AH)</f>
        <v>0</v>
      </c>
      <c r="AF99">
        <f>SUMIF(ConfirmedRaw!$B:$B,$A99,ConfirmedRaw!AI:AI)</f>
        <v>0</v>
      </c>
      <c r="AG99">
        <f>SUMIF(ConfirmedRaw!$B:$B,$A99,ConfirmedRaw!AJ:AJ)</f>
        <v>0</v>
      </c>
      <c r="AH99">
        <f>SUMIF(ConfirmedRaw!$B:$B,$A99,ConfirmedRaw!AK:AK)</f>
        <v>0</v>
      </c>
      <c r="AI99">
        <f>SUMIF(ConfirmedRaw!$B:$B,$A99,ConfirmedRaw!AL:AL)</f>
        <v>0</v>
      </c>
      <c r="AJ99">
        <f>SUMIF(ConfirmedRaw!$B:$B,$A99,ConfirmedRaw!AM:AM)</f>
        <v>0</v>
      </c>
      <c r="AK99">
        <f>SUMIF(ConfirmedRaw!$B:$B,$A99,ConfirmedRaw!AN:AN)</f>
        <v>0</v>
      </c>
      <c r="AL99">
        <f>SUMIF(ConfirmedRaw!$B:$B,$A99,ConfirmedRaw!AO:AO)</f>
        <v>0</v>
      </c>
      <c r="AM99">
        <f>SUMIF(ConfirmedRaw!$B:$B,$A99,ConfirmedRaw!AP:AP)</f>
        <v>0</v>
      </c>
      <c r="AN99">
        <f>SUMIF(ConfirmedRaw!$B:$B,$A99,ConfirmedRaw!AQ:AQ)</f>
        <v>0</v>
      </c>
      <c r="AO99">
        <f>SUMIF(ConfirmedRaw!$B:$B,$A99,ConfirmedRaw!AR:AR)</f>
        <v>0</v>
      </c>
      <c r="AP99">
        <f>SUMIF(ConfirmedRaw!$B:$B,$A99,ConfirmedRaw!AS:AS)</f>
        <v>0</v>
      </c>
      <c r="AQ99">
        <f>SUMIF(ConfirmedRaw!$B:$B,$A99,ConfirmedRaw!AT:AT)</f>
        <v>0</v>
      </c>
      <c r="AR99">
        <f>SUMIF(ConfirmedRaw!$B:$B,$A99,ConfirmedRaw!AU:AU)</f>
        <v>0</v>
      </c>
      <c r="AS99">
        <f>SUMIF(ConfirmedRaw!$B:$B,$A99,ConfirmedRaw!AV:AV)</f>
        <v>0</v>
      </c>
      <c r="AT99">
        <f>SUMIF(ConfirmedRaw!$B:$B,$A99,ConfirmedRaw!AW:AW)</f>
        <v>0</v>
      </c>
      <c r="AU99">
        <f>SUMIF(ConfirmedRaw!$B:$B,$A99,ConfirmedRaw!AX:AX)</f>
        <v>0</v>
      </c>
      <c r="AV99">
        <f>SUMIF(ConfirmedRaw!$B:$B,$A99,ConfirmedRaw!AY:AY)</f>
        <v>3</v>
      </c>
      <c r="AW99">
        <f>SUMIF(ConfirmedRaw!$B:$B,$A99,ConfirmedRaw!AZ:AZ)</f>
        <v>3</v>
      </c>
      <c r="AX99">
        <f>SUMIF(ConfirmedRaw!$B:$B,$A99,ConfirmedRaw!BA:BA)</f>
        <v>3</v>
      </c>
      <c r="AY99">
        <f>SUMIF(ConfirmedRaw!$B:$B,$A99,ConfirmedRaw!BB:BB)</f>
        <v>3</v>
      </c>
      <c r="AZ99">
        <f>SUMIF(ConfirmedRaw!$B:$B,$A99,ConfirmedRaw!BC:BC)</f>
        <v>3</v>
      </c>
      <c r="BA99">
        <f>SUMIF(ConfirmedRaw!$B:$B,$A99,ConfirmedRaw!BD:BD)</f>
        <v>3</v>
      </c>
      <c r="BB99">
        <f>SUMIF(ConfirmedRaw!$B:$B,$A99,ConfirmedRaw!BE:BE)</f>
        <v>3</v>
      </c>
      <c r="BC99">
        <f>SUMIF(ConfirmedRaw!$B:$B,$A99,ConfirmedRaw!BF:BF)</f>
        <v>5</v>
      </c>
      <c r="BD99">
        <f>SUMIF(ConfirmedRaw!$B:$B,$A99,ConfirmedRaw!BG:BG)</f>
        <v>8</v>
      </c>
      <c r="BE99">
        <f>SUMIF(ConfirmedRaw!$B:$B,$A99,ConfirmedRaw!BH:BH)</f>
        <v>10</v>
      </c>
      <c r="BF99">
        <f>SUMIF(ConfirmedRaw!$B:$B,$A99,ConfirmedRaw!BI:BI)</f>
        <v>14</v>
      </c>
      <c r="BG99">
        <f>SUMIF(ConfirmedRaw!$B:$B,$A99,ConfirmedRaw!BJ:BJ)</f>
        <v>17</v>
      </c>
      <c r="BH99">
        <f>SUMIF(ConfirmedRaw!$B:$B,$A99,ConfirmedRaw!BK:BK)</f>
        <v>20</v>
      </c>
      <c r="BI99">
        <f>SUMIF(ConfirmedRaw!$B:$B,$A99,ConfirmedRaw!BL:BL)</f>
        <v>0</v>
      </c>
      <c r="BJ99">
        <f>SUMIF(ConfirmedRaw!$B:$B,$A99,ConfirmedRaw!BM:BM)</f>
        <v>0</v>
      </c>
      <c r="BK99">
        <f>SUMIF(ConfirmedRaw!$B:$B,$A99,ConfirmedRaw!BN:BN)</f>
        <v>0</v>
      </c>
      <c r="BL99">
        <f>SUMIF(ConfirmedRaw!$B:$B,$A99,ConfirmedRaw!BO:BO)</f>
        <v>0</v>
      </c>
      <c r="BM99">
        <f>SUMIF(ConfirmedRaw!$B:$B,$A99,ConfirmedRaw!BP:BP)</f>
        <v>0</v>
      </c>
      <c r="BN99">
        <f>SUMIF(ConfirmedRaw!$B:$B,$A99,ConfirmedRaw!BQ:BQ)</f>
        <v>0</v>
      </c>
      <c r="BO99">
        <f>SUMIF(ConfirmedRaw!$B:$B,$A99,ConfirmedRaw!BR:BR)</f>
        <v>0</v>
      </c>
      <c r="BP99">
        <f>SUMIF(ConfirmedRaw!$B:$B,$A99,ConfirmedRaw!BS:BS)</f>
        <v>0</v>
      </c>
      <c r="BQ99">
        <f>SUMIF(ConfirmedRaw!$B:$B,$A99,ConfirmedRaw!BT:BT)</f>
        <v>0</v>
      </c>
      <c r="BR99">
        <f>SUMIF(ConfirmedRaw!$B:$B,$A99,ConfirmedRaw!BU:BU)</f>
        <v>0</v>
      </c>
      <c r="BS99">
        <f>SUMIF(ConfirmedRaw!$B:$B,$A99,ConfirmedRaw!BV:BV)</f>
        <v>0</v>
      </c>
      <c r="BT99">
        <f>SUMIF(ConfirmedRaw!$B:$B,$A99,ConfirmedRaw!BW:BW)</f>
        <v>0</v>
      </c>
    </row>
    <row r="100" spans="1:72" ht="15" thickBot="1" x14ac:dyDescent="0.35">
      <c r="A100" s="3" t="s">
        <v>346</v>
      </c>
      <c r="B100">
        <f>SUMIF(ConfirmedRaw!$B:$B,$A100,ConfirmedRaw!E:E)</f>
        <v>0</v>
      </c>
      <c r="C100">
        <f>SUMIF(ConfirmedRaw!$B:$B,$A100,ConfirmedRaw!F:F)</f>
        <v>0</v>
      </c>
      <c r="D100">
        <f>SUMIF(ConfirmedRaw!$B:$B,$A100,ConfirmedRaw!G:G)</f>
        <v>0</v>
      </c>
      <c r="E100">
        <f>SUMIF(ConfirmedRaw!$B:$B,$A100,ConfirmedRaw!H:H)</f>
        <v>0</v>
      </c>
      <c r="F100">
        <f>SUMIF(ConfirmedRaw!$B:$B,$A100,ConfirmedRaw!I:I)</f>
        <v>0</v>
      </c>
      <c r="G100">
        <f>SUMIF(ConfirmedRaw!$B:$B,$A100,ConfirmedRaw!J:J)</f>
        <v>0</v>
      </c>
      <c r="H100">
        <f>SUMIF(ConfirmedRaw!$B:$B,$A100,ConfirmedRaw!K:K)</f>
        <v>0</v>
      </c>
      <c r="I100">
        <f>SUMIF(ConfirmedRaw!$B:$B,$A100,ConfirmedRaw!L:L)</f>
        <v>0</v>
      </c>
      <c r="J100">
        <f>SUMIF(ConfirmedRaw!$B:$B,$A100,ConfirmedRaw!M:M)</f>
        <v>0</v>
      </c>
      <c r="K100">
        <f>SUMIF(ConfirmedRaw!$B:$B,$A100,ConfirmedRaw!N:N)</f>
        <v>0</v>
      </c>
      <c r="L100">
        <f>SUMIF(ConfirmedRaw!$B:$B,$A100,ConfirmedRaw!O:O)</f>
        <v>0</v>
      </c>
      <c r="M100">
        <f>SUMIF(ConfirmedRaw!$B:$B,$A100,ConfirmedRaw!P:P)</f>
        <v>0</v>
      </c>
      <c r="N100">
        <f>SUMIF(ConfirmedRaw!$B:$B,$A100,ConfirmedRaw!Q:Q)</f>
        <v>0</v>
      </c>
      <c r="O100">
        <f>SUMIF(ConfirmedRaw!$B:$B,$A100,ConfirmedRaw!R:R)</f>
        <v>0</v>
      </c>
      <c r="P100">
        <f>SUMIF(ConfirmedRaw!$B:$B,$A100,ConfirmedRaw!S:S)</f>
        <v>0</v>
      </c>
      <c r="Q100">
        <f>SUMIF(ConfirmedRaw!$B:$B,$A100,ConfirmedRaw!T:T)</f>
        <v>0</v>
      </c>
      <c r="R100">
        <f>SUMIF(ConfirmedRaw!$B:$B,$A100,ConfirmedRaw!U:U)</f>
        <v>0</v>
      </c>
      <c r="S100">
        <f>SUMIF(ConfirmedRaw!$B:$B,$A100,ConfirmedRaw!V:V)</f>
        <v>0</v>
      </c>
      <c r="T100">
        <f>SUMIF(ConfirmedRaw!$B:$B,$A100,ConfirmedRaw!W:W)</f>
        <v>0</v>
      </c>
      <c r="U100">
        <f>SUMIF(ConfirmedRaw!$B:$B,$A100,ConfirmedRaw!X:X)</f>
        <v>0</v>
      </c>
      <c r="V100">
        <f>SUMIF(ConfirmedRaw!$B:$B,$A100,ConfirmedRaw!Y:Y)</f>
        <v>0</v>
      </c>
      <c r="W100">
        <f>SUMIF(ConfirmedRaw!$B:$B,$A100,ConfirmedRaw!Z:Z)</f>
        <v>0</v>
      </c>
      <c r="X100">
        <f>SUMIF(ConfirmedRaw!$B:$B,$A100,ConfirmedRaw!AA:AA)</f>
        <v>0</v>
      </c>
      <c r="Y100">
        <f>SUMIF(ConfirmedRaw!$B:$B,$A100,ConfirmedRaw!AB:AB)</f>
        <v>0</v>
      </c>
      <c r="Z100">
        <f>SUMIF(ConfirmedRaw!$B:$B,$A100,ConfirmedRaw!AC:AC)</f>
        <v>0</v>
      </c>
      <c r="AA100">
        <f>SUMIF(ConfirmedRaw!$B:$B,$A100,ConfirmedRaw!AD:AD)</f>
        <v>0</v>
      </c>
      <c r="AB100">
        <f>SUMIF(ConfirmedRaw!$B:$B,$A100,ConfirmedRaw!AE:AE)</f>
        <v>0</v>
      </c>
      <c r="AC100">
        <f>SUMIF(ConfirmedRaw!$B:$B,$A100,ConfirmedRaw!AF:AF)</f>
        <v>0</v>
      </c>
      <c r="AD100">
        <f>SUMIF(ConfirmedRaw!$B:$B,$A100,ConfirmedRaw!AG:AG)</f>
        <v>0</v>
      </c>
      <c r="AE100">
        <f>SUMIF(ConfirmedRaw!$B:$B,$A100,ConfirmedRaw!AH:AH)</f>
        <v>0</v>
      </c>
      <c r="AF100">
        <f>SUMIF(ConfirmedRaw!$B:$B,$A100,ConfirmedRaw!AI:AI)</f>
        <v>0</v>
      </c>
      <c r="AG100">
        <f>SUMIF(ConfirmedRaw!$B:$B,$A100,ConfirmedRaw!AJ:AJ)</f>
        <v>0</v>
      </c>
      <c r="AH100">
        <f>SUMIF(ConfirmedRaw!$B:$B,$A100,ConfirmedRaw!AK:AK)</f>
        <v>0</v>
      </c>
      <c r="AI100">
        <f>SUMIF(ConfirmedRaw!$B:$B,$A100,ConfirmedRaw!AL:AL)</f>
        <v>0</v>
      </c>
      <c r="AJ100">
        <f>SUMIF(ConfirmedRaw!$B:$B,$A100,ConfirmedRaw!AM:AM)</f>
        <v>0</v>
      </c>
      <c r="AK100">
        <f>SUMIF(ConfirmedRaw!$B:$B,$A100,ConfirmedRaw!AN:AN)</f>
        <v>0</v>
      </c>
      <c r="AL100">
        <f>SUMIF(ConfirmedRaw!$B:$B,$A100,ConfirmedRaw!AO:AO)</f>
        <v>0</v>
      </c>
      <c r="AM100">
        <f>SUMIF(ConfirmedRaw!$B:$B,$A100,ConfirmedRaw!AP:AP)</f>
        <v>0</v>
      </c>
      <c r="AN100">
        <f>SUMIF(ConfirmedRaw!$B:$B,$A100,ConfirmedRaw!AQ:AQ)</f>
        <v>0</v>
      </c>
      <c r="AO100">
        <f>SUMIF(ConfirmedRaw!$B:$B,$A100,ConfirmedRaw!AR:AR)</f>
        <v>0</v>
      </c>
      <c r="AP100">
        <f>SUMIF(ConfirmedRaw!$B:$B,$A100,ConfirmedRaw!AS:AS)</f>
        <v>0</v>
      </c>
      <c r="AQ100">
        <f>SUMIF(ConfirmedRaw!$B:$B,$A100,ConfirmedRaw!AT:AT)</f>
        <v>0</v>
      </c>
      <c r="AR100">
        <f>SUMIF(ConfirmedRaw!$B:$B,$A100,ConfirmedRaw!AU:AU)</f>
        <v>0</v>
      </c>
      <c r="AS100">
        <f>SUMIF(ConfirmedRaw!$B:$B,$A100,ConfirmedRaw!AV:AV)</f>
        <v>0</v>
      </c>
      <c r="AT100">
        <f>SUMIF(ConfirmedRaw!$B:$B,$A100,ConfirmedRaw!AW:AW)</f>
        <v>0</v>
      </c>
      <c r="AU100">
        <f>SUMIF(ConfirmedRaw!$B:$B,$A100,ConfirmedRaw!AX:AX)</f>
        <v>0</v>
      </c>
      <c r="AV100">
        <f>SUMIF(ConfirmedRaw!$B:$B,$A100,ConfirmedRaw!AY:AY)</f>
        <v>0</v>
      </c>
      <c r="AW100">
        <f>SUMIF(ConfirmedRaw!$B:$B,$A100,ConfirmedRaw!AZ:AZ)</f>
        <v>0</v>
      </c>
      <c r="AX100">
        <f>SUMIF(ConfirmedRaw!$B:$B,$A100,ConfirmedRaw!BA:BA)</f>
        <v>0</v>
      </c>
      <c r="AY100">
        <f>SUMIF(ConfirmedRaw!$B:$B,$A100,ConfirmedRaw!BB:BB)</f>
        <v>2</v>
      </c>
      <c r="AZ100">
        <f>SUMIF(ConfirmedRaw!$B:$B,$A100,ConfirmedRaw!BC:BC)</f>
        <v>2</v>
      </c>
      <c r="BA100">
        <f>SUMIF(ConfirmedRaw!$B:$B,$A100,ConfirmedRaw!BD:BD)</f>
        <v>3</v>
      </c>
      <c r="BB100">
        <f>SUMIF(ConfirmedRaw!$B:$B,$A100,ConfirmedRaw!BE:BE)</f>
        <v>10</v>
      </c>
      <c r="BC100">
        <f>SUMIF(ConfirmedRaw!$B:$B,$A100,ConfirmedRaw!BF:BF)</f>
        <v>10</v>
      </c>
      <c r="BD100">
        <f>SUMIF(ConfirmedRaw!$B:$B,$A100,ConfirmedRaw!BG:BG)</f>
        <v>11</v>
      </c>
      <c r="BE100">
        <f>SUMIF(ConfirmedRaw!$B:$B,$A100,ConfirmedRaw!BH:BH)</f>
        <v>11</v>
      </c>
      <c r="BF100">
        <f>SUMIF(ConfirmedRaw!$B:$B,$A100,ConfirmedRaw!BI:BI)</f>
        <v>12</v>
      </c>
      <c r="BG100">
        <f>SUMIF(ConfirmedRaw!$B:$B,$A100,ConfirmedRaw!BJ:BJ)</f>
        <v>12</v>
      </c>
      <c r="BH100">
        <f>SUMIF(ConfirmedRaw!$B:$B,$A100,ConfirmedRaw!BK:BK)</f>
        <v>15</v>
      </c>
      <c r="BI100">
        <f>SUMIF(ConfirmedRaw!$B:$B,$A100,ConfirmedRaw!BL:BL)</f>
        <v>0</v>
      </c>
      <c r="BJ100">
        <f>SUMIF(ConfirmedRaw!$B:$B,$A100,ConfirmedRaw!BM:BM)</f>
        <v>0</v>
      </c>
      <c r="BK100">
        <f>SUMIF(ConfirmedRaw!$B:$B,$A100,ConfirmedRaw!BN:BN)</f>
        <v>0</v>
      </c>
      <c r="BL100">
        <f>SUMIF(ConfirmedRaw!$B:$B,$A100,ConfirmedRaw!BO:BO)</f>
        <v>0</v>
      </c>
      <c r="BM100">
        <f>SUMIF(ConfirmedRaw!$B:$B,$A100,ConfirmedRaw!BP:BP)</f>
        <v>0</v>
      </c>
      <c r="BN100">
        <f>SUMIF(ConfirmedRaw!$B:$B,$A100,ConfirmedRaw!BQ:BQ)</f>
        <v>0</v>
      </c>
      <c r="BO100">
        <f>SUMIF(ConfirmedRaw!$B:$B,$A100,ConfirmedRaw!BR:BR)</f>
        <v>0</v>
      </c>
      <c r="BP100">
        <f>SUMIF(ConfirmedRaw!$B:$B,$A100,ConfirmedRaw!BS:BS)</f>
        <v>0</v>
      </c>
      <c r="BQ100">
        <f>SUMIF(ConfirmedRaw!$B:$B,$A100,ConfirmedRaw!BT:BT)</f>
        <v>0</v>
      </c>
      <c r="BR100">
        <f>SUMIF(ConfirmedRaw!$B:$B,$A100,ConfirmedRaw!BU:BU)</f>
        <v>0</v>
      </c>
      <c r="BS100">
        <f>SUMIF(ConfirmedRaw!$B:$B,$A100,ConfirmedRaw!BV:BV)</f>
        <v>0</v>
      </c>
      <c r="BT100">
        <f>SUMIF(ConfirmedRaw!$B:$B,$A100,ConfirmedRaw!BW:BW)</f>
        <v>0</v>
      </c>
    </row>
    <row r="101" spans="1:72" ht="15" thickBot="1" x14ac:dyDescent="0.35">
      <c r="A101" s="4" t="s">
        <v>180</v>
      </c>
      <c r="B101">
        <f>SUMIF(ConfirmedRaw!$B:$B,$A101,ConfirmedRaw!E:E)</f>
        <v>0</v>
      </c>
      <c r="C101">
        <f>SUMIF(ConfirmedRaw!$B:$B,$A101,ConfirmedRaw!F:F)</f>
        <v>0</v>
      </c>
      <c r="D101">
        <f>SUMIF(ConfirmedRaw!$B:$B,$A101,ConfirmedRaw!G:G)</f>
        <v>0</v>
      </c>
      <c r="E101">
        <f>SUMIF(ConfirmedRaw!$B:$B,$A101,ConfirmedRaw!H:H)</f>
        <v>0</v>
      </c>
      <c r="F101">
        <f>SUMIF(ConfirmedRaw!$B:$B,$A101,ConfirmedRaw!I:I)</f>
        <v>0</v>
      </c>
      <c r="G101">
        <f>SUMIF(ConfirmedRaw!$B:$B,$A101,ConfirmedRaw!J:J)</f>
        <v>0</v>
      </c>
      <c r="H101">
        <f>SUMIF(ConfirmedRaw!$B:$B,$A101,ConfirmedRaw!K:K)</f>
        <v>0</v>
      </c>
      <c r="I101">
        <f>SUMIF(ConfirmedRaw!$B:$B,$A101,ConfirmedRaw!L:L)</f>
        <v>0</v>
      </c>
      <c r="J101">
        <f>SUMIF(ConfirmedRaw!$B:$B,$A101,ConfirmedRaw!M:M)</f>
        <v>0</v>
      </c>
      <c r="K101">
        <f>SUMIF(ConfirmedRaw!$B:$B,$A101,ConfirmedRaw!N:N)</f>
        <v>0</v>
      </c>
      <c r="L101">
        <f>SUMIF(ConfirmedRaw!$B:$B,$A101,ConfirmedRaw!O:O)</f>
        <v>0</v>
      </c>
      <c r="M101">
        <f>SUMIF(ConfirmedRaw!$B:$B,$A101,ConfirmedRaw!P:P)</f>
        <v>0</v>
      </c>
      <c r="N101">
        <f>SUMIF(ConfirmedRaw!$B:$B,$A101,ConfirmedRaw!Q:Q)</f>
        <v>0</v>
      </c>
      <c r="O101">
        <f>SUMIF(ConfirmedRaw!$B:$B,$A101,ConfirmedRaw!R:R)</f>
        <v>0</v>
      </c>
      <c r="P101">
        <f>SUMIF(ConfirmedRaw!$B:$B,$A101,ConfirmedRaw!S:S)</f>
        <v>0</v>
      </c>
      <c r="Q101">
        <f>SUMIF(ConfirmedRaw!$B:$B,$A101,ConfirmedRaw!T:T)</f>
        <v>0</v>
      </c>
      <c r="R101">
        <f>SUMIF(ConfirmedRaw!$B:$B,$A101,ConfirmedRaw!U:U)</f>
        <v>0</v>
      </c>
      <c r="S101">
        <f>SUMIF(ConfirmedRaw!$B:$B,$A101,ConfirmedRaw!V:V)</f>
        <v>0</v>
      </c>
      <c r="T101">
        <f>SUMIF(ConfirmedRaw!$B:$B,$A101,ConfirmedRaw!W:W)</f>
        <v>0</v>
      </c>
      <c r="U101">
        <f>SUMIF(ConfirmedRaw!$B:$B,$A101,ConfirmedRaw!X:X)</f>
        <v>0</v>
      </c>
      <c r="V101">
        <f>SUMIF(ConfirmedRaw!$B:$B,$A101,ConfirmedRaw!Y:Y)</f>
        <v>0</v>
      </c>
      <c r="W101">
        <f>SUMIF(ConfirmedRaw!$B:$B,$A101,ConfirmedRaw!Z:Z)</f>
        <v>0</v>
      </c>
      <c r="X101">
        <f>SUMIF(ConfirmedRaw!$B:$B,$A101,ConfirmedRaw!AA:AA)</f>
        <v>0</v>
      </c>
      <c r="Y101">
        <f>SUMIF(ConfirmedRaw!$B:$B,$A101,ConfirmedRaw!AB:AB)</f>
        <v>0</v>
      </c>
      <c r="Z101">
        <f>SUMIF(ConfirmedRaw!$B:$B,$A101,ConfirmedRaw!AC:AC)</f>
        <v>0</v>
      </c>
      <c r="AA101">
        <f>SUMIF(ConfirmedRaw!$B:$B,$A101,ConfirmedRaw!AD:AD)</f>
        <v>0</v>
      </c>
      <c r="AB101">
        <f>SUMIF(ConfirmedRaw!$B:$B,$A101,ConfirmedRaw!AE:AE)</f>
        <v>0</v>
      </c>
      <c r="AC101">
        <f>SUMIF(ConfirmedRaw!$B:$B,$A101,ConfirmedRaw!AF:AF)</f>
        <v>0</v>
      </c>
      <c r="AD101">
        <f>SUMIF(ConfirmedRaw!$B:$B,$A101,ConfirmedRaw!AG:AG)</f>
        <v>0</v>
      </c>
      <c r="AE101">
        <f>SUMIF(ConfirmedRaw!$B:$B,$A101,ConfirmedRaw!AH:AH)</f>
        <v>0</v>
      </c>
      <c r="AF101">
        <f>SUMIF(ConfirmedRaw!$B:$B,$A101,ConfirmedRaw!AI:AI)</f>
        <v>0</v>
      </c>
      <c r="AG101">
        <f>SUMIF(ConfirmedRaw!$B:$B,$A101,ConfirmedRaw!AJ:AJ)</f>
        <v>0</v>
      </c>
      <c r="AH101">
        <f>SUMIF(ConfirmedRaw!$B:$B,$A101,ConfirmedRaw!AK:AK)</f>
        <v>0</v>
      </c>
      <c r="AI101">
        <f>SUMIF(ConfirmedRaw!$B:$B,$A101,ConfirmedRaw!AL:AL)</f>
        <v>0</v>
      </c>
      <c r="AJ101">
        <f>SUMIF(ConfirmedRaw!$B:$B,$A101,ConfirmedRaw!AM:AM)</f>
        <v>0</v>
      </c>
      <c r="AK101">
        <f>SUMIF(ConfirmedRaw!$B:$B,$A101,ConfirmedRaw!AN:AN)</f>
        <v>0</v>
      </c>
      <c r="AL101">
        <f>SUMIF(ConfirmedRaw!$B:$B,$A101,ConfirmedRaw!AO:AO)</f>
        <v>0</v>
      </c>
      <c r="AM101">
        <f>SUMIF(ConfirmedRaw!$B:$B,$A101,ConfirmedRaw!AP:AP)</f>
        <v>0</v>
      </c>
      <c r="AN101">
        <f>SUMIF(ConfirmedRaw!$B:$B,$A101,ConfirmedRaw!AQ:AQ)</f>
        <v>0</v>
      </c>
      <c r="AO101">
        <f>SUMIF(ConfirmedRaw!$B:$B,$A101,ConfirmedRaw!AR:AR)</f>
        <v>0</v>
      </c>
      <c r="AP101">
        <f>SUMIF(ConfirmedRaw!$B:$B,$A101,ConfirmedRaw!AS:AS)</f>
        <v>0</v>
      </c>
      <c r="AQ101">
        <f>SUMIF(ConfirmedRaw!$B:$B,$A101,ConfirmedRaw!AT:AT)</f>
        <v>0</v>
      </c>
      <c r="AR101">
        <f>SUMIF(ConfirmedRaw!$B:$B,$A101,ConfirmedRaw!AU:AU)</f>
        <v>0</v>
      </c>
      <c r="AS101">
        <f>SUMIF(ConfirmedRaw!$B:$B,$A101,ConfirmedRaw!AV:AV)</f>
        <v>0</v>
      </c>
      <c r="AT101">
        <f>SUMIF(ConfirmedRaw!$B:$B,$A101,ConfirmedRaw!AW:AW)</f>
        <v>0</v>
      </c>
      <c r="AU101">
        <f>SUMIF(ConfirmedRaw!$B:$B,$A101,ConfirmedRaw!AX:AX)</f>
        <v>2</v>
      </c>
      <c r="AV101">
        <f>SUMIF(ConfirmedRaw!$B:$B,$A101,ConfirmedRaw!AY:AY)</f>
        <v>2</v>
      </c>
      <c r="AW101">
        <f>SUMIF(ConfirmedRaw!$B:$B,$A101,ConfirmedRaw!AZ:AZ)</f>
        <v>2</v>
      </c>
      <c r="AX101">
        <f>SUMIF(ConfirmedRaw!$B:$B,$A101,ConfirmedRaw!BA:BA)</f>
        <v>2</v>
      </c>
      <c r="AY101">
        <f>SUMIF(ConfirmedRaw!$B:$B,$A101,ConfirmedRaw!BB:BB)</f>
        <v>3</v>
      </c>
      <c r="AZ101">
        <f>SUMIF(ConfirmedRaw!$B:$B,$A101,ConfirmedRaw!BC:BC)</f>
        <v>3</v>
      </c>
      <c r="BA101">
        <f>SUMIF(ConfirmedRaw!$B:$B,$A101,ConfirmedRaw!BD:BD)</f>
        <v>3</v>
      </c>
      <c r="BB101">
        <f>SUMIF(ConfirmedRaw!$B:$B,$A101,ConfirmedRaw!BE:BE)</f>
        <v>9</v>
      </c>
      <c r="BC101">
        <f>SUMIF(ConfirmedRaw!$B:$B,$A101,ConfirmedRaw!BF:BF)</f>
        <v>9</v>
      </c>
      <c r="BD101">
        <f>SUMIF(ConfirmedRaw!$B:$B,$A101,ConfirmedRaw!BG:BG)</f>
        <v>15</v>
      </c>
      <c r="BE101">
        <f>SUMIF(ConfirmedRaw!$B:$B,$A101,ConfirmedRaw!BH:BH)</f>
        <v>16</v>
      </c>
      <c r="BF101">
        <f>SUMIF(ConfirmedRaw!$B:$B,$A101,ConfirmedRaw!BI:BI)</f>
        <v>19</v>
      </c>
      <c r="BG101">
        <f>SUMIF(ConfirmedRaw!$B:$B,$A101,ConfirmedRaw!BJ:BJ)</f>
        <v>23</v>
      </c>
      <c r="BH101">
        <f>SUMIF(ConfirmedRaw!$B:$B,$A101,ConfirmedRaw!BK:BK)</f>
        <v>32</v>
      </c>
      <c r="BI101">
        <f>SUMIF(ConfirmedRaw!$B:$B,$A101,ConfirmedRaw!BL:BL)</f>
        <v>0</v>
      </c>
      <c r="BJ101">
        <f>SUMIF(ConfirmedRaw!$B:$B,$A101,ConfirmedRaw!BM:BM)</f>
        <v>0</v>
      </c>
      <c r="BK101">
        <f>SUMIF(ConfirmedRaw!$B:$B,$A101,ConfirmedRaw!BN:BN)</f>
        <v>0</v>
      </c>
      <c r="BL101">
        <f>SUMIF(ConfirmedRaw!$B:$B,$A101,ConfirmedRaw!BO:BO)</f>
        <v>0</v>
      </c>
      <c r="BM101">
        <f>SUMIF(ConfirmedRaw!$B:$B,$A101,ConfirmedRaw!BP:BP)</f>
        <v>0</v>
      </c>
      <c r="BN101">
        <f>SUMIF(ConfirmedRaw!$B:$B,$A101,ConfirmedRaw!BQ:BQ)</f>
        <v>0</v>
      </c>
      <c r="BO101">
        <f>SUMIF(ConfirmedRaw!$B:$B,$A101,ConfirmedRaw!BR:BR)</f>
        <v>0</v>
      </c>
      <c r="BP101">
        <f>SUMIF(ConfirmedRaw!$B:$B,$A101,ConfirmedRaw!BS:BS)</f>
        <v>0</v>
      </c>
      <c r="BQ101">
        <f>SUMIF(ConfirmedRaw!$B:$B,$A101,ConfirmedRaw!BT:BT)</f>
        <v>0</v>
      </c>
      <c r="BR101">
        <f>SUMIF(ConfirmedRaw!$B:$B,$A101,ConfirmedRaw!BU:BU)</f>
        <v>0</v>
      </c>
      <c r="BS101">
        <f>SUMIF(ConfirmedRaw!$B:$B,$A101,ConfirmedRaw!BV:BV)</f>
        <v>0</v>
      </c>
      <c r="BT101">
        <f>SUMIF(ConfirmedRaw!$B:$B,$A101,ConfirmedRaw!BW:BW)</f>
        <v>0</v>
      </c>
    </row>
    <row r="102" spans="1:72" ht="15" thickBot="1" x14ac:dyDescent="0.35">
      <c r="A102" s="3" t="s">
        <v>129</v>
      </c>
      <c r="B102">
        <f>SUMIF(ConfirmedRaw!$B:$B,$A102,ConfirmedRaw!E:E)</f>
        <v>0</v>
      </c>
      <c r="C102">
        <f>SUMIF(ConfirmedRaw!$B:$B,$A102,ConfirmedRaw!F:F)</f>
        <v>0</v>
      </c>
      <c r="D102">
        <f>SUMIF(ConfirmedRaw!$B:$B,$A102,ConfirmedRaw!G:G)</f>
        <v>0</v>
      </c>
      <c r="E102">
        <f>SUMIF(ConfirmedRaw!$B:$B,$A102,ConfirmedRaw!H:H)</f>
        <v>0</v>
      </c>
      <c r="F102">
        <f>SUMIF(ConfirmedRaw!$B:$B,$A102,ConfirmedRaw!I:I)</f>
        <v>0</v>
      </c>
      <c r="G102">
        <f>SUMIF(ConfirmedRaw!$B:$B,$A102,ConfirmedRaw!J:J)</f>
        <v>0</v>
      </c>
      <c r="H102">
        <f>SUMIF(ConfirmedRaw!$B:$B,$A102,ConfirmedRaw!K:K)</f>
        <v>0</v>
      </c>
      <c r="I102">
        <f>SUMIF(ConfirmedRaw!$B:$B,$A102,ConfirmedRaw!L:L)</f>
        <v>0</v>
      </c>
      <c r="J102">
        <f>SUMIF(ConfirmedRaw!$B:$B,$A102,ConfirmedRaw!M:M)</f>
        <v>0</v>
      </c>
      <c r="K102">
        <f>SUMIF(ConfirmedRaw!$B:$B,$A102,ConfirmedRaw!N:N)</f>
        <v>0</v>
      </c>
      <c r="L102">
        <f>SUMIF(ConfirmedRaw!$B:$B,$A102,ConfirmedRaw!O:O)</f>
        <v>0</v>
      </c>
      <c r="M102">
        <f>SUMIF(ConfirmedRaw!$B:$B,$A102,ConfirmedRaw!P:P)</f>
        <v>0</v>
      </c>
      <c r="N102">
        <f>SUMIF(ConfirmedRaw!$B:$B,$A102,ConfirmedRaw!Q:Q)</f>
        <v>0</v>
      </c>
      <c r="O102">
        <f>SUMIF(ConfirmedRaw!$B:$B,$A102,ConfirmedRaw!R:R)</f>
        <v>0</v>
      </c>
      <c r="P102">
        <f>SUMIF(ConfirmedRaw!$B:$B,$A102,ConfirmedRaw!S:S)</f>
        <v>0</v>
      </c>
      <c r="Q102">
        <f>SUMIF(ConfirmedRaw!$B:$B,$A102,ConfirmedRaw!T:T)</f>
        <v>0</v>
      </c>
      <c r="R102">
        <f>SUMIF(ConfirmedRaw!$B:$B,$A102,ConfirmedRaw!U:U)</f>
        <v>0</v>
      </c>
      <c r="S102">
        <f>SUMIF(ConfirmedRaw!$B:$B,$A102,ConfirmedRaw!V:V)</f>
        <v>0</v>
      </c>
      <c r="T102">
        <f>SUMIF(ConfirmedRaw!$B:$B,$A102,ConfirmedRaw!W:W)</f>
        <v>0</v>
      </c>
      <c r="U102">
        <f>SUMIF(ConfirmedRaw!$B:$B,$A102,ConfirmedRaw!X:X)</f>
        <v>0</v>
      </c>
      <c r="V102">
        <f>SUMIF(ConfirmedRaw!$B:$B,$A102,ConfirmedRaw!Y:Y)</f>
        <v>0</v>
      </c>
      <c r="W102">
        <f>SUMIF(ConfirmedRaw!$B:$B,$A102,ConfirmedRaw!Z:Z)</f>
        <v>0</v>
      </c>
      <c r="X102">
        <f>SUMIF(ConfirmedRaw!$B:$B,$A102,ConfirmedRaw!AA:AA)</f>
        <v>0</v>
      </c>
      <c r="Y102">
        <f>SUMIF(ConfirmedRaw!$B:$B,$A102,ConfirmedRaw!AB:AB)</f>
        <v>0</v>
      </c>
      <c r="Z102">
        <f>SUMIF(ConfirmedRaw!$B:$B,$A102,ConfirmedRaw!AC:AC)</f>
        <v>0</v>
      </c>
      <c r="AA102">
        <f>SUMIF(ConfirmedRaw!$B:$B,$A102,ConfirmedRaw!AD:AD)</f>
        <v>0</v>
      </c>
      <c r="AB102">
        <f>SUMIF(ConfirmedRaw!$B:$B,$A102,ConfirmedRaw!AE:AE)</f>
        <v>0</v>
      </c>
      <c r="AC102">
        <f>SUMIF(ConfirmedRaw!$B:$B,$A102,ConfirmedRaw!AF:AF)</f>
        <v>0</v>
      </c>
      <c r="AD102">
        <f>SUMIF(ConfirmedRaw!$B:$B,$A102,ConfirmedRaw!AG:AG)</f>
        <v>0</v>
      </c>
      <c r="AE102">
        <f>SUMIF(ConfirmedRaw!$B:$B,$A102,ConfirmedRaw!AH:AH)</f>
        <v>0</v>
      </c>
      <c r="AF102">
        <f>SUMIF(ConfirmedRaw!$B:$B,$A102,ConfirmedRaw!AI:AI)</f>
        <v>0</v>
      </c>
      <c r="AG102">
        <f>SUMIF(ConfirmedRaw!$B:$B,$A102,ConfirmedRaw!AJ:AJ)</f>
        <v>0</v>
      </c>
      <c r="AH102">
        <f>SUMIF(ConfirmedRaw!$B:$B,$A102,ConfirmedRaw!AK:AK)</f>
        <v>0</v>
      </c>
      <c r="AI102">
        <f>SUMIF(ConfirmedRaw!$B:$B,$A102,ConfirmedRaw!AL:AL)</f>
        <v>0</v>
      </c>
      <c r="AJ102">
        <f>SUMIF(ConfirmedRaw!$B:$B,$A102,ConfirmedRaw!AM:AM)</f>
        <v>0</v>
      </c>
      <c r="AK102">
        <f>SUMIF(ConfirmedRaw!$B:$B,$A102,ConfirmedRaw!AN:AN)</f>
        <v>0</v>
      </c>
      <c r="AL102">
        <f>SUMIF(ConfirmedRaw!$B:$B,$A102,ConfirmedRaw!AO:AO)</f>
        <v>0</v>
      </c>
      <c r="AM102">
        <f>SUMIF(ConfirmedRaw!$B:$B,$A102,ConfirmedRaw!AP:AP)</f>
        <v>0</v>
      </c>
      <c r="AN102">
        <f>SUMIF(ConfirmedRaw!$B:$B,$A102,ConfirmedRaw!AQ:AQ)</f>
        <v>0</v>
      </c>
      <c r="AO102">
        <f>SUMIF(ConfirmedRaw!$B:$B,$A102,ConfirmedRaw!AR:AR)</f>
        <v>0</v>
      </c>
      <c r="AP102">
        <f>SUMIF(ConfirmedRaw!$B:$B,$A102,ConfirmedRaw!AS:AS)</f>
        <v>0</v>
      </c>
      <c r="AQ102">
        <f>SUMIF(ConfirmedRaw!$B:$B,$A102,ConfirmedRaw!AT:AT)</f>
        <v>1</v>
      </c>
      <c r="AR102">
        <f>SUMIF(ConfirmedRaw!$B:$B,$A102,ConfirmedRaw!AU:AU)</f>
        <v>1</v>
      </c>
      <c r="AS102">
        <f>SUMIF(ConfirmedRaw!$B:$B,$A102,ConfirmedRaw!AV:AV)</f>
        <v>1</v>
      </c>
      <c r="AT102">
        <f>SUMIF(ConfirmedRaw!$B:$B,$A102,ConfirmedRaw!AW:AW)</f>
        <v>1</v>
      </c>
      <c r="AU102">
        <f>SUMIF(ConfirmedRaw!$B:$B,$A102,ConfirmedRaw!AX:AX)</f>
        <v>1</v>
      </c>
      <c r="AV102">
        <f>SUMIF(ConfirmedRaw!$B:$B,$A102,ConfirmedRaw!AY:AY)</f>
        <v>1</v>
      </c>
      <c r="AW102">
        <f>SUMIF(ConfirmedRaw!$B:$B,$A102,ConfirmedRaw!AZ:AZ)</f>
        <v>1</v>
      </c>
      <c r="AX102">
        <f>SUMIF(ConfirmedRaw!$B:$B,$A102,ConfirmedRaw!BA:BA)</f>
        <v>1</v>
      </c>
      <c r="AY102">
        <f>SUMIF(ConfirmedRaw!$B:$B,$A102,ConfirmedRaw!BB:BB)</f>
        <v>1</v>
      </c>
      <c r="AZ102">
        <f>SUMIF(ConfirmedRaw!$B:$B,$A102,ConfirmedRaw!BC:BC)</f>
        <v>1</v>
      </c>
      <c r="BA102">
        <f>SUMIF(ConfirmedRaw!$B:$B,$A102,ConfirmedRaw!BD:BD)</f>
        <v>3</v>
      </c>
      <c r="BB102">
        <f>SUMIF(ConfirmedRaw!$B:$B,$A102,ConfirmedRaw!BE:BE)</f>
        <v>3</v>
      </c>
      <c r="BC102">
        <f>SUMIF(ConfirmedRaw!$B:$B,$A102,ConfirmedRaw!BF:BF)</f>
        <v>3</v>
      </c>
      <c r="BD102">
        <f>SUMIF(ConfirmedRaw!$B:$B,$A102,ConfirmedRaw!BG:BG)</f>
        <v>7</v>
      </c>
      <c r="BE102">
        <f>SUMIF(ConfirmedRaw!$B:$B,$A102,ConfirmedRaw!BH:BH)</f>
        <v>14</v>
      </c>
      <c r="BF102">
        <f>SUMIF(ConfirmedRaw!$B:$B,$A102,ConfirmedRaw!BI:BI)</f>
        <v>14</v>
      </c>
      <c r="BG102">
        <f>SUMIF(ConfirmedRaw!$B:$B,$A102,ConfirmedRaw!BJ:BJ)</f>
        <v>16</v>
      </c>
      <c r="BH102">
        <f>SUMIF(ConfirmedRaw!$B:$B,$A102,ConfirmedRaw!BK:BK)</f>
        <v>29</v>
      </c>
      <c r="BI102">
        <f>SUMIF(ConfirmedRaw!$B:$B,$A102,ConfirmedRaw!BL:BL)</f>
        <v>0</v>
      </c>
      <c r="BJ102">
        <f>SUMIF(ConfirmedRaw!$B:$B,$A102,ConfirmedRaw!BM:BM)</f>
        <v>0</v>
      </c>
      <c r="BK102">
        <f>SUMIF(ConfirmedRaw!$B:$B,$A102,ConfirmedRaw!BN:BN)</f>
        <v>0</v>
      </c>
      <c r="BL102">
        <f>SUMIF(ConfirmedRaw!$B:$B,$A102,ConfirmedRaw!BO:BO)</f>
        <v>0</v>
      </c>
      <c r="BM102">
        <f>SUMIF(ConfirmedRaw!$B:$B,$A102,ConfirmedRaw!BP:BP)</f>
        <v>0</v>
      </c>
      <c r="BN102">
        <f>SUMIF(ConfirmedRaw!$B:$B,$A102,ConfirmedRaw!BQ:BQ)</f>
        <v>0</v>
      </c>
      <c r="BO102">
        <f>SUMIF(ConfirmedRaw!$B:$B,$A102,ConfirmedRaw!BR:BR)</f>
        <v>0</v>
      </c>
      <c r="BP102">
        <f>SUMIF(ConfirmedRaw!$B:$B,$A102,ConfirmedRaw!BS:BS)</f>
        <v>0</v>
      </c>
      <c r="BQ102">
        <f>SUMIF(ConfirmedRaw!$B:$B,$A102,ConfirmedRaw!BT:BT)</f>
        <v>0</v>
      </c>
      <c r="BR102">
        <f>SUMIF(ConfirmedRaw!$B:$B,$A102,ConfirmedRaw!BU:BU)</f>
        <v>0</v>
      </c>
      <c r="BS102">
        <f>SUMIF(ConfirmedRaw!$B:$B,$A102,ConfirmedRaw!BV:BV)</f>
        <v>0</v>
      </c>
      <c r="BT102">
        <f>SUMIF(ConfirmedRaw!$B:$B,$A102,ConfirmedRaw!BW:BW)</f>
        <v>0</v>
      </c>
    </row>
    <row r="103" spans="1:72" ht="15" thickBot="1" x14ac:dyDescent="0.35">
      <c r="A103" s="3" t="s">
        <v>422</v>
      </c>
      <c r="B103">
        <f>SUMIF(ConfirmedRaw!$B:$B,$A103,ConfirmedRaw!E:E)</f>
        <v>0</v>
      </c>
      <c r="C103">
        <f>SUMIF(ConfirmedRaw!$B:$B,$A103,ConfirmedRaw!F:F)</f>
        <v>0</v>
      </c>
      <c r="D103">
        <f>SUMIF(ConfirmedRaw!$B:$B,$A103,ConfirmedRaw!G:G)</f>
        <v>0</v>
      </c>
      <c r="E103">
        <f>SUMIF(ConfirmedRaw!$B:$B,$A103,ConfirmedRaw!H:H)</f>
        <v>0</v>
      </c>
      <c r="F103">
        <f>SUMIF(ConfirmedRaw!$B:$B,$A103,ConfirmedRaw!I:I)</f>
        <v>0</v>
      </c>
      <c r="G103">
        <f>SUMIF(ConfirmedRaw!$B:$B,$A103,ConfirmedRaw!J:J)</f>
        <v>0</v>
      </c>
      <c r="H103">
        <f>SUMIF(ConfirmedRaw!$B:$B,$A103,ConfirmedRaw!K:K)</f>
        <v>0</v>
      </c>
      <c r="I103">
        <f>SUMIF(ConfirmedRaw!$B:$B,$A103,ConfirmedRaw!L:L)</f>
        <v>0</v>
      </c>
      <c r="J103">
        <f>SUMIF(ConfirmedRaw!$B:$B,$A103,ConfirmedRaw!M:M)</f>
        <v>0</v>
      </c>
      <c r="K103">
        <f>SUMIF(ConfirmedRaw!$B:$B,$A103,ConfirmedRaw!N:N)</f>
        <v>0</v>
      </c>
      <c r="L103">
        <f>SUMIF(ConfirmedRaw!$B:$B,$A103,ConfirmedRaw!O:O)</f>
        <v>0</v>
      </c>
      <c r="M103">
        <f>SUMIF(ConfirmedRaw!$B:$B,$A103,ConfirmedRaw!P:P)</f>
        <v>0</v>
      </c>
      <c r="N103">
        <f>SUMIF(ConfirmedRaw!$B:$B,$A103,ConfirmedRaw!Q:Q)</f>
        <v>0</v>
      </c>
      <c r="O103">
        <f>SUMIF(ConfirmedRaw!$B:$B,$A103,ConfirmedRaw!R:R)</f>
        <v>0</v>
      </c>
      <c r="P103">
        <f>SUMIF(ConfirmedRaw!$B:$B,$A103,ConfirmedRaw!S:S)</f>
        <v>0</v>
      </c>
      <c r="Q103">
        <f>SUMIF(ConfirmedRaw!$B:$B,$A103,ConfirmedRaw!T:T)</f>
        <v>0</v>
      </c>
      <c r="R103">
        <f>SUMIF(ConfirmedRaw!$B:$B,$A103,ConfirmedRaw!U:U)</f>
        <v>0</v>
      </c>
      <c r="S103">
        <f>SUMIF(ConfirmedRaw!$B:$B,$A103,ConfirmedRaw!V:V)</f>
        <v>0</v>
      </c>
      <c r="T103">
        <f>SUMIF(ConfirmedRaw!$B:$B,$A103,ConfirmedRaw!W:W)</f>
        <v>0</v>
      </c>
      <c r="U103">
        <f>SUMIF(ConfirmedRaw!$B:$B,$A103,ConfirmedRaw!X:X)</f>
        <v>0</v>
      </c>
      <c r="V103">
        <f>SUMIF(ConfirmedRaw!$B:$B,$A103,ConfirmedRaw!Y:Y)</f>
        <v>0</v>
      </c>
      <c r="W103">
        <f>SUMIF(ConfirmedRaw!$B:$B,$A103,ConfirmedRaw!Z:Z)</f>
        <v>0</v>
      </c>
      <c r="X103">
        <f>SUMIF(ConfirmedRaw!$B:$B,$A103,ConfirmedRaw!AA:AA)</f>
        <v>0</v>
      </c>
      <c r="Y103">
        <f>SUMIF(ConfirmedRaw!$B:$B,$A103,ConfirmedRaw!AB:AB)</f>
        <v>0</v>
      </c>
      <c r="Z103">
        <f>SUMIF(ConfirmedRaw!$B:$B,$A103,ConfirmedRaw!AC:AC)</f>
        <v>0</v>
      </c>
      <c r="AA103">
        <f>SUMIF(ConfirmedRaw!$B:$B,$A103,ConfirmedRaw!AD:AD)</f>
        <v>0</v>
      </c>
      <c r="AB103">
        <f>SUMIF(ConfirmedRaw!$B:$B,$A103,ConfirmedRaw!AE:AE)</f>
        <v>0</v>
      </c>
      <c r="AC103">
        <f>SUMIF(ConfirmedRaw!$B:$B,$A103,ConfirmedRaw!AF:AF)</f>
        <v>0</v>
      </c>
      <c r="AD103">
        <f>SUMIF(ConfirmedRaw!$B:$B,$A103,ConfirmedRaw!AG:AG)</f>
        <v>0</v>
      </c>
      <c r="AE103">
        <f>SUMIF(ConfirmedRaw!$B:$B,$A103,ConfirmedRaw!AH:AH)</f>
        <v>0</v>
      </c>
      <c r="AF103">
        <f>SUMIF(ConfirmedRaw!$B:$B,$A103,ConfirmedRaw!AI:AI)</f>
        <v>0</v>
      </c>
      <c r="AG103">
        <f>SUMIF(ConfirmedRaw!$B:$B,$A103,ConfirmedRaw!AJ:AJ)</f>
        <v>0</v>
      </c>
      <c r="AH103">
        <f>SUMIF(ConfirmedRaw!$B:$B,$A103,ConfirmedRaw!AK:AK)</f>
        <v>0</v>
      </c>
      <c r="AI103">
        <f>SUMIF(ConfirmedRaw!$B:$B,$A103,ConfirmedRaw!AL:AL)</f>
        <v>0</v>
      </c>
      <c r="AJ103">
        <f>SUMIF(ConfirmedRaw!$B:$B,$A103,ConfirmedRaw!AM:AM)</f>
        <v>0</v>
      </c>
      <c r="AK103">
        <f>SUMIF(ConfirmedRaw!$B:$B,$A103,ConfirmedRaw!AN:AN)</f>
        <v>0</v>
      </c>
      <c r="AL103">
        <f>SUMIF(ConfirmedRaw!$B:$B,$A103,ConfirmedRaw!AO:AO)</f>
        <v>0</v>
      </c>
      <c r="AM103">
        <f>SUMIF(ConfirmedRaw!$B:$B,$A103,ConfirmedRaw!AP:AP)</f>
        <v>0</v>
      </c>
      <c r="AN103">
        <f>SUMIF(ConfirmedRaw!$B:$B,$A103,ConfirmedRaw!AQ:AQ)</f>
        <v>0</v>
      </c>
      <c r="AO103">
        <f>SUMIF(ConfirmedRaw!$B:$B,$A103,ConfirmedRaw!AR:AR)</f>
        <v>0</v>
      </c>
      <c r="AP103">
        <f>SUMIF(ConfirmedRaw!$B:$B,$A103,ConfirmedRaw!AS:AS)</f>
        <v>0</v>
      </c>
      <c r="AQ103">
        <f>SUMIF(ConfirmedRaw!$B:$B,$A103,ConfirmedRaw!AT:AT)</f>
        <v>0</v>
      </c>
      <c r="AR103">
        <f>SUMIF(ConfirmedRaw!$B:$B,$A103,ConfirmedRaw!AU:AU)</f>
        <v>0</v>
      </c>
      <c r="AS103">
        <f>SUMIF(ConfirmedRaw!$B:$B,$A103,ConfirmedRaw!AV:AV)</f>
        <v>0</v>
      </c>
      <c r="AT103">
        <f>SUMIF(ConfirmedRaw!$B:$B,$A103,ConfirmedRaw!AW:AW)</f>
        <v>0</v>
      </c>
      <c r="AU103">
        <f>SUMIF(ConfirmedRaw!$B:$B,$A103,ConfirmedRaw!AX:AX)</f>
        <v>0</v>
      </c>
      <c r="AV103">
        <f>SUMIF(ConfirmedRaw!$B:$B,$A103,ConfirmedRaw!AY:AY)</f>
        <v>0</v>
      </c>
      <c r="AW103">
        <f>SUMIF(ConfirmedRaw!$B:$B,$A103,ConfirmedRaw!AZ:AZ)</f>
        <v>0</v>
      </c>
      <c r="AX103">
        <f>SUMIF(ConfirmedRaw!$B:$B,$A103,ConfirmedRaw!BA:BA)</f>
        <v>0</v>
      </c>
      <c r="AY103">
        <f>SUMIF(ConfirmedRaw!$B:$B,$A103,ConfirmedRaw!BB:BB)</f>
        <v>0</v>
      </c>
      <c r="AZ103">
        <f>SUMIF(ConfirmedRaw!$B:$B,$A103,ConfirmedRaw!BC:BC)</f>
        <v>0</v>
      </c>
      <c r="BA103">
        <f>SUMIF(ConfirmedRaw!$B:$B,$A103,ConfirmedRaw!BD:BD)</f>
        <v>0</v>
      </c>
      <c r="BB103">
        <f>SUMIF(ConfirmedRaw!$B:$B,$A103,ConfirmedRaw!BE:BE)</f>
        <v>0</v>
      </c>
      <c r="BC103">
        <f>SUMIF(ConfirmedRaw!$B:$B,$A103,ConfirmedRaw!BF:BF)</f>
        <v>0</v>
      </c>
      <c r="BD103">
        <f>SUMIF(ConfirmedRaw!$B:$B,$A103,ConfirmedRaw!BG:BG)</f>
        <v>0</v>
      </c>
      <c r="BE103">
        <f>SUMIF(ConfirmedRaw!$B:$B,$A103,ConfirmedRaw!BH:BH)</f>
        <v>0</v>
      </c>
      <c r="BF103">
        <f>SUMIF(ConfirmedRaw!$B:$B,$A103,ConfirmedRaw!BI:BI)</f>
        <v>0</v>
      </c>
      <c r="BG103">
        <f>SUMIF(ConfirmedRaw!$B:$B,$A103,ConfirmedRaw!BJ:BJ)</f>
        <v>0</v>
      </c>
      <c r="BH103">
        <f>SUMIF(ConfirmedRaw!$B:$B,$A103,ConfirmedRaw!BK:BK)</f>
        <v>0</v>
      </c>
      <c r="BI103">
        <f>SUMIF(ConfirmedRaw!$B:$B,$A103,ConfirmedRaw!BL:BL)</f>
        <v>0</v>
      </c>
      <c r="BJ103">
        <f>SUMIF(ConfirmedRaw!$B:$B,$A103,ConfirmedRaw!BM:BM)</f>
        <v>0</v>
      </c>
      <c r="BK103">
        <f>SUMIF(ConfirmedRaw!$B:$B,$A103,ConfirmedRaw!BN:BN)</f>
        <v>0</v>
      </c>
      <c r="BL103">
        <f>SUMIF(ConfirmedRaw!$B:$B,$A103,ConfirmedRaw!BO:BO)</f>
        <v>0</v>
      </c>
      <c r="BM103">
        <f>SUMIF(ConfirmedRaw!$B:$B,$A103,ConfirmedRaw!BP:BP)</f>
        <v>0</v>
      </c>
      <c r="BN103">
        <f>SUMIF(ConfirmedRaw!$B:$B,$A103,ConfirmedRaw!BQ:BQ)</f>
        <v>0</v>
      </c>
      <c r="BO103">
        <f>SUMIF(ConfirmedRaw!$B:$B,$A103,ConfirmedRaw!BR:BR)</f>
        <v>0</v>
      </c>
      <c r="BP103">
        <f>SUMIF(ConfirmedRaw!$B:$B,$A103,ConfirmedRaw!BS:BS)</f>
        <v>0</v>
      </c>
      <c r="BQ103">
        <f>SUMIF(ConfirmedRaw!$B:$B,$A103,ConfirmedRaw!BT:BT)</f>
        <v>0</v>
      </c>
      <c r="BR103">
        <f>SUMIF(ConfirmedRaw!$B:$B,$A103,ConfirmedRaw!BU:BU)</f>
        <v>0</v>
      </c>
      <c r="BS103">
        <f>SUMIF(ConfirmedRaw!$B:$B,$A103,ConfirmedRaw!BV:BV)</f>
        <v>0</v>
      </c>
      <c r="BT103">
        <f>SUMIF(ConfirmedRaw!$B:$B,$A103,ConfirmedRaw!BW:BW)</f>
        <v>0</v>
      </c>
    </row>
    <row r="104" spans="1:72" ht="15" thickBot="1" x14ac:dyDescent="0.35">
      <c r="A104" s="4" t="s">
        <v>279</v>
      </c>
      <c r="B104">
        <f>SUMIF(ConfirmedRaw!$B:$B,$A104,ConfirmedRaw!E:E)</f>
        <v>0</v>
      </c>
      <c r="C104">
        <f>SUMIF(ConfirmedRaw!$B:$B,$A104,ConfirmedRaw!F:F)</f>
        <v>0</v>
      </c>
      <c r="D104">
        <f>SUMIF(ConfirmedRaw!$B:$B,$A104,ConfirmedRaw!G:G)</f>
        <v>0</v>
      </c>
      <c r="E104">
        <f>SUMIF(ConfirmedRaw!$B:$B,$A104,ConfirmedRaw!H:H)</f>
        <v>0</v>
      </c>
      <c r="F104">
        <f>SUMIF(ConfirmedRaw!$B:$B,$A104,ConfirmedRaw!I:I)</f>
        <v>0</v>
      </c>
      <c r="G104">
        <f>SUMIF(ConfirmedRaw!$B:$B,$A104,ConfirmedRaw!J:J)</f>
        <v>0</v>
      </c>
      <c r="H104">
        <f>SUMIF(ConfirmedRaw!$B:$B,$A104,ConfirmedRaw!K:K)</f>
        <v>0</v>
      </c>
      <c r="I104">
        <f>SUMIF(ConfirmedRaw!$B:$B,$A104,ConfirmedRaw!L:L)</f>
        <v>0</v>
      </c>
      <c r="J104">
        <f>SUMIF(ConfirmedRaw!$B:$B,$A104,ConfirmedRaw!M:M)</f>
        <v>0</v>
      </c>
      <c r="K104">
        <f>SUMIF(ConfirmedRaw!$B:$B,$A104,ConfirmedRaw!N:N)</f>
        <v>0</v>
      </c>
      <c r="L104">
        <f>SUMIF(ConfirmedRaw!$B:$B,$A104,ConfirmedRaw!O:O)</f>
        <v>0</v>
      </c>
      <c r="M104">
        <f>SUMIF(ConfirmedRaw!$B:$B,$A104,ConfirmedRaw!P:P)</f>
        <v>0</v>
      </c>
      <c r="N104">
        <f>SUMIF(ConfirmedRaw!$B:$B,$A104,ConfirmedRaw!Q:Q)</f>
        <v>0</v>
      </c>
      <c r="O104">
        <f>SUMIF(ConfirmedRaw!$B:$B,$A104,ConfirmedRaw!R:R)</f>
        <v>0</v>
      </c>
      <c r="P104">
        <f>SUMIF(ConfirmedRaw!$B:$B,$A104,ConfirmedRaw!S:S)</f>
        <v>0</v>
      </c>
      <c r="Q104">
        <f>SUMIF(ConfirmedRaw!$B:$B,$A104,ConfirmedRaw!T:T)</f>
        <v>0</v>
      </c>
      <c r="R104">
        <f>SUMIF(ConfirmedRaw!$B:$B,$A104,ConfirmedRaw!U:U)</f>
        <v>0</v>
      </c>
      <c r="S104">
        <f>SUMIF(ConfirmedRaw!$B:$B,$A104,ConfirmedRaw!V:V)</f>
        <v>0</v>
      </c>
      <c r="T104">
        <f>SUMIF(ConfirmedRaw!$B:$B,$A104,ConfirmedRaw!W:W)</f>
        <v>0</v>
      </c>
      <c r="U104">
        <f>SUMIF(ConfirmedRaw!$B:$B,$A104,ConfirmedRaw!X:X)</f>
        <v>0</v>
      </c>
      <c r="V104">
        <f>SUMIF(ConfirmedRaw!$B:$B,$A104,ConfirmedRaw!Y:Y)</f>
        <v>0</v>
      </c>
      <c r="W104">
        <f>SUMIF(ConfirmedRaw!$B:$B,$A104,ConfirmedRaw!Z:Z)</f>
        <v>0</v>
      </c>
      <c r="X104">
        <f>SUMIF(ConfirmedRaw!$B:$B,$A104,ConfirmedRaw!AA:AA)</f>
        <v>0</v>
      </c>
      <c r="Y104">
        <f>SUMIF(ConfirmedRaw!$B:$B,$A104,ConfirmedRaw!AB:AB)</f>
        <v>0</v>
      </c>
      <c r="Z104">
        <f>SUMIF(ConfirmedRaw!$B:$B,$A104,ConfirmedRaw!AC:AC)</f>
        <v>0</v>
      </c>
      <c r="AA104">
        <f>SUMIF(ConfirmedRaw!$B:$B,$A104,ConfirmedRaw!AD:AD)</f>
        <v>0</v>
      </c>
      <c r="AB104">
        <f>SUMIF(ConfirmedRaw!$B:$B,$A104,ConfirmedRaw!AE:AE)</f>
        <v>0</v>
      </c>
      <c r="AC104">
        <f>SUMIF(ConfirmedRaw!$B:$B,$A104,ConfirmedRaw!AF:AF)</f>
        <v>0</v>
      </c>
      <c r="AD104">
        <f>SUMIF(ConfirmedRaw!$B:$B,$A104,ConfirmedRaw!AG:AG)</f>
        <v>0</v>
      </c>
      <c r="AE104">
        <f>SUMIF(ConfirmedRaw!$B:$B,$A104,ConfirmedRaw!AH:AH)</f>
        <v>0</v>
      </c>
      <c r="AF104">
        <f>SUMIF(ConfirmedRaw!$B:$B,$A104,ConfirmedRaw!AI:AI)</f>
        <v>0</v>
      </c>
      <c r="AG104">
        <f>SUMIF(ConfirmedRaw!$B:$B,$A104,ConfirmedRaw!AJ:AJ)</f>
        <v>0</v>
      </c>
      <c r="AH104">
        <f>SUMIF(ConfirmedRaw!$B:$B,$A104,ConfirmedRaw!AK:AK)</f>
        <v>0</v>
      </c>
      <c r="AI104">
        <f>SUMIF(ConfirmedRaw!$B:$B,$A104,ConfirmedRaw!AL:AL)</f>
        <v>0</v>
      </c>
      <c r="AJ104">
        <f>SUMIF(ConfirmedRaw!$B:$B,$A104,ConfirmedRaw!AM:AM)</f>
        <v>0</v>
      </c>
      <c r="AK104">
        <f>SUMIF(ConfirmedRaw!$B:$B,$A104,ConfirmedRaw!AN:AN)</f>
        <v>0</v>
      </c>
      <c r="AL104">
        <f>SUMIF(ConfirmedRaw!$B:$B,$A104,ConfirmedRaw!AO:AO)</f>
        <v>0</v>
      </c>
      <c r="AM104">
        <f>SUMIF(ConfirmedRaw!$B:$B,$A104,ConfirmedRaw!AP:AP)</f>
        <v>0</v>
      </c>
      <c r="AN104">
        <f>SUMIF(ConfirmedRaw!$B:$B,$A104,ConfirmedRaw!AQ:AQ)</f>
        <v>0</v>
      </c>
      <c r="AO104">
        <f>SUMIF(ConfirmedRaw!$B:$B,$A104,ConfirmedRaw!AR:AR)</f>
        <v>0</v>
      </c>
      <c r="AP104">
        <f>SUMIF(ConfirmedRaw!$B:$B,$A104,ConfirmedRaw!AS:AS)</f>
        <v>0</v>
      </c>
      <c r="AQ104">
        <f>SUMIF(ConfirmedRaw!$B:$B,$A104,ConfirmedRaw!AT:AT)</f>
        <v>0</v>
      </c>
      <c r="AR104">
        <f>SUMIF(ConfirmedRaw!$B:$B,$A104,ConfirmedRaw!AU:AU)</f>
        <v>0</v>
      </c>
      <c r="AS104">
        <f>SUMIF(ConfirmedRaw!$B:$B,$A104,ConfirmedRaw!AV:AV)</f>
        <v>0</v>
      </c>
      <c r="AT104">
        <f>SUMIF(ConfirmedRaw!$B:$B,$A104,ConfirmedRaw!AW:AW)</f>
        <v>0</v>
      </c>
      <c r="AU104">
        <f>SUMIF(ConfirmedRaw!$B:$B,$A104,ConfirmedRaw!AX:AX)</f>
        <v>0</v>
      </c>
      <c r="AV104">
        <f>SUMIF(ConfirmedRaw!$B:$B,$A104,ConfirmedRaw!AY:AY)</f>
        <v>0</v>
      </c>
      <c r="AW104">
        <f>SUMIF(ConfirmedRaw!$B:$B,$A104,ConfirmedRaw!AZ:AZ)</f>
        <v>0</v>
      </c>
      <c r="AX104">
        <f>SUMIF(ConfirmedRaw!$B:$B,$A104,ConfirmedRaw!BA:BA)</f>
        <v>1</v>
      </c>
      <c r="AY104">
        <f>SUMIF(ConfirmedRaw!$B:$B,$A104,ConfirmedRaw!BB:BB)</f>
        <v>2</v>
      </c>
      <c r="AZ104">
        <f>SUMIF(ConfirmedRaw!$B:$B,$A104,ConfirmedRaw!BC:BC)</f>
        <v>2</v>
      </c>
      <c r="BA104">
        <f>SUMIF(ConfirmedRaw!$B:$B,$A104,ConfirmedRaw!BD:BD)</f>
        <v>2</v>
      </c>
      <c r="BB104">
        <f>SUMIF(ConfirmedRaw!$B:$B,$A104,ConfirmedRaw!BE:BE)</f>
        <v>2</v>
      </c>
      <c r="BC104">
        <f>SUMIF(ConfirmedRaw!$B:$B,$A104,ConfirmedRaw!BF:BF)</f>
        <v>3</v>
      </c>
      <c r="BD104">
        <f>SUMIF(ConfirmedRaw!$B:$B,$A104,ConfirmedRaw!BG:BG)</f>
        <v>15</v>
      </c>
      <c r="BE104">
        <f>SUMIF(ConfirmedRaw!$B:$B,$A104,ConfirmedRaw!BH:BH)</f>
        <v>15</v>
      </c>
      <c r="BF104">
        <f>SUMIF(ConfirmedRaw!$B:$B,$A104,ConfirmedRaw!BI:BI)</f>
        <v>20</v>
      </c>
      <c r="BG104">
        <f>SUMIF(ConfirmedRaw!$B:$B,$A104,ConfirmedRaw!BJ:BJ)</f>
        <v>33</v>
      </c>
      <c r="BH104">
        <f>SUMIF(ConfirmedRaw!$B:$B,$A104,ConfirmedRaw!BK:BK)</f>
        <v>40</v>
      </c>
      <c r="BI104">
        <f>SUMIF(ConfirmedRaw!$B:$B,$A104,ConfirmedRaw!BL:BL)</f>
        <v>0</v>
      </c>
      <c r="BJ104">
        <f>SUMIF(ConfirmedRaw!$B:$B,$A104,ConfirmedRaw!BM:BM)</f>
        <v>0</v>
      </c>
      <c r="BK104">
        <f>SUMIF(ConfirmedRaw!$B:$B,$A104,ConfirmedRaw!BN:BN)</f>
        <v>0</v>
      </c>
      <c r="BL104">
        <f>SUMIF(ConfirmedRaw!$B:$B,$A104,ConfirmedRaw!BO:BO)</f>
        <v>0</v>
      </c>
      <c r="BM104">
        <f>SUMIF(ConfirmedRaw!$B:$B,$A104,ConfirmedRaw!BP:BP)</f>
        <v>0</v>
      </c>
      <c r="BN104">
        <f>SUMIF(ConfirmedRaw!$B:$B,$A104,ConfirmedRaw!BQ:BQ)</f>
        <v>0</v>
      </c>
      <c r="BO104">
        <f>SUMIF(ConfirmedRaw!$B:$B,$A104,ConfirmedRaw!BR:BR)</f>
        <v>0</v>
      </c>
      <c r="BP104">
        <f>SUMIF(ConfirmedRaw!$B:$B,$A104,ConfirmedRaw!BS:BS)</f>
        <v>0</v>
      </c>
      <c r="BQ104">
        <f>SUMIF(ConfirmedRaw!$B:$B,$A104,ConfirmedRaw!BT:BT)</f>
        <v>0</v>
      </c>
      <c r="BR104">
        <f>SUMIF(ConfirmedRaw!$B:$B,$A104,ConfirmedRaw!BU:BU)</f>
        <v>0</v>
      </c>
      <c r="BS104">
        <f>SUMIF(ConfirmedRaw!$B:$B,$A104,ConfirmedRaw!BV:BV)</f>
        <v>0</v>
      </c>
      <c r="BT104">
        <f>SUMIF(ConfirmedRaw!$B:$B,$A104,ConfirmedRaw!BW:BW)</f>
        <v>0</v>
      </c>
    </row>
    <row r="105" spans="1:72" ht="15" thickBot="1" x14ac:dyDescent="0.35">
      <c r="A105" s="3" t="s">
        <v>157</v>
      </c>
      <c r="B105">
        <f>SUMIF(ConfirmedRaw!$B:$B,$A105,ConfirmedRaw!E:E)</f>
        <v>0</v>
      </c>
      <c r="C105">
        <f>SUMIF(ConfirmedRaw!$B:$B,$A105,ConfirmedRaw!F:F)</f>
        <v>0</v>
      </c>
      <c r="D105">
        <f>SUMIF(ConfirmedRaw!$B:$B,$A105,ConfirmedRaw!G:G)</f>
        <v>0</v>
      </c>
      <c r="E105">
        <f>SUMIF(ConfirmedRaw!$B:$B,$A105,ConfirmedRaw!H:H)</f>
        <v>0</v>
      </c>
      <c r="F105">
        <f>SUMIF(ConfirmedRaw!$B:$B,$A105,ConfirmedRaw!I:I)</f>
        <v>0</v>
      </c>
      <c r="G105">
        <f>SUMIF(ConfirmedRaw!$B:$B,$A105,ConfirmedRaw!J:J)</f>
        <v>0</v>
      </c>
      <c r="H105">
        <f>SUMIF(ConfirmedRaw!$B:$B,$A105,ConfirmedRaw!K:K)</f>
        <v>0</v>
      </c>
      <c r="I105">
        <f>SUMIF(ConfirmedRaw!$B:$B,$A105,ConfirmedRaw!L:L)</f>
        <v>0</v>
      </c>
      <c r="J105">
        <f>SUMIF(ConfirmedRaw!$B:$B,$A105,ConfirmedRaw!M:M)</f>
        <v>0</v>
      </c>
      <c r="K105">
        <f>SUMIF(ConfirmedRaw!$B:$B,$A105,ConfirmedRaw!N:N)</f>
        <v>0</v>
      </c>
      <c r="L105">
        <f>SUMIF(ConfirmedRaw!$B:$B,$A105,ConfirmedRaw!O:O)</f>
        <v>0</v>
      </c>
      <c r="M105">
        <f>SUMIF(ConfirmedRaw!$B:$B,$A105,ConfirmedRaw!P:P)</f>
        <v>0</v>
      </c>
      <c r="N105">
        <f>SUMIF(ConfirmedRaw!$B:$B,$A105,ConfirmedRaw!Q:Q)</f>
        <v>0</v>
      </c>
      <c r="O105">
        <f>SUMIF(ConfirmedRaw!$B:$B,$A105,ConfirmedRaw!R:R)</f>
        <v>0</v>
      </c>
      <c r="P105">
        <f>SUMIF(ConfirmedRaw!$B:$B,$A105,ConfirmedRaw!S:S)</f>
        <v>0</v>
      </c>
      <c r="Q105">
        <f>SUMIF(ConfirmedRaw!$B:$B,$A105,ConfirmedRaw!T:T)</f>
        <v>0</v>
      </c>
      <c r="R105">
        <f>SUMIF(ConfirmedRaw!$B:$B,$A105,ConfirmedRaw!U:U)</f>
        <v>0</v>
      </c>
      <c r="S105">
        <f>SUMIF(ConfirmedRaw!$B:$B,$A105,ConfirmedRaw!V:V)</f>
        <v>0</v>
      </c>
      <c r="T105">
        <f>SUMIF(ConfirmedRaw!$B:$B,$A105,ConfirmedRaw!W:W)</f>
        <v>0</v>
      </c>
      <c r="U105">
        <f>SUMIF(ConfirmedRaw!$B:$B,$A105,ConfirmedRaw!X:X)</f>
        <v>0</v>
      </c>
      <c r="V105">
        <f>SUMIF(ConfirmedRaw!$B:$B,$A105,ConfirmedRaw!Y:Y)</f>
        <v>0</v>
      </c>
      <c r="W105">
        <f>SUMIF(ConfirmedRaw!$B:$B,$A105,ConfirmedRaw!Z:Z)</f>
        <v>0</v>
      </c>
      <c r="X105">
        <f>SUMIF(ConfirmedRaw!$B:$B,$A105,ConfirmedRaw!AA:AA)</f>
        <v>0</v>
      </c>
      <c r="Y105">
        <f>SUMIF(ConfirmedRaw!$B:$B,$A105,ConfirmedRaw!AB:AB)</f>
        <v>0</v>
      </c>
      <c r="Z105">
        <f>SUMIF(ConfirmedRaw!$B:$B,$A105,ConfirmedRaw!AC:AC)</f>
        <v>0</v>
      </c>
      <c r="AA105">
        <f>SUMIF(ConfirmedRaw!$B:$B,$A105,ConfirmedRaw!AD:AD)</f>
        <v>0</v>
      </c>
      <c r="AB105">
        <f>SUMIF(ConfirmedRaw!$B:$B,$A105,ConfirmedRaw!AE:AE)</f>
        <v>0</v>
      </c>
      <c r="AC105">
        <f>SUMIF(ConfirmedRaw!$B:$B,$A105,ConfirmedRaw!AF:AF)</f>
        <v>0</v>
      </c>
      <c r="AD105">
        <f>SUMIF(ConfirmedRaw!$B:$B,$A105,ConfirmedRaw!AG:AG)</f>
        <v>0</v>
      </c>
      <c r="AE105">
        <f>SUMIF(ConfirmedRaw!$B:$B,$A105,ConfirmedRaw!AH:AH)</f>
        <v>0</v>
      </c>
      <c r="AF105">
        <f>SUMIF(ConfirmedRaw!$B:$B,$A105,ConfirmedRaw!AI:AI)</f>
        <v>0</v>
      </c>
      <c r="AG105">
        <f>SUMIF(ConfirmedRaw!$B:$B,$A105,ConfirmedRaw!AJ:AJ)</f>
        <v>0</v>
      </c>
      <c r="AH105">
        <f>SUMIF(ConfirmedRaw!$B:$B,$A105,ConfirmedRaw!AK:AK)</f>
        <v>0</v>
      </c>
      <c r="AI105">
        <f>SUMIF(ConfirmedRaw!$B:$B,$A105,ConfirmedRaw!AL:AL)</f>
        <v>0</v>
      </c>
      <c r="AJ105">
        <f>SUMIF(ConfirmedRaw!$B:$B,$A105,ConfirmedRaw!AM:AM)</f>
        <v>0</v>
      </c>
      <c r="AK105">
        <f>SUMIF(ConfirmedRaw!$B:$B,$A105,ConfirmedRaw!AN:AN)</f>
        <v>0</v>
      </c>
      <c r="AL105">
        <f>SUMIF(ConfirmedRaw!$B:$B,$A105,ConfirmedRaw!AO:AO)</f>
        <v>0</v>
      </c>
      <c r="AM105">
        <f>SUMIF(ConfirmedRaw!$B:$B,$A105,ConfirmedRaw!AP:AP)</f>
        <v>0</v>
      </c>
      <c r="AN105">
        <f>SUMIF(ConfirmedRaw!$B:$B,$A105,ConfirmedRaw!AQ:AQ)</f>
        <v>0</v>
      </c>
      <c r="AO105">
        <f>SUMIF(ConfirmedRaw!$B:$B,$A105,ConfirmedRaw!AR:AR)</f>
        <v>0</v>
      </c>
      <c r="AP105">
        <f>SUMIF(ConfirmedRaw!$B:$B,$A105,ConfirmedRaw!AS:AS)</f>
        <v>0</v>
      </c>
      <c r="AQ105">
        <f>SUMIF(ConfirmedRaw!$B:$B,$A105,ConfirmedRaw!AT:AT)</f>
        <v>0</v>
      </c>
      <c r="AR105">
        <f>SUMIF(ConfirmedRaw!$B:$B,$A105,ConfirmedRaw!AU:AU)</f>
        <v>0</v>
      </c>
      <c r="AS105">
        <f>SUMIF(ConfirmedRaw!$B:$B,$A105,ConfirmedRaw!AV:AV)</f>
        <v>0</v>
      </c>
      <c r="AT105">
        <f>SUMIF(ConfirmedRaw!$B:$B,$A105,ConfirmedRaw!AW:AW)</f>
        <v>1</v>
      </c>
      <c r="AU105">
        <f>SUMIF(ConfirmedRaw!$B:$B,$A105,ConfirmedRaw!AX:AX)</f>
        <v>1</v>
      </c>
      <c r="AV105">
        <f>SUMIF(ConfirmedRaw!$B:$B,$A105,ConfirmedRaw!AY:AY)</f>
        <v>2</v>
      </c>
      <c r="AW105">
        <f>SUMIF(ConfirmedRaw!$B:$B,$A105,ConfirmedRaw!AZ:AZ)</f>
        <v>2</v>
      </c>
      <c r="AX105">
        <f>SUMIF(ConfirmedRaw!$B:$B,$A105,ConfirmedRaw!BA:BA)</f>
        <v>2</v>
      </c>
      <c r="AY105">
        <f>SUMIF(ConfirmedRaw!$B:$B,$A105,ConfirmedRaw!BB:BB)</f>
        <v>2</v>
      </c>
      <c r="AZ105">
        <f>SUMIF(ConfirmedRaw!$B:$B,$A105,ConfirmedRaw!BC:BC)</f>
        <v>2</v>
      </c>
      <c r="BA105">
        <f>SUMIF(ConfirmedRaw!$B:$B,$A105,ConfirmedRaw!BD:BD)</f>
        <v>2</v>
      </c>
      <c r="BB105">
        <f>SUMIF(ConfirmedRaw!$B:$B,$A105,ConfirmedRaw!BE:BE)</f>
        <v>2</v>
      </c>
      <c r="BC105">
        <f>SUMIF(ConfirmedRaw!$B:$B,$A105,ConfirmedRaw!BF:BF)</f>
        <v>2</v>
      </c>
      <c r="BD105">
        <f>SUMIF(ConfirmedRaw!$B:$B,$A105,ConfirmedRaw!BG:BG)</f>
        <v>4</v>
      </c>
      <c r="BE105">
        <f>SUMIF(ConfirmedRaw!$B:$B,$A105,ConfirmedRaw!BH:BH)</f>
        <v>10</v>
      </c>
      <c r="BF105">
        <f>SUMIF(ConfirmedRaw!$B:$B,$A105,ConfirmedRaw!BI:BI)</f>
        <v>10</v>
      </c>
      <c r="BG105">
        <f>SUMIF(ConfirmedRaw!$B:$B,$A105,ConfirmedRaw!BJ:BJ)</f>
        <v>13</v>
      </c>
      <c r="BH105">
        <f>SUMIF(ConfirmedRaw!$B:$B,$A105,ConfirmedRaw!BK:BK)</f>
        <v>20</v>
      </c>
      <c r="BI105">
        <f>SUMIF(ConfirmedRaw!$B:$B,$A105,ConfirmedRaw!BL:BL)</f>
        <v>0</v>
      </c>
      <c r="BJ105">
        <f>SUMIF(ConfirmedRaw!$B:$B,$A105,ConfirmedRaw!BM:BM)</f>
        <v>0</v>
      </c>
      <c r="BK105">
        <f>SUMIF(ConfirmedRaw!$B:$B,$A105,ConfirmedRaw!BN:BN)</f>
        <v>0</v>
      </c>
      <c r="BL105">
        <f>SUMIF(ConfirmedRaw!$B:$B,$A105,ConfirmedRaw!BO:BO)</f>
        <v>0</v>
      </c>
      <c r="BM105">
        <f>SUMIF(ConfirmedRaw!$B:$B,$A105,ConfirmedRaw!BP:BP)</f>
        <v>0</v>
      </c>
      <c r="BN105">
        <f>SUMIF(ConfirmedRaw!$B:$B,$A105,ConfirmedRaw!BQ:BQ)</f>
        <v>0</v>
      </c>
      <c r="BO105">
        <f>SUMIF(ConfirmedRaw!$B:$B,$A105,ConfirmedRaw!BR:BR)</f>
        <v>0</v>
      </c>
      <c r="BP105">
        <f>SUMIF(ConfirmedRaw!$B:$B,$A105,ConfirmedRaw!BS:BS)</f>
        <v>0</v>
      </c>
      <c r="BQ105">
        <f>SUMIF(ConfirmedRaw!$B:$B,$A105,ConfirmedRaw!BT:BT)</f>
        <v>0</v>
      </c>
      <c r="BR105">
        <f>SUMIF(ConfirmedRaw!$B:$B,$A105,ConfirmedRaw!BU:BU)</f>
        <v>0</v>
      </c>
      <c r="BS105">
        <f>SUMIF(ConfirmedRaw!$B:$B,$A105,ConfirmedRaw!BV:BV)</f>
        <v>0</v>
      </c>
      <c r="BT105">
        <f>SUMIF(ConfirmedRaw!$B:$B,$A105,ConfirmedRaw!BW:BW)</f>
        <v>0</v>
      </c>
    </row>
    <row r="106" spans="1:72" ht="15" thickBot="1" x14ac:dyDescent="0.35">
      <c r="A106" s="4" t="s">
        <v>351</v>
      </c>
      <c r="B106">
        <f>SUMIF(ConfirmedRaw!$B:$B,$A106,ConfirmedRaw!E:E)</f>
        <v>0</v>
      </c>
      <c r="C106">
        <f>SUMIF(ConfirmedRaw!$B:$B,$A106,ConfirmedRaw!F:F)</f>
        <v>0</v>
      </c>
      <c r="D106">
        <f>SUMIF(ConfirmedRaw!$B:$B,$A106,ConfirmedRaw!G:G)</f>
        <v>0</v>
      </c>
      <c r="E106">
        <f>SUMIF(ConfirmedRaw!$B:$B,$A106,ConfirmedRaw!H:H)</f>
        <v>0</v>
      </c>
      <c r="F106">
        <f>SUMIF(ConfirmedRaw!$B:$B,$A106,ConfirmedRaw!I:I)</f>
        <v>0</v>
      </c>
      <c r="G106">
        <f>SUMIF(ConfirmedRaw!$B:$B,$A106,ConfirmedRaw!J:J)</f>
        <v>0</v>
      </c>
      <c r="H106">
        <f>SUMIF(ConfirmedRaw!$B:$B,$A106,ConfirmedRaw!K:K)</f>
        <v>0</v>
      </c>
      <c r="I106">
        <f>SUMIF(ConfirmedRaw!$B:$B,$A106,ConfirmedRaw!L:L)</f>
        <v>0</v>
      </c>
      <c r="J106">
        <f>SUMIF(ConfirmedRaw!$B:$B,$A106,ConfirmedRaw!M:M)</f>
        <v>0</v>
      </c>
      <c r="K106">
        <f>SUMIF(ConfirmedRaw!$B:$B,$A106,ConfirmedRaw!N:N)</f>
        <v>0</v>
      </c>
      <c r="L106">
        <f>SUMIF(ConfirmedRaw!$B:$B,$A106,ConfirmedRaw!O:O)</f>
        <v>0</v>
      </c>
      <c r="M106">
        <f>SUMIF(ConfirmedRaw!$B:$B,$A106,ConfirmedRaw!P:P)</f>
        <v>0</v>
      </c>
      <c r="N106">
        <f>SUMIF(ConfirmedRaw!$B:$B,$A106,ConfirmedRaw!Q:Q)</f>
        <v>0</v>
      </c>
      <c r="O106">
        <f>SUMIF(ConfirmedRaw!$B:$B,$A106,ConfirmedRaw!R:R)</f>
        <v>0</v>
      </c>
      <c r="P106">
        <f>SUMIF(ConfirmedRaw!$B:$B,$A106,ConfirmedRaw!S:S)</f>
        <v>0</v>
      </c>
      <c r="Q106">
        <f>SUMIF(ConfirmedRaw!$B:$B,$A106,ConfirmedRaw!T:T)</f>
        <v>0</v>
      </c>
      <c r="R106">
        <f>SUMIF(ConfirmedRaw!$B:$B,$A106,ConfirmedRaw!U:U)</f>
        <v>0</v>
      </c>
      <c r="S106">
        <f>SUMIF(ConfirmedRaw!$B:$B,$A106,ConfirmedRaw!V:V)</f>
        <v>0</v>
      </c>
      <c r="T106">
        <f>SUMIF(ConfirmedRaw!$B:$B,$A106,ConfirmedRaw!W:W)</f>
        <v>0</v>
      </c>
      <c r="U106">
        <f>SUMIF(ConfirmedRaw!$B:$B,$A106,ConfirmedRaw!X:X)</f>
        <v>0</v>
      </c>
      <c r="V106">
        <f>SUMIF(ConfirmedRaw!$B:$B,$A106,ConfirmedRaw!Y:Y)</f>
        <v>0</v>
      </c>
      <c r="W106">
        <f>SUMIF(ConfirmedRaw!$B:$B,$A106,ConfirmedRaw!Z:Z)</f>
        <v>0</v>
      </c>
      <c r="X106">
        <f>SUMIF(ConfirmedRaw!$B:$B,$A106,ConfirmedRaw!AA:AA)</f>
        <v>0</v>
      </c>
      <c r="Y106">
        <f>SUMIF(ConfirmedRaw!$B:$B,$A106,ConfirmedRaw!AB:AB)</f>
        <v>0</v>
      </c>
      <c r="Z106">
        <f>SUMIF(ConfirmedRaw!$B:$B,$A106,ConfirmedRaw!AC:AC)</f>
        <v>0</v>
      </c>
      <c r="AA106">
        <f>SUMIF(ConfirmedRaw!$B:$B,$A106,ConfirmedRaw!AD:AD)</f>
        <v>0</v>
      </c>
      <c r="AB106">
        <f>SUMIF(ConfirmedRaw!$B:$B,$A106,ConfirmedRaw!AE:AE)</f>
        <v>0</v>
      </c>
      <c r="AC106">
        <f>SUMIF(ConfirmedRaw!$B:$B,$A106,ConfirmedRaw!AF:AF)</f>
        <v>0</v>
      </c>
      <c r="AD106">
        <f>SUMIF(ConfirmedRaw!$B:$B,$A106,ConfirmedRaw!AG:AG)</f>
        <v>0</v>
      </c>
      <c r="AE106">
        <f>SUMIF(ConfirmedRaw!$B:$B,$A106,ConfirmedRaw!AH:AH)</f>
        <v>0</v>
      </c>
      <c r="AF106">
        <f>SUMIF(ConfirmedRaw!$B:$B,$A106,ConfirmedRaw!AI:AI)</f>
        <v>0</v>
      </c>
      <c r="AG106">
        <f>SUMIF(ConfirmedRaw!$B:$B,$A106,ConfirmedRaw!AJ:AJ)</f>
        <v>0</v>
      </c>
      <c r="AH106">
        <f>SUMIF(ConfirmedRaw!$B:$B,$A106,ConfirmedRaw!AK:AK)</f>
        <v>0</v>
      </c>
      <c r="AI106">
        <f>SUMIF(ConfirmedRaw!$B:$B,$A106,ConfirmedRaw!AL:AL)</f>
        <v>0</v>
      </c>
      <c r="AJ106">
        <f>SUMIF(ConfirmedRaw!$B:$B,$A106,ConfirmedRaw!AM:AM)</f>
        <v>0</v>
      </c>
      <c r="AK106">
        <f>SUMIF(ConfirmedRaw!$B:$B,$A106,ConfirmedRaw!AN:AN)</f>
        <v>0</v>
      </c>
      <c r="AL106">
        <f>SUMIF(ConfirmedRaw!$B:$B,$A106,ConfirmedRaw!AO:AO)</f>
        <v>0</v>
      </c>
      <c r="AM106">
        <f>SUMIF(ConfirmedRaw!$B:$B,$A106,ConfirmedRaw!AP:AP)</f>
        <v>0</v>
      </c>
      <c r="AN106">
        <f>SUMIF(ConfirmedRaw!$B:$B,$A106,ConfirmedRaw!AQ:AQ)</f>
        <v>0</v>
      </c>
      <c r="AO106">
        <f>SUMIF(ConfirmedRaw!$B:$B,$A106,ConfirmedRaw!AR:AR)</f>
        <v>0</v>
      </c>
      <c r="AP106">
        <f>SUMIF(ConfirmedRaw!$B:$B,$A106,ConfirmedRaw!AS:AS)</f>
        <v>0</v>
      </c>
      <c r="AQ106">
        <f>SUMIF(ConfirmedRaw!$B:$B,$A106,ConfirmedRaw!AT:AT)</f>
        <v>0</v>
      </c>
      <c r="AR106">
        <f>SUMIF(ConfirmedRaw!$B:$B,$A106,ConfirmedRaw!AU:AU)</f>
        <v>0</v>
      </c>
      <c r="AS106">
        <f>SUMIF(ConfirmedRaw!$B:$B,$A106,ConfirmedRaw!AV:AV)</f>
        <v>0</v>
      </c>
      <c r="AT106">
        <f>SUMIF(ConfirmedRaw!$B:$B,$A106,ConfirmedRaw!AW:AW)</f>
        <v>0</v>
      </c>
      <c r="AU106">
        <f>SUMIF(ConfirmedRaw!$B:$B,$A106,ConfirmedRaw!AX:AX)</f>
        <v>0</v>
      </c>
      <c r="AV106">
        <f>SUMIF(ConfirmedRaw!$B:$B,$A106,ConfirmedRaw!AY:AY)</f>
        <v>0</v>
      </c>
      <c r="AW106">
        <f>SUMIF(ConfirmedRaw!$B:$B,$A106,ConfirmedRaw!AZ:AZ)</f>
        <v>0</v>
      </c>
      <c r="AX106">
        <f>SUMIF(ConfirmedRaw!$B:$B,$A106,ConfirmedRaw!BA:BA)</f>
        <v>0</v>
      </c>
      <c r="AY106">
        <f>SUMIF(ConfirmedRaw!$B:$B,$A106,ConfirmedRaw!BB:BB)</f>
        <v>1</v>
      </c>
      <c r="AZ106">
        <f>SUMIF(ConfirmedRaw!$B:$B,$A106,ConfirmedRaw!BC:BC)</f>
        <v>1</v>
      </c>
      <c r="BA106">
        <f>SUMIF(ConfirmedRaw!$B:$B,$A106,ConfirmedRaw!BD:BD)</f>
        <v>2</v>
      </c>
      <c r="BB106">
        <f>SUMIF(ConfirmedRaw!$B:$B,$A106,ConfirmedRaw!BE:BE)</f>
        <v>2</v>
      </c>
      <c r="BC106">
        <f>SUMIF(ConfirmedRaw!$B:$B,$A106,ConfirmedRaw!BF:BF)</f>
        <v>2</v>
      </c>
      <c r="BD106">
        <f>SUMIF(ConfirmedRaw!$B:$B,$A106,ConfirmedRaw!BG:BG)</f>
        <v>2</v>
      </c>
      <c r="BE106">
        <f>SUMIF(ConfirmedRaw!$B:$B,$A106,ConfirmedRaw!BH:BH)</f>
        <v>3</v>
      </c>
      <c r="BF106">
        <f>SUMIF(ConfirmedRaw!$B:$B,$A106,ConfirmedRaw!BI:BI)</f>
        <v>4</v>
      </c>
      <c r="BG106">
        <f>SUMIF(ConfirmedRaw!$B:$B,$A106,ConfirmedRaw!BJ:BJ)</f>
        <v>14</v>
      </c>
      <c r="BH106">
        <f>SUMIF(ConfirmedRaw!$B:$B,$A106,ConfirmedRaw!BK:BK)</f>
        <v>18</v>
      </c>
      <c r="BI106">
        <f>SUMIF(ConfirmedRaw!$B:$B,$A106,ConfirmedRaw!BL:BL)</f>
        <v>0</v>
      </c>
      <c r="BJ106">
        <f>SUMIF(ConfirmedRaw!$B:$B,$A106,ConfirmedRaw!BM:BM)</f>
        <v>0</v>
      </c>
      <c r="BK106">
        <f>SUMIF(ConfirmedRaw!$B:$B,$A106,ConfirmedRaw!BN:BN)</f>
        <v>0</v>
      </c>
      <c r="BL106">
        <f>SUMIF(ConfirmedRaw!$B:$B,$A106,ConfirmedRaw!BO:BO)</f>
        <v>0</v>
      </c>
      <c r="BM106">
        <f>SUMIF(ConfirmedRaw!$B:$B,$A106,ConfirmedRaw!BP:BP)</f>
        <v>0</v>
      </c>
      <c r="BN106">
        <f>SUMIF(ConfirmedRaw!$B:$B,$A106,ConfirmedRaw!BQ:BQ)</f>
        <v>0</v>
      </c>
      <c r="BO106">
        <f>SUMIF(ConfirmedRaw!$B:$B,$A106,ConfirmedRaw!BR:BR)</f>
        <v>0</v>
      </c>
      <c r="BP106">
        <f>SUMIF(ConfirmedRaw!$B:$B,$A106,ConfirmedRaw!BS:BS)</f>
        <v>0</v>
      </c>
      <c r="BQ106">
        <f>SUMIF(ConfirmedRaw!$B:$B,$A106,ConfirmedRaw!BT:BT)</f>
        <v>0</v>
      </c>
      <c r="BR106">
        <f>SUMIF(ConfirmedRaw!$B:$B,$A106,ConfirmedRaw!BU:BU)</f>
        <v>0</v>
      </c>
      <c r="BS106">
        <f>SUMIF(ConfirmedRaw!$B:$B,$A106,ConfirmedRaw!BV:BV)</f>
        <v>0</v>
      </c>
      <c r="BT106">
        <f>SUMIF(ConfirmedRaw!$B:$B,$A106,ConfirmedRaw!BW:BW)</f>
        <v>0</v>
      </c>
    </row>
    <row r="107" spans="1:72" ht="15" thickBot="1" x14ac:dyDescent="0.35">
      <c r="A107" s="4" t="s">
        <v>348</v>
      </c>
      <c r="B107">
        <f>SUMIF(ConfirmedRaw!$B:$B,$A107,ConfirmedRaw!E:E)</f>
        <v>0</v>
      </c>
      <c r="C107">
        <f>SUMIF(ConfirmedRaw!$B:$B,$A107,ConfirmedRaw!F:F)</f>
        <v>0</v>
      </c>
      <c r="D107">
        <f>SUMIF(ConfirmedRaw!$B:$B,$A107,ConfirmedRaw!G:G)</f>
        <v>0</v>
      </c>
      <c r="E107">
        <f>SUMIF(ConfirmedRaw!$B:$B,$A107,ConfirmedRaw!H:H)</f>
        <v>0</v>
      </c>
      <c r="F107">
        <f>SUMIF(ConfirmedRaw!$B:$B,$A107,ConfirmedRaw!I:I)</f>
        <v>0</v>
      </c>
      <c r="G107">
        <f>SUMIF(ConfirmedRaw!$B:$B,$A107,ConfirmedRaw!J:J)</f>
        <v>0</v>
      </c>
      <c r="H107">
        <f>SUMIF(ConfirmedRaw!$B:$B,$A107,ConfirmedRaw!K:K)</f>
        <v>0</v>
      </c>
      <c r="I107">
        <f>SUMIF(ConfirmedRaw!$B:$B,$A107,ConfirmedRaw!L:L)</f>
        <v>0</v>
      </c>
      <c r="J107">
        <f>SUMIF(ConfirmedRaw!$B:$B,$A107,ConfirmedRaw!M:M)</f>
        <v>0</v>
      </c>
      <c r="K107">
        <f>SUMIF(ConfirmedRaw!$B:$B,$A107,ConfirmedRaw!N:N)</f>
        <v>0</v>
      </c>
      <c r="L107">
        <f>SUMIF(ConfirmedRaw!$B:$B,$A107,ConfirmedRaw!O:O)</f>
        <v>0</v>
      </c>
      <c r="M107">
        <f>SUMIF(ConfirmedRaw!$B:$B,$A107,ConfirmedRaw!P:P)</f>
        <v>0</v>
      </c>
      <c r="N107">
        <f>SUMIF(ConfirmedRaw!$B:$B,$A107,ConfirmedRaw!Q:Q)</f>
        <v>0</v>
      </c>
      <c r="O107">
        <f>SUMIF(ConfirmedRaw!$B:$B,$A107,ConfirmedRaw!R:R)</f>
        <v>0</v>
      </c>
      <c r="P107">
        <f>SUMIF(ConfirmedRaw!$B:$B,$A107,ConfirmedRaw!S:S)</f>
        <v>0</v>
      </c>
      <c r="Q107">
        <f>SUMIF(ConfirmedRaw!$B:$B,$A107,ConfirmedRaw!T:T)</f>
        <v>0</v>
      </c>
      <c r="R107">
        <f>SUMIF(ConfirmedRaw!$B:$B,$A107,ConfirmedRaw!U:U)</f>
        <v>0</v>
      </c>
      <c r="S107">
        <f>SUMIF(ConfirmedRaw!$B:$B,$A107,ConfirmedRaw!V:V)</f>
        <v>0</v>
      </c>
      <c r="T107">
        <f>SUMIF(ConfirmedRaw!$B:$B,$A107,ConfirmedRaw!W:W)</f>
        <v>0</v>
      </c>
      <c r="U107">
        <f>SUMIF(ConfirmedRaw!$B:$B,$A107,ConfirmedRaw!X:X)</f>
        <v>0</v>
      </c>
      <c r="V107">
        <f>SUMIF(ConfirmedRaw!$B:$B,$A107,ConfirmedRaw!Y:Y)</f>
        <v>0</v>
      </c>
      <c r="W107">
        <f>SUMIF(ConfirmedRaw!$B:$B,$A107,ConfirmedRaw!Z:Z)</f>
        <v>0</v>
      </c>
      <c r="X107">
        <f>SUMIF(ConfirmedRaw!$B:$B,$A107,ConfirmedRaw!AA:AA)</f>
        <v>0</v>
      </c>
      <c r="Y107">
        <f>SUMIF(ConfirmedRaw!$B:$B,$A107,ConfirmedRaw!AB:AB)</f>
        <v>0</v>
      </c>
      <c r="Z107">
        <f>SUMIF(ConfirmedRaw!$B:$B,$A107,ConfirmedRaw!AC:AC)</f>
        <v>0</v>
      </c>
      <c r="AA107">
        <f>SUMIF(ConfirmedRaw!$B:$B,$A107,ConfirmedRaw!AD:AD)</f>
        <v>0</v>
      </c>
      <c r="AB107">
        <f>SUMIF(ConfirmedRaw!$B:$B,$A107,ConfirmedRaw!AE:AE)</f>
        <v>0</v>
      </c>
      <c r="AC107">
        <f>SUMIF(ConfirmedRaw!$B:$B,$A107,ConfirmedRaw!AF:AF)</f>
        <v>0</v>
      </c>
      <c r="AD107">
        <f>SUMIF(ConfirmedRaw!$B:$B,$A107,ConfirmedRaw!AG:AG)</f>
        <v>0</v>
      </c>
      <c r="AE107">
        <f>SUMIF(ConfirmedRaw!$B:$B,$A107,ConfirmedRaw!AH:AH)</f>
        <v>0</v>
      </c>
      <c r="AF107">
        <f>SUMIF(ConfirmedRaw!$B:$B,$A107,ConfirmedRaw!AI:AI)</f>
        <v>0</v>
      </c>
      <c r="AG107">
        <f>SUMIF(ConfirmedRaw!$B:$B,$A107,ConfirmedRaw!AJ:AJ)</f>
        <v>0</v>
      </c>
      <c r="AH107">
        <f>SUMIF(ConfirmedRaw!$B:$B,$A107,ConfirmedRaw!AK:AK)</f>
        <v>0</v>
      </c>
      <c r="AI107">
        <f>SUMIF(ConfirmedRaw!$B:$B,$A107,ConfirmedRaw!AL:AL)</f>
        <v>0</v>
      </c>
      <c r="AJ107">
        <f>SUMIF(ConfirmedRaw!$B:$B,$A107,ConfirmedRaw!AM:AM)</f>
        <v>0</v>
      </c>
      <c r="AK107">
        <f>SUMIF(ConfirmedRaw!$B:$B,$A107,ConfirmedRaw!AN:AN)</f>
        <v>0</v>
      </c>
      <c r="AL107">
        <f>SUMIF(ConfirmedRaw!$B:$B,$A107,ConfirmedRaw!AO:AO)</f>
        <v>0</v>
      </c>
      <c r="AM107">
        <f>SUMIF(ConfirmedRaw!$B:$B,$A107,ConfirmedRaw!AP:AP)</f>
        <v>0</v>
      </c>
      <c r="AN107">
        <f>SUMIF(ConfirmedRaw!$B:$B,$A107,ConfirmedRaw!AQ:AQ)</f>
        <v>0</v>
      </c>
      <c r="AO107">
        <f>SUMIF(ConfirmedRaw!$B:$B,$A107,ConfirmedRaw!AR:AR)</f>
        <v>0</v>
      </c>
      <c r="AP107">
        <f>SUMIF(ConfirmedRaw!$B:$B,$A107,ConfirmedRaw!AS:AS)</f>
        <v>0</v>
      </c>
      <c r="AQ107">
        <f>SUMIF(ConfirmedRaw!$B:$B,$A107,ConfirmedRaw!AT:AT)</f>
        <v>0</v>
      </c>
      <c r="AR107">
        <f>SUMIF(ConfirmedRaw!$B:$B,$A107,ConfirmedRaw!AU:AU)</f>
        <v>0</v>
      </c>
      <c r="AS107">
        <f>SUMIF(ConfirmedRaw!$B:$B,$A107,ConfirmedRaw!AV:AV)</f>
        <v>0</v>
      </c>
      <c r="AT107">
        <f>SUMIF(ConfirmedRaw!$B:$B,$A107,ConfirmedRaw!AW:AW)</f>
        <v>0</v>
      </c>
      <c r="AU107">
        <f>SUMIF(ConfirmedRaw!$B:$B,$A107,ConfirmedRaw!AX:AX)</f>
        <v>0</v>
      </c>
      <c r="AV107">
        <f>SUMIF(ConfirmedRaw!$B:$B,$A107,ConfirmedRaw!AY:AY)</f>
        <v>0</v>
      </c>
      <c r="AW107">
        <f>SUMIF(ConfirmedRaw!$B:$B,$A107,ConfirmedRaw!AZ:AZ)</f>
        <v>0</v>
      </c>
      <c r="AX107">
        <f>SUMIF(ConfirmedRaw!$B:$B,$A107,ConfirmedRaw!BA:BA)</f>
        <v>0</v>
      </c>
      <c r="AY107">
        <f>SUMIF(ConfirmedRaw!$B:$B,$A107,ConfirmedRaw!BB:BB)</f>
        <v>2</v>
      </c>
      <c r="AZ107">
        <f>SUMIF(ConfirmedRaw!$B:$B,$A107,ConfirmedRaw!BC:BC)</f>
        <v>2</v>
      </c>
      <c r="BA107">
        <f>SUMIF(ConfirmedRaw!$B:$B,$A107,ConfirmedRaw!BD:BD)</f>
        <v>2</v>
      </c>
      <c r="BB107">
        <f>SUMIF(ConfirmedRaw!$B:$B,$A107,ConfirmedRaw!BE:BE)</f>
        <v>2</v>
      </c>
      <c r="BC107">
        <f>SUMIF(ConfirmedRaw!$B:$B,$A107,ConfirmedRaw!BF:BF)</f>
        <v>3</v>
      </c>
      <c r="BD107">
        <f>SUMIF(ConfirmedRaw!$B:$B,$A107,ConfirmedRaw!BG:BG)</f>
        <v>6</v>
      </c>
      <c r="BE107">
        <f>SUMIF(ConfirmedRaw!$B:$B,$A107,ConfirmedRaw!BH:BH)</f>
        <v>8</v>
      </c>
      <c r="BF107">
        <f>SUMIF(ConfirmedRaw!$B:$B,$A107,ConfirmedRaw!BI:BI)</f>
        <v>9</v>
      </c>
      <c r="BG107">
        <f>SUMIF(ConfirmedRaw!$B:$B,$A107,ConfirmedRaw!BJ:BJ)</f>
        <v>12</v>
      </c>
      <c r="BH107">
        <f>SUMIF(ConfirmedRaw!$B:$B,$A107,ConfirmedRaw!BK:BK)</f>
        <v>24</v>
      </c>
      <c r="BI107">
        <f>SUMIF(ConfirmedRaw!$B:$B,$A107,ConfirmedRaw!BL:BL)</f>
        <v>0</v>
      </c>
      <c r="BJ107">
        <f>SUMIF(ConfirmedRaw!$B:$B,$A107,ConfirmedRaw!BM:BM)</f>
        <v>0</v>
      </c>
      <c r="BK107">
        <f>SUMIF(ConfirmedRaw!$B:$B,$A107,ConfirmedRaw!BN:BN)</f>
        <v>0</v>
      </c>
      <c r="BL107">
        <f>SUMIF(ConfirmedRaw!$B:$B,$A107,ConfirmedRaw!BO:BO)</f>
        <v>0</v>
      </c>
      <c r="BM107">
        <f>SUMIF(ConfirmedRaw!$B:$B,$A107,ConfirmedRaw!BP:BP)</f>
        <v>0</v>
      </c>
      <c r="BN107">
        <f>SUMIF(ConfirmedRaw!$B:$B,$A107,ConfirmedRaw!BQ:BQ)</f>
        <v>0</v>
      </c>
      <c r="BO107">
        <f>SUMIF(ConfirmedRaw!$B:$B,$A107,ConfirmedRaw!BR:BR)</f>
        <v>0</v>
      </c>
      <c r="BP107">
        <f>SUMIF(ConfirmedRaw!$B:$B,$A107,ConfirmedRaw!BS:BS)</f>
        <v>0</v>
      </c>
      <c r="BQ107">
        <f>SUMIF(ConfirmedRaw!$B:$B,$A107,ConfirmedRaw!BT:BT)</f>
        <v>0</v>
      </c>
      <c r="BR107">
        <f>SUMIF(ConfirmedRaw!$B:$B,$A107,ConfirmedRaw!BU:BU)</f>
        <v>0</v>
      </c>
      <c r="BS107">
        <f>SUMIF(ConfirmedRaw!$B:$B,$A107,ConfirmedRaw!BV:BV)</f>
        <v>0</v>
      </c>
      <c r="BT107">
        <f>SUMIF(ConfirmedRaw!$B:$B,$A107,ConfirmedRaw!BW:BW)</f>
        <v>0</v>
      </c>
    </row>
    <row r="108" spans="1:72" ht="15" thickBot="1" x14ac:dyDescent="0.35">
      <c r="A108" s="4" t="s">
        <v>100</v>
      </c>
      <c r="B108">
        <f>SUMIF(ConfirmedRaw!$B:$B,$A108,ConfirmedRaw!E:E)</f>
        <v>0</v>
      </c>
      <c r="C108">
        <f>SUMIF(ConfirmedRaw!$B:$B,$A108,ConfirmedRaw!F:F)</f>
        <v>0</v>
      </c>
      <c r="D108">
        <f>SUMIF(ConfirmedRaw!$B:$B,$A108,ConfirmedRaw!G:G)</f>
        <v>0</v>
      </c>
      <c r="E108">
        <f>SUMIF(ConfirmedRaw!$B:$B,$A108,ConfirmedRaw!H:H)</f>
        <v>0</v>
      </c>
      <c r="F108">
        <f>SUMIF(ConfirmedRaw!$B:$B,$A108,ConfirmedRaw!I:I)</f>
        <v>0</v>
      </c>
      <c r="G108">
        <f>SUMIF(ConfirmedRaw!$B:$B,$A108,ConfirmedRaw!J:J)</f>
        <v>0</v>
      </c>
      <c r="H108">
        <f>SUMIF(ConfirmedRaw!$B:$B,$A108,ConfirmedRaw!K:K)</f>
        <v>0</v>
      </c>
      <c r="I108">
        <f>SUMIF(ConfirmedRaw!$B:$B,$A108,ConfirmedRaw!L:L)</f>
        <v>0</v>
      </c>
      <c r="J108">
        <f>SUMIF(ConfirmedRaw!$B:$B,$A108,ConfirmedRaw!M:M)</f>
        <v>0</v>
      </c>
      <c r="K108">
        <f>SUMIF(ConfirmedRaw!$B:$B,$A108,ConfirmedRaw!N:N)</f>
        <v>0</v>
      </c>
      <c r="L108">
        <f>SUMIF(ConfirmedRaw!$B:$B,$A108,ConfirmedRaw!O:O)</f>
        <v>0</v>
      </c>
      <c r="M108">
        <f>SUMIF(ConfirmedRaw!$B:$B,$A108,ConfirmedRaw!P:P)</f>
        <v>0</v>
      </c>
      <c r="N108">
        <f>SUMIF(ConfirmedRaw!$B:$B,$A108,ConfirmedRaw!Q:Q)</f>
        <v>0</v>
      </c>
      <c r="O108">
        <f>SUMIF(ConfirmedRaw!$B:$B,$A108,ConfirmedRaw!R:R)</f>
        <v>0</v>
      </c>
      <c r="P108">
        <f>SUMIF(ConfirmedRaw!$B:$B,$A108,ConfirmedRaw!S:S)</f>
        <v>0</v>
      </c>
      <c r="Q108">
        <f>SUMIF(ConfirmedRaw!$B:$B,$A108,ConfirmedRaw!T:T)</f>
        <v>0</v>
      </c>
      <c r="R108">
        <f>SUMIF(ConfirmedRaw!$B:$B,$A108,ConfirmedRaw!U:U)</f>
        <v>0</v>
      </c>
      <c r="S108">
        <f>SUMIF(ConfirmedRaw!$B:$B,$A108,ConfirmedRaw!V:V)</f>
        <v>0</v>
      </c>
      <c r="T108">
        <f>SUMIF(ConfirmedRaw!$B:$B,$A108,ConfirmedRaw!W:W)</f>
        <v>0</v>
      </c>
      <c r="U108">
        <f>SUMIF(ConfirmedRaw!$B:$B,$A108,ConfirmedRaw!X:X)</f>
        <v>0</v>
      </c>
      <c r="V108">
        <f>SUMIF(ConfirmedRaw!$B:$B,$A108,ConfirmedRaw!Y:Y)</f>
        <v>0</v>
      </c>
      <c r="W108">
        <f>SUMIF(ConfirmedRaw!$B:$B,$A108,ConfirmedRaw!Z:Z)</f>
        <v>0</v>
      </c>
      <c r="X108">
        <f>SUMIF(ConfirmedRaw!$B:$B,$A108,ConfirmedRaw!AA:AA)</f>
        <v>0</v>
      </c>
      <c r="Y108">
        <f>SUMIF(ConfirmedRaw!$B:$B,$A108,ConfirmedRaw!AB:AB)</f>
        <v>0</v>
      </c>
      <c r="Z108">
        <f>SUMIF(ConfirmedRaw!$B:$B,$A108,ConfirmedRaw!AC:AC)</f>
        <v>0</v>
      </c>
      <c r="AA108">
        <f>SUMIF(ConfirmedRaw!$B:$B,$A108,ConfirmedRaw!AD:AD)</f>
        <v>0</v>
      </c>
      <c r="AB108">
        <f>SUMIF(ConfirmedRaw!$B:$B,$A108,ConfirmedRaw!AE:AE)</f>
        <v>0</v>
      </c>
      <c r="AC108">
        <f>SUMIF(ConfirmedRaw!$B:$B,$A108,ConfirmedRaw!AF:AF)</f>
        <v>0</v>
      </c>
      <c r="AD108">
        <f>SUMIF(ConfirmedRaw!$B:$B,$A108,ConfirmedRaw!AG:AG)</f>
        <v>0</v>
      </c>
      <c r="AE108">
        <f>SUMIF(ConfirmedRaw!$B:$B,$A108,ConfirmedRaw!AH:AH)</f>
        <v>0</v>
      </c>
      <c r="AF108">
        <f>SUMIF(ConfirmedRaw!$B:$B,$A108,ConfirmedRaw!AI:AI)</f>
        <v>0</v>
      </c>
      <c r="AG108">
        <f>SUMIF(ConfirmedRaw!$B:$B,$A108,ConfirmedRaw!AJ:AJ)</f>
        <v>0</v>
      </c>
      <c r="AH108">
        <f>SUMIF(ConfirmedRaw!$B:$B,$A108,ConfirmedRaw!AK:AK)</f>
        <v>0</v>
      </c>
      <c r="AI108">
        <f>SUMIF(ConfirmedRaw!$B:$B,$A108,ConfirmedRaw!AL:AL)</f>
        <v>0</v>
      </c>
      <c r="AJ108">
        <f>SUMIF(ConfirmedRaw!$B:$B,$A108,ConfirmedRaw!AM:AM)</f>
        <v>0</v>
      </c>
      <c r="AK108">
        <f>SUMIF(ConfirmedRaw!$B:$B,$A108,ConfirmedRaw!AN:AN)</f>
        <v>0</v>
      </c>
      <c r="AL108">
        <f>SUMIF(ConfirmedRaw!$B:$B,$A108,ConfirmedRaw!AO:AO)</f>
        <v>0</v>
      </c>
      <c r="AM108">
        <f>SUMIF(ConfirmedRaw!$B:$B,$A108,ConfirmedRaw!AP:AP)</f>
        <v>0</v>
      </c>
      <c r="AN108">
        <f>SUMIF(ConfirmedRaw!$B:$B,$A108,ConfirmedRaw!AQ:AQ)</f>
        <v>1</v>
      </c>
      <c r="AO108">
        <f>SUMIF(ConfirmedRaw!$B:$B,$A108,ConfirmedRaw!AR:AR)</f>
        <v>1</v>
      </c>
      <c r="AP108">
        <f>SUMIF(ConfirmedRaw!$B:$B,$A108,ConfirmedRaw!AS:AS)</f>
        <v>1</v>
      </c>
      <c r="AQ108">
        <f>SUMIF(ConfirmedRaw!$B:$B,$A108,ConfirmedRaw!AT:AT)</f>
        <v>1</v>
      </c>
      <c r="AR108">
        <f>SUMIF(ConfirmedRaw!$B:$B,$A108,ConfirmedRaw!AU:AU)</f>
        <v>1</v>
      </c>
      <c r="AS108">
        <f>SUMIF(ConfirmedRaw!$B:$B,$A108,ConfirmedRaw!AV:AV)</f>
        <v>1</v>
      </c>
      <c r="AT108">
        <f>SUMIF(ConfirmedRaw!$B:$B,$A108,ConfirmedRaw!AW:AW)</f>
        <v>1</v>
      </c>
      <c r="AU108">
        <f>SUMIF(ConfirmedRaw!$B:$B,$A108,ConfirmedRaw!AX:AX)</f>
        <v>1</v>
      </c>
      <c r="AV108">
        <f>SUMIF(ConfirmedRaw!$B:$B,$A108,ConfirmedRaw!AY:AY)</f>
        <v>1</v>
      </c>
      <c r="AW108">
        <f>SUMIF(ConfirmedRaw!$B:$B,$A108,ConfirmedRaw!AZ:AZ)</f>
        <v>1</v>
      </c>
      <c r="AX108">
        <f>SUMIF(ConfirmedRaw!$B:$B,$A108,ConfirmedRaw!BA:BA)</f>
        <v>1</v>
      </c>
      <c r="AY108">
        <f>SUMIF(ConfirmedRaw!$B:$B,$A108,ConfirmedRaw!BB:BB)</f>
        <v>1</v>
      </c>
      <c r="AZ108">
        <f>SUMIF(ConfirmedRaw!$B:$B,$A108,ConfirmedRaw!BC:BC)</f>
        <v>2</v>
      </c>
      <c r="BA108">
        <f>SUMIF(ConfirmedRaw!$B:$B,$A108,ConfirmedRaw!BD:BD)</f>
        <v>2</v>
      </c>
      <c r="BB108">
        <f>SUMIF(ConfirmedRaw!$B:$B,$A108,ConfirmedRaw!BE:BE)</f>
        <v>2</v>
      </c>
      <c r="BC108">
        <f>SUMIF(ConfirmedRaw!$B:$B,$A108,ConfirmedRaw!BF:BF)</f>
        <v>2</v>
      </c>
      <c r="BD108">
        <f>SUMIF(ConfirmedRaw!$B:$B,$A108,ConfirmedRaw!BG:BG)</f>
        <v>7</v>
      </c>
      <c r="BE108">
        <f>SUMIF(ConfirmedRaw!$B:$B,$A108,ConfirmedRaw!BH:BH)</f>
        <v>7</v>
      </c>
      <c r="BF108">
        <f>SUMIF(ConfirmedRaw!$B:$B,$A108,ConfirmedRaw!BI:BI)</f>
        <v>7</v>
      </c>
      <c r="BG108">
        <f>SUMIF(ConfirmedRaw!$B:$B,$A108,ConfirmedRaw!BJ:BJ)</f>
        <v>7</v>
      </c>
      <c r="BH108">
        <f>SUMIF(ConfirmedRaw!$B:$B,$A108,ConfirmedRaw!BK:BK)</f>
        <v>11</v>
      </c>
      <c r="BI108">
        <f>SUMIF(ConfirmedRaw!$B:$B,$A108,ConfirmedRaw!BL:BL)</f>
        <v>0</v>
      </c>
      <c r="BJ108">
        <f>SUMIF(ConfirmedRaw!$B:$B,$A108,ConfirmedRaw!BM:BM)</f>
        <v>0</v>
      </c>
      <c r="BK108">
        <f>SUMIF(ConfirmedRaw!$B:$B,$A108,ConfirmedRaw!BN:BN)</f>
        <v>0</v>
      </c>
      <c r="BL108">
        <f>SUMIF(ConfirmedRaw!$B:$B,$A108,ConfirmedRaw!BO:BO)</f>
        <v>0</v>
      </c>
      <c r="BM108">
        <f>SUMIF(ConfirmedRaw!$B:$B,$A108,ConfirmedRaw!BP:BP)</f>
        <v>0</v>
      </c>
      <c r="BN108">
        <f>SUMIF(ConfirmedRaw!$B:$B,$A108,ConfirmedRaw!BQ:BQ)</f>
        <v>0</v>
      </c>
      <c r="BO108">
        <f>SUMIF(ConfirmedRaw!$B:$B,$A108,ConfirmedRaw!BR:BR)</f>
        <v>0</v>
      </c>
      <c r="BP108">
        <f>SUMIF(ConfirmedRaw!$B:$B,$A108,ConfirmedRaw!BS:BS)</f>
        <v>0</v>
      </c>
      <c r="BQ108">
        <f>SUMIF(ConfirmedRaw!$B:$B,$A108,ConfirmedRaw!BT:BT)</f>
        <v>0</v>
      </c>
      <c r="BR108">
        <f>SUMIF(ConfirmedRaw!$B:$B,$A108,ConfirmedRaw!BU:BU)</f>
        <v>0</v>
      </c>
      <c r="BS108">
        <f>SUMIF(ConfirmedRaw!$B:$B,$A108,ConfirmedRaw!BV:BV)</f>
        <v>0</v>
      </c>
      <c r="BT108">
        <f>SUMIF(ConfirmedRaw!$B:$B,$A108,ConfirmedRaw!BW:BW)</f>
        <v>0</v>
      </c>
    </row>
    <row r="109" spans="1:72" ht="15" thickBot="1" x14ac:dyDescent="0.35">
      <c r="A109" s="4" t="s">
        <v>96</v>
      </c>
      <c r="B109">
        <f>SUMIF(ConfirmedRaw!$B:$B,$A109,ConfirmedRaw!E:E)</f>
        <v>0</v>
      </c>
      <c r="C109">
        <f>SUMIF(ConfirmedRaw!$B:$B,$A109,ConfirmedRaw!F:F)</f>
        <v>0</v>
      </c>
      <c r="D109">
        <f>SUMIF(ConfirmedRaw!$B:$B,$A109,ConfirmedRaw!G:G)</f>
        <v>0</v>
      </c>
      <c r="E109">
        <f>SUMIF(ConfirmedRaw!$B:$B,$A109,ConfirmedRaw!H:H)</f>
        <v>0</v>
      </c>
      <c r="F109">
        <f>SUMIF(ConfirmedRaw!$B:$B,$A109,ConfirmedRaw!I:I)</f>
        <v>0</v>
      </c>
      <c r="G109">
        <f>SUMIF(ConfirmedRaw!$B:$B,$A109,ConfirmedRaw!J:J)</f>
        <v>0</v>
      </c>
      <c r="H109">
        <f>SUMIF(ConfirmedRaw!$B:$B,$A109,ConfirmedRaw!K:K)</f>
        <v>0</v>
      </c>
      <c r="I109">
        <f>SUMIF(ConfirmedRaw!$B:$B,$A109,ConfirmedRaw!L:L)</f>
        <v>0</v>
      </c>
      <c r="J109">
        <f>SUMIF(ConfirmedRaw!$B:$B,$A109,ConfirmedRaw!M:M)</f>
        <v>0</v>
      </c>
      <c r="K109">
        <f>SUMIF(ConfirmedRaw!$B:$B,$A109,ConfirmedRaw!N:N)</f>
        <v>0</v>
      </c>
      <c r="L109">
        <f>SUMIF(ConfirmedRaw!$B:$B,$A109,ConfirmedRaw!O:O)</f>
        <v>0</v>
      </c>
      <c r="M109">
        <f>SUMIF(ConfirmedRaw!$B:$B,$A109,ConfirmedRaw!P:P)</f>
        <v>0</v>
      </c>
      <c r="N109">
        <f>SUMIF(ConfirmedRaw!$B:$B,$A109,ConfirmedRaw!Q:Q)</f>
        <v>0</v>
      </c>
      <c r="O109">
        <f>SUMIF(ConfirmedRaw!$B:$B,$A109,ConfirmedRaw!R:R)</f>
        <v>0</v>
      </c>
      <c r="P109">
        <f>SUMIF(ConfirmedRaw!$B:$B,$A109,ConfirmedRaw!S:S)</f>
        <v>0</v>
      </c>
      <c r="Q109">
        <f>SUMIF(ConfirmedRaw!$B:$B,$A109,ConfirmedRaw!T:T)</f>
        <v>0</v>
      </c>
      <c r="R109">
        <f>SUMIF(ConfirmedRaw!$B:$B,$A109,ConfirmedRaw!U:U)</f>
        <v>0</v>
      </c>
      <c r="S109">
        <f>SUMIF(ConfirmedRaw!$B:$B,$A109,ConfirmedRaw!V:V)</f>
        <v>0</v>
      </c>
      <c r="T109">
        <f>SUMIF(ConfirmedRaw!$B:$B,$A109,ConfirmedRaw!W:W)</f>
        <v>0</v>
      </c>
      <c r="U109">
        <f>SUMIF(ConfirmedRaw!$B:$B,$A109,ConfirmedRaw!X:X)</f>
        <v>0</v>
      </c>
      <c r="V109">
        <f>SUMIF(ConfirmedRaw!$B:$B,$A109,ConfirmedRaw!Y:Y)</f>
        <v>0</v>
      </c>
      <c r="W109">
        <f>SUMIF(ConfirmedRaw!$B:$B,$A109,ConfirmedRaw!Z:Z)</f>
        <v>0</v>
      </c>
      <c r="X109">
        <f>SUMIF(ConfirmedRaw!$B:$B,$A109,ConfirmedRaw!AA:AA)</f>
        <v>0</v>
      </c>
      <c r="Y109">
        <f>SUMIF(ConfirmedRaw!$B:$B,$A109,ConfirmedRaw!AB:AB)</f>
        <v>0</v>
      </c>
      <c r="Z109">
        <f>SUMIF(ConfirmedRaw!$B:$B,$A109,ConfirmedRaw!AC:AC)</f>
        <v>0</v>
      </c>
      <c r="AA109">
        <f>SUMIF(ConfirmedRaw!$B:$B,$A109,ConfirmedRaw!AD:AD)</f>
        <v>0</v>
      </c>
      <c r="AB109">
        <f>SUMIF(ConfirmedRaw!$B:$B,$A109,ConfirmedRaw!AE:AE)</f>
        <v>0</v>
      </c>
      <c r="AC109">
        <f>SUMIF(ConfirmedRaw!$B:$B,$A109,ConfirmedRaw!AF:AF)</f>
        <v>0</v>
      </c>
      <c r="AD109">
        <f>SUMIF(ConfirmedRaw!$B:$B,$A109,ConfirmedRaw!AG:AG)</f>
        <v>0</v>
      </c>
      <c r="AE109">
        <f>SUMIF(ConfirmedRaw!$B:$B,$A109,ConfirmedRaw!AH:AH)</f>
        <v>0</v>
      </c>
      <c r="AF109">
        <f>SUMIF(ConfirmedRaw!$B:$B,$A109,ConfirmedRaw!AI:AI)</f>
        <v>0</v>
      </c>
      <c r="AG109">
        <f>SUMIF(ConfirmedRaw!$B:$B,$A109,ConfirmedRaw!AJ:AJ)</f>
        <v>0</v>
      </c>
      <c r="AH109">
        <f>SUMIF(ConfirmedRaw!$B:$B,$A109,ConfirmedRaw!AK:AK)</f>
        <v>0</v>
      </c>
      <c r="AI109">
        <f>SUMIF(ConfirmedRaw!$B:$B,$A109,ConfirmedRaw!AL:AL)</f>
        <v>0</v>
      </c>
      <c r="AJ109">
        <f>SUMIF(ConfirmedRaw!$B:$B,$A109,ConfirmedRaw!AM:AM)</f>
        <v>0</v>
      </c>
      <c r="AK109">
        <f>SUMIF(ConfirmedRaw!$B:$B,$A109,ConfirmedRaw!AN:AN)</f>
        <v>0</v>
      </c>
      <c r="AL109">
        <f>SUMIF(ConfirmedRaw!$B:$B,$A109,ConfirmedRaw!AO:AO)</f>
        <v>0</v>
      </c>
      <c r="AM109">
        <f>SUMIF(ConfirmedRaw!$B:$B,$A109,ConfirmedRaw!AP:AP)</f>
        <v>1</v>
      </c>
      <c r="AN109">
        <f>SUMIF(ConfirmedRaw!$B:$B,$A109,ConfirmedRaw!AQ:AQ)</f>
        <v>1</v>
      </c>
      <c r="AO109">
        <f>SUMIF(ConfirmedRaw!$B:$B,$A109,ConfirmedRaw!AR:AR)</f>
        <v>1</v>
      </c>
      <c r="AP109">
        <f>SUMIF(ConfirmedRaw!$B:$B,$A109,ConfirmedRaw!AS:AS)</f>
        <v>1</v>
      </c>
      <c r="AQ109">
        <f>SUMIF(ConfirmedRaw!$B:$B,$A109,ConfirmedRaw!AT:AT)</f>
        <v>1</v>
      </c>
      <c r="AR109">
        <f>SUMIF(ConfirmedRaw!$B:$B,$A109,ConfirmedRaw!AU:AU)</f>
        <v>1</v>
      </c>
      <c r="AS109">
        <f>SUMIF(ConfirmedRaw!$B:$B,$A109,ConfirmedRaw!AV:AV)</f>
        <v>1</v>
      </c>
      <c r="AT109">
        <f>SUMIF(ConfirmedRaw!$B:$B,$A109,ConfirmedRaw!AW:AW)</f>
        <v>1</v>
      </c>
      <c r="AU109">
        <f>SUMIF(ConfirmedRaw!$B:$B,$A109,ConfirmedRaw!AX:AX)</f>
        <v>1</v>
      </c>
      <c r="AV109">
        <f>SUMIF(ConfirmedRaw!$B:$B,$A109,ConfirmedRaw!AY:AY)</f>
        <v>1</v>
      </c>
      <c r="AW109">
        <f>SUMIF(ConfirmedRaw!$B:$B,$A109,ConfirmedRaw!AZ:AZ)</f>
        <v>2</v>
      </c>
      <c r="AX109">
        <f>SUMIF(ConfirmedRaw!$B:$B,$A109,ConfirmedRaw!BA:BA)</f>
        <v>2</v>
      </c>
      <c r="AY109">
        <f>SUMIF(ConfirmedRaw!$B:$B,$A109,ConfirmedRaw!BB:BB)</f>
        <v>2</v>
      </c>
      <c r="AZ109">
        <f>SUMIF(ConfirmedRaw!$B:$B,$A109,ConfirmedRaw!BC:BC)</f>
        <v>2</v>
      </c>
      <c r="BA109">
        <f>SUMIF(ConfirmedRaw!$B:$B,$A109,ConfirmedRaw!BD:BD)</f>
        <v>2</v>
      </c>
      <c r="BB109">
        <f>SUMIF(ConfirmedRaw!$B:$B,$A109,ConfirmedRaw!BE:BE)</f>
        <v>2</v>
      </c>
      <c r="BC109">
        <f>SUMIF(ConfirmedRaw!$B:$B,$A109,ConfirmedRaw!BF:BF)</f>
        <v>2</v>
      </c>
      <c r="BD109">
        <f>SUMIF(ConfirmedRaw!$B:$B,$A109,ConfirmedRaw!BG:BG)</f>
        <v>2</v>
      </c>
      <c r="BE109">
        <f>SUMIF(ConfirmedRaw!$B:$B,$A109,ConfirmedRaw!BH:BH)</f>
        <v>3</v>
      </c>
      <c r="BF109">
        <f>SUMIF(ConfirmedRaw!$B:$B,$A109,ConfirmedRaw!BI:BI)</f>
        <v>8</v>
      </c>
      <c r="BG109">
        <f>SUMIF(ConfirmedRaw!$B:$B,$A109,ConfirmedRaw!BJ:BJ)</f>
        <v>8</v>
      </c>
      <c r="BH109">
        <f>SUMIF(ConfirmedRaw!$B:$B,$A109,ConfirmedRaw!BK:BK)</f>
        <v>12</v>
      </c>
      <c r="BI109">
        <f>SUMIF(ConfirmedRaw!$B:$B,$A109,ConfirmedRaw!BL:BL)</f>
        <v>0</v>
      </c>
      <c r="BJ109">
        <f>SUMIF(ConfirmedRaw!$B:$B,$A109,ConfirmedRaw!BM:BM)</f>
        <v>0</v>
      </c>
      <c r="BK109">
        <f>SUMIF(ConfirmedRaw!$B:$B,$A109,ConfirmedRaw!BN:BN)</f>
        <v>0</v>
      </c>
      <c r="BL109">
        <f>SUMIF(ConfirmedRaw!$B:$B,$A109,ConfirmedRaw!BO:BO)</f>
        <v>0</v>
      </c>
      <c r="BM109">
        <f>SUMIF(ConfirmedRaw!$B:$B,$A109,ConfirmedRaw!BP:BP)</f>
        <v>0</v>
      </c>
      <c r="BN109">
        <f>SUMIF(ConfirmedRaw!$B:$B,$A109,ConfirmedRaw!BQ:BQ)</f>
        <v>0</v>
      </c>
      <c r="BO109">
        <f>SUMIF(ConfirmedRaw!$B:$B,$A109,ConfirmedRaw!BR:BR)</f>
        <v>0</v>
      </c>
      <c r="BP109">
        <f>SUMIF(ConfirmedRaw!$B:$B,$A109,ConfirmedRaw!BS:BS)</f>
        <v>0</v>
      </c>
      <c r="BQ109">
        <f>SUMIF(ConfirmedRaw!$B:$B,$A109,ConfirmedRaw!BT:BT)</f>
        <v>0</v>
      </c>
      <c r="BR109">
        <f>SUMIF(ConfirmedRaw!$B:$B,$A109,ConfirmedRaw!BU:BU)</f>
        <v>0</v>
      </c>
      <c r="BS109">
        <f>SUMIF(ConfirmedRaw!$B:$B,$A109,ConfirmedRaw!BV:BV)</f>
        <v>0</v>
      </c>
      <c r="BT109">
        <f>SUMIF(ConfirmedRaw!$B:$B,$A109,ConfirmedRaw!BW:BW)</f>
        <v>0</v>
      </c>
    </row>
    <row r="110" spans="1:72" ht="15" thickBot="1" x14ac:dyDescent="0.35">
      <c r="A110" s="4" t="s">
        <v>109</v>
      </c>
      <c r="B110">
        <f>SUMIF(ConfirmedRaw!$B:$B,$A110,ConfirmedRaw!E:E)</f>
        <v>0</v>
      </c>
      <c r="C110">
        <f>SUMIF(ConfirmedRaw!$B:$B,$A110,ConfirmedRaw!F:F)</f>
        <v>0</v>
      </c>
      <c r="D110">
        <f>SUMIF(ConfirmedRaw!$B:$B,$A110,ConfirmedRaw!G:G)</f>
        <v>0</v>
      </c>
      <c r="E110">
        <f>SUMIF(ConfirmedRaw!$B:$B,$A110,ConfirmedRaw!H:H)</f>
        <v>0</v>
      </c>
      <c r="F110">
        <f>SUMIF(ConfirmedRaw!$B:$B,$A110,ConfirmedRaw!I:I)</f>
        <v>0</v>
      </c>
      <c r="G110">
        <f>SUMIF(ConfirmedRaw!$B:$B,$A110,ConfirmedRaw!J:J)</f>
        <v>0</v>
      </c>
      <c r="H110">
        <f>SUMIF(ConfirmedRaw!$B:$B,$A110,ConfirmedRaw!K:K)</f>
        <v>0</v>
      </c>
      <c r="I110">
        <f>SUMIF(ConfirmedRaw!$B:$B,$A110,ConfirmedRaw!L:L)</f>
        <v>0</v>
      </c>
      <c r="J110">
        <f>SUMIF(ConfirmedRaw!$B:$B,$A110,ConfirmedRaw!M:M)</f>
        <v>0</v>
      </c>
      <c r="K110">
        <f>SUMIF(ConfirmedRaw!$B:$B,$A110,ConfirmedRaw!N:N)</f>
        <v>0</v>
      </c>
      <c r="L110">
        <f>SUMIF(ConfirmedRaw!$B:$B,$A110,ConfirmedRaw!O:O)</f>
        <v>0</v>
      </c>
      <c r="M110">
        <f>SUMIF(ConfirmedRaw!$B:$B,$A110,ConfirmedRaw!P:P)</f>
        <v>0</v>
      </c>
      <c r="N110">
        <f>SUMIF(ConfirmedRaw!$B:$B,$A110,ConfirmedRaw!Q:Q)</f>
        <v>0</v>
      </c>
      <c r="O110">
        <f>SUMIF(ConfirmedRaw!$B:$B,$A110,ConfirmedRaw!R:R)</f>
        <v>0</v>
      </c>
      <c r="P110">
        <f>SUMIF(ConfirmedRaw!$B:$B,$A110,ConfirmedRaw!S:S)</f>
        <v>0</v>
      </c>
      <c r="Q110">
        <f>SUMIF(ConfirmedRaw!$B:$B,$A110,ConfirmedRaw!T:T)</f>
        <v>0</v>
      </c>
      <c r="R110">
        <f>SUMIF(ConfirmedRaw!$B:$B,$A110,ConfirmedRaw!U:U)</f>
        <v>0</v>
      </c>
      <c r="S110">
        <f>SUMIF(ConfirmedRaw!$B:$B,$A110,ConfirmedRaw!V:V)</f>
        <v>0</v>
      </c>
      <c r="T110">
        <f>SUMIF(ConfirmedRaw!$B:$B,$A110,ConfirmedRaw!W:W)</f>
        <v>0</v>
      </c>
      <c r="U110">
        <f>SUMIF(ConfirmedRaw!$B:$B,$A110,ConfirmedRaw!X:X)</f>
        <v>0</v>
      </c>
      <c r="V110">
        <f>SUMIF(ConfirmedRaw!$B:$B,$A110,ConfirmedRaw!Y:Y)</f>
        <v>0</v>
      </c>
      <c r="W110">
        <f>SUMIF(ConfirmedRaw!$B:$B,$A110,ConfirmedRaw!Z:Z)</f>
        <v>0</v>
      </c>
      <c r="X110">
        <f>SUMIF(ConfirmedRaw!$B:$B,$A110,ConfirmedRaw!AA:AA)</f>
        <v>0</v>
      </c>
      <c r="Y110">
        <f>SUMIF(ConfirmedRaw!$B:$B,$A110,ConfirmedRaw!AB:AB)</f>
        <v>0</v>
      </c>
      <c r="Z110">
        <f>SUMIF(ConfirmedRaw!$B:$B,$A110,ConfirmedRaw!AC:AC)</f>
        <v>0</v>
      </c>
      <c r="AA110">
        <f>SUMIF(ConfirmedRaw!$B:$B,$A110,ConfirmedRaw!AD:AD)</f>
        <v>0</v>
      </c>
      <c r="AB110">
        <f>SUMIF(ConfirmedRaw!$B:$B,$A110,ConfirmedRaw!AE:AE)</f>
        <v>0</v>
      </c>
      <c r="AC110">
        <f>SUMIF(ConfirmedRaw!$B:$B,$A110,ConfirmedRaw!AF:AF)</f>
        <v>0</v>
      </c>
      <c r="AD110">
        <f>SUMIF(ConfirmedRaw!$B:$B,$A110,ConfirmedRaw!AG:AG)</f>
        <v>0</v>
      </c>
      <c r="AE110">
        <f>SUMIF(ConfirmedRaw!$B:$B,$A110,ConfirmedRaw!AH:AH)</f>
        <v>0</v>
      </c>
      <c r="AF110">
        <f>SUMIF(ConfirmedRaw!$B:$B,$A110,ConfirmedRaw!AI:AI)</f>
        <v>0</v>
      </c>
      <c r="AG110">
        <f>SUMIF(ConfirmedRaw!$B:$B,$A110,ConfirmedRaw!AJ:AJ)</f>
        <v>0</v>
      </c>
      <c r="AH110">
        <f>SUMIF(ConfirmedRaw!$B:$B,$A110,ConfirmedRaw!AK:AK)</f>
        <v>0</v>
      </c>
      <c r="AI110">
        <f>SUMIF(ConfirmedRaw!$B:$B,$A110,ConfirmedRaw!AL:AL)</f>
        <v>0</v>
      </c>
      <c r="AJ110">
        <f>SUMIF(ConfirmedRaw!$B:$B,$A110,ConfirmedRaw!AM:AM)</f>
        <v>0</v>
      </c>
      <c r="AK110">
        <f>SUMIF(ConfirmedRaw!$B:$B,$A110,ConfirmedRaw!AN:AN)</f>
        <v>0</v>
      </c>
      <c r="AL110">
        <f>SUMIF(ConfirmedRaw!$B:$B,$A110,ConfirmedRaw!AO:AO)</f>
        <v>0</v>
      </c>
      <c r="AM110">
        <f>SUMIF(ConfirmedRaw!$B:$B,$A110,ConfirmedRaw!AP:AP)</f>
        <v>0</v>
      </c>
      <c r="AN110">
        <f>SUMIF(ConfirmedRaw!$B:$B,$A110,ConfirmedRaw!AQ:AQ)</f>
        <v>0</v>
      </c>
      <c r="AO110">
        <f>SUMIF(ConfirmedRaw!$B:$B,$A110,ConfirmedRaw!AR:AR)</f>
        <v>0</v>
      </c>
      <c r="AP110">
        <f>SUMIF(ConfirmedRaw!$B:$B,$A110,ConfirmedRaw!AS:AS)</f>
        <v>1</v>
      </c>
      <c r="AQ110">
        <f>SUMIF(ConfirmedRaw!$B:$B,$A110,ConfirmedRaw!AT:AT)</f>
        <v>1</v>
      </c>
      <c r="AR110">
        <f>SUMIF(ConfirmedRaw!$B:$B,$A110,ConfirmedRaw!AU:AU)</f>
        <v>1</v>
      </c>
      <c r="AS110">
        <f>SUMIF(ConfirmedRaw!$B:$B,$A110,ConfirmedRaw!AV:AV)</f>
        <v>1</v>
      </c>
      <c r="AT110">
        <f>SUMIF(ConfirmedRaw!$B:$B,$A110,ConfirmedRaw!AW:AW)</f>
        <v>1</v>
      </c>
      <c r="AU110">
        <f>SUMIF(ConfirmedRaw!$B:$B,$A110,ConfirmedRaw!AX:AX)</f>
        <v>1</v>
      </c>
      <c r="AV110">
        <f>SUMIF(ConfirmedRaw!$B:$B,$A110,ConfirmedRaw!AY:AY)</f>
        <v>1</v>
      </c>
      <c r="AW110">
        <f>SUMIF(ConfirmedRaw!$B:$B,$A110,ConfirmedRaw!AZ:AZ)</f>
        <v>1</v>
      </c>
      <c r="AX110">
        <f>SUMIF(ConfirmedRaw!$B:$B,$A110,ConfirmedRaw!BA:BA)</f>
        <v>1</v>
      </c>
      <c r="AY110">
        <f>SUMIF(ConfirmedRaw!$B:$B,$A110,ConfirmedRaw!BB:BB)</f>
        <v>1</v>
      </c>
      <c r="AZ110">
        <f>SUMIF(ConfirmedRaw!$B:$B,$A110,ConfirmedRaw!BC:BC)</f>
        <v>1</v>
      </c>
      <c r="BA110">
        <f>SUMIF(ConfirmedRaw!$B:$B,$A110,ConfirmedRaw!BD:BD)</f>
        <v>1</v>
      </c>
      <c r="BB110">
        <f>SUMIF(ConfirmedRaw!$B:$B,$A110,ConfirmedRaw!BE:BE)</f>
        <v>1</v>
      </c>
      <c r="BC110">
        <f>SUMIF(ConfirmedRaw!$B:$B,$A110,ConfirmedRaw!BF:BF)</f>
        <v>1</v>
      </c>
      <c r="BD110">
        <f>SUMIF(ConfirmedRaw!$B:$B,$A110,ConfirmedRaw!BG:BG)</f>
        <v>2</v>
      </c>
      <c r="BE110">
        <f>SUMIF(ConfirmedRaw!$B:$B,$A110,ConfirmedRaw!BH:BH)</f>
        <v>39</v>
      </c>
      <c r="BF110">
        <f>SUMIF(ConfirmedRaw!$B:$B,$A110,ConfirmedRaw!BI:BI)</f>
        <v>39</v>
      </c>
      <c r="BG110">
        <f>SUMIF(ConfirmedRaw!$B:$B,$A110,ConfirmedRaw!BJ:BJ)</f>
        <v>53</v>
      </c>
      <c r="BH110">
        <f>SUMIF(ConfirmedRaw!$B:$B,$A110,ConfirmedRaw!BK:BK)</f>
        <v>75</v>
      </c>
      <c r="BI110">
        <f>SUMIF(ConfirmedRaw!$B:$B,$A110,ConfirmedRaw!BL:BL)</f>
        <v>0</v>
      </c>
      <c r="BJ110">
        <f>SUMIF(ConfirmedRaw!$B:$B,$A110,ConfirmedRaw!BM:BM)</f>
        <v>0</v>
      </c>
      <c r="BK110">
        <f>SUMIF(ConfirmedRaw!$B:$B,$A110,ConfirmedRaw!BN:BN)</f>
        <v>0</v>
      </c>
      <c r="BL110">
        <f>SUMIF(ConfirmedRaw!$B:$B,$A110,ConfirmedRaw!BO:BO)</f>
        <v>0</v>
      </c>
      <c r="BM110">
        <f>SUMIF(ConfirmedRaw!$B:$B,$A110,ConfirmedRaw!BP:BP)</f>
        <v>0</v>
      </c>
      <c r="BN110">
        <f>SUMIF(ConfirmedRaw!$B:$B,$A110,ConfirmedRaw!BQ:BQ)</f>
        <v>0</v>
      </c>
      <c r="BO110">
        <f>SUMIF(ConfirmedRaw!$B:$B,$A110,ConfirmedRaw!BR:BR)</f>
        <v>0</v>
      </c>
      <c r="BP110">
        <f>SUMIF(ConfirmedRaw!$B:$B,$A110,ConfirmedRaw!BS:BS)</f>
        <v>0</v>
      </c>
      <c r="BQ110">
        <f>SUMIF(ConfirmedRaw!$B:$B,$A110,ConfirmedRaw!BT:BT)</f>
        <v>0</v>
      </c>
      <c r="BR110">
        <f>SUMIF(ConfirmedRaw!$B:$B,$A110,ConfirmedRaw!BU:BU)</f>
        <v>0</v>
      </c>
      <c r="BS110">
        <f>SUMIF(ConfirmedRaw!$B:$B,$A110,ConfirmedRaw!BV:BV)</f>
        <v>0</v>
      </c>
      <c r="BT110">
        <f>SUMIF(ConfirmedRaw!$B:$B,$A110,ConfirmedRaw!BW:BW)</f>
        <v>0</v>
      </c>
    </row>
    <row r="111" spans="1:72" ht="15" thickBot="1" x14ac:dyDescent="0.35">
      <c r="A111" s="4" t="s">
        <v>424</v>
      </c>
      <c r="B111">
        <f>SUMIF(ConfirmedRaw!$B:$B,$A111,ConfirmedRaw!E:E)</f>
        <v>0</v>
      </c>
      <c r="C111">
        <f>SUMIF(ConfirmedRaw!$B:$B,$A111,ConfirmedRaw!F:F)</f>
        <v>0</v>
      </c>
      <c r="D111">
        <f>SUMIF(ConfirmedRaw!$B:$B,$A111,ConfirmedRaw!G:G)</f>
        <v>0</v>
      </c>
      <c r="E111">
        <f>SUMIF(ConfirmedRaw!$B:$B,$A111,ConfirmedRaw!H:H)</f>
        <v>0</v>
      </c>
      <c r="F111">
        <f>SUMIF(ConfirmedRaw!$B:$B,$A111,ConfirmedRaw!I:I)</f>
        <v>0</v>
      </c>
      <c r="G111">
        <f>SUMIF(ConfirmedRaw!$B:$B,$A111,ConfirmedRaw!J:J)</f>
        <v>0</v>
      </c>
      <c r="H111">
        <f>SUMIF(ConfirmedRaw!$B:$B,$A111,ConfirmedRaw!K:K)</f>
        <v>0</v>
      </c>
      <c r="I111">
        <f>SUMIF(ConfirmedRaw!$B:$B,$A111,ConfirmedRaw!L:L)</f>
        <v>0</v>
      </c>
      <c r="J111">
        <f>SUMIF(ConfirmedRaw!$B:$B,$A111,ConfirmedRaw!M:M)</f>
        <v>0</v>
      </c>
      <c r="K111">
        <f>SUMIF(ConfirmedRaw!$B:$B,$A111,ConfirmedRaw!N:N)</f>
        <v>0</v>
      </c>
      <c r="L111">
        <f>SUMIF(ConfirmedRaw!$B:$B,$A111,ConfirmedRaw!O:O)</f>
        <v>0</v>
      </c>
      <c r="M111">
        <f>SUMIF(ConfirmedRaw!$B:$B,$A111,ConfirmedRaw!P:P)</f>
        <v>0</v>
      </c>
      <c r="N111">
        <f>SUMIF(ConfirmedRaw!$B:$B,$A111,ConfirmedRaw!Q:Q)</f>
        <v>0</v>
      </c>
      <c r="O111">
        <f>SUMIF(ConfirmedRaw!$B:$B,$A111,ConfirmedRaw!R:R)</f>
        <v>0</v>
      </c>
      <c r="P111">
        <f>SUMIF(ConfirmedRaw!$B:$B,$A111,ConfirmedRaw!S:S)</f>
        <v>0</v>
      </c>
      <c r="Q111">
        <f>SUMIF(ConfirmedRaw!$B:$B,$A111,ConfirmedRaw!T:T)</f>
        <v>0</v>
      </c>
      <c r="R111">
        <f>SUMIF(ConfirmedRaw!$B:$B,$A111,ConfirmedRaw!U:U)</f>
        <v>0</v>
      </c>
      <c r="S111">
        <f>SUMIF(ConfirmedRaw!$B:$B,$A111,ConfirmedRaw!V:V)</f>
        <v>0</v>
      </c>
      <c r="T111">
        <f>SUMIF(ConfirmedRaw!$B:$B,$A111,ConfirmedRaw!W:W)</f>
        <v>0</v>
      </c>
      <c r="U111">
        <f>SUMIF(ConfirmedRaw!$B:$B,$A111,ConfirmedRaw!X:X)</f>
        <v>0</v>
      </c>
      <c r="V111">
        <f>SUMIF(ConfirmedRaw!$B:$B,$A111,ConfirmedRaw!Y:Y)</f>
        <v>0</v>
      </c>
      <c r="W111">
        <f>SUMIF(ConfirmedRaw!$B:$B,$A111,ConfirmedRaw!Z:Z)</f>
        <v>0</v>
      </c>
      <c r="X111">
        <f>SUMIF(ConfirmedRaw!$B:$B,$A111,ConfirmedRaw!AA:AA)</f>
        <v>0</v>
      </c>
      <c r="Y111">
        <f>SUMIF(ConfirmedRaw!$B:$B,$A111,ConfirmedRaw!AB:AB)</f>
        <v>0</v>
      </c>
      <c r="Z111">
        <f>SUMIF(ConfirmedRaw!$B:$B,$A111,ConfirmedRaw!AC:AC)</f>
        <v>0</v>
      </c>
      <c r="AA111">
        <f>SUMIF(ConfirmedRaw!$B:$B,$A111,ConfirmedRaw!AD:AD)</f>
        <v>0</v>
      </c>
      <c r="AB111">
        <f>SUMIF(ConfirmedRaw!$B:$B,$A111,ConfirmedRaw!AE:AE)</f>
        <v>0</v>
      </c>
      <c r="AC111">
        <f>SUMIF(ConfirmedRaw!$B:$B,$A111,ConfirmedRaw!AF:AF)</f>
        <v>0</v>
      </c>
      <c r="AD111">
        <f>SUMIF(ConfirmedRaw!$B:$B,$A111,ConfirmedRaw!AG:AG)</f>
        <v>0</v>
      </c>
      <c r="AE111">
        <f>SUMIF(ConfirmedRaw!$B:$B,$A111,ConfirmedRaw!AH:AH)</f>
        <v>0</v>
      </c>
      <c r="AF111">
        <f>SUMIF(ConfirmedRaw!$B:$B,$A111,ConfirmedRaw!AI:AI)</f>
        <v>0</v>
      </c>
      <c r="AG111">
        <f>SUMIF(ConfirmedRaw!$B:$B,$A111,ConfirmedRaw!AJ:AJ)</f>
        <v>0</v>
      </c>
      <c r="AH111">
        <f>SUMIF(ConfirmedRaw!$B:$B,$A111,ConfirmedRaw!AK:AK)</f>
        <v>0</v>
      </c>
      <c r="AI111">
        <f>SUMIF(ConfirmedRaw!$B:$B,$A111,ConfirmedRaw!AL:AL)</f>
        <v>0</v>
      </c>
      <c r="AJ111">
        <f>SUMIF(ConfirmedRaw!$B:$B,$A111,ConfirmedRaw!AM:AM)</f>
        <v>0</v>
      </c>
      <c r="AK111">
        <f>SUMIF(ConfirmedRaw!$B:$B,$A111,ConfirmedRaw!AN:AN)</f>
        <v>0</v>
      </c>
      <c r="AL111">
        <f>SUMIF(ConfirmedRaw!$B:$B,$A111,ConfirmedRaw!AO:AO)</f>
        <v>0</v>
      </c>
      <c r="AM111">
        <f>SUMIF(ConfirmedRaw!$B:$B,$A111,ConfirmedRaw!AP:AP)</f>
        <v>0</v>
      </c>
      <c r="AN111">
        <f>SUMIF(ConfirmedRaw!$B:$B,$A111,ConfirmedRaw!AQ:AQ)</f>
        <v>0</v>
      </c>
      <c r="AO111">
        <f>SUMIF(ConfirmedRaw!$B:$B,$A111,ConfirmedRaw!AR:AR)</f>
        <v>0</v>
      </c>
      <c r="AP111">
        <f>SUMIF(ConfirmedRaw!$B:$B,$A111,ConfirmedRaw!AS:AS)</f>
        <v>0</v>
      </c>
      <c r="AQ111">
        <f>SUMIF(ConfirmedRaw!$B:$B,$A111,ConfirmedRaw!AT:AT)</f>
        <v>0</v>
      </c>
      <c r="AR111">
        <f>SUMIF(ConfirmedRaw!$B:$B,$A111,ConfirmedRaw!AU:AU)</f>
        <v>0</v>
      </c>
      <c r="AS111">
        <f>SUMIF(ConfirmedRaw!$B:$B,$A111,ConfirmedRaw!AV:AV)</f>
        <v>0</v>
      </c>
      <c r="AT111">
        <f>SUMIF(ConfirmedRaw!$B:$B,$A111,ConfirmedRaw!AW:AW)</f>
        <v>0</v>
      </c>
      <c r="AU111">
        <f>SUMIF(ConfirmedRaw!$B:$B,$A111,ConfirmedRaw!AX:AX)</f>
        <v>0</v>
      </c>
      <c r="AV111">
        <f>SUMIF(ConfirmedRaw!$B:$B,$A111,ConfirmedRaw!AY:AY)</f>
        <v>0</v>
      </c>
      <c r="AW111">
        <f>SUMIF(ConfirmedRaw!$B:$B,$A111,ConfirmedRaw!AZ:AZ)</f>
        <v>0</v>
      </c>
      <c r="AX111">
        <f>SUMIF(ConfirmedRaw!$B:$B,$A111,ConfirmedRaw!BA:BA)</f>
        <v>0</v>
      </c>
      <c r="AY111">
        <f>SUMIF(ConfirmedRaw!$B:$B,$A111,ConfirmedRaw!BB:BB)</f>
        <v>0</v>
      </c>
      <c r="AZ111">
        <f>SUMIF(ConfirmedRaw!$B:$B,$A111,ConfirmedRaw!BC:BC)</f>
        <v>0</v>
      </c>
      <c r="BA111">
        <f>SUMIF(ConfirmedRaw!$B:$B,$A111,ConfirmedRaw!BD:BD)</f>
        <v>1</v>
      </c>
      <c r="BB111">
        <f>SUMIF(ConfirmedRaw!$B:$B,$A111,ConfirmedRaw!BE:BE)</f>
        <v>1</v>
      </c>
      <c r="BC111">
        <f>SUMIF(ConfirmedRaw!$B:$B,$A111,ConfirmedRaw!BF:BF)</f>
        <v>1</v>
      </c>
      <c r="BD111">
        <f>SUMIF(ConfirmedRaw!$B:$B,$A111,ConfirmedRaw!BG:BG)</f>
        <v>1</v>
      </c>
      <c r="BE111">
        <f>SUMIF(ConfirmedRaw!$B:$B,$A111,ConfirmedRaw!BH:BH)</f>
        <v>1</v>
      </c>
      <c r="BF111">
        <f>SUMIF(ConfirmedRaw!$B:$B,$A111,ConfirmedRaw!BI:BI)</f>
        <v>1</v>
      </c>
      <c r="BG111">
        <f>SUMIF(ConfirmedRaw!$B:$B,$A111,ConfirmedRaw!BJ:BJ)</f>
        <v>1</v>
      </c>
      <c r="BH111">
        <f>SUMIF(ConfirmedRaw!$B:$B,$A111,ConfirmedRaw!BK:BK)</f>
        <v>1</v>
      </c>
      <c r="BI111">
        <f>SUMIF(ConfirmedRaw!$B:$B,$A111,ConfirmedRaw!BL:BL)</f>
        <v>0</v>
      </c>
      <c r="BJ111">
        <f>SUMIF(ConfirmedRaw!$B:$B,$A111,ConfirmedRaw!BM:BM)</f>
        <v>0</v>
      </c>
      <c r="BK111">
        <f>SUMIF(ConfirmedRaw!$B:$B,$A111,ConfirmedRaw!BN:BN)</f>
        <v>0</v>
      </c>
      <c r="BL111">
        <f>SUMIF(ConfirmedRaw!$B:$B,$A111,ConfirmedRaw!BO:BO)</f>
        <v>0</v>
      </c>
      <c r="BM111">
        <f>SUMIF(ConfirmedRaw!$B:$B,$A111,ConfirmedRaw!BP:BP)</f>
        <v>0</v>
      </c>
      <c r="BN111">
        <f>SUMIF(ConfirmedRaw!$B:$B,$A111,ConfirmedRaw!BQ:BQ)</f>
        <v>0</v>
      </c>
      <c r="BO111">
        <f>SUMIF(ConfirmedRaw!$B:$B,$A111,ConfirmedRaw!BR:BR)</f>
        <v>0</v>
      </c>
      <c r="BP111">
        <f>SUMIF(ConfirmedRaw!$B:$B,$A111,ConfirmedRaw!BS:BS)</f>
        <v>0</v>
      </c>
      <c r="BQ111">
        <f>SUMIF(ConfirmedRaw!$B:$B,$A111,ConfirmedRaw!BT:BT)</f>
        <v>0</v>
      </c>
      <c r="BR111">
        <f>SUMIF(ConfirmedRaw!$B:$B,$A111,ConfirmedRaw!BU:BU)</f>
        <v>0</v>
      </c>
      <c r="BS111">
        <f>SUMIF(ConfirmedRaw!$B:$B,$A111,ConfirmedRaw!BV:BV)</f>
        <v>0</v>
      </c>
      <c r="BT111">
        <f>SUMIF(ConfirmedRaw!$B:$B,$A111,ConfirmedRaw!BW:BW)</f>
        <v>0</v>
      </c>
    </row>
    <row r="112" spans="1:72" ht="15" thickBot="1" x14ac:dyDescent="0.35">
      <c r="A112" s="4" t="s">
        <v>156</v>
      </c>
      <c r="B112">
        <f>SUMIF(ConfirmedRaw!$B:$B,$A112,ConfirmedRaw!E:E)</f>
        <v>0</v>
      </c>
      <c r="C112">
        <f>SUMIF(ConfirmedRaw!$B:$B,$A112,ConfirmedRaw!F:F)</f>
        <v>0</v>
      </c>
      <c r="D112">
        <f>SUMIF(ConfirmedRaw!$B:$B,$A112,ConfirmedRaw!G:G)</f>
        <v>0</v>
      </c>
      <c r="E112">
        <f>SUMIF(ConfirmedRaw!$B:$B,$A112,ConfirmedRaw!H:H)</f>
        <v>0</v>
      </c>
      <c r="F112">
        <f>SUMIF(ConfirmedRaw!$B:$B,$A112,ConfirmedRaw!I:I)</f>
        <v>0</v>
      </c>
      <c r="G112">
        <f>SUMIF(ConfirmedRaw!$B:$B,$A112,ConfirmedRaw!J:J)</f>
        <v>0</v>
      </c>
      <c r="H112">
        <f>SUMIF(ConfirmedRaw!$B:$B,$A112,ConfirmedRaw!K:K)</f>
        <v>0</v>
      </c>
      <c r="I112">
        <f>SUMIF(ConfirmedRaw!$B:$B,$A112,ConfirmedRaw!L:L)</f>
        <v>0</v>
      </c>
      <c r="J112">
        <f>SUMIF(ConfirmedRaw!$B:$B,$A112,ConfirmedRaw!M:M)</f>
        <v>0</v>
      </c>
      <c r="K112">
        <f>SUMIF(ConfirmedRaw!$B:$B,$A112,ConfirmedRaw!N:N)</f>
        <v>0</v>
      </c>
      <c r="L112">
        <f>SUMIF(ConfirmedRaw!$B:$B,$A112,ConfirmedRaw!O:O)</f>
        <v>0</v>
      </c>
      <c r="M112">
        <f>SUMIF(ConfirmedRaw!$B:$B,$A112,ConfirmedRaw!P:P)</f>
        <v>0</v>
      </c>
      <c r="N112">
        <f>SUMIF(ConfirmedRaw!$B:$B,$A112,ConfirmedRaw!Q:Q)</f>
        <v>0</v>
      </c>
      <c r="O112">
        <f>SUMIF(ConfirmedRaw!$B:$B,$A112,ConfirmedRaw!R:R)</f>
        <v>0</v>
      </c>
      <c r="P112">
        <f>SUMIF(ConfirmedRaw!$B:$B,$A112,ConfirmedRaw!S:S)</f>
        <v>0</v>
      </c>
      <c r="Q112">
        <f>SUMIF(ConfirmedRaw!$B:$B,$A112,ConfirmedRaw!T:T)</f>
        <v>0</v>
      </c>
      <c r="R112">
        <f>SUMIF(ConfirmedRaw!$B:$B,$A112,ConfirmedRaw!U:U)</f>
        <v>0</v>
      </c>
      <c r="S112">
        <f>SUMIF(ConfirmedRaw!$B:$B,$A112,ConfirmedRaw!V:V)</f>
        <v>0</v>
      </c>
      <c r="T112">
        <f>SUMIF(ConfirmedRaw!$B:$B,$A112,ConfirmedRaw!W:W)</f>
        <v>0</v>
      </c>
      <c r="U112">
        <f>SUMIF(ConfirmedRaw!$B:$B,$A112,ConfirmedRaw!X:X)</f>
        <v>0</v>
      </c>
      <c r="V112">
        <f>SUMIF(ConfirmedRaw!$B:$B,$A112,ConfirmedRaw!Y:Y)</f>
        <v>0</v>
      </c>
      <c r="W112">
        <f>SUMIF(ConfirmedRaw!$B:$B,$A112,ConfirmedRaw!Z:Z)</f>
        <v>0</v>
      </c>
      <c r="X112">
        <f>SUMIF(ConfirmedRaw!$B:$B,$A112,ConfirmedRaw!AA:AA)</f>
        <v>0</v>
      </c>
      <c r="Y112">
        <f>SUMIF(ConfirmedRaw!$B:$B,$A112,ConfirmedRaw!AB:AB)</f>
        <v>0</v>
      </c>
      <c r="Z112">
        <f>SUMIF(ConfirmedRaw!$B:$B,$A112,ConfirmedRaw!AC:AC)</f>
        <v>0</v>
      </c>
      <c r="AA112">
        <f>SUMIF(ConfirmedRaw!$B:$B,$A112,ConfirmedRaw!AD:AD)</f>
        <v>0</v>
      </c>
      <c r="AB112">
        <f>SUMIF(ConfirmedRaw!$B:$B,$A112,ConfirmedRaw!AE:AE)</f>
        <v>0</v>
      </c>
      <c r="AC112">
        <f>SUMIF(ConfirmedRaw!$B:$B,$A112,ConfirmedRaw!AF:AF)</f>
        <v>0</v>
      </c>
      <c r="AD112">
        <f>SUMIF(ConfirmedRaw!$B:$B,$A112,ConfirmedRaw!AG:AG)</f>
        <v>0</v>
      </c>
      <c r="AE112">
        <f>SUMIF(ConfirmedRaw!$B:$B,$A112,ConfirmedRaw!AH:AH)</f>
        <v>0</v>
      </c>
      <c r="AF112">
        <f>SUMIF(ConfirmedRaw!$B:$B,$A112,ConfirmedRaw!AI:AI)</f>
        <v>0</v>
      </c>
      <c r="AG112">
        <f>SUMIF(ConfirmedRaw!$B:$B,$A112,ConfirmedRaw!AJ:AJ)</f>
        <v>0</v>
      </c>
      <c r="AH112">
        <f>SUMIF(ConfirmedRaw!$B:$B,$A112,ConfirmedRaw!AK:AK)</f>
        <v>0</v>
      </c>
      <c r="AI112">
        <f>SUMIF(ConfirmedRaw!$B:$B,$A112,ConfirmedRaw!AL:AL)</f>
        <v>0</v>
      </c>
      <c r="AJ112">
        <f>SUMIF(ConfirmedRaw!$B:$B,$A112,ConfirmedRaw!AM:AM)</f>
        <v>0</v>
      </c>
      <c r="AK112">
        <f>SUMIF(ConfirmedRaw!$B:$B,$A112,ConfirmedRaw!AN:AN)</f>
        <v>0</v>
      </c>
      <c r="AL112">
        <f>SUMIF(ConfirmedRaw!$B:$B,$A112,ConfirmedRaw!AO:AO)</f>
        <v>0</v>
      </c>
      <c r="AM112">
        <f>SUMIF(ConfirmedRaw!$B:$B,$A112,ConfirmedRaw!AP:AP)</f>
        <v>0</v>
      </c>
      <c r="AN112">
        <f>SUMIF(ConfirmedRaw!$B:$B,$A112,ConfirmedRaw!AQ:AQ)</f>
        <v>0</v>
      </c>
      <c r="AO112">
        <f>SUMIF(ConfirmedRaw!$B:$B,$A112,ConfirmedRaw!AR:AR)</f>
        <v>0</v>
      </c>
      <c r="AP112">
        <f>SUMIF(ConfirmedRaw!$B:$B,$A112,ConfirmedRaw!AS:AS)</f>
        <v>0</v>
      </c>
      <c r="AQ112">
        <f>SUMIF(ConfirmedRaw!$B:$B,$A112,ConfirmedRaw!AT:AT)</f>
        <v>0</v>
      </c>
      <c r="AR112">
        <f>SUMIF(ConfirmedRaw!$B:$B,$A112,ConfirmedRaw!AU:AU)</f>
        <v>0</v>
      </c>
      <c r="AS112">
        <f>SUMIF(ConfirmedRaw!$B:$B,$A112,ConfirmedRaw!AV:AV)</f>
        <v>0</v>
      </c>
      <c r="AT112">
        <f>SUMIF(ConfirmedRaw!$B:$B,$A112,ConfirmedRaw!AW:AW)</f>
        <v>1</v>
      </c>
      <c r="AU112">
        <f>SUMIF(ConfirmedRaw!$B:$B,$A112,ConfirmedRaw!AX:AX)</f>
        <v>1</v>
      </c>
      <c r="AV112">
        <f>SUMIF(ConfirmedRaw!$B:$B,$A112,ConfirmedRaw!AY:AY)</f>
        <v>1</v>
      </c>
      <c r="AW112">
        <f>SUMIF(ConfirmedRaw!$B:$B,$A112,ConfirmedRaw!AZ:AZ)</f>
        <v>1</v>
      </c>
      <c r="AX112">
        <f>SUMIF(ConfirmedRaw!$B:$B,$A112,ConfirmedRaw!BA:BA)</f>
        <v>1</v>
      </c>
      <c r="AY112">
        <f>SUMIF(ConfirmedRaw!$B:$B,$A112,ConfirmedRaw!BB:BB)</f>
        <v>1</v>
      </c>
      <c r="AZ112">
        <f>SUMIF(ConfirmedRaw!$B:$B,$A112,ConfirmedRaw!BC:BC)</f>
        <v>1</v>
      </c>
      <c r="BA112">
        <f>SUMIF(ConfirmedRaw!$B:$B,$A112,ConfirmedRaw!BD:BD)</f>
        <v>1</v>
      </c>
      <c r="BB112">
        <f>SUMIF(ConfirmedRaw!$B:$B,$A112,ConfirmedRaw!BE:BE)</f>
        <v>1</v>
      </c>
      <c r="BC112">
        <f>SUMIF(ConfirmedRaw!$B:$B,$A112,ConfirmedRaw!BF:BF)</f>
        <v>1</v>
      </c>
      <c r="BD112">
        <f>SUMIF(ConfirmedRaw!$B:$B,$A112,ConfirmedRaw!BG:BG)</f>
        <v>1</v>
      </c>
      <c r="BE112">
        <f>SUMIF(ConfirmedRaw!$B:$B,$A112,ConfirmedRaw!BH:BH)</f>
        <v>1</v>
      </c>
      <c r="BF112">
        <f>SUMIF(ConfirmedRaw!$B:$B,$A112,ConfirmedRaw!BI:BI)</f>
        <v>1</v>
      </c>
      <c r="BG112">
        <f>SUMIF(ConfirmedRaw!$B:$B,$A112,ConfirmedRaw!BJ:BJ)</f>
        <v>1</v>
      </c>
      <c r="BH112">
        <f>SUMIF(ConfirmedRaw!$B:$B,$A112,ConfirmedRaw!BK:BK)</f>
        <v>2</v>
      </c>
      <c r="BI112">
        <f>SUMIF(ConfirmedRaw!$B:$B,$A112,ConfirmedRaw!BL:BL)</f>
        <v>0</v>
      </c>
      <c r="BJ112">
        <f>SUMIF(ConfirmedRaw!$B:$B,$A112,ConfirmedRaw!BM:BM)</f>
        <v>0</v>
      </c>
      <c r="BK112">
        <f>SUMIF(ConfirmedRaw!$B:$B,$A112,ConfirmedRaw!BN:BN)</f>
        <v>0</v>
      </c>
      <c r="BL112">
        <f>SUMIF(ConfirmedRaw!$B:$B,$A112,ConfirmedRaw!BO:BO)</f>
        <v>0</v>
      </c>
      <c r="BM112">
        <f>SUMIF(ConfirmedRaw!$B:$B,$A112,ConfirmedRaw!BP:BP)</f>
        <v>0</v>
      </c>
      <c r="BN112">
        <f>SUMIF(ConfirmedRaw!$B:$B,$A112,ConfirmedRaw!BQ:BQ)</f>
        <v>0</v>
      </c>
      <c r="BO112">
        <f>SUMIF(ConfirmedRaw!$B:$B,$A112,ConfirmedRaw!BR:BR)</f>
        <v>0</v>
      </c>
      <c r="BP112">
        <f>SUMIF(ConfirmedRaw!$B:$B,$A112,ConfirmedRaw!BS:BS)</f>
        <v>0</v>
      </c>
      <c r="BQ112">
        <f>SUMIF(ConfirmedRaw!$B:$B,$A112,ConfirmedRaw!BT:BT)</f>
        <v>0</v>
      </c>
      <c r="BR112">
        <f>SUMIF(ConfirmedRaw!$B:$B,$A112,ConfirmedRaw!BU:BU)</f>
        <v>0</v>
      </c>
      <c r="BS112">
        <f>SUMIF(ConfirmedRaw!$B:$B,$A112,ConfirmedRaw!BV:BV)</f>
        <v>0</v>
      </c>
      <c r="BT112">
        <f>SUMIF(ConfirmedRaw!$B:$B,$A112,ConfirmedRaw!BW:BW)</f>
        <v>0</v>
      </c>
    </row>
    <row r="113" spans="1:72" ht="15" thickBot="1" x14ac:dyDescent="0.35">
      <c r="A113" s="4" t="s">
        <v>415</v>
      </c>
      <c r="B113">
        <f>SUMIF(ConfirmedRaw!$B:$B,$A113,ConfirmedRaw!E:E)</f>
        <v>0</v>
      </c>
      <c r="C113">
        <f>SUMIF(ConfirmedRaw!$B:$B,$A113,ConfirmedRaw!F:F)</f>
        <v>0</v>
      </c>
      <c r="D113">
        <f>SUMIF(ConfirmedRaw!$B:$B,$A113,ConfirmedRaw!G:G)</f>
        <v>0</v>
      </c>
      <c r="E113">
        <f>SUMIF(ConfirmedRaw!$B:$B,$A113,ConfirmedRaw!H:H)</f>
        <v>0</v>
      </c>
      <c r="F113">
        <f>SUMIF(ConfirmedRaw!$B:$B,$A113,ConfirmedRaw!I:I)</f>
        <v>0</v>
      </c>
      <c r="G113">
        <f>SUMIF(ConfirmedRaw!$B:$B,$A113,ConfirmedRaw!J:J)</f>
        <v>0</v>
      </c>
      <c r="H113">
        <f>SUMIF(ConfirmedRaw!$B:$B,$A113,ConfirmedRaw!K:K)</f>
        <v>0</v>
      </c>
      <c r="I113">
        <f>SUMIF(ConfirmedRaw!$B:$B,$A113,ConfirmedRaw!L:L)</f>
        <v>0</v>
      </c>
      <c r="J113">
        <f>SUMIF(ConfirmedRaw!$B:$B,$A113,ConfirmedRaw!M:M)</f>
        <v>0</v>
      </c>
      <c r="K113">
        <f>SUMIF(ConfirmedRaw!$B:$B,$A113,ConfirmedRaw!N:N)</f>
        <v>0</v>
      </c>
      <c r="L113">
        <f>SUMIF(ConfirmedRaw!$B:$B,$A113,ConfirmedRaw!O:O)</f>
        <v>0</v>
      </c>
      <c r="M113">
        <f>SUMIF(ConfirmedRaw!$B:$B,$A113,ConfirmedRaw!P:P)</f>
        <v>0</v>
      </c>
      <c r="N113">
        <f>SUMIF(ConfirmedRaw!$B:$B,$A113,ConfirmedRaw!Q:Q)</f>
        <v>0</v>
      </c>
      <c r="O113">
        <f>SUMIF(ConfirmedRaw!$B:$B,$A113,ConfirmedRaw!R:R)</f>
        <v>0</v>
      </c>
      <c r="P113">
        <f>SUMIF(ConfirmedRaw!$B:$B,$A113,ConfirmedRaw!S:S)</f>
        <v>0</v>
      </c>
      <c r="Q113">
        <f>SUMIF(ConfirmedRaw!$B:$B,$A113,ConfirmedRaw!T:T)</f>
        <v>0</v>
      </c>
      <c r="R113">
        <f>SUMIF(ConfirmedRaw!$B:$B,$A113,ConfirmedRaw!U:U)</f>
        <v>0</v>
      </c>
      <c r="S113">
        <f>SUMIF(ConfirmedRaw!$B:$B,$A113,ConfirmedRaw!V:V)</f>
        <v>0</v>
      </c>
      <c r="T113">
        <f>SUMIF(ConfirmedRaw!$B:$B,$A113,ConfirmedRaw!W:W)</f>
        <v>0</v>
      </c>
      <c r="U113">
        <f>SUMIF(ConfirmedRaw!$B:$B,$A113,ConfirmedRaw!X:X)</f>
        <v>0</v>
      </c>
      <c r="V113">
        <f>SUMIF(ConfirmedRaw!$B:$B,$A113,ConfirmedRaw!Y:Y)</f>
        <v>0</v>
      </c>
      <c r="W113">
        <f>SUMIF(ConfirmedRaw!$B:$B,$A113,ConfirmedRaw!Z:Z)</f>
        <v>0</v>
      </c>
      <c r="X113">
        <f>SUMIF(ConfirmedRaw!$B:$B,$A113,ConfirmedRaw!AA:AA)</f>
        <v>0</v>
      </c>
      <c r="Y113">
        <f>SUMIF(ConfirmedRaw!$B:$B,$A113,ConfirmedRaw!AB:AB)</f>
        <v>0</v>
      </c>
      <c r="Z113">
        <f>SUMIF(ConfirmedRaw!$B:$B,$A113,ConfirmedRaw!AC:AC)</f>
        <v>0</v>
      </c>
      <c r="AA113">
        <f>SUMIF(ConfirmedRaw!$B:$B,$A113,ConfirmedRaw!AD:AD)</f>
        <v>0</v>
      </c>
      <c r="AB113">
        <f>SUMIF(ConfirmedRaw!$B:$B,$A113,ConfirmedRaw!AE:AE)</f>
        <v>0</v>
      </c>
      <c r="AC113">
        <f>SUMIF(ConfirmedRaw!$B:$B,$A113,ConfirmedRaw!AF:AF)</f>
        <v>0</v>
      </c>
      <c r="AD113">
        <f>SUMIF(ConfirmedRaw!$B:$B,$A113,ConfirmedRaw!AG:AG)</f>
        <v>0</v>
      </c>
      <c r="AE113">
        <f>SUMIF(ConfirmedRaw!$B:$B,$A113,ConfirmedRaw!AH:AH)</f>
        <v>0</v>
      </c>
      <c r="AF113">
        <f>SUMIF(ConfirmedRaw!$B:$B,$A113,ConfirmedRaw!AI:AI)</f>
        <v>0</v>
      </c>
      <c r="AG113">
        <f>SUMIF(ConfirmedRaw!$B:$B,$A113,ConfirmedRaw!AJ:AJ)</f>
        <v>0</v>
      </c>
      <c r="AH113">
        <f>SUMIF(ConfirmedRaw!$B:$B,$A113,ConfirmedRaw!AK:AK)</f>
        <v>0</v>
      </c>
      <c r="AI113">
        <f>SUMIF(ConfirmedRaw!$B:$B,$A113,ConfirmedRaw!AL:AL)</f>
        <v>0</v>
      </c>
      <c r="AJ113">
        <f>SUMIF(ConfirmedRaw!$B:$B,$A113,ConfirmedRaw!AM:AM)</f>
        <v>0</v>
      </c>
      <c r="AK113">
        <f>SUMIF(ConfirmedRaw!$B:$B,$A113,ConfirmedRaw!AN:AN)</f>
        <v>0</v>
      </c>
      <c r="AL113">
        <f>SUMIF(ConfirmedRaw!$B:$B,$A113,ConfirmedRaw!AO:AO)</f>
        <v>0</v>
      </c>
      <c r="AM113">
        <f>SUMIF(ConfirmedRaw!$B:$B,$A113,ConfirmedRaw!AP:AP)</f>
        <v>0</v>
      </c>
      <c r="AN113">
        <f>SUMIF(ConfirmedRaw!$B:$B,$A113,ConfirmedRaw!AQ:AQ)</f>
        <v>0</v>
      </c>
      <c r="AO113">
        <f>SUMIF(ConfirmedRaw!$B:$B,$A113,ConfirmedRaw!AR:AR)</f>
        <v>0</v>
      </c>
      <c r="AP113">
        <f>SUMIF(ConfirmedRaw!$B:$B,$A113,ConfirmedRaw!AS:AS)</f>
        <v>0</v>
      </c>
      <c r="AQ113">
        <f>SUMIF(ConfirmedRaw!$B:$B,$A113,ConfirmedRaw!AT:AT)</f>
        <v>0</v>
      </c>
      <c r="AR113">
        <f>SUMIF(ConfirmedRaw!$B:$B,$A113,ConfirmedRaw!AU:AU)</f>
        <v>0</v>
      </c>
      <c r="AS113">
        <f>SUMIF(ConfirmedRaw!$B:$B,$A113,ConfirmedRaw!AV:AV)</f>
        <v>0</v>
      </c>
      <c r="AT113">
        <f>SUMIF(ConfirmedRaw!$B:$B,$A113,ConfirmedRaw!AW:AW)</f>
        <v>0</v>
      </c>
      <c r="AU113">
        <f>SUMIF(ConfirmedRaw!$B:$B,$A113,ConfirmedRaw!AX:AX)</f>
        <v>0</v>
      </c>
      <c r="AV113">
        <f>SUMIF(ConfirmedRaw!$B:$B,$A113,ConfirmedRaw!AY:AY)</f>
        <v>0</v>
      </c>
      <c r="AW113">
        <f>SUMIF(ConfirmedRaw!$B:$B,$A113,ConfirmedRaw!AZ:AZ)</f>
        <v>0</v>
      </c>
      <c r="AX113">
        <f>SUMIF(ConfirmedRaw!$B:$B,$A113,ConfirmedRaw!BA:BA)</f>
        <v>0</v>
      </c>
      <c r="AY113">
        <f>SUMIF(ConfirmedRaw!$B:$B,$A113,ConfirmedRaw!BB:BB)</f>
        <v>0</v>
      </c>
      <c r="AZ113">
        <f>SUMIF(ConfirmedRaw!$B:$B,$A113,ConfirmedRaw!BC:BC)</f>
        <v>0</v>
      </c>
      <c r="BA113">
        <f>SUMIF(ConfirmedRaw!$B:$B,$A113,ConfirmedRaw!BD:BD)</f>
        <v>0</v>
      </c>
      <c r="BB113">
        <f>SUMIF(ConfirmedRaw!$B:$B,$A113,ConfirmedRaw!BE:BE)</f>
        <v>0</v>
      </c>
      <c r="BC113">
        <f>SUMIF(ConfirmedRaw!$B:$B,$A113,ConfirmedRaw!BF:BF)</f>
        <v>0</v>
      </c>
      <c r="BD113">
        <f>SUMIF(ConfirmedRaw!$B:$B,$A113,ConfirmedRaw!BG:BG)</f>
        <v>0</v>
      </c>
      <c r="BE113">
        <f>SUMIF(ConfirmedRaw!$B:$B,$A113,ConfirmedRaw!BH:BH)</f>
        <v>0</v>
      </c>
      <c r="BF113">
        <f>SUMIF(ConfirmedRaw!$B:$B,$A113,ConfirmedRaw!BI:BI)</f>
        <v>0</v>
      </c>
      <c r="BG113">
        <f>SUMIF(ConfirmedRaw!$B:$B,$A113,ConfirmedRaw!BJ:BJ)</f>
        <v>0</v>
      </c>
      <c r="BH113">
        <f>SUMIF(ConfirmedRaw!$B:$B,$A113,ConfirmedRaw!BK:BK)</f>
        <v>0</v>
      </c>
      <c r="BI113">
        <f>SUMIF(ConfirmedRaw!$B:$B,$A113,ConfirmedRaw!BL:BL)</f>
        <v>0</v>
      </c>
      <c r="BJ113">
        <f>SUMIF(ConfirmedRaw!$B:$B,$A113,ConfirmedRaw!BM:BM)</f>
        <v>0</v>
      </c>
      <c r="BK113">
        <f>SUMIF(ConfirmedRaw!$B:$B,$A113,ConfirmedRaw!BN:BN)</f>
        <v>0</v>
      </c>
      <c r="BL113">
        <f>SUMIF(ConfirmedRaw!$B:$B,$A113,ConfirmedRaw!BO:BO)</f>
        <v>0</v>
      </c>
      <c r="BM113">
        <f>SUMIF(ConfirmedRaw!$B:$B,$A113,ConfirmedRaw!BP:BP)</f>
        <v>0</v>
      </c>
      <c r="BN113">
        <f>SUMIF(ConfirmedRaw!$B:$B,$A113,ConfirmedRaw!BQ:BQ)</f>
        <v>0</v>
      </c>
      <c r="BO113">
        <f>SUMIF(ConfirmedRaw!$B:$B,$A113,ConfirmedRaw!BR:BR)</f>
        <v>0</v>
      </c>
      <c r="BP113">
        <f>SUMIF(ConfirmedRaw!$B:$B,$A113,ConfirmedRaw!BS:BS)</f>
        <v>0</v>
      </c>
      <c r="BQ113">
        <f>SUMIF(ConfirmedRaw!$B:$B,$A113,ConfirmedRaw!BT:BT)</f>
        <v>0</v>
      </c>
      <c r="BR113">
        <f>SUMIF(ConfirmedRaw!$B:$B,$A113,ConfirmedRaw!BU:BU)</f>
        <v>0</v>
      </c>
      <c r="BS113">
        <f>SUMIF(ConfirmedRaw!$B:$B,$A113,ConfirmedRaw!BV:BV)</f>
        <v>0</v>
      </c>
      <c r="BT113">
        <f>SUMIF(ConfirmedRaw!$B:$B,$A113,ConfirmedRaw!BW:BW)</f>
        <v>0</v>
      </c>
    </row>
    <row r="114" spans="1:72" ht="15" thickBot="1" x14ac:dyDescent="0.35">
      <c r="A114" s="3" t="s">
        <v>352</v>
      </c>
      <c r="B114">
        <f>SUMIF(ConfirmedRaw!$B:$B,$A114,ConfirmedRaw!E:E)</f>
        <v>0</v>
      </c>
      <c r="C114">
        <f>SUMIF(ConfirmedRaw!$B:$B,$A114,ConfirmedRaw!F:F)</f>
        <v>0</v>
      </c>
      <c r="D114">
        <f>SUMIF(ConfirmedRaw!$B:$B,$A114,ConfirmedRaw!G:G)</f>
        <v>0</v>
      </c>
      <c r="E114">
        <f>SUMIF(ConfirmedRaw!$B:$B,$A114,ConfirmedRaw!H:H)</f>
        <v>0</v>
      </c>
      <c r="F114">
        <f>SUMIF(ConfirmedRaw!$B:$B,$A114,ConfirmedRaw!I:I)</f>
        <v>0</v>
      </c>
      <c r="G114">
        <f>SUMIF(ConfirmedRaw!$B:$B,$A114,ConfirmedRaw!J:J)</f>
        <v>0</v>
      </c>
      <c r="H114">
        <f>SUMIF(ConfirmedRaw!$B:$B,$A114,ConfirmedRaw!K:K)</f>
        <v>0</v>
      </c>
      <c r="I114">
        <f>SUMIF(ConfirmedRaw!$B:$B,$A114,ConfirmedRaw!L:L)</f>
        <v>0</v>
      </c>
      <c r="J114">
        <f>SUMIF(ConfirmedRaw!$B:$B,$A114,ConfirmedRaw!M:M)</f>
        <v>0</v>
      </c>
      <c r="K114">
        <f>SUMIF(ConfirmedRaw!$B:$B,$A114,ConfirmedRaw!N:N)</f>
        <v>0</v>
      </c>
      <c r="L114">
        <f>SUMIF(ConfirmedRaw!$B:$B,$A114,ConfirmedRaw!O:O)</f>
        <v>0</v>
      </c>
      <c r="M114">
        <f>SUMIF(ConfirmedRaw!$B:$B,$A114,ConfirmedRaw!P:P)</f>
        <v>0</v>
      </c>
      <c r="N114">
        <f>SUMIF(ConfirmedRaw!$B:$B,$A114,ConfirmedRaw!Q:Q)</f>
        <v>0</v>
      </c>
      <c r="O114">
        <f>SUMIF(ConfirmedRaw!$B:$B,$A114,ConfirmedRaw!R:R)</f>
        <v>0</v>
      </c>
      <c r="P114">
        <f>SUMIF(ConfirmedRaw!$B:$B,$A114,ConfirmedRaw!S:S)</f>
        <v>0</v>
      </c>
      <c r="Q114">
        <f>SUMIF(ConfirmedRaw!$B:$B,$A114,ConfirmedRaw!T:T)</f>
        <v>0</v>
      </c>
      <c r="R114">
        <f>SUMIF(ConfirmedRaw!$B:$B,$A114,ConfirmedRaw!U:U)</f>
        <v>0</v>
      </c>
      <c r="S114">
        <f>SUMIF(ConfirmedRaw!$B:$B,$A114,ConfirmedRaw!V:V)</f>
        <v>0</v>
      </c>
      <c r="T114">
        <f>SUMIF(ConfirmedRaw!$B:$B,$A114,ConfirmedRaw!W:W)</f>
        <v>0</v>
      </c>
      <c r="U114">
        <f>SUMIF(ConfirmedRaw!$B:$B,$A114,ConfirmedRaw!X:X)</f>
        <v>0</v>
      </c>
      <c r="V114">
        <f>SUMIF(ConfirmedRaw!$B:$B,$A114,ConfirmedRaw!Y:Y)</f>
        <v>0</v>
      </c>
      <c r="W114">
        <f>SUMIF(ConfirmedRaw!$B:$B,$A114,ConfirmedRaw!Z:Z)</f>
        <v>0</v>
      </c>
      <c r="X114">
        <f>SUMIF(ConfirmedRaw!$B:$B,$A114,ConfirmedRaw!AA:AA)</f>
        <v>0</v>
      </c>
      <c r="Y114">
        <f>SUMIF(ConfirmedRaw!$B:$B,$A114,ConfirmedRaw!AB:AB)</f>
        <v>0</v>
      </c>
      <c r="Z114">
        <f>SUMIF(ConfirmedRaw!$B:$B,$A114,ConfirmedRaw!AC:AC)</f>
        <v>0</v>
      </c>
      <c r="AA114">
        <f>SUMIF(ConfirmedRaw!$B:$B,$A114,ConfirmedRaw!AD:AD)</f>
        <v>0</v>
      </c>
      <c r="AB114">
        <f>SUMIF(ConfirmedRaw!$B:$B,$A114,ConfirmedRaw!AE:AE)</f>
        <v>0</v>
      </c>
      <c r="AC114">
        <f>SUMIF(ConfirmedRaw!$B:$B,$A114,ConfirmedRaw!AF:AF)</f>
        <v>0</v>
      </c>
      <c r="AD114">
        <f>SUMIF(ConfirmedRaw!$B:$B,$A114,ConfirmedRaw!AG:AG)</f>
        <v>0</v>
      </c>
      <c r="AE114">
        <f>SUMIF(ConfirmedRaw!$B:$B,$A114,ConfirmedRaw!AH:AH)</f>
        <v>0</v>
      </c>
      <c r="AF114">
        <f>SUMIF(ConfirmedRaw!$B:$B,$A114,ConfirmedRaw!AI:AI)</f>
        <v>0</v>
      </c>
      <c r="AG114">
        <f>SUMIF(ConfirmedRaw!$B:$B,$A114,ConfirmedRaw!AJ:AJ)</f>
        <v>0</v>
      </c>
      <c r="AH114">
        <f>SUMIF(ConfirmedRaw!$B:$B,$A114,ConfirmedRaw!AK:AK)</f>
        <v>0</v>
      </c>
      <c r="AI114">
        <f>SUMIF(ConfirmedRaw!$B:$B,$A114,ConfirmedRaw!AL:AL)</f>
        <v>0</v>
      </c>
      <c r="AJ114">
        <f>SUMIF(ConfirmedRaw!$B:$B,$A114,ConfirmedRaw!AM:AM)</f>
        <v>0</v>
      </c>
      <c r="AK114">
        <f>SUMIF(ConfirmedRaw!$B:$B,$A114,ConfirmedRaw!AN:AN)</f>
        <v>0</v>
      </c>
      <c r="AL114">
        <f>SUMIF(ConfirmedRaw!$B:$B,$A114,ConfirmedRaw!AO:AO)</f>
        <v>0</v>
      </c>
      <c r="AM114">
        <f>SUMIF(ConfirmedRaw!$B:$B,$A114,ConfirmedRaw!AP:AP)</f>
        <v>0</v>
      </c>
      <c r="AN114">
        <f>SUMIF(ConfirmedRaw!$B:$B,$A114,ConfirmedRaw!AQ:AQ)</f>
        <v>0</v>
      </c>
      <c r="AO114">
        <f>SUMIF(ConfirmedRaw!$B:$B,$A114,ConfirmedRaw!AR:AR)</f>
        <v>0</v>
      </c>
      <c r="AP114">
        <f>SUMIF(ConfirmedRaw!$B:$B,$A114,ConfirmedRaw!AS:AS)</f>
        <v>0</v>
      </c>
      <c r="AQ114">
        <f>SUMIF(ConfirmedRaw!$B:$B,$A114,ConfirmedRaw!AT:AT)</f>
        <v>0</v>
      </c>
      <c r="AR114">
        <f>SUMIF(ConfirmedRaw!$B:$B,$A114,ConfirmedRaw!AU:AU)</f>
        <v>0</v>
      </c>
      <c r="AS114">
        <f>SUMIF(ConfirmedRaw!$B:$B,$A114,ConfirmedRaw!AV:AV)</f>
        <v>0</v>
      </c>
      <c r="AT114">
        <f>SUMIF(ConfirmedRaw!$B:$B,$A114,ConfirmedRaw!AW:AW)</f>
        <v>0</v>
      </c>
      <c r="AU114">
        <f>SUMIF(ConfirmedRaw!$B:$B,$A114,ConfirmedRaw!AX:AX)</f>
        <v>0</v>
      </c>
      <c r="AV114">
        <f>SUMIF(ConfirmedRaw!$B:$B,$A114,ConfirmedRaw!AY:AY)</f>
        <v>0</v>
      </c>
      <c r="AW114">
        <f>SUMIF(ConfirmedRaw!$B:$B,$A114,ConfirmedRaw!AZ:AZ)</f>
        <v>0</v>
      </c>
      <c r="AX114">
        <f>SUMIF(ConfirmedRaw!$B:$B,$A114,ConfirmedRaw!BA:BA)</f>
        <v>0</v>
      </c>
      <c r="AY114">
        <f>SUMIF(ConfirmedRaw!$B:$B,$A114,ConfirmedRaw!BB:BB)</f>
        <v>1</v>
      </c>
      <c r="AZ114">
        <f>SUMIF(ConfirmedRaw!$B:$B,$A114,ConfirmedRaw!BC:BC)</f>
        <v>1</v>
      </c>
      <c r="BA114">
        <f>SUMIF(ConfirmedRaw!$B:$B,$A114,ConfirmedRaw!BD:BD)</f>
        <v>1</v>
      </c>
      <c r="BB114">
        <f>SUMIF(ConfirmedRaw!$B:$B,$A114,ConfirmedRaw!BE:BE)</f>
        <v>1</v>
      </c>
      <c r="BC114">
        <f>SUMIF(ConfirmedRaw!$B:$B,$A114,ConfirmedRaw!BF:BF)</f>
        <v>1</v>
      </c>
      <c r="BD114">
        <f>SUMIF(ConfirmedRaw!$B:$B,$A114,ConfirmedRaw!BG:BG)</f>
        <v>1</v>
      </c>
      <c r="BE114">
        <f>SUMIF(ConfirmedRaw!$B:$B,$A114,ConfirmedRaw!BH:BH)</f>
        <v>5</v>
      </c>
      <c r="BF114">
        <f>SUMIF(ConfirmedRaw!$B:$B,$A114,ConfirmedRaw!BI:BI)</f>
        <v>6</v>
      </c>
      <c r="BG114">
        <f>SUMIF(ConfirmedRaw!$B:$B,$A114,ConfirmedRaw!BJ:BJ)</f>
        <v>9</v>
      </c>
      <c r="BH114">
        <f>SUMIF(ConfirmedRaw!$B:$B,$A114,ConfirmedRaw!BK:BK)</f>
        <v>9</v>
      </c>
      <c r="BI114">
        <f>SUMIF(ConfirmedRaw!$B:$B,$A114,ConfirmedRaw!BL:BL)</f>
        <v>0</v>
      </c>
      <c r="BJ114">
        <f>SUMIF(ConfirmedRaw!$B:$B,$A114,ConfirmedRaw!BM:BM)</f>
        <v>0</v>
      </c>
      <c r="BK114">
        <f>SUMIF(ConfirmedRaw!$B:$B,$A114,ConfirmedRaw!BN:BN)</f>
        <v>0</v>
      </c>
      <c r="BL114">
        <f>SUMIF(ConfirmedRaw!$B:$B,$A114,ConfirmedRaw!BO:BO)</f>
        <v>0</v>
      </c>
      <c r="BM114">
        <f>SUMIF(ConfirmedRaw!$B:$B,$A114,ConfirmedRaw!BP:BP)</f>
        <v>0</v>
      </c>
      <c r="BN114">
        <f>SUMIF(ConfirmedRaw!$B:$B,$A114,ConfirmedRaw!BQ:BQ)</f>
        <v>0</v>
      </c>
      <c r="BO114">
        <f>SUMIF(ConfirmedRaw!$B:$B,$A114,ConfirmedRaw!BR:BR)</f>
        <v>0</v>
      </c>
      <c r="BP114">
        <f>SUMIF(ConfirmedRaw!$B:$B,$A114,ConfirmedRaw!BS:BS)</f>
        <v>0</v>
      </c>
      <c r="BQ114">
        <f>SUMIF(ConfirmedRaw!$B:$B,$A114,ConfirmedRaw!BT:BT)</f>
        <v>0</v>
      </c>
      <c r="BR114">
        <f>SUMIF(ConfirmedRaw!$B:$B,$A114,ConfirmedRaw!BU:BU)</f>
        <v>0</v>
      </c>
      <c r="BS114">
        <f>SUMIF(ConfirmedRaw!$B:$B,$A114,ConfirmedRaw!BV:BV)</f>
        <v>0</v>
      </c>
      <c r="BT114">
        <f>SUMIF(ConfirmedRaw!$B:$B,$A114,ConfirmedRaw!BW:BW)</f>
        <v>0</v>
      </c>
    </row>
    <row r="115" spans="1:72" ht="15" thickBot="1" x14ac:dyDescent="0.35">
      <c r="A115" s="4" t="s">
        <v>419</v>
      </c>
      <c r="B115">
        <f>SUMIF(ConfirmedRaw!$B:$B,$A115,ConfirmedRaw!E:E)</f>
        <v>0</v>
      </c>
      <c r="C115">
        <f>SUMIF(ConfirmedRaw!$B:$B,$A115,ConfirmedRaw!F:F)</f>
        <v>0</v>
      </c>
      <c r="D115">
        <f>SUMIF(ConfirmedRaw!$B:$B,$A115,ConfirmedRaw!G:G)</f>
        <v>0</v>
      </c>
      <c r="E115">
        <f>SUMIF(ConfirmedRaw!$B:$B,$A115,ConfirmedRaw!H:H)</f>
        <v>0</v>
      </c>
      <c r="F115">
        <f>SUMIF(ConfirmedRaw!$B:$B,$A115,ConfirmedRaw!I:I)</f>
        <v>0</v>
      </c>
      <c r="G115">
        <f>SUMIF(ConfirmedRaw!$B:$B,$A115,ConfirmedRaw!J:J)</f>
        <v>0</v>
      </c>
      <c r="H115">
        <f>SUMIF(ConfirmedRaw!$B:$B,$A115,ConfirmedRaw!K:K)</f>
        <v>0</v>
      </c>
      <c r="I115">
        <f>SUMIF(ConfirmedRaw!$B:$B,$A115,ConfirmedRaw!L:L)</f>
        <v>0</v>
      </c>
      <c r="J115">
        <f>SUMIF(ConfirmedRaw!$B:$B,$A115,ConfirmedRaw!M:M)</f>
        <v>0</v>
      </c>
      <c r="K115">
        <f>SUMIF(ConfirmedRaw!$B:$B,$A115,ConfirmedRaw!N:N)</f>
        <v>0</v>
      </c>
      <c r="L115">
        <f>SUMIF(ConfirmedRaw!$B:$B,$A115,ConfirmedRaw!O:O)</f>
        <v>0</v>
      </c>
      <c r="M115">
        <f>SUMIF(ConfirmedRaw!$B:$B,$A115,ConfirmedRaw!P:P)</f>
        <v>0</v>
      </c>
      <c r="N115">
        <f>SUMIF(ConfirmedRaw!$B:$B,$A115,ConfirmedRaw!Q:Q)</f>
        <v>0</v>
      </c>
      <c r="O115">
        <f>SUMIF(ConfirmedRaw!$B:$B,$A115,ConfirmedRaw!R:R)</f>
        <v>0</v>
      </c>
      <c r="P115">
        <f>SUMIF(ConfirmedRaw!$B:$B,$A115,ConfirmedRaw!S:S)</f>
        <v>0</v>
      </c>
      <c r="Q115">
        <f>SUMIF(ConfirmedRaw!$B:$B,$A115,ConfirmedRaw!T:T)</f>
        <v>0</v>
      </c>
      <c r="R115">
        <f>SUMIF(ConfirmedRaw!$B:$B,$A115,ConfirmedRaw!U:U)</f>
        <v>0</v>
      </c>
      <c r="S115">
        <f>SUMIF(ConfirmedRaw!$B:$B,$A115,ConfirmedRaw!V:V)</f>
        <v>0</v>
      </c>
      <c r="T115">
        <f>SUMIF(ConfirmedRaw!$B:$B,$A115,ConfirmedRaw!W:W)</f>
        <v>0</v>
      </c>
      <c r="U115">
        <f>SUMIF(ConfirmedRaw!$B:$B,$A115,ConfirmedRaw!X:X)</f>
        <v>0</v>
      </c>
      <c r="V115">
        <f>SUMIF(ConfirmedRaw!$B:$B,$A115,ConfirmedRaw!Y:Y)</f>
        <v>0</v>
      </c>
      <c r="W115">
        <f>SUMIF(ConfirmedRaw!$B:$B,$A115,ConfirmedRaw!Z:Z)</f>
        <v>0</v>
      </c>
      <c r="X115">
        <f>SUMIF(ConfirmedRaw!$B:$B,$A115,ConfirmedRaw!AA:AA)</f>
        <v>0</v>
      </c>
      <c r="Y115">
        <f>SUMIF(ConfirmedRaw!$B:$B,$A115,ConfirmedRaw!AB:AB)</f>
        <v>0</v>
      </c>
      <c r="Z115">
        <f>SUMIF(ConfirmedRaw!$B:$B,$A115,ConfirmedRaw!AC:AC)</f>
        <v>0</v>
      </c>
      <c r="AA115">
        <f>SUMIF(ConfirmedRaw!$B:$B,$A115,ConfirmedRaw!AD:AD)</f>
        <v>0</v>
      </c>
      <c r="AB115">
        <f>SUMIF(ConfirmedRaw!$B:$B,$A115,ConfirmedRaw!AE:AE)</f>
        <v>0</v>
      </c>
      <c r="AC115">
        <f>SUMIF(ConfirmedRaw!$B:$B,$A115,ConfirmedRaw!AF:AF)</f>
        <v>0</v>
      </c>
      <c r="AD115">
        <f>SUMIF(ConfirmedRaw!$B:$B,$A115,ConfirmedRaw!AG:AG)</f>
        <v>0</v>
      </c>
      <c r="AE115">
        <f>SUMIF(ConfirmedRaw!$B:$B,$A115,ConfirmedRaw!AH:AH)</f>
        <v>0</v>
      </c>
      <c r="AF115">
        <f>SUMIF(ConfirmedRaw!$B:$B,$A115,ConfirmedRaw!AI:AI)</f>
        <v>0</v>
      </c>
      <c r="AG115">
        <f>SUMIF(ConfirmedRaw!$B:$B,$A115,ConfirmedRaw!AJ:AJ)</f>
        <v>0</v>
      </c>
      <c r="AH115">
        <f>SUMIF(ConfirmedRaw!$B:$B,$A115,ConfirmedRaw!AK:AK)</f>
        <v>0</v>
      </c>
      <c r="AI115">
        <f>SUMIF(ConfirmedRaw!$B:$B,$A115,ConfirmedRaw!AL:AL)</f>
        <v>0</v>
      </c>
      <c r="AJ115">
        <f>SUMIF(ConfirmedRaw!$B:$B,$A115,ConfirmedRaw!AM:AM)</f>
        <v>0</v>
      </c>
      <c r="AK115">
        <f>SUMIF(ConfirmedRaw!$B:$B,$A115,ConfirmedRaw!AN:AN)</f>
        <v>0</v>
      </c>
      <c r="AL115">
        <f>SUMIF(ConfirmedRaw!$B:$B,$A115,ConfirmedRaw!AO:AO)</f>
        <v>0</v>
      </c>
      <c r="AM115">
        <f>SUMIF(ConfirmedRaw!$B:$B,$A115,ConfirmedRaw!AP:AP)</f>
        <v>0</v>
      </c>
      <c r="AN115">
        <f>SUMIF(ConfirmedRaw!$B:$B,$A115,ConfirmedRaw!AQ:AQ)</f>
        <v>0</v>
      </c>
      <c r="AO115">
        <f>SUMIF(ConfirmedRaw!$B:$B,$A115,ConfirmedRaw!AR:AR)</f>
        <v>0</v>
      </c>
      <c r="AP115">
        <f>SUMIF(ConfirmedRaw!$B:$B,$A115,ConfirmedRaw!AS:AS)</f>
        <v>0</v>
      </c>
      <c r="AQ115">
        <f>SUMIF(ConfirmedRaw!$B:$B,$A115,ConfirmedRaw!AT:AT)</f>
        <v>0</v>
      </c>
      <c r="AR115">
        <f>SUMIF(ConfirmedRaw!$B:$B,$A115,ConfirmedRaw!AU:AU)</f>
        <v>0</v>
      </c>
      <c r="AS115">
        <f>SUMIF(ConfirmedRaw!$B:$B,$A115,ConfirmedRaw!AV:AV)</f>
        <v>0</v>
      </c>
      <c r="AT115">
        <f>SUMIF(ConfirmedRaw!$B:$B,$A115,ConfirmedRaw!AW:AW)</f>
        <v>0</v>
      </c>
      <c r="AU115">
        <f>SUMIF(ConfirmedRaw!$B:$B,$A115,ConfirmedRaw!AX:AX)</f>
        <v>0</v>
      </c>
      <c r="AV115">
        <f>SUMIF(ConfirmedRaw!$B:$B,$A115,ConfirmedRaw!AY:AY)</f>
        <v>0</v>
      </c>
      <c r="AW115">
        <f>SUMIF(ConfirmedRaw!$B:$B,$A115,ConfirmedRaw!AZ:AZ)</f>
        <v>0</v>
      </c>
      <c r="AX115">
        <f>SUMIF(ConfirmedRaw!$B:$B,$A115,ConfirmedRaw!BA:BA)</f>
        <v>0</v>
      </c>
      <c r="AY115">
        <f>SUMIF(ConfirmedRaw!$B:$B,$A115,ConfirmedRaw!BB:BB)</f>
        <v>0</v>
      </c>
      <c r="AZ115">
        <f>SUMIF(ConfirmedRaw!$B:$B,$A115,ConfirmedRaw!BC:BC)</f>
        <v>0</v>
      </c>
      <c r="BA115">
        <f>SUMIF(ConfirmedRaw!$B:$B,$A115,ConfirmedRaw!BD:BD)</f>
        <v>1</v>
      </c>
      <c r="BB115">
        <f>SUMIF(ConfirmedRaw!$B:$B,$A115,ConfirmedRaw!BE:BE)</f>
        <v>1</v>
      </c>
      <c r="BC115">
        <f>SUMIF(ConfirmedRaw!$B:$B,$A115,ConfirmedRaw!BF:BF)</f>
        <v>1</v>
      </c>
      <c r="BD115">
        <f>SUMIF(ConfirmedRaw!$B:$B,$A115,ConfirmedRaw!BG:BG)</f>
        <v>5</v>
      </c>
      <c r="BE115">
        <f>SUMIF(ConfirmedRaw!$B:$B,$A115,ConfirmedRaw!BH:BH)</f>
        <v>5</v>
      </c>
      <c r="BF115">
        <f>SUMIF(ConfirmedRaw!$B:$B,$A115,ConfirmedRaw!BI:BI)</f>
        <v>6</v>
      </c>
      <c r="BG115">
        <f>SUMIF(ConfirmedRaw!$B:$B,$A115,ConfirmedRaw!BJ:BJ)</f>
        <v>6</v>
      </c>
      <c r="BH115">
        <f>SUMIF(ConfirmedRaw!$B:$B,$A115,ConfirmedRaw!BK:BK)</f>
        <v>9</v>
      </c>
      <c r="BI115">
        <f>SUMIF(ConfirmedRaw!$B:$B,$A115,ConfirmedRaw!BL:BL)</f>
        <v>0</v>
      </c>
      <c r="BJ115">
        <f>SUMIF(ConfirmedRaw!$B:$B,$A115,ConfirmedRaw!BM:BM)</f>
        <v>0</v>
      </c>
      <c r="BK115">
        <f>SUMIF(ConfirmedRaw!$B:$B,$A115,ConfirmedRaw!BN:BN)</f>
        <v>0</v>
      </c>
      <c r="BL115">
        <f>SUMIF(ConfirmedRaw!$B:$B,$A115,ConfirmedRaw!BO:BO)</f>
        <v>0</v>
      </c>
      <c r="BM115">
        <f>SUMIF(ConfirmedRaw!$B:$B,$A115,ConfirmedRaw!BP:BP)</f>
        <v>0</v>
      </c>
      <c r="BN115">
        <f>SUMIF(ConfirmedRaw!$B:$B,$A115,ConfirmedRaw!BQ:BQ)</f>
        <v>0</v>
      </c>
      <c r="BO115">
        <f>SUMIF(ConfirmedRaw!$B:$B,$A115,ConfirmedRaw!BR:BR)</f>
        <v>0</v>
      </c>
      <c r="BP115">
        <f>SUMIF(ConfirmedRaw!$B:$B,$A115,ConfirmedRaw!BS:BS)</f>
        <v>0</v>
      </c>
      <c r="BQ115">
        <f>SUMIF(ConfirmedRaw!$B:$B,$A115,ConfirmedRaw!BT:BT)</f>
        <v>0</v>
      </c>
      <c r="BR115">
        <f>SUMIF(ConfirmedRaw!$B:$B,$A115,ConfirmedRaw!BU:BU)</f>
        <v>0</v>
      </c>
      <c r="BS115">
        <f>SUMIF(ConfirmedRaw!$B:$B,$A115,ConfirmedRaw!BV:BV)</f>
        <v>0</v>
      </c>
      <c r="BT115">
        <f>SUMIF(ConfirmedRaw!$B:$B,$A115,ConfirmedRaw!BW:BW)</f>
        <v>0</v>
      </c>
    </row>
    <row r="116" spans="1:72" ht="15" thickBot="1" x14ac:dyDescent="0.35">
      <c r="A116" s="3" t="s">
        <v>416</v>
      </c>
      <c r="B116">
        <f>SUMIF(ConfirmedRaw!$B:$B,$A116,ConfirmedRaw!E:E)</f>
        <v>0</v>
      </c>
      <c r="C116">
        <f>SUMIF(ConfirmedRaw!$B:$B,$A116,ConfirmedRaw!F:F)</f>
        <v>0</v>
      </c>
      <c r="D116">
        <f>SUMIF(ConfirmedRaw!$B:$B,$A116,ConfirmedRaw!G:G)</f>
        <v>0</v>
      </c>
      <c r="E116">
        <f>SUMIF(ConfirmedRaw!$B:$B,$A116,ConfirmedRaw!H:H)</f>
        <v>0</v>
      </c>
      <c r="F116">
        <f>SUMIF(ConfirmedRaw!$B:$B,$A116,ConfirmedRaw!I:I)</f>
        <v>0</v>
      </c>
      <c r="G116">
        <f>SUMIF(ConfirmedRaw!$B:$B,$A116,ConfirmedRaw!J:J)</f>
        <v>0</v>
      </c>
      <c r="H116">
        <f>SUMIF(ConfirmedRaw!$B:$B,$A116,ConfirmedRaw!K:K)</f>
        <v>0</v>
      </c>
      <c r="I116">
        <f>SUMIF(ConfirmedRaw!$B:$B,$A116,ConfirmedRaw!L:L)</f>
        <v>0</v>
      </c>
      <c r="J116">
        <f>SUMIF(ConfirmedRaw!$B:$B,$A116,ConfirmedRaw!M:M)</f>
        <v>0</v>
      </c>
      <c r="K116">
        <f>SUMIF(ConfirmedRaw!$B:$B,$A116,ConfirmedRaw!N:N)</f>
        <v>0</v>
      </c>
      <c r="L116">
        <f>SUMIF(ConfirmedRaw!$B:$B,$A116,ConfirmedRaw!O:O)</f>
        <v>0</v>
      </c>
      <c r="M116">
        <f>SUMIF(ConfirmedRaw!$B:$B,$A116,ConfirmedRaw!P:P)</f>
        <v>0</v>
      </c>
      <c r="N116">
        <f>SUMIF(ConfirmedRaw!$B:$B,$A116,ConfirmedRaw!Q:Q)</f>
        <v>0</v>
      </c>
      <c r="O116">
        <f>SUMIF(ConfirmedRaw!$B:$B,$A116,ConfirmedRaw!R:R)</f>
        <v>0</v>
      </c>
      <c r="P116">
        <f>SUMIF(ConfirmedRaw!$B:$B,$A116,ConfirmedRaw!S:S)</f>
        <v>0</v>
      </c>
      <c r="Q116">
        <f>SUMIF(ConfirmedRaw!$B:$B,$A116,ConfirmedRaw!T:T)</f>
        <v>0</v>
      </c>
      <c r="R116">
        <f>SUMIF(ConfirmedRaw!$B:$B,$A116,ConfirmedRaw!U:U)</f>
        <v>0</v>
      </c>
      <c r="S116">
        <f>SUMIF(ConfirmedRaw!$B:$B,$A116,ConfirmedRaw!V:V)</f>
        <v>0</v>
      </c>
      <c r="T116">
        <f>SUMIF(ConfirmedRaw!$B:$B,$A116,ConfirmedRaw!W:W)</f>
        <v>0</v>
      </c>
      <c r="U116">
        <f>SUMIF(ConfirmedRaw!$B:$B,$A116,ConfirmedRaw!X:X)</f>
        <v>0</v>
      </c>
      <c r="V116">
        <f>SUMIF(ConfirmedRaw!$B:$B,$A116,ConfirmedRaw!Y:Y)</f>
        <v>0</v>
      </c>
      <c r="W116">
        <f>SUMIF(ConfirmedRaw!$B:$B,$A116,ConfirmedRaw!Z:Z)</f>
        <v>0</v>
      </c>
      <c r="X116">
        <f>SUMIF(ConfirmedRaw!$B:$B,$A116,ConfirmedRaw!AA:AA)</f>
        <v>0</v>
      </c>
      <c r="Y116">
        <f>SUMIF(ConfirmedRaw!$B:$B,$A116,ConfirmedRaw!AB:AB)</f>
        <v>0</v>
      </c>
      <c r="Z116">
        <f>SUMIF(ConfirmedRaw!$B:$B,$A116,ConfirmedRaw!AC:AC)</f>
        <v>0</v>
      </c>
      <c r="AA116">
        <f>SUMIF(ConfirmedRaw!$B:$B,$A116,ConfirmedRaw!AD:AD)</f>
        <v>0</v>
      </c>
      <c r="AB116">
        <f>SUMIF(ConfirmedRaw!$B:$B,$A116,ConfirmedRaw!AE:AE)</f>
        <v>0</v>
      </c>
      <c r="AC116">
        <f>SUMIF(ConfirmedRaw!$B:$B,$A116,ConfirmedRaw!AF:AF)</f>
        <v>0</v>
      </c>
      <c r="AD116">
        <f>SUMIF(ConfirmedRaw!$B:$B,$A116,ConfirmedRaw!AG:AG)</f>
        <v>0</v>
      </c>
      <c r="AE116">
        <f>SUMIF(ConfirmedRaw!$B:$B,$A116,ConfirmedRaw!AH:AH)</f>
        <v>0</v>
      </c>
      <c r="AF116">
        <f>SUMIF(ConfirmedRaw!$B:$B,$A116,ConfirmedRaw!AI:AI)</f>
        <v>0</v>
      </c>
      <c r="AG116">
        <f>SUMIF(ConfirmedRaw!$B:$B,$A116,ConfirmedRaw!AJ:AJ)</f>
        <v>0</v>
      </c>
      <c r="AH116">
        <f>SUMIF(ConfirmedRaw!$B:$B,$A116,ConfirmedRaw!AK:AK)</f>
        <v>0</v>
      </c>
      <c r="AI116">
        <f>SUMIF(ConfirmedRaw!$B:$B,$A116,ConfirmedRaw!AL:AL)</f>
        <v>0</v>
      </c>
      <c r="AJ116">
        <f>SUMIF(ConfirmedRaw!$B:$B,$A116,ConfirmedRaw!AM:AM)</f>
        <v>0</v>
      </c>
      <c r="AK116">
        <f>SUMIF(ConfirmedRaw!$B:$B,$A116,ConfirmedRaw!AN:AN)</f>
        <v>0</v>
      </c>
      <c r="AL116">
        <f>SUMIF(ConfirmedRaw!$B:$B,$A116,ConfirmedRaw!AO:AO)</f>
        <v>0</v>
      </c>
      <c r="AM116">
        <f>SUMIF(ConfirmedRaw!$B:$B,$A116,ConfirmedRaw!AP:AP)</f>
        <v>0</v>
      </c>
      <c r="AN116">
        <f>SUMIF(ConfirmedRaw!$B:$B,$A116,ConfirmedRaw!AQ:AQ)</f>
        <v>0</v>
      </c>
      <c r="AO116">
        <f>SUMIF(ConfirmedRaw!$B:$B,$A116,ConfirmedRaw!AR:AR)</f>
        <v>0</v>
      </c>
      <c r="AP116">
        <f>SUMIF(ConfirmedRaw!$B:$B,$A116,ConfirmedRaw!AS:AS)</f>
        <v>0</v>
      </c>
      <c r="AQ116">
        <f>SUMIF(ConfirmedRaw!$B:$B,$A116,ConfirmedRaw!AT:AT)</f>
        <v>0</v>
      </c>
      <c r="AR116">
        <f>SUMIF(ConfirmedRaw!$B:$B,$A116,ConfirmedRaw!AU:AU)</f>
        <v>0</v>
      </c>
      <c r="AS116">
        <f>SUMIF(ConfirmedRaw!$B:$B,$A116,ConfirmedRaw!AV:AV)</f>
        <v>0</v>
      </c>
      <c r="AT116">
        <f>SUMIF(ConfirmedRaw!$B:$B,$A116,ConfirmedRaw!AW:AW)</f>
        <v>0</v>
      </c>
      <c r="AU116">
        <f>SUMIF(ConfirmedRaw!$B:$B,$A116,ConfirmedRaw!AX:AX)</f>
        <v>0</v>
      </c>
      <c r="AV116">
        <f>SUMIF(ConfirmedRaw!$B:$B,$A116,ConfirmedRaw!AY:AY)</f>
        <v>0</v>
      </c>
      <c r="AW116">
        <f>SUMIF(ConfirmedRaw!$B:$B,$A116,ConfirmedRaw!AZ:AZ)</f>
        <v>0</v>
      </c>
      <c r="AX116">
        <f>SUMIF(ConfirmedRaw!$B:$B,$A116,ConfirmedRaw!BA:BA)</f>
        <v>0</v>
      </c>
      <c r="AY116">
        <f>SUMIF(ConfirmedRaw!$B:$B,$A116,ConfirmedRaw!BB:BB)</f>
        <v>0</v>
      </c>
      <c r="AZ116">
        <f>SUMIF(ConfirmedRaw!$B:$B,$A116,ConfirmedRaw!BC:BC)</f>
        <v>0</v>
      </c>
      <c r="BA116">
        <f>SUMIF(ConfirmedRaw!$B:$B,$A116,ConfirmedRaw!BD:BD)</f>
        <v>0</v>
      </c>
      <c r="BB116">
        <f>SUMIF(ConfirmedRaw!$B:$B,$A116,ConfirmedRaw!BE:BE)</f>
        <v>0</v>
      </c>
      <c r="BC116">
        <f>SUMIF(ConfirmedRaw!$B:$B,$A116,ConfirmedRaw!BF:BF)</f>
        <v>0</v>
      </c>
      <c r="BD116">
        <f>SUMIF(ConfirmedRaw!$B:$B,$A116,ConfirmedRaw!BG:BG)</f>
        <v>0</v>
      </c>
      <c r="BE116">
        <f>SUMIF(ConfirmedRaw!$B:$B,$A116,ConfirmedRaw!BH:BH)</f>
        <v>0</v>
      </c>
      <c r="BF116">
        <f>SUMIF(ConfirmedRaw!$B:$B,$A116,ConfirmedRaw!BI:BI)</f>
        <v>0</v>
      </c>
      <c r="BG116">
        <f>SUMIF(ConfirmedRaw!$B:$B,$A116,ConfirmedRaw!BJ:BJ)</f>
        <v>0</v>
      </c>
      <c r="BH116">
        <f>SUMIF(ConfirmedRaw!$B:$B,$A116,ConfirmedRaw!BK:BK)</f>
        <v>0</v>
      </c>
      <c r="BI116">
        <f>SUMIF(ConfirmedRaw!$B:$B,$A116,ConfirmedRaw!BL:BL)</f>
        <v>0</v>
      </c>
      <c r="BJ116">
        <f>SUMIF(ConfirmedRaw!$B:$B,$A116,ConfirmedRaw!BM:BM)</f>
        <v>0</v>
      </c>
      <c r="BK116">
        <f>SUMIF(ConfirmedRaw!$B:$B,$A116,ConfirmedRaw!BN:BN)</f>
        <v>0</v>
      </c>
      <c r="BL116">
        <f>SUMIF(ConfirmedRaw!$B:$B,$A116,ConfirmedRaw!BO:BO)</f>
        <v>0</v>
      </c>
      <c r="BM116">
        <f>SUMIF(ConfirmedRaw!$B:$B,$A116,ConfirmedRaw!BP:BP)</f>
        <v>0</v>
      </c>
      <c r="BN116">
        <f>SUMIF(ConfirmedRaw!$B:$B,$A116,ConfirmedRaw!BQ:BQ)</f>
        <v>0</v>
      </c>
      <c r="BO116">
        <f>SUMIF(ConfirmedRaw!$B:$B,$A116,ConfirmedRaw!BR:BR)</f>
        <v>0</v>
      </c>
      <c r="BP116">
        <f>SUMIF(ConfirmedRaw!$B:$B,$A116,ConfirmedRaw!BS:BS)</f>
        <v>0</v>
      </c>
      <c r="BQ116">
        <f>SUMIF(ConfirmedRaw!$B:$B,$A116,ConfirmedRaw!BT:BT)</f>
        <v>0</v>
      </c>
      <c r="BR116">
        <f>SUMIF(ConfirmedRaw!$B:$B,$A116,ConfirmedRaw!BU:BU)</f>
        <v>0</v>
      </c>
      <c r="BS116">
        <f>SUMIF(ConfirmedRaw!$B:$B,$A116,ConfirmedRaw!BV:BV)</f>
        <v>0</v>
      </c>
      <c r="BT116">
        <f>SUMIF(ConfirmedRaw!$B:$B,$A116,ConfirmedRaw!BW:BW)</f>
        <v>0</v>
      </c>
    </row>
    <row r="117" spans="1:72" ht="15" thickBot="1" x14ac:dyDescent="0.35">
      <c r="A117" s="4" t="s">
        <v>421</v>
      </c>
      <c r="B117">
        <f>SUMIF(ConfirmedRaw!$B:$B,$A117,ConfirmedRaw!E:E)</f>
        <v>0</v>
      </c>
      <c r="C117">
        <f>SUMIF(ConfirmedRaw!$B:$B,$A117,ConfirmedRaw!F:F)</f>
        <v>0</v>
      </c>
      <c r="D117">
        <f>SUMIF(ConfirmedRaw!$B:$B,$A117,ConfirmedRaw!G:G)</f>
        <v>0</v>
      </c>
      <c r="E117">
        <f>SUMIF(ConfirmedRaw!$B:$B,$A117,ConfirmedRaw!H:H)</f>
        <v>0</v>
      </c>
      <c r="F117">
        <f>SUMIF(ConfirmedRaw!$B:$B,$A117,ConfirmedRaw!I:I)</f>
        <v>0</v>
      </c>
      <c r="G117">
        <f>SUMIF(ConfirmedRaw!$B:$B,$A117,ConfirmedRaw!J:J)</f>
        <v>0</v>
      </c>
      <c r="H117">
        <f>SUMIF(ConfirmedRaw!$B:$B,$A117,ConfirmedRaw!K:K)</f>
        <v>0</v>
      </c>
      <c r="I117">
        <f>SUMIF(ConfirmedRaw!$B:$B,$A117,ConfirmedRaw!L:L)</f>
        <v>0</v>
      </c>
      <c r="J117">
        <f>SUMIF(ConfirmedRaw!$B:$B,$A117,ConfirmedRaw!M:M)</f>
        <v>0</v>
      </c>
      <c r="K117">
        <f>SUMIF(ConfirmedRaw!$B:$B,$A117,ConfirmedRaw!N:N)</f>
        <v>0</v>
      </c>
      <c r="L117">
        <f>SUMIF(ConfirmedRaw!$B:$B,$A117,ConfirmedRaw!O:O)</f>
        <v>0</v>
      </c>
      <c r="M117">
        <f>SUMIF(ConfirmedRaw!$B:$B,$A117,ConfirmedRaw!P:P)</f>
        <v>0</v>
      </c>
      <c r="N117">
        <f>SUMIF(ConfirmedRaw!$B:$B,$A117,ConfirmedRaw!Q:Q)</f>
        <v>0</v>
      </c>
      <c r="O117">
        <f>SUMIF(ConfirmedRaw!$B:$B,$A117,ConfirmedRaw!R:R)</f>
        <v>0</v>
      </c>
      <c r="P117">
        <f>SUMIF(ConfirmedRaw!$B:$B,$A117,ConfirmedRaw!S:S)</f>
        <v>0</v>
      </c>
      <c r="Q117">
        <f>SUMIF(ConfirmedRaw!$B:$B,$A117,ConfirmedRaw!T:T)</f>
        <v>0</v>
      </c>
      <c r="R117">
        <f>SUMIF(ConfirmedRaw!$B:$B,$A117,ConfirmedRaw!U:U)</f>
        <v>0</v>
      </c>
      <c r="S117">
        <f>SUMIF(ConfirmedRaw!$B:$B,$A117,ConfirmedRaw!V:V)</f>
        <v>0</v>
      </c>
      <c r="T117">
        <f>SUMIF(ConfirmedRaw!$B:$B,$A117,ConfirmedRaw!W:W)</f>
        <v>0</v>
      </c>
      <c r="U117">
        <f>SUMIF(ConfirmedRaw!$B:$B,$A117,ConfirmedRaw!X:X)</f>
        <v>0</v>
      </c>
      <c r="V117">
        <f>SUMIF(ConfirmedRaw!$B:$B,$A117,ConfirmedRaw!Y:Y)</f>
        <v>0</v>
      </c>
      <c r="W117">
        <f>SUMIF(ConfirmedRaw!$B:$B,$A117,ConfirmedRaw!Z:Z)</f>
        <v>0</v>
      </c>
      <c r="X117">
        <f>SUMIF(ConfirmedRaw!$B:$B,$A117,ConfirmedRaw!AA:AA)</f>
        <v>0</v>
      </c>
      <c r="Y117">
        <f>SUMIF(ConfirmedRaw!$B:$B,$A117,ConfirmedRaw!AB:AB)</f>
        <v>0</v>
      </c>
      <c r="Z117">
        <f>SUMIF(ConfirmedRaw!$B:$B,$A117,ConfirmedRaw!AC:AC)</f>
        <v>0</v>
      </c>
      <c r="AA117">
        <f>SUMIF(ConfirmedRaw!$B:$B,$A117,ConfirmedRaw!AD:AD)</f>
        <v>0</v>
      </c>
      <c r="AB117">
        <f>SUMIF(ConfirmedRaw!$B:$B,$A117,ConfirmedRaw!AE:AE)</f>
        <v>0</v>
      </c>
      <c r="AC117">
        <f>SUMIF(ConfirmedRaw!$B:$B,$A117,ConfirmedRaw!AF:AF)</f>
        <v>0</v>
      </c>
      <c r="AD117">
        <f>SUMIF(ConfirmedRaw!$B:$B,$A117,ConfirmedRaw!AG:AG)</f>
        <v>0</v>
      </c>
      <c r="AE117">
        <f>SUMIF(ConfirmedRaw!$B:$B,$A117,ConfirmedRaw!AH:AH)</f>
        <v>0</v>
      </c>
      <c r="AF117">
        <f>SUMIF(ConfirmedRaw!$B:$B,$A117,ConfirmedRaw!AI:AI)</f>
        <v>0</v>
      </c>
      <c r="AG117">
        <f>SUMIF(ConfirmedRaw!$B:$B,$A117,ConfirmedRaw!AJ:AJ)</f>
        <v>0</v>
      </c>
      <c r="AH117">
        <f>SUMIF(ConfirmedRaw!$B:$B,$A117,ConfirmedRaw!AK:AK)</f>
        <v>0</v>
      </c>
      <c r="AI117">
        <f>SUMIF(ConfirmedRaw!$B:$B,$A117,ConfirmedRaw!AL:AL)</f>
        <v>0</v>
      </c>
      <c r="AJ117">
        <f>SUMIF(ConfirmedRaw!$B:$B,$A117,ConfirmedRaw!AM:AM)</f>
        <v>0</v>
      </c>
      <c r="AK117">
        <f>SUMIF(ConfirmedRaw!$B:$B,$A117,ConfirmedRaw!AN:AN)</f>
        <v>0</v>
      </c>
      <c r="AL117">
        <f>SUMIF(ConfirmedRaw!$B:$B,$A117,ConfirmedRaw!AO:AO)</f>
        <v>0</v>
      </c>
      <c r="AM117">
        <f>SUMIF(ConfirmedRaw!$B:$B,$A117,ConfirmedRaw!AP:AP)</f>
        <v>0</v>
      </c>
      <c r="AN117">
        <f>SUMIF(ConfirmedRaw!$B:$B,$A117,ConfirmedRaw!AQ:AQ)</f>
        <v>0</v>
      </c>
      <c r="AO117">
        <f>SUMIF(ConfirmedRaw!$B:$B,$A117,ConfirmedRaw!AR:AR)</f>
        <v>0</v>
      </c>
      <c r="AP117">
        <f>SUMIF(ConfirmedRaw!$B:$B,$A117,ConfirmedRaw!AS:AS)</f>
        <v>0</v>
      </c>
      <c r="AQ117">
        <f>SUMIF(ConfirmedRaw!$B:$B,$A117,ConfirmedRaw!AT:AT)</f>
        <v>0</v>
      </c>
      <c r="AR117">
        <f>SUMIF(ConfirmedRaw!$B:$B,$A117,ConfirmedRaw!AU:AU)</f>
        <v>0</v>
      </c>
      <c r="AS117">
        <f>SUMIF(ConfirmedRaw!$B:$B,$A117,ConfirmedRaw!AV:AV)</f>
        <v>0</v>
      </c>
      <c r="AT117">
        <f>SUMIF(ConfirmedRaw!$B:$B,$A117,ConfirmedRaw!AW:AW)</f>
        <v>0</v>
      </c>
      <c r="AU117">
        <f>SUMIF(ConfirmedRaw!$B:$B,$A117,ConfirmedRaw!AX:AX)</f>
        <v>0</v>
      </c>
      <c r="AV117">
        <f>SUMIF(ConfirmedRaw!$B:$B,$A117,ConfirmedRaw!AY:AY)</f>
        <v>0</v>
      </c>
      <c r="AW117">
        <f>SUMIF(ConfirmedRaw!$B:$B,$A117,ConfirmedRaw!AZ:AZ)</f>
        <v>0</v>
      </c>
      <c r="AX117">
        <f>SUMIF(ConfirmedRaw!$B:$B,$A117,ConfirmedRaw!BA:BA)</f>
        <v>0</v>
      </c>
      <c r="AY117">
        <f>SUMIF(ConfirmedRaw!$B:$B,$A117,ConfirmedRaw!BB:BB)</f>
        <v>0</v>
      </c>
      <c r="AZ117">
        <f>SUMIF(ConfirmedRaw!$B:$B,$A117,ConfirmedRaw!BC:BC)</f>
        <v>0</v>
      </c>
      <c r="BA117">
        <f>SUMIF(ConfirmedRaw!$B:$B,$A117,ConfirmedRaw!BD:BD)</f>
        <v>1</v>
      </c>
      <c r="BB117">
        <f>SUMIF(ConfirmedRaw!$B:$B,$A117,ConfirmedRaw!BE:BE)</f>
        <v>1</v>
      </c>
      <c r="BC117">
        <f>SUMIF(ConfirmedRaw!$B:$B,$A117,ConfirmedRaw!BF:BF)</f>
        <v>1</v>
      </c>
      <c r="BD117">
        <f>SUMIF(ConfirmedRaw!$B:$B,$A117,ConfirmedRaw!BG:BG)</f>
        <v>1</v>
      </c>
      <c r="BE117">
        <f>SUMIF(ConfirmedRaw!$B:$B,$A117,ConfirmedRaw!BH:BH)</f>
        <v>1</v>
      </c>
      <c r="BF117">
        <f>SUMIF(ConfirmedRaw!$B:$B,$A117,ConfirmedRaw!BI:BI)</f>
        <v>1</v>
      </c>
      <c r="BG117">
        <f>SUMIF(ConfirmedRaw!$B:$B,$A117,ConfirmedRaw!BJ:BJ)</f>
        <v>1</v>
      </c>
      <c r="BH117">
        <f>SUMIF(ConfirmedRaw!$B:$B,$A117,ConfirmedRaw!BK:BK)</f>
        <v>1</v>
      </c>
      <c r="BI117">
        <f>SUMIF(ConfirmedRaw!$B:$B,$A117,ConfirmedRaw!BL:BL)</f>
        <v>0</v>
      </c>
      <c r="BJ117">
        <f>SUMIF(ConfirmedRaw!$B:$B,$A117,ConfirmedRaw!BM:BM)</f>
        <v>0</v>
      </c>
      <c r="BK117">
        <f>SUMIF(ConfirmedRaw!$B:$B,$A117,ConfirmedRaw!BN:BN)</f>
        <v>0</v>
      </c>
      <c r="BL117">
        <f>SUMIF(ConfirmedRaw!$B:$B,$A117,ConfirmedRaw!BO:BO)</f>
        <v>0</v>
      </c>
      <c r="BM117">
        <f>SUMIF(ConfirmedRaw!$B:$B,$A117,ConfirmedRaw!BP:BP)</f>
        <v>0</v>
      </c>
      <c r="BN117">
        <f>SUMIF(ConfirmedRaw!$B:$B,$A117,ConfirmedRaw!BQ:BQ)</f>
        <v>0</v>
      </c>
      <c r="BO117">
        <f>SUMIF(ConfirmedRaw!$B:$B,$A117,ConfirmedRaw!BR:BR)</f>
        <v>0</v>
      </c>
      <c r="BP117">
        <f>SUMIF(ConfirmedRaw!$B:$B,$A117,ConfirmedRaw!BS:BS)</f>
        <v>0</v>
      </c>
      <c r="BQ117">
        <f>SUMIF(ConfirmedRaw!$B:$B,$A117,ConfirmedRaw!BT:BT)</f>
        <v>0</v>
      </c>
      <c r="BR117">
        <f>SUMIF(ConfirmedRaw!$B:$B,$A117,ConfirmedRaw!BU:BU)</f>
        <v>0</v>
      </c>
      <c r="BS117">
        <f>SUMIF(ConfirmedRaw!$B:$B,$A117,ConfirmedRaw!BV:BV)</f>
        <v>0</v>
      </c>
      <c r="BT117">
        <f>SUMIF(ConfirmedRaw!$B:$B,$A117,ConfirmedRaw!BW:BW)</f>
        <v>0</v>
      </c>
    </row>
    <row r="118" spans="1:72" ht="15" thickBot="1" x14ac:dyDescent="0.35">
      <c r="A118" s="3" t="s">
        <v>411</v>
      </c>
      <c r="B118">
        <f>SUMIF(ConfirmedRaw!$B:$B,$A118,ConfirmedRaw!E:E)</f>
        <v>0</v>
      </c>
      <c r="C118">
        <f>SUMIF(ConfirmedRaw!$B:$B,$A118,ConfirmedRaw!F:F)</f>
        <v>0</v>
      </c>
      <c r="D118">
        <f>SUMIF(ConfirmedRaw!$B:$B,$A118,ConfirmedRaw!G:G)</f>
        <v>0</v>
      </c>
      <c r="E118">
        <f>SUMIF(ConfirmedRaw!$B:$B,$A118,ConfirmedRaw!H:H)</f>
        <v>0</v>
      </c>
      <c r="F118">
        <f>SUMIF(ConfirmedRaw!$B:$B,$A118,ConfirmedRaw!I:I)</f>
        <v>0</v>
      </c>
      <c r="G118">
        <f>SUMIF(ConfirmedRaw!$B:$B,$A118,ConfirmedRaw!J:J)</f>
        <v>0</v>
      </c>
      <c r="H118">
        <f>SUMIF(ConfirmedRaw!$B:$B,$A118,ConfirmedRaw!K:K)</f>
        <v>0</v>
      </c>
      <c r="I118">
        <f>SUMIF(ConfirmedRaw!$B:$B,$A118,ConfirmedRaw!L:L)</f>
        <v>0</v>
      </c>
      <c r="J118">
        <f>SUMIF(ConfirmedRaw!$B:$B,$A118,ConfirmedRaw!M:M)</f>
        <v>0</v>
      </c>
      <c r="K118">
        <f>SUMIF(ConfirmedRaw!$B:$B,$A118,ConfirmedRaw!N:N)</f>
        <v>0</v>
      </c>
      <c r="L118">
        <f>SUMIF(ConfirmedRaw!$B:$B,$A118,ConfirmedRaw!O:O)</f>
        <v>0</v>
      </c>
      <c r="M118">
        <f>SUMIF(ConfirmedRaw!$B:$B,$A118,ConfirmedRaw!P:P)</f>
        <v>0</v>
      </c>
      <c r="N118">
        <f>SUMIF(ConfirmedRaw!$B:$B,$A118,ConfirmedRaw!Q:Q)</f>
        <v>0</v>
      </c>
      <c r="O118">
        <f>SUMIF(ConfirmedRaw!$B:$B,$A118,ConfirmedRaw!R:R)</f>
        <v>0</v>
      </c>
      <c r="P118">
        <f>SUMIF(ConfirmedRaw!$B:$B,$A118,ConfirmedRaw!S:S)</f>
        <v>0</v>
      </c>
      <c r="Q118">
        <f>SUMIF(ConfirmedRaw!$B:$B,$A118,ConfirmedRaw!T:T)</f>
        <v>0</v>
      </c>
      <c r="R118">
        <f>SUMIF(ConfirmedRaw!$B:$B,$A118,ConfirmedRaw!U:U)</f>
        <v>0</v>
      </c>
      <c r="S118">
        <f>SUMIF(ConfirmedRaw!$B:$B,$A118,ConfirmedRaw!V:V)</f>
        <v>0</v>
      </c>
      <c r="T118">
        <f>SUMIF(ConfirmedRaw!$B:$B,$A118,ConfirmedRaw!W:W)</f>
        <v>0</v>
      </c>
      <c r="U118">
        <f>SUMIF(ConfirmedRaw!$B:$B,$A118,ConfirmedRaw!X:X)</f>
        <v>0</v>
      </c>
      <c r="V118">
        <f>SUMIF(ConfirmedRaw!$B:$B,$A118,ConfirmedRaw!Y:Y)</f>
        <v>0</v>
      </c>
      <c r="W118">
        <f>SUMIF(ConfirmedRaw!$B:$B,$A118,ConfirmedRaw!Z:Z)</f>
        <v>0</v>
      </c>
      <c r="X118">
        <f>SUMIF(ConfirmedRaw!$B:$B,$A118,ConfirmedRaw!AA:AA)</f>
        <v>0</v>
      </c>
      <c r="Y118">
        <f>SUMIF(ConfirmedRaw!$B:$B,$A118,ConfirmedRaw!AB:AB)</f>
        <v>0</v>
      </c>
      <c r="Z118">
        <f>SUMIF(ConfirmedRaw!$B:$B,$A118,ConfirmedRaw!AC:AC)</f>
        <v>0</v>
      </c>
      <c r="AA118">
        <f>SUMIF(ConfirmedRaw!$B:$B,$A118,ConfirmedRaw!AD:AD)</f>
        <v>0</v>
      </c>
      <c r="AB118">
        <f>SUMIF(ConfirmedRaw!$B:$B,$A118,ConfirmedRaw!AE:AE)</f>
        <v>0</v>
      </c>
      <c r="AC118">
        <f>SUMIF(ConfirmedRaw!$B:$B,$A118,ConfirmedRaw!AF:AF)</f>
        <v>0</v>
      </c>
      <c r="AD118">
        <f>SUMIF(ConfirmedRaw!$B:$B,$A118,ConfirmedRaw!AG:AG)</f>
        <v>0</v>
      </c>
      <c r="AE118">
        <f>SUMIF(ConfirmedRaw!$B:$B,$A118,ConfirmedRaw!AH:AH)</f>
        <v>0</v>
      </c>
      <c r="AF118">
        <f>SUMIF(ConfirmedRaw!$B:$B,$A118,ConfirmedRaw!AI:AI)</f>
        <v>0</v>
      </c>
      <c r="AG118">
        <f>SUMIF(ConfirmedRaw!$B:$B,$A118,ConfirmedRaw!AJ:AJ)</f>
        <v>0</v>
      </c>
      <c r="AH118">
        <f>SUMIF(ConfirmedRaw!$B:$B,$A118,ConfirmedRaw!AK:AK)</f>
        <v>0</v>
      </c>
      <c r="AI118">
        <f>SUMIF(ConfirmedRaw!$B:$B,$A118,ConfirmedRaw!AL:AL)</f>
        <v>0</v>
      </c>
      <c r="AJ118">
        <f>SUMIF(ConfirmedRaw!$B:$B,$A118,ConfirmedRaw!AM:AM)</f>
        <v>0</v>
      </c>
      <c r="AK118">
        <f>SUMIF(ConfirmedRaw!$B:$B,$A118,ConfirmedRaw!AN:AN)</f>
        <v>0</v>
      </c>
      <c r="AL118">
        <f>SUMIF(ConfirmedRaw!$B:$B,$A118,ConfirmedRaw!AO:AO)</f>
        <v>0</v>
      </c>
      <c r="AM118">
        <f>SUMIF(ConfirmedRaw!$B:$B,$A118,ConfirmedRaw!AP:AP)</f>
        <v>0</v>
      </c>
      <c r="AN118">
        <f>SUMIF(ConfirmedRaw!$B:$B,$A118,ConfirmedRaw!AQ:AQ)</f>
        <v>0</v>
      </c>
      <c r="AO118">
        <f>SUMIF(ConfirmedRaw!$B:$B,$A118,ConfirmedRaw!AR:AR)</f>
        <v>0</v>
      </c>
      <c r="AP118">
        <f>SUMIF(ConfirmedRaw!$B:$B,$A118,ConfirmedRaw!AS:AS)</f>
        <v>0</v>
      </c>
      <c r="AQ118">
        <f>SUMIF(ConfirmedRaw!$B:$B,$A118,ConfirmedRaw!AT:AT)</f>
        <v>0</v>
      </c>
      <c r="AR118">
        <f>SUMIF(ConfirmedRaw!$B:$B,$A118,ConfirmedRaw!AU:AU)</f>
        <v>0</v>
      </c>
      <c r="AS118">
        <f>SUMIF(ConfirmedRaw!$B:$B,$A118,ConfirmedRaw!AV:AV)</f>
        <v>0</v>
      </c>
      <c r="AT118">
        <f>SUMIF(ConfirmedRaw!$B:$B,$A118,ConfirmedRaw!AW:AW)</f>
        <v>0</v>
      </c>
      <c r="AU118">
        <f>SUMIF(ConfirmedRaw!$B:$B,$A118,ConfirmedRaw!AX:AX)</f>
        <v>0</v>
      </c>
      <c r="AV118">
        <f>SUMIF(ConfirmedRaw!$B:$B,$A118,ConfirmedRaw!AY:AY)</f>
        <v>0</v>
      </c>
      <c r="AW118">
        <f>SUMIF(ConfirmedRaw!$B:$B,$A118,ConfirmedRaw!AZ:AZ)</f>
        <v>0</v>
      </c>
      <c r="AX118">
        <f>SUMIF(ConfirmedRaw!$B:$B,$A118,ConfirmedRaw!BA:BA)</f>
        <v>0</v>
      </c>
      <c r="AY118">
        <f>SUMIF(ConfirmedRaw!$B:$B,$A118,ConfirmedRaw!BB:BB)</f>
        <v>0</v>
      </c>
      <c r="AZ118">
        <f>SUMIF(ConfirmedRaw!$B:$B,$A118,ConfirmedRaw!BC:BC)</f>
        <v>1</v>
      </c>
      <c r="BA118">
        <f>SUMIF(ConfirmedRaw!$B:$B,$A118,ConfirmedRaw!BD:BD)</f>
        <v>1</v>
      </c>
      <c r="BB118">
        <f>SUMIF(ConfirmedRaw!$B:$B,$A118,ConfirmedRaw!BE:BE)</f>
        <v>1</v>
      </c>
      <c r="BC118">
        <f>SUMIF(ConfirmedRaw!$B:$B,$A118,ConfirmedRaw!BF:BF)</f>
        <v>4</v>
      </c>
      <c r="BD118">
        <f>SUMIF(ConfirmedRaw!$B:$B,$A118,ConfirmedRaw!BG:BG)</f>
        <v>4</v>
      </c>
      <c r="BE118">
        <f>SUMIF(ConfirmedRaw!$B:$B,$A118,ConfirmedRaw!BH:BH)</f>
        <v>7</v>
      </c>
      <c r="BF118">
        <f>SUMIF(ConfirmedRaw!$B:$B,$A118,ConfirmedRaw!BI:BI)</f>
        <v>7</v>
      </c>
      <c r="BG118">
        <f>SUMIF(ConfirmedRaw!$B:$B,$A118,ConfirmedRaw!BJ:BJ)</f>
        <v>7</v>
      </c>
      <c r="BH118">
        <f>SUMIF(ConfirmedRaw!$B:$B,$A118,ConfirmedRaw!BK:BK)</f>
        <v>7</v>
      </c>
      <c r="BI118">
        <f>SUMIF(ConfirmedRaw!$B:$B,$A118,ConfirmedRaw!BL:BL)</f>
        <v>0</v>
      </c>
      <c r="BJ118">
        <f>SUMIF(ConfirmedRaw!$B:$B,$A118,ConfirmedRaw!BM:BM)</f>
        <v>0</v>
      </c>
      <c r="BK118">
        <f>SUMIF(ConfirmedRaw!$B:$B,$A118,ConfirmedRaw!BN:BN)</f>
        <v>0</v>
      </c>
      <c r="BL118">
        <f>SUMIF(ConfirmedRaw!$B:$B,$A118,ConfirmedRaw!BO:BO)</f>
        <v>0</v>
      </c>
      <c r="BM118">
        <f>SUMIF(ConfirmedRaw!$B:$B,$A118,ConfirmedRaw!BP:BP)</f>
        <v>0</v>
      </c>
      <c r="BN118">
        <f>SUMIF(ConfirmedRaw!$B:$B,$A118,ConfirmedRaw!BQ:BQ)</f>
        <v>0</v>
      </c>
      <c r="BO118">
        <f>SUMIF(ConfirmedRaw!$B:$B,$A118,ConfirmedRaw!BR:BR)</f>
        <v>0</v>
      </c>
      <c r="BP118">
        <f>SUMIF(ConfirmedRaw!$B:$B,$A118,ConfirmedRaw!BS:BS)</f>
        <v>0</v>
      </c>
      <c r="BQ118">
        <f>SUMIF(ConfirmedRaw!$B:$B,$A118,ConfirmedRaw!BT:BT)</f>
        <v>0</v>
      </c>
      <c r="BR118">
        <f>SUMIF(ConfirmedRaw!$B:$B,$A118,ConfirmedRaw!BU:BU)</f>
        <v>0</v>
      </c>
      <c r="BS118">
        <f>SUMIF(ConfirmedRaw!$B:$B,$A118,ConfirmedRaw!BV:BV)</f>
        <v>0</v>
      </c>
      <c r="BT118">
        <f>SUMIF(ConfirmedRaw!$B:$B,$A118,ConfirmedRaw!BW:BW)</f>
        <v>0</v>
      </c>
    </row>
    <row r="119" spans="1:72" ht="15" thickBot="1" x14ac:dyDescent="0.35">
      <c r="A119" s="3" t="s">
        <v>281</v>
      </c>
      <c r="B119">
        <f>SUMIF(ConfirmedRaw!$B:$B,$A119,ConfirmedRaw!E:E)</f>
        <v>0</v>
      </c>
      <c r="C119">
        <f>SUMIF(ConfirmedRaw!$B:$B,$A119,ConfirmedRaw!F:F)</f>
        <v>0</v>
      </c>
      <c r="D119">
        <f>SUMIF(ConfirmedRaw!$B:$B,$A119,ConfirmedRaw!G:G)</f>
        <v>0</v>
      </c>
      <c r="E119">
        <f>SUMIF(ConfirmedRaw!$B:$B,$A119,ConfirmedRaw!H:H)</f>
        <v>0</v>
      </c>
      <c r="F119">
        <f>SUMIF(ConfirmedRaw!$B:$B,$A119,ConfirmedRaw!I:I)</f>
        <v>0</v>
      </c>
      <c r="G119">
        <f>SUMIF(ConfirmedRaw!$B:$B,$A119,ConfirmedRaw!J:J)</f>
        <v>0</v>
      </c>
      <c r="H119">
        <f>SUMIF(ConfirmedRaw!$B:$B,$A119,ConfirmedRaw!K:K)</f>
        <v>0</v>
      </c>
      <c r="I119">
        <f>SUMIF(ConfirmedRaw!$B:$B,$A119,ConfirmedRaw!L:L)</f>
        <v>0</v>
      </c>
      <c r="J119">
        <f>SUMIF(ConfirmedRaw!$B:$B,$A119,ConfirmedRaw!M:M)</f>
        <v>0</v>
      </c>
      <c r="K119">
        <f>SUMIF(ConfirmedRaw!$B:$B,$A119,ConfirmedRaw!N:N)</f>
        <v>0</v>
      </c>
      <c r="L119">
        <f>SUMIF(ConfirmedRaw!$B:$B,$A119,ConfirmedRaw!O:O)</f>
        <v>0</v>
      </c>
      <c r="M119">
        <f>SUMIF(ConfirmedRaw!$B:$B,$A119,ConfirmedRaw!P:P)</f>
        <v>0</v>
      </c>
      <c r="N119">
        <f>SUMIF(ConfirmedRaw!$B:$B,$A119,ConfirmedRaw!Q:Q)</f>
        <v>0</v>
      </c>
      <c r="O119">
        <f>SUMIF(ConfirmedRaw!$B:$B,$A119,ConfirmedRaw!R:R)</f>
        <v>0</v>
      </c>
      <c r="P119">
        <f>SUMIF(ConfirmedRaw!$B:$B,$A119,ConfirmedRaw!S:S)</f>
        <v>0</v>
      </c>
      <c r="Q119">
        <f>SUMIF(ConfirmedRaw!$B:$B,$A119,ConfirmedRaw!T:T)</f>
        <v>0</v>
      </c>
      <c r="R119">
        <f>SUMIF(ConfirmedRaw!$B:$B,$A119,ConfirmedRaw!U:U)</f>
        <v>0</v>
      </c>
      <c r="S119">
        <f>SUMIF(ConfirmedRaw!$B:$B,$A119,ConfirmedRaw!V:V)</f>
        <v>0</v>
      </c>
      <c r="T119">
        <f>SUMIF(ConfirmedRaw!$B:$B,$A119,ConfirmedRaw!W:W)</f>
        <v>0</v>
      </c>
      <c r="U119">
        <f>SUMIF(ConfirmedRaw!$B:$B,$A119,ConfirmedRaw!X:X)</f>
        <v>0</v>
      </c>
      <c r="V119">
        <f>SUMIF(ConfirmedRaw!$B:$B,$A119,ConfirmedRaw!Y:Y)</f>
        <v>0</v>
      </c>
      <c r="W119">
        <f>SUMIF(ConfirmedRaw!$B:$B,$A119,ConfirmedRaw!Z:Z)</f>
        <v>0</v>
      </c>
      <c r="X119">
        <f>SUMIF(ConfirmedRaw!$B:$B,$A119,ConfirmedRaw!AA:AA)</f>
        <v>0</v>
      </c>
      <c r="Y119">
        <f>SUMIF(ConfirmedRaw!$B:$B,$A119,ConfirmedRaw!AB:AB)</f>
        <v>0</v>
      </c>
      <c r="Z119">
        <f>SUMIF(ConfirmedRaw!$B:$B,$A119,ConfirmedRaw!AC:AC)</f>
        <v>0</v>
      </c>
      <c r="AA119">
        <f>SUMIF(ConfirmedRaw!$B:$B,$A119,ConfirmedRaw!AD:AD)</f>
        <v>0</v>
      </c>
      <c r="AB119">
        <f>SUMIF(ConfirmedRaw!$B:$B,$A119,ConfirmedRaw!AE:AE)</f>
        <v>0</v>
      </c>
      <c r="AC119">
        <f>SUMIF(ConfirmedRaw!$B:$B,$A119,ConfirmedRaw!AF:AF)</f>
        <v>0</v>
      </c>
      <c r="AD119">
        <f>SUMIF(ConfirmedRaw!$B:$B,$A119,ConfirmedRaw!AG:AG)</f>
        <v>0</v>
      </c>
      <c r="AE119">
        <f>SUMIF(ConfirmedRaw!$B:$B,$A119,ConfirmedRaw!AH:AH)</f>
        <v>0</v>
      </c>
      <c r="AF119">
        <f>SUMIF(ConfirmedRaw!$B:$B,$A119,ConfirmedRaw!AI:AI)</f>
        <v>0</v>
      </c>
      <c r="AG119">
        <f>SUMIF(ConfirmedRaw!$B:$B,$A119,ConfirmedRaw!AJ:AJ)</f>
        <v>0</v>
      </c>
      <c r="AH119">
        <f>SUMIF(ConfirmedRaw!$B:$B,$A119,ConfirmedRaw!AK:AK)</f>
        <v>0</v>
      </c>
      <c r="AI119">
        <f>SUMIF(ConfirmedRaw!$B:$B,$A119,ConfirmedRaw!AL:AL)</f>
        <v>0</v>
      </c>
      <c r="AJ119">
        <f>SUMIF(ConfirmedRaw!$B:$B,$A119,ConfirmedRaw!AM:AM)</f>
        <v>0</v>
      </c>
      <c r="AK119">
        <f>SUMIF(ConfirmedRaw!$B:$B,$A119,ConfirmedRaw!AN:AN)</f>
        <v>0</v>
      </c>
      <c r="AL119">
        <f>SUMIF(ConfirmedRaw!$B:$B,$A119,ConfirmedRaw!AO:AO)</f>
        <v>0</v>
      </c>
      <c r="AM119">
        <f>SUMIF(ConfirmedRaw!$B:$B,$A119,ConfirmedRaw!AP:AP)</f>
        <v>0</v>
      </c>
      <c r="AN119">
        <f>SUMIF(ConfirmedRaw!$B:$B,$A119,ConfirmedRaw!AQ:AQ)</f>
        <v>0</v>
      </c>
      <c r="AO119">
        <f>SUMIF(ConfirmedRaw!$B:$B,$A119,ConfirmedRaw!AR:AR)</f>
        <v>0</v>
      </c>
      <c r="AP119">
        <f>SUMIF(ConfirmedRaw!$B:$B,$A119,ConfirmedRaw!AS:AS)</f>
        <v>0</v>
      </c>
      <c r="AQ119">
        <f>SUMIF(ConfirmedRaw!$B:$B,$A119,ConfirmedRaw!AT:AT)</f>
        <v>0</v>
      </c>
      <c r="AR119">
        <f>SUMIF(ConfirmedRaw!$B:$B,$A119,ConfirmedRaw!AU:AU)</f>
        <v>0</v>
      </c>
      <c r="AS119">
        <f>SUMIF(ConfirmedRaw!$B:$B,$A119,ConfirmedRaw!AV:AV)</f>
        <v>0</v>
      </c>
      <c r="AT119">
        <f>SUMIF(ConfirmedRaw!$B:$B,$A119,ConfirmedRaw!AW:AW)</f>
        <v>1</v>
      </c>
      <c r="AU119">
        <f>SUMIF(ConfirmedRaw!$B:$B,$A119,ConfirmedRaw!AX:AX)</f>
        <v>1</v>
      </c>
      <c r="AV119">
        <f>SUMIF(ConfirmedRaw!$B:$B,$A119,ConfirmedRaw!AY:AY)</f>
        <v>1</v>
      </c>
      <c r="AW119">
        <f>SUMIF(ConfirmedRaw!$B:$B,$A119,ConfirmedRaw!AZ:AZ)</f>
        <v>1</v>
      </c>
      <c r="AX119">
        <f>SUMIF(ConfirmedRaw!$B:$B,$A119,ConfirmedRaw!BA:BA)</f>
        <v>1</v>
      </c>
      <c r="AY119">
        <f>SUMIF(ConfirmedRaw!$B:$B,$A119,ConfirmedRaw!BB:BB)</f>
        <v>1</v>
      </c>
      <c r="AZ119">
        <f>SUMIF(ConfirmedRaw!$B:$B,$A119,ConfirmedRaw!BC:BC)</f>
        <v>1</v>
      </c>
      <c r="BA119">
        <f>SUMIF(ConfirmedRaw!$B:$B,$A119,ConfirmedRaw!BD:BD)</f>
        <v>1</v>
      </c>
      <c r="BB119">
        <f>SUMIF(ConfirmedRaw!$B:$B,$A119,ConfirmedRaw!BE:BE)</f>
        <v>1</v>
      </c>
      <c r="BC119">
        <f>SUMIF(ConfirmedRaw!$B:$B,$A119,ConfirmedRaw!BF:BF)</f>
        <v>1</v>
      </c>
      <c r="BD119">
        <f>SUMIF(ConfirmedRaw!$B:$B,$A119,ConfirmedRaw!BG:BG)</f>
        <v>1</v>
      </c>
      <c r="BE119">
        <f>SUMIF(ConfirmedRaw!$B:$B,$A119,ConfirmedRaw!BH:BH)</f>
        <v>1</v>
      </c>
      <c r="BF119">
        <f>SUMIF(ConfirmedRaw!$B:$B,$A119,ConfirmedRaw!BI:BI)</f>
        <v>1</v>
      </c>
      <c r="BG119">
        <f>SUMIF(ConfirmedRaw!$B:$B,$A119,ConfirmedRaw!BJ:BJ)</f>
        <v>1</v>
      </c>
      <c r="BH119">
        <f>SUMIF(ConfirmedRaw!$B:$B,$A119,ConfirmedRaw!BK:BK)</f>
        <v>1</v>
      </c>
      <c r="BI119">
        <f>SUMIF(ConfirmedRaw!$B:$B,$A119,ConfirmedRaw!BL:BL)</f>
        <v>0</v>
      </c>
      <c r="BJ119">
        <f>SUMIF(ConfirmedRaw!$B:$B,$A119,ConfirmedRaw!BM:BM)</f>
        <v>0</v>
      </c>
      <c r="BK119">
        <f>SUMIF(ConfirmedRaw!$B:$B,$A119,ConfirmedRaw!BN:BN)</f>
        <v>0</v>
      </c>
      <c r="BL119">
        <f>SUMIF(ConfirmedRaw!$B:$B,$A119,ConfirmedRaw!BO:BO)</f>
        <v>0</v>
      </c>
      <c r="BM119">
        <f>SUMIF(ConfirmedRaw!$B:$B,$A119,ConfirmedRaw!BP:BP)</f>
        <v>0</v>
      </c>
      <c r="BN119">
        <f>SUMIF(ConfirmedRaw!$B:$B,$A119,ConfirmedRaw!BQ:BQ)</f>
        <v>0</v>
      </c>
      <c r="BO119">
        <f>SUMIF(ConfirmedRaw!$B:$B,$A119,ConfirmedRaw!BR:BR)</f>
        <v>0</v>
      </c>
      <c r="BP119">
        <f>SUMIF(ConfirmedRaw!$B:$B,$A119,ConfirmedRaw!BS:BS)</f>
        <v>0</v>
      </c>
      <c r="BQ119">
        <f>SUMIF(ConfirmedRaw!$B:$B,$A119,ConfirmedRaw!BT:BT)</f>
        <v>0</v>
      </c>
      <c r="BR119">
        <f>SUMIF(ConfirmedRaw!$B:$B,$A119,ConfirmedRaw!BU:BU)</f>
        <v>0</v>
      </c>
      <c r="BS119">
        <f>SUMIF(ConfirmedRaw!$B:$B,$A119,ConfirmedRaw!BV:BV)</f>
        <v>0</v>
      </c>
      <c r="BT119">
        <f>SUMIF(ConfirmedRaw!$B:$B,$A119,ConfirmedRaw!BW:BW)</f>
        <v>0</v>
      </c>
    </row>
    <row r="120" spans="1:72" ht="15" thickBot="1" x14ac:dyDescent="0.35">
      <c r="A120" s="4" t="s">
        <v>125</v>
      </c>
      <c r="B120">
        <f>SUMIF(ConfirmedRaw!$B:$B,$A120,ConfirmedRaw!E:E)</f>
        <v>0</v>
      </c>
      <c r="C120">
        <f>SUMIF(ConfirmedRaw!$B:$B,$A120,ConfirmedRaw!F:F)</f>
        <v>0</v>
      </c>
      <c r="D120">
        <f>SUMIF(ConfirmedRaw!$B:$B,$A120,ConfirmedRaw!G:G)</f>
        <v>0</v>
      </c>
      <c r="E120">
        <f>SUMIF(ConfirmedRaw!$B:$B,$A120,ConfirmedRaw!H:H)</f>
        <v>0</v>
      </c>
      <c r="F120">
        <f>SUMIF(ConfirmedRaw!$B:$B,$A120,ConfirmedRaw!I:I)</f>
        <v>0</v>
      </c>
      <c r="G120">
        <f>SUMIF(ConfirmedRaw!$B:$B,$A120,ConfirmedRaw!J:J)</f>
        <v>0</v>
      </c>
      <c r="H120">
        <f>SUMIF(ConfirmedRaw!$B:$B,$A120,ConfirmedRaw!K:K)</f>
        <v>0</v>
      </c>
      <c r="I120">
        <f>SUMIF(ConfirmedRaw!$B:$B,$A120,ConfirmedRaw!L:L)</f>
        <v>0</v>
      </c>
      <c r="J120">
        <f>SUMIF(ConfirmedRaw!$B:$B,$A120,ConfirmedRaw!M:M)</f>
        <v>0</v>
      </c>
      <c r="K120">
        <f>SUMIF(ConfirmedRaw!$B:$B,$A120,ConfirmedRaw!N:N)</f>
        <v>0</v>
      </c>
      <c r="L120">
        <f>SUMIF(ConfirmedRaw!$B:$B,$A120,ConfirmedRaw!O:O)</f>
        <v>0</v>
      </c>
      <c r="M120">
        <f>SUMIF(ConfirmedRaw!$B:$B,$A120,ConfirmedRaw!P:P)</f>
        <v>0</v>
      </c>
      <c r="N120">
        <f>SUMIF(ConfirmedRaw!$B:$B,$A120,ConfirmedRaw!Q:Q)</f>
        <v>0</v>
      </c>
      <c r="O120">
        <f>SUMIF(ConfirmedRaw!$B:$B,$A120,ConfirmedRaw!R:R)</f>
        <v>0</v>
      </c>
      <c r="P120">
        <f>SUMIF(ConfirmedRaw!$B:$B,$A120,ConfirmedRaw!S:S)</f>
        <v>0</v>
      </c>
      <c r="Q120">
        <f>SUMIF(ConfirmedRaw!$B:$B,$A120,ConfirmedRaw!T:T)</f>
        <v>0</v>
      </c>
      <c r="R120">
        <f>SUMIF(ConfirmedRaw!$B:$B,$A120,ConfirmedRaw!U:U)</f>
        <v>0</v>
      </c>
      <c r="S120">
        <f>SUMIF(ConfirmedRaw!$B:$B,$A120,ConfirmedRaw!V:V)</f>
        <v>0</v>
      </c>
      <c r="T120">
        <f>SUMIF(ConfirmedRaw!$B:$B,$A120,ConfirmedRaw!W:W)</f>
        <v>0</v>
      </c>
      <c r="U120">
        <f>SUMIF(ConfirmedRaw!$B:$B,$A120,ConfirmedRaw!X:X)</f>
        <v>0</v>
      </c>
      <c r="V120">
        <f>SUMIF(ConfirmedRaw!$B:$B,$A120,ConfirmedRaw!Y:Y)</f>
        <v>0</v>
      </c>
      <c r="W120">
        <f>SUMIF(ConfirmedRaw!$B:$B,$A120,ConfirmedRaw!Z:Z)</f>
        <v>0</v>
      </c>
      <c r="X120">
        <f>SUMIF(ConfirmedRaw!$B:$B,$A120,ConfirmedRaw!AA:AA)</f>
        <v>0</v>
      </c>
      <c r="Y120">
        <f>SUMIF(ConfirmedRaw!$B:$B,$A120,ConfirmedRaw!AB:AB)</f>
        <v>0</v>
      </c>
      <c r="Z120">
        <f>SUMIF(ConfirmedRaw!$B:$B,$A120,ConfirmedRaw!AC:AC)</f>
        <v>0</v>
      </c>
      <c r="AA120">
        <f>SUMIF(ConfirmedRaw!$B:$B,$A120,ConfirmedRaw!AD:AD)</f>
        <v>0</v>
      </c>
      <c r="AB120">
        <f>SUMIF(ConfirmedRaw!$B:$B,$A120,ConfirmedRaw!AE:AE)</f>
        <v>0</v>
      </c>
      <c r="AC120">
        <f>SUMIF(ConfirmedRaw!$B:$B,$A120,ConfirmedRaw!AF:AF)</f>
        <v>0</v>
      </c>
      <c r="AD120">
        <f>SUMIF(ConfirmedRaw!$B:$B,$A120,ConfirmedRaw!AG:AG)</f>
        <v>0</v>
      </c>
      <c r="AE120">
        <f>SUMIF(ConfirmedRaw!$B:$B,$A120,ConfirmedRaw!AH:AH)</f>
        <v>0</v>
      </c>
      <c r="AF120">
        <f>SUMIF(ConfirmedRaw!$B:$B,$A120,ConfirmedRaw!AI:AI)</f>
        <v>0</v>
      </c>
      <c r="AG120">
        <f>SUMIF(ConfirmedRaw!$B:$B,$A120,ConfirmedRaw!AJ:AJ)</f>
        <v>0</v>
      </c>
      <c r="AH120">
        <f>SUMIF(ConfirmedRaw!$B:$B,$A120,ConfirmedRaw!AK:AK)</f>
        <v>0</v>
      </c>
      <c r="AI120">
        <f>SUMIF(ConfirmedRaw!$B:$B,$A120,ConfirmedRaw!AL:AL)</f>
        <v>0</v>
      </c>
      <c r="AJ120">
        <f>SUMIF(ConfirmedRaw!$B:$B,$A120,ConfirmedRaw!AM:AM)</f>
        <v>0</v>
      </c>
      <c r="AK120">
        <f>SUMIF(ConfirmedRaw!$B:$B,$A120,ConfirmedRaw!AN:AN)</f>
        <v>0</v>
      </c>
      <c r="AL120">
        <f>SUMIF(ConfirmedRaw!$B:$B,$A120,ConfirmedRaw!AO:AO)</f>
        <v>0</v>
      </c>
      <c r="AM120">
        <f>SUMIF(ConfirmedRaw!$B:$B,$A120,ConfirmedRaw!AP:AP)</f>
        <v>0</v>
      </c>
      <c r="AN120">
        <f>SUMIF(ConfirmedRaw!$B:$B,$A120,ConfirmedRaw!AQ:AQ)</f>
        <v>0</v>
      </c>
      <c r="AO120">
        <f>SUMIF(ConfirmedRaw!$B:$B,$A120,ConfirmedRaw!AR:AR)</f>
        <v>0</v>
      </c>
      <c r="AP120">
        <f>SUMIF(ConfirmedRaw!$B:$B,$A120,ConfirmedRaw!AS:AS)</f>
        <v>0</v>
      </c>
      <c r="AQ120">
        <f>SUMIF(ConfirmedRaw!$B:$B,$A120,ConfirmedRaw!AT:AT)</f>
        <v>1</v>
      </c>
      <c r="AR120">
        <f>SUMIF(ConfirmedRaw!$B:$B,$A120,ConfirmedRaw!AU:AU)</f>
        <v>1</v>
      </c>
      <c r="AS120">
        <f>SUMIF(ConfirmedRaw!$B:$B,$A120,ConfirmedRaw!AV:AV)</f>
        <v>1</v>
      </c>
      <c r="AT120">
        <f>SUMIF(ConfirmedRaw!$B:$B,$A120,ConfirmedRaw!AW:AW)</f>
        <v>1</v>
      </c>
      <c r="AU120">
        <f>SUMIF(ConfirmedRaw!$B:$B,$A120,ConfirmedRaw!AX:AX)</f>
        <v>1</v>
      </c>
      <c r="AV120">
        <f>SUMIF(ConfirmedRaw!$B:$B,$A120,ConfirmedRaw!AY:AY)</f>
        <v>1</v>
      </c>
      <c r="AW120">
        <f>SUMIF(ConfirmedRaw!$B:$B,$A120,ConfirmedRaw!AZ:AZ)</f>
        <v>1</v>
      </c>
      <c r="AX120">
        <f>SUMIF(ConfirmedRaw!$B:$B,$A120,ConfirmedRaw!BA:BA)</f>
        <v>1</v>
      </c>
      <c r="AY120">
        <f>SUMIF(ConfirmedRaw!$B:$B,$A120,ConfirmedRaw!BB:BB)</f>
        <v>1</v>
      </c>
      <c r="AZ120">
        <f>SUMIF(ConfirmedRaw!$B:$B,$A120,ConfirmedRaw!BC:BC)</f>
        <v>1</v>
      </c>
      <c r="BA120">
        <f>SUMIF(ConfirmedRaw!$B:$B,$A120,ConfirmedRaw!BD:BD)</f>
        <v>1</v>
      </c>
      <c r="BB120">
        <f>SUMIF(ConfirmedRaw!$B:$B,$A120,ConfirmedRaw!BE:BE)</f>
        <v>1</v>
      </c>
      <c r="BC120">
        <f>SUMIF(ConfirmedRaw!$B:$B,$A120,ConfirmedRaw!BF:BF)</f>
        <v>8</v>
      </c>
      <c r="BD120">
        <f>SUMIF(ConfirmedRaw!$B:$B,$A120,ConfirmedRaw!BG:BG)</f>
        <v>17</v>
      </c>
      <c r="BE120">
        <f>SUMIF(ConfirmedRaw!$B:$B,$A120,ConfirmedRaw!BH:BH)</f>
        <v>34</v>
      </c>
      <c r="BF120">
        <f>SUMIF(ConfirmedRaw!$B:$B,$A120,ConfirmedRaw!BI:BI)</f>
        <v>52</v>
      </c>
      <c r="BG120">
        <f>SUMIF(ConfirmedRaw!$B:$B,$A120,ConfirmedRaw!BJ:BJ)</f>
        <v>69</v>
      </c>
      <c r="BH120">
        <f>SUMIF(ConfirmedRaw!$B:$B,$A120,ConfirmedRaw!BK:BK)</f>
        <v>85</v>
      </c>
      <c r="BI120">
        <f>SUMIF(ConfirmedRaw!$B:$B,$A120,ConfirmedRaw!BL:BL)</f>
        <v>0</v>
      </c>
      <c r="BJ120">
        <f>SUMIF(ConfirmedRaw!$B:$B,$A120,ConfirmedRaw!BM:BM)</f>
        <v>0</v>
      </c>
      <c r="BK120">
        <f>SUMIF(ConfirmedRaw!$B:$B,$A120,ConfirmedRaw!BN:BN)</f>
        <v>0</v>
      </c>
      <c r="BL120">
        <f>SUMIF(ConfirmedRaw!$B:$B,$A120,ConfirmedRaw!BO:BO)</f>
        <v>0</v>
      </c>
      <c r="BM120">
        <f>SUMIF(ConfirmedRaw!$B:$B,$A120,ConfirmedRaw!BP:BP)</f>
        <v>0</v>
      </c>
      <c r="BN120">
        <f>SUMIF(ConfirmedRaw!$B:$B,$A120,ConfirmedRaw!BQ:BQ)</f>
        <v>0</v>
      </c>
      <c r="BO120">
        <f>SUMIF(ConfirmedRaw!$B:$B,$A120,ConfirmedRaw!BR:BR)</f>
        <v>0</v>
      </c>
      <c r="BP120">
        <f>SUMIF(ConfirmedRaw!$B:$B,$A120,ConfirmedRaw!BS:BS)</f>
        <v>0</v>
      </c>
      <c r="BQ120">
        <f>SUMIF(ConfirmedRaw!$B:$B,$A120,ConfirmedRaw!BT:BT)</f>
        <v>0</v>
      </c>
      <c r="BR120">
        <f>SUMIF(ConfirmedRaw!$B:$B,$A120,ConfirmedRaw!BU:BU)</f>
        <v>0</v>
      </c>
      <c r="BS120">
        <f>SUMIF(ConfirmedRaw!$B:$B,$A120,ConfirmedRaw!BV:BV)</f>
        <v>0</v>
      </c>
      <c r="BT120">
        <f>SUMIF(ConfirmedRaw!$B:$B,$A120,ConfirmedRaw!BW:BW)</f>
        <v>0</v>
      </c>
    </row>
    <row r="121" spans="1:72" ht="15" thickBot="1" x14ac:dyDescent="0.35">
      <c r="A121" s="3" t="s">
        <v>423</v>
      </c>
      <c r="B121">
        <f>SUMIF(ConfirmedRaw!$B:$B,$A121,ConfirmedRaw!E:E)</f>
        <v>0</v>
      </c>
      <c r="C121">
        <f>SUMIF(ConfirmedRaw!$B:$B,$A121,ConfirmedRaw!F:F)</f>
        <v>0</v>
      </c>
      <c r="D121">
        <f>SUMIF(ConfirmedRaw!$B:$B,$A121,ConfirmedRaw!G:G)</f>
        <v>0</v>
      </c>
      <c r="E121">
        <f>SUMIF(ConfirmedRaw!$B:$B,$A121,ConfirmedRaw!H:H)</f>
        <v>0</v>
      </c>
      <c r="F121">
        <f>SUMIF(ConfirmedRaw!$B:$B,$A121,ConfirmedRaw!I:I)</f>
        <v>0</v>
      </c>
      <c r="G121">
        <f>SUMIF(ConfirmedRaw!$B:$B,$A121,ConfirmedRaw!J:J)</f>
        <v>0</v>
      </c>
      <c r="H121">
        <f>SUMIF(ConfirmedRaw!$B:$B,$A121,ConfirmedRaw!K:K)</f>
        <v>0</v>
      </c>
      <c r="I121">
        <f>SUMIF(ConfirmedRaw!$B:$B,$A121,ConfirmedRaw!L:L)</f>
        <v>0</v>
      </c>
      <c r="J121">
        <f>SUMIF(ConfirmedRaw!$B:$B,$A121,ConfirmedRaw!M:M)</f>
        <v>0</v>
      </c>
      <c r="K121">
        <f>SUMIF(ConfirmedRaw!$B:$B,$A121,ConfirmedRaw!N:N)</f>
        <v>0</v>
      </c>
      <c r="L121">
        <f>SUMIF(ConfirmedRaw!$B:$B,$A121,ConfirmedRaw!O:O)</f>
        <v>0</v>
      </c>
      <c r="M121">
        <f>SUMIF(ConfirmedRaw!$B:$B,$A121,ConfirmedRaw!P:P)</f>
        <v>0</v>
      </c>
      <c r="N121">
        <f>SUMIF(ConfirmedRaw!$B:$B,$A121,ConfirmedRaw!Q:Q)</f>
        <v>0</v>
      </c>
      <c r="O121">
        <f>SUMIF(ConfirmedRaw!$B:$B,$A121,ConfirmedRaw!R:R)</f>
        <v>0</v>
      </c>
      <c r="P121">
        <f>SUMIF(ConfirmedRaw!$B:$B,$A121,ConfirmedRaw!S:S)</f>
        <v>0</v>
      </c>
      <c r="Q121">
        <f>SUMIF(ConfirmedRaw!$B:$B,$A121,ConfirmedRaw!T:T)</f>
        <v>0</v>
      </c>
      <c r="R121">
        <f>SUMIF(ConfirmedRaw!$B:$B,$A121,ConfirmedRaw!U:U)</f>
        <v>0</v>
      </c>
      <c r="S121">
        <f>SUMIF(ConfirmedRaw!$B:$B,$A121,ConfirmedRaw!V:V)</f>
        <v>0</v>
      </c>
      <c r="T121">
        <f>SUMIF(ConfirmedRaw!$B:$B,$A121,ConfirmedRaw!W:W)</f>
        <v>0</v>
      </c>
      <c r="U121">
        <f>SUMIF(ConfirmedRaw!$B:$B,$A121,ConfirmedRaw!X:X)</f>
        <v>0</v>
      </c>
      <c r="V121">
        <f>SUMIF(ConfirmedRaw!$B:$B,$A121,ConfirmedRaw!Y:Y)</f>
        <v>0</v>
      </c>
      <c r="W121">
        <f>SUMIF(ConfirmedRaw!$B:$B,$A121,ConfirmedRaw!Z:Z)</f>
        <v>0</v>
      </c>
      <c r="X121">
        <f>SUMIF(ConfirmedRaw!$B:$B,$A121,ConfirmedRaw!AA:AA)</f>
        <v>0</v>
      </c>
      <c r="Y121">
        <f>SUMIF(ConfirmedRaw!$B:$B,$A121,ConfirmedRaw!AB:AB)</f>
        <v>0</v>
      </c>
      <c r="Z121">
        <f>SUMIF(ConfirmedRaw!$B:$B,$A121,ConfirmedRaw!AC:AC)</f>
        <v>0</v>
      </c>
      <c r="AA121">
        <f>SUMIF(ConfirmedRaw!$B:$B,$A121,ConfirmedRaw!AD:AD)</f>
        <v>0</v>
      </c>
      <c r="AB121">
        <f>SUMIF(ConfirmedRaw!$B:$B,$A121,ConfirmedRaw!AE:AE)</f>
        <v>0</v>
      </c>
      <c r="AC121">
        <f>SUMIF(ConfirmedRaw!$B:$B,$A121,ConfirmedRaw!AF:AF)</f>
        <v>0</v>
      </c>
      <c r="AD121">
        <f>SUMIF(ConfirmedRaw!$B:$B,$A121,ConfirmedRaw!AG:AG)</f>
        <v>0</v>
      </c>
      <c r="AE121">
        <f>SUMIF(ConfirmedRaw!$B:$B,$A121,ConfirmedRaw!AH:AH)</f>
        <v>0</v>
      </c>
      <c r="AF121">
        <f>SUMIF(ConfirmedRaw!$B:$B,$A121,ConfirmedRaw!AI:AI)</f>
        <v>0</v>
      </c>
      <c r="AG121">
        <f>SUMIF(ConfirmedRaw!$B:$B,$A121,ConfirmedRaw!AJ:AJ)</f>
        <v>0</v>
      </c>
      <c r="AH121">
        <f>SUMIF(ConfirmedRaw!$B:$B,$A121,ConfirmedRaw!AK:AK)</f>
        <v>0</v>
      </c>
      <c r="AI121">
        <f>SUMIF(ConfirmedRaw!$B:$B,$A121,ConfirmedRaw!AL:AL)</f>
        <v>0</v>
      </c>
      <c r="AJ121">
        <f>SUMIF(ConfirmedRaw!$B:$B,$A121,ConfirmedRaw!AM:AM)</f>
        <v>0</v>
      </c>
      <c r="AK121">
        <f>SUMIF(ConfirmedRaw!$B:$B,$A121,ConfirmedRaw!AN:AN)</f>
        <v>0</v>
      </c>
      <c r="AL121">
        <f>SUMIF(ConfirmedRaw!$B:$B,$A121,ConfirmedRaw!AO:AO)</f>
        <v>0</v>
      </c>
      <c r="AM121">
        <f>SUMIF(ConfirmedRaw!$B:$B,$A121,ConfirmedRaw!AP:AP)</f>
        <v>0</v>
      </c>
      <c r="AN121">
        <f>SUMIF(ConfirmedRaw!$B:$B,$A121,ConfirmedRaw!AQ:AQ)</f>
        <v>0</v>
      </c>
      <c r="AO121">
        <f>SUMIF(ConfirmedRaw!$B:$B,$A121,ConfirmedRaw!AR:AR)</f>
        <v>0</v>
      </c>
      <c r="AP121">
        <f>SUMIF(ConfirmedRaw!$B:$B,$A121,ConfirmedRaw!AS:AS)</f>
        <v>0</v>
      </c>
      <c r="AQ121">
        <f>SUMIF(ConfirmedRaw!$B:$B,$A121,ConfirmedRaw!AT:AT)</f>
        <v>0</v>
      </c>
      <c r="AR121">
        <f>SUMIF(ConfirmedRaw!$B:$B,$A121,ConfirmedRaw!AU:AU)</f>
        <v>0</v>
      </c>
      <c r="AS121">
        <f>SUMIF(ConfirmedRaw!$B:$B,$A121,ConfirmedRaw!AV:AV)</f>
        <v>0</v>
      </c>
      <c r="AT121">
        <f>SUMIF(ConfirmedRaw!$B:$B,$A121,ConfirmedRaw!AW:AW)</f>
        <v>0</v>
      </c>
      <c r="AU121">
        <f>SUMIF(ConfirmedRaw!$B:$B,$A121,ConfirmedRaw!AX:AX)</f>
        <v>0</v>
      </c>
      <c r="AV121">
        <f>SUMIF(ConfirmedRaw!$B:$B,$A121,ConfirmedRaw!AY:AY)</f>
        <v>0</v>
      </c>
      <c r="AW121">
        <f>SUMIF(ConfirmedRaw!$B:$B,$A121,ConfirmedRaw!AZ:AZ)</f>
        <v>0</v>
      </c>
      <c r="AX121">
        <f>SUMIF(ConfirmedRaw!$B:$B,$A121,ConfirmedRaw!BA:BA)</f>
        <v>0</v>
      </c>
      <c r="AY121">
        <f>SUMIF(ConfirmedRaw!$B:$B,$A121,ConfirmedRaw!BB:BB)</f>
        <v>0</v>
      </c>
      <c r="AZ121">
        <f>SUMIF(ConfirmedRaw!$B:$B,$A121,ConfirmedRaw!BC:BC)</f>
        <v>0</v>
      </c>
      <c r="BA121">
        <f>SUMIF(ConfirmedRaw!$B:$B,$A121,ConfirmedRaw!BD:BD)</f>
        <v>1</v>
      </c>
      <c r="BB121">
        <f>SUMIF(ConfirmedRaw!$B:$B,$A121,ConfirmedRaw!BE:BE)</f>
        <v>1</v>
      </c>
      <c r="BC121">
        <f>SUMIF(ConfirmedRaw!$B:$B,$A121,ConfirmedRaw!BF:BF)</f>
        <v>3</v>
      </c>
      <c r="BD121">
        <f>SUMIF(ConfirmedRaw!$B:$B,$A121,ConfirmedRaw!BG:BG)</f>
        <v>3</v>
      </c>
      <c r="BE121">
        <f>SUMIF(ConfirmedRaw!$B:$B,$A121,ConfirmedRaw!BH:BH)</f>
        <v>3</v>
      </c>
      <c r="BF121">
        <f>SUMIF(ConfirmedRaw!$B:$B,$A121,ConfirmedRaw!BI:BI)</f>
        <v>3</v>
      </c>
      <c r="BG121">
        <f>SUMIF(ConfirmedRaw!$B:$B,$A121,ConfirmedRaw!BJ:BJ)</f>
        <v>7</v>
      </c>
      <c r="BH121">
        <f>SUMIF(ConfirmedRaw!$B:$B,$A121,ConfirmedRaw!BK:BK)</f>
        <v>7</v>
      </c>
      <c r="BI121">
        <f>SUMIF(ConfirmedRaw!$B:$B,$A121,ConfirmedRaw!BL:BL)</f>
        <v>0</v>
      </c>
      <c r="BJ121">
        <f>SUMIF(ConfirmedRaw!$B:$B,$A121,ConfirmedRaw!BM:BM)</f>
        <v>0</v>
      </c>
      <c r="BK121">
        <f>SUMIF(ConfirmedRaw!$B:$B,$A121,ConfirmedRaw!BN:BN)</f>
        <v>0</v>
      </c>
      <c r="BL121">
        <f>SUMIF(ConfirmedRaw!$B:$B,$A121,ConfirmedRaw!BO:BO)</f>
        <v>0</v>
      </c>
      <c r="BM121">
        <f>SUMIF(ConfirmedRaw!$B:$B,$A121,ConfirmedRaw!BP:BP)</f>
        <v>0</v>
      </c>
      <c r="BN121">
        <f>SUMIF(ConfirmedRaw!$B:$B,$A121,ConfirmedRaw!BQ:BQ)</f>
        <v>0</v>
      </c>
      <c r="BO121">
        <f>SUMIF(ConfirmedRaw!$B:$B,$A121,ConfirmedRaw!BR:BR)</f>
        <v>0</v>
      </c>
      <c r="BP121">
        <f>SUMIF(ConfirmedRaw!$B:$B,$A121,ConfirmedRaw!BS:BS)</f>
        <v>0</v>
      </c>
      <c r="BQ121">
        <f>SUMIF(ConfirmedRaw!$B:$B,$A121,ConfirmedRaw!BT:BT)</f>
        <v>0</v>
      </c>
      <c r="BR121">
        <f>SUMIF(ConfirmedRaw!$B:$B,$A121,ConfirmedRaw!BU:BU)</f>
        <v>0</v>
      </c>
      <c r="BS121">
        <f>SUMIF(ConfirmedRaw!$B:$B,$A121,ConfirmedRaw!BV:BV)</f>
        <v>0</v>
      </c>
      <c r="BT121">
        <f>SUMIF(ConfirmedRaw!$B:$B,$A121,ConfirmedRaw!BW:BW)</f>
        <v>0</v>
      </c>
    </row>
    <row r="122" spans="1:72" ht="15" thickBot="1" x14ac:dyDescent="0.35">
      <c r="A122" s="4" t="s">
        <v>136</v>
      </c>
      <c r="B122">
        <f>SUMIF(ConfirmedRaw!$B:$B,$A122,ConfirmedRaw!E:E)</f>
        <v>0</v>
      </c>
      <c r="C122">
        <f>SUMIF(ConfirmedRaw!$B:$B,$A122,ConfirmedRaw!F:F)</f>
        <v>0</v>
      </c>
      <c r="D122">
        <f>SUMIF(ConfirmedRaw!$B:$B,$A122,ConfirmedRaw!G:G)</f>
        <v>0</v>
      </c>
      <c r="E122">
        <f>SUMIF(ConfirmedRaw!$B:$B,$A122,ConfirmedRaw!H:H)</f>
        <v>0</v>
      </c>
      <c r="F122">
        <f>SUMIF(ConfirmedRaw!$B:$B,$A122,ConfirmedRaw!I:I)</f>
        <v>0</v>
      </c>
      <c r="G122">
        <f>SUMIF(ConfirmedRaw!$B:$B,$A122,ConfirmedRaw!J:J)</f>
        <v>0</v>
      </c>
      <c r="H122">
        <f>SUMIF(ConfirmedRaw!$B:$B,$A122,ConfirmedRaw!K:K)</f>
        <v>0</v>
      </c>
      <c r="I122">
        <f>SUMIF(ConfirmedRaw!$B:$B,$A122,ConfirmedRaw!L:L)</f>
        <v>0</v>
      </c>
      <c r="J122">
        <f>SUMIF(ConfirmedRaw!$B:$B,$A122,ConfirmedRaw!M:M)</f>
        <v>0</v>
      </c>
      <c r="K122">
        <f>SUMIF(ConfirmedRaw!$B:$B,$A122,ConfirmedRaw!N:N)</f>
        <v>0</v>
      </c>
      <c r="L122">
        <f>SUMIF(ConfirmedRaw!$B:$B,$A122,ConfirmedRaw!O:O)</f>
        <v>0</v>
      </c>
      <c r="M122">
        <f>SUMIF(ConfirmedRaw!$B:$B,$A122,ConfirmedRaw!P:P)</f>
        <v>0</v>
      </c>
      <c r="N122">
        <f>SUMIF(ConfirmedRaw!$B:$B,$A122,ConfirmedRaw!Q:Q)</f>
        <v>0</v>
      </c>
      <c r="O122">
        <f>SUMIF(ConfirmedRaw!$B:$B,$A122,ConfirmedRaw!R:R)</f>
        <v>0</v>
      </c>
      <c r="P122">
        <f>SUMIF(ConfirmedRaw!$B:$B,$A122,ConfirmedRaw!S:S)</f>
        <v>0</v>
      </c>
      <c r="Q122">
        <f>SUMIF(ConfirmedRaw!$B:$B,$A122,ConfirmedRaw!T:T)</f>
        <v>0</v>
      </c>
      <c r="R122">
        <f>SUMIF(ConfirmedRaw!$B:$B,$A122,ConfirmedRaw!U:U)</f>
        <v>0</v>
      </c>
      <c r="S122">
        <f>SUMIF(ConfirmedRaw!$B:$B,$A122,ConfirmedRaw!V:V)</f>
        <v>0</v>
      </c>
      <c r="T122">
        <f>SUMIF(ConfirmedRaw!$B:$B,$A122,ConfirmedRaw!W:W)</f>
        <v>0</v>
      </c>
      <c r="U122">
        <f>SUMIF(ConfirmedRaw!$B:$B,$A122,ConfirmedRaw!X:X)</f>
        <v>0</v>
      </c>
      <c r="V122">
        <f>SUMIF(ConfirmedRaw!$B:$B,$A122,ConfirmedRaw!Y:Y)</f>
        <v>0</v>
      </c>
      <c r="W122">
        <f>SUMIF(ConfirmedRaw!$B:$B,$A122,ConfirmedRaw!Z:Z)</f>
        <v>0</v>
      </c>
      <c r="X122">
        <f>SUMIF(ConfirmedRaw!$B:$B,$A122,ConfirmedRaw!AA:AA)</f>
        <v>0</v>
      </c>
      <c r="Y122">
        <f>SUMIF(ConfirmedRaw!$B:$B,$A122,ConfirmedRaw!AB:AB)</f>
        <v>0</v>
      </c>
      <c r="Z122">
        <f>SUMIF(ConfirmedRaw!$B:$B,$A122,ConfirmedRaw!AC:AC)</f>
        <v>0</v>
      </c>
      <c r="AA122">
        <f>SUMIF(ConfirmedRaw!$B:$B,$A122,ConfirmedRaw!AD:AD)</f>
        <v>0</v>
      </c>
      <c r="AB122">
        <f>SUMIF(ConfirmedRaw!$B:$B,$A122,ConfirmedRaw!AE:AE)</f>
        <v>0</v>
      </c>
      <c r="AC122">
        <f>SUMIF(ConfirmedRaw!$B:$B,$A122,ConfirmedRaw!AF:AF)</f>
        <v>0</v>
      </c>
      <c r="AD122">
        <f>SUMIF(ConfirmedRaw!$B:$B,$A122,ConfirmedRaw!AG:AG)</f>
        <v>0</v>
      </c>
      <c r="AE122">
        <f>SUMIF(ConfirmedRaw!$B:$B,$A122,ConfirmedRaw!AH:AH)</f>
        <v>0</v>
      </c>
      <c r="AF122">
        <f>SUMIF(ConfirmedRaw!$B:$B,$A122,ConfirmedRaw!AI:AI)</f>
        <v>0</v>
      </c>
      <c r="AG122">
        <f>SUMIF(ConfirmedRaw!$B:$B,$A122,ConfirmedRaw!AJ:AJ)</f>
        <v>0</v>
      </c>
      <c r="AH122">
        <f>SUMIF(ConfirmedRaw!$B:$B,$A122,ConfirmedRaw!AK:AK)</f>
        <v>0</v>
      </c>
      <c r="AI122">
        <f>SUMIF(ConfirmedRaw!$B:$B,$A122,ConfirmedRaw!AL:AL)</f>
        <v>0</v>
      </c>
      <c r="AJ122">
        <f>SUMIF(ConfirmedRaw!$B:$B,$A122,ConfirmedRaw!AM:AM)</f>
        <v>0</v>
      </c>
      <c r="AK122">
        <f>SUMIF(ConfirmedRaw!$B:$B,$A122,ConfirmedRaw!AN:AN)</f>
        <v>0</v>
      </c>
      <c r="AL122">
        <f>SUMIF(ConfirmedRaw!$B:$B,$A122,ConfirmedRaw!AO:AO)</f>
        <v>0</v>
      </c>
      <c r="AM122">
        <f>SUMIF(ConfirmedRaw!$B:$B,$A122,ConfirmedRaw!AP:AP)</f>
        <v>0</v>
      </c>
      <c r="AN122">
        <f>SUMIF(ConfirmedRaw!$B:$B,$A122,ConfirmedRaw!AQ:AQ)</f>
        <v>0</v>
      </c>
      <c r="AO122">
        <f>SUMIF(ConfirmedRaw!$B:$B,$A122,ConfirmedRaw!AR:AR)</f>
        <v>0</v>
      </c>
      <c r="AP122">
        <f>SUMIF(ConfirmedRaw!$B:$B,$A122,ConfirmedRaw!AS:AS)</f>
        <v>0</v>
      </c>
      <c r="AQ122">
        <f>SUMIF(ConfirmedRaw!$B:$B,$A122,ConfirmedRaw!AT:AT)</f>
        <v>0</v>
      </c>
      <c r="AR122">
        <f>SUMIF(ConfirmedRaw!$B:$B,$A122,ConfirmedRaw!AU:AU)</f>
        <v>1</v>
      </c>
      <c r="AS122">
        <f>SUMIF(ConfirmedRaw!$B:$B,$A122,ConfirmedRaw!AV:AV)</f>
        <v>1</v>
      </c>
      <c r="AT122">
        <f>SUMIF(ConfirmedRaw!$B:$B,$A122,ConfirmedRaw!AW:AW)</f>
        <v>1</v>
      </c>
      <c r="AU122">
        <f>SUMIF(ConfirmedRaw!$B:$B,$A122,ConfirmedRaw!AX:AX)</f>
        <v>1</v>
      </c>
      <c r="AV122">
        <f>SUMIF(ConfirmedRaw!$B:$B,$A122,ConfirmedRaw!AY:AY)</f>
        <v>1</v>
      </c>
      <c r="AW122">
        <f>SUMIF(ConfirmedRaw!$B:$B,$A122,ConfirmedRaw!AZ:AZ)</f>
        <v>1</v>
      </c>
      <c r="AX122">
        <f>SUMIF(ConfirmedRaw!$B:$B,$A122,ConfirmedRaw!BA:BA)</f>
        <v>1</v>
      </c>
      <c r="AY122">
        <f>SUMIF(ConfirmedRaw!$B:$B,$A122,ConfirmedRaw!BB:BB)</f>
        <v>1</v>
      </c>
      <c r="AZ122">
        <f>SUMIF(ConfirmedRaw!$B:$B,$A122,ConfirmedRaw!BC:BC)</f>
        <v>1</v>
      </c>
      <c r="BA122">
        <f>SUMIF(ConfirmedRaw!$B:$B,$A122,ConfirmedRaw!BD:BD)</f>
        <v>1</v>
      </c>
      <c r="BB122">
        <f>SUMIF(ConfirmedRaw!$B:$B,$A122,ConfirmedRaw!BE:BE)</f>
        <v>4</v>
      </c>
      <c r="BC122">
        <f>SUMIF(ConfirmedRaw!$B:$B,$A122,ConfirmedRaw!BF:BF)</f>
        <v>4</v>
      </c>
      <c r="BD122">
        <f>SUMIF(ConfirmedRaw!$B:$B,$A122,ConfirmedRaw!BG:BG)</f>
        <v>4</v>
      </c>
      <c r="BE122">
        <f>SUMIF(ConfirmedRaw!$B:$B,$A122,ConfirmedRaw!BH:BH)</f>
        <v>7</v>
      </c>
      <c r="BF122">
        <f>SUMIF(ConfirmedRaw!$B:$B,$A122,ConfirmedRaw!BI:BI)</f>
        <v>28</v>
      </c>
      <c r="BG122">
        <f>SUMIF(ConfirmedRaw!$B:$B,$A122,ConfirmedRaw!BJ:BJ)</f>
        <v>28</v>
      </c>
      <c r="BH122">
        <f>SUMIF(ConfirmedRaw!$B:$B,$A122,ConfirmedRaw!BK:BK)</f>
        <v>28</v>
      </c>
      <c r="BI122">
        <f>SUMIF(ConfirmedRaw!$B:$B,$A122,ConfirmedRaw!BL:BL)</f>
        <v>0</v>
      </c>
      <c r="BJ122">
        <f>SUMIF(ConfirmedRaw!$B:$B,$A122,ConfirmedRaw!BM:BM)</f>
        <v>0</v>
      </c>
      <c r="BK122">
        <f>SUMIF(ConfirmedRaw!$B:$B,$A122,ConfirmedRaw!BN:BN)</f>
        <v>0</v>
      </c>
      <c r="BL122">
        <f>SUMIF(ConfirmedRaw!$B:$B,$A122,ConfirmedRaw!BO:BO)</f>
        <v>0</v>
      </c>
      <c r="BM122">
        <f>SUMIF(ConfirmedRaw!$B:$B,$A122,ConfirmedRaw!BP:BP)</f>
        <v>0</v>
      </c>
      <c r="BN122">
        <f>SUMIF(ConfirmedRaw!$B:$B,$A122,ConfirmedRaw!BQ:BQ)</f>
        <v>0</v>
      </c>
      <c r="BO122">
        <f>SUMIF(ConfirmedRaw!$B:$B,$A122,ConfirmedRaw!BR:BR)</f>
        <v>0</v>
      </c>
      <c r="BP122">
        <f>SUMIF(ConfirmedRaw!$B:$B,$A122,ConfirmedRaw!BS:BS)</f>
        <v>0</v>
      </c>
      <c r="BQ122">
        <f>SUMIF(ConfirmedRaw!$B:$B,$A122,ConfirmedRaw!BT:BT)</f>
        <v>0</v>
      </c>
      <c r="BR122">
        <f>SUMIF(ConfirmedRaw!$B:$B,$A122,ConfirmedRaw!BU:BU)</f>
        <v>0</v>
      </c>
      <c r="BS122">
        <f>SUMIF(ConfirmedRaw!$B:$B,$A122,ConfirmedRaw!BV:BV)</f>
        <v>0</v>
      </c>
      <c r="BT122">
        <f>SUMIF(ConfirmedRaw!$B:$B,$A122,ConfirmedRaw!BW:BW)</f>
        <v>0</v>
      </c>
    </row>
    <row r="123" spans="1:72" ht="15" thickBot="1" x14ac:dyDescent="0.35">
      <c r="A123" s="4" t="s">
        <v>282</v>
      </c>
      <c r="B123">
        <f>SUMIF(ConfirmedRaw!$B:$B,$A123,ConfirmedRaw!E:E)</f>
        <v>0</v>
      </c>
      <c r="C123">
        <f>SUMIF(ConfirmedRaw!$B:$B,$A123,ConfirmedRaw!F:F)</f>
        <v>0</v>
      </c>
      <c r="D123">
        <f>SUMIF(ConfirmedRaw!$B:$B,$A123,ConfirmedRaw!G:G)</f>
        <v>0</v>
      </c>
      <c r="E123">
        <f>SUMIF(ConfirmedRaw!$B:$B,$A123,ConfirmedRaw!H:H)</f>
        <v>0</v>
      </c>
      <c r="F123">
        <f>SUMIF(ConfirmedRaw!$B:$B,$A123,ConfirmedRaw!I:I)</f>
        <v>0</v>
      </c>
      <c r="G123">
        <f>SUMIF(ConfirmedRaw!$B:$B,$A123,ConfirmedRaw!J:J)</f>
        <v>0</v>
      </c>
      <c r="H123">
        <f>SUMIF(ConfirmedRaw!$B:$B,$A123,ConfirmedRaw!K:K)</f>
        <v>0</v>
      </c>
      <c r="I123">
        <f>SUMIF(ConfirmedRaw!$B:$B,$A123,ConfirmedRaw!L:L)</f>
        <v>0</v>
      </c>
      <c r="J123">
        <f>SUMIF(ConfirmedRaw!$B:$B,$A123,ConfirmedRaw!M:M)</f>
        <v>0</v>
      </c>
      <c r="K123">
        <f>SUMIF(ConfirmedRaw!$B:$B,$A123,ConfirmedRaw!N:N)</f>
        <v>0</v>
      </c>
      <c r="L123">
        <f>SUMIF(ConfirmedRaw!$B:$B,$A123,ConfirmedRaw!O:O)</f>
        <v>0</v>
      </c>
      <c r="M123">
        <f>SUMIF(ConfirmedRaw!$B:$B,$A123,ConfirmedRaw!P:P)</f>
        <v>0</v>
      </c>
      <c r="N123">
        <f>SUMIF(ConfirmedRaw!$B:$B,$A123,ConfirmedRaw!Q:Q)</f>
        <v>0</v>
      </c>
      <c r="O123">
        <f>SUMIF(ConfirmedRaw!$B:$B,$A123,ConfirmedRaw!R:R)</f>
        <v>0</v>
      </c>
      <c r="P123">
        <f>SUMIF(ConfirmedRaw!$B:$B,$A123,ConfirmedRaw!S:S)</f>
        <v>0</v>
      </c>
      <c r="Q123">
        <f>SUMIF(ConfirmedRaw!$B:$B,$A123,ConfirmedRaw!T:T)</f>
        <v>0</v>
      </c>
      <c r="R123">
        <f>SUMIF(ConfirmedRaw!$B:$B,$A123,ConfirmedRaw!U:U)</f>
        <v>0</v>
      </c>
      <c r="S123">
        <f>SUMIF(ConfirmedRaw!$B:$B,$A123,ConfirmedRaw!V:V)</f>
        <v>0</v>
      </c>
      <c r="T123">
        <f>SUMIF(ConfirmedRaw!$B:$B,$A123,ConfirmedRaw!W:W)</f>
        <v>0</v>
      </c>
      <c r="U123">
        <f>SUMIF(ConfirmedRaw!$B:$B,$A123,ConfirmedRaw!X:X)</f>
        <v>0</v>
      </c>
      <c r="V123">
        <f>SUMIF(ConfirmedRaw!$B:$B,$A123,ConfirmedRaw!Y:Y)</f>
        <v>0</v>
      </c>
      <c r="W123">
        <f>SUMIF(ConfirmedRaw!$B:$B,$A123,ConfirmedRaw!Z:Z)</f>
        <v>0</v>
      </c>
      <c r="X123">
        <f>SUMIF(ConfirmedRaw!$B:$B,$A123,ConfirmedRaw!AA:AA)</f>
        <v>0</v>
      </c>
      <c r="Y123">
        <f>SUMIF(ConfirmedRaw!$B:$B,$A123,ConfirmedRaw!AB:AB)</f>
        <v>0</v>
      </c>
      <c r="Z123">
        <f>SUMIF(ConfirmedRaw!$B:$B,$A123,ConfirmedRaw!AC:AC)</f>
        <v>0</v>
      </c>
      <c r="AA123">
        <f>SUMIF(ConfirmedRaw!$B:$B,$A123,ConfirmedRaw!AD:AD)</f>
        <v>0</v>
      </c>
      <c r="AB123">
        <f>SUMIF(ConfirmedRaw!$B:$B,$A123,ConfirmedRaw!AE:AE)</f>
        <v>0</v>
      </c>
      <c r="AC123">
        <f>SUMIF(ConfirmedRaw!$B:$B,$A123,ConfirmedRaw!AF:AF)</f>
        <v>0</v>
      </c>
      <c r="AD123">
        <f>SUMIF(ConfirmedRaw!$B:$B,$A123,ConfirmedRaw!AG:AG)</f>
        <v>0</v>
      </c>
      <c r="AE123">
        <f>SUMIF(ConfirmedRaw!$B:$B,$A123,ConfirmedRaw!AH:AH)</f>
        <v>0</v>
      </c>
      <c r="AF123">
        <f>SUMIF(ConfirmedRaw!$B:$B,$A123,ConfirmedRaw!AI:AI)</f>
        <v>0</v>
      </c>
      <c r="AG123">
        <f>SUMIF(ConfirmedRaw!$B:$B,$A123,ConfirmedRaw!AJ:AJ)</f>
        <v>0</v>
      </c>
      <c r="AH123">
        <f>SUMIF(ConfirmedRaw!$B:$B,$A123,ConfirmedRaw!AK:AK)</f>
        <v>0</v>
      </c>
      <c r="AI123">
        <f>SUMIF(ConfirmedRaw!$B:$B,$A123,ConfirmedRaw!AL:AL)</f>
        <v>0</v>
      </c>
      <c r="AJ123">
        <f>SUMIF(ConfirmedRaw!$B:$B,$A123,ConfirmedRaw!AM:AM)</f>
        <v>0</v>
      </c>
      <c r="AK123">
        <f>SUMIF(ConfirmedRaw!$B:$B,$A123,ConfirmedRaw!AN:AN)</f>
        <v>0</v>
      </c>
      <c r="AL123">
        <f>SUMIF(ConfirmedRaw!$B:$B,$A123,ConfirmedRaw!AO:AO)</f>
        <v>0</v>
      </c>
      <c r="AM123">
        <f>SUMIF(ConfirmedRaw!$B:$B,$A123,ConfirmedRaw!AP:AP)</f>
        <v>0</v>
      </c>
      <c r="AN123">
        <f>SUMIF(ConfirmedRaw!$B:$B,$A123,ConfirmedRaw!AQ:AQ)</f>
        <v>0</v>
      </c>
      <c r="AO123">
        <f>SUMIF(ConfirmedRaw!$B:$B,$A123,ConfirmedRaw!AR:AR)</f>
        <v>0</v>
      </c>
      <c r="AP123">
        <f>SUMIF(ConfirmedRaw!$B:$B,$A123,ConfirmedRaw!AS:AS)</f>
        <v>0</v>
      </c>
      <c r="AQ123">
        <f>SUMIF(ConfirmedRaw!$B:$B,$A123,ConfirmedRaw!AT:AT)</f>
        <v>0</v>
      </c>
      <c r="AR123">
        <f>SUMIF(ConfirmedRaw!$B:$B,$A123,ConfirmedRaw!AU:AU)</f>
        <v>0</v>
      </c>
      <c r="AS123">
        <f>SUMIF(ConfirmedRaw!$B:$B,$A123,ConfirmedRaw!AV:AV)</f>
        <v>0</v>
      </c>
      <c r="AT123">
        <f>SUMIF(ConfirmedRaw!$B:$B,$A123,ConfirmedRaw!AW:AW)</f>
        <v>0</v>
      </c>
      <c r="AU123">
        <f>SUMIF(ConfirmedRaw!$B:$B,$A123,ConfirmedRaw!AX:AX)</f>
        <v>0</v>
      </c>
      <c r="AV123">
        <f>SUMIF(ConfirmedRaw!$B:$B,$A123,ConfirmedRaw!AY:AY)</f>
        <v>0</v>
      </c>
      <c r="AW123">
        <f>SUMIF(ConfirmedRaw!$B:$B,$A123,ConfirmedRaw!AZ:AZ)</f>
        <v>0</v>
      </c>
      <c r="AX123">
        <f>SUMIF(ConfirmedRaw!$B:$B,$A123,ConfirmedRaw!BA:BA)</f>
        <v>1</v>
      </c>
      <c r="AY123">
        <f>SUMIF(ConfirmedRaw!$B:$B,$A123,ConfirmedRaw!BB:BB)</f>
        <v>1</v>
      </c>
      <c r="AZ123">
        <f>SUMIF(ConfirmedRaw!$B:$B,$A123,ConfirmedRaw!BC:BC)</f>
        <v>1</v>
      </c>
      <c r="BA123">
        <f>SUMIF(ConfirmedRaw!$B:$B,$A123,ConfirmedRaw!BD:BD)</f>
        <v>1</v>
      </c>
      <c r="BB123">
        <f>SUMIF(ConfirmedRaw!$B:$B,$A123,ConfirmedRaw!BE:BE)</f>
        <v>1</v>
      </c>
      <c r="BC123">
        <f>SUMIF(ConfirmedRaw!$B:$B,$A123,ConfirmedRaw!BF:BF)</f>
        <v>1</v>
      </c>
      <c r="BD123">
        <f>SUMIF(ConfirmedRaw!$B:$B,$A123,ConfirmedRaw!BG:BG)</f>
        <v>1</v>
      </c>
      <c r="BE123">
        <f>SUMIF(ConfirmedRaw!$B:$B,$A123,ConfirmedRaw!BH:BH)</f>
        <v>5</v>
      </c>
      <c r="BF123">
        <f>SUMIF(ConfirmedRaw!$B:$B,$A123,ConfirmedRaw!BI:BI)</f>
        <v>6</v>
      </c>
      <c r="BG123">
        <f>SUMIF(ConfirmedRaw!$B:$B,$A123,ConfirmedRaw!BJ:BJ)</f>
        <v>6</v>
      </c>
      <c r="BH123">
        <f>SUMIF(ConfirmedRaw!$B:$B,$A123,ConfirmedRaw!BK:BK)</f>
        <v>6</v>
      </c>
      <c r="BI123">
        <f>SUMIF(ConfirmedRaw!$B:$B,$A123,ConfirmedRaw!BL:BL)</f>
        <v>0</v>
      </c>
      <c r="BJ123">
        <f>SUMIF(ConfirmedRaw!$B:$B,$A123,ConfirmedRaw!BM:BM)</f>
        <v>0</v>
      </c>
      <c r="BK123">
        <f>SUMIF(ConfirmedRaw!$B:$B,$A123,ConfirmedRaw!BN:BN)</f>
        <v>0</v>
      </c>
      <c r="BL123">
        <f>SUMIF(ConfirmedRaw!$B:$B,$A123,ConfirmedRaw!BO:BO)</f>
        <v>0</v>
      </c>
      <c r="BM123">
        <f>SUMIF(ConfirmedRaw!$B:$B,$A123,ConfirmedRaw!BP:BP)</f>
        <v>0</v>
      </c>
      <c r="BN123">
        <f>SUMIF(ConfirmedRaw!$B:$B,$A123,ConfirmedRaw!BQ:BQ)</f>
        <v>0</v>
      </c>
      <c r="BO123">
        <f>SUMIF(ConfirmedRaw!$B:$B,$A123,ConfirmedRaw!BR:BR)</f>
        <v>0</v>
      </c>
      <c r="BP123">
        <f>SUMIF(ConfirmedRaw!$B:$B,$A123,ConfirmedRaw!BS:BS)</f>
        <v>0</v>
      </c>
      <c r="BQ123">
        <f>SUMIF(ConfirmedRaw!$B:$B,$A123,ConfirmedRaw!BT:BT)</f>
        <v>0</v>
      </c>
      <c r="BR123">
        <f>SUMIF(ConfirmedRaw!$B:$B,$A123,ConfirmedRaw!BU:BU)</f>
        <v>0</v>
      </c>
      <c r="BS123">
        <f>SUMIF(ConfirmedRaw!$B:$B,$A123,ConfirmedRaw!BV:BV)</f>
        <v>0</v>
      </c>
      <c r="BT123">
        <f>SUMIF(ConfirmedRaw!$B:$B,$A123,ConfirmedRaw!BW:BW)</f>
        <v>0</v>
      </c>
    </row>
    <row r="124" spans="1:72" ht="15" thickBot="1" x14ac:dyDescent="0.35">
      <c r="A124" s="4" t="s">
        <v>42</v>
      </c>
      <c r="B124">
        <f>SUMIF(ConfirmedRaw!$B:$B,$A124,ConfirmedRaw!E:E)</f>
        <v>0</v>
      </c>
      <c r="C124">
        <f>SUMIF(ConfirmedRaw!$B:$B,$A124,ConfirmedRaw!F:F)</f>
        <v>0</v>
      </c>
      <c r="D124">
        <f>SUMIF(ConfirmedRaw!$B:$B,$A124,ConfirmedRaw!G:G)</f>
        <v>0</v>
      </c>
      <c r="E124">
        <f>SUMIF(ConfirmedRaw!$B:$B,$A124,ConfirmedRaw!H:H)</f>
        <v>1</v>
      </c>
      <c r="F124">
        <f>SUMIF(ConfirmedRaw!$B:$B,$A124,ConfirmedRaw!I:I)</f>
        <v>1</v>
      </c>
      <c r="G124">
        <f>SUMIF(ConfirmedRaw!$B:$B,$A124,ConfirmedRaw!J:J)</f>
        <v>1</v>
      </c>
      <c r="H124">
        <f>SUMIF(ConfirmedRaw!$B:$B,$A124,ConfirmedRaw!K:K)</f>
        <v>1</v>
      </c>
      <c r="I124">
        <f>SUMIF(ConfirmedRaw!$B:$B,$A124,ConfirmedRaw!L:L)</f>
        <v>1</v>
      </c>
      <c r="J124">
        <f>SUMIF(ConfirmedRaw!$B:$B,$A124,ConfirmedRaw!M:M)</f>
        <v>1</v>
      </c>
      <c r="K124">
        <f>SUMIF(ConfirmedRaw!$B:$B,$A124,ConfirmedRaw!N:N)</f>
        <v>1</v>
      </c>
      <c r="L124">
        <f>SUMIF(ConfirmedRaw!$B:$B,$A124,ConfirmedRaw!O:O)</f>
        <v>1</v>
      </c>
      <c r="M124">
        <f>SUMIF(ConfirmedRaw!$B:$B,$A124,ConfirmedRaw!P:P)</f>
        <v>1</v>
      </c>
      <c r="N124">
        <f>SUMIF(ConfirmedRaw!$B:$B,$A124,ConfirmedRaw!Q:Q)</f>
        <v>1</v>
      </c>
      <c r="O124">
        <f>SUMIF(ConfirmedRaw!$B:$B,$A124,ConfirmedRaw!R:R)</f>
        <v>1</v>
      </c>
      <c r="P124">
        <f>SUMIF(ConfirmedRaw!$B:$B,$A124,ConfirmedRaw!S:S)</f>
        <v>1</v>
      </c>
      <c r="Q124">
        <f>SUMIF(ConfirmedRaw!$B:$B,$A124,ConfirmedRaw!T:T)</f>
        <v>1</v>
      </c>
      <c r="R124">
        <f>SUMIF(ConfirmedRaw!$B:$B,$A124,ConfirmedRaw!U:U)</f>
        <v>1</v>
      </c>
      <c r="S124">
        <f>SUMIF(ConfirmedRaw!$B:$B,$A124,ConfirmedRaw!V:V)</f>
        <v>1</v>
      </c>
      <c r="T124">
        <f>SUMIF(ConfirmedRaw!$B:$B,$A124,ConfirmedRaw!W:W)</f>
        <v>1</v>
      </c>
      <c r="U124">
        <f>SUMIF(ConfirmedRaw!$B:$B,$A124,ConfirmedRaw!X:X)</f>
        <v>1</v>
      </c>
      <c r="V124">
        <f>SUMIF(ConfirmedRaw!$B:$B,$A124,ConfirmedRaw!Y:Y)</f>
        <v>1</v>
      </c>
      <c r="W124">
        <f>SUMIF(ConfirmedRaw!$B:$B,$A124,ConfirmedRaw!Z:Z)</f>
        <v>1</v>
      </c>
      <c r="X124">
        <f>SUMIF(ConfirmedRaw!$B:$B,$A124,ConfirmedRaw!AA:AA)</f>
        <v>1</v>
      </c>
      <c r="Y124">
        <f>SUMIF(ConfirmedRaw!$B:$B,$A124,ConfirmedRaw!AB:AB)</f>
        <v>1</v>
      </c>
      <c r="Z124">
        <f>SUMIF(ConfirmedRaw!$B:$B,$A124,ConfirmedRaw!AC:AC)</f>
        <v>1</v>
      </c>
      <c r="AA124">
        <f>SUMIF(ConfirmedRaw!$B:$B,$A124,ConfirmedRaw!AD:AD)</f>
        <v>1</v>
      </c>
      <c r="AB124">
        <f>SUMIF(ConfirmedRaw!$B:$B,$A124,ConfirmedRaw!AE:AE)</f>
        <v>1</v>
      </c>
      <c r="AC124">
        <f>SUMIF(ConfirmedRaw!$B:$B,$A124,ConfirmedRaw!AF:AF)</f>
        <v>1</v>
      </c>
      <c r="AD124">
        <f>SUMIF(ConfirmedRaw!$B:$B,$A124,ConfirmedRaw!AG:AG)</f>
        <v>1</v>
      </c>
      <c r="AE124">
        <f>SUMIF(ConfirmedRaw!$B:$B,$A124,ConfirmedRaw!AH:AH)</f>
        <v>1</v>
      </c>
      <c r="AF124">
        <f>SUMIF(ConfirmedRaw!$B:$B,$A124,ConfirmedRaw!AI:AI)</f>
        <v>1</v>
      </c>
      <c r="AG124">
        <f>SUMIF(ConfirmedRaw!$B:$B,$A124,ConfirmedRaw!AJ:AJ)</f>
        <v>1</v>
      </c>
      <c r="AH124">
        <f>SUMIF(ConfirmedRaw!$B:$B,$A124,ConfirmedRaw!AK:AK)</f>
        <v>1</v>
      </c>
      <c r="AI124">
        <f>SUMIF(ConfirmedRaw!$B:$B,$A124,ConfirmedRaw!AL:AL)</f>
        <v>1</v>
      </c>
      <c r="AJ124">
        <f>SUMIF(ConfirmedRaw!$B:$B,$A124,ConfirmedRaw!AM:AM)</f>
        <v>1</v>
      </c>
      <c r="AK124">
        <f>SUMIF(ConfirmedRaw!$B:$B,$A124,ConfirmedRaw!AN:AN)</f>
        <v>1</v>
      </c>
      <c r="AL124">
        <f>SUMIF(ConfirmedRaw!$B:$B,$A124,ConfirmedRaw!AO:AO)</f>
        <v>1</v>
      </c>
      <c r="AM124">
        <f>SUMIF(ConfirmedRaw!$B:$B,$A124,ConfirmedRaw!AP:AP)</f>
        <v>1</v>
      </c>
      <c r="AN124">
        <f>SUMIF(ConfirmedRaw!$B:$B,$A124,ConfirmedRaw!AQ:AQ)</f>
        <v>1</v>
      </c>
      <c r="AO124">
        <f>SUMIF(ConfirmedRaw!$B:$B,$A124,ConfirmedRaw!AR:AR)</f>
        <v>1</v>
      </c>
      <c r="AP124">
        <f>SUMIF(ConfirmedRaw!$B:$B,$A124,ConfirmedRaw!AS:AS)</f>
        <v>1</v>
      </c>
      <c r="AQ124">
        <f>SUMIF(ConfirmedRaw!$B:$B,$A124,ConfirmedRaw!AT:AT)</f>
        <v>1</v>
      </c>
      <c r="AR124">
        <f>SUMIF(ConfirmedRaw!$B:$B,$A124,ConfirmedRaw!AU:AU)</f>
        <v>1</v>
      </c>
      <c r="AS124">
        <f>SUMIF(ConfirmedRaw!$B:$B,$A124,ConfirmedRaw!AV:AV)</f>
        <v>1</v>
      </c>
      <c r="AT124">
        <f>SUMIF(ConfirmedRaw!$B:$B,$A124,ConfirmedRaw!AW:AW)</f>
        <v>1</v>
      </c>
      <c r="AU124">
        <f>SUMIF(ConfirmedRaw!$B:$B,$A124,ConfirmedRaw!AX:AX)</f>
        <v>1</v>
      </c>
      <c r="AV124">
        <f>SUMIF(ConfirmedRaw!$B:$B,$A124,ConfirmedRaw!AY:AY)</f>
        <v>1</v>
      </c>
      <c r="AW124">
        <f>SUMIF(ConfirmedRaw!$B:$B,$A124,ConfirmedRaw!AZ:AZ)</f>
        <v>1</v>
      </c>
      <c r="AX124">
        <f>SUMIF(ConfirmedRaw!$B:$B,$A124,ConfirmedRaw!BA:BA)</f>
        <v>1</v>
      </c>
      <c r="AY124">
        <f>SUMIF(ConfirmedRaw!$B:$B,$A124,ConfirmedRaw!BB:BB)</f>
        <v>1</v>
      </c>
      <c r="AZ124">
        <f>SUMIF(ConfirmedRaw!$B:$B,$A124,ConfirmedRaw!BC:BC)</f>
        <v>1</v>
      </c>
      <c r="BA124">
        <f>SUMIF(ConfirmedRaw!$B:$B,$A124,ConfirmedRaw!BD:BD)</f>
        <v>1</v>
      </c>
      <c r="BB124">
        <f>SUMIF(ConfirmedRaw!$B:$B,$A124,ConfirmedRaw!BE:BE)</f>
        <v>1</v>
      </c>
      <c r="BC124">
        <f>SUMIF(ConfirmedRaw!$B:$B,$A124,ConfirmedRaw!BF:BF)</f>
        <v>1</v>
      </c>
      <c r="BD124">
        <f>SUMIF(ConfirmedRaw!$B:$B,$A124,ConfirmedRaw!BG:BG)</f>
        <v>1</v>
      </c>
      <c r="BE124">
        <f>SUMIF(ConfirmedRaw!$B:$B,$A124,ConfirmedRaw!BH:BH)</f>
        <v>1</v>
      </c>
      <c r="BF124">
        <f>SUMIF(ConfirmedRaw!$B:$B,$A124,ConfirmedRaw!BI:BI)</f>
        <v>1</v>
      </c>
      <c r="BG124">
        <f>SUMIF(ConfirmedRaw!$B:$B,$A124,ConfirmedRaw!BJ:BJ)</f>
        <v>1</v>
      </c>
      <c r="BH124">
        <f>SUMIF(ConfirmedRaw!$B:$B,$A124,ConfirmedRaw!BK:BK)</f>
        <v>1</v>
      </c>
      <c r="BI124">
        <f>SUMIF(ConfirmedRaw!$B:$B,$A124,ConfirmedRaw!BL:BL)</f>
        <v>0</v>
      </c>
      <c r="BJ124">
        <f>SUMIF(ConfirmedRaw!$B:$B,$A124,ConfirmedRaw!BM:BM)</f>
        <v>0</v>
      </c>
      <c r="BK124">
        <f>SUMIF(ConfirmedRaw!$B:$B,$A124,ConfirmedRaw!BN:BN)</f>
        <v>0</v>
      </c>
      <c r="BL124">
        <f>SUMIF(ConfirmedRaw!$B:$B,$A124,ConfirmedRaw!BO:BO)</f>
        <v>0</v>
      </c>
      <c r="BM124">
        <f>SUMIF(ConfirmedRaw!$B:$B,$A124,ConfirmedRaw!BP:BP)</f>
        <v>0</v>
      </c>
      <c r="BN124">
        <f>SUMIF(ConfirmedRaw!$B:$B,$A124,ConfirmedRaw!BQ:BQ)</f>
        <v>0</v>
      </c>
      <c r="BO124">
        <f>SUMIF(ConfirmedRaw!$B:$B,$A124,ConfirmedRaw!BR:BR)</f>
        <v>0</v>
      </c>
      <c r="BP124">
        <f>SUMIF(ConfirmedRaw!$B:$B,$A124,ConfirmedRaw!BS:BS)</f>
        <v>0</v>
      </c>
      <c r="BQ124">
        <f>SUMIF(ConfirmedRaw!$B:$B,$A124,ConfirmedRaw!BT:BT)</f>
        <v>0</v>
      </c>
      <c r="BR124">
        <f>SUMIF(ConfirmedRaw!$B:$B,$A124,ConfirmedRaw!BU:BU)</f>
        <v>0</v>
      </c>
      <c r="BS124">
        <f>SUMIF(ConfirmedRaw!$B:$B,$A124,ConfirmedRaw!BV:BV)</f>
        <v>0</v>
      </c>
      <c r="BT124">
        <f>SUMIF(ConfirmedRaw!$B:$B,$A124,ConfirmedRaw!BW:BW)</f>
        <v>0</v>
      </c>
    </row>
    <row r="125" spans="1:72" ht="15" thickBot="1" x14ac:dyDescent="0.35">
      <c r="A125" s="3" t="s">
        <v>420</v>
      </c>
      <c r="B125">
        <f>SUMIF(ConfirmedRaw!$B:$B,$A125,ConfirmedRaw!E:E)</f>
        <v>0</v>
      </c>
      <c r="C125">
        <f>SUMIF(ConfirmedRaw!$B:$B,$A125,ConfirmedRaw!F:F)</f>
        <v>0</v>
      </c>
      <c r="D125">
        <f>SUMIF(ConfirmedRaw!$B:$B,$A125,ConfirmedRaw!G:G)</f>
        <v>0</v>
      </c>
      <c r="E125">
        <f>SUMIF(ConfirmedRaw!$B:$B,$A125,ConfirmedRaw!H:H)</f>
        <v>0</v>
      </c>
      <c r="F125">
        <f>SUMIF(ConfirmedRaw!$B:$B,$A125,ConfirmedRaw!I:I)</f>
        <v>0</v>
      </c>
      <c r="G125">
        <f>SUMIF(ConfirmedRaw!$B:$B,$A125,ConfirmedRaw!J:J)</f>
        <v>0</v>
      </c>
      <c r="H125">
        <f>SUMIF(ConfirmedRaw!$B:$B,$A125,ConfirmedRaw!K:K)</f>
        <v>0</v>
      </c>
      <c r="I125">
        <f>SUMIF(ConfirmedRaw!$B:$B,$A125,ConfirmedRaw!L:L)</f>
        <v>0</v>
      </c>
      <c r="J125">
        <f>SUMIF(ConfirmedRaw!$B:$B,$A125,ConfirmedRaw!M:M)</f>
        <v>0</v>
      </c>
      <c r="K125">
        <f>SUMIF(ConfirmedRaw!$B:$B,$A125,ConfirmedRaw!N:N)</f>
        <v>0</v>
      </c>
      <c r="L125">
        <f>SUMIF(ConfirmedRaw!$B:$B,$A125,ConfirmedRaw!O:O)</f>
        <v>0</v>
      </c>
      <c r="M125">
        <f>SUMIF(ConfirmedRaw!$B:$B,$A125,ConfirmedRaw!P:P)</f>
        <v>0</v>
      </c>
      <c r="N125">
        <f>SUMIF(ConfirmedRaw!$B:$B,$A125,ConfirmedRaw!Q:Q)</f>
        <v>0</v>
      </c>
      <c r="O125">
        <f>SUMIF(ConfirmedRaw!$B:$B,$A125,ConfirmedRaw!R:R)</f>
        <v>0</v>
      </c>
      <c r="P125">
        <f>SUMIF(ConfirmedRaw!$B:$B,$A125,ConfirmedRaw!S:S)</f>
        <v>0</v>
      </c>
      <c r="Q125">
        <f>SUMIF(ConfirmedRaw!$B:$B,$A125,ConfirmedRaw!T:T)</f>
        <v>0</v>
      </c>
      <c r="R125">
        <f>SUMIF(ConfirmedRaw!$B:$B,$A125,ConfirmedRaw!U:U)</f>
        <v>0</v>
      </c>
      <c r="S125">
        <f>SUMIF(ConfirmedRaw!$B:$B,$A125,ConfirmedRaw!V:V)</f>
        <v>0</v>
      </c>
      <c r="T125">
        <f>SUMIF(ConfirmedRaw!$B:$B,$A125,ConfirmedRaw!W:W)</f>
        <v>0</v>
      </c>
      <c r="U125">
        <f>SUMIF(ConfirmedRaw!$B:$B,$A125,ConfirmedRaw!X:X)</f>
        <v>0</v>
      </c>
      <c r="V125">
        <f>SUMIF(ConfirmedRaw!$B:$B,$A125,ConfirmedRaw!Y:Y)</f>
        <v>0</v>
      </c>
      <c r="W125">
        <f>SUMIF(ConfirmedRaw!$B:$B,$A125,ConfirmedRaw!Z:Z)</f>
        <v>0</v>
      </c>
      <c r="X125">
        <f>SUMIF(ConfirmedRaw!$B:$B,$A125,ConfirmedRaw!AA:AA)</f>
        <v>0</v>
      </c>
      <c r="Y125">
        <f>SUMIF(ConfirmedRaw!$B:$B,$A125,ConfirmedRaw!AB:AB)</f>
        <v>0</v>
      </c>
      <c r="Z125">
        <f>SUMIF(ConfirmedRaw!$B:$B,$A125,ConfirmedRaw!AC:AC)</f>
        <v>0</v>
      </c>
      <c r="AA125">
        <f>SUMIF(ConfirmedRaw!$B:$B,$A125,ConfirmedRaw!AD:AD)</f>
        <v>0</v>
      </c>
      <c r="AB125">
        <f>SUMIF(ConfirmedRaw!$B:$B,$A125,ConfirmedRaw!AE:AE)</f>
        <v>0</v>
      </c>
      <c r="AC125">
        <f>SUMIF(ConfirmedRaw!$B:$B,$A125,ConfirmedRaw!AF:AF)</f>
        <v>0</v>
      </c>
      <c r="AD125">
        <f>SUMIF(ConfirmedRaw!$B:$B,$A125,ConfirmedRaw!AG:AG)</f>
        <v>0</v>
      </c>
      <c r="AE125">
        <f>SUMIF(ConfirmedRaw!$B:$B,$A125,ConfirmedRaw!AH:AH)</f>
        <v>0</v>
      </c>
      <c r="AF125">
        <f>SUMIF(ConfirmedRaw!$B:$B,$A125,ConfirmedRaw!AI:AI)</f>
        <v>0</v>
      </c>
      <c r="AG125">
        <f>SUMIF(ConfirmedRaw!$B:$B,$A125,ConfirmedRaw!AJ:AJ)</f>
        <v>0</v>
      </c>
      <c r="AH125">
        <f>SUMIF(ConfirmedRaw!$B:$B,$A125,ConfirmedRaw!AK:AK)</f>
        <v>0</v>
      </c>
      <c r="AI125">
        <f>SUMIF(ConfirmedRaw!$B:$B,$A125,ConfirmedRaw!AL:AL)</f>
        <v>0</v>
      </c>
      <c r="AJ125">
        <f>SUMIF(ConfirmedRaw!$B:$B,$A125,ConfirmedRaw!AM:AM)</f>
        <v>0</v>
      </c>
      <c r="AK125">
        <f>SUMIF(ConfirmedRaw!$B:$B,$A125,ConfirmedRaw!AN:AN)</f>
        <v>0</v>
      </c>
      <c r="AL125">
        <f>SUMIF(ConfirmedRaw!$B:$B,$A125,ConfirmedRaw!AO:AO)</f>
        <v>0</v>
      </c>
      <c r="AM125">
        <f>SUMIF(ConfirmedRaw!$B:$B,$A125,ConfirmedRaw!AP:AP)</f>
        <v>0</v>
      </c>
      <c r="AN125">
        <f>SUMIF(ConfirmedRaw!$B:$B,$A125,ConfirmedRaw!AQ:AQ)</f>
        <v>0</v>
      </c>
      <c r="AO125">
        <f>SUMIF(ConfirmedRaw!$B:$B,$A125,ConfirmedRaw!AR:AR)</f>
        <v>0</v>
      </c>
      <c r="AP125">
        <f>SUMIF(ConfirmedRaw!$B:$B,$A125,ConfirmedRaw!AS:AS)</f>
        <v>0</v>
      </c>
      <c r="AQ125">
        <f>SUMIF(ConfirmedRaw!$B:$B,$A125,ConfirmedRaw!AT:AT)</f>
        <v>0</v>
      </c>
      <c r="AR125">
        <f>SUMIF(ConfirmedRaw!$B:$B,$A125,ConfirmedRaw!AU:AU)</f>
        <v>0</v>
      </c>
      <c r="AS125">
        <f>SUMIF(ConfirmedRaw!$B:$B,$A125,ConfirmedRaw!AV:AV)</f>
        <v>0</v>
      </c>
      <c r="AT125">
        <f>SUMIF(ConfirmedRaw!$B:$B,$A125,ConfirmedRaw!AW:AW)</f>
        <v>0</v>
      </c>
      <c r="AU125">
        <f>SUMIF(ConfirmedRaw!$B:$B,$A125,ConfirmedRaw!AX:AX)</f>
        <v>0</v>
      </c>
      <c r="AV125">
        <f>SUMIF(ConfirmedRaw!$B:$B,$A125,ConfirmedRaw!AY:AY)</f>
        <v>0</v>
      </c>
      <c r="AW125">
        <f>SUMIF(ConfirmedRaw!$B:$B,$A125,ConfirmedRaw!AZ:AZ)</f>
        <v>0</v>
      </c>
      <c r="AX125">
        <f>SUMIF(ConfirmedRaw!$B:$B,$A125,ConfirmedRaw!BA:BA)</f>
        <v>0</v>
      </c>
      <c r="AY125">
        <f>SUMIF(ConfirmedRaw!$B:$B,$A125,ConfirmedRaw!BB:BB)</f>
        <v>0</v>
      </c>
      <c r="AZ125">
        <f>SUMIF(ConfirmedRaw!$B:$B,$A125,ConfirmedRaw!BC:BC)</f>
        <v>0</v>
      </c>
      <c r="BA125">
        <f>SUMIF(ConfirmedRaw!$B:$B,$A125,ConfirmedRaw!BD:BD)</f>
        <v>1</v>
      </c>
      <c r="BB125">
        <f>SUMIF(ConfirmedRaw!$B:$B,$A125,ConfirmedRaw!BE:BE)</f>
        <v>1</v>
      </c>
      <c r="BC125">
        <f>SUMIF(ConfirmedRaw!$B:$B,$A125,ConfirmedRaw!BF:BF)</f>
        <v>1</v>
      </c>
      <c r="BD125">
        <f>SUMIF(ConfirmedRaw!$B:$B,$A125,ConfirmedRaw!BG:BG)</f>
        <v>1</v>
      </c>
      <c r="BE125">
        <f>SUMIF(ConfirmedRaw!$B:$B,$A125,ConfirmedRaw!BH:BH)</f>
        <v>1</v>
      </c>
      <c r="BF125">
        <f>SUMIF(ConfirmedRaw!$B:$B,$A125,ConfirmedRaw!BI:BI)</f>
        <v>2</v>
      </c>
      <c r="BG125">
        <f>SUMIF(ConfirmedRaw!$B:$B,$A125,ConfirmedRaw!BJ:BJ)</f>
        <v>2</v>
      </c>
      <c r="BH125">
        <f>SUMIF(ConfirmedRaw!$B:$B,$A125,ConfirmedRaw!BK:BK)</f>
        <v>2</v>
      </c>
      <c r="BI125">
        <f>SUMIF(ConfirmedRaw!$B:$B,$A125,ConfirmedRaw!BL:BL)</f>
        <v>0</v>
      </c>
      <c r="BJ125">
        <f>SUMIF(ConfirmedRaw!$B:$B,$A125,ConfirmedRaw!BM:BM)</f>
        <v>0</v>
      </c>
      <c r="BK125">
        <f>SUMIF(ConfirmedRaw!$B:$B,$A125,ConfirmedRaw!BN:BN)</f>
        <v>0</v>
      </c>
      <c r="BL125">
        <f>SUMIF(ConfirmedRaw!$B:$B,$A125,ConfirmedRaw!BO:BO)</f>
        <v>0</v>
      </c>
      <c r="BM125">
        <f>SUMIF(ConfirmedRaw!$B:$B,$A125,ConfirmedRaw!BP:BP)</f>
        <v>0</v>
      </c>
      <c r="BN125">
        <f>SUMIF(ConfirmedRaw!$B:$B,$A125,ConfirmedRaw!BQ:BQ)</f>
        <v>0</v>
      </c>
      <c r="BO125">
        <f>SUMIF(ConfirmedRaw!$B:$B,$A125,ConfirmedRaw!BR:BR)</f>
        <v>0</v>
      </c>
      <c r="BP125">
        <f>SUMIF(ConfirmedRaw!$B:$B,$A125,ConfirmedRaw!BS:BS)</f>
        <v>0</v>
      </c>
      <c r="BQ125">
        <f>SUMIF(ConfirmedRaw!$B:$B,$A125,ConfirmedRaw!BT:BT)</f>
        <v>0</v>
      </c>
      <c r="BR125">
        <f>SUMIF(ConfirmedRaw!$B:$B,$A125,ConfirmedRaw!BU:BU)</f>
        <v>0</v>
      </c>
      <c r="BS125">
        <f>SUMIF(ConfirmedRaw!$B:$B,$A125,ConfirmedRaw!BV:BV)</f>
        <v>0</v>
      </c>
      <c r="BT125">
        <f>SUMIF(ConfirmedRaw!$B:$B,$A125,ConfirmedRaw!BW:BW)</f>
        <v>0</v>
      </c>
    </row>
    <row r="126" spans="1:72" ht="15" thickBot="1" x14ac:dyDescent="0.35">
      <c r="A126" s="3" t="s">
        <v>163</v>
      </c>
      <c r="B126">
        <f>SUMIF(ConfirmedRaw!$B:$B,$A126,ConfirmedRaw!E:E)</f>
        <v>0</v>
      </c>
      <c r="C126">
        <f>SUMIF(ConfirmedRaw!$B:$B,$A126,ConfirmedRaw!F:F)</f>
        <v>0</v>
      </c>
      <c r="D126">
        <f>SUMIF(ConfirmedRaw!$B:$B,$A126,ConfirmedRaw!G:G)</f>
        <v>0</v>
      </c>
      <c r="E126">
        <f>SUMIF(ConfirmedRaw!$B:$B,$A126,ConfirmedRaw!H:H)</f>
        <v>0</v>
      </c>
      <c r="F126">
        <f>SUMIF(ConfirmedRaw!$B:$B,$A126,ConfirmedRaw!I:I)</f>
        <v>0</v>
      </c>
      <c r="G126">
        <f>SUMIF(ConfirmedRaw!$B:$B,$A126,ConfirmedRaw!J:J)</f>
        <v>0</v>
      </c>
      <c r="H126">
        <f>SUMIF(ConfirmedRaw!$B:$B,$A126,ConfirmedRaw!K:K)</f>
        <v>0</v>
      </c>
      <c r="I126">
        <f>SUMIF(ConfirmedRaw!$B:$B,$A126,ConfirmedRaw!L:L)</f>
        <v>0</v>
      </c>
      <c r="J126">
        <f>SUMIF(ConfirmedRaw!$B:$B,$A126,ConfirmedRaw!M:M)</f>
        <v>0</v>
      </c>
      <c r="K126">
        <f>SUMIF(ConfirmedRaw!$B:$B,$A126,ConfirmedRaw!N:N)</f>
        <v>0</v>
      </c>
      <c r="L126">
        <f>SUMIF(ConfirmedRaw!$B:$B,$A126,ConfirmedRaw!O:O)</f>
        <v>0</v>
      </c>
      <c r="M126">
        <f>SUMIF(ConfirmedRaw!$B:$B,$A126,ConfirmedRaw!P:P)</f>
        <v>0</v>
      </c>
      <c r="N126">
        <f>SUMIF(ConfirmedRaw!$B:$B,$A126,ConfirmedRaw!Q:Q)</f>
        <v>0</v>
      </c>
      <c r="O126">
        <f>SUMIF(ConfirmedRaw!$B:$B,$A126,ConfirmedRaw!R:R)</f>
        <v>0</v>
      </c>
      <c r="P126">
        <f>SUMIF(ConfirmedRaw!$B:$B,$A126,ConfirmedRaw!S:S)</f>
        <v>0</v>
      </c>
      <c r="Q126">
        <f>SUMIF(ConfirmedRaw!$B:$B,$A126,ConfirmedRaw!T:T)</f>
        <v>0</v>
      </c>
      <c r="R126">
        <f>SUMIF(ConfirmedRaw!$B:$B,$A126,ConfirmedRaw!U:U)</f>
        <v>0</v>
      </c>
      <c r="S126">
        <f>SUMIF(ConfirmedRaw!$B:$B,$A126,ConfirmedRaw!V:V)</f>
        <v>0</v>
      </c>
      <c r="T126">
        <f>SUMIF(ConfirmedRaw!$B:$B,$A126,ConfirmedRaw!W:W)</f>
        <v>0</v>
      </c>
      <c r="U126">
        <f>SUMIF(ConfirmedRaw!$B:$B,$A126,ConfirmedRaw!X:X)</f>
        <v>0</v>
      </c>
      <c r="V126">
        <f>SUMIF(ConfirmedRaw!$B:$B,$A126,ConfirmedRaw!Y:Y)</f>
        <v>0</v>
      </c>
      <c r="W126">
        <f>SUMIF(ConfirmedRaw!$B:$B,$A126,ConfirmedRaw!Z:Z)</f>
        <v>0</v>
      </c>
      <c r="X126">
        <f>SUMIF(ConfirmedRaw!$B:$B,$A126,ConfirmedRaw!AA:AA)</f>
        <v>0</v>
      </c>
      <c r="Y126">
        <f>SUMIF(ConfirmedRaw!$B:$B,$A126,ConfirmedRaw!AB:AB)</f>
        <v>0</v>
      </c>
      <c r="Z126">
        <f>SUMIF(ConfirmedRaw!$B:$B,$A126,ConfirmedRaw!AC:AC)</f>
        <v>0</v>
      </c>
      <c r="AA126">
        <f>SUMIF(ConfirmedRaw!$B:$B,$A126,ConfirmedRaw!AD:AD)</f>
        <v>0</v>
      </c>
      <c r="AB126">
        <f>SUMIF(ConfirmedRaw!$B:$B,$A126,ConfirmedRaw!AE:AE)</f>
        <v>0</v>
      </c>
      <c r="AC126">
        <f>SUMIF(ConfirmedRaw!$B:$B,$A126,ConfirmedRaw!AF:AF)</f>
        <v>0</v>
      </c>
      <c r="AD126">
        <f>SUMIF(ConfirmedRaw!$B:$B,$A126,ConfirmedRaw!AG:AG)</f>
        <v>0</v>
      </c>
      <c r="AE126">
        <f>SUMIF(ConfirmedRaw!$B:$B,$A126,ConfirmedRaw!AH:AH)</f>
        <v>0</v>
      </c>
      <c r="AF126">
        <f>SUMIF(ConfirmedRaw!$B:$B,$A126,ConfirmedRaw!AI:AI)</f>
        <v>0</v>
      </c>
      <c r="AG126">
        <f>SUMIF(ConfirmedRaw!$B:$B,$A126,ConfirmedRaw!AJ:AJ)</f>
        <v>0</v>
      </c>
      <c r="AH126">
        <f>SUMIF(ConfirmedRaw!$B:$B,$A126,ConfirmedRaw!AK:AK)</f>
        <v>0</v>
      </c>
      <c r="AI126">
        <f>SUMIF(ConfirmedRaw!$B:$B,$A126,ConfirmedRaw!AL:AL)</f>
        <v>0</v>
      </c>
      <c r="AJ126">
        <f>SUMIF(ConfirmedRaw!$B:$B,$A126,ConfirmedRaw!AM:AM)</f>
        <v>0</v>
      </c>
      <c r="AK126">
        <f>SUMIF(ConfirmedRaw!$B:$B,$A126,ConfirmedRaw!AN:AN)</f>
        <v>0</v>
      </c>
      <c r="AL126">
        <f>SUMIF(ConfirmedRaw!$B:$B,$A126,ConfirmedRaw!AO:AO)</f>
        <v>0</v>
      </c>
      <c r="AM126">
        <f>SUMIF(ConfirmedRaw!$B:$B,$A126,ConfirmedRaw!AP:AP)</f>
        <v>0</v>
      </c>
      <c r="AN126">
        <f>SUMIF(ConfirmedRaw!$B:$B,$A126,ConfirmedRaw!AQ:AQ)</f>
        <v>0</v>
      </c>
      <c r="AO126">
        <f>SUMIF(ConfirmedRaw!$B:$B,$A126,ConfirmedRaw!AR:AR)</f>
        <v>0</v>
      </c>
      <c r="AP126">
        <f>SUMIF(ConfirmedRaw!$B:$B,$A126,ConfirmedRaw!AS:AS)</f>
        <v>0</v>
      </c>
      <c r="AQ126">
        <f>SUMIF(ConfirmedRaw!$B:$B,$A126,ConfirmedRaw!AT:AT)</f>
        <v>0</v>
      </c>
      <c r="AR126">
        <f>SUMIF(ConfirmedRaw!$B:$B,$A126,ConfirmedRaw!AU:AU)</f>
        <v>0</v>
      </c>
      <c r="AS126">
        <f>SUMIF(ConfirmedRaw!$B:$B,$A126,ConfirmedRaw!AV:AV)</f>
        <v>0</v>
      </c>
      <c r="AT126">
        <f>SUMIF(ConfirmedRaw!$B:$B,$A126,ConfirmedRaw!AW:AW)</f>
        <v>1</v>
      </c>
      <c r="AU126">
        <f>SUMIF(ConfirmedRaw!$B:$B,$A126,ConfirmedRaw!AX:AX)</f>
        <v>1</v>
      </c>
      <c r="AV126">
        <f>SUMIF(ConfirmedRaw!$B:$B,$A126,ConfirmedRaw!AY:AY)</f>
        <v>1</v>
      </c>
      <c r="AW126">
        <f>SUMIF(ConfirmedRaw!$B:$B,$A126,ConfirmedRaw!AZ:AZ)</f>
        <v>1</v>
      </c>
      <c r="AX126">
        <f>SUMIF(ConfirmedRaw!$B:$B,$A126,ConfirmedRaw!BA:BA)</f>
        <v>1</v>
      </c>
      <c r="AY126">
        <f>SUMIF(ConfirmedRaw!$B:$B,$A126,ConfirmedRaw!BB:BB)</f>
        <v>1</v>
      </c>
      <c r="AZ126">
        <f>SUMIF(ConfirmedRaw!$B:$B,$A126,ConfirmedRaw!BC:BC)</f>
        <v>1</v>
      </c>
      <c r="BA126">
        <f>SUMIF(ConfirmedRaw!$B:$B,$A126,ConfirmedRaw!BD:BD)</f>
        <v>1</v>
      </c>
      <c r="BB126">
        <f>SUMIF(ConfirmedRaw!$B:$B,$A126,ConfirmedRaw!BE:BE)</f>
        <v>1</v>
      </c>
      <c r="BC126">
        <f>SUMIF(ConfirmedRaw!$B:$B,$A126,ConfirmedRaw!BF:BF)</f>
        <v>1</v>
      </c>
      <c r="BD126">
        <f>SUMIF(ConfirmedRaw!$B:$B,$A126,ConfirmedRaw!BG:BG)</f>
        <v>1</v>
      </c>
      <c r="BE126">
        <f>SUMIF(ConfirmedRaw!$B:$B,$A126,ConfirmedRaw!BH:BH)</f>
        <v>1</v>
      </c>
      <c r="BF126">
        <f>SUMIF(ConfirmedRaw!$B:$B,$A126,ConfirmedRaw!BI:BI)</f>
        <v>1</v>
      </c>
      <c r="BG126">
        <f>SUMIF(ConfirmedRaw!$B:$B,$A126,ConfirmedRaw!BJ:BJ)</f>
        <v>1</v>
      </c>
      <c r="BH126">
        <f>SUMIF(ConfirmedRaw!$B:$B,$A126,ConfirmedRaw!BK:BK)</f>
        <v>9</v>
      </c>
      <c r="BI126">
        <f>SUMIF(ConfirmedRaw!$B:$B,$A126,ConfirmedRaw!BL:BL)</f>
        <v>0</v>
      </c>
      <c r="BJ126">
        <f>SUMIF(ConfirmedRaw!$B:$B,$A126,ConfirmedRaw!BM:BM)</f>
        <v>0</v>
      </c>
      <c r="BK126">
        <f>SUMIF(ConfirmedRaw!$B:$B,$A126,ConfirmedRaw!BN:BN)</f>
        <v>0</v>
      </c>
      <c r="BL126">
        <f>SUMIF(ConfirmedRaw!$B:$B,$A126,ConfirmedRaw!BO:BO)</f>
        <v>0</v>
      </c>
      <c r="BM126">
        <f>SUMIF(ConfirmedRaw!$B:$B,$A126,ConfirmedRaw!BP:BP)</f>
        <v>0</v>
      </c>
      <c r="BN126">
        <f>SUMIF(ConfirmedRaw!$B:$B,$A126,ConfirmedRaw!BQ:BQ)</f>
        <v>0</v>
      </c>
      <c r="BO126">
        <f>SUMIF(ConfirmedRaw!$B:$B,$A126,ConfirmedRaw!BR:BR)</f>
        <v>0</v>
      </c>
      <c r="BP126">
        <f>SUMIF(ConfirmedRaw!$B:$B,$A126,ConfirmedRaw!BS:BS)</f>
        <v>0</v>
      </c>
      <c r="BQ126">
        <f>SUMIF(ConfirmedRaw!$B:$B,$A126,ConfirmedRaw!BT:BT)</f>
        <v>0</v>
      </c>
      <c r="BR126">
        <f>SUMIF(ConfirmedRaw!$B:$B,$A126,ConfirmedRaw!BU:BU)</f>
        <v>0</v>
      </c>
      <c r="BS126">
        <f>SUMIF(ConfirmedRaw!$B:$B,$A126,ConfirmedRaw!BV:BV)</f>
        <v>0</v>
      </c>
      <c r="BT126">
        <f>SUMIF(ConfirmedRaw!$B:$B,$A126,ConfirmedRaw!BW:BW)</f>
        <v>0</v>
      </c>
    </row>
  </sheetData>
  <autoFilter ref="A1:BA1" xr:uid="{00000000-0009-0000-0000-000003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C9AC5-470B-41D8-A44D-2519D463646F}">
  <sheetPr codeName="Sheet14"/>
  <dimension ref="A1:BT126"/>
  <sheetViews>
    <sheetView workbookViewId="0">
      <selection activeCell="A2" sqref="A2:BX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CumulativeConfirmed!B2-CumulativeRecovered!B2-CumulativeDead!B2</f>
        <v>503</v>
      </c>
      <c r="C2">
        <f>CumulativeConfirmed!C2-CumulativeRecovered!C2-CumulativeDead!C2</f>
        <v>595</v>
      </c>
      <c r="D2">
        <f>CumulativeConfirmed!D2-CumulativeRecovered!D2-CumulativeDead!D2</f>
        <v>858</v>
      </c>
      <c r="E2">
        <f>CumulativeConfirmed!E2-CumulativeRecovered!E2-CumulativeDead!E2</f>
        <v>1325</v>
      </c>
      <c r="F2">
        <f>CumulativeConfirmed!F2-CumulativeRecovered!F2-CumulativeDead!F2</f>
        <v>1970</v>
      </c>
      <c r="G2">
        <f>CumulativeConfirmed!G2-CumulativeRecovered!G2-CumulativeDead!G2</f>
        <v>2737</v>
      </c>
      <c r="H2">
        <f>CumulativeConfirmed!H2-CumulativeRecovered!H2-CumulativeDead!H2</f>
        <v>5277</v>
      </c>
      <c r="I2">
        <f>CumulativeConfirmed!I2-CumulativeRecovered!I2-CumulativeDead!I2</f>
        <v>5834</v>
      </c>
      <c r="J2">
        <f>CumulativeConfirmed!J2-CumulativeRecovered!J2-CumulativeDead!J2</f>
        <v>7835</v>
      </c>
      <c r="K2">
        <f>CumulativeConfirmed!K2-CumulativeRecovered!K2-CumulativeDead!K2</f>
        <v>9375</v>
      </c>
      <c r="L2">
        <f>CumulativeConfirmed!L2-CumulativeRecovered!L2-CumulativeDead!L2</f>
        <v>11357</v>
      </c>
      <c r="M2">
        <f>CumulativeConfirmed!M2-CumulativeRecovered!M2-CumulativeDead!M2</f>
        <v>15806</v>
      </c>
      <c r="N2">
        <f>CumulativeConfirmed!N2-CumulativeRecovered!N2-CumulativeDead!N2</f>
        <v>18677</v>
      </c>
      <c r="O2">
        <f>CumulativeConfirmed!O2-CumulativeRecovered!O2-CumulativeDead!O2</f>
        <v>22373</v>
      </c>
      <c r="P2">
        <f>CumulativeConfirmed!P2-CumulativeRecovered!P2-CumulativeDead!P2</f>
        <v>25762</v>
      </c>
      <c r="Q2">
        <f>CumulativeConfirmed!Q2-CumulativeRecovered!Q2-CumulativeDead!Q2</f>
        <v>28477</v>
      </c>
      <c r="R2">
        <f>CumulativeConfirmed!R2-CumulativeRecovered!R2-CumulativeDead!R2</f>
        <v>31393</v>
      </c>
      <c r="S2">
        <f>CumulativeConfirmed!S2-CumulativeRecovered!S2-CumulativeDead!S2</f>
        <v>33413</v>
      </c>
      <c r="T2">
        <f>CumulativeConfirmed!T2-CumulativeRecovered!T2-CumulativeDead!T2</f>
        <v>35705</v>
      </c>
      <c r="U2">
        <f>CumulativeConfirmed!U2-CumulativeRecovered!U2-CumulativeDead!U2</f>
        <v>37424</v>
      </c>
      <c r="V2">
        <f>CumulativeConfirmed!V2-CumulativeRecovered!V2-CumulativeDead!V2</f>
        <v>38638</v>
      </c>
      <c r="W2">
        <f>CumulativeConfirmed!W2-CumulativeRecovered!W2-CumulativeDead!W2</f>
        <v>38560</v>
      </c>
      <c r="X2">
        <f>CumulativeConfirmed!X2-CumulativeRecovered!X2-CumulativeDead!X2</f>
        <v>52309</v>
      </c>
      <c r="Y2">
        <f>CumulativeConfirmed!Y2-CumulativeRecovered!Y2-CumulativeDead!Y2</f>
        <v>56860</v>
      </c>
      <c r="Z2">
        <f>CumulativeConfirmed!Z2-CumulativeRecovered!Z2-CumulativeDead!Z2</f>
        <v>57452</v>
      </c>
      <c r="AA2">
        <f>CumulativeConfirmed!AA2-CumulativeRecovered!AA2-CumulativeDead!AA2</f>
        <v>57992</v>
      </c>
      <c r="AB2">
        <f>CumulativeConfirmed!AB2-CumulativeRecovered!AB2-CumulativeDead!AB2</f>
        <v>58108</v>
      </c>
      <c r="AC2">
        <f>CumulativeConfirmed!AC2-CumulativeRecovered!AC2-CumulativeDead!AC2</f>
        <v>58002</v>
      </c>
      <c r="AD2">
        <f>CumulativeConfirmed!AD2-CumulativeRecovered!AD2-CumulativeDead!AD2</f>
        <v>56541</v>
      </c>
      <c r="AE2">
        <f>CumulativeConfirmed!AE2-CumulativeRecovered!AE2-CumulativeDead!AE2</f>
        <v>54825</v>
      </c>
      <c r="AF2">
        <f>CumulativeConfirmed!AF2-CumulativeRecovered!AF2-CumulativeDead!AF2</f>
        <v>54608</v>
      </c>
      <c r="AG2">
        <f>CumulativeConfirmed!AG2-CumulativeRecovered!AG2-CumulativeDead!AG2</f>
        <v>51859</v>
      </c>
      <c r="AH2">
        <f>CumulativeConfirmed!AH2-CumulativeRecovered!AH2-CumulativeDead!AH2</f>
        <v>51390</v>
      </c>
      <c r="AI2">
        <f>CumulativeConfirmed!AI2-CumulativeRecovered!AI2-CumulativeDead!AI2</f>
        <v>49631</v>
      </c>
      <c r="AJ2">
        <f>CumulativeConfirmed!AJ2-CumulativeRecovered!AJ2-CumulativeDead!AJ2</f>
        <v>47413</v>
      </c>
      <c r="AK2">
        <f>CumulativeConfirmed!AK2-CumulativeRecovered!AK2-CumulativeDead!AK2</f>
        <v>45365</v>
      </c>
      <c r="AL2">
        <f>CumulativeConfirmed!AL2-CumulativeRecovered!AL2-CumulativeDead!AL2</f>
        <v>42924</v>
      </c>
      <c r="AM2">
        <f>CumulativeConfirmed!AM2-CumulativeRecovered!AM2-CumulativeDead!AM2</f>
        <v>39809</v>
      </c>
      <c r="AN2">
        <f>CumulativeConfirmed!AN2-CumulativeRecovered!AN2-CumulativeDead!AN2</f>
        <v>37199</v>
      </c>
      <c r="AO2">
        <f>CumulativeConfirmed!AO2-CumulativeRecovered!AO2-CumulativeDead!AO2</f>
        <v>34898</v>
      </c>
      <c r="AP2">
        <f>CumulativeConfirmed!AP2-CumulativeRecovered!AP2-CumulativeDead!AP2</f>
        <v>32368</v>
      </c>
      <c r="AQ2">
        <f>CumulativeConfirmed!AQ2-CumulativeRecovered!AQ2-CumulativeDead!AQ2</f>
        <v>29864</v>
      </c>
      <c r="AR2">
        <f>CumulativeConfirmed!AR2-CumulativeRecovered!AR2-CumulativeDead!AR2</f>
        <v>27402</v>
      </c>
      <c r="AS2">
        <f>CumulativeConfirmed!AS2-CumulativeRecovered!AS2-CumulativeDead!AS2</f>
        <v>25230</v>
      </c>
      <c r="AT2">
        <f>CumulativeConfirmed!AT2-CumulativeRecovered!AT2-CumulativeDead!AT2</f>
        <v>23702</v>
      </c>
      <c r="AU2">
        <f>CumulativeConfirmed!AU2-CumulativeRecovered!AU2-CumulativeDead!AU2</f>
        <v>22159</v>
      </c>
      <c r="AV2">
        <f>CumulativeConfirmed!AV2-CumulativeRecovered!AV2-CumulativeDead!AV2</f>
        <v>20335</v>
      </c>
      <c r="AW2">
        <f>CumulativeConfirmed!AW2-CumulativeRecovered!AW2-CumulativeDead!AW2</f>
        <v>18933</v>
      </c>
      <c r="AX2">
        <f>CumulativeConfirmed!AX2-CumulativeRecovered!AX2-CumulativeDead!AX2</f>
        <v>17567</v>
      </c>
      <c r="AY2">
        <f>CumulativeConfirmed!AY2-CumulativeRecovered!AY2-CumulativeDead!AY2</f>
        <v>16116</v>
      </c>
      <c r="AZ2">
        <f>CumulativeConfirmed!AZ2-CumulativeRecovered!AZ2-CumulativeDead!AZ2</f>
        <v>14859</v>
      </c>
      <c r="BA2">
        <f>CumulativeConfirmed!BA2-CumulativeRecovered!BA2-CumulativeDead!BA2</f>
        <v>13569</v>
      </c>
      <c r="BB2">
        <f>CumulativeConfirmed!BB2-CumulativeRecovered!BB2-CumulativeDead!BB2</f>
        <v>12124</v>
      </c>
      <c r="BC2">
        <f>CumulativeConfirmed!BC2-CumulativeRecovered!BC2-CumulativeDead!BC2</f>
        <v>10783</v>
      </c>
      <c r="BD2">
        <f>CumulativeConfirmed!BD2-CumulativeRecovered!BD2-CumulativeDead!BD2</f>
        <v>9906</v>
      </c>
      <c r="BE2">
        <f>CumulativeConfirmed!BE2-CumulativeRecovered!BE2-CumulativeDead!BE2</f>
        <v>9030</v>
      </c>
      <c r="BF2">
        <f>CumulativeConfirmed!BF2-CumulativeRecovered!BF2-CumulativeDead!BF2</f>
        <v>8106</v>
      </c>
      <c r="BG2">
        <f>CumulativeConfirmed!BG2-CumulativeRecovered!BG2-CumulativeDead!BG2</f>
        <v>7372</v>
      </c>
      <c r="BH2">
        <f>CumulativeConfirmed!BH2-CumulativeRecovered!BH2-CumulativeDead!BH2</f>
        <v>6731</v>
      </c>
      <c r="BI2">
        <f>CumulativeConfirmed!BI2-CumulativeRecovered!BI2-CumulativeDead!BI2</f>
        <v>0</v>
      </c>
      <c r="BJ2">
        <f>CumulativeConfirmed!BJ2-CumulativeRecovered!BJ2-CumulativeDead!BJ2</f>
        <v>0</v>
      </c>
      <c r="BK2">
        <f>CumulativeConfirmed!BK2-CumulativeRecovered!BK2-CumulativeDead!BK2</f>
        <v>0</v>
      </c>
      <c r="BL2">
        <f>CumulativeConfirmed!BL2-CumulativeRecovered!BL2-CumulativeDead!BL2</f>
        <v>0</v>
      </c>
      <c r="BM2">
        <f>CumulativeConfirmed!BM2-CumulativeRecovered!BM2-CumulativeDead!BM2</f>
        <v>0</v>
      </c>
      <c r="BN2">
        <f>CumulativeConfirmed!BN2-CumulativeRecovered!BN2-CumulativeDead!BN2</f>
        <v>0</v>
      </c>
      <c r="BO2">
        <f>CumulativeConfirmed!BO2-CumulativeRecovered!BO2-CumulativeDead!BO2</f>
        <v>0</v>
      </c>
      <c r="BP2">
        <f>CumulativeConfirmed!BP2-CumulativeRecovered!BP2-CumulativeDead!BP2</f>
        <v>0</v>
      </c>
      <c r="BQ2">
        <f>CumulativeConfirmed!BQ2-CumulativeRecovered!BQ2-CumulativeDead!BQ2</f>
        <v>0</v>
      </c>
      <c r="BR2">
        <f>CumulativeConfirmed!BR2-CumulativeRecovered!BR2-CumulativeDead!BR2</f>
        <v>0</v>
      </c>
      <c r="BS2">
        <f>CumulativeConfirmed!BS2-CumulativeRecovered!BS2-CumulativeDead!BS2</f>
        <v>0</v>
      </c>
      <c r="BT2">
        <f>CumulativeConfirmed!BT2-CumulativeRecovered!BT2-CumulativeDead!BT2</f>
        <v>0</v>
      </c>
    </row>
    <row r="3" spans="1:72" ht="15" thickBot="1" x14ac:dyDescent="0.35">
      <c r="A3" s="3" t="s">
        <v>58</v>
      </c>
      <c r="B3">
        <f>CumulativeConfirmed!B3-CumulativeRecovered!B3-CumulativeDead!B3</f>
        <v>0</v>
      </c>
      <c r="C3">
        <f>CumulativeConfirmed!C3-CumulativeRecovered!C3-CumulativeDead!C3</f>
        <v>0</v>
      </c>
      <c r="D3">
        <f>CumulativeConfirmed!D3-CumulativeRecovered!D3-CumulativeDead!D3</f>
        <v>0</v>
      </c>
      <c r="E3">
        <f>CumulativeConfirmed!E3-CumulativeRecovered!E3-CumulativeDead!E3</f>
        <v>0</v>
      </c>
      <c r="F3">
        <f>CumulativeConfirmed!F3-CumulativeRecovered!F3-CumulativeDead!F3</f>
        <v>0</v>
      </c>
      <c r="G3">
        <f>CumulativeConfirmed!G3-CumulativeRecovered!G3-CumulativeDead!G3</f>
        <v>0</v>
      </c>
      <c r="H3">
        <f>CumulativeConfirmed!H3-CumulativeRecovered!H3-CumulativeDead!H3</f>
        <v>0</v>
      </c>
      <c r="I3">
        <f>CumulativeConfirmed!I3-CumulativeRecovered!I3-CumulativeDead!I3</f>
        <v>0</v>
      </c>
      <c r="J3">
        <f>CumulativeConfirmed!J3-CumulativeRecovered!J3-CumulativeDead!J3</f>
        <v>0</v>
      </c>
      <c r="K3">
        <f>CumulativeConfirmed!K3-CumulativeRecovered!K3-CumulativeDead!K3</f>
        <v>2</v>
      </c>
      <c r="L3">
        <f>CumulativeConfirmed!L3-CumulativeRecovered!L3-CumulativeDead!L3</f>
        <v>2</v>
      </c>
      <c r="M3">
        <f>CumulativeConfirmed!M3-CumulativeRecovered!M3-CumulativeDead!M3</f>
        <v>2</v>
      </c>
      <c r="N3">
        <f>CumulativeConfirmed!N3-CumulativeRecovered!N3-CumulativeDead!N3</f>
        <v>2</v>
      </c>
      <c r="O3">
        <f>CumulativeConfirmed!O3-CumulativeRecovered!O3-CumulativeDead!O3</f>
        <v>2</v>
      </c>
      <c r="P3">
        <f>CumulativeConfirmed!P3-CumulativeRecovered!P3-CumulativeDead!P3</f>
        <v>2</v>
      </c>
      <c r="Q3">
        <f>CumulativeConfirmed!Q3-CumulativeRecovered!Q3-CumulativeDead!Q3</f>
        <v>2</v>
      </c>
      <c r="R3">
        <f>CumulativeConfirmed!R3-CumulativeRecovered!R3-CumulativeDead!R3</f>
        <v>3</v>
      </c>
      <c r="S3">
        <f>CumulativeConfirmed!S3-CumulativeRecovered!S3-CumulativeDead!S3</f>
        <v>3</v>
      </c>
      <c r="T3">
        <f>CumulativeConfirmed!T3-CumulativeRecovered!T3-CumulativeDead!T3</f>
        <v>3</v>
      </c>
      <c r="U3">
        <f>CumulativeConfirmed!U3-CumulativeRecovered!U3-CumulativeDead!U3</f>
        <v>3</v>
      </c>
      <c r="V3">
        <f>CumulativeConfirmed!V3-CumulativeRecovered!V3-CumulativeDead!V3</f>
        <v>3</v>
      </c>
      <c r="W3">
        <f>CumulativeConfirmed!W3-CumulativeRecovered!W3-CumulativeDead!W3</f>
        <v>3</v>
      </c>
      <c r="X3">
        <f>CumulativeConfirmed!X3-CumulativeRecovered!X3-CumulativeDead!X3</f>
        <v>3</v>
      </c>
      <c r="Y3">
        <f>CumulativeConfirmed!Y3-CumulativeRecovered!Y3-CumulativeDead!Y3</f>
        <v>3</v>
      </c>
      <c r="Z3">
        <f>CumulativeConfirmed!Z3-CumulativeRecovered!Z3-CumulativeDead!Z3</f>
        <v>3</v>
      </c>
      <c r="AA3">
        <f>CumulativeConfirmed!AA3-CumulativeRecovered!AA3-CumulativeDead!AA3</f>
        <v>3</v>
      </c>
      <c r="AB3">
        <f>CumulativeConfirmed!AB3-CumulativeRecovered!AB3-CumulativeDead!AB3</f>
        <v>3</v>
      </c>
      <c r="AC3">
        <f>CumulativeConfirmed!AC3-CumulativeRecovered!AC3-CumulativeDead!AC3</f>
        <v>3</v>
      </c>
      <c r="AD3">
        <f>CumulativeConfirmed!AD3-CumulativeRecovered!AD3-CumulativeDead!AD3</f>
        <v>3</v>
      </c>
      <c r="AE3">
        <f>CumulativeConfirmed!AE3-CumulativeRecovered!AE3-CumulativeDead!AE3</f>
        <v>3</v>
      </c>
      <c r="AF3">
        <f>CumulativeConfirmed!AF3-CumulativeRecovered!AF3-CumulativeDead!AF3</f>
        <v>19</v>
      </c>
      <c r="AG3">
        <f>CumulativeConfirmed!AG3-CumulativeRecovered!AG3-CumulativeDead!AG3</f>
        <v>59</v>
      </c>
      <c r="AH3">
        <f>CumulativeConfirmed!AH3-CumulativeRecovered!AH3-CumulativeDead!AH3</f>
        <v>150</v>
      </c>
      <c r="AI3">
        <f>CumulativeConfirmed!AI3-CumulativeRecovered!AI3-CumulativeDead!AI3</f>
        <v>221</v>
      </c>
      <c r="AJ3">
        <f>CumulativeConfirmed!AJ3-CumulativeRecovered!AJ3-CumulativeDead!AJ3</f>
        <v>311</v>
      </c>
      <c r="AK3">
        <f>CumulativeConfirmed!AK3-CumulativeRecovered!AK3-CumulativeDead!AK3</f>
        <v>438</v>
      </c>
      <c r="AL3">
        <f>CumulativeConfirmed!AL3-CumulativeRecovered!AL3-CumulativeDead!AL3</f>
        <v>593</v>
      </c>
      <c r="AM3">
        <f>CumulativeConfirmed!AM3-CumulativeRecovered!AM3-CumulativeDead!AM3</f>
        <v>821</v>
      </c>
      <c r="AN3">
        <f>CumulativeConfirmed!AN3-CumulativeRecovered!AN3-CumulativeDead!AN3</f>
        <v>1053</v>
      </c>
      <c r="AO3">
        <f>CumulativeConfirmed!AO3-CumulativeRecovered!AO3-CumulativeDead!AO3</f>
        <v>1577</v>
      </c>
      <c r="AP3">
        <f>CumulativeConfirmed!AP3-CumulativeRecovered!AP3-CumulativeDead!AP3</f>
        <v>1835</v>
      </c>
      <c r="AQ3">
        <f>CumulativeConfirmed!AQ3-CumulativeRecovered!AQ3-CumulativeDead!AQ3</f>
        <v>2263</v>
      </c>
      <c r="AR3">
        <f>CumulativeConfirmed!AR3-CumulativeRecovered!AR3-CumulativeDead!AR3</f>
        <v>2706</v>
      </c>
      <c r="AS3">
        <f>CumulativeConfirmed!AS3-CumulativeRecovered!AS3-CumulativeDead!AS3</f>
        <v>3296</v>
      </c>
      <c r="AT3">
        <f>CumulativeConfirmed!AT3-CumulativeRecovered!AT3-CumulativeDead!AT3</f>
        <v>3916</v>
      </c>
      <c r="AU3">
        <f>CumulativeConfirmed!AU3-CumulativeRecovered!AU3-CumulativeDead!AU3</f>
        <v>5061</v>
      </c>
      <c r="AV3">
        <f>CumulativeConfirmed!AV3-CumulativeRecovered!AV3-CumulativeDead!AV3</f>
        <v>6387</v>
      </c>
      <c r="AW3">
        <f>CumulativeConfirmed!AW3-CumulativeRecovered!AW3-CumulativeDead!AW3</f>
        <v>7985</v>
      </c>
      <c r="AX3">
        <f>CumulativeConfirmed!AX3-CumulativeRecovered!AX3-CumulativeDead!AX3</f>
        <v>8794</v>
      </c>
      <c r="AY3">
        <f>CumulativeConfirmed!AY3-CumulativeRecovered!AY3-CumulativeDead!AY3</f>
        <v>10590</v>
      </c>
      <c r="AZ3">
        <f>CumulativeConfirmed!AZ3-CumulativeRecovered!AZ3-CumulativeDead!AZ3</f>
        <v>10590</v>
      </c>
      <c r="BA3">
        <f>CumulativeConfirmed!BA3-CumulativeRecovered!BA3-CumulativeDead!BA3</f>
        <v>14955</v>
      </c>
      <c r="BB3">
        <f>CumulativeConfirmed!BB3-CumulativeRecovered!BB3-CumulativeDead!BB3</f>
        <v>17750</v>
      </c>
      <c r="BC3">
        <f>CumulativeConfirmed!BC3-CumulativeRecovered!BC3-CumulativeDead!BC3</f>
        <v>20603</v>
      </c>
      <c r="BD3">
        <f>CumulativeConfirmed!BD3-CumulativeRecovered!BD3-CumulativeDead!BD3</f>
        <v>23073</v>
      </c>
      <c r="BE3">
        <f>CumulativeConfirmed!BE3-CumulativeRecovered!BE3-CumulativeDead!BE3</f>
        <v>26062</v>
      </c>
      <c r="BF3">
        <f>CumulativeConfirmed!BF3-CumulativeRecovered!BF3-CumulativeDead!BF3</f>
        <v>28710</v>
      </c>
      <c r="BG3">
        <f>CumulativeConfirmed!BG3-CumulativeRecovered!BG3-CumulativeDead!BG3</f>
        <v>33190</v>
      </c>
      <c r="BH3">
        <f>CumulativeConfirmed!BH3-CumulativeRecovered!BH3-CumulativeDead!BH3</f>
        <v>38549</v>
      </c>
      <c r="BI3">
        <f>CumulativeConfirmed!BI3-CumulativeRecovered!BI3-CumulativeDead!BI3</f>
        <v>0</v>
      </c>
      <c r="BJ3">
        <f>CumulativeConfirmed!BJ3-CumulativeRecovered!BJ3-CumulativeDead!BJ3</f>
        <v>0</v>
      </c>
      <c r="BK3">
        <f>CumulativeConfirmed!BK3-CumulativeRecovered!BK3-CumulativeDead!BK3</f>
        <v>0</v>
      </c>
      <c r="BL3">
        <f>CumulativeConfirmed!BL3-CumulativeRecovered!BL3-CumulativeDead!BL3</f>
        <v>0</v>
      </c>
      <c r="BM3">
        <f>CumulativeConfirmed!BM3-CumulativeRecovered!BM3-CumulativeDead!BM3</f>
        <v>0</v>
      </c>
      <c r="BN3">
        <f>CumulativeConfirmed!BN3-CumulativeRecovered!BN3-CumulativeDead!BN3</f>
        <v>0</v>
      </c>
      <c r="BO3">
        <f>CumulativeConfirmed!BO3-CumulativeRecovered!BO3-CumulativeDead!BO3</f>
        <v>0</v>
      </c>
      <c r="BP3">
        <f>CumulativeConfirmed!BP3-CumulativeRecovered!BP3-CumulativeDead!BP3</f>
        <v>0</v>
      </c>
      <c r="BQ3">
        <f>CumulativeConfirmed!BQ3-CumulativeRecovered!BQ3-CumulativeDead!BQ3</f>
        <v>0</v>
      </c>
      <c r="BR3">
        <f>CumulativeConfirmed!BR3-CumulativeRecovered!BR3-CumulativeDead!BR3</f>
        <v>0</v>
      </c>
      <c r="BS3">
        <f>CumulativeConfirmed!BS3-CumulativeRecovered!BS3-CumulativeDead!BS3</f>
        <v>0</v>
      </c>
      <c r="BT3">
        <f>CumulativeConfirmed!BT3-CumulativeRecovered!BT3-CumulativeDead!BT3</f>
        <v>0</v>
      </c>
    </row>
    <row r="4" spans="1:72" ht="15" thickBot="1" x14ac:dyDescent="0.35">
      <c r="A4" s="4" t="s">
        <v>338</v>
      </c>
      <c r="B4">
        <f>CumulativeConfirmed!B4-CumulativeRecovered!B4-CumulativeDead!B4</f>
        <v>0</v>
      </c>
      <c r="C4">
        <f>CumulativeConfirmed!C4-CumulativeRecovered!C4-CumulativeDead!C4</f>
        <v>0</v>
      </c>
      <c r="D4">
        <f>CumulativeConfirmed!D4-CumulativeRecovered!D4-CumulativeDead!D4</f>
        <v>0</v>
      </c>
      <c r="E4">
        <f>CumulativeConfirmed!E4-CumulativeRecovered!E4-CumulativeDead!E4</f>
        <v>0</v>
      </c>
      <c r="F4">
        <f>CumulativeConfirmed!F4-CumulativeRecovered!F4-CumulativeDead!F4</f>
        <v>0</v>
      </c>
      <c r="G4">
        <f>CumulativeConfirmed!G4-CumulativeRecovered!G4-CumulativeDead!G4</f>
        <v>0</v>
      </c>
      <c r="H4">
        <f>CumulativeConfirmed!H4-CumulativeRecovered!H4-CumulativeDead!H4</f>
        <v>0</v>
      </c>
      <c r="I4">
        <f>CumulativeConfirmed!I4-CumulativeRecovered!I4-CumulativeDead!I4</f>
        <v>0</v>
      </c>
      <c r="J4">
        <f>CumulativeConfirmed!J4-CumulativeRecovered!J4-CumulativeDead!J4</f>
        <v>0</v>
      </c>
      <c r="K4">
        <f>CumulativeConfirmed!K4-CumulativeRecovered!K4-CumulativeDead!K4</f>
        <v>0</v>
      </c>
      <c r="L4">
        <f>CumulativeConfirmed!L4-CumulativeRecovered!L4-CumulativeDead!L4</f>
        <v>0</v>
      </c>
      <c r="M4">
        <f>CumulativeConfirmed!M4-CumulativeRecovered!M4-CumulativeDead!M4</f>
        <v>0</v>
      </c>
      <c r="N4">
        <f>CumulativeConfirmed!N4-CumulativeRecovered!N4-CumulativeDead!N4</f>
        <v>0</v>
      </c>
      <c r="O4">
        <f>CumulativeConfirmed!O4-CumulativeRecovered!O4-CumulativeDead!O4</f>
        <v>0</v>
      </c>
      <c r="P4">
        <f>CumulativeConfirmed!P4-CumulativeRecovered!P4-CumulativeDead!P4</f>
        <v>0</v>
      </c>
      <c r="Q4">
        <f>CumulativeConfirmed!Q4-CumulativeRecovered!Q4-CumulativeDead!Q4</f>
        <v>0</v>
      </c>
      <c r="R4">
        <f>CumulativeConfirmed!R4-CumulativeRecovered!R4-CumulativeDead!R4</f>
        <v>0</v>
      </c>
      <c r="S4">
        <f>CumulativeConfirmed!S4-CumulativeRecovered!S4-CumulativeDead!S4</f>
        <v>0</v>
      </c>
      <c r="T4">
        <f>CumulativeConfirmed!T4-CumulativeRecovered!T4-CumulativeDead!T4</f>
        <v>0</v>
      </c>
      <c r="U4">
        <f>CumulativeConfirmed!U4-CumulativeRecovered!U4-CumulativeDead!U4</f>
        <v>0</v>
      </c>
      <c r="V4">
        <f>CumulativeConfirmed!V4-CumulativeRecovered!V4-CumulativeDead!V4</f>
        <v>0</v>
      </c>
      <c r="W4">
        <f>CumulativeConfirmed!W4-CumulativeRecovered!W4-CumulativeDead!W4</f>
        <v>0</v>
      </c>
      <c r="X4">
        <f>CumulativeConfirmed!X4-CumulativeRecovered!X4-CumulativeDead!X4</f>
        <v>0</v>
      </c>
      <c r="Y4">
        <f>CumulativeConfirmed!Y4-CumulativeRecovered!Y4-CumulativeDead!Y4</f>
        <v>0</v>
      </c>
      <c r="Z4">
        <f>CumulativeConfirmed!Z4-CumulativeRecovered!Z4-CumulativeDead!Z4</f>
        <v>0</v>
      </c>
      <c r="AA4">
        <f>CumulativeConfirmed!AA4-CumulativeRecovered!AA4-CumulativeDead!AA4</f>
        <v>0</v>
      </c>
      <c r="AB4">
        <f>CumulativeConfirmed!AB4-CumulativeRecovered!AB4-CumulativeDead!AB4</f>
        <v>0</v>
      </c>
      <c r="AC4">
        <f>CumulativeConfirmed!AC4-CumulativeRecovered!AC4-CumulativeDead!AC4</f>
        <v>0</v>
      </c>
      <c r="AD4">
        <f>CumulativeConfirmed!AD4-CumulativeRecovered!AD4-CumulativeDead!AD4</f>
        <v>0</v>
      </c>
      <c r="AE4">
        <f>CumulativeConfirmed!AE4-CumulativeRecovered!AE4-CumulativeDead!AE4</f>
        <v>3</v>
      </c>
      <c r="AF4">
        <f>CumulativeConfirmed!AF4-CumulativeRecovered!AF4-CumulativeDead!AF4</f>
        <v>14</v>
      </c>
      <c r="AG4">
        <f>CumulativeConfirmed!AG4-CumulativeRecovered!AG4-CumulativeDead!AG4</f>
        <v>23</v>
      </c>
      <c r="AH4">
        <f>CumulativeConfirmed!AH4-CumulativeRecovered!AH4-CumulativeDead!AH4</f>
        <v>35</v>
      </c>
      <c r="AI4">
        <f>CumulativeConfirmed!AI4-CumulativeRecovered!AI4-CumulativeDead!AI4</f>
        <v>49</v>
      </c>
      <c r="AJ4">
        <f>CumulativeConfirmed!AJ4-CumulativeRecovered!AJ4-CumulativeDead!AJ4</f>
        <v>79</v>
      </c>
      <c r="AK4">
        <f>CumulativeConfirmed!AK4-CumulativeRecovered!AK4-CumulativeDead!AK4</f>
        <v>71</v>
      </c>
      <c r="AL4">
        <f>CumulativeConfirmed!AL4-CumulativeRecovered!AL4-CumulativeDead!AL4</f>
        <v>170</v>
      </c>
      <c r="AM4">
        <f>CumulativeConfirmed!AM4-CumulativeRecovered!AM4-CumulativeDead!AM4</f>
        <v>281</v>
      </c>
      <c r="AN4">
        <f>CumulativeConfirmed!AN4-CumulativeRecovered!AN4-CumulativeDead!AN4</f>
        <v>427</v>
      </c>
      <c r="AO4">
        <f>CumulativeConfirmed!AO4-CumulativeRecovered!AO4-CumulativeDead!AO4</f>
        <v>749</v>
      </c>
      <c r="AP4">
        <f>CumulativeConfirmed!AP4-CumulativeRecovered!AP4-CumulativeDead!AP4</f>
        <v>1144</v>
      </c>
      <c r="AQ4">
        <f>CumulativeConfirmed!AQ4-CumulativeRecovered!AQ4-CumulativeDead!AQ4</f>
        <v>1968</v>
      </c>
      <c r="AR4">
        <f>CumulativeConfirmed!AR4-CumulativeRecovered!AR4-CumulativeDead!AR4</f>
        <v>2278</v>
      </c>
      <c r="AS4">
        <f>CumulativeConfirmed!AS4-CumulativeRecovered!AS4-CumulativeDead!AS4</f>
        <v>2667</v>
      </c>
      <c r="AT4">
        <f>CumulativeConfirmed!AT4-CumulativeRecovered!AT4-CumulativeDead!AT4</f>
        <v>3710</v>
      </c>
      <c r="AU4">
        <f>CumulativeConfirmed!AU4-CumulativeRecovered!AU4-CumulativeDead!AU4</f>
        <v>4009</v>
      </c>
      <c r="AV4">
        <f>CumulativeConfirmed!AV4-CumulativeRecovered!AV4-CumulativeDead!AV4</f>
        <v>4238</v>
      </c>
      <c r="AW4">
        <f>CumulativeConfirmed!AW4-CumulativeRecovered!AW4-CumulativeDead!AW4</f>
        <v>4530</v>
      </c>
      <c r="AX4">
        <f>CumulativeConfirmed!AX4-CumulativeRecovered!AX4-CumulativeDead!AX4</f>
        <v>5020</v>
      </c>
      <c r="AY4">
        <f>CumulativeConfirmed!AY4-CumulativeRecovered!AY4-CumulativeDead!AY4</f>
        <v>5687</v>
      </c>
      <c r="AZ4">
        <f>CumulativeConfirmed!AZ4-CumulativeRecovered!AZ4-CumulativeDead!AZ4</f>
        <v>6687</v>
      </c>
      <c r="BA4">
        <f>CumulativeConfirmed!BA4-CumulativeRecovered!BA4-CumulativeDead!BA4</f>
        <v>7891</v>
      </c>
      <c r="BB4">
        <f>CumulativeConfirmed!BB4-CumulativeRecovered!BB4-CumulativeDead!BB4</f>
        <v>9159</v>
      </c>
      <c r="BC4">
        <f>CumulativeConfirmed!BC4-CumulativeRecovered!BC4-CumulativeDead!BC4</f>
        <v>8624</v>
      </c>
      <c r="BD4">
        <f>CumulativeConfirmed!BD4-CumulativeRecovered!BD4-CumulativeDead!BD4</f>
        <v>9548</v>
      </c>
      <c r="BE4">
        <f>CumulativeConfirmed!BE4-CumulativeRecovered!BE4-CumulativeDead!BE4</f>
        <v>9792</v>
      </c>
      <c r="BF4">
        <f>CumulativeConfirmed!BF4-CumulativeRecovered!BF4-CumulativeDead!BF4</f>
        <v>10837</v>
      </c>
      <c r="BG4">
        <f>CumulativeConfirmed!BG4-CumulativeRecovered!BG4-CumulativeDead!BG4</f>
        <v>11413</v>
      </c>
      <c r="BH4">
        <f>CumulativeConfirmed!BH4-CumulativeRecovered!BH4-CumulativeDead!BH4</f>
        <v>11466</v>
      </c>
      <c r="BI4">
        <f>CumulativeConfirmed!BI4-CumulativeRecovered!BI4-CumulativeDead!BI4</f>
        <v>0</v>
      </c>
      <c r="BJ4">
        <f>CumulativeConfirmed!BJ4-CumulativeRecovered!BJ4-CumulativeDead!BJ4</f>
        <v>0</v>
      </c>
      <c r="BK4">
        <f>CumulativeConfirmed!BK4-CumulativeRecovered!BK4-CumulativeDead!BK4</f>
        <v>0</v>
      </c>
      <c r="BL4">
        <f>CumulativeConfirmed!BL4-CumulativeRecovered!BL4-CumulativeDead!BL4</f>
        <v>0</v>
      </c>
      <c r="BM4">
        <f>CumulativeConfirmed!BM4-CumulativeRecovered!BM4-CumulativeDead!BM4</f>
        <v>0</v>
      </c>
      <c r="BN4">
        <f>CumulativeConfirmed!BN4-CumulativeRecovered!BN4-CumulativeDead!BN4</f>
        <v>0</v>
      </c>
      <c r="BO4">
        <f>CumulativeConfirmed!BO4-CumulativeRecovered!BO4-CumulativeDead!BO4</f>
        <v>0</v>
      </c>
      <c r="BP4">
        <f>CumulativeConfirmed!BP4-CumulativeRecovered!BP4-CumulativeDead!BP4</f>
        <v>0</v>
      </c>
      <c r="BQ4">
        <f>CumulativeConfirmed!BQ4-CumulativeRecovered!BQ4-CumulativeDead!BQ4</f>
        <v>0</v>
      </c>
      <c r="BR4">
        <f>CumulativeConfirmed!BR4-CumulativeRecovered!BR4-CumulativeDead!BR4</f>
        <v>0</v>
      </c>
      <c r="BS4">
        <f>CumulativeConfirmed!BS4-CumulativeRecovered!BS4-CumulativeDead!BS4</f>
        <v>0</v>
      </c>
      <c r="BT4">
        <f>CumulativeConfirmed!BT4-CumulativeRecovered!BT4-CumulativeDead!BT4</f>
        <v>0</v>
      </c>
    </row>
    <row r="5" spans="1:72" ht="15" thickBot="1" x14ac:dyDescent="0.35">
      <c r="A5" s="3" t="s">
        <v>339</v>
      </c>
      <c r="B5">
        <f>CumulativeConfirmed!B5-CumulativeRecovered!B5-CumulativeDead!B5</f>
        <v>1</v>
      </c>
      <c r="C5">
        <f>CumulativeConfirmed!C5-CumulativeRecovered!C5-CumulativeDead!C5</f>
        <v>1</v>
      </c>
      <c r="D5">
        <f>CumulativeConfirmed!D5-CumulativeRecovered!D5-CumulativeDead!D5</f>
        <v>2</v>
      </c>
      <c r="E5">
        <f>CumulativeConfirmed!E5-CumulativeRecovered!E5-CumulativeDead!E5</f>
        <v>2</v>
      </c>
      <c r="F5">
        <f>CumulativeConfirmed!F5-CumulativeRecovered!F5-CumulativeDead!F5</f>
        <v>3</v>
      </c>
      <c r="G5">
        <f>CumulativeConfirmed!G5-CumulativeRecovered!G5-CumulativeDead!G5</f>
        <v>4</v>
      </c>
      <c r="H5">
        <f>CumulativeConfirmed!H5-CumulativeRecovered!H5-CumulativeDead!H5</f>
        <v>4</v>
      </c>
      <c r="I5">
        <f>CumulativeConfirmed!I5-CumulativeRecovered!I5-CumulativeDead!I5</f>
        <v>4</v>
      </c>
      <c r="J5">
        <f>CumulativeConfirmed!J5-CumulativeRecovered!J5-CumulativeDead!J5</f>
        <v>4</v>
      </c>
      <c r="K5">
        <f>CumulativeConfirmed!K5-CumulativeRecovered!K5-CumulativeDead!K5</f>
        <v>11</v>
      </c>
      <c r="L5">
        <f>CumulativeConfirmed!L5-CumulativeRecovered!L5-CumulativeDead!L5</f>
        <v>12</v>
      </c>
      <c r="M5">
        <f>CumulativeConfirmed!M5-CumulativeRecovered!M5-CumulativeDead!M5</f>
        <v>15</v>
      </c>
      <c r="N5">
        <f>CumulativeConfirmed!N5-CumulativeRecovered!N5-CumulativeDead!N5</f>
        <v>15</v>
      </c>
      <c r="O5">
        <f>CumulativeConfirmed!O5-CumulativeRecovered!O5-CumulativeDead!O5</f>
        <v>16</v>
      </c>
      <c r="P5">
        <f>CumulativeConfirmed!P5-CumulativeRecovered!P5-CumulativeDead!P5</f>
        <v>19</v>
      </c>
      <c r="Q5">
        <f>CumulativeConfirmed!Q5-CumulativeRecovered!Q5-CumulativeDead!Q5</f>
        <v>23</v>
      </c>
      <c r="R5">
        <f>CumulativeConfirmed!R5-CumulativeRecovered!R5-CumulativeDead!R5</f>
        <v>23</v>
      </c>
      <c r="S5">
        <f>CumulativeConfirmed!S5-CumulativeRecovered!S5-CumulativeDead!S5</f>
        <v>23</v>
      </c>
      <c r="T5">
        <f>CumulativeConfirmed!T5-CumulativeRecovered!T5-CumulativeDead!T5</f>
        <v>22</v>
      </c>
      <c r="U5">
        <f>CumulativeConfirmed!U5-CumulativeRecovered!U5-CumulativeDead!U5</f>
        <v>24</v>
      </c>
      <c r="V5">
        <f>CumulativeConfirmed!V5-CumulativeRecovered!V5-CumulativeDead!V5</f>
        <v>25</v>
      </c>
      <c r="W5">
        <f>CumulativeConfirmed!W5-CumulativeRecovered!W5-CumulativeDead!W5</f>
        <v>21</v>
      </c>
      <c r="X5">
        <f>CumulativeConfirmed!X5-CumulativeRecovered!X5-CumulativeDead!X5</f>
        <v>21</v>
      </c>
      <c r="Y5">
        <f>CumulativeConfirmed!Y5-CumulativeRecovered!Y5-CumulativeDead!Y5</f>
        <v>21</v>
      </c>
      <c r="Z5">
        <f>CumulativeConfirmed!Z5-CumulativeRecovered!Z5-CumulativeDead!Z5</f>
        <v>19</v>
      </c>
      <c r="AA5">
        <f>CumulativeConfirmed!AA5-CumulativeRecovered!AA5-CumulativeDead!AA5</f>
        <v>20</v>
      </c>
      <c r="AB5">
        <f>CumulativeConfirmed!AB5-CumulativeRecovered!AB5-CumulativeDead!AB5</f>
        <v>20</v>
      </c>
      <c r="AC5">
        <f>CumulativeConfirmed!AC5-CumulativeRecovered!AC5-CumulativeDead!AC5</f>
        <v>19</v>
      </c>
      <c r="AD5">
        <f>CumulativeConfirmed!AD5-CumulativeRecovered!AD5-CumulativeDead!AD5</f>
        <v>19</v>
      </c>
      <c r="AE5">
        <f>CumulativeConfirmed!AE5-CumulativeRecovered!AE5-CumulativeDead!AE5</f>
        <v>87</v>
      </c>
      <c r="AF5">
        <f>CumulativeConfirmed!AF5-CumulativeRecovered!AF5-CumulativeDead!AF5</f>
        <v>186</v>
      </c>
      <c r="AG5">
        <f>CumulativeConfirmed!AG5-CumulativeRecovered!AG5-CumulativeDead!AG5</f>
        <v>415</v>
      </c>
      <c r="AH5">
        <f>CumulativeConfirmed!AH5-CumulativeRecovered!AH5-CumulativeDead!AH5</f>
        <v>578</v>
      </c>
      <c r="AI5">
        <f>CumulativeConfirmed!AI5-CumulativeRecovered!AI5-CumulativeDead!AI5</f>
        <v>807</v>
      </c>
      <c r="AJ5">
        <f>CumulativeConfirmed!AJ5-CumulativeRecovered!AJ5-CumulativeDead!AJ5</f>
        <v>945</v>
      </c>
      <c r="AK5">
        <f>CumulativeConfirmed!AK5-CumulativeRecovered!AK5-CumulativeDead!AK5</f>
        <v>1227</v>
      </c>
      <c r="AL5">
        <f>CumulativeConfirmed!AL5-CumulativeRecovered!AL5-CumulativeDead!AL5</f>
        <v>1731</v>
      </c>
      <c r="AM5">
        <f>CumulativeConfirmed!AM5-CumulativeRecovered!AM5-CumulativeDead!AM5</f>
        <v>2302</v>
      </c>
      <c r="AN5">
        <f>CumulativeConfirmed!AN5-CumulativeRecovered!AN5-CumulativeDead!AN5</f>
        <v>3107</v>
      </c>
      <c r="AO5">
        <f>CumulativeConfirmed!AO5-CumulativeRecovered!AO5-CumulativeDead!AO5</f>
        <v>3689</v>
      </c>
      <c r="AP5">
        <f>CumulativeConfirmed!AP5-CumulativeRecovered!AP5-CumulativeDead!AP5</f>
        <v>4277</v>
      </c>
      <c r="AQ5">
        <f>CumulativeConfirmed!AQ5-CumulativeRecovered!AQ5-CumulativeDead!AQ5</f>
        <v>5128</v>
      </c>
      <c r="AR5">
        <f>CumulativeConfirmed!AR5-CumulativeRecovered!AR5-CumulativeDead!AR5</f>
        <v>5545</v>
      </c>
      <c r="AS5">
        <f>CumulativeConfirmed!AS5-CumulativeRecovered!AS5-CumulativeDead!AS5</f>
        <v>6012</v>
      </c>
      <c r="AT5">
        <f>CumulativeConfirmed!AT5-CumulativeRecovered!AT5-CumulativeDead!AT5</f>
        <v>6416</v>
      </c>
      <c r="AU5">
        <f>CumulativeConfirmed!AU5-CumulativeRecovered!AU5-CumulativeDead!AU5</f>
        <v>6862</v>
      </c>
      <c r="AV5">
        <f>CumulativeConfirmed!AV5-CumulativeRecovered!AV5-CumulativeDead!AV5</f>
        <v>7146</v>
      </c>
      <c r="AW5">
        <f>CumulativeConfirmed!AW5-CumulativeRecovered!AW5-CumulativeDead!AW5</f>
        <v>7307</v>
      </c>
      <c r="AX5">
        <f>CumulativeConfirmed!AX5-CumulativeRecovered!AX5-CumulativeDead!AX5</f>
        <v>7212</v>
      </c>
      <c r="AY5">
        <f>CumulativeConfirmed!AY5-CumulativeRecovered!AY5-CumulativeDead!AY5</f>
        <v>7407</v>
      </c>
      <c r="AZ5">
        <f>CumulativeConfirmed!AZ5-CumulativeRecovered!AZ5-CumulativeDead!AZ5</f>
        <v>7470</v>
      </c>
      <c r="BA5">
        <f>CumulativeConfirmed!BA5-CumulativeRecovered!BA5-CumulativeDead!BA5</f>
        <v>7403</v>
      </c>
      <c r="BB5">
        <f>CumulativeConfirmed!BB5-CumulativeRecovered!BB5-CumulativeDead!BB5</f>
        <v>7504</v>
      </c>
      <c r="BC5">
        <f>CumulativeConfirmed!BC5-CumulativeRecovered!BC5-CumulativeDead!BC5</f>
        <v>7577</v>
      </c>
      <c r="BD5">
        <f>CumulativeConfirmed!BD5-CumulativeRecovered!BD5-CumulativeDead!BD5</f>
        <v>7024</v>
      </c>
      <c r="BE5">
        <f>CumulativeConfirmed!BE5-CumulativeRecovered!BE5-CumulativeDead!BE5</f>
        <v>6832</v>
      </c>
      <c r="BF5">
        <f>CumulativeConfirmed!BF5-CumulativeRecovered!BF5-CumulativeDead!BF5</f>
        <v>6789</v>
      </c>
      <c r="BG5">
        <f>CumulativeConfirmed!BG5-CumulativeRecovered!BG5-CumulativeDead!BG5</f>
        <v>6934</v>
      </c>
      <c r="BH5">
        <f>CumulativeConfirmed!BH5-CumulativeRecovered!BH5-CumulativeDead!BH5</f>
        <v>7018</v>
      </c>
      <c r="BI5">
        <f>CumulativeConfirmed!BI5-CumulativeRecovered!BI5-CumulativeDead!BI5</f>
        <v>0</v>
      </c>
      <c r="BJ5">
        <f>CumulativeConfirmed!BJ5-CumulativeRecovered!BJ5-CumulativeDead!BJ5</f>
        <v>0</v>
      </c>
      <c r="BK5">
        <f>CumulativeConfirmed!BK5-CumulativeRecovered!BK5-CumulativeDead!BK5</f>
        <v>0</v>
      </c>
      <c r="BL5">
        <f>CumulativeConfirmed!BL5-CumulativeRecovered!BL5-CumulativeDead!BL5</f>
        <v>0</v>
      </c>
      <c r="BM5">
        <f>CumulativeConfirmed!BM5-CumulativeRecovered!BM5-CumulativeDead!BM5</f>
        <v>0</v>
      </c>
      <c r="BN5">
        <f>CumulativeConfirmed!BN5-CumulativeRecovered!BN5-CumulativeDead!BN5</f>
        <v>0</v>
      </c>
      <c r="BO5">
        <f>CumulativeConfirmed!BO5-CumulativeRecovered!BO5-CumulativeDead!BO5</f>
        <v>0</v>
      </c>
      <c r="BP5">
        <f>CumulativeConfirmed!BP5-CumulativeRecovered!BP5-CumulativeDead!BP5</f>
        <v>0</v>
      </c>
      <c r="BQ5">
        <f>CumulativeConfirmed!BQ5-CumulativeRecovered!BQ5-CumulativeDead!BQ5</f>
        <v>0</v>
      </c>
      <c r="BR5">
        <f>CumulativeConfirmed!BR5-CumulativeRecovered!BR5-CumulativeDead!BR5</f>
        <v>0</v>
      </c>
      <c r="BS5">
        <f>CumulativeConfirmed!BS5-CumulativeRecovered!BS5-CumulativeDead!BS5</f>
        <v>0</v>
      </c>
      <c r="BT5">
        <f>CumulativeConfirmed!BT5-CumulativeRecovered!BT5-CumulativeDead!BT5</f>
        <v>0</v>
      </c>
    </row>
    <row r="6" spans="1:72" ht="15" thickBot="1" x14ac:dyDescent="0.35">
      <c r="A6" s="3" t="s">
        <v>60</v>
      </c>
      <c r="B6">
        <f>CumulativeConfirmed!B6-CumulativeRecovered!B6-CumulativeDead!B6</f>
        <v>0</v>
      </c>
      <c r="C6">
        <f>CumulativeConfirmed!C6-CumulativeRecovered!C6-CumulativeDead!C6</f>
        <v>0</v>
      </c>
      <c r="D6">
        <f>CumulativeConfirmed!D6-CumulativeRecovered!D6-CumulativeDead!D6</f>
        <v>0</v>
      </c>
      <c r="E6">
        <f>CumulativeConfirmed!E6-CumulativeRecovered!E6-CumulativeDead!E6</f>
        <v>0</v>
      </c>
      <c r="F6">
        <f>CumulativeConfirmed!F6-CumulativeRecovered!F6-CumulativeDead!F6</f>
        <v>0</v>
      </c>
      <c r="G6">
        <f>CumulativeConfirmed!G6-CumulativeRecovered!G6-CumulativeDead!G6</f>
        <v>0</v>
      </c>
      <c r="H6">
        <f>CumulativeConfirmed!H6-CumulativeRecovered!H6-CumulativeDead!H6</f>
        <v>0</v>
      </c>
      <c r="I6">
        <f>CumulativeConfirmed!I6-CumulativeRecovered!I6-CumulativeDead!I6</f>
        <v>0</v>
      </c>
      <c r="J6">
        <f>CumulativeConfirmed!J6-CumulativeRecovered!J6-CumulativeDead!J6</f>
        <v>0</v>
      </c>
      <c r="K6">
        <f>CumulativeConfirmed!K6-CumulativeRecovered!K6-CumulativeDead!K6</f>
        <v>0</v>
      </c>
      <c r="L6">
        <f>CumulativeConfirmed!L6-CumulativeRecovered!L6-CumulativeDead!L6</f>
        <v>1</v>
      </c>
      <c r="M6">
        <f>CumulativeConfirmed!M6-CumulativeRecovered!M6-CumulativeDead!M6</f>
        <v>1</v>
      </c>
      <c r="N6">
        <f>CumulativeConfirmed!N6-CumulativeRecovered!N6-CumulativeDead!N6</f>
        <v>1</v>
      </c>
      <c r="O6">
        <f>CumulativeConfirmed!O6-CumulativeRecovered!O6-CumulativeDead!O6</f>
        <v>1</v>
      </c>
      <c r="P6">
        <f>CumulativeConfirmed!P6-CumulativeRecovered!P6-CumulativeDead!P6</f>
        <v>1</v>
      </c>
      <c r="Q6">
        <f>CumulativeConfirmed!Q6-CumulativeRecovered!Q6-CumulativeDead!Q6</f>
        <v>1</v>
      </c>
      <c r="R6">
        <f>CumulativeConfirmed!R6-CumulativeRecovered!R6-CumulativeDead!R6</f>
        <v>1</v>
      </c>
      <c r="S6">
        <f>CumulativeConfirmed!S6-CumulativeRecovered!S6-CumulativeDead!S6</f>
        <v>1</v>
      </c>
      <c r="T6">
        <f>CumulativeConfirmed!T6-CumulativeRecovered!T6-CumulativeDead!T6</f>
        <v>2</v>
      </c>
      <c r="U6">
        <f>CumulativeConfirmed!U6-CumulativeRecovered!U6-CumulativeDead!U6</f>
        <v>2</v>
      </c>
      <c r="V6">
        <f>CumulativeConfirmed!V6-CumulativeRecovered!V6-CumulativeDead!V6</f>
        <v>2</v>
      </c>
      <c r="W6">
        <f>CumulativeConfirmed!W6-CumulativeRecovered!W6-CumulativeDead!W6</f>
        <v>2</v>
      </c>
      <c r="X6">
        <f>CumulativeConfirmed!X6-CumulativeRecovered!X6-CumulativeDead!X6</f>
        <v>2</v>
      </c>
      <c r="Y6">
        <f>CumulativeConfirmed!Y6-CumulativeRecovered!Y6-CumulativeDead!Y6</f>
        <v>2</v>
      </c>
      <c r="Z6">
        <f>CumulativeConfirmed!Z6-CumulativeRecovered!Z6-CumulativeDead!Z6</f>
        <v>0</v>
      </c>
      <c r="AA6">
        <f>CumulativeConfirmed!AA6-CumulativeRecovered!AA6-CumulativeDead!AA6</f>
        <v>0</v>
      </c>
      <c r="AB6">
        <f>CumulativeConfirmed!AB6-CumulativeRecovered!AB6-CumulativeDead!AB6</f>
        <v>0</v>
      </c>
      <c r="AC6">
        <f>CumulativeConfirmed!AC6-CumulativeRecovered!AC6-CumulativeDead!AC6</f>
        <v>0</v>
      </c>
      <c r="AD6">
        <f>CumulativeConfirmed!AD6-CumulativeRecovered!AD6-CumulativeDead!AD6</f>
        <v>0</v>
      </c>
      <c r="AE6">
        <f>CumulativeConfirmed!AE6-CumulativeRecovered!AE6-CumulativeDead!AE6</f>
        <v>0</v>
      </c>
      <c r="AF6">
        <f>CumulativeConfirmed!AF6-CumulativeRecovered!AF6-CumulativeDead!AF6</f>
        <v>0</v>
      </c>
      <c r="AG6">
        <f>CumulativeConfirmed!AG6-CumulativeRecovered!AG6-CumulativeDead!AG6</f>
        <v>0</v>
      </c>
      <c r="AH6">
        <f>CumulativeConfirmed!AH6-CumulativeRecovered!AH6-CumulativeDead!AH6</f>
        <v>0</v>
      </c>
      <c r="AI6">
        <f>CumulativeConfirmed!AI6-CumulativeRecovered!AI6-CumulativeDead!AI6</f>
        <v>0</v>
      </c>
      <c r="AJ6">
        <f>CumulativeConfirmed!AJ6-CumulativeRecovered!AJ6-CumulativeDead!AJ6</f>
        <v>4</v>
      </c>
      <c r="AK6">
        <f>CumulativeConfirmed!AK6-CumulativeRecovered!AK6-CumulativeDead!AK6</f>
        <v>11</v>
      </c>
      <c r="AL6">
        <f>CumulativeConfirmed!AL6-CumulativeRecovered!AL6-CumulativeDead!AL6</f>
        <v>13</v>
      </c>
      <c r="AM6">
        <f>CumulativeConfirmed!AM6-CumulativeRecovered!AM6-CumulativeDead!AM6</f>
        <v>30</v>
      </c>
      <c r="AN6">
        <f>CumulativeConfirmed!AN6-CumulativeRecovered!AN6-CumulativeDead!AN6</f>
        <v>43</v>
      </c>
      <c r="AO6">
        <f>CumulativeConfirmed!AO6-CumulativeRecovered!AO6-CumulativeDead!AO6</f>
        <v>82</v>
      </c>
      <c r="AP6">
        <f>CumulativeConfirmed!AP6-CumulativeRecovered!AP6-CumulativeDead!AP6</f>
        <v>118</v>
      </c>
      <c r="AQ6">
        <f>CumulativeConfirmed!AQ6-CumulativeRecovered!AQ6-CumulativeDead!AQ6</f>
        <v>162</v>
      </c>
      <c r="AR6">
        <f>CumulativeConfirmed!AR6-CumulativeRecovered!AR6-CumulativeDead!AR6</f>
        <v>218</v>
      </c>
      <c r="AS6">
        <f>CumulativeConfirmed!AS6-CumulativeRecovered!AS6-CumulativeDead!AS6</f>
        <v>254</v>
      </c>
      <c r="AT6">
        <f>CumulativeConfirmed!AT6-CumulativeRecovered!AT6-CumulativeDead!AT6</f>
        <v>393</v>
      </c>
      <c r="AU6">
        <f>CumulativeConfirmed!AU6-CumulativeRecovered!AU6-CumulativeDead!AU6</f>
        <v>460</v>
      </c>
      <c r="AV6">
        <f>CumulativeConfirmed!AV6-CumulativeRecovered!AV6-CumulativeDead!AV6</f>
        <v>626</v>
      </c>
      <c r="AW6">
        <f>CumulativeConfirmed!AW6-CumulativeRecovered!AW6-CumulativeDead!AW6</f>
        <v>1013</v>
      </c>
      <c r="AX6">
        <f>CumulativeConfirmed!AX6-CumulativeRecovered!AX6-CumulativeDead!AX6</f>
        <v>1628</v>
      </c>
      <c r="AY6">
        <f>CumulativeConfirmed!AY6-CumulativeRecovered!AY6-CumulativeDead!AY6</f>
        <v>2040</v>
      </c>
      <c r="AZ6">
        <f>CumulativeConfirmed!AZ6-CumulativeRecovered!AZ6-CumulativeDead!AZ6</f>
        <v>2039</v>
      </c>
      <c r="BA6">
        <f>CumulativeConfirmed!BA6-CumulativeRecovered!BA6-CumulativeDead!BA6</f>
        <v>4906</v>
      </c>
      <c r="BB6">
        <f>CumulativeConfirmed!BB6-CumulativeRecovered!BB6-CumulativeDead!BB6</f>
        <v>5679</v>
      </c>
      <c r="BC6">
        <f>CumulativeConfirmed!BC6-CumulativeRecovered!BC6-CumulativeDead!BC6</f>
        <v>6992</v>
      </c>
      <c r="BD6">
        <f>CumulativeConfirmed!BD6-CumulativeRecovered!BD6-CumulativeDead!BD6</f>
        <v>9070</v>
      </c>
      <c r="BE6">
        <f>CumulativeConfirmed!BE6-CumulativeRecovered!BE6-CumulativeDead!BE6</f>
        <v>10187</v>
      </c>
      <c r="BF6">
        <f>CumulativeConfirmed!BF6-CumulativeRecovered!BF6-CumulativeDead!BF6</f>
        <v>12206</v>
      </c>
      <c r="BG6">
        <f>CumulativeConfirmed!BG6-CumulativeRecovered!BG6-CumulativeDead!BG6</f>
        <v>16026</v>
      </c>
      <c r="BH6">
        <f>CumulativeConfirmed!BH6-CumulativeRecovered!BH6-CumulativeDead!BH6</f>
        <v>17779</v>
      </c>
      <c r="BI6">
        <f>CumulativeConfirmed!BI6-CumulativeRecovered!BI6-CumulativeDead!BI6</f>
        <v>0</v>
      </c>
      <c r="BJ6">
        <f>CumulativeConfirmed!BJ6-CumulativeRecovered!BJ6-CumulativeDead!BJ6</f>
        <v>0</v>
      </c>
      <c r="BK6">
        <f>CumulativeConfirmed!BK6-CumulativeRecovered!BK6-CumulativeDead!BK6</f>
        <v>0</v>
      </c>
      <c r="BL6">
        <f>CumulativeConfirmed!BL6-CumulativeRecovered!BL6-CumulativeDead!BL6</f>
        <v>0</v>
      </c>
      <c r="BM6">
        <f>CumulativeConfirmed!BM6-CumulativeRecovered!BM6-CumulativeDead!BM6</f>
        <v>0</v>
      </c>
      <c r="BN6">
        <f>CumulativeConfirmed!BN6-CumulativeRecovered!BN6-CumulativeDead!BN6</f>
        <v>0</v>
      </c>
      <c r="BO6">
        <f>CumulativeConfirmed!BO6-CumulativeRecovered!BO6-CumulativeDead!BO6</f>
        <v>0</v>
      </c>
      <c r="BP6">
        <f>CumulativeConfirmed!BP6-CumulativeRecovered!BP6-CumulativeDead!BP6</f>
        <v>0</v>
      </c>
      <c r="BQ6">
        <f>CumulativeConfirmed!BQ6-CumulativeRecovered!BQ6-CumulativeDead!BQ6</f>
        <v>0</v>
      </c>
      <c r="BR6">
        <f>CumulativeConfirmed!BR6-CumulativeRecovered!BR6-CumulativeDead!BR6</f>
        <v>0</v>
      </c>
      <c r="BS6">
        <f>CumulativeConfirmed!BS6-CumulativeRecovered!BS6-CumulativeDead!BS6</f>
        <v>0</v>
      </c>
      <c r="BT6">
        <f>CumulativeConfirmed!BT6-CumulativeRecovered!BT6-CumulativeDead!BT6</f>
        <v>0</v>
      </c>
    </row>
    <row r="7" spans="1:72" ht="15" thickBot="1" x14ac:dyDescent="0.35">
      <c r="A7" s="4" t="s">
        <v>53</v>
      </c>
      <c r="B7">
        <f>CumulativeConfirmed!B7-CumulativeRecovered!B7-CumulativeDead!B7</f>
        <v>0</v>
      </c>
      <c r="C7">
        <f>CumulativeConfirmed!C7-CumulativeRecovered!C7-CumulativeDead!C7</f>
        <v>0</v>
      </c>
      <c r="D7">
        <f>CumulativeConfirmed!D7-CumulativeRecovered!D7-CumulativeDead!D7</f>
        <v>0</v>
      </c>
      <c r="E7">
        <f>CumulativeConfirmed!E7-CumulativeRecovered!E7-CumulativeDead!E7</f>
        <v>0</v>
      </c>
      <c r="F7">
        <f>CumulativeConfirmed!F7-CumulativeRecovered!F7-CumulativeDead!F7</f>
        <v>0</v>
      </c>
      <c r="G7">
        <f>CumulativeConfirmed!G7-CumulativeRecovered!G7-CumulativeDead!G7</f>
        <v>1</v>
      </c>
      <c r="H7">
        <f>CumulativeConfirmed!H7-CumulativeRecovered!H7-CumulativeDead!H7</f>
        <v>4</v>
      </c>
      <c r="I7">
        <f>CumulativeConfirmed!I7-CumulativeRecovered!I7-CumulativeDead!I7</f>
        <v>4</v>
      </c>
      <c r="J7">
        <f>CumulativeConfirmed!J7-CumulativeRecovered!J7-CumulativeDead!J7</f>
        <v>4</v>
      </c>
      <c r="K7">
        <f>CumulativeConfirmed!K7-CumulativeRecovered!K7-CumulativeDead!K7</f>
        <v>5</v>
      </c>
      <c r="L7">
        <f>CumulativeConfirmed!L7-CumulativeRecovered!L7-CumulativeDead!L7</f>
        <v>8</v>
      </c>
      <c r="M7">
        <f>CumulativeConfirmed!M7-CumulativeRecovered!M7-CumulativeDead!M7</f>
        <v>10</v>
      </c>
      <c r="N7">
        <f>CumulativeConfirmed!N7-CumulativeRecovered!N7-CumulativeDead!N7</f>
        <v>12</v>
      </c>
      <c r="O7">
        <f>CumulativeConfirmed!O7-CumulativeRecovered!O7-CumulativeDead!O7</f>
        <v>12</v>
      </c>
      <c r="P7">
        <f>CumulativeConfirmed!P7-CumulativeRecovered!P7-CumulativeDead!P7</f>
        <v>12</v>
      </c>
      <c r="Q7">
        <f>CumulativeConfirmed!Q7-CumulativeRecovered!Q7-CumulativeDead!Q7</f>
        <v>12</v>
      </c>
      <c r="R7">
        <f>CumulativeConfirmed!R7-CumulativeRecovered!R7-CumulativeDead!R7</f>
        <v>13</v>
      </c>
      <c r="S7">
        <f>CumulativeConfirmed!S7-CumulativeRecovered!S7-CumulativeDead!S7</f>
        <v>13</v>
      </c>
      <c r="T7">
        <f>CumulativeConfirmed!T7-CumulativeRecovered!T7-CumulativeDead!T7</f>
        <v>14</v>
      </c>
      <c r="U7">
        <f>CumulativeConfirmed!U7-CumulativeRecovered!U7-CumulativeDead!U7</f>
        <v>14</v>
      </c>
      <c r="V7">
        <f>CumulativeConfirmed!V7-CumulativeRecovered!V7-CumulativeDead!V7</f>
        <v>16</v>
      </c>
      <c r="W7">
        <f>CumulativeConfirmed!W7-CumulativeRecovered!W7-CumulativeDead!W7</f>
        <v>16</v>
      </c>
      <c r="X7">
        <f>CumulativeConfirmed!X7-CumulativeRecovered!X7-CumulativeDead!X7</f>
        <v>15</v>
      </c>
      <c r="Y7">
        <f>CumulativeConfirmed!Y7-CumulativeRecovered!Y7-CumulativeDead!Y7</f>
        <v>15</v>
      </c>
      <c r="Z7">
        <f>CumulativeConfirmed!Z7-CumulativeRecovered!Z7-CumulativeDead!Z7</f>
        <v>15</v>
      </c>
      <c r="AA7">
        <f>CumulativeConfirmed!AA7-CumulativeRecovered!AA7-CumulativeDead!AA7</f>
        <v>15</v>
      </c>
      <c r="AB7">
        <f>CumulativeConfirmed!AB7-CumulativeRecovered!AB7-CumulativeDead!AB7</f>
        <v>15</v>
      </c>
      <c r="AC7">
        <f>CumulativeConfirmed!AC7-CumulativeRecovered!AC7-CumulativeDead!AC7</f>
        <v>4</v>
      </c>
      <c r="AD7">
        <f>CumulativeConfirmed!AD7-CumulativeRecovered!AD7-CumulativeDead!AD7</f>
        <v>4</v>
      </c>
      <c r="AE7">
        <f>CumulativeConfirmed!AE7-CumulativeRecovered!AE7-CumulativeDead!AE7</f>
        <v>4</v>
      </c>
      <c r="AF7">
        <f>CumulativeConfirmed!AF7-CumulativeRecovered!AF7-CumulativeDead!AF7</f>
        <v>2</v>
      </c>
      <c r="AG7">
        <f>CumulativeConfirmed!AG7-CumulativeRecovered!AG7-CumulativeDead!AG7</f>
        <v>2</v>
      </c>
      <c r="AH7">
        <f>CumulativeConfirmed!AH7-CumulativeRecovered!AH7-CumulativeDead!AH7</f>
        <v>2</v>
      </c>
      <c r="AI7">
        <f>CumulativeConfirmed!AI7-CumulativeRecovered!AI7-CumulativeDead!AI7</f>
        <v>2</v>
      </c>
      <c r="AJ7">
        <f>CumulativeConfirmed!AJ7-CumulativeRecovered!AJ7-CumulativeDead!AJ7</f>
        <v>3</v>
      </c>
      <c r="AK7">
        <f>CumulativeConfirmed!AK7-CumulativeRecovered!AK7-CumulativeDead!AK7</f>
        <v>12</v>
      </c>
      <c r="AL7">
        <f>CumulativeConfirmed!AL7-CumulativeRecovered!AL7-CumulativeDead!AL7</f>
        <v>30</v>
      </c>
      <c r="AM7">
        <f>CumulativeConfirmed!AM7-CumulativeRecovered!AM7-CumulativeDead!AM7</f>
        <v>32</v>
      </c>
      <c r="AN7">
        <f>CumulativeConfirmed!AN7-CumulativeRecovered!AN7-CumulativeDead!AN7</f>
        <v>63</v>
      </c>
      <c r="AO7">
        <f>CumulativeConfirmed!AO7-CumulativeRecovered!AO7-CumulativeDead!AO7</f>
        <v>114</v>
      </c>
      <c r="AP7">
        <f>CumulativeConfirmed!AP7-CumulativeRecovered!AP7-CumulativeDead!AP7</f>
        <v>143</v>
      </c>
      <c r="AQ7">
        <f>CumulativeConfirmed!AQ7-CumulativeRecovered!AQ7-CumulativeDead!AQ7</f>
        <v>180</v>
      </c>
      <c r="AR7">
        <f>CumulativeConfirmed!AR7-CumulativeRecovered!AR7-CumulativeDead!AR7</f>
        <v>246</v>
      </c>
      <c r="AS7">
        <f>CumulativeConfirmed!AS7-CumulativeRecovered!AS7-CumulativeDead!AS7</f>
        <v>466</v>
      </c>
      <c r="AT7">
        <f>CumulativeConfirmed!AT7-CumulativeRecovered!AT7-CumulativeDead!AT7</f>
        <v>653</v>
      </c>
      <c r="AU7">
        <f>CumulativeConfirmed!AU7-CumulativeRecovered!AU7-CumulativeDead!AU7</f>
        <v>781</v>
      </c>
      <c r="AV7">
        <f>CumulativeConfirmed!AV7-CumulativeRecovered!AV7-CumulativeDead!AV7</f>
        <v>1022</v>
      </c>
      <c r="AW7">
        <f>CumulativeConfirmed!AW7-CumulativeRecovered!AW7-CumulativeDead!AW7</f>
        <v>1156</v>
      </c>
      <c r="AX7">
        <f>CumulativeConfirmed!AX7-CumulativeRecovered!AX7-CumulativeDead!AX7</f>
        <v>1437</v>
      </c>
      <c r="AY7">
        <f>CumulativeConfirmed!AY7-CumulativeRecovered!AY7-CumulativeDead!AY7</f>
        <v>1880</v>
      </c>
      <c r="AZ7">
        <f>CumulativeConfirmed!AZ7-CumulativeRecovered!AZ7-CumulativeDead!AZ7</f>
        <v>2050</v>
      </c>
      <c r="BA7">
        <f>CumulativeConfirmed!BA7-CumulativeRecovered!BA7-CumulativeDead!BA7</f>
        <v>3622</v>
      </c>
      <c r="BB7">
        <f>CumulativeConfirmed!BB7-CumulativeRecovered!BB7-CumulativeDead!BB7</f>
        <v>4530</v>
      </c>
      <c r="BC7">
        <f>CumulativeConfirmed!BC7-CumulativeRecovered!BC7-CumulativeDead!BC7</f>
        <v>5738</v>
      </c>
      <c r="BD7">
        <f>CumulativeConfirmed!BD7-CumulativeRecovered!BD7-CumulativeDead!BD7</f>
        <v>7188</v>
      </c>
      <c r="BE7">
        <f>CumulativeConfirmed!BE7-CumulativeRecovered!BE7-CumulativeDead!BE7</f>
        <v>9166</v>
      </c>
      <c r="BF7">
        <f>CumulativeConfirmed!BF7-CumulativeRecovered!BF7-CumulativeDead!BF7</f>
        <v>12194</v>
      </c>
      <c r="BG7">
        <f>CumulativeConfirmed!BG7-CumulativeRecovered!BG7-CumulativeDead!BG7</f>
        <v>15163</v>
      </c>
      <c r="BH7">
        <f>CumulativeConfirmed!BH7-CumulativeRecovered!BH7-CumulativeDead!BH7</f>
        <v>19601</v>
      </c>
      <c r="BI7">
        <f>CumulativeConfirmed!BI7-CumulativeRecovered!BI7-CumulativeDead!BI7</f>
        <v>0</v>
      </c>
      <c r="BJ7">
        <f>CumulativeConfirmed!BJ7-CumulativeRecovered!BJ7-CumulativeDead!BJ7</f>
        <v>0</v>
      </c>
      <c r="BK7">
        <f>CumulativeConfirmed!BK7-CumulativeRecovered!BK7-CumulativeDead!BK7</f>
        <v>0</v>
      </c>
      <c r="BL7">
        <f>CumulativeConfirmed!BL7-CumulativeRecovered!BL7-CumulativeDead!BL7</f>
        <v>0</v>
      </c>
      <c r="BM7">
        <f>CumulativeConfirmed!BM7-CumulativeRecovered!BM7-CumulativeDead!BM7</f>
        <v>0</v>
      </c>
      <c r="BN7">
        <f>CumulativeConfirmed!BN7-CumulativeRecovered!BN7-CumulativeDead!BN7</f>
        <v>0</v>
      </c>
      <c r="BO7">
        <f>CumulativeConfirmed!BO7-CumulativeRecovered!BO7-CumulativeDead!BO7</f>
        <v>0</v>
      </c>
      <c r="BP7">
        <f>CumulativeConfirmed!BP7-CumulativeRecovered!BP7-CumulativeDead!BP7</f>
        <v>0</v>
      </c>
      <c r="BQ7">
        <f>CumulativeConfirmed!BQ7-CumulativeRecovered!BQ7-CumulativeDead!BQ7</f>
        <v>0</v>
      </c>
      <c r="BR7">
        <f>CumulativeConfirmed!BR7-CumulativeRecovered!BR7-CumulativeDead!BR7</f>
        <v>0</v>
      </c>
      <c r="BS7">
        <f>CumulativeConfirmed!BS7-CumulativeRecovered!BS7-CumulativeDead!BS7</f>
        <v>0</v>
      </c>
      <c r="BT7">
        <f>CumulativeConfirmed!BT7-CumulativeRecovered!BT7-CumulativeDead!BT7</f>
        <v>0</v>
      </c>
    </row>
    <row r="8" spans="1:72" ht="15" thickBot="1" x14ac:dyDescent="0.35">
      <c r="A8" s="4" t="s">
        <v>41</v>
      </c>
      <c r="B8">
        <f>CumulativeConfirmed!B8-CumulativeRecovered!B8-CumulativeDead!B8</f>
        <v>0</v>
      </c>
      <c r="C8">
        <f>CumulativeConfirmed!C8-CumulativeRecovered!C8-CumulativeDead!C8</f>
        <v>0</v>
      </c>
      <c r="D8">
        <f>CumulativeConfirmed!D8-CumulativeRecovered!D8-CumulativeDead!D8</f>
        <v>2</v>
      </c>
      <c r="E8">
        <f>CumulativeConfirmed!E8-CumulativeRecovered!E8-CumulativeDead!E8</f>
        <v>3</v>
      </c>
      <c r="F8">
        <f>CumulativeConfirmed!F8-CumulativeRecovered!F8-CumulativeDead!F8</f>
        <v>3</v>
      </c>
      <c r="G8">
        <f>CumulativeConfirmed!G8-CumulativeRecovered!G8-CumulativeDead!G8</f>
        <v>3</v>
      </c>
      <c r="H8">
        <f>CumulativeConfirmed!H8-CumulativeRecovered!H8-CumulativeDead!H8</f>
        <v>4</v>
      </c>
      <c r="I8">
        <f>CumulativeConfirmed!I8-CumulativeRecovered!I8-CumulativeDead!I8</f>
        <v>5</v>
      </c>
      <c r="J8">
        <f>CumulativeConfirmed!J8-CumulativeRecovered!J8-CumulativeDead!J8</f>
        <v>5</v>
      </c>
      <c r="K8">
        <f>CumulativeConfirmed!K8-CumulativeRecovered!K8-CumulativeDead!K8</f>
        <v>5</v>
      </c>
      <c r="L8">
        <f>CumulativeConfirmed!L8-CumulativeRecovered!L8-CumulativeDead!L8</f>
        <v>6</v>
      </c>
      <c r="M8">
        <f>CumulativeConfirmed!M8-CumulativeRecovered!M8-CumulativeDead!M8</f>
        <v>6</v>
      </c>
      <c r="N8">
        <f>CumulativeConfirmed!N8-CumulativeRecovered!N8-CumulativeDead!N8</f>
        <v>6</v>
      </c>
      <c r="O8">
        <f>CumulativeConfirmed!O8-CumulativeRecovered!O8-CumulativeDead!O8</f>
        <v>6</v>
      </c>
      <c r="P8">
        <f>CumulativeConfirmed!P8-CumulativeRecovered!P8-CumulativeDead!P8</f>
        <v>6</v>
      </c>
      <c r="Q8">
        <f>CumulativeConfirmed!Q8-CumulativeRecovered!Q8-CumulativeDead!Q8</f>
        <v>6</v>
      </c>
      <c r="R8">
        <f>CumulativeConfirmed!R8-CumulativeRecovered!R8-CumulativeDead!R8</f>
        <v>6</v>
      </c>
      <c r="S8">
        <f>CumulativeConfirmed!S8-CumulativeRecovered!S8-CumulativeDead!S8</f>
        <v>11</v>
      </c>
      <c r="T8">
        <f>CumulativeConfirmed!T8-CumulativeRecovered!T8-CumulativeDead!T8</f>
        <v>11</v>
      </c>
      <c r="U8">
        <f>CumulativeConfirmed!U8-CumulativeRecovered!U8-CumulativeDead!U8</f>
        <v>11</v>
      </c>
      <c r="V8">
        <f>CumulativeConfirmed!V8-CumulativeRecovered!V8-CumulativeDead!V8</f>
        <v>11</v>
      </c>
      <c r="W8">
        <f>CumulativeConfirmed!W8-CumulativeRecovered!W8-CumulativeDead!W8</f>
        <v>9</v>
      </c>
      <c r="X8">
        <f>CumulativeConfirmed!X8-CumulativeRecovered!X8-CumulativeDead!X8</f>
        <v>9</v>
      </c>
      <c r="Y8">
        <f>CumulativeConfirmed!Y8-CumulativeRecovered!Y8-CumulativeDead!Y8</f>
        <v>9</v>
      </c>
      <c r="Z8">
        <f>CumulativeConfirmed!Z8-CumulativeRecovered!Z8-CumulativeDead!Z8</f>
        <v>7</v>
      </c>
      <c r="AA8">
        <f>CumulativeConfirmed!AA8-CumulativeRecovered!AA8-CumulativeDead!AA8</f>
        <v>7</v>
      </c>
      <c r="AB8">
        <f>CumulativeConfirmed!AB8-CumulativeRecovered!AB8-CumulativeDead!AB8</f>
        <v>7</v>
      </c>
      <c r="AC8">
        <f>CumulativeConfirmed!AC8-CumulativeRecovered!AC8-CumulativeDead!AC8</f>
        <v>7</v>
      </c>
      <c r="AD8">
        <f>CumulativeConfirmed!AD8-CumulativeRecovered!AD8-CumulativeDead!AD8</f>
        <v>7</v>
      </c>
      <c r="AE8">
        <f>CumulativeConfirmed!AE8-CumulativeRecovered!AE8-CumulativeDead!AE8</f>
        <v>7</v>
      </c>
      <c r="AF8">
        <f>CumulativeConfirmed!AF8-CumulativeRecovered!AF8-CumulativeDead!AF8</f>
        <v>7</v>
      </c>
      <c r="AG8">
        <f>CumulativeConfirmed!AG8-CumulativeRecovered!AG8-CumulativeDead!AG8</f>
        <v>7</v>
      </c>
      <c r="AH8">
        <f>CumulativeConfirmed!AH8-CumulativeRecovered!AH8-CumulativeDead!AH8</f>
        <v>7</v>
      </c>
      <c r="AI8">
        <f>CumulativeConfirmed!AI8-CumulativeRecovered!AI8-CumulativeDead!AI8</f>
        <v>7</v>
      </c>
      <c r="AJ8">
        <f>CumulativeConfirmed!AJ8-CumulativeRecovered!AJ8-CumulativeDead!AJ8</f>
        <v>2</v>
      </c>
      <c r="AK8">
        <f>CumulativeConfirmed!AK8-CumulativeRecovered!AK8-CumulativeDead!AK8</f>
        <v>5</v>
      </c>
      <c r="AL8">
        <f>CumulativeConfirmed!AL8-CumulativeRecovered!AL8-CumulativeDead!AL8</f>
        <v>25</v>
      </c>
      <c r="AM8">
        <f>CumulativeConfirmed!AM8-CumulativeRecovered!AM8-CumulativeDead!AM8</f>
        <v>44</v>
      </c>
      <c r="AN8">
        <f>CumulativeConfirmed!AN8-CumulativeRecovered!AN8-CumulativeDead!AN8</f>
        <v>86</v>
      </c>
      <c r="AO8">
        <f>CumulativeConfirmed!AO8-CumulativeRecovered!AO8-CumulativeDead!AO8</f>
        <v>116</v>
      </c>
      <c r="AP8">
        <f>CumulativeConfirmed!AP8-CumulativeRecovered!AP8-CumulativeDead!AP8</f>
        <v>176</v>
      </c>
      <c r="AQ8">
        <f>CumulativeConfirmed!AQ8-CumulativeRecovered!AQ8-CumulativeDead!AQ8</f>
        <v>188</v>
      </c>
      <c r="AR8">
        <f>CumulativeConfirmed!AR8-CumulativeRecovered!AR8-CumulativeDead!AR8</f>
        <v>272</v>
      </c>
      <c r="AS8">
        <f>CumulativeConfirmed!AS8-CumulativeRecovered!AS8-CumulativeDead!AS8</f>
        <v>362</v>
      </c>
      <c r="AT8">
        <f>CumulativeConfirmed!AT8-CumulativeRecovered!AT8-CumulativeDead!AT8</f>
        <v>635</v>
      </c>
      <c r="AU8">
        <f>CumulativeConfirmed!AU8-CumulativeRecovered!AU8-CumulativeDead!AU8</f>
        <v>934</v>
      </c>
      <c r="AV8">
        <f>CumulativeConfirmed!AV8-CumulativeRecovered!AV8-CumulativeDead!AV8</f>
        <v>1103</v>
      </c>
      <c r="AW8">
        <f>CumulativeConfirmed!AW8-CumulativeRecovered!AW8-CumulativeDead!AW8</f>
        <v>1186</v>
      </c>
      <c r="AX8">
        <f>CumulativeConfirmed!AX8-CumulativeRecovered!AX8-CumulativeDead!AX8</f>
        <v>1747</v>
      </c>
      <c r="AY8">
        <f>CumulativeConfirmed!AY8-CumulativeRecovered!AY8-CumulativeDead!AY8</f>
        <v>2230</v>
      </c>
      <c r="AZ8">
        <f>CumulativeConfirmed!AZ8-CumulativeRecovered!AZ8-CumulativeDead!AZ8</f>
        <v>2230</v>
      </c>
      <c r="BA8">
        <f>CumulativeConfirmed!BA8-CumulativeRecovered!BA8-CumulativeDead!BA8</f>
        <v>3587</v>
      </c>
      <c r="BB8">
        <f>CumulativeConfirmed!BB8-CumulativeRecovered!BB8-CumulativeDead!BB8</f>
        <v>4384</v>
      </c>
      <c r="BC8">
        <f>CumulativeConfirmed!BC8-CumulativeRecovered!BC8-CumulativeDead!BC8</f>
        <v>4420</v>
      </c>
      <c r="BD8">
        <f>CumulativeConfirmed!BD8-CumulativeRecovered!BD8-CumulativeDead!BD8</f>
        <v>6508</v>
      </c>
      <c r="BE8">
        <f>CumulativeConfirmed!BE8-CumulativeRecovered!BE8-CumulativeDead!BE8</f>
        <v>7539</v>
      </c>
      <c r="BF8">
        <f>CumulativeConfirmed!BF8-CumulativeRecovered!BF8-CumulativeDead!BF8</f>
        <v>8945</v>
      </c>
      <c r="BG8">
        <f>CumulativeConfirmed!BG8-CumulativeRecovered!BG8-CumulativeDead!BG8</f>
        <v>10692</v>
      </c>
      <c r="BH8">
        <f>CumulativeConfirmed!BH8-CumulativeRecovered!BH8-CumulativeDead!BH8</f>
        <v>12264</v>
      </c>
      <c r="BI8">
        <f>CumulativeConfirmed!BI8-CumulativeRecovered!BI8-CumulativeDead!BI8</f>
        <v>0</v>
      </c>
      <c r="BJ8">
        <f>CumulativeConfirmed!BJ8-CumulativeRecovered!BJ8-CumulativeDead!BJ8</f>
        <v>0</v>
      </c>
      <c r="BK8">
        <f>CumulativeConfirmed!BK8-CumulativeRecovered!BK8-CumulativeDead!BK8</f>
        <v>0</v>
      </c>
      <c r="BL8">
        <f>CumulativeConfirmed!BL8-CumulativeRecovered!BL8-CumulativeDead!BL8</f>
        <v>0</v>
      </c>
      <c r="BM8">
        <f>CumulativeConfirmed!BM8-CumulativeRecovered!BM8-CumulativeDead!BM8</f>
        <v>0</v>
      </c>
      <c r="BN8">
        <f>CumulativeConfirmed!BN8-CumulativeRecovered!BN8-CumulativeDead!BN8</f>
        <v>0</v>
      </c>
      <c r="BO8">
        <f>CumulativeConfirmed!BO8-CumulativeRecovered!BO8-CumulativeDead!BO8</f>
        <v>0</v>
      </c>
      <c r="BP8">
        <f>CumulativeConfirmed!BP8-CumulativeRecovered!BP8-CumulativeDead!BP8</f>
        <v>0</v>
      </c>
      <c r="BQ8">
        <f>CumulativeConfirmed!BQ8-CumulativeRecovered!BQ8-CumulativeDead!BQ8</f>
        <v>0</v>
      </c>
      <c r="BR8">
        <f>CumulativeConfirmed!BR8-CumulativeRecovered!BR8-CumulativeDead!BR8</f>
        <v>0</v>
      </c>
      <c r="BS8">
        <f>CumulativeConfirmed!BS8-CumulativeRecovered!BS8-CumulativeDead!BS8</f>
        <v>0</v>
      </c>
      <c r="BT8">
        <f>CumulativeConfirmed!BT8-CumulativeRecovered!BT8-CumulativeDead!BT8</f>
        <v>0</v>
      </c>
    </row>
    <row r="9" spans="1:72" ht="15" thickBot="1" x14ac:dyDescent="0.35">
      <c r="A9" s="3" t="s">
        <v>38</v>
      </c>
      <c r="B9">
        <f>CumulativeConfirmed!B9-CumulativeRecovered!B9-CumulativeDead!B9</f>
        <v>1</v>
      </c>
      <c r="C9">
        <f>CumulativeConfirmed!C9-CumulativeRecovered!C9-CumulativeDead!C9</f>
        <v>1</v>
      </c>
      <c r="D9">
        <f>CumulativeConfirmed!D9-CumulativeRecovered!D9-CumulativeDead!D9</f>
        <v>2</v>
      </c>
      <c r="E9">
        <f>CumulativeConfirmed!E9-CumulativeRecovered!E9-CumulativeDead!E9</f>
        <v>2</v>
      </c>
      <c r="F9">
        <f>CumulativeConfirmed!F9-CumulativeRecovered!F9-CumulativeDead!F9</f>
        <v>5</v>
      </c>
      <c r="G9">
        <f>CumulativeConfirmed!G9-CumulativeRecovered!G9-CumulativeDead!G9</f>
        <v>5</v>
      </c>
      <c r="H9">
        <f>CumulativeConfirmed!H9-CumulativeRecovered!H9-CumulativeDead!H9</f>
        <v>5</v>
      </c>
      <c r="I9">
        <f>CumulativeConfirmed!I9-CumulativeRecovered!I9-CumulativeDead!I9</f>
        <v>5</v>
      </c>
      <c r="J9">
        <f>CumulativeConfirmed!J9-CumulativeRecovered!J9-CumulativeDead!J9</f>
        <v>5</v>
      </c>
      <c r="K9">
        <f>CumulativeConfirmed!K9-CumulativeRecovered!K9-CumulativeDead!K9</f>
        <v>7</v>
      </c>
      <c r="L9">
        <f>CumulativeConfirmed!L9-CumulativeRecovered!L9-CumulativeDead!L9</f>
        <v>8</v>
      </c>
      <c r="M9">
        <f>CumulativeConfirmed!M9-CumulativeRecovered!M9-CumulativeDead!M9</f>
        <v>8</v>
      </c>
      <c r="N9">
        <f>CumulativeConfirmed!N9-CumulativeRecovered!N9-CumulativeDead!N9</f>
        <v>11</v>
      </c>
      <c r="O9">
        <f>CumulativeConfirmed!O9-CumulativeRecovered!O9-CumulativeDead!O9</f>
        <v>11</v>
      </c>
      <c r="P9">
        <f>CumulativeConfirmed!P9-CumulativeRecovered!P9-CumulativeDead!P9</f>
        <v>11</v>
      </c>
      <c r="Q9">
        <f>CumulativeConfirmed!Q9-CumulativeRecovered!Q9-CumulativeDead!Q9</f>
        <v>11</v>
      </c>
      <c r="R9">
        <f>CumulativeConfirmed!R9-CumulativeRecovered!R9-CumulativeDead!R9</f>
        <v>11</v>
      </c>
      <c r="S9">
        <f>CumulativeConfirmed!S9-CumulativeRecovered!S9-CumulativeDead!S9</f>
        <v>11</v>
      </c>
      <c r="T9">
        <f>CumulativeConfirmed!T9-CumulativeRecovered!T9-CumulativeDead!T9</f>
        <v>8</v>
      </c>
      <c r="U9">
        <f>CumulativeConfirmed!U9-CumulativeRecovered!U9-CumulativeDead!U9</f>
        <v>8</v>
      </c>
      <c r="V9">
        <f>CumulativeConfirmed!V9-CumulativeRecovered!V9-CumulativeDead!V9</f>
        <v>9</v>
      </c>
      <c r="W9">
        <f>CumulativeConfirmed!W9-CumulativeRecovered!W9-CumulativeDead!W9</f>
        <v>9</v>
      </c>
      <c r="X9">
        <f>CumulativeConfirmed!X9-CumulativeRecovered!X9-CumulativeDead!X9</f>
        <v>10</v>
      </c>
      <c r="Y9">
        <f>CumulativeConfirmed!Y9-CumulativeRecovered!Y9-CumulativeDead!Y9</f>
        <v>10</v>
      </c>
      <c r="Z9">
        <f>CumulativeConfirmed!Z9-CumulativeRecovered!Z9-CumulativeDead!Z9</f>
        <v>10</v>
      </c>
      <c r="AA9">
        <f>CumulativeConfirmed!AA9-CumulativeRecovered!AA9-CumulativeDead!AA9</f>
        <v>10</v>
      </c>
      <c r="AB9">
        <f>CumulativeConfirmed!AB9-CumulativeRecovered!AB9-CumulativeDead!AB9</f>
        <v>10</v>
      </c>
      <c r="AC9">
        <f>CumulativeConfirmed!AC9-CumulativeRecovered!AC9-CumulativeDead!AC9</f>
        <v>10</v>
      </c>
      <c r="AD9">
        <f>CumulativeConfirmed!AD9-CumulativeRecovered!AD9-CumulativeDead!AD9</f>
        <v>10</v>
      </c>
      <c r="AE9">
        <f>CumulativeConfirmed!AE9-CumulativeRecovered!AE9-CumulativeDead!AE9</f>
        <v>10</v>
      </c>
      <c r="AF9">
        <f>CumulativeConfirmed!AF9-CumulativeRecovered!AF9-CumulativeDead!AF9</f>
        <v>10</v>
      </c>
      <c r="AG9">
        <f>CumulativeConfirmed!AG9-CumulativeRecovered!AG9-CumulativeDead!AG9</f>
        <v>10</v>
      </c>
      <c r="AH9">
        <f>CumulativeConfirmed!AH9-CumulativeRecovered!AH9-CumulativeDead!AH9</f>
        <v>10</v>
      </c>
      <c r="AI9">
        <f>CumulativeConfirmed!AI9-CumulativeRecovered!AI9-CumulativeDead!AI9</f>
        <v>46</v>
      </c>
      <c r="AJ9">
        <f>CumulativeConfirmed!AJ9-CumulativeRecovered!AJ9-CumulativeDead!AJ9</f>
        <v>45</v>
      </c>
      <c r="AK9">
        <f>CumulativeConfirmed!AK9-CumulativeRecovered!AK9-CumulativeDead!AK9</f>
        <v>51</v>
      </c>
      <c r="AL9">
        <f>CumulativeConfirmed!AL9-CumulativeRecovered!AL9-CumulativeDead!AL9</f>
        <v>52</v>
      </c>
      <c r="AM9">
        <f>CumulativeConfirmed!AM9-CumulativeRecovered!AM9-CumulativeDead!AM9</f>
        <v>53</v>
      </c>
      <c r="AN9">
        <f>CumulativeConfirmed!AN9-CumulativeRecovered!AN9-CumulativeDead!AN9</f>
        <v>60</v>
      </c>
      <c r="AO9">
        <f>CumulativeConfirmed!AO9-CumulativeRecovered!AO9-CumulativeDead!AO9</f>
        <v>66</v>
      </c>
      <c r="AP9">
        <f>CumulativeConfirmed!AP9-CumulativeRecovered!AP9-CumulativeDead!AP9</f>
        <v>85</v>
      </c>
      <c r="AQ9">
        <f>CumulativeConfirmed!AQ9-CumulativeRecovered!AQ9-CumulativeDead!AQ9</f>
        <v>104</v>
      </c>
      <c r="AR9">
        <f>CumulativeConfirmed!AR9-CumulativeRecovered!AR9-CumulativeDead!AR9</f>
        <v>131</v>
      </c>
      <c r="AS9">
        <f>CumulativeConfirmed!AS9-CumulativeRecovered!AS9-CumulativeDead!AS9</f>
        <v>198</v>
      </c>
      <c r="AT9">
        <f>CumulativeConfirmed!AT9-CumulativeRecovered!AT9-CumulativeDead!AT9</f>
        <v>241</v>
      </c>
      <c r="AU9">
        <f>CumulativeConfirmed!AU9-CumulativeRecovered!AU9-CumulativeDead!AU9</f>
        <v>378</v>
      </c>
      <c r="AV9">
        <f>CumulativeConfirmed!AV9-CumulativeRecovered!AV9-CumulativeDead!AV9</f>
        <v>490</v>
      </c>
      <c r="AW9">
        <f>CumulativeConfirmed!AW9-CumulativeRecovered!AW9-CumulativeDead!AW9</f>
        <v>554</v>
      </c>
      <c r="AX9">
        <f>CumulativeConfirmed!AX9-CumulativeRecovered!AX9-CumulativeDead!AX9</f>
        <v>923</v>
      </c>
      <c r="AY9">
        <f>CumulativeConfirmed!AY9-CumulativeRecovered!AY9-CumulativeDead!AY9</f>
        <v>1237</v>
      </c>
      <c r="AZ9">
        <f>CumulativeConfirmed!AZ9-CumulativeRecovered!AZ9-CumulativeDead!AZ9</f>
        <v>1611</v>
      </c>
      <c r="BA9">
        <f>CumulativeConfirmed!BA9-CumulativeRecovered!BA9-CumulativeDead!BA9</f>
        <v>2120</v>
      </c>
      <c r="BB9">
        <f>CumulativeConfirmed!BB9-CumulativeRecovered!BB9-CumulativeDead!BB9</f>
        <v>2661</v>
      </c>
      <c r="BC9">
        <f>CumulativeConfirmed!BC9-CumulativeRecovered!BC9-CumulativeDead!BC9</f>
        <v>3424</v>
      </c>
      <c r="BD9">
        <f>CumulativeConfirmed!BD9-CumulativeRecovered!BD9-CumulativeDead!BD9</f>
        <v>4530</v>
      </c>
      <c r="BE9">
        <f>CumulativeConfirmed!BE9-CumulativeRecovered!BE9-CumulativeDead!BE9</f>
        <v>6296</v>
      </c>
      <c r="BF9">
        <f>CumulativeConfirmed!BF9-CumulativeRecovered!BF9-CumulativeDead!BF9</f>
        <v>7665</v>
      </c>
      <c r="BG9">
        <f>CumulativeConfirmed!BG9-CumulativeRecovered!BG9-CumulativeDead!BG9</f>
        <v>13477</v>
      </c>
      <c r="BH9">
        <f>CumulativeConfirmed!BH9-CumulativeRecovered!BH9-CumulativeDead!BH9</f>
        <v>18856</v>
      </c>
      <c r="BI9">
        <f>CumulativeConfirmed!BI9-CumulativeRecovered!BI9-CumulativeDead!BI9</f>
        <v>0</v>
      </c>
      <c r="BJ9">
        <f>CumulativeConfirmed!BJ9-CumulativeRecovered!BJ9-CumulativeDead!BJ9</f>
        <v>0</v>
      </c>
      <c r="BK9">
        <f>CumulativeConfirmed!BK9-CumulativeRecovered!BK9-CumulativeDead!BK9</f>
        <v>0</v>
      </c>
      <c r="BL9">
        <f>CumulativeConfirmed!BL9-CumulativeRecovered!BL9-CumulativeDead!BL9</f>
        <v>0</v>
      </c>
      <c r="BM9">
        <f>CumulativeConfirmed!BM9-CumulativeRecovered!BM9-CumulativeDead!BM9</f>
        <v>0</v>
      </c>
      <c r="BN9">
        <f>CumulativeConfirmed!BN9-CumulativeRecovered!BN9-CumulativeDead!BN9</f>
        <v>0</v>
      </c>
      <c r="BO9">
        <f>CumulativeConfirmed!BO9-CumulativeRecovered!BO9-CumulativeDead!BO9</f>
        <v>0</v>
      </c>
      <c r="BP9">
        <f>CumulativeConfirmed!BP9-CumulativeRecovered!BP9-CumulativeDead!BP9</f>
        <v>0</v>
      </c>
      <c r="BQ9">
        <f>CumulativeConfirmed!BQ9-CumulativeRecovered!BQ9-CumulativeDead!BQ9</f>
        <v>0</v>
      </c>
      <c r="BR9">
        <f>CumulativeConfirmed!BR9-CumulativeRecovered!BR9-CumulativeDead!BR9</f>
        <v>0</v>
      </c>
      <c r="BS9">
        <f>CumulativeConfirmed!BS9-CumulativeRecovered!BS9-CumulativeDead!BS9</f>
        <v>0</v>
      </c>
      <c r="BT9">
        <f>CumulativeConfirmed!BT9-CumulativeRecovered!BT9-CumulativeDead!BT9</f>
        <v>0</v>
      </c>
    </row>
    <row r="10" spans="1:72" ht="15" thickBot="1" x14ac:dyDescent="0.35">
      <c r="A10" s="4" t="s">
        <v>77</v>
      </c>
      <c r="B10">
        <f>CumulativeConfirmed!B10-CumulativeRecovered!B10-CumulativeDead!B10</f>
        <v>0</v>
      </c>
      <c r="C10">
        <f>CumulativeConfirmed!C10-CumulativeRecovered!C10-CumulativeDead!C10</f>
        <v>0</v>
      </c>
      <c r="D10">
        <f>CumulativeConfirmed!D10-CumulativeRecovered!D10-CumulativeDead!D10</f>
        <v>0</v>
      </c>
      <c r="E10">
        <f>CumulativeConfirmed!E10-CumulativeRecovered!E10-CumulativeDead!E10</f>
        <v>0</v>
      </c>
      <c r="F10">
        <f>CumulativeConfirmed!F10-CumulativeRecovered!F10-CumulativeDead!F10</f>
        <v>0</v>
      </c>
      <c r="G10">
        <f>CumulativeConfirmed!G10-CumulativeRecovered!G10-CumulativeDead!G10</f>
        <v>0</v>
      </c>
      <c r="H10">
        <f>CumulativeConfirmed!H10-CumulativeRecovered!H10-CumulativeDead!H10</f>
        <v>0</v>
      </c>
      <c r="I10">
        <f>CumulativeConfirmed!I10-CumulativeRecovered!I10-CumulativeDead!I10</f>
        <v>0</v>
      </c>
      <c r="J10">
        <f>CumulativeConfirmed!J10-CumulativeRecovered!J10-CumulativeDead!J10</f>
        <v>0</v>
      </c>
      <c r="K10">
        <f>CumulativeConfirmed!K10-CumulativeRecovered!K10-CumulativeDead!K10</f>
        <v>0</v>
      </c>
      <c r="L10">
        <f>CumulativeConfirmed!L10-CumulativeRecovered!L10-CumulativeDead!L10</f>
        <v>0</v>
      </c>
      <c r="M10">
        <f>CumulativeConfirmed!M10-CumulativeRecovered!M10-CumulativeDead!M10</f>
        <v>0</v>
      </c>
      <c r="N10">
        <f>CumulativeConfirmed!N10-CumulativeRecovered!N10-CumulativeDead!N10</f>
        <v>0</v>
      </c>
      <c r="O10">
        <f>CumulativeConfirmed!O10-CumulativeRecovered!O10-CumulativeDead!O10</f>
        <v>0</v>
      </c>
      <c r="P10">
        <f>CumulativeConfirmed!P10-CumulativeRecovered!P10-CumulativeDead!P10</f>
        <v>0</v>
      </c>
      <c r="Q10">
        <f>CumulativeConfirmed!Q10-CumulativeRecovered!Q10-CumulativeDead!Q10</f>
        <v>0</v>
      </c>
      <c r="R10">
        <f>CumulativeConfirmed!R10-CumulativeRecovered!R10-CumulativeDead!R10</f>
        <v>0</v>
      </c>
      <c r="S10">
        <f>CumulativeConfirmed!S10-CumulativeRecovered!S10-CumulativeDead!S10</f>
        <v>0</v>
      </c>
      <c r="T10">
        <f>CumulativeConfirmed!T10-CumulativeRecovered!T10-CumulativeDead!T10</f>
        <v>0</v>
      </c>
      <c r="U10">
        <f>CumulativeConfirmed!U10-CumulativeRecovered!U10-CumulativeDead!U10</f>
        <v>0</v>
      </c>
      <c r="V10">
        <f>CumulativeConfirmed!V10-CumulativeRecovered!V10-CumulativeDead!V10</f>
        <v>0</v>
      </c>
      <c r="W10">
        <f>CumulativeConfirmed!W10-CumulativeRecovered!W10-CumulativeDead!W10</f>
        <v>0</v>
      </c>
      <c r="X10">
        <f>CumulativeConfirmed!X10-CumulativeRecovered!X10-CumulativeDead!X10</f>
        <v>0</v>
      </c>
      <c r="Y10">
        <f>CumulativeConfirmed!Y10-CumulativeRecovered!Y10-CumulativeDead!Y10</f>
        <v>0</v>
      </c>
      <c r="Z10">
        <f>CumulativeConfirmed!Z10-CumulativeRecovered!Z10-CumulativeDead!Z10</f>
        <v>0</v>
      </c>
      <c r="AA10">
        <f>CumulativeConfirmed!AA10-CumulativeRecovered!AA10-CumulativeDead!AA10</f>
        <v>0</v>
      </c>
      <c r="AB10">
        <f>CumulativeConfirmed!AB10-CumulativeRecovered!AB10-CumulativeDead!AB10</f>
        <v>0</v>
      </c>
      <c r="AC10">
        <f>CumulativeConfirmed!AC10-CumulativeRecovered!AC10-CumulativeDead!AC10</f>
        <v>0</v>
      </c>
      <c r="AD10">
        <f>CumulativeConfirmed!AD10-CumulativeRecovered!AD10-CumulativeDead!AD10</f>
        <v>0</v>
      </c>
      <c r="AE10">
        <f>CumulativeConfirmed!AE10-CumulativeRecovered!AE10-CumulativeDead!AE10</f>
        <v>0</v>
      </c>
      <c r="AF10">
        <f>CumulativeConfirmed!AF10-CumulativeRecovered!AF10-CumulativeDead!AF10</f>
        <v>0</v>
      </c>
      <c r="AG10">
        <f>CumulativeConfirmed!AG10-CumulativeRecovered!AG10-CumulativeDead!AG10</f>
        <v>0</v>
      </c>
      <c r="AH10">
        <f>CumulativeConfirmed!AH10-CumulativeRecovered!AH10-CumulativeDead!AH10</f>
        <v>0</v>
      </c>
      <c r="AI10">
        <f>CumulativeConfirmed!AI10-CumulativeRecovered!AI10-CumulativeDead!AI10</f>
        <v>0</v>
      </c>
      <c r="AJ10">
        <f>CumulativeConfirmed!AJ10-CumulativeRecovered!AJ10-CumulativeDead!AJ10</f>
        <v>1</v>
      </c>
      <c r="AK10">
        <f>CumulativeConfirmed!AK10-CumulativeRecovered!AK10-CumulativeDead!AK10</f>
        <v>1</v>
      </c>
      <c r="AL10">
        <f>CumulativeConfirmed!AL10-CumulativeRecovered!AL10-CumulativeDead!AL10</f>
        <v>8</v>
      </c>
      <c r="AM10">
        <f>CumulativeConfirmed!AM10-CumulativeRecovered!AM10-CumulativeDead!AM10</f>
        <v>8</v>
      </c>
      <c r="AN10">
        <f>CumulativeConfirmed!AN10-CumulativeRecovered!AN10-CumulativeDead!AN10</f>
        <v>18</v>
      </c>
      <c r="AO10">
        <f>CumulativeConfirmed!AO10-CumulativeRecovered!AO10-CumulativeDead!AO10</f>
        <v>27</v>
      </c>
      <c r="AP10">
        <f>CumulativeConfirmed!AP10-CumulativeRecovered!AP10-CumulativeDead!AP10</f>
        <v>42</v>
      </c>
      <c r="AQ10">
        <f>CumulativeConfirmed!AQ10-CumulativeRecovered!AQ10-CumulativeDead!AQ10</f>
        <v>54</v>
      </c>
      <c r="AR10">
        <f>CumulativeConfirmed!AR10-CumulativeRecovered!AR10-CumulativeDead!AR10</f>
        <v>87</v>
      </c>
      <c r="AS10">
        <f>CumulativeConfirmed!AS10-CumulativeRecovered!AS10-CumulativeDead!AS10</f>
        <v>110</v>
      </c>
      <c r="AT10">
        <f>CumulativeConfirmed!AT10-CumulativeRecovered!AT10-CumulativeDead!AT10</f>
        <v>210</v>
      </c>
      <c r="AU10">
        <f>CumulativeConfirmed!AU10-CumulativeRecovered!AU10-CumulativeDead!AU10</f>
        <v>264</v>
      </c>
      <c r="AV10">
        <f>CumulativeConfirmed!AV10-CumulativeRecovered!AV10-CumulativeDead!AV10</f>
        <v>332</v>
      </c>
      <c r="AW10">
        <f>CumulativeConfirmed!AW10-CumulativeRecovered!AW10-CumulativeDead!AW10</f>
        <v>369</v>
      </c>
      <c r="AX10">
        <f>CumulativeConfirmed!AX10-CumulativeRecovered!AX10-CumulativeDead!AX10</f>
        <v>485</v>
      </c>
      <c r="AY10">
        <f>CumulativeConfirmed!AY10-CumulativeRecovered!AY10-CumulativeDead!AY10</f>
        <v>644</v>
      </c>
      <c r="AZ10">
        <f>CumulativeConfirmed!AZ10-CumulativeRecovered!AZ10-CumulativeDead!AZ10</f>
        <v>644</v>
      </c>
      <c r="BA10">
        <f>CumulativeConfirmed!BA10-CumulativeRecovered!BA10-CumulativeDead!BA10</f>
        <v>1124</v>
      </c>
      <c r="BB10">
        <f>CumulativeConfirmed!BB10-CumulativeRecovered!BB10-CumulativeDead!BB10</f>
        <v>1342</v>
      </c>
      <c r="BC10">
        <f>CumulativeConfirmed!BC10-CumulativeRecovered!BC10-CumulativeDead!BC10</f>
        <v>2182</v>
      </c>
      <c r="BD10">
        <f>CumulativeConfirmed!BD10-CumulativeRecovered!BD10-CumulativeDead!BD10</f>
        <v>2182</v>
      </c>
      <c r="BE10">
        <f>CumulativeConfirmed!BE10-CumulativeRecovered!BE10-CumulativeDead!BE10</f>
        <v>2669</v>
      </c>
      <c r="BF10">
        <f>CumulativeConfirmed!BF10-CumulativeRecovered!BF10-CumulativeDead!BF10</f>
        <v>2985</v>
      </c>
      <c r="BG10">
        <f>CumulativeConfirmed!BG10-CumulativeRecovered!BG10-CumulativeDead!BG10</f>
        <v>4019</v>
      </c>
      <c r="BH10">
        <f>CumulativeConfirmed!BH10-CumulativeRecovered!BH10-CumulativeDead!BH10</f>
        <v>5225</v>
      </c>
      <c r="BI10">
        <f>CumulativeConfirmed!BI10-CumulativeRecovered!BI10-CumulativeDead!BI10</f>
        <v>0</v>
      </c>
      <c r="BJ10">
        <f>CumulativeConfirmed!BJ10-CumulativeRecovered!BJ10-CumulativeDead!BJ10</f>
        <v>0</v>
      </c>
      <c r="BK10">
        <f>CumulativeConfirmed!BK10-CumulativeRecovered!BK10-CumulativeDead!BK10</f>
        <v>0</v>
      </c>
      <c r="BL10">
        <f>CumulativeConfirmed!BL10-CumulativeRecovered!BL10-CumulativeDead!BL10</f>
        <v>0</v>
      </c>
      <c r="BM10">
        <f>CumulativeConfirmed!BM10-CumulativeRecovered!BM10-CumulativeDead!BM10</f>
        <v>0</v>
      </c>
      <c r="BN10">
        <f>CumulativeConfirmed!BN10-CumulativeRecovered!BN10-CumulativeDead!BN10</f>
        <v>0</v>
      </c>
      <c r="BO10">
        <f>CumulativeConfirmed!BO10-CumulativeRecovered!BO10-CumulativeDead!BO10</f>
        <v>0</v>
      </c>
      <c r="BP10">
        <f>CumulativeConfirmed!BP10-CumulativeRecovered!BP10-CumulativeDead!BP10</f>
        <v>0</v>
      </c>
      <c r="BQ10">
        <f>CumulativeConfirmed!BQ10-CumulativeRecovered!BQ10-CumulativeDead!BQ10</f>
        <v>0</v>
      </c>
      <c r="BR10">
        <f>CumulativeConfirmed!BR10-CumulativeRecovered!BR10-CumulativeDead!BR10</f>
        <v>0</v>
      </c>
      <c r="BS10">
        <f>CumulativeConfirmed!BS10-CumulativeRecovered!BS10-CumulativeDead!BS10</f>
        <v>0</v>
      </c>
      <c r="BT10">
        <f>CumulativeConfirmed!BT10-CumulativeRecovered!BT10-CumulativeDead!BT10</f>
        <v>0</v>
      </c>
    </row>
    <row r="11" spans="1:72" ht="15" thickBot="1" x14ac:dyDescent="0.35">
      <c r="A11" s="4" t="s">
        <v>85</v>
      </c>
      <c r="B11">
        <f>CumulativeConfirmed!B11-CumulativeRecovered!B11-CumulativeDead!B11</f>
        <v>0</v>
      </c>
      <c r="C11">
        <f>CumulativeConfirmed!C11-CumulativeRecovered!C11-CumulativeDead!C11</f>
        <v>0</v>
      </c>
      <c r="D11">
        <f>CumulativeConfirmed!D11-CumulativeRecovered!D11-CumulativeDead!D11</f>
        <v>0</v>
      </c>
      <c r="E11">
        <f>CumulativeConfirmed!E11-CumulativeRecovered!E11-CumulativeDead!E11</f>
        <v>0</v>
      </c>
      <c r="F11">
        <f>CumulativeConfirmed!F11-CumulativeRecovered!F11-CumulativeDead!F11</f>
        <v>0</v>
      </c>
      <c r="G11">
        <f>CumulativeConfirmed!G11-CumulativeRecovered!G11-CumulativeDead!G11</f>
        <v>0</v>
      </c>
      <c r="H11">
        <f>CumulativeConfirmed!H11-CumulativeRecovered!H11-CumulativeDead!H11</f>
        <v>0</v>
      </c>
      <c r="I11">
        <f>CumulativeConfirmed!I11-CumulativeRecovered!I11-CumulativeDead!I11</f>
        <v>0</v>
      </c>
      <c r="J11">
        <f>CumulativeConfirmed!J11-CumulativeRecovered!J11-CumulativeDead!J11</f>
        <v>0</v>
      </c>
      <c r="K11">
        <f>CumulativeConfirmed!K11-CumulativeRecovered!K11-CumulativeDead!K11</f>
        <v>0</v>
      </c>
      <c r="L11">
        <f>CumulativeConfirmed!L11-CumulativeRecovered!L11-CumulativeDead!L11</f>
        <v>0</v>
      </c>
      <c r="M11">
        <f>CumulativeConfirmed!M11-CumulativeRecovered!M11-CumulativeDead!M11</f>
        <v>0</v>
      </c>
      <c r="N11">
        <f>CumulativeConfirmed!N11-CumulativeRecovered!N11-CumulativeDead!N11</f>
        <v>0</v>
      </c>
      <c r="O11">
        <f>CumulativeConfirmed!O11-CumulativeRecovered!O11-CumulativeDead!O11</f>
        <v>0</v>
      </c>
      <c r="P11">
        <f>CumulativeConfirmed!P11-CumulativeRecovered!P11-CumulativeDead!P11</f>
        <v>0</v>
      </c>
      <c r="Q11">
        <f>CumulativeConfirmed!Q11-CumulativeRecovered!Q11-CumulativeDead!Q11</f>
        <v>0</v>
      </c>
      <c r="R11">
        <f>CumulativeConfirmed!R11-CumulativeRecovered!R11-CumulativeDead!R11</f>
        <v>0</v>
      </c>
      <c r="S11">
        <f>CumulativeConfirmed!S11-CumulativeRecovered!S11-CumulativeDead!S11</f>
        <v>0</v>
      </c>
      <c r="T11">
        <f>CumulativeConfirmed!T11-CumulativeRecovered!T11-CumulativeDead!T11</f>
        <v>0</v>
      </c>
      <c r="U11">
        <f>CumulativeConfirmed!U11-CumulativeRecovered!U11-CumulativeDead!U11</f>
        <v>0</v>
      </c>
      <c r="V11">
        <f>CumulativeConfirmed!V11-CumulativeRecovered!V11-CumulativeDead!V11</f>
        <v>0</v>
      </c>
      <c r="W11">
        <f>CumulativeConfirmed!W11-CumulativeRecovered!W11-CumulativeDead!W11</f>
        <v>0</v>
      </c>
      <c r="X11">
        <f>CumulativeConfirmed!X11-CumulativeRecovered!X11-CumulativeDead!X11</f>
        <v>0</v>
      </c>
      <c r="Y11">
        <f>CumulativeConfirmed!Y11-CumulativeRecovered!Y11-CumulativeDead!Y11</f>
        <v>0</v>
      </c>
      <c r="Z11">
        <f>CumulativeConfirmed!Z11-CumulativeRecovered!Z11-CumulativeDead!Z11</f>
        <v>0</v>
      </c>
      <c r="AA11">
        <f>CumulativeConfirmed!AA11-CumulativeRecovered!AA11-CumulativeDead!AA11</f>
        <v>0</v>
      </c>
      <c r="AB11">
        <f>CumulativeConfirmed!AB11-CumulativeRecovered!AB11-CumulativeDead!AB11</f>
        <v>0</v>
      </c>
      <c r="AC11">
        <f>CumulativeConfirmed!AC11-CumulativeRecovered!AC11-CumulativeDead!AC11</f>
        <v>0</v>
      </c>
      <c r="AD11">
        <f>CumulativeConfirmed!AD11-CumulativeRecovered!AD11-CumulativeDead!AD11</f>
        <v>0</v>
      </c>
      <c r="AE11">
        <f>CumulativeConfirmed!AE11-CumulativeRecovered!AE11-CumulativeDead!AE11</f>
        <v>0</v>
      </c>
      <c r="AF11">
        <f>CumulativeConfirmed!AF11-CumulativeRecovered!AF11-CumulativeDead!AF11</f>
        <v>0</v>
      </c>
      <c r="AG11">
        <f>CumulativeConfirmed!AG11-CumulativeRecovered!AG11-CumulativeDead!AG11</f>
        <v>0</v>
      </c>
      <c r="AH11">
        <f>CumulativeConfirmed!AH11-CumulativeRecovered!AH11-CumulativeDead!AH11</f>
        <v>0</v>
      </c>
      <c r="AI11">
        <f>CumulativeConfirmed!AI11-CumulativeRecovered!AI11-CumulativeDead!AI11</f>
        <v>0</v>
      </c>
      <c r="AJ11">
        <f>CumulativeConfirmed!AJ11-CumulativeRecovered!AJ11-CumulativeDead!AJ11</f>
        <v>0</v>
      </c>
      <c r="AK11">
        <f>CumulativeConfirmed!AK11-CumulativeRecovered!AK11-CumulativeDead!AK11</f>
        <v>1</v>
      </c>
      <c r="AL11">
        <f>CumulativeConfirmed!AL11-CumulativeRecovered!AL11-CumulativeDead!AL11</f>
        <v>1</v>
      </c>
      <c r="AM11">
        <f>CumulativeConfirmed!AM11-CumulativeRecovered!AM11-CumulativeDead!AM11</f>
        <v>6</v>
      </c>
      <c r="AN11">
        <f>CumulativeConfirmed!AN11-CumulativeRecovered!AN11-CumulativeDead!AN11</f>
        <v>15</v>
      </c>
      <c r="AO11">
        <f>CumulativeConfirmed!AO11-CumulativeRecovered!AO11-CumulativeDead!AO11</f>
        <v>19</v>
      </c>
      <c r="AP11">
        <f>CumulativeConfirmed!AP11-CumulativeRecovered!AP11-CumulativeDead!AP11</f>
        <v>25</v>
      </c>
      <c r="AQ11">
        <f>CumulativeConfirmed!AQ11-CumulativeRecovered!AQ11-CumulativeDead!AQ11</f>
        <v>32</v>
      </c>
      <c r="AR11">
        <f>CumulativeConfirmed!AR11-CumulativeRecovered!AR11-CumulativeDead!AR11</f>
        <v>56</v>
      </c>
      <c r="AS11">
        <f>CumulativeConfirmed!AS11-CumulativeRecovered!AS11-CumulativeDead!AS11</f>
        <v>87</v>
      </c>
      <c r="AT11">
        <f>CumulativeConfirmed!AT11-CumulativeRecovered!AT11-CumulativeDead!AT11</f>
        <v>108</v>
      </c>
      <c r="AU11">
        <f>CumulativeConfirmed!AU11-CumulativeRecovered!AU11-CumulativeDead!AU11</f>
        <v>147</v>
      </c>
      <c r="AV11">
        <f>CumulativeConfirmed!AV11-CumulativeRecovered!AV11-CumulativeDead!AV11</f>
        <v>176</v>
      </c>
      <c r="AW11">
        <f>CumulativeConfirmed!AW11-CumulativeRecovered!AW11-CumulativeDead!AW11</f>
        <v>204</v>
      </c>
      <c r="AX11">
        <f>CumulativeConfirmed!AX11-CumulativeRecovered!AX11-CumulativeDead!AX11</f>
        <v>399</v>
      </c>
      <c r="AY11">
        <f>CumulativeConfirmed!AY11-CumulativeRecovered!AY11-CumulativeDead!AY11</f>
        <v>597</v>
      </c>
      <c r="AZ11">
        <f>CumulativeConfirmed!AZ11-CumulativeRecovered!AZ11-CumulativeDead!AZ11</f>
        <v>701</v>
      </c>
      <c r="BA11">
        <f>CumulativeConfirmed!BA11-CumulativeRecovered!BA11-CumulativeDead!BA11</f>
        <v>995</v>
      </c>
      <c r="BB11">
        <f>CumulativeConfirmed!BB11-CumulativeRecovered!BB11-CumulativeDead!BB11</f>
        <v>1086</v>
      </c>
      <c r="BC11">
        <f>CumulativeConfirmed!BC11-CumulativeRecovered!BC11-CumulativeDead!BC11</f>
        <v>1217</v>
      </c>
      <c r="BD11">
        <f>CumulativeConfirmed!BD11-CumulativeRecovered!BD11-CumulativeDead!BD11</f>
        <v>1329</v>
      </c>
      <c r="BE11">
        <f>CumulativeConfirmed!BE11-CumulativeRecovered!BE11-CumulativeDead!BE11</f>
        <v>1459</v>
      </c>
      <c r="BF11">
        <f>CumulativeConfirmed!BF11-CumulativeRecovered!BF11-CumulativeDead!BF11</f>
        <v>1543</v>
      </c>
      <c r="BG11">
        <f>CumulativeConfirmed!BG11-CumulativeRecovered!BG11-CumulativeDead!BG11</f>
        <v>1738</v>
      </c>
      <c r="BH11">
        <f>CumulativeConfirmed!BH11-CumulativeRecovered!BH11-CumulativeDead!BH11</f>
        <v>1906</v>
      </c>
      <c r="BI11">
        <f>CumulativeConfirmed!BI11-CumulativeRecovered!BI11-CumulativeDead!BI11</f>
        <v>0</v>
      </c>
      <c r="BJ11">
        <f>CumulativeConfirmed!BJ11-CumulativeRecovered!BJ11-CumulativeDead!BJ11</f>
        <v>0</v>
      </c>
      <c r="BK11">
        <f>CumulativeConfirmed!BK11-CumulativeRecovered!BK11-CumulativeDead!BK11</f>
        <v>0</v>
      </c>
      <c r="BL11">
        <f>CumulativeConfirmed!BL11-CumulativeRecovered!BL11-CumulativeDead!BL11</f>
        <v>0</v>
      </c>
      <c r="BM11">
        <f>CumulativeConfirmed!BM11-CumulativeRecovered!BM11-CumulativeDead!BM11</f>
        <v>0</v>
      </c>
      <c r="BN11">
        <f>CumulativeConfirmed!BN11-CumulativeRecovered!BN11-CumulativeDead!BN11</f>
        <v>0</v>
      </c>
      <c r="BO11">
        <f>CumulativeConfirmed!BO11-CumulativeRecovered!BO11-CumulativeDead!BO11</f>
        <v>0</v>
      </c>
      <c r="BP11">
        <f>CumulativeConfirmed!BP11-CumulativeRecovered!BP11-CumulativeDead!BP11</f>
        <v>0</v>
      </c>
      <c r="BQ11">
        <f>CumulativeConfirmed!BQ11-CumulativeRecovered!BQ11-CumulativeDead!BQ11</f>
        <v>0</v>
      </c>
      <c r="BR11">
        <f>CumulativeConfirmed!BR11-CumulativeRecovered!BR11-CumulativeDead!BR11</f>
        <v>0</v>
      </c>
      <c r="BS11">
        <f>CumulativeConfirmed!BS11-CumulativeRecovered!BS11-CumulativeDead!BS11</f>
        <v>0</v>
      </c>
      <c r="BT11">
        <f>CumulativeConfirmed!BT11-CumulativeRecovered!BT11-CumulativeDead!BT11</f>
        <v>0</v>
      </c>
    </row>
    <row r="12" spans="1:72" ht="15" thickBot="1" x14ac:dyDescent="0.35">
      <c r="A12" s="4" t="s">
        <v>59</v>
      </c>
      <c r="B12">
        <f>CumulativeConfirmed!B12-CumulativeRecovered!B12-CumulativeDead!B12</f>
        <v>0</v>
      </c>
      <c r="C12">
        <f>CumulativeConfirmed!C12-CumulativeRecovered!C12-CumulativeDead!C12</f>
        <v>0</v>
      </c>
      <c r="D12">
        <f>CumulativeConfirmed!D12-CumulativeRecovered!D12-CumulativeDead!D12</f>
        <v>0</v>
      </c>
      <c r="E12">
        <f>CumulativeConfirmed!E12-CumulativeRecovered!E12-CumulativeDead!E12</f>
        <v>0</v>
      </c>
      <c r="F12">
        <f>CumulativeConfirmed!F12-CumulativeRecovered!F12-CumulativeDead!F12</f>
        <v>0</v>
      </c>
      <c r="G12">
        <f>CumulativeConfirmed!G12-CumulativeRecovered!G12-CumulativeDead!G12</f>
        <v>0</v>
      </c>
      <c r="H12">
        <f>CumulativeConfirmed!H12-CumulativeRecovered!H12-CumulativeDead!H12</f>
        <v>0</v>
      </c>
      <c r="I12">
        <f>CumulativeConfirmed!I12-CumulativeRecovered!I12-CumulativeDead!I12</f>
        <v>0</v>
      </c>
      <c r="J12">
        <f>CumulativeConfirmed!J12-CumulativeRecovered!J12-CumulativeDead!J12</f>
        <v>0</v>
      </c>
      <c r="K12">
        <f>CumulativeConfirmed!K12-CumulativeRecovered!K12-CumulativeDead!K12</f>
        <v>1</v>
      </c>
      <c r="L12">
        <f>CumulativeConfirmed!L12-CumulativeRecovered!L12-CumulativeDead!L12</f>
        <v>1</v>
      </c>
      <c r="M12">
        <f>CumulativeConfirmed!M12-CumulativeRecovered!M12-CumulativeDead!M12</f>
        <v>1</v>
      </c>
      <c r="N12">
        <f>CumulativeConfirmed!N12-CumulativeRecovered!N12-CumulativeDead!N12</f>
        <v>1</v>
      </c>
      <c r="O12">
        <f>CumulativeConfirmed!O12-CumulativeRecovered!O12-CumulativeDead!O12</f>
        <v>1</v>
      </c>
      <c r="P12">
        <f>CumulativeConfirmed!P12-CumulativeRecovered!P12-CumulativeDead!P12</f>
        <v>1</v>
      </c>
      <c r="Q12">
        <f>CumulativeConfirmed!Q12-CumulativeRecovered!Q12-CumulativeDead!Q12</f>
        <v>1</v>
      </c>
      <c r="R12">
        <f>CumulativeConfirmed!R12-CumulativeRecovered!R12-CumulativeDead!R12</f>
        <v>1</v>
      </c>
      <c r="S12">
        <f>CumulativeConfirmed!S12-CumulativeRecovered!S12-CumulativeDead!S12</f>
        <v>1</v>
      </c>
      <c r="T12">
        <f>CumulativeConfirmed!T12-CumulativeRecovered!T12-CumulativeDead!T12</f>
        <v>1</v>
      </c>
      <c r="U12">
        <f>CumulativeConfirmed!U12-CumulativeRecovered!U12-CumulativeDead!U12</f>
        <v>1</v>
      </c>
      <c r="V12">
        <f>CumulativeConfirmed!V12-CumulativeRecovered!V12-CumulativeDead!V12</f>
        <v>1</v>
      </c>
      <c r="W12">
        <f>CumulativeConfirmed!W12-CumulativeRecovered!W12-CumulativeDead!W12</f>
        <v>1</v>
      </c>
      <c r="X12">
        <f>CumulativeConfirmed!X12-CumulativeRecovered!X12-CumulativeDead!X12</f>
        <v>1</v>
      </c>
      <c r="Y12">
        <f>CumulativeConfirmed!Y12-CumulativeRecovered!Y12-CumulativeDead!Y12</f>
        <v>1</v>
      </c>
      <c r="Z12">
        <f>CumulativeConfirmed!Z12-CumulativeRecovered!Z12-CumulativeDead!Z12</f>
        <v>1</v>
      </c>
      <c r="AA12">
        <f>CumulativeConfirmed!AA12-CumulativeRecovered!AA12-CumulativeDead!AA12</f>
        <v>1</v>
      </c>
      <c r="AB12">
        <f>CumulativeConfirmed!AB12-CumulativeRecovered!AB12-CumulativeDead!AB12</f>
        <v>1</v>
      </c>
      <c r="AC12">
        <f>CumulativeConfirmed!AC12-CumulativeRecovered!AC12-CumulativeDead!AC12</f>
        <v>1</v>
      </c>
      <c r="AD12">
        <f>CumulativeConfirmed!AD12-CumulativeRecovered!AD12-CumulativeDead!AD12</f>
        <v>1</v>
      </c>
      <c r="AE12">
        <f>CumulativeConfirmed!AE12-CumulativeRecovered!AE12-CumulativeDead!AE12</f>
        <v>1</v>
      </c>
      <c r="AF12">
        <f>CumulativeConfirmed!AF12-CumulativeRecovered!AF12-CumulativeDead!AF12</f>
        <v>1</v>
      </c>
      <c r="AG12">
        <f>CumulativeConfirmed!AG12-CumulativeRecovered!AG12-CumulativeDead!AG12</f>
        <v>1</v>
      </c>
      <c r="AH12">
        <f>CumulativeConfirmed!AH12-CumulativeRecovered!AH12-CumulativeDead!AH12</f>
        <v>1</v>
      </c>
      <c r="AI12">
        <f>CumulativeConfirmed!AI12-CumulativeRecovered!AI12-CumulativeDead!AI12</f>
        <v>1</v>
      </c>
      <c r="AJ12">
        <f>CumulativeConfirmed!AJ12-CumulativeRecovered!AJ12-CumulativeDead!AJ12</f>
        <v>1</v>
      </c>
      <c r="AK12">
        <f>CumulativeConfirmed!AK12-CumulativeRecovered!AK12-CumulativeDead!AK12</f>
        <v>2</v>
      </c>
      <c r="AL12">
        <f>CumulativeConfirmed!AL12-CumulativeRecovered!AL12-CumulativeDead!AL12</f>
        <v>7</v>
      </c>
      <c r="AM12">
        <f>CumulativeConfirmed!AM12-CumulativeRecovered!AM12-CumulativeDead!AM12</f>
        <v>7</v>
      </c>
      <c r="AN12">
        <f>CumulativeConfirmed!AN12-CumulativeRecovered!AN12-CumulativeDead!AN12</f>
        <v>12</v>
      </c>
      <c r="AO12">
        <f>CumulativeConfirmed!AO12-CumulativeRecovered!AO12-CumulativeDead!AO12</f>
        <v>14</v>
      </c>
      <c r="AP12">
        <f>CumulativeConfirmed!AP12-CumulativeRecovered!AP12-CumulativeDead!AP12</f>
        <v>15</v>
      </c>
      <c r="AQ12">
        <f>CumulativeConfirmed!AQ12-CumulativeRecovered!AQ12-CumulativeDead!AQ12</f>
        <v>21</v>
      </c>
      <c r="AR12">
        <f>CumulativeConfirmed!AR12-CumulativeRecovered!AR12-CumulativeDead!AR12</f>
        <v>35</v>
      </c>
      <c r="AS12">
        <f>CumulativeConfirmed!AS12-CumulativeRecovered!AS12-CumulativeDead!AS12</f>
        <v>94</v>
      </c>
      <c r="AT12">
        <f>CumulativeConfirmed!AT12-CumulativeRecovered!AT12-CumulativeDead!AT12</f>
        <v>101</v>
      </c>
      <c r="AU12">
        <f>CumulativeConfirmed!AU12-CumulativeRecovered!AU12-CumulativeDead!AU12</f>
        <v>161</v>
      </c>
      <c r="AV12">
        <f>CumulativeConfirmed!AV12-CumulativeRecovered!AV12-CumulativeDead!AV12</f>
        <v>203</v>
      </c>
      <c r="AW12">
        <f>CumulativeConfirmed!AW12-CumulativeRecovered!AW12-CumulativeDead!AW12</f>
        <v>247</v>
      </c>
      <c r="AX12">
        <f>CumulativeConfirmed!AX12-CumulativeRecovered!AX12-CumulativeDead!AX12</f>
        <v>354</v>
      </c>
      <c r="AY12">
        <f>CumulativeConfirmed!AY12-CumulativeRecovered!AY12-CumulativeDead!AY12</f>
        <v>498</v>
      </c>
      <c r="AZ12">
        <f>CumulativeConfirmed!AZ12-CumulativeRecovered!AZ12-CumulativeDead!AZ12</f>
        <v>597</v>
      </c>
      <c r="BA12">
        <f>CumulativeConfirmed!BA12-CumulativeRecovered!BA12-CumulativeDead!BA12</f>
        <v>812</v>
      </c>
      <c r="BB12">
        <f>CumulativeConfirmed!BB12-CumulativeRecovered!BB12-CumulativeDead!BB12</f>
        <v>958</v>
      </c>
      <c r="BC12">
        <f>CumulativeConfirmed!BC12-CumulativeRecovered!BC12-CumulativeDead!BC12</f>
        <v>1018</v>
      </c>
      <c r="BD12">
        <f>CumulativeConfirmed!BD12-CumulativeRecovered!BD12-CumulativeDead!BD12</f>
        <v>1096</v>
      </c>
      <c r="BE12">
        <f>CumulativeConfirmed!BE12-CumulativeRecovered!BE12-CumulativeDead!BE12</f>
        <v>1182</v>
      </c>
      <c r="BF12">
        <f>CumulativeConfirmed!BF12-CumulativeRecovered!BF12-CumulativeDead!BF12</f>
        <v>1268</v>
      </c>
      <c r="BG12">
        <f>CumulativeConfirmed!BG12-CumulativeRecovered!BG12-CumulativeDead!BG12</f>
        <v>1412</v>
      </c>
      <c r="BH12">
        <f>CumulativeConfirmed!BH12-CumulativeRecovered!BH12-CumulativeDead!BH12</f>
        <v>1607</v>
      </c>
      <c r="BI12">
        <f>CumulativeConfirmed!BI12-CumulativeRecovered!BI12-CumulativeDead!BI12</f>
        <v>0</v>
      </c>
      <c r="BJ12">
        <f>CumulativeConfirmed!BJ12-CumulativeRecovered!BJ12-CumulativeDead!BJ12</f>
        <v>0</v>
      </c>
      <c r="BK12">
        <f>CumulativeConfirmed!BK12-CumulativeRecovered!BK12-CumulativeDead!BK12</f>
        <v>0</v>
      </c>
      <c r="BL12">
        <f>CumulativeConfirmed!BL12-CumulativeRecovered!BL12-CumulativeDead!BL12</f>
        <v>0</v>
      </c>
      <c r="BM12">
        <f>CumulativeConfirmed!BM12-CumulativeRecovered!BM12-CumulativeDead!BM12</f>
        <v>0</v>
      </c>
      <c r="BN12">
        <f>CumulativeConfirmed!BN12-CumulativeRecovered!BN12-CumulativeDead!BN12</f>
        <v>0</v>
      </c>
      <c r="BO12">
        <f>CumulativeConfirmed!BO12-CumulativeRecovered!BO12-CumulativeDead!BO12</f>
        <v>0</v>
      </c>
      <c r="BP12">
        <f>CumulativeConfirmed!BP12-CumulativeRecovered!BP12-CumulativeDead!BP12</f>
        <v>0</v>
      </c>
      <c r="BQ12">
        <f>CumulativeConfirmed!BQ12-CumulativeRecovered!BQ12-CumulativeDead!BQ12</f>
        <v>0</v>
      </c>
      <c r="BR12">
        <f>CumulativeConfirmed!BR12-CumulativeRecovered!BR12-CumulativeDead!BR12</f>
        <v>0</v>
      </c>
      <c r="BS12">
        <f>CumulativeConfirmed!BS12-CumulativeRecovered!BS12-CumulativeDead!BS12</f>
        <v>0</v>
      </c>
      <c r="BT12">
        <f>CumulativeConfirmed!BT12-CumulativeRecovered!BT12-CumulativeDead!BT12</f>
        <v>0</v>
      </c>
    </row>
    <row r="13" spans="1:72" ht="15" thickBot="1" x14ac:dyDescent="0.35">
      <c r="A13" s="3" t="s">
        <v>87</v>
      </c>
      <c r="B13">
        <f>CumulativeConfirmed!B13-CumulativeRecovered!B13-CumulativeDead!B13</f>
        <v>0</v>
      </c>
      <c r="C13">
        <f>CumulativeConfirmed!C13-CumulativeRecovered!C13-CumulativeDead!C13</f>
        <v>0</v>
      </c>
      <c r="D13">
        <f>CumulativeConfirmed!D13-CumulativeRecovered!D13-CumulativeDead!D13</f>
        <v>0</v>
      </c>
      <c r="E13">
        <f>CumulativeConfirmed!E13-CumulativeRecovered!E13-CumulativeDead!E13</f>
        <v>0</v>
      </c>
      <c r="F13">
        <f>CumulativeConfirmed!F13-CumulativeRecovered!F13-CumulativeDead!F13</f>
        <v>0</v>
      </c>
      <c r="G13">
        <f>CumulativeConfirmed!G13-CumulativeRecovered!G13-CumulativeDead!G13</f>
        <v>0</v>
      </c>
      <c r="H13">
        <f>CumulativeConfirmed!H13-CumulativeRecovered!H13-CumulativeDead!H13</f>
        <v>0</v>
      </c>
      <c r="I13">
        <f>CumulativeConfirmed!I13-CumulativeRecovered!I13-CumulativeDead!I13</f>
        <v>0</v>
      </c>
      <c r="J13">
        <f>CumulativeConfirmed!J13-CumulativeRecovered!J13-CumulativeDead!J13</f>
        <v>0</v>
      </c>
      <c r="K13">
        <f>CumulativeConfirmed!K13-CumulativeRecovered!K13-CumulativeDead!K13</f>
        <v>0</v>
      </c>
      <c r="L13">
        <f>CumulativeConfirmed!L13-CumulativeRecovered!L13-CumulativeDead!L13</f>
        <v>0</v>
      </c>
      <c r="M13">
        <f>CumulativeConfirmed!M13-CumulativeRecovered!M13-CumulativeDead!M13</f>
        <v>0</v>
      </c>
      <c r="N13">
        <f>CumulativeConfirmed!N13-CumulativeRecovered!N13-CumulativeDead!N13</f>
        <v>0</v>
      </c>
      <c r="O13">
        <f>CumulativeConfirmed!O13-CumulativeRecovered!O13-CumulativeDead!O13</f>
        <v>0</v>
      </c>
      <c r="P13">
        <f>CumulativeConfirmed!P13-CumulativeRecovered!P13-CumulativeDead!P13</f>
        <v>0</v>
      </c>
      <c r="Q13">
        <f>CumulativeConfirmed!Q13-CumulativeRecovered!Q13-CumulativeDead!Q13</f>
        <v>0</v>
      </c>
      <c r="R13">
        <f>CumulativeConfirmed!R13-CumulativeRecovered!R13-CumulativeDead!R13</f>
        <v>0</v>
      </c>
      <c r="S13">
        <f>CumulativeConfirmed!S13-CumulativeRecovered!S13-CumulativeDead!S13</f>
        <v>0</v>
      </c>
      <c r="T13">
        <f>CumulativeConfirmed!T13-CumulativeRecovered!T13-CumulativeDead!T13</f>
        <v>0</v>
      </c>
      <c r="U13">
        <f>CumulativeConfirmed!U13-CumulativeRecovered!U13-CumulativeDead!U13</f>
        <v>0</v>
      </c>
      <c r="V13">
        <f>CumulativeConfirmed!V13-CumulativeRecovered!V13-CumulativeDead!V13</f>
        <v>0</v>
      </c>
      <c r="W13">
        <f>CumulativeConfirmed!W13-CumulativeRecovered!W13-CumulativeDead!W13</f>
        <v>0</v>
      </c>
      <c r="X13">
        <f>CumulativeConfirmed!X13-CumulativeRecovered!X13-CumulativeDead!X13</f>
        <v>0</v>
      </c>
      <c r="Y13">
        <f>CumulativeConfirmed!Y13-CumulativeRecovered!Y13-CumulativeDead!Y13</f>
        <v>0</v>
      </c>
      <c r="Z13">
        <f>CumulativeConfirmed!Z13-CumulativeRecovered!Z13-CumulativeDead!Z13</f>
        <v>0</v>
      </c>
      <c r="AA13">
        <f>CumulativeConfirmed!AA13-CumulativeRecovered!AA13-CumulativeDead!AA13</f>
        <v>0</v>
      </c>
      <c r="AB13">
        <f>CumulativeConfirmed!AB13-CumulativeRecovered!AB13-CumulativeDead!AB13</f>
        <v>0</v>
      </c>
      <c r="AC13">
        <f>CumulativeConfirmed!AC13-CumulativeRecovered!AC13-CumulativeDead!AC13</f>
        <v>0</v>
      </c>
      <c r="AD13">
        <f>CumulativeConfirmed!AD13-CumulativeRecovered!AD13-CumulativeDead!AD13</f>
        <v>0</v>
      </c>
      <c r="AE13">
        <f>CumulativeConfirmed!AE13-CumulativeRecovered!AE13-CumulativeDead!AE13</f>
        <v>0</v>
      </c>
      <c r="AF13">
        <f>CumulativeConfirmed!AF13-CumulativeRecovered!AF13-CumulativeDead!AF13</f>
        <v>0</v>
      </c>
      <c r="AG13">
        <f>CumulativeConfirmed!AG13-CumulativeRecovered!AG13-CumulativeDead!AG13</f>
        <v>0</v>
      </c>
      <c r="AH13">
        <f>CumulativeConfirmed!AH13-CumulativeRecovered!AH13-CumulativeDead!AH13</f>
        <v>0</v>
      </c>
      <c r="AI13">
        <f>CumulativeConfirmed!AI13-CumulativeRecovered!AI13-CumulativeDead!AI13</f>
        <v>0</v>
      </c>
      <c r="AJ13">
        <f>CumulativeConfirmed!AJ13-CumulativeRecovered!AJ13-CumulativeDead!AJ13</f>
        <v>0</v>
      </c>
      <c r="AK13">
        <f>CumulativeConfirmed!AK13-CumulativeRecovered!AK13-CumulativeDead!AK13</f>
        <v>0</v>
      </c>
      <c r="AL13">
        <f>CumulativeConfirmed!AL13-CumulativeRecovered!AL13-CumulativeDead!AL13</f>
        <v>1</v>
      </c>
      <c r="AM13">
        <f>CumulativeConfirmed!AM13-CumulativeRecovered!AM13-CumulativeDead!AM13</f>
        <v>1</v>
      </c>
      <c r="AN13">
        <f>CumulativeConfirmed!AN13-CumulativeRecovered!AN13-CumulativeDead!AN13</f>
        <v>3</v>
      </c>
      <c r="AO13">
        <f>CumulativeConfirmed!AO13-CumulativeRecovered!AO13-CumulativeDead!AO13</f>
        <v>4</v>
      </c>
      <c r="AP13">
        <f>CumulativeConfirmed!AP13-CumulativeRecovered!AP13-CumulativeDead!AP13</f>
        <v>4</v>
      </c>
      <c r="AQ13">
        <f>CumulativeConfirmed!AQ13-CumulativeRecovered!AQ13-CumulativeDead!AQ13</f>
        <v>6</v>
      </c>
      <c r="AR13">
        <f>CumulativeConfirmed!AR13-CumulativeRecovered!AR13-CumulativeDead!AR13</f>
        <v>11</v>
      </c>
      <c r="AS13">
        <f>CumulativeConfirmed!AS13-CumulativeRecovered!AS13-CumulativeDead!AS13</f>
        <v>11</v>
      </c>
      <c r="AT13">
        <f>CumulativeConfirmed!AT13-CumulativeRecovered!AT13-CumulativeDead!AT13</f>
        <v>23</v>
      </c>
      <c r="AU13">
        <f>CumulativeConfirmed!AU13-CumulativeRecovered!AU13-CumulativeDead!AU13</f>
        <v>23</v>
      </c>
      <c r="AV13">
        <f>CumulativeConfirmed!AV13-CumulativeRecovered!AV13-CumulativeDead!AV13</f>
        <v>36</v>
      </c>
      <c r="AW13">
        <f>CumulativeConfirmed!AW13-CumulativeRecovered!AW13-CumulativeDead!AW13</f>
        <v>91</v>
      </c>
      <c r="AX13">
        <f>CumulativeConfirmed!AX13-CumulativeRecovered!AX13-CumulativeDead!AX13</f>
        <v>263</v>
      </c>
      <c r="AY13">
        <f>CumulativeConfirmed!AY13-CumulativeRecovered!AY13-CumulativeDead!AY13</f>
        <v>443</v>
      </c>
      <c r="AZ13">
        <f>CumulativeConfirmed!AZ13-CumulativeRecovered!AZ13-CumulativeDead!AZ13</f>
        <v>616</v>
      </c>
      <c r="BA13">
        <f>CumulativeConfirmed!BA13-CumulativeRecovered!BA13-CumulativeDead!BA13</f>
        <v>803</v>
      </c>
      <c r="BB13">
        <f>CumulativeConfirmed!BB13-CumulativeRecovered!BB13-CumulativeDead!BB13</f>
        <v>834</v>
      </c>
      <c r="BC13">
        <f>CumulativeConfirmed!BC13-CumulativeRecovered!BC13-CumulativeDead!BC13</f>
        <v>872</v>
      </c>
      <c r="BD13">
        <f>CumulativeConfirmed!BD13-CumulativeRecovered!BD13-CumulativeDead!BD13</f>
        <v>929</v>
      </c>
      <c r="BE13">
        <f>CumulativeConfirmed!BE13-CumulativeRecovered!BE13-CumulativeDead!BE13</f>
        <v>1020</v>
      </c>
      <c r="BF13">
        <f>CumulativeConfirmed!BF13-CumulativeRecovered!BF13-CumulativeDead!BF13</f>
        <v>1111</v>
      </c>
      <c r="BG13">
        <f>CumulativeConfirmed!BG13-CumulativeRecovered!BG13-CumulativeDead!BG13</f>
        <v>1218</v>
      </c>
      <c r="BH13">
        <f>CumulativeConfirmed!BH13-CumulativeRecovered!BH13-CumulativeDead!BH13</f>
        <v>1327</v>
      </c>
      <c r="BI13">
        <f>CumulativeConfirmed!BI13-CumulativeRecovered!BI13-CumulativeDead!BI13</f>
        <v>0</v>
      </c>
      <c r="BJ13">
        <f>CumulativeConfirmed!BJ13-CumulativeRecovered!BJ13-CumulativeDead!BJ13</f>
        <v>0</v>
      </c>
      <c r="BK13">
        <f>CumulativeConfirmed!BK13-CumulativeRecovered!BK13-CumulativeDead!BK13</f>
        <v>0</v>
      </c>
      <c r="BL13">
        <f>CumulativeConfirmed!BL13-CumulativeRecovered!BL13-CumulativeDead!BL13</f>
        <v>0</v>
      </c>
      <c r="BM13">
        <f>CumulativeConfirmed!BM13-CumulativeRecovered!BM13-CumulativeDead!BM13</f>
        <v>0</v>
      </c>
      <c r="BN13">
        <f>CumulativeConfirmed!BN13-CumulativeRecovered!BN13-CumulativeDead!BN13</f>
        <v>0</v>
      </c>
      <c r="BO13">
        <f>CumulativeConfirmed!BO13-CumulativeRecovered!BO13-CumulativeDead!BO13</f>
        <v>0</v>
      </c>
      <c r="BP13">
        <f>CumulativeConfirmed!BP13-CumulativeRecovered!BP13-CumulativeDead!BP13</f>
        <v>0</v>
      </c>
      <c r="BQ13">
        <f>CumulativeConfirmed!BQ13-CumulativeRecovered!BQ13-CumulativeDead!BQ13</f>
        <v>0</v>
      </c>
      <c r="BR13">
        <f>CumulativeConfirmed!BR13-CumulativeRecovered!BR13-CumulativeDead!BR13</f>
        <v>0</v>
      </c>
      <c r="BS13">
        <f>CumulativeConfirmed!BS13-CumulativeRecovered!BS13-CumulativeDead!BS13</f>
        <v>0</v>
      </c>
      <c r="BT13">
        <f>CumulativeConfirmed!BT13-CumulativeRecovered!BT13-CumulativeDead!BT13</f>
        <v>0</v>
      </c>
    </row>
    <row r="14" spans="1:72" ht="15" thickBot="1" x14ac:dyDescent="0.35">
      <c r="A14" s="3" t="s">
        <v>89</v>
      </c>
      <c r="B14">
        <f>CumulativeConfirmed!B14-CumulativeRecovered!B14-CumulativeDead!B14</f>
        <v>0</v>
      </c>
      <c r="C14">
        <f>CumulativeConfirmed!C14-CumulativeRecovered!C14-CumulativeDead!C14</f>
        <v>0</v>
      </c>
      <c r="D14">
        <f>CumulativeConfirmed!D14-CumulativeRecovered!D14-CumulativeDead!D14</f>
        <v>0</v>
      </c>
      <c r="E14">
        <f>CumulativeConfirmed!E14-CumulativeRecovered!E14-CumulativeDead!E14</f>
        <v>0</v>
      </c>
      <c r="F14">
        <f>CumulativeConfirmed!F14-CumulativeRecovered!F14-CumulativeDead!F14</f>
        <v>0</v>
      </c>
      <c r="G14">
        <f>CumulativeConfirmed!G14-CumulativeRecovered!G14-CumulativeDead!G14</f>
        <v>0</v>
      </c>
      <c r="H14">
        <f>CumulativeConfirmed!H14-CumulativeRecovered!H14-CumulativeDead!H14</f>
        <v>0</v>
      </c>
      <c r="I14">
        <f>CumulativeConfirmed!I14-CumulativeRecovered!I14-CumulativeDead!I14</f>
        <v>0</v>
      </c>
      <c r="J14">
        <f>CumulativeConfirmed!J14-CumulativeRecovered!J14-CumulativeDead!J14</f>
        <v>0</v>
      </c>
      <c r="K14">
        <f>CumulativeConfirmed!K14-CumulativeRecovered!K14-CumulativeDead!K14</f>
        <v>0</v>
      </c>
      <c r="L14">
        <f>CumulativeConfirmed!L14-CumulativeRecovered!L14-CumulativeDead!L14</f>
        <v>0</v>
      </c>
      <c r="M14">
        <f>CumulativeConfirmed!M14-CumulativeRecovered!M14-CumulativeDead!M14</f>
        <v>0</v>
      </c>
      <c r="N14">
        <f>CumulativeConfirmed!N14-CumulativeRecovered!N14-CumulativeDead!N14</f>
        <v>0</v>
      </c>
      <c r="O14">
        <f>CumulativeConfirmed!O14-CumulativeRecovered!O14-CumulativeDead!O14</f>
        <v>0</v>
      </c>
      <c r="P14">
        <f>CumulativeConfirmed!P14-CumulativeRecovered!P14-CumulativeDead!P14</f>
        <v>0</v>
      </c>
      <c r="Q14">
        <f>CumulativeConfirmed!Q14-CumulativeRecovered!Q14-CumulativeDead!Q14</f>
        <v>0</v>
      </c>
      <c r="R14">
        <f>CumulativeConfirmed!R14-CumulativeRecovered!R14-CumulativeDead!R14</f>
        <v>0</v>
      </c>
      <c r="S14">
        <f>CumulativeConfirmed!S14-CumulativeRecovered!S14-CumulativeDead!S14</f>
        <v>0</v>
      </c>
      <c r="T14">
        <f>CumulativeConfirmed!T14-CumulativeRecovered!T14-CumulativeDead!T14</f>
        <v>0</v>
      </c>
      <c r="U14">
        <f>CumulativeConfirmed!U14-CumulativeRecovered!U14-CumulativeDead!U14</f>
        <v>0</v>
      </c>
      <c r="V14">
        <f>CumulativeConfirmed!V14-CumulativeRecovered!V14-CumulativeDead!V14</f>
        <v>0</v>
      </c>
      <c r="W14">
        <f>CumulativeConfirmed!W14-CumulativeRecovered!W14-CumulativeDead!W14</f>
        <v>0</v>
      </c>
      <c r="X14">
        <f>CumulativeConfirmed!X14-CumulativeRecovered!X14-CumulativeDead!X14</f>
        <v>0</v>
      </c>
      <c r="Y14">
        <f>CumulativeConfirmed!Y14-CumulativeRecovered!Y14-CumulativeDead!Y14</f>
        <v>0</v>
      </c>
      <c r="Z14">
        <f>CumulativeConfirmed!Z14-CumulativeRecovered!Z14-CumulativeDead!Z14</f>
        <v>0</v>
      </c>
      <c r="AA14">
        <f>CumulativeConfirmed!AA14-CumulativeRecovered!AA14-CumulativeDead!AA14</f>
        <v>0</v>
      </c>
      <c r="AB14">
        <f>CumulativeConfirmed!AB14-CumulativeRecovered!AB14-CumulativeDead!AB14</f>
        <v>0</v>
      </c>
      <c r="AC14">
        <f>CumulativeConfirmed!AC14-CumulativeRecovered!AC14-CumulativeDead!AC14</f>
        <v>0</v>
      </c>
      <c r="AD14">
        <f>CumulativeConfirmed!AD14-CumulativeRecovered!AD14-CumulativeDead!AD14</f>
        <v>0</v>
      </c>
      <c r="AE14">
        <f>CumulativeConfirmed!AE14-CumulativeRecovered!AE14-CumulativeDead!AE14</f>
        <v>0</v>
      </c>
      <c r="AF14">
        <f>CumulativeConfirmed!AF14-CumulativeRecovered!AF14-CumulativeDead!AF14</f>
        <v>0</v>
      </c>
      <c r="AG14">
        <f>CumulativeConfirmed!AG14-CumulativeRecovered!AG14-CumulativeDead!AG14</f>
        <v>0</v>
      </c>
      <c r="AH14">
        <f>CumulativeConfirmed!AH14-CumulativeRecovered!AH14-CumulativeDead!AH14</f>
        <v>0</v>
      </c>
      <c r="AI14">
        <f>CumulativeConfirmed!AI14-CumulativeRecovered!AI14-CumulativeDead!AI14</f>
        <v>0</v>
      </c>
      <c r="AJ14">
        <f>CumulativeConfirmed!AJ14-CumulativeRecovered!AJ14-CumulativeDead!AJ14</f>
        <v>0</v>
      </c>
      <c r="AK14">
        <f>CumulativeConfirmed!AK14-CumulativeRecovered!AK14-CumulativeDead!AK14</f>
        <v>0</v>
      </c>
      <c r="AL14">
        <f>CumulativeConfirmed!AL14-CumulativeRecovered!AL14-CumulativeDead!AL14</f>
        <v>1</v>
      </c>
      <c r="AM14">
        <f>CumulativeConfirmed!AM14-CumulativeRecovered!AM14-CumulativeDead!AM14</f>
        <v>1</v>
      </c>
      <c r="AN14">
        <f>CumulativeConfirmed!AN14-CumulativeRecovered!AN14-CumulativeDead!AN14</f>
        <v>6</v>
      </c>
      <c r="AO14">
        <f>CumulativeConfirmed!AO14-CumulativeRecovered!AO14-CumulativeDead!AO14</f>
        <v>10</v>
      </c>
      <c r="AP14">
        <f>CumulativeConfirmed!AP14-CumulativeRecovered!AP14-CumulativeDead!AP14</f>
        <v>18</v>
      </c>
      <c r="AQ14">
        <f>CumulativeConfirmed!AQ14-CumulativeRecovered!AQ14-CumulativeDead!AQ14</f>
        <v>24</v>
      </c>
      <c r="AR14">
        <f>CumulativeConfirmed!AR14-CumulativeRecovered!AR14-CumulativeDead!AR14</f>
        <v>38</v>
      </c>
      <c r="AS14">
        <f>CumulativeConfirmed!AS14-CumulativeRecovered!AS14-CumulativeDead!AS14</f>
        <v>82</v>
      </c>
      <c r="AT14">
        <f>CumulativeConfirmed!AT14-CumulativeRecovered!AT14-CumulativeDead!AT14</f>
        <v>127</v>
      </c>
      <c r="AU14">
        <f>CumulativeConfirmed!AU14-CumulativeRecovered!AU14-CumulativeDead!AU14</f>
        <v>187</v>
      </c>
      <c r="AV14">
        <f>CumulativeConfirmed!AV14-CumulativeRecovered!AV14-CumulativeDead!AV14</f>
        <v>262</v>
      </c>
      <c r="AW14">
        <f>CumulativeConfirmed!AW14-CumulativeRecovered!AW14-CumulativeDead!AW14</f>
        <v>318</v>
      </c>
      <c r="AX14">
        <f>CumulativeConfirmed!AX14-CumulativeRecovered!AX14-CumulativeDead!AX14</f>
        <v>378</v>
      </c>
      <c r="AY14">
        <f>CumulativeConfirmed!AY14-CumulativeRecovered!AY14-CumulativeDead!AY14</f>
        <v>498</v>
      </c>
      <c r="AZ14">
        <f>CumulativeConfirmed!AZ14-CumulativeRecovered!AZ14-CumulativeDead!AZ14</f>
        <v>498</v>
      </c>
      <c r="BA14">
        <f>CumulativeConfirmed!BA14-CumulativeRecovered!BA14-CumulativeDead!BA14</f>
        <v>796</v>
      </c>
      <c r="BB14">
        <f>CumulativeConfirmed!BB14-CumulativeRecovered!BB14-CumulativeDead!BB14</f>
        <v>948</v>
      </c>
      <c r="BC14">
        <f>CumulativeConfirmed!BC14-CumulativeRecovered!BC14-CumulativeDead!BC14</f>
        <v>1116</v>
      </c>
      <c r="BD14">
        <f>CumulativeConfirmed!BD14-CumulativeRecovered!BD14-CumulativeDead!BD14</f>
        <v>1390</v>
      </c>
      <c r="BE14">
        <f>CumulativeConfirmed!BE14-CumulativeRecovered!BE14-CumulativeDead!BE14</f>
        <v>1666</v>
      </c>
      <c r="BF14">
        <f>CumulativeConfirmed!BF14-CumulativeRecovered!BF14-CumulativeDead!BF14</f>
        <v>1998</v>
      </c>
      <c r="BG14">
        <f>CumulativeConfirmed!BG14-CumulativeRecovered!BG14-CumulativeDead!BG14</f>
        <v>2388</v>
      </c>
      <c r="BH14">
        <f>CumulativeConfirmed!BH14-CumulativeRecovered!BH14-CumulativeDead!BH14</f>
        <v>2894</v>
      </c>
      <c r="BI14">
        <f>CumulativeConfirmed!BI14-CumulativeRecovered!BI14-CumulativeDead!BI14</f>
        <v>0</v>
      </c>
      <c r="BJ14">
        <f>CumulativeConfirmed!BJ14-CumulativeRecovered!BJ14-CumulativeDead!BJ14</f>
        <v>0</v>
      </c>
      <c r="BK14">
        <f>CumulativeConfirmed!BK14-CumulativeRecovered!BK14-CumulativeDead!BK14</f>
        <v>0</v>
      </c>
      <c r="BL14">
        <f>CumulativeConfirmed!BL14-CumulativeRecovered!BL14-CumulativeDead!BL14</f>
        <v>0</v>
      </c>
      <c r="BM14">
        <f>CumulativeConfirmed!BM14-CumulativeRecovered!BM14-CumulativeDead!BM14</f>
        <v>0</v>
      </c>
      <c r="BN14">
        <f>CumulativeConfirmed!BN14-CumulativeRecovered!BN14-CumulativeDead!BN14</f>
        <v>0</v>
      </c>
      <c r="BO14">
        <f>CumulativeConfirmed!BO14-CumulativeRecovered!BO14-CumulativeDead!BO14</f>
        <v>0</v>
      </c>
      <c r="BP14">
        <f>CumulativeConfirmed!BP14-CumulativeRecovered!BP14-CumulativeDead!BP14</f>
        <v>0</v>
      </c>
      <c r="BQ14">
        <f>CumulativeConfirmed!BQ14-CumulativeRecovered!BQ14-CumulativeDead!BQ14</f>
        <v>0</v>
      </c>
      <c r="BR14">
        <f>CumulativeConfirmed!BR14-CumulativeRecovered!BR14-CumulativeDead!BR14</f>
        <v>0</v>
      </c>
      <c r="BS14">
        <f>CumulativeConfirmed!BS14-CumulativeRecovered!BS14-CumulativeDead!BS14</f>
        <v>0</v>
      </c>
      <c r="BT14">
        <f>CumulativeConfirmed!BT14-CumulativeRecovered!BT14-CumulativeDead!BT14</f>
        <v>0</v>
      </c>
    </row>
    <row r="15" spans="1:72" ht="15" thickBot="1" x14ac:dyDescent="0.35">
      <c r="A15" s="3" t="s">
        <v>349</v>
      </c>
      <c r="B15">
        <f>CumulativeConfirmed!B15-CumulativeRecovered!B15-CumulativeDead!B15</f>
        <v>0</v>
      </c>
      <c r="C15">
        <f>CumulativeConfirmed!C15-CumulativeRecovered!C15-CumulativeDead!C15</f>
        <v>0</v>
      </c>
      <c r="D15">
        <f>CumulativeConfirmed!D15-CumulativeRecovered!D15-CumulativeDead!D15</f>
        <v>0</v>
      </c>
      <c r="E15">
        <f>CumulativeConfirmed!E15-CumulativeRecovered!E15-CumulativeDead!E15</f>
        <v>0</v>
      </c>
      <c r="F15">
        <f>CumulativeConfirmed!F15-CumulativeRecovered!F15-CumulativeDead!F15</f>
        <v>0</v>
      </c>
      <c r="G15">
        <f>CumulativeConfirmed!G15-CumulativeRecovered!G15-CumulativeDead!G15</f>
        <v>0</v>
      </c>
      <c r="H15">
        <f>CumulativeConfirmed!H15-CumulativeRecovered!H15-CumulativeDead!H15</f>
        <v>0</v>
      </c>
      <c r="I15">
        <f>CumulativeConfirmed!I15-CumulativeRecovered!I15-CumulativeDead!I15</f>
        <v>0</v>
      </c>
      <c r="J15">
        <f>CumulativeConfirmed!J15-CumulativeRecovered!J15-CumulativeDead!J15</f>
        <v>0</v>
      </c>
      <c r="K15">
        <f>CumulativeConfirmed!K15-CumulativeRecovered!K15-CumulativeDead!K15</f>
        <v>2</v>
      </c>
      <c r="L15">
        <f>CumulativeConfirmed!L15-CumulativeRecovered!L15-CumulativeDead!L15</f>
        <v>2</v>
      </c>
      <c r="M15">
        <f>CumulativeConfirmed!M15-CumulativeRecovered!M15-CumulativeDead!M15</f>
        <v>2</v>
      </c>
      <c r="N15">
        <f>CumulativeConfirmed!N15-CumulativeRecovered!N15-CumulativeDead!N15</f>
        <v>2</v>
      </c>
      <c r="O15">
        <f>CumulativeConfirmed!O15-CumulativeRecovered!O15-CumulativeDead!O15</f>
        <v>2</v>
      </c>
      <c r="P15">
        <f>CumulativeConfirmed!P15-CumulativeRecovered!P15-CumulativeDead!P15</f>
        <v>2</v>
      </c>
      <c r="Q15">
        <f>CumulativeConfirmed!Q15-CumulativeRecovered!Q15-CumulativeDead!Q15</f>
        <v>2</v>
      </c>
      <c r="R15">
        <f>CumulativeConfirmed!R15-CumulativeRecovered!R15-CumulativeDead!R15</f>
        <v>3</v>
      </c>
      <c r="S15">
        <f>CumulativeConfirmed!S15-CumulativeRecovered!S15-CumulativeDead!S15</f>
        <v>3</v>
      </c>
      <c r="T15">
        <f>CumulativeConfirmed!T15-CumulativeRecovered!T15-CumulativeDead!T15</f>
        <v>3</v>
      </c>
      <c r="U15">
        <f>CumulativeConfirmed!U15-CumulativeRecovered!U15-CumulativeDead!U15</f>
        <v>8</v>
      </c>
      <c r="V15">
        <f>CumulativeConfirmed!V15-CumulativeRecovered!V15-CumulativeDead!V15</f>
        <v>8</v>
      </c>
      <c r="W15">
        <f>CumulativeConfirmed!W15-CumulativeRecovered!W15-CumulativeDead!W15</f>
        <v>8</v>
      </c>
      <c r="X15">
        <f>CumulativeConfirmed!X15-CumulativeRecovered!X15-CumulativeDead!X15</f>
        <v>8</v>
      </c>
      <c r="Y15">
        <f>CumulativeConfirmed!Y15-CumulativeRecovered!Y15-CumulativeDead!Y15</f>
        <v>8</v>
      </c>
      <c r="Z15">
        <f>CumulativeConfirmed!Z15-CumulativeRecovered!Z15-CumulativeDead!Z15</f>
        <v>8</v>
      </c>
      <c r="AA15">
        <f>CumulativeConfirmed!AA15-CumulativeRecovered!AA15-CumulativeDead!AA15</f>
        <v>1</v>
      </c>
      <c r="AB15">
        <f>CumulativeConfirmed!AB15-CumulativeRecovered!AB15-CumulativeDead!AB15</f>
        <v>1</v>
      </c>
      <c r="AC15">
        <f>CumulativeConfirmed!AC15-CumulativeRecovered!AC15-CumulativeDead!AC15</f>
        <v>1</v>
      </c>
      <c r="AD15">
        <f>CumulativeConfirmed!AD15-CumulativeRecovered!AD15-CumulativeDead!AD15</f>
        <v>1</v>
      </c>
      <c r="AE15">
        <f>CumulativeConfirmed!AE15-CumulativeRecovered!AE15-CumulativeDead!AE15</f>
        <v>1</v>
      </c>
      <c r="AF15">
        <f>CumulativeConfirmed!AF15-CumulativeRecovered!AF15-CumulativeDead!AF15</f>
        <v>1</v>
      </c>
      <c r="AG15">
        <f>CumulativeConfirmed!AG15-CumulativeRecovered!AG15-CumulativeDead!AG15</f>
        <v>1</v>
      </c>
      <c r="AH15">
        <f>CumulativeConfirmed!AH15-CumulativeRecovered!AH15-CumulativeDead!AH15</f>
        <v>1</v>
      </c>
      <c r="AI15">
        <f>CumulativeConfirmed!AI15-CumulativeRecovered!AI15-CumulativeDead!AI15</f>
        <v>5</v>
      </c>
      <c r="AJ15">
        <f>CumulativeConfirmed!AJ15-CumulativeRecovered!AJ15-CumulativeDead!AJ15</f>
        <v>5</v>
      </c>
      <c r="AK15">
        <f>CumulativeConfirmed!AK15-CumulativeRecovered!AK15-CumulativeDead!AK15</f>
        <v>5</v>
      </c>
      <c r="AL15">
        <f>CumulativeConfirmed!AL15-CumulativeRecovered!AL15-CumulativeDead!AL15</f>
        <v>7</v>
      </c>
      <c r="AM15">
        <f>CumulativeConfirmed!AM15-CumulativeRecovered!AM15-CumulativeDead!AM15</f>
        <v>12</v>
      </c>
      <c r="AN15">
        <f>CumulativeConfirmed!AN15-CumulativeRecovered!AN15-CumulativeDead!AN15</f>
        <v>15</v>
      </c>
      <c r="AO15">
        <f>CumulativeConfirmed!AO15-CumulativeRecovered!AO15-CumulativeDead!AO15</f>
        <v>28</v>
      </c>
      <c r="AP15">
        <f>CumulativeConfirmed!AP15-CumulativeRecovered!AP15-CumulativeDead!AP15</f>
        <v>32</v>
      </c>
      <c r="AQ15">
        <f>CumulativeConfirmed!AQ15-CumulativeRecovered!AQ15-CumulativeDead!AQ15</f>
        <v>43</v>
      </c>
      <c r="AR15">
        <f>CumulativeConfirmed!AR15-CumulativeRecovered!AR15-CumulativeDead!AR15</f>
        <v>78</v>
      </c>
      <c r="AS15">
        <f>CumulativeConfirmed!AS15-CumulativeRecovered!AS15-CumulativeDead!AS15</f>
        <v>107</v>
      </c>
      <c r="AT15">
        <f>CumulativeConfirmed!AT15-CumulativeRecovered!AT15-CumulativeDead!AT15</f>
        <v>154</v>
      </c>
      <c r="AU15">
        <f>CumulativeConfirmed!AU15-CumulativeRecovered!AU15-CumulativeDead!AU15</f>
        <v>187</v>
      </c>
      <c r="AV15">
        <f>CumulativeConfirmed!AV15-CumulativeRecovered!AV15-CumulativeDead!AV15</f>
        <v>253</v>
      </c>
      <c r="AW15">
        <f>CumulativeConfirmed!AW15-CumulativeRecovered!AW15-CumulativeDead!AW15</f>
        <v>300</v>
      </c>
      <c r="AX15">
        <f>CumulativeConfirmed!AX15-CumulativeRecovered!AX15-CumulativeDead!AX15</f>
        <v>359</v>
      </c>
      <c r="AY15">
        <f>CumulativeConfirmed!AY15-CumulativeRecovered!AY15-CumulativeDead!AY15</f>
        <v>432</v>
      </c>
      <c r="AZ15">
        <f>CumulativeConfirmed!AZ15-CumulativeRecovered!AZ15-CumulativeDead!AZ15</f>
        <v>563</v>
      </c>
      <c r="BA15">
        <f>CumulativeConfirmed!BA15-CumulativeRecovered!BA15-CumulativeDead!BA15</f>
        <v>775</v>
      </c>
      <c r="BB15">
        <f>CumulativeConfirmed!BB15-CumulativeRecovered!BB15-CumulativeDead!BB15</f>
        <v>1104</v>
      </c>
      <c r="BC15">
        <f>CumulativeConfirmed!BC15-CumulativeRecovered!BC15-CumulativeDead!BC15</f>
        <v>1315</v>
      </c>
      <c r="BD15">
        <f>CumulativeConfirmed!BD15-CumulativeRecovered!BD15-CumulativeDead!BD15</f>
        <v>1474</v>
      </c>
      <c r="BE15">
        <f>CumulativeConfirmed!BE15-CumulativeRecovered!BE15-CumulativeDead!BE15</f>
        <v>1851</v>
      </c>
      <c r="BF15">
        <f>CumulativeConfirmed!BF15-CumulativeRecovered!BF15-CumulativeDead!BF15</f>
        <v>2503</v>
      </c>
      <c r="BG15">
        <f>CumulativeConfirmed!BG15-CumulativeRecovered!BG15-CumulativeDead!BG15</f>
        <v>2511</v>
      </c>
      <c r="BH15">
        <f>CumulativeConfirmed!BH15-CumulativeRecovered!BH15-CumulativeDead!BH15</f>
        <v>3769</v>
      </c>
      <c r="BI15">
        <f>CumulativeConfirmed!BI15-CumulativeRecovered!BI15-CumulativeDead!BI15</f>
        <v>0</v>
      </c>
      <c r="BJ15">
        <f>CumulativeConfirmed!BJ15-CumulativeRecovered!BJ15-CumulativeDead!BJ15</f>
        <v>0</v>
      </c>
      <c r="BK15">
        <f>CumulativeConfirmed!BK15-CumulativeRecovered!BK15-CumulativeDead!BK15</f>
        <v>0</v>
      </c>
      <c r="BL15">
        <f>CumulativeConfirmed!BL15-CumulativeRecovered!BL15-CumulativeDead!BL15</f>
        <v>0</v>
      </c>
      <c r="BM15">
        <f>CumulativeConfirmed!BM15-CumulativeRecovered!BM15-CumulativeDead!BM15</f>
        <v>0</v>
      </c>
      <c r="BN15">
        <f>CumulativeConfirmed!BN15-CumulativeRecovered!BN15-CumulativeDead!BN15</f>
        <v>0</v>
      </c>
      <c r="BO15">
        <f>CumulativeConfirmed!BO15-CumulativeRecovered!BO15-CumulativeDead!BO15</f>
        <v>0</v>
      </c>
      <c r="BP15">
        <f>CumulativeConfirmed!BP15-CumulativeRecovered!BP15-CumulativeDead!BP15</f>
        <v>0</v>
      </c>
      <c r="BQ15">
        <f>CumulativeConfirmed!BQ15-CumulativeRecovered!BQ15-CumulativeDead!BQ15</f>
        <v>0</v>
      </c>
      <c r="BR15">
        <f>CumulativeConfirmed!BR15-CumulativeRecovered!BR15-CumulativeDead!BR15</f>
        <v>0</v>
      </c>
      <c r="BS15">
        <f>CumulativeConfirmed!BS15-CumulativeRecovered!BS15-CumulativeDead!BS15</f>
        <v>0</v>
      </c>
      <c r="BT15">
        <f>CumulativeConfirmed!BT15-CumulativeRecovered!BT15-CumulativeDead!BT15</f>
        <v>0</v>
      </c>
    </row>
    <row r="16" spans="1:72" ht="15" thickBot="1" x14ac:dyDescent="0.35">
      <c r="A16" s="4" t="s">
        <v>36</v>
      </c>
      <c r="B16">
        <f>CumulativeConfirmed!B16-CumulativeRecovered!B16-CumulativeDead!B16</f>
        <v>2</v>
      </c>
      <c r="C16">
        <f>CumulativeConfirmed!C16-CumulativeRecovered!C16-CumulativeDead!C16</f>
        <v>1</v>
      </c>
      <c r="D16">
        <f>CumulativeConfirmed!D16-CumulativeRecovered!D16-CumulativeDead!D16</f>
        <v>2</v>
      </c>
      <c r="E16">
        <f>CumulativeConfirmed!E16-CumulativeRecovered!E16-CumulativeDead!E16</f>
        <v>2</v>
      </c>
      <c r="F16">
        <f>CumulativeConfirmed!F16-CumulativeRecovered!F16-CumulativeDead!F16</f>
        <v>3</v>
      </c>
      <c r="G16">
        <f>CumulativeConfirmed!G16-CumulativeRecovered!G16-CumulativeDead!G16</f>
        <v>3</v>
      </c>
      <c r="H16">
        <f>CumulativeConfirmed!H16-CumulativeRecovered!H16-CumulativeDead!H16</f>
        <v>6</v>
      </c>
      <c r="I16">
        <f>CumulativeConfirmed!I16-CumulativeRecovered!I16-CumulativeDead!I16</f>
        <v>6</v>
      </c>
      <c r="J16">
        <f>CumulativeConfirmed!J16-CumulativeRecovered!J16-CumulativeDead!J16</f>
        <v>10</v>
      </c>
      <c r="K16">
        <f>CumulativeConfirmed!K16-CumulativeRecovered!K16-CumulativeDead!K16</f>
        <v>14</v>
      </c>
      <c r="L16">
        <f>CumulativeConfirmed!L16-CumulativeRecovered!L16-CumulativeDead!L16</f>
        <v>19</v>
      </c>
      <c r="M16">
        <f>CumulativeConfirmed!M16-CumulativeRecovered!M16-CumulativeDead!M16</f>
        <v>19</v>
      </c>
      <c r="N16">
        <f>CumulativeConfirmed!N16-CumulativeRecovered!N16-CumulativeDead!N16</f>
        <v>19</v>
      </c>
      <c r="O16">
        <f>CumulativeConfirmed!O16-CumulativeRecovered!O16-CumulativeDead!O16</f>
        <v>21</v>
      </c>
      <c r="P16">
        <f>CumulativeConfirmed!P16-CumulativeRecovered!P16-CumulativeDead!P16</f>
        <v>21</v>
      </c>
      <c r="Q16">
        <f>CumulativeConfirmed!Q16-CumulativeRecovered!Q16-CumulativeDead!Q16</f>
        <v>44</v>
      </c>
      <c r="R16">
        <f>CumulativeConfirmed!R16-CumulativeRecovered!R16-CumulativeDead!R16</f>
        <v>24</v>
      </c>
      <c r="S16">
        <f>CumulativeConfirmed!S16-CumulativeRecovered!S16-CumulativeDead!S16</f>
        <v>24</v>
      </c>
      <c r="T16">
        <f>CumulativeConfirmed!T16-CumulativeRecovered!T16-CumulativeDead!T16</f>
        <v>25</v>
      </c>
      <c r="U16">
        <f>CumulativeConfirmed!U16-CumulativeRecovered!U16-CumulativeDead!U16</f>
        <v>22</v>
      </c>
      <c r="V16">
        <f>CumulativeConfirmed!V16-CumulativeRecovered!V16-CumulativeDead!V16</f>
        <v>17</v>
      </c>
      <c r="W16">
        <f>CumulativeConfirmed!W16-CumulativeRecovered!W16-CumulativeDead!W16</f>
        <v>19</v>
      </c>
      <c r="X16">
        <f>CumulativeConfirmed!X16-CumulativeRecovered!X16-CumulativeDead!X16</f>
        <v>18</v>
      </c>
      <c r="Y16">
        <f>CumulativeConfirmed!Y16-CumulativeRecovered!Y16-CumulativeDead!Y16</f>
        <v>19</v>
      </c>
      <c r="Z16">
        <f>CumulativeConfirmed!Z16-CumulativeRecovered!Z16-CumulativeDead!Z16</f>
        <v>30</v>
      </c>
      <c r="AA16">
        <f>CumulativeConfirmed!AA16-CumulativeRecovered!AA16-CumulativeDead!AA16</f>
        <v>46</v>
      </c>
      <c r="AB16">
        <f>CumulativeConfirmed!AB16-CumulativeRecovered!AB16-CumulativeDead!AB16</f>
        <v>53</v>
      </c>
      <c r="AC16">
        <f>CumulativeConfirmed!AC16-CumulativeRecovered!AC16-CumulativeDead!AC16</f>
        <v>60</v>
      </c>
      <c r="AD16">
        <f>CumulativeConfirmed!AD16-CumulativeRecovered!AD16-CumulativeDead!AD16</f>
        <v>65</v>
      </c>
      <c r="AE16">
        <f>CumulativeConfirmed!AE16-CumulativeRecovered!AE16-CumulativeDead!AE16</f>
        <v>75</v>
      </c>
      <c r="AF16">
        <f>CumulativeConfirmed!AF16-CumulativeRecovered!AF16-CumulativeDead!AF16</f>
        <v>82</v>
      </c>
      <c r="AG16">
        <f>CumulativeConfirmed!AG16-CumulativeRecovered!AG16-CumulativeDead!AG16</f>
        <v>99</v>
      </c>
      <c r="AH16">
        <f>CumulativeConfirmed!AH16-CumulativeRecovered!AH16-CumulativeDead!AH16</f>
        <v>124</v>
      </c>
      <c r="AI16">
        <f>CumulativeConfirmed!AI16-CumulativeRecovered!AI16-CumulativeDead!AI16</f>
        <v>136</v>
      </c>
      <c r="AJ16">
        <f>CumulativeConfirmed!AJ16-CumulativeRecovered!AJ16-CumulativeDead!AJ16</f>
        <v>147</v>
      </c>
      <c r="AK16">
        <f>CumulativeConfirmed!AK16-CumulativeRecovered!AK16-CumulativeDead!AK16</f>
        <v>165</v>
      </c>
      <c r="AL16">
        <f>CumulativeConfirmed!AL16-CumulativeRecovered!AL16-CumulativeDead!AL16</f>
        <v>188</v>
      </c>
      <c r="AM16">
        <f>CumulativeConfirmed!AM16-CumulativeRecovered!AM16-CumulativeDead!AM16</f>
        <v>202</v>
      </c>
      <c r="AN16">
        <f>CumulativeConfirmed!AN16-CumulativeRecovered!AN16-CumulativeDead!AN16</f>
        <v>204</v>
      </c>
      <c r="AO16">
        <f>CumulativeConfirmed!AO16-CumulativeRecovered!AO16-CumulativeDead!AO16</f>
        <v>218</v>
      </c>
      <c r="AP16">
        <f>CumulativeConfirmed!AP16-CumulativeRecovered!AP16-CumulativeDead!AP16</f>
        <v>236</v>
      </c>
      <c r="AQ16">
        <f>CumulativeConfirmed!AQ16-CumulativeRecovered!AQ16-CumulativeDead!AQ16</f>
        <v>244</v>
      </c>
      <c r="AR16">
        <f>CumulativeConfirmed!AR16-CumulativeRecovered!AR16-CumulativeDead!AR16</f>
        <v>282</v>
      </c>
      <c r="AS16">
        <f>CumulativeConfirmed!AS16-CumulativeRecovered!AS16-CumulativeDead!AS16</f>
        <v>311</v>
      </c>
      <c r="AT16">
        <f>CumulativeConfirmed!AT16-CumulativeRecovered!AT16-CumulativeDead!AT16</f>
        <v>368</v>
      </c>
      <c r="AU16">
        <f>CumulativeConfirmed!AU16-CumulativeRecovered!AU16-CumulativeDead!AU16</f>
        <v>379</v>
      </c>
      <c r="AV16">
        <f>CumulativeConfirmed!AV16-CumulativeRecovered!AV16-CumulativeDead!AV16</f>
        <v>420</v>
      </c>
      <c r="AW16">
        <f>CumulativeConfirmed!AW16-CumulativeRecovered!AW16-CumulativeDead!AW16</f>
        <v>425</v>
      </c>
      <c r="AX16">
        <f>CumulativeConfirmed!AX16-CumulativeRecovered!AX16-CumulativeDead!AX16</f>
        <v>470</v>
      </c>
      <c r="AY16">
        <f>CumulativeConfirmed!AY16-CumulativeRecovered!AY16-CumulativeDead!AY16</f>
        <v>506</v>
      </c>
      <c r="AZ16">
        <f>CumulativeConfirmed!AZ16-CumulativeRecovered!AZ16-CumulativeDead!AZ16</f>
        <v>505</v>
      </c>
      <c r="BA16">
        <f>CumulativeConfirmed!BA16-CumulativeRecovered!BA16-CumulativeDead!BA16</f>
        <v>564</v>
      </c>
      <c r="BB16">
        <f>CumulativeConfirmed!BB16-CumulativeRecovered!BB16-CumulativeDead!BB16</f>
        <v>633</v>
      </c>
      <c r="BC16">
        <f>CumulativeConfirmed!BC16-CumulativeRecovered!BC16-CumulativeDead!BC16</f>
        <v>699</v>
      </c>
      <c r="BD16">
        <f>CumulativeConfirmed!BD16-CumulativeRecovered!BD16-CumulativeDead!BD16</f>
        <v>654</v>
      </c>
      <c r="BE16">
        <f>CumulativeConfirmed!BE16-CumulativeRecovered!BE16-CumulativeDead!BE16</f>
        <v>705</v>
      </c>
      <c r="BF16">
        <f>CumulativeConfirmed!BF16-CumulativeRecovered!BF16-CumulativeDead!BF16</f>
        <v>716</v>
      </c>
      <c r="BG16">
        <f>CumulativeConfirmed!BG16-CumulativeRecovered!BG16-CumulativeDead!BG16</f>
        <v>745</v>
      </c>
      <c r="BH16">
        <f>CumulativeConfirmed!BH16-CumulativeRecovered!BH16-CumulativeDead!BH16</f>
        <v>739</v>
      </c>
      <c r="BI16">
        <f>CumulativeConfirmed!BI16-CumulativeRecovered!BI16-CumulativeDead!BI16</f>
        <v>0</v>
      </c>
      <c r="BJ16">
        <f>CumulativeConfirmed!BJ16-CumulativeRecovered!BJ16-CumulativeDead!BJ16</f>
        <v>0</v>
      </c>
      <c r="BK16">
        <f>CumulativeConfirmed!BK16-CumulativeRecovered!BK16-CumulativeDead!BK16</f>
        <v>0</v>
      </c>
      <c r="BL16">
        <f>CumulativeConfirmed!BL16-CumulativeRecovered!BL16-CumulativeDead!BL16</f>
        <v>0</v>
      </c>
      <c r="BM16">
        <f>CumulativeConfirmed!BM16-CumulativeRecovered!BM16-CumulativeDead!BM16</f>
        <v>0</v>
      </c>
      <c r="BN16">
        <f>CumulativeConfirmed!BN16-CumulativeRecovered!BN16-CumulativeDead!BN16</f>
        <v>0</v>
      </c>
      <c r="BO16">
        <f>CumulativeConfirmed!BO16-CumulativeRecovered!BO16-CumulativeDead!BO16</f>
        <v>0</v>
      </c>
      <c r="BP16">
        <f>CumulativeConfirmed!BP16-CumulativeRecovered!BP16-CumulativeDead!BP16</f>
        <v>0</v>
      </c>
      <c r="BQ16">
        <f>CumulativeConfirmed!BQ16-CumulativeRecovered!BQ16-CumulativeDead!BQ16</f>
        <v>0</v>
      </c>
      <c r="BR16">
        <f>CumulativeConfirmed!BR16-CumulativeRecovered!BR16-CumulativeDead!BR16</f>
        <v>0</v>
      </c>
      <c r="BS16">
        <f>CumulativeConfirmed!BS16-CumulativeRecovered!BS16-CumulativeDead!BS16</f>
        <v>0</v>
      </c>
      <c r="BT16">
        <f>CumulativeConfirmed!BT16-CumulativeRecovered!BT16-CumulativeDead!BT16</f>
        <v>0</v>
      </c>
    </row>
    <row r="17" spans="1:72" ht="15" thickBot="1" x14ac:dyDescent="0.35">
      <c r="A17" s="4" t="s">
        <v>340</v>
      </c>
      <c r="B17">
        <f>CumulativeConfirmed!B17-CumulativeRecovered!B17-CumulativeDead!B17</f>
        <v>0</v>
      </c>
      <c r="C17">
        <f>CumulativeConfirmed!C17-CumulativeRecovered!C17-CumulativeDead!C17</f>
        <v>0</v>
      </c>
      <c r="D17">
        <f>CumulativeConfirmed!D17-CumulativeRecovered!D17-CumulativeDead!D17</f>
        <v>0</v>
      </c>
      <c r="E17">
        <f>CumulativeConfirmed!E17-CumulativeRecovered!E17-CumulativeDead!E17</f>
        <v>0</v>
      </c>
      <c r="F17">
        <f>CumulativeConfirmed!F17-CumulativeRecovered!F17-CumulativeDead!F17</f>
        <v>0</v>
      </c>
      <c r="G17">
        <f>CumulativeConfirmed!G17-CumulativeRecovered!G17-CumulativeDead!G17</f>
        <v>0</v>
      </c>
      <c r="H17">
        <f>CumulativeConfirmed!H17-CumulativeRecovered!H17-CumulativeDead!H17</f>
        <v>0</v>
      </c>
      <c r="I17">
        <f>CumulativeConfirmed!I17-CumulativeRecovered!I17-CumulativeDead!I17</f>
        <v>0</v>
      </c>
      <c r="J17">
        <f>CumulativeConfirmed!J17-CumulativeRecovered!J17-CumulativeDead!J17</f>
        <v>0</v>
      </c>
      <c r="K17">
        <f>CumulativeConfirmed!K17-CumulativeRecovered!K17-CumulativeDead!K17</f>
        <v>0</v>
      </c>
      <c r="L17">
        <f>CumulativeConfirmed!L17-CumulativeRecovered!L17-CumulativeDead!L17</f>
        <v>0</v>
      </c>
      <c r="M17">
        <f>CumulativeConfirmed!M17-CumulativeRecovered!M17-CumulativeDead!M17</f>
        <v>0</v>
      </c>
      <c r="N17">
        <f>CumulativeConfirmed!N17-CumulativeRecovered!N17-CumulativeDead!N17</f>
        <v>0</v>
      </c>
      <c r="O17">
        <f>CumulativeConfirmed!O17-CumulativeRecovered!O17-CumulativeDead!O17</f>
        <v>0</v>
      </c>
      <c r="P17">
        <f>CumulativeConfirmed!P17-CumulativeRecovered!P17-CumulativeDead!P17</f>
        <v>0</v>
      </c>
      <c r="Q17">
        <f>CumulativeConfirmed!Q17-CumulativeRecovered!Q17-CumulativeDead!Q17</f>
        <v>0</v>
      </c>
      <c r="R17">
        <f>CumulativeConfirmed!R17-CumulativeRecovered!R17-CumulativeDead!R17</f>
        <v>61</v>
      </c>
      <c r="S17">
        <f>CumulativeConfirmed!S17-CumulativeRecovered!S17-CumulativeDead!S17</f>
        <v>61</v>
      </c>
      <c r="T17">
        <f>CumulativeConfirmed!T17-CumulativeRecovered!T17-CumulativeDead!T17</f>
        <v>64</v>
      </c>
      <c r="U17">
        <f>CumulativeConfirmed!U17-CumulativeRecovered!U17-CumulativeDead!U17</f>
        <v>135</v>
      </c>
      <c r="V17">
        <f>CumulativeConfirmed!V17-CumulativeRecovered!V17-CumulativeDead!V17</f>
        <v>135</v>
      </c>
      <c r="W17">
        <f>CumulativeConfirmed!W17-CumulativeRecovered!W17-CumulativeDead!W17</f>
        <v>175</v>
      </c>
      <c r="X17">
        <f>CumulativeConfirmed!X17-CumulativeRecovered!X17-CumulativeDead!X17</f>
        <v>175</v>
      </c>
      <c r="Y17">
        <f>CumulativeConfirmed!Y17-CumulativeRecovered!Y17-CumulativeDead!Y17</f>
        <v>218</v>
      </c>
      <c r="Z17">
        <f>CumulativeConfirmed!Z17-CumulativeRecovered!Z17-CumulativeDead!Z17</f>
        <v>285</v>
      </c>
      <c r="AA17">
        <f>CumulativeConfirmed!AA17-CumulativeRecovered!AA17-CumulativeDead!AA17</f>
        <v>355</v>
      </c>
      <c r="AB17">
        <f>CumulativeConfirmed!AB17-CumulativeRecovered!AB17-CumulativeDead!AB17</f>
        <v>454</v>
      </c>
      <c r="AC17">
        <f>CumulativeConfirmed!AC17-CumulativeRecovered!AC17-CumulativeDead!AC17</f>
        <v>542</v>
      </c>
      <c r="AD17">
        <f>CumulativeConfirmed!AD17-CumulativeRecovered!AD17-CumulativeDead!AD17</f>
        <v>620</v>
      </c>
      <c r="AE17">
        <f>CumulativeConfirmed!AE17-CumulativeRecovered!AE17-CumulativeDead!AE17</f>
        <v>631</v>
      </c>
      <c r="AF17">
        <f>CumulativeConfirmed!AF17-CumulativeRecovered!AF17-CumulativeDead!AF17</f>
        <v>631</v>
      </c>
      <c r="AG17">
        <f>CumulativeConfirmed!AG17-CumulativeRecovered!AG17-CumulativeDead!AG17</f>
        <v>631</v>
      </c>
      <c r="AH17">
        <f>CumulativeConfirmed!AH17-CumulativeRecovered!AH17-CumulativeDead!AH17</f>
        <v>688</v>
      </c>
      <c r="AI17">
        <f>CumulativeConfirmed!AI17-CumulativeRecovered!AI17-CumulativeDead!AI17</f>
        <v>688</v>
      </c>
      <c r="AJ17">
        <f>CumulativeConfirmed!AJ17-CumulativeRecovered!AJ17-CumulativeDead!AJ17</f>
        <v>688</v>
      </c>
      <c r="AK17">
        <f>CumulativeConfirmed!AK17-CumulativeRecovered!AK17-CumulativeDead!AK17</f>
        <v>691</v>
      </c>
      <c r="AL17">
        <f>CumulativeConfirmed!AL17-CumulativeRecovered!AL17-CumulativeDead!AL17</f>
        <v>691</v>
      </c>
      <c r="AM17">
        <f>CumulativeConfirmed!AM17-CumulativeRecovered!AM17-CumulativeDead!AM17</f>
        <v>689</v>
      </c>
      <c r="AN17">
        <f>CumulativeConfirmed!AN17-CumulativeRecovered!AN17-CumulativeDead!AN17</f>
        <v>689</v>
      </c>
      <c r="AO17">
        <f>CumulativeConfirmed!AO17-CumulativeRecovered!AO17-CumulativeDead!AO17</f>
        <v>689</v>
      </c>
      <c r="AP17">
        <f>CumulativeConfirmed!AP17-CumulativeRecovered!AP17-CumulativeDead!AP17</f>
        <v>689</v>
      </c>
      <c r="AQ17">
        <f>CumulativeConfirmed!AQ17-CumulativeRecovered!AQ17-CumulativeDead!AQ17</f>
        <v>690</v>
      </c>
      <c r="AR17">
        <f>CumulativeConfirmed!AR17-CumulativeRecovered!AR17-CumulativeDead!AR17</f>
        <v>690</v>
      </c>
      <c r="AS17">
        <f>CumulativeConfirmed!AS17-CumulativeRecovered!AS17-CumulativeDead!AS17</f>
        <v>690</v>
      </c>
      <c r="AT17">
        <f>CumulativeConfirmed!AT17-CumulativeRecovered!AT17-CumulativeDead!AT17</f>
        <v>650</v>
      </c>
      <c r="AU17">
        <f>CumulativeConfirmed!AU17-CumulativeRecovered!AU17-CumulativeDead!AU17</f>
        <v>650</v>
      </c>
      <c r="AV17">
        <f>CumulativeConfirmed!AV17-CumulativeRecovered!AV17-CumulativeDead!AV17</f>
        <v>650</v>
      </c>
      <c r="AW17">
        <f>CumulativeConfirmed!AW17-CumulativeRecovered!AW17-CumulativeDead!AW17</f>
        <v>650</v>
      </c>
      <c r="AX17">
        <f>CumulativeConfirmed!AX17-CumulativeRecovered!AX17-CumulativeDead!AX17</f>
        <v>650</v>
      </c>
      <c r="AY17">
        <f>CumulativeConfirmed!AY17-CumulativeRecovered!AY17-CumulativeDead!AY17</f>
        <v>364</v>
      </c>
      <c r="AZ17">
        <f>CumulativeConfirmed!AZ17-CumulativeRecovered!AZ17-CumulativeDead!AZ17</f>
        <v>364</v>
      </c>
      <c r="BA17">
        <f>CumulativeConfirmed!BA17-CumulativeRecovered!BA17-CumulativeDead!BA17</f>
        <v>364</v>
      </c>
      <c r="BB17">
        <f>CumulativeConfirmed!BB17-CumulativeRecovered!BB17-CumulativeDead!BB17</f>
        <v>364</v>
      </c>
      <c r="BC17">
        <f>CumulativeConfirmed!BC17-CumulativeRecovered!BC17-CumulativeDead!BC17</f>
        <v>364</v>
      </c>
      <c r="BD17">
        <f>CumulativeConfirmed!BD17-CumulativeRecovered!BD17-CumulativeDead!BD17</f>
        <v>364</v>
      </c>
      <c r="BE17">
        <f>CumulativeConfirmed!BE17-CumulativeRecovered!BE17-CumulativeDead!BE17</f>
        <v>364</v>
      </c>
      <c r="BF17">
        <f>CumulativeConfirmed!BF17-CumulativeRecovered!BF17-CumulativeDead!BF17</f>
        <v>380</v>
      </c>
      <c r="BG17">
        <f>CumulativeConfirmed!BG17-CumulativeRecovered!BG17-CumulativeDead!BG17</f>
        <v>380</v>
      </c>
      <c r="BH17">
        <f>CumulativeConfirmed!BH17-CumulativeRecovered!BH17-CumulativeDead!BH17</f>
        <v>380</v>
      </c>
      <c r="BI17">
        <f>CumulativeConfirmed!BI17-CumulativeRecovered!BI17-CumulativeDead!BI17</f>
        <v>0</v>
      </c>
      <c r="BJ17">
        <f>CumulativeConfirmed!BJ17-CumulativeRecovered!BJ17-CumulativeDead!BJ17</f>
        <v>0</v>
      </c>
      <c r="BK17">
        <f>CumulativeConfirmed!BK17-CumulativeRecovered!BK17-CumulativeDead!BK17</f>
        <v>0</v>
      </c>
      <c r="BL17">
        <f>CumulativeConfirmed!BL17-CumulativeRecovered!BL17-CumulativeDead!BL17</f>
        <v>0</v>
      </c>
      <c r="BM17">
        <f>CumulativeConfirmed!BM17-CumulativeRecovered!BM17-CumulativeDead!BM17</f>
        <v>0</v>
      </c>
      <c r="BN17">
        <f>CumulativeConfirmed!BN17-CumulativeRecovered!BN17-CumulativeDead!BN17</f>
        <v>0</v>
      </c>
      <c r="BO17">
        <f>CumulativeConfirmed!BO17-CumulativeRecovered!BO17-CumulativeDead!BO17</f>
        <v>0</v>
      </c>
      <c r="BP17">
        <f>CumulativeConfirmed!BP17-CumulativeRecovered!BP17-CumulativeDead!BP17</f>
        <v>0</v>
      </c>
      <c r="BQ17">
        <f>CumulativeConfirmed!BQ17-CumulativeRecovered!BQ17-CumulativeDead!BQ17</f>
        <v>0</v>
      </c>
      <c r="BR17">
        <f>CumulativeConfirmed!BR17-CumulativeRecovered!BR17-CumulativeDead!BR17</f>
        <v>0</v>
      </c>
      <c r="BS17">
        <f>CumulativeConfirmed!BS17-CumulativeRecovered!BS17-CumulativeDead!BS17</f>
        <v>0</v>
      </c>
      <c r="BT17">
        <f>CumulativeConfirmed!BT17-CumulativeRecovered!BT17-CumulativeDead!BT17</f>
        <v>0</v>
      </c>
    </row>
    <row r="18" spans="1:72" ht="15" thickBot="1" x14ac:dyDescent="0.35">
      <c r="A18" s="3" t="s">
        <v>63</v>
      </c>
      <c r="B18">
        <f>CumulativeConfirmed!B18-CumulativeRecovered!B18-CumulativeDead!B18</f>
        <v>0</v>
      </c>
      <c r="C18">
        <f>CumulativeConfirmed!C18-CumulativeRecovered!C18-CumulativeDead!C18</f>
        <v>0</v>
      </c>
      <c r="D18">
        <f>CumulativeConfirmed!D18-CumulativeRecovered!D18-CumulativeDead!D18</f>
        <v>0</v>
      </c>
      <c r="E18">
        <f>CumulativeConfirmed!E18-CumulativeRecovered!E18-CumulativeDead!E18</f>
        <v>0</v>
      </c>
      <c r="F18">
        <f>CumulativeConfirmed!F18-CumulativeRecovered!F18-CumulativeDead!F18</f>
        <v>0</v>
      </c>
      <c r="G18">
        <f>CumulativeConfirmed!G18-CumulativeRecovered!G18-CumulativeDead!G18</f>
        <v>0</v>
      </c>
      <c r="H18">
        <f>CumulativeConfirmed!H18-CumulativeRecovered!H18-CumulativeDead!H18</f>
        <v>0</v>
      </c>
      <c r="I18">
        <f>CumulativeConfirmed!I18-CumulativeRecovered!I18-CumulativeDead!I18</f>
        <v>0</v>
      </c>
      <c r="J18">
        <f>CumulativeConfirmed!J18-CumulativeRecovered!J18-CumulativeDead!J18</f>
        <v>0</v>
      </c>
      <c r="K18">
        <f>CumulativeConfirmed!K18-CumulativeRecovered!K18-CumulativeDead!K18</f>
        <v>0</v>
      </c>
      <c r="L18">
        <f>CumulativeConfirmed!L18-CumulativeRecovered!L18-CumulativeDead!L18</f>
        <v>0</v>
      </c>
      <c r="M18">
        <f>CumulativeConfirmed!M18-CumulativeRecovered!M18-CumulativeDead!M18</f>
        <v>0</v>
      </c>
      <c r="N18">
        <f>CumulativeConfirmed!N18-CumulativeRecovered!N18-CumulativeDead!N18</f>
        <v>0</v>
      </c>
      <c r="O18">
        <f>CumulativeConfirmed!O18-CumulativeRecovered!O18-CumulativeDead!O18</f>
        <v>1</v>
      </c>
      <c r="P18">
        <f>CumulativeConfirmed!P18-CumulativeRecovered!P18-CumulativeDead!P18</f>
        <v>1</v>
      </c>
      <c r="Q18">
        <f>CumulativeConfirmed!Q18-CumulativeRecovered!Q18-CumulativeDead!Q18</f>
        <v>1</v>
      </c>
      <c r="R18">
        <f>CumulativeConfirmed!R18-CumulativeRecovered!R18-CumulativeDead!R18</f>
        <v>1</v>
      </c>
      <c r="S18">
        <f>CumulativeConfirmed!S18-CumulativeRecovered!S18-CumulativeDead!S18</f>
        <v>1</v>
      </c>
      <c r="T18">
        <f>CumulativeConfirmed!T18-CumulativeRecovered!T18-CumulativeDead!T18</f>
        <v>1</v>
      </c>
      <c r="U18">
        <f>CumulativeConfirmed!U18-CumulativeRecovered!U18-CumulativeDead!U18</f>
        <v>1</v>
      </c>
      <c r="V18">
        <f>CumulativeConfirmed!V18-CumulativeRecovered!V18-CumulativeDead!V18</f>
        <v>1</v>
      </c>
      <c r="W18">
        <f>CumulativeConfirmed!W18-CumulativeRecovered!W18-CumulativeDead!W18</f>
        <v>1</v>
      </c>
      <c r="X18">
        <f>CumulativeConfirmed!X18-CumulativeRecovered!X18-CumulativeDead!X18</f>
        <v>1</v>
      </c>
      <c r="Y18">
        <f>CumulativeConfirmed!Y18-CumulativeRecovered!Y18-CumulativeDead!Y18</f>
        <v>1</v>
      </c>
      <c r="Z18">
        <f>CumulativeConfirmed!Z18-CumulativeRecovered!Z18-CumulativeDead!Z18</f>
        <v>1</v>
      </c>
      <c r="AA18">
        <f>CumulativeConfirmed!AA18-CumulativeRecovered!AA18-CumulativeDead!AA18</f>
        <v>1</v>
      </c>
      <c r="AB18">
        <f>CumulativeConfirmed!AB18-CumulativeRecovered!AB18-CumulativeDead!AB18</f>
        <v>0</v>
      </c>
      <c r="AC18">
        <f>CumulativeConfirmed!AC18-CumulativeRecovered!AC18-CumulativeDead!AC18</f>
        <v>0</v>
      </c>
      <c r="AD18">
        <f>CumulativeConfirmed!AD18-CumulativeRecovered!AD18-CumulativeDead!AD18</f>
        <v>0</v>
      </c>
      <c r="AE18">
        <f>CumulativeConfirmed!AE18-CumulativeRecovered!AE18-CumulativeDead!AE18</f>
        <v>0</v>
      </c>
      <c r="AF18">
        <f>CumulativeConfirmed!AF18-CumulativeRecovered!AF18-CumulativeDead!AF18</f>
        <v>0</v>
      </c>
      <c r="AG18">
        <f>CumulativeConfirmed!AG18-CumulativeRecovered!AG18-CumulativeDead!AG18</f>
        <v>0</v>
      </c>
      <c r="AH18">
        <f>CumulativeConfirmed!AH18-CumulativeRecovered!AH18-CumulativeDead!AH18</f>
        <v>0</v>
      </c>
      <c r="AI18">
        <f>CumulativeConfirmed!AI18-CumulativeRecovered!AI18-CumulativeDead!AI18</f>
        <v>0</v>
      </c>
      <c r="AJ18">
        <f>CumulativeConfirmed!AJ18-CumulativeRecovered!AJ18-CumulativeDead!AJ18</f>
        <v>0</v>
      </c>
      <c r="AK18">
        <f>CumulativeConfirmed!AK18-CumulativeRecovered!AK18-CumulativeDead!AK18</f>
        <v>0</v>
      </c>
      <c r="AL18">
        <f>CumulativeConfirmed!AL18-CumulativeRecovered!AL18-CumulativeDead!AL18</f>
        <v>0</v>
      </c>
      <c r="AM18">
        <f>CumulativeConfirmed!AM18-CumulativeRecovered!AM18-CumulativeDead!AM18</f>
        <v>0</v>
      </c>
      <c r="AN18">
        <f>CumulativeConfirmed!AN18-CumulativeRecovered!AN18-CumulativeDead!AN18</f>
        <v>0</v>
      </c>
      <c r="AO18">
        <f>CumulativeConfirmed!AO18-CumulativeRecovered!AO18-CumulativeDead!AO18</f>
        <v>1</v>
      </c>
      <c r="AP18">
        <f>CumulativeConfirmed!AP18-CumulativeRecovered!AP18-CumulativeDead!AP18</f>
        <v>7</v>
      </c>
      <c r="AQ18">
        <f>CumulativeConfirmed!AQ18-CumulativeRecovered!AQ18-CumulativeDead!AQ18</f>
        <v>12</v>
      </c>
      <c r="AR18">
        <f>CumulativeConfirmed!AR18-CumulativeRecovered!AR18-CumulativeDead!AR18</f>
        <v>22</v>
      </c>
      <c r="AS18">
        <f>CumulativeConfirmed!AS18-CumulativeRecovered!AS18-CumulativeDead!AS18</f>
        <v>49</v>
      </c>
      <c r="AT18">
        <f>CumulativeConfirmed!AT18-CumulativeRecovered!AT18-CumulativeDead!AT18</f>
        <v>108</v>
      </c>
      <c r="AU18">
        <f>CumulativeConfirmed!AU18-CumulativeRecovered!AU18-CumulativeDead!AU18</f>
        <v>168</v>
      </c>
      <c r="AV18">
        <f>CumulativeConfirmed!AV18-CumulativeRecovered!AV18-CumulativeDead!AV18</f>
        <v>199</v>
      </c>
      <c r="AW18">
        <f>CumulativeConfirmed!AW18-CumulativeRecovered!AW18-CumulativeDead!AW18</f>
        <v>238</v>
      </c>
      <c r="AX18">
        <f>CumulativeConfirmed!AX18-CumulativeRecovered!AX18-CumulativeDead!AX18</f>
        <v>266</v>
      </c>
      <c r="AY18">
        <f>CumulativeConfirmed!AY18-CumulativeRecovered!AY18-CumulativeDead!AY18</f>
        <v>310</v>
      </c>
      <c r="AZ18">
        <f>CumulativeConfirmed!AZ18-CumulativeRecovered!AZ18-CumulativeDead!AZ18</f>
        <v>310</v>
      </c>
      <c r="BA18">
        <f>CumulativeConfirmed!BA18-CumulativeRecovered!BA18-CumulativeDead!BA18</f>
        <v>555</v>
      </c>
      <c r="BB18">
        <f>CumulativeConfirmed!BB18-CumulativeRecovered!BB18-CumulativeDead!BB18</f>
        <v>684</v>
      </c>
      <c r="BC18">
        <f>CumulativeConfirmed!BC18-CumulativeRecovered!BC18-CumulativeDead!BC18</f>
        <v>881</v>
      </c>
      <c r="BD18">
        <f>CumulativeConfirmed!BD18-CumulativeRecovered!BD18-CumulativeDead!BD18</f>
        <v>1052</v>
      </c>
      <c r="BE18">
        <f>CumulativeConfirmed!BE18-CumulativeRecovered!BE18-CumulativeDead!BE18</f>
        <v>1232</v>
      </c>
      <c r="BF18">
        <f>CumulativeConfirmed!BF18-CumulativeRecovered!BF18-CumulativeDead!BF18</f>
        <v>1441</v>
      </c>
      <c r="BG18">
        <f>CumulativeConfirmed!BG18-CumulativeRecovered!BG18-CumulativeDead!BG18</f>
        <v>1743</v>
      </c>
      <c r="BH18">
        <f>CumulativeConfirmed!BH18-CumulativeRecovered!BH18-CumulativeDead!BH18</f>
        <v>2219</v>
      </c>
      <c r="BI18">
        <f>CumulativeConfirmed!BI18-CumulativeRecovered!BI18-CumulativeDead!BI18</f>
        <v>0</v>
      </c>
      <c r="BJ18">
        <f>CumulativeConfirmed!BJ18-CumulativeRecovered!BJ18-CumulativeDead!BJ18</f>
        <v>0</v>
      </c>
      <c r="BK18">
        <f>CumulativeConfirmed!BK18-CumulativeRecovered!BK18-CumulativeDead!BK18</f>
        <v>0</v>
      </c>
      <c r="BL18">
        <f>CumulativeConfirmed!BL18-CumulativeRecovered!BL18-CumulativeDead!BL18</f>
        <v>0</v>
      </c>
      <c r="BM18">
        <f>CumulativeConfirmed!BM18-CumulativeRecovered!BM18-CumulativeDead!BM18</f>
        <v>0</v>
      </c>
      <c r="BN18">
        <f>CumulativeConfirmed!BN18-CumulativeRecovered!BN18-CumulativeDead!BN18</f>
        <v>0</v>
      </c>
      <c r="BO18">
        <f>CumulativeConfirmed!BO18-CumulativeRecovered!BO18-CumulativeDead!BO18</f>
        <v>0</v>
      </c>
      <c r="BP18">
        <f>CumulativeConfirmed!BP18-CumulativeRecovered!BP18-CumulativeDead!BP18</f>
        <v>0</v>
      </c>
      <c r="BQ18">
        <f>CumulativeConfirmed!BQ18-CumulativeRecovered!BQ18-CumulativeDead!BQ18</f>
        <v>0</v>
      </c>
      <c r="BR18">
        <f>CumulativeConfirmed!BR18-CumulativeRecovered!BR18-CumulativeDead!BR18</f>
        <v>0</v>
      </c>
      <c r="BS18">
        <f>CumulativeConfirmed!BS18-CumulativeRecovered!BS18-CumulativeDead!BS18</f>
        <v>0</v>
      </c>
      <c r="BT18">
        <f>CumulativeConfirmed!BT18-CumulativeRecovered!BT18-CumulativeDead!BT18</f>
        <v>0</v>
      </c>
    </row>
    <row r="19" spans="1:72" ht="15" thickBot="1" x14ac:dyDescent="0.35">
      <c r="A19" s="3" t="s">
        <v>78</v>
      </c>
      <c r="B19">
        <f>CumulativeConfirmed!B19-CumulativeRecovered!B19-CumulativeDead!B19</f>
        <v>0</v>
      </c>
      <c r="C19">
        <f>CumulativeConfirmed!C19-CumulativeRecovered!C19-CumulativeDead!C19</f>
        <v>0</v>
      </c>
      <c r="D19">
        <f>CumulativeConfirmed!D19-CumulativeRecovered!D19-CumulativeDead!D19</f>
        <v>0</v>
      </c>
      <c r="E19">
        <f>CumulativeConfirmed!E19-CumulativeRecovered!E19-CumulativeDead!E19</f>
        <v>0</v>
      </c>
      <c r="F19">
        <f>CumulativeConfirmed!F19-CumulativeRecovered!F19-CumulativeDead!F19</f>
        <v>0</v>
      </c>
      <c r="G19">
        <f>CumulativeConfirmed!G19-CumulativeRecovered!G19-CumulativeDead!G19</f>
        <v>0</v>
      </c>
      <c r="H19">
        <f>CumulativeConfirmed!H19-CumulativeRecovered!H19-CumulativeDead!H19</f>
        <v>0</v>
      </c>
      <c r="I19">
        <f>CumulativeConfirmed!I19-CumulativeRecovered!I19-CumulativeDead!I19</f>
        <v>0</v>
      </c>
      <c r="J19">
        <f>CumulativeConfirmed!J19-CumulativeRecovered!J19-CumulativeDead!J19</f>
        <v>0</v>
      </c>
      <c r="K19">
        <f>CumulativeConfirmed!K19-CumulativeRecovered!K19-CumulativeDead!K19</f>
        <v>0</v>
      </c>
      <c r="L19">
        <f>CumulativeConfirmed!L19-CumulativeRecovered!L19-CumulativeDead!L19</f>
        <v>0</v>
      </c>
      <c r="M19">
        <f>CumulativeConfirmed!M19-CumulativeRecovered!M19-CumulativeDead!M19</f>
        <v>0</v>
      </c>
      <c r="N19">
        <f>CumulativeConfirmed!N19-CumulativeRecovered!N19-CumulativeDead!N19</f>
        <v>0</v>
      </c>
      <c r="O19">
        <f>CumulativeConfirmed!O19-CumulativeRecovered!O19-CumulativeDead!O19</f>
        <v>0</v>
      </c>
      <c r="P19">
        <f>CumulativeConfirmed!P19-CumulativeRecovered!P19-CumulativeDead!P19</f>
        <v>0</v>
      </c>
      <c r="Q19">
        <f>CumulativeConfirmed!Q19-CumulativeRecovered!Q19-CumulativeDead!Q19</f>
        <v>0</v>
      </c>
      <c r="R19">
        <f>CumulativeConfirmed!R19-CumulativeRecovered!R19-CumulativeDead!R19</f>
        <v>0</v>
      </c>
      <c r="S19">
        <f>CumulativeConfirmed!S19-CumulativeRecovered!S19-CumulativeDead!S19</f>
        <v>0</v>
      </c>
      <c r="T19">
        <f>CumulativeConfirmed!T19-CumulativeRecovered!T19-CumulativeDead!T19</f>
        <v>0</v>
      </c>
      <c r="U19">
        <f>CumulativeConfirmed!U19-CumulativeRecovered!U19-CumulativeDead!U19</f>
        <v>0</v>
      </c>
      <c r="V19">
        <f>CumulativeConfirmed!V19-CumulativeRecovered!V19-CumulativeDead!V19</f>
        <v>0</v>
      </c>
      <c r="W19">
        <f>CumulativeConfirmed!W19-CumulativeRecovered!W19-CumulativeDead!W19</f>
        <v>0</v>
      </c>
      <c r="X19">
        <f>CumulativeConfirmed!X19-CumulativeRecovered!X19-CumulativeDead!X19</f>
        <v>0</v>
      </c>
      <c r="Y19">
        <f>CumulativeConfirmed!Y19-CumulativeRecovered!Y19-CumulativeDead!Y19</f>
        <v>0</v>
      </c>
      <c r="Z19">
        <f>CumulativeConfirmed!Z19-CumulativeRecovered!Z19-CumulativeDead!Z19</f>
        <v>0</v>
      </c>
      <c r="AA19">
        <f>CumulativeConfirmed!AA19-CumulativeRecovered!AA19-CumulativeDead!AA19</f>
        <v>0</v>
      </c>
      <c r="AB19">
        <f>CumulativeConfirmed!AB19-CumulativeRecovered!AB19-CumulativeDead!AB19</f>
        <v>0</v>
      </c>
      <c r="AC19">
        <f>CumulativeConfirmed!AC19-CumulativeRecovered!AC19-CumulativeDead!AC19</f>
        <v>0</v>
      </c>
      <c r="AD19">
        <f>CumulativeConfirmed!AD19-CumulativeRecovered!AD19-CumulativeDead!AD19</f>
        <v>0</v>
      </c>
      <c r="AE19">
        <f>CumulativeConfirmed!AE19-CumulativeRecovered!AE19-CumulativeDead!AE19</f>
        <v>0</v>
      </c>
      <c r="AF19">
        <f>CumulativeConfirmed!AF19-CumulativeRecovered!AF19-CumulativeDead!AF19</f>
        <v>0</v>
      </c>
      <c r="AG19">
        <f>CumulativeConfirmed!AG19-CumulativeRecovered!AG19-CumulativeDead!AG19</f>
        <v>0</v>
      </c>
      <c r="AH19">
        <f>CumulativeConfirmed!AH19-CumulativeRecovered!AH19-CumulativeDead!AH19</f>
        <v>0</v>
      </c>
      <c r="AI19">
        <f>CumulativeConfirmed!AI19-CumulativeRecovered!AI19-CumulativeDead!AI19</f>
        <v>0</v>
      </c>
      <c r="AJ19">
        <f>CumulativeConfirmed!AJ19-CumulativeRecovered!AJ19-CumulativeDead!AJ19</f>
        <v>2</v>
      </c>
      <c r="AK19">
        <f>CumulativeConfirmed!AK19-CumulativeRecovered!AK19-CumulativeDead!AK19</f>
        <v>2</v>
      </c>
      <c r="AL19">
        <f>CumulativeConfirmed!AL19-CumulativeRecovered!AL19-CumulativeDead!AL19</f>
        <v>3</v>
      </c>
      <c r="AM19">
        <f>CumulativeConfirmed!AM19-CumulativeRecovered!AM19-CumulativeDead!AM19</f>
        <v>3</v>
      </c>
      <c r="AN19">
        <f>CumulativeConfirmed!AN19-CumulativeRecovered!AN19-CumulativeDead!AN19</f>
        <v>9</v>
      </c>
      <c r="AO19">
        <f>CumulativeConfirmed!AO19-CumulativeRecovered!AO19-CumulativeDead!AO19</f>
        <v>14</v>
      </c>
      <c r="AP19">
        <f>CumulativeConfirmed!AP19-CumulativeRecovered!AP19-CumulativeDead!AP19</f>
        <v>18</v>
      </c>
      <c r="AQ19">
        <f>CumulativeConfirmed!AQ19-CumulativeRecovered!AQ19-CumulativeDead!AQ19</f>
        <v>21</v>
      </c>
      <c r="AR19">
        <f>CumulativeConfirmed!AR19-CumulativeRecovered!AR19-CumulativeDead!AR19</f>
        <v>29</v>
      </c>
      <c r="AS19">
        <f>CumulativeConfirmed!AS19-CumulativeRecovered!AS19-CumulativeDead!AS19</f>
        <v>41</v>
      </c>
      <c r="AT19">
        <f>CumulativeConfirmed!AT19-CumulativeRecovered!AT19-CumulativeDead!AT19</f>
        <v>55</v>
      </c>
      <c r="AU19">
        <f>CumulativeConfirmed!AU19-CumulativeRecovered!AU19-CumulativeDead!AU19</f>
        <v>79</v>
      </c>
      <c r="AV19">
        <f>CumulativeConfirmed!AV19-CumulativeRecovered!AV19-CumulativeDead!AV19</f>
        <v>104</v>
      </c>
      <c r="AW19">
        <f>CumulativeConfirmed!AW19-CumulativeRecovered!AW19-CumulativeDead!AW19</f>
        <v>129</v>
      </c>
      <c r="AX19">
        <f>CumulativeConfirmed!AX19-CumulativeRecovered!AX19-CumulativeDead!AX19</f>
        <v>178</v>
      </c>
      <c r="AY19">
        <f>CumulativeConfirmed!AY19-CumulativeRecovered!AY19-CumulativeDead!AY19</f>
        <v>242</v>
      </c>
      <c r="AZ19">
        <f>CumulativeConfirmed!AZ19-CumulativeRecovered!AZ19-CumulativeDead!AZ19</f>
        <v>297</v>
      </c>
      <c r="BA19">
        <f>CumulativeConfirmed!BA19-CumulativeRecovered!BA19-CumulativeDead!BA19</f>
        <v>497</v>
      </c>
      <c r="BB19">
        <f>CumulativeConfirmed!BB19-CumulativeRecovered!BB19-CumulativeDead!BB19</f>
        <v>648</v>
      </c>
      <c r="BC19">
        <f>CumulativeConfirmed!BC19-CumulativeRecovered!BC19-CumulativeDead!BC19</f>
        <v>853</v>
      </c>
      <c r="BD19">
        <f>CumulativeConfirmed!BD19-CumulativeRecovered!BD19-CumulativeDead!BD19</f>
        <v>1009</v>
      </c>
      <c r="BE19">
        <f>CumulativeConfirmed!BE19-CumulativeRecovered!BE19-CumulativeDead!BE19</f>
        <v>1328</v>
      </c>
      <c r="BF19">
        <f>CumulativeConfirmed!BF19-CumulativeRecovered!BF19-CumulativeDead!BF19</f>
        <v>1633</v>
      </c>
      <c r="BG19">
        <f>CumulativeConfirmed!BG19-CumulativeRecovered!BG19-CumulativeDead!BG19</f>
        <v>1998</v>
      </c>
      <c r="BH19">
        <f>CumulativeConfirmed!BH19-CumulativeRecovered!BH19-CumulativeDead!BH19</f>
        <v>2373</v>
      </c>
      <c r="BI19">
        <f>CumulativeConfirmed!BI19-CumulativeRecovered!BI19-CumulativeDead!BI19</f>
        <v>0</v>
      </c>
      <c r="BJ19">
        <f>CumulativeConfirmed!BJ19-CumulativeRecovered!BJ19-CumulativeDead!BJ19</f>
        <v>0</v>
      </c>
      <c r="BK19">
        <f>CumulativeConfirmed!BK19-CumulativeRecovered!BK19-CumulativeDead!BK19</f>
        <v>0</v>
      </c>
      <c r="BL19">
        <f>CumulativeConfirmed!BL19-CumulativeRecovered!BL19-CumulativeDead!BL19</f>
        <v>0</v>
      </c>
      <c r="BM19">
        <f>CumulativeConfirmed!BM19-CumulativeRecovered!BM19-CumulativeDead!BM19</f>
        <v>0</v>
      </c>
      <c r="BN19">
        <f>CumulativeConfirmed!BN19-CumulativeRecovered!BN19-CumulativeDead!BN19</f>
        <v>0</v>
      </c>
      <c r="BO19">
        <f>CumulativeConfirmed!BO19-CumulativeRecovered!BO19-CumulativeDead!BO19</f>
        <v>0</v>
      </c>
      <c r="BP19">
        <f>CumulativeConfirmed!BP19-CumulativeRecovered!BP19-CumulativeDead!BP19</f>
        <v>0</v>
      </c>
      <c r="BQ19">
        <f>CumulativeConfirmed!BQ19-CumulativeRecovered!BQ19-CumulativeDead!BQ19</f>
        <v>0</v>
      </c>
      <c r="BR19">
        <f>CumulativeConfirmed!BR19-CumulativeRecovered!BR19-CumulativeDead!BR19</f>
        <v>0</v>
      </c>
      <c r="BS19">
        <f>CumulativeConfirmed!BS19-CumulativeRecovered!BS19-CumulativeDead!BS19</f>
        <v>0</v>
      </c>
      <c r="BT19">
        <f>CumulativeConfirmed!BT19-CumulativeRecovered!BT19-CumulativeDead!BT19</f>
        <v>0</v>
      </c>
    </row>
    <row r="20" spans="1:72" ht="15" thickBot="1" x14ac:dyDescent="0.35">
      <c r="A20" s="3" t="s">
        <v>101</v>
      </c>
      <c r="B20">
        <f>CumulativeConfirmed!B20-CumulativeRecovered!B20-CumulativeDead!B20</f>
        <v>0</v>
      </c>
      <c r="C20">
        <f>CumulativeConfirmed!C20-CumulativeRecovered!C20-CumulativeDead!C20</f>
        <v>0</v>
      </c>
      <c r="D20">
        <f>CumulativeConfirmed!D20-CumulativeRecovered!D20-CumulativeDead!D20</f>
        <v>0</v>
      </c>
      <c r="E20">
        <f>CumulativeConfirmed!E20-CumulativeRecovered!E20-CumulativeDead!E20</f>
        <v>0</v>
      </c>
      <c r="F20">
        <f>CumulativeConfirmed!F20-CumulativeRecovered!F20-CumulativeDead!F20</f>
        <v>0</v>
      </c>
      <c r="G20">
        <f>CumulativeConfirmed!G20-CumulativeRecovered!G20-CumulativeDead!G20</f>
        <v>0</v>
      </c>
      <c r="H20">
        <f>CumulativeConfirmed!H20-CumulativeRecovered!H20-CumulativeDead!H20</f>
        <v>0</v>
      </c>
      <c r="I20">
        <f>CumulativeConfirmed!I20-CumulativeRecovered!I20-CumulativeDead!I20</f>
        <v>0</v>
      </c>
      <c r="J20">
        <f>CumulativeConfirmed!J20-CumulativeRecovered!J20-CumulativeDead!J20</f>
        <v>0</v>
      </c>
      <c r="K20">
        <f>CumulativeConfirmed!K20-CumulativeRecovered!K20-CumulativeDead!K20</f>
        <v>0</v>
      </c>
      <c r="L20">
        <f>CumulativeConfirmed!L20-CumulativeRecovered!L20-CumulativeDead!L20</f>
        <v>0</v>
      </c>
      <c r="M20">
        <f>CumulativeConfirmed!M20-CumulativeRecovered!M20-CumulativeDead!M20</f>
        <v>0</v>
      </c>
      <c r="N20">
        <f>CumulativeConfirmed!N20-CumulativeRecovered!N20-CumulativeDead!N20</f>
        <v>0</v>
      </c>
      <c r="O20">
        <f>CumulativeConfirmed!O20-CumulativeRecovered!O20-CumulativeDead!O20</f>
        <v>0</v>
      </c>
      <c r="P20">
        <f>CumulativeConfirmed!P20-CumulativeRecovered!P20-CumulativeDead!P20</f>
        <v>0</v>
      </c>
      <c r="Q20">
        <f>CumulativeConfirmed!Q20-CumulativeRecovered!Q20-CumulativeDead!Q20</f>
        <v>0</v>
      </c>
      <c r="R20">
        <f>CumulativeConfirmed!R20-CumulativeRecovered!R20-CumulativeDead!R20</f>
        <v>0</v>
      </c>
      <c r="S20">
        <f>CumulativeConfirmed!S20-CumulativeRecovered!S20-CumulativeDead!S20</f>
        <v>0</v>
      </c>
      <c r="T20">
        <f>CumulativeConfirmed!T20-CumulativeRecovered!T20-CumulativeDead!T20</f>
        <v>0</v>
      </c>
      <c r="U20">
        <f>CumulativeConfirmed!U20-CumulativeRecovered!U20-CumulativeDead!U20</f>
        <v>0</v>
      </c>
      <c r="V20">
        <f>CumulativeConfirmed!V20-CumulativeRecovered!V20-CumulativeDead!V20</f>
        <v>0</v>
      </c>
      <c r="W20">
        <f>CumulativeConfirmed!W20-CumulativeRecovered!W20-CumulativeDead!W20</f>
        <v>0</v>
      </c>
      <c r="X20">
        <f>CumulativeConfirmed!X20-CumulativeRecovered!X20-CumulativeDead!X20</f>
        <v>0</v>
      </c>
      <c r="Y20">
        <f>CumulativeConfirmed!Y20-CumulativeRecovered!Y20-CumulativeDead!Y20</f>
        <v>0</v>
      </c>
      <c r="Z20">
        <f>CumulativeConfirmed!Z20-CumulativeRecovered!Z20-CumulativeDead!Z20</f>
        <v>0</v>
      </c>
      <c r="AA20">
        <f>CumulativeConfirmed!AA20-CumulativeRecovered!AA20-CumulativeDead!AA20</f>
        <v>0</v>
      </c>
      <c r="AB20">
        <f>CumulativeConfirmed!AB20-CumulativeRecovered!AB20-CumulativeDead!AB20</f>
        <v>0</v>
      </c>
      <c r="AC20">
        <f>CumulativeConfirmed!AC20-CumulativeRecovered!AC20-CumulativeDead!AC20</f>
        <v>0</v>
      </c>
      <c r="AD20">
        <f>CumulativeConfirmed!AD20-CumulativeRecovered!AD20-CumulativeDead!AD20</f>
        <v>0</v>
      </c>
      <c r="AE20">
        <f>CumulativeConfirmed!AE20-CumulativeRecovered!AE20-CumulativeDead!AE20</f>
        <v>0</v>
      </c>
      <c r="AF20">
        <f>CumulativeConfirmed!AF20-CumulativeRecovered!AF20-CumulativeDead!AF20</f>
        <v>0</v>
      </c>
      <c r="AG20">
        <f>CumulativeConfirmed!AG20-CumulativeRecovered!AG20-CumulativeDead!AG20</f>
        <v>0</v>
      </c>
      <c r="AH20">
        <f>CumulativeConfirmed!AH20-CumulativeRecovered!AH20-CumulativeDead!AH20</f>
        <v>0</v>
      </c>
      <c r="AI20">
        <f>CumulativeConfirmed!AI20-CumulativeRecovered!AI20-CumulativeDead!AI20</f>
        <v>0</v>
      </c>
      <c r="AJ20">
        <f>CumulativeConfirmed!AJ20-CumulativeRecovered!AJ20-CumulativeDead!AJ20</f>
        <v>0</v>
      </c>
      <c r="AK20">
        <f>CumulativeConfirmed!AK20-CumulativeRecovered!AK20-CumulativeDead!AK20</f>
        <v>0</v>
      </c>
      <c r="AL20">
        <f>CumulativeConfirmed!AL20-CumulativeRecovered!AL20-CumulativeDead!AL20</f>
        <v>0</v>
      </c>
      <c r="AM20">
        <f>CumulativeConfirmed!AM20-CumulativeRecovered!AM20-CumulativeDead!AM20</f>
        <v>0</v>
      </c>
      <c r="AN20">
        <f>CumulativeConfirmed!AN20-CumulativeRecovered!AN20-CumulativeDead!AN20</f>
        <v>1</v>
      </c>
      <c r="AO20">
        <f>CumulativeConfirmed!AO20-CumulativeRecovered!AO20-CumulativeDead!AO20</f>
        <v>3</v>
      </c>
      <c r="AP20">
        <f>CumulativeConfirmed!AP20-CumulativeRecovered!AP20-CumulativeDead!AP20</f>
        <v>3</v>
      </c>
      <c r="AQ20">
        <f>CumulativeConfirmed!AQ20-CumulativeRecovered!AQ20-CumulativeDead!AQ20</f>
        <v>7</v>
      </c>
      <c r="AR20">
        <f>CumulativeConfirmed!AR20-CumulativeRecovered!AR20-CumulativeDead!AR20</f>
        <v>8</v>
      </c>
      <c r="AS20">
        <f>CumulativeConfirmed!AS20-CumulativeRecovered!AS20-CumulativeDead!AS20</f>
        <v>8</v>
      </c>
      <c r="AT20">
        <f>CumulativeConfirmed!AT20-CumulativeRecovered!AT20-CumulativeDead!AT20</f>
        <v>8</v>
      </c>
      <c r="AU20">
        <f>CumulativeConfirmed!AU20-CumulativeRecovered!AU20-CumulativeDead!AU20</f>
        <v>8</v>
      </c>
      <c r="AV20">
        <f>CumulativeConfirmed!AV20-CumulativeRecovered!AV20-CumulativeDead!AV20</f>
        <v>15</v>
      </c>
      <c r="AW20">
        <f>CumulativeConfirmed!AW20-CumulativeRecovered!AW20-CumulativeDead!AW20</f>
        <v>18</v>
      </c>
      <c r="AX20">
        <f>CumulativeConfirmed!AX20-CumulativeRecovered!AX20-CumulativeDead!AX20</f>
        <v>24</v>
      </c>
      <c r="AY20">
        <f>CumulativeConfirmed!AY20-CumulativeRecovered!AY20-CumulativeDead!AY20</f>
        <v>262</v>
      </c>
      <c r="AZ20">
        <f>CumulativeConfirmed!AZ20-CumulativeRecovered!AZ20-CumulativeDead!AZ20</f>
        <v>262</v>
      </c>
      <c r="BA20">
        <f>CumulativeConfirmed!BA20-CumulativeRecovered!BA20-CumulativeDead!BA20</f>
        <v>320</v>
      </c>
      <c r="BB20">
        <f>CumulativeConfirmed!BB20-CumulativeRecovered!BB20-CumulativeDead!BB20</f>
        <v>333</v>
      </c>
      <c r="BC20">
        <f>CumulativeConfirmed!BC20-CumulativeRecovered!BC20-CumulativeDead!BC20</f>
        <v>397</v>
      </c>
      <c r="BD20">
        <f>CumulativeConfirmed!BD20-CumulativeRecovered!BD20-CumulativeDead!BD20</f>
        <v>435</v>
      </c>
      <c r="BE20">
        <f>CumulativeConfirmed!BE20-CumulativeRecovered!BE20-CumulativeDead!BE20</f>
        <v>435</v>
      </c>
      <c r="BF20">
        <f>CumulativeConfirmed!BF20-CumulativeRecovered!BF20-CumulativeDead!BF20</f>
        <v>448</v>
      </c>
      <c r="BG20">
        <f>CumulativeConfirmed!BG20-CumulativeRecovered!BG20-CumulativeDead!BG20</f>
        <v>456</v>
      </c>
      <c r="BH20">
        <f>CumulativeConfirmed!BH20-CumulativeRecovered!BH20-CumulativeDead!BH20</f>
        <v>460</v>
      </c>
      <c r="BI20">
        <f>CumulativeConfirmed!BI20-CumulativeRecovered!BI20-CumulativeDead!BI20</f>
        <v>0</v>
      </c>
      <c r="BJ20">
        <f>CumulativeConfirmed!BJ20-CumulativeRecovered!BJ20-CumulativeDead!BJ20</f>
        <v>0</v>
      </c>
      <c r="BK20">
        <f>CumulativeConfirmed!BK20-CumulativeRecovered!BK20-CumulativeDead!BK20</f>
        <v>0</v>
      </c>
      <c r="BL20">
        <f>CumulativeConfirmed!BL20-CumulativeRecovered!BL20-CumulativeDead!BL20</f>
        <v>0</v>
      </c>
      <c r="BM20">
        <f>CumulativeConfirmed!BM20-CumulativeRecovered!BM20-CumulativeDead!BM20</f>
        <v>0</v>
      </c>
      <c r="BN20">
        <f>CumulativeConfirmed!BN20-CumulativeRecovered!BN20-CumulativeDead!BN20</f>
        <v>0</v>
      </c>
      <c r="BO20">
        <f>CumulativeConfirmed!BO20-CumulativeRecovered!BO20-CumulativeDead!BO20</f>
        <v>0</v>
      </c>
      <c r="BP20">
        <f>CumulativeConfirmed!BP20-CumulativeRecovered!BP20-CumulativeDead!BP20</f>
        <v>0</v>
      </c>
      <c r="BQ20">
        <f>CumulativeConfirmed!BQ20-CumulativeRecovered!BQ20-CumulativeDead!BQ20</f>
        <v>0</v>
      </c>
      <c r="BR20">
        <f>CumulativeConfirmed!BR20-CumulativeRecovered!BR20-CumulativeDead!BR20</f>
        <v>0</v>
      </c>
      <c r="BS20">
        <f>CumulativeConfirmed!BS20-CumulativeRecovered!BS20-CumulativeDead!BS20</f>
        <v>0</v>
      </c>
      <c r="BT20">
        <f>CumulativeConfirmed!BT20-CumulativeRecovered!BT20-CumulativeDead!BT20</f>
        <v>0</v>
      </c>
    </row>
    <row r="21" spans="1:72" ht="15" thickBot="1" x14ac:dyDescent="0.35">
      <c r="A21" s="3" t="s">
        <v>48</v>
      </c>
      <c r="B21">
        <f>CumulativeConfirmed!B21-CumulativeRecovered!B21-CumulativeDead!B21</f>
        <v>0</v>
      </c>
      <c r="C21">
        <f>CumulativeConfirmed!C21-CumulativeRecovered!C21-CumulativeDead!C21</f>
        <v>0</v>
      </c>
      <c r="D21">
        <f>CumulativeConfirmed!D21-CumulativeRecovered!D21-CumulativeDead!D21</f>
        <v>0</v>
      </c>
      <c r="E21">
        <f>CumulativeConfirmed!E21-CumulativeRecovered!E21-CumulativeDead!E21</f>
        <v>0</v>
      </c>
      <c r="F21">
        <f>CumulativeConfirmed!F21-CumulativeRecovered!F21-CumulativeDead!F21</f>
        <v>4</v>
      </c>
      <c r="G21">
        <f>CumulativeConfirmed!G21-CumulativeRecovered!G21-CumulativeDead!G21</f>
        <v>5</v>
      </c>
      <c r="H21">
        <f>CumulativeConfirmed!H21-CumulativeRecovered!H21-CumulativeDead!H21</f>
        <v>5</v>
      </c>
      <c r="I21">
        <f>CumulativeConfirmed!I21-CumulativeRecovered!I21-CumulativeDead!I21</f>
        <v>6</v>
      </c>
      <c r="J21">
        <f>CumulativeConfirmed!J21-CumulativeRecovered!J21-CumulativeDead!J21</f>
        <v>7</v>
      </c>
      <c r="K21">
        <f>CumulativeConfirmed!K21-CumulativeRecovered!K21-CumulativeDead!K21</f>
        <v>7</v>
      </c>
      <c r="L21">
        <f>CumulativeConfirmed!L21-CumulativeRecovered!L21-CumulativeDead!L21</f>
        <v>10</v>
      </c>
      <c r="M21">
        <f>CumulativeConfirmed!M21-CumulativeRecovered!M21-CumulativeDead!M21</f>
        <v>10</v>
      </c>
      <c r="N21">
        <f>CumulativeConfirmed!N21-CumulativeRecovered!N21-CumulativeDead!N21</f>
        <v>10</v>
      </c>
      <c r="O21">
        <f>CumulativeConfirmed!O21-CumulativeRecovered!O21-CumulativeDead!O21</f>
        <v>11</v>
      </c>
      <c r="P21">
        <f>CumulativeConfirmed!P21-CumulativeRecovered!P21-CumulativeDead!P21</f>
        <v>11</v>
      </c>
      <c r="Q21">
        <f>CumulativeConfirmed!Q21-CumulativeRecovered!Q21-CumulativeDead!Q21</f>
        <v>12</v>
      </c>
      <c r="R21">
        <f>CumulativeConfirmed!R21-CumulativeRecovered!R21-CumulativeDead!R21</f>
        <v>13</v>
      </c>
      <c r="S21">
        <f>CumulativeConfirmed!S21-CumulativeRecovered!S21-CumulativeDead!S21</f>
        <v>13</v>
      </c>
      <c r="T21">
        <f>CumulativeConfirmed!T21-CumulativeRecovered!T21-CumulativeDead!T21</f>
        <v>13</v>
      </c>
      <c r="U21">
        <f>CumulativeConfirmed!U21-CumulativeRecovered!U21-CumulativeDead!U21</f>
        <v>13</v>
      </c>
      <c r="V21">
        <f>CumulativeConfirmed!V21-CumulativeRecovered!V21-CumulativeDead!V21</f>
        <v>13</v>
      </c>
      <c r="W21">
        <f>CumulativeConfirmed!W21-CumulativeRecovered!W21-CumulativeDead!W21</f>
        <v>13</v>
      </c>
      <c r="X21">
        <f>CumulativeConfirmed!X21-CumulativeRecovered!X21-CumulativeDead!X21</f>
        <v>7</v>
      </c>
      <c r="Y21">
        <f>CumulativeConfirmed!Y21-CumulativeRecovered!Y21-CumulativeDead!Y21</f>
        <v>7</v>
      </c>
      <c r="Z21">
        <f>CumulativeConfirmed!Z21-CumulativeRecovered!Z21-CumulativeDead!Z21</f>
        <v>7</v>
      </c>
      <c r="AA21">
        <f>CumulativeConfirmed!AA21-CumulativeRecovered!AA21-CumulativeDead!AA21</f>
        <v>7</v>
      </c>
      <c r="AB21">
        <f>CumulativeConfirmed!AB21-CumulativeRecovered!AB21-CumulativeDead!AB21</f>
        <v>5</v>
      </c>
      <c r="AC21">
        <f>CumulativeConfirmed!AC21-CumulativeRecovered!AC21-CumulativeDead!AC21</f>
        <v>5</v>
      </c>
      <c r="AD21">
        <f>CumulativeConfirmed!AD21-CumulativeRecovered!AD21-CumulativeDead!AD21</f>
        <v>5</v>
      </c>
      <c r="AE21">
        <f>CumulativeConfirmed!AE21-CumulativeRecovered!AE21-CumulativeDead!AE21</f>
        <v>5</v>
      </c>
      <c r="AF21">
        <f>CumulativeConfirmed!AF21-CumulativeRecovered!AF21-CumulativeDead!AF21</f>
        <v>8</v>
      </c>
      <c r="AG21">
        <f>CumulativeConfirmed!AG21-CumulativeRecovered!AG21-CumulativeDead!AG21</f>
        <v>11</v>
      </c>
      <c r="AH21">
        <f>CumulativeConfirmed!AH21-CumulativeRecovered!AH21-CumulativeDead!AH21</f>
        <v>11</v>
      </c>
      <c r="AI21">
        <f>CumulativeConfirmed!AI21-CumulativeRecovered!AI21-CumulativeDead!AI21</f>
        <v>11</v>
      </c>
      <c r="AJ21">
        <f>CumulativeConfirmed!AJ21-CumulativeRecovered!AJ21-CumulativeDead!AJ21</f>
        <v>11</v>
      </c>
      <c r="AK21">
        <f>CumulativeConfirmed!AK21-CumulativeRecovered!AK21-CumulativeDead!AK21</f>
        <v>11</v>
      </c>
      <c r="AL21">
        <f>CumulativeConfirmed!AL21-CumulativeRecovered!AL21-CumulativeDead!AL21</f>
        <v>12</v>
      </c>
      <c r="AM21">
        <f>CumulativeConfirmed!AM21-CumulativeRecovered!AM21-CumulativeDead!AM21</f>
        <v>12</v>
      </c>
      <c r="AN21">
        <f>CumulativeConfirmed!AN21-CumulativeRecovered!AN21-CumulativeDead!AN21</f>
        <v>14</v>
      </c>
      <c r="AO21">
        <f>CumulativeConfirmed!AO21-CumulativeRecovered!AO21-CumulativeDead!AO21</f>
        <v>15</v>
      </c>
      <c r="AP21">
        <f>CumulativeConfirmed!AP21-CumulativeRecovered!AP21-CumulativeDead!AP21</f>
        <v>18</v>
      </c>
      <c r="AQ21">
        <f>CumulativeConfirmed!AQ21-CumulativeRecovered!AQ21-CumulativeDead!AQ21</f>
        <v>27</v>
      </c>
      <c r="AR21">
        <f>CumulativeConfirmed!AR21-CumulativeRecovered!AR21-CumulativeDead!AR21</f>
        <v>39</v>
      </c>
      <c r="AS21">
        <f>CumulativeConfirmed!AS21-CumulativeRecovered!AS21-CumulativeDead!AS21</f>
        <v>32</v>
      </c>
      <c r="AT21">
        <f>CumulativeConfirmed!AT21-CumulativeRecovered!AT21-CumulativeDead!AT21</f>
        <v>37</v>
      </c>
      <c r="AU21">
        <f>CumulativeConfirmed!AU21-CumulativeRecovered!AU21-CumulativeDead!AU21</f>
        <v>40</v>
      </c>
      <c r="AV21">
        <f>CumulativeConfirmed!AV21-CumulativeRecovered!AV21-CumulativeDead!AV21</f>
        <v>52</v>
      </c>
      <c r="AW21">
        <f>CumulativeConfirmed!AW21-CumulativeRecovered!AW21-CumulativeDead!AW21</f>
        <v>67</v>
      </c>
      <c r="AX21">
        <f>CumulativeConfirmed!AX21-CumulativeRecovered!AX21-CumulativeDead!AX21</f>
        <v>83</v>
      </c>
      <c r="AY21">
        <f>CumulativeConfirmed!AY21-CumulativeRecovered!AY21-CumulativeDead!AY21</f>
        <v>104</v>
      </c>
      <c r="AZ21">
        <f>CumulativeConfirmed!AZ21-CumulativeRecovered!AZ21-CumulativeDead!AZ21</f>
        <v>104</v>
      </c>
      <c r="BA21">
        <f>CumulativeConfirmed!BA21-CumulativeRecovered!BA21-CumulativeDead!BA21</f>
        <v>174</v>
      </c>
      <c r="BB21">
        <f>CumulativeConfirmed!BB21-CumulativeRecovered!BB21-CumulativeDead!BB21</f>
        <v>224</v>
      </c>
      <c r="BC21">
        <f>CumulativeConfirmed!BC21-CumulativeRecovered!BC21-CumulativeDead!BC21</f>
        <v>271</v>
      </c>
      <c r="BD21">
        <f>CumulativeConfirmed!BD21-CumulativeRecovered!BD21-CumulativeDead!BD21</f>
        <v>351</v>
      </c>
      <c r="BE21">
        <f>CumulativeConfirmed!BE21-CumulativeRecovered!BE21-CumulativeDead!BE21</f>
        <v>424</v>
      </c>
      <c r="BF21">
        <f>CumulativeConfirmed!BF21-CumulativeRecovered!BF21-CumulativeDead!BF21</f>
        <v>539</v>
      </c>
      <c r="BG21">
        <f>CumulativeConfirmed!BG21-CumulativeRecovered!BG21-CumulativeDead!BG21</f>
        <v>649</v>
      </c>
      <c r="BH21">
        <f>CumulativeConfirmed!BH21-CumulativeRecovered!BH21-CumulativeDead!BH21</f>
        <v>758</v>
      </c>
      <c r="BI21">
        <f>CumulativeConfirmed!BI21-CumulativeRecovered!BI21-CumulativeDead!BI21</f>
        <v>0</v>
      </c>
      <c r="BJ21">
        <f>CumulativeConfirmed!BJ21-CumulativeRecovered!BJ21-CumulativeDead!BJ21</f>
        <v>0</v>
      </c>
      <c r="BK21">
        <f>CumulativeConfirmed!BK21-CumulativeRecovered!BK21-CumulativeDead!BK21</f>
        <v>0</v>
      </c>
      <c r="BL21">
        <f>CumulativeConfirmed!BL21-CumulativeRecovered!BL21-CumulativeDead!BL21</f>
        <v>0</v>
      </c>
      <c r="BM21">
        <f>CumulativeConfirmed!BM21-CumulativeRecovered!BM21-CumulativeDead!BM21</f>
        <v>0</v>
      </c>
      <c r="BN21">
        <f>CumulativeConfirmed!BN21-CumulativeRecovered!BN21-CumulativeDead!BN21</f>
        <v>0</v>
      </c>
      <c r="BO21">
        <f>CumulativeConfirmed!BO21-CumulativeRecovered!BO21-CumulativeDead!BO21</f>
        <v>0</v>
      </c>
      <c r="BP21">
        <f>CumulativeConfirmed!BP21-CumulativeRecovered!BP21-CumulativeDead!BP21</f>
        <v>0</v>
      </c>
      <c r="BQ21">
        <f>CumulativeConfirmed!BQ21-CumulativeRecovered!BQ21-CumulativeDead!BQ21</f>
        <v>0</v>
      </c>
      <c r="BR21">
        <f>CumulativeConfirmed!BR21-CumulativeRecovered!BR21-CumulativeDead!BR21</f>
        <v>0</v>
      </c>
      <c r="BS21">
        <f>CumulativeConfirmed!BS21-CumulativeRecovered!BS21-CumulativeDead!BS21</f>
        <v>0</v>
      </c>
      <c r="BT21">
        <f>CumulativeConfirmed!BT21-CumulativeRecovered!BT21-CumulativeDead!BT21</f>
        <v>0</v>
      </c>
    </row>
    <row r="22" spans="1:72" ht="15" thickBot="1" x14ac:dyDescent="0.35">
      <c r="A22" s="3" t="s">
        <v>40</v>
      </c>
      <c r="B22">
        <f>CumulativeConfirmed!B22-CumulativeRecovered!B22-CumulativeDead!B22</f>
        <v>0</v>
      </c>
      <c r="C22">
        <f>CumulativeConfirmed!C22-CumulativeRecovered!C22-CumulativeDead!C22</f>
        <v>1</v>
      </c>
      <c r="D22">
        <f>CumulativeConfirmed!D22-CumulativeRecovered!D22-CumulativeDead!D22</f>
        <v>3</v>
      </c>
      <c r="E22">
        <f>CumulativeConfirmed!E22-CumulativeRecovered!E22-CumulativeDead!E22</f>
        <v>3</v>
      </c>
      <c r="F22">
        <f>CumulativeConfirmed!F22-CumulativeRecovered!F22-CumulativeDead!F22</f>
        <v>4</v>
      </c>
      <c r="G22">
        <f>CumulativeConfirmed!G22-CumulativeRecovered!G22-CumulativeDead!G22</f>
        <v>5</v>
      </c>
      <c r="H22">
        <f>CumulativeConfirmed!H22-CumulativeRecovered!H22-CumulativeDead!H22</f>
        <v>7</v>
      </c>
      <c r="I22">
        <f>CumulativeConfirmed!I22-CumulativeRecovered!I22-CumulativeDead!I22</f>
        <v>7</v>
      </c>
      <c r="J22">
        <f>CumulativeConfirmed!J22-CumulativeRecovered!J22-CumulativeDead!J22</f>
        <v>10</v>
      </c>
      <c r="K22">
        <f>CumulativeConfirmed!K22-CumulativeRecovered!K22-CumulativeDead!K22</f>
        <v>13</v>
      </c>
      <c r="L22">
        <f>CumulativeConfirmed!L22-CumulativeRecovered!L22-CumulativeDead!L22</f>
        <v>16</v>
      </c>
      <c r="M22">
        <f>CumulativeConfirmed!M22-CumulativeRecovered!M22-CumulativeDead!M22</f>
        <v>18</v>
      </c>
      <c r="N22">
        <f>CumulativeConfirmed!N22-CumulativeRecovered!N22-CumulativeDead!N22</f>
        <v>18</v>
      </c>
      <c r="O22">
        <f>CumulativeConfirmed!O22-CumulativeRecovered!O22-CumulativeDead!O22</f>
        <v>24</v>
      </c>
      <c r="P22">
        <f>CumulativeConfirmed!P22-CumulativeRecovered!P22-CumulativeDead!P22</f>
        <v>28</v>
      </c>
      <c r="Q22">
        <f>CumulativeConfirmed!Q22-CumulativeRecovered!Q22-CumulativeDead!Q22</f>
        <v>28</v>
      </c>
      <c r="R22">
        <f>CumulativeConfirmed!R22-CumulativeRecovered!R22-CumulativeDead!R22</f>
        <v>30</v>
      </c>
      <c r="S22">
        <f>CumulativeConfirmed!S22-CumulativeRecovered!S22-CumulativeDead!S22</f>
        <v>31</v>
      </c>
      <c r="T22">
        <f>CumulativeConfirmed!T22-CumulativeRecovered!T22-CumulativeDead!T22</f>
        <v>38</v>
      </c>
      <c r="U22">
        <f>CumulativeConfirmed!U22-CumulativeRecovered!U22-CumulativeDead!U22</f>
        <v>43</v>
      </c>
      <c r="V22">
        <f>CumulativeConfirmed!V22-CumulativeRecovered!V22-CumulativeDead!V22</f>
        <v>38</v>
      </c>
      <c r="W22">
        <f>CumulativeConfirmed!W22-CumulativeRecovered!W22-CumulativeDead!W22</f>
        <v>35</v>
      </c>
      <c r="X22">
        <f>CumulativeConfirmed!X22-CumulativeRecovered!X22-CumulativeDead!X22</f>
        <v>43</v>
      </c>
      <c r="Y22">
        <f>CumulativeConfirmed!Y22-CumulativeRecovered!Y22-CumulativeDead!Y22</f>
        <v>50</v>
      </c>
      <c r="Z22">
        <f>CumulativeConfirmed!Z22-CumulativeRecovered!Z22-CumulativeDead!Z22</f>
        <v>54</v>
      </c>
      <c r="AA22">
        <f>CumulativeConfirmed!AA22-CumulativeRecovered!AA22-CumulativeDead!AA22</f>
        <v>57</v>
      </c>
      <c r="AB22">
        <f>CumulativeConfirmed!AB22-CumulativeRecovered!AB22-CumulativeDead!AB22</f>
        <v>53</v>
      </c>
      <c r="AC22">
        <f>CumulativeConfirmed!AC22-CumulativeRecovered!AC22-CumulativeDead!AC22</f>
        <v>52</v>
      </c>
      <c r="AD22">
        <f>CumulativeConfirmed!AD22-CumulativeRecovered!AD22-CumulativeDead!AD22</f>
        <v>50</v>
      </c>
      <c r="AE22">
        <f>CumulativeConfirmed!AE22-CumulativeRecovered!AE22-CumulativeDead!AE22</f>
        <v>50</v>
      </c>
      <c r="AF22">
        <f>CumulativeConfirmed!AF22-CumulativeRecovered!AF22-CumulativeDead!AF22</f>
        <v>48</v>
      </c>
      <c r="AG22">
        <f>CumulativeConfirmed!AG22-CumulativeRecovered!AG22-CumulativeDead!AG22</f>
        <v>48</v>
      </c>
      <c r="AH22">
        <f>CumulativeConfirmed!AH22-CumulativeRecovered!AH22-CumulativeDead!AH22</f>
        <v>38</v>
      </c>
      <c r="AI22">
        <f>CumulativeConfirmed!AI22-CumulativeRecovered!AI22-CumulativeDead!AI22</f>
        <v>38</v>
      </c>
      <c r="AJ22">
        <f>CumulativeConfirmed!AJ22-CumulativeRecovered!AJ22-CumulativeDead!AJ22</f>
        <v>38</v>
      </c>
      <c r="AK22">
        <f>CumulativeConfirmed!AK22-CumulativeRecovered!AK22-CumulativeDead!AK22</f>
        <v>31</v>
      </c>
      <c r="AL22">
        <f>CumulativeConfirmed!AL22-CumulativeRecovered!AL22-CumulativeDead!AL22</f>
        <v>31</v>
      </c>
      <c r="AM22">
        <f>CumulativeConfirmed!AM22-CumulativeRecovered!AM22-CumulativeDead!AM22</f>
        <v>31</v>
      </c>
      <c r="AN22">
        <f>CumulativeConfirmed!AN22-CumulativeRecovered!AN22-CumulativeDead!AN22</f>
        <v>30</v>
      </c>
      <c r="AO22">
        <f>CumulativeConfirmed!AO22-CumulativeRecovered!AO22-CumulativeDead!AO22</f>
        <v>34</v>
      </c>
      <c r="AP22">
        <f>CumulativeConfirmed!AP22-CumulativeRecovered!AP22-CumulativeDead!AP22</f>
        <v>30</v>
      </c>
      <c r="AQ22">
        <f>CumulativeConfirmed!AQ22-CumulativeRecovered!AQ22-CumulativeDead!AQ22</f>
        <v>32</v>
      </c>
      <c r="AR22">
        <f>CumulativeConfirmed!AR22-CumulativeRecovered!AR22-CumulativeDead!AR22</f>
        <v>32</v>
      </c>
      <c r="AS22">
        <f>CumulativeConfirmed!AS22-CumulativeRecovered!AS22-CumulativeDead!AS22</f>
        <v>39</v>
      </c>
      <c r="AT22">
        <f>CumulativeConfirmed!AT22-CumulativeRecovered!AT22-CumulativeDead!AT22</f>
        <v>52</v>
      </c>
      <c r="AU22">
        <f>CumulativeConfirmed!AU22-CumulativeRecovered!AU22-CumulativeDead!AU22</f>
        <v>60</v>
      </c>
      <c r="AV22">
        <f>CumulativeConfirmed!AV22-CumulativeRecovered!AV22-CumulativeDead!AV22</f>
        <v>72</v>
      </c>
      <c r="AW22">
        <f>CumulativeConfirmed!AW22-CumulativeRecovered!AW22-CumulativeDead!AW22</f>
        <v>72</v>
      </c>
      <c r="AX22">
        <f>CumulativeConfirmed!AX22-CumulativeRecovered!AX22-CumulativeDead!AX22</f>
        <v>82</v>
      </c>
      <c r="AY22">
        <f>CumulativeConfirmed!AY22-CumulativeRecovered!AY22-CumulativeDead!AY22</f>
        <v>82</v>
      </c>
      <c r="AZ22">
        <f>CumulativeConfirmed!AZ22-CumulativeRecovered!AZ22-CumulativeDead!AZ22</f>
        <v>82</v>
      </c>
      <c r="BA22">
        <f>CumulativeConfirmed!BA22-CumulativeRecovered!BA22-CumulativeDead!BA22</f>
        <v>103</v>
      </c>
      <c r="BB22">
        <f>CumulativeConfirmed!BB22-CumulativeRecovered!BB22-CumulativeDead!BB22</f>
        <v>107</v>
      </c>
      <c r="BC22">
        <f>CumulativeConfirmed!BC22-CumulativeRecovered!BC22-CumulativeDead!BC22</f>
        <v>121</v>
      </c>
      <c r="BD22">
        <f>CumulativeConfirmed!BD22-CumulativeRecovered!BD22-CumulativeDead!BD22</f>
        <v>134</v>
      </c>
      <c r="BE22">
        <f>CumulativeConfirmed!BE22-CumulativeRecovered!BE22-CumulativeDead!BE22</f>
        <v>152</v>
      </c>
      <c r="BF22">
        <f>CumulativeConfirmed!BF22-CumulativeRecovered!BF22-CumulativeDead!BF22</f>
        <v>199</v>
      </c>
      <c r="BG22">
        <f>CumulativeConfirmed!BG22-CumulativeRecovered!BG22-CumulativeDead!BG22</f>
        <v>231</v>
      </c>
      <c r="BH22">
        <f>CumulativeConfirmed!BH22-CumulativeRecovered!BH22-CumulativeDead!BH22</f>
        <v>261</v>
      </c>
      <c r="BI22">
        <f>CumulativeConfirmed!BI22-CumulativeRecovered!BI22-CumulativeDead!BI22</f>
        <v>0</v>
      </c>
      <c r="BJ22">
        <f>CumulativeConfirmed!BJ22-CumulativeRecovered!BJ22-CumulativeDead!BJ22</f>
        <v>0</v>
      </c>
      <c r="BK22">
        <f>CumulativeConfirmed!BK22-CumulativeRecovered!BK22-CumulativeDead!BK22</f>
        <v>0</v>
      </c>
      <c r="BL22">
        <f>CumulativeConfirmed!BL22-CumulativeRecovered!BL22-CumulativeDead!BL22</f>
        <v>0</v>
      </c>
      <c r="BM22">
        <f>CumulativeConfirmed!BM22-CumulativeRecovered!BM22-CumulativeDead!BM22</f>
        <v>0</v>
      </c>
      <c r="BN22">
        <f>CumulativeConfirmed!BN22-CumulativeRecovered!BN22-CumulativeDead!BN22</f>
        <v>0</v>
      </c>
      <c r="BO22">
        <f>CumulativeConfirmed!BO22-CumulativeRecovered!BO22-CumulativeDead!BO22</f>
        <v>0</v>
      </c>
      <c r="BP22">
        <f>CumulativeConfirmed!BP22-CumulativeRecovered!BP22-CumulativeDead!BP22</f>
        <v>0</v>
      </c>
      <c r="BQ22">
        <f>CumulativeConfirmed!BQ22-CumulativeRecovered!BQ22-CumulativeDead!BQ22</f>
        <v>0</v>
      </c>
      <c r="BR22">
        <f>CumulativeConfirmed!BR22-CumulativeRecovered!BR22-CumulativeDead!BR22</f>
        <v>0</v>
      </c>
      <c r="BS22">
        <f>CumulativeConfirmed!BS22-CumulativeRecovered!BS22-CumulativeDead!BS22</f>
        <v>0</v>
      </c>
      <c r="BT22">
        <f>CumulativeConfirmed!BT22-CumulativeRecovered!BT22-CumulativeDead!BT22</f>
        <v>0</v>
      </c>
    </row>
    <row r="23" spans="1:72" ht="15" thickBot="1" x14ac:dyDescent="0.35">
      <c r="A23" s="3" t="s">
        <v>43</v>
      </c>
      <c r="B23">
        <f>CumulativeConfirmed!B23-CumulativeRecovered!B23-CumulativeDead!B23</f>
        <v>0</v>
      </c>
      <c r="C23">
        <f>CumulativeConfirmed!C23-CumulativeRecovered!C23-CumulativeDead!C23</f>
        <v>0</v>
      </c>
      <c r="D23">
        <f>CumulativeConfirmed!D23-CumulativeRecovered!D23-CumulativeDead!D23</f>
        <v>0</v>
      </c>
      <c r="E23">
        <f>CumulativeConfirmed!E23-CumulativeRecovered!E23-CumulativeDead!E23</f>
        <v>3</v>
      </c>
      <c r="F23">
        <f>CumulativeConfirmed!F23-CumulativeRecovered!F23-CumulativeDead!F23</f>
        <v>4</v>
      </c>
      <c r="G23">
        <f>CumulativeConfirmed!G23-CumulativeRecovered!G23-CumulativeDead!G23</f>
        <v>4</v>
      </c>
      <c r="H23">
        <f>CumulativeConfirmed!H23-CumulativeRecovered!H23-CumulativeDead!H23</f>
        <v>4</v>
      </c>
      <c r="I23">
        <f>CumulativeConfirmed!I23-CumulativeRecovered!I23-CumulativeDead!I23</f>
        <v>7</v>
      </c>
      <c r="J23">
        <f>CumulativeConfirmed!J23-CumulativeRecovered!J23-CumulativeDead!J23</f>
        <v>8</v>
      </c>
      <c r="K23">
        <f>CumulativeConfirmed!K23-CumulativeRecovered!K23-CumulativeDead!K23</f>
        <v>8</v>
      </c>
      <c r="L23">
        <f>CumulativeConfirmed!L23-CumulativeRecovered!L23-CumulativeDead!L23</f>
        <v>8</v>
      </c>
      <c r="M23">
        <f>CumulativeConfirmed!M23-CumulativeRecovered!M23-CumulativeDead!M23</f>
        <v>8</v>
      </c>
      <c r="N23">
        <f>CumulativeConfirmed!N23-CumulativeRecovered!N23-CumulativeDead!N23</f>
        <v>8</v>
      </c>
      <c r="O23">
        <f>CumulativeConfirmed!O23-CumulativeRecovered!O23-CumulativeDead!O23</f>
        <v>10</v>
      </c>
      <c r="P23">
        <f>CumulativeConfirmed!P23-CumulativeRecovered!P23-CumulativeDead!P23</f>
        <v>12</v>
      </c>
      <c r="Q23">
        <f>CumulativeConfirmed!Q23-CumulativeRecovered!Q23-CumulativeDead!Q23</f>
        <v>12</v>
      </c>
      <c r="R23">
        <f>CumulativeConfirmed!R23-CumulativeRecovered!R23-CumulativeDead!R23</f>
        <v>11</v>
      </c>
      <c r="S23">
        <f>CumulativeConfirmed!S23-CumulativeRecovered!S23-CumulativeDead!S23</f>
        <v>15</v>
      </c>
      <c r="T23">
        <f>CumulativeConfirmed!T23-CumulativeRecovered!T23-CumulativeDead!T23</f>
        <v>15</v>
      </c>
      <c r="U23">
        <f>CumulativeConfirmed!U23-CumulativeRecovered!U23-CumulativeDead!U23</f>
        <v>17</v>
      </c>
      <c r="V23">
        <f>CumulativeConfirmed!V23-CumulativeRecovered!V23-CumulativeDead!V23</f>
        <v>15</v>
      </c>
      <c r="W23">
        <f>CumulativeConfirmed!W23-CumulativeRecovered!W23-CumulativeDead!W23</f>
        <v>15</v>
      </c>
      <c r="X23">
        <f>CumulativeConfirmed!X23-CumulativeRecovered!X23-CumulativeDead!X23</f>
        <v>16</v>
      </c>
      <c r="Y23">
        <f>CumulativeConfirmed!Y23-CumulativeRecovered!Y23-CumulativeDead!Y23</f>
        <v>16</v>
      </c>
      <c r="Z23">
        <f>CumulativeConfirmed!Z23-CumulativeRecovered!Z23-CumulativeDead!Z23</f>
        <v>15</v>
      </c>
      <c r="AA23">
        <f>CumulativeConfirmed!AA23-CumulativeRecovered!AA23-CumulativeDead!AA23</f>
        <v>15</v>
      </c>
      <c r="AB23">
        <f>CumulativeConfirmed!AB23-CumulativeRecovered!AB23-CumulativeDead!AB23</f>
        <v>15</v>
      </c>
      <c r="AC23">
        <f>CumulativeConfirmed!AC23-CumulativeRecovered!AC23-CumulativeDead!AC23</f>
        <v>9</v>
      </c>
      <c r="AD23">
        <f>CumulativeConfirmed!AD23-CumulativeRecovered!AD23-CumulativeDead!AD23</f>
        <v>7</v>
      </c>
      <c r="AE23">
        <f>CumulativeConfirmed!AE23-CumulativeRecovered!AE23-CumulativeDead!AE23</f>
        <v>7</v>
      </c>
      <c r="AF23">
        <f>CumulativeConfirmed!AF23-CumulativeRecovered!AF23-CumulativeDead!AF23</f>
        <v>7</v>
      </c>
      <c r="AG23">
        <f>CumulativeConfirmed!AG23-CumulativeRecovered!AG23-CumulativeDead!AG23</f>
        <v>7</v>
      </c>
      <c r="AH23">
        <f>CumulativeConfirmed!AH23-CumulativeRecovered!AH23-CumulativeDead!AH23</f>
        <v>7</v>
      </c>
      <c r="AI23">
        <f>CumulativeConfirmed!AI23-CumulativeRecovered!AI23-CumulativeDead!AI23</f>
        <v>4</v>
      </c>
      <c r="AJ23">
        <f>CumulativeConfirmed!AJ23-CumulativeRecovered!AJ23-CumulativeDead!AJ23</f>
        <v>4</v>
      </c>
      <c r="AK23">
        <f>CumulativeConfirmed!AK23-CumulativeRecovered!AK23-CumulativeDead!AK23</f>
        <v>4</v>
      </c>
      <c r="AL23">
        <f>CumulativeConfirmed!AL23-CumulativeRecovered!AL23-CumulativeDead!AL23</f>
        <v>5</v>
      </c>
      <c r="AM23">
        <f>CumulativeConfirmed!AM23-CumulativeRecovered!AM23-CumulativeDead!AM23</f>
        <v>5</v>
      </c>
      <c r="AN23">
        <f>CumulativeConfirmed!AN23-CumulativeRecovered!AN23-CumulativeDead!AN23</f>
        <v>7</v>
      </c>
      <c r="AO23">
        <f>CumulativeConfirmed!AO23-CumulativeRecovered!AO23-CumulativeDead!AO23</f>
        <v>11</v>
      </c>
      <c r="AP23">
        <f>CumulativeConfirmed!AP23-CumulativeRecovered!AP23-CumulativeDead!AP23</f>
        <v>11</v>
      </c>
      <c r="AQ23">
        <f>CumulativeConfirmed!AQ23-CumulativeRecovered!AQ23-CumulativeDead!AQ23</f>
        <v>14</v>
      </c>
      <c r="AR23">
        <f>CumulativeConfirmed!AR23-CumulativeRecovered!AR23-CumulativeDead!AR23</f>
        <v>28</v>
      </c>
      <c r="AS23">
        <f>CumulativeConfirmed!AS23-CumulativeRecovered!AS23-CumulativeDead!AS23</f>
        <v>28</v>
      </c>
      <c r="AT23">
        <f>CumulativeConfirmed!AT23-CumulativeRecovered!AT23-CumulativeDead!AT23</f>
        <v>61</v>
      </c>
      <c r="AU23">
        <f>CumulativeConfirmed!AU23-CumulativeRecovered!AU23-CumulativeDead!AU23</f>
        <v>70</v>
      </c>
      <c r="AV23">
        <f>CumulativeConfirmed!AV23-CumulativeRecovered!AV23-CumulativeDead!AV23</f>
        <v>75</v>
      </c>
      <c r="AW23">
        <f>CumulativeConfirmed!AW23-CumulativeRecovered!AW23-CumulativeDead!AW23</f>
        <v>93</v>
      </c>
      <c r="AX23">
        <f>CumulativeConfirmed!AX23-CumulativeRecovered!AX23-CumulativeDead!AX23</f>
        <v>105</v>
      </c>
      <c r="AY23">
        <f>CumulativeConfirmed!AY23-CumulativeRecovered!AY23-CumulativeDead!AY23</f>
        <v>123</v>
      </c>
      <c r="AZ23">
        <f>CumulativeConfirmed!AZ23-CumulativeRecovered!AZ23-CumulativeDead!AZ23</f>
        <v>123</v>
      </c>
      <c r="BA23">
        <f>CumulativeConfirmed!BA23-CumulativeRecovered!BA23-CumulativeDead!BA23</f>
        <v>171</v>
      </c>
      <c r="BB23">
        <f>CumulativeConfirmed!BB23-CumulativeRecovered!BB23-CumulativeDead!BB23</f>
        <v>203</v>
      </c>
      <c r="BC23">
        <f>CumulativeConfirmed!BC23-CumulativeRecovered!BC23-CumulativeDead!BC23</f>
        <v>386</v>
      </c>
      <c r="BD23">
        <f>CumulativeConfirmed!BD23-CumulativeRecovered!BD23-CumulativeDead!BD23</f>
        <v>524</v>
      </c>
      <c r="BE23">
        <f>CumulativeConfirmed!BE23-CumulativeRecovered!BE23-CumulativeDead!BE23</f>
        <v>622</v>
      </c>
      <c r="BF23">
        <f>CumulativeConfirmed!BF23-CumulativeRecovered!BF23-CumulativeDead!BF23</f>
        <v>728</v>
      </c>
      <c r="BG23">
        <f>CumulativeConfirmed!BG23-CumulativeRecovered!BG23-CumulativeDead!BG23</f>
        <v>823</v>
      </c>
      <c r="BH23">
        <f>CumulativeConfirmed!BH23-CumulativeRecovered!BH23-CumulativeDead!BH23</f>
        <v>940</v>
      </c>
      <c r="BI23">
        <f>CumulativeConfirmed!BI23-CumulativeRecovered!BI23-CumulativeDead!BI23</f>
        <v>0</v>
      </c>
      <c r="BJ23">
        <f>CumulativeConfirmed!BJ23-CumulativeRecovered!BJ23-CumulativeDead!BJ23</f>
        <v>0</v>
      </c>
      <c r="BK23">
        <f>CumulativeConfirmed!BK23-CumulativeRecovered!BK23-CumulativeDead!BK23</f>
        <v>0</v>
      </c>
      <c r="BL23">
        <f>CumulativeConfirmed!BL23-CumulativeRecovered!BL23-CumulativeDead!BL23</f>
        <v>0</v>
      </c>
      <c r="BM23">
        <f>CumulativeConfirmed!BM23-CumulativeRecovered!BM23-CumulativeDead!BM23</f>
        <v>0</v>
      </c>
      <c r="BN23">
        <f>CumulativeConfirmed!BN23-CumulativeRecovered!BN23-CumulativeDead!BN23</f>
        <v>0</v>
      </c>
      <c r="BO23">
        <f>CumulativeConfirmed!BO23-CumulativeRecovered!BO23-CumulativeDead!BO23</f>
        <v>0</v>
      </c>
      <c r="BP23">
        <f>CumulativeConfirmed!BP23-CumulativeRecovered!BP23-CumulativeDead!BP23</f>
        <v>0</v>
      </c>
      <c r="BQ23">
        <f>CumulativeConfirmed!BQ23-CumulativeRecovered!BQ23-CumulativeDead!BQ23</f>
        <v>0</v>
      </c>
      <c r="BR23">
        <f>CumulativeConfirmed!BR23-CumulativeRecovered!BR23-CumulativeDead!BR23</f>
        <v>0</v>
      </c>
      <c r="BS23">
        <f>CumulativeConfirmed!BS23-CumulativeRecovered!BS23-CumulativeDead!BS23</f>
        <v>0</v>
      </c>
      <c r="BT23">
        <f>CumulativeConfirmed!BT23-CumulativeRecovered!BT23-CumulativeDead!BT23</f>
        <v>0</v>
      </c>
    </row>
    <row r="24" spans="1:72" ht="15" thickBot="1" x14ac:dyDescent="0.35">
      <c r="A24" s="4" t="s">
        <v>45</v>
      </c>
      <c r="B24">
        <f>CumulativeConfirmed!B24-CumulativeRecovered!B24-CumulativeDead!B24</f>
        <v>0</v>
      </c>
      <c r="C24">
        <f>CumulativeConfirmed!C24-CumulativeRecovered!C24-CumulativeDead!C24</f>
        <v>0</v>
      </c>
      <c r="D24">
        <f>CumulativeConfirmed!D24-CumulativeRecovered!D24-CumulativeDead!D24</f>
        <v>0</v>
      </c>
      <c r="E24">
        <f>CumulativeConfirmed!E24-CumulativeRecovered!E24-CumulativeDead!E24</f>
        <v>0</v>
      </c>
      <c r="F24">
        <f>CumulativeConfirmed!F24-CumulativeRecovered!F24-CumulativeDead!F24</f>
        <v>1</v>
      </c>
      <c r="G24">
        <f>CumulativeConfirmed!G24-CumulativeRecovered!G24-CumulativeDead!G24</f>
        <v>1</v>
      </c>
      <c r="H24">
        <f>CumulativeConfirmed!H24-CumulativeRecovered!H24-CumulativeDead!H24</f>
        <v>2</v>
      </c>
      <c r="I24">
        <f>CumulativeConfirmed!I24-CumulativeRecovered!I24-CumulativeDead!I24</f>
        <v>2</v>
      </c>
      <c r="J24">
        <f>CumulativeConfirmed!J24-CumulativeRecovered!J24-CumulativeDead!J24</f>
        <v>2</v>
      </c>
      <c r="K24">
        <f>CumulativeConfirmed!K24-CumulativeRecovered!K24-CumulativeDead!K24</f>
        <v>4</v>
      </c>
      <c r="L24">
        <f>CumulativeConfirmed!L24-CumulativeRecovered!L24-CumulativeDead!L24</f>
        <v>4</v>
      </c>
      <c r="M24">
        <f>CumulativeConfirmed!M24-CumulativeRecovered!M24-CumulativeDead!M24</f>
        <v>4</v>
      </c>
      <c r="N24">
        <f>CumulativeConfirmed!N24-CumulativeRecovered!N24-CumulativeDead!N24</f>
        <v>4</v>
      </c>
      <c r="O24">
        <f>CumulativeConfirmed!O24-CumulativeRecovered!O24-CumulativeDead!O24</f>
        <v>4</v>
      </c>
      <c r="P24">
        <f>CumulativeConfirmed!P24-CumulativeRecovered!P24-CumulativeDead!P24</f>
        <v>5</v>
      </c>
      <c r="Q24">
        <f>CumulativeConfirmed!Q24-CumulativeRecovered!Q24-CumulativeDead!Q24</f>
        <v>5</v>
      </c>
      <c r="R24">
        <f>CumulativeConfirmed!R24-CumulativeRecovered!R24-CumulativeDead!R24</f>
        <v>7</v>
      </c>
      <c r="S24">
        <f>CumulativeConfirmed!S24-CumulativeRecovered!S24-CumulativeDead!S24</f>
        <v>7</v>
      </c>
      <c r="T24">
        <f>CumulativeConfirmed!T24-CumulativeRecovered!T24-CumulativeDead!T24</f>
        <v>7</v>
      </c>
      <c r="U24">
        <f>CumulativeConfirmed!U24-CumulativeRecovered!U24-CumulativeDead!U24</f>
        <v>7</v>
      </c>
      <c r="V24">
        <f>CumulativeConfirmed!V24-CumulativeRecovered!V24-CumulativeDead!V24</f>
        <v>7</v>
      </c>
      <c r="W24">
        <f>CumulativeConfirmed!W24-CumulativeRecovered!W24-CumulativeDead!W24</f>
        <v>6</v>
      </c>
      <c r="X24">
        <f>CumulativeConfirmed!X24-CumulativeRecovered!X24-CumulativeDead!X24</f>
        <v>6</v>
      </c>
      <c r="Y24">
        <f>CumulativeConfirmed!Y24-CumulativeRecovered!Y24-CumulativeDead!Y24</f>
        <v>6</v>
      </c>
      <c r="Z24">
        <f>CumulativeConfirmed!Z24-CumulativeRecovered!Z24-CumulativeDead!Z24</f>
        <v>6</v>
      </c>
      <c r="AA24">
        <f>CumulativeConfirmed!AA24-CumulativeRecovered!AA24-CumulativeDead!AA24</f>
        <v>6</v>
      </c>
      <c r="AB24">
        <f>CumulativeConfirmed!AB24-CumulativeRecovered!AB24-CumulativeDead!AB24</f>
        <v>7</v>
      </c>
      <c r="AC24">
        <f>CumulativeConfirmed!AC24-CumulativeRecovered!AC24-CumulativeDead!AC24</f>
        <v>7</v>
      </c>
      <c r="AD24">
        <f>CumulativeConfirmed!AD24-CumulativeRecovered!AD24-CumulativeDead!AD24</f>
        <v>7</v>
      </c>
      <c r="AE24">
        <f>CumulativeConfirmed!AE24-CumulativeRecovered!AE24-CumulativeDead!AE24</f>
        <v>7</v>
      </c>
      <c r="AF24">
        <f>CumulativeConfirmed!AF24-CumulativeRecovered!AF24-CumulativeDead!AF24</f>
        <v>6</v>
      </c>
      <c r="AG24">
        <f>CumulativeConfirmed!AG24-CumulativeRecovered!AG24-CumulativeDead!AG24</f>
        <v>6</v>
      </c>
      <c r="AH24">
        <f>CumulativeConfirmed!AH24-CumulativeRecovered!AH24-CumulativeDead!AH24</f>
        <v>6</v>
      </c>
      <c r="AI24">
        <f>CumulativeConfirmed!AI24-CumulativeRecovered!AI24-CumulativeDead!AI24</f>
        <v>7</v>
      </c>
      <c r="AJ24">
        <f>CumulativeConfirmed!AJ24-CumulativeRecovered!AJ24-CumulativeDead!AJ24</f>
        <v>8</v>
      </c>
      <c r="AK24">
        <f>CumulativeConfirmed!AK24-CumulativeRecovered!AK24-CumulativeDead!AK24</f>
        <v>8</v>
      </c>
      <c r="AL24">
        <f>CumulativeConfirmed!AL24-CumulativeRecovered!AL24-CumulativeDead!AL24</f>
        <v>7</v>
      </c>
      <c r="AM24">
        <f>CumulativeConfirmed!AM24-CumulativeRecovered!AM24-CumulativeDead!AM24</f>
        <v>8</v>
      </c>
      <c r="AN24">
        <f>CumulativeConfirmed!AN24-CumulativeRecovered!AN24-CumulativeDead!AN24</f>
        <v>14</v>
      </c>
      <c r="AO24">
        <f>CumulativeConfirmed!AO24-CumulativeRecovered!AO24-CumulativeDead!AO24</f>
        <v>18</v>
      </c>
      <c r="AP24">
        <f>CumulativeConfirmed!AP24-CumulativeRecovered!AP24-CumulativeDead!AP24</f>
        <v>21</v>
      </c>
      <c r="AQ24">
        <f>CumulativeConfirmed!AQ24-CumulativeRecovered!AQ24-CumulativeDead!AQ24</f>
        <v>24</v>
      </c>
      <c r="AR24">
        <f>CumulativeConfirmed!AR24-CumulativeRecovered!AR24-CumulativeDead!AR24</f>
        <v>27</v>
      </c>
      <c r="AS24">
        <f>CumulativeConfirmed!AS24-CumulativeRecovered!AS24-CumulativeDead!AS24</f>
        <v>31</v>
      </c>
      <c r="AT24">
        <f>CumulativeConfirmed!AT24-CumulativeRecovered!AT24-CumulativeDead!AT24</f>
        <v>43</v>
      </c>
      <c r="AU24">
        <f>CumulativeConfirmed!AU24-CumulativeRecovered!AU24-CumulativeDead!AU24</f>
        <v>46</v>
      </c>
      <c r="AV24">
        <f>CumulativeConfirmed!AV24-CumulativeRecovered!AV24-CumulativeDead!AV24</f>
        <v>56</v>
      </c>
      <c r="AW24">
        <f>CumulativeConfirmed!AW24-CumulativeRecovered!AW24-CumulativeDead!AW24</f>
        <v>68</v>
      </c>
      <c r="AX24">
        <f>CumulativeConfirmed!AX24-CumulativeRecovered!AX24-CumulativeDead!AX24</f>
        <v>70</v>
      </c>
      <c r="AY24">
        <f>CumulativeConfirmed!AY24-CumulativeRecovered!AY24-CumulativeDead!AY24</f>
        <v>99</v>
      </c>
      <c r="AZ24">
        <f>CumulativeConfirmed!AZ24-CumulativeRecovered!AZ24-CumulativeDead!AZ24</f>
        <v>108</v>
      </c>
      <c r="BA24">
        <f>CumulativeConfirmed!BA24-CumulativeRecovered!BA24-CumulativeDead!BA24</f>
        <v>184</v>
      </c>
      <c r="BB24">
        <f>CumulativeConfirmed!BB24-CumulativeRecovered!BB24-CumulativeDead!BB24</f>
        <v>189</v>
      </c>
      <c r="BC24">
        <f>CumulativeConfirmed!BC24-CumulativeRecovered!BC24-CumulativeDead!BC24</f>
        <v>243</v>
      </c>
      <c r="BD24">
        <f>CumulativeConfirmed!BD24-CumulativeRecovered!BD24-CumulativeDead!BD24</f>
        <v>402</v>
      </c>
      <c r="BE24">
        <f>CumulativeConfirmed!BE24-CumulativeRecovered!BE24-CumulativeDead!BE24</f>
        <v>464</v>
      </c>
      <c r="BF24">
        <f>CumulativeConfirmed!BF24-CumulativeRecovered!BF24-CumulativeDead!BF24</f>
        <v>640</v>
      </c>
      <c r="BG24">
        <f>CumulativeConfirmed!BG24-CumulativeRecovered!BG24-CumulativeDead!BG24</f>
        <v>782</v>
      </c>
      <c r="BH24">
        <f>CumulativeConfirmed!BH24-CumulativeRecovered!BH24-CumulativeDead!BH24</f>
        <v>922</v>
      </c>
      <c r="BI24">
        <f>CumulativeConfirmed!BI24-CumulativeRecovered!BI24-CumulativeDead!BI24</f>
        <v>0</v>
      </c>
      <c r="BJ24">
        <f>CumulativeConfirmed!BJ24-CumulativeRecovered!BJ24-CumulativeDead!BJ24</f>
        <v>0</v>
      </c>
      <c r="BK24">
        <f>CumulativeConfirmed!BK24-CumulativeRecovered!BK24-CumulativeDead!BK24</f>
        <v>0</v>
      </c>
      <c r="BL24">
        <f>CumulativeConfirmed!BL24-CumulativeRecovered!BL24-CumulativeDead!BL24</f>
        <v>0</v>
      </c>
      <c r="BM24">
        <f>CumulativeConfirmed!BM24-CumulativeRecovered!BM24-CumulativeDead!BM24</f>
        <v>0</v>
      </c>
      <c r="BN24">
        <f>CumulativeConfirmed!BN24-CumulativeRecovered!BN24-CumulativeDead!BN24</f>
        <v>0</v>
      </c>
      <c r="BO24">
        <f>CumulativeConfirmed!BO24-CumulativeRecovered!BO24-CumulativeDead!BO24</f>
        <v>0</v>
      </c>
      <c r="BP24">
        <f>CumulativeConfirmed!BP24-CumulativeRecovered!BP24-CumulativeDead!BP24</f>
        <v>0</v>
      </c>
      <c r="BQ24">
        <f>CumulativeConfirmed!BQ24-CumulativeRecovered!BQ24-CumulativeDead!BQ24</f>
        <v>0</v>
      </c>
      <c r="BR24">
        <f>CumulativeConfirmed!BR24-CumulativeRecovered!BR24-CumulativeDead!BR24</f>
        <v>0</v>
      </c>
      <c r="BS24">
        <f>CumulativeConfirmed!BS24-CumulativeRecovered!BS24-CumulativeDead!BS24</f>
        <v>0</v>
      </c>
      <c r="BT24">
        <f>CumulativeConfirmed!BT24-CumulativeRecovered!BT24-CumulativeDead!BT24</f>
        <v>0</v>
      </c>
    </row>
    <row r="25" spans="1:72" ht="15" thickBot="1" x14ac:dyDescent="0.35">
      <c r="A25" s="4" t="s">
        <v>83</v>
      </c>
      <c r="B25">
        <f>CumulativeConfirmed!B25-CumulativeRecovered!B25-CumulativeDead!B25</f>
        <v>0</v>
      </c>
      <c r="C25">
        <f>CumulativeConfirmed!C25-CumulativeRecovered!C25-CumulativeDead!C25</f>
        <v>0</v>
      </c>
      <c r="D25">
        <f>CumulativeConfirmed!D25-CumulativeRecovered!D25-CumulativeDead!D25</f>
        <v>0</v>
      </c>
      <c r="E25">
        <f>CumulativeConfirmed!E25-CumulativeRecovered!E25-CumulativeDead!E25</f>
        <v>0</v>
      </c>
      <c r="F25">
        <f>CumulativeConfirmed!F25-CumulativeRecovered!F25-CumulativeDead!F25</f>
        <v>0</v>
      </c>
      <c r="G25">
        <f>CumulativeConfirmed!G25-CumulativeRecovered!G25-CumulativeDead!G25</f>
        <v>0</v>
      </c>
      <c r="H25">
        <f>CumulativeConfirmed!H25-CumulativeRecovered!H25-CumulativeDead!H25</f>
        <v>0</v>
      </c>
      <c r="I25">
        <f>CumulativeConfirmed!I25-CumulativeRecovered!I25-CumulativeDead!I25</f>
        <v>0</v>
      </c>
      <c r="J25">
        <f>CumulativeConfirmed!J25-CumulativeRecovered!J25-CumulativeDead!J25</f>
        <v>0</v>
      </c>
      <c r="K25">
        <f>CumulativeConfirmed!K25-CumulativeRecovered!K25-CumulativeDead!K25</f>
        <v>0</v>
      </c>
      <c r="L25">
        <f>CumulativeConfirmed!L25-CumulativeRecovered!L25-CumulativeDead!L25</f>
        <v>0</v>
      </c>
      <c r="M25">
        <f>CumulativeConfirmed!M25-CumulativeRecovered!M25-CumulativeDead!M25</f>
        <v>0</v>
      </c>
      <c r="N25">
        <f>CumulativeConfirmed!N25-CumulativeRecovered!N25-CumulativeDead!N25</f>
        <v>0</v>
      </c>
      <c r="O25">
        <f>CumulativeConfirmed!O25-CumulativeRecovered!O25-CumulativeDead!O25</f>
        <v>0</v>
      </c>
      <c r="P25">
        <f>CumulativeConfirmed!P25-CumulativeRecovered!P25-CumulativeDead!P25</f>
        <v>0</v>
      </c>
      <c r="Q25">
        <f>CumulativeConfirmed!Q25-CumulativeRecovered!Q25-CumulativeDead!Q25</f>
        <v>0</v>
      </c>
      <c r="R25">
        <f>CumulativeConfirmed!R25-CumulativeRecovered!R25-CumulativeDead!R25</f>
        <v>0</v>
      </c>
      <c r="S25">
        <f>CumulativeConfirmed!S25-CumulativeRecovered!S25-CumulativeDead!S25</f>
        <v>0</v>
      </c>
      <c r="T25">
        <f>CumulativeConfirmed!T25-CumulativeRecovered!T25-CumulativeDead!T25</f>
        <v>0</v>
      </c>
      <c r="U25">
        <f>CumulativeConfirmed!U25-CumulativeRecovered!U25-CumulativeDead!U25</f>
        <v>0</v>
      </c>
      <c r="V25">
        <f>CumulativeConfirmed!V25-CumulativeRecovered!V25-CumulativeDead!V25</f>
        <v>0</v>
      </c>
      <c r="W25">
        <f>CumulativeConfirmed!W25-CumulativeRecovered!W25-CumulativeDead!W25</f>
        <v>0</v>
      </c>
      <c r="X25">
        <f>CumulativeConfirmed!X25-CumulativeRecovered!X25-CumulativeDead!X25</f>
        <v>0</v>
      </c>
      <c r="Y25">
        <f>CumulativeConfirmed!Y25-CumulativeRecovered!Y25-CumulativeDead!Y25</f>
        <v>0</v>
      </c>
      <c r="Z25">
        <f>CumulativeConfirmed!Z25-CumulativeRecovered!Z25-CumulativeDead!Z25</f>
        <v>0</v>
      </c>
      <c r="AA25">
        <f>CumulativeConfirmed!AA25-CumulativeRecovered!AA25-CumulativeDead!AA25</f>
        <v>0</v>
      </c>
      <c r="AB25">
        <f>CumulativeConfirmed!AB25-CumulativeRecovered!AB25-CumulativeDead!AB25</f>
        <v>0</v>
      </c>
      <c r="AC25">
        <f>CumulativeConfirmed!AC25-CumulativeRecovered!AC25-CumulativeDead!AC25</f>
        <v>0</v>
      </c>
      <c r="AD25">
        <f>CumulativeConfirmed!AD25-CumulativeRecovered!AD25-CumulativeDead!AD25</f>
        <v>0</v>
      </c>
      <c r="AE25">
        <f>CumulativeConfirmed!AE25-CumulativeRecovered!AE25-CumulativeDead!AE25</f>
        <v>0</v>
      </c>
      <c r="AF25">
        <f>CumulativeConfirmed!AF25-CumulativeRecovered!AF25-CumulativeDead!AF25</f>
        <v>0</v>
      </c>
      <c r="AG25">
        <f>CumulativeConfirmed!AG25-CumulativeRecovered!AG25-CumulativeDead!AG25</f>
        <v>0</v>
      </c>
      <c r="AH25">
        <f>CumulativeConfirmed!AH25-CumulativeRecovered!AH25-CumulativeDead!AH25</f>
        <v>0</v>
      </c>
      <c r="AI25">
        <f>CumulativeConfirmed!AI25-CumulativeRecovered!AI25-CumulativeDead!AI25</f>
        <v>0</v>
      </c>
      <c r="AJ25">
        <f>CumulativeConfirmed!AJ25-CumulativeRecovered!AJ25-CumulativeDead!AJ25</f>
        <v>0</v>
      </c>
      <c r="AK25">
        <f>CumulativeConfirmed!AK25-CumulativeRecovered!AK25-CumulativeDead!AK25</f>
        <v>1</v>
      </c>
      <c r="AL25">
        <f>CumulativeConfirmed!AL25-CumulativeRecovered!AL25-CumulativeDead!AL25</f>
        <v>3</v>
      </c>
      <c r="AM25">
        <f>CumulativeConfirmed!AM25-CumulativeRecovered!AM25-CumulativeDead!AM25</f>
        <v>4</v>
      </c>
      <c r="AN25">
        <f>CumulativeConfirmed!AN25-CumulativeRecovered!AN25-CumulativeDead!AN25</f>
        <v>4</v>
      </c>
      <c r="AO25">
        <f>CumulativeConfirmed!AO25-CumulativeRecovered!AO25-CumulativeDead!AO25</f>
        <v>7</v>
      </c>
      <c r="AP25">
        <f>CumulativeConfirmed!AP25-CumulativeRecovered!AP25-CumulativeDead!AP25</f>
        <v>7</v>
      </c>
      <c r="AQ25">
        <f>CumulativeConfirmed!AQ25-CumulativeRecovered!AQ25-CumulativeDead!AQ25</f>
        <v>7</v>
      </c>
      <c r="AR25">
        <f>CumulativeConfirmed!AR25-CumulativeRecovered!AR25-CumulativeDead!AR25</f>
        <v>9</v>
      </c>
      <c r="AS25">
        <f>CumulativeConfirmed!AS25-CumulativeRecovered!AS25-CumulativeDead!AS25</f>
        <v>31</v>
      </c>
      <c r="AT25">
        <f>CumulativeConfirmed!AT25-CumulativeRecovered!AT25-CumulativeDead!AT25</f>
        <v>45</v>
      </c>
      <c r="AU25">
        <f>CumulativeConfirmed!AU25-CumulativeRecovered!AU25-CumulativeDead!AU25</f>
        <v>46</v>
      </c>
      <c r="AV25">
        <f>CumulativeConfirmed!AV25-CumulativeRecovered!AV25-CumulativeDead!AV25</f>
        <v>73</v>
      </c>
      <c r="AW25">
        <f>CumulativeConfirmed!AW25-CumulativeRecovered!AW25-CumulativeDead!AW25</f>
        <v>73</v>
      </c>
      <c r="AX25">
        <f>CumulativeConfirmed!AX25-CumulativeRecovered!AX25-CumulativeDead!AX25</f>
        <v>89</v>
      </c>
      <c r="AY25">
        <f>CumulativeConfirmed!AY25-CumulativeRecovered!AY25-CumulativeDead!AY25</f>
        <v>98</v>
      </c>
      <c r="AZ25">
        <f>CumulativeConfirmed!AZ25-CumulativeRecovered!AZ25-CumulativeDead!AZ25</f>
        <v>98</v>
      </c>
      <c r="BA25">
        <f>CumulativeConfirmed!BA25-CumulativeRecovered!BA25-CumulativeDead!BA25</f>
        <v>189</v>
      </c>
      <c r="BB25">
        <f>CumulativeConfirmed!BB25-CumulativeRecovered!BB25-CumulativeDead!BB25</f>
        <v>217</v>
      </c>
      <c r="BC25">
        <f>CumulativeConfirmed!BC25-CumulativeRecovered!BC25-CumulativeDead!BC25</f>
        <v>319</v>
      </c>
      <c r="BD25">
        <f>CumulativeConfirmed!BD25-CumulativeRecovered!BD25-CumulativeDead!BD25</f>
        <v>319</v>
      </c>
      <c r="BE25">
        <f>CumulativeConfirmed!BE25-CumulativeRecovered!BE25-CumulativeDead!BE25</f>
        <v>374</v>
      </c>
      <c r="BF25">
        <f>CumulativeConfirmed!BF25-CumulativeRecovered!BF25-CumulativeDead!BF25</f>
        <v>405</v>
      </c>
      <c r="BG25">
        <f>CumulativeConfirmed!BG25-CumulativeRecovered!BG25-CumulativeDead!BG25</f>
        <v>404</v>
      </c>
      <c r="BH25">
        <f>CumulativeConfirmed!BH25-CumulativeRecovered!BH25-CumulativeDead!BH25</f>
        <v>470</v>
      </c>
      <c r="BI25">
        <f>CumulativeConfirmed!BI25-CumulativeRecovered!BI25-CumulativeDead!BI25</f>
        <v>0</v>
      </c>
      <c r="BJ25">
        <f>CumulativeConfirmed!BJ25-CumulativeRecovered!BJ25-CumulativeDead!BJ25</f>
        <v>0</v>
      </c>
      <c r="BK25">
        <f>CumulativeConfirmed!BK25-CumulativeRecovered!BK25-CumulativeDead!BK25</f>
        <v>0</v>
      </c>
      <c r="BL25">
        <f>CumulativeConfirmed!BL25-CumulativeRecovered!BL25-CumulativeDead!BL25</f>
        <v>0</v>
      </c>
      <c r="BM25">
        <f>CumulativeConfirmed!BM25-CumulativeRecovered!BM25-CumulativeDead!BM25</f>
        <v>0</v>
      </c>
      <c r="BN25">
        <f>CumulativeConfirmed!BN25-CumulativeRecovered!BN25-CumulativeDead!BN25</f>
        <v>0</v>
      </c>
      <c r="BO25">
        <f>CumulativeConfirmed!BO25-CumulativeRecovered!BO25-CumulativeDead!BO25</f>
        <v>0</v>
      </c>
      <c r="BP25">
        <f>CumulativeConfirmed!BP25-CumulativeRecovered!BP25-CumulativeDead!BP25</f>
        <v>0</v>
      </c>
      <c r="BQ25">
        <f>CumulativeConfirmed!BQ25-CumulativeRecovered!BQ25-CumulativeDead!BQ25</f>
        <v>0</v>
      </c>
      <c r="BR25">
        <f>CumulativeConfirmed!BR25-CumulativeRecovered!BR25-CumulativeDead!BR25</f>
        <v>0</v>
      </c>
      <c r="BS25">
        <f>CumulativeConfirmed!BS25-CumulativeRecovered!BS25-CumulativeDead!BS25</f>
        <v>0</v>
      </c>
      <c r="BT25">
        <f>CumulativeConfirmed!BT25-CumulativeRecovered!BT25-CumulativeDead!BT25</f>
        <v>0</v>
      </c>
    </row>
    <row r="26" spans="1:72" ht="15" thickBot="1" x14ac:dyDescent="0.35">
      <c r="A26" s="4" t="s">
        <v>73</v>
      </c>
      <c r="B26">
        <f>CumulativeConfirmed!B26-CumulativeRecovered!B26-CumulativeDead!B26</f>
        <v>0</v>
      </c>
      <c r="C26">
        <f>CumulativeConfirmed!C26-CumulativeRecovered!C26-CumulativeDead!C26</f>
        <v>0</v>
      </c>
      <c r="D26">
        <f>CumulativeConfirmed!D26-CumulativeRecovered!D26-CumulativeDead!D26</f>
        <v>0</v>
      </c>
      <c r="E26">
        <f>CumulativeConfirmed!E26-CumulativeRecovered!E26-CumulativeDead!E26</f>
        <v>0</v>
      </c>
      <c r="F26">
        <f>CumulativeConfirmed!F26-CumulativeRecovered!F26-CumulativeDead!F26</f>
        <v>0</v>
      </c>
      <c r="G26">
        <f>CumulativeConfirmed!G26-CumulativeRecovered!G26-CumulativeDead!G26</f>
        <v>0</v>
      </c>
      <c r="H26">
        <f>CumulativeConfirmed!H26-CumulativeRecovered!H26-CumulativeDead!H26</f>
        <v>0</v>
      </c>
      <c r="I26">
        <f>CumulativeConfirmed!I26-CumulativeRecovered!I26-CumulativeDead!I26</f>
        <v>0</v>
      </c>
      <c r="J26">
        <f>CumulativeConfirmed!J26-CumulativeRecovered!J26-CumulativeDead!J26</f>
        <v>0</v>
      </c>
      <c r="K26">
        <f>CumulativeConfirmed!K26-CumulativeRecovered!K26-CumulativeDead!K26</f>
        <v>0</v>
      </c>
      <c r="L26">
        <f>CumulativeConfirmed!L26-CumulativeRecovered!L26-CumulativeDead!L26</f>
        <v>0</v>
      </c>
      <c r="M26">
        <f>CumulativeConfirmed!M26-CumulativeRecovered!M26-CumulativeDead!M26</f>
        <v>0</v>
      </c>
      <c r="N26">
        <f>CumulativeConfirmed!N26-CumulativeRecovered!N26-CumulativeDead!N26</f>
        <v>0</v>
      </c>
      <c r="O26">
        <f>CumulativeConfirmed!O26-CumulativeRecovered!O26-CumulativeDead!O26</f>
        <v>0</v>
      </c>
      <c r="P26">
        <f>CumulativeConfirmed!P26-CumulativeRecovered!P26-CumulativeDead!P26</f>
        <v>0</v>
      </c>
      <c r="Q26">
        <f>CumulativeConfirmed!Q26-CumulativeRecovered!Q26-CumulativeDead!Q26</f>
        <v>0</v>
      </c>
      <c r="R26">
        <f>CumulativeConfirmed!R26-CumulativeRecovered!R26-CumulativeDead!R26</f>
        <v>0</v>
      </c>
      <c r="S26">
        <f>CumulativeConfirmed!S26-CumulativeRecovered!S26-CumulativeDead!S26</f>
        <v>0</v>
      </c>
      <c r="T26">
        <f>CumulativeConfirmed!T26-CumulativeRecovered!T26-CumulativeDead!T26</f>
        <v>0</v>
      </c>
      <c r="U26">
        <f>CumulativeConfirmed!U26-CumulativeRecovered!U26-CumulativeDead!U26</f>
        <v>0</v>
      </c>
      <c r="V26">
        <f>CumulativeConfirmed!V26-CumulativeRecovered!V26-CumulativeDead!V26</f>
        <v>0</v>
      </c>
      <c r="W26">
        <f>CumulativeConfirmed!W26-CumulativeRecovered!W26-CumulativeDead!W26</f>
        <v>0</v>
      </c>
      <c r="X26">
        <f>CumulativeConfirmed!X26-CumulativeRecovered!X26-CumulativeDead!X26</f>
        <v>0</v>
      </c>
      <c r="Y26">
        <f>CumulativeConfirmed!Y26-CumulativeRecovered!Y26-CumulativeDead!Y26</f>
        <v>0</v>
      </c>
      <c r="Z26">
        <f>CumulativeConfirmed!Z26-CumulativeRecovered!Z26-CumulativeDead!Z26</f>
        <v>0</v>
      </c>
      <c r="AA26">
        <f>CumulativeConfirmed!AA26-CumulativeRecovered!AA26-CumulativeDead!AA26</f>
        <v>0</v>
      </c>
      <c r="AB26">
        <f>CumulativeConfirmed!AB26-CumulativeRecovered!AB26-CumulativeDead!AB26</f>
        <v>0</v>
      </c>
      <c r="AC26">
        <f>CumulativeConfirmed!AC26-CumulativeRecovered!AC26-CumulativeDead!AC26</f>
        <v>0</v>
      </c>
      <c r="AD26">
        <f>CumulativeConfirmed!AD26-CumulativeRecovered!AD26-CumulativeDead!AD26</f>
        <v>0</v>
      </c>
      <c r="AE26">
        <f>CumulativeConfirmed!AE26-CumulativeRecovered!AE26-CumulativeDead!AE26</f>
        <v>0</v>
      </c>
      <c r="AF26">
        <f>CumulativeConfirmed!AF26-CumulativeRecovered!AF26-CumulativeDead!AF26</f>
        <v>0</v>
      </c>
      <c r="AG26">
        <f>CumulativeConfirmed!AG26-CumulativeRecovered!AG26-CumulativeDead!AG26</f>
        <v>0</v>
      </c>
      <c r="AH26">
        <f>CumulativeConfirmed!AH26-CumulativeRecovered!AH26-CumulativeDead!AH26</f>
        <v>0</v>
      </c>
      <c r="AI26">
        <f>CumulativeConfirmed!AI26-CumulativeRecovered!AI26-CumulativeDead!AI26</f>
        <v>1</v>
      </c>
      <c r="AJ26">
        <f>CumulativeConfirmed!AJ26-CumulativeRecovered!AJ26-CumulativeDead!AJ26</f>
        <v>23</v>
      </c>
      <c r="AK26">
        <f>CumulativeConfirmed!AK26-CumulativeRecovered!AK26-CumulativeDead!AK26</f>
        <v>33</v>
      </c>
      <c r="AL26">
        <f>CumulativeConfirmed!AL26-CumulativeRecovered!AL26-CumulativeDead!AL26</f>
        <v>33</v>
      </c>
      <c r="AM26">
        <f>CumulativeConfirmed!AM26-CumulativeRecovered!AM26-CumulativeDead!AM26</f>
        <v>36</v>
      </c>
      <c r="AN26">
        <f>CumulativeConfirmed!AN26-CumulativeRecovered!AN26-CumulativeDead!AN26</f>
        <v>41</v>
      </c>
      <c r="AO26">
        <f>CumulativeConfirmed!AO26-CumulativeRecovered!AO26-CumulativeDead!AO26</f>
        <v>47</v>
      </c>
      <c r="AP26">
        <f>CumulativeConfirmed!AP26-CumulativeRecovered!AP26-CumulativeDead!AP26</f>
        <v>49</v>
      </c>
      <c r="AQ26">
        <f>CumulativeConfirmed!AQ26-CumulativeRecovered!AQ26-CumulativeDead!AQ26</f>
        <v>49</v>
      </c>
      <c r="AR26">
        <f>CumulativeConfirmed!AR26-CumulativeRecovered!AR26-CumulativeDead!AR26</f>
        <v>52</v>
      </c>
      <c r="AS26">
        <f>CumulativeConfirmed!AS26-CumulativeRecovered!AS26-CumulativeDead!AS26</f>
        <v>55</v>
      </c>
      <c r="AT26">
        <f>CumulativeConfirmed!AT26-CumulativeRecovered!AT26-CumulativeDead!AT26</f>
        <v>56</v>
      </c>
      <c r="AU26">
        <f>CumulativeConfirmed!AU26-CumulativeRecovered!AU26-CumulativeDead!AU26</f>
        <v>81</v>
      </c>
      <c r="AV26">
        <f>CumulativeConfirmed!AV26-CumulativeRecovered!AV26-CumulativeDead!AV26</f>
        <v>81</v>
      </c>
      <c r="AW26">
        <f>CumulativeConfirmed!AW26-CumulativeRecovered!AW26-CumulativeDead!AW26</f>
        <v>81</v>
      </c>
      <c r="AX26">
        <f>CumulativeConfirmed!AX26-CumulativeRecovered!AX26-CumulativeDead!AX26</f>
        <v>88</v>
      </c>
      <c r="AY26">
        <f>CumulativeConfirmed!AY26-CumulativeRecovered!AY26-CumulativeDead!AY26</f>
        <v>160</v>
      </c>
      <c r="AZ26">
        <f>CumulativeConfirmed!AZ26-CumulativeRecovered!AZ26-CumulativeDead!AZ26</f>
        <v>160</v>
      </c>
      <c r="BA26">
        <f>CumulativeConfirmed!BA26-CumulativeRecovered!BA26-CumulativeDead!BA26</f>
        <v>145</v>
      </c>
      <c r="BB26">
        <f>CumulativeConfirmed!BB26-CumulativeRecovered!BB26-CumulativeDead!BB26</f>
        <v>166</v>
      </c>
      <c r="BC26">
        <f>CumulativeConfirmed!BC26-CumulativeRecovered!BC26-CumulativeDead!BC26</f>
        <v>154</v>
      </c>
      <c r="BD26">
        <f>CumulativeConfirmed!BD26-CumulativeRecovered!BD26-CumulativeDead!BD26</f>
        <v>136</v>
      </c>
      <c r="BE26">
        <f>CumulativeConfirmed!BE26-CumulativeRecovered!BE26-CumulativeDead!BE26</f>
        <v>146</v>
      </c>
      <c r="BF26">
        <f>CumulativeConfirmed!BF26-CumulativeRecovered!BF26-CumulativeDead!BF26</f>
        <v>167</v>
      </c>
      <c r="BG26">
        <f>CumulativeConfirmed!BG26-CumulativeRecovered!BG26-CumulativeDead!BG26</f>
        <v>177</v>
      </c>
      <c r="BH26">
        <f>CumulativeConfirmed!BH26-CumulativeRecovered!BH26-CumulativeDead!BH26</f>
        <v>184</v>
      </c>
      <c r="BI26">
        <f>CumulativeConfirmed!BI26-CumulativeRecovered!BI26-CumulativeDead!BI26</f>
        <v>0</v>
      </c>
      <c r="BJ26">
        <f>CumulativeConfirmed!BJ26-CumulativeRecovered!BJ26-CumulativeDead!BJ26</f>
        <v>0</v>
      </c>
      <c r="BK26">
        <f>CumulativeConfirmed!BK26-CumulativeRecovered!BK26-CumulativeDead!BK26</f>
        <v>0</v>
      </c>
      <c r="BL26">
        <f>CumulativeConfirmed!BL26-CumulativeRecovered!BL26-CumulativeDead!BL26</f>
        <v>0</v>
      </c>
      <c r="BM26">
        <f>CumulativeConfirmed!BM26-CumulativeRecovered!BM26-CumulativeDead!BM26</f>
        <v>0</v>
      </c>
      <c r="BN26">
        <f>CumulativeConfirmed!BN26-CumulativeRecovered!BN26-CumulativeDead!BN26</f>
        <v>0</v>
      </c>
      <c r="BO26">
        <f>CumulativeConfirmed!BO26-CumulativeRecovered!BO26-CumulativeDead!BO26</f>
        <v>0</v>
      </c>
      <c r="BP26">
        <f>CumulativeConfirmed!BP26-CumulativeRecovered!BP26-CumulativeDead!BP26</f>
        <v>0</v>
      </c>
      <c r="BQ26">
        <f>CumulativeConfirmed!BQ26-CumulativeRecovered!BQ26-CumulativeDead!BQ26</f>
        <v>0</v>
      </c>
      <c r="BR26">
        <f>CumulativeConfirmed!BR26-CumulativeRecovered!BR26-CumulativeDead!BR26</f>
        <v>0</v>
      </c>
      <c r="BS26">
        <f>CumulativeConfirmed!BS26-CumulativeRecovered!BS26-CumulativeDead!BS26</f>
        <v>0</v>
      </c>
      <c r="BT26">
        <f>CumulativeConfirmed!BT26-CumulativeRecovered!BT26-CumulativeDead!BT26</f>
        <v>0</v>
      </c>
    </row>
    <row r="27" spans="1:72" ht="15" thickBot="1" x14ac:dyDescent="0.35">
      <c r="A27" s="4" t="s">
        <v>79</v>
      </c>
      <c r="B27">
        <f>CumulativeConfirmed!B27-CumulativeRecovered!B27-CumulativeDead!B27</f>
        <v>0</v>
      </c>
      <c r="C27">
        <f>CumulativeConfirmed!C27-CumulativeRecovered!C27-CumulativeDead!C27</f>
        <v>0</v>
      </c>
      <c r="D27">
        <f>CumulativeConfirmed!D27-CumulativeRecovered!D27-CumulativeDead!D27</f>
        <v>0</v>
      </c>
      <c r="E27">
        <f>CumulativeConfirmed!E27-CumulativeRecovered!E27-CumulativeDead!E27</f>
        <v>0</v>
      </c>
      <c r="F27">
        <f>CumulativeConfirmed!F27-CumulativeRecovered!F27-CumulativeDead!F27</f>
        <v>0</v>
      </c>
      <c r="G27">
        <f>CumulativeConfirmed!G27-CumulativeRecovered!G27-CumulativeDead!G27</f>
        <v>0</v>
      </c>
      <c r="H27">
        <f>CumulativeConfirmed!H27-CumulativeRecovered!H27-CumulativeDead!H27</f>
        <v>0</v>
      </c>
      <c r="I27">
        <f>CumulativeConfirmed!I27-CumulativeRecovered!I27-CumulativeDead!I27</f>
        <v>0</v>
      </c>
      <c r="J27">
        <f>CumulativeConfirmed!J27-CumulativeRecovered!J27-CumulativeDead!J27</f>
        <v>0</v>
      </c>
      <c r="K27">
        <f>CumulativeConfirmed!K27-CumulativeRecovered!K27-CumulativeDead!K27</f>
        <v>0</v>
      </c>
      <c r="L27">
        <f>CumulativeConfirmed!L27-CumulativeRecovered!L27-CumulativeDead!L27</f>
        <v>0</v>
      </c>
      <c r="M27">
        <f>CumulativeConfirmed!M27-CumulativeRecovered!M27-CumulativeDead!M27</f>
        <v>0</v>
      </c>
      <c r="N27">
        <f>CumulativeConfirmed!N27-CumulativeRecovered!N27-CumulativeDead!N27</f>
        <v>0</v>
      </c>
      <c r="O27">
        <f>CumulativeConfirmed!O27-CumulativeRecovered!O27-CumulativeDead!O27</f>
        <v>0</v>
      </c>
      <c r="P27">
        <f>CumulativeConfirmed!P27-CumulativeRecovered!P27-CumulativeDead!P27</f>
        <v>0</v>
      </c>
      <c r="Q27">
        <f>CumulativeConfirmed!Q27-CumulativeRecovered!Q27-CumulativeDead!Q27</f>
        <v>0</v>
      </c>
      <c r="R27">
        <f>CumulativeConfirmed!R27-CumulativeRecovered!R27-CumulativeDead!R27</f>
        <v>0</v>
      </c>
      <c r="S27">
        <f>CumulativeConfirmed!S27-CumulativeRecovered!S27-CumulativeDead!S27</f>
        <v>0</v>
      </c>
      <c r="T27">
        <f>CumulativeConfirmed!T27-CumulativeRecovered!T27-CumulativeDead!T27</f>
        <v>0</v>
      </c>
      <c r="U27">
        <f>CumulativeConfirmed!U27-CumulativeRecovered!U27-CumulativeDead!U27</f>
        <v>0</v>
      </c>
      <c r="V27">
        <f>CumulativeConfirmed!V27-CumulativeRecovered!V27-CumulativeDead!V27</f>
        <v>0</v>
      </c>
      <c r="W27">
        <f>CumulativeConfirmed!W27-CumulativeRecovered!W27-CumulativeDead!W27</f>
        <v>0</v>
      </c>
      <c r="X27">
        <f>CumulativeConfirmed!X27-CumulativeRecovered!X27-CumulativeDead!X27</f>
        <v>0</v>
      </c>
      <c r="Y27">
        <f>CumulativeConfirmed!Y27-CumulativeRecovered!Y27-CumulativeDead!Y27</f>
        <v>0</v>
      </c>
      <c r="Z27">
        <f>CumulativeConfirmed!Z27-CumulativeRecovered!Z27-CumulativeDead!Z27</f>
        <v>0</v>
      </c>
      <c r="AA27">
        <f>CumulativeConfirmed!AA27-CumulativeRecovered!AA27-CumulativeDead!AA27</f>
        <v>0</v>
      </c>
      <c r="AB27">
        <f>CumulativeConfirmed!AB27-CumulativeRecovered!AB27-CumulativeDead!AB27</f>
        <v>0</v>
      </c>
      <c r="AC27">
        <f>CumulativeConfirmed!AC27-CumulativeRecovered!AC27-CumulativeDead!AC27</f>
        <v>0</v>
      </c>
      <c r="AD27">
        <f>CumulativeConfirmed!AD27-CumulativeRecovered!AD27-CumulativeDead!AD27</f>
        <v>0</v>
      </c>
      <c r="AE27">
        <f>CumulativeConfirmed!AE27-CumulativeRecovered!AE27-CumulativeDead!AE27</f>
        <v>0</v>
      </c>
      <c r="AF27">
        <f>CumulativeConfirmed!AF27-CumulativeRecovered!AF27-CumulativeDead!AF27</f>
        <v>1</v>
      </c>
      <c r="AG27">
        <f>CumulativeConfirmed!AG27-CumulativeRecovered!AG27-CumulativeDead!AG27</f>
        <v>1</v>
      </c>
      <c r="AH27">
        <f>CumulativeConfirmed!AH27-CumulativeRecovered!AH27-CumulativeDead!AH27</f>
        <v>1</v>
      </c>
      <c r="AI27">
        <f>CumulativeConfirmed!AI27-CumulativeRecovered!AI27-CumulativeDead!AI27</f>
        <v>1</v>
      </c>
      <c r="AJ27">
        <f>CumulativeConfirmed!AJ27-CumulativeRecovered!AJ27-CumulativeDead!AJ27</f>
        <v>1</v>
      </c>
      <c r="AK27">
        <f>CumulativeConfirmed!AK27-CumulativeRecovered!AK27-CumulativeDead!AK27</f>
        <v>2</v>
      </c>
      <c r="AL27">
        <f>CumulativeConfirmed!AL27-CumulativeRecovered!AL27-CumulativeDead!AL27</f>
        <v>2</v>
      </c>
      <c r="AM27">
        <f>CumulativeConfirmed!AM27-CumulativeRecovered!AM27-CumulativeDead!AM27</f>
        <v>3</v>
      </c>
      <c r="AN27">
        <f>CumulativeConfirmed!AN27-CumulativeRecovered!AN27-CumulativeDead!AN27</f>
        <v>6</v>
      </c>
      <c r="AO27">
        <f>CumulativeConfirmed!AO27-CumulativeRecovered!AO27-CumulativeDead!AO27</f>
        <v>9</v>
      </c>
      <c r="AP27">
        <f>CumulativeConfirmed!AP27-CumulativeRecovered!AP27-CumulativeDead!AP27</f>
        <v>9</v>
      </c>
      <c r="AQ27">
        <f>CumulativeConfirmed!AQ27-CumulativeRecovered!AQ27-CumulativeDead!AQ27</f>
        <v>11</v>
      </c>
      <c r="AR27">
        <f>CumulativeConfirmed!AR27-CumulativeRecovered!AR27-CumulativeDead!AR27</f>
        <v>14</v>
      </c>
      <c r="AS27">
        <f>CumulativeConfirmed!AS27-CumulativeRecovered!AS27-CumulativeDead!AS27</f>
        <v>19</v>
      </c>
      <c r="AT27">
        <f>CumulativeConfirmed!AT27-CumulativeRecovered!AT27-CumulativeDead!AT27</f>
        <v>35</v>
      </c>
      <c r="AU27">
        <f>CumulativeConfirmed!AU27-CumulativeRecovered!AU27-CumulativeDead!AU27</f>
        <v>41</v>
      </c>
      <c r="AV27">
        <f>CumulativeConfirmed!AV27-CumulativeRecovered!AV27-CumulativeDead!AV27</f>
        <v>59</v>
      </c>
      <c r="AW27">
        <f>CumulativeConfirmed!AW27-CumulativeRecovered!AW27-CumulativeDead!AW27</f>
        <v>59</v>
      </c>
      <c r="AX27">
        <f>CumulativeConfirmed!AX27-CumulativeRecovered!AX27-CumulativeDead!AX27</f>
        <v>79</v>
      </c>
      <c r="AY27">
        <f>CumulativeConfirmed!AY27-CumulativeRecovered!AY27-CumulativeDead!AY27</f>
        <v>105</v>
      </c>
      <c r="AZ27">
        <f>CumulativeConfirmed!AZ27-CumulativeRecovered!AZ27-CumulativeDead!AZ27</f>
        <v>127</v>
      </c>
      <c r="BA27">
        <f>CumulativeConfirmed!BA27-CumulativeRecovered!BA27-CumulativeDead!BA27</f>
        <v>157</v>
      </c>
      <c r="BB27">
        <f>CumulativeConfirmed!BB27-CumulativeRecovered!BB27-CumulativeDead!BB27</f>
        <v>189</v>
      </c>
      <c r="BC27">
        <f>CumulativeConfirmed!BC27-CumulativeRecovered!BC27-CumulativeDead!BC27</f>
        <v>247</v>
      </c>
      <c r="BD27">
        <f>CumulativeConfirmed!BD27-CumulativeRecovered!BD27-CumulativeDead!BD27</f>
        <v>251</v>
      </c>
      <c r="BE27">
        <f>CumulativeConfirmed!BE27-CumulativeRecovered!BE27-CumulativeDead!BE27</f>
        <v>326</v>
      </c>
      <c r="BF27">
        <f>CumulativeConfirmed!BF27-CumulativeRecovered!BF27-CumulativeDead!BF27</f>
        <v>422</v>
      </c>
      <c r="BG27">
        <f>CumulativeConfirmed!BG27-CumulativeRecovered!BG27-CumulativeDead!BG27</f>
        <v>666</v>
      </c>
      <c r="BH27">
        <f>CumulativeConfirmed!BH27-CumulativeRecovered!BH27-CumulativeDead!BH27</f>
        <v>691</v>
      </c>
      <c r="BI27">
        <f>CumulativeConfirmed!BI27-CumulativeRecovered!BI27-CumulativeDead!BI27</f>
        <v>0</v>
      </c>
      <c r="BJ27">
        <f>CumulativeConfirmed!BJ27-CumulativeRecovered!BJ27-CumulativeDead!BJ27</f>
        <v>0</v>
      </c>
      <c r="BK27">
        <f>CumulativeConfirmed!BK27-CumulativeRecovered!BK27-CumulativeDead!BK27</f>
        <v>0</v>
      </c>
      <c r="BL27">
        <f>CumulativeConfirmed!BL27-CumulativeRecovered!BL27-CumulativeDead!BL27</f>
        <v>0</v>
      </c>
      <c r="BM27">
        <f>CumulativeConfirmed!BM27-CumulativeRecovered!BM27-CumulativeDead!BM27</f>
        <v>0</v>
      </c>
      <c r="BN27">
        <f>CumulativeConfirmed!BN27-CumulativeRecovered!BN27-CumulativeDead!BN27</f>
        <v>0</v>
      </c>
      <c r="BO27">
        <f>CumulativeConfirmed!BO27-CumulativeRecovered!BO27-CumulativeDead!BO27</f>
        <v>0</v>
      </c>
      <c r="BP27">
        <f>CumulativeConfirmed!BP27-CumulativeRecovered!BP27-CumulativeDead!BP27</f>
        <v>0</v>
      </c>
      <c r="BQ27">
        <f>CumulativeConfirmed!BQ27-CumulativeRecovered!BQ27-CumulativeDead!BQ27</f>
        <v>0</v>
      </c>
      <c r="BR27">
        <f>CumulativeConfirmed!BR27-CumulativeRecovered!BR27-CumulativeDead!BR27</f>
        <v>0</v>
      </c>
      <c r="BS27">
        <f>CumulativeConfirmed!BS27-CumulativeRecovered!BS27-CumulativeDead!BS27</f>
        <v>0</v>
      </c>
      <c r="BT27">
        <f>CumulativeConfirmed!BT27-CumulativeRecovered!BT27-CumulativeDead!BT27</f>
        <v>0</v>
      </c>
    </row>
    <row r="28" spans="1:72" ht="15" thickBot="1" x14ac:dyDescent="0.35">
      <c r="A28" s="3" t="s">
        <v>54</v>
      </c>
      <c r="B28">
        <f>CumulativeConfirmed!B28-CumulativeRecovered!B28-CumulativeDead!B28</f>
        <v>0</v>
      </c>
      <c r="C28">
        <f>CumulativeConfirmed!C28-CumulativeRecovered!C28-CumulativeDead!C28</f>
        <v>0</v>
      </c>
      <c r="D28">
        <f>CumulativeConfirmed!D28-CumulativeRecovered!D28-CumulativeDead!D28</f>
        <v>0</v>
      </c>
      <c r="E28">
        <f>CumulativeConfirmed!E28-CumulativeRecovered!E28-CumulativeDead!E28</f>
        <v>0</v>
      </c>
      <c r="F28">
        <f>CumulativeConfirmed!F28-CumulativeRecovered!F28-CumulativeDead!F28</f>
        <v>0</v>
      </c>
      <c r="G28">
        <f>CumulativeConfirmed!G28-CumulativeRecovered!G28-CumulativeDead!G28</f>
        <v>0</v>
      </c>
      <c r="H28">
        <f>CumulativeConfirmed!H28-CumulativeRecovered!H28-CumulativeDead!H28</f>
        <v>0</v>
      </c>
      <c r="I28">
        <f>CumulativeConfirmed!I28-CumulativeRecovered!I28-CumulativeDead!I28</f>
        <v>1</v>
      </c>
      <c r="J28">
        <f>CumulativeConfirmed!J28-CumulativeRecovered!J28-CumulativeDead!J28</f>
        <v>1</v>
      </c>
      <c r="K28">
        <f>CumulativeConfirmed!K28-CumulativeRecovered!K28-CumulativeDead!K28</f>
        <v>1</v>
      </c>
      <c r="L28">
        <f>CumulativeConfirmed!L28-CumulativeRecovered!L28-CumulativeDead!L28</f>
        <v>1</v>
      </c>
      <c r="M28">
        <f>CumulativeConfirmed!M28-CumulativeRecovered!M28-CumulativeDead!M28</f>
        <v>1</v>
      </c>
      <c r="N28">
        <f>CumulativeConfirmed!N28-CumulativeRecovered!N28-CumulativeDead!N28</f>
        <v>1</v>
      </c>
      <c r="O28">
        <f>CumulativeConfirmed!O28-CumulativeRecovered!O28-CumulativeDead!O28</f>
        <v>1</v>
      </c>
      <c r="P28">
        <f>CumulativeConfirmed!P28-CumulativeRecovered!P28-CumulativeDead!P28</f>
        <v>1</v>
      </c>
      <c r="Q28">
        <f>CumulativeConfirmed!Q28-CumulativeRecovered!Q28-CumulativeDead!Q28</f>
        <v>1</v>
      </c>
      <c r="R28">
        <f>CumulativeConfirmed!R28-CumulativeRecovered!R28-CumulativeDead!R28</f>
        <v>1</v>
      </c>
      <c r="S28">
        <f>CumulativeConfirmed!S28-CumulativeRecovered!S28-CumulativeDead!S28</f>
        <v>1</v>
      </c>
      <c r="T28">
        <f>CumulativeConfirmed!T28-CumulativeRecovered!T28-CumulativeDead!T28</f>
        <v>1</v>
      </c>
      <c r="U28">
        <f>CumulativeConfirmed!U28-CumulativeRecovered!U28-CumulativeDead!U28</f>
        <v>1</v>
      </c>
      <c r="V28">
        <f>CumulativeConfirmed!V28-CumulativeRecovered!V28-CumulativeDead!V28</f>
        <v>1</v>
      </c>
      <c r="W28">
        <f>CumulativeConfirmed!W28-CumulativeRecovered!W28-CumulativeDead!W28</f>
        <v>0</v>
      </c>
      <c r="X28">
        <f>CumulativeConfirmed!X28-CumulativeRecovered!X28-CumulativeDead!X28</f>
        <v>0</v>
      </c>
      <c r="Y28">
        <f>CumulativeConfirmed!Y28-CumulativeRecovered!Y28-CumulativeDead!Y28</f>
        <v>0</v>
      </c>
      <c r="Z28">
        <f>CumulativeConfirmed!Z28-CumulativeRecovered!Z28-CumulativeDead!Z28</f>
        <v>0</v>
      </c>
      <c r="AA28">
        <f>CumulativeConfirmed!AA28-CumulativeRecovered!AA28-CumulativeDead!AA28</f>
        <v>0</v>
      </c>
      <c r="AB28">
        <f>CumulativeConfirmed!AB28-CumulativeRecovered!AB28-CumulativeDead!AB28</f>
        <v>0</v>
      </c>
      <c r="AC28">
        <f>CumulativeConfirmed!AC28-CumulativeRecovered!AC28-CumulativeDead!AC28</f>
        <v>0</v>
      </c>
      <c r="AD28">
        <f>CumulativeConfirmed!AD28-CumulativeRecovered!AD28-CumulativeDead!AD28</f>
        <v>0</v>
      </c>
      <c r="AE28">
        <f>CumulativeConfirmed!AE28-CumulativeRecovered!AE28-CumulativeDead!AE28</f>
        <v>0</v>
      </c>
      <c r="AF28">
        <f>CumulativeConfirmed!AF28-CumulativeRecovered!AF28-CumulativeDead!AF28</f>
        <v>0</v>
      </c>
      <c r="AG28">
        <f>CumulativeConfirmed!AG28-CumulativeRecovered!AG28-CumulativeDead!AG28</f>
        <v>0</v>
      </c>
      <c r="AH28">
        <f>CumulativeConfirmed!AH28-CumulativeRecovered!AH28-CumulativeDead!AH28</f>
        <v>0</v>
      </c>
      <c r="AI28">
        <f>CumulativeConfirmed!AI28-CumulativeRecovered!AI28-CumulativeDead!AI28</f>
        <v>0</v>
      </c>
      <c r="AJ28">
        <f>CumulativeConfirmed!AJ28-CumulativeRecovered!AJ28-CumulativeDead!AJ28</f>
        <v>0</v>
      </c>
      <c r="AK28">
        <f>CumulativeConfirmed!AK28-CumulativeRecovered!AK28-CumulativeDead!AK28</f>
        <v>1</v>
      </c>
      <c r="AL28">
        <f>CumulativeConfirmed!AL28-CumulativeRecovered!AL28-CumulativeDead!AL28</f>
        <v>1</v>
      </c>
      <c r="AM28">
        <f>CumulativeConfirmed!AM28-CumulativeRecovered!AM28-CumulativeDead!AM28</f>
        <v>1</v>
      </c>
      <c r="AN28">
        <f>CumulativeConfirmed!AN28-CumulativeRecovered!AN28-CumulativeDead!AN28</f>
        <v>2</v>
      </c>
      <c r="AO28">
        <f>CumulativeConfirmed!AO28-CumulativeRecovered!AO28-CumulativeDead!AO28</f>
        <v>5</v>
      </c>
      <c r="AP28">
        <f>CumulativeConfirmed!AP28-CumulativeRecovered!AP28-CumulativeDead!AP28</f>
        <v>5</v>
      </c>
      <c r="AQ28">
        <f>CumulativeConfirmed!AQ28-CumulativeRecovered!AQ28-CumulativeDead!AQ28</f>
        <v>5</v>
      </c>
      <c r="AR28">
        <f>CumulativeConfirmed!AR28-CumulativeRecovered!AR28-CumulativeDead!AR28</f>
        <v>5</v>
      </c>
      <c r="AS28">
        <f>CumulativeConfirmed!AS28-CumulativeRecovered!AS28-CumulativeDead!AS28</f>
        <v>11</v>
      </c>
      <c r="AT28">
        <f>CumulativeConfirmed!AT28-CumulativeRecovered!AT28-CumulativeDead!AT28</f>
        <v>14</v>
      </c>
      <c r="AU28">
        <f>CumulativeConfirmed!AU28-CumulativeRecovered!AU28-CumulativeDead!AU28</f>
        <v>14</v>
      </c>
      <c r="AV28">
        <f>CumulativeConfirmed!AV28-CumulativeRecovered!AV28-CumulativeDead!AV28</f>
        <v>22</v>
      </c>
      <c r="AW28">
        <f>CumulativeConfirmed!AW28-CumulativeRecovered!AW28-CumulativeDead!AW28</f>
        <v>29</v>
      </c>
      <c r="AX28">
        <f>CumulativeConfirmed!AX28-CumulativeRecovered!AX28-CumulativeDead!AX28</f>
        <v>39</v>
      </c>
      <c r="AY28">
        <f>CumulativeConfirmed!AY28-CumulativeRecovered!AY28-CumulativeDead!AY28</f>
        <v>58</v>
      </c>
      <c r="AZ28">
        <f>CumulativeConfirmed!AZ28-CumulativeRecovered!AZ28-CumulativeDead!AZ28</f>
        <v>58</v>
      </c>
      <c r="BA28">
        <f>CumulativeConfirmed!BA28-CumulativeRecovered!BA28-CumulativeDead!BA28</f>
        <v>154</v>
      </c>
      <c r="BB28">
        <f>CumulativeConfirmed!BB28-CumulativeRecovered!BB28-CumulativeDead!BB28</f>
        <v>224</v>
      </c>
      <c r="BC28">
        <f>CumulativeConfirmed!BC28-CumulativeRecovered!BC28-CumulativeDead!BC28</f>
        <v>234</v>
      </c>
      <c r="BD28">
        <f>CumulativeConfirmed!BD28-CumulativeRecovered!BD28-CumulativeDead!BD28</f>
        <v>267</v>
      </c>
      <c r="BE28">
        <f>CumulativeConfirmed!BE28-CumulativeRecovered!BE28-CumulativeDead!BE28</f>
        <v>311</v>
      </c>
      <c r="BF28">
        <f>CumulativeConfirmed!BF28-CumulativeRecovered!BF28-CumulativeDead!BF28</f>
        <v>326</v>
      </c>
      <c r="BG28">
        <f>CumulativeConfirmed!BG28-CumulativeRecovered!BG28-CumulativeDead!BG28</f>
        <v>390</v>
      </c>
      <c r="BH28">
        <f>CumulativeConfirmed!BH28-CumulativeRecovered!BH28-CumulativeDead!BH28</f>
        <v>440</v>
      </c>
      <c r="BI28">
        <f>CumulativeConfirmed!BI28-CumulativeRecovered!BI28-CumulativeDead!BI28</f>
        <v>0</v>
      </c>
      <c r="BJ28">
        <f>CumulativeConfirmed!BJ28-CumulativeRecovered!BJ28-CumulativeDead!BJ28</f>
        <v>0</v>
      </c>
      <c r="BK28">
        <f>CumulativeConfirmed!BK28-CumulativeRecovered!BK28-CumulativeDead!BK28</f>
        <v>0</v>
      </c>
      <c r="BL28">
        <f>CumulativeConfirmed!BL28-CumulativeRecovered!BL28-CumulativeDead!BL28</f>
        <v>0</v>
      </c>
      <c r="BM28">
        <f>CumulativeConfirmed!BM28-CumulativeRecovered!BM28-CumulativeDead!BM28</f>
        <v>0</v>
      </c>
      <c r="BN28">
        <f>CumulativeConfirmed!BN28-CumulativeRecovered!BN28-CumulativeDead!BN28</f>
        <v>0</v>
      </c>
      <c r="BO28">
        <f>CumulativeConfirmed!BO28-CumulativeRecovered!BO28-CumulativeDead!BO28</f>
        <v>0</v>
      </c>
      <c r="BP28">
        <f>CumulativeConfirmed!BP28-CumulativeRecovered!BP28-CumulativeDead!BP28</f>
        <v>0</v>
      </c>
      <c r="BQ28">
        <f>CumulativeConfirmed!BQ28-CumulativeRecovered!BQ28-CumulativeDead!BQ28</f>
        <v>0</v>
      </c>
      <c r="BR28">
        <f>CumulativeConfirmed!BR28-CumulativeRecovered!BR28-CumulativeDead!BR28</f>
        <v>0</v>
      </c>
      <c r="BS28">
        <f>CumulativeConfirmed!BS28-CumulativeRecovered!BS28-CumulativeDead!BS28</f>
        <v>0</v>
      </c>
      <c r="BT28">
        <f>CumulativeConfirmed!BT28-CumulativeRecovered!BT28-CumulativeDead!BT28</f>
        <v>0</v>
      </c>
    </row>
    <row r="29" spans="1:72" ht="15" thickBot="1" x14ac:dyDescent="0.35">
      <c r="A29" s="4" t="s">
        <v>81</v>
      </c>
      <c r="B29">
        <f>CumulativeConfirmed!B29-CumulativeRecovered!B29-CumulativeDead!B29</f>
        <v>0</v>
      </c>
      <c r="C29">
        <f>CumulativeConfirmed!C29-CumulativeRecovered!C29-CumulativeDead!C29</f>
        <v>0</v>
      </c>
      <c r="D29">
        <f>CumulativeConfirmed!D29-CumulativeRecovered!D29-CumulativeDead!D29</f>
        <v>0</v>
      </c>
      <c r="E29">
        <f>CumulativeConfirmed!E29-CumulativeRecovered!E29-CumulativeDead!E29</f>
        <v>0</v>
      </c>
      <c r="F29">
        <f>CumulativeConfirmed!F29-CumulativeRecovered!F29-CumulativeDead!F29</f>
        <v>0</v>
      </c>
      <c r="G29">
        <f>CumulativeConfirmed!G29-CumulativeRecovered!G29-CumulativeDead!G29</f>
        <v>0</v>
      </c>
      <c r="H29">
        <f>CumulativeConfirmed!H29-CumulativeRecovered!H29-CumulativeDead!H29</f>
        <v>0</v>
      </c>
      <c r="I29">
        <f>CumulativeConfirmed!I29-CumulativeRecovered!I29-CumulativeDead!I29</f>
        <v>0</v>
      </c>
      <c r="J29">
        <f>CumulativeConfirmed!J29-CumulativeRecovered!J29-CumulativeDead!J29</f>
        <v>0</v>
      </c>
      <c r="K29">
        <f>CumulativeConfirmed!K29-CumulativeRecovered!K29-CumulativeDead!K29</f>
        <v>0</v>
      </c>
      <c r="L29">
        <f>CumulativeConfirmed!L29-CumulativeRecovered!L29-CumulativeDead!L29</f>
        <v>0</v>
      </c>
      <c r="M29">
        <f>CumulativeConfirmed!M29-CumulativeRecovered!M29-CumulativeDead!M29</f>
        <v>0</v>
      </c>
      <c r="N29">
        <f>CumulativeConfirmed!N29-CumulativeRecovered!N29-CumulativeDead!N29</f>
        <v>0</v>
      </c>
      <c r="O29">
        <f>CumulativeConfirmed!O29-CumulativeRecovered!O29-CumulativeDead!O29</f>
        <v>0</v>
      </c>
      <c r="P29">
        <f>CumulativeConfirmed!P29-CumulativeRecovered!P29-CumulativeDead!P29</f>
        <v>0</v>
      </c>
      <c r="Q29">
        <f>CumulativeConfirmed!Q29-CumulativeRecovered!Q29-CumulativeDead!Q29</f>
        <v>0</v>
      </c>
      <c r="R29">
        <f>CumulativeConfirmed!R29-CumulativeRecovered!R29-CumulativeDead!R29</f>
        <v>0</v>
      </c>
      <c r="S29">
        <f>CumulativeConfirmed!S29-CumulativeRecovered!S29-CumulativeDead!S29</f>
        <v>0</v>
      </c>
      <c r="T29">
        <f>CumulativeConfirmed!T29-CumulativeRecovered!T29-CumulativeDead!T29</f>
        <v>0</v>
      </c>
      <c r="U29">
        <f>CumulativeConfirmed!U29-CumulativeRecovered!U29-CumulativeDead!U29</f>
        <v>0</v>
      </c>
      <c r="V29">
        <f>CumulativeConfirmed!V29-CumulativeRecovered!V29-CumulativeDead!V29</f>
        <v>0</v>
      </c>
      <c r="W29">
        <f>CumulativeConfirmed!W29-CumulativeRecovered!W29-CumulativeDead!W29</f>
        <v>0</v>
      </c>
      <c r="X29">
        <f>CumulativeConfirmed!X29-CumulativeRecovered!X29-CumulativeDead!X29</f>
        <v>0</v>
      </c>
      <c r="Y29">
        <f>CumulativeConfirmed!Y29-CumulativeRecovered!Y29-CumulativeDead!Y29</f>
        <v>0</v>
      </c>
      <c r="Z29">
        <f>CumulativeConfirmed!Z29-CumulativeRecovered!Z29-CumulativeDead!Z29</f>
        <v>0</v>
      </c>
      <c r="AA29">
        <f>CumulativeConfirmed!AA29-CumulativeRecovered!AA29-CumulativeDead!AA29</f>
        <v>0</v>
      </c>
      <c r="AB29">
        <f>CumulativeConfirmed!AB29-CumulativeRecovered!AB29-CumulativeDead!AB29</f>
        <v>0</v>
      </c>
      <c r="AC29">
        <f>CumulativeConfirmed!AC29-CumulativeRecovered!AC29-CumulativeDead!AC29</f>
        <v>0</v>
      </c>
      <c r="AD29">
        <f>CumulativeConfirmed!AD29-CumulativeRecovered!AD29-CumulativeDead!AD29</f>
        <v>0</v>
      </c>
      <c r="AE29">
        <f>CumulativeConfirmed!AE29-CumulativeRecovered!AE29-CumulativeDead!AE29</f>
        <v>0</v>
      </c>
      <c r="AF29">
        <f>CumulativeConfirmed!AF29-CumulativeRecovered!AF29-CumulativeDead!AF29</f>
        <v>0</v>
      </c>
      <c r="AG29">
        <f>CumulativeConfirmed!AG29-CumulativeRecovered!AG29-CumulativeDead!AG29</f>
        <v>0</v>
      </c>
      <c r="AH29">
        <f>CumulativeConfirmed!AH29-CumulativeRecovered!AH29-CumulativeDead!AH29</f>
        <v>0</v>
      </c>
      <c r="AI29">
        <f>CumulativeConfirmed!AI29-CumulativeRecovered!AI29-CumulativeDead!AI29</f>
        <v>0</v>
      </c>
      <c r="AJ29">
        <f>CumulativeConfirmed!AJ29-CumulativeRecovered!AJ29-CumulativeDead!AJ29</f>
        <v>0</v>
      </c>
      <c r="AK29">
        <f>CumulativeConfirmed!AK29-CumulativeRecovered!AK29-CumulativeDead!AK29</f>
        <v>1</v>
      </c>
      <c r="AL29">
        <f>CumulativeConfirmed!AL29-CumulativeRecovered!AL29-CumulativeDead!AL29</f>
        <v>1</v>
      </c>
      <c r="AM29">
        <f>CumulativeConfirmed!AM29-CumulativeRecovered!AM29-CumulativeDead!AM29</f>
        <v>1</v>
      </c>
      <c r="AN29">
        <f>CumulativeConfirmed!AN29-CumulativeRecovered!AN29-CumulativeDead!AN29</f>
        <v>2</v>
      </c>
      <c r="AO29">
        <f>CumulativeConfirmed!AO29-CumulativeRecovered!AO29-CumulativeDead!AO29</f>
        <v>2</v>
      </c>
      <c r="AP29">
        <f>CumulativeConfirmed!AP29-CumulativeRecovered!AP29-CumulativeDead!AP29</f>
        <v>2</v>
      </c>
      <c r="AQ29">
        <f>CumulativeConfirmed!AQ29-CumulativeRecovered!AQ29-CumulativeDead!AQ29</f>
        <v>2</v>
      </c>
      <c r="AR29">
        <f>CumulativeConfirmed!AR29-CumulativeRecovered!AR29-CumulativeDead!AR29</f>
        <v>4</v>
      </c>
      <c r="AS29">
        <f>CumulativeConfirmed!AS29-CumulativeRecovered!AS29-CumulativeDead!AS29</f>
        <v>4</v>
      </c>
      <c r="AT29">
        <f>CumulativeConfirmed!AT29-CumulativeRecovered!AT29-CumulativeDead!AT29</f>
        <v>13</v>
      </c>
      <c r="AU29">
        <f>CumulativeConfirmed!AU29-CumulativeRecovered!AU29-CumulativeDead!AU29</f>
        <v>13</v>
      </c>
      <c r="AV29">
        <f>CumulativeConfirmed!AV29-CumulativeRecovered!AV29-CumulativeDead!AV29</f>
        <v>20</v>
      </c>
      <c r="AW29">
        <f>CumulativeConfirmed!AW29-CumulativeRecovered!AW29-CumulativeDead!AW29</f>
        <v>25</v>
      </c>
      <c r="AX29">
        <f>CumulativeConfirmed!AX29-CumulativeRecovered!AX29-CumulativeDead!AX29</f>
        <v>31</v>
      </c>
      <c r="AY29">
        <f>CumulativeConfirmed!AY29-CumulativeRecovered!AY29-CumulativeDead!AY29</f>
        <v>38</v>
      </c>
      <c r="AZ29">
        <f>CumulativeConfirmed!AZ29-CumulativeRecovered!AZ29-CumulativeDead!AZ29</f>
        <v>52</v>
      </c>
      <c r="BA29">
        <f>CumulativeConfirmed!BA29-CumulativeRecovered!BA29-CumulativeDead!BA29</f>
        <v>151</v>
      </c>
      <c r="BB29">
        <f>CumulativeConfirmed!BB29-CumulativeRecovered!BB29-CumulativeDead!BB29</f>
        <v>151</v>
      </c>
      <c r="BC29">
        <f>CumulativeConfirmed!BC29-CumulativeRecovered!BC29-CumulativeDead!BC29</f>
        <v>162</v>
      </c>
      <c r="BD29">
        <f>CumulativeConfirmed!BD29-CumulativeRecovered!BD29-CumulativeDead!BD29</f>
        <v>199</v>
      </c>
      <c r="BE29">
        <f>CumulativeConfirmed!BE29-CumulativeRecovered!BE29-CumulativeDead!BE29</f>
        <v>318</v>
      </c>
      <c r="BF29">
        <f>CumulativeConfirmed!BF29-CumulativeRecovered!BF29-CumulativeDead!BF29</f>
        <v>367</v>
      </c>
      <c r="BG29">
        <f>CumulativeConfirmed!BG29-CumulativeRecovered!BG29-CumulativeDead!BG29</f>
        <v>613</v>
      </c>
      <c r="BH29">
        <f>CumulativeConfirmed!BH29-CumulativeRecovered!BH29-CumulativeDead!BH29</f>
        <v>780</v>
      </c>
      <c r="BI29">
        <f>CumulativeConfirmed!BI29-CumulativeRecovered!BI29-CumulativeDead!BI29</f>
        <v>0</v>
      </c>
      <c r="BJ29">
        <f>CumulativeConfirmed!BJ29-CumulativeRecovered!BJ29-CumulativeDead!BJ29</f>
        <v>0</v>
      </c>
      <c r="BK29">
        <f>CumulativeConfirmed!BK29-CumulativeRecovered!BK29-CumulativeDead!BK29</f>
        <v>0</v>
      </c>
      <c r="BL29">
        <f>CumulativeConfirmed!BL29-CumulativeRecovered!BL29-CumulativeDead!BL29</f>
        <v>0</v>
      </c>
      <c r="BM29">
        <f>CumulativeConfirmed!BM29-CumulativeRecovered!BM29-CumulativeDead!BM29</f>
        <v>0</v>
      </c>
      <c r="BN29">
        <f>CumulativeConfirmed!BN29-CumulativeRecovered!BN29-CumulativeDead!BN29</f>
        <v>0</v>
      </c>
      <c r="BO29">
        <f>CumulativeConfirmed!BO29-CumulativeRecovered!BO29-CumulativeDead!BO29</f>
        <v>0</v>
      </c>
      <c r="BP29">
        <f>CumulativeConfirmed!BP29-CumulativeRecovered!BP29-CumulativeDead!BP29</f>
        <v>0</v>
      </c>
      <c r="BQ29">
        <f>CumulativeConfirmed!BQ29-CumulativeRecovered!BQ29-CumulativeDead!BQ29</f>
        <v>0</v>
      </c>
      <c r="BR29">
        <f>CumulativeConfirmed!BR29-CumulativeRecovered!BR29-CumulativeDead!BR29</f>
        <v>0</v>
      </c>
      <c r="BS29">
        <f>CumulativeConfirmed!BS29-CumulativeRecovered!BS29-CumulativeDead!BS29</f>
        <v>0</v>
      </c>
      <c r="BT29">
        <f>CumulativeConfirmed!BT29-CumulativeRecovered!BT29-CumulativeDead!BT29</f>
        <v>0</v>
      </c>
    </row>
    <row r="30" spans="1:72" ht="15" thickBot="1" x14ac:dyDescent="0.35">
      <c r="A30" s="3" t="s">
        <v>341</v>
      </c>
      <c r="B30">
        <f>CumulativeConfirmed!B30-CumulativeRecovered!B30-CumulativeDead!B30</f>
        <v>0</v>
      </c>
      <c r="C30">
        <f>CumulativeConfirmed!C30-CumulativeRecovered!C30-CumulativeDead!C30</f>
        <v>0</v>
      </c>
      <c r="D30">
        <f>CumulativeConfirmed!D30-CumulativeRecovered!D30-CumulativeDead!D30</f>
        <v>0</v>
      </c>
      <c r="E30">
        <f>CumulativeConfirmed!E30-CumulativeRecovered!E30-CumulativeDead!E30</f>
        <v>0</v>
      </c>
      <c r="F30">
        <f>CumulativeConfirmed!F30-CumulativeRecovered!F30-CumulativeDead!F30</f>
        <v>0</v>
      </c>
      <c r="G30">
        <f>CumulativeConfirmed!G30-CumulativeRecovered!G30-CumulativeDead!G30</f>
        <v>0</v>
      </c>
      <c r="H30">
        <f>CumulativeConfirmed!H30-CumulativeRecovered!H30-CumulativeDead!H30</f>
        <v>0</v>
      </c>
      <c r="I30">
        <f>CumulativeConfirmed!I30-CumulativeRecovered!I30-CumulativeDead!I30</f>
        <v>0</v>
      </c>
      <c r="J30">
        <f>CumulativeConfirmed!J30-CumulativeRecovered!J30-CumulativeDead!J30</f>
        <v>0</v>
      </c>
      <c r="K30">
        <f>CumulativeConfirmed!K30-CumulativeRecovered!K30-CumulativeDead!K30</f>
        <v>0</v>
      </c>
      <c r="L30">
        <f>CumulativeConfirmed!L30-CumulativeRecovered!L30-CumulativeDead!L30</f>
        <v>0</v>
      </c>
      <c r="M30">
        <f>CumulativeConfirmed!M30-CumulativeRecovered!M30-CumulativeDead!M30</f>
        <v>0</v>
      </c>
      <c r="N30">
        <f>CumulativeConfirmed!N30-CumulativeRecovered!N30-CumulativeDead!N30</f>
        <v>0</v>
      </c>
      <c r="O30">
        <f>CumulativeConfirmed!O30-CumulativeRecovered!O30-CumulativeDead!O30</f>
        <v>0</v>
      </c>
      <c r="P30">
        <f>CumulativeConfirmed!P30-CumulativeRecovered!P30-CumulativeDead!P30</f>
        <v>0</v>
      </c>
      <c r="Q30">
        <f>CumulativeConfirmed!Q30-CumulativeRecovered!Q30-CumulativeDead!Q30</f>
        <v>0</v>
      </c>
      <c r="R30">
        <f>CumulativeConfirmed!R30-CumulativeRecovered!R30-CumulativeDead!R30</f>
        <v>0</v>
      </c>
      <c r="S30">
        <f>CumulativeConfirmed!S30-CumulativeRecovered!S30-CumulativeDead!S30</f>
        <v>0</v>
      </c>
      <c r="T30">
        <f>CumulativeConfirmed!T30-CumulativeRecovered!T30-CumulativeDead!T30</f>
        <v>0</v>
      </c>
      <c r="U30">
        <f>CumulativeConfirmed!U30-CumulativeRecovered!U30-CumulativeDead!U30</f>
        <v>0</v>
      </c>
      <c r="V30">
        <f>CumulativeConfirmed!V30-CumulativeRecovered!V30-CumulativeDead!V30</f>
        <v>0</v>
      </c>
      <c r="W30">
        <f>CumulativeConfirmed!W30-CumulativeRecovered!W30-CumulativeDead!W30</f>
        <v>0</v>
      </c>
      <c r="X30">
        <f>CumulativeConfirmed!X30-CumulativeRecovered!X30-CumulativeDead!X30</f>
        <v>0</v>
      </c>
      <c r="Y30">
        <f>CumulativeConfirmed!Y30-CumulativeRecovered!Y30-CumulativeDead!Y30</f>
        <v>0</v>
      </c>
      <c r="Z30">
        <f>CumulativeConfirmed!Z30-CumulativeRecovered!Z30-CumulativeDead!Z30</f>
        <v>0</v>
      </c>
      <c r="AA30">
        <f>CumulativeConfirmed!AA30-CumulativeRecovered!AA30-CumulativeDead!AA30</f>
        <v>0</v>
      </c>
      <c r="AB30">
        <f>CumulativeConfirmed!AB30-CumulativeRecovered!AB30-CumulativeDead!AB30</f>
        <v>0</v>
      </c>
      <c r="AC30">
        <f>CumulativeConfirmed!AC30-CumulativeRecovered!AC30-CumulativeDead!AC30</f>
        <v>0</v>
      </c>
      <c r="AD30">
        <f>CumulativeConfirmed!AD30-CumulativeRecovered!AD30-CumulativeDead!AD30</f>
        <v>0</v>
      </c>
      <c r="AE30">
        <f>CumulativeConfirmed!AE30-CumulativeRecovered!AE30-CumulativeDead!AE30</f>
        <v>0</v>
      </c>
      <c r="AF30">
        <f>CumulativeConfirmed!AF30-CumulativeRecovered!AF30-CumulativeDead!AF30</f>
        <v>0</v>
      </c>
      <c r="AG30">
        <f>CumulativeConfirmed!AG30-CumulativeRecovered!AG30-CumulativeDead!AG30</f>
        <v>0</v>
      </c>
      <c r="AH30">
        <f>CumulativeConfirmed!AH30-CumulativeRecovered!AH30-CumulativeDead!AH30</f>
        <v>0</v>
      </c>
      <c r="AI30">
        <f>CumulativeConfirmed!AI30-CumulativeRecovered!AI30-CumulativeDead!AI30</f>
        <v>0</v>
      </c>
      <c r="AJ30">
        <f>CumulativeConfirmed!AJ30-CumulativeRecovered!AJ30-CumulativeDead!AJ30</f>
        <v>0</v>
      </c>
      <c r="AK30">
        <f>CumulativeConfirmed!AK30-CumulativeRecovered!AK30-CumulativeDead!AK30</f>
        <v>0</v>
      </c>
      <c r="AL30">
        <f>CumulativeConfirmed!AL30-CumulativeRecovered!AL30-CumulativeDead!AL30</f>
        <v>0</v>
      </c>
      <c r="AM30">
        <f>CumulativeConfirmed!AM30-CumulativeRecovered!AM30-CumulativeDead!AM30</f>
        <v>0</v>
      </c>
      <c r="AN30">
        <f>CumulativeConfirmed!AN30-CumulativeRecovered!AN30-CumulativeDead!AN30</f>
        <v>0</v>
      </c>
      <c r="AO30">
        <f>CumulativeConfirmed!AO30-CumulativeRecovered!AO30-CumulativeDead!AO30</f>
        <v>3</v>
      </c>
      <c r="AP30">
        <f>CumulativeConfirmed!AP30-CumulativeRecovered!AP30-CumulativeDead!AP30</f>
        <v>3</v>
      </c>
      <c r="AQ30">
        <f>CumulativeConfirmed!AQ30-CumulativeRecovered!AQ30-CumulativeDead!AQ30</f>
        <v>5</v>
      </c>
      <c r="AR30">
        <f>CumulativeConfirmed!AR30-CumulativeRecovered!AR30-CumulativeDead!AR30</f>
        <v>8</v>
      </c>
      <c r="AS30">
        <f>CumulativeConfirmed!AS30-CumulativeRecovered!AS30-CumulativeDead!AS30</f>
        <v>12</v>
      </c>
      <c r="AT30">
        <f>CumulativeConfirmed!AT30-CumulativeRecovered!AT30-CumulativeDead!AT30</f>
        <v>18</v>
      </c>
      <c r="AU30">
        <f>CumulativeConfirmed!AU30-CumulativeRecovered!AU30-CumulativeDead!AU30</f>
        <v>19</v>
      </c>
      <c r="AV30">
        <f>CumulativeConfirmed!AV30-CumulativeRecovered!AV30-CumulativeDead!AV30</f>
        <v>31</v>
      </c>
      <c r="AW30">
        <f>CumulativeConfirmed!AW30-CumulativeRecovered!AW30-CumulativeDead!AW30</f>
        <v>31</v>
      </c>
      <c r="AX30">
        <f>CumulativeConfirmed!AX30-CumulativeRecovered!AX30-CumulativeDead!AX30</f>
        <v>41</v>
      </c>
      <c r="AY30">
        <f>CumulativeConfirmed!AY30-CumulativeRecovered!AY30-CumulativeDead!AY30</f>
        <v>91</v>
      </c>
      <c r="AZ30">
        <f>CumulativeConfirmed!AZ30-CumulativeRecovered!AZ30-CumulativeDead!AZ30</f>
        <v>94</v>
      </c>
      <c r="BA30">
        <f>CumulativeConfirmed!BA30-CumulativeRecovered!BA30-CumulativeDead!BA30</f>
        <v>141</v>
      </c>
      <c r="BB30">
        <f>CumulativeConfirmed!BB30-CumulativeRecovered!BB30-CumulativeDead!BB30</f>
        <v>189</v>
      </c>
      <c r="BC30">
        <f>CumulativeConfirmed!BC30-CumulativeRecovered!BC30-CumulativeDead!BC30</f>
        <v>253</v>
      </c>
      <c r="BD30">
        <f>CumulativeConfirmed!BD30-CumulativeRecovered!BD30-CumulativeDead!BD30</f>
        <v>295</v>
      </c>
      <c r="BE30">
        <f>CumulativeConfirmed!BE30-CumulativeRecovered!BE30-CumulativeDead!BE30</f>
        <v>393</v>
      </c>
      <c r="BF30">
        <f>CumulativeConfirmed!BF30-CumulativeRecovered!BF30-CumulativeDead!BF30</f>
        <v>461</v>
      </c>
      <c r="BG30">
        <f>CumulativeConfirmed!BG30-CumulativeRecovered!BG30-CumulativeDead!BG30</f>
        <v>691</v>
      </c>
      <c r="BH30">
        <f>CumulativeConfirmed!BH30-CumulativeRecovered!BH30-CumulativeDead!BH30</f>
        <v>829</v>
      </c>
      <c r="BI30">
        <f>CumulativeConfirmed!BI30-CumulativeRecovered!BI30-CumulativeDead!BI30</f>
        <v>0</v>
      </c>
      <c r="BJ30">
        <f>CumulativeConfirmed!BJ30-CumulativeRecovered!BJ30-CumulativeDead!BJ30</f>
        <v>0</v>
      </c>
      <c r="BK30">
        <f>CumulativeConfirmed!BK30-CumulativeRecovered!BK30-CumulativeDead!BK30</f>
        <v>0</v>
      </c>
      <c r="BL30">
        <f>CumulativeConfirmed!BL30-CumulativeRecovered!BL30-CumulativeDead!BL30</f>
        <v>0</v>
      </c>
      <c r="BM30">
        <f>CumulativeConfirmed!BM30-CumulativeRecovered!BM30-CumulativeDead!BM30</f>
        <v>0</v>
      </c>
      <c r="BN30">
        <f>CumulativeConfirmed!BN30-CumulativeRecovered!BN30-CumulativeDead!BN30</f>
        <v>0</v>
      </c>
      <c r="BO30">
        <f>CumulativeConfirmed!BO30-CumulativeRecovered!BO30-CumulativeDead!BO30</f>
        <v>0</v>
      </c>
      <c r="BP30">
        <f>CumulativeConfirmed!BP30-CumulativeRecovered!BP30-CumulativeDead!BP30</f>
        <v>0</v>
      </c>
      <c r="BQ30">
        <f>CumulativeConfirmed!BQ30-CumulativeRecovered!BQ30-CumulativeDead!BQ30</f>
        <v>0</v>
      </c>
      <c r="BR30">
        <f>CumulativeConfirmed!BR30-CumulativeRecovered!BR30-CumulativeDead!BR30</f>
        <v>0</v>
      </c>
      <c r="BS30">
        <f>CumulativeConfirmed!BS30-CumulativeRecovered!BS30-CumulativeDead!BS30</f>
        <v>0</v>
      </c>
      <c r="BT30">
        <f>CumulativeConfirmed!BT30-CumulativeRecovered!BT30-CumulativeDead!BT30</f>
        <v>0</v>
      </c>
    </row>
    <row r="31" spans="1:72" ht="15" thickBot="1" x14ac:dyDescent="0.35">
      <c r="A31" s="4" t="s">
        <v>141</v>
      </c>
      <c r="B31">
        <f>CumulativeConfirmed!B31-CumulativeRecovered!B31-CumulativeDead!B31</f>
        <v>0</v>
      </c>
      <c r="C31">
        <f>CumulativeConfirmed!C31-CumulativeRecovered!C31-CumulativeDead!C31</f>
        <v>0</v>
      </c>
      <c r="D31">
        <f>CumulativeConfirmed!D31-CumulativeRecovered!D31-CumulativeDead!D31</f>
        <v>0</v>
      </c>
      <c r="E31">
        <f>CumulativeConfirmed!E31-CumulativeRecovered!E31-CumulativeDead!E31</f>
        <v>0</v>
      </c>
      <c r="F31">
        <f>CumulativeConfirmed!F31-CumulativeRecovered!F31-CumulativeDead!F31</f>
        <v>0</v>
      </c>
      <c r="G31">
        <f>CumulativeConfirmed!G31-CumulativeRecovered!G31-CumulativeDead!G31</f>
        <v>0</v>
      </c>
      <c r="H31">
        <f>CumulativeConfirmed!H31-CumulativeRecovered!H31-CumulativeDead!H31</f>
        <v>0</v>
      </c>
      <c r="I31">
        <f>CumulativeConfirmed!I31-CumulativeRecovered!I31-CumulativeDead!I31</f>
        <v>0</v>
      </c>
      <c r="J31">
        <f>CumulativeConfirmed!J31-CumulativeRecovered!J31-CumulativeDead!J31</f>
        <v>0</v>
      </c>
      <c r="K31">
        <f>CumulativeConfirmed!K31-CumulativeRecovered!K31-CumulativeDead!K31</f>
        <v>0</v>
      </c>
      <c r="L31">
        <f>CumulativeConfirmed!L31-CumulativeRecovered!L31-CumulativeDead!L31</f>
        <v>0</v>
      </c>
      <c r="M31">
        <f>CumulativeConfirmed!M31-CumulativeRecovered!M31-CumulativeDead!M31</f>
        <v>0</v>
      </c>
      <c r="N31">
        <f>CumulativeConfirmed!N31-CumulativeRecovered!N31-CumulativeDead!N31</f>
        <v>0</v>
      </c>
      <c r="O31">
        <f>CumulativeConfirmed!O31-CumulativeRecovered!O31-CumulativeDead!O31</f>
        <v>0</v>
      </c>
      <c r="P31">
        <f>CumulativeConfirmed!P31-CumulativeRecovered!P31-CumulativeDead!P31</f>
        <v>0</v>
      </c>
      <c r="Q31">
        <f>CumulativeConfirmed!Q31-CumulativeRecovered!Q31-CumulativeDead!Q31</f>
        <v>0</v>
      </c>
      <c r="R31">
        <f>CumulativeConfirmed!R31-CumulativeRecovered!R31-CumulativeDead!R31</f>
        <v>0</v>
      </c>
      <c r="S31">
        <f>CumulativeConfirmed!S31-CumulativeRecovered!S31-CumulativeDead!S31</f>
        <v>0</v>
      </c>
      <c r="T31">
        <f>CumulativeConfirmed!T31-CumulativeRecovered!T31-CumulativeDead!T31</f>
        <v>0</v>
      </c>
      <c r="U31">
        <f>CumulativeConfirmed!U31-CumulativeRecovered!U31-CumulativeDead!U31</f>
        <v>0</v>
      </c>
      <c r="V31">
        <f>CumulativeConfirmed!V31-CumulativeRecovered!V31-CumulativeDead!V31</f>
        <v>0</v>
      </c>
      <c r="W31">
        <f>CumulativeConfirmed!W31-CumulativeRecovered!W31-CumulativeDead!W31</f>
        <v>0</v>
      </c>
      <c r="X31">
        <f>CumulativeConfirmed!X31-CumulativeRecovered!X31-CumulativeDead!X31</f>
        <v>0</v>
      </c>
      <c r="Y31">
        <f>CumulativeConfirmed!Y31-CumulativeRecovered!Y31-CumulativeDead!Y31</f>
        <v>0</v>
      </c>
      <c r="Z31">
        <f>CumulativeConfirmed!Z31-CumulativeRecovered!Z31-CumulativeDead!Z31</f>
        <v>0</v>
      </c>
      <c r="AA31">
        <f>CumulativeConfirmed!AA31-CumulativeRecovered!AA31-CumulativeDead!AA31</f>
        <v>0</v>
      </c>
      <c r="AB31">
        <f>CumulativeConfirmed!AB31-CumulativeRecovered!AB31-CumulativeDead!AB31</f>
        <v>0</v>
      </c>
      <c r="AC31">
        <f>CumulativeConfirmed!AC31-CumulativeRecovered!AC31-CumulativeDead!AC31</f>
        <v>0</v>
      </c>
      <c r="AD31">
        <f>CumulativeConfirmed!AD31-CumulativeRecovered!AD31-CumulativeDead!AD31</f>
        <v>0</v>
      </c>
      <c r="AE31">
        <f>CumulativeConfirmed!AE31-CumulativeRecovered!AE31-CumulativeDead!AE31</f>
        <v>0</v>
      </c>
      <c r="AF31">
        <f>CumulativeConfirmed!AF31-CumulativeRecovered!AF31-CumulativeDead!AF31</f>
        <v>0</v>
      </c>
      <c r="AG31">
        <f>CumulativeConfirmed!AG31-CumulativeRecovered!AG31-CumulativeDead!AG31</f>
        <v>0</v>
      </c>
      <c r="AH31">
        <f>CumulativeConfirmed!AH31-CumulativeRecovered!AH31-CumulativeDead!AH31</f>
        <v>0</v>
      </c>
      <c r="AI31">
        <f>CumulativeConfirmed!AI31-CumulativeRecovered!AI31-CumulativeDead!AI31</f>
        <v>0</v>
      </c>
      <c r="AJ31">
        <f>CumulativeConfirmed!AJ31-CumulativeRecovered!AJ31-CumulativeDead!AJ31</f>
        <v>0</v>
      </c>
      <c r="AK31">
        <f>CumulativeConfirmed!AK31-CumulativeRecovered!AK31-CumulativeDead!AK31</f>
        <v>0</v>
      </c>
      <c r="AL31">
        <f>CumulativeConfirmed!AL31-CumulativeRecovered!AL31-CumulativeDead!AL31</f>
        <v>0</v>
      </c>
      <c r="AM31">
        <f>CumulativeConfirmed!AM31-CumulativeRecovered!AM31-CumulativeDead!AM31</f>
        <v>0</v>
      </c>
      <c r="AN31">
        <f>CumulativeConfirmed!AN31-CumulativeRecovered!AN31-CumulativeDead!AN31</f>
        <v>0</v>
      </c>
      <c r="AO31">
        <f>CumulativeConfirmed!AO31-CumulativeRecovered!AO31-CumulativeDead!AO31</f>
        <v>0</v>
      </c>
      <c r="AP31">
        <f>CumulativeConfirmed!AP31-CumulativeRecovered!AP31-CumulativeDead!AP31</f>
        <v>0</v>
      </c>
      <c r="AQ31">
        <f>CumulativeConfirmed!AQ31-CumulativeRecovered!AQ31-CumulativeDead!AQ31</f>
        <v>0</v>
      </c>
      <c r="AR31">
        <f>CumulativeConfirmed!AR31-CumulativeRecovered!AR31-CumulativeDead!AR31</f>
        <v>0</v>
      </c>
      <c r="AS31">
        <f>CumulativeConfirmed!AS31-CumulativeRecovered!AS31-CumulativeDead!AS31</f>
        <v>2</v>
      </c>
      <c r="AT31">
        <f>CumulativeConfirmed!AT31-CumulativeRecovered!AT31-CumulativeDead!AT31</f>
        <v>7</v>
      </c>
      <c r="AU31">
        <f>CumulativeConfirmed!AU31-CumulativeRecovered!AU31-CumulativeDead!AU31</f>
        <v>7</v>
      </c>
      <c r="AV31">
        <f>CumulativeConfirmed!AV31-CumulativeRecovered!AV31-CumulativeDead!AV31</f>
        <v>16</v>
      </c>
      <c r="AW31">
        <f>CumulativeConfirmed!AW31-CumulativeRecovered!AW31-CumulativeDead!AW31</f>
        <v>16</v>
      </c>
      <c r="AX31">
        <f>CumulativeConfirmed!AX31-CumulativeRecovered!AX31-CumulativeDead!AX31</f>
        <v>31</v>
      </c>
      <c r="AY31">
        <f>CumulativeConfirmed!AY31-CumulativeRecovered!AY31-CumulativeDead!AY31</f>
        <v>57</v>
      </c>
      <c r="AZ31">
        <f>CumulativeConfirmed!AZ31-CumulativeRecovered!AZ31-CumulativeDead!AZ31</f>
        <v>89</v>
      </c>
      <c r="BA31">
        <f>CumulativeConfirmed!BA31-CumulativeRecovered!BA31-CumulativeDead!BA31</f>
        <v>141</v>
      </c>
      <c r="BB31">
        <f>CumulativeConfirmed!BB31-CumulativeRecovered!BB31-CumulativeDead!BB31</f>
        <v>180</v>
      </c>
      <c r="BC31">
        <f>CumulativeConfirmed!BC31-CumulativeRecovered!BC31-CumulativeDead!BC31</f>
        <v>218</v>
      </c>
      <c r="BD31">
        <f>CumulativeConfirmed!BD31-CumulativeRecovered!BD31-CumulativeDead!BD31</f>
        <v>252</v>
      </c>
      <c r="BE31">
        <f>CumulativeConfirmed!BE31-CumulativeRecovered!BE31-CumulativeDead!BE31</f>
        <v>274</v>
      </c>
      <c r="BF31">
        <f>CumulativeConfirmed!BF31-CumulativeRecovered!BF31-CumulativeDead!BF31</f>
        <v>274</v>
      </c>
      <c r="BG31">
        <f>CumulativeConfirmed!BG31-CumulativeRecovered!BG31-CumulativeDead!BG31</f>
        <v>285</v>
      </c>
      <c r="BH31">
        <f>CumulativeConfirmed!BH31-CumulativeRecovered!BH31-CumulativeDead!BH31</f>
        <v>340</v>
      </c>
      <c r="BI31">
        <f>CumulativeConfirmed!BI31-CumulativeRecovered!BI31-CumulativeDead!BI31</f>
        <v>0</v>
      </c>
      <c r="BJ31">
        <f>CumulativeConfirmed!BJ31-CumulativeRecovered!BJ31-CumulativeDead!BJ31</f>
        <v>0</v>
      </c>
      <c r="BK31">
        <f>CumulativeConfirmed!BK31-CumulativeRecovered!BK31-CumulativeDead!BK31</f>
        <v>0</v>
      </c>
      <c r="BL31">
        <f>CumulativeConfirmed!BL31-CumulativeRecovered!BL31-CumulativeDead!BL31</f>
        <v>0</v>
      </c>
      <c r="BM31">
        <f>CumulativeConfirmed!BM31-CumulativeRecovered!BM31-CumulativeDead!BM31</f>
        <v>0</v>
      </c>
      <c r="BN31">
        <f>CumulativeConfirmed!BN31-CumulativeRecovered!BN31-CumulativeDead!BN31</f>
        <v>0</v>
      </c>
      <c r="BO31">
        <f>CumulativeConfirmed!BO31-CumulativeRecovered!BO31-CumulativeDead!BO31</f>
        <v>0</v>
      </c>
      <c r="BP31">
        <f>CumulativeConfirmed!BP31-CumulativeRecovered!BP31-CumulativeDead!BP31</f>
        <v>0</v>
      </c>
      <c r="BQ31">
        <f>CumulativeConfirmed!BQ31-CumulativeRecovered!BQ31-CumulativeDead!BQ31</f>
        <v>0</v>
      </c>
      <c r="BR31">
        <f>CumulativeConfirmed!BR31-CumulativeRecovered!BR31-CumulativeDead!BR31</f>
        <v>0</v>
      </c>
      <c r="BS31">
        <f>CumulativeConfirmed!BS31-CumulativeRecovered!BS31-CumulativeDead!BS31</f>
        <v>0</v>
      </c>
      <c r="BT31">
        <f>CumulativeConfirmed!BT31-CumulativeRecovered!BT31-CumulativeDead!BT31</f>
        <v>0</v>
      </c>
    </row>
    <row r="32" spans="1:72" ht="15" thickBot="1" x14ac:dyDescent="0.35">
      <c r="A32" s="4" t="s">
        <v>92</v>
      </c>
      <c r="B32">
        <f>CumulativeConfirmed!B32-CumulativeRecovered!B32-CumulativeDead!B32</f>
        <v>0</v>
      </c>
      <c r="C32">
        <f>CumulativeConfirmed!C32-CumulativeRecovered!C32-CumulativeDead!C32</f>
        <v>0</v>
      </c>
      <c r="D32">
        <f>CumulativeConfirmed!D32-CumulativeRecovered!D32-CumulativeDead!D32</f>
        <v>0</v>
      </c>
      <c r="E32">
        <f>CumulativeConfirmed!E32-CumulativeRecovered!E32-CumulativeDead!E32</f>
        <v>0</v>
      </c>
      <c r="F32">
        <f>CumulativeConfirmed!F32-CumulativeRecovered!F32-CumulativeDead!F32</f>
        <v>0</v>
      </c>
      <c r="G32">
        <f>CumulativeConfirmed!G32-CumulativeRecovered!G32-CumulativeDead!G32</f>
        <v>0</v>
      </c>
      <c r="H32">
        <f>CumulativeConfirmed!H32-CumulativeRecovered!H32-CumulativeDead!H32</f>
        <v>0</v>
      </c>
      <c r="I32">
        <f>CumulativeConfirmed!I32-CumulativeRecovered!I32-CumulativeDead!I32</f>
        <v>0</v>
      </c>
      <c r="J32">
        <f>CumulativeConfirmed!J32-CumulativeRecovered!J32-CumulativeDead!J32</f>
        <v>0</v>
      </c>
      <c r="K32">
        <f>CumulativeConfirmed!K32-CumulativeRecovered!K32-CumulativeDead!K32</f>
        <v>0</v>
      </c>
      <c r="L32">
        <f>CumulativeConfirmed!L32-CumulativeRecovered!L32-CumulativeDead!L32</f>
        <v>0</v>
      </c>
      <c r="M32">
        <f>CumulativeConfirmed!M32-CumulativeRecovered!M32-CumulativeDead!M32</f>
        <v>0</v>
      </c>
      <c r="N32">
        <f>CumulativeConfirmed!N32-CumulativeRecovered!N32-CumulativeDead!N32</f>
        <v>0</v>
      </c>
      <c r="O32">
        <f>CumulativeConfirmed!O32-CumulativeRecovered!O32-CumulativeDead!O32</f>
        <v>0</v>
      </c>
      <c r="P32">
        <f>CumulativeConfirmed!P32-CumulativeRecovered!P32-CumulativeDead!P32</f>
        <v>0</v>
      </c>
      <c r="Q32">
        <f>CumulativeConfirmed!Q32-CumulativeRecovered!Q32-CumulativeDead!Q32</f>
        <v>0</v>
      </c>
      <c r="R32">
        <f>CumulativeConfirmed!R32-CumulativeRecovered!R32-CumulativeDead!R32</f>
        <v>0</v>
      </c>
      <c r="S32">
        <f>CumulativeConfirmed!S32-CumulativeRecovered!S32-CumulativeDead!S32</f>
        <v>0</v>
      </c>
      <c r="T32">
        <f>CumulativeConfirmed!T32-CumulativeRecovered!T32-CumulativeDead!T32</f>
        <v>0</v>
      </c>
      <c r="U32">
        <f>CumulativeConfirmed!U32-CumulativeRecovered!U32-CumulativeDead!U32</f>
        <v>0</v>
      </c>
      <c r="V32">
        <f>CumulativeConfirmed!V32-CumulativeRecovered!V32-CumulativeDead!V32</f>
        <v>0</v>
      </c>
      <c r="W32">
        <f>CumulativeConfirmed!W32-CumulativeRecovered!W32-CumulativeDead!W32</f>
        <v>0</v>
      </c>
      <c r="X32">
        <f>CumulativeConfirmed!X32-CumulativeRecovered!X32-CumulativeDead!X32</f>
        <v>0</v>
      </c>
      <c r="Y32">
        <f>CumulativeConfirmed!Y32-CumulativeRecovered!Y32-CumulativeDead!Y32</f>
        <v>0</v>
      </c>
      <c r="Z32">
        <f>CumulativeConfirmed!Z32-CumulativeRecovered!Z32-CumulativeDead!Z32</f>
        <v>0</v>
      </c>
      <c r="AA32">
        <f>CumulativeConfirmed!AA32-CumulativeRecovered!AA32-CumulativeDead!AA32</f>
        <v>0</v>
      </c>
      <c r="AB32">
        <f>CumulativeConfirmed!AB32-CumulativeRecovered!AB32-CumulativeDead!AB32</f>
        <v>0</v>
      </c>
      <c r="AC32">
        <f>CumulativeConfirmed!AC32-CumulativeRecovered!AC32-CumulativeDead!AC32</f>
        <v>0</v>
      </c>
      <c r="AD32">
        <f>CumulativeConfirmed!AD32-CumulativeRecovered!AD32-CumulativeDead!AD32</f>
        <v>0</v>
      </c>
      <c r="AE32">
        <f>CumulativeConfirmed!AE32-CumulativeRecovered!AE32-CumulativeDead!AE32</f>
        <v>0</v>
      </c>
      <c r="AF32">
        <f>CumulativeConfirmed!AF32-CumulativeRecovered!AF32-CumulativeDead!AF32</f>
        <v>0</v>
      </c>
      <c r="AG32">
        <f>CumulativeConfirmed!AG32-CumulativeRecovered!AG32-CumulativeDead!AG32</f>
        <v>0</v>
      </c>
      <c r="AH32">
        <f>CumulativeConfirmed!AH32-CumulativeRecovered!AH32-CumulativeDead!AH32</f>
        <v>0</v>
      </c>
      <c r="AI32">
        <f>CumulativeConfirmed!AI32-CumulativeRecovered!AI32-CumulativeDead!AI32</f>
        <v>0</v>
      </c>
      <c r="AJ32">
        <f>CumulativeConfirmed!AJ32-CumulativeRecovered!AJ32-CumulativeDead!AJ32</f>
        <v>0</v>
      </c>
      <c r="AK32">
        <f>CumulativeConfirmed!AK32-CumulativeRecovered!AK32-CumulativeDead!AK32</f>
        <v>0</v>
      </c>
      <c r="AL32">
        <f>CumulativeConfirmed!AL32-CumulativeRecovered!AL32-CumulativeDead!AL32</f>
        <v>0</v>
      </c>
      <c r="AM32">
        <f>CumulativeConfirmed!AM32-CumulativeRecovered!AM32-CumulativeDead!AM32</f>
        <v>1</v>
      </c>
      <c r="AN32">
        <f>CumulativeConfirmed!AN32-CumulativeRecovered!AN32-CumulativeDead!AN32</f>
        <v>1</v>
      </c>
      <c r="AO32">
        <f>CumulativeConfirmed!AO32-CumulativeRecovered!AO32-CumulativeDead!AO32</f>
        <v>3</v>
      </c>
      <c r="AP32">
        <f>CumulativeConfirmed!AP32-CumulativeRecovered!AP32-CumulativeDead!AP32</f>
        <v>6</v>
      </c>
      <c r="AQ32">
        <f>CumulativeConfirmed!AQ32-CumulativeRecovered!AQ32-CumulativeDead!AQ32</f>
        <v>11</v>
      </c>
      <c r="AR32">
        <f>CumulativeConfirmed!AR32-CumulativeRecovered!AR32-CumulativeDead!AR32</f>
        <v>26</v>
      </c>
      <c r="AS32">
        <f>CumulativeConfirmed!AS32-CumulativeRecovered!AS32-CumulativeDead!AS32</f>
        <v>34</v>
      </c>
      <c r="AT32">
        <f>CumulativeConfirmed!AT32-CumulativeRecovered!AT32-CumulativeDead!AT32</f>
        <v>43</v>
      </c>
      <c r="AU32">
        <f>CumulativeConfirmed!AU32-CumulativeRecovered!AU32-CumulativeDead!AU32</f>
        <v>50</v>
      </c>
      <c r="AV32">
        <f>CumulativeConfirmed!AV32-CumulativeRecovered!AV32-CumulativeDead!AV32</f>
        <v>50</v>
      </c>
      <c r="AW32">
        <f>CumulativeConfirmed!AW32-CumulativeRecovered!AW32-CumulativeDead!AW32</f>
        <v>58</v>
      </c>
      <c r="AX32">
        <f>CumulativeConfirmed!AX32-CumulativeRecovered!AX32-CumulativeDead!AX32</f>
        <v>68</v>
      </c>
      <c r="AY32">
        <f>CumulativeConfirmed!AY32-CumulativeRecovered!AY32-CumulativeDead!AY32</f>
        <v>84</v>
      </c>
      <c r="AZ32">
        <f>CumulativeConfirmed!AZ32-CumulativeRecovered!AZ32-CumulativeDead!AZ32</f>
        <v>102</v>
      </c>
      <c r="BA32">
        <f>CumulativeConfirmed!BA32-CumulativeRecovered!BA32-CumulativeDead!BA32</f>
        <v>133</v>
      </c>
      <c r="BB32">
        <f>CumulativeConfirmed!BB32-CumulativeRecovered!BB32-CumulativeDead!BB32</f>
        <v>155</v>
      </c>
      <c r="BC32">
        <f>CumulativeConfirmed!BC32-CumulativeRecovered!BC32-CumulativeDead!BC32</f>
        <v>158</v>
      </c>
      <c r="BD32">
        <f>CumulativeConfirmed!BD32-CumulativeRecovered!BD32-CumulativeDead!BD32</f>
        <v>180</v>
      </c>
      <c r="BE32">
        <f>CumulativeConfirmed!BE32-CumulativeRecovered!BE32-CumulativeDead!BE32</f>
        <v>219</v>
      </c>
      <c r="BF32">
        <f>CumulativeConfirmed!BF32-CumulativeRecovered!BF32-CumulativeDead!BF32</f>
        <v>244</v>
      </c>
      <c r="BG32">
        <f>CumulativeConfirmed!BG32-CumulativeRecovered!BG32-CumulativeDead!BG32</f>
        <v>324</v>
      </c>
      <c r="BH32">
        <f>CumulativeConfirmed!BH32-CumulativeRecovered!BH32-CumulativeDead!BH32</f>
        <v>404</v>
      </c>
      <c r="BI32">
        <f>CumulativeConfirmed!BI32-CumulativeRecovered!BI32-CumulativeDead!BI32</f>
        <v>0</v>
      </c>
      <c r="BJ32">
        <f>CumulativeConfirmed!BJ32-CumulativeRecovered!BJ32-CumulativeDead!BJ32</f>
        <v>0</v>
      </c>
      <c r="BK32">
        <f>CumulativeConfirmed!BK32-CumulativeRecovered!BK32-CumulativeDead!BK32</f>
        <v>0</v>
      </c>
      <c r="BL32">
        <f>CumulativeConfirmed!BL32-CumulativeRecovered!BL32-CumulativeDead!BL32</f>
        <v>0</v>
      </c>
      <c r="BM32">
        <f>CumulativeConfirmed!BM32-CumulativeRecovered!BM32-CumulativeDead!BM32</f>
        <v>0</v>
      </c>
      <c r="BN32">
        <f>CumulativeConfirmed!BN32-CumulativeRecovered!BN32-CumulativeDead!BN32</f>
        <v>0</v>
      </c>
      <c r="BO32">
        <f>CumulativeConfirmed!BO32-CumulativeRecovered!BO32-CumulativeDead!BO32</f>
        <v>0</v>
      </c>
      <c r="BP32">
        <f>CumulativeConfirmed!BP32-CumulativeRecovered!BP32-CumulativeDead!BP32</f>
        <v>0</v>
      </c>
      <c r="BQ32">
        <f>CumulativeConfirmed!BQ32-CumulativeRecovered!BQ32-CumulativeDead!BQ32</f>
        <v>0</v>
      </c>
      <c r="BR32">
        <f>CumulativeConfirmed!BR32-CumulativeRecovered!BR32-CumulativeDead!BR32</f>
        <v>0</v>
      </c>
      <c r="BS32">
        <f>CumulativeConfirmed!BS32-CumulativeRecovered!BS32-CumulativeDead!BS32</f>
        <v>0</v>
      </c>
      <c r="BT32">
        <f>CumulativeConfirmed!BT32-CumulativeRecovered!BT32-CumulativeDead!BT32</f>
        <v>0</v>
      </c>
    </row>
    <row r="33" spans="1:72" ht="15" thickBot="1" x14ac:dyDescent="0.35">
      <c r="A33" s="3" t="s">
        <v>108</v>
      </c>
      <c r="B33">
        <f>CumulativeConfirmed!B33-CumulativeRecovered!B33-CumulativeDead!B33</f>
        <v>0</v>
      </c>
      <c r="C33">
        <f>CumulativeConfirmed!C33-CumulativeRecovered!C33-CumulativeDead!C33</f>
        <v>0</v>
      </c>
      <c r="D33">
        <f>CumulativeConfirmed!D33-CumulativeRecovered!D33-CumulativeDead!D33</f>
        <v>0</v>
      </c>
      <c r="E33">
        <f>CumulativeConfirmed!E33-CumulativeRecovered!E33-CumulativeDead!E33</f>
        <v>0</v>
      </c>
      <c r="F33">
        <f>CumulativeConfirmed!F33-CumulativeRecovered!F33-CumulativeDead!F33</f>
        <v>0</v>
      </c>
      <c r="G33">
        <f>CumulativeConfirmed!G33-CumulativeRecovered!G33-CumulativeDead!G33</f>
        <v>0</v>
      </c>
      <c r="H33">
        <f>CumulativeConfirmed!H33-CumulativeRecovered!H33-CumulativeDead!H33</f>
        <v>0</v>
      </c>
      <c r="I33">
        <f>CumulativeConfirmed!I33-CumulativeRecovered!I33-CumulativeDead!I33</f>
        <v>0</v>
      </c>
      <c r="J33">
        <f>CumulativeConfirmed!J33-CumulativeRecovered!J33-CumulativeDead!J33</f>
        <v>0</v>
      </c>
      <c r="K33">
        <f>CumulativeConfirmed!K33-CumulativeRecovered!K33-CumulativeDead!K33</f>
        <v>0</v>
      </c>
      <c r="L33">
        <f>CumulativeConfirmed!L33-CumulativeRecovered!L33-CumulativeDead!L33</f>
        <v>0</v>
      </c>
      <c r="M33">
        <f>CumulativeConfirmed!M33-CumulativeRecovered!M33-CumulativeDead!M33</f>
        <v>0</v>
      </c>
      <c r="N33">
        <f>CumulativeConfirmed!N33-CumulativeRecovered!N33-CumulativeDead!N33</f>
        <v>0</v>
      </c>
      <c r="O33">
        <f>CumulativeConfirmed!O33-CumulativeRecovered!O33-CumulativeDead!O33</f>
        <v>0</v>
      </c>
      <c r="P33">
        <f>CumulativeConfirmed!P33-CumulativeRecovered!P33-CumulativeDead!P33</f>
        <v>0</v>
      </c>
      <c r="Q33">
        <f>CumulativeConfirmed!Q33-CumulativeRecovered!Q33-CumulativeDead!Q33</f>
        <v>0</v>
      </c>
      <c r="R33">
        <f>CumulativeConfirmed!R33-CumulativeRecovered!R33-CumulativeDead!R33</f>
        <v>0</v>
      </c>
      <c r="S33">
        <f>CumulativeConfirmed!S33-CumulativeRecovered!S33-CumulativeDead!S33</f>
        <v>0</v>
      </c>
      <c r="T33">
        <f>CumulativeConfirmed!T33-CumulativeRecovered!T33-CumulativeDead!T33</f>
        <v>0</v>
      </c>
      <c r="U33">
        <f>CumulativeConfirmed!U33-CumulativeRecovered!U33-CumulativeDead!U33</f>
        <v>0</v>
      </c>
      <c r="V33">
        <f>CumulativeConfirmed!V33-CumulativeRecovered!V33-CumulativeDead!V33</f>
        <v>0</v>
      </c>
      <c r="W33">
        <f>CumulativeConfirmed!W33-CumulativeRecovered!W33-CumulativeDead!W33</f>
        <v>0</v>
      </c>
      <c r="X33">
        <f>CumulativeConfirmed!X33-CumulativeRecovered!X33-CumulativeDead!X33</f>
        <v>0</v>
      </c>
      <c r="Y33">
        <f>CumulativeConfirmed!Y33-CumulativeRecovered!Y33-CumulativeDead!Y33</f>
        <v>0</v>
      </c>
      <c r="Z33">
        <f>CumulativeConfirmed!Z33-CumulativeRecovered!Z33-CumulativeDead!Z33</f>
        <v>0</v>
      </c>
      <c r="AA33">
        <f>CumulativeConfirmed!AA33-CumulativeRecovered!AA33-CumulativeDead!AA33</f>
        <v>0</v>
      </c>
      <c r="AB33">
        <f>CumulativeConfirmed!AB33-CumulativeRecovered!AB33-CumulativeDead!AB33</f>
        <v>0</v>
      </c>
      <c r="AC33">
        <f>CumulativeConfirmed!AC33-CumulativeRecovered!AC33-CumulativeDead!AC33</f>
        <v>0</v>
      </c>
      <c r="AD33">
        <f>CumulativeConfirmed!AD33-CumulativeRecovered!AD33-CumulativeDead!AD33</f>
        <v>0</v>
      </c>
      <c r="AE33">
        <f>CumulativeConfirmed!AE33-CumulativeRecovered!AE33-CumulativeDead!AE33</f>
        <v>0</v>
      </c>
      <c r="AF33">
        <f>CumulativeConfirmed!AF33-CumulativeRecovered!AF33-CumulativeDead!AF33</f>
        <v>0</v>
      </c>
      <c r="AG33">
        <f>CumulativeConfirmed!AG33-CumulativeRecovered!AG33-CumulativeDead!AG33</f>
        <v>0</v>
      </c>
      <c r="AH33">
        <f>CumulativeConfirmed!AH33-CumulativeRecovered!AH33-CumulativeDead!AH33</f>
        <v>0</v>
      </c>
      <c r="AI33">
        <f>CumulativeConfirmed!AI33-CumulativeRecovered!AI33-CumulativeDead!AI33</f>
        <v>0</v>
      </c>
      <c r="AJ33">
        <f>CumulativeConfirmed!AJ33-CumulativeRecovered!AJ33-CumulativeDead!AJ33</f>
        <v>0</v>
      </c>
      <c r="AK33">
        <f>CumulativeConfirmed!AK33-CumulativeRecovered!AK33-CumulativeDead!AK33</f>
        <v>0</v>
      </c>
      <c r="AL33">
        <f>CumulativeConfirmed!AL33-CumulativeRecovered!AL33-CumulativeDead!AL33</f>
        <v>0</v>
      </c>
      <c r="AM33">
        <f>CumulativeConfirmed!AM33-CumulativeRecovered!AM33-CumulativeDead!AM33</f>
        <v>0</v>
      </c>
      <c r="AN33">
        <f>CumulativeConfirmed!AN33-CumulativeRecovered!AN33-CumulativeDead!AN33</f>
        <v>0</v>
      </c>
      <c r="AO33">
        <f>CumulativeConfirmed!AO33-CumulativeRecovered!AO33-CumulativeDead!AO33</f>
        <v>0</v>
      </c>
      <c r="AP33">
        <f>CumulativeConfirmed!AP33-CumulativeRecovered!AP33-CumulativeDead!AP33</f>
        <v>2</v>
      </c>
      <c r="AQ33">
        <f>CumulativeConfirmed!AQ33-CumulativeRecovered!AQ33-CumulativeDead!AQ33</f>
        <v>2</v>
      </c>
      <c r="AR33">
        <f>CumulativeConfirmed!AR33-CumulativeRecovered!AR33-CumulativeDead!AR33</f>
        <v>5</v>
      </c>
      <c r="AS33">
        <f>CumulativeConfirmed!AS33-CumulativeRecovered!AS33-CumulativeDead!AS33</f>
        <v>8</v>
      </c>
      <c r="AT33">
        <f>CumulativeConfirmed!AT33-CumulativeRecovered!AT33-CumulativeDead!AT33</f>
        <v>13</v>
      </c>
      <c r="AU33">
        <f>CumulativeConfirmed!AU33-CumulativeRecovered!AU33-CumulativeDead!AU33</f>
        <v>20</v>
      </c>
      <c r="AV33">
        <f>CumulativeConfirmed!AV33-CumulativeRecovered!AV33-CumulativeDead!AV33</f>
        <v>30</v>
      </c>
      <c r="AW33">
        <f>CumulativeConfirmed!AW33-CumulativeRecovered!AW33-CumulativeDead!AW33</f>
        <v>30</v>
      </c>
      <c r="AX33">
        <f>CumulativeConfirmed!AX33-CumulativeRecovered!AX33-CumulativeDead!AX33</f>
        <v>41</v>
      </c>
      <c r="AY33">
        <f>CumulativeConfirmed!AY33-CumulativeRecovered!AY33-CumulativeDead!AY33</f>
        <v>59</v>
      </c>
      <c r="AZ33">
        <f>CumulativeConfirmed!AZ33-CumulativeRecovered!AZ33-CumulativeDead!AZ33</f>
        <v>59</v>
      </c>
      <c r="BA33">
        <f>CumulativeConfirmed!BA33-CumulativeRecovered!BA33-CumulativeDead!BA33</f>
        <v>111</v>
      </c>
      <c r="BB33">
        <f>CumulativeConfirmed!BB33-CumulativeRecovered!BB33-CumulativeDead!BB33</f>
        <v>167</v>
      </c>
      <c r="BC33">
        <f>CumulativeConfirmed!BC33-CumulativeRecovered!BC33-CumulativeDead!BC33</f>
        <v>243</v>
      </c>
      <c r="BD33">
        <f>CumulativeConfirmed!BD33-CumulativeRecovered!BD33-CumulativeDead!BD33</f>
        <v>328</v>
      </c>
      <c r="BE33">
        <f>CumulativeConfirmed!BE33-CumulativeRecovered!BE33-CumulativeDead!BE33</f>
        <v>444</v>
      </c>
      <c r="BF33">
        <f>CumulativeConfirmed!BF33-CumulativeRecovered!BF33-CumulativeDead!BF33</f>
        <v>443</v>
      </c>
      <c r="BG33">
        <f>CumulativeConfirmed!BG33-CumulativeRecovered!BG33-CumulativeDead!BG33</f>
        <v>779</v>
      </c>
      <c r="BH33">
        <f>CumulativeConfirmed!BH33-CumulativeRecovered!BH33-CumulativeDead!BH33</f>
        <v>1009</v>
      </c>
      <c r="BI33">
        <f>CumulativeConfirmed!BI33-CumulativeRecovered!BI33-CumulativeDead!BI33</f>
        <v>0</v>
      </c>
      <c r="BJ33">
        <f>CumulativeConfirmed!BJ33-CumulativeRecovered!BJ33-CumulativeDead!BJ33</f>
        <v>0</v>
      </c>
      <c r="BK33">
        <f>CumulativeConfirmed!BK33-CumulativeRecovered!BK33-CumulativeDead!BK33</f>
        <v>0</v>
      </c>
      <c r="BL33">
        <f>CumulativeConfirmed!BL33-CumulativeRecovered!BL33-CumulativeDead!BL33</f>
        <v>0</v>
      </c>
      <c r="BM33">
        <f>CumulativeConfirmed!BM33-CumulativeRecovered!BM33-CumulativeDead!BM33</f>
        <v>0</v>
      </c>
      <c r="BN33">
        <f>CumulativeConfirmed!BN33-CumulativeRecovered!BN33-CumulativeDead!BN33</f>
        <v>0</v>
      </c>
      <c r="BO33">
        <f>CumulativeConfirmed!BO33-CumulativeRecovered!BO33-CumulativeDead!BO33</f>
        <v>0</v>
      </c>
      <c r="BP33">
        <f>CumulativeConfirmed!BP33-CumulativeRecovered!BP33-CumulativeDead!BP33</f>
        <v>0</v>
      </c>
      <c r="BQ33">
        <f>CumulativeConfirmed!BQ33-CumulativeRecovered!BQ33-CumulativeDead!BQ33</f>
        <v>0</v>
      </c>
      <c r="BR33">
        <f>CumulativeConfirmed!BR33-CumulativeRecovered!BR33-CumulativeDead!BR33</f>
        <v>0</v>
      </c>
      <c r="BS33">
        <f>CumulativeConfirmed!BS33-CumulativeRecovered!BS33-CumulativeDead!BS33</f>
        <v>0</v>
      </c>
      <c r="BT33">
        <f>CumulativeConfirmed!BT33-CumulativeRecovered!BT33-CumulativeDead!BT33</f>
        <v>0</v>
      </c>
    </row>
    <row r="34" spans="1:72" ht="15" thickBot="1" x14ac:dyDescent="0.35">
      <c r="A34" s="3" t="s">
        <v>70</v>
      </c>
      <c r="B34">
        <f>CumulativeConfirmed!B34-CumulativeRecovered!B34-CumulativeDead!B34</f>
        <v>0</v>
      </c>
      <c r="C34">
        <f>CumulativeConfirmed!C34-CumulativeRecovered!C34-CumulativeDead!C34</f>
        <v>0</v>
      </c>
      <c r="D34">
        <f>CumulativeConfirmed!D34-CumulativeRecovered!D34-CumulativeDead!D34</f>
        <v>0</v>
      </c>
      <c r="E34">
        <f>CumulativeConfirmed!E34-CumulativeRecovered!E34-CumulativeDead!E34</f>
        <v>0</v>
      </c>
      <c r="F34">
        <f>CumulativeConfirmed!F34-CumulativeRecovered!F34-CumulativeDead!F34</f>
        <v>0</v>
      </c>
      <c r="G34">
        <f>CumulativeConfirmed!G34-CumulativeRecovered!G34-CumulativeDead!G34</f>
        <v>0</v>
      </c>
      <c r="H34">
        <f>CumulativeConfirmed!H34-CumulativeRecovered!H34-CumulativeDead!H34</f>
        <v>0</v>
      </c>
      <c r="I34">
        <f>CumulativeConfirmed!I34-CumulativeRecovered!I34-CumulativeDead!I34</f>
        <v>0</v>
      </c>
      <c r="J34">
        <f>CumulativeConfirmed!J34-CumulativeRecovered!J34-CumulativeDead!J34</f>
        <v>0</v>
      </c>
      <c r="K34">
        <f>CumulativeConfirmed!K34-CumulativeRecovered!K34-CumulativeDead!K34</f>
        <v>0</v>
      </c>
      <c r="L34">
        <f>CumulativeConfirmed!L34-CumulativeRecovered!L34-CumulativeDead!L34</f>
        <v>0</v>
      </c>
      <c r="M34">
        <f>CumulativeConfirmed!M34-CumulativeRecovered!M34-CumulativeDead!M34</f>
        <v>0</v>
      </c>
      <c r="N34">
        <f>CumulativeConfirmed!N34-CumulativeRecovered!N34-CumulativeDead!N34</f>
        <v>0</v>
      </c>
      <c r="O34">
        <f>CumulativeConfirmed!O34-CumulativeRecovered!O34-CumulativeDead!O34</f>
        <v>0</v>
      </c>
      <c r="P34">
        <f>CumulativeConfirmed!P34-CumulativeRecovered!P34-CumulativeDead!P34</f>
        <v>0</v>
      </c>
      <c r="Q34">
        <f>CumulativeConfirmed!Q34-CumulativeRecovered!Q34-CumulativeDead!Q34</f>
        <v>0</v>
      </c>
      <c r="R34">
        <f>CumulativeConfirmed!R34-CumulativeRecovered!R34-CumulativeDead!R34</f>
        <v>0</v>
      </c>
      <c r="S34">
        <f>CumulativeConfirmed!S34-CumulativeRecovered!S34-CumulativeDead!S34</f>
        <v>0</v>
      </c>
      <c r="T34">
        <f>CumulativeConfirmed!T34-CumulativeRecovered!T34-CumulativeDead!T34</f>
        <v>0</v>
      </c>
      <c r="U34">
        <f>CumulativeConfirmed!U34-CumulativeRecovered!U34-CumulativeDead!U34</f>
        <v>0</v>
      </c>
      <c r="V34">
        <f>CumulativeConfirmed!V34-CumulativeRecovered!V34-CumulativeDead!V34</f>
        <v>0</v>
      </c>
      <c r="W34">
        <f>CumulativeConfirmed!W34-CumulativeRecovered!W34-CumulativeDead!W34</f>
        <v>0</v>
      </c>
      <c r="X34">
        <f>CumulativeConfirmed!X34-CumulativeRecovered!X34-CumulativeDead!X34</f>
        <v>0</v>
      </c>
      <c r="Y34">
        <f>CumulativeConfirmed!Y34-CumulativeRecovered!Y34-CumulativeDead!Y34</f>
        <v>0</v>
      </c>
      <c r="Z34">
        <f>CumulativeConfirmed!Z34-CumulativeRecovered!Z34-CumulativeDead!Z34</f>
        <v>0</v>
      </c>
      <c r="AA34">
        <f>CumulativeConfirmed!AA34-CumulativeRecovered!AA34-CumulativeDead!AA34</f>
        <v>0</v>
      </c>
      <c r="AB34">
        <f>CumulativeConfirmed!AB34-CumulativeRecovered!AB34-CumulativeDead!AB34</f>
        <v>0</v>
      </c>
      <c r="AC34">
        <f>CumulativeConfirmed!AC34-CumulativeRecovered!AC34-CumulativeDead!AC34</f>
        <v>0</v>
      </c>
      <c r="AD34">
        <f>CumulativeConfirmed!AD34-CumulativeRecovered!AD34-CumulativeDead!AD34</f>
        <v>0</v>
      </c>
      <c r="AE34">
        <f>CumulativeConfirmed!AE34-CumulativeRecovered!AE34-CumulativeDead!AE34</f>
        <v>0</v>
      </c>
      <c r="AF34">
        <f>CumulativeConfirmed!AF34-CumulativeRecovered!AF34-CumulativeDead!AF34</f>
        <v>0</v>
      </c>
      <c r="AG34">
        <f>CumulativeConfirmed!AG34-CumulativeRecovered!AG34-CumulativeDead!AG34</f>
        <v>0</v>
      </c>
      <c r="AH34">
        <f>CumulativeConfirmed!AH34-CumulativeRecovered!AH34-CumulativeDead!AH34</f>
        <v>0</v>
      </c>
      <c r="AI34">
        <f>CumulativeConfirmed!AI34-CumulativeRecovered!AI34-CumulativeDead!AI34</f>
        <v>1</v>
      </c>
      <c r="AJ34">
        <f>CumulativeConfirmed!AJ34-CumulativeRecovered!AJ34-CumulativeDead!AJ34</f>
        <v>1</v>
      </c>
      <c r="AK34">
        <f>CumulativeConfirmed!AK34-CumulativeRecovered!AK34-CumulativeDead!AK34</f>
        <v>5</v>
      </c>
      <c r="AL34">
        <f>CumulativeConfirmed!AL34-CumulativeRecovered!AL34-CumulativeDead!AL34</f>
        <v>7</v>
      </c>
      <c r="AM34">
        <f>CumulativeConfirmed!AM34-CumulativeRecovered!AM34-CumulativeDead!AM34</f>
        <v>7</v>
      </c>
      <c r="AN34">
        <f>CumulativeConfirmed!AN34-CumulativeRecovered!AN34-CumulativeDead!AN34</f>
        <v>13</v>
      </c>
      <c r="AO34">
        <f>CumulativeConfirmed!AO34-CumulativeRecovered!AO34-CumulativeDead!AO34</f>
        <v>19</v>
      </c>
      <c r="AP34">
        <f>CumulativeConfirmed!AP34-CumulativeRecovered!AP34-CumulativeDead!AP34</f>
        <v>26</v>
      </c>
      <c r="AQ34">
        <f>CumulativeConfirmed!AQ34-CumulativeRecovered!AQ34-CumulativeDead!AQ34</f>
        <v>32</v>
      </c>
      <c r="AR34">
        <f>CumulativeConfirmed!AR34-CumulativeRecovered!AR34-CumulativeDead!AR34</f>
        <v>33</v>
      </c>
      <c r="AS34">
        <f>CumulativeConfirmed!AS34-CumulativeRecovered!AS34-CumulativeDead!AS34</f>
        <v>33</v>
      </c>
      <c r="AT34">
        <f>CumulativeConfirmed!AT34-CumulativeRecovered!AT34-CumulativeDead!AT34</f>
        <v>37</v>
      </c>
      <c r="AU34">
        <f>CumulativeConfirmed!AU34-CumulativeRecovered!AU34-CumulativeDead!AU34</f>
        <v>50</v>
      </c>
      <c r="AV34">
        <f>CumulativeConfirmed!AV34-CumulativeRecovered!AV34-CumulativeDead!AV34</f>
        <v>54</v>
      </c>
      <c r="AW34">
        <f>CumulativeConfirmed!AW34-CumulativeRecovered!AW34-CumulativeDead!AW34</f>
        <v>51</v>
      </c>
      <c r="AX34">
        <f>CumulativeConfirmed!AX34-CumulativeRecovered!AX34-CumulativeDead!AX34</f>
        <v>61</v>
      </c>
      <c r="AY34">
        <f>CumulativeConfirmed!AY34-CumulativeRecovered!AY34-CumulativeDead!AY34</f>
        <v>49</v>
      </c>
      <c r="AZ34">
        <f>CumulativeConfirmed!AZ34-CumulativeRecovered!AZ34-CumulativeDead!AZ34</f>
        <v>48</v>
      </c>
      <c r="BA34">
        <f>CumulativeConfirmed!BA34-CumulativeRecovered!BA34-CumulativeDead!BA34</f>
        <v>68</v>
      </c>
      <c r="BB34">
        <f>CumulativeConfirmed!BB34-CumulativeRecovered!BB34-CumulativeDead!BB34</f>
        <v>74</v>
      </c>
      <c r="BC34">
        <f>CumulativeConfirmed!BC34-CumulativeRecovered!BC34-CumulativeDead!BC34</f>
        <v>80</v>
      </c>
      <c r="BD34">
        <f>CumulativeConfirmed!BD34-CumulativeRecovered!BD34-CumulativeDead!BD34</f>
        <v>88</v>
      </c>
      <c r="BE34">
        <f>CumulativeConfirmed!BE34-CumulativeRecovered!BE34-CumulativeDead!BE34</f>
        <v>111</v>
      </c>
      <c r="BF34">
        <f>CumulativeConfirmed!BF34-CumulativeRecovered!BF34-CumulativeDead!BF34</f>
        <v>109</v>
      </c>
      <c r="BG34">
        <f>CumulativeConfirmed!BG34-CumulativeRecovered!BG34-CumulativeDead!BG34</f>
        <v>136</v>
      </c>
      <c r="BH34">
        <f>CumulativeConfirmed!BH34-CumulativeRecovered!BH34-CumulativeDead!BH34</f>
        <v>142</v>
      </c>
      <c r="BI34">
        <f>CumulativeConfirmed!BI34-CumulativeRecovered!BI34-CumulativeDead!BI34</f>
        <v>0</v>
      </c>
      <c r="BJ34">
        <f>CumulativeConfirmed!BJ34-CumulativeRecovered!BJ34-CumulativeDead!BJ34</f>
        <v>0</v>
      </c>
      <c r="BK34">
        <f>CumulativeConfirmed!BK34-CumulativeRecovered!BK34-CumulativeDead!BK34</f>
        <v>0</v>
      </c>
      <c r="BL34">
        <f>CumulativeConfirmed!BL34-CumulativeRecovered!BL34-CumulativeDead!BL34</f>
        <v>0</v>
      </c>
      <c r="BM34">
        <f>CumulativeConfirmed!BM34-CumulativeRecovered!BM34-CumulativeDead!BM34</f>
        <v>0</v>
      </c>
      <c r="BN34">
        <f>CumulativeConfirmed!BN34-CumulativeRecovered!BN34-CumulativeDead!BN34</f>
        <v>0</v>
      </c>
      <c r="BO34">
        <f>CumulativeConfirmed!BO34-CumulativeRecovered!BO34-CumulativeDead!BO34</f>
        <v>0</v>
      </c>
      <c r="BP34">
        <f>CumulativeConfirmed!BP34-CumulativeRecovered!BP34-CumulativeDead!BP34</f>
        <v>0</v>
      </c>
      <c r="BQ34">
        <f>CumulativeConfirmed!BQ34-CumulativeRecovered!BQ34-CumulativeDead!BQ34</f>
        <v>0</v>
      </c>
      <c r="BR34">
        <f>CumulativeConfirmed!BR34-CumulativeRecovered!BR34-CumulativeDead!BR34</f>
        <v>0</v>
      </c>
      <c r="BS34">
        <f>CumulativeConfirmed!BS34-CumulativeRecovered!BS34-CumulativeDead!BS34</f>
        <v>0</v>
      </c>
      <c r="BT34">
        <f>CumulativeConfirmed!BT34-CumulativeRecovered!BT34-CumulativeDead!BT34</f>
        <v>0</v>
      </c>
    </row>
    <row r="35" spans="1:72" ht="15" thickBot="1" x14ac:dyDescent="0.35">
      <c r="A35" s="4" t="s">
        <v>98</v>
      </c>
      <c r="B35">
        <f>CumulativeConfirmed!B35-CumulativeRecovered!B35-CumulativeDead!B35</f>
        <v>0</v>
      </c>
      <c r="C35">
        <f>CumulativeConfirmed!C35-CumulativeRecovered!C35-CumulativeDead!C35</f>
        <v>0</v>
      </c>
      <c r="D35">
        <f>CumulativeConfirmed!D35-CumulativeRecovered!D35-CumulativeDead!D35</f>
        <v>0</v>
      </c>
      <c r="E35">
        <f>CumulativeConfirmed!E35-CumulativeRecovered!E35-CumulativeDead!E35</f>
        <v>0</v>
      </c>
      <c r="F35">
        <f>CumulativeConfirmed!F35-CumulativeRecovered!F35-CumulativeDead!F35</f>
        <v>0</v>
      </c>
      <c r="G35">
        <f>CumulativeConfirmed!G35-CumulativeRecovered!G35-CumulativeDead!G35</f>
        <v>0</v>
      </c>
      <c r="H35">
        <f>CumulativeConfirmed!H35-CumulativeRecovered!H35-CumulativeDead!H35</f>
        <v>0</v>
      </c>
      <c r="I35">
        <f>CumulativeConfirmed!I35-CumulativeRecovered!I35-CumulativeDead!I35</f>
        <v>0</v>
      </c>
      <c r="J35">
        <f>CumulativeConfirmed!J35-CumulativeRecovered!J35-CumulativeDead!J35</f>
        <v>0</v>
      </c>
      <c r="K35">
        <f>CumulativeConfirmed!K35-CumulativeRecovered!K35-CumulativeDead!K35</f>
        <v>0</v>
      </c>
      <c r="L35">
        <f>CumulativeConfirmed!L35-CumulativeRecovered!L35-CumulativeDead!L35</f>
        <v>0</v>
      </c>
      <c r="M35">
        <f>CumulativeConfirmed!M35-CumulativeRecovered!M35-CumulativeDead!M35</f>
        <v>0</v>
      </c>
      <c r="N35">
        <f>CumulativeConfirmed!N35-CumulativeRecovered!N35-CumulativeDead!N35</f>
        <v>0</v>
      </c>
      <c r="O35">
        <f>CumulativeConfirmed!O35-CumulativeRecovered!O35-CumulativeDead!O35</f>
        <v>0</v>
      </c>
      <c r="P35">
        <f>CumulativeConfirmed!P35-CumulativeRecovered!P35-CumulativeDead!P35</f>
        <v>0</v>
      </c>
      <c r="Q35">
        <f>CumulativeConfirmed!Q35-CumulativeRecovered!Q35-CumulativeDead!Q35</f>
        <v>0</v>
      </c>
      <c r="R35">
        <f>CumulativeConfirmed!R35-CumulativeRecovered!R35-CumulativeDead!R35</f>
        <v>0</v>
      </c>
      <c r="S35">
        <f>CumulativeConfirmed!S35-CumulativeRecovered!S35-CumulativeDead!S35</f>
        <v>0</v>
      </c>
      <c r="T35">
        <f>CumulativeConfirmed!T35-CumulativeRecovered!T35-CumulativeDead!T35</f>
        <v>0</v>
      </c>
      <c r="U35">
        <f>CumulativeConfirmed!U35-CumulativeRecovered!U35-CumulativeDead!U35</f>
        <v>0</v>
      </c>
      <c r="V35">
        <f>CumulativeConfirmed!V35-CumulativeRecovered!V35-CumulativeDead!V35</f>
        <v>0</v>
      </c>
      <c r="W35">
        <f>CumulativeConfirmed!W35-CumulativeRecovered!W35-CumulativeDead!W35</f>
        <v>0</v>
      </c>
      <c r="X35">
        <f>CumulativeConfirmed!X35-CumulativeRecovered!X35-CumulativeDead!X35</f>
        <v>0</v>
      </c>
      <c r="Y35">
        <f>CumulativeConfirmed!Y35-CumulativeRecovered!Y35-CumulativeDead!Y35</f>
        <v>0</v>
      </c>
      <c r="Z35">
        <f>CumulativeConfirmed!Z35-CumulativeRecovered!Z35-CumulativeDead!Z35</f>
        <v>0</v>
      </c>
      <c r="AA35">
        <f>CumulativeConfirmed!AA35-CumulativeRecovered!AA35-CumulativeDead!AA35</f>
        <v>0</v>
      </c>
      <c r="AB35">
        <f>CumulativeConfirmed!AB35-CumulativeRecovered!AB35-CumulativeDead!AB35</f>
        <v>0</v>
      </c>
      <c r="AC35">
        <f>CumulativeConfirmed!AC35-CumulativeRecovered!AC35-CumulativeDead!AC35</f>
        <v>0</v>
      </c>
      <c r="AD35">
        <f>CumulativeConfirmed!AD35-CumulativeRecovered!AD35-CumulativeDead!AD35</f>
        <v>0</v>
      </c>
      <c r="AE35">
        <f>CumulativeConfirmed!AE35-CumulativeRecovered!AE35-CumulativeDead!AE35</f>
        <v>0</v>
      </c>
      <c r="AF35">
        <f>CumulativeConfirmed!AF35-CumulativeRecovered!AF35-CumulativeDead!AF35</f>
        <v>0</v>
      </c>
      <c r="AG35">
        <f>CumulativeConfirmed!AG35-CumulativeRecovered!AG35-CumulativeDead!AG35</f>
        <v>0</v>
      </c>
      <c r="AH35">
        <f>CumulativeConfirmed!AH35-CumulativeRecovered!AH35-CumulativeDead!AH35</f>
        <v>0</v>
      </c>
      <c r="AI35">
        <f>CumulativeConfirmed!AI35-CumulativeRecovered!AI35-CumulativeDead!AI35</f>
        <v>0</v>
      </c>
      <c r="AJ35">
        <f>CumulativeConfirmed!AJ35-CumulativeRecovered!AJ35-CumulativeDead!AJ35</f>
        <v>0</v>
      </c>
      <c r="AK35">
        <f>CumulativeConfirmed!AK35-CumulativeRecovered!AK35-CumulativeDead!AK35</f>
        <v>0</v>
      </c>
      <c r="AL35">
        <f>CumulativeConfirmed!AL35-CumulativeRecovered!AL35-CumulativeDead!AL35</f>
        <v>0</v>
      </c>
      <c r="AM35">
        <f>CumulativeConfirmed!AM35-CumulativeRecovered!AM35-CumulativeDead!AM35</f>
        <v>0</v>
      </c>
      <c r="AN35">
        <f>CumulativeConfirmed!AN35-CumulativeRecovered!AN35-CumulativeDead!AN35</f>
        <v>1</v>
      </c>
      <c r="AO35">
        <f>CumulativeConfirmed!AO35-CumulativeRecovered!AO35-CumulativeDead!AO35</f>
        <v>1</v>
      </c>
      <c r="AP35">
        <f>CumulativeConfirmed!AP35-CumulativeRecovered!AP35-CumulativeDead!AP35</f>
        <v>1</v>
      </c>
      <c r="AQ35">
        <f>CumulativeConfirmed!AQ35-CumulativeRecovered!AQ35-CumulativeDead!AQ35</f>
        <v>2</v>
      </c>
      <c r="AR35">
        <f>CumulativeConfirmed!AR35-CumulativeRecovered!AR35-CumulativeDead!AR35</f>
        <v>6</v>
      </c>
      <c r="AS35">
        <f>CumulativeConfirmed!AS35-CumulativeRecovered!AS35-CumulativeDead!AS35</f>
        <v>6</v>
      </c>
      <c r="AT35">
        <f>CumulativeConfirmed!AT35-CumulativeRecovered!AT35-CumulativeDead!AT35</f>
        <v>18</v>
      </c>
      <c r="AU35">
        <f>CumulativeConfirmed!AU35-CumulativeRecovered!AU35-CumulativeDead!AU35</f>
        <v>18</v>
      </c>
      <c r="AV35">
        <f>CumulativeConfirmed!AV35-CumulativeRecovered!AV35-CumulativeDead!AV35</f>
        <v>19</v>
      </c>
      <c r="AW35">
        <f>CumulativeConfirmed!AW35-CumulativeRecovered!AW35-CumulativeDead!AW35</f>
        <v>21</v>
      </c>
      <c r="AX35">
        <f>CumulativeConfirmed!AX35-CumulativeRecovered!AX35-CumulativeDead!AX35</f>
        <v>34</v>
      </c>
      <c r="AY35">
        <f>CumulativeConfirmed!AY35-CumulativeRecovered!AY35-CumulativeDead!AY35</f>
        <v>42</v>
      </c>
      <c r="AZ35">
        <f>CumulativeConfirmed!AZ35-CumulativeRecovered!AZ35-CumulativeDead!AZ35</f>
        <v>42</v>
      </c>
      <c r="BA35">
        <f>CumulativeConfirmed!BA35-CumulativeRecovered!BA35-CumulativeDead!BA35</f>
        <v>89</v>
      </c>
      <c r="BB35">
        <f>CumulativeConfirmed!BB35-CumulativeRecovered!BB35-CumulativeDead!BB35</f>
        <v>127</v>
      </c>
      <c r="BC35">
        <f>CumulativeConfirmed!BC35-CumulativeRecovered!BC35-CumulativeDead!BC35</f>
        <v>127</v>
      </c>
      <c r="BD35">
        <f>CumulativeConfirmed!BD35-CumulativeRecovered!BD35-CumulativeDead!BD35</f>
        <v>167</v>
      </c>
      <c r="BE35">
        <f>CumulativeConfirmed!BE35-CumulativeRecovered!BE35-CumulativeDead!BE35</f>
        <v>216</v>
      </c>
      <c r="BF35">
        <f>CumulativeConfirmed!BF35-CumulativeRecovered!BF35-CumulativeDead!BF35</f>
        <v>285</v>
      </c>
      <c r="BG35">
        <f>CumulativeConfirmed!BG35-CumulativeRecovered!BG35-CumulativeDead!BG35</f>
        <v>549</v>
      </c>
      <c r="BH35">
        <f>CumulativeConfirmed!BH35-CumulativeRecovered!BH35-CumulativeDead!BH35</f>
        <v>675</v>
      </c>
      <c r="BI35">
        <f>CumulativeConfirmed!BI35-CumulativeRecovered!BI35-CumulativeDead!BI35</f>
        <v>0</v>
      </c>
      <c r="BJ35">
        <f>CumulativeConfirmed!BJ35-CumulativeRecovered!BJ35-CumulativeDead!BJ35</f>
        <v>0</v>
      </c>
      <c r="BK35">
        <f>CumulativeConfirmed!BK35-CumulativeRecovered!BK35-CumulativeDead!BK35</f>
        <v>0</v>
      </c>
      <c r="BL35">
        <f>CumulativeConfirmed!BL35-CumulativeRecovered!BL35-CumulativeDead!BL35</f>
        <v>0</v>
      </c>
      <c r="BM35">
        <f>CumulativeConfirmed!BM35-CumulativeRecovered!BM35-CumulativeDead!BM35</f>
        <v>0</v>
      </c>
      <c r="BN35">
        <f>CumulativeConfirmed!BN35-CumulativeRecovered!BN35-CumulativeDead!BN35</f>
        <v>0</v>
      </c>
      <c r="BO35">
        <f>CumulativeConfirmed!BO35-CumulativeRecovered!BO35-CumulativeDead!BO35</f>
        <v>0</v>
      </c>
      <c r="BP35">
        <f>CumulativeConfirmed!BP35-CumulativeRecovered!BP35-CumulativeDead!BP35</f>
        <v>0</v>
      </c>
      <c r="BQ35">
        <f>CumulativeConfirmed!BQ35-CumulativeRecovered!BQ35-CumulativeDead!BQ35</f>
        <v>0</v>
      </c>
      <c r="BR35">
        <f>CumulativeConfirmed!BR35-CumulativeRecovered!BR35-CumulativeDead!BR35</f>
        <v>0</v>
      </c>
      <c r="BS35">
        <f>CumulativeConfirmed!BS35-CumulativeRecovered!BS35-CumulativeDead!BS35</f>
        <v>0</v>
      </c>
      <c r="BT35">
        <f>CumulativeConfirmed!BT35-CumulativeRecovered!BT35-CumulativeDead!BT35</f>
        <v>0</v>
      </c>
    </row>
    <row r="36" spans="1:72" ht="15" thickBot="1" x14ac:dyDescent="0.35">
      <c r="A36" s="3" t="s">
        <v>86</v>
      </c>
      <c r="B36">
        <f>CumulativeConfirmed!B36-CumulativeRecovered!B36-CumulativeDead!B36</f>
        <v>0</v>
      </c>
      <c r="C36">
        <f>CumulativeConfirmed!C36-CumulativeRecovered!C36-CumulativeDead!C36</f>
        <v>0</v>
      </c>
      <c r="D36">
        <f>CumulativeConfirmed!D36-CumulativeRecovered!D36-CumulativeDead!D36</f>
        <v>0</v>
      </c>
      <c r="E36">
        <f>CumulativeConfirmed!E36-CumulativeRecovered!E36-CumulativeDead!E36</f>
        <v>0</v>
      </c>
      <c r="F36">
        <f>CumulativeConfirmed!F36-CumulativeRecovered!F36-CumulativeDead!F36</f>
        <v>0</v>
      </c>
      <c r="G36">
        <f>CumulativeConfirmed!G36-CumulativeRecovered!G36-CumulativeDead!G36</f>
        <v>0</v>
      </c>
      <c r="H36">
        <f>CumulativeConfirmed!H36-CumulativeRecovered!H36-CumulativeDead!H36</f>
        <v>0</v>
      </c>
      <c r="I36">
        <f>CumulativeConfirmed!I36-CumulativeRecovered!I36-CumulativeDead!I36</f>
        <v>0</v>
      </c>
      <c r="J36">
        <f>CumulativeConfirmed!J36-CumulativeRecovered!J36-CumulativeDead!J36</f>
        <v>0</v>
      </c>
      <c r="K36">
        <f>CumulativeConfirmed!K36-CumulativeRecovered!K36-CumulativeDead!K36</f>
        <v>0</v>
      </c>
      <c r="L36">
        <f>CumulativeConfirmed!L36-CumulativeRecovered!L36-CumulativeDead!L36</f>
        <v>0</v>
      </c>
      <c r="M36">
        <f>CumulativeConfirmed!M36-CumulativeRecovered!M36-CumulativeDead!M36</f>
        <v>0</v>
      </c>
      <c r="N36">
        <f>CumulativeConfirmed!N36-CumulativeRecovered!N36-CumulativeDead!N36</f>
        <v>0</v>
      </c>
      <c r="O36">
        <f>CumulativeConfirmed!O36-CumulativeRecovered!O36-CumulativeDead!O36</f>
        <v>0</v>
      </c>
      <c r="P36">
        <f>CumulativeConfirmed!P36-CumulativeRecovered!P36-CumulativeDead!P36</f>
        <v>0</v>
      </c>
      <c r="Q36">
        <f>CumulativeConfirmed!Q36-CumulativeRecovered!Q36-CumulativeDead!Q36</f>
        <v>0</v>
      </c>
      <c r="R36">
        <f>CumulativeConfirmed!R36-CumulativeRecovered!R36-CumulativeDead!R36</f>
        <v>0</v>
      </c>
      <c r="S36">
        <f>CumulativeConfirmed!S36-CumulativeRecovered!S36-CumulativeDead!S36</f>
        <v>0</v>
      </c>
      <c r="T36">
        <f>CumulativeConfirmed!T36-CumulativeRecovered!T36-CumulativeDead!T36</f>
        <v>0</v>
      </c>
      <c r="U36">
        <f>CumulativeConfirmed!U36-CumulativeRecovered!U36-CumulativeDead!U36</f>
        <v>0</v>
      </c>
      <c r="V36">
        <f>CumulativeConfirmed!V36-CumulativeRecovered!V36-CumulativeDead!V36</f>
        <v>0</v>
      </c>
      <c r="W36">
        <f>CumulativeConfirmed!W36-CumulativeRecovered!W36-CumulativeDead!W36</f>
        <v>0</v>
      </c>
      <c r="X36">
        <f>CumulativeConfirmed!X36-CumulativeRecovered!X36-CumulativeDead!X36</f>
        <v>0</v>
      </c>
      <c r="Y36">
        <f>CumulativeConfirmed!Y36-CumulativeRecovered!Y36-CumulativeDead!Y36</f>
        <v>0</v>
      </c>
      <c r="Z36">
        <f>CumulativeConfirmed!Z36-CumulativeRecovered!Z36-CumulativeDead!Z36</f>
        <v>0</v>
      </c>
      <c r="AA36">
        <f>CumulativeConfirmed!AA36-CumulativeRecovered!AA36-CumulativeDead!AA36</f>
        <v>0</v>
      </c>
      <c r="AB36">
        <f>CumulativeConfirmed!AB36-CumulativeRecovered!AB36-CumulativeDead!AB36</f>
        <v>0</v>
      </c>
      <c r="AC36">
        <f>CumulativeConfirmed!AC36-CumulativeRecovered!AC36-CumulativeDead!AC36</f>
        <v>0</v>
      </c>
      <c r="AD36">
        <f>CumulativeConfirmed!AD36-CumulativeRecovered!AD36-CumulativeDead!AD36</f>
        <v>0</v>
      </c>
      <c r="AE36">
        <f>CumulativeConfirmed!AE36-CumulativeRecovered!AE36-CumulativeDead!AE36</f>
        <v>0</v>
      </c>
      <c r="AF36">
        <f>CumulativeConfirmed!AF36-CumulativeRecovered!AF36-CumulativeDead!AF36</f>
        <v>0</v>
      </c>
      <c r="AG36">
        <f>CumulativeConfirmed!AG36-CumulativeRecovered!AG36-CumulativeDead!AG36</f>
        <v>0</v>
      </c>
      <c r="AH36">
        <f>CumulativeConfirmed!AH36-CumulativeRecovered!AH36-CumulativeDead!AH36</f>
        <v>0</v>
      </c>
      <c r="AI36">
        <f>CumulativeConfirmed!AI36-CumulativeRecovered!AI36-CumulativeDead!AI36</f>
        <v>0</v>
      </c>
      <c r="AJ36">
        <f>CumulativeConfirmed!AJ36-CumulativeRecovered!AJ36-CumulativeDead!AJ36</f>
        <v>0</v>
      </c>
      <c r="AK36">
        <f>CumulativeConfirmed!AK36-CumulativeRecovered!AK36-CumulativeDead!AK36</f>
        <v>1</v>
      </c>
      <c r="AL36">
        <f>CumulativeConfirmed!AL36-CumulativeRecovered!AL36-CumulativeDead!AL36</f>
        <v>1</v>
      </c>
      <c r="AM36">
        <f>CumulativeConfirmed!AM36-CumulativeRecovered!AM36-CumulativeDead!AM36</f>
        <v>3</v>
      </c>
      <c r="AN36">
        <f>CumulativeConfirmed!AN36-CumulativeRecovered!AN36-CumulativeDead!AN36</f>
        <v>3</v>
      </c>
      <c r="AO36">
        <f>CumulativeConfirmed!AO36-CumulativeRecovered!AO36-CumulativeDead!AO36</f>
        <v>3</v>
      </c>
      <c r="AP36">
        <f>CumulativeConfirmed!AP36-CumulativeRecovered!AP36-CumulativeDead!AP36</f>
        <v>3</v>
      </c>
      <c r="AQ36">
        <f>CumulativeConfirmed!AQ36-CumulativeRecovered!AQ36-CumulativeDead!AQ36</f>
        <v>3</v>
      </c>
      <c r="AR36">
        <f>CumulativeConfirmed!AR36-CumulativeRecovered!AR36-CumulativeDead!AR36</f>
        <v>3</v>
      </c>
      <c r="AS36">
        <f>CumulativeConfirmed!AS36-CumulativeRecovered!AS36-CumulativeDead!AS36</f>
        <v>5</v>
      </c>
      <c r="AT36">
        <f>CumulativeConfirmed!AT36-CumulativeRecovered!AT36-CumulativeDead!AT36</f>
        <v>8</v>
      </c>
      <c r="AU36">
        <f>CumulativeConfirmed!AU36-CumulativeRecovered!AU36-CumulativeDead!AU36</f>
        <v>6</v>
      </c>
      <c r="AV36">
        <f>CumulativeConfirmed!AV36-CumulativeRecovered!AV36-CumulativeDead!AV36</f>
        <v>12</v>
      </c>
      <c r="AW36">
        <f>CumulativeConfirmed!AW36-CumulativeRecovered!AW36-CumulativeDead!AW36</f>
        <v>12</v>
      </c>
      <c r="AX36">
        <f>CumulativeConfirmed!AX36-CumulativeRecovered!AX36-CumulativeDead!AX36</f>
        <v>22</v>
      </c>
      <c r="AY36">
        <f>CumulativeConfirmed!AY36-CumulativeRecovered!AY36-CumulativeDead!AY36</f>
        <v>39</v>
      </c>
      <c r="AZ36">
        <f>CumulativeConfirmed!AZ36-CumulativeRecovered!AZ36-CumulativeDead!AZ36</f>
        <v>43</v>
      </c>
      <c r="BA36">
        <f>CumulativeConfirmed!BA36-CumulativeRecovered!BA36-CumulativeDead!BA36</f>
        <v>82</v>
      </c>
      <c r="BB36">
        <f>CumulativeConfirmed!BB36-CumulativeRecovered!BB36-CumulativeDead!BB36</f>
        <v>114</v>
      </c>
      <c r="BC36">
        <f>CumulativeConfirmed!BC36-CumulativeRecovered!BC36-CumulativeDead!BC36</f>
        <v>122</v>
      </c>
      <c r="BD36">
        <f>CumulativeConfirmed!BD36-CumulativeRecovered!BD36-CumulativeDead!BD36</f>
        <v>149</v>
      </c>
      <c r="BE36">
        <f>CumulativeConfirmed!BE36-CumulativeRecovered!BE36-CumulativeDead!BE36</f>
        <v>168</v>
      </c>
      <c r="BF36">
        <f>CumulativeConfirmed!BF36-CumulativeRecovered!BF36-CumulativeDead!BF36</f>
        <v>241</v>
      </c>
      <c r="BG36">
        <f>CumulativeConfirmed!BG36-CumulativeRecovered!BG36-CumulativeDead!BG36</f>
        <v>252</v>
      </c>
      <c r="BH36">
        <f>CumulativeConfirmed!BH36-CumulativeRecovered!BH36-CumulativeDead!BH36</f>
        <v>283</v>
      </c>
      <c r="BI36">
        <f>CumulativeConfirmed!BI36-CumulativeRecovered!BI36-CumulativeDead!BI36</f>
        <v>0</v>
      </c>
      <c r="BJ36">
        <f>CumulativeConfirmed!BJ36-CumulativeRecovered!BJ36-CumulativeDead!BJ36</f>
        <v>0</v>
      </c>
      <c r="BK36">
        <f>CumulativeConfirmed!BK36-CumulativeRecovered!BK36-CumulativeDead!BK36</f>
        <v>0</v>
      </c>
      <c r="BL36">
        <f>CumulativeConfirmed!BL36-CumulativeRecovered!BL36-CumulativeDead!BL36</f>
        <v>0</v>
      </c>
      <c r="BM36">
        <f>CumulativeConfirmed!BM36-CumulativeRecovered!BM36-CumulativeDead!BM36</f>
        <v>0</v>
      </c>
      <c r="BN36">
        <f>CumulativeConfirmed!BN36-CumulativeRecovered!BN36-CumulativeDead!BN36</f>
        <v>0</v>
      </c>
      <c r="BO36">
        <f>CumulativeConfirmed!BO36-CumulativeRecovered!BO36-CumulativeDead!BO36</f>
        <v>0</v>
      </c>
      <c r="BP36">
        <f>CumulativeConfirmed!BP36-CumulativeRecovered!BP36-CumulativeDead!BP36</f>
        <v>0</v>
      </c>
      <c r="BQ36">
        <f>CumulativeConfirmed!BQ36-CumulativeRecovered!BQ36-CumulativeDead!BQ36</f>
        <v>0</v>
      </c>
      <c r="BR36">
        <f>CumulativeConfirmed!BR36-CumulativeRecovered!BR36-CumulativeDead!BR36</f>
        <v>0</v>
      </c>
      <c r="BS36">
        <f>CumulativeConfirmed!BS36-CumulativeRecovered!BS36-CumulativeDead!BS36</f>
        <v>0</v>
      </c>
      <c r="BT36">
        <f>CumulativeConfirmed!BT36-CumulativeRecovered!BT36-CumulativeDead!BT36</f>
        <v>0</v>
      </c>
    </row>
    <row r="37" spans="1:72" ht="15" thickBot="1" x14ac:dyDescent="0.35">
      <c r="A37" s="4" t="s">
        <v>113</v>
      </c>
      <c r="B37">
        <f>CumulativeConfirmed!B37-CumulativeRecovered!B37-CumulativeDead!B37</f>
        <v>0</v>
      </c>
      <c r="C37">
        <f>CumulativeConfirmed!C37-CumulativeRecovered!C37-CumulativeDead!C37</f>
        <v>0</v>
      </c>
      <c r="D37">
        <f>CumulativeConfirmed!D37-CumulativeRecovered!D37-CumulativeDead!D37</f>
        <v>0</v>
      </c>
      <c r="E37">
        <f>CumulativeConfirmed!E37-CumulativeRecovered!E37-CumulativeDead!E37</f>
        <v>0</v>
      </c>
      <c r="F37">
        <f>CumulativeConfirmed!F37-CumulativeRecovered!F37-CumulativeDead!F37</f>
        <v>0</v>
      </c>
      <c r="G37">
        <f>CumulativeConfirmed!G37-CumulativeRecovered!G37-CumulativeDead!G37</f>
        <v>0</v>
      </c>
      <c r="H37">
        <f>CumulativeConfirmed!H37-CumulativeRecovered!H37-CumulativeDead!H37</f>
        <v>0</v>
      </c>
      <c r="I37">
        <f>CumulativeConfirmed!I37-CumulativeRecovered!I37-CumulativeDead!I37</f>
        <v>0</v>
      </c>
      <c r="J37">
        <f>CumulativeConfirmed!J37-CumulativeRecovered!J37-CumulativeDead!J37</f>
        <v>0</v>
      </c>
      <c r="K37">
        <f>CumulativeConfirmed!K37-CumulativeRecovered!K37-CumulativeDead!K37</f>
        <v>0</v>
      </c>
      <c r="L37">
        <f>CumulativeConfirmed!L37-CumulativeRecovered!L37-CumulativeDead!L37</f>
        <v>0</v>
      </c>
      <c r="M37">
        <f>CumulativeConfirmed!M37-CumulativeRecovered!M37-CumulativeDead!M37</f>
        <v>0</v>
      </c>
      <c r="N37">
        <f>CumulativeConfirmed!N37-CumulativeRecovered!N37-CumulativeDead!N37</f>
        <v>0</v>
      </c>
      <c r="O37">
        <f>CumulativeConfirmed!O37-CumulativeRecovered!O37-CumulativeDead!O37</f>
        <v>0</v>
      </c>
      <c r="P37">
        <f>CumulativeConfirmed!P37-CumulativeRecovered!P37-CumulativeDead!P37</f>
        <v>0</v>
      </c>
      <c r="Q37">
        <f>CumulativeConfirmed!Q37-CumulativeRecovered!Q37-CumulativeDead!Q37</f>
        <v>0</v>
      </c>
      <c r="R37">
        <f>CumulativeConfirmed!R37-CumulativeRecovered!R37-CumulativeDead!R37</f>
        <v>0</v>
      </c>
      <c r="S37">
        <f>CumulativeConfirmed!S37-CumulativeRecovered!S37-CumulativeDead!S37</f>
        <v>0</v>
      </c>
      <c r="T37">
        <f>CumulativeConfirmed!T37-CumulativeRecovered!T37-CumulativeDead!T37</f>
        <v>0</v>
      </c>
      <c r="U37">
        <f>CumulativeConfirmed!U37-CumulativeRecovered!U37-CumulativeDead!U37</f>
        <v>0</v>
      </c>
      <c r="V37">
        <f>CumulativeConfirmed!V37-CumulativeRecovered!V37-CumulativeDead!V37</f>
        <v>0</v>
      </c>
      <c r="W37">
        <f>CumulativeConfirmed!W37-CumulativeRecovered!W37-CumulativeDead!W37</f>
        <v>0</v>
      </c>
      <c r="X37">
        <f>CumulativeConfirmed!X37-CumulativeRecovered!X37-CumulativeDead!X37</f>
        <v>0</v>
      </c>
      <c r="Y37">
        <f>CumulativeConfirmed!Y37-CumulativeRecovered!Y37-CumulativeDead!Y37</f>
        <v>0</v>
      </c>
      <c r="Z37">
        <f>CumulativeConfirmed!Z37-CumulativeRecovered!Z37-CumulativeDead!Z37</f>
        <v>0</v>
      </c>
      <c r="AA37">
        <f>CumulativeConfirmed!AA37-CumulativeRecovered!AA37-CumulativeDead!AA37</f>
        <v>0</v>
      </c>
      <c r="AB37">
        <f>CumulativeConfirmed!AB37-CumulativeRecovered!AB37-CumulativeDead!AB37</f>
        <v>0</v>
      </c>
      <c r="AC37">
        <f>CumulativeConfirmed!AC37-CumulativeRecovered!AC37-CumulativeDead!AC37</f>
        <v>0</v>
      </c>
      <c r="AD37">
        <f>CumulativeConfirmed!AD37-CumulativeRecovered!AD37-CumulativeDead!AD37</f>
        <v>0</v>
      </c>
      <c r="AE37">
        <f>CumulativeConfirmed!AE37-CumulativeRecovered!AE37-CumulativeDead!AE37</f>
        <v>0</v>
      </c>
      <c r="AF37">
        <f>CumulativeConfirmed!AF37-CumulativeRecovered!AF37-CumulativeDead!AF37</f>
        <v>0</v>
      </c>
      <c r="AG37">
        <f>CumulativeConfirmed!AG37-CumulativeRecovered!AG37-CumulativeDead!AG37</f>
        <v>0</v>
      </c>
      <c r="AH37">
        <f>CumulativeConfirmed!AH37-CumulativeRecovered!AH37-CumulativeDead!AH37</f>
        <v>0</v>
      </c>
      <c r="AI37">
        <f>CumulativeConfirmed!AI37-CumulativeRecovered!AI37-CumulativeDead!AI37</f>
        <v>0</v>
      </c>
      <c r="AJ37">
        <f>CumulativeConfirmed!AJ37-CumulativeRecovered!AJ37-CumulativeDead!AJ37</f>
        <v>0</v>
      </c>
      <c r="AK37">
        <f>CumulativeConfirmed!AK37-CumulativeRecovered!AK37-CumulativeDead!AK37</f>
        <v>0</v>
      </c>
      <c r="AL37">
        <f>CumulativeConfirmed!AL37-CumulativeRecovered!AL37-CumulativeDead!AL37</f>
        <v>0</v>
      </c>
      <c r="AM37">
        <f>CumulativeConfirmed!AM37-CumulativeRecovered!AM37-CumulativeDead!AM37</f>
        <v>0</v>
      </c>
      <c r="AN37">
        <f>CumulativeConfirmed!AN37-CumulativeRecovered!AN37-CumulativeDead!AN37</f>
        <v>0</v>
      </c>
      <c r="AO37">
        <f>CumulativeConfirmed!AO37-CumulativeRecovered!AO37-CumulativeDead!AO37</f>
        <v>0</v>
      </c>
      <c r="AP37">
        <f>CumulativeConfirmed!AP37-CumulativeRecovered!AP37-CumulativeDead!AP37</f>
        <v>1</v>
      </c>
      <c r="AQ37">
        <f>CumulativeConfirmed!AQ37-CumulativeRecovered!AQ37-CumulativeDead!AQ37</f>
        <v>1</v>
      </c>
      <c r="AR37">
        <f>CumulativeConfirmed!AR37-CumulativeRecovered!AR37-CumulativeDead!AR37</f>
        <v>1</v>
      </c>
      <c r="AS37">
        <f>CumulativeConfirmed!AS37-CumulativeRecovered!AS37-CumulativeDead!AS37</f>
        <v>5</v>
      </c>
      <c r="AT37">
        <f>CumulativeConfirmed!AT37-CumulativeRecovered!AT37-CumulativeDead!AT37</f>
        <v>5</v>
      </c>
      <c r="AU37">
        <f>CumulativeConfirmed!AU37-CumulativeRecovered!AU37-CumulativeDead!AU37</f>
        <v>5</v>
      </c>
      <c r="AV37">
        <f>CumulativeConfirmed!AV37-CumulativeRecovered!AV37-CumulativeDead!AV37</f>
        <v>11</v>
      </c>
      <c r="AW37">
        <f>CumulativeConfirmed!AW37-CumulativeRecovered!AW37-CumulativeDead!AW37</f>
        <v>15</v>
      </c>
      <c r="AX37">
        <f>CumulativeConfirmed!AX37-CumulativeRecovered!AX37-CumulativeDead!AX37</f>
        <v>19</v>
      </c>
      <c r="AY37">
        <f>CumulativeConfirmed!AY37-CumulativeRecovered!AY37-CumulativeDead!AY37</f>
        <v>20</v>
      </c>
      <c r="AZ37">
        <f>CumulativeConfirmed!AZ37-CumulativeRecovered!AZ37-CumulativeDead!AZ37</f>
        <v>44</v>
      </c>
      <c r="BA37">
        <f>CumulativeConfirmed!BA37-CumulativeRecovered!BA37-CumulativeDead!BA37</f>
        <v>85</v>
      </c>
      <c r="BB37">
        <f>CumulativeConfirmed!BB37-CumulativeRecovered!BB37-CumulativeDead!BB37</f>
        <v>102</v>
      </c>
      <c r="BC37">
        <f>CumulativeConfirmed!BC37-CumulativeRecovered!BC37-CumulativeDead!BC37</f>
        <v>102</v>
      </c>
      <c r="BD37">
        <f>CumulativeConfirmed!BD37-CumulativeRecovered!BD37-CumulativeDead!BD37</f>
        <v>116</v>
      </c>
      <c r="BE37">
        <f>CumulativeConfirmed!BE37-CumulativeRecovered!BE37-CumulativeDead!BE37</f>
        <v>165</v>
      </c>
      <c r="BF37">
        <f>CumulativeConfirmed!BF37-CumulativeRecovered!BF37-CumulativeDead!BF37</f>
        <v>165</v>
      </c>
      <c r="BG37">
        <f>CumulativeConfirmed!BG37-CumulativeRecovered!BG37-CumulativeDead!BG37</f>
        <v>268</v>
      </c>
      <c r="BH37">
        <f>CumulativeConfirmed!BH37-CumulativeRecovered!BH37-CumulativeDead!BH37</f>
        <v>336</v>
      </c>
      <c r="BI37">
        <f>CumulativeConfirmed!BI37-CumulativeRecovered!BI37-CumulativeDead!BI37</f>
        <v>0</v>
      </c>
      <c r="BJ37">
        <f>CumulativeConfirmed!BJ37-CumulativeRecovered!BJ37-CumulativeDead!BJ37</f>
        <v>0</v>
      </c>
      <c r="BK37">
        <f>CumulativeConfirmed!BK37-CumulativeRecovered!BK37-CumulativeDead!BK37</f>
        <v>0</v>
      </c>
      <c r="BL37">
        <f>CumulativeConfirmed!BL37-CumulativeRecovered!BL37-CumulativeDead!BL37</f>
        <v>0</v>
      </c>
      <c r="BM37">
        <f>CumulativeConfirmed!BM37-CumulativeRecovered!BM37-CumulativeDead!BM37</f>
        <v>0</v>
      </c>
      <c r="BN37">
        <f>CumulativeConfirmed!BN37-CumulativeRecovered!BN37-CumulativeDead!BN37</f>
        <v>0</v>
      </c>
      <c r="BO37">
        <f>CumulativeConfirmed!BO37-CumulativeRecovered!BO37-CumulativeDead!BO37</f>
        <v>0</v>
      </c>
      <c r="BP37">
        <f>CumulativeConfirmed!BP37-CumulativeRecovered!BP37-CumulativeDead!BP37</f>
        <v>0</v>
      </c>
      <c r="BQ37">
        <f>CumulativeConfirmed!BQ37-CumulativeRecovered!BQ37-CumulativeDead!BQ37</f>
        <v>0</v>
      </c>
      <c r="BR37">
        <f>CumulativeConfirmed!BR37-CumulativeRecovered!BR37-CumulativeDead!BR37</f>
        <v>0</v>
      </c>
      <c r="BS37">
        <f>CumulativeConfirmed!BS37-CumulativeRecovered!BS37-CumulativeDead!BS37</f>
        <v>0</v>
      </c>
      <c r="BT37">
        <f>CumulativeConfirmed!BT37-CumulativeRecovered!BT37-CumulativeDead!BT37</f>
        <v>0</v>
      </c>
    </row>
    <row r="38" spans="1:72" ht="15" thickBot="1" x14ac:dyDescent="0.35">
      <c r="A38" s="4" t="s">
        <v>55</v>
      </c>
      <c r="B38">
        <f>CumulativeConfirmed!B38-CumulativeRecovered!B38-CumulativeDead!B38</f>
        <v>0</v>
      </c>
      <c r="C38">
        <f>CumulativeConfirmed!C38-CumulativeRecovered!C38-CumulativeDead!C38</f>
        <v>0</v>
      </c>
      <c r="D38">
        <f>CumulativeConfirmed!D38-CumulativeRecovered!D38-CumulativeDead!D38</f>
        <v>0</v>
      </c>
      <c r="E38">
        <f>CumulativeConfirmed!E38-CumulativeRecovered!E38-CumulativeDead!E38</f>
        <v>0</v>
      </c>
      <c r="F38">
        <f>CumulativeConfirmed!F38-CumulativeRecovered!F38-CumulativeDead!F38</f>
        <v>0</v>
      </c>
      <c r="G38">
        <f>CumulativeConfirmed!G38-CumulativeRecovered!G38-CumulativeDead!G38</f>
        <v>0</v>
      </c>
      <c r="H38">
        <f>CumulativeConfirmed!H38-CumulativeRecovered!H38-CumulativeDead!H38</f>
        <v>0</v>
      </c>
      <c r="I38">
        <f>CumulativeConfirmed!I38-CumulativeRecovered!I38-CumulativeDead!I38</f>
        <v>4</v>
      </c>
      <c r="J38">
        <f>CumulativeConfirmed!J38-CumulativeRecovered!J38-CumulativeDead!J38</f>
        <v>4</v>
      </c>
      <c r="K38">
        <f>CumulativeConfirmed!K38-CumulativeRecovered!K38-CumulativeDead!K38</f>
        <v>4</v>
      </c>
      <c r="L38">
        <f>CumulativeConfirmed!L38-CumulativeRecovered!L38-CumulativeDead!L38</f>
        <v>4</v>
      </c>
      <c r="M38">
        <f>CumulativeConfirmed!M38-CumulativeRecovered!M38-CumulativeDead!M38</f>
        <v>5</v>
      </c>
      <c r="N38">
        <f>CumulativeConfirmed!N38-CumulativeRecovered!N38-CumulativeDead!N38</f>
        <v>5</v>
      </c>
      <c r="O38">
        <f>CumulativeConfirmed!O38-CumulativeRecovered!O38-CumulativeDead!O38</f>
        <v>5</v>
      </c>
      <c r="P38">
        <f>CumulativeConfirmed!P38-CumulativeRecovered!P38-CumulativeDead!P38</f>
        <v>5</v>
      </c>
      <c r="Q38">
        <f>CumulativeConfirmed!Q38-CumulativeRecovered!Q38-CumulativeDead!Q38</f>
        <v>5</v>
      </c>
      <c r="R38">
        <f>CumulativeConfirmed!R38-CumulativeRecovered!R38-CumulativeDead!R38</f>
        <v>5</v>
      </c>
      <c r="S38">
        <f>CumulativeConfirmed!S38-CumulativeRecovered!S38-CumulativeDead!S38</f>
        <v>7</v>
      </c>
      <c r="T38">
        <f>CumulativeConfirmed!T38-CumulativeRecovered!T38-CumulativeDead!T38</f>
        <v>7</v>
      </c>
      <c r="U38">
        <f>CumulativeConfirmed!U38-CumulativeRecovered!U38-CumulativeDead!U38</f>
        <v>8</v>
      </c>
      <c r="V38">
        <f>CumulativeConfirmed!V38-CumulativeRecovered!V38-CumulativeDead!V38</f>
        <v>8</v>
      </c>
      <c r="W38">
        <f>CumulativeConfirmed!W38-CumulativeRecovered!W38-CumulativeDead!W38</f>
        <v>7</v>
      </c>
      <c r="X38">
        <f>CumulativeConfirmed!X38-CumulativeRecovered!X38-CumulativeDead!X38</f>
        <v>7</v>
      </c>
      <c r="Y38">
        <f>CumulativeConfirmed!Y38-CumulativeRecovered!Y38-CumulativeDead!Y38</f>
        <v>7</v>
      </c>
      <c r="Z38">
        <f>CumulativeConfirmed!Z38-CumulativeRecovered!Z38-CumulativeDead!Z38</f>
        <v>5</v>
      </c>
      <c r="AA38">
        <f>CumulativeConfirmed!AA38-CumulativeRecovered!AA38-CumulativeDead!AA38</f>
        <v>5</v>
      </c>
      <c r="AB38">
        <f>CumulativeConfirmed!AB38-CumulativeRecovered!AB38-CumulativeDead!AB38</f>
        <v>5</v>
      </c>
      <c r="AC38">
        <f>CumulativeConfirmed!AC38-CumulativeRecovered!AC38-CumulativeDead!AC38</f>
        <v>5</v>
      </c>
      <c r="AD38">
        <f>CumulativeConfirmed!AD38-CumulativeRecovered!AD38-CumulativeDead!AD38</f>
        <v>5</v>
      </c>
      <c r="AE38">
        <f>CumulativeConfirmed!AE38-CumulativeRecovered!AE38-CumulativeDead!AE38</f>
        <v>5</v>
      </c>
      <c r="AF38">
        <f>CumulativeConfirmed!AF38-CumulativeRecovered!AF38-CumulativeDead!AF38</f>
        <v>5</v>
      </c>
      <c r="AG38">
        <f>CumulativeConfirmed!AG38-CumulativeRecovered!AG38-CumulativeDead!AG38</f>
        <v>9</v>
      </c>
      <c r="AH38">
        <f>CumulativeConfirmed!AH38-CumulativeRecovered!AH38-CumulativeDead!AH38</f>
        <v>9</v>
      </c>
      <c r="AI38">
        <f>CumulativeConfirmed!AI38-CumulativeRecovered!AI38-CumulativeDead!AI38</f>
        <v>9</v>
      </c>
      <c r="AJ38">
        <f>CumulativeConfirmed!AJ38-CumulativeRecovered!AJ38-CumulativeDead!AJ38</f>
        <v>9</v>
      </c>
      <c r="AK38">
        <f>CumulativeConfirmed!AK38-CumulativeRecovered!AK38-CumulativeDead!AK38</f>
        <v>9</v>
      </c>
      <c r="AL38">
        <f>CumulativeConfirmed!AL38-CumulativeRecovered!AL38-CumulativeDead!AL38</f>
        <v>9</v>
      </c>
      <c r="AM38">
        <f>CumulativeConfirmed!AM38-CumulativeRecovered!AM38-CumulativeDead!AM38</f>
        <v>14</v>
      </c>
      <c r="AN38">
        <f>CumulativeConfirmed!AN38-CumulativeRecovered!AN38-CumulativeDead!AN38</f>
        <v>16</v>
      </c>
      <c r="AO38">
        <f>CumulativeConfirmed!AO38-CumulativeRecovered!AO38-CumulativeDead!AO38</f>
        <v>16</v>
      </c>
      <c r="AP38">
        <f>CumulativeConfirmed!AP38-CumulativeRecovered!AP38-CumulativeDead!AP38</f>
        <v>16</v>
      </c>
      <c r="AQ38">
        <f>CumulativeConfirmed!AQ38-CumulativeRecovered!AQ38-CumulativeDead!AQ38</f>
        <v>22</v>
      </c>
      <c r="AR38">
        <f>CumulativeConfirmed!AR38-CumulativeRecovered!AR38-CumulativeDead!AR38</f>
        <v>22</v>
      </c>
      <c r="AS38">
        <f>CumulativeConfirmed!AS38-CumulativeRecovered!AS38-CumulativeDead!AS38</f>
        <v>24</v>
      </c>
      <c r="AT38">
        <f>CumulativeConfirmed!AT38-CumulativeRecovered!AT38-CumulativeDead!AT38</f>
        <v>24</v>
      </c>
      <c r="AU38">
        <f>CumulativeConfirmed!AU38-CumulativeRecovered!AU38-CumulativeDead!AU38</f>
        <v>38</v>
      </c>
      <c r="AV38">
        <f>CumulativeConfirmed!AV38-CumulativeRecovered!AV38-CumulativeDead!AV38</f>
        <v>38</v>
      </c>
      <c r="AW38">
        <f>CumulativeConfirmed!AW38-CumulativeRecovered!AW38-CumulativeDead!AW38</f>
        <v>38</v>
      </c>
      <c r="AX38">
        <f>CumulativeConfirmed!AX38-CumulativeRecovered!AX38-CumulativeDead!AX38</f>
        <v>62</v>
      </c>
      <c r="AY38">
        <f>CumulativeConfirmed!AY38-CumulativeRecovered!AY38-CumulativeDead!AY38</f>
        <v>57</v>
      </c>
      <c r="AZ38">
        <f>CumulativeConfirmed!AZ38-CumulativeRecovered!AZ38-CumulativeDead!AZ38</f>
        <v>68</v>
      </c>
      <c r="BA38">
        <f>CumulativeConfirmed!BA38-CumulativeRecovered!BA38-CumulativeDead!BA38</f>
        <v>68</v>
      </c>
      <c r="BB38">
        <f>CumulativeConfirmed!BB38-CumulativeRecovered!BB38-CumulativeDead!BB38</f>
        <v>68</v>
      </c>
      <c r="BC38">
        <f>CumulativeConfirmed!BC38-CumulativeRecovered!BC38-CumulativeDead!BC38</f>
        <v>75</v>
      </c>
      <c r="BD38">
        <f>CumulativeConfirmed!BD38-CumulativeRecovered!BD38-CumulativeDead!BD38</f>
        <v>75</v>
      </c>
      <c r="BE38">
        <f>CumulativeConfirmed!BE38-CumulativeRecovered!BE38-CumulativeDead!BE38</f>
        <v>75</v>
      </c>
      <c r="BF38">
        <f>CumulativeConfirmed!BF38-CumulativeRecovered!BF38-CumulativeDead!BF38</f>
        <v>87</v>
      </c>
      <c r="BG38">
        <f>CumulativeConfirmed!BG38-CumulativeRecovered!BG38-CumulativeDead!BG38</f>
        <v>109</v>
      </c>
      <c r="BH38">
        <f>CumulativeConfirmed!BH38-CumulativeRecovered!BH38-CumulativeDead!BH38</f>
        <v>107</v>
      </c>
      <c r="BI38">
        <f>CumulativeConfirmed!BI38-CumulativeRecovered!BI38-CumulativeDead!BI38</f>
        <v>0</v>
      </c>
      <c r="BJ38">
        <f>CumulativeConfirmed!BJ38-CumulativeRecovered!BJ38-CumulativeDead!BJ38</f>
        <v>0</v>
      </c>
      <c r="BK38">
        <f>CumulativeConfirmed!BK38-CumulativeRecovered!BK38-CumulativeDead!BK38</f>
        <v>0</v>
      </c>
      <c r="BL38">
        <f>CumulativeConfirmed!BL38-CumulativeRecovered!BL38-CumulativeDead!BL38</f>
        <v>0</v>
      </c>
      <c r="BM38">
        <f>CumulativeConfirmed!BM38-CumulativeRecovered!BM38-CumulativeDead!BM38</f>
        <v>0</v>
      </c>
      <c r="BN38">
        <f>CumulativeConfirmed!BN38-CumulativeRecovered!BN38-CumulativeDead!BN38</f>
        <v>0</v>
      </c>
      <c r="BO38">
        <f>CumulativeConfirmed!BO38-CumulativeRecovered!BO38-CumulativeDead!BO38</f>
        <v>0</v>
      </c>
      <c r="BP38">
        <f>CumulativeConfirmed!BP38-CumulativeRecovered!BP38-CumulativeDead!BP38</f>
        <v>0</v>
      </c>
      <c r="BQ38">
        <f>CumulativeConfirmed!BQ38-CumulativeRecovered!BQ38-CumulativeDead!BQ38</f>
        <v>0</v>
      </c>
      <c r="BR38">
        <f>CumulativeConfirmed!BR38-CumulativeRecovered!BR38-CumulativeDead!BR38</f>
        <v>0</v>
      </c>
      <c r="BS38">
        <f>CumulativeConfirmed!BS38-CumulativeRecovered!BS38-CumulativeDead!BS38</f>
        <v>0</v>
      </c>
      <c r="BT38">
        <f>CumulativeConfirmed!BT38-CumulativeRecovered!BT38-CumulativeDead!BT38</f>
        <v>0</v>
      </c>
    </row>
    <row r="39" spans="1:72" ht="15" thickBot="1" x14ac:dyDescent="0.35">
      <c r="A39" s="4" t="s">
        <v>57</v>
      </c>
      <c r="B39">
        <f>CumulativeConfirmed!B39-CumulativeRecovered!B39-CumulativeDead!B39</f>
        <v>0</v>
      </c>
      <c r="C39">
        <f>CumulativeConfirmed!C39-CumulativeRecovered!C39-CumulativeDead!C39</f>
        <v>0</v>
      </c>
      <c r="D39">
        <f>CumulativeConfirmed!D39-CumulativeRecovered!D39-CumulativeDead!D39</f>
        <v>0</v>
      </c>
      <c r="E39">
        <f>CumulativeConfirmed!E39-CumulativeRecovered!E39-CumulativeDead!E39</f>
        <v>0</v>
      </c>
      <c r="F39">
        <f>CumulativeConfirmed!F39-CumulativeRecovered!F39-CumulativeDead!F39</f>
        <v>0</v>
      </c>
      <c r="G39">
        <f>CumulativeConfirmed!G39-CumulativeRecovered!G39-CumulativeDead!G39</f>
        <v>0</v>
      </c>
      <c r="H39">
        <f>CumulativeConfirmed!H39-CumulativeRecovered!H39-CumulativeDead!H39</f>
        <v>0</v>
      </c>
      <c r="I39">
        <f>CumulativeConfirmed!I39-CumulativeRecovered!I39-CumulativeDead!I39</f>
        <v>0</v>
      </c>
      <c r="J39">
        <f>CumulativeConfirmed!J39-CumulativeRecovered!J39-CumulativeDead!J39</f>
        <v>1</v>
      </c>
      <c r="K39">
        <f>CumulativeConfirmed!K39-CumulativeRecovered!K39-CumulativeDead!K39</f>
        <v>1</v>
      </c>
      <c r="L39">
        <f>CumulativeConfirmed!L39-CumulativeRecovered!L39-CumulativeDead!L39</f>
        <v>1</v>
      </c>
      <c r="M39">
        <f>CumulativeConfirmed!M39-CumulativeRecovered!M39-CumulativeDead!M39</f>
        <v>2</v>
      </c>
      <c r="N39">
        <f>CumulativeConfirmed!N39-CumulativeRecovered!N39-CumulativeDead!N39</f>
        <v>3</v>
      </c>
      <c r="O39">
        <f>CumulativeConfirmed!O39-CumulativeRecovered!O39-CumulativeDead!O39</f>
        <v>3</v>
      </c>
      <c r="P39">
        <f>CumulativeConfirmed!P39-CumulativeRecovered!P39-CumulativeDead!P39</f>
        <v>3</v>
      </c>
      <c r="Q39">
        <f>CumulativeConfirmed!Q39-CumulativeRecovered!Q39-CumulativeDead!Q39</f>
        <v>3</v>
      </c>
      <c r="R39">
        <f>CumulativeConfirmed!R39-CumulativeRecovered!R39-CumulativeDead!R39</f>
        <v>3</v>
      </c>
      <c r="S39">
        <f>CumulativeConfirmed!S39-CumulativeRecovered!S39-CumulativeDead!S39</f>
        <v>3</v>
      </c>
      <c r="T39">
        <f>CumulativeConfirmed!T39-CumulativeRecovered!T39-CumulativeDead!T39</f>
        <v>3</v>
      </c>
      <c r="U39">
        <f>CumulativeConfirmed!U39-CumulativeRecovered!U39-CumulativeDead!U39</f>
        <v>3</v>
      </c>
      <c r="V39">
        <f>CumulativeConfirmed!V39-CumulativeRecovered!V39-CumulativeDead!V39</f>
        <v>3</v>
      </c>
      <c r="W39">
        <f>CumulativeConfirmed!W39-CumulativeRecovered!W39-CumulativeDead!W39</f>
        <v>3</v>
      </c>
      <c r="X39">
        <f>CumulativeConfirmed!X39-CumulativeRecovered!X39-CumulativeDead!X39</f>
        <v>3</v>
      </c>
      <c r="Y39">
        <f>CumulativeConfirmed!Y39-CumulativeRecovered!Y39-CumulativeDead!Y39</f>
        <v>3</v>
      </c>
      <c r="Z39">
        <f>CumulativeConfirmed!Z39-CumulativeRecovered!Z39-CumulativeDead!Z39</f>
        <v>3</v>
      </c>
      <c r="AA39">
        <f>CumulativeConfirmed!AA39-CumulativeRecovered!AA39-CumulativeDead!AA39</f>
        <v>0</v>
      </c>
      <c r="AB39">
        <f>CumulativeConfirmed!AB39-CumulativeRecovered!AB39-CumulativeDead!AB39</f>
        <v>0</v>
      </c>
      <c r="AC39">
        <f>CumulativeConfirmed!AC39-CumulativeRecovered!AC39-CumulativeDead!AC39</f>
        <v>0</v>
      </c>
      <c r="AD39">
        <f>CumulativeConfirmed!AD39-CumulativeRecovered!AD39-CumulativeDead!AD39</f>
        <v>0</v>
      </c>
      <c r="AE39">
        <f>CumulativeConfirmed!AE39-CumulativeRecovered!AE39-CumulativeDead!AE39</f>
        <v>0</v>
      </c>
      <c r="AF39">
        <f>CumulativeConfirmed!AF39-CumulativeRecovered!AF39-CumulativeDead!AF39</f>
        <v>0</v>
      </c>
      <c r="AG39">
        <f>CumulativeConfirmed!AG39-CumulativeRecovered!AG39-CumulativeDead!AG39</f>
        <v>0</v>
      </c>
      <c r="AH39">
        <f>CumulativeConfirmed!AH39-CumulativeRecovered!AH39-CumulativeDead!AH39</f>
        <v>0</v>
      </c>
      <c r="AI39">
        <f>CumulativeConfirmed!AI39-CumulativeRecovered!AI39-CumulativeDead!AI39</f>
        <v>0</v>
      </c>
      <c r="AJ39">
        <f>CumulativeConfirmed!AJ39-CumulativeRecovered!AJ39-CumulativeDead!AJ39</f>
        <v>0</v>
      </c>
      <c r="AK39">
        <f>CumulativeConfirmed!AK39-CumulativeRecovered!AK39-CumulativeDead!AK39</f>
        <v>0</v>
      </c>
      <c r="AL39">
        <f>CumulativeConfirmed!AL39-CumulativeRecovered!AL39-CumulativeDead!AL39</f>
        <v>0</v>
      </c>
      <c r="AM39">
        <f>CumulativeConfirmed!AM39-CumulativeRecovered!AM39-CumulativeDead!AM39</f>
        <v>0</v>
      </c>
      <c r="AN39">
        <f>CumulativeConfirmed!AN39-CumulativeRecovered!AN39-CumulativeDead!AN39</f>
        <v>0</v>
      </c>
      <c r="AO39">
        <f>CumulativeConfirmed!AO39-CumulativeRecovered!AO39-CumulativeDead!AO39</f>
        <v>0</v>
      </c>
      <c r="AP39">
        <f>CumulativeConfirmed!AP39-CumulativeRecovered!AP39-CumulativeDead!AP39</f>
        <v>2</v>
      </c>
      <c r="AQ39">
        <f>CumulativeConfirmed!AQ39-CumulativeRecovered!AQ39-CumulativeDead!AQ39</f>
        <v>2</v>
      </c>
      <c r="AR39">
        <f>CumulativeConfirmed!AR39-CumulativeRecovered!AR39-CumulativeDead!AR39</f>
        <v>25</v>
      </c>
      <c r="AS39">
        <f>CumulativeConfirmed!AS39-CumulativeRecovered!AS39-CumulativeDead!AS39</f>
        <v>27</v>
      </c>
      <c r="AT39">
        <f>CumulativeConfirmed!AT39-CumulativeRecovered!AT39-CumulativeDead!AT39</f>
        <v>28</v>
      </c>
      <c r="AU39">
        <f>CumulativeConfirmed!AU39-CumulativeRecovered!AU39-CumulativeDead!AU39</f>
        <v>31</v>
      </c>
      <c r="AV39">
        <f>CumulativeConfirmed!AV39-CumulativeRecovered!AV39-CumulativeDead!AV39</f>
        <v>36</v>
      </c>
      <c r="AW39">
        <f>CumulativeConfirmed!AW39-CumulativeRecovered!AW39-CumulativeDead!AW39</f>
        <v>40</v>
      </c>
      <c r="AX39">
        <f>CumulativeConfirmed!AX39-CumulativeRecovered!AX39-CumulativeDead!AX39</f>
        <v>52</v>
      </c>
      <c r="AY39">
        <f>CumulativeConfirmed!AY39-CumulativeRecovered!AY39-CumulativeDead!AY39</f>
        <v>57</v>
      </c>
      <c r="AZ39">
        <f>CumulativeConfirmed!AZ39-CumulativeRecovered!AZ39-CumulativeDead!AZ39</f>
        <v>68</v>
      </c>
      <c r="BA39">
        <f>CumulativeConfirmed!BA39-CumulativeRecovered!BA39-CumulativeDead!BA39</f>
        <v>76</v>
      </c>
      <c r="BB39">
        <f>CumulativeConfirmed!BB39-CumulativeRecovered!BB39-CumulativeDead!BB39</f>
        <v>96</v>
      </c>
      <c r="BC39">
        <f>CumulativeConfirmed!BC39-CumulativeRecovered!BC39-CumulativeDead!BC39</f>
        <v>98</v>
      </c>
      <c r="BD39">
        <f>CumulativeConfirmed!BD39-CumulativeRecovered!BD39-CumulativeDead!BD39</f>
        <v>104</v>
      </c>
      <c r="BE39">
        <f>CumulativeConfirmed!BE39-CumulativeRecovered!BE39-CumulativeDead!BE39</f>
        <v>125</v>
      </c>
      <c r="BF39">
        <f>CumulativeConfirmed!BF39-CumulativeRecovered!BF39-CumulativeDead!BF39</f>
        <v>139</v>
      </c>
      <c r="BG39">
        <f>CumulativeConfirmed!BG39-CumulativeRecovered!BG39-CumulativeDead!BG39</f>
        <v>175</v>
      </c>
      <c r="BH39">
        <f>CumulativeConfirmed!BH39-CumulativeRecovered!BH39-CumulativeDead!BH39</f>
        <v>219</v>
      </c>
      <c r="BI39">
        <f>CumulativeConfirmed!BI39-CumulativeRecovered!BI39-CumulativeDead!BI39</f>
        <v>0</v>
      </c>
      <c r="BJ39">
        <f>CumulativeConfirmed!BJ39-CumulativeRecovered!BJ39-CumulativeDead!BJ39</f>
        <v>0</v>
      </c>
      <c r="BK39">
        <f>CumulativeConfirmed!BK39-CumulativeRecovered!BK39-CumulativeDead!BK39</f>
        <v>0</v>
      </c>
      <c r="BL39">
        <f>CumulativeConfirmed!BL39-CumulativeRecovered!BL39-CumulativeDead!BL39</f>
        <v>0</v>
      </c>
      <c r="BM39">
        <f>CumulativeConfirmed!BM39-CumulativeRecovered!BM39-CumulativeDead!BM39</f>
        <v>0</v>
      </c>
      <c r="BN39">
        <f>CumulativeConfirmed!BN39-CumulativeRecovered!BN39-CumulativeDead!BN39</f>
        <v>0</v>
      </c>
      <c r="BO39">
        <f>CumulativeConfirmed!BO39-CumulativeRecovered!BO39-CumulativeDead!BO39</f>
        <v>0</v>
      </c>
      <c r="BP39">
        <f>CumulativeConfirmed!BP39-CumulativeRecovered!BP39-CumulativeDead!BP39</f>
        <v>0</v>
      </c>
      <c r="BQ39">
        <f>CumulativeConfirmed!BQ39-CumulativeRecovered!BQ39-CumulativeDead!BQ39</f>
        <v>0</v>
      </c>
      <c r="BR39">
        <f>CumulativeConfirmed!BR39-CumulativeRecovered!BR39-CumulativeDead!BR39</f>
        <v>0</v>
      </c>
      <c r="BS39">
        <f>CumulativeConfirmed!BS39-CumulativeRecovered!BS39-CumulativeDead!BS39</f>
        <v>0</v>
      </c>
      <c r="BT39">
        <f>CumulativeConfirmed!BT39-CumulativeRecovered!BT39-CumulativeDead!BT39</f>
        <v>0</v>
      </c>
    </row>
    <row r="40" spans="1:72" ht="15" thickBot="1" x14ac:dyDescent="0.35">
      <c r="A40" s="4" t="s">
        <v>65</v>
      </c>
      <c r="B40">
        <f>CumulativeConfirmed!B40-CumulativeRecovered!B40-CumulativeDead!B40</f>
        <v>0</v>
      </c>
      <c r="C40">
        <f>CumulativeConfirmed!C40-CumulativeRecovered!C40-CumulativeDead!C40</f>
        <v>0</v>
      </c>
      <c r="D40">
        <f>CumulativeConfirmed!D40-CumulativeRecovered!D40-CumulativeDead!D40</f>
        <v>0</v>
      </c>
      <c r="E40">
        <f>CumulativeConfirmed!E40-CumulativeRecovered!E40-CumulativeDead!E40</f>
        <v>0</v>
      </c>
      <c r="F40">
        <f>CumulativeConfirmed!F40-CumulativeRecovered!F40-CumulativeDead!F40</f>
        <v>0</v>
      </c>
      <c r="G40">
        <f>CumulativeConfirmed!G40-CumulativeRecovered!G40-CumulativeDead!G40</f>
        <v>0</v>
      </c>
      <c r="H40">
        <f>CumulativeConfirmed!H40-CumulativeRecovered!H40-CumulativeDead!H40</f>
        <v>0</v>
      </c>
      <c r="I40">
        <f>CumulativeConfirmed!I40-CumulativeRecovered!I40-CumulativeDead!I40</f>
        <v>0</v>
      </c>
      <c r="J40">
        <f>CumulativeConfirmed!J40-CumulativeRecovered!J40-CumulativeDead!J40</f>
        <v>0</v>
      </c>
      <c r="K40">
        <f>CumulativeConfirmed!K40-CumulativeRecovered!K40-CumulativeDead!K40</f>
        <v>0</v>
      </c>
      <c r="L40">
        <f>CumulativeConfirmed!L40-CumulativeRecovered!L40-CumulativeDead!L40</f>
        <v>0</v>
      </c>
      <c r="M40">
        <f>CumulativeConfirmed!M40-CumulativeRecovered!M40-CumulativeDead!M40</f>
        <v>0</v>
      </c>
      <c r="N40">
        <f>CumulativeConfirmed!N40-CumulativeRecovered!N40-CumulativeDead!N40</f>
        <v>0</v>
      </c>
      <c r="O40">
        <f>CumulativeConfirmed!O40-CumulativeRecovered!O40-CumulativeDead!O40</f>
        <v>0</v>
      </c>
      <c r="P40">
        <f>CumulativeConfirmed!P40-CumulativeRecovered!P40-CumulativeDead!P40</f>
        <v>0</v>
      </c>
      <c r="Q40">
        <f>CumulativeConfirmed!Q40-CumulativeRecovered!Q40-CumulativeDead!Q40</f>
        <v>0</v>
      </c>
      <c r="R40">
        <f>CumulativeConfirmed!R40-CumulativeRecovered!R40-CumulativeDead!R40</f>
        <v>0</v>
      </c>
      <c r="S40">
        <f>CumulativeConfirmed!S40-CumulativeRecovered!S40-CumulativeDead!S40</f>
        <v>0</v>
      </c>
      <c r="T40">
        <f>CumulativeConfirmed!T40-CumulativeRecovered!T40-CumulativeDead!T40</f>
        <v>0</v>
      </c>
      <c r="U40">
        <f>CumulativeConfirmed!U40-CumulativeRecovered!U40-CumulativeDead!U40</f>
        <v>0</v>
      </c>
      <c r="V40">
        <f>CumulativeConfirmed!V40-CumulativeRecovered!V40-CumulativeDead!V40</f>
        <v>0</v>
      </c>
      <c r="W40">
        <f>CumulativeConfirmed!W40-CumulativeRecovered!W40-CumulativeDead!W40</f>
        <v>0</v>
      </c>
      <c r="X40">
        <f>CumulativeConfirmed!X40-CumulativeRecovered!X40-CumulativeDead!X40</f>
        <v>0</v>
      </c>
      <c r="Y40">
        <f>CumulativeConfirmed!Y40-CumulativeRecovered!Y40-CumulativeDead!Y40</f>
        <v>1</v>
      </c>
      <c r="Z40">
        <f>CumulativeConfirmed!Z40-CumulativeRecovered!Z40-CumulativeDead!Z40</f>
        <v>1</v>
      </c>
      <c r="AA40">
        <f>CumulativeConfirmed!AA40-CumulativeRecovered!AA40-CumulativeDead!AA40</f>
        <v>1</v>
      </c>
      <c r="AB40">
        <f>CumulativeConfirmed!AB40-CumulativeRecovered!AB40-CumulativeDead!AB40</f>
        <v>1</v>
      </c>
      <c r="AC40">
        <f>CumulativeConfirmed!AC40-CumulativeRecovered!AC40-CumulativeDead!AC40</f>
        <v>1</v>
      </c>
      <c r="AD40">
        <f>CumulativeConfirmed!AD40-CumulativeRecovered!AD40-CumulativeDead!AD40</f>
        <v>1</v>
      </c>
      <c r="AE40">
        <f>CumulativeConfirmed!AE40-CumulativeRecovered!AE40-CumulativeDead!AE40</f>
        <v>1</v>
      </c>
      <c r="AF40">
        <f>CumulativeConfirmed!AF40-CumulativeRecovered!AF40-CumulativeDead!AF40</f>
        <v>1</v>
      </c>
      <c r="AG40">
        <f>CumulativeConfirmed!AG40-CumulativeRecovered!AG40-CumulativeDead!AG40</f>
        <v>1</v>
      </c>
      <c r="AH40">
        <f>CumulativeConfirmed!AH40-CumulativeRecovered!AH40-CumulativeDead!AH40</f>
        <v>1</v>
      </c>
      <c r="AI40">
        <f>CumulativeConfirmed!AI40-CumulativeRecovered!AI40-CumulativeDead!AI40</f>
        <v>1</v>
      </c>
      <c r="AJ40">
        <f>CumulativeConfirmed!AJ40-CumulativeRecovered!AJ40-CumulativeDead!AJ40</f>
        <v>1</v>
      </c>
      <c r="AK40">
        <f>CumulativeConfirmed!AK40-CumulativeRecovered!AK40-CumulativeDead!AK40</f>
        <v>1</v>
      </c>
      <c r="AL40">
        <f>CumulativeConfirmed!AL40-CumulativeRecovered!AL40-CumulativeDead!AL40</f>
        <v>1</v>
      </c>
      <c r="AM40">
        <f>CumulativeConfirmed!AM40-CumulativeRecovered!AM40-CumulativeDead!AM40</f>
        <v>0</v>
      </c>
      <c r="AN40">
        <f>CumulativeConfirmed!AN40-CumulativeRecovered!AN40-CumulativeDead!AN40</f>
        <v>0</v>
      </c>
      <c r="AO40">
        <f>CumulativeConfirmed!AO40-CumulativeRecovered!AO40-CumulativeDead!AO40</f>
        <v>1</v>
      </c>
      <c r="AP40">
        <f>CumulativeConfirmed!AP40-CumulativeRecovered!AP40-CumulativeDead!AP40</f>
        <v>1</v>
      </c>
      <c r="AQ40">
        <f>CumulativeConfirmed!AQ40-CumulativeRecovered!AQ40-CumulativeDead!AQ40</f>
        <v>1</v>
      </c>
      <c r="AR40">
        <f>CumulativeConfirmed!AR40-CumulativeRecovered!AR40-CumulativeDead!AR40</f>
        <v>1</v>
      </c>
      <c r="AS40">
        <f>CumulativeConfirmed!AS40-CumulativeRecovered!AS40-CumulativeDead!AS40</f>
        <v>2</v>
      </c>
      <c r="AT40">
        <f>CumulativeConfirmed!AT40-CumulativeRecovered!AT40-CumulativeDead!AT40</f>
        <v>14</v>
      </c>
      <c r="AU40">
        <f>CumulativeConfirmed!AU40-CumulativeRecovered!AU40-CumulativeDead!AU40</f>
        <v>14</v>
      </c>
      <c r="AV40">
        <f>CumulativeConfirmed!AV40-CumulativeRecovered!AV40-CumulativeDead!AV40</f>
        <v>47</v>
      </c>
      <c r="AW40">
        <f>CumulativeConfirmed!AW40-CumulativeRecovered!AW40-CumulativeDead!AW40</f>
        <v>53</v>
      </c>
      <c r="AX40">
        <f>CumulativeConfirmed!AX40-CumulativeRecovered!AX40-CumulativeDead!AX40</f>
        <v>57</v>
      </c>
      <c r="AY40">
        <f>CumulativeConfirmed!AY40-CumulativeRecovered!AY40-CumulativeDead!AY40</f>
        <v>32</v>
      </c>
      <c r="AZ40">
        <f>CumulativeConfirmed!AZ40-CumulativeRecovered!AZ40-CumulativeDead!AZ40</f>
        <v>39</v>
      </c>
      <c r="BA40">
        <f>CumulativeConfirmed!BA40-CumulativeRecovered!BA40-CumulativeDead!BA40</f>
        <v>51</v>
      </c>
      <c r="BB40">
        <f>CumulativeConfirmed!BB40-CumulativeRecovered!BB40-CumulativeDead!BB40</f>
        <v>80</v>
      </c>
      <c r="BC40">
        <f>CumulativeConfirmed!BC40-CumulativeRecovered!BC40-CumulativeDead!BC40</f>
        <v>87</v>
      </c>
      <c r="BD40">
        <f>CumulativeConfirmed!BD40-CumulativeRecovered!BD40-CumulativeDead!BD40</f>
        <v>121</v>
      </c>
      <c r="BE40">
        <f>CumulativeConfirmed!BE40-CumulativeRecovered!BE40-CumulativeDead!BE40</f>
        <v>160</v>
      </c>
      <c r="BF40">
        <f>CumulativeConfirmed!BF40-CumulativeRecovered!BF40-CumulativeDead!BF40</f>
        <v>158</v>
      </c>
      <c r="BG40">
        <f>CumulativeConfirmed!BG40-CumulativeRecovered!BG40-CumulativeDead!BG40</f>
        <v>218</v>
      </c>
      <c r="BH40">
        <f>CumulativeConfirmed!BH40-CumulativeRecovered!BH40-CumulativeDead!BH40</f>
        <v>238</v>
      </c>
      <c r="BI40">
        <f>CumulativeConfirmed!BI40-CumulativeRecovered!BI40-CumulativeDead!BI40</f>
        <v>0</v>
      </c>
      <c r="BJ40">
        <f>CumulativeConfirmed!BJ40-CumulativeRecovered!BJ40-CumulativeDead!BJ40</f>
        <v>0</v>
      </c>
      <c r="BK40">
        <f>CumulativeConfirmed!BK40-CumulativeRecovered!BK40-CumulativeDead!BK40</f>
        <v>0</v>
      </c>
      <c r="BL40">
        <f>CumulativeConfirmed!BL40-CumulativeRecovered!BL40-CumulativeDead!BL40</f>
        <v>0</v>
      </c>
      <c r="BM40">
        <f>CumulativeConfirmed!BM40-CumulativeRecovered!BM40-CumulativeDead!BM40</f>
        <v>0</v>
      </c>
      <c r="BN40">
        <f>CumulativeConfirmed!BN40-CumulativeRecovered!BN40-CumulativeDead!BN40</f>
        <v>0</v>
      </c>
      <c r="BO40">
        <f>CumulativeConfirmed!BO40-CumulativeRecovered!BO40-CumulativeDead!BO40</f>
        <v>0</v>
      </c>
      <c r="BP40">
        <f>CumulativeConfirmed!BP40-CumulativeRecovered!BP40-CumulativeDead!BP40</f>
        <v>0</v>
      </c>
      <c r="BQ40">
        <f>CumulativeConfirmed!BQ40-CumulativeRecovered!BQ40-CumulativeDead!BQ40</f>
        <v>0</v>
      </c>
      <c r="BR40">
        <f>CumulativeConfirmed!BR40-CumulativeRecovered!BR40-CumulativeDead!BR40</f>
        <v>0</v>
      </c>
      <c r="BS40">
        <f>CumulativeConfirmed!BS40-CumulativeRecovered!BS40-CumulativeDead!BS40</f>
        <v>0</v>
      </c>
      <c r="BT40">
        <f>CumulativeConfirmed!BT40-CumulativeRecovered!BT40-CumulativeDead!BT40</f>
        <v>0</v>
      </c>
    </row>
    <row r="41" spans="1:72" ht="15" thickBot="1" x14ac:dyDescent="0.35">
      <c r="A41" s="3" t="s">
        <v>74</v>
      </c>
      <c r="B41">
        <f>CumulativeConfirmed!B41-CumulativeRecovered!B41-CumulativeDead!B41</f>
        <v>0</v>
      </c>
      <c r="C41">
        <f>CumulativeConfirmed!C41-CumulativeRecovered!C41-CumulativeDead!C41</f>
        <v>0</v>
      </c>
      <c r="D41">
        <f>CumulativeConfirmed!D41-CumulativeRecovered!D41-CumulativeDead!D41</f>
        <v>0</v>
      </c>
      <c r="E41">
        <f>CumulativeConfirmed!E41-CumulativeRecovered!E41-CumulativeDead!E41</f>
        <v>0</v>
      </c>
      <c r="F41">
        <f>CumulativeConfirmed!F41-CumulativeRecovered!F41-CumulativeDead!F41</f>
        <v>0</v>
      </c>
      <c r="G41">
        <f>CumulativeConfirmed!G41-CumulativeRecovered!G41-CumulativeDead!G41</f>
        <v>0</v>
      </c>
      <c r="H41">
        <f>CumulativeConfirmed!H41-CumulativeRecovered!H41-CumulativeDead!H41</f>
        <v>0</v>
      </c>
      <c r="I41">
        <f>CumulativeConfirmed!I41-CumulativeRecovered!I41-CumulativeDead!I41</f>
        <v>0</v>
      </c>
      <c r="J41">
        <f>CumulativeConfirmed!J41-CumulativeRecovered!J41-CumulativeDead!J41</f>
        <v>0</v>
      </c>
      <c r="K41">
        <f>CumulativeConfirmed!K41-CumulativeRecovered!K41-CumulativeDead!K41</f>
        <v>0</v>
      </c>
      <c r="L41">
        <f>CumulativeConfirmed!L41-CumulativeRecovered!L41-CumulativeDead!L41</f>
        <v>0</v>
      </c>
      <c r="M41">
        <f>CumulativeConfirmed!M41-CumulativeRecovered!M41-CumulativeDead!M41</f>
        <v>0</v>
      </c>
      <c r="N41">
        <f>CumulativeConfirmed!N41-CumulativeRecovered!N41-CumulativeDead!N41</f>
        <v>0</v>
      </c>
      <c r="O41">
        <f>CumulativeConfirmed!O41-CumulativeRecovered!O41-CumulativeDead!O41</f>
        <v>0</v>
      </c>
      <c r="P41">
        <f>CumulativeConfirmed!P41-CumulativeRecovered!P41-CumulativeDead!P41</f>
        <v>0</v>
      </c>
      <c r="Q41">
        <f>CumulativeConfirmed!Q41-CumulativeRecovered!Q41-CumulativeDead!Q41</f>
        <v>0</v>
      </c>
      <c r="R41">
        <f>CumulativeConfirmed!R41-CumulativeRecovered!R41-CumulativeDead!R41</f>
        <v>0</v>
      </c>
      <c r="S41">
        <f>CumulativeConfirmed!S41-CumulativeRecovered!S41-CumulativeDead!S41</f>
        <v>0</v>
      </c>
      <c r="T41">
        <f>CumulativeConfirmed!T41-CumulativeRecovered!T41-CumulativeDead!T41</f>
        <v>0</v>
      </c>
      <c r="U41">
        <f>CumulativeConfirmed!U41-CumulativeRecovered!U41-CumulativeDead!U41</f>
        <v>0</v>
      </c>
      <c r="V41">
        <f>CumulativeConfirmed!V41-CumulativeRecovered!V41-CumulativeDead!V41</f>
        <v>0</v>
      </c>
      <c r="W41">
        <f>CumulativeConfirmed!W41-CumulativeRecovered!W41-CumulativeDead!W41</f>
        <v>0</v>
      </c>
      <c r="X41">
        <f>CumulativeConfirmed!X41-CumulativeRecovered!X41-CumulativeDead!X41</f>
        <v>0</v>
      </c>
      <c r="Y41">
        <f>CumulativeConfirmed!Y41-CumulativeRecovered!Y41-CumulativeDead!Y41</f>
        <v>0</v>
      </c>
      <c r="Z41">
        <f>CumulativeConfirmed!Z41-CumulativeRecovered!Z41-CumulativeDead!Z41</f>
        <v>0</v>
      </c>
      <c r="AA41">
        <f>CumulativeConfirmed!AA41-CumulativeRecovered!AA41-CumulativeDead!AA41</f>
        <v>0</v>
      </c>
      <c r="AB41">
        <f>CumulativeConfirmed!AB41-CumulativeRecovered!AB41-CumulativeDead!AB41</f>
        <v>0</v>
      </c>
      <c r="AC41">
        <f>CumulativeConfirmed!AC41-CumulativeRecovered!AC41-CumulativeDead!AC41</f>
        <v>0</v>
      </c>
      <c r="AD41">
        <f>CumulativeConfirmed!AD41-CumulativeRecovered!AD41-CumulativeDead!AD41</f>
        <v>0</v>
      </c>
      <c r="AE41">
        <f>CumulativeConfirmed!AE41-CumulativeRecovered!AE41-CumulativeDead!AE41</f>
        <v>0</v>
      </c>
      <c r="AF41">
        <f>CumulativeConfirmed!AF41-CumulativeRecovered!AF41-CumulativeDead!AF41</f>
        <v>0</v>
      </c>
      <c r="AG41">
        <f>CumulativeConfirmed!AG41-CumulativeRecovered!AG41-CumulativeDead!AG41</f>
        <v>0</v>
      </c>
      <c r="AH41">
        <f>CumulativeConfirmed!AH41-CumulativeRecovered!AH41-CumulativeDead!AH41</f>
        <v>0</v>
      </c>
      <c r="AI41">
        <f>CumulativeConfirmed!AI41-CumulativeRecovered!AI41-CumulativeDead!AI41</f>
        <v>1</v>
      </c>
      <c r="AJ41">
        <f>CumulativeConfirmed!AJ41-CumulativeRecovered!AJ41-CumulativeDead!AJ41</f>
        <v>11</v>
      </c>
      <c r="AK41">
        <f>CumulativeConfirmed!AK41-CumulativeRecovered!AK41-CumulativeDead!AK41</f>
        <v>26</v>
      </c>
      <c r="AL41">
        <f>CumulativeConfirmed!AL41-CumulativeRecovered!AL41-CumulativeDead!AL41</f>
        <v>43</v>
      </c>
      <c r="AM41">
        <f>CumulativeConfirmed!AM41-CumulativeRecovered!AM41-CumulativeDead!AM41</f>
        <v>45</v>
      </c>
      <c r="AN41">
        <f>CumulativeConfirmed!AN41-CumulativeRecovered!AN41-CumulativeDead!AN41</f>
        <v>45</v>
      </c>
      <c r="AO41">
        <f>CumulativeConfirmed!AO41-CumulativeRecovered!AO41-CumulativeDead!AO41</f>
        <v>45</v>
      </c>
      <c r="AP41">
        <f>CumulativeConfirmed!AP41-CumulativeRecovered!AP41-CumulativeDead!AP41</f>
        <v>56</v>
      </c>
      <c r="AQ41">
        <f>CumulativeConfirmed!AQ41-CumulativeRecovered!AQ41-CumulativeDead!AQ41</f>
        <v>56</v>
      </c>
      <c r="AR41">
        <f>CumulativeConfirmed!AR41-CumulativeRecovered!AR41-CumulativeDead!AR41</f>
        <v>56</v>
      </c>
      <c r="AS41">
        <f>CumulativeConfirmed!AS41-CumulativeRecovered!AS41-CumulativeDead!AS41</f>
        <v>58</v>
      </c>
      <c r="AT41">
        <f>CumulativeConfirmed!AT41-CumulativeRecovered!AT41-CumulativeDead!AT41</f>
        <v>58</v>
      </c>
      <c r="AU41">
        <f>CumulativeConfirmed!AU41-CumulativeRecovered!AU41-CumulativeDead!AU41</f>
        <v>61</v>
      </c>
      <c r="AV41">
        <f>CumulativeConfirmed!AV41-CumulativeRecovered!AV41-CumulativeDead!AV41</f>
        <v>63</v>
      </c>
      <c r="AW41">
        <f>CumulativeConfirmed!AW41-CumulativeRecovered!AW41-CumulativeDead!AW41</f>
        <v>63</v>
      </c>
      <c r="AX41">
        <f>CumulativeConfirmed!AX41-CumulativeRecovered!AX41-CumulativeDead!AX41</f>
        <v>68</v>
      </c>
      <c r="AY41">
        <f>CumulativeConfirmed!AY41-CumulativeRecovered!AY41-CumulativeDead!AY41</f>
        <v>70</v>
      </c>
      <c r="AZ41">
        <f>CumulativeConfirmed!AZ41-CumulativeRecovered!AZ41-CumulativeDead!AZ41</f>
        <v>75</v>
      </c>
      <c r="BA41">
        <f>CumulativeConfirmed!BA41-CumulativeRecovered!BA41-CumulativeDead!BA41</f>
        <v>75</v>
      </c>
      <c r="BB41">
        <f>CumulativeConfirmed!BB41-CumulativeRecovered!BB41-CumulativeDead!BB41</f>
        <v>99</v>
      </c>
      <c r="BC41">
        <f>CumulativeConfirmed!BC41-CumulativeRecovered!BC41-CumulativeDead!BC41</f>
        <v>107</v>
      </c>
      <c r="BD41">
        <f>CumulativeConfirmed!BD41-CumulativeRecovered!BD41-CumulativeDead!BD41</f>
        <v>114</v>
      </c>
      <c r="BE41">
        <f>CumulativeConfirmed!BE41-CumulativeRecovered!BE41-CumulativeDead!BE41</f>
        <v>121</v>
      </c>
      <c r="BF41">
        <f>CumulativeConfirmed!BF41-CumulativeRecovered!BF41-CumulativeDead!BF41</f>
        <v>127</v>
      </c>
      <c r="BG41">
        <f>CumulativeConfirmed!BG41-CumulativeRecovered!BG41-CumulativeDead!BG41</f>
        <v>130</v>
      </c>
      <c r="BH41">
        <f>CumulativeConfirmed!BH41-CumulativeRecovered!BH41-CumulativeDead!BH41</f>
        <v>141</v>
      </c>
      <c r="BI41">
        <f>CumulativeConfirmed!BI41-CumulativeRecovered!BI41-CumulativeDead!BI41</f>
        <v>0</v>
      </c>
      <c r="BJ41">
        <f>CumulativeConfirmed!BJ41-CumulativeRecovered!BJ41-CumulativeDead!BJ41</f>
        <v>0</v>
      </c>
      <c r="BK41">
        <f>CumulativeConfirmed!BK41-CumulativeRecovered!BK41-CumulativeDead!BK41</f>
        <v>0</v>
      </c>
      <c r="BL41">
        <f>CumulativeConfirmed!BL41-CumulativeRecovered!BL41-CumulativeDead!BL41</f>
        <v>0</v>
      </c>
      <c r="BM41">
        <f>CumulativeConfirmed!BM41-CumulativeRecovered!BM41-CumulativeDead!BM41</f>
        <v>0</v>
      </c>
      <c r="BN41">
        <f>CumulativeConfirmed!BN41-CumulativeRecovered!BN41-CumulativeDead!BN41</f>
        <v>0</v>
      </c>
      <c r="BO41">
        <f>CumulativeConfirmed!BO41-CumulativeRecovered!BO41-CumulativeDead!BO41</f>
        <v>0</v>
      </c>
      <c r="BP41">
        <f>CumulativeConfirmed!BP41-CumulativeRecovered!BP41-CumulativeDead!BP41</f>
        <v>0</v>
      </c>
      <c r="BQ41">
        <f>CumulativeConfirmed!BQ41-CumulativeRecovered!BQ41-CumulativeDead!BQ41</f>
        <v>0</v>
      </c>
      <c r="BR41">
        <f>CumulativeConfirmed!BR41-CumulativeRecovered!BR41-CumulativeDead!BR41</f>
        <v>0</v>
      </c>
      <c r="BS41">
        <f>CumulativeConfirmed!BS41-CumulativeRecovered!BS41-CumulativeDead!BS41</f>
        <v>0</v>
      </c>
      <c r="BT41">
        <f>CumulativeConfirmed!BT41-CumulativeRecovered!BT41-CumulativeDead!BT41</f>
        <v>0</v>
      </c>
    </row>
    <row r="42" spans="1:72" ht="15" thickBot="1" x14ac:dyDescent="0.35">
      <c r="A42" s="4" t="s">
        <v>90</v>
      </c>
      <c r="B42">
        <f>CumulativeConfirmed!B42-CumulativeRecovered!B42-CumulativeDead!B42</f>
        <v>0</v>
      </c>
      <c r="C42">
        <f>CumulativeConfirmed!C42-CumulativeRecovered!C42-CumulativeDead!C42</f>
        <v>0</v>
      </c>
      <c r="D42">
        <f>CumulativeConfirmed!D42-CumulativeRecovered!D42-CumulativeDead!D42</f>
        <v>0</v>
      </c>
      <c r="E42">
        <f>CumulativeConfirmed!E42-CumulativeRecovered!E42-CumulativeDead!E42</f>
        <v>0</v>
      </c>
      <c r="F42">
        <f>CumulativeConfirmed!F42-CumulativeRecovered!F42-CumulativeDead!F42</f>
        <v>0</v>
      </c>
      <c r="G42">
        <f>CumulativeConfirmed!G42-CumulativeRecovered!G42-CumulativeDead!G42</f>
        <v>0</v>
      </c>
      <c r="H42">
        <f>CumulativeConfirmed!H42-CumulativeRecovered!H42-CumulativeDead!H42</f>
        <v>0</v>
      </c>
      <c r="I42">
        <f>CumulativeConfirmed!I42-CumulativeRecovered!I42-CumulativeDead!I42</f>
        <v>0</v>
      </c>
      <c r="J42">
        <f>CumulativeConfirmed!J42-CumulativeRecovered!J42-CumulativeDead!J42</f>
        <v>0</v>
      </c>
      <c r="K42">
        <f>CumulativeConfirmed!K42-CumulativeRecovered!K42-CumulativeDead!K42</f>
        <v>0</v>
      </c>
      <c r="L42">
        <f>CumulativeConfirmed!L42-CumulativeRecovered!L42-CumulativeDead!L42</f>
        <v>0</v>
      </c>
      <c r="M42">
        <f>CumulativeConfirmed!M42-CumulativeRecovered!M42-CumulativeDead!M42</f>
        <v>0</v>
      </c>
      <c r="N42">
        <f>CumulativeConfirmed!N42-CumulativeRecovered!N42-CumulativeDead!N42</f>
        <v>0</v>
      </c>
      <c r="O42">
        <f>CumulativeConfirmed!O42-CumulativeRecovered!O42-CumulativeDead!O42</f>
        <v>0</v>
      </c>
      <c r="P42">
        <f>CumulativeConfirmed!P42-CumulativeRecovered!P42-CumulativeDead!P42</f>
        <v>0</v>
      </c>
      <c r="Q42">
        <f>CumulativeConfirmed!Q42-CumulativeRecovered!Q42-CumulativeDead!Q42</f>
        <v>0</v>
      </c>
      <c r="R42">
        <f>CumulativeConfirmed!R42-CumulativeRecovered!R42-CumulativeDead!R42</f>
        <v>0</v>
      </c>
      <c r="S42">
        <f>CumulativeConfirmed!S42-CumulativeRecovered!S42-CumulativeDead!S42</f>
        <v>0</v>
      </c>
      <c r="T42">
        <f>CumulativeConfirmed!T42-CumulativeRecovered!T42-CumulativeDead!T42</f>
        <v>0</v>
      </c>
      <c r="U42">
        <f>CumulativeConfirmed!U42-CumulativeRecovered!U42-CumulativeDead!U42</f>
        <v>0</v>
      </c>
      <c r="V42">
        <f>CumulativeConfirmed!V42-CumulativeRecovered!V42-CumulativeDead!V42</f>
        <v>0</v>
      </c>
      <c r="W42">
        <f>CumulativeConfirmed!W42-CumulativeRecovered!W42-CumulativeDead!W42</f>
        <v>0</v>
      </c>
      <c r="X42">
        <f>CumulativeConfirmed!X42-CumulativeRecovered!X42-CumulativeDead!X42</f>
        <v>0</v>
      </c>
      <c r="Y42">
        <f>CumulativeConfirmed!Y42-CumulativeRecovered!Y42-CumulativeDead!Y42</f>
        <v>0</v>
      </c>
      <c r="Z42">
        <f>CumulativeConfirmed!Z42-CumulativeRecovered!Z42-CumulativeDead!Z42</f>
        <v>0</v>
      </c>
      <c r="AA42">
        <f>CumulativeConfirmed!AA42-CumulativeRecovered!AA42-CumulativeDead!AA42</f>
        <v>0</v>
      </c>
      <c r="AB42">
        <f>CumulativeConfirmed!AB42-CumulativeRecovered!AB42-CumulativeDead!AB42</f>
        <v>0</v>
      </c>
      <c r="AC42">
        <f>CumulativeConfirmed!AC42-CumulativeRecovered!AC42-CumulativeDead!AC42</f>
        <v>0</v>
      </c>
      <c r="AD42">
        <f>CumulativeConfirmed!AD42-CumulativeRecovered!AD42-CumulativeDead!AD42</f>
        <v>0</v>
      </c>
      <c r="AE42">
        <f>CumulativeConfirmed!AE42-CumulativeRecovered!AE42-CumulativeDead!AE42</f>
        <v>0</v>
      </c>
      <c r="AF42">
        <f>CumulativeConfirmed!AF42-CumulativeRecovered!AF42-CumulativeDead!AF42</f>
        <v>0</v>
      </c>
      <c r="AG42">
        <f>CumulativeConfirmed!AG42-CumulativeRecovered!AG42-CumulativeDead!AG42</f>
        <v>0</v>
      </c>
      <c r="AH42">
        <f>CumulativeConfirmed!AH42-CumulativeRecovered!AH42-CumulativeDead!AH42</f>
        <v>0</v>
      </c>
      <c r="AI42">
        <f>CumulativeConfirmed!AI42-CumulativeRecovered!AI42-CumulativeDead!AI42</f>
        <v>0</v>
      </c>
      <c r="AJ42">
        <f>CumulativeConfirmed!AJ42-CumulativeRecovered!AJ42-CumulativeDead!AJ42</f>
        <v>0</v>
      </c>
      <c r="AK42">
        <f>CumulativeConfirmed!AK42-CumulativeRecovered!AK42-CumulativeDead!AK42</f>
        <v>0</v>
      </c>
      <c r="AL42">
        <f>CumulativeConfirmed!AL42-CumulativeRecovered!AL42-CumulativeDead!AL42</f>
        <v>1</v>
      </c>
      <c r="AM42">
        <f>CumulativeConfirmed!AM42-CumulativeRecovered!AM42-CumulativeDead!AM42</f>
        <v>1</v>
      </c>
      <c r="AN42">
        <f>CumulativeConfirmed!AN42-CumulativeRecovered!AN42-CumulativeDead!AN42</f>
        <v>1</v>
      </c>
      <c r="AO42">
        <f>CumulativeConfirmed!AO42-CumulativeRecovered!AO42-CumulativeDead!AO42</f>
        <v>1</v>
      </c>
      <c r="AP42">
        <f>CumulativeConfirmed!AP42-CumulativeRecovered!AP42-CumulativeDead!AP42</f>
        <v>8</v>
      </c>
      <c r="AQ42">
        <f>CumulativeConfirmed!AQ42-CumulativeRecovered!AQ42-CumulativeDead!AQ42</f>
        <v>9</v>
      </c>
      <c r="AR42">
        <f>CumulativeConfirmed!AR42-CumulativeRecovered!AR42-CumulativeDead!AR42</f>
        <v>15</v>
      </c>
      <c r="AS42">
        <f>CumulativeConfirmed!AS42-CumulativeRecovered!AS42-CumulativeDead!AS42</f>
        <v>20</v>
      </c>
      <c r="AT42">
        <f>CumulativeConfirmed!AT42-CumulativeRecovered!AT42-CumulativeDead!AT42</f>
        <v>20</v>
      </c>
      <c r="AU42">
        <f>CumulativeConfirmed!AU42-CumulativeRecovered!AU42-CumulativeDead!AU42</f>
        <v>22</v>
      </c>
      <c r="AV42">
        <f>CumulativeConfirmed!AV42-CumulativeRecovered!AV42-CumulativeDead!AV42</f>
        <v>35</v>
      </c>
      <c r="AW42">
        <f>CumulativeConfirmed!AW42-CumulativeRecovered!AW42-CumulativeDead!AW42</f>
        <v>35</v>
      </c>
      <c r="AX42">
        <f>CumulativeConfirmed!AX42-CumulativeRecovered!AX42-CumulativeDead!AX42</f>
        <v>49</v>
      </c>
      <c r="AY42">
        <f>CumulativeConfirmed!AY42-CumulativeRecovered!AY42-CumulativeDead!AY42</f>
        <v>60</v>
      </c>
      <c r="AZ42">
        <f>CumulativeConfirmed!AZ42-CumulativeRecovered!AZ42-CumulativeDead!AZ42</f>
        <v>66</v>
      </c>
      <c r="BA42">
        <f>CumulativeConfirmed!BA42-CumulativeRecovered!BA42-CumulativeDead!BA42</f>
        <v>75</v>
      </c>
      <c r="BB42">
        <f>CumulativeConfirmed!BB42-CumulativeRecovered!BB42-CumulativeDead!BB42</f>
        <v>71</v>
      </c>
      <c r="BC42">
        <f>CumulativeConfirmed!BC42-CumulativeRecovered!BC42-CumulativeDead!BC42</f>
        <v>92</v>
      </c>
      <c r="BD42">
        <f>CumulativeConfirmed!BD42-CumulativeRecovered!BD42-CumulativeDead!BD42</f>
        <v>98</v>
      </c>
      <c r="BE42">
        <f>CumulativeConfirmed!BE42-CumulativeRecovered!BE42-CumulativeDead!BE42</f>
        <v>98</v>
      </c>
      <c r="BF42">
        <f>CumulativeConfirmed!BF42-CumulativeRecovered!BF42-CumulativeDead!BF42</f>
        <v>104</v>
      </c>
      <c r="BG42">
        <f>CumulativeConfirmed!BG42-CumulativeRecovered!BG42-CumulativeDead!BG42</f>
        <v>104</v>
      </c>
      <c r="BH42">
        <f>CumulativeConfirmed!BH42-CumulativeRecovered!BH42-CumulativeDead!BH42</f>
        <v>126</v>
      </c>
      <c r="BI42">
        <f>CumulativeConfirmed!BI42-CumulativeRecovered!BI42-CumulativeDead!BI42</f>
        <v>0</v>
      </c>
      <c r="BJ42">
        <f>CumulativeConfirmed!BJ42-CumulativeRecovered!BJ42-CumulativeDead!BJ42</f>
        <v>0</v>
      </c>
      <c r="BK42">
        <f>CumulativeConfirmed!BK42-CumulativeRecovered!BK42-CumulativeDead!BK42</f>
        <v>0</v>
      </c>
      <c r="BL42">
        <f>CumulativeConfirmed!BL42-CumulativeRecovered!BL42-CumulativeDead!BL42</f>
        <v>0</v>
      </c>
      <c r="BM42">
        <f>CumulativeConfirmed!BM42-CumulativeRecovered!BM42-CumulativeDead!BM42</f>
        <v>0</v>
      </c>
      <c r="BN42">
        <f>CumulativeConfirmed!BN42-CumulativeRecovered!BN42-CumulativeDead!BN42</f>
        <v>0</v>
      </c>
      <c r="BO42">
        <f>CumulativeConfirmed!BO42-CumulativeRecovered!BO42-CumulativeDead!BO42</f>
        <v>0</v>
      </c>
      <c r="BP42">
        <f>CumulativeConfirmed!BP42-CumulativeRecovered!BP42-CumulativeDead!BP42</f>
        <v>0</v>
      </c>
      <c r="BQ42">
        <f>CumulativeConfirmed!BQ42-CumulativeRecovered!BQ42-CumulativeDead!BQ42</f>
        <v>0</v>
      </c>
      <c r="BR42">
        <f>CumulativeConfirmed!BR42-CumulativeRecovered!BR42-CumulativeDead!BR42</f>
        <v>0</v>
      </c>
      <c r="BS42">
        <f>CumulativeConfirmed!BS42-CumulativeRecovered!BS42-CumulativeDead!BS42</f>
        <v>0</v>
      </c>
      <c r="BT42">
        <f>CumulativeConfirmed!BT42-CumulativeRecovered!BT42-CumulativeDead!BT42</f>
        <v>0</v>
      </c>
    </row>
    <row r="43" spans="1:72" ht="15" thickBot="1" x14ac:dyDescent="0.35">
      <c r="A43" s="4" t="s">
        <v>88</v>
      </c>
      <c r="B43">
        <f>CumulativeConfirmed!B43-CumulativeRecovered!B43-CumulativeDead!B43</f>
        <v>0</v>
      </c>
      <c r="C43">
        <f>CumulativeConfirmed!C43-CumulativeRecovered!C43-CumulativeDead!C43</f>
        <v>0</v>
      </c>
      <c r="D43">
        <f>CumulativeConfirmed!D43-CumulativeRecovered!D43-CumulativeDead!D43</f>
        <v>0</v>
      </c>
      <c r="E43">
        <f>CumulativeConfirmed!E43-CumulativeRecovered!E43-CumulativeDead!E43</f>
        <v>0</v>
      </c>
      <c r="F43">
        <f>CumulativeConfirmed!F43-CumulativeRecovered!F43-CumulativeDead!F43</f>
        <v>0</v>
      </c>
      <c r="G43">
        <f>CumulativeConfirmed!G43-CumulativeRecovered!G43-CumulativeDead!G43</f>
        <v>0</v>
      </c>
      <c r="H43">
        <f>CumulativeConfirmed!H43-CumulativeRecovered!H43-CumulativeDead!H43</f>
        <v>0</v>
      </c>
      <c r="I43">
        <f>CumulativeConfirmed!I43-CumulativeRecovered!I43-CumulativeDead!I43</f>
        <v>0</v>
      </c>
      <c r="J43">
        <f>CumulativeConfirmed!J43-CumulativeRecovered!J43-CumulativeDead!J43</f>
        <v>0</v>
      </c>
      <c r="K43">
        <f>CumulativeConfirmed!K43-CumulativeRecovered!K43-CumulativeDead!K43</f>
        <v>0</v>
      </c>
      <c r="L43">
        <f>CumulativeConfirmed!L43-CumulativeRecovered!L43-CumulativeDead!L43</f>
        <v>0</v>
      </c>
      <c r="M43">
        <f>CumulativeConfirmed!M43-CumulativeRecovered!M43-CumulativeDead!M43</f>
        <v>0</v>
      </c>
      <c r="N43">
        <f>CumulativeConfirmed!N43-CumulativeRecovered!N43-CumulativeDead!N43</f>
        <v>0</v>
      </c>
      <c r="O43">
        <f>CumulativeConfirmed!O43-CumulativeRecovered!O43-CumulativeDead!O43</f>
        <v>0</v>
      </c>
      <c r="P43">
        <f>CumulativeConfirmed!P43-CumulativeRecovered!P43-CumulativeDead!P43</f>
        <v>0</v>
      </c>
      <c r="Q43">
        <f>CumulativeConfirmed!Q43-CumulativeRecovered!Q43-CumulativeDead!Q43</f>
        <v>0</v>
      </c>
      <c r="R43">
        <f>CumulativeConfirmed!R43-CumulativeRecovered!R43-CumulativeDead!R43</f>
        <v>0</v>
      </c>
      <c r="S43">
        <f>CumulativeConfirmed!S43-CumulativeRecovered!S43-CumulativeDead!S43</f>
        <v>0</v>
      </c>
      <c r="T43">
        <f>CumulativeConfirmed!T43-CumulativeRecovered!T43-CumulativeDead!T43</f>
        <v>0</v>
      </c>
      <c r="U43">
        <f>CumulativeConfirmed!U43-CumulativeRecovered!U43-CumulativeDead!U43</f>
        <v>0</v>
      </c>
      <c r="V43">
        <f>CumulativeConfirmed!V43-CumulativeRecovered!V43-CumulativeDead!V43</f>
        <v>0</v>
      </c>
      <c r="W43">
        <f>CumulativeConfirmed!W43-CumulativeRecovered!W43-CumulativeDead!W43</f>
        <v>0</v>
      </c>
      <c r="X43">
        <f>CumulativeConfirmed!X43-CumulativeRecovered!X43-CumulativeDead!X43</f>
        <v>0</v>
      </c>
      <c r="Y43">
        <f>CumulativeConfirmed!Y43-CumulativeRecovered!Y43-CumulativeDead!Y43</f>
        <v>0</v>
      </c>
      <c r="Z43">
        <f>CumulativeConfirmed!Z43-CumulativeRecovered!Z43-CumulativeDead!Z43</f>
        <v>0</v>
      </c>
      <c r="AA43">
        <f>CumulativeConfirmed!AA43-CumulativeRecovered!AA43-CumulativeDead!AA43</f>
        <v>0</v>
      </c>
      <c r="AB43">
        <f>CumulativeConfirmed!AB43-CumulativeRecovered!AB43-CumulativeDead!AB43</f>
        <v>0</v>
      </c>
      <c r="AC43">
        <f>CumulativeConfirmed!AC43-CumulativeRecovered!AC43-CumulativeDead!AC43</f>
        <v>0</v>
      </c>
      <c r="AD43">
        <f>CumulativeConfirmed!AD43-CumulativeRecovered!AD43-CumulativeDead!AD43</f>
        <v>0</v>
      </c>
      <c r="AE43">
        <f>CumulativeConfirmed!AE43-CumulativeRecovered!AE43-CumulativeDead!AE43</f>
        <v>0</v>
      </c>
      <c r="AF43">
        <f>CumulativeConfirmed!AF43-CumulativeRecovered!AF43-CumulativeDead!AF43</f>
        <v>0</v>
      </c>
      <c r="AG43">
        <f>CumulativeConfirmed!AG43-CumulativeRecovered!AG43-CumulativeDead!AG43</f>
        <v>0</v>
      </c>
      <c r="AH43">
        <f>CumulativeConfirmed!AH43-CumulativeRecovered!AH43-CumulativeDead!AH43</f>
        <v>0</v>
      </c>
      <c r="AI43">
        <f>CumulativeConfirmed!AI43-CumulativeRecovered!AI43-CumulativeDead!AI43</f>
        <v>0</v>
      </c>
      <c r="AJ43">
        <f>CumulativeConfirmed!AJ43-CumulativeRecovered!AJ43-CumulativeDead!AJ43</f>
        <v>0</v>
      </c>
      <c r="AK43">
        <f>CumulativeConfirmed!AK43-CumulativeRecovered!AK43-CumulativeDead!AK43</f>
        <v>0</v>
      </c>
      <c r="AL43">
        <f>CumulativeConfirmed!AL43-CumulativeRecovered!AL43-CumulativeDead!AL43</f>
        <v>1</v>
      </c>
      <c r="AM43">
        <f>CumulativeConfirmed!AM43-CumulativeRecovered!AM43-CumulativeDead!AM43</f>
        <v>1</v>
      </c>
      <c r="AN43">
        <f>CumulativeConfirmed!AN43-CumulativeRecovered!AN43-CumulativeDead!AN43</f>
        <v>1</v>
      </c>
      <c r="AO43">
        <f>CumulativeConfirmed!AO43-CumulativeRecovered!AO43-CumulativeDead!AO43</f>
        <v>1</v>
      </c>
      <c r="AP43">
        <f>CumulativeConfirmed!AP43-CumulativeRecovered!AP43-CumulativeDead!AP43</f>
        <v>1</v>
      </c>
      <c r="AQ43">
        <f>CumulativeConfirmed!AQ43-CumulativeRecovered!AQ43-CumulativeDead!AQ43</f>
        <v>2</v>
      </c>
      <c r="AR43">
        <f>CumulativeConfirmed!AR43-CumulativeRecovered!AR43-CumulativeDead!AR43</f>
        <v>2</v>
      </c>
      <c r="AS43">
        <f>CumulativeConfirmed!AS43-CumulativeRecovered!AS43-CumulativeDead!AS43</f>
        <v>3</v>
      </c>
      <c r="AT43">
        <f>CumulativeConfirmed!AT43-CumulativeRecovered!AT43-CumulativeDead!AT43</f>
        <v>10</v>
      </c>
      <c r="AU43">
        <f>CumulativeConfirmed!AU43-CumulativeRecovered!AU43-CumulativeDead!AU43</f>
        <v>10</v>
      </c>
      <c r="AV43">
        <f>CumulativeConfirmed!AV43-CumulativeRecovered!AV43-CumulativeDead!AV43</f>
        <v>10</v>
      </c>
      <c r="AW43">
        <f>CumulativeConfirmed!AW43-CumulativeRecovered!AW43-CumulativeDead!AW43</f>
        <v>10</v>
      </c>
      <c r="AX43">
        <f>CumulativeConfirmed!AX43-CumulativeRecovered!AX43-CumulativeDead!AX43</f>
        <v>12</v>
      </c>
      <c r="AY43">
        <f>CumulativeConfirmed!AY43-CumulativeRecovered!AY43-CumulativeDead!AY43</f>
        <v>16</v>
      </c>
      <c r="AZ43">
        <f>CumulativeConfirmed!AZ43-CumulativeRecovered!AZ43-CumulativeDead!AZ43</f>
        <v>16</v>
      </c>
      <c r="BA43">
        <f>CumulativeConfirmed!BA43-CumulativeRecovered!BA43-CumulativeDead!BA43</f>
        <v>79</v>
      </c>
      <c r="BB43">
        <f>CumulativeConfirmed!BB43-CumulativeRecovered!BB43-CumulativeDead!BB43</f>
        <v>115</v>
      </c>
      <c r="BC43">
        <f>CumulativeConfirmed!BC43-CumulativeRecovered!BC43-CumulativeDead!BC43</f>
        <v>170</v>
      </c>
      <c r="BD43">
        <f>CumulativeConfirmed!BD43-CumulativeRecovered!BD43-CumulativeDead!BD43</f>
        <v>204</v>
      </c>
      <c r="BE43">
        <f>CumulativeConfirmed!BE43-CumulativeRecovered!BE43-CumulativeDead!BE43</f>
        <v>224</v>
      </c>
      <c r="BF43">
        <f>CumulativeConfirmed!BF43-CumulativeRecovered!BF43-CumulativeDead!BF43</f>
        <v>257</v>
      </c>
      <c r="BG43">
        <f>CumulativeConfirmed!BG43-CumulativeRecovered!BG43-CumulativeDead!BG43</f>
        <v>266</v>
      </c>
      <c r="BH43">
        <f>CumulativeConfirmed!BH43-CumulativeRecovered!BH43-CumulativeDead!BH43</f>
        <v>282</v>
      </c>
      <c r="BI43">
        <f>CumulativeConfirmed!BI43-CumulativeRecovered!BI43-CumulativeDead!BI43</f>
        <v>0</v>
      </c>
      <c r="BJ43">
        <f>CumulativeConfirmed!BJ43-CumulativeRecovered!BJ43-CumulativeDead!BJ43</f>
        <v>0</v>
      </c>
      <c r="BK43">
        <f>CumulativeConfirmed!BK43-CumulativeRecovered!BK43-CumulativeDead!BK43</f>
        <v>0</v>
      </c>
      <c r="BL43">
        <f>CumulativeConfirmed!BL43-CumulativeRecovered!BL43-CumulativeDead!BL43</f>
        <v>0</v>
      </c>
      <c r="BM43">
        <f>CumulativeConfirmed!BM43-CumulativeRecovered!BM43-CumulativeDead!BM43</f>
        <v>0</v>
      </c>
      <c r="BN43">
        <f>CumulativeConfirmed!BN43-CumulativeRecovered!BN43-CumulativeDead!BN43</f>
        <v>0</v>
      </c>
      <c r="BO43">
        <f>CumulativeConfirmed!BO43-CumulativeRecovered!BO43-CumulativeDead!BO43</f>
        <v>0</v>
      </c>
      <c r="BP43">
        <f>CumulativeConfirmed!BP43-CumulativeRecovered!BP43-CumulativeDead!BP43</f>
        <v>0</v>
      </c>
      <c r="BQ43">
        <f>CumulativeConfirmed!BQ43-CumulativeRecovered!BQ43-CumulativeDead!BQ43</f>
        <v>0</v>
      </c>
      <c r="BR43">
        <f>CumulativeConfirmed!BR43-CumulativeRecovered!BR43-CumulativeDead!BR43</f>
        <v>0</v>
      </c>
      <c r="BS43">
        <f>CumulativeConfirmed!BS43-CumulativeRecovered!BS43-CumulativeDead!BS43</f>
        <v>0</v>
      </c>
      <c r="BT43">
        <f>CumulativeConfirmed!BT43-CumulativeRecovered!BT43-CumulativeDead!BT43</f>
        <v>0</v>
      </c>
    </row>
    <row r="44" spans="1:72" ht="15" thickBot="1" x14ac:dyDescent="0.35">
      <c r="A44" s="4" t="s">
        <v>67</v>
      </c>
      <c r="B44">
        <f>CumulativeConfirmed!B44-CumulativeRecovered!B44-CumulativeDead!B44</f>
        <v>0</v>
      </c>
      <c r="C44">
        <f>CumulativeConfirmed!C44-CumulativeRecovered!C44-CumulativeDead!C44</f>
        <v>0</v>
      </c>
      <c r="D44">
        <f>CumulativeConfirmed!D44-CumulativeRecovered!D44-CumulativeDead!D44</f>
        <v>0</v>
      </c>
      <c r="E44">
        <f>CumulativeConfirmed!E44-CumulativeRecovered!E44-CumulativeDead!E44</f>
        <v>0</v>
      </c>
      <c r="F44">
        <f>CumulativeConfirmed!F44-CumulativeRecovered!F44-CumulativeDead!F44</f>
        <v>0</v>
      </c>
      <c r="G44">
        <f>CumulativeConfirmed!G44-CumulativeRecovered!G44-CumulativeDead!G44</f>
        <v>0</v>
      </c>
      <c r="H44">
        <f>CumulativeConfirmed!H44-CumulativeRecovered!H44-CumulativeDead!H44</f>
        <v>0</v>
      </c>
      <c r="I44">
        <f>CumulativeConfirmed!I44-CumulativeRecovered!I44-CumulativeDead!I44</f>
        <v>0</v>
      </c>
      <c r="J44">
        <f>CumulativeConfirmed!J44-CumulativeRecovered!J44-CumulativeDead!J44</f>
        <v>0</v>
      </c>
      <c r="K44">
        <f>CumulativeConfirmed!K44-CumulativeRecovered!K44-CumulativeDead!K44</f>
        <v>0</v>
      </c>
      <c r="L44">
        <f>CumulativeConfirmed!L44-CumulativeRecovered!L44-CumulativeDead!L44</f>
        <v>0</v>
      </c>
      <c r="M44">
        <f>CumulativeConfirmed!M44-CumulativeRecovered!M44-CumulativeDead!M44</f>
        <v>0</v>
      </c>
      <c r="N44">
        <f>CumulativeConfirmed!N44-CumulativeRecovered!N44-CumulativeDead!N44</f>
        <v>0</v>
      </c>
      <c r="O44">
        <f>CumulativeConfirmed!O44-CumulativeRecovered!O44-CumulativeDead!O44</f>
        <v>0</v>
      </c>
      <c r="P44">
        <f>CumulativeConfirmed!P44-CumulativeRecovered!P44-CumulativeDead!P44</f>
        <v>0</v>
      </c>
      <c r="Q44">
        <f>CumulativeConfirmed!Q44-CumulativeRecovered!Q44-CumulativeDead!Q44</f>
        <v>0</v>
      </c>
      <c r="R44">
        <f>CumulativeConfirmed!R44-CumulativeRecovered!R44-CumulativeDead!R44</f>
        <v>0</v>
      </c>
      <c r="S44">
        <f>CumulativeConfirmed!S44-CumulativeRecovered!S44-CumulativeDead!S44</f>
        <v>0</v>
      </c>
      <c r="T44">
        <f>CumulativeConfirmed!T44-CumulativeRecovered!T44-CumulativeDead!T44</f>
        <v>0</v>
      </c>
      <c r="U44">
        <f>CumulativeConfirmed!U44-CumulativeRecovered!U44-CumulativeDead!U44</f>
        <v>0</v>
      </c>
      <c r="V44">
        <f>CumulativeConfirmed!V44-CumulativeRecovered!V44-CumulativeDead!V44</f>
        <v>0</v>
      </c>
      <c r="W44">
        <f>CumulativeConfirmed!W44-CumulativeRecovered!W44-CumulativeDead!W44</f>
        <v>0</v>
      </c>
      <c r="X44">
        <f>CumulativeConfirmed!X44-CumulativeRecovered!X44-CumulativeDead!X44</f>
        <v>0</v>
      </c>
      <c r="Y44">
        <f>CumulativeConfirmed!Y44-CumulativeRecovered!Y44-CumulativeDead!Y44</f>
        <v>0</v>
      </c>
      <c r="Z44">
        <f>CumulativeConfirmed!Z44-CumulativeRecovered!Z44-CumulativeDead!Z44</f>
        <v>0</v>
      </c>
      <c r="AA44">
        <f>CumulativeConfirmed!AA44-CumulativeRecovered!AA44-CumulativeDead!AA44</f>
        <v>0</v>
      </c>
      <c r="AB44">
        <f>CumulativeConfirmed!AB44-CumulativeRecovered!AB44-CumulativeDead!AB44</f>
        <v>0</v>
      </c>
      <c r="AC44">
        <f>CumulativeConfirmed!AC44-CumulativeRecovered!AC44-CumulativeDead!AC44</f>
        <v>0</v>
      </c>
      <c r="AD44">
        <f>CumulativeConfirmed!AD44-CumulativeRecovered!AD44-CumulativeDead!AD44</f>
        <v>0</v>
      </c>
      <c r="AE44">
        <f>CumulativeConfirmed!AE44-CumulativeRecovered!AE44-CumulativeDead!AE44</f>
        <v>0</v>
      </c>
      <c r="AF44">
        <f>CumulativeConfirmed!AF44-CumulativeRecovered!AF44-CumulativeDead!AF44</f>
        <v>1</v>
      </c>
      <c r="AG44">
        <f>CumulativeConfirmed!AG44-CumulativeRecovered!AG44-CumulativeDead!AG44</f>
        <v>1</v>
      </c>
      <c r="AH44">
        <f>CumulativeConfirmed!AH44-CumulativeRecovered!AH44-CumulativeDead!AH44</f>
        <v>1</v>
      </c>
      <c r="AI44">
        <f>CumulativeConfirmed!AI44-CumulativeRecovered!AI44-CumulativeDead!AI44</f>
        <v>1</v>
      </c>
      <c r="AJ44">
        <f>CumulativeConfirmed!AJ44-CumulativeRecovered!AJ44-CumulativeDead!AJ44</f>
        <v>1</v>
      </c>
      <c r="AK44">
        <f>CumulativeConfirmed!AK44-CumulativeRecovered!AK44-CumulativeDead!AK44</f>
        <v>2</v>
      </c>
      <c r="AL44">
        <f>CumulativeConfirmed!AL44-CumulativeRecovered!AL44-CumulativeDead!AL44</f>
        <v>2</v>
      </c>
      <c r="AM44">
        <f>CumulativeConfirmed!AM44-CumulativeRecovered!AM44-CumulativeDead!AM44</f>
        <v>2</v>
      </c>
      <c r="AN44">
        <f>CumulativeConfirmed!AN44-CumulativeRecovered!AN44-CumulativeDead!AN44</f>
        <v>4</v>
      </c>
      <c r="AO44">
        <f>CumulativeConfirmed!AO44-CumulativeRecovered!AO44-CumulativeDead!AO44</f>
        <v>10</v>
      </c>
      <c r="AP44">
        <f>CumulativeConfirmed!AP44-CumulativeRecovered!AP44-CumulativeDead!AP44</f>
        <v>13</v>
      </c>
      <c r="AQ44">
        <f>CumulativeConfirmed!AQ44-CumulativeRecovered!AQ44-CumulativeDead!AQ44</f>
        <v>13</v>
      </c>
      <c r="AR44">
        <f>CumulativeConfirmed!AR44-CumulativeRecovered!AR44-CumulativeDead!AR44</f>
        <v>12</v>
      </c>
      <c r="AS44">
        <f>CumulativeConfirmed!AS44-CumulativeRecovered!AS44-CumulativeDead!AS44</f>
        <v>15</v>
      </c>
      <c r="AT44">
        <f>CumulativeConfirmed!AT44-CumulativeRecovered!AT44-CumulativeDead!AT44</f>
        <v>21</v>
      </c>
      <c r="AU44">
        <f>CumulativeConfirmed!AU44-CumulativeRecovered!AU44-CumulativeDead!AU44</f>
        <v>21</v>
      </c>
      <c r="AV44">
        <f>CumulativeConfirmed!AV44-CumulativeRecovered!AV44-CumulativeDead!AV44</f>
        <v>31</v>
      </c>
      <c r="AW44">
        <f>CumulativeConfirmed!AW44-CumulativeRecovered!AW44-CumulativeDead!AW44</f>
        <v>31</v>
      </c>
      <c r="AX44">
        <f>CumulativeConfirmed!AX44-CumulativeRecovered!AX44-CumulativeDead!AX44</f>
        <v>39</v>
      </c>
      <c r="AY44">
        <f>CumulativeConfirmed!AY44-CumulativeRecovered!AY44-CumulativeDead!AY44</f>
        <v>57</v>
      </c>
      <c r="AZ44">
        <f>CumulativeConfirmed!AZ44-CumulativeRecovered!AZ44-CumulativeDead!AZ44</f>
        <v>57</v>
      </c>
      <c r="BA44">
        <f>CumulativeConfirmed!BA44-CumulativeRecovered!BA44-CumulativeDead!BA44</f>
        <v>73</v>
      </c>
      <c r="BB44">
        <f>CumulativeConfirmed!BB44-CumulativeRecovered!BB44-CumulativeDead!BB44</f>
        <v>89</v>
      </c>
      <c r="BC44">
        <f>CumulativeConfirmed!BC44-CumulativeRecovered!BC44-CumulativeDead!BC44</f>
        <v>106</v>
      </c>
      <c r="BD44">
        <f>CumulativeConfirmed!BD44-CumulativeRecovered!BD44-CumulativeDead!BD44</f>
        <v>95</v>
      </c>
      <c r="BE44">
        <f>CumulativeConfirmed!BE44-CumulativeRecovered!BE44-CumulativeDead!BE44</f>
        <v>114</v>
      </c>
      <c r="BF44">
        <f>CumulativeConfirmed!BF44-CumulativeRecovered!BF44-CumulativeDead!BF44</f>
        <v>127</v>
      </c>
      <c r="BG44">
        <f>CumulativeConfirmed!BG44-CumulativeRecovered!BG44-CumulativeDead!BG44</f>
        <v>149</v>
      </c>
      <c r="BH44">
        <f>CumulativeConfirmed!BH44-CumulativeRecovered!BH44-CumulativeDead!BH44</f>
        <v>155</v>
      </c>
      <c r="BI44">
        <f>CumulativeConfirmed!BI44-CumulativeRecovered!BI44-CumulativeDead!BI44</f>
        <v>0</v>
      </c>
      <c r="BJ44">
        <f>CumulativeConfirmed!BJ44-CumulativeRecovered!BJ44-CumulativeDead!BJ44</f>
        <v>0</v>
      </c>
      <c r="BK44">
        <f>CumulativeConfirmed!BK44-CumulativeRecovered!BK44-CumulativeDead!BK44</f>
        <v>0</v>
      </c>
      <c r="BL44">
        <f>CumulativeConfirmed!BL44-CumulativeRecovered!BL44-CumulativeDead!BL44</f>
        <v>0</v>
      </c>
      <c r="BM44">
        <f>CumulativeConfirmed!BM44-CumulativeRecovered!BM44-CumulativeDead!BM44</f>
        <v>0</v>
      </c>
      <c r="BN44">
        <f>CumulativeConfirmed!BN44-CumulativeRecovered!BN44-CumulativeDead!BN44</f>
        <v>0</v>
      </c>
      <c r="BO44">
        <f>CumulativeConfirmed!BO44-CumulativeRecovered!BO44-CumulativeDead!BO44</f>
        <v>0</v>
      </c>
      <c r="BP44">
        <f>CumulativeConfirmed!BP44-CumulativeRecovered!BP44-CumulativeDead!BP44</f>
        <v>0</v>
      </c>
      <c r="BQ44">
        <f>CumulativeConfirmed!BQ44-CumulativeRecovered!BQ44-CumulativeDead!BQ44</f>
        <v>0</v>
      </c>
      <c r="BR44">
        <f>CumulativeConfirmed!BR44-CumulativeRecovered!BR44-CumulativeDead!BR44</f>
        <v>0</v>
      </c>
      <c r="BS44">
        <f>CumulativeConfirmed!BS44-CumulativeRecovered!BS44-CumulativeDead!BS44</f>
        <v>0</v>
      </c>
      <c r="BT44">
        <f>CumulativeConfirmed!BT44-CumulativeRecovered!BT44-CumulativeDead!BT44</f>
        <v>0</v>
      </c>
    </row>
    <row r="45" spans="1:72" ht="15" thickBot="1" x14ac:dyDescent="0.35">
      <c r="A45" s="3" t="s">
        <v>35</v>
      </c>
      <c r="B45">
        <f>CumulativeConfirmed!B45-CumulativeRecovered!B45-CumulativeDead!B45</f>
        <v>2</v>
      </c>
      <c r="C45">
        <f>CumulativeConfirmed!C45-CumulativeRecovered!C45-CumulativeDead!C45</f>
        <v>3</v>
      </c>
      <c r="D45">
        <f>CumulativeConfirmed!D45-CumulativeRecovered!D45-CumulativeDead!D45</f>
        <v>5</v>
      </c>
      <c r="E45">
        <f>CumulativeConfirmed!E45-CumulativeRecovered!E45-CumulativeDead!E45</f>
        <v>7</v>
      </c>
      <c r="F45">
        <f>CumulativeConfirmed!F45-CumulativeRecovered!F45-CumulativeDead!F45</f>
        <v>6</v>
      </c>
      <c r="G45">
        <f>CumulativeConfirmed!G45-CumulativeRecovered!G45-CumulativeDead!G45</f>
        <v>6</v>
      </c>
      <c r="H45">
        <f>CumulativeConfirmed!H45-CumulativeRecovered!H45-CumulativeDead!H45</f>
        <v>9</v>
      </c>
      <c r="I45">
        <f>CumulativeConfirmed!I45-CumulativeRecovered!I45-CumulativeDead!I45</f>
        <v>9</v>
      </c>
      <c r="J45">
        <f>CumulativeConfirmed!J45-CumulativeRecovered!J45-CumulativeDead!J45</f>
        <v>9</v>
      </c>
      <c r="K45">
        <f>CumulativeConfirmed!K45-CumulativeRecovered!K45-CumulativeDead!K45</f>
        <v>14</v>
      </c>
      <c r="L45">
        <f>CumulativeConfirmed!L45-CumulativeRecovered!L45-CumulativeDead!L45</f>
        <v>14</v>
      </c>
      <c r="M45">
        <f>CumulativeConfirmed!M45-CumulativeRecovered!M45-CumulativeDead!M45</f>
        <v>14</v>
      </c>
      <c r="N45">
        <f>CumulativeConfirmed!N45-CumulativeRecovered!N45-CumulativeDead!N45</f>
        <v>14</v>
      </c>
      <c r="O45">
        <f>CumulativeConfirmed!O45-CumulativeRecovered!O45-CumulativeDead!O45</f>
        <v>20</v>
      </c>
      <c r="P45">
        <f>CumulativeConfirmed!P45-CumulativeRecovered!P45-CumulativeDead!P45</f>
        <v>20</v>
      </c>
      <c r="Q45">
        <f>CumulativeConfirmed!Q45-CumulativeRecovered!Q45-CumulativeDead!Q45</f>
        <v>20</v>
      </c>
      <c r="R45">
        <f>CumulativeConfirmed!R45-CumulativeRecovered!R45-CumulativeDead!R45</f>
        <v>20</v>
      </c>
      <c r="S45">
        <f>CumulativeConfirmed!S45-CumulativeRecovered!S45-CumulativeDead!S45</f>
        <v>22</v>
      </c>
      <c r="T45">
        <f>CumulativeConfirmed!T45-CumulativeRecovered!T45-CumulativeDead!T45</f>
        <v>22</v>
      </c>
      <c r="U45">
        <f>CumulativeConfirmed!U45-CumulativeRecovered!U45-CumulativeDead!U45</f>
        <v>22</v>
      </c>
      <c r="V45">
        <f>CumulativeConfirmed!V45-CumulativeRecovered!V45-CumulativeDead!V45</f>
        <v>23</v>
      </c>
      <c r="W45">
        <f>CumulativeConfirmed!W45-CumulativeRecovered!W45-CumulativeDead!W45</f>
        <v>23</v>
      </c>
      <c r="X45">
        <f>CumulativeConfirmed!X45-CumulativeRecovered!X45-CumulativeDead!X45</f>
        <v>21</v>
      </c>
      <c r="Y45">
        <f>CumulativeConfirmed!Y45-CumulativeRecovered!Y45-CumulativeDead!Y45</f>
        <v>21</v>
      </c>
      <c r="Z45">
        <f>CumulativeConfirmed!Z45-CumulativeRecovered!Z45-CumulativeDead!Z45</f>
        <v>21</v>
      </c>
      <c r="AA45">
        <f>CumulativeConfirmed!AA45-CumulativeRecovered!AA45-CumulativeDead!AA45</f>
        <v>20</v>
      </c>
      <c r="AB45">
        <f>CumulativeConfirmed!AB45-CumulativeRecovered!AB45-CumulativeDead!AB45</f>
        <v>20</v>
      </c>
      <c r="AC45">
        <f>CumulativeConfirmed!AC45-CumulativeRecovered!AC45-CumulativeDead!AC45</f>
        <v>20</v>
      </c>
      <c r="AD45">
        <f>CumulativeConfirmed!AD45-CumulativeRecovered!AD45-CumulativeDead!AD45</f>
        <v>20</v>
      </c>
      <c r="AE45">
        <f>CumulativeConfirmed!AE45-CumulativeRecovered!AE45-CumulativeDead!AE45</f>
        <v>20</v>
      </c>
      <c r="AF45">
        <f>CumulativeConfirmed!AF45-CumulativeRecovered!AF45-CumulativeDead!AF45</f>
        <v>18</v>
      </c>
      <c r="AG45">
        <f>CumulativeConfirmed!AG45-CumulativeRecovered!AG45-CumulativeDead!AG45</f>
        <v>18</v>
      </c>
      <c r="AH45">
        <f>CumulativeConfirmed!AH45-CumulativeRecovered!AH45-CumulativeDead!AH45</f>
        <v>14</v>
      </c>
      <c r="AI45">
        <f>CumulativeConfirmed!AI45-CumulativeRecovered!AI45-CumulativeDead!AI45</f>
        <v>14</v>
      </c>
      <c r="AJ45">
        <f>CumulativeConfirmed!AJ45-CumulativeRecovered!AJ45-CumulativeDead!AJ45</f>
        <v>15</v>
      </c>
      <c r="AK45">
        <f>CumulativeConfirmed!AK45-CumulativeRecovered!AK45-CumulativeDead!AK45</f>
        <v>18</v>
      </c>
      <c r="AL45">
        <f>CumulativeConfirmed!AL45-CumulativeRecovered!AL45-CumulativeDead!AL45</f>
        <v>18</v>
      </c>
      <c r="AM45">
        <f>CumulativeConfirmed!AM45-CumulativeRecovered!AM45-CumulativeDead!AM45</f>
        <v>13</v>
      </c>
      <c r="AN45">
        <f>CumulativeConfirmed!AN45-CumulativeRecovered!AN45-CumulativeDead!AN45</f>
        <v>14</v>
      </c>
      <c r="AO45">
        <f>CumulativeConfirmed!AO45-CumulativeRecovered!AO45-CumulativeDead!AO45</f>
        <v>13</v>
      </c>
      <c r="AP45">
        <f>CumulativeConfirmed!AP45-CumulativeRecovered!AP45-CumulativeDead!AP45</f>
        <v>11</v>
      </c>
      <c r="AQ45">
        <f>CumulativeConfirmed!AQ45-CumulativeRecovered!AQ45-CumulativeDead!AQ45</f>
        <v>11</v>
      </c>
      <c r="AR45">
        <f>CumulativeConfirmed!AR45-CumulativeRecovered!AR45-CumulativeDead!AR45</f>
        <v>11</v>
      </c>
      <c r="AS45">
        <f>CumulativeConfirmed!AS45-CumulativeRecovered!AS45-CumulativeDead!AS45</f>
        <v>15</v>
      </c>
      <c r="AT45">
        <f>CumulativeConfirmed!AT45-CumulativeRecovered!AT45-CumulativeDead!AT45</f>
        <v>16</v>
      </c>
      <c r="AU45">
        <f>CumulativeConfirmed!AU45-CumulativeRecovered!AU45-CumulativeDead!AU45</f>
        <v>18</v>
      </c>
      <c r="AV45">
        <f>CumulativeConfirmed!AV45-CumulativeRecovered!AV45-CumulativeDead!AV45</f>
        <v>18</v>
      </c>
      <c r="AW45">
        <f>CumulativeConfirmed!AW45-CumulativeRecovered!AW45-CumulativeDead!AW45</f>
        <v>18</v>
      </c>
      <c r="AX45">
        <f>CumulativeConfirmed!AX45-CumulativeRecovered!AX45-CumulativeDead!AX45</f>
        <v>19</v>
      </c>
      <c r="AY45">
        <f>CumulativeConfirmed!AY45-CumulativeRecovered!AY45-CumulativeDead!AY45</f>
        <v>24</v>
      </c>
      <c r="AZ45">
        <f>CumulativeConfirmed!AZ45-CumulativeRecovered!AZ45-CumulativeDead!AZ45</f>
        <v>35</v>
      </c>
      <c r="BA45">
        <f>CumulativeConfirmed!BA45-CumulativeRecovered!BA45-CumulativeDead!BA45</f>
        <v>39</v>
      </c>
      <c r="BB45">
        <f>CumulativeConfirmed!BB45-CumulativeRecovered!BB45-CumulativeDead!BB45</f>
        <v>46</v>
      </c>
      <c r="BC45">
        <f>CumulativeConfirmed!BC45-CumulativeRecovered!BC45-CumulativeDead!BC45</f>
        <v>78</v>
      </c>
      <c r="BD45">
        <f>CumulativeConfirmed!BD45-CumulativeRecovered!BD45-CumulativeDead!BD45</f>
        <v>111</v>
      </c>
      <c r="BE45">
        <f>CumulativeConfirmed!BE45-CumulativeRecovered!BE45-CumulativeDead!BE45</f>
        <v>135</v>
      </c>
      <c r="BF45">
        <f>CumulativeConfirmed!BF45-CumulativeRecovered!BF45-CumulativeDead!BF45</f>
        <v>169</v>
      </c>
      <c r="BG45">
        <f>CumulativeConfirmed!BG45-CumulativeRecovered!BG45-CumulativeDead!BG45</f>
        <v>229</v>
      </c>
      <c r="BH45">
        <f>CumulativeConfirmed!BH45-CumulativeRecovered!BH45-CumulativeDead!BH45</f>
        <v>279</v>
      </c>
      <c r="BI45">
        <f>CumulativeConfirmed!BI45-CumulativeRecovered!BI45-CumulativeDead!BI45</f>
        <v>0</v>
      </c>
      <c r="BJ45">
        <f>CumulativeConfirmed!BJ45-CumulativeRecovered!BJ45-CumulativeDead!BJ45</f>
        <v>0</v>
      </c>
      <c r="BK45">
        <f>CumulativeConfirmed!BK45-CumulativeRecovered!BK45-CumulativeDead!BK45</f>
        <v>0</v>
      </c>
      <c r="BL45">
        <f>CumulativeConfirmed!BL45-CumulativeRecovered!BL45-CumulativeDead!BL45</f>
        <v>0</v>
      </c>
      <c r="BM45">
        <f>CumulativeConfirmed!BM45-CumulativeRecovered!BM45-CumulativeDead!BM45</f>
        <v>0</v>
      </c>
      <c r="BN45">
        <f>CumulativeConfirmed!BN45-CumulativeRecovered!BN45-CumulativeDead!BN45</f>
        <v>0</v>
      </c>
      <c r="BO45">
        <f>CumulativeConfirmed!BO45-CumulativeRecovered!BO45-CumulativeDead!BO45</f>
        <v>0</v>
      </c>
      <c r="BP45">
        <f>CumulativeConfirmed!BP45-CumulativeRecovered!BP45-CumulativeDead!BP45</f>
        <v>0</v>
      </c>
      <c r="BQ45">
        <f>CumulativeConfirmed!BQ45-CumulativeRecovered!BQ45-CumulativeDead!BQ45</f>
        <v>0</v>
      </c>
      <c r="BR45">
        <f>CumulativeConfirmed!BR45-CumulativeRecovered!BR45-CumulativeDead!BR45</f>
        <v>0</v>
      </c>
      <c r="BS45">
        <f>CumulativeConfirmed!BS45-CumulativeRecovered!BS45-CumulativeDead!BS45</f>
        <v>0</v>
      </c>
      <c r="BT45">
        <f>CumulativeConfirmed!BT45-CumulativeRecovered!BT45-CumulativeDead!BT45</f>
        <v>0</v>
      </c>
    </row>
    <row r="46" spans="1:72" ht="15" thickBot="1" x14ac:dyDescent="0.35">
      <c r="A46" s="4" t="s">
        <v>107</v>
      </c>
      <c r="B46">
        <f>CumulativeConfirmed!B46-CumulativeRecovered!B46-CumulativeDead!B46</f>
        <v>0</v>
      </c>
      <c r="C46">
        <f>CumulativeConfirmed!C46-CumulativeRecovered!C46-CumulativeDead!C46</f>
        <v>0</v>
      </c>
      <c r="D46">
        <f>CumulativeConfirmed!D46-CumulativeRecovered!D46-CumulativeDead!D46</f>
        <v>0</v>
      </c>
      <c r="E46">
        <f>CumulativeConfirmed!E46-CumulativeRecovered!E46-CumulativeDead!E46</f>
        <v>0</v>
      </c>
      <c r="F46">
        <f>CumulativeConfirmed!F46-CumulativeRecovered!F46-CumulativeDead!F46</f>
        <v>0</v>
      </c>
      <c r="G46">
        <f>CumulativeConfirmed!G46-CumulativeRecovered!G46-CumulativeDead!G46</f>
        <v>0</v>
      </c>
      <c r="H46">
        <f>CumulativeConfirmed!H46-CumulativeRecovered!H46-CumulativeDead!H46</f>
        <v>0</v>
      </c>
      <c r="I46">
        <f>CumulativeConfirmed!I46-CumulativeRecovered!I46-CumulativeDead!I46</f>
        <v>0</v>
      </c>
      <c r="J46">
        <f>CumulativeConfirmed!J46-CumulativeRecovered!J46-CumulativeDead!J46</f>
        <v>0</v>
      </c>
      <c r="K46">
        <f>CumulativeConfirmed!K46-CumulativeRecovered!K46-CumulativeDead!K46</f>
        <v>0</v>
      </c>
      <c r="L46">
        <f>CumulativeConfirmed!L46-CumulativeRecovered!L46-CumulativeDead!L46</f>
        <v>0</v>
      </c>
      <c r="M46">
        <f>CumulativeConfirmed!M46-CumulativeRecovered!M46-CumulativeDead!M46</f>
        <v>0</v>
      </c>
      <c r="N46">
        <f>CumulativeConfirmed!N46-CumulativeRecovered!N46-CumulativeDead!N46</f>
        <v>0</v>
      </c>
      <c r="O46">
        <f>CumulativeConfirmed!O46-CumulativeRecovered!O46-CumulativeDead!O46</f>
        <v>0</v>
      </c>
      <c r="P46">
        <f>CumulativeConfirmed!P46-CumulativeRecovered!P46-CumulativeDead!P46</f>
        <v>0</v>
      </c>
      <c r="Q46">
        <f>CumulativeConfirmed!Q46-CumulativeRecovered!Q46-CumulativeDead!Q46</f>
        <v>0</v>
      </c>
      <c r="R46">
        <f>CumulativeConfirmed!R46-CumulativeRecovered!R46-CumulativeDead!R46</f>
        <v>0</v>
      </c>
      <c r="S46">
        <f>CumulativeConfirmed!S46-CumulativeRecovered!S46-CumulativeDead!S46</f>
        <v>0</v>
      </c>
      <c r="T46">
        <f>CumulativeConfirmed!T46-CumulativeRecovered!T46-CumulativeDead!T46</f>
        <v>0</v>
      </c>
      <c r="U46">
        <f>CumulativeConfirmed!U46-CumulativeRecovered!U46-CumulativeDead!U46</f>
        <v>0</v>
      </c>
      <c r="V46">
        <f>CumulativeConfirmed!V46-CumulativeRecovered!V46-CumulativeDead!V46</f>
        <v>0</v>
      </c>
      <c r="W46">
        <f>CumulativeConfirmed!W46-CumulativeRecovered!W46-CumulativeDead!W46</f>
        <v>0</v>
      </c>
      <c r="X46">
        <f>CumulativeConfirmed!X46-CumulativeRecovered!X46-CumulativeDead!X46</f>
        <v>0</v>
      </c>
      <c r="Y46">
        <f>CumulativeConfirmed!Y46-CumulativeRecovered!Y46-CumulativeDead!Y46</f>
        <v>0</v>
      </c>
      <c r="Z46">
        <f>CumulativeConfirmed!Z46-CumulativeRecovered!Z46-CumulativeDead!Z46</f>
        <v>0</v>
      </c>
      <c r="AA46">
        <f>CumulativeConfirmed!AA46-CumulativeRecovered!AA46-CumulativeDead!AA46</f>
        <v>0</v>
      </c>
      <c r="AB46">
        <f>CumulativeConfirmed!AB46-CumulativeRecovered!AB46-CumulativeDead!AB46</f>
        <v>0</v>
      </c>
      <c r="AC46">
        <f>CumulativeConfirmed!AC46-CumulativeRecovered!AC46-CumulativeDead!AC46</f>
        <v>0</v>
      </c>
      <c r="AD46">
        <f>CumulativeConfirmed!AD46-CumulativeRecovered!AD46-CumulativeDead!AD46</f>
        <v>0</v>
      </c>
      <c r="AE46">
        <f>CumulativeConfirmed!AE46-CumulativeRecovered!AE46-CumulativeDead!AE46</f>
        <v>0</v>
      </c>
      <c r="AF46">
        <f>CumulativeConfirmed!AF46-CumulativeRecovered!AF46-CumulativeDead!AF46</f>
        <v>0</v>
      </c>
      <c r="AG46">
        <f>CumulativeConfirmed!AG46-CumulativeRecovered!AG46-CumulativeDead!AG46</f>
        <v>0</v>
      </c>
      <c r="AH46">
        <f>CumulativeConfirmed!AH46-CumulativeRecovered!AH46-CumulativeDead!AH46</f>
        <v>0</v>
      </c>
      <c r="AI46">
        <f>CumulativeConfirmed!AI46-CumulativeRecovered!AI46-CumulativeDead!AI46</f>
        <v>0</v>
      </c>
      <c r="AJ46">
        <f>CumulativeConfirmed!AJ46-CumulativeRecovered!AJ46-CumulativeDead!AJ46</f>
        <v>0</v>
      </c>
      <c r="AK46">
        <f>CumulativeConfirmed!AK46-CumulativeRecovered!AK46-CumulativeDead!AK46</f>
        <v>0</v>
      </c>
      <c r="AL46">
        <f>CumulativeConfirmed!AL46-CumulativeRecovered!AL46-CumulativeDead!AL46</f>
        <v>0</v>
      </c>
      <c r="AM46">
        <f>CumulativeConfirmed!AM46-CumulativeRecovered!AM46-CumulativeDead!AM46</f>
        <v>0</v>
      </c>
      <c r="AN46">
        <f>CumulativeConfirmed!AN46-CumulativeRecovered!AN46-CumulativeDead!AN46</f>
        <v>0</v>
      </c>
      <c r="AO46">
        <f>CumulativeConfirmed!AO46-CumulativeRecovered!AO46-CumulativeDead!AO46</f>
        <v>0</v>
      </c>
      <c r="AP46">
        <f>CumulativeConfirmed!AP46-CumulativeRecovered!AP46-CumulativeDead!AP46</f>
        <v>2</v>
      </c>
      <c r="AQ46">
        <f>CumulativeConfirmed!AQ46-CumulativeRecovered!AQ46-CumulativeDead!AQ46</f>
        <v>2</v>
      </c>
      <c r="AR46">
        <f>CumulativeConfirmed!AR46-CumulativeRecovered!AR46-CumulativeDead!AR46</f>
        <v>2</v>
      </c>
      <c r="AS46">
        <f>CumulativeConfirmed!AS46-CumulativeRecovered!AS46-CumulativeDead!AS46</f>
        <v>2</v>
      </c>
      <c r="AT46">
        <f>CumulativeConfirmed!AT46-CumulativeRecovered!AT46-CumulativeDead!AT46</f>
        <v>4</v>
      </c>
      <c r="AU46">
        <f>CumulativeConfirmed!AU46-CumulativeRecovered!AU46-CumulativeDead!AU46</f>
        <v>4</v>
      </c>
      <c r="AV46">
        <f>CumulativeConfirmed!AV46-CumulativeRecovered!AV46-CumulativeDead!AV46</f>
        <v>6</v>
      </c>
      <c r="AW46">
        <f>CumulativeConfirmed!AW46-CumulativeRecovered!AW46-CumulativeDead!AW46</f>
        <v>19</v>
      </c>
      <c r="AX46">
        <f>CumulativeConfirmed!AX46-CumulativeRecovered!AX46-CumulativeDead!AX46</f>
        <v>25</v>
      </c>
      <c r="AY46">
        <f>CumulativeConfirmed!AY46-CumulativeRecovered!AY46-CumulativeDead!AY46</f>
        <v>31</v>
      </c>
      <c r="AZ46">
        <f>CumulativeConfirmed!AZ46-CumulativeRecovered!AZ46-CumulativeDead!AZ46</f>
        <v>31</v>
      </c>
      <c r="BA46">
        <f>CumulativeConfirmed!BA46-CumulativeRecovered!BA46-CumulativeDead!BA46</f>
        <v>63</v>
      </c>
      <c r="BB46">
        <f>CumulativeConfirmed!BB46-CumulativeRecovered!BB46-CumulativeDead!BB46</f>
        <v>83</v>
      </c>
      <c r="BC46">
        <f>CumulativeConfirmed!BC46-CumulativeRecovered!BC46-CumulativeDead!BC46</f>
        <v>104</v>
      </c>
      <c r="BD46">
        <f>CumulativeConfirmed!BD46-CumulativeRecovered!BD46-CumulativeDead!BD46</f>
        <v>121</v>
      </c>
      <c r="BE46">
        <f>CumulativeConfirmed!BE46-CumulativeRecovered!BE46-CumulativeDead!BE46</f>
        <v>159</v>
      </c>
      <c r="BF46">
        <f>CumulativeConfirmed!BF46-CumulativeRecovered!BF46-CumulativeDead!BF46</f>
        <v>197</v>
      </c>
      <c r="BG46">
        <f>CumulativeConfirmed!BG46-CumulativeRecovered!BG46-CumulativeDead!BG46</f>
        <v>275</v>
      </c>
      <c r="BH46">
        <f>CumulativeConfirmed!BH46-CumulativeRecovered!BH46-CumulativeDead!BH46</f>
        <v>322</v>
      </c>
      <c r="BI46">
        <f>CumulativeConfirmed!BI46-CumulativeRecovered!BI46-CumulativeDead!BI46</f>
        <v>0</v>
      </c>
      <c r="BJ46">
        <f>CumulativeConfirmed!BJ46-CumulativeRecovered!BJ46-CumulativeDead!BJ46</f>
        <v>0</v>
      </c>
      <c r="BK46">
        <f>CumulativeConfirmed!BK46-CumulativeRecovered!BK46-CumulativeDead!BK46</f>
        <v>0</v>
      </c>
      <c r="BL46">
        <f>CumulativeConfirmed!BL46-CumulativeRecovered!BL46-CumulativeDead!BL46</f>
        <v>0</v>
      </c>
      <c r="BM46">
        <f>CumulativeConfirmed!BM46-CumulativeRecovered!BM46-CumulativeDead!BM46</f>
        <v>0</v>
      </c>
      <c r="BN46">
        <f>CumulativeConfirmed!BN46-CumulativeRecovered!BN46-CumulativeDead!BN46</f>
        <v>0</v>
      </c>
      <c r="BO46">
        <f>CumulativeConfirmed!BO46-CumulativeRecovered!BO46-CumulativeDead!BO46</f>
        <v>0</v>
      </c>
      <c r="BP46">
        <f>CumulativeConfirmed!BP46-CumulativeRecovered!BP46-CumulativeDead!BP46</f>
        <v>0</v>
      </c>
      <c r="BQ46">
        <f>CumulativeConfirmed!BQ46-CumulativeRecovered!BQ46-CumulativeDead!BQ46</f>
        <v>0</v>
      </c>
      <c r="BR46">
        <f>CumulativeConfirmed!BR46-CumulativeRecovered!BR46-CumulativeDead!BR46</f>
        <v>0</v>
      </c>
      <c r="BS46">
        <f>CumulativeConfirmed!BS46-CumulativeRecovered!BS46-CumulativeDead!BS46</f>
        <v>0</v>
      </c>
      <c r="BT46">
        <f>CumulativeConfirmed!BT46-CumulativeRecovered!BT46-CumulativeDead!BT46</f>
        <v>0</v>
      </c>
    </row>
    <row r="47" spans="1:72" ht="15" thickBot="1" x14ac:dyDescent="0.35">
      <c r="A47" s="3" t="s">
        <v>137</v>
      </c>
      <c r="B47">
        <f>CumulativeConfirmed!B47-CumulativeRecovered!B47-CumulativeDead!B47</f>
        <v>0</v>
      </c>
      <c r="C47">
        <f>CumulativeConfirmed!C47-CumulativeRecovered!C47-CumulativeDead!C47</f>
        <v>0</v>
      </c>
      <c r="D47">
        <f>CumulativeConfirmed!D47-CumulativeRecovered!D47-CumulativeDead!D47</f>
        <v>0</v>
      </c>
      <c r="E47">
        <f>CumulativeConfirmed!E47-CumulativeRecovered!E47-CumulativeDead!E47</f>
        <v>0</v>
      </c>
      <c r="F47">
        <f>CumulativeConfirmed!F47-CumulativeRecovered!F47-CumulativeDead!F47</f>
        <v>0</v>
      </c>
      <c r="G47">
        <f>CumulativeConfirmed!G47-CumulativeRecovered!G47-CumulativeDead!G47</f>
        <v>0</v>
      </c>
      <c r="H47">
        <f>CumulativeConfirmed!H47-CumulativeRecovered!H47-CumulativeDead!H47</f>
        <v>0</v>
      </c>
      <c r="I47">
        <f>CumulativeConfirmed!I47-CumulativeRecovered!I47-CumulativeDead!I47</f>
        <v>0</v>
      </c>
      <c r="J47">
        <f>CumulativeConfirmed!J47-CumulativeRecovered!J47-CumulativeDead!J47</f>
        <v>0</v>
      </c>
      <c r="K47">
        <f>CumulativeConfirmed!K47-CumulativeRecovered!K47-CumulativeDead!K47</f>
        <v>0</v>
      </c>
      <c r="L47">
        <f>CumulativeConfirmed!L47-CumulativeRecovered!L47-CumulativeDead!L47</f>
        <v>0</v>
      </c>
      <c r="M47">
        <f>CumulativeConfirmed!M47-CumulativeRecovered!M47-CumulativeDead!M47</f>
        <v>0</v>
      </c>
      <c r="N47">
        <f>CumulativeConfirmed!N47-CumulativeRecovered!N47-CumulativeDead!N47</f>
        <v>0</v>
      </c>
      <c r="O47">
        <f>CumulativeConfirmed!O47-CumulativeRecovered!O47-CumulativeDead!O47</f>
        <v>0</v>
      </c>
      <c r="P47">
        <f>CumulativeConfirmed!P47-CumulativeRecovered!P47-CumulativeDead!P47</f>
        <v>0</v>
      </c>
      <c r="Q47">
        <f>CumulativeConfirmed!Q47-CumulativeRecovered!Q47-CumulativeDead!Q47</f>
        <v>0</v>
      </c>
      <c r="R47">
        <f>CumulativeConfirmed!R47-CumulativeRecovered!R47-CumulativeDead!R47</f>
        <v>0</v>
      </c>
      <c r="S47">
        <f>CumulativeConfirmed!S47-CumulativeRecovered!S47-CumulativeDead!S47</f>
        <v>0</v>
      </c>
      <c r="T47">
        <f>CumulativeConfirmed!T47-CumulativeRecovered!T47-CumulativeDead!T47</f>
        <v>0</v>
      </c>
      <c r="U47">
        <f>CumulativeConfirmed!U47-CumulativeRecovered!U47-CumulativeDead!U47</f>
        <v>0</v>
      </c>
      <c r="V47">
        <f>CumulativeConfirmed!V47-CumulativeRecovered!V47-CumulativeDead!V47</f>
        <v>0</v>
      </c>
      <c r="W47">
        <f>CumulativeConfirmed!W47-CumulativeRecovered!W47-CumulativeDead!W47</f>
        <v>0</v>
      </c>
      <c r="X47">
        <f>CumulativeConfirmed!X47-CumulativeRecovered!X47-CumulativeDead!X47</f>
        <v>0</v>
      </c>
      <c r="Y47">
        <f>CumulativeConfirmed!Y47-CumulativeRecovered!Y47-CumulativeDead!Y47</f>
        <v>0</v>
      </c>
      <c r="Z47">
        <f>CumulativeConfirmed!Z47-CumulativeRecovered!Z47-CumulativeDead!Z47</f>
        <v>0</v>
      </c>
      <c r="AA47">
        <f>CumulativeConfirmed!AA47-CumulativeRecovered!AA47-CumulativeDead!AA47</f>
        <v>0</v>
      </c>
      <c r="AB47">
        <f>CumulativeConfirmed!AB47-CumulativeRecovered!AB47-CumulativeDead!AB47</f>
        <v>0</v>
      </c>
      <c r="AC47">
        <f>CumulativeConfirmed!AC47-CumulativeRecovered!AC47-CumulativeDead!AC47</f>
        <v>0</v>
      </c>
      <c r="AD47">
        <f>CumulativeConfirmed!AD47-CumulativeRecovered!AD47-CumulativeDead!AD47</f>
        <v>0</v>
      </c>
      <c r="AE47">
        <f>CumulativeConfirmed!AE47-CumulativeRecovered!AE47-CumulativeDead!AE47</f>
        <v>0</v>
      </c>
      <c r="AF47">
        <f>CumulativeConfirmed!AF47-CumulativeRecovered!AF47-CumulativeDead!AF47</f>
        <v>0</v>
      </c>
      <c r="AG47">
        <f>CumulativeConfirmed!AG47-CumulativeRecovered!AG47-CumulativeDead!AG47</f>
        <v>0</v>
      </c>
      <c r="AH47">
        <f>CumulativeConfirmed!AH47-CumulativeRecovered!AH47-CumulativeDead!AH47</f>
        <v>0</v>
      </c>
      <c r="AI47">
        <f>CumulativeConfirmed!AI47-CumulativeRecovered!AI47-CumulativeDead!AI47</f>
        <v>0</v>
      </c>
      <c r="AJ47">
        <f>CumulativeConfirmed!AJ47-CumulativeRecovered!AJ47-CumulativeDead!AJ47</f>
        <v>0</v>
      </c>
      <c r="AK47">
        <f>CumulativeConfirmed!AK47-CumulativeRecovered!AK47-CumulativeDead!AK47</f>
        <v>0</v>
      </c>
      <c r="AL47">
        <f>CumulativeConfirmed!AL47-CumulativeRecovered!AL47-CumulativeDead!AL47</f>
        <v>0</v>
      </c>
      <c r="AM47">
        <f>CumulativeConfirmed!AM47-CumulativeRecovered!AM47-CumulativeDead!AM47</f>
        <v>0</v>
      </c>
      <c r="AN47">
        <f>CumulativeConfirmed!AN47-CumulativeRecovered!AN47-CumulativeDead!AN47</f>
        <v>0</v>
      </c>
      <c r="AO47">
        <f>CumulativeConfirmed!AO47-CumulativeRecovered!AO47-CumulativeDead!AO47</f>
        <v>0</v>
      </c>
      <c r="AP47">
        <f>CumulativeConfirmed!AP47-CumulativeRecovered!AP47-CumulativeDead!AP47</f>
        <v>0</v>
      </c>
      <c r="AQ47">
        <f>CumulativeConfirmed!AQ47-CumulativeRecovered!AQ47-CumulativeDead!AQ47</f>
        <v>0</v>
      </c>
      <c r="AR47">
        <f>CumulativeConfirmed!AR47-CumulativeRecovered!AR47-CumulativeDead!AR47</f>
        <v>1</v>
      </c>
      <c r="AS47">
        <f>CumulativeConfirmed!AS47-CumulativeRecovered!AS47-CumulativeDead!AS47</f>
        <v>1</v>
      </c>
      <c r="AT47">
        <f>CumulativeConfirmed!AT47-CumulativeRecovered!AT47-CumulativeDead!AT47</f>
        <v>5</v>
      </c>
      <c r="AU47">
        <f>CumulativeConfirmed!AU47-CumulativeRecovered!AU47-CumulativeDead!AU47</f>
        <v>5</v>
      </c>
      <c r="AV47">
        <f>CumulativeConfirmed!AV47-CumulativeRecovered!AV47-CumulativeDead!AV47</f>
        <v>11</v>
      </c>
      <c r="AW47">
        <f>CumulativeConfirmed!AW47-CumulativeRecovered!AW47-CumulativeDead!AW47</f>
        <v>16</v>
      </c>
      <c r="AX47">
        <f>CumulativeConfirmed!AX47-CumulativeRecovered!AX47-CumulativeDead!AX47</f>
        <v>22</v>
      </c>
      <c r="AY47">
        <f>CumulativeConfirmed!AY47-CumulativeRecovered!AY47-CumulativeDead!AY47</f>
        <v>31</v>
      </c>
      <c r="AZ47">
        <f>CumulativeConfirmed!AZ47-CumulativeRecovered!AZ47-CumulativeDead!AZ47</f>
        <v>48</v>
      </c>
      <c r="BA47">
        <f>CumulativeConfirmed!BA47-CumulativeRecovered!BA47-CumulativeDead!BA47</f>
        <v>66</v>
      </c>
      <c r="BB47">
        <f>CumulativeConfirmed!BB47-CumulativeRecovered!BB47-CumulativeDead!BB47</f>
        <v>100</v>
      </c>
      <c r="BC47">
        <f>CumulativeConfirmed!BC47-CumulativeRecovered!BC47-CumulativeDead!BC47</f>
        <v>116</v>
      </c>
      <c r="BD47">
        <f>CumulativeConfirmed!BD47-CumulativeRecovered!BD47-CumulativeDead!BD47</f>
        <v>160</v>
      </c>
      <c r="BE47">
        <f>CumulativeConfirmed!BE47-CumulativeRecovered!BE47-CumulativeDead!BE47</f>
        <v>220</v>
      </c>
      <c r="BF47">
        <f>CumulativeConfirmed!BF47-CumulativeRecovered!BF47-CumulativeDead!BF47</f>
        <v>233</v>
      </c>
      <c r="BG47">
        <f>CumulativeConfirmed!BG47-CumulativeRecovered!BG47-CumulativeDead!BG47</f>
        <v>349</v>
      </c>
      <c r="BH47">
        <f>CumulativeConfirmed!BH47-CumulativeRecovered!BH47-CumulativeDead!BH47</f>
        <v>419</v>
      </c>
      <c r="BI47">
        <f>CumulativeConfirmed!BI47-CumulativeRecovered!BI47-CumulativeDead!BI47</f>
        <v>0</v>
      </c>
      <c r="BJ47">
        <f>CumulativeConfirmed!BJ47-CumulativeRecovered!BJ47-CumulativeDead!BJ47</f>
        <v>0</v>
      </c>
      <c r="BK47">
        <f>CumulativeConfirmed!BK47-CumulativeRecovered!BK47-CumulativeDead!BK47</f>
        <v>0</v>
      </c>
      <c r="BL47">
        <f>CumulativeConfirmed!BL47-CumulativeRecovered!BL47-CumulativeDead!BL47</f>
        <v>0</v>
      </c>
      <c r="BM47">
        <f>CumulativeConfirmed!BM47-CumulativeRecovered!BM47-CumulativeDead!BM47</f>
        <v>0</v>
      </c>
      <c r="BN47">
        <f>CumulativeConfirmed!BN47-CumulativeRecovered!BN47-CumulativeDead!BN47</f>
        <v>0</v>
      </c>
      <c r="BO47">
        <f>CumulativeConfirmed!BO47-CumulativeRecovered!BO47-CumulativeDead!BO47</f>
        <v>0</v>
      </c>
      <c r="BP47">
        <f>CumulativeConfirmed!BP47-CumulativeRecovered!BP47-CumulativeDead!BP47</f>
        <v>0</v>
      </c>
      <c r="BQ47">
        <f>CumulativeConfirmed!BQ47-CumulativeRecovered!BQ47-CumulativeDead!BQ47</f>
        <v>0</v>
      </c>
      <c r="BR47">
        <f>CumulativeConfirmed!BR47-CumulativeRecovered!BR47-CumulativeDead!BR47</f>
        <v>0</v>
      </c>
      <c r="BS47">
        <f>CumulativeConfirmed!BS47-CumulativeRecovered!BS47-CumulativeDead!BS47</f>
        <v>0</v>
      </c>
      <c r="BT47">
        <f>CumulativeConfirmed!BT47-CumulativeRecovered!BT47-CumulativeDead!BT47</f>
        <v>0</v>
      </c>
    </row>
    <row r="48" spans="1:72" ht="15" thickBot="1" x14ac:dyDescent="0.35">
      <c r="A48" s="3" t="s">
        <v>56</v>
      </c>
      <c r="B48">
        <f>CumulativeConfirmed!B48-CumulativeRecovered!B48-CumulativeDead!B48</f>
        <v>0</v>
      </c>
      <c r="C48">
        <f>CumulativeConfirmed!C48-CumulativeRecovered!C48-CumulativeDead!C48</f>
        <v>0</v>
      </c>
      <c r="D48">
        <f>CumulativeConfirmed!D48-CumulativeRecovered!D48-CumulativeDead!D48</f>
        <v>0</v>
      </c>
      <c r="E48">
        <f>CumulativeConfirmed!E48-CumulativeRecovered!E48-CumulativeDead!E48</f>
        <v>0</v>
      </c>
      <c r="F48">
        <f>CumulativeConfirmed!F48-CumulativeRecovered!F48-CumulativeDead!F48</f>
        <v>0</v>
      </c>
      <c r="G48">
        <f>CumulativeConfirmed!G48-CumulativeRecovered!G48-CumulativeDead!G48</f>
        <v>0</v>
      </c>
      <c r="H48">
        <f>CumulativeConfirmed!H48-CumulativeRecovered!H48-CumulativeDead!H48</f>
        <v>0</v>
      </c>
      <c r="I48">
        <f>CumulativeConfirmed!I48-CumulativeRecovered!I48-CumulativeDead!I48</f>
        <v>0</v>
      </c>
      <c r="J48">
        <f>CumulativeConfirmed!J48-CumulativeRecovered!J48-CumulativeDead!J48</f>
        <v>1</v>
      </c>
      <c r="K48">
        <f>CumulativeConfirmed!K48-CumulativeRecovered!K48-CumulativeDead!K48</f>
        <v>1</v>
      </c>
      <c r="L48">
        <f>CumulativeConfirmed!L48-CumulativeRecovered!L48-CumulativeDead!L48</f>
        <v>1</v>
      </c>
      <c r="M48">
        <f>CumulativeConfirmed!M48-CumulativeRecovered!M48-CumulativeDead!M48</f>
        <v>1</v>
      </c>
      <c r="N48">
        <f>CumulativeConfirmed!N48-CumulativeRecovered!N48-CumulativeDead!N48</f>
        <v>1</v>
      </c>
      <c r="O48">
        <f>CumulativeConfirmed!O48-CumulativeRecovered!O48-CumulativeDead!O48</f>
        <v>1</v>
      </c>
      <c r="P48">
        <f>CumulativeConfirmed!P48-CumulativeRecovered!P48-CumulativeDead!P48</f>
        <v>1</v>
      </c>
      <c r="Q48">
        <f>CumulativeConfirmed!Q48-CumulativeRecovered!Q48-CumulativeDead!Q48</f>
        <v>1</v>
      </c>
      <c r="R48">
        <f>CumulativeConfirmed!R48-CumulativeRecovered!R48-CumulativeDead!R48</f>
        <v>2</v>
      </c>
      <c r="S48">
        <f>CumulativeConfirmed!S48-CumulativeRecovered!S48-CumulativeDead!S48</f>
        <v>2</v>
      </c>
      <c r="T48">
        <f>CumulativeConfirmed!T48-CumulativeRecovered!T48-CumulativeDead!T48</f>
        <v>2</v>
      </c>
      <c r="U48">
        <f>CumulativeConfirmed!U48-CumulativeRecovered!U48-CumulativeDead!U48</f>
        <v>2</v>
      </c>
      <c r="V48">
        <f>CumulativeConfirmed!V48-CumulativeRecovered!V48-CumulativeDead!V48</f>
        <v>2</v>
      </c>
      <c r="W48">
        <f>CumulativeConfirmed!W48-CumulativeRecovered!W48-CumulativeDead!W48</f>
        <v>1</v>
      </c>
      <c r="X48">
        <f>CumulativeConfirmed!X48-CumulativeRecovered!X48-CumulativeDead!X48</f>
        <v>1</v>
      </c>
      <c r="Y48">
        <f>CumulativeConfirmed!Y48-CumulativeRecovered!Y48-CumulativeDead!Y48</f>
        <v>1</v>
      </c>
      <c r="Z48">
        <f>CumulativeConfirmed!Z48-CumulativeRecovered!Z48-CumulativeDead!Z48</f>
        <v>1</v>
      </c>
      <c r="AA48">
        <f>CumulativeConfirmed!AA48-CumulativeRecovered!AA48-CumulativeDead!AA48</f>
        <v>1</v>
      </c>
      <c r="AB48">
        <f>CumulativeConfirmed!AB48-CumulativeRecovered!AB48-CumulativeDead!AB48</f>
        <v>1</v>
      </c>
      <c r="AC48">
        <f>CumulativeConfirmed!AC48-CumulativeRecovered!AC48-CumulativeDead!AC48</f>
        <v>1</v>
      </c>
      <c r="AD48">
        <f>CumulativeConfirmed!AD48-CumulativeRecovered!AD48-CumulativeDead!AD48</f>
        <v>1</v>
      </c>
      <c r="AE48">
        <f>CumulativeConfirmed!AE48-CumulativeRecovered!AE48-CumulativeDead!AE48</f>
        <v>1</v>
      </c>
      <c r="AF48">
        <f>CumulativeConfirmed!AF48-CumulativeRecovered!AF48-CumulativeDead!AF48</f>
        <v>1</v>
      </c>
      <c r="AG48">
        <f>CumulativeConfirmed!AG48-CumulativeRecovered!AG48-CumulativeDead!AG48</f>
        <v>1</v>
      </c>
      <c r="AH48">
        <f>CumulativeConfirmed!AH48-CumulativeRecovered!AH48-CumulativeDead!AH48</f>
        <v>1</v>
      </c>
      <c r="AI48">
        <f>CumulativeConfirmed!AI48-CumulativeRecovered!AI48-CumulativeDead!AI48</f>
        <v>1</v>
      </c>
      <c r="AJ48">
        <f>CumulativeConfirmed!AJ48-CumulativeRecovered!AJ48-CumulativeDead!AJ48</f>
        <v>1</v>
      </c>
      <c r="AK48">
        <f>CumulativeConfirmed!AK48-CumulativeRecovered!AK48-CumulativeDead!AK48</f>
        <v>1</v>
      </c>
      <c r="AL48">
        <f>CumulativeConfirmed!AL48-CumulativeRecovered!AL48-CumulativeDead!AL48</f>
        <v>1</v>
      </c>
      <c r="AM48">
        <f>CumulativeConfirmed!AM48-CumulativeRecovered!AM48-CumulativeDead!AM48</f>
        <v>1</v>
      </c>
      <c r="AN48">
        <f>CumulativeConfirmed!AN48-CumulativeRecovered!AN48-CumulativeDead!AN48</f>
        <v>1</v>
      </c>
      <c r="AO48">
        <f>CumulativeConfirmed!AO48-CumulativeRecovered!AO48-CumulativeDead!AO48</f>
        <v>1</v>
      </c>
      <c r="AP48">
        <f>CumulativeConfirmed!AP48-CumulativeRecovered!AP48-CumulativeDead!AP48</f>
        <v>1</v>
      </c>
      <c r="AQ48">
        <f>CumulativeConfirmed!AQ48-CumulativeRecovered!AQ48-CumulativeDead!AQ48</f>
        <v>1</v>
      </c>
      <c r="AR48">
        <f>CumulativeConfirmed!AR48-CumulativeRecovered!AR48-CumulativeDead!AR48</f>
        <v>1</v>
      </c>
      <c r="AS48">
        <f>CumulativeConfirmed!AS48-CumulativeRecovered!AS48-CumulativeDead!AS48</f>
        <v>1</v>
      </c>
      <c r="AT48">
        <f>CumulativeConfirmed!AT48-CumulativeRecovered!AT48-CumulativeDead!AT48</f>
        <v>3</v>
      </c>
      <c r="AU48">
        <f>CumulativeConfirmed!AU48-CumulativeRecovered!AU48-CumulativeDead!AU48</f>
        <v>4</v>
      </c>
      <c r="AV48">
        <f>CumulativeConfirmed!AV48-CumulativeRecovered!AV48-CumulativeDead!AV48</f>
        <v>8</v>
      </c>
      <c r="AW48">
        <f>CumulativeConfirmed!AW48-CumulativeRecovered!AW48-CumulativeDead!AW48</f>
        <v>18</v>
      </c>
      <c r="AX48">
        <f>CumulativeConfirmed!AX48-CumulativeRecovered!AX48-CumulativeDead!AX48</f>
        <v>30</v>
      </c>
      <c r="AY48">
        <f>CumulativeConfirmed!AY48-CumulativeRecovered!AY48-CumulativeDead!AY48</f>
        <v>46</v>
      </c>
      <c r="AZ48">
        <f>CumulativeConfirmed!AZ48-CumulativeRecovered!AZ48-CumulativeDead!AZ48</f>
        <v>48</v>
      </c>
      <c r="BA48">
        <f>CumulativeConfirmed!BA48-CumulativeRecovered!BA48-CumulativeDead!BA48</f>
        <v>57</v>
      </c>
      <c r="BB48">
        <f>CumulativeConfirmed!BB48-CumulativeRecovered!BB48-CumulativeDead!BB48</f>
        <v>101</v>
      </c>
      <c r="BC48">
        <f>CumulativeConfirmed!BC48-CumulativeRecovered!BC48-CumulativeDead!BC48</f>
        <v>127</v>
      </c>
      <c r="BD48">
        <f>CumulativeConfirmed!BD48-CumulativeRecovered!BD48-CumulativeDead!BD48</f>
        <v>128</v>
      </c>
      <c r="BE48">
        <f>CumulativeConfirmed!BE48-CumulativeRecovered!BE48-CumulativeDead!BE48</f>
        <v>170</v>
      </c>
      <c r="BF48">
        <f>CumulativeConfirmed!BF48-CumulativeRecovered!BF48-CumulativeDead!BF48</f>
        <v>178</v>
      </c>
      <c r="BG48">
        <f>CumulativeConfirmed!BG48-CumulativeRecovered!BG48-CumulativeDead!BG48</f>
        <v>192</v>
      </c>
      <c r="BH48">
        <f>CumulativeConfirmed!BH48-CumulativeRecovered!BH48-CumulativeDead!BH48</f>
        <v>204</v>
      </c>
      <c r="BI48">
        <f>CumulativeConfirmed!BI48-CumulativeRecovered!BI48-CumulativeDead!BI48</f>
        <v>0</v>
      </c>
      <c r="BJ48">
        <f>CumulativeConfirmed!BJ48-CumulativeRecovered!BJ48-CumulativeDead!BJ48</f>
        <v>0</v>
      </c>
      <c r="BK48">
        <f>CumulativeConfirmed!BK48-CumulativeRecovered!BK48-CumulativeDead!BK48</f>
        <v>0</v>
      </c>
      <c r="BL48">
        <f>CumulativeConfirmed!BL48-CumulativeRecovered!BL48-CumulativeDead!BL48</f>
        <v>0</v>
      </c>
      <c r="BM48">
        <f>CumulativeConfirmed!BM48-CumulativeRecovered!BM48-CumulativeDead!BM48</f>
        <v>0</v>
      </c>
      <c r="BN48">
        <f>CumulativeConfirmed!BN48-CumulativeRecovered!BN48-CumulativeDead!BN48</f>
        <v>0</v>
      </c>
      <c r="BO48">
        <f>CumulativeConfirmed!BO48-CumulativeRecovered!BO48-CumulativeDead!BO48</f>
        <v>0</v>
      </c>
      <c r="BP48">
        <f>CumulativeConfirmed!BP48-CumulativeRecovered!BP48-CumulativeDead!BP48</f>
        <v>0</v>
      </c>
      <c r="BQ48">
        <f>CumulativeConfirmed!BQ48-CumulativeRecovered!BQ48-CumulativeDead!BQ48</f>
        <v>0</v>
      </c>
      <c r="BR48">
        <f>CumulativeConfirmed!BR48-CumulativeRecovered!BR48-CumulativeDead!BR48</f>
        <v>0</v>
      </c>
      <c r="BS48">
        <f>CumulativeConfirmed!BS48-CumulativeRecovered!BS48-CumulativeDead!BS48</f>
        <v>0</v>
      </c>
      <c r="BT48">
        <f>CumulativeConfirmed!BT48-CumulativeRecovered!BT48-CumulativeDead!BT48</f>
        <v>0</v>
      </c>
    </row>
    <row r="49" spans="1:72" ht="15" thickBot="1" x14ac:dyDescent="0.35">
      <c r="A49" s="3" t="s">
        <v>342</v>
      </c>
      <c r="B49">
        <f>CumulativeConfirmed!B49-CumulativeRecovered!B49-CumulativeDead!B49</f>
        <v>1</v>
      </c>
      <c r="C49">
        <f>CumulativeConfirmed!C49-CumulativeRecovered!C49-CumulativeDead!C49</f>
        <v>1</v>
      </c>
      <c r="D49">
        <f>CumulativeConfirmed!D49-CumulativeRecovered!D49-CumulativeDead!D49</f>
        <v>3</v>
      </c>
      <c r="E49">
        <f>CumulativeConfirmed!E49-CumulativeRecovered!E49-CumulativeDead!E49</f>
        <v>3</v>
      </c>
      <c r="F49">
        <f>CumulativeConfirmed!F49-CumulativeRecovered!F49-CumulativeDead!F49</f>
        <v>4</v>
      </c>
      <c r="G49">
        <f>CumulativeConfirmed!G49-CumulativeRecovered!G49-CumulativeDead!G49</f>
        <v>5</v>
      </c>
      <c r="H49">
        <f>CumulativeConfirmed!H49-CumulativeRecovered!H49-CumulativeDead!H49</f>
        <v>8</v>
      </c>
      <c r="I49">
        <f>CumulativeConfirmed!I49-CumulativeRecovered!I49-CumulativeDead!I49</f>
        <v>8</v>
      </c>
      <c r="J49">
        <f>CumulativeConfirmed!J49-CumulativeRecovered!J49-CumulativeDead!J49</f>
        <v>9</v>
      </c>
      <c r="K49">
        <f>CumulativeConfirmed!K49-CumulativeRecovered!K49-CumulativeDead!K49</f>
        <v>10</v>
      </c>
      <c r="L49">
        <f>CumulativeConfirmed!L49-CumulativeRecovered!L49-CumulativeDead!L49</f>
        <v>10</v>
      </c>
      <c r="M49">
        <f>CumulativeConfirmed!M49-CumulativeRecovered!M49-CumulativeDead!M49</f>
        <v>10</v>
      </c>
      <c r="N49">
        <f>CumulativeConfirmed!N49-CumulativeRecovered!N49-CumulativeDead!N49</f>
        <v>10</v>
      </c>
      <c r="O49">
        <f>CumulativeConfirmed!O49-CumulativeRecovered!O49-CumulativeDead!O49</f>
        <v>11</v>
      </c>
      <c r="P49">
        <f>CumulativeConfirmed!P49-CumulativeRecovered!P49-CumulativeDead!P49</f>
        <v>11</v>
      </c>
      <c r="Q49">
        <f>CumulativeConfirmed!Q49-CumulativeRecovered!Q49-CumulativeDead!Q49</f>
        <v>15</v>
      </c>
      <c r="R49">
        <f>CumulativeConfirmed!R49-CumulativeRecovered!R49-CumulativeDead!R49</f>
        <v>15</v>
      </c>
      <c r="S49">
        <f>CumulativeConfirmed!S49-CumulativeRecovered!S49-CumulativeDead!S49</f>
        <v>16</v>
      </c>
      <c r="T49">
        <f>CumulativeConfirmed!T49-CumulativeRecovered!T49-CumulativeDead!T49</f>
        <v>17</v>
      </c>
      <c r="U49">
        <f>CumulativeConfirmed!U49-CumulativeRecovered!U49-CumulativeDead!U49</f>
        <v>17</v>
      </c>
      <c r="V49">
        <f>CumulativeConfirmed!V49-CumulativeRecovered!V49-CumulativeDead!V49</f>
        <v>17</v>
      </c>
      <c r="W49">
        <f>CumulativeConfirmed!W49-CumulativeRecovered!W49-CumulativeDead!W49</f>
        <v>17</v>
      </c>
      <c r="X49">
        <f>CumulativeConfirmed!X49-CumulativeRecovered!X49-CumulativeDead!X49</f>
        <v>17</v>
      </c>
      <c r="Y49">
        <f>CumulativeConfirmed!Y49-CumulativeRecovered!Y49-CumulativeDead!Y49</f>
        <v>16</v>
      </c>
      <c r="Z49">
        <f>CumulativeConfirmed!Z49-CumulativeRecovered!Z49-CumulativeDead!Z49</f>
        <v>16</v>
      </c>
      <c r="AA49">
        <f>CumulativeConfirmed!AA49-CumulativeRecovered!AA49-CumulativeDead!AA49</f>
        <v>17</v>
      </c>
      <c r="AB49">
        <f>CumulativeConfirmed!AB49-CumulativeRecovered!AB49-CumulativeDead!AB49</f>
        <v>19</v>
      </c>
      <c r="AC49">
        <f>CumulativeConfirmed!AC49-CumulativeRecovered!AC49-CumulativeDead!AC49</f>
        <v>19</v>
      </c>
      <c r="AD49">
        <f>CumulativeConfirmed!AD49-CumulativeRecovered!AD49-CumulativeDead!AD49</f>
        <v>20</v>
      </c>
      <c r="AE49">
        <f>CumulativeConfirmed!AE49-CumulativeRecovered!AE49-CumulativeDead!AE49</f>
        <v>21</v>
      </c>
      <c r="AF49">
        <f>CumulativeConfirmed!AF49-CumulativeRecovered!AF49-CumulativeDead!AF49</f>
        <v>23</v>
      </c>
      <c r="AG49">
        <f>CumulativeConfirmed!AG49-CumulativeRecovered!AG49-CumulativeDead!AG49</f>
        <v>23</v>
      </c>
      <c r="AH49">
        <f>CumulativeConfirmed!AH49-CumulativeRecovered!AH49-CumulativeDead!AH49</f>
        <v>25</v>
      </c>
      <c r="AI49">
        <f>CumulativeConfirmed!AI49-CumulativeRecovered!AI49-CumulativeDead!AI49</f>
        <v>24</v>
      </c>
      <c r="AJ49">
        <f>CumulativeConfirmed!AJ49-CumulativeRecovered!AJ49-CumulativeDead!AJ49</f>
        <v>25</v>
      </c>
      <c r="AK49">
        <f>CumulativeConfirmed!AK49-CumulativeRecovered!AK49-CumulativeDead!AK49</f>
        <v>26</v>
      </c>
      <c r="AL49">
        <f>CumulativeConfirmed!AL49-CumulativeRecovered!AL49-CumulativeDead!AL49</f>
        <v>26</v>
      </c>
      <c r="AM49">
        <f>CumulativeConfirmed!AM49-CumulativeRecovered!AM49-CumulativeDead!AM49</f>
        <v>27</v>
      </c>
      <c r="AN49">
        <f>CumulativeConfirmed!AN49-CumulativeRecovered!AN49-CumulativeDead!AN49</f>
        <v>29</v>
      </c>
      <c r="AO49">
        <f>CumulativeConfirmed!AO49-CumulativeRecovered!AO49-CumulativeDead!AO49</f>
        <v>30</v>
      </c>
      <c r="AP49">
        <f>CumulativeConfirmed!AP49-CumulativeRecovered!AP49-CumulativeDead!AP49</f>
        <v>28</v>
      </c>
      <c r="AQ49">
        <f>CumulativeConfirmed!AQ49-CumulativeRecovered!AQ49-CumulativeDead!AQ49</f>
        <v>29</v>
      </c>
      <c r="AR49">
        <f>CumulativeConfirmed!AR49-CumulativeRecovered!AR49-CumulativeDead!AR49</f>
        <v>29</v>
      </c>
      <c r="AS49">
        <f>CumulativeConfirmed!AS49-CumulativeRecovered!AS49-CumulativeDead!AS49</f>
        <v>31</v>
      </c>
      <c r="AT49">
        <f>CumulativeConfirmed!AT49-CumulativeRecovered!AT49-CumulativeDead!AT49</f>
        <v>32</v>
      </c>
      <c r="AU49">
        <f>CumulativeConfirmed!AU49-CumulativeRecovered!AU49-CumulativeDead!AU49</f>
        <v>32</v>
      </c>
      <c r="AV49">
        <f>CumulativeConfirmed!AV49-CumulativeRecovered!AV49-CumulativeDead!AV49</f>
        <v>31</v>
      </c>
      <c r="AW49">
        <f>CumulativeConfirmed!AW49-CumulativeRecovered!AW49-CumulativeDead!AW49</f>
        <v>29</v>
      </c>
      <c r="AX49">
        <f>CumulativeConfirmed!AX49-CumulativeRecovered!AX49-CumulativeDead!AX49</f>
        <v>29</v>
      </c>
      <c r="AY49">
        <f>CumulativeConfirmed!AY49-CumulativeRecovered!AY49-CumulativeDead!AY49</f>
        <v>30</v>
      </c>
      <c r="AZ49">
        <f>CumulativeConfirmed!AZ49-CumulativeRecovered!AZ49-CumulativeDead!AZ49</f>
        <v>28</v>
      </c>
      <c r="BA49">
        <f>CumulativeConfirmed!BA49-CumulativeRecovered!BA49-CumulativeDead!BA49</f>
        <v>29</v>
      </c>
      <c r="BB49">
        <f>CumulativeConfirmed!BB49-CumulativeRecovered!BB49-CumulativeDead!BB49</f>
        <v>32</v>
      </c>
      <c r="BC49">
        <f>CumulativeConfirmed!BC49-CumulativeRecovered!BC49-CumulativeDead!BC49</f>
        <v>38</v>
      </c>
      <c r="BD49">
        <f>CumulativeConfirmed!BD49-CumulativeRecovered!BD49-CumulativeDead!BD49</f>
        <v>46</v>
      </c>
      <c r="BE49">
        <f>CumulativeConfirmed!BE49-CumulativeRecovered!BE49-CumulativeDead!BE49</f>
        <v>54</v>
      </c>
      <c r="BF49">
        <f>CumulativeConfirmed!BF49-CumulativeRecovered!BF49-CumulativeDead!BF49</f>
        <v>77</v>
      </c>
      <c r="BG49">
        <f>CumulativeConfirmed!BG49-CumulativeRecovered!BG49-CumulativeDead!BG49</f>
        <v>81</v>
      </c>
      <c r="BH49">
        <f>CumulativeConfirmed!BH49-CumulativeRecovered!BH49-CumulativeDead!BH49</f>
        <v>107</v>
      </c>
      <c r="BI49">
        <f>CumulativeConfirmed!BI49-CumulativeRecovered!BI49-CumulativeDead!BI49</f>
        <v>0</v>
      </c>
      <c r="BJ49">
        <f>CumulativeConfirmed!BJ49-CumulativeRecovered!BJ49-CumulativeDead!BJ49</f>
        <v>0</v>
      </c>
      <c r="BK49">
        <f>CumulativeConfirmed!BK49-CumulativeRecovered!BK49-CumulativeDead!BK49</f>
        <v>0</v>
      </c>
      <c r="BL49">
        <f>CumulativeConfirmed!BL49-CumulativeRecovered!BL49-CumulativeDead!BL49</f>
        <v>0</v>
      </c>
      <c r="BM49">
        <f>CumulativeConfirmed!BM49-CumulativeRecovered!BM49-CumulativeDead!BM49</f>
        <v>0</v>
      </c>
      <c r="BN49">
        <f>CumulativeConfirmed!BN49-CumulativeRecovered!BN49-CumulativeDead!BN49</f>
        <v>0</v>
      </c>
      <c r="BO49">
        <f>CumulativeConfirmed!BO49-CumulativeRecovered!BO49-CumulativeDead!BO49</f>
        <v>0</v>
      </c>
      <c r="BP49">
        <f>CumulativeConfirmed!BP49-CumulativeRecovered!BP49-CumulativeDead!BP49</f>
        <v>0</v>
      </c>
      <c r="BQ49">
        <f>CumulativeConfirmed!BQ49-CumulativeRecovered!BQ49-CumulativeDead!BQ49</f>
        <v>0</v>
      </c>
      <c r="BR49">
        <f>CumulativeConfirmed!BR49-CumulativeRecovered!BR49-CumulativeDead!BR49</f>
        <v>0</v>
      </c>
      <c r="BS49">
        <f>CumulativeConfirmed!BS49-CumulativeRecovered!BS49-CumulativeDead!BS49</f>
        <v>0</v>
      </c>
      <c r="BT49">
        <f>CumulativeConfirmed!BT49-CumulativeRecovered!BT49-CumulativeDead!BT49</f>
        <v>0</v>
      </c>
    </row>
    <row r="50" spans="1:72" ht="15" thickBot="1" x14ac:dyDescent="0.35">
      <c r="A50" s="4" t="s">
        <v>343</v>
      </c>
      <c r="B50">
        <f>CumulativeConfirmed!B50-CumulativeRecovered!B50-CumulativeDead!B50</f>
        <v>0</v>
      </c>
      <c r="C50">
        <f>CumulativeConfirmed!C50-CumulativeRecovered!C50-CumulativeDead!C50</f>
        <v>2</v>
      </c>
      <c r="D50">
        <f>CumulativeConfirmed!D50-CumulativeRecovered!D50-CumulativeDead!D50</f>
        <v>2</v>
      </c>
      <c r="E50">
        <f>CumulativeConfirmed!E50-CumulativeRecovered!E50-CumulativeDead!E50</f>
        <v>2</v>
      </c>
      <c r="F50">
        <f>CumulativeConfirmed!F50-CumulativeRecovered!F50-CumulativeDead!F50</f>
        <v>2</v>
      </c>
      <c r="G50">
        <f>CumulativeConfirmed!G50-CumulativeRecovered!G50-CumulativeDead!G50</f>
        <v>2</v>
      </c>
      <c r="H50">
        <f>CumulativeConfirmed!H50-CumulativeRecovered!H50-CumulativeDead!H50</f>
        <v>2</v>
      </c>
      <c r="I50">
        <f>CumulativeConfirmed!I50-CumulativeRecovered!I50-CumulativeDead!I50</f>
        <v>2</v>
      </c>
      <c r="J50">
        <f>CumulativeConfirmed!J50-CumulativeRecovered!J50-CumulativeDead!J50</f>
        <v>2</v>
      </c>
      <c r="K50">
        <f>CumulativeConfirmed!K50-CumulativeRecovered!K50-CumulativeDead!K50</f>
        <v>2</v>
      </c>
      <c r="L50">
        <f>CumulativeConfirmed!L50-CumulativeRecovered!L50-CumulativeDead!L50</f>
        <v>5</v>
      </c>
      <c r="M50">
        <f>CumulativeConfirmed!M50-CumulativeRecovered!M50-CumulativeDead!M50</f>
        <v>5</v>
      </c>
      <c r="N50">
        <f>CumulativeConfirmed!N50-CumulativeRecovered!N50-CumulativeDead!N50</f>
        <v>7</v>
      </c>
      <c r="O50">
        <f>CumulativeConfirmed!O50-CumulativeRecovered!O50-CumulativeDead!O50</f>
        <v>7</v>
      </c>
      <c r="P50">
        <f>CumulativeConfirmed!P50-CumulativeRecovered!P50-CumulativeDead!P50</f>
        <v>7</v>
      </c>
      <c r="Q50">
        <f>CumulativeConfirmed!Q50-CumulativeRecovered!Q50-CumulativeDead!Q50</f>
        <v>9</v>
      </c>
      <c r="R50">
        <f>CumulativeConfirmed!R50-CumulativeRecovered!R50-CumulativeDead!R50</f>
        <v>9</v>
      </c>
      <c r="S50">
        <f>CumulativeConfirmed!S50-CumulativeRecovered!S50-CumulativeDead!S50</f>
        <v>12</v>
      </c>
      <c r="T50">
        <f>CumulativeConfirmed!T50-CumulativeRecovered!T50-CumulativeDead!T50</f>
        <v>12</v>
      </c>
      <c r="U50">
        <f>CumulativeConfirmed!U50-CumulativeRecovered!U50-CumulativeDead!U50</f>
        <v>13</v>
      </c>
      <c r="V50">
        <f>CumulativeConfirmed!V50-CumulativeRecovered!V50-CumulativeDead!V50</f>
        <v>9</v>
      </c>
      <c r="W50">
        <f>CumulativeConfirmed!W50-CumulativeRecovered!W50-CumulativeDead!W50</f>
        <v>9</v>
      </c>
      <c r="X50">
        <f>CumulativeConfirmed!X50-CumulativeRecovered!X50-CumulativeDead!X50</f>
        <v>9</v>
      </c>
      <c r="Y50">
        <f>CumulativeConfirmed!Y50-CumulativeRecovered!Y50-CumulativeDead!Y50</f>
        <v>9</v>
      </c>
      <c r="Z50">
        <f>CumulativeConfirmed!Z50-CumulativeRecovered!Z50-CumulativeDead!Z50</f>
        <v>9</v>
      </c>
      <c r="AA50">
        <f>CumulativeConfirmed!AA50-CumulativeRecovered!AA50-CumulativeDead!AA50</f>
        <v>9</v>
      </c>
      <c r="AB50">
        <f>CumulativeConfirmed!AB50-CumulativeRecovered!AB50-CumulativeDead!AB50</f>
        <v>9</v>
      </c>
      <c r="AC50">
        <f>CumulativeConfirmed!AC50-CumulativeRecovered!AC50-CumulativeDead!AC50</f>
        <v>9</v>
      </c>
      <c r="AD50">
        <f>CumulativeConfirmed!AD50-CumulativeRecovered!AD50-CumulativeDead!AD50</f>
        <v>9</v>
      </c>
      <c r="AE50">
        <f>CumulativeConfirmed!AE50-CumulativeRecovered!AE50-CumulativeDead!AE50</f>
        <v>9</v>
      </c>
      <c r="AF50">
        <f>CumulativeConfirmed!AF50-CumulativeRecovered!AF50-CumulativeDead!AF50</f>
        <v>2</v>
      </c>
      <c r="AG50">
        <f>CumulativeConfirmed!AG50-CumulativeRecovered!AG50-CumulativeDead!AG50</f>
        <v>2</v>
      </c>
      <c r="AH50">
        <f>CumulativeConfirmed!AH50-CumulativeRecovered!AH50-CumulativeDead!AH50</f>
        <v>2</v>
      </c>
      <c r="AI50">
        <f>CumulativeConfirmed!AI50-CumulativeRecovered!AI50-CumulativeDead!AI50</f>
        <v>2</v>
      </c>
      <c r="AJ50">
        <f>CumulativeConfirmed!AJ50-CumulativeRecovered!AJ50-CumulativeDead!AJ50</f>
        <v>0</v>
      </c>
      <c r="AK50">
        <f>CumulativeConfirmed!AK50-CumulativeRecovered!AK50-CumulativeDead!AK50</f>
        <v>0</v>
      </c>
      <c r="AL50">
        <f>CumulativeConfirmed!AL50-CumulativeRecovered!AL50-CumulativeDead!AL50</f>
        <v>0</v>
      </c>
      <c r="AM50">
        <f>CumulativeConfirmed!AM50-CumulativeRecovered!AM50-CumulativeDead!AM50</f>
        <v>0</v>
      </c>
      <c r="AN50">
        <f>CumulativeConfirmed!AN50-CumulativeRecovered!AN50-CumulativeDead!AN50</f>
        <v>0</v>
      </c>
      <c r="AO50">
        <f>CumulativeConfirmed!AO50-CumulativeRecovered!AO50-CumulativeDead!AO50</f>
        <v>0</v>
      </c>
      <c r="AP50">
        <f>CumulativeConfirmed!AP50-CumulativeRecovered!AP50-CumulativeDead!AP50</f>
        <v>0</v>
      </c>
      <c r="AQ50">
        <f>CumulativeConfirmed!AQ50-CumulativeRecovered!AQ50-CumulativeDead!AQ50</f>
        <v>0</v>
      </c>
      <c r="AR50">
        <f>CumulativeConfirmed!AR50-CumulativeRecovered!AR50-CumulativeDead!AR50</f>
        <v>0</v>
      </c>
      <c r="AS50">
        <f>CumulativeConfirmed!AS50-CumulativeRecovered!AS50-CumulativeDead!AS50</f>
        <v>0</v>
      </c>
      <c r="AT50">
        <f>CumulativeConfirmed!AT50-CumulativeRecovered!AT50-CumulativeDead!AT50</f>
        <v>0</v>
      </c>
      <c r="AU50">
        <f>CumulativeConfirmed!AU50-CumulativeRecovered!AU50-CumulativeDead!AU50</f>
        <v>2</v>
      </c>
      <c r="AV50">
        <f>CumulativeConfirmed!AV50-CumulativeRecovered!AV50-CumulativeDead!AV50</f>
        <v>14</v>
      </c>
      <c r="AW50">
        <f>CumulativeConfirmed!AW50-CumulativeRecovered!AW50-CumulativeDead!AW50</f>
        <v>14</v>
      </c>
      <c r="AX50">
        <f>CumulativeConfirmed!AX50-CumulativeRecovered!AX50-CumulativeDead!AX50</f>
        <v>15</v>
      </c>
      <c r="AY50">
        <f>CumulativeConfirmed!AY50-CumulativeRecovered!AY50-CumulativeDead!AY50</f>
        <v>22</v>
      </c>
      <c r="AZ50">
        <f>CumulativeConfirmed!AZ50-CumulativeRecovered!AZ50-CumulativeDead!AZ50</f>
        <v>23</v>
      </c>
      <c r="BA50">
        <f>CumulativeConfirmed!BA50-CumulativeRecovered!BA50-CumulativeDead!BA50</f>
        <v>31</v>
      </c>
      <c r="BB50">
        <f>CumulativeConfirmed!BB50-CumulativeRecovered!BB50-CumulativeDead!BB50</f>
        <v>37</v>
      </c>
      <c r="BC50">
        <f>CumulativeConfirmed!BC50-CumulativeRecovered!BC50-CumulativeDead!BC50</f>
        <v>40</v>
      </c>
      <c r="BD50">
        <f>CumulativeConfirmed!BD50-CumulativeRecovered!BD50-CumulativeDead!BD50</f>
        <v>45</v>
      </c>
      <c r="BE50">
        <f>CumulativeConfirmed!BE50-CumulativeRecovered!BE50-CumulativeDead!BE50</f>
        <v>50</v>
      </c>
      <c r="BF50">
        <f>CumulativeConfirmed!BF50-CumulativeRecovered!BF50-CumulativeDead!BF50</f>
        <v>59</v>
      </c>
      <c r="BG50">
        <f>CumulativeConfirmed!BG50-CumulativeRecovered!BG50-CumulativeDead!BG50</f>
        <v>69</v>
      </c>
      <c r="BH50">
        <f>CumulativeConfirmed!BH50-CumulativeRecovered!BH50-CumulativeDead!BH50</f>
        <v>75</v>
      </c>
      <c r="BI50">
        <f>CumulativeConfirmed!BI50-CumulativeRecovered!BI50-CumulativeDead!BI50</f>
        <v>0</v>
      </c>
      <c r="BJ50">
        <f>CumulativeConfirmed!BJ50-CumulativeRecovered!BJ50-CumulativeDead!BJ50</f>
        <v>0</v>
      </c>
      <c r="BK50">
        <f>CumulativeConfirmed!BK50-CumulativeRecovered!BK50-CumulativeDead!BK50</f>
        <v>0</v>
      </c>
      <c r="BL50">
        <f>CumulativeConfirmed!BL50-CumulativeRecovered!BL50-CumulativeDead!BL50</f>
        <v>0</v>
      </c>
      <c r="BM50">
        <f>CumulativeConfirmed!BM50-CumulativeRecovered!BM50-CumulativeDead!BM50</f>
        <v>0</v>
      </c>
      <c r="BN50">
        <f>CumulativeConfirmed!BN50-CumulativeRecovered!BN50-CumulativeDead!BN50</f>
        <v>0</v>
      </c>
      <c r="BO50">
        <f>CumulativeConfirmed!BO50-CumulativeRecovered!BO50-CumulativeDead!BO50</f>
        <v>0</v>
      </c>
      <c r="BP50">
        <f>CumulativeConfirmed!BP50-CumulativeRecovered!BP50-CumulativeDead!BP50</f>
        <v>0</v>
      </c>
      <c r="BQ50">
        <f>CumulativeConfirmed!BQ50-CumulativeRecovered!BQ50-CumulativeDead!BQ50</f>
        <v>0</v>
      </c>
      <c r="BR50">
        <f>CumulativeConfirmed!BR50-CumulativeRecovered!BR50-CumulativeDead!BR50</f>
        <v>0</v>
      </c>
      <c r="BS50">
        <f>CumulativeConfirmed!BS50-CumulativeRecovered!BS50-CumulativeDead!BS50</f>
        <v>0</v>
      </c>
      <c r="BT50">
        <f>CumulativeConfirmed!BT50-CumulativeRecovered!BT50-CumulativeDead!BT50</f>
        <v>0</v>
      </c>
    </row>
    <row r="51" spans="1:72" ht="15" thickBot="1" x14ac:dyDescent="0.35">
      <c r="A51" s="3" t="s">
        <v>344</v>
      </c>
      <c r="B51">
        <f>CumulativeConfirmed!B51-CumulativeRecovered!B51-CumulativeDead!B51</f>
        <v>0</v>
      </c>
      <c r="C51">
        <f>CumulativeConfirmed!C51-CumulativeRecovered!C51-CumulativeDead!C51</f>
        <v>0</v>
      </c>
      <c r="D51">
        <f>CumulativeConfirmed!D51-CumulativeRecovered!D51-CumulativeDead!D51</f>
        <v>0</v>
      </c>
      <c r="E51">
        <f>CumulativeConfirmed!E51-CumulativeRecovered!E51-CumulativeDead!E51</f>
        <v>0</v>
      </c>
      <c r="F51">
        <f>CumulativeConfirmed!F51-CumulativeRecovered!F51-CumulativeDead!F51</f>
        <v>0</v>
      </c>
      <c r="G51">
        <f>CumulativeConfirmed!G51-CumulativeRecovered!G51-CumulativeDead!G51</f>
        <v>0</v>
      </c>
      <c r="H51">
        <f>CumulativeConfirmed!H51-CumulativeRecovered!H51-CumulativeDead!H51</f>
        <v>0</v>
      </c>
      <c r="I51">
        <f>CumulativeConfirmed!I51-CumulativeRecovered!I51-CumulativeDead!I51</f>
        <v>0</v>
      </c>
      <c r="J51">
        <f>CumulativeConfirmed!J51-CumulativeRecovered!J51-CumulativeDead!J51</f>
        <v>0</v>
      </c>
      <c r="K51">
        <f>CumulativeConfirmed!K51-CumulativeRecovered!K51-CumulativeDead!K51</f>
        <v>2</v>
      </c>
      <c r="L51">
        <f>CumulativeConfirmed!L51-CumulativeRecovered!L51-CumulativeDead!L51</f>
        <v>2</v>
      </c>
      <c r="M51">
        <f>CumulativeConfirmed!M51-CumulativeRecovered!M51-CumulativeDead!M51</f>
        <v>2</v>
      </c>
      <c r="N51">
        <f>CumulativeConfirmed!N51-CumulativeRecovered!N51-CumulativeDead!N51</f>
        <v>2</v>
      </c>
      <c r="O51">
        <f>CumulativeConfirmed!O51-CumulativeRecovered!O51-CumulativeDead!O51</f>
        <v>2</v>
      </c>
      <c r="P51">
        <f>CumulativeConfirmed!P51-CumulativeRecovered!P51-CumulativeDead!P51</f>
        <v>2</v>
      </c>
      <c r="Q51">
        <f>CumulativeConfirmed!Q51-CumulativeRecovered!Q51-CumulativeDead!Q51</f>
        <v>2</v>
      </c>
      <c r="R51">
        <f>CumulativeConfirmed!R51-CumulativeRecovered!R51-CumulativeDead!R51</f>
        <v>2</v>
      </c>
      <c r="S51">
        <f>CumulativeConfirmed!S51-CumulativeRecovered!S51-CumulativeDead!S51</f>
        <v>2</v>
      </c>
      <c r="T51">
        <f>CumulativeConfirmed!T51-CumulativeRecovered!T51-CumulativeDead!T51</f>
        <v>2</v>
      </c>
      <c r="U51">
        <f>CumulativeConfirmed!U51-CumulativeRecovered!U51-CumulativeDead!U51</f>
        <v>2</v>
      </c>
      <c r="V51">
        <f>CumulativeConfirmed!V51-CumulativeRecovered!V51-CumulativeDead!V51</f>
        <v>2</v>
      </c>
      <c r="W51">
        <f>CumulativeConfirmed!W51-CumulativeRecovered!W51-CumulativeDead!W51</f>
        <v>0</v>
      </c>
      <c r="X51">
        <f>CumulativeConfirmed!X51-CumulativeRecovered!X51-CumulativeDead!X51</f>
        <v>0</v>
      </c>
      <c r="Y51">
        <f>CumulativeConfirmed!Y51-CumulativeRecovered!Y51-CumulativeDead!Y51</f>
        <v>0</v>
      </c>
      <c r="Z51">
        <f>CumulativeConfirmed!Z51-CumulativeRecovered!Z51-CumulativeDead!Z51</f>
        <v>0</v>
      </c>
      <c r="AA51">
        <f>CumulativeConfirmed!AA51-CumulativeRecovered!AA51-CumulativeDead!AA51</f>
        <v>0</v>
      </c>
      <c r="AB51">
        <f>CumulativeConfirmed!AB51-CumulativeRecovered!AB51-CumulativeDead!AB51</f>
        <v>0</v>
      </c>
      <c r="AC51">
        <f>CumulativeConfirmed!AC51-CumulativeRecovered!AC51-CumulativeDead!AC51</f>
        <v>0</v>
      </c>
      <c r="AD51">
        <f>CumulativeConfirmed!AD51-CumulativeRecovered!AD51-CumulativeDead!AD51</f>
        <v>0</v>
      </c>
      <c r="AE51">
        <f>CumulativeConfirmed!AE51-CumulativeRecovered!AE51-CumulativeDead!AE51</f>
        <v>0</v>
      </c>
      <c r="AF51">
        <f>CumulativeConfirmed!AF51-CumulativeRecovered!AF51-CumulativeDead!AF51</f>
        <v>0</v>
      </c>
      <c r="AG51">
        <f>CumulativeConfirmed!AG51-CumulativeRecovered!AG51-CumulativeDead!AG51</f>
        <v>0</v>
      </c>
      <c r="AH51">
        <f>CumulativeConfirmed!AH51-CumulativeRecovered!AH51-CumulativeDead!AH51</f>
        <v>0</v>
      </c>
      <c r="AI51">
        <f>CumulativeConfirmed!AI51-CumulativeRecovered!AI51-CumulativeDead!AI51</f>
        <v>0</v>
      </c>
      <c r="AJ51">
        <f>CumulativeConfirmed!AJ51-CumulativeRecovered!AJ51-CumulativeDead!AJ51</f>
        <v>0</v>
      </c>
      <c r="AK51">
        <f>CumulativeConfirmed!AK51-CumulativeRecovered!AK51-CumulativeDead!AK51</f>
        <v>0</v>
      </c>
      <c r="AL51">
        <f>CumulativeConfirmed!AL51-CumulativeRecovered!AL51-CumulativeDead!AL51</f>
        <v>0</v>
      </c>
      <c r="AM51">
        <f>CumulativeConfirmed!AM51-CumulativeRecovered!AM51-CumulativeDead!AM51</f>
        <v>0</v>
      </c>
      <c r="AN51">
        <f>CumulativeConfirmed!AN51-CumulativeRecovered!AN51-CumulativeDead!AN51</f>
        <v>0</v>
      </c>
      <c r="AO51">
        <f>CumulativeConfirmed!AO51-CumulativeRecovered!AO51-CumulativeDead!AO51</f>
        <v>0</v>
      </c>
      <c r="AP51">
        <f>CumulativeConfirmed!AP51-CumulativeRecovered!AP51-CumulativeDead!AP51</f>
        <v>1</v>
      </c>
      <c r="AQ51">
        <f>CumulativeConfirmed!AQ51-CumulativeRecovered!AQ51-CumulativeDead!AQ51</f>
        <v>1</v>
      </c>
      <c r="AR51">
        <f>CumulativeConfirmed!AR51-CumulativeRecovered!AR51-CumulativeDead!AR51</f>
        <v>1</v>
      </c>
      <c r="AS51">
        <f>CumulativeConfirmed!AS51-CumulativeRecovered!AS51-CumulativeDead!AS51</f>
        <v>2</v>
      </c>
      <c r="AT51">
        <f>CumulativeConfirmed!AT51-CumulativeRecovered!AT51-CumulativeDead!AT51</f>
        <v>11</v>
      </c>
      <c r="AU51">
        <f>CumulativeConfirmed!AU51-CumulativeRecovered!AU51-CumulativeDead!AU51</f>
        <v>11</v>
      </c>
      <c r="AV51">
        <f>CumulativeConfirmed!AV51-CumulativeRecovered!AV51-CumulativeDead!AV51</f>
        <v>14</v>
      </c>
      <c r="AW51">
        <f>CumulativeConfirmed!AW51-CumulativeRecovered!AW51-CumulativeDead!AW51</f>
        <v>14</v>
      </c>
      <c r="AX51">
        <f>CumulativeConfirmed!AX51-CumulativeRecovered!AX51-CumulativeDead!AX51</f>
        <v>17</v>
      </c>
      <c r="AY51">
        <f>CumulativeConfirmed!AY51-CumulativeRecovered!AY51-CumulativeDead!AY51</f>
        <v>17</v>
      </c>
      <c r="AZ51">
        <f>CumulativeConfirmed!AZ51-CumulativeRecovered!AZ51-CumulativeDead!AZ51</f>
        <v>25</v>
      </c>
      <c r="BA51">
        <f>CumulativeConfirmed!BA51-CumulativeRecovered!BA51-CumulativeDead!BA51</f>
        <v>42</v>
      </c>
      <c r="BB51">
        <f>CumulativeConfirmed!BB51-CumulativeRecovered!BB51-CumulativeDead!BB51</f>
        <v>51</v>
      </c>
      <c r="BC51">
        <f>CumulativeConfirmed!BC51-CumulativeRecovered!BC51-CumulativeDead!BC51</f>
        <v>55</v>
      </c>
      <c r="BD51">
        <f>CumulativeConfirmed!BD51-CumulativeRecovered!BD51-CumulativeDead!BD51</f>
        <v>82</v>
      </c>
      <c r="BE51">
        <f>CumulativeConfirmed!BE51-CumulativeRecovered!BE51-CumulativeDead!BE51</f>
        <v>106</v>
      </c>
      <c r="BF51">
        <f>CumulativeConfirmed!BF51-CumulativeRecovered!BF51-CumulativeDead!BF51</f>
        <v>139</v>
      </c>
      <c r="BG51">
        <f>CumulativeConfirmed!BG51-CumulativeRecovered!BG51-CumulativeDead!BG51</f>
        <v>189</v>
      </c>
      <c r="BH51">
        <f>CumulativeConfirmed!BH51-CumulativeRecovered!BH51-CumulativeDead!BH51</f>
        <v>243</v>
      </c>
      <c r="BI51">
        <f>CumulativeConfirmed!BI51-CumulativeRecovered!BI51-CumulativeDead!BI51</f>
        <v>0</v>
      </c>
      <c r="BJ51">
        <f>CumulativeConfirmed!BJ51-CumulativeRecovered!BJ51-CumulativeDead!BJ51</f>
        <v>0</v>
      </c>
      <c r="BK51">
        <f>CumulativeConfirmed!BK51-CumulativeRecovered!BK51-CumulativeDead!BK51</f>
        <v>0</v>
      </c>
      <c r="BL51">
        <f>CumulativeConfirmed!BL51-CumulativeRecovered!BL51-CumulativeDead!BL51</f>
        <v>0</v>
      </c>
      <c r="BM51">
        <f>CumulativeConfirmed!BM51-CumulativeRecovered!BM51-CumulativeDead!BM51</f>
        <v>0</v>
      </c>
      <c r="BN51">
        <f>CumulativeConfirmed!BN51-CumulativeRecovered!BN51-CumulativeDead!BN51</f>
        <v>0</v>
      </c>
      <c r="BO51">
        <f>CumulativeConfirmed!BO51-CumulativeRecovered!BO51-CumulativeDead!BO51</f>
        <v>0</v>
      </c>
      <c r="BP51">
        <f>CumulativeConfirmed!BP51-CumulativeRecovered!BP51-CumulativeDead!BP51</f>
        <v>0</v>
      </c>
      <c r="BQ51">
        <f>CumulativeConfirmed!BQ51-CumulativeRecovered!BQ51-CumulativeDead!BQ51</f>
        <v>0</v>
      </c>
      <c r="BR51">
        <f>CumulativeConfirmed!BR51-CumulativeRecovered!BR51-CumulativeDead!BR51</f>
        <v>0</v>
      </c>
      <c r="BS51">
        <f>CumulativeConfirmed!BS51-CumulativeRecovered!BS51-CumulativeDead!BS51</f>
        <v>0</v>
      </c>
      <c r="BT51">
        <f>CumulativeConfirmed!BT51-CumulativeRecovered!BT51-CumulativeDead!BT51</f>
        <v>0</v>
      </c>
    </row>
    <row r="52" spans="1:72" ht="15" thickBot="1" x14ac:dyDescent="0.35">
      <c r="A52" s="3" t="s">
        <v>124</v>
      </c>
      <c r="B52">
        <f>CumulativeConfirmed!B52-CumulativeRecovered!B52-CumulativeDead!B52</f>
        <v>0</v>
      </c>
      <c r="C52">
        <f>CumulativeConfirmed!C52-CumulativeRecovered!C52-CumulativeDead!C52</f>
        <v>0</v>
      </c>
      <c r="D52">
        <f>CumulativeConfirmed!D52-CumulativeRecovered!D52-CumulativeDead!D52</f>
        <v>0</v>
      </c>
      <c r="E52">
        <f>CumulativeConfirmed!E52-CumulativeRecovered!E52-CumulativeDead!E52</f>
        <v>0</v>
      </c>
      <c r="F52">
        <f>CumulativeConfirmed!F52-CumulativeRecovered!F52-CumulativeDead!F52</f>
        <v>0</v>
      </c>
      <c r="G52">
        <f>CumulativeConfirmed!G52-CumulativeRecovered!G52-CumulativeDead!G52</f>
        <v>0</v>
      </c>
      <c r="H52">
        <f>CumulativeConfirmed!H52-CumulativeRecovered!H52-CumulativeDead!H52</f>
        <v>0</v>
      </c>
      <c r="I52">
        <f>CumulativeConfirmed!I52-CumulativeRecovered!I52-CumulativeDead!I52</f>
        <v>0</v>
      </c>
      <c r="J52">
        <f>CumulativeConfirmed!J52-CumulativeRecovered!J52-CumulativeDead!J52</f>
        <v>0</v>
      </c>
      <c r="K52">
        <f>CumulativeConfirmed!K52-CumulativeRecovered!K52-CumulativeDead!K52</f>
        <v>0</v>
      </c>
      <c r="L52">
        <f>CumulativeConfirmed!L52-CumulativeRecovered!L52-CumulativeDead!L52</f>
        <v>0</v>
      </c>
      <c r="M52">
        <f>CumulativeConfirmed!M52-CumulativeRecovered!M52-CumulativeDead!M52</f>
        <v>0</v>
      </c>
      <c r="N52">
        <f>CumulativeConfirmed!N52-CumulativeRecovered!N52-CumulativeDead!N52</f>
        <v>0</v>
      </c>
      <c r="O52">
        <f>CumulativeConfirmed!O52-CumulativeRecovered!O52-CumulativeDead!O52</f>
        <v>0</v>
      </c>
      <c r="P52">
        <f>CumulativeConfirmed!P52-CumulativeRecovered!P52-CumulativeDead!P52</f>
        <v>0</v>
      </c>
      <c r="Q52">
        <f>CumulativeConfirmed!Q52-CumulativeRecovered!Q52-CumulativeDead!Q52</f>
        <v>0</v>
      </c>
      <c r="R52">
        <f>CumulativeConfirmed!R52-CumulativeRecovered!R52-CumulativeDead!R52</f>
        <v>0</v>
      </c>
      <c r="S52">
        <f>CumulativeConfirmed!S52-CumulativeRecovered!S52-CumulativeDead!S52</f>
        <v>0</v>
      </c>
      <c r="T52">
        <f>CumulativeConfirmed!T52-CumulativeRecovered!T52-CumulativeDead!T52</f>
        <v>0</v>
      </c>
      <c r="U52">
        <f>CumulativeConfirmed!U52-CumulativeRecovered!U52-CumulativeDead!U52</f>
        <v>0</v>
      </c>
      <c r="V52">
        <f>CumulativeConfirmed!V52-CumulativeRecovered!V52-CumulativeDead!V52</f>
        <v>0</v>
      </c>
      <c r="W52">
        <f>CumulativeConfirmed!W52-CumulativeRecovered!W52-CumulativeDead!W52</f>
        <v>0</v>
      </c>
      <c r="X52">
        <f>CumulativeConfirmed!X52-CumulativeRecovered!X52-CumulativeDead!X52</f>
        <v>0</v>
      </c>
      <c r="Y52">
        <f>CumulativeConfirmed!Y52-CumulativeRecovered!Y52-CumulativeDead!Y52</f>
        <v>0</v>
      </c>
      <c r="Z52">
        <f>CumulativeConfirmed!Z52-CumulativeRecovered!Z52-CumulativeDead!Z52</f>
        <v>0</v>
      </c>
      <c r="AA52">
        <f>CumulativeConfirmed!AA52-CumulativeRecovered!AA52-CumulativeDead!AA52</f>
        <v>0</v>
      </c>
      <c r="AB52">
        <f>CumulativeConfirmed!AB52-CumulativeRecovered!AB52-CumulativeDead!AB52</f>
        <v>0</v>
      </c>
      <c r="AC52">
        <f>CumulativeConfirmed!AC52-CumulativeRecovered!AC52-CumulativeDead!AC52</f>
        <v>0</v>
      </c>
      <c r="AD52">
        <f>CumulativeConfirmed!AD52-CumulativeRecovered!AD52-CumulativeDead!AD52</f>
        <v>0</v>
      </c>
      <c r="AE52">
        <f>CumulativeConfirmed!AE52-CumulativeRecovered!AE52-CumulativeDead!AE52</f>
        <v>0</v>
      </c>
      <c r="AF52">
        <f>CumulativeConfirmed!AF52-CumulativeRecovered!AF52-CumulativeDead!AF52</f>
        <v>0</v>
      </c>
      <c r="AG52">
        <f>CumulativeConfirmed!AG52-CumulativeRecovered!AG52-CumulativeDead!AG52</f>
        <v>0</v>
      </c>
      <c r="AH52">
        <f>CumulativeConfirmed!AH52-CumulativeRecovered!AH52-CumulativeDead!AH52</f>
        <v>0</v>
      </c>
      <c r="AI52">
        <f>CumulativeConfirmed!AI52-CumulativeRecovered!AI52-CumulativeDead!AI52</f>
        <v>0</v>
      </c>
      <c r="AJ52">
        <f>CumulativeConfirmed!AJ52-CumulativeRecovered!AJ52-CumulativeDead!AJ52</f>
        <v>0</v>
      </c>
      <c r="AK52">
        <f>CumulativeConfirmed!AK52-CumulativeRecovered!AK52-CumulativeDead!AK52</f>
        <v>0</v>
      </c>
      <c r="AL52">
        <f>CumulativeConfirmed!AL52-CumulativeRecovered!AL52-CumulativeDead!AL52</f>
        <v>0</v>
      </c>
      <c r="AM52">
        <f>CumulativeConfirmed!AM52-CumulativeRecovered!AM52-CumulativeDead!AM52</f>
        <v>0</v>
      </c>
      <c r="AN52">
        <f>CumulativeConfirmed!AN52-CumulativeRecovered!AN52-CumulativeDead!AN52</f>
        <v>0</v>
      </c>
      <c r="AO52">
        <f>CumulativeConfirmed!AO52-CumulativeRecovered!AO52-CumulativeDead!AO52</f>
        <v>0</v>
      </c>
      <c r="AP52">
        <f>CumulativeConfirmed!AP52-CumulativeRecovered!AP52-CumulativeDead!AP52</f>
        <v>0</v>
      </c>
      <c r="AQ52">
        <f>CumulativeConfirmed!AQ52-CumulativeRecovered!AQ52-CumulativeDead!AQ52</f>
        <v>1</v>
      </c>
      <c r="AR52">
        <f>CumulativeConfirmed!AR52-CumulativeRecovered!AR52-CumulativeDead!AR52</f>
        <v>1</v>
      </c>
      <c r="AS52">
        <f>CumulativeConfirmed!AS52-CumulativeRecovered!AS52-CumulativeDead!AS52</f>
        <v>4</v>
      </c>
      <c r="AT52">
        <f>CumulativeConfirmed!AT52-CumulativeRecovered!AT52-CumulativeDead!AT52</f>
        <v>4</v>
      </c>
      <c r="AU52">
        <f>CumulativeConfirmed!AU52-CumulativeRecovered!AU52-CumulativeDead!AU52</f>
        <v>4</v>
      </c>
      <c r="AV52">
        <f>CumulativeConfirmed!AV52-CumulativeRecovered!AV52-CumulativeDead!AV52</f>
        <v>8</v>
      </c>
      <c r="AW52">
        <f>CumulativeConfirmed!AW52-CumulativeRecovered!AW52-CumulativeDead!AW52</f>
        <v>8</v>
      </c>
      <c r="AX52">
        <f>CumulativeConfirmed!AX52-CumulativeRecovered!AX52-CumulativeDead!AX52</f>
        <v>13</v>
      </c>
      <c r="AY52">
        <f>CumulativeConfirmed!AY52-CumulativeRecovered!AY52-CumulativeDead!AY52</f>
        <v>23</v>
      </c>
      <c r="AZ52">
        <f>CumulativeConfirmed!AZ52-CumulativeRecovered!AZ52-CumulativeDead!AZ52</f>
        <v>23</v>
      </c>
      <c r="BA52">
        <f>CumulativeConfirmed!BA52-CumulativeRecovered!BA52-CumulativeDead!BA52</f>
        <v>43</v>
      </c>
      <c r="BB52">
        <f>CumulativeConfirmed!BB52-CumulativeRecovered!BB52-CumulativeDead!BB52</f>
        <v>61</v>
      </c>
      <c r="BC52">
        <f>CumulativeConfirmed!BC52-CumulativeRecovered!BC52-CumulativeDead!BC52</f>
        <v>74</v>
      </c>
      <c r="BD52">
        <f>CumulativeConfirmed!BD52-CumulativeRecovered!BD52-CumulativeDead!BD52</f>
        <v>155</v>
      </c>
      <c r="BE52">
        <f>CumulativeConfirmed!BE52-CumulativeRecovered!BE52-CumulativeDead!BE52</f>
        <v>201</v>
      </c>
      <c r="BF52">
        <f>CumulativeConfirmed!BF52-CumulativeRecovered!BF52-CumulativeDead!BF52</f>
        <v>238</v>
      </c>
      <c r="BG52">
        <f>CumulativeConfirmed!BG52-CumulativeRecovered!BG52-CumulativeDead!BG52</f>
        <v>238</v>
      </c>
      <c r="BH52">
        <f>CumulativeConfirmed!BH52-CumulativeRecovered!BH52-CumulativeDead!BH52</f>
        <v>428</v>
      </c>
      <c r="BI52">
        <f>CumulativeConfirmed!BI52-CumulativeRecovered!BI52-CumulativeDead!BI52</f>
        <v>0</v>
      </c>
      <c r="BJ52">
        <f>CumulativeConfirmed!BJ52-CumulativeRecovered!BJ52-CumulativeDead!BJ52</f>
        <v>0</v>
      </c>
      <c r="BK52">
        <f>CumulativeConfirmed!BK52-CumulativeRecovered!BK52-CumulativeDead!BK52</f>
        <v>0</v>
      </c>
      <c r="BL52">
        <f>CumulativeConfirmed!BL52-CumulativeRecovered!BL52-CumulativeDead!BL52</f>
        <v>0</v>
      </c>
      <c r="BM52">
        <f>CumulativeConfirmed!BM52-CumulativeRecovered!BM52-CumulativeDead!BM52</f>
        <v>0</v>
      </c>
      <c r="BN52">
        <f>CumulativeConfirmed!BN52-CumulativeRecovered!BN52-CumulativeDead!BN52</f>
        <v>0</v>
      </c>
      <c r="BO52">
        <f>CumulativeConfirmed!BO52-CumulativeRecovered!BO52-CumulativeDead!BO52</f>
        <v>0</v>
      </c>
      <c r="BP52">
        <f>CumulativeConfirmed!BP52-CumulativeRecovered!BP52-CumulativeDead!BP52</f>
        <v>0</v>
      </c>
      <c r="BQ52">
        <f>CumulativeConfirmed!BQ52-CumulativeRecovered!BQ52-CumulativeDead!BQ52</f>
        <v>0</v>
      </c>
      <c r="BR52">
        <f>CumulativeConfirmed!BR52-CumulativeRecovered!BR52-CumulativeDead!BR52</f>
        <v>0</v>
      </c>
      <c r="BS52">
        <f>CumulativeConfirmed!BS52-CumulativeRecovered!BS52-CumulativeDead!BS52</f>
        <v>0</v>
      </c>
      <c r="BT52">
        <f>CumulativeConfirmed!BT52-CumulativeRecovered!BT52-CumulativeDead!BT52</f>
        <v>0</v>
      </c>
    </row>
    <row r="53" spans="1:72" ht="15" thickBot="1" x14ac:dyDescent="0.35">
      <c r="A53" s="4" t="s">
        <v>233</v>
      </c>
      <c r="B53">
        <f>CumulativeConfirmed!B53-CumulativeRecovered!B53-CumulativeDead!B53</f>
        <v>0</v>
      </c>
      <c r="C53">
        <f>CumulativeConfirmed!C53-CumulativeRecovered!C53-CumulativeDead!C53</f>
        <v>0</v>
      </c>
      <c r="D53">
        <f>CumulativeConfirmed!D53-CumulativeRecovered!D53-CumulativeDead!D53</f>
        <v>0</v>
      </c>
      <c r="E53">
        <f>CumulativeConfirmed!E53-CumulativeRecovered!E53-CumulativeDead!E53</f>
        <v>0</v>
      </c>
      <c r="F53">
        <f>CumulativeConfirmed!F53-CumulativeRecovered!F53-CumulativeDead!F53</f>
        <v>0</v>
      </c>
      <c r="G53">
        <f>CumulativeConfirmed!G53-CumulativeRecovered!G53-CumulativeDead!G53</f>
        <v>0</v>
      </c>
      <c r="H53">
        <f>CumulativeConfirmed!H53-CumulativeRecovered!H53-CumulativeDead!H53</f>
        <v>0</v>
      </c>
      <c r="I53">
        <f>CumulativeConfirmed!I53-CumulativeRecovered!I53-CumulativeDead!I53</f>
        <v>0</v>
      </c>
      <c r="J53">
        <f>CumulativeConfirmed!J53-CumulativeRecovered!J53-CumulativeDead!J53</f>
        <v>0</v>
      </c>
      <c r="K53">
        <f>CumulativeConfirmed!K53-CumulativeRecovered!K53-CumulativeDead!K53</f>
        <v>0</v>
      </c>
      <c r="L53">
        <f>CumulativeConfirmed!L53-CumulativeRecovered!L53-CumulativeDead!L53</f>
        <v>0</v>
      </c>
      <c r="M53">
        <f>CumulativeConfirmed!M53-CumulativeRecovered!M53-CumulativeDead!M53</f>
        <v>0</v>
      </c>
      <c r="N53">
        <f>CumulativeConfirmed!N53-CumulativeRecovered!N53-CumulativeDead!N53</f>
        <v>0</v>
      </c>
      <c r="O53">
        <f>CumulativeConfirmed!O53-CumulativeRecovered!O53-CumulativeDead!O53</f>
        <v>0</v>
      </c>
      <c r="P53">
        <f>CumulativeConfirmed!P53-CumulativeRecovered!P53-CumulativeDead!P53</f>
        <v>0</v>
      </c>
      <c r="Q53">
        <f>CumulativeConfirmed!Q53-CumulativeRecovered!Q53-CumulativeDead!Q53</f>
        <v>0</v>
      </c>
      <c r="R53">
        <f>CumulativeConfirmed!R53-CumulativeRecovered!R53-CumulativeDead!R53</f>
        <v>0</v>
      </c>
      <c r="S53">
        <f>CumulativeConfirmed!S53-CumulativeRecovered!S53-CumulativeDead!S53</f>
        <v>0</v>
      </c>
      <c r="T53">
        <f>CumulativeConfirmed!T53-CumulativeRecovered!T53-CumulativeDead!T53</f>
        <v>0</v>
      </c>
      <c r="U53">
        <f>CumulativeConfirmed!U53-CumulativeRecovered!U53-CumulativeDead!U53</f>
        <v>0</v>
      </c>
      <c r="V53">
        <f>CumulativeConfirmed!V53-CumulativeRecovered!V53-CumulativeDead!V53</f>
        <v>0</v>
      </c>
      <c r="W53">
        <f>CumulativeConfirmed!W53-CumulativeRecovered!W53-CumulativeDead!W53</f>
        <v>0</v>
      </c>
      <c r="X53">
        <f>CumulativeConfirmed!X53-CumulativeRecovered!X53-CumulativeDead!X53</f>
        <v>0</v>
      </c>
      <c r="Y53">
        <f>CumulativeConfirmed!Y53-CumulativeRecovered!Y53-CumulativeDead!Y53</f>
        <v>0</v>
      </c>
      <c r="Z53">
        <f>CumulativeConfirmed!Z53-CumulativeRecovered!Z53-CumulativeDead!Z53</f>
        <v>0</v>
      </c>
      <c r="AA53">
        <f>CumulativeConfirmed!AA53-CumulativeRecovered!AA53-CumulativeDead!AA53</f>
        <v>0</v>
      </c>
      <c r="AB53">
        <f>CumulativeConfirmed!AB53-CumulativeRecovered!AB53-CumulativeDead!AB53</f>
        <v>0</v>
      </c>
      <c r="AC53">
        <f>CumulativeConfirmed!AC53-CumulativeRecovered!AC53-CumulativeDead!AC53</f>
        <v>0</v>
      </c>
      <c r="AD53">
        <f>CumulativeConfirmed!AD53-CumulativeRecovered!AD53-CumulativeDead!AD53</f>
        <v>0</v>
      </c>
      <c r="AE53">
        <f>CumulativeConfirmed!AE53-CumulativeRecovered!AE53-CumulativeDead!AE53</f>
        <v>0</v>
      </c>
      <c r="AF53">
        <f>CumulativeConfirmed!AF53-CumulativeRecovered!AF53-CumulativeDead!AF53</f>
        <v>0</v>
      </c>
      <c r="AG53">
        <f>CumulativeConfirmed!AG53-CumulativeRecovered!AG53-CumulativeDead!AG53</f>
        <v>0</v>
      </c>
      <c r="AH53">
        <f>CumulativeConfirmed!AH53-CumulativeRecovered!AH53-CumulativeDead!AH53</f>
        <v>0</v>
      </c>
      <c r="AI53">
        <f>CumulativeConfirmed!AI53-CumulativeRecovered!AI53-CumulativeDead!AI53</f>
        <v>0</v>
      </c>
      <c r="AJ53">
        <f>CumulativeConfirmed!AJ53-CumulativeRecovered!AJ53-CumulativeDead!AJ53</f>
        <v>0</v>
      </c>
      <c r="AK53">
        <f>CumulativeConfirmed!AK53-CumulativeRecovered!AK53-CumulativeDead!AK53</f>
        <v>0</v>
      </c>
      <c r="AL53">
        <f>CumulativeConfirmed!AL53-CumulativeRecovered!AL53-CumulativeDead!AL53</f>
        <v>0</v>
      </c>
      <c r="AM53">
        <f>CumulativeConfirmed!AM53-CumulativeRecovered!AM53-CumulativeDead!AM53</f>
        <v>0</v>
      </c>
      <c r="AN53">
        <f>CumulativeConfirmed!AN53-CumulativeRecovered!AN53-CumulativeDead!AN53</f>
        <v>0</v>
      </c>
      <c r="AO53">
        <f>CumulativeConfirmed!AO53-CumulativeRecovered!AO53-CumulativeDead!AO53</f>
        <v>0</v>
      </c>
      <c r="AP53">
        <f>CumulativeConfirmed!AP53-CumulativeRecovered!AP53-CumulativeDead!AP53</f>
        <v>0</v>
      </c>
      <c r="AQ53">
        <f>CumulativeConfirmed!AQ53-CumulativeRecovered!AQ53-CumulativeDead!AQ53</f>
        <v>0</v>
      </c>
      <c r="AR53">
        <f>CumulativeConfirmed!AR53-CumulativeRecovered!AR53-CumulativeDead!AR53</f>
        <v>0</v>
      </c>
      <c r="AS53">
        <f>CumulativeConfirmed!AS53-CumulativeRecovered!AS53-CumulativeDead!AS53</f>
        <v>0</v>
      </c>
      <c r="AT53">
        <f>CumulativeConfirmed!AT53-CumulativeRecovered!AT53-CumulativeDead!AT53</f>
        <v>0</v>
      </c>
      <c r="AU53">
        <f>CumulativeConfirmed!AU53-CumulativeRecovered!AU53-CumulativeDead!AU53</f>
        <v>0</v>
      </c>
      <c r="AV53">
        <f>CumulativeConfirmed!AV53-CumulativeRecovered!AV53-CumulativeDead!AV53</f>
        <v>0</v>
      </c>
      <c r="AW53">
        <f>CumulativeConfirmed!AW53-CumulativeRecovered!AW53-CumulativeDead!AW53</f>
        <v>1</v>
      </c>
      <c r="AX53">
        <f>CumulativeConfirmed!AX53-CumulativeRecovered!AX53-CumulativeDead!AX53</f>
        <v>1</v>
      </c>
      <c r="AY53">
        <f>CumulativeConfirmed!AY53-CumulativeRecovered!AY53-CumulativeDead!AY53</f>
        <v>11</v>
      </c>
      <c r="AZ53">
        <f>CumulativeConfirmed!AZ53-CumulativeRecovered!AZ53-CumulativeDead!AZ53</f>
        <v>11</v>
      </c>
      <c r="BA53">
        <f>CumulativeConfirmed!BA53-CumulativeRecovered!BA53-CumulativeDead!BA53</f>
        <v>37</v>
      </c>
      <c r="BB53">
        <f>CumulativeConfirmed!BB53-CumulativeRecovered!BB53-CumulativeDead!BB53</f>
        <v>40</v>
      </c>
      <c r="BC53">
        <f>CumulativeConfirmed!BC53-CumulativeRecovered!BC53-CumulativeDead!BC53</f>
        <v>50</v>
      </c>
      <c r="BD53">
        <f>CumulativeConfirmed!BD53-CumulativeRecovered!BD53-CumulativeDead!BD53</f>
        <v>54</v>
      </c>
      <c r="BE53">
        <f>CumulativeConfirmed!BE53-CumulativeRecovered!BE53-CumulativeDead!BE53</f>
        <v>56</v>
      </c>
      <c r="BF53">
        <f>CumulativeConfirmed!BF53-CumulativeRecovered!BF53-CumulativeDead!BF53</f>
        <v>68</v>
      </c>
      <c r="BG53">
        <f>CumulativeConfirmed!BG53-CumulativeRecovered!BG53-CumulativeDead!BG53</f>
        <v>75</v>
      </c>
      <c r="BH53">
        <f>CumulativeConfirmed!BH53-CumulativeRecovered!BH53-CumulativeDead!BH53</f>
        <v>77</v>
      </c>
      <c r="BI53">
        <f>CumulativeConfirmed!BI53-CumulativeRecovered!BI53-CumulativeDead!BI53</f>
        <v>0</v>
      </c>
      <c r="BJ53">
        <f>CumulativeConfirmed!BJ53-CumulativeRecovered!BJ53-CumulativeDead!BJ53</f>
        <v>0</v>
      </c>
      <c r="BK53">
        <f>CumulativeConfirmed!BK53-CumulativeRecovered!BK53-CumulativeDead!BK53</f>
        <v>0</v>
      </c>
      <c r="BL53">
        <f>CumulativeConfirmed!BL53-CumulativeRecovered!BL53-CumulativeDead!BL53</f>
        <v>0</v>
      </c>
      <c r="BM53">
        <f>CumulativeConfirmed!BM53-CumulativeRecovered!BM53-CumulativeDead!BM53</f>
        <v>0</v>
      </c>
      <c r="BN53">
        <f>CumulativeConfirmed!BN53-CumulativeRecovered!BN53-CumulativeDead!BN53</f>
        <v>0</v>
      </c>
      <c r="BO53">
        <f>CumulativeConfirmed!BO53-CumulativeRecovered!BO53-CumulativeDead!BO53</f>
        <v>0</v>
      </c>
      <c r="BP53">
        <f>CumulativeConfirmed!BP53-CumulativeRecovered!BP53-CumulativeDead!BP53</f>
        <v>0</v>
      </c>
      <c r="BQ53">
        <f>CumulativeConfirmed!BQ53-CumulativeRecovered!BQ53-CumulativeDead!BQ53</f>
        <v>0</v>
      </c>
      <c r="BR53">
        <f>CumulativeConfirmed!BR53-CumulativeRecovered!BR53-CumulativeDead!BR53</f>
        <v>0</v>
      </c>
      <c r="BS53">
        <f>CumulativeConfirmed!BS53-CumulativeRecovered!BS53-CumulativeDead!BS53</f>
        <v>0</v>
      </c>
      <c r="BT53">
        <f>CumulativeConfirmed!BT53-CumulativeRecovered!BT53-CumulativeDead!BT53</f>
        <v>0</v>
      </c>
    </row>
    <row r="54" spans="1:72" ht="15" thickBot="1" x14ac:dyDescent="0.35">
      <c r="A54" s="3" t="s">
        <v>161</v>
      </c>
      <c r="B54">
        <f>CumulativeConfirmed!B54-CumulativeRecovered!B54-CumulativeDead!B54</f>
        <v>0</v>
      </c>
      <c r="C54">
        <f>CumulativeConfirmed!C54-CumulativeRecovered!C54-CumulativeDead!C54</f>
        <v>0</v>
      </c>
      <c r="D54">
        <f>CumulativeConfirmed!D54-CumulativeRecovered!D54-CumulativeDead!D54</f>
        <v>0</v>
      </c>
      <c r="E54">
        <f>CumulativeConfirmed!E54-CumulativeRecovered!E54-CumulativeDead!E54</f>
        <v>0</v>
      </c>
      <c r="F54">
        <f>CumulativeConfirmed!F54-CumulativeRecovered!F54-CumulativeDead!F54</f>
        <v>0</v>
      </c>
      <c r="G54">
        <f>CumulativeConfirmed!G54-CumulativeRecovered!G54-CumulativeDead!G54</f>
        <v>0</v>
      </c>
      <c r="H54">
        <f>CumulativeConfirmed!H54-CumulativeRecovered!H54-CumulativeDead!H54</f>
        <v>0</v>
      </c>
      <c r="I54">
        <f>CumulativeConfirmed!I54-CumulativeRecovered!I54-CumulativeDead!I54</f>
        <v>0</v>
      </c>
      <c r="J54">
        <f>CumulativeConfirmed!J54-CumulativeRecovered!J54-CumulativeDead!J54</f>
        <v>0</v>
      </c>
      <c r="K54">
        <f>CumulativeConfirmed!K54-CumulativeRecovered!K54-CumulativeDead!K54</f>
        <v>0</v>
      </c>
      <c r="L54">
        <f>CumulativeConfirmed!L54-CumulativeRecovered!L54-CumulativeDead!L54</f>
        <v>0</v>
      </c>
      <c r="M54">
        <f>CumulativeConfirmed!M54-CumulativeRecovered!M54-CumulativeDead!M54</f>
        <v>0</v>
      </c>
      <c r="N54">
        <f>CumulativeConfirmed!N54-CumulativeRecovered!N54-CumulativeDead!N54</f>
        <v>0</v>
      </c>
      <c r="O54">
        <f>CumulativeConfirmed!O54-CumulativeRecovered!O54-CumulativeDead!O54</f>
        <v>0</v>
      </c>
      <c r="P54">
        <f>CumulativeConfirmed!P54-CumulativeRecovered!P54-CumulativeDead!P54</f>
        <v>0</v>
      </c>
      <c r="Q54">
        <f>CumulativeConfirmed!Q54-CumulativeRecovered!Q54-CumulativeDead!Q54</f>
        <v>0</v>
      </c>
      <c r="R54">
        <f>CumulativeConfirmed!R54-CumulativeRecovered!R54-CumulativeDead!R54</f>
        <v>0</v>
      </c>
      <c r="S54">
        <f>CumulativeConfirmed!S54-CumulativeRecovered!S54-CumulativeDead!S54</f>
        <v>0</v>
      </c>
      <c r="T54">
        <f>CumulativeConfirmed!T54-CumulativeRecovered!T54-CumulativeDead!T54</f>
        <v>0</v>
      </c>
      <c r="U54">
        <f>CumulativeConfirmed!U54-CumulativeRecovered!U54-CumulativeDead!U54</f>
        <v>0</v>
      </c>
      <c r="V54">
        <f>CumulativeConfirmed!V54-CumulativeRecovered!V54-CumulativeDead!V54</f>
        <v>0</v>
      </c>
      <c r="W54">
        <f>CumulativeConfirmed!W54-CumulativeRecovered!W54-CumulativeDead!W54</f>
        <v>0</v>
      </c>
      <c r="X54">
        <f>CumulativeConfirmed!X54-CumulativeRecovered!X54-CumulativeDead!X54</f>
        <v>0</v>
      </c>
      <c r="Y54">
        <f>CumulativeConfirmed!Y54-CumulativeRecovered!Y54-CumulativeDead!Y54</f>
        <v>0</v>
      </c>
      <c r="Z54">
        <f>CumulativeConfirmed!Z54-CumulativeRecovered!Z54-CumulativeDead!Z54</f>
        <v>0</v>
      </c>
      <c r="AA54">
        <f>CumulativeConfirmed!AA54-CumulativeRecovered!AA54-CumulativeDead!AA54</f>
        <v>0</v>
      </c>
      <c r="AB54">
        <f>CumulativeConfirmed!AB54-CumulativeRecovered!AB54-CumulativeDead!AB54</f>
        <v>0</v>
      </c>
      <c r="AC54">
        <f>CumulativeConfirmed!AC54-CumulativeRecovered!AC54-CumulativeDead!AC54</f>
        <v>0</v>
      </c>
      <c r="AD54">
        <f>CumulativeConfirmed!AD54-CumulativeRecovered!AD54-CumulativeDead!AD54</f>
        <v>0</v>
      </c>
      <c r="AE54">
        <f>CumulativeConfirmed!AE54-CumulativeRecovered!AE54-CumulativeDead!AE54</f>
        <v>0</v>
      </c>
      <c r="AF54">
        <f>CumulativeConfirmed!AF54-CumulativeRecovered!AF54-CumulativeDead!AF54</f>
        <v>0</v>
      </c>
      <c r="AG54">
        <f>CumulativeConfirmed!AG54-CumulativeRecovered!AG54-CumulativeDead!AG54</f>
        <v>0</v>
      </c>
      <c r="AH54">
        <f>CumulativeConfirmed!AH54-CumulativeRecovered!AH54-CumulativeDead!AH54</f>
        <v>0</v>
      </c>
      <c r="AI54">
        <f>CumulativeConfirmed!AI54-CumulativeRecovered!AI54-CumulativeDead!AI54</f>
        <v>0</v>
      </c>
      <c r="AJ54">
        <f>CumulativeConfirmed!AJ54-CumulativeRecovered!AJ54-CumulativeDead!AJ54</f>
        <v>0</v>
      </c>
      <c r="AK54">
        <f>CumulativeConfirmed!AK54-CumulativeRecovered!AK54-CumulativeDead!AK54</f>
        <v>0</v>
      </c>
      <c r="AL54">
        <f>CumulativeConfirmed!AL54-CumulativeRecovered!AL54-CumulativeDead!AL54</f>
        <v>0</v>
      </c>
      <c r="AM54">
        <f>CumulativeConfirmed!AM54-CumulativeRecovered!AM54-CumulativeDead!AM54</f>
        <v>0</v>
      </c>
      <c r="AN54">
        <f>CumulativeConfirmed!AN54-CumulativeRecovered!AN54-CumulativeDead!AN54</f>
        <v>0</v>
      </c>
      <c r="AO54">
        <f>CumulativeConfirmed!AO54-CumulativeRecovered!AO54-CumulativeDead!AO54</f>
        <v>0</v>
      </c>
      <c r="AP54">
        <f>CumulativeConfirmed!AP54-CumulativeRecovered!AP54-CumulativeDead!AP54</f>
        <v>0</v>
      </c>
      <c r="AQ54">
        <f>CumulativeConfirmed!AQ54-CumulativeRecovered!AQ54-CumulativeDead!AQ54</f>
        <v>0</v>
      </c>
      <c r="AR54">
        <f>CumulativeConfirmed!AR54-CumulativeRecovered!AR54-CumulativeDead!AR54</f>
        <v>0</v>
      </c>
      <c r="AS54">
        <f>CumulativeConfirmed!AS54-CumulativeRecovered!AS54-CumulativeDead!AS54</f>
        <v>0</v>
      </c>
      <c r="AT54">
        <f>CumulativeConfirmed!AT54-CumulativeRecovered!AT54-CumulativeDead!AT54</f>
        <v>1</v>
      </c>
      <c r="AU54">
        <f>CumulativeConfirmed!AU54-CumulativeRecovered!AU54-CumulativeDead!AU54</f>
        <v>1</v>
      </c>
      <c r="AV54">
        <f>CumulativeConfirmed!AV54-CumulativeRecovered!AV54-CumulativeDead!AV54</f>
        <v>1</v>
      </c>
      <c r="AW54">
        <f>CumulativeConfirmed!AW54-CumulativeRecovered!AW54-CumulativeDead!AW54</f>
        <v>1</v>
      </c>
      <c r="AX54">
        <f>CumulativeConfirmed!AX54-CumulativeRecovered!AX54-CumulativeDead!AX54</f>
        <v>5</v>
      </c>
      <c r="AY54">
        <f>CumulativeConfirmed!AY54-CumulativeRecovered!AY54-CumulativeDead!AY54</f>
        <v>12</v>
      </c>
      <c r="AZ54">
        <f>CumulativeConfirmed!AZ54-CumulativeRecovered!AZ54-CumulativeDead!AZ54</f>
        <v>19</v>
      </c>
      <c r="BA54">
        <f>CumulativeConfirmed!BA54-CumulativeRecovered!BA54-CumulativeDead!BA54</f>
        <v>35</v>
      </c>
      <c r="BB54">
        <f>CumulativeConfirmed!BB54-CumulativeRecovered!BB54-CumulativeDead!BB54</f>
        <v>46</v>
      </c>
      <c r="BC54">
        <f>CumulativeConfirmed!BC54-CumulativeRecovered!BC54-CumulativeDead!BC54</f>
        <v>48</v>
      </c>
      <c r="BD54">
        <f>CumulativeConfirmed!BD54-CumulativeRecovered!BD54-CumulativeDead!BD54</f>
        <v>54</v>
      </c>
      <c r="BE54">
        <f>CumulativeConfirmed!BE54-CumulativeRecovered!BE54-CumulativeDead!BE54</f>
        <v>64</v>
      </c>
      <c r="BF54">
        <f>CumulativeConfirmed!BF54-CumulativeRecovered!BF54-CumulativeDead!BF54</f>
        <v>82</v>
      </c>
      <c r="BG54">
        <f>CumulativeConfirmed!BG54-CumulativeRecovered!BG54-CumulativeDead!BG54</f>
        <v>102</v>
      </c>
      <c r="BH54">
        <f>CumulativeConfirmed!BH54-CumulativeRecovered!BH54-CumulativeDead!BH54</f>
        <v>133</v>
      </c>
      <c r="BI54">
        <f>CumulativeConfirmed!BI54-CumulativeRecovered!BI54-CumulativeDead!BI54</f>
        <v>0</v>
      </c>
      <c r="BJ54">
        <f>CumulativeConfirmed!BJ54-CumulativeRecovered!BJ54-CumulativeDead!BJ54</f>
        <v>0</v>
      </c>
      <c r="BK54">
        <f>CumulativeConfirmed!BK54-CumulativeRecovered!BK54-CumulativeDead!BK54</f>
        <v>0</v>
      </c>
      <c r="BL54">
        <f>CumulativeConfirmed!BL54-CumulativeRecovered!BL54-CumulativeDead!BL54</f>
        <v>0</v>
      </c>
      <c r="BM54">
        <f>CumulativeConfirmed!BM54-CumulativeRecovered!BM54-CumulativeDead!BM54</f>
        <v>0</v>
      </c>
      <c r="BN54">
        <f>CumulativeConfirmed!BN54-CumulativeRecovered!BN54-CumulativeDead!BN54</f>
        <v>0</v>
      </c>
      <c r="BO54">
        <f>CumulativeConfirmed!BO54-CumulativeRecovered!BO54-CumulativeDead!BO54</f>
        <v>0</v>
      </c>
      <c r="BP54">
        <f>CumulativeConfirmed!BP54-CumulativeRecovered!BP54-CumulativeDead!BP54</f>
        <v>0</v>
      </c>
      <c r="BQ54">
        <f>CumulativeConfirmed!BQ54-CumulativeRecovered!BQ54-CumulativeDead!BQ54</f>
        <v>0</v>
      </c>
      <c r="BR54">
        <f>CumulativeConfirmed!BR54-CumulativeRecovered!BR54-CumulativeDead!BR54</f>
        <v>0</v>
      </c>
      <c r="BS54">
        <f>CumulativeConfirmed!BS54-CumulativeRecovered!BS54-CumulativeDead!BS54</f>
        <v>0</v>
      </c>
      <c r="BT54">
        <f>CumulativeConfirmed!BT54-CumulativeRecovered!BT54-CumulativeDead!BT54</f>
        <v>0</v>
      </c>
    </row>
    <row r="55" spans="1:72" ht="15" thickBot="1" x14ac:dyDescent="0.35">
      <c r="A55" s="3" t="s">
        <v>99</v>
      </c>
      <c r="B55">
        <f>CumulativeConfirmed!B55-CumulativeRecovered!B55-CumulativeDead!B55</f>
        <v>0</v>
      </c>
      <c r="C55">
        <f>CumulativeConfirmed!C55-CumulativeRecovered!C55-CumulativeDead!C55</f>
        <v>0</v>
      </c>
      <c r="D55">
        <f>CumulativeConfirmed!D55-CumulativeRecovered!D55-CumulativeDead!D55</f>
        <v>0</v>
      </c>
      <c r="E55">
        <f>CumulativeConfirmed!E55-CumulativeRecovered!E55-CumulativeDead!E55</f>
        <v>0</v>
      </c>
      <c r="F55">
        <f>CumulativeConfirmed!F55-CumulativeRecovered!F55-CumulativeDead!F55</f>
        <v>0</v>
      </c>
      <c r="G55">
        <f>CumulativeConfirmed!G55-CumulativeRecovered!G55-CumulativeDead!G55</f>
        <v>0</v>
      </c>
      <c r="H55">
        <f>CumulativeConfirmed!H55-CumulativeRecovered!H55-CumulativeDead!H55</f>
        <v>0</v>
      </c>
      <c r="I55">
        <f>CumulativeConfirmed!I55-CumulativeRecovered!I55-CumulativeDead!I55</f>
        <v>0</v>
      </c>
      <c r="J55">
        <f>CumulativeConfirmed!J55-CumulativeRecovered!J55-CumulativeDead!J55</f>
        <v>0</v>
      </c>
      <c r="K55">
        <f>CumulativeConfirmed!K55-CumulativeRecovered!K55-CumulativeDead!K55</f>
        <v>0</v>
      </c>
      <c r="L55">
        <f>CumulativeConfirmed!L55-CumulativeRecovered!L55-CumulativeDead!L55</f>
        <v>0</v>
      </c>
      <c r="M55">
        <f>CumulativeConfirmed!M55-CumulativeRecovered!M55-CumulativeDead!M55</f>
        <v>0</v>
      </c>
      <c r="N55">
        <f>CumulativeConfirmed!N55-CumulativeRecovered!N55-CumulativeDead!N55</f>
        <v>0</v>
      </c>
      <c r="O55">
        <f>CumulativeConfirmed!O55-CumulativeRecovered!O55-CumulativeDead!O55</f>
        <v>0</v>
      </c>
      <c r="P55">
        <f>CumulativeConfirmed!P55-CumulativeRecovered!P55-CumulativeDead!P55</f>
        <v>0</v>
      </c>
      <c r="Q55">
        <f>CumulativeConfirmed!Q55-CumulativeRecovered!Q55-CumulativeDead!Q55</f>
        <v>0</v>
      </c>
      <c r="R55">
        <f>CumulativeConfirmed!R55-CumulativeRecovered!R55-CumulativeDead!R55</f>
        <v>0</v>
      </c>
      <c r="S55">
        <f>CumulativeConfirmed!S55-CumulativeRecovered!S55-CumulativeDead!S55</f>
        <v>0</v>
      </c>
      <c r="T55">
        <f>CumulativeConfirmed!T55-CumulativeRecovered!T55-CumulativeDead!T55</f>
        <v>0</v>
      </c>
      <c r="U55">
        <f>CumulativeConfirmed!U55-CumulativeRecovered!U55-CumulativeDead!U55</f>
        <v>0</v>
      </c>
      <c r="V55">
        <f>CumulativeConfirmed!V55-CumulativeRecovered!V55-CumulativeDead!V55</f>
        <v>0</v>
      </c>
      <c r="W55">
        <f>CumulativeConfirmed!W55-CumulativeRecovered!W55-CumulativeDead!W55</f>
        <v>0</v>
      </c>
      <c r="X55">
        <f>CumulativeConfirmed!X55-CumulativeRecovered!X55-CumulativeDead!X55</f>
        <v>0</v>
      </c>
      <c r="Y55">
        <f>CumulativeConfirmed!Y55-CumulativeRecovered!Y55-CumulativeDead!Y55</f>
        <v>0</v>
      </c>
      <c r="Z55">
        <f>CumulativeConfirmed!Z55-CumulativeRecovered!Z55-CumulativeDead!Z55</f>
        <v>0</v>
      </c>
      <c r="AA55">
        <f>CumulativeConfirmed!AA55-CumulativeRecovered!AA55-CumulativeDead!AA55</f>
        <v>0</v>
      </c>
      <c r="AB55">
        <f>CumulativeConfirmed!AB55-CumulativeRecovered!AB55-CumulativeDead!AB55</f>
        <v>0</v>
      </c>
      <c r="AC55">
        <f>CumulativeConfirmed!AC55-CumulativeRecovered!AC55-CumulativeDead!AC55</f>
        <v>0</v>
      </c>
      <c r="AD55">
        <f>CumulativeConfirmed!AD55-CumulativeRecovered!AD55-CumulativeDead!AD55</f>
        <v>0</v>
      </c>
      <c r="AE55">
        <f>CumulativeConfirmed!AE55-CumulativeRecovered!AE55-CumulativeDead!AE55</f>
        <v>0</v>
      </c>
      <c r="AF55">
        <f>CumulativeConfirmed!AF55-CumulativeRecovered!AF55-CumulativeDead!AF55</f>
        <v>0</v>
      </c>
      <c r="AG55">
        <f>CumulativeConfirmed!AG55-CumulativeRecovered!AG55-CumulativeDead!AG55</f>
        <v>0</v>
      </c>
      <c r="AH55">
        <f>CumulativeConfirmed!AH55-CumulativeRecovered!AH55-CumulativeDead!AH55</f>
        <v>0</v>
      </c>
      <c r="AI55">
        <f>CumulativeConfirmed!AI55-CumulativeRecovered!AI55-CumulativeDead!AI55</f>
        <v>0</v>
      </c>
      <c r="AJ55">
        <f>CumulativeConfirmed!AJ55-CumulativeRecovered!AJ55-CumulativeDead!AJ55</f>
        <v>0</v>
      </c>
      <c r="AK55">
        <f>CumulativeConfirmed!AK55-CumulativeRecovered!AK55-CumulativeDead!AK55</f>
        <v>0</v>
      </c>
      <c r="AL55">
        <f>CumulativeConfirmed!AL55-CumulativeRecovered!AL55-CumulativeDead!AL55</f>
        <v>0</v>
      </c>
      <c r="AM55">
        <f>CumulativeConfirmed!AM55-CumulativeRecovered!AM55-CumulativeDead!AM55</f>
        <v>0</v>
      </c>
      <c r="AN55">
        <f>CumulativeConfirmed!AN55-CumulativeRecovered!AN55-CumulativeDead!AN55</f>
        <v>1</v>
      </c>
      <c r="AO55">
        <f>CumulativeConfirmed!AO55-CumulativeRecovered!AO55-CumulativeDead!AO55</f>
        <v>1</v>
      </c>
      <c r="AP55">
        <f>CumulativeConfirmed!AP55-CumulativeRecovered!AP55-CumulativeDead!AP55</f>
        <v>1</v>
      </c>
      <c r="AQ55">
        <f>CumulativeConfirmed!AQ55-CumulativeRecovered!AQ55-CumulativeDead!AQ55</f>
        <v>1</v>
      </c>
      <c r="AR55">
        <f>CumulativeConfirmed!AR55-CumulativeRecovered!AR55-CumulativeDead!AR55</f>
        <v>1</v>
      </c>
      <c r="AS55">
        <f>CumulativeConfirmed!AS55-CumulativeRecovered!AS55-CumulativeDead!AS55</f>
        <v>1</v>
      </c>
      <c r="AT55">
        <f>CumulativeConfirmed!AT55-CumulativeRecovered!AT55-CumulativeDead!AT55</f>
        <v>2</v>
      </c>
      <c r="AU55">
        <f>CumulativeConfirmed!AU55-CumulativeRecovered!AU55-CumulativeDead!AU55</f>
        <v>2</v>
      </c>
      <c r="AV55">
        <f>CumulativeConfirmed!AV55-CumulativeRecovered!AV55-CumulativeDead!AV55</f>
        <v>3</v>
      </c>
      <c r="AW55">
        <f>CumulativeConfirmed!AW55-CumulativeRecovered!AW55-CumulativeDead!AW55</f>
        <v>3</v>
      </c>
      <c r="AX55">
        <f>CumulativeConfirmed!AX55-CumulativeRecovered!AX55-CumulativeDead!AX55</f>
        <v>5</v>
      </c>
      <c r="AY55">
        <f>CumulativeConfirmed!AY55-CumulativeRecovered!AY55-CumulativeDead!AY55</f>
        <v>7</v>
      </c>
      <c r="AZ55">
        <f>CumulativeConfirmed!AZ55-CumulativeRecovered!AZ55-CumulativeDead!AZ55</f>
        <v>19</v>
      </c>
      <c r="BA55">
        <f>CumulativeConfirmed!BA55-CumulativeRecovered!BA55-CumulativeDead!BA55</f>
        <v>34</v>
      </c>
      <c r="BB55">
        <f>CumulativeConfirmed!BB55-CumulativeRecovered!BB55-CumulativeDead!BB55</f>
        <v>50</v>
      </c>
      <c r="BC55">
        <f>CumulativeConfirmed!BC55-CumulativeRecovered!BC55-CumulativeDead!BC55</f>
        <v>58</v>
      </c>
      <c r="BD55">
        <f>CumulativeConfirmed!BD55-CumulativeRecovered!BD55-CumulativeDead!BD55</f>
        <v>76</v>
      </c>
      <c r="BE55">
        <f>CumulativeConfirmed!BE55-CumulativeRecovered!BE55-CumulativeDead!BE55</f>
        <v>139</v>
      </c>
      <c r="BF55">
        <f>CumulativeConfirmed!BF55-CumulativeRecovered!BF55-CumulativeDead!BF55</f>
        <v>201</v>
      </c>
      <c r="BG55">
        <f>CumulativeConfirmed!BG55-CumulativeRecovered!BG55-CumulativeDead!BG55</f>
        <v>331</v>
      </c>
      <c r="BH55">
        <f>CumulativeConfirmed!BH55-CumulativeRecovered!BH55-CumulativeDead!BH55</f>
        <v>480</v>
      </c>
      <c r="BI55">
        <f>CumulativeConfirmed!BI55-CumulativeRecovered!BI55-CumulativeDead!BI55</f>
        <v>0</v>
      </c>
      <c r="BJ55">
        <f>CumulativeConfirmed!BJ55-CumulativeRecovered!BJ55-CumulativeDead!BJ55</f>
        <v>0</v>
      </c>
      <c r="BK55">
        <f>CumulativeConfirmed!BK55-CumulativeRecovered!BK55-CumulativeDead!BK55</f>
        <v>0</v>
      </c>
      <c r="BL55">
        <f>CumulativeConfirmed!BL55-CumulativeRecovered!BL55-CumulativeDead!BL55</f>
        <v>0</v>
      </c>
      <c r="BM55">
        <f>CumulativeConfirmed!BM55-CumulativeRecovered!BM55-CumulativeDead!BM55</f>
        <v>0</v>
      </c>
      <c r="BN55">
        <f>CumulativeConfirmed!BN55-CumulativeRecovered!BN55-CumulativeDead!BN55</f>
        <v>0</v>
      </c>
      <c r="BO55">
        <f>CumulativeConfirmed!BO55-CumulativeRecovered!BO55-CumulativeDead!BO55</f>
        <v>0</v>
      </c>
      <c r="BP55">
        <f>CumulativeConfirmed!BP55-CumulativeRecovered!BP55-CumulativeDead!BP55</f>
        <v>0</v>
      </c>
      <c r="BQ55">
        <f>CumulativeConfirmed!BQ55-CumulativeRecovered!BQ55-CumulativeDead!BQ55</f>
        <v>0</v>
      </c>
      <c r="BR55">
        <f>CumulativeConfirmed!BR55-CumulativeRecovered!BR55-CumulativeDead!BR55</f>
        <v>0</v>
      </c>
      <c r="BS55">
        <f>CumulativeConfirmed!BS55-CumulativeRecovered!BS55-CumulativeDead!BS55</f>
        <v>0</v>
      </c>
      <c r="BT55">
        <f>CumulativeConfirmed!BT55-CumulativeRecovered!BT55-CumulativeDead!BT55</f>
        <v>0</v>
      </c>
    </row>
    <row r="56" spans="1:72" ht="15" thickBot="1" x14ac:dyDescent="0.35">
      <c r="A56" s="4" t="s">
        <v>230</v>
      </c>
      <c r="B56">
        <f>CumulativeConfirmed!B56-CumulativeRecovered!B56-CumulativeDead!B56</f>
        <v>0</v>
      </c>
      <c r="C56">
        <f>CumulativeConfirmed!C56-CumulativeRecovered!C56-CumulativeDead!C56</f>
        <v>0</v>
      </c>
      <c r="D56">
        <f>CumulativeConfirmed!D56-CumulativeRecovered!D56-CumulativeDead!D56</f>
        <v>0</v>
      </c>
      <c r="E56">
        <f>CumulativeConfirmed!E56-CumulativeRecovered!E56-CumulativeDead!E56</f>
        <v>0</v>
      </c>
      <c r="F56">
        <f>CumulativeConfirmed!F56-CumulativeRecovered!F56-CumulativeDead!F56</f>
        <v>0</v>
      </c>
      <c r="G56">
        <f>CumulativeConfirmed!G56-CumulativeRecovered!G56-CumulativeDead!G56</f>
        <v>0</v>
      </c>
      <c r="H56">
        <f>CumulativeConfirmed!H56-CumulativeRecovered!H56-CumulativeDead!H56</f>
        <v>0</v>
      </c>
      <c r="I56">
        <f>CumulativeConfirmed!I56-CumulativeRecovered!I56-CumulativeDead!I56</f>
        <v>0</v>
      </c>
      <c r="J56">
        <f>CumulativeConfirmed!J56-CumulativeRecovered!J56-CumulativeDead!J56</f>
        <v>0</v>
      </c>
      <c r="K56">
        <f>CumulativeConfirmed!K56-CumulativeRecovered!K56-CumulativeDead!K56</f>
        <v>0</v>
      </c>
      <c r="L56">
        <f>CumulativeConfirmed!L56-CumulativeRecovered!L56-CumulativeDead!L56</f>
        <v>0</v>
      </c>
      <c r="M56">
        <f>CumulativeConfirmed!M56-CumulativeRecovered!M56-CumulativeDead!M56</f>
        <v>0</v>
      </c>
      <c r="N56">
        <f>CumulativeConfirmed!N56-CumulativeRecovered!N56-CumulativeDead!N56</f>
        <v>0</v>
      </c>
      <c r="O56">
        <f>CumulativeConfirmed!O56-CumulativeRecovered!O56-CumulativeDead!O56</f>
        <v>0</v>
      </c>
      <c r="P56">
        <f>CumulativeConfirmed!P56-CumulativeRecovered!P56-CumulativeDead!P56</f>
        <v>0</v>
      </c>
      <c r="Q56">
        <f>CumulativeConfirmed!Q56-CumulativeRecovered!Q56-CumulativeDead!Q56</f>
        <v>0</v>
      </c>
      <c r="R56">
        <f>CumulativeConfirmed!R56-CumulativeRecovered!R56-CumulativeDead!R56</f>
        <v>0</v>
      </c>
      <c r="S56">
        <f>CumulativeConfirmed!S56-CumulativeRecovered!S56-CumulativeDead!S56</f>
        <v>0</v>
      </c>
      <c r="T56">
        <f>CumulativeConfirmed!T56-CumulativeRecovered!T56-CumulativeDead!T56</f>
        <v>0</v>
      </c>
      <c r="U56">
        <f>CumulativeConfirmed!U56-CumulativeRecovered!U56-CumulativeDead!U56</f>
        <v>0</v>
      </c>
      <c r="V56">
        <f>CumulativeConfirmed!V56-CumulativeRecovered!V56-CumulativeDead!V56</f>
        <v>0</v>
      </c>
      <c r="W56">
        <f>CumulativeConfirmed!W56-CumulativeRecovered!W56-CumulativeDead!W56</f>
        <v>0</v>
      </c>
      <c r="X56">
        <f>CumulativeConfirmed!X56-CumulativeRecovered!X56-CumulativeDead!X56</f>
        <v>0</v>
      </c>
      <c r="Y56">
        <f>CumulativeConfirmed!Y56-CumulativeRecovered!Y56-CumulativeDead!Y56</f>
        <v>0</v>
      </c>
      <c r="Z56">
        <f>CumulativeConfirmed!Z56-CumulativeRecovered!Z56-CumulativeDead!Z56</f>
        <v>0</v>
      </c>
      <c r="AA56">
        <f>CumulativeConfirmed!AA56-CumulativeRecovered!AA56-CumulativeDead!AA56</f>
        <v>0</v>
      </c>
      <c r="AB56">
        <f>CumulativeConfirmed!AB56-CumulativeRecovered!AB56-CumulativeDead!AB56</f>
        <v>0</v>
      </c>
      <c r="AC56">
        <f>CumulativeConfirmed!AC56-CumulativeRecovered!AC56-CumulativeDead!AC56</f>
        <v>0</v>
      </c>
      <c r="AD56">
        <f>CumulativeConfirmed!AD56-CumulativeRecovered!AD56-CumulativeDead!AD56</f>
        <v>0</v>
      </c>
      <c r="AE56">
        <f>CumulativeConfirmed!AE56-CumulativeRecovered!AE56-CumulativeDead!AE56</f>
        <v>0</v>
      </c>
      <c r="AF56">
        <f>CumulativeConfirmed!AF56-CumulativeRecovered!AF56-CumulativeDead!AF56</f>
        <v>0</v>
      </c>
      <c r="AG56">
        <f>CumulativeConfirmed!AG56-CumulativeRecovered!AG56-CumulativeDead!AG56</f>
        <v>0</v>
      </c>
      <c r="AH56">
        <f>CumulativeConfirmed!AH56-CumulativeRecovered!AH56-CumulativeDead!AH56</f>
        <v>0</v>
      </c>
      <c r="AI56">
        <f>CumulativeConfirmed!AI56-CumulativeRecovered!AI56-CumulativeDead!AI56</f>
        <v>0</v>
      </c>
      <c r="AJ56">
        <f>CumulativeConfirmed!AJ56-CumulativeRecovered!AJ56-CumulativeDead!AJ56</f>
        <v>0</v>
      </c>
      <c r="AK56">
        <f>CumulativeConfirmed!AK56-CumulativeRecovered!AK56-CumulativeDead!AK56</f>
        <v>0</v>
      </c>
      <c r="AL56">
        <f>CumulativeConfirmed!AL56-CumulativeRecovered!AL56-CumulativeDead!AL56</f>
        <v>0</v>
      </c>
      <c r="AM56">
        <f>CumulativeConfirmed!AM56-CumulativeRecovered!AM56-CumulativeDead!AM56</f>
        <v>0</v>
      </c>
      <c r="AN56">
        <f>CumulativeConfirmed!AN56-CumulativeRecovered!AN56-CumulativeDead!AN56</f>
        <v>0</v>
      </c>
      <c r="AO56">
        <f>CumulativeConfirmed!AO56-CumulativeRecovered!AO56-CumulativeDead!AO56</f>
        <v>0</v>
      </c>
      <c r="AP56">
        <f>CumulativeConfirmed!AP56-CumulativeRecovered!AP56-CumulativeDead!AP56</f>
        <v>0</v>
      </c>
      <c r="AQ56">
        <f>CumulativeConfirmed!AQ56-CumulativeRecovered!AQ56-CumulativeDead!AQ56</f>
        <v>0</v>
      </c>
      <c r="AR56">
        <f>CumulativeConfirmed!AR56-CumulativeRecovered!AR56-CumulativeDead!AR56</f>
        <v>0</v>
      </c>
      <c r="AS56">
        <f>CumulativeConfirmed!AS56-CumulativeRecovered!AS56-CumulativeDead!AS56</f>
        <v>0</v>
      </c>
      <c r="AT56">
        <f>CumulativeConfirmed!AT56-CumulativeRecovered!AT56-CumulativeDead!AT56</f>
        <v>0</v>
      </c>
      <c r="AU56">
        <f>CumulativeConfirmed!AU56-CumulativeRecovered!AU56-CumulativeDead!AU56</f>
        <v>0</v>
      </c>
      <c r="AV56">
        <f>CumulativeConfirmed!AV56-CumulativeRecovered!AV56-CumulativeDead!AV56</f>
        <v>0</v>
      </c>
      <c r="AW56">
        <f>CumulativeConfirmed!AW56-CumulativeRecovered!AW56-CumulativeDead!AW56</f>
        <v>2</v>
      </c>
      <c r="AX56">
        <f>CumulativeConfirmed!AX56-CumulativeRecovered!AX56-CumulativeDead!AX56</f>
        <v>10</v>
      </c>
      <c r="AY56">
        <f>CumulativeConfirmed!AY56-CumulativeRecovered!AY56-CumulativeDead!AY56</f>
        <v>11</v>
      </c>
      <c r="AZ56">
        <f>CumulativeConfirmed!AZ56-CumulativeRecovered!AZ56-CumulativeDead!AZ56</f>
        <v>22</v>
      </c>
      <c r="BA56">
        <f>CumulativeConfirmed!BA56-CumulativeRecovered!BA56-CumulativeDead!BA56</f>
        <v>32</v>
      </c>
      <c r="BB56">
        <f>CumulativeConfirmed!BB56-CumulativeRecovered!BB56-CumulativeDead!BB56</f>
        <v>37</v>
      </c>
      <c r="BC56">
        <f>CumulativeConfirmed!BC56-CumulativeRecovered!BC56-CumulativeDead!BC56</f>
        <v>41</v>
      </c>
      <c r="BD56">
        <f>CumulativeConfirmed!BD56-CumulativeRecovered!BD56-CumulativeDead!BD56</f>
        <v>50</v>
      </c>
      <c r="BE56">
        <f>CumulativeConfirmed!BE56-CumulativeRecovered!BE56-CumulativeDead!BE56</f>
        <v>54</v>
      </c>
      <c r="BF56">
        <f>CumulativeConfirmed!BF56-CumulativeRecovered!BF56-CumulativeDead!BF56</f>
        <v>57</v>
      </c>
      <c r="BG56">
        <f>CumulativeConfirmed!BG56-CumulativeRecovered!BG56-CumulativeDead!BG56</f>
        <v>62</v>
      </c>
      <c r="BH56">
        <f>CumulativeConfirmed!BH56-CumulativeRecovered!BH56-CumulativeDead!BH56</f>
        <v>68</v>
      </c>
      <c r="BI56">
        <f>CumulativeConfirmed!BI56-CumulativeRecovered!BI56-CumulativeDead!BI56</f>
        <v>0</v>
      </c>
      <c r="BJ56">
        <f>CumulativeConfirmed!BJ56-CumulativeRecovered!BJ56-CumulativeDead!BJ56</f>
        <v>0</v>
      </c>
      <c r="BK56">
        <f>CumulativeConfirmed!BK56-CumulativeRecovered!BK56-CumulativeDead!BK56</f>
        <v>0</v>
      </c>
      <c r="BL56">
        <f>CumulativeConfirmed!BL56-CumulativeRecovered!BL56-CumulativeDead!BL56</f>
        <v>0</v>
      </c>
      <c r="BM56">
        <f>CumulativeConfirmed!BM56-CumulativeRecovered!BM56-CumulativeDead!BM56</f>
        <v>0</v>
      </c>
      <c r="BN56">
        <f>CumulativeConfirmed!BN56-CumulativeRecovered!BN56-CumulativeDead!BN56</f>
        <v>0</v>
      </c>
      <c r="BO56">
        <f>CumulativeConfirmed!BO56-CumulativeRecovered!BO56-CumulativeDead!BO56</f>
        <v>0</v>
      </c>
      <c r="BP56">
        <f>CumulativeConfirmed!BP56-CumulativeRecovered!BP56-CumulativeDead!BP56</f>
        <v>0</v>
      </c>
      <c r="BQ56">
        <f>CumulativeConfirmed!BQ56-CumulativeRecovered!BQ56-CumulativeDead!BQ56</f>
        <v>0</v>
      </c>
      <c r="BR56">
        <f>CumulativeConfirmed!BR56-CumulativeRecovered!BR56-CumulativeDead!BR56</f>
        <v>0</v>
      </c>
      <c r="BS56">
        <f>CumulativeConfirmed!BS56-CumulativeRecovered!BS56-CumulativeDead!BS56</f>
        <v>0</v>
      </c>
      <c r="BT56">
        <f>CumulativeConfirmed!BT56-CumulativeRecovered!BT56-CumulativeDead!BT56</f>
        <v>0</v>
      </c>
    </row>
    <row r="57" spans="1:72" ht="15" thickBot="1" x14ac:dyDescent="0.35">
      <c r="A57" s="3" t="s">
        <v>76</v>
      </c>
      <c r="B57">
        <f>CumulativeConfirmed!B57-CumulativeRecovered!B57-CumulativeDead!B57</f>
        <v>0</v>
      </c>
      <c r="C57">
        <f>CumulativeConfirmed!C57-CumulativeRecovered!C57-CumulativeDead!C57</f>
        <v>0</v>
      </c>
      <c r="D57">
        <f>CumulativeConfirmed!D57-CumulativeRecovered!D57-CumulativeDead!D57</f>
        <v>0</v>
      </c>
      <c r="E57">
        <f>CumulativeConfirmed!E57-CumulativeRecovered!E57-CumulativeDead!E57</f>
        <v>0</v>
      </c>
      <c r="F57">
        <f>CumulativeConfirmed!F57-CumulativeRecovered!F57-CumulativeDead!F57</f>
        <v>0</v>
      </c>
      <c r="G57">
        <f>CumulativeConfirmed!G57-CumulativeRecovered!G57-CumulativeDead!G57</f>
        <v>0</v>
      </c>
      <c r="H57">
        <f>CumulativeConfirmed!H57-CumulativeRecovered!H57-CumulativeDead!H57</f>
        <v>0</v>
      </c>
      <c r="I57">
        <f>CumulativeConfirmed!I57-CumulativeRecovered!I57-CumulativeDead!I57</f>
        <v>0</v>
      </c>
      <c r="J57">
        <f>CumulativeConfirmed!J57-CumulativeRecovered!J57-CumulativeDead!J57</f>
        <v>0</v>
      </c>
      <c r="K57">
        <f>CumulativeConfirmed!K57-CumulativeRecovered!K57-CumulativeDead!K57</f>
        <v>0</v>
      </c>
      <c r="L57">
        <f>CumulativeConfirmed!L57-CumulativeRecovered!L57-CumulativeDead!L57</f>
        <v>0</v>
      </c>
      <c r="M57">
        <f>CumulativeConfirmed!M57-CumulativeRecovered!M57-CumulativeDead!M57</f>
        <v>0</v>
      </c>
      <c r="N57">
        <f>CumulativeConfirmed!N57-CumulativeRecovered!N57-CumulativeDead!N57</f>
        <v>0</v>
      </c>
      <c r="O57">
        <f>CumulativeConfirmed!O57-CumulativeRecovered!O57-CumulativeDead!O57</f>
        <v>0</v>
      </c>
      <c r="P57">
        <f>CumulativeConfirmed!P57-CumulativeRecovered!P57-CumulativeDead!P57</f>
        <v>0</v>
      </c>
      <c r="Q57">
        <f>CumulativeConfirmed!Q57-CumulativeRecovered!Q57-CumulativeDead!Q57</f>
        <v>0</v>
      </c>
      <c r="R57">
        <f>CumulativeConfirmed!R57-CumulativeRecovered!R57-CumulativeDead!R57</f>
        <v>0</v>
      </c>
      <c r="S57">
        <f>CumulativeConfirmed!S57-CumulativeRecovered!S57-CumulativeDead!S57</f>
        <v>0</v>
      </c>
      <c r="T57">
        <f>CumulativeConfirmed!T57-CumulativeRecovered!T57-CumulativeDead!T57</f>
        <v>0</v>
      </c>
      <c r="U57">
        <f>CumulativeConfirmed!U57-CumulativeRecovered!U57-CumulativeDead!U57</f>
        <v>0</v>
      </c>
      <c r="V57">
        <f>CumulativeConfirmed!V57-CumulativeRecovered!V57-CumulativeDead!V57</f>
        <v>0</v>
      </c>
      <c r="W57">
        <f>CumulativeConfirmed!W57-CumulativeRecovered!W57-CumulativeDead!W57</f>
        <v>0</v>
      </c>
      <c r="X57">
        <f>CumulativeConfirmed!X57-CumulativeRecovered!X57-CumulativeDead!X57</f>
        <v>0</v>
      </c>
      <c r="Y57">
        <f>CumulativeConfirmed!Y57-CumulativeRecovered!Y57-CumulativeDead!Y57</f>
        <v>0</v>
      </c>
      <c r="Z57">
        <f>CumulativeConfirmed!Z57-CumulativeRecovered!Z57-CumulativeDead!Z57</f>
        <v>0</v>
      </c>
      <c r="AA57">
        <f>CumulativeConfirmed!AA57-CumulativeRecovered!AA57-CumulativeDead!AA57</f>
        <v>0</v>
      </c>
      <c r="AB57">
        <f>CumulativeConfirmed!AB57-CumulativeRecovered!AB57-CumulativeDead!AB57</f>
        <v>0</v>
      </c>
      <c r="AC57">
        <f>CumulativeConfirmed!AC57-CumulativeRecovered!AC57-CumulativeDead!AC57</f>
        <v>0</v>
      </c>
      <c r="AD57">
        <f>CumulativeConfirmed!AD57-CumulativeRecovered!AD57-CumulativeDead!AD57</f>
        <v>0</v>
      </c>
      <c r="AE57">
        <f>CumulativeConfirmed!AE57-CumulativeRecovered!AE57-CumulativeDead!AE57</f>
        <v>0</v>
      </c>
      <c r="AF57">
        <f>CumulativeConfirmed!AF57-CumulativeRecovered!AF57-CumulativeDead!AF57</f>
        <v>0</v>
      </c>
      <c r="AG57">
        <f>CumulativeConfirmed!AG57-CumulativeRecovered!AG57-CumulativeDead!AG57</f>
        <v>0</v>
      </c>
      <c r="AH57">
        <f>CumulativeConfirmed!AH57-CumulativeRecovered!AH57-CumulativeDead!AH57</f>
        <v>0</v>
      </c>
      <c r="AI57">
        <f>CumulativeConfirmed!AI57-CumulativeRecovered!AI57-CumulativeDead!AI57</f>
        <v>0</v>
      </c>
      <c r="AJ57">
        <f>CumulativeConfirmed!AJ57-CumulativeRecovered!AJ57-CumulativeDead!AJ57</f>
        <v>1</v>
      </c>
      <c r="AK57">
        <f>CumulativeConfirmed!AK57-CumulativeRecovered!AK57-CumulativeDead!AK57</f>
        <v>3</v>
      </c>
      <c r="AL57">
        <f>CumulativeConfirmed!AL57-CumulativeRecovered!AL57-CumulativeDead!AL57</f>
        <v>3</v>
      </c>
      <c r="AM57">
        <f>CumulativeConfirmed!AM57-CumulativeRecovered!AM57-CumulativeDead!AM57</f>
        <v>5</v>
      </c>
      <c r="AN57">
        <f>CumulativeConfirmed!AN57-CumulativeRecovered!AN57-CumulativeDead!AN57</f>
        <v>6</v>
      </c>
      <c r="AO57">
        <f>CumulativeConfirmed!AO57-CumulativeRecovered!AO57-CumulativeDead!AO57</f>
        <v>7</v>
      </c>
      <c r="AP57">
        <f>CumulativeConfirmed!AP57-CumulativeRecovered!AP57-CumulativeDead!AP57</f>
        <v>7</v>
      </c>
      <c r="AQ57">
        <f>CumulativeConfirmed!AQ57-CumulativeRecovered!AQ57-CumulativeDead!AQ57</f>
        <v>9</v>
      </c>
      <c r="AR57">
        <f>CumulativeConfirmed!AR57-CumulativeRecovered!AR57-CumulativeDead!AR57</f>
        <v>10</v>
      </c>
      <c r="AS57">
        <f>CumulativeConfirmed!AS57-CumulativeRecovered!AS57-CumulativeDead!AS57</f>
        <v>10</v>
      </c>
      <c r="AT57">
        <f>CumulativeConfirmed!AT57-CumulativeRecovered!AT57-CumulativeDead!AT57</f>
        <v>11</v>
      </c>
      <c r="AU57">
        <f>CumulativeConfirmed!AU57-CumulativeRecovered!AU57-CumulativeDead!AU57</f>
        <v>12</v>
      </c>
      <c r="AV57">
        <f>CumulativeConfirmed!AV57-CumulativeRecovered!AV57-CumulativeDead!AV57</f>
        <v>12</v>
      </c>
      <c r="AW57">
        <f>CumulativeConfirmed!AW57-CumulativeRecovered!AW57-CumulativeDead!AW57</f>
        <v>12</v>
      </c>
      <c r="AX57">
        <f>CumulativeConfirmed!AX57-CumulativeRecovered!AX57-CumulativeDead!AX57</f>
        <v>14</v>
      </c>
      <c r="AY57">
        <f>CumulativeConfirmed!AY57-CumulativeRecovered!AY57-CumulativeDead!AY57</f>
        <v>19</v>
      </c>
      <c r="AZ57">
        <f>CumulativeConfirmed!AZ57-CumulativeRecovered!AZ57-CumulativeDead!AZ57</f>
        <v>19</v>
      </c>
      <c r="BA57">
        <f>CumulativeConfirmed!BA57-CumulativeRecovered!BA57-CumulativeDead!BA57</f>
        <v>31</v>
      </c>
      <c r="BB57">
        <f>CumulativeConfirmed!BB57-CumulativeRecovered!BB57-CumulativeDead!BB57</f>
        <v>37</v>
      </c>
      <c r="BC57">
        <f>CumulativeConfirmed!BC57-CumulativeRecovered!BC57-CumulativeDead!BC57</f>
        <v>48</v>
      </c>
      <c r="BD57">
        <f>CumulativeConfirmed!BD57-CumulativeRecovered!BD57-CumulativeDead!BD57</f>
        <v>55</v>
      </c>
      <c r="BE57">
        <f>CumulativeConfirmed!BE57-CumulativeRecovered!BE57-CumulativeDead!BE57</f>
        <v>61</v>
      </c>
      <c r="BF57">
        <f>CumulativeConfirmed!BF57-CumulativeRecovered!BF57-CumulativeDead!BF57</f>
        <v>77</v>
      </c>
      <c r="BG57">
        <f>CumulativeConfirmed!BG57-CumulativeRecovered!BG57-CumulativeDead!BG57</f>
        <v>99</v>
      </c>
      <c r="BH57">
        <f>CumulativeConfirmed!BH57-CumulativeRecovered!BH57-CumulativeDead!BH57</f>
        <v>122</v>
      </c>
      <c r="BI57">
        <f>CumulativeConfirmed!BI57-CumulativeRecovered!BI57-CumulativeDead!BI57</f>
        <v>0</v>
      </c>
      <c r="BJ57">
        <f>CumulativeConfirmed!BJ57-CumulativeRecovered!BJ57-CumulativeDead!BJ57</f>
        <v>0</v>
      </c>
      <c r="BK57">
        <f>CumulativeConfirmed!BK57-CumulativeRecovered!BK57-CumulativeDead!BK57</f>
        <v>0</v>
      </c>
      <c r="BL57">
        <f>CumulativeConfirmed!BL57-CumulativeRecovered!BL57-CumulativeDead!BL57</f>
        <v>0</v>
      </c>
      <c r="BM57">
        <f>CumulativeConfirmed!BM57-CumulativeRecovered!BM57-CumulativeDead!BM57</f>
        <v>0</v>
      </c>
      <c r="BN57">
        <f>CumulativeConfirmed!BN57-CumulativeRecovered!BN57-CumulativeDead!BN57</f>
        <v>0</v>
      </c>
      <c r="BO57">
        <f>CumulativeConfirmed!BO57-CumulativeRecovered!BO57-CumulativeDead!BO57</f>
        <v>0</v>
      </c>
      <c r="BP57">
        <f>CumulativeConfirmed!BP57-CumulativeRecovered!BP57-CumulativeDead!BP57</f>
        <v>0</v>
      </c>
      <c r="BQ57">
        <f>CumulativeConfirmed!BQ57-CumulativeRecovered!BQ57-CumulativeDead!BQ57</f>
        <v>0</v>
      </c>
      <c r="BR57">
        <f>CumulativeConfirmed!BR57-CumulativeRecovered!BR57-CumulativeDead!BR57</f>
        <v>0</v>
      </c>
      <c r="BS57">
        <f>CumulativeConfirmed!BS57-CumulativeRecovered!BS57-CumulativeDead!BS57</f>
        <v>0</v>
      </c>
      <c r="BT57">
        <f>CumulativeConfirmed!BT57-CumulativeRecovered!BT57-CumulativeDead!BT57</f>
        <v>0</v>
      </c>
    </row>
    <row r="58" spans="1:72" ht="15" thickBot="1" x14ac:dyDescent="0.35">
      <c r="A58" s="4" t="s">
        <v>162</v>
      </c>
      <c r="B58">
        <f>CumulativeConfirmed!B58-CumulativeRecovered!B58-CumulativeDead!B58</f>
        <v>0</v>
      </c>
      <c r="C58">
        <f>CumulativeConfirmed!C58-CumulativeRecovered!C58-CumulativeDead!C58</f>
        <v>0</v>
      </c>
      <c r="D58">
        <f>CumulativeConfirmed!D58-CumulativeRecovered!D58-CumulativeDead!D58</f>
        <v>0</v>
      </c>
      <c r="E58">
        <f>CumulativeConfirmed!E58-CumulativeRecovered!E58-CumulativeDead!E58</f>
        <v>0</v>
      </c>
      <c r="F58">
        <f>CumulativeConfirmed!F58-CumulativeRecovered!F58-CumulativeDead!F58</f>
        <v>0</v>
      </c>
      <c r="G58">
        <f>CumulativeConfirmed!G58-CumulativeRecovered!G58-CumulativeDead!G58</f>
        <v>0</v>
      </c>
      <c r="H58">
        <f>CumulativeConfirmed!H58-CumulativeRecovered!H58-CumulativeDead!H58</f>
        <v>0</v>
      </c>
      <c r="I58">
        <f>CumulativeConfirmed!I58-CumulativeRecovered!I58-CumulativeDead!I58</f>
        <v>0</v>
      </c>
      <c r="J58">
        <f>CumulativeConfirmed!J58-CumulativeRecovered!J58-CumulativeDead!J58</f>
        <v>0</v>
      </c>
      <c r="K58">
        <f>CumulativeConfirmed!K58-CumulativeRecovered!K58-CumulativeDead!K58</f>
        <v>0</v>
      </c>
      <c r="L58">
        <f>CumulativeConfirmed!L58-CumulativeRecovered!L58-CumulativeDead!L58</f>
        <v>0</v>
      </c>
      <c r="M58">
        <f>CumulativeConfirmed!M58-CumulativeRecovered!M58-CumulativeDead!M58</f>
        <v>0</v>
      </c>
      <c r="N58">
        <f>CumulativeConfirmed!N58-CumulativeRecovered!N58-CumulativeDead!N58</f>
        <v>0</v>
      </c>
      <c r="O58">
        <f>CumulativeConfirmed!O58-CumulativeRecovered!O58-CumulativeDead!O58</f>
        <v>0</v>
      </c>
      <c r="P58">
        <f>CumulativeConfirmed!P58-CumulativeRecovered!P58-CumulativeDead!P58</f>
        <v>0</v>
      </c>
      <c r="Q58">
        <f>CumulativeConfirmed!Q58-CumulativeRecovered!Q58-CumulativeDead!Q58</f>
        <v>0</v>
      </c>
      <c r="R58">
        <f>CumulativeConfirmed!R58-CumulativeRecovered!R58-CumulativeDead!R58</f>
        <v>0</v>
      </c>
      <c r="S58">
        <f>CumulativeConfirmed!S58-CumulativeRecovered!S58-CumulativeDead!S58</f>
        <v>0</v>
      </c>
      <c r="T58">
        <f>CumulativeConfirmed!T58-CumulativeRecovered!T58-CumulativeDead!T58</f>
        <v>0</v>
      </c>
      <c r="U58">
        <f>CumulativeConfirmed!U58-CumulativeRecovered!U58-CumulativeDead!U58</f>
        <v>0</v>
      </c>
      <c r="V58">
        <f>CumulativeConfirmed!V58-CumulativeRecovered!V58-CumulativeDead!V58</f>
        <v>0</v>
      </c>
      <c r="W58">
        <f>CumulativeConfirmed!W58-CumulativeRecovered!W58-CumulativeDead!W58</f>
        <v>0</v>
      </c>
      <c r="X58">
        <f>CumulativeConfirmed!X58-CumulativeRecovered!X58-CumulativeDead!X58</f>
        <v>0</v>
      </c>
      <c r="Y58">
        <f>CumulativeConfirmed!Y58-CumulativeRecovered!Y58-CumulativeDead!Y58</f>
        <v>0</v>
      </c>
      <c r="Z58">
        <f>CumulativeConfirmed!Z58-CumulativeRecovered!Z58-CumulativeDead!Z58</f>
        <v>0</v>
      </c>
      <c r="AA58">
        <f>CumulativeConfirmed!AA58-CumulativeRecovered!AA58-CumulativeDead!AA58</f>
        <v>0</v>
      </c>
      <c r="AB58">
        <f>CumulativeConfirmed!AB58-CumulativeRecovered!AB58-CumulativeDead!AB58</f>
        <v>0</v>
      </c>
      <c r="AC58">
        <f>CumulativeConfirmed!AC58-CumulativeRecovered!AC58-CumulativeDead!AC58</f>
        <v>0</v>
      </c>
      <c r="AD58">
        <f>CumulativeConfirmed!AD58-CumulativeRecovered!AD58-CumulativeDead!AD58</f>
        <v>0</v>
      </c>
      <c r="AE58">
        <f>CumulativeConfirmed!AE58-CumulativeRecovered!AE58-CumulativeDead!AE58</f>
        <v>0</v>
      </c>
      <c r="AF58">
        <f>CumulativeConfirmed!AF58-CumulativeRecovered!AF58-CumulativeDead!AF58</f>
        <v>0</v>
      </c>
      <c r="AG58">
        <f>CumulativeConfirmed!AG58-CumulativeRecovered!AG58-CumulativeDead!AG58</f>
        <v>0</v>
      </c>
      <c r="AH58">
        <f>CumulativeConfirmed!AH58-CumulativeRecovered!AH58-CumulativeDead!AH58</f>
        <v>0</v>
      </c>
      <c r="AI58">
        <f>CumulativeConfirmed!AI58-CumulativeRecovered!AI58-CumulativeDead!AI58</f>
        <v>0</v>
      </c>
      <c r="AJ58">
        <f>CumulativeConfirmed!AJ58-CumulativeRecovered!AJ58-CumulativeDead!AJ58</f>
        <v>0</v>
      </c>
      <c r="AK58">
        <f>CumulativeConfirmed!AK58-CumulativeRecovered!AK58-CumulativeDead!AK58</f>
        <v>0</v>
      </c>
      <c r="AL58">
        <f>CumulativeConfirmed!AL58-CumulativeRecovered!AL58-CumulativeDead!AL58</f>
        <v>0</v>
      </c>
      <c r="AM58">
        <f>CumulativeConfirmed!AM58-CumulativeRecovered!AM58-CumulativeDead!AM58</f>
        <v>0</v>
      </c>
      <c r="AN58">
        <f>CumulativeConfirmed!AN58-CumulativeRecovered!AN58-CumulativeDead!AN58</f>
        <v>0</v>
      </c>
      <c r="AO58">
        <f>CumulativeConfirmed!AO58-CumulativeRecovered!AO58-CumulativeDead!AO58</f>
        <v>0</v>
      </c>
      <c r="AP58">
        <f>CumulativeConfirmed!AP58-CumulativeRecovered!AP58-CumulativeDead!AP58</f>
        <v>0</v>
      </c>
      <c r="AQ58">
        <f>CumulativeConfirmed!AQ58-CumulativeRecovered!AQ58-CumulativeDead!AQ58</f>
        <v>0</v>
      </c>
      <c r="AR58">
        <f>CumulativeConfirmed!AR58-CumulativeRecovered!AR58-CumulativeDead!AR58</f>
        <v>0</v>
      </c>
      <c r="AS58">
        <f>CumulativeConfirmed!AS58-CumulativeRecovered!AS58-CumulativeDead!AS58</f>
        <v>0</v>
      </c>
      <c r="AT58">
        <f>CumulativeConfirmed!AT58-CumulativeRecovered!AT58-CumulativeDead!AT58</f>
        <v>1</v>
      </c>
      <c r="AU58">
        <f>CumulativeConfirmed!AU58-CumulativeRecovered!AU58-CumulativeDead!AU58</f>
        <v>1</v>
      </c>
      <c r="AV58">
        <f>CumulativeConfirmed!AV58-CumulativeRecovered!AV58-CumulativeDead!AV58</f>
        <v>3</v>
      </c>
      <c r="AW58">
        <f>CumulativeConfirmed!AW58-CumulativeRecovered!AW58-CumulativeDead!AW58</f>
        <v>3</v>
      </c>
      <c r="AX58">
        <f>CumulativeConfirmed!AX58-CumulativeRecovered!AX58-CumulativeDead!AX58</f>
        <v>7</v>
      </c>
      <c r="AY58">
        <f>CumulativeConfirmed!AY58-CumulativeRecovered!AY58-CumulativeDead!AY58</f>
        <v>10</v>
      </c>
      <c r="AZ58">
        <f>CumulativeConfirmed!AZ58-CumulativeRecovered!AZ58-CumulativeDead!AZ58</f>
        <v>16</v>
      </c>
      <c r="BA58">
        <f>CumulativeConfirmed!BA58-CumulativeRecovered!BA58-CumulativeDead!BA58</f>
        <v>32</v>
      </c>
      <c r="BB58">
        <f>CumulativeConfirmed!BB58-CumulativeRecovered!BB58-CumulativeDead!BB58</f>
        <v>44</v>
      </c>
      <c r="BC58">
        <f>CumulativeConfirmed!BC58-CumulativeRecovered!BC58-CumulativeDead!BC58</f>
        <v>54</v>
      </c>
      <c r="BD58">
        <f>CumulativeConfirmed!BD58-CumulativeRecovered!BD58-CumulativeDead!BD58</f>
        <v>63</v>
      </c>
      <c r="BE58">
        <f>CumulativeConfirmed!BE58-CumulativeRecovered!BE58-CumulativeDead!BE58</f>
        <v>72</v>
      </c>
      <c r="BF58">
        <f>CumulativeConfirmed!BF58-CumulativeRecovered!BF58-CumulativeDead!BF58</f>
        <v>104</v>
      </c>
      <c r="BG58">
        <f>CumulativeConfirmed!BG58-CumulativeRecovered!BG58-CumulativeDead!BG58</f>
        <v>122</v>
      </c>
      <c r="BH58">
        <f>CumulativeConfirmed!BH58-CumulativeRecovered!BH58-CumulativeDead!BH58</f>
        <v>136</v>
      </c>
      <c r="BI58">
        <f>CumulativeConfirmed!BI58-CumulativeRecovered!BI58-CumulativeDead!BI58</f>
        <v>0</v>
      </c>
      <c r="BJ58">
        <f>CumulativeConfirmed!BJ58-CumulativeRecovered!BJ58-CumulativeDead!BJ58</f>
        <v>0</v>
      </c>
      <c r="BK58">
        <f>CumulativeConfirmed!BK58-CumulativeRecovered!BK58-CumulativeDead!BK58</f>
        <v>0</v>
      </c>
      <c r="BL58">
        <f>CumulativeConfirmed!BL58-CumulativeRecovered!BL58-CumulativeDead!BL58</f>
        <v>0</v>
      </c>
      <c r="BM58">
        <f>CumulativeConfirmed!BM58-CumulativeRecovered!BM58-CumulativeDead!BM58</f>
        <v>0</v>
      </c>
      <c r="BN58">
        <f>CumulativeConfirmed!BN58-CumulativeRecovered!BN58-CumulativeDead!BN58</f>
        <v>0</v>
      </c>
      <c r="BO58">
        <f>CumulativeConfirmed!BO58-CumulativeRecovered!BO58-CumulativeDead!BO58</f>
        <v>0</v>
      </c>
      <c r="BP58">
        <f>CumulativeConfirmed!BP58-CumulativeRecovered!BP58-CumulativeDead!BP58</f>
        <v>0</v>
      </c>
      <c r="BQ58">
        <f>CumulativeConfirmed!BQ58-CumulativeRecovered!BQ58-CumulativeDead!BQ58</f>
        <v>0</v>
      </c>
      <c r="BR58">
        <f>CumulativeConfirmed!BR58-CumulativeRecovered!BR58-CumulativeDead!BR58</f>
        <v>0</v>
      </c>
      <c r="BS58">
        <f>CumulativeConfirmed!BS58-CumulativeRecovered!BS58-CumulativeDead!BS58</f>
        <v>0</v>
      </c>
      <c r="BT58">
        <f>CumulativeConfirmed!BT58-CumulativeRecovered!BT58-CumulativeDead!BT58</f>
        <v>0</v>
      </c>
    </row>
    <row r="59" spans="1:72" ht="15" thickBot="1" x14ac:dyDescent="0.35">
      <c r="A59" s="4" t="s">
        <v>123</v>
      </c>
      <c r="B59">
        <f>CumulativeConfirmed!B59-CumulativeRecovered!B59-CumulativeDead!B59</f>
        <v>0</v>
      </c>
      <c r="C59">
        <f>CumulativeConfirmed!C59-CumulativeRecovered!C59-CumulativeDead!C59</f>
        <v>0</v>
      </c>
      <c r="D59">
        <f>CumulativeConfirmed!D59-CumulativeRecovered!D59-CumulativeDead!D59</f>
        <v>0</v>
      </c>
      <c r="E59">
        <f>CumulativeConfirmed!E59-CumulativeRecovered!E59-CumulativeDead!E59</f>
        <v>0</v>
      </c>
      <c r="F59">
        <f>CumulativeConfirmed!F59-CumulativeRecovered!F59-CumulativeDead!F59</f>
        <v>0</v>
      </c>
      <c r="G59">
        <f>CumulativeConfirmed!G59-CumulativeRecovered!G59-CumulativeDead!G59</f>
        <v>0</v>
      </c>
      <c r="H59">
        <f>CumulativeConfirmed!H59-CumulativeRecovered!H59-CumulativeDead!H59</f>
        <v>0</v>
      </c>
      <c r="I59">
        <f>CumulativeConfirmed!I59-CumulativeRecovered!I59-CumulativeDead!I59</f>
        <v>0</v>
      </c>
      <c r="J59">
        <f>CumulativeConfirmed!J59-CumulativeRecovered!J59-CumulativeDead!J59</f>
        <v>0</v>
      </c>
      <c r="K59">
        <f>CumulativeConfirmed!K59-CumulativeRecovered!K59-CumulativeDead!K59</f>
        <v>0</v>
      </c>
      <c r="L59">
        <f>CumulativeConfirmed!L59-CumulativeRecovered!L59-CumulativeDead!L59</f>
        <v>0</v>
      </c>
      <c r="M59">
        <f>CumulativeConfirmed!M59-CumulativeRecovered!M59-CumulativeDead!M59</f>
        <v>0</v>
      </c>
      <c r="N59">
        <f>CumulativeConfirmed!N59-CumulativeRecovered!N59-CumulativeDead!N59</f>
        <v>0</v>
      </c>
      <c r="O59">
        <f>CumulativeConfirmed!O59-CumulativeRecovered!O59-CumulativeDead!O59</f>
        <v>0</v>
      </c>
      <c r="P59">
        <f>CumulativeConfirmed!P59-CumulativeRecovered!P59-CumulativeDead!P59</f>
        <v>0</v>
      </c>
      <c r="Q59">
        <f>CumulativeConfirmed!Q59-CumulativeRecovered!Q59-CumulativeDead!Q59</f>
        <v>0</v>
      </c>
      <c r="R59">
        <f>CumulativeConfirmed!R59-CumulativeRecovered!R59-CumulativeDead!R59</f>
        <v>0</v>
      </c>
      <c r="S59">
        <f>CumulativeConfirmed!S59-CumulativeRecovered!S59-CumulativeDead!S59</f>
        <v>0</v>
      </c>
      <c r="T59">
        <f>CumulativeConfirmed!T59-CumulativeRecovered!T59-CumulativeDead!T59</f>
        <v>0</v>
      </c>
      <c r="U59">
        <f>CumulativeConfirmed!U59-CumulativeRecovered!U59-CumulativeDead!U59</f>
        <v>0</v>
      </c>
      <c r="V59">
        <f>CumulativeConfirmed!V59-CumulativeRecovered!V59-CumulativeDead!V59</f>
        <v>0</v>
      </c>
      <c r="W59">
        <f>CumulativeConfirmed!W59-CumulativeRecovered!W59-CumulativeDead!W59</f>
        <v>0</v>
      </c>
      <c r="X59">
        <f>CumulativeConfirmed!X59-CumulativeRecovered!X59-CumulativeDead!X59</f>
        <v>0</v>
      </c>
      <c r="Y59">
        <f>CumulativeConfirmed!Y59-CumulativeRecovered!Y59-CumulativeDead!Y59</f>
        <v>0</v>
      </c>
      <c r="Z59">
        <f>CumulativeConfirmed!Z59-CumulativeRecovered!Z59-CumulativeDead!Z59</f>
        <v>0</v>
      </c>
      <c r="AA59">
        <f>CumulativeConfirmed!AA59-CumulativeRecovered!AA59-CumulativeDead!AA59</f>
        <v>0</v>
      </c>
      <c r="AB59">
        <f>CumulativeConfirmed!AB59-CumulativeRecovered!AB59-CumulativeDead!AB59</f>
        <v>0</v>
      </c>
      <c r="AC59">
        <f>CumulativeConfirmed!AC59-CumulativeRecovered!AC59-CumulativeDead!AC59</f>
        <v>0</v>
      </c>
      <c r="AD59">
        <f>CumulativeConfirmed!AD59-CumulativeRecovered!AD59-CumulativeDead!AD59</f>
        <v>0</v>
      </c>
      <c r="AE59">
        <f>CumulativeConfirmed!AE59-CumulativeRecovered!AE59-CumulativeDead!AE59</f>
        <v>0</v>
      </c>
      <c r="AF59">
        <f>CumulativeConfirmed!AF59-CumulativeRecovered!AF59-CumulativeDead!AF59</f>
        <v>0</v>
      </c>
      <c r="AG59">
        <f>CumulativeConfirmed!AG59-CumulativeRecovered!AG59-CumulativeDead!AG59</f>
        <v>0</v>
      </c>
      <c r="AH59">
        <f>CumulativeConfirmed!AH59-CumulativeRecovered!AH59-CumulativeDead!AH59</f>
        <v>0</v>
      </c>
      <c r="AI59">
        <f>CumulativeConfirmed!AI59-CumulativeRecovered!AI59-CumulativeDead!AI59</f>
        <v>0</v>
      </c>
      <c r="AJ59">
        <f>CumulativeConfirmed!AJ59-CumulativeRecovered!AJ59-CumulativeDead!AJ59</f>
        <v>0</v>
      </c>
      <c r="AK59">
        <f>CumulativeConfirmed!AK59-CumulativeRecovered!AK59-CumulativeDead!AK59</f>
        <v>0</v>
      </c>
      <c r="AL59">
        <f>CumulativeConfirmed!AL59-CumulativeRecovered!AL59-CumulativeDead!AL59</f>
        <v>0</v>
      </c>
      <c r="AM59">
        <f>CumulativeConfirmed!AM59-CumulativeRecovered!AM59-CumulativeDead!AM59</f>
        <v>0</v>
      </c>
      <c r="AN59">
        <f>CumulativeConfirmed!AN59-CumulativeRecovered!AN59-CumulativeDead!AN59</f>
        <v>0</v>
      </c>
      <c r="AO59">
        <f>CumulativeConfirmed!AO59-CumulativeRecovered!AO59-CumulativeDead!AO59</f>
        <v>0</v>
      </c>
      <c r="AP59">
        <f>CumulativeConfirmed!AP59-CumulativeRecovered!AP59-CumulativeDead!AP59</f>
        <v>0</v>
      </c>
      <c r="AQ59">
        <f>CumulativeConfirmed!AQ59-CumulativeRecovered!AQ59-CumulativeDead!AQ59</f>
        <v>1</v>
      </c>
      <c r="AR59">
        <f>CumulativeConfirmed!AR59-CumulativeRecovered!AR59-CumulativeDead!AR59</f>
        <v>1</v>
      </c>
      <c r="AS59">
        <f>CumulativeConfirmed!AS59-CumulativeRecovered!AS59-CumulativeDead!AS59</f>
        <v>1</v>
      </c>
      <c r="AT59">
        <f>CumulativeConfirmed!AT59-CumulativeRecovered!AT59-CumulativeDead!AT59</f>
        <v>2</v>
      </c>
      <c r="AU59">
        <f>CumulativeConfirmed!AU59-CumulativeRecovered!AU59-CumulativeDead!AU59</f>
        <v>8</v>
      </c>
      <c r="AV59">
        <f>CumulativeConfirmed!AV59-CumulativeRecovered!AV59-CumulativeDead!AV59</f>
        <v>11</v>
      </c>
      <c r="AW59">
        <f>CumulativeConfirmed!AW59-CumulativeRecovered!AW59-CumulativeDead!AW59</f>
        <v>11</v>
      </c>
      <c r="AX59">
        <f>CumulativeConfirmed!AX59-CumulativeRecovered!AX59-CumulativeDead!AX59</f>
        <v>16</v>
      </c>
      <c r="AY59">
        <f>CumulativeConfirmed!AY59-CumulativeRecovered!AY59-CumulativeDead!AY59</f>
        <v>18</v>
      </c>
      <c r="AZ59">
        <f>CumulativeConfirmed!AZ59-CumulativeRecovered!AZ59-CumulativeDead!AZ59</f>
        <v>18</v>
      </c>
      <c r="BA59">
        <f>CumulativeConfirmed!BA59-CumulativeRecovered!BA59-CumulativeDead!BA59</f>
        <v>29</v>
      </c>
      <c r="BB59">
        <f>CumulativeConfirmed!BB59-CumulativeRecovered!BB59-CumulativeDead!BB59</f>
        <v>31</v>
      </c>
      <c r="BC59">
        <f>CumulativeConfirmed!BC59-CumulativeRecovered!BC59-CumulativeDead!BC59</f>
        <v>42</v>
      </c>
      <c r="BD59">
        <f>CumulativeConfirmed!BD59-CumulativeRecovered!BD59-CumulativeDead!BD59</f>
        <v>53</v>
      </c>
      <c r="BE59">
        <f>CumulativeConfirmed!BE59-CumulativeRecovered!BE59-CumulativeDead!BE59</f>
        <v>63</v>
      </c>
      <c r="BF59">
        <f>CumulativeConfirmed!BF59-CumulativeRecovered!BF59-CumulativeDead!BF59</f>
        <v>74</v>
      </c>
      <c r="BG59">
        <f>CumulativeConfirmed!BG59-CumulativeRecovered!BG59-CumulativeDead!BG59</f>
        <v>91</v>
      </c>
      <c r="BH59">
        <f>CumulativeConfirmed!BH59-CumulativeRecovered!BH59-CumulativeDead!BH59</f>
        <v>122</v>
      </c>
      <c r="BI59">
        <f>CumulativeConfirmed!BI59-CumulativeRecovered!BI59-CumulativeDead!BI59</f>
        <v>0</v>
      </c>
      <c r="BJ59">
        <f>CumulativeConfirmed!BJ59-CumulativeRecovered!BJ59-CumulativeDead!BJ59</f>
        <v>0</v>
      </c>
      <c r="BK59">
        <f>CumulativeConfirmed!BK59-CumulativeRecovered!BK59-CumulativeDead!BK59</f>
        <v>0</v>
      </c>
      <c r="BL59">
        <f>CumulativeConfirmed!BL59-CumulativeRecovered!BL59-CumulativeDead!BL59</f>
        <v>0</v>
      </c>
      <c r="BM59">
        <f>CumulativeConfirmed!BM59-CumulativeRecovered!BM59-CumulativeDead!BM59</f>
        <v>0</v>
      </c>
      <c r="BN59">
        <f>CumulativeConfirmed!BN59-CumulativeRecovered!BN59-CumulativeDead!BN59</f>
        <v>0</v>
      </c>
      <c r="BO59">
        <f>CumulativeConfirmed!BO59-CumulativeRecovered!BO59-CumulativeDead!BO59</f>
        <v>0</v>
      </c>
      <c r="BP59">
        <f>CumulativeConfirmed!BP59-CumulativeRecovered!BP59-CumulativeDead!BP59</f>
        <v>0</v>
      </c>
      <c r="BQ59">
        <f>CumulativeConfirmed!BQ59-CumulativeRecovered!BQ59-CumulativeDead!BQ59</f>
        <v>0</v>
      </c>
      <c r="BR59">
        <f>CumulativeConfirmed!BR59-CumulativeRecovered!BR59-CumulativeDead!BR59</f>
        <v>0</v>
      </c>
      <c r="BS59">
        <f>CumulativeConfirmed!BS59-CumulativeRecovered!BS59-CumulativeDead!BS59</f>
        <v>0</v>
      </c>
      <c r="BT59">
        <f>CumulativeConfirmed!BT59-CumulativeRecovered!BT59-CumulativeDead!BT59</f>
        <v>0</v>
      </c>
    </row>
    <row r="60" spans="1:72" ht="15" thickBot="1" x14ac:dyDescent="0.35">
      <c r="A60" s="3" t="s">
        <v>80</v>
      </c>
      <c r="B60">
        <f>CumulativeConfirmed!B60-CumulativeRecovered!B60-CumulativeDead!B60</f>
        <v>0</v>
      </c>
      <c r="C60">
        <f>CumulativeConfirmed!C60-CumulativeRecovered!C60-CumulativeDead!C60</f>
        <v>0</v>
      </c>
      <c r="D60">
        <f>CumulativeConfirmed!D60-CumulativeRecovered!D60-CumulativeDead!D60</f>
        <v>0</v>
      </c>
      <c r="E60">
        <f>CumulativeConfirmed!E60-CumulativeRecovered!E60-CumulativeDead!E60</f>
        <v>0</v>
      </c>
      <c r="F60">
        <f>CumulativeConfirmed!F60-CumulativeRecovered!F60-CumulativeDead!F60</f>
        <v>0</v>
      </c>
      <c r="G60">
        <f>CumulativeConfirmed!G60-CumulativeRecovered!G60-CumulativeDead!G60</f>
        <v>0</v>
      </c>
      <c r="H60">
        <f>CumulativeConfirmed!H60-CumulativeRecovered!H60-CumulativeDead!H60</f>
        <v>0</v>
      </c>
      <c r="I60">
        <f>CumulativeConfirmed!I60-CumulativeRecovered!I60-CumulativeDead!I60</f>
        <v>0</v>
      </c>
      <c r="J60">
        <f>CumulativeConfirmed!J60-CumulativeRecovered!J60-CumulativeDead!J60</f>
        <v>0</v>
      </c>
      <c r="K60">
        <f>CumulativeConfirmed!K60-CumulativeRecovered!K60-CumulativeDead!K60</f>
        <v>0</v>
      </c>
      <c r="L60">
        <f>CumulativeConfirmed!L60-CumulativeRecovered!L60-CumulativeDead!L60</f>
        <v>0</v>
      </c>
      <c r="M60">
        <f>CumulativeConfirmed!M60-CumulativeRecovered!M60-CumulativeDead!M60</f>
        <v>0</v>
      </c>
      <c r="N60">
        <f>CumulativeConfirmed!N60-CumulativeRecovered!N60-CumulativeDead!N60</f>
        <v>0</v>
      </c>
      <c r="O60">
        <f>CumulativeConfirmed!O60-CumulativeRecovered!O60-CumulativeDead!O60</f>
        <v>0</v>
      </c>
      <c r="P60">
        <f>CumulativeConfirmed!P60-CumulativeRecovered!P60-CumulativeDead!P60</f>
        <v>0</v>
      </c>
      <c r="Q60">
        <f>CumulativeConfirmed!Q60-CumulativeRecovered!Q60-CumulativeDead!Q60</f>
        <v>0</v>
      </c>
      <c r="R60">
        <f>CumulativeConfirmed!R60-CumulativeRecovered!R60-CumulativeDead!R60</f>
        <v>0</v>
      </c>
      <c r="S60">
        <f>CumulativeConfirmed!S60-CumulativeRecovered!S60-CumulativeDead!S60</f>
        <v>0</v>
      </c>
      <c r="T60">
        <f>CumulativeConfirmed!T60-CumulativeRecovered!T60-CumulativeDead!T60</f>
        <v>0</v>
      </c>
      <c r="U60">
        <f>CumulativeConfirmed!U60-CumulativeRecovered!U60-CumulativeDead!U60</f>
        <v>0</v>
      </c>
      <c r="V60">
        <f>CumulativeConfirmed!V60-CumulativeRecovered!V60-CumulativeDead!V60</f>
        <v>0</v>
      </c>
      <c r="W60">
        <f>CumulativeConfirmed!W60-CumulativeRecovered!W60-CumulativeDead!W60</f>
        <v>0</v>
      </c>
      <c r="X60">
        <f>CumulativeConfirmed!X60-CumulativeRecovered!X60-CumulativeDead!X60</f>
        <v>0</v>
      </c>
      <c r="Y60">
        <f>CumulativeConfirmed!Y60-CumulativeRecovered!Y60-CumulativeDead!Y60</f>
        <v>0</v>
      </c>
      <c r="Z60">
        <f>CumulativeConfirmed!Z60-CumulativeRecovered!Z60-CumulativeDead!Z60</f>
        <v>0</v>
      </c>
      <c r="AA60">
        <f>CumulativeConfirmed!AA60-CumulativeRecovered!AA60-CumulativeDead!AA60</f>
        <v>0</v>
      </c>
      <c r="AB60">
        <f>CumulativeConfirmed!AB60-CumulativeRecovered!AB60-CumulativeDead!AB60</f>
        <v>0</v>
      </c>
      <c r="AC60">
        <f>CumulativeConfirmed!AC60-CumulativeRecovered!AC60-CumulativeDead!AC60</f>
        <v>0</v>
      </c>
      <c r="AD60">
        <f>CumulativeConfirmed!AD60-CumulativeRecovered!AD60-CumulativeDead!AD60</f>
        <v>0</v>
      </c>
      <c r="AE60">
        <f>CumulativeConfirmed!AE60-CumulativeRecovered!AE60-CumulativeDead!AE60</f>
        <v>0</v>
      </c>
      <c r="AF60">
        <f>CumulativeConfirmed!AF60-CumulativeRecovered!AF60-CumulativeDead!AF60</f>
        <v>0</v>
      </c>
      <c r="AG60">
        <f>CumulativeConfirmed!AG60-CumulativeRecovered!AG60-CumulativeDead!AG60</f>
        <v>0</v>
      </c>
      <c r="AH60">
        <f>CumulativeConfirmed!AH60-CumulativeRecovered!AH60-CumulativeDead!AH60</f>
        <v>0</v>
      </c>
      <c r="AI60">
        <f>CumulativeConfirmed!AI60-CumulativeRecovered!AI60-CumulativeDead!AI60</f>
        <v>0</v>
      </c>
      <c r="AJ60">
        <f>CumulativeConfirmed!AJ60-CumulativeRecovered!AJ60-CumulativeDead!AJ60</f>
        <v>0</v>
      </c>
      <c r="AK60">
        <f>CumulativeConfirmed!AK60-CumulativeRecovered!AK60-CumulativeDead!AK60</f>
        <v>2</v>
      </c>
      <c r="AL60">
        <f>CumulativeConfirmed!AL60-CumulativeRecovered!AL60-CumulativeDead!AL60</f>
        <v>2</v>
      </c>
      <c r="AM60">
        <f>CumulativeConfirmed!AM60-CumulativeRecovered!AM60-CumulativeDead!AM60</f>
        <v>2</v>
      </c>
      <c r="AN60">
        <f>CumulativeConfirmed!AN60-CumulativeRecovered!AN60-CumulativeDead!AN60</f>
        <v>4</v>
      </c>
      <c r="AO60">
        <f>CumulativeConfirmed!AO60-CumulativeRecovered!AO60-CumulativeDead!AO60</f>
        <v>4</v>
      </c>
      <c r="AP60">
        <f>CumulativeConfirmed!AP60-CumulativeRecovered!AP60-CumulativeDead!AP60</f>
        <v>4</v>
      </c>
      <c r="AQ60">
        <f>CumulativeConfirmed!AQ60-CumulativeRecovered!AQ60-CumulativeDead!AQ60</f>
        <v>5</v>
      </c>
      <c r="AR60">
        <f>CumulativeConfirmed!AR60-CumulativeRecovered!AR60-CumulativeDead!AR60</f>
        <v>5</v>
      </c>
      <c r="AS60">
        <f>CumulativeConfirmed!AS60-CumulativeRecovered!AS60-CumulativeDead!AS60</f>
        <v>5</v>
      </c>
      <c r="AT60">
        <f>CumulativeConfirmed!AT60-CumulativeRecovered!AT60-CumulativeDead!AT60</f>
        <v>6</v>
      </c>
      <c r="AU60">
        <f>CumulativeConfirmed!AU60-CumulativeRecovered!AU60-CumulativeDead!AU60</f>
        <v>6</v>
      </c>
      <c r="AV60">
        <f>CumulativeConfirmed!AV60-CumulativeRecovered!AV60-CumulativeDead!AV60</f>
        <v>5</v>
      </c>
      <c r="AW60">
        <f>CumulativeConfirmed!AW60-CumulativeRecovered!AW60-CumulativeDead!AW60</f>
        <v>5</v>
      </c>
      <c r="AX60">
        <f>CumulativeConfirmed!AX60-CumulativeRecovered!AX60-CumulativeDead!AX60</f>
        <v>15</v>
      </c>
      <c r="AY60">
        <f>CumulativeConfirmed!AY60-CumulativeRecovered!AY60-CumulativeDead!AY60</f>
        <v>17</v>
      </c>
      <c r="AZ60">
        <f>CumulativeConfirmed!AZ60-CumulativeRecovered!AZ60-CumulativeDead!AZ60</f>
        <v>18</v>
      </c>
      <c r="BA60">
        <f>CumulativeConfirmed!BA60-CumulativeRecovered!BA60-CumulativeDead!BA60</f>
        <v>26</v>
      </c>
      <c r="BB60">
        <f>CumulativeConfirmed!BB60-CumulativeRecovered!BB60-CumulativeDead!BB60</f>
        <v>29</v>
      </c>
      <c r="BC60">
        <f>CumulativeConfirmed!BC60-CumulativeRecovered!BC60-CumulativeDead!BC60</f>
        <v>51</v>
      </c>
      <c r="BD60">
        <f>CumulativeConfirmed!BD60-CumulativeRecovered!BD60-CumulativeDead!BD60</f>
        <v>134</v>
      </c>
      <c r="BE60">
        <f>CumulativeConfirmed!BE60-CumulativeRecovered!BE60-CumulativeDead!BE60</f>
        <v>234</v>
      </c>
      <c r="BF60">
        <f>CumulativeConfirmed!BF60-CumulativeRecovered!BF60-CumulativeDead!BF60</f>
        <v>297</v>
      </c>
      <c r="BG60">
        <f>CumulativeConfirmed!BG60-CumulativeRecovered!BG60-CumulativeDead!BG60</f>
        <v>439</v>
      </c>
      <c r="BH60">
        <f>CumulativeConfirmed!BH60-CumulativeRecovered!BH60-CumulativeDead!BH60</f>
        <v>485</v>
      </c>
      <c r="BI60">
        <f>CumulativeConfirmed!BI60-CumulativeRecovered!BI60-CumulativeDead!BI60</f>
        <v>0</v>
      </c>
      <c r="BJ60">
        <f>CumulativeConfirmed!BJ60-CumulativeRecovered!BJ60-CumulativeDead!BJ60</f>
        <v>0</v>
      </c>
      <c r="BK60">
        <f>CumulativeConfirmed!BK60-CumulativeRecovered!BK60-CumulativeDead!BK60</f>
        <v>0</v>
      </c>
      <c r="BL60">
        <f>CumulativeConfirmed!BL60-CumulativeRecovered!BL60-CumulativeDead!BL60</f>
        <v>0</v>
      </c>
      <c r="BM60">
        <f>CumulativeConfirmed!BM60-CumulativeRecovered!BM60-CumulativeDead!BM60</f>
        <v>0</v>
      </c>
      <c r="BN60">
        <f>CumulativeConfirmed!BN60-CumulativeRecovered!BN60-CumulativeDead!BN60</f>
        <v>0</v>
      </c>
      <c r="BO60">
        <f>CumulativeConfirmed!BO60-CumulativeRecovered!BO60-CumulativeDead!BO60</f>
        <v>0</v>
      </c>
      <c r="BP60">
        <f>CumulativeConfirmed!BP60-CumulativeRecovered!BP60-CumulativeDead!BP60</f>
        <v>0</v>
      </c>
      <c r="BQ60">
        <f>CumulativeConfirmed!BQ60-CumulativeRecovered!BQ60-CumulativeDead!BQ60</f>
        <v>0</v>
      </c>
      <c r="BR60">
        <f>CumulativeConfirmed!BR60-CumulativeRecovered!BR60-CumulativeDead!BR60</f>
        <v>0</v>
      </c>
      <c r="BS60">
        <f>CumulativeConfirmed!BS60-CumulativeRecovered!BS60-CumulativeDead!BS60</f>
        <v>0</v>
      </c>
      <c r="BT60">
        <f>CumulativeConfirmed!BT60-CumulativeRecovered!BT60-CumulativeDead!BT60</f>
        <v>0</v>
      </c>
    </row>
    <row r="61" spans="1:72" ht="15" thickBot="1" x14ac:dyDescent="0.35">
      <c r="A61" s="4" t="s">
        <v>160</v>
      </c>
      <c r="B61">
        <f>CumulativeConfirmed!B61-CumulativeRecovered!B61-CumulativeDead!B61</f>
        <v>0</v>
      </c>
      <c r="C61">
        <f>CumulativeConfirmed!C61-CumulativeRecovered!C61-CumulativeDead!C61</f>
        <v>0</v>
      </c>
      <c r="D61">
        <f>CumulativeConfirmed!D61-CumulativeRecovered!D61-CumulativeDead!D61</f>
        <v>0</v>
      </c>
      <c r="E61">
        <f>CumulativeConfirmed!E61-CumulativeRecovered!E61-CumulativeDead!E61</f>
        <v>0</v>
      </c>
      <c r="F61">
        <f>CumulativeConfirmed!F61-CumulativeRecovered!F61-CumulativeDead!F61</f>
        <v>0</v>
      </c>
      <c r="G61">
        <f>CumulativeConfirmed!G61-CumulativeRecovered!G61-CumulativeDead!G61</f>
        <v>0</v>
      </c>
      <c r="H61">
        <f>CumulativeConfirmed!H61-CumulativeRecovered!H61-CumulativeDead!H61</f>
        <v>0</v>
      </c>
      <c r="I61">
        <f>CumulativeConfirmed!I61-CumulativeRecovered!I61-CumulativeDead!I61</f>
        <v>0</v>
      </c>
      <c r="J61">
        <f>CumulativeConfirmed!J61-CumulativeRecovered!J61-CumulativeDead!J61</f>
        <v>0</v>
      </c>
      <c r="K61">
        <f>CumulativeConfirmed!K61-CumulativeRecovered!K61-CumulativeDead!K61</f>
        <v>0</v>
      </c>
      <c r="L61">
        <f>CumulativeConfirmed!L61-CumulativeRecovered!L61-CumulativeDead!L61</f>
        <v>0</v>
      </c>
      <c r="M61">
        <f>CumulativeConfirmed!M61-CumulativeRecovered!M61-CumulativeDead!M61</f>
        <v>0</v>
      </c>
      <c r="N61">
        <f>CumulativeConfirmed!N61-CumulativeRecovered!N61-CumulativeDead!N61</f>
        <v>0</v>
      </c>
      <c r="O61">
        <f>CumulativeConfirmed!O61-CumulativeRecovered!O61-CumulativeDead!O61</f>
        <v>0</v>
      </c>
      <c r="P61">
        <f>CumulativeConfirmed!P61-CumulativeRecovered!P61-CumulativeDead!P61</f>
        <v>0</v>
      </c>
      <c r="Q61">
        <f>CumulativeConfirmed!Q61-CumulativeRecovered!Q61-CumulativeDead!Q61</f>
        <v>0</v>
      </c>
      <c r="R61">
        <f>CumulativeConfirmed!R61-CumulativeRecovered!R61-CumulativeDead!R61</f>
        <v>0</v>
      </c>
      <c r="S61">
        <f>CumulativeConfirmed!S61-CumulativeRecovered!S61-CumulativeDead!S61</f>
        <v>0</v>
      </c>
      <c r="T61">
        <f>CumulativeConfirmed!T61-CumulativeRecovered!T61-CumulativeDead!T61</f>
        <v>0</v>
      </c>
      <c r="U61">
        <f>CumulativeConfirmed!U61-CumulativeRecovered!U61-CumulativeDead!U61</f>
        <v>0</v>
      </c>
      <c r="V61">
        <f>CumulativeConfirmed!V61-CumulativeRecovered!V61-CumulativeDead!V61</f>
        <v>0</v>
      </c>
      <c r="W61">
        <f>CumulativeConfirmed!W61-CumulativeRecovered!W61-CumulativeDead!W61</f>
        <v>0</v>
      </c>
      <c r="X61">
        <f>CumulativeConfirmed!X61-CumulativeRecovered!X61-CumulativeDead!X61</f>
        <v>0</v>
      </c>
      <c r="Y61">
        <f>CumulativeConfirmed!Y61-CumulativeRecovered!Y61-CumulativeDead!Y61</f>
        <v>0</v>
      </c>
      <c r="Z61">
        <f>CumulativeConfirmed!Z61-CumulativeRecovered!Z61-CumulativeDead!Z61</f>
        <v>0</v>
      </c>
      <c r="AA61">
        <f>CumulativeConfirmed!AA61-CumulativeRecovered!AA61-CumulativeDead!AA61</f>
        <v>0</v>
      </c>
      <c r="AB61">
        <f>CumulativeConfirmed!AB61-CumulativeRecovered!AB61-CumulativeDead!AB61</f>
        <v>0</v>
      </c>
      <c r="AC61">
        <f>CumulativeConfirmed!AC61-CumulativeRecovered!AC61-CumulativeDead!AC61</f>
        <v>0</v>
      </c>
      <c r="AD61">
        <f>CumulativeConfirmed!AD61-CumulativeRecovered!AD61-CumulativeDead!AD61</f>
        <v>0</v>
      </c>
      <c r="AE61">
        <f>CumulativeConfirmed!AE61-CumulativeRecovered!AE61-CumulativeDead!AE61</f>
        <v>0</v>
      </c>
      <c r="AF61">
        <f>CumulativeConfirmed!AF61-CumulativeRecovered!AF61-CumulativeDead!AF61</f>
        <v>0</v>
      </c>
      <c r="AG61">
        <f>CumulativeConfirmed!AG61-CumulativeRecovered!AG61-CumulativeDead!AG61</f>
        <v>0</v>
      </c>
      <c r="AH61">
        <f>CumulativeConfirmed!AH61-CumulativeRecovered!AH61-CumulativeDead!AH61</f>
        <v>0</v>
      </c>
      <c r="AI61">
        <f>CumulativeConfirmed!AI61-CumulativeRecovered!AI61-CumulativeDead!AI61</f>
        <v>0</v>
      </c>
      <c r="AJ61">
        <f>CumulativeConfirmed!AJ61-CumulativeRecovered!AJ61-CumulativeDead!AJ61</f>
        <v>0</v>
      </c>
      <c r="AK61">
        <f>CumulativeConfirmed!AK61-CumulativeRecovered!AK61-CumulativeDead!AK61</f>
        <v>0</v>
      </c>
      <c r="AL61">
        <f>CumulativeConfirmed!AL61-CumulativeRecovered!AL61-CumulativeDead!AL61</f>
        <v>0</v>
      </c>
      <c r="AM61">
        <f>CumulativeConfirmed!AM61-CumulativeRecovered!AM61-CumulativeDead!AM61</f>
        <v>0</v>
      </c>
      <c r="AN61">
        <f>CumulativeConfirmed!AN61-CumulativeRecovered!AN61-CumulativeDead!AN61</f>
        <v>0</v>
      </c>
      <c r="AO61">
        <f>CumulativeConfirmed!AO61-CumulativeRecovered!AO61-CumulativeDead!AO61</f>
        <v>0</v>
      </c>
      <c r="AP61">
        <f>CumulativeConfirmed!AP61-CumulativeRecovered!AP61-CumulativeDead!AP61</f>
        <v>0</v>
      </c>
      <c r="AQ61">
        <f>CumulativeConfirmed!AQ61-CumulativeRecovered!AQ61-CumulativeDead!AQ61</f>
        <v>0</v>
      </c>
      <c r="AR61">
        <f>CumulativeConfirmed!AR61-CumulativeRecovered!AR61-CumulativeDead!AR61</f>
        <v>0</v>
      </c>
      <c r="AS61">
        <f>CumulativeConfirmed!AS61-CumulativeRecovered!AS61-CumulativeDead!AS61</f>
        <v>0</v>
      </c>
      <c r="AT61">
        <f>CumulativeConfirmed!AT61-CumulativeRecovered!AT61-CumulativeDead!AT61</f>
        <v>1</v>
      </c>
      <c r="AU61">
        <f>CumulativeConfirmed!AU61-CumulativeRecovered!AU61-CumulativeDead!AU61</f>
        <v>1</v>
      </c>
      <c r="AV61">
        <f>CumulativeConfirmed!AV61-CumulativeRecovered!AV61-CumulativeDead!AV61</f>
        <v>6</v>
      </c>
      <c r="AW61">
        <f>CumulativeConfirmed!AW61-CumulativeRecovered!AW61-CumulativeDead!AW61</f>
        <v>7</v>
      </c>
      <c r="AX61">
        <f>CumulativeConfirmed!AX61-CumulativeRecovered!AX61-CumulativeDead!AX61</f>
        <v>11</v>
      </c>
      <c r="AY61">
        <f>CumulativeConfirmed!AY61-CumulativeRecovered!AY61-CumulativeDead!AY61</f>
        <v>11</v>
      </c>
      <c r="AZ61">
        <f>CumulativeConfirmed!AZ61-CumulativeRecovered!AZ61-CumulativeDead!AZ61</f>
        <v>15</v>
      </c>
      <c r="BA61">
        <f>CumulativeConfirmed!BA61-CumulativeRecovered!BA61-CumulativeDead!BA61</f>
        <v>28</v>
      </c>
      <c r="BB61">
        <f>CumulativeConfirmed!BB61-CumulativeRecovered!BB61-CumulativeDead!BB61</f>
        <v>38</v>
      </c>
      <c r="BC61">
        <f>CumulativeConfirmed!BC61-CumulativeRecovered!BC61-CumulativeDead!BC61</f>
        <v>43</v>
      </c>
      <c r="BD61">
        <f>CumulativeConfirmed!BD61-CumulativeRecovered!BD61-CumulativeDead!BD61</f>
        <v>86</v>
      </c>
      <c r="BE61">
        <f>CumulativeConfirmed!BE61-CumulativeRecovered!BE61-CumulativeDead!BE61</f>
        <v>116</v>
      </c>
      <c r="BF61">
        <f>CumulativeConfirmed!BF61-CumulativeRecovered!BF61-CumulativeDead!BF61</f>
        <v>144</v>
      </c>
      <c r="BG61">
        <f>CumulativeConfirmed!BG61-CumulativeRecovered!BG61-CumulativeDead!BG61</f>
        <v>233</v>
      </c>
      <c r="BH61">
        <f>CumulativeConfirmed!BH61-CumulativeRecovered!BH61-CumulativeDead!BH61</f>
        <v>230</v>
      </c>
      <c r="BI61">
        <f>CumulativeConfirmed!BI61-CumulativeRecovered!BI61-CumulativeDead!BI61</f>
        <v>0</v>
      </c>
      <c r="BJ61">
        <f>CumulativeConfirmed!BJ61-CumulativeRecovered!BJ61-CumulativeDead!BJ61</f>
        <v>0</v>
      </c>
      <c r="BK61">
        <f>CumulativeConfirmed!BK61-CumulativeRecovered!BK61-CumulativeDead!BK61</f>
        <v>0</v>
      </c>
      <c r="BL61">
        <f>CumulativeConfirmed!BL61-CumulativeRecovered!BL61-CumulativeDead!BL61</f>
        <v>0</v>
      </c>
      <c r="BM61">
        <f>CumulativeConfirmed!BM61-CumulativeRecovered!BM61-CumulativeDead!BM61</f>
        <v>0</v>
      </c>
      <c r="BN61">
        <f>CumulativeConfirmed!BN61-CumulativeRecovered!BN61-CumulativeDead!BN61</f>
        <v>0</v>
      </c>
      <c r="BO61">
        <f>CumulativeConfirmed!BO61-CumulativeRecovered!BO61-CumulativeDead!BO61</f>
        <v>0</v>
      </c>
      <c r="BP61">
        <f>CumulativeConfirmed!BP61-CumulativeRecovered!BP61-CumulativeDead!BP61</f>
        <v>0</v>
      </c>
      <c r="BQ61">
        <f>CumulativeConfirmed!BQ61-CumulativeRecovered!BQ61-CumulativeDead!BQ61</f>
        <v>0</v>
      </c>
      <c r="BR61">
        <f>CumulativeConfirmed!BR61-CumulativeRecovered!BR61-CumulativeDead!BR61</f>
        <v>0</v>
      </c>
      <c r="BS61">
        <f>CumulativeConfirmed!BS61-CumulativeRecovered!BS61-CumulativeDead!BS61</f>
        <v>0</v>
      </c>
      <c r="BT61">
        <f>CumulativeConfirmed!BT61-CumulativeRecovered!BT61-CumulativeDead!BT61</f>
        <v>0</v>
      </c>
    </row>
    <row r="62" spans="1:72" ht="15" thickBot="1" x14ac:dyDescent="0.35">
      <c r="A62" s="3" t="s">
        <v>91</v>
      </c>
      <c r="B62">
        <f>CumulativeConfirmed!B62-CumulativeRecovered!B62-CumulativeDead!B62</f>
        <v>0</v>
      </c>
      <c r="C62">
        <f>CumulativeConfirmed!C62-CumulativeRecovered!C62-CumulativeDead!C62</f>
        <v>0</v>
      </c>
      <c r="D62">
        <f>CumulativeConfirmed!D62-CumulativeRecovered!D62-CumulativeDead!D62</f>
        <v>0</v>
      </c>
      <c r="E62">
        <f>CumulativeConfirmed!E62-CumulativeRecovered!E62-CumulativeDead!E62</f>
        <v>0</v>
      </c>
      <c r="F62">
        <f>CumulativeConfirmed!F62-CumulativeRecovered!F62-CumulativeDead!F62</f>
        <v>0</v>
      </c>
      <c r="G62">
        <f>CumulativeConfirmed!G62-CumulativeRecovered!G62-CumulativeDead!G62</f>
        <v>0</v>
      </c>
      <c r="H62">
        <f>CumulativeConfirmed!H62-CumulativeRecovered!H62-CumulativeDead!H62</f>
        <v>0</v>
      </c>
      <c r="I62">
        <f>CumulativeConfirmed!I62-CumulativeRecovered!I62-CumulativeDead!I62</f>
        <v>0</v>
      </c>
      <c r="J62">
        <f>CumulativeConfirmed!J62-CumulativeRecovered!J62-CumulativeDead!J62</f>
        <v>0</v>
      </c>
      <c r="K62">
        <f>CumulativeConfirmed!K62-CumulativeRecovered!K62-CumulativeDead!K62</f>
        <v>0</v>
      </c>
      <c r="L62">
        <f>CumulativeConfirmed!L62-CumulativeRecovered!L62-CumulativeDead!L62</f>
        <v>0</v>
      </c>
      <c r="M62">
        <f>CumulativeConfirmed!M62-CumulativeRecovered!M62-CumulativeDead!M62</f>
        <v>0</v>
      </c>
      <c r="N62">
        <f>CumulativeConfirmed!N62-CumulativeRecovered!N62-CumulativeDead!N62</f>
        <v>0</v>
      </c>
      <c r="O62">
        <f>CumulativeConfirmed!O62-CumulativeRecovered!O62-CumulativeDead!O62</f>
        <v>0</v>
      </c>
      <c r="P62">
        <f>CumulativeConfirmed!P62-CumulativeRecovered!P62-CumulativeDead!P62</f>
        <v>0</v>
      </c>
      <c r="Q62">
        <f>CumulativeConfirmed!Q62-CumulativeRecovered!Q62-CumulativeDead!Q62</f>
        <v>0</v>
      </c>
      <c r="R62">
        <f>CumulativeConfirmed!R62-CumulativeRecovered!R62-CumulativeDead!R62</f>
        <v>0</v>
      </c>
      <c r="S62">
        <f>CumulativeConfirmed!S62-CumulativeRecovered!S62-CumulativeDead!S62</f>
        <v>0</v>
      </c>
      <c r="T62">
        <f>CumulativeConfirmed!T62-CumulativeRecovered!T62-CumulativeDead!T62</f>
        <v>0</v>
      </c>
      <c r="U62">
        <f>CumulativeConfirmed!U62-CumulativeRecovered!U62-CumulativeDead!U62</f>
        <v>0</v>
      </c>
      <c r="V62">
        <f>CumulativeConfirmed!V62-CumulativeRecovered!V62-CumulativeDead!V62</f>
        <v>0</v>
      </c>
      <c r="W62">
        <f>CumulativeConfirmed!W62-CumulativeRecovered!W62-CumulativeDead!W62</f>
        <v>0</v>
      </c>
      <c r="X62">
        <f>CumulativeConfirmed!X62-CumulativeRecovered!X62-CumulativeDead!X62</f>
        <v>0</v>
      </c>
      <c r="Y62">
        <f>CumulativeConfirmed!Y62-CumulativeRecovered!Y62-CumulativeDead!Y62</f>
        <v>0</v>
      </c>
      <c r="Z62">
        <f>CumulativeConfirmed!Z62-CumulativeRecovered!Z62-CumulativeDead!Z62</f>
        <v>0</v>
      </c>
      <c r="AA62">
        <f>CumulativeConfirmed!AA62-CumulativeRecovered!AA62-CumulativeDead!AA62</f>
        <v>0</v>
      </c>
      <c r="AB62">
        <f>CumulativeConfirmed!AB62-CumulativeRecovered!AB62-CumulativeDead!AB62</f>
        <v>0</v>
      </c>
      <c r="AC62">
        <f>CumulativeConfirmed!AC62-CumulativeRecovered!AC62-CumulativeDead!AC62</f>
        <v>0</v>
      </c>
      <c r="AD62">
        <f>CumulativeConfirmed!AD62-CumulativeRecovered!AD62-CumulativeDead!AD62</f>
        <v>0</v>
      </c>
      <c r="AE62">
        <f>CumulativeConfirmed!AE62-CumulativeRecovered!AE62-CumulativeDead!AE62</f>
        <v>0</v>
      </c>
      <c r="AF62">
        <f>CumulativeConfirmed!AF62-CumulativeRecovered!AF62-CumulativeDead!AF62</f>
        <v>0</v>
      </c>
      <c r="AG62">
        <f>CumulativeConfirmed!AG62-CumulativeRecovered!AG62-CumulativeDead!AG62</f>
        <v>0</v>
      </c>
      <c r="AH62">
        <f>CumulativeConfirmed!AH62-CumulativeRecovered!AH62-CumulativeDead!AH62</f>
        <v>0</v>
      </c>
      <c r="AI62">
        <f>CumulativeConfirmed!AI62-CumulativeRecovered!AI62-CumulativeDead!AI62</f>
        <v>0</v>
      </c>
      <c r="AJ62">
        <f>CumulativeConfirmed!AJ62-CumulativeRecovered!AJ62-CumulativeDead!AJ62</f>
        <v>0</v>
      </c>
      <c r="AK62">
        <f>CumulativeConfirmed!AK62-CumulativeRecovered!AK62-CumulativeDead!AK62</f>
        <v>0</v>
      </c>
      <c r="AL62">
        <f>CumulativeConfirmed!AL62-CumulativeRecovered!AL62-CumulativeDead!AL62</f>
        <v>0</v>
      </c>
      <c r="AM62">
        <f>CumulativeConfirmed!AM62-CumulativeRecovered!AM62-CumulativeDead!AM62</f>
        <v>1</v>
      </c>
      <c r="AN62">
        <f>CumulativeConfirmed!AN62-CumulativeRecovered!AN62-CumulativeDead!AN62</f>
        <v>1</v>
      </c>
      <c r="AO62">
        <f>CumulativeConfirmed!AO62-CumulativeRecovered!AO62-CumulativeDead!AO62</f>
        <v>1</v>
      </c>
      <c r="AP62">
        <f>CumulativeConfirmed!AP62-CumulativeRecovered!AP62-CumulativeDead!AP62</f>
        <v>1</v>
      </c>
      <c r="AQ62">
        <f>CumulativeConfirmed!AQ62-CumulativeRecovered!AQ62-CumulativeDead!AQ62</f>
        <v>1</v>
      </c>
      <c r="AR62">
        <f>CumulativeConfirmed!AR62-CumulativeRecovered!AR62-CumulativeDead!AR62</f>
        <v>6</v>
      </c>
      <c r="AS62">
        <f>CumulativeConfirmed!AS62-CumulativeRecovered!AS62-CumulativeDead!AS62</f>
        <v>6</v>
      </c>
      <c r="AT62">
        <f>CumulativeConfirmed!AT62-CumulativeRecovered!AT62-CumulativeDead!AT62</f>
        <v>6</v>
      </c>
      <c r="AU62">
        <f>CumulativeConfirmed!AU62-CumulativeRecovered!AU62-CumulativeDead!AU62</f>
        <v>6</v>
      </c>
      <c r="AV62">
        <f>CumulativeConfirmed!AV62-CumulativeRecovered!AV62-CumulativeDead!AV62</f>
        <v>6</v>
      </c>
      <c r="AW62">
        <f>CumulativeConfirmed!AW62-CumulativeRecovered!AW62-CumulativeDead!AW62</f>
        <v>5</v>
      </c>
      <c r="AX62">
        <f>CumulativeConfirmed!AX62-CumulativeRecovered!AX62-CumulativeDead!AX62</f>
        <v>6</v>
      </c>
      <c r="AY62">
        <f>CumulativeConfirmed!AY62-CumulativeRecovered!AY62-CumulativeDead!AY62</f>
        <v>6</v>
      </c>
      <c r="AZ62">
        <f>CumulativeConfirmed!AZ62-CumulativeRecovered!AZ62-CumulativeDead!AZ62</f>
        <v>9</v>
      </c>
      <c r="BA62">
        <f>CumulativeConfirmed!BA62-CumulativeRecovered!BA62-CumulativeDead!BA62</f>
        <v>24</v>
      </c>
      <c r="BB62">
        <f>CumulativeConfirmed!BB62-CumulativeRecovered!BB62-CumulativeDead!BB62</f>
        <v>24</v>
      </c>
      <c r="BC62">
        <f>CumulativeConfirmed!BC62-CumulativeRecovered!BC62-CumulativeDead!BC62</f>
        <v>24</v>
      </c>
      <c r="BD62">
        <f>CumulativeConfirmed!BD62-CumulativeRecovered!BD62-CumulativeDead!BD62</f>
        <v>33</v>
      </c>
      <c r="BE62">
        <f>CumulativeConfirmed!BE62-CumulativeRecovered!BE62-CumulativeDead!BE62</f>
        <v>33</v>
      </c>
      <c r="BF62">
        <f>CumulativeConfirmed!BF62-CumulativeRecovered!BF62-CumulativeDead!BF62</f>
        <v>46</v>
      </c>
      <c r="BG62">
        <f>CumulativeConfirmed!BG62-CumulativeRecovered!BG62-CumulativeDead!BG62</f>
        <v>46</v>
      </c>
      <c r="BH62">
        <f>CumulativeConfirmed!BH62-CumulativeRecovered!BH62-CumulativeDead!BH62</f>
        <v>64</v>
      </c>
      <c r="BI62">
        <f>CumulativeConfirmed!BI62-CumulativeRecovered!BI62-CumulativeDead!BI62</f>
        <v>0</v>
      </c>
      <c r="BJ62">
        <f>CumulativeConfirmed!BJ62-CumulativeRecovered!BJ62-CumulativeDead!BJ62</f>
        <v>0</v>
      </c>
      <c r="BK62">
        <f>CumulativeConfirmed!BK62-CumulativeRecovered!BK62-CumulativeDead!BK62</f>
        <v>0</v>
      </c>
      <c r="BL62">
        <f>CumulativeConfirmed!BL62-CumulativeRecovered!BL62-CumulativeDead!BL62</f>
        <v>0</v>
      </c>
      <c r="BM62">
        <f>CumulativeConfirmed!BM62-CumulativeRecovered!BM62-CumulativeDead!BM62</f>
        <v>0</v>
      </c>
      <c r="BN62">
        <f>CumulativeConfirmed!BN62-CumulativeRecovered!BN62-CumulativeDead!BN62</f>
        <v>0</v>
      </c>
      <c r="BO62">
        <f>CumulativeConfirmed!BO62-CumulativeRecovered!BO62-CumulativeDead!BO62</f>
        <v>0</v>
      </c>
      <c r="BP62">
        <f>CumulativeConfirmed!BP62-CumulativeRecovered!BP62-CumulativeDead!BP62</f>
        <v>0</v>
      </c>
      <c r="BQ62">
        <f>CumulativeConfirmed!BQ62-CumulativeRecovered!BQ62-CumulativeDead!BQ62</f>
        <v>0</v>
      </c>
      <c r="BR62">
        <f>CumulativeConfirmed!BR62-CumulativeRecovered!BR62-CumulativeDead!BR62</f>
        <v>0</v>
      </c>
      <c r="BS62">
        <f>CumulativeConfirmed!BS62-CumulativeRecovered!BS62-CumulativeDead!BS62</f>
        <v>0</v>
      </c>
      <c r="BT62">
        <f>CumulativeConfirmed!BT62-CumulativeRecovered!BT62-CumulativeDead!BT62</f>
        <v>0</v>
      </c>
    </row>
    <row r="63" spans="1:72" ht="15" thickBot="1" x14ac:dyDescent="0.35">
      <c r="A63" s="3" t="s">
        <v>283</v>
      </c>
      <c r="B63">
        <f>CumulativeConfirmed!B63-CumulativeRecovered!B63-CumulativeDead!B63</f>
        <v>0</v>
      </c>
      <c r="C63">
        <f>CumulativeConfirmed!C63-CumulativeRecovered!C63-CumulativeDead!C63</f>
        <v>0</v>
      </c>
      <c r="D63">
        <f>CumulativeConfirmed!D63-CumulativeRecovered!D63-CumulativeDead!D63</f>
        <v>0</v>
      </c>
      <c r="E63">
        <f>CumulativeConfirmed!E63-CumulativeRecovered!E63-CumulativeDead!E63</f>
        <v>0</v>
      </c>
      <c r="F63">
        <f>CumulativeConfirmed!F63-CumulativeRecovered!F63-CumulativeDead!F63</f>
        <v>0</v>
      </c>
      <c r="G63">
        <f>CumulativeConfirmed!G63-CumulativeRecovered!G63-CumulativeDead!G63</f>
        <v>0</v>
      </c>
      <c r="H63">
        <f>CumulativeConfirmed!H63-CumulativeRecovered!H63-CumulativeDead!H63</f>
        <v>0</v>
      </c>
      <c r="I63">
        <f>CumulativeConfirmed!I63-CumulativeRecovered!I63-CumulativeDead!I63</f>
        <v>0</v>
      </c>
      <c r="J63">
        <f>CumulativeConfirmed!J63-CumulativeRecovered!J63-CumulativeDead!J63</f>
        <v>0</v>
      </c>
      <c r="K63">
        <f>CumulativeConfirmed!K63-CumulativeRecovered!K63-CumulativeDead!K63</f>
        <v>0</v>
      </c>
      <c r="L63">
        <f>CumulativeConfirmed!L63-CumulativeRecovered!L63-CumulativeDead!L63</f>
        <v>0</v>
      </c>
      <c r="M63">
        <f>CumulativeConfirmed!M63-CumulativeRecovered!M63-CumulativeDead!M63</f>
        <v>0</v>
      </c>
      <c r="N63">
        <f>CumulativeConfirmed!N63-CumulativeRecovered!N63-CumulativeDead!N63</f>
        <v>0</v>
      </c>
      <c r="O63">
        <f>CumulativeConfirmed!O63-CumulativeRecovered!O63-CumulativeDead!O63</f>
        <v>0</v>
      </c>
      <c r="P63">
        <f>CumulativeConfirmed!P63-CumulativeRecovered!P63-CumulativeDead!P63</f>
        <v>0</v>
      </c>
      <c r="Q63">
        <f>CumulativeConfirmed!Q63-CumulativeRecovered!Q63-CumulativeDead!Q63</f>
        <v>0</v>
      </c>
      <c r="R63">
        <f>CumulativeConfirmed!R63-CumulativeRecovered!R63-CumulativeDead!R63</f>
        <v>0</v>
      </c>
      <c r="S63">
        <f>CumulativeConfirmed!S63-CumulativeRecovered!S63-CumulativeDead!S63</f>
        <v>0</v>
      </c>
      <c r="T63">
        <f>CumulativeConfirmed!T63-CumulativeRecovered!T63-CumulativeDead!T63</f>
        <v>0</v>
      </c>
      <c r="U63">
        <f>CumulativeConfirmed!U63-CumulativeRecovered!U63-CumulativeDead!U63</f>
        <v>0</v>
      </c>
      <c r="V63">
        <f>CumulativeConfirmed!V63-CumulativeRecovered!V63-CumulativeDead!V63</f>
        <v>0</v>
      </c>
      <c r="W63">
        <f>CumulativeConfirmed!W63-CumulativeRecovered!W63-CumulativeDead!W63</f>
        <v>0</v>
      </c>
      <c r="X63">
        <f>CumulativeConfirmed!X63-CumulativeRecovered!X63-CumulativeDead!X63</f>
        <v>0</v>
      </c>
      <c r="Y63">
        <f>CumulativeConfirmed!Y63-CumulativeRecovered!Y63-CumulativeDead!Y63</f>
        <v>0</v>
      </c>
      <c r="Z63">
        <f>CumulativeConfirmed!Z63-CumulativeRecovered!Z63-CumulativeDead!Z63</f>
        <v>0</v>
      </c>
      <c r="AA63">
        <f>CumulativeConfirmed!AA63-CumulativeRecovered!AA63-CumulativeDead!AA63</f>
        <v>0</v>
      </c>
      <c r="AB63">
        <f>CumulativeConfirmed!AB63-CumulativeRecovered!AB63-CumulativeDead!AB63</f>
        <v>0</v>
      </c>
      <c r="AC63">
        <f>CumulativeConfirmed!AC63-CumulativeRecovered!AC63-CumulativeDead!AC63</f>
        <v>0</v>
      </c>
      <c r="AD63">
        <f>CumulativeConfirmed!AD63-CumulativeRecovered!AD63-CumulativeDead!AD63</f>
        <v>0</v>
      </c>
      <c r="AE63">
        <f>CumulativeConfirmed!AE63-CumulativeRecovered!AE63-CumulativeDead!AE63</f>
        <v>0</v>
      </c>
      <c r="AF63">
        <f>CumulativeConfirmed!AF63-CumulativeRecovered!AF63-CumulativeDead!AF63</f>
        <v>0</v>
      </c>
      <c r="AG63">
        <f>CumulativeConfirmed!AG63-CumulativeRecovered!AG63-CumulativeDead!AG63</f>
        <v>0</v>
      </c>
      <c r="AH63">
        <f>CumulativeConfirmed!AH63-CumulativeRecovered!AH63-CumulativeDead!AH63</f>
        <v>0</v>
      </c>
      <c r="AI63">
        <f>CumulativeConfirmed!AI63-CumulativeRecovered!AI63-CumulativeDead!AI63</f>
        <v>0</v>
      </c>
      <c r="AJ63">
        <f>CumulativeConfirmed!AJ63-CumulativeRecovered!AJ63-CumulativeDead!AJ63</f>
        <v>0</v>
      </c>
      <c r="AK63">
        <f>CumulativeConfirmed!AK63-CumulativeRecovered!AK63-CumulativeDead!AK63</f>
        <v>0</v>
      </c>
      <c r="AL63">
        <f>CumulativeConfirmed!AL63-CumulativeRecovered!AL63-CumulativeDead!AL63</f>
        <v>0</v>
      </c>
      <c r="AM63">
        <f>CumulativeConfirmed!AM63-CumulativeRecovered!AM63-CumulativeDead!AM63</f>
        <v>0</v>
      </c>
      <c r="AN63">
        <f>CumulativeConfirmed!AN63-CumulativeRecovered!AN63-CumulativeDead!AN63</f>
        <v>0</v>
      </c>
      <c r="AO63">
        <f>CumulativeConfirmed!AO63-CumulativeRecovered!AO63-CumulativeDead!AO63</f>
        <v>0</v>
      </c>
      <c r="AP63">
        <f>CumulativeConfirmed!AP63-CumulativeRecovered!AP63-CumulativeDead!AP63</f>
        <v>0</v>
      </c>
      <c r="AQ63">
        <f>CumulativeConfirmed!AQ63-CumulativeRecovered!AQ63-CumulativeDead!AQ63</f>
        <v>0</v>
      </c>
      <c r="AR63">
        <f>CumulativeConfirmed!AR63-CumulativeRecovered!AR63-CumulativeDead!AR63</f>
        <v>0</v>
      </c>
      <c r="AS63">
        <f>CumulativeConfirmed!AS63-CumulativeRecovered!AS63-CumulativeDead!AS63</f>
        <v>0</v>
      </c>
      <c r="AT63">
        <f>CumulativeConfirmed!AT63-CumulativeRecovered!AT63-CumulativeDead!AT63</f>
        <v>0</v>
      </c>
      <c r="AU63">
        <f>CumulativeConfirmed!AU63-CumulativeRecovered!AU63-CumulativeDead!AU63</f>
        <v>0</v>
      </c>
      <c r="AV63">
        <f>CumulativeConfirmed!AV63-CumulativeRecovered!AV63-CumulativeDead!AV63</f>
        <v>0</v>
      </c>
      <c r="AW63">
        <f>CumulativeConfirmed!AW63-CumulativeRecovered!AW63-CumulativeDead!AW63</f>
        <v>0</v>
      </c>
      <c r="AX63">
        <f>CumulativeConfirmed!AX63-CumulativeRecovered!AX63-CumulativeDead!AX63</f>
        <v>1</v>
      </c>
      <c r="AY63">
        <f>CumulativeConfirmed!AY63-CumulativeRecovered!AY63-CumulativeDead!AY63</f>
        <v>7</v>
      </c>
      <c r="AZ63">
        <f>CumulativeConfirmed!AZ63-CumulativeRecovered!AZ63-CumulativeDead!AZ63</f>
        <v>10</v>
      </c>
      <c r="BA63">
        <f>CumulativeConfirmed!BA63-CumulativeRecovered!BA63-CumulativeDead!BA63</f>
        <v>26</v>
      </c>
      <c r="BB63">
        <f>CumulativeConfirmed!BB63-CumulativeRecovered!BB63-CumulativeDead!BB63</f>
        <v>35</v>
      </c>
      <c r="BC63">
        <f>CumulativeConfirmed!BC63-CumulativeRecovered!BC63-CumulativeDead!BC63</f>
        <v>42</v>
      </c>
      <c r="BD63">
        <f>CumulativeConfirmed!BD63-CumulativeRecovered!BD63-CumulativeDead!BD63</f>
        <v>54</v>
      </c>
      <c r="BE63">
        <f>CumulativeConfirmed!BE63-CumulativeRecovered!BE63-CumulativeDead!BE63</f>
        <v>68</v>
      </c>
      <c r="BF63">
        <f>CumulativeConfirmed!BF63-CumulativeRecovered!BF63-CumulativeDead!BF63</f>
        <v>85</v>
      </c>
      <c r="BG63">
        <f>CumulativeConfirmed!BG63-CumulativeRecovered!BG63-CumulativeDead!BG63</f>
        <v>108</v>
      </c>
      <c r="BH63">
        <f>CumulativeConfirmed!BH63-CumulativeRecovered!BH63-CumulativeDead!BH63</f>
        <v>136</v>
      </c>
      <c r="BI63">
        <f>CumulativeConfirmed!BI63-CumulativeRecovered!BI63-CumulativeDead!BI63</f>
        <v>0</v>
      </c>
      <c r="BJ63">
        <f>CumulativeConfirmed!BJ63-CumulativeRecovered!BJ63-CumulativeDead!BJ63</f>
        <v>0</v>
      </c>
      <c r="BK63">
        <f>CumulativeConfirmed!BK63-CumulativeRecovered!BK63-CumulativeDead!BK63</f>
        <v>0</v>
      </c>
      <c r="BL63">
        <f>CumulativeConfirmed!BL63-CumulativeRecovered!BL63-CumulativeDead!BL63</f>
        <v>0</v>
      </c>
      <c r="BM63">
        <f>CumulativeConfirmed!BM63-CumulativeRecovered!BM63-CumulativeDead!BM63</f>
        <v>0</v>
      </c>
      <c r="BN63">
        <f>CumulativeConfirmed!BN63-CumulativeRecovered!BN63-CumulativeDead!BN63</f>
        <v>0</v>
      </c>
      <c r="BO63">
        <f>CumulativeConfirmed!BO63-CumulativeRecovered!BO63-CumulativeDead!BO63</f>
        <v>0</v>
      </c>
      <c r="BP63">
        <f>CumulativeConfirmed!BP63-CumulativeRecovered!BP63-CumulativeDead!BP63</f>
        <v>0</v>
      </c>
      <c r="BQ63">
        <f>CumulativeConfirmed!BQ63-CumulativeRecovered!BQ63-CumulativeDead!BQ63</f>
        <v>0</v>
      </c>
      <c r="BR63">
        <f>CumulativeConfirmed!BR63-CumulativeRecovered!BR63-CumulativeDead!BR63</f>
        <v>0</v>
      </c>
      <c r="BS63">
        <f>CumulativeConfirmed!BS63-CumulativeRecovered!BS63-CumulativeDead!BS63</f>
        <v>0</v>
      </c>
      <c r="BT63">
        <f>CumulativeConfirmed!BT63-CumulativeRecovered!BT63-CumulativeDead!BT63</f>
        <v>0</v>
      </c>
    </row>
    <row r="64" spans="1:72" ht="15" thickBot="1" x14ac:dyDescent="0.35">
      <c r="A64" s="4" t="s">
        <v>75</v>
      </c>
      <c r="B64">
        <f>CumulativeConfirmed!B64-CumulativeRecovered!B64-CumulativeDead!B64</f>
        <v>0</v>
      </c>
      <c r="C64">
        <f>CumulativeConfirmed!C64-CumulativeRecovered!C64-CumulativeDead!C64</f>
        <v>0</v>
      </c>
      <c r="D64">
        <f>CumulativeConfirmed!D64-CumulativeRecovered!D64-CumulativeDead!D64</f>
        <v>0</v>
      </c>
      <c r="E64">
        <f>CumulativeConfirmed!E64-CumulativeRecovered!E64-CumulativeDead!E64</f>
        <v>0</v>
      </c>
      <c r="F64">
        <f>CumulativeConfirmed!F64-CumulativeRecovered!F64-CumulativeDead!F64</f>
        <v>0</v>
      </c>
      <c r="G64">
        <f>CumulativeConfirmed!G64-CumulativeRecovered!G64-CumulativeDead!G64</f>
        <v>0</v>
      </c>
      <c r="H64">
        <f>CumulativeConfirmed!H64-CumulativeRecovered!H64-CumulativeDead!H64</f>
        <v>0</v>
      </c>
      <c r="I64">
        <f>CumulativeConfirmed!I64-CumulativeRecovered!I64-CumulativeDead!I64</f>
        <v>0</v>
      </c>
      <c r="J64">
        <f>CumulativeConfirmed!J64-CumulativeRecovered!J64-CumulativeDead!J64</f>
        <v>0</v>
      </c>
      <c r="K64">
        <f>CumulativeConfirmed!K64-CumulativeRecovered!K64-CumulativeDead!K64</f>
        <v>0</v>
      </c>
      <c r="L64">
        <f>CumulativeConfirmed!L64-CumulativeRecovered!L64-CumulativeDead!L64</f>
        <v>0</v>
      </c>
      <c r="M64">
        <f>CumulativeConfirmed!M64-CumulativeRecovered!M64-CumulativeDead!M64</f>
        <v>0</v>
      </c>
      <c r="N64">
        <f>CumulativeConfirmed!N64-CumulativeRecovered!N64-CumulativeDead!N64</f>
        <v>0</v>
      </c>
      <c r="O64">
        <f>CumulativeConfirmed!O64-CumulativeRecovered!O64-CumulativeDead!O64</f>
        <v>0</v>
      </c>
      <c r="P64">
        <f>CumulativeConfirmed!P64-CumulativeRecovered!P64-CumulativeDead!P64</f>
        <v>0</v>
      </c>
      <c r="Q64">
        <f>CumulativeConfirmed!Q64-CumulativeRecovered!Q64-CumulativeDead!Q64</f>
        <v>0</v>
      </c>
      <c r="R64">
        <f>CumulativeConfirmed!R64-CumulativeRecovered!R64-CumulativeDead!R64</f>
        <v>0</v>
      </c>
      <c r="S64">
        <f>CumulativeConfirmed!S64-CumulativeRecovered!S64-CumulativeDead!S64</f>
        <v>0</v>
      </c>
      <c r="T64">
        <f>CumulativeConfirmed!T64-CumulativeRecovered!T64-CumulativeDead!T64</f>
        <v>0</v>
      </c>
      <c r="U64">
        <f>CumulativeConfirmed!U64-CumulativeRecovered!U64-CumulativeDead!U64</f>
        <v>0</v>
      </c>
      <c r="V64">
        <f>CumulativeConfirmed!V64-CumulativeRecovered!V64-CumulativeDead!V64</f>
        <v>0</v>
      </c>
      <c r="W64">
        <f>CumulativeConfirmed!W64-CumulativeRecovered!W64-CumulativeDead!W64</f>
        <v>0</v>
      </c>
      <c r="X64">
        <f>CumulativeConfirmed!X64-CumulativeRecovered!X64-CumulativeDead!X64</f>
        <v>0</v>
      </c>
      <c r="Y64">
        <f>CumulativeConfirmed!Y64-CumulativeRecovered!Y64-CumulativeDead!Y64</f>
        <v>0</v>
      </c>
      <c r="Z64">
        <f>CumulativeConfirmed!Z64-CumulativeRecovered!Z64-CumulativeDead!Z64</f>
        <v>0</v>
      </c>
      <c r="AA64">
        <f>CumulativeConfirmed!AA64-CumulativeRecovered!AA64-CumulativeDead!AA64</f>
        <v>0</v>
      </c>
      <c r="AB64">
        <f>CumulativeConfirmed!AB64-CumulativeRecovered!AB64-CumulativeDead!AB64</f>
        <v>0</v>
      </c>
      <c r="AC64">
        <f>CumulativeConfirmed!AC64-CumulativeRecovered!AC64-CumulativeDead!AC64</f>
        <v>0</v>
      </c>
      <c r="AD64">
        <f>CumulativeConfirmed!AD64-CumulativeRecovered!AD64-CumulativeDead!AD64</f>
        <v>0</v>
      </c>
      <c r="AE64">
        <f>CumulativeConfirmed!AE64-CumulativeRecovered!AE64-CumulativeDead!AE64</f>
        <v>0</v>
      </c>
      <c r="AF64">
        <f>CumulativeConfirmed!AF64-CumulativeRecovered!AF64-CumulativeDead!AF64</f>
        <v>0</v>
      </c>
      <c r="AG64">
        <f>CumulativeConfirmed!AG64-CumulativeRecovered!AG64-CumulativeDead!AG64</f>
        <v>0</v>
      </c>
      <c r="AH64">
        <f>CumulativeConfirmed!AH64-CumulativeRecovered!AH64-CumulativeDead!AH64</f>
        <v>0</v>
      </c>
      <c r="AI64">
        <f>CumulativeConfirmed!AI64-CumulativeRecovered!AI64-CumulativeDead!AI64</f>
        <v>0</v>
      </c>
      <c r="AJ64">
        <f>CumulativeConfirmed!AJ64-CumulativeRecovered!AJ64-CumulativeDead!AJ64</f>
        <v>1</v>
      </c>
      <c r="AK64">
        <f>CumulativeConfirmed!AK64-CumulativeRecovered!AK64-CumulativeDead!AK64</f>
        <v>1</v>
      </c>
      <c r="AL64">
        <f>CumulativeConfirmed!AL64-CumulativeRecovered!AL64-CumulativeDead!AL64</f>
        <v>1</v>
      </c>
      <c r="AM64">
        <f>CumulativeConfirmed!AM64-CumulativeRecovered!AM64-CumulativeDead!AM64</f>
        <v>1</v>
      </c>
      <c r="AN64">
        <f>CumulativeConfirmed!AN64-CumulativeRecovered!AN64-CumulativeDead!AN64</f>
        <v>1</v>
      </c>
      <c r="AO64">
        <f>CumulativeConfirmed!AO64-CumulativeRecovered!AO64-CumulativeDead!AO64</f>
        <v>1</v>
      </c>
      <c r="AP64">
        <f>CumulativeConfirmed!AP64-CumulativeRecovered!AP64-CumulativeDead!AP64</f>
        <v>3</v>
      </c>
      <c r="AQ64">
        <f>CumulativeConfirmed!AQ64-CumulativeRecovered!AQ64-CumulativeDead!AQ64</f>
        <v>5</v>
      </c>
      <c r="AR64">
        <f>CumulativeConfirmed!AR64-CumulativeRecovered!AR64-CumulativeDead!AR64</f>
        <v>12</v>
      </c>
      <c r="AS64">
        <f>CumulativeConfirmed!AS64-CumulativeRecovered!AS64-CumulativeDead!AS64</f>
        <v>12</v>
      </c>
      <c r="AT64">
        <f>CumulativeConfirmed!AT64-CumulativeRecovered!AT64-CumulativeDead!AT64</f>
        <v>17</v>
      </c>
      <c r="AU64">
        <f>CumulativeConfirmed!AU64-CumulativeRecovered!AU64-CumulativeDead!AU64</f>
        <v>17</v>
      </c>
      <c r="AV64">
        <f>CumulativeConfirmed!AV64-CumulativeRecovered!AV64-CumulativeDead!AV64</f>
        <v>19</v>
      </c>
      <c r="AW64">
        <f>CumulativeConfirmed!AW64-CumulativeRecovered!AW64-CumulativeDead!AW64</f>
        <v>20</v>
      </c>
      <c r="AX64">
        <f>CumulativeConfirmed!AX64-CumulativeRecovered!AX64-CumulativeDead!AX64</f>
        <v>20</v>
      </c>
      <c r="AY64">
        <f>CumulativeConfirmed!AY64-CumulativeRecovered!AY64-CumulativeDead!AY64</f>
        <v>20</v>
      </c>
      <c r="AZ64">
        <f>CumulativeConfirmed!AZ64-CumulativeRecovered!AZ64-CumulativeDead!AZ64</f>
        <v>15</v>
      </c>
      <c r="BA64">
        <f>CumulativeConfirmed!BA64-CumulativeRecovered!BA64-CumulativeDead!BA64</f>
        <v>16</v>
      </c>
      <c r="BB64">
        <f>CumulativeConfirmed!BB64-CumulativeRecovered!BB64-CumulativeDead!BB64</f>
        <v>22</v>
      </c>
      <c r="BC64">
        <f>CumulativeConfirmed!BC64-CumulativeRecovered!BC64-CumulativeDead!BC64</f>
        <v>32</v>
      </c>
      <c r="BD64">
        <f>CumulativeConfirmed!BD64-CumulativeRecovered!BD64-CumulativeDead!BD64</f>
        <v>38</v>
      </c>
      <c r="BE64">
        <f>CumulativeConfirmed!BE64-CumulativeRecovered!BE64-CumulativeDead!BE64</f>
        <v>44</v>
      </c>
      <c r="BF64">
        <f>CumulativeConfirmed!BF64-CumulativeRecovered!BF64-CumulativeDead!BF64</f>
        <v>55</v>
      </c>
      <c r="BG64">
        <f>CumulativeConfirmed!BG64-CumulativeRecovered!BG64-CumulativeDead!BG64</f>
        <v>46</v>
      </c>
      <c r="BH64">
        <f>CumulativeConfirmed!BH64-CumulativeRecovered!BH64-CumulativeDead!BH64</f>
        <v>47</v>
      </c>
      <c r="BI64">
        <f>CumulativeConfirmed!BI64-CumulativeRecovered!BI64-CumulativeDead!BI64</f>
        <v>0</v>
      </c>
      <c r="BJ64">
        <f>CumulativeConfirmed!BJ64-CumulativeRecovered!BJ64-CumulativeDead!BJ64</f>
        <v>0</v>
      </c>
      <c r="BK64">
        <f>CumulativeConfirmed!BK64-CumulativeRecovered!BK64-CumulativeDead!BK64</f>
        <v>0</v>
      </c>
      <c r="BL64">
        <f>CumulativeConfirmed!BL64-CumulativeRecovered!BL64-CumulativeDead!BL64</f>
        <v>0</v>
      </c>
      <c r="BM64">
        <f>CumulativeConfirmed!BM64-CumulativeRecovered!BM64-CumulativeDead!BM64</f>
        <v>0</v>
      </c>
      <c r="BN64">
        <f>CumulativeConfirmed!BN64-CumulativeRecovered!BN64-CumulativeDead!BN64</f>
        <v>0</v>
      </c>
      <c r="BO64">
        <f>CumulativeConfirmed!BO64-CumulativeRecovered!BO64-CumulativeDead!BO64</f>
        <v>0</v>
      </c>
      <c r="BP64">
        <f>CumulativeConfirmed!BP64-CumulativeRecovered!BP64-CumulativeDead!BP64</f>
        <v>0</v>
      </c>
      <c r="BQ64">
        <f>CumulativeConfirmed!BQ64-CumulativeRecovered!BQ64-CumulativeDead!BQ64</f>
        <v>0</v>
      </c>
      <c r="BR64">
        <f>CumulativeConfirmed!BR64-CumulativeRecovered!BR64-CumulativeDead!BR64</f>
        <v>0</v>
      </c>
      <c r="BS64">
        <f>CumulativeConfirmed!BS64-CumulativeRecovered!BS64-CumulativeDead!BS64</f>
        <v>0</v>
      </c>
      <c r="BT64">
        <f>CumulativeConfirmed!BT64-CumulativeRecovered!BT64-CumulativeDead!BT64</f>
        <v>0</v>
      </c>
    </row>
    <row r="65" spans="1:72" ht="15" thickBot="1" x14ac:dyDescent="0.35">
      <c r="A65" s="3" t="s">
        <v>82</v>
      </c>
      <c r="B65">
        <f>CumulativeConfirmed!B65-CumulativeRecovered!B65-CumulativeDead!B65</f>
        <v>0</v>
      </c>
      <c r="C65">
        <f>CumulativeConfirmed!C65-CumulativeRecovered!C65-CumulativeDead!C65</f>
        <v>0</v>
      </c>
      <c r="D65">
        <f>CumulativeConfirmed!D65-CumulativeRecovered!D65-CumulativeDead!D65</f>
        <v>0</v>
      </c>
      <c r="E65">
        <f>CumulativeConfirmed!E65-CumulativeRecovered!E65-CumulativeDead!E65</f>
        <v>0</v>
      </c>
      <c r="F65">
        <f>CumulativeConfirmed!F65-CumulativeRecovered!F65-CumulativeDead!F65</f>
        <v>0</v>
      </c>
      <c r="G65">
        <f>CumulativeConfirmed!G65-CumulativeRecovered!G65-CumulativeDead!G65</f>
        <v>0</v>
      </c>
      <c r="H65">
        <f>CumulativeConfirmed!H65-CumulativeRecovered!H65-CumulativeDead!H65</f>
        <v>0</v>
      </c>
      <c r="I65">
        <f>CumulativeConfirmed!I65-CumulativeRecovered!I65-CumulativeDead!I65</f>
        <v>0</v>
      </c>
      <c r="J65">
        <f>CumulativeConfirmed!J65-CumulativeRecovered!J65-CumulativeDead!J65</f>
        <v>0</v>
      </c>
      <c r="K65">
        <f>CumulativeConfirmed!K65-CumulativeRecovered!K65-CumulativeDead!K65</f>
        <v>0</v>
      </c>
      <c r="L65">
        <f>CumulativeConfirmed!L65-CumulativeRecovered!L65-CumulativeDead!L65</f>
        <v>0</v>
      </c>
      <c r="M65">
        <f>CumulativeConfirmed!M65-CumulativeRecovered!M65-CumulativeDead!M65</f>
        <v>0</v>
      </c>
      <c r="N65">
        <f>CumulativeConfirmed!N65-CumulativeRecovered!N65-CumulativeDead!N65</f>
        <v>0</v>
      </c>
      <c r="O65">
        <f>CumulativeConfirmed!O65-CumulativeRecovered!O65-CumulativeDead!O65</f>
        <v>0</v>
      </c>
      <c r="P65">
        <f>CumulativeConfirmed!P65-CumulativeRecovered!P65-CumulativeDead!P65</f>
        <v>0</v>
      </c>
      <c r="Q65">
        <f>CumulativeConfirmed!Q65-CumulativeRecovered!Q65-CumulativeDead!Q65</f>
        <v>0</v>
      </c>
      <c r="R65">
        <f>CumulativeConfirmed!R65-CumulativeRecovered!R65-CumulativeDead!R65</f>
        <v>0</v>
      </c>
      <c r="S65">
        <f>CumulativeConfirmed!S65-CumulativeRecovered!S65-CumulativeDead!S65</f>
        <v>0</v>
      </c>
      <c r="T65">
        <f>CumulativeConfirmed!T65-CumulativeRecovered!T65-CumulativeDead!T65</f>
        <v>0</v>
      </c>
      <c r="U65">
        <f>CumulativeConfirmed!U65-CumulativeRecovered!U65-CumulativeDead!U65</f>
        <v>0</v>
      </c>
      <c r="V65">
        <f>CumulativeConfirmed!V65-CumulativeRecovered!V65-CumulativeDead!V65</f>
        <v>0</v>
      </c>
      <c r="W65">
        <f>CumulativeConfirmed!W65-CumulativeRecovered!W65-CumulativeDead!W65</f>
        <v>0</v>
      </c>
      <c r="X65">
        <f>CumulativeConfirmed!X65-CumulativeRecovered!X65-CumulativeDead!X65</f>
        <v>0</v>
      </c>
      <c r="Y65">
        <f>CumulativeConfirmed!Y65-CumulativeRecovered!Y65-CumulativeDead!Y65</f>
        <v>0</v>
      </c>
      <c r="Z65">
        <f>CumulativeConfirmed!Z65-CumulativeRecovered!Z65-CumulativeDead!Z65</f>
        <v>0</v>
      </c>
      <c r="AA65">
        <f>CumulativeConfirmed!AA65-CumulativeRecovered!AA65-CumulativeDead!AA65</f>
        <v>0</v>
      </c>
      <c r="AB65">
        <f>CumulativeConfirmed!AB65-CumulativeRecovered!AB65-CumulativeDead!AB65</f>
        <v>0</v>
      </c>
      <c r="AC65">
        <f>CumulativeConfirmed!AC65-CumulativeRecovered!AC65-CumulativeDead!AC65</f>
        <v>0</v>
      </c>
      <c r="AD65">
        <f>CumulativeConfirmed!AD65-CumulativeRecovered!AD65-CumulativeDead!AD65</f>
        <v>0</v>
      </c>
      <c r="AE65">
        <f>CumulativeConfirmed!AE65-CumulativeRecovered!AE65-CumulativeDead!AE65</f>
        <v>0</v>
      </c>
      <c r="AF65">
        <f>CumulativeConfirmed!AF65-CumulativeRecovered!AF65-CumulativeDead!AF65</f>
        <v>0</v>
      </c>
      <c r="AG65">
        <f>CumulativeConfirmed!AG65-CumulativeRecovered!AG65-CumulativeDead!AG65</f>
        <v>0</v>
      </c>
      <c r="AH65">
        <f>CumulativeConfirmed!AH65-CumulativeRecovered!AH65-CumulativeDead!AH65</f>
        <v>0</v>
      </c>
      <c r="AI65">
        <f>CumulativeConfirmed!AI65-CumulativeRecovered!AI65-CumulativeDead!AI65</f>
        <v>0</v>
      </c>
      <c r="AJ65">
        <f>CumulativeConfirmed!AJ65-CumulativeRecovered!AJ65-CumulativeDead!AJ65</f>
        <v>0</v>
      </c>
      <c r="AK65">
        <f>CumulativeConfirmed!AK65-CumulativeRecovered!AK65-CumulativeDead!AK65</f>
        <v>1</v>
      </c>
      <c r="AL65">
        <f>CumulativeConfirmed!AL65-CumulativeRecovered!AL65-CumulativeDead!AL65</f>
        <v>1</v>
      </c>
      <c r="AM65">
        <f>CumulativeConfirmed!AM65-CumulativeRecovered!AM65-CumulativeDead!AM65</f>
        <v>1</v>
      </c>
      <c r="AN65">
        <f>CumulativeConfirmed!AN65-CumulativeRecovered!AN65-CumulativeDead!AN65</f>
        <v>1</v>
      </c>
      <c r="AO65">
        <f>CumulativeConfirmed!AO65-CumulativeRecovered!AO65-CumulativeDead!AO65</f>
        <v>3</v>
      </c>
      <c r="AP65">
        <f>CumulativeConfirmed!AP65-CumulativeRecovered!AP65-CumulativeDead!AP65</f>
        <v>3</v>
      </c>
      <c r="AQ65">
        <f>CumulativeConfirmed!AQ65-CumulativeRecovered!AQ65-CumulativeDead!AQ65</f>
        <v>3</v>
      </c>
      <c r="AR65">
        <f>CumulativeConfirmed!AR65-CumulativeRecovered!AR65-CumulativeDead!AR65</f>
        <v>3</v>
      </c>
      <c r="AS65">
        <f>CumulativeConfirmed!AS65-CumulativeRecovered!AS65-CumulativeDead!AS65</f>
        <v>4</v>
      </c>
      <c r="AT65">
        <f>CumulativeConfirmed!AT65-CumulativeRecovered!AT65-CumulativeDead!AT65</f>
        <v>4</v>
      </c>
      <c r="AU65">
        <f>CumulativeConfirmed!AU65-CumulativeRecovered!AU65-CumulativeDead!AU65</f>
        <v>4</v>
      </c>
      <c r="AV65">
        <f>CumulativeConfirmed!AV65-CumulativeRecovered!AV65-CumulativeDead!AV65</f>
        <v>13</v>
      </c>
      <c r="AW65">
        <f>CumulativeConfirmed!AW65-CumulativeRecovered!AW65-CumulativeDead!AW65</f>
        <v>15</v>
      </c>
      <c r="AX65">
        <f>CumulativeConfirmed!AX65-CumulativeRecovered!AX65-CumulativeDead!AX65</f>
        <v>15</v>
      </c>
      <c r="AY65">
        <f>CumulativeConfirmed!AY65-CumulativeRecovered!AY65-CumulativeDead!AY65</f>
        <v>24</v>
      </c>
      <c r="AZ65">
        <f>CumulativeConfirmed!AZ65-CumulativeRecovered!AZ65-CumulativeDead!AZ65</f>
        <v>24</v>
      </c>
      <c r="BA65">
        <f>CumulativeConfirmed!BA65-CumulativeRecovered!BA65-CumulativeDead!BA65</f>
        <v>25</v>
      </c>
      <c r="BB65">
        <f>CumulativeConfirmed!BB65-CumulativeRecovered!BB65-CumulativeDead!BB65</f>
        <v>30</v>
      </c>
      <c r="BC65">
        <f>CumulativeConfirmed!BC65-CumulativeRecovered!BC65-CumulativeDead!BC65</f>
        <v>33</v>
      </c>
      <c r="BD65">
        <f>CumulativeConfirmed!BD65-CumulativeRecovered!BD65-CumulativeDead!BD65</f>
        <v>32</v>
      </c>
      <c r="BE65">
        <f>CumulativeConfirmed!BE65-CumulativeRecovered!BE65-CumulativeDead!BE65</f>
        <v>33</v>
      </c>
      <c r="BF65">
        <f>CumulativeConfirmed!BF65-CumulativeRecovered!BF65-CumulativeDead!BF65</f>
        <v>37</v>
      </c>
      <c r="BG65">
        <f>CumulativeConfirmed!BG65-CumulativeRecovered!BG65-CumulativeDead!BG65</f>
        <v>39</v>
      </c>
      <c r="BH65">
        <f>CumulativeConfirmed!BH65-CumulativeRecovered!BH65-CumulativeDead!BH65</f>
        <v>42</v>
      </c>
      <c r="BI65">
        <f>CumulativeConfirmed!BI65-CumulativeRecovered!BI65-CumulativeDead!BI65</f>
        <v>0</v>
      </c>
      <c r="BJ65">
        <f>CumulativeConfirmed!BJ65-CumulativeRecovered!BJ65-CumulativeDead!BJ65</f>
        <v>0</v>
      </c>
      <c r="BK65">
        <f>CumulativeConfirmed!BK65-CumulativeRecovered!BK65-CumulativeDead!BK65</f>
        <v>0</v>
      </c>
      <c r="BL65">
        <f>CumulativeConfirmed!BL65-CumulativeRecovered!BL65-CumulativeDead!BL65</f>
        <v>0</v>
      </c>
      <c r="BM65">
        <f>CumulativeConfirmed!BM65-CumulativeRecovered!BM65-CumulativeDead!BM65</f>
        <v>0</v>
      </c>
      <c r="BN65">
        <f>CumulativeConfirmed!BN65-CumulativeRecovered!BN65-CumulativeDead!BN65</f>
        <v>0</v>
      </c>
      <c r="BO65">
        <f>CumulativeConfirmed!BO65-CumulativeRecovered!BO65-CumulativeDead!BO65</f>
        <v>0</v>
      </c>
      <c r="BP65">
        <f>CumulativeConfirmed!BP65-CumulativeRecovered!BP65-CumulativeDead!BP65</f>
        <v>0</v>
      </c>
      <c r="BQ65">
        <f>CumulativeConfirmed!BQ65-CumulativeRecovered!BQ65-CumulativeDead!BQ65</f>
        <v>0</v>
      </c>
      <c r="BR65">
        <f>CumulativeConfirmed!BR65-CumulativeRecovered!BR65-CumulativeDead!BR65</f>
        <v>0</v>
      </c>
      <c r="BS65">
        <f>CumulativeConfirmed!BS65-CumulativeRecovered!BS65-CumulativeDead!BS65</f>
        <v>0</v>
      </c>
      <c r="BT65">
        <f>CumulativeConfirmed!BT65-CumulativeRecovered!BT65-CumulativeDead!BT65</f>
        <v>0</v>
      </c>
    </row>
    <row r="66" spans="1:72" ht="15" thickBot="1" x14ac:dyDescent="0.35">
      <c r="A66" s="3" t="s">
        <v>145</v>
      </c>
      <c r="B66">
        <f>CumulativeConfirmed!B66-CumulativeRecovered!B66-CumulativeDead!B66</f>
        <v>0</v>
      </c>
      <c r="C66">
        <f>CumulativeConfirmed!C66-CumulativeRecovered!C66-CumulativeDead!C66</f>
        <v>0</v>
      </c>
      <c r="D66">
        <f>CumulativeConfirmed!D66-CumulativeRecovered!D66-CumulativeDead!D66</f>
        <v>0</v>
      </c>
      <c r="E66">
        <f>CumulativeConfirmed!E66-CumulativeRecovered!E66-CumulativeDead!E66</f>
        <v>0</v>
      </c>
      <c r="F66">
        <f>CumulativeConfirmed!F66-CumulativeRecovered!F66-CumulativeDead!F66</f>
        <v>0</v>
      </c>
      <c r="G66">
        <f>CumulativeConfirmed!G66-CumulativeRecovered!G66-CumulativeDead!G66</f>
        <v>0</v>
      </c>
      <c r="H66">
        <f>CumulativeConfirmed!H66-CumulativeRecovered!H66-CumulativeDead!H66</f>
        <v>0</v>
      </c>
      <c r="I66">
        <f>CumulativeConfirmed!I66-CumulativeRecovered!I66-CumulativeDead!I66</f>
        <v>0</v>
      </c>
      <c r="J66">
        <f>CumulativeConfirmed!J66-CumulativeRecovered!J66-CumulativeDead!J66</f>
        <v>0</v>
      </c>
      <c r="K66">
        <f>CumulativeConfirmed!K66-CumulativeRecovered!K66-CumulativeDead!K66</f>
        <v>0</v>
      </c>
      <c r="L66">
        <f>CumulativeConfirmed!L66-CumulativeRecovered!L66-CumulativeDead!L66</f>
        <v>0</v>
      </c>
      <c r="M66">
        <f>CumulativeConfirmed!M66-CumulativeRecovered!M66-CumulativeDead!M66</f>
        <v>0</v>
      </c>
      <c r="N66">
        <f>CumulativeConfirmed!N66-CumulativeRecovered!N66-CumulativeDead!N66</f>
        <v>0</v>
      </c>
      <c r="O66">
        <f>CumulativeConfirmed!O66-CumulativeRecovered!O66-CumulativeDead!O66</f>
        <v>0</v>
      </c>
      <c r="P66">
        <f>CumulativeConfirmed!P66-CumulativeRecovered!P66-CumulativeDead!P66</f>
        <v>0</v>
      </c>
      <c r="Q66">
        <f>CumulativeConfirmed!Q66-CumulativeRecovered!Q66-CumulativeDead!Q66</f>
        <v>0</v>
      </c>
      <c r="R66">
        <f>CumulativeConfirmed!R66-CumulativeRecovered!R66-CumulativeDead!R66</f>
        <v>0</v>
      </c>
      <c r="S66">
        <f>CumulativeConfirmed!S66-CumulativeRecovered!S66-CumulativeDead!S66</f>
        <v>0</v>
      </c>
      <c r="T66">
        <f>CumulativeConfirmed!T66-CumulativeRecovered!T66-CumulativeDead!T66</f>
        <v>0</v>
      </c>
      <c r="U66">
        <f>CumulativeConfirmed!U66-CumulativeRecovered!U66-CumulativeDead!U66</f>
        <v>0</v>
      </c>
      <c r="V66">
        <f>CumulativeConfirmed!V66-CumulativeRecovered!V66-CumulativeDead!V66</f>
        <v>0</v>
      </c>
      <c r="W66">
        <f>CumulativeConfirmed!W66-CumulativeRecovered!W66-CumulativeDead!W66</f>
        <v>0</v>
      </c>
      <c r="X66">
        <f>CumulativeConfirmed!X66-CumulativeRecovered!X66-CumulativeDead!X66</f>
        <v>0</v>
      </c>
      <c r="Y66">
        <f>CumulativeConfirmed!Y66-CumulativeRecovered!Y66-CumulativeDead!Y66</f>
        <v>0</v>
      </c>
      <c r="Z66">
        <f>CumulativeConfirmed!Z66-CumulativeRecovered!Z66-CumulativeDead!Z66</f>
        <v>0</v>
      </c>
      <c r="AA66">
        <f>CumulativeConfirmed!AA66-CumulativeRecovered!AA66-CumulativeDead!AA66</f>
        <v>0</v>
      </c>
      <c r="AB66">
        <f>CumulativeConfirmed!AB66-CumulativeRecovered!AB66-CumulativeDead!AB66</f>
        <v>0</v>
      </c>
      <c r="AC66">
        <f>CumulativeConfirmed!AC66-CumulativeRecovered!AC66-CumulativeDead!AC66</f>
        <v>0</v>
      </c>
      <c r="AD66">
        <f>CumulativeConfirmed!AD66-CumulativeRecovered!AD66-CumulativeDead!AD66</f>
        <v>0</v>
      </c>
      <c r="AE66">
        <f>CumulativeConfirmed!AE66-CumulativeRecovered!AE66-CumulativeDead!AE66</f>
        <v>0</v>
      </c>
      <c r="AF66">
        <f>CumulativeConfirmed!AF66-CumulativeRecovered!AF66-CumulativeDead!AF66</f>
        <v>0</v>
      </c>
      <c r="AG66">
        <f>CumulativeConfirmed!AG66-CumulativeRecovered!AG66-CumulativeDead!AG66</f>
        <v>0</v>
      </c>
      <c r="AH66">
        <f>CumulativeConfirmed!AH66-CumulativeRecovered!AH66-CumulativeDead!AH66</f>
        <v>0</v>
      </c>
      <c r="AI66">
        <f>CumulativeConfirmed!AI66-CumulativeRecovered!AI66-CumulativeDead!AI66</f>
        <v>0</v>
      </c>
      <c r="AJ66">
        <f>CumulativeConfirmed!AJ66-CumulativeRecovered!AJ66-CumulativeDead!AJ66</f>
        <v>0</v>
      </c>
      <c r="AK66">
        <f>CumulativeConfirmed!AK66-CumulativeRecovered!AK66-CumulativeDead!AK66</f>
        <v>0</v>
      </c>
      <c r="AL66">
        <f>CumulativeConfirmed!AL66-CumulativeRecovered!AL66-CumulativeDead!AL66</f>
        <v>0</v>
      </c>
      <c r="AM66">
        <f>CumulativeConfirmed!AM66-CumulativeRecovered!AM66-CumulativeDead!AM66</f>
        <v>0</v>
      </c>
      <c r="AN66">
        <f>CumulativeConfirmed!AN66-CumulativeRecovered!AN66-CumulativeDead!AN66</f>
        <v>0</v>
      </c>
      <c r="AO66">
        <f>CumulativeConfirmed!AO66-CumulativeRecovered!AO66-CumulativeDead!AO66</f>
        <v>0</v>
      </c>
      <c r="AP66">
        <f>CumulativeConfirmed!AP66-CumulativeRecovered!AP66-CumulativeDead!AP66</f>
        <v>0</v>
      </c>
      <c r="AQ66">
        <f>CumulativeConfirmed!AQ66-CumulativeRecovered!AQ66-CumulativeDead!AQ66</f>
        <v>0</v>
      </c>
      <c r="AR66">
        <f>CumulativeConfirmed!AR66-CumulativeRecovered!AR66-CumulativeDead!AR66</f>
        <v>0</v>
      </c>
      <c r="AS66">
        <f>CumulativeConfirmed!AS66-CumulativeRecovered!AS66-CumulativeDead!AS66</f>
        <v>1</v>
      </c>
      <c r="AT66">
        <f>CumulativeConfirmed!AT66-CumulativeRecovered!AT66-CumulativeDead!AT66</f>
        <v>1</v>
      </c>
      <c r="AU66">
        <f>CumulativeConfirmed!AU66-CumulativeRecovered!AU66-CumulativeDead!AU66</f>
        <v>1</v>
      </c>
      <c r="AV66">
        <f>CumulativeConfirmed!AV66-CumulativeRecovered!AV66-CumulativeDead!AV66</f>
        <v>3</v>
      </c>
      <c r="AW66">
        <f>CumulativeConfirmed!AW66-CumulativeRecovered!AW66-CumulativeDead!AW66</f>
        <v>3</v>
      </c>
      <c r="AX66">
        <f>CumulativeConfirmed!AX66-CumulativeRecovered!AX66-CumulativeDead!AX66</f>
        <v>7</v>
      </c>
      <c r="AY66">
        <f>CumulativeConfirmed!AY66-CumulativeRecovered!AY66-CumulativeDead!AY66</f>
        <v>13</v>
      </c>
      <c r="AZ66">
        <f>CumulativeConfirmed!AZ66-CumulativeRecovered!AZ66-CumulativeDead!AZ66</f>
        <v>17</v>
      </c>
      <c r="BA66">
        <f>CumulativeConfirmed!BA66-CumulativeRecovered!BA66-CumulativeDead!BA66</f>
        <v>24</v>
      </c>
      <c r="BB66">
        <f>CumulativeConfirmed!BB66-CumulativeRecovered!BB66-CumulativeDead!BB66</f>
        <v>38</v>
      </c>
      <c r="BC66">
        <f>CumulativeConfirmed!BC66-CumulativeRecovered!BC66-CumulativeDead!BC66</f>
        <v>51</v>
      </c>
      <c r="BD66">
        <f>CumulativeConfirmed!BD66-CumulativeRecovered!BD66-CumulativeDead!BD66</f>
        <v>62</v>
      </c>
      <c r="BE66">
        <f>CumulativeConfirmed!BE66-CumulativeRecovered!BE66-CumulativeDead!BE66</f>
        <v>62</v>
      </c>
      <c r="BF66">
        <f>CumulativeConfirmed!BF66-CumulativeRecovered!BF66-CumulativeDead!BF66</f>
        <v>116</v>
      </c>
      <c r="BG66">
        <f>CumulativeConfirmed!BG66-CumulativeRecovered!BG66-CumulativeDead!BG66</f>
        <v>150</v>
      </c>
      <c r="BH66">
        <f>CumulativeConfirmed!BH66-CumulativeRecovered!BH66-CumulativeDead!BH66</f>
        <v>202</v>
      </c>
      <c r="BI66">
        <f>CumulativeConfirmed!BI66-CumulativeRecovered!BI66-CumulativeDead!BI66</f>
        <v>0</v>
      </c>
      <c r="BJ66">
        <f>CumulativeConfirmed!BJ66-CumulativeRecovered!BJ66-CumulativeDead!BJ66</f>
        <v>0</v>
      </c>
      <c r="BK66">
        <f>CumulativeConfirmed!BK66-CumulativeRecovered!BK66-CumulativeDead!BK66</f>
        <v>0</v>
      </c>
      <c r="BL66">
        <f>CumulativeConfirmed!BL66-CumulativeRecovered!BL66-CumulativeDead!BL66</f>
        <v>0</v>
      </c>
      <c r="BM66">
        <f>CumulativeConfirmed!BM66-CumulativeRecovered!BM66-CumulativeDead!BM66</f>
        <v>0</v>
      </c>
      <c r="BN66">
        <f>CumulativeConfirmed!BN66-CumulativeRecovered!BN66-CumulativeDead!BN66</f>
        <v>0</v>
      </c>
      <c r="BO66">
        <f>CumulativeConfirmed!BO66-CumulativeRecovered!BO66-CumulativeDead!BO66</f>
        <v>0</v>
      </c>
      <c r="BP66">
        <f>CumulativeConfirmed!BP66-CumulativeRecovered!BP66-CumulativeDead!BP66</f>
        <v>0</v>
      </c>
      <c r="BQ66">
        <f>CumulativeConfirmed!BQ66-CumulativeRecovered!BQ66-CumulativeDead!BQ66</f>
        <v>0</v>
      </c>
      <c r="BR66">
        <f>CumulativeConfirmed!BR66-CumulativeRecovered!BR66-CumulativeDead!BR66</f>
        <v>0</v>
      </c>
      <c r="BS66">
        <f>CumulativeConfirmed!BS66-CumulativeRecovered!BS66-CumulativeDead!BS66</f>
        <v>0</v>
      </c>
      <c r="BT66">
        <f>CumulativeConfirmed!BT66-CumulativeRecovered!BT66-CumulativeDead!BT66</f>
        <v>0</v>
      </c>
    </row>
    <row r="67" spans="1:72" ht="15" thickBot="1" x14ac:dyDescent="0.35">
      <c r="A67" s="3" t="s">
        <v>199</v>
      </c>
      <c r="B67">
        <f>CumulativeConfirmed!B67-CumulativeRecovered!B67-CumulativeDead!B67</f>
        <v>0</v>
      </c>
      <c r="C67">
        <f>CumulativeConfirmed!C67-CumulativeRecovered!C67-CumulativeDead!C67</f>
        <v>0</v>
      </c>
      <c r="D67">
        <f>CumulativeConfirmed!D67-CumulativeRecovered!D67-CumulativeDead!D67</f>
        <v>0</v>
      </c>
      <c r="E67">
        <f>CumulativeConfirmed!E67-CumulativeRecovered!E67-CumulativeDead!E67</f>
        <v>0</v>
      </c>
      <c r="F67">
        <f>CumulativeConfirmed!F67-CumulativeRecovered!F67-CumulativeDead!F67</f>
        <v>0</v>
      </c>
      <c r="G67">
        <f>CumulativeConfirmed!G67-CumulativeRecovered!G67-CumulativeDead!G67</f>
        <v>0</v>
      </c>
      <c r="H67">
        <f>CumulativeConfirmed!H67-CumulativeRecovered!H67-CumulativeDead!H67</f>
        <v>0</v>
      </c>
      <c r="I67">
        <f>CumulativeConfirmed!I67-CumulativeRecovered!I67-CumulativeDead!I67</f>
        <v>0</v>
      </c>
      <c r="J67">
        <f>CumulativeConfirmed!J67-CumulativeRecovered!J67-CumulativeDead!J67</f>
        <v>0</v>
      </c>
      <c r="K67">
        <f>CumulativeConfirmed!K67-CumulativeRecovered!K67-CumulativeDead!K67</f>
        <v>0</v>
      </c>
      <c r="L67">
        <f>CumulativeConfirmed!L67-CumulativeRecovered!L67-CumulativeDead!L67</f>
        <v>0</v>
      </c>
      <c r="M67">
        <f>CumulativeConfirmed!M67-CumulativeRecovered!M67-CumulativeDead!M67</f>
        <v>0</v>
      </c>
      <c r="N67">
        <f>CumulativeConfirmed!N67-CumulativeRecovered!N67-CumulativeDead!N67</f>
        <v>0</v>
      </c>
      <c r="O67">
        <f>CumulativeConfirmed!O67-CumulativeRecovered!O67-CumulativeDead!O67</f>
        <v>0</v>
      </c>
      <c r="P67">
        <f>CumulativeConfirmed!P67-CumulativeRecovered!P67-CumulativeDead!P67</f>
        <v>0</v>
      </c>
      <c r="Q67">
        <f>CumulativeConfirmed!Q67-CumulativeRecovered!Q67-CumulativeDead!Q67</f>
        <v>0</v>
      </c>
      <c r="R67">
        <f>CumulativeConfirmed!R67-CumulativeRecovered!R67-CumulativeDead!R67</f>
        <v>0</v>
      </c>
      <c r="S67">
        <f>CumulativeConfirmed!S67-CumulativeRecovered!S67-CumulativeDead!S67</f>
        <v>0</v>
      </c>
      <c r="T67">
        <f>CumulativeConfirmed!T67-CumulativeRecovered!T67-CumulativeDead!T67</f>
        <v>0</v>
      </c>
      <c r="U67">
        <f>CumulativeConfirmed!U67-CumulativeRecovered!U67-CumulativeDead!U67</f>
        <v>0</v>
      </c>
      <c r="V67">
        <f>CumulativeConfirmed!V67-CumulativeRecovered!V67-CumulativeDead!V67</f>
        <v>0</v>
      </c>
      <c r="W67">
        <f>CumulativeConfirmed!W67-CumulativeRecovered!W67-CumulativeDead!W67</f>
        <v>0</v>
      </c>
      <c r="X67">
        <f>CumulativeConfirmed!X67-CumulativeRecovered!X67-CumulativeDead!X67</f>
        <v>0</v>
      </c>
      <c r="Y67">
        <f>CumulativeConfirmed!Y67-CumulativeRecovered!Y67-CumulativeDead!Y67</f>
        <v>0</v>
      </c>
      <c r="Z67">
        <f>CumulativeConfirmed!Z67-CumulativeRecovered!Z67-CumulativeDead!Z67</f>
        <v>0</v>
      </c>
      <c r="AA67">
        <f>CumulativeConfirmed!AA67-CumulativeRecovered!AA67-CumulativeDead!AA67</f>
        <v>0</v>
      </c>
      <c r="AB67">
        <f>CumulativeConfirmed!AB67-CumulativeRecovered!AB67-CumulativeDead!AB67</f>
        <v>0</v>
      </c>
      <c r="AC67">
        <f>CumulativeConfirmed!AC67-CumulativeRecovered!AC67-CumulativeDead!AC67</f>
        <v>0</v>
      </c>
      <c r="AD67">
        <f>CumulativeConfirmed!AD67-CumulativeRecovered!AD67-CumulativeDead!AD67</f>
        <v>0</v>
      </c>
      <c r="AE67">
        <f>CumulativeConfirmed!AE67-CumulativeRecovered!AE67-CumulativeDead!AE67</f>
        <v>0</v>
      </c>
      <c r="AF67">
        <f>CumulativeConfirmed!AF67-CumulativeRecovered!AF67-CumulativeDead!AF67</f>
        <v>0</v>
      </c>
      <c r="AG67">
        <f>CumulativeConfirmed!AG67-CumulativeRecovered!AG67-CumulativeDead!AG67</f>
        <v>0</v>
      </c>
      <c r="AH67">
        <f>CumulativeConfirmed!AH67-CumulativeRecovered!AH67-CumulativeDead!AH67</f>
        <v>0</v>
      </c>
      <c r="AI67">
        <f>CumulativeConfirmed!AI67-CumulativeRecovered!AI67-CumulativeDead!AI67</f>
        <v>0</v>
      </c>
      <c r="AJ67">
        <f>CumulativeConfirmed!AJ67-CumulativeRecovered!AJ67-CumulativeDead!AJ67</f>
        <v>0</v>
      </c>
      <c r="AK67">
        <f>CumulativeConfirmed!AK67-CumulativeRecovered!AK67-CumulativeDead!AK67</f>
        <v>0</v>
      </c>
      <c r="AL67">
        <f>CumulativeConfirmed!AL67-CumulativeRecovered!AL67-CumulativeDead!AL67</f>
        <v>0</v>
      </c>
      <c r="AM67">
        <f>CumulativeConfirmed!AM67-CumulativeRecovered!AM67-CumulativeDead!AM67</f>
        <v>0</v>
      </c>
      <c r="AN67">
        <f>CumulativeConfirmed!AN67-CumulativeRecovered!AN67-CumulativeDead!AN67</f>
        <v>0</v>
      </c>
      <c r="AO67">
        <f>CumulativeConfirmed!AO67-CumulativeRecovered!AO67-CumulativeDead!AO67</f>
        <v>0</v>
      </c>
      <c r="AP67">
        <f>CumulativeConfirmed!AP67-CumulativeRecovered!AP67-CumulativeDead!AP67</f>
        <v>0</v>
      </c>
      <c r="AQ67">
        <f>CumulativeConfirmed!AQ67-CumulativeRecovered!AQ67-CumulativeDead!AQ67</f>
        <v>0</v>
      </c>
      <c r="AR67">
        <f>CumulativeConfirmed!AR67-CumulativeRecovered!AR67-CumulativeDead!AR67</f>
        <v>0</v>
      </c>
      <c r="AS67">
        <f>CumulativeConfirmed!AS67-CumulativeRecovered!AS67-CumulativeDead!AS67</f>
        <v>0</v>
      </c>
      <c r="AT67">
        <f>CumulativeConfirmed!AT67-CumulativeRecovered!AT67-CumulativeDead!AT67</f>
        <v>0</v>
      </c>
      <c r="AU67">
        <f>CumulativeConfirmed!AU67-CumulativeRecovered!AU67-CumulativeDead!AU67</f>
        <v>0</v>
      </c>
      <c r="AV67">
        <f>CumulativeConfirmed!AV67-CumulativeRecovered!AV67-CumulativeDead!AV67</f>
        <v>4</v>
      </c>
      <c r="AW67">
        <f>CumulativeConfirmed!AW67-CumulativeRecovered!AW67-CumulativeDead!AW67</f>
        <v>4</v>
      </c>
      <c r="AX67">
        <f>CumulativeConfirmed!AX67-CumulativeRecovered!AX67-CumulativeDead!AX67</f>
        <v>4</v>
      </c>
      <c r="AY67">
        <f>CumulativeConfirmed!AY67-CumulativeRecovered!AY67-CumulativeDead!AY67</f>
        <v>6</v>
      </c>
      <c r="AZ67">
        <f>CumulativeConfirmed!AZ67-CumulativeRecovered!AZ67-CumulativeDead!AZ67</f>
        <v>6</v>
      </c>
      <c r="BA67">
        <f>CumulativeConfirmed!BA67-CumulativeRecovered!BA67-CumulativeDead!BA67</f>
        <v>22</v>
      </c>
      <c r="BB67">
        <f>CumulativeConfirmed!BB67-CumulativeRecovered!BB67-CumulativeDead!BB67</f>
        <v>39</v>
      </c>
      <c r="BC67">
        <f>CumulativeConfirmed!BC67-CumulativeRecovered!BC67-CumulativeDead!BC67</f>
        <v>49</v>
      </c>
      <c r="BD67">
        <f>CumulativeConfirmed!BD67-CumulativeRecovered!BD67-CumulativeDead!BD67</f>
        <v>50</v>
      </c>
      <c r="BE67">
        <f>CumulativeConfirmed!BE67-CumulativeRecovered!BE67-CumulativeDead!BE67</f>
        <v>65</v>
      </c>
      <c r="BF67">
        <f>CumulativeConfirmed!BF67-CumulativeRecovered!BF67-CumulativeDead!BF67</f>
        <v>90</v>
      </c>
      <c r="BG67">
        <f>CumulativeConfirmed!BG67-CumulativeRecovered!BG67-CumulativeDead!BG67</f>
        <v>91</v>
      </c>
      <c r="BH67">
        <f>CumulativeConfirmed!BH67-CumulativeRecovered!BH67-CumulativeDead!BH67</f>
        <v>124</v>
      </c>
      <c r="BI67">
        <f>CumulativeConfirmed!BI67-CumulativeRecovered!BI67-CumulativeDead!BI67</f>
        <v>0</v>
      </c>
      <c r="BJ67">
        <f>CumulativeConfirmed!BJ67-CumulativeRecovered!BJ67-CumulativeDead!BJ67</f>
        <v>0</v>
      </c>
      <c r="BK67">
        <f>CumulativeConfirmed!BK67-CumulativeRecovered!BK67-CumulativeDead!BK67</f>
        <v>0</v>
      </c>
      <c r="BL67">
        <f>CumulativeConfirmed!BL67-CumulativeRecovered!BL67-CumulativeDead!BL67</f>
        <v>0</v>
      </c>
      <c r="BM67">
        <f>CumulativeConfirmed!BM67-CumulativeRecovered!BM67-CumulativeDead!BM67</f>
        <v>0</v>
      </c>
      <c r="BN67">
        <f>CumulativeConfirmed!BN67-CumulativeRecovered!BN67-CumulativeDead!BN67</f>
        <v>0</v>
      </c>
      <c r="BO67">
        <f>CumulativeConfirmed!BO67-CumulativeRecovered!BO67-CumulativeDead!BO67</f>
        <v>0</v>
      </c>
      <c r="BP67">
        <f>CumulativeConfirmed!BP67-CumulativeRecovered!BP67-CumulativeDead!BP67</f>
        <v>0</v>
      </c>
      <c r="BQ67">
        <f>CumulativeConfirmed!BQ67-CumulativeRecovered!BQ67-CumulativeDead!BQ67</f>
        <v>0</v>
      </c>
      <c r="BR67">
        <f>CumulativeConfirmed!BR67-CumulativeRecovered!BR67-CumulativeDead!BR67</f>
        <v>0</v>
      </c>
      <c r="BS67">
        <f>CumulativeConfirmed!BS67-CumulativeRecovered!BS67-CumulativeDead!BS67</f>
        <v>0</v>
      </c>
      <c r="BT67">
        <f>CumulativeConfirmed!BT67-CumulativeRecovered!BT67-CumulativeDead!BT67</f>
        <v>0</v>
      </c>
    </row>
    <row r="68" spans="1:72" ht="15" thickBot="1" x14ac:dyDescent="0.35">
      <c r="A68" s="3" t="s">
        <v>159</v>
      </c>
      <c r="B68">
        <f>CumulativeConfirmed!B68-CumulativeRecovered!B68-CumulativeDead!B68</f>
        <v>0</v>
      </c>
      <c r="C68">
        <f>CumulativeConfirmed!C68-CumulativeRecovered!C68-CumulativeDead!C68</f>
        <v>0</v>
      </c>
      <c r="D68">
        <f>CumulativeConfirmed!D68-CumulativeRecovered!D68-CumulativeDead!D68</f>
        <v>0</v>
      </c>
      <c r="E68">
        <f>CumulativeConfirmed!E68-CumulativeRecovered!E68-CumulativeDead!E68</f>
        <v>0</v>
      </c>
      <c r="F68">
        <f>CumulativeConfirmed!F68-CumulativeRecovered!F68-CumulativeDead!F68</f>
        <v>0</v>
      </c>
      <c r="G68">
        <f>CumulativeConfirmed!G68-CumulativeRecovered!G68-CumulativeDead!G68</f>
        <v>0</v>
      </c>
      <c r="H68">
        <f>CumulativeConfirmed!H68-CumulativeRecovered!H68-CumulativeDead!H68</f>
        <v>0</v>
      </c>
      <c r="I68">
        <f>CumulativeConfirmed!I68-CumulativeRecovered!I68-CumulativeDead!I68</f>
        <v>0</v>
      </c>
      <c r="J68">
        <f>CumulativeConfirmed!J68-CumulativeRecovered!J68-CumulativeDead!J68</f>
        <v>0</v>
      </c>
      <c r="K68">
        <f>CumulativeConfirmed!K68-CumulativeRecovered!K68-CumulativeDead!K68</f>
        <v>0</v>
      </c>
      <c r="L68">
        <f>CumulativeConfirmed!L68-CumulativeRecovered!L68-CumulativeDead!L68</f>
        <v>0</v>
      </c>
      <c r="M68">
        <f>CumulativeConfirmed!M68-CumulativeRecovered!M68-CumulativeDead!M68</f>
        <v>0</v>
      </c>
      <c r="N68">
        <f>CumulativeConfirmed!N68-CumulativeRecovered!N68-CumulativeDead!N68</f>
        <v>0</v>
      </c>
      <c r="O68">
        <f>CumulativeConfirmed!O68-CumulativeRecovered!O68-CumulativeDead!O68</f>
        <v>0</v>
      </c>
      <c r="P68">
        <f>CumulativeConfirmed!P68-CumulativeRecovered!P68-CumulativeDead!P68</f>
        <v>0</v>
      </c>
      <c r="Q68">
        <f>CumulativeConfirmed!Q68-CumulativeRecovered!Q68-CumulativeDead!Q68</f>
        <v>0</v>
      </c>
      <c r="R68">
        <f>CumulativeConfirmed!R68-CumulativeRecovered!R68-CumulativeDead!R68</f>
        <v>0</v>
      </c>
      <c r="S68">
        <f>CumulativeConfirmed!S68-CumulativeRecovered!S68-CumulativeDead!S68</f>
        <v>0</v>
      </c>
      <c r="T68">
        <f>CumulativeConfirmed!T68-CumulativeRecovered!T68-CumulativeDead!T68</f>
        <v>0</v>
      </c>
      <c r="U68">
        <f>CumulativeConfirmed!U68-CumulativeRecovered!U68-CumulativeDead!U68</f>
        <v>0</v>
      </c>
      <c r="V68">
        <f>CumulativeConfirmed!V68-CumulativeRecovered!V68-CumulativeDead!V68</f>
        <v>0</v>
      </c>
      <c r="W68">
        <f>CumulativeConfirmed!W68-CumulativeRecovered!W68-CumulativeDead!W68</f>
        <v>0</v>
      </c>
      <c r="X68">
        <f>CumulativeConfirmed!X68-CumulativeRecovered!X68-CumulativeDead!X68</f>
        <v>0</v>
      </c>
      <c r="Y68">
        <f>CumulativeConfirmed!Y68-CumulativeRecovered!Y68-CumulativeDead!Y68</f>
        <v>0</v>
      </c>
      <c r="Z68">
        <f>CumulativeConfirmed!Z68-CumulativeRecovered!Z68-CumulativeDead!Z68</f>
        <v>0</v>
      </c>
      <c r="AA68">
        <f>CumulativeConfirmed!AA68-CumulativeRecovered!AA68-CumulativeDead!AA68</f>
        <v>0</v>
      </c>
      <c r="AB68">
        <f>CumulativeConfirmed!AB68-CumulativeRecovered!AB68-CumulativeDead!AB68</f>
        <v>0</v>
      </c>
      <c r="AC68">
        <f>CumulativeConfirmed!AC68-CumulativeRecovered!AC68-CumulativeDead!AC68</f>
        <v>0</v>
      </c>
      <c r="AD68">
        <f>CumulativeConfirmed!AD68-CumulativeRecovered!AD68-CumulativeDead!AD68</f>
        <v>0</v>
      </c>
      <c r="AE68">
        <f>CumulativeConfirmed!AE68-CumulativeRecovered!AE68-CumulativeDead!AE68</f>
        <v>0</v>
      </c>
      <c r="AF68">
        <f>CumulativeConfirmed!AF68-CumulativeRecovered!AF68-CumulativeDead!AF68</f>
        <v>0</v>
      </c>
      <c r="AG68">
        <f>CumulativeConfirmed!AG68-CumulativeRecovered!AG68-CumulativeDead!AG68</f>
        <v>0</v>
      </c>
      <c r="AH68">
        <f>CumulativeConfirmed!AH68-CumulativeRecovered!AH68-CumulativeDead!AH68</f>
        <v>0</v>
      </c>
      <c r="AI68">
        <f>CumulativeConfirmed!AI68-CumulativeRecovered!AI68-CumulativeDead!AI68</f>
        <v>0</v>
      </c>
      <c r="AJ68">
        <f>CumulativeConfirmed!AJ68-CumulativeRecovered!AJ68-CumulativeDead!AJ68</f>
        <v>0</v>
      </c>
      <c r="AK68">
        <f>CumulativeConfirmed!AK68-CumulativeRecovered!AK68-CumulativeDead!AK68</f>
        <v>0</v>
      </c>
      <c r="AL68">
        <f>CumulativeConfirmed!AL68-CumulativeRecovered!AL68-CumulativeDead!AL68</f>
        <v>0</v>
      </c>
      <c r="AM68">
        <f>CumulativeConfirmed!AM68-CumulativeRecovered!AM68-CumulativeDead!AM68</f>
        <v>0</v>
      </c>
      <c r="AN68">
        <f>CumulativeConfirmed!AN68-CumulativeRecovered!AN68-CumulativeDead!AN68</f>
        <v>0</v>
      </c>
      <c r="AO68">
        <f>CumulativeConfirmed!AO68-CumulativeRecovered!AO68-CumulativeDead!AO68</f>
        <v>0</v>
      </c>
      <c r="AP68">
        <f>CumulativeConfirmed!AP68-CumulativeRecovered!AP68-CumulativeDead!AP68</f>
        <v>0</v>
      </c>
      <c r="AQ68">
        <f>CumulativeConfirmed!AQ68-CumulativeRecovered!AQ68-CumulativeDead!AQ68</f>
        <v>0</v>
      </c>
      <c r="AR68">
        <f>CumulativeConfirmed!AR68-CumulativeRecovered!AR68-CumulativeDead!AR68</f>
        <v>0</v>
      </c>
      <c r="AS68">
        <f>CumulativeConfirmed!AS68-CumulativeRecovered!AS68-CumulativeDead!AS68</f>
        <v>0</v>
      </c>
      <c r="AT68">
        <f>CumulativeConfirmed!AT68-CumulativeRecovered!AT68-CumulativeDead!AT68</f>
        <v>1</v>
      </c>
      <c r="AU68">
        <f>CumulativeConfirmed!AU68-CumulativeRecovered!AU68-CumulativeDead!AU68</f>
        <v>1</v>
      </c>
      <c r="AV68">
        <f>CumulativeConfirmed!AV68-CumulativeRecovered!AV68-CumulativeDead!AV68</f>
        <v>5</v>
      </c>
      <c r="AW68">
        <f>CumulativeConfirmed!AW68-CumulativeRecovered!AW68-CumulativeDead!AW68</f>
        <v>9</v>
      </c>
      <c r="AX68">
        <f>CumulativeConfirmed!AX68-CumulativeRecovered!AX68-CumulativeDead!AX68</f>
        <v>9</v>
      </c>
      <c r="AY68">
        <f>CumulativeConfirmed!AY68-CumulativeRecovered!AY68-CumulativeDead!AY68</f>
        <v>13</v>
      </c>
      <c r="AZ68">
        <f>CumulativeConfirmed!AZ68-CumulativeRecovered!AZ68-CumulativeDead!AZ68</f>
        <v>22</v>
      </c>
      <c r="BA68">
        <f>CumulativeConfirmed!BA68-CumulativeRecovered!BA68-CumulativeDead!BA68</f>
        <v>23</v>
      </c>
      <c r="BB68">
        <f>CumulativeConfirmed!BB68-CumulativeRecovered!BB68-CumulativeDead!BB68</f>
        <v>26</v>
      </c>
      <c r="BC68">
        <f>CumulativeConfirmed!BC68-CumulativeRecovered!BC68-CumulativeDead!BC68</f>
        <v>27</v>
      </c>
      <c r="BD68">
        <f>CumulativeConfirmed!BD68-CumulativeRecovered!BD68-CumulativeDead!BD68</f>
        <v>35</v>
      </c>
      <c r="BE68">
        <f>CumulativeConfirmed!BE68-CumulativeRecovered!BE68-CumulativeDead!BE68</f>
        <v>41</v>
      </c>
      <c r="BF68">
        <f>CumulativeConfirmed!BF68-CumulativeRecovered!BF68-CumulativeDead!BF68</f>
        <v>50</v>
      </c>
      <c r="BG68">
        <f>CumulativeConfirmed!BG68-CumulativeRecovered!BG68-CumulativeDead!BG68</f>
        <v>68</v>
      </c>
      <c r="BH68">
        <f>CumulativeConfirmed!BH68-CumulativeRecovered!BH68-CumulativeDead!BH68</f>
        <v>88</v>
      </c>
      <c r="BI68">
        <f>CumulativeConfirmed!BI68-CumulativeRecovered!BI68-CumulativeDead!BI68</f>
        <v>0</v>
      </c>
      <c r="BJ68">
        <f>CumulativeConfirmed!BJ68-CumulativeRecovered!BJ68-CumulativeDead!BJ68</f>
        <v>0</v>
      </c>
      <c r="BK68">
        <f>CumulativeConfirmed!BK68-CumulativeRecovered!BK68-CumulativeDead!BK68</f>
        <v>0</v>
      </c>
      <c r="BL68">
        <f>CumulativeConfirmed!BL68-CumulativeRecovered!BL68-CumulativeDead!BL68</f>
        <v>0</v>
      </c>
      <c r="BM68">
        <f>CumulativeConfirmed!BM68-CumulativeRecovered!BM68-CumulativeDead!BM68</f>
        <v>0</v>
      </c>
      <c r="BN68">
        <f>CumulativeConfirmed!BN68-CumulativeRecovered!BN68-CumulativeDead!BN68</f>
        <v>0</v>
      </c>
      <c r="BO68">
        <f>CumulativeConfirmed!BO68-CumulativeRecovered!BO68-CumulativeDead!BO68</f>
        <v>0</v>
      </c>
      <c r="BP68">
        <f>CumulativeConfirmed!BP68-CumulativeRecovered!BP68-CumulativeDead!BP68</f>
        <v>0</v>
      </c>
      <c r="BQ68">
        <f>CumulativeConfirmed!BQ68-CumulativeRecovered!BQ68-CumulativeDead!BQ68</f>
        <v>0</v>
      </c>
      <c r="BR68">
        <f>CumulativeConfirmed!BR68-CumulativeRecovered!BR68-CumulativeDead!BR68</f>
        <v>0</v>
      </c>
      <c r="BS68">
        <f>CumulativeConfirmed!BS68-CumulativeRecovered!BS68-CumulativeDead!BS68</f>
        <v>0</v>
      </c>
      <c r="BT68">
        <f>CumulativeConfirmed!BT68-CumulativeRecovered!BT68-CumulativeDead!BT68</f>
        <v>0</v>
      </c>
    </row>
    <row r="69" spans="1:72" ht="15" thickBot="1" x14ac:dyDescent="0.35">
      <c r="A69" s="4" t="s">
        <v>132</v>
      </c>
      <c r="B69">
        <f>CumulativeConfirmed!B69-CumulativeRecovered!B69-CumulativeDead!B69</f>
        <v>0</v>
      </c>
      <c r="C69">
        <f>CumulativeConfirmed!C69-CumulativeRecovered!C69-CumulativeDead!C69</f>
        <v>0</v>
      </c>
      <c r="D69">
        <f>CumulativeConfirmed!D69-CumulativeRecovered!D69-CumulativeDead!D69</f>
        <v>0</v>
      </c>
      <c r="E69">
        <f>CumulativeConfirmed!E69-CumulativeRecovered!E69-CumulativeDead!E69</f>
        <v>0</v>
      </c>
      <c r="F69">
        <f>CumulativeConfirmed!F69-CumulativeRecovered!F69-CumulativeDead!F69</f>
        <v>0</v>
      </c>
      <c r="G69">
        <f>CumulativeConfirmed!G69-CumulativeRecovered!G69-CumulativeDead!G69</f>
        <v>0</v>
      </c>
      <c r="H69">
        <f>CumulativeConfirmed!H69-CumulativeRecovered!H69-CumulativeDead!H69</f>
        <v>0</v>
      </c>
      <c r="I69">
        <f>CumulativeConfirmed!I69-CumulativeRecovered!I69-CumulativeDead!I69</f>
        <v>0</v>
      </c>
      <c r="J69">
        <f>CumulativeConfirmed!J69-CumulativeRecovered!J69-CumulativeDead!J69</f>
        <v>0</v>
      </c>
      <c r="K69">
        <f>CumulativeConfirmed!K69-CumulativeRecovered!K69-CumulativeDead!K69</f>
        <v>0</v>
      </c>
      <c r="L69">
        <f>CumulativeConfirmed!L69-CumulativeRecovered!L69-CumulativeDead!L69</f>
        <v>0</v>
      </c>
      <c r="M69">
        <f>CumulativeConfirmed!M69-CumulativeRecovered!M69-CumulativeDead!M69</f>
        <v>0</v>
      </c>
      <c r="N69">
        <f>CumulativeConfirmed!N69-CumulativeRecovered!N69-CumulativeDead!N69</f>
        <v>0</v>
      </c>
      <c r="O69">
        <f>CumulativeConfirmed!O69-CumulativeRecovered!O69-CumulativeDead!O69</f>
        <v>0</v>
      </c>
      <c r="P69">
        <f>CumulativeConfirmed!P69-CumulativeRecovered!P69-CumulativeDead!P69</f>
        <v>0</v>
      </c>
      <c r="Q69">
        <f>CumulativeConfirmed!Q69-CumulativeRecovered!Q69-CumulativeDead!Q69</f>
        <v>0</v>
      </c>
      <c r="R69">
        <f>CumulativeConfirmed!R69-CumulativeRecovered!R69-CumulativeDead!R69</f>
        <v>0</v>
      </c>
      <c r="S69">
        <f>CumulativeConfirmed!S69-CumulativeRecovered!S69-CumulativeDead!S69</f>
        <v>0</v>
      </c>
      <c r="T69">
        <f>CumulativeConfirmed!T69-CumulativeRecovered!T69-CumulativeDead!T69</f>
        <v>0</v>
      </c>
      <c r="U69">
        <f>CumulativeConfirmed!U69-CumulativeRecovered!U69-CumulativeDead!U69</f>
        <v>0</v>
      </c>
      <c r="V69">
        <f>CumulativeConfirmed!V69-CumulativeRecovered!V69-CumulativeDead!V69</f>
        <v>0</v>
      </c>
      <c r="W69">
        <f>CumulativeConfirmed!W69-CumulativeRecovered!W69-CumulativeDead!W69</f>
        <v>0</v>
      </c>
      <c r="X69">
        <f>CumulativeConfirmed!X69-CumulativeRecovered!X69-CumulativeDead!X69</f>
        <v>0</v>
      </c>
      <c r="Y69">
        <f>CumulativeConfirmed!Y69-CumulativeRecovered!Y69-CumulativeDead!Y69</f>
        <v>0</v>
      </c>
      <c r="Z69">
        <f>CumulativeConfirmed!Z69-CumulativeRecovered!Z69-CumulativeDead!Z69</f>
        <v>0</v>
      </c>
      <c r="AA69">
        <f>CumulativeConfirmed!AA69-CumulativeRecovered!AA69-CumulativeDead!AA69</f>
        <v>0</v>
      </c>
      <c r="AB69">
        <f>CumulativeConfirmed!AB69-CumulativeRecovered!AB69-CumulativeDead!AB69</f>
        <v>0</v>
      </c>
      <c r="AC69">
        <f>CumulativeConfirmed!AC69-CumulativeRecovered!AC69-CumulativeDead!AC69</f>
        <v>0</v>
      </c>
      <c r="AD69">
        <f>CumulativeConfirmed!AD69-CumulativeRecovered!AD69-CumulativeDead!AD69</f>
        <v>0</v>
      </c>
      <c r="AE69">
        <f>CumulativeConfirmed!AE69-CumulativeRecovered!AE69-CumulativeDead!AE69</f>
        <v>0</v>
      </c>
      <c r="AF69">
        <f>CumulativeConfirmed!AF69-CumulativeRecovered!AF69-CumulativeDead!AF69</f>
        <v>0</v>
      </c>
      <c r="AG69">
        <f>CumulativeConfirmed!AG69-CumulativeRecovered!AG69-CumulativeDead!AG69</f>
        <v>0</v>
      </c>
      <c r="AH69">
        <f>CumulativeConfirmed!AH69-CumulativeRecovered!AH69-CumulativeDead!AH69</f>
        <v>0</v>
      </c>
      <c r="AI69">
        <f>CumulativeConfirmed!AI69-CumulativeRecovered!AI69-CumulativeDead!AI69</f>
        <v>0</v>
      </c>
      <c r="AJ69">
        <f>CumulativeConfirmed!AJ69-CumulativeRecovered!AJ69-CumulativeDead!AJ69</f>
        <v>0</v>
      </c>
      <c r="AK69">
        <f>CumulativeConfirmed!AK69-CumulativeRecovered!AK69-CumulativeDead!AK69</f>
        <v>0</v>
      </c>
      <c r="AL69">
        <f>CumulativeConfirmed!AL69-CumulativeRecovered!AL69-CumulativeDead!AL69</f>
        <v>0</v>
      </c>
      <c r="AM69">
        <f>CumulativeConfirmed!AM69-CumulativeRecovered!AM69-CumulativeDead!AM69</f>
        <v>0</v>
      </c>
      <c r="AN69">
        <f>CumulativeConfirmed!AN69-CumulativeRecovered!AN69-CumulativeDead!AN69</f>
        <v>0</v>
      </c>
      <c r="AO69">
        <f>CumulativeConfirmed!AO69-CumulativeRecovered!AO69-CumulativeDead!AO69</f>
        <v>0</v>
      </c>
      <c r="AP69">
        <f>CumulativeConfirmed!AP69-CumulativeRecovered!AP69-CumulativeDead!AP69</f>
        <v>0</v>
      </c>
      <c r="AQ69">
        <f>CumulativeConfirmed!AQ69-CumulativeRecovered!AQ69-CumulativeDead!AQ69</f>
        <v>0</v>
      </c>
      <c r="AR69">
        <f>CumulativeConfirmed!AR69-CumulativeRecovered!AR69-CumulativeDead!AR69</f>
        <v>2</v>
      </c>
      <c r="AS69">
        <f>CumulativeConfirmed!AS69-CumulativeRecovered!AS69-CumulativeDead!AS69</f>
        <v>2</v>
      </c>
      <c r="AT69">
        <f>CumulativeConfirmed!AT69-CumulativeRecovered!AT69-CumulativeDead!AT69</f>
        <v>2</v>
      </c>
      <c r="AU69">
        <f>CumulativeConfirmed!AU69-CumulativeRecovered!AU69-CumulativeDead!AU69</f>
        <v>4</v>
      </c>
      <c r="AV69">
        <f>CumulativeConfirmed!AV69-CumulativeRecovered!AV69-CumulativeDead!AV69</f>
        <v>7</v>
      </c>
      <c r="AW69">
        <f>CumulativeConfirmed!AW69-CumulativeRecovered!AW69-CumulativeDead!AW69</f>
        <v>9</v>
      </c>
      <c r="AX69">
        <f>CumulativeConfirmed!AX69-CumulativeRecovered!AX69-CumulativeDead!AX69</f>
        <v>9</v>
      </c>
      <c r="AY69">
        <f>CumulativeConfirmed!AY69-CumulativeRecovered!AY69-CumulativeDead!AY69</f>
        <v>13</v>
      </c>
      <c r="AZ69">
        <f>CumulativeConfirmed!AZ69-CumulativeRecovered!AZ69-CumulativeDead!AZ69</f>
        <v>13</v>
      </c>
      <c r="BA69">
        <f>CumulativeConfirmed!BA69-CumulativeRecovered!BA69-CumulativeDead!BA69</f>
        <v>19</v>
      </c>
      <c r="BB69">
        <f>CumulativeConfirmed!BB69-CumulativeRecovered!BB69-CumulativeDead!BB69</f>
        <v>29</v>
      </c>
      <c r="BC69">
        <f>CumulativeConfirmed!BC69-CumulativeRecovered!BC69-CumulativeDead!BC69</f>
        <v>30</v>
      </c>
      <c r="BD69">
        <f>CumulativeConfirmed!BD69-CumulativeRecovered!BD69-CumulativeDead!BD69</f>
        <v>37</v>
      </c>
      <c r="BE69">
        <f>CumulativeConfirmed!BE69-CumulativeRecovered!BE69-CumulativeDead!BE69</f>
        <v>47</v>
      </c>
      <c r="BF69">
        <f>CumulativeConfirmed!BF69-CumulativeRecovered!BF69-CumulativeDead!BF69</f>
        <v>55</v>
      </c>
      <c r="BG69">
        <f>CumulativeConfirmed!BG69-CumulativeRecovered!BG69-CumulativeDead!BG69</f>
        <v>70</v>
      </c>
      <c r="BH69">
        <f>CumulativeConfirmed!BH69-CumulativeRecovered!BH69-CumulativeDead!BH69</f>
        <v>80</v>
      </c>
      <c r="BI69">
        <f>CumulativeConfirmed!BI69-CumulativeRecovered!BI69-CumulativeDead!BI69</f>
        <v>0</v>
      </c>
      <c r="BJ69">
        <f>CumulativeConfirmed!BJ69-CumulativeRecovered!BJ69-CumulativeDead!BJ69</f>
        <v>0</v>
      </c>
      <c r="BK69">
        <f>CumulativeConfirmed!BK69-CumulativeRecovered!BK69-CumulativeDead!BK69</f>
        <v>0</v>
      </c>
      <c r="BL69">
        <f>CumulativeConfirmed!BL69-CumulativeRecovered!BL69-CumulativeDead!BL69</f>
        <v>0</v>
      </c>
      <c r="BM69">
        <f>CumulativeConfirmed!BM69-CumulativeRecovered!BM69-CumulativeDead!BM69</f>
        <v>0</v>
      </c>
      <c r="BN69">
        <f>CumulativeConfirmed!BN69-CumulativeRecovered!BN69-CumulativeDead!BN69</f>
        <v>0</v>
      </c>
      <c r="BO69">
        <f>CumulativeConfirmed!BO69-CumulativeRecovered!BO69-CumulativeDead!BO69</f>
        <v>0</v>
      </c>
      <c r="BP69">
        <f>CumulativeConfirmed!BP69-CumulativeRecovered!BP69-CumulativeDead!BP69</f>
        <v>0</v>
      </c>
      <c r="BQ69">
        <f>CumulativeConfirmed!BQ69-CumulativeRecovered!BQ69-CumulativeDead!BQ69</f>
        <v>0</v>
      </c>
      <c r="BR69">
        <f>CumulativeConfirmed!BR69-CumulativeRecovered!BR69-CumulativeDead!BR69</f>
        <v>0</v>
      </c>
      <c r="BS69">
        <f>CumulativeConfirmed!BS69-CumulativeRecovered!BS69-CumulativeDead!BS69</f>
        <v>0</v>
      </c>
      <c r="BT69">
        <f>CumulativeConfirmed!BT69-CumulativeRecovered!BT69-CumulativeDead!BT69</f>
        <v>0</v>
      </c>
    </row>
    <row r="70" spans="1:72" ht="15" thickBot="1" x14ac:dyDescent="0.35">
      <c r="A70" s="4" t="s">
        <v>71</v>
      </c>
      <c r="B70">
        <f>CumulativeConfirmed!B70-CumulativeRecovered!B70-CumulativeDead!B70</f>
        <v>0</v>
      </c>
      <c r="C70">
        <f>CumulativeConfirmed!C70-CumulativeRecovered!C70-CumulativeDead!C70</f>
        <v>0</v>
      </c>
      <c r="D70">
        <f>CumulativeConfirmed!D70-CumulativeRecovered!D70-CumulativeDead!D70</f>
        <v>0</v>
      </c>
      <c r="E70">
        <f>CumulativeConfirmed!E70-CumulativeRecovered!E70-CumulativeDead!E70</f>
        <v>0</v>
      </c>
      <c r="F70">
        <f>CumulativeConfirmed!F70-CumulativeRecovered!F70-CumulativeDead!F70</f>
        <v>0</v>
      </c>
      <c r="G70">
        <f>CumulativeConfirmed!G70-CumulativeRecovered!G70-CumulativeDead!G70</f>
        <v>0</v>
      </c>
      <c r="H70">
        <f>CumulativeConfirmed!H70-CumulativeRecovered!H70-CumulativeDead!H70</f>
        <v>0</v>
      </c>
      <c r="I70">
        <f>CumulativeConfirmed!I70-CumulativeRecovered!I70-CumulativeDead!I70</f>
        <v>0</v>
      </c>
      <c r="J70">
        <f>CumulativeConfirmed!J70-CumulativeRecovered!J70-CumulativeDead!J70</f>
        <v>0</v>
      </c>
      <c r="K70">
        <f>CumulativeConfirmed!K70-CumulativeRecovered!K70-CumulativeDead!K70</f>
        <v>0</v>
      </c>
      <c r="L70">
        <f>CumulativeConfirmed!L70-CumulativeRecovered!L70-CumulativeDead!L70</f>
        <v>0</v>
      </c>
      <c r="M70">
        <f>CumulativeConfirmed!M70-CumulativeRecovered!M70-CumulativeDead!M70</f>
        <v>0</v>
      </c>
      <c r="N70">
        <f>CumulativeConfirmed!N70-CumulativeRecovered!N70-CumulativeDead!N70</f>
        <v>0</v>
      </c>
      <c r="O70">
        <f>CumulativeConfirmed!O70-CumulativeRecovered!O70-CumulativeDead!O70</f>
        <v>0</v>
      </c>
      <c r="P70">
        <f>CumulativeConfirmed!P70-CumulativeRecovered!P70-CumulativeDead!P70</f>
        <v>0</v>
      </c>
      <c r="Q70">
        <f>CumulativeConfirmed!Q70-CumulativeRecovered!Q70-CumulativeDead!Q70</f>
        <v>0</v>
      </c>
      <c r="R70">
        <f>CumulativeConfirmed!R70-CumulativeRecovered!R70-CumulativeDead!R70</f>
        <v>0</v>
      </c>
      <c r="S70">
        <f>CumulativeConfirmed!S70-CumulativeRecovered!S70-CumulativeDead!S70</f>
        <v>0</v>
      </c>
      <c r="T70">
        <f>CumulativeConfirmed!T70-CumulativeRecovered!T70-CumulativeDead!T70</f>
        <v>0</v>
      </c>
      <c r="U70">
        <f>CumulativeConfirmed!U70-CumulativeRecovered!U70-CumulativeDead!U70</f>
        <v>0</v>
      </c>
      <c r="V70">
        <f>CumulativeConfirmed!V70-CumulativeRecovered!V70-CumulativeDead!V70</f>
        <v>0</v>
      </c>
      <c r="W70">
        <f>CumulativeConfirmed!W70-CumulativeRecovered!W70-CumulativeDead!W70</f>
        <v>0</v>
      </c>
      <c r="X70">
        <f>CumulativeConfirmed!X70-CumulativeRecovered!X70-CumulativeDead!X70</f>
        <v>0</v>
      </c>
      <c r="Y70">
        <f>CumulativeConfirmed!Y70-CumulativeRecovered!Y70-CumulativeDead!Y70</f>
        <v>0</v>
      </c>
      <c r="Z70">
        <f>CumulativeConfirmed!Z70-CumulativeRecovered!Z70-CumulativeDead!Z70</f>
        <v>0</v>
      </c>
      <c r="AA70">
        <f>CumulativeConfirmed!AA70-CumulativeRecovered!AA70-CumulativeDead!AA70</f>
        <v>0</v>
      </c>
      <c r="AB70">
        <f>CumulativeConfirmed!AB70-CumulativeRecovered!AB70-CumulativeDead!AB70</f>
        <v>0</v>
      </c>
      <c r="AC70">
        <f>CumulativeConfirmed!AC70-CumulativeRecovered!AC70-CumulativeDead!AC70</f>
        <v>0</v>
      </c>
      <c r="AD70">
        <f>CumulativeConfirmed!AD70-CumulativeRecovered!AD70-CumulativeDead!AD70</f>
        <v>0</v>
      </c>
      <c r="AE70">
        <f>CumulativeConfirmed!AE70-CumulativeRecovered!AE70-CumulativeDead!AE70</f>
        <v>0</v>
      </c>
      <c r="AF70">
        <f>CumulativeConfirmed!AF70-CumulativeRecovered!AF70-CumulativeDead!AF70</f>
        <v>0</v>
      </c>
      <c r="AG70">
        <f>CumulativeConfirmed!AG70-CumulativeRecovered!AG70-CumulativeDead!AG70</f>
        <v>0</v>
      </c>
      <c r="AH70">
        <f>CumulativeConfirmed!AH70-CumulativeRecovered!AH70-CumulativeDead!AH70</f>
        <v>0</v>
      </c>
      <c r="AI70">
        <f>CumulativeConfirmed!AI70-CumulativeRecovered!AI70-CumulativeDead!AI70</f>
        <v>2</v>
      </c>
      <c r="AJ70">
        <f>CumulativeConfirmed!AJ70-CumulativeRecovered!AJ70-CumulativeDead!AJ70</f>
        <v>2</v>
      </c>
      <c r="AK70">
        <f>CumulativeConfirmed!AK70-CumulativeRecovered!AK70-CumulativeDead!AK70</f>
        <v>4</v>
      </c>
      <c r="AL70">
        <f>CumulativeConfirmed!AL70-CumulativeRecovered!AL70-CumulativeDead!AL70</f>
        <v>4</v>
      </c>
      <c r="AM70">
        <f>CumulativeConfirmed!AM70-CumulativeRecovered!AM70-CumulativeDead!AM70</f>
        <v>4</v>
      </c>
      <c r="AN70">
        <f>CumulativeConfirmed!AN70-CumulativeRecovered!AN70-CumulativeDead!AN70</f>
        <v>5</v>
      </c>
      <c r="AO70">
        <f>CumulativeConfirmed!AO70-CumulativeRecovered!AO70-CumulativeDead!AO70</f>
        <v>5</v>
      </c>
      <c r="AP70">
        <f>CumulativeConfirmed!AP70-CumulativeRecovered!AP70-CumulativeDead!AP70</f>
        <v>5</v>
      </c>
      <c r="AQ70">
        <f>CumulativeConfirmed!AQ70-CumulativeRecovered!AQ70-CumulativeDead!AQ70</f>
        <v>10</v>
      </c>
      <c r="AR70">
        <f>CumulativeConfirmed!AR70-CumulativeRecovered!AR70-CumulativeDead!AR70</f>
        <v>13</v>
      </c>
      <c r="AS70">
        <f>CumulativeConfirmed!AS70-CumulativeRecovered!AS70-CumulativeDead!AS70</f>
        <v>14</v>
      </c>
      <c r="AT70">
        <f>CumulativeConfirmed!AT70-CumulativeRecovered!AT70-CumulativeDead!AT70</f>
        <v>14</v>
      </c>
      <c r="AU70">
        <f>CumulativeConfirmed!AU70-CumulativeRecovered!AU70-CumulativeDead!AU70</f>
        <v>14</v>
      </c>
      <c r="AV70">
        <f>CumulativeConfirmed!AV70-CumulativeRecovered!AV70-CumulativeDead!AV70</f>
        <v>14</v>
      </c>
      <c r="AW70">
        <f>CumulativeConfirmed!AW70-CumulativeRecovered!AW70-CumulativeDead!AW70</f>
        <v>14</v>
      </c>
      <c r="AX70">
        <f>CumulativeConfirmed!AX70-CumulativeRecovered!AX70-CumulativeDead!AX70</f>
        <v>9</v>
      </c>
      <c r="AY70">
        <f>CumulativeConfirmed!AY70-CumulativeRecovered!AY70-CumulativeDead!AY70</f>
        <v>9</v>
      </c>
      <c r="AZ70">
        <f>CumulativeConfirmed!AZ70-CumulativeRecovered!AZ70-CumulativeDead!AZ70</f>
        <v>9</v>
      </c>
      <c r="BA70">
        <f>CumulativeConfirmed!BA70-CumulativeRecovered!BA70-CumulativeDead!BA70</f>
        <v>10</v>
      </c>
      <c r="BB70">
        <f>CumulativeConfirmed!BB70-CumulativeRecovered!BB70-CumulativeDead!BB70</f>
        <v>10</v>
      </c>
      <c r="BC70">
        <f>CumulativeConfirmed!BC70-CumulativeRecovered!BC70-CumulativeDead!BC70</f>
        <v>13</v>
      </c>
      <c r="BD70">
        <f>CumulativeConfirmed!BD70-CumulativeRecovered!BD70-CumulativeDead!BD70</f>
        <v>13</v>
      </c>
      <c r="BE70">
        <f>CumulativeConfirmed!BE70-CumulativeRecovered!BE70-CumulativeDead!BE70</f>
        <v>15</v>
      </c>
      <c r="BF70">
        <f>CumulativeConfirmed!BF70-CumulativeRecovered!BF70-CumulativeDead!BF70</f>
        <v>27</v>
      </c>
      <c r="BG70">
        <f>CumulativeConfirmed!BG70-CumulativeRecovered!BG70-CumulativeDead!BG70</f>
        <v>36</v>
      </c>
      <c r="BH70">
        <f>CumulativeConfirmed!BH70-CumulativeRecovered!BH70-CumulativeDead!BH70</f>
        <v>36</v>
      </c>
      <c r="BI70">
        <f>CumulativeConfirmed!BI70-CumulativeRecovered!BI70-CumulativeDead!BI70</f>
        <v>0</v>
      </c>
      <c r="BJ70">
        <f>CumulativeConfirmed!BJ70-CumulativeRecovered!BJ70-CumulativeDead!BJ70</f>
        <v>0</v>
      </c>
      <c r="BK70">
        <f>CumulativeConfirmed!BK70-CumulativeRecovered!BK70-CumulativeDead!BK70</f>
        <v>0</v>
      </c>
      <c r="BL70">
        <f>CumulativeConfirmed!BL70-CumulativeRecovered!BL70-CumulativeDead!BL70</f>
        <v>0</v>
      </c>
      <c r="BM70">
        <f>CumulativeConfirmed!BM70-CumulativeRecovered!BM70-CumulativeDead!BM70</f>
        <v>0</v>
      </c>
      <c r="BN70">
        <f>CumulativeConfirmed!BN70-CumulativeRecovered!BN70-CumulativeDead!BN70</f>
        <v>0</v>
      </c>
      <c r="BO70">
        <f>CumulativeConfirmed!BO70-CumulativeRecovered!BO70-CumulativeDead!BO70</f>
        <v>0</v>
      </c>
      <c r="BP70">
        <f>CumulativeConfirmed!BP70-CumulativeRecovered!BP70-CumulativeDead!BP70</f>
        <v>0</v>
      </c>
      <c r="BQ70">
        <f>CumulativeConfirmed!BQ70-CumulativeRecovered!BQ70-CumulativeDead!BQ70</f>
        <v>0</v>
      </c>
      <c r="BR70">
        <f>CumulativeConfirmed!BR70-CumulativeRecovered!BR70-CumulativeDead!BR70</f>
        <v>0</v>
      </c>
      <c r="BS70">
        <f>CumulativeConfirmed!BS70-CumulativeRecovered!BS70-CumulativeDead!BS70</f>
        <v>0</v>
      </c>
      <c r="BT70">
        <f>CumulativeConfirmed!BT70-CumulativeRecovered!BT70-CumulativeDead!BT70</f>
        <v>0</v>
      </c>
    </row>
    <row r="71" spans="1:72" ht="15" thickBot="1" x14ac:dyDescent="0.35">
      <c r="A71" s="4" t="s">
        <v>103</v>
      </c>
      <c r="B71">
        <f>CumulativeConfirmed!B71-CumulativeRecovered!B71-CumulativeDead!B71</f>
        <v>0</v>
      </c>
      <c r="C71">
        <f>CumulativeConfirmed!C71-CumulativeRecovered!C71-CumulativeDead!C71</f>
        <v>0</v>
      </c>
      <c r="D71">
        <f>CumulativeConfirmed!D71-CumulativeRecovered!D71-CumulativeDead!D71</f>
        <v>0</v>
      </c>
      <c r="E71">
        <f>CumulativeConfirmed!E71-CumulativeRecovered!E71-CumulativeDead!E71</f>
        <v>0</v>
      </c>
      <c r="F71">
        <f>CumulativeConfirmed!F71-CumulativeRecovered!F71-CumulativeDead!F71</f>
        <v>0</v>
      </c>
      <c r="G71">
        <f>CumulativeConfirmed!G71-CumulativeRecovered!G71-CumulativeDead!G71</f>
        <v>0</v>
      </c>
      <c r="H71">
        <f>CumulativeConfirmed!H71-CumulativeRecovered!H71-CumulativeDead!H71</f>
        <v>0</v>
      </c>
      <c r="I71">
        <f>CumulativeConfirmed!I71-CumulativeRecovered!I71-CumulativeDead!I71</f>
        <v>0</v>
      </c>
      <c r="J71">
        <f>CumulativeConfirmed!J71-CumulativeRecovered!J71-CumulativeDead!J71</f>
        <v>0</v>
      </c>
      <c r="K71">
        <f>CumulativeConfirmed!K71-CumulativeRecovered!K71-CumulativeDead!K71</f>
        <v>0</v>
      </c>
      <c r="L71">
        <f>CumulativeConfirmed!L71-CumulativeRecovered!L71-CumulativeDead!L71</f>
        <v>0</v>
      </c>
      <c r="M71">
        <f>CumulativeConfirmed!M71-CumulativeRecovered!M71-CumulativeDead!M71</f>
        <v>0</v>
      </c>
      <c r="N71">
        <f>CumulativeConfirmed!N71-CumulativeRecovered!N71-CumulativeDead!N71</f>
        <v>0</v>
      </c>
      <c r="O71">
        <f>CumulativeConfirmed!O71-CumulativeRecovered!O71-CumulativeDead!O71</f>
        <v>0</v>
      </c>
      <c r="P71">
        <f>CumulativeConfirmed!P71-CumulativeRecovered!P71-CumulativeDead!P71</f>
        <v>0</v>
      </c>
      <c r="Q71">
        <f>CumulativeConfirmed!Q71-CumulativeRecovered!Q71-CumulativeDead!Q71</f>
        <v>0</v>
      </c>
      <c r="R71">
        <f>CumulativeConfirmed!R71-CumulativeRecovered!R71-CumulativeDead!R71</f>
        <v>0</v>
      </c>
      <c r="S71">
        <f>CumulativeConfirmed!S71-CumulativeRecovered!S71-CumulativeDead!S71</f>
        <v>0</v>
      </c>
      <c r="T71">
        <f>CumulativeConfirmed!T71-CumulativeRecovered!T71-CumulativeDead!T71</f>
        <v>0</v>
      </c>
      <c r="U71">
        <f>CumulativeConfirmed!U71-CumulativeRecovered!U71-CumulativeDead!U71</f>
        <v>0</v>
      </c>
      <c r="V71">
        <f>CumulativeConfirmed!V71-CumulativeRecovered!V71-CumulativeDead!V71</f>
        <v>0</v>
      </c>
      <c r="W71">
        <f>CumulativeConfirmed!W71-CumulativeRecovered!W71-CumulativeDead!W71</f>
        <v>0</v>
      </c>
      <c r="X71">
        <f>CumulativeConfirmed!X71-CumulativeRecovered!X71-CumulativeDead!X71</f>
        <v>0</v>
      </c>
      <c r="Y71">
        <f>CumulativeConfirmed!Y71-CumulativeRecovered!Y71-CumulativeDead!Y71</f>
        <v>0</v>
      </c>
      <c r="Z71">
        <f>CumulativeConfirmed!Z71-CumulativeRecovered!Z71-CumulativeDead!Z71</f>
        <v>0</v>
      </c>
      <c r="AA71">
        <f>CumulativeConfirmed!AA71-CumulativeRecovered!AA71-CumulativeDead!AA71</f>
        <v>0</v>
      </c>
      <c r="AB71">
        <f>CumulativeConfirmed!AB71-CumulativeRecovered!AB71-CumulativeDead!AB71</f>
        <v>0</v>
      </c>
      <c r="AC71">
        <f>CumulativeConfirmed!AC71-CumulativeRecovered!AC71-CumulativeDead!AC71</f>
        <v>0</v>
      </c>
      <c r="AD71">
        <f>CumulativeConfirmed!AD71-CumulativeRecovered!AD71-CumulativeDead!AD71</f>
        <v>0</v>
      </c>
      <c r="AE71">
        <f>CumulativeConfirmed!AE71-CumulativeRecovered!AE71-CumulativeDead!AE71</f>
        <v>0</v>
      </c>
      <c r="AF71">
        <f>CumulativeConfirmed!AF71-CumulativeRecovered!AF71-CumulativeDead!AF71</f>
        <v>0</v>
      </c>
      <c r="AG71">
        <f>CumulativeConfirmed!AG71-CumulativeRecovered!AG71-CumulativeDead!AG71</f>
        <v>0</v>
      </c>
      <c r="AH71">
        <f>CumulativeConfirmed!AH71-CumulativeRecovered!AH71-CumulativeDead!AH71</f>
        <v>0</v>
      </c>
      <c r="AI71">
        <f>CumulativeConfirmed!AI71-CumulativeRecovered!AI71-CumulativeDead!AI71</f>
        <v>0</v>
      </c>
      <c r="AJ71">
        <f>CumulativeConfirmed!AJ71-CumulativeRecovered!AJ71-CumulativeDead!AJ71</f>
        <v>0</v>
      </c>
      <c r="AK71">
        <f>CumulativeConfirmed!AK71-CumulativeRecovered!AK71-CumulativeDead!AK71</f>
        <v>0</v>
      </c>
      <c r="AL71">
        <f>CumulativeConfirmed!AL71-CumulativeRecovered!AL71-CumulativeDead!AL71</f>
        <v>0</v>
      </c>
      <c r="AM71">
        <f>CumulativeConfirmed!AM71-CumulativeRecovered!AM71-CumulativeDead!AM71</f>
        <v>0</v>
      </c>
      <c r="AN71">
        <f>CumulativeConfirmed!AN71-CumulativeRecovered!AN71-CumulativeDead!AN71</f>
        <v>0</v>
      </c>
      <c r="AO71">
        <f>CumulativeConfirmed!AO71-CumulativeRecovered!AO71-CumulativeDead!AO71</f>
        <v>6</v>
      </c>
      <c r="AP71">
        <f>CumulativeConfirmed!AP71-CumulativeRecovered!AP71-CumulativeDead!AP71</f>
        <v>6</v>
      </c>
      <c r="AQ71">
        <f>CumulativeConfirmed!AQ71-CumulativeRecovered!AQ71-CumulativeDead!AQ71</f>
        <v>7</v>
      </c>
      <c r="AR71">
        <f>CumulativeConfirmed!AR71-CumulativeRecovered!AR71-CumulativeDead!AR71</f>
        <v>10</v>
      </c>
      <c r="AS71">
        <f>CumulativeConfirmed!AS71-CumulativeRecovered!AS71-CumulativeDead!AS71</f>
        <v>13</v>
      </c>
      <c r="AT71">
        <f>CumulativeConfirmed!AT71-CumulativeRecovered!AT71-CumulativeDead!AT71</f>
        <v>13</v>
      </c>
      <c r="AU71">
        <f>CumulativeConfirmed!AU71-CumulativeRecovered!AU71-CumulativeDead!AU71</f>
        <v>13</v>
      </c>
      <c r="AV71">
        <f>CumulativeConfirmed!AV71-CumulativeRecovered!AV71-CumulativeDead!AV71</f>
        <v>14</v>
      </c>
      <c r="AW71">
        <f>CumulativeConfirmed!AW71-CumulativeRecovered!AW71-CumulativeDead!AW71</f>
        <v>15</v>
      </c>
      <c r="AX71">
        <f>CumulativeConfirmed!AX71-CumulativeRecovered!AX71-CumulativeDead!AX71</f>
        <v>15</v>
      </c>
      <c r="AY71">
        <f>CumulativeConfirmed!AY71-CumulativeRecovered!AY71-CumulativeDead!AY71</f>
        <v>17</v>
      </c>
      <c r="AZ71">
        <f>CumulativeConfirmed!AZ71-CumulativeRecovered!AZ71-CumulativeDead!AZ71</f>
        <v>17</v>
      </c>
      <c r="BA71">
        <f>CumulativeConfirmed!BA71-CumulativeRecovered!BA71-CumulativeDead!BA71</f>
        <v>17</v>
      </c>
      <c r="BB71">
        <f>CumulativeConfirmed!BB71-CumulativeRecovered!BB71-CumulativeDead!BB71</f>
        <v>26</v>
      </c>
      <c r="BC71">
        <f>CumulativeConfirmed!BC71-CumulativeRecovered!BC71-CumulativeDead!BC71</f>
        <v>26</v>
      </c>
      <c r="BD71">
        <f>CumulativeConfirmed!BD71-CumulativeRecovered!BD71-CumulativeDead!BD71</f>
        <v>35</v>
      </c>
      <c r="BE71">
        <f>CumulativeConfirmed!BE71-CumulativeRecovered!BE71-CumulativeDead!BE71</f>
        <v>56</v>
      </c>
      <c r="BF71">
        <f>CumulativeConfirmed!BF71-CumulativeRecovered!BF71-CumulativeDead!BF71</f>
        <v>109</v>
      </c>
      <c r="BG71">
        <f>CumulativeConfirmed!BG71-CumulativeRecovered!BG71-CumulativeDead!BG71</f>
        <v>196</v>
      </c>
      <c r="BH71">
        <f>CumulativeConfirmed!BH71-CumulativeRecovered!BH71-CumulativeDead!BH71</f>
        <v>362</v>
      </c>
      <c r="BI71">
        <f>CumulativeConfirmed!BI71-CumulativeRecovered!BI71-CumulativeDead!BI71</f>
        <v>0</v>
      </c>
      <c r="BJ71">
        <f>CumulativeConfirmed!BJ71-CumulativeRecovered!BJ71-CumulativeDead!BJ71</f>
        <v>0</v>
      </c>
      <c r="BK71">
        <f>CumulativeConfirmed!BK71-CumulativeRecovered!BK71-CumulativeDead!BK71</f>
        <v>0</v>
      </c>
      <c r="BL71">
        <f>CumulativeConfirmed!BL71-CumulativeRecovered!BL71-CumulativeDead!BL71</f>
        <v>0</v>
      </c>
      <c r="BM71">
        <f>CumulativeConfirmed!BM71-CumulativeRecovered!BM71-CumulativeDead!BM71</f>
        <v>0</v>
      </c>
      <c r="BN71">
        <f>CumulativeConfirmed!BN71-CumulativeRecovered!BN71-CumulativeDead!BN71</f>
        <v>0</v>
      </c>
      <c r="BO71">
        <f>CumulativeConfirmed!BO71-CumulativeRecovered!BO71-CumulativeDead!BO71</f>
        <v>0</v>
      </c>
      <c r="BP71">
        <f>CumulativeConfirmed!BP71-CumulativeRecovered!BP71-CumulativeDead!BP71</f>
        <v>0</v>
      </c>
      <c r="BQ71">
        <f>CumulativeConfirmed!BQ71-CumulativeRecovered!BQ71-CumulativeDead!BQ71</f>
        <v>0</v>
      </c>
      <c r="BR71">
        <f>CumulativeConfirmed!BR71-CumulativeRecovered!BR71-CumulativeDead!BR71</f>
        <v>0</v>
      </c>
      <c r="BS71">
        <f>CumulativeConfirmed!BS71-CumulativeRecovered!BS71-CumulativeDead!BS71</f>
        <v>0</v>
      </c>
      <c r="BT71">
        <f>CumulativeConfirmed!BT71-CumulativeRecovered!BT71-CumulativeDead!BT71</f>
        <v>0</v>
      </c>
    </row>
    <row r="72" spans="1:72" ht="15" thickBot="1" x14ac:dyDescent="0.35">
      <c r="A72" s="4" t="s">
        <v>111</v>
      </c>
      <c r="B72">
        <f>CumulativeConfirmed!B72-CumulativeRecovered!B72-CumulativeDead!B72</f>
        <v>0</v>
      </c>
      <c r="C72">
        <f>CumulativeConfirmed!C72-CumulativeRecovered!C72-CumulativeDead!C72</f>
        <v>0</v>
      </c>
      <c r="D72">
        <f>CumulativeConfirmed!D72-CumulativeRecovered!D72-CumulativeDead!D72</f>
        <v>0</v>
      </c>
      <c r="E72">
        <f>CumulativeConfirmed!E72-CumulativeRecovered!E72-CumulativeDead!E72</f>
        <v>0</v>
      </c>
      <c r="F72">
        <f>CumulativeConfirmed!F72-CumulativeRecovered!F72-CumulativeDead!F72</f>
        <v>0</v>
      </c>
      <c r="G72">
        <f>CumulativeConfirmed!G72-CumulativeRecovered!G72-CumulativeDead!G72</f>
        <v>0</v>
      </c>
      <c r="H72">
        <f>CumulativeConfirmed!H72-CumulativeRecovered!H72-CumulativeDead!H72</f>
        <v>0</v>
      </c>
      <c r="I72">
        <f>CumulativeConfirmed!I72-CumulativeRecovered!I72-CumulativeDead!I72</f>
        <v>0</v>
      </c>
      <c r="J72">
        <f>CumulativeConfirmed!J72-CumulativeRecovered!J72-CumulativeDead!J72</f>
        <v>0</v>
      </c>
      <c r="K72">
        <f>CumulativeConfirmed!K72-CumulativeRecovered!K72-CumulativeDead!K72</f>
        <v>0</v>
      </c>
      <c r="L72">
        <f>CumulativeConfirmed!L72-CumulativeRecovered!L72-CumulativeDead!L72</f>
        <v>0</v>
      </c>
      <c r="M72">
        <f>CumulativeConfirmed!M72-CumulativeRecovered!M72-CumulativeDead!M72</f>
        <v>0</v>
      </c>
      <c r="N72">
        <f>CumulativeConfirmed!N72-CumulativeRecovered!N72-CumulativeDead!N72</f>
        <v>0</v>
      </c>
      <c r="O72">
        <f>CumulativeConfirmed!O72-CumulativeRecovered!O72-CumulativeDead!O72</f>
        <v>0</v>
      </c>
      <c r="P72">
        <f>CumulativeConfirmed!P72-CumulativeRecovered!P72-CumulativeDead!P72</f>
        <v>0</v>
      </c>
      <c r="Q72">
        <f>CumulativeConfirmed!Q72-CumulativeRecovered!Q72-CumulativeDead!Q72</f>
        <v>0</v>
      </c>
      <c r="R72">
        <f>CumulativeConfirmed!R72-CumulativeRecovered!R72-CumulativeDead!R72</f>
        <v>0</v>
      </c>
      <c r="S72">
        <f>CumulativeConfirmed!S72-CumulativeRecovered!S72-CumulativeDead!S72</f>
        <v>0</v>
      </c>
      <c r="T72">
        <f>CumulativeConfirmed!T72-CumulativeRecovered!T72-CumulativeDead!T72</f>
        <v>0</v>
      </c>
      <c r="U72">
        <f>CumulativeConfirmed!U72-CumulativeRecovered!U72-CumulativeDead!U72</f>
        <v>0</v>
      </c>
      <c r="V72">
        <f>CumulativeConfirmed!V72-CumulativeRecovered!V72-CumulativeDead!V72</f>
        <v>0</v>
      </c>
      <c r="W72">
        <f>CumulativeConfirmed!W72-CumulativeRecovered!W72-CumulativeDead!W72</f>
        <v>0</v>
      </c>
      <c r="X72">
        <f>CumulativeConfirmed!X72-CumulativeRecovered!X72-CumulativeDead!X72</f>
        <v>0</v>
      </c>
      <c r="Y72">
        <f>CumulativeConfirmed!Y72-CumulativeRecovered!Y72-CumulativeDead!Y72</f>
        <v>0</v>
      </c>
      <c r="Z72">
        <f>CumulativeConfirmed!Z72-CumulativeRecovered!Z72-CumulativeDead!Z72</f>
        <v>0</v>
      </c>
      <c r="AA72">
        <f>CumulativeConfirmed!AA72-CumulativeRecovered!AA72-CumulativeDead!AA72</f>
        <v>0</v>
      </c>
      <c r="AB72">
        <f>CumulativeConfirmed!AB72-CumulativeRecovered!AB72-CumulativeDead!AB72</f>
        <v>0</v>
      </c>
      <c r="AC72">
        <f>CumulativeConfirmed!AC72-CumulativeRecovered!AC72-CumulativeDead!AC72</f>
        <v>0</v>
      </c>
      <c r="AD72">
        <f>CumulativeConfirmed!AD72-CumulativeRecovered!AD72-CumulativeDead!AD72</f>
        <v>0</v>
      </c>
      <c r="AE72">
        <f>CumulativeConfirmed!AE72-CumulativeRecovered!AE72-CumulativeDead!AE72</f>
        <v>0</v>
      </c>
      <c r="AF72">
        <f>CumulativeConfirmed!AF72-CumulativeRecovered!AF72-CumulativeDead!AF72</f>
        <v>0</v>
      </c>
      <c r="AG72">
        <f>CumulativeConfirmed!AG72-CumulativeRecovered!AG72-CumulativeDead!AG72</f>
        <v>0</v>
      </c>
      <c r="AH72">
        <f>CumulativeConfirmed!AH72-CumulativeRecovered!AH72-CumulativeDead!AH72</f>
        <v>0</v>
      </c>
      <c r="AI72">
        <f>CumulativeConfirmed!AI72-CumulativeRecovered!AI72-CumulativeDead!AI72</f>
        <v>0</v>
      </c>
      <c r="AJ72">
        <f>CumulativeConfirmed!AJ72-CumulativeRecovered!AJ72-CumulativeDead!AJ72</f>
        <v>0</v>
      </c>
      <c r="AK72">
        <f>CumulativeConfirmed!AK72-CumulativeRecovered!AK72-CumulativeDead!AK72</f>
        <v>0</v>
      </c>
      <c r="AL72">
        <f>CumulativeConfirmed!AL72-CumulativeRecovered!AL72-CumulativeDead!AL72</f>
        <v>0</v>
      </c>
      <c r="AM72">
        <f>CumulativeConfirmed!AM72-CumulativeRecovered!AM72-CumulativeDead!AM72</f>
        <v>0</v>
      </c>
      <c r="AN72">
        <f>CumulativeConfirmed!AN72-CumulativeRecovered!AN72-CumulativeDead!AN72</f>
        <v>0</v>
      </c>
      <c r="AO72">
        <f>CumulativeConfirmed!AO72-CumulativeRecovered!AO72-CumulativeDead!AO72</f>
        <v>0</v>
      </c>
      <c r="AP72">
        <f>CumulativeConfirmed!AP72-CumulativeRecovered!AP72-CumulativeDead!AP72</f>
        <v>1</v>
      </c>
      <c r="AQ72">
        <f>CumulativeConfirmed!AQ72-CumulativeRecovered!AQ72-CumulativeDead!AQ72</f>
        <v>1</v>
      </c>
      <c r="AR72">
        <f>CumulativeConfirmed!AR72-CumulativeRecovered!AR72-CumulativeDead!AR72</f>
        <v>1</v>
      </c>
      <c r="AS72">
        <f>CumulativeConfirmed!AS72-CumulativeRecovered!AS72-CumulativeDead!AS72</f>
        <v>1</v>
      </c>
      <c r="AT72">
        <f>CumulativeConfirmed!AT72-CumulativeRecovered!AT72-CumulativeDead!AT72</f>
        <v>1</v>
      </c>
      <c r="AU72">
        <f>CumulativeConfirmed!AU72-CumulativeRecovered!AU72-CumulativeDead!AU72</f>
        <v>1</v>
      </c>
      <c r="AV72">
        <f>CumulativeConfirmed!AV72-CumulativeRecovered!AV72-CumulativeDead!AV72</f>
        <v>2</v>
      </c>
      <c r="AW72">
        <f>CumulativeConfirmed!AW72-CumulativeRecovered!AW72-CumulativeDead!AW72</f>
        <v>6</v>
      </c>
      <c r="AX72">
        <f>CumulativeConfirmed!AX72-CumulativeRecovered!AX72-CumulativeDead!AX72</f>
        <v>7</v>
      </c>
      <c r="AY72">
        <f>CumulativeConfirmed!AY72-CumulativeRecovered!AY72-CumulativeDead!AY72</f>
        <v>9</v>
      </c>
      <c r="AZ72">
        <f>CumulativeConfirmed!AZ72-CumulativeRecovered!AZ72-CumulativeDead!AZ72</f>
        <v>9</v>
      </c>
      <c r="BA72">
        <f>CumulativeConfirmed!BA72-CumulativeRecovered!BA72-CumulativeDead!BA72</f>
        <v>16</v>
      </c>
      <c r="BB72">
        <f>CumulativeConfirmed!BB72-CumulativeRecovered!BB72-CumulativeDead!BB72</f>
        <v>25</v>
      </c>
      <c r="BC72">
        <f>CumulativeConfirmed!BC72-CumulativeRecovered!BC72-CumulativeDead!BC72</f>
        <v>29</v>
      </c>
      <c r="BD72">
        <f>CumulativeConfirmed!BD72-CumulativeRecovered!BD72-CumulativeDead!BD72</f>
        <v>33</v>
      </c>
      <c r="BE72">
        <f>CumulativeConfirmed!BE72-CumulativeRecovered!BE72-CumulativeDead!BE72</f>
        <v>48</v>
      </c>
      <c r="BF72">
        <f>CumulativeConfirmed!BF72-CumulativeRecovered!BF72-CumulativeDead!BF72</f>
        <v>70</v>
      </c>
      <c r="BG72">
        <f>CumulativeConfirmed!BG72-CumulativeRecovered!BG72-CumulativeDead!BG72</f>
        <v>85</v>
      </c>
      <c r="BH72">
        <f>CumulativeConfirmed!BH72-CumulativeRecovered!BH72-CumulativeDead!BH72</f>
        <v>110</v>
      </c>
      <c r="BI72">
        <f>CumulativeConfirmed!BI72-CumulativeRecovered!BI72-CumulativeDead!BI72</f>
        <v>0</v>
      </c>
      <c r="BJ72">
        <f>CumulativeConfirmed!BJ72-CumulativeRecovered!BJ72-CumulativeDead!BJ72</f>
        <v>0</v>
      </c>
      <c r="BK72">
        <f>CumulativeConfirmed!BK72-CumulativeRecovered!BK72-CumulativeDead!BK72</f>
        <v>0</v>
      </c>
      <c r="BL72">
        <f>CumulativeConfirmed!BL72-CumulativeRecovered!BL72-CumulativeDead!BL72</f>
        <v>0</v>
      </c>
      <c r="BM72">
        <f>CumulativeConfirmed!BM72-CumulativeRecovered!BM72-CumulativeDead!BM72</f>
        <v>0</v>
      </c>
      <c r="BN72">
        <f>CumulativeConfirmed!BN72-CumulativeRecovered!BN72-CumulativeDead!BN72</f>
        <v>0</v>
      </c>
      <c r="BO72">
        <f>CumulativeConfirmed!BO72-CumulativeRecovered!BO72-CumulativeDead!BO72</f>
        <v>0</v>
      </c>
      <c r="BP72">
        <f>CumulativeConfirmed!BP72-CumulativeRecovered!BP72-CumulativeDead!BP72</f>
        <v>0</v>
      </c>
      <c r="BQ72">
        <f>CumulativeConfirmed!BQ72-CumulativeRecovered!BQ72-CumulativeDead!BQ72</f>
        <v>0</v>
      </c>
      <c r="BR72">
        <f>CumulativeConfirmed!BR72-CumulativeRecovered!BR72-CumulativeDead!BR72</f>
        <v>0</v>
      </c>
      <c r="BS72">
        <f>CumulativeConfirmed!BS72-CumulativeRecovered!BS72-CumulativeDead!BS72</f>
        <v>0</v>
      </c>
      <c r="BT72">
        <f>CumulativeConfirmed!BT72-CumulativeRecovered!BT72-CumulativeDead!BT72</f>
        <v>0</v>
      </c>
    </row>
    <row r="73" spans="1:72" ht="15" thickBot="1" x14ac:dyDescent="0.35">
      <c r="A73" s="4" t="s">
        <v>138</v>
      </c>
      <c r="B73">
        <f>CumulativeConfirmed!B73-CumulativeRecovered!B73-CumulativeDead!B73</f>
        <v>0</v>
      </c>
      <c r="C73">
        <f>CumulativeConfirmed!C73-CumulativeRecovered!C73-CumulativeDead!C73</f>
        <v>0</v>
      </c>
      <c r="D73">
        <f>CumulativeConfirmed!D73-CumulativeRecovered!D73-CumulativeDead!D73</f>
        <v>0</v>
      </c>
      <c r="E73">
        <f>CumulativeConfirmed!E73-CumulativeRecovered!E73-CumulativeDead!E73</f>
        <v>0</v>
      </c>
      <c r="F73">
        <f>CumulativeConfirmed!F73-CumulativeRecovered!F73-CumulativeDead!F73</f>
        <v>0</v>
      </c>
      <c r="G73">
        <f>CumulativeConfirmed!G73-CumulativeRecovered!G73-CumulativeDead!G73</f>
        <v>0</v>
      </c>
      <c r="H73">
        <f>CumulativeConfirmed!H73-CumulativeRecovered!H73-CumulativeDead!H73</f>
        <v>0</v>
      </c>
      <c r="I73">
        <f>CumulativeConfirmed!I73-CumulativeRecovered!I73-CumulativeDead!I73</f>
        <v>0</v>
      </c>
      <c r="J73">
        <f>CumulativeConfirmed!J73-CumulativeRecovered!J73-CumulativeDead!J73</f>
        <v>0</v>
      </c>
      <c r="K73">
        <f>CumulativeConfirmed!K73-CumulativeRecovered!K73-CumulativeDead!K73</f>
        <v>0</v>
      </c>
      <c r="L73">
        <f>CumulativeConfirmed!L73-CumulativeRecovered!L73-CumulativeDead!L73</f>
        <v>0</v>
      </c>
      <c r="M73">
        <f>CumulativeConfirmed!M73-CumulativeRecovered!M73-CumulativeDead!M73</f>
        <v>0</v>
      </c>
      <c r="N73">
        <f>CumulativeConfirmed!N73-CumulativeRecovered!N73-CumulativeDead!N73</f>
        <v>0</v>
      </c>
      <c r="O73">
        <f>CumulativeConfirmed!O73-CumulativeRecovered!O73-CumulativeDead!O73</f>
        <v>0</v>
      </c>
      <c r="P73">
        <f>CumulativeConfirmed!P73-CumulativeRecovered!P73-CumulativeDead!P73</f>
        <v>0</v>
      </c>
      <c r="Q73">
        <f>CumulativeConfirmed!Q73-CumulativeRecovered!Q73-CumulativeDead!Q73</f>
        <v>0</v>
      </c>
      <c r="R73">
        <f>CumulativeConfirmed!R73-CumulativeRecovered!R73-CumulativeDead!R73</f>
        <v>0</v>
      </c>
      <c r="S73">
        <f>CumulativeConfirmed!S73-CumulativeRecovered!S73-CumulativeDead!S73</f>
        <v>0</v>
      </c>
      <c r="T73">
        <f>CumulativeConfirmed!T73-CumulativeRecovered!T73-CumulativeDead!T73</f>
        <v>0</v>
      </c>
      <c r="U73">
        <f>CumulativeConfirmed!U73-CumulativeRecovered!U73-CumulativeDead!U73</f>
        <v>0</v>
      </c>
      <c r="V73">
        <f>CumulativeConfirmed!V73-CumulativeRecovered!V73-CumulativeDead!V73</f>
        <v>0</v>
      </c>
      <c r="W73">
        <f>CumulativeConfirmed!W73-CumulativeRecovered!W73-CumulativeDead!W73</f>
        <v>0</v>
      </c>
      <c r="X73">
        <f>CumulativeConfirmed!X73-CumulativeRecovered!X73-CumulativeDead!X73</f>
        <v>0</v>
      </c>
      <c r="Y73">
        <f>CumulativeConfirmed!Y73-CumulativeRecovered!Y73-CumulativeDead!Y73</f>
        <v>0</v>
      </c>
      <c r="Z73">
        <f>CumulativeConfirmed!Z73-CumulativeRecovered!Z73-CumulativeDead!Z73</f>
        <v>0</v>
      </c>
      <c r="AA73">
        <f>CumulativeConfirmed!AA73-CumulativeRecovered!AA73-CumulativeDead!AA73</f>
        <v>0</v>
      </c>
      <c r="AB73">
        <f>CumulativeConfirmed!AB73-CumulativeRecovered!AB73-CumulativeDead!AB73</f>
        <v>0</v>
      </c>
      <c r="AC73">
        <f>CumulativeConfirmed!AC73-CumulativeRecovered!AC73-CumulativeDead!AC73</f>
        <v>0</v>
      </c>
      <c r="AD73">
        <f>CumulativeConfirmed!AD73-CumulativeRecovered!AD73-CumulativeDead!AD73</f>
        <v>0</v>
      </c>
      <c r="AE73">
        <f>CumulativeConfirmed!AE73-CumulativeRecovered!AE73-CumulativeDead!AE73</f>
        <v>0</v>
      </c>
      <c r="AF73">
        <f>CumulativeConfirmed!AF73-CumulativeRecovered!AF73-CumulativeDead!AF73</f>
        <v>0</v>
      </c>
      <c r="AG73">
        <f>CumulativeConfirmed!AG73-CumulativeRecovered!AG73-CumulativeDead!AG73</f>
        <v>0</v>
      </c>
      <c r="AH73">
        <f>CumulativeConfirmed!AH73-CumulativeRecovered!AH73-CumulativeDead!AH73</f>
        <v>0</v>
      </c>
      <c r="AI73">
        <f>CumulativeConfirmed!AI73-CumulativeRecovered!AI73-CumulativeDead!AI73</f>
        <v>0</v>
      </c>
      <c r="AJ73">
        <f>CumulativeConfirmed!AJ73-CumulativeRecovered!AJ73-CumulativeDead!AJ73</f>
        <v>0</v>
      </c>
      <c r="AK73">
        <f>CumulativeConfirmed!AK73-CumulativeRecovered!AK73-CumulativeDead!AK73</f>
        <v>0</v>
      </c>
      <c r="AL73">
        <f>CumulativeConfirmed!AL73-CumulativeRecovered!AL73-CumulativeDead!AL73</f>
        <v>0</v>
      </c>
      <c r="AM73">
        <f>CumulativeConfirmed!AM73-CumulativeRecovered!AM73-CumulativeDead!AM73</f>
        <v>0</v>
      </c>
      <c r="AN73">
        <f>CumulativeConfirmed!AN73-CumulativeRecovered!AN73-CumulativeDead!AN73</f>
        <v>0</v>
      </c>
      <c r="AO73">
        <f>CumulativeConfirmed!AO73-CumulativeRecovered!AO73-CumulativeDead!AO73</f>
        <v>0</v>
      </c>
      <c r="AP73">
        <f>CumulativeConfirmed!AP73-CumulativeRecovered!AP73-CumulativeDead!AP73</f>
        <v>0</v>
      </c>
      <c r="AQ73">
        <f>CumulativeConfirmed!AQ73-CumulativeRecovered!AQ73-CumulativeDead!AQ73</f>
        <v>0</v>
      </c>
      <c r="AR73">
        <f>CumulativeConfirmed!AR73-CumulativeRecovered!AR73-CumulativeDead!AR73</f>
        <v>1</v>
      </c>
      <c r="AS73">
        <f>CumulativeConfirmed!AS73-CumulativeRecovered!AS73-CumulativeDead!AS73</f>
        <v>1</v>
      </c>
      <c r="AT73">
        <f>CumulativeConfirmed!AT73-CumulativeRecovered!AT73-CumulativeDead!AT73</f>
        <v>1</v>
      </c>
      <c r="AU73">
        <f>CumulativeConfirmed!AU73-CumulativeRecovered!AU73-CumulativeDead!AU73</f>
        <v>1</v>
      </c>
      <c r="AV73">
        <f>CumulativeConfirmed!AV73-CumulativeRecovered!AV73-CumulativeDead!AV73</f>
        <v>2</v>
      </c>
      <c r="AW73">
        <f>CumulativeConfirmed!AW73-CumulativeRecovered!AW73-CumulativeDead!AW73</f>
        <v>2</v>
      </c>
      <c r="AX73">
        <f>CumulativeConfirmed!AX73-CumulativeRecovered!AX73-CumulativeDead!AX73</f>
        <v>5</v>
      </c>
      <c r="AY73">
        <f>CumulativeConfirmed!AY73-CumulativeRecovered!AY73-CumulativeDead!AY73</f>
        <v>7</v>
      </c>
      <c r="AZ73">
        <f>CumulativeConfirmed!AZ73-CumulativeRecovered!AZ73-CumulativeDead!AZ73</f>
        <v>7</v>
      </c>
      <c r="BA73">
        <f>CumulativeConfirmed!BA73-CumulativeRecovered!BA73-CumulativeDead!BA73</f>
        <v>16</v>
      </c>
      <c r="BB73">
        <f>CumulativeConfirmed!BB73-CumulativeRecovered!BB73-CumulativeDead!BB73</f>
        <v>18</v>
      </c>
      <c r="BC73">
        <f>CumulativeConfirmed!BC73-CumulativeRecovered!BC73-CumulativeDead!BC73</f>
        <v>18</v>
      </c>
      <c r="BD73">
        <f>CumulativeConfirmed!BD73-CumulativeRecovered!BD73-CumulativeDead!BD73</f>
        <v>20</v>
      </c>
      <c r="BE73">
        <f>CumulativeConfirmed!BE73-CumulativeRecovered!BE73-CumulativeDead!BE73</f>
        <v>24</v>
      </c>
      <c r="BF73">
        <f>CumulativeConfirmed!BF73-CumulativeRecovered!BF73-CumulativeDead!BF73</f>
        <v>29</v>
      </c>
      <c r="BG73">
        <f>CumulativeConfirmed!BG73-CumulativeRecovered!BG73-CumulativeDead!BG73</f>
        <v>38</v>
      </c>
      <c r="BH73">
        <f>CumulativeConfirmed!BH73-CumulativeRecovered!BH73-CumulativeDead!BH73</f>
        <v>53</v>
      </c>
      <c r="BI73">
        <f>CumulativeConfirmed!BI73-CumulativeRecovered!BI73-CumulativeDead!BI73</f>
        <v>0</v>
      </c>
      <c r="BJ73">
        <f>CumulativeConfirmed!BJ73-CumulativeRecovered!BJ73-CumulativeDead!BJ73</f>
        <v>0</v>
      </c>
      <c r="BK73">
        <f>CumulativeConfirmed!BK73-CumulativeRecovered!BK73-CumulativeDead!BK73</f>
        <v>0</v>
      </c>
      <c r="BL73">
        <f>CumulativeConfirmed!BL73-CumulativeRecovered!BL73-CumulativeDead!BL73</f>
        <v>0</v>
      </c>
      <c r="BM73">
        <f>CumulativeConfirmed!BM73-CumulativeRecovered!BM73-CumulativeDead!BM73</f>
        <v>0</v>
      </c>
      <c r="BN73">
        <f>CumulativeConfirmed!BN73-CumulativeRecovered!BN73-CumulativeDead!BN73</f>
        <v>0</v>
      </c>
      <c r="BO73">
        <f>CumulativeConfirmed!BO73-CumulativeRecovered!BO73-CumulativeDead!BO73</f>
        <v>0</v>
      </c>
      <c r="BP73">
        <f>CumulativeConfirmed!BP73-CumulativeRecovered!BP73-CumulativeDead!BP73</f>
        <v>0</v>
      </c>
      <c r="BQ73">
        <f>CumulativeConfirmed!BQ73-CumulativeRecovered!BQ73-CumulativeDead!BQ73</f>
        <v>0</v>
      </c>
      <c r="BR73">
        <f>CumulativeConfirmed!BR73-CumulativeRecovered!BR73-CumulativeDead!BR73</f>
        <v>0</v>
      </c>
      <c r="BS73">
        <f>CumulativeConfirmed!BS73-CumulativeRecovered!BS73-CumulativeDead!BS73</f>
        <v>0</v>
      </c>
      <c r="BT73">
        <f>CumulativeConfirmed!BT73-CumulativeRecovered!BT73-CumulativeDead!BT73</f>
        <v>0</v>
      </c>
    </row>
    <row r="74" spans="1:72" ht="15" thickBot="1" x14ac:dyDescent="0.35">
      <c r="A74" s="3" t="s">
        <v>104</v>
      </c>
      <c r="B74">
        <f>CumulativeConfirmed!B74-CumulativeRecovered!B74-CumulativeDead!B74</f>
        <v>0</v>
      </c>
      <c r="C74">
        <f>CumulativeConfirmed!C74-CumulativeRecovered!C74-CumulativeDead!C74</f>
        <v>0</v>
      </c>
      <c r="D74">
        <f>CumulativeConfirmed!D74-CumulativeRecovered!D74-CumulativeDead!D74</f>
        <v>0</v>
      </c>
      <c r="E74">
        <f>CumulativeConfirmed!E74-CumulativeRecovered!E74-CumulativeDead!E74</f>
        <v>0</v>
      </c>
      <c r="F74">
        <f>CumulativeConfirmed!F74-CumulativeRecovered!F74-CumulativeDead!F74</f>
        <v>0</v>
      </c>
      <c r="G74">
        <f>CumulativeConfirmed!G74-CumulativeRecovered!G74-CumulativeDead!G74</f>
        <v>0</v>
      </c>
      <c r="H74">
        <f>CumulativeConfirmed!H74-CumulativeRecovered!H74-CumulativeDead!H74</f>
        <v>0</v>
      </c>
      <c r="I74">
        <f>CumulativeConfirmed!I74-CumulativeRecovered!I74-CumulativeDead!I74</f>
        <v>0</v>
      </c>
      <c r="J74">
        <f>CumulativeConfirmed!J74-CumulativeRecovered!J74-CumulativeDead!J74</f>
        <v>0</v>
      </c>
      <c r="K74">
        <f>CumulativeConfirmed!K74-CumulativeRecovered!K74-CumulativeDead!K74</f>
        <v>0</v>
      </c>
      <c r="L74">
        <f>CumulativeConfirmed!L74-CumulativeRecovered!L74-CumulativeDead!L74</f>
        <v>0</v>
      </c>
      <c r="M74">
        <f>CumulativeConfirmed!M74-CumulativeRecovered!M74-CumulativeDead!M74</f>
        <v>0</v>
      </c>
      <c r="N74">
        <f>CumulativeConfirmed!N74-CumulativeRecovered!N74-CumulativeDead!N74</f>
        <v>0</v>
      </c>
      <c r="O74">
        <f>CumulativeConfirmed!O74-CumulativeRecovered!O74-CumulativeDead!O74</f>
        <v>0</v>
      </c>
      <c r="P74">
        <f>CumulativeConfirmed!P74-CumulativeRecovered!P74-CumulativeDead!P74</f>
        <v>0</v>
      </c>
      <c r="Q74">
        <f>CumulativeConfirmed!Q74-CumulativeRecovered!Q74-CumulativeDead!Q74</f>
        <v>0</v>
      </c>
      <c r="R74">
        <f>CumulativeConfirmed!R74-CumulativeRecovered!R74-CumulativeDead!R74</f>
        <v>0</v>
      </c>
      <c r="S74">
        <f>CumulativeConfirmed!S74-CumulativeRecovered!S74-CumulativeDead!S74</f>
        <v>0</v>
      </c>
      <c r="T74">
        <f>CumulativeConfirmed!T74-CumulativeRecovered!T74-CumulativeDead!T74</f>
        <v>0</v>
      </c>
      <c r="U74">
        <f>CumulativeConfirmed!U74-CumulativeRecovered!U74-CumulativeDead!U74</f>
        <v>0</v>
      </c>
      <c r="V74">
        <f>CumulativeConfirmed!V74-CumulativeRecovered!V74-CumulativeDead!V74</f>
        <v>0</v>
      </c>
      <c r="W74">
        <f>CumulativeConfirmed!W74-CumulativeRecovered!W74-CumulativeDead!W74</f>
        <v>0</v>
      </c>
      <c r="X74">
        <f>CumulativeConfirmed!X74-CumulativeRecovered!X74-CumulativeDead!X74</f>
        <v>0</v>
      </c>
      <c r="Y74">
        <f>CumulativeConfirmed!Y74-CumulativeRecovered!Y74-CumulativeDead!Y74</f>
        <v>0</v>
      </c>
      <c r="Z74">
        <f>CumulativeConfirmed!Z74-CumulativeRecovered!Z74-CumulativeDead!Z74</f>
        <v>0</v>
      </c>
      <c r="AA74">
        <f>CumulativeConfirmed!AA74-CumulativeRecovered!AA74-CumulativeDead!AA74</f>
        <v>0</v>
      </c>
      <c r="AB74">
        <f>CumulativeConfirmed!AB74-CumulativeRecovered!AB74-CumulativeDead!AB74</f>
        <v>0</v>
      </c>
      <c r="AC74">
        <f>CumulativeConfirmed!AC74-CumulativeRecovered!AC74-CumulativeDead!AC74</f>
        <v>0</v>
      </c>
      <c r="AD74">
        <f>CumulativeConfirmed!AD74-CumulativeRecovered!AD74-CumulativeDead!AD74</f>
        <v>0</v>
      </c>
      <c r="AE74">
        <f>CumulativeConfirmed!AE74-CumulativeRecovered!AE74-CumulativeDead!AE74</f>
        <v>0</v>
      </c>
      <c r="AF74">
        <f>CumulativeConfirmed!AF74-CumulativeRecovered!AF74-CumulativeDead!AF74</f>
        <v>0</v>
      </c>
      <c r="AG74">
        <f>CumulativeConfirmed!AG74-CumulativeRecovered!AG74-CumulativeDead!AG74</f>
        <v>0</v>
      </c>
      <c r="AH74">
        <f>CumulativeConfirmed!AH74-CumulativeRecovered!AH74-CumulativeDead!AH74</f>
        <v>0</v>
      </c>
      <c r="AI74">
        <f>CumulativeConfirmed!AI74-CumulativeRecovered!AI74-CumulativeDead!AI74</f>
        <v>0</v>
      </c>
      <c r="AJ74">
        <f>CumulativeConfirmed!AJ74-CumulativeRecovered!AJ74-CumulativeDead!AJ74</f>
        <v>0</v>
      </c>
      <c r="AK74">
        <f>CumulativeConfirmed!AK74-CumulativeRecovered!AK74-CumulativeDead!AK74</f>
        <v>0</v>
      </c>
      <c r="AL74">
        <f>CumulativeConfirmed!AL74-CumulativeRecovered!AL74-CumulativeDead!AL74</f>
        <v>0</v>
      </c>
      <c r="AM74">
        <f>CumulativeConfirmed!AM74-CumulativeRecovered!AM74-CumulativeDead!AM74</f>
        <v>0</v>
      </c>
      <c r="AN74">
        <f>CumulativeConfirmed!AN74-CumulativeRecovered!AN74-CumulativeDead!AN74</f>
        <v>0</v>
      </c>
      <c r="AO74">
        <f>CumulativeConfirmed!AO74-CumulativeRecovered!AO74-CumulativeDead!AO74</f>
        <v>3</v>
      </c>
      <c r="AP74">
        <f>CumulativeConfirmed!AP74-CumulativeRecovered!AP74-CumulativeDead!AP74</f>
        <v>3</v>
      </c>
      <c r="AQ74">
        <f>CumulativeConfirmed!AQ74-CumulativeRecovered!AQ74-CumulativeDead!AQ74</f>
        <v>3</v>
      </c>
      <c r="AR74">
        <f>CumulativeConfirmed!AR74-CumulativeRecovered!AR74-CumulativeDead!AR74</f>
        <v>3</v>
      </c>
      <c r="AS74">
        <f>CumulativeConfirmed!AS74-CumulativeRecovered!AS74-CumulativeDead!AS74</f>
        <v>6</v>
      </c>
      <c r="AT74">
        <f>CumulativeConfirmed!AT74-CumulativeRecovered!AT74-CumulativeDead!AT74</f>
        <v>6</v>
      </c>
      <c r="AU74">
        <f>CumulativeConfirmed!AU74-CumulativeRecovered!AU74-CumulativeDead!AU74</f>
        <v>9</v>
      </c>
      <c r="AV74">
        <f>CumulativeConfirmed!AV74-CumulativeRecovered!AV74-CumulativeDead!AV74</f>
        <v>9</v>
      </c>
      <c r="AW74">
        <f>CumulativeConfirmed!AW74-CumulativeRecovered!AW74-CumulativeDead!AW74</f>
        <v>9</v>
      </c>
      <c r="AX74">
        <f>CumulativeConfirmed!AX74-CumulativeRecovered!AX74-CumulativeDead!AX74</f>
        <v>11</v>
      </c>
      <c r="AY74">
        <f>CumulativeConfirmed!AY74-CumulativeRecovered!AY74-CumulativeDead!AY74</f>
        <v>8</v>
      </c>
      <c r="AZ74">
        <f>CumulativeConfirmed!AZ74-CumulativeRecovered!AZ74-CumulativeDead!AZ74</f>
        <v>8</v>
      </c>
      <c r="BA74">
        <f>CumulativeConfirmed!BA74-CumulativeRecovered!BA74-CumulativeDead!BA74</f>
        <v>11</v>
      </c>
      <c r="BB74">
        <f>CumulativeConfirmed!BB74-CumulativeRecovered!BB74-CumulativeDead!BB74</f>
        <v>11</v>
      </c>
      <c r="BC74">
        <f>CumulativeConfirmed!BC74-CumulativeRecovered!BC74-CumulativeDead!BC74</f>
        <v>16</v>
      </c>
      <c r="BD74">
        <f>CumulativeConfirmed!BD74-CumulativeRecovered!BD74-CumulativeDead!BD74</f>
        <v>8</v>
      </c>
      <c r="BE74">
        <f>CumulativeConfirmed!BE74-CumulativeRecovered!BE74-CumulativeDead!BE74</f>
        <v>21</v>
      </c>
      <c r="BF74">
        <f>CumulativeConfirmed!BF74-CumulativeRecovered!BF74-CumulativeDead!BF74</f>
        <v>21</v>
      </c>
      <c r="BG74">
        <f>CumulativeConfirmed!BG74-CumulativeRecovered!BG74-CumulativeDead!BG74</f>
        <v>37</v>
      </c>
      <c r="BH74">
        <f>CumulativeConfirmed!BH74-CumulativeRecovered!BH74-CumulativeDead!BH74</f>
        <v>37</v>
      </c>
      <c r="BI74">
        <f>CumulativeConfirmed!BI74-CumulativeRecovered!BI74-CumulativeDead!BI74</f>
        <v>0</v>
      </c>
      <c r="BJ74">
        <f>CumulativeConfirmed!BJ74-CumulativeRecovered!BJ74-CumulativeDead!BJ74</f>
        <v>0</v>
      </c>
      <c r="BK74">
        <f>CumulativeConfirmed!BK74-CumulativeRecovered!BK74-CumulativeDead!BK74</f>
        <v>0</v>
      </c>
      <c r="BL74">
        <f>CumulativeConfirmed!BL74-CumulativeRecovered!BL74-CumulativeDead!BL74</f>
        <v>0</v>
      </c>
      <c r="BM74">
        <f>CumulativeConfirmed!BM74-CumulativeRecovered!BM74-CumulativeDead!BM74</f>
        <v>0</v>
      </c>
      <c r="BN74">
        <f>CumulativeConfirmed!BN74-CumulativeRecovered!BN74-CumulativeDead!BN74</f>
        <v>0</v>
      </c>
      <c r="BO74">
        <f>CumulativeConfirmed!BO74-CumulativeRecovered!BO74-CumulativeDead!BO74</f>
        <v>0</v>
      </c>
      <c r="BP74">
        <f>CumulativeConfirmed!BP74-CumulativeRecovered!BP74-CumulativeDead!BP74</f>
        <v>0</v>
      </c>
      <c r="BQ74">
        <f>CumulativeConfirmed!BQ74-CumulativeRecovered!BQ74-CumulativeDead!BQ74</f>
        <v>0</v>
      </c>
      <c r="BR74">
        <f>CumulativeConfirmed!BR74-CumulativeRecovered!BR74-CumulativeDead!BR74</f>
        <v>0</v>
      </c>
      <c r="BS74">
        <f>CumulativeConfirmed!BS74-CumulativeRecovered!BS74-CumulativeDead!BS74</f>
        <v>0</v>
      </c>
      <c r="BT74">
        <f>CumulativeConfirmed!BT74-CumulativeRecovered!BT74-CumulativeDead!BT74</f>
        <v>0</v>
      </c>
    </row>
    <row r="75" spans="1:72" ht="15" thickBot="1" x14ac:dyDescent="0.35">
      <c r="A75" s="3" t="s">
        <v>231</v>
      </c>
      <c r="B75">
        <f>CumulativeConfirmed!B75-CumulativeRecovered!B75-CumulativeDead!B75</f>
        <v>0</v>
      </c>
      <c r="C75">
        <f>CumulativeConfirmed!C75-CumulativeRecovered!C75-CumulativeDead!C75</f>
        <v>0</v>
      </c>
      <c r="D75">
        <f>CumulativeConfirmed!D75-CumulativeRecovered!D75-CumulativeDead!D75</f>
        <v>0</v>
      </c>
      <c r="E75">
        <f>CumulativeConfirmed!E75-CumulativeRecovered!E75-CumulativeDead!E75</f>
        <v>0</v>
      </c>
      <c r="F75">
        <f>CumulativeConfirmed!F75-CumulativeRecovered!F75-CumulativeDead!F75</f>
        <v>0</v>
      </c>
      <c r="G75">
        <f>CumulativeConfirmed!G75-CumulativeRecovered!G75-CumulativeDead!G75</f>
        <v>0</v>
      </c>
      <c r="H75">
        <f>CumulativeConfirmed!H75-CumulativeRecovered!H75-CumulativeDead!H75</f>
        <v>0</v>
      </c>
      <c r="I75">
        <f>CumulativeConfirmed!I75-CumulativeRecovered!I75-CumulativeDead!I75</f>
        <v>0</v>
      </c>
      <c r="J75">
        <f>CumulativeConfirmed!J75-CumulativeRecovered!J75-CumulativeDead!J75</f>
        <v>0</v>
      </c>
      <c r="K75">
        <f>CumulativeConfirmed!K75-CumulativeRecovered!K75-CumulativeDead!K75</f>
        <v>0</v>
      </c>
      <c r="L75">
        <f>CumulativeConfirmed!L75-CumulativeRecovered!L75-CumulativeDead!L75</f>
        <v>0</v>
      </c>
      <c r="M75">
        <f>CumulativeConfirmed!M75-CumulativeRecovered!M75-CumulativeDead!M75</f>
        <v>0</v>
      </c>
      <c r="N75">
        <f>CumulativeConfirmed!N75-CumulativeRecovered!N75-CumulativeDead!N75</f>
        <v>0</v>
      </c>
      <c r="O75">
        <f>CumulativeConfirmed!O75-CumulativeRecovered!O75-CumulativeDead!O75</f>
        <v>0</v>
      </c>
      <c r="P75">
        <f>CumulativeConfirmed!P75-CumulativeRecovered!P75-CumulativeDead!P75</f>
        <v>0</v>
      </c>
      <c r="Q75">
        <f>CumulativeConfirmed!Q75-CumulativeRecovered!Q75-CumulativeDead!Q75</f>
        <v>0</v>
      </c>
      <c r="R75">
        <f>CumulativeConfirmed!R75-CumulativeRecovered!R75-CumulativeDead!R75</f>
        <v>0</v>
      </c>
      <c r="S75">
        <f>CumulativeConfirmed!S75-CumulativeRecovered!S75-CumulativeDead!S75</f>
        <v>0</v>
      </c>
      <c r="T75">
        <f>CumulativeConfirmed!T75-CumulativeRecovered!T75-CumulativeDead!T75</f>
        <v>0</v>
      </c>
      <c r="U75">
        <f>CumulativeConfirmed!U75-CumulativeRecovered!U75-CumulativeDead!U75</f>
        <v>0</v>
      </c>
      <c r="V75">
        <f>CumulativeConfirmed!V75-CumulativeRecovered!V75-CumulativeDead!V75</f>
        <v>0</v>
      </c>
      <c r="W75">
        <f>CumulativeConfirmed!W75-CumulativeRecovered!W75-CumulativeDead!W75</f>
        <v>0</v>
      </c>
      <c r="X75">
        <f>CumulativeConfirmed!X75-CumulativeRecovered!X75-CumulativeDead!X75</f>
        <v>0</v>
      </c>
      <c r="Y75">
        <f>CumulativeConfirmed!Y75-CumulativeRecovered!Y75-CumulativeDead!Y75</f>
        <v>0</v>
      </c>
      <c r="Z75">
        <f>CumulativeConfirmed!Z75-CumulativeRecovered!Z75-CumulativeDead!Z75</f>
        <v>0</v>
      </c>
      <c r="AA75">
        <f>CumulativeConfirmed!AA75-CumulativeRecovered!AA75-CumulativeDead!AA75</f>
        <v>0</v>
      </c>
      <c r="AB75">
        <f>CumulativeConfirmed!AB75-CumulativeRecovered!AB75-CumulativeDead!AB75</f>
        <v>0</v>
      </c>
      <c r="AC75">
        <f>CumulativeConfirmed!AC75-CumulativeRecovered!AC75-CumulativeDead!AC75</f>
        <v>0</v>
      </c>
      <c r="AD75">
        <f>CumulativeConfirmed!AD75-CumulativeRecovered!AD75-CumulativeDead!AD75</f>
        <v>0</v>
      </c>
      <c r="AE75">
        <f>CumulativeConfirmed!AE75-CumulativeRecovered!AE75-CumulativeDead!AE75</f>
        <v>0</v>
      </c>
      <c r="AF75">
        <f>CumulativeConfirmed!AF75-CumulativeRecovered!AF75-CumulativeDead!AF75</f>
        <v>0</v>
      </c>
      <c r="AG75">
        <f>CumulativeConfirmed!AG75-CumulativeRecovered!AG75-CumulativeDead!AG75</f>
        <v>0</v>
      </c>
      <c r="AH75">
        <f>CumulativeConfirmed!AH75-CumulativeRecovered!AH75-CumulativeDead!AH75</f>
        <v>0</v>
      </c>
      <c r="AI75">
        <f>CumulativeConfirmed!AI75-CumulativeRecovered!AI75-CumulativeDead!AI75</f>
        <v>0</v>
      </c>
      <c r="AJ75">
        <f>CumulativeConfirmed!AJ75-CumulativeRecovered!AJ75-CumulativeDead!AJ75</f>
        <v>0</v>
      </c>
      <c r="AK75">
        <f>CumulativeConfirmed!AK75-CumulativeRecovered!AK75-CumulativeDead!AK75</f>
        <v>0</v>
      </c>
      <c r="AL75">
        <f>CumulativeConfirmed!AL75-CumulativeRecovered!AL75-CumulativeDead!AL75</f>
        <v>0</v>
      </c>
      <c r="AM75">
        <f>CumulativeConfirmed!AM75-CumulativeRecovered!AM75-CumulativeDead!AM75</f>
        <v>0</v>
      </c>
      <c r="AN75">
        <f>CumulativeConfirmed!AN75-CumulativeRecovered!AN75-CumulativeDead!AN75</f>
        <v>0</v>
      </c>
      <c r="AO75">
        <f>CumulativeConfirmed!AO75-CumulativeRecovered!AO75-CumulativeDead!AO75</f>
        <v>0</v>
      </c>
      <c r="AP75">
        <f>CumulativeConfirmed!AP75-CumulativeRecovered!AP75-CumulativeDead!AP75</f>
        <v>0</v>
      </c>
      <c r="AQ75">
        <f>CumulativeConfirmed!AQ75-CumulativeRecovered!AQ75-CumulativeDead!AQ75</f>
        <v>0</v>
      </c>
      <c r="AR75">
        <f>CumulativeConfirmed!AR75-CumulativeRecovered!AR75-CumulativeDead!AR75</f>
        <v>0</v>
      </c>
      <c r="AS75">
        <f>CumulativeConfirmed!AS75-CumulativeRecovered!AS75-CumulativeDead!AS75</f>
        <v>0</v>
      </c>
      <c r="AT75">
        <f>CumulativeConfirmed!AT75-CumulativeRecovered!AT75-CumulativeDead!AT75</f>
        <v>0</v>
      </c>
      <c r="AU75">
        <f>CumulativeConfirmed!AU75-CumulativeRecovered!AU75-CumulativeDead!AU75</f>
        <v>0</v>
      </c>
      <c r="AV75">
        <f>CumulativeConfirmed!AV75-CumulativeRecovered!AV75-CumulativeDead!AV75</f>
        <v>0</v>
      </c>
      <c r="AW75">
        <f>CumulativeConfirmed!AW75-CumulativeRecovered!AW75-CumulativeDead!AW75</f>
        <v>2</v>
      </c>
      <c r="AX75">
        <f>CumulativeConfirmed!AX75-CumulativeRecovered!AX75-CumulativeDead!AX75</f>
        <v>3</v>
      </c>
      <c r="AY75">
        <f>CumulativeConfirmed!AY75-CumulativeRecovered!AY75-CumulativeDead!AY75</f>
        <v>6</v>
      </c>
      <c r="AZ75">
        <f>CumulativeConfirmed!AZ75-CumulativeRecovered!AZ75-CumulativeDead!AZ75</f>
        <v>6</v>
      </c>
      <c r="BA75">
        <f>CumulativeConfirmed!BA75-CumulativeRecovered!BA75-CumulativeDead!BA75</f>
        <v>14</v>
      </c>
      <c r="BB75">
        <f>CumulativeConfirmed!BB75-CumulativeRecovered!BB75-CumulativeDead!BB75</f>
        <v>26</v>
      </c>
      <c r="BC75">
        <f>CumulativeConfirmed!BC75-CumulativeRecovered!BC75-CumulativeDead!BC75</f>
        <v>26</v>
      </c>
      <c r="BD75">
        <f>CumulativeConfirmed!BD75-CumulativeRecovered!BD75-CumulativeDead!BD75</f>
        <v>33</v>
      </c>
      <c r="BE75">
        <f>CumulativeConfirmed!BE75-CumulativeRecovered!BE75-CumulativeDead!BE75</f>
        <v>46</v>
      </c>
      <c r="BF75">
        <f>CumulativeConfirmed!BF75-CumulativeRecovered!BF75-CumulativeDead!BF75</f>
        <v>49</v>
      </c>
      <c r="BG75">
        <f>CumulativeConfirmed!BG75-CumulativeRecovered!BG75-CumulativeDead!BG75</f>
        <v>67</v>
      </c>
      <c r="BH75">
        <f>CumulativeConfirmed!BH75-CumulativeRecovered!BH75-CumulativeDead!BH75</f>
        <v>67</v>
      </c>
      <c r="BI75">
        <f>CumulativeConfirmed!BI75-CumulativeRecovered!BI75-CumulativeDead!BI75</f>
        <v>0</v>
      </c>
      <c r="BJ75">
        <f>CumulativeConfirmed!BJ75-CumulativeRecovered!BJ75-CumulativeDead!BJ75</f>
        <v>0</v>
      </c>
      <c r="BK75">
        <f>CumulativeConfirmed!BK75-CumulativeRecovered!BK75-CumulativeDead!BK75</f>
        <v>0</v>
      </c>
      <c r="BL75">
        <f>CumulativeConfirmed!BL75-CumulativeRecovered!BL75-CumulativeDead!BL75</f>
        <v>0</v>
      </c>
      <c r="BM75">
        <f>CumulativeConfirmed!BM75-CumulativeRecovered!BM75-CumulativeDead!BM75</f>
        <v>0</v>
      </c>
      <c r="BN75">
        <f>CumulativeConfirmed!BN75-CumulativeRecovered!BN75-CumulativeDead!BN75</f>
        <v>0</v>
      </c>
      <c r="BO75">
        <f>CumulativeConfirmed!BO75-CumulativeRecovered!BO75-CumulativeDead!BO75</f>
        <v>0</v>
      </c>
      <c r="BP75">
        <f>CumulativeConfirmed!BP75-CumulativeRecovered!BP75-CumulativeDead!BP75</f>
        <v>0</v>
      </c>
      <c r="BQ75">
        <f>CumulativeConfirmed!BQ75-CumulativeRecovered!BQ75-CumulativeDead!BQ75</f>
        <v>0</v>
      </c>
      <c r="BR75">
        <f>CumulativeConfirmed!BR75-CumulativeRecovered!BR75-CumulativeDead!BR75</f>
        <v>0</v>
      </c>
      <c r="BS75">
        <f>CumulativeConfirmed!BS75-CumulativeRecovered!BS75-CumulativeDead!BS75</f>
        <v>0</v>
      </c>
      <c r="BT75">
        <f>CumulativeConfirmed!BT75-CumulativeRecovered!BT75-CumulativeDead!BT75</f>
        <v>0</v>
      </c>
    </row>
    <row r="76" spans="1:72" ht="15" thickBot="1" x14ac:dyDescent="0.35">
      <c r="A76" s="3" t="s">
        <v>84</v>
      </c>
      <c r="B76">
        <f>CumulativeConfirmed!B76-CumulativeRecovered!B76-CumulativeDead!B76</f>
        <v>0</v>
      </c>
      <c r="C76">
        <f>CumulativeConfirmed!C76-CumulativeRecovered!C76-CumulativeDead!C76</f>
        <v>0</v>
      </c>
      <c r="D76">
        <f>CumulativeConfirmed!D76-CumulativeRecovered!D76-CumulativeDead!D76</f>
        <v>0</v>
      </c>
      <c r="E76">
        <f>CumulativeConfirmed!E76-CumulativeRecovered!E76-CumulativeDead!E76</f>
        <v>0</v>
      </c>
      <c r="F76">
        <f>CumulativeConfirmed!F76-CumulativeRecovered!F76-CumulativeDead!F76</f>
        <v>0</v>
      </c>
      <c r="G76">
        <f>CumulativeConfirmed!G76-CumulativeRecovered!G76-CumulativeDead!G76</f>
        <v>0</v>
      </c>
      <c r="H76">
        <f>CumulativeConfirmed!H76-CumulativeRecovered!H76-CumulativeDead!H76</f>
        <v>0</v>
      </c>
      <c r="I76">
        <f>CumulativeConfirmed!I76-CumulativeRecovered!I76-CumulativeDead!I76</f>
        <v>0</v>
      </c>
      <c r="J76">
        <f>CumulativeConfirmed!J76-CumulativeRecovered!J76-CumulativeDead!J76</f>
        <v>0</v>
      </c>
      <c r="K76">
        <f>CumulativeConfirmed!K76-CumulativeRecovered!K76-CumulativeDead!K76</f>
        <v>0</v>
      </c>
      <c r="L76">
        <f>CumulativeConfirmed!L76-CumulativeRecovered!L76-CumulativeDead!L76</f>
        <v>0</v>
      </c>
      <c r="M76">
        <f>CumulativeConfirmed!M76-CumulativeRecovered!M76-CumulativeDead!M76</f>
        <v>0</v>
      </c>
      <c r="N76">
        <f>CumulativeConfirmed!N76-CumulativeRecovered!N76-CumulativeDead!N76</f>
        <v>0</v>
      </c>
      <c r="O76">
        <f>CumulativeConfirmed!O76-CumulativeRecovered!O76-CumulativeDead!O76</f>
        <v>0</v>
      </c>
      <c r="P76">
        <f>CumulativeConfirmed!P76-CumulativeRecovered!P76-CumulativeDead!P76</f>
        <v>0</v>
      </c>
      <c r="Q76">
        <f>CumulativeConfirmed!Q76-CumulativeRecovered!Q76-CumulativeDead!Q76</f>
        <v>0</v>
      </c>
      <c r="R76">
        <f>CumulativeConfirmed!R76-CumulativeRecovered!R76-CumulativeDead!R76</f>
        <v>0</v>
      </c>
      <c r="S76">
        <f>CumulativeConfirmed!S76-CumulativeRecovered!S76-CumulativeDead!S76</f>
        <v>0</v>
      </c>
      <c r="T76">
        <f>CumulativeConfirmed!T76-CumulativeRecovered!T76-CumulativeDead!T76</f>
        <v>0</v>
      </c>
      <c r="U76">
        <f>CumulativeConfirmed!U76-CumulativeRecovered!U76-CumulativeDead!U76</f>
        <v>0</v>
      </c>
      <c r="V76">
        <f>CumulativeConfirmed!V76-CumulativeRecovered!V76-CumulativeDead!V76</f>
        <v>0</v>
      </c>
      <c r="W76">
        <f>CumulativeConfirmed!W76-CumulativeRecovered!W76-CumulativeDead!W76</f>
        <v>0</v>
      </c>
      <c r="X76">
        <f>CumulativeConfirmed!X76-CumulativeRecovered!X76-CumulativeDead!X76</f>
        <v>0</v>
      </c>
      <c r="Y76">
        <f>CumulativeConfirmed!Y76-CumulativeRecovered!Y76-CumulativeDead!Y76</f>
        <v>0</v>
      </c>
      <c r="Z76">
        <f>CumulativeConfirmed!Z76-CumulativeRecovered!Z76-CumulativeDead!Z76</f>
        <v>0</v>
      </c>
      <c r="AA76">
        <f>CumulativeConfirmed!AA76-CumulativeRecovered!AA76-CumulativeDead!AA76</f>
        <v>0</v>
      </c>
      <c r="AB76">
        <f>CumulativeConfirmed!AB76-CumulativeRecovered!AB76-CumulativeDead!AB76</f>
        <v>0</v>
      </c>
      <c r="AC76">
        <f>CumulativeConfirmed!AC76-CumulativeRecovered!AC76-CumulativeDead!AC76</f>
        <v>0</v>
      </c>
      <c r="AD76">
        <f>CumulativeConfirmed!AD76-CumulativeRecovered!AD76-CumulativeDead!AD76</f>
        <v>0</v>
      </c>
      <c r="AE76">
        <f>CumulativeConfirmed!AE76-CumulativeRecovered!AE76-CumulativeDead!AE76</f>
        <v>0</v>
      </c>
      <c r="AF76">
        <f>CumulativeConfirmed!AF76-CumulativeRecovered!AF76-CumulativeDead!AF76</f>
        <v>0</v>
      </c>
      <c r="AG76">
        <f>CumulativeConfirmed!AG76-CumulativeRecovered!AG76-CumulativeDead!AG76</f>
        <v>0</v>
      </c>
      <c r="AH76">
        <f>CumulativeConfirmed!AH76-CumulativeRecovered!AH76-CumulativeDead!AH76</f>
        <v>0</v>
      </c>
      <c r="AI76">
        <f>CumulativeConfirmed!AI76-CumulativeRecovered!AI76-CumulativeDead!AI76</f>
        <v>0</v>
      </c>
      <c r="AJ76">
        <f>CumulativeConfirmed!AJ76-CumulativeRecovered!AJ76-CumulativeDead!AJ76</f>
        <v>0</v>
      </c>
      <c r="AK76">
        <f>CumulativeConfirmed!AK76-CumulativeRecovered!AK76-CumulativeDead!AK76</f>
        <v>1</v>
      </c>
      <c r="AL76">
        <f>CumulativeConfirmed!AL76-CumulativeRecovered!AL76-CumulativeDead!AL76</f>
        <v>1</v>
      </c>
      <c r="AM76">
        <f>CumulativeConfirmed!AM76-CumulativeRecovered!AM76-CumulativeDead!AM76</f>
        <v>1</v>
      </c>
      <c r="AN76">
        <f>CumulativeConfirmed!AN76-CumulativeRecovered!AN76-CumulativeDead!AN76</f>
        <v>1</v>
      </c>
      <c r="AO76">
        <f>CumulativeConfirmed!AO76-CumulativeRecovered!AO76-CumulativeDead!AO76</f>
        <v>1</v>
      </c>
      <c r="AP76">
        <f>CumulativeConfirmed!AP76-CumulativeRecovered!AP76-CumulativeDead!AP76</f>
        <v>1</v>
      </c>
      <c r="AQ76">
        <f>CumulativeConfirmed!AQ76-CumulativeRecovered!AQ76-CumulativeDead!AQ76</f>
        <v>1</v>
      </c>
      <c r="AR76">
        <f>CumulativeConfirmed!AR76-CumulativeRecovered!AR76-CumulativeDead!AR76</f>
        <v>1</v>
      </c>
      <c r="AS76">
        <f>CumulativeConfirmed!AS76-CumulativeRecovered!AS76-CumulativeDead!AS76</f>
        <v>1</v>
      </c>
      <c r="AT76">
        <f>CumulativeConfirmed!AT76-CumulativeRecovered!AT76-CumulativeDead!AT76</f>
        <v>3</v>
      </c>
      <c r="AU76">
        <f>CumulativeConfirmed!AU76-CumulativeRecovered!AU76-CumulativeDead!AU76</f>
        <v>3</v>
      </c>
      <c r="AV76">
        <f>CumulativeConfirmed!AV76-CumulativeRecovered!AV76-CumulativeDead!AV76</f>
        <v>3</v>
      </c>
      <c r="AW76">
        <f>CumulativeConfirmed!AW76-CumulativeRecovered!AW76-CumulativeDead!AW76</f>
        <v>3</v>
      </c>
      <c r="AX76">
        <f>CumulativeConfirmed!AX76-CumulativeRecovered!AX76-CumulativeDead!AX76</f>
        <v>7</v>
      </c>
      <c r="AY76">
        <f>CumulativeConfirmed!AY76-CumulativeRecovered!AY76-CumulativeDead!AY76</f>
        <v>7</v>
      </c>
      <c r="AZ76">
        <f>CumulativeConfirmed!AZ76-CumulativeRecovered!AZ76-CumulativeDead!AZ76</f>
        <v>7</v>
      </c>
      <c r="BA76">
        <f>CumulativeConfirmed!BA76-CumulativeRecovered!BA76-CumulativeDead!BA76</f>
        <v>13</v>
      </c>
      <c r="BB76">
        <f>CumulativeConfirmed!BB76-CumulativeRecovered!BB76-CumulativeDead!BB76</f>
        <v>13</v>
      </c>
      <c r="BC76">
        <f>CumulativeConfirmed!BC76-CumulativeRecovered!BC76-CumulativeDead!BC76</f>
        <v>13</v>
      </c>
      <c r="BD76">
        <f>CumulativeConfirmed!BD76-CumulativeRecovered!BD76-CumulativeDead!BD76</f>
        <v>17</v>
      </c>
      <c r="BE76">
        <f>CumulativeConfirmed!BE76-CumulativeRecovered!BE76-CumulativeDead!BE76</f>
        <v>25</v>
      </c>
      <c r="BF76">
        <f>CumulativeConfirmed!BF76-CumulativeRecovered!BF76-CumulativeDead!BF76</f>
        <v>34</v>
      </c>
      <c r="BG76">
        <f>CumulativeConfirmed!BG76-CumulativeRecovered!BG76-CumulativeDead!BG76</f>
        <v>47</v>
      </c>
      <c r="BH76">
        <f>CumulativeConfirmed!BH76-CumulativeRecovered!BH76-CumulativeDead!BH76</f>
        <v>66</v>
      </c>
      <c r="BI76">
        <f>CumulativeConfirmed!BI76-CumulativeRecovered!BI76-CumulativeDead!BI76</f>
        <v>0</v>
      </c>
      <c r="BJ76">
        <f>CumulativeConfirmed!BJ76-CumulativeRecovered!BJ76-CumulativeDead!BJ76</f>
        <v>0</v>
      </c>
      <c r="BK76">
        <f>CumulativeConfirmed!BK76-CumulativeRecovered!BK76-CumulativeDead!BK76</f>
        <v>0</v>
      </c>
      <c r="BL76">
        <f>CumulativeConfirmed!BL76-CumulativeRecovered!BL76-CumulativeDead!BL76</f>
        <v>0</v>
      </c>
      <c r="BM76">
        <f>CumulativeConfirmed!BM76-CumulativeRecovered!BM76-CumulativeDead!BM76</f>
        <v>0</v>
      </c>
      <c r="BN76">
        <f>CumulativeConfirmed!BN76-CumulativeRecovered!BN76-CumulativeDead!BN76</f>
        <v>0</v>
      </c>
      <c r="BO76">
        <f>CumulativeConfirmed!BO76-CumulativeRecovered!BO76-CumulativeDead!BO76</f>
        <v>0</v>
      </c>
      <c r="BP76">
        <f>CumulativeConfirmed!BP76-CumulativeRecovered!BP76-CumulativeDead!BP76</f>
        <v>0</v>
      </c>
      <c r="BQ76">
        <f>CumulativeConfirmed!BQ76-CumulativeRecovered!BQ76-CumulativeDead!BQ76</f>
        <v>0</v>
      </c>
      <c r="BR76">
        <f>CumulativeConfirmed!BR76-CumulativeRecovered!BR76-CumulativeDead!BR76</f>
        <v>0</v>
      </c>
      <c r="BS76">
        <f>CumulativeConfirmed!BS76-CumulativeRecovered!BS76-CumulativeDead!BS76</f>
        <v>0</v>
      </c>
      <c r="BT76">
        <f>CumulativeConfirmed!BT76-CumulativeRecovered!BT76-CumulativeDead!BT76</f>
        <v>0</v>
      </c>
    </row>
    <row r="77" spans="1:72" ht="15" thickBot="1" x14ac:dyDescent="0.35">
      <c r="A77" s="3" t="s">
        <v>140</v>
      </c>
      <c r="B77">
        <f>CumulativeConfirmed!B77-CumulativeRecovered!B77-CumulativeDead!B77</f>
        <v>0</v>
      </c>
      <c r="C77">
        <f>CumulativeConfirmed!C77-CumulativeRecovered!C77-CumulativeDead!C77</f>
        <v>0</v>
      </c>
      <c r="D77">
        <f>CumulativeConfirmed!D77-CumulativeRecovered!D77-CumulativeDead!D77</f>
        <v>0</v>
      </c>
      <c r="E77">
        <f>CumulativeConfirmed!E77-CumulativeRecovered!E77-CumulativeDead!E77</f>
        <v>0</v>
      </c>
      <c r="F77">
        <f>CumulativeConfirmed!F77-CumulativeRecovered!F77-CumulativeDead!F77</f>
        <v>0</v>
      </c>
      <c r="G77">
        <f>CumulativeConfirmed!G77-CumulativeRecovered!G77-CumulativeDead!G77</f>
        <v>0</v>
      </c>
      <c r="H77">
        <f>CumulativeConfirmed!H77-CumulativeRecovered!H77-CumulativeDead!H77</f>
        <v>0</v>
      </c>
      <c r="I77">
        <f>CumulativeConfirmed!I77-CumulativeRecovered!I77-CumulativeDead!I77</f>
        <v>0</v>
      </c>
      <c r="J77">
        <f>CumulativeConfirmed!J77-CumulativeRecovered!J77-CumulativeDead!J77</f>
        <v>0</v>
      </c>
      <c r="K77">
        <f>CumulativeConfirmed!K77-CumulativeRecovered!K77-CumulativeDead!K77</f>
        <v>0</v>
      </c>
      <c r="L77">
        <f>CumulativeConfirmed!L77-CumulativeRecovered!L77-CumulativeDead!L77</f>
        <v>0</v>
      </c>
      <c r="M77">
        <f>CumulativeConfirmed!M77-CumulativeRecovered!M77-CumulativeDead!M77</f>
        <v>0</v>
      </c>
      <c r="N77">
        <f>CumulativeConfirmed!N77-CumulativeRecovered!N77-CumulativeDead!N77</f>
        <v>0</v>
      </c>
      <c r="O77">
        <f>CumulativeConfirmed!O77-CumulativeRecovered!O77-CumulativeDead!O77</f>
        <v>0</v>
      </c>
      <c r="P77">
        <f>CumulativeConfirmed!P77-CumulativeRecovered!P77-CumulativeDead!P77</f>
        <v>0</v>
      </c>
      <c r="Q77">
        <f>CumulativeConfirmed!Q77-CumulativeRecovered!Q77-CumulativeDead!Q77</f>
        <v>0</v>
      </c>
      <c r="R77">
        <f>CumulativeConfirmed!R77-CumulativeRecovered!R77-CumulativeDead!R77</f>
        <v>0</v>
      </c>
      <c r="S77">
        <f>CumulativeConfirmed!S77-CumulativeRecovered!S77-CumulativeDead!S77</f>
        <v>0</v>
      </c>
      <c r="T77">
        <f>CumulativeConfirmed!T77-CumulativeRecovered!T77-CumulativeDead!T77</f>
        <v>0</v>
      </c>
      <c r="U77">
        <f>CumulativeConfirmed!U77-CumulativeRecovered!U77-CumulativeDead!U77</f>
        <v>0</v>
      </c>
      <c r="V77">
        <f>CumulativeConfirmed!V77-CumulativeRecovered!V77-CumulativeDead!V77</f>
        <v>0</v>
      </c>
      <c r="W77">
        <f>CumulativeConfirmed!W77-CumulativeRecovered!W77-CumulativeDead!W77</f>
        <v>0</v>
      </c>
      <c r="X77">
        <f>CumulativeConfirmed!X77-CumulativeRecovered!X77-CumulativeDead!X77</f>
        <v>0</v>
      </c>
      <c r="Y77">
        <f>CumulativeConfirmed!Y77-CumulativeRecovered!Y77-CumulativeDead!Y77</f>
        <v>0</v>
      </c>
      <c r="Z77">
        <f>CumulativeConfirmed!Z77-CumulativeRecovered!Z77-CumulativeDead!Z77</f>
        <v>0</v>
      </c>
      <c r="AA77">
        <f>CumulativeConfirmed!AA77-CumulativeRecovered!AA77-CumulativeDead!AA77</f>
        <v>0</v>
      </c>
      <c r="AB77">
        <f>CumulativeConfirmed!AB77-CumulativeRecovered!AB77-CumulativeDead!AB77</f>
        <v>0</v>
      </c>
      <c r="AC77">
        <f>CumulativeConfirmed!AC77-CumulativeRecovered!AC77-CumulativeDead!AC77</f>
        <v>0</v>
      </c>
      <c r="AD77">
        <f>CumulativeConfirmed!AD77-CumulativeRecovered!AD77-CumulativeDead!AD77</f>
        <v>0</v>
      </c>
      <c r="AE77">
        <f>CumulativeConfirmed!AE77-CumulativeRecovered!AE77-CumulativeDead!AE77</f>
        <v>0</v>
      </c>
      <c r="AF77">
        <f>CumulativeConfirmed!AF77-CumulativeRecovered!AF77-CumulativeDead!AF77</f>
        <v>0</v>
      </c>
      <c r="AG77">
        <f>CumulativeConfirmed!AG77-CumulativeRecovered!AG77-CumulativeDead!AG77</f>
        <v>0</v>
      </c>
      <c r="AH77">
        <f>CumulativeConfirmed!AH77-CumulativeRecovered!AH77-CumulativeDead!AH77</f>
        <v>0</v>
      </c>
      <c r="AI77">
        <f>CumulativeConfirmed!AI77-CumulativeRecovered!AI77-CumulativeDead!AI77</f>
        <v>0</v>
      </c>
      <c r="AJ77">
        <f>CumulativeConfirmed!AJ77-CumulativeRecovered!AJ77-CumulativeDead!AJ77</f>
        <v>0</v>
      </c>
      <c r="AK77">
        <f>CumulativeConfirmed!AK77-CumulativeRecovered!AK77-CumulativeDead!AK77</f>
        <v>0</v>
      </c>
      <c r="AL77">
        <f>CumulativeConfirmed!AL77-CumulativeRecovered!AL77-CumulativeDead!AL77</f>
        <v>0</v>
      </c>
      <c r="AM77">
        <f>CumulativeConfirmed!AM77-CumulativeRecovered!AM77-CumulativeDead!AM77</f>
        <v>0</v>
      </c>
      <c r="AN77">
        <f>CumulativeConfirmed!AN77-CumulativeRecovered!AN77-CumulativeDead!AN77</f>
        <v>0</v>
      </c>
      <c r="AO77">
        <f>CumulativeConfirmed!AO77-CumulativeRecovered!AO77-CumulativeDead!AO77</f>
        <v>0</v>
      </c>
      <c r="AP77">
        <f>CumulativeConfirmed!AP77-CumulativeRecovered!AP77-CumulativeDead!AP77</f>
        <v>0</v>
      </c>
      <c r="AQ77">
        <f>CumulativeConfirmed!AQ77-CumulativeRecovered!AQ77-CumulativeDead!AQ77</f>
        <v>0</v>
      </c>
      <c r="AR77">
        <f>CumulativeConfirmed!AR77-CumulativeRecovered!AR77-CumulativeDead!AR77</f>
        <v>0</v>
      </c>
      <c r="AS77">
        <f>CumulativeConfirmed!AS77-CumulativeRecovered!AS77-CumulativeDead!AS77</f>
        <v>2</v>
      </c>
      <c r="AT77">
        <f>CumulativeConfirmed!AT77-CumulativeRecovered!AT77-CumulativeDead!AT77</f>
        <v>2</v>
      </c>
      <c r="AU77">
        <f>CumulativeConfirmed!AU77-CumulativeRecovered!AU77-CumulativeDead!AU77</f>
        <v>3</v>
      </c>
      <c r="AV77">
        <f>CumulativeConfirmed!AV77-CumulativeRecovered!AV77-CumulativeDead!AV77</f>
        <v>3</v>
      </c>
      <c r="AW77">
        <f>CumulativeConfirmed!AW77-CumulativeRecovered!AW77-CumulativeDead!AW77</f>
        <v>3</v>
      </c>
      <c r="AX77">
        <f>CumulativeConfirmed!AX77-CumulativeRecovered!AX77-CumulativeDead!AX77</f>
        <v>5</v>
      </c>
      <c r="AY77">
        <f>CumulativeConfirmed!AY77-CumulativeRecovered!AY77-CumulativeDead!AY77</f>
        <v>7</v>
      </c>
      <c r="AZ77">
        <f>CumulativeConfirmed!AZ77-CumulativeRecovered!AZ77-CumulativeDead!AZ77</f>
        <v>11</v>
      </c>
      <c r="BA77">
        <f>CumulativeConfirmed!BA77-CumulativeRecovered!BA77-CumulativeDead!BA77</f>
        <v>13</v>
      </c>
      <c r="BB77">
        <f>CumulativeConfirmed!BB77-CumulativeRecovered!BB77-CumulativeDead!BB77</f>
        <v>18</v>
      </c>
      <c r="BC77">
        <f>CumulativeConfirmed!BC77-CumulativeRecovered!BC77-CumulativeDead!BC77</f>
        <v>24</v>
      </c>
      <c r="BD77">
        <f>CumulativeConfirmed!BD77-CumulativeRecovered!BD77-CumulativeDead!BD77</f>
        <v>25</v>
      </c>
      <c r="BE77">
        <f>CumulativeConfirmed!BE77-CumulativeRecovered!BE77-CumulativeDead!BE77</f>
        <v>24</v>
      </c>
      <c r="BF77">
        <f>CumulativeConfirmed!BF77-CumulativeRecovered!BF77-CumulativeDead!BF77</f>
        <v>36</v>
      </c>
      <c r="BG77">
        <f>CumulativeConfirmed!BG77-CumulativeRecovered!BG77-CumulativeDead!BG77</f>
        <v>61</v>
      </c>
      <c r="BH77">
        <f>CumulativeConfirmed!BH77-CumulativeRecovered!BH77-CumulativeDead!BH77</f>
        <v>87</v>
      </c>
      <c r="BI77">
        <f>CumulativeConfirmed!BI77-CumulativeRecovered!BI77-CumulativeDead!BI77</f>
        <v>0</v>
      </c>
      <c r="BJ77">
        <f>CumulativeConfirmed!BJ77-CumulativeRecovered!BJ77-CumulativeDead!BJ77</f>
        <v>0</v>
      </c>
      <c r="BK77">
        <f>CumulativeConfirmed!BK77-CumulativeRecovered!BK77-CumulativeDead!BK77</f>
        <v>0</v>
      </c>
      <c r="BL77">
        <f>CumulativeConfirmed!BL77-CumulativeRecovered!BL77-CumulativeDead!BL77</f>
        <v>0</v>
      </c>
      <c r="BM77">
        <f>CumulativeConfirmed!BM77-CumulativeRecovered!BM77-CumulativeDead!BM77</f>
        <v>0</v>
      </c>
      <c r="BN77">
        <f>CumulativeConfirmed!BN77-CumulativeRecovered!BN77-CumulativeDead!BN77</f>
        <v>0</v>
      </c>
      <c r="BO77">
        <f>CumulativeConfirmed!BO77-CumulativeRecovered!BO77-CumulativeDead!BO77</f>
        <v>0</v>
      </c>
      <c r="BP77">
        <f>CumulativeConfirmed!BP77-CumulativeRecovered!BP77-CumulativeDead!BP77</f>
        <v>0</v>
      </c>
      <c r="BQ77">
        <f>CumulativeConfirmed!BQ77-CumulativeRecovered!BQ77-CumulativeDead!BQ77</f>
        <v>0</v>
      </c>
      <c r="BR77">
        <f>CumulativeConfirmed!BR77-CumulativeRecovered!BR77-CumulativeDead!BR77</f>
        <v>0</v>
      </c>
      <c r="BS77">
        <f>CumulativeConfirmed!BS77-CumulativeRecovered!BS77-CumulativeDead!BS77</f>
        <v>0</v>
      </c>
      <c r="BT77">
        <f>CumulativeConfirmed!BT77-CumulativeRecovered!BT77-CumulativeDead!BT77</f>
        <v>0</v>
      </c>
    </row>
    <row r="78" spans="1:72" ht="15" thickBot="1" x14ac:dyDescent="0.35">
      <c r="A78" s="4" t="s">
        <v>158</v>
      </c>
      <c r="B78">
        <f>CumulativeConfirmed!B78-CumulativeRecovered!B78-CumulativeDead!B78</f>
        <v>0</v>
      </c>
      <c r="C78">
        <f>CumulativeConfirmed!C78-CumulativeRecovered!C78-CumulativeDead!C78</f>
        <v>0</v>
      </c>
      <c r="D78">
        <f>CumulativeConfirmed!D78-CumulativeRecovered!D78-CumulativeDead!D78</f>
        <v>0</v>
      </c>
      <c r="E78">
        <f>CumulativeConfirmed!E78-CumulativeRecovered!E78-CumulativeDead!E78</f>
        <v>0</v>
      </c>
      <c r="F78">
        <f>CumulativeConfirmed!F78-CumulativeRecovered!F78-CumulativeDead!F78</f>
        <v>0</v>
      </c>
      <c r="G78">
        <f>CumulativeConfirmed!G78-CumulativeRecovered!G78-CumulativeDead!G78</f>
        <v>0</v>
      </c>
      <c r="H78">
        <f>CumulativeConfirmed!H78-CumulativeRecovered!H78-CumulativeDead!H78</f>
        <v>0</v>
      </c>
      <c r="I78">
        <f>CumulativeConfirmed!I78-CumulativeRecovered!I78-CumulativeDead!I78</f>
        <v>0</v>
      </c>
      <c r="J78">
        <f>CumulativeConfirmed!J78-CumulativeRecovered!J78-CumulativeDead!J78</f>
        <v>0</v>
      </c>
      <c r="K78">
        <f>CumulativeConfirmed!K78-CumulativeRecovered!K78-CumulativeDead!K78</f>
        <v>0</v>
      </c>
      <c r="L78">
        <f>CumulativeConfirmed!L78-CumulativeRecovered!L78-CumulativeDead!L78</f>
        <v>0</v>
      </c>
      <c r="M78">
        <f>CumulativeConfirmed!M78-CumulativeRecovered!M78-CumulativeDead!M78</f>
        <v>0</v>
      </c>
      <c r="N78">
        <f>CumulativeConfirmed!N78-CumulativeRecovered!N78-CumulativeDead!N78</f>
        <v>0</v>
      </c>
      <c r="O78">
        <f>CumulativeConfirmed!O78-CumulativeRecovered!O78-CumulativeDead!O78</f>
        <v>0</v>
      </c>
      <c r="P78">
        <f>CumulativeConfirmed!P78-CumulativeRecovered!P78-CumulativeDead!P78</f>
        <v>0</v>
      </c>
      <c r="Q78">
        <f>CumulativeConfirmed!Q78-CumulativeRecovered!Q78-CumulativeDead!Q78</f>
        <v>0</v>
      </c>
      <c r="R78">
        <f>CumulativeConfirmed!R78-CumulativeRecovered!R78-CumulativeDead!R78</f>
        <v>0</v>
      </c>
      <c r="S78">
        <f>CumulativeConfirmed!S78-CumulativeRecovered!S78-CumulativeDead!S78</f>
        <v>0</v>
      </c>
      <c r="T78">
        <f>CumulativeConfirmed!T78-CumulativeRecovered!T78-CumulativeDead!T78</f>
        <v>0</v>
      </c>
      <c r="U78">
        <f>CumulativeConfirmed!U78-CumulativeRecovered!U78-CumulativeDead!U78</f>
        <v>0</v>
      </c>
      <c r="V78">
        <f>CumulativeConfirmed!V78-CumulativeRecovered!V78-CumulativeDead!V78</f>
        <v>0</v>
      </c>
      <c r="W78">
        <f>CumulativeConfirmed!W78-CumulativeRecovered!W78-CumulativeDead!W78</f>
        <v>0</v>
      </c>
      <c r="X78">
        <f>CumulativeConfirmed!X78-CumulativeRecovered!X78-CumulativeDead!X78</f>
        <v>0</v>
      </c>
      <c r="Y78">
        <f>CumulativeConfirmed!Y78-CumulativeRecovered!Y78-CumulativeDead!Y78</f>
        <v>0</v>
      </c>
      <c r="Z78">
        <f>CumulativeConfirmed!Z78-CumulativeRecovered!Z78-CumulativeDead!Z78</f>
        <v>0</v>
      </c>
      <c r="AA78">
        <f>CumulativeConfirmed!AA78-CumulativeRecovered!AA78-CumulativeDead!AA78</f>
        <v>0</v>
      </c>
      <c r="AB78">
        <f>CumulativeConfirmed!AB78-CumulativeRecovered!AB78-CumulativeDead!AB78</f>
        <v>0</v>
      </c>
      <c r="AC78">
        <f>CumulativeConfirmed!AC78-CumulativeRecovered!AC78-CumulativeDead!AC78</f>
        <v>0</v>
      </c>
      <c r="AD78">
        <f>CumulativeConfirmed!AD78-CumulativeRecovered!AD78-CumulativeDead!AD78</f>
        <v>0</v>
      </c>
      <c r="AE78">
        <f>CumulativeConfirmed!AE78-CumulativeRecovered!AE78-CumulativeDead!AE78</f>
        <v>0</v>
      </c>
      <c r="AF78">
        <f>CumulativeConfirmed!AF78-CumulativeRecovered!AF78-CumulativeDead!AF78</f>
        <v>0</v>
      </c>
      <c r="AG78">
        <f>CumulativeConfirmed!AG78-CumulativeRecovered!AG78-CumulativeDead!AG78</f>
        <v>0</v>
      </c>
      <c r="AH78">
        <f>CumulativeConfirmed!AH78-CumulativeRecovered!AH78-CumulativeDead!AH78</f>
        <v>0</v>
      </c>
      <c r="AI78">
        <f>CumulativeConfirmed!AI78-CumulativeRecovered!AI78-CumulativeDead!AI78</f>
        <v>0</v>
      </c>
      <c r="AJ78">
        <f>CumulativeConfirmed!AJ78-CumulativeRecovered!AJ78-CumulativeDead!AJ78</f>
        <v>0</v>
      </c>
      <c r="AK78">
        <f>CumulativeConfirmed!AK78-CumulativeRecovered!AK78-CumulativeDead!AK78</f>
        <v>0</v>
      </c>
      <c r="AL78">
        <f>CumulativeConfirmed!AL78-CumulativeRecovered!AL78-CumulativeDead!AL78</f>
        <v>0</v>
      </c>
      <c r="AM78">
        <f>CumulativeConfirmed!AM78-CumulativeRecovered!AM78-CumulativeDead!AM78</f>
        <v>0</v>
      </c>
      <c r="AN78">
        <f>CumulativeConfirmed!AN78-CumulativeRecovered!AN78-CumulativeDead!AN78</f>
        <v>0</v>
      </c>
      <c r="AO78">
        <f>CumulativeConfirmed!AO78-CumulativeRecovered!AO78-CumulativeDead!AO78</f>
        <v>0</v>
      </c>
      <c r="AP78">
        <f>CumulativeConfirmed!AP78-CumulativeRecovered!AP78-CumulativeDead!AP78</f>
        <v>0</v>
      </c>
      <c r="AQ78">
        <f>CumulativeConfirmed!AQ78-CumulativeRecovered!AQ78-CumulativeDead!AQ78</f>
        <v>0</v>
      </c>
      <c r="AR78">
        <f>CumulativeConfirmed!AR78-CumulativeRecovered!AR78-CumulativeDead!AR78</f>
        <v>0</v>
      </c>
      <c r="AS78">
        <f>CumulativeConfirmed!AS78-CumulativeRecovered!AS78-CumulativeDead!AS78</f>
        <v>0</v>
      </c>
      <c r="AT78">
        <f>CumulativeConfirmed!AT78-CumulativeRecovered!AT78-CumulativeDead!AT78</f>
        <v>1</v>
      </c>
      <c r="AU78">
        <f>CumulativeConfirmed!AU78-CumulativeRecovered!AU78-CumulativeDead!AU78</f>
        <v>1</v>
      </c>
      <c r="AV78">
        <f>CumulativeConfirmed!AV78-CumulativeRecovered!AV78-CumulativeDead!AV78</f>
        <v>1</v>
      </c>
      <c r="AW78">
        <f>CumulativeConfirmed!AW78-CumulativeRecovered!AW78-CumulativeDead!AW78</f>
        <v>1</v>
      </c>
      <c r="AX78">
        <f>CumulativeConfirmed!AX78-CumulativeRecovered!AX78-CumulativeDead!AX78</f>
        <v>3</v>
      </c>
      <c r="AY78">
        <f>CumulativeConfirmed!AY78-CumulativeRecovered!AY78-CumulativeDead!AY78</f>
        <v>9</v>
      </c>
      <c r="AZ78">
        <f>CumulativeConfirmed!AZ78-CumulativeRecovered!AZ78-CumulativeDead!AZ78</f>
        <v>9</v>
      </c>
      <c r="BA78">
        <f>CumulativeConfirmed!BA78-CumulativeRecovered!BA78-CumulativeDead!BA78</f>
        <v>13</v>
      </c>
      <c r="BB78">
        <f>CumulativeConfirmed!BB78-CumulativeRecovered!BB78-CumulativeDead!BB78</f>
        <v>22</v>
      </c>
      <c r="BC78">
        <f>CumulativeConfirmed!BC78-CumulativeRecovered!BC78-CumulativeDead!BC78</f>
        <v>34</v>
      </c>
      <c r="BD78">
        <f>CumulativeConfirmed!BD78-CumulativeRecovered!BD78-CumulativeDead!BD78</f>
        <v>54</v>
      </c>
      <c r="BE78">
        <f>CumulativeConfirmed!BE78-CumulativeRecovered!BE78-CumulativeDead!BE78</f>
        <v>64</v>
      </c>
      <c r="BF78">
        <f>CumulativeConfirmed!BF78-CumulativeRecovered!BF78-CumulativeDead!BF78</f>
        <v>92</v>
      </c>
      <c r="BG78">
        <f>CumulativeConfirmed!BG78-CumulativeRecovered!BG78-CumulativeDead!BG78</f>
        <v>101</v>
      </c>
      <c r="BH78">
        <f>CumulativeConfirmed!BH78-CumulativeRecovered!BH78-CumulativeDead!BH78</f>
        <v>127</v>
      </c>
      <c r="BI78">
        <f>CumulativeConfirmed!BI78-CumulativeRecovered!BI78-CumulativeDead!BI78</f>
        <v>0</v>
      </c>
      <c r="BJ78">
        <f>CumulativeConfirmed!BJ78-CumulativeRecovered!BJ78-CumulativeDead!BJ78</f>
        <v>0</v>
      </c>
      <c r="BK78">
        <f>CumulativeConfirmed!BK78-CumulativeRecovered!BK78-CumulativeDead!BK78</f>
        <v>0</v>
      </c>
      <c r="BL78">
        <f>CumulativeConfirmed!BL78-CumulativeRecovered!BL78-CumulativeDead!BL78</f>
        <v>0</v>
      </c>
      <c r="BM78">
        <f>CumulativeConfirmed!BM78-CumulativeRecovered!BM78-CumulativeDead!BM78</f>
        <v>0</v>
      </c>
      <c r="BN78">
        <f>CumulativeConfirmed!BN78-CumulativeRecovered!BN78-CumulativeDead!BN78</f>
        <v>0</v>
      </c>
      <c r="BO78">
        <f>CumulativeConfirmed!BO78-CumulativeRecovered!BO78-CumulativeDead!BO78</f>
        <v>0</v>
      </c>
      <c r="BP78">
        <f>CumulativeConfirmed!BP78-CumulativeRecovered!BP78-CumulativeDead!BP78</f>
        <v>0</v>
      </c>
      <c r="BQ78">
        <f>CumulativeConfirmed!BQ78-CumulativeRecovered!BQ78-CumulativeDead!BQ78</f>
        <v>0</v>
      </c>
      <c r="BR78">
        <f>CumulativeConfirmed!BR78-CumulativeRecovered!BR78-CumulativeDead!BR78</f>
        <v>0</v>
      </c>
      <c r="BS78">
        <f>CumulativeConfirmed!BS78-CumulativeRecovered!BS78-CumulativeDead!BS78</f>
        <v>0</v>
      </c>
      <c r="BT78">
        <f>CumulativeConfirmed!BT78-CumulativeRecovered!BT78-CumulativeDead!BT78</f>
        <v>0</v>
      </c>
    </row>
    <row r="79" spans="1:72" ht="15" thickBot="1" x14ac:dyDescent="0.35">
      <c r="A79" s="3" t="s">
        <v>177</v>
      </c>
      <c r="B79">
        <f>CumulativeConfirmed!B79-CumulativeRecovered!B79-CumulativeDead!B79</f>
        <v>0</v>
      </c>
      <c r="C79">
        <f>CumulativeConfirmed!C79-CumulativeRecovered!C79-CumulativeDead!C79</f>
        <v>0</v>
      </c>
      <c r="D79">
        <f>CumulativeConfirmed!D79-CumulativeRecovered!D79-CumulativeDead!D79</f>
        <v>0</v>
      </c>
      <c r="E79">
        <f>CumulativeConfirmed!E79-CumulativeRecovered!E79-CumulativeDead!E79</f>
        <v>0</v>
      </c>
      <c r="F79">
        <f>CumulativeConfirmed!F79-CumulativeRecovered!F79-CumulativeDead!F79</f>
        <v>0</v>
      </c>
      <c r="G79">
        <f>CumulativeConfirmed!G79-CumulativeRecovered!G79-CumulativeDead!G79</f>
        <v>0</v>
      </c>
      <c r="H79">
        <f>CumulativeConfirmed!H79-CumulativeRecovered!H79-CumulativeDead!H79</f>
        <v>0</v>
      </c>
      <c r="I79">
        <f>CumulativeConfirmed!I79-CumulativeRecovered!I79-CumulativeDead!I79</f>
        <v>0</v>
      </c>
      <c r="J79">
        <f>CumulativeConfirmed!J79-CumulativeRecovered!J79-CumulativeDead!J79</f>
        <v>0</v>
      </c>
      <c r="K79">
        <f>CumulativeConfirmed!K79-CumulativeRecovered!K79-CumulativeDead!K79</f>
        <v>0</v>
      </c>
      <c r="L79">
        <f>CumulativeConfirmed!L79-CumulativeRecovered!L79-CumulativeDead!L79</f>
        <v>0</v>
      </c>
      <c r="M79">
        <f>CumulativeConfirmed!M79-CumulativeRecovered!M79-CumulativeDead!M79</f>
        <v>0</v>
      </c>
      <c r="N79">
        <f>CumulativeConfirmed!N79-CumulativeRecovered!N79-CumulativeDead!N79</f>
        <v>0</v>
      </c>
      <c r="O79">
        <f>CumulativeConfirmed!O79-CumulativeRecovered!O79-CumulativeDead!O79</f>
        <v>0</v>
      </c>
      <c r="P79">
        <f>CumulativeConfirmed!P79-CumulativeRecovered!P79-CumulativeDead!P79</f>
        <v>0</v>
      </c>
      <c r="Q79">
        <f>CumulativeConfirmed!Q79-CumulativeRecovered!Q79-CumulativeDead!Q79</f>
        <v>0</v>
      </c>
      <c r="R79">
        <f>CumulativeConfirmed!R79-CumulativeRecovered!R79-CumulativeDead!R79</f>
        <v>0</v>
      </c>
      <c r="S79">
        <f>CumulativeConfirmed!S79-CumulativeRecovered!S79-CumulativeDead!S79</f>
        <v>0</v>
      </c>
      <c r="T79">
        <f>CumulativeConfirmed!T79-CumulativeRecovered!T79-CumulativeDead!T79</f>
        <v>0</v>
      </c>
      <c r="U79">
        <f>CumulativeConfirmed!U79-CumulativeRecovered!U79-CumulativeDead!U79</f>
        <v>0</v>
      </c>
      <c r="V79">
        <f>CumulativeConfirmed!V79-CumulativeRecovered!V79-CumulativeDead!V79</f>
        <v>0</v>
      </c>
      <c r="W79">
        <f>CumulativeConfirmed!W79-CumulativeRecovered!W79-CumulativeDead!W79</f>
        <v>0</v>
      </c>
      <c r="X79">
        <f>CumulativeConfirmed!X79-CumulativeRecovered!X79-CumulativeDead!X79</f>
        <v>0</v>
      </c>
      <c r="Y79">
        <f>CumulativeConfirmed!Y79-CumulativeRecovered!Y79-CumulativeDead!Y79</f>
        <v>0</v>
      </c>
      <c r="Z79">
        <f>CumulativeConfirmed!Z79-CumulativeRecovered!Z79-CumulativeDead!Z79</f>
        <v>0</v>
      </c>
      <c r="AA79">
        <f>CumulativeConfirmed!AA79-CumulativeRecovered!AA79-CumulativeDead!AA79</f>
        <v>0</v>
      </c>
      <c r="AB79">
        <f>CumulativeConfirmed!AB79-CumulativeRecovered!AB79-CumulativeDead!AB79</f>
        <v>0</v>
      </c>
      <c r="AC79">
        <f>CumulativeConfirmed!AC79-CumulativeRecovered!AC79-CumulativeDead!AC79</f>
        <v>0</v>
      </c>
      <c r="AD79">
        <f>CumulativeConfirmed!AD79-CumulativeRecovered!AD79-CumulativeDead!AD79</f>
        <v>0</v>
      </c>
      <c r="AE79">
        <f>CumulativeConfirmed!AE79-CumulativeRecovered!AE79-CumulativeDead!AE79</f>
        <v>0</v>
      </c>
      <c r="AF79">
        <f>CumulativeConfirmed!AF79-CumulativeRecovered!AF79-CumulativeDead!AF79</f>
        <v>0</v>
      </c>
      <c r="AG79">
        <f>CumulativeConfirmed!AG79-CumulativeRecovered!AG79-CumulativeDead!AG79</f>
        <v>0</v>
      </c>
      <c r="AH79">
        <f>CumulativeConfirmed!AH79-CumulativeRecovered!AH79-CumulativeDead!AH79</f>
        <v>0</v>
      </c>
      <c r="AI79">
        <f>CumulativeConfirmed!AI79-CumulativeRecovered!AI79-CumulativeDead!AI79</f>
        <v>0</v>
      </c>
      <c r="AJ79">
        <f>CumulativeConfirmed!AJ79-CumulativeRecovered!AJ79-CumulativeDead!AJ79</f>
        <v>0</v>
      </c>
      <c r="AK79">
        <f>CumulativeConfirmed!AK79-CumulativeRecovered!AK79-CumulativeDead!AK79</f>
        <v>0</v>
      </c>
      <c r="AL79">
        <f>CumulativeConfirmed!AL79-CumulativeRecovered!AL79-CumulativeDead!AL79</f>
        <v>0</v>
      </c>
      <c r="AM79">
        <f>CumulativeConfirmed!AM79-CumulativeRecovered!AM79-CumulativeDead!AM79</f>
        <v>0</v>
      </c>
      <c r="AN79">
        <f>CumulativeConfirmed!AN79-CumulativeRecovered!AN79-CumulativeDead!AN79</f>
        <v>0</v>
      </c>
      <c r="AO79">
        <f>CumulativeConfirmed!AO79-CumulativeRecovered!AO79-CumulativeDead!AO79</f>
        <v>0</v>
      </c>
      <c r="AP79">
        <f>CumulativeConfirmed!AP79-CumulativeRecovered!AP79-CumulativeDead!AP79</f>
        <v>0</v>
      </c>
      <c r="AQ79">
        <f>CumulativeConfirmed!AQ79-CumulativeRecovered!AQ79-CumulativeDead!AQ79</f>
        <v>0</v>
      </c>
      <c r="AR79">
        <f>CumulativeConfirmed!AR79-CumulativeRecovered!AR79-CumulativeDead!AR79</f>
        <v>0</v>
      </c>
      <c r="AS79">
        <f>CumulativeConfirmed!AS79-CumulativeRecovered!AS79-CumulativeDead!AS79</f>
        <v>0</v>
      </c>
      <c r="AT79">
        <f>CumulativeConfirmed!AT79-CumulativeRecovered!AT79-CumulativeDead!AT79</f>
        <v>0</v>
      </c>
      <c r="AU79">
        <f>CumulativeConfirmed!AU79-CumulativeRecovered!AU79-CumulativeDead!AU79</f>
        <v>3</v>
      </c>
      <c r="AV79">
        <f>CumulativeConfirmed!AV79-CumulativeRecovered!AV79-CumulativeDead!AV79</f>
        <v>3</v>
      </c>
      <c r="AW79">
        <f>CumulativeConfirmed!AW79-CumulativeRecovered!AW79-CumulativeDead!AW79</f>
        <v>3</v>
      </c>
      <c r="AX79">
        <f>CumulativeConfirmed!AX79-CumulativeRecovered!AX79-CumulativeDead!AX79</f>
        <v>5</v>
      </c>
      <c r="AY79">
        <f>CumulativeConfirmed!AY79-CumulativeRecovered!AY79-CumulativeDead!AY79</f>
        <v>6</v>
      </c>
      <c r="AZ79">
        <f>CumulativeConfirmed!AZ79-CumulativeRecovered!AZ79-CumulativeDead!AZ79</f>
        <v>6</v>
      </c>
      <c r="BA79">
        <f>CumulativeConfirmed!BA79-CumulativeRecovered!BA79-CumulativeDead!BA79</f>
        <v>11</v>
      </c>
      <c r="BB79">
        <f>CumulativeConfirmed!BB79-CumulativeRecovered!BB79-CumulativeDead!BB79</f>
        <v>17</v>
      </c>
      <c r="BC79">
        <f>CumulativeConfirmed!BC79-CumulativeRecovered!BC79-CumulativeDead!BC79</f>
        <v>20</v>
      </c>
      <c r="BD79">
        <f>CumulativeConfirmed!BD79-CumulativeRecovered!BD79-CumulativeDead!BD79</f>
        <v>28</v>
      </c>
      <c r="BE79">
        <f>CumulativeConfirmed!BE79-CumulativeRecovered!BE79-CumulativeDead!BE79</f>
        <v>36</v>
      </c>
      <c r="BF79">
        <f>CumulativeConfirmed!BF79-CumulativeRecovered!BF79-CumulativeDead!BF79</f>
        <v>36</v>
      </c>
      <c r="BG79">
        <f>CumulativeConfirmed!BG79-CumulativeRecovered!BG79-CumulativeDead!BG79</f>
        <v>51</v>
      </c>
      <c r="BH79">
        <f>CumulativeConfirmed!BH79-CumulativeRecovered!BH79-CumulativeDead!BH79</f>
        <v>62</v>
      </c>
      <c r="BI79">
        <f>CumulativeConfirmed!BI79-CumulativeRecovered!BI79-CumulativeDead!BI79</f>
        <v>0</v>
      </c>
      <c r="BJ79">
        <f>CumulativeConfirmed!BJ79-CumulativeRecovered!BJ79-CumulativeDead!BJ79</f>
        <v>0</v>
      </c>
      <c r="BK79">
        <f>CumulativeConfirmed!BK79-CumulativeRecovered!BK79-CumulativeDead!BK79</f>
        <v>0</v>
      </c>
      <c r="BL79">
        <f>CumulativeConfirmed!BL79-CumulativeRecovered!BL79-CumulativeDead!BL79</f>
        <v>0</v>
      </c>
      <c r="BM79">
        <f>CumulativeConfirmed!BM79-CumulativeRecovered!BM79-CumulativeDead!BM79</f>
        <v>0</v>
      </c>
      <c r="BN79">
        <f>CumulativeConfirmed!BN79-CumulativeRecovered!BN79-CumulativeDead!BN79</f>
        <v>0</v>
      </c>
      <c r="BO79">
        <f>CumulativeConfirmed!BO79-CumulativeRecovered!BO79-CumulativeDead!BO79</f>
        <v>0</v>
      </c>
      <c r="BP79">
        <f>CumulativeConfirmed!BP79-CumulativeRecovered!BP79-CumulativeDead!BP79</f>
        <v>0</v>
      </c>
      <c r="BQ79">
        <f>CumulativeConfirmed!BQ79-CumulativeRecovered!BQ79-CumulativeDead!BQ79</f>
        <v>0</v>
      </c>
      <c r="BR79">
        <f>CumulativeConfirmed!BR79-CumulativeRecovered!BR79-CumulativeDead!BR79</f>
        <v>0</v>
      </c>
      <c r="BS79">
        <f>CumulativeConfirmed!BS79-CumulativeRecovered!BS79-CumulativeDead!BS79</f>
        <v>0</v>
      </c>
      <c r="BT79">
        <f>CumulativeConfirmed!BT79-CumulativeRecovered!BT79-CumulativeDead!BT79</f>
        <v>0</v>
      </c>
    </row>
    <row r="80" spans="1:72" ht="15" thickBot="1" x14ac:dyDescent="0.35">
      <c r="A80" s="4" t="s">
        <v>94</v>
      </c>
      <c r="B80">
        <f>CumulativeConfirmed!B80-CumulativeRecovered!B80-CumulativeDead!B80</f>
        <v>0</v>
      </c>
      <c r="C80">
        <f>CumulativeConfirmed!C80-CumulativeRecovered!C80-CumulativeDead!C80</f>
        <v>0</v>
      </c>
      <c r="D80">
        <f>CumulativeConfirmed!D80-CumulativeRecovered!D80-CumulativeDead!D80</f>
        <v>0</v>
      </c>
      <c r="E80">
        <f>CumulativeConfirmed!E80-CumulativeRecovered!E80-CumulativeDead!E80</f>
        <v>0</v>
      </c>
      <c r="F80">
        <f>CumulativeConfirmed!F80-CumulativeRecovered!F80-CumulativeDead!F80</f>
        <v>0</v>
      </c>
      <c r="G80">
        <f>CumulativeConfirmed!G80-CumulativeRecovered!G80-CumulativeDead!G80</f>
        <v>0</v>
      </c>
      <c r="H80">
        <f>CumulativeConfirmed!H80-CumulativeRecovered!H80-CumulativeDead!H80</f>
        <v>0</v>
      </c>
      <c r="I80">
        <f>CumulativeConfirmed!I80-CumulativeRecovered!I80-CumulativeDead!I80</f>
        <v>0</v>
      </c>
      <c r="J80">
        <f>CumulativeConfirmed!J80-CumulativeRecovered!J80-CumulativeDead!J80</f>
        <v>0</v>
      </c>
      <c r="K80">
        <f>CumulativeConfirmed!K80-CumulativeRecovered!K80-CumulativeDead!K80</f>
        <v>0</v>
      </c>
      <c r="L80">
        <f>CumulativeConfirmed!L80-CumulativeRecovered!L80-CumulativeDead!L80</f>
        <v>0</v>
      </c>
      <c r="M80">
        <f>CumulativeConfirmed!M80-CumulativeRecovered!M80-CumulativeDead!M80</f>
        <v>0</v>
      </c>
      <c r="N80">
        <f>CumulativeConfirmed!N80-CumulativeRecovered!N80-CumulativeDead!N80</f>
        <v>0</v>
      </c>
      <c r="O80">
        <f>CumulativeConfirmed!O80-CumulativeRecovered!O80-CumulativeDead!O80</f>
        <v>0</v>
      </c>
      <c r="P80">
        <f>CumulativeConfirmed!P80-CumulativeRecovered!P80-CumulativeDead!P80</f>
        <v>0</v>
      </c>
      <c r="Q80">
        <f>CumulativeConfirmed!Q80-CumulativeRecovered!Q80-CumulativeDead!Q80</f>
        <v>0</v>
      </c>
      <c r="R80">
        <f>CumulativeConfirmed!R80-CumulativeRecovered!R80-CumulativeDead!R80</f>
        <v>0</v>
      </c>
      <c r="S80">
        <f>CumulativeConfirmed!S80-CumulativeRecovered!S80-CumulativeDead!S80</f>
        <v>0</v>
      </c>
      <c r="T80">
        <f>CumulativeConfirmed!T80-CumulativeRecovered!T80-CumulativeDead!T80</f>
        <v>0</v>
      </c>
      <c r="U80">
        <f>CumulativeConfirmed!U80-CumulativeRecovered!U80-CumulativeDead!U80</f>
        <v>0</v>
      </c>
      <c r="V80">
        <f>CumulativeConfirmed!V80-CumulativeRecovered!V80-CumulativeDead!V80</f>
        <v>0</v>
      </c>
      <c r="W80">
        <f>CumulativeConfirmed!W80-CumulativeRecovered!W80-CumulativeDead!W80</f>
        <v>0</v>
      </c>
      <c r="X80">
        <f>CumulativeConfirmed!X80-CumulativeRecovered!X80-CumulativeDead!X80</f>
        <v>0</v>
      </c>
      <c r="Y80">
        <f>CumulativeConfirmed!Y80-CumulativeRecovered!Y80-CumulativeDead!Y80</f>
        <v>0</v>
      </c>
      <c r="Z80">
        <f>CumulativeConfirmed!Z80-CumulativeRecovered!Z80-CumulativeDead!Z80</f>
        <v>0</v>
      </c>
      <c r="AA80">
        <f>CumulativeConfirmed!AA80-CumulativeRecovered!AA80-CumulativeDead!AA80</f>
        <v>0</v>
      </c>
      <c r="AB80">
        <f>CumulativeConfirmed!AB80-CumulativeRecovered!AB80-CumulativeDead!AB80</f>
        <v>0</v>
      </c>
      <c r="AC80">
        <f>CumulativeConfirmed!AC80-CumulativeRecovered!AC80-CumulativeDead!AC80</f>
        <v>0</v>
      </c>
      <c r="AD80">
        <f>CumulativeConfirmed!AD80-CumulativeRecovered!AD80-CumulativeDead!AD80</f>
        <v>0</v>
      </c>
      <c r="AE80">
        <f>CumulativeConfirmed!AE80-CumulativeRecovered!AE80-CumulativeDead!AE80</f>
        <v>0</v>
      </c>
      <c r="AF80">
        <f>CumulativeConfirmed!AF80-CumulativeRecovered!AF80-CumulativeDead!AF80</f>
        <v>0</v>
      </c>
      <c r="AG80">
        <f>CumulativeConfirmed!AG80-CumulativeRecovered!AG80-CumulativeDead!AG80</f>
        <v>0</v>
      </c>
      <c r="AH80">
        <f>CumulativeConfirmed!AH80-CumulativeRecovered!AH80-CumulativeDead!AH80</f>
        <v>0</v>
      </c>
      <c r="AI80">
        <f>CumulativeConfirmed!AI80-CumulativeRecovered!AI80-CumulativeDead!AI80</f>
        <v>0</v>
      </c>
      <c r="AJ80">
        <f>CumulativeConfirmed!AJ80-CumulativeRecovered!AJ80-CumulativeDead!AJ80</f>
        <v>0</v>
      </c>
      <c r="AK80">
        <f>CumulativeConfirmed!AK80-CumulativeRecovered!AK80-CumulativeDead!AK80</f>
        <v>0</v>
      </c>
      <c r="AL80">
        <f>CumulativeConfirmed!AL80-CumulativeRecovered!AL80-CumulativeDead!AL80</f>
        <v>0</v>
      </c>
      <c r="AM80">
        <f>CumulativeConfirmed!AM80-CumulativeRecovered!AM80-CumulativeDead!AM80</f>
        <v>1</v>
      </c>
      <c r="AN80">
        <f>CumulativeConfirmed!AN80-CumulativeRecovered!AN80-CumulativeDead!AN80</f>
        <v>4</v>
      </c>
      <c r="AO80">
        <f>CumulativeConfirmed!AO80-CumulativeRecovered!AO80-CumulativeDead!AO80</f>
        <v>5</v>
      </c>
      <c r="AP80">
        <f>CumulativeConfirmed!AP80-CumulativeRecovered!AP80-CumulativeDead!AP80</f>
        <v>5</v>
      </c>
      <c r="AQ80">
        <f>CumulativeConfirmed!AQ80-CumulativeRecovered!AQ80-CumulativeDead!AQ80</f>
        <v>4</v>
      </c>
      <c r="AR80">
        <f>CumulativeConfirmed!AR80-CumulativeRecovered!AR80-CumulativeDead!AR80</f>
        <v>4</v>
      </c>
      <c r="AS80">
        <f>CumulativeConfirmed!AS80-CumulativeRecovered!AS80-CumulativeDead!AS80</f>
        <v>4</v>
      </c>
      <c r="AT80">
        <f>CumulativeConfirmed!AT80-CumulativeRecovered!AT80-CumulativeDead!AT80</f>
        <v>5</v>
      </c>
      <c r="AU80">
        <f>CumulativeConfirmed!AU80-CumulativeRecovered!AU80-CumulativeDead!AU80</f>
        <v>5</v>
      </c>
      <c r="AV80">
        <f>CumulativeConfirmed!AV80-CumulativeRecovered!AV80-CumulativeDead!AV80</f>
        <v>6</v>
      </c>
      <c r="AW80">
        <f>CumulativeConfirmed!AW80-CumulativeRecovered!AW80-CumulativeDead!AW80</f>
        <v>6</v>
      </c>
      <c r="AX80">
        <f>CumulativeConfirmed!AX80-CumulativeRecovered!AX80-CumulativeDead!AX80</f>
        <v>3</v>
      </c>
      <c r="AY80">
        <f>CumulativeConfirmed!AY80-CumulativeRecovered!AY80-CumulativeDead!AY80</f>
        <v>4</v>
      </c>
      <c r="AZ80">
        <f>CumulativeConfirmed!AZ80-CumulativeRecovered!AZ80-CumulativeDead!AZ80</f>
        <v>8</v>
      </c>
      <c r="BA80">
        <f>CumulativeConfirmed!BA80-CumulativeRecovered!BA80-CumulativeDead!BA80</f>
        <v>8</v>
      </c>
      <c r="BB80">
        <f>CumulativeConfirmed!BB80-CumulativeRecovered!BB80-CumulativeDead!BB80</f>
        <v>22</v>
      </c>
      <c r="BC80">
        <f>CumulativeConfirmed!BC80-CumulativeRecovered!BC80-CumulativeDead!BC80</f>
        <v>37</v>
      </c>
      <c r="BD80">
        <f>CumulativeConfirmed!BD80-CumulativeRecovered!BD80-CumulativeDead!BD80</f>
        <v>49</v>
      </c>
      <c r="BE80">
        <f>CumulativeConfirmed!BE80-CumulativeRecovered!BE80-CumulativeDead!BE80</f>
        <v>78</v>
      </c>
      <c r="BF80">
        <f>CumulativeConfirmed!BF80-CumulativeRecovered!BF80-CumulativeDead!BF80</f>
        <v>89</v>
      </c>
      <c r="BG80">
        <f>CumulativeConfirmed!BG80-CumulativeRecovered!BG80-CumulativeDead!BG80</f>
        <v>113</v>
      </c>
      <c r="BH80">
        <f>CumulativeConfirmed!BH80-CumulativeRecovered!BH80-CumulativeDead!BH80</f>
        <v>159</v>
      </c>
      <c r="BI80">
        <f>CumulativeConfirmed!BI80-CumulativeRecovered!BI80-CumulativeDead!BI80</f>
        <v>0</v>
      </c>
      <c r="BJ80">
        <f>CumulativeConfirmed!BJ80-CumulativeRecovered!BJ80-CumulativeDead!BJ80</f>
        <v>0</v>
      </c>
      <c r="BK80">
        <f>CumulativeConfirmed!BK80-CumulativeRecovered!BK80-CumulativeDead!BK80</f>
        <v>0</v>
      </c>
      <c r="BL80">
        <f>CumulativeConfirmed!BL80-CumulativeRecovered!BL80-CumulativeDead!BL80</f>
        <v>0</v>
      </c>
      <c r="BM80">
        <f>CumulativeConfirmed!BM80-CumulativeRecovered!BM80-CumulativeDead!BM80</f>
        <v>0</v>
      </c>
      <c r="BN80">
        <f>CumulativeConfirmed!BN80-CumulativeRecovered!BN80-CumulativeDead!BN80</f>
        <v>0</v>
      </c>
      <c r="BO80">
        <f>CumulativeConfirmed!BO80-CumulativeRecovered!BO80-CumulativeDead!BO80</f>
        <v>0</v>
      </c>
      <c r="BP80">
        <f>CumulativeConfirmed!BP80-CumulativeRecovered!BP80-CumulativeDead!BP80</f>
        <v>0</v>
      </c>
      <c r="BQ80">
        <f>CumulativeConfirmed!BQ80-CumulativeRecovered!BQ80-CumulativeDead!BQ80</f>
        <v>0</v>
      </c>
      <c r="BR80">
        <f>CumulativeConfirmed!BR80-CumulativeRecovered!BR80-CumulativeDead!BR80</f>
        <v>0</v>
      </c>
      <c r="BS80">
        <f>CumulativeConfirmed!BS80-CumulativeRecovered!BS80-CumulativeDead!BS80</f>
        <v>0</v>
      </c>
      <c r="BT80">
        <f>CumulativeConfirmed!BT80-CumulativeRecovered!BT80-CumulativeDead!BT80</f>
        <v>0</v>
      </c>
    </row>
    <row r="81" spans="1:72" ht="15" thickBot="1" x14ac:dyDescent="0.35">
      <c r="A81" s="3" t="s">
        <v>114</v>
      </c>
      <c r="B81">
        <f>CumulativeConfirmed!B81-CumulativeRecovered!B81-CumulativeDead!B81</f>
        <v>0</v>
      </c>
      <c r="C81">
        <f>CumulativeConfirmed!C81-CumulativeRecovered!C81-CumulativeDead!C81</f>
        <v>0</v>
      </c>
      <c r="D81">
        <f>CumulativeConfirmed!D81-CumulativeRecovered!D81-CumulativeDead!D81</f>
        <v>0</v>
      </c>
      <c r="E81">
        <f>CumulativeConfirmed!E81-CumulativeRecovered!E81-CumulativeDead!E81</f>
        <v>0</v>
      </c>
      <c r="F81">
        <f>CumulativeConfirmed!F81-CumulativeRecovered!F81-CumulativeDead!F81</f>
        <v>0</v>
      </c>
      <c r="G81">
        <f>CumulativeConfirmed!G81-CumulativeRecovered!G81-CumulativeDead!G81</f>
        <v>0</v>
      </c>
      <c r="H81">
        <f>CumulativeConfirmed!H81-CumulativeRecovered!H81-CumulativeDead!H81</f>
        <v>0</v>
      </c>
      <c r="I81">
        <f>CumulativeConfirmed!I81-CumulativeRecovered!I81-CumulativeDead!I81</f>
        <v>0</v>
      </c>
      <c r="J81">
        <f>CumulativeConfirmed!J81-CumulativeRecovered!J81-CumulativeDead!J81</f>
        <v>0</v>
      </c>
      <c r="K81">
        <f>CumulativeConfirmed!K81-CumulativeRecovered!K81-CumulativeDead!K81</f>
        <v>0</v>
      </c>
      <c r="L81">
        <f>CumulativeConfirmed!L81-CumulativeRecovered!L81-CumulativeDead!L81</f>
        <v>0</v>
      </c>
      <c r="M81">
        <f>CumulativeConfirmed!M81-CumulativeRecovered!M81-CumulativeDead!M81</f>
        <v>0</v>
      </c>
      <c r="N81">
        <f>CumulativeConfirmed!N81-CumulativeRecovered!N81-CumulativeDead!N81</f>
        <v>0</v>
      </c>
      <c r="O81">
        <f>CumulativeConfirmed!O81-CumulativeRecovered!O81-CumulativeDead!O81</f>
        <v>0</v>
      </c>
      <c r="P81">
        <f>CumulativeConfirmed!P81-CumulativeRecovered!P81-CumulativeDead!P81</f>
        <v>0</v>
      </c>
      <c r="Q81">
        <f>CumulativeConfirmed!Q81-CumulativeRecovered!Q81-CumulativeDead!Q81</f>
        <v>0</v>
      </c>
      <c r="R81">
        <f>CumulativeConfirmed!R81-CumulativeRecovered!R81-CumulativeDead!R81</f>
        <v>0</v>
      </c>
      <c r="S81">
        <f>CumulativeConfirmed!S81-CumulativeRecovered!S81-CumulativeDead!S81</f>
        <v>0</v>
      </c>
      <c r="T81">
        <f>CumulativeConfirmed!T81-CumulativeRecovered!T81-CumulativeDead!T81</f>
        <v>0</v>
      </c>
      <c r="U81">
        <f>CumulativeConfirmed!U81-CumulativeRecovered!U81-CumulativeDead!U81</f>
        <v>0</v>
      </c>
      <c r="V81">
        <f>CumulativeConfirmed!V81-CumulativeRecovered!V81-CumulativeDead!V81</f>
        <v>0</v>
      </c>
      <c r="W81">
        <f>CumulativeConfirmed!W81-CumulativeRecovered!W81-CumulativeDead!W81</f>
        <v>0</v>
      </c>
      <c r="X81">
        <f>CumulativeConfirmed!X81-CumulativeRecovered!X81-CumulativeDead!X81</f>
        <v>0</v>
      </c>
      <c r="Y81">
        <f>CumulativeConfirmed!Y81-CumulativeRecovered!Y81-CumulativeDead!Y81</f>
        <v>0</v>
      </c>
      <c r="Z81">
        <f>CumulativeConfirmed!Z81-CumulativeRecovered!Z81-CumulativeDead!Z81</f>
        <v>0</v>
      </c>
      <c r="AA81">
        <f>CumulativeConfirmed!AA81-CumulativeRecovered!AA81-CumulativeDead!AA81</f>
        <v>0</v>
      </c>
      <c r="AB81">
        <f>CumulativeConfirmed!AB81-CumulativeRecovered!AB81-CumulativeDead!AB81</f>
        <v>0</v>
      </c>
      <c r="AC81">
        <f>CumulativeConfirmed!AC81-CumulativeRecovered!AC81-CumulativeDead!AC81</f>
        <v>0</v>
      </c>
      <c r="AD81">
        <f>CumulativeConfirmed!AD81-CumulativeRecovered!AD81-CumulativeDead!AD81</f>
        <v>0</v>
      </c>
      <c r="AE81">
        <f>CumulativeConfirmed!AE81-CumulativeRecovered!AE81-CumulativeDead!AE81</f>
        <v>0</v>
      </c>
      <c r="AF81">
        <f>CumulativeConfirmed!AF81-CumulativeRecovered!AF81-CumulativeDead!AF81</f>
        <v>0</v>
      </c>
      <c r="AG81">
        <f>CumulativeConfirmed!AG81-CumulativeRecovered!AG81-CumulativeDead!AG81</f>
        <v>0</v>
      </c>
      <c r="AH81">
        <f>CumulativeConfirmed!AH81-CumulativeRecovered!AH81-CumulativeDead!AH81</f>
        <v>0</v>
      </c>
      <c r="AI81">
        <f>CumulativeConfirmed!AI81-CumulativeRecovered!AI81-CumulativeDead!AI81</f>
        <v>0</v>
      </c>
      <c r="AJ81">
        <f>CumulativeConfirmed!AJ81-CumulativeRecovered!AJ81-CumulativeDead!AJ81</f>
        <v>0</v>
      </c>
      <c r="AK81">
        <f>CumulativeConfirmed!AK81-CumulativeRecovered!AK81-CumulativeDead!AK81</f>
        <v>0</v>
      </c>
      <c r="AL81">
        <f>CumulativeConfirmed!AL81-CumulativeRecovered!AL81-CumulativeDead!AL81</f>
        <v>0</v>
      </c>
      <c r="AM81">
        <f>CumulativeConfirmed!AM81-CumulativeRecovered!AM81-CumulativeDead!AM81</f>
        <v>0</v>
      </c>
      <c r="AN81">
        <f>CumulativeConfirmed!AN81-CumulativeRecovered!AN81-CumulativeDead!AN81</f>
        <v>0</v>
      </c>
      <c r="AO81">
        <f>CumulativeConfirmed!AO81-CumulativeRecovered!AO81-CumulativeDead!AO81</f>
        <v>0</v>
      </c>
      <c r="AP81">
        <f>CumulativeConfirmed!AP81-CumulativeRecovered!AP81-CumulativeDead!AP81</f>
        <v>1</v>
      </c>
      <c r="AQ81">
        <f>CumulativeConfirmed!AQ81-CumulativeRecovered!AQ81-CumulativeDead!AQ81</f>
        <v>2</v>
      </c>
      <c r="AR81">
        <f>CumulativeConfirmed!AR81-CumulativeRecovered!AR81-CumulativeDead!AR81</f>
        <v>4</v>
      </c>
      <c r="AS81">
        <f>CumulativeConfirmed!AS81-CumulativeRecovered!AS81-CumulativeDead!AS81</f>
        <v>4</v>
      </c>
      <c r="AT81">
        <f>CumulativeConfirmed!AT81-CumulativeRecovered!AT81-CumulativeDead!AT81</f>
        <v>4</v>
      </c>
      <c r="AU81">
        <f>CumulativeConfirmed!AU81-CumulativeRecovered!AU81-CumulativeDead!AU81</f>
        <v>4</v>
      </c>
      <c r="AV81">
        <f>CumulativeConfirmed!AV81-CumulativeRecovered!AV81-CumulativeDead!AV81</f>
        <v>3</v>
      </c>
      <c r="AW81">
        <f>CumulativeConfirmed!AW81-CumulativeRecovered!AW81-CumulativeDead!AW81</f>
        <v>3</v>
      </c>
      <c r="AX81">
        <f>CumulativeConfirmed!AX81-CumulativeRecovered!AX81-CumulativeDead!AX81</f>
        <v>3</v>
      </c>
      <c r="AY81">
        <f>CumulativeConfirmed!AY81-CumulativeRecovered!AY81-CumulativeDead!AY81</f>
        <v>3</v>
      </c>
      <c r="AZ81">
        <f>CumulativeConfirmed!AZ81-CumulativeRecovered!AZ81-CumulativeDead!AZ81</f>
        <v>3</v>
      </c>
      <c r="BA81">
        <f>CumulativeConfirmed!BA81-CumulativeRecovered!BA81-CumulativeDead!BA81</f>
        <v>9</v>
      </c>
      <c r="BB81">
        <f>CumulativeConfirmed!BB81-CumulativeRecovered!BB81-CumulativeDead!BB81</f>
        <v>9</v>
      </c>
      <c r="BC81">
        <f>CumulativeConfirmed!BC81-CumulativeRecovered!BC81-CumulativeDead!BC81</f>
        <v>23</v>
      </c>
      <c r="BD81">
        <f>CumulativeConfirmed!BD81-CumulativeRecovered!BD81-CumulativeDead!BD81</f>
        <v>22</v>
      </c>
      <c r="BE81">
        <f>CumulativeConfirmed!BE81-CumulativeRecovered!BE81-CumulativeDead!BE81</f>
        <v>24</v>
      </c>
      <c r="BF81">
        <f>CumulativeConfirmed!BF81-CumulativeRecovered!BF81-CumulativeDead!BF81</f>
        <v>29</v>
      </c>
      <c r="BG81">
        <f>CumulativeConfirmed!BG81-CumulativeRecovered!BG81-CumulativeDead!BG81</f>
        <v>29</v>
      </c>
      <c r="BH81">
        <f>CumulativeConfirmed!BH81-CumulativeRecovered!BH81-CumulativeDead!BH81</f>
        <v>36</v>
      </c>
      <c r="BI81">
        <f>CumulativeConfirmed!BI81-CumulativeRecovered!BI81-CumulativeDead!BI81</f>
        <v>0</v>
      </c>
      <c r="BJ81">
        <f>CumulativeConfirmed!BJ81-CumulativeRecovered!BJ81-CumulativeDead!BJ81</f>
        <v>0</v>
      </c>
      <c r="BK81">
        <f>CumulativeConfirmed!BK81-CumulativeRecovered!BK81-CumulativeDead!BK81</f>
        <v>0</v>
      </c>
      <c r="BL81">
        <f>CumulativeConfirmed!BL81-CumulativeRecovered!BL81-CumulativeDead!BL81</f>
        <v>0</v>
      </c>
      <c r="BM81">
        <f>CumulativeConfirmed!BM81-CumulativeRecovered!BM81-CumulativeDead!BM81</f>
        <v>0</v>
      </c>
      <c r="BN81">
        <f>CumulativeConfirmed!BN81-CumulativeRecovered!BN81-CumulativeDead!BN81</f>
        <v>0</v>
      </c>
      <c r="BO81">
        <f>CumulativeConfirmed!BO81-CumulativeRecovered!BO81-CumulativeDead!BO81</f>
        <v>0</v>
      </c>
      <c r="BP81">
        <f>CumulativeConfirmed!BP81-CumulativeRecovered!BP81-CumulativeDead!BP81</f>
        <v>0</v>
      </c>
      <c r="BQ81">
        <f>CumulativeConfirmed!BQ81-CumulativeRecovered!BQ81-CumulativeDead!BQ81</f>
        <v>0</v>
      </c>
      <c r="BR81">
        <f>CumulativeConfirmed!BR81-CumulativeRecovered!BR81-CumulativeDead!BR81</f>
        <v>0</v>
      </c>
      <c r="BS81">
        <f>CumulativeConfirmed!BS81-CumulativeRecovered!BS81-CumulativeDead!BS81</f>
        <v>0</v>
      </c>
      <c r="BT81">
        <f>CumulativeConfirmed!BT81-CumulativeRecovered!BT81-CumulativeDead!BT81</f>
        <v>0</v>
      </c>
    </row>
    <row r="82" spans="1:72" ht="15" thickBot="1" x14ac:dyDescent="0.35">
      <c r="A82" s="4" t="s">
        <v>200</v>
      </c>
      <c r="B82">
        <f>CumulativeConfirmed!B82-CumulativeRecovered!B82-CumulativeDead!B82</f>
        <v>0</v>
      </c>
      <c r="C82">
        <f>CumulativeConfirmed!C82-CumulativeRecovered!C82-CumulativeDead!C82</f>
        <v>0</v>
      </c>
      <c r="D82">
        <f>CumulativeConfirmed!D82-CumulativeRecovered!D82-CumulativeDead!D82</f>
        <v>0</v>
      </c>
      <c r="E82">
        <f>CumulativeConfirmed!E82-CumulativeRecovered!E82-CumulativeDead!E82</f>
        <v>0</v>
      </c>
      <c r="F82">
        <f>CumulativeConfirmed!F82-CumulativeRecovered!F82-CumulativeDead!F82</f>
        <v>0</v>
      </c>
      <c r="G82">
        <f>CumulativeConfirmed!G82-CumulativeRecovered!G82-CumulativeDead!G82</f>
        <v>0</v>
      </c>
      <c r="H82">
        <f>CumulativeConfirmed!H82-CumulativeRecovered!H82-CumulativeDead!H82</f>
        <v>0</v>
      </c>
      <c r="I82">
        <f>CumulativeConfirmed!I82-CumulativeRecovered!I82-CumulativeDead!I82</f>
        <v>0</v>
      </c>
      <c r="J82">
        <f>CumulativeConfirmed!J82-CumulativeRecovered!J82-CumulativeDead!J82</f>
        <v>0</v>
      </c>
      <c r="K82">
        <f>CumulativeConfirmed!K82-CumulativeRecovered!K82-CumulativeDead!K82</f>
        <v>0</v>
      </c>
      <c r="L82">
        <f>CumulativeConfirmed!L82-CumulativeRecovered!L82-CumulativeDead!L82</f>
        <v>0</v>
      </c>
      <c r="M82">
        <f>CumulativeConfirmed!M82-CumulativeRecovered!M82-CumulativeDead!M82</f>
        <v>0</v>
      </c>
      <c r="N82">
        <f>CumulativeConfirmed!N82-CumulativeRecovered!N82-CumulativeDead!N82</f>
        <v>0</v>
      </c>
      <c r="O82">
        <f>CumulativeConfirmed!O82-CumulativeRecovered!O82-CumulativeDead!O82</f>
        <v>0</v>
      </c>
      <c r="P82">
        <f>CumulativeConfirmed!P82-CumulativeRecovered!P82-CumulativeDead!P82</f>
        <v>0</v>
      </c>
      <c r="Q82">
        <f>CumulativeConfirmed!Q82-CumulativeRecovered!Q82-CumulativeDead!Q82</f>
        <v>0</v>
      </c>
      <c r="R82">
        <f>CumulativeConfirmed!R82-CumulativeRecovered!R82-CumulativeDead!R82</f>
        <v>0</v>
      </c>
      <c r="S82">
        <f>CumulativeConfirmed!S82-CumulativeRecovered!S82-CumulativeDead!S82</f>
        <v>0</v>
      </c>
      <c r="T82">
        <f>CumulativeConfirmed!T82-CumulativeRecovered!T82-CumulativeDead!T82</f>
        <v>0</v>
      </c>
      <c r="U82">
        <f>CumulativeConfirmed!U82-CumulativeRecovered!U82-CumulativeDead!U82</f>
        <v>0</v>
      </c>
      <c r="V82">
        <f>CumulativeConfirmed!V82-CumulativeRecovered!V82-CumulativeDead!V82</f>
        <v>0</v>
      </c>
      <c r="W82">
        <f>CumulativeConfirmed!W82-CumulativeRecovered!W82-CumulativeDead!W82</f>
        <v>0</v>
      </c>
      <c r="X82">
        <f>CumulativeConfirmed!X82-CumulativeRecovered!X82-CumulativeDead!X82</f>
        <v>0</v>
      </c>
      <c r="Y82">
        <f>CumulativeConfirmed!Y82-CumulativeRecovered!Y82-CumulativeDead!Y82</f>
        <v>0</v>
      </c>
      <c r="Z82">
        <f>CumulativeConfirmed!Z82-CumulativeRecovered!Z82-CumulativeDead!Z82</f>
        <v>0</v>
      </c>
      <c r="AA82">
        <f>CumulativeConfirmed!AA82-CumulativeRecovered!AA82-CumulativeDead!AA82</f>
        <v>0</v>
      </c>
      <c r="AB82">
        <f>CumulativeConfirmed!AB82-CumulativeRecovered!AB82-CumulativeDead!AB82</f>
        <v>0</v>
      </c>
      <c r="AC82">
        <f>CumulativeConfirmed!AC82-CumulativeRecovered!AC82-CumulativeDead!AC82</f>
        <v>0</v>
      </c>
      <c r="AD82">
        <f>CumulativeConfirmed!AD82-CumulativeRecovered!AD82-CumulativeDead!AD82</f>
        <v>0</v>
      </c>
      <c r="AE82">
        <f>CumulativeConfirmed!AE82-CumulativeRecovered!AE82-CumulativeDead!AE82</f>
        <v>0</v>
      </c>
      <c r="AF82">
        <f>CumulativeConfirmed!AF82-CumulativeRecovered!AF82-CumulativeDead!AF82</f>
        <v>0</v>
      </c>
      <c r="AG82">
        <f>CumulativeConfirmed!AG82-CumulativeRecovered!AG82-CumulativeDead!AG82</f>
        <v>0</v>
      </c>
      <c r="AH82">
        <f>CumulativeConfirmed!AH82-CumulativeRecovered!AH82-CumulativeDead!AH82</f>
        <v>0</v>
      </c>
      <c r="AI82">
        <f>CumulativeConfirmed!AI82-CumulativeRecovered!AI82-CumulativeDead!AI82</f>
        <v>0</v>
      </c>
      <c r="AJ82">
        <f>CumulativeConfirmed!AJ82-CumulativeRecovered!AJ82-CumulativeDead!AJ82</f>
        <v>0</v>
      </c>
      <c r="AK82">
        <f>CumulativeConfirmed!AK82-CumulativeRecovered!AK82-CumulativeDead!AK82</f>
        <v>0</v>
      </c>
      <c r="AL82">
        <f>CumulativeConfirmed!AL82-CumulativeRecovered!AL82-CumulativeDead!AL82</f>
        <v>0</v>
      </c>
      <c r="AM82">
        <f>CumulativeConfirmed!AM82-CumulativeRecovered!AM82-CumulativeDead!AM82</f>
        <v>0</v>
      </c>
      <c r="AN82">
        <f>CumulativeConfirmed!AN82-CumulativeRecovered!AN82-CumulativeDead!AN82</f>
        <v>0</v>
      </c>
      <c r="AO82">
        <f>CumulativeConfirmed!AO82-CumulativeRecovered!AO82-CumulativeDead!AO82</f>
        <v>0</v>
      </c>
      <c r="AP82">
        <f>CumulativeConfirmed!AP82-CumulativeRecovered!AP82-CumulativeDead!AP82</f>
        <v>0</v>
      </c>
      <c r="AQ82">
        <f>CumulativeConfirmed!AQ82-CumulativeRecovered!AQ82-CumulativeDead!AQ82</f>
        <v>0</v>
      </c>
      <c r="AR82">
        <f>CumulativeConfirmed!AR82-CumulativeRecovered!AR82-CumulativeDead!AR82</f>
        <v>0</v>
      </c>
      <c r="AS82">
        <f>CumulativeConfirmed!AS82-CumulativeRecovered!AS82-CumulativeDead!AS82</f>
        <v>0</v>
      </c>
      <c r="AT82">
        <f>CumulativeConfirmed!AT82-CumulativeRecovered!AT82-CumulativeDead!AT82</f>
        <v>0</v>
      </c>
      <c r="AU82">
        <f>CumulativeConfirmed!AU82-CumulativeRecovered!AU82-CumulativeDead!AU82</f>
        <v>0</v>
      </c>
      <c r="AV82">
        <f>CumulativeConfirmed!AV82-CumulativeRecovered!AV82-CumulativeDead!AV82</f>
        <v>4</v>
      </c>
      <c r="AW82">
        <f>CumulativeConfirmed!AW82-CumulativeRecovered!AW82-CumulativeDead!AW82</f>
        <v>4</v>
      </c>
      <c r="AX82">
        <f>CumulativeConfirmed!AX82-CumulativeRecovered!AX82-CumulativeDead!AX82</f>
        <v>6</v>
      </c>
      <c r="AY82">
        <f>CumulativeConfirmed!AY82-CumulativeRecovered!AY82-CumulativeDead!AY82</f>
        <v>8</v>
      </c>
      <c r="AZ82">
        <f>CumulativeConfirmed!AZ82-CumulativeRecovered!AZ82-CumulativeDead!AZ82</f>
        <v>8</v>
      </c>
      <c r="BA82">
        <f>CumulativeConfirmed!BA82-CumulativeRecovered!BA82-CumulativeDead!BA82</f>
        <v>9</v>
      </c>
      <c r="BB82">
        <f>CumulativeConfirmed!BB82-CumulativeRecovered!BB82-CumulativeDead!BB82</f>
        <v>10</v>
      </c>
      <c r="BC82">
        <f>CumulativeConfirmed!BC82-CumulativeRecovered!BC82-CumulativeDead!BC82</f>
        <v>13</v>
      </c>
      <c r="BD82">
        <f>CumulativeConfirmed!BD82-CumulativeRecovered!BD82-CumulativeDead!BD82</f>
        <v>13</v>
      </c>
      <c r="BE82">
        <f>CumulativeConfirmed!BE82-CumulativeRecovered!BE82-CumulativeDead!BE82</f>
        <v>13</v>
      </c>
      <c r="BF82">
        <f>CumulativeConfirmed!BF82-CumulativeRecovered!BF82-CumulativeDead!BF82</f>
        <v>13</v>
      </c>
      <c r="BG82">
        <f>CumulativeConfirmed!BG82-CumulativeRecovered!BG82-CumulativeDead!BG82</f>
        <v>13</v>
      </c>
      <c r="BH82">
        <f>CumulativeConfirmed!BH82-CumulativeRecovered!BH82-CumulativeDead!BH82</f>
        <v>13</v>
      </c>
      <c r="BI82">
        <f>CumulativeConfirmed!BI82-CumulativeRecovered!BI82-CumulativeDead!BI82</f>
        <v>0</v>
      </c>
      <c r="BJ82">
        <f>CumulativeConfirmed!BJ82-CumulativeRecovered!BJ82-CumulativeDead!BJ82</f>
        <v>0</v>
      </c>
      <c r="BK82">
        <f>CumulativeConfirmed!BK82-CumulativeRecovered!BK82-CumulativeDead!BK82</f>
        <v>0</v>
      </c>
      <c r="BL82">
        <f>CumulativeConfirmed!BL82-CumulativeRecovered!BL82-CumulativeDead!BL82</f>
        <v>0</v>
      </c>
      <c r="BM82">
        <f>CumulativeConfirmed!BM82-CumulativeRecovered!BM82-CumulativeDead!BM82</f>
        <v>0</v>
      </c>
      <c r="BN82">
        <f>CumulativeConfirmed!BN82-CumulativeRecovered!BN82-CumulativeDead!BN82</f>
        <v>0</v>
      </c>
      <c r="BO82">
        <f>CumulativeConfirmed!BO82-CumulativeRecovered!BO82-CumulativeDead!BO82</f>
        <v>0</v>
      </c>
      <c r="BP82">
        <f>CumulativeConfirmed!BP82-CumulativeRecovered!BP82-CumulativeDead!BP82</f>
        <v>0</v>
      </c>
      <c r="BQ82">
        <f>CumulativeConfirmed!BQ82-CumulativeRecovered!BQ82-CumulativeDead!BQ82</f>
        <v>0</v>
      </c>
      <c r="BR82">
        <f>CumulativeConfirmed!BR82-CumulativeRecovered!BR82-CumulativeDead!BR82</f>
        <v>0</v>
      </c>
      <c r="BS82">
        <f>CumulativeConfirmed!BS82-CumulativeRecovered!BS82-CumulativeDead!BS82</f>
        <v>0</v>
      </c>
      <c r="BT82">
        <f>CumulativeConfirmed!BT82-CumulativeRecovered!BT82-CumulativeDead!BT82</f>
        <v>0</v>
      </c>
    </row>
    <row r="83" spans="1:72" ht="15" thickBot="1" x14ac:dyDescent="0.35">
      <c r="A83" s="4" t="s">
        <v>105</v>
      </c>
      <c r="B83">
        <f>CumulativeConfirmed!B83-CumulativeRecovered!B83-CumulativeDead!B83</f>
        <v>0</v>
      </c>
      <c r="C83">
        <f>CumulativeConfirmed!C83-CumulativeRecovered!C83-CumulativeDead!C83</f>
        <v>0</v>
      </c>
      <c r="D83">
        <f>CumulativeConfirmed!D83-CumulativeRecovered!D83-CumulativeDead!D83</f>
        <v>0</v>
      </c>
      <c r="E83">
        <f>CumulativeConfirmed!E83-CumulativeRecovered!E83-CumulativeDead!E83</f>
        <v>0</v>
      </c>
      <c r="F83">
        <f>CumulativeConfirmed!F83-CumulativeRecovered!F83-CumulativeDead!F83</f>
        <v>0</v>
      </c>
      <c r="G83">
        <f>CumulativeConfirmed!G83-CumulativeRecovered!G83-CumulativeDead!G83</f>
        <v>0</v>
      </c>
      <c r="H83">
        <f>CumulativeConfirmed!H83-CumulativeRecovered!H83-CumulativeDead!H83</f>
        <v>0</v>
      </c>
      <c r="I83">
        <f>CumulativeConfirmed!I83-CumulativeRecovered!I83-CumulativeDead!I83</f>
        <v>0</v>
      </c>
      <c r="J83">
        <f>CumulativeConfirmed!J83-CumulativeRecovered!J83-CumulativeDead!J83</f>
        <v>0</v>
      </c>
      <c r="K83">
        <f>CumulativeConfirmed!K83-CumulativeRecovered!K83-CumulativeDead!K83</f>
        <v>0</v>
      </c>
      <c r="L83">
        <f>CumulativeConfirmed!L83-CumulativeRecovered!L83-CumulativeDead!L83</f>
        <v>0</v>
      </c>
      <c r="M83">
        <f>CumulativeConfirmed!M83-CumulativeRecovered!M83-CumulativeDead!M83</f>
        <v>0</v>
      </c>
      <c r="N83">
        <f>CumulativeConfirmed!N83-CumulativeRecovered!N83-CumulativeDead!N83</f>
        <v>0</v>
      </c>
      <c r="O83">
        <f>CumulativeConfirmed!O83-CumulativeRecovered!O83-CumulativeDead!O83</f>
        <v>0</v>
      </c>
      <c r="P83">
        <f>CumulativeConfirmed!P83-CumulativeRecovered!P83-CumulativeDead!P83</f>
        <v>0</v>
      </c>
      <c r="Q83">
        <f>CumulativeConfirmed!Q83-CumulativeRecovered!Q83-CumulativeDead!Q83</f>
        <v>0</v>
      </c>
      <c r="R83">
        <f>CumulativeConfirmed!R83-CumulativeRecovered!R83-CumulativeDead!R83</f>
        <v>0</v>
      </c>
      <c r="S83">
        <f>CumulativeConfirmed!S83-CumulativeRecovered!S83-CumulativeDead!S83</f>
        <v>0</v>
      </c>
      <c r="T83">
        <f>CumulativeConfirmed!T83-CumulativeRecovered!T83-CumulativeDead!T83</f>
        <v>0</v>
      </c>
      <c r="U83">
        <f>CumulativeConfirmed!U83-CumulativeRecovered!U83-CumulativeDead!U83</f>
        <v>0</v>
      </c>
      <c r="V83">
        <f>CumulativeConfirmed!V83-CumulativeRecovered!V83-CumulativeDead!V83</f>
        <v>0</v>
      </c>
      <c r="W83">
        <f>CumulativeConfirmed!W83-CumulativeRecovered!W83-CumulativeDead!W83</f>
        <v>0</v>
      </c>
      <c r="X83">
        <f>CumulativeConfirmed!X83-CumulativeRecovered!X83-CumulativeDead!X83</f>
        <v>0</v>
      </c>
      <c r="Y83">
        <f>CumulativeConfirmed!Y83-CumulativeRecovered!Y83-CumulativeDead!Y83</f>
        <v>0</v>
      </c>
      <c r="Z83">
        <f>CumulativeConfirmed!Z83-CumulativeRecovered!Z83-CumulativeDead!Z83</f>
        <v>0</v>
      </c>
      <c r="AA83">
        <f>CumulativeConfirmed!AA83-CumulativeRecovered!AA83-CumulativeDead!AA83</f>
        <v>0</v>
      </c>
      <c r="AB83">
        <f>CumulativeConfirmed!AB83-CumulativeRecovered!AB83-CumulativeDead!AB83</f>
        <v>0</v>
      </c>
      <c r="AC83">
        <f>CumulativeConfirmed!AC83-CumulativeRecovered!AC83-CumulativeDead!AC83</f>
        <v>0</v>
      </c>
      <c r="AD83">
        <f>CumulativeConfirmed!AD83-CumulativeRecovered!AD83-CumulativeDead!AD83</f>
        <v>0</v>
      </c>
      <c r="AE83">
        <f>CumulativeConfirmed!AE83-CumulativeRecovered!AE83-CumulativeDead!AE83</f>
        <v>0</v>
      </c>
      <c r="AF83">
        <f>CumulativeConfirmed!AF83-CumulativeRecovered!AF83-CumulativeDead!AF83</f>
        <v>0</v>
      </c>
      <c r="AG83">
        <f>CumulativeConfirmed!AG83-CumulativeRecovered!AG83-CumulativeDead!AG83</f>
        <v>0</v>
      </c>
      <c r="AH83">
        <f>CumulativeConfirmed!AH83-CumulativeRecovered!AH83-CumulativeDead!AH83</f>
        <v>0</v>
      </c>
      <c r="AI83">
        <f>CumulativeConfirmed!AI83-CumulativeRecovered!AI83-CumulativeDead!AI83</f>
        <v>0</v>
      </c>
      <c r="AJ83">
        <f>CumulativeConfirmed!AJ83-CumulativeRecovered!AJ83-CumulativeDead!AJ83</f>
        <v>0</v>
      </c>
      <c r="AK83">
        <f>CumulativeConfirmed!AK83-CumulativeRecovered!AK83-CumulativeDead!AK83</f>
        <v>0</v>
      </c>
      <c r="AL83">
        <f>CumulativeConfirmed!AL83-CumulativeRecovered!AL83-CumulativeDead!AL83</f>
        <v>0</v>
      </c>
      <c r="AM83">
        <f>CumulativeConfirmed!AM83-CumulativeRecovered!AM83-CumulativeDead!AM83</f>
        <v>0</v>
      </c>
      <c r="AN83">
        <f>CumulativeConfirmed!AN83-CumulativeRecovered!AN83-CumulativeDead!AN83</f>
        <v>0</v>
      </c>
      <c r="AO83">
        <f>CumulativeConfirmed!AO83-CumulativeRecovered!AO83-CumulativeDead!AO83</f>
        <v>1</v>
      </c>
      <c r="AP83">
        <f>CumulativeConfirmed!AP83-CumulativeRecovered!AP83-CumulativeDead!AP83</f>
        <v>1</v>
      </c>
      <c r="AQ83">
        <f>CumulativeConfirmed!AQ83-CumulativeRecovered!AQ83-CumulativeDead!AQ83</f>
        <v>1</v>
      </c>
      <c r="AR83">
        <f>CumulativeConfirmed!AR83-CumulativeRecovered!AR83-CumulativeDead!AR83</f>
        <v>1</v>
      </c>
      <c r="AS83">
        <f>CumulativeConfirmed!AS83-CumulativeRecovered!AS83-CumulativeDead!AS83</f>
        <v>1</v>
      </c>
      <c r="AT83">
        <f>CumulativeConfirmed!AT83-CumulativeRecovered!AT83-CumulativeDead!AT83</f>
        <v>1</v>
      </c>
      <c r="AU83">
        <f>CumulativeConfirmed!AU83-CumulativeRecovered!AU83-CumulativeDead!AU83</f>
        <v>1</v>
      </c>
      <c r="AV83">
        <f>CumulativeConfirmed!AV83-CumulativeRecovered!AV83-CumulativeDead!AV83</f>
        <v>1</v>
      </c>
      <c r="AW83">
        <f>CumulativeConfirmed!AW83-CumulativeRecovered!AW83-CumulativeDead!AW83</f>
        <v>1</v>
      </c>
      <c r="AX83">
        <f>CumulativeConfirmed!AX83-CumulativeRecovered!AX83-CumulativeDead!AX83</f>
        <v>1</v>
      </c>
      <c r="AY83">
        <f>CumulativeConfirmed!AY83-CumulativeRecovered!AY83-CumulativeDead!AY83</f>
        <v>1</v>
      </c>
      <c r="AZ83">
        <f>CumulativeConfirmed!AZ83-CumulativeRecovered!AZ83-CumulativeDead!AZ83</f>
        <v>4</v>
      </c>
      <c r="BA83">
        <f>CumulativeConfirmed!BA83-CumulativeRecovered!BA83-CumulativeDead!BA83</f>
        <v>8</v>
      </c>
      <c r="BB83">
        <f>CumulativeConfirmed!BB83-CumulativeRecovered!BB83-CumulativeDead!BB83</f>
        <v>18</v>
      </c>
      <c r="BC83">
        <f>CumulativeConfirmed!BC83-CumulativeRecovered!BC83-CumulativeDead!BC83</f>
        <v>26</v>
      </c>
      <c r="BD83">
        <f>CumulativeConfirmed!BD83-CumulativeRecovered!BD83-CumulativeDead!BD83</f>
        <v>52</v>
      </c>
      <c r="BE83">
        <f>CumulativeConfirmed!BE83-CumulativeRecovered!BE83-CumulativeDead!BE83</f>
        <v>77</v>
      </c>
      <c r="BF83">
        <f>CumulativeConfirmed!BF83-CumulativeRecovered!BF83-CumulativeDead!BF83</f>
        <v>83</v>
      </c>
      <c r="BG83">
        <f>CumulativeConfirmed!BG83-CumulativeRecovered!BG83-CumulativeDead!BG83</f>
        <v>114</v>
      </c>
      <c r="BH83">
        <f>CumulativeConfirmed!BH83-CumulativeRecovered!BH83-CumulativeDead!BH83</f>
        <v>135</v>
      </c>
      <c r="BI83">
        <f>CumulativeConfirmed!BI83-CumulativeRecovered!BI83-CumulativeDead!BI83</f>
        <v>0</v>
      </c>
      <c r="BJ83">
        <f>CumulativeConfirmed!BJ83-CumulativeRecovered!BJ83-CumulativeDead!BJ83</f>
        <v>0</v>
      </c>
      <c r="BK83">
        <f>CumulativeConfirmed!BK83-CumulativeRecovered!BK83-CumulativeDead!BK83</f>
        <v>0</v>
      </c>
      <c r="BL83">
        <f>CumulativeConfirmed!BL83-CumulativeRecovered!BL83-CumulativeDead!BL83</f>
        <v>0</v>
      </c>
      <c r="BM83">
        <f>CumulativeConfirmed!BM83-CumulativeRecovered!BM83-CumulativeDead!BM83</f>
        <v>0</v>
      </c>
      <c r="BN83">
        <f>CumulativeConfirmed!BN83-CumulativeRecovered!BN83-CumulativeDead!BN83</f>
        <v>0</v>
      </c>
      <c r="BO83">
        <f>CumulativeConfirmed!BO83-CumulativeRecovered!BO83-CumulativeDead!BO83</f>
        <v>0</v>
      </c>
      <c r="BP83">
        <f>CumulativeConfirmed!BP83-CumulativeRecovered!BP83-CumulativeDead!BP83</f>
        <v>0</v>
      </c>
      <c r="BQ83">
        <f>CumulativeConfirmed!BQ83-CumulativeRecovered!BQ83-CumulativeDead!BQ83</f>
        <v>0</v>
      </c>
      <c r="BR83">
        <f>CumulativeConfirmed!BR83-CumulativeRecovered!BR83-CumulativeDead!BR83</f>
        <v>0</v>
      </c>
      <c r="BS83">
        <f>CumulativeConfirmed!BS83-CumulativeRecovered!BS83-CumulativeDead!BS83</f>
        <v>0</v>
      </c>
      <c r="BT83">
        <f>CumulativeConfirmed!BT83-CumulativeRecovered!BT83-CumulativeDead!BT83</f>
        <v>0</v>
      </c>
    </row>
    <row r="84" spans="1:72" ht="15" thickBot="1" x14ac:dyDescent="0.35">
      <c r="A84" s="3" t="s">
        <v>353</v>
      </c>
      <c r="B84">
        <f>CumulativeConfirmed!B84-CumulativeRecovered!B84-CumulativeDead!B84</f>
        <v>0</v>
      </c>
      <c r="C84">
        <f>CumulativeConfirmed!C84-CumulativeRecovered!C84-CumulativeDead!C84</f>
        <v>0</v>
      </c>
      <c r="D84">
        <f>CumulativeConfirmed!D84-CumulativeRecovered!D84-CumulativeDead!D84</f>
        <v>0</v>
      </c>
      <c r="E84">
        <f>CumulativeConfirmed!E84-CumulativeRecovered!E84-CumulativeDead!E84</f>
        <v>0</v>
      </c>
      <c r="F84">
        <f>CumulativeConfirmed!F84-CumulativeRecovered!F84-CumulativeDead!F84</f>
        <v>0</v>
      </c>
      <c r="G84">
        <f>CumulativeConfirmed!G84-CumulativeRecovered!G84-CumulativeDead!G84</f>
        <v>0</v>
      </c>
      <c r="H84">
        <f>CumulativeConfirmed!H84-CumulativeRecovered!H84-CumulativeDead!H84</f>
        <v>0</v>
      </c>
      <c r="I84">
        <f>CumulativeConfirmed!I84-CumulativeRecovered!I84-CumulativeDead!I84</f>
        <v>0</v>
      </c>
      <c r="J84">
        <f>CumulativeConfirmed!J84-CumulativeRecovered!J84-CumulativeDead!J84</f>
        <v>0</v>
      </c>
      <c r="K84">
        <f>CumulativeConfirmed!K84-CumulativeRecovered!K84-CumulativeDead!K84</f>
        <v>0</v>
      </c>
      <c r="L84">
        <f>CumulativeConfirmed!L84-CumulativeRecovered!L84-CumulativeDead!L84</f>
        <v>0</v>
      </c>
      <c r="M84">
        <f>CumulativeConfirmed!M84-CumulativeRecovered!M84-CumulativeDead!M84</f>
        <v>0</v>
      </c>
      <c r="N84">
        <f>CumulativeConfirmed!N84-CumulativeRecovered!N84-CumulativeDead!N84</f>
        <v>0</v>
      </c>
      <c r="O84">
        <f>CumulativeConfirmed!O84-CumulativeRecovered!O84-CumulativeDead!O84</f>
        <v>0</v>
      </c>
      <c r="P84">
        <f>CumulativeConfirmed!P84-CumulativeRecovered!P84-CumulativeDead!P84</f>
        <v>0</v>
      </c>
      <c r="Q84">
        <f>CumulativeConfirmed!Q84-CumulativeRecovered!Q84-CumulativeDead!Q84</f>
        <v>0</v>
      </c>
      <c r="R84">
        <f>CumulativeConfirmed!R84-CumulativeRecovered!R84-CumulativeDead!R84</f>
        <v>0</v>
      </c>
      <c r="S84">
        <f>CumulativeConfirmed!S84-CumulativeRecovered!S84-CumulativeDead!S84</f>
        <v>0</v>
      </c>
      <c r="T84">
        <f>CumulativeConfirmed!T84-CumulativeRecovered!T84-CumulativeDead!T84</f>
        <v>0</v>
      </c>
      <c r="U84">
        <f>CumulativeConfirmed!U84-CumulativeRecovered!U84-CumulativeDead!U84</f>
        <v>0</v>
      </c>
      <c r="V84">
        <f>CumulativeConfirmed!V84-CumulativeRecovered!V84-CumulativeDead!V84</f>
        <v>0</v>
      </c>
      <c r="W84">
        <f>CumulativeConfirmed!W84-CumulativeRecovered!W84-CumulativeDead!W84</f>
        <v>0</v>
      </c>
      <c r="X84">
        <f>CumulativeConfirmed!X84-CumulativeRecovered!X84-CumulativeDead!X84</f>
        <v>0</v>
      </c>
      <c r="Y84">
        <f>CumulativeConfirmed!Y84-CumulativeRecovered!Y84-CumulativeDead!Y84</f>
        <v>0</v>
      </c>
      <c r="Z84">
        <f>CumulativeConfirmed!Z84-CumulativeRecovered!Z84-CumulativeDead!Z84</f>
        <v>0</v>
      </c>
      <c r="AA84">
        <f>CumulativeConfirmed!AA84-CumulativeRecovered!AA84-CumulativeDead!AA84</f>
        <v>0</v>
      </c>
      <c r="AB84">
        <f>CumulativeConfirmed!AB84-CumulativeRecovered!AB84-CumulativeDead!AB84</f>
        <v>0</v>
      </c>
      <c r="AC84">
        <f>CumulativeConfirmed!AC84-CumulativeRecovered!AC84-CumulativeDead!AC84</f>
        <v>0</v>
      </c>
      <c r="AD84">
        <f>CumulativeConfirmed!AD84-CumulativeRecovered!AD84-CumulativeDead!AD84</f>
        <v>0</v>
      </c>
      <c r="AE84">
        <f>CumulativeConfirmed!AE84-CumulativeRecovered!AE84-CumulativeDead!AE84</f>
        <v>0</v>
      </c>
      <c r="AF84">
        <f>CumulativeConfirmed!AF84-CumulativeRecovered!AF84-CumulativeDead!AF84</f>
        <v>0</v>
      </c>
      <c r="AG84">
        <f>CumulativeConfirmed!AG84-CumulativeRecovered!AG84-CumulativeDead!AG84</f>
        <v>0</v>
      </c>
      <c r="AH84">
        <f>CumulativeConfirmed!AH84-CumulativeRecovered!AH84-CumulativeDead!AH84</f>
        <v>0</v>
      </c>
      <c r="AI84">
        <f>CumulativeConfirmed!AI84-CumulativeRecovered!AI84-CumulativeDead!AI84</f>
        <v>0</v>
      </c>
      <c r="AJ84">
        <f>CumulativeConfirmed!AJ84-CumulativeRecovered!AJ84-CumulativeDead!AJ84</f>
        <v>0</v>
      </c>
      <c r="AK84">
        <f>CumulativeConfirmed!AK84-CumulativeRecovered!AK84-CumulativeDead!AK84</f>
        <v>0</v>
      </c>
      <c r="AL84">
        <f>CumulativeConfirmed!AL84-CumulativeRecovered!AL84-CumulativeDead!AL84</f>
        <v>0</v>
      </c>
      <c r="AM84">
        <f>CumulativeConfirmed!AM84-CumulativeRecovered!AM84-CumulativeDead!AM84</f>
        <v>0</v>
      </c>
      <c r="AN84">
        <f>CumulativeConfirmed!AN84-CumulativeRecovered!AN84-CumulativeDead!AN84</f>
        <v>0</v>
      </c>
      <c r="AO84">
        <f>CumulativeConfirmed!AO84-CumulativeRecovered!AO84-CumulativeDead!AO84</f>
        <v>0</v>
      </c>
      <c r="AP84">
        <f>CumulativeConfirmed!AP84-CumulativeRecovered!AP84-CumulativeDead!AP84</f>
        <v>0</v>
      </c>
      <c r="AQ84">
        <f>CumulativeConfirmed!AQ84-CumulativeRecovered!AQ84-CumulativeDead!AQ84</f>
        <v>0</v>
      </c>
      <c r="AR84">
        <f>CumulativeConfirmed!AR84-CumulativeRecovered!AR84-CumulativeDead!AR84</f>
        <v>0</v>
      </c>
      <c r="AS84">
        <f>CumulativeConfirmed!AS84-CumulativeRecovered!AS84-CumulativeDead!AS84</f>
        <v>0</v>
      </c>
      <c r="AT84">
        <f>CumulativeConfirmed!AT84-CumulativeRecovered!AT84-CumulativeDead!AT84</f>
        <v>0</v>
      </c>
      <c r="AU84">
        <f>CumulativeConfirmed!AU84-CumulativeRecovered!AU84-CumulativeDead!AU84</f>
        <v>0</v>
      </c>
      <c r="AV84">
        <f>CumulativeConfirmed!AV84-CumulativeRecovered!AV84-CumulativeDead!AV84</f>
        <v>0</v>
      </c>
      <c r="AW84">
        <f>CumulativeConfirmed!AW84-CumulativeRecovered!AW84-CumulativeDead!AW84</f>
        <v>0</v>
      </c>
      <c r="AX84">
        <f>CumulativeConfirmed!AX84-CumulativeRecovered!AX84-CumulativeDead!AX84</f>
        <v>0</v>
      </c>
      <c r="AY84">
        <f>CumulativeConfirmed!AY84-CumulativeRecovered!AY84-CumulativeDead!AY84</f>
        <v>1</v>
      </c>
      <c r="AZ84">
        <f>CumulativeConfirmed!AZ84-CumulativeRecovered!AZ84-CumulativeDead!AZ84</f>
        <v>2</v>
      </c>
      <c r="BA84">
        <f>CumulativeConfirmed!BA84-CumulativeRecovered!BA84-CumulativeDead!BA84</f>
        <v>8</v>
      </c>
      <c r="BB84">
        <f>CumulativeConfirmed!BB84-CumulativeRecovered!BB84-CumulativeDead!BB84</f>
        <v>8</v>
      </c>
      <c r="BC84">
        <f>CumulativeConfirmed!BC84-CumulativeRecovered!BC84-CumulativeDead!BC84</f>
        <v>10</v>
      </c>
      <c r="BD84">
        <f>CumulativeConfirmed!BD84-CumulativeRecovered!BD84-CumulativeDead!BD84</f>
        <v>8</v>
      </c>
      <c r="BE84">
        <f>CumulativeConfirmed!BE84-CumulativeRecovered!BE84-CumulativeDead!BE84</f>
        <v>10</v>
      </c>
      <c r="BF84">
        <f>CumulativeConfirmed!BF84-CumulativeRecovered!BF84-CumulativeDead!BF84</f>
        <v>11</v>
      </c>
      <c r="BG84">
        <f>CumulativeConfirmed!BG84-CumulativeRecovered!BG84-CumulativeDead!BG84</f>
        <v>12</v>
      </c>
      <c r="BH84">
        <f>CumulativeConfirmed!BH84-CumulativeRecovered!BH84-CumulativeDead!BH84</f>
        <v>13</v>
      </c>
      <c r="BI84">
        <f>CumulativeConfirmed!BI84-CumulativeRecovered!BI84-CumulativeDead!BI84</f>
        <v>0</v>
      </c>
      <c r="BJ84">
        <f>CumulativeConfirmed!BJ84-CumulativeRecovered!BJ84-CumulativeDead!BJ84</f>
        <v>0</v>
      </c>
      <c r="BK84">
        <f>CumulativeConfirmed!BK84-CumulativeRecovered!BK84-CumulativeDead!BK84</f>
        <v>0</v>
      </c>
      <c r="BL84">
        <f>CumulativeConfirmed!BL84-CumulativeRecovered!BL84-CumulativeDead!BL84</f>
        <v>0</v>
      </c>
      <c r="BM84">
        <f>CumulativeConfirmed!BM84-CumulativeRecovered!BM84-CumulativeDead!BM84</f>
        <v>0</v>
      </c>
      <c r="BN84">
        <f>CumulativeConfirmed!BN84-CumulativeRecovered!BN84-CumulativeDead!BN84</f>
        <v>0</v>
      </c>
      <c r="BO84">
        <f>CumulativeConfirmed!BO84-CumulativeRecovered!BO84-CumulativeDead!BO84</f>
        <v>0</v>
      </c>
      <c r="BP84">
        <f>CumulativeConfirmed!BP84-CumulativeRecovered!BP84-CumulativeDead!BP84</f>
        <v>0</v>
      </c>
      <c r="BQ84">
        <f>CumulativeConfirmed!BQ84-CumulativeRecovered!BQ84-CumulativeDead!BQ84</f>
        <v>0</v>
      </c>
      <c r="BR84">
        <f>CumulativeConfirmed!BR84-CumulativeRecovered!BR84-CumulativeDead!BR84</f>
        <v>0</v>
      </c>
      <c r="BS84">
        <f>CumulativeConfirmed!BS84-CumulativeRecovered!BS84-CumulativeDead!BS84</f>
        <v>0</v>
      </c>
      <c r="BT84">
        <f>CumulativeConfirmed!BT84-CumulativeRecovered!BT84-CumulativeDead!BT84</f>
        <v>0</v>
      </c>
    </row>
    <row r="85" spans="1:72" ht="15" thickBot="1" x14ac:dyDescent="0.35">
      <c r="A85" s="3" t="s">
        <v>72</v>
      </c>
      <c r="B85">
        <f>CumulativeConfirmed!B85-CumulativeRecovered!B85-CumulativeDead!B85</f>
        <v>0</v>
      </c>
      <c r="C85">
        <f>CumulativeConfirmed!C85-CumulativeRecovered!C85-CumulativeDead!C85</f>
        <v>0</v>
      </c>
      <c r="D85">
        <f>CumulativeConfirmed!D85-CumulativeRecovered!D85-CumulativeDead!D85</f>
        <v>0</v>
      </c>
      <c r="E85">
        <f>CumulativeConfirmed!E85-CumulativeRecovered!E85-CumulativeDead!E85</f>
        <v>0</v>
      </c>
      <c r="F85">
        <f>CumulativeConfirmed!F85-CumulativeRecovered!F85-CumulativeDead!F85</f>
        <v>0</v>
      </c>
      <c r="G85">
        <f>CumulativeConfirmed!G85-CumulativeRecovered!G85-CumulativeDead!G85</f>
        <v>0</v>
      </c>
      <c r="H85">
        <f>CumulativeConfirmed!H85-CumulativeRecovered!H85-CumulativeDead!H85</f>
        <v>0</v>
      </c>
      <c r="I85">
        <f>CumulativeConfirmed!I85-CumulativeRecovered!I85-CumulativeDead!I85</f>
        <v>0</v>
      </c>
      <c r="J85">
        <f>CumulativeConfirmed!J85-CumulativeRecovered!J85-CumulativeDead!J85</f>
        <v>0</v>
      </c>
      <c r="K85">
        <f>CumulativeConfirmed!K85-CumulativeRecovered!K85-CumulativeDead!K85</f>
        <v>0</v>
      </c>
      <c r="L85">
        <f>CumulativeConfirmed!L85-CumulativeRecovered!L85-CumulativeDead!L85</f>
        <v>0</v>
      </c>
      <c r="M85">
        <f>CumulativeConfirmed!M85-CumulativeRecovered!M85-CumulativeDead!M85</f>
        <v>0</v>
      </c>
      <c r="N85">
        <f>CumulativeConfirmed!N85-CumulativeRecovered!N85-CumulativeDead!N85</f>
        <v>0</v>
      </c>
      <c r="O85">
        <f>CumulativeConfirmed!O85-CumulativeRecovered!O85-CumulativeDead!O85</f>
        <v>0</v>
      </c>
      <c r="P85">
        <f>CumulativeConfirmed!P85-CumulativeRecovered!P85-CumulativeDead!P85</f>
        <v>0</v>
      </c>
      <c r="Q85">
        <f>CumulativeConfirmed!Q85-CumulativeRecovered!Q85-CumulativeDead!Q85</f>
        <v>0</v>
      </c>
      <c r="R85">
        <f>CumulativeConfirmed!R85-CumulativeRecovered!R85-CumulativeDead!R85</f>
        <v>0</v>
      </c>
      <c r="S85">
        <f>CumulativeConfirmed!S85-CumulativeRecovered!S85-CumulativeDead!S85</f>
        <v>0</v>
      </c>
      <c r="T85">
        <f>CumulativeConfirmed!T85-CumulativeRecovered!T85-CumulativeDead!T85</f>
        <v>0</v>
      </c>
      <c r="U85">
        <f>CumulativeConfirmed!U85-CumulativeRecovered!U85-CumulativeDead!U85</f>
        <v>0</v>
      </c>
      <c r="V85">
        <f>CumulativeConfirmed!V85-CumulativeRecovered!V85-CumulativeDead!V85</f>
        <v>0</v>
      </c>
      <c r="W85">
        <f>CumulativeConfirmed!W85-CumulativeRecovered!W85-CumulativeDead!W85</f>
        <v>0</v>
      </c>
      <c r="X85">
        <f>CumulativeConfirmed!X85-CumulativeRecovered!X85-CumulativeDead!X85</f>
        <v>0</v>
      </c>
      <c r="Y85">
        <f>CumulativeConfirmed!Y85-CumulativeRecovered!Y85-CumulativeDead!Y85</f>
        <v>0</v>
      </c>
      <c r="Z85">
        <f>CumulativeConfirmed!Z85-CumulativeRecovered!Z85-CumulativeDead!Z85</f>
        <v>0</v>
      </c>
      <c r="AA85">
        <f>CumulativeConfirmed!AA85-CumulativeRecovered!AA85-CumulativeDead!AA85</f>
        <v>0</v>
      </c>
      <c r="AB85">
        <f>CumulativeConfirmed!AB85-CumulativeRecovered!AB85-CumulativeDead!AB85</f>
        <v>0</v>
      </c>
      <c r="AC85">
        <f>CumulativeConfirmed!AC85-CumulativeRecovered!AC85-CumulativeDead!AC85</f>
        <v>0</v>
      </c>
      <c r="AD85">
        <f>CumulativeConfirmed!AD85-CumulativeRecovered!AD85-CumulativeDead!AD85</f>
        <v>0</v>
      </c>
      <c r="AE85">
        <f>CumulativeConfirmed!AE85-CumulativeRecovered!AE85-CumulativeDead!AE85</f>
        <v>0</v>
      </c>
      <c r="AF85">
        <f>CumulativeConfirmed!AF85-CumulativeRecovered!AF85-CumulativeDead!AF85</f>
        <v>0</v>
      </c>
      <c r="AG85">
        <f>CumulativeConfirmed!AG85-CumulativeRecovered!AG85-CumulativeDead!AG85</f>
        <v>0</v>
      </c>
      <c r="AH85">
        <f>CumulativeConfirmed!AH85-CumulativeRecovered!AH85-CumulativeDead!AH85</f>
        <v>0</v>
      </c>
      <c r="AI85">
        <f>CumulativeConfirmed!AI85-CumulativeRecovered!AI85-CumulativeDead!AI85</f>
        <v>1</v>
      </c>
      <c r="AJ85">
        <f>CumulativeConfirmed!AJ85-CumulativeRecovered!AJ85-CumulativeDead!AJ85</f>
        <v>1</v>
      </c>
      <c r="AK85">
        <f>CumulativeConfirmed!AK85-CumulativeRecovered!AK85-CumulativeDead!AK85</f>
        <v>1</v>
      </c>
      <c r="AL85">
        <f>CumulativeConfirmed!AL85-CumulativeRecovered!AL85-CumulativeDead!AL85</f>
        <v>1</v>
      </c>
      <c r="AM85">
        <f>CumulativeConfirmed!AM85-CumulativeRecovered!AM85-CumulativeDead!AM85</f>
        <v>1</v>
      </c>
      <c r="AN85">
        <f>CumulativeConfirmed!AN85-CumulativeRecovered!AN85-CumulativeDead!AN85</f>
        <v>1</v>
      </c>
      <c r="AO85">
        <f>CumulativeConfirmed!AO85-CumulativeRecovered!AO85-CumulativeDead!AO85</f>
        <v>1</v>
      </c>
      <c r="AP85">
        <f>CumulativeConfirmed!AP85-CumulativeRecovered!AP85-CumulativeDead!AP85</f>
        <v>1</v>
      </c>
      <c r="AQ85">
        <f>CumulativeConfirmed!AQ85-CumulativeRecovered!AQ85-CumulativeDead!AQ85</f>
        <v>1</v>
      </c>
      <c r="AR85">
        <f>CumulativeConfirmed!AR85-CumulativeRecovered!AR85-CumulativeDead!AR85</f>
        <v>1</v>
      </c>
      <c r="AS85">
        <f>CumulativeConfirmed!AS85-CumulativeRecovered!AS85-CumulativeDead!AS85</f>
        <v>1</v>
      </c>
      <c r="AT85">
        <f>CumulativeConfirmed!AT85-CumulativeRecovered!AT85-CumulativeDead!AT85</f>
        <v>1</v>
      </c>
      <c r="AU85">
        <f>CumulativeConfirmed!AU85-CumulativeRecovered!AU85-CumulativeDead!AU85</f>
        <v>1</v>
      </c>
      <c r="AV85">
        <f>CumulativeConfirmed!AV85-CumulativeRecovered!AV85-CumulativeDead!AV85</f>
        <v>4</v>
      </c>
      <c r="AW85">
        <f>CumulativeConfirmed!AW85-CumulativeRecovered!AW85-CumulativeDead!AW85</f>
        <v>4</v>
      </c>
      <c r="AX85">
        <f>CumulativeConfirmed!AX85-CumulativeRecovered!AX85-CumulativeDead!AX85</f>
        <v>5</v>
      </c>
      <c r="AY85">
        <f>CumulativeConfirmed!AY85-CumulativeRecovered!AY85-CumulativeDead!AY85</f>
        <v>7</v>
      </c>
      <c r="AZ85">
        <f>CumulativeConfirmed!AZ85-CumulativeRecovered!AZ85-CumulativeDead!AZ85</f>
        <v>7</v>
      </c>
      <c r="BA85">
        <f>CumulativeConfirmed!BA85-CumulativeRecovered!BA85-CumulativeDead!BA85</f>
        <v>7</v>
      </c>
      <c r="BB85">
        <f>CumulativeConfirmed!BB85-CumulativeRecovered!BB85-CumulativeDead!BB85</f>
        <v>11</v>
      </c>
      <c r="BC85">
        <f>CumulativeConfirmed!BC85-CumulativeRecovered!BC85-CumulativeDead!BC85</f>
        <v>16</v>
      </c>
      <c r="BD85">
        <f>CumulativeConfirmed!BD85-CumulativeRecovered!BD85-CumulativeDead!BD85</f>
        <v>20</v>
      </c>
      <c r="BE85">
        <f>CumulativeConfirmed!BE85-CumulativeRecovered!BE85-CumulativeDead!BE85</f>
        <v>21</v>
      </c>
      <c r="BF85">
        <f>CumulativeConfirmed!BF85-CumulativeRecovered!BF85-CumulativeDead!BF85</f>
        <v>21</v>
      </c>
      <c r="BG85">
        <f>CumulativeConfirmed!BG85-CumulativeRecovered!BG85-CumulativeDead!BG85</f>
        <v>21</v>
      </c>
      <c r="BH85">
        <f>CumulativeConfirmed!BH85-CumulativeRecovered!BH85-CumulativeDead!BH85</f>
        <v>23</v>
      </c>
      <c r="BI85">
        <f>CumulativeConfirmed!BI85-CumulativeRecovered!BI85-CumulativeDead!BI85</f>
        <v>0</v>
      </c>
      <c r="BJ85">
        <f>CumulativeConfirmed!BJ85-CumulativeRecovered!BJ85-CumulativeDead!BJ85</f>
        <v>0</v>
      </c>
      <c r="BK85">
        <f>CumulativeConfirmed!BK85-CumulativeRecovered!BK85-CumulativeDead!BK85</f>
        <v>0</v>
      </c>
      <c r="BL85">
        <f>CumulativeConfirmed!BL85-CumulativeRecovered!BL85-CumulativeDead!BL85</f>
        <v>0</v>
      </c>
      <c r="BM85">
        <f>CumulativeConfirmed!BM85-CumulativeRecovered!BM85-CumulativeDead!BM85</f>
        <v>0</v>
      </c>
      <c r="BN85">
        <f>CumulativeConfirmed!BN85-CumulativeRecovered!BN85-CumulativeDead!BN85</f>
        <v>0</v>
      </c>
      <c r="BO85">
        <f>CumulativeConfirmed!BO85-CumulativeRecovered!BO85-CumulativeDead!BO85</f>
        <v>0</v>
      </c>
      <c r="BP85">
        <f>CumulativeConfirmed!BP85-CumulativeRecovered!BP85-CumulativeDead!BP85</f>
        <v>0</v>
      </c>
      <c r="BQ85">
        <f>CumulativeConfirmed!BQ85-CumulativeRecovered!BQ85-CumulativeDead!BQ85</f>
        <v>0</v>
      </c>
      <c r="BR85">
        <f>CumulativeConfirmed!BR85-CumulativeRecovered!BR85-CumulativeDead!BR85</f>
        <v>0</v>
      </c>
      <c r="BS85">
        <f>CumulativeConfirmed!BS85-CumulativeRecovered!BS85-CumulativeDead!BS85</f>
        <v>0</v>
      </c>
      <c r="BT85">
        <f>CumulativeConfirmed!BT85-CumulativeRecovered!BT85-CumulativeDead!BT85</f>
        <v>0</v>
      </c>
    </row>
    <row r="86" spans="1:72" ht="15" thickBot="1" x14ac:dyDescent="0.35">
      <c r="A86" s="3" t="s">
        <v>112</v>
      </c>
      <c r="B86">
        <f>CumulativeConfirmed!B86-CumulativeRecovered!B86-CumulativeDead!B86</f>
        <v>0</v>
      </c>
      <c r="C86">
        <f>CumulativeConfirmed!C86-CumulativeRecovered!C86-CumulativeDead!C86</f>
        <v>0</v>
      </c>
      <c r="D86">
        <f>CumulativeConfirmed!D86-CumulativeRecovered!D86-CumulativeDead!D86</f>
        <v>0</v>
      </c>
      <c r="E86">
        <f>CumulativeConfirmed!E86-CumulativeRecovered!E86-CumulativeDead!E86</f>
        <v>0</v>
      </c>
      <c r="F86">
        <f>CumulativeConfirmed!F86-CumulativeRecovered!F86-CumulativeDead!F86</f>
        <v>0</v>
      </c>
      <c r="G86">
        <f>CumulativeConfirmed!G86-CumulativeRecovered!G86-CumulativeDead!G86</f>
        <v>0</v>
      </c>
      <c r="H86">
        <f>CumulativeConfirmed!H86-CumulativeRecovered!H86-CumulativeDead!H86</f>
        <v>0</v>
      </c>
      <c r="I86">
        <f>CumulativeConfirmed!I86-CumulativeRecovered!I86-CumulativeDead!I86</f>
        <v>0</v>
      </c>
      <c r="J86">
        <f>CumulativeConfirmed!J86-CumulativeRecovered!J86-CumulativeDead!J86</f>
        <v>0</v>
      </c>
      <c r="K86">
        <f>CumulativeConfirmed!K86-CumulativeRecovered!K86-CumulativeDead!K86</f>
        <v>0</v>
      </c>
      <c r="L86">
        <f>CumulativeConfirmed!L86-CumulativeRecovered!L86-CumulativeDead!L86</f>
        <v>0</v>
      </c>
      <c r="M86">
        <f>CumulativeConfirmed!M86-CumulativeRecovered!M86-CumulativeDead!M86</f>
        <v>0</v>
      </c>
      <c r="N86">
        <f>CumulativeConfirmed!N86-CumulativeRecovered!N86-CumulativeDead!N86</f>
        <v>0</v>
      </c>
      <c r="O86">
        <f>CumulativeConfirmed!O86-CumulativeRecovered!O86-CumulativeDead!O86</f>
        <v>0</v>
      </c>
      <c r="P86">
        <f>CumulativeConfirmed!P86-CumulativeRecovered!P86-CumulativeDead!P86</f>
        <v>0</v>
      </c>
      <c r="Q86">
        <f>CumulativeConfirmed!Q86-CumulativeRecovered!Q86-CumulativeDead!Q86</f>
        <v>0</v>
      </c>
      <c r="R86">
        <f>CumulativeConfirmed!R86-CumulativeRecovered!R86-CumulativeDead!R86</f>
        <v>0</v>
      </c>
      <c r="S86">
        <f>CumulativeConfirmed!S86-CumulativeRecovered!S86-CumulativeDead!S86</f>
        <v>0</v>
      </c>
      <c r="T86">
        <f>CumulativeConfirmed!T86-CumulativeRecovered!T86-CumulativeDead!T86</f>
        <v>0</v>
      </c>
      <c r="U86">
        <f>CumulativeConfirmed!U86-CumulativeRecovered!U86-CumulativeDead!U86</f>
        <v>0</v>
      </c>
      <c r="V86">
        <f>CumulativeConfirmed!V86-CumulativeRecovered!V86-CumulativeDead!V86</f>
        <v>0</v>
      </c>
      <c r="W86">
        <f>CumulativeConfirmed!W86-CumulativeRecovered!W86-CumulativeDead!W86</f>
        <v>0</v>
      </c>
      <c r="X86">
        <f>CumulativeConfirmed!X86-CumulativeRecovered!X86-CumulativeDead!X86</f>
        <v>0</v>
      </c>
      <c r="Y86">
        <f>CumulativeConfirmed!Y86-CumulativeRecovered!Y86-CumulativeDead!Y86</f>
        <v>0</v>
      </c>
      <c r="Z86">
        <f>CumulativeConfirmed!Z86-CumulativeRecovered!Z86-CumulativeDead!Z86</f>
        <v>0</v>
      </c>
      <c r="AA86">
        <f>CumulativeConfirmed!AA86-CumulativeRecovered!AA86-CumulativeDead!AA86</f>
        <v>0</v>
      </c>
      <c r="AB86">
        <f>CumulativeConfirmed!AB86-CumulativeRecovered!AB86-CumulativeDead!AB86</f>
        <v>0</v>
      </c>
      <c r="AC86">
        <f>CumulativeConfirmed!AC86-CumulativeRecovered!AC86-CumulativeDead!AC86</f>
        <v>0</v>
      </c>
      <c r="AD86">
        <f>CumulativeConfirmed!AD86-CumulativeRecovered!AD86-CumulativeDead!AD86</f>
        <v>0</v>
      </c>
      <c r="AE86">
        <f>CumulativeConfirmed!AE86-CumulativeRecovered!AE86-CumulativeDead!AE86</f>
        <v>0</v>
      </c>
      <c r="AF86">
        <f>CumulativeConfirmed!AF86-CumulativeRecovered!AF86-CumulativeDead!AF86</f>
        <v>0</v>
      </c>
      <c r="AG86">
        <f>CumulativeConfirmed!AG86-CumulativeRecovered!AG86-CumulativeDead!AG86</f>
        <v>0</v>
      </c>
      <c r="AH86">
        <f>CumulativeConfirmed!AH86-CumulativeRecovered!AH86-CumulativeDead!AH86</f>
        <v>0</v>
      </c>
      <c r="AI86">
        <f>CumulativeConfirmed!AI86-CumulativeRecovered!AI86-CumulativeDead!AI86</f>
        <v>0</v>
      </c>
      <c r="AJ86">
        <f>CumulativeConfirmed!AJ86-CumulativeRecovered!AJ86-CumulativeDead!AJ86</f>
        <v>0</v>
      </c>
      <c r="AK86">
        <f>CumulativeConfirmed!AK86-CumulativeRecovered!AK86-CumulativeDead!AK86</f>
        <v>0</v>
      </c>
      <c r="AL86">
        <f>CumulativeConfirmed!AL86-CumulativeRecovered!AL86-CumulativeDead!AL86</f>
        <v>0</v>
      </c>
      <c r="AM86">
        <f>CumulativeConfirmed!AM86-CumulativeRecovered!AM86-CumulativeDead!AM86</f>
        <v>0</v>
      </c>
      <c r="AN86">
        <f>CumulativeConfirmed!AN86-CumulativeRecovered!AN86-CumulativeDead!AN86</f>
        <v>0</v>
      </c>
      <c r="AO86">
        <f>CumulativeConfirmed!AO86-CumulativeRecovered!AO86-CumulativeDead!AO86</f>
        <v>0</v>
      </c>
      <c r="AP86">
        <f>CumulativeConfirmed!AP86-CumulativeRecovered!AP86-CumulativeDead!AP86</f>
        <v>1</v>
      </c>
      <c r="AQ86">
        <f>CumulativeConfirmed!AQ86-CumulativeRecovered!AQ86-CumulativeDead!AQ86</f>
        <v>1</v>
      </c>
      <c r="AR86">
        <f>CumulativeConfirmed!AR86-CumulativeRecovered!AR86-CumulativeDead!AR86</f>
        <v>1</v>
      </c>
      <c r="AS86">
        <f>CumulativeConfirmed!AS86-CumulativeRecovered!AS86-CumulativeDead!AS86</f>
        <v>2</v>
      </c>
      <c r="AT86">
        <f>CumulativeConfirmed!AT86-CumulativeRecovered!AT86-CumulativeDead!AT86</f>
        <v>2</v>
      </c>
      <c r="AU86">
        <f>CumulativeConfirmed!AU86-CumulativeRecovered!AU86-CumulativeDead!AU86</f>
        <v>2</v>
      </c>
      <c r="AV86">
        <f>CumulativeConfirmed!AV86-CumulativeRecovered!AV86-CumulativeDead!AV86</f>
        <v>2</v>
      </c>
      <c r="AW86">
        <f>CumulativeConfirmed!AW86-CumulativeRecovered!AW86-CumulativeDead!AW86</f>
        <v>2</v>
      </c>
      <c r="AX86">
        <f>CumulativeConfirmed!AX86-CumulativeRecovered!AX86-CumulativeDead!AX86</f>
        <v>2</v>
      </c>
      <c r="AY86">
        <f>CumulativeConfirmed!AY86-CumulativeRecovered!AY86-CumulativeDead!AY86</f>
        <v>4</v>
      </c>
      <c r="AZ86">
        <f>CumulativeConfirmed!AZ86-CumulativeRecovered!AZ86-CumulativeDead!AZ86</f>
        <v>5</v>
      </c>
      <c r="BA86">
        <f>CumulativeConfirmed!BA86-CumulativeRecovered!BA86-CumulativeDead!BA86</f>
        <v>5</v>
      </c>
      <c r="BB86">
        <f>CumulativeConfirmed!BB86-CumulativeRecovered!BB86-CumulativeDead!BB86</f>
        <v>15</v>
      </c>
      <c r="BC86">
        <f>CumulativeConfirmed!BC86-CumulativeRecovered!BC86-CumulativeDead!BC86</f>
        <v>26</v>
      </c>
      <c r="BD86">
        <f>CumulativeConfirmed!BD86-CumulativeRecovered!BD86-CumulativeDead!BD86</f>
        <v>27</v>
      </c>
      <c r="BE86">
        <f>CumulativeConfirmed!BE86-CumulativeRecovered!BE86-CumulativeDead!BE86</f>
        <v>35</v>
      </c>
      <c r="BF86">
        <f>CumulativeConfirmed!BF86-CumulativeRecovered!BF86-CumulativeDead!BF86</f>
        <v>46</v>
      </c>
      <c r="BG86">
        <f>CumulativeConfirmed!BG86-CumulativeRecovered!BG86-CumulativeDead!BG86</f>
        <v>60</v>
      </c>
      <c r="BH86">
        <f>CumulativeConfirmed!BH86-CumulativeRecovered!BH86-CumulativeDead!BH86</f>
        <v>73</v>
      </c>
      <c r="BI86">
        <f>CumulativeConfirmed!BI86-CumulativeRecovered!BI86-CumulativeDead!BI86</f>
        <v>0</v>
      </c>
      <c r="BJ86">
        <f>CumulativeConfirmed!BJ86-CumulativeRecovered!BJ86-CumulativeDead!BJ86</f>
        <v>0</v>
      </c>
      <c r="BK86">
        <f>CumulativeConfirmed!BK86-CumulativeRecovered!BK86-CumulativeDead!BK86</f>
        <v>0</v>
      </c>
      <c r="BL86">
        <f>CumulativeConfirmed!BL86-CumulativeRecovered!BL86-CumulativeDead!BL86</f>
        <v>0</v>
      </c>
      <c r="BM86">
        <f>CumulativeConfirmed!BM86-CumulativeRecovered!BM86-CumulativeDead!BM86</f>
        <v>0</v>
      </c>
      <c r="BN86">
        <f>CumulativeConfirmed!BN86-CumulativeRecovered!BN86-CumulativeDead!BN86</f>
        <v>0</v>
      </c>
      <c r="BO86">
        <f>CumulativeConfirmed!BO86-CumulativeRecovered!BO86-CumulativeDead!BO86</f>
        <v>0</v>
      </c>
      <c r="BP86">
        <f>CumulativeConfirmed!BP86-CumulativeRecovered!BP86-CumulativeDead!BP86</f>
        <v>0</v>
      </c>
      <c r="BQ86">
        <f>CumulativeConfirmed!BQ86-CumulativeRecovered!BQ86-CumulativeDead!BQ86</f>
        <v>0</v>
      </c>
      <c r="BR86">
        <f>CumulativeConfirmed!BR86-CumulativeRecovered!BR86-CumulativeDead!BR86</f>
        <v>0</v>
      </c>
      <c r="BS86">
        <f>CumulativeConfirmed!BS86-CumulativeRecovered!BS86-CumulativeDead!BS86</f>
        <v>0</v>
      </c>
      <c r="BT86">
        <f>CumulativeConfirmed!BT86-CumulativeRecovered!BT86-CumulativeDead!BT86</f>
        <v>0</v>
      </c>
    </row>
    <row r="87" spans="1:72" ht="15" thickBot="1" x14ac:dyDescent="0.35">
      <c r="A87" s="3" t="s">
        <v>93</v>
      </c>
      <c r="B87">
        <f>CumulativeConfirmed!B87-CumulativeRecovered!B87-CumulativeDead!B87</f>
        <v>0</v>
      </c>
      <c r="C87">
        <f>CumulativeConfirmed!C87-CumulativeRecovered!C87-CumulativeDead!C87</f>
        <v>0</v>
      </c>
      <c r="D87">
        <f>CumulativeConfirmed!D87-CumulativeRecovered!D87-CumulativeDead!D87</f>
        <v>0</v>
      </c>
      <c r="E87">
        <f>CumulativeConfirmed!E87-CumulativeRecovered!E87-CumulativeDead!E87</f>
        <v>0</v>
      </c>
      <c r="F87">
        <f>CumulativeConfirmed!F87-CumulativeRecovered!F87-CumulativeDead!F87</f>
        <v>0</v>
      </c>
      <c r="G87">
        <f>CumulativeConfirmed!G87-CumulativeRecovered!G87-CumulativeDead!G87</f>
        <v>0</v>
      </c>
      <c r="H87">
        <f>CumulativeConfirmed!H87-CumulativeRecovered!H87-CumulativeDead!H87</f>
        <v>0</v>
      </c>
      <c r="I87">
        <f>CumulativeConfirmed!I87-CumulativeRecovered!I87-CumulativeDead!I87</f>
        <v>0</v>
      </c>
      <c r="J87">
        <f>CumulativeConfirmed!J87-CumulativeRecovered!J87-CumulativeDead!J87</f>
        <v>0</v>
      </c>
      <c r="K87">
        <f>CumulativeConfirmed!K87-CumulativeRecovered!K87-CumulativeDead!K87</f>
        <v>0</v>
      </c>
      <c r="L87">
        <f>CumulativeConfirmed!L87-CumulativeRecovered!L87-CumulativeDead!L87</f>
        <v>0</v>
      </c>
      <c r="M87">
        <f>CumulativeConfirmed!M87-CumulativeRecovered!M87-CumulativeDead!M87</f>
        <v>0</v>
      </c>
      <c r="N87">
        <f>CumulativeConfirmed!N87-CumulativeRecovered!N87-CumulativeDead!N87</f>
        <v>0</v>
      </c>
      <c r="O87">
        <f>CumulativeConfirmed!O87-CumulativeRecovered!O87-CumulativeDead!O87</f>
        <v>0</v>
      </c>
      <c r="P87">
        <f>CumulativeConfirmed!P87-CumulativeRecovered!P87-CumulativeDead!P87</f>
        <v>0</v>
      </c>
      <c r="Q87">
        <f>CumulativeConfirmed!Q87-CumulativeRecovered!Q87-CumulativeDead!Q87</f>
        <v>0</v>
      </c>
      <c r="R87">
        <f>CumulativeConfirmed!R87-CumulativeRecovered!R87-CumulativeDead!R87</f>
        <v>0</v>
      </c>
      <c r="S87">
        <f>CumulativeConfirmed!S87-CumulativeRecovered!S87-CumulativeDead!S87</f>
        <v>0</v>
      </c>
      <c r="T87">
        <f>CumulativeConfirmed!T87-CumulativeRecovered!T87-CumulativeDead!T87</f>
        <v>0</v>
      </c>
      <c r="U87">
        <f>CumulativeConfirmed!U87-CumulativeRecovered!U87-CumulativeDead!U87</f>
        <v>0</v>
      </c>
      <c r="V87">
        <f>CumulativeConfirmed!V87-CumulativeRecovered!V87-CumulativeDead!V87</f>
        <v>0</v>
      </c>
      <c r="W87">
        <f>CumulativeConfirmed!W87-CumulativeRecovered!W87-CumulativeDead!W87</f>
        <v>0</v>
      </c>
      <c r="X87">
        <f>CumulativeConfirmed!X87-CumulativeRecovered!X87-CumulativeDead!X87</f>
        <v>0</v>
      </c>
      <c r="Y87">
        <f>CumulativeConfirmed!Y87-CumulativeRecovered!Y87-CumulativeDead!Y87</f>
        <v>0</v>
      </c>
      <c r="Z87">
        <f>CumulativeConfirmed!Z87-CumulativeRecovered!Z87-CumulativeDead!Z87</f>
        <v>0</v>
      </c>
      <c r="AA87">
        <f>CumulativeConfirmed!AA87-CumulativeRecovered!AA87-CumulativeDead!AA87</f>
        <v>0</v>
      </c>
      <c r="AB87">
        <f>CumulativeConfirmed!AB87-CumulativeRecovered!AB87-CumulativeDead!AB87</f>
        <v>0</v>
      </c>
      <c r="AC87">
        <f>CumulativeConfirmed!AC87-CumulativeRecovered!AC87-CumulativeDead!AC87</f>
        <v>0</v>
      </c>
      <c r="AD87">
        <f>CumulativeConfirmed!AD87-CumulativeRecovered!AD87-CumulativeDead!AD87</f>
        <v>0</v>
      </c>
      <c r="AE87">
        <f>CumulativeConfirmed!AE87-CumulativeRecovered!AE87-CumulativeDead!AE87</f>
        <v>0</v>
      </c>
      <c r="AF87">
        <f>CumulativeConfirmed!AF87-CumulativeRecovered!AF87-CumulativeDead!AF87</f>
        <v>0</v>
      </c>
      <c r="AG87">
        <f>CumulativeConfirmed!AG87-CumulativeRecovered!AG87-CumulativeDead!AG87</f>
        <v>0</v>
      </c>
      <c r="AH87">
        <f>CumulativeConfirmed!AH87-CumulativeRecovered!AH87-CumulativeDead!AH87</f>
        <v>0</v>
      </c>
      <c r="AI87">
        <f>CumulativeConfirmed!AI87-CumulativeRecovered!AI87-CumulativeDead!AI87</f>
        <v>0</v>
      </c>
      <c r="AJ87">
        <f>CumulativeConfirmed!AJ87-CumulativeRecovered!AJ87-CumulativeDead!AJ87</f>
        <v>0</v>
      </c>
      <c r="AK87">
        <f>CumulativeConfirmed!AK87-CumulativeRecovered!AK87-CumulativeDead!AK87</f>
        <v>0</v>
      </c>
      <c r="AL87">
        <f>CumulativeConfirmed!AL87-CumulativeRecovered!AL87-CumulativeDead!AL87</f>
        <v>0</v>
      </c>
      <c r="AM87">
        <f>CumulativeConfirmed!AM87-CumulativeRecovered!AM87-CumulativeDead!AM87</f>
        <v>1</v>
      </c>
      <c r="AN87">
        <f>CumulativeConfirmed!AN87-CumulativeRecovered!AN87-CumulativeDead!AN87</f>
        <v>1</v>
      </c>
      <c r="AO87">
        <f>CumulativeConfirmed!AO87-CumulativeRecovered!AO87-CumulativeDead!AO87</f>
        <v>1</v>
      </c>
      <c r="AP87">
        <f>CumulativeConfirmed!AP87-CumulativeRecovered!AP87-CumulativeDead!AP87</f>
        <v>1</v>
      </c>
      <c r="AQ87">
        <f>CumulativeConfirmed!AQ87-CumulativeRecovered!AQ87-CumulativeDead!AQ87</f>
        <v>1</v>
      </c>
      <c r="AR87">
        <f>CumulativeConfirmed!AR87-CumulativeRecovered!AR87-CumulativeDead!AR87</f>
        <v>1</v>
      </c>
      <c r="AS87">
        <f>CumulativeConfirmed!AS87-CumulativeRecovered!AS87-CumulativeDead!AS87</f>
        <v>1</v>
      </c>
      <c r="AT87">
        <f>CumulativeConfirmed!AT87-CumulativeRecovered!AT87-CumulativeDead!AT87</f>
        <v>1</v>
      </c>
      <c r="AU87">
        <f>CumulativeConfirmed!AU87-CumulativeRecovered!AU87-CumulativeDead!AU87</f>
        <v>1</v>
      </c>
      <c r="AV87">
        <f>CumulativeConfirmed!AV87-CumulativeRecovered!AV87-CumulativeDead!AV87</f>
        <v>1</v>
      </c>
      <c r="AW87">
        <f>CumulativeConfirmed!AW87-CumulativeRecovered!AW87-CumulativeDead!AW87</f>
        <v>1</v>
      </c>
      <c r="AX87">
        <f>CumulativeConfirmed!AX87-CumulativeRecovered!AX87-CumulativeDead!AX87</f>
        <v>1</v>
      </c>
      <c r="AY87">
        <f>CumulativeConfirmed!AY87-CumulativeRecovered!AY87-CumulativeDead!AY87</f>
        <v>3</v>
      </c>
      <c r="AZ87">
        <f>CumulativeConfirmed!AZ87-CumulativeRecovered!AZ87-CumulativeDead!AZ87</f>
        <v>3</v>
      </c>
      <c r="BA87">
        <f>CumulativeConfirmed!BA87-CumulativeRecovered!BA87-CumulativeDead!BA87</f>
        <v>6</v>
      </c>
      <c r="BB87">
        <f>CumulativeConfirmed!BB87-CumulativeRecovered!BB87-CumulativeDead!BB87</f>
        <v>8</v>
      </c>
      <c r="BC87">
        <f>CumulativeConfirmed!BC87-CumulativeRecovered!BC87-CumulativeDead!BC87</f>
        <v>11</v>
      </c>
      <c r="BD87">
        <f>CumulativeConfirmed!BD87-CumulativeRecovered!BD87-CumulativeDead!BD87</f>
        <v>16</v>
      </c>
      <c r="BE87">
        <f>CumulativeConfirmed!BE87-CumulativeRecovered!BE87-CumulativeDead!BE87</f>
        <v>24</v>
      </c>
      <c r="BF87">
        <f>CumulativeConfirmed!BF87-CumulativeRecovered!BF87-CumulativeDead!BF87</f>
        <v>26</v>
      </c>
      <c r="BG87">
        <f>CumulativeConfirmed!BG87-CumulativeRecovered!BG87-CumulativeDead!BG87</f>
        <v>35</v>
      </c>
      <c r="BH87">
        <f>CumulativeConfirmed!BH87-CumulativeRecovered!BH87-CumulativeDead!BH87</f>
        <v>48</v>
      </c>
      <c r="BI87">
        <f>CumulativeConfirmed!BI87-CumulativeRecovered!BI87-CumulativeDead!BI87</f>
        <v>0</v>
      </c>
      <c r="BJ87">
        <f>CumulativeConfirmed!BJ87-CumulativeRecovered!BJ87-CumulativeDead!BJ87</f>
        <v>0</v>
      </c>
      <c r="BK87">
        <f>CumulativeConfirmed!BK87-CumulativeRecovered!BK87-CumulativeDead!BK87</f>
        <v>0</v>
      </c>
      <c r="BL87">
        <f>CumulativeConfirmed!BL87-CumulativeRecovered!BL87-CumulativeDead!BL87</f>
        <v>0</v>
      </c>
      <c r="BM87">
        <f>CumulativeConfirmed!BM87-CumulativeRecovered!BM87-CumulativeDead!BM87</f>
        <v>0</v>
      </c>
      <c r="BN87">
        <f>CumulativeConfirmed!BN87-CumulativeRecovered!BN87-CumulativeDead!BN87</f>
        <v>0</v>
      </c>
      <c r="BO87">
        <f>CumulativeConfirmed!BO87-CumulativeRecovered!BO87-CumulativeDead!BO87</f>
        <v>0</v>
      </c>
      <c r="BP87">
        <f>CumulativeConfirmed!BP87-CumulativeRecovered!BP87-CumulativeDead!BP87</f>
        <v>0</v>
      </c>
      <c r="BQ87">
        <f>CumulativeConfirmed!BQ87-CumulativeRecovered!BQ87-CumulativeDead!BQ87</f>
        <v>0</v>
      </c>
      <c r="BR87">
        <f>CumulativeConfirmed!BR87-CumulativeRecovered!BR87-CumulativeDead!BR87</f>
        <v>0</v>
      </c>
      <c r="BS87">
        <f>CumulativeConfirmed!BS87-CumulativeRecovered!BS87-CumulativeDead!BS87</f>
        <v>0</v>
      </c>
      <c r="BT87">
        <f>CumulativeConfirmed!BT87-CumulativeRecovered!BT87-CumulativeDead!BT87</f>
        <v>0</v>
      </c>
    </row>
    <row r="88" spans="1:72" ht="15" thickBot="1" x14ac:dyDescent="0.35">
      <c r="A88" s="4" t="s">
        <v>345</v>
      </c>
      <c r="B88">
        <f>CumulativeConfirmed!B88-CumulativeRecovered!B88-CumulativeDead!B88</f>
        <v>0</v>
      </c>
      <c r="C88">
        <f>CumulativeConfirmed!C88-CumulativeRecovered!C88-CumulativeDead!C88</f>
        <v>0</v>
      </c>
      <c r="D88">
        <f>CumulativeConfirmed!D88-CumulativeRecovered!D88-CumulativeDead!D88</f>
        <v>0</v>
      </c>
      <c r="E88">
        <f>CumulativeConfirmed!E88-CumulativeRecovered!E88-CumulativeDead!E88</f>
        <v>0</v>
      </c>
      <c r="F88">
        <f>CumulativeConfirmed!F88-CumulativeRecovered!F88-CumulativeDead!F88</f>
        <v>0</v>
      </c>
      <c r="G88">
        <f>CumulativeConfirmed!G88-CumulativeRecovered!G88-CumulativeDead!G88</f>
        <v>0</v>
      </c>
      <c r="H88">
        <f>CumulativeConfirmed!H88-CumulativeRecovered!H88-CumulativeDead!H88</f>
        <v>0</v>
      </c>
      <c r="I88">
        <f>CumulativeConfirmed!I88-CumulativeRecovered!I88-CumulativeDead!I88</f>
        <v>0</v>
      </c>
      <c r="J88">
        <f>CumulativeConfirmed!J88-CumulativeRecovered!J88-CumulativeDead!J88</f>
        <v>0</v>
      </c>
      <c r="K88">
        <f>CumulativeConfirmed!K88-CumulativeRecovered!K88-CumulativeDead!K88</f>
        <v>0</v>
      </c>
      <c r="L88">
        <f>CumulativeConfirmed!L88-CumulativeRecovered!L88-CumulativeDead!L88</f>
        <v>0</v>
      </c>
      <c r="M88">
        <f>CumulativeConfirmed!M88-CumulativeRecovered!M88-CumulativeDead!M88</f>
        <v>0</v>
      </c>
      <c r="N88">
        <f>CumulativeConfirmed!N88-CumulativeRecovered!N88-CumulativeDead!N88</f>
        <v>0</v>
      </c>
      <c r="O88">
        <f>CumulativeConfirmed!O88-CumulativeRecovered!O88-CumulativeDead!O88</f>
        <v>0</v>
      </c>
      <c r="P88">
        <f>CumulativeConfirmed!P88-CumulativeRecovered!P88-CumulativeDead!P88</f>
        <v>0</v>
      </c>
      <c r="Q88">
        <f>CumulativeConfirmed!Q88-CumulativeRecovered!Q88-CumulativeDead!Q88</f>
        <v>0</v>
      </c>
      <c r="R88">
        <f>CumulativeConfirmed!R88-CumulativeRecovered!R88-CumulativeDead!R88</f>
        <v>0</v>
      </c>
      <c r="S88">
        <f>CumulativeConfirmed!S88-CumulativeRecovered!S88-CumulativeDead!S88</f>
        <v>0</v>
      </c>
      <c r="T88">
        <f>CumulativeConfirmed!T88-CumulativeRecovered!T88-CumulativeDead!T88</f>
        <v>0</v>
      </c>
      <c r="U88">
        <f>CumulativeConfirmed!U88-CumulativeRecovered!U88-CumulativeDead!U88</f>
        <v>0</v>
      </c>
      <c r="V88">
        <f>CumulativeConfirmed!V88-CumulativeRecovered!V88-CumulativeDead!V88</f>
        <v>0</v>
      </c>
      <c r="W88">
        <f>CumulativeConfirmed!W88-CumulativeRecovered!W88-CumulativeDead!W88</f>
        <v>0</v>
      </c>
      <c r="X88">
        <f>CumulativeConfirmed!X88-CumulativeRecovered!X88-CumulativeDead!X88</f>
        <v>0</v>
      </c>
      <c r="Y88">
        <f>CumulativeConfirmed!Y88-CumulativeRecovered!Y88-CumulativeDead!Y88</f>
        <v>0</v>
      </c>
      <c r="Z88">
        <f>CumulativeConfirmed!Z88-CumulativeRecovered!Z88-CumulativeDead!Z88</f>
        <v>0</v>
      </c>
      <c r="AA88">
        <f>CumulativeConfirmed!AA88-CumulativeRecovered!AA88-CumulativeDead!AA88</f>
        <v>0</v>
      </c>
      <c r="AB88">
        <f>CumulativeConfirmed!AB88-CumulativeRecovered!AB88-CumulativeDead!AB88</f>
        <v>0</v>
      </c>
      <c r="AC88">
        <f>CumulativeConfirmed!AC88-CumulativeRecovered!AC88-CumulativeDead!AC88</f>
        <v>0</v>
      </c>
      <c r="AD88">
        <f>CumulativeConfirmed!AD88-CumulativeRecovered!AD88-CumulativeDead!AD88</f>
        <v>0</v>
      </c>
      <c r="AE88">
        <f>CumulativeConfirmed!AE88-CumulativeRecovered!AE88-CumulativeDead!AE88</f>
        <v>0</v>
      </c>
      <c r="AF88">
        <f>CumulativeConfirmed!AF88-CumulativeRecovered!AF88-CumulativeDead!AF88</f>
        <v>0</v>
      </c>
      <c r="AG88">
        <f>CumulativeConfirmed!AG88-CumulativeRecovered!AG88-CumulativeDead!AG88</f>
        <v>0</v>
      </c>
      <c r="AH88">
        <f>CumulativeConfirmed!AH88-CumulativeRecovered!AH88-CumulativeDead!AH88</f>
        <v>0</v>
      </c>
      <c r="AI88">
        <f>CumulativeConfirmed!AI88-CumulativeRecovered!AI88-CumulativeDead!AI88</f>
        <v>0</v>
      </c>
      <c r="AJ88">
        <f>CumulativeConfirmed!AJ88-CumulativeRecovered!AJ88-CumulativeDead!AJ88</f>
        <v>0</v>
      </c>
      <c r="AK88">
        <f>CumulativeConfirmed!AK88-CumulativeRecovered!AK88-CumulativeDead!AK88</f>
        <v>0</v>
      </c>
      <c r="AL88">
        <f>CumulativeConfirmed!AL88-CumulativeRecovered!AL88-CumulativeDead!AL88</f>
        <v>0</v>
      </c>
      <c r="AM88">
        <f>CumulativeConfirmed!AM88-CumulativeRecovered!AM88-CumulativeDead!AM88</f>
        <v>0</v>
      </c>
      <c r="AN88">
        <f>CumulativeConfirmed!AN88-CumulativeRecovered!AN88-CumulativeDead!AN88</f>
        <v>0</v>
      </c>
      <c r="AO88">
        <f>CumulativeConfirmed!AO88-CumulativeRecovered!AO88-CumulativeDead!AO88</f>
        <v>0</v>
      </c>
      <c r="AP88">
        <f>CumulativeConfirmed!AP88-CumulativeRecovered!AP88-CumulativeDead!AP88</f>
        <v>0</v>
      </c>
      <c r="AQ88">
        <f>CumulativeConfirmed!AQ88-CumulativeRecovered!AQ88-CumulativeDead!AQ88</f>
        <v>0</v>
      </c>
      <c r="AR88">
        <f>CumulativeConfirmed!AR88-CumulativeRecovered!AR88-CumulativeDead!AR88</f>
        <v>0</v>
      </c>
      <c r="AS88">
        <f>CumulativeConfirmed!AS88-CumulativeRecovered!AS88-CumulativeDead!AS88</f>
        <v>0</v>
      </c>
      <c r="AT88">
        <f>CumulativeConfirmed!AT88-CumulativeRecovered!AT88-CumulativeDead!AT88</f>
        <v>0</v>
      </c>
      <c r="AU88">
        <f>CumulativeConfirmed!AU88-CumulativeRecovered!AU88-CumulativeDead!AU88</f>
        <v>0</v>
      </c>
      <c r="AV88">
        <f>CumulativeConfirmed!AV88-CumulativeRecovered!AV88-CumulativeDead!AV88</f>
        <v>1</v>
      </c>
      <c r="AW88">
        <f>CumulativeConfirmed!AW88-CumulativeRecovered!AW88-CumulativeDead!AW88</f>
        <v>1</v>
      </c>
      <c r="AX88">
        <f>CumulativeConfirmed!AX88-CumulativeRecovered!AX88-CumulativeDead!AX88</f>
        <v>3</v>
      </c>
      <c r="AY88">
        <f>CumulativeConfirmed!AY88-CumulativeRecovered!AY88-CumulativeDead!AY88</f>
        <v>3</v>
      </c>
      <c r="AZ88">
        <f>CumulativeConfirmed!AZ88-CumulativeRecovered!AZ88-CumulativeDead!AZ88</f>
        <v>3</v>
      </c>
      <c r="BA88">
        <f>CumulativeConfirmed!BA88-CumulativeRecovered!BA88-CumulativeDead!BA88</f>
        <v>6</v>
      </c>
      <c r="BB88">
        <f>CumulativeConfirmed!BB88-CumulativeRecovered!BB88-CumulativeDead!BB88</f>
        <v>12</v>
      </c>
      <c r="BC88">
        <f>CumulativeConfirmed!BC88-CumulativeRecovered!BC88-CumulativeDead!BC88</f>
        <v>23</v>
      </c>
      <c r="BD88">
        <f>CumulativeConfirmed!BD88-CumulativeRecovered!BD88-CumulativeDead!BD88</f>
        <v>23</v>
      </c>
      <c r="BE88">
        <f>CumulativeConfirmed!BE88-CumulativeRecovered!BE88-CumulativeDead!BE88</f>
        <v>29</v>
      </c>
      <c r="BF88">
        <f>CumulativeConfirmed!BF88-CumulativeRecovered!BF88-CumulativeDead!BF88</f>
        <v>28</v>
      </c>
      <c r="BG88">
        <f>CumulativeConfirmed!BG88-CumulativeRecovered!BG88-CumulativeDead!BG88</f>
        <v>47</v>
      </c>
      <c r="BH88">
        <f>CumulativeConfirmed!BH88-CumulativeRecovered!BH88-CumulativeDead!BH88</f>
        <v>64</v>
      </c>
      <c r="BI88">
        <f>CumulativeConfirmed!BI88-CumulativeRecovered!BI88-CumulativeDead!BI88</f>
        <v>0</v>
      </c>
      <c r="BJ88">
        <f>CumulativeConfirmed!BJ88-CumulativeRecovered!BJ88-CumulativeDead!BJ88</f>
        <v>0</v>
      </c>
      <c r="BK88">
        <f>CumulativeConfirmed!BK88-CumulativeRecovered!BK88-CumulativeDead!BK88</f>
        <v>0</v>
      </c>
      <c r="BL88">
        <f>CumulativeConfirmed!BL88-CumulativeRecovered!BL88-CumulativeDead!BL88</f>
        <v>0</v>
      </c>
      <c r="BM88">
        <f>CumulativeConfirmed!BM88-CumulativeRecovered!BM88-CumulativeDead!BM88</f>
        <v>0</v>
      </c>
      <c r="BN88">
        <f>CumulativeConfirmed!BN88-CumulativeRecovered!BN88-CumulativeDead!BN88</f>
        <v>0</v>
      </c>
      <c r="BO88">
        <f>CumulativeConfirmed!BO88-CumulativeRecovered!BO88-CumulativeDead!BO88</f>
        <v>0</v>
      </c>
      <c r="BP88">
        <f>CumulativeConfirmed!BP88-CumulativeRecovered!BP88-CumulativeDead!BP88</f>
        <v>0</v>
      </c>
      <c r="BQ88">
        <f>CumulativeConfirmed!BQ88-CumulativeRecovered!BQ88-CumulativeDead!BQ88</f>
        <v>0</v>
      </c>
      <c r="BR88">
        <f>CumulativeConfirmed!BR88-CumulativeRecovered!BR88-CumulativeDead!BR88</f>
        <v>0</v>
      </c>
      <c r="BS88">
        <f>CumulativeConfirmed!BS88-CumulativeRecovered!BS88-CumulativeDead!BS88</f>
        <v>0</v>
      </c>
      <c r="BT88">
        <f>CumulativeConfirmed!BT88-CumulativeRecovered!BT88-CumulativeDead!BT88</f>
        <v>0</v>
      </c>
    </row>
    <row r="89" spans="1:72" ht="15" thickBot="1" x14ac:dyDescent="0.35">
      <c r="A89" s="4" t="s">
        <v>206</v>
      </c>
      <c r="B89">
        <f>CumulativeConfirmed!B89-CumulativeRecovered!B89-CumulativeDead!B89</f>
        <v>0</v>
      </c>
      <c r="C89">
        <f>CumulativeConfirmed!C89-CumulativeRecovered!C89-CumulativeDead!C89</f>
        <v>0</v>
      </c>
      <c r="D89">
        <f>CumulativeConfirmed!D89-CumulativeRecovered!D89-CumulativeDead!D89</f>
        <v>0</v>
      </c>
      <c r="E89">
        <f>CumulativeConfirmed!E89-CumulativeRecovered!E89-CumulativeDead!E89</f>
        <v>0</v>
      </c>
      <c r="F89">
        <f>CumulativeConfirmed!F89-CumulativeRecovered!F89-CumulativeDead!F89</f>
        <v>0</v>
      </c>
      <c r="G89">
        <f>CumulativeConfirmed!G89-CumulativeRecovered!G89-CumulativeDead!G89</f>
        <v>0</v>
      </c>
      <c r="H89">
        <f>CumulativeConfirmed!H89-CumulativeRecovered!H89-CumulativeDead!H89</f>
        <v>0</v>
      </c>
      <c r="I89">
        <f>CumulativeConfirmed!I89-CumulativeRecovered!I89-CumulativeDead!I89</f>
        <v>0</v>
      </c>
      <c r="J89">
        <f>CumulativeConfirmed!J89-CumulativeRecovered!J89-CumulativeDead!J89</f>
        <v>0</v>
      </c>
      <c r="K89">
        <f>CumulativeConfirmed!K89-CumulativeRecovered!K89-CumulativeDead!K89</f>
        <v>0</v>
      </c>
      <c r="L89">
        <f>CumulativeConfirmed!L89-CumulativeRecovered!L89-CumulativeDead!L89</f>
        <v>0</v>
      </c>
      <c r="M89">
        <f>CumulativeConfirmed!M89-CumulativeRecovered!M89-CumulativeDead!M89</f>
        <v>0</v>
      </c>
      <c r="N89">
        <f>CumulativeConfirmed!N89-CumulativeRecovered!N89-CumulativeDead!N89</f>
        <v>0</v>
      </c>
      <c r="O89">
        <f>CumulativeConfirmed!O89-CumulativeRecovered!O89-CumulativeDead!O89</f>
        <v>0</v>
      </c>
      <c r="P89">
        <f>CumulativeConfirmed!P89-CumulativeRecovered!P89-CumulativeDead!P89</f>
        <v>0</v>
      </c>
      <c r="Q89">
        <f>CumulativeConfirmed!Q89-CumulativeRecovered!Q89-CumulativeDead!Q89</f>
        <v>0</v>
      </c>
      <c r="R89">
        <f>CumulativeConfirmed!R89-CumulativeRecovered!R89-CumulativeDead!R89</f>
        <v>0</v>
      </c>
      <c r="S89">
        <f>CumulativeConfirmed!S89-CumulativeRecovered!S89-CumulativeDead!S89</f>
        <v>0</v>
      </c>
      <c r="T89">
        <f>CumulativeConfirmed!T89-CumulativeRecovered!T89-CumulativeDead!T89</f>
        <v>0</v>
      </c>
      <c r="U89">
        <f>CumulativeConfirmed!U89-CumulativeRecovered!U89-CumulativeDead!U89</f>
        <v>0</v>
      </c>
      <c r="V89">
        <f>CumulativeConfirmed!V89-CumulativeRecovered!V89-CumulativeDead!V89</f>
        <v>0</v>
      </c>
      <c r="W89">
        <f>CumulativeConfirmed!W89-CumulativeRecovered!W89-CumulativeDead!W89</f>
        <v>0</v>
      </c>
      <c r="X89">
        <f>CumulativeConfirmed!X89-CumulativeRecovered!X89-CumulativeDead!X89</f>
        <v>0</v>
      </c>
      <c r="Y89">
        <f>CumulativeConfirmed!Y89-CumulativeRecovered!Y89-CumulativeDead!Y89</f>
        <v>0</v>
      </c>
      <c r="Z89">
        <f>CumulativeConfirmed!Z89-CumulativeRecovered!Z89-CumulativeDead!Z89</f>
        <v>0</v>
      </c>
      <c r="AA89">
        <f>CumulativeConfirmed!AA89-CumulativeRecovered!AA89-CumulativeDead!AA89</f>
        <v>0</v>
      </c>
      <c r="AB89">
        <f>CumulativeConfirmed!AB89-CumulativeRecovered!AB89-CumulativeDead!AB89</f>
        <v>0</v>
      </c>
      <c r="AC89">
        <f>CumulativeConfirmed!AC89-CumulativeRecovered!AC89-CumulativeDead!AC89</f>
        <v>0</v>
      </c>
      <c r="AD89">
        <f>CumulativeConfirmed!AD89-CumulativeRecovered!AD89-CumulativeDead!AD89</f>
        <v>0</v>
      </c>
      <c r="AE89">
        <f>CumulativeConfirmed!AE89-CumulativeRecovered!AE89-CumulativeDead!AE89</f>
        <v>0</v>
      </c>
      <c r="AF89">
        <f>CumulativeConfirmed!AF89-CumulativeRecovered!AF89-CumulativeDead!AF89</f>
        <v>0</v>
      </c>
      <c r="AG89">
        <f>CumulativeConfirmed!AG89-CumulativeRecovered!AG89-CumulativeDead!AG89</f>
        <v>0</v>
      </c>
      <c r="AH89">
        <f>CumulativeConfirmed!AH89-CumulativeRecovered!AH89-CumulativeDead!AH89</f>
        <v>0</v>
      </c>
      <c r="AI89">
        <f>CumulativeConfirmed!AI89-CumulativeRecovered!AI89-CumulativeDead!AI89</f>
        <v>0</v>
      </c>
      <c r="AJ89">
        <f>CumulativeConfirmed!AJ89-CumulativeRecovered!AJ89-CumulativeDead!AJ89</f>
        <v>0</v>
      </c>
      <c r="AK89">
        <f>CumulativeConfirmed!AK89-CumulativeRecovered!AK89-CumulativeDead!AK89</f>
        <v>0</v>
      </c>
      <c r="AL89">
        <f>CumulativeConfirmed!AL89-CumulativeRecovered!AL89-CumulativeDead!AL89</f>
        <v>0</v>
      </c>
      <c r="AM89">
        <f>CumulativeConfirmed!AM89-CumulativeRecovered!AM89-CumulativeDead!AM89</f>
        <v>0</v>
      </c>
      <c r="AN89">
        <f>CumulativeConfirmed!AN89-CumulativeRecovered!AN89-CumulativeDead!AN89</f>
        <v>0</v>
      </c>
      <c r="AO89">
        <f>CumulativeConfirmed!AO89-CumulativeRecovered!AO89-CumulativeDead!AO89</f>
        <v>0</v>
      </c>
      <c r="AP89">
        <f>CumulativeConfirmed!AP89-CumulativeRecovered!AP89-CumulativeDead!AP89</f>
        <v>0</v>
      </c>
      <c r="AQ89">
        <f>CumulativeConfirmed!AQ89-CumulativeRecovered!AQ89-CumulativeDead!AQ89</f>
        <v>0</v>
      </c>
      <c r="AR89">
        <f>CumulativeConfirmed!AR89-CumulativeRecovered!AR89-CumulativeDead!AR89</f>
        <v>0</v>
      </c>
      <c r="AS89">
        <f>CumulativeConfirmed!AS89-CumulativeRecovered!AS89-CumulativeDead!AS89</f>
        <v>0</v>
      </c>
      <c r="AT89">
        <f>CumulativeConfirmed!AT89-CumulativeRecovered!AT89-CumulativeDead!AT89</f>
        <v>0</v>
      </c>
      <c r="AU89">
        <f>CumulativeConfirmed!AU89-CumulativeRecovered!AU89-CumulativeDead!AU89</f>
        <v>0</v>
      </c>
      <c r="AV89">
        <f>CumulativeConfirmed!AV89-CumulativeRecovered!AV89-CumulativeDead!AV89</f>
        <v>1</v>
      </c>
      <c r="AW89">
        <f>CumulativeConfirmed!AW89-CumulativeRecovered!AW89-CumulativeDead!AW89</f>
        <v>1</v>
      </c>
      <c r="AX89">
        <f>CumulativeConfirmed!AX89-CumulativeRecovered!AX89-CumulativeDead!AX89</f>
        <v>1</v>
      </c>
      <c r="AY89">
        <f>CumulativeConfirmed!AY89-CumulativeRecovered!AY89-CumulativeDead!AY89</f>
        <v>5</v>
      </c>
      <c r="AZ89">
        <f>CumulativeConfirmed!AZ89-CumulativeRecovered!AZ89-CumulativeDead!AZ89</f>
        <v>5</v>
      </c>
      <c r="BA89">
        <f>CumulativeConfirmed!BA89-CumulativeRecovered!BA89-CumulativeDead!BA89</f>
        <v>6</v>
      </c>
      <c r="BB89">
        <f>CumulativeConfirmed!BB89-CumulativeRecovered!BB89-CumulativeDead!BB89</f>
        <v>6</v>
      </c>
      <c r="BC89">
        <f>CumulativeConfirmed!BC89-CumulativeRecovered!BC89-CumulativeDead!BC89</f>
        <v>6</v>
      </c>
      <c r="BD89">
        <f>CumulativeConfirmed!BD89-CumulativeRecovered!BD89-CumulativeDead!BD89</f>
        <v>8</v>
      </c>
      <c r="BE89">
        <f>CumulativeConfirmed!BE89-CumulativeRecovered!BE89-CumulativeDead!BE89</f>
        <v>9</v>
      </c>
      <c r="BF89">
        <f>CumulativeConfirmed!BF89-CumulativeRecovered!BF89-CumulativeDead!BF89</f>
        <v>11</v>
      </c>
      <c r="BG89">
        <f>CumulativeConfirmed!BG89-CumulativeRecovered!BG89-CumulativeDead!BG89</f>
        <v>11</v>
      </c>
      <c r="BH89">
        <f>CumulativeConfirmed!BH89-CumulativeRecovered!BH89-CumulativeDead!BH89</f>
        <v>13</v>
      </c>
      <c r="BI89">
        <f>CumulativeConfirmed!BI89-CumulativeRecovered!BI89-CumulativeDead!BI89</f>
        <v>0</v>
      </c>
      <c r="BJ89">
        <f>CumulativeConfirmed!BJ89-CumulativeRecovered!BJ89-CumulativeDead!BJ89</f>
        <v>0</v>
      </c>
      <c r="BK89">
        <f>CumulativeConfirmed!BK89-CumulativeRecovered!BK89-CumulativeDead!BK89</f>
        <v>0</v>
      </c>
      <c r="BL89">
        <f>CumulativeConfirmed!BL89-CumulativeRecovered!BL89-CumulativeDead!BL89</f>
        <v>0</v>
      </c>
      <c r="BM89">
        <f>CumulativeConfirmed!BM89-CumulativeRecovered!BM89-CumulativeDead!BM89</f>
        <v>0</v>
      </c>
      <c r="BN89">
        <f>CumulativeConfirmed!BN89-CumulativeRecovered!BN89-CumulativeDead!BN89</f>
        <v>0</v>
      </c>
      <c r="BO89">
        <f>CumulativeConfirmed!BO89-CumulativeRecovered!BO89-CumulativeDead!BO89</f>
        <v>0</v>
      </c>
      <c r="BP89">
        <f>CumulativeConfirmed!BP89-CumulativeRecovered!BP89-CumulativeDead!BP89</f>
        <v>0</v>
      </c>
      <c r="BQ89">
        <f>CumulativeConfirmed!BQ89-CumulativeRecovered!BQ89-CumulativeDead!BQ89</f>
        <v>0</v>
      </c>
      <c r="BR89">
        <f>CumulativeConfirmed!BR89-CumulativeRecovered!BR89-CumulativeDead!BR89</f>
        <v>0</v>
      </c>
      <c r="BS89">
        <f>CumulativeConfirmed!BS89-CumulativeRecovered!BS89-CumulativeDead!BS89</f>
        <v>0</v>
      </c>
      <c r="BT89">
        <f>CumulativeConfirmed!BT89-CumulativeRecovered!BT89-CumulativeDead!BT89</f>
        <v>0</v>
      </c>
    </row>
    <row r="90" spans="1:72" ht="15" thickBot="1" x14ac:dyDescent="0.35">
      <c r="A90" s="3" t="s">
        <v>52</v>
      </c>
      <c r="B90">
        <f>CumulativeConfirmed!B90-CumulativeRecovered!B90-CumulativeDead!B90</f>
        <v>0</v>
      </c>
      <c r="C90">
        <f>CumulativeConfirmed!C90-CumulativeRecovered!C90-CumulativeDead!C90</f>
        <v>0</v>
      </c>
      <c r="D90">
        <f>CumulativeConfirmed!D90-CumulativeRecovered!D90-CumulativeDead!D90</f>
        <v>0</v>
      </c>
      <c r="E90">
        <f>CumulativeConfirmed!E90-CumulativeRecovered!E90-CumulativeDead!E90</f>
        <v>0</v>
      </c>
      <c r="F90">
        <f>CumulativeConfirmed!F90-CumulativeRecovered!F90-CumulativeDead!F90</f>
        <v>0</v>
      </c>
      <c r="G90">
        <f>CumulativeConfirmed!G90-CumulativeRecovered!G90-CumulativeDead!G90</f>
        <v>1</v>
      </c>
      <c r="H90">
        <f>CumulativeConfirmed!H90-CumulativeRecovered!H90-CumulativeDead!H90</f>
        <v>1</v>
      </c>
      <c r="I90">
        <f>CumulativeConfirmed!I90-CumulativeRecovered!I90-CumulativeDead!I90</f>
        <v>1</v>
      </c>
      <c r="J90">
        <f>CumulativeConfirmed!J90-CumulativeRecovered!J90-CumulativeDead!J90</f>
        <v>1</v>
      </c>
      <c r="K90">
        <f>CumulativeConfirmed!K90-CumulativeRecovered!K90-CumulativeDead!K90</f>
        <v>1</v>
      </c>
      <c r="L90">
        <f>CumulativeConfirmed!L90-CumulativeRecovered!L90-CumulativeDead!L90</f>
        <v>1</v>
      </c>
      <c r="M90">
        <f>CumulativeConfirmed!M90-CumulativeRecovered!M90-CumulativeDead!M90</f>
        <v>1</v>
      </c>
      <c r="N90">
        <f>CumulativeConfirmed!N90-CumulativeRecovered!N90-CumulativeDead!N90</f>
        <v>1</v>
      </c>
      <c r="O90">
        <f>CumulativeConfirmed!O90-CumulativeRecovered!O90-CumulativeDead!O90</f>
        <v>1</v>
      </c>
      <c r="P90">
        <f>CumulativeConfirmed!P90-CumulativeRecovered!P90-CumulativeDead!P90</f>
        <v>1</v>
      </c>
      <c r="Q90">
        <f>CumulativeConfirmed!Q90-CumulativeRecovered!Q90-CumulativeDead!Q90</f>
        <v>1</v>
      </c>
      <c r="R90">
        <f>CumulativeConfirmed!R90-CumulativeRecovered!R90-CumulativeDead!R90</f>
        <v>1</v>
      </c>
      <c r="S90">
        <f>CumulativeConfirmed!S90-CumulativeRecovered!S90-CumulativeDead!S90</f>
        <v>0</v>
      </c>
      <c r="T90">
        <f>CumulativeConfirmed!T90-CumulativeRecovered!T90-CumulativeDead!T90</f>
        <v>0</v>
      </c>
      <c r="U90">
        <f>CumulativeConfirmed!U90-CumulativeRecovered!U90-CumulativeDead!U90</f>
        <v>0</v>
      </c>
      <c r="V90">
        <f>CumulativeConfirmed!V90-CumulativeRecovered!V90-CumulativeDead!V90</f>
        <v>0</v>
      </c>
      <c r="W90">
        <f>CumulativeConfirmed!W90-CumulativeRecovered!W90-CumulativeDead!W90</f>
        <v>0</v>
      </c>
      <c r="X90">
        <f>CumulativeConfirmed!X90-CumulativeRecovered!X90-CumulativeDead!X90</f>
        <v>0</v>
      </c>
      <c r="Y90">
        <f>CumulativeConfirmed!Y90-CumulativeRecovered!Y90-CumulativeDead!Y90</f>
        <v>0</v>
      </c>
      <c r="Z90">
        <f>CumulativeConfirmed!Z90-CumulativeRecovered!Z90-CumulativeDead!Z90</f>
        <v>0</v>
      </c>
      <c r="AA90">
        <f>CumulativeConfirmed!AA90-CumulativeRecovered!AA90-CumulativeDead!AA90</f>
        <v>0</v>
      </c>
      <c r="AB90">
        <f>CumulativeConfirmed!AB90-CumulativeRecovered!AB90-CumulativeDead!AB90</f>
        <v>0</v>
      </c>
      <c r="AC90">
        <f>CumulativeConfirmed!AC90-CumulativeRecovered!AC90-CumulativeDead!AC90</f>
        <v>0</v>
      </c>
      <c r="AD90">
        <f>CumulativeConfirmed!AD90-CumulativeRecovered!AD90-CumulativeDead!AD90</f>
        <v>0</v>
      </c>
      <c r="AE90">
        <f>CumulativeConfirmed!AE90-CumulativeRecovered!AE90-CumulativeDead!AE90</f>
        <v>0</v>
      </c>
      <c r="AF90">
        <f>CumulativeConfirmed!AF90-CumulativeRecovered!AF90-CumulativeDead!AF90</f>
        <v>0</v>
      </c>
      <c r="AG90">
        <f>CumulativeConfirmed!AG90-CumulativeRecovered!AG90-CumulativeDead!AG90</f>
        <v>0</v>
      </c>
      <c r="AH90">
        <f>CumulativeConfirmed!AH90-CumulativeRecovered!AH90-CumulativeDead!AH90</f>
        <v>0</v>
      </c>
      <c r="AI90">
        <f>CumulativeConfirmed!AI90-CumulativeRecovered!AI90-CumulativeDead!AI90</f>
        <v>0</v>
      </c>
      <c r="AJ90">
        <f>CumulativeConfirmed!AJ90-CumulativeRecovered!AJ90-CumulativeDead!AJ90</f>
        <v>0</v>
      </c>
      <c r="AK90">
        <f>CumulativeConfirmed!AK90-CumulativeRecovered!AK90-CumulativeDead!AK90</f>
        <v>0</v>
      </c>
      <c r="AL90">
        <f>CumulativeConfirmed!AL90-CumulativeRecovered!AL90-CumulativeDead!AL90</f>
        <v>0</v>
      </c>
      <c r="AM90">
        <f>CumulativeConfirmed!AM90-CumulativeRecovered!AM90-CumulativeDead!AM90</f>
        <v>0</v>
      </c>
      <c r="AN90">
        <f>CumulativeConfirmed!AN90-CumulativeRecovered!AN90-CumulativeDead!AN90</f>
        <v>0</v>
      </c>
      <c r="AO90">
        <f>CumulativeConfirmed!AO90-CumulativeRecovered!AO90-CumulativeDead!AO90</f>
        <v>0</v>
      </c>
      <c r="AP90">
        <f>CumulativeConfirmed!AP90-CumulativeRecovered!AP90-CumulativeDead!AP90</f>
        <v>0</v>
      </c>
      <c r="AQ90">
        <f>CumulativeConfirmed!AQ90-CumulativeRecovered!AQ90-CumulativeDead!AQ90</f>
        <v>0</v>
      </c>
      <c r="AR90">
        <f>CumulativeConfirmed!AR90-CumulativeRecovered!AR90-CumulativeDead!AR90</f>
        <v>0</v>
      </c>
      <c r="AS90">
        <f>CumulativeConfirmed!AS90-CumulativeRecovered!AS90-CumulativeDead!AS90</f>
        <v>0</v>
      </c>
      <c r="AT90">
        <f>CumulativeConfirmed!AT90-CumulativeRecovered!AT90-CumulativeDead!AT90</f>
        <v>0</v>
      </c>
      <c r="AU90">
        <f>CumulativeConfirmed!AU90-CumulativeRecovered!AU90-CumulativeDead!AU90</f>
        <v>0</v>
      </c>
      <c r="AV90">
        <f>CumulativeConfirmed!AV90-CumulativeRecovered!AV90-CumulativeDead!AV90</f>
        <v>0</v>
      </c>
      <c r="AW90">
        <f>CumulativeConfirmed!AW90-CumulativeRecovered!AW90-CumulativeDead!AW90</f>
        <v>0</v>
      </c>
      <c r="AX90">
        <f>CumulativeConfirmed!AX90-CumulativeRecovered!AX90-CumulativeDead!AX90</f>
        <v>0</v>
      </c>
      <c r="AY90">
        <f>CumulativeConfirmed!AY90-CumulativeRecovered!AY90-CumulativeDead!AY90</f>
        <v>1</v>
      </c>
      <c r="AZ90">
        <f>CumulativeConfirmed!AZ90-CumulativeRecovered!AZ90-CumulativeDead!AZ90</f>
        <v>1</v>
      </c>
      <c r="BA90">
        <f>CumulativeConfirmed!BA90-CumulativeRecovered!BA90-CumulativeDead!BA90</f>
        <v>5</v>
      </c>
      <c r="BB90">
        <f>CumulativeConfirmed!BB90-CumulativeRecovered!BB90-CumulativeDead!BB90</f>
        <v>9</v>
      </c>
      <c r="BC90">
        <f>CumulativeConfirmed!BC90-CumulativeRecovered!BC90-CumulativeDead!BC90</f>
        <v>17</v>
      </c>
      <c r="BD90">
        <f>CumulativeConfirmed!BD90-CumulativeRecovered!BD90-CumulativeDead!BD90</f>
        <v>27</v>
      </c>
      <c r="BE90">
        <f>CumulativeConfirmed!BE90-CumulativeRecovered!BE90-CumulativeDead!BE90</f>
        <v>43</v>
      </c>
      <c r="BF90">
        <f>CumulativeConfirmed!BF90-CumulativeRecovered!BF90-CumulativeDead!BF90</f>
        <v>50</v>
      </c>
      <c r="BG90">
        <f>CumulativeConfirmed!BG90-CumulativeRecovered!BG90-CumulativeDead!BG90</f>
        <v>57</v>
      </c>
      <c r="BH90">
        <f>CumulativeConfirmed!BH90-CumulativeRecovered!BH90-CumulativeDead!BH90</f>
        <v>70</v>
      </c>
      <c r="BI90">
        <f>CumulativeConfirmed!BI90-CumulativeRecovered!BI90-CumulativeDead!BI90</f>
        <v>0</v>
      </c>
      <c r="BJ90">
        <f>CumulativeConfirmed!BJ90-CumulativeRecovered!BJ90-CumulativeDead!BJ90</f>
        <v>0</v>
      </c>
      <c r="BK90">
        <f>CumulativeConfirmed!BK90-CumulativeRecovered!BK90-CumulativeDead!BK90</f>
        <v>0</v>
      </c>
      <c r="BL90">
        <f>CumulativeConfirmed!BL90-CumulativeRecovered!BL90-CumulativeDead!BL90</f>
        <v>0</v>
      </c>
      <c r="BM90">
        <f>CumulativeConfirmed!BM90-CumulativeRecovered!BM90-CumulativeDead!BM90</f>
        <v>0</v>
      </c>
      <c r="BN90">
        <f>CumulativeConfirmed!BN90-CumulativeRecovered!BN90-CumulativeDead!BN90</f>
        <v>0</v>
      </c>
      <c r="BO90">
        <f>CumulativeConfirmed!BO90-CumulativeRecovered!BO90-CumulativeDead!BO90</f>
        <v>0</v>
      </c>
      <c r="BP90">
        <f>CumulativeConfirmed!BP90-CumulativeRecovered!BP90-CumulativeDead!BP90</f>
        <v>0</v>
      </c>
      <c r="BQ90">
        <f>CumulativeConfirmed!BQ90-CumulativeRecovered!BQ90-CumulativeDead!BQ90</f>
        <v>0</v>
      </c>
      <c r="BR90">
        <f>CumulativeConfirmed!BR90-CumulativeRecovered!BR90-CumulativeDead!BR90</f>
        <v>0</v>
      </c>
      <c r="BS90">
        <f>CumulativeConfirmed!BS90-CumulativeRecovered!BS90-CumulativeDead!BS90</f>
        <v>0</v>
      </c>
      <c r="BT90">
        <f>CumulativeConfirmed!BT90-CumulativeRecovered!BT90-CumulativeDead!BT90</f>
        <v>0</v>
      </c>
    </row>
    <row r="91" spans="1:72" ht="15" thickBot="1" x14ac:dyDescent="0.35">
      <c r="A91" s="4" t="s">
        <v>51</v>
      </c>
      <c r="B91">
        <f>CumulativeConfirmed!B91-CumulativeRecovered!B91-CumulativeDead!B91</f>
        <v>0</v>
      </c>
      <c r="C91">
        <f>CumulativeConfirmed!C91-CumulativeRecovered!C91-CumulativeDead!C91</f>
        <v>0</v>
      </c>
      <c r="D91">
        <f>CumulativeConfirmed!D91-CumulativeRecovered!D91-CumulativeDead!D91</f>
        <v>0</v>
      </c>
      <c r="E91">
        <f>CumulativeConfirmed!E91-CumulativeRecovered!E91-CumulativeDead!E91</f>
        <v>0</v>
      </c>
      <c r="F91">
        <f>CumulativeConfirmed!F91-CumulativeRecovered!F91-CumulativeDead!F91</f>
        <v>0</v>
      </c>
      <c r="G91">
        <f>CumulativeConfirmed!G91-CumulativeRecovered!G91-CumulativeDead!G91</f>
        <v>1</v>
      </c>
      <c r="H91">
        <f>CumulativeConfirmed!H91-CumulativeRecovered!H91-CumulativeDead!H91</f>
        <v>1</v>
      </c>
      <c r="I91">
        <f>CumulativeConfirmed!I91-CumulativeRecovered!I91-CumulativeDead!I91</f>
        <v>1</v>
      </c>
      <c r="J91">
        <f>CumulativeConfirmed!J91-CumulativeRecovered!J91-CumulativeDead!J91</f>
        <v>1</v>
      </c>
      <c r="K91">
        <f>CumulativeConfirmed!K91-CumulativeRecovered!K91-CumulativeDead!K91</f>
        <v>1</v>
      </c>
      <c r="L91">
        <f>CumulativeConfirmed!L91-CumulativeRecovered!L91-CumulativeDead!L91</f>
        <v>1</v>
      </c>
      <c r="M91">
        <f>CumulativeConfirmed!M91-CumulativeRecovered!M91-CumulativeDead!M91</f>
        <v>1</v>
      </c>
      <c r="N91">
        <f>CumulativeConfirmed!N91-CumulativeRecovered!N91-CumulativeDead!N91</f>
        <v>1</v>
      </c>
      <c r="O91">
        <f>CumulativeConfirmed!O91-CumulativeRecovered!O91-CumulativeDead!O91</f>
        <v>1</v>
      </c>
      <c r="P91">
        <f>CumulativeConfirmed!P91-CumulativeRecovered!P91-CumulativeDead!P91</f>
        <v>1</v>
      </c>
      <c r="Q91">
        <f>CumulativeConfirmed!Q91-CumulativeRecovered!Q91-CumulativeDead!Q91</f>
        <v>1</v>
      </c>
      <c r="R91">
        <f>CumulativeConfirmed!R91-CumulativeRecovered!R91-CumulativeDead!R91</f>
        <v>1</v>
      </c>
      <c r="S91">
        <f>CumulativeConfirmed!S91-CumulativeRecovered!S91-CumulativeDead!S91</f>
        <v>1</v>
      </c>
      <c r="T91">
        <f>CumulativeConfirmed!T91-CumulativeRecovered!T91-CumulativeDead!T91</f>
        <v>1</v>
      </c>
      <c r="U91">
        <f>CumulativeConfirmed!U91-CumulativeRecovered!U91-CumulativeDead!U91</f>
        <v>1</v>
      </c>
      <c r="V91">
        <f>CumulativeConfirmed!V91-CumulativeRecovered!V91-CumulativeDead!V91</f>
        <v>1</v>
      </c>
      <c r="W91">
        <f>CumulativeConfirmed!W91-CumulativeRecovered!W91-CumulativeDead!W91</f>
        <v>0</v>
      </c>
      <c r="X91">
        <f>CumulativeConfirmed!X91-CumulativeRecovered!X91-CumulativeDead!X91</f>
        <v>0</v>
      </c>
      <c r="Y91">
        <f>CumulativeConfirmed!Y91-CumulativeRecovered!Y91-CumulativeDead!Y91</f>
        <v>0</v>
      </c>
      <c r="Z91">
        <f>CumulativeConfirmed!Z91-CumulativeRecovered!Z91-CumulativeDead!Z91</f>
        <v>0</v>
      </c>
      <c r="AA91">
        <f>CumulativeConfirmed!AA91-CumulativeRecovered!AA91-CumulativeDead!AA91</f>
        <v>0</v>
      </c>
      <c r="AB91">
        <f>CumulativeConfirmed!AB91-CumulativeRecovered!AB91-CumulativeDead!AB91</f>
        <v>0</v>
      </c>
      <c r="AC91">
        <f>CumulativeConfirmed!AC91-CumulativeRecovered!AC91-CumulativeDead!AC91</f>
        <v>0</v>
      </c>
      <c r="AD91">
        <f>CumulativeConfirmed!AD91-CumulativeRecovered!AD91-CumulativeDead!AD91</f>
        <v>0</v>
      </c>
      <c r="AE91">
        <f>CumulativeConfirmed!AE91-CumulativeRecovered!AE91-CumulativeDead!AE91</f>
        <v>0</v>
      </c>
      <c r="AF91">
        <f>CumulativeConfirmed!AF91-CumulativeRecovered!AF91-CumulativeDead!AF91</f>
        <v>0</v>
      </c>
      <c r="AG91">
        <f>CumulativeConfirmed!AG91-CumulativeRecovered!AG91-CumulativeDead!AG91</f>
        <v>0</v>
      </c>
      <c r="AH91">
        <f>CumulativeConfirmed!AH91-CumulativeRecovered!AH91-CumulativeDead!AH91</f>
        <v>0</v>
      </c>
      <c r="AI91">
        <f>CumulativeConfirmed!AI91-CumulativeRecovered!AI91-CumulativeDead!AI91</f>
        <v>0</v>
      </c>
      <c r="AJ91">
        <f>CumulativeConfirmed!AJ91-CumulativeRecovered!AJ91-CumulativeDead!AJ91</f>
        <v>0</v>
      </c>
      <c r="AK91">
        <f>CumulativeConfirmed!AK91-CumulativeRecovered!AK91-CumulativeDead!AK91</f>
        <v>0</v>
      </c>
      <c r="AL91">
        <f>CumulativeConfirmed!AL91-CumulativeRecovered!AL91-CumulativeDead!AL91</f>
        <v>0</v>
      </c>
      <c r="AM91">
        <f>CumulativeConfirmed!AM91-CumulativeRecovered!AM91-CumulativeDead!AM91</f>
        <v>0</v>
      </c>
      <c r="AN91">
        <f>CumulativeConfirmed!AN91-CumulativeRecovered!AN91-CumulativeDead!AN91</f>
        <v>0</v>
      </c>
      <c r="AO91">
        <f>CumulativeConfirmed!AO91-CumulativeRecovered!AO91-CumulativeDead!AO91</f>
        <v>0</v>
      </c>
      <c r="AP91">
        <f>CumulativeConfirmed!AP91-CumulativeRecovered!AP91-CumulativeDead!AP91</f>
        <v>0</v>
      </c>
      <c r="AQ91">
        <f>CumulativeConfirmed!AQ91-CumulativeRecovered!AQ91-CumulativeDead!AQ91</f>
        <v>0</v>
      </c>
      <c r="AR91">
        <f>CumulativeConfirmed!AR91-CumulativeRecovered!AR91-CumulativeDead!AR91</f>
        <v>0</v>
      </c>
      <c r="AS91">
        <f>CumulativeConfirmed!AS91-CumulativeRecovered!AS91-CumulativeDead!AS91</f>
        <v>0</v>
      </c>
      <c r="AT91">
        <f>CumulativeConfirmed!AT91-CumulativeRecovered!AT91-CumulativeDead!AT91</f>
        <v>0</v>
      </c>
      <c r="AU91">
        <f>CumulativeConfirmed!AU91-CumulativeRecovered!AU91-CumulativeDead!AU91</f>
        <v>0</v>
      </c>
      <c r="AV91">
        <f>CumulativeConfirmed!AV91-CumulativeRecovered!AV91-CumulativeDead!AV91</f>
        <v>1</v>
      </c>
      <c r="AW91">
        <f>CumulativeConfirmed!AW91-CumulativeRecovered!AW91-CumulativeDead!AW91</f>
        <v>1</v>
      </c>
      <c r="AX91">
        <f>CumulativeConfirmed!AX91-CumulativeRecovered!AX91-CumulativeDead!AX91</f>
        <v>1</v>
      </c>
      <c r="AY91">
        <f>CumulativeConfirmed!AY91-CumulativeRecovered!AY91-CumulativeDead!AY91</f>
        <v>2</v>
      </c>
      <c r="AZ91">
        <f>CumulativeConfirmed!AZ91-CumulativeRecovered!AZ91-CumulativeDead!AZ91</f>
        <v>2</v>
      </c>
      <c r="BA91">
        <f>CumulativeConfirmed!BA91-CumulativeRecovered!BA91-CumulativeDead!BA91</f>
        <v>4</v>
      </c>
      <c r="BB91">
        <f>CumulativeConfirmed!BB91-CumulativeRecovered!BB91-CumulativeDead!BB91</f>
        <v>6</v>
      </c>
      <c r="BC91">
        <f>CumulativeConfirmed!BC91-CumulativeRecovered!BC91-CumulativeDead!BC91</f>
        <v>6</v>
      </c>
      <c r="BD91">
        <f>CumulativeConfirmed!BD91-CumulativeRecovered!BD91-CumulativeDead!BD91</f>
        <v>6</v>
      </c>
      <c r="BE91">
        <f>CumulativeConfirmed!BE91-CumulativeRecovered!BE91-CumulativeDead!BE91</f>
        <v>32</v>
      </c>
      <c r="BF91">
        <f>CumulativeConfirmed!BF91-CumulativeRecovered!BF91-CumulativeDead!BF91</f>
        <v>34</v>
      </c>
      <c r="BG91">
        <f>CumulativeConfirmed!BG91-CumulativeRecovered!BG91-CumulativeDead!BG91</f>
        <v>36</v>
      </c>
      <c r="BH91">
        <f>CumulativeConfirmed!BH91-CumulativeRecovered!BH91-CumulativeDead!BH91</f>
        <v>50</v>
      </c>
      <c r="BI91">
        <f>CumulativeConfirmed!BI91-CumulativeRecovered!BI91-CumulativeDead!BI91</f>
        <v>0</v>
      </c>
      <c r="BJ91">
        <f>CumulativeConfirmed!BJ91-CumulativeRecovered!BJ91-CumulativeDead!BJ91</f>
        <v>0</v>
      </c>
      <c r="BK91">
        <f>CumulativeConfirmed!BK91-CumulativeRecovered!BK91-CumulativeDead!BK91</f>
        <v>0</v>
      </c>
      <c r="BL91">
        <f>CumulativeConfirmed!BL91-CumulativeRecovered!BL91-CumulativeDead!BL91</f>
        <v>0</v>
      </c>
      <c r="BM91">
        <f>CumulativeConfirmed!BM91-CumulativeRecovered!BM91-CumulativeDead!BM91</f>
        <v>0</v>
      </c>
      <c r="BN91">
        <f>CumulativeConfirmed!BN91-CumulativeRecovered!BN91-CumulativeDead!BN91</f>
        <v>0</v>
      </c>
      <c r="BO91">
        <f>CumulativeConfirmed!BO91-CumulativeRecovered!BO91-CumulativeDead!BO91</f>
        <v>0</v>
      </c>
      <c r="BP91">
        <f>CumulativeConfirmed!BP91-CumulativeRecovered!BP91-CumulativeDead!BP91</f>
        <v>0</v>
      </c>
      <c r="BQ91">
        <f>CumulativeConfirmed!BQ91-CumulativeRecovered!BQ91-CumulativeDead!BQ91</f>
        <v>0</v>
      </c>
      <c r="BR91">
        <f>CumulativeConfirmed!BR91-CumulativeRecovered!BR91-CumulativeDead!BR91</f>
        <v>0</v>
      </c>
      <c r="BS91">
        <f>CumulativeConfirmed!BS91-CumulativeRecovered!BS91-CumulativeDead!BS91</f>
        <v>0</v>
      </c>
      <c r="BT91">
        <f>CumulativeConfirmed!BT91-CumulativeRecovered!BT91-CumulativeDead!BT91</f>
        <v>0</v>
      </c>
    </row>
    <row r="92" spans="1:72" ht="15" thickBot="1" x14ac:dyDescent="0.35">
      <c r="A92" s="3" t="s">
        <v>106</v>
      </c>
      <c r="B92">
        <f>CumulativeConfirmed!B92-CumulativeRecovered!B92-CumulativeDead!B92</f>
        <v>0</v>
      </c>
      <c r="C92">
        <f>CumulativeConfirmed!C92-CumulativeRecovered!C92-CumulativeDead!C92</f>
        <v>0</v>
      </c>
      <c r="D92">
        <f>CumulativeConfirmed!D92-CumulativeRecovered!D92-CumulativeDead!D92</f>
        <v>0</v>
      </c>
      <c r="E92">
        <f>CumulativeConfirmed!E92-CumulativeRecovered!E92-CumulativeDead!E92</f>
        <v>0</v>
      </c>
      <c r="F92">
        <f>CumulativeConfirmed!F92-CumulativeRecovered!F92-CumulativeDead!F92</f>
        <v>0</v>
      </c>
      <c r="G92">
        <f>CumulativeConfirmed!G92-CumulativeRecovered!G92-CumulativeDead!G92</f>
        <v>0</v>
      </c>
      <c r="H92">
        <f>CumulativeConfirmed!H92-CumulativeRecovered!H92-CumulativeDead!H92</f>
        <v>0</v>
      </c>
      <c r="I92">
        <f>CumulativeConfirmed!I92-CumulativeRecovered!I92-CumulativeDead!I92</f>
        <v>0</v>
      </c>
      <c r="J92">
        <f>CumulativeConfirmed!J92-CumulativeRecovered!J92-CumulativeDead!J92</f>
        <v>0</v>
      </c>
      <c r="K92">
        <f>CumulativeConfirmed!K92-CumulativeRecovered!K92-CumulativeDead!K92</f>
        <v>0</v>
      </c>
      <c r="L92">
        <f>CumulativeConfirmed!L92-CumulativeRecovered!L92-CumulativeDead!L92</f>
        <v>0</v>
      </c>
      <c r="M92">
        <f>CumulativeConfirmed!M92-CumulativeRecovered!M92-CumulativeDead!M92</f>
        <v>0</v>
      </c>
      <c r="N92">
        <f>CumulativeConfirmed!N92-CumulativeRecovered!N92-CumulativeDead!N92</f>
        <v>0</v>
      </c>
      <c r="O92">
        <f>CumulativeConfirmed!O92-CumulativeRecovered!O92-CumulativeDead!O92</f>
        <v>0</v>
      </c>
      <c r="P92">
        <f>CumulativeConfirmed!P92-CumulativeRecovered!P92-CumulativeDead!P92</f>
        <v>0</v>
      </c>
      <c r="Q92">
        <f>CumulativeConfirmed!Q92-CumulativeRecovered!Q92-CumulativeDead!Q92</f>
        <v>0</v>
      </c>
      <c r="R92">
        <f>CumulativeConfirmed!R92-CumulativeRecovered!R92-CumulativeDead!R92</f>
        <v>0</v>
      </c>
      <c r="S92">
        <f>CumulativeConfirmed!S92-CumulativeRecovered!S92-CumulativeDead!S92</f>
        <v>0</v>
      </c>
      <c r="T92">
        <f>CumulativeConfirmed!T92-CumulativeRecovered!T92-CumulativeDead!T92</f>
        <v>0</v>
      </c>
      <c r="U92">
        <f>CumulativeConfirmed!U92-CumulativeRecovered!U92-CumulativeDead!U92</f>
        <v>0</v>
      </c>
      <c r="V92">
        <f>CumulativeConfirmed!V92-CumulativeRecovered!V92-CumulativeDead!V92</f>
        <v>0</v>
      </c>
      <c r="W92">
        <f>CumulativeConfirmed!W92-CumulativeRecovered!W92-CumulativeDead!W92</f>
        <v>0</v>
      </c>
      <c r="X92">
        <f>CumulativeConfirmed!X92-CumulativeRecovered!X92-CumulativeDead!X92</f>
        <v>0</v>
      </c>
      <c r="Y92">
        <f>CumulativeConfirmed!Y92-CumulativeRecovered!Y92-CumulativeDead!Y92</f>
        <v>0</v>
      </c>
      <c r="Z92">
        <f>CumulativeConfirmed!Z92-CumulativeRecovered!Z92-CumulativeDead!Z92</f>
        <v>0</v>
      </c>
      <c r="AA92">
        <f>CumulativeConfirmed!AA92-CumulativeRecovered!AA92-CumulativeDead!AA92</f>
        <v>0</v>
      </c>
      <c r="AB92">
        <f>CumulativeConfirmed!AB92-CumulativeRecovered!AB92-CumulativeDead!AB92</f>
        <v>0</v>
      </c>
      <c r="AC92">
        <f>CumulativeConfirmed!AC92-CumulativeRecovered!AC92-CumulativeDead!AC92</f>
        <v>0</v>
      </c>
      <c r="AD92">
        <f>CumulativeConfirmed!AD92-CumulativeRecovered!AD92-CumulativeDead!AD92</f>
        <v>0</v>
      </c>
      <c r="AE92">
        <f>CumulativeConfirmed!AE92-CumulativeRecovered!AE92-CumulativeDead!AE92</f>
        <v>0</v>
      </c>
      <c r="AF92">
        <f>CumulativeConfirmed!AF92-CumulativeRecovered!AF92-CumulativeDead!AF92</f>
        <v>0</v>
      </c>
      <c r="AG92">
        <f>CumulativeConfirmed!AG92-CumulativeRecovered!AG92-CumulativeDead!AG92</f>
        <v>0</v>
      </c>
      <c r="AH92">
        <f>CumulativeConfirmed!AH92-CumulativeRecovered!AH92-CumulativeDead!AH92</f>
        <v>0</v>
      </c>
      <c r="AI92">
        <f>CumulativeConfirmed!AI92-CumulativeRecovered!AI92-CumulativeDead!AI92</f>
        <v>0</v>
      </c>
      <c r="AJ92">
        <f>CumulativeConfirmed!AJ92-CumulativeRecovered!AJ92-CumulativeDead!AJ92</f>
        <v>0</v>
      </c>
      <c r="AK92">
        <f>CumulativeConfirmed!AK92-CumulativeRecovered!AK92-CumulativeDead!AK92</f>
        <v>0</v>
      </c>
      <c r="AL92">
        <f>CumulativeConfirmed!AL92-CumulativeRecovered!AL92-CumulativeDead!AL92</f>
        <v>0</v>
      </c>
      <c r="AM92">
        <f>CumulativeConfirmed!AM92-CumulativeRecovered!AM92-CumulativeDead!AM92</f>
        <v>0</v>
      </c>
      <c r="AN92">
        <f>CumulativeConfirmed!AN92-CumulativeRecovered!AN92-CumulativeDead!AN92</f>
        <v>0</v>
      </c>
      <c r="AO92">
        <f>CumulativeConfirmed!AO92-CumulativeRecovered!AO92-CumulativeDead!AO92</f>
        <v>1</v>
      </c>
      <c r="AP92">
        <f>CumulativeConfirmed!AP92-CumulativeRecovered!AP92-CumulativeDead!AP92</f>
        <v>1</v>
      </c>
      <c r="AQ92">
        <f>CumulativeConfirmed!AQ92-CumulativeRecovered!AQ92-CumulativeDead!AQ92</f>
        <v>1</v>
      </c>
      <c r="AR92">
        <f>CumulativeConfirmed!AR92-CumulativeRecovered!AR92-CumulativeDead!AR92</f>
        <v>1</v>
      </c>
      <c r="AS92">
        <f>CumulativeConfirmed!AS92-CumulativeRecovered!AS92-CumulativeDead!AS92</f>
        <v>1</v>
      </c>
      <c r="AT92">
        <f>CumulativeConfirmed!AT92-CumulativeRecovered!AT92-CumulativeDead!AT92</f>
        <v>2</v>
      </c>
      <c r="AU92">
        <f>CumulativeConfirmed!AU92-CumulativeRecovered!AU92-CumulativeDead!AU92</f>
        <v>2</v>
      </c>
      <c r="AV92">
        <f>CumulativeConfirmed!AV92-CumulativeRecovered!AV92-CumulativeDead!AV92</f>
        <v>5</v>
      </c>
      <c r="AW92">
        <f>CumulativeConfirmed!AW92-CumulativeRecovered!AW92-CumulativeDead!AW92</f>
        <v>5</v>
      </c>
      <c r="AX92">
        <f>CumulativeConfirmed!AX92-CumulativeRecovered!AX92-CumulativeDead!AX92</f>
        <v>5</v>
      </c>
      <c r="AY92">
        <f>CumulativeConfirmed!AY92-CumulativeRecovered!AY92-CumulativeDead!AY92</f>
        <v>5</v>
      </c>
      <c r="AZ92">
        <f>CumulativeConfirmed!AZ92-CumulativeRecovered!AZ92-CumulativeDead!AZ92</f>
        <v>5</v>
      </c>
      <c r="BA92">
        <f>CumulativeConfirmed!BA92-CumulativeRecovered!BA92-CumulativeDead!BA92</f>
        <v>5</v>
      </c>
      <c r="BB92">
        <f>CumulativeConfirmed!BB92-CumulativeRecovered!BB92-CumulativeDead!BB92</f>
        <v>11</v>
      </c>
      <c r="BC92">
        <f>CumulativeConfirmed!BC92-CumulativeRecovered!BC92-CumulativeDead!BC92</f>
        <v>11</v>
      </c>
      <c r="BD92">
        <f>CumulativeConfirmed!BD92-CumulativeRecovered!BD92-CumulativeDead!BD92</f>
        <v>11</v>
      </c>
      <c r="BE92">
        <f>CumulativeConfirmed!BE92-CumulativeRecovered!BE92-CumulativeDead!BE92</f>
        <v>20</v>
      </c>
      <c r="BF92">
        <f>CumulativeConfirmed!BF92-CumulativeRecovered!BF92-CumulativeDead!BF92</f>
        <v>20</v>
      </c>
      <c r="BG92">
        <f>CumulativeConfirmed!BG92-CumulativeRecovered!BG92-CumulativeDead!BG92</f>
        <v>32</v>
      </c>
      <c r="BH92">
        <f>CumulativeConfirmed!BH92-CumulativeRecovered!BH92-CumulativeDead!BH92</f>
        <v>70</v>
      </c>
      <c r="BI92">
        <f>CumulativeConfirmed!BI92-CumulativeRecovered!BI92-CumulativeDead!BI92</f>
        <v>0</v>
      </c>
      <c r="BJ92">
        <f>CumulativeConfirmed!BJ92-CumulativeRecovered!BJ92-CumulativeDead!BJ92</f>
        <v>0</v>
      </c>
      <c r="BK92">
        <f>CumulativeConfirmed!BK92-CumulativeRecovered!BK92-CumulativeDead!BK92</f>
        <v>0</v>
      </c>
      <c r="BL92">
        <f>CumulativeConfirmed!BL92-CumulativeRecovered!BL92-CumulativeDead!BL92</f>
        <v>0</v>
      </c>
      <c r="BM92">
        <f>CumulativeConfirmed!BM92-CumulativeRecovered!BM92-CumulativeDead!BM92</f>
        <v>0</v>
      </c>
      <c r="BN92">
        <f>CumulativeConfirmed!BN92-CumulativeRecovered!BN92-CumulativeDead!BN92</f>
        <v>0</v>
      </c>
      <c r="BO92">
        <f>CumulativeConfirmed!BO92-CumulativeRecovered!BO92-CumulativeDead!BO92</f>
        <v>0</v>
      </c>
      <c r="BP92">
        <f>CumulativeConfirmed!BP92-CumulativeRecovered!BP92-CumulativeDead!BP92</f>
        <v>0</v>
      </c>
      <c r="BQ92">
        <f>CumulativeConfirmed!BQ92-CumulativeRecovered!BQ92-CumulativeDead!BQ92</f>
        <v>0</v>
      </c>
      <c r="BR92">
        <f>CumulativeConfirmed!BR92-CumulativeRecovered!BR92-CumulativeDead!BR92</f>
        <v>0</v>
      </c>
      <c r="BS92">
        <f>CumulativeConfirmed!BS92-CumulativeRecovered!BS92-CumulativeDead!BS92</f>
        <v>0</v>
      </c>
      <c r="BT92">
        <f>CumulativeConfirmed!BT92-CumulativeRecovered!BT92-CumulativeDead!BT92</f>
        <v>0</v>
      </c>
    </row>
    <row r="93" spans="1:72" ht="15" thickBot="1" x14ac:dyDescent="0.35">
      <c r="A93" s="4" t="s">
        <v>176</v>
      </c>
      <c r="B93">
        <f>CumulativeConfirmed!B93-CumulativeRecovered!B93-CumulativeDead!B93</f>
        <v>0</v>
      </c>
      <c r="C93">
        <f>CumulativeConfirmed!C93-CumulativeRecovered!C93-CumulativeDead!C93</f>
        <v>0</v>
      </c>
      <c r="D93">
        <f>CumulativeConfirmed!D93-CumulativeRecovered!D93-CumulativeDead!D93</f>
        <v>0</v>
      </c>
      <c r="E93">
        <f>CumulativeConfirmed!E93-CumulativeRecovered!E93-CumulativeDead!E93</f>
        <v>0</v>
      </c>
      <c r="F93">
        <f>CumulativeConfirmed!F93-CumulativeRecovered!F93-CumulativeDead!F93</f>
        <v>0</v>
      </c>
      <c r="G93">
        <f>CumulativeConfirmed!G93-CumulativeRecovered!G93-CumulativeDead!G93</f>
        <v>0</v>
      </c>
      <c r="H93">
        <f>CumulativeConfirmed!H93-CumulativeRecovered!H93-CumulativeDead!H93</f>
        <v>0</v>
      </c>
      <c r="I93">
        <f>CumulativeConfirmed!I93-CumulativeRecovered!I93-CumulativeDead!I93</f>
        <v>0</v>
      </c>
      <c r="J93">
        <f>CumulativeConfirmed!J93-CumulativeRecovered!J93-CumulativeDead!J93</f>
        <v>0</v>
      </c>
      <c r="K93">
        <f>CumulativeConfirmed!K93-CumulativeRecovered!K93-CumulativeDead!K93</f>
        <v>0</v>
      </c>
      <c r="L93">
        <f>CumulativeConfirmed!L93-CumulativeRecovered!L93-CumulativeDead!L93</f>
        <v>0</v>
      </c>
      <c r="M93">
        <f>CumulativeConfirmed!M93-CumulativeRecovered!M93-CumulativeDead!M93</f>
        <v>0</v>
      </c>
      <c r="N93">
        <f>CumulativeConfirmed!N93-CumulativeRecovered!N93-CumulativeDead!N93</f>
        <v>0</v>
      </c>
      <c r="O93">
        <f>CumulativeConfirmed!O93-CumulativeRecovered!O93-CumulativeDead!O93</f>
        <v>0</v>
      </c>
      <c r="P93">
        <f>CumulativeConfirmed!P93-CumulativeRecovered!P93-CumulativeDead!P93</f>
        <v>0</v>
      </c>
      <c r="Q93">
        <f>CumulativeConfirmed!Q93-CumulativeRecovered!Q93-CumulativeDead!Q93</f>
        <v>0</v>
      </c>
      <c r="R93">
        <f>CumulativeConfirmed!R93-CumulativeRecovered!R93-CumulativeDead!R93</f>
        <v>0</v>
      </c>
      <c r="S93">
        <f>CumulativeConfirmed!S93-CumulativeRecovered!S93-CumulativeDead!S93</f>
        <v>0</v>
      </c>
      <c r="T93">
        <f>CumulativeConfirmed!T93-CumulativeRecovered!T93-CumulativeDead!T93</f>
        <v>0</v>
      </c>
      <c r="U93">
        <f>CumulativeConfirmed!U93-CumulativeRecovered!U93-CumulativeDead!U93</f>
        <v>0</v>
      </c>
      <c r="V93">
        <f>CumulativeConfirmed!V93-CumulativeRecovered!V93-CumulativeDead!V93</f>
        <v>0</v>
      </c>
      <c r="W93">
        <f>CumulativeConfirmed!W93-CumulativeRecovered!W93-CumulativeDead!W93</f>
        <v>0</v>
      </c>
      <c r="X93">
        <f>CumulativeConfirmed!X93-CumulativeRecovered!X93-CumulativeDead!X93</f>
        <v>0</v>
      </c>
      <c r="Y93">
        <f>CumulativeConfirmed!Y93-CumulativeRecovered!Y93-CumulativeDead!Y93</f>
        <v>0</v>
      </c>
      <c r="Z93">
        <f>CumulativeConfirmed!Z93-CumulativeRecovered!Z93-CumulativeDead!Z93</f>
        <v>0</v>
      </c>
      <c r="AA93">
        <f>CumulativeConfirmed!AA93-CumulativeRecovered!AA93-CumulativeDead!AA93</f>
        <v>0</v>
      </c>
      <c r="AB93">
        <f>CumulativeConfirmed!AB93-CumulativeRecovered!AB93-CumulativeDead!AB93</f>
        <v>0</v>
      </c>
      <c r="AC93">
        <f>CumulativeConfirmed!AC93-CumulativeRecovered!AC93-CumulativeDead!AC93</f>
        <v>0</v>
      </c>
      <c r="AD93">
        <f>CumulativeConfirmed!AD93-CumulativeRecovered!AD93-CumulativeDead!AD93</f>
        <v>0</v>
      </c>
      <c r="AE93">
        <f>CumulativeConfirmed!AE93-CumulativeRecovered!AE93-CumulativeDead!AE93</f>
        <v>0</v>
      </c>
      <c r="AF93">
        <f>CumulativeConfirmed!AF93-CumulativeRecovered!AF93-CumulativeDead!AF93</f>
        <v>0</v>
      </c>
      <c r="AG93">
        <f>CumulativeConfirmed!AG93-CumulativeRecovered!AG93-CumulativeDead!AG93</f>
        <v>0</v>
      </c>
      <c r="AH93">
        <f>CumulativeConfirmed!AH93-CumulativeRecovered!AH93-CumulativeDead!AH93</f>
        <v>0</v>
      </c>
      <c r="AI93">
        <f>CumulativeConfirmed!AI93-CumulativeRecovered!AI93-CumulativeDead!AI93</f>
        <v>0</v>
      </c>
      <c r="AJ93">
        <f>CumulativeConfirmed!AJ93-CumulativeRecovered!AJ93-CumulativeDead!AJ93</f>
        <v>0</v>
      </c>
      <c r="AK93">
        <f>CumulativeConfirmed!AK93-CumulativeRecovered!AK93-CumulativeDead!AK93</f>
        <v>0</v>
      </c>
      <c r="AL93">
        <f>CumulativeConfirmed!AL93-CumulativeRecovered!AL93-CumulativeDead!AL93</f>
        <v>0</v>
      </c>
      <c r="AM93">
        <f>CumulativeConfirmed!AM93-CumulativeRecovered!AM93-CumulativeDead!AM93</f>
        <v>0</v>
      </c>
      <c r="AN93">
        <f>CumulativeConfirmed!AN93-CumulativeRecovered!AN93-CumulativeDead!AN93</f>
        <v>0</v>
      </c>
      <c r="AO93">
        <f>CumulativeConfirmed!AO93-CumulativeRecovered!AO93-CumulativeDead!AO93</f>
        <v>0</v>
      </c>
      <c r="AP93">
        <f>CumulativeConfirmed!AP93-CumulativeRecovered!AP93-CumulativeDead!AP93</f>
        <v>0</v>
      </c>
      <c r="AQ93">
        <f>CumulativeConfirmed!AQ93-CumulativeRecovered!AQ93-CumulativeDead!AQ93</f>
        <v>0</v>
      </c>
      <c r="AR93">
        <f>CumulativeConfirmed!AR93-CumulativeRecovered!AR93-CumulativeDead!AR93</f>
        <v>0</v>
      </c>
      <c r="AS93">
        <f>CumulativeConfirmed!AS93-CumulativeRecovered!AS93-CumulativeDead!AS93</f>
        <v>0</v>
      </c>
      <c r="AT93">
        <f>CumulativeConfirmed!AT93-CumulativeRecovered!AT93-CumulativeDead!AT93</f>
        <v>0</v>
      </c>
      <c r="AU93">
        <f>CumulativeConfirmed!AU93-CumulativeRecovered!AU93-CumulativeDead!AU93</f>
        <v>0</v>
      </c>
      <c r="AV93">
        <f>CumulativeConfirmed!AV93-CumulativeRecovered!AV93-CumulativeDead!AV93</f>
        <v>0</v>
      </c>
      <c r="AW93">
        <f>CumulativeConfirmed!AW93-CumulativeRecovered!AW93-CumulativeDead!AW93</f>
        <v>0</v>
      </c>
      <c r="AX93">
        <f>CumulativeConfirmed!AX93-CumulativeRecovered!AX93-CumulativeDead!AX93</f>
        <v>0</v>
      </c>
      <c r="AY93">
        <f>CumulativeConfirmed!AY93-CumulativeRecovered!AY93-CumulativeDead!AY93</f>
        <v>0</v>
      </c>
      <c r="AZ93">
        <f>CumulativeConfirmed!AZ93-CumulativeRecovered!AZ93-CumulativeDead!AZ93</f>
        <v>0</v>
      </c>
      <c r="BA93">
        <f>CumulativeConfirmed!BA93-CumulativeRecovered!BA93-CumulativeDead!BA93</f>
        <v>0</v>
      </c>
      <c r="BB93">
        <f>CumulativeConfirmed!BB93-CumulativeRecovered!BB93-CumulativeDead!BB93</f>
        <v>0</v>
      </c>
      <c r="BC93">
        <f>CumulativeConfirmed!BC93-CumulativeRecovered!BC93-CumulativeDead!BC93</f>
        <v>0</v>
      </c>
      <c r="BD93">
        <f>CumulativeConfirmed!BD93-CumulativeRecovered!BD93-CumulativeDead!BD93</f>
        <v>0</v>
      </c>
      <c r="BE93">
        <f>CumulativeConfirmed!BE93-CumulativeRecovered!BE93-CumulativeDead!BE93</f>
        <v>0</v>
      </c>
      <c r="BF93">
        <f>CumulativeConfirmed!BF93-CumulativeRecovered!BF93-CumulativeDead!BF93</f>
        <v>0</v>
      </c>
      <c r="BG93">
        <f>CumulativeConfirmed!BG93-CumulativeRecovered!BG93-CumulativeDead!BG93</f>
        <v>0</v>
      </c>
      <c r="BH93">
        <f>CumulativeConfirmed!BH93-CumulativeRecovered!BH93-CumulativeDead!BH93</f>
        <v>0</v>
      </c>
      <c r="BI93">
        <f>CumulativeConfirmed!BI93-CumulativeRecovered!BI93-CumulativeDead!BI93</f>
        <v>0</v>
      </c>
      <c r="BJ93">
        <f>CumulativeConfirmed!BJ93-CumulativeRecovered!BJ93-CumulativeDead!BJ93</f>
        <v>0</v>
      </c>
      <c r="BK93">
        <f>CumulativeConfirmed!BK93-CumulativeRecovered!BK93-CumulativeDead!BK93</f>
        <v>0</v>
      </c>
      <c r="BL93">
        <f>CumulativeConfirmed!BL93-CumulativeRecovered!BL93-CumulativeDead!BL93</f>
        <v>0</v>
      </c>
      <c r="BM93">
        <f>CumulativeConfirmed!BM93-CumulativeRecovered!BM93-CumulativeDead!BM93</f>
        <v>0</v>
      </c>
      <c r="BN93">
        <f>CumulativeConfirmed!BN93-CumulativeRecovered!BN93-CumulativeDead!BN93</f>
        <v>0</v>
      </c>
      <c r="BO93">
        <f>CumulativeConfirmed!BO93-CumulativeRecovered!BO93-CumulativeDead!BO93</f>
        <v>0</v>
      </c>
      <c r="BP93">
        <f>CumulativeConfirmed!BP93-CumulativeRecovered!BP93-CumulativeDead!BP93</f>
        <v>0</v>
      </c>
      <c r="BQ93">
        <f>CumulativeConfirmed!BQ93-CumulativeRecovered!BQ93-CumulativeDead!BQ93</f>
        <v>0</v>
      </c>
      <c r="BR93">
        <f>CumulativeConfirmed!BR93-CumulativeRecovered!BR93-CumulativeDead!BR93</f>
        <v>0</v>
      </c>
      <c r="BS93">
        <f>CumulativeConfirmed!BS93-CumulativeRecovered!BS93-CumulativeDead!BS93</f>
        <v>0</v>
      </c>
      <c r="BT93">
        <f>CumulativeConfirmed!BT93-CumulativeRecovered!BT93-CumulativeDead!BT93</f>
        <v>0</v>
      </c>
    </row>
    <row r="94" spans="1:72" ht="15" thickBot="1" x14ac:dyDescent="0.35">
      <c r="A94" s="3" t="s">
        <v>95</v>
      </c>
      <c r="B94">
        <f>CumulativeConfirmed!B94-CumulativeRecovered!B94-CumulativeDead!B94</f>
        <v>0</v>
      </c>
      <c r="C94">
        <f>CumulativeConfirmed!C94-CumulativeRecovered!C94-CumulativeDead!C94</f>
        <v>0</v>
      </c>
      <c r="D94">
        <f>CumulativeConfirmed!D94-CumulativeRecovered!D94-CumulativeDead!D94</f>
        <v>0</v>
      </c>
      <c r="E94">
        <f>CumulativeConfirmed!E94-CumulativeRecovered!E94-CumulativeDead!E94</f>
        <v>0</v>
      </c>
      <c r="F94">
        <f>CumulativeConfirmed!F94-CumulativeRecovered!F94-CumulativeDead!F94</f>
        <v>0</v>
      </c>
      <c r="G94">
        <f>CumulativeConfirmed!G94-CumulativeRecovered!G94-CumulativeDead!G94</f>
        <v>0</v>
      </c>
      <c r="H94">
        <f>CumulativeConfirmed!H94-CumulativeRecovered!H94-CumulativeDead!H94</f>
        <v>0</v>
      </c>
      <c r="I94">
        <f>CumulativeConfirmed!I94-CumulativeRecovered!I94-CumulativeDead!I94</f>
        <v>0</v>
      </c>
      <c r="J94">
        <f>CumulativeConfirmed!J94-CumulativeRecovered!J94-CumulativeDead!J94</f>
        <v>0</v>
      </c>
      <c r="K94">
        <f>CumulativeConfirmed!K94-CumulativeRecovered!K94-CumulativeDead!K94</f>
        <v>0</v>
      </c>
      <c r="L94">
        <f>CumulativeConfirmed!L94-CumulativeRecovered!L94-CumulativeDead!L94</f>
        <v>0</v>
      </c>
      <c r="M94">
        <f>CumulativeConfirmed!M94-CumulativeRecovered!M94-CumulativeDead!M94</f>
        <v>0</v>
      </c>
      <c r="N94">
        <f>CumulativeConfirmed!N94-CumulativeRecovered!N94-CumulativeDead!N94</f>
        <v>0</v>
      </c>
      <c r="O94">
        <f>CumulativeConfirmed!O94-CumulativeRecovered!O94-CumulativeDead!O94</f>
        <v>0</v>
      </c>
      <c r="P94">
        <f>CumulativeConfirmed!P94-CumulativeRecovered!P94-CumulativeDead!P94</f>
        <v>0</v>
      </c>
      <c r="Q94">
        <f>CumulativeConfirmed!Q94-CumulativeRecovered!Q94-CumulativeDead!Q94</f>
        <v>0</v>
      </c>
      <c r="R94">
        <f>CumulativeConfirmed!R94-CumulativeRecovered!R94-CumulativeDead!R94</f>
        <v>0</v>
      </c>
      <c r="S94">
        <f>CumulativeConfirmed!S94-CumulativeRecovered!S94-CumulativeDead!S94</f>
        <v>0</v>
      </c>
      <c r="T94">
        <f>CumulativeConfirmed!T94-CumulativeRecovered!T94-CumulativeDead!T94</f>
        <v>0</v>
      </c>
      <c r="U94">
        <f>CumulativeConfirmed!U94-CumulativeRecovered!U94-CumulativeDead!U94</f>
        <v>0</v>
      </c>
      <c r="V94">
        <f>CumulativeConfirmed!V94-CumulativeRecovered!V94-CumulativeDead!V94</f>
        <v>0</v>
      </c>
      <c r="W94">
        <f>CumulativeConfirmed!W94-CumulativeRecovered!W94-CumulativeDead!W94</f>
        <v>0</v>
      </c>
      <c r="X94">
        <f>CumulativeConfirmed!X94-CumulativeRecovered!X94-CumulativeDead!X94</f>
        <v>0</v>
      </c>
      <c r="Y94">
        <f>CumulativeConfirmed!Y94-CumulativeRecovered!Y94-CumulativeDead!Y94</f>
        <v>0</v>
      </c>
      <c r="Z94">
        <f>CumulativeConfirmed!Z94-CumulativeRecovered!Z94-CumulativeDead!Z94</f>
        <v>0</v>
      </c>
      <c r="AA94">
        <f>CumulativeConfirmed!AA94-CumulativeRecovered!AA94-CumulativeDead!AA94</f>
        <v>0</v>
      </c>
      <c r="AB94">
        <f>CumulativeConfirmed!AB94-CumulativeRecovered!AB94-CumulativeDead!AB94</f>
        <v>0</v>
      </c>
      <c r="AC94">
        <f>CumulativeConfirmed!AC94-CumulativeRecovered!AC94-CumulativeDead!AC94</f>
        <v>0</v>
      </c>
      <c r="AD94">
        <f>CumulativeConfirmed!AD94-CumulativeRecovered!AD94-CumulativeDead!AD94</f>
        <v>0</v>
      </c>
      <c r="AE94">
        <f>CumulativeConfirmed!AE94-CumulativeRecovered!AE94-CumulativeDead!AE94</f>
        <v>0</v>
      </c>
      <c r="AF94">
        <f>CumulativeConfirmed!AF94-CumulativeRecovered!AF94-CumulativeDead!AF94</f>
        <v>0</v>
      </c>
      <c r="AG94">
        <f>CumulativeConfirmed!AG94-CumulativeRecovered!AG94-CumulativeDead!AG94</f>
        <v>0</v>
      </c>
      <c r="AH94">
        <f>CumulativeConfirmed!AH94-CumulativeRecovered!AH94-CumulativeDead!AH94</f>
        <v>0</v>
      </c>
      <c r="AI94">
        <f>CumulativeConfirmed!AI94-CumulativeRecovered!AI94-CumulativeDead!AI94</f>
        <v>0</v>
      </c>
      <c r="AJ94">
        <f>CumulativeConfirmed!AJ94-CumulativeRecovered!AJ94-CumulativeDead!AJ94</f>
        <v>0</v>
      </c>
      <c r="AK94">
        <f>CumulativeConfirmed!AK94-CumulativeRecovered!AK94-CumulativeDead!AK94</f>
        <v>0</v>
      </c>
      <c r="AL94">
        <f>CumulativeConfirmed!AL94-CumulativeRecovered!AL94-CumulativeDead!AL94</f>
        <v>0</v>
      </c>
      <c r="AM94">
        <f>CumulativeConfirmed!AM94-CumulativeRecovered!AM94-CumulativeDead!AM94</f>
        <v>1</v>
      </c>
      <c r="AN94">
        <f>CumulativeConfirmed!AN94-CumulativeRecovered!AN94-CumulativeDead!AN94</f>
        <v>1</v>
      </c>
      <c r="AO94">
        <f>CumulativeConfirmed!AO94-CumulativeRecovered!AO94-CumulativeDead!AO94</f>
        <v>1</v>
      </c>
      <c r="AP94">
        <f>CumulativeConfirmed!AP94-CumulativeRecovered!AP94-CumulativeDead!AP94</f>
        <v>1</v>
      </c>
      <c r="AQ94">
        <f>CumulativeConfirmed!AQ94-CumulativeRecovered!AQ94-CumulativeDead!AQ94</f>
        <v>1</v>
      </c>
      <c r="AR94">
        <f>CumulativeConfirmed!AR94-CumulativeRecovered!AR94-CumulativeDead!AR94</f>
        <v>3</v>
      </c>
      <c r="AS94">
        <f>CumulativeConfirmed!AS94-CumulativeRecovered!AS94-CumulativeDead!AS94</f>
        <v>3</v>
      </c>
      <c r="AT94">
        <f>CumulativeConfirmed!AT94-CumulativeRecovered!AT94-CumulativeDead!AT94</f>
        <v>4</v>
      </c>
      <c r="AU94">
        <f>CumulativeConfirmed!AU94-CumulativeRecovered!AU94-CumulativeDead!AU94</f>
        <v>5</v>
      </c>
      <c r="AV94">
        <f>CumulativeConfirmed!AV94-CumulativeRecovered!AV94-CumulativeDead!AV94</f>
        <v>5</v>
      </c>
      <c r="AW94">
        <f>CumulativeConfirmed!AW94-CumulativeRecovered!AW94-CumulativeDead!AW94</f>
        <v>5</v>
      </c>
      <c r="AX94">
        <f>CumulativeConfirmed!AX94-CumulativeRecovered!AX94-CumulativeDead!AX94</f>
        <v>5</v>
      </c>
      <c r="AY94">
        <f>CumulativeConfirmed!AY94-CumulativeRecovered!AY94-CumulativeDead!AY94</f>
        <v>5</v>
      </c>
      <c r="AZ94">
        <f>CumulativeConfirmed!AZ94-CumulativeRecovered!AZ94-CumulativeDead!AZ94</f>
        <v>5</v>
      </c>
      <c r="BA94">
        <f>CumulativeConfirmed!BA94-CumulativeRecovered!BA94-CumulativeDead!BA94</f>
        <v>5</v>
      </c>
      <c r="BB94">
        <f>CumulativeConfirmed!BB94-CumulativeRecovered!BB94-CumulativeDead!BB94</f>
        <v>6</v>
      </c>
      <c r="BC94">
        <f>CumulativeConfirmed!BC94-CumulativeRecovered!BC94-CumulativeDead!BC94</f>
        <v>8</v>
      </c>
      <c r="BD94">
        <f>CumulativeConfirmed!BD94-CumulativeRecovered!BD94-CumulativeDead!BD94</f>
        <v>8</v>
      </c>
      <c r="BE94">
        <f>CumulativeConfirmed!BE94-CumulativeRecovered!BE94-CumulativeDead!BE94</f>
        <v>12</v>
      </c>
      <c r="BF94">
        <f>CumulativeConfirmed!BF94-CumulativeRecovered!BF94-CumulativeDead!BF94</f>
        <v>20</v>
      </c>
      <c r="BG94">
        <f>CumulativeConfirmed!BG94-CumulativeRecovered!BG94-CumulativeDead!BG94</f>
        <v>28</v>
      </c>
      <c r="BH94">
        <f>CumulativeConfirmed!BH94-CumulativeRecovered!BH94-CumulativeDead!BH94</f>
        <v>39</v>
      </c>
      <c r="BI94">
        <f>CumulativeConfirmed!BI94-CumulativeRecovered!BI94-CumulativeDead!BI94</f>
        <v>0</v>
      </c>
      <c r="BJ94">
        <f>CumulativeConfirmed!BJ94-CumulativeRecovered!BJ94-CumulativeDead!BJ94</f>
        <v>0</v>
      </c>
      <c r="BK94">
        <f>CumulativeConfirmed!BK94-CumulativeRecovered!BK94-CumulativeDead!BK94</f>
        <v>0</v>
      </c>
      <c r="BL94">
        <f>CumulativeConfirmed!BL94-CumulativeRecovered!BL94-CumulativeDead!BL94</f>
        <v>0</v>
      </c>
      <c r="BM94">
        <f>CumulativeConfirmed!BM94-CumulativeRecovered!BM94-CumulativeDead!BM94</f>
        <v>0</v>
      </c>
      <c r="BN94">
        <f>CumulativeConfirmed!BN94-CumulativeRecovered!BN94-CumulativeDead!BN94</f>
        <v>0</v>
      </c>
      <c r="BO94">
        <f>CumulativeConfirmed!BO94-CumulativeRecovered!BO94-CumulativeDead!BO94</f>
        <v>0</v>
      </c>
      <c r="BP94">
        <f>CumulativeConfirmed!BP94-CumulativeRecovered!BP94-CumulativeDead!BP94</f>
        <v>0</v>
      </c>
      <c r="BQ94">
        <f>CumulativeConfirmed!BQ94-CumulativeRecovered!BQ94-CumulativeDead!BQ94</f>
        <v>0</v>
      </c>
      <c r="BR94">
        <f>CumulativeConfirmed!BR94-CumulativeRecovered!BR94-CumulativeDead!BR94</f>
        <v>0</v>
      </c>
      <c r="BS94">
        <f>CumulativeConfirmed!BS94-CumulativeRecovered!BS94-CumulativeDead!BS94</f>
        <v>0</v>
      </c>
      <c r="BT94">
        <f>CumulativeConfirmed!BT94-CumulativeRecovered!BT94-CumulativeDead!BT94</f>
        <v>0</v>
      </c>
    </row>
    <row r="95" spans="1:72" ht="15" thickBot="1" x14ac:dyDescent="0.35">
      <c r="A95" s="4" t="s">
        <v>354</v>
      </c>
      <c r="B95">
        <f>CumulativeConfirmed!B95-CumulativeRecovered!B95-CumulativeDead!B95</f>
        <v>0</v>
      </c>
      <c r="C95">
        <f>CumulativeConfirmed!C95-CumulativeRecovered!C95-CumulativeDead!C95</f>
        <v>0</v>
      </c>
      <c r="D95">
        <f>CumulativeConfirmed!D95-CumulativeRecovered!D95-CumulativeDead!D95</f>
        <v>0</v>
      </c>
      <c r="E95">
        <f>CumulativeConfirmed!E95-CumulativeRecovered!E95-CumulativeDead!E95</f>
        <v>0</v>
      </c>
      <c r="F95">
        <f>CumulativeConfirmed!F95-CumulativeRecovered!F95-CumulativeDead!F95</f>
        <v>0</v>
      </c>
      <c r="G95">
        <f>CumulativeConfirmed!G95-CumulativeRecovered!G95-CumulativeDead!G95</f>
        <v>0</v>
      </c>
      <c r="H95">
        <f>CumulativeConfirmed!H95-CumulativeRecovered!H95-CumulativeDead!H95</f>
        <v>0</v>
      </c>
      <c r="I95">
        <f>CumulativeConfirmed!I95-CumulativeRecovered!I95-CumulativeDead!I95</f>
        <v>0</v>
      </c>
      <c r="J95">
        <f>CumulativeConfirmed!J95-CumulativeRecovered!J95-CumulativeDead!J95</f>
        <v>0</v>
      </c>
      <c r="K95">
        <f>CumulativeConfirmed!K95-CumulativeRecovered!K95-CumulativeDead!K95</f>
        <v>0</v>
      </c>
      <c r="L95">
        <f>CumulativeConfirmed!L95-CumulativeRecovered!L95-CumulativeDead!L95</f>
        <v>0</v>
      </c>
      <c r="M95">
        <f>CumulativeConfirmed!M95-CumulativeRecovered!M95-CumulativeDead!M95</f>
        <v>0</v>
      </c>
      <c r="N95">
        <f>CumulativeConfirmed!N95-CumulativeRecovered!N95-CumulativeDead!N95</f>
        <v>0</v>
      </c>
      <c r="O95">
        <f>CumulativeConfirmed!O95-CumulativeRecovered!O95-CumulativeDead!O95</f>
        <v>0</v>
      </c>
      <c r="P95">
        <f>CumulativeConfirmed!P95-CumulativeRecovered!P95-CumulativeDead!P95</f>
        <v>0</v>
      </c>
      <c r="Q95">
        <f>CumulativeConfirmed!Q95-CumulativeRecovered!Q95-CumulativeDead!Q95</f>
        <v>0</v>
      </c>
      <c r="R95">
        <f>CumulativeConfirmed!R95-CumulativeRecovered!R95-CumulativeDead!R95</f>
        <v>0</v>
      </c>
      <c r="S95">
        <f>CumulativeConfirmed!S95-CumulativeRecovered!S95-CumulativeDead!S95</f>
        <v>0</v>
      </c>
      <c r="T95">
        <f>CumulativeConfirmed!T95-CumulativeRecovered!T95-CumulativeDead!T95</f>
        <v>0</v>
      </c>
      <c r="U95">
        <f>CumulativeConfirmed!U95-CumulativeRecovered!U95-CumulativeDead!U95</f>
        <v>0</v>
      </c>
      <c r="V95">
        <f>CumulativeConfirmed!V95-CumulativeRecovered!V95-CumulativeDead!V95</f>
        <v>0</v>
      </c>
      <c r="W95">
        <f>CumulativeConfirmed!W95-CumulativeRecovered!W95-CumulativeDead!W95</f>
        <v>0</v>
      </c>
      <c r="X95">
        <f>CumulativeConfirmed!X95-CumulativeRecovered!X95-CumulativeDead!X95</f>
        <v>0</v>
      </c>
      <c r="Y95">
        <f>CumulativeConfirmed!Y95-CumulativeRecovered!Y95-CumulativeDead!Y95</f>
        <v>0</v>
      </c>
      <c r="Z95">
        <f>CumulativeConfirmed!Z95-CumulativeRecovered!Z95-CumulativeDead!Z95</f>
        <v>0</v>
      </c>
      <c r="AA95">
        <f>CumulativeConfirmed!AA95-CumulativeRecovered!AA95-CumulativeDead!AA95</f>
        <v>0</v>
      </c>
      <c r="AB95">
        <f>CumulativeConfirmed!AB95-CumulativeRecovered!AB95-CumulativeDead!AB95</f>
        <v>0</v>
      </c>
      <c r="AC95">
        <f>CumulativeConfirmed!AC95-CumulativeRecovered!AC95-CumulativeDead!AC95</f>
        <v>0</v>
      </c>
      <c r="AD95">
        <f>CumulativeConfirmed!AD95-CumulativeRecovered!AD95-CumulativeDead!AD95</f>
        <v>0</v>
      </c>
      <c r="AE95">
        <f>CumulativeConfirmed!AE95-CumulativeRecovered!AE95-CumulativeDead!AE95</f>
        <v>0</v>
      </c>
      <c r="AF95">
        <f>CumulativeConfirmed!AF95-CumulativeRecovered!AF95-CumulativeDead!AF95</f>
        <v>0</v>
      </c>
      <c r="AG95">
        <f>CumulativeConfirmed!AG95-CumulativeRecovered!AG95-CumulativeDead!AG95</f>
        <v>0</v>
      </c>
      <c r="AH95">
        <f>CumulativeConfirmed!AH95-CumulativeRecovered!AH95-CumulativeDead!AH95</f>
        <v>0</v>
      </c>
      <c r="AI95">
        <f>CumulativeConfirmed!AI95-CumulativeRecovered!AI95-CumulativeDead!AI95</f>
        <v>0</v>
      </c>
      <c r="AJ95">
        <f>CumulativeConfirmed!AJ95-CumulativeRecovered!AJ95-CumulativeDead!AJ95</f>
        <v>0</v>
      </c>
      <c r="AK95">
        <f>CumulativeConfirmed!AK95-CumulativeRecovered!AK95-CumulativeDead!AK95</f>
        <v>0</v>
      </c>
      <c r="AL95">
        <f>CumulativeConfirmed!AL95-CumulativeRecovered!AL95-CumulativeDead!AL95</f>
        <v>0</v>
      </c>
      <c r="AM95">
        <f>CumulativeConfirmed!AM95-CumulativeRecovered!AM95-CumulativeDead!AM95</f>
        <v>0</v>
      </c>
      <c r="AN95">
        <f>CumulativeConfirmed!AN95-CumulativeRecovered!AN95-CumulativeDead!AN95</f>
        <v>0</v>
      </c>
      <c r="AO95">
        <f>CumulativeConfirmed!AO95-CumulativeRecovered!AO95-CumulativeDead!AO95</f>
        <v>0</v>
      </c>
      <c r="AP95">
        <f>CumulativeConfirmed!AP95-CumulativeRecovered!AP95-CumulativeDead!AP95</f>
        <v>0</v>
      </c>
      <c r="AQ95">
        <f>CumulativeConfirmed!AQ95-CumulativeRecovered!AQ95-CumulativeDead!AQ95</f>
        <v>0</v>
      </c>
      <c r="AR95">
        <f>CumulativeConfirmed!AR95-CumulativeRecovered!AR95-CumulativeDead!AR95</f>
        <v>0</v>
      </c>
      <c r="AS95">
        <f>CumulativeConfirmed!AS95-CumulativeRecovered!AS95-CumulativeDead!AS95</f>
        <v>0</v>
      </c>
      <c r="AT95">
        <f>CumulativeConfirmed!AT95-CumulativeRecovered!AT95-CumulativeDead!AT95</f>
        <v>0</v>
      </c>
      <c r="AU95">
        <f>CumulativeConfirmed!AU95-CumulativeRecovered!AU95-CumulativeDead!AU95</f>
        <v>0</v>
      </c>
      <c r="AV95">
        <f>CumulativeConfirmed!AV95-CumulativeRecovered!AV95-CumulativeDead!AV95</f>
        <v>0</v>
      </c>
      <c r="AW95">
        <f>CumulativeConfirmed!AW95-CumulativeRecovered!AW95-CumulativeDead!AW95</f>
        <v>0</v>
      </c>
      <c r="AX95">
        <f>CumulativeConfirmed!AX95-CumulativeRecovered!AX95-CumulativeDead!AX95</f>
        <v>0</v>
      </c>
      <c r="AY95">
        <f>CumulativeConfirmed!AY95-CumulativeRecovered!AY95-CumulativeDead!AY95</f>
        <v>0</v>
      </c>
      <c r="AZ95">
        <f>CumulativeConfirmed!AZ95-CumulativeRecovered!AZ95-CumulativeDead!AZ95</f>
        <v>0</v>
      </c>
      <c r="BA95">
        <f>CumulativeConfirmed!BA95-CumulativeRecovered!BA95-CumulativeDead!BA95</f>
        <v>0</v>
      </c>
      <c r="BB95">
        <f>CumulativeConfirmed!BB95-CumulativeRecovered!BB95-CumulativeDead!BB95</f>
        <v>0</v>
      </c>
      <c r="BC95">
        <f>CumulativeConfirmed!BC95-CumulativeRecovered!BC95-CumulativeDead!BC95</f>
        <v>0</v>
      </c>
      <c r="BD95">
        <f>CumulativeConfirmed!BD95-CumulativeRecovered!BD95-CumulativeDead!BD95</f>
        <v>0</v>
      </c>
      <c r="BE95">
        <f>CumulativeConfirmed!BE95-CumulativeRecovered!BE95-CumulativeDead!BE95</f>
        <v>0</v>
      </c>
      <c r="BF95">
        <f>CumulativeConfirmed!BF95-CumulativeRecovered!BF95-CumulativeDead!BF95</f>
        <v>0</v>
      </c>
      <c r="BG95">
        <f>CumulativeConfirmed!BG95-CumulativeRecovered!BG95-CumulativeDead!BG95</f>
        <v>0</v>
      </c>
      <c r="BH95">
        <f>CumulativeConfirmed!BH95-CumulativeRecovered!BH95-CumulativeDead!BH95</f>
        <v>0</v>
      </c>
      <c r="BI95">
        <f>CumulativeConfirmed!BI95-CumulativeRecovered!BI95-CumulativeDead!BI95</f>
        <v>0</v>
      </c>
      <c r="BJ95">
        <f>CumulativeConfirmed!BJ95-CumulativeRecovered!BJ95-CumulativeDead!BJ95</f>
        <v>0</v>
      </c>
      <c r="BK95">
        <f>CumulativeConfirmed!BK95-CumulativeRecovered!BK95-CumulativeDead!BK95</f>
        <v>0</v>
      </c>
      <c r="BL95">
        <f>CumulativeConfirmed!BL95-CumulativeRecovered!BL95-CumulativeDead!BL95</f>
        <v>0</v>
      </c>
      <c r="BM95">
        <f>CumulativeConfirmed!BM95-CumulativeRecovered!BM95-CumulativeDead!BM95</f>
        <v>0</v>
      </c>
      <c r="BN95">
        <f>CumulativeConfirmed!BN95-CumulativeRecovered!BN95-CumulativeDead!BN95</f>
        <v>0</v>
      </c>
      <c r="BO95">
        <f>CumulativeConfirmed!BO95-CumulativeRecovered!BO95-CumulativeDead!BO95</f>
        <v>0</v>
      </c>
      <c r="BP95">
        <f>CumulativeConfirmed!BP95-CumulativeRecovered!BP95-CumulativeDead!BP95</f>
        <v>0</v>
      </c>
      <c r="BQ95">
        <f>CumulativeConfirmed!BQ95-CumulativeRecovered!BQ95-CumulativeDead!BQ95</f>
        <v>0</v>
      </c>
      <c r="BR95">
        <f>CumulativeConfirmed!BR95-CumulativeRecovered!BR95-CumulativeDead!BR95</f>
        <v>0</v>
      </c>
      <c r="BS95">
        <f>CumulativeConfirmed!BS95-CumulativeRecovered!BS95-CumulativeDead!BS95</f>
        <v>0</v>
      </c>
      <c r="BT95">
        <f>CumulativeConfirmed!BT95-CumulativeRecovered!BT95-CumulativeDead!BT95</f>
        <v>0</v>
      </c>
    </row>
    <row r="96" spans="1:72" ht="15" thickBot="1" x14ac:dyDescent="0.35">
      <c r="A96" s="3" t="s">
        <v>355</v>
      </c>
      <c r="B96">
        <f>CumulativeConfirmed!B96-CumulativeRecovered!B96-CumulativeDead!B96</f>
        <v>0</v>
      </c>
      <c r="C96">
        <f>CumulativeConfirmed!C96-CumulativeRecovered!C96-CumulativeDead!C96</f>
        <v>0</v>
      </c>
      <c r="D96">
        <f>CumulativeConfirmed!D96-CumulativeRecovered!D96-CumulativeDead!D96</f>
        <v>0</v>
      </c>
      <c r="E96">
        <f>CumulativeConfirmed!E96-CumulativeRecovered!E96-CumulativeDead!E96</f>
        <v>0</v>
      </c>
      <c r="F96">
        <f>CumulativeConfirmed!F96-CumulativeRecovered!F96-CumulativeDead!F96</f>
        <v>0</v>
      </c>
      <c r="G96">
        <f>CumulativeConfirmed!G96-CumulativeRecovered!G96-CumulativeDead!G96</f>
        <v>0</v>
      </c>
      <c r="H96">
        <f>CumulativeConfirmed!H96-CumulativeRecovered!H96-CumulativeDead!H96</f>
        <v>0</v>
      </c>
      <c r="I96">
        <f>CumulativeConfirmed!I96-CumulativeRecovered!I96-CumulativeDead!I96</f>
        <v>0</v>
      </c>
      <c r="J96">
        <f>CumulativeConfirmed!J96-CumulativeRecovered!J96-CumulativeDead!J96</f>
        <v>0</v>
      </c>
      <c r="K96">
        <f>CumulativeConfirmed!K96-CumulativeRecovered!K96-CumulativeDead!K96</f>
        <v>0</v>
      </c>
      <c r="L96">
        <f>CumulativeConfirmed!L96-CumulativeRecovered!L96-CumulativeDead!L96</f>
        <v>0</v>
      </c>
      <c r="M96">
        <f>CumulativeConfirmed!M96-CumulativeRecovered!M96-CumulativeDead!M96</f>
        <v>0</v>
      </c>
      <c r="N96">
        <f>CumulativeConfirmed!N96-CumulativeRecovered!N96-CumulativeDead!N96</f>
        <v>0</v>
      </c>
      <c r="O96">
        <f>CumulativeConfirmed!O96-CumulativeRecovered!O96-CumulativeDead!O96</f>
        <v>0</v>
      </c>
      <c r="P96">
        <f>CumulativeConfirmed!P96-CumulativeRecovered!P96-CumulativeDead!P96</f>
        <v>0</v>
      </c>
      <c r="Q96">
        <f>CumulativeConfirmed!Q96-CumulativeRecovered!Q96-CumulativeDead!Q96</f>
        <v>0</v>
      </c>
      <c r="R96">
        <f>CumulativeConfirmed!R96-CumulativeRecovered!R96-CumulativeDead!R96</f>
        <v>0</v>
      </c>
      <c r="S96">
        <f>CumulativeConfirmed!S96-CumulativeRecovered!S96-CumulativeDead!S96</f>
        <v>0</v>
      </c>
      <c r="T96">
        <f>CumulativeConfirmed!T96-CumulativeRecovered!T96-CumulativeDead!T96</f>
        <v>0</v>
      </c>
      <c r="U96">
        <f>CumulativeConfirmed!U96-CumulativeRecovered!U96-CumulativeDead!U96</f>
        <v>0</v>
      </c>
      <c r="V96">
        <f>CumulativeConfirmed!V96-CumulativeRecovered!V96-CumulativeDead!V96</f>
        <v>0</v>
      </c>
      <c r="W96">
        <f>CumulativeConfirmed!W96-CumulativeRecovered!W96-CumulativeDead!W96</f>
        <v>0</v>
      </c>
      <c r="X96">
        <f>CumulativeConfirmed!X96-CumulativeRecovered!X96-CumulativeDead!X96</f>
        <v>0</v>
      </c>
      <c r="Y96">
        <f>CumulativeConfirmed!Y96-CumulativeRecovered!Y96-CumulativeDead!Y96</f>
        <v>0</v>
      </c>
      <c r="Z96">
        <f>CumulativeConfirmed!Z96-CumulativeRecovered!Z96-CumulativeDead!Z96</f>
        <v>0</v>
      </c>
      <c r="AA96">
        <f>CumulativeConfirmed!AA96-CumulativeRecovered!AA96-CumulativeDead!AA96</f>
        <v>0</v>
      </c>
      <c r="AB96">
        <f>CumulativeConfirmed!AB96-CumulativeRecovered!AB96-CumulativeDead!AB96</f>
        <v>0</v>
      </c>
      <c r="AC96">
        <f>CumulativeConfirmed!AC96-CumulativeRecovered!AC96-CumulativeDead!AC96</f>
        <v>0</v>
      </c>
      <c r="AD96">
        <f>CumulativeConfirmed!AD96-CumulativeRecovered!AD96-CumulativeDead!AD96</f>
        <v>0</v>
      </c>
      <c r="AE96">
        <f>CumulativeConfirmed!AE96-CumulativeRecovered!AE96-CumulativeDead!AE96</f>
        <v>0</v>
      </c>
      <c r="AF96">
        <f>CumulativeConfirmed!AF96-CumulativeRecovered!AF96-CumulativeDead!AF96</f>
        <v>0</v>
      </c>
      <c r="AG96">
        <f>CumulativeConfirmed!AG96-CumulativeRecovered!AG96-CumulativeDead!AG96</f>
        <v>0</v>
      </c>
      <c r="AH96">
        <f>CumulativeConfirmed!AH96-CumulativeRecovered!AH96-CumulativeDead!AH96</f>
        <v>0</v>
      </c>
      <c r="AI96">
        <f>CumulativeConfirmed!AI96-CumulativeRecovered!AI96-CumulativeDead!AI96</f>
        <v>0</v>
      </c>
      <c r="AJ96">
        <f>CumulativeConfirmed!AJ96-CumulativeRecovered!AJ96-CumulativeDead!AJ96</f>
        <v>0</v>
      </c>
      <c r="AK96">
        <f>CumulativeConfirmed!AK96-CumulativeRecovered!AK96-CumulativeDead!AK96</f>
        <v>0</v>
      </c>
      <c r="AL96">
        <f>CumulativeConfirmed!AL96-CumulativeRecovered!AL96-CumulativeDead!AL96</f>
        <v>0</v>
      </c>
      <c r="AM96">
        <f>CumulativeConfirmed!AM96-CumulativeRecovered!AM96-CumulativeDead!AM96</f>
        <v>0</v>
      </c>
      <c r="AN96">
        <f>CumulativeConfirmed!AN96-CumulativeRecovered!AN96-CumulativeDead!AN96</f>
        <v>0</v>
      </c>
      <c r="AO96">
        <f>CumulativeConfirmed!AO96-CumulativeRecovered!AO96-CumulativeDead!AO96</f>
        <v>0</v>
      </c>
      <c r="AP96">
        <f>CumulativeConfirmed!AP96-CumulativeRecovered!AP96-CumulativeDead!AP96</f>
        <v>0</v>
      </c>
      <c r="AQ96">
        <f>CumulativeConfirmed!AQ96-CumulativeRecovered!AQ96-CumulativeDead!AQ96</f>
        <v>0</v>
      </c>
      <c r="AR96">
        <f>CumulativeConfirmed!AR96-CumulativeRecovered!AR96-CumulativeDead!AR96</f>
        <v>0</v>
      </c>
      <c r="AS96">
        <f>CumulativeConfirmed!AS96-CumulativeRecovered!AS96-CumulativeDead!AS96</f>
        <v>0</v>
      </c>
      <c r="AT96">
        <f>CumulativeConfirmed!AT96-CumulativeRecovered!AT96-CumulativeDead!AT96</f>
        <v>0</v>
      </c>
      <c r="AU96">
        <f>CumulativeConfirmed!AU96-CumulativeRecovered!AU96-CumulativeDead!AU96</f>
        <v>0</v>
      </c>
      <c r="AV96">
        <f>CumulativeConfirmed!AV96-CumulativeRecovered!AV96-CumulativeDead!AV96</f>
        <v>0</v>
      </c>
      <c r="AW96">
        <f>CumulativeConfirmed!AW96-CumulativeRecovered!AW96-CumulativeDead!AW96</f>
        <v>0</v>
      </c>
      <c r="AX96">
        <f>CumulativeConfirmed!AX96-CumulativeRecovered!AX96-CumulativeDead!AX96</f>
        <v>0</v>
      </c>
      <c r="AY96">
        <f>CumulativeConfirmed!AY96-CumulativeRecovered!AY96-CumulativeDead!AY96</f>
        <v>1</v>
      </c>
      <c r="AZ96">
        <f>CumulativeConfirmed!AZ96-CumulativeRecovered!AZ96-CumulativeDead!AZ96</f>
        <v>1</v>
      </c>
      <c r="BA96">
        <f>CumulativeConfirmed!BA96-CumulativeRecovered!BA96-CumulativeDead!BA96</f>
        <v>5</v>
      </c>
      <c r="BB96">
        <f>CumulativeConfirmed!BB96-CumulativeRecovered!BB96-CumulativeDead!BB96</f>
        <v>5</v>
      </c>
      <c r="BC96">
        <f>CumulativeConfirmed!BC96-CumulativeRecovered!BC96-CumulativeDead!BC96</f>
        <v>6</v>
      </c>
      <c r="BD96">
        <f>CumulativeConfirmed!BD96-CumulativeRecovered!BD96-CumulativeDead!BD96</f>
        <v>18</v>
      </c>
      <c r="BE96">
        <f>CumulativeConfirmed!BE96-CumulativeRecovered!BE96-CumulativeDead!BE96</f>
        <v>46</v>
      </c>
      <c r="BF96">
        <f>CumulativeConfirmed!BF96-CumulativeRecovered!BF96-CumulativeDead!BF96</f>
        <v>97</v>
      </c>
      <c r="BG96">
        <f>CumulativeConfirmed!BG96-CumulativeRecovered!BG96-CumulativeDead!BG96</f>
        <v>189</v>
      </c>
      <c r="BH96">
        <f>CumulativeConfirmed!BH96-CumulativeRecovered!BH96-CumulativeDead!BH96</f>
        <v>355</v>
      </c>
      <c r="BI96">
        <f>CumulativeConfirmed!BI96-CumulativeRecovered!BI96-CumulativeDead!BI96</f>
        <v>0</v>
      </c>
      <c r="BJ96">
        <f>CumulativeConfirmed!BJ96-CumulativeRecovered!BJ96-CumulativeDead!BJ96</f>
        <v>0</v>
      </c>
      <c r="BK96">
        <f>CumulativeConfirmed!BK96-CumulativeRecovered!BK96-CumulativeDead!BK96</f>
        <v>0</v>
      </c>
      <c r="BL96">
        <f>CumulativeConfirmed!BL96-CumulativeRecovered!BL96-CumulativeDead!BL96</f>
        <v>0</v>
      </c>
      <c r="BM96">
        <f>CumulativeConfirmed!BM96-CumulativeRecovered!BM96-CumulativeDead!BM96</f>
        <v>0</v>
      </c>
      <c r="BN96">
        <f>CumulativeConfirmed!BN96-CumulativeRecovered!BN96-CumulativeDead!BN96</f>
        <v>0</v>
      </c>
      <c r="BO96">
        <f>CumulativeConfirmed!BO96-CumulativeRecovered!BO96-CumulativeDead!BO96</f>
        <v>0</v>
      </c>
      <c r="BP96">
        <f>CumulativeConfirmed!BP96-CumulativeRecovered!BP96-CumulativeDead!BP96</f>
        <v>0</v>
      </c>
      <c r="BQ96">
        <f>CumulativeConfirmed!BQ96-CumulativeRecovered!BQ96-CumulativeDead!BQ96</f>
        <v>0</v>
      </c>
      <c r="BR96">
        <f>CumulativeConfirmed!BR96-CumulativeRecovered!BR96-CumulativeDead!BR96</f>
        <v>0</v>
      </c>
      <c r="BS96">
        <f>CumulativeConfirmed!BS96-CumulativeRecovered!BS96-CumulativeDead!BS96</f>
        <v>0</v>
      </c>
      <c r="BT96">
        <f>CumulativeConfirmed!BT96-CumulativeRecovered!BT96-CumulativeDead!BT96</f>
        <v>0</v>
      </c>
    </row>
    <row r="97" spans="1:72" ht="15" thickBot="1" x14ac:dyDescent="0.35">
      <c r="A97" s="4" t="s">
        <v>410</v>
      </c>
      <c r="B97">
        <f>CumulativeConfirmed!B97-CumulativeRecovered!B97-CumulativeDead!B97</f>
        <v>0</v>
      </c>
      <c r="C97">
        <f>CumulativeConfirmed!C97-CumulativeRecovered!C97-CumulativeDead!C97</f>
        <v>0</v>
      </c>
      <c r="D97">
        <f>CumulativeConfirmed!D97-CumulativeRecovered!D97-CumulativeDead!D97</f>
        <v>0</v>
      </c>
      <c r="E97">
        <f>CumulativeConfirmed!E97-CumulativeRecovered!E97-CumulativeDead!E97</f>
        <v>0</v>
      </c>
      <c r="F97">
        <f>CumulativeConfirmed!F97-CumulativeRecovered!F97-CumulativeDead!F97</f>
        <v>0</v>
      </c>
      <c r="G97">
        <f>CumulativeConfirmed!G97-CumulativeRecovered!G97-CumulativeDead!G97</f>
        <v>0</v>
      </c>
      <c r="H97">
        <f>CumulativeConfirmed!H97-CumulativeRecovered!H97-CumulativeDead!H97</f>
        <v>0</v>
      </c>
      <c r="I97">
        <f>CumulativeConfirmed!I97-CumulativeRecovered!I97-CumulativeDead!I97</f>
        <v>0</v>
      </c>
      <c r="J97">
        <f>CumulativeConfirmed!J97-CumulativeRecovered!J97-CumulativeDead!J97</f>
        <v>0</v>
      </c>
      <c r="K97">
        <f>CumulativeConfirmed!K97-CumulativeRecovered!K97-CumulativeDead!K97</f>
        <v>0</v>
      </c>
      <c r="L97">
        <f>CumulativeConfirmed!L97-CumulativeRecovered!L97-CumulativeDead!L97</f>
        <v>0</v>
      </c>
      <c r="M97">
        <f>CumulativeConfirmed!M97-CumulativeRecovered!M97-CumulativeDead!M97</f>
        <v>0</v>
      </c>
      <c r="N97">
        <f>CumulativeConfirmed!N97-CumulativeRecovered!N97-CumulativeDead!N97</f>
        <v>0</v>
      </c>
      <c r="O97">
        <f>CumulativeConfirmed!O97-CumulativeRecovered!O97-CumulativeDead!O97</f>
        <v>0</v>
      </c>
      <c r="P97">
        <f>CumulativeConfirmed!P97-CumulativeRecovered!P97-CumulativeDead!P97</f>
        <v>0</v>
      </c>
      <c r="Q97">
        <f>CumulativeConfirmed!Q97-CumulativeRecovered!Q97-CumulativeDead!Q97</f>
        <v>0</v>
      </c>
      <c r="R97">
        <f>CumulativeConfirmed!R97-CumulativeRecovered!R97-CumulativeDead!R97</f>
        <v>0</v>
      </c>
      <c r="S97">
        <f>CumulativeConfirmed!S97-CumulativeRecovered!S97-CumulativeDead!S97</f>
        <v>0</v>
      </c>
      <c r="T97">
        <f>CumulativeConfirmed!T97-CumulativeRecovered!T97-CumulativeDead!T97</f>
        <v>0</v>
      </c>
      <c r="U97">
        <f>CumulativeConfirmed!U97-CumulativeRecovered!U97-CumulativeDead!U97</f>
        <v>0</v>
      </c>
      <c r="V97">
        <f>CumulativeConfirmed!V97-CumulativeRecovered!V97-CumulativeDead!V97</f>
        <v>0</v>
      </c>
      <c r="W97">
        <f>CumulativeConfirmed!W97-CumulativeRecovered!W97-CumulativeDead!W97</f>
        <v>0</v>
      </c>
      <c r="X97">
        <f>CumulativeConfirmed!X97-CumulativeRecovered!X97-CumulativeDead!X97</f>
        <v>0</v>
      </c>
      <c r="Y97">
        <f>CumulativeConfirmed!Y97-CumulativeRecovered!Y97-CumulativeDead!Y97</f>
        <v>0</v>
      </c>
      <c r="Z97">
        <f>CumulativeConfirmed!Z97-CumulativeRecovered!Z97-CumulativeDead!Z97</f>
        <v>0</v>
      </c>
      <c r="AA97">
        <f>CumulativeConfirmed!AA97-CumulativeRecovered!AA97-CumulativeDead!AA97</f>
        <v>0</v>
      </c>
      <c r="AB97">
        <f>CumulativeConfirmed!AB97-CumulativeRecovered!AB97-CumulativeDead!AB97</f>
        <v>0</v>
      </c>
      <c r="AC97">
        <f>CumulativeConfirmed!AC97-CumulativeRecovered!AC97-CumulativeDead!AC97</f>
        <v>0</v>
      </c>
      <c r="AD97">
        <f>CumulativeConfirmed!AD97-CumulativeRecovered!AD97-CumulativeDead!AD97</f>
        <v>0</v>
      </c>
      <c r="AE97">
        <f>CumulativeConfirmed!AE97-CumulativeRecovered!AE97-CumulativeDead!AE97</f>
        <v>0</v>
      </c>
      <c r="AF97">
        <f>CumulativeConfirmed!AF97-CumulativeRecovered!AF97-CumulativeDead!AF97</f>
        <v>0</v>
      </c>
      <c r="AG97">
        <f>CumulativeConfirmed!AG97-CumulativeRecovered!AG97-CumulativeDead!AG97</f>
        <v>0</v>
      </c>
      <c r="AH97">
        <f>CumulativeConfirmed!AH97-CumulativeRecovered!AH97-CumulativeDead!AH97</f>
        <v>0</v>
      </c>
      <c r="AI97">
        <f>CumulativeConfirmed!AI97-CumulativeRecovered!AI97-CumulativeDead!AI97</f>
        <v>0</v>
      </c>
      <c r="AJ97">
        <f>CumulativeConfirmed!AJ97-CumulativeRecovered!AJ97-CumulativeDead!AJ97</f>
        <v>0</v>
      </c>
      <c r="AK97">
        <f>CumulativeConfirmed!AK97-CumulativeRecovered!AK97-CumulativeDead!AK97</f>
        <v>0</v>
      </c>
      <c r="AL97">
        <f>CumulativeConfirmed!AL97-CumulativeRecovered!AL97-CumulativeDead!AL97</f>
        <v>0</v>
      </c>
      <c r="AM97">
        <f>CumulativeConfirmed!AM97-CumulativeRecovered!AM97-CumulativeDead!AM97</f>
        <v>0</v>
      </c>
      <c r="AN97">
        <f>CumulativeConfirmed!AN97-CumulativeRecovered!AN97-CumulativeDead!AN97</f>
        <v>0</v>
      </c>
      <c r="AO97">
        <f>CumulativeConfirmed!AO97-CumulativeRecovered!AO97-CumulativeDead!AO97</f>
        <v>0</v>
      </c>
      <c r="AP97">
        <f>CumulativeConfirmed!AP97-CumulativeRecovered!AP97-CumulativeDead!AP97</f>
        <v>0</v>
      </c>
      <c r="AQ97">
        <f>CumulativeConfirmed!AQ97-CumulativeRecovered!AQ97-CumulativeDead!AQ97</f>
        <v>0</v>
      </c>
      <c r="AR97">
        <f>CumulativeConfirmed!AR97-CumulativeRecovered!AR97-CumulativeDead!AR97</f>
        <v>0</v>
      </c>
      <c r="AS97">
        <f>CumulativeConfirmed!AS97-CumulativeRecovered!AS97-CumulativeDead!AS97</f>
        <v>0</v>
      </c>
      <c r="AT97">
        <f>CumulativeConfirmed!AT97-CumulativeRecovered!AT97-CumulativeDead!AT97</f>
        <v>0</v>
      </c>
      <c r="AU97">
        <f>CumulativeConfirmed!AU97-CumulativeRecovered!AU97-CumulativeDead!AU97</f>
        <v>0</v>
      </c>
      <c r="AV97">
        <f>CumulativeConfirmed!AV97-CumulativeRecovered!AV97-CumulativeDead!AV97</f>
        <v>0</v>
      </c>
      <c r="AW97">
        <f>CumulativeConfirmed!AW97-CumulativeRecovered!AW97-CumulativeDead!AW97</f>
        <v>0</v>
      </c>
      <c r="AX97">
        <f>CumulativeConfirmed!AX97-CumulativeRecovered!AX97-CumulativeDead!AX97</f>
        <v>0</v>
      </c>
      <c r="AY97">
        <f>CumulativeConfirmed!AY97-CumulativeRecovered!AY97-CumulativeDead!AY97</f>
        <v>0</v>
      </c>
      <c r="AZ97">
        <f>CumulativeConfirmed!AZ97-CumulativeRecovered!AZ97-CumulativeDead!AZ97</f>
        <v>3</v>
      </c>
      <c r="BA97">
        <f>CumulativeConfirmed!BA97-CumulativeRecovered!BA97-CumulativeDead!BA97</f>
        <v>4</v>
      </c>
      <c r="BB97">
        <f>CumulativeConfirmed!BB97-CumulativeRecovered!BB97-CumulativeDead!BB97</f>
        <v>4</v>
      </c>
      <c r="BC97">
        <f>CumulativeConfirmed!BC97-CumulativeRecovered!BC97-CumulativeDead!BC97</f>
        <v>4</v>
      </c>
      <c r="BD97">
        <f>CumulativeConfirmed!BD97-CumulativeRecovered!BD97-CumulativeDead!BD97</f>
        <v>4</v>
      </c>
      <c r="BE97">
        <f>CumulativeConfirmed!BE97-CumulativeRecovered!BE97-CumulativeDead!BE97</f>
        <v>5</v>
      </c>
      <c r="BF97">
        <f>CumulativeConfirmed!BF97-CumulativeRecovered!BF97-CumulativeDead!BF97</f>
        <v>6</v>
      </c>
      <c r="BG97">
        <f>CumulativeConfirmed!BG97-CumulativeRecovered!BG97-CumulativeDead!BG97</f>
        <v>10</v>
      </c>
      <c r="BH97">
        <f>CumulativeConfirmed!BH97-CumulativeRecovered!BH97-CumulativeDead!BH97</f>
        <v>15</v>
      </c>
      <c r="BI97">
        <f>CumulativeConfirmed!BI97-CumulativeRecovered!BI97-CumulativeDead!BI97</f>
        <v>0</v>
      </c>
      <c r="BJ97">
        <f>CumulativeConfirmed!BJ97-CumulativeRecovered!BJ97-CumulativeDead!BJ97</f>
        <v>0</v>
      </c>
      <c r="BK97">
        <f>CumulativeConfirmed!BK97-CumulativeRecovered!BK97-CumulativeDead!BK97</f>
        <v>0</v>
      </c>
      <c r="BL97">
        <f>CumulativeConfirmed!BL97-CumulativeRecovered!BL97-CumulativeDead!BL97</f>
        <v>0</v>
      </c>
      <c r="BM97">
        <f>CumulativeConfirmed!BM97-CumulativeRecovered!BM97-CumulativeDead!BM97</f>
        <v>0</v>
      </c>
      <c r="BN97">
        <f>CumulativeConfirmed!BN97-CumulativeRecovered!BN97-CumulativeDead!BN97</f>
        <v>0</v>
      </c>
      <c r="BO97">
        <f>CumulativeConfirmed!BO97-CumulativeRecovered!BO97-CumulativeDead!BO97</f>
        <v>0</v>
      </c>
      <c r="BP97">
        <f>CumulativeConfirmed!BP97-CumulativeRecovered!BP97-CumulativeDead!BP97</f>
        <v>0</v>
      </c>
      <c r="BQ97">
        <f>CumulativeConfirmed!BQ97-CumulativeRecovered!BQ97-CumulativeDead!BQ97</f>
        <v>0</v>
      </c>
      <c r="BR97">
        <f>CumulativeConfirmed!BR97-CumulativeRecovered!BR97-CumulativeDead!BR97</f>
        <v>0</v>
      </c>
      <c r="BS97">
        <f>CumulativeConfirmed!BS97-CumulativeRecovered!BS97-CumulativeDead!BS97</f>
        <v>0</v>
      </c>
      <c r="BT97">
        <f>CumulativeConfirmed!BT97-CumulativeRecovered!BT97-CumulativeDead!BT97</f>
        <v>0</v>
      </c>
    </row>
    <row r="98" spans="1:72" ht="15" thickBot="1" x14ac:dyDescent="0.35">
      <c r="A98" s="4" t="s">
        <v>413</v>
      </c>
      <c r="B98">
        <f>CumulativeConfirmed!B98-CumulativeRecovered!B98-CumulativeDead!B98</f>
        <v>0</v>
      </c>
      <c r="C98">
        <f>CumulativeConfirmed!C98-CumulativeRecovered!C98-CumulativeDead!C98</f>
        <v>0</v>
      </c>
      <c r="D98">
        <f>CumulativeConfirmed!D98-CumulativeRecovered!D98-CumulativeDead!D98</f>
        <v>0</v>
      </c>
      <c r="E98">
        <f>CumulativeConfirmed!E98-CumulativeRecovered!E98-CumulativeDead!E98</f>
        <v>0</v>
      </c>
      <c r="F98">
        <f>CumulativeConfirmed!F98-CumulativeRecovered!F98-CumulativeDead!F98</f>
        <v>0</v>
      </c>
      <c r="G98">
        <f>CumulativeConfirmed!G98-CumulativeRecovered!G98-CumulativeDead!G98</f>
        <v>0</v>
      </c>
      <c r="H98">
        <f>CumulativeConfirmed!H98-CumulativeRecovered!H98-CumulativeDead!H98</f>
        <v>0</v>
      </c>
      <c r="I98">
        <f>CumulativeConfirmed!I98-CumulativeRecovered!I98-CumulativeDead!I98</f>
        <v>0</v>
      </c>
      <c r="J98">
        <f>CumulativeConfirmed!J98-CumulativeRecovered!J98-CumulativeDead!J98</f>
        <v>0</v>
      </c>
      <c r="K98">
        <f>CumulativeConfirmed!K98-CumulativeRecovered!K98-CumulativeDead!K98</f>
        <v>0</v>
      </c>
      <c r="L98">
        <f>CumulativeConfirmed!L98-CumulativeRecovered!L98-CumulativeDead!L98</f>
        <v>0</v>
      </c>
      <c r="M98">
        <f>CumulativeConfirmed!M98-CumulativeRecovered!M98-CumulativeDead!M98</f>
        <v>0</v>
      </c>
      <c r="N98">
        <f>CumulativeConfirmed!N98-CumulativeRecovered!N98-CumulativeDead!N98</f>
        <v>0</v>
      </c>
      <c r="O98">
        <f>CumulativeConfirmed!O98-CumulativeRecovered!O98-CumulativeDead!O98</f>
        <v>0</v>
      </c>
      <c r="P98">
        <f>CumulativeConfirmed!P98-CumulativeRecovered!P98-CumulativeDead!P98</f>
        <v>0</v>
      </c>
      <c r="Q98">
        <f>CumulativeConfirmed!Q98-CumulativeRecovered!Q98-CumulativeDead!Q98</f>
        <v>0</v>
      </c>
      <c r="R98">
        <f>CumulativeConfirmed!R98-CumulativeRecovered!R98-CumulativeDead!R98</f>
        <v>0</v>
      </c>
      <c r="S98">
        <f>CumulativeConfirmed!S98-CumulativeRecovered!S98-CumulativeDead!S98</f>
        <v>0</v>
      </c>
      <c r="T98">
        <f>CumulativeConfirmed!T98-CumulativeRecovered!T98-CumulativeDead!T98</f>
        <v>0</v>
      </c>
      <c r="U98">
        <f>CumulativeConfirmed!U98-CumulativeRecovered!U98-CumulativeDead!U98</f>
        <v>0</v>
      </c>
      <c r="V98">
        <f>CumulativeConfirmed!V98-CumulativeRecovered!V98-CumulativeDead!V98</f>
        <v>0</v>
      </c>
      <c r="W98">
        <f>CumulativeConfirmed!W98-CumulativeRecovered!W98-CumulativeDead!W98</f>
        <v>0</v>
      </c>
      <c r="X98">
        <f>CumulativeConfirmed!X98-CumulativeRecovered!X98-CumulativeDead!X98</f>
        <v>0</v>
      </c>
      <c r="Y98">
        <f>CumulativeConfirmed!Y98-CumulativeRecovered!Y98-CumulativeDead!Y98</f>
        <v>0</v>
      </c>
      <c r="Z98">
        <f>CumulativeConfirmed!Z98-CumulativeRecovered!Z98-CumulativeDead!Z98</f>
        <v>0</v>
      </c>
      <c r="AA98">
        <f>CumulativeConfirmed!AA98-CumulativeRecovered!AA98-CumulativeDead!AA98</f>
        <v>0</v>
      </c>
      <c r="AB98">
        <f>CumulativeConfirmed!AB98-CumulativeRecovered!AB98-CumulativeDead!AB98</f>
        <v>0</v>
      </c>
      <c r="AC98">
        <f>CumulativeConfirmed!AC98-CumulativeRecovered!AC98-CumulativeDead!AC98</f>
        <v>0</v>
      </c>
      <c r="AD98">
        <f>CumulativeConfirmed!AD98-CumulativeRecovered!AD98-CumulativeDead!AD98</f>
        <v>0</v>
      </c>
      <c r="AE98">
        <f>CumulativeConfirmed!AE98-CumulativeRecovered!AE98-CumulativeDead!AE98</f>
        <v>0</v>
      </c>
      <c r="AF98">
        <f>CumulativeConfirmed!AF98-CumulativeRecovered!AF98-CumulativeDead!AF98</f>
        <v>0</v>
      </c>
      <c r="AG98">
        <f>CumulativeConfirmed!AG98-CumulativeRecovered!AG98-CumulativeDead!AG98</f>
        <v>0</v>
      </c>
      <c r="AH98">
        <f>CumulativeConfirmed!AH98-CumulativeRecovered!AH98-CumulativeDead!AH98</f>
        <v>0</v>
      </c>
      <c r="AI98">
        <f>CumulativeConfirmed!AI98-CumulativeRecovered!AI98-CumulativeDead!AI98</f>
        <v>0</v>
      </c>
      <c r="AJ98">
        <f>CumulativeConfirmed!AJ98-CumulativeRecovered!AJ98-CumulativeDead!AJ98</f>
        <v>0</v>
      </c>
      <c r="AK98">
        <f>CumulativeConfirmed!AK98-CumulativeRecovered!AK98-CumulativeDead!AK98</f>
        <v>0</v>
      </c>
      <c r="AL98">
        <f>CumulativeConfirmed!AL98-CumulativeRecovered!AL98-CumulativeDead!AL98</f>
        <v>0</v>
      </c>
      <c r="AM98">
        <f>CumulativeConfirmed!AM98-CumulativeRecovered!AM98-CumulativeDead!AM98</f>
        <v>0</v>
      </c>
      <c r="AN98">
        <f>CumulativeConfirmed!AN98-CumulativeRecovered!AN98-CumulativeDead!AN98</f>
        <v>0</v>
      </c>
      <c r="AO98">
        <f>CumulativeConfirmed!AO98-CumulativeRecovered!AO98-CumulativeDead!AO98</f>
        <v>0</v>
      </c>
      <c r="AP98">
        <f>CumulativeConfirmed!AP98-CumulativeRecovered!AP98-CumulativeDead!AP98</f>
        <v>0</v>
      </c>
      <c r="AQ98">
        <f>CumulativeConfirmed!AQ98-CumulativeRecovered!AQ98-CumulativeDead!AQ98</f>
        <v>0</v>
      </c>
      <c r="AR98">
        <f>CumulativeConfirmed!AR98-CumulativeRecovered!AR98-CumulativeDead!AR98</f>
        <v>0</v>
      </c>
      <c r="AS98">
        <f>CumulativeConfirmed!AS98-CumulativeRecovered!AS98-CumulativeDead!AS98</f>
        <v>0</v>
      </c>
      <c r="AT98">
        <f>CumulativeConfirmed!AT98-CumulativeRecovered!AT98-CumulativeDead!AT98</f>
        <v>0</v>
      </c>
      <c r="AU98">
        <f>CumulativeConfirmed!AU98-CumulativeRecovered!AU98-CumulativeDead!AU98</f>
        <v>0</v>
      </c>
      <c r="AV98">
        <f>CumulativeConfirmed!AV98-CumulativeRecovered!AV98-CumulativeDead!AV98</f>
        <v>0</v>
      </c>
      <c r="AW98">
        <f>CumulativeConfirmed!AW98-CumulativeRecovered!AW98-CumulativeDead!AW98</f>
        <v>0</v>
      </c>
      <c r="AX98">
        <f>CumulativeConfirmed!AX98-CumulativeRecovered!AX98-CumulativeDead!AX98</f>
        <v>0</v>
      </c>
      <c r="AY98">
        <f>CumulativeConfirmed!AY98-CumulativeRecovered!AY98-CumulativeDead!AY98</f>
        <v>0</v>
      </c>
      <c r="AZ98">
        <f>CumulativeConfirmed!AZ98-CumulativeRecovered!AZ98-CumulativeDead!AZ98</f>
        <v>0</v>
      </c>
      <c r="BA98">
        <f>CumulativeConfirmed!BA98-CumulativeRecovered!BA98-CumulativeDead!BA98</f>
        <v>4</v>
      </c>
      <c r="BB98">
        <f>CumulativeConfirmed!BB98-CumulativeRecovered!BB98-CumulativeDead!BB98</f>
        <v>6</v>
      </c>
      <c r="BC98">
        <f>CumulativeConfirmed!BC98-CumulativeRecovered!BC98-CumulativeDead!BC98</f>
        <v>9</v>
      </c>
      <c r="BD98">
        <f>CumulativeConfirmed!BD98-CumulativeRecovered!BD98-CumulativeDead!BD98</f>
        <v>10</v>
      </c>
      <c r="BE98">
        <f>CumulativeConfirmed!BE98-CumulativeRecovered!BE98-CumulativeDead!BE98</f>
        <v>33</v>
      </c>
      <c r="BF98">
        <f>CumulativeConfirmed!BF98-CumulativeRecovered!BF98-CumulativeDead!BF98</f>
        <v>35</v>
      </c>
      <c r="BG98">
        <f>CumulativeConfirmed!BG98-CumulativeRecovered!BG98-CumulativeDead!BG98</f>
        <v>44</v>
      </c>
      <c r="BH98">
        <f>CumulativeConfirmed!BH98-CumulativeRecovered!BH98-CumulativeDead!BH98</f>
        <v>46</v>
      </c>
      <c r="BI98">
        <f>CumulativeConfirmed!BI98-CumulativeRecovered!BI98-CumulativeDead!BI98</f>
        <v>0</v>
      </c>
      <c r="BJ98">
        <f>CumulativeConfirmed!BJ98-CumulativeRecovered!BJ98-CumulativeDead!BJ98</f>
        <v>0</v>
      </c>
      <c r="BK98">
        <f>CumulativeConfirmed!BK98-CumulativeRecovered!BK98-CumulativeDead!BK98</f>
        <v>0</v>
      </c>
      <c r="BL98">
        <f>CumulativeConfirmed!BL98-CumulativeRecovered!BL98-CumulativeDead!BL98</f>
        <v>0</v>
      </c>
      <c r="BM98">
        <f>CumulativeConfirmed!BM98-CumulativeRecovered!BM98-CumulativeDead!BM98</f>
        <v>0</v>
      </c>
      <c r="BN98">
        <f>CumulativeConfirmed!BN98-CumulativeRecovered!BN98-CumulativeDead!BN98</f>
        <v>0</v>
      </c>
      <c r="BO98">
        <f>CumulativeConfirmed!BO98-CumulativeRecovered!BO98-CumulativeDead!BO98</f>
        <v>0</v>
      </c>
      <c r="BP98">
        <f>CumulativeConfirmed!BP98-CumulativeRecovered!BP98-CumulativeDead!BP98</f>
        <v>0</v>
      </c>
      <c r="BQ98">
        <f>CumulativeConfirmed!BQ98-CumulativeRecovered!BQ98-CumulativeDead!BQ98</f>
        <v>0</v>
      </c>
      <c r="BR98">
        <f>CumulativeConfirmed!BR98-CumulativeRecovered!BR98-CumulativeDead!BR98</f>
        <v>0</v>
      </c>
      <c r="BS98">
        <f>CumulativeConfirmed!BS98-CumulativeRecovered!BS98-CumulativeDead!BS98</f>
        <v>0</v>
      </c>
      <c r="BT98">
        <f>CumulativeConfirmed!BT98-CumulativeRecovered!BT98-CumulativeDead!BT98</f>
        <v>0</v>
      </c>
    </row>
    <row r="99" spans="1:72" ht="15" thickBot="1" x14ac:dyDescent="0.35">
      <c r="A99" s="3" t="s">
        <v>202</v>
      </c>
      <c r="B99">
        <f>CumulativeConfirmed!B99-CumulativeRecovered!B99-CumulativeDead!B99</f>
        <v>0</v>
      </c>
      <c r="C99">
        <f>CumulativeConfirmed!C99-CumulativeRecovered!C99-CumulativeDead!C99</f>
        <v>0</v>
      </c>
      <c r="D99">
        <f>CumulativeConfirmed!D99-CumulativeRecovered!D99-CumulativeDead!D99</f>
        <v>0</v>
      </c>
      <c r="E99">
        <f>CumulativeConfirmed!E99-CumulativeRecovered!E99-CumulativeDead!E99</f>
        <v>0</v>
      </c>
      <c r="F99">
        <f>CumulativeConfirmed!F99-CumulativeRecovered!F99-CumulativeDead!F99</f>
        <v>0</v>
      </c>
      <c r="G99">
        <f>CumulativeConfirmed!G99-CumulativeRecovered!G99-CumulativeDead!G99</f>
        <v>0</v>
      </c>
      <c r="H99">
        <f>CumulativeConfirmed!H99-CumulativeRecovered!H99-CumulativeDead!H99</f>
        <v>0</v>
      </c>
      <c r="I99">
        <f>CumulativeConfirmed!I99-CumulativeRecovered!I99-CumulativeDead!I99</f>
        <v>0</v>
      </c>
      <c r="J99">
        <f>CumulativeConfirmed!J99-CumulativeRecovered!J99-CumulativeDead!J99</f>
        <v>0</v>
      </c>
      <c r="K99">
        <f>CumulativeConfirmed!K99-CumulativeRecovered!K99-CumulativeDead!K99</f>
        <v>0</v>
      </c>
      <c r="L99">
        <f>CumulativeConfirmed!L99-CumulativeRecovered!L99-CumulativeDead!L99</f>
        <v>0</v>
      </c>
      <c r="M99">
        <f>CumulativeConfirmed!M99-CumulativeRecovered!M99-CumulativeDead!M99</f>
        <v>0</v>
      </c>
      <c r="N99">
        <f>CumulativeConfirmed!N99-CumulativeRecovered!N99-CumulativeDead!N99</f>
        <v>0</v>
      </c>
      <c r="O99">
        <f>CumulativeConfirmed!O99-CumulativeRecovered!O99-CumulativeDead!O99</f>
        <v>0</v>
      </c>
      <c r="P99">
        <f>CumulativeConfirmed!P99-CumulativeRecovered!P99-CumulativeDead!P99</f>
        <v>0</v>
      </c>
      <c r="Q99">
        <f>CumulativeConfirmed!Q99-CumulativeRecovered!Q99-CumulativeDead!Q99</f>
        <v>0</v>
      </c>
      <c r="R99">
        <f>CumulativeConfirmed!R99-CumulativeRecovered!R99-CumulativeDead!R99</f>
        <v>0</v>
      </c>
      <c r="S99">
        <f>CumulativeConfirmed!S99-CumulativeRecovered!S99-CumulativeDead!S99</f>
        <v>0</v>
      </c>
      <c r="T99">
        <f>CumulativeConfirmed!T99-CumulativeRecovered!T99-CumulativeDead!T99</f>
        <v>0</v>
      </c>
      <c r="U99">
        <f>CumulativeConfirmed!U99-CumulativeRecovered!U99-CumulativeDead!U99</f>
        <v>0</v>
      </c>
      <c r="V99">
        <f>CumulativeConfirmed!V99-CumulativeRecovered!V99-CumulativeDead!V99</f>
        <v>0</v>
      </c>
      <c r="W99">
        <f>CumulativeConfirmed!W99-CumulativeRecovered!W99-CumulativeDead!W99</f>
        <v>0</v>
      </c>
      <c r="X99">
        <f>CumulativeConfirmed!X99-CumulativeRecovered!X99-CumulativeDead!X99</f>
        <v>0</v>
      </c>
      <c r="Y99">
        <f>CumulativeConfirmed!Y99-CumulativeRecovered!Y99-CumulativeDead!Y99</f>
        <v>0</v>
      </c>
      <c r="Z99">
        <f>CumulativeConfirmed!Z99-CumulativeRecovered!Z99-CumulativeDead!Z99</f>
        <v>0</v>
      </c>
      <c r="AA99">
        <f>CumulativeConfirmed!AA99-CumulativeRecovered!AA99-CumulativeDead!AA99</f>
        <v>0</v>
      </c>
      <c r="AB99">
        <f>CumulativeConfirmed!AB99-CumulativeRecovered!AB99-CumulativeDead!AB99</f>
        <v>0</v>
      </c>
      <c r="AC99">
        <f>CumulativeConfirmed!AC99-CumulativeRecovered!AC99-CumulativeDead!AC99</f>
        <v>0</v>
      </c>
      <c r="AD99">
        <f>CumulativeConfirmed!AD99-CumulativeRecovered!AD99-CumulativeDead!AD99</f>
        <v>0</v>
      </c>
      <c r="AE99">
        <f>CumulativeConfirmed!AE99-CumulativeRecovered!AE99-CumulativeDead!AE99</f>
        <v>0</v>
      </c>
      <c r="AF99">
        <f>CumulativeConfirmed!AF99-CumulativeRecovered!AF99-CumulativeDead!AF99</f>
        <v>0</v>
      </c>
      <c r="AG99">
        <f>CumulativeConfirmed!AG99-CumulativeRecovered!AG99-CumulativeDead!AG99</f>
        <v>0</v>
      </c>
      <c r="AH99">
        <f>CumulativeConfirmed!AH99-CumulativeRecovered!AH99-CumulativeDead!AH99</f>
        <v>0</v>
      </c>
      <c r="AI99">
        <f>CumulativeConfirmed!AI99-CumulativeRecovered!AI99-CumulativeDead!AI99</f>
        <v>0</v>
      </c>
      <c r="AJ99">
        <f>CumulativeConfirmed!AJ99-CumulativeRecovered!AJ99-CumulativeDead!AJ99</f>
        <v>0</v>
      </c>
      <c r="AK99">
        <f>CumulativeConfirmed!AK99-CumulativeRecovered!AK99-CumulativeDead!AK99</f>
        <v>0</v>
      </c>
      <c r="AL99">
        <f>CumulativeConfirmed!AL99-CumulativeRecovered!AL99-CumulativeDead!AL99</f>
        <v>0</v>
      </c>
      <c r="AM99">
        <f>CumulativeConfirmed!AM99-CumulativeRecovered!AM99-CumulativeDead!AM99</f>
        <v>0</v>
      </c>
      <c r="AN99">
        <f>CumulativeConfirmed!AN99-CumulativeRecovered!AN99-CumulativeDead!AN99</f>
        <v>0</v>
      </c>
      <c r="AO99">
        <f>CumulativeConfirmed!AO99-CumulativeRecovered!AO99-CumulativeDead!AO99</f>
        <v>0</v>
      </c>
      <c r="AP99">
        <f>CumulativeConfirmed!AP99-CumulativeRecovered!AP99-CumulativeDead!AP99</f>
        <v>0</v>
      </c>
      <c r="AQ99">
        <f>CumulativeConfirmed!AQ99-CumulativeRecovered!AQ99-CumulativeDead!AQ99</f>
        <v>0</v>
      </c>
      <c r="AR99">
        <f>CumulativeConfirmed!AR99-CumulativeRecovered!AR99-CumulativeDead!AR99</f>
        <v>0</v>
      </c>
      <c r="AS99">
        <f>CumulativeConfirmed!AS99-CumulativeRecovered!AS99-CumulativeDead!AS99</f>
        <v>0</v>
      </c>
      <c r="AT99">
        <f>CumulativeConfirmed!AT99-CumulativeRecovered!AT99-CumulativeDead!AT99</f>
        <v>0</v>
      </c>
      <c r="AU99">
        <f>CumulativeConfirmed!AU99-CumulativeRecovered!AU99-CumulativeDead!AU99</f>
        <v>0</v>
      </c>
      <c r="AV99">
        <f>CumulativeConfirmed!AV99-CumulativeRecovered!AV99-CumulativeDead!AV99</f>
        <v>3</v>
      </c>
      <c r="AW99">
        <f>CumulativeConfirmed!AW99-CumulativeRecovered!AW99-CumulativeDead!AW99</f>
        <v>3</v>
      </c>
      <c r="AX99">
        <f>CumulativeConfirmed!AX99-CumulativeRecovered!AX99-CumulativeDead!AX99</f>
        <v>3</v>
      </c>
      <c r="AY99">
        <f>CumulativeConfirmed!AY99-CumulativeRecovered!AY99-CumulativeDead!AY99</f>
        <v>3</v>
      </c>
      <c r="AZ99">
        <f>CumulativeConfirmed!AZ99-CumulativeRecovered!AZ99-CumulativeDead!AZ99</f>
        <v>3</v>
      </c>
      <c r="BA99">
        <f>CumulativeConfirmed!BA99-CumulativeRecovered!BA99-CumulativeDead!BA99</f>
        <v>3</v>
      </c>
      <c r="BB99">
        <f>CumulativeConfirmed!BB99-CumulativeRecovered!BB99-CumulativeDead!BB99</f>
        <v>3</v>
      </c>
      <c r="BC99">
        <f>CumulativeConfirmed!BC99-CumulativeRecovered!BC99-CumulativeDead!BC99</f>
        <v>5</v>
      </c>
      <c r="BD99">
        <f>CumulativeConfirmed!BD99-CumulativeRecovered!BD99-CumulativeDead!BD99</f>
        <v>6</v>
      </c>
      <c r="BE99">
        <f>CumulativeConfirmed!BE99-CumulativeRecovered!BE99-CumulativeDead!BE99</f>
        <v>7</v>
      </c>
      <c r="BF99">
        <f>CumulativeConfirmed!BF99-CumulativeRecovered!BF99-CumulativeDead!BF99</f>
        <v>10</v>
      </c>
      <c r="BG99">
        <f>CumulativeConfirmed!BG99-CumulativeRecovered!BG99-CumulativeDead!BG99</f>
        <v>13</v>
      </c>
      <c r="BH99">
        <f>CumulativeConfirmed!BH99-CumulativeRecovered!BH99-CumulativeDead!BH99</f>
        <v>16</v>
      </c>
      <c r="BI99">
        <f>CumulativeConfirmed!BI99-CumulativeRecovered!BI99-CumulativeDead!BI99</f>
        <v>0</v>
      </c>
      <c r="BJ99">
        <f>CumulativeConfirmed!BJ99-CumulativeRecovered!BJ99-CumulativeDead!BJ99</f>
        <v>0</v>
      </c>
      <c r="BK99">
        <f>CumulativeConfirmed!BK99-CumulativeRecovered!BK99-CumulativeDead!BK99</f>
        <v>0</v>
      </c>
      <c r="BL99">
        <f>CumulativeConfirmed!BL99-CumulativeRecovered!BL99-CumulativeDead!BL99</f>
        <v>0</v>
      </c>
      <c r="BM99">
        <f>CumulativeConfirmed!BM99-CumulativeRecovered!BM99-CumulativeDead!BM99</f>
        <v>0</v>
      </c>
      <c r="BN99">
        <f>CumulativeConfirmed!BN99-CumulativeRecovered!BN99-CumulativeDead!BN99</f>
        <v>0</v>
      </c>
      <c r="BO99">
        <f>CumulativeConfirmed!BO99-CumulativeRecovered!BO99-CumulativeDead!BO99</f>
        <v>0</v>
      </c>
      <c r="BP99">
        <f>CumulativeConfirmed!BP99-CumulativeRecovered!BP99-CumulativeDead!BP99</f>
        <v>0</v>
      </c>
      <c r="BQ99">
        <f>CumulativeConfirmed!BQ99-CumulativeRecovered!BQ99-CumulativeDead!BQ99</f>
        <v>0</v>
      </c>
      <c r="BR99">
        <f>CumulativeConfirmed!BR99-CumulativeRecovered!BR99-CumulativeDead!BR99</f>
        <v>0</v>
      </c>
      <c r="BS99">
        <f>CumulativeConfirmed!BS99-CumulativeRecovered!BS99-CumulativeDead!BS99</f>
        <v>0</v>
      </c>
      <c r="BT99">
        <f>CumulativeConfirmed!BT99-CumulativeRecovered!BT99-CumulativeDead!BT99</f>
        <v>0</v>
      </c>
    </row>
    <row r="100" spans="1:72" ht="15" thickBot="1" x14ac:dyDescent="0.35">
      <c r="A100" s="3" t="s">
        <v>346</v>
      </c>
      <c r="B100">
        <f>CumulativeConfirmed!B100-CumulativeRecovered!B100-CumulativeDead!B100</f>
        <v>0</v>
      </c>
      <c r="C100">
        <f>CumulativeConfirmed!C100-CumulativeRecovered!C100-CumulativeDead!C100</f>
        <v>0</v>
      </c>
      <c r="D100">
        <f>CumulativeConfirmed!D100-CumulativeRecovered!D100-CumulativeDead!D100</f>
        <v>0</v>
      </c>
      <c r="E100">
        <f>CumulativeConfirmed!E100-CumulativeRecovered!E100-CumulativeDead!E100</f>
        <v>0</v>
      </c>
      <c r="F100">
        <f>CumulativeConfirmed!F100-CumulativeRecovered!F100-CumulativeDead!F100</f>
        <v>0</v>
      </c>
      <c r="G100">
        <f>CumulativeConfirmed!G100-CumulativeRecovered!G100-CumulativeDead!G100</f>
        <v>0</v>
      </c>
      <c r="H100">
        <f>CumulativeConfirmed!H100-CumulativeRecovered!H100-CumulativeDead!H100</f>
        <v>0</v>
      </c>
      <c r="I100">
        <f>CumulativeConfirmed!I100-CumulativeRecovered!I100-CumulativeDead!I100</f>
        <v>0</v>
      </c>
      <c r="J100">
        <f>CumulativeConfirmed!J100-CumulativeRecovered!J100-CumulativeDead!J100</f>
        <v>0</v>
      </c>
      <c r="K100">
        <f>CumulativeConfirmed!K100-CumulativeRecovered!K100-CumulativeDead!K100</f>
        <v>0</v>
      </c>
      <c r="L100">
        <f>CumulativeConfirmed!L100-CumulativeRecovered!L100-CumulativeDead!L100</f>
        <v>0</v>
      </c>
      <c r="M100">
        <f>CumulativeConfirmed!M100-CumulativeRecovered!M100-CumulativeDead!M100</f>
        <v>0</v>
      </c>
      <c r="N100">
        <f>CumulativeConfirmed!N100-CumulativeRecovered!N100-CumulativeDead!N100</f>
        <v>0</v>
      </c>
      <c r="O100">
        <f>CumulativeConfirmed!O100-CumulativeRecovered!O100-CumulativeDead!O100</f>
        <v>0</v>
      </c>
      <c r="P100">
        <f>CumulativeConfirmed!P100-CumulativeRecovered!P100-CumulativeDead!P100</f>
        <v>0</v>
      </c>
      <c r="Q100">
        <f>CumulativeConfirmed!Q100-CumulativeRecovered!Q100-CumulativeDead!Q100</f>
        <v>0</v>
      </c>
      <c r="R100">
        <f>CumulativeConfirmed!R100-CumulativeRecovered!R100-CumulativeDead!R100</f>
        <v>0</v>
      </c>
      <c r="S100">
        <f>CumulativeConfirmed!S100-CumulativeRecovered!S100-CumulativeDead!S100</f>
        <v>0</v>
      </c>
      <c r="T100">
        <f>CumulativeConfirmed!T100-CumulativeRecovered!T100-CumulativeDead!T100</f>
        <v>0</v>
      </c>
      <c r="U100">
        <f>CumulativeConfirmed!U100-CumulativeRecovered!U100-CumulativeDead!U100</f>
        <v>0</v>
      </c>
      <c r="V100">
        <f>CumulativeConfirmed!V100-CumulativeRecovered!V100-CumulativeDead!V100</f>
        <v>0</v>
      </c>
      <c r="W100">
        <f>CumulativeConfirmed!W100-CumulativeRecovered!W100-CumulativeDead!W100</f>
        <v>0</v>
      </c>
      <c r="X100">
        <f>CumulativeConfirmed!X100-CumulativeRecovered!X100-CumulativeDead!X100</f>
        <v>0</v>
      </c>
      <c r="Y100">
        <f>CumulativeConfirmed!Y100-CumulativeRecovered!Y100-CumulativeDead!Y100</f>
        <v>0</v>
      </c>
      <c r="Z100">
        <f>CumulativeConfirmed!Z100-CumulativeRecovered!Z100-CumulativeDead!Z100</f>
        <v>0</v>
      </c>
      <c r="AA100">
        <f>CumulativeConfirmed!AA100-CumulativeRecovered!AA100-CumulativeDead!AA100</f>
        <v>0</v>
      </c>
      <c r="AB100">
        <f>CumulativeConfirmed!AB100-CumulativeRecovered!AB100-CumulativeDead!AB100</f>
        <v>0</v>
      </c>
      <c r="AC100">
        <f>CumulativeConfirmed!AC100-CumulativeRecovered!AC100-CumulativeDead!AC100</f>
        <v>0</v>
      </c>
      <c r="AD100">
        <f>CumulativeConfirmed!AD100-CumulativeRecovered!AD100-CumulativeDead!AD100</f>
        <v>0</v>
      </c>
      <c r="AE100">
        <f>CumulativeConfirmed!AE100-CumulativeRecovered!AE100-CumulativeDead!AE100</f>
        <v>0</v>
      </c>
      <c r="AF100">
        <f>CumulativeConfirmed!AF100-CumulativeRecovered!AF100-CumulativeDead!AF100</f>
        <v>0</v>
      </c>
      <c r="AG100">
        <f>CumulativeConfirmed!AG100-CumulativeRecovered!AG100-CumulativeDead!AG100</f>
        <v>0</v>
      </c>
      <c r="AH100">
        <f>CumulativeConfirmed!AH100-CumulativeRecovered!AH100-CumulativeDead!AH100</f>
        <v>0</v>
      </c>
      <c r="AI100">
        <f>CumulativeConfirmed!AI100-CumulativeRecovered!AI100-CumulativeDead!AI100</f>
        <v>0</v>
      </c>
      <c r="AJ100">
        <f>CumulativeConfirmed!AJ100-CumulativeRecovered!AJ100-CumulativeDead!AJ100</f>
        <v>0</v>
      </c>
      <c r="AK100">
        <f>CumulativeConfirmed!AK100-CumulativeRecovered!AK100-CumulativeDead!AK100</f>
        <v>0</v>
      </c>
      <c r="AL100">
        <f>CumulativeConfirmed!AL100-CumulativeRecovered!AL100-CumulativeDead!AL100</f>
        <v>0</v>
      </c>
      <c r="AM100">
        <f>CumulativeConfirmed!AM100-CumulativeRecovered!AM100-CumulativeDead!AM100</f>
        <v>0</v>
      </c>
      <c r="AN100">
        <f>CumulativeConfirmed!AN100-CumulativeRecovered!AN100-CumulativeDead!AN100</f>
        <v>0</v>
      </c>
      <c r="AO100">
        <f>CumulativeConfirmed!AO100-CumulativeRecovered!AO100-CumulativeDead!AO100</f>
        <v>0</v>
      </c>
      <c r="AP100">
        <f>CumulativeConfirmed!AP100-CumulativeRecovered!AP100-CumulativeDead!AP100</f>
        <v>0</v>
      </c>
      <c r="AQ100">
        <f>CumulativeConfirmed!AQ100-CumulativeRecovered!AQ100-CumulativeDead!AQ100</f>
        <v>0</v>
      </c>
      <c r="AR100">
        <f>CumulativeConfirmed!AR100-CumulativeRecovered!AR100-CumulativeDead!AR100</f>
        <v>0</v>
      </c>
      <c r="AS100">
        <f>CumulativeConfirmed!AS100-CumulativeRecovered!AS100-CumulativeDead!AS100</f>
        <v>0</v>
      </c>
      <c r="AT100">
        <f>CumulativeConfirmed!AT100-CumulativeRecovered!AT100-CumulativeDead!AT100</f>
        <v>0</v>
      </c>
      <c r="AU100">
        <f>CumulativeConfirmed!AU100-CumulativeRecovered!AU100-CumulativeDead!AU100</f>
        <v>0</v>
      </c>
      <c r="AV100">
        <f>CumulativeConfirmed!AV100-CumulativeRecovered!AV100-CumulativeDead!AV100</f>
        <v>0</v>
      </c>
      <c r="AW100">
        <f>CumulativeConfirmed!AW100-CumulativeRecovered!AW100-CumulativeDead!AW100</f>
        <v>0</v>
      </c>
      <c r="AX100">
        <f>CumulativeConfirmed!AX100-CumulativeRecovered!AX100-CumulativeDead!AX100</f>
        <v>0</v>
      </c>
      <c r="AY100">
        <f>CumulativeConfirmed!AY100-CumulativeRecovered!AY100-CumulativeDead!AY100</f>
        <v>2</v>
      </c>
      <c r="AZ100">
        <f>CumulativeConfirmed!AZ100-CumulativeRecovered!AZ100-CumulativeDead!AZ100</f>
        <v>2</v>
      </c>
      <c r="BA100">
        <f>CumulativeConfirmed!BA100-CumulativeRecovered!BA100-CumulativeDead!BA100</f>
        <v>3</v>
      </c>
      <c r="BB100">
        <f>CumulativeConfirmed!BB100-CumulativeRecovered!BB100-CumulativeDead!BB100</f>
        <v>10</v>
      </c>
      <c r="BC100">
        <f>CumulativeConfirmed!BC100-CumulativeRecovered!BC100-CumulativeDead!BC100</f>
        <v>10</v>
      </c>
      <c r="BD100">
        <f>CumulativeConfirmed!BD100-CumulativeRecovered!BD100-CumulativeDead!BD100</f>
        <v>11</v>
      </c>
      <c r="BE100">
        <f>CumulativeConfirmed!BE100-CumulativeRecovered!BE100-CumulativeDead!BE100</f>
        <v>11</v>
      </c>
      <c r="BF100">
        <f>CumulativeConfirmed!BF100-CumulativeRecovered!BF100-CumulativeDead!BF100</f>
        <v>12</v>
      </c>
      <c r="BG100">
        <f>CumulativeConfirmed!BG100-CumulativeRecovered!BG100-CumulativeDead!BG100</f>
        <v>12</v>
      </c>
      <c r="BH100">
        <f>CumulativeConfirmed!BH100-CumulativeRecovered!BH100-CumulativeDead!BH100</f>
        <v>15</v>
      </c>
      <c r="BI100">
        <f>CumulativeConfirmed!BI100-CumulativeRecovered!BI100-CumulativeDead!BI100</f>
        <v>0</v>
      </c>
      <c r="BJ100">
        <f>CumulativeConfirmed!BJ100-CumulativeRecovered!BJ100-CumulativeDead!BJ100</f>
        <v>0</v>
      </c>
      <c r="BK100">
        <f>CumulativeConfirmed!BK100-CumulativeRecovered!BK100-CumulativeDead!BK100</f>
        <v>0</v>
      </c>
      <c r="BL100">
        <f>CumulativeConfirmed!BL100-CumulativeRecovered!BL100-CumulativeDead!BL100</f>
        <v>0</v>
      </c>
      <c r="BM100">
        <f>CumulativeConfirmed!BM100-CumulativeRecovered!BM100-CumulativeDead!BM100</f>
        <v>0</v>
      </c>
      <c r="BN100">
        <f>CumulativeConfirmed!BN100-CumulativeRecovered!BN100-CumulativeDead!BN100</f>
        <v>0</v>
      </c>
      <c r="BO100">
        <f>CumulativeConfirmed!BO100-CumulativeRecovered!BO100-CumulativeDead!BO100</f>
        <v>0</v>
      </c>
      <c r="BP100">
        <f>CumulativeConfirmed!BP100-CumulativeRecovered!BP100-CumulativeDead!BP100</f>
        <v>0</v>
      </c>
      <c r="BQ100">
        <f>CumulativeConfirmed!BQ100-CumulativeRecovered!BQ100-CumulativeDead!BQ100</f>
        <v>0</v>
      </c>
      <c r="BR100">
        <f>CumulativeConfirmed!BR100-CumulativeRecovered!BR100-CumulativeDead!BR100</f>
        <v>0</v>
      </c>
      <c r="BS100">
        <f>CumulativeConfirmed!BS100-CumulativeRecovered!BS100-CumulativeDead!BS100</f>
        <v>0</v>
      </c>
      <c r="BT100">
        <f>CumulativeConfirmed!BT100-CumulativeRecovered!BT100-CumulativeDead!BT100</f>
        <v>0</v>
      </c>
    </row>
    <row r="101" spans="1:72" ht="15" thickBot="1" x14ac:dyDescent="0.35">
      <c r="A101" s="4" t="s">
        <v>180</v>
      </c>
      <c r="B101">
        <f>CumulativeConfirmed!B101-CumulativeRecovered!B101-CumulativeDead!B101</f>
        <v>0</v>
      </c>
      <c r="C101">
        <f>CumulativeConfirmed!C101-CumulativeRecovered!C101-CumulativeDead!C101</f>
        <v>0</v>
      </c>
      <c r="D101">
        <f>CumulativeConfirmed!D101-CumulativeRecovered!D101-CumulativeDead!D101</f>
        <v>0</v>
      </c>
      <c r="E101">
        <f>CumulativeConfirmed!E101-CumulativeRecovered!E101-CumulativeDead!E101</f>
        <v>0</v>
      </c>
      <c r="F101">
        <f>CumulativeConfirmed!F101-CumulativeRecovered!F101-CumulativeDead!F101</f>
        <v>0</v>
      </c>
      <c r="G101">
        <f>CumulativeConfirmed!G101-CumulativeRecovered!G101-CumulativeDead!G101</f>
        <v>0</v>
      </c>
      <c r="H101">
        <f>CumulativeConfirmed!H101-CumulativeRecovered!H101-CumulativeDead!H101</f>
        <v>0</v>
      </c>
      <c r="I101">
        <f>CumulativeConfirmed!I101-CumulativeRecovered!I101-CumulativeDead!I101</f>
        <v>0</v>
      </c>
      <c r="J101">
        <f>CumulativeConfirmed!J101-CumulativeRecovered!J101-CumulativeDead!J101</f>
        <v>0</v>
      </c>
      <c r="K101">
        <f>CumulativeConfirmed!K101-CumulativeRecovered!K101-CumulativeDead!K101</f>
        <v>0</v>
      </c>
      <c r="L101">
        <f>CumulativeConfirmed!L101-CumulativeRecovered!L101-CumulativeDead!L101</f>
        <v>0</v>
      </c>
      <c r="M101">
        <f>CumulativeConfirmed!M101-CumulativeRecovered!M101-CumulativeDead!M101</f>
        <v>0</v>
      </c>
      <c r="N101">
        <f>CumulativeConfirmed!N101-CumulativeRecovered!N101-CumulativeDead!N101</f>
        <v>0</v>
      </c>
      <c r="O101">
        <f>CumulativeConfirmed!O101-CumulativeRecovered!O101-CumulativeDead!O101</f>
        <v>0</v>
      </c>
      <c r="P101">
        <f>CumulativeConfirmed!P101-CumulativeRecovered!P101-CumulativeDead!P101</f>
        <v>0</v>
      </c>
      <c r="Q101">
        <f>CumulativeConfirmed!Q101-CumulativeRecovered!Q101-CumulativeDead!Q101</f>
        <v>0</v>
      </c>
      <c r="R101">
        <f>CumulativeConfirmed!R101-CumulativeRecovered!R101-CumulativeDead!R101</f>
        <v>0</v>
      </c>
      <c r="S101">
        <f>CumulativeConfirmed!S101-CumulativeRecovered!S101-CumulativeDead!S101</f>
        <v>0</v>
      </c>
      <c r="T101">
        <f>CumulativeConfirmed!T101-CumulativeRecovered!T101-CumulativeDead!T101</f>
        <v>0</v>
      </c>
      <c r="U101">
        <f>CumulativeConfirmed!U101-CumulativeRecovered!U101-CumulativeDead!U101</f>
        <v>0</v>
      </c>
      <c r="V101">
        <f>CumulativeConfirmed!V101-CumulativeRecovered!V101-CumulativeDead!V101</f>
        <v>0</v>
      </c>
      <c r="W101">
        <f>CumulativeConfirmed!W101-CumulativeRecovered!W101-CumulativeDead!W101</f>
        <v>0</v>
      </c>
      <c r="X101">
        <f>CumulativeConfirmed!X101-CumulativeRecovered!X101-CumulativeDead!X101</f>
        <v>0</v>
      </c>
      <c r="Y101">
        <f>CumulativeConfirmed!Y101-CumulativeRecovered!Y101-CumulativeDead!Y101</f>
        <v>0</v>
      </c>
      <c r="Z101">
        <f>CumulativeConfirmed!Z101-CumulativeRecovered!Z101-CumulativeDead!Z101</f>
        <v>0</v>
      </c>
      <c r="AA101">
        <f>CumulativeConfirmed!AA101-CumulativeRecovered!AA101-CumulativeDead!AA101</f>
        <v>0</v>
      </c>
      <c r="AB101">
        <f>CumulativeConfirmed!AB101-CumulativeRecovered!AB101-CumulativeDead!AB101</f>
        <v>0</v>
      </c>
      <c r="AC101">
        <f>CumulativeConfirmed!AC101-CumulativeRecovered!AC101-CumulativeDead!AC101</f>
        <v>0</v>
      </c>
      <c r="AD101">
        <f>CumulativeConfirmed!AD101-CumulativeRecovered!AD101-CumulativeDead!AD101</f>
        <v>0</v>
      </c>
      <c r="AE101">
        <f>CumulativeConfirmed!AE101-CumulativeRecovered!AE101-CumulativeDead!AE101</f>
        <v>0</v>
      </c>
      <c r="AF101">
        <f>CumulativeConfirmed!AF101-CumulativeRecovered!AF101-CumulativeDead!AF101</f>
        <v>0</v>
      </c>
      <c r="AG101">
        <f>CumulativeConfirmed!AG101-CumulativeRecovered!AG101-CumulativeDead!AG101</f>
        <v>0</v>
      </c>
      <c r="AH101">
        <f>CumulativeConfirmed!AH101-CumulativeRecovered!AH101-CumulativeDead!AH101</f>
        <v>0</v>
      </c>
      <c r="AI101">
        <f>CumulativeConfirmed!AI101-CumulativeRecovered!AI101-CumulativeDead!AI101</f>
        <v>0</v>
      </c>
      <c r="AJ101">
        <f>CumulativeConfirmed!AJ101-CumulativeRecovered!AJ101-CumulativeDead!AJ101</f>
        <v>0</v>
      </c>
      <c r="AK101">
        <f>CumulativeConfirmed!AK101-CumulativeRecovered!AK101-CumulativeDead!AK101</f>
        <v>0</v>
      </c>
      <c r="AL101">
        <f>CumulativeConfirmed!AL101-CumulativeRecovered!AL101-CumulativeDead!AL101</f>
        <v>0</v>
      </c>
      <c r="AM101">
        <f>CumulativeConfirmed!AM101-CumulativeRecovered!AM101-CumulativeDead!AM101</f>
        <v>0</v>
      </c>
      <c r="AN101">
        <f>CumulativeConfirmed!AN101-CumulativeRecovered!AN101-CumulativeDead!AN101</f>
        <v>0</v>
      </c>
      <c r="AO101">
        <f>CumulativeConfirmed!AO101-CumulativeRecovered!AO101-CumulativeDead!AO101</f>
        <v>0</v>
      </c>
      <c r="AP101">
        <f>CumulativeConfirmed!AP101-CumulativeRecovered!AP101-CumulativeDead!AP101</f>
        <v>0</v>
      </c>
      <c r="AQ101">
        <f>CumulativeConfirmed!AQ101-CumulativeRecovered!AQ101-CumulativeDead!AQ101</f>
        <v>0</v>
      </c>
      <c r="AR101">
        <f>CumulativeConfirmed!AR101-CumulativeRecovered!AR101-CumulativeDead!AR101</f>
        <v>0</v>
      </c>
      <c r="AS101">
        <f>CumulativeConfirmed!AS101-CumulativeRecovered!AS101-CumulativeDead!AS101</f>
        <v>0</v>
      </c>
      <c r="AT101">
        <f>CumulativeConfirmed!AT101-CumulativeRecovered!AT101-CumulativeDead!AT101</f>
        <v>0</v>
      </c>
      <c r="AU101">
        <f>CumulativeConfirmed!AU101-CumulativeRecovered!AU101-CumulativeDead!AU101</f>
        <v>2</v>
      </c>
      <c r="AV101">
        <f>CumulativeConfirmed!AV101-CumulativeRecovered!AV101-CumulativeDead!AV101</f>
        <v>2</v>
      </c>
      <c r="AW101">
        <f>CumulativeConfirmed!AW101-CumulativeRecovered!AW101-CumulativeDead!AW101</f>
        <v>2</v>
      </c>
      <c r="AX101">
        <f>CumulativeConfirmed!AX101-CumulativeRecovered!AX101-CumulativeDead!AX101</f>
        <v>2</v>
      </c>
      <c r="AY101">
        <f>CumulativeConfirmed!AY101-CumulativeRecovered!AY101-CumulativeDead!AY101</f>
        <v>3</v>
      </c>
      <c r="AZ101">
        <f>CumulativeConfirmed!AZ101-CumulativeRecovered!AZ101-CumulativeDead!AZ101</f>
        <v>3</v>
      </c>
      <c r="BA101">
        <f>CumulativeConfirmed!BA101-CumulativeRecovered!BA101-CumulativeDead!BA101</f>
        <v>3</v>
      </c>
      <c r="BB101">
        <f>CumulativeConfirmed!BB101-CumulativeRecovered!BB101-CumulativeDead!BB101</f>
        <v>9</v>
      </c>
      <c r="BC101">
        <f>CumulativeConfirmed!BC101-CumulativeRecovered!BC101-CumulativeDead!BC101</f>
        <v>9</v>
      </c>
      <c r="BD101">
        <f>CumulativeConfirmed!BD101-CumulativeRecovered!BD101-CumulativeDead!BD101</f>
        <v>14</v>
      </c>
      <c r="BE101">
        <f>CumulativeConfirmed!BE101-CumulativeRecovered!BE101-CumulativeDead!BE101</f>
        <v>15</v>
      </c>
      <c r="BF101">
        <f>CumulativeConfirmed!BF101-CumulativeRecovered!BF101-CumulativeDead!BF101</f>
        <v>18</v>
      </c>
      <c r="BG101">
        <f>CumulativeConfirmed!BG101-CumulativeRecovered!BG101-CumulativeDead!BG101</f>
        <v>22</v>
      </c>
      <c r="BH101">
        <f>CumulativeConfirmed!BH101-CumulativeRecovered!BH101-CumulativeDead!BH101</f>
        <v>31</v>
      </c>
      <c r="BI101">
        <f>CumulativeConfirmed!BI101-CumulativeRecovered!BI101-CumulativeDead!BI101</f>
        <v>0</v>
      </c>
      <c r="BJ101">
        <f>CumulativeConfirmed!BJ101-CumulativeRecovered!BJ101-CumulativeDead!BJ101</f>
        <v>0</v>
      </c>
      <c r="BK101">
        <f>CumulativeConfirmed!BK101-CumulativeRecovered!BK101-CumulativeDead!BK101</f>
        <v>0</v>
      </c>
      <c r="BL101">
        <f>CumulativeConfirmed!BL101-CumulativeRecovered!BL101-CumulativeDead!BL101</f>
        <v>0</v>
      </c>
      <c r="BM101">
        <f>CumulativeConfirmed!BM101-CumulativeRecovered!BM101-CumulativeDead!BM101</f>
        <v>0</v>
      </c>
      <c r="BN101">
        <f>CumulativeConfirmed!BN101-CumulativeRecovered!BN101-CumulativeDead!BN101</f>
        <v>0</v>
      </c>
      <c r="BO101">
        <f>CumulativeConfirmed!BO101-CumulativeRecovered!BO101-CumulativeDead!BO101</f>
        <v>0</v>
      </c>
      <c r="BP101">
        <f>CumulativeConfirmed!BP101-CumulativeRecovered!BP101-CumulativeDead!BP101</f>
        <v>0</v>
      </c>
      <c r="BQ101">
        <f>CumulativeConfirmed!BQ101-CumulativeRecovered!BQ101-CumulativeDead!BQ101</f>
        <v>0</v>
      </c>
      <c r="BR101">
        <f>CumulativeConfirmed!BR101-CumulativeRecovered!BR101-CumulativeDead!BR101</f>
        <v>0</v>
      </c>
      <c r="BS101">
        <f>CumulativeConfirmed!BS101-CumulativeRecovered!BS101-CumulativeDead!BS101</f>
        <v>0</v>
      </c>
      <c r="BT101">
        <f>CumulativeConfirmed!BT101-CumulativeRecovered!BT101-CumulativeDead!BT101</f>
        <v>0</v>
      </c>
    </row>
    <row r="102" spans="1:72" ht="15" thickBot="1" x14ac:dyDescent="0.35">
      <c r="A102" s="3" t="s">
        <v>129</v>
      </c>
      <c r="B102">
        <f>CumulativeConfirmed!B102-CumulativeRecovered!B102-CumulativeDead!B102</f>
        <v>0</v>
      </c>
      <c r="C102">
        <f>CumulativeConfirmed!C102-CumulativeRecovered!C102-CumulativeDead!C102</f>
        <v>0</v>
      </c>
      <c r="D102">
        <f>CumulativeConfirmed!D102-CumulativeRecovered!D102-CumulativeDead!D102</f>
        <v>0</v>
      </c>
      <c r="E102">
        <f>CumulativeConfirmed!E102-CumulativeRecovered!E102-CumulativeDead!E102</f>
        <v>0</v>
      </c>
      <c r="F102">
        <f>CumulativeConfirmed!F102-CumulativeRecovered!F102-CumulativeDead!F102</f>
        <v>0</v>
      </c>
      <c r="G102">
        <f>CumulativeConfirmed!G102-CumulativeRecovered!G102-CumulativeDead!G102</f>
        <v>0</v>
      </c>
      <c r="H102">
        <f>CumulativeConfirmed!H102-CumulativeRecovered!H102-CumulativeDead!H102</f>
        <v>0</v>
      </c>
      <c r="I102">
        <f>CumulativeConfirmed!I102-CumulativeRecovered!I102-CumulativeDead!I102</f>
        <v>0</v>
      </c>
      <c r="J102">
        <f>CumulativeConfirmed!J102-CumulativeRecovered!J102-CumulativeDead!J102</f>
        <v>0</v>
      </c>
      <c r="K102">
        <f>CumulativeConfirmed!K102-CumulativeRecovered!K102-CumulativeDead!K102</f>
        <v>0</v>
      </c>
      <c r="L102">
        <f>CumulativeConfirmed!L102-CumulativeRecovered!L102-CumulativeDead!L102</f>
        <v>0</v>
      </c>
      <c r="M102">
        <f>CumulativeConfirmed!M102-CumulativeRecovered!M102-CumulativeDead!M102</f>
        <v>0</v>
      </c>
      <c r="N102">
        <f>CumulativeConfirmed!N102-CumulativeRecovered!N102-CumulativeDead!N102</f>
        <v>0</v>
      </c>
      <c r="O102">
        <f>CumulativeConfirmed!O102-CumulativeRecovered!O102-CumulativeDead!O102</f>
        <v>0</v>
      </c>
      <c r="P102">
        <f>CumulativeConfirmed!P102-CumulativeRecovered!P102-CumulativeDead!P102</f>
        <v>0</v>
      </c>
      <c r="Q102">
        <f>CumulativeConfirmed!Q102-CumulativeRecovered!Q102-CumulativeDead!Q102</f>
        <v>0</v>
      </c>
      <c r="R102">
        <f>CumulativeConfirmed!R102-CumulativeRecovered!R102-CumulativeDead!R102</f>
        <v>0</v>
      </c>
      <c r="S102">
        <f>CumulativeConfirmed!S102-CumulativeRecovered!S102-CumulativeDead!S102</f>
        <v>0</v>
      </c>
      <c r="T102">
        <f>CumulativeConfirmed!T102-CumulativeRecovered!T102-CumulativeDead!T102</f>
        <v>0</v>
      </c>
      <c r="U102">
        <f>CumulativeConfirmed!U102-CumulativeRecovered!U102-CumulativeDead!U102</f>
        <v>0</v>
      </c>
      <c r="V102">
        <f>CumulativeConfirmed!V102-CumulativeRecovered!V102-CumulativeDead!V102</f>
        <v>0</v>
      </c>
      <c r="W102">
        <f>CumulativeConfirmed!W102-CumulativeRecovered!W102-CumulativeDead!W102</f>
        <v>0</v>
      </c>
      <c r="X102">
        <f>CumulativeConfirmed!X102-CumulativeRecovered!X102-CumulativeDead!X102</f>
        <v>0</v>
      </c>
      <c r="Y102">
        <f>CumulativeConfirmed!Y102-CumulativeRecovered!Y102-CumulativeDead!Y102</f>
        <v>0</v>
      </c>
      <c r="Z102">
        <f>CumulativeConfirmed!Z102-CumulativeRecovered!Z102-CumulativeDead!Z102</f>
        <v>0</v>
      </c>
      <c r="AA102">
        <f>CumulativeConfirmed!AA102-CumulativeRecovered!AA102-CumulativeDead!AA102</f>
        <v>0</v>
      </c>
      <c r="AB102">
        <f>CumulativeConfirmed!AB102-CumulativeRecovered!AB102-CumulativeDead!AB102</f>
        <v>0</v>
      </c>
      <c r="AC102">
        <f>CumulativeConfirmed!AC102-CumulativeRecovered!AC102-CumulativeDead!AC102</f>
        <v>0</v>
      </c>
      <c r="AD102">
        <f>CumulativeConfirmed!AD102-CumulativeRecovered!AD102-CumulativeDead!AD102</f>
        <v>0</v>
      </c>
      <c r="AE102">
        <f>CumulativeConfirmed!AE102-CumulativeRecovered!AE102-CumulativeDead!AE102</f>
        <v>0</v>
      </c>
      <c r="AF102">
        <f>CumulativeConfirmed!AF102-CumulativeRecovered!AF102-CumulativeDead!AF102</f>
        <v>0</v>
      </c>
      <c r="AG102">
        <f>CumulativeConfirmed!AG102-CumulativeRecovered!AG102-CumulativeDead!AG102</f>
        <v>0</v>
      </c>
      <c r="AH102">
        <f>CumulativeConfirmed!AH102-CumulativeRecovered!AH102-CumulativeDead!AH102</f>
        <v>0</v>
      </c>
      <c r="AI102">
        <f>CumulativeConfirmed!AI102-CumulativeRecovered!AI102-CumulativeDead!AI102</f>
        <v>0</v>
      </c>
      <c r="AJ102">
        <f>CumulativeConfirmed!AJ102-CumulativeRecovered!AJ102-CumulativeDead!AJ102</f>
        <v>0</v>
      </c>
      <c r="AK102">
        <f>CumulativeConfirmed!AK102-CumulativeRecovered!AK102-CumulativeDead!AK102</f>
        <v>0</v>
      </c>
      <c r="AL102">
        <f>CumulativeConfirmed!AL102-CumulativeRecovered!AL102-CumulativeDead!AL102</f>
        <v>0</v>
      </c>
      <c r="AM102">
        <f>CumulativeConfirmed!AM102-CumulativeRecovered!AM102-CumulativeDead!AM102</f>
        <v>0</v>
      </c>
      <c r="AN102">
        <f>CumulativeConfirmed!AN102-CumulativeRecovered!AN102-CumulativeDead!AN102</f>
        <v>0</v>
      </c>
      <c r="AO102">
        <f>CumulativeConfirmed!AO102-CumulativeRecovered!AO102-CumulativeDead!AO102</f>
        <v>0</v>
      </c>
      <c r="AP102">
        <f>CumulativeConfirmed!AP102-CumulativeRecovered!AP102-CumulativeDead!AP102</f>
        <v>0</v>
      </c>
      <c r="AQ102">
        <f>CumulativeConfirmed!AQ102-CumulativeRecovered!AQ102-CumulativeDead!AQ102</f>
        <v>1</v>
      </c>
      <c r="AR102">
        <f>CumulativeConfirmed!AR102-CumulativeRecovered!AR102-CumulativeDead!AR102</f>
        <v>1</v>
      </c>
      <c r="AS102">
        <f>CumulativeConfirmed!AS102-CumulativeRecovered!AS102-CumulativeDead!AS102</f>
        <v>1</v>
      </c>
      <c r="AT102">
        <f>CumulativeConfirmed!AT102-CumulativeRecovered!AT102-CumulativeDead!AT102</f>
        <v>1</v>
      </c>
      <c r="AU102">
        <f>CumulativeConfirmed!AU102-CumulativeRecovered!AU102-CumulativeDead!AU102</f>
        <v>1</v>
      </c>
      <c r="AV102">
        <f>CumulativeConfirmed!AV102-CumulativeRecovered!AV102-CumulativeDead!AV102</f>
        <v>1</v>
      </c>
      <c r="AW102">
        <f>CumulativeConfirmed!AW102-CumulativeRecovered!AW102-CumulativeDead!AW102</f>
        <v>1</v>
      </c>
      <c r="AX102">
        <f>CumulativeConfirmed!AX102-CumulativeRecovered!AX102-CumulativeDead!AX102</f>
        <v>1</v>
      </c>
      <c r="AY102">
        <f>CumulativeConfirmed!AY102-CumulativeRecovered!AY102-CumulativeDead!AY102</f>
        <v>1</v>
      </c>
      <c r="AZ102">
        <f>CumulativeConfirmed!AZ102-CumulativeRecovered!AZ102-CumulativeDead!AZ102</f>
        <v>1</v>
      </c>
      <c r="BA102">
        <f>CumulativeConfirmed!BA102-CumulativeRecovered!BA102-CumulativeDead!BA102</f>
        <v>2</v>
      </c>
      <c r="BB102">
        <f>CumulativeConfirmed!BB102-CumulativeRecovered!BB102-CumulativeDead!BB102</f>
        <v>2</v>
      </c>
      <c r="BC102">
        <f>CumulativeConfirmed!BC102-CumulativeRecovered!BC102-CumulativeDead!BC102</f>
        <v>2</v>
      </c>
      <c r="BD102">
        <f>CumulativeConfirmed!BD102-CumulativeRecovered!BD102-CumulativeDead!BD102</f>
        <v>6</v>
      </c>
      <c r="BE102">
        <f>CumulativeConfirmed!BE102-CumulativeRecovered!BE102-CumulativeDead!BE102</f>
        <v>12</v>
      </c>
      <c r="BF102">
        <f>CumulativeConfirmed!BF102-CumulativeRecovered!BF102-CumulativeDead!BF102</f>
        <v>12</v>
      </c>
      <c r="BG102">
        <f>CumulativeConfirmed!BG102-CumulativeRecovered!BG102-CumulativeDead!BG102</f>
        <v>14</v>
      </c>
      <c r="BH102">
        <f>CumulativeConfirmed!BH102-CumulativeRecovered!BH102-CumulativeDead!BH102</f>
        <v>26</v>
      </c>
      <c r="BI102">
        <f>CumulativeConfirmed!BI102-CumulativeRecovered!BI102-CumulativeDead!BI102</f>
        <v>0</v>
      </c>
      <c r="BJ102">
        <f>CumulativeConfirmed!BJ102-CumulativeRecovered!BJ102-CumulativeDead!BJ102</f>
        <v>0</v>
      </c>
      <c r="BK102">
        <f>CumulativeConfirmed!BK102-CumulativeRecovered!BK102-CumulativeDead!BK102</f>
        <v>0</v>
      </c>
      <c r="BL102">
        <f>CumulativeConfirmed!BL102-CumulativeRecovered!BL102-CumulativeDead!BL102</f>
        <v>0</v>
      </c>
      <c r="BM102">
        <f>CumulativeConfirmed!BM102-CumulativeRecovered!BM102-CumulativeDead!BM102</f>
        <v>0</v>
      </c>
      <c r="BN102">
        <f>CumulativeConfirmed!BN102-CumulativeRecovered!BN102-CumulativeDead!BN102</f>
        <v>0</v>
      </c>
      <c r="BO102">
        <f>CumulativeConfirmed!BO102-CumulativeRecovered!BO102-CumulativeDead!BO102</f>
        <v>0</v>
      </c>
      <c r="BP102">
        <f>CumulativeConfirmed!BP102-CumulativeRecovered!BP102-CumulativeDead!BP102</f>
        <v>0</v>
      </c>
      <c r="BQ102">
        <f>CumulativeConfirmed!BQ102-CumulativeRecovered!BQ102-CumulativeDead!BQ102</f>
        <v>0</v>
      </c>
      <c r="BR102">
        <f>CumulativeConfirmed!BR102-CumulativeRecovered!BR102-CumulativeDead!BR102</f>
        <v>0</v>
      </c>
      <c r="BS102">
        <f>CumulativeConfirmed!BS102-CumulativeRecovered!BS102-CumulativeDead!BS102</f>
        <v>0</v>
      </c>
      <c r="BT102">
        <f>CumulativeConfirmed!BT102-CumulativeRecovered!BT102-CumulativeDead!BT102</f>
        <v>0</v>
      </c>
    </row>
    <row r="103" spans="1:72" ht="15" thickBot="1" x14ac:dyDescent="0.35">
      <c r="A103" s="3" t="s">
        <v>422</v>
      </c>
      <c r="B103">
        <f>CumulativeConfirmed!B103-CumulativeRecovered!B103-CumulativeDead!B103</f>
        <v>0</v>
      </c>
      <c r="C103">
        <f>CumulativeConfirmed!C103-CumulativeRecovered!C103-CumulativeDead!C103</f>
        <v>0</v>
      </c>
      <c r="D103">
        <f>CumulativeConfirmed!D103-CumulativeRecovered!D103-CumulativeDead!D103</f>
        <v>0</v>
      </c>
      <c r="E103">
        <f>CumulativeConfirmed!E103-CumulativeRecovered!E103-CumulativeDead!E103</f>
        <v>0</v>
      </c>
      <c r="F103">
        <f>CumulativeConfirmed!F103-CumulativeRecovered!F103-CumulativeDead!F103</f>
        <v>0</v>
      </c>
      <c r="G103">
        <f>CumulativeConfirmed!G103-CumulativeRecovered!G103-CumulativeDead!G103</f>
        <v>0</v>
      </c>
      <c r="H103">
        <f>CumulativeConfirmed!H103-CumulativeRecovered!H103-CumulativeDead!H103</f>
        <v>0</v>
      </c>
      <c r="I103">
        <f>CumulativeConfirmed!I103-CumulativeRecovered!I103-CumulativeDead!I103</f>
        <v>0</v>
      </c>
      <c r="J103">
        <f>CumulativeConfirmed!J103-CumulativeRecovered!J103-CumulativeDead!J103</f>
        <v>0</v>
      </c>
      <c r="K103">
        <f>CumulativeConfirmed!K103-CumulativeRecovered!K103-CumulativeDead!K103</f>
        <v>0</v>
      </c>
      <c r="L103">
        <f>CumulativeConfirmed!L103-CumulativeRecovered!L103-CumulativeDead!L103</f>
        <v>0</v>
      </c>
      <c r="M103">
        <f>CumulativeConfirmed!M103-CumulativeRecovered!M103-CumulativeDead!M103</f>
        <v>0</v>
      </c>
      <c r="N103">
        <f>CumulativeConfirmed!N103-CumulativeRecovered!N103-CumulativeDead!N103</f>
        <v>0</v>
      </c>
      <c r="O103">
        <f>CumulativeConfirmed!O103-CumulativeRecovered!O103-CumulativeDead!O103</f>
        <v>0</v>
      </c>
      <c r="P103">
        <f>CumulativeConfirmed!P103-CumulativeRecovered!P103-CumulativeDead!P103</f>
        <v>0</v>
      </c>
      <c r="Q103">
        <f>CumulativeConfirmed!Q103-CumulativeRecovered!Q103-CumulativeDead!Q103</f>
        <v>0</v>
      </c>
      <c r="R103">
        <f>CumulativeConfirmed!R103-CumulativeRecovered!R103-CumulativeDead!R103</f>
        <v>0</v>
      </c>
      <c r="S103">
        <f>CumulativeConfirmed!S103-CumulativeRecovered!S103-CumulativeDead!S103</f>
        <v>0</v>
      </c>
      <c r="T103">
        <f>CumulativeConfirmed!T103-CumulativeRecovered!T103-CumulativeDead!T103</f>
        <v>0</v>
      </c>
      <c r="U103">
        <f>CumulativeConfirmed!U103-CumulativeRecovered!U103-CumulativeDead!U103</f>
        <v>0</v>
      </c>
      <c r="V103">
        <f>CumulativeConfirmed!V103-CumulativeRecovered!V103-CumulativeDead!V103</f>
        <v>0</v>
      </c>
      <c r="W103">
        <f>CumulativeConfirmed!W103-CumulativeRecovered!W103-CumulativeDead!W103</f>
        <v>0</v>
      </c>
      <c r="X103">
        <f>CumulativeConfirmed!X103-CumulativeRecovered!X103-CumulativeDead!X103</f>
        <v>0</v>
      </c>
      <c r="Y103">
        <f>CumulativeConfirmed!Y103-CumulativeRecovered!Y103-CumulativeDead!Y103</f>
        <v>0</v>
      </c>
      <c r="Z103">
        <f>CumulativeConfirmed!Z103-CumulativeRecovered!Z103-CumulativeDead!Z103</f>
        <v>0</v>
      </c>
      <c r="AA103">
        <f>CumulativeConfirmed!AA103-CumulativeRecovered!AA103-CumulativeDead!AA103</f>
        <v>0</v>
      </c>
      <c r="AB103">
        <f>CumulativeConfirmed!AB103-CumulativeRecovered!AB103-CumulativeDead!AB103</f>
        <v>0</v>
      </c>
      <c r="AC103">
        <f>CumulativeConfirmed!AC103-CumulativeRecovered!AC103-CumulativeDead!AC103</f>
        <v>0</v>
      </c>
      <c r="AD103">
        <f>CumulativeConfirmed!AD103-CumulativeRecovered!AD103-CumulativeDead!AD103</f>
        <v>0</v>
      </c>
      <c r="AE103">
        <f>CumulativeConfirmed!AE103-CumulativeRecovered!AE103-CumulativeDead!AE103</f>
        <v>0</v>
      </c>
      <c r="AF103">
        <f>CumulativeConfirmed!AF103-CumulativeRecovered!AF103-CumulativeDead!AF103</f>
        <v>0</v>
      </c>
      <c r="AG103">
        <f>CumulativeConfirmed!AG103-CumulativeRecovered!AG103-CumulativeDead!AG103</f>
        <v>0</v>
      </c>
      <c r="AH103">
        <f>CumulativeConfirmed!AH103-CumulativeRecovered!AH103-CumulativeDead!AH103</f>
        <v>0</v>
      </c>
      <c r="AI103">
        <f>CumulativeConfirmed!AI103-CumulativeRecovered!AI103-CumulativeDead!AI103</f>
        <v>0</v>
      </c>
      <c r="AJ103">
        <f>CumulativeConfirmed!AJ103-CumulativeRecovered!AJ103-CumulativeDead!AJ103</f>
        <v>0</v>
      </c>
      <c r="AK103">
        <f>CumulativeConfirmed!AK103-CumulativeRecovered!AK103-CumulativeDead!AK103</f>
        <v>0</v>
      </c>
      <c r="AL103">
        <f>CumulativeConfirmed!AL103-CumulativeRecovered!AL103-CumulativeDead!AL103</f>
        <v>0</v>
      </c>
      <c r="AM103">
        <f>CumulativeConfirmed!AM103-CumulativeRecovered!AM103-CumulativeDead!AM103</f>
        <v>0</v>
      </c>
      <c r="AN103">
        <f>CumulativeConfirmed!AN103-CumulativeRecovered!AN103-CumulativeDead!AN103</f>
        <v>0</v>
      </c>
      <c r="AO103">
        <f>CumulativeConfirmed!AO103-CumulativeRecovered!AO103-CumulativeDead!AO103</f>
        <v>0</v>
      </c>
      <c r="AP103">
        <f>CumulativeConfirmed!AP103-CumulativeRecovered!AP103-CumulativeDead!AP103</f>
        <v>0</v>
      </c>
      <c r="AQ103">
        <f>CumulativeConfirmed!AQ103-CumulativeRecovered!AQ103-CumulativeDead!AQ103</f>
        <v>0</v>
      </c>
      <c r="AR103">
        <f>CumulativeConfirmed!AR103-CumulativeRecovered!AR103-CumulativeDead!AR103</f>
        <v>0</v>
      </c>
      <c r="AS103">
        <f>CumulativeConfirmed!AS103-CumulativeRecovered!AS103-CumulativeDead!AS103</f>
        <v>0</v>
      </c>
      <c r="AT103">
        <f>CumulativeConfirmed!AT103-CumulativeRecovered!AT103-CumulativeDead!AT103</f>
        <v>0</v>
      </c>
      <c r="AU103">
        <f>CumulativeConfirmed!AU103-CumulativeRecovered!AU103-CumulativeDead!AU103</f>
        <v>0</v>
      </c>
      <c r="AV103">
        <f>CumulativeConfirmed!AV103-CumulativeRecovered!AV103-CumulativeDead!AV103</f>
        <v>0</v>
      </c>
      <c r="AW103">
        <f>CumulativeConfirmed!AW103-CumulativeRecovered!AW103-CumulativeDead!AW103</f>
        <v>0</v>
      </c>
      <c r="AX103">
        <f>CumulativeConfirmed!AX103-CumulativeRecovered!AX103-CumulativeDead!AX103</f>
        <v>0</v>
      </c>
      <c r="AY103">
        <f>CumulativeConfirmed!AY103-CumulativeRecovered!AY103-CumulativeDead!AY103</f>
        <v>0</v>
      </c>
      <c r="AZ103">
        <f>CumulativeConfirmed!AZ103-CumulativeRecovered!AZ103-CumulativeDead!AZ103</f>
        <v>0</v>
      </c>
      <c r="BA103">
        <f>CumulativeConfirmed!BA103-CumulativeRecovered!BA103-CumulativeDead!BA103</f>
        <v>0</v>
      </c>
      <c r="BB103">
        <f>CumulativeConfirmed!BB103-CumulativeRecovered!BB103-CumulativeDead!BB103</f>
        <v>0</v>
      </c>
      <c r="BC103">
        <f>CumulativeConfirmed!BC103-CumulativeRecovered!BC103-CumulativeDead!BC103</f>
        <v>0</v>
      </c>
      <c r="BD103">
        <f>CumulativeConfirmed!BD103-CumulativeRecovered!BD103-CumulativeDead!BD103</f>
        <v>0</v>
      </c>
      <c r="BE103">
        <f>CumulativeConfirmed!BE103-CumulativeRecovered!BE103-CumulativeDead!BE103</f>
        <v>0</v>
      </c>
      <c r="BF103">
        <f>CumulativeConfirmed!BF103-CumulativeRecovered!BF103-CumulativeDead!BF103</f>
        <v>0</v>
      </c>
      <c r="BG103">
        <f>CumulativeConfirmed!BG103-CumulativeRecovered!BG103-CumulativeDead!BG103</f>
        <v>0</v>
      </c>
      <c r="BH103">
        <f>CumulativeConfirmed!BH103-CumulativeRecovered!BH103-CumulativeDead!BH103</f>
        <v>0</v>
      </c>
      <c r="BI103">
        <f>CumulativeConfirmed!BI103-CumulativeRecovered!BI103-CumulativeDead!BI103</f>
        <v>0</v>
      </c>
      <c r="BJ103">
        <f>CumulativeConfirmed!BJ103-CumulativeRecovered!BJ103-CumulativeDead!BJ103</f>
        <v>0</v>
      </c>
      <c r="BK103">
        <f>CumulativeConfirmed!BK103-CumulativeRecovered!BK103-CumulativeDead!BK103</f>
        <v>0</v>
      </c>
      <c r="BL103">
        <f>CumulativeConfirmed!BL103-CumulativeRecovered!BL103-CumulativeDead!BL103</f>
        <v>0</v>
      </c>
      <c r="BM103">
        <f>CumulativeConfirmed!BM103-CumulativeRecovered!BM103-CumulativeDead!BM103</f>
        <v>0</v>
      </c>
      <c r="BN103">
        <f>CumulativeConfirmed!BN103-CumulativeRecovered!BN103-CumulativeDead!BN103</f>
        <v>0</v>
      </c>
      <c r="BO103">
        <f>CumulativeConfirmed!BO103-CumulativeRecovered!BO103-CumulativeDead!BO103</f>
        <v>0</v>
      </c>
      <c r="BP103">
        <f>CumulativeConfirmed!BP103-CumulativeRecovered!BP103-CumulativeDead!BP103</f>
        <v>0</v>
      </c>
      <c r="BQ103">
        <f>CumulativeConfirmed!BQ103-CumulativeRecovered!BQ103-CumulativeDead!BQ103</f>
        <v>0</v>
      </c>
      <c r="BR103">
        <f>CumulativeConfirmed!BR103-CumulativeRecovered!BR103-CumulativeDead!BR103</f>
        <v>0</v>
      </c>
      <c r="BS103">
        <f>CumulativeConfirmed!BS103-CumulativeRecovered!BS103-CumulativeDead!BS103</f>
        <v>0</v>
      </c>
      <c r="BT103">
        <f>CumulativeConfirmed!BT103-CumulativeRecovered!BT103-CumulativeDead!BT103</f>
        <v>0</v>
      </c>
    </row>
    <row r="104" spans="1:72" ht="15" thickBot="1" x14ac:dyDescent="0.35">
      <c r="A104" s="4" t="s">
        <v>279</v>
      </c>
      <c r="B104">
        <f>CumulativeConfirmed!B104-CumulativeRecovered!B104-CumulativeDead!B104</f>
        <v>0</v>
      </c>
      <c r="C104">
        <f>CumulativeConfirmed!C104-CumulativeRecovered!C104-CumulativeDead!C104</f>
        <v>0</v>
      </c>
      <c r="D104">
        <f>CumulativeConfirmed!D104-CumulativeRecovered!D104-CumulativeDead!D104</f>
        <v>0</v>
      </c>
      <c r="E104">
        <f>CumulativeConfirmed!E104-CumulativeRecovered!E104-CumulativeDead!E104</f>
        <v>0</v>
      </c>
      <c r="F104">
        <f>CumulativeConfirmed!F104-CumulativeRecovered!F104-CumulativeDead!F104</f>
        <v>0</v>
      </c>
      <c r="G104">
        <f>CumulativeConfirmed!G104-CumulativeRecovered!G104-CumulativeDead!G104</f>
        <v>0</v>
      </c>
      <c r="H104">
        <f>CumulativeConfirmed!H104-CumulativeRecovered!H104-CumulativeDead!H104</f>
        <v>0</v>
      </c>
      <c r="I104">
        <f>CumulativeConfirmed!I104-CumulativeRecovered!I104-CumulativeDead!I104</f>
        <v>0</v>
      </c>
      <c r="J104">
        <f>CumulativeConfirmed!J104-CumulativeRecovered!J104-CumulativeDead!J104</f>
        <v>0</v>
      </c>
      <c r="K104">
        <f>CumulativeConfirmed!K104-CumulativeRecovered!K104-CumulativeDead!K104</f>
        <v>0</v>
      </c>
      <c r="L104">
        <f>CumulativeConfirmed!L104-CumulativeRecovered!L104-CumulativeDead!L104</f>
        <v>0</v>
      </c>
      <c r="M104">
        <f>CumulativeConfirmed!M104-CumulativeRecovered!M104-CumulativeDead!M104</f>
        <v>0</v>
      </c>
      <c r="N104">
        <f>CumulativeConfirmed!N104-CumulativeRecovered!N104-CumulativeDead!N104</f>
        <v>0</v>
      </c>
      <c r="O104">
        <f>CumulativeConfirmed!O104-CumulativeRecovered!O104-CumulativeDead!O104</f>
        <v>0</v>
      </c>
      <c r="P104">
        <f>CumulativeConfirmed!P104-CumulativeRecovered!P104-CumulativeDead!P104</f>
        <v>0</v>
      </c>
      <c r="Q104">
        <f>CumulativeConfirmed!Q104-CumulativeRecovered!Q104-CumulativeDead!Q104</f>
        <v>0</v>
      </c>
      <c r="R104">
        <f>CumulativeConfirmed!R104-CumulativeRecovered!R104-CumulativeDead!R104</f>
        <v>0</v>
      </c>
      <c r="S104">
        <f>CumulativeConfirmed!S104-CumulativeRecovered!S104-CumulativeDead!S104</f>
        <v>0</v>
      </c>
      <c r="T104">
        <f>CumulativeConfirmed!T104-CumulativeRecovered!T104-CumulativeDead!T104</f>
        <v>0</v>
      </c>
      <c r="U104">
        <f>CumulativeConfirmed!U104-CumulativeRecovered!U104-CumulativeDead!U104</f>
        <v>0</v>
      </c>
      <c r="V104">
        <f>CumulativeConfirmed!V104-CumulativeRecovered!V104-CumulativeDead!V104</f>
        <v>0</v>
      </c>
      <c r="W104">
        <f>CumulativeConfirmed!W104-CumulativeRecovered!W104-CumulativeDead!W104</f>
        <v>0</v>
      </c>
      <c r="X104">
        <f>CumulativeConfirmed!X104-CumulativeRecovered!X104-CumulativeDead!X104</f>
        <v>0</v>
      </c>
      <c r="Y104">
        <f>CumulativeConfirmed!Y104-CumulativeRecovered!Y104-CumulativeDead!Y104</f>
        <v>0</v>
      </c>
      <c r="Z104">
        <f>CumulativeConfirmed!Z104-CumulativeRecovered!Z104-CumulativeDead!Z104</f>
        <v>0</v>
      </c>
      <c r="AA104">
        <f>CumulativeConfirmed!AA104-CumulativeRecovered!AA104-CumulativeDead!AA104</f>
        <v>0</v>
      </c>
      <c r="AB104">
        <f>CumulativeConfirmed!AB104-CumulativeRecovered!AB104-CumulativeDead!AB104</f>
        <v>0</v>
      </c>
      <c r="AC104">
        <f>CumulativeConfirmed!AC104-CumulativeRecovered!AC104-CumulativeDead!AC104</f>
        <v>0</v>
      </c>
      <c r="AD104">
        <f>CumulativeConfirmed!AD104-CumulativeRecovered!AD104-CumulativeDead!AD104</f>
        <v>0</v>
      </c>
      <c r="AE104">
        <f>CumulativeConfirmed!AE104-CumulativeRecovered!AE104-CumulativeDead!AE104</f>
        <v>0</v>
      </c>
      <c r="AF104">
        <f>CumulativeConfirmed!AF104-CumulativeRecovered!AF104-CumulativeDead!AF104</f>
        <v>0</v>
      </c>
      <c r="AG104">
        <f>CumulativeConfirmed!AG104-CumulativeRecovered!AG104-CumulativeDead!AG104</f>
        <v>0</v>
      </c>
      <c r="AH104">
        <f>CumulativeConfirmed!AH104-CumulativeRecovered!AH104-CumulativeDead!AH104</f>
        <v>0</v>
      </c>
      <c r="AI104">
        <f>CumulativeConfirmed!AI104-CumulativeRecovered!AI104-CumulativeDead!AI104</f>
        <v>0</v>
      </c>
      <c r="AJ104">
        <f>CumulativeConfirmed!AJ104-CumulativeRecovered!AJ104-CumulativeDead!AJ104</f>
        <v>0</v>
      </c>
      <c r="AK104">
        <f>CumulativeConfirmed!AK104-CumulativeRecovered!AK104-CumulativeDead!AK104</f>
        <v>0</v>
      </c>
      <c r="AL104">
        <f>CumulativeConfirmed!AL104-CumulativeRecovered!AL104-CumulativeDead!AL104</f>
        <v>0</v>
      </c>
      <c r="AM104">
        <f>CumulativeConfirmed!AM104-CumulativeRecovered!AM104-CumulativeDead!AM104</f>
        <v>0</v>
      </c>
      <c r="AN104">
        <f>CumulativeConfirmed!AN104-CumulativeRecovered!AN104-CumulativeDead!AN104</f>
        <v>0</v>
      </c>
      <c r="AO104">
        <f>CumulativeConfirmed!AO104-CumulativeRecovered!AO104-CumulativeDead!AO104</f>
        <v>0</v>
      </c>
      <c r="AP104">
        <f>CumulativeConfirmed!AP104-CumulativeRecovered!AP104-CumulativeDead!AP104</f>
        <v>0</v>
      </c>
      <c r="AQ104">
        <f>CumulativeConfirmed!AQ104-CumulativeRecovered!AQ104-CumulativeDead!AQ104</f>
        <v>0</v>
      </c>
      <c r="AR104">
        <f>CumulativeConfirmed!AR104-CumulativeRecovered!AR104-CumulativeDead!AR104</f>
        <v>0</v>
      </c>
      <c r="AS104">
        <f>CumulativeConfirmed!AS104-CumulativeRecovered!AS104-CumulativeDead!AS104</f>
        <v>0</v>
      </c>
      <c r="AT104">
        <f>CumulativeConfirmed!AT104-CumulativeRecovered!AT104-CumulativeDead!AT104</f>
        <v>0</v>
      </c>
      <c r="AU104">
        <f>CumulativeConfirmed!AU104-CumulativeRecovered!AU104-CumulativeDead!AU104</f>
        <v>0</v>
      </c>
      <c r="AV104">
        <f>CumulativeConfirmed!AV104-CumulativeRecovered!AV104-CumulativeDead!AV104</f>
        <v>0</v>
      </c>
      <c r="AW104">
        <f>CumulativeConfirmed!AW104-CumulativeRecovered!AW104-CumulativeDead!AW104</f>
        <v>0</v>
      </c>
      <c r="AX104">
        <f>CumulativeConfirmed!AX104-CumulativeRecovered!AX104-CumulativeDead!AX104</f>
        <v>1</v>
      </c>
      <c r="AY104">
        <f>CumulativeConfirmed!AY104-CumulativeRecovered!AY104-CumulativeDead!AY104</f>
        <v>2</v>
      </c>
      <c r="AZ104">
        <f>CumulativeConfirmed!AZ104-CumulativeRecovered!AZ104-CumulativeDead!AZ104</f>
        <v>2</v>
      </c>
      <c r="BA104">
        <f>CumulativeConfirmed!BA104-CumulativeRecovered!BA104-CumulativeDead!BA104</f>
        <v>2</v>
      </c>
      <c r="BB104">
        <f>CumulativeConfirmed!BB104-CumulativeRecovered!BB104-CumulativeDead!BB104</f>
        <v>2</v>
      </c>
      <c r="BC104">
        <f>CumulativeConfirmed!BC104-CumulativeRecovered!BC104-CumulativeDead!BC104</f>
        <v>3</v>
      </c>
      <c r="BD104">
        <f>CumulativeConfirmed!BD104-CumulativeRecovered!BD104-CumulativeDead!BD104</f>
        <v>15</v>
      </c>
      <c r="BE104">
        <f>CumulativeConfirmed!BE104-CumulativeRecovered!BE104-CumulativeDead!BE104</f>
        <v>15</v>
      </c>
      <c r="BF104">
        <f>CumulativeConfirmed!BF104-CumulativeRecovered!BF104-CumulativeDead!BF104</f>
        <v>19</v>
      </c>
      <c r="BG104">
        <f>CumulativeConfirmed!BG104-CumulativeRecovered!BG104-CumulativeDead!BG104</f>
        <v>32</v>
      </c>
      <c r="BH104">
        <f>CumulativeConfirmed!BH104-CumulativeRecovered!BH104-CumulativeDead!BH104</f>
        <v>39</v>
      </c>
      <c r="BI104">
        <f>CumulativeConfirmed!BI104-CumulativeRecovered!BI104-CumulativeDead!BI104</f>
        <v>0</v>
      </c>
      <c r="BJ104">
        <f>CumulativeConfirmed!BJ104-CumulativeRecovered!BJ104-CumulativeDead!BJ104</f>
        <v>0</v>
      </c>
      <c r="BK104">
        <f>CumulativeConfirmed!BK104-CumulativeRecovered!BK104-CumulativeDead!BK104</f>
        <v>0</v>
      </c>
      <c r="BL104">
        <f>CumulativeConfirmed!BL104-CumulativeRecovered!BL104-CumulativeDead!BL104</f>
        <v>0</v>
      </c>
      <c r="BM104">
        <f>CumulativeConfirmed!BM104-CumulativeRecovered!BM104-CumulativeDead!BM104</f>
        <v>0</v>
      </c>
      <c r="BN104">
        <f>CumulativeConfirmed!BN104-CumulativeRecovered!BN104-CumulativeDead!BN104</f>
        <v>0</v>
      </c>
      <c r="BO104">
        <f>CumulativeConfirmed!BO104-CumulativeRecovered!BO104-CumulativeDead!BO104</f>
        <v>0</v>
      </c>
      <c r="BP104">
        <f>CumulativeConfirmed!BP104-CumulativeRecovered!BP104-CumulativeDead!BP104</f>
        <v>0</v>
      </c>
      <c r="BQ104">
        <f>CumulativeConfirmed!BQ104-CumulativeRecovered!BQ104-CumulativeDead!BQ104</f>
        <v>0</v>
      </c>
      <c r="BR104">
        <f>CumulativeConfirmed!BR104-CumulativeRecovered!BR104-CumulativeDead!BR104</f>
        <v>0</v>
      </c>
      <c r="BS104">
        <f>CumulativeConfirmed!BS104-CumulativeRecovered!BS104-CumulativeDead!BS104</f>
        <v>0</v>
      </c>
      <c r="BT104">
        <f>CumulativeConfirmed!BT104-CumulativeRecovered!BT104-CumulativeDead!BT104</f>
        <v>0</v>
      </c>
    </row>
    <row r="105" spans="1:72" ht="15" thickBot="1" x14ac:dyDescent="0.35">
      <c r="A105" s="3" t="s">
        <v>157</v>
      </c>
      <c r="B105">
        <f>CumulativeConfirmed!B105-CumulativeRecovered!B105-CumulativeDead!B105</f>
        <v>0</v>
      </c>
      <c r="C105">
        <f>CumulativeConfirmed!C105-CumulativeRecovered!C105-CumulativeDead!C105</f>
        <v>0</v>
      </c>
      <c r="D105">
        <f>CumulativeConfirmed!D105-CumulativeRecovered!D105-CumulativeDead!D105</f>
        <v>0</v>
      </c>
      <c r="E105">
        <f>CumulativeConfirmed!E105-CumulativeRecovered!E105-CumulativeDead!E105</f>
        <v>0</v>
      </c>
      <c r="F105">
        <f>CumulativeConfirmed!F105-CumulativeRecovered!F105-CumulativeDead!F105</f>
        <v>0</v>
      </c>
      <c r="G105">
        <f>CumulativeConfirmed!G105-CumulativeRecovered!G105-CumulativeDead!G105</f>
        <v>0</v>
      </c>
      <c r="H105">
        <f>CumulativeConfirmed!H105-CumulativeRecovered!H105-CumulativeDead!H105</f>
        <v>0</v>
      </c>
      <c r="I105">
        <f>CumulativeConfirmed!I105-CumulativeRecovered!I105-CumulativeDead!I105</f>
        <v>0</v>
      </c>
      <c r="J105">
        <f>CumulativeConfirmed!J105-CumulativeRecovered!J105-CumulativeDead!J105</f>
        <v>0</v>
      </c>
      <c r="K105">
        <f>CumulativeConfirmed!K105-CumulativeRecovered!K105-CumulativeDead!K105</f>
        <v>0</v>
      </c>
      <c r="L105">
        <f>CumulativeConfirmed!L105-CumulativeRecovered!L105-CumulativeDead!L105</f>
        <v>0</v>
      </c>
      <c r="M105">
        <f>CumulativeConfirmed!M105-CumulativeRecovered!M105-CumulativeDead!M105</f>
        <v>0</v>
      </c>
      <c r="N105">
        <f>CumulativeConfirmed!N105-CumulativeRecovered!N105-CumulativeDead!N105</f>
        <v>0</v>
      </c>
      <c r="O105">
        <f>CumulativeConfirmed!O105-CumulativeRecovered!O105-CumulativeDead!O105</f>
        <v>0</v>
      </c>
      <c r="P105">
        <f>CumulativeConfirmed!P105-CumulativeRecovered!P105-CumulativeDead!P105</f>
        <v>0</v>
      </c>
      <c r="Q105">
        <f>CumulativeConfirmed!Q105-CumulativeRecovered!Q105-CumulativeDead!Q105</f>
        <v>0</v>
      </c>
      <c r="R105">
        <f>CumulativeConfirmed!R105-CumulativeRecovered!R105-CumulativeDead!R105</f>
        <v>0</v>
      </c>
      <c r="S105">
        <f>CumulativeConfirmed!S105-CumulativeRecovered!S105-CumulativeDead!S105</f>
        <v>0</v>
      </c>
      <c r="T105">
        <f>CumulativeConfirmed!T105-CumulativeRecovered!T105-CumulativeDead!T105</f>
        <v>0</v>
      </c>
      <c r="U105">
        <f>CumulativeConfirmed!U105-CumulativeRecovered!U105-CumulativeDead!U105</f>
        <v>0</v>
      </c>
      <c r="V105">
        <f>CumulativeConfirmed!V105-CumulativeRecovered!V105-CumulativeDead!V105</f>
        <v>0</v>
      </c>
      <c r="W105">
        <f>CumulativeConfirmed!W105-CumulativeRecovered!W105-CumulativeDead!W105</f>
        <v>0</v>
      </c>
      <c r="X105">
        <f>CumulativeConfirmed!X105-CumulativeRecovered!X105-CumulativeDead!X105</f>
        <v>0</v>
      </c>
      <c r="Y105">
        <f>CumulativeConfirmed!Y105-CumulativeRecovered!Y105-CumulativeDead!Y105</f>
        <v>0</v>
      </c>
      <c r="Z105">
        <f>CumulativeConfirmed!Z105-CumulativeRecovered!Z105-CumulativeDead!Z105</f>
        <v>0</v>
      </c>
      <c r="AA105">
        <f>CumulativeConfirmed!AA105-CumulativeRecovered!AA105-CumulativeDead!AA105</f>
        <v>0</v>
      </c>
      <c r="AB105">
        <f>CumulativeConfirmed!AB105-CumulativeRecovered!AB105-CumulativeDead!AB105</f>
        <v>0</v>
      </c>
      <c r="AC105">
        <f>CumulativeConfirmed!AC105-CumulativeRecovered!AC105-CumulativeDead!AC105</f>
        <v>0</v>
      </c>
      <c r="AD105">
        <f>CumulativeConfirmed!AD105-CumulativeRecovered!AD105-CumulativeDead!AD105</f>
        <v>0</v>
      </c>
      <c r="AE105">
        <f>CumulativeConfirmed!AE105-CumulativeRecovered!AE105-CumulativeDead!AE105</f>
        <v>0</v>
      </c>
      <c r="AF105">
        <f>CumulativeConfirmed!AF105-CumulativeRecovered!AF105-CumulativeDead!AF105</f>
        <v>0</v>
      </c>
      <c r="AG105">
        <f>CumulativeConfirmed!AG105-CumulativeRecovered!AG105-CumulativeDead!AG105</f>
        <v>0</v>
      </c>
      <c r="AH105">
        <f>CumulativeConfirmed!AH105-CumulativeRecovered!AH105-CumulativeDead!AH105</f>
        <v>0</v>
      </c>
      <c r="AI105">
        <f>CumulativeConfirmed!AI105-CumulativeRecovered!AI105-CumulativeDead!AI105</f>
        <v>0</v>
      </c>
      <c r="AJ105">
        <f>CumulativeConfirmed!AJ105-CumulativeRecovered!AJ105-CumulativeDead!AJ105</f>
        <v>0</v>
      </c>
      <c r="AK105">
        <f>CumulativeConfirmed!AK105-CumulativeRecovered!AK105-CumulativeDead!AK105</f>
        <v>0</v>
      </c>
      <c r="AL105">
        <f>CumulativeConfirmed!AL105-CumulativeRecovered!AL105-CumulativeDead!AL105</f>
        <v>0</v>
      </c>
      <c r="AM105">
        <f>CumulativeConfirmed!AM105-CumulativeRecovered!AM105-CumulativeDead!AM105</f>
        <v>0</v>
      </c>
      <c r="AN105">
        <f>CumulativeConfirmed!AN105-CumulativeRecovered!AN105-CumulativeDead!AN105</f>
        <v>0</v>
      </c>
      <c r="AO105">
        <f>CumulativeConfirmed!AO105-CumulativeRecovered!AO105-CumulativeDead!AO105</f>
        <v>0</v>
      </c>
      <c r="AP105">
        <f>CumulativeConfirmed!AP105-CumulativeRecovered!AP105-CumulativeDead!AP105</f>
        <v>0</v>
      </c>
      <c r="AQ105">
        <f>CumulativeConfirmed!AQ105-CumulativeRecovered!AQ105-CumulativeDead!AQ105</f>
        <v>0</v>
      </c>
      <c r="AR105">
        <f>CumulativeConfirmed!AR105-CumulativeRecovered!AR105-CumulativeDead!AR105</f>
        <v>0</v>
      </c>
      <c r="AS105">
        <f>CumulativeConfirmed!AS105-CumulativeRecovered!AS105-CumulativeDead!AS105</f>
        <v>0</v>
      </c>
      <c r="AT105">
        <f>CumulativeConfirmed!AT105-CumulativeRecovered!AT105-CumulativeDead!AT105</f>
        <v>1</v>
      </c>
      <c r="AU105">
        <f>CumulativeConfirmed!AU105-CumulativeRecovered!AU105-CumulativeDead!AU105</f>
        <v>1</v>
      </c>
      <c r="AV105">
        <f>CumulativeConfirmed!AV105-CumulativeRecovered!AV105-CumulativeDead!AV105</f>
        <v>2</v>
      </c>
      <c r="AW105">
        <f>CumulativeConfirmed!AW105-CumulativeRecovered!AW105-CumulativeDead!AW105</f>
        <v>2</v>
      </c>
      <c r="AX105">
        <f>CumulativeConfirmed!AX105-CumulativeRecovered!AX105-CumulativeDead!AX105</f>
        <v>2</v>
      </c>
      <c r="AY105">
        <f>CumulativeConfirmed!AY105-CumulativeRecovered!AY105-CumulativeDead!AY105</f>
        <v>2</v>
      </c>
      <c r="AZ105">
        <f>CumulativeConfirmed!AZ105-CumulativeRecovered!AZ105-CumulativeDead!AZ105</f>
        <v>2</v>
      </c>
      <c r="BA105">
        <f>CumulativeConfirmed!BA105-CumulativeRecovered!BA105-CumulativeDead!BA105</f>
        <v>2</v>
      </c>
      <c r="BB105">
        <f>CumulativeConfirmed!BB105-CumulativeRecovered!BB105-CumulativeDead!BB105</f>
        <v>2</v>
      </c>
      <c r="BC105">
        <f>CumulativeConfirmed!BC105-CumulativeRecovered!BC105-CumulativeDead!BC105</f>
        <v>2</v>
      </c>
      <c r="BD105">
        <f>CumulativeConfirmed!BD105-CumulativeRecovered!BD105-CumulativeDead!BD105</f>
        <v>4</v>
      </c>
      <c r="BE105">
        <f>CumulativeConfirmed!BE105-CumulativeRecovered!BE105-CumulativeDead!BE105</f>
        <v>10</v>
      </c>
      <c r="BF105">
        <f>CumulativeConfirmed!BF105-CumulativeRecovered!BF105-CumulativeDead!BF105</f>
        <v>10</v>
      </c>
      <c r="BG105">
        <f>CumulativeConfirmed!BG105-CumulativeRecovered!BG105-CumulativeDead!BG105</f>
        <v>13</v>
      </c>
      <c r="BH105">
        <f>CumulativeConfirmed!BH105-CumulativeRecovered!BH105-CumulativeDead!BH105</f>
        <v>20</v>
      </c>
      <c r="BI105">
        <f>CumulativeConfirmed!BI105-CumulativeRecovered!BI105-CumulativeDead!BI105</f>
        <v>0</v>
      </c>
      <c r="BJ105">
        <f>CumulativeConfirmed!BJ105-CumulativeRecovered!BJ105-CumulativeDead!BJ105</f>
        <v>0</v>
      </c>
      <c r="BK105">
        <f>CumulativeConfirmed!BK105-CumulativeRecovered!BK105-CumulativeDead!BK105</f>
        <v>0</v>
      </c>
      <c r="BL105">
        <f>CumulativeConfirmed!BL105-CumulativeRecovered!BL105-CumulativeDead!BL105</f>
        <v>0</v>
      </c>
      <c r="BM105">
        <f>CumulativeConfirmed!BM105-CumulativeRecovered!BM105-CumulativeDead!BM105</f>
        <v>0</v>
      </c>
      <c r="BN105">
        <f>CumulativeConfirmed!BN105-CumulativeRecovered!BN105-CumulativeDead!BN105</f>
        <v>0</v>
      </c>
      <c r="BO105">
        <f>CumulativeConfirmed!BO105-CumulativeRecovered!BO105-CumulativeDead!BO105</f>
        <v>0</v>
      </c>
      <c r="BP105">
        <f>CumulativeConfirmed!BP105-CumulativeRecovered!BP105-CumulativeDead!BP105</f>
        <v>0</v>
      </c>
      <c r="BQ105">
        <f>CumulativeConfirmed!BQ105-CumulativeRecovered!BQ105-CumulativeDead!BQ105</f>
        <v>0</v>
      </c>
      <c r="BR105">
        <f>CumulativeConfirmed!BR105-CumulativeRecovered!BR105-CumulativeDead!BR105</f>
        <v>0</v>
      </c>
      <c r="BS105">
        <f>CumulativeConfirmed!BS105-CumulativeRecovered!BS105-CumulativeDead!BS105</f>
        <v>0</v>
      </c>
      <c r="BT105">
        <f>CumulativeConfirmed!BT105-CumulativeRecovered!BT105-CumulativeDead!BT105</f>
        <v>0</v>
      </c>
    </row>
    <row r="106" spans="1:72" ht="15" thickBot="1" x14ac:dyDescent="0.35">
      <c r="A106" s="4" t="s">
        <v>351</v>
      </c>
      <c r="B106">
        <f>CumulativeConfirmed!B106-CumulativeRecovered!B106-CumulativeDead!B106</f>
        <v>0</v>
      </c>
      <c r="C106">
        <f>CumulativeConfirmed!C106-CumulativeRecovered!C106-CumulativeDead!C106</f>
        <v>0</v>
      </c>
      <c r="D106">
        <f>CumulativeConfirmed!D106-CumulativeRecovered!D106-CumulativeDead!D106</f>
        <v>0</v>
      </c>
      <c r="E106">
        <f>CumulativeConfirmed!E106-CumulativeRecovered!E106-CumulativeDead!E106</f>
        <v>0</v>
      </c>
      <c r="F106">
        <f>CumulativeConfirmed!F106-CumulativeRecovered!F106-CumulativeDead!F106</f>
        <v>0</v>
      </c>
      <c r="G106">
        <f>CumulativeConfirmed!G106-CumulativeRecovered!G106-CumulativeDead!G106</f>
        <v>0</v>
      </c>
      <c r="H106">
        <f>CumulativeConfirmed!H106-CumulativeRecovered!H106-CumulativeDead!H106</f>
        <v>0</v>
      </c>
      <c r="I106">
        <f>CumulativeConfirmed!I106-CumulativeRecovered!I106-CumulativeDead!I106</f>
        <v>0</v>
      </c>
      <c r="J106">
        <f>CumulativeConfirmed!J106-CumulativeRecovered!J106-CumulativeDead!J106</f>
        <v>0</v>
      </c>
      <c r="K106">
        <f>CumulativeConfirmed!K106-CumulativeRecovered!K106-CumulativeDead!K106</f>
        <v>0</v>
      </c>
      <c r="L106">
        <f>CumulativeConfirmed!L106-CumulativeRecovered!L106-CumulativeDead!L106</f>
        <v>0</v>
      </c>
      <c r="M106">
        <f>CumulativeConfirmed!M106-CumulativeRecovered!M106-CumulativeDead!M106</f>
        <v>0</v>
      </c>
      <c r="N106">
        <f>CumulativeConfirmed!N106-CumulativeRecovered!N106-CumulativeDead!N106</f>
        <v>0</v>
      </c>
      <c r="O106">
        <f>CumulativeConfirmed!O106-CumulativeRecovered!O106-CumulativeDead!O106</f>
        <v>0</v>
      </c>
      <c r="P106">
        <f>CumulativeConfirmed!P106-CumulativeRecovered!P106-CumulativeDead!P106</f>
        <v>0</v>
      </c>
      <c r="Q106">
        <f>CumulativeConfirmed!Q106-CumulativeRecovered!Q106-CumulativeDead!Q106</f>
        <v>0</v>
      </c>
      <c r="R106">
        <f>CumulativeConfirmed!R106-CumulativeRecovered!R106-CumulativeDead!R106</f>
        <v>0</v>
      </c>
      <c r="S106">
        <f>CumulativeConfirmed!S106-CumulativeRecovered!S106-CumulativeDead!S106</f>
        <v>0</v>
      </c>
      <c r="T106">
        <f>CumulativeConfirmed!T106-CumulativeRecovered!T106-CumulativeDead!T106</f>
        <v>0</v>
      </c>
      <c r="U106">
        <f>CumulativeConfirmed!U106-CumulativeRecovered!U106-CumulativeDead!U106</f>
        <v>0</v>
      </c>
      <c r="V106">
        <f>CumulativeConfirmed!V106-CumulativeRecovered!V106-CumulativeDead!V106</f>
        <v>0</v>
      </c>
      <c r="W106">
        <f>CumulativeConfirmed!W106-CumulativeRecovered!W106-CumulativeDead!W106</f>
        <v>0</v>
      </c>
      <c r="X106">
        <f>CumulativeConfirmed!X106-CumulativeRecovered!X106-CumulativeDead!X106</f>
        <v>0</v>
      </c>
      <c r="Y106">
        <f>CumulativeConfirmed!Y106-CumulativeRecovered!Y106-CumulativeDead!Y106</f>
        <v>0</v>
      </c>
      <c r="Z106">
        <f>CumulativeConfirmed!Z106-CumulativeRecovered!Z106-CumulativeDead!Z106</f>
        <v>0</v>
      </c>
      <c r="AA106">
        <f>CumulativeConfirmed!AA106-CumulativeRecovered!AA106-CumulativeDead!AA106</f>
        <v>0</v>
      </c>
      <c r="AB106">
        <f>CumulativeConfirmed!AB106-CumulativeRecovered!AB106-CumulativeDead!AB106</f>
        <v>0</v>
      </c>
      <c r="AC106">
        <f>CumulativeConfirmed!AC106-CumulativeRecovered!AC106-CumulativeDead!AC106</f>
        <v>0</v>
      </c>
      <c r="AD106">
        <f>CumulativeConfirmed!AD106-CumulativeRecovered!AD106-CumulativeDead!AD106</f>
        <v>0</v>
      </c>
      <c r="AE106">
        <f>CumulativeConfirmed!AE106-CumulativeRecovered!AE106-CumulativeDead!AE106</f>
        <v>0</v>
      </c>
      <c r="AF106">
        <f>CumulativeConfirmed!AF106-CumulativeRecovered!AF106-CumulativeDead!AF106</f>
        <v>0</v>
      </c>
      <c r="AG106">
        <f>CumulativeConfirmed!AG106-CumulativeRecovered!AG106-CumulativeDead!AG106</f>
        <v>0</v>
      </c>
      <c r="AH106">
        <f>CumulativeConfirmed!AH106-CumulativeRecovered!AH106-CumulativeDead!AH106</f>
        <v>0</v>
      </c>
      <c r="AI106">
        <f>CumulativeConfirmed!AI106-CumulativeRecovered!AI106-CumulativeDead!AI106</f>
        <v>0</v>
      </c>
      <c r="AJ106">
        <f>CumulativeConfirmed!AJ106-CumulativeRecovered!AJ106-CumulativeDead!AJ106</f>
        <v>0</v>
      </c>
      <c r="AK106">
        <f>CumulativeConfirmed!AK106-CumulativeRecovered!AK106-CumulativeDead!AK106</f>
        <v>0</v>
      </c>
      <c r="AL106">
        <f>CumulativeConfirmed!AL106-CumulativeRecovered!AL106-CumulativeDead!AL106</f>
        <v>0</v>
      </c>
      <c r="AM106">
        <f>CumulativeConfirmed!AM106-CumulativeRecovered!AM106-CumulativeDead!AM106</f>
        <v>0</v>
      </c>
      <c r="AN106">
        <f>CumulativeConfirmed!AN106-CumulativeRecovered!AN106-CumulativeDead!AN106</f>
        <v>0</v>
      </c>
      <c r="AO106">
        <f>CumulativeConfirmed!AO106-CumulativeRecovered!AO106-CumulativeDead!AO106</f>
        <v>0</v>
      </c>
      <c r="AP106">
        <f>CumulativeConfirmed!AP106-CumulativeRecovered!AP106-CumulativeDead!AP106</f>
        <v>0</v>
      </c>
      <c r="AQ106">
        <f>CumulativeConfirmed!AQ106-CumulativeRecovered!AQ106-CumulativeDead!AQ106</f>
        <v>0</v>
      </c>
      <c r="AR106">
        <f>CumulativeConfirmed!AR106-CumulativeRecovered!AR106-CumulativeDead!AR106</f>
        <v>0</v>
      </c>
      <c r="AS106">
        <f>CumulativeConfirmed!AS106-CumulativeRecovered!AS106-CumulativeDead!AS106</f>
        <v>0</v>
      </c>
      <c r="AT106">
        <f>CumulativeConfirmed!AT106-CumulativeRecovered!AT106-CumulativeDead!AT106</f>
        <v>0</v>
      </c>
      <c r="AU106">
        <f>CumulativeConfirmed!AU106-CumulativeRecovered!AU106-CumulativeDead!AU106</f>
        <v>0</v>
      </c>
      <c r="AV106">
        <f>CumulativeConfirmed!AV106-CumulativeRecovered!AV106-CumulativeDead!AV106</f>
        <v>0</v>
      </c>
      <c r="AW106">
        <f>CumulativeConfirmed!AW106-CumulativeRecovered!AW106-CumulativeDead!AW106</f>
        <v>0</v>
      </c>
      <c r="AX106">
        <f>CumulativeConfirmed!AX106-CumulativeRecovered!AX106-CumulativeDead!AX106</f>
        <v>0</v>
      </c>
      <c r="AY106">
        <f>CumulativeConfirmed!AY106-CumulativeRecovered!AY106-CumulativeDead!AY106</f>
        <v>1</v>
      </c>
      <c r="AZ106">
        <f>CumulativeConfirmed!AZ106-CumulativeRecovered!AZ106-CumulativeDead!AZ106</f>
        <v>1</v>
      </c>
      <c r="BA106">
        <f>CumulativeConfirmed!BA106-CumulativeRecovered!BA106-CumulativeDead!BA106</f>
        <v>2</v>
      </c>
      <c r="BB106">
        <f>CumulativeConfirmed!BB106-CumulativeRecovered!BB106-CumulativeDead!BB106</f>
        <v>2</v>
      </c>
      <c r="BC106">
        <f>CumulativeConfirmed!BC106-CumulativeRecovered!BC106-CumulativeDead!BC106</f>
        <v>2</v>
      </c>
      <c r="BD106">
        <f>CumulativeConfirmed!BD106-CumulativeRecovered!BD106-CumulativeDead!BD106</f>
        <v>2</v>
      </c>
      <c r="BE106">
        <f>CumulativeConfirmed!BE106-CumulativeRecovered!BE106-CumulativeDead!BE106</f>
        <v>3</v>
      </c>
      <c r="BF106">
        <f>CumulativeConfirmed!BF106-CumulativeRecovered!BF106-CumulativeDead!BF106</f>
        <v>4</v>
      </c>
      <c r="BG106">
        <f>CumulativeConfirmed!BG106-CumulativeRecovered!BG106-CumulativeDead!BG106</f>
        <v>14</v>
      </c>
      <c r="BH106">
        <f>CumulativeConfirmed!BH106-CumulativeRecovered!BH106-CumulativeDead!BH106</f>
        <v>18</v>
      </c>
      <c r="BI106">
        <f>CumulativeConfirmed!BI106-CumulativeRecovered!BI106-CumulativeDead!BI106</f>
        <v>0</v>
      </c>
      <c r="BJ106">
        <f>CumulativeConfirmed!BJ106-CumulativeRecovered!BJ106-CumulativeDead!BJ106</f>
        <v>0</v>
      </c>
      <c r="BK106">
        <f>CumulativeConfirmed!BK106-CumulativeRecovered!BK106-CumulativeDead!BK106</f>
        <v>0</v>
      </c>
      <c r="BL106">
        <f>CumulativeConfirmed!BL106-CumulativeRecovered!BL106-CumulativeDead!BL106</f>
        <v>0</v>
      </c>
      <c r="BM106">
        <f>CumulativeConfirmed!BM106-CumulativeRecovered!BM106-CumulativeDead!BM106</f>
        <v>0</v>
      </c>
      <c r="BN106">
        <f>CumulativeConfirmed!BN106-CumulativeRecovered!BN106-CumulativeDead!BN106</f>
        <v>0</v>
      </c>
      <c r="BO106">
        <f>CumulativeConfirmed!BO106-CumulativeRecovered!BO106-CumulativeDead!BO106</f>
        <v>0</v>
      </c>
      <c r="BP106">
        <f>CumulativeConfirmed!BP106-CumulativeRecovered!BP106-CumulativeDead!BP106</f>
        <v>0</v>
      </c>
      <c r="BQ106">
        <f>CumulativeConfirmed!BQ106-CumulativeRecovered!BQ106-CumulativeDead!BQ106</f>
        <v>0</v>
      </c>
      <c r="BR106">
        <f>CumulativeConfirmed!BR106-CumulativeRecovered!BR106-CumulativeDead!BR106</f>
        <v>0</v>
      </c>
      <c r="BS106">
        <f>CumulativeConfirmed!BS106-CumulativeRecovered!BS106-CumulativeDead!BS106</f>
        <v>0</v>
      </c>
      <c r="BT106">
        <f>CumulativeConfirmed!BT106-CumulativeRecovered!BT106-CumulativeDead!BT106</f>
        <v>0</v>
      </c>
    </row>
    <row r="107" spans="1:72" ht="15" thickBot="1" x14ac:dyDescent="0.35">
      <c r="A107" s="4" t="s">
        <v>348</v>
      </c>
      <c r="B107">
        <f>CumulativeConfirmed!B107-CumulativeRecovered!B107-CumulativeDead!B107</f>
        <v>0</v>
      </c>
      <c r="C107">
        <f>CumulativeConfirmed!C107-CumulativeRecovered!C107-CumulativeDead!C107</f>
        <v>0</v>
      </c>
      <c r="D107">
        <f>CumulativeConfirmed!D107-CumulativeRecovered!D107-CumulativeDead!D107</f>
        <v>0</v>
      </c>
      <c r="E107">
        <f>CumulativeConfirmed!E107-CumulativeRecovered!E107-CumulativeDead!E107</f>
        <v>0</v>
      </c>
      <c r="F107">
        <f>CumulativeConfirmed!F107-CumulativeRecovered!F107-CumulativeDead!F107</f>
        <v>0</v>
      </c>
      <c r="G107">
        <f>CumulativeConfirmed!G107-CumulativeRecovered!G107-CumulativeDead!G107</f>
        <v>0</v>
      </c>
      <c r="H107">
        <f>CumulativeConfirmed!H107-CumulativeRecovered!H107-CumulativeDead!H107</f>
        <v>0</v>
      </c>
      <c r="I107">
        <f>CumulativeConfirmed!I107-CumulativeRecovered!I107-CumulativeDead!I107</f>
        <v>0</v>
      </c>
      <c r="J107">
        <f>CumulativeConfirmed!J107-CumulativeRecovered!J107-CumulativeDead!J107</f>
        <v>0</v>
      </c>
      <c r="K107">
        <f>CumulativeConfirmed!K107-CumulativeRecovered!K107-CumulativeDead!K107</f>
        <v>0</v>
      </c>
      <c r="L107">
        <f>CumulativeConfirmed!L107-CumulativeRecovered!L107-CumulativeDead!L107</f>
        <v>0</v>
      </c>
      <c r="M107">
        <f>CumulativeConfirmed!M107-CumulativeRecovered!M107-CumulativeDead!M107</f>
        <v>0</v>
      </c>
      <c r="N107">
        <f>CumulativeConfirmed!N107-CumulativeRecovered!N107-CumulativeDead!N107</f>
        <v>0</v>
      </c>
      <c r="O107">
        <f>CumulativeConfirmed!O107-CumulativeRecovered!O107-CumulativeDead!O107</f>
        <v>0</v>
      </c>
      <c r="P107">
        <f>CumulativeConfirmed!P107-CumulativeRecovered!P107-CumulativeDead!P107</f>
        <v>0</v>
      </c>
      <c r="Q107">
        <f>CumulativeConfirmed!Q107-CumulativeRecovered!Q107-CumulativeDead!Q107</f>
        <v>0</v>
      </c>
      <c r="R107">
        <f>CumulativeConfirmed!R107-CumulativeRecovered!R107-CumulativeDead!R107</f>
        <v>0</v>
      </c>
      <c r="S107">
        <f>CumulativeConfirmed!S107-CumulativeRecovered!S107-CumulativeDead!S107</f>
        <v>0</v>
      </c>
      <c r="T107">
        <f>CumulativeConfirmed!T107-CumulativeRecovered!T107-CumulativeDead!T107</f>
        <v>0</v>
      </c>
      <c r="U107">
        <f>CumulativeConfirmed!U107-CumulativeRecovered!U107-CumulativeDead!U107</f>
        <v>0</v>
      </c>
      <c r="V107">
        <f>CumulativeConfirmed!V107-CumulativeRecovered!V107-CumulativeDead!V107</f>
        <v>0</v>
      </c>
      <c r="W107">
        <f>CumulativeConfirmed!W107-CumulativeRecovered!W107-CumulativeDead!W107</f>
        <v>0</v>
      </c>
      <c r="X107">
        <f>CumulativeConfirmed!X107-CumulativeRecovered!X107-CumulativeDead!X107</f>
        <v>0</v>
      </c>
      <c r="Y107">
        <f>CumulativeConfirmed!Y107-CumulativeRecovered!Y107-CumulativeDead!Y107</f>
        <v>0</v>
      </c>
      <c r="Z107">
        <f>CumulativeConfirmed!Z107-CumulativeRecovered!Z107-CumulativeDead!Z107</f>
        <v>0</v>
      </c>
      <c r="AA107">
        <f>CumulativeConfirmed!AA107-CumulativeRecovered!AA107-CumulativeDead!AA107</f>
        <v>0</v>
      </c>
      <c r="AB107">
        <f>CumulativeConfirmed!AB107-CumulativeRecovered!AB107-CumulativeDead!AB107</f>
        <v>0</v>
      </c>
      <c r="AC107">
        <f>CumulativeConfirmed!AC107-CumulativeRecovered!AC107-CumulativeDead!AC107</f>
        <v>0</v>
      </c>
      <c r="AD107">
        <f>CumulativeConfirmed!AD107-CumulativeRecovered!AD107-CumulativeDead!AD107</f>
        <v>0</v>
      </c>
      <c r="AE107">
        <f>CumulativeConfirmed!AE107-CumulativeRecovered!AE107-CumulativeDead!AE107</f>
        <v>0</v>
      </c>
      <c r="AF107">
        <f>CumulativeConfirmed!AF107-CumulativeRecovered!AF107-CumulativeDead!AF107</f>
        <v>0</v>
      </c>
      <c r="AG107">
        <f>CumulativeConfirmed!AG107-CumulativeRecovered!AG107-CumulativeDead!AG107</f>
        <v>0</v>
      </c>
      <c r="AH107">
        <f>CumulativeConfirmed!AH107-CumulativeRecovered!AH107-CumulativeDead!AH107</f>
        <v>0</v>
      </c>
      <c r="AI107">
        <f>CumulativeConfirmed!AI107-CumulativeRecovered!AI107-CumulativeDead!AI107</f>
        <v>0</v>
      </c>
      <c r="AJ107">
        <f>CumulativeConfirmed!AJ107-CumulativeRecovered!AJ107-CumulativeDead!AJ107</f>
        <v>0</v>
      </c>
      <c r="AK107">
        <f>CumulativeConfirmed!AK107-CumulativeRecovered!AK107-CumulativeDead!AK107</f>
        <v>0</v>
      </c>
      <c r="AL107">
        <f>CumulativeConfirmed!AL107-CumulativeRecovered!AL107-CumulativeDead!AL107</f>
        <v>0</v>
      </c>
      <c r="AM107">
        <f>CumulativeConfirmed!AM107-CumulativeRecovered!AM107-CumulativeDead!AM107</f>
        <v>0</v>
      </c>
      <c r="AN107">
        <f>CumulativeConfirmed!AN107-CumulativeRecovered!AN107-CumulativeDead!AN107</f>
        <v>0</v>
      </c>
      <c r="AO107">
        <f>CumulativeConfirmed!AO107-CumulativeRecovered!AO107-CumulativeDead!AO107</f>
        <v>0</v>
      </c>
      <c r="AP107">
        <f>CumulativeConfirmed!AP107-CumulativeRecovered!AP107-CumulativeDead!AP107</f>
        <v>0</v>
      </c>
      <c r="AQ107">
        <f>CumulativeConfirmed!AQ107-CumulativeRecovered!AQ107-CumulativeDead!AQ107</f>
        <v>0</v>
      </c>
      <c r="AR107">
        <f>CumulativeConfirmed!AR107-CumulativeRecovered!AR107-CumulativeDead!AR107</f>
        <v>0</v>
      </c>
      <c r="AS107">
        <f>CumulativeConfirmed!AS107-CumulativeRecovered!AS107-CumulativeDead!AS107</f>
        <v>0</v>
      </c>
      <c r="AT107">
        <f>CumulativeConfirmed!AT107-CumulativeRecovered!AT107-CumulativeDead!AT107</f>
        <v>0</v>
      </c>
      <c r="AU107">
        <f>CumulativeConfirmed!AU107-CumulativeRecovered!AU107-CumulativeDead!AU107</f>
        <v>0</v>
      </c>
      <c r="AV107">
        <f>CumulativeConfirmed!AV107-CumulativeRecovered!AV107-CumulativeDead!AV107</f>
        <v>0</v>
      </c>
      <c r="AW107">
        <f>CumulativeConfirmed!AW107-CumulativeRecovered!AW107-CumulativeDead!AW107</f>
        <v>0</v>
      </c>
      <c r="AX107">
        <f>CumulativeConfirmed!AX107-CumulativeRecovered!AX107-CumulativeDead!AX107</f>
        <v>0</v>
      </c>
      <c r="AY107">
        <f>CumulativeConfirmed!AY107-CumulativeRecovered!AY107-CumulativeDead!AY107</f>
        <v>2</v>
      </c>
      <c r="AZ107">
        <f>CumulativeConfirmed!AZ107-CumulativeRecovered!AZ107-CumulativeDead!AZ107</f>
        <v>2</v>
      </c>
      <c r="BA107">
        <f>CumulativeConfirmed!BA107-CumulativeRecovered!BA107-CumulativeDead!BA107</f>
        <v>2</v>
      </c>
      <c r="BB107">
        <f>CumulativeConfirmed!BB107-CumulativeRecovered!BB107-CumulativeDead!BB107</f>
        <v>2</v>
      </c>
      <c r="BC107">
        <f>CumulativeConfirmed!BC107-CumulativeRecovered!BC107-CumulativeDead!BC107</f>
        <v>3</v>
      </c>
      <c r="BD107">
        <f>CumulativeConfirmed!BD107-CumulativeRecovered!BD107-CumulativeDead!BD107</f>
        <v>6</v>
      </c>
      <c r="BE107">
        <f>CumulativeConfirmed!BE107-CumulativeRecovered!BE107-CumulativeDead!BE107</f>
        <v>8</v>
      </c>
      <c r="BF107">
        <f>CumulativeConfirmed!BF107-CumulativeRecovered!BF107-CumulativeDead!BF107</f>
        <v>9</v>
      </c>
      <c r="BG107">
        <f>CumulativeConfirmed!BG107-CumulativeRecovered!BG107-CumulativeDead!BG107</f>
        <v>12</v>
      </c>
      <c r="BH107">
        <f>CumulativeConfirmed!BH107-CumulativeRecovered!BH107-CumulativeDead!BH107</f>
        <v>24</v>
      </c>
      <c r="BI107">
        <f>CumulativeConfirmed!BI107-CumulativeRecovered!BI107-CumulativeDead!BI107</f>
        <v>0</v>
      </c>
      <c r="BJ107">
        <f>CumulativeConfirmed!BJ107-CumulativeRecovered!BJ107-CumulativeDead!BJ107</f>
        <v>0</v>
      </c>
      <c r="BK107">
        <f>CumulativeConfirmed!BK107-CumulativeRecovered!BK107-CumulativeDead!BK107</f>
        <v>0</v>
      </c>
      <c r="BL107">
        <f>CumulativeConfirmed!BL107-CumulativeRecovered!BL107-CumulativeDead!BL107</f>
        <v>0</v>
      </c>
      <c r="BM107">
        <f>CumulativeConfirmed!BM107-CumulativeRecovered!BM107-CumulativeDead!BM107</f>
        <v>0</v>
      </c>
      <c r="BN107">
        <f>CumulativeConfirmed!BN107-CumulativeRecovered!BN107-CumulativeDead!BN107</f>
        <v>0</v>
      </c>
      <c r="BO107">
        <f>CumulativeConfirmed!BO107-CumulativeRecovered!BO107-CumulativeDead!BO107</f>
        <v>0</v>
      </c>
      <c r="BP107">
        <f>CumulativeConfirmed!BP107-CumulativeRecovered!BP107-CumulativeDead!BP107</f>
        <v>0</v>
      </c>
      <c r="BQ107">
        <f>CumulativeConfirmed!BQ107-CumulativeRecovered!BQ107-CumulativeDead!BQ107</f>
        <v>0</v>
      </c>
      <c r="BR107">
        <f>CumulativeConfirmed!BR107-CumulativeRecovered!BR107-CumulativeDead!BR107</f>
        <v>0</v>
      </c>
      <c r="BS107">
        <f>CumulativeConfirmed!BS107-CumulativeRecovered!BS107-CumulativeDead!BS107</f>
        <v>0</v>
      </c>
      <c r="BT107">
        <f>CumulativeConfirmed!BT107-CumulativeRecovered!BT107-CumulativeDead!BT107</f>
        <v>0</v>
      </c>
    </row>
    <row r="108" spans="1:72" ht="15" thickBot="1" x14ac:dyDescent="0.35">
      <c r="A108" s="4" t="s">
        <v>100</v>
      </c>
      <c r="B108">
        <f>CumulativeConfirmed!B108-CumulativeRecovered!B108-CumulativeDead!B108</f>
        <v>0</v>
      </c>
      <c r="C108">
        <f>CumulativeConfirmed!C108-CumulativeRecovered!C108-CumulativeDead!C108</f>
        <v>0</v>
      </c>
      <c r="D108">
        <f>CumulativeConfirmed!D108-CumulativeRecovered!D108-CumulativeDead!D108</f>
        <v>0</v>
      </c>
      <c r="E108">
        <f>CumulativeConfirmed!E108-CumulativeRecovered!E108-CumulativeDead!E108</f>
        <v>0</v>
      </c>
      <c r="F108">
        <f>CumulativeConfirmed!F108-CumulativeRecovered!F108-CumulativeDead!F108</f>
        <v>0</v>
      </c>
      <c r="G108">
        <f>CumulativeConfirmed!G108-CumulativeRecovered!G108-CumulativeDead!G108</f>
        <v>0</v>
      </c>
      <c r="H108">
        <f>CumulativeConfirmed!H108-CumulativeRecovered!H108-CumulativeDead!H108</f>
        <v>0</v>
      </c>
      <c r="I108">
        <f>CumulativeConfirmed!I108-CumulativeRecovered!I108-CumulativeDead!I108</f>
        <v>0</v>
      </c>
      <c r="J108">
        <f>CumulativeConfirmed!J108-CumulativeRecovered!J108-CumulativeDead!J108</f>
        <v>0</v>
      </c>
      <c r="K108">
        <f>CumulativeConfirmed!K108-CumulativeRecovered!K108-CumulativeDead!K108</f>
        <v>0</v>
      </c>
      <c r="L108">
        <f>CumulativeConfirmed!L108-CumulativeRecovered!L108-CumulativeDead!L108</f>
        <v>0</v>
      </c>
      <c r="M108">
        <f>CumulativeConfirmed!M108-CumulativeRecovered!M108-CumulativeDead!M108</f>
        <v>0</v>
      </c>
      <c r="N108">
        <f>CumulativeConfirmed!N108-CumulativeRecovered!N108-CumulativeDead!N108</f>
        <v>0</v>
      </c>
      <c r="O108">
        <f>CumulativeConfirmed!O108-CumulativeRecovered!O108-CumulativeDead!O108</f>
        <v>0</v>
      </c>
      <c r="P108">
        <f>CumulativeConfirmed!P108-CumulativeRecovered!P108-CumulativeDead!P108</f>
        <v>0</v>
      </c>
      <c r="Q108">
        <f>CumulativeConfirmed!Q108-CumulativeRecovered!Q108-CumulativeDead!Q108</f>
        <v>0</v>
      </c>
      <c r="R108">
        <f>CumulativeConfirmed!R108-CumulativeRecovered!R108-CumulativeDead!R108</f>
        <v>0</v>
      </c>
      <c r="S108">
        <f>CumulativeConfirmed!S108-CumulativeRecovered!S108-CumulativeDead!S108</f>
        <v>0</v>
      </c>
      <c r="T108">
        <f>CumulativeConfirmed!T108-CumulativeRecovered!T108-CumulativeDead!T108</f>
        <v>0</v>
      </c>
      <c r="U108">
        <f>CumulativeConfirmed!U108-CumulativeRecovered!U108-CumulativeDead!U108</f>
        <v>0</v>
      </c>
      <c r="V108">
        <f>CumulativeConfirmed!V108-CumulativeRecovered!V108-CumulativeDead!V108</f>
        <v>0</v>
      </c>
      <c r="W108">
        <f>CumulativeConfirmed!W108-CumulativeRecovered!W108-CumulativeDead!W108</f>
        <v>0</v>
      </c>
      <c r="X108">
        <f>CumulativeConfirmed!X108-CumulativeRecovered!X108-CumulativeDead!X108</f>
        <v>0</v>
      </c>
      <c r="Y108">
        <f>CumulativeConfirmed!Y108-CumulativeRecovered!Y108-CumulativeDead!Y108</f>
        <v>0</v>
      </c>
      <c r="Z108">
        <f>CumulativeConfirmed!Z108-CumulativeRecovered!Z108-CumulativeDead!Z108</f>
        <v>0</v>
      </c>
      <c r="AA108">
        <f>CumulativeConfirmed!AA108-CumulativeRecovered!AA108-CumulativeDead!AA108</f>
        <v>0</v>
      </c>
      <c r="AB108">
        <f>CumulativeConfirmed!AB108-CumulativeRecovered!AB108-CumulativeDead!AB108</f>
        <v>0</v>
      </c>
      <c r="AC108">
        <f>CumulativeConfirmed!AC108-CumulativeRecovered!AC108-CumulativeDead!AC108</f>
        <v>0</v>
      </c>
      <c r="AD108">
        <f>CumulativeConfirmed!AD108-CumulativeRecovered!AD108-CumulativeDead!AD108</f>
        <v>0</v>
      </c>
      <c r="AE108">
        <f>CumulativeConfirmed!AE108-CumulativeRecovered!AE108-CumulativeDead!AE108</f>
        <v>0</v>
      </c>
      <c r="AF108">
        <f>CumulativeConfirmed!AF108-CumulativeRecovered!AF108-CumulativeDead!AF108</f>
        <v>0</v>
      </c>
      <c r="AG108">
        <f>CumulativeConfirmed!AG108-CumulativeRecovered!AG108-CumulativeDead!AG108</f>
        <v>0</v>
      </c>
      <c r="AH108">
        <f>CumulativeConfirmed!AH108-CumulativeRecovered!AH108-CumulativeDead!AH108</f>
        <v>0</v>
      </c>
      <c r="AI108">
        <f>CumulativeConfirmed!AI108-CumulativeRecovered!AI108-CumulativeDead!AI108</f>
        <v>0</v>
      </c>
      <c r="AJ108">
        <f>CumulativeConfirmed!AJ108-CumulativeRecovered!AJ108-CumulativeDead!AJ108</f>
        <v>0</v>
      </c>
      <c r="AK108">
        <f>CumulativeConfirmed!AK108-CumulativeRecovered!AK108-CumulativeDead!AK108</f>
        <v>0</v>
      </c>
      <c r="AL108">
        <f>CumulativeConfirmed!AL108-CumulativeRecovered!AL108-CumulativeDead!AL108</f>
        <v>0</v>
      </c>
      <c r="AM108">
        <f>CumulativeConfirmed!AM108-CumulativeRecovered!AM108-CumulativeDead!AM108</f>
        <v>0</v>
      </c>
      <c r="AN108">
        <f>CumulativeConfirmed!AN108-CumulativeRecovered!AN108-CumulativeDead!AN108</f>
        <v>1</v>
      </c>
      <c r="AO108">
        <f>CumulativeConfirmed!AO108-CumulativeRecovered!AO108-CumulativeDead!AO108</f>
        <v>1</v>
      </c>
      <c r="AP108">
        <f>CumulativeConfirmed!AP108-CumulativeRecovered!AP108-CumulativeDead!AP108</f>
        <v>1</v>
      </c>
      <c r="AQ108">
        <f>CumulativeConfirmed!AQ108-CumulativeRecovered!AQ108-CumulativeDead!AQ108</f>
        <v>1</v>
      </c>
      <c r="AR108">
        <f>CumulativeConfirmed!AR108-CumulativeRecovered!AR108-CumulativeDead!AR108</f>
        <v>1</v>
      </c>
      <c r="AS108">
        <f>CumulativeConfirmed!AS108-CumulativeRecovered!AS108-CumulativeDead!AS108</f>
        <v>1</v>
      </c>
      <c r="AT108">
        <f>CumulativeConfirmed!AT108-CumulativeRecovered!AT108-CumulativeDead!AT108</f>
        <v>1</v>
      </c>
      <c r="AU108">
        <f>CumulativeConfirmed!AU108-CumulativeRecovered!AU108-CumulativeDead!AU108</f>
        <v>1</v>
      </c>
      <c r="AV108">
        <f>CumulativeConfirmed!AV108-CumulativeRecovered!AV108-CumulativeDead!AV108</f>
        <v>1</v>
      </c>
      <c r="AW108">
        <f>CumulativeConfirmed!AW108-CumulativeRecovered!AW108-CumulativeDead!AW108</f>
        <v>1</v>
      </c>
      <c r="AX108">
        <f>CumulativeConfirmed!AX108-CumulativeRecovered!AX108-CumulativeDead!AX108</f>
        <v>1</v>
      </c>
      <c r="AY108">
        <f>CumulativeConfirmed!AY108-CumulativeRecovered!AY108-CumulativeDead!AY108</f>
        <v>1</v>
      </c>
      <c r="AZ108">
        <f>CumulativeConfirmed!AZ108-CumulativeRecovered!AZ108-CumulativeDead!AZ108</f>
        <v>2</v>
      </c>
      <c r="BA108">
        <f>CumulativeConfirmed!BA108-CumulativeRecovered!BA108-CumulativeDead!BA108</f>
        <v>2</v>
      </c>
      <c r="BB108">
        <f>CumulativeConfirmed!BB108-CumulativeRecovered!BB108-CumulativeDead!BB108</f>
        <v>2</v>
      </c>
      <c r="BC108">
        <f>CumulativeConfirmed!BC108-CumulativeRecovered!BC108-CumulativeDead!BC108</f>
        <v>2</v>
      </c>
      <c r="BD108">
        <f>CumulativeConfirmed!BD108-CumulativeRecovered!BD108-CumulativeDead!BD108</f>
        <v>7</v>
      </c>
      <c r="BE108">
        <f>CumulativeConfirmed!BE108-CumulativeRecovered!BE108-CumulativeDead!BE108</f>
        <v>7</v>
      </c>
      <c r="BF108">
        <f>CumulativeConfirmed!BF108-CumulativeRecovered!BF108-CumulativeDead!BF108</f>
        <v>7</v>
      </c>
      <c r="BG108">
        <f>CumulativeConfirmed!BG108-CumulativeRecovered!BG108-CumulativeDead!BG108</f>
        <v>7</v>
      </c>
      <c r="BH108">
        <f>CumulativeConfirmed!BH108-CumulativeRecovered!BH108-CumulativeDead!BH108</f>
        <v>11</v>
      </c>
      <c r="BI108">
        <f>CumulativeConfirmed!BI108-CumulativeRecovered!BI108-CumulativeDead!BI108</f>
        <v>0</v>
      </c>
      <c r="BJ108">
        <f>CumulativeConfirmed!BJ108-CumulativeRecovered!BJ108-CumulativeDead!BJ108</f>
        <v>0</v>
      </c>
      <c r="BK108">
        <f>CumulativeConfirmed!BK108-CumulativeRecovered!BK108-CumulativeDead!BK108</f>
        <v>0</v>
      </c>
      <c r="BL108">
        <f>CumulativeConfirmed!BL108-CumulativeRecovered!BL108-CumulativeDead!BL108</f>
        <v>0</v>
      </c>
      <c r="BM108">
        <f>CumulativeConfirmed!BM108-CumulativeRecovered!BM108-CumulativeDead!BM108</f>
        <v>0</v>
      </c>
      <c r="BN108">
        <f>CumulativeConfirmed!BN108-CumulativeRecovered!BN108-CumulativeDead!BN108</f>
        <v>0</v>
      </c>
      <c r="BO108">
        <f>CumulativeConfirmed!BO108-CumulativeRecovered!BO108-CumulativeDead!BO108</f>
        <v>0</v>
      </c>
      <c r="BP108">
        <f>CumulativeConfirmed!BP108-CumulativeRecovered!BP108-CumulativeDead!BP108</f>
        <v>0</v>
      </c>
      <c r="BQ108">
        <f>CumulativeConfirmed!BQ108-CumulativeRecovered!BQ108-CumulativeDead!BQ108</f>
        <v>0</v>
      </c>
      <c r="BR108">
        <f>CumulativeConfirmed!BR108-CumulativeRecovered!BR108-CumulativeDead!BR108</f>
        <v>0</v>
      </c>
      <c r="BS108">
        <f>CumulativeConfirmed!BS108-CumulativeRecovered!BS108-CumulativeDead!BS108</f>
        <v>0</v>
      </c>
      <c r="BT108">
        <f>CumulativeConfirmed!BT108-CumulativeRecovered!BT108-CumulativeDead!BT108</f>
        <v>0</v>
      </c>
    </row>
    <row r="109" spans="1:72" ht="15" thickBot="1" x14ac:dyDescent="0.35">
      <c r="A109" s="4" t="s">
        <v>96</v>
      </c>
      <c r="B109">
        <f>CumulativeConfirmed!B109-CumulativeRecovered!B109-CumulativeDead!B109</f>
        <v>0</v>
      </c>
      <c r="C109">
        <f>CumulativeConfirmed!C109-CumulativeRecovered!C109-CumulativeDead!C109</f>
        <v>0</v>
      </c>
      <c r="D109">
        <f>CumulativeConfirmed!D109-CumulativeRecovered!D109-CumulativeDead!D109</f>
        <v>0</v>
      </c>
      <c r="E109">
        <f>CumulativeConfirmed!E109-CumulativeRecovered!E109-CumulativeDead!E109</f>
        <v>0</v>
      </c>
      <c r="F109">
        <f>CumulativeConfirmed!F109-CumulativeRecovered!F109-CumulativeDead!F109</f>
        <v>0</v>
      </c>
      <c r="G109">
        <f>CumulativeConfirmed!G109-CumulativeRecovered!G109-CumulativeDead!G109</f>
        <v>0</v>
      </c>
      <c r="H109">
        <f>CumulativeConfirmed!H109-CumulativeRecovered!H109-CumulativeDead!H109</f>
        <v>0</v>
      </c>
      <c r="I109">
        <f>CumulativeConfirmed!I109-CumulativeRecovered!I109-CumulativeDead!I109</f>
        <v>0</v>
      </c>
      <c r="J109">
        <f>CumulativeConfirmed!J109-CumulativeRecovered!J109-CumulativeDead!J109</f>
        <v>0</v>
      </c>
      <c r="K109">
        <f>CumulativeConfirmed!K109-CumulativeRecovered!K109-CumulativeDead!K109</f>
        <v>0</v>
      </c>
      <c r="L109">
        <f>CumulativeConfirmed!L109-CumulativeRecovered!L109-CumulativeDead!L109</f>
        <v>0</v>
      </c>
      <c r="M109">
        <f>CumulativeConfirmed!M109-CumulativeRecovered!M109-CumulativeDead!M109</f>
        <v>0</v>
      </c>
      <c r="N109">
        <f>CumulativeConfirmed!N109-CumulativeRecovered!N109-CumulativeDead!N109</f>
        <v>0</v>
      </c>
      <c r="O109">
        <f>CumulativeConfirmed!O109-CumulativeRecovered!O109-CumulativeDead!O109</f>
        <v>0</v>
      </c>
      <c r="P109">
        <f>CumulativeConfirmed!P109-CumulativeRecovered!P109-CumulativeDead!P109</f>
        <v>0</v>
      </c>
      <c r="Q109">
        <f>CumulativeConfirmed!Q109-CumulativeRecovered!Q109-CumulativeDead!Q109</f>
        <v>0</v>
      </c>
      <c r="R109">
        <f>CumulativeConfirmed!R109-CumulativeRecovered!R109-CumulativeDead!R109</f>
        <v>0</v>
      </c>
      <c r="S109">
        <f>CumulativeConfirmed!S109-CumulativeRecovered!S109-CumulativeDead!S109</f>
        <v>0</v>
      </c>
      <c r="T109">
        <f>CumulativeConfirmed!T109-CumulativeRecovered!T109-CumulativeDead!T109</f>
        <v>0</v>
      </c>
      <c r="U109">
        <f>CumulativeConfirmed!U109-CumulativeRecovered!U109-CumulativeDead!U109</f>
        <v>0</v>
      </c>
      <c r="V109">
        <f>CumulativeConfirmed!V109-CumulativeRecovered!V109-CumulativeDead!V109</f>
        <v>0</v>
      </c>
      <c r="W109">
        <f>CumulativeConfirmed!W109-CumulativeRecovered!W109-CumulativeDead!W109</f>
        <v>0</v>
      </c>
      <c r="X109">
        <f>CumulativeConfirmed!X109-CumulativeRecovered!X109-CumulativeDead!X109</f>
        <v>0</v>
      </c>
      <c r="Y109">
        <f>CumulativeConfirmed!Y109-CumulativeRecovered!Y109-CumulativeDead!Y109</f>
        <v>0</v>
      </c>
      <c r="Z109">
        <f>CumulativeConfirmed!Z109-CumulativeRecovered!Z109-CumulativeDead!Z109</f>
        <v>0</v>
      </c>
      <c r="AA109">
        <f>CumulativeConfirmed!AA109-CumulativeRecovered!AA109-CumulativeDead!AA109</f>
        <v>0</v>
      </c>
      <c r="AB109">
        <f>CumulativeConfirmed!AB109-CumulativeRecovered!AB109-CumulativeDead!AB109</f>
        <v>0</v>
      </c>
      <c r="AC109">
        <f>CumulativeConfirmed!AC109-CumulativeRecovered!AC109-CumulativeDead!AC109</f>
        <v>0</v>
      </c>
      <c r="AD109">
        <f>CumulativeConfirmed!AD109-CumulativeRecovered!AD109-CumulativeDead!AD109</f>
        <v>0</v>
      </c>
      <c r="AE109">
        <f>CumulativeConfirmed!AE109-CumulativeRecovered!AE109-CumulativeDead!AE109</f>
        <v>0</v>
      </c>
      <c r="AF109">
        <f>CumulativeConfirmed!AF109-CumulativeRecovered!AF109-CumulativeDead!AF109</f>
        <v>0</v>
      </c>
      <c r="AG109">
        <f>CumulativeConfirmed!AG109-CumulativeRecovered!AG109-CumulativeDead!AG109</f>
        <v>0</v>
      </c>
      <c r="AH109">
        <f>CumulativeConfirmed!AH109-CumulativeRecovered!AH109-CumulativeDead!AH109</f>
        <v>0</v>
      </c>
      <c r="AI109">
        <f>CumulativeConfirmed!AI109-CumulativeRecovered!AI109-CumulativeDead!AI109</f>
        <v>0</v>
      </c>
      <c r="AJ109">
        <f>CumulativeConfirmed!AJ109-CumulativeRecovered!AJ109-CumulativeDead!AJ109</f>
        <v>0</v>
      </c>
      <c r="AK109">
        <f>CumulativeConfirmed!AK109-CumulativeRecovered!AK109-CumulativeDead!AK109</f>
        <v>0</v>
      </c>
      <c r="AL109">
        <f>CumulativeConfirmed!AL109-CumulativeRecovered!AL109-CumulativeDead!AL109</f>
        <v>0</v>
      </c>
      <c r="AM109">
        <f>CumulativeConfirmed!AM109-CumulativeRecovered!AM109-CumulativeDead!AM109</f>
        <v>1</v>
      </c>
      <c r="AN109">
        <f>CumulativeConfirmed!AN109-CumulativeRecovered!AN109-CumulativeDead!AN109</f>
        <v>1</v>
      </c>
      <c r="AO109">
        <f>CumulativeConfirmed!AO109-CumulativeRecovered!AO109-CumulativeDead!AO109</f>
        <v>1</v>
      </c>
      <c r="AP109">
        <f>CumulativeConfirmed!AP109-CumulativeRecovered!AP109-CumulativeDead!AP109</f>
        <v>1</v>
      </c>
      <c r="AQ109">
        <f>CumulativeConfirmed!AQ109-CumulativeRecovered!AQ109-CumulativeDead!AQ109</f>
        <v>1</v>
      </c>
      <c r="AR109">
        <f>CumulativeConfirmed!AR109-CumulativeRecovered!AR109-CumulativeDead!AR109</f>
        <v>1</v>
      </c>
      <c r="AS109">
        <f>CumulativeConfirmed!AS109-CumulativeRecovered!AS109-CumulativeDead!AS109</f>
        <v>1</v>
      </c>
      <c r="AT109">
        <f>CumulativeConfirmed!AT109-CumulativeRecovered!AT109-CumulativeDead!AT109</f>
        <v>1</v>
      </c>
      <c r="AU109">
        <f>CumulativeConfirmed!AU109-CumulativeRecovered!AU109-CumulativeDead!AU109</f>
        <v>1</v>
      </c>
      <c r="AV109">
        <f>CumulativeConfirmed!AV109-CumulativeRecovered!AV109-CumulativeDead!AV109</f>
        <v>1</v>
      </c>
      <c r="AW109">
        <f>CumulativeConfirmed!AW109-CumulativeRecovered!AW109-CumulativeDead!AW109</f>
        <v>2</v>
      </c>
      <c r="AX109">
        <f>CumulativeConfirmed!AX109-CumulativeRecovered!AX109-CumulativeDead!AX109</f>
        <v>2</v>
      </c>
      <c r="AY109">
        <f>CumulativeConfirmed!AY109-CumulativeRecovered!AY109-CumulativeDead!AY109</f>
        <v>2</v>
      </c>
      <c r="AZ109">
        <f>CumulativeConfirmed!AZ109-CumulativeRecovered!AZ109-CumulativeDead!AZ109</f>
        <v>2</v>
      </c>
      <c r="BA109">
        <f>CumulativeConfirmed!BA109-CumulativeRecovered!BA109-CumulativeDead!BA109</f>
        <v>2</v>
      </c>
      <c r="BB109">
        <f>CumulativeConfirmed!BB109-CumulativeRecovered!BB109-CumulativeDead!BB109</f>
        <v>2</v>
      </c>
      <c r="BC109">
        <f>CumulativeConfirmed!BC109-CumulativeRecovered!BC109-CumulativeDead!BC109</f>
        <v>2</v>
      </c>
      <c r="BD109">
        <f>CumulativeConfirmed!BD109-CumulativeRecovered!BD109-CumulativeDead!BD109</f>
        <v>2</v>
      </c>
      <c r="BE109">
        <f>CumulativeConfirmed!BE109-CumulativeRecovered!BE109-CumulativeDead!BE109</f>
        <v>3</v>
      </c>
      <c r="BF109">
        <f>CumulativeConfirmed!BF109-CumulativeRecovered!BF109-CumulativeDead!BF109</f>
        <v>7</v>
      </c>
      <c r="BG109">
        <f>CumulativeConfirmed!BG109-CumulativeRecovered!BG109-CumulativeDead!BG109</f>
        <v>7</v>
      </c>
      <c r="BH109">
        <f>CumulativeConfirmed!BH109-CumulativeRecovered!BH109-CumulativeDead!BH109</f>
        <v>11</v>
      </c>
      <c r="BI109">
        <f>CumulativeConfirmed!BI109-CumulativeRecovered!BI109-CumulativeDead!BI109</f>
        <v>0</v>
      </c>
      <c r="BJ109">
        <f>CumulativeConfirmed!BJ109-CumulativeRecovered!BJ109-CumulativeDead!BJ109</f>
        <v>0</v>
      </c>
      <c r="BK109">
        <f>CumulativeConfirmed!BK109-CumulativeRecovered!BK109-CumulativeDead!BK109</f>
        <v>0</v>
      </c>
      <c r="BL109">
        <f>CumulativeConfirmed!BL109-CumulativeRecovered!BL109-CumulativeDead!BL109</f>
        <v>0</v>
      </c>
      <c r="BM109">
        <f>CumulativeConfirmed!BM109-CumulativeRecovered!BM109-CumulativeDead!BM109</f>
        <v>0</v>
      </c>
      <c r="BN109">
        <f>CumulativeConfirmed!BN109-CumulativeRecovered!BN109-CumulativeDead!BN109</f>
        <v>0</v>
      </c>
      <c r="BO109">
        <f>CumulativeConfirmed!BO109-CumulativeRecovered!BO109-CumulativeDead!BO109</f>
        <v>0</v>
      </c>
      <c r="BP109">
        <f>CumulativeConfirmed!BP109-CumulativeRecovered!BP109-CumulativeDead!BP109</f>
        <v>0</v>
      </c>
      <c r="BQ109">
        <f>CumulativeConfirmed!BQ109-CumulativeRecovered!BQ109-CumulativeDead!BQ109</f>
        <v>0</v>
      </c>
      <c r="BR109">
        <f>CumulativeConfirmed!BR109-CumulativeRecovered!BR109-CumulativeDead!BR109</f>
        <v>0</v>
      </c>
      <c r="BS109">
        <f>CumulativeConfirmed!BS109-CumulativeRecovered!BS109-CumulativeDead!BS109</f>
        <v>0</v>
      </c>
      <c r="BT109">
        <f>CumulativeConfirmed!BT109-CumulativeRecovered!BT109-CumulativeDead!BT109</f>
        <v>0</v>
      </c>
    </row>
    <row r="110" spans="1:72" ht="15" thickBot="1" x14ac:dyDescent="0.35">
      <c r="A110" s="4" t="s">
        <v>109</v>
      </c>
      <c r="B110">
        <f>CumulativeConfirmed!B110-CumulativeRecovered!B110-CumulativeDead!B110</f>
        <v>0</v>
      </c>
      <c r="C110">
        <f>CumulativeConfirmed!C110-CumulativeRecovered!C110-CumulativeDead!C110</f>
        <v>0</v>
      </c>
      <c r="D110">
        <f>CumulativeConfirmed!D110-CumulativeRecovered!D110-CumulativeDead!D110</f>
        <v>0</v>
      </c>
      <c r="E110">
        <f>CumulativeConfirmed!E110-CumulativeRecovered!E110-CumulativeDead!E110</f>
        <v>0</v>
      </c>
      <c r="F110">
        <f>CumulativeConfirmed!F110-CumulativeRecovered!F110-CumulativeDead!F110</f>
        <v>0</v>
      </c>
      <c r="G110">
        <f>CumulativeConfirmed!G110-CumulativeRecovered!G110-CumulativeDead!G110</f>
        <v>0</v>
      </c>
      <c r="H110">
        <f>CumulativeConfirmed!H110-CumulativeRecovered!H110-CumulativeDead!H110</f>
        <v>0</v>
      </c>
      <c r="I110">
        <f>CumulativeConfirmed!I110-CumulativeRecovered!I110-CumulativeDead!I110</f>
        <v>0</v>
      </c>
      <c r="J110">
        <f>CumulativeConfirmed!J110-CumulativeRecovered!J110-CumulativeDead!J110</f>
        <v>0</v>
      </c>
      <c r="K110">
        <f>CumulativeConfirmed!K110-CumulativeRecovered!K110-CumulativeDead!K110</f>
        <v>0</v>
      </c>
      <c r="L110">
        <f>CumulativeConfirmed!L110-CumulativeRecovered!L110-CumulativeDead!L110</f>
        <v>0</v>
      </c>
      <c r="M110">
        <f>CumulativeConfirmed!M110-CumulativeRecovered!M110-CumulativeDead!M110</f>
        <v>0</v>
      </c>
      <c r="N110">
        <f>CumulativeConfirmed!N110-CumulativeRecovered!N110-CumulativeDead!N110</f>
        <v>0</v>
      </c>
      <c r="O110">
        <f>CumulativeConfirmed!O110-CumulativeRecovered!O110-CumulativeDead!O110</f>
        <v>0</v>
      </c>
      <c r="P110">
        <f>CumulativeConfirmed!P110-CumulativeRecovered!P110-CumulativeDead!P110</f>
        <v>0</v>
      </c>
      <c r="Q110">
        <f>CumulativeConfirmed!Q110-CumulativeRecovered!Q110-CumulativeDead!Q110</f>
        <v>0</v>
      </c>
      <c r="R110">
        <f>CumulativeConfirmed!R110-CumulativeRecovered!R110-CumulativeDead!R110</f>
        <v>0</v>
      </c>
      <c r="S110">
        <f>CumulativeConfirmed!S110-CumulativeRecovered!S110-CumulativeDead!S110</f>
        <v>0</v>
      </c>
      <c r="T110">
        <f>CumulativeConfirmed!T110-CumulativeRecovered!T110-CumulativeDead!T110</f>
        <v>0</v>
      </c>
      <c r="U110">
        <f>CumulativeConfirmed!U110-CumulativeRecovered!U110-CumulativeDead!U110</f>
        <v>0</v>
      </c>
      <c r="V110">
        <f>CumulativeConfirmed!V110-CumulativeRecovered!V110-CumulativeDead!V110</f>
        <v>0</v>
      </c>
      <c r="W110">
        <f>CumulativeConfirmed!W110-CumulativeRecovered!W110-CumulativeDead!W110</f>
        <v>0</v>
      </c>
      <c r="X110">
        <f>CumulativeConfirmed!X110-CumulativeRecovered!X110-CumulativeDead!X110</f>
        <v>0</v>
      </c>
      <c r="Y110">
        <f>CumulativeConfirmed!Y110-CumulativeRecovered!Y110-CumulativeDead!Y110</f>
        <v>0</v>
      </c>
      <c r="Z110">
        <f>CumulativeConfirmed!Z110-CumulativeRecovered!Z110-CumulativeDead!Z110</f>
        <v>0</v>
      </c>
      <c r="AA110">
        <f>CumulativeConfirmed!AA110-CumulativeRecovered!AA110-CumulativeDead!AA110</f>
        <v>0</v>
      </c>
      <c r="AB110">
        <f>CumulativeConfirmed!AB110-CumulativeRecovered!AB110-CumulativeDead!AB110</f>
        <v>0</v>
      </c>
      <c r="AC110">
        <f>CumulativeConfirmed!AC110-CumulativeRecovered!AC110-CumulativeDead!AC110</f>
        <v>0</v>
      </c>
      <c r="AD110">
        <f>CumulativeConfirmed!AD110-CumulativeRecovered!AD110-CumulativeDead!AD110</f>
        <v>0</v>
      </c>
      <c r="AE110">
        <f>CumulativeConfirmed!AE110-CumulativeRecovered!AE110-CumulativeDead!AE110</f>
        <v>0</v>
      </c>
      <c r="AF110">
        <f>CumulativeConfirmed!AF110-CumulativeRecovered!AF110-CumulativeDead!AF110</f>
        <v>0</v>
      </c>
      <c r="AG110">
        <f>CumulativeConfirmed!AG110-CumulativeRecovered!AG110-CumulativeDead!AG110</f>
        <v>0</v>
      </c>
      <c r="AH110">
        <f>CumulativeConfirmed!AH110-CumulativeRecovered!AH110-CumulativeDead!AH110</f>
        <v>0</v>
      </c>
      <c r="AI110">
        <f>CumulativeConfirmed!AI110-CumulativeRecovered!AI110-CumulativeDead!AI110</f>
        <v>0</v>
      </c>
      <c r="AJ110">
        <f>CumulativeConfirmed!AJ110-CumulativeRecovered!AJ110-CumulativeDead!AJ110</f>
        <v>0</v>
      </c>
      <c r="AK110">
        <f>CumulativeConfirmed!AK110-CumulativeRecovered!AK110-CumulativeDead!AK110</f>
        <v>0</v>
      </c>
      <c r="AL110">
        <f>CumulativeConfirmed!AL110-CumulativeRecovered!AL110-CumulativeDead!AL110</f>
        <v>0</v>
      </c>
      <c r="AM110">
        <f>CumulativeConfirmed!AM110-CumulativeRecovered!AM110-CumulativeDead!AM110</f>
        <v>0</v>
      </c>
      <c r="AN110">
        <f>CumulativeConfirmed!AN110-CumulativeRecovered!AN110-CumulativeDead!AN110</f>
        <v>0</v>
      </c>
      <c r="AO110">
        <f>CumulativeConfirmed!AO110-CumulativeRecovered!AO110-CumulativeDead!AO110</f>
        <v>0</v>
      </c>
      <c r="AP110">
        <f>CumulativeConfirmed!AP110-CumulativeRecovered!AP110-CumulativeDead!AP110</f>
        <v>1</v>
      </c>
      <c r="AQ110">
        <f>CumulativeConfirmed!AQ110-CumulativeRecovered!AQ110-CumulativeDead!AQ110</f>
        <v>1</v>
      </c>
      <c r="AR110">
        <f>CumulativeConfirmed!AR110-CumulativeRecovered!AR110-CumulativeDead!AR110</f>
        <v>1</v>
      </c>
      <c r="AS110">
        <f>CumulativeConfirmed!AS110-CumulativeRecovered!AS110-CumulativeDead!AS110</f>
        <v>1</v>
      </c>
      <c r="AT110">
        <f>CumulativeConfirmed!AT110-CumulativeRecovered!AT110-CumulativeDead!AT110</f>
        <v>1</v>
      </c>
      <c r="AU110">
        <f>CumulativeConfirmed!AU110-CumulativeRecovered!AU110-CumulativeDead!AU110</f>
        <v>1</v>
      </c>
      <c r="AV110">
        <f>CumulativeConfirmed!AV110-CumulativeRecovered!AV110-CumulativeDead!AV110</f>
        <v>1</v>
      </c>
      <c r="AW110">
        <f>CumulativeConfirmed!AW110-CumulativeRecovered!AW110-CumulativeDead!AW110</f>
        <v>1</v>
      </c>
      <c r="AX110">
        <f>CumulativeConfirmed!AX110-CumulativeRecovered!AX110-CumulativeDead!AX110</f>
        <v>1</v>
      </c>
      <c r="AY110">
        <f>CumulativeConfirmed!AY110-CumulativeRecovered!AY110-CumulativeDead!AY110</f>
        <v>1</v>
      </c>
      <c r="AZ110">
        <f>CumulativeConfirmed!AZ110-CumulativeRecovered!AZ110-CumulativeDead!AZ110</f>
        <v>0</v>
      </c>
      <c r="BA110">
        <f>CumulativeConfirmed!BA110-CumulativeRecovered!BA110-CumulativeDead!BA110</f>
        <v>1</v>
      </c>
      <c r="BB110">
        <f>CumulativeConfirmed!BB110-CumulativeRecovered!BB110-CumulativeDead!BB110</f>
        <v>0</v>
      </c>
      <c r="BC110">
        <f>CumulativeConfirmed!BC110-CumulativeRecovered!BC110-CumulativeDead!BC110</f>
        <v>0</v>
      </c>
      <c r="BD110">
        <f>CumulativeConfirmed!BD110-CumulativeRecovered!BD110-CumulativeDead!BD110</f>
        <v>1</v>
      </c>
      <c r="BE110">
        <f>CumulativeConfirmed!BE110-CumulativeRecovered!BE110-CumulativeDead!BE110</f>
        <v>38</v>
      </c>
      <c r="BF110">
        <f>CumulativeConfirmed!BF110-CumulativeRecovered!BF110-CumulativeDead!BF110</f>
        <v>38</v>
      </c>
      <c r="BG110">
        <f>CumulativeConfirmed!BG110-CumulativeRecovered!BG110-CumulativeDead!BG110</f>
        <v>52</v>
      </c>
      <c r="BH110">
        <f>CumulativeConfirmed!BH110-CumulativeRecovered!BH110-CumulativeDead!BH110</f>
        <v>74</v>
      </c>
      <c r="BI110">
        <f>CumulativeConfirmed!BI110-CumulativeRecovered!BI110-CumulativeDead!BI110</f>
        <v>0</v>
      </c>
      <c r="BJ110">
        <f>CumulativeConfirmed!BJ110-CumulativeRecovered!BJ110-CumulativeDead!BJ110</f>
        <v>0</v>
      </c>
      <c r="BK110">
        <f>CumulativeConfirmed!BK110-CumulativeRecovered!BK110-CumulativeDead!BK110</f>
        <v>0</v>
      </c>
      <c r="BL110">
        <f>CumulativeConfirmed!BL110-CumulativeRecovered!BL110-CumulativeDead!BL110</f>
        <v>0</v>
      </c>
      <c r="BM110">
        <f>CumulativeConfirmed!BM110-CumulativeRecovered!BM110-CumulativeDead!BM110</f>
        <v>0</v>
      </c>
      <c r="BN110">
        <f>CumulativeConfirmed!BN110-CumulativeRecovered!BN110-CumulativeDead!BN110</f>
        <v>0</v>
      </c>
      <c r="BO110">
        <f>CumulativeConfirmed!BO110-CumulativeRecovered!BO110-CumulativeDead!BO110</f>
        <v>0</v>
      </c>
      <c r="BP110">
        <f>CumulativeConfirmed!BP110-CumulativeRecovered!BP110-CumulativeDead!BP110</f>
        <v>0</v>
      </c>
      <c r="BQ110">
        <f>CumulativeConfirmed!BQ110-CumulativeRecovered!BQ110-CumulativeDead!BQ110</f>
        <v>0</v>
      </c>
      <c r="BR110">
        <f>CumulativeConfirmed!BR110-CumulativeRecovered!BR110-CumulativeDead!BR110</f>
        <v>0</v>
      </c>
      <c r="BS110">
        <f>CumulativeConfirmed!BS110-CumulativeRecovered!BS110-CumulativeDead!BS110</f>
        <v>0</v>
      </c>
      <c r="BT110">
        <f>CumulativeConfirmed!BT110-CumulativeRecovered!BT110-CumulativeDead!BT110</f>
        <v>0</v>
      </c>
    </row>
    <row r="111" spans="1:72" ht="15" thickBot="1" x14ac:dyDescent="0.35">
      <c r="A111" s="4" t="s">
        <v>424</v>
      </c>
      <c r="B111">
        <f>CumulativeConfirmed!B111-CumulativeRecovered!B111-CumulativeDead!B111</f>
        <v>0</v>
      </c>
      <c r="C111">
        <f>CumulativeConfirmed!C111-CumulativeRecovered!C111-CumulativeDead!C111</f>
        <v>0</v>
      </c>
      <c r="D111">
        <f>CumulativeConfirmed!D111-CumulativeRecovered!D111-CumulativeDead!D111</f>
        <v>0</v>
      </c>
      <c r="E111">
        <f>CumulativeConfirmed!E111-CumulativeRecovered!E111-CumulativeDead!E111</f>
        <v>0</v>
      </c>
      <c r="F111">
        <f>CumulativeConfirmed!F111-CumulativeRecovered!F111-CumulativeDead!F111</f>
        <v>0</v>
      </c>
      <c r="G111">
        <f>CumulativeConfirmed!G111-CumulativeRecovered!G111-CumulativeDead!G111</f>
        <v>0</v>
      </c>
      <c r="H111">
        <f>CumulativeConfirmed!H111-CumulativeRecovered!H111-CumulativeDead!H111</f>
        <v>0</v>
      </c>
      <c r="I111">
        <f>CumulativeConfirmed!I111-CumulativeRecovered!I111-CumulativeDead!I111</f>
        <v>0</v>
      </c>
      <c r="J111">
        <f>CumulativeConfirmed!J111-CumulativeRecovered!J111-CumulativeDead!J111</f>
        <v>0</v>
      </c>
      <c r="K111">
        <f>CumulativeConfirmed!K111-CumulativeRecovered!K111-CumulativeDead!K111</f>
        <v>0</v>
      </c>
      <c r="L111">
        <f>CumulativeConfirmed!L111-CumulativeRecovered!L111-CumulativeDead!L111</f>
        <v>0</v>
      </c>
      <c r="M111">
        <f>CumulativeConfirmed!M111-CumulativeRecovered!M111-CumulativeDead!M111</f>
        <v>0</v>
      </c>
      <c r="N111">
        <f>CumulativeConfirmed!N111-CumulativeRecovered!N111-CumulativeDead!N111</f>
        <v>0</v>
      </c>
      <c r="O111">
        <f>CumulativeConfirmed!O111-CumulativeRecovered!O111-CumulativeDead!O111</f>
        <v>0</v>
      </c>
      <c r="P111">
        <f>CumulativeConfirmed!P111-CumulativeRecovered!P111-CumulativeDead!P111</f>
        <v>0</v>
      </c>
      <c r="Q111">
        <f>CumulativeConfirmed!Q111-CumulativeRecovered!Q111-CumulativeDead!Q111</f>
        <v>0</v>
      </c>
      <c r="R111">
        <f>CumulativeConfirmed!R111-CumulativeRecovered!R111-CumulativeDead!R111</f>
        <v>0</v>
      </c>
      <c r="S111">
        <f>CumulativeConfirmed!S111-CumulativeRecovered!S111-CumulativeDead!S111</f>
        <v>0</v>
      </c>
      <c r="T111">
        <f>CumulativeConfirmed!T111-CumulativeRecovered!T111-CumulativeDead!T111</f>
        <v>0</v>
      </c>
      <c r="U111">
        <f>CumulativeConfirmed!U111-CumulativeRecovered!U111-CumulativeDead!U111</f>
        <v>0</v>
      </c>
      <c r="V111">
        <f>CumulativeConfirmed!V111-CumulativeRecovered!V111-CumulativeDead!V111</f>
        <v>0</v>
      </c>
      <c r="W111">
        <f>CumulativeConfirmed!W111-CumulativeRecovered!W111-CumulativeDead!W111</f>
        <v>0</v>
      </c>
      <c r="X111">
        <f>CumulativeConfirmed!X111-CumulativeRecovered!X111-CumulativeDead!X111</f>
        <v>0</v>
      </c>
      <c r="Y111">
        <f>CumulativeConfirmed!Y111-CumulativeRecovered!Y111-CumulativeDead!Y111</f>
        <v>0</v>
      </c>
      <c r="Z111">
        <f>CumulativeConfirmed!Z111-CumulativeRecovered!Z111-CumulativeDead!Z111</f>
        <v>0</v>
      </c>
      <c r="AA111">
        <f>CumulativeConfirmed!AA111-CumulativeRecovered!AA111-CumulativeDead!AA111</f>
        <v>0</v>
      </c>
      <c r="AB111">
        <f>CumulativeConfirmed!AB111-CumulativeRecovered!AB111-CumulativeDead!AB111</f>
        <v>0</v>
      </c>
      <c r="AC111">
        <f>CumulativeConfirmed!AC111-CumulativeRecovered!AC111-CumulativeDead!AC111</f>
        <v>0</v>
      </c>
      <c r="AD111">
        <f>CumulativeConfirmed!AD111-CumulativeRecovered!AD111-CumulativeDead!AD111</f>
        <v>0</v>
      </c>
      <c r="AE111">
        <f>CumulativeConfirmed!AE111-CumulativeRecovered!AE111-CumulativeDead!AE111</f>
        <v>0</v>
      </c>
      <c r="AF111">
        <f>CumulativeConfirmed!AF111-CumulativeRecovered!AF111-CumulativeDead!AF111</f>
        <v>0</v>
      </c>
      <c r="AG111">
        <f>CumulativeConfirmed!AG111-CumulativeRecovered!AG111-CumulativeDead!AG111</f>
        <v>0</v>
      </c>
      <c r="AH111">
        <f>CumulativeConfirmed!AH111-CumulativeRecovered!AH111-CumulativeDead!AH111</f>
        <v>0</v>
      </c>
      <c r="AI111">
        <f>CumulativeConfirmed!AI111-CumulativeRecovered!AI111-CumulativeDead!AI111</f>
        <v>0</v>
      </c>
      <c r="AJ111">
        <f>CumulativeConfirmed!AJ111-CumulativeRecovered!AJ111-CumulativeDead!AJ111</f>
        <v>0</v>
      </c>
      <c r="AK111">
        <f>CumulativeConfirmed!AK111-CumulativeRecovered!AK111-CumulativeDead!AK111</f>
        <v>0</v>
      </c>
      <c r="AL111">
        <f>CumulativeConfirmed!AL111-CumulativeRecovered!AL111-CumulativeDead!AL111</f>
        <v>0</v>
      </c>
      <c r="AM111">
        <f>CumulativeConfirmed!AM111-CumulativeRecovered!AM111-CumulativeDead!AM111</f>
        <v>0</v>
      </c>
      <c r="AN111">
        <f>CumulativeConfirmed!AN111-CumulativeRecovered!AN111-CumulativeDead!AN111</f>
        <v>0</v>
      </c>
      <c r="AO111">
        <f>CumulativeConfirmed!AO111-CumulativeRecovered!AO111-CumulativeDead!AO111</f>
        <v>0</v>
      </c>
      <c r="AP111">
        <f>CumulativeConfirmed!AP111-CumulativeRecovered!AP111-CumulativeDead!AP111</f>
        <v>0</v>
      </c>
      <c r="AQ111">
        <f>CumulativeConfirmed!AQ111-CumulativeRecovered!AQ111-CumulativeDead!AQ111</f>
        <v>0</v>
      </c>
      <c r="AR111">
        <f>CumulativeConfirmed!AR111-CumulativeRecovered!AR111-CumulativeDead!AR111</f>
        <v>0</v>
      </c>
      <c r="AS111">
        <f>CumulativeConfirmed!AS111-CumulativeRecovered!AS111-CumulativeDead!AS111</f>
        <v>0</v>
      </c>
      <c r="AT111">
        <f>CumulativeConfirmed!AT111-CumulativeRecovered!AT111-CumulativeDead!AT111</f>
        <v>0</v>
      </c>
      <c r="AU111">
        <f>CumulativeConfirmed!AU111-CumulativeRecovered!AU111-CumulativeDead!AU111</f>
        <v>0</v>
      </c>
      <c r="AV111">
        <f>CumulativeConfirmed!AV111-CumulativeRecovered!AV111-CumulativeDead!AV111</f>
        <v>0</v>
      </c>
      <c r="AW111">
        <f>CumulativeConfirmed!AW111-CumulativeRecovered!AW111-CumulativeDead!AW111</f>
        <v>0</v>
      </c>
      <c r="AX111">
        <f>CumulativeConfirmed!AX111-CumulativeRecovered!AX111-CumulativeDead!AX111</f>
        <v>0</v>
      </c>
      <c r="AY111">
        <f>CumulativeConfirmed!AY111-CumulativeRecovered!AY111-CumulativeDead!AY111</f>
        <v>0</v>
      </c>
      <c r="AZ111">
        <f>CumulativeConfirmed!AZ111-CumulativeRecovered!AZ111-CumulativeDead!AZ111</f>
        <v>0</v>
      </c>
      <c r="BA111">
        <f>CumulativeConfirmed!BA111-CumulativeRecovered!BA111-CumulativeDead!BA111</f>
        <v>1</v>
      </c>
      <c r="BB111">
        <f>CumulativeConfirmed!BB111-CumulativeRecovered!BB111-CumulativeDead!BB111</f>
        <v>1</v>
      </c>
      <c r="BC111">
        <f>CumulativeConfirmed!BC111-CumulativeRecovered!BC111-CumulativeDead!BC111</f>
        <v>1</v>
      </c>
      <c r="BD111">
        <f>CumulativeConfirmed!BD111-CumulativeRecovered!BD111-CumulativeDead!BD111</f>
        <v>1</v>
      </c>
      <c r="BE111">
        <f>CumulativeConfirmed!BE111-CumulativeRecovered!BE111-CumulativeDead!BE111</f>
        <v>1</v>
      </c>
      <c r="BF111">
        <f>CumulativeConfirmed!BF111-CumulativeRecovered!BF111-CumulativeDead!BF111</f>
        <v>1</v>
      </c>
      <c r="BG111">
        <f>CumulativeConfirmed!BG111-CumulativeRecovered!BG111-CumulativeDead!BG111</f>
        <v>1</v>
      </c>
      <c r="BH111">
        <f>CumulativeConfirmed!BH111-CumulativeRecovered!BH111-CumulativeDead!BH111</f>
        <v>1</v>
      </c>
      <c r="BI111">
        <f>CumulativeConfirmed!BI111-CumulativeRecovered!BI111-CumulativeDead!BI111</f>
        <v>0</v>
      </c>
      <c r="BJ111">
        <f>CumulativeConfirmed!BJ111-CumulativeRecovered!BJ111-CumulativeDead!BJ111</f>
        <v>0</v>
      </c>
      <c r="BK111">
        <f>CumulativeConfirmed!BK111-CumulativeRecovered!BK111-CumulativeDead!BK111</f>
        <v>0</v>
      </c>
      <c r="BL111">
        <f>CumulativeConfirmed!BL111-CumulativeRecovered!BL111-CumulativeDead!BL111</f>
        <v>0</v>
      </c>
      <c r="BM111">
        <f>CumulativeConfirmed!BM111-CumulativeRecovered!BM111-CumulativeDead!BM111</f>
        <v>0</v>
      </c>
      <c r="BN111">
        <f>CumulativeConfirmed!BN111-CumulativeRecovered!BN111-CumulativeDead!BN111</f>
        <v>0</v>
      </c>
      <c r="BO111">
        <f>CumulativeConfirmed!BO111-CumulativeRecovered!BO111-CumulativeDead!BO111</f>
        <v>0</v>
      </c>
      <c r="BP111">
        <f>CumulativeConfirmed!BP111-CumulativeRecovered!BP111-CumulativeDead!BP111</f>
        <v>0</v>
      </c>
      <c r="BQ111">
        <f>CumulativeConfirmed!BQ111-CumulativeRecovered!BQ111-CumulativeDead!BQ111</f>
        <v>0</v>
      </c>
      <c r="BR111">
        <f>CumulativeConfirmed!BR111-CumulativeRecovered!BR111-CumulativeDead!BR111</f>
        <v>0</v>
      </c>
      <c r="BS111">
        <f>CumulativeConfirmed!BS111-CumulativeRecovered!BS111-CumulativeDead!BS111</f>
        <v>0</v>
      </c>
      <c r="BT111">
        <f>CumulativeConfirmed!BT111-CumulativeRecovered!BT111-CumulativeDead!BT111</f>
        <v>0</v>
      </c>
    </row>
    <row r="112" spans="1:72" ht="15" thickBot="1" x14ac:dyDescent="0.35">
      <c r="A112" s="4" t="s">
        <v>156</v>
      </c>
      <c r="B112">
        <f>CumulativeConfirmed!B112-CumulativeRecovered!B112-CumulativeDead!B112</f>
        <v>0</v>
      </c>
      <c r="C112">
        <f>CumulativeConfirmed!C112-CumulativeRecovered!C112-CumulativeDead!C112</f>
        <v>0</v>
      </c>
      <c r="D112">
        <f>CumulativeConfirmed!D112-CumulativeRecovered!D112-CumulativeDead!D112</f>
        <v>0</v>
      </c>
      <c r="E112">
        <f>CumulativeConfirmed!E112-CumulativeRecovered!E112-CumulativeDead!E112</f>
        <v>0</v>
      </c>
      <c r="F112">
        <f>CumulativeConfirmed!F112-CumulativeRecovered!F112-CumulativeDead!F112</f>
        <v>0</v>
      </c>
      <c r="G112">
        <f>CumulativeConfirmed!G112-CumulativeRecovered!G112-CumulativeDead!G112</f>
        <v>0</v>
      </c>
      <c r="H112">
        <f>CumulativeConfirmed!H112-CumulativeRecovered!H112-CumulativeDead!H112</f>
        <v>0</v>
      </c>
      <c r="I112">
        <f>CumulativeConfirmed!I112-CumulativeRecovered!I112-CumulativeDead!I112</f>
        <v>0</v>
      </c>
      <c r="J112">
        <f>CumulativeConfirmed!J112-CumulativeRecovered!J112-CumulativeDead!J112</f>
        <v>0</v>
      </c>
      <c r="K112">
        <f>CumulativeConfirmed!K112-CumulativeRecovered!K112-CumulativeDead!K112</f>
        <v>0</v>
      </c>
      <c r="L112">
        <f>CumulativeConfirmed!L112-CumulativeRecovered!L112-CumulativeDead!L112</f>
        <v>0</v>
      </c>
      <c r="M112">
        <f>CumulativeConfirmed!M112-CumulativeRecovered!M112-CumulativeDead!M112</f>
        <v>0</v>
      </c>
      <c r="N112">
        <f>CumulativeConfirmed!N112-CumulativeRecovered!N112-CumulativeDead!N112</f>
        <v>0</v>
      </c>
      <c r="O112">
        <f>CumulativeConfirmed!O112-CumulativeRecovered!O112-CumulativeDead!O112</f>
        <v>0</v>
      </c>
      <c r="P112">
        <f>CumulativeConfirmed!P112-CumulativeRecovered!P112-CumulativeDead!P112</f>
        <v>0</v>
      </c>
      <c r="Q112">
        <f>CumulativeConfirmed!Q112-CumulativeRecovered!Q112-CumulativeDead!Q112</f>
        <v>0</v>
      </c>
      <c r="R112">
        <f>CumulativeConfirmed!R112-CumulativeRecovered!R112-CumulativeDead!R112</f>
        <v>0</v>
      </c>
      <c r="S112">
        <f>CumulativeConfirmed!S112-CumulativeRecovered!S112-CumulativeDead!S112</f>
        <v>0</v>
      </c>
      <c r="T112">
        <f>CumulativeConfirmed!T112-CumulativeRecovered!T112-CumulativeDead!T112</f>
        <v>0</v>
      </c>
      <c r="U112">
        <f>CumulativeConfirmed!U112-CumulativeRecovered!U112-CumulativeDead!U112</f>
        <v>0</v>
      </c>
      <c r="V112">
        <f>CumulativeConfirmed!V112-CumulativeRecovered!V112-CumulativeDead!V112</f>
        <v>0</v>
      </c>
      <c r="W112">
        <f>CumulativeConfirmed!W112-CumulativeRecovered!W112-CumulativeDead!W112</f>
        <v>0</v>
      </c>
      <c r="X112">
        <f>CumulativeConfirmed!X112-CumulativeRecovered!X112-CumulativeDead!X112</f>
        <v>0</v>
      </c>
      <c r="Y112">
        <f>CumulativeConfirmed!Y112-CumulativeRecovered!Y112-CumulativeDead!Y112</f>
        <v>0</v>
      </c>
      <c r="Z112">
        <f>CumulativeConfirmed!Z112-CumulativeRecovered!Z112-CumulativeDead!Z112</f>
        <v>0</v>
      </c>
      <c r="AA112">
        <f>CumulativeConfirmed!AA112-CumulativeRecovered!AA112-CumulativeDead!AA112</f>
        <v>0</v>
      </c>
      <c r="AB112">
        <f>CumulativeConfirmed!AB112-CumulativeRecovered!AB112-CumulativeDead!AB112</f>
        <v>0</v>
      </c>
      <c r="AC112">
        <f>CumulativeConfirmed!AC112-CumulativeRecovered!AC112-CumulativeDead!AC112</f>
        <v>0</v>
      </c>
      <c r="AD112">
        <f>CumulativeConfirmed!AD112-CumulativeRecovered!AD112-CumulativeDead!AD112</f>
        <v>0</v>
      </c>
      <c r="AE112">
        <f>CumulativeConfirmed!AE112-CumulativeRecovered!AE112-CumulativeDead!AE112</f>
        <v>0</v>
      </c>
      <c r="AF112">
        <f>CumulativeConfirmed!AF112-CumulativeRecovered!AF112-CumulativeDead!AF112</f>
        <v>0</v>
      </c>
      <c r="AG112">
        <f>CumulativeConfirmed!AG112-CumulativeRecovered!AG112-CumulativeDead!AG112</f>
        <v>0</v>
      </c>
      <c r="AH112">
        <f>CumulativeConfirmed!AH112-CumulativeRecovered!AH112-CumulativeDead!AH112</f>
        <v>0</v>
      </c>
      <c r="AI112">
        <f>CumulativeConfirmed!AI112-CumulativeRecovered!AI112-CumulativeDead!AI112</f>
        <v>0</v>
      </c>
      <c r="AJ112">
        <f>CumulativeConfirmed!AJ112-CumulativeRecovered!AJ112-CumulativeDead!AJ112</f>
        <v>0</v>
      </c>
      <c r="AK112">
        <f>CumulativeConfirmed!AK112-CumulativeRecovered!AK112-CumulativeDead!AK112</f>
        <v>0</v>
      </c>
      <c r="AL112">
        <f>CumulativeConfirmed!AL112-CumulativeRecovered!AL112-CumulativeDead!AL112</f>
        <v>0</v>
      </c>
      <c r="AM112">
        <f>CumulativeConfirmed!AM112-CumulativeRecovered!AM112-CumulativeDead!AM112</f>
        <v>0</v>
      </c>
      <c r="AN112">
        <f>CumulativeConfirmed!AN112-CumulativeRecovered!AN112-CumulativeDead!AN112</f>
        <v>0</v>
      </c>
      <c r="AO112">
        <f>CumulativeConfirmed!AO112-CumulativeRecovered!AO112-CumulativeDead!AO112</f>
        <v>0</v>
      </c>
      <c r="AP112">
        <f>CumulativeConfirmed!AP112-CumulativeRecovered!AP112-CumulativeDead!AP112</f>
        <v>0</v>
      </c>
      <c r="AQ112">
        <f>CumulativeConfirmed!AQ112-CumulativeRecovered!AQ112-CumulativeDead!AQ112</f>
        <v>0</v>
      </c>
      <c r="AR112">
        <f>CumulativeConfirmed!AR112-CumulativeRecovered!AR112-CumulativeDead!AR112</f>
        <v>0</v>
      </c>
      <c r="AS112">
        <f>CumulativeConfirmed!AS112-CumulativeRecovered!AS112-CumulativeDead!AS112</f>
        <v>0</v>
      </c>
      <c r="AT112">
        <f>CumulativeConfirmed!AT112-CumulativeRecovered!AT112-CumulativeDead!AT112</f>
        <v>1</v>
      </c>
      <c r="AU112">
        <f>CumulativeConfirmed!AU112-CumulativeRecovered!AU112-CumulativeDead!AU112</f>
        <v>1</v>
      </c>
      <c r="AV112">
        <f>CumulativeConfirmed!AV112-CumulativeRecovered!AV112-CumulativeDead!AV112</f>
        <v>1</v>
      </c>
      <c r="AW112">
        <f>CumulativeConfirmed!AW112-CumulativeRecovered!AW112-CumulativeDead!AW112</f>
        <v>1</v>
      </c>
      <c r="AX112">
        <f>CumulativeConfirmed!AX112-CumulativeRecovered!AX112-CumulativeDead!AX112</f>
        <v>1</v>
      </c>
      <c r="AY112">
        <f>CumulativeConfirmed!AY112-CumulativeRecovered!AY112-CumulativeDead!AY112</f>
        <v>1</v>
      </c>
      <c r="AZ112">
        <f>CumulativeConfirmed!AZ112-CumulativeRecovered!AZ112-CumulativeDead!AZ112</f>
        <v>1</v>
      </c>
      <c r="BA112">
        <f>CumulativeConfirmed!BA112-CumulativeRecovered!BA112-CumulativeDead!BA112</f>
        <v>1</v>
      </c>
      <c r="BB112">
        <f>CumulativeConfirmed!BB112-CumulativeRecovered!BB112-CumulativeDead!BB112</f>
        <v>1</v>
      </c>
      <c r="BC112">
        <f>CumulativeConfirmed!BC112-CumulativeRecovered!BC112-CumulativeDead!BC112</f>
        <v>1</v>
      </c>
      <c r="BD112">
        <f>CumulativeConfirmed!BD112-CumulativeRecovered!BD112-CumulativeDead!BD112</f>
        <v>1</v>
      </c>
      <c r="BE112">
        <f>CumulativeConfirmed!BE112-CumulativeRecovered!BE112-CumulativeDead!BE112</f>
        <v>1</v>
      </c>
      <c r="BF112">
        <f>CumulativeConfirmed!BF112-CumulativeRecovered!BF112-CumulativeDead!BF112</f>
        <v>1</v>
      </c>
      <c r="BG112">
        <f>CumulativeConfirmed!BG112-CumulativeRecovered!BG112-CumulativeDead!BG112</f>
        <v>1</v>
      </c>
      <c r="BH112">
        <f>CumulativeConfirmed!BH112-CumulativeRecovered!BH112-CumulativeDead!BH112</f>
        <v>2</v>
      </c>
      <c r="BI112">
        <f>CumulativeConfirmed!BI112-CumulativeRecovered!BI112-CumulativeDead!BI112</f>
        <v>0</v>
      </c>
      <c r="BJ112">
        <f>CumulativeConfirmed!BJ112-CumulativeRecovered!BJ112-CumulativeDead!BJ112</f>
        <v>0</v>
      </c>
      <c r="BK112">
        <f>CumulativeConfirmed!BK112-CumulativeRecovered!BK112-CumulativeDead!BK112</f>
        <v>0</v>
      </c>
      <c r="BL112">
        <f>CumulativeConfirmed!BL112-CumulativeRecovered!BL112-CumulativeDead!BL112</f>
        <v>0</v>
      </c>
      <c r="BM112">
        <f>CumulativeConfirmed!BM112-CumulativeRecovered!BM112-CumulativeDead!BM112</f>
        <v>0</v>
      </c>
      <c r="BN112">
        <f>CumulativeConfirmed!BN112-CumulativeRecovered!BN112-CumulativeDead!BN112</f>
        <v>0</v>
      </c>
      <c r="BO112">
        <f>CumulativeConfirmed!BO112-CumulativeRecovered!BO112-CumulativeDead!BO112</f>
        <v>0</v>
      </c>
      <c r="BP112">
        <f>CumulativeConfirmed!BP112-CumulativeRecovered!BP112-CumulativeDead!BP112</f>
        <v>0</v>
      </c>
      <c r="BQ112">
        <f>CumulativeConfirmed!BQ112-CumulativeRecovered!BQ112-CumulativeDead!BQ112</f>
        <v>0</v>
      </c>
      <c r="BR112">
        <f>CumulativeConfirmed!BR112-CumulativeRecovered!BR112-CumulativeDead!BR112</f>
        <v>0</v>
      </c>
      <c r="BS112">
        <f>CumulativeConfirmed!BS112-CumulativeRecovered!BS112-CumulativeDead!BS112</f>
        <v>0</v>
      </c>
      <c r="BT112">
        <f>CumulativeConfirmed!BT112-CumulativeRecovered!BT112-CumulativeDead!BT112</f>
        <v>0</v>
      </c>
    </row>
    <row r="113" spans="1:72" ht="15" thickBot="1" x14ac:dyDescent="0.35">
      <c r="A113" s="4" t="s">
        <v>415</v>
      </c>
      <c r="B113">
        <f>CumulativeConfirmed!B113-CumulativeRecovered!B113-CumulativeDead!B113</f>
        <v>0</v>
      </c>
      <c r="C113">
        <f>CumulativeConfirmed!C113-CumulativeRecovered!C113-CumulativeDead!C113</f>
        <v>0</v>
      </c>
      <c r="D113">
        <f>CumulativeConfirmed!D113-CumulativeRecovered!D113-CumulativeDead!D113</f>
        <v>0</v>
      </c>
      <c r="E113">
        <f>CumulativeConfirmed!E113-CumulativeRecovered!E113-CumulativeDead!E113</f>
        <v>0</v>
      </c>
      <c r="F113">
        <f>CumulativeConfirmed!F113-CumulativeRecovered!F113-CumulativeDead!F113</f>
        <v>0</v>
      </c>
      <c r="G113">
        <f>CumulativeConfirmed!G113-CumulativeRecovered!G113-CumulativeDead!G113</f>
        <v>0</v>
      </c>
      <c r="H113">
        <f>CumulativeConfirmed!H113-CumulativeRecovered!H113-CumulativeDead!H113</f>
        <v>0</v>
      </c>
      <c r="I113">
        <f>CumulativeConfirmed!I113-CumulativeRecovered!I113-CumulativeDead!I113</f>
        <v>0</v>
      </c>
      <c r="J113">
        <f>CumulativeConfirmed!J113-CumulativeRecovered!J113-CumulativeDead!J113</f>
        <v>0</v>
      </c>
      <c r="K113">
        <f>CumulativeConfirmed!K113-CumulativeRecovered!K113-CumulativeDead!K113</f>
        <v>0</v>
      </c>
      <c r="L113">
        <f>CumulativeConfirmed!L113-CumulativeRecovered!L113-CumulativeDead!L113</f>
        <v>0</v>
      </c>
      <c r="M113">
        <f>CumulativeConfirmed!M113-CumulativeRecovered!M113-CumulativeDead!M113</f>
        <v>0</v>
      </c>
      <c r="N113">
        <f>CumulativeConfirmed!N113-CumulativeRecovered!N113-CumulativeDead!N113</f>
        <v>0</v>
      </c>
      <c r="O113">
        <f>CumulativeConfirmed!O113-CumulativeRecovered!O113-CumulativeDead!O113</f>
        <v>0</v>
      </c>
      <c r="P113">
        <f>CumulativeConfirmed!P113-CumulativeRecovered!P113-CumulativeDead!P113</f>
        <v>0</v>
      </c>
      <c r="Q113">
        <f>CumulativeConfirmed!Q113-CumulativeRecovered!Q113-CumulativeDead!Q113</f>
        <v>0</v>
      </c>
      <c r="R113">
        <f>CumulativeConfirmed!R113-CumulativeRecovered!R113-CumulativeDead!R113</f>
        <v>0</v>
      </c>
      <c r="S113">
        <f>CumulativeConfirmed!S113-CumulativeRecovered!S113-CumulativeDead!S113</f>
        <v>0</v>
      </c>
      <c r="T113">
        <f>CumulativeConfirmed!T113-CumulativeRecovered!T113-CumulativeDead!T113</f>
        <v>0</v>
      </c>
      <c r="U113">
        <f>CumulativeConfirmed!U113-CumulativeRecovered!U113-CumulativeDead!U113</f>
        <v>0</v>
      </c>
      <c r="V113">
        <f>CumulativeConfirmed!V113-CumulativeRecovered!V113-CumulativeDead!V113</f>
        <v>0</v>
      </c>
      <c r="W113">
        <f>CumulativeConfirmed!W113-CumulativeRecovered!W113-CumulativeDead!W113</f>
        <v>0</v>
      </c>
      <c r="X113">
        <f>CumulativeConfirmed!X113-CumulativeRecovered!X113-CumulativeDead!X113</f>
        <v>0</v>
      </c>
      <c r="Y113">
        <f>CumulativeConfirmed!Y113-CumulativeRecovered!Y113-CumulativeDead!Y113</f>
        <v>0</v>
      </c>
      <c r="Z113">
        <f>CumulativeConfirmed!Z113-CumulativeRecovered!Z113-CumulativeDead!Z113</f>
        <v>0</v>
      </c>
      <c r="AA113">
        <f>CumulativeConfirmed!AA113-CumulativeRecovered!AA113-CumulativeDead!AA113</f>
        <v>0</v>
      </c>
      <c r="AB113">
        <f>CumulativeConfirmed!AB113-CumulativeRecovered!AB113-CumulativeDead!AB113</f>
        <v>0</v>
      </c>
      <c r="AC113">
        <f>CumulativeConfirmed!AC113-CumulativeRecovered!AC113-CumulativeDead!AC113</f>
        <v>0</v>
      </c>
      <c r="AD113">
        <f>CumulativeConfirmed!AD113-CumulativeRecovered!AD113-CumulativeDead!AD113</f>
        <v>0</v>
      </c>
      <c r="AE113">
        <f>CumulativeConfirmed!AE113-CumulativeRecovered!AE113-CumulativeDead!AE113</f>
        <v>0</v>
      </c>
      <c r="AF113">
        <f>CumulativeConfirmed!AF113-CumulativeRecovered!AF113-CumulativeDead!AF113</f>
        <v>0</v>
      </c>
      <c r="AG113">
        <f>CumulativeConfirmed!AG113-CumulativeRecovered!AG113-CumulativeDead!AG113</f>
        <v>0</v>
      </c>
      <c r="AH113">
        <f>CumulativeConfirmed!AH113-CumulativeRecovered!AH113-CumulativeDead!AH113</f>
        <v>0</v>
      </c>
      <c r="AI113">
        <f>CumulativeConfirmed!AI113-CumulativeRecovered!AI113-CumulativeDead!AI113</f>
        <v>0</v>
      </c>
      <c r="AJ113">
        <f>CumulativeConfirmed!AJ113-CumulativeRecovered!AJ113-CumulativeDead!AJ113</f>
        <v>0</v>
      </c>
      <c r="AK113">
        <f>CumulativeConfirmed!AK113-CumulativeRecovered!AK113-CumulativeDead!AK113</f>
        <v>0</v>
      </c>
      <c r="AL113">
        <f>CumulativeConfirmed!AL113-CumulativeRecovered!AL113-CumulativeDead!AL113</f>
        <v>0</v>
      </c>
      <c r="AM113">
        <f>CumulativeConfirmed!AM113-CumulativeRecovered!AM113-CumulativeDead!AM113</f>
        <v>0</v>
      </c>
      <c r="AN113">
        <f>CumulativeConfirmed!AN113-CumulativeRecovered!AN113-CumulativeDead!AN113</f>
        <v>0</v>
      </c>
      <c r="AO113">
        <f>CumulativeConfirmed!AO113-CumulativeRecovered!AO113-CumulativeDead!AO113</f>
        <v>0</v>
      </c>
      <c r="AP113">
        <f>CumulativeConfirmed!AP113-CumulativeRecovered!AP113-CumulativeDead!AP113</f>
        <v>0</v>
      </c>
      <c r="AQ113">
        <f>CumulativeConfirmed!AQ113-CumulativeRecovered!AQ113-CumulativeDead!AQ113</f>
        <v>0</v>
      </c>
      <c r="AR113">
        <f>CumulativeConfirmed!AR113-CumulativeRecovered!AR113-CumulativeDead!AR113</f>
        <v>0</v>
      </c>
      <c r="AS113">
        <f>CumulativeConfirmed!AS113-CumulativeRecovered!AS113-CumulativeDead!AS113</f>
        <v>0</v>
      </c>
      <c r="AT113">
        <f>CumulativeConfirmed!AT113-CumulativeRecovered!AT113-CumulativeDead!AT113</f>
        <v>0</v>
      </c>
      <c r="AU113">
        <f>CumulativeConfirmed!AU113-CumulativeRecovered!AU113-CumulativeDead!AU113</f>
        <v>0</v>
      </c>
      <c r="AV113">
        <f>CumulativeConfirmed!AV113-CumulativeRecovered!AV113-CumulativeDead!AV113</f>
        <v>0</v>
      </c>
      <c r="AW113">
        <f>CumulativeConfirmed!AW113-CumulativeRecovered!AW113-CumulativeDead!AW113</f>
        <v>0</v>
      </c>
      <c r="AX113">
        <f>CumulativeConfirmed!AX113-CumulativeRecovered!AX113-CumulativeDead!AX113</f>
        <v>0</v>
      </c>
      <c r="AY113">
        <f>CumulativeConfirmed!AY113-CumulativeRecovered!AY113-CumulativeDead!AY113</f>
        <v>0</v>
      </c>
      <c r="AZ113">
        <f>CumulativeConfirmed!AZ113-CumulativeRecovered!AZ113-CumulativeDead!AZ113</f>
        <v>0</v>
      </c>
      <c r="BA113">
        <f>CumulativeConfirmed!BA113-CumulativeRecovered!BA113-CumulativeDead!BA113</f>
        <v>0</v>
      </c>
      <c r="BB113">
        <f>CumulativeConfirmed!BB113-CumulativeRecovered!BB113-CumulativeDead!BB113</f>
        <v>0</v>
      </c>
      <c r="BC113">
        <f>CumulativeConfirmed!BC113-CumulativeRecovered!BC113-CumulativeDead!BC113</f>
        <v>0</v>
      </c>
      <c r="BD113">
        <f>CumulativeConfirmed!BD113-CumulativeRecovered!BD113-CumulativeDead!BD113</f>
        <v>0</v>
      </c>
      <c r="BE113">
        <f>CumulativeConfirmed!BE113-CumulativeRecovered!BE113-CumulativeDead!BE113</f>
        <v>0</v>
      </c>
      <c r="BF113">
        <f>CumulativeConfirmed!BF113-CumulativeRecovered!BF113-CumulativeDead!BF113</f>
        <v>0</v>
      </c>
      <c r="BG113">
        <f>CumulativeConfirmed!BG113-CumulativeRecovered!BG113-CumulativeDead!BG113</f>
        <v>0</v>
      </c>
      <c r="BH113">
        <f>CumulativeConfirmed!BH113-CumulativeRecovered!BH113-CumulativeDead!BH113</f>
        <v>0</v>
      </c>
      <c r="BI113">
        <f>CumulativeConfirmed!BI113-CumulativeRecovered!BI113-CumulativeDead!BI113</f>
        <v>0</v>
      </c>
      <c r="BJ113">
        <f>CumulativeConfirmed!BJ113-CumulativeRecovered!BJ113-CumulativeDead!BJ113</f>
        <v>0</v>
      </c>
      <c r="BK113">
        <f>CumulativeConfirmed!BK113-CumulativeRecovered!BK113-CumulativeDead!BK113</f>
        <v>0</v>
      </c>
      <c r="BL113">
        <f>CumulativeConfirmed!BL113-CumulativeRecovered!BL113-CumulativeDead!BL113</f>
        <v>0</v>
      </c>
      <c r="BM113">
        <f>CumulativeConfirmed!BM113-CumulativeRecovered!BM113-CumulativeDead!BM113</f>
        <v>0</v>
      </c>
      <c r="BN113">
        <f>CumulativeConfirmed!BN113-CumulativeRecovered!BN113-CumulativeDead!BN113</f>
        <v>0</v>
      </c>
      <c r="BO113">
        <f>CumulativeConfirmed!BO113-CumulativeRecovered!BO113-CumulativeDead!BO113</f>
        <v>0</v>
      </c>
      <c r="BP113">
        <f>CumulativeConfirmed!BP113-CumulativeRecovered!BP113-CumulativeDead!BP113</f>
        <v>0</v>
      </c>
      <c r="BQ113">
        <f>CumulativeConfirmed!BQ113-CumulativeRecovered!BQ113-CumulativeDead!BQ113</f>
        <v>0</v>
      </c>
      <c r="BR113">
        <f>CumulativeConfirmed!BR113-CumulativeRecovered!BR113-CumulativeDead!BR113</f>
        <v>0</v>
      </c>
      <c r="BS113">
        <f>CumulativeConfirmed!BS113-CumulativeRecovered!BS113-CumulativeDead!BS113</f>
        <v>0</v>
      </c>
      <c r="BT113">
        <f>CumulativeConfirmed!BT113-CumulativeRecovered!BT113-CumulativeDead!BT113</f>
        <v>0</v>
      </c>
    </row>
    <row r="114" spans="1:72" ht="15" thickBot="1" x14ac:dyDescent="0.35">
      <c r="A114" s="3" t="s">
        <v>352</v>
      </c>
      <c r="B114">
        <f>CumulativeConfirmed!B114-CumulativeRecovered!B114-CumulativeDead!B114</f>
        <v>0</v>
      </c>
      <c r="C114">
        <f>CumulativeConfirmed!C114-CumulativeRecovered!C114-CumulativeDead!C114</f>
        <v>0</v>
      </c>
      <c r="D114">
        <f>CumulativeConfirmed!D114-CumulativeRecovered!D114-CumulativeDead!D114</f>
        <v>0</v>
      </c>
      <c r="E114">
        <f>CumulativeConfirmed!E114-CumulativeRecovered!E114-CumulativeDead!E114</f>
        <v>0</v>
      </c>
      <c r="F114">
        <f>CumulativeConfirmed!F114-CumulativeRecovered!F114-CumulativeDead!F114</f>
        <v>0</v>
      </c>
      <c r="G114">
        <f>CumulativeConfirmed!G114-CumulativeRecovered!G114-CumulativeDead!G114</f>
        <v>0</v>
      </c>
      <c r="H114">
        <f>CumulativeConfirmed!H114-CumulativeRecovered!H114-CumulativeDead!H114</f>
        <v>0</v>
      </c>
      <c r="I114">
        <f>CumulativeConfirmed!I114-CumulativeRecovered!I114-CumulativeDead!I114</f>
        <v>0</v>
      </c>
      <c r="J114">
        <f>CumulativeConfirmed!J114-CumulativeRecovered!J114-CumulativeDead!J114</f>
        <v>0</v>
      </c>
      <c r="K114">
        <f>CumulativeConfirmed!K114-CumulativeRecovered!K114-CumulativeDead!K114</f>
        <v>0</v>
      </c>
      <c r="L114">
        <f>CumulativeConfirmed!L114-CumulativeRecovered!L114-CumulativeDead!L114</f>
        <v>0</v>
      </c>
      <c r="M114">
        <f>CumulativeConfirmed!M114-CumulativeRecovered!M114-CumulativeDead!M114</f>
        <v>0</v>
      </c>
      <c r="N114">
        <f>CumulativeConfirmed!N114-CumulativeRecovered!N114-CumulativeDead!N114</f>
        <v>0</v>
      </c>
      <c r="O114">
        <f>CumulativeConfirmed!O114-CumulativeRecovered!O114-CumulativeDead!O114</f>
        <v>0</v>
      </c>
      <c r="P114">
        <f>CumulativeConfirmed!P114-CumulativeRecovered!P114-CumulativeDead!P114</f>
        <v>0</v>
      </c>
      <c r="Q114">
        <f>CumulativeConfirmed!Q114-CumulativeRecovered!Q114-CumulativeDead!Q114</f>
        <v>0</v>
      </c>
      <c r="R114">
        <f>CumulativeConfirmed!R114-CumulativeRecovered!R114-CumulativeDead!R114</f>
        <v>0</v>
      </c>
      <c r="S114">
        <f>CumulativeConfirmed!S114-CumulativeRecovered!S114-CumulativeDead!S114</f>
        <v>0</v>
      </c>
      <c r="T114">
        <f>CumulativeConfirmed!T114-CumulativeRecovered!T114-CumulativeDead!T114</f>
        <v>0</v>
      </c>
      <c r="U114">
        <f>CumulativeConfirmed!U114-CumulativeRecovered!U114-CumulativeDead!U114</f>
        <v>0</v>
      </c>
      <c r="V114">
        <f>CumulativeConfirmed!V114-CumulativeRecovered!V114-CumulativeDead!V114</f>
        <v>0</v>
      </c>
      <c r="W114">
        <f>CumulativeConfirmed!W114-CumulativeRecovered!W114-CumulativeDead!W114</f>
        <v>0</v>
      </c>
      <c r="X114">
        <f>CumulativeConfirmed!X114-CumulativeRecovered!X114-CumulativeDead!X114</f>
        <v>0</v>
      </c>
      <c r="Y114">
        <f>CumulativeConfirmed!Y114-CumulativeRecovered!Y114-CumulativeDead!Y114</f>
        <v>0</v>
      </c>
      <c r="Z114">
        <f>CumulativeConfirmed!Z114-CumulativeRecovered!Z114-CumulativeDead!Z114</f>
        <v>0</v>
      </c>
      <c r="AA114">
        <f>CumulativeConfirmed!AA114-CumulativeRecovered!AA114-CumulativeDead!AA114</f>
        <v>0</v>
      </c>
      <c r="AB114">
        <f>CumulativeConfirmed!AB114-CumulativeRecovered!AB114-CumulativeDead!AB114</f>
        <v>0</v>
      </c>
      <c r="AC114">
        <f>CumulativeConfirmed!AC114-CumulativeRecovered!AC114-CumulativeDead!AC114</f>
        <v>0</v>
      </c>
      <c r="AD114">
        <f>CumulativeConfirmed!AD114-CumulativeRecovered!AD114-CumulativeDead!AD114</f>
        <v>0</v>
      </c>
      <c r="AE114">
        <f>CumulativeConfirmed!AE114-CumulativeRecovered!AE114-CumulativeDead!AE114</f>
        <v>0</v>
      </c>
      <c r="AF114">
        <f>CumulativeConfirmed!AF114-CumulativeRecovered!AF114-CumulativeDead!AF114</f>
        <v>0</v>
      </c>
      <c r="AG114">
        <f>CumulativeConfirmed!AG114-CumulativeRecovered!AG114-CumulativeDead!AG114</f>
        <v>0</v>
      </c>
      <c r="AH114">
        <f>CumulativeConfirmed!AH114-CumulativeRecovered!AH114-CumulativeDead!AH114</f>
        <v>0</v>
      </c>
      <c r="AI114">
        <f>CumulativeConfirmed!AI114-CumulativeRecovered!AI114-CumulativeDead!AI114</f>
        <v>0</v>
      </c>
      <c r="AJ114">
        <f>CumulativeConfirmed!AJ114-CumulativeRecovered!AJ114-CumulativeDead!AJ114</f>
        <v>0</v>
      </c>
      <c r="AK114">
        <f>CumulativeConfirmed!AK114-CumulativeRecovered!AK114-CumulativeDead!AK114</f>
        <v>0</v>
      </c>
      <c r="AL114">
        <f>CumulativeConfirmed!AL114-CumulativeRecovered!AL114-CumulativeDead!AL114</f>
        <v>0</v>
      </c>
      <c r="AM114">
        <f>CumulativeConfirmed!AM114-CumulativeRecovered!AM114-CumulativeDead!AM114</f>
        <v>0</v>
      </c>
      <c r="AN114">
        <f>CumulativeConfirmed!AN114-CumulativeRecovered!AN114-CumulativeDead!AN114</f>
        <v>0</v>
      </c>
      <c r="AO114">
        <f>CumulativeConfirmed!AO114-CumulativeRecovered!AO114-CumulativeDead!AO114</f>
        <v>0</v>
      </c>
      <c r="AP114">
        <f>CumulativeConfirmed!AP114-CumulativeRecovered!AP114-CumulativeDead!AP114</f>
        <v>0</v>
      </c>
      <c r="AQ114">
        <f>CumulativeConfirmed!AQ114-CumulativeRecovered!AQ114-CumulativeDead!AQ114</f>
        <v>0</v>
      </c>
      <c r="AR114">
        <f>CumulativeConfirmed!AR114-CumulativeRecovered!AR114-CumulativeDead!AR114</f>
        <v>0</v>
      </c>
      <c r="AS114">
        <f>CumulativeConfirmed!AS114-CumulativeRecovered!AS114-CumulativeDead!AS114</f>
        <v>0</v>
      </c>
      <c r="AT114">
        <f>CumulativeConfirmed!AT114-CumulativeRecovered!AT114-CumulativeDead!AT114</f>
        <v>0</v>
      </c>
      <c r="AU114">
        <f>CumulativeConfirmed!AU114-CumulativeRecovered!AU114-CumulativeDead!AU114</f>
        <v>0</v>
      </c>
      <c r="AV114">
        <f>CumulativeConfirmed!AV114-CumulativeRecovered!AV114-CumulativeDead!AV114</f>
        <v>0</v>
      </c>
      <c r="AW114">
        <f>CumulativeConfirmed!AW114-CumulativeRecovered!AW114-CumulativeDead!AW114</f>
        <v>0</v>
      </c>
      <c r="AX114">
        <f>CumulativeConfirmed!AX114-CumulativeRecovered!AX114-CumulativeDead!AX114</f>
        <v>0</v>
      </c>
      <c r="AY114">
        <f>CumulativeConfirmed!AY114-CumulativeRecovered!AY114-CumulativeDead!AY114</f>
        <v>1</v>
      </c>
      <c r="AZ114">
        <f>CumulativeConfirmed!AZ114-CumulativeRecovered!AZ114-CumulativeDead!AZ114</f>
        <v>1</v>
      </c>
      <c r="BA114">
        <f>CumulativeConfirmed!BA114-CumulativeRecovered!BA114-CumulativeDead!BA114</f>
        <v>1</v>
      </c>
      <c r="BB114">
        <f>CumulativeConfirmed!BB114-CumulativeRecovered!BB114-CumulativeDead!BB114</f>
        <v>1</v>
      </c>
      <c r="BC114">
        <f>CumulativeConfirmed!BC114-CumulativeRecovered!BC114-CumulativeDead!BC114</f>
        <v>1</v>
      </c>
      <c r="BD114">
        <f>CumulativeConfirmed!BD114-CumulativeRecovered!BD114-CumulativeDead!BD114</f>
        <v>1</v>
      </c>
      <c r="BE114">
        <f>CumulativeConfirmed!BE114-CumulativeRecovered!BE114-CumulativeDead!BE114</f>
        <v>4</v>
      </c>
      <c r="BF114">
        <f>CumulativeConfirmed!BF114-CumulativeRecovered!BF114-CumulativeDead!BF114</f>
        <v>5</v>
      </c>
      <c r="BG114">
        <f>CumulativeConfirmed!BG114-CumulativeRecovered!BG114-CumulativeDead!BG114</f>
        <v>8</v>
      </c>
      <c r="BH114">
        <f>CumulativeConfirmed!BH114-CumulativeRecovered!BH114-CumulativeDead!BH114</f>
        <v>8</v>
      </c>
      <c r="BI114">
        <f>CumulativeConfirmed!BI114-CumulativeRecovered!BI114-CumulativeDead!BI114</f>
        <v>0</v>
      </c>
      <c r="BJ114">
        <f>CumulativeConfirmed!BJ114-CumulativeRecovered!BJ114-CumulativeDead!BJ114</f>
        <v>0</v>
      </c>
      <c r="BK114">
        <f>CumulativeConfirmed!BK114-CumulativeRecovered!BK114-CumulativeDead!BK114</f>
        <v>0</v>
      </c>
      <c r="BL114">
        <f>CumulativeConfirmed!BL114-CumulativeRecovered!BL114-CumulativeDead!BL114</f>
        <v>0</v>
      </c>
      <c r="BM114">
        <f>CumulativeConfirmed!BM114-CumulativeRecovered!BM114-CumulativeDead!BM114</f>
        <v>0</v>
      </c>
      <c r="BN114">
        <f>CumulativeConfirmed!BN114-CumulativeRecovered!BN114-CumulativeDead!BN114</f>
        <v>0</v>
      </c>
      <c r="BO114">
        <f>CumulativeConfirmed!BO114-CumulativeRecovered!BO114-CumulativeDead!BO114</f>
        <v>0</v>
      </c>
      <c r="BP114">
        <f>CumulativeConfirmed!BP114-CumulativeRecovered!BP114-CumulativeDead!BP114</f>
        <v>0</v>
      </c>
      <c r="BQ114">
        <f>CumulativeConfirmed!BQ114-CumulativeRecovered!BQ114-CumulativeDead!BQ114</f>
        <v>0</v>
      </c>
      <c r="BR114">
        <f>CumulativeConfirmed!BR114-CumulativeRecovered!BR114-CumulativeDead!BR114</f>
        <v>0</v>
      </c>
      <c r="BS114">
        <f>CumulativeConfirmed!BS114-CumulativeRecovered!BS114-CumulativeDead!BS114</f>
        <v>0</v>
      </c>
      <c r="BT114">
        <f>CumulativeConfirmed!BT114-CumulativeRecovered!BT114-CumulativeDead!BT114</f>
        <v>0</v>
      </c>
    </row>
    <row r="115" spans="1:72" ht="15" thickBot="1" x14ac:dyDescent="0.35">
      <c r="A115" s="4" t="s">
        <v>419</v>
      </c>
      <c r="B115">
        <f>CumulativeConfirmed!B115-CumulativeRecovered!B115-CumulativeDead!B115</f>
        <v>0</v>
      </c>
      <c r="C115">
        <f>CumulativeConfirmed!C115-CumulativeRecovered!C115-CumulativeDead!C115</f>
        <v>0</v>
      </c>
      <c r="D115">
        <f>CumulativeConfirmed!D115-CumulativeRecovered!D115-CumulativeDead!D115</f>
        <v>0</v>
      </c>
      <c r="E115">
        <f>CumulativeConfirmed!E115-CumulativeRecovered!E115-CumulativeDead!E115</f>
        <v>0</v>
      </c>
      <c r="F115">
        <f>CumulativeConfirmed!F115-CumulativeRecovered!F115-CumulativeDead!F115</f>
        <v>0</v>
      </c>
      <c r="G115">
        <f>CumulativeConfirmed!G115-CumulativeRecovered!G115-CumulativeDead!G115</f>
        <v>0</v>
      </c>
      <c r="H115">
        <f>CumulativeConfirmed!H115-CumulativeRecovered!H115-CumulativeDead!H115</f>
        <v>0</v>
      </c>
      <c r="I115">
        <f>CumulativeConfirmed!I115-CumulativeRecovered!I115-CumulativeDead!I115</f>
        <v>0</v>
      </c>
      <c r="J115">
        <f>CumulativeConfirmed!J115-CumulativeRecovered!J115-CumulativeDead!J115</f>
        <v>0</v>
      </c>
      <c r="K115">
        <f>CumulativeConfirmed!K115-CumulativeRecovered!K115-CumulativeDead!K115</f>
        <v>0</v>
      </c>
      <c r="L115">
        <f>CumulativeConfirmed!L115-CumulativeRecovered!L115-CumulativeDead!L115</f>
        <v>0</v>
      </c>
      <c r="M115">
        <f>CumulativeConfirmed!M115-CumulativeRecovered!M115-CumulativeDead!M115</f>
        <v>0</v>
      </c>
      <c r="N115">
        <f>CumulativeConfirmed!N115-CumulativeRecovered!N115-CumulativeDead!N115</f>
        <v>0</v>
      </c>
      <c r="O115">
        <f>CumulativeConfirmed!O115-CumulativeRecovered!O115-CumulativeDead!O115</f>
        <v>0</v>
      </c>
      <c r="P115">
        <f>CumulativeConfirmed!P115-CumulativeRecovered!P115-CumulativeDead!P115</f>
        <v>0</v>
      </c>
      <c r="Q115">
        <f>CumulativeConfirmed!Q115-CumulativeRecovered!Q115-CumulativeDead!Q115</f>
        <v>0</v>
      </c>
      <c r="R115">
        <f>CumulativeConfirmed!R115-CumulativeRecovered!R115-CumulativeDead!R115</f>
        <v>0</v>
      </c>
      <c r="S115">
        <f>CumulativeConfirmed!S115-CumulativeRecovered!S115-CumulativeDead!S115</f>
        <v>0</v>
      </c>
      <c r="T115">
        <f>CumulativeConfirmed!T115-CumulativeRecovered!T115-CumulativeDead!T115</f>
        <v>0</v>
      </c>
      <c r="U115">
        <f>CumulativeConfirmed!U115-CumulativeRecovered!U115-CumulativeDead!U115</f>
        <v>0</v>
      </c>
      <c r="V115">
        <f>CumulativeConfirmed!V115-CumulativeRecovered!V115-CumulativeDead!V115</f>
        <v>0</v>
      </c>
      <c r="W115">
        <f>CumulativeConfirmed!W115-CumulativeRecovered!W115-CumulativeDead!W115</f>
        <v>0</v>
      </c>
      <c r="X115">
        <f>CumulativeConfirmed!X115-CumulativeRecovered!X115-CumulativeDead!X115</f>
        <v>0</v>
      </c>
      <c r="Y115">
        <f>CumulativeConfirmed!Y115-CumulativeRecovered!Y115-CumulativeDead!Y115</f>
        <v>0</v>
      </c>
      <c r="Z115">
        <f>CumulativeConfirmed!Z115-CumulativeRecovered!Z115-CumulativeDead!Z115</f>
        <v>0</v>
      </c>
      <c r="AA115">
        <f>CumulativeConfirmed!AA115-CumulativeRecovered!AA115-CumulativeDead!AA115</f>
        <v>0</v>
      </c>
      <c r="AB115">
        <f>CumulativeConfirmed!AB115-CumulativeRecovered!AB115-CumulativeDead!AB115</f>
        <v>0</v>
      </c>
      <c r="AC115">
        <f>CumulativeConfirmed!AC115-CumulativeRecovered!AC115-CumulativeDead!AC115</f>
        <v>0</v>
      </c>
      <c r="AD115">
        <f>CumulativeConfirmed!AD115-CumulativeRecovered!AD115-CumulativeDead!AD115</f>
        <v>0</v>
      </c>
      <c r="AE115">
        <f>CumulativeConfirmed!AE115-CumulativeRecovered!AE115-CumulativeDead!AE115</f>
        <v>0</v>
      </c>
      <c r="AF115">
        <f>CumulativeConfirmed!AF115-CumulativeRecovered!AF115-CumulativeDead!AF115</f>
        <v>0</v>
      </c>
      <c r="AG115">
        <f>CumulativeConfirmed!AG115-CumulativeRecovered!AG115-CumulativeDead!AG115</f>
        <v>0</v>
      </c>
      <c r="AH115">
        <f>CumulativeConfirmed!AH115-CumulativeRecovered!AH115-CumulativeDead!AH115</f>
        <v>0</v>
      </c>
      <c r="AI115">
        <f>CumulativeConfirmed!AI115-CumulativeRecovered!AI115-CumulativeDead!AI115</f>
        <v>0</v>
      </c>
      <c r="AJ115">
        <f>CumulativeConfirmed!AJ115-CumulativeRecovered!AJ115-CumulativeDead!AJ115</f>
        <v>0</v>
      </c>
      <c r="AK115">
        <f>CumulativeConfirmed!AK115-CumulativeRecovered!AK115-CumulativeDead!AK115</f>
        <v>0</v>
      </c>
      <c r="AL115">
        <f>CumulativeConfirmed!AL115-CumulativeRecovered!AL115-CumulativeDead!AL115</f>
        <v>0</v>
      </c>
      <c r="AM115">
        <f>CumulativeConfirmed!AM115-CumulativeRecovered!AM115-CumulativeDead!AM115</f>
        <v>0</v>
      </c>
      <c r="AN115">
        <f>CumulativeConfirmed!AN115-CumulativeRecovered!AN115-CumulativeDead!AN115</f>
        <v>0</v>
      </c>
      <c r="AO115">
        <f>CumulativeConfirmed!AO115-CumulativeRecovered!AO115-CumulativeDead!AO115</f>
        <v>0</v>
      </c>
      <c r="AP115">
        <f>CumulativeConfirmed!AP115-CumulativeRecovered!AP115-CumulativeDead!AP115</f>
        <v>0</v>
      </c>
      <c r="AQ115">
        <f>CumulativeConfirmed!AQ115-CumulativeRecovered!AQ115-CumulativeDead!AQ115</f>
        <v>0</v>
      </c>
      <c r="AR115">
        <f>CumulativeConfirmed!AR115-CumulativeRecovered!AR115-CumulativeDead!AR115</f>
        <v>0</v>
      </c>
      <c r="AS115">
        <f>CumulativeConfirmed!AS115-CumulativeRecovered!AS115-CumulativeDead!AS115</f>
        <v>0</v>
      </c>
      <c r="AT115">
        <f>CumulativeConfirmed!AT115-CumulativeRecovered!AT115-CumulativeDead!AT115</f>
        <v>0</v>
      </c>
      <c r="AU115">
        <f>CumulativeConfirmed!AU115-CumulativeRecovered!AU115-CumulativeDead!AU115</f>
        <v>0</v>
      </c>
      <c r="AV115">
        <f>CumulativeConfirmed!AV115-CumulativeRecovered!AV115-CumulativeDead!AV115</f>
        <v>0</v>
      </c>
      <c r="AW115">
        <f>CumulativeConfirmed!AW115-CumulativeRecovered!AW115-CumulativeDead!AW115</f>
        <v>0</v>
      </c>
      <c r="AX115">
        <f>CumulativeConfirmed!AX115-CumulativeRecovered!AX115-CumulativeDead!AX115</f>
        <v>0</v>
      </c>
      <c r="AY115">
        <f>CumulativeConfirmed!AY115-CumulativeRecovered!AY115-CumulativeDead!AY115</f>
        <v>0</v>
      </c>
      <c r="AZ115">
        <f>CumulativeConfirmed!AZ115-CumulativeRecovered!AZ115-CumulativeDead!AZ115</f>
        <v>0</v>
      </c>
      <c r="BA115">
        <f>CumulativeConfirmed!BA115-CumulativeRecovered!BA115-CumulativeDead!BA115</f>
        <v>1</v>
      </c>
      <c r="BB115">
        <f>CumulativeConfirmed!BB115-CumulativeRecovered!BB115-CumulativeDead!BB115</f>
        <v>1</v>
      </c>
      <c r="BC115">
        <f>CumulativeConfirmed!BC115-CumulativeRecovered!BC115-CumulativeDead!BC115</f>
        <v>1</v>
      </c>
      <c r="BD115">
        <f>CumulativeConfirmed!BD115-CumulativeRecovered!BD115-CumulativeDead!BD115</f>
        <v>5</v>
      </c>
      <c r="BE115">
        <f>CumulativeConfirmed!BE115-CumulativeRecovered!BE115-CumulativeDead!BE115</f>
        <v>5</v>
      </c>
      <c r="BF115">
        <f>CumulativeConfirmed!BF115-CumulativeRecovered!BF115-CumulativeDead!BF115</f>
        <v>6</v>
      </c>
      <c r="BG115">
        <f>CumulativeConfirmed!BG115-CumulativeRecovered!BG115-CumulativeDead!BG115</f>
        <v>6</v>
      </c>
      <c r="BH115">
        <f>CumulativeConfirmed!BH115-CumulativeRecovered!BH115-CumulativeDead!BH115</f>
        <v>9</v>
      </c>
      <c r="BI115">
        <f>CumulativeConfirmed!BI115-CumulativeRecovered!BI115-CumulativeDead!BI115</f>
        <v>0</v>
      </c>
      <c r="BJ115">
        <f>CumulativeConfirmed!BJ115-CumulativeRecovered!BJ115-CumulativeDead!BJ115</f>
        <v>0</v>
      </c>
      <c r="BK115">
        <f>CumulativeConfirmed!BK115-CumulativeRecovered!BK115-CumulativeDead!BK115</f>
        <v>0</v>
      </c>
      <c r="BL115">
        <f>CumulativeConfirmed!BL115-CumulativeRecovered!BL115-CumulativeDead!BL115</f>
        <v>0</v>
      </c>
      <c r="BM115">
        <f>CumulativeConfirmed!BM115-CumulativeRecovered!BM115-CumulativeDead!BM115</f>
        <v>0</v>
      </c>
      <c r="BN115">
        <f>CumulativeConfirmed!BN115-CumulativeRecovered!BN115-CumulativeDead!BN115</f>
        <v>0</v>
      </c>
      <c r="BO115">
        <f>CumulativeConfirmed!BO115-CumulativeRecovered!BO115-CumulativeDead!BO115</f>
        <v>0</v>
      </c>
      <c r="BP115">
        <f>CumulativeConfirmed!BP115-CumulativeRecovered!BP115-CumulativeDead!BP115</f>
        <v>0</v>
      </c>
      <c r="BQ115">
        <f>CumulativeConfirmed!BQ115-CumulativeRecovered!BQ115-CumulativeDead!BQ115</f>
        <v>0</v>
      </c>
      <c r="BR115">
        <f>CumulativeConfirmed!BR115-CumulativeRecovered!BR115-CumulativeDead!BR115</f>
        <v>0</v>
      </c>
      <c r="BS115">
        <f>CumulativeConfirmed!BS115-CumulativeRecovered!BS115-CumulativeDead!BS115</f>
        <v>0</v>
      </c>
      <c r="BT115">
        <f>CumulativeConfirmed!BT115-CumulativeRecovered!BT115-CumulativeDead!BT115</f>
        <v>0</v>
      </c>
    </row>
    <row r="116" spans="1:72" ht="15" thickBot="1" x14ac:dyDescent="0.35">
      <c r="A116" s="3" t="s">
        <v>416</v>
      </c>
      <c r="B116">
        <f>CumulativeConfirmed!B116-CumulativeRecovered!B116-CumulativeDead!B116</f>
        <v>0</v>
      </c>
      <c r="C116">
        <f>CumulativeConfirmed!C116-CumulativeRecovered!C116-CumulativeDead!C116</f>
        <v>0</v>
      </c>
      <c r="D116">
        <f>CumulativeConfirmed!D116-CumulativeRecovered!D116-CumulativeDead!D116</f>
        <v>0</v>
      </c>
      <c r="E116">
        <f>CumulativeConfirmed!E116-CumulativeRecovered!E116-CumulativeDead!E116</f>
        <v>0</v>
      </c>
      <c r="F116">
        <f>CumulativeConfirmed!F116-CumulativeRecovered!F116-CumulativeDead!F116</f>
        <v>0</v>
      </c>
      <c r="G116">
        <f>CumulativeConfirmed!G116-CumulativeRecovered!G116-CumulativeDead!G116</f>
        <v>0</v>
      </c>
      <c r="H116">
        <f>CumulativeConfirmed!H116-CumulativeRecovered!H116-CumulativeDead!H116</f>
        <v>0</v>
      </c>
      <c r="I116">
        <f>CumulativeConfirmed!I116-CumulativeRecovered!I116-CumulativeDead!I116</f>
        <v>0</v>
      </c>
      <c r="J116">
        <f>CumulativeConfirmed!J116-CumulativeRecovered!J116-CumulativeDead!J116</f>
        <v>0</v>
      </c>
      <c r="K116">
        <f>CumulativeConfirmed!K116-CumulativeRecovered!K116-CumulativeDead!K116</f>
        <v>0</v>
      </c>
      <c r="L116">
        <f>CumulativeConfirmed!L116-CumulativeRecovered!L116-CumulativeDead!L116</f>
        <v>0</v>
      </c>
      <c r="M116">
        <f>CumulativeConfirmed!M116-CumulativeRecovered!M116-CumulativeDead!M116</f>
        <v>0</v>
      </c>
      <c r="N116">
        <f>CumulativeConfirmed!N116-CumulativeRecovered!N116-CumulativeDead!N116</f>
        <v>0</v>
      </c>
      <c r="O116">
        <f>CumulativeConfirmed!O116-CumulativeRecovered!O116-CumulativeDead!O116</f>
        <v>0</v>
      </c>
      <c r="P116">
        <f>CumulativeConfirmed!P116-CumulativeRecovered!P116-CumulativeDead!P116</f>
        <v>0</v>
      </c>
      <c r="Q116">
        <f>CumulativeConfirmed!Q116-CumulativeRecovered!Q116-CumulativeDead!Q116</f>
        <v>0</v>
      </c>
      <c r="R116">
        <f>CumulativeConfirmed!R116-CumulativeRecovered!R116-CumulativeDead!R116</f>
        <v>0</v>
      </c>
      <c r="S116">
        <f>CumulativeConfirmed!S116-CumulativeRecovered!S116-CumulativeDead!S116</f>
        <v>0</v>
      </c>
      <c r="T116">
        <f>CumulativeConfirmed!T116-CumulativeRecovered!T116-CumulativeDead!T116</f>
        <v>0</v>
      </c>
      <c r="U116">
        <f>CumulativeConfirmed!U116-CumulativeRecovered!U116-CumulativeDead!U116</f>
        <v>0</v>
      </c>
      <c r="V116">
        <f>CumulativeConfirmed!V116-CumulativeRecovered!V116-CumulativeDead!V116</f>
        <v>0</v>
      </c>
      <c r="W116">
        <f>CumulativeConfirmed!W116-CumulativeRecovered!W116-CumulativeDead!W116</f>
        <v>0</v>
      </c>
      <c r="X116">
        <f>CumulativeConfirmed!X116-CumulativeRecovered!X116-CumulativeDead!X116</f>
        <v>0</v>
      </c>
      <c r="Y116">
        <f>CumulativeConfirmed!Y116-CumulativeRecovered!Y116-CumulativeDead!Y116</f>
        <v>0</v>
      </c>
      <c r="Z116">
        <f>CumulativeConfirmed!Z116-CumulativeRecovered!Z116-CumulativeDead!Z116</f>
        <v>0</v>
      </c>
      <c r="AA116">
        <f>CumulativeConfirmed!AA116-CumulativeRecovered!AA116-CumulativeDead!AA116</f>
        <v>0</v>
      </c>
      <c r="AB116">
        <f>CumulativeConfirmed!AB116-CumulativeRecovered!AB116-CumulativeDead!AB116</f>
        <v>0</v>
      </c>
      <c r="AC116">
        <f>CumulativeConfirmed!AC116-CumulativeRecovered!AC116-CumulativeDead!AC116</f>
        <v>0</v>
      </c>
      <c r="AD116">
        <f>CumulativeConfirmed!AD116-CumulativeRecovered!AD116-CumulativeDead!AD116</f>
        <v>0</v>
      </c>
      <c r="AE116">
        <f>CumulativeConfirmed!AE116-CumulativeRecovered!AE116-CumulativeDead!AE116</f>
        <v>0</v>
      </c>
      <c r="AF116">
        <f>CumulativeConfirmed!AF116-CumulativeRecovered!AF116-CumulativeDead!AF116</f>
        <v>0</v>
      </c>
      <c r="AG116">
        <f>CumulativeConfirmed!AG116-CumulativeRecovered!AG116-CumulativeDead!AG116</f>
        <v>0</v>
      </c>
      <c r="AH116">
        <f>CumulativeConfirmed!AH116-CumulativeRecovered!AH116-CumulativeDead!AH116</f>
        <v>0</v>
      </c>
      <c r="AI116">
        <f>CumulativeConfirmed!AI116-CumulativeRecovered!AI116-CumulativeDead!AI116</f>
        <v>0</v>
      </c>
      <c r="AJ116">
        <f>CumulativeConfirmed!AJ116-CumulativeRecovered!AJ116-CumulativeDead!AJ116</f>
        <v>0</v>
      </c>
      <c r="AK116">
        <f>CumulativeConfirmed!AK116-CumulativeRecovered!AK116-CumulativeDead!AK116</f>
        <v>0</v>
      </c>
      <c r="AL116">
        <f>CumulativeConfirmed!AL116-CumulativeRecovered!AL116-CumulativeDead!AL116</f>
        <v>0</v>
      </c>
      <c r="AM116">
        <f>CumulativeConfirmed!AM116-CumulativeRecovered!AM116-CumulativeDead!AM116</f>
        <v>0</v>
      </c>
      <c r="AN116">
        <f>CumulativeConfirmed!AN116-CumulativeRecovered!AN116-CumulativeDead!AN116</f>
        <v>0</v>
      </c>
      <c r="AO116">
        <f>CumulativeConfirmed!AO116-CumulativeRecovered!AO116-CumulativeDead!AO116</f>
        <v>0</v>
      </c>
      <c r="AP116">
        <f>CumulativeConfirmed!AP116-CumulativeRecovered!AP116-CumulativeDead!AP116</f>
        <v>0</v>
      </c>
      <c r="AQ116">
        <f>CumulativeConfirmed!AQ116-CumulativeRecovered!AQ116-CumulativeDead!AQ116</f>
        <v>0</v>
      </c>
      <c r="AR116">
        <f>CumulativeConfirmed!AR116-CumulativeRecovered!AR116-CumulativeDead!AR116</f>
        <v>0</v>
      </c>
      <c r="AS116">
        <f>CumulativeConfirmed!AS116-CumulativeRecovered!AS116-CumulativeDead!AS116</f>
        <v>0</v>
      </c>
      <c r="AT116">
        <f>CumulativeConfirmed!AT116-CumulativeRecovered!AT116-CumulativeDead!AT116</f>
        <v>0</v>
      </c>
      <c r="AU116">
        <f>CumulativeConfirmed!AU116-CumulativeRecovered!AU116-CumulativeDead!AU116</f>
        <v>0</v>
      </c>
      <c r="AV116">
        <f>CumulativeConfirmed!AV116-CumulativeRecovered!AV116-CumulativeDead!AV116</f>
        <v>0</v>
      </c>
      <c r="AW116">
        <f>CumulativeConfirmed!AW116-CumulativeRecovered!AW116-CumulativeDead!AW116</f>
        <v>0</v>
      </c>
      <c r="AX116">
        <f>CumulativeConfirmed!AX116-CumulativeRecovered!AX116-CumulativeDead!AX116</f>
        <v>0</v>
      </c>
      <c r="AY116">
        <f>CumulativeConfirmed!AY116-CumulativeRecovered!AY116-CumulativeDead!AY116</f>
        <v>0</v>
      </c>
      <c r="AZ116">
        <f>CumulativeConfirmed!AZ116-CumulativeRecovered!AZ116-CumulativeDead!AZ116</f>
        <v>0</v>
      </c>
      <c r="BA116">
        <f>CumulativeConfirmed!BA116-CumulativeRecovered!BA116-CumulativeDead!BA116</f>
        <v>0</v>
      </c>
      <c r="BB116">
        <f>CumulativeConfirmed!BB116-CumulativeRecovered!BB116-CumulativeDead!BB116</f>
        <v>0</v>
      </c>
      <c r="BC116">
        <f>CumulativeConfirmed!BC116-CumulativeRecovered!BC116-CumulativeDead!BC116</f>
        <v>0</v>
      </c>
      <c r="BD116">
        <f>CumulativeConfirmed!BD116-CumulativeRecovered!BD116-CumulativeDead!BD116</f>
        <v>0</v>
      </c>
      <c r="BE116">
        <f>CumulativeConfirmed!BE116-CumulativeRecovered!BE116-CumulativeDead!BE116</f>
        <v>0</v>
      </c>
      <c r="BF116">
        <f>CumulativeConfirmed!BF116-CumulativeRecovered!BF116-CumulativeDead!BF116</f>
        <v>0</v>
      </c>
      <c r="BG116">
        <f>CumulativeConfirmed!BG116-CumulativeRecovered!BG116-CumulativeDead!BG116</f>
        <v>0</v>
      </c>
      <c r="BH116">
        <f>CumulativeConfirmed!BH116-CumulativeRecovered!BH116-CumulativeDead!BH116</f>
        <v>0</v>
      </c>
      <c r="BI116">
        <f>CumulativeConfirmed!BI116-CumulativeRecovered!BI116-CumulativeDead!BI116</f>
        <v>0</v>
      </c>
      <c r="BJ116">
        <f>CumulativeConfirmed!BJ116-CumulativeRecovered!BJ116-CumulativeDead!BJ116</f>
        <v>0</v>
      </c>
      <c r="BK116">
        <f>CumulativeConfirmed!BK116-CumulativeRecovered!BK116-CumulativeDead!BK116</f>
        <v>0</v>
      </c>
      <c r="BL116">
        <f>CumulativeConfirmed!BL116-CumulativeRecovered!BL116-CumulativeDead!BL116</f>
        <v>0</v>
      </c>
      <c r="BM116">
        <f>CumulativeConfirmed!BM116-CumulativeRecovered!BM116-CumulativeDead!BM116</f>
        <v>0</v>
      </c>
      <c r="BN116">
        <f>CumulativeConfirmed!BN116-CumulativeRecovered!BN116-CumulativeDead!BN116</f>
        <v>0</v>
      </c>
      <c r="BO116">
        <f>CumulativeConfirmed!BO116-CumulativeRecovered!BO116-CumulativeDead!BO116</f>
        <v>0</v>
      </c>
      <c r="BP116">
        <f>CumulativeConfirmed!BP116-CumulativeRecovered!BP116-CumulativeDead!BP116</f>
        <v>0</v>
      </c>
      <c r="BQ116">
        <f>CumulativeConfirmed!BQ116-CumulativeRecovered!BQ116-CumulativeDead!BQ116</f>
        <v>0</v>
      </c>
      <c r="BR116">
        <f>CumulativeConfirmed!BR116-CumulativeRecovered!BR116-CumulativeDead!BR116</f>
        <v>0</v>
      </c>
      <c r="BS116">
        <f>CumulativeConfirmed!BS116-CumulativeRecovered!BS116-CumulativeDead!BS116</f>
        <v>0</v>
      </c>
      <c r="BT116">
        <f>CumulativeConfirmed!BT116-CumulativeRecovered!BT116-CumulativeDead!BT116</f>
        <v>0</v>
      </c>
    </row>
    <row r="117" spans="1:72" ht="15" thickBot="1" x14ac:dyDescent="0.35">
      <c r="A117" s="4" t="s">
        <v>421</v>
      </c>
      <c r="B117">
        <f>CumulativeConfirmed!B117-CumulativeRecovered!B117-CumulativeDead!B117</f>
        <v>0</v>
      </c>
      <c r="C117">
        <f>CumulativeConfirmed!C117-CumulativeRecovered!C117-CumulativeDead!C117</f>
        <v>0</v>
      </c>
      <c r="D117">
        <f>CumulativeConfirmed!D117-CumulativeRecovered!D117-CumulativeDead!D117</f>
        <v>0</v>
      </c>
      <c r="E117">
        <f>CumulativeConfirmed!E117-CumulativeRecovered!E117-CumulativeDead!E117</f>
        <v>0</v>
      </c>
      <c r="F117">
        <f>CumulativeConfirmed!F117-CumulativeRecovered!F117-CumulativeDead!F117</f>
        <v>0</v>
      </c>
      <c r="G117">
        <f>CumulativeConfirmed!G117-CumulativeRecovered!G117-CumulativeDead!G117</f>
        <v>0</v>
      </c>
      <c r="H117">
        <f>CumulativeConfirmed!H117-CumulativeRecovered!H117-CumulativeDead!H117</f>
        <v>0</v>
      </c>
      <c r="I117">
        <f>CumulativeConfirmed!I117-CumulativeRecovered!I117-CumulativeDead!I117</f>
        <v>0</v>
      </c>
      <c r="J117">
        <f>CumulativeConfirmed!J117-CumulativeRecovered!J117-CumulativeDead!J117</f>
        <v>0</v>
      </c>
      <c r="K117">
        <f>CumulativeConfirmed!K117-CumulativeRecovered!K117-CumulativeDead!K117</f>
        <v>0</v>
      </c>
      <c r="L117">
        <f>CumulativeConfirmed!L117-CumulativeRecovered!L117-CumulativeDead!L117</f>
        <v>0</v>
      </c>
      <c r="M117">
        <f>CumulativeConfirmed!M117-CumulativeRecovered!M117-CumulativeDead!M117</f>
        <v>0</v>
      </c>
      <c r="N117">
        <f>CumulativeConfirmed!N117-CumulativeRecovered!N117-CumulativeDead!N117</f>
        <v>0</v>
      </c>
      <c r="O117">
        <f>CumulativeConfirmed!O117-CumulativeRecovered!O117-CumulativeDead!O117</f>
        <v>0</v>
      </c>
      <c r="P117">
        <f>CumulativeConfirmed!P117-CumulativeRecovered!P117-CumulativeDead!P117</f>
        <v>0</v>
      </c>
      <c r="Q117">
        <f>CumulativeConfirmed!Q117-CumulativeRecovered!Q117-CumulativeDead!Q117</f>
        <v>0</v>
      </c>
      <c r="R117">
        <f>CumulativeConfirmed!R117-CumulativeRecovered!R117-CumulativeDead!R117</f>
        <v>0</v>
      </c>
      <c r="S117">
        <f>CumulativeConfirmed!S117-CumulativeRecovered!S117-CumulativeDead!S117</f>
        <v>0</v>
      </c>
      <c r="T117">
        <f>CumulativeConfirmed!T117-CumulativeRecovered!T117-CumulativeDead!T117</f>
        <v>0</v>
      </c>
      <c r="U117">
        <f>CumulativeConfirmed!U117-CumulativeRecovered!U117-CumulativeDead!U117</f>
        <v>0</v>
      </c>
      <c r="V117">
        <f>CumulativeConfirmed!V117-CumulativeRecovered!V117-CumulativeDead!V117</f>
        <v>0</v>
      </c>
      <c r="W117">
        <f>CumulativeConfirmed!W117-CumulativeRecovered!W117-CumulativeDead!W117</f>
        <v>0</v>
      </c>
      <c r="X117">
        <f>CumulativeConfirmed!X117-CumulativeRecovered!X117-CumulativeDead!X117</f>
        <v>0</v>
      </c>
      <c r="Y117">
        <f>CumulativeConfirmed!Y117-CumulativeRecovered!Y117-CumulativeDead!Y117</f>
        <v>0</v>
      </c>
      <c r="Z117">
        <f>CumulativeConfirmed!Z117-CumulativeRecovered!Z117-CumulativeDead!Z117</f>
        <v>0</v>
      </c>
      <c r="AA117">
        <f>CumulativeConfirmed!AA117-CumulativeRecovered!AA117-CumulativeDead!AA117</f>
        <v>0</v>
      </c>
      <c r="AB117">
        <f>CumulativeConfirmed!AB117-CumulativeRecovered!AB117-CumulativeDead!AB117</f>
        <v>0</v>
      </c>
      <c r="AC117">
        <f>CumulativeConfirmed!AC117-CumulativeRecovered!AC117-CumulativeDead!AC117</f>
        <v>0</v>
      </c>
      <c r="AD117">
        <f>CumulativeConfirmed!AD117-CumulativeRecovered!AD117-CumulativeDead!AD117</f>
        <v>0</v>
      </c>
      <c r="AE117">
        <f>CumulativeConfirmed!AE117-CumulativeRecovered!AE117-CumulativeDead!AE117</f>
        <v>0</v>
      </c>
      <c r="AF117">
        <f>CumulativeConfirmed!AF117-CumulativeRecovered!AF117-CumulativeDead!AF117</f>
        <v>0</v>
      </c>
      <c r="AG117">
        <f>CumulativeConfirmed!AG117-CumulativeRecovered!AG117-CumulativeDead!AG117</f>
        <v>0</v>
      </c>
      <c r="AH117">
        <f>CumulativeConfirmed!AH117-CumulativeRecovered!AH117-CumulativeDead!AH117</f>
        <v>0</v>
      </c>
      <c r="AI117">
        <f>CumulativeConfirmed!AI117-CumulativeRecovered!AI117-CumulativeDead!AI117</f>
        <v>0</v>
      </c>
      <c r="AJ117">
        <f>CumulativeConfirmed!AJ117-CumulativeRecovered!AJ117-CumulativeDead!AJ117</f>
        <v>0</v>
      </c>
      <c r="AK117">
        <f>CumulativeConfirmed!AK117-CumulativeRecovered!AK117-CumulativeDead!AK117</f>
        <v>0</v>
      </c>
      <c r="AL117">
        <f>CumulativeConfirmed!AL117-CumulativeRecovered!AL117-CumulativeDead!AL117</f>
        <v>0</v>
      </c>
      <c r="AM117">
        <f>CumulativeConfirmed!AM117-CumulativeRecovered!AM117-CumulativeDead!AM117</f>
        <v>0</v>
      </c>
      <c r="AN117">
        <f>CumulativeConfirmed!AN117-CumulativeRecovered!AN117-CumulativeDead!AN117</f>
        <v>0</v>
      </c>
      <c r="AO117">
        <f>CumulativeConfirmed!AO117-CumulativeRecovered!AO117-CumulativeDead!AO117</f>
        <v>0</v>
      </c>
      <c r="AP117">
        <f>CumulativeConfirmed!AP117-CumulativeRecovered!AP117-CumulativeDead!AP117</f>
        <v>0</v>
      </c>
      <c r="AQ117">
        <f>CumulativeConfirmed!AQ117-CumulativeRecovered!AQ117-CumulativeDead!AQ117</f>
        <v>0</v>
      </c>
      <c r="AR117">
        <f>CumulativeConfirmed!AR117-CumulativeRecovered!AR117-CumulativeDead!AR117</f>
        <v>0</v>
      </c>
      <c r="AS117">
        <f>CumulativeConfirmed!AS117-CumulativeRecovered!AS117-CumulativeDead!AS117</f>
        <v>0</v>
      </c>
      <c r="AT117">
        <f>CumulativeConfirmed!AT117-CumulativeRecovered!AT117-CumulativeDead!AT117</f>
        <v>0</v>
      </c>
      <c r="AU117">
        <f>CumulativeConfirmed!AU117-CumulativeRecovered!AU117-CumulativeDead!AU117</f>
        <v>0</v>
      </c>
      <c r="AV117">
        <f>CumulativeConfirmed!AV117-CumulativeRecovered!AV117-CumulativeDead!AV117</f>
        <v>0</v>
      </c>
      <c r="AW117">
        <f>CumulativeConfirmed!AW117-CumulativeRecovered!AW117-CumulativeDead!AW117</f>
        <v>0</v>
      </c>
      <c r="AX117">
        <f>CumulativeConfirmed!AX117-CumulativeRecovered!AX117-CumulativeDead!AX117</f>
        <v>0</v>
      </c>
      <c r="AY117">
        <f>CumulativeConfirmed!AY117-CumulativeRecovered!AY117-CumulativeDead!AY117</f>
        <v>0</v>
      </c>
      <c r="AZ117">
        <f>CumulativeConfirmed!AZ117-CumulativeRecovered!AZ117-CumulativeDead!AZ117</f>
        <v>0</v>
      </c>
      <c r="BA117">
        <f>CumulativeConfirmed!BA117-CumulativeRecovered!BA117-CumulativeDead!BA117</f>
        <v>1</v>
      </c>
      <c r="BB117">
        <f>CumulativeConfirmed!BB117-CumulativeRecovered!BB117-CumulativeDead!BB117</f>
        <v>1</v>
      </c>
      <c r="BC117">
        <f>CumulativeConfirmed!BC117-CumulativeRecovered!BC117-CumulativeDead!BC117</f>
        <v>1</v>
      </c>
      <c r="BD117">
        <f>CumulativeConfirmed!BD117-CumulativeRecovered!BD117-CumulativeDead!BD117</f>
        <v>1</v>
      </c>
      <c r="BE117">
        <f>CumulativeConfirmed!BE117-CumulativeRecovered!BE117-CumulativeDead!BE117</f>
        <v>1</v>
      </c>
      <c r="BF117">
        <f>CumulativeConfirmed!BF117-CumulativeRecovered!BF117-CumulativeDead!BF117</f>
        <v>1</v>
      </c>
      <c r="BG117">
        <f>CumulativeConfirmed!BG117-CumulativeRecovered!BG117-CumulativeDead!BG117</f>
        <v>1</v>
      </c>
      <c r="BH117">
        <f>CumulativeConfirmed!BH117-CumulativeRecovered!BH117-CumulativeDead!BH117</f>
        <v>1</v>
      </c>
      <c r="BI117">
        <f>CumulativeConfirmed!BI117-CumulativeRecovered!BI117-CumulativeDead!BI117</f>
        <v>0</v>
      </c>
      <c r="BJ117">
        <f>CumulativeConfirmed!BJ117-CumulativeRecovered!BJ117-CumulativeDead!BJ117</f>
        <v>0</v>
      </c>
      <c r="BK117">
        <f>CumulativeConfirmed!BK117-CumulativeRecovered!BK117-CumulativeDead!BK117</f>
        <v>0</v>
      </c>
      <c r="BL117">
        <f>CumulativeConfirmed!BL117-CumulativeRecovered!BL117-CumulativeDead!BL117</f>
        <v>0</v>
      </c>
      <c r="BM117">
        <f>CumulativeConfirmed!BM117-CumulativeRecovered!BM117-CumulativeDead!BM117</f>
        <v>0</v>
      </c>
      <c r="BN117">
        <f>CumulativeConfirmed!BN117-CumulativeRecovered!BN117-CumulativeDead!BN117</f>
        <v>0</v>
      </c>
      <c r="BO117">
        <f>CumulativeConfirmed!BO117-CumulativeRecovered!BO117-CumulativeDead!BO117</f>
        <v>0</v>
      </c>
      <c r="BP117">
        <f>CumulativeConfirmed!BP117-CumulativeRecovered!BP117-CumulativeDead!BP117</f>
        <v>0</v>
      </c>
      <c r="BQ117">
        <f>CumulativeConfirmed!BQ117-CumulativeRecovered!BQ117-CumulativeDead!BQ117</f>
        <v>0</v>
      </c>
      <c r="BR117">
        <f>CumulativeConfirmed!BR117-CumulativeRecovered!BR117-CumulativeDead!BR117</f>
        <v>0</v>
      </c>
      <c r="BS117">
        <f>CumulativeConfirmed!BS117-CumulativeRecovered!BS117-CumulativeDead!BS117</f>
        <v>0</v>
      </c>
      <c r="BT117">
        <f>CumulativeConfirmed!BT117-CumulativeRecovered!BT117-CumulativeDead!BT117</f>
        <v>0</v>
      </c>
    </row>
    <row r="118" spans="1:72" ht="15" thickBot="1" x14ac:dyDescent="0.35">
      <c r="A118" s="3" t="s">
        <v>411</v>
      </c>
      <c r="B118">
        <f>CumulativeConfirmed!B118-CumulativeRecovered!B118-CumulativeDead!B118</f>
        <v>0</v>
      </c>
      <c r="C118">
        <f>CumulativeConfirmed!C118-CumulativeRecovered!C118-CumulativeDead!C118</f>
        <v>0</v>
      </c>
      <c r="D118">
        <f>CumulativeConfirmed!D118-CumulativeRecovered!D118-CumulativeDead!D118</f>
        <v>0</v>
      </c>
      <c r="E118">
        <f>CumulativeConfirmed!E118-CumulativeRecovered!E118-CumulativeDead!E118</f>
        <v>0</v>
      </c>
      <c r="F118">
        <f>CumulativeConfirmed!F118-CumulativeRecovered!F118-CumulativeDead!F118</f>
        <v>0</v>
      </c>
      <c r="G118">
        <f>CumulativeConfirmed!G118-CumulativeRecovered!G118-CumulativeDead!G118</f>
        <v>0</v>
      </c>
      <c r="H118">
        <f>CumulativeConfirmed!H118-CumulativeRecovered!H118-CumulativeDead!H118</f>
        <v>0</v>
      </c>
      <c r="I118">
        <f>CumulativeConfirmed!I118-CumulativeRecovered!I118-CumulativeDead!I118</f>
        <v>0</v>
      </c>
      <c r="J118">
        <f>CumulativeConfirmed!J118-CumulativeRecovered!J118-CumulativeDead!J118</f>
        <v>0</v>
      </c>
      <c r="K118">
        <f>CumulativeConfirmed!K118-CumulativeRecovered!K118-CumulativeDead!K118</f>
        <v>0</v>
      </c>
      <c r="L118">
        <f>CumulativeConfirmed!L118-CumulativeRecovered!L118-CumulativeDead!L118</f>
        <v>0</v>
      </c>
      <c r="M118">
        <f>CumulativeConfirmed!M118-CumulativeRecovered!M118-CumulativeDead!M118</f>
        <v>0</v>
      </c>
      <c r="N118">
        <f>CumulativeConfirmed!N118-CumulativeRecovered!N118-CumulativeDead!N118</f>
        <v>0</v>
      </c>
      <c r="O118">
        <f>CumulativeConfirmed!O118-CumulativeRecovered!O118-CumulativeDead!O118</f>
        <v>0</v>
      </c>
      <c r="P118">
        <f>CumulativeConfirmed!P118-CumulativeRecovered!P118-CumulativeDead!P118</f>
        <v>0</v>
      </c>
      <c r="Q118">
        <f>CumulativeConfirmed!Q118-CumulativeRecovered!Q118-CumulativeDead!Q118</f>
        <v>0</v>
      </c>
      <c r="R118">
        <f>CumulativeConfirmed!R118-CumulativeRecovered!R118-CumulativeDead!R118</f>
        <v>0</v>
      </c>
      <c r="S118">
        <f>CumulativeConfirmed!S118-CumulativeRecovered!S118-CumulativeDead!S118</f>
        <v>0</v>
      </c>
      <c r="T118">
        <f>CumulativeConfirmed!T118-CumulativeRecovered!T118-CumulativeDead!T118</f>
        <v>0</v>
      </c>
      <c r="U118">
        <f>CumulativeConfirmed!U118-CumulativeRecovered!U118-CumulativeDead!U118</f>
        <v>0</v>
      </c>
      <c r="V118">
        <f>CumulativeConfirmed!V118-CumulativeRecovered!V118-CumulativeDead!V118</f>
        <v>0</v>
      </c>
      <c r="W118">
        <f>CumulativeConfirmed!W118-CumulativeRecovered!W118-CumulativeDead!W118</f>
        <v>0</v>
      </c>
      <c r="X118">
        <f>CumulativeConfirmed!X118-CumulativeRecovered!X118-CumulativeDead!X118</f>
        <v>0</v>
      </c>
      <c r="Y118">
        <f>CumulativeConfirmed!Y118-CumulativeRecovered!Y118-CumulativeDead!Y118</f>
        <v>0</v>
      </c>
      <c r="Z118">
        <f>CumulativeConfirmed!Z118-CumulativeRecovered!Z118-CumulativeDead!Z118</f>
        <v>0</v>
      </c>
      <c r="AA118">
        <f>CumulativeConfirmed!AA118-CumulativeRecovered!AA118-CumulativeDead!AA118</f>
        <v>0</v>
      </c>
      <c r="AB118">
        <f>CumulativeConfirmed!AB118-CumulativeRecovered!AB118-CumulativeDead!AB118</f>
        <v>0</v>
      </c>
      <c r="AC118">
        <f>CumulativeConfirmed!AC118-CumulativeRecovered!AC118-CumulativeDead!AC118</f>
        <v>0</v>
      </c>
      <c r="AD118">
        <f>CumulativeConfirmed!AD118-CumulativeRecovered!AD118-CumulativeDead!AD118</f>
        <v>0</v>
      </c>
      <c r="AE118">
        <f>CumulativeConfirmed!AE118-CumulativeRecovered!AE118-CumulativeDead!AE118</f>
        <v>0</v>
      </c>
      <c r="AF118">
        <f>CumulativeConfirmed!AF118-CumulativeRecovered!AF118-CumulativeDead!AF118</f>
        <v>0</v>
      </c>
      <c r="AG118">
        <f>CumulativeConfirmed!AG118-CumulativeRecovered!AG118-CumulativeDead!AG118</f>
        <v>0</v>
      </c>
      <c r="AH118">
        <f>CumulativeConfirmed!AH118-CumulativeRecovered!AH118-CumulativeDead!AH118</f>
        <v>0</v>
      </c>
      <c r="AI118">
        <f>CumulativeConfirmed!AI118-CumulativeRecovered!AI118-CumulativeDead!AI118</f>
        <v>0</v>
      </c>
      <c r="AJ118">
        <f>CumulativeConfirmed!AJ118-CumulativeRecovered!AJ118-CumulativeDead!AJ118</f>
        <v>0</v>
      </c>
      <c r="AK118">
        <f>CumulativeConfirmed!AK118-CumulativeRecovered!AK118-CumulativeDead!AK118</f>
        <v>0</v>
      </c>
      <c r="AL118">
        <f>CumulativeConfirmed!AL118-CumulativeRecovered!AL118-CumulativeDead!AL118</f>
        <v>0</v>
      </c>
      <c r="AM118">
        <f>CumulativeConfirmed!AM118-CumulativeRecovered!AM118-CumulativeDead!AM118</f>
        <v>0</v>
      </c>
      <c r="AN118">
        <f>CumulativeConfirmed!AN118-CumulativeRecovered!AN118-CumulativeDead!AN118</f>
        <v>0</v>
      </c>
      <c r="AO118">
        <f>CumulativeConfirmed!AO118-CumulativeRecovered!AO118-CumulativeDead!AO118</f>
        <v>0</v>
      </c>
      <c r="AP118">
        <f>CumulativeConfirmed!AP118-CumulativeRecovered!AP118-CumulativeDead!AP118</f>
        <v>0</v>
      </c>
      <c r="AQ118">
        <f>CumulativeConfirmed!AQ118-CumulativeRecovered!AQ118-CumulativeDead!AQ118</f>
        <v>0</v>
      </c>
      <c r="AR118">
        <f>CumulativeConfirmed!AR118-CumulativeRecovered!AR118-CumulativeDead!AR118</f>
        <v>0</v>
      </c>
      <c r="AS118">
        <f>CumulativeConfirmed!AS118-CumulativeRecovered!AS118-CumulativeDead!AS118</f>
        <v>0</v>
      </c>
      <c r="AT118">
        <f>CumulativeConfirmed!AT118-CumulativeRecovered!AT118-CumulativeDead!AT118</f>
        <v>0</v>
      </c>
      <c r="AU118">
        <f>CumulativeConfirmed!AU118-CumulativeRecovered!AU118-CumulativeDead!AU118</f>
        <v>0</v>
      </c>
      <c r="AV118">
        <f>CumulativeConfirmed!AV118-CumulativeRecovered!AV118-CumulativeDead!AV118</f>
        <v>0</v>
      </c>
      <c r="AW118">
        <f>CumulativeConfirmed!AW118-CumulativeRecovered!AW118-CumulativeDead!AW118</f>
        <v>0</v>
      </c>
      <c r="AX118">
        <f>CumulativeConfirmed!AX118-CumulativeRecovered!AX118-CumulativeDead!AX118</f>
        <v>0</v>
      </c>
      <c r="AY118">
        <f>CumulativeConfirmed!AY118-CumulativeRecovered!AY118-CumulativeDead!AY118</f>
        <v>0</v>
      </c>
      <c r="AZ118">
        <f>CumulativeConfirmed!AZ118-CumulativeRecovered!AZ118-CumulativeDead!AZ118</f>
        <v>0</v>
      </c>
      <c r="BA118">
        <f>CumulativeConfirmed!BA118-CumulativeRecovered!BA118-CumulativeDead!BA118</f>
        <v>0</v>
      </c>
      <c r="BB118">
        <f>CumulativeConfirmed!BB118-CumulativeRecovered!BB118-CumulativeDead!BB118</f>
        <v>0</v>
      </c>
      <c r="BC118">
        <f>CumulativeConfirmed!BC118-CumulativeRecovered!BC118-CumulativeDead!BC118</f>
        <v>3</v>
      </c>
      <c r="BD118">
        <f>CumulativeConfirmed!BD118-CumulativeRecovered!BD118-CumulativeDead!BD118</f>
        <v>3</v>
      </c>
      <c r="BE118">
        <f>CumulativeConfirmed!BE118-CumulativeRecovered!BE118-CumulativeDead!BE118</f>
        <v>6</v>
      </c>
      <c r="BF118">
        <f>CumulativeConfirmed!BF118-CumulativeRecovered!BF118-CumulativeDead!BF118</f>
        <v>6</v>
      </c>
      <c r="BG118">
        <f>CumulativeConfirmed!BG118-CumulativeRecovered!BG118-CumulativeDead!BG118</f>
        <v>6</v>
      </c>
      <c r="BH118">
        <f>CumulativeConfirmed!BH118-CumulativeRecovered!BH118-CumulativeDead!BH118</f>
        <v>6</v>
      </c>
      <c r="BI118">
        <f>CumulativeConfirmed!BI118-CumulativeRecovered!BI118-CumulativeDead!BI118</f>
        <v>0</v>
      </c>
      <c r="BJ118">
        <f>CumulativeConfirmed!BJ118-CumulativeRecovered!BJ118-CumulativeDead!BJ118</f>
        <v>0</v>
      </c>
      <c r="BK118">
        <f>CumulativeConfirmed!BK118-CumulativeRecovered!BK118-CumulativeDead!BK118</f>
        <v>0</v>
      </c>
      <c r="BL118">
        <f>CumulativeConfirmed!BL118-CumulativeRecovered!BL118-CumulativeDead!BL118</f>
        <v>0</v>
      </c>
      <c r="BM118">
        <f>CumulativeConfirmed!BM118-CumulativeRecovered!BM118-CumulativeDead!BM118</f>
        <v>0</v>
      </c>
      <c r="BN118">
        <f>CumulativeConfirmed!BN118-CumulativeRecovered!BN118-CumulativeDead!BN118</f>
        <v>0</v>
      </c>
      <c r="BO118">
        <f>CumulativeConfirmed!BO118-CumulativeRecovered!BO118-CumulativeDead!BO118</f>
        <v>0</v>
      </c>
      <c r="BP118">
        <f>CumulativeConfirmed!BP118-CumulativeRecovered!BP118-CumulativeDead!BP118</f>
        <v>0</v>
      </c>
      <c r="BQ118">
        <f>CumulativeConfirmed!BQ118-CumulativeRecovered!BQ118-CumulativeDead!BQ118</f>
        <v>0</v>
      </c>
      <c r="BR118">
        <f>CumulativeConfirmed!BR118-CumulativeRecovered!BR118-CumulativeDead!BR118</f>
        <v>0</v>
      </c>
      <c r="BS118">
        <f>CumulativeConfirmed!BS118-CumulativeRecovered!BS118-CumulativeDead!BS118</f>
        <v>0</v>
      </c>
      <c r="BT118">
        <f>CumulativeConfirmed!BT118-CumulativeRecovered!BT118-CumulativeDead!BT118</f>
        <v>0</v>
      </c>
    </row>
    <row r="119" spans="1:72" ht="15" thickBot="1" x14ac:dyDescent="0.35">
      <c r="A119" s="3" t="s">
        <v>281</v>
      </c>
      <c r="B119">
        <f>CumulativeConfirmed!B119-CumulativeRecovered!B119-CumulativeDead!B119</f>
        <v>0</v>
      </c>
      <c r="C119">
        <f>CumulativeConfirmed!C119-CumulativeRecovered!C119-CumulativeDead!C119</f>
        <v>0</v>
      </c>
      <c r="D119">
        <f>CumulativeConfirmed!D119-CumulativeRecovered!D119-CumulativeDead!D119</f>
        <v>0</v>
      </c>
      <c r="E119">
        <f>CumulativeConfirmed!E119-CumulativeRecovered!E119-CumulativeDead!E119</f>
        <v>0</v>
      </c>
      <c r="F119">
        <f>CumulativeConfirmed!F119-CumulativeRecovered!F119-CumulativeDead!F119</f>
        <v>0</v>
      </c>
      <c r="G119">
        <f>CumulativeConfirmed!G119-CumulativeRecovered!G119-CumulativeDead!G119</f>
        <v>0</v>
      </c>
      <c r="H119">
        <f>CumulativeConfirmed!H119-CumulativeRecovered!H119-CumulativeDead!H119</f>
        <v>0</v>
      </c>
      <c r="I119">
        <f>CumulativeConfirmed!I119-CumulativeRecovered!I119-CumulativeDead!I119</f>
        <v>0</v>
      </c>
      <c r="J119">
        <f>CumulativeConfirmed!J119-CumulativeRecovered!J119-CumulativeDead!J119</f>
        <v>0</v>
      </c>
      <c r="K119">
        <f>CumulativeConfirmed!K119-CumulativeRecovered!K119-CumulativeDead!K119</f>
        <v>0</v>
      </c>
      <c r="L119">
        <f>CumulativeConfirmed!L119-CumulativeRecovered!L119-CumulativeDead!L119</f>
        <v>0</v>
      </c>
      <c r="M119">
        <f>CumulativeConfirmed!M119-CumulativeRecovered!M119-CumulativeDead!M119</f>
        <v>0</v>
      </c>
      <c r="N119">
        <f>CumulativeConfirmed!N119-CumulativeRecovered!N119-CumulativeDead!N119</f>
        <v>0</v>
      </c>
      <c r="O119">
        <f>CumulativeConfirmed!O119-CumulativeRecovered!O119-CumulativeDead!O119</f>
        <v>0</v>
      </c>
      <c r="P119">
        <f>CumulativeConfirmed!P119-CumulativeRecovered!P119-CumulativeDead!P119</f>
        <v>0</v>
      </c>
      <c r="Q119">
        <f>CumulativeConfirmed!Q119-CumulativeRecovered!Q119-CumulativeDead!Q119</f>
        <v>0</v>
      </c>
      <c r="R119">
        <f>CumulativeConfirmed!R119-CumulativeRecovered!R119-CumulativeDead!R119</f>
        <v>0</v>
      </c>
      <c r="S119">
        <f>CumulativeConfirmed!S119-CumulativeRecovered!S119-CumulativeDead!S119</f>
        <v>0</v>
      </c>
      <c r="T119">
        <f>CumulativeConfirmed!T119-CumulativeRecovered!T119-CumulativeDead!T119</f>
        <v>0</v>
      </c>
      <c r="U119">
        <f>CumulativeConfirmed!U119-CumulativeRecovered!U119-CumulativeDead!U119</f>
        <v>0</v>
      </c>
      <c r="V119">
        <f>CumulativeConfirmed!V119-CumulativeRecovered!V119-CumulativeDead!V119</f>
        <v>0</v>
      </c>
      <c r="W119">
        <f>CumulativeConfirmed!W119-CumulativeRecovered!W119-CumulativeDead!W119</f>
        <v>0</v>
      </c>
      <c r="X119">
        <f>CumulativeConfirmed!X119-CumulativeRecovered!X119-CumulativeDead!X119</f>
        <v>0</v>
      </c>
      <c r="Y119">
        <f>CumulativeConfirmed!Y119-CumulativeRecovered!Y119-CumulativeDead!Y119</f>
        <v>0</v>
      </c>
      <c r="Z119">
        <f>CumulativeConfirmed!Z119-CumulativeRecovered!Z119-CumulativeDead!Z119</f>
        <v>0</v>
      </c>
      <c r="AA119">
        <f>CumulativeConfirmed!AA119-CumulativeRecovered!AA119-CumulativeDead!AA119</f>
        <v>0</v>
      </c>
      <c r="AB119">
        <f>CumulativeConfirmed!AB119-CumulativeRecovered!AB119-CumulativeDead!AB119</f>
        <v>0</v>
      </c>
      <c r="AC119">
        <f>CumulativeConfirmed!AC119-CumulativeRecovered!AC119-CumulativeDead!AC119</f>
        <v>0</v>
      </c>
      <c r="AD119">
        <f>CumulativeConfirmed!AD119-CumulativeRecovered!AD119-CumulativeDead!AD119</f>
        <v>0</v>
      </c>
      <c r="AE119">
        <f>CumulativeConfirmed!AE119-CumulativeRecovered!AE119-CumulativeDead!AE119</f>
        <v>0</v>
      </c>
      <c r="AF119">
        <f>CumulativeConfirmed!AF119-CumulativeRecovered!AF119-CumulativeDead!AF119</f>
        <v>0</v>
      </c>
      <c r="AG119">
        <f>CumulativeConfirmed!AG119-CumulativeRecovered!AG119-CumulativeDead!AG119</f>
        <v>0</v>
      </c>
      <c r="AH119">
        <f>CumulativeConfirmed!AH119-CumulativeRecovered!AH119-CumulativeDead!AH119</f>
        <v>0</v>
      </c>
      <c r="AI119">
        <f>CumulativeConfirmed!AI119-CumulativeRecovered!AI119-CumulativeDead!AI119</f>
        <v>0</v>
      </c>
      <c r="AJ119">
        <f>CumulativeConfirmed!AJ119-CumulativeRecovered!AJ119-CumulativeDead!AJ119</f>
        <v>0</v>
      </c>
      <c r="AK119">
        <f>CumulativeConfirmed!AK119-CumulativeRecovered!AK119-CumulativeDead!AK119</f>
        <v>0</v>
      </c>
      <c r="AL119">
        <f>CumulativeConfirmed!AL119-CumulativeRecovered!AL119-CumulativeDead!AL119</f>
        <v>0</v>
      </c>
      <c r="AM119">
        <f>CumulativeConfirmed!AM119-CumulativeRecovered!AM119-CumulativeDead!AM119</f>
        <v>0</v>
      </c>
      <c r="AN119">
        <f>CumulativeConfirmed!AN119-CumulativeRecovered!AN119-CumulativeDead!AN119</f>
        <v>0</v>
      </c>
      <c r="AO119">
        <f>CumulativeConfirmed!AO119-CumulativeRecovered!AO119-CumulativeDead!AO119</f>
        <v>0</v>
      </c>
      <c r="AP119">
        <f>CumulativeConfirmed!AP119-CumulativeRecovered!AP119-CumulativeDead!AP119</f>
        <v>0</v>
      </c>
      <c r="AQ119">
        <f>CumulativeConfirmed!AQ119-CumulativeRecovered!AQ119-CumulativeDead!AQ119</f>
        <v>0</v>
      </c>
      <c r="AR119">
        <f>CumulativeConfirmed!AR119-CumulativeRecovered!AR119-CumulativeDead!AR119</f>
        <v>0</v>
      </c>
      <c r="AS119">
        <f>CumulativeConfirmed!AS119-CumulativeRecovered!AS119-CumulativeDead!AS119</f>
        <v>0</v>
      </c>
      <c r="AT119">
        <f>CumulativeConfirmed!AT119-CumulativeRecovered!AT119-CumulativeDead!AT119</f>
        <v>1</v>
      </c>
      <c r="AU119">
        <f>CumulativeConfirmed!AU119-CumulativeRecovered!AU119-CumulativeDead!AU119</f>
        <v>1</v>
      </c>
      <c r="AV119">
        <f>CumulativeConfirmed!AV119-CumulativeRecovered!AV119-CumulativeDead!AV119</f>
        <v>1</v>
      </c>
      <c r="AW119">
        <f>CumulativeConfirmed!AW119-CumulativeRecovered!AW119-CumulativeDead!AW119</f>
        <v>1</v>
      </c>
      <c r="AX119">
        <f>CumulativeConfirmed!AX119-CumulativeRecovered!AX119-CumulativeDead!AX119</f>
        <v>1</v>
      </c>
      <c r="AY119">
        <f>CumulativeConfirmed!AY119-CumulativeRecovered!AY119-CumulativeDead!AY119</f>
        <v>1</v>
      </c>
      <c r="AZ119">
        <f>CumulativeConfirmed!AZ119-CumulativeRecovered!AZ119-CumulativeDead!AZ119</f>
        <v>1</v>
      </c>
      <c r="BA119">
        <f>CumulativeConfirmed!BA119-CumulativeRecovered!BA119-CumulativeDead!BA119</f>
        <v>1</v>
      </c>
      <c r="BB119">
        <f>CumulativeConfirmed!BB119-CumulativeRecovered!BB119-CumulativeDead!BB119</f>
        <v>1</v>
      </c>
      <c r="BC119">
        <f>CumulativeConfirmed!BC119-CumulativeRecovered!BC119-CumulativeDead!BC119</f>
        <v>1</v>
      </c>
      <c r="BD119">
        <f>CumulativeConfirmed!BD119-CumulativeRecovered!BD119-CumulativeDead!BD119</f>
        <v>1</v>
      </c>
      <c r="BE119">
        <f>CumulativeConfirmed!BE119-CumulativeRecovered!BE119-CumulativeDead!BE119</f>
        <v>1</v>
      </c>
      <c r="BF119">
        <f>CumulativeConfirmed!BF119-CumulativeRecovered!BF119-CumulativeDead!BF119</f>
        <v>1</v>
      </c>
      <c r="BG119">
        <f>CumulativeConfirmed!BG119-CumulativeRecovered!BG119-CumulativeDead!BG119</f>
        <v>1</v>
      </c>
      <c r="BH119">
        <f>CumulativeConfirmed!BH119-CumulativeRecovered!BH119-CumulativeDead!BH119</f>
        <v>1</v>
      </c>
      <c r="BI119">
        <f>CumulativeConfirmed!BI119-CumulativeRecovered!BI119-CumulativeDead!BI119</f>
        <v>0</v>
      </c>
      <c r="BJ119">
        <f>CumulativeConfirmed!BJ119-CumulativeRecovered!BJ119-CumulativeDead!BJ119</f>
        <v>0</v>
      </c>
      <c r="BK119">
        <f>CumulativeConfirmed!BK119-CumulativeRecovered!BK119-CumulativeDead!BK119</f>
        <v>0</v>
      </c>
      <c r="BL119">
        <f>CumulativeConfirmed!BL119-CumulativeRecovered!BL119-CumulativeDead!BL119</f>
        <v>0</v>
      </c>
      <c r="BM119">
        <f>CumulativeConfirmed!BM119-CumulativeRecovered!BM119-CumulativeDead!BM119</f>
        <v>0</v>
      </c>
      <c r="BN119">
        <f>CumulativeConfirmed!BN119-CumulativeRecovered!BN119-CumulativeDead!BN119</f>
        <v>0</v>
      </c>
      <c r="BO119">
        <f>CumulativeConfirmed!BO119-CumulativeRecovered!BO119-CumulativeDead!BO119</f>
        <v>0</v>
      </c>
      <c r="BP119">
        <f>CumulativeConfirmed!BP119-CumulativeRecovered!BP119-CumulativeDead!BP119</f>
        <v>0</v>
      </c>
      <c r="BQ119">
        <f>CumulativeConfirmed!BQ119-CumulativeRecovered!BQ119-CumulativeDead!BQ119</f>
        <v>0</v>
      </c>
      <c r="BR119">
        <f>CumulativeConfirmed!BR119-CumulativeRecovered!BR119-CumulativeDead!BR119</f>
        <v>0</v>
      </c>
      <c r="BS119">
        <f>CumulativeConfirmed!BS119-CumulativeRecovered!BS119-CumulativeDead!BS119</f>
        <v>0</v>
      </c>
      <c r="BT119">
        <f>CumulativeConfirmed!BT119-CumulativeRecovered!BT119-CumulativeDead!BT119</f>
        <v>0</v>
      </c>
    </row>
    <row r="120" spans="1:72" ht="15" thickBot="1" x14ac:dyDescent="0.35">
      <c r="A120" s="4" t="s">
        <v>125</v>
      </c>
      <c r="B120">
        <f>CumulativeConfirmed!B120-CumulativeRecovered!B120-CumulativeDead!B120</f>
        <v>0</v>
      </c>
      <c r="C120">
        <f>CumulativeConfirmed!C120-CumulativeRecovered!C120-CumulativeDead!C120</f>
        <v>0</v>
      </c>
      <c r="D120">
        <f>CumulativeConfirmed!D120-CumulativeRecovered!D120-CumulativeDead!D120</f>
        <v>0</v>
      </c>
      <c r="E120">
        <f>CumulativeConfirmed!E120-CumulativeRecovered!E120-CumulativeDead!E120</f>
        <v>0</v>
      </c>
      <c r="F120">
        <f>CumulativeConfirmed!F120-CumulativeRecovered!F120-CumulativeDead!F120</f>
        <v>0</v>
      </c>
      <c r="G120">
        <f>CumulativeConfirmed!G120-CumulativeRecovered!G120-CumulativeDead!G120</f>
        <v>0</v>
      </c>
      <c r="H120">
        <f>CumulativeConfirmed!H120-CumulativeRecovered!H120-CumulativeDead!H120</f>
        <v>0</v>
      </c>
      <c r="I120">
        <f>CumulativeConfirmed!I120-CumulativeRecovered!I120-CumulativeDead!I120</f>
        <v>0</v>
      </c>
      <c r="J120">
        <f>CumulativeConfirmed!J120-CumulativeRecovered!J120-CumulativeDead!J120</f>
        <v>0</v>
      </c>
      <c r="K120">
        <f>CumulativeConfirmed!K120-CumulativeRecovered!K120-CumulativeDead!K120</f>
        <v>0</v>
      </c>
      <c r="L120">
        <f>CumulativeConfirmed!L120-CumulativeRecovered!L120-CumulativeDead!L120</f>
        <v>0</v>
      </c>
      <c r="M120">
        <f>CumulativeConfirmed!M120-CumulativeRecovered!M120-CumulativeDead!M120</f>
        <v>0</v>
      </c>
      <c r="N120">
        <f>CumulativeConfirmed!N120-CumulativeRecovered!N120-CumulativeDead!N120</f>
        <v>0</v>
      </c>
      <c r="O120">
        <f>CumulativeConfirmed!O120-CumulativeRecovered!O120-CumulativeDead!O120</f>
        <v>0</v>
      </c>
      <c r="P120">
        <f>CumulativeConfirmed!P120-CumulativeRecovered!P120-CumulativeDead!P120</f>
        <v>0</v>
      </c>
      <c r="Q120">
        <f>CumulativeConfirmed!Q120-CumulativeRecovered!Q120-CumulativeDead!Q120</f>
        <v>0</v>
      </c>
      <c r="R120">
        <f>CumulativeConfirmed!R120-CumulativeRecovered!R120-CumulativeDead!R120</f>
        <v>0</v>
      </c>
      <c r="S120">
        <f>CumulativeConfirmed!S120-CumulativeRecovered!S120-CumulativeDead!S120</f>
        <v>0</v>
      </c>
      <c r="T120">
        <f>CumulativeConfirmed!T120-CumulativeRecovered!T120-CumulativeDead!T120</f>
        <v>0</v>
      </c>
      <c r="U120">
        <f>CumulativeConfirmed!U120-CumulativeRecovered!U120-CumulativeDead!U120</f>
        <v>0</v>
      </c>
      <c r="V120">
        <f>CumulativeConfirmed!V120-CumulativeRecovered!V120-CumulativeDead!V120</f>
        <v>0</v>
      </c>
      <c r="W120">
        <f>CumulativeConfirmed!W120-CumulativeRecovered!W120-CumulativeDead!W120</f>
        <v>0</v>
      </c>
      <c r="X120">
        <f>CumulativeConfirmed!X120-CumulativeRecovered!X120-CumulativeDead!X120</f>
        <v>0</v>
      </c>
      <c r="Y120">
        <f>CumulativeConfirmed!Y120-CumulativeRecovered!Y120-CumulativeDead!Y120</f>
        <v>0</v>
      </c>
      <c r="Z120">
        <f>CumulativeConfirmed!Z120-CumulativeRecovered!Z120-CumulativeDead!Z120</f>
        <v>0</v>
      </c>
      <c r="AA120">
        <f>CumulativeConfirmed!AA120-CumulativeRecovered!AA120-CumulativeDead!AA120</f>
        <v>0</v>
      </c>
      <c r="AB120">
        <f>CumulativeConfirmed!AB120-CumulativeRecovered!AB120-CumulativeDead!AB120</f>
        <v>0</v>
      </c>
      <c r="AC120">
        <f>CumulativeConfirmed!AC120-CumulativeRecovered!AC120-CumulativeDead!AC120</f>
        <v>0</v>
      </c>
      <c r="AD120">
        <f>CumulativeConfirmed!AD120-CumulativeRecovered!AD120-CumulativeDead!AD120</f>
        <v>0</v>
      </c>
      <c r="AE120">
        <f>CumulativeConfirmed!AE120-CumulativeRecovered!AE120-CumulativeDead!AE120</f>
        <v>0</v>
      </c>
      <c r="AF120">
        <f>CumulativeConfirmed!AF120-CumulativeRecovered!AF120-CumulativeDead!AF120</f>
        <v>0</v>
      </c>
      <c r="AG120">
        <f>CumulativeConfirmed!AG120-CumulativeRecovered!AG120-CumulativeDead!AG120</f>
        <v>0</v>
      </c>
      <c r="AH120">
        <f>CumulativeConfirmed!AH120-CumulativeRecovered!AH120-CumulativeDead!AH120</f>
        <v>0</v>
      </c>
      <c r="AI120">
        <f>CumulativeConfirmed!AI120-CumulativeRecovered!AI120-CumulativeDead!AI120</f>
        <v>0</v>
      </c>
      <c r="AJ120">
        <f>CumulativeConfirmed!AJ120-CumulativeRecovered!AJ120-CumulativeDead!AJ120</f>
        <v>0</v>
      </c>
      <c r="AK120">
        <f>CumulativeConfirmed!AK120-CumulativeRecovered!AK120-CumulativeDead!AK120</f>
        <v>0</v>
      </c>
      <c r="AL120">
        <f>CumulativeConfirmed!AL120-CumulativeRecovered!AL120-CumulativeDead!AL120</f>
        <v>0</v>
      </c>
      <c r="AM120">
        <f>CumulativeConfirmed!AM120-CumulativeRecovered!AM120-CumulativeDead!AM120</f>
        <v>0</v>
      </c>
      <c r="AN120">
        <f>CumulativeConfirmed!AN120-CumulativeRecovered!AN120-CumulativeDead!AN120</f>
        <v>0</v>
      </c>
      <c r="AO120">
        <f>CumulativeConfirmed!AO120-CumulativeRecovered!AO120-CumulativeDead!AO120</f>
        <v>0</v>
      </c>
      <c r="AP120">
        <f>CumulativeConfirmed!AP120-CumulativeRecovered!AP120-CumulativeDead!AP120</f>
        <v>0</v>
      </c>
      <c r="AQ120">
        <f>CumulativeConfirmed!AQ120-CumulativeRecovered!AQ120-CumulativeDead!AQ120</f>
        <v>1</v>
      </c>
      <c r="AR120">
        <f>CumulativeConfirmed!AR120-CumulativeRecovered!AR120-CumulativeDead!AR120</f>
        <v>1</v>
      </c>
      <c r="AS120">
        <f>CumulativeConfirmed!AS120-CumulativeRecovered!AS120-CumulativeDead!AS120</f>
        <v>1</v>
      </c>
      <c r="AT120">
        <f>CumulativeConfirmed!AT120-CumulativeRecovered!AT120-CumulativeDead!AT120</f>
        <v>1</v>
      </c>
      <c r="AU120">
        <f>CumulativeConfirmed!AU120-CumulativeRecovered!AU120-CumulativeDead!AU120</f>
        <v>1</v>
      </c>
      <c r="AV120">
        <f>CumulativeConfirmed!AV120-CumulativeRecovered!AV120-CumulativeDead!AV120</f>
        <v>1</v>
      </c>
      <c r="AW120">
        <f>CumulativeConfirmed!AW120-CumulativeRecovered!AW120-CumulativeDead!AW120</f>
        <v>1</v>
      </c>
      <c r="AX120">
        <f>CumulativeConfirmed!AX120-CumulativeRecovered!AX120-CumulativeDead!AX120</f>
        <v>1</v>
      </c>
      <c r="AY120">
        <f>CumulativeConfirmed!AY120-CumulativeRecovered!AY120-CumulativeDead!AY120</f>
        <v>1</v>
      </c>
      <c r="AZ120">
        <f>CumulativeConfirmed!AZ120-CumulativeRecovered!AZ120-CumulativeDead!AZ120</f>
        <v>1</v>
      </c>
      <c r="BA120">
        <f>CumulativeConfirmed!BA120-CumulativeRecovered!BA120-CumulativeDead!BA120</f>
        <v>0</v>
      </c>
      <c r="BB120">
        <f>CumulativeConfirmed!BB120-CumulativeRecovered!BB120-CumulativeDead!BB120</f>
        <v>0</v>
      </c>
      <c r="BC120">
        <f>CumulativeConfirmed!BC120-CumulativeRecovered!BC120-CumulativeDead!BC120</f>
        <v>7</v>
      </c>
      <c r="BD120">
        <f>CumulativeConfirmed!BD120-CumulativeRecovered!BD120-CumulativeDead!BD120</f>
        <v>16</v>
      </c>
      <c r="BE120">
        <f>CumulativeConfirmed!BE120-CumulativeRecovered!BE120-CumulativeDead!BE120</f>
        <v>33</v>
      </c>
      <c r="BF120">
        <f>CumulativeConfirmed!BF120-CumulativeRecovered!BF120-CumulativeDead!BF120</f>
        <v>51</v>
      </c>
      <c r="BG120">
        <f>CumulativeConfirmed!BG120-CumulativeRecovered!BG120-CumulativeDead!BG120</f>
        <v>68</v>
      </c>
      <c r="BH120">
        <f>CumulativeConfirmed!BH120-CumulativeRecovered!BH120-CumulativeDead!BH120</f>
        <v>84</v>
      </c>
      <c r="BI120">
        <f>CumulativeConfirmed!BI120-CumulativeRecovered!BI120-CumulativeDead!BI120</f>
        <v>0</v>
      </c>
      <c r="BJ120">
        <f>CumulativeConfirmed!BJ120-CumulativeRecovered!BJ120-CumulativeDead!BJ120</f>
        <v>0</v>
      </c>
      <c r="BK120">
        <f>CumulativeConfirmed!BK120-CumulativeRecovered!BK120-CumulativeDead!BK120</f>
        <v>0</v>
      </c>
      <c r="BL120">
        <f>CumulativeConfirmed!BL120-CumulativeRecovered!BL120-CumulativeDead!BL120</f>
        <v>0</v>
      </c>
      <c r="BM120">
        <f>CumulativeConfirmed!BM120-CumulativeRecovered!BM120-CumulativeDead!BM120</f>
        <v>0</v>
      </c>
      <c r="BN120">
        <f>CumulativeConfirmed!BN120-CumulativeRecovered!BN120-CumulativeDead!BN120</f>
        <v>0</v>
      </c>
      <c r="BO120">
        <f>CumulativeConfirmed!BO120-CumulativeRecovered!BO120-CumulativeDead!BO120</f>
        <v>0</v>
      </c>
      <c r="BP120">
        <f>CumulativeConfirmed!BP120-CumulativeRecovered!BP120-CumulativeDead!BP120</f>
        <v>0</v>
      </c>
      <c r="BQ120">
        <f>CumulativeConfirmed!BQ120-CumulativeRecovered!BQ120-CumulativeDead!BQ120</f>
        <v>0</v>
      </c>
      <c r="BR120">
        <f>CumulativeConfirmed!BR120-CumulativeRecovered!BR120-CumulativeDead!BR120</f>
        <v>0</v>
      </c>
      <c r="BS120">
        <f>CumulativeConfirmed!BS120-CumulativeRecovered!BS120-CumulativeDead!BS120</f>
        <v>0</v>
      </c>
      <c r="BT120">
        <f>CumulativeConfirmed!BT120-CumulativeRecovered!BT120-CumulativeDead!BT120</f>
        <v>0</v>
      </c>
    </row>
    <row r="121" spans="1:72" ht="15" thickBot="1" x14ac:dyDescent="0.35">
      <c r="A121" s="3" t="s">
        <v>423</v>
      </c>
      <c r="B121">
        <f>CumulativeConfirmed!B121-CumulativeRecovered!B121-CumulativeDead!B121</f>
        <v>0</v>
      </c>
      <c r="C121">
        <f>CumulativeConfirmed!C121-CumulativeRecovered!C121-CumulativeDead!C121</f>
        <v>0</v>
      </c>
      <c r="D121">
        <f>CumulativeConfirmed!D121-CumulativeRecovered!D121-CumulativeDead!D121</f>
        <v>0</v>
      </c>
      <c r="E121">
        <f>CumulativeConfirmed!E121-CumulativeRecovered!E121-CumulativeDead!E121</f>
        <v>0</v>
      </c>
      <c r="F121">
        <f>CumulativeConfirmed!F121-CumulativeRecovered!F121-CumulativeDead!F121</f>
        <v>0</v>
      </c>
      <c r="G121">
        <f>CumulativeConfirmed!G121-CumulativeRecovered!G121-CumulativeDead!G121</f>
        <v>0</v>
      </c>
      <c r="H121">
        <f>CumulativeConfirmed!H121-CumulativeRecovered!H121-CumulativeDead!H121</f>
        <v>0</v>
      </c>
      <c r="I121">
        <f>CumulativeConfirmed!I121-CumulativeRecovered!I121-CumulativeDead!I121</f>
        <v>0</v>
      </c>
      <c r="J121">
        <f>CumulativeConfirmed!J121-CumulativeRecovered!J121-CumulativeDead!J121</f>
        <v>0</v>
      </c>
      <c r="K121">
        <f>CumulativeConfirmed!K121-CumulativeRecovered!K121-CumulativeDead!K121</f>
        <v>0</v>
      </c>
      <c r="L121">
        <f>CumulativeConfirmed!L121-CumulativeRecovered!L121-CumulativeDead!L121</f>
        <v>0</v>
      </c>
      <c r="M121">
        <f>CumulativeConfirmed!M121-CumulativeRecovered!M121-CumulativeDead!M121</f>
        <v>0</v>
      </c>
      <c r="N121">
        <f>CumulativeConfirmed!N121-CumulativeRecovered!N121-CumulativeDead!N121</f>
        <v>0</v>
      </c>
      <c r="O121">
        <f>CumulativeConfirmed!O121-CumulativeRecovered!O121-CumulativeDead!O121</f>
        <v>0</v>
      </c>
      <c r="P121">
        <f>CumulativeConfirmed!P121-CumulativeRecovered!P121-CumulativeDead!P121</f>
        <v>0</v>
      </c>
      <c r="Q121">
        <f>CumulativeConfirmed!Q121-CumulativeRecovered!Q121-CumulativeDead!Q121</f>
        <v>0</v>
      </c>
      <c r="R121">
        <f>CumulativeConfirmed!R121-CumulativeRecovered!R121-CumulativeDead!R121</f>
        <v>0</v>
      </c>
      <c r="S121">
        <f>CumulativeConfirmed!S121-CumulativeRecovered!S121-CumulativeDead!S121</f>
        <v>0</v>
      </c>
      <c r="T121">
        <f>CumulativeConfirmed!T121-CumulativeRecovered!T121-CumulativeDead!T121</f>
        <v>0</v>
      </c>
      <c r="U121">
        <f>CumulativeConfirmed!U121-CumulativeRecovered!U121-CumulativeDead!U121</f>
        <v>0</v>
      </c>
      <c r="V121">
        <f>CumulativeConfirmed!V121-CumulativeRecovered!V121-CumulativeDead!V121</f>
        <v>0</v>
      </c>
      <c r="W121">
        <f>CumulativeConfirmed!W121-CumulativeRecovered!W121-CumulativeDead!W121</f>
        <v>0</v>
      </c>
      <c r="X121">
        <f>CumulativeConfirmed!X121-CumulativeRecovered!X121-CumulativeDead!X121</f>
        <v>0</v>
      </c>
      <c r="Y121">
        <f>CumulativeConfirmed!Y121-CumulativeRecovered!Y121-CumulativeDead!Y121</f>
        <v>0</v>
      </c>
      <c r="Z121">
        <f>CumulativeConfirmed!Z121-CumulativeRecovered!Z121-CumulativeDead!Z121</f>
        <v>0</v>
      </c>
      <c r="AA121">
        <f>CumulativeConfirmed!AA121-CumulativeRecovered!AA121-CumulativeDead!AA121</f>
        <v>0</v>
      </c>
      <c r="AB121">
        <f>CumulativeConfirmed!AB121-CumulativeRecovered!AB121-CumulativeDead!AB121</f>
        <v>0</v>
      </c>
      <c r="AC121">
        <f>CumulativeConfirmed!AC121-CumulativeRecovered!AC121-CumulativeDead!AC121</f>
        <v>0</v>
      </c>
      <c r="AD121">
        <f>CumulativeConfirmed!AD121-CumulativeRecovered!AD121-CumulativeDead!AD121</f>
        <v>0</v>
      </c>
      <c r="AE121">
        <f>CumulativeConfirmed!AE121-CumulativeRecovered!AE121-CumulativeDead!AE121</f>
        <v>0</v>
      </c>
      <c r="AF121">
        <f>CumulativeConfirmed!AF121-CumulativeRecovered!AF121-CumulativeDead!AF121</f>
        <v>0</v>
      </c>
      <c r="AG121">
        <f>CumulativeConfirmed!AG121-CumulativeRecovered!AG121-CumulativeDead!AG121</f>
        <v>0</v>
      </c>
      <c r="AH121">
        <f>CumulativeConfirmed!AH121-CumulativeRecovered!AH121-CumulativeDead!AH121</f>
        <v>0</v>
      </c>
      <c r="AI121">
        <f>CumulativeConfirmed!AI121-CumulativeRecovered!AI121-CumulativeDead!AI121</f>
        <v>0</v>
      </c>
      <c r="AJ121">
        <f>CumulativeConfirmed!AJ121-CumulativeRecovered!AJ121-CumulativeDead!AJ121</f>
        <v>0</v>
      </c>
      <c r="AK121">
        <f>CumulativeConfirmed!AK121-CumulativeRecovered!AK121-CumulativeDead!AK121</f>
        <v>0</v>
      </c>
      <c r="AL121">
        <f>CumulativeConfirmed!AL121-CumulativeRecovered!AL121-CumulativeDead!AL121</f>
        <v>0</v>
      </c>
      <c r="AM121">
        <f>CumulativeConfirmed!AM121-CumulativeRecovered!AM121-CumulativeDead!AM121</f>
        <v>0</v>
      </c>
      <c r="AN121">
        <f>CumulativeConfirmed!AN121-CumulativeRecovered!AN121-CumulativeDead!AN121</f>
        <v>0</v>
      </c>
      <c r="AO121">
        <f>CumulativeConfirmed!AO121-CumulativeRecovered!AO121-CumulativeDead!AO121</f>
        <v>0</v>
      </c>
      <c r="AP121">
        <f>CumulativeConfirmed!AP121-CumulativeRecovered!AP121-CumulativeDead!AP121</f>
        <v>0</v>
      </c>
      <c r="AQ121">
        <f>CumulativeConfirmed!AQ121-CumulativeRecovered!AQ121-CumulativeDead!AQ121</f>
        <v>0</v>
      </c>
      <c r="AR121">
        <f>CumulativeConfirmed!AR121-CumulativeRecovered!AR121-CumulativeDead!AR121</f>
        <v>0</v>
      </c>
      <c r="AS121">
        <f>CumulativeConfirmed!AS121-CumulativeRecovered!AS121-CumulativeDead!AS121</f>
        <v>0</v>
      </c>
      <c r="AT121">
        <f>CumulativeConfirmed!AT121-CumulativeRecovered!AT121-CumulativeDead!AT121</f>
        <v>0</v>
      </c>
      <c r="AU121">
        <f>CumulativeConfirmed!AU121-CumulativeRecovered!AU121-CumulativeDead!AU121</f>
        <v>0</v>
      </c>
      <c r="AV121">
        <f>CumulativeConfirmed!AV121-CumulativeRecovered!AV121-CumulativeDead!AV121</f>
        <v>0</v>
      </c>
      <c r="AW121">
        <f>CumulativeConfirmed!AW121-CumulativeRecovered!AW121-CumulativeDead!AW121</f>
        <v>0</v>
      </c>
      <c r="AX121">
        <f>CumulativeConfirmed!AX121-CumulativeRecovered!AX121-CumulativeDead!AX121</f>
        <v>0</v>
      </c>
      <c r="AY121">
        <f>CumulativeConfirmed!AY121-CumulativeRecovered!AY121-CumulativeDead!AY121</f>
        <v>0</v>
      </c>
      <c r="AZ121">
        <f>CumulativeConfirmed!AZ121-CumulativeRecovered!AZ121-CumulativeDead!AZ121</f>
        <v>0</v>
      </c>
      <c r="BA121">
        <f>CumulativeConfirmed!BA121-CumulativeRecovered!BA121-CumulativeDead!BA121</f>
        <v>1</v>
      </c>
      <c r="BB121">
        <f>CumulativeConfirmed!BB121-CumulativeRecovered!BB121-CumulativeDead!BB121</f>
        <v>1</v>
      </c>
      <c r="BC121">
        <f>CumulativeConfirmed!BC121-CumulativeRecovered!BC121-CumulativeDead!BC121</f>
        <v>3</v>
      </c>
      <c r="BD121">
        <f>CumulativeConfirmed!BD121-CumulativeRecovered!BD121-CumulativeDead!BD121</f>
        <v>3</v>
      </c>
      <c r="BE121">
        <f>CumulativeConfirmed!BE121-CumulativeRecovered!BE121-CumulativeDead!BE121</f>
        <v>3</v>
      </c>
      <c r="BF121">
        <f>CumulativeConfirmed!BF121-CumulativeRecovered!BF121-CumulativeDead!BF121</f>
        <v>3</v>
      </c>
      <c r="BG121">
        <f>CumulativeConfirmed!BG121-CumulativeRecovered!BG121-CumulativeDead!BG121</f>
        <v>7</v>
      </c>
      <c r="BH121">
        <f>CumulativeConfirmed!BH121-CumulativeRecovered!BH121-CumulativeDead!BH121</f>
        <v>7</v>
      </c>
      <c r="BI121">
        <f>CumulativeConfirmed!BI121-CumulativeRecovered!BI121-CumulativeDead!BI121</f>
        <v>0</v>
      </c>
      <c r="BJ121">
        <f>CumulativeConfirmed!BJ121-CumulativeRecovered!BJ121-CumulativeDead!BJ121</f>
        <v>0</v>
      </c>
      <c r="BK121">
        <f>CumulativeConfirmed!BK121-CumulativeRecovered!BK121-CumulativeDead!BK121</f>
        <v>0</v>
      </c>
      <c r="BL121">
        <f>CumulativeConfirmed!BL121-CumulativeRecovered!BL121-CumulativeDead!BL121</f>
        <v>0</v>
      </c>
      <c r="BM121">
        <f>CumulativeConfirmed!BM121-CumulativeRecovered!BM121-CumulativeDead!BM121</f>
        <v>0</v>
      </c>
      <c r="BN121">
        <f>CumulativeConfirmed!BN121-CumulativeRecovered!BN121-CumulativeDead!BN121</f>
        <v>0</v>
      </c>
      <c r="BO121">
        <f>CumulativeConfirmed!BO121-CumulativeRecovered!BO121-CumulativeDead!BO121</f>
        <v>0</v>
      </c>
      <c r="BP121">
        <f>CumulativeConfirmed!BP121-CumulativeRecovered!BP121-CumulativeDead!BP121</f>
        <v>0</v>
      </c>
      <c r="BQ121">
        <f>CumulativeConfirmed!BQ121-CumulativeRecovered!BQ121-CumulativeDead!BQ121</f>
        <v>0</v>
      </c>
      <c r="BR121">
        <f>CumulativeConfirmed!BR121-CumulativeRecovered!BR121-CumulativeDead!BR121</f>
        <v>0</v>
      </c>
      <c r="BS121">
        <f>CumulativeConfirmed!BS121-CumulativeRecovered!BS121-CumulativeDead!BS121</f>
        <v>0</v>
      </c>
      <c r="BT121">
        <f>CumulativeConfirmed!BT121-CumulativeRecovered!BT121-CumulativeDead!BT121</f>
        <v>0</v>
      </c>
    </row>
    <row r="122" spans="1:72" ht="15" thickBot="1" x14ac:dyDescent="0.35">
      <c r="A122" s="4" t="s">
        <v>136</v>
      </c>
      <c r="B122">
        <f>CumulativeConfirmed!B122-CumulativeRecovered!B122-CumulativeDead!B122</f>
        <v>0</v>
      </c>
      <c r="C122">
        <f>CumulativeConfirmed!C122-CumulativeRecovered!C122-CumulativeDead!C122</f>
        <v>0</v>
      </c>
      <c r="D122">
        <f>CumulativeConfirmed!D122-CumulativeRecovered!D122-CumulativeDead!D122</f>
        <v>0</v>
      </c>
      <c r="E122">
        <f>CumulativeConfirmed!E122-CumulativeRecovered!E122-CumulativeDead!E122</f>
        <v>0</v>
      </c>
      <c r="F122">
        <f>CumulativeConfirmed!F122-CumulativeRecovered!F122-CumulativeDead!F122</f>
        <v>0</v>
      </c>
      <c r="G122">
        <f>CumulativeConfirmed!G122-CumulativeRecovered!G122-CumulativeDead!G122</f>
        <v>0</v>
      </c>
      <c r="H122">
        <f>CumulativeConfirmed!H122-CumulativeRecovered!H122-CumulativeDead!H122</f>
        <v>0</v>
      </c>
      <c r="I122">
        <f>CumulativeConfirmed!I122-CumulativeRecovered!I122-CumulativeDead!I122</f>
        <v>0</v>
      </c>
      <c r="J122">
        <f>CumulativeConfirmed!J122-CumulativeRecovered!J122-CumulativeDead!J122</f>
        <v>0</v>
      </c>
      <c r="K122">
        <f>CumulativeConfirmed!K122-CumulativeRecovered!K122-CumulativeDead!K122</f>
        <v>0</v>
      </c>
      <c r="L122">
        <f>CumulativeConfirmed!L122-CumulativeRecovered!L122-CumulativeDead!L122</f>
        <v>0</v>
      </c>
      <c r="M122">
        <f>CumulativeConfirmed!M122-CumulativeRecovered!M122-CumulativeDead!M122</f>
        <v>0</v>
      </c>
      <c r="N122">
        <f>CumulativeConfirmed!N122-CumulativeRecovered!N122-CumulativeDead!N122</f>
        <v>0</v>
      </c>
      <c r="O122">
        <f>CumulativeConfirmed!O122-CumulativeRecovered!O122-CumulativeDead!O122</f>
        <v>0</v>
      </c>
      <c r="P122">
        <f>CumulativeConfirmed!P122-CumulativeRecovered!P122-CumulativeDead!P122</f>
        <v>0</v>
      </c>
      <c r="Q122">
        <f>CumulativeConfirmed!Q122-CumulativeRecovered!Q122-CumulativeDead!Q122</f>
        <v>0</v>
      </c>
      <c r="R122">
        <f>CumulativeConfirmed!R122-CumulativeRecovered!R122-CumulativeDead!R122</f>
        <v>0</v>
      </c>
      <c r="S122">
        <f>CumulativeConfirmed!S122-CumulativeRecovered!S122-CumulativeDead!S122</f>
        <v>0</v>
      </c>
      <c r="T122">
        <f>CumulativeConfirmed!T122-CumulativeRecovered!T122-CumulativeDead!T122</f>
        <v>0</v>
      </c>
      <c r="U122">
        <f>CumulativeConfirmed!U122-CumulativeRecovered!U122-CumulativeDead!U122</f>
        <v>0</v>
      </c>
      <c r="V122">
        <f>CumulativeConfirmed!V122-CumulativeRecovered!V122-CumulativeDead!V122</f>
        <v>0</v>
      </c>
      <c r="W122">
        <f>CumulativeConfirmed!W122-CumulativeRecovered!W122-CumulativeDead!W122</f>
        <v>0</v>
      </c>
      <c r="X122">
        <f>CumulativeConfirmed!X122-CumulativeRecovered!X122-CumulativeDead!X122</f>
        <v>0</v>
      </c>
      <c r="Y122">
        <f>CumulativeConfirmed!Y122-CumulativeRecovered!Y122-CumulativeDead!Y122</f>
        <v>0</v>
      </c>
      <c r="Z122">
        <f>CumulativeConfirmed!Z122-CumulativeRecovered!Z122-CumulativeDead!Z122</f>
        <v>0</v>
      </c>
      <c r="AA122">
        <f>CumulativeConfirmed!AA122-CumulativeRecovered!AA122-CumulativeDead!AA122</f>
        <v>0</v>
      </c>
      <c r="AB122">
        <f>CumulativeConfirmed!AB122-CumulativeRecovered!AB122-CumulativeDead!AB122</f>
        <v>0</v>
      </c>
      <c r="AC122">
        <f>CumulativeConfirmed!AC122-CumulativeRecovered!AC122-CumulativeDead!AC122</f>
        <v>0</v>
      </c>
      <c r="AD122">
        <f>CumulativeConfirmed!AD122-CumulativeRecovered!AD122-CumulativeDead!AD122</f>
        <v>0</v>
      </c>
      <c r="AE122">
        <f>CumulativeConfirmed!AE122-CumulativeRecovered!AE122-CumulativeDead!AE122</f>
        <v>0</v>
      </c>
      <c r="AF122">
        <f>CumulativeConfirmed!AF122-CumulativeRecovered!AF122-CumulativeDead!AF122</f>
        <v>0</v>
      </c>
      <c r="AG122">
        <f>CumulativeConfirmed!AG122-CumulativeRecovered!AG122-CumulativeDead!AG122</f>
        <v>0</v>
      </c>
      <c r="AH122">
        <f>CumulativeConfirmed!AH122-CumulativeRecovered!AH122-CumulativeDead!AH122</f>
        <v>0</v>
      </c>
      <c r="AI122">
        <f>CumulativeConfirmed!AI122-CumulativeRecovered!AI122-CumulativeDead!AI122</f>
        <v>0</v>
      </c>
      <c r="AJ122">
        <f>CumulativeConfirmed!AJ122-CumulativeRecovered!AJ122-CumulativeDead!AJ122</f>
        <v>0</v>
      </c>
      <c r="AK122">
        <f>CumulativeConfirmed!AK122-CumulativeRecovered!AK122-CumulativeDead!AK122</f>
        <v>0</v>
      </c>
      <c r="AL122">
        <f>CumulativeConfirmed!AL122-CumulativeRecovered!AL122-CumulativeDead!AL122</f>
        <v>0</v>
      </c>
      <c r="AM122">
        <f>CumulativeConfirmed!AM122-CumulativeRecovered!AM122-CumulativeDead!AM122</f>
        <v>0</v>
      </c>
      <c r="AN122">
        <f>CumulativeConfirmed!AN122-CumulativeRecovered!AN122-CumulativeDead!AN122</f>
        <v>0</v>
      </c>
      <c r="AO122">
        <f>CumulativeConfirmed!AO122-CumulativeRecovered!AO122-CumulativeDead!AO122</f>
        <v>0</v>
      </c>
      <c r="AP122">
        <f>CumulativeConfirmed!AP122-CumulativeRecovered!AP122-CumulativeDead!AP122</f>
        <v>0</v>
      </c>
      <c r="AQ122">
        <f>CumulativeConfirmed!AQ122-CumulativeRecovered!AQ122-CumulativeDead!AQ122</f>
        <v>0</v>
      </c>
      <c r="AR122">
        <f>CumulativeConfirmed!AR122-CumulativeRecovered!AR122-CumulativeDead!AR122</f>
        <v>1</v>
      </c>
      <c r="AS122">
        <f>CumulativeConfirmed!AS122-CumulativeRecovered!AS122-CumulativeDead!AS122</f>
        <v>1</v>
      </c>
      <c r="AT122">
        <f>CumulativeConfirmed!AT122-CumulativeRecovered!AT122-CumulativeDead!AT122</f>
        <v>1</v>
      </c>
      <c r="AU122">
        <f>CumulativeConfirmed!AU122-CumulativeRecovered!AU122-CumulativeDead!AU122</f>
        <v>1</v>
      </c>
      <c r="AV122">
        <f>CumulativeConfirmed!AV122-CumulativeRecovered!AV122-CumulativeDead!AV122</f>
        <v>1</v>
      </c>
      <c r="AW122">
        <f>CumulativeConfirmed!AW122-CumulativeRecovered!AW122-CumulativeDead!AW122</f>
        <v>1</v>
      </c>
      <c r="AX122">
        <f>CumulativeConfirmed!AX122-CumulativeRecovered!AX122-CumulativeDead!AX122</f>
        <v>1</v>
      </c>
      <c r="AY122">
        <f>CumulativeConfirmed!AY122-CumulativeRecovered!AY122-CumulativeDead!AY122</f>
        <v>1</v>
      </c>
      <c r="AZ122">
        <f>CumulativeConfirmed!AZ122-CumulativeRecovered!AZ122-CumulativeDead!AZ122</f>
        <v>1</v>
      </c>
      <c r="BA122">
        <f>CumulativeConfirmed!BA122-CumulativeRecovered!BA122-CumulativeDead!BA122</f>
        <v>1</v>
      </c>
      <c r="BB122">
        <f>CumulativeConfirmed!BB122-CumulativeRecovered!BB122-CumulativeDead!BB122</f>
        <v>4</v>
      </c>
      <c r="BC122">
        <f>CumulativeConfirmed!BC122-CumulativeRecovered!BC122-CumulativeDead!BC122</f>
        <v>4</v>
      </c>
      <c r="BD122">
        <f>CumulativeConfirmed!BD122-CumulativeRecovered!BD122-CumulativeDead!BD122</f>
        <v>4</v>
      </c>
      <c r="BE122">
        <f>CumulativeConfirmed!BE122-CumulativeRecovered!BE122-CumulativeDead!BE122</f>
        <v>7</v>
      </c>
      <c r="BF122">
        <f>CumulativeConfirmed!BF122-CumulativeRecovered!BF122-CumulativeDead!BF122</f>
        <v>28</v>
      </c>
      <c r="BG122">
        <f>CumulativeConfirmed!BG122-CumulativeRecovered!BG122-CumulativeDead!BG122</f>
        <v>28</v>
      </c>
      <c r="BH122">
        <f>CumulativeConfirmed!BH122-CumulativeRecovered!BH122-CumulativeDead!BH122</f>
        <v>28</v>
      </c>
      <c r="BI122">
        <f>CumulativeConfirmed!BI122-CumulativeRecovered!BI122-CumulativeDead!BI122</f>
        <v>0</v>
      </c>
      <c r="BJ122">
        <f>CumulativeConfirmed!BJ122-CumulativeRecovered!BJ122-CumulativeDead!BJ122</f>
        <v>0</v>
      </c>
      <c r="BK122">
        <f>CumulativeConfirmed!BK122-CumulativeRecovered!BK122-CumulativeDead!BK122</f>
        <v>0</v>
      </c>
      <c r="BL122">
        <f>CumulativeConfirmed!BL122-CumulativeRecovered!BL122-CumulativeDead!BL122</f>
        <v>0</v>
      </c>
      <c r="BM122">
        <f>CumulativeConfirmed!BM122-CumulativeRecovered!BM122-CumulativeDead!BM122</f>
        <v>0</v>
      </c>
      <c r="BN122">
        <f>CumulativeConfirmed!BN122-CumulativeRecovered!BN122-CumulativeDead!BN122</f>
        <v>0</v>
      </c>
      <c r="BO122">
        <f>CumulativeConfirmed!BO122-CumulativeRecovered!BO122-CumulativeDead!BO122</f>
        <v>0</v>
      </c>
      <c r="BP122">
        <f>CumulativeConfirmed!BP122-CumulativeRecovered!BP122-CumulativeDead!BP122</f>
        <v>0</v>
      </c>
      <c r="BQ122">
        <f>CumulativeConfirmed!BQ122-CumulativeRecovered!BQ122-CumulativeDead!BQ122</f>
        <v>0</v>
      </c>
      <c r="BR122">
        <f>CumulativeConfirmed!BR122-CumulativeRecovered!BR122-CumulativeDead!BR122</f>
        <v>0</v>
      </c>
      <c r="BS122">
        <f>CumulativeConfirmed!BS122-CumulativeRecovered!BS122-CumulativeDead!BS122</f>
        <v>0</v>
      </c>
      <c r="BT122">
        <f>CumulativeConfirmed!BT122-CumulativeRecovered!BT122-CumulativeDead!BT122</f>
        <v>0</v>
      </c>
    </row>
    <row r="123" spans="1:72" ht="15" thickBot="1" x14ac:dyDescent="0.35">
      <c r="A123" s="4" t="s">
        <v>282</v>
      </c>
      <c r="B123">
        <f>CumulativeConfirmed!B123-CumulativeRecovered!B123-CumulativeDead!B123</f>
        <v>0</v>
      </c>
      <c r="C123">
        <f>CumulativeConfirmed!C123-CumulativeRecovered!C123-CumulativeDead!C123</f>
        <v>0</v>
      </c>
      <c r="D123">
        <f>CumulativeConfirmed!D123-CumulativeRecovered!D123-CumulativeDead!D123</f>
        <v>0</v>
      </c>
      <c r="E123">
        <f>CumulativeConfirmed!E123-CumulativeRecovered!E123-CumulativeDead!E123</f>
        <v>0</v>
      </c>
      <c r="F123">
        <f>CumulativeConfirmed!F123-CumulativeRecovered!F123-CumulativeDead!F123</f>
        <v>0</v>
      </c>
      <c r="G123">
        <f>CumulativeConfirmed!G123-CumulativeRecovered!G123-CumulativeDead!G123</f>
        <v>0</v>
      </c>
      <c r="H123">
        <f>CumulativeConfirmed!H123-CumulativeRecovered!H123-CumulativeDead!H123</f>
        <v>0</v>
      </c>
      <c r="I123">
        <f>CumulativeConfirmed!I123-CumulativeRecovered!I123-CumulativeDead!I123</f>
        <v>0</v>
      </c>
      <c r="J123">
        <f>CumulativeConfirmed!J123-CumulativeRecovered!J123-CumulativeDead!J123</f>
        <v>0</v>
      </c>
      <c r="K123">
        <f>CumulativeConfirmed!K123-CumulativeRecovered!K123-CumulativeDead!K123</f>
        <v>0</v>
      </c>
      <c r="L123">
        <f>CumulativeConfirmed!L123-CumulativeRecovered!L123-CumulativeDead!L123</f>
        <v>0</v>
      </c>
      <c r="M123">
        <f>CumulativeConfirmed!M123-CumulativeRecovered!M123-CumulativeDead!M123</f>
        <v>0</v>
      </c>
      <c r="N123">
        <f>CumulativeConfirmed!N123-CumulativeRecovered!N123-CumulativeDead!N123</f>
        <v>0</v>
      </c>
      <c r="O123">
        <f>CumulativeConfirmed!O123-CumulativeRecovered!O123-CumulativeDead!O123</f>
        <v>0</v>
      </c>
      <c r="P123">
        <f>CumulativeConfirmed!P123-CumulativeRecovered!P123-CumulativeDead!P123</f>
        <v>0</v>
      </c>
      <c r="Q123">
        <f>CumulativeConfirmed!Q123-CumulativeRecovered!Q123-CumulativeDead!Q123</f>
        <v>0</v>
      </c>
      <c r="R123">
        <f>CumulativeConfirmed!R123-CumulativeRecovered!R123-CumulativeDead!R123</f>
        <v>0</v>
      </c>
      <c r="S123">
        <f>CumulativeConfirmed!S123-CumulativeRecovered!S123-CumulativeDead!S123</f>
        <v>0</v>
      </c>
      <c r="T123">
        <f>CumulativeConfirmed!T123-CumulativeRecovered!T123-CumulativeDead!T123</f>
        <v>0</v>
      </c>
      <c r="U123">
        <f>CumulativeConfirmed!U123-CumulativeRecovered!U123-CumulativeDead!U123</f>
        <v>0</v>
      </c>
      <c r="V123">
        <f>CumulativeConfirmed!V123-CumulativeRecovered!V123-CumulativeDead!V123</f>
        <v>0</v>
      </c>
      <c r="W123">
        <f>CumulativeConfirmed!W123-CumulativeRecovered!W123-CumulativeDead!W123</f>
        <v>0</v>
      </c>
      <c r="X123">
        <f>CumulativeConfirmed!X123-CumulativeRecovered!X123-CumulativeDead!X123</f>
        <v>0</v>
      </c>
      <c r="Y123">
        <f>CumulativeConfirmed!Y123-CumulativeRecovered!Y123-CumulativeDead!Y123</f>
        <v>0</v>
      </c>
      <c r="Z123">
        <f>CumulativeConfirmed!Z123-CumulativeRecovered!Z123-CumulativeDead!Z123</f>
        <v>0</v>
      </c>
      <c r="AA123">
        <f>CumulativeConfirmed!AA123-CumulativeRecovered!AA123-CumulativeDead!AA123</f>
        <v>0</v>
      </c>
      <c r="AB123">
        <f>CumulativeConfirmed!AB123-CumulativeRecovered!AB123-CumulativeDead!AB123</f>
        <v>0</v>
      </c>
      <c r="AC123">
        <f>CumulativeConfirmed!AC123-CumulativeRecovered!AC123-CumulativeDead!AC123</f>
        <v>0</v>
      </c>
      <c r="AD123">
        <f>CumulativeConfirmed!AD123-CumulativeRecovered!AD123-CumulativeDead!AD123</f>
        <v>0</v>
      </c>
      <c r="AE123">
        <f>CumulativeConfirmed!AE123-CumulativeRecovered!AE123-CumulativeDead!AE123</f>
        <v>0</v>
      </c>
      <c r="AF123">
        <f>CumulativeConfirmed!AF123-CumulativeRecovered!AF123-CumulativeDead!AF123</f>
        <v>0</v>
      </c>
      <c r="AG123">
        <f>CumulativeConfirmed!AG123-CumulativeRecovered!AG123-CumulativeDead!AG123</f>
        <v>0</v>
      </c>
      <c r="AH123">
        <f>CumulativeConfirmed!AH123-CumulativeRecovered!AH123-CumulativeDead!AH123</f>
        <v>0</v>
      </c>
      <c r="AI123">
        <f>CumulativeConfirmed!AI123-CumulativeRecovered!AI123-CumulativeDead!AI123</f>
        <v>0</v>
      </c>
      <c r="AJ123">
        <f>CumulativeConfirmed!AJ123-CumulativeRecovered!AJ123-CumulativeDead!AJ123</f>
        <v>0</v>
      </c>
      <c r="AK123">
        <f>CumulativeConfirmed!AK123-CumulativeRecovered!AK123-CumulativeDead!AK123</f>
        <v>0</v>
      </c>
      <c r="AL123">
        <f>CumulativeConfirmed!AL123-CumulativeRecovered!AL123-CumulativeDead!AL123</f>
        <v>0</v>
      </c>
      <c r="AM123">
        <f>CumulativeConfirmed!AM123-CumulativeRecovered!AM123-CumulativeDead!AM123</f>
        <v>0</v>
      </c>
      <c r="AN123">
        <f>CumulativeConfirmed!AN123-CumulativeRecovered!AN123-CumulativeDead!AN123</f>
        <v>0</v>
      </c>
      <c r="AO123">
        <f>CumulativeConfirmed!AO123-CumulativeRecovered!AO123-CumulativeDead!AO123</f>
        <v>0</v>
      </c>
      <c r="AP123">
        <f>CumulativeConfirmed!AP123-CumulativeRecovered!AP123-CumulativeDead!AP123</f>
        <v>0</v>
      </c>
      <c r="AQ123">
        <f>CumulativeConfirmed!AQ123-CumulativeRecovered!AQ123-CumulativeDead!AQ123</f>
        <v>0</v>
      </c>
      <c r="AR123">
        <f>CumulativeConfirmed!AR123-CumulativeRecovered!AR123-CumulativeDead!AR123</f>
        <v>0</v>
      </c>
      <c r="AS123">
        <f>CumulativeConfirmed!AS123-CumulativeRecovered!AS123-CumulativeDead!AS123</f>
        <v>0</v>
      </c>
      <c r="AT123">
        <f>CumulativeConfirmed!AT123-CumulativeRecovered!AT123-CumulativeDead!AT123</f>
        <v>0</v>
      </c>
      <c r="AU123">
        <f>CumulativeConfirmed!AU123-CumulativeRecovered!AU123-CumulativeDead!AU123</f>
        <v>0</v>
      </c>
      <c r="AV123">
        <f>CumulativeConfirmed!AV123-CumulativeRecovered!AV123-CumulativeDead!AV123</f>
        <v>0</v>
      </c>
      <c r="AW123">
        <f>CumulativeConfirmed!AW123-CumulativeRecovered!AW123-CumulativeDead!AW123</f>
        <v>0</v>
      </c>
      <c r="AX123">
        <f>CumulativeConfirmed!AX123-CumulativeRecovered!AX123-CumulativeDead!AX123</f>
        <v>1</v>
      </c>
      <c r="AY123">
        <f>CumulativeConfirmed!AY123-CumulativeRecovered!AY123-CumulativeDead!AY123</f>
        <v>1</v>
      </c>
      <c r="AZ123">
        <f>CumulativeConfirmed!AZ123-CumulativeRecovered!AZ123-CumulativeDead!AZ123</f>
        <v>1</v>
      </c>
      <c r="BA123">
        <f>CumulativeConfirmed!BA123-CumulativeRecovered!BA123-CumulativeDead!BA123</f>
        <v>1</v>
      </c>
      <c r="BB123">
        <f>CumulativeConfirmed!BB123-CumulativeRecovered!BB123-CumulativeDead!BB123</f>
        <v>1</v>
      </c>
      <c r="BC123">
        <f>CumulativeConfirmed!BC123-CumulativeRecovered!BC123-CumulativeDead!BC123</f>
        <v>1</v>
      </c>
      <c r="BD123">
        <f>CumulativeConfirmed!BD123-CumulativeRecovered!BD123-CumulativeDead!BD123</f>
        <v>1</v>
      </c>
      <c r="BE123">
        <f>CumulativeConfirmed!BE123-CumulativeRecovered!BE123-CumulativeDead!BE123</f>
        <v>5</v>
      </c>
      <c r="BF123">
        <f>CumulativeConfirmed!BF123-CumulativeRecovered!BF123-CumulativeDead!BF123</f>
        <v>6</v>
      </c>
      <c r="BG123">
        <f>CumulativeConfirmed!BG123-CumulativeRecovered!BG123-CumulativeDead!BG123</f>
        <v>6</v>
      </c>
      <c r="BH123">
        <f>CumulativeConfirmed!BH123-CumulativeRecovered!BH123-CumulativeDead!BH123</f>
        <v>6</v>
      </c>
      <c r="BI123">
        <f>CumulativeConfirmed!BI123-CumulativeRecovered!BI123-CumulativeDead!BI123</f>
        <v>0</v>
      </c>
      <c r="BJ123">
        <f>CumulativeConfirmed!BJ123-CumulativeRecovered!BJ123-CumulativeDead!BJ123</f>
        <v>0</v>
      </c>
      <c r="BK123">
        <f>CumulativeConfirmed!BK123-CumulativeRecovered!BK123-CumulativeDead!BK123</f>
        <v>0</v>
      </c>
      <c r="BL123">
        <f>CumulativeConfirmed!BL123-CumulativeRecovered!BL123-CumulativeDead!BL123</f>
        <v>0</v>
      </c>
      <c r="BM123">
        <f>CumulativeConfirmed!BM123-CumulativeRecovered!BM123-CumulativeDead!BM123</f>
        <v>0</v>
      </c>
      <c r="BN123">
        <f>CumulativeConfirmed!BN123-CumulativeRecovered!BN123-CumulativeDead!BN123</f>
        <v>0</v>
      </c>
      <c r="BO123">
        <f>CumulativeConfirmed!BO123-CumulativeRecovered!BO123-CumulativeDead!BO123</f>
        <v>0</v>
      </c>
      <c r="BP123">
        <f>CumulativeConfirmed!BP123-CumulativeRecovered!BP123-CumulativeDead!BP123</f>
        <v>0</v>
      </c>
      <c r="BQ123">
        <f>CumulativeConfirmed!BQ123-CumulativeRecovered!BQ123-CumulativeDead!BQ123</f>
        <v>0</v>
      </c>
      <c r="BR123">
        <f>CumulativeConfirmed!BR123-CumulativeRecovered!BR123-CumulativeDead!BR123</f>
        <v>0</v>
      </c>
      <c r="BS123">
        <f>CumulativeConfirmed!BS123-CumulativeRecovered!BS123-CumulativeDead!BS123</f>
        <v>0</v>
      </c>
      <c r="BT123">
        <f>CumulativeConfirmed!BT123-CumulativeRecovered!BT123-CumulativeDead!BT123</f>
        <v>0</v>
      </c>
    </row>
    <row r="124" spans="1:72" ht="15" thickBot="1" x14ac:dyDescent="0.35">
      <c r="A124" s="4" t="s">
        <v>42</v>
      </c>
      <c r="B124">
        <f>CumulativeConfirmed!B124-CumulativeRecovered!B124-CumulativeDead!B124</f>
        <v>0</v>
      </c>
      <c r="C124">
        <f>CumulativeConfirmed!C124-CumulativeRecovered!C124-CumulativeDead!C124</f>
        <v>0</v>
      </c>
      <c r="D124">
        <f>CumulativeConfirmed!D124-CumulativeRecovered!D124-CumulativeDead!D124</f>
        <v>0</v>
      </c>
      <c r="E124">
        <f>CumulativeConfirmed!E124-CumulativeRecovered!E124-CumulativeDead!E124</f>
        <v>1</v>
      </c>
      <c r="F124">
        <f>CumulativeConfirmed!F124-CumulativeRecovered!F124-CumulativeDead!F124</f>
        <v>1</v>
      </c>
      <c r="G124">
        <f>CumulativeConfirmed!G124-CumulativeRecovered!G124-CumulativeDead!G124</f>
        <v>1</v>
      </c>
      <c r="H124">
        <f>CumulativeConfirmed!H124-CumulativeRecovered!H124-CumulativeDead!H124</f>
        <v>1</v>
      </c>
      <c r="I124">
        <f>CumulativeConfirmed!I124-CumulativeRecovered!I124-CumulativeDead!I124</f>
        <v>1</v>
      </c>
      <c r="J124">
        <f>CumulativeConfirmed!J124-CumulativeRecovered!J124-CumulativeDead!J124</f>
        <v>1</v>
      </c>
      <c r="K124">
        <f>CumulativeConfirmed!K124-CumulativeRecovered!K124-CumulativeDead!K124</f>
        <v>1</v>
      </c>
      <c r="L124">
        <f>CumulativeConfirmed!L124-CumulativeRecovered!L124-CumulativeDead!L124</f>
        <v>1</v>
      </c>
      <c r="M124">
        <f>CumulativeConfirmed!M124-CumulativeRecovered!M124-CumulativeDead!M124</f>
        <v>1</v>
      </c>
      <c r="N124">
        <f>CumulativeConfirmed!N124-CumulativeRecovered!N124-CumulativeDead!N124</f>
        <v>1</v>
      </c>
      <c r="O124">
        <f>CumulativeConfirmed!O124-CumulativeRecovered!O124-CumulativeDead!O124</f>
        <v>1</v>
      </c>
      <c r="P124">
        <f>CumulativeConfirmed!P124-CumulativeRecovered!P124-CumulativeDead!P124</f>
        <v>1</v>
      </c>
      <c r="Q124">
        <f>CumulativeConfirmed!Q124-CumulativeRecovered!Q124-CumulativeDead!Q124</f>
        <v>1</v>
      </c>
      <c r="R124">
        <f>CumulativeConfirmed!R124-CumulativeRecovered!R124-CumulativeDead!R124</f>
        <v>1</v>
      </c>
      <c r="S124">
        <f>CumulativeConfirmed!S124-CumulativeRecovered!S124-CumulativeDead!S124</f>
        <v>1</v>
      </c>
      <c r="T124">
        <f>CumulativeConfirmed!T124-CumulativeRecovered!T124-CumulativeDead!T124</f>
        <v>1</v>
      </c>
      <c r="U124">
        <f>CumulativeConfirmed!U124-CumulativeRecovered!U124-CumulativeDead!U124</f>
        <v>1</v>
      </c>
      <c r="V124">
        <f>CumulativeConfirmed!V124-CumulativeRecovered!V124-CumulativeDead!V124</f>
        <v>1</v>
      </c>
      <c r="W124">
        <f>CumulativeConfirmed!W124-CumulativeRecovered!W124-CumulativeDead!W124</f>
        <v>0</v>
      </c>
      <c r="X124">
        <f>CumulativeConfirmed!X124-CumulativeRecovered!X124-CumulativeDead!X124</f>
        <v>0</v>
      </c>
      <c r="Y124">
        <f>CumulativeConfirmed!Y124-CumulativeRecovered!Y124-CumulativeDead!Y124</f>
        <v>0</v>
      </c>
      <c r="Z124">
        <f>CumulativeConfirmed!Z124-CumulativeRecovered!Z124-CumulativeDead!Z124</f>
        <v>0</v>
      </c>
      <c r="AA124">
        <f>CumulativeConfirmed!AA124-CumulativeRecovered!AA124-CumulativeDead!AA124</f>
        <v>0</v>
      </c>
      <c r="AB124">
        <f>CumulativeConfirmed!AB124-CumulativeRecovered!AB124-CumulativeDead!AB124</f>
        <v>0</v>
      </c>
      <c r="AC124">
        <f>CumulativeConfirmed!AC124-CumulativeRecovered!AC124-CumulativeDead!AC124</f>
        <v>0</v>
      </c>
      <c r="AD124">
        <f>CumulativeConfirmed!AD124-CumulativeRecovered!AD124-CumulativeDead!AD124</f>
        <v>0</v>
      </c>
      <c r="AE124">
        <f>CumulativeConfirmed!AE124-CumulativeRecovered!AE124-CumulativeDead!AE124</f>
        <v>0</v>
      </c>
      <c r="AF124">
        <f>CumulativeConfirmed!AF124-CumulativeRecovered!AF124-CumulativeDead!AF124</f>
        <v>0</v>
      </c>
      <c r="AG124">
        <f>CumulativeConfirmed!AG124-CumulativeRecovered!AG124-CumulativeDead!AG124</f>
        <v>0</v>
      </c>
      <c r="AH124">
        <f>CumulativeConfirmed!AH124-CumulativeRecovered!AH124-CumulativeDead!AH124</f>
        <v>0</v>
      </c>
      <c r="AI124">
        <f>CumulativeConfirmed!AI124-CumulativeRecovered!AI124-CumulativeDead!AI124</f>
        <v>0</v>
      </c>
      <c r="AJ124">
        <f>CumulativeConfirmed!AJ124-CumulativeRecovered!AJ124-CumulativeDead!AJ124</f>
        <v>0</v>
      </c>
      <c r="AK124">
        <f>CumulativeConfirmed!AK124-CumulativeRecovered!AK124-CumulativeDead!AK124</f>
        <v>0</v>
      </c>
      <c r="AL124">
        <f>CumulativeConfirmed!AL124-CumulativeRecovered!AL124-CumulativeDead!AL124</f>
        <v>0</v>
      </c>
      <c r="AM124">
        <f>CumulativeConfirmed!AM124-CumulativeRecovered!AM124-CumulativeDead!AM124</f>
        <v>0</v>
      </c>
      <c r="AN124">
        <f>CumulativeConfirmed!AN124-CumulativeRecovered!AN124-CumulativeDead!AN124</f>
        <v>0</v>
      </c>
      <c r="AO124">
        <f>CumulativeConfirmed!AO124-CumulativeRecovered!AO124-CumulativeDead!AO124</f>
        <v>0</v>
      </c>
      <c r="AP124">
        <f>CumulativeConfirmed!AP124-CumulativeRecovered!AP124-CumulativeDead!AP124</f>
        <v>0</v>
      </c>
      <c r="AQ124">
        <f>CumulativeConfirmed!AQ124-CumulativeRecovered!AQ124-CumulativeDead!AQ124</f>
        <v>0</v>
      </c>
      <c r="AR124">
        <f>CumulativeConfirmed!AR124-CumulativeRecovered!AR124-CumulativeDead!AR124</f>
        <v>0</v>
      </c>
      <c r="AS124">
        <f>CumulativeConfirmed!AS124-CumulativeRecovered!AS124-CumulativeDead!AS124</f>
        <v>0</v>
      </c>
      <c r="AT124">
        <f>CumulativeConfirmed!AT124-CumulativeRecovered!AT124-CumulativeDead!AT124</f>
        <v>0</v>
      </c>
      <c r="AU124">
        <f>CumulativeConfirmed!AU124-CumulativeRecovered!AU124-CumulativeDead!AU124</f>
        <v>0</v>
      </c>
      <c r="AV124">
        <f>CumulativeConfirmed!AV124-CumulativeRecovered!AV124-CumulativeDead!AV124</f>
        <v>0</v>
      </c>
      <c r="AW124">
        <f>CumulativeConfirmed!AW124-CumulativeRecovered!AW124-CumulativeDead!AW124</f>
        <v>0</v>
      </c>
      <c r="AX124">
        <f>CumulativeConfirmed!AX124-CumulativeRecovered!AX124-CumulativeDead!AX124</f>
        <v>0</v>
      </c>
      <c r="AY124">
        <f>CumulativeConfirmed!AY124-CumulativeRecovered!AY124-CumulativeDead!AY124</f>
        <v>0</v>
      </c>
      <c r="AZ124">
        <f>CumulativeConfirmed!AZ124-CumulativeRecovered!AZ124-CumulativeDead!AZ124</f>
        <v>0</v>
      </c>
      <c r="BA124">
        <f>CumulativeConfirmed!BA124-CumulativeRecovered!BA124-CumulativeDead!BA124</f>
        <v>0</v>
      </c>
      <c r="BB124">
        <f>CumulativeConfirmed!BB124-CumulativeRecovered!BB124-CumulativeDead!BB124</f>
        <v>0</v>
      </c>
      <c r="BC124">
        <f>CumulativeConfirmed!BC124-CumulativeRecovered!BC124-CumulativeDead!BC124</f>
        <v>0</v>
      </c>
      <c r="BD124">
        <f>CumulativeConfirmed!BD124-CumulativeRecovered!BD124-CumulativeDead!BD124</f>
        <v>0</v>
      </c>
      <c r="BE124">
        <f>CumulativeConfirmed!BE124-CumulativeRecovered!BE124-CumulativeDead!BE124</f>
        <v>0</v>
      </c>
      <c r="BF124">
        <f>CumulativeConfirmed!BF124-CumulativeRecovered!BF124-CumulativeDead!BF124</f>
        <v>0</v>
      </c>
      <c r="BG124">
        <f>CumulativeConfirmed!BG124-CumulativeRecovered!BG124-CumulativeDead!BG124</f>
        <v>0</v>
      </c>
      <c r="BH124">
        <f>CumulativeConfirmed!BH124-CumulativeRecovered!BH124-CumulativeDead!BH124</f>
        <v>0</v>
      </c>
      <c r="BI124">
        <f>CumulativeConfirmed!BI124-CumulativeRecovered!BI124-CumulativeDead!BI124</f>
        <v>0</v>
      </c>
      <c r="BJ124">
        <f>CumulativeConfirmed!BJ124-CumulativeRecovered!BJ124-CumulativeDead!BJ124</f>
        <v>0</v>
      </c>
      <c r="BK124">
        <f>CumulativeConfirmed!BK124-CumulativeRecovered!BK124-CumulativeDead!BK124</f>
        <v>0</v>
      </c>
      <c r="BL124">
        <f>CumulativeConfirmed!BL124-CumulativeRecovered!BL124-CumulativeDead!BL124</f>
        <v>0</v>
      </c>
      <c r="BM124">
        <f>CumulativeConfirmed!BM124-CumulativeRecovered!BM124-CumulativeDead!BM124</f>
        <v>0</v>
      </c>
      <c r="BN124">
        <f>CumulativeConfirmed!BN124-CumulativeRecovered!BN124-CumulativeDead!BN124</f>
        <v>0</v>
      </c>
      <c r="BO124">
        <f>CumulativeConfirmed!BO124-CumulativeRecovered!BO124-CumulativeDead!BO124</f>
        <v>0</v>
      </c>
      <c r="BP124">
        <f>CumulativeConfirmed!BP124-CumulativeRecovered!BP124-CumulativeDead!BP124</f>
        <v>0</v>
      </c>
      <c r="BQ124">
        <f>CumulativeConfirmed!BQ124-CumulativeRecovered!BQ124-CumulativeDead!BQ124</f>
        <v>0</v>
      </c>
      <c r="BR124">
        <f>CumulativeConfirmed!BR124-CumulativeRecovered!BR124-CumulativeDead!BR124</f>
        <v>0</v>
      </c>
      <c r="BS124">
        <f>CumulativeConfirmed!BS124-CumulativeRecovered!BS124-CumulativeDead!BS124</f>
        <v>0</v>
      </c>
      <c r="BT124">
        <f>CumulativeConfirmed!BT124-CumulativeRecovered!BT124-CumulativeDead!BT124</f>
        <v>0</v>
      </c>
    </row>
    <row r="125" spans="1:72" ht="15" thickBot="1" x14ac:dyDescent="0.35">
      <c r="A125" s="3" t="s">
        <v>420</v>
      </c>
      <c r="B125">
        <f>CumulativeConfirmed!B125-CumulativeRecovered!B125-CumulativeDead!B125</f>
        <v>0</v>
      </c>
      <c r="C125">
        <f>CumulativeConfirmed!C125-CumulativeRecovered!C125-CumulativeDead!C125</f>
        <v>0</v>
      </c>
      <c r="D125">
        <f>CumulativeConfirmed!D125-CumulativeRecovered!D125-CumulativeDead!D125</f>
        <v>0</v>
      </c>
      <c r="E125">
        <f>CumulativeConfirmed!E125-CumulativeRecovered!E125-CumulativeDead!E125</f>
        <v>0</v>
      </c>
      <c r="F125">
        <f>CumulativeConfirmed!F125-CumulativeRecovered!F125-CumulativeDead!F125</f>
        <v>0</v>
      </c>
      <c r="G125">
        <f>CumulativeConfirmed!G125-CumulativeRecovered!G125-CumulativeDead!G125</f>
        <v>0</v>
      </c>
      <c r="H125">
        <f>CumulativeConfirmed!H125-CumulativeRecovered!H125-CumulativeDead!H125</f>
        <v>0</v>
      </c>
      <c r="I125">
        <f>CumulativeConfirmed!I125-CumulativeRecovered!I125-CumulativeDead!I125</f>
        <v>0</v>
      </c>
      <c r="J125">
        <f>CumulativeConfirmed!J125-CumulativeRecovered!J125-CumulativeDead!J125</f>
        <v>0</v>
      </c>
      <c r="K125">
        <f>CumulativeConfirmed!K125-CumulativeRecovered!K125-CumulativeDead!K125</f>
        <v>0</v>
      </c>
      <c r="L125">
        <f>CumulativeConfirmed!L125-CumulativeRecovered!L125-CumulativeDead!L125</f>
        <v>0</v>
      </c>
      <c r="M125">
        <f>CumulativeConfirmed!M125-CumulativeRecovered!M125-CumulativeDead!M125</f>
        <v>0</v>
      </c>
      <c r="N125">
        <f>CumulativeConfirmed!N125-CumulativeRecovered!N125-CumulativeDead!N125</f>
        <v>0</v>
      </c>
      <c r="O125">
        <f>CumulativeConfirmed!O125-CumulativeRecovered!O125-CumulativeDead!O125</f>
        <v>0</v>
      </c>
      <c r="P125">
        <f>CumulativeConfirmed!P125-CumulativeRecovered!P125-CumulativeDead!P125</f>
        <v>0</v>
      </c>
      <c r="Q125">
        <f>CumulativeConfirmed!Q125-CumulativeRecovered!Q125-CumulativeDead!Q125</f>
        <v>0</v>
      </c>
      <c r="R125">
        <f>CumulativeConfirmed!R125-CumulativeRecovered!R125-CumulativeDead!R125</f>
        <v>0</v>
      </c>
      <c r="S125">
        <f>CumulativeConfirmed!S125-CumulativeRecovered!S125-CumulativeDead!S125</f>
        <v>0</v>
      </c>
      <c r="T125">
        <f>CumulativeConfirmed!T125-CumulativeRecovered!T125-CumulativeDead!T125</f>
        <v>0</v>
      </c>
      <c r="U125">
        <f>CumulativeConfirmed!U125-CumulativeRecovered!U125-CumulativeDead!U125</f>
        <v>0</v>
      </c>
      <c r="V125">
        <f>CumulativeConfirmed!V125-CumulativeRecovered!V125-CumulativeDead!V125</f>
        <v>0</v>
      </c>
      <c r="W125">
        <f>CumulativeConfirmed!W125-CumulativeRecovered!W125-CumulativeDead!W125</f>
        <v>0</v>
      </c>
      <c r="X125">
        <f>CumulativeConfirmed!X125-CumulativeRecovered!X125-CumulativeDead!X125</f>
        <v>0</v>
      </c>
      <c r="Y125">
        <f>CumulativeConfirmed!Y125-CumulativeRecovered!Y125-CumulativeDead!Y125</f>
        <v>0</v>
      </c>
      <c r="Z125">
        <f>CumulativeConfirmed!Z125-CumulativeRecovered!Z125-CumulativeDead!Z125</f>
        <v>0</v>
      </c>
      <c r="AA125">
        <f>CumulativeConfirmed!AA125-CumulativeRecovered!AA125-CumulativeDead!AA125</f>
        <v>0</v>
      </c>
      <c r="AB125">
        <f>CumulativeConfirmed!AB125-CumulativeRecovered!AB125-CumulativeDead!AB125</f>
        <v>0</v>
      </c>
      <c r="AC125">
        <f>CumulativeConfirmed!AC125-CumulativeRecovered!AC125-CumulativeDead!AC125</f>
        <v>0</v>
      </c>
      <c r="AD125">
        <f>CumulativeConfirmed!AD125-CumulativeRecovered!AD125-CumulativeDead!AD125</f>
        <v>0</v>
      </c>
      <c r="AE125">
        <f>CumulativeConfirmed!AE125-CumulativeRecovered!AE125-CumulativeDead!AE125</f>
        <v>0</v>
      </c>
      <c r="AF125">
        <f>CumulativeConfirmed!AF125-CumulativeRecovered!AF125-CumulativeDead!AF125</f>
        <v>0</v>
      </c>
      <c r="AG125">
        <f>CumulativeConfirmed!AG125-CumulativeRecovered!AG125-CumulativeDead!AG125</f>
        <v>0</v>
      </c>
      <c r="AH125">
        <f>CumulativeConfirmed!AH125-CumulativeRecovered!AH125-CumulativeDead!AH125</f>
        <v>0</v>
      </c>
      <c r="AI125">
        <f>CumulativeConfirmed!AI125-CumulativeRecovered!AI125-CumulativeDead!AI125</f>
        <v>0</v>
      </c>
      <c r="AJ125">
        <f>CumulativeConfirmed!AJ125-CumulativeRecovered!AJ125-CumulativeDead!AJ125</f>
        <v>0</v>
      </c>
      <c r="AK125">
        <f>CumulativeConfirmed!AK125-CumulativeRecovered!AK125-CumulativeDead!AK125</f>
        <v>0</v>
      </c>
      <c r="AL125">
        <f>CumulativeConfirmed!AL125-CumulativeRecovered!AL125-CumulativeDead!AL125</f>
        <v>0</v>
      </c>
      <c r="AM125">
        <f>CumulativeConfirmed!AM125-CumulativeRecovered!AM125-CumulativeDead!AM125</f>
        <v>0</v>
      </c>
      <c r="AN125">
        <f>CumulativeConfirmed!AN125-CumulativeRecovered!AN125-CumulativeDead!AN125</f>
        <v>0</v>
      </c>
      <c r="AO125">
        <f>CumulativeConfirmed!AO125-CumulativeRecovered!AO125-CumulativeDead!AO125</f>
        <v>0</v>
      </c>
      <c r="AP125">
        <f>CumulativeConfirmed!AP125-CumulativeRecovered!AP125-CumulativeDead!AP125</f>
        <v>0</v>
      </c>
      <c r="AQ125">
        <f>CumulativeConfirmed!AQ125-CumulativeRecovered!AQ125-CumulativeDead!AQ125</f>
        <v>0</v>
      </c>
      <c r="AR125">
        <f>CumulativeConfirmed!AR125-CumulativeRecovered!AR125-CumulativeDead!AR125</f>
        <v>0</v>
      </c>
      <c r="AS125">
        <f>CumulativeConfirmed!AS125-CumulativeRecovered!AS125-CumulativeDead!AS125</f>
        <v>0</v>
      </c>
      <c r="AT125">
        <f>CumulativeConfirmed!AT125-CumulativeRecovered!AT125-CumulativeDead!AT125</f>
        <v>0</v>
      </c>
      <c r="AU125">
        <f>CumulativeConfirmed!AU125-CumulativeRecovered!AU125-CumulativeDead!AU125</f>
        <v>0</v>
      </c>
      <c r="AV125">
        <f>CumulativeConfirmed!AV125-CumulativeRecovered!AV125-CumulativeDead!AV125</f>
        <v>0</v>
      </c>
      <c r="AW125">
        <f>CumulativeConfirmed!AW125-CumulativeRecovered!AW125-CumulativeDead!AW125</f>
        <v>0</v>
      </c>
      <c r="AX125">
        <f>CumulativeConfirmed!AX125-CumulativeRecovered!AX125-CumulativeDead!AX125</f>
        <v>0</v>
      </c>
      <c r="AY125">
        <f>CumulativeConfirmed!AY125-CumulativeRecovered!AY125-CumulativeDead!AY125</f>
        <v>0</v>
      </c>
      <c r="AZ125">
        <f>CumulativeConfirmed!AZ125-CumulativeRecovered!AZ125-CumulativeDead!AZ125</f>
        <v>0</v>
      </c>
      <c r="BA125">
        <f>CumulativeConfirmed!BA125-CumulativeRecovered!BA125-CumulativeDead!BA125</f>
        <v>0</v>
      </c>
      <c r="BB125">
        <f>CumulativeConfirmed!BB125-CumulativeRecovered!BB125-CumulativeDead!BB125</f>
        <v>0</v>
      </c>
      <c r="BC125">
        <f>CumulativeConfirmed!BC125-CumulativeRecovered!BC125-CumulativeDead!BC125</f>
        <v>0</v>
      </c>
      <c r="BD125">
        <f>CumulativeConfirmed!BD125-CumulativeRecovered!BD125-CumulativeDead!BD125</f>
        <v>0</v>
      </c>
      <c r="BE125">
        <f>CumulativeConfirmed!BE125-CumulativeRecovered!BE125-CumulativeDead!BE125</f>
        <v>0</v>
      </c>
      <c r="BF125">
        <f>CumulativeConfirmed!BF125-CumulativeRecovered!BF125-CumulativeDead!BF125</f>
        <v>1</v>
      </c>
      <c r="BG125">
        <f>CumulativeConfirmed!BG125-CumulativeRecovered!BG125-CumulativeDead!BG125</f>
        <v>1</v>
      </c>
      <c r="BH125">
        <f>CumulativeConfirmed!BH125-CumulativeRecovered!BH125-CumulativeDead!BH125</f>
        <v>1</v>
      </c>
      <c r="BI125">
        <f>CumulativeConfirmed!BI125-CumulativeRecovered!BI125-CumulativeDead!BI125</f>
        <v>0</v>
      </c>
      <c r="BJ125">
        <f>CumulativeConfirmed!BJ125-CumulativeRecovered!BJ125-CumulativeDead!BJ125</f>
        <v>0</v>
      </c>
      <c r="BK125">
        <f>CumulativeConfirmed!BK125-CumulativeRecovered!BK125-CumulativeDead!BK125</f>
        <v>0</v>
      </c>
      <c r="BL125">
        <f>CumulativeConfirmed!BL125-CumulativeRecovered!BL125-CumulativeDead!BL125</f>
        <v>0</v>
      </c>
      <c r="BM125">
        <f>CumulativeConfirmed!BM125-CumulativeRecovered!BM125-CumulativeDead!BM125</f>
        <v>0</v>
      </c>
      <c r="BN125">
        <f>CumulativeConfirmed!BN125-CumulativeRecovered!BN125-CumulativeDead!BN125</f>
        <v>0</v>
      </c>
      <c r="BO125">
        <f>CumulativeConfirmed!BO125-CumulativeRecovered!BO125-CumulativeDead!BO125</f>
        <v>0</v>
      </c>
      <c r="BP125">
        <f>CumulativeConfirmed!BP125-CumulativeRecovered!BP125-CumulativeDead!BP125</f>
        <v>0</v>
      </c>
      <c r="BQ125">
        <f>CumulativeConfirmed!BQ125-CumulativeRecovered!BQ125-CumulativeDead!BQ125</f>
        <v>0</v>
      </c>
      <c r="BR125">
        <f>CumulativeConfirmed!BR125-CumulativeRecovered!BR125-CumulativeDead!BR125</f>
        <v>0</v>
      </c>
      <c r="BS125">
        <f>CumulativeConfirmed!BS125-CumulativeRecovered!BS125-CumulativeDead!BS125</f>
        <v>0</v>
      </c>
      <c r="BT125">
        <f>CumulativeConfirmed!BT125-CumulativeRecovered!BT125-CumulativeDead!BT125</f>
        <v>0</v>
      </c>
    </row>
    <row r="126" spans="1:72" ht="15" thickBot="1" x14ac:dyDescent="0.35">
      <c r="A126" s="3" t="s">
        <v>163</v>
      </c>
      <c r="B126">
        <f>CumulativeConfirmed!B126-CumulativeRecovered!B126-CumulativeDead!B126</f>
        <v>0</v>
      </c>
      <c r="C126">
        <f>CumulativeConfirmed!C126-CumulativeRecovered!C126-CumulativeDead!C126</f>
        <v>0</v>
      </c>
      <c r="D126">
        <f>CumulativeConfirmed!D126-CumulativeRecovered!D126-CumulativeDead!D126</f>
        <v>0</v>
      </c>
      <c r="E126">
        <f>CumulativeConfirmed!E126-CumulativeRecovered!E126-CumulativeDead!E126</f>
        <v>0</v>
      </c>
      <c r="F126">
        <f>CumulativeConfirmed!F126-CumulativeRecovered!F126-CumulativeDead!F126</f>
        <v>0</v>
      </c>
      <c r="G126">
        <f>CumulativeConfirmed!G126-CumulativeRecovered!G126-CumulativeDead!G126</f>
        <v>0</v>
      </c>
      <c r="H126">
        <f>CumulativeConfirmed!H126-CumulativeRecovered!H126-CumulativeDead!H126</f>
        <v>0</v>
      </c>
      <c r="I126">
        <f>CumulativeConfirmed!I126-CumulativeRecovered!I126-CumulativeDead!I126</f>
        <v>0</v>
      </c>
      <c r="J126">
        <f>CumulativeConfirmed!J126-CumulativeRecovered!J126-CumulativeDead!J126</f>
        <v>0</v>
      </c>
      <c r="K126">
        <f>CumulativeConfirmed!K126-CumulativeRecovered!K126-CumulativeDead!K126</f>
        <v>0</v>
      </c>
      <c r="L126">
        <f>CumulativeConfirmed!L126-CumulativeRecovered!L126-CumulativeDead!L126</f>
        <v>0</v>
      </c>
      <c r="M126">
        <f>CumulativeConfirmed!M126-CumulativeRecovered!M126-CumulativeDead!M126</f>
        <v>0</v>
      </c>
      <c r="N126">
        <f>CumulativeConfirmed!N126-CumulativeRecovered!N126-CumulativeDead!N126</f>
        <v>0</v>
      </c>
      <c r="O126">
        <f>CumulativeConfirmed!O126-CumulativeRecovered!O126-CumulativeDead!O126</f>
        <v>0</v>
      </c>
      <c r="P126">
        <f>CumulativeConfirmed!P126-CumulativeRecovered!P126-CumulativeDead!P126</f>
        <v>0</v>
      </c>
      <c r="Q126">
        <f>CumulativeConfirmed!Q126-CumulativeRecovered!Q126-CumulativeDead!Q126</f>
        <v>0</v>
      </c>
      <c r="R126">
        <f>CumulativeConfirmed!R126-CumulativeRecovered!R126-CumulativeDead!R126</f>
        <v>0</v>
      </c>
      <c r="S126">
        <f>CumulativeConfirmed!S126-CumulativeRecovered!S126-CumulativeDead!S126</f>
        <v>0</v>
      </c>
      <c r="T126">
        <f>CumulativeConfirmed!T126-CumulativeRecovered!T126-CumulativeDead!T126</f>
        <v>0</v>
      </c>
      <c r="U126">
        <f>CumulativeConfirmed!U126-CumulativeRecovered!U126-CumulativeDead!U126</f>
        <v>0</v>
      </c>
      <c r="V126">
        <f>CumulativeConfirmed!V126-CumulativeRecovered!V126-CumulativeDead!V126</f>
        <v>0</v>
      </c>
      <c r="W126">
        <f>CumulativeConfirmed!W126-CumulativeRecovered!W126-CumulativeDead!W126</f>
        <v>0</v>
      </c>
      <c r="X126">
        <f>CumulativeConfirmed!X126-CumulativeRecovered!X126-CumulativeDead!X126</f>
        <v>0</v>
      </c>
      <c r="Y126">
        <f>CumulativeConfirmed!Y126-CumulativeRecovered!Y126-CumulativeDead!Y126</f>
        <v>0</v>
      </c>
      <c r="Z126">
        <f>CumulativeConfirmed!Z126-CumulativeRecovered!Z126-CumulativeDead!Z126</f>
        <v>0</v>
      </c>
      <c r="AA126">
        <f>CumulativeConfirmed!AA126-CumulativeRecovered!AA126-CumulativeDead!AA126</f>
        <v>0</v>
      </c>
      <c r="AB126">
        <f>CumulativeConfirmed!AB126-CumulativeRecovered!AB126-CumulativeDead!AB126</f>
        <v>0</v>
      </c>
      <c r="AC126">
        <f>CumulativeConfirmed!AC126-CumulativeRecovered!AC126-CumulativeDead!AC126</f>
        <v>0</v>
      </c>
      <c r="AD126">
        <f>CumulativeConfirmed!AD126-CumulativeRecovered!AD126-CumulativeDead!AD126</f>
        <v>0</v>
      </c>
      <c r="AE126">
        <f>CumulativeConfirmed!AE126-CumulativeRecovered!AE126-CumulativeDead!AE126</f>
        <v>0</v>
      </c>
      <c r="AF126">
        <f>CumulativeConfirmed!AF126-CumulativeRecovered!AF126-CumulativeDead!AF126</f>
        <v>0</v>
      </c>
      <c r="AG126">
        <f>CumulativeConfirmed!AG126-CumulativeRecovered!AG126-CumulativeDead!AG126</f>
        <v>0</v>
      </c>
      <c r="AH126">
        <f>CumulativeConfirmed!AH126-CumulativeRecovered!AH126-CumulativeDead!AH126</f>
        <v>0</v>
      </c>
      <c r="AI126">
        <f>CumulativeConfirmed!AI126-CumulativeRecovered!AI126-CumulativeDead!AI126</f>
        <v>0</v>
      </c>
      <c r="AJ126">
        <f>CumulativeConfirmed!AJ126-CumulativeRecovered!AJ126-CumulativeDead!AJ126</f>
        <v>0</v>
      </c>
      <c r="AK126">
        <f>CumulativeConfirmed!AK126-CumulativeRecovered!AK126-CumulativeDead!AK126</f>
        <v>0</v>
      </c>
      <c r="AL126">
        <f>CumulativeConfirmed!AL126-CumulativeRecovered!AL126-CumulativeDead!AL126</f>
        <v>0</v>
      </c>
      <c r="AM126">
        <f>CumulativeConfirmed!AM126-CumulativeRecovered!AM126-CumulativeDead!AM126</f>
        <v>0</v>
      </c>
      <c r="AN126">
        <f>CumulativeConfirmed!AN126-CumulativeRecovered!AN126-CumulativeDead!AN126</f>
        <v>0</v>
      </c>
      <c r="AO126">
        <f>CumulativeConfirmed!AO126-CumulativeRecovered!AO126-CumulativeDead!AO126</f>
        <v>0</v>
      </c>
      <c r="AP126">
        <f>CumulativeConfirmed!AP126-CumulativeRecovered!AP126-CumulativeDead!AP126</f>
        <v>0</v>
      </c>
      <c r="AQ126">
        <f>CumulativeConfirmed!AQ126-CumulativeRecovered!AQ126-CumulativeDead!AQ126</f>
        <v>0</v>
      </c>
      <c r="AR126">
        <f>CumulativeConfirmed!AR126-CumulativeRecovered!AR126-CumulativeDead!AR126</f>
        <v>0</v>
      </c>
      <c r="AS126">
        <f>CumulativeConfirmed!AS126-CumulativeRecovered!AS126-CumulativeDead!AS126</f>
        <v>0</v>
      </c>
      <c r="AT126">
        <f>CumulativeConfirmed!AT126-CumulativeRecovered!AT126-CumulativeDead!AT126</f>
        <v>1</v>
      </c>
      <c r="AU126">
        <f>CumulativeConfirmed!AU126-CumulativeRecovered!AU126-CumulativeDead!AU126</f>
        <v>1</v>
      </c>
      <c r="AV126">
        <f>CumulativeConfirmed!AV126-CumulativeRecovered!AV126-CumulativeDead!AV126</f>
        <v>1</v>
      </c>
      <c r="AW126">
        <f>CumulativeConfirmed!AW126-CumulativeRecovered!AW126-CumulativeDead!AW126</f>
        <v>1</v>
      </c>
      <c r="AX126">
        <f>CumulativeConfirmed!AX126-CumulativeRecovered!AX126-CumulativeDead!AX126</f>
        <v>1</v>
      </c>
      <c r="AY126">
        <f>CumulativeConfirmed!AY126-CumulativeRecovered!AY126-CumulativeDead!AY126</f>
        <v>1</v>
      </c>
      <c r="AZ126">
        <f>CumulativeConfirmed!AZ126-CumulativeRecovered!AZ126-CumulativeDead!AZ126</f>
        <v>1</v>
      </c>
      <c r="BA126">
        <f>CumulativeConfirmed!BA126-CumulativeRecovered!BA126-CumulativeDead!BA126</f>
        <v>1</v>
      </c>
      <c r="BB126">
        <f>CumulativeConfirmed!BB126-CumulativeRecovered!BB126-CumulativeDead!BB126</f>
        <v>1</v>
      </c>
      <c r="BC126">
        <f>CumulativeConfirmed!BC126-CumulativeRecovered!BC126-CumulativeDead!BC126</f>
        <v>1</v>
      </c>
      <c r="BD126">
        <f>CumulativeConfirmed!BD126-CumulativeRecovered!BD126-CumulativeDead!BD126</f>
        <v>1</v>
      </c>
      <c r="BE126">
        <f>CumulativeConfirmed!BE126-CumulativeRecovered!BE126-CumulativeDead!BE126</f>
        <v>1</v>
      </c>
      <c r="BF126">
        <f>CumulativeConfirmed!BF126-CumulativeRecovered!BF126-CumulativeDead!BF126</f>
        <v>1</v>
      </c>
      <c r="BG126">
        <f>CumulativeConfirmed!BG126-CumulativeRecovered!BG126-CumulativeDead!BG126</f>
        <v>1</v>
      </c>
      <c r="BH126">
        <f>CumulativeConfirmed!BH126-CumulativeRecovered!BH126-CumulativeDead!BH126</f>
        <v>8</v>
      </c>
      <c r="BI126">
        <f>CumulativeConfirmed!BI126-CumulativeRecovered!BI126-CumulativeDead!BI126</f>
        <v>0</v>
      </c>
      <c r="BJ126">
        <f>CumulativeConfirmed!BJ126-CumulativeRecovered!BJ126-CumulativeDead!BJ126</f>
        <v>0</v>
      </c>
      <c r="BK126">
        <f>CumulativeConfirmed!BK126-CumulativeRecovered!BK126-CumulativeDead!BK126</f>
        <v>0</v>
      </c>
      <c r="BL126">
        <f>CumulativeConfirmed!BL126-CumulativeRecovered!BL126-CumulativeDead!BL126</f>
        <v>0</v>
      </c>
      <c r="BM126">
        <f>CumulativeConfirmed!BM126-CumulativeRecovered!BM126-CumulativeDead!BM126</f>
        <v>0</v>
      </c>
      <c r="BN126">
        <f>CumulativeConfirmed!BN126-CumulativeRecovered!BN126-CumulativeDead!BN126</f>
        <v>0</v>
      </c>
      <c r="BO126">
        <f>CumulativeConfirmed!BO126-CumulativeRecovered!BO126-CumulativeDead!BO126</f>
        <v>0</v>
      </c>
      <c r="BP126">
        <f>CumulativeConfirmed!BP126-CumulativeRecovered!BP126-CumulativeDead!BP126</f>
        <v>0</v>
      </c>
      <c r="BQ126">
        <f>CumulativeConfirmed!BQ126-CumulativeRecovered!BQ126-CumulativeDead!BQ126</f>
        <v>0</v>
      </c>
      <c r="BR126">
        <f>CumulativeConfirmed!BR126-CumulativeRecovered!BR126-CumulativeDead!BR126</f>
        <v>0</v>
      </c>
      <c r="BS126">
        <f>CumulativeConfirmed!BS126-CumulativeRecovered!BS126-CumulativeDead!BS126</f>
        <v>0</v>
      </c>
      <c r="BT126">
        <f>CumulativeConfirmed!BT126-CumulativeRecovered!BT126-CumulativeDead!BT126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324B8-203E-489E-B09E-6DE0725DF50F}">
  <sheetPr codeName="Sheet8"/>
  <dimension ref="A1:BT12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SUMIF(RecoveredRaw!$B:$B,$A2,RecoveredRaw!E:E)</f>
        <v>28</v>
      </c>
      <c r="C2">
        <f>SUMIF(RecoveredRaw!$B:$B,$A2,RecoveredRaw!F:F)</f>
        <v>30</v>
      </c>
      <c r="D2">
        <f>SUMIF(RecoveredRaw!$B:$B,$A2,RecoveredRaw!G:G)</f>
        <v>36</v>
      </c>
      <c r="E2">
        <f>SUMIF(RecoveredRaw!$B:$B,$A2,RecoveredRaw!H:H)</f>
        <v>39</v>
      </c>
      <c r="F2">
        <f>SUMIF(RecoveredRaw!$B:$B,$A2,RecoveredRaw!I:I)</f>
        <v>49</v>
      </c>
      <c r="G2">
        <f>SUMIF(RecoveredRaw!$B:$B,$A2,RecoveredRaw!J:J)</f>
        <v>58</v>
      </c>
      <c r="H2">
        <f>SUMIF(RecoveredRaw!$B:$B,$A2,RecoveredRaw!K:K)</f>
        <v>101</v>
      </c>
      <c r="I2">
        <f>SUMIF(RecoveredRaw!$B:$B,$A2,RecoveredRaw!L:L)</f>
        <v>120</v>
      </c>
      <c r="J2">
        <f>SUMIF(RecoveredRaw!$B:$B,$A2,RecoveredRaw!M:M)</f>
        <v>135</v>
      </c>
      <c r="K2">
        <f>SUMIF(RecoveredRaw!$B:$B,$A2,RecoveredRaw!N:N)</f>
        <v>214</v>
      </c>
      <c r="L2">
        <f>SUMIF(RecoveredRaw!$B:$B,$A2,RecoveredRaw!O:O)</f>
        <v>275</v>
      </c>
      <c r="M2">
        <f>SUMIF(RecoveredRaw!$B:$B,$A2,RecoveredRaw!P:P)</f>
        <v>463</v>
      </c>
      <c r="N2">
        <f>SUMIF(RecoveredRaw!$B:$B,$A2,RecoveredRaw!Q:Q)</f>
        <v>614</v>
      </c>
      <c r="O2">
        <f>SUMIF(RecoveredRaw!$B:$B,$A2,RecoveredRaw!R:R)</f>
        <v>843</v>
      </c>
      <c r="P2">
        <f>SUMIF(RecoveredRaw!$B:$B,$A2,RecoveredRaw!S:S)</f>
        <v>1115</v>
      </c>
      <c r="Q2">
        <f>SUMIF(RecoveredRaw!$B:$B,$A2,RecoveredRaw!T:T)</f>
        <v>1477</v>
      </c>
      <c r="R2">
        <f>SUMIF(RecoveredRaw!$B:$B,$A2,RecoveredRaw!U:U)</f>
        <v>1999</v>
      </c>
      <c r="S2">
        <f>SUMIF(RecoveredRaw!$B:$B,$A2,RecoveredRaw!V:V)</f>
        <v>2596</v>
      </c>
      <c r="T2">
        <f>SUMIF(RecoveredRaw!$B:$B,$A2,RecoveredRaw!W:W)</f>
        <v>3219</v>
      </c>
      <c r="U2">
        <f>SUMIF(RecoveredRaw!$B:$B,$A2,RecoveredRaw!X:X)</f>
        <v>3918</v>
      </c>
      <c r="V2">
        <f>SUMIF(RecoveredRaw!$B:$B,$A2,RecoveredRaw!Y:Y)</f>
        <v>4636</v>
      </c>
      <c r="W2">
        <f>SUMIF(RecoveredRaw!$B:$B,$A2,RecoveredRaw!Z:Z)</f>
        <v>5082</v>
      </c>
      <c r="X2">
        <f>SUMIF(RecoveredRaw!$B:$B,$A2,RecoveredRaw!AA:AA)</f>
        <v>6217</v>
      </c>
      <c r="Y2">
        <f>SUMIF(RecoveredRaw!$B:$B,$A2,RecoveredRaw!AB:AB)</f>
        <v>7977</v>
      </c>
      <c r="Z2">
        <f>SUMIF(RecoveredRaw!$B:$B,$A2,RecoveredRaw!AC:AC)</f>
        <v>9298</v>
      </c>
      <c r="AA2">
        <f>SUMIF(RecoveredRaw!$B:$B,$A2,RecoveredRaw!AD:AD)</f>
        <v>10755</v>
      </c>
      <c r="AB2">
        <f>SUMIF(RecoveredRaw!$B:$B,$A2,RecoveredRaw!AE:AE)</f>
        <v>12462</v>
      </c>
      <c r="AC2">
        <f>SUMIF(RecoveredRaw!$B:$B,$A2,RecoveredRaw!AF:AF)</f>
        <v>14206</v>
      </c>
      <c r="AD2">
        <f>SUMIF(RecoveredRaw!$B:$B,$A2,RecoveredRaw!AG:AG)</f>
        <v>15962</v>
      </c>
      <c r="AE2">
        <f>SUMIF(RecoveredRaw!$B:$B,$A2,RecoveredRaw!AH:AH)</f>
        <v>18014</v>
      </c>
      <c r="AF2">
        <f>SUMIF(RecoveredRaw!$B:$B,$A2,RecoveredRaw!AI:AI)</f>
        <v>18704</v>
      </c>
      <c r="AG2">
        <f>SUMIF(RecoveredRaw!$B:$B,$A2,RecoveredRaw!AJ:AJ)</f>
        <v>22699</v>
      </c>
      <c r="AH2">
        <f>SUMIF(RecoveredRaw!$B:$B,$A2,RecoveredRaw!AK:AK)</f>
        <v>23187</v>
      </c>
      <c r="AI2">
        <f>SUMIF(RecoveredRaw!$B:$B,$A2,RecoveredRaw!AL:AL)</f>
        <v>25015</v>
      </c>
      <c r="AJ2">
        <f>SUMIF(RecoveredRaw!$B:$B,$A2,RecoveredRaw!AM:AM)</f>
        <v>27676</v>
      </c>
      <c r="AK2">
        <f>SUMIF(RecoveredRaw!$B:$B,$A2,RecoveredRaw!AN:AN)</f>
        <v>30084</v>
      </c>
      <c r="AL2">
        <f>SUMIF(RecoveredRaw!$B:$B,$A2,RecoveredRaw!AO:AO)</f>
        <v>32930</v>
      </c>
      <c r="AM2">
        <f>SUMIF(RecoveredRaw!$B:$B,$A2,RecoveredRaw!AP:AP)</f>
        <v>36329</v>
      </c>
      <c r="AN2">
        <f>SUMIF(RecoveredRaw!$B:$B,$A2,RecoveredRaw!AQ:AQ)</f>
        <v>39320</v>
      </c>
      <c r="AO2">
        <f>SUMIF(RecoveredRaw!$B:$B,$A2,RecoveredRaw!AR:AR)</f>
        <v>42162</v>
      </c>
      <c r="AP2">
        <f>SUMIF(RecoveredRaw!$B:$B,$A2,RecoveredRaw!AS:AS)</f>
        <v>44854</v>
      </c>
      <c r="AQ2">
        <f>SUMIF(RecoveredRaw!$B:$B,$A2,RecoveredRaw!AT:AT)</f>
        <v>47450</v>
      </c>
      <c r="AR2">
        <f>SUMIF(RecoveredRaw!$B:$B,$A2,RecoveredRaw!AU:AU)</f>
        <v>50001</v>
      </c>
      <c r="AS2">
        <f>SUMIF(RecoveredRaw!$B:$B,$A2,RecoveredRaw!AV:AV)</f>
        <v>52292</v>
      </c>
      <c r="AT2">
        <f>SUMIF(RecoveredRaw!$B:$B,$A2,RecoveredRaw!AW:AW)</f>
        <v>53944</v>
      </c>
      <c r="AU2">
        <f>SUMIF(RecoveredRaw!$B:$B,$A2,RecoveredRaw!AX:AX)</f>
        <v>55539</v>
      </c>
      <c r="AV2">
        <f>SUMIF(RecoveredRaw!$B:$B,$A2,RecoveredRaw!AY:AY)</f>
        <v>57388</v>
      </c>
      <c r="AW2">
        <f>SUMIF(RecoveredRaw!$B:$B,$A2,RecoveredRaw!AZ:AZ)</f>
        <v>58804</v>
      </c>
      <c r="AX2">
        <f>SUMIF(RecoveredRaw!$B:$B,$A2,RecoveredRaw!BA:BA)</f>
        <v>60181</v>
      </c>
      <c r="AY2">
        <f>SUMIF(RecoveredRaw!$B:$B,$A2,RecoveredRaw!BB:BB)</f>
        <v>61644</v>
      </c>
      <c r="AZ2">
        <f>SUMIF(RecoveredRaw!$B:$B,$A2,RecoveredRaw!BC:BC)</f>
        <v>62901</v>
      </c>
      <c r="BA2">
        <f>SUMIF(RecoveredRaw!$B:$B,$A2,RecoveredRaw!BD:BD)</f>
        <v>64196</v>
      </c>
      <c r="BB2">
        <f>SUMIF(RecoveredRaw!$B:$B,$A2,RecoveredRaw!BE:BE)</f>
        <v>65660</v>
      </c>
      <c r="BC2">
        <f>SUMIF(RecoveredRaw!$B:$B,$A2,RecoveredRaw!BF:BF)</f>
        <v>67017</v>
      </c>
      <c r="BD2">
        <f>SUMIF(RecoveredRaw!$B:$B,$A2,RecoveredRaw!BG:BG)</f>
        <v>67910</v>
      </c>
      <c r="BE2">
        <f>SUMIF(RecoveredRaw!$B:$B,$A2,RecoveredRaw!BH:BH)</f>
        <v>68798</v>
      </c>
      <c r="BF2">
        <f>SUMIF(RecoveredRaw!$B:$B,$A2,RecoveredRaw!BI:BI)</f>
        <v>69755</v>
      </c>
      <c r="BG2">
        <f>SUMIF(RecoveredRaw!$B:$B,$A2,RecoveredRaw!BJ:BJ)</f>
        <v>70535</v>
      </c>
      <c r="BH2">
        <f>SUMIF(RecoveredRaw!$B:$B,$A2,RecoveredRaw!BK:BK)</f>
        <v>71266</v>
      </c>
      <c r="BI2">
        <f>SUMIF(RecoveredRaw!$B:$B,$A2,RecoveredRaw!BL:BL)</f>
        <v>0</v>
      </c>
      <c r="BJ2">
        <f>SUMIF(RecoveredRaw!$B:$B,$A2,RecoveredRaw!BM:BM)</f>
        <v>0</v>
      </c>
      <c r="BK2">
        <f>SUMIF(RecoveredRaw!$B:$B,$A2,RecoveredRaw!BN:BN)</f>
        <v>0</v>
      </c>
      <c r="BL2">
        <f>SUMIF(RecoveredRaw!$B:$B,$A2,RecoveredRaw!BO:BO)</f>
        <v>0</v>
      </c>
      <c r="BM2">
        <f>SUMIF(RecoveredRaw!$B:$B,$A2,RecoveredRaw!BP:BP)</f>
        <v>0</v>
      </c>
      <c r="BN2">
        <f>SUMIF(RecoveredRaw!$B:$B,$A2,RecoveredRaw!BQ:BQ)</f>
        <v>0</v>
      </c>
      <c r="BO2">
        <f>SUMIF(RecoveredRaw!$B:$B,$A2,RecoveredRaw!BR:BR)</f>
        <v>0</v>
      </c>
      <c r="BP2">
        <f>SUMIF(RecoveredRaw!$B:$B,$A2,RecoveredRaw!BS:BS)</f>
        <v>0</v>
      </c>
      <c r="BQ2">
        <f>SUMIF(RecoveredRaw!$B:$B,$A2,RecoveredRaw!BT:BT)</f>
        <v>0</v>
      </c>
      <c r="BR2">
        <f>SUMIF(RecoveredRaw!$B:$B,$A2,RecoveredRaw!BU:BU)</f>
        <v>0</v>
      </c>
      <c r="BS2">
        <f>SUMIF(RecoveredRaw!$B:$B,$A2,RecoveredRaw!BV:BV)</f>
        <v>0</v>
      </c>
      <c r="BT2">
        <f>SUMIF(RecoveredRaw!$B:$B,$A2,RecoveredRaw!BW:BW)</f>
        <v>0</v>
      </c>
    </row>
    <row r="3" spans="1:72" ht="15" thickBot="1" x14ac:dyDescent="0.35">
      <c r="A3" s="3" t="s">
        <v>58</v>
      </c>
      <c r="B3">
        <f>SUMIF(RecoveredRaw!$B:$B,$A3,RecoveredRaw!E:E)</f>
        <v>0</v>
      </c>
      <c r="C3">
        <f>SUMIF(RecoveredRaw!$B:$B,$A3,RecoveredRaw!F:F)</f>
        <v>0</v>
      </c>
      <c r="D3">
        <f>SUMIF(RecoveredRaw!$B:$B,$A3,RecoveredRaw!G:G)</f>
        <v>0</v>
      </c>
      <c r="E3">
        <f>SUMIF(RecoveredRaw!$B:$B,$A3,RecoveredRaw!H:H)</f>
        <v>0</v>
      </c>
      <c r="F3">
        <f>SUMIF(RecoveredRaw!$B:$B,$A3,RecoveredRaw!I:I)</f>
        <v>0</v>
      </c>
      <c r="G3">
        <f>SUMIF(RecoveredRaw!$B:$B,$A3,RecoveredRaw!J:J)</f>
        <v>0</v>
      </c>
      <c r="H3">
        <f>SUMIF(RecoveredRaw!$B:$B,$A3,RecoveredRaw!K:K)</f>
        <v>0</v>
      </c>
      <c r="I3">
        <f>SUMIF(RecoveredRaw!$B:$B,$A3,RecoveredRaw!L:L)</f>
        <v>0</v>
      </c>
      <c r="J3">
        <f>SUMIF(RecoveredRaw!$B:$B,$A3,RecoveredRaw!M:M)</f>
        <v>0</v>
      </c>
      <c r="K3">
        <f>SUMIF(RecoveredRaw!$B:$B,$A3,RecoveredRaw!N:N)</f>
        <v>0</v>
      </c>
      <c r="L3">
        <f>SUMIF(RecoveredRaw!$B:$B,$A3,RecoveredRaw!O:O)</f>
        <v>0</v>
      </c>
      <c r="M3">
        <f>SUMIF(RecoveredRaw!$B:$B,$A3,RecoveredRaw!P:P)</f>
        <v>0</v>
      </c>
      <c r="N3">
        <f>SUMIF(RecoveredRaw!$B:$B,$A3,RecoveredRaw!Q:Q)</f>
        <v>0</v>
      </c>
      <c r="O3">
        <f>SUMIF(RecoveredRaw!$B:$B,$A3,RecoveredRaw!R:R)</f>
        <v>0</v>
      </c>
      <c r="P3">
        <f>SUMIF(RecoveredRaw!$B:$B,$A3,RecoveredRaw!S:S)</f>
        <v>0</v>
      </c>
      <c r="Q3">
        <f>SUMIF(RecoveredRaw!$B:$B,$A3,RecoveredRaw!T:T)</f>
        <v>0</v>
      </c>
      <c r="R3">
        <f>SUMIF(RecoveredRaw!$B:$B,$A3,RecoveredRaw!U:U)</f>
        <v>0</v>
      </c>
      <c r="S3">
        <f>SUMIF(RecoveredRaw!$B:$B,$A3,RecoveredRaw!V:V)</f>
        <v>0</v>
      </c>
      <c r="T3">
        <f>SUMIF(RecoveredRaw!$B:$B,$A3,RecoveredRaw!W:W)</f>
        <v>0</v>
      </c>
      <c r="U3">
        <f>SUMIF(RecoveredRaw!$B:$B,$A3,RecoveredRaw!X:X)</f>
        <v>0</v>
      </c>
      <c r="V3">
        <f>SUMIF(RecoveredRaw!$B:$B,$A3,RecoveredRaw!Y:Y)</f>
        <v>0</v>
      </c>
      <c r="W3">
        <f>SUMIF(RecoveredRaw!$B:$B,$A3,RecoveredRaw!Z:Z)</f>
        <v>0</v>
      </c>
      <c r="X3">
        <f>SUMIF(RecoveredRaw!$B:$B,$A3,RecoveredRaw!AA:AA)</f>
        <v>0</v>
      </c>
      <c r="Y3">
        <f>SUMIF(RecoveredRaw!$B:$B,$A3,RecoveredRaw!AB:AB)</f>
        <v>0</v>
      </c>
      <c r="Z3">
        <f>SUMIF(RecoveredRaw!$B:$B,$A3,RecoveredRaw!AC:AC)</f>
        <v>0</v>
      </c>
      <c r="AA3">
        <f>SUMIF(RecoveredRaw!$B:$B,$A3,RecoveredRaw!AD:AD)</f>
        <v>0</v>
      </c>
      <c r="AB3">
        <f>SUMIF(RecoveredRaw!$B:$B,$A3,RecoveredRaw!AE:AE)</f>
        <v>0</v>
      </c>
      <c r="AC3">
        <f>SUMIF(RecoveredRaw!$B:$B,$A3,RecoveredRaw!AF:AF)</f>
        <v>0</v>
      </c>
      <c r="AD3">
        <f>SUMIF(RecoveredRaw!$B:$B,$A3,RecoveredRaw!AG:AG)</f>
        <v>0</v>
      </c>
      <c r="AE3">
        <f>SUMIF(RecoveredRaw!$B:$B,$A3,RecoveredRaw!AH:AH)</f>
        <v>0</v>
      </c>
      <c r="AF3">
        <f>SUMIF(RecoveredRaw!$B:$B,$A3,RecoveredRaw!AI:AI)</f>
        <v>0</v>
      </c>
      <c r="AG3">
        <f>SUMIF(RecoveredRaw!$B:$B,$A3,RecoveredRaw!AJ:AJ)</f>
        <v>1</v>
      </c>
      <c r="AH3">
        <f>SUMIF(RecoveredRaw!$B:$B,$A3,RecoveredRaw!AK:AK)</f>
        <v>2</v>
      </c>
      <c r="AI3">
        <f>SUMIF(RecoveredRaw!$B:$B,$A3,RecoveredRaw!AL:AL)</f>
        <v>1</v>
      </c>
      <c r="AJ3">
        <f>SUMIF(RecoveredRaw!$B:$B,$A3,RecoveredRaw!AM:AM)</f>
        <v>1</v>
      </c>
      <c r="AK3">
        <f>SUMIF(RecoveredRaw!$B:$B,$A3,RecoveredRaw!AN:AN)</f>
        <v>3</v>
      </c>
      <c r="AL3">
        <f>SUMIF(RecoveredRaw!$B:$B,$A3,RecoveredRaw!AO:AO)</f>
        <v>45</v>
      </c>
      <c r="AM3">
        <f>SUMIF(RecoveredRaw!$B:$B,$A3,RecoveredRaw!AP:AP)</f>
        <v>46</v>
      </c>
      <c r="AN3">
        <f>SUMIF(RecoveredRaw!$B:$B,$A3,RecoveredRaw!AQ:AQ)</f>
        <v>46</v>
      </c>
      <c r="AO3">
        <f>SUMIF(RecoveredRaw!$B:$B,$A3,RecoveredRaw!AR:AR)</f>
        <v>83</v>
      </c>
      <c r="AP3">
        <f>SUMIF(RecoveredRaw!$B:$B,$A3,RecoveredRaw!AS:AS)</f>
        <v>149</v>
      </c>
      <c r="AQ3">
        <f>SUMIF(RecoveredRaw!$B:$B,$A3,RecoveredRaw!AT:AT)</f>
        <v>160</v>
      </c>
      <c r="AR3">
        <f>SUMIF(RecoveredRaw!$B:$B,$A3,RecoveredRaw!AU:AU)</f>
        <v>276</v>
      </c>
      <c r="AS3">
        <f>SUMIF(RecoveredRaw!$B:$B,$A3,RecoveredRaw!AV:AV)</f>
        <v>414</v>
      </c>
      <c r="AT3">
        <f>SUMIF(RecoveredRaw!$B:$B,$A3,RecoveredRaw!AW:AW)</f>
        <v>523</v>
      </c>
      <c r="AU3">
        <f>SUMIF(RecoveredRaw!$B:$B,$A3,RecoveredRaw!AX:AX)</f>
        <v>589</v>
      </c>
      <c r="AV3">
        <f>SUMIF(RecoveredRaw!$B:$B,$A3,RecoveredRaw!AY:AY)</f>
        <v>622</v>
      </c>
      <c r="AW3">
        <f>SUMIF(RecoveredRaw!$B:$B,$A3,RecoveredRaw!AZ:AZ)</f>
        <v>724</v>
      </c>
      <c r="AX3">
        <f>SUMIF(RecoveredRaw!$B:$B,$A3,RecoveredRaw!BA:BA)</f>
        <v>724</v>
      </c>
      <c r="AY3">
        <f>SUMIF(RecoveredRaw!$B:$B,$A3,RecoveredRaw!BB:BB)</f>
        <v>1045</v>
      </c>
      <c r="AZ3">
        <f>SUMIF(RecoveredRaw!$B:$B,$A3,RecoveredRaw!BC:BC)</f>
        <v>1045</v>
      </c>
      <c r="BA3">
        <f>SUMIF(RecoveredRaw!$B:$B,$A3,RecoveredRaw!BD:BD)</f>
        <v>1439</v>
      </c>
      <c r="BB3">
        <f>SUMIF(RecoveredRaw!$B:$B,$A3,RecoveredRaw!BE:BE)</f>
        <v>1966</v>
      </c>
      <c r="BC3">
        <f>SUMIF(RecoveredRaw!$B:$B,$A3,RecoveredRaw!BF:BF)</f>
        <v>2335</v>
      </c>
      <c r="BD3">
        <f>SUMIF(RecoveredRaw!$B:$B,$A3,RecoveredRaw!BG:BG)</f>
        <v>2749</v>
      </c>
      <c r="BE3">
        <f>SUMIF(RecoveredRaw!$B:$B,$A3,RecoveredRaw!BH:BH)</f>
        <v>2941</v>
      </c>
      <c r="BF3">
        <f>SUMIF(RecoveredRaw!$B:$B,$A3,RecoveredRaw!BI:BI)</f>
        <v>4025</v>
      </c>
      <c r="BG3">
        <f>SUMIF(RecoveredRaw!$B:$B,$A3,RecoveredRaw!BJ:BJ)</f>
        <v>4440</v>
      </c>
      <c r="BH3">
        <f>SUMIF(RecoveredRaw!$B:$B,$A3,RecoveredRaw!BK:BK)</f>
        <v>4440</v>
      </c>
      <c r="BI3">
        <f>SUMIF(RecoveredRaw!$B:$B,$A3,RecoveredRaw!BL:BL)</f>
        <v>0</v>
      </c>
      <c r="BJ3">
        <f>SUMIF(RecoveredRaw!$B:$B,$A3,RecoveredRaw!BM:BM)</f>
        <v>0</v>
      </c>
      <c r="BK3">
        <f>SUMIF(RecoveredRaw!$B:$B,$A3,RecoveredRaw!BN:BN)</f>
        <v>0</v>
      </c>
      <c r="BL3">
        <f>SUMIF(RecoveredRaw!$B:$B,$A3,RecoveredRaw!BO:BO)</f>
        <v>0</v>
      </c>
      <c r="BM3">
        <f>SUMIF(RecoveredRaw!$B:$B,$A3,RecoveredRaw!BP:BP)</f>
        <v>0</v>
      </c>
      <c r="BN3">
        <f>SUMIF(RecoveredRaw!$B:$B,$A3,RecoveredRaw!BQ:BQ)</f>
        <v>0</v>
      </c>
      <c r="BO3">
        <f>SUMIF(RecoveredRaw!$B:$B,$A3,RecoveredRaw!BR:BR)</f>
        <v>0</v>
      </c>
      <c r="BP3">
        <f>SUMIF(RecoveredRaw!$B:$B,$A3,RecoveredRaw!BS:BS)</f>
        <v>0</v>
      </c>
      <c r="BQ3">
        <f>SUMIF(RecoveredRaw!$B:$B,$A3,RecoveredRaw!BT:BT)</f>
        <v>0</v>
      </c>
      <c r="BR3">
        <f>SUMIF(RecoveredRaw!$B:$B,$A3,RecoveredRaw!BU:BU)</f>
        <v>0</v>
      </c>
      <c r="BS3">
        <f>SUMIF(RecoveredRaw!$B:$B,$A3,RecoveredRaw!BV:BV)</f>
        <v>0</v>
      </c>
      <c r="BT3">
        <f>SUMIF(RecoveredRaw!$B:$B,$A3,RecoveredRaw!BW:BW)</f>
        <v>0</v>
      </c>
    </row>
    <row r="4" spans="1:72" ht="15" thickBot="1" x14ac:dyDescent="0.35">
      <c r="A4" s="4" t="s">
        <v>338</v>
      </c>
      <c r="B4">
        <f>SUMIF(RecoveredRaw!$B:$B,$A4,RecoveredRaw!E:E)</f>
        <v>0</v>
      </c>
      <c r="C4">
        <f>SUMIF(RecoveredRaw!$B:$B,$A4,RecoveredRaw!F:F)</f>
        <v>0</v>
      </c>
      <c r="D4">
        <f>SUMIF(RecoveredRaw!$B:$B,$A4,RecoveredRaw!G:G)</f>
        <v>0</v>
      </c>
      <c r="E4">
        <f>SUMIF(RecoveredRaw!$B:$B,$A4,RecoveredRaw!H:H)</f>
        <v>0</v>
      </c>
      <c r="F4">
        <f>SUMIF(RecoveredRaw!$B:$B,$A4,RecoveredRaw!I:I)</f>
        <v>0</v>
      </c>
      <c r="G4">
        <f>SUMIF(RecoveredRaw!$B:$B,$A4,RecoveredRaw!J:J)</f>
        <v>0</v>
      </c>
      <c r="H4">
        <f>SUMIF(RecoveredRaw!$B:$B,$A4,RecoveredRaw!K:K)</f>
        <v>0</v>
      </c>
      <c r="I4">
        <f>SUMIF(RecoveredRaw!$B:$B,$A4,RecoveredRaw!L:L)</f>
        <v>0</v>
      </c>
      <c r="J4">
        <f>SUMIF(RecoveredRaw!$B:$B,$A4,RecoveredRaw!M:M)</f>
        <v>0</v>
      </c>
      <c r="K4">
        <f>SUMIF(RecoveredRaw!$B:$B,$A4,RecoveredRaw!N:N)</f>
        <v>0</v>
      </c>
      <c r="L4">
        <f>SUMIF(RecoveredRaw!$B:$B,$A4,RecoveredRaw!O:O)</f>
        <v>0</v>
      </c>
      <c r="M4">
        <f>SUMIF(RecoveredRaw!$B:$B,$A4,RecoveredRaw!P:P)</f>
        <v>0</v>
      </c>
      <c r="N4">
        <f>SUMIF(RecoveredRaw!$B:$B,$A4,RecoveredRaw!Q:Q)</f>
        <v>0</v>
      </c>
      <c r="O4">
        <f>SUMIF(RecoveredRaw!$B:$B,$A4,RecoveredRaw!R:R)</f>
        <v>0</v>
      </c>
      <c r="P4">
        <f>SUMIF(RecoveredRaw!$B:$B,$A4,RecoveredRaw!S:S)</f>
        <v>0</v>
      </c>
      <c r="Q4">
        <f>SUMIF(RecoveredRaw!$B:$B,$A4,RecoveredRaw!T:T)</f>
        <v>0</v>
      </c>
      <c r="R4">
        <f>SUMIF(RecoveredRaw!$B:$B,$A4,RecoveredRaw!U:U)</f>
        <v>0</v>
      </c>
      <c r="S4">
        <f>SUMIF(RecoveredRaw!$B:$B,$A4,RecoveredRaw!V:V)</f>
        <v>0</v>
      </c>
      <c r="T4">
        <f>SUMIF(RecoveredRaw!$B:$B,$A4,RecoveredRaw!W:W)</f>
        <v>0</v>
      </c>
      <c r="U4">
        <f>SUMIF(RecoveredRaw!$B:$B,$A4,RecoveredRaw!X:X)</f>
        <v>0</v>
      </c>
      <c r="V4">
        <f>SUMIF(RecoveredRaw!$B:$B,$A4,RecoveredRaw!Y:Y)</f>
        <v>0</v>
      </c>
      <c r="W4">
        <f>SUMIF(RecoveredRaw!$B:$B,$A4,RecoveredRaw!Z:Z)</f>
        <v>0</v>
      </c>
      <c r="X4">
        <f>SUMIF(RecoveredRaw!$B:$B,$A4,RecoveredRaw!AA:AA)</f>
        <v>0</v>
      </c>
      <c r="Y4">
        <f>SUMIF(RecoveredRaw!$B:$B,$A4,RecoveredRaw!AB:AB)</f>
        <v>0</v>
      </c>
      <c r="Z4">
        <f>SUMIF(RecoveredRaw!$B:$B,$A4,RecoveredRaw!AC:AC)</f>
        <v>0</v>
      </c>
      <c r="AA4">
        <f>SUMIF(RecoveredRaw!$B:$B,$A4,RecoveredRaw!AD:AD)</f>
        <v>0</v>
      </c>
      <c r="AB4">
        <f>SUMIF(RecoveredRaw!$B:$B,$A4,RecoveredRaw!AE:AE)</f>
        <v>0</v>
      </c>
      <c r="AC4">
        <f>SUMIF(RecoveredRaw!$B:$B,$A4,RecoveredRaw!AF:AF)</f>
        <v>0</v>
      </c>
      <c r="AD4">
        <f>SUMIF(RecoveredRaw!$B:$B,$A4,RecoveredRaw!AG:AG)</f>
        <v>0</v>
      </c>
      <c r="AE4">
        <f>SUMIF(RecoveredRaw!$B:$B,$A4,RecoveredRaw!AH:AH)</f>
        <v>0</v>
      </c>
      <c r="AF4">
        <f>SUMIF(RecoveredRaw!$B:$B,$A4,RecoveredRaw!AI:AI)</f>
        <v>0</v>
      </c>
      <c r="AG4">
        <f>SUMIF(RecoveredRaw!$B:$B,$A4,RecoveredRaw!AJ:AJ)</f>
        <v>0</v>
      </c>
      <c r="AH4">
        <f>SUMIF(RecoveredRaw!$B:$B,$A4,RecoveredRaw!AK:AK)</f>
        <v>0</v>
      </c>
      <c r="AI4">
        <f>SUMIF(RecoveredRaw!$B:$B,$A4,RecoveredRaw!AL:AL)</f>
        <v>0</v>
      </c>
      <c r="AJ4">
        <f>SUMIF(RecoveredRaw!$B:$B,$A4,RecoveredRaw!AM:AM)</f>
        <v>0</v>
      </c>
      <c r="AK4">
        <f>SUMIF(RecoveredRaw!$B:$B,$A4,RecoveredRaw!AN:AN)</f>
        <v>49</v>
      </c>
      <c r="AL4">
        <f>SUMIF(RecoveredRaw!$B:$B,$A4,RecoveredRaw!AO:AO)</f>
        <v>49</v>
      </c>
      <c r="AM4">
        <f>SUMIF(RecoveredRaw!$B:$B,$A4,RecoveredRaw!AP:AP)</f>
        <v>73</v>
      </c>
      <c r="AN4">
        <f>SUMIF(RecoveredRaw!$B:$B,$A4,RecoveredRaw!AQ:AQ)</f>
        <v>123</v>
      </c>
      <c r="AO4">
        <f>SUMIF(RecoveredRaw!$B:$B,$A4,RecoveredRaw!AR:AR)</f>
        <v>175</v>
      </c>
      <c r="AP4">
        <f>SUMIF(RecoveredRaw!$B:$B,$A4,RecoveredRaw!AS:AS)</f>
        <v>291</v>
      </c>
      <c r="AQ4">
        <f>SUMIF(RecoveredRaw!$B:$B,$A4,RecoveredRaw!AT:AT)</f>
        <v>291</v>
      </c>
      <c r="AR4">
        <f>SUMIF(RecoveredRaw!$B:$B,$A4,RecoveredRaw!AU:AU)</f>
        <v>552</v>
      </c>
      <c r="AS4">
        <f>SUMIF(RecoveredRaw!$B:$B,$A4,RecoveredRaw!AV:AV)</f>
        <v>739</v>
      </c>
      <c r="AT4">
        <f>SUMIF(RecoveredRaw!$B:$B,$A4,RecoveredRaw!AW:AW)</f>
        <v>913</v>
      </c>
      <c r="AU4">
        <f>SUMIF(RecoveredRaw!$B:$B,$A4,RecoveredRaw!AX:AX)</f>
        <v>1669</v>
      </c>
      <c r="AV4">
        <f>SUMIF(RecoveredRaw!$B:$B,$A4,RecoveredRaw!AY:AY)</f>
        <v>2134</v>
      </c>
      <c r="AW4">
        <f>SUMIF(RecoveredRaw!$B:$B,$A4,RecoveredRaw!AZ:AZ)</f>
        <v>2394</v>
      </c>
      <c r="AX4">
        <f>SUMIF(RecoveredRaw!$B:$B,$A4,RecoveredRaw!BA:BA)</f>
        <v>2731</v>
      </c>
      <c r="AY4">
        <f>SUMIF(RecoveredRaw!$B:$B,$A4,RecoveredRaw!BB:BB)</f>
        <v>2959</v>
      </c>
      <c r="AZ4">
        <f>SUMIF(RecoveredRaw!$B:$B,$A4,RecoveredRaw!BC:BC)</f>
        <v>2959</v>
      </c>
      <c r="BA4">
        <f>SUMIF(RecoveredRaw!$B:$B,$A4,RecoveredRaw!BD:BD)</f>
        <v>2959</v>
      </c>
      <c r="BB4">
        <f>SUMIF(RecoveredRaw!$B:$B,$A4,RecoveredRaw!BE:BE)</f>
        <v>2959</v>
      </c>
      <c r="BC4">
        <f>SUMIF(RecoveredRaw!$B:$B,$A4,RecoveredRaw!BF:BF)</f>
        <v>4590</v>
      </c>
      <c r="BD4">
        <f>SUMIF(RecoveredRaw!$B:$B,$A4,RecoveredRaw!BG:BG)</f>
        <v>4590</v>
      </c>
      <c r="BE4">
        <f>SUMIF(RecoveredRaw!$B:$B,$A4,RecoveredRaw!BH:BH)</f>
        <v>5389</v>
      </c>
      <c r="BF4">
        <f>SUMIF(RecoveredRaw!$B:$B,$A4,RecoveredRaw!BI:BI)</f>
        <v>5389</v>
      </c>
      <c r="BG4">
        <f>SUMIF(RecoveredRaw!$B:$B,$A4,RecoveredRaw!BJ:BJ)</f>
        <v>5710</v>
      </c>
      <c r="BH4">
        <f>SUMIF(RecoveredRaw!$B:$B,$A4,RecoveredRaw!BK:BK)</f>
        <v>6745</v>
      </c>
      <c r="BI4">
        <f>SUMIF(RecoveredRaw!$B:$B,$A4,RecoveredRaw!BL:BL)</f>
        <v>0</v>
      </c>
      <c r="BJ4">
        <f>SUMIF(RecoveredRaw!$B:$B,$A4,RecoveredRaw!BM:BM)</f>
        <v>0</v>
      </c>
      <c r="BK4">
        <f>SUMIF(RecoveredRaw!$B:$B,$A4,RecoveredRaw!BN:BN)</f>
        <v>0</v>
      </c>
      <c r="BL4">
        <f>SUMIF(RecoveredRaw!$B:$B,$A4,RecoveredRaw!BO:BO)</f>
        <v>0</v>
      </c>
      <c r="BM4">
        <f>SUMIF(RecoveredRaw!$B:$B,$A4,RecoveredRaw!BP:BP)</f>
        <v>0</v>
      </c>
      <c r="BN4">
        <f>SUMIF(RecoveredRaw!$B:$B,$A4,RecoveredRaw!BQ:BQ)</f>
        <v>0</v>
      </c>
      <c r="BO4">
        <f>SUMIF(RecoveredRaw!$B:$B,$A4,RecoveredRaw!BR:BR)</f>
        <v>0</v>
      </c>
      <c r="BP4">
        <f>SUMIF(RecoveredRaw!$B:$B,$A4,RecoveredRaw!BS:BS)</f>
        <v>0</v>
      </c>
      <c r="BQ4">
        <f>SUMIF(RecoveredRaw!$B:$B,$A4,RecoveredRaw!BT:BT)</f>
        <v>0</v>
      </c>
      <c r="BR4">
        <f>SUMIF(RecoveredRaw!$B:$B,$A4,RecoveredRaw!BU:BU)</f>
        <v>0</v>
      </c>
      <c r="BS4">
        <f>SUMIF(RecoveredRaw!$B:$B,$A4,RecoveredRaw!BV:BV)</f>
        <v>0</v>
      </c>
      <c r="BT4">
        <f>SUMIF(RecoveredRaw!$B:$B,$A4,RecoveredRaw!BW:BW)</f>
        <v>0</v>
      </c>
    </row>
    <row r="5" spans="1:72" ht="15" thickBot="1" x14ac:dyDescent="0.35">
      <c r="A5" s="3" t="s">
        <v>339</v>
      </c>
      <c r="B5">
        <f>SUMIF(RecoveredRaw!$B:$B,$A5,RecoveredRaw!E:E)</f>
        <v>0</v>
      </c>
      <c r="C5">
        <f>SUMIF(RecoveredRaw!$B:$B,$A5,RecoveredRaw!F:F)</f>
        <v>0</v>
      </c>
      <c r="D5">
        <f>SUMIF(RecoveredRaw!$B:$B,$A5,RecoveredRaw!G:G)</f>
        <v>0</v>
      </c>
      <c r="E5">
        <f>SUMIF(RecoveredRaw!$B:$B,$A5,RecoveredRaw!H:H)</f>
        <v>0</v>
      </c>
      <c r="F5">
        <f>SUMIF(RecoveredRaw!$B:$B,$A5,RecoveredRaw!I:I)</f>
        <v>0</v>
      </c>
      <c r="G5">
        <f>SUMIF(RecoveredRaw!$B:$B,$A5,RecoveredRaw!J:J)</f>
        <v>0</v>
      </c>
      <c r="H5">
        <f>SUMIF(RecoveredRaw!$B:$B,$A5,RecoveredRaw!K:K)</f>
        <v>0</v>
      </c>
      <c r="I5">
        <f>SUMIF(RecoveredRaw!$B:$B,$A5,RecoveredRaw!L:L)</f>
        <v>0</v>
      </c>
      <c r="J5">
        <f>SUMIF(RecoveredRaw!$B:$B,$A5,RecoveredRaw!M:M)</f>
        <v>0</v>
      </c>
      <c r="K5">
        <f>SUMIF(RecoveredRaw!$B:$B,$A5,RecoveredRaw!N:N)</f>
        <v>0</v>
      </c>
      <c r="L5">
        <f>SUMIF(RecoveredRaw!$B:$B,$A5,RecoveredRaw!O:O)</f>
        <v>0</v>
      </c>
      <c r="M5">
        <f>SUMIF(RecoveredRaw!$B:$B,$A5,RecoveredRaw!P:P)</f>
        <v>0</v>
      </c>
      <c r="N5">
        <f>SUMIF(RecoveredRaw!$B:$B,$A5,RecoveredRaw!Q:Q)</f>
        <v>0</v>
      </c>
      <c r="O5">
        <f>SUMIF(RecoveredRaw!$B:$B,$A5,RecoveredRaw!R:R)</f>
        <v>0</v>
      </c>
      <c r="P5">
        <f>SUMIF(RecoveredRaw!$B:$B,$A5,RecoveredRaw!S:S)</f>
        <v>0</v>
      </c>
      <c r="Q5">
        <f>SUMIF(RecoveredRaw!$B:$B,$A5,RecoveredRaw!T:T)</f>
        <v>0</v>
      </c>
      <c r="R5">
        <f>SUMIF(RecoveredRaw!$B:$B,$A5,RecoveredRaw!U:U)</f>
        <v>1</v>
      </c>
      <c r="S5">
        <f>SUMIF(RecoveredRaw!$B:$B,$A5,RecoveredRaw!V:V)</f>
        <v>1</v>
      </c>
      <c r="T5">
        <f>SUMIF(RecoveredRaw!$B:$B,$A5,RecoveredRaw!W:W)</f>
        <v>3</v>
      </c>
      <c r="U5">
        <f>SUMIF(RecoveredRaw!$B:$B,$A5,RecoveredRaw!X:X)</f>
        <v>3</v>
      </c>
      <c r="V5">
        <f>SUMIF(RecoveredRaw!$B:$B,$A5,RecoveredRaw!Y:Y)</f>
        <v>3</v>
      </c>
      <c r="W5">
        <f>SUMIF(RecoveredRaw!$B:$B,$A5,RecoveredRaw!Z:Z)</f>
        <v>7</v>
      </c>
      <c r="X5">
        <f>SUMIF(RecoveredRaw!$B:$B,$A5,RecoveredRaw!AA:AA)</f>
        <v>7</v>
      </c>
      <c r="Y5">
        <f>SUMIF(RecoveredRaw!$B:$B,$A5,RecoveredRaw!AB:AB)</f>
        <v>7</v>
      </c>
      <c r="Z5">
        <f>SUMIF(RecoveredRaw!$B:$B,$A5,RecoveredRaw!AC:AC)</f>
        <v>9</v>
      </c>
      <c r="AA5">
        <f>SUMIF(RecoveredRaw!$B:$B,$A5,RecoveredRaw!AD:AD)</f>
        <v>9</v>
      </c>
      <c r="AB5">
        <f>SUMIF(RecoveredRaw!$B:$B,$A5,RecoveredRaw!AE:AE)</f>
        <v>10</v>
      </c>
      <c r="AC5">
        <f>SUMIF(RecoveredRaw!$B:$B,$A5,RecoveredRaw!AF:AF)</f>
        <v>12</v>
      </c>
      <c r="AD5">
        <f>SUMIF(RecoveredRaw!$B:$B,$A5,RecoveredRaw!AG:AG)</f>
        <v>12</v>
      </c>
      <c r="AE5">
        <f>SUMIF(RecoveredRaw!$B:$B,$A5,RecoveredRaw!AH:AH)</f>
        <v>16</v>
      </c>
      <c r="AF5">
        <f>SUMIF(RecoveredRaw!$B:$B,$A5,RecoveredRaw!AI:AI)</f>
        <v>16</v>
      </c>
      <c r="AG5">
        <f>SUMIF(RecoveredRaw!$B:$B,$A5,RecoveredRaw!AJ:AJ)</f>
        <v>16</v>
      </c>
      <c r="AH5">
        <f>SUMIF(RecoveredRaw!$B:$B,$A5,RecoveredRaw!AK:AK)</f>
        <v>18</v>
      </c>
      <c r="AI5">
        <f>SUMIF(RecoveredRaw!$B:$B,$A5,RecoveredRaw!AL:AL)</f>
        <v>18</v>
      </c>
      <c r="AJ5">
        <f>SUMIF(RecoveredRaw!$B:$B,$A5,RecoveredRaw!AM:AM)</f>
        <v>22</v>
      </c>
      <c r="AK5">
        <f>SUMIF(RecoveredRaw!$B:$B,$A5,RecoveredRaw!AN:AN)</f>
        <v>22</v>
      </c>
      <c r="AL5">
        <f>SUMIF(RecoveredRaw!$B:$B,$A5,RecoveredRaw!AO:AO)</f>
        <v>22</v>
      </c>
      <c r="AM5">
        <f>SUMIF(RecoveredRaw!$B:$B,$A5,RecoveredRaw!AP:AP)</f>
        <v>22</v>
      </c>
      <c r="AN5">
        <f>SUMIF(RecoveredRaw!$B:$B,$A5,RecoveredRaw!AQ:AQ)</f>
        <v>27</v>
      </c>
      <c r="AO5">
        <f>SUMIF(RecoveredRaw!$B:$B,$A5,RecoveredRaw!AR:AR)</f>
        <v>30</v>
      </c>
      <c r="AP5">
        <f>SUMIF(RecoveredRaw!$B:$B,$A5,RecoveredRaw!AS:AS)</f>
        <v>30</v>
      </c>
      <c r="AQ5">
        <f>SUMIF(RecoveredRaw!$B:$B,$A5,RecoveredRaw!AT:AT)</f>
        <v>30</v>
      </c>
      <c r="AR5">
        <f>SUMIF(RecoveredRaw!$B:$B,$A5,RecoveredRaw!AU:AU)</f>
        <v>41</v>
      </c>
      <c r="AS5">
        <f>SUMIF(RecoveredRaw!$B:$B,$A5,RecoveredRaw!AV:AV)</f>
        <v>41</v>
      </c>
      <c r="AT5">
        <f>SUMIF(RecoveredRaw!$B:$B,$A5,RecoveredRaw!AW:AW)</f>
        <v>135</v>
      </c>
      <c r="AU5">
        <f>SUMIF(RecoveredRaw!$B:$B,$A5,RecoveredRaw!AX:AX)</f>
        <v>135</v>
      </c>
      <c r="AV5">
        <f>SUMIF(RecoveredRaw!$B:$B,$A5,RecoveredRaw!AY:AY)</f>
        <v>118</v>
      </c>
      <c r="AW5">
        <f>SUMIF(RecoveredRaw!$B:$B,$A5,RecoveredRaw!AZ:AZ)</f>
        <v>118</v>
      </c>
      <c r="AX5">
        <f>SUMIF(RecoveredRaw!$B:$B,$A5,RecoveredRaw!BA:BA)</f>
        <v>247</v>
      </c>
      <c r="AY5">
        <f>SUMIF(RecoveredRaw!$B:$B,$A5,RecoveredRaw!BB:BB)</f>
        <v>288</v>
      </c>
      <c r="AZ5">
        <f>SUMIF(RecoveredRaw!$B:$B,$A5,RecoveredRaw!BC:BC)</f>
        <v>333</v>
      </c>
      <c r="BA5">
        <f>SUMIF(RecoveredRaw!$B:$B,$A5,RecoveredRaw!BD:BD)</f>
        <v>510</v>
      </c>
      <c r="BB5">
        <f>SUMIF(RecoveredRaw!$B:$B,$A5,RecoveredRaw!BE:BE)</f>
        <v>510</v>
      </c>
      <c r="BC5">
        <f>SUMIF(RecoveredRaw!$B:$B,$A5,RecoveredRaw!BF:BF)</f>
        <v>510</v>
      </c>
      <c r="BD5">
        <f>SUMIF(RecoveredRaw!$B:$B,$A5,RecoveredRaw!BG:BG)</f>
        <v>1137</v>
      </c>
      <c r="BE5">
        <f>SUMIF(RecoveredRaw!$B:$B,$A5,RecoveredRaw!BH:BH)</f>
        <v>1407</v>
      </c>
      <c r="BF5">
        <f>SUMIF(RecoveredRaw!$B:$B,$A5,RecoveredRaw!BI:BI)</f>
        <v>1540</v>
      </c>
      <c r="BG5">
        <f>SUMIF(RecoveredRaw!$B:$B,$A5,RecoveredRaw!BJ:BJ)</f>
        <v>1540</v>
      </c>
      <c r="BH5">
        <f>SUMIF(RecoveredRaw!$B:$B,$A5,RecoveredRaw!BK:BK)</f>
        <v>1540</v>
      </c>
      <c r="BI5">
        <f>SUMIF(RecoveredRaw!$B:$B,$A5,RecoveredRaw!BL:BL)</f>
        <v>0</v>
      </c>
      <c r="BJ5">
        <f>SUMIF(RecoveredRaw!$B:$B,$A5,RecoveredRaw!BM:BM)</f>
        <v>0</v>
      </c>
      <c r="BK5">
        <f>SUMIF(RecoveredRaw!$B:$B,$A5,RecoveredRaw!BN:BN)</f>
        <v>0</v>
      </c>
      <c r="BL5">
        <f>SUMIF(RecoveredRaw!$B:$B,$A5,RecoveredRaw!BO:BO)</f>
        <v>0</v>
      </c>
      <c r="BM5">
        <f>SUMIF(RecoveredRaw!$B:$B,$A5,RecoveredRaw!BP:BP)</f>
        <v>0</v>
      </c>
      <c r="BN5">
        <f>SUMIF(RecoveredRaw!$B:$B,$A5,RecoveredRaw!BQ:BQ)</f>
        <v>0</v>
      </c>
      <c r="BO5">
        <f>SUMIF(RecoveredRaw!$B:$B,$A5,RecoveredRaw!BR:BR)</f>
        <v>0</v>
      </c>
      <c r="BP5">
        <f>SUMIF(RecoveredRaw!$B:$B,$A5,RecoveredRaw!BS:BS)</f>
        <v>0</v>
      </c>
      <c r="BQ5">
        <f>SUMIF(RecoveredRaw!$B:$B,$A5,RecoveredRaw!BT:BT)</f>
        <v>0</v>
      </c>
      <c r="BR5">
        <f>SUMIF(RecoveredRaw!$B:$B,$A5,RecoveredRaw!BU:BU)</f>
        <v>0</v>
      </c>
      <c r="BS5">
        <f>SUMIF(RecoveredRaw!$B:$B,$A5,RecoveredRaw!BV:BV)</f>
        <v>0</v>
      </c>
      <c r="BT5">
        <f>SUMIF(RecoveredRaw!$B:$B,$A5,RecoveredRaw!BW:BW)</f>
        <v>0</v>
      </c>
    </row>
    <row r="6" spans="1:72" ht="15" thickBot="1" x14ac:dyDescent="0.35">
      <c r="A6" s="3" t="s">
        <v>60</v>
      </c>
      <c r="B6">
        <f>SUMIF(RecoveredRaw!$B:$B,$A6,RecoveredRaw!E:E)</f>
        <v>0</v>
      </c>
      <c r="C6">
        <f>SUMIF(RecoveredRaw!$B:$B,$A6,RecoveredRaw!F:F)</f>
        <v>0</v>
      </c>
      <c r="D6">
        <f>SUMIF(RecoveredRaw!$B:$B,$A6,RecoveredRaw!G:G)</f>
        <v>0</v>
      </c>
      <c r="E6">
        <f>SUMIF(RecoveredRaw!$B:$B,$A6,RecoveredRaw!H:H)</f>
        <v>0</v>
      </c>
      <c r="F6">
        <f>SUMIF(RecoveredRaw!$B:$B,$A6,RecoveredRaw!I:I)</f>
        <v>0</v>
      </c>
      <c r="G6">
        <f>SUMIF(RecoveredRaw!$B:$B,$A6,RecoveredRaw!J:J)</f>
        <v>0</v>
      </c>
      <c r="H6">
        <f>SUMIF(RecoveredRaw!$B:$B,$A6,RecoveredRaw!K:K)</f>
        <v>0</v>
      </c>
      <c r="I6">
        <f>SUMIF(RecoveredRaw!$B:$B,$A6,RecoveredRaw!L:L)</f>
        <v>0</v>
      </c>
      <c r="J6">
        <f>SUMIF(RecoveredRaw!$B:$B,$A6,RecoveredRaw!M:M)</f>
        <v>0</v>
      </c>
      <c r="K6">
        <f>SUMIF(RecoveredRaw!$B:$B,$A6,RecoveredRaw!N:N)</f>
        <v>0</v>
      </c>
      <c r="L6">
        <f>SUMIF(RecoveredRaw!$B:$B,$A6,RecoveredRaw!O:O)</f>
        <v>0</v>
      </c>
      <c r="M6">
        <f>SUMIF(RecoveredRaw!$B:$B,$A6,RecoveredRaw!P:P)</f>
        <v>0</v>
      </c>
      <c r="N6">
        <f>SUMIF(RecoveredRaw!$B:$B,$A6,RecoveredRaw!Q:Q)</f>
        <v>0</v>
      </c>
      <c r="O6">
        <f>SUMIF(RecoveredRaw!$B:$B,$A6,RecoveredRaw!R:R)</f>
        <v>0</v>
      </c>
      <c r="P6">
        <f>SUMIF(RecoveredRaw!$B:$B,$A6,RecoveredRaw!S:S)</f>
        <v>0</v>
      </c>
      <c r="Q6">
        <f>SUMIF(RecoveredRaw!$B:$B,$A6,RecoveredRaw!T:T)</f>
        <v>0</v>
      </c>
      <c r="R6">
        <f>SUMIF(RecoveredRaw!$B:$B,$A6,RecoveredRaw!U:U)</f>
        <v>0</v>
      </c>
      <c r="S6">
        <f>SUMIF(RecoveredRaw!$B:$B,$A6,RecoveredRaw!V:V)</f>
        <v>0</v>
      </c>
      <c r="T6">
        <f>SUMIF(RecoveredRaw!$B:$B,$A6,RecoveredRaw!W:W)</f>
        <v>0</v>
      </c>
      <c r="U6">
        <f>SUMIF(RecoveredRaw!$B:$B,$A6,RecoveredRaw!X:X)</f>
        <v>0</v>
      </c>
      <c r="V6">
        <f>SUMIF(RecoveredRaw!$B:$B,$A6,RecoveredRaw!Y:Y)</f>
        <v>0</v>
      </c>
      <c r="W6">
        <f>SUMIF(RecoveredRaw!$B:$B,$A6,RecoveredRaw!Z:Z)</f>
        <v>0</v>
      </c>
      <c r="X6">
        <f>SUMIF(RecoveredRaw!$B:$B,$A6,RecoveredRaw!AA:AA)</f>
        <v>0</v>
      </c>
      <c r="Y6">
        <f>SUMIF(RecoveredRaw!$B:$B,$A6,RecoveredRaw!AB:AB)</f>
        <v>0</v>
      </c>
      <c r="Z6">
        <f>SUMIF(RecoveredRaw!$B:$B,$A6,RecoveredRaw!AC:AC)</f>
        <v>2</v>
      </c>
      <c r="AA6">
        <f>SUMIF(RecoveredRaw!$B:$B,$A6,RecoveredRaw!AD:AD)</f>
        <v>2</v>
      </c>
      <c r="AB6">
        <f>SUMIF(RecoveredRaw!$B:$B,$A6,RecoveredRaw!AE:AE)</f>
        <v>2</v>
      </c>
      <c r="AC6">
        <f>SUMIF(RecoveredRaw!$B:$B,$A6,RecoveredRaw!AF:AF)</f>
        <v>2</v>
      </c>
      <c r="AD6">
        <f>SUMIF(RecoveredRaw!$B:$B,$A6,RecoveredRaw!AG:AG)</f>
        <v>2</v>
      </c>
      <c r="AE6">
        <f>SUMIF(RecoveredRaw!$B:$B,$A6,RecoveredRaw!AH:AH)</f>
        <v>2</v>
      </c>
      <c r="AF6">
        <f>SUMIF(RecoveredRaw!$B:$B,$A6,RecoveredRaw!AI:AI)</f>
        <v>2</v>
      </c>
      <c r="AG6">
        <f>SUMIF(RecoveredRaw!$B:$B,$A6,RecoveredRaw!AJ:AJ)</f>
        <v>2</v>
      </c>
      <c r="AH6">
        <f>SUMIF(RecoveredRaw!$B:$B,$A6,RecoveredRaw!AK:AK)</f>
        <v>2</v>
      </c>
      <c r="AI6">
        <f>SUMIF(RecoveredRaw!$B:$B,$A6,RecoveredRaw!AL:AL)</f>
        <v>2</v>
      </c>
      <c r="AJ6">
        <f>SUMIF(RecoveredRaw!$B:$B,$A6,RecoveredRaw!AM:AM)</f>
        <v>2</v>
      </c>
      <c r="AK6">
        <f>SUMIF(RecoveredRaw!$B:$B,$A6,RecoveredRaw!AN:AN)</f>
        <v>2</v>
      </c>
      <c r="AL6">
        <f>SUMIF(RecoveredRaw!$B:$B,$A6,RecoveredRaw!AO:AO)</f>
        <v>2</v>
      </c>
      <c r="AM6">
        <f>SUMIF(RecoveredRaw!$B:$B,$A6,RecoveredRaw!AP:AP)</f>
        <v>2</v>
      </c>
      <c r="AN6">
        <f>SUMIF(RecoveredRaw!$B:$B,$A6,RecoveredRaw!AQ:AQ)</f>
        <v>2</v>
      </c>
      <c r="AO6">
        <f>SUMIF(RecoveredRaw!$B:$B,$A6,RecoveredRaw!AR:AR)</f>
        <v>2</v>
      </c>
      <c r="AP6">
        <f>SUMIF(RecoveredRaw!$B:$B,$A6,RecoveredRaw!AS:AS)</f>
        <v>2</v>
      </c>
      <c r="AQ6">
        <f>SUMIF(RecoveredRaw!$B:$B,$A6,RecoveredRaw!AT:AT)</f>
        <v>2</v>
      </c>
      <c r="AR6">
        <f>SUMIF(RecoveredRaw!$B:$B,$A6,RecoveredRaw!AU:AU)</f>
        <v>2</v>
      </c>
      <c r="AS6">
        <f>SUMIF(RecoveredRaw!$B:$B,$A6,RecoveredRaw!AV:AV)</f>
        <v>2</v>
      </c>
      <c r="AT6">
        <f>SUMIF(RecoveredRaw!$B:$B,$A6,RecoveredRaw!AW:AW)</f>
        <v>2</v>
      </c>
      <c r="AU6">
        <f>SUMIF(RecoveredRaw!$B:$B,$A6,RecoveredRaw!AX:AX)</f>
        <v>30</v>
      </c>
      <c r="AV6">
        <f>SUMIF(RecoveredRaw!$B:$B,$A6,RecoveredRaw!AY:AY)</f>
        <v>30</v>
      </c>
      <c r="AW6">
        <f>SUMIF(RecoveredRaw!$B:$B,$A6,RecoveredRaw!AZ:AZ)</f>
        <v>32</v>
      </c>
      <c r="AX6">
        <f>SUMIF(RecoveredRaw!$B:$B,$A6,RecoveredRaw!BA:BA)</f>
        <v>32</v>
      </c>
      <c r="AY6">
        <f>SUMIF(RecoveredRaw!$B:$B,$A6,RecoveredRaw!BB:BB)</f>
        <v>183</v>
      </c>
      <c r="AZ6">
        <f>SUMIF(RecoveredRaw!$B:$B,$A6,RecoveredRaw!BC:BC)</f>
        <v>183</v>
      </c>
      <c r="BA6">
        <f>SUMIF(RecoveredRaw!$B:$B,$A6,RecoveredRaw!BD:BD)</f>
        <v>193</v>
      </c>
      <c r="BB6">
        <f>SUMIF(RecoveredRaw!$B:$B,$A6,RecoveredRaw!BE:BE)</f>
        <v>517</v>
      </c>
      <c r="BC6">
        <f>SUMIF(RecoveredRaw!$B:$B,$A6,RecoveredRaw!BF:BF)</f>
        <v>517</v>
      </c>
      <c r="BD6">
        <f>SUMIF(RecoveredRaw!$B:$B,$A6,RecoveredRaw!BG:BG)</f>
        <v>530</v>
      </c>
      <c r="BE6">
        <f>SUMIF(RecoveredRaw!$B:$B,$A6,RecoveredRaw!BH:BH)</f>
        <v>1028</v>
      </c>
      <c r="BF6">
        <f>SUMIF(RecoveredRaw!$B:$B,$A6,RecoveredRaw!BI:BI)</f>
        <v>1081</v>
      </c>
      <c r="BG6">
        <f>SUMIF(RecoveredRaw!$B:$B,$A6,RecoveredRaw!BJ:BJ)</f>
        <v>1107</v>
      </c>
      <c r="BH6">
        <f>SUMIF(RecoveredRaw!$B:$B,$A6,RecoveredRaw!BK:BK)</f>
        <v>1588</v>
      </c>
      <c r="BI6">
        <f>SUMIF(RecoveredRaw!$B:$B,$A6,RecoveredRaw!BL:BL)</f>
        <v>0</v>
      </c>
      <c r="BJ6">
        <f>SUMIF(RecoveredRaw!$B:$B,$A6,RecoveredRaw!BM:BM)</f>
        <v>0</v>
      </c>
      <c r="BK6">
        <f>SUMIF(RecoveredRaw!$B:$B,$A6,RecoveredRaw!BN:BN)</f>
        <v>0</v>
      </c>
      <c r="BL6">
        <f>SUMIF(RecoveredRaw!$B:$B,$A6,RecoveredRaw!BO:BO)</f>
        <v>0</v>
      </c>
      <c r="BM6">
        <f>SUMIF(RecoveredRaw!$B:$B,$A6,RecoveredRaw!BP:BP)</f>
        <v>0</v>
      </c>
      <c r="BN6">
        <f>SUMIF(RecoveredRaw!$B:$B,$A6,RecoveredRaw!BQ:BQ)</f>
        <v>0</v>
      </c>
      <c r="BO6">
        <f>SUMIF(RecoveredRaw!$B:$B,$A6,RecoveredRaw!BR:BR)</f>
        <v>0</v>
      </c>
      <c r="BP6">
        <f>SUMIF(RecoveredRaw!$B:$B,$A6,RecoveredRaw!BS:BS)</f>
        <v>0</v>
      </c>
      <c r="BQ6">
        <f>SUMIF(RecoveredRaw!$B:$B,$A6,RecoveredRaw!BT:BT)</f>
        <v>0</v>
      </c>
      <c r="BR6">
        <f>SUMIF(RecoveredRaw!$B:$B,$A6,RecoveredRaw!BU:BU)</f>
        <v>0</v>
      </c>
      <c r="BS6">
        <f>SUMIF(RecoveredRaw!$B:$B,$A6,RecoveredRaw!BV:BV)</f>
        <v>0</v>
      </c>
      <c r="BT6">
        <f>SUMIF(RecoveredRaw!$B:$B,$A6,RecoveredRaw!BW:BW)</f>
        <v>0</v>
      </c>
    </row>
    <row r="7" spans="1:72" ht="15" thickBot="1" x14ac:dyDescent="0.35">
      <c r="A7" s="4" t="s">
        <v>53</v>
      </c>
      <c r="B7">
        <f>SUMIF(RecoveredRaw!$B:$B,$A7,RecoveredRaw!E:E)</f>
        <v>0</v>
      </c>
      <c r="C7">
        <f>SUMIF(RecoveredRaw!$B:$B,$A7,RecoveredRaw!F:F)</f>
        <v>0</v>
      </c>
      <c r="D7">
        <f>SUMIF(RecoveredRaw!$B:$B,$A7,RecoveredRaw!G:G)</f>
        <v>0</v>
      </c>
      <c r="E7">
        <f>SUMIF(RecoveredRaw!$B:$B,$A7,RecoveredRaw!H:H)</f>
        <v>0</v>
      </c>
      <c r="F7">
        <f>SUMIF(RecoveredRaw!$B:$B,$A7,RecoveredRaw!I:I)</f>
        <v>0</v>
      </c>
      <c r="G7">
        <f>SUMIF(RecoveredRaw!$B:$B,$A7,RecoveredRaw!J:J)</f>
        <v>0</v>
      </c>
      <c r="H7">
        <f>SUMIF(RecoveredRaw!$B:$B,$A7,RecoveredRaw!K:K)</f>
        <v>0</v>
      </c>
      <c r="I7">
        <f>SUMIF(RecoveredRaw!$B:$B,$A7,RecoveredRaw!L:L)</f>
        <v>0</v>
      </c>
      <c r="J7">
        <f>SUMIF(RecoveredRaw!$B:$B,$A7,RecoveredRaw!M:M)</f>
        <v>0</v>
      </c>
      <c r="K7">
        <f>SUMIF(RecoveredRaw!$B:$B,$A7,RecoveredRaw!N:N)</f>
        <v>0</v>
      </c>
      <c r="L7">
        <f>SUMIF(RecoveredRaw!$B:$B,$A7,RecoveredRaw!O:O)</f>
        <v>0</v>
      </c>
      <c r="M7">
        <f>SUMIF(RecoveredRaw!$B:$B,$A7,RecoveredRaw!P:P)</f>
        <v>0</v>
      </c>
      <c r="N7">
        <f>SUMIF(RecoveredRaw!$B:$B,$A7,RecoveredRaw!Q:Q)</f>
        <v>0</v>
      </c>
      <c r="O7">
        <f>SUMIF(RecoveredRaw!$B:$B,$A7,RecoveredRaw!R:R)</f>
        <v>0</v>
      </c>
      <c r="P7">
        <f>SUMIF(RecoveredRaw!$B:$B,$A7,RecoveredRaw!S:S)</f>
        <v>0</v>
      </c>
      <c r="Q7">
        <f>SUMIF(RecoveredRaw!$B:$B,$A7,RecoveredRaw!T:T)</f>
        <v>0</v>
      </c>
      <c r="R7">
        <f>SUMIF(RecoveredRaw!$B:$B,$A7,RecoveredRaw!U:U)</f>
        <v>0</v>
      </c>
      <c r="S7">
        <f>SUMIF(RecoveredRaw!$B:$B,$A7,RecoveredRaw!V:V)</f>
        <v>0</v>
      </c>
      <c r="T7">
        <f>SUMIF(RecoveredRaw!$B:$B,$A7,RecoveredRaw!W:W)</f>
        <v>0</v>
      </c>
      <c r="U7">
        <f>SUMIF(RecoveredRaw!$B:$B,$A7,RecoveredRaw!X:X)</f>
        <v>0</v>
      </c>
      <c r="V7">
        <f>SUMIF(RecoveredRaw!$B:$B,$A7,RecoveredRaw!Y:Y)</f>
        <v>0</v>
      </c>
      <c r="W7">
        <f>SUMIF(RecoveredRaw!$B:$B,$A7,RecoveredRaw!Z:Z)</f>
        <v>0</v>
      </c>
      <c r="X7">
        <f>SUMIF(RecoveredRaw!$B:$B,$A7,RecoveredRaw!AA:AA)</f>
        <v>1</v>
      </c>
      <c r="Y7">
        <f>SUMIF(RecoveredRaw!$B:$B,$A7,RecoveredRaw!AB:AB)</f>
        <v>1</v>
      </c>
      <c r="Z7">
        <f>SUMIF(RecoveredRaw!$B:$B,$A7,RecoveredRaw!AC:AC)</f>
        <v>1</v>
      </c>
      <c r="AA7">
        <f>SUMIF(RecoveredRaw!$B:$B,$A7,RecoveredRaw!AD:AD)</f>
        <v>1</v>
      </c>
      <c r="AB7">
        <f>SUMIF(RecoveredRaw!$B:$B,$A7,RecoveredRaw!AE:AE)</f>
        <v>1</v>
      </c>
      <c r="AC7">
        <f>SUMIF(RecoveredRaw!$B:$B,$A7,RecoveredRaw!AF:AF)</f>
        <v>12</v>
      </c>
      <c r="AD7">
        <f>SUMIF(RecoveredRaw!$B:$B,$A7,RecoveredRaw!AG:AG)</f>
        <v>12</v>
      </c>
      <c r="AE7">
        <f>SUMIF(RecoveredRaw!$B:$B,$A7,RecoveredRaw!AH:AH)</f>
        <v>12</v>
      </c>
      <c r="AF7">
        <f>SUMIF(RecoveredRaw!$B:$B,$A7,RecoveredRaw!AI:AI)</f>
        <v>14</v>
      </c>
      <c r="AG7">
        <f>SUMIF(RecoveredRaw!$B:$B,$A7,RecoveredRaw!AJ:AJ)</f>
        <v>14</v>
      </c>
      <c r="AH7">
        <f>SUMIF(RecoveredRaw!$B:$B,$A7,RecoveredRaw!AK:AK)</f>
        <v>14</v>
      </c>
      <c r="AI7">
        <f>SUMIF(RecoveredRaw!$B:$B,$A7,RecoveredRaw!AL:AL)</f>
        <v>14</v>
      </c>
      <c r="AJ7">
        <f>SUMIF(RecoveredRaw!$B:$B,$A7,RecoveredRaw!AM:AM)</f>
        <v>14</v>
      </c>
      <c r="AK7">
        <f>SUMIF(RecoveredRaw!$B:$B,$A7,RecoveredRaw!AN:AN)</f>
        <v>15</v>
      </c>
      <c r="AL7">
        <f>SUMIF(RecoveredRaw!$B:$B,$A7,RecoveredRaw!AO:AO)</f>
        <v>16</v>
      </c>
      <c r="AM7">
        <f>SUMIF(RecoveredRaw!$B:$B,$A7,RecoveredRaw!AP:AP)</f>
        <v>16</v>
      </c>
      <c r="AN7">
        <f>SUMIF(RecoveredRaw!$B:$B,$A7,RecoveredRaw!AQ:AQ)</f>
        <v>16</v>
      </c>
      <c r="AO7">
        <f>SUMIF(RecoveredRaw!$B:$B,$A7,RecoveredRaw!AR:AR)</f>
        <v>16</v>
      </c>
      <c r="AP7">
        <f>SUMIF(RecoveredRaw!$B:$B,$A7,RecoveredRaw!AS:AS)</f>
        <v>16</v>
      </c>
      <c r="AQ7">
        <f>SUMIF(RecoveredRaw!$B:$B,$A7,RecoveredRaw!AT:AT)</f>
        <v>16</v>
      </c>
      <c r="AR7">
        <f>SUMIF(RecoveredRaw!$B:$B,$A7,RecoveredRaw!AU:AU)</f>
        <v>16</v>
      </c>
      <c r="AS7">
        <f>SUMIF(RecoveredRaw!$B:$B,$A7,RecoveredRaw!AV:AV)</f>
        <v>16</v>
      </c>
      <c r="AT7">
        <f>SUMIF(RecoveredRaw!$B:$B,$A7,RecoveredRaw!AW:AW)</f>
        <v>17</v>
      </c>
      <c r="AU7">
        <f>SUMIF(RecoveredRaw!$B:$B,$A7,RecoveredRaw!AX:AX)</f>
        <v>18</v>
      </c>
      <c r="AV7">
        <f>SUMIF(RecoveredRaw!$B:$B,$A7,RecoveredRaw!AY:AY)</f>
        <v>18</v>
      </c>
      <c r="AW7">
        <f>SUMIF(RecoveredRaw!$B:$B,$A7,RecoveredRaw!AZ:AZ)</f>
        <v>18</v>
      </c>
      <c r="AX7">
        <f>SUMIF(RecoveredRaw!$B:$B,$A7,RecoveredRaw!BA:BA)</f>
        <v>18</v>
      </c>
      <c r="AY7">
        <f>SUMIF(RecoveredRaw!$B:$B,$A7,RecoveredRaw!BB:BB)</f>
        <v>25</v>
      </c>
      <c r="AZ7">
        <f>SUMIF(RecoveredRaw!$B:$B,$A7,RecoveredRaw!BC:BC)</f>
        <v>25</v>
      </c>
      <c r="BA7">
        <f>SUMIF(RecoveredRaw!$B:$B,$A7,RecoveredRaw!BD:BD)</f>
        <v>46</v>
      </c>
      <c r="BB7">
        <f>SUMIF(RecoveredRaw!$B:$B,$A7,RecoveredRaw!BE:BE)</f>
        <v>46</v>
      </c>
      <c r="BC7">
        <f>SUMIF(RecoveredRaw!$B:$B,$A7,RecoveredRaw!BF:BF)</f>
        <v>46</v>
      </c>
      <c r="BD7">
        <f>SUMIF(RecoveredRaw!$B:$B,$A7,RecoveredRaw!BG:BG)</f>
        <v>67</v>
      </c>
      <c r="BE7">
        <f>SUMIF(RecoveredRaw!$B:$B,$A7,RecoveredRaw!BH:BH)</f>
        <v>67</v>
      </c>
      <c r="BF7">
        <f>SUMIF(RecoveredRaw!$B:$B,$A7,RecoveredRaw!BI:BI)</f>
        <v>105</v>
      </c>
      <c r="BG7">
        <f>SUMIF(RecoveredRaw!$B:$B,$A7,RecoveredRaw!BJ:BJ)</f>
        <v>113</v>
      </c>
      <c r="BH7">
        <f>SUMIF(RecoveredRaw!$B:$B,$A7,RecoveredRaw!BK:BK)</f>
        <v>180</v>
      </c>
      <c r="BI7">
        <f>SUMIF(RecoveredRaw!$B:$B,$A7,RecoveredRaw!BL:BL)</f>
        <v>0</v>
      </c>
      <c r="BJ7">
        <f>SUMIF(RecoveredRaw!$B:$B,$A7,RecoveredRaw!BM:BM)</f>
        <v>0</v>
      </c>
      <c r="BK7">
        <f>SUMIF(RecoveredRaw!$B:$B,$A7,RecoveredRaw!BN:BN)</f>
        <v>0</v>
      </c>
      <c r="BL7">
        <f>SUMIF(RecoveredRaw!$B:$B,$A7,RecoveredRaw!BO:BO)</f>
        <v>0</v>
      </c>
      <c r="BM7">
        <f>SUMIF(RecoveredRaw!$B:$B,$A7,RecoveredRaw!BP:BP)</f>
        <v>0</v>
      </c>
      <c r="BN7">
        <f>SUMIF(RecoveredRaw!$B:$B,$A7,RecoveredRaw!BQ:BQ)</f>
        <v>0</v>
      </c>
      <c r="BO7">
        <f>SUMIF(RecoveredRaw!$B:$B,$A7,RecoveredRaw!BR:BR)</f>
        <v>0</v>
      </c>
      <c r="BP7">
        <f>SUMIF(RecoveredRaw!$B:$B,$A7,RecoveredRaw!BS:BS)</f>
        <v>0</v>
      </c>
      <c r="BQ7">
        <f>SUMIF(RecoveredRaw!$B:$B,$A7,RecoveredRaw!BT:BT)</f>
        <v>0</v>
      </c>
      <c r="BR7">
        <f>SUMIF(RecoveredRaw!$B:$B,$A7,RecoveredRaw!BU:BU)</f>
        <v>0</v>
      </c>
      <c r="BS7">
        <f>SUMIF(RecoveredRaw!$B:$B,$A7,RecoveredRaw!BV:BV)</f>
        <v>0</v>
      </c>
      <c r="BT7">
        <f>SUMIF(RecoveredRaw!$B:$B,$A7,RecoveredRaw!BW:BW)</f>
        <v>0</v>
      </c>
    </row>
    <row r="8" spans="1:72" ht="15" thickBot="1" x14ac:dyDescent="0.35">
      <c r="A8" s="4" t="s">
        <v>41</v>
      </c>
      <c r="B8">
        <f>SUMIF(RecoveredRaw!$B:$B,$A8,RecoveredRaw!E:E)</f>
        <v>0</v>
      </c>
      <c r="C8">
        <f>SUMIF(RecoveredRaw!$B:$B,$A8,RecoveredRaw!F:F)</f>
        <v>0</v>
      </c>
      <c r="D8">
        <f>SUMIF(RecoveredRaw!$B:$B,$A8,RecoveredRaw!G:G)</f>
        <v>0</v>
      </c>
      <c r="E8">
        <f>SUMIF(RecoveredRaw!$B:$B,$A8,RecoveredRaw!H:H)</f>
        <v>0</v>
      </c>
      <c r="F8">
        <f>SUMIF(RecoveredRaw!$B:$B,$A8,RecoveredRaw!I:I)</f>
        <v>0</v>
      </c>
      <c r="G8">
        <f>SUMIF(RecoveredRaw!$B:$B,$A8,RecoveredRaw!J:J)</f>
        <v>0</v>
      </c>
      <c r="H8">
        <f>SUMIF(RecoveredRaw!$B:$B,$A8,RecoveredRaw!K:K)</f>
        <v>0</v>
      </c>
      <c r="I8">
        <f>SUMIF(RecoveredRaw!$B:$B,$A8,RecoveredRaw!L:L)</f>
        <v>0</v>
      </c>
      <c r="J8">
        <f>SUMIF(RecoveredRaw!$B:$B,$A8,RecoveredRaw!M:M)</f>
        <v>0</v>
      </c>
      <c r="K8">
        <f>SUMIF(RecoveredRaw!$B:$B,$A8,RecoveredRaw!N:N)</f>
        <v>0</v>
      </c>
      <c r="L8">
        <f>SUMIF(RecoveredRaw!$B:$B,$A8,RecoveredRaw!O:O)</f>
        <v>0</v>
      </c>
      <c r="M8">
        <f>SUMIF(RecoveredRaw!$B:$B,$A8,RecoveredRaw!P:P)</f>
        <v>0</v>
      </c>
      <c r="N8">
        <f>SUMIF(RecoveredRaw!$B:$B,$A8,RecoveredRaw!Q:Q)</f>
        <v>0</v>
      </c>
      <c r="O8">
        <f>SUMIF(RecoveredRaw!$B:$B,$A8,RecoveredRaw!R:R)</f>
        <v>0</v>
      </c>
      <c r="P8">
        <f>SUMIF(RecoveredRaw!$B:$B,$A8,RecoveredRaw!S:S)</f>
        <v>0</v>
      </c>
      <c r="Q8">
        <f>SUMIF(RecoveredRaw!$B:$B,$A8,RecoveredRaw!T:T)</f>
        <v>0</v>
      </c>
      <c r="R8">
        <f>SUMIF(RecoveredRaw!$B:$B,$A8,RecoveredRaw!U:U)</f>
        <v>0</v>
      </c>
      <c r="S8">
        <f>SUMIF(RecoveredRaw!$B:$B,$A8,RecoveredRaw!V:V)</f>
        <v>0</v>
      </c>
      <c r="T8">
        <f>SUMIF(RecoveredRaw!$B:$B,$A8,RecoveredRaw!W:W)</f>
        <v>0</v>
      </c>
      <c r="U8">
        <f>SUMIF(RecoveredRaw!$B:$B,$A8,RecoveredRaw!X:X)</f>
        <v>0</v>
      </c>
      <c r="V8">
        <f>SUMIF(RecoveredRaw!$B:$B,$A8,RecoveredRaw!Y:Y)</f>
        <v>0</v>
      </c>
      <c r="W8">
        <f>SUMIF(RecoveredRaw!$B:$B,$A8,RecoveredRaw!Z:Z)</f>
        <v>2</v>
      </c>
      <c r="X8">
        <f>SUMIF(RecoveredRaw!$B:$B,$A8,RecoveredRaw!AA:AA)</f>
        <v>2</v>
      </c>
      <c r="Y8">
        <f>SUMIF(RecoveredRaw!$B:$B,$A8,RecoveredRaw!AB:AB)</f>
        <v>2</v>
      </c>
      <c r="Z8">
        <f>SUMIF(RecoveredRaw!$B:$B,$A8,RecoveredRaw!AC:AC)</f>
        <v>4</v>
      </c>
      <c r="AA8">
        <f>SUMIF(RecoveredRaw!$B:$B,$A8,RecoveredRaw!AD:AD)</f>
        <v>4</v>
      </c>
      <c r="AB8">
        <f>SUMIF(RecoveredRaw!$B:$B,$A8,RecoveredRaw!AE:AE)</f>
        <v>4</v>
      </c>
      <c r="AC8">
        <f>SUMIF(RecoveredRaw!$B:$B,$A8,RecoveredRaw!AF:AF)</f>
        <v>4</v>
      </c>
      <c r="AD8">
        <f>SUMIF(RecoveredRaw!$B:$B,$A8,RecoveredRaw!AG:AG)</f>
        <v>4</v>
      </c>
      <c r="AE8">
        <f>SUMIF(RecoveredRaw!$B:$B,$A8,RecoveredRaw!AH:AH)</f>
        <v>4</v>
      </c>
      <c r="AF8">
        <f>SUMIF(RecoveredRaw!$B:$B,$A8,RecoveredRaw!AI:AI)</f>
        <v>4</v>
      </c>
      <c r="AG8">
        <f>SUMIF(RecoveredRaw!$B:$B,$A8,RecoveredRaw!AJ:AJ)</f>
        <v>4</v>
      </c>
      <c r="AH8">
        <f>SUMIF(RecoveredRaw!$B:$B,$A8,RecoveredRaw!AK:AK)</f>
        <v>4</v>
      </c>
      <c r="AI8">
        <f>SUMIF(RecoveredRaw!$B:$B,$A8,RecoveredRaw!AL:AL)</f>
        <v>4</v>
      </c>
      <c r="AJ8">
        <f>SUMIF(RecoveredRaw!$B:$B,$A8,RecoveredRaw!AM:AM)</f>
        <v>11</v>
      </c>
      <c r="AK8">
        <f>SUMIF(RecoveredRaw!$B:$B,$A8,RecoveredRaw!AN:AN)</f>
        <v>11</v>
      </c>
      <c r="AL8">
        <f>SUMIF(RecoveredRaw!$B:$B,$A8,RecoveredRaw!AO:AO)</f>
        <v>11</v>
      </c>
      <c r="AM8">
        <f>SUMIF(RecoveredRaw!$B:$B,$A8,RecoveredRaw!AP:AP)</f>
        <v>11</v>
      </c>
      <c r="AN8">
        <f>SUMIF(RecoveredRaw!$B:$B,$A8,RecoveredRaw!AQ:AQ)</f>
        <v>12</v>
      </c>
      <c r="AO8">
        <f>SUMIF(RecoveredRaw!$B:$B,$A8,RecoveredRaw!AR:AR)</f>
        <v>12</v>
      </c>
      <c r="AP8">
        <f>SUMIF(RecoveredRaw!$B:$B,$A8,RecoveredRaw!AS:AS)</f>
        <v>12</v>
      </c>
      <c r="AQ8">
        <f>SUMIF(RecoveredRaw!$B:$B,$A8,RecoveredRaw!AT:AT)</f>
        <v>12</v>
      </c>
      <c r="AR8">
        <f>SUMIF(RecoveredRaw!$B:$B,$A8,RecoveredRaw!AU:AU)</f>
        <v>12</v>
      </c>
      <c r="AS8">
        <f>SUMIF(RecoveredRaw!$B:$B,$A8,RecoveredRaw!AV:AV)</f>
        <v>12</v>
      </c>
      <c r="AT8">
        <f>SUMIF(RecoveredRaw!$B:$B,$A8,RecoveredRaw!AW:AW)</f>
        <v>12</v>
      </c>
      <c r="AU8">
        <f>SUMIF(RecoveredRaw!$B:$B,$A8,RecoveredRaw!AX:AX)</f>
        <v>12</v>
      </c>
      <c r="AV8">
        <f>SUMIF(RecoveredRaw!$B:$B,$A8,RecoveredRaw!AY:AY)</f>
        <v>12</v>
      </c>
      <c r="AW8">
        <f>SUMIF(RecoveredRaw!$B:$B,$A8,RecoveredRaw!AZ:AZ)</f>
        <v>12</v>
      </c>
      <c r="AX8">
        <f>SUMIF(RecoveredRaw!$B:$B,$A8,RecoveredRaw!BA:BA)</f>
        <v>12</v>
      </c>
      <c r="AY8">
        <f>SUMIF(RecoveredRaw!$B:$B,$A8,RecoveredRaw!BB:BB)</f>
        <v>12</v>
      </c>
      <c r="AZ8">
        <f>SUMIF(RecoveredRaw!$B:$B,$A8,RecoveredRaw!BC:BC)</f>
        <v>12</v>
      </c>
      <c r="BA8">
        <f>SUMIF(RecoveredRaw!$B:$B,$A8,RecoveredRaw!BD:BD)</f>
        <v>12</v>
      </c>
      <c r="BB8">
        <f>SUMIF(RecoveredRaw!$B:$B,$A8,RecoveredRaw!BE:BE)</f>
        <v>12</v>
      </c>
      <c r="BC8">
        <f>SUMIF(RecoveredRaw!$B:$B,$A8,RecoveredRaw!BF:BF)</f>
        <v>12</v>
      </c>
      <c r="BD8">
        <f>SUMIF(RecoveredRaw!$B:$B,$A8,RecoveredRaw!BG:BG)</f>
        <v>12</v>
      </c>
      <c r="BE8">
        <f>SUMIF(RecoveredRaw!$B:$B,$A8,RecoveredRaw!BH:BH)</f>
        <v>12</v>
      </c>
      <c r="BF8">
        <f>SUMIF(RecoveredRaw!$B:$B,$A8,RecoveredRaw!BI:BI)</f>
        <v>12</v>
      </c>
      <c r="BG8">
        <f>SUMIF(RecoveredRaw!$B:$B,$A8,RecoveredRaw!BJ:BJ)</f>
        <v>12</v>
      </c>
      <c r="BH8">
        <f>SUMIF(RecoveredRaw!$B:$B,$A8,RecoveredRaw!BK:BK)</f>
        <v>12</v>
      </c>
      <c r="BI8">
        <f>SUMIF(RecoveredRaw!$B:$B,$A8,RecoveredRaw!BL:BL)</f>
        <v>0</v>
      </c>
      <c r="BJ8">
        <f>SUMIF(RecoveredRaw!$B:$B,$A8,RecoveredRaw!BM:BM)</f>
        <v>0</v>
      </c>
      <c r="BK8">
        <f>SUMIF(RecoveredRaw!$B:$B,$A8,RecoveredRaw!BN:BN)</f>
        <v>0</v>
      </c>
      <c r="BL8">
        <f>SUMIF(RecoveredRaw!$B:$B,$A8,RecoveredRaw!BO:BO)</f>
        <v>0</v>
      </c>
      <c r="BM8">
        <f>SUMIF(RecoveredRaw!$B:$B,$A8,RecoveredRaw!BP:BP)</f>
        <v>0</v>
      </c>
      <c r="BN8">
        <f>SUMIF(RecoveredRaw!$B:$B,$A8,RecoveredRaw!BQ:BQ)</f>
        <v>0</v>
      </c>
      <c r="BO8">
        <f>SUMIF(RecoveredRaw!$B:$B,$A8,RecoveredRaw!BR:BR)</f>
        <v>0</v>
      </c>
      <c r="BP8">
        <f>SUMIF(RecoveredRaw!$B:$B,$A8,RecoveredRaw!BS:BS)</f>
        <v>0</v>
      </c>
      <c r="BQ8">
        <f>SUMIF(RecoveredRaw!$B:$B,$A8,RecoveredRaw!BT:BT)</f>
        <v>0</v>
      </c>
      <c r="BR8">
        <f>SUMIF(RecoveredRaw!$B:$B,$A8,RecoveredRaw!BU:BU)</f>
        <v>0</v>
      </c>
      <c r="BS8">
        <f>SUMIF(RecoveredRaw!$B:$B,$A8,RecoveredRaw!BV:BV)</f>
        <v>0</v>
      </c>
      <c r="BT8">
        <f>SUMIF(RecoveredRaw!$B:$B,$A8,RecoveredRaw!BW:BW)</f>
        <v>0</v>
      </c>
    </row>
    <row r="9" spans="1:72" ht="15" thickBot="1" x14ac:dyDescent="0.35">
      <c r="A9" s="3" t="s">
        <v>38</v>
      </c>
      <c r="B9">
        <f>SUMIF(RecoveredRaw!$B:$B,$A9,RecoveredRaw!E:E)</f>
        <v>0</v>
      </c>
      <c r="C9">
        <f>SUMIF(RecoveredRaw!$B:$B,$A9,RecoveredRaw!F:F)</f>
        <v>0</v>
      </c>
      <c r="D9">
        <f>SUMIF(RecoveredRaw!$B:$B,$A9,RecoveredRaw!G:G)</f>
        <v>0</v>
      </c>
      <c r="E9">
        <f>SUMIF(RecoveredRaw!$B:$B,$A9,RecoveredRaw!H:H)</f>
        <v>0</v>
      </c>
      <c r="F9">
        <f>SUMIF(RecoveredRaw!$B:$B,$A9,RecoveredRaw!I:I)</f>
        <v>0</v>
      </c>
      <c r="G9">
        <f>SUMIF(RecoveredRaw!$B:$B,$A9,RecoveredRaw!J:J)</f>
        <v>0</v>
      </c>
      <c r="H9">
        <f>SUMIF(RecoveredRaw!$B:$B,$A9,RecoveredRaw!K:K)</f>
        <v>0</v>
      </c>
      <c r="I9">
        <f>SUMIF(RecoveredRaw!$B:$B,$A9,RecoveredRaw!L:L)</f>
        <v>0</v>
      </c>
      <c r="J9">
        <f>SUMIF(RecoveredRaw!$B:$B,$A9,RecoveredRaw!M:M)</f>
        <v>0</v>
      </c>
      <c r="K9">
        <f>SUMIF(RecoveredRaw!$B:$B,$A9,RecoveredRaw!N:N)</f>
        <v>0</v>
      </c>
      <c r="L9">
        <f>SUMIF(RecoveredRaw!$B:$B,$A9,RecoveredRaw!O:O)</f>
        <v>0</v>
      </c>
      <c r="M9">
        <f>SUMIF(RecoveredRaw!$B:$B,$A9,RecoveredRaw!P:P)</f>
        <v>0</v>
      </c>
      <c r="N9">
        <f>SUMIF(RecoveredRaw!$B:$B,$A9,RecoveredRaw!Q:Q)</f>
        <v>0</v>
      </c>
      <c r="O9">
        <f>SUMIF(RecoveredRaw!$B:$B,$A9,RecoveredRaw!R:R)</f>
        <v>0</v>
      </c>
      <c r="P9">
        <f>SUMIF(RecoveredRaw!$B:$B,$A9,RecoveredRaw!S:S)</f>
        <v>0</v>
      </c>
      <c r="Q9">
        <f>SUMIF(RecoveredRaw!$B:$B,$A9,RecoveredRaw!T:T)</f>
        <v>0</v>
      </c>
      <c r="R9">
        <f>SUMIF(RecoveredRaw!$B:$B,$A9,RecoveredRaw!U:U)</f>
        <v>0</v>
      </c>
      <c r="S9">
        <f>SUMIF(RecoveredRaw!$B:$B,$A9,RecoveredRaw!V:V)</f>
        <v>0</v>
      </c>
      <c r="T9">
        <f>SUMIF(RecoveredRaw!$B:$B,$A9,RecoveredRaw!W:W)</f>
        <v>3</v>
      </c>
      <c r="U9">
        <f>SUMIF(RecoveredRaw!$B:$B,$A9,RecoveredRaw!X:X)</f>
        <v>3</v>
      </c>
      <c r="V9">
        <f>SUMIF(RecoveredRaw!$B:$B,$A9,RecoveredRaw!Y:Y)</f>
        <v>3</v>
      </c>
      <c r="W9">
        <f>SUMIF(RecoveredRaw!$B:$B,$A9,RecoveredRaw!Z:Z)</f>
        <v>3</v>
      </c>
      <c r="X9">
        <f>SUMIF(RecoveredRaw!$B:$B,$A9,RecoveredRaw!AA:AA)</f>
        <v>3</v>
      </c>
      <c r="Y9">
        <f>SUMIF(RecoveredRaw!$B:$B,$A9,RecoveredRaw!AB:AB)</f>
        <v>3</v>
      </c>
      <c r="Z9">
        <f>SUMIF(RecoveredRaw!$B:$B,$A9,RecoveredRaw!AC:AC)</f>
        <v>3</v>
      </c>
      <c r="AA9">
        <f>SUMIF(RecoveredRaw!$B:$B,$A9,RecoveredRaw!AD:AD)</f>
        <v>3</v>
      </c>
      <c r="AB9">
        <f>SUMIF(RecoveredRaw!$B:$B,$A9,RecoveredRaw!AE:AE)</f>
        <v>3</v>
      </c>
      <c r="AC9">
        <f>SUMIF(RecoveredRaw!$B:$B,$A9,RecoveredRaw!AF:AF)</f>
        <v>3</v>
      </c>
      <c r="AD9">
        <f>SUMIF(RecoveredRaw!$B:$B,$A9,RecoveredRaw!AG:AG)</f>
        <v>3</v>
      </c>
      <c r="AE9">
        <f>SUMIF(RecoveredRaw!$B:$B,$A9,RecoveredRaw!AH:AH)</f>
        <v>3</v>
      </c>
      <c r="AF9">
        <f>SUMIF(RecoveredRaw!$B:$B,$A9,RecoveredRaw!AI:AI)</f>
        <v>5</v>
      </c>
      <c r="AG9">
        <f>SUMIF(RecoveredRaw!$B:$B,$A9,RecoveredRaw!AJ:AJ)</f>
        <v>5</v>
      </c>
      <c r="AH9">
        <f>SUMIF(RecoveredRaw!$B:$B,$A9,RecoveredRaw!AK:AK)</f>
        <v>5</v>
      </c>
      <c r="AI9">
        <f>SUMIF(RecoveredRaw!$B:$B,$A9,RecoveredRaw!AL:AL)</f>
        <v>5</v>
      </c>
      <c r="AJ9">
        <f>SUMIF(RecoveredRaw!$B:$B,$A9,RecoveredRaw!AM:AM)</f>
        <v>6</v>
      </c>
      <c r="AK9">
        <f>SUMIF(RecoveredRaw!$B:$B,$A9,RecoveredRaw!AN:AN)</f>
        <v>6</v>
      </c>
      <c r="AL9">
        <f>SUMIF(RecoveredRaw!$B:$B,$A9,RecoveredRaw!AO:AO)</f>
        <v>6</v>
      </c>
      <c r="AM9">
        <f>SUMIF(RecoveredRaw!$B:$B,$A9,RecoveredRaw!AP:AP)</f>
        <v>7</v>
      </c>
      <c r="AN9">
        <f>SUMIF(RecoveredRaw!$B:$B,$A9,RecoveredRaw!AQ:AQ)</f>
        <v>7</v>
      </c>
      <c r="AO9">
        <f>SUMIF(RecoveredRaw!$B:$B,$A9,RecoveredRaw!AR:AR)</f>
        <v>7</v>
      </c>
      <c r="AP9">
        <f>SUMIF(RecoveredRaw!$B:$B,$A9,RecoveredRaw!AS:AS)</f>
        <v>7</v>
      </c>
      <c r="AQ9">
        <f>SUMIF(RecoveredRaw!$B:$B,$A9,RecoveredRaw!AT:AT)</f>
        <v>7</v>
      </c>
      <c r="AR9">
        <f>SUMIF(RecoveredRaw!$B:$B,$A9,RecoveredRaw!AU:AU)</f>
        <v>7</v>
      </c>
      <c r="AS9">
        <f>SUMIF(RecoveredRaw!$B:$B,$A9,RecoveredRaw!AV:AV)</f>
        <v>7</v>
      </c>
      <c r="AT9">
        <f>SUMIF(RecoveredRaw!$B:$B,$A9,RecoveredRaw!AW:AW)</f>
        <v>7</v>
      </c>
      <c r="AU9">
        <f>SUMIF(RecoveredRaw!$B:$B,$A9,RecoveredRaw!AX:AX)</f>
        <v>7</v>
      </c>
      <c r="AV9">
        <f>SUMIF(RecoveredRaw!$B:$B,$A9,RecoveredRaw!AY:AY)</f>
        <v>7</v>
      </c>
      <c r="AW9">
        <f>SUMIF(RecoveredRaw!$B:$B,$A9,RecoveredRaw!AZ:AZ)</f>
        <v>7</v>
      </c>
      <c r="AX9">
        <f>SUMIF(RecoveredRaw!$B:$B,$A9,RecoveredRaw!BA:BA)</f>
        <v>8</v>
      </c>
      <c r="AY9">
        <f>SUMIF(RecoveredRaw!$B:$B,$A9,RecoveredRaw!BB:BB)</f>
        <v>8</v>
      </c>
      <c r="AZ9">
        <f>SUMIF(RecoveredRaw!$B:$B,$A9,RecoveredRaw!BC:BC)</f>
        <v>12</v>
      </c>
      <c r="BA9">
        <f>SUMIF(RecoveredRaw!$B:$B,$A9,RecoveredRaw!BD:BD)</f>
        <v>12</v>
      </c>
      <c r="BB9">
        <f>SUMIF(RecoveredRaw!$B:$B,$A9,RecoveredRaw!BE:BE)</f>
        <v>12</v>
      </c>
      <c r="BC9">
        <f>SUMIF(RecoveredRaw!$B:$B,$A9,RecoveredRaw!BF:BF)</f>
        <v>12</v>
      </c>
      <c r="BD9">
        <f>SUMIF(RecoveredRaw!$B:$B,$A9,RecoveredRaw!BG:BG)</f>
        <v>17</v>
      </c>
      <c r="BE9">
        <f>SUMIF(RecoveredRaw!$B:$B,$A9,RecoveredRaw!BH:BH)</f>
        <v>17</v>
      </c>
      <c r="BF9">
        <f>SUMIF(RecoveredRaw!$B:$B,$A9,RecoveredRaw!BI:BI)</f>
        <v>0</v>
      </c>
      <c r="BG9">
        <f>SUMIF(RecoveredRaw!$B:$B,$A9,RecoveredRaw!BJ:BJ)</f>
        <v>0</v>
      </c>
      <c r="BH9">
        <f>SUMIF(RecoveredRaw!$B:$B,$A9,RecoveredRaw!BK:BK)</f>
        <v>0</v>
      </c>
      <c r="BI9">
        <f>SUMIF(RecoveredRaw!$B:$B,$A9,RecoveredRaw!BL:BL)</f>
        <v>0</v>
      </c>
      <c r="BJ9">
        <f>SUMIF(RecoveredRaw!$B:$B,$A9,RecoveredRaw!BM:BM)</f>
        <v>0</v>
      </c>
      <c r="BK9">
        <f>SUMIF(RecoveredRaw!$B:$B,$A9,RecoveredRaw!BN:BN)</f>
        <v>0</v>
      </c>
      <c r="BL9">
        <f>SUMIF(RecoveredRaw!$B:$B,$A9,RecoveredRaw!BO:BO)</f>
        <v>0</v>
      </c>
      <c r="BM9">
        <f>SUMIF(RecoveredRaw!$B:$B,$A9,RecoveredRaw!BP:BP)</f>
        <v>0</v>
      </c>
      <c r="BN9">
        <f>SUMIF(RecoveredRaw!$B:$B,$A9,RecoveredRaw!BQ:BQ)</f>
        <v>0</v>
      </c>
      <c r="BO9">
        <f>SUMIF(RecoveredRaw!$B:$B,$A9,RecoveredRaw!BR:BR)</f>
        <v>0</v>
      </c>
      <c r="BP9">
        <f>SUMIF(RecoveredRaw!$B:$B,$A9,RecoveredRaw!BS:BS)</f>
        <v>0</v>
      </c>
      <c r="BQ9">
        <f>SUMIF(RecoveredRaw!$B:$B,$A9,RecoveredRaw!BT:BT)</f>
        <v>0</v>
      </c>
      <c r="BR9">
        <f>SUMIF(RecoveredRaw!$B:$B,$A9,RecoveredRaw!BU:BU)</f>
        <v>0</v>
      </c>
      <c r="BS9">
        <f>SUMIF(RecoveredRaw!$B:$B,$A9,RecoveredRaw!BV:BV)</f>
        <v>0</v>
      </c>
      <c r="BT9">
        <f>SUMIF(RecoveredRaw!$B:$B,$A9,RecoveredRaw!BW:BW)</f>
        <v>0</v>
      </c>
    </row>
    <row r="10" spans="1:72" ht="15" thickBot="1" x14ac:dyDescent="0.35">
      <c r="A10" s="4" t="s">
        <v>77</v>
      </c>
      <c r="B10">
        <f>SUMIF(RecoveredRaw!$B:$B,$A10,RecoveredRaw!E:E)</f>
        <v>0</v>
      </c>
      <c r="C10">
        <f>SUMIF(RecoveredRaw!$B:$B,$A10,RecoveredRaw!F:F)</f>
        <v>0</v>
      </c>
      <c r="D10">
        <f>SUMIF(RecoveredRaw!$B:$B,$A10,RecoveredRaw!G:G)</f>
        <v>0</v>
      </c>
      <c r="E10">
        <f>SUMIF(RecoveredRaw!$B:$B,$A10,RecoveredRaw!H:H)</f>
        <v>0</v>
      </c>
      <c r="F10">
        <f>SUMIF(RecoveredRaw!$B:$B,$A10,RecoveredRaw!I:I)</f>
        <v>0</v>
      </c>
      <c r="G10">
        <f>SUMIF(RecoveredRaw!$B:$B,$A10,RecoveredRaw!J:J)</f>
        <v>0</v>
      </c>
      <c r="H10">
        <f>SUMIF(RecoveredRaw!$B:$B,$A10,RecoveredRaw!K:K)</f>
        <v>0</v>
      </c>
      <c r="I10">
        <f>SUMIF(RecoveredRaw!$B:$B,$A10,RecoveredRaw!L:L)</f>
        <v>0</v>
      </c>
      <c r="J10">
        <f>SUMIF(RecoveredRaw!$B:$B,$A10,RecoveredRaw!M:M)</f>
        <v>0</v>
      </c>
      <c r="K10">
        <f>SUMIF(RecoveredRaw!$B:$B,$A10,RecoveredRaw!N:N)</f>
        <v>0</v>
      </c>
      <c r="L10">
        <f>SUMIF(RecoveredRaw!$B:$B,$A10,RecoveredRaw!O:O)</f>
        <v>0</v>
      </c>
      <c r="M10">
        <f>SUMIF(RecoveredRaw!$B:$B,$A10,RecoveredRaw!P:P)</f>
        <v>0</v>
      </c>
      <c r="N10">
        <f>SUMIF(RecoveredRaw!$B:$B,$A10,RecoveredRaw!Q:Q)</f>
        <v>0</v>
      </c>
      <c r="O10">
        <f>SUMIF(RecoveredRaw!$B:$B,$A10,RecoveredRaw!R:R)</f>
        <v>0</v>
      </c>
      <c r="P10">
        <f>SUMIF(RecoveredRaw!$B:$B,$A10,RecoveredRaw!S:S)</f>
        <v>0</v>
      </c>
      <c r="Q10">
        <f>SUMIF(RecoveredRaw!$B:$B,$A10,RecoveredRaw!T:T)</f>
        <v>0</v>
      </c>
      <c r="R10">
        <f>SUMIF(RecoveredRaw!$B:$B,$A10,RecoveredRaw!U:U)</f>
        <v>0</v>
      </c>
      <c r="S10">
        <f>SUMIF(RecoveredRaw!$B:$B,$A10,RecoveredRaw!V:V)</f>
        <v>0</v>
      </c>
      <c r="T10">
        <f>SUMIF(RecoveredRaw!$B:$B,$A10,RecoveredRaw!W:W)</f>
        <v>0</v>
      </c>
      <c r="U10">
        <f>SUMIF(RecoveredRaw!$B:$B,$A10,RecoveredRaw!X:X)</f>
        <v>0</v>
      </c>
      <c r="V10">
        <f>SUMIF(RecoveredRaw!$B:$B,$A10,RecoveredRaw!Y:Y)</f>
        <v>0</v>
      </c>
      <c r="W10">
        <f>SUMIF(RecoveredRaw!$B:$B,$A10,RecoveredRaw!Z:Z)</f>
        <v>0</v>
      </c>
      <c r="X10">
        <f>SUMIF(RecoveredRaw!$B:$B,$A10,RecoveredRaw!AA:AA)</f>
        <v>0</v>
      </c>
      <c r="Y10">
        <f>SUMIF(RecoveredRaw!$B:$B,$A10,RecoveredRaw!AB:AB)</f>
        <v>0</v>
      </c>
      <c r="Z10">
        <f>SUMIF(RecoveredRaw!$B:$B,$A10,RecoveredRaw!AC:AC)</f>
        <v>0</v>
      </c>
      <c r="AA10">
        <f>SUMIF(RecoveredRaw!$B:$B,$A10,RecoveredRaw!AD:AD)</f>
        <v>0</v>
      </c>
      <c r="AB10">
        <f>SUMIF(RecoveredRaw!$B:$B,$A10,RecoveredRaw!AE:AE)</f>
        <v>0</v>
      </c>
      <c r="AC10">
        <f>SUMIF(RecoveredRaw!$B:$B,$A10,RecoveredRaw!AF:AF)</f>
        <v>0</v>
      </c>
      <c r="AD10">
        <f>SUMIF(RecoveredRaw!$B:$B,$A10,RecoveredRaw!AG:AG)</f>
        <v>0</v>
      </c>
      <c r="AE10">
        <f>SUMIF(RecoveredRaw!$B:$B,$A10,RecoveredRaw!AH:AH)</f>
        <v>0</v>
      </c>
      <c r="AF10">
        <f>SUMIF(RecoveredRaw!$B:$B,$A10,RecoveredRaw!AI:AI)</f>
        <v>0</v>
      </c>
      <c r="AG10">
        <f>SUMIF(RecoveredRaw!$B:$B,$A10,RecoveredRaw!AJ:AJ)</f>
        <v>0</v>
      </c>
      <c r="AH10">
        <f>SUMIF(RecoveredRaw!$B:$B,$A10,RecoveredRaw!AK:AK)</f>
        <v>0</v>
      </c>
      <c r="AI10">
        <f>SUMIF(RecoveredRaw!$B:$B,$A10,RecoveredRaw!AL:AL)</f>
        <v>0</v>
      </c>
      <c r="AJ10">
        <f>SUMIF(RecoveredRaw!$B:$B,$A10,RecoveredRaw!AM:AM)</f>
        <v>0</v>
      </c>
      <c r="AK10">
        <f>SUMIF(RecoveredRaw!$B:$B,$A10,RecoveredRaw!AN:AN)</f>
        <v>0</v>
      </c>
      <c r="AL10">
        <f>SUMIF(RecoveredRaw!$B:$B,$A10,RecoveredRaw!AO:AO)</f>
        <v>0</v>
      </c>
      <c r="AM10">
        <f>SUMIF(RecoveredRaw!$B:$B,$A10,RecoveredRaw!AP:AP)</f>
        <v>0</v>
      </c>
      <c r="AN10">
        <f>SUMIF(RecoveredRaw!$B:$B,$A10,RecoveredRaw!AQ:AQ)</f>
        <v>0</v>
      </c>
      <c r="AO10">
        <f>SUMIF(RecoveredRaw!$B:$B,$A10,RecoveredRaw!AR:AR)</f>
        <v>0</v>
      </c>
      <c r="AP10">
        <f>SUMIF(RecoveredRaw!$B:$B,$A10,RecoveredRaw!AS:AS)</f>
        <v>0</v>
      </c>
      <c r="AQ10">
        <f>SUMIF(RecoveredRaw!$B:$B,$A10,RecoveredRaw!AT:AT)</f>
        <v>2</v>
      </c>
      <c r="AR10">
        <f>SUMIF(RecoveredRaw!$B:$B,$A10,RecoveredRaw!AU:AU)</f>
        <v>3</v>
      </c>
      <c r="AS10">
        <f>SUMIF(RecoveredRaw!$B:$B,$A10,RecoveredRaw!AV:AV)</f>
        <v>3</v>
      </c>
      <c r="AT10">
        <f>SUMIF(RecoveredRaw!$B:$B,$A10,RecoveredRaw!AW:AW)</f>
        <v>3</v>
      </c>
      <c r="AU10">
        <f>SUMIF(RecoveredRaw!$B:$B,$A10,RecoveredRaw!AX:AX)</f>
        <v>3</v>
      </c>
      <c r="AV10">
        <f>SUMIF(RecoveredRaw!$B:$B,$A10,RecoveredRaw!AY:AY)</f>
        <v>3</v>
      </c>
      <c r="AW10">
        <f>SUMIF(RecoveredRaw!$B:$B,$A10,RecoveredRaw!AZ:AZ)</f>
        <v>3</v>
      </c>
      <c r="AX10">
        <f>SUMIF(RecoveredRaw!$B:$B,$A10,RecoveredRaw!BA:BA)</f>
        <v>3</v>
      </c>
      <c r="AY10">
        <f>SUMIF(RecoveredRaw!$B:$B,$A10,RecoveredRaw!BB:BB)</f>
        <v>4</v>
      </c>
      <c r="AZ10">
        <f>SUMIF(RecoveredRaw!$B:$B,$A10,RecoveredRaw!BC:BC)</f>
        <v>4</v>
      </c>
      <c r="BA10">
        <f>SUMIF(RecoveredRaw!$B:$B,$A10,RecoveredRaw!BD:BD)</f>
        <v>4</v>
      </c>
      <c r="BB10">
        <f>SUMIF(RecoveredRaw!$B:$B,$A10,RecoveredRaw!BE:BE)</f>
        <v>4</v>
      </c>
      <c r="BC10">
        <f>SUMIF(RecoveredRaw!$B:$B,$A10,RecoveredRaw!BF:BF)</f>
        <v>4</v>
      </c>
      <c r="BD10">
        <f>SUMIF(RecoveredRaw!$B:$B,$A10,RecoveredRaw!BG:BG)</f>
        <v>4</v>
      </c>
      <c r="BE10">
        <f>SUMIF(RecoveredRaw!$B:$B,$A10,RecoveredRaw!BH:BH)</f>
        <v>4</v>
      </c>
      <c r="BF10">
        <f>SUMIF(RecoveredRaw!$B:$B,$A10,RecoveredRaw!BI:BI)</f>
        <v>15</v>
      </c>
      <c r="BG10">
        <f>SUMIF(RecoveredRaw!$B:$B,$A10,RecoveredRaw!BJ:BJ)</f>
        <v>15</v>
      </c>
      <c r="BH10">
        <f>SUMIF(RecoveredRaw!$B:$B,$A10,RecoveredRaw!BK:BK)</f>
        <v>15</v>
      </c>
      <c r="BI10">
        <f>SUMIF(RecoveredRaw!$B:$B,$A10,RecoveredRaw!BL:BL)</f>
        <v>0</v>
      </c>
      <c r="BJ10">
        <f>SUMIF(RecoveredRaw!$B:$B,$A10,RecoveredRaw!BM:BM)</f>
        <v>0</v>
      </c>
      <c r="BK10">
        <f>SUMIF(RecoveredRaw!$B:$B,$A10,RecoveredRaw!BN:BN)</f>
        <v>0</v>
      </c>
      <c r="BL10">
        <f>SUMIF(RecoveredRaw!$B:$B,$A10,RecoveredRaw!BO:BO)</f>
        <v>0</v>
      </c>
      <c r="BM10">
        <f>SUMIF(RecoveredRaw!$B:$B,$A10,RecoveredRaw!BP:BP)</f>
        <v>0</v>
      </c>
      <c r="BN10">
        <f>SUMIF(RecoveredRaw!$B:$B,$A10,RecoveredRaw!BQ:BQ)</f>
        <v>0</v>
      </c>
      <c r="BO10">
        <f>SUMIF(RecoveredRaw!$B:$B,$A10,RecoveredRaw!BR:BR)</f>
        <v>0</v>
      </c>
      <c r="BP10">
        <f>SUMIF(RecoveredRaw!$B:$B,$A10,RecoveredRaw!BS:BS)</f>
        <v>0</v>
      </c>
      <c r="BQ10">
        <f>SUMIF(RecoveredRaw!$B:$B,$A10,RecoveredRaw!BT:BT)</f>
        <v>0</v>
      </c>
      <c r="BR10">
        <f>SUMIF(RecoveredRaw!$B:$B,$A10,RecoveredRaw!BU:BU)</f>
        <v>0</v>
      </c>
      <c r="BS10">
        <f>SUMIF(RecoveredRaw!$B:$B,$A10,RecoveredRaw!BV:BV)</f>
        <v>0</v>
      </c>
      <c r="BT10">
        <f>SUMIF(RecoveredRaw!$B:$B,$A10,RecoveredRaw!BW:BW)</f>
        <v>0</v>
      </c>
    </row>
    <row r="11" spans="1:72" ht="15" thickBot="1" x14ac:dyDescent="0.35">
      <c r="A11" s="4" t="s">
        <v>85</v>
      </c>
      <c r="B11">
        <f>SUMIF(RecoveredRaw!$B:$B,$A11,RecoveredRaw!E:E)</f>
        <v>0</v>
      </c>
      <c r="C11">
        <f>SUMIF(RecoveredRaw!$B:$B,$A11,RecoveredRaw!F:F)</f>
        <v>0</v>
      </c>
      <c r="D11">
        <f>SUMIF(RecoveredRaw!$B:$B,$A11,RecoveredRaw!G:G)</f>
        <v>0</v>
      </c>
      <c r="E11">
        <f>SUMIF(RecoveredRaw!$B:$B,$A11,RecoveredRaw!H:H)</f>
        <v>0</v>
      </c>
      <c r="F11">
        <f>SUMIF(RecoveredRaw!$B:$B,$A11,RecoveredRaw!I:I)</f>
        <v>0</v>
      </c>
      <c r="G11">
        <f>SUMIF(RecoveredRaw!$B:$B,$A11,RecoveredRaw!J:J)</f>
        <v>0</v>
      </c>
      <c r="H11">
        <f>SUMIF(RecoveredRaw!$B:$B,$A11,RecoveredRaw!K:K)</f>
        <v>0</v>
      </c>
      <c r="I11">
        <f>SUMIF(RecoveredRaw!$B:$B,$A11,RecoveredRaw!L:L)</f>
        <v>0</v>
      </c>
      <c r="J11">
        <f>SUMIF(RecoveredRaw!$B:$B,$A11,RecoveredRaw!M:M)</f>
        <v>0</v>
      </c>
      <c r="K11">
        <f>SUMIF(RecoveredRaw!$B:$B,$A11,RecoveredRaw!N:N)</f>
        <v>0</v>
      </c>
      <c r="L11">
        <f>SUMIF(RecoveredRaw!$B:$B,$A11,RecoveredRaw!O:O)</f>
        <v>0</v>
      </c>
      <c r="M11">
        <f>SUMIF(RecoveredRaw!$B:$B,$A11,RecoveredRaw!P:P)</f>
        <v>0</v>
      </c>
      <c r="N11">
        <f>SUMIF(RecoveredRaw!$B:$B,$A11,RecoveredRaw!Q:Q)</f>
        <v>0</v>
      </c>
      <c r="O11">
        <f>SUMIF(RecoveredRaw!$B:$B,$A11,RecoveredRaw!R:R)</f>
        <v>0</v>
      </c>
      <c r="P11">
        <f>SUMIF(RecoveredRaw!$B:$B,$A11,RecoveredRaw!S:S)</f>
        <v>0</v>
      </c>
      <c r="Q11">
        <f>SUMIF(RecoveredRaw!$B:$B,$A11,RecoveredRaw!T:T)</f>
        <v>0</v>
      </c>
      <c r="R11">
        <f>SUMIF(RecoveredRaw!$B:$B,$A11,RecoveredRaw!U:U)</f>
        <v>0</v>
      </c>
      <c r="S11">
        <f>SUMIF(RecoveredRaw!$B:$B,$A11,RecoveredRaw!V:V)</f>
        <v>0</v>
      </c>
      <c r="T11">
        <f>SUMIF(RecoveredRaw!$B:$B,$A11,RecoveredRaw!W:W)</f>
        <v>0</v>
      </c>
      <c r="U11">
        <f>SUMIF(RecoveredRaw!$B:$B,$A11,RecoveredRaw!X:X)</f>
        <v>0</v>
      </c>
      <c r="V11">
        <f>SUMIF(RecoveredRaw!$B:$B,$A11,RecoveredRaw!Y:Y)</f>
        <v>0</v>
      </c>
      <c r="W11">
        <f>SUMIF(RecoveredRaw!$B:$B,$A11,RecoveredRaw!Z:Z)</f>
        <v>0</v>
      </c>
      <c r="X11">
        <f>SUMIF(RecoveredRaw!$B:$B,$A11,RecoveredRaw!AA:AA)</f>
        <v>0</v>
      </c>
      <c r="Y11">
        <f>SUMIF(RecoveredRaw!$B:$B,$A11,RecoveredRaw!AB:AB)</f>
        <v>0</v>
      </c>
      <c r="Z11">
        <f>SUMIF(RecoveredRaw!$B:$B,$A11,RecoveredRaw!AC:AC)</f>
        <v>0</v>
      </c>
      <c r="AA11">
        <f>SUMIF(RecoveredRaw!$B:$B,$A11,RecoveredRaw!AD:AD)</f>
        <v>0</v>
      </c>
      <c r="AB11">
        <f>SUMIF(RecoveredRaw!$B:$B,$A11,RecoveredRaw!AE:AE)</f>
        <v>0</v>
      </c>
      <c r="AC11">
        <f>SUMIF(RecoveredRaw!$B:$B,$A11,RecoveredRaw!AF:AF)</f>
        <v>0</v>
      </c>
      <c r="AD11">
        <f>SUMIF(RecoveredRaw!$B:$B,$A11,RecoveredRaw!AG:AG)</f>
        <v>0</v>
      </c>
      <c r="AE11">
        <f>SUMIF(RecoveredRaw!$B:$B,$A11,RecoveredRaw!AH:AH)</f>
        <v>0</v>
      </c>
      <c r="AF11">
        <f>SUMIF(RecoveredRaw!$B:$B,$A11,RecoveredRaw!AI:AI)</f>
        <v>0</v>
      </c>
      <c r="AG11">
        <f>SUMIF(RecoveredRaw!$B:$B,$A11,RecoveredRaw!AJ:AJ)</f>
        <v>0</v>
      </c>
      <c r="AH11">
        <f>SUMIF(RecoveredRaw!$B:$B,$A11,RecoveredRaw!AK:AK)</f>
        <v>0</v>
      </c>
      <c r="AI11">
        <f>SUMIF(RecoveredRaw!$B:$B,$A11,RecoveredRaw!AL:AL)</f>
        <v>0</v>
      </c>
      <c r="AJ11">
        <f>SUMIF(RecoveredRaw!$B:$B,$A11,RecoveredRaw!AM:AM)</f>
        <v>0</v>
      </c>
      <c r="AK11">
        <f>SUMIF(RecoveredRaw!$B:$B,$A11,RecoveredRaw!AN:AN)</f>
        <v>0</v>
      </c>
      <c r="AL11">
        <f>SUMIF(RecoveredRaw!$B:$B,$A11,RecoveredRaw!AO:AO)</f>
        <v>0</v>
      </c>
      <c r="AM11">
        <f>SUMIF(RecoveredRaw!$B:$B,$A11,RecoveredRaw!AP:AP)</f>
        <v>0</v>
      </c>
      <c r="AN11">
        <f>SUMIF(RecoveredRaw!$B:$B,$A11,RecoveredRaw!AQ:AQ)</f>
        <v>0</v>
      </c>
      <c r="AO11">
        <f>SUMIF(RecoveredRaw!$B:$B,$A11,RecoveredRaw!AR:AR)</f>
        <v>0</v>
      </c>
      <c r="AP11">
        <f>SUMIF(RecoveredRaw!$B:$B,$A11,RecoveredRaw!AS:AS)</f>
        <v>0</v>
      </c>
      <c r="AQ11">
        <f>SUMIF(RecoveredRaw!$B:$B,$A11,RecoveredRaw!AT:AT)</f>
        <v>0</v>
      </c>
      <c r="AR11">
        <f>SUMIF(RecoveredRaw!$B:$B,$A11,RecoveredRaw!AU:AU)</f>
        <v>0</v>
      </c>
      <c r="AS11">
        <f>SUMIF(RecoveredRaw!$B:$B,$A11,RecoveredRaw!AV:AV)</f>
        <v>0</v>
      </c>
      <c r="AT11">
        <f>SUMIF(RecoveredRaw!$B:$B,$A11,RecoveredRaw!AW:AW)</f>
        <v>0</v>
      </c>
      <c r="AU11">
        <f>SUMIF(RecoveredRaw!$B:$B,$A11,RecoveredRaw!AX:AX)</f>
        <v>0</v>
      </c>
      <c r="AV11">
        <f>SUMIF(RecoveredRaw!$B:$B,$A11,RecoveredRaw!AY:AY)</f>
        <v>0</v>
      </c>
      <c r="AW11">
        <f>SUMIF(RecoveredRaw!$B:$B,$A11,RecoveredRaw!AZ:AZ)</f>
        <v>1</v>
      </c>
      <c r="AX11">
        <f>SUMIF(RecoveredRaw!$B:$B,$A11,RecoveredRaw!BA:BA)</f>
        <v>1</v>
      </c>
      <c r="AY11">
        <f>SUMIF(RecoveredRaw!$B:$B,$A11,RecoveredRaw!BB:BB)</f>
        <v>1</v>
      </c>
      <c r="AZ11">
        <f>SUMIF(RecoveredRaw!$B:$B,$A11,RecoveredRaw!BC:BC)</f>
        <v>1</v>
      </c>
      <c r="BA11">
        <f>SUMIF(RecoveredRaw!$B:$B,$A11,RecoveredRaw!BD:BD)</f>
        <v>1</v>
      </c>
      <c r="BB11">
        <f>SUMIF(RecoveredRaw!$B:$B,$A11,RecoveredRaw!BE:BE)</f>
        <v>1</v>
      </c>
      <c r="BC11">
        <f>SUMIF(RecoveredRaw!$B:$B,$A11,RecoveredRaw!BF:BF)</f>
        <v>1</v>
      </c>
      <c r="BD11">
        <f>SUMIF(RecoveredRaw!$B:$B,$A11,RecoveredRaw!BG:BG)</f>
        <v>1</v>
      </c>
      <c r="BE11">
        <f>SUMIF(RecoveredRaw!$B:$B,$A11,RecoveredRaw!BH:BH)</f>
        <v>1</v>
      </c>
      <c r="BF11">
        <f>SUMIF(RecoveredRaw!$B:$B,$A11,RecoveredRaw!BI:BI)</f>
        <v>1</v>
      </c>
      <c r="BG11">
        <f>SUMIF(RecoveredRaw!$B:$B,$A11,RecoveredRaw!BJ:BJ)</f>
        <v>1</v>
      </c>
      <c r="BH11">
        <f>SUMIF(RecoveredRaw!$B:$B,$A11,RecoveredRaw!BK:BK)</f>
        <v>1</v>
      </c>
      <c r="BI11">
        <f>SUMIF(RecoveredRaw!$B:$B,$A11,RecoveredRaw!BL:BL)</f>
        <v>0</v>
      </c>
      <c r="BJ11">
        <f>SUMIF(RecoveredRaw!$B:$B,$A11,RecoveredRaw!BM:BM)</f>
        <v>0</v>
      </c>
      <c r="BK11">
        <f>SUMIF(RecoveredRaw!$B:$B,$A11,RecoveredRaw!BN:BN)</f>
        <v>0</v>
      </c>
      <c r="BL11">
        <f>SUMIF(RecoveredRaw!$B:$B,$A11,RecoveredRaw!BO:BO)</f>
        <v>0</v>
      </c>
      <c r="BM11">
        <f>SUMIF(RecoveredRaw!$B:$B,$A11,RecoveredRaw!BP:BP)</f>
        <v>0</v>
      </c>
      <c r="BN11">
        <f>SUMIF(RecoveredRaw!$B:$B,$A11,RecoveredRaw!BQ:BQ)</f>
        <v>0</v>
      </c>
      <c r="BO11">
        <f>SUMIF(RecoveredRaw!$B:$B,$A11,RecoveredRaw!BR:BR)</f>
        <v>0</v>
      </c>
      <c r="BP11">
        <f>SUMIF(RecoveredRaw!$B:$B,$A11,RecoveredRaw!BS:BS)</f>
        <v>0</v>
      </c>
      <c r="BQ11">
        <f>SUMIF(RecoveredRaw!$B:$B,$A11,RecoveredRaw!BT:BT)</f>
        <v>0</v>
      </c>
      <c r="BR11">
        <f>SUMIF(RecoveredRaw!$B:$B,$A11,RecoveredRaw!BU:BU)</f>
        <v>0</v>
      </c>
      <c r="BS11">
        <f>SUMIF(RecoveredRaw!$B:$B,$A11,RecoveredRaw!BV:BV)</f>
        <v>0</v>
      </c>
      <c r="BT11">
        <f>SUMIF(RecoveredRaw!$B:$B,$A11,RecoveredRaw!BW:BW)</f>
        <v>0</v>
      </c>
    </row>
    <row r="12" spans="1:72" ht="15" thickBot="1" x14ac:dyDescent="0.35">
      <c r="A12" s="4" t="s">
        <v>59</v>
      </c>
      <c r="B12">
        <f>SUMIF(RecoveredRaw!$B:$B,$A12,RecoveredRaw!E:E)</f>
        <v>0</v>
      </c>
      <c r="C12">
        <f>SUMIF(RecoveredRaw!$B:$B,$A12,RecoveredRaw!F:F)</f>
        <v>0</v>
      </c>
      <c r="D12">
        <f>SUMIF(RecoveredRaw!$B:$B,$A12,RecoveredRaw!G:G)</f>
        <v>0</v>
      </c>
      <c r="E12">
        <f>SUMIF(RecoveredRaw!$B:$B,$A12,RecoveredRaw!H:H)</f>
        <v>0</v>
      </c>
      <c r="F12">
        <f>SUMIF(RecoveredRaw!$B:$B,$A12,RecoveredRaw!I:I)</f>
        <v>0</v>
      </c>
      <c r="G12">
        <f>SUMIF(RecoveredRaw!$B:$B,$A12,RecoveredRaw!J:J)</f>
        <v>0</v>
      </c>
      <c r="H12">
        <f>SUMIF(RecoveredRaw!$B:$B,$A12,RecoveredRaw!K:K)</f>
        <v>0</v>
      </c>
      <c r="I12">
        <f>SUMIF(RecoveredRaw!$B:$B,$A12,RecoveredRaw!L:L)</f>
        <v>0</v>
      </c>
      <c r="J12">
        <f>SUMIF(RecoveredRaw!$B:$B,$A12,RecoveredRaw!M:M)</f>
        <v>0</v>
      </c>
      <c r="K12">
        <f>SUMIF(RecoveredRaw!$B:$B,$A12,RecoveredRaw!N:N)</f>
        <v>0</v>
      </c>
      <c r="L12">
        <f>SUMIF(RecoveredRaw!$B:$B,$A12,RecoveredRaw!O:O)</f>
        <v>0</v>
      </c>
      <c r="M12">
        <f>SUMIF(RecoveredRaw!$B:$B,$A12,RecoveredRaw!P:P)</f>
        <v>0</v>
      </c>
      <c r="N12">
        <f>SUMIF(RecoveredRaw!$B:$B,$A12,RecoveredRaw!Q:Q)</f>
        <v>0</v>
      </c>
      <c r="O12">
        <f>SUMIF(RecoveredRaw!$B:$B,$A12,RecoveredRaw!R:R)</f>
        <v>0</v>
      </c>
      <c r="P12">
        <f>SUMIF(RecoveredRaw!$B:$B,$A12,RecoveredRaw!S:S)</f>
        <v>0</v>
      </c>
      <c r="Q12">
        <f>SUMIF(RecoveredRaw!$B:$B,$A12,RecoveredRaw!T:T)</f>
        <v>0</v>
      </c>
      <c r="R12">
        <f>SUMIF(RecoveredRaw!$B:$B,$A12,RecoveredRaw!U:U)</f>
        <v>0</v>
      </c>
      <c r="S12">
        <f>SUMIF(RecoveredRaw!$B:$B,$A12,RecoveredRaw!V:V)</f>
        <v>0</v>
      </c>
      <c r="T12">
        <f>SUMIF(RecoveredRaw!$B:$B,$A12,RecoveredRaw!W:W)</f>
        <v>0</v>
      </c>
      <c r="U12">
        <f>SUMIF(RecoveredRaw!$B:$B,$A12,RecoveredRaw!X:X)</f>
        <v>0</v>
      </c>
      <c r="V12">
        <f>SUMIF(RecoveredRaw!$B:$B,$A12,RecoveredRaw!Y:Y)</f>
        <v>0</v>
      </c>
      <c r="W12">
        <f>SUMIF(RecoveredRaw!$B:$B,$A12,RecoveredRaw!Z:Z)</f>
        <v>0</v>
      </c>
      <c r="X12">
        <f>SUMIF(RecoveredRaw!$B:$B,$A12,RecoveredRaw!AA:AA)</f>
        <v>0</v>
      </c>
      <c r="Y12">
        <f>SUMIF(RecoveredRaw!$B:$B,$A12,RecoveredRaw!AB:AB)</f>
        <v>0</v>
      </c>
      <c r="Z12">
        <f>SUMIF(RecoveredRaw!$B:$B,$A12,RecoveredRaw!AC:AC)</f>
        <v>0</v>
      </c>
      <c r="AA12">
        <f>SUMIF(RecoveredRaw!$B:$B,$A12,RecoveredRaw!AD:AD)</f>
        <v>0</v>
      </c>
      <c r="AB12">
        <f>SUMIF(RecoveredRaw!$B:$B,$A12,RecoveredRaw!AE:AE)</f>
        <v>0</v>
      </c>
      <c r="AC12">
        <f>SUMIF(RecoveredRaw!$B:$B,$A12,RecoveredRaw!AF:AF)</f>
        <v>0</v>
      </c>
      <c r="AD12">
        <f>SUMIF(RecoveredRaw!$B:$B,$A12,RecoveredRaw!AG:AG)</f>
        <v>0</v>
      </c>
      <c r="AE12">
        <f>SUMIF(RecoveredRaw!$B:$B,$A12,RecoveredRaw!AH:AH)</f>
        <v>0</v>
      </c>
      <c r="AF12">
        <f>SUMIF(RecoveredRaw!$B:$B,$A12,RecoveredRaw!AI:AI)</f>
        <v>0</v>
      </c>
      <c r="AG12">
        <f>SUMIF(RecoveredRaw!$B:$B,$A12,RecoveredRaw!AJ:AJ)</f>
        <v>0</v>
      </c>
      <c r="AH12">
        <f>SUMIF(RecoveredRaw!$B:$B,$A12,RecoveredRaw!AK:AK)</f>
        <v>0</v>
      </c>
      <c r="AI12">
        <f>SUMIF(RecoveredRaw!$B:$B,$A12,RecoveredRaw!AL:AL)</f>
        <v>0</v>
      </c>
      <c r="AJ12">
        <f>SUMIF(RecoveredRaw!$B:$B,$A12,RecoveredRaw!AM:AM)</f>
        <v>0</v>
      </c>
      <c r="AK12">
        <f>SUMIF(RecoveredRaw!$B:$B,$A12,RecoveredRaw!AN:AN)</f>
        <v>0</v>
      </c>
      <c r="AL12">
        <f>SUMIF(RecoveredRaw!$B:$B,$A12,RecoveredRaw!AO:AO)</f>
        <v>0</v>
      </c>
      <c r="AM12">
        <f>SUMIF(RecoveredRaw!$B:$B,$A12,RecoveredRaw!AP:AP)</f>
        <v>0</v>
      </c>
      <c r="AN12">
        <f>SUMIF(RecoveredRaw!$B:$B,$A12,RecoveredRaw!AQ:AQ)</f>
        <v>0</v>
      </c>
      <c r="AO12">
        <f>SUMIF(RecoveredRaw!$B:$B,$A12,RecoveredRaw!AR:AR)</f>
        <v>0</v>
      </c>
      <c r="AP12">
        <f>SUMIF(RecoveredRaw!$B:$B,$A12,RecoveredRaw!AS:AS)</f>
        <v>0</v>
      </c>
      <c r="AQ12">
        <f>SUMIF(RecoveredRaw!$B:$B,$A12,RecoveredRaw!AT:AT)</f>
        <v>0</v>
      </c>
      <c r="AR12">
        <f>SUMIF(RecoveredRaw!$B:$B,$A12,RecoveredRaw!AU:AU)</f>
        <v>0</v>
      </c>
      <c r="AS12">
        <f>SUMIF(RecoveredRaw!$B:$B,$A12,RecoveredRaw!AV:AV)</f>
        <v>0</v>
      </c>
      <c r="AT12">
        <f>SUMIF(RecoveredRaw!$B:$B,$A12,RecoveredRaw!AW:AW)</f>
        <v>0</v>
      </c>
      <c r="AU12">
        <f>SUMIF(RecoveredRaw!$B:$B,$A12,RecoveredRaw!AX:AX)</f>
        <v>0</v>
      </c>
      <c r="AV12">
        <f>SUMIF(RecoveredRaw!$B:$B,$A12,RecoveredRaw!AY:AY)</f>
        <v>0</v>
      </c>
      <c r="AW12">
        <f>SUMIF(RecoveredRaw!$B:$B,$A12,RecoveredRaw!AZ:AZ)</f>
        <v>1</v>
      </c>
      <c r="AX12">
        <f>SUMIF(RecoveredRaw!$B:$B,$A12,RecoveredRaw!BA:BA)</f>
        <v>1</v>
      </c>
      <c r="AY12">
        <f>SUMIF(RecoveredRaw!$B:$B,$A12,RecoveredRaw!BB:BB)</f>
        <v>1</v>
      </c>
      <c r="AZ12">
        <f>SUMIF(RecoveredRaw!$B:$B,$A12,RecoveredRaw!BC:BC)</f>
        <v>1</v>
      </c>
      <c r="BA12">
        <f>SUMIF(RecoveredRaw!$B:$B,$A12,RecoveredRaw!BD:BD)</f>
        <v>1</v>
      </c>
      <c r="BB12">
        <f>SUMIF(RecoveredRaw!$B:$B,$A12,RecoveredRaw!BE:BE)</f>
        <v>1</v>
      </c>
      <c r="BC12">
        <f>SUMIF(RecoveredRaw!$B:$B,$A12,RecoveredRaw!BF:BF)</f>
        <v>1</v>
      </c>
      <c r="BD12">
        <f>SUMIF(RecoveredRaw!$B:$B,$A12,RecoveredRaw!BG:BG)</f>
        <v>1</v>
      </c>
      <c r="BE12">
        <f>SUMIF(RecoveredRaw!$B:$B,$A12,RecoveredRaw!BH:BH)</f>
        <v>1</v>
      </c>
      <c r="BF12">
        <f>SUMIF(RecoveredRaw!$B:$B,$A12,RecoveredRaw!BI:BI)</f>
        <v>1</v>
      </c>
      <c r="BG12">
        <f>SUMIF(RecoveredRaw!$B:$B,$A12,RecoveredRaw!BJ:BJ)</f>
        <v>16</v>
      </c>
      <c r="BH12">
        <f>SUMIF(RecoveredRaw!$B:$B,$A12,RecoveredRaw!BK:BK)</f>
        <v>16</v>
      </c>
      <c r="BI12">
        <f>SUMIF(RecoveredRaw!$B:$B,$A12,RecoveredRaw!BL:BL)</f>
        <v>0</v>
      </c>
      <c r="BJ12">
        <f>SUMIF(RecoveredRaw!$B:$B,$A12,RecoveredRaw!BM:BM)</f>
        <v>0</v>
      </c>
      <c r="BK12">
        <f>SUMIF(RecoveredRaw!$B:$B,$A12,RecoveredRaw!BN:BN)</f>
        <v>0</v>
      </c>
      <c r="BL12">
        <f>SUMIF(RecoveredRaw!$B:$B,$A12,RecoveredRaw!BO:BO)</f>
        <v>0</v>
      </c>
      <c r="BM12">
        <f>SUMIF(RecoveredRaw!$B:$B,$A12,RecoveredRaw!BP:BP)</f>
        <v>0</v>
      </c>
      <c r="BN12">
        <f>SUMIF(RecoveredRaw!$B:$B,$A12,RecoveredRaw!BQ:BQ)</f>
        <v>0</v>
      </c>
      <c r="BO12">
        <f>SUMIF(RecoveredRaw!$B:$B,$A12,RecoveredRaw!BR:BR)</f>
        <v>0</v>
      </c>
      <c r="BP12">
        <f>SUMIF(RecoveredRaw!$B:$B,$A12,RecoveredRaw!BS:BS)</f>
        <v>0</v>
      </c>
      <c r="BQ12">
        <f>SUMIF(RecoveredRaw!$B:$B,$A12,RecoveredRaw!BT:BT)</f>
        <v>0</v>
      </c>
      <c r="BR12">
        <f>SUMIF(RecoveredRaw!$B:$B,$A12,RecoveredRaw!BU:BU)</f>
        <v>0</v>
      </c>
      <c r="BS12">
        <f>SUMIF(RecoveredRaw!$B:$B,$A12,RecoveredRaw!BV:BV)</f>
        <v>0</v>
      </c>
      <c r="BT12">
        <f>SUMIF(RecoveredRaw!$B:$B,$A12,RecoveredRaw!BW:BW)</f>
        <v>0</v>
      </c>
    </row>
    <row r="13" spans="1:72" ht="15" thickBot="1" x14ac:dyDescent="0.35">
      <c r="A13" s="3" t="s">
        <v>87</v>
      </c>
      <c r="B13">
        <f>SUMIF(RecoveredRaw!$B:$B,$A13,RecoveredRaw!E:E)</f>
        <v>0</v>
      </c>
      <c r="C13">
        <f>SUMIF(RecoveredRaw!$B:$B,$A13,RecoveredRaw!F:F)</f>
        <v>0</v>
      </c>
      <c r="D13">
        <f>SUMIF(RecoveredRaw!$B:$B,$A13,RecoveredRaw!G:G)</f>
        <v>0</v>
      </c>
      <c r="E13">
        <f>SUMIF(RecoveredRaw!$B:$B,$A13,RecoveredRaw!H:H)</f>
        <v>0</v>
      </c>
      <c r="F13">
        <f>SUMIF(RecoveredRaw!$B:$B,$A13,RecoveredRaw!I:I)</f>
        <v>0</v>
      </c>
      <c r="G13">
        <f>SUMIF(RecoveredRaw!$B:$B,$A13,RecoveredRaw!J:J)</f>
        <v>0</v>
      </c>
      <c r="H13">
        <f>SUMIF(RecoveredRaw!$B:$B,$A13,RecoveredRaw!K:K)</f>
        <v>0</v>
      </c>
      <c r="I13">
        <f>SUMIF(RecoveredRaw!$B:$B,$A13,RecoveredRaw!L:L)</f>
        <v>0</v>
      </c>
      <c r="J13">
        <f>SUMIF(RecoveredRaw!$B:$B,$A13,RecoveredRaw!M:M)</f>
        <v>0</v>
      </c>
      <c r="K13">
        <f>SUMIF(RecoveredRaw!$B:$B,$A13,RecoveredRaw!N:N)</f>
        <v>0</v>
      </c>
      <c r="L13">
        <f>SUMIF(RecoveredRaw!$B:$B,$A13,RecoveredRaw!O:O)</f>
        <v>0</v>
      </c>
      <c r="M13">
        <f>SUMIF(RecoveredRaw!$B:$B,$A13,RecoveredRaw!P:P)</f>
        <v>0</v>
      </c>
      <c r="N13">
        <f>SUMIF(RecoveredRaw!$B:$B,$A13,RecoveredRaw!Q:Q)</f>
        <v>0</v>
      </c>
      <c r="O13">
        <f>SUMIF(RecoveredRaw!$B:$B,$A13,RecoveredRaw!R:R)</f>
        <v>0</v>
      </c>
      <c r="P13">
        <f>SUMIF(RecoveredRaw!$B:$B,$A13,RecoveredRaw!S:S)</f>
        <v>0</v>
      </c>
      <c r="Q13">
        <f>SUMIF(RecoveredRaw!$B:$B,$A13,RecoveredRaw!T:T)</f>
        <v>0</v>
      </c>
      <c r="R13">
        <f>SUMIF(RecoveredRaw!$B:$B,$A13,RecoveredRaw!U:U)</f>
        <v>0</v>
      </c>
      <c r="S13">
        <f>SUMIF(RecoveredRaw!$B:$B,$A13,RecoveredRaw!V:V)</f>
        <v>0</v>
      </c>
      <c r="T13">
        <f>SUMIF(RecoveredRaw!$B:$B,$A13,RecoveredRaw!W:W)</f>
        <v>0</v>
      </c>
      <c r="U13">
        <f>SUMIF(RecoveredRaw!$B:$B,$A13,RecoveredRaw!X:X)</f>
        <v>0</v>
      </c>
      <c r="V13">
        <f>SUMIF(RecoveredRaw!$B:$B,$A13,RecoveredRaw!Y:Y)</f>
        <v>0</v>
      </c>
      <c r="W13">
        <f>SUMIF(RecoveredRaw!$B:$B,$A13,RecoveredRaw!Z:Z)</f>
        <v>0</v>
      </c>
      <c r="X13">
        <f>SUMIF(RecoveredRaw!$B:$B,$A13,RecoveredRaw!AA:AA)</f>
        <v>0</v>
      </c>
      <c r="Y13">
        <f>SUMIF(RecoveredRaw!$B:$B,$A13,RecoveredRaw!AB:AB)</f>
        <v>0</v>
      </c>
      <c r="Z13">
        <f>SUMIF(RecoveredRaw!$B:$B,$A13,RecoveredRaw!AC:AC)</f>
        <v>0</v>
      </c>
      <c r="AA13">
        <f>SUMIF(RecoveredRaw!$B:$B,$A13,RecoveredRaw!AD:AD)</f>
        <v>0</v>
      </c>
      <c r="AB13">
        <f>SUMIF(RecoveredRaw!$B:$B,$A13,RecoveredRaw!AE:AE)</f>
        <v>0</v>
      </c>
      <c r="AC13">
        <f>SUMIF(RecoveredRaw!$B:$B,$A13,RecoveredRaw!AF:AF)</f>
        <v>0</v>
      </c>
      <c r="AD13">
        <f>SUMIF(RecoveredRaw!$B:$B,$A13,RecoveredRaw!AG:AG)</f>
        <v>0</v>
      </c>
      <c r="AE13">
        <f>SUMIF(RecoveredRaw!$B:$B,$A13,RecoveredRaw!AH:AH)</f>
        <v>0</v>
      </c>
      <c r="AF13">
        <f>SUMIF(RecoveredRaw!$B:$B,$A13,RecoveredRaw!AI:AI)</f>
        <v>0</v>
      </c>
      <c r="AG13">
        <f>SUMIF(RecoveredRaw!$B:$B,$A13,RecoveredRaw!AJ:AJ)</f>
        <v>0</v>
      </c>
      <c r="AH13">
        <f>SUMIF(RecoveredRaw!$B:$B,$A13,RecoveredRaw!AK:AK)</f>
        <v>0</v>
      </c>
      <c r="AI13">
        <f>SUMIF(RecoveredRaw!$B:$B,$A13,RecoveredRaw!AL:AL)</f>
        <v>0</v>
      </c>
      <c r="AJ13">
        <f>SUMIF(RecoveredRaw!$B:$B,$A13,RecoveredRaw!AM:AM)</f>
        <v>0</v>
      </c>
      <c r="AK13">
        <f>SUMIF(RecoveredRaw!$B:$B,$A13,RecoveredRaw!AN:AN)</f>
        <v>0</v>
      </c>
      <c r="AL13">
        <f>SUMIF(RecoveredRaw!$B:$B,$A13,RecoveredRaw!AO:AO)</f>
        <v>0</v>
      </c>
      <c r="AM13">
        <f>SUMIF(RecoveredRaw!$B:$B,$A13,RecoveredRaw!AP:AP)</f>
        <v>0</v>
      </c>
      <c r="AN13">
        <f>SUMIF(RecoveredRaw!$B:$B,$A13,RecoveredRaw!AQ:AQ)</f>
        <v>0</v>
      </c>
      <c r="AO13">
        <f>SUMIF(RecoveredRaw!$B:$B,$A13,RecoveredRaw!AR:AR)</f>
        <v>0</v>
      </c>
      <c r="AP13">
        <f>SUMIF(RecoveredRaw!$B:$B,$A13,RecoveredRaw!AS:AS)</f>
        <v>0</v>
      </c>
      <c r="AQ13">
        <f>SUMIF(RecoveredRaw!$B:$B,$A13,RecoveredRaw!AT:AT)</f>
        <v>0</v>
      </c>
      <c r="AR13">
        <f>SUMIF(RecoveredRaw!$B:$B,$A13,RecoveredRaw!AU:AU)</f>
        <v>0</v>
      </c>
      <c r="AS13">
        <f>SUMIF(RecoveredRaw!$B:$B,$A13,RecoveredRaw!AV:AV)</f>
        <v>0</v>
      </c>
      <c r="AT13">
        <f>SUMIF(RecoveredRaw!$B:$B,$A13,RecoveredRaw!AW:AW)</f>
        <v>1</v>
      </c>
      <c r="AU13">
        <f>SUMIF(RecoveredRaw!$B:$B,$A13,RecoveredRaw!AX:AX)</f>
        <v>1</v>
      </c>
      <c r="AV13">
        <f>SUMIF(RecoveredRaw!$B:$B,$A13,RecoveredRaw!AY:AY)</f>
        <v>1</v>
      </c>
      <c r="AW13">
        <f>SUMIF(RecoveredRaw!$B:$B,$A13,RecoveredRaw!AZ:AZ)</f>
        <v>1</v>
      </c>
      <c r="AX13">
        <f>SUMIF(RecoveredRaw!$B:$B,$A13,RecoveredRaw!BA:BA)</f>
        <v>1</v>
      </c>
      <c r="AY13">
        <f>SUMIF(RecoveredRaw!$B:$B,$A13,RecoveredRaw!BB:BB)</f>
        <v>1</v>
      </c>
      <c r="AZ13">
        <f>SUMIF(RecoveredRaw!$B:$B,$A13,RecoveredRaw!BC:BC)</f>
        <v>1</v>
      </c>
      <c r="BA13">
        <f>SUMIF(RecoveredRaw!$B:$B,$A13,RecoveredRaw!BD:BD)</f>
        <v>1</v>
      </c>
      <c r="BB13">
        <f>SUMIF(RecoveredRaw!$B:$B,$A13,RecoveredRaw!BE:BE)</f>
        <v>1</v>
      </c>
      <c r="BC13">
        <f>SUMIF(RecoveredRaw!$B:$B,$A13,RecoveredRaw!BF:BF)</f>
        <v>1</v>
      </c>
      <c r="BD13">
        <f>SUMIF(RecoveredRaw!$B:$B,$A13,RecoveredRaw!BG:BG)</f>
        <v>1</v>
      </c>
      <c r="BE13">
        <f>SUMIF(RecoveredRaw!$B:$B,$A13,RecoveredRaw!BH:BH)</f>
        <v>1</v>
      </c>
      <c r="BF13">
        <f>SUMIF(RecoveredRaw!$B:$B,$A13,RecoveredRaw!BI:BI)</f>
        <v>1</v>
      </c>
      <c r="BG13">
        <f>SUMIF(RecoveredRaw!$B:$B,$A13,RecoveredRaw!BJ:BJ)</f>
        <v>1</v>
      </c>
      <c r="BH13">
        <f>SUMIF(RecoveredRaw!$B:$B,$A13,RecoveredRaw!BK:BK)</f>
        <v>1</v>
      </c>
      <c r="BI13">
        <f>SUMIF(RecoveredRaw!$B:$B,$A13,RecoveredRaw!BL:BL)</f>
        <v>0</v>
      </c>
      <c r="BJ13">
        <f>SUMIF(RecoveredRaw!$B:$B,$A13,RecoveredRaw!BM:BM)</f>
        <v>0</v>
      </c>
      <c r="BK13">
        <f>SUMIF(RecoveredRaw!$B:$B,$A13,RecoveredRaw!BN:BN)</f>
        <v>0</v>
      </c>
      <c r="BL13">
        <f>SUMIF(RecoveredRaw!$B:$B,$A13,RecoveredRaw!BO:BO)</f>
        <v>0</v>
      </c>
      <c r="BM13">
        <f>SUMIF(RecoveredRaw!$B:$B,$A13,RecoveredRaw!BP:BP)</f>
        <v>0</v>
      </c>
      <c r="BN13">
        <f>SUMIF(RecoveredRaw!$B:$B,$A13,RecoveredRaw!BQ:BQ)</f>
        <v>0</v>
      </c>
      <c r="BO13">
        <f>SUMIF(RecoveredRaw!$B:$B,$A13,RecoveredRaw!BR:BR)</f>
        <v>0</v>
      </c>
      <c r="BP13">
        <f>SUMIF(RecoveredRaw!$B:$B,$A13,RecoveredRaw!BS:BS)</f>
        <v>0</v>
      </c>
      <c r="BQ13">
        <f>SUMIF(RecoveredRaw!$B:$B,$A13,RecoveredRaw!BT:BT)</f>
        <v>0</v>
      </c>
      <c r="BR13">
        <f>SUMIF(RecoveredRaw!$B:$B,$A13,RecoveredRaw!BU:BU)</f>
        <v>0</v>
      </c>
      <c r="BS13">
        <f>SUMIF(RecoveredRaw!$B:$B,$A13,RecoveredRaw!BV:BV)</f>
        <v>0</v>
      </c>
      <c r="BT13">
        <f>SUMIF(RecoveredRaw!$B:$B,$A13,RecoveredRaw!BW:BW)</f>
        <v>0</v>
      </c>
    </row>
    <row r="14" spans="1:72" ht="15" thickBot="1" x14ac:dyDescent="0.35">
      <c r="A14" s="3" t="s">
        <v>89</v>
      </c>
      <c r="B14">
        <f>SUMIF(RecoveredRaw!$B:$B,$A14,RecoveredRaw!E:E)</f>
        <v>0</v>
      </c>
      <c r="C14">
        <f>SUMIF(RecoveredRaw!$B:$B,$A14,RecoveredRaw!F:F)</f>
        <v>0</v>
      </c>
      <c r="D14">
        <f>SUMIF(RecoveredRaw!$B:$B,$A14,RecoveredRaw!G:G)</f>
        <v>0</v>
      </c>
      <c r="E14">
        <f>SUMIF(RecoveredRaw!$B:$B,$A14,RecoveredRaw!H:H)</f>
        <v>0</v>
      </c>
      <c r="F14">
        <f>SUMIF(RecoveredRaw!$B:$B,$A14,RecoveredRaw!I:I)</f>
        <v>0</v>
      </c>
      <c r="G14">
        <f>SUMIF(RecoveredRaw!$B:$B,$A14,RecoveredRaw!J:J)</f>
        <v>0</v>
      </c>
      <c r="H14">
        <f>SUMIF(RecoveredRaw!$B:$B,$A14,RecoveredRaw!K:K)</f>
        <v>0</v>
      </c>
      <c r="I14">
        <f>SUMIF(RecoveredRaw!$B:$B,$A14,RecoveredRaw!L:L)</f>
        <v>0</v>
      </c>
      <c r="J14">
        <f>SUMIF(RecoveredRaw!$B:$B,$A14,RecoveredRaw!M:M)</f>
        <v>0</v>
      </c>
      <c r="K14">
        <f>SUMIF(RecoveredRaw!$B:$B,$A14,RecoveredRaw!N:N)</f>
        <v>0</v>
      </c>
      <c r="L14">
        <f>SUMIF(RecoveredRaw!$B:$B,$A14,RecoveredRaw!O:O)</f>
        <v>0</v>
      </c>
      <c r="M14">
        <f>SUMIF(RecoveredRaw!$B:$B,$A14,RecoveredRaw!P:P)</f>
        <v>0</v>
      </c>
      <c r="N14">
        <f>SUMIF(RecoveredRaw!$B:$B,$A14,RecoveredRaw!Q:Q)</f>
        <v>0</v>
      </c>
      <c r="O14">
        <f>SUMIF(RecoveredRaw!$B:$B,$A14,RecoveredRaw!R:R)</f>
        <v>0</v>
      </c>
      <c r="P14">
        <f>SUMIF(RecoveredRaw!$B:$B,$A14,RecoveredRaw!S:S)</f>
        <v>0</v>
      </c>
      <c r="Q14">
        <f>SUMIF(RecoveredRaw!$B:$B,$A14,RecoveredRaw!T:T)</f>
        <v>0</v>
      </c>
      <c r="R14">
        <f>SUMIF(RecoveredRaw!$B:$B,$A14,RecoveredRaw!U:U)</f>
        <v>0</v>
      </c>
      <c r="S14">
        <f>SUMIF(RecoveredRaw!$B:$B,$A14,RecoveredRaw!V:V)</f>
        <v>0</v>
      </c>
      <c r="T14">
        <f>SUMIF(RecoveredRaw!$B:$B,$A14,RecoveredRaw!W:W)</f>
        <v>0</v>
      </c>
      <c r="U14">
        <f>SUMIF(RecoveredRaw!$B:$B,$A14,RecoveredRaw!X:X)</f>
        <v>0</v>
      </c>
      <c r="V14">
        <f>SUMIF(RecoveredRaw!$B:$B,$A14,RecoveredRaw!Y:Y)</f>
        <v>0</v>
      </c>
      <c r="W14">
        <f>SUMIF(RecoveredRaw!$B:$B,$A14,RecoveredRaw!Z:Z)</f>
        <v>0</v>
      </c>
      <c r="X14">
        <f>SUMIF(RecoveredRaw!$B:$B,$A14,RecoveredRaw!AA:AA)</f>
        <v>0</v>
      </c>
      <c r="Y14">
        <f>SUMIF(RecoveredRaw!$B:$B,$A14,RecoveredRaw!AB:AB)</f>
        <v>0</v>
      </c>
      <c r="Z14">
        <f>SUMIF(RecoveredRaw!$B:$B,$A14,RecoveredRaw!AC:AC)</f>
        <v>0</v>
      </c>
      <c r="AA14">
        <f>SUMIF(RecoveredRaw!$B:$B,$A14,RecoveredRaw!AD:AD)</f>
        <v>0</v>
      </c>
      <c r="AB14">
        <f>SUMIF(RecoveredRaw!$B:$B,$A14,RecoveredRaw!AE:AE)</f>
        <v>0</v>
      </c>
      <c r="AC14">
        <f>SUMIF(RecoveredRaw!$B:$B,$A14,RecoveredRaw!AF:AF)</f>
        <v>0</v>
      </c>
      <c r="AD14">
        <f>SUMIF(RecoveredRaw!$B:$B,$A14,RecoveredRaw!AG:AG)</f>
        <v>0</v>
      </c>
      <c r="AE14">
        <f>SUMIF(RecoveredRaw!$B:$B,$A14,RecoveredRaw!AH:AH)</f>
        <v>0</v>
      </c>
      <c r="AF14">
        <f>SUMIF(RecoveredRaw!$B:$B,$A14,RecoveredRaw!AI:AI)</f>
        <v>0</v>
      </c>
      <c r="AG14">
        <f>SUMIF(RecoveredRaw!$B:$B,$A14,RecoveredRaw!AJ:AJ)</f>
        <v>0</v>
      </c>
      <c r="AH14">
        <f>SUMIF(RecoveredRaw!$B:$B,$A14,RecoveredRaw!AK:AK)</f>
        <v>0</v>
      </c>
      <c r="AI14">
        <f>SUMIF(RecoveredRaw!$B:$B,$A14,RecoveredRaw!AL:AL)</f>
        <v>0</v>
      </c>
      <c r="AJ14">
        <f>SUMIF(RecoveredRaw!$B:$B,$A14,RecoveredRaw!AM:AM)</f>
        <v>0</v>
      </c>
      <c r="AK14">
        <f>SUMIF(RecoveredRaw!$B:$B,$A14,RecoveredRaw!AN:AN)</f>
        <v>0</v>
      </c>
      <c r="AL14">
        <f>SUMIF(RecoveredRaw!$B:$B,$A14,RecoveredRaw!AO:AO)</f>
        <v>0</v>
      </c>
      <c r="AM14">
        <f>SUMIF(RecoveredRaw!$B:$B,$A14,RecoveredRaw!AP:AP)</f>
        <v>0</v>
      </c>
      <c r="AN14">
        <f>SUMIF(RecoveredRaw!$B:$B,$A14,RecoveredRaw!AQ:AQ)</f>
        <v>0</v>
      </c>
      <c r="AO14">
        <f>SUMIF(RecoveredRaw!$B:$B,$A14,RecoveredRaw!AR:AR)</f>
        <v>0</v>
      </c>
      <c r="AP14">
        <f>SUMIF(RecoveredRaw!$B:$B,$A14,RecoveredRaw!AS:AS)</f>
        <v>0</v>
      </c>
      <c r="AQ14">
        <f>SUMIF(RecoveredRaw!$B:$B,$A14,RecoveredRaw!AT:AT)</f>
        <v>0</v>
      </c>
      <c r="AR14">
        <f>SUMIF(RecoveredRaw!$B:$B,$A14,RecoveredRaw!AU:AU)</f>
        <v>0</v>
      </c>
      <c r="AS14">
        <f>SUMIF(RecoveredRaw!$B:$B,$A14,RecoveredRaw!AV:AV)</f>
        <v>0</v>
      </c>
      <c r="AT14">
        <f>SUMIF(RecoveredRaw!$B:$B,$A14,RecoveredRaw!AW:AW)</f>
        <v>0</v>
      </c>
      <c r="AU14">
        <f>SUMIF(RecoveredRaw!$B:$B,$A14,RecoveredRaw!AX:AX)</f>
        <v>0</v>
      </c>
      <c r="AV14">
        <f>SUMIF(RecoveredRaw!$B:$B,$A14,RecoveredRaw!AY:AY)</f>
        <v>0</v>
      </c>
      <c r="AW14">
        <f>SUMIF(RecoveredRaw!$B:$B,$A14,RecoveredRaw!AZ:AZ)</f>
        <v>0</v>
      </c>
      <c r="AX14">
        <f>SUMIF(RecoveredRaw!$B:$B,$A14,RecoveredRaw!BA:BA)</f>
        <v>0</v>
      </c>
      <c r="AY14">
        <f>SUMIF(RecoveredRaw!$B:$B,$A14,RecoveredRaw!BB:BB)</f>
        <v>0</v>
      </c>
      <c r="AZ14">
        <f>SUMIF(RecoveredRaw!$B:$B,$A14,RecoveredRaw!BC:BC)</f>
        <v>0</v>
      </c>
      <c r="BA14">
        <f>SUMIF(RecoveredRaw!$B:$B,$A14,RecoveredRaw!BD:BD)</f>
        <v>0</v>
      </c>
      <c r="BB14">
        <f>SUMIF(RecoveredRaw!$B:$B,$A14,RecoveredRaw!BE:BE)</f>
        <v>2</v>
      </c>
      <c r="BC14">
        <f>SUMIF(RecoveredRaw!$B:$B,$A14,RecoveredRaw!BF:BF)</f>
        <v>2</v>
      </c>
      <c r="BD14">
        <f>SUMIF(RecoveredRaw!$B:$B,$A14,RecoveredRaw!BG:BG)</f>
        <v>2</v>
      </c>
      <c r="BE14">
        <f>SUMIF(RecoveredRaw!$B:$B,$A14,RecoveredRaw!BH:BH)</f>
        <v>2</v>
      </c>
      <c r="BF14">
        <f>SUMIF(RecoveredRaw!$B:$B,$A14,RecoveredRaw!BI:BI)</f>
        <v>2</v>
      </c>
      <c r="BG14">
        <f>SUMIF(RecoveredRaw!$B:$B,$A14,RecoveredRaw!BJ:BJ)</f>
        <v>2</v>
      </c>
      <c r="BH14">
        <f>SUMIF(RecoveredRaw!$B:$B,$A14,RecoveredRaw!BK:BK)</f>
        <v>2</v>
      </c>
      <c r="BI14">
        <f>SUMIF(RecoveredRaw!$B:$B,$A14,RecoveredRaw!BL:BL)</f>
        <v>0</v>
      </c>
      <c r="BJ14">
        <f>SUMIF(RecoveredRaw!$B:$B,$A14,RecoveredRaw!BM:BM)</f>
        <v>0</v>
      </c>
      <c r="BK14">
        <f>SUMIF(RecoveredRaw!$B:$B,$A14,RecoveredRaw!BN:BN)</f>
        <v>0</v>
      </c>
      <c r="BL14">
        <f>SUMIF(RecoveredRaw!$B:$B,$A14,RecoveredRaw!BO:BO)</f>
        <v>0</v>
      </c>
      <c r="BM14">
        <f>SUMIF(RecoveredRaw!$B:$B,$A14,RecoveredRaw!BP:BP)</f>
        <v>0</v>
      </c>
      <c r="BN14">
        <f>SUMIF(RecoveredRaw!$B:$B,$A14,RecoveredRaw!BQ:BQ)</f>
        <v>0</v>
      </c>
      <c r="BO14">
        <f>SUMIF(RecoveredRaw!$B:$B,$A14,RecoveredRaw!BR:BR)</f>
        <v>0</v>
      </c>
      <c r="BP14">
        <f>SUMIF(RecoveredRaw!$B:$B,$A14,RecoveredRaw!BS:BS)</f>
        <v>0</v>
      </c>
      <c r="BQ14">
        <f>SUMIF(RecoveredRaw!$B:$B,$A14,RecoveredRaw!BT:BT)</f>
        <v>0</v>
      </c>
      <c r="BR14">
        <f>SUMIF(RecoveredRaw!$B:$B,$A14,RecoveredRaw!BU:BU)</f>
        <v>0</v>
      </c>
      <c r="BS14">
        <f>SUMIF(RecoveredRaw!$B:$B,$A14,RecoveredRaw!BV:BV)</f>
        <v>0</v>
      </c>
      <c r="BT14">
        <f>SUMIF(RecoveredRaw!$B:$B,$A14,RecoveredRaw!BW:BW)</f>
        <v>0</v>
      </c>
    </row>
    <row r="15" spans="1:72" ht="15" thickBot="1" x14ac:dyDescent="0.35">
      <c r="A15" s="3" t="s">
        <v>349</v>
      </c>
      <c r="B15">
        <f>SUMIF(RecoveredRaw!$B:$B,$A15,RecoveredRaw!E:E)</f>
        <v>0</v>
      </c>
      <c r="C15">
        <f>SUMIF(RecoveredRaw!$B:$B,$A15,RecoveredRaw!F:F)</f>
        <v>0</v>
      </c>
      <c r="D15">
        <f>SUMIF(RecoveredRaw!$B:$B,$A15,RecoveredRaw!G:G)</f>
        <v>0</v>
      </c>
      <c r="E15">
        <f>SUMIF(RecoveredRaw!$B:$B,$A15,RecoveredRaw!H:H)</f>
        <v>0</v>
      </c>
      <c r="F15">
        <f>SUMIF(RecoveredRaw!$B:$B,$A15,RecoveredRaw!I:I)</f>
        <v>0</v>
      </c>
      <c r="G15">
        <f>SUMIF(RecoveredRaw!$B:$B,$A15,RecoveredRaw!J:J)</f>
        <v>0</v>
      </c>
      <c r="H15">
        <f>SUMIF(RecoveredRaw!$B:$B,$A15,RecoveredRaw!K:K)</f>
        <v>0</v>
      </c>
      <c r="I15">
        <f>SUMIF(RecoveredRaw!$B:$B,$A15,RecoveredRaw!L:L)</f>
        <v>0</v>
      </c>
      <c r="J15">
        <f>SUMIF(RecoveredRaw!$B:$B,$A15,RecoveredRaw!M:M)</f>
        <v>0</v>
      </c>
      <c r="K15">
        <f>SUMIF(RecoveredRaw!$B:$B,$A15,RecoveredRaw!N:N)</f>
        <v>0</v>
      </c>
      <c r="L15">
        <f>SUMIF(RecoveredRaw!$B:$B,$A15,RecoveredRaw!O:O)</f>
        <v>0</v>
      </c>
      <c r="M15">
        <f>SUMIF(RecoveredRaw!$B:$B,$A15,RecoveredRaw!P:P)</f>
        <v>0</v>
      </c>
      <c r="N15">
        <f>SUMIF(RecoveredRaw!$B:$B,$A15,RecoveredRaw!Q:Q)</f>
        <v>0</v>
      </c>
      <c r="O15">
        <f>SUMIF(RecoveredRaw!$B:$B,$A15,RecoveredRaw!R:R)</f>
        <v>0</v>
      </c>
      <c r="P15">
        <f>SUMIF(RecoveredRaw!$B:$B,$A15,RecoveredRaw!S:S)</f>
        <v>0</v>
      </c>
      <c r="Q15">
        <f>SUMIF(RecoveredRaw!$B:$B,$A15,RecoveredRaw!T:T)</f>
        <v>0</v>
      </c>
      <c r="R15">
        <f>SUMIF(RecoveredRaw!$B:$B,$A15,RecoveredRaw!U:U)</f>
        <v>0</v>
      </c>
      <c r="S15">
        <f>SUMIF(RecoveredRaw!$B:$B,$A15,RecoveredRaw!V:V)</f>
        <v>0</v>
      </c>
      <c r="T15">
        <f>SUMIF(RecoveredRaw!$B:$B,$A15,RecoveredRaw!W:W)</f>
        <v>0</v>
      </c>
      <c r="U15">
        <f>SUMIF(RecoveredRaw!$B:$B,$A15,RecoveredRaw!X:X)</f>
        <v>0</v>
      </c>
      <c r="V15">
        <f>SUMIF(RecoveredRaw!$B:$B,$A15,RecoveredRaw!Y:Y)</f>
        <v>0</v>
      </c>
      <c r="W15">
        <f>SUMIF(RecoveredRaw!$B:$B,$A15,RecoveredRaw!Z:Z)</f>
        <v>1</v>
      </c>
      <c r="X15">
        <f>SUMIF(RecoveredRaw!$B:$B,$A15,RecoveredRaw!AA:AA)</f>
        <v>1</v>
      </c>
      <c r="Y15">
        <f>SUMIF(RecoveredRaw!$B:$B,$A15,RecoveredRaw!AB:AB)</f>
        <v>1</v>
      </c>
      <c r="Z15">
        <f>SUMIF(RecoveredRaw!$B:$B,$A15,RecoveredRaw!AC:AC)</f>
        <v>1</v>
      </c>
      <c r="AA15">
        <f>SUMIF(RecoveredRaw!$B:$B,$A15,RecoveredRaw!AD:AD)</f>
        <v>8</v>
      </c>
      <c r="AB15">
        <f>SUMIF(RecoveredRaw!$B:$B,$A15,RecoveredRaw!AE:AE)</f>
        <v>8</v>
      </c>
      <c r="AC15">
        <f>SUMIF(RecoveredRaw!$B:$B,$A15,RecoveredRaw!AF:AF)</f>
        <v>8</v>
      </c>
      <c r="AD15">
        <f>SUMIF(RecoveredRaw!$B:$B,$A15,RecoveredRaw!AG:AG)</f>
        <v>8</v>
      </c>
      <c r="AE15">
        <f>SUMIF(RecoveredRaw!$B:$B,$A15,RecoveredRaw!AH:AH)</f>
        <v>8</v>
      </c>
      <c r="AF15">
        <f>SUMIF(RecoveredRaw!$B:$B,$A15,RecoveredRaw!AI:AI)</f>
        <v>8</v>
      </c>
      <c r="AG15">
        <f>SUMIF(RecoveredRaw!$B:$B,$A15,RecoveredRaw!AJ:AJ)</f>
        <v>8</v>
      </c>
      <c r="AH15">
        <f>SUMIF(RecoveredRaw!$B:$B,$A15,RecoveredRaw!AK:AK)</f>
        <v>8</v>
      </c>
      <c r="AI15">
        <f>SUMIF(RecoveredRaw!$B:$B,$A15,RecoveredRaw!AL:AL)</f>
        <v>8</v>
      </c>
      <c r="AJ15">
        <f>SUMIF(RecoveredRaw!$B:$B,$A15,RecoveredRaw!AM:AM)</f>
        <v>8</v>
      </c>
      <c r="AK15">
        <f>SUMIF(RecoveredRaw!$B:$B,$A15,RecoveredRaw!AN:AN)</f>
        <v>8</v>
      </c>
      <c r="AL15">
        <f>SUMIF(RecoveredRaw!$B:$B,$A15,RecoveredRaw!AO:AO)</f>
        <v>8</v>
      </c>
      <c r="AM15">
        <f>SUMIF(RecoveredRaw!$B:$B,$A15,RecoveredRaw!AP:AP)</f>
        <v>8</v>
      </c>
      <c r="AN15">
        <f>SUMIF(RecoveredRaw!$B:$B,$A15,RecoveredRaw!AQ:AQ)</f>
        <v>8</v>
      </c>
      <c r="AO15">
        <f>SUMIF(RecoveredRaw!$B:$B,$A15,RecoveredRaw!AR:AR)</f>
        <v>8</v>
      </c>
      <c r="AP15">
        <f>SUMIF(RecoveredRaw!$B:$B,$A15,RecoveredRaw!AS:AS)</f>
        <v>8</v>
      </c>
      <c r="AQ15">
        <f>SUMIF(RecoveredRaw!$B:$B,$A15,RecoveredRaw!AT:AT)</f>
        <v>8</v>
      </c>
      <c r="AR15">
        <f>SUMIF(RecoveredRaw!$B:$B,$A15,RecoveredRaw!AU:AU)</f>
        <v>8</v>
      </c>
      <c r="AS15">
        <f>SUMIF(RecoveredRaw!$B:$B,$A15,RecoveredRaw!AV:AV)</f>
        <v>8</v>
      </c>
      <c r="AT15">
        <f>SUMIF(RecoveredRaw!$B:$B,$A15,RecoveredRaw!AW:AW)</f>
        <v>8</v>
      </c>
      <c r="AU15">
        <f>SUMIF(RecoveredRaw!$B:$B,$A15,RecoveredRaw!AX:AX)</f>
        <v>18</v>
      </c>
      <c r="AV15">
        <f>SUMIF(RecoveredRaw!$B:$B,$A15,RecoveredRaw!AY:AY)</f>
        <v>18</v>
      </c>
      <c r="AW15">
        <f>SUMIF(RecoveredRaw!$B:$B,$A15,RecoveredRaw!AZ:AZ)</f>
        <v>18</v>
      </c>
      <c r="AX15">
        <f>SUMIF(RecoveredRaw!$B:$B,$A15,RecoveredRaw!BA:BA)</f>
        <v>19</v>
      </c>
      <c r="AY15">
        <f>SUMIF(RecoveredRaw!$B:$B,$A15,RecoveredRaw!BB:BB)</f>
        <v>19</v>
      </c>
      <c r="AZ15">
        <f>SUMIF(RecoveredRaw!$B:$B,$A15,RecoveredRaw!BC:BC)</f>
        <v>19</v>
      </c>
      <c r="BA15">
        <f>SUMIF(RecoveredRaw!$B:$B,$A15,RecoveredRaw!BD:BD)</f>
        <v>19</v>
      </c>
      <c r="BB15">
        <f>SUMIF(RecoveredRaw!$B:$B,$A15,RecoveredRaw!BE:BE)</f>
        <v>19</v>
      </c>
      <c r="BC15">
        <f>SUMIF(RecoveredRaw!$B:$B,$A15,RecoveredRaw!BF:BF)</f>
        <v>19</v>
      </c>
      <c r="BD15">
        <f>SUMIF(RecoveredRaw!$B:$B,$A15,RecoveredRaw!BG:BG)</f>
        <v>21</v>
      </c>
      <c r="BE15">
        <f>SUMIF(RecoveredRaw!$B:$B,$A15,RecoveredRaw!BH:BH)</f>
        <v>53</v>
      </c>
      <c r="BF15">
        <f>SUMIF(RecoveredRaw!$B:$B,$A15,RecoveredRaw!BI:BI)</f>
        <v>67</v>
      </c>
      <c r="BG15">
        <f>SUMIF(RecoveredRaw!$B:$B,$A15,RecoveredRaw!BJ:BJ)</f>
        <v>67</v>
      </c>
      <c r="BH15">
        <f>SUMIF(RecoveredRaw!$B:$B,$A15,RecoveredRaw!BK:BK)</f>
        <v>67</v>
      </c>
      <c r="BI15">
        <f>SUMIF(RecoveredRaw!$B:$B,$A15,RecoveredRaw!BL:BL)</f>
        <v>0</v>
      </c>
      <c r="BJ15">
        <f>SUMIF(RecoveredRaw!$B:$B,$A15,RecoveredRaw!BM:BM)</f>
        <v>0</v>
      </c>
      <c r="BK15">
        <f>SUMIF(RecoveredRaw!$B:$B,$A15,RecoveredRaw!BN:BN)</f>
        <v>0</v>
      </c>
      <c r="BL15">
        <f>SUMIF(RecoveredRaw!$B:$B,$A15,RecoveredRaw!BO:BO)</f>
        <v>0</v>
      </c>
      <c r="BM15">
        <f>SUMIF(RecoveredRaw!$B:$B,$A15,RecoveredRaw!BP:BP)</f>
        <v>0</v>
      </c>
      <c r="BN15">
        <f>SUMIF(RecoveredRaw!$B:$B,$A15,RecoveredRaw!BQ:BQ)</f>
        <v>0</v>
      </c>
      <c r="BO15">
        <f>SUMIF(RecoveredRaw!$B:$B,$A15,RecoveredRaw!BR:BR)</f>
        <v>0</v>
      </c>
      <c r="BP15">
        <f>SUMIF(RecoveredRaw!$B:$B,$A15,RecoveredRaw!BS:BS)</f>
        <v>0</v>
      </c>
      <c r="BQ15">
        <f>SUMIF(RecoveredRaw!$B:$B,$A15,RecoveredRaw!BT:BT)</f>
        <v>0</v>
      </c>
      <c r="BR15">
        <f>SUMIF(RecoveredRaw!$B:$B,$A15,RecoveredRaw!BU:BU)</f>
        <v>0</v>
      </c>
      <c r="BS15">
        <f>SUMIF(RecoveredRaw!$B:$B,$A15,RecoveredRaw!BV:BV)</f>
        <v>0</v>
      </c>
      <c r="BT15">
        <f>SUMIF(RecoveredRaw!$B:$B,$A15,RecoveredRaw!BW:BW)</f>
        <v>0</v>
      </c>
    </row>
    <row r="16" spans="1:72" ht="15" thickBot="1" x14ac:dyDescent="0.35">
      <c r="A16" s="4" t="s">
        <v>36</v>
      </c>
      <c r="B16">
        <f>SUMIF(RecoveredRaw!$B:$B,$A16,RecoveredRaw!E:E)</f>
        <v>0</v>
      </c>
      <c r="C16">
        <f>SUMIF(RecoveredRaw!$B:$B,$A16,RecoveredRaw!F:F)</f>
        <v>0</v>
      </c>
      <c r="D16">
        <f>SUMIF(RecoveredRaw!$B:$B,$A16,RecoveredRaw!G:G)</f>
        <v>0</v>
      </c>
      <c r="E16">
        <f>SUMIF(RecoveredRaw!$B:$B,$A16,RecoveredRaw!H:H)</f>
        <v>0</v>
      </c>
      <c r="F16">
        <f>SUMIF(RecoveredRaw!$B:$B,$A16,RecoveredRaw!I:I)</f>
        <v>1</v>
      </c>
      <c r="G16">
        <f>SUMIF(RecoveredRaw!$B:$B,$A16,RecoveredRaw!J:J)</f>
        <v>1</v>
      </c>
      <c r="H16">
        <f>SUMIF(RecoveredRaw!$B:$B,$A16,RecoveredRaw!K:K)</f>
        <v>1</v>
      </c>
      <c r="I16">
        <f>SUMIF(RecoveredRaw!$B:$B,$A16,RecoveredRaw!L:L)</f>
        <v>1</v>
      </c>
      <c r="J16">
        <f>SUMIF(RecoveredRaw!$B:$B,$A16,RecoveredRaw!M:M)</f>
        <v>1</v>
      </c>
      <c r="K16">
        <f>SUMIF(RecoveredRaw!$B:$B,$A16,RecoveredRaw!N:N)</f>
        <v>1</v>
      </c>
      <c r="L16">
        <f>SUMIF(RecoveredRaw!$B:$B,$A16,RecoveredRaw!O:O)</f>
        <v>1</v>
      </c>
      <c r="M16">
        <f>SUMIF(RecoveredRaw!$B:$B,$A16,RecoveredRaw!P:P)</f>
        <v>1</v>
      </c>
      <c r="N16">
        <f>SUMIF(RecoveredRaw!$B:$B,$A16,RecoveredRaw!Q:Q)</f>
        <v>1</v>
      </c>
      <c r="O16">
        <f>SUMIF(RecoveredRaw!$B:$B,$A16,RecoveredRaw!R:R)</f>
        <v>1</v>
      </c>
      <c r="P16">
        <f>SUMIF(RecoveredRaw!$B:$B,$A16,RecoveredRaw!S:S)</f>
        <v>1</v>
      </c>
      <c r="Q16">
        <f>SUMIF(RecoveredRaw!$B:$B,$A16,RecoveredRaw!T:T)</f>
        <v>1</v>
      </c>
      <c r="R16">
        <f>SUMIF(RecoveredRaw!$B:$B,$A16,RecoveredRaw!U:U)</f>
        <v>1</v>
      </c>
      <c r="S16">
        <f>SUMIF(RecoveredRaw!$B:$B,$A16,RecoveredRaw!V:V)</f>
        <v>1</v>
      </c>
      <c r="T16">
        <f>SUMIF(RecoveredRaw!$B:$B,$A16,RecoveredRaw!W:W)</f>
        <v>1</v>
      </c>
      <c r="U16">
        <f>SUMIF(RecoveredRaw!$B:$B,$A16,RecoveredRaw!X:X)</f>
        <v>4</v>
      </c>
      <c r="V16">
        <f>SUMIF(RecoveredRaw!$B:$B,$A16,RecoveredRaw!Y:Y)</f>
        <v>9</v>
      </c>
      <c r="W16">
        <f>SUMIF(RecoveredRaw!$B:$B,$A16,RecoveredRaw!Z:Z)</f>
        <v>9</v>
      </c>
      <c r="X16">
        <f>SUMIF(RecoveredRaw!$B:$B,$A16,RecoveredRaw!AA:AA)</f>
        <v>9</v>
      </c>
      <c r="Y16">
        <f>SUMIF(RecoveredRaw!$B:$B,$A16,RecoveredRaw!AB:AB)</f>
        <v>9</v>
      </c>
      <c r="Z16">
        <f>SUMIF(RecoveredRaw!$B:$B,$A16,RecoveredRaw!AC:AC)</f>
        <v>12</v>
      </c>
      <c r="AA16">
        <f>SUMIF(RecoveredRaw!$B:$B,$A16,RecoveredRaw!AD:AD)</f>
        <v>12</v>
      </c>
      <c r="AB16">
        <f>SUMIF(RecoveredRaw!$B:$B,$A16,RecoveredRaw!AE:AE)</f>
        <v>12</v>
      </c>
      <c r="AC16">
        <f>SUMIF(RecoveredRaw!$B:$B,$A16,RecoveredRaw!AF:AF)</f>
        <v>13</v>
      </c>
      <c r="AD16">
        <f>SUMIF(RecoveredRaw!$B:$B,$A16,RecoveredRaw!AG:AG)</f>
        <v>18</v>
      </c>
      <c r="AE16">
        <f>SUMIF(RecoveredRaw!$B:$B,$A16,RecoveredRaw!AH:AH)</f>
        <v>18</v>
      </c>
      <c r="AF16">
        <f>SUMIF(RecoveredRaw!$B:$B,$A16,RecoveredRaw!AI:AI)</f>
        <v>22</v>
      </c>
      <c r="AG16">
        <f>SUMIF(RecoveredRaw!$B:$B,$A16,RecoveredRaw!AJ:AJ)</f>
        <v>22</v>
      </c>
      <c r="AH16">
        <f>SUMIF(RecoveredRaw!$B:$B,$A16,RecoveredRaw!AK:AK)</f>
        <v>22</v>
      </c>
      <c r="AI16">
        <f>SUMIF(RecoveredRaw!$B:$B,$A16,RecoveredRaw!AL:AL)</f>
        <v>22</v>
      </c>
      <c r="AJ16">
        <f>SUMIF(RecoveredRaw!$B:$B,$A16,RecoveredRaw!AM:AM)</f>
        <v>22</v>
      </c>
      <c r="AK16">
        <f>SUMIF(RecoveredRaw!$B:$B,$A16,RecoveredRaw!AN:AN)</f>
        <v>22</v>
      </c>
      <c r="AL16">
        <f>SUMIF(RecoveredRaw!$B:$B,$A16,RecoveredRaw!AO:AO)</f>
        <v>22</v>
      </c>
      <c r="AM16">
        <f>SUMIF(RecoveredRaw!$B:$B,$A16,RecoveredRaw!AP:AP)</f>
        <v>22</v>
      </c>
      <c r="AN16">
        <f>SUMIF(RecoveredRaw!$B:$B,$A16,RecoveredRaw!AQ:AQ)</f>
        <v>32</v>
      </c>
      <c r="AO16">
        <f>SUMIF(RecoveredRaw!$B:$B,$A16,RecoveredRaw!AR:AR)</f>
        <v>32</v>
      </c>
      <c r="AP16">
        <f>SUMIF(RecoveredRaw!$B:$B,$A16,RecoveredRaw!AS:AS)</f>
        <v>32</v>
      </c>
      <c r="AQ16">
        <f>SUMIF(RecoveredRaw!$B:$B,$A16,RecoveredRaw!AT:AT)</f>
        <v>43</v>
      </c>
      <c r="AR16">
        <f>SUMIF(RecoveredRaw!$B:$B,$A16,RecoveredRaw!AU:AU)</f>
        <v>43</v>
      </c>
      <c r="AS16">
        <f>SUMIF(RecoveredRaw!$B:$B,$A16,RecoveredRaw!AV:AV)</f>
        <v>43</v>
      </c>
      <c r="AT16">
        <f>SUMIF(RecoveredRaw!$B:$B,$A16,RecoveredRaw!AW:AW)</f>
        <v>46</v>
      </c>
      <c r="AU16">
        <f>SUMIF(RecoveredRaw!$B:$B,$A16,RecoveredRaw!AX:AX)</f>
        <v>76</v>
      </c>
      <c r="AV16">
        <f>SUMIF(RecoveredRaw!$B:$B,$A16,RecoveredRaw!AY:AY)</f>
        <v>76</v>
      </c>
      <c r="AW16">
        <f>SUMIF(RecoveredRaw!$B:$B,$A16,RecoveredRaw!AZ:AZ)</f>
        <v>76</v>
      </c>
      <c r="AX16">
        <f>SUMIF(RecoveredRaw!$B:$B,$A16,RecoveredRaw!BA:BA)</f>
        <v>101</v>
      </c>
      <c r="AY16">
        <f>SUMIF(RecoveredRaw!$B:$B,$A16,RecoveredRaw!BB:BB)</f>
        <v>118</v>
      </c>
      <c r="AZ16">
        <f>SUMIF(RecoveredRaw!$B:$B,$A16,RecoveredRaw!BC:BC)</f>
        <v>118</v>
      </c>
      <c r="BA16">
        <f>SUMIF(RecoveredRaw!$B:$B,$A16,RecoveredRaw!BD:BD)</f>
        <v>118</v>
      </c>
      <c r="BB16">
        <f>SUMIF(RecoveredRaw!$B:$B,$A16,RecoveredRaw!BE:BE)</f>
        <v>118</v>
      </c>
      <c r="BC16">
        <f>SUMIF(RecoveredRaw!$B:$B,$A16,RecoveredRaw!BF:BF)</f>
        <v>118</v>
      </c>
      <c r="BD16">
        <f>SUMIF(RecoveredRaw!$B:$B,$A16,RecoveredRaw!BG:BG)</f>
        <v>144</v>
      </c>
      <c r="BE16">
        <f>SUMIF(RecoveredRaw!$B:$B,$A16,RecoveredRaw!BH:BH)</f>
        <v>144</v>
      </c>
      <c r="BF16">
        <f>SUMIF(RecoveredRaw!$B:$B,$A16,RecoveredRaw!BI:BI)</f>
        <v>144</v>
      </c>
      <c r="BG16">
        <f>SUMIF(RecoveredRaw!$B:$B,$A16,RecoveredRaw!BJ:BJ)</f>
        <v>150</v>
      </c>
      <c r="BH16">
        <f>SUMIF(RecoveredRaw!$B:$B,$A16,RecoveredRaw!BK:BK)</f>
        <v>191</v>
      </c>
      <c r="BI16">
        <f>SUMIF(RecoveredRaw!$B:$B,$A16,RecoveredRaw!BL:BL)</f>
        <v>0</v>
      </c>
      <c r="BJ16">
        <f>SUMIF(RecoveredRaw!$B:$B,$A16,RecoveredRaw!BM:BM)</f>
        <v>0</v>
      </c>
      <c r="BK16">
        <f>SUMIF(RecoveredRaw!$B:$B,$A16,RecoveredRaw!BN:BN)</f>
        <v>0</v>
      </c>
      <c r="BL16">
        <f>SUMIF(RecoveredRaw!$B:$B,$A16,RecoveredRaw!BO:BO)</f>
        <v>0</v>
      </c>
      <c r="BM16">
        <f>SUMIF(RecoveredRaw!$B:$B,$A16,RecoveredRaw!BP:BP)</f>
        <v>0</v>
      </c>
      <c r="BN16">
        <f>SUMIF(RecoveredRaw!$B:$B,$A16,RecoveredRaw!BQ:BQ)</f>
        <v>0</v>
      </c>
      <c r="BO16">
        <f>SUMIF(RecoveredRaw!$B:$B,$A16,RecoveredRaw!BR:BR)</f>
        <v>0</v>
      </c>
      <c r="BP16">
        <f>SUMIF(RecoveredRaw!$B:$B,$A16,RecoveredRaw!BS:BS)</f>
        <v>0</v>
      </c>
      <c r="BQ16">
        <f>SUMIF(RecoveredRaw!$B:$B,$A16,RecoveredRaw!BT:BT)</f>
        <v>0</v>
      </c>
      <c r="BR16">
        <f>SUMIF(RecoveredRaw!$B:$B,$A16,RecoveredRaw!BU:BU)</f>
        <v>0</v>
      </c>
      <c r="BS16">
        <f>SUMIF(RecoveredRaw!$B:$B,$A16,RecoveredRaw!BV:BV)</f>
        <v>0</v>
      </c>
      <c r="BT16">
        <f>SUMIF(RecoveredRaw!$B:$B,$A16,RecoveredRaw!BW:BW)</f>
        <v>0</v>
      </c>
    </row>
    <row r="17" spans="1:72" ht="15" thickBot="1" x14ac:dyDescent="0.35">
      <c r="A17" s="4" t="s">
        <v>340</v>
      </c>
      <c r="B17">
        <f>SUMIF(RecoveredRaw!$B:$B,$A17,RecoveredRaw!E:E)</f>
        <v>0</v>
      </c>
      <c r="C17">
        <f>SUMIF(RecoveredRaw!$B:$B,$A17,RecoveredRaw!F:F)</f>
        <v>0</v>
      </c>
      <c r="D17">
        <f>SUMIF(RecoveredRaw!$B:$B,$A17,RecoveredRaw!G:G)</f>
        <v>0</v>
      </c>
      <c r="E17">
        <f>SUMIF(RecoveredRaw!$B:$B,$A17,RecoveredRaw!H:H)</f>
        <v>0</v>
      </c>
      <c r="F17">
        <f>SUMIF(RecoveredRaw!$B:$B,$A17,RecoveredRaw!I:I)</f>
        <v>0</v>
      </c>
      <c r="G17">
        <f>SUMIF(RecoveredRaw!$B:$B,$A17,RecoveredRaw!J:J)</f>
        <v>0</v>
      </c>
      <c r="H17">
        <f>SUMIF(RecoveredRaw!$B:$B,$A17,RecoveredRaw!K:K)</f>
        <v>0</v>
      </c>
      <c r="I17">
        <f>SUMIF(RecoveredRaw!$B:$B,$A17,RecoveredRaw!L:L)</f>
        <v>0</v>
      </c>
      <c r="J17">
        <f>SUMIF(RecoveredRaw!$B:$B,$A17,RecoveredRaw!M:M)</f>
        <v>0</v>
      </c>
      <c r="K17">
        <f>SUMIF(RecoveredRaw!$B:$B,$A17,RecoveredRaw!N:N)</f>
        <v>0</v>
      </c>
      <c r="L17">
        <f>SUMIF(RecoveredRaw!$B:$B,$A17,RecoveredRaw!O:O)</f>
        <v>0</v>
      </c>
      <c r="M17">
        <f>SUMIF(RecoveredRaw!$B:$B,$A17,RecoveredRaw!P:P)</f>
        <v>0</v>
      </c>
      <c r="N17">
        <f>SUMIF(RecoveredRaw!$B:$B,$A17,RecoveredRaw!Q:Q)</f>
        <v>0</v>
      </c>
      <c r="O17">
        <f>SUMIF(RecoveredRaw!$B:$B,$A17,RecoveredRaw!R:R)</f>
        <v>0</v>
      </c>
      <c r="P17">
        <f>SUMIF(RecoveredRaw!$B:$B,$A17,RecoveredRaw!S:S)</f>
        <v>0</v>
      </c>
      <c r="Q17">
        <f>SUMIF(RecoveredRaw!$B:$B,$A17,RecoveredRaw!T:T)</f>
        <v>0</v>
      </c>
      <c r="R17">
        <f>SUMIF(RecoveredRaw!$B:$B,$A17,RecoveredRaw!U:U)</f>
        <v>0</v>
      </c>
      <c r="S17">
        <f>SUMIF(RecoveredRaw!$B:$B,$A17,RecoveredRaw!V:V)</f>
        <v>0</v>
      </c>
      <c r="T17">
        <f>SUMIF(RecoveredRaw!$B:$B,$A17,RecoveredRaw!W:W)</f>
        <v>0</v>
      </c>
      <c r="U17">
        <f>SUMIF(RecoveredRaw!$B:$B,$A17,RecoveredRaw!X:X)</f>
        <v>0</v>
      </c>
      <c r="V17">
        <f>SUMIF(RecoveredRaw!$B:$B,$A17,RecoveredRaw!Y:Y)</f>
        <v>0</v>
      </c>
      <c r="W17">
        <f>SUMIF(RecoveredRaw!$B:$B,$A17,RecoveredRaw!Z:Z)</f>
        <v>0</v>
      </c>
      <c r="X17">
        <f>SUMIF(RecoveredRaw!$B:$B,$A17,RecoveredRaw!AA:AA)</f>
        <v>0</v>
      </c>
      <c r="Y17">
        <f>SUMIF(RecoveredRaw!$B:$B,$A17,RecoveredRaw!AB:AB)</f>
        <v>0</v>
      </c>
      <c r="Z17">
        <f>SUMIF(RecoveredRaw!$B:$B,$A17,RecoveredRaw!AC:AC)</f>
        <v>0</v>
      </c>
      <c r="AA17">
        <f>SUMIF(RecoveredRaw!$B:$B,$A17,RecoveredRaw!AD:AD)</f>
        <v>0</v>
      </c>
      <c r="AB17">
        <f>SUMIF(RecoveredRaw!$B:$B,$A17,RecoveredRaw!AE:AE)</f>
        <v>0</v>
      </c>
      <c r="AC17">
        <f>SUMIF(RecoveredRaw!$B:$B,$A17,RecoveredRaw!AF:AF)</f>
        <v>0</v>
      </c>
      <c r="AD17">
        <f>SUMIF(RecoveredRaw!$B:$B,$A17,RecoveredRaw!AG:AG)</f>
        <v>1</v>
      </c>
      <c r="AE17">
        <f>SUMIF(RecoveredRaw!$B:$B,$A17,RecoveredRaw!AH:AH)</f>
        <v>1</v>
      </c>
      <c r="AF17">
        <f>SUMIF(RecoveredRaw!$B:$B,$A17,RecoveredRaw!AI:AI)</f>
        <v>1</v>
      </c>
      <c r="AG17">
        <f>SUMIF(RecoveredRaw!$B:$B,$A17,RecoveredRaw!AJ:AJ)</f>
        <v>1</v>
      </c>
      <c r="AH17">
        <f>SUMIF(RecoveredRaw!$B:$B,$A17,RecoveredRaw!AK:AK)</f>
        <v>0</v>
      </c>
      <c r="AI17">
        <f>SUMIF(RecoveredRaw!$B:$B,$A17,RecoveredRaw!AL:AL)</f>
        <v>0</v>
      </c>
      <c r="AJ17">
        <f>SUMIF(RecoveredRaw!$B:$B,$A17,RecoveredRaw!AM:AM)</f>
        <v>0</v>
      </c>
      <c r="AK17">
        <f>SUMIF(RecoveredRaw!$B:$B,$A17,RecoveredRaw!AN:AN)</f>
        <v>10</v>
      </c>
      <c r="AL17">
        <f>SUMIF(RecoveredRaw!$B:$B,$A17,RecoveredRaw!AO:AO)</f>
        <v>10</v>
      </c>
      <c r="AM17">
        <f>SUMIF(RecoveredRaw!$B:$B,$A17,RecoveredRaw!AP:AP)</f>
        <v>10</v>
      </c>
      <c r="AN17">
        <f>SUMIF(RecoveredRaw!$B:$B,$A17,RecoveredRaw!AQ:AQ)</f>
        <v>10</v>
      </c>
      <c r="AO17">
        <f>SUMIF(RecoveredRaw!$B:$B,$A17,RecoveredRaw!AR:AR)</f>
        <v>10</v>
      </c>
      <c r="AP17">
        <f>SUMIF(RecoveredRaw!$B:$B,$A17,RecoveredRaw!AS:AS)</f>
        <v>10</v>
      </c>
      <c r="AQ17">
        <f>SUMIF(RecoveredRaw!$B:$B,$A17,RecoveredRaw!AT:AT)</f>
        <v>10</v>
      </c>
      <c r="AR17">
        <f>SUMIF(RecoveredRaw!$B:$B,$A17,RecoveredRaw!AU:AU)</f>
        <v>10</v>
      </c>
      <c r="AS17">
        <f>SUMIF(RecoveredRaw!$B:$B,$A17,RecoveredRaw!AV:AV)</f>
        <v>10</v>
      </c>
      <c r="AT17">
        <f>SUMIF(RecoveredRaw!$B:$B,$A17,RecoveredRaw!AW:AW)</f>
        <v>40</v>
      </c>
      <c r="AU17">
        <f>SUMIF(RecoveredRaw!$B:$B,$A17,RecoveredRaw!AX:AX)</f>
        <v>40</v>
      </c>
      <c r="AV17">
        <f>SUMIF(RecoveredRaw!$B:$B,$A17,RecoveredRaw!AY:AY)</f>
        <v>40</v>
      </c>
      <c r="AW17">
        <f>SUMIF(RecoveredRaw!$B:$B,$A17,RecoveredRaw!AZ:AZ)</f>
        <v>40</v>
      </c>
      <c r="AX17">
        <f>SUMIF(RecoveredRaw!$B:$B,$A17,RecoveredRaw!BA:BA)</f>
        <v>40</v>
      </c>
      <c r="AY17">
        <f>SUMIF(RecoveredRaw!$B:$B,$A17,RecoveredRaw!BB:BB)</f>
        <v>325</v>
      </c>
      <c r="AZ17">
        <f>SUMIF(RecoveredRaw!$B:$B,$A17,RecoveredRaw!BC:BC)</f>
        <v>325</v>
      </c>
      <c r="BA17">
        <f>SUMIF(RecoveredRaw!$B:$B,$A17,RecoveredRaw!BD:BD)</f>
        <v>325</v>
      </c>
      <c r="BB17">
        <f>SUMIF(RecoveredRaw!$B:$B,$A17,RecoveredRaw!BE:BE)</f>
        <v>325</v>
      </c>
      <c r="BC17">
        <f>SUMIF(RecoveredRaw!$B:$B,$A17,RecoveredRaw!BF:BF)</f>
        <v>325</v>
      </c>
      <c r="BD17">
        <f>SUMIF(RecoveredRaw!$B:$B,$A17,RecoveredRaw!BG:BG)</f>
        <v>325</v>
      </c>
      <c r="BE17">
        <f>SUMIF(RecoveredRaw!$B:$B,$A17,RecoveredRaw!BH:BH)</f>
        <v>325</v>
      </c>
      <c r="BF17">
        <f>SUMIF(RecoveredRaw!$B:$B,$A17,RecoveredRaw!BI:BI)</f>
        <v>325</v>
      </c>
      <c r="BG17">
        <f>SUMIF(RecoveredRaw!$B:$B,$A17,RecoveredRaw!BJ:BJ)</f>
        <v>325</v>
      </c>
      <c r="BH17">
        <f>SUMIF(RecoveredRaw!$B:$B,$A17,RecoveredRaw!BK:BK)</f>
        <v>325</v>
      </c>
      <c r="BI17">
        <f>SUMIF(RecoveredRaw!$B:$B,$A17,RecoveredRaw!BL:BL)</f>
        <v>0</v>
      </c>
      <c r="BJ17">
        <f>SUMIF(RecoveredRaw!$B:$B,$A17,RecoveredRaw!BM:BM)</f>
        <v>0</v>
      </c>
      <c r="BK17">
        <f>SUMIF(RecoveredRaw!$B:$B,$A17,RecoveredRaw!BN:BN)</f>
        <v>0</v>
      </c>
      <c r="BL17">
        <f>SUMIF(RecoveredRaw!$B:$B,$A17,RecoveredRaw!BO:BO)</f>
        <v>0</v>
      </c>
      <c r="BM17">
        <f>SUMIF(RecoveredRaw!$B:$B,$A17,RecoveredRaw!BP:BP)</f>
        <v>0</v>
      </c>
      <c r="BN17">
        <f>SUMIF(RecoveredRaw!$B:$B,$A17,RecoveredRaw!BQ:BQ)</f>
        <v>0</v>
      </c>
      <c r="BO17">
        <f>SUMIF(RecoveredRaw!$B:$B,$A17,RecoveredRaw!BR:BR)</f>
        <v>0</v>
      </c>
      <c r="BP17">
        <f>SUMIF(RecoveredRaw!$B:$B,$A17,RecoveredRaw!BS:BS)</f>
        <v>0</v>
      </c>
      <c r="BQ17">
        <f>SUMIF(RecoveredRaw!$B:$B,$A17,RecoveredRaw!BT:BT)</f>
        <v>0</v>
      </c>
      <c r="BR17">
        <f>SUMIF(RecoveredRaw!$B:$B,$A17,RecoveredRaw!BU:BU)</f>
        <v>0</v>
      </c>
      <c r="BS17">
        <f>SUMIF(RecoveredRaw!$B:$B,$A17,RecoveredRaw!BV:BV)</f>
        <v>0</v>
      </c>
      <c r="BT17">
        <f>SUMIF(RecoveredRaw!$B:$B,$A17,RecoveredRaw!BW:BW)</f>
        <v>0</v>
      </c>
    </row>
    <row r="18" spans="1:72" ht="15" thickBot="1" x14ac:dyDescent="0.35">
      <c r="A18" s="3" t="s">
        <v>63</v>
      </c>
      <c r="B18">
        <f>SUMIF(RecoveredRaw!$B:$B,$A18,RecoveredRaw!E:E)</f>
        <v>0</v>
      </c>
      <c r="C18">
        <f>SUMIF(RecoveredRaw!$B:$B,$A18,RecoveredRaw!F:F)</f>
        <v>0</v>
      </c>
      <c r="D18">
        <f>SUMIF(RecoveredRaw!$B:$B,$A18,RecoveredRaw!G:G)</f>
        <v>0</v>
      </c>
      <c r="E18">
        <f>SUMIF(RecoveredRaw!$B:$B,$A18,RecoveredRaw!H:H)</f>
        <v>0</v>
      </c>
      <c r="F18">
        <f>SUMIF(RecoveredRaw!$B:$B,$A18,RecoveredRaw!I:I)</f>
        <v>0</v>
      </c>
      <c r="G18">
        <f>SUMIF(RecoveredRaw!$B:$B,$A18,RecoveredRaw!J:J)</f>
        <v>0</v>
      </c>
      <c r="H18">
        <f>SUMIF(RecoveredRaw!$B:$B,$A18,RecoveredRaw!K:K)</f>
        <v>0</v>
      </c>
      <c r="I18">
        <f>SUMIF(RecoveredRaw!$B:$B,$A18,RecoveredRaw!L:L)</f>
        <v>0</v>
      </c>
      <c r="J18">
        <f>SUMIF(RecoveredRaw!$B:$B,$A18,RecoveredRaw!M:M)</f>
        <v>0</v>
      </c>
      <c r="K18">
        <f>SUMIF(RecoveredRaw!$B:$B,$A18,RecoveredRaw!N:N)</f>
        <v>0</v>
      </c>
      <c r="L18">
        <f>SUMIF(RecoveredRaw!$B:$B,$A18,RecoveredRaw!O:O)</f>
        <v>0</v>
      </c>
      <c r="M18">
        <f>SUMIF(RecoveredRaw!$B:$B,$A18,RecoveredRaw!P:P)</f>
        <v>0</v>
      </c>
      <c r="N18">
        <f>SUMIF(RecoveredRaw!$B:$B,$A18,RecoveredRaw!Q:Q)</f>
        <v>0</v>
      </c>
      <c r="O18">
        <f>SUMIF(RecoveredRaw!$B:$B,$A18,RecoveredRaw!R:R)</f>
        <v>0</v>
      </c>
      <c r="P18">
        <f>SUMIF(RecoveredRaw!$B:$B,$A18,RecoveredRaw!S:S)</f>
        <v>0</v>
      </c>
      <c r="Q18">
        <f>SUMIF(RecoveredRaw!$B:$B,$A18,RecoveredRaw!T:T)</f>
        <v>0</v>
      </c>
      <c r="R18">
        <f>SUMIF(RecoveredRaw!$B:$B,$A18,RecoveredRaw!U:U)</f>
        <v>0</v>
      </c>
      <c r="S18">
        <f>SUMIF(RecoveredRaw!$B:$B,$A18,RecoveredRaw!V:V)</f>
        <v>0</v>
      </c>
      <c r="T18">
        <f>SUMIF(RecoveredRaw!$B:$B,$A18,RecoveredRaw!W:W)</f>
        <v>0</v>
      </c>
      <c r="U18">
        <f>SUMIF(RecoveredRaw!$B:$B,$A18,RecoveredRaw!X:X)</f>
        <v>0</v>
      </c>
      <c r="V18">
        <f>SUMIF(RecoveredRaw!$B:$B,$A18,RecoveredRaw!Y:Y)</f>
        <v>0</v>
      </c>
      <c r="W18">
        <f>SUMIF(RecoveredRaw!$B:$B,$A18,RecoveredRaw!Z:Z)</f>
        <v>0</v>
      </c>
      <c r="X18">
        <f>SUMIF(RecoveredRaw!$B:$B,$A18,RecoveredRaw!AA:AA)</f>
        <v>0</v>
      </c>
      <c r="Y18">
        <f>SUMIF(RecoveredRaw!$B:$B,$A18,RecoveredRaw!AB:AB)</f>
        <v>0</v>
      </c>
      <c r="Z18">
        <f>SUMIF(RecoveredRaw!$B:$B,$A18,RecoveredRaw!AC:AC)</f>
        <v>0</v>
      </c>
      <c r="AA18">
        <f>SUMIF(RecoveredRaw!$B:$B,$A18,RecoveredRaw!AD:AD)</f>
        <v>0</v>
      </c>
      <c r="AB18">
        <f>SUMIF(RecoveredRaw!$B:$B,$A18,RecoveredRaw!AE:AE)</f>
        <v>1</v>
      </c>
      <c r="AC18">
        <f>SUMIF(RecoveredRaw!$B:$B,$A18,RecoveredRaw!AF:AF)</f>
        <v>1</v>
      </c>
      <c r="AD18">
        <f>SUMIF(RecoveredRaw!$B:$B,$A18,RecoveredRaw!AG:AG)</f>
        <v>1</v>
      </c>
      <c r="AE18">
        <f>SUMIF(RecoveredRaw!$B:$B,$A18,RecoveredRaw!AH:AH)</f>
        <v>1</v>
      </c>
      <c r="AF18">
        <f>SUMIF(RecoveredRaw!$B:$B,$A18,RecoveredRaw!AI:AI)</f>
        <v>1</v>
      </c>
      <c r="AG18">
        <f>SUMIF(RecoveredRaw!$B:$B,$A18,RecoveredRaw!AJ:AJ)</f>
        <v>1</v>
      </c>
      <c r="AH18">
        <f>SUMIF(RecoveredRaw!$B:$B,$A18,RecoveredRaw!AK:AK)</f>
        <v>1</v>
      </c>
      <c r="AI18">
        <f>SUMIF(RecoveredRaw!$B:$B,$A18,RecoveredRaw!AL:AL)</f>
        <v>1</v>
      </c>
      <c r="AJ18">
        <f>SUMIF(RecoveredRaw!$B:$B,$A18,RecoveredRaw!AM:AM)</f>
        <v>1</v>
      </c>
      <c r="AK18">
        <f>SUMIF(RecoveredRaw!$B:$B,$A18,RecoveredRaw!AN:AN)</f>
        <v>1</v>
      </c>
      <c r="AL18">
        <f>SUMIF(RecoveredRaw!$B:$B,$A18,RecoveredRaw!AO:AO)</f>
        <v>1</v>
      </c>
      <c r="AM18">
        <f>SUMIF(RecoveredRaw!$B:$B,$A18,RecoveredRaw!AP:AP)</f>
        <v>1</v>
      </c>
      <c r="AN18">
        <f>SUMIF(RecoveredRaw!$B:$B,$A18,RecoveredRaw!AQ:AQ)</f>
        <v>1</v>
      </c>
      <c r="AO18">
        <f>SUMIF(RecoveredRaw!$B:$B,$A18,RecoveredRaw!AR:AR)</f>
        <v>1</v>
      </c>
      <c r="AP18">
        <f>SUMIF(RecoveredRaw!$B:$B,$A18,RecoveredRaw!AS:AS)</f>
        <v>1</v>
      </c>
      <c r="AQ18">
        <f>SUMIF(RecoveredRaw!$B:$B,$A18,RecoveredRaw!AT:AT)</f>
        <v>1</v>
      </c>
      <c r="AR18">
        <f>SUMIF(RecoveredRaw!$B:$B,$A18,RecoveredRaw!AU:AU)</f>
        <v>1</v>
      </c>
      <c r="AS18">
        <f>SUMIF(RecoveredRaw!$B:$B,$A18,RecoveredRaw!AV:AV)</f>
        <v>1</v>
      </c>
      <c r="AT18">
        <f>SUMIF(RecoveredRaw!$B:$B,$A18,RecoveredRaw!AW:AW)</f>
        <v>1</v>
      </c>
      <c r="AU18">
        <f>SUMIF(RecoveredRaw!$B:$B,$A18,RecoveredRaw!AX:AX)</f>
        <v>1</v>
      </c>
      <c r="AV18">
        <f>SUMIF(RecoveredRaw!$B:$B,$A18,RecoveredRaw!AY:AY)</f>
        <v>1</v>
      </c>
      <c r="AW18">
        <f>SUMIF(RecoveredRaw!$B:$B,$A18,RecoveredRaw!AZ:AZ)</f>
        <v>1</v>
      </c>
      <c r="AX18">
        <f>SUMIF(RecoveredRaw!$B:$B,$A18,RecoveredRaw!BA:BA)</f>
        <v>1</v>
      </c>
      <c r="AY18">
        <f>SUMIF(RecoveredRaw!$B:$B,$A18,RecoveredRaw!BB:BB)</f>
        <v>1</v>
      </c>
      <c r="AZ18">
        <f>SUMIF(RecoveredRaw!$B:$B,$A18,RecoveredRaw!BC:BC)</f>
        <v>1</v>
      </c>
      <c r="BA18">
        <f>SUMIF(RecoveredRaw!$B:$B,$A18,RecoveredRaw!BD:BD)</f>
        <v>1</v>
      </c>
      <c r="BB18">
        <f>SUMIF(RecoveredRaw!$B:$B,$A18,RecoveredRaw!BE:BE)</f>
        <v>1</v>
      </c>
      <c r="BC18">
        <f>SUMIF(RecoveredRaw!$B:$B,$A18,RecoveredRaw!BF:BF)</f>
        <v>1</v>
      </c>
      <c r="BD18">
        <f>SUMIF(RecoveredRaw!$B:$B,$A18,RecoveredRaw!BG:BG)</f>
        <v>1</v>
      </c>
      <c r="BE18">
        <f>SUMIF(RecoveredRaw!$B:$B,$A18,RecoveredRaw!BH:BH)</f>
        <v>1</v>
      </c>
      <c r="BF18">
        <f>SUMIF(RecoveredRaw!$B:$B,$A18,RecoveredRaw!BI:BI)</f>
        <v>31</v>
      </c>
      <c r="BG18">
        <f>SUMIF(RecoveredRaw!$B:$B,$A18,RecoveredRaw!BJ:BJ)</f>
        <v>31</v>
      </c>
      <c r="BH18">
        <f>SUMIF(RecoveredRaw!$B:$B,$A18,RecoveredRaw!BK:BK)</f>
        <v>1</v>
      </c>
      <c r="BI18">
        <f>SUMIF(RecoveredRaw!$B:$B,$A18,RecoveredRaw!BL:BL)</f>
        <v>0</v>
      </c>
      <c r="BJ18">
        <f>SUMIF(RecoveredRaw!$B:$B,$A18,RecoveredRaw!BM:BM)</f>
        <v>0</v>
      </c>
      <c r="BK18">
        <f>SUMIF(RecoveredRaw!$B:$B,$A18,RecoveredRaw!BN:BN)</f>
        <v>0</v>
      </c>
      <c r="BL18">
        <f>SUMIF(RecoveredRaw!$B:$B,$A18,RecoveredRaw!BO:BO)</f>
        <v>0</v>
      </c>
      <c r="BM18">
        <f>SUMIF(RecoveredRaw!$B:$B,$A18,RecoveredRaw!BP:BP)</f>
        <v>0</v>
      </c>
      <c r="BN18">
        <f>SUMIF(RecoveredRaw!$B:$B,$A18,RecoveredRaw!BQ:BQ)</f>
        <v>0</v>
      </c>
      <c r="BO18">
        <f>SUMIF(RecoveredRaw!$B:$B,$A18,RecoveredRaw!BR:BR)</f>
        <v>0</v>
      </c>
      <c r="BP18">
        <f>SUMIF(RecoveredRaw!$B:$B,$A18,RecoveredRaw!BS:BS)</f>
        <v>0</v>
      </c>
      <c r="BQ18">
        <f>SUMIF(RecoveredRaw!$B:$B,$A18,RecoveredRaw!BT:BT)</f>
        <v>0</v>
      </c>
      <c r="BR18">
        <f>SUMIF(RecoveredRaw!$B:$B,$A18,RecoveredRaw!BU:BU)</f>
        <v>0</v>
      </c>
      <c r="BS18">
        <f>SUMIF(RecoveredRaw!$B:$B,$A18,RecoveredRaw!BV:BV)</f>
        <v>0</v>
      </c>
      <c r="BT18">
        <f>SUMIF(RecoveredRaw!$B:$B,$A18,RecoveredRaw!BW:BW)</f>
        <v>0</v>
      </c>
    </row>
    <row r="19" spans="1:72" ht="15" thickBot="1" x14ac:dyDescent="0.35">
      <c r="A19" s="3" t="s">
        <v>78</v>
      </c>
      <c r="B19">
        <f>SUMIF(RecoveredRaw!$B:$B,$A19,RecoveredRaw!E:E)</f>
        <v>0</v>
      </c>
      <c r="C19">
        <f>SUMIF(RecoveredRaw!$B:$B,$A19,RecoveredRaw!F:F)</f>
        <v>0</v>
      </c>
      <c r="D19">
        <f>SUMIF(RecoveredRaw!$B:$B,$A19,RecoveredRaw!G:G)</f>
        <v>0</v>
      </c>
      <c r="E19">
        <f>SUMIF(RecoveredRaw!$B:$B,$A19,RecoveredRaw!H:H)</f>
        <v>0</v>
      </c>
      <c r="F19">
        <f>SUMIF(RecoveredRaw!$B:$B,$A19,RecoveredRaw!I:I)</f>
        <v>0</v>
      </c>
      <c r="G19">
        <f>SUMIF(RecoveredRaw!$B:$B,$A19,RecoveredRaw!J:J)</f>
        <v>0</v>
      </c>
      <c r="H19">
        <f>SUMIF(RecoveredRaw!$B:$B,$A19,RecoveredRaw!K:K)</f>
        <v>0</v>
      </c>
      <c r="I19">
        <f>SUMIF(RecoveredRaw!$B:$B,$A19,RecoveredRaw!L:L)</f>
        <v>0</v>
      </c>
      <c r="J19">
        <f>SUMIF(RecoveredRaw!$B:$B,$A19,RecoveredRaw!M:M)</f>
        <v>0</v>
      </c>
      <c r="K19">
        <f>SUMIF(RecoveredRaw!$B:$B,$A19,RecoveredRaw!N:N)</f>
        <v>0</v>
      </c>
      <c r="L19">
        <f>SUMIF(RecoveredRaw!$B:$B,$A19,RecoveredRaw!O:O)</f>
        <v>0</v>
      </c>
      <c r="M19">
        <f>SUMIF(RecoveredRaw!$B:$B,$A19,RecoveredRaw!P:P)</f>
        <v>0</v>
      </c>
      <c r="N19">
        <f>SUMIF(RecoveredRaw!$B:$B,$A19,RecoveredRaw!Q:Q)</f>
        <v>0</v>
      </c>
      <c r="O19">
        <f>SUMIF(RecoveredRaw!$B:$B,$A19,RecoveredRaw!R:R)</f>
        <v>0</v>
      </c>
      <c r="P19">
        <f>SUMIF(RecoveredRaw!$B:$B,$A19,RecoveredRaw!S:S)</f>
        <v>0</v>
      </c>
      <c r="Q19">
        <f>SUMIF(RecoveredRaw!$B:$B,$A19,RecoveredRaw!T:T)</f>
        <v>0</v>
      </c>
      <c r="R19">
        <f>SUMIF(RecoveredRaw!$B:$B,$A19,RecoveredRaw!U:U)</f>
        <v>0</v>
      </c>
      <c r="S19">
        <f>SUMIF(RecoveredRaw!$B:$B,$A19,RecoveredRaw!V:V)</f>
        <v>0</v>
      </c>
      <c r="T19">
        <f>SUMIF(RecoveredRaw!$B:$B,$A19,RecoveredRaw!W:W)</f>
        <v>0</v>
      </c>
      <c r="U19">
        <f>SUMIF(RecoveredRaw!$B:$B,$A19,RecoveredRaw!X:X)</f>
        <v>0</v>
      </c>
      <c r="V19">
        <f>SUMIF(RecoveredRaw!$B:$B,$A19,RecoveredRaw!Y:Y)</f>
        <v>0</v>
      </c>
      <c r="W19">
        <f>SUMIF(RecoveredRaw!$B:$B,$A19,RecoveredRaw!Z:Z)</f>
        <v>0</v>
      </c>
      <c r="X19">
        <f>SUMIF(RecoveredRaw!$B:$B,$A19,RecoveredRaw!AA:AA)</f>
        <v>0</v>
      </c>
      <c r="Y19">
        <f>SUMIF(RecoveredRaw!$B:$B,$A19,RecoveredRaw!AB:AB)</f>
        <v>0</v>
      </c>
      <c r="Z19">
        <f>SUMIF(RecoveredRaw!$B:$B,$A19,RecoveredRaw!AC:AC)</f>
        <v>0</v>
      </c>
      <c r="AA19">
        <f>SUMIF(RecoveredRaw!$B:$B,$A19,RecoveredRaw!AD:AD)</f>
        <v>0</v>
      </c>
      <c r="AB19">
        <f>SUMIF(RecoveredRaw!$B:$B,$A19,RecoveredRaw!AE:AE)</f>
        <v>0</v>
      </c>
      <c r="AC19">
        <f>SUMIF(RecoveredRaw!$B:$B,$A19,RecoveredRaw!AF:AF)</f>
        <v>0</v>
      </c>
      <c r="AD19">
        <f>SUMIF(RecoveredRaw!$B:$B,$A19,RecoveredRaw!AG:AG)</f>
        <v>0</v>
      </c>
      <c r="AE19">
        <f>SUMIF(RecoveredRaw!$B:$B,$A19,RecoveredRaw!AH:AH)</f>
        <v>0</v>
      </c>
      <c r="AF19">
        <f>SUMIF(RecoveredRaw!$B:$B,$A19,RecoveredRaw!AI:AI)</f>
        <v>0</v>
      </c>
      <c r="AG19">
        <f>SUMIF(RecoveredRaw!$B:$B,$A19,RecoveredRaw!AJ:AJ)</f>
        <v>0</v>
      </c>
      <c r="AH19">
        <f>SUMIF(RecoveredRaw!$B:$B,$A19,RecoveredRaw!AK:AK)</f>
        <v>0</v>
      </c>
      <c r="AI19">
        <f>SUMIF(RecoveredRaw!$B:$B,$A19,RecoveredRaw!AL:AL)</f>
        <v>0</v>
      </c>
      <c r="AJ19">
        <f>SUMIF(RecoveredRaw!$B:$B,$A19,RecoveredRaw!AM:AM)</f>
        <v>0</v>
      </c>
      <c r="AK19">
        <f>SUMIF(RecoveredRaw!$B:$B,$A19,RecoveredRaw!AN:AN)</f>
        <v>0</v>
      </c>
      <c r="AL19">
        <f>SUMIF(RecoveredRaw!$B:$B,$A19,RecoveredRaw!AO:AO)</f>
        <v>0</v>
      </c>
      <c r="AM19">
        <f>SUMIF(RecoveredRaw!$B:$B,$A19,RecoveredRaw!AP:AP)</f>
        <v>0</v>
      </c>
      <c r="AN19">
        <f>SUMIF(RecoveredRaw!$B:$B,$A19,RecoveredRaw!AQ:AQ)</f>
        <v>0</v>
      </c>
      <c r="AO19">
        <f>SUMIF(RecoveredRaw!$B:$B,$A19,RecoveredRaw!AR:AR)</f>
        <v>0</v>
      </c>
      <c r="AP19">
        <f>SUMIF(RecoveredRaw!$B:$B,$A19,RecoveredRaw!AS:AS)</f>
        <v>0</v>
      </c>
      <c r="AQ19">
        <f>SUMIF(RecoveredRaw!$B:$B,$A19,RecoveredRaw!AT:AT)</f>
        <v>0</v>
      </c>
      <c r="AR19">
        <f>SUMIF(RecoveredRaw!$B:$B,$A19,RecoveredRaw!AU:AU)</f>
        <v>0</v>
      </c>
      <c r="AS19">
        <f>SUMIF(RecoveredRaw!$B:$B,$A19,RecoveredRaw!AV:AV)</f>
        <v>0</v>
      </c>
      <c r="AT19">
        <f>SUMIF(RecoveredRaw!$B:$B,$A19,RecoveredRaw!AW:AW)</f>
        <v>0</v>
      </c>
      <c r="AU19">
        <f>SUMIF(RecoveredRaw!$B:$B,$A19,RecoveredRaw!AX:AX)</f>
        <v>0</v>
      </c>
      <c r="AV19">
        <f>SUMIF(RecoveredRaw!$B:$B,$A19,RecoveredRaw!AY:AY)</f>
        <v>0</v>
      </c>
      <c r="AW19">
        <f>SUMIF(RecoveredRaw!$B:$B,$A19,RecoveredRaw!AZ:AZ)</f>
        <v>2</v>
      </c>
      <c r="AX19">
        <f>SUMIF(RecoveredRaw!$B:$B,$A19,RecoveredRaw!BA:BA)</f>
        <v>4</v>
      </c>
      <c r="AY19">
        <f>SUMIF(RecoveredRaw!$B:$B,$A19,RecoveredRaw!BB:BB)</f>
        <v>4</v>
      </c>
      <c r="AZ19">
        <f>SUMIF(RecoveredRaw!$B:$B,$A19,RecoveredRaw!BC:BC)</f>
        <v>4</v>
      </c>
      <c r="BA19">
        <f>SUMIF(RecoveredRaw!$B:$B,$A19,RecoveredRaw!BD:BD)</f>
        <v>6</v>
      </c>
      <c r="BB19">
        <f>SUMIF(RecoveredRaw!$B:$B,$A19,RecoveredRaw!BE:BE)</f>
        <v>6</v>
      </c>
      <c r="BC19">
        <f>SUMIF(RecoveredRaw!$B:$B,$A19,RecoveredRaw!BF:BF)</f>
        <v>6</v>
      </c>
      <c r="BD19">
        <f>SUMIF(RecoveredRaw!$B:$B,$A19,RecoveredRaw!BG:BG)</f>
        <v>6</v>
      </c>
      <c r="BE19">
        <f>SUMIF(RecoveredRaw!$B:$B,$A19,RecoveredRaw!BH:BH)</f>
        <v>1</v>
      </c>
      <c r="BF19">
        <f>SUMIF(RecoveredRaw!$B:$B,$A19,RecoveredRaw!BI:BI)</f>
        <v>9</v>
      </c>
      <c r="BG19">
        <f>SUMIF(RecoveredRaw!$B:$B,$A19,RecoveredRaw!BJ:BJ)</f>
        <v>9</v>
      </c>
      <c r="BH19">
        <f>SUMIF(RecoveredRaw!$B:$B,$A19,RecoveredRaw!BK:BK)</f>
        <v>9</v>
      </c>
      <c r="BI19">
        <f>SUMIF(RecoveredRaw!$B:$B,$A19,RecoveredRaw!BL:BL)</f>
        <v>0</v>
      </c>
      <c r="BJ19">
        <f>SUMIF(RecoveredRaw!$B:$B,$A19,RecoveredRaw!BM:BM)</f>
        <v>0</v>
      </c>
      <c r="BK19">
        <f>SUMIF(RecoveredRaw!$B:$B,$A19,RecoveredRaw!BN:BN)</f>
        <v>0</v>
      </c>
      <c r="BL19">
        <f>SUMIF(RecoveredRaw!$B:$B,$A19,RecoveredRaw!BO:BO)</f>
        <v>0</v>
      </c>
      <c r="BM19">
        <f>SUMIF(RecoveredRaw!$B:$B,$A19,RecoveredRaw!BP:BP)</f>
        <v>0</v>
      </c>
      <c r="BN19">
        <f>SUMIF(RecoveredRaw!$B:$B,$A19,RecoveredRaw!BQ:BQ)</f>
        <v>0</v>
      </c>
      <c r="BO19">
        <f>SUMIF(RecoveredRaw!$B:$B,$A19,RecoveredRaw!BR:BR)</f>
        <v>0</v>
      </c>
      <c r="BP19">
        <f>SUMIF(RecoveredRaw!$B:$B,$A19,RecoveredRaw!BS:BS)</f>
        <v>0</v>
      </c>
      <c r="BQ19">
        <f>SUMIF(RecoveredRaw!$B:$B,$A19,RecoveredRaw!BT:BT)</f>
        <v>0</v>
      </c>
      <c r="BR19">
        <f>SUMIF(RecoveredRaw!$B:$B,$A19,RecoveredRaw!BU:BU)</f>
        <v>0</v>
      </c>
      <c r="BS19">
        <f>SUMIF(RecoveredRaw!$B:$B,$A19,RecoveredRaw!BV:BV)</f>
        <v>0</v>
      </c>
      <c r="BT19">
        <f>SUMIF(RecoveredRaw!$B:$B,$A19,RecoveredRaw!BW:BW)</f>
        <v>0</v>
      </c>
    </row>
    <row r="20" spans="1:72" ht="15" thickBot="1" x14ac:dyDescent="0.35">
      <c r="A20" s="3" t="s">
        <v>101</v>
      </c>
      <c r="B20">
        <f>SUMIF(RecoveredRaw!$B:$B,$A20,RecoveredRaw!E:E)</f>
        <v>0</v>
      </c>
      <c r="C20">
        <f>SUMIF(RecoveredRaw!$B:$B,$A20,RecoveredRaw!F:F)</f>
        <v>0</v>
      </c>
      <c r="D20">
        <f>SUMIF(RecoveredRaw!$B:$B,$A20,RecoveredRaw!G:G)</f>
        <v>0</v>
      </c>
      <c r="E20">
        <f>SUMIF(RecoveredRaw!$B:$B,$A20,RecoveredRaw!H:H)</f>
        <v>0</v>
      </c>
      <c r="F20">
        <f>SUMIF(RecoveredRaw!$B:$B,$A20,RecoveredRaw!I:I)</f>
        <v>0</v>
      </c>
      <c r="G20">
        <f>SUMIF(RecoveredRaw!$B:$B,$A20,RecoveredRaw!J:J)</f>
        <v>0</v>
      </c>
      <c r="H20">
        <f>SUMIF(RecoveredRaw!$B:$B,$A20,RecoveredRaw!K:K)</f>
        <v>0</v>
      </c>
      <c r="I20">
        <f>SUMIF(RecoveredRaw!$B:$B,$A20,RecoveredRaw!L:L)</f>
        <v>0</v>
      </c>
      <c r="J20">
        <f>SUMIF(RecoveredRaw!$B:$B,$A20,RecoveredRaw!M:M)</f>
        <v>0</v>
      </c>
      <c r="K20">
        <f>SUMIF(RecoveredRaw!$B:$B,$A20,RecoveredRaw!N:N)</f>
        <v>0</v>
      </c>
      <c r="L20">
        <f>SUMIF(RecoveredRaw!$B:$B,$A20,RecoveredRaw!O:O)</f>
        <v>0</v>
      </c>
      <c r="M20">
        <f>SUMIF(RecoveredRaw!$B:$B,$A20,RecoveredRaw!P:P)</f>
        <v>0</v>
      </c>
      <c r="N20">
        <f>SUMIF(RecoveredRaw!$B:$B,$A20,RecoveredRaw!Q:Q)</f>
        <v>0</v>
      </c>
      <c r="O20">
        <f>SUMIF(RecoveredRaw!$B:$B,$A20,RecoveredRaw!R:R)</f>
        <v>0</v>
      </c>
      <c r="P20">
        <f>SUMIF(RecoveredRaw!$B:$B,$A20,RecoveredRaw!S:S)</f>
        <v>0</v>
      </c>
      <c r="Q20">
        <f>SUMIF(RecoveredRaw!$B:$B,$A20,RecoveredRaw!T:T)</f>
        <v>0</v>
      </c>
      <c r="R20">
        <f>SUMIF(RecoveredRaw!$B:$B,$A20,RecoveredRaw!U:U)</f>
        <v>0</v>
      </c>
      <c r="S20">
        <f>SUMIF(RecoveredRaw!$B:$B,$A20,RecoveredRaw!V:V)</f>
        <v>0</v>
      </c>
      <c r="T20">
        <f>SUMIF(RecoveredRaw!$B:$B,$A20,RecoveredRaw!W:W)</f>
        <v>0</v>
      </c>
      <c r="U20">
        <f>SUMIF(RecoveredRaw!$B:$B,$A20,RecoveredRaw!X:X)</f>
        <v>0</v>
      </c>
      <c r="V20">
        <f>SUMIF(RecoveredRaw!$B:$B,$A20,RecoveredRaw!Y:Y)</f>
        <v>0</v>
      </c>
      <c r="W20">
        <f>SUMIF(RecoveredRaw!$B:$B,$A20,RecoveredRaw!Z:Z)</f>
        <v>0</v>
      </c>
      <c r="X20">
        <f>SUMIF(RecoveredRaw!$B:$B,$A20,RecoveredRaw!AA:AA)</f>
        <v>0</v>
      </c>
      <c r="Y20">
        <f>SUMIF(RecoveredRaw!$B:$B,$A20,RecoveredRaw!AB:AB)</f>
        <v>0</v>
      </c>
      <c r="Z20">
        <f>SUMIF(RecoveredRaw!$B:$B,$A20,RecoveredRaw!AC:AC)</f>
        <v>0</v>
      </c>
      <c r="AA20">
        <f>SUMIF(RecoveredRaw!$B:$B,$A20,RecoveredRaw!AD:AD)</f>
        <v>0</v>
      </c>
      <c r="AB20">
        <f>SUMIF(RecoveredRaw!$B:$B,$A20,RecoveredRaw!AE:AE)</f>
        <v>0</v>
      </c>
      <c r="AC20">
        <f>SUMIF(RecoveredRaw!$B:$B,$A20,RecoveredRaw!AF:AF)</f>
        <v>0</v>
      </c>
      <c r="AD20">
        <f>SUMIF(RecoveredRaw!$B:$B,$A20,RecoveredRaw!AG:AG)</f>
        <v>0</v>
      </c>
      <c r="AE20">
        <f>SUMIF(RecoveredRaw!$B:$B,$A20,RecoveredRaw!AH:AH)</f>
        <v>0</v>
      </c>
      <c r="AF20">
        <f>SUMIF(RecoveredRaw!$B:$B,$A20,RecoveredRaw!AI:AI)</f>
        <v>0</v>
      </c>
      <c r="AG20">
        <f>SUMIF(RecoveredRaw!$B:$B,$A20,RecoveredRaw!AJ:AJ)</f>
        <v>0</v>
      </c>
      <c r="AH20">
        <f>SUMIF(RecoveredRaw!$B:$B,$A20,RecoveredRaw!AK:AK)</f>
        <v>0</v>
      </c>
      <c r="AI20">
        <f>SUMIF(RecoveredRaw!$B:$B,$A20,RecoveredRaw!AL:AL)</f>
        <v>0</v>
      </c>
      <c r="AJ20">
        <f>SUMIF(RecoveredRaw!$B:$B,$A20,RecoveredRaw!AM:AM)</f>
        <v>0</v>
      </c>
      <c r="AK20">
        <f>SUMIF(RecoveredRaw!$B:$B,$A20,RecoveredRaw!AN:AN)</f>
        <v>0</v>
      </c>
      <c r="AL20">
        <f>SUMIF(RecoveredRaw!$B:$B,$A20,RecoveredRaw!AO:AO)</f>
        <v>0</v>
      </c>
      <c r="AM20">
        <f>SUMIF(RecoveredRaw!$B:$B,$A20,RecoveredRaw!AP:AP)</f>
        <v>0</v>
      </c>
      <c r="AN20">
        <f>SUMIF(RecoveredRaw!$B:$B,$A20,RecoveredRaw!AQ:AQ)</f>
        <v>0</v>
      </c>
      <c r="AO20">
        <f>SUMIF(RecoveredRaw!$B:$B,$A20,RecoveredRaw!AR:AR)</f>
        <v>0</v>
      </c>
      <c r="AP20">
        <f>SUMIF(RecoveredRaw!$B:$B,$A20,RecoveredRaw!AS:AS)</f>
        <v>0</v>
      </c>
      <c r="AQ20">
        <f>SUMIF(RecoveredRaw!$B:$B,$A20,RecoveredRaw!AT:AT)</f>
        <v>0</v>
      </c>
      <c r="AR20">
        <f>SUMIF(RecoveredRaw!$B:$B,$A20,RecoveredRaw!AU:AU)</f>
        <v>0</v>
      </c>
      <c r="AS20">
        <f>SUMIF(RecoveredRaw!$B:$B,$A20,RecoveredRaw!AV:AV)</f>
        <v>0</v>
      </c>
      <c r="AT20">
        <f>SUMIF(RecoveredRaw!$B:$B,$A20,RecoveredRaw!AW:AW)</f>
        <v>0</v>
      </c>
      <c r="AU20">
        <f>SUMIF(RecoveredRaw!$B:$B,$A20,RecoveredRaw!AX:AX)</f>
        <v>0</v>
      </c>
      <c r="AV20">
        <f>SUMIF(RecoveredRaw!$B:$B,$A20,RecoveredRaw!AY:AY)</f>
        <v>0</v>
      </c>
      <c r="AW20">
        <f>SUMIF(RecoveredRaw!$B:$B,$A20,RecoveredRaw!AZ:AZ)</f>
        <v>0</v>
      </c>
      <c r="AX20">
        <f>SUMIF(RecoveredRaw!$B:$B,$A20,RecoveredRaw!BA:BA)</f>
        <v>0</v>
      </c>
      <c r="AY20">
        <f>SUMIF(RecoveredRaw!$B:$B,$A20,RecoveredRaw!BB:BB)</f>
        <v>0</v>
      </c>
      <c r="AZ20">
        <f>SUMIF(RecoveredRaw!$B:$B,$A20,RecoveredRaw!BC:BC)</f>
        <v>0</v>
      </c>
      <c r="BA20">
        <f>SUMIF(RecoveredRaw!$B:$B,$A20,RecoveredRaw!BD:BD)</f>
        <v>0</v>
      </c>
      <c r="BB20">
        <f>SUMIF(RecoveredRaw!$B:$B,$A20,RecoveredRaw!BE:BE)</f>
        <v>4</v>
      </c>
      <c r="BC20">
        <f>SUMIF(RecoveredRaw!$B:$B,$A20,RecoveredRaw!BF:BF)</f>
        <v>4</v>
      </c>
      <c r="BD20">
        <f>SUMIF(RecoveredRaw!$B:$B,$A20,RecoveredRaw!BG:BG)</f>
        <v>4</v>
      </c>
      <c r="BE20">
        <f>SUMIF(RecoveredRaw!$B:$B,$A20,RecoveredRaw!BH:BH)</f>
        <v>4</v>
      </c>
      <c r="BF20">
        <f>SUMIF(RecoveredRaw!$B:$B,$A20,RecoveredRaw!BI:BI)</f>
        <v>4</v>
      </c>
      <c r="BG20">
        <f>SUMIF(RecoveredRaw!$B:$B,$A20,RecoveredRaw!BJ:BJ)</f>
        <v>4</v>
      </c>
      <c r="BH20">
        <f>SUMIF(RecoveredRaw!$B:$B,$A20,RecoveredRaw!BK:BK)</f>
        <v>10</v>
      </c>
      <c r="BI20">
        <f>SUMIF(RecoveredRaw!$B:$B,$A20,RecoveredRaw!BL:BL)</f>
        <v>0</v>
      </c>
      <c r="BJ20">
        <f>SUMIF(RecoveredRaw!$B:$B,$A20,RecoveredRaw!BM:BM)</f>
        <v>0</v>
      </c>
      <c r="BK20">
        <f>SUMIF(RecoveredRaw!$B:$B,$A20,RecoveredRaw!BN:BN)</f>
        <v>0</v>
      </c>
      <c r="BL20">
        <f>SUMIF(RecoveredRaw!$B:$B,$A20,RecoveredRaw!BO:BO)</f>
        <v>0</v>
      </c>
      <c r="BM20">
        <f>SUMIF(RecoveredRaw!$B:$B,$A20,RecoveredRaw!BP:BP)</f>
        <v>0</v>
      </c>
      <c r="BN20">
        <f>SUMIF(RecoveredRaw!$B:$B,$A20,RecoveredRaw!BQ:BQ)</f>
        <v>0</v>
      </c>
      <c r="BO20">
        <f>SUMIF(RecoveredRaw!$B:$B,$A20,RecoveredRaw!BR:BR)</f>
        <v>0</v>
      </c>
      <c r="BP20">
        <f>SUMIF(RecoveredRaw!$B:$B,$A20,RecoveredRaw!BS:BS)</f>
        <v>0</v>
      </c>
      <c r="BQ20">
        <f>SUMIF(RecoveredRaw!$B:$B,$A20,RecoveredRaw!BT:BT)</f>
        <v>0</v>
      </c>
      <c r="BR20">
        <f>SUMIF(RecoveredRaw!$B:$B,$A20,RecoveredRaw!BU:BU)</f>
        <v>0</v>
      </c>
      <c r="BS20">
        <f>SUMIF(RecoveredRaw!$B:$B,$A20,RecoveredRaw!BV:BV)</f>
        <v>0</v>
      </c>
      <c r="BT20">
        <f>SUMIF(RecoveredRaw!$B:$B,$A20,RecoveredRaw!BW:BW)</f>
        <v>0</v>
      </c>
    </row>
    <row r="21" spans="1:72" ht="15" thickBot="1" x14ac:dyDescent="0.35">
      <c r="A21" s="3" t="s">
        <v>48</v>
      </c>
      <c r="B21">
        <f>SUMIF(RecoveredRaw!$B:$B,$A21,RecoveredRaw!E:E)</f>
        <v>0</v>
      </c>
      <c r="C21">
        <f>SUMIF(RecoveredRaw!$B:$B,$A21,RecoveredRaw!F:F)</f>
        <v>0</v>
      </c>
      <c r="D21">
        <f>SUMIF(RecoveredRaw!$B:$B,$A21,RecoveredRaw!G:G)</f>
        <v>0</v>
      </c>
      <c r="E21">
        <f>SUMIF(RecoveredRaw!$B:$B,$A21,RecoveredRaw!H:H)</f>
        <v>0</v>
      </c>
      <c r="F21">
        <f>SUMIF(RecoveredRaw!$B:$B,$A21,RecoveredRaw!I:I)</f>
        <v>0</v>
      </c>
      <c r="G21">
        <f>SUMIF(RecoveredRaw!$B:$B,$A21,RecoveredRaw!J:J)</f>
        <v>0</v>
      </c>
      <c r="H21">
        <f>SUMIF(RecoveredRaw!$B:$B,$A21,RecoveredRaw!K:K)</f>
        <v>0</v>
      </c>
      <c r="I21">
        <f>SUMIF(RecoveredRaw!$B:$B,$A21,RecoveredRaw!L:L)</f>
        <v>0</v>
      </c>
      <c r="J21">
        <f>SUMIF(RecoveredRaw!$B:$B,$A21,RecoveredRaw!M:M)</f>
        <v>2</v>
      </c>
      <c r="K21">
        <f>SUMIF(RecoveredRaw!$B:$B,$A21,RecoveredRaw!N:N)</f>
        <v>2</v>
      </c>
      <c r="L21">
        <f>SUMIF(RecoveredRaw!$B:$B,$A21,RecoveredRaw!O:O)</f>
        <v>2</v>
      </c>
      <c r="M21">
        <f>SUMIF(RecoveredRaw!$B:$B,$A21,RecoveredRaw!P:P)</f>
        <v>2</v>
      </c>
      <c r="N21">
        <f>SUMIF(RecoveredRaw!$B:$B,$A21,RecoveredRaw!Q:Q)</f>
        <v>2</v>
      </c>
      <c r="O21">
        <f>SUMIF(RecoveredRaw!$B:$B,$A21,RecoveredRaw!R:R)</f>
        <v>2</v>
      </c>
      <c r="P21">
        <f>SUMIF(RecoveredRaw!$B:$B,$A21,RecoveredRaw!S:S)</f>
        <v>2</v>
      </c>
      <c r="Q21">
        <f>SUMIF(RecoveredRaw!$B:$B,$A21,RecoveredRaw!T:T)</f>
        <v>2</v>
      </c>
      <c r="R21">
        <f>SUMIF(RecoveredRaw!$B:$B,$A21,RecoveredRaw!U:U)</f>
        <v>2</v>
      </c>
      <c r="S21">
        <f>SUMIF(RecoveredRaw!$B:$B,$A21,RecoveredRaw!V:V)</f>
        <v>2</v>
      </c>
      <c r="T21">
        <f>SUMIF(RecoveredRaw!$B:$B,$A21,RecoveredRaw!W:W)</f>
        <v>2</v>
      </c>
      <c r="U21">
        <f>SUMIF(RecoveredRaw!$B:$B,$A21,RecoveredRaw!X:X)</f>
        <v>2</v>
      </c>
      <c r="V21">
        <f>SUMIF(RecoveredRaw!$B:$B,$A21,RecoveredRaw!Y:Y)</f>
        <v>2</v>
      </c>
      <c r="W21">
        <f>SUMIF(RecoveredRaw!$B:$B,$A21,RecoveredRaw!Z:Z)</f>
        <v>2</v>
      </c>
      <c r="X21">
        <f>SUMIF(RecoveredRaw!$B:$B,$A21,RecoveredRaw!AA:AA)</f>
        <v>8</v>
      </c>
      <c r="Y21">
        <f>SUMIF(RecoveredRaw!$B:$B,$A21,RecoveredRaw!AB:AB)</f>
        <v>8</v>
      </c>
      <c r="Z21">
        <f>SUMIF(RecoveredRaw!$B:$B,$A21,RecoveredRaw!AC:AC)</f>
        <v>8</v>
      </c>
      <c r="AA21">
        <f>SUMIF(RecoveredRaw!$B:$B,$A21,RecoveredRaw!AD:AD)</f>
        <v>8</v>
      </c>
      <c r="AB21">
        <f>SUMIF(RecoveredRaw!$B:$B,$A21,RecoveredRaw!AE:AE)</f>
        <v>10</v>
      </c>
      <c r="AC21">
        <f>SUMIF(RecoveredRaw!$B:$B,$A21,RecoveredRaw!AF:AF)</f>
        <v>10</v>
      </c>
      <c r="AD21">
        <f>SUMIF(RecoveredRaw!$B:$B,$A21,RecoveredRaw!AG:AG)</f>
        <v>10</v>
      </c>
      <c r="AE21">
        <f>SUMIF(RecoveredRaw!$B:$B,$A21,RecoveredRaw!AH:AH)</f>
        <v>10</v>
      </c>
      <c r="AF21">
        <f>SUMIF(RecoveredRaw!$B:$B,$A21,RecoveredRaw!AI:AI)</f>
        <v>11</v>
      </c>
      <c r="AG21">
        <f>SUMIF(RecoveredRaw!$B:$B,$A21,RecoveredRaw!AJ:AJ)</f>
        <v>11</v>
      </c>
      <c r="AH21">
        <f>SUMIF(RecoveredRaw!$B:$B,$A21,RecoveredRaw!AK:AK)</f>
        <v>11</v>
      </c>
      <c r="AI21">
        <f>SUMIF(RecoveredRaw!$B:$B,$A21,RecoveredRaw!AL:AL)</f>
        <v>11</v>
      </c>
      <c r="AJ21">
        <f>SUMIF(RecoveredRaw!$B:$B,$A21,RecoveredRaw!AM:AM)</f>
        <v>11</v>
      </c>
      <c r="AK21">
        <f>SUMIF(RecoveredRaw!$B:$B,$A21,RecoveredRaw!AN:AN)</f>
        <v>11</v>
      </c>
      <c r="AL21">
        <f>SUMIF(RecoveredRaw!$B:$B,$A21,RecoveredRaw!AO:AO)</f>
        <v>11</v>
      </c>
      <c r="AM21">
        <f>SUMIF(RecoveredRaw!$B:$B,$A21,RecoveredRaw!AP:AP)</f>
        <v>11</v>
      </c>
      <c r="AN21">
        <f>SUMIF(RecoveredRaw!$B:$B,$A21,RecoveredRaw!AQ:AQ)</f>
        <v>11</v>
      </c>
      <c r="AO21">
        <f>SUMIF(RecoveredRaw!$B:$B,$A21,RecoveredRaw!AR:AR)</f>
        <v>11</v>
      </c>
      <c r="AP21">
        <f>SUMIF(RecoveredRaw!$B:$B,$A21,RecoveredRaw!AS:AS)</f>
        <v>11</v>
      </c>
      <c r="AQ21">
        <f>SUMIF(RecoveredRaw!$B:$B,$A21,RecoveredRaw!AT:AT)</f>
        <v>11</v>
      </c>
      <c r="AR21">
        <f>SUMIF(RecoveredRaw!$B:$B,$A21,RecoveredRaw!AU:AU)</f>
        <v>11</v>
      </c>
      <c r="AS21">
        <f>SUMIF(RecoveredRaw!$B:$B,$A21,RecoveredRaw!AV:AV)</f>
        <v>21</v>
      </c>
      <c r="AT21">
        <f>SUMIF(RecoveredRaw!$B:$B,$A21,RecoveredRaw!AW:AW)</f>
        <v>21</v>
      </c>
      <c r="AU21">
        <f>SUMIF(RecoveredRaw!$B:$B,$A21,RecoveredRaw!AX:AX)</f>
        <v>21</v>
      </c>
      <c r="AV21">
        <f>SUMIF(RecoveredRaw!$B:$B,$A21,RecoveredRaw!AY:AY)</f>
        <v>21</v>
      </c>
      <c r="AW21">
        <f>SUMIF(RecoveredRaw!$B:$B,$A21,RecoveredRaw!AZ:AZ)</f>
        <v>21</v>
      </c>
      <c r="AX21">
        <f>SUMIF(RecoveredRaw!$B:$B,$A21,RecoveredRaw!BA:BA)</f>
        <v>21</v>
      </c>
      <c r="AY21">
        <f>SUMIF(RecoveredRaw!$B:$B,$A21,RecoveredRaw!BB:BB)</f>
        <v>21</v>
      </c>
      <c r="AZ21">
        <f>SUMIF(RecoveredRaw!$B:$B,$A21,RecoveredRaw!BC:BC)</f>
        <v>21</v>
      </c>
      <c r="BA21">
        <f>SUMIF(RecoveredRaw!$B:$B,$A21,RecoveredRaw!BD:BD)</f>
        <v>23</v>
      </c>
      <c r="BB21">
        <f>SUMIF(RecoveredRaw!$B:$B,$A21,RecoveredRaw!BE:BE)</f>
        <v>23</v>
      </c>
      <c r="BC21">
        <f>SUMIF(RecoveredRaw!$B:$B,$A21,RecoveredRaw!BF:BF)</f>
        <v>23</v>
      </c>
      <c r="BD21">
        <f>SUMIF(RecoveredRaw!$B:$B,$A21,RecoveredRaw!BG:BG)</f>
        <v>23</v>
      </c>
      <c r="BE21">
        <f>SUMIF(RecoveredRaw!$B:$B,$A21,RecoveredRaw!BH:BH)</f>
        <v>23</v>
      </c>
      <c r="BF21">
        <f>SUMIF(RecoveredRaw!$B:$B,$A21,RecoveredRaw!BI:BI)</f>
        <v>23</v>
      </c>
      <c r="BG21">
        <f>SUMIF(RecoveredRaw!$B:$B,$A21,RecoveredRaw!BJ:BJ)</f>
        <v>26</v>
      </c>
      <c r="BH21">
        <f>SUMIF(RecoveredRaw!$B:$B,$A21,RecoveredRaw!BK:BK)</f>
        <v>26</v>
      </c>
      <c r="BI21">
        <f>SUMIF(RecoveredRaw!$B:$B,$A21,RecoveredRaw!BL:BL)</f>
        <v>0</v>
      </c>
      <c r="BJ21">
        <f>SUMIF(RecoveredRaw!$B:$B,$A21,RecoveredRaw!BM:BM)</f>
        <v>0</v>
      </c>
      <c r="BK21">
        <f>SUMIF(RecoveredRaw!$B:$B,$A21,RecoveredRaw!BN:BN)</f>
        <v>0</v>
      </c>
      <c r="BL21">
        <f>SUMIF(RecoveredRaw!$B:$B,$A21,RecoveredRaw!BO:BO)</f>
        <v>0</v>
      </c>
      <c r="BM21">
        <f>SUMIF(RecoveredRaw!$B:$B,$A21,RecoveredRaw!BP:BP)</f>
        <v>0</v>
      </c>
      <c r="BN21">
        <f>SUMIF(RecoveredRaw!$B:$B,$A21,RecoveredRaw!BQ:BQ)</f>
        <v>0</v>
      </c>
      <c r="BO21">
        <f>SUMIF(RecoveredRaw!$B:$B,$A21,RecoveredRaw!BR:BR)</f>
        <v>0</v>
      </c>
      <c r="BP21">
        <f>SUMIF(RecoveredRaw!$B:$B,$A21,RecoveredRaw!BS:BS)</f>
        <v>0</v>
      </c>
      <c r="BQ21">
        <f>SUMIF(RecoveredRaw!$B:$B,$A21,RecoveredRaw!BT:BT)</f>
        <v>0</v>
      </c>
      <c r="BR21">
        <f>SUMIF(RecoveredRaw!$B:$B,$A21,RecoveredRaw!BU:BU)</f>
        <v>0</v>
      </c>
      <c r="BS21">
        <f>SUMIF(RecoveredRaw!$B:$B,$A21,RecoveredRaw!BV:BV)</f>
        <v>0</v>
      </c>
      <c r="BT21">
        <f>SUMIF(RecoveredRaw!$B:$B,$A21,RecoveredRaw!BW:BW)</f>
        <v>0</v>
      </c>
    </row>
    <row r="22" spans="1:72" ht="15" thickBot="1" x14ac:dyDescent="0.35">
      <c r="A22" s="3" t="s">
        <v>40</v>
      </c>
      <c r="B22">
        <f>SUMIF(RecoveredRaw!$B:$B,$A22,RecoveredRaw!E:E)</f>
        <v>0</v>
      </c>
      <c r="C22">
        <f>SUMIF(RecoveredRaw!$B:$B,$A22,RecoveredRaw!F:F)</f>
        <v>0</v>
      </c>
      <c r="D22">
        <f>SUMIF(RecoveredRaw!$B:$B,$A22,RecoveredRaw!G:G)</f>
        <v>0</v>
      </c>
      <c r="E22">
        <f>SUMIF(RecoveredRaw!$B:$B,$A22,RecoveredRaw!H:H)</f>
        <v>0</v>
      </c>
      <c r="F22">
        <f>SUMIF(RecoveredRaw!$B:$B,$A22,RecoveredRaw!I:I)</f>
        <v>0</v>
      </c>
      <c r="G22">
        <f>SUMIF(RecoveredRaw!$B:$B,$A22,RecoveredRaw!J:J)</f>
        <v>0</v>
      </c>
      <c r="H22">
        <f>SUMIF(RecoveredRaw!$B:$B,$A22,RecoveredRaw!K:K)</f>
        <v>0</v>
      </c>
      <c r="I22">
        <f>SUMIF(RecoveredRaw!$B:$B,$A22,RecoveredRaw!L:L)</f>
        <v>0</v>
      </c>
      <c r="J22">
        <f>SUMIF(RecoveredRaw!$B:$B,$A22,RecoveredRaw!M:M)</f>
        <v>0</v>
      </c>
      <c r="K22">
        <f>SUMIF(RecoveredRaw!$B:$B,$A22,RecoveredRaw!N:N)</f>
        <v>0</v>
      </c>
      <c r="L22">
        <f>SUMIF(RecoveredRaw!$B:$B,$A22,RecoveredRaw!O:O)</f>
        <v>0</v>
      </c>
      <c r="M22">
        <f>SUMIF(RecoveredRaw!$B:$B,$A22,RecoveredRaw!P:P)</f>
        <v>0</v>
      </c>
      <c r="N22">
        <f>SUMIF(RecoveredRaw!$B:$B,$A22,RecoveredRaw!Q:Q)</f>
        <v>0</v>
      </c>
      <c r="O22">
        <f>SUMIF(RecoveredRaw!$B:$B,$A22,RecoveredRaw!R:R)</f>
        <v>0</v>
      </c>
      <c r="P22">
        <f>SUMIF(RecoveredRaw!$B:$B,$A22,RecoveredRaw!S:S)</f>
        <v>0</v>
      </c>
      <c r="Q22">
        <f>SUMIF(RecoveredRaw!$B:$B,$A22,RecoveredRaw!T:T)</f>
        <v>0</v>
      </c>
      <c r="R22">
        <f>SUMIF(RecoveredRaw!$B:$B,$A22,RecoveredRaw!U:U)</f>
        <v>0</v>
      </c>
      <c r="S22">
        <f>SUMIF(RecoveredRaw!$B:$B,$A22,RecoveredRaw!V:V)</f>
        <v>2</v>
      </c>
      <c r="T22">
        <f>SUMIF(RecoveredRaw!$B:$B,$A22,RecoveredRaw!W:W)</f>
        <v>2</v>
      </c>
      <c r="U22">
        <f>SUMIF(RecoveredRaw!$B:$B,$A22,RecoveredRaw!X:X)</f>
        <v>2</v>
      </c>
      <c r="V22">
        <f>SUMIF(RecoveredRaw!$B:$B,$A22,RecoveredRaw!Y:Y)</f>
        <v>9</v>
      </c>
      <c r="W22">
        <f>SUMIF(RecoveredRaw!$B:$B,$A22,RecoveredRaw!Z:Z)</f>
        <v>15</v>
      </c>
      <c r="X22">
        <f>SUMIF(RecoveredRaw!$B:$B,$A22,RecoveredRaw!AA:AA)</f>
        <v>15</v>
      </c>
      <c r="Y22">
        <f>SUMIF(RecoveredRaw!$B:$B,$A22,RecoveredRaw!AB:AB)</f>
        <v>17</v>
      </c>
      <c r="Z22">
        <f>SUMIF(RecoveredRaw!$B:$B,$A22,RecoveredRaw!AC:AC)</f>
        <v>18</v>
      </c>
      <c r="AA22">
        <f>SUMIF(RecoveredRaw!$B:$B,$A22,RecoveredRaw!AD:AD)</f>
        <v>18</v>
      </c>
      <c r="AB22">
        <f>SUMIF(RecoveredRaw!$B:$B,$A22,RecoveredRaw!AE:AE)</f>
        <v>24</v>
      </c>
      <c r="AC22">
        <f>SUMIF(RecoveredRaw!$B:$B,$A22,RecoveredRaw!AF:AF)</f>
        <v>29</v>
      </c>
      <c r="AD22">
        <f>SUMIF(RecoveredRaw!$B:$B,$A22,RecoveredRaw!AG:AG)</f>
        <v>34</v>
      </c>
      <c r="AE22">
        <f>SUMIF(RecoveredRaw!$B:$B,$A22,RecoveredRaw!AH:AH)</f>
        <v>34</v>
      </c>
      <c r="AF22">
        <f>SUMIF(RecoveredRaw!$B:$B,$A22,RecoveredRaw!AI:AI)</f>
        <v>37</v>
      </c>
      <c r="AG22">
        <f>SUMIF(RecoveredRaw!$B:$B,$A22,RecoveredRaw!AJ:AJ)</f>
        <v>37</v>
      </c>
      <c r="AH22">
        <f>SUMIF(RecoveredRaw!$B:$B,$A22,RecoveredRaw!AK:AK)</f>
        <v>51</v>
      </c>
      <c r="AI22">
        <f>SUMIF(RecoveredRaw!$B:$B,$A22,RecoveredRaw!AL:AL)</f>
        <v>51</v>
      </c>
      <c r="AJ22">
        <f>SUMIF(RecoveredRaw!$B:$B,$A22,RecoveredRaw!AM:AM)</f>
        <v>53</v>
      </c>
      <c r="AK22">
        <f>SUMIF(RecoveredRaw!$B:$B,$A22,RecoveredRaw!AN:AN)</f>
        <v>62</v>
      </c>
      <c r="AL22">
        <f>SUMIF(RecoveredRaw!$B:$B,$A22,RecoveredRaw!AO:AO)</f>
        <v>62</v>
      </c>
      <c r="AM22">
        <f>SUMIF(RecoveredRaw!$B:$B,$A22,RecoveredRaw!AP:AP)</f>
        <v>62</v>
      </c>
      <c r="AN22">
        <f>SUMIF(RecoveredRaw!$B:$B,$A22,RecoveredRaw!AQ:AQ)</f>
        <v>72</v>
      </c>
      <c r="AO22">
        <f>SUMIF(RecoveredRaw!$B:$B,$A22,RecoveredRaw!AR:AR)</f>
        <v>72</v>
      </c>
      <c r="AP22">
        <f>SUMIF(RecoveredRaw!$B:$B,$A22,RecoveredRaw!AS:AS)</f>
        <v>78</v>
      </c>
      <c r="AQ22">
        <f>SUMIF(RecoveredRaw!$B:$B,$A22,RecoveredRaw!AT:AT)</f>
        <v>78</v>
      </c>
      <c r="AR22">
        <f>SUMIF(RecoveredRaw!$B:$B,$A22,RecoveredRaw!AU:AU)</f>
        <v>78</v>
      </c>
      <c r="AS22">
        <f>SUMIF(RecoveredRaw!$B:$B,$A22,RecoveredRaw!AV:AV)</f>
        <v>78</v>
      </c>
      <c r="AT22">
        <f>SUMIF(RecoveredRaw!$B:$B,$A22,RecoveredRaw!AW:AW)</f>
        <v>78</v>
      </c>
      <c r="AU22">
        <f>SUMIF(RecoveredRaw!$B:$B,$A22,RecoveredRaw!AX:AX)</f>
        <v>78</v>
      </c>
      <c r="AV22">
        <f>SUMIF(RecoveredRaw!$B:$B,$A22,RecoveredRaw!AY:AY)</f>
        <v>78</v>
      </c>
      <c r="AW22">
        <f>SUMIF(RecoveredRaw!$B:$B,$A22,RecoveredRaw!AZ:AZ)</f>
        <v>78</v>
      </c>
      <c r="AX22">
        <f>SUMIF(RecoveredRaw!$B:$B,$A22,RecoveredRaw!BA:BA)</f>
        <v>78</v>
      </c>
      <c r="AY22">
        <f>SUMIF(RecoveredRaw!$B:$B,$A22,RecoveredRaw!BB:BB)</f>
        <v>96</v>
      </c>
      <c r="AZ22">
        <f>SUMIF(RecoveredRaw!$B:$B,$A22,RecoveredRaw!BC:BC)</f>
        <v>96</v>
      </c>
      <c r="BA22">
        <f>SUMIF(RecoveredRaw!$B:$B,$A22,RecoveredRaw!BD:BD)</f>
        <v>97</v>
      </c>
      <c r="BB22">
        <f>SUMIF(RecoveredRaw!$B:$B,$A22,RecoveredRaw!BE:BE)</f>
        <v>105</v>
      </c>
      <c r="BC22">
        <f>SUMIF(RecoveredRaw!$B:$B,$A22,RecoveredRaw!BF:BF)</f>
        <v>105</v>
      </c>
      <c r="BD22">
        <f>SUMIF(RecoveredRaw!$B:$B,$A22,RecoveredRaw!BG:BG)</f>
        <v>109</v>
      </c>
      <c r="BE22">
        <f>SUMIF(RecoveredRaw!$B:$B,$A22,RecoveredRaw!BH:BH)</f>
        <v>114</v>
      </c>
      <c r="BF22">
        <f>SUMIF(RecoveredRaw!$B:$B,$A22,RecoveredRaw!BI:BI)</f>
        <v>114</v>
      </c>
      <c r="BG22">
        <f>SUMIF(RecoveredRaw!$B:$B,$A22,RecoveredRaw!BJ:BJ)</f>
        <v>114</v>
      </c>
      <c r="BH22">
        <f>SUMIF(RecoveredRaw!$B:$B,$A22,RecoveredRaw!BK:BK)</f>
        <v>124</v>
      </c>
      <c r="BI22">
        <f>SUMIF(RecoveredRaw!$B:$B,$A22,RecoveredRaw!BL:BL)</f>
        <v>0</v>
      </c>
      <c r="BJ22">
        <f>SUMIF(RecoveredRaw!$B:$B,$A22,RecoveredRaw!BM:BM)</f>
        <v>0</v>
      </c>
      <c r="BK22">
        <f>SUMIF(RecoveredRaw!$B:$B,$A22,RecoveredRaw!BN:BN)</f>
        <v>0</v>
      </c>
      <c r="BL22">
        <f>SUMIF(RecoveredRaw!$B:$B,$A22,RecoveredRaw!BO:BO)</f>
        <v>0</v>
      </c>
      <c r="BM22">
        <f>SUMIF(RecoveredRaw!$B:$B,$A22,RecoveredRaw!BP:BP)</f>
        <v>0</v>
      </c>
      <c r="BN22">
        <f>SUMIF(RecoveredRaw!$B:$B,$A22,RecoveredRaw!BQ:BQ)</f>
        <v>0</v>
      </c>
      <c r="BO22">
        <f>SUMIF(RecoveredRaw!$B:$B,$A22,RecoveredRaw!BR:BR)</f>
        <v>0</v>
      </c>
      <c r="BP22">
        <f>SUMIF(RecoveredRaw!$B:$B,$A22,RecoveredRaw!BS:BS)</f>
        <v>0</v>
      </c>
      <c r="BQ22">
        <f>SUMIF(RecoveredRaw!$B:$B,$A22,RecoveredRaw!BT:BT)</f>
        <v>0</v>
      </c>
      <c r="BR22">
        <f>SUMIF(RecoveredRaw!$B:$B,$A22,RecoveredRaw!BU:BU)</f>
        <v>0</v>
      </c>
      <c r="BS22">
        <f>SUMIF(RecoveredRaw!$B:$B,$A22,RecoveredRaw!BV:BV)</f>
        <v>0</v>
      </c>
      <c r="BT22">
        <f>SUMIF(RecoveredRaw!$B:$B,$A22,RecoveredRaw!BW:BW)</f>
        <v>0</v>
      </c>
    </row>
    <row r="23" spans="1:72" ht="15" thickBot="1" x14ac:dyDescent="0.35">
      <c r="A23" s="3" t="s">
        <v>43</v>
      </c>
      <c r="B23">
        <f>SUMIF(RecoveredRaw!$B:$B,$A23,RecoveredRaw!E:E)</f>
        <v>0</v>
      </c>
      <c r="C23">
        <f>SUMIF(RecoveredRaw!$B:$B,$A23,RecoveredRaw!F:F)</f>
        <v>0</v>
      </c>
      <c r="D23">
        <f>SUMIF(RecoveredRaw!$B:$B,$A23,RecoveredRaw!G:G)</f>
        <v>0</v>
      </c>
      <c r="E23">
        <f>SUMIF(RecoveredRaw!$B:$B,$A23,RecoveredRaw!H:H)</f>
        <v>0</v>
      </c>
      <c r="F23">
        <f>SUMIF(RecoveredRaw!$B:$B,$A23,RecoveredRaw!I:I)</f>
        <v>0</v>
      </c>
      <c r="G23">
        <f>SUMIF(RecoveredRaw!$B:$B,$A23,RecoveredRaw!J:J)</f>
        <v>0</v>
      </c>
      <c r="H23">
        <f>SUMIF(RecoveredRaw!$B:$B,$A23,RecoveredRaw!K:K)</f>
        <v>0</v>
      </c>
      <c r="I23">
        <f>SUMIF(RecoveredRaw!$B:$B,$A23,RecoveredRaw!L:L)</f>
        <v>0</v>
      </c>
      <c r="J23">
        <f>SUMIF(RecoveredRaw!$B:$B,$A23,RecoveredRaw!M:M)</f>
        <v>0</v>
      </c>
      <c r="K23">
        <f>SUMIF(RecoveredRaw!$B:$B,$A23,RecoveredRaw!N:N)</f>
        <v>0</v>
      </c>
      <c r="L23">
        <f>SUMIF(RecoveredRaw!$B:$B,$A23,RecoveredRaw!O:O)</f>
        <v>0</v>
      </c>
      <c r="M23">
        <f>SUMIF(RecoveredRaw!$B:$B,$A23,RecoveredRaw!P:P)</f>
        <v>0</v>
      </c>
      <c r="N23">
        <f>SUMIF(RecoveredRaw!$B:$B,$A23,RecoveredRaw!Q:Q)</f>
        <v>0</v>
      </c>
      <c r="O23">
        <f>SUMIF(RecoveredRaw!$B:$B,$A23,RecoveredRaw!R:R)</f>
        <v>0</v>
      </c>
      <c r="P23">
        <f>SUMIF(RecoveredRaw!$B:$B,$A23,RecoveredRaw!S:S)</f>
        <v>0</v>
      </c>
      <c r="Q23">
        <f>SUMIF(RecoveredRaw!$B:$B,$A23,RecoveredRaw!T:T)</f>
        <v>0</v>
      </c>
      <c r="R23">
        <f>SUMIF(RecoveredRaw!$B:$B,$A23,RecoveredRaw!U:U)</f>
        <v>1</v>
      </c>
      <c r="S23">
        <f>SUMIF(RecoveredRaw!$B:$B,$A23,RecoveredRaw!V:V)</f>
        <v>1</v>
      </c>
      <c r="T23">
        <f>SUMIF(RecoveredRaw!$B:$B,$A23,RecoveredRaw!W:W)</f>
        <v>1</v>
      </c>
      <c r="U23">
        <f>SUMIF(RecoveredRaw!$B:$B,$A23,RecoveredRaw!X:X)</f>
        <v>1</v>
      </c>
      <c r="V23">
        <f>SUMIF(RecoveredRaw!$B:$B,$A23,RecoveredRaw!Y:Y)</f>
        <v>3</v>
      </c>
      <c r="W23">
        <f>SUMIF(RecoveredRaw!$B:$B,$A23,RecoveredRaw!Z:Z)</f>
        <v>3</v>
      </c>
      <c r="X23">
        <f>SUMIF(RecoveredRaw!$B:$B,$A23,RecoveredRaw!AA:AA)</f>
        <v>3</v>
      </c>
      <c r="Y23">
        <f>SUMIF(RecoveredRaw!$B:$B,$A23,RecoveredRaw!AB:AB)</f>
        <v>3</v>
      </c>
      <c r="Z23">
        <f>SUMIF(RecoveredRaw!$B:$B,$A23,RecoveredRaw!AC:AC)</f>
        <v>7</v>
      </c>
      <c r="AA23">
        <f>SUMIF(RecoveredRaw!$B:$B,$A23,RecoveredRaw!AD:AD)</f>
        <v>7</v>
      </c>
      <c r="AB23">
        <f>SUMIF(RecoveredRaw!$B:$B,$A23,RecoveredRaw!AE:AE)</f>
        <v>7</v>
      </c>
      <c r="AC23">
        <f>SUMIF(RecoveredRaw!$B:$B,$A23,RecoveredRaw!AF:AF)</f>
        <v>13</v>
      </c>
      <c r="AD23">
        <f>SUMIF(RecoveredRaw!$B:$B,$A23,RecoveredRaw!AG:AG)</f>
        <v>15</v>
      </c>
      <c r="AE23">
        <f>SUMIF(RecoveredRaw!$B:$B,$A23,RecoveredRaw!AH:AH)</f>
        <v>15</v>
      </c>
      <c r="AF23">
        <f>SUMIF(RecoveredRaw!$B:$B,$A23,RecoveredRaw!AI:AI)</f>
        <v>15</v>
      </c>
      <c r="AG23">
        <f>SUMIF(RecoveredRaw!$B:$B,$A23,RecoveredRaw!AJ:AJ)</f>
        <v>15</v>
      </c>
      <c r="AH23">
        <f>SUMIF(RecoveredRaw!$B:$B,$A23,RecoveredRaw!AK:AK)</f>
        <v>15</v>
      </c>
      <c r="AI23">
        <f>SUMIF(RecoveredRaw!$B:$B,$A23,RecoveredRaw!AL:AL)</f>
        <v>18</v>
      </c>
      <c r="AJ23">
        <f>SUMIF(RecoveredRaw!$B:$B,$A23,RecoveredRaw!AM:AM)</f>
        <v>18</v>
      </c>
      <c r="AK23">
        <f>SUMIF(RecoveredRaw!$B:$B,$A23,RecoveredRaw!AN:AN)</f>
        <v>18</v>
      </c>
      <c r="AL23">
        <f>SUMIF(RecoveredRaw!$B:$B,$A23,RecoveredRaw!AO:AO)</f>
        <v>18</v>
      </c>
      <c r="AM23">
        <f>SUMIF(RecoveredRaw!$B:$B,$A23,RecoveredRaw!AP:AP)</f>
        <v>18</v>
      </c>
      <c r="AN23">
        <f>SUMIF(RecoveredRaw!$B:$B,$A23,RecoveredRaw!AQ:AQ)</f>
        <v>18</v>
      </c>
      <c r="AO23">
        <f>SUMIF(RecoveredRaw!$B:$B,$A23,RecoveredRaw!AR:AR)</f>
        <v>18</v>
      </c>
      <c r="AP23">
        <f>SUMIF(RecoveredRaw!$B:$B,$A23,RecoveredRaw!AS:AS)</f>
        <v>18</v>
      </c>
      <c r="AQ23">
        <f>SUMIF(RecoveredRaw!$B:$B,$A23,RecoveredRaw!AT:AT)</f>
        <v>22</v>
      </c>
      <c r="AR23">
        <f>SUMIF(RecoveredRaw!$B:$B,$A23,RecoveredRaw!AU:AU)</f>
        <v>22</v>
      </c>
      <c r="AS23">
        <f>SUMIF(RecoveredRaw!$B:$B,$A23,RecoveredRaw!AV:AV)</f>
        <v>22</v>
      </c>
      <c r="AT23">
        <f>SUMIF(RecoveredRaw!$B:$B,$A23,RecoveredRaw!AW:AW)</f>
        <v>22</v>
      </c>
      <c r="AU23">
        <f>SUMIF(RecoveredRaw!$B:$B,$A23,RecoveredRaw!AX:AX)</f>
        <v>23</v>
      </c>
      <c r="AV23">
        <f>SUMIF(RecoveredRaw!$B:$B,$A23,RecoveredRaw!AY:AY)</f>
        <v>24</v>
      </c>
      <c r="AW23">
        <f>SUMIF(RecoveredRaw!$B:$B,$A23,RecoveredRaw!AZ:AZ)</f>
        <v>24</v>
      </c>
      <c r="AX23">
        <f>SUMIF(RecoveredRaw!$B:$B,$A23,RecoveredRaw!BA:BA)</f>
        <v>24</v>
      </c>
      <c r="AY23">
        <f>SUMIF(RecoveredRaw!$B:$B,$A23,RecoveredRaw!BB:BB)</f>
        <v>26</v>
      </c>
      <c r="AZ23">
        <f>SUMIF(RecoveredRaw!$B:$B,$A23,RecoveredRaw!BC:BC)</f>
        <v>26</v>
      </c>
      <c r="BA23">
        <f>SUMIF(RecoveredRaw!$B:$B,$A23,RecoveredRaw!BD:BD)</f>
        <v>26</v>
      </c>
      <c r="BB23">
        <f>SUMIF(RecoveredRaw!$B:$B,$A23,RecoveredRaw!BE:BE)</f>
        <v>35</v>
      </c>
      <c r="BC23">
        <f>SUMIF(RecoveredRaw!$B:$B,$A23,RecoveredRaw!BF:BF)</f>
        <v>42</v>
      </c>
      <c r="BD23">
        <f>SUMIF(RecoveredRaw!$B:$B,$A23,RecoveredRaw!BG:BG)</f>
        <v>42</v>
      </c>
      <c r="BE23">
        <f>SUMIF(RecoveredRaw!$B:$B,$A23,RecoveredRaw!BH:BH)</f>
        <v>49</v>
      </c>
      <c r="BF23">
        <f>SUMIF(RecoveredRaw!$B:$B,$A23,RecoveredRaw!BI:BI)</f>
        <v>60</v>
      </c>
      <c r="BG23">
        <f>SUMIF(RecoveredRaw!$B:$B,$A23,RecoveredRaw!BJ:BJ)</f>
        <v>75</v>
      </c>
      <c r="BH23">
        <f>SUMIF(RecoveredRaw!$B:$B,$A23,RecoveredRaw!BK:BK)</f>
        <v>87</v>
      </c>
      <c r="BI23">
        <f>SUMIF(RecoveredRaw!$B:$B,$A23,RecoveredRaw!BL:BL)</f>
        <v>0</v>
      </c>
      <c r="BJ23">
        <f>SUMIF(RecoveredRaw!$B:$B,$A23,RecoveredRaw!BM:BM)</f>
        <v>0</v>
      </c>
      <c r="BK23">
        <f>SUMIF(RecoveredRaw!$B:$B,$A23,RecoveredRaw!BN:BN)</f>
        <v>0</v>
      </c>
      <c r="BL23">
        <f>SUMIF(RecoveredRaw!$B:$B,$A23,RecoveredRaw!BO:BO)</f>
        <v>0</v>
      </c>
      <c r="BM23">
        <f>SUMIF(RecoveredRaw!$B:$B,$A23,RecoveredRaw!BP:BP)</f>
        <v>0</v>
      </c>
      <c r="BN23">
        <f>SUMIF(RecoveredRaw!$B:$B,$A23,RecoveredRaw!BQ:BQ)</f>
        <v>0</v>
      </c>
      <c r="BO23">
        <f>SUMIF(RecoveredRaw!$B:$B,$A23,RecoveredRaw!BR:BR)</f>
        <v>0</v>
      </c>
      <c r="BP23">
        <f>SUMIF(RecoveredRaw!$B:$B,$A23,RecoveredRaw!BS:BS)</f>
        <v>0</v>
      </c>
      <c r="BQ23">
        <f>SUMIF(RecoveredRaw!$B:$B,$A23,RecoveredRaw!BT:BT)</f>
        <v>0</v>
      </c>
      <c r="BR23">
        <f>SUMIF(RecoveredRaw!$B:$B,$A23,RecoveredRaw!BU:BU)</f>
        <v>0</v>
      </c>
      <c r="BS23">
        <f>SUMIF(RecoveredRaw!$B:$B,$A23,RecoveredRaw!BV:BV)</f>
        <v>0</v>
      </c>
      <c r="BT23">
        <f>SUMIF(RecoveredRaw!$B:$B,$A23,RecoveredRaw!BW:BW)</f>
        <v>0</v>
      </c>
    </row>
    <row r="24" spans="1:72" ht="15" thickBot="1" x14ac:dyDescent="0.35">
      <c r="A24" s="4" t="s">
        <v>45</v>
      </c>
      <c r="B24">
        <f>SUMIF(RecoveredRaw!$B:$B,$A24,RecoveredRaw!E:E)</f>
        <v>0</v>
      </c>
      <c r="C24">
        <f>SUMIF(RecoveredRaw!$B:$B,$A24,RecoveredRaw!F:F)</f>
        <v>0</v>
      </c>
      <c r="D24">
        <f>SUMIF(RecoveredRaw!$B:$B,$A24,RecoveredRaw!G:G)</f>
        <v>0</v>
      </c>
      <c r="E24">
        <f>SUMIF(RecoveredRaw!$B:$B,$A24,RecoveredRaw!H:H)</f>
        <v>0</v>
      </c>
      <c r="F24">
        <f>SUMIF(RecoveredRaw!$B:$B,$A24,RecoveredRaw!I:I)</f>
        <v>0</v>
      </c>
      <c r="G24">
        <f>SUMIF(RecoveredRaw!$B:$B,$A24,RecoveredRaw!J:J)</f>
        <v>0</v>
      </c>
      <c r="H24">
        <f>SUMIF(RecoveredRaw!$B:$B,$A24,RecoveredRaw!K:K)</f>
        <v>0</v>
      </c>
      <c r="I24">
        <f>SUMIF(RecoveredRaw!$B:$B,$A24,RecoveredRaw!L:L)</f>
        <v>0</v>
      </c>
      <c r="J24">
        <f>SUMIF(RecoveredRaw!$B:$B,$A24,RecoveredRaw!M:M)</f>
        <v>0</v>
      </c>
      <c r="K24">
        <f>SUMIF(RecoveredRaw!$B:$B,$A24,RecoveredRaw!N:N)</f>
        <v>0</v>
      </c>
      <c r="L24">
        <f>SUMIF(RecoveredRaw!$B:$B,$A24,RecoveredRaw!O:O)</f>
        <v>0</v>
      </c>
      <c r="M24">
        <f>SUMIF(RecoveredRaw!$B:$B,$A24,RecoveredRaw!P:P)</f>
        <v>0</v>
      </c>
      <c r="N24">
        <f>SUMIF(RecoveredRaw!$B:$B,$A24,RecoveredRaw!Q:Q)</f>
        <v>0</v>
      </c>
      <c r="O24">
        <f>SUMIF(RecoveredRaw!$B:$B,$A24,RecoveredRaw!R:R)</f>
        <v>0</v>
      </c>
      <c r="P24">
        <f>SUMIF(RecoveredRaw!$B:$B,$A24,RecoveredRaw!S:S)</f>
        <v>0</v>
      </c>
      <c r="Q24">
        <f>SUMIF(RecoveredRaw!$B:$B,$A24,RecoveredRaw!T:T)</f>
        <v>0</v>
      </c>
      <c r="R24">
        <f>SUMIF(RecoveredRaw!$B:$B,$A24,RecoveredRaw!U:U)</f>
        <v>0</v>
      </c>
      <c r="S24">
        <f>SUMIF(RecoveredRaw!$B:$B,$A24,RecoveredRaw!V:V)</f>
        <v>0</v>
      </c>
      <c r="T24">
        <f>SUMIF(RecoveredRaw!$B:$B,$A24,RecoveredRaw!W:W)</f>
        <v>0</v>
      </c>
      <c r="U24">
        <f>SUMIF(RecoveredRaw!$B:$B,$A24,RecoveredRaw!X:X)</f>
        <v>0</v>
      </c>
      <c r="V24">
        <f>SUMIF(RecoveredRaw!$B:$B,$A24,RecoveredRaw!Y:Y)</f>
        <v>0</v>
      </c>
      <c r="W24">
        <f>SUMIF(RecoveredRaw!$B:$B,$A24,RecoveredRaw!Z:Z)</f>
        <v>1</v>
      </c>
      <c r="X24">
        <f>SUMIF(RecoveredRaw!$B:$B,$A24,RecoveredRaw!AA:AA)</f>
        <v>1</v>
      </c>
      <c r="Y24">
        <f>SUMIF(RecoveredRaw!$B:$B,$A24,RecoveredRaw!AB:AB)</f>
        <v>1</v>
      </c>
      <c r="Z24">
        <f>SUMIF(RecoveredRaw!$B:$B,$A24,RecoveredRaw!AC:AC)</f>
        <v>1</v>
      </c>
      <c r="AA24">
        <f>SUMIF(RecoveredRaw!$B:$B,$A24,RecoveredRaw!AD:AD)</f>
        <v>1</v>
      </c>
      <c r="AB24">
        <f>SUMIF(RecoveredRaw!$B:$B,$A24,RecoveredRaw!AE:AE)</f>
        <v>1</v>
      </c>
      <c r="AC24">
        <f>SUMIF(RecoveredRaw!$B:$B,$A24,RecoveredRaw!AF:AF)</f>
        <v>1</v>
      </c>
      <c r="AD24">
        <f>SUMIF(RecoveredRaw!$B:$B,$A24,RecoveredRaw!AG:AG)</f>
        <v>1</v>
      </c>
      <c r="AE24">
        <f>SUMIF(RecoveredRaw!$B:$B,$A24,RecoveredRaw!AH:AH)</f>
        <v>1</v>
      </c>
      <c r="AF24">
        <f>SUMIF(RecoveredRaw!$B:$B,$A24,RecoveredRaw!AI:AI)</f>
        <v>3</v>
      </c>
      <c r="AG24">
        <f>SUMIF(RecoveredRaw!$B:$B,$A24,RecoveredRaw!AJ:AJ)</f>
        <v>3</v>
      </c>
      <c r="AH24">
        <f>SUMIF(RecoveredRaw!$B:$B,$A24,RecoveredRaw!AK:AK)</f>
        <v>3</v>
      </c>
      <c r="AI24">
        <f>SUMIF(RecoveredRaw!$B:$B,$A24,RecoveredRaw!AL:AL)</f>
        <v>3</v>
      </c>
      <c r="AJ24">
        <f>SUMIF(RecoveredRaw!$B:$B,$A24,RecoveredRaw!AM:AM)</f>
        <v>3</v>
      </c>
      <c r="AK24">
        <f>SUMIF(RecoveredRaw!$B:$B,$A24,RecoveredRaw!AN:AN)</f>
        <v>3</v>
      </c>
      <c r="AL24">
        <f>SUMIF(RecoveredRaw!$B:$B,$A24,RecoveredRaw!AO:AO)</f>
        <v>6</v>
      </c>
      <c r="AM24">
        <f>SUMIF(RecoveredRaw!$B:$B,$A24,RecoveredRaw!AP:AP)</f>
        <v>6</v>
      </c>
      <c r="AN24">
        <f>SUMIF(RecoveredRaw!$B:$B,$A24,RecoveredRaw!AQ:AQ)</f>
        <v>6</v>
      </c>
      <c r="AO24">
        <f>SUMIF(RecoveredRaw!$B:$B,$A24,RecoveredRaw!AR:AR)</f>
        <v>6</v>
      </c>
      <c r="AP24">
        <f>SUMIF(RecoveredRaw!$B:$B,$A24,RecoveredRaw!AS:AS)</f>
        <v>6</v>
      </c>
      <c r="AQ24">
        <f>SUMIF(RecoveredRaw!$B:$B,$A24,RecoveredRaw!AT:AT)</f>
        <v>6</v>
      </c>
      <c r="AR24">
        <f>SUMIF(RecoveredRaw!$B:$B,$A24,RecoveredRaw!AU:AU)</f>
        <v>6</v>
      </c>
      <c r="AS24">
        <f>SUMIF(RecoveredRaw!$B:$B,$A24,RecoveredRaw!AV:AV)</f>
        <v>6</v>
      </c>
      <c r="AT24">
        <f>SUMIF(RecoveredRaw!$B:$B,$A24,RecoveredRaw!AW:AW)</f>
        <v>6</v>
      </c>
      <c r="AU24">
        <f>SUMIF(RecoveredRaw!$B:$B,$A24,RecoveredRaw!AX:AX)</f>
        <v>8</v>
      </c>
      <c r="AV24">
        <f>SUMIF(RecoveredRaw!$B:$B,$A24,RecoveredRaw!AY:AY)</f>
        <v>8</v>
      </c>
      <c r="AW24">
        <f>SUMIF(RecoveredRaw!$B:$B,$A24,RecoveredRaw!AZ:AZ)</f>
        <v>8</v>
      </c>
      <c r="AX24">
        <f>SUMIF(RecoveredRaw!$B:$B,$A24,RecoveredRaw!BA:BA)</f>
        <v>8</v>
      </c>
      <c r="AY24">
        <f>SUMIF(RecoveredRaw!$B:$B,$A24,RecoveredRaw!BB:BB)</f>
        <v>8</v>
      </c>
      <c r="AZ24">
        <f>SUMIF(RecoveredRaw!$B:$B,$A24,RecoveredRaw!BC:BC)</f>
        <v>8</v>
      </c>
      <c r="BA24">
        <f>SUMIF(RecoveredRaw!$B:$B,$A24,RecoveredRaw!BD:BD)</f>
        <v>8</v>
      </c>
      <c r="BB24">
        <f>SUMIF(RecoveredRaw!$B:$B,$A24,RecoveredRaw!BE:BE)</f>
        <v>8</v>
      </c>
      <c r="BC24">
        <f>SUMIF(RecoveredRaw!$B:$B,$A24,RecoveredRaw!BF:BF)</f>
        <v>8</v>
      </c>
      <c r="BD24">
        <f>SUMIF(RecoveredRaw!$B:$B,$A24,RecoveredRaw!BG:BG)</f>
        <v>9</v>
      </c>
      <c r="BE24">
        <f>SUMIF(RecoveredRaw!$B:$B,$A24,RecoveredRaw!BH:BH)</f>
        <v>9</v>
      </c>
      <c r="BF24">
        <f>SUMIF(RecoveredRaw!$B:$B,$A24,RecoveredRaw!BI:BI)</f>
        <v>9</v>
      </c>
      <c r="BG24">
        <f>SUMIF(RecoveredRaw!$B:$B,$A24,RecoveredRaw!BJ:BJ)</f>
        <v>9</v>
      </c>
      <c r="BH24">
        <f>SUMIF(RecoveredRaw!$B:$B,$A24,RecoveredRaw!BK:BK)</f>
        <v>9</v>
      </c>
      <c r="BI24">
        <f>SUMIF(RecoveredRaw!$B:$B,$A24,RecoveredRaw!BL:BL)</f>
        <v>0</v>
      </c>
      <c r="BJ24">
        <f>SUMIF(RecoveredRaw!$B:$B,$A24,RecoveredRaw!BM:BM)</f>
        <v>0</v>
      </c>
      <c r="BK24">
        <f>SUMIF(RecoveredRaw!$B:$B,$A24,RecoveredRaw!BN:BN)</f>
        <v>0</v>
      </c>
      <c r="BL24">
        <f>SUMIF(RecoveredRaw!$B:$B,$A24,RecoveredRaw!BO:BO)</f>
        <v>0</v>
      </c>
      <c r="BM24">
        <f>SUMIF(RecoveredRaw!$B:$B,$A24,RecoveredRaw!BP:BP)</f>
        <v>0</v>
      </c>
      <c r="BN24">
        <f>SUMIF(RecoveredRaw!$B:$B,$A24,RecoveredRaw!BQ:BQ)</f>
        <v>0</v>
      </c>
      <c r="BO24">
        <f>SUMIF(RecoveredRaw!$B:$B,$A24,RecoveredRaw!BR:BR)</f>
        <v>0</v>
      </c>
      <c r="BP24">
        <f>SUMIF(RecoveredRaw!$B:$B,$A24,RecoveredRaw!BS:BS)</f>
        <v>0</v>
      </c>
      <c r="BQ24">
        <f>SUMIF(RecoveredRaw!$B:$B,$A24,RecoveredRaw!BT:BT)</f>
        <v>0</v>
      </c>
      <c r="BR24">
        <f>SUMIF(RecoveredRaw!$B:$B,$A24,RecoveredRaw!BU:BU)</f>
        <v>0</v>
      </c>
      <c r="BS24">
        <f>SUMIF(RecoveredRaw!$B:$B,$A24,RecoveredRaw!BV:BV)</f>
        <v>0</v>
      </c>
      <c r="BT24">
        <f>SUMIF(RecoveredRaw!$B:$B,$A24,RecoveredRaw!BW:BW)</f>
        <v>0</v>
      </c>
    </row>
    <row r="25" spans="1:72" ht="15" thickBot="1" x14ac:dyDescent="0.35">
      <c r="A25" s="4" t="s">
        <v>83</v>
      </c>
      <c r="B25">
        <f>SUMIF(RecoveredRaw!$B:$B,$A25,RecoveredRaw!E:E)</f>
        <v>0</v>
      </c>
      <c r="C25">
        <f>SUMIF(RecoveredRaw!$B:$B,$A25,RecoveredRaw!F:F)</f>
        <v>0</v>
      </c>
      <c r="D25">
        <f>SUMIF(RecoveredRaw!$B:$B,$A25,RecoveredRaw!G:G)</f>
        <v>0</v>
      </c>
      <c r="E25">
        <f>SUMIF(RecoveredRaw!$B:$B,$A25,RecoveredRaw!H:H)</f>
        <v>0</v>
      </c>
      <c r="F25">
        <f>SUMIF(RecoveredRaw!$B:$B,$A25,RecoveredRaw!I:I)</f>
        <v>0</v>
      </c>
      <c r="G25">
        <f>SUMIF(RecoveredRaw!$B:$B,$A25,RecoveredRaw!J:J)</f>
        <v>0</v>
      </c>
      <c r="H25">
        <f>SUMIF(RecoveredRaw!$B:$B,$A25,RecoveredRaw!K:K)</f>
        <v>0</v>
      </c>
      <c r="I25">
        <f>SUMIF(RecoveredRaw!$B:$B,$A25,RecoveredRaw!L:L)</f>
        <v>0</v>
      </c>
      <c r="J25">
        <f>SUMIF(RecoveredRaw!$B:$B,$A25,RecoveredRaw!M:M)</f>
        <v>0</v>
      </c>
      <c r="K25">
        <f>SUMIF(RecoveredRaw!$B:$B,$A25,RecoveredRaw!N:N)</f>
        <v>0</v>
      </c>
      <c r="L25">
        <f>SUMIF(RecoveredRaw!$B:$B,$A25,RecoveredRaw!O:O)</f>
        <v>0</v>
      </c>
      <c r="M25">
        <f>SUMIF(RecoveredRaw!$B:$B,$A25,RecoveredRaw!P:P)</f>
        <v>0</v>
      </c>
      <c r="N25">
        <f>SUMIF(RecoveredRaw!$B:$B,$A25,RecoveredRaw!Q:Q)</f>
        <v>0</v>
      </c>
      <c r="O25">
        <f>SUMIF(RecoveredRaw!$B:$B,$A25,RecoveredRaw!R:R)</f>
        <v>0</v>
      </c>
      <c r="P25">
        <f>SUMIF(RecoveredRaw!$B:$B,$A25,RecoveredRaw!S:S)</f>
        <v>0</v>
      </c>
      <c r="Q25">
        <f>SUMIF(RecoveredRaw!$B:$B,$A25,RecoveredRaw!T:T)</f>
        <v>0</v>
      </c>
      <c r="R25">
        <f>SUMIF(RecoveredRaw!$B:$B,$A25,RecoveredRaw!U:U)</f>
        <v>0</v>
      </c>
      <c r="S25">
        <f>SUMIF(RecoveredRaw!$B:$B,$A25,RecoveredRaw!V:V)</f>
        <v>0</v>
      </c>
      <c r="T25">
        <f>SUMIF(RecoveredRaw!$B:$B,$A25,RecoveredRaw!W:W)</f>
        <v>0</v>
      </c>
      <c r="U25">
        <f>SUMIF(RecoveredRaw!$B:$B,$A25,RecoveredRaw!X:X)</f>
        <v>0</v>
      </c>
      <c r="V25">
        <f>SUMIF(RecoveredRaw!$B:$B,$A25,RecoveredRaw!Y:Y)</f>
        <v>0</v>
      </c>
      <c r="W25">
        <f>SUMIF(RecoveredRaw!$B:$B,$A25,RecoveredRaw!Z:Z)</f>
        <v>0</v>
      </c>
      <c r="X25">
        <f>SUMIF(RecoveredRaw!$B:$B,$A25,RecoveredRaw!AA:AA)</f>
        <v>0</v>
      </c>
      <c r="Y25">
        <f>SUMIF(RecoveredRaw!$B:$B,$A25,RecoveredRaw!AB:AB)</f>
        <v>0</v>
      </c>
      <c r="Z25">
        <f>SUMIF(RecoveredRaw!$B:$B,$A25,RecoveredRaw!AC:AC)</f>
        <v>0</v>
      </c>
      <c r="AA25">
        <f>SUMIF(RecoveredRaw!$B:$B,$A25,RecoveredRaw!AD:AD)</f>
        <v>0</v>
      </c>
      <c r="AB25">
        <f>SUMIF(RecoveredRaw!$B:$B,$A25,RecoveredRaw!AE:AE)</f>
        <v>0</v>
      </c>
      <c r="AC25">
        <f>SUMIF(RecoveredRaw!$B:$B,$A25,RecoveredRaw!AF:AF)</f>
        <v>0</v>
      </c>
      <c r="AD25">
        <f>SUMIF(RecoveredRaw!$B:$B,$A25,RecoveredRaw!AG:AG)</f>
        <v>0</v>
      </c>
      <c r="AE25">
        <f>SUMIF(RecoveredRaw!$B:$B,$A25,RecoveredRaw!AH:AH)</f>
        <v>0</v>
      </c>
      <c r="AF25">
        <f>SUMIF(RecoveredRaw!$B:$B,$A25,RecoveredRaw!AI:AI)</f>
        <v>0</v>
      </c>
      <c r="AG25">
        <f>SUMIF(RecoveredRaw!$B:$B,$A25,RecoveredRaw!AJ:AJ)</f>
        <v>0</v>
      </c>
      <c r="AH25">
        <f>SUMIF(RecoveredRaw!$B:$B,$A25,RecoveredRaw!AK:AK)</f>
        <v>0</v>
      </c>
      <c r="AI25">
        <f>SUMIF(RecoveredRaw!$B:$B,$A25,RecoveredRaw!AL:AL)</f>
        <v>0</v>
      </c>
      <c r="AJ25">
        <f>SUMIF(RecoveredRaw!$B:$B,$A25,RecoveredRaw!AM:AM)</f>
        <v>0</v>
      </c>
      <c r="AK25">
        <f>SUMIF(RecoveredRaw!$B:$B,$A25,RecoveredRaw!AN:AN)</f>
        <v>0</v>
      </c>
      <c r="AL25">
        <f>SUMIF(RecoveredRaw!$B:$B,$A25,RecoveredRaw!AO:AO)</f>
        <v>0</v>
      </c>
      <c r="AM25">
        <f>SUMIF(RecoveredRaw!$B:$B,$A25,RecoveredRaw!AP:AP)</f>
        <v>0</v>
      </c>
      <c r="AN25">
        <f>SUMIF(RecoveredRaw!$B:$B,$A25,RecoveredRaw!AQ:AQ)</f>
        <v>0</v>
      </c>
      <c r="AO25">
        <f>SUMIF(RecoveredRaw!$B:$B,$A25,RecoveredRaw!AR:AR)</f>
        <v>0</v>
      </c>
      <c r="AP25">
        <f>SUMIF(RecoveredRaw!$B:$B,$A25,RecoveredRaw!AS:AS)</f>
        <v>0</v>
      </c>
      <c r="AQ25">
        <f>SUMIF(RecoveredRaw!$B:$B,$A25,RecoveredRaw!AT:AT)</f>
        <v>0</v>
      </c>
      <c r="AR25">
        <f>SUMIF(RecoveredRaw!$B:$B,$A25,RecoveredRaw!AU:AU)</f>
        <v>0</v>
      </c>
      <c r="AS25">
        <f>SUMIF(RecoveredRaw!$B:$B,$A25,RecoveredRaw!AV:AV)</f>
        <v>0</v>
      </c>
      <c r="AT25">
        <f>SUMIF(RecoveredRaw!$B:$B,$A25,RecoveredRaw!AW:AW)</f>
        <v>0</v>
      </c>
      <c r="AU25">
        <f>SUMIF(RecoveredRaw!$B:$B,$A25,RecoveredRaw!AX:AX)</f>
        <v>0</v>
      </c>
      <c r="AV25">
        <f>SUMIF(RecoveredRaw!$B:$B,$A25,RecoveredRaw!AY:AY)</f>
        <v>0</v>
      </c>
      <c r="AW25">
        <f>SUMIF(RecoveredRaw!$B:$B,$A25,RecoveredRaw!AZ:AZ)</f>
        <v>0</v>
      </c>
      <c r="AX25">
        <f>SUMIF(RecoveredRaw!$B:$B,$A25,RecoveredRaw!BA:BA)</f>
        <v>0</v>
      </c>
      <c r="AY25">
        <f>SUMIF(RecoveredRaw!$B:$B,$A25,RecoveredRaw!BB:BB)</f>
        <v>0</v>
      </c>
      <c r="AZ25">
        <f>SUMIF(RecoveredRaw!$B:$B,$A25,RecoveredRaw!BC:BC)</f>
        <v>0</v>
      </c>
      <c r="BA25">
        <f>SUMIF(RecoveredRaw!$B:$B,$A25,RecoveredRaw!BD:BD)</f>
        <v>0</v>
      </c>
      <c r="BB25">
        <f>SUMIF(RecoveredRaw!$B:$B,$A25,RecoveredRaw!BE:BE)</f>
        <v>8</v>
      </c>
      <c r="BC25">
        <f>SUMIF(RecoveredRaw!$B:$B,$A25,RecoveredRaw!BF:BF)</f>
        <v>8</v>
      </c>
      <c r="BD25">
        <f>SUMIF(RecoveredRaw!$B:$B,$A25,RecoveredRaw!BG:BG)</f>
        <v>8</v>
      </c>
      <c r="BE25">
        <f>SUMIF(RecoveredRaw!$B:$B,$A25,RecoveredRaw!BH:BH)</f>
        <v>8</v>
      </c>
      <c r="BF25">
        <f>SUMIF(RecoveredRaw!$B:$B,$A25,RecoveredRaw!BI:BI)</f>
        <v>8</v>
      </c>
      <c r="BG25">
        <f>SUMIF(RecoveredRaw!$B:$B,$A25,RecoveredRaw!BJ:BJ)</f>
        <v>8</v>
      </c>
      <c r="BH25">
        <f>SUMIF(RecoveredRaw!$B:$B,$A25,RecoveredRaw!BK:BK)</f>
        <v>19</v>
      </c>
      <c r="BI25">
        <f>SUMIF(RecoveredRaw!$B:$B,$A25,RecoveredRaw!BL:BL)</f>
        <v>0</v>
      </c>
      <c r="BJ25">
        <f>SUMIF(RecoveredRaw!$B:$B,$A25,RecoveredRaw!BM:BM)</f>
        <v>0</v>
      </c>
      <c r="BK25">
        <f>SUMIF(RecoveredRaw!$B:$B,$A25,RecoveredRaw!BN:BN)</f>
        <v>0</v>
      </c>
      <c r="BL25">
        <f>SUMIF(RecoveredRaw!$B:$B,$A25,RecoveredRaw!BO:BO)</f>
        <v>0</v>
      </c>
      <c r="BM25">
        <f>SUMIF(RecoveredRaw!$B:$B,$A25,RecoveredRaw!BP:BP)</f>
        <v>0</v>
      </c>
      <c r="BN25">
        <f>SUMIF(RecoveredRaw!$B:$B,$A25,RecoveredRaw!BQ:BQ)</f>
        <v>0</v>
      </c>
      <c r="BO25">
        <f>SUMIF(RecoveredRaw!$B:$B,$A25,RecoveredRaw!BR:BR)</f>
        <v>0</v>
      </c>
      <c r="BP25">
        <f>SUMIF(RecoveredRaw!$B:$B,$A25,RecoveredRaw!BS:BS)</f>
        <v>0</v>
      </c>
      <c r="BQ25">
        <f>SUMIF(RecoveredRaw!$B:$B,$A25,RecoveredRaw!BT:BT)</f>
        <v>0</v>
      </c>
      <c r="BR25">
        <f>SUMIF(RecoveredRaw!$B:$B,$A25,RecoveredRaw!BU:BU)</f>
        <v>0</v>
      </c>
      <c r="BS25">
        <f>SUMIF(RecoveredRaw!$B:$B,$A25,RecoveredRaw!BV:BV)</f>
        <v>0</v>
      </c>
      <c r="BT25">
        <f>SUMIF(RecoveredRaw!$B:$B,$A25,RecoveredRaw!BW:BW)</f>
        <v>0</v>
      </c>
    </row>
    <row r="26" spans="1:72" ht="15" thickBot="1" x14ac:dyDescent="0.35">
      <c r="A26" s="4" t="s">
        <v>73</v>
      </c>
      <c r="B26">
        <f>SUMIF(RecoveredRaw!$B:$B,$A26,RecoveredRaw!E:E)</f>
        <v>0</v>
      </c>
      <c r="C26">
        <f>SUMIF(RecoveredRaw!$B:$B,$A26,RecoveredRaw!F:F)</f>
        <v>0</v>
      </c>
      <c r="D26">
        <f>SUMIF(RecoveredRaw!$B:$B,$A26,RecoveredRaw!G:G)</f>
        <v>0</v>
      </c>
      <c r="E26">
        <f>SUMIF(RecoveredRaw!$B:$B,$A26,RecoveredRaw!H:H)</f>
        <v>0</v>
      </c>
      <c r="F26">
        <f>SUMIF(RecoveredRaw!$B:$B,$A26,RecoveredRaw!I:I)</f>
        <v>0</v>
      </c>
      <c r="G26">
        <f>SUMIF(RecoveredRaw!$B:$B,$A26,RecoveredRaw!J:J)</f>
        <v>0</v>
      </c>
      <c r="H26">
        <f>SUMIF(RecoveredRaw!$B:$B,$A26,RecoveredRaw!K:K)</f>
        <v>0</v>
      </c>
      <c r="I26">
        <f>SUMIF(RecoveredRaw!$B:$B,$A26,RecoveredRaw!L:L)</f>
        <v>0</v>
      </c>
      <c r="J26">
        <f>SUMIF(RecoveredRaw!$B:$B,$A26,RecoveredRaw!M:M)</f>
        <v>0</v>
      </c>
      <c r="K26">
        <f>SUMIF(RecoveredRaw!$B:$B,$A26,RecoveredRaw!N:N)</f>
        <v>0</v>
      </c>
      <c r="L26">
        <f>SUMIF(RecoveredRaw!$B:$B,$A26,RecoveredRaw!O:O)</f>
        <v>0</v>
      </c>
      <c r="M26">
        <f>SUMIF(RecoveredRaw!$B:$B,$A26,RecoveredRaw!P:P)</f>
        <v>0</v>
      </c>
      <c r="N26">
        <f>SUMIF(RecoveredRaw!$B:$B,$A26,RecoveredRaw!Q:Q)</f>
        <v>0</v>
      </c>
      <c r="O26">
        <f>SUMIF(RecoveredRaw!$B:$B,$A26,RecoveredRaw!R:R)</f>
        <v>0</v>
      </c>
      <c r="P26">
        <f>SUMIF(RecoveredRaw!$B:$B,$A26,RecoveredRaw!S:S)</f>
        <v>0</v>
      </c>
      <c r="Q26">
        <f>SUMIF(RecoveredRaw!$B:$B,$A26,RecoveredRaw!T:T)</f>
        <v>0</v>
      </c>
      <c r="R26">
        <f>SUMIF(RecoveredRaw!$B:$B,$A26,RecoveredRaw!U:U)</f>
        <v>0</v>
      </c>
      <c r="S26">
        <f>SUMIF(RecoveredRaw!$B:$B,$A26,RecoveredRaw!V:V)</f>
        <v>0</v>
      </c>
      <c r="T26">
        <f>SUMIF(RecoveredRaw!$B:$B,$A26,RecoveredRaw!W:W)</f>
        <v>0</v>
      </c>
      <c r="U26">
        <f>SUMIF(RecoveredRaw!$B:$B,$A26,RecoveredRaw!X:X)</f>
        <v>0</v>
      </c>
      <c r="V26">
        <f>SUMIF(RecoveredRaw!$B:$B,$A26,RecoveredRaw!Y:Y)</f>
        <v>0</v>
      </c>
      <c r="W26">
        <f>SUMIF(RecoveredRaw!$B:$B,$A26,RecoveredRaw!Z:Z)</f>
        <v>0</v>
      </c>
      <c r="X26">
        <f>SUMIF(RecoveredRaw!$B:$B,$A26,RecoveredRaw!AA:AA)</f>
        <v>0</v>
      </c>
      <c r="Y26">
        <f>SUMIF(RecoveredRaw!$B:$B,$A26,RecoveredRaw!AB:AB)</f>
        <v>0</v>
      </c>
      <c r="Z26">
        <f>SUMIF(RecoveredRaw!$B:$B,$A26,RecoveredRaw!AC:AC)</f>
        <v>0</v>
      </c>
      <c r="AA26">
        <f>SUMIF(RecoveredRaw!$B:$B,$A26,RecoveredRaw!AD:AD)</f>
        <v>0</v>
      </c>
      <c r="AB26">
        <f>SUMIF(RecoveredRaw!$B:$B,$A26,RecoveredRaw!AE:AE)</f>
        <v>0</v>
      </c>
      <c r="AC26">
        <f>SUMIF(RecoveredRaw!$B:$B,$A26,RecoveredRaw!AF:AF)</f>
        <v>0</v>
      </c>
      <c r="AD26">
        <f>SUMIF(RecoveredRaw!$B:$B,$A26,RecoveredRaw!AG:AG)</f>
        <v>0</v>
      </c>
      <c r="AE26">
        <f>SUMIF(RecoveredRaw!$B:$B,$A26,RecoveredRaw!AH:AH)</f>
        <v>0</v>
      </c>
      <c r="AF26">
        <f>SUMIF(RecoveredRaw!$B:$B,$A26,RecoveredRaw!AI:AI)</f>
        <v>0</v>
      </c>
      <c r="AG26">
        <f>SUMIF(RecoveredRaw!$B:$B,$A26,RecoveredRaw!AJ:AJ)</f>
        <v>0</v>
      </c>
      <c r="AH26">
        <f>SUMIF(RecoveredRaw!$B:$B,$A26,RecoveredRaw!AK:AK)</f>
        <v>0</v>
      </c>
      <c r="AI26">
        <f>SUMIF(RecoveredRaw!$B:$B,$A26,RecoveredRaw!AL:AL)</f>
        <v>0</v>
      </c>
      <c r="AJ26">
        <f>SUMIF(RecoveredRaw!$B:$B,$A26,RecoveredRaw!AM:AM)</f>
        <v>0</v>
      </c>
      <c r="AK26">
        <f>SUMIF(RecoveredRaw!$B:$B,$A26,RecoveredRaw!AN:AN)</f>
        <v>0</v>
      </c>
      <c r="AL26">
        <f>SUMIF(RecoveredRaw!$B:$B,$A26,RecoveredRaw!AO:AO)</f>
        <v>0</v>
      </c>
      <c r="AM26">
        <f>SUMIF(RecoveredRaw!$B:$B,$A26,RecoveredRaw!AP:AP)</f>
        <v>0</v>
      </c>
      <c r="AN26">
        <f>SUMIF(RecoveredRaw!$B:$B,$A26,RecoveredRaw!AQ:AQ)</f>
        <v>0</v>
      </c>
      <c r="AO26">
        <f>SUMIF(RecoveredRaw!$B:$B,$A26,RecoveredRaw!AR:AR)</f>
        <v>0</v>
      </c>
      <c r="AP26">
        <f>SUMIF(RecoveredRaw!$B:$B,$A26,RecoveredRaw!AS:AS)</f>
        <v>0</v>
      </c>
      <c r="AQ26">
        <f>SUMIF(RecoveredRaw!$B:$B,$A26,RecoveredRaw!AT:AT)</f>
        <v>0</v>
      </c>
      <c r="AR26">
        <f>SUMIF(RecoveredRaw!$B:$B,$A26,RecoveredRaw!AU:AU)</f>
        <v>0</v>
      </c>
      <c r="AS26">
        <f>SUMIF(RecoveredRaw!$B:$B,$A26,RecoveredRaw!AV:AV)</f>
        <v>0</v>
      </c>
      <c r="AT26">
        <f>SUMIF(RecoveredRaw!$B:$B,$A26,RecoveredRaw!AW:AW)</f>
        <v>4</v>
      </c>
      <c r="AU26">
        <f>SUMIF(RecoveredRaw!$B:$B,$A26,RecoveredRaw!AX:AX)</f>
        <v>4</v>
      </c>
      <c r="AV26">
        <f>SUMIF(RecoveredRaw!$B:$B,$A26,RecoveredRaw!AY:AY)</f>
        <v>4</v>
      </c>
      <c r="AW26">
        <f>SUMIF(RecoveredRaw!$B:$B,$A26,RecoveredRaw!AZ:AZ)</f>
        <v>14</v>
      </c>
      <c r="AX26">
        <f>SUMIF(RecoveredRaw!$B:$B,$A26,RecoveredRaw!BA:BA)</f>
        <v>22</v>
      </c>
      <c r="AY26">
        <f>SUMIF(RecoveredRaw!$B:$B,$A26,RecoveredRaw!BB:BB)</f>
        <v>35</v>
      </c>
      <c r="AZ26">
        <f>SUMIF(RecoveredRaw!$B:$B,$A26,RecoveredRaw!BC:BC)</f>
        <v>35</v>
      </c>
      <c r="BA26">
        <f>SUMIF(RecoveredRaw!$B:$B,$A26,RecoveredRaw!BD:BD)</f>
        <v>44</v>
      </c>
      <c r="BB26">
        <f>SUMIF(RecoveredRaw!$B:$B,$A26,RecoveredRaw!BE:BE)</f>
        <v>44</v>
      </c>
      <c r="BC26">
        <f>SUMIF(RecoveredRaw!$B:$B,$A26,RecoveredRaw!BF:BF)</f>
        <v>60</v>
      </c>
      <c r="BD26">
        <f>SUMIF(RecoveredRaw!$B:$B,$A26,RecoveredRaw!BG:BG)</f>
        <v>77</v>
      </c>
      <c r="BE26">
        <f>SUMIF(RecoveredRaw!$B:$B,$A26,RecoveredRaw!BH:BH)</f>
        <v>81</v>
      </c>
      <c r="BF26">
        <f>SUMIF(RecoveredRaw!$B:$B,$A26,RecoveredRaw!BI:BI)</f>
        <v>88</v>
      </c>
      <c r="BG26">
        <f>SUMIF(RecoveredRaw!$B:$B,$A26,RecoveredRaw!BJ:BJ)</f>
        <v>100</v>
      </c>
      <c r="BH26">
        <f>SUMIF(RecoveredRaw!$B:$B,$A26,RecoveredRaw!BK:BK)</f>
        <v>100</v>
      </c>
      <c r="BI26">
        <f>SUMIF(RecoveredRaw!$B:$B,$A26,RecoveredRaw!BL:BL)</f>
        <v>0</v>
      </c>
      <c r="BJ26">
        <f>SUMIF(RecoveredRaw!$B:$B,$A26,RecoveredRaw!BM:BM)</f>
        <v>0</v>
      </c>
      <c r="BK26">
        <f>SUMIF(RecoveredRaw!$B:$B,$A26,RecoveredRaw!BN:BN)</f>
        <v>0</v>
      </c>
      <c r="BL26">
        <f>SUMIF(RecoveredRaw!$B:$B,$A26,RecoveredRaw!BO:BO)</f>
        <v>0</v>
      </c>
      <c r="BM26">
        <f>SUMIF(RecoveredRaw!$B:$B,$A26,RecoveredRaw!BP:BP)</f>
        <v>0</v>
      </c>
      <c r="BN26">
        <f>SUMIF(RecoveredRaw!$B:$B,$A26,RecoveredRaw!BQ:BQ)</f>
        <v>0</v>
      </c>
      <c r="BO26">
        <f>SUMIF(RecoveredRaw!$B:$B,$A26,RecoveredRaw!BR:BR)</f>
        <v>0</v>
      </c>
      <c r="BP26">
        <f>SUMIF(RecoveredRaw!$B:$B,$A26,RecoveredRaw!BS:BS)</f>
        <v>0</v>
      </c>
      <c r="BQ26">
        <f>SUMIF(RecoveredRaw!$B:$B,$A26,RecoveredRaw!BT:BT)</f>
        <v>0</v>
      </c>
      <c r="BR26">
        <f>SUMIF(RecoveredRaw!$B:$B,$A26,RecoveredRaw!BU:BU)</f>
        <v>0</v>
      </c>
      <c r="BS26">
        <f>SUMIF(RecoveredRaw!$B:$B,$A26,RecoveredRaw!BV:BV)</f>
        <v>0</v>
      </c>
      <c r="BT26">
        <f>SUMIF(RecoveredRaw!$B:$B,$A26,RecoveredRaw!BW:BW)</f>
        <v>0</v>
      </c>
    </row>
    <row r="27" spans="1:72" ht="15" thickBot="1" x14ac:dyDescent="0.35">
      <c r="A27" s="4" t="s">
        <v>79</v>
      </c>
      <c r="B27">
        <f>SUMIF(RecoveredRaw!$B:$B,$A27,RecoveredRaw!E:E)</f>
        <v>0</v>
      </c>
      <c r="C27">
        <f>SUMIF(RecoveredRaw!$B:$B,$A27,RecoveredRaw!F:F)</f>
        <v>0</v>
      </c>
      <c r="D27">
        <f>SUMIF(RecoveredRaw!$B:$B,$A27,RecoveredRaw!G:G)</f>
        <v>0</v>
      </c>
      <c r="E27">
        <f>SUMIF(RecoveredRaw!$B:$B,$A27,RecoveredRaw!H:H)</f>
        <v>0</v>
      </c>
      <c r="F27">
        <f>SUMIF(RecoveredRaw!$B:$B,$A27,RecoveredRaw!I:I)</f>
        <v>0</v>
      </c>
      <c r="G27">
        <f>SUMIF(RecoveredRaw!$B:$B,$A27,RecoveredRaw!J:J)</f>
        <v>0</v>
      </c>
      <c r="H27">
        <f>SUMIF(RecoveredRaw!$B:$B,$A27,RecoveredRaw!K:K)</f>
        <v>0</v>
      </c>
      <c r="I27">
        <f>SUMIF(RecoveredRaw!$B:$B,$A27,RecoveredRaw!L:L)</f>
        <v>0</v>
      </c>
      <c r="J27">
        <f>SUMIF(RecoveredRaw!$B:$B,$A27,RecoveredRaw!M:M)</f>
        <v>0</v>
      </c>
      <c r="K27">
        <f>SUMIF(RecoveredRaw!$B:$B,$A27,RecoveredRaw!N:N)</f>
        <v>0</v>
      </c>
      <c r="L27">
        <f>SUMIF(RecoveredRaw!$B:$B,$A27,RecoveredRaw!O:O)</f>
        <v>0</v>
      </c>
      <c r="M27">
        <f>SUMIF(RecoveredRaw!$B:$B,$A27,RecoveredRaw!P:P)</f>
        <v>0</v>
      </c>
      <c r="N27">
        <f>SUMIF(RecoveredRaw!$B:$B,$A27,RecoveredRaw!Q:Q)</f>
        <v>0</v>
      </c>
      <c r="O27">
        <f>SUMIF(RecoveredRaw!$B:$B,$A27,RecoveredRaw!R:R)</f>
        <v>0</v>
      </c>
      <c r="P27">
        <f>SUMIF(RecoveredRaw!$B:$B,$A27,RecoveredRaw!S:S)</f>
        <v>0</v>
      </c>
      <c r="Q27">
        <f>SUMIF(RecoveredRaw!$B:$B,$A27,RecoveredRaw!T:T)</f>
        <v>0</v>
      </c>
      <c r="R27">
        <f>SUMIF(RecoveredRaw!$B:$B,$A27,RecoveredRaw!U:U)</f>
        <v>0</v>
      </c>
      <c r="S27">
        <f>SUMIF(RecoveredRaw!$B:$B,$A27,RecoveredRaw!V:V)</f>
        <v>0</v>
      </c>
      <c r="T27">
        <f>SUMIF(RecoveredRaw!$B:$B,$A27,RecoveredRaw!W:W)</f>
        <v>0</v>
      </c>
      <c r="U27">
        <f>SUMIF(RecoveredRaw!$B:$B,$A27,RecoveredRaw!X:X)</f>
        <v>0</v>
      </c>
      <c r="V27">
        <f>SUMIF(RecoveredRaw!$B:$B,$A27,RecoveredRaw!Y:Y)</f>
        <v>0</v>
      </c>
      <c r="W27">
        <f>SUMIF(RecoveredRaw!$B:$B,$A27,RecoveredRaw!Z:Z)</f>
        <v>0</v>
      </c>
      <c r="X27">
        <f>SUMIF(RecoveredRaw!$B:$B,$A27,RecoveredRaw!AA:AA)</f>
        <v>0</v>
      </c>
      <c r="Y27">
        <f>SUMIF(RecoveredRaw!$B:$B,$A27,RecoveredRaw!AB:AB)</f>
        <v>0</v>
      </c>
      <c r="Z27">
        <f>SUMIF(RecoveredRaw!$B:$B,$A27,RecoveredRaw!AC:AC)</f>
        <v>0</v>
      </c>
      <c r="AA27">
        <f>SUMIF(RecoveredRaw!$B:$B,$A27,RecoveredRaw!AD:AD)</f>
        <v>0</v>
      </c>
      <c r="AB27">
        <f>SUMIF(RecoveredRaw!$B:$B,$A27,RecoveredRaw!AE:AE)</f>
        <v>0</v>
      </c>
      <c r="AC27">
        <f>SUMIF(RecoveredRaw!$B:$B,$A27,RecoveredRaw!AF:AF)</f>
        <v>0</v>
      </c>
      <c r="AD27">
        <f>SUMIF(RecoveredRaw!$B:$B,$A27,RecoveredRaw!AG:AG)</f>
        <v>0</v>
      </c>
      <c r="AE27">
        <f>SUMIF(RecoveredRaw!$B:$B,$A27,RecoveredRaw!AH:AH)</f>
        <v>0</v>
      </c>
      <c r="AF27">
        <f>SUMIF(RecoveredRaw!$B:$B,$A27,RecoveredRaw!AI:AI)</f>
        <v>0</v>
      </c>
      <c r="AG27">
        <f>SUMIF(RecoveredRaw!$B:$B,$A27,RecoveredRaw!AJ:AJ)</f>
        <v>0</v>
      </c>
      <c r="AH27">
        <f>SUMIF(RecoveredRaw!$B:$B,$A27,RecoveredRaw!AK:AK)</f>
        <v>0</v>
      </c>
      <c r="AI27">
        <f>SUMIF(RecoveredRaw!$B:$B,$A27,RecoveredRaw!AL:AL)</f>
        <v>0</v>
      </c>
      <c r="AJ27">
        <f>SUMIF(RecoveredRaw!$B:$B,$A27,RecoveredRaw!AM:AM)</f>
        <v>0</v>
      </c>
      <c r="AK27">
        <f>SUMIF(RecoveredRaw!$B:$B,$A27,RecoveredRaw!AN:AN)</f>
        <v>0</v>
      </c>
      <c r="AL27">
        <f>SUMIF(RecoveredRaw!$B:$B,$A27,RecoveredRaw!AO:AO)</f>
        <v>1</v>
      </c>
      <c r="AM27">
        <f>SUMIF(RecoveredRaw!$B:$B,$A27,RecoveredRaw!AP:AP)</f>
        <v>1</v>
      </c>
      <c r="AN27">
        <f>SUMIF(RecoveredRaw!$B:$B,$A27,RecoveredRaw!AQ:AQ)</f>
        <v>1</v>
      </c>
      <c r="AO27">
        <f>SUMIF(RecoveredRaw!$B:$B,$A27,RecoveredRaw!AR:AR)</f>
        <v>1</v>
      </c>
      <c r="AP27">
        <f>SUMIF(RecoveredRaw!$B:$B,$A27,RecoveredRaw!AS:AS)</f>
        <v>1</v>
      </c>
      <c r="AQ27">
        <f>SUMIF(RecoveredRaw!$B:$B,$A27,RecoveredRaw!AT:AT)</f>
        <v>1</v>
      </c>
      <c r="AR27">
        <f>SUMIF(RecoveredRaw!$B:$B,$A27,RecoveredRaw!AU:AU)</f>
        <v>1</v>
      </c>
      <c r="AS27">
        <f>SUMIF(RecoveredRaw!$B:$B,$A27,RecoveredRaw!AV:AV)</f>
        <v>1</v>
      </c>
      <c r="AT27">
        <f>SUMIF(RecoveredRaw!$B:$B,$A27,RecoveredRaw!AW:AW)</f>
        <v>2</v>
      </c>
      <c r="AU27">
        <f>SUMIF(RecoveredRaw!$B:$B,$A27,RecoveredRaw!AX:AX)</f>
        <v>2</v>
      </c>
      <c r="AV27">
        <f>SUMIF(RecoveredRaw!$B:$B,$A27,RecoveredRaw!AY:AY)</f>
        <v>2</v>
      </c>
      <c r="AW27">
        <f>SUMIF(RecoveredRaw!$B:$B,$A27,RecoveredRaw!AZ:AZ)</f>
        <v>2</v>
      </c>
      <c r="AX27">
        <f>SUMIF(RecoveredRaw!$B:$B,$A27,RecoveredRaw!BA:BA)</f>
        <v>4</v>
      </c>
      <c r="AY27">
        <f>SUMIF(RecoveredRaw!$B:$B,$A27,RecoveredRaw!BB:BB)</f>
        <v>4</v>
      </c>
      <c r="AZ27">
        <f>SUMIF(RecoveredRaw!$B:$B,$A27,RecoveredRaw!BC:BC)</f>
        <v>4</v>
      </c>
      <c r="BA27">
        <f>SUMIF(RecoveredRaw!$B:$B,$A27,RecoveredRaw!BD:BD)</f>
        <v>4</v>
      </c>
      <c r="BB27">
        <f>SUMIF(RecoveredRaw!$B:$B,$A27,RecoveredRaw!BE:BE)</f>
        <v>4</v>
      </c>
      <c r="BC27">
        <f>SUMIF(RecoveredRaw!$B:$B,$A27,RecoveredRaw!BF:BF)</f>
        <v>4</v>
      </c>
      <c r="BD27">
        <f>SUMIF(RecoveredRaw!$B:$B,$A27,RecoveredRaw!BG:BG)</f>
        <v>4</v>
      </c>
      <c r="BE27">
        <f>SUMIF(RecoveredRaw!$B:$B,$A27,RecoveredRaw!BH:BH)</f>
        <v>11</v>
      </c>
      <c r="BF27">
        <f>SUMIF(RecoveredRaw!$B:$B,$A27,RecoveredRaw!BI:BI)</f>
        <v>11</v>
      </c>
      <c r="BG27">
        <f>SUMIF(RecoveredRaw!$B:$B,$A27,RecoveredRaw!BJ:BJ)</f>
        <v>11</v>
      </c>
      <c r="BH27">
        <f>SUMIF(RecoveredRaw!$B:$B,$A27,RecoveredRaw!BK:BK)</f>
        <v>14</v>
      </c>
      <c r="BI27">
        <f>SUMIF(RecoveredRaw!$B:$B,$A27,RecoveredRaw!BL:BL)</f>
        <v>0</v>
      </c>
      <c r="BJ27">
        <f>SUMIF(RecoveredRaw!$B:$B,$A27,RecoveredRaw!BM:BM)</f>
        <v>0</v>
      </c>
      <c r="BK27">
        <f>SUMIF(RecoveredRaw!$B:$B,$A27,RecoveredRaw!BN:BN)</f>
        <v>0</v>
      </c>
      <c r="BL27">
        <f>SUMIF(RecoveredRaw!$B:$B,$A27,RecoveredRaw!BO:BO)</f>
        <v>0</v>
      </c>
      <c r="BM27">
        <f>SUMIF(RecoveredRaw!$B:$B,$A27,RecoveredRaw!BP:BP)</f>
        <v>0</v>
      </c>
      <c r="BN27">
        <f>SUMIF(RecoveredRaw!$B:$B,$A27,RecoveredRaw!BQ:BQ)</f>
        <v>0</v>
      </c>
      <c r="BO27">
        <f>SUMIF(RecoveredRaw!$B:$B,$A27,RecoveredRaw!BR:BR)</f>
        <v>0</v>
      </c>
      <c r="BP27">
        <f>SUMIF(RecoveredRaw!$B:$B,$A27,RecoveredRaw!BS:BS)</f>
        <v>0</v>
      </c>
      <c r="BQ27">
        <f>SUMIF(RecoveredRaw!$B:$B,$A27,RecoveredRaw!BT:BT)</f>
        <v>0</v>
      </c>
      <c r="BR27">
        <f>SUMIF(RecoveredRaw!$B:$B,$A27,RecoveredRaw!BU:BU)</f>
        <v>0</v>
      </c>
      <c r="BS27">
        <f>SUMIF(RecoveredRaw!$B:$B,$A27,RecoveredRaw!BV:BV)</f>
        <v>0</v>
      </c>
      <c r="BT27">
        <f>SUMIF(RecoveredRaw!$B:$B,$A27,RecoveredRaw!BW:BW)</f>
        <v>0</v>
      </c>
    </row>
    <row r="28" spans="1:72" ht="15" thickBot="1" x14ac:dyDescent="0.35">
      <c r="A28" s="3" t="s">
        <v>54</v>
      </c>
      <c r="B28">
        <f>SUMIF(RecoveredRaw!$B:$B,$A28,RecoveredRaw!E:E)</f>
        <v>0</v>
      </c>
      <c r="C28">
        <f>SUMIF(RecoveredRaw!$B:$B,$A28,RecoveredRaw!F:F)</f>
        <v>0</v>
      </c>
      <c r="D28">
        <f>SUMIF(RecoveredRaw!$B:$B,$A28,RecoveredRaw!G:G)</f>
        <v>0</v>
      </c>
      <c r="E28">
        <f>SUMIF(RecoveredRaw!$B:$B,$A28,RecoveredRaw!H:H)</f>
        <v>0</v>
      </c>
      <c r="F28">
        <f>SUMIF(RecoveredRaw!$B:$B,$A28,RecoveredRaw!I:I)</f>
        <v>0</v>
      </c>
      <c r="G28">
        <f>SUMIF(RecoveredRaw!$B:$B,$A28,RecoveredRaw!J:J)</f>
        <v>0</v>
      </c>
      <c r="H28">
        <f>SUMIF(RecoveredRaw!$B:$B,$A28,RecoveredRaw!K:K)</f>
        <v>0</v>
      </c>
      <c r="I28">
        <f>SUMIF(RecoveredRaw!$B:$B,$A28,RecoveredRaw!L:L)</f>
        <v>0</v>
      </c>
      <c r="J28">
        <f>SUMIF(RecoveredRaw!$B:$B,$A28,RecoveredRaw!M:M)</f>
        <v>0</v>
      </c>
      <c r="K28">
        <f>SUMIF(RecoveredRaw!$B:$B,$A28,RecoveredRaw!N:N)</f>
        <v>0</v>
      </c>
      <c r="L28">
        <f>SUMIF(RecoveredRaw!$B:$B,$A28,RecoveredRaw!O:O)</f>
        <v>0</v>
      </c>
      <c r="M28">
        <f>SUMIF(RecoveredRaw!$B:$B,$A28,RecoveredRaw!P:P)</f>
        <v>0</v>
      </c>
      <c r="N28">
        <f>SUMIF(RecoveredRaw!$B:$B,$A28,RecoveredRaw!Q:Q)</f>
        <v>0</v>
      </c>
      <c r="O28">
        <f>SUMIF(RecoveredRaw!$B:$B,$A28,RecoveredRaw!R:R)</f>
        <v>0</v>
      </c>
      <c r="P28">
        <f>SUMIF(RecoveredRaw!$B:$B,$A28,RecoveredRaw!S:S)</f>
        <v>0</v>
      </c>
      <c r="Q28">
        <f>SUMIF(RecoveredRaw!$B:$B,$A28,RecoveredRaw!T:T)</f>
        <v>0</v>
      </c>
      <c r="R28">
        <f>SUMIF(RecoveredRaw!$B:$B,$A28,RecoveredRaw!U:U)</f>
        <v>0</v>
      </c>
      <c r="S28">
        <f>SUMIF(RecoveredRaw!$B:$B,$A28,RecoveredRaw!V:V)</f>
        <v>0</v>
      </c>
      <c r="T28">
        <f>SUMIF(RecoveredRaw!$B:$B,$A28,RecoveredRaw!W:W)</f>
        <v>0</v>
      </c>
      <c r="U28">
        <f>SUMIF(RecoveredRaw!$B:$B,$A28,RecoveredRaw!X:X)</f>
        <v>0</v>
      </c>
      <c r="V28">
        <f>SUMIF(RecoveredRaw!$B:$B,$A28,RecoveredRaw!Y:Y)</f>
        <v>0</v>
      </c>
      <c r="W28">
        <f>SUMIF(RecoveredRaw!$B:$B,$A28,RecoveredRaw!Z:Z)</f>
        <v>1</v>
      </c>
      <c r="X28">
        <f>SUMIF(RecoveredRaw!$B:$B,$A28,RecoveredRaw!AA:AA)</f>
        <v>1</v>
      </c>
      <c r="Y28">
        <f>SUMIF(RecoveredRaw!$B:$B,$A28,RecoveredRaw!AB:AB)</f>
        <v>1</v>
      </c>
      <c r="Z28">
        <f>SUMIF(RecoveredRaw!$B:$B,$A28,RecoveredRaw!AC:AC)</f>
        <v>1</v>
      </c>
      <c r="AA28">
        <f>SUMIF(RecoveredRaw!$B:$B,$A28,RecoveredRaw!AD:AD)</f>
        <v>1</v>
      </c>
      <c r="AB28">
        <f>SUMIF(RecoveredRaw!$B:$B,$A28,RecoveredRaw!AE:AE)</f>
        <v>1</v>
      </c>
      <c r="AC28">
        <f>SUMIF(RecoveredRaw!$B:$B,$A28,RecoveredRaw!AF:AF)</f>
        <v>1</v>
      </c>
      <c r="AD28">
        <f>SUMIF(RecoveredRaw!$B:$B,$A28,RecoveredRaw!AG:AG)</f>
        <v>1</v>
      </c>
      <c r="AE28">
        <f>SUMIF(RecoveredRaw!$B:$B,$A28,RecoveredRaw!AH:AH)</f>
        <v>1</v>
      </c>
      <c r="AF28">
        <f>SUMIF(RecoveredRaw!$B:$B,$A28,RecoveredRaw!AI:AI)</f>
        <v>1</v>
      </c>
      <c r="AG28">
        <f>SUMIF(RecoveredRaw!$B:$B,$A28,RecoveredRaw!AJ:AJ)</f>
        <v>1</v>
      </c>
      <c r="AH28">
        <f>SUMIF(RecoveredRaw!$B:$B,$A28,RecoveredRaw!AK:AK)</f>
        <v>1</v>
      </c>
      <c r="AI28">
        <f>SUMIF(RecoveredRaw!$B:$B,$A28,RecoveredRaw!AL:AL)</f>
        <v>1</v>
      </c>
      <c r="AJ28">
        <f>SUMIF(RecoveredRaw!$B:$B,$A28,RecoveredRaw!AM:AM)</f>
        <v>1</v>
      </c>
      <c r="AK28">
        <f>SUMIF(RecoveredRaw!$B:$B,$A28,RecoveredRaw!AN:AN)</f>
        <v>1</v>
      </c>
      <c r="AL28">
        <f>SUMIF(RecoveredRaw!$B:$B,$A28,RecoveredRaw!AO:AO)</f>
        <v>1</v>
      </c>
      <c r="AM28">
        <f>SUMIF(RecoveredRaw!$B:$B,$A28,RecoveredRaw!AP:AP)</f>
        <v>1</v>
      </c>
      <c r="AN28">
        <f>SUMIF(RecoveredRaw!$B:$B,$A28,RecoveredRaw!AQ:AQ)</f>
        <v>1</v>
      </c>
      <c r="AO28">
        <f>SUMIF(RecoveredRaw!$B:$B,$A28,RecoveredRaw!AR:AR)</f>
        <v>1</v>
      </c>
      <c r="AP28">
        <f>SUMIF(RecoveredRaw!$B:$B,$A28,RecoveredRaw!AS:AS)</f>
        <v>1</v>
      </c>
      <c r="AQ28">
        <f>SUMIF(RecoveredRaw!$B:$B,$A28,RecoveredRaw!AT:AT)</f>
        <v>1</v>
      </c>
      <c r="AR28">
        <f>SUMIF(RecoveredRaw!$B:$B,$A28,RecoveredRaw!AU:AU)</f>
        <v>1</v>
      </c>
      <c r="AS28">
        <f>SUMIF(RecoveredRaw!$B:$B,$A28,RecoveredRaw!AV:AV)</f>
        <v>1</v>
      </c>
      <c r="AT28">
        <f>SUMIF(RecoveredRaw!$B:$B,$A28,RecoveredRaw!AW:AW)</f>
        <v>1</v>
      </c>
      <c r="AU28">
        <f>SUMIF(RecoveredRaw!$B:$B,$A28,RecoveredRaw!AX:AX)</f>
        <v>1</v>
      </c>
      <c r="AV28">
        <f>SUMIF(RecoveredRaw!$B:$B,$A28,RecoveredRaw!AY:AY)</f>
        <v>1</v>
      </c>
      <c r="AW28">
        <f>SUMIF(RecoveredRaw!$B:$B,$A28,RecoveredRaw!AZ:AZ)</f>
        <v>1</v>
      </c>
      <c r="AX28">
        <f>SUMIF(RecoveredRaw!$B:$B,$A28,RecoveredRaw!BA:BA)</f>
        <v>1</v>
      </c>
      <c r="AY28">
        <f>SUMIF(RecoveredRaw!$B:$B,$A28,RecoveredRaw!BB:BB)</f>
        <v>1</v>
      </c>
      <c r="AZ28">
        <f>SUMIF(RecoveredRaw!$B:$B,$A28,RecoveredRaw!BC:BC)</f>
        <v>1</v>
      </c>
      <c r="BA28">
        <f>SUMIF(RecoveredRaw!$B:$B,$A28,RecoveredRaw!BD:BD)</f>
        <v>1</v>
      </c>
      <c r="BB28">
        <f>SUMIF(RecoveredRaw!$B:$B,$A28,RecoveredRaw!BE:BE)</f>
        <v>1</v>
      </c>
      <c r="BC28">
        <f>SUMIF(RecoveredRaw!$B:$B,$A28,RecoveredRaw!BF:BF)</f>
        <v>10</v>
      </c>
      <c r="BD28">
        <f>SUMIF(RecoveredRaw!$B:$B,$A28,RecoveredRaw!BG:BG)</f>
        <v>10</v>
      </c>
      <c r="BE28">
        <f>SUMIF(RecoveredRaw!$B:$B,$A28,RecoveredRaw!BH:BH)</f>
        <v>10</v>
      </c>
      <c r="BF28">
        <f>SUMIF(RecoveredRaw!$B:$B,$A28,RecoveredRaw!BI:BI)</f>
        <v>10</v>
      </c>
      <c r="BG28">
        <f>SUMIF(RecoveredRaw!$B:$B,$A28,RecoveredRaw!BJ:BJ)</f>
        <v>10</v>
      </c>
      <c r="BH28">
        <f>SUMIF(RecoveredRaw!$B:$B,$A28,RecoveredRaw!BK:BK)</f>
        <v>10</v>
      </c>
      <c r="BI28">
        <f>SUMIF(RecoveredRaw!$B:$B,$A28,RecoveredRaw!BL:BL)</f>
        <v>0</v>
      </c>
      <c r="BJ28">
        <f>SUMIF(RecoveredRaw!$B:$B,$A28,RecoveredRaw!BM:BM)</f>
        <v>0</v>
      </c>
      <c r="BK28">
        <f>SUMIF(RecoveredRaw!$B:$B,$A28,RecoveredRaw!BN:BN)</f>
        <v>0</v>
      </c>
      <c r="BL28">
        <f>SUMIF(RecoveredRaw!$B:$B,$A28,RecoveredRaw!BO:BO)</f>
        <v>0</v>
      </c>
      <c r="BM28">
        <f>SUMIF(RecoveredRaw!$B:$B,$A28,RecoveredRaw!BP:BP)</f>
        <v>0</v>
      </c>
      <c r="BN28">
        <f>SUMIF(RecoveredRaw!$B:$B,$A28,RecoveredRaw!BQ:BQ)</f>
        <v>0</v>
      </c>
      <c r="BO28">
        <f>SUMIF(RecoveredRaw!$B:$B,$A28,RecoveredRaw!BR:BR)</f>
        <v>0</v>
      </c>
      <c r="BP28">
        <f>SUMIF(RecoveredRaw!$B:$B,$A28,RecoveredRaw!BS:BS)</f>
        <v>0</v>
      </c>
      <c r="BQ28">
        <f>SUMIF(RecoveredRaw!$B:$B,$A28,RecoveredRaw!BT:BT)</f>
        <v>0</v>
      </c>
      <c r="BR28">
        <f>SUMIF(RecoveredRaw!$B:$B,$A28,RecoveredRaw!BU:BU)</f>
        <v>0</v>
      </c>
      <c r="BS28">
        <f>SUMIF(RecoveredRaw!$B:$B,$A28,RecoveredRaw!BV:BV)</f>
        <v>0</v>
      </c>
      <c r="BT28">
        <f>SUMIF(RecoveredRaw!$B:$B,$A28,RecoveredRaw!BW:BW)</f>
        <v>0</v>
      </c>
    </row>
    <row r="29" spans="1:72" ht="15" thickBot="1" x14ac:dyDescent="0.35">
      <c r="A29" s="4" t="s">
        <v>81</v>
      </c>
      <c r="B29">
        <f>SUMIF(RecoveredRaw!$B:$B,$A29,RecoveredRaw!E:E)</f>
        <v>0</v>
      </c>
      <c r="C29">
        <f>SUMIF(RecoveredRaw!$B:$B,$A29,RecoveredRaw!F:F)</f>
        <v>0</v>
      </c>
      <c r="D29">
        <f>SUMIF(RecoveredRaw!$B:$B,$A29,RecoveredRaw!G:G)</f>
        <v>0</v>
      </c>
      <c r="E29">
        <f>SUMIF(RecoveredRaw!$B:$B,$A29,RecoveredRaw!H:H)</f>
        <v>0</v>
      </c>
      <c r="F29">
        <f>SUMIF(RecoveredRaw!$B:$B,$A29,RecoveredRaw!I:I)</f>
        <v>0</v>
      </c>
      <c r="G29">
        <f>SUMIF(RecoveredRaw!$B:$B,$A29,RecoveredRaw!J:J)</f>
        <v>0</v>
      </c>
      <c r="H29">
        <f>SUMIF(RecoveredRaw!$B:$B,$A29,RecoveredRaw!K:K)</f>
        <v>0</v>
      </c>
      <c r="I29">
        <f>SUMIF(RecoveredRaw!$B:$B,$A29,RecoveredRaw!L:L)</f>
        <v>0</v>
      </c>
      <c r="J29">
        <f>SUMIF(RecoveredRaw!$B:$B,$A29,RecoveredRaw!M:M)</f>
        <v>0</v>
      </c>
      <c r="K29">
        <f>SUMIF(RecoveredRaw!$B:$B,$A29,RecoveredRaw!N:N)</f>
        <v>0</v>
      </c>
      <c r="L29">
        <f>SUMIF(RecoveredRaw!$B:$B,$A29,RecoveredRaw!O:O)</f>
        <v>0</v>
      </c>
      <c r="M29">
        <f>SUMIF(RecoveredRaw!$B:$B,$A29,RecoveredRaw!P:P)</f>
        <v>0</v>
      </c>
      <c r="N29">
        <f>SUMIF(RecoveredRaw!$B:$B,$A29,RecoveredRaw!Q:Q)</f>
        <v>0</v>
      </c>
      <c r="O29">
        <f>SUMIF(RecoveredRaw!$B:$B,$A29,RecoveredRaw!R:R)</f>
        <v>0</v>
      </c>
      <c r="P29">
        <f>SUMIF(RecoveredRaw!$B:$B,$A29,RecoveredRaw!S:S)</f>
        <v>0</v>
      </c>
      <c r="Q29">
        <f>SUMIF(RecoveredRaw!$B:$B,$A29,RecoveredRaw!T:T)</f>
        <v>0</v>
      </c>
      <c r="R29">
        <f>SUMIF(RecoveredRaw!$B:$B,$A29,RecoveredRaw!U:U)</f>
        <v>0</v>
      </c>
      <c r="S29">
        <f>SUMIF(RecoveredRaw!$B:$B,$A29,RecoveredRaw!V:V)</f>
        <v>0</v>
      </c>
      <c r="T29">
        <f>SUMIF(RecoveredRaw!$B:$B,$A29,RecoveredRaw!W:W)</f>
        <v>0</v>
      </c>
      <c r="U29">
        <f>SUMIF(RecoveredRaw!$B:$B,$A29,RecoveredRaw!X:X)</f>
        <v>0</v>
      </c>
      <c r="V29">
        <f>SUMIF(RecoveredRaw!$B:$B,$A29,RecoveredRaw!Y:Y)</f>
        <v>0</v>
      </c>
      <c r="W29">
        <f>SUMIF(RecoveredRaw!$B:$B,$A29,RecoveredRaw!Z:Z)</f>
        <v>0</v>
      </c>
      <c r="X29">
        <f>SUMIF(RecoveredRaw!$B:$B,$A29,RecoveredRaw!AA:AA)</f>
        <v>0</v>
      </c>
      <c r="Y29">
        <f>SUMIF(RecoveredRaw!$B:$B,$A29,RecoveredRaw!AB:AB)</f>
        <v>0</v>
      </c>
      <c r="Z29">
        <f>SUMIF(RecoveredRaw!$B:$B,$A29,RecoveredRaw!AC:AC)</f>
        <v>0</v>
      </c>
      <c r="AA29">
        <f>SUMIF(RecoveredRaw!$B:$B,$A29,RecoveredRaw!AD:AD)</f>
        <v>0</v>
      </c>
      <c r="AB29">
        <f>SUMIF(RecoveredRaw!$B:$B,$A29,RecoveredRaw!AE:AE)</f>
        <v>0</v>
      </c>
      <c r="AC29">
        <f>SUMIF(RecoveredRaw!$B:$B,$A29,RecoveredRaw!AF:AF)</f>
        <v>0</v>
      </c>
      <c r="AD29">
        <f>SUMIF(RecoveredRaw!$B:$B,$A29,RecoveredRaw!AG:AG)</f>
        <v>0</v>
      </c>
      <c r="AE29">
        <f>SUMIF(RecoveredRaw!$B:$B,$A29,RecoveredRaw!AH:AH)</f>
        <v>0</v>
      </c>
      <c r="AF29">
        <f>SUMIF(RecoveredRaw!$B:$B,$A29,RecoveredRaw!AI:AI)</f>
        <v>0</v>
      </c>
      <c r="AG29">
        <f>SUMIF(RecoveredRaw!$B:$B,$A29,RecoveredRaw!AJ:AJ)</f>
        <v>0</v>
      </c>
      <c r="AH29">
        <f>SUMIF(RecoveredRaw!$B:$B,$A29,RecoveredRaw!AK:AK)</f>
        <v>0</v>
      </c>
      <c r="AI29">
        <f>SUMIF(RecoveredRaw!$B:$B,$A29,RecoveredRaw!AL:AL)</f>
        <v>0</v>
      </c>
      <c r="AJ29">
        <f>SUMIF(RecoveredRaw!$B:$B,$A29,RecoveredRaw!AM:AM)</f>
        <v>0</v>
      </c>
      <c r="AK29">
        <f>SUMIF(RecoveredRaw!$B:$B,$A29,RecoveredRaw!AN:AN)</f>
        <v>0</v>
      </c>
      <c r="AL29">
        <f>SUMIF(RecoveredRaw!$B:$B,$A29,RecoveredRaw!AO:AO)</f>
        <v>0</v>
      </c>
      <c r="AM29">
        <f>SUMIF(RecoveredRaw!$B:$B,$A29,RecoveredRaw!AP:AP)</f>
        <v>0</v>
      </c>
      <c r="AN29">
        <f>SUMIF(RecoveredRaw!$B:$B,$A29,RecoveredRaw!AQ:AQ)</f>
        <v>0</v>
      </c>
      <c r="AO29">
        <f>SUMIF(RecoveredRaw!$B:$B,$A29,RecoveredRaw!AR:AR)</f>
        <v>0</v>
      </c>
      <c r="AP29">
        <f>SUMIF(RecoveredRaw!$B:$B,$A29,RecoveredRaw!AS:AS)</f>
        <v>0</v>
      </c>
      <c r="AQ29">
        <f>SUMIF(RecoveredRaw!$B:$B,$A29,RecoveredRaw!AT:AT)</f>
        <v>0</v>
      </c>
      <c r="AR29">
        <f>SUMIF(RecoveredRaw!$B:$B,$A29,RecoveredRaw!AU:AU)</f>
        <v>0</v>
      </c>
      <c r="AS29">
        <f>SUMIF(RecoveredRaw!$B:$B,$A29,RecoveredRaw!AV:AV)</f>
        <v>0</v>
      </c>
      <c r="AT29">
        <f>SUMIF(RecoveredRaw!$B:$B,$A29,RecoveredRaw!AW:AW)</f>
        <v>0</v>
      </c>
      <c r="AU29">
        <f>SUMIF(RecoveredRaw!$B:$B,$A29,RecoveredRaw!AX:AX)</f>
        <v>0</v>
      </c>
      <c r="AV29">
        <f>SUMIF(RecoveredRaw!$B:$B,$A29,RecoveredRaw!AY:AY)</f>
        <v>0</v>
      </c>
      <c r="AW29">
        <f>SUMIF(RecoveredRaw!$B:$B,$A29,RecoveredRaw!AZ:AZ)</f>
        <v>0</v>
      </c>
      <c r="AX29">
        <f>SUMIF(RecoveredRaw!$B:$B,$A29,RecoveredRaw!BA:BA)</f>
        <v>0</v>
      </c>
      <c r="AY29">
        <f>SUMIF(RecoveredRaw!$B:$B,$A29,RecoveredRaw!BB:BB)</f>
        <v>0</v>
      </c>
      <c r="AZ29">
        <f>SUMIF(RecoveredRaw!$B:$B,$A29,RecoveredRaw!BC:BC)</f>
        <v>0</v>
      </c>
      <c r="BA29">
        <f>SUMIF(RecoveredRaw!$B:$B,$A29,RecoveredRaw!BD:BD)</f>
        <v>0</v>
      </c>
      <c r="BB29">
        <f>SUMIF(RecoveredRaw!$B:$B,$A29,RecoveredRaw!BE:BE)</f>
        <v>0</v>
      </c>
      <c r="BC29">
        <f>SUMIF(RecoveredRaw!$B:$B,$A29,RecoveredRaw!BF:BF)</f>
        <v>0</v>
      </c>
      <c r="BD29">
        <f>SUMIF(RecoveredRaw!$B:$B,$A29,RecoveredRaw!BG:BG)</f>
        <v>1</v>
      </c>
      <c r="BE29">
        <f>SUMIF(RecoveredRaw!$B:$B,$A29,RecoveredRaw!BH:BH)</f>
        <v>2</v>
      </c>
      <c r="BF29">
        <f>SUMIF(RecoveredRaw!$B:$B,$A29,RecoveredRaw!BI:BI)</f>
        <v>2</v>
      </c>
      <c r="BG29">
        <f>SUMIF(RecoveredRaw!$B:$B,$A29,RecoveredRaw!BJ:BJ)</f>
        <v>2</v>
      </c>
      <c r="BH29">
        <f>SUMIF(RecoveredRaw!$B:$B,$A29,RecoveredRaw!BK:BK)</f>
        <v>2</v>
      </c>
      <c r="BI29">
        <f>SUMIF(RecoveredRaw!$B:$B,$A29,RecoveredRaw!BL:BL)</f>
        <v>0</v>
      </c>
      <c r="BJ29">
        <f>SUMIF(RecoveredRaw!$B:$B,$A29,RecoveredRaw!BM:BM)</f>
        <v>0</v>
      </c>
      <c r="BK29">
        <f>SUMIF(RecoveredRaw!$B:$B,$A29,RecoveredRaw!BN:BN)</f>
        <v>0</v>
      </c>
      <c r="BL29">
        <f>SUMIF(RecoveredRaw!$B:$B,$A29,RecoveredRaw!BO:BO)</f>
        <v>0</v>
      </c>
      <c r="BM29">
        <f>SUMIF(RecoveredRaw!$B:$B,$A29,RecoveredRaw!BP:BP)</f>
        <v>0</v>
      </c>
      <c r="BN29">
        <f>SUMIF(RecoveredRaw!$B:$B,$A29,RecoveredRaw!BQ:BQ)</f>
        <v>0</v>
      </c>
      <c r="BO29">
        <f>SUMIF(RecoveredRaw!$B:$B,$A29,RecoveredRaw!BR:BR)</f>
        <v>0</v>
      </c>
      <c r="BP29">
        <f>SUMIF(RecoveredRaw!$B:$B,$A29,RecoveredRaw!BS:BS)</f>
        <v>0</v>
      </c>
      <c r="BQ29">
        <f>SUMIF(RecoveredRaw!$B:$B,$A29,RecoveredRaw!BT:BT)</f>
        <v>0</v>
      </c>
      <c r="BR29">
        <f>SUMIF(RecoveredRaw!$B:$B,$A29,RecoveredRaw!BU:BU)</f>
        <v>0</v>
      </c>
      <c r="BS29">
        <f>SUMIF(RecoveredRaw!$B:$B,$A29,RecoveredRaw!BV:BV)</f>
        <v>0</v>
      </c>
      <c r="BT29">
        <f>SUMIF(RecoveredRaw!$B:$B,$A29,RecoveredRaw!BW:BW)</f>
        <v>0</v>
      </c>
    </row>
    <row r="30" spans="1:72" ht="15" thickBot="1" x14ac:dyDescent="0.35">
      <c r="A30" s="3" t="s">
        <v>341</v>
      </c>
      <c r="B30">
        <f>SUMIF(RecoveredRaw!$B:$B,$A30,RecoveredRaw!E:E)</f>
        <v>0</v>
      </c>
      <c r="C30">
        <f>SUMIF(RecoveredRaw!$B:$B,$A30,RecoveredRaw!F:F)</f>
        <v>0</v>
      </c>
      <c r="D30">
        <f>SUMIF(RecoveredRaw!$B:$B,$A30,RecoveredRaw!G:G)</f>
        <v>0</v>
      </c>
      <c r="E30">
        <f>SUMIF(RecoveredRaw!$B:$B,$A30,RecoveredRaw!H:H)</f>
        <v>0</v>
      </c>
      <c r="F30">
        <f>SUMIF(RecoveredRaw!$B:$B,$A30,RecoveredRaw!I:I)</f>
        <v>0</v>
      </c>
      <c r="G30">
        <f>SUMIF(RecoveredRaw!$B:$B,$A30,RecoveredRaw!J:J)</f>
        <v>0</v>
      </c>
      <c r="H30">
        <f>SUMIF(RecoveredRaw!$B:$B,$A30,RecoveredRaw!K:K)</f>
        <v>0</v>
      </c>
      <c r="I30">
        <f>SUMIF(RecoveredRaw!$B:$B,$A30,RecoveredRaw!L:L)</f>
        <v>0</v>
      </c>
      <c r="J30">
        <f>SUMIF(RecoveredRaw!$B:$B,$A30,RecoveredRaw!M:M)</f>
        <v>0</v>
      </c>
      <c r="K30">
        <f>SUMIF(RecoveredRaw!$B:$B,$A30,RecoveredRaw!N:N)</f>
        <v>0</v>
      </c>
      <c r="L30">
        <f>SUMIF(RecoveredRaw!$B:$B,$A30,RecoveredRaw!O:O)</f>
        <v>0</v>
      </c>
      <c r="M30">
        <f>SUMIF(RecoveredRaw!$B:$B,$A30,RecoveredRaw!P:P)</f>
        <v>0</v>
      </c>
      <c r="N30">
        <f>SUMIF(RecoveredRaw!$B:$B,$A30,RecoveredRaw!Q:Q)</f>
        <v>0</v>
      </c>
      <c r="O30">
        <f>SUMIF(RecoveredRaw!$B:$B,$A30,RecoveredRaw!R:R)</f>
        <v>0</v>
      </c>
      <c r="P30">
        <f>SUMIF(RecoveredRaw!$B:$B,$A30,RecoveredRaw!S:S)</f>
        <v>0</v>
      </c>
      <c r="Q30">
        <f>SUMIF(RecoveredRaw!$B:$B,$A30,RecoveredRaw!T:T)</f>
        <v>0</v>
      </c>
      <c r="R30">
        <f>SUMIF(RecoveredRaw!$B:$B,$A30,RecoveredRaw!U:U)</f>
        <v>0</v>
      </c>
      <c r="S30">
        <f>SUMIF(RecoveredRaw!$B:$B,$A30,RecoveredRaw!V:V)</f>
        <v>0</v>
      </c>
      <c r="T30">
        <f>SUMIF(RecoveredRaw!$B:$B,$A30,RecoveredRaw!W:W)</f>
        <v>0</v>
      </c>
      <c r="U30">
        <f>SUMIF(RecoveredRaw!$B:$B,$A30,RecoveredRaw!X:X)</f>
        <v>0</v>
      </c>
      <c r="V30">
        <f>SUMIF(RecoveredRaw!$B:$B,$A30,RecoveredRaw!Y:Y)</f>
        <v>0</v>
      </c>
      <c r="W30">
        <f>SUMIF(RecoveredRaw!$B:$B,$A30,RecoveredRaw!Z:Z)</f>
        <v>0</v>
      </c>
      <c r="X30">
        <f>SUMIF(RecoveredRaw!$B:$B,$A30,RecoveredRaw!AA:AA)</f>
        <v>0</v>
      </c>
      <c r="Y30">
        <f>SUMIF(RecoveredRaw!$B:$B,$A30,RecoveredRaw!AB:AB)</f>
        <v>0</v>
      </c>
      <c r="Z30">
        <f>SUMIF(RecoveredRaw!$B:$B,$A30,RecoveredRaw!AC:AC)</f>
        <v>0</v>
      </c>
      <c r="AA30">
        <f>SUMIF(RecoveredRaw!$B:$B,$A30,RecoveredRaw!AD:AD)</f>
        <v>0</v>
      </c>
      <c r="AB30">
        <f>SUMIF(RecoveredRaw!$B:$B,$A30,RecoveredRaw!AE:AE)</f>
        <v>0</v>
      </c>
      <c r="AC30">
        <f>SUMIF(RecoveredRaw!$B:$B,$A30,RecoveredRaw!AF:AF)</f>
        <v>0</v>
      </c>
      <c r="AD30">
        <f>SUMIF(RecoveredRaw!$B:$B,$A30,RecoveredRaw!AG:AG)</f>
        <v>0</v>
      </c>
      <c r="AE30">
        <f>SUMIF(RecoveredRaw!$B:$B,$A30,RecoveredRaw!AH:AH)</f>
        <v>0</v>
      </c>
      <c r="AF30">
        <f>SUMIF(RecoveredRaw!$B:$B,$A30,RecoveredRaw!AI:AI)</f>
        <v>0</v>
      </c>
      <c r="AG30">
        <f>SUMIF(RecoveredRaw!$B:$B,$A30,RecoveredRaw!AJ:AJ)</f>
        <v>0</v>
      </c>
      <c r="AH30">
        <f>SUMIF(RecoveredRaw!$B:$B,$A30,RecoveredRaw!AK:AK)</f>
        <v>0</v>
      </c>
      <c r="AI30">
        <f>SUMIF(RecoveredRaw!$B:$B,$A30,RecoveredRaw!AL:AL)</f>
        <v>0</v>
      </c>
      <c r="AJ30">
        <f>SUMIF(RecoveredRaw!$B:$B,$A30,RecoveredRaw!AM:AM)</f>
        <v>0</v>
      </c>
      <c r="AK30">
        <f>SUMIF(RecoveredRaw!$B:$B,$A30,RecoveredRaw!AN:AN)</f>
        <v>0</v>
      </c>
      <c r="AL30">
        <f>SUMIF(RecoveredRaw!$B:$B,$A30,RecoveredRaw!AO:AO)</f>
        <v>0</v>
      </c>
      <c r="AM30">
        <f>SUMIF(RecoveredRaw!$B:$B,$A30,RecoveredRaw!AP:AP)</f>
        <v>0</v>
      </c>
      <c r="AN30">
        <f>SUMIF(RecoveredRaw!$B:$B,$A30,RecoveredRaw!AQ:AQ)</f>
        <v>0</v>
      </c>
      <c r="AO30">
        <f>SUMIF(RecoveredRaw!$B:$B,$A30,RecoveredRaw!AR:AR)</f>
        <v>0</v>
      </c>
      <c r="AP30">
        <f>SUMIF(RecoveredRaw!$B:$B,$A30,RecoveredRaw!AS:AS)</f>
        <v>0</v>
      </c>
      <c r="AQ30">
        <f>SUMIF(RecoveredRaw!$B:$B,$A30,RecoveredRaw!AT:AT)</f>
        <v>0</v>
      </c>
      <c r="AR30">
        <f>SUMIF(RecoveredRaw!$B:$B,$A30,RecoveredRaw!AU:AU)</f>
        <v>0</v>
      </c>
      <c r="AS30">
        <f>SUMIF(RecoveredRaw!$B:$B,$A30,RecoveredRaw!AV:AV)</f>
        <v>0</v>
      </c>
      <c r="AT30">
        <f>SUMIF(RecoveredRaw!$B:$B,$A30,RecoveredRaw!AW:AW)</f>
        <v>0</v>
      </c>
      <c r="AU30">
        <f>SUMIF(RecoveredRaw!$B:$B,$A30,RecoveredRaw!AX:AX)</f>
        <v>0</v>
      </c>
      <c r="AV30">
        <f>SUMIF(RecoveredRaw!$B:$B,$A30,RecoveredRaw!AY:AY)</f>
        <v>0</v>
      </c>
      <c r="AW30">
        <f>SUMIF(RecoveredRaw!$B:$B,$A30,RecoveredRaw!AZ:AZ)</f>
        <v>0</v>
      </c>
      <c r="AX30">
        <f>SUMIF(RecoveredRaw!$B:$B,$A30,RecoveredRaw!BA:BA)</f>
        <v>0</v>
      </c>
      <c r="AY30">
        <f>SUMIF(RecoveredRaw!$B:$B,$A30,RecoveredRaw!BB:BB)</f>
        <v>0</v>
      </c>
      <c r="AZ30">
        <f>SUMIF(RecoveredRaw!$B:$B,$A30,RecoveredRaw!BC:BC)</f>
        <v>0</v>
      </c>
      <c r="BA30">
        <f>SUMIF(RecoveredRaw!$B:$B,$A30,RecoveredRaw!BD:BD)</f>
        <v>0</v>
      </c>
      <c r="BB30">
        <f>SUMIF(RecoveredRaw!$B:$B,$A30,RecoveredRaw!BE:BE)</f>
        <v>0</v>
      </c>
      <c r="BC30">
        <f>SUMIF(RecoveredRaw!$B:$B,$A30,RecoveredRaw!BF:BF)</f>
        <v>0</v>
      </c>
      <c r="BD30">
        <f>SUMIF(RecoveredRaw!$B:$B,$A30,RecoveredRaw!BG:BG)</f>
        <v>3</v>
      </c>
      <c r="BE30">
        <f>SUMIF(RecoveredRaw!$B:$B,$A30,RecoveredRaw!BH:BH)</f>
        <v>3</v>
      </c>
      <c r="BF30">
        <f>SUMIF(RecoveredRaw!$B:$B,$A30,RecoveredRaw!BI:BI)</f>
        <v>3</v>
      </c>
      <c r="BG30">
        <f>SUMIF(RecoveredRaw!$B:$B,$A30,RecoveredRaw!BJ:BJ)</f>
        <v>3</v>
      </c>
      <c r="BH30">
        <f>SUMIF(RecoveredRaw!$B:$B,$A30,RecoveredRaw!BK:BK)</f>
        <v>4</v>
      </c>
      <c r="BI30">
        <f>SUMIF(RecoveredRaw!$B:$B,$A30,RecoveredRaw!BL:BL)</f>
        <v>0</v>
      </c>
      <c r="BJ30">
        <f>SUMIF(RecoveredRaw!$B:$B,$A30,RecoveredRaw!BM:BM)</f>
        <v>0</v>
      </c>
      <c r="BK30">
        <f>SUMIF(RecoveredRaw!$B:$B,$A30,RecoveredRaw!BN:BN)</f>
        <v>0</v>
      </c>
      <c r="BL30">
        <f>SUMIF(RecoveredRaw!$B:$B,$A30,RecoveredRaw!BO:BO)</f>
        <v>0</v>
      </c>
      <c r="BM30">
        <f>SUMIF(RecoveredRaw!$B:$B,$A30,RecoveredRaw!BP:BP)</f>
        <v>0</v>
      </c>
      <c r="BN30">
        <f>SUMIF(RecoveredRaw!$B:$B,$A30,RecoveredRaw!BQ:BQ)</f>
        <v>0</v>
      </c>
      <c r="BO30">
        <f>SUMIF(RecoveredRaw!$B:$B,$A30,RecoveredRaw!BR:BR)</f>
        <v>0</v>
      </c>
      <c r="BP30">
        <f>SUMIF(RecoveredRaw!$B:$B,$A30,RecoveredRaw!BS:BS)</f>
        <v>0</v>
      </c>
      <c r="BQ30">
        <f>SUMIF(RecoveredRaw!$B:$B,$A30,RecoveredRaw!BT:BT)</f>
        <v>0</v>
      </c>
      <c r="BR30">
        <f>SUMIF(RecoveredRaw!$B:$B,$A30,RecoveredRaw!BU:BU)</f>
        <v>0</v>
      </c>
      <c r="BS30">
        <f>SUMIF(RecoveredRaw!$B:$B,$A30,RecoveredRaw!BV:BV)</f>
        <v>0</v>
      </c>
      <c r="BT30">
        <f>SUMIF(RecoveredRaw!$B:$B,$A30,RecoveredRaw!BW:BW)</f>
        <v>0</v>
      </c>
    </row>
    <row r="31" spans="1:72" ht="15" thickBot="1" x14ac:dyDescent="0.35">
      <c r="A31" s="4" t="s">
        <v>141</v>
      </c>
      <c r="B31">
        <f>SUMIF(RecoveredRaw!$B:$B,$A31,RecoveredRaw!E:E)</f>
        <v>0</v>
      </c>
      <c r="C31">
        <f>SUMIF(RecoveredRaw!$B:$B,$A31,RecoveredRaw!F:F)</f>
        <v>0</v>
      </c>
      <c r="D31">
        <f>SUMIF(RecoveredRaw!$B:$B,$A31,RecoveredRaw!G:G)</f>
        <v>0</v>
      </c>
      <c r="E31">
        <f>SUMIF(RecoveredRaw!$B:$B,$A31,RecoveredRaw!H:H)</f>
        <v>0</v>
      </c>
      <c r="F31">
        <f>SUMIF(RecoveredRaw!$B:$B,$A31,RecoveredRaw!I:I)</f>
        <v>0</v>
      </c>
      <c r="G31">
        <f>SUMIF(RecoveredRaw!$B:$B,$A31,RecoveredRaw!J:J)</f>
        <v>0</v>
      </c>
      <c r="H31">
        <f>SUMIF(RecoveredRaw!$B:$B,$A31,RecoveredRaw!K:K)</f>
        <v>0</v>
      </c>
      <c r="I31">
        <f>SUMIF(RecoveredRaw!$B:$B,$A31,RecoveredRaw!L:L)</f>
        <v>0</v>
      </c>
      <c r="J31">
        <f>SUMIF(RecoveredRaw!$B:$B,$A31,RecoveredRaw!M:M)</f>
        <v>0</v>
      </c>
      <c r="K31">
        <f>SUMIF(RecoveredRaw!$B:$B,$A31,RecoveredRaw!N:N)</f>
        <v>0</v>
      </c>
      <c r="L31">
        <f>SUMIF(RecoveredRaw!$B:$B,$A31,RecoveredRaw!O:O)</f>
        <v>0</v>
      </c>
      <c r="M31">
        <f>SUMIF(RecoveredRaw!$B:$B,$A31,RecoveredRaw!P:P)</f>
        <v>0</v>
      </c>
      <c r="N31">
        <f>SUMIF(RecoveredRaw!$B:$B,$A31,RecoveredRaw!Q:Q)</f>
        <v>0</v>
      </c>
      <c r="O31">
        <f>SUMIF(RecoveredRaw!$B:$B,$A31,RecoveredRaw!R:R)</f>
        <v>0</v>
      </c>
      <c r="P31">
        <f>SUMIF(RecoveredRaw!$B:$B,$A31,RecoveredRaw!S:S)</f>
        <v>0</v>
      </c>
      <c r="Q31">
        <f>SUMIF(RecoveredRaw!$B:$B,$A31,RecoveredRaw!T:T)</f>
        <v>0</v>
      </c>
      <c r="R31">
        <f>SUMIF(RecoveredRaw!$B:$B,$A31,RecoveredRaw!U:U)</f>
        <v>0</v>
      </c>
      <c r="S31">
        <f>SUMIF(RecoveredRaw!$B:$B,$A31,RecoveredRaw!V:V)</f>
        <v>0</v>
      </c>
      <c r="T31">
        <f>SUMIF(RecoveredRaw!$B:$B,$A31,RecoveredRaw!W:W)</f>
        <v>0</v>
      </c>
      <c r="U31">
        <f>SUMIF(RecoveredRaw!$B:$B,$A31,RecoveredRaw!X:X)</f>
        <v>0</v>
      </c>
      <c r="V31">
        <f>SUMIF(RecoveredRaw!$B:$B,$A31,RecoveredRaw!Y:Y)</f>
        <v>0</v>
      </c>
      <c r="W31">
        <f>SUMIF(RecoveredRaw!$B:$B,$A31,RecoveredRaw!Z:Z)</f>
        <v>0</v>
      </c>
      <c r="X31">
        <f>SUMIF(RecoveredRaw!$B:$B,$A31,RecoveredRaw!AA:AA)</f>
        <v>0</v>
      </c>
      <c r="Y31">
        <f>SUMIF(RecoveredRaw!$B:$B,$A31,RecoveredRaw!AB:AB)</f>
        <v>0</v>
      </c>
      <c r="Z31">
        <f>SUMIF(RecoveredRaw!$B:$B,$A31,RecoveredRaw!AC:AC)</f>
        <v>0</v>
      </c>
      <c r="AA31">
        <f>SUMIF(RecoveredRaw!$B:$B,$A31,RecoveredRaw!AD:AD)</f>
        <v>0</v>
      </c>
      <c r="AB31">
        <f>SUMIF(RecoveredRaw!$B:$B,$A31,RecoveredRaw!AE:AE)</f>
        <v>0</v>
      </c>
      <c r="AC31">
        <f>SUMIF(RecoveredRaw!$B:$B,$A31,RecoveredRaw!AF:AF)</f>
        <v>0</v>
      </c>
      <c r="AD31">
        <f>SUMIF(RecoveredRaw!$B:$B,$A31,RecoveredRaw!AG:AG)</f>
        <v>0</v>
      </c>
      <c r="AE31">
        <f>SUMIF(RecoveredRaw!$B:$B,$A31,RecoveredRaw!AH:AH)</f>
        <v>0</v>
      </c>
      <c r="AF31">
        <f>SUMIF(RecoveredRaw!$B:$B,$A31,RecoveredRaw!AI:AI)</f>
        <v>0</v>
      </c>
      <c r="AG31">
        <f>SUMIF(RecoveredRaw!$B:$B,$A31,RecoveredRaw!AJ:AJ)</f>
        <v>0</v>
      </c>
      <c r="AH31">
        <f>SUMIF(RecoveredRaw!$B:$B,$A31,RecoveredRaw!AK:AK)</f>
        <v>0</v>
      </c>
      <c r="AI31">
        <f>SUMIF(RecoveredRaw!$B:$B,$A31,RecoveredRaw!AL:AL)</f>
        <v>0</v>
      </c>
      <c r="AJ31">
        <f>SUMIF(RecoveredRaw!$B:$B,$A31,RecoveredRaw!AM:AM)</f>
        <v>0</v>
      </c>
      <c r="AK31">
        <f>SUMIF(RecoveredRaw!$B:$B,$A31,RecoveredRaw!AN:AN)</f>
        <v>0</v>
      </c>
      <c r="AL31">
        <f>SUMIF(RecoveredRaw!$B:$B,$A31,RecoveredRaw!AO:AO)</f>
        <v>0</v>
      </c>
      <c r="AM31">
        <f>SUMIF(RecoveredRaw!$B:$B,$A31,RecoveredRaw!AP:AP)</f>
        <v>0</v>
      </c>
      <c r="AN31">
        <f>SUMIF(RecoveredRaw!$B:$B,$A31,RecoveredRaw!AQ:AQ)</f>
        <v>0</v>
      </c>
      <c r="AO31">
        <f>SUMIF(RecoveredRaw!$B:$B,$A31,RecoveredRaw!AR:AR)</f>
        <v>0</v>
      </c>
      <c r="AP31">
        <f>SUMIF(RecoveredRaw!$B:$B,$A31,RecoveredRaw!AS:AS)</f>
        <v>0</v>
      </c>
      <c r="AQ31">
        <f>SUMIF(RecoveredRaw!$B:$B,$A31,RecoveredRaw!AT:AT)</f>
        <v>0</v>
      </c>
      <c r="AR31">
        <f>SUMIF(RecoveredRaw!$B:$B,$A31,RecoveredRaw!AU:AU)</f>
        <v>0</v>
      </c>
      <c r="AS31">
        <f>SUMIF(RecoveredRaw!$B:$B,$A31,RecoveredRaw!AV:AV)</f>
        <v>0</v>
      </c>
      <c r="AT31">
        <f>SUMIF(RecoveredRaw!$B:$B,$A31,RecoveredRaw!AW:AW)</f>
        <v>0</v>
      </c>
      <c r="AU31">
        <f>SUMIF(RecoveredRaw!$B:$B,$A31,RecoveredRaw!AX:AX)</f>
        <v>0</v>
      </c>
      <c r="AV31">
        <f>SUMIF(RecoveredRaw!$B:$B,$A31,RecoveredRaw!AY:AY)</f>
        <v>0</v>
      </c>
      <c r="AW31">
        <f>SUMIF(RecoveredRaw!$B:$B,$A31,RecoveredRaw!AZ:AZ)</f>
        <v>0</v>
      </c>
      <c r="AX31">
        <f>SUMIF(RecoveredRaw!$B:$B,$A31,RecoveredRaw!BA:BA)</f>
        <v>0</v>
      </c>
      <c r="AY31">
        <f>SUMIF(RecoveredRaw!$B:$B,$A31,RecoveredRaw!BB:BB)</f>
        <v>0</v>
      </c>
      <c r="AZ31">
        <f>SUMIF(RecoveredRaw!$B:$B,$A31,RecoveredRaw!BC:BC)</f>
        <v>0</v>
      </c>
      <c r="BA31">
        <f>SUMIF(RecoveredRaw!$B:$B,$A31,RecoveredRaw!BD:BD)</f>
        <v>0</v>
      </c>
      <c r="BB31">
        <f>SUMIF(RecoveredRaw!$B:$B,$A31,RecoveredRaw!BE:BE)</f>
        <v>0</v>
      </c>
      <c r="BC31">
        <f>SUMIF(RecoveredRaw!$B:$B,$A31,RecoveredRaw!BF:BF)</f>
        <v>0</v>
      </c>
      <c r="BD31">
        <f>SUMIF(RecoveredRaw!$B:$B,$A31,RecoveredRaw!BG:BG)</f>
        <v>0</v>
      </c>
      <c r="BE31">
        <f>SUMIF(RecoveredRaw!$B:$B,$A31,RecoveredRaw!BH:BH)</f>
        <v>0</v>
      </c>
      <c r="BF31">
        <f>SUMIF(RecoveredRaw!$B:$B,$A31,RecoveredRaw!BI:BI)</f>
        <v>0</v>
      </c>
      <c r="BG31">
        <f>SUMIF(RecoveredRaw!$B:$B,$A31,RecoveredRaw!BJ:BJ)</f>
        <v>0</v>
      </c>
      <c r="BH31">
        <f>SUMIF(RecoveredRaw!$B:$B,$A31,RecoveredRaw!BK:BK)</f>
        <v>0</v>
      </c>
      <c r="BI31">
        <f>SUMIF(RecoveredRaw!$B:$B,$A31,RecoveredRaw!BL:BL)</f>
        <v>0</v>
      </c>
      <c r="BJ31">
        <f>SUMIF(RecoveredRaw!$B:$B,$A31,RecoveredRaw!BM:BM)</f>
        <v>0</v>
      </c>
      <c r="BK31">
        <f>SUMIF(RecoveredRaw!$B:$B,$A31,RecoveredRaw!BN:BN)</f>
        <v>0</v>
      </c>
      <c r="BL31">
        <f>SUMIF(RecoveredRaw!$B:$B,$A31,RecoveredRaw!BO:BO)</f>
        <v>0</v>
      </c>
      <c r="BM31">
        <f>SUMIF(RecoveredRaw!$B:$B,$A31,RecoveredRaw!BP:BP)</f>
        <v>0</v>
      </c>
      <c r="BN31">
        <f>SUMIF(RecoveredRaw!$B:$B,$A31,RecoveredRaw!BQ:BQ)</f>
        <v>0</v>
      </c>
      <c r="BO31">
        <f>SUMIF(RecoveredRaw!$B:$B,$A31,RecoveredRaw!BR:BR)</f>
        <v>0</v>
      </c>
      <c r="BP31">
        <f>SUMIF(RecoveredRaw!$B:$B,$A31,RecoveredRaw!BS:BS)</f>
        <v>0</v>
      </c>
      <c r="BQ31">
        <f>SUMIF(RecoveredRaw!$B:$B,$A31,RecoveredRaw!BT:BT)</f>
        <v>0</v>
      </c>
      <c r="BR31">
        <f>SUMIF(RecoveredRaw!$B:$B,$A31,RecoveredRaw!BU:BU)</f>
        <v>0</v>
      </c>
      <c r="BS31">
        <f>SUMIF(RecoveredRaw!$B:$B,$A31,RecoveredRaw!BV:BV)</f>
        <v>0</v>
      </c>
      <c r="BT31">
        <f>SUMIF(RecoveredRaw!$B:$B,$A31,RecoveredRaw!BW:BW)</f>
        <v>0</v>
      </c>
    </row>
    <row r="32" spans="1:72" ht="15" thickBot="1" x14ac:dyDescent="0.35">
      <c r="A32" s="4" t="s">
        <v>92</v>
      </c>
      <c r="B32">
        <f>SUMIF(RecoveredRaw!$B:$B,$A32,RecoveredRaw!E:E)</f>
        <v>0</v>
      </c>
      <c r="C32">
        <f>SUMIF(RecoveredRaw!$B:$B,$A32,RecoveredRaw!F:F)</f>
        <v>0</v>
      </c>
      <c r="D32">
        <f>SUMIF(RecoveredRaw!$B:$B,$A32,RecoveredRaw!G:G)</f>
        <v>0</v>
      </c>
      <c r="E32">
        <f>SUMIF(RecoveredRaw!$B:$B,$A32,RecoveredRaw!H:H)</f>
        <v>0</v>
      </c>
      <c r="F32">
        <f>SUMIF(RecoveredRaw!$B:$B,$A32,RecoveredRaw!I:I)</f>
        <v>0</v>
      </c>
      <c r="G32">
        <f>SUMIF(RecoveredRaw!$B:$B,$A32,RecoveredRaw!J:J)</f>
        <v>0</v>
      </c>
      <c r="H32">
        <f>SUMIF(RecoveredRaw!$B:$B,$A32,RecoveredRaw!K:K)</f>
        <v>0</v>
      </c>
      <c r="I32">
        <f>SUMIF(RecoveredRaw!$B:$B,$A32,RecoveredRaw!L:L)</f>
        <v>0</v>
      </c>
      <c r="J32">
        <f>SUMIF(RecoveredRaw!$B:$B,$A32,RecoveredRaw!M:M)</f>
        <v>0</v>
      </c>
      <c r="K32">
        <f>SUMIF(RecoveredRaw!$B:$B,$A32,RecoveredRaw!N:N)</f>
        <v>0</v>
      </c>
      <c r="L32">
        <f>SUMIF(RecoveredRaw!$B:$B,$A32,RecoveredRaw!O:O)</f>
        <v>0</v>
      </c>
      <c r="M32">
        <f>SUMIF(RecoveredRaw!$B:$B,$A32,RecoveredRaw!P:P)</f>
        <v>0</v>
      </c>
      <c r="N32">
        <f>SUMIF(RecoveredRaw!$B:$B,$A32,RecoveredRaw!Q:Q)</f>
        <v>0</v>
      </c>
      <c r="O32">
        <f>SUMIF(RecoveredRaw!$B:$B,$A32,RecoveredRaw!R:R)</f>
        <v>0</v>
      </c>
      <c r="P32">
        <f>SUMIF(RecoveredRaw!$B:$B,$A32,RecoveredRaw!S:S)</f>
        <v>0</v>
      </c>
      <c r="Q32">
        <f>SUMIF(RecoveredRaw!$B:$B,$A32,RecoveredRaw!T:T)</f>
        <v>0</v>
      </c>
      <c r="R32">
        <f>SUMIF(RecoveredRaw!$B:$B,$A32,RecoveredRaw!U:U)</f>
        <v>0</v>
      </c>
      <c r="S32">
        <f>SUMIF(RecoveredRaw!$B:$B,$A32,RecoveredRaw!V:V)</f>
        <v>0</v>
      </c>
      <c r="T32">
        <f>SUMIF(RecoveredRaw!$B:$B,$A32,RecoveredRaw!W:W)</f>
        <v>0</v>
      </c>
      <c r="U32">
        <f>SUMIF(RecoveredRaw!$B:$B,$A32,RecoveredRaw!X:X)</f>
        <v>0</v>
      </c>
      <c r="V32">
        <f>SUMIF(RecoveredRaw!$B:$B,$A32,RecoveredRaw!Y:Y)</f>
        <v>0</v>
      </c>
      <c r="W32">
        <f>SUMIF(RecoveredRaw!$B:$B,$A32,RecoveredRaw!Z:Z)</f>
        <v>0</v>
      </c>
      <c r="X32">
        <f>SUMIF(RecoveredRaw!$B:$B,$A32,RecoveredRaw!AA:AA)</f>
        <v>0</v>
      </c>
      <c r="Y32">
        <f>SUMIF(RecoveredRaw!$B:$B,$A32,RecoveredRaw!AB:AB)</f>
        <v>0</v>
      </c>
      <c r="Z32">
        <f>SUMIF(RecoveredRaw!$B:$B,$A32,RecoveredRaw!AC:AC)</f>
        <v>0</v>
      </c>
      <c r="AA32">
        <f>SUMIF(RecoveredRaw!$B:$B,$A32,RecoveredRaw!AD:AD)</f>
        <v>0</v>
      </c>
      <c r="AB32">
        <f>SUMIF(RecoveredRaw!$B:$B,$A32,RecoveredRaw!AE:AE)</f>
        <v>0</v>
      </c>
      <c r="AC32">
        <f>SUMIF(RecoveredRaw!$B:$B,$A32,RecoveredRaw!AF:AF)</f>
        <v>0</v>
      </c>
      <c r="AD32">
        <f>SUMIF(RecoveredRaw!$B:$B,$A32,RecoveredRaw!AG:AG)</f>
        <v>0</v>
      </c>
      <c r="AE32">
        <f>SUMIF(RecoveredRaw!$B:$B,$A32,RecoveredRaw!AH:AH)</f>
        <v>0</v>
      </c>
      <c r="AF32">
        <f>SUMIF(RecoveredRaw!$B:$B,$A32,RecoveredRaw!AI:AI)</f>
        <v>0</v>
      </c>
      <c r="AG32">
        <f>SUMIF(RecoveredRaw!$B:$B,$A32,RecoveredRaw!AJ:AJ)</f>
        <v>0</v>
      </c>
      <c r="AH32">
        <f>SUMIF(RecoveredRaw!$B:$B,$A32,RecoveredRaw!AK:AK)</f>
        <v>0</v>
      </c>
      <c r="AI32">
        <f>SUMIF(RecoveredRaw!$B:$B,$A32,RecoveredRaw!AL:AL)</f>
        <v>0</v>
      </c>
      <c r="AJ32">
        <f>SUMIF(RecoveredRaw!$B:$B,$A32,RecoveredRaw!AM:AM)</f>
        <v>0</v>
      </c>
      <c r="AK32">
        <f>SUMIF(RecoveredRaw!$B:$B,$A32,RecoveredRaw!AN:AN)</f>
        <v>0</v>
      </c>
      <c r="AL32">
        <f>SUMIF(RecoveredRaw!$B:$B,$A32,RecoveredRaw!AO:AO)</f>
        <v>0</v>
      </c>
      <c r="AM32">
        <f>SUMIF(RecoveredRaw!$B:$B,$A32,RecoveredRaw!AP:AP)</f>
        <v>0</v>
      </c>
      <c r="AN32">
        <f>SUMIF(RecoveredRaw!$B:$B,$A32,RecoveredRaw!AQ:AQ)</f>
        <v>0</v>
      </c>
      <c r="AO32">
        <f>SUMIF(RecoveredRaw!$B:$B,$A32,RecoveredRaw!AR:AR)</f>
        <v>0</v>
      </c>
      <c r="AP32">
        <f>SUMIF(RecoveredRaw!$B:$B,$A32,RecoveredRaw!AS:AS)</f>
        <v>0</v>
      </c>
      <c r="AQ32">
        <f>SUMIF(RecoveredRaw!$B:$B,$A32,RecoveredRaw!AT:AT)</f>
        <v>0</v>
      </c>
      <c r="AR32">
        <f>SUMIF(RecoveredRaw!$B:$B,$A32,RecoveredRaw!AU:AU)</f>
        <v>0</v>
      </c>
      <c r="AS32">
        <f>SUMIF(RecoveredRaw!$B:$B,$A32,RecoveredRaw!AV:AV)</f>
        <v>0</v>
      </c>
      <c r="AT32">
        <f>SUMIF(RecoveredRaw!$B:$B,$A32,RecoveredRaw!AW:AW)</f>
        <v>0</v>
      </c>
      <c r="AU32">
        <f>SUMIF(RecoveredRaw!$B:$B,$A32,RecoveredRaw!AX:AX)</f>
        <v>0</v>
      </c>
      <c r="AV32">
        <f>SUMIF(RecoveredRaw!$B:$B,$A32,RecoveredRaw!AY:AY)</f>
        <v>0</v>
      </c>
      <c r="AW32">
        <f>SUMIF(RecoveredRaw!$B:$B,$A32,RecoveredRaw!AZ:AZ)</f>
        <v>0</v>
      </c>
      <c r="AX32">
        <f>SUMIF(RecoveredRaw!$B:$B,$A32,RecoveredRaw!BA:BA)</f>
        <v>1</v>
      </c>
      <c r="AY32">
        <f>SUMIF(RecoveredRaw!$B:$B,$A32,RecoveredRaw!BB:BB)</f>
        <v>1</v>
      </c>
      <c r="AZ32">
        <f>SUMIF(RecoveredRaw!$B:$B,$A32,RecoveredRaw!BC:BC)</f>
        <v>1</v>
      </c>
      <c r="BA32">
        <f>SUMIF(RecoveredRaw!$B:$B,$A32,RecoveredRaw!BD:BD)</f>
        <v>1</v>
      </c>
      <c r="BB32">
        <f>SUMIF(RecoveredRaw!$B:$B,$A32,RecoveredRaw!BE:BE)</f>
        <v>1</v>
      </c>
      <c r="BC32">
        <f>SUMIF(RecoveredRaw!$B:$B,$A32,RecoveredRaw!BF:BF)</f>
        <v>8</v>
      </c>
      <c r="BD32">
        <f>SUMIF(RecoveredRaw!$B:$B,$A32,RecoveredRaw!BG:BG)</f>
        <v>0</v>
      </c>
      <c r="BE32">
        <f>SUMIF(RecoveredRaw!$B:$B,$A32,RecoveredRaw!BH:BH)</f>
        <v>0</v>
      </c>
      <c r="BF32">
        <f>SUMIF(RecoveredRaw!$B:$B,$A32,RecoveredRaw!BI:BI)</f>
        <v>5</v>
      </c>
      <c r="BG32">
        <f>SUMIF(RecoveredRaw!$B:$B,$A32,RecoveredRaw!BJ:BJ)</f>
        <v>5</v>
      </c>
      <c r="BH32">
        <f>SUMIF(RecoveredRaw!$B:$B,$A32,RecoveredRaw!BK:BK)</f>
        <v>5</v>
      </c>
      <c r="BI32">
        <f>SUMIF(RecoveredRaw!$B:$B,$A32,RecoveredRaw!BL:BL)</f>
        <v>0</v>
      </c>
      <c r="BJ32">
        <f>SUMIF(RecoveredRaw!$B:$B,$A32,RecoveredRaw!BM:BM)</f>
        <v>0</v>
      </c>
      <c r="BK32">
        <f>SUMIF(RecoveredRaw!$B:$B,$A32,RecoveredRaw!BN:BN)</f>
        <v>0</v>
      </c>
      <c r="BL32">
        <f>SUMIF(RecoveredRaw!$B:$B,$A32,RecoveredRaw!BO:BO)</f>
        <v>0</v>
      </c>
      <c r="BM32">
        <f>SUMIF(RecoveredRaw!$B:$B,$A32,RecoveredRaw!BP:BP)</f>
        <v>0</v>
      </c>
      <c r="BN32">
        <f>SUMIF(RecoveredRaw!$B:$B,$A32,RecoveredRaw!BQ:BQ)</f>
        <v>0</v>
      </c>
      <c r="BO32">
        <f>SUMIF(RecoveredRaw!$B:$B,$A32,RecoveredRaw!BR:BR)</f>
        <v>0</v>
      </c>
      <c r="BP32">
        <f>SUMIF(RecoveredRaw!$B:$B,$A32,RecoveredRaw!BS:BS)</f>
        <v>0</v>
      </c>
      <c r="BQ32">
        <f>SUMIF(RecoveredRaw!$B:$B,$A32,RecoveredRaw!BT:BT)</f>
        <v>0</v>
      </c>
      <c r="BR32">
        <f>SUMIF(RecoveredRaw!$B:$B,$A32,RecoveredRaw!BU:BU)</f>
        <v>0</v>
      </c>
      <c r="BS32">
        <f>SUMIF(RecoveredRaw!$B:$B,$A32,RecoveredRaw!BV:BV)</f>
        <v>0</v>
      </c>
      <c r="BT32">
        <f>SUMIF(RecoveredRaw!$B:$B,$A32,RecoveredRaw!BW:BW)</f>
        <v>0</v>
      </c>
    </row>
    <row r="33" spans="1:72" ht="15" thickBot="1" x14ac:dyDescent="0.35">
      <c r="A33" s="3" t="s">
        <v>108</v>
      </c>
      <c r="B33">
        <f>SUMIF(RecoveredRaw!$B:$B,$A33,RecoveredRaw!E:E)</f>
        <v>0</v>
      </c>
      <c r="C33">
        <f>SUMIF(RecoveredRaw!$B:$B,$A33,RecoveredRaw!F:F)</f>
        <v>0</v>
      </c>
      <c r="D33">
        <f>SUMIF(RecoveredRaw!$B:$B,$A33,RecoveredRaw!G:G)</f>
        <v>0</v>
      </c>
      <c r="E33">
        <f>SUMIF(RecoveredRaw!$B:$B,$A33,RecoveredRaw!H:H)</f>
        <v>0</v>
      </c>
      <c r="F33">
        <f>SUMIF(RecoveredRaw!$B:$B,$A33,RecoveredRaw!I:I)</f>
        <v>0</v>
      </c>
      <c r="G33">
        <f>SUMIF(RecoveredRaw!$B:$B,$A33,RecoveredRaw!J:J)</f>
        <v>0</v>
      </c>
      <c r="H33">
        <f>SUMIF(RecoveredRaw!$B:$B,$A33,RecoveredRaw!K:K)</f>
        <v>0</v>
      </c>
      <c r="I33">
        <f>SUMIF(RecoveredRaw!$B:$B,$A33,RecoveredRaw!L:L)</f>
        <v>0</v>
      </c>
      <c r="J33">
        <f>SUMIF(RecoveredRaw!$B:$B,$A33,RecoveredRaw!M:M)</f>
        <v>0</v>
      </c>
      <c r="K33">
        <f>SUMIF(RecoveredRaw!$B:$B,$A33,RecoveredRaw!N:N)</f>
        <v>0</v>
      </c>
      <c r="L33">
        <f>SUMIF(RecoveredRaw!$B:$B,$A33,RecoveredRaw!O:O)</f>
        <v>0</v>
      </c>
      <c r="M33">
        <f>SUMIF(RecoveredRaw!$B:$B,$A33,RecoveredRaw!P:P)</f>
        <v>0</v>
      </c>
      <c r="N33">
        <f>SUMIF(RecoveredRaw!$B:$B,$A33,RecoveredRaw!Q:Q)</f>
        <v>0</v>
      </c>
      <c r="O33">
        <f>SUMIF(RecoveredRaw!$B:$B,$A33,RecoveredRaw!R:R)</f>
        <v>0</v>
      </c>
      <c r="P33">
        <f>SUMIF(RecoveredRaw!$B:$B,$A33,RecoveredRaw!S:S)</f>
        <v>0</v>
      </c>
      <c r="Q33">
        <f>SUMIF(RecoveredRaw!$B:$B,$A33,RecoveredRaw!T:T)</f>
        <v>0</v>
      </c>
      <c r="R33">
        <f>SUMIF(RecoveredRaw!$B:$B,$A33,RecoveredRaw!U:U)</f>
        <v>0</v>
      </c>
      <c r="S33">
        <f>SUMIF(RecoveredRaw!$B:$B,$A33,RecoveredRaw!V:V)</f>
        <v>0</v>
      </c>
      <c r="T33">
        <f>SUMIF(RecoveredRaw!$B:$B,$A33,RecoveredRaw!W:W)</f>
        <v>0</v>
      </c>
      <c r="U33">
        <f>SUMIF(RecoveredRaw!$B:$B,$A33,RecoveredRaw!X:X)</f>
        <v>0</v>
      </c>
      <c r="V33">
        <f>SUMIF(RecoveredRaw!$B:$B,$A33,RecoveredRaw!Y:Y)</f>
        <v>0</v>
      </c>
      <c r="W33">
        <f>SUMIF(RecoveredRaw!$B:$B,$A33,RecoveredRaw!Z:Z)</f>
        <v>0</v>
      </c>
      <c r="X33">
        <f>SUMIF(RecoveredRaw!$B:$B,$A33,RecoveredRaw!AA:AA)</f>
        <v>0</v>
      </c>
      <c r="Y33">
        <f>SUMIF(RecoveredRaw!$B:$B,$A33,RecoveredRaw!AB:AB)</f>
        <v>0</v>
      </c>
      <c r="Z33">
        <f>SUMIF(RecoveredRaw!$B:$B,$A33,RecoveredRaw!AC:AC)</f>
        <v>0</v>
      </c>
      <c r="AA33">
        <f>SUMIF(RecoveredRaw!$B:$B,$A33,RecoveredRaw!AD:AD)</f>
        <v>0</v>
      </c>
      <c r="AB33">
        <f>SUMIF(RecoveredRaw!$B:$B,$A33,RecoveredRaw!AE:AE)</f>
        <v>0</v>
      </c>
      <c r="AC33">
        <f>SUMIF(RecoveredRaw!$B:$B,$A33,RecoveredRaw!AF:AF)</f>
        <v>0</v>
      </c>
      <c r="AD33">
        <f>SUMIF(RecoveredRaw!$B:$B,$A33,RecoveredRaw!AG:AG)</f>
        <v>0</v>
      </c>
      <c r="AE33">
        <f>SUMIF(RecoveredRaw!$B:$B,$A33,RecoveredRaw!AH:AH)</f>
        <v>0</v>
      </c>
      <c r="AF33">
        <f>SUMIF(RecoveredRaw!$B:$B,$A33,RecoveredRaw!AI:AI)</f>
        <v>0</v>
      </c>
      <c r="AG33">
        <f>SUMIF(RecoveredRaw!$B:$B,$A33,RecoveredRaw!AJ:AJ)</f>
        <v>0</v>
      </c>
      <c r="AH33">
        <f>SUMIF(RecoveredRaw!$B:$B,$A33,RecoveredRaw!AK:AK)</f>
        <v>0</v>
      </c>
      <c r="AI33">
        <f>SUMIF(RecoveredRaw!$B:$B,$A33,RecoveredRaw!AL:AL)</f>
        <v>0</v>
      </c>
      <c r="AJ33">
        <f>SUMIF(RecoveredRaw!$B:$B,$A33,RecoveredRaw!AM:AM)</f>
        <v>0</v>
      </c>
      <c r="AK33">
        <f>SUMIF(RecoveredRaw!$B:$B,$A33,RecoveredRaw!AN:AN)</f>
        <v>0</v>
      </c>
      <c r="AL33">
        <f>SUMIF(RecoveredRaw!$B:$B,$A33,RecoveredRaw!AO:AO)</f>
        <v>0</v>
      </c>
      <c r="AM33">
        <f>SUMIF(RecoveredRaw!$B:$B,$A33,RecoveredRaw!AP:AP)</f>
        <v>0</v>
      </c>
      <c r="AN33">
        <f>SUMIF(RecoveredRaw!$B:$B,$A33,RecoveredRaw!AQ:AQ)</f>
        <v>0</v>
      </c>
      <c r="AO33">
        <f>SUMIF(RecoveredRaw!$B:$B,$A33,RecoveredRaw!AR:AR)</f>
        <v>0</v>
      </c>
      <c r="AP33">
        <f>SUMIF(RecoveredRaw!$B:$B,$A33,RecoveredRaw!AS:AS)</f>
        <v>0</v>
      </c>
      <c r="AQ33">
        <f>SUMIF(RecoveredRaw!$B:$B,$A33,RecoveredRaw!AT:AT)</f>
        <v>0</v>
      </c>
      <c r="AR33">
        <f>SUMIF(RecoveredRaw!$B:$B,$A33,RecoveredRaw!AU:AU)</f>
        <v>0</v>
      </c>
      <c r="AS33">
        <f>SUMIF(RecoveredRaw!$B:$B,$A33,RecoveredRaw!AV:AV)</f>
        <v>0</v>
      </c>
      <c r="AT33">
        <f>SUMIF(RecoveredRaw!$B:$B,$A33,RecoveredRaw!AW:AW)</f>
        <v>0</v>
      </c>
      <c r="AU33">
        <f>SUMIF(RecoveredRaw!$B:$B,$A33,RecoveredRaw!AX:AX)</f>
        <v>0</v>
      </c>
      <c r="AV33">
        <f>SUMIF(RecoveredRaw!$B:$B,$A33,RecoveredRaw!AY:AY)</f>
        <v>0</v>
      </c>
      <c r="AW33">
        <f>SUMIF(RecoveredRaw!$B:$B,$A33,RecoveredRaw!AZ:AZ)</f>
        <v>0</v>
      </c>
      <c r="AX33">
        <f>SUMIF(RecoveredRaw!$B:$B,$A33,RecoveredRaw!BA:BA)</f>
        <v>0</v>
      </c>
      <c r="AY33">
        <f>SUMIF(RecoveredRaw!$B:$B,$A33,RecoveredRaw!BB:BB)</f>
        <v>0</v>
      </c>
      <c r="AZ33">
        <f>SUMIF(RecoveredRaw!$B:$B,$A33,RecoveredRaw!BC:BC)</f>
        <v>0</v>
      </c>
      <c r="BA33">
        <f>SUMIF(RecoveredRaw!$B:$B,$A33,RecoveredRaw!BD:BD)</f>
        <v>1</v>
      </c>
      <c r="BB33">
        <f>SUMIF(RecoveredRaw!$B:$B,$A33,RecoveredRaw!BE:BE)</f>
        <v>2</v>
      </c>
      <c r="BC33">
        <f>SUMIF(RecoveredRaw!$B:$B,$A33,RecoveredRaw!BF:BF)</f>
        <v>2</v>
      </c>
      <c r="BD33">
        <f>SUMIF(RecoveredRaw!$B:$B,$A33,RecoveredRaw!BG:BG)</f>
        <v>3</v>
      </c>
      <c r="BE33">
        <f>SUMIF(RecoveredRaw!$B:$B,$A33,RecoveredRaw!BH:BH)</f>
        <v>3</v>
      </c>
      <c r="BF33">
        <f>SUMIF(RecoveredRaw!$B:$B,$A33,RecoveredRaw!BI:BI)</f>
        <v>3</v>
      </c>
      <c r="BG33">
        <f>SUMIF(RecoveredRaw!$B:$B,$A33,RecoveredRaw!BJ:BJ)</f>
        <v>3</v>
      </c>
      <c r="BH33">
        <f>SUMIF(RecoveredRaw!$B:$B,$A33,RecoveredRaw!BK:BK)</f>
        <v>5</v>
      </c>
      <c r="BI33">
        <f>SUMIF(RecoveredRaw!$B:$B,$A33,RecoveredRaw!BL:BL)</f>
        <v>0</v>
      </c>
      <c r="BJ33">
        <f>SUMIF(RecoveredRaw!$B:$B,$A33,RecoveredRaw!BM:BM)</f>
        <v>0</v>
      </c>
      <c r="BK33">
        <f>SUMIF(RecoveredRaw!$B:$B,$A33,RecoveredRaw!BN:BN)</f>
        <v>0</v>
      </c>
      <c r="BL33">
        <f>SUMIF(RecoveredRaw!$B:$B,$A33,RecoveredRaw!BO:BO)</f>
        <v>0</v>
      </c>
      <c r="BM33">
        <f>SUMIF(RecoveredRaw!$B:$B,$A33,RecoveredRaw!BP:BP)</f>
        <v>0</v>
      </c>
      <c r="BN33">
        <f>SUMIF(RecoveredRaw!$B:$B,$A33,RecoveredRaw!BQ:BQ)</f>
        <v>0</v>
      </c>
      <c r="BO33">
        <f>SUMIF(RecoveredRaw!$B:$B,$A33,RecoveredRaw!BR:BR)</f>
        <v>0</v>
      </c>
      <c r="BP33">
        <f>SUMIF(RecoveredRaw!$B:$B,$A33,RecoveredRaw!BS:BS)</f>
        <v>0</v>
      </c>
      <c r="BQ33">
        <f>SUMIF(RecoveredRaw!$B:$B,$A33,RecoveredRaw!BT:BT)</f>
        <v>0</v>
      </c>
      <c r="BR33">
        <f>SUMIF(RecoveredRaw!$B:$B,$A33,RecoveredRaw!BU:BU)</f>
        <v>0</v>
      </c>
      <c r="BS33">
        <f>SUMIF(RecoveredRaw!$B:$B,$A33,RecoveredRaw!BV:BV)</f>
        <v>0</v>
      </c>
      <c r="BT33">
        <f>SUMIF(RecoveredRaw!$B:$B,$A33,RecoveredRaw!BW:BW)</f>
        <v>0</v>
      </c>
    </row>
    <row r="34" spans="1:72" ht="15" thickBot="1" x14ac:dyDescent="0.35">
      <c r="A34" s="3" t="s">
        <v>70</v>
      </c>
      <c r="B34">
        <f>SUMIF(RecoveredRaw!$B:$B,$A34,RecoveredRaw!E:E)</f>
        <v>0</v>
      </c>
      <c r="C34">
        <f>SUMIF(RecoveredRaw!$B:$B,$A34,RecoveredRaw!F:F)</f>
        <v>0</v>
      </c>
      <c r="D34">
        <f>SUMIF(RecoveredRaw!$B:$B,$A34,RecoveredRaw!G:G)</f>
        <v>0</v>
      </c>
      <c r="E34">
        <f>SUMIF(RecoveredRaw!$B:$B,$A34,RecoveredRaw!H:H)</f>
        <v>0</v>
      </c>
      <c r="F34">
        <f>SUMIF(RecoveredRaw!$B:$B,$A34,RecoveredRaw!I:I)</f>
        <v>0</v>
      </c>
      <c r="G34">
        <f>SUMIF(RecoveredRaw!$B:$B,$A34,RecoveredRaw!J:J)</f>
        <v>0</v>
      </c>
      <c r="H34">
        <f>SUMIF(RecoveredRaw!$B:$B,$A34,RecoveredRaw!K:K)</f>
        <v>0</v>
      </c>
      <c r="I34">
        <f>SUMIF(RecoveredRaw!$B:$B,$A34,RecoveredRaw!L:L)</f>
        <v>0</v>
      </c>
      <c r="J34">
        <f>SUMIF(RecoveredRaw!$B:$B,$A34,RecoveredRaw!M:M)</f>
        <v>0</v>
      </c>
      <c r="K34">
        <f>SUMIF(RecoveredRaw!$B:$B,$A34,RecoveredRaw!N:N)</f>
        <v>0</v>
      </c>
      <c r="L34">
        <f>SUMIF(RecoveredRaw!$B:$B,$A34,RecoveredRaw!O:O)</f>
        <v>0</v>
      </c>
      <c r="M34">
        <f>SUMIF(RecoveredRaw!$B:$B,$A34,RecoveredRaw!P:P)</f>
        <v>0</v>
      </c>
      <c r="N34">
        <f>SUMIF(RecoveredRaw!$B:$B,$A34,RecoveredRaw!Q:Q)</f>
        <v>0</v>
      </c>
      <c r="O34">
        <f>SUMIF(RecoveredRaw!$B:$B,$A34,RecoveredRaw!R:R)</f>
        <v>0</v>
      </c>
      <c r="P34">
        <f>SUMIF(RecoveredRaw!$B:$B,$A34,RecoveredRaw!S:S)</f>
        <v>0</v>
      </c>
      <c r="Q34">
        <f>SUMIF(RecoveredRaw!$B:$B,$A34,RecoveredRaw!T:T)</f>
        <v>0</v>
      </c>
      <c r="R34">
        <f>SUMIF(RecoveredRaw!$B:$B,$A34,RecoveredRaw!U:U)</f>
        <v>0</v>
      </c>
      <c r="S34">
        <f>SUMIF(RecoveredRaw!$B:$B,$A34,RecoveredRaw!V:V)</f>
        <v>0</v>
      </c>
      <c r="T34">
        <f>SUMIF(RecoveredRaw!$B:$B,$A34,RecoveredRaw!W:W)</f>
        <v>0</v>
      </c>
      <c r="U34">
        <f>SUMIF(RecoveredRaw!$B:$B,$A34,RecoveredRaw!X:X)</f>
        <v>0</v>
      </c>
      <c r="V34">
        <f>SUMIF(RecoveredRaw!$B:$B,$A34,RecoveredRaw!Y:Y)</f>
        <v>0</v>
      </c>
      <c r="W34">
        <f>SUMIF(RecoveredRaw!$B:$B,$A34,RecoveredRaw!Z:Z)</f>
        <v>0</v>
      </c>
      <c r="X34">
        <f>SUMIF(RecoveredRaw!$B:$B,$A34,RecoveredRaw!AA:AA)</f>
        <v>0</v>
      </c>
      <c r="Y34">
        <f>SUMIF(RecoveredRaw!$B:$B,$A34,RecoveredRaw!AB:AB)</f>
        <v>0</v>
      </c>
      <c r="Z34">
        <f>SUMIF(RecoveredRaw!$B:$B,$A34,RecoveredRaw!AC:AC)</f>
        <v>0</v>
      </c>
      <c r="AA34">
        <f>SUMIF(RecoveredRaw!$B:$B,$A34,RecoveredRaw!AD:AD)</f>
        <v>0</v>
      </c>
      <c r="AB34">
        <f>SUMIF(RecoveredRaw!$B:$B,$A34,RecoveredRaw!AE:AE)</f>
        <v>0</v>
      </c>
      <c r="AC34">
        <f>SUMIF(RecoveredRaw!$B:$B,$A34,RecoveredRaw!AF:AF)</f>
        <v>0</v>
      </c>
      <c r="AD34">
        <f>SUMIF(RecoveredRaw!$B:$B,$A34,RecoveredRaw!AG:AG)</f>
        <v>0</v>
      </c>
      <c r="AE34">
        <f>SUMIF(RecoveredRaw!$B:$B,$A34,RecoveredRaw!AH:AH)</f>
        <v>0</v>
      </c>
      <c r="AF34">
        <f>SUMIF(RecoveredRaw!$B:$B,$A34,RecoveredRaw!AI:AI)</f>
        <v>0</v>
      </c>
      <c r="AG34">
        <f>SUMIF(RecoveredRaw!$B:$B,$A34,RecoveredRaw!AJ:AJ)</f>
        <v>0</v>
      </c>
      <c r="AH34">
        <f>SUMIF(RecoveredRaw!$B:$B,$A34,RecoveredRaw!AK:AK)</f>
        <v>0</v>
      </c>
      <c r="AI34">
        <f>SUMIF(RecoveredRaw!$B:$B,$A34,RecoveredRaw!AL:AL)</f>
        <v>0</v>
      </c>
      <c r="AJ34">
        <f>SUMIF(RecoveredRaw!$B:$B,$A34,RecoveredRaw!AM:AM)</f>
        <v>0</v>
      </c>
      <c r="AK34">
        <f>SUMIF(RecoveredRaw!$B:$B,$A34,RecoveredRaw!AN:AN)</f>
        <v>0</v>
      </c>
      <c r="AL34">
        <f>SUMIF(RecoveredRaw!$B:$B,$A34,RecoveredRaw!AO:AO)</f>
        <v>0</v>
      </c>
      <c r="AM34">
        <f>SUMIF(RecoveredRaw!$B:$B,$A34,RecoveredRaw!AP:AP)</f>
        <v>0</v>
      </c>
      <c r="AN34">
        <f>SUMIF(RecoveredRaw!$B:$B,$A34,RecoveredRaw!AQ:AQ)</f>
        <v>0</v>
      </c>
      <c r="AO34">
        <f>SUMIF(RecoveredRaw!$B:$B,$A34,RecoveredRaw!AR:AR)</f>
        <v>0</v>
      </c>
      <c r="AP34">
        <f>SUMIF(RecoveredRaw!$B:$B,$A34,RecoveredRaw!AS:AS)</f>
        <v>0</v>
      </c>
      <c r="AQ34">
        <f>SUMIF(RecoveredRaw!$B:$B,$A34,RecoveredRaw!AT:AT)</f>
        <v>0</v>
      </c>
      <c r="AR34">
        <f>SUMIF(RecoveredRaw!$B:$B,$A34,RecoveredRaw!AU:AU)</f>
        <v>0</v>
      </c>
      <c r="AS34">
        <f>SUMIF(RecoveredRaw!$B:$B,$A34,RecoveredRaw!AV:AV)</f>
        <v>0</v>
      </c>
      <c r="AT34">
        <f>SUMIF(RecoveredRaw!$B:$B,$A34,RecoveredRaw!AW:AW)</f>
        <v>0</v>
      </c>
      <c r="AU34">
        <f>SUMIF(RecoveredRaw!$B:$B,$A34,RecoveredRaw!AX:AX)</f>
        <v>0</v>
      </c>
      <c r="AV34">
        <f>SUMIF(RecoveredRaw!$B:$B,$A34,RecoveredRaw!AY:AY)</f>
        <v>0</v>
      </c>
      <c r="AW34">
        <f>SUMIF(RecoveredRaw!$B:$B,$A34,RecoveredRaw!AZ:AZ)</f>
        <v>3</v>
      </c>
      <c r="AX34">
        <f>SUMIF(RecoveredRaw!$B:$B,$A34,RecoveredRaw!BA:BA)</f>
        <v>3</v>
      </c>
      <c r="AY34">
        <f>SUMIF(RecoveredRaw!$B:$B,$A34,RecoveredRaw!BB:BB)</f>
        <v>15</v>
      </c>
      <c r="AZ34">
        <f>SUMIF(RecoveredRaw!$B:$B,$A34,RecoveredRaw!BC:BC)</f>
        <v>15</v>
      </c>
      <c r="BA34">
        <f>SUMIF(RecoveredRaw!$B:$B,$A34,RecoveredRaw!BD:BD)</f>
        <v>24</v>
      </c>
      <c r="BB34">
        <f>SUMIF(RecoveredRaw!$B:$B,$A34,RecoveredRaw!BE:BE)</f>
        <v>26</v>
      </c>
      <c r="BC34">
        <f>SUMIF(RecoveredRaw!$B:$B,$A34,RecoveredRaw!BF:BF)</f>
        <v>26</v>
      </c>
      <c r="BD34">
        <f>SUMIF(RecoveredRaw!$B:$B,$A34,RecoveredRaw!BG:BG)</f>
        <v>26</v>
      </c>
      <c r="BE34">
        <f>SUMIF(RecoveredRaw!$B:$B,$A34,RecoveredRaw!BH:BH)</f>
        <v>32</v>
      </c>
      <c r="BF34">
        <f>SUMIF(RecoveredRaw!$B:$B,$A34,RecoveredRaw!BI:BI)</f>
        <v>43</v>
      </c>
      <c r="BG34">
        <f>SUMIF(RecoveredRaw!$B:$B,$A34,RecoveredRaw!BJ:BJ)</f>
        <v>43</v>
      </c>
      <c r="BH34">
        <f>SUMIF(RecoveredRaw!$B:$B,$A34,RecoveredRaw!BK:BK)</f>
        <v>49</v>
      </c>
      <c r="BI34">
        <f>SUMIF(RecoveredRaw!$B:$B,$A34,RecoveredRaw!BL:BL)</f>
        <v>0</v>
      </c>
      <c r="BJ34">
        <f>SUMIF(RecoveredRaw!$B:$B,$A34,RecoveredRaw!BM:BM)</f>
        <v>0</v>
      </c>
      <c r="BK34">
        <f>SUMIF(RecoveredRaw!$B:$B,$A34,RecoveredRaw!BN:BN)</f>
        <v>0</v>
      </c>
      <c r="BL34">
        <f>SUMIF(RecoveredRaw!$B:$B,$A34,RecoveredRaw!BO:BO)</f>
        <v>0</v>
      </c>
      <c r="BM34">
        <f>SUMIF(RecoveredRaw!$B:$B,$A34,RecoveredRaw!BP:BP)</f>
        <v>0</v>
      </c>
      <c r="BN34">
        <f>SUMIF(RecoveredRaw!$B:$B,$A34,RecoveredRaw!BQ:BQ)</f>
        <v>0</v>
      </c>
      <c r="BO34">
        <f>SUMIF(RecoveredRaw!$B:$B,$A34,RecoveredRaw!BR:BR)</f>
        <v>0</v>
      </c>
      <c r="BP34">
        <f>SUMIF(RecoveredRaw!$B:$B,$A34,RecoveredRaw!BS:BS)</f>
        <v>0</v>
      </c>
      <c r="BQ34">
        <f>SUMIF(RecoveredRaw!$B:$B,$A34,RecoveredRaw!BT:BT)</f>
        <v>0</v>
      </c>
      <c r="BR34">
        <f>SUMIF(RecoveredRaw!$B:$B,$A34,RecoveredRaw!BU:BU)</f>
        <v>0</v>
      </c>
      <c r="BS34">
        <f>SUMIF(RecoveredRaw!$B:$B,$A34,RecoveredRaw!BV:BV)</f>
        <v>0</v>
      </c>
      <c r="BT34">
        <f>SUMIF(RecoveredRaw!$B:$B,$A34,RecoveredRaw!BW:BW)</f>
        <v>0</v>
      </c>
    </row>
    <row r="35" spans="1:72" ht="15" thickBot="1" x14ac:dyDescent="0.35">
      <c r="A35" s="4" t="s">
        <v>98</v>
      </c>
      <c r="B35">
        <f>SUMIF(RecoveredRaw!$B:$B,$A35,RecoveredRaw!E:E)</f>
        <v>0</v>
      </c>
      <c r="C35">
        <f>SUMIF(RecoveredRaw!$B:$B,$A35,RecoveredRaw!F:F)</f>
        <v>0</v>
      </c>
      <c r="D35">
        <f>SUMIF(RecoveredRaw!$B:$B,$A35,RecoveredRaw!G:G)</f>
        <v>0</v>
      </c>
      <c r="E35">
        <f>SUMIF(RecoveredRaw!$B:$B,$A35,RecoveredRaw!H:H)</f>
        <v>0</v>
      </c>
      <c r="F35">
        <f>SUMIF(RecoveredRaw!$B:$B,$A35,RecoveredRaw!I:I)</f>
        <v>0</v>
      </c>
      <c r="G35">
        <f>SUMIF(RecoveredRaw!$B:$B,$A35,RecoveredRaw!J:J)</f>
        <v>0</v>
      </c>
      <c r="H35">
        <f>SUMIF(RecoveredRaw!$B:$B,$A35,RecoveredRaw!K:K)</f>
        <v>0</v>
      </c>
      <c r="I35">
        <f>SUMIF(RecoveredRaw!$B:$B,$A35,RecoveredRaw!L:L)</f>
        <v>0</v>
      </c>
      <c r="J35">
        <f>SUMIF(RecoveredRaw!$B:$B,$A35,RecoveredRaw!M:M)</f>
        <v>0</v>
      </c>
      <c r="K35">
        <f>SUMIF(RecoveredRaw!$B:$B,$A35,RecoveredRaw!N:N)</f>
        <v>0</v>
      </c>
      <c r="L35">
        <f>SUMIF(RecoveredRaw!$B:$B,$A35,RecoveredRaw!O:O)</f>
        <v>0</v>
      </c>
      <c r="M35">
        <f>SUMIF(RecoveredRaw!$B:$B,$A35,RecoveredRaw!P:P)</f>
        <v>0</v>
      </c>
      <c r="N35">
        <f>SUMIF(RecoveredRaw!$B:$B,$A35,RecoveredRaw!Q:Q)</f>
        <v>0</v>
      </c>
      <c r="O35">
        <f>SUMIF(RecoveredRaw!$B:$B,$A35,RecoveredRaw!R:R)</f>
        <v>0</v>
      </c>
      <c r="P35">
        <f>SUMIF(RecoveredRaw!$B:$B,$A35,RecoveredRaw!S:S)</f>
        <v>0</v>
      </c>
      <c r="Q35">
        <f>SUMIF(RecoveredRaw!$B:$B,$A35,RecoveredRaw!T:T)</f>
        <v>0</v>
      </c>
      <c r="R35">
        <f>SUMIF(RecoveredRaw!$B:$B,$A35,RecoveredRaw!U:U)</f>
        <v>0</v>
      </c>
      <c r="S35">
        <f>SUMIF(RecoveredRaw!$B:$B,$A35,RecoveredRaw!V:V)</f>
        <v>0</v>
      </c>
      <c r="T35">
        <f>SUMIF(RecoveredRaw!$B:$B,$A35,RecoveredRaw!W:W)</f>
        <v>0</v>
      </c>
      <c r="U35">
        <f>SUMIF(RecoveredRaw!$B:$B,$A35,RecoveredRaw!X:X)</f>
        <v>0</v>
      </c>
      <c r="V35">
        <f>SUMIF(RecoveredRaw!$B:$B,$A35,RecoveredRaw!Y:Y)</f>
        <v>0</v>
      </c>
      <c r="W35">
        <f>SUMIF(RecoveredRaw!$B:$B,$A35,RecoveredRaw!Z:Z)</f>
        <v>0</v>
      </c>
      <c r="X35">
        <f>SUMIF(RecoveredRaw!$B:$B,$A35,RecoveredRaw!AA:AA)</f>
        <v>0</v>
      </c>
      <c r="Y35">
        <f>SUMIF(RecoveredRaw!$B:$B,$A35,RecoveredRaw!AB:AB)</f>
        <v>0</v>
      </c>
      <c r="Z35">
        <f>SUMIF(RecoveredRaw!$B:$B,$A35,RecoveredRaw!AC:AC)</f>
        <v>0</v>
      </c>
      <c r="AA35">
        <f>SUMIF(RecoveredRaw!$B:$B,$A35,RecoveredRaw!AD:AD)</f>
        <v>0</v>
      </c>
      <c r="AB35">
        <f>SUMIF(RecoveredRaw!$B:$B,$A35,RecoveredRaw!AE:AE)</f>
        <v>0</v>
      </c>
      <c r="AC35">
        <f>SUMIF(RecoveredRaw!$B:$B,$A35,RecoveredRaw!AF:AF)</f>
        <v>0</v>
      </c>
      <c r="AD35">
        <f>SUMIF(RecoveredRaw!$B:$B,$A35,RecoveredRaw!AG:AG)</f>
        <v>0</v>
      </c>
      <c r="AE35">
        <f>SUMIF(RecoveredRaw!$B:$B,$A35,RecoveredRaw!AH:AH)</f>
        <v>0</v>
      </c>
      <c r="AF35">
        <f>SUMIF(RecoveredRaw!$B:$B,$A35,RecoveredRaw!AI:AI)</f>
        <v>0</v>
      </c>
      <c r="AG35">
        <f>SUMIF(RecoveredRaw!$B:$B,$A35,RecoveredRaw!AJ:AJ)</f>
        <v>0</v>
      </c>
      <c r="AH35">
        <f>SUMIF(RecoveredRaw!$B:$B,$A35,RecoveredRaw!AK:AK)</f>
        <v>0</v>
      </c>
      <c r="AI35">
        <f>SUMIF(RecoveredRaw!$B:$B,$A35,RecoveredRaw!AL:AL)</f>
        <v>0</v>
      </c>
      <c r="AJ35">
        <f>SUMIF(RecoveredRaw!$B:$B,$A35,RecoveredRaw!AM:AM)</f>
        <v>0</v>
      </c>
      <c r="AK35">
        <f>SUMIF(RecoveredRaw!$B:$B,$A35,RecoveredRaw!AN:AN)</f>
        <v>0</v>
      </c>
      <c r="AL35">
        <f>SUMIF(RecoveredRaw!$B:$B,$A35,RecoveredRaw!AO:AO)</f>
        <v>0</v>
      </c>
      <c r="AM35">
        <f>SUMIF(RecoveredRaw!$B:$B,$A35,RecoveredRaw!AP:AP)</f>
        <v>0</v>
      </c>
      <c r="AN35">
        <f>SUMIF(RecoveredRaw!$B:$B,$A35,RecoveredRaw!AQ:AQ)</f>
        <v>0</v>
      </c>
      <c r="AO35">
        <f>SUMIF(RecoveredRaw!$B:$B,$A35,RecoveredRaw!AR:AR)</f>
        <v>0</v>
      </c>
      <c r="AP35">
        <f>SUMIF(RecoveredRaw!$B:$B,$A35,RecoveredRaw!AS:AS)</f>
        <v>0</v>
      </c>
      <c r="AQ35">
        <f>SUMIF(RecoveredRaw!$B:$B,$A35,RecoveredRaw!AT:AT)</f>
        <v>0</v>
      </c>
      <c r="AR35">
        <f>SUMIF(RecoveredRaw!$B:$B,$A35,RecoveredRaw!AU:AU)</f>
        <v>0</v>
      </c>
      <c r="AS35">
        <f>SUMIF(RecoveredRaw!$B:$B,$A35,RecoveredRaw!AV:AV)</f>
        <v>0</v>
      </c>
      <c r="AT35">
        <f>SUMIF(RecoveredRaw!$B:$B,$A35,RecoveredRaw!AW:AW)</f>
        <v>0</v>
      </c>
      <c r="AU35">
        <f>SUMIF(RecoveredRaw!$B:$B,$A35,RecoveredRaw!AX:AX)</f>
        <v>0</v>
      </c>
      <c r="AV35">
        <f>SUMIF(RecoveredRaw!$B:$B,$A35,RecoveredRaw!AY:AY)</f>
        <v>0</v>
      </c>
      <c r="AW35">
        <f>SUMIF(RecoveredRaw!$B:$B,$A35,RecoveredRaw!AZ:AZ)</f>
        <v>0</v>
      </c>
      <c r="AX35">
        <f>SUMIF(RecoveredRaw!$B:$B,$A35,RecoveredRaw!BA:BA)</f>
        <v>0</v>
      </c>
      <c r="AY35">
        <f>SUMIF(RecoveredRaw!$B:$B,$A35,RecoveredRaw!BB:BB)</f>
        <v>0</v>
      </c>
      <c r="AZ35">
        <f>SUMIF(RecoveredRaw!$B:$B,$A35,RecoveredRaw!BC:BC)</f>
        <v>0</v>
      </c>
      <c r="BA35">
        <f>SUMIF(RecoveredRaw!$B:$B,$A35,RecoveredRaw!BD:BD)</f>
        <v>0</v>
      </c>
      <c r="BB35">
        <f>SUMIF(RecoveredRaw!$B:$B,$A35,RecoveredRaw!BE:BE)</f>
        <v>0</v>
      </c>
      <c r="BC35">
        <f>SUMIF(RecoveredRaw!$B:$B,$A35,RecoveredRaw!BF:BF)</f>
        <v>0</v>
      </c>
      <c r="BD35">
        <f>SUMIF(RecoveredRaw!$B:$B,$A35,RecoveredRaw!BG:BG)</f>
        <v>0</v>
      </c>
      <c r="BE35">
        <f>SUMIF(RecoveredRaw!$B:$B,$A35,RecoveredRaw!BH:BH)</f>
        <v>5</v>
      </c>
      <c r="BF35">
        <f>SUMIF(RecoveredRaw!$B:$B,$A35,RecoveredRaw!BI:BI)</f>
        <v>5</v>
      </c>
      <c r="BG35">
        <f>SUMIF(RecoveredRaw!$B:$B,$A35,RecoveredRaw!BJ:BJ)</f>
        <v>5</v>
      </c>
      <c r="BH35">
        <f>SUMIF(RecoveredRaw!$B:$B,$A35,RecoveredRaw!BK:BK)</f>
        <v>5</v>
      </c>
      <c r="BI35">
        <f>SUMIF(RecoveredRaw!$B:$B,$A35,RecoveredRaw!BL:BL)</f>
        <v>0</v>
      </c>
      <c r="BJ35">
        <f>SUMIF(RecoveredRaw!$B:$B,$A35,RecoveredRaw!BM:BM)</f>
        <v>0</v>
      </c>
      <c r="BK35">
        <f>SUMIF(RecoveredRaw!$B:$B,$A35,RecoveredRaw!BN:BN)</f>
        <v>0</v>
      </c>
      <c r="BL35">
        <f>SUMIF(RecoveredRaw!$B:$B,$A35,RecoveredRaw!BO:BO)</f>
        <v>0</v>
      </c>
      <c r="BM35">
        <f>SUMIF(RecoveredRaw!$B:$B,$A35,RecoveredRaw!BP:BP)</f>
        <v>0</v>
      </c>
      <c r="BN35">
        <f>SUMIF(RecoveredRaw!$B:$B,$A35,RecoveredRaw!BQ:BQ)</f>
        <v>0</v>
      </c>
      <c r="BO35">
        <f>SUMIF(RecoveredRaw!$B:$B,$A35,RecoveredRaw!BR:BR)</f>
        <v>0</v>
      </c>
      <c r="BP35">
        <f>SUMIF(RecoveredRaw!$B:$B,$A35,RecoveredRaw!BS:BS)</f>
        <v>0</v>
      </c>
      <c r="BQ35">
        <f>SUMIF(RecoveredRaw!$B:$B,$A35,RecoveredRaw!BT:BT)</f>
        <v>0</v>
      </c>
      <c r="BR35">
        <f>SUMIF(RecoveredRaw!$B:$B,$A35,RecoveredRaw!BU:BU)</f>
        <v>0</v>
      </c>
      <c r="BS35">
        <f>SUMIF(RecoveredRaw!$B:$B,$A35,RecoveredRaw!BV:BV)</f>
        <v>0</v>
      </c>
      <c r="BT35">
        <f>SUMIF(RecoveredRaw!$B:$B,$A35,RecoveredRaw!BW:BW)</f>
        <v>0</v>
      </c>
    </row>
    <row r="36" spans="1:72" ht="15" thickBot="1" x14ac:dyDescent="0.35">
      <c r="A36" s="3" t="s">
        <v>86</v>
      </c>
      <c r="B36">
        <f>SUMIF(RecoveredRaw!$B:$B,$A36,RecoveredRaw!E:E)</f>
        <v>0</v>
      </c>
      <c r="C36">
        <f>SUMIF(RecoveredRaw!$B:$B,$A36,RecoveredRaw!F:F)</f>
        <v>0</v>
      </c>
      <c r="D36">
        <f>SUMIF(RecoveredRaw!$B:$B,$A36,RecoveredRaw!G:G)</f>
        <v>0</v>
      </c>
      <c r="E36">
        <f>SUMIF(RecoveredRaw!$B:$B,$A36,RecoveredRaw!H:H)</f>
        <v>0</v>
      </c>
      <c r="F36">
        <f>SUMIF(RecoveredRaw!$B:$B,$A36,RecoveredRaw!I:I)</f>
        <v>0</v>
      </c>
      <c r="G36">
        <f>SUMIF(RecoveredRaw!$B:$B,$A36,RecoveredRaw!J:J)</f>
        <v>0</v>
      </c>
      <c r="H36">
        <f>SUMIF(RecoveredRaw!$B:$B,$A36,RecoveredRaw!K:K)</f>
        <v>0</v>
      </c>
      <c r="I36">
        <f>SUMIF(RecoveredRaw!$B:$B,$A36,RecoveredRaw!L:L)</f>
        <v>0</v>
      </c>
      <c r="J36">
        <f>SUMIF(RecoveredRaw!$B:$B,$A36,RecoveredRaw!M:M)</f>
        <v>0</v>
      </c>
      <c r="K36">
        <f>SUMIF(RecoveredRaw!$B:$B,$A36,RecoveredRaw!N:N)</f>
        <v>0</v>
      </c>
      <c r="L36">
        <f>SUMIF(RecoveredRaw!$B:$B,$A36,RecoveredRaw!O:O)</f>
        <v>0</v>
      </c>
      <c r="M36">
        <f>SUMIF(RecoveredRaw!$B:$B,$A36,RecoveredRaw!P:P)</f>
        <v>0</v>
      </c>
      <c r="N36">
        <f>SUMIF(RecoveredRaw!$B:$B,$A36,RecoveredRaw!Q:Q)</f>
        <v>0</v>
      </c>
      <c r="O36">
        <f>SUMIF(RecoveredRaw!$B:$B,$A36,RecoveredRaw!R:R)</f>
        <v>0</v>
      </c>
      <c r="P36">
        <f>SUMIF(RecoveredRaw!$B:$B,$A36,RecoveredRaw!S:S)</f>
        <v>0</v>
      </c>
      <c r="Q36">
        <f>SUMIF(RecoveredRaw!$B:$B,$A36,RecoveredRaw!T:T)</f>
        <v>0</v>
      </c>
      <c r="R36">
        <f>SUMIF(RecoveredRaw!$B:$B,$A36,RecoveredRaw!U:U)</f>
        <v>0</v>
      </c>
      <c r="S36">
        <f>SUMIF(RecoveredRaw!$B:$B,$A36,RecoveredRaw!V:V)</f>
        <v>0</v>
      </c>
      <c r="T36">
        <f>SUMIF(RecoveredRaw!$B:$B,$A36,RecoveredRaw!W:W)</f>
        <v>0</v>
      </c>
      <c r="U36">
        <f>SUMIF(RecoveredRaw!$B:$B,$A36,RecoveredRaw!X:X)</f>
        <v>0</v>
      </c>
      <c r="V36">
        <f>SUMIF(RecoveredRaw!$B:$B,$A36,RecoveredRaw!Y:Y)</f>
        <v>0</v>
      </c>
      <c r="W36">
        <f>SUMIF(RecoveredRaw!$B:$B,$A36,RecoveredRaw!Z:Z)</f>
        <v>0</v>
      </c>
      <c r="X36">
        <f>SUMIF(RecoveredRaw!$B:$B,$A36,RecoveredRaw!AA:AA)</f>
        <v>0</v>
      </c>
      <c r="Y36">
        <f>SUMIF(RecoveredRaw!$B:$B,$A36,RecoveredRaw!AB:AB)</f>
        <v>0</v>
      </c>
      <c r="Z36">
        <f>SUMIF(RecoveredRaw!$B:$B,$A36,RecoveredRaw!AC:AC)</f>
        <v>0</v>
      </c>
      <c r="AA36">
        <f>SUMIF(RecoveredRaw!$B:$B,$A36,RecoveredRaw!AD:AD)</f>
        <v>0</v>
      </c>
      <c r="AB36">
        <f>SUMIF(RecoveredRaw!$B:$B,$A36,RecoveredRaw!AE:AE)</f>
        <v>0</v>
      </c>
      <c r="AC36">
        <f>SUMIF(RecoveredRaw!$B:$B,$A36,RecoveredRaw!AF:AF)</f>
        <v>0</v>
      </c>
      <c r="AD36">
        <f>SUMIF(RecoveredRaw!$B:$B,$A36,RecoveredRaw!AG:AG)</f>
        <v>0</v>
      </c>
      <c r="AE36">
        <f>SUMIF(RecoveredRaw!$B:$B,$A36,RecoveredRaw!AH:AH)</f>
        <v>0</v>
      </c>
      <c r="AF36">
        <f>SUMIF(RecoveredRaw!$B:$B,$A36,RecoveredRaw!AI:AI)</f>
        <v>0</v>
      </c>
      <c r="AG36">
        <f>SUMIF(RecoveredRaw!$B:$B,$A36,RecoveredRaw!AJ:AJ)</f>
        <v>0</v>
      </c>
      <c r="AH36">
        <f>SUMIF(RecoveredRaw!$B:$B,$A36,RecoveredRaw!AK:AK)</f>
        <v>0</v>
      </c>
      <c r="AI36">
        <f>SUMIF(RecoveredRaw!$B:$B,$A36,RecoveredRaw!AL:AL)</f>
        <v>0</v>
      </c>
      <c r="AJ36">
        <f>SUMIF(RecoveredRaw!$B:$B,$A36,RecoveredRaw!AM:AM)</f>
        <v>0</v>
      </c>
      <c r="AK36">
        <f>SUMIF(RecoveredRaw!$B:$B,$A36,RecoveredRaw!AN:AN)</f>
        <v>0</v>
      </c>
      <c r="AL36">
        <f>SUMIF(RecoveredRaw!$B:$B,$A36,RecoveredRaw!AO:AO)</f>
        <v>0</v>
      </c>
      <c r="AM36">
        <f>SUMIF(RecoveredRaw!$B:$B,$A36,RecoveredRaw!AP:AP)</f>
        <v>0</v>
      </c>
      <c r="AN36">
        <f>SUMIF(RecoveredRaw!$B:$B,$A36,RecoveredRaw!AQ:AQ)</f>
        <v>0</v>
      </c>
      <c r="AO36">
        <f>SUMIF(RecoveredRaw!$B:$B,$A36,RecoveredRaw!AR:AR)</f>
        <v>0</v>
      </c>
      <c r="AP36">
        <f>SUMIF(RecoveredRaw!$B:$B,$A36,RecoveredRaw!AS:AS)</f>
        <v>0</v>
      </c>
      <c r="AQ36">
        <f>SUMIF(RecoveredRaw!$B:$B,$A36,RecoveredRaw!AT:AT)</f>
        <v>0</v>
      </c>
      <c r="AR36">
        <f>SUMIF(RecoveredRaw!$B:$B,$A36,RecoveredRaw!AU:AU)</f>
        <v>1</v>
      </c>
      <c r="AS36">
        <f>SUMIF(RecoveredRaw!$B:$B,$A36,RecoveredRaw!AV:AV)</f>
        <v>1</v>
      </c>
      <c r="AT36">
        <f>SUMIF(RecoveredRaw!$B:$B,$A36,RecoveredRaw!AW:AW)</f>
        <v>1</v>
      </c>
      <c r="AU36">
        <f>SUMIF(RecoveredRaw!$B:$B,$A36,RecoveredRaw!AX:AX)</f>
        <v>3</v>
      </c>
      <c r="AV36">
        <f>SUMIF(RecoveredRaw!$B:$B,$A36,RecoveredRaw!AY:AY)</f>
        <v>3</v>
      </c>
      <c r="AW36">
        <f>SUMIF(RecoveredRaw!$B:$B,$A36,RecoveredRaw!AZ:AZ)</f>
        <v>3</v>
      </c>
      <c r="AX36">
        <f>SUMIF(RecoveredRaw!$B:$B,$A36,RecoveredRaw!BA:BA)</f>
        <v>3</v>
      </c>
      <c r="AY36">
        <f>SUMIF(RecoveredRaw!$B:$B,$A36,RecoveredRaw!BB:BB)</f>
        <v>6</v>
      </c>
      <c r="AZ36">
        <f>SUMIF(RecoveredRaw!$B:$B,$A36,RecoveredRaw!BC:BC)</f>
        <v>6</v>
      </c>
      <c r="BA36">
        <f>SUMIF(RecoveredRaw!$B:$B,$A36,RecoveredRaw!BD:BD)</f>
        <v>7</v>
      </c>
      <c r="BB36">
        <f>SUMIF(RecoveredRaw!$B:$B,$A36,RecoveredRaw!BE:BE)</f>
        <v>9</v>
      </c>
      <c r="BC36">
        <f>SUMIF(RecoveredRaw!$B:$B,$A36,RecoveredRaw!BF:BF)</f>
        <v>9</v>
      </c>
      <c r="BD36">
        <f>SUMIF(RecoveredRaw!$B:$B,$A36,RecoveredRaw!BG:BG)</f>
        <v>9</v>
      </c>
      <c r="BE36">
        <f>SUMIF(RecoveredRaw!$B:$B,$A36,RecoveredRaw!BH:BH)</f>
        <v>16</v>
      </c>
      <c r="BF36">
        <f>SUMIF(RecoveredRaw!$B:$B,$A36,RecoveredRaw!BI:BI)</f>
        <v>19</v>
      </c>
      <c r="BG36">
        <f>SUMIF(RecoveredRaw!$B:$B,$A36,RecoveredRaw!BJ:BJ)</f>
        <v>25</v>
      </c>
      <c r="BH36">
        <f>SUMIF(RecoveredRaw!$B:$B,$A36,RecoveredRaw!BK:BK)</f>
        <v>25</v>
      </c>
      <c r="BI36">
        <f>SUMIF(RecoveredRaw!$B:$B,$A36,RecoveredRaw!BL:BL)</f>
        <v>0</v>
      </c>
      <c r="BJ36">
        <f>SUMIF(RecoveredRaw!$B:$B,$A36,RecoveredRaw!BM:BM)</f>
        <v>0</v>
      </c>
      <c r="BK36">
        <f>SUMIF(RecoveredRaw!$B:$B,$A36,RecoveredRaw!BN:BN)</f>
        <v>0</v>
      </c>
      <c r="BL36">
        <f>SUMIF(RecoveredRaw!$B:$B,$A36,RecoveredRaw!BO:BO)</f>
        <v>0</v>
      </c>
      <c r="BM36">
        <f>SUMIF(RecoveredRaw!$B:$B,$A36,RecoveredRaw!BP:BP)</f>
        <v>0</v>
      </c>
      <c r="BN36">
        <f>SUMIF(RecoveredRaw!$B:$B,$A36,RecoveredRaw!BQ:BQ)</f>
        <v>0</v>
      </c>
      <c r="BO36">
        <f>SUMIF(RecoveredRaw!$B:$B,$A36,RecoveredRaw!BR:BR)</f>
        <v>0</v>
      </c>
      <c r="BP36">
        <f>SUMIF(RecoveredRaw!$B:$B,$A36,RecoveredRaw!BS:BS)</f>
        <v>0</v>
      </c>
      <c r="BQ36">
        <f>SUMIF(RecoveredRaw!$B:$B,$A36,RecoveredRaw!BT:BT)</f>
        <v>0</v>
      </c>
      <c r="BR36">
        <f>SUMIF(RecoveredRaw!$B:$B,$A36,RecoveredRaw!BU:BU)</f>
        <v>0</v>
      </c>
      <c r="BS36">
        <f>SUMIF(RecoveredRaw!$B:$B,$A36,RecoveredRaw!BV:BV)</f>
        <v>0</v>
      </c>
      <c r="BT36">
        <f>SUMIF(RecoveredRaw!$B:$B,$A36,RecoveredRaw!BW:BW)</f>
        <v>0</v>
      </c>
    </row>
    <row r="37" spans="1:72" ht="15" thickBot="1" x14ac:dyDescent="0.35">
      <c r="A37" s="4" t="s">
        <v>113</v>
      </c>
      <c r="B37">
        <f>SUMIF(RecoveredRaw!$B:$B,$A37,RecoveredRaw!E:E)</f>
        <v>0</v>
      </c>
      <c r="C37">
        <f>SUMIF(RecoveredRaw!$B:$B,$A37,RecoveredRaw!F:F)</f>
        <v>0</v>
      </c>
      <c r="D37">
        <f>SUMIF(RecoveredRaw!$B:$B,$A37,RecoveredRaw!G:G)</f>
        <v>0</v>
      </c>
      <c r="E37">
        <f>SUMIF(RecoveredRaw!$B:$B,$A37,RecoveredRaw!H:H)</f>
        <v>0</v>
      </c>
      <c r="F37">
        <f>SUMIF(RecoveredRaw!$B:$B,$A37,RecoveredRaw!I:I)</f>
        <v>0</v>
      </c>
      <c r="G37">
        <f>SUMIF(RecoveredRaw!$B:$B,$A37,RecoveredRaw!J:J)</f>
        <v>0</v>
      </c>
      <c r="H37">
        <f>SUMIF(RecoveredRaw!$B:$B,$A37,RecoveredRaw!K:K)</f>
        <v>0</v>
      </c>
      <c r="I37">
        <f>SUMIF(RecoveredRaw!$B:$B,$A37,RecoveredRaw!L:L)</f>
        <v>0</v>
      </c>
      <c r="J37">
        <f>SUMIF(RecoveredRaw!$B:$B,$A37,RecoveredRaw!M:M)</f>
        <v>0</v>
      </c>
      <c r="K37">
        <f>SUMIF(RecoveredRaw!$B:$B,$A37,RecoveredRaw!N:N)</f>
        <v>0</v>
      </c>
      <c r="L37">
        <f>SUMIF(RecoveredRaw!$B:$B,$A37,RecoveredRaw!O:O)</f>
        <v>0</v>
      </c>
      <c r="M37">
        <f>SUMIF(RecoveredRaw!$B:$B,$A37,RecoveredRaw!P:P)</f>
        <v>0</v>
      </c>
      <c r="N37">
        <f>SUMIF(RecoveredRaw!$B:$B,$A37,RecoveredRaw!Q:Q)</f>
        <v>0</v>
      </c>
      <c r="O37">
        <f>SUMIF(RecoveredRaw!$B:$B,$A37,RecoveredRaw!R:R)</f>
        <v>0</v>
      </c>
      <c r="P37">
        <f>SUMIF(RecoveredRaw!$B:$B,$A37,RecoveredRaw!S:S)</f>
        <v>0</v>
      </c>
      <c r="Q37">
        <f>SUMIF(RecoveredRaw!$B:$B,$A37,RecoveredRaw!T:T)</f>
        <v>0</v>
      </c>
      <c r="R37">
        <f>SUMIF(RecoveredRaw!$B:$B,$A37,RecoveredRaw!U:U)</f>
        <v>0</v>
      </c>
      <c r="S37">
        <f>SUMIF(RecoveredRaw!$B:$B,$A37,RecoveredRaw!V:V)</f>
        <v>0</v>
      </c>
      <c r="T37">
        <f>SUMIF(RecoveredRaw!$B:$B,$A37,RecoveredRaw!W:W)</f>
        <v>0</v>
      </c>
      <c r="U37">
        <f>SUMIF(RecoveredRaw!$B:$B,$A37,RecoveredRaw!X:X)</f>
        <v>0</v>
      </c>
      <c r="V37">
        <f>SUMIF(RecoveredRaw!$B:$B,$A37,RecoveredRaw!Y:Y)</f>
        <v>0</v>
      </c>
      <c r="W37">
        <f>SUMIF(RecoveredRaw!$B:$B,$A37,RecoveredRaw!Z:Z)</f>
        <v>0</v>
      </c>
      <c r="X37">
        <f>SUMIF(RecoveredRaw!$B:$B,$A37,RecoveredRaw!AA:AA)</f>
        <v>0</v>
      </c>
      <c r="Y37">
        <f>SUMIF(RecoveredRaw!$B:$B,$A37,RecoveredRaw!AB:AB)</f>
        <v>0</v>
      </c>
      <c r="Z37">
        <f>SUMIF(RecoveredRaw!$B:$B,$A37,RecoveredRaw!AC:AC)</f>
        <v>0</v>
      </c>
      <c r="AA37">
        <f>SUMIF(RecoveredRaw!$B:$B,$A37,RecoveredRaw!AD:AD)</f>
        <v>0</v>
      </c>
      <c r="AB37">
        <f>SUMIF(RecoveredRaw!$B:$B,$A37,RecoveredRaw!AE:AE)</f>
        <v>0</v>
      </c>
      <c r="AC37">
        <f>SUMIF(RecoveredRaw!$B:$B,$A37,RecoveredRaw!AF:AF)</f>
        <v>0</v>
      </c>
      <c r="AD37">
        <f>SUMIF(RecoveredRaw!$B:$B,$A37,RecoveredRaw!AG:AG)</f>
        <v>0</v>
      </c>
      <c r="AE37">
        <f>SUMIF(RecoveredRaw!$B:$B,$A37,RecoveredRaw!AH:AH)</f>
        <v>0</v>
      </c>
      <c r="AF37">
        <f>SUMIF(RecoveredRaw!$B:$B,$A37,RecoveredRaw!AI:AI)</f>
        <v>0</v>
      </c>
      <c r="AG37">
        <f>SUMIF(RecoveredRaw!$B:$B,$A37,RecoveredRaw!AJ:AJ)</f>
        <v>0</v>
      </c>
      <c r="AH37">
        <f>SUMIF(RecoveredRaw!$B:$B,$A37,RecoveredRaw!AK:AK)</f>
        <v>0</v>
      </c>
      <c r="AI37">
        <f>SUMIF(RecoveredRaw!$B:$B,$A37,RecoveredRaw!AL:AL)</f>
        <v>0</v>
      </c>
      <c r="AJ37">
        <f>SUMIF(RecoveredRaw!$B:$B,$A37,RecoveredRaw!AM:AM)</f>
        <v>0</v>
      </c>
      <c r="AK37">
        <f>SUMIF(RecoveredRaw!$B:$B,$A37,RecoveredRaw!AN:AN)</f>
        <v>0</v>
      </c>
      <c r="AL37">
        <f>SUMIF(RecoveredRaw!$B:$B,$A37,RecoveredRaw!AO:AO)</f>
        <v>0</v>
      </c>
      <c r="AM37">
        <f>SUMIF(RecoveredRaw!$B:$B,$A37,RecoveredRaw!AP:AP)</f>
        <v>0</v>
      </c>
      <c r="AN37">
        <f>SUMIF(RecoveredRaw!$B:$B,$A37,RecoveredRaw!AQ:AQ)</f>
        <v>0</v>
      </c>
      <c r="AO37">
        <f>SUMIF(RecoveredRaw!$B:$B,$A37,RecoveredRaw!AR:AR)</f>
        <v>0</v>
      </c>
      <c r="AP37">
        <f>SUMIF(RecoveredRaw!$B:$B,$A37,RecoveredRaw!AS:AS)</f>
        <v>0</v>
      </c>
      <c r="AQ37">
        <f>SUMIF(RecoveredRaw!$B:$B,$A37,RecoveredRaw!AT:AT)</f>
        <v>0</v>
      </c>
      <c r="AR37">
        <f>SUMIF(RecoveredRaw!$B:$B,$A37,RecoveredRaw!AU:AU)</f>
        <v>0</v>
      </c>
      <c r="AS37">
        <f>SUMIF(RecoveredRaw!$B:$B,$A37,RecoveredRaw!AV:AV)</f>
        <v>0</v>
      </c>
      <c r="AT37">
        <f>SUMIF(RecoveredRaw!$B:$B,$A37,RecoveredRaw!AW:AW)</f>
        <v>0</v>
      </c>
      <c r="AU37">
        <f>SUMIF(RecoveredRaw!$B:$B,$A37,RecoveredRaw!AX:AX)</f>
        <v>0</v>
      </c>
      <c r="AV37">
        <f>SUMIF(RecoveredRaw!$B:$B,$A37,RecoveredRaw!AY:AY)</f>
        <v>0</v>
      </c>
      <c r="AW37">
        <f>SUMIF(RecoveredRaw!$B:$B,$A37,RecoveredRaw!AZ:AZ)</f>
        <v>0</v>
      </c>
      <c r="AX37">
        <f>SUMIF(RecoveredRaw!$B:$B,$A37,RecoveredRaw!BA:BA)</f>
        <v>1</v>
      </c>
      <c r="AY37">
        <f>SUMIF(RecoveredRaw!$B:$B,$A37,RecoveredRaw!BB:BB)</f>
        <v>1</v>
      </c>
      <c r="AZ37">
        <f>SUMIF(RecoveredRaw!$B:$B,$A37,RecoveredRaw!BC:BC)</f>
        <v>1</v>
      </c>
      <c r="BA37">
        <f>SUMIF(RecoveredRaw!$B:$B,$A37,RecoveredRaw!BD:BD)</f>
        <v>1</v>
      </c>
      <c r="BB37">
        <f>SUMIF(RecoveredRaw!$B:$B,$A37,RecoveredRaw!BE:BE)</f>
        <v>1</v>
      </c>
      <c r="BC37">
        <f>SUMIF(RecoveredRaw!$B:$B,$A37,RecoveredRaw!BF:BF)</f>
        <v>1</v>
      </c>
      <c r="BD37">
        <f>SUMIF(RecoveredRaw!$B:$B,$A37,RecoveredRaw!BG:BG)</f>
        <v>2</v>
      </c>
      <c r="BE37">
        <f>SUMIF(RecoveredRaw!$B:$B,$A37,RecoveredRaw!BH:BH)</f>
        <v>6</v>
      </c>
      <c r="BF37">
        <f>SUMIF(RecoveredRaw!$B:$B,$A37,RecoveredRaw!BI:BI)</f>
        <v>6</v>
      </c>
      <c r="BG37">
        <f>SUMIF(RecoveredRaw!$B:$B,$A37,RecoveredRaw!BJ:BJ)</f>
        <v>6</v>
      </c>
      <c r="BH37">
        <f>SUMIF(RecoveredRaw!$B:$B,$A37,RecoveredRaw!BK:BK)</f>
        <v>8</v>
      </c>
      <c r="BI37">
        <f>SUMIF(RecoveredRaw!$B:$B,$A37,RecoveredRaw!BL:BL)</f>
        <v>0</v>
      </c>
      <c r="BJ37">
        <f>SUMIF(RecoveredRaw!$B:$B,$A37,RecoveredRaw!BM:BM)</f>
        <v>0</v>
      </c>
      <c r="BK37">
        <f>SUMIF(RecoveredRaw!$B:$B,$A37,RecoveredRaw!BN:BN)</f>
        <v>0</v>
      </c>
      <c r="BL37">
        <f>SUMIF(RecoveredRaw!$B:$B,$A37,RecoveredRaw!BO:BO)</f>
        <v>0</v>
      </c>
      <c r="BM37">
        <f>SUMIF(RecoveredRaw!$B:$B,$A37,RecoveredRaw!BP:BP)</f>
        <v>0</v>
      </c>
      <c r="BN37">
        <f>SUMIF(RecoveredRaw!$B:$B,$A37,RecoveredRaw!BQ:BQ)</f>
        <v>0</v>
      </c>
      <c r="BO37">
        <f>SUMIF(RecoveredRaw!$B:$B,$A37,RecoveredRaw!BR:BR)</f>
        <v>0</v>
      </c>
      <c r="BP37">
        <f>SUMIF(RecoveredRaw!$B:$B,$A37,RecoveredRaw!BS:BS)</f>
        <v>0</v>
      </c>
      <c r="BQ37">
        <f>SUMIF(RecoveredRaw!$B:$B,$A37,RecoveredRaw!BT:BT)</f>
        <v>0</v>
      </c>
      <c r="BR37">
        <f>SUMIF(RecoveredRaw!$B:$B,$A37,RecoveredRaw!BU:BU)</f>
        <v>0</v>
      </c>
      <c r="BS37">
        <f>SUMIF(RecoveredRaw!$B:$B,$A37,RecoveredRaw!BV:BV)</f>
        <v>0</v>
      </c>
      <c r="BT37">
        <f>SUMIF(RecoveredRaw!$B:$B,$A37,RecoveredRaw!BW:BW)</f>
        <v>0</v>
      </c>
    </row>
    <row r="38" spans="1:72" ht="15" thickBot="1" x14ac:dyDescent="0.35">
      <c r="A38" s="4" t="s">
        <v>55</v>
      </c>
      <c r="B38">
        <f>SUMIF(RecoveredRaw!$B:$B,$A38,RecoveredRaw!E:E)</f>
        <v>0</v>
      </c>
      <c r="C38">
        <f>SUMIF(RecoveredRaw!$B:$B,$A38,RecoveredRaw!F:F)</f>
        <v>0</v>
      </c>
      <c r="D38">
        <f>SUMIF(RecoveredRaw!$B:$B,$A38,RecoveredRaw!G:G)</f>
        <v>0</v>
      </c>
      <c r="E38">
        <f>SUMIF(RecoveredRaw!$B:$B,$A38,RecoveredRaw!H:H)</f>
        <v>0</v>
      </c>
      <c r="F38">
        <f>SUMIF(RecoveredRaw!$B:$B,$A38,RecoveredRaw!I:I)</f>
        <v>0</v>
      </c>
      <c r="G38">
        <f>SUMIF(RecoveredRaw!$B:$B,$A38,RecoveredRaw!J:J)</f>
        <v>0</v>
      </c>
      <c r="H38">
        <f>SUMIF(RecoveredRaw!$B:$B,$A38,RecoveredRaw!K:K)</f>
        <v>0</v>
      </c>
      <c r="I38">
        <f>SUMIF(RecoveredRaw!$B:$B,$A38,RecoveredRaw!L:L)</f>
        <v>0</v>
      </c>
      <c r="J38">
        <f>SUMIF(RecoveredRaw!$B:$B,$A38,RecoveredRaw!M:M)</f>
        <v>0</v>
      </c>
      <c r="K38">
        <f>SUMIF(RecoveredRaw!$B:$B,$A38,RecoveredRaw!N:N)</f>
        <v>0</v>
      </c>
      <c r="L38">
        <f>SUMIF(RecoveredRaw!$B:$B,$A38,RecoveredRaw!O:O)</f>
        <v>0</v>
      </c>
      <c r="M38">
        <f>SUMIF(RecoveredRaw!$B:$B,$A38,RecoveredRaw!P:P)</f>
        <v>0</v>
      </c>
      <c r="N38">
        <f>SUMIF(RecoveredRaw!$B:$B,$A38,RecoveredRaw!Q:Q)</f>
        <v>0</v>
      </c>
      <c r="O38">
        <f>SUMIF(RecoveredRaw!$B:$B,$A38,RecoveredRaw!R:R)</f>
        <v>0</v>
      </c>
      <c r="P38">
        <f>SUMIF(RecoveredRaw!$B:$B,$A38,RecoveredRaw!S:S)</f>
        <v>0</v>
      </c>
      <c r="Q38">
        <f>SUMIF(RecoveredRaw!$B:$B,$A38,RecoveredRaw!T:T)</f>
        <v>0</v>
      </c>
      <c r="R38">
        <f>SUMIF(RecoveredRaw!$B:$B,$A38,RecoveredRaw!U:U)</f>
        <v>0</v>
      </c>
      <c r="S38">
        <f>SUMIF(RecoveredRaw!$B:$B,$A38,RecoveredRaw!V:V)</f>
        <v>0</v>
      </c>
      <c r="T38">
        <f>SUMIF(RecoveredRaw!$B:$B,$A38,RecoveredRaw!W:W)</f>
        <v>0</v>
      </c>
      <c r="U38">
        <f>SUMIF(RecoveredRaw!$B:$B,$A38,RecoveredRaw!X:X)</f>
        <v>0</v>
      </c>
      <c r="V38">
        <f>SUMIF(RecoveredRaw!$B:$B,$A38,RecoveredRaw!Y:Y)</f>
        <v>0</v>
      </c>
      <c r="W38">
        <f>SUMIF(RecoveredRaw!$B:$B,$A38,RecoveredRaw!Z:Z)</f>
        <v>1</v>
      </c>
      <c r="X38">
        <f>SUMIF(RecoveredRaw!$B:$B,$A38,RecoveredRaw!AA:AA)</f>
        <v>1</v>
      </c>
      <c r="Y38">
        <f>SUMIF(RecoveredRaw!$B:$B,$A38,RecoveredRaw!AB:AB)</f>
        <v>1</v>
      </c>
      <c r="Z38">
        <f>SUMIF(RecoveredRaw!$B:$B,$A38,RecoveredRaw!AC:AC)</f>
        <v>3</v>
      </c>
      <c r="AA38">
        <f>SUMIF(RecoveredRaw!$B:$B,$A38,RecoveredRaw!AD:AD)</f>
        <v>4</v>
      </c>
      <c r="AB38">
        <f>SUMIF(RecoveredRaw!$B:$B,$A38,RecoveredRaw!AE:AE)</f>
        <v>4</v>
      </c>
      <c r="AC38">
        <f>SUMIF(RecoveredRaw!$B:$B,$A38,RecoveredRaw!AF:AF)</f>
        <v>4</v>
      </c>
      <c r="AD38">
        <f>SUMIF(RecoveredRaw!$B:$B,$A38,RecoveredRaw!AG:AG)</f>
        <v>4</v>
      </c>
      <c r="AE38">
        <f>SUMIF(RecoveredRaw!$B:$B,$A38,RecoveredRaw!AH:AH)</f>
        <v>4</v>
      </c>
      <c r="AF38">
        <f>SUMIF(RecoveredRaw!$B:$B,$A38,RecoveredRaw!AI:AI)</f>
        <v>4</v>
      </c>
      <c r="AG38">
        <f>SUMIF(RecoveredRaw!$B:$B,$A38,RecoveredRaw!AJ:AJ)</f>
        <v>4</v>
      </c>
      <c r="AH38">
        <f>SUMIF(RecoveredRaw!$B:$B,$A38,RecoveredRaw!AK:AK)</f>
        <v>4</v>
      </c>
      <c r="AI38">
        <f>SUMIF(RecoveredRaw!$B:$B,$A38,RecoveredRaw!AL:AL)</f>
        <v>4</v>
      </c>
      <c r="AJ38">
        <f>SUMIF(RecoveredRaw!$B:$B,$A38,RecoveredRaw!AM:AM)</f>
        <v>4</v>
      </c>
      <c r="AK38">
        <f>SUMIF(RecoveredRaw!$B:$B,$A38,RecoveredRaw!AN:AN)</f>
        <v>4</v>
      </c>
      <c r="AL38">
        <f>SUMIF(RecoveredRaw!$B:$B,$A38,RecoveredRaw!AO:AO)</f>
        <v>4</v>
      </c>
      <c r="AM38">
        <f>SUMIF(RecoveredRaw!$B:$B,$A38,RecoveredRaw!AP:AP)</f>
        <v>5</v>
      </c>
      <c r="AN38">
        <f>SUMIF(RecoveredRaw!$B:$B,$A38,RecoveredRaw!AQ:AQ)</f>
        <v>5</v>
      </c>
      <c r="AO38">
        <f>SUMIF(RecoveredRaw!$B:$B,$A38,RecoveredRaw!AR:AR)</f>
        <v>5</v>
      </c>
      <c r="AP38">
        <f>SUMIF(RecoveredRaw!$B:$B,$A38,RecoveredRaw!AS:AS)</f>
        <v>5</v>
      </c>
      <c r="AQ38">
        <f>SUMIF(RecoveredRaw!$B:$B,$A38,RecoveredRaw!AT:AT)</f>
        <v>5</v>
      </c>
      <c r="AR38">
        <f>SUMIF(RecoveredRaw!$B:$B,$A38,RecoveredRaw!AU:AU)</f>
        <v>5</v>
      </c>
      <c r="AS38">
        <f>SUMIF(RecoveredRaw!$B:$B,$A38,RecoveredRaw!AV:AV)</f>
        <v>5</v>
      </c>
      <c r="AT38">
        <f>SUMIF(RecoveredRaw!$B:$B,$A38,RecoveredRaw!AW:AW)</f>
        <v>5</v>
      </c>
      <c r="AU38">
        <f>SUMIF(RecoveredRaw!$B:$B,$A38,RecoveredRaw!AX:AX)</f>
        <v>7</v>
      </c>
      <c r="AV38">
        <f>SUMIF(RecoveredRaw!$B:$B,$A38,RecoveredRaw!AY:AY)</f>
        <v>7</v>
      </c>
      <c r="AW38">
        <f>SUMIF(RecoveredRaw!$B:$B,$A38,RecoveredRaw!AZ:AZ)</f>
        <v>7</v>
      </c>
      <c r="AX38">
        <f>SUMIF(RecoveredRaw!$B:$B,$A38,RecoveredRaw!BA:BA)</f>
        <v>12</v>
      </c>
      <c r="AY38">
        <f>SUMIF(RecoveredRaw!$B:$B,$A38,RecoveredRaw!BB:BB)</f>
        <v>17</v>
      </c>
      <c r="AZ38">
        <f>SUMIF(RecoveredRaw!$B:$B,$A38,RecoveredRaw!BC:BC)</f>
        <v>17</v>
      </c>
      <c r="BA38">
        <f>SUMIF(RecoveredRaw!$B:$B,$A38,RecoveredRaw!BD:BD)</f>
        <v>17</v>
      </c>
      <c r="BB38">
        <f>SUMIF(RecoveredRaw!$B:$B,$A38,RecoveredRaw!BE:BE)</f>
        <v>17</v>
      </c>
      <c r="BC38">
        <f>SUMIF(RecoveredRaw!$B:$B,$A38,RecoveredRaw!BF:BF)</f>
        <v>23</v>
      </c>
      <c r="BD38">
        <f>SUMIF(RecoveredRaw!$B:$B,$A38,RecoveredRaw!BG:BG)</f>
        <v>23</v>
      </c>
      <c r="BE38">
        <f>SUMIF(RecoveredRaw!$B:$B,$A38,RecoveredRaw!BH:BH)</f>
        <v>23</v>
      </c>
      <c r="BF38">
        <f>SUMIF(RecoveredRaw!$B:$B,$A38,RecoveredRaw!BI:BI)</f>
        <v>26</v>
      </c>
      <c r="BG38">
        <f>SUMIF(RecoveredRaw!$B:$B,$A38,RecoveredRaw!BJ:BJ)</f>
        <v>31</v>
      </c>
      <c r="BH38">
        <f>SUMIF(RecoveredRaw!$B:$B,$A38,RecoveredRaw!BK:BK)</f>
        <v>31</v>
      </c>
      <c r="BI38">
        <f>SUMIF(RecoveredRaw!$B:$B,$A38,RecoveredRaw!BL:BL)</f>
        <v>0</v>
      </c>
      <c r="BJ38">
        <f>SUMIF(RecoveredRaw!$B:$B,$A38,RecoveredRaw!BM:BM)</f>
        <v>0</v>
      </c>
      <c r="BK38">
        <f>SUMIF(RecoveredRaw!$B:$B,$A38,RecoveredRaw!BN:BN)</f>
        <v>0</v>
      </c>
      <c r="BL38">
        <f>SUMIF(RecoveredRaw!$B:$B,$A38,RecoveredRaw!BO:BO)</f>
        <v>0</v>
      </c>
      <c r="BM38">
        <f>SUMIF(RecoveredRaw!$B:$B,$A38,RecoveredRaw!BP:BP)</f>
        <v>0</v>
      </c>
      <c r="BN38">
        <f>SUMIF(RecoveredRaw!$B:$B,$A38,RecoveredRaw!BQ:BQ)</f>
        <v>0</v>
      </c>
      <c r="BO38">
        <f>SUMIF(RecoveredRaw!$B:$B,$A38,RecoveredRaw!BR:BR)</f>
        <v>0</v>
      </c>
      <c r="BP38">
        <f>SUMIF(RecoveredRaw!$B:$B,$A38,RecoveredRaw!BS:BS)</f>
        <v>0</v>
      </c>
      <c r="BQ38">
        <f>SUMIF(RecoveredRaw!$B:$B,$A38,RecoveredRaw!BT:BT)</f>
        <v>0</v>
      </c>
      <c r="BR38">
        <f>SUMIF(RecoveredRaw!$B:$B,$A38,RecoveredRaw!BU:BU)</f>
        <v>0</v>
      </c>
      <c r="BS38">
        <f>SUMIF(RecoveredRaw!$B:$B,$A38,RecoveredRaw!BV:BV)</f>
        <v>0</v>
      </c>
      <c r="BT38">
        <f>SUMIF(RecoveredRaw!$B:$B,$A38,RecoveredRaw!BW:BW)</f>
        <v>0</v>
      </c>
    </row>
    <row r="39" spans="1:72" ht="15" thickBot="1" x14ac:dyDescent="0.35">
      <c r="A39" s="4" t="s">
        <v>57</v>
      </c>
      <c r="B39">
        <f>SUMIF(RecoveredRaw!$B:$B,$A39,RecoveredRaw!E:E)</f>
        <v>0</v>
      </c>
      <c r="C39">
        <f>SUMIF(RecoveredRaw!$B:$B,$A39,RecoveredRaw!F:F)</f>
        <v>0</v>
      </c>
      <c r="D39">
        <f>SUMIF(RecoveredRaw!$B:$B,$A39,RecoveredRaw!G:G)</f>
        <v>0</v>
      </c>
      <c r="E39">
        <f>SUMIF(RecoveredRaw!$B:$B,$A39,RecoveredRaw!H:H)</f>
        <v>0</v>
      </c>
      <c r="F39">
        <f>SUMIF(RecoveredRaw!$B:$B,$A39,RecoveredRaw!I:I)</f>
        <v>0</v>
      </c>
      <c r="G39">
        <f>SUMIF(RecoveredRaw!$B:$B,$A39,RecoveredRaw!J:J)</f>
        <v>0</v>
      </c>
      <c r="H39">
        <f>SUMIF(RecoveredRaw!$B:$B,$A39,RecoveredRaw!K:K)</f>
        <v>0</v>
      </c>
      <c r="I39">
        <f>SUMIF(RecoveredRaw!$B:$B,$A39,RecoveredRaw!L:L)</f>
        <v>0</v>
      </c>
      <c r="J39">
        <f>SUMIF(RecoveredRaw!$B:$B,$A39,RecoveredRaw!M:M)</f>
        <v>0</v>
      </c>
      <c r="K39">
        <f>SUMIF(RecoveredRaw!$B:$B,$A39,RecoveredRaw!N:N)</f>
        <v>0</v>
      </c>
      <c r="L39">
        <f>SUMIF(RecoveredRaw!$B:$B,$A39,RecoveredRaw!O:O)</f>
        <v>0</v>
      </c>
      <c r="M39">
        <f>SUMIF(RecoveredRaw!$B:$B,$A39,RecoveredRaw!P:P)</f>
        <v>0</v>
      </c>
      <c r="N39">
        <f>SUMIF(RecoveredRaw!$B:$B,$A39,RecoveredRaw!Q:Q)</f>
        <v>0</v>
      </c>
      <c r="O39">
        <f>SUMIF(RecoveredRaw!$B:$B,$A39,RecoveredRaw!R:R)</f>
        <v>0</v>
      </c>
      <c r="P39">
        <f>SUMIF(RecoveredRaw!$B:$B,$A39,RecoveredRaw!S:S)</f>
        <v>0</v>
      </c>
      <c r="Q39">
        <f>SUMIF(RecoveredRaw!$B:$B,$A39,RecoveredRaw!T:T)</f>
        <v>0</v>
      </c>
      <c r="R39">
        <f>SUMIF(RecoveredRaw!$B:$B,$A39,RecoveredRaw!U:U)</f>
        <v>0</v>
      </c>
      <c r="S39">
        <f>SUMIF(RecoveredRaw!$B:$B,$A39,RecoveredRaw!V:V)</f>
        <v>0</v>
      </c>
      <c r="T39">
        <f>SUMIF(RecoveredRaw!$B:$B,$A39,RecoveredRaw!W:W)</f>
        <v>0</v>
      </c>
      <c r="U39">
        <f>SUMIF(RecoveredRaw!$B:$B,$A39,RecoveredRaw!X:X)</f>
        <v>0</v>
      </c>
      <c r="V39">
        <f>SUMIF(RecoveredRaw!$B:$B,$A39,RecoveredRaw!Y:Y)</f>
        <v>0</v>
      </c>
      <c r="W39">
        <f>SUMIF(RecoveredRaw!$B:$B,$A39,RecoveredRaw!Z:Z)</f>
        <v>0</v>
      </c>
      <c r="X39">
        <f>SUMIF(RecoveredRaw!$B:$B,$A39,RecoveredRaw!AA:AA)</f>
        <v>0</v>
      </c>
      <c r="Y39">
        <f>SUMIF(RecoveredRaw!$B:$B,$A39,RecoveredRaw!AB:AB)</f>
        <v>0</v>
      </c>
      <c r="Z39">
        <f>SUMIF(RecoveredRaw!$B:$B,$A39,RecoveredRaw!AC:AC)</f>
        <v>0</v>
      </c>
      <c r="AA39">
        <f>SUMIF(RecoveredRaw!$B:$B,$A39,RecoveredRaw!AD:AD)</f>
        <v>3</v>
      </c>
      <c r="AB39">
        <f>SUMIF(RecoveredRaw!$B:$B,$A39,RecoveredRaw!AE:AE)</f>
        <v>3</v>
      </c>
      <c r="AC39">
        <f>SUMIF(RecoveredRaw!$B:$B,$A39,RecoveredRaw!AF:AF)</f>
        <v>3</v>
      </c>
      <c r="AD39">
        <f>SUMIF(RecoveredRaw!$B:$B,$A39,RecoveredRaw!AG:AG)</f>
        <v>3</v>
      </c>
      <c r="AE39">
        <f>SUMIF(RecoveredRaw!$B:$B,$A39,RecoveredRaw!AH:AH)</f>
        <v>3</v>
      </c>
      <c r="AF39">
        <f>SUMIF(RecoveredRaw!$B:$B,$A39,RecoveredRaw!AI:AI)</f>
        <v>3</v>
      </c>
      <c r="AG39">
        <f>SUMIF(RecoveredRaw!$B:$B,$A39,RecoveredRaw!AJ:AJ)</f>
        <v>3</v>
      </c>
      <c r="AH39">
        <f>SUMIF(RecoveredRaw!$B:$B,$A39,RecoveredRaw!AK:AK)</f>
        <v>3</v>
      </c>
      <c r="AI39">
        <f>SUMIF(RecoveredRaw!$B:$B,$A39,RecoveredRaw!AL:AL)</f>
        <v>3</v>
      </c>
      <c r="AJ39">
        <f>SUMIF(RecoveredRaw!$B:$B,$A39,RecoveredRaw!AM:AM)</f>
        <v>3</v>
      </c>
      <c r="AK39">
        <f>SUMIF(RecoveredRaw!$B:$B,$A39,RecoveredRaw!AN:AN)</f>
        <v>3</v>
      </c>
      <c r="AL39">
        <f>SUMIF(RecoveredRaw!$B:$B,$A39,RecoveredRaw!AO:AO)</f>
        <v>3</v>
      </c>
      <c r="AM39">
        <f>SUMIF(RecoveredRaw!$B:$B,$A39,RecoveredRaw!AP:AP)</f>
        <v>3</v>
      </c>
      <c r="AN39">
        <f>SUMIF(RecoveredRaw!$B:$B,$A39,RecoveredRaw!AQ:AQ)</f>
        <v>3</v>
      </c>
      <c r="AO39">
        <f>SUMIF(RecoveredRaw!$B:$B,$A39,RecoveredRaw!AR:AR)</f>
        <v>3</v>
      </c>
      <c r="AP39">
        <f>SUMIF(RecoveredRaw!$B:$B,$A39,RecoveredRaw!AS:AS)</f>
        <v>3</v>
      </c>
      <c r="AQ39">
        <f>SUMIF(RecoveredRaw!$B:$B,$A39,RecoveredRaw!AT:AT)</f>
        <v>3</v>
      </c>
      <c r="AR39">
        <f>SUMIF(RecoveredRaw!$B:$B,$A39,RecoveredRaw!AU:AU)</f>
        <v>3</v>
      </c>
      <c r="AS39">
        <f>SUMIF(RecoveredRaw!$B:$B,$A39,RecoveredRaw!AV:AV)</f>
        <v>3</v>
      </c>
      <c r="AT39">
        <f>SUMIF(RecoveredRaw!$B:$B,$A39,RecoveredRaw!AW:AW)</f>
        <v>3</v>
      </c>
      <c r="AU39">
        <f>SUMIF(RecoveredRaw!$B:$B,$A39,RecoveredRaw!AX:AX)</f>
        <v>3</v>
      </c>
      <c r="AV39">
        <f>SUMIF(RecoveredRaw!$B:$B,$A39,RecoveredRaw!AY:AY)</f>
        <v>3</v>
      </c>
      <c r="AW39">
        <f>SUMIF(RecoveredRaw!$B:$B,$A39,RecoveredRaw!AZ:AZ)</f>
        <v>3</v>
      </c>
      <c r="AX39">
        <f>SUMIF(RecoveredRaw!$B:$B,$A39,RecoveredRaw!BA:BA)</f>
        <v>4</v>
      </c>
      <c r="AY39">
        <f>SUMIF(RecoveredRaw!$B:$B,$A39,RecoveredRaw!BB:BB)</f>
        <v>4</v>
      </c>
      <c r="AZ39">
        <f>SUMIF(RecoveredRaw!$B:$B,$A39,RecoveredRaw!BC:BC)</f>
        <v>4</v>
      </c>
      <c r="BA39">
        <f>SUMIF(RecoveredRaw!$B:$B,$A39,RecoveredRaw!BD:BD)</f>
        <v>4</v>
      </c>
      <c r="BB39">
        <f>SUMIF(RecoveredRaw!$B:$B,$A39,RecoveredRaw!BE:BE)</f>
        <v>4</v>
      </c>
      <c r="BC39">
        <f>SUMIF(RecoveredRaw!$B:$B,$A39,RecoveredRaw!BF:BF)</f>
        <v>13</v>
      </c>
      <c r="BD39">
        <f>SUMIF(RecoveredRaw!$B:$B,$A39,RecoveredRaw!BG:BG)</f>
        <v>13</v>
      </c>
      <c r="BE39">
        <f>SUMIF(RecoveredRaw!$B:$B,$A39,RecoveredRaw!BH:BH)</f>
        <v>14</v>
      </c>
      <c r="BF39">
        <f>SUMIF(RecoveredRaw!$B:$B,$A39,RecoveredRaw!BI:BI)</f>
        <v>14</v>
      </c>
      <c r="BG39">
        <f>SUMIF(RecoveredRaw!$B:$B,$A39,RecoveredRaw!BJ:BJ)</f>
        <v>15</v>
      </c>
      <c r="BH39">
        <f>SUMIF(RecoveredRaw!$B:$B,$A39,RecoveredRaw!BK:BK)</f>
        <v>20</v>
      </c>
      <c r="BI39">
        <f>SUMIF(RecoveredRaw!$B:$B,$A39,RecoveredRaw!BL:BL)</f>
        <v>0</v>
      </c>
      <c r="BJ39">
        <f>SUMIF(RecoveredRaw!$B:$B,$A39,RecoveredRaw!BM:BM)</f>
        <v>0</v>
      </c>
      <c r="BK39">
        <f>SUMIF(RecoveredRaw!$B:$B,$A39,RecoveredRaw!BN:BN)</f>
        <v>0</v>
      </c>
      <c r="BL39">
        <f>SUMIF(RecoveredRaw!$B:$B,$A39,RecoveredRaw!BO:BO)</f>
        <v>0</v>
      </c>
      <c r="BM39">
        <f>SUMIF(RecoveredRaw!$B:$B,$A39,RecoveredRaw!BP:BP)</f>
        <v>0</v>
      </c>
      <c r="BN39">
        <f>SUMIF(RecoveredRaw!$B:$B,$A39,RecoveredRaw!BQ:BQ)</f>
        <v>0</v>
      </c>
      <c r="BO39">
        <f>SUMIF(RecoveredRaw!$B:$B,$A39,RecoveredRaw!BR:BR)</f>
        <v>0</v>
      </c>
      <c r="BP39">
        <f>SUMIF(RecoveredRaw!$B:$B,$A39,RecoveredRaw!BS:BS)</f>
        <v>0</v>
      </c>
      <c r="BQ39">
        <f>SUMIF(RecoveredRaw!$B:$B,$A39,RecoveredRaw!BT:BT)</f>
        <v>0</v>
      </c>
      <c r="BR39">
        <f>SUMIF(RecoveredRaw!$B:$B,$A39,RecoveredRaw!BU:BU)</f>
        <v>0</v>
      </c>
      <c r="BS39">
        <f>SUMIF(RecoveredRaw!$B:$B,$A39,RecoveredRaw!BV:BV)</f>
        <v>0</v>
      </c>
      <c r="BT39">
        <f>SUMIF(RecoveredRaw!$B:$B,$A39,RecoveredRaw!BW:BW)</f>
        <v>0</v>
      </c>
    </row>
    <row r="40" spans="1:72" ht="15" thickBot="1" x14ac:dyDescent="0.35">
      <c r="A40" s="4" t="s">
        <v>65</v>
      </c>
      <c r="B40">
        <f>SUMIF(RecoveredRaw!$B:$B,$A40,RecoveredRaw!E:E)</f>
        <v>0</v>
      </c>
      <c r="C40">
        <f>SUMIF(RecoveredRaw!$B:$B,$A40,RecoveredRaw!F:F)</f>
        <v>0</v>
      </c>
      <c r="D40">
        <f>SUMIF(RecoveredRaw!$B:$B,$A40,RecoveredRaw!G:G)</f>
        <v>0</v>
      </c>
      <c r="E40">
        <f>SUMIF(RecoveredRaw!$B:$B,$A40,RecoveredRaw!H:H)</f>
        <v>0</v>
      </c>
      <c r="F40">
        <f>SUMIF(RecoveredRaw!$B:$B,$A40,RecoveredRaw!I:I)</f>
        <v>0</v>
      </c>
      <c r="G40">
        <f>SUMIF(RecoveredRaw!$B:$B,$A40,RecoveredRaw!J:J)</f>
        <v>0</v>
      </c>
      <c r="H40">
        <f>SUMIF(RecoveredRaw!$B:$B,$A40,RecoveredRaw!K:K)</f>
        <v>0</v>
      </c>
      <c r="I40">
        <f>SUMIF(RecoveredRaw!$B:$B,$A40,RecoveredRaw!L:L)</f>
        <v>0</v>
      </c>
      <c r="J40">
        <f>SUMIF(RecoveredRaw!$B:$B,$A40,RecoveredRaw!M:M)</f>
        <v>0</v>
      </c>
      <c r="K40">
        <f>SUMIF(RecoveredRaw!$B:$B,$A40,RecoveredRaw!N:N)</f>
        <v>0</v>
      </c>
      <c r="L40">
        <f>SUMIF(RecoveredRaw!$B:$B,$A40,RecoveredRaw!O:O)</f>
        <v>0</v>
      </c>
      <c r="M40">
        <f>SUMIF(RecoveredRaw!$B:$B,$A40,RecoveredRaw!P:P)</f>
        <v>0</v>
      </c>
      <c r="N40">
        <f>SUMIF(RecoveredRaw!$B:$B,$A40,RecoveredRaw!Q:Q)</f>
        <v>0</v>
      </c>
      <c r="O40">
        <f>SUMIF(RecoveredRaw!$B:$B,$A40,RecoveredRaw!R:R)</f>
        <v>0</v>
      </c>
      <c r="P40">
        <f>SUMIF(RecoveredRaw!$B:$B,$A40,RecoveredRaw!S:S)</f>
        <v>0</v>
      </c>
      <c r="Q40">
        <f>SUMIF(RecoveredRaw!$B:$B,$A40,RecoveredRaw!T:T)</f>
        <v>0</v>
      </c>
      <c r="R40">
        <f>SUMIF(RecoveredRaw!$B:$B,$A40,RecoveredRaw!U:U)</f>
        <v>0</v>
      </c>
      <c r="S40">
        <f>SUMIF(RecoveredRaw!$B:$B,$A40,RecoveredRaw!V:V)</f>
        <v>0</v>
      </c>
      <c r="T40">
        <f>SUMIF(RecoveredRaw!$B:$B,$A40,RecoveredRaw!W:W)</f>
        <v>0</v>
      </c>
      <c r="U40">
        <f>SUMIF(RecoveredRaw!$B:$B,$A40,RecoveredRaw!X:X)</f>
        <v>0</v>
      </c>
      <c r="V40">
        <f>SUMIF(RecoveredRaw!$B:$B,$A40,RecoveredRaw!Y:Y)</f>
        <v>0</v>
      </c>
      <c r="W40">
        <f>SUMIF(RecoveredRaw!$B:$B,$A40,RecoveredRaw!Z:Z)</f>
        <v>0</v>
      </c>
      <c r="X40">
        <f>SUMIF(RecoveredRaw!$B:$B,$A40,RecoveredRaw!AA:AA)</f>
        <v>0</v>
      </c>
      <c r="Y40">
        <f>SUMIF(RecoveredRaw!$B:$B,$A40,RecoveredRaw!AB:AB)</f>
        <v>0</v>
      </c>
      <c r="Z40">
        <f>SUMIF(RecoveredRaw!$B:$B,$A40,RecoveredRaw!AC:AC)</f>
        <v>0</v>
      </c>
      <c r="AA40">
        <f>SUMIF(RecoveredRaw!$B:$B,$A40,RecoveredRaw!AD:AD)</f>
        <v>0</v>
      </c>
      <c r="AB40">
        <f>SUMIF(RecoveredRaw!$B:$B,$A40,RecoveredRaw!AE:AE)</f>
        <v>0</v>
      </c>
      <c r="AC40">
        <f>SUMIF(RecoveredRaw!$B:$B,$A40,RecoveredRaw!AF:AF)</f>
        <v>0</v>
      </c>
      <c r="AD40">
        <f>SUMIF(RecoveredRaw!$B:$B,$A40,RecoveredRaw!AG:AG)</f>
        <v>0</v>
      </c>
      <c r="AE40">
        <f>SUMIF(RecoveredRaw!$B:$B,$A40,RecoveredRaw!AH:AH)</f>
        <v>0</v>
      </c>
      <c r="AF40">
        <f>SUMIF(RecoveredRaw!$B:$B,$A40,RecoveredRaw!AI:AI)</f>
        <v>0</v>
      </c>
      <c r="AG40">
        <f>SUMIF(RecoveredRaw!$B:$B,$A40,RecoveredRaw!AJ:AJ)</f>
        <v>0</v>
      </c>
      <c r="AH40">
        <f>SUMIF(RecoveredRaw!$B:$B,$A40,RecoveredRaw!AK:AK)</f>
        <v>0</v>
      </c>
      <c r="AI40">
        <f>SUMIF(RecoveredRaw!$B:$B,$A40,RecoveredRaw!AL:AL)</f>
        <v>0</v>
      </c>
      <c r="AJ40">
        <f>SUMIF(RecoveredRaw!$B:$B,$A40,RecoveredRaw!AM:AM)</f>
        <v>0</v>
      </c>
      <c r="AK40">
        <f>SUMIF(RecoveredRaw!$B:$B,$A40,RecoveredRaw!AN:AN)</f>
        <v>0</v>
      </c>
      <c r="AL40">
        <f>SUMIF(RecoveredRaw!$B:$B,$A40,RecoveredRaw!AO:AO)</f>
        <v>0</v>
      </c>
      <c r="AM40">
        <f>SUMIF(RecoveredRaw!$B:$B,$A40,RecoveredRaw!AP:AP)</f>
        <v>1</v>
      </c>
      <c r="AN40">
        <f>SUMIF(RecoveredRaw!$B:$B,$A40,RecoveredRaw!AQ:AQ)</f>
        <v>1</v>
      </c>
      <c r="AO40">
        <f>SUMIF(RecoveredRaw!$B:$B,$A40,RecoveredRaw!AR:AR)</f>
        <v>1</v>
      </c>
      <c r="AP40">
        <f>SUMIF(RecoveredRaw!$B:$B,$A40,RecoveredRaw!AS:AS)</f>
        <v>1</v>
      </c>
      <c r="AQ40">
        <f>SUMIF(RecoveredRaw!$B:$B,$A40,RecoveredRaw!AT:AT)</f>
        <v>1</v>
      </c>
      <c r="AR40">
        <f>SUMIF(RecoveredRaw!$B:$B,$A40,RecoveredRaw!AU:AU)</f>
        <v>1</v>
      </c>
      <c r="AS40">
        <f>SUMIF(RecoveredRaw!$B:$B,$A40,RecoveredRaw!AV:AV)</f>
        <v>1</v>
      </c>
      <c r="AT40">
        <f>SUMIF(RecoveredRaw!$B:$B,$A40,RecoveredRaw!AW:AW)</f>
        <v>1</v>
      </c>
      <c r="AU40">
        <f>SUMIF(RecoveredRaw!$B:$B,$A40,RecoveredRaw!AX:AX)</f>
        <v>1</v>
      </c>
      <c r="AV40">
        <f>SUMIF(RecoveredRaw!$B:$B,$A40,RecoveredRaw!AY:AY)</f>
        <v>1</v>
      </c>
      <c r="AW40">
        <f>SUMIF(RecoveredRaw!$B:$B,$A40,RecoveredRaw!AZ:AZ)</f>
        <v>1</v>
      </c>
      <c r="AX40">
        <f>SUMIF(RecoveredRaw!$B:$B,$A40,RecoveredRaw!BA:BA)</f>
        <v>1</v>
      </c>
      <c r="AY40">
        <f>SUMIF(RecoveredRaw!$B:$B,$A40,RecoveredRaw!BB:BB)</f>
        <v>27</v>
      </c>
      <c r="AZ40">
        <f>SUMIF(RecoveredRaw!$B:$B,$A40,RecoveredRaw!BC:BC)</f>
        <v>27</v>
      </c>
      <c r="BA40">
        <f>SUMIF(RecoveredRaw!$B:$B,$A40,RecoveredRaw!BD:BD)</f>
        <v>27</v>
      </c>
      <c r="BB40">
        <f>SUMIF(RecoveredRaw!$B:$B,$A40,RecoveredRaw!BE:BE)</f>
        <v>27</v>
      </c>
      <c r="BC40">
        <f>SUMIF(RecoveredRaw!$B:$B,$A40,RecoveredRaw!BF:BF)</f>
        <v>21</v>
      </c>
      <c r="BD40">
        <f>SUMIF(RecoveredRaw!$B:$B,$A40,RecoveredRaw!BG:BG)</f>
        <v>27</v>
      </c>
      <c r="BE40">
        <f>SUMIF(RecoveredRaw!$B:$B,$A40,RecoveredRaw!BH:BH)</f>
        <v>32</v>
      </c>
      <c r="BF40">
        <f>SUMIF(RecoveredRaw!$B:$B,$A40,RecoveredRaw!BI:BI)</f>
        <v>32</v>
      </c>
      <c r="BG40">
        <f>SUMIF(RecoveredRaw!$B:$B,$A40,RecoveredRaw!BJ:BJ)</f>
        <v>32</v>
      </c>
      <c r="BH40">
        <f>SUMIF(RecoveredRaw!$B:$B,$A40,RecoveredRaw!BK:BK)</f>
        <v>39</v>
      </c>
      <c r="BI40">
        <f>SUMIF(RecoveredRaw!$B:$B,$A40,RecoveredRaw!BL:BL)</f>
        <v>0</v>
      </c>
      <c r="BJ40">
        <f>SUMIF(RecoveredRaw!$B:$B,$A40,RecoveredRaw!BM:BM)</f>
        <v>0</v>
      </c>
      <c r="BK40">
        <f>SUMIF(RecoveredRaw!$B:$B,$A40,RecoveredRaw!BN:BN)</f>
        <v>0</v>
      </c>
      <c r="BL40">
        <f>SUMIF(RecoveredRaw!$B:$B,$A40,RecoveredRaw!BO:BO)</f>
        <v>0</v>
      </c>
      <c r="BM40">
        <f>SUMIF(RecoveredRaw!$B:$B,$A40,RecoveredRaw!BP:BP)</f>
        <v>0</v>
      </c>
      <c r="BN40">
        <f>SUMIF(RecoveredRaw!$B:$B,$A40,RecoveredRaw!BQ:BQ)</f>
        <v>0</v>
      </c>
      <c r="BO40">
        <f>SUMIF(RecoveredRaw!$B:$B,$A40,RecoveredRaw!BR:BR)</f>
        <v>0</v>
      </c>
      <c r="BP40">
        <f>SUMIF(RecoveredRaw!$B:$B,$A40,RecoveredRaw!BS:BS)</f>
        <v>0</v>
      </c>
      <c r="BQ40">
        <f>SUMIF(RecoveredRaw!$B:$B,$A40,RecoveredRaw!BT:BT)</f>
        <v>0</v>
      </c>
      <c r="BR40">
        <f>SUMIF(RecoveredRaw!$B:$B,$A40,RecoveredRaw!BU:BU)</f>
        <v>0</v>
      </c>
      <c r="BS40">
        <f>SUMIF(RecoveredRaw!$B:$B,$A40,RecoveredRaw!BV:BV)</f>
        <v>0</v>
      </c>
      <c r="BT40">
        <f>SUMIF(RecoveredRaw!$B:$B,$A40,RecoveredRaw!BW:BW)</f>
        <v>0</v>
      </c>
    </row>
    <row r="41" spans="1:72" ht="15" thickBot="1" x14ac:dyDescent="0.35">
      <c r="A41" s="3" t="s">
        <v>74</v>
      </c>
      <c r="B41">
        <f>SUMIF(RecoveredRaw!$B:$B,$A41,RecoveredRaw!E:E)</f>
        <v>0</v>
      </c>
      <c r="C41">
        <f>SUMIF(RecoveredRaw!$B:$B,$A41,RecoveredRaw!F:F)</f>
        <v>0</v>
      </c>
      <c r="D41">
        <f>SUMIF(RecoveredRaw!$B:$B,$A41,RecoveredRaw!G:G)</f>
        <v>0</v>
      </c>
      <c r="E41">
        <f>SUMIF(RecoveredRaw!$B:$B,$A41,RecoveredRaw!H:H)</f>
        <v>0</v>
      </c>
      <c r="F41">
        <f>SUMIF(RecoveredRaw!$B:$B,$A41,RecoveredRaw!I:I)</f>
        <v>0</v>
      </c>
      <c r="G41">
        <f>SUMIF(RecoveredRaw!$B:$B,$A41,RecoveredRaw!J:J)</f>
        <v>0</v>
      </c>
      <c r="H41">
        <f>SUMIF(RecoveredRaw!$B:$B,$A41,RecoveredRaw!K:K)</f>
        <v>0</v>
      </c>
      <c r="I41">
        <f>SUMIF(RecoveredRaw!$B:$B,$A41,RecoveredRaw!L:L)</f>
        <v>0</v>
      </c>
      <c r="J41">
        <f>SUMIF(RecoveredRaw!$B:$B,$A41,RecoveredRaw!M:M)</f>
        <v>0</v>
      </c>
      <c r="K41">
        <f>SUMIF(RecoveredRaw!$B:$B,$A41,RecoveredRaw!N:N)</f>
        <v>0</v>
      </c>
      <c r="L41">
        <f>SUMIF(RecoveredRaw!$B:$B,$A41,RecoveredRaw!O:O)</f>
        <v>0</v>
      </c>
      <c r="M41">
        <f>SUMIF(RecoveredRaw!$B:$B,$A41,RecoveredRaw!P:P)</f>
        <v>0</v>
      </c>
      <c r="N41">
        <f>SUMIF(RecoveredRaw!$B:$B,$A41,RecoveredRaw!Q:Q)</f>
        <v>0</v>
      </c>
      <c r="O41">
        <f>SUMIF(RecoveredRaw!$B:$B,$A41,RecoveredRaw!R:R)</f>
        <v>0</v>
      </c>
      <c r="P41">
        <f>SUMIF(RecoveredRaw!$B:$B,$A41,RecoveredRaw!S:S)</f>
        <v>0</v>
      </c>
      <c r="Q41">
        <f>SUMIF(RecoveredRaw!$B:$B,$A41,RecoveredRaw!T:T)</f>
        <v>0</v>
      </c>
      <c r="R41">
        <f>SUMIF(RecoveredRaw!$B:$B,$A41,RecoveredRaw!U:U)</f>
        <v>0</v>
      </c>
      <c r="S41">
        <f>SUMIF(RecoveredRaw!$B:$B,$A41,RecoveredRaw!V:V)</f>
        <v>0</v>
      </c>
      <c r="T41">
        <f>SUMIF(RecoveredRaw!$B:$B,$A41,RecoveredRaw!W:W)</f>
        <v>0</v>
      </c>
      <c r="U41">
        <f>SUMIF(RecoveredRaw!$B:$B,$A41,RecoveredRaw!X:X)</f>
        <v>0</v>
      </c>
      <c r="V41">
        <f>SUMIF(RecoveredRaw!$B:$B,$A41,RecoveredRaw!Y:Y)</f>
        <v>0</v>
      </c>
      <c r="W41">
        <f>SUMIF(RecoveredRaw!$B:$B,$A41,RecoveredRaw!Z:Z)</f>
        <v>0</v>
      </c>
      <c r="X41">
        <f>SUMIF(RecoveredRaw!$B:$B,$A41,RecoveredRaw!AA:AA)</f>
        <v>0</v>
      </c>
      <c r="Y41">
        <f>SUMIF(RecoveredRaw!$B:$B,$A41,RecoveredRaw!AB:AB)</f>
        <v>0</v>
      </c>
      <c r="Z41">
        <f>SUMIF(RecoveredRaw!$B:$B,$A41,RecoveredRaw!AC:AC)</f>
        <v>0</v>
      </c>
      <c r="AA41">
        <f>SUMIF(RecoveredRaw!$B:$B,$A41,RecoveredRaw!AD:AD)</f>
        <v>0</v>
      </c>
      <c r="AB41">
        <f>SUMIF(RecoveredRaw!$B:$B,$A41,RecoveredRaw!AE:AE)</f>
        <v>0</v>
      </c>
      <c r="AC41">
        <f>SUMIF(RecoveredRaw!$B:$B,$A41,RecoveredRaw!AF:AF)</f>
        <v>0</v>
      </c>
      <c r="AD41">
        <f>SUMIF(RecoveredRaw!$B:$B,$A41,RecoveredRaw!AG:AG)</f>
        <v>0</v>
      </c>
      <c r="AE41">
        <f>SUMIF(RecoveredRaw!$B:$B,$A41,RecoveredRaw!AH:AH)</f>
        <v>0</v>
      </c>
      <c r="AF41">
        <f>SUMIF(RecoveredRaw!$B:$B,$A41,RecoveredRaw!AI:AI)</f>
        <v>0</v>
      </c>
      <c r="AG41">
        <f>SUMIF(RecoveredRaw!$B:$B,$A41,RecoveredRaw!AJ:AJ)</f>
        <v>0</v>
      </c>
      <c r="AH41">
        <f>SUMIF(RecoveredRaw!$B:$B,$A41,RecoveredRaw!AK:AK)</f>
        <v>0</v>
      </c>
      <c r="AI41">
        <f>SUMIF(RecoveredRaw!$B:$B,$A41,RecoveredRaw!AL:AL)</f>
        <v>0</v>
      </c>
      <c r="AJ41">
        <f>SUMIF(RecoveredRaw!$B:$B,$A41,RecoveredRaw!AM:AM)</f>
        <v>0</v>
      </c>
      <c r="AK41">
        <f>SUMIF(RecoveredRaw!$B:$B,$A41,RecoveredRaw!AN:AN)</f>
        <v>0</v>
      </c>
      <c r="AL41">
        <f>SUMIF(RecoveredRaw!$B:$B,$A41,RecoveredRaw!AO:AO)</f>
        <v>0</v>
      </c>
      <c r="AM41">
        <f>SUMIF(RecoveredRaw!$B:$B,$A41,RecoveredRaw!AP:AP)</f>
        <v>0</v>
      </c>
      <c r="AN41">
        <f>SUMIF(RecoveredRaw!$B:$B,$A41,RecoveredRaw!AQ:AQ)</f>
        <v>0</v>
      </c>
      <c r="AO41">
        <f>SUMIF(RecoveredRaw!$B:$B,$A41,RecoveredRaw!AR:AR)</f>
        <v>0</v>
      </c>
      <c r="AP41">
        <f>SUMIF(RecoveredRaw!$B:$B,$A41,RecoveredRaw!AS:AS)</f>
        <v>0</v>
      </c>
      <c r="AQ41">
        <f>SUMIF(RecoveredRaw!$B:$B,$A41,RecoveredRaw!AT:AT)</f>
        <v>0</v>
      </c>
      <c r="AR41">
        <f>SUMIF(RecoveredRaw!$B:$B,$A41,RecoveredRaw!AU:AU)</f>
        <v>0</v>
      </c>
      <c r="AS41">
        <f>SUMIF(RecoveredRaw!$B:$B,$A41,RecoveredRaw!AV:AV)</f>
        <v>0</v>
      </c>
      <c r="AT41">
        <f>SUMIF(RecoveredRaw!$B:$B,$A41,RecoveredRaw!AW:AW)</f>
        <v>0</v>
      </c>
      <c r="AU41">
        <f>SUMIF(RecoveredRaw!$B:$B,$A41,RecoveredRaw!AX:AX)</f>
        <v>0</v>
      </c>
      <c r="AV41">
        <f>SUMIF(RecoveredRaw!$B:$B,$A41,RecoveredRaw!AY:AY)</f>
        <v>1</v>
      </c>
      <c r="AW41">
        <f>SUMIF(RecoveredRaw!$B:$B,$A41,RecoveredRaw!AZ:AZ)</f>
        <v>1</v>
      </c>
      <c r="AX41">
        <f>SUMIF(RecoveredRaw!$B:$B,$A41,RecoveredRaw!BA:BA)</f>
        <v>1</v>
      </c>
      <c r="AY41">
        <f>SUMIF(RecoveredRaw!$B:$B,$A41,RecoveredRaw!BB:BB)</f>
        <v>2</v>
      </c>
      <c r="AZ41">
        <f>SUMIF(RecoveredRaw!$B:$B,$A41,RecoveredRaw!BC:BC)</f>
        <v>5</v>
      </c>
      <c r="BA41">
        <f>SUMIF(RecoveredRaw!$B:$B,$A41,RecoveredRaw!BD:BD)</f>
        <v>5</v>
      </c>
      <c r="BB41">
        <f>SUMIF(RecoveredRaw!$B:$B,$A41,RecoveredRaw!BE:BE)</f>
        <v>5</v>
      </c>
      <c r="BC41">
        <f>SUMIF(RecoveredRaw!$B:$B,$A41,RecoveredRaw!BF:BF)</f>
        <v>5</v>
      </c>
      <c r="BD41">
        <f>SUMIF(RecoveredRaw!$B:$B,$A41,RecoveredRaw!BG:BG)</f>
        <v>9</v>
      </c>
      <c r="BE41">
        <f>SUMIF(RecoveredRaw!$B:$B,$A41,RecoveredRaw!BH:BH)</f>
        <v>9</v>
      </c>
      <c r="BF41">
        <f>SUMIF(RecoveredRaw!$B:$B,$A41,RecoveredRaw!BI:BI)</f>
        <v>15</v>
      </c>
      <c r="BG41">
        <f>SUMIF(RecoveredRaw!$B:$B,$A41,RecoveredRaw!BJ:BJ)</f>
        <v>18</v>
      </c>
      <c r="BH41">
        <f>SUMIF(RecoveredRaw!$B:$B,$A41,RecoveredRaw!BK:BK)</f>
        <v>18</v>
      </c>
      <c r="BI41">
        <f>SUMIF(RecoveredRaw!$B:$B,$A41,RecoveredRaw!BL:BL)</f>
        <v>0</v>
      </c>
      <c r="BJ41">
        <f>SUMIF(RecoveredRaw!$B:$B,$A41,RecoveredRaw!BM:BM)</f>
        <v>0</v>
      </c>
      <c r="BK41">
        <f>SUMIF(RecoveredRaw!$B:$B,$A41,RecoveredRaw!BN:BN)</f>
        <v>0</v>
      </c>
      <c r="BL41">
        <f>SUMIF(RecoveredRaw!$B:$B,$A41,RecoveredRaw!BO:BO)</f>
        <v>0</v>
      </c>
      <c r="BM41">
        <f>SUMIF(RecoveredRaw!$B:$B,$A41,RecoveredRaw!BP:BP)</f>
        <v>0</v>
      </c>
      <c r="BN41">
        <f>SUMIF(RecoveredRaw!$B:$B,$A41,RecoveredRaw!BQ:BQ)</f>
        <v>0</v>
      </c>
      <c r="BO41">
        <f>SUMIF(RecoveredRaw!$B:$B,$A41,RecoveredRaw!BR:BR)</f>
        <v>0</v>
      </c>
      <c r="BP41">
        <f>SUMIF(RecoveredRaw!$B:$B,$A41,RecoveredRaw!BS:BS)</f>
        <v>0</v>
      </c>
      <c r="BQ41">
        <f>SUMIF(RecoveredRaw!$B:$B,$A41,RecoveredRaw!BT:BT)</f>
        <v>0</v>
      </c>
      <c r="BR41">
        <f>SUMIF(RecoveredRaw!$B:$B,$A41,RecoveredRaw!BU:BU)</f>
        <v>0</v>
      </c>
      <c r="BS41">
        <f>SUMIF(RecoveredRaw!$B:$B,$A41,RecoveredRaw!BV:BV)</f>
        <v>0</v>
      </c>
      <c r="BT41">
        <f>SUMIF(RecoveredRaw!$B:$B,$A41,RecoveredRaw!BW:BW)</f>
        <v>0</v>
      </c>
    </row>
    <row r="42" spans="1:72" ht="15" thickBot="1" x14ac:dyDescent="0.35">
      <c r="A42" s="4" t="s">
        <v>90</v>
      </c>
      <c r="B42">
        <f>SUMIF(RecoveredRaw!$B:$B,$A42,RecoveredRaw!E:E)</f>
        <v>0</v>
      </c>
      <c r="C42">
        <f>SUMIF(RecoveredRaw!$B:$B,$A42,RecoveredRaw!F:F)</f>
        <v>0</v>
      </c>
      <c r="D42">
        <f>SUMIF(RecoveredRaw!$B:$B,$A42,RecoveredRaw!G:G)</f>
        <v>0</v>
      </c>
      <c r="E42">
        <f>SUMIF(RecoveredRaw!$B:$B,$A42,RecoveredRaw!H:H)</f>
        <v>0</v>
      </c>
      <c r="F42">
        <f>SUMIF(RecoveredRaw!$B:$B,$A42,RecoveredRaw!I:I)</f>
        <v>0</v>
      </c>
      <c r="G42">
        <f>SUMIF(RecoveredRaw!$B:$B,$A42,RecoveredRaw!J:J)</f>
        <v>0</v>
      </c>
      <c r="H42">
        <f>SUMIF(RecoveredRaw!$B:$B,$A42,RecoveredRaw!K:K)</f>
        <v>0</v>
      </c>
      <c r="I42">
        <f>SUMIF(RecoveredRaw!$B:$B,$A42,RecoveredRaw!L:L)</f>
        <v>0</v>
      </c>
      <c r="J42">
        <f>SUMIF(RecoveredRaw!$B:$B,$A42,RecoveredRaw!M:M)</f>
        <v>0</v>
      </c>
      <c r="K42">
        <f>SUMIF(RecoveredRaw!$B:$B,$A42,RecoveredRaw!N:N)</f>
        <v>0</v>
      </c>
      <c r="L42">
        <f>SUMIF(RecoveredRaw!$B:$B,$A42,RecoveredRaw!O:O)</f>
        <v>0</v>
      </c>
      <c r="M42">
        <f>SUMIF(RecoveredRaw!$B:$B,$A42,RecoveredRaw!P:P)</f>
        <v>0</v>
      </c>
      <c r="N42">
        <f>SUMIF(RecoveredRaw!$B:$B,$A42,RecoveredRaw!Q:Q)</f>
        <v>0</v>
      </c>
      <c r="O42">
        <f>SUMIF(RecoveredRaw!$B:$B,$A42,RecoveredRaw!R:R)</f>
        <v>0</v>
      </c>
      <c r="P42">
        <f>SUMIF(RecoveredRaw!$B:$B,$A42,RecoveredRaw!S:S)</f>
        <v>0</v>
      </c>
      <c r="Q42">
        <f>SUMIF(RecoveredRaw!$B:$B,$A42,RecoveredRaw!T:T)</f>
        <v>0</v>
      </c>
      <c r="R42">
        <f>SUMIF(RecoveredRaw!$B:$B,$A42,RecoveredRaw!U:U)</f>
        <v>0</v>
      </c>
      <c r="S42">
        <f>SUMIF(RecoveredRaw!$B:$B,$A42,RecoveredRaw!V:V)</f>
        <v>0</v>
      </c>
      <c r="T42">
        <f>SUMIF(RecoveredRaw!$B:$B,$A42,RecoveredRaw!W:W)</f>
        <v>0</v>
      </c>
      <c r="U42">
        <f>SUMIF(RecoveredRaw!$B:$B,$A42,RecoveredRaw!X:X)</f>
        <v>0</v>
      </c>
      <c r="V42">
        <f>SUMIF(RecoveredRaw!$B:$B,$A42,RecoveredRaw!Y:Y)</f>
        <v>0</v>
      </c>
      <c r="W42">
        <f>SUMIF(RecoveredRaw!$B:$B,$A42,RecoveredRaw!Z:Z)</f>
        <v>0</v>
      </c>
      <c r="X42">
        <f>SUMIF(RecoveredRaw!$B:$B,$A42,RecoveredRaw!AA:AA)</f>
        <v>0</v>
      </c>
      <c r="Y42">
        <f>SUMIF(RecoveredRaw!$B:$B,$A42,RecoveredRaw!AB:AB)</f>
        <v>0</v>
      </c>
      <c r="Z42">
        <f>SUMIF(RecoveredRaw!$B:$B,$A42,RecoveredRaw!AC:AC)</f>
        <v>0</v>
      </c>
      <c r="AA42">
        <f>SUMIF(RecoveredRaw!$B:$B,$A42,RecoveredRaw!AD:AD)</f>
        <v>0</v>
      </c>
      <c r="AB42">
        <f>SUMIF(RecoveredRaw!$B:$B,$A42,RecoveredRaw!AE:AE)</f>
        <v>0</v>
      </c>
      <c r="AC42">
        <f>SUMIF(RecoveredRaw!$B:$B,$A42,RecoveredRaw!AF:AF)</f>
        <v>0</v>
      </c>
      <c r="AD42">
        <f>SUMIF(RecoveredRaw!$B:$B,$A42,RecoveredRaw!AG:AG)</f>
        <v>0</v>
      </c>
      <c r="AE42">
        <f>SUMIF(RecoveredRaw!$B:$B,$A42,RecoveredRaw!AH:AH)</f>
        <v>0</v>
      </c>
      <c r="AF42">
        <f>SUMIF(RecoveredRaw!$B:$B,$A42,RecoveredRaw!AI:AI)</f>
        <v>0</v>
      </c>
      <c r="AG42">
        <f>SUMIF(RecoveredRaw!$B:$B,$A42,RecoveredRaw!AJ:AJ)</f>
        <v>0</v>
      </c>
      <c r="AH42">
        <f>SUMIF(RecoveredRaw!$B:$B,$A42,RecoveredRaw!AK:AK)</f>
        <v>0</v>
      </c>
      <c r="AI42">
        <f>SUMIF(RecoveredRaw!$B:$B,$A42,RecoveredRaw!AL:AL)</f>
        <v>0</v>
      </c>
      <c r="AJ42">
        <f>SUMIF(RecoveredRaw!$B:$B,$A42,RecoveredRaw!AM:AM)</f>
        <v>0</v>
      </c>
      <c r="AK42">
        <f>SUMIF(RecoveredRaw!$B:$B,$A42,RecoveredRaw!AN:AN)</f>
        <v>0</v>
      </c>
      <c r="AL42">
        <f>SUMIF(RecoveredRaw!$B:$B,$A42,RecoveredRaw!AO:AO)</f>
        <v>0</v>
      </c>
      <c r="AM42">
        <f>SUMIF(RecoveredRaw!$B:$B,$A42,RecoveredRaw!AP:AP)</f>
        <v>0</v>
      </c>
      <c r="AN42">
        <f>SUMIF(RecoveredRaw!$B:$B,$A42,RecoveredRaw!AQ:AQ)</f>
        <v>0</v>
      </c>
      <c r="AO42">
        <f>SUMIF(RecoveredRaw!$B:$B,$A42,RecoveredRaw!AR:AR)</f>
        <v>0</v>
      </c>
      <c r="AP42">
        <f>SUMIF(RecoveredRaw!$B:$B,$A42,RecoveredRaw!AS:AS)</f>
        <v>0</v>
      </c>
      <c r="AQ42">
        <f>SUMIF(RecoveredRaw!$B:$B,$A42,RecoveredRaw!AT:AT)</f>
        <v>0</v>
      </c>
      <c r="AR42">
        <f>SUMIF(RecoveredRaw!$B:$B,$A42,RecoveredRaw!AU:AU)</f>
        <v>0</v>
      </c>
      <c r="AS42">
        <f>SUMIF(RecoveredRaw!$B:$B,$A42,RecoveredRaw!AV:AV)</f>
        <v>0</v>
      </c>
      <c r="AT42">
        <f>SUMIF(RecoveredRaw!$B:$B,$A42,RecoveredRaw!AW:AW)</f>
        <v>0</v>
      </c>
      <c r="AU42">
        <f>SUMIF(RecoveredRaw!$B:$B,$A42,RecoveredRaw!AX:AX)</f>
        <v>0</v>
      </c>
      <c r="AV42">
        <f>SUMIF(RecoveredRaw!$B:$B,$A42,RecoveredRaw!AY:AY)</f>
        <v>0</v>
      </c>
      <c r="AW42">
        <f>SUMIF(RecoveredRaw!$B:$B,$A42,RecoveredRaw!AZ:AZ)</f>
        <v>0</v>
      </c>
      <c r="AX42">
        <f>SUMIF(RecoveredRaw!$B:$B,$A42,RecoveredRaw!BA:BA)</f>
        <v>0</v>
      </c>
      <c r="AY42">
        <f>SUMIF(RecoveredRaw!$B:$B,$A42,RecoveredRaw!BB:BB)</f>
        <v>0</v>
      </c>
      <c r="AZ42">
        <f>SUMIF(RecoveredRaw!$B:$B,$A42,RecoveredRaw!BC:BC)</f>
        <v>0</v>
      </c>
      <c r="BA42">
        <f>SUMIF(RecoveredRaw!$B:$B,$A42,RecoveredRaw!BD:BD)</f>
        <v>0</v>
      </c>
      <c r="BB42">
        <f>SUMIF(RecoveredRaw!$B:$B,$A42,RecoveredRaw!BE:BE)</f>
        <v>4</v>
      </c>
      <c r="BC42">
        <f>SUMIF(RecoveredRaw!$B:$B,$A42,RecoveredRaw!BF:BF)</f>
        <v>4</v>
      </c>
      <c r="BD42">
        <f>SUMIF(RecoveredRaw!$B:$B,$A42,RecoveredRaw!BG:BG)</f>
        <v>4</v>
      </c>
      <c r="BE42">
        <f>SUMIF(RecoveredRaw!$B:$B,$A42,RecoveredRaw!BH:BH)</f>
        <v>4</v>
      </c>
      <c r="BF42">
        <f>SUMIF(RecoveredRaw!$B:$B,$A42,RecoveredRaw!BI:BI)</f>
        <v>4</v>
      </c>
      <c r="BG42">
        <f>SUMIF(RecoveredRaw!$B:$B,$A42,RecoveredRaw!BJ:BJ)</f>
        <v>4</v>
      </c>
      <c r="BH42">
        <f>SUMIF(RecoveredRaw!$B:$B,$A42,RecoveredRaw!BK:BK)</f>
        <v>4</v>
      </c>
      <c r="BI42">
        <f>SUMIF(RecoveredRaw!$B:$B,$A42,RecoveredRaw!BL:BL)</f>
        <v>0</v>
      </c>
      <c r="BJ42">
        <f>SUMIF(RecoveredRaw!$B:$B,$A42,RecoveredRaw!BM:BM)</f>
        <v>0</v>
      </c>
      <c r="BK42">
        <f>SUMIF(RecoveredRaw!$B:$B,$A42,RecoveredRaw!BN:BN)</f>
        <v>0</v>
      </c>
      <c r="BL42">
        <f>SUMIF(RecoveredRaw!$B:$B,$A42,RecoveredRaw!BO:BO)</f>
        <v>0</v>
      </c>
      <c r="BM42">
        <f>SUMIF(RecoveredRaw!$B:$B,$A42,RecoveredRaw!BP:BP)</f>
        <v>0</v>
      </c>
      <c r="BN42">
        <f>SUMIF(RecoveredRaw!$B:$B,$A42,RecoveredRaw!BQ:BQ)</f>
        <v>0</v>
      </c>
      <c r="BO42">
        <f>SUMIF(RecoveredRaw!$B:$B,$A42,RecoveredRaw!BR:BR)</f>
        <v>0</v>
      </c>
      <c r="BP42">
        <f>SUMIF(RecoveredRaw!$B:$B,$A42,RecoveredRaw!BS:BS)</f>
        <v>0</v>
      </c>
      <c r="BQ42">
        <f>SUMIF(RecoveredRaw!$B:$B,$A42,RecoveredRaw!BT:BT)</f>
        <v>0</v>
      </c>
      <c r="BR42">
        <f>SUMIF(RecoveredRaw!$B:$B,$A42,RecoveredRaw!BU:BU)</f>
        <v>0</v>
      </c>
      <c r="BS42">
        <f>SUMIF(RecoveredRaw!$B:$B,$A42,RecoveredRaw!BV:BV)</f>
        <v>0</v>
      </c>
      <c r="BT42">
        <f>SUMIF(RecoveredRaw!$B:$B,$A42,RecoveredRaw!BW:BW)</f>
        <v>0</v>
      </c>
    </row>
    <row r="43" spans="1:72" ht="15" thickBot="1" x14ac:dyDescent="0.35">
      <c r="A43" s="4" t="s">
        <v>88</v>
      </c>
      <c r="B43">
        <f>SUMIF(RecoveredRaw!$B:$B,$A43,RecoveredRaw!E:E)</f>
        <v>0</v>
      </c>
      <c r="C43">
        <f>SUMIF(RecoveredRaw!$B:$B,$A43,RecoveredRaw!F:F)</f>
        <v>0</v>
      </c>
      <c r="D43">
        <f>SUMIF(RecoveredRaw!$B:$B,$A43,RecoveredRaw!G:G)</f>
        <v>0</v>
      </c>
      <c r="E43">
        <f>SUMIF(RecoveredRaw!$B:$B,$A43,RecoveredRaw!H:H)</f>
        <v>0</v>
      </c>
      <c r="F43">
        <f>SUMIF(RecoveredRaw!$B:$B,$A43,RecoveredRaw!I:I)</f>
        <v>0</v>
      </c>
      <c r="G43">
        <f>SUMIF(RecoveredRaw!$B:$B,$A43,RecoveredRaw!J:J)</f>
        <v>0</v>
      </c>
      <c r="H43">
        <f>SUMIF(RecoveredRaw!$B:$B,$A43,RecoveredRaw!K:K)</f>
        <v>0</v>
      </c>
      <c r="I43">
        <f>SUMIF(RecoveredRaw!$B:$B,$A43,RecoveredRaw!L:L)</f>
        <v>0</v>
      </c>
      <c r="J43">
        <f>SUMIF(RecoveredRaw!$B:$B,$A43,RecoveredRaw!M:M)</f>
        <v>0</v>
      </c>
      <c r="K43">
        <f>SUMIF(RecoveredRaw!$B:$B,$A43,RecoveredRaw!N:N)</f>
        <v>0</v>
      </c>
      <c r="L43">
        <f>SUMIF(RecoveredRaw!$B:$B,$A43,RecoveredRaw!O:O)</f>
        <v>0</v>
      </c>
      <c r="M43">
        <f>SUMIF(RecoveredRaw!$B:$B,$A43,RecoveredRaw!P:P)</f>
        <v>0</v>
      </c>
      <c r="N43">
        <f>SUMIF(RecoveredRaw!$B:$B,$A43,RecoveredRaw!Q:Q)</f>
        <v>0</v>
      </c>
      <c r="O43">
        <f>SUMIF(RecoveredRaw!$B:$B,$A43,RecoveredRaw!R:R)</f>
        <v>0</v>
      </c>
      <c r="P43">
        <f>SUMIF(RecoveredRaw!$B:$B,$A43,RecoveredRaw!S:S)</f>
        <v>0</v>
      </c>
      <c r="Q43">
        <f>SUMIF(RecoveredRaw!$B:$B,$A43,RecoveredRaw!T:T)</f>
        <v>0</v>
      </c>
      <c r="R43">
        <f>SUMIF(RecoveredRaw!$B:$B,$A43,RecoveredRaw!U:U)</f>
        <v>0</v>
      </c>
      <c r="S43">
        <f>SUMIF(RecoveredRaw!$B:$B,$A43,RecoveredRaw!V:V)</f>
        <v>0</v>
      </c>
      <c r="T43">
        <f>SUMIF(RecoveredRaw!$B:$B,$A43,RecoveredRaw!W:W)</f>
        <v>0</v>
      </c>
      <c r="U43">
        <f>SUMIF(RecoveredRaw!$B:$B,$A43,RecoveredRaw!X:X)</f>
        <v>0</v>
      </c>
      <c r="V43">
        <f>SUMIF(RecoveredRaw!$B:$B,$A43,RecoveredRaw!Y:Y)</f>
        <v>0</v>
      </c>
      <c r="W43">
        <f>SUMIF(RecoveredRaw!$B:$B,$A43,RecoveredRaw!Z:Z)</f>
        <v>0</v>
      </c>
      <c r="X43">
        <f>SUMIF(RecoveredRaw!$B:$B,$A43,RecoveredRaw!AA:AA)</f>
        <v>0</v>
      </c>
      <c r="Y43">
        <f>SUMIF(RecoveredRaw!$B:$B,$A43,RecoveredRaw!AB:AB)</f>
        <v>0</v>
      </c>
      <c r="Z43">
        <f>SUMIF(RecoveredRaw!$B:$B,$A43,RecoveredRaw!AC:AC)</f>
        <v>0</v>
      </c>
      <c r="AA43">
        <f>SUMIF(RecoveredRaw!$B:$B,$A43,RecoveredRaw!AD:AD)</f>
        <v>0</v>
      </c>
      <c r="AB43">
        <f>SUMIF(RecoveredRaw!$B:$B,$A43,RecoveredRaw!AE:AE)</f>
        <v>0</v>
      </c>
      <c r="AC43">
        <f>SUMIF(RecoveredRaw!$B:$B,$A43,RecoveredRaw!AF:AF)</f>
        <v>0</v>
      </c>
      <c r="AD43">
        <f>SUMIF(RecoveredRaw!$B:$B,$A43,RecoveredRaw!AG:AG)</f>
        <v>0</v>
      </c>
      <c r="AE43">
        <f>SUMIF(RecoveredRaw!$B:$B,$A43,RecoveredRaw!AH:AH)</f>
        <v>0</v>
      </c>
      <c r="AF43">
        <f>SUMIF(RecoveredRaw!$B:$B,$A43,RecoveredRaw!AI:AI)</f>
        <v>0</v>
      </c>
      <c r="AG43">
        <f>SUMIF(RecoveredRaw!$B:$B,$A43,RecoveredRaw!AJ:AJ)</f>
        <v>0</v>
      </c>
      <c r="AH43">
        <f>SUMIF(RecoveredRaw!$B:$B,$A43,RecoveredRaw!AK:AK)</f>
        <v>0</v>
      </c>
      <c r="AI43">
        <f>SUMIF(RecoveredRaw!$B:$B,$A43,RecoveredRaw!AL:AL)</f>
        <v>0</v>
      </c>
      <c r="AJ43">
        <f>SUMIF(RecoveredRaw!$B:$B,$A43,RecoveredRaw!AM:AM)</f>
        <v>0</v>
      </c>
      <c r="AK43">
        <f>SUMIF(RecoveredRaw!$B:$B,$A43,RecoveredRaw!AN:AN)</f>
        <v>0</v>
      </c>
      <c r="AL43">
        <f>SUMIF(RecoveredRaw!$B:$B,$A43,RecoveredRaw!AO:AO)</f>
        <v>0</v>
      </c>
      <c r="AM43">
        <f>SUMIF(RecoveredRaw!$B:$B,$A43,RecoveredRaw!AP:AP)</f>
        <v>0</v>
      </c>
      <c r="AN43">
        <f>SUMIF(RecoveredRaw!$B:$B,$A43,RecoveredRaw!AQ:AQ)</f>
        <v>0</v>
      </c>
      <c r="AO43">
        <f>SUMIF(RecoveredRaw!$B:$B,$A43,RecoveredRaw!AR:AR)</f>
        <v>0</v>
      </c>
      <c r="AP43">
        <f>SUMIF(RecoveredRaw!$B:$B,$A43,RecoveredRaw!AS:AS)</f>
        <v>0</v>
      </c>
      <c r="AQ43">
        <f>SUMIF(RecoveredRaw!$B:$B,$A43,RecoveredRaw!AT:AT)</f>
        <v>0</v>
      </c>
      <c r="AR43">
        <f>SUMIF(RecoveredRaw!$B:$B,$A43,RecoveredRaw!AU:AU)</f>
        <v>0</v>
      </c>
      <c r="AS43">
        <f>SUMIF(RecoveredRaw!$B:$B,$A43,RecoveredRaw!AV:AV)</f>
        <v>0</v>
      </c>
      <c r="AT43">
        <f>SUMIF(RecoveredRaw!$B:$B,$A43,RecoveredRaw!AW:AW)</f>
        <v>0</v>
      </c>
      <c r="AU43">
        <f>SUMIF(RecoveredRaw!$B:$B,$A43,RecoveredRaw!AX:AX)</f>
        <v>0</v>
      </c>
      <c r="AV43">
        <f>SUMIF(RecoveredRaw!$B:$B,$A43,RecoveredRaw!AY:AY)</f>
        <v>0</v>
      </c>
      <c r="AW43">
        <f>SUMIF(RecoveredRaw!$B:$B,$A43,RecoveredRaw!AZ:AZ)</f>
        <v>0</v>
      </c>
      <c r="AX43">
        <f>SUMIF(RecoveredRaw!$B:$B,$A43,RecoveredRaw!BA:BA)</f>
        <v>0</v>
      </c>
      <c r="AY43">
        <f>SUMIF(RecoveredRaw!$B:$B,$A43,RecoveredRaw!BB:BB)</f>
        <v>0</v>
      </c>
      <c r="AZ43">
        <f>SUMIF(RecoveredRaw!$B:$B,$A43,RecoveredRaw!BC:BC)</f>
        <v>0</v>
      </c>
      <c r="BA43">
        <f>SUMIF(RecoveredRaw!$B:$B,$A43,RecoveredRaw!BD:BD)</f>
        <v>0</v>
      </c>
      <c r="BB43">
        <f>SUMIF(RecoveredRaw!$B:$B,$A43,RecoveredRaw!BE:BE)</f>
        <v>0</v>
      </c>
      <c r="BC43">
        <f>SUMIF(RecoveredRaw!$B:$B,$A43,RecoveredRaw!BF:BF)</f>
        <v>1</v>
      </c>
      <c r="BD43">
        <f>SUMIF(RecoveredRaw!$B:$B,$A43,RecoveredRaw!BG:BG)</f>
        <v>1</v>
      </c>
      <c r="BE43">
        <f>SUMIF(RecoveredRaw!$B:$B,$A43,RecoveredRaw!BH:BH)</f>
        <v>1</v>
      </c>
      <c r="BF43">
        <f>SUMIF(RecoveredRaw!$B:$B,$A43,RecoveredRaw!BI:BI)</f>
        <v>1</v>
      </c>
      <c r="BG43">
        <f>SUMIF(RecoveredRaw!$B:$B,$A43,RecoveredRaw!BJ:BJ)</f>
        <v>1</v>
      </c>
      <c r="BH43">
        <f>SUMIF(RecoveredRaw!$B:$B,$A43,RecoveredRaw!BK:BK)</f>
        <v>1</v>
      </c>
      <c r="BI43">
        <f>SUMIF(RecoveredRaw!$B:$B,$A43,RecoveredRaw!BL:BL)</f>
        <v>0</v>
      </c>
      <c r="BJ43">
        <f>SUMIF(RecoveredRaw!$B:$B,$A43,RecoveredRaw!BM:BM)</f>
        <v>0</v>
      </c>
      <c r="BK43">
        <f>SUMIF(RecoveredRaw!$B:$B,$A43,RecoveredRaw!BN:BN)</f>
        <v>0</v>
      </c>
      <c r="BL43">
        <f>SUMIF(RecoveredRaw!$B:$B,$A43,RecoveredRaw!BO:BO)</f>
        <v>0</v>
      </c>
      <c r="BM43">
        <f>SUMIF(RecoveredRaw!$B:$B,$A43,RecoveredRaw!BP:BP)</f>
        <v>0</v>
      </c>
      <c r="BN43">
        <f>SUMIF(RecoveredRaw!$B:$B,$A43,RecoveredRaw!BQ:BQ)</f>
        <v>0</v>
      </c>
      <c r="BO43">
        <f>SUMIF(RecoveredRaw!$B:$B,$A43,RecoveredRaw!BR:BR)</f>
        <v>0</v>
      </c>
      <c r="BP43">
        <f>SUMIF(RecoveredRaw!$B:$B,$A43,RecoveredRaw!BS:BS)</f>
        <v>0</v>
      </c>
      <c r="BQ43">
        <f>SUMIF(RecoveredRaw!$B:$B,$A43,RecoveredRaw!BT:BT)</f>
        <v>0</v>
      </c>
      <c r="BR43">
        <f>SUMIF(RecoveredRaw!$B:$B,$A43,RecoveredRaw!BU:BU)</f>
        <v>0</v>
      </c>
      <c r="BS43">
        <f>SUMIF(RecoveredRaw!$B:$B,$A43,RecoveredRaw!BV:BV)</f>
        <v>0</v>
      </c>
      <c r="BT43">
        <f>SUMIF(RecoveredRaw!$B:$B,$A43,RecoveredRaw!BW:BW)</f>
        <v>0</v>
      </c>
    </row>
    <row r="44" spans="1:72" ht="15" thickBot="1" x14ac:dyDescent="0.35">
      <c r="A44" s="4" t="s">
        <v>67</v>
      </c>
      <c r="B44">
        <f>SUMIF(RecoveredRaw!$B:$B,$A44,RecoveredRaw!E:E)</f>
        <v>0</v>
      </c>
      <c r="C44">
        <f>SUMIF(RecoveredRaw!$B:$B,$A44,RecoveredRaw!F:F)</f>
        <v>0</v>
      </c>
      <c r="D44">
        <f>SUMIF(RecoveredRaw!$B:$B,$A44,RecoveredRaw!G:G)</f>
        <v>0</v>
      </c>
      <c r="E44">
        <f>SUMIF(RecoveredRaw!$B:$B,$A44,RecoveredRaw!H:H)</f>
        <v>0</v>
      </c>
      <c r="F44">
        <f>SUMIF(RecoveredRaw!$B:$B,$A44,RecoveredRaw!I:I)</f>
        <v>0</v>
      </c>
      <c r="G44">
        <f>SUMIF(RecoveredRaw!$B:$B,$A44,RecoveredRaw!J:J)</f>
        <v>0</v>
      </c>
      <c r="H44">
        <f>SUMIF(RecoveredRaw!$B:$B,$A44,RecoveredRaw!K:K)</f>
        <v>0</v>
      </c>
      <c r="I44">
        <f>SUMIF(RecoveredRaw!$B:$B,$A44,RecoveredRaw!L:L)</f>
        <v>0</v>
      </c>
      <c r="J44">
        <f>SUMIF(RecoveredRaw!$B:$B,$A44,RecoveredRaw!M:M)</f>
        <v>0</v>
      </c>
      <c r="K44">
        <f>SUMIF(RecoveredRaw!$B:$B,$A44,RecoveredRaw!N:N)</f>
        <v>0</v>
      </c>
      <c r="L44">
        <f>SUMIF(RecoveredRaw!$B:$B,$A44,RecoveredRaw!O:O)</f>
        <v>0</v>
      </c>
      <c r="M44">
        <f>SUMIF(RecoveredRaw!$B:$B,$A44,RecoveredRaw!P:P)</f>
        <v>0</v>
      </c>
      <c r="N44">
        <f>SUMIF(RecoveredRaw!$B:$B,$A44,RecoveredRaw!Q:Q)</f>
        <v>0</v>
      </c>
      <c r="O44">
        <f>SUMIF(RecoveredRaw!$B:$B,$A44,RecoveredRaw!R:R)</f>
        <v>0</v>
      </c>
      <c r="P44">
        <f>SUMIF(RecoveredRaw!$B:$B,$A44,RecoveredRaw!S:S)</f>
        <v>0</v>
      </c>
      <c r="Q44">
        <f>SUMIF(RecoveredRaw!$B:$B,$A44,RecoveredRaw!T:T)</f>
        <v>0</v>
      </c>
      <c r="R44">
        <f>SUMIF(RecoveredRaw!$B:$B,$A44,RecoveredRaw!U:U)</f>
        <v>0</v>
      </c>
      <c r="S44">
        <f>SUMIF(RecoveredRaw!$B:$B,$A44,RecoveredRaw!V:V)</f>
        <v>0</v>
      </c>
      <c r="T44">
        <f>SUMIF(RecoveredRaw!$B:$B,$A44,RecoveredRaw!W:W)</f>
        <v>0</v>
      </c>
      <c r="U44">
        <f>SUMIF(RecoveredRaw!$B:$B,$A44,RecoveredRaw!X:X)</f>
        <v>0</v>
      </c>
      <c r="V44">
        <f>SUMIF(RecoveredRaw!$B:$B,$A44,RecoveredRaw!Y:Y)</f>
        <v>0</v>
      </c>
      <c r="W44">
        <f>SUMIF(RecoveredRaw!$B:$B,$A44,RecoveredRaw!Z:Z)</f>
        <v>0</v>
      </c>
      <c r="X44">
        <f>SUMIF(RecoveredRaw!$B:$B,$A44,RecoveredRaw!AA:AA)</f>
        <v>0</v>
      </c>
      <c r="Y44">
        <f>SUMIF(RecoveredRaw!$B:$B,$A44,RecoveredRaw!AB:AB)</f>
        <v>0</v>
      </c>
      <c r="Z44">
        <f>SUMIF(RecoveredRaw!$B:$B,$A44,RecoveredRaw!AC:AC)</f>
        <v>0</v>
      </c>
      <c r="AA44">
        <f>SUMIF(RecoveredRaw!$B:$B,$A44,RecoveredRaw!AD:AD)</f>
        <v>0</v>
      </c>
      <c r="AB44">
        <f>SUMIF(RecoveredRaw!$B:$B,$A44,RecoveredRaw!AE:AE)</f>
        <v>0</v>
      </c>
      <c r="AC44">
        <f>SUMIF(RecoveredRaw!$B:$B,$A44,RecoveredRaw!AF:AF)</f>
        <v>0</v>
      </c>
      <c r="AD44">
        <f>SUMIF(RecoveredRaw!$B:$B,$A44,RecoveredRaw!AG:AG)</f>
        <v>0</v>
      </c>
      <c r="AE44">
        <f>SUMIF(RecoveredRaw!$B:$B,$A44,RecoveredRaw!AH:AH)</f>
        <v>0</v>
      </c>
      <c r="AF44">
        <f>SUMIF(RecoveredRaw!$B:$B,$A44,RecoveredRaw!AI:AI)</f>
        <v>0</v>
      </c>
      <c r="AG44">
        <f>SUMIF(RecoveredRaw!$B:$B,$A44,RecoveredRaw!AJ:AJ)</f>
        <v>0</v>
      </c>
      <c r="AH44">
        <f>SUMIF(RecoveredRaw!$B:$B,$A44,RecoveredRaw!AK:AK)</f>
        <v>0</v>
      </c>
      <c r="AI44">
        <f>SUMIF(RecoveredRaw!$B:$B,$A44,RecoveredRaw!AL:AL)</f>
        <v>0</v>
      </c>
      <c r="AJ44">
        <f>SUMIF(RecoveredRaw!$B:$B,$A44,RecoveredRaw!AM:AM)</f>
        <v>0</v>
      </c>
      <c r="AK44">
        <f>SUMIF(RecoveredRaw!$B:$B,$A44,RecoveredRaw!AN:AN)</f>
        <v>0</v>
      </c>
      <c r="AL44">
        <f>SUMIF(RecoveredRaw!$B:$B,$A44,RecoveredRaw!AO:AO)</f>
        <v>0</v>
      </c>
      <c r="AM44">
        <f>SUMIF(RecoveredRaw!$B:$B,$A44,RecoveredRaw!AP:AP)</f>
        <v>0</v>
      </c>
      <c r="AN44">
        <f>SUMIF(RecoveredRaw!$B:$B,$A44,RecoveredRaw!AQ:AQ)</f>
        <v>0</v>
      </c>
      <c r="AO44">
        <f>SUMIF(RecoveredRaw!$B:$B,$A44,RecoveredRaw!AR:AR)</f>
        <v>0</v>
      </c>
      <c r="AP44">
        <f>SUMIF(RecoveredRaw!$B:$B,$A44,RecoveredRaw!AS:AS)</f>
        <v>0</v>
      </c>
      <c r="AQ44">
        <f>SUMIF(RecoveredRaw!$B:$B,$A44,RecoveredRaw!AT:AT)</f>
        <v>0</v>
      </c>
      <c r="AR44">
        <f>SUMIF(RecoveredRaw!$B:$B,$A44,RecoveredRaw!AU:AU)</f>
        <v>1</v>
      </c>
      <c r="AS44">
        <f>SUMIF(RecoveredRaw!$B:$B,$A44,RecoveredRaw!AV:AV)</f>
        <v>1</v>
      </c>
      <c r="AT44">
        <f>SUMIF(RecoveredRaw!$B:$B,$A44,RecoveredRaw!AW:AW)</f>
        <v>1</v>
      </c>
      <c r="AU44">
        <f>SUMIF(RecoveredRaw!$B:$B,$A44,RecoveredRaw!AX:AX)</f>
        <v>1</v>
      </c>
      <c r="AV44">
        <f>SUMIF(RecoveredRaw!$B:$B,$A44,RecoveredRaw!AY:AY)</f>
        <v>1</v>
      </c>
      <c r="AW44">
        <f>SUMIF(RecoveredRaw!$B:$B,$A44,RecoveredRaw!AZ:AZ)</f>
        <v>1</v>
      </c>
      <c r="AX44">
        <f>SUMIF(RecoveredRaw!$B:$B,$A44,RecoveredRaw!BA:BA)</f>
        <v>1</v>
      </c>
      <c r="AY44">
        <f>SUMIF(RecoveredRaw!$B:$B,$A44,RecoveredRaw!BB:BB)</f>
        <v>1</v>
      </c>
      <c r="AZ44">
        <f>SUMIF(RecoveredRaw!$B:$B,$A44,RecoveredRaw!BC:BC)</f>
        <v>1</v>
      </c>
      <c r="BA44">
        <f>SUMIF(RecoveredRaw!$B:$B,$A44,RecoveredRaw!BD:BD)</f>
        <v>1</v>
      </c>
      <c r="BB44">
        <f>SUMIF(RecoveredRaw!$B:$B,$A44,RecoveredRaw!BE:BE)</f>
        <v>1</v>
      </c>
      <c r="BC44">
        <f>SUMIF(RecoveredRaw!$B:$B,$A44,RecoveredRaw!BF:BF)</f>
        <v>1</v>
      </c>
      <c r="BD44">
        <f>SUMIF(RecoveredRaw!$B:$B,$A44,RecoveredRaw!BG:BG)</f>
        <v>1</v>
      </c>
      <c r="BE44">
        <f>SUMIF(RecoveredRaw!$B:$B,$A44,RecoveredRaw!BH:BH)</f>
        <v>3</v>
      </c>
      <c r="BF44">
        <f>SUMIF(RecoveredRaw!$B:$B,$A44,RecoveredRaw!BI:BI)</f>
        <v>3</v>
      </c>
      <c r="BG44">
        <f>SUMIF(RecoveredRaw!$B:$B,$A44,RecoveredRaw!BJ:BJ)</f>
        <v>4</v>
      </c>
      <c r="BH44">
        <f>SUMIF(RecoveredRaw!$B:$B,$A44,RecoveredRaw!BK:BK)</f>
        <v>4</v>
      </c>
      <c r="BI44">
        <f>SUMIF(RecoveredRaw!$B:$B,$A44,RecoveredRaw!BL:BL)</f>
        <v>0</v>
      </c>
      <c r="BJ44">
        <f>SUMIF(RecoveredRaw!$B:$B,$A44,RecoveredRaw!BM:BM)</f>
        <v>0</v>
      </c>
      <c r="BK44">
        <f>SUMIF(RecoveredRaw!$B:$B,$A44,RecoveredRaw!BN:BN)</f>
        <v>0</v>
      </c>
      <c r="BL44">
        <f>SUMIF(RecoveredRaw!$B:$B,$A44,RecoveredRaw!BO:BO)</f>
        <v>0</v>
      </c>
      <c r="BM44">
        <f>SUMIF(RecoveredRaw!$B:$B,$A44,RecoveredRaw!BP:BP)</f>
        <v>0</v>
      </c>
      <c r="BN44">
        <f>SUMIF(RecoveredRaw!$B:$B,$A44,RecoveredRaw!BQ:BQ)</f>
        <v>0</v>
      </c>
      <c r="BO44">
        <f>SUMIF(RecoveredRaw!$B:$B,$A44,RecoveredRaw!BR:BR)</f>
        <v>0</v>
      </c>
      <c r="BP44">
        <f>SUMIF(RecoveredRaw!$B:$B,$A44,RecoveredRaw!BS:BS)</f>
        <v>0</v>
      </c>
      <c r="BQ44">
        <f>SUMIF(RecoveredRaw!$B:$B,$A44,RecoveredRaw!BT:BT)</f>
        <v>0</v>
      </c>
      <c r="BR44">
        <f>SUMIF(RecoveredRaw!$B:$B,$A44,RecoveredRaw!BU:BU)</f>
        <v>0</v>
      </c>
      <c r="BS44">
        <f>SUMIF(RecoveredRaw!$B:$B,$A44,RecoveredRaw!BV:BV)</f>
        <v>0</v>
      </c>
      <c r="BT44">
        <f>SUMIF(RecoveredRaw!$B:$B,$A44,RecoveredRaw!BW:BW)</f>
        <v>0</v>
      </c>
    </row>
    <row r="45" spans="1:72" ht="15" thickBot="1" x14ac:dyDescent="0.35">
      <c r="A45" s="3" t="s">
        <v>35</v>
      </c>
      <c r="B45">
        <f>SUMIF(RecoveredRaw!$B:$B,$A45,RecoveredRaw!E:E)</f>
        <v>0</v>
      </c>
      <c r="C45">
        <f>SUMIF(RecoveredRaw!$B:$B,$A45,RecoveredRaw!F:F)</f>
        <v>0</v>
      </c>
      <c r="D45">
        <f>SUMIF(RecoveredRaw!$B:$B,$A45,RecoveredRaw!G:G)</f>
        <v>0</v>
      </c>
      <c r="E45">
        <f>SUMIF(RecoveredRaw!$B:$B,$A45,RecoveredRaw!H:H)</f>
        <v>0</v>
      </c>
      <c r="F45">
        <f>SUMIF(RecoveredRaw!$B:$B,$A45,RecoveredRaw!I:I)</f>
        <v>2</v>
      </c>
      <c r="G45">
        <f>SUMIF(RecoveredRaw!$B:$B,$A45,RecoveredRaw!J:J)</f>
        <v>2</v>
      </c>
      <c r="H45">
        <f>SUMIF(RecoveredRaw!$B:$B,$A45,RecoveredRaw!K:K)</f>
        <v>5</v>
      </c>
      <c r="I45">
        <f>SUMIF(RecoveredRaw!$B:$B,$A45,RecoveredRaw!L:L)</f>
        <v>5</v>
      </c>
      <c r="J45">
        <f>SUMIF(RecoveredRaw!$B:$B,$A45,RecoveredRaw!M:M)</f>
        <v>5</v>
      </c>
      <c r="K45">
        <f>SUMIF(RecoveredRaw!$B:$B,$A45,RecoveredRaw!N:N)</f>
        <v>5</v>
      </c>
      <c r="L45">
        <f>SUMIF(RecoveredRaw!$B:$B,$A45,RecoveredRaw!O:O)</f>
        <v>5</v>
      </c>
      <c r="M45">
        <f>SUMIF(RecoveredRaw!$B:$B,$A45,RecoveredRaw!P:P)</f>
        <v>5</v>
      </c>
      <c r="N45">
        <f>SUMIF(RecoveredRaw!$B:$B,$A45,RecoveredRaw!Q:Q)</f>
        <v>5</v>
      </c>
      <c r="O45">
        <f>SUMIF(RecoveredRaw!$B:$B,$A45,RecoveredRaw!R:R)</f>
        <v>5</v>
      </c>
      <c r="P45">
        <f>SUMIF(RecoveredRaw!$B:$B,$A45,RecoveredRaw!S:S)</f>
        <v>5</v>
      </c>
      <c r="Q45">
        <f>SUMIF(RecoveredRaw!$B:$B,$A45,RecoveredRaw!T:T)</f>
        <v>5</v>
      </c>
      <c r="R45">
        <f>SUMIF(RecoveredRaw!$B:$B,$A45,RecoveredRaw!U:U)</f>
        <v>5</v>
      </c>
      <c r="S45">
        <f>SUMIF(RecoveredRaw!$B:$B,$A45,RecoveredRaw!V:V)</f>
        <v>10</v>
      </c>
      <c r="T45">
        <f>SUMIF(RecoveredRaw!$B:$B,$A45,RecoveredRaw!W:W)</f>
        <v>10</v>
      </c>
      <c r="U45">
        <f>SUMIF(RecoveredRaw!$B:$B,$A45,RecoveredRaw!X:X)</f>
        <v>10</v>
      </c>
      <c r="V45">
        <f>SUMIF(RecoveredRaw!$B:$B,$A45,RecoveredRaw!Y:Y)</f>
        <v>10</v>
      </c>
      <c r="W45">
        <f>SUMIF(RecoveredRaw!$B:$B,$A45,RecoveredRaw!Z:Z)</f>
        <v>10</v>
      </c>
      <c r="X45">
        <f>SUMIF(RecoveredRaw!$B:$B,$A45,RecoveredRaw!AA:AA)</f>
        <v>12</v>
      </c>
      <c r="Y45">
        <f>SUMIF(RecoveredRaw!$B:$B,$A45,RecoveredRaw!AB:AB)</f>
        <v>12</v>
      </c>
      <c r="Z45">
        <f>SUMIF(RecoveredRaw!$B:$B,$A45,RecoveredRaw!AC:AC)</f>
        <v>12</v>
      </c>
      <c r="AA45">
        <f>SUMIF(RecoveredRaw!$B:$B,$A45,RecoveredRaw!AD:AD)</f>
        <v>14</v>
      </c>
      <c r="AB45">
        <f>SUMIF(RecoveredRaw!$B:$B,$A45,RecoveredRaw!AE:AE)</f>
        <v>15</v>
      </c>
      <c r="AC45">
        <f>SUMIF(RecoveredRaw!$B:$B,$A45,RecoveredRaw!AF:AF)</f>
        <v>15</v>
      </c>
      <c r="AD45">
        <f>SUMIF(RecoveredRaw!$B:$B,$A45,RecoveredRaw!AG:AG)</f>
        <v>15</v>
      </c>
      <c r="AE45">
        <f>SUMIF(RecoveredRaw!$B:$B,$A45,RecoveredRaw!AH:AH)</f>
        <v>15</v>
      </c>
      <c r="AF45">
        <f>SUMIF(RecoveredRaw!$B:$B,$A45,RecoveredRaw!AI:AI)</f>
        <v>17</v>
      </c>
      <c r="AG45">
        <f>SUMIF(RecoveredRaw!$B:$B,$A45,RecoveredRaw!AJ:AJ)</f>
        <v>17</v>
      </c>
      <c r="AH45">
        <f>SUMIF(RecoveredRaw!$B:$B,$A45,RecoveredRaw!AK:AK)</f>
        <v>21</v>
      </c>
      <c r="AI45">
        <f>SUMIF(RecoveredRaw!$B:$B,$A45,RecoveredRaw!AL:AL)</f>
        <v>21</v>
      </c>
      <c r="AJ45">
        <f>SUMIF(RecoveredRaw!$B:$B,$A45,RecoveredRaw!AM:AM)</f>
        <v>22</v>
      </c>
      <c r="AK45">
        <f>SUMIF(RecoveredRaw!$B:$B,$A45,RecoveredRaw!AN:AN)</f>
        <v>22</v>
      </c>
      <c r="AL45">
        <f>SUMIF(RecoveredRaw!$B:$B,$A45,RecoveredRaw!AO:AO)</f>
        <v>22</v>
      </c>
      <c r="AM45">
        <f>SUMIF(RecoveredRaw!$B:$B,$A45,RecoveredRaw!AP:AP)</f>
        <v>28</v>
      </c>
      <c r="AN45">
        <f>SUMIF(RecoveredRaw!$B:$B,$A45,RecoveredRaw!AQ:AQ)</f>
        <v>28</v>
      </c>
      <c r="AO45">
        <f>SUMIF(RecoveredRaw!$B:$B,$A45,RecoveredRaw!AR:AR)</f>
        <v>28</v>
      </c>
      <c r="AP45">
        <f>SUMIF(RecoveredRaw!$B:$B,$A45,RecoveredRaw!AS:AS)</f>
        <v>31</v>
      </c>
      <c r="AQ45">
        <f>SUMIF(RecoveredRaw!$B:$B,$A45,RecoveredRaw!AT:AT)</f>
        <v>31</v>
      </c>
      <c r="AR45">
        <f>SUMIF(RecoveredRaw!$B:$B,$A45,RecoveredRaw!AU:AU)</f>
        <v>31</v>
      </c>
      <c r="AS45">
        <f>SUMIF(RecoveredRaw!$B:$B,$A45,RecoveredRaw!AV:AV)</f>
        <v>31</v>
      </c>
      <c r="AT45">
        <f>SUMIF(RecoveredRaw!$B:$B,$A45,RecoveredRaw!AW:AW)</f>
        <v>31</v>
      </c>
      <c r="AU45">
        <f>SUMIF(RecoveredRaw!$B:$B,$A45,RecoveredRaw!AX:AX)</f>
        <v>31</v>
      </c>
      <c r="AV45">
        <f>SUMIF(RecoveredRaw!$B:$B,$A45,RecoveredRaw!AY:AY)</f>
        <v>31</v>
      </c>
      <c r="AW45">
        <f>SUMIF(RecoveredRaw!$B:$B,$A45,RecoveredRaw!AZ:AZ)</f>
        <v>31</v>
      </c>
      <c r="AX45">
        <f>SUMIF(RecoveredRaw!$B:$B,$A45,RecoveredRaw!BA:BA)</f>
        <v>33</v>
      </c>
      <c r="AY45">
        <f>SUMIF(RecoveredRaw!$B:$B,$A45,RecoveredRaw!BB:BB)</f>
        <v>34</v>
      </c>
      <c r="AZ45">
        <f>SUMIF(RecoveredRaw!$B:$B,$A45,RecoveredRaw!BC:BC)</f>
        <v>34</v>
      </c>
      <c r="BA45">
        <f>SUMIF(RecoveredRaw!$B:$B,$A45,RecoveredRaw!BD:BD)</f>
        <v>35</v>
      </c>
      <c r="BB45">
        <f>SUMIF(RecoveredRaw!$B:$B,$A45,RecoveredRaw!BE:BE)</f>
        <v>35</v>
      </c>
      <c r="BC45">
        <f>SUMIF(RecoveredRaw!$B:$B,$A45,RecoveredRaw!BF:BF)</f>
        <v>35</v>
      </c>
      <c r="BD45">
        <f>SUMIF(RecoveredRaw!$B:$B,$A45,RecoveredRaw!BG:BG)</f>
        <v>35</v>
      </c>
      <c r="BE45">
        <f>SUMIF(RecoveredRaw!$B:$B,$A45,RecoveredRaw!BH:BH)</f>
        <v>41</v>
      </c>
      <c r="BF45">
        <f>SUMIF(RecoveredRaw!$B:$B,$A45,RecoveredRaw!BI:BI)</f>
        <v>42</v>
      </c>
      <c r="BG45">
        <f>SUMIF(RecoveredRaw!$B:$B,$A45,RecoveredRaw!BJ:BJ)</f>
        <v>42</v>
      </c>
      <c r="BH45">
        <f>SUMIF(RecoveredRaw!$B:$B,$A45,RecoveredRaw!BK:BK)</f>
        <v>42</v>
      </c>
      <c r="BI45">
        <f>SUMIF(RecoveredRaw!$B:$B,$A45,RecoveredRaw!BL:BL)</f>
        <v>0</v>
      </c>
      <c r="BJ45">
        <f>SUMIF(RecoveredRaw!$B:$B,$A45,RecoveredRaw!BM:BM)</f>
        <v>0</v>
      </c>
      <c r="BK45">
        <f>SUMIF(RecoveredRaw!$B:$B,$A45,RecoveredRaw!BN:BN)</f>
        <v>0</v>
      </c>
      <c r="BL45">
        <f>SUMIF(RecoveredRaw!$B:$B,$A45,RecoveredRaw!BO:BO)</f>
        <v>0</v>
      </c>
      <c r="BM45">
        <f>SUMIF(RecoveredRaw!$B:$B,$A45,RecoveredRaw!BP:BP)</f>
        <v>0</v>
      </c>
      <c r="BN45">
        <f>SUMIF(RecoveredRaw!$B:$B,$A45,RecoveredRaw!BQ:BQ)</f>
        <v>0</v>
      </c>
      <c r="BO45">
        <f>SUMIF(RecoveredRaw!$B:$B,$A45,RecoveredRaw!BR:BR)</f>
        <v>0</v>
      </c>
      <c r="BP45">
        <f>SUMIF(RecoveredRaw!$B:$B,$A45,RecoveredRaw!BS:BS)</f>
        <v>0</v>
      </c>
      <c r="BQ45">
        <f>SUMIF(RecoveredRaw!$B:$B,$A45,RecoveredRaw!BT:BT)</f>
        <v>0</v>
      </c>
      <c r="BR45">
        <f>SUMIF(RecoveredRaw!$B:$B,$A45,RecoveredRaw!BU:BU)</f>
        <v>0</v>
      </c>
      <c r="BS45">
        <f>SUMIF(RecoveredRaw!$B:$B,$A45,RecoveredRaw!BV:BV)</f>
        <v>0</v>
      </c>
      <c r="BT45">
        <f>SUMIF(RecoveredRaw!$B:$B,$A45,RecoveredRaw!BW:BW)</f>
        <v>0</v>
      </c>
    </row>
    <row r="46" spans="1:72" ht="15" thickBot="1" x14ac:dyDescent="0.35">
      <c r="A46" s="4" t="s">
        <v>107</v>
      </c>
      <c r="B46">
        <f>SUMIF(RecoveredRaw!$B:$B,$A46,RecoveredRaw!E:E)</f>
        <v>0</v>
      </c>
      <c r="C46">
        <f>SUMIF(RecoveredRaw!$B:$B,$A46,RecoveredRaw!F:F)</f>
        <v>0</v>
      </c>
      <c r="D46">
        <f>SUMIF(RecoveredRaw!$B:$B,$A46,RecoveredRaw!G:G)</f>
        <v>0</v>
      </c>
      <c r="E46">
        <f>SUMIF(RecoveredRaw!$B:$B,$A46,RecoveredRaw!H:H)</f>
        <v>0</v>
      </c>
      <c r="F46">
        <f>SUMIF(RecoveredRaw!$B:$B,$A46,RecoveredRaw!I:I)</f>
        <v>0</v>
      </c>
      <c r="G46">
        <f>SUMIF(RecoveredRaw!$B:$B,$A46,RecoveredRaw!J:J)</f>
        <v>0</v>
      </c>
      <c r="H46">
        <f>SUMIF(RecoveredRaw!$B:$B,$A46,RecoveredRaw!K:K)</f>
        <v>0</v>
      </c>
      <c r="I46">
        <f>SUMIF(RecoveredRaw!$B:$B,$A46,RecoveredRaw!L:L)</f>
        <v>0</v>
      </c>
      <c r="J46">
        <f>SUMIF(RecoveredRaw!$B:$B,$A46,RecoveredRaw!M:M)</f>
        <v>0</v>
      </c>
      <c r="K46">
        <f>SUMIF(RecoveredRaw!$B:$B,$A46,RecoveredRaw!N:N)</f>
        <v>0</v>
      </c>
      <c r="L46">
        <f>SUMIF(RecoveredRaw!$B:$B,$A46,RecoveredRaw!O:O)</f>
        <v>0</v>
      </c>
      <c r="M46">
        <f>SUMIF(RecoveredRaw!$B:$B,$A46,RecoveredRaw!P:P)</f>
        <v>0</v>
      </c>
      <c r="N46">
        <f>SUMIF(RecoveredRaw!$B:$B,$A46,RecoveredRaw!Q:Q)</f>
        <v>0</v>
      </c>
      <c r="O46">
        <f>SUMIF(RecoveredRaw!$B:$B,$A46,RecoveredRaw!R:R)</f>
        <v>0</v>
      </c>
      <c r="P46">
        <f>SUMIF(RecoveredRaw!$B:$B,$A46,RecoveredRaw!S:S)</f>
        <v>0</v>
      </c>
      <c r="Q46">
        <f>SUMIF(RecoveredRaw!$B:$B,$A46,RecoveredRaw!T:T)</f>
        <v>0</v>
      </c>
      <c r="R46">
        <f>SUMIF(RecoveredRaw!$B:$B,$A46,RecoveredRaw!U:U)</f>
        <v>0</v>
      </c>
      <c r="S46">
        <f>SUMIF(RecoveredRaw!$B:$B,$A46,RecoveredRaw!V:V)</f>
        <v>0</v>
      </c>
      <c r="T46">
        <f>SUMIF(RecoveredRaw!$B:$B,$A46,RecoveredRaw!W:W)</f>
        <v>0</v>
      </c>
      <c r="U46">
        <f>SUMIF(RecoveredRaw!$B:$B,$A46,RecoveredRaw!X:X)</f>
        <v>0</v>
      </c>
      <c r="V46">
        <f>SUMIF(RecoveredRaw!$B:$B,$A46,RecoveredRaw!Y:Y)</f>
        <v>0</v>
      </c>
      <c r="W46">
        <f>SUMIF(RecoveredRaw!$B:$B,$A46,RecoveredRaw!Z:Z)</f>
        <v>0</v>
      </c>
      <c r="X46">
        <f>SUMIF(RecoveredRaw!$B:$B,$A46,RecoveredRaw!AA:AA)</f>
        <v>0</v>
      </c>
      <c r="Y46">
        <f>SUMIF(RecoveredRaw!$B:$B,$A46,RecoveredRaw!AB:AB)</f>
        <v>0</v>
      </c>
      <c r="Z46">
        <f>SUMIF(RecoveredRaw!$B:$B,$A46,RecoveredRaw!AC:AC)</f>
        <v>0</v>
      </c>
      <c r="AA46">
        <f>SUMIF(RecoveredRaw!$B:$B,$A46,RecoveredRaw!AD:AD)</f>
        <v>0</v>
      </c>
      <c r="AB46">
        <f>SUMIF(RecoveredRaw!$B:$B,$A46,RecoveredRaw!AE:AE)</f>
        <v>0</v>
      </c>
      <c r="AC46">
        <f>SUMIF(RecoveredRaw!$B:$B,$A46,RecoveredRaw!AF:AF)</f>
        <v>0</v>
      </c>
      <c r="AD46">
        <f>SUMIF(RecoveredRaw!$B:$B,$A46,RecoveredRaw!AG:AG)</f>
        <v>0</v>
      </c>
      <c r="AE46">
        <f>SUMIF(RecoveredRaw!$B:$B,$A46,RecoveredRaw!AH:AH)</f>
        <v>0</v>
      </c>
      <c r="AF46">
        <f>SUMIF(RecoveredRaw!$B:$B,$A46,RecoveredRaw!AI:AI)</f>
        <v>0</v>
      </c>
      <c r="AG46">
        <f>SUMIF(RecoveredRaw!$B:$B,$A46,RecoveredRaw!AJ:AJ)</f>
        <v>0</v>
      </c>
      <c r="AH46">
        <f>SUMIF(RecoveredRaw!$B:$B,$A46,RecoveredRaw!AK:AK)</f>
        <v>0</v>
      </c>
      <c r="AI46">
        <f>SUMIF(RecoveredRaw!$B:$B,$A46,RecoveredRaw!AL:AL)</f>
        <v>0</v>
      </c>
      <c r="AJ46">
        <f>SUMIF(RecoveredRaw!$B:$B,$A46,RecoveredRaw!AM:AM)</f>
        <v>0</v>
      </c>
      <c r="AK46">
        <f>SUMIF(RecoveredRaw!$B:$B,$A46,RecoveredRaw!AN:AN)</f>
        <v>0</v>
      </c>
      <c r="AL46">
        <f>SUMIF(RecoveredRaw!$B:$B,$A46,RecoveredRaw!AO:AO)</f>
        <v>0</v>
      </c>
      <c r="AM46">
        <f>SUMIF(RecoveredRaw!$B:$B,$A46,RecoveredRaw!AP:AP)</f>
        <v>0</v>
      </c>
      <c r="AN46">
        <f>SUMIF(RecoveredRaw!$B:$B,$A46,RecoveredRaw!AQ:AQ)</f>
        <v>0</v>
      </c>
      <c r="AO46">
        <f>SUMIF(RecoveredRaw!$B:$B,$A46,RecoveredRaw!AR:AR)</f>
        <v>0</v>
      </c>
      <c r="AP46">
        <f>SUMIF(RecoveredRaw!$B:$B,$A46,RecoveredRaw!AS:AS)</f>
        <v>0</v>
      </c>
      <c r="AQ46">
        <f>SUMIF(RecoveredRaw!$B:$B,$A46,RecoveredRaw!AT:AT)</f>
        <v>0</v>
      </c>
      <c r="AR46">
        <f>SUMIF(RecoveredRaw!$B:$B,$A46,RecoveredRaw!AU:AU)</f>
        <v>0</v>
      </c>
      <c r="AS46">
        <f>SUMIF(RecoveredRaw!$B:$B,$A46,RecoveredRaw!AV:AV)</f>
        <v>0</v>
      </c>
      <c r="AT46">
        <f>SUMIF(RecoveredRaw!$B:$B,$A46,RecoveredRaw!AW:AW)</f>
        <v>0</v>
      </c>
      <c r="AU46">
        <f>SUMIF(RecoveredRaw!$B:$B,$A46,RecoveredRaw!AX:AX)</f>
        <v>0</v>
      </c>
      <c r="AV46">
        <f>SUMIF(RecoveredRaw!$B:$B,$A46,RecoveredRaw!AY:AY)</f>
        <v>0</v>
      </c>
      <c r="AW46">
        <f>SUMIF(RecoveredRaw!$B:$B,$A46,RecoveredRaw!AZ:AZ)</f>
        <v>0</v>
      </c>
      <c r="AX46">
        <f>SUMIF(RecoveredRaw!$B:$B,$A46,RecoveredRaw!BA:BA)</f>
        <v>2</v>
      </c>
      <c r="AY46">
        <f>SUMIF(RecoveredRaw!$B:$B,$A46,RecoveredRaw!BB:BB)</f>
        <v>2</v>
      </c>
      <c r="AZ46">
        <f>SUMIF(RecoveredRaw!$B:$B,$A46,RecoveredRaw!BC:BC)</f>
        <v>2</v>
      </c>
      <c r="BA46">
        <f>SUMIF(RecoveredRaw!$B:$B,$A46,RecoveredRaw!BD:BD)</f>
        <v>2</v>
      </c>
      <c r="BB46">
        <f>SUMIF(RecoveredRaw!$B:$B,$A46,RecoveredRaw!BE:BE)</f>
        <v>8</v>
      </c>
      <c r="BC46">
        <f>SUMIF(RecoveredRaw!$B:$B,$A46,RecoveredRaw!BF:BF)</f>
        <v>8</v>
      </c>
      <c r="BD46">
        <f>SUMIF(RecoveredRaw!$B:$B,$A46,RecoveredRaw!BG:BG)</f>
        <v>8</v>
      </c>
      <c r="BE46">
        <f>SUMIF(RecoveredRaw!$B:$B,$A46,RecoveredRaw!BH:BH)</f>
        <v>8</v>
      </c>
      <c r="BF46">
        <f>SUMIF(RecoveredRaw!$B:$B,$A46,RecoveredRaw!BI:BI)</f>
        <v>11</v>
      </c>
      <c r="BG46">
        <f>SUMIF(RecoveredRaw!$B:$B,$A46,RecoveredRaw!BJ:BJ)</f>
        <v>11</v>
      </c>
      <c r="BH46">
        <f>SUMIF(RecoveredRaw!$B:$B,$A46,RecoveredRaw!BK:BK)</f>
        <v>15</v>
      </c>
      <c r="BI46">
        <f>SUMIF(RecoveredRaw!$B:$B,$A46,RecoveredRaw!BL:BL)</f>
        <v>0</v>
      </c>
      <c r="BJ46">
        <f>SUMIF(RecoveredRaw!$B:$B,$A46,RecoveredRaw!BM:BM)</f>
        <v>0</v>
      </c>
      <c r="BK46">
        <f>SUMIF(RecoveredRaw!$B:$B,$A46,RecoveredRaw!BN:BN)</f>
        <v>0</v>
      </c>
      <c r="BL46">
        <f>SUMIF(RecoveredRaw!$B:$B,$A46,RecoveredRaw!BO:BO)</f>
        <v>0</v>
      </c>
      <c r="BM46">
        <f>SUMIF(RecoveredRaw!$B:$B,$A46,RecoveredRaw!BP:BP)</f>
        <v>0</v>
      </c>
      <c r="BN46">
        <f>SUMIF(RecoveredRaw!$B:$B,$A46,RecoveredRaw!BQ:BQ)</f>
        <v>0</v>
      </c>
      <c r="BO46">
        <f>SUMIF(RecoveredRaw!$B:$B,$A46,RecoveredRaw!BR:BR)</f>
        <v>0</v>
      </c>
      <c r="BP46">
        <f>SUMIF(RecoveredRaw!$B:$B,$A46,RecoveredRaw!BS:BS)</f>
        <v>0</v>
      </c>
      <c r="BQ46">
        <f>SUMIF(RecoveredRaw!$B:$B,$A46,RecoveredRaw!BT:BT)</f>
        <v>0</v>
      </c>
      <c r="BR46">
        <f>SUMIF(RecoveredRaw!$B:$B,$A46,RecoveredRaw!BU:BU)</f>
        <v>0</v>
      </c>
      <c r="BS46">
        <f>SUMIF(RecoveredRaw!$B:$B,$A46,RecoveredRaw!BV:BV)</f>
        <v>0</v>
      </c>
      <c r="BT46">
        <f>SUMIF(RecoveredRaw!$B:$B,$A46,RecoveredRaw!BW:BW)</f>
        <v>0</v>
      </c>
    </row>
    <row r="47" spans="1:72" ht="15" thickBot="1" x14ac:dyDescent="0.35">
      <c r="A47" s="3" t="s">
        <v>137</v>
      </c>
      <c r="B47">
        <f>SUMIF(RecoveredRaw!$B:$B,$A47,RecoveredRaw!E:E)</f>
        <v>0</v>
      </c>
      <c r="C47">
        <f>SUMIF(RecoveredRaw!$B:$B,$A47,RecoveredRaw!F:F)</f>
        <v>0</v>
      </c>
      <c r="D47">
        <f>SUMIF(RecoveredRaw!$B:$B,$A47,RecoveredRaw!G:G)</f>
        <v>0</v>
      </c>
      <c r="E47">
        <f>SUMIF(RecoveredRaw!$B:$B,$A47,RecoveredRaw!H:H)</f>
        <v>0</v>
      </c>
      <c r="F47">
        <f>SUMIF(RecoveredRaw!$B:$B,$A47,RecoveredRaw!I:I)</f>
        <v>0</v>
      </c>
      <c r="G47">
        <f>SUMIF(RecoveredRaw!$B:$B,$A47,RecoveredRaw!J:J)</f>
        <v>0</v>
      </c>
      <c r="H47">
        <f>SUMIF(RecoveredRaw!$B:$B,$A47,RecoveredRaw!K:K)</f>
        <v>0</v>
      </c>
      <c r="I47">
        <f>SUMIF(RecoveredRaw!$B:$B,$A47,RecoveredRaw!L:L)</f>
        <v>0</v>
      </c>
      <c r="J47">
        <f>SUMIF(RecoveredRaw!$B:$B,$A47,RecoveredRaw!M:M)</f>
        <v>0</v>
      </c>
      <c r="K47">
        <f>SUMIF(RecoveredRaw!$B:$B,$A47,RecoveredRaw!N:N)</f>
        <v>0</v>
      </c>
      <c r="L47">
        <f>SUMIF(RecoveredRaw!$B:$B,$A47,RecoveredRaw!O:O)</f>
        <v>0</v>
      </c>
      <c r="M47">
        <f>SUMIF(RecoveredRaw!$B:$B,$A47,RecoveredRaw!P:P)</f>
        <v>0</v>
      </c>
      <c r="N47">
        <f>SUMIF(RecoveredRaw!$B:$B,$A47,RecoveredRaw!Q:Q)</f>
        <v>0</v>
      </c>
      <c r="O47">
        <f>SUMIF(RecoveredRaw!$B:$B,$A47,RecoveredRaw!R:R)</f>
        <v>0</v>
      </c>
      <c r="P47">
        <f>SUMIF(RecoveredRaw!$B:$B,$A47,RecoveredRaw!S:S)</f>
        <v>0</v>
      </c>
      <c r="Q47">
        <f>SUMIF(RecoveredRaw!$B:$B,$A47,RecoveredRaw!T:T)</f>
        <v>0</v>
      </c>
      <c r="R47">
        <f>SUMIF(RecoveredRaw!$B:$B,$A47,RecoveredRaw!U:U)</f>
        <v>0</v>
      </c>
      <c r="S47">
        <f>SUMIF(RecoveredRaw!$B:$B,$A47,RecoveredRaw!V:V)</f>
        <v>0</v>
      </c>
      <c r="T47">
        <f>SUMIF(RecoveredRaw!$B:$B,$A47,RecoveredRaw!W:W)</f>
        <v>0</v>
      </c>
      <c r="U47">
        <f>SUMIF(RecoveredRaw!$B:$B,$A47,RecoveredRaw!X:X)</f>
        <v>0</v>
      </c>
      <c r="V47">
        <f>SUMIF(RecoveredRaw!$B:$B,$A47,RecoveredRaw!Y:Y)</f>
        <v>0</v>
      </c>
      <c r="W47">
        <f>SUMIF(RecoveredRaw!$B:$B,$A47,RecoveredRaw!Z:Z)</f>
        <v>0</v>
      </c>
      <c r="X47">
        <f>SUMIF(RecoveredRaw!$B:$B,$A47,RecoveredRaw!AA:AA)</f>
        <v>0</v>
      </c>
      <c r="Y47">
        <f>SUMIF(RecoveredRaw!$B:$B,$A47,RecoveredRaw!AB:AB)</f>
        <v>0</v>
      </c>
      <c r="Z47">
        <f>SUMIF(RecoveredRaw!$B:$B,$A47,RecoveredRaw!AC:AC)</f>
        <v>0</v>
      </c>
      <c r="AA47">
        <f>SUMIF(RecoveredRaw!$B:$B,$A47,RecoveredRaw!AD:AD)</f>
        <v>0</v>
      </c>
      <c r="AB47">
        <f>SUMIF(RecoveredRaw!$B:$B,$A47,RecoveredRaw!AE:AE)</f>
        <v>0</v>
      </c>
      <c r="AC47">
        <f>SUMIF(RecoveredRaw!$B:$B,$A47,RecoveredRaw!AF:AF)</f>
        <v>0</v>
      </c>
      <c r="AD47">
        <f>SUMIF(RecoveredRaw!$B:$B,$A47,RecoveredRaw!AG:AG)</f>
        <v>0</v>
      </c>
      <c r="AE47">
        <f>SUMIF(RecoveredRaw!$B:$B,$A47,RecoveredRaw!AH:AH)</f>
        <v>0</v>
      </c>
      <c r="AF47">
        <f>SUMIF(RecoveredRaw!$B:$B,$A47,RecoveredRaw!AI:AI)</f>
        <v>0</v>
      </c>
      <c r="AG47">
        <f>SUMIF(RecoveredRaw!$B:$B,$A47,RecoveredRaw!AJ:AJ)</f>
        <v>0</v>
      </c>
      <c r="AH47">
        <f>SUMIF(RecoveredRaw!$B:$B,$A47,RecoveredRaw!AK:AK)</f>
        <v>0</v>
      </c>
      <c r="AI47">
        <f>SUMIF(RecoveredRaw!$B:$B,$A47,RecoveredRaw!AL:AL)</f>
        <v>0</v>
      </c>
      <c r="AJ47">
        <f>SUMIF(RecoveredRaw!$B:$B,$A47,RecoveredRaw!AM:AM)</f>
        <v>0</v>
      </c>
      <c r="AK47">
        <f>SUMIF(RecoveredRaw!$B:$B,$A47,RecoveredRaw!AN:AN)</f>
        <v>0</v>
      </c>
      <c r="AL47">
        <f>SUMIF(RecoveredRaw!$B:$B,$A47,RecoveredRaw!AO:AO)</f>
        <v>0</v>
      </c>
      <c r="AM47">
        <f>SUMIF(RecoveredRaw!$B:$B,$A47,RecoveredRaw!AP:AP)</f>
        <v>0</v>
      </c>
      <c r="AN47">
        <f>SUMIF(RecoveredRaw!$B:$B,$A47,RecoveredRaw!AQ:AQ)</f>
        <v>0</v>
      </c>
      <c r="AO47">
        <f>SUMIF(RecoveredRaw!$B:$B,$A47,RecoveredRaw!AR:AR)</f>
        <v>0</v>
      </c>
      <c r="AP47">
        <f>SUMIF(RecoveredRaw!$B:$B,$A47,RecoveredRaw!AS:AS)</f>
        <v>0</v>
      </c>
      <c r="AQ47">
        <f>SUMIF(RecoveredRaw!$B:$B,$A47,RecoveredRaw!AT:AT)</f>
        <v>0</v>
      </c>
      <c r="AR47">
        <f>SUMIF(RecoveredRaw!$B:$B,$A47,RecoveredRaw!AU:AU)</f>
        <v>0</v>
      </c>
      <c r="AS47">
        <f>SUMIF(RecoveredRaw!$B:$B,$A47,RecoveredRaw!AV:AV)</f>
        <v>0</v>
      </c>
      <c r="AT47">
        <f>SUMIF(RecoveredRaw!$B:$B,$A47,RecoveredRaw!AW:AW)</f>
        <v>0</v>
      </c>
      <c r="AU47">
        <f>SUMIF(RecoveredRaw!$B:$B,$A47,RecoveredRaw!AX:AX)</f>
        <v>0</v>
      </c>
      <c r="AV47">
        <f>SUMIF(RecoveredRaw!$B:$B,$A47,RecoveredRaw!AY:AY)</f>
        <v>0</v>
      </c>
      <c r="AW47">
        <f>SUMIF(RecoveredRaw!$B:$B,$A47,RecoveredRaw!AZ:AZ)</f>
        <v>0</v>
      </c>
      <c r="AX47">
        <f>SUMIF(RecoveredRaw!$B:$B,$A47,RecoveredRaw!BA:BA)</f>
        <v>0</v>
      </c>
      <c r="AY47">
        <f>SUMIF(RecoveredRaw!$B:$B,$A47,RecoveredRaw!BB:BB)</f>
        <v>0</v>
      </c>
      <c r="AZ47">
        <f>SUMIF(RecoveredRaw!$B:$B,$A47,RecoveredRaw!BC:BC)</f>
        <v>0</v>
      </c>
      <c r="BA47">
        <f>SUMIF(RecoveredRaw!$B:$B,$A47,RecoveredRaw!BD:BD)</f>
        <v>0</v>
      </c>
      <c r="BB47">
        <f>SUMIF(RecoveredRaw!$B:$B,$A47,RecoveredRaw!BE:BE)</f>
        <v>0</v>
      </c>
      <c r="BC47">
        <f>SUMIF(RecoveredRaw!$B:$B,$A47,RecoveredRaw!BF:BF)</f>
        <v>0</v>
      </c>
      <c r="BD47">
        <f>SUMIF(RecoveredRaw!$B:$B,$A47,RecoveredRaw!BG:BG)</f>
        <v>13</v>
      </c>
      <c r="BE47">
        <f>SUMIF(RecoveredRaw!$B:$B,$A47,RecoveredRaw!BH:BH)</f>
        <v>13</v>
      </c>
      <c r="BF47">
        <f>SUMIF(RecoveredRaw!$B:$B,$A47,RecoveredRaw!BI:BI)</f>
        <v>13</v>
      </c>
      <c r="BG47">
        <f>SUMIF(RecoveredRaw!$B:$B,$A47,RecoveredRaw!BJ:BJ)</f>
        <v>1</v>
      </c>
      <c r="BH47">
        <f>SUMIF(RecoveredRaw!$B:$B,$A47,RecoveredRaw!BK:BK)</f>
        <v>1</v>
      </c>
      <c r="BI47">
        <f>SUMIF(RecoveredRaw!$B:$B,$A47,RecoveredRaw!BL:BL)</f>
        <v>0</v>
      </c>
      <c r="BJ47">
        <f>SUMIF(RecoveredRaw!$B:$B,$A47,RecoveredRaw!BM:BM)</f>
        <v>0</v>
      </c>
      <c r="BK47">
        <f>SUMIF(RecoveredRaw!$B:$B,$A47,RecoveredRaw!BN:BN)</f>
        <v>0</v>
      </c>
      <c r="BL47">
        <f>SUMIF(RecoveredRaw!$B:$B,$A47,RecoveredRaw!BO:BO)</f>
        <v>0</v>
      </c>
      <c r="BM47">
        <f>SUMIF(RecoveredRaw!$B:$B,$A47,RecoveredRaw!BP:BP)</f>
        <v>0</v>
      </c>
      <c r="BN47">
        <f>SUMIF(RecoveredRaw!$B:$B,$A47,RecoveredRaw!BQ:BQ)</f>
        <v>0</v>
      </c>
      <c r="BO47">
        <f>SUMIF(RecoveredRaw!$B:$B,$A47,RecoveredRaw!BR:BR)</f>
        <v>0</v>
      </c>
      <c r="BP47">
        <f>SUMIF(RecoveredRaw!$B:$B,$A47,RecoveredRaw!BS:BS)</f>
        <v>0</v>
      </c>
      <c r="BQ47">
        <f>SUMIF(RecoveredRaw!$B:$B,$A47,RecoveredRaw!BT:BT)</f>
        <v>0</v>
      </c>
      <c r="BR47">
        <f>SUMIF(RecoveredRaw!$B:$B,$A47,RecoveredRaw!BU:BU)</f>
        <v>0</v>
      </c>
      <c r="BS47">
        <f>SUMIF(RecoveredRaw!$B:$B,$A47,RecoveredRaw!BV:BV)</f>
        <v>0</v>
      </c>
      <c r="BT47">
        <f>SUMIF(RecoveredRaw!$B:$B,$A47,RecoveredRaw!BW:BW)</f>
        <v>0</v>
      </c>
    </row>
    <row r="48" spans="1:72" ht="15" thickBot="1" x14ac:dyDescent="0.35">
      <c r="A48" s="3" t="s">
        <v>56</v>
      </c>
      <c r="B48">
        <f>SUMIF(RecoveredRaw!$B:$B,$A48,RecoveredRaw!E:E)</f>
        <v>0</v>
      </c>
      <c r="C48">
        <f>SUMIF(RecoveredRaw!$B:$B,$A48,RecoveredRaw!F:F)</f>
        <v>0</v>
      </c>
      <c r="D48">
        <f>SUMIF(RecoveredRaw!$B:$B,$A48,RecoveredRaw!G:G)</f>
        <v>0</v>
      </c>
      <c r="E48">
        <f>SUMIF(RecoveredRaw!$B:$B,$A48,RecoveredRaw!H:H)</f>
        <v>0</v>
      </c>
      <c r="F48">
        <f>SUMIF(RecoveredRaw!$B:$B,$A48,RecoveredRaw!I:I)</f>
        <v>0</v>
      </c>
      <c r="G48">
        <f>SUMIF(RecoveredRaw!$B:$B,$A48,RecoveredRaw!J:J)</f>
        <v>0</v>
      </c>
      <c r="H48">
        <f>SUMIF(RecoveredRaw!$B:$B,$A48,RecoveredRaw!K:K)</f>
        <v>0</v>
      </c>
      <c r="I48">
        <f>SUMIF(RecoveredRaw!$B:$B,$A48,RecoveredRaw!L:L)</f>
        <v>0</v>
      </c>
      <c r="J48">
        <f>SUMIF(RecoveredRaw!$B:$B,$A48,RecoveredRaw!M:M)</f>
        <v>0</v>
      </c>
      <c r="K48">
        <f>SUMIF(RecoveredRaw!$B:$B,$A48,RecoveredRaw!N:N)</f>
        <v>0</v>
      </c>
      <c r="L48">
        <f>SUMIF(RecoveredRaw!$B:$B,$A48,RecoveredRaw!O:O)</f>
        <v>0</v>
      </c>
      <c r="M48">
        <f>SUMIF(RecoveredRaw!$B:$B,$A48,RecoveredRaw!P:P)</f>
        <v>0</v>
      </c>
      <c r="N48">
        <f>SUMIF(RecoveredRaw!$B:$B,$A48,RecoveredRaw!Q:Q)</f>
        <v>0</v>
      </c>
      <c r="O48">
        <f>SUMIF(RecoveredRaw!$B:$B,$A48,RecoveredRaw!R:R)</f>
        <v>0</v>
      </c>
      <c r="P48">
        <f>SUMIF(RecoveredRaw!$B:$B,$A48,RecoveredRaw!S:S)</f>
        <v>0</v>
      </c>
      <c r="Q48">
        <f>SUMIF(RecoveredRaw!$B:$B,$A48,RecoveredRaw!T:T)</f>
        <v>0</v>
      </c>
      <c r="R48">
        <f>SUMIF(RecoveredRaw!$B:$B,$A48,RecoveredRaw!U:U)</f>
        <v>0</v>
      </c>
      <c r="S48">
        <f>SUMIF(RecoveredRaw!$B:$B,$A48,RecoveredRaw!V:V)</f>
        <v>0</v>
      </c>
      <c r="T48">
        <f>SUMIF(RecoveredRaw!$B:$B,$A48,RecoveredRaw!W:W)</f>
        <v>0</v>
      </c>
      <c r="U48">
        <f>SUMIF(RecoveredRaw!$B:$B,$A48,RecoveredRaw!X:X)</f>
        <v>0</v>
      </c>
      <c r="V48">
        <f>SUMIF(RecoveredRaw!$B:$B,$A48,RecoveredRaw!Y:Y)</f>
        <v>0</v>
      </c>
      <c r="W48">
        <f>SUMIF(RecoveredRaw!$B:$B,$A48,RecoveredRaw!Z:Z)</f>
        <v>1</v>
      </c>
      <c r="X48">
        <f>SUMIF(RecoveredRaw!$B:$B,$A48,RecoveredRaw!AA:AA)</f>
        <v>1</v>
      </c>
      <c r="Y48">
        <f>SUMIF(RecoveredRaw!$B:$B,$A48,RecoveredRaw!AB:AB)</f>
        <v>1</v>
      </c>
      <c r="Z48">
        <f>SUMIF(RecoveredRaw!$B:$B,$A48,RecoveredRaw!AC:AC)</f>
        <v>1</v>
      </c>
      <c r="AA48">
        <f>SUMIF(RecoveredRaw!$B:$B,$A48,RecoveredRaw!AD:AD)</f>
        <v>1</v>
      </c>
      <c r="AB48">
        <f>SUMIF(RecoveredRaw!$B:$B,$A48,RecoveredRaw!AE:AE)</f>
        <v>1</v>
      </c>
      <c r="AC48">
        <f>SUMIF(RecoveredRaw!$B:$B,$A48,RecoveredRaw!AF:AF)</f>
        <v>1</v>
      </c>
      <c r="AD48">
        <f>SUMIF(RecoveredRaw!$B:$B,$A48,RecoveredRaw!AG:AG)</f>
        <v>1</v>
      </c>
      <c r="AE48">
        <f>SUMIF(RecoveredRaw!$B:$B,$A48,RecoveredRaw!AH:AH)</f>
        <v>1</v>
      </c>
      <c r="AF48">
        <f>SUMIF(RecoveredRaw!$B:$B,$A48,RecoveredRaw!AI:AI)</f>
        <v>1</v>
      </c>
      <c r="AG48">
        <f>SUMIF(RecoveredRaw!$B:$B,$A48,RecoveredRaw!AJ:AJ)</f>
        <v>1</v>
      </c>
      <c r="AH48">
        <f>SUMIF(RecoveredRaw!$B:$B,$A48,RecoveredRaw!AK:AK)</f>
        <v>1</v>
      </c>
      <c r="AI48">
        <f>SUMIF(RecoveredRaw!$B:$B,$A48,RecoveredRaw!AL:AL)</f>
        <v>1</v>
      </c>
      <c r="AJ48">
        <f>SUMIF(RecoveredRaw!$B:$B,$A48,RecoveredRaw!AM:AM)</f>
        <v>1</v>
      </c>
      <c r="AK48">
        <f>SUMIF(RecoveredRaw!$B:$B,$A48,RecoveredRaw!AN:AN)</f>
        <v>1</v>
      </c>
      <c r="AL48">
        <f>SUMIF(RecoveredRaw!$B:$B,$A48,RecoveredRaw!AO:AO)</f>
        <v>1</v>
      </c>
      <c r="AM48">
        <f>SUMIF(RecoveredRaw!$B:$B,$A48,RecoveredRaw!AP:AP)</f>
        <v>1</v>
      </c>
      <c r="AN48">
        <f>SUMIF(RecoveredRaw!$B:$B,$A48,RecoveredRaw!AQ:AQ)</f>
        <v>1</v>
      </c>
      <c r="AO48">
        <f>SUMIF(RecoveredRaw!$B:$B,$A48,RecoveredRaw!AR:AR)</f>
        <v>1</v>
      </c>
      <c r="AP48">
        <f>SUMIF(RecoveredRaw!$B:$B,$A48,RecoveredRaw!AS:AS)</f>
        <v>1</v>
      </c>
      <c r="AQ48">
        <f>SUMIF(RecoveredRaw!$B:$B,$A48,RecoveredRaw!AT:AT)</f>
        <v>1</v>
      </c>
      <c r="AR48">
        <f>SUMIF(RecoveredRaw!$B:$B,$A48,RecoveredRaw!AU:AU)</f>
        <v>1</v>
      </c>
      <c r="AS48">
        <f>SUMIF(RecoveredRaw!$B:$B,$A48,RecoveredRaw!AV:AV)</f>
        <v>1</v>
      </c>
      <c r="AT48">
        <f>SUMIF(RecoveredRaw!$B:$B,$A48,RecoveredRaw!AW:AW)</f>
        <v>1</v>
      </c>
      <c r="AU48">
        <f>SUMIF(RecoveredRaw!$B:$B,$A48,RecoveredRaw!AX:AX)</f>
        <v>1</v>
      </c>
      <c r="AV48">
        <f>SUMIF(RecoveredRaw!$B:$B,$A48,RecoveredRaw!AY:AY)</f>
        <v>1</v>
      </c>
      <c r="AW48">
        <f>SUMIF(RecoveredRaw!$B:$B,$A48,RecoveredRaw!AZ:AZ)</f>
        <v>1</v>
      </c>
      <c r="AX48">
        <f>SUMIF(RecoveredRaw!$B:$B,$A48,RecoveredRaw!BA:BA)</f>
        <v>2</v>
      </c>
      <c r="AY48">
        <f>SUMIF(RecoveredRaw!$B:$B,$A48,RecoveredRaw!BB:BB)</f>
        <v>2</v>
      </c>
      <c r="AZ48">
        <f>SUMIF(RecoveredRaw!$B:$B,$A48,RecoveredRaw!BC:BC)</f>
        <v>2</v>
      </c>
      <c r="BA48">
        <f>SUMIF(RecoveredRaw!$B:$B,$A48,RecoveredRaw!BD:BD)</f>
        <v>2</v>
      </c>
      <c r="BB48">
        <f>SUMIF(RecoveredRaw!$B:$B,$A48,RecoveredRaw!BE:BE)</f>
        <v>2</v>
      </c>
      <c r="BC48">
        <f>SUMIF(RecoveredRaw!$B:$B,$A48,RecoveredRaw!BF:BF)</f>
        <v>2</v>
      </c>
      <c r="BD48">
        <f>SUMIF(RecoveredRaw!$B:$B,$A48,RecoveredRaw!BG:BG)</f>
        <v>2</v>
      </c>
      <c r="BE48">
        <f>SUMIF(RecoveredRaw!$B:$B,$A48,RecoveredRaw!BH:BH)</f>
        <v>5</v>
      </c>
      <c r="BF48">
        <f>SUMIF(RecoveredRaw!$B:$B,$A48,RecoveredRaw!BI:BI)</f>
        <v>5</v>
      </c>
      <c r="BG48">
        <f>SUMIF(RecoveredRaw!$B:$B,$A48,RecoveredRaw!BJ:BJ)</f>
        <v>8</v>
      </c>
      <c r="BH48">
        <f>SUMIF(RecoveredRaw!$B:$B,$A48,RecoveredRaw!BK:BK)</f>
        <v>8</v>
      </c>
      <c r="BI48">
        <f>SUMIF(RecoveredRaw!$B:$B,$A48,RecoveredRaw!BL:BL)</f>
        <v>0</v>
      </c>
      <c r="BJ48">
        <f>SUMIF(RecoveredRaw!$B:$B,$A48,RecoveredRaw!BM:BM)</f>
        <v>0</v>
      </c>
      <c r="BK48">
        <f>SUMIF(RecoveredRaw!$B:$B,$A48,RecoveredRaw!BN:BN)</f>
        <v>0</v>
      </c>
      <c r="BL48">
        <f>SUMIF(RecoveredRaw!$B:$B,$A48,RecoveredRaw!BO:BO)</f>
        <v>0</v>
      </c>
      <c r="BM48">
        <f>SUMIF(RecoveredRaw!$B:$B,$A48,RecoveredRaw!BP:BP)</f>
        <v>0</v>
      </c>
      <c r="BN48">
        <f>SUMIF(RecoveredRaw!$B:$B,$A48,RecoveredRaw!BQ:BQ)</f>
        <v>0</v>
      </c>
      <c r="BO48">
        <f>SUMIF(RecoveredRaw!$B:$B,$A48,RecoveredRaw!BR:BR)</f>
        <v>0</v>
      </c>
      <c r="BP48">
        <f>SUMIF(RecoveredRaw!$B:$B,$A48,RecoveredRaw!BS:BS)</f>
        <v>0</v>
      </c>
      <c r="BQ48">
        <f>SUMIF(RecoveredRaw!$B:$B,$A48,RecoveredRaw!BT:BT)</f>
        <v>0</v>
      </c>
      <c r="BR48">
        <f>SUMIF(RecoveredRaw!$B:$B,$A48,RecoveredRaw!BU:BU)</f>
        <v>0</v>
      </c>
      <c r="BS48">
        <f>SUMIF(RecoveredRaw!$B:$B,$A48,RecoveredRaw!BV:BV)</f>
        <v>0</v>
      </c>
      <c r="BT48">
        <f>SUMIF(RecoveredRaw!$B:$B,$A48,RecoveredRaw!BW:BW)</f>
        <v>0</v>
      </c>
    </row>
    <row r="49" spans="1:72" ht="15" thickBot="1" x14ac:dyDescent="0.35">
      <c r="A49" s="3" t="s">
        <v>342</v>
      </c>
      <c r="B49">
        <f>SUMIF(RecoveredRaw!$B:$B,$A49,RecoveredRaw!E:E)</f>
        <v>0</v>
      </c>
      <c r="C49">
        <f>SUMIF(RecoveredRaw!$B:$B,$A49,RecoveredRaw!F:F)</f>
        <v>0</v>
      </c>
      <c r="D49">
        <f>SUMIF(RecoveredRaw!$B:$B,$A49,RecoveredRaw!G:G)</f>
        <v>0</v>
      </c>
      <c r="E49">
        <f>SUMIF(RecoveredRaw!$B:$B,$A49,RecoveredRaw!H:H)</f>
        <v>0</v>
      </c>
      <c r="F49">
        <f>SUMIF(RecoveredRaw!$B:$B,$A49,RecoveredRaw!I:I)</f>
        <v>0</v>
      </c>
      <c r="G49">
        <f>SUMIF(RecoveredRaw!$B:$B,$A49,RecoveredRaw!J:J)</f>
        <v>0</v>
      </c>
      <c r="H49">
        <f>SUMIF(RecoveredRaw!$B:$B,$A49,RecoveredRaw!K:K)</f>
        <v>0</v>
      </c>
      <c r="I49">
        <f>SUMIF(RecoveredRaw!$B:$B,$A49,RecoveredRaw!L:L)</f>
        <v>0</v>
      </c>
      <c r="J49">
        <f>SUMIF(RecoveredRaw!$B:$B,$A49,RecoveredRaw!M:M)</f>
        <v>0</v>
      </c>
      <c r="K49">
        <f>SUMIF(RecoveredRaw!$B:$B,$A49,RecoveredRaw!N:N)</f>
        <v>0</v>
      </c>
      <c r="L49">
        <f>SUMIF(RecoveredRaw!$B:$B,$A49,RecoveredRaw!O:O)</f>
        <v>0</v>
      </c>
      <c r="M49">
        <f>SUMIF(RecoveredRaw!$B:$B,$A49,RecoveredRaw!P:P)</f>
        <v>0</v>
      </c>
      <c r="N49">
        <f>SUMIF(RecoveredRaw!$B:$B,$A49,RecoveredRaw!Q:Q)</f>
        <v>0</v>
      </c>
      <c r="O49">
        <f>SUMIF(RecoveredRaw!$B:$B,$A49,RecoveredRaw!R:R)</f>
        <v>0</v>
      </c>
      <c r="P49">
        <f>SUMIF(RecoveredRaw!$B:$B,$A49,RecoveredRaw!S:S)</f>
        <v>0</v>
      </c>
      <c r="Q49">
        <f>SUMIF(RecoveredRaw!$B:$B,$A49,RecoveredRaw!T:T)</f>
        <v>1</v>
      </c>
      <c r="R49">
        <f>SUMIF(RecoveredRaw!$B:$B,$A49,RecoveredRaw!U:U)</f>
        <v>1</v>
      </c>
      <c r="S49">
        <f>SUMIF(RecoveredRaw!$B:$B,$A49,RecoveredRaw!V:V)</f>
        <v>1</v>
      </c>
      <c r="T49">
        <f>SUMIF(RecoveredRaw!$B:$B,$A49,RecoveredRaw!W:W)</f>
        <v>1</v>
      </c>
      <c r="U49">
        <f>SUMIF(RecoveredRaw!$B:$B,$A49,RecoveredRaw!X:X)</f>
        <v>1</v>
      </c>
      <c r="V49">
        <f>SUMIF(RecoveredRaw!$B:$B,$A49,RecoveredRaw!Y:Y)</f>
        <v>1</v>
      </c>
      <c r="W49">
        <f>SUMIF(RecoveredRaw!$B:$B,$A49,RecoveredRaw!Z:Z)</f>
        <v>1</v>
      </c>
      <c r="X49">
        <f>SUMIF(RecoveredRaw!$B:$B,$A49,RecoveredRaw!AA:AA)</f>
        <v>1</v>
      </c>
      <c r="Y49">
        <f>SUMIF(RecoveredRaw!$B:$B,$A49,RecoveredRaw!AB:AB)</f>
        <v>2</v>
      </c>
      <c r="Z49">
        <f>SUMIF(RecoveredRaw!$B:$B,$A49,RecoveredRaw!AC:AC)</f>
        <v>2</v>
      </c>
      <c r="AA49">
        <f>SUMIF(RecoveredRaw!$B:$B,$A49,RecoveredRaw!AD:AD)</f>
        <v>2</v>
      </c>
      <c r="AB49">
        <f>SUMIF(RecoveredRaw!$B:$B,$A49,RecoveredRaw!AE:AE)</f>
        <v>2</v>
      </c>
      <c r="AC49">
        <f>SUMIF(RecoveredRaw!$B:$B,$A49,RecoveredRaw!AF:AF)</f>
        <v>2</v>
      </c>
      <c r="AD49">
        <f>SUMIF(RecoveredRaw!$B:$B,$A49,RecoveredRaw!AG:AG)</f>
        <v>2</v>
      </c>
      <c r="AE49">
        <f>SUMIF(RecoveredRaw!$B:$B,$A49,RecoveredRaw!AH:AH)</f>
        <v>2</v>
      </c>
      <c r="AF49">
        <f>SUMIF(RecoveredRaw!$B:$B,$A49,RecoveredRaw!AI:AI)</f>
        <v>2</v>
      </c>
      <c r="AG49">
        <f>SUMIF(RecoveredRaw!$B:$B,$A49,RecoveredRaw!AJ:AJ)</f>
        <v>2</v>
      </c>
      <c r="AH49">
        <f>SUMIF(RecoveredRaw!$B:$B,$A49,RecoveredRaw!AK:AK)</f>
        <v>2</v>
      </c>
      <c r="AI49">
        <f>SUMIF(RecoveredRaw!$B:$B,$A49,RecoveredRaw!AL:AL)</f>
        <v>5</v>
      </c>
      <c r="AJ49">
        <f>SUMIF(RecoveredRaw!$B:$B,$A49,RecoveredRaw!AM:AM)</f>
        <v>5</v>
      </c>
      <c r="AK49">
        <f>SUMIF(RecoveredRaw!$B:$B,$A49,RecoveredRaw!AN:AN)</f>
        <v>5</v>
      </c>
      <c r="AL49">
        <f>SUMIF(RecoveredRaw!$B:$B,$A49,RecoveredRaw!AO:AO)</f>
        <v>5</v>
      </c>
      <c r="AM49">
        <f>SUMIF(RecoveredRaw!$B:$B,$A49,RecoveredRaw!AP:AP)</f>
        <v>6</v>
      </c>
      <c r="AN49">
        <f>SUMIF(RecoveredRaw!$B:$B,$A49,RecoveredRaw!AQ:AQ)</f>
        <v>9</v>
      </c>
      <c r="AO49">
        <f>SUMIF(RecoveredRaw!$B:$B,$A49,RecoveredRaw!AR:AR)</f>
        <v>9</v>
      </c>
      <c r="AP49">
        <f>SUMIF(RecoveredRaw!$B:$B,$A49,RecoveredRaw!AS:AS)</f>
        <v>12</v>
      </c>
      <c r="AQ49">
        <f>SUMIF(RecoveredRaw!$B:$B,$A49,RecoveredRaw!AT:AT)</f>
        <v>12</v>
      </c>
      <c r="AR49">
        <f>SUMIF(RecoveredRaw!$B:$B,$A49,RecoveredRaw!AU:AU)</f>
        <v>12</v>
      </c>
      <c r="AS49">
        <f>SUMIF(RecoveredRaw!$B:$B,$A49,RecoveredRaw!AV:AV)</f>
        <v>12</v>
      </c>
      <c r="AT49">
        <f>SUMIF(RecoveredRaw!$B:$B,$A49,RecoveredRaw!AW:AW)</f>
        <v>12</v>
      </c>
      <c r="AU49">
        <f>SUMIF(RecoveredRaw!$B:$B,$A49,RecoveredRaw!AX:AX)</f>
        <v>12</v>
      </c>
      <c r="AV49">
        <f>SUMIF(RecoveredRaw!$B:$B,$A49,RecoveredRaw!AY:AY)</f>
        <v>13</v>
      </c>
      <c r="AW49">
        <f>SUMIF(RecoveredRaw!$B:$B,$A49,RecoveredRaw!AZ:AZ)</f>
        <v>15</v>
      </c>
      <c r="AX49">
        <f>SUMIF(RecoveredRaw!$B:$B,$A49,RecoveredRaw!BA:BA)</f>
        <v>17</v>
      </c>
      <c r="AY49">
        <f>SUMIF(RecoveredRaw!$B:$B,$A49,RecoveredRaw!BB:BB)</f>
        <v>17</v>
      </c>
      <c r="AZ49">
        <f>SUMIF(RecoveredRaw!$B:$B,$A49,RecoveredRaw!BC:BC)</f>
        <v>20</v>
      </c>
      <c r="BA49">
        <f>SUMIF(RecoveredRaw!$B:$B,$A49,RecoveredRaw!BD:BD)</f>
        <v>20</v>
      </c>
      <c r="BB49">
        <f>SUMIF(RecoveredRaw!$B:$B,$A49,RecoveredRaw!BE:BE)</f>
        <v>20</v>
      </c>
      <c r="BC49">
        <f>SUMIF(RecoveredRaw!$B:$B,$A49,RecoveredRaw!BF:BF)</f>
        <v>20</v>
      </c>
      <c r="BD49">
        <f>SUMIF(RecoveredRaw!$B:$B,$A49,RecoveredRaw!BG:BG)</f>
        <v>20</v>
      </c>
      <c r="BE49">
        <f>SUMIF(RecoveredRaw!$B:$B,$A49,RecoveredRaw!BH:BH)</f>
        <v>22</v>
      </c>
      <c r="BF49">
        <f>SUMIF(RecoveredRaw!$B:$B,$A49,RecoveredRaw!BI:BI)</f>
        <v>22</v>
      </c>
      <c r="BG49">
        <f>SUMIF(RecoveredRaw!$B:$B,$A49,RecoveredRaw!BJ:BJ)</f>
        <v>26</v>
      </c>
      <c r="BH49">
        <f>SUMIF(RecoveredRaw!$B:$B,$A49,RecoveredRaw!BK:BK)</f>
        <v>26</v>
      </c>
      <c r="BI49">
        <f>SUMIF(RecoveredRaw!$B:$B,$A49,RecoveredRaw!BL:BL)</f>
        <v>0</v>
      </c>
      <c r="BJ49">
        <f>SUMIF(RecoveredRaw!$B:$B,$A49,RecoveredRaw!BM:BM)</f>
        <v>0</v>
      </c>
      <c r="BK49">
        <f>SUMIF(RecoveredRaw!$B:$B,$A49,RecoveredRaw!BN:BN)</f>
        <v>0</v>
      </c>
      <c r="BL49">
        <f>SUMIF(RecoveredRaw!$B:$B,$A49,RecoveredRaw!BO:BO)</f>
        <v>0</v>
      </c>
      <c r="BM49">
        <f>SUMIF(RecoveredRaw!$B:$B,$A49,RecoveredRaw!BP:BP)</f>
        <v>0</v>
      </c>
      <c r="BN49">
        <f>SUMIF(RecoveredRaw!$B:$B,$A49,RecoveredRaw!BQ:BQ)</f>
        <v>0</v>
      </c>
      <c r="BO49">
        <f>SUMIF(RecoveredRaw!$B:$B,$A49,RecoveredRaw!BR:BR)</f>
        <v>0</v>
      </c>
      <c r="BP49">
        <f>SUMIF(RecoveredRaw!$B:$B,$A49,RecoveredRaw!BS:BS)</f>
        <v>0</v>
      </c>
      <c r="BQ49">
        <f>SUMIF(RecoveredRaw!$B:$B,$A49,RecoveredRaw!BT:BT)</f>
        <v>0</v>
      </c>
      <c r="BR49">
        <f>SUMIF(RecoveredRaw!$B:$B,$A49,RecoveredRaw!BU:BU)</f>
        <v>0</v>
      </c>
      <c r="BS49">
        <f>SUMIF(RecoveredRaw!$B:$B,$A49,RecoveredRaw!BV:BV)</f>
        <v>0</v>
      </c>
      <c r="BT49">
        <f>SUMIF(RecoveredRaw!$B:$B,$A49,RecoveredRaw!BW:BW)</f>
        <v>0</v>
      </c>
    </row>
    <row r="50" spans="1:72" ht="15" thickBot="1" x14ac:dyDescent="0.35">
      <c r="A50" s="4" t="s">
        <v>343</v>
      </c>
      <c r="B50">
        <f>SUMIF(RecoveredRaw!$B:$B,$A50,RecoveredRaw!E:E)</f>
        <v>0</v>
      </c>
      <c r="C50">
        <f>SUMIF(RecoveredRaw!$B:$B,$A50,RecoveredRaw!F:F)</f>
        <v>0</v>
      </c>
      <c r="D50">
        <f>SUMIF(RecoveredRaw!$B:$B,$A50,RecoveredRaw!G:G)</f>
        <v>0</v>
      </c>
      <c r="E50">
        <f>SUMIF(RecoveredRaw!$B:$B,$A50,RecoveredRaw!H:H)</f>
        <v>0</v>
      </c>
      <c r="F50">
        <f>SUMIF(RecoveredRaw!$B:$B,$A50,RecoveredRaw!I:I)</f>
        <v>0</v>
      </c>
      <c r="G50">
        <f>SUMIF(RecoveredRaw!$B:$B,$A50,RecoveredRaw!J:J)</f>
        <v>0</v>
      </c>
      <c r="H50">
        <f>SUMIF(RecoveredRaw!$B:$B,$A50,RecoveredRaw!K:K)</f>
        <v>0</v>
      </c>
      <c r="I50">
        <f>SUMIF(RecoveredRaw!$B:$B,$A50,RecoveredRaw!L:L)</f>
        <v>0</v>
      </c>
      <c r="J50">
        <f>SUMIF(RecoveredRaw!$B:$B,$A50,RecoveredRaw!M:M)</f>
        <v>0</v>
      </c>
      <c r="K50">
        <f>SUMIF(RecoveredRaw!$B:$B,$A50,RecoveredRaw!N:N)</f>
        <v>0</v>
      </c>
      <c r="L50">
        <f>SUMIF(RecoveredRaw!$B:$B,$A50,RecoveredRaw!O:O)</f>
        <v>1</v>
      </c>
      <c r="M50">
        <f>SUMIF(RecoveredRaw!$B:$B,$A50,RecoveredRaw!P:P)</f>
        <v>1</v>
      </c>
      <c r="N50">
        <f>SUMIF(RecoveredRaw!$B:$B,$A50,RecoveredRaw!Q:Q)</f>
        <v>1</v>
      </c>
      <c r="O50">
        <f>SUMIF(RecoveredRaw!$B:$B,$A50,RecoveredRaw!R:R)</f>
        <v>1</v>
      </c>
      <c r="P50">
        <f>SUMIF(RecoveredRaw!$B:$B,$A50,RecoveredRaw!S:S)</f>
        <v>1</v>
      </c>
      <c r="Q50">
        <f>SUMIF(RecoveredRaw!$B:$B,$A50,RecoveredRaw!T:T)</f>
        <v>1</v>
      </c>
      <c r="R50">
        <f>SUMIF(RecoveredRaw!$B:$B,$A50,RecoveredRaw!U:U)</f>
        <v>1</v>
      </c>
      <c r="S50">
        <f>SUMIF(RecoveredRaw!$B:$B,$A50,RecoveredRaw!V:V)</f>
        <v>1</v>
      </c>
      <c r="T50">
        <f>SUMIF(RecoveredRaw!$B:$B,$A50,RecoveredRaw!W:W)</f>
        <v>1</v>
      </c>
      <c r="U50">
        <f>SUMIF(RecoveredRaw!$B:$B,$A50,RecoveredRaw!X:X)</f>
        <v>1</v>
      </c>
      <c r="V50">
        <f>SUMIF(RecoveredRaw!$B:$B,$A50,RecoveredRaw!Y:Y)</f>
        <v>6</v>
      </c>
      <c r="W50">
        <f>SUMIF(RecoveredRaw!$B:$B,$A50,RecoveredRaw!Z:Z)</f>
        <v>6</v>
      </c>
      <c r="X50">
        <f>SUMIF(RecoveredRaw!$B:$B,$A50,RecoveredRaw!AA:AA)</f>
        <v>7</v>
      </c>
      <c r="Y50">
        <f>SUMIF(RecoveredRaw!$B:$B,$A50,RecoveredRaw!AB:AB)</f>
        <v>7</v>
      </c>
      <c r="Z50">
        <f>SUMIF(RecoveredRaw!$B:$B,$A50,RecoveredRaw!AC:AC)</f>
        <v>7</v>
      </c>
      <c r="AA50">
        <f>SUMIF(RecoveredRaw!$B:$B,$A50,RecoveredRaw!AD:AD)</f>
        <v>7</v>
      </c>
      <c r="AB50">
        <f>SUMIF(RecoveredRaw!$B:$B,$A50,RecoveredRaw!AE:AE)</f>
        <v>7</v>
      </c>
      <c r="AC50">
        <f>SUMIF(RecoveredRaw!$B:$B,$A50,RecoveredRaw!AF:AF)</f>
        <v>7</v>
      </c>
      <c r="AD50">
        <f>SUMIF(RecoveredRaw!$B:$B,$A50,RecoveredRaw!AG:AG)</f>
        <v>7</v>
      </c>
      <c r="AE50">
        <f>SUMIF(RecoveredRaw!$B:$B,$A50,RecoveredRaw!AH:AH)</f>
        <v>7</v>
      </c>
      <c r="AF50">
        <f>SUMIF(RecoveredRaw!$B:$B,$A50,RecoveredRaw!AI:AI)</f>
        <v>14</v>
      </c>
      <c r="AG50">
        <f>SUMIF(RecoveredRaw!$B:$B,$A50,RecoveredRaw!AJ:AJ)</f>
        <v>14</v>
      </c>
      <c r="AH50">
        <f>SUMIF(RecoveredRaw!$B:$B,$A50,RecoveredRaw!AK:AK)</f>
        <v>14</v>
      </c>
      <c r="AI50">
        <f>SUMIF(RecoveredRaw!$B:$B,$A50,RecoveredRaw!AL:AL)</f>
        <v>14</v>
      </c>
      <c r="AJ50">
        <f>SUMIF(RecoveredRaw!$B:$B,$A50,RecoveredRaw!AM:AM)</f>
        <v>16</v>
      </c>
      <c r="AK50">
        <f>SUMIF(RecoveredRaw!$B:$B,$A50,RecoveredRaw!AN:AN)</f>
        <v>16</v>
      </c>
      <c r="AL50">
        <f>SUMIF(RecoveredRaw!$B:$B,$A50,RecoveredRaw!AO:AO)</f>
        <v>16</v>
      </c>
      <c r="AM50">
        <f>SUMIF(RecoveredRaw!$B:$B,$A50,RecoveredRaw!AP:AP)</f>
        <v>16</v>
      </c>
      <c r="AN50">
        <f>SUMIF(RecoveredRaw!$B:$B,$A50,RecoveredRaw!AQ:AQ)</f>
        <v>16</v>
      </c>
      <c r="AO50">
        <f>SUMIF(RecoveredRaw!$B:$B,$A50,RecoveredRaw!AR:AR)</f>
        <v>16</v>
      </c>
      <c r="AP50">
        <f>SUMIF(RecoveredRaw!$B:$B,$A50,RecoveredRaw!AS:AS)</f>
        <v>16</v>
      </c>
      <c r="AQ50">
        <f>SUMIF(RecoveredRaw!$B:$B,$A50,RecoveredRaw!AT:AT)</f>
        <v>16</v>
      </c>
      <c r="AR50">
        <f>SUMIF(RecoveredRaw!$B:$B,$A50,RecoveredRaw!AU:AU)</f>
        <v>16</v>
      </c>
      <c r="AS50">
        <f>SUMIF(RecoveredRaw!$B:$B,$A50,RecoveredRaw!AV:AV)</f>
        <v>16</v>
      </c>
      <c r="AT50">
        <f>SUMIF(RecoveredRaw!$B:$B,$A50,RecoveredRaw!AW:AW)</f>
        <v>16</v>
      </c>
      <c r="AU50">
        <f>SUMIF(RecoveredRaw!$B:$B,$A50,RecoveredRaw!AX:AX)</f>
        <v>16</v>
      </c>
      <c r="AV50">
        <f>SUMIF(RecoveredRaw!$B:$B,$A50,RecoveredRaw!AY:AY)</f>
        <v>16</v>
      </c>
      <c r="AW50">
        <f>SUMIF(RecoveredRaw!$B:$B,$A50,RecoveredRaw!AZ:AZ)</f>
        <v>16</v>
      </c>
      <c r="AX50">
        <f>SUMIF(RecoveredRaw!$B:$B,$A50,RecoveredRaw!BA:BA)</f>
        <v>16</v>
      </c>
      <c r="AY50">
        <f>SUMIF(RecoveredRaw!$B:$B,$A50,RecoveredRaw!BB:BB)</f>
        <v>16</v>
      </c>
      <c r="AZ50">
        <f>SUMIF(RecoveredRaw!$B:$B,$A50,RecoveredRaw!BC:BC)</f>
        <v>16</v>
      </c>
      <c r="BA50">
        <f>SUMIF(RecoveredRaw!$B:$B,$A50,RecoveredRaw!BD:BD)</f>
        <v>16</v>
      </c>
      <c r="BB50">
        <f>SUMIF(RecoveredRaw!$B:$B,$A50,RecoveredRaw!BE:BE)</f>
        <v>16</v>
      </c>
      <c r="BC50">
        <f>SUMIF(RecoveredRaw!$B:$B,$A50,RecoveredRaw!BF:BF)</f>
        <v>16</v>
      </c>
      <c r="BD50">
        <f>SUMIF(RecoveredRaw!$B:$B,$A50,RecoveredRaw!BG:BG)</f>
        <v>16</v>
      </c>
      <c r="BE50">
        <f>SUMIF(RecoveredRaw!$B:$B,$A50,RecoveredRaw!BH:BH)</f>
        <v>16</v>
      </c>
      <c r="BF50">
        <f>SUMIF(RecoveredRaw!$B:$B,$A50,RecoveredRaw!BI:BI)</f>
        <v>16</v>
      </c>
      <c r="BG50">
        <f>SUMIF(RecoveredRaw!$B:$B,$A50,RecoveredRaw!BJ:BJ)</f>
        <v>16</v>
      </c>
      <c r="BH50">
        <f>SUMIF(RecoveredRaw!$B:$B,$A50,RecoveredRaw!BK:BK)</f>
        <v>16</v>
      </c>
      <c r="BI50">
        <f>SUMIF(RecoveredRaw!$B:$B,$A50,RecoveredRaw!BL:BL)</f>
        <v>0</v>
      </c>
      <c r="BJ50">
        <f>SUMIF(RecoveredRaw!$B:$B,$A50,RecoveredRaw!BM:BM)</f>
        <v>0</v>
      </c>
      <c r="BK50">
        <f>SUMIF(RecoveredRaw!$B:$B,$A50,RecoveredRaw!BN:BN)</f>
        <v>0</v>
      </c>
      <c r="BL50">
        <f>SUMIF(RecoveredRaw!$B:$B,$A50,RecoveredRaw!BO:BO)</f>
        <v>0</v>
      </c>
      <c r="BM50">
        <f>SUMIF(RecoveredRaw!$B:$B,$A50,RecoveredRaw!BP:BP)</f>
        <v>0</v>
      </c>
      <c r="BN50">
        <f>SUMIF(RecoveredRaw!$B:$B,$A50,RecoveredRaw!BQ:BQ)</f>
        <v>0</v>
      </c>
      <c r="BO50">
        <f>SUMIF(RecoveredRaw!$B:$B,$A50,RecoveredRaw!BR:BR)</f>
        <v>0</v>
      </c>
      <c r="BP50">
        <f>SUMIF(RecoveredRaw!$B:$B,$A50,RecoveredRaw!BS:BS)</f>
        <v>0</v>
      </c>
      <c r="BQ50">
        <f>SUMIF(RecoveredRaw!$B:$B,$A50,RecoveredRaw!BT:BT)</f>
        <v>0</v>
      </c>
      <c r="BR50">
        <f>SUMIF(RecoveredRaw!$B:$B,$A50,RecoveredRaw!BU:BU)</f>
        <v>0</v>
      </c>
      <c r="BS50">
        <f>SUMIF(RecoveredRaw!$B:$B,$A50,RecoveredRaw!BV:BV)</f>
        <v>0</v>
      </c>
      <c r="BT50">
        <f>SUMIF(RecoveredRaw!$B:$B,$A50,RecoveredRaw!BW:BW)</f>
        <v>0</v>
      </c>
    </row>
    <row r="51" spans="1:72" ht="15" thickBot="1" x14ac:dyDescent="0.35">
      <c r="A51" s="3" t="s">
        <v>344</v>
      </c>
      <c r="B51">
        <f>SUMIF(RecoveredRaw!$B:$B,$A51,RecoveredRaw!E:E)</f>
        <v>0</v>
      </c>
      <c r="C51">
        <f>SUMIF(RecoveredRaw!$B:$B,$A51,RecoveredRaw!F:F)</f>
        <v>0</v>
      </c>
      <c r="D51">
        <f>SUMIF(RecoveredRaw!$B:$B,$A51,RecoveredRaw!G:G)</f>
        <v>0</v>
      </c>
      <c r="E51">
        <f>SUMIF(RecoveredRaw!$B:$B,$A51,RecoveredRaw!H:H)</f>
        <v>0</v>
      </c>
      <c r="F51">
        <f>SUMIF(RecoveredRaw!$B:$B,$A51,RecoveredRaw!I:I)</f>
        <v>0</v>
      </c>
      <c r="G51">
        <f>SUMIF(RecoveredRaw!$B:$B,$A51,RecoveredRaw!J:J)</f>
        <v>0</v>
      </c>
      <c r="H51">
        <f>SUMIF(RecoveredRaw!$B:$B,$A51,RecoveredRaw!K:K)</f>
        <v>0</v>
      </c>
      <c r="I51">
        <f>SUMIF(RecoveredRaw!$B:$B,$A51,RecoveredRaw!L:L)</f>
        <v>0</v>
      </c>
      <c r="J51">
        <f>SUMIF(RecoveredRaw!$B:$B,$A51,RecoveredRaw!M:M)</f>
        <v>0</v>
      </c>
      <c r="K51">
        <f>SUMIF(RecoveredRaw!$B:$B,$A51,RecoveredRaw!N:N)</f>
        <v>0</v>
      </c>
      <c r="L51">
        <f>SUMIF(RecoveredRaw!$B:$B,$A51,RecoveredRaw!O:O)</f>
        <v>0</v>
      </c>
      <c r="M51">
        <f>SUMIF(RecoveredRaw!$B:$B,$A51,RecoveredRaw!P:P)</f>
        <v>0</v>
      </c>
      <c r="N51">
        <f>SUMIF(RecoveredRaw!$B:$B,$A51,RecoveredRaw!Q:Q)</f>
        <v>0</v>
      </c>
      <c r="O51">
        <f>SUMIF(RecoveredRaw!$B:$B,$A51,RecoveredRaw!R:R)</f>
        <v>0</v>
      </c>
      <c r="P51">
        <f>SUMIF(RecoveredRaw!$B:$B,$A51,RecoveredRaw!S:S)</f>
        <v>0</v>
      </c>
      <c r="Q51">
        <f>SUMIF(RecoveredRaw!$B:$B,$A51,RecoveredRaw!T:T)</f>
        <v>0</v>
      </c>
      <c r="R51">
        <f>SUMIF(RecoveredRaw!$B:$B,$A51,RecoveredRaw!U:U)</f>
        <v>0</v>
      </c>
      <c r="S51">
        <f>SUMIF(RecoveredRaw!$B:$B,$A51,RecoveredRaw!V:V)</f>
        <v>0</v>
      </c>
      <c r="T51">
        <f>SUMIF(RecoveredRaw!$B:$B,$A51,RecoveredRaw!W:W)</f>
        <v>0</v>
      </c>
      <c r="U51">
        <f>SUMIF(RecoveredRaw!$B:$B,$A51,RecoveredRaw!X:X)</f>
        <v>0</v>
      </c>
      <c r="V51">
        <f>SUMIF(RecoveredRaw!$B:$B,$A51,RecoveredRaw!Y:Y)</f>
        <v>0</v>
      </c>
      <c r="W51">
        <f>SUMIF(RecoveredRaw!$B:$B,$A51,RecoveredRaw!Z:Z)</f>
        <v>2</v>
      </c>
      <c r="X51">
        <f>SUMIF(RecoveredRaw!$B:$B,$A51,RecoveredRaw!AA:AA)</f>
        <v>2</v>
      </c>
      <c r="Y51">
        <f>SUMIF(RecoveredRaw!$B:$B,$A51,RecoveredRaw!AB:AB)</f>
        <v>2</v>
      </c>
      <c r="Z51">
        <f>SUMIF(RecoveredRaw!$B:$B,$A51,RecoveredRaw!AC:AC)</f>
        <v>2</v>
      </c>
      <c r="AA51">
        <f>SUMIF(RecoveredRaw!$B:$B,$A51,RecoveredRaw!AD:AD)</f>
        <v>2</v>
      </c>
      <c r="AB51">
        <f>SUMIF(RecoveredRaw!$B:$B,$A51,RecoveredRaw!AE:AE)</f>
        <v>2</v>
      </c>
      <c r="AC51">
        <f>SUMIF(RecoveredRaw!$B:$B,$A51,RecoveredRaw!AF:AF)</f>
        <v>2</v>
      </c>
      <c r="AD51">
        <f>SUMIF(RecoveredRaw!$B:$B,$A51,RecoveredRaw!AG:AG)</f>
        <v>2</v>
      </c>
      <c r="AE51">
        <f>SUMIF(RecoveredRaw!$B:$B,$A51,RecoveredRaw!AH:AH)</f>
        <v>2</v>
      </c>
      <c r="AF51">
        <f>SUMIF(RecoveredRaw!$B:$B,$A51,RecoveredRaw!AI:AI)</f>
        <v>2</v>
      </c>
      <c r="AG51">
        <f>SUMIF(RecoveredRaw!$B:$B,$A51,RecoveredRaw!AJ:AJ)</f>
        <v>2</v>
      </c>
      <c r="AH51">
        <f>SUMIF(RecoveredRaw!$B:$B,$A51,RecoveredRaw!AK:AK)</f>
        <v>2</v>
      </c>
      <c r="AI51">
        <f>SUMIF(RecoveredRaw!$B:$B,$A51,RecoveredRaw!AL:AL)</f>
        <v>2</v>
      </c>
      <c r="AJ51">
        <f>SUMIF(RecoveredRaw!$B:$B,$A51,RecoveredRaw!AM:AM)</f>
        <v>2</v>
      </c>
      <c r="AK51">
        <f>SUMIF(RecoveredRaw!$B:$B,$A51,RecoveredRaw!AN:AN)</f>
        <v>2</v>
      </c>
      <c r="AL51">
        <f>SUMIF(RecoveredRaw!$B:$B,$A51,RecoveredRaw!AO:AO)</f>
        <v>2</v>
      </c>
      <c r="AM51">
        <f>SUMIF(RecoveredRaw!$B:$B,$A51,RecoveredRaw!AP:AP)</f>
        <v>2</v>
      </c>
      <c r="AN51">
        <f>SUMIF(RecoveredRaw!$B:$B,$A51,RecoveredRaw!AQ:AQ)</f>
        <v>2</v>
      </c>
      <c r="AO51">
        <f>SUMIF(RecoveredRaw!$B:$B,$A51,RecoveredRaw!AR:AR)</f>
        <v>2</v>
      </c>
      <c r="AP51">
        <f>SUMIF(RecoveredRaw!$B:$B,$A51,RecoveredRaw!AS:AS)</f>
        <v>2</v>
      </c>
      <c r="AQ51">
        <f>SUMIF(RecoveredRaw!$B:$B,$A51,RecoveredRaw!AT:AT)</f>
        <v>2</v>
      </c>
      <c r="AR51">
        <f>SUMIF(RecoveredRaw!$B:$B,$A51,RecoveredRaw!AU:AU)</f>
        <v>2</v>
      </c>
      <c r="AS51">
        <f>SUMIF(RecoveredRaw!$B:$B,$A51,RecoveredRaw!AV:AV)</f>
        <v>2</v>
      </c>
      <c r="AT51">
        <f>SUMIF(RecoveredRaw!$B:$B,$A51,RecoveredRaw!AW:AW)</f>
        <v>2</v>
      </c>
      <c r="AU51">
        <f>SUMIF(RecoveredRaw!$B:$B,$A51,RecoveredRaw!AX:AX)</f>
        <v>2</v>
      </c>
      <c r="AV51">
        <f>SUMIF(RecoveredRaw!$B:$B,$A51,RecoveredRaw!AY:AY)</f>
        <v>3</v>
      </c>
      <c r="AW51">
        <f>SUMIF(RecoveredRaw!$B:$B,$A51,RecoveredRaw!AZ:AZ)</f>
        <v>3</v>
      </c>
      <c r="AX51">
        <f>SUMIF(RecoveredRaw!$B:$B,$A51,RecoveredRaw!BA:BA)</f>
        <v>3</v>
      </c>
      <c r="AY51">
        <f>SUMIF(RecoveredRaw!$B:$B,$A51,RecoveredRaw!BB:BB)</f>
        <v>3</v>
      </c>
      <c r="AZ51">
        <f>SUMIF(RecoveredRaw!$B:$B,$A51,RecoveredRaw!BC:BC)</f>
        <v>3</v>
      </c>
      <c r="BA51">
        <f>SUMIF(RecoveredRaw!$B:$B,$A51,RecoveredRaw!BD:BD)</f>
        <v>3</v>
      </c>
      <c r="BB51">
        <f>SUMIF(RecoveredRaw!$B:$B,$A51,RecoveredRaw!BE:BE)</f>
        <v>8</v>
      </c>
      <c r="BC51">
        <f>SUMIF(RecoveredRaw!$B:$B,$A51,RecoveredRaw!BF:BF)</f>
        <v>8</v>
      </c>
      <c r="BD51">
        <f>SUMIF(RecoveredRaw!$B:$B,$A51,RecoveredRaw!BG:BG)</f>
        <v>8</v>
      </c>
      <c r="BE51">
        <f>SUMIF(RecoveredRaw!$B:$B,$A51,RecoveredRaw!BH:BH)</f>
        <v>8</v>
      </c>
      <c r="BF51">
        <f>SUMIF(RecoveredRaw!$B:$B,$A51,RecoveredRaw!BI:BI)</f>
        <v>8</v>
      </c>
      <c r="BG51">
        <f>SUMIF(RecoveredRaw!$B:$B,$A51,RecoveredRaw!BJ:BJ)</f>
        <v>9</v>
      </c>
      <c r="BH51">
        <f>SUMIF(RecoveredRaw!$B:$B,$A51,RecoveredRaw!BK:BK)</f>
        <v>9</v>
      </c>
      <c r="BI51">
        <f>SUMIF(RecoveredRaw!$B:$B,$A51,RecoveredRaw!BL:BL)</f>
        <v>0</v>
      </c>
      <c r="BJ51">
        <f>SUMIF(RecoveredRaw!$B:$B,$A51,RecoveredRaw!BM:BM)</f>
        <v>0</v>
      </c>
      <c r="BK51">
        <f>SUMIF(RecoveredRaw!$B:$B,$A51,RecoveredRaw!BN:BN)</f>
        <v>0</v>
      </c>
      <c r="BL51">
        <f>SUMIF(RecoveredRaw!$B:$B,$A51,RecoveredRaw!BO:BO)</f>
        <v>0</v>
      </c>
      <c r="BM51">
        <f>SUMIF(RecoveredRaw!$B:$B,$A51,RecoveredRaw!BP:BP)</f>
        <v>0</v>
      </c>
      <c r="BN51">
        <f>SUMIF(RecoveredRaw!$B:$B,$A51,RecoveredRaw!BQ:BQ)</f>
        <v>0</v>
      </c>
      <c r="BO51">
        <f>SUMIF(RecoveredRaw!$B:$B,$A51,RecoveredRaw!BR:BR)</f>
        <v>0</v>
      </c>
      <c r="BP51">
        <f>SUMIF(RecoveredRaw!$B:$B,$A51,RecoveredRaw!BS:BS)</f>
        <v>0</v>
      </c>
      <c r="BQ51">
        <f>SUMIF(RecoveredRaw!$B:$B,$A51,RecoveredRaw!BT:BT)</f>
        <v>0</v>
      </c>
      <c r="BR51">
        <f>SUMIF(RecoveredRaw!$B:$B,$A51,RecoveredRaw!BU:BU)</f>
        <v>0</v>
      </c>
      <c r="BS51">
        <f>SUMIF(RecoveredRaw!$B:$B,$A51,RecoveredRaw!BV:BV)</f>
        <v>0</v>
      </c>
      <c r="BT51">
        <f>SUMIF(RecoveredRaw!$B:$B,$A51,RecoveredRaw!BW:BW)</f>
        <v>0</v>
      </c>
    </row>
    <row r="52" spans="1:72" ht="15" thickBot="1" x14ac:dyDescent="0.35">
      <c r="A52" s="3" t="s">
        <v>124</v>
      </c>
      <c r="B52">
        <f>SUMIF(RecoveredRaw!$B:$B,$A52,RecoveredRaw!E:E)</f>
        <v>0</v>
      </c>
      <c r="C52">
        <f>SUMIF(RecoveredRaw!$B:$B,$A52,RecoveredRaw!F:F)</f>
        <v>0</v>
      </c>
      <c r="D52">
        <f>SUMIF(RecoveredRaw!$B:$B,$A52,RecoveredRaw!G:G)</f>
        <v>0</v>
      </c>
      <c r="E52">
        <f>SUMIF(RecoveredRaw!$B:$B,$A52,RecoveredRaw!H:H)</f>
        <v>0</v>
      </c>
      <c r="F52">
        <f>SUMIF(RecoveredRaw!$B:$B,$A52,RecoveredRaw!I:I)</f>
        <v>0</v>
      </c>
      <c r="G52">
        <f>SUMIF(RecoveredRaw!$B:$B,$A52,RecoveredRaw!J:J)</f>
        <v>0</v>
      </c>
      <c r="H52">
        <f>SUMIF(RecoveredRaw!$B:$B,$A52,RecoveredRaw!K:K)</f>
        <v>0</v>
      </c>
      <c r="I52">
        <f>SUMIF(RecoveredRaw!$B:$B,$A52,RecoveredRaw!L:L)</f>
        <v>0</v>
      </c>
      <c r="J52">
        <f>SUMIF(RecoveredRaw!$B:$B,$A52,RecoveredRaw!M:M)</f>
        <v>0</v>
      </c>
      <c r="K52">
        <f>SUMIF(RecoveredRaw!$B:$B,$A52,RecoveredRaw!N:N)</f>
        <v>0</v>
      </c>
      <c r="L52">
        <f>SUMIF(RecoveredRaw!$B:$B,$A52,RecoveredRaw!O:O)</f>
        <v>0</v>
      </c>
      <c r="M52">
        <f>SUMIF(RecoveredRaw!$B:$B,$A52,RecoveredRaw!P:P)</f>
        <v>0</v>
      </c>
      <c r="N52">
        <f>SUMIF(RecoveredRaw!$B:$B,$A52,RecoveredRaw!Q:Q)</f>
        <v>0</v>
      </c>
      <c r="O52">
        <f>SUMIF(RecoveredRaw!$B:$B,$A52,RecoveredRaw!R:R)</f>
        <v>0</v>
      </c>
      <c r="P52">
        <f>SUMIF(RecoveredRaw!$B:$B,$A52,RecoveredRaw!S:S)</f>
        <v>0</v>
      </c>
      <c r="Q52">
        <f>SUMIF(RecoveredRaw!$B:$B,$A52,RecoveredRaw!T:T)</f>
        <v>0</v>
      </c>
      <c r="R52">
        <f>SUMIF(RecoveredRaw!$B:$B,$A52,RecoveredRaw!U:U)</f>
        <v>0</v>
      </c>
      <c r="S52">
        <f>SUMIF(RecoveredRaw!$B:$B,$A52,RecoveredRaw!V:V)</f>
        <v>0</v>
      </c>
      <c r="T52">
        <f>SUMIF(RecoveredRaw!$B:$B,$A52,RecoveredRaw!W:W)</f>
        <v>0</v>
      </c>
      <c r="U52">
        <f>SUMIF(RecoveredRaw!$B:$B,$A52,RecoveredRaw!X:X)</f>
        <v>0</v>
      </c>
      <c r="V52">
        <f>SUMIF(RecoveredRaw!$B:$B,$A52,RecoveredRaw!Y:Y)</f>
        <v>0</v>
      </c>
      <c r="W52">
        <f>SUMIF(RecoveredRaw!$B:$B,$A52,RecoveredRaw!Z:Z)</f>
        <v>0</v>
      </c>
      <c r="X52">
        <f>SUMIF(RecoveredRaw!$B:$B,$A52,RecoveredRaw!AA:AA)</f>
        <v>0</v>
      </c>
      <c r="Y52">
        <f>SUMIF(RecoveredRaw!$B:$B,$A52,RecoveredRaw!AB:AB)</f>
        <v>0</v>
      </c>
      <c r="Z52">
        <f>SUMIF(RecoveredRaw!$B:$B,$A52,RecoveredRaw!AC:AC)</f>
        <v>0</v>
      </c>
      <c r="AA52">
        <f>SUMIF(RecoveredRaw!$B:$B,$A52,RecoveredRaw!AD:AD)</f>
        <v>0</v>
      </c>
      <c r="AB52">
        <f>SUMIF(RecoveredRaw!$B:$B,$A52,RecoveredRaw!AE:AE)</f>
        <v>0</v>
      </c>
      <c r="AC52">
        <f>SUMIF(RecoveredRaw!$B:$B,$A52,RecoveredRaw!AF:AF)</f>
        <v>0</v>
      </c>
      <c r="AD52">
        <f>SUMIF(RecoveredRaw!$B:$B,$A52,RecoveredRaw!AG:AG)</f>
        <v>0</v>
      </c>
      <c r="AE52">
        <f>SUMIF(RecoveredRaw!$B:$B,$A52,RecoveredRaw!AH:AH)</f>
        <v>0</v>
      </c>
      <c r="AF52">
        <f>SUMIF(RecoveredRaw!$B:$B,$A52,RecoveredRaw!AI:AI)</f>
        <v>0</v>
      </c>
      <c r="AG52">
        <f>SUMIF(RecoveredRaw!$B:$B,$A52,RecoveredRaw!AJ:AJ)</f>
        <v>0</v>
      </c>
      <c r="AH52">
        <f>SUMIF(RecoveredRaw!$B:$B,$A52,RecoveredRaw!AK:AK)</f>
        <v>0</v>
      </c>
      <c r="AI52">
        <f>SUMIF(RecoveredRaw!$B:$B,$A52,RecoveredRaw!AL:AL)</f>
        <v>0</v>
      </c>
      <c r="AJ52">
        <f>SUMIF(RecoveredRaw!$B:$B,$A52,RecoveredRaw!AM:AM)</f>
        <v>0</v>
      </c>
      <c r="AK52">
        <f>SUMIF(RecoveredRaw!$B:$B,$A52,RecoveredRaw!AN:AN)</f>
        <v>0</v>
      </c>
      <c r="AL52">
        <f>SUMIF(RecoveredRaw!$B:$B,$A52,RecoveredRaw!AO:AO)</f>
        <v>0</v>
      </c>
      <c r="AM52">
        <f>SUMIF(RecoveredRaw!$B:$B,$A52,RecoveredRaw!AP:AP)</f>
        <v>0</v>
      </c>
      <c r="AN52">
        <f>SUMIF(RecoveredRaw!$B:$B,$A52,RecoveredRaw!AQ:AQ)</f>
        <v>0</v>
      </c>
      <c r="AO52">
        <f>SUMIF(RecoveredRaw!$B:$B,$A52,RecoveredRaw!AR:AR)</f>
        <v>0</v>
      </c>
      <c r="AP52">
        <f>SUMIF(RecoveredRaw!$B:$B,$A52,RecoveredRaw!AS:AS)</f>
        <v>0</v>
      </c>
      <c r="AQ52">
        <f>SUMIF(RecoveredRaw!$B:$B,$A52,RecoveredRaw!AT:AT)</f>
        <v>0</v>
      </c>
      <c r="AR52">
        <f>SUMIF(RecoveredRaw!$B:$B,$A52,RecoveredRaw!AU:AU)</f>
        <v>0</v>
      </c>
      <c r="AS52">
        <f>SUMIF(RecoveredRaw!$B:$B,$A52,RecoveredRaw!AV:AV)</f>
        <v>0</v>
      </c>
      <c r="AT52">
        <f>SUMIF(RecoveredRaw!$B:$B,$A52,RecoveredRaw!AW:AW)</f>
        <v>0</v>
      </c>
      <c r="AU52">
        <f>SUMIF(RecoveredRaw!$B:$B,$A52,RecoveredRaw!AX:AX)</f>
        <v>0</v>
      </c>
      <c r="AV52">
        <f>SUMIF(RecoveredRaw!$B:$B,$A52,RecoveredRaw!AY:AY)</f>
        <v>0</v>
      </c>
      <c r="AW52">
        <f>SUMIF(RecoveredRaw!$B:$B,$A52,RecoveredRaw!AZ:AZ)</f>
        <v>0</v>
      </c>
      <c r="AX52">
        <f>SUMIF(RecoveredRaw!$B:$B,$A52,RecoveredRaw!BA:BA)</f>
        <v>0</v>
      </c>
      <c r="AY52">
        <f>SUMIF(RecoveredRaw!$B:$B,$A52,RecoveredRaw!BB:BB)</f>
        <v>0</v>
      </c>
      <c r="AZ52">
        <f>SUMIF(RecoveredRaw!$B:$B,$A52,RecoveredRaw!BC:BC)</f>
        <v>0</v>
      </c>
      <c r="BA52">
        <f>SUMIF(RecoveredRaw!$B:$B,$A52,RecoveredRaw!BD:BD)</f>
        <v>0</v>
      </c>
      <c r="BB52">
        <f>SUMIF(RecoveredRaw!$B:$B,$A52,RecoveredRaw!BE:BE)</f>
        <v>0</v>
      </c>
      <c r="BC52">
        <f>SUMIF(RecoveredRaw!$B:$B,$A52,RecoveredRaw!BF:BF)</f>
        <v>0</v>
      </c>
      <c r="BD52">
        <f>SUMIF(RecoveredRaw!$B:$B,$A52,RecoveredRaw!BG:BG)</f>
        <v>0</v>
      </c>
      <c r="BE52">
        <f>SUMIF(RecoveredRaw!$B:$B,$A52,RecoveredRaw!BH:BH)</f>
        <v>0</v>
      </c>
      <c r="BF52">
        <f>SUMIF(RecoveredRaw!$B:$B,$A52,RecoveredRaw!BI:BI)</f>
        <v>0</v>
      </c>
      <c r="BG52">
        <f>SUMIF(RecoveredRaw!$B:$B,$A52,RecoveredRaw!BJ:BJ)</f>
        <v>0</v>
      </c>
      <c r="BH52">
        <f>SUMIF(RecoveredRaw!$B:$B,$A52,RecoveredRaw!BK:BK)</f>
        <v>6</v>
      </c>
      <c r="BI52">
        <f>SUMIF(RecoveredRaw!$B:$B,$A52,RecoveredRaw!BL:BL)</f>
        <v>0</v>
      </c>
      <c r="BJ52">
        <f>SUMIF(RecoveredRaw!$B:$B,$A52,RecoveredRaw!BM:BM)</f>
        <v>0</v>
      </c>
      <c r="BK52">
        <f>SUMIF(RecoveredRaw!$B:$B,$A52,RecoveredRaw!BN:BN)</f>
        <v>0</v>
      </c>
      <c r="BL52">
        <f>SUMIF(RecoveredRaw!$B:$B,$A52,RecoveredRaw!BO:BO)</f>
        <v>0</v>
      </c>
      <c r="BM52">
        <f>SUMIF(RecoveredRaw!$B:$B,$A52,RecoveredRaw!BP:BP)</f>
        <v>0</v>
      </c>
      <c r="BN52">
        <f>SUMIF(RecoveredRaw!$B:$B,$A52,RecoveredRaw!BQ:BQ)</f>
        <v>0</v>
      </c>
      <c r="BO52">
        <f>SUMIF(RecoveredRaw!$B:$B,$A52,RecoveredRaw!BR:BR)</f>
        <v>0</v>
      </c>
      <c r="BP52">
        <f>SUMIF(RecoveredRaw!$B:$B,$A52,RecoveredRaw!BS:BS)</f>
        <v>0</v>
      </c>
      <c r="BQ52">
        <f>SUMIF(RecoveredRaw!$B:$B,$A52,RecoveredRaw!BT:BT)</f>
        <v>0</v>
      </c>
      <c r="BR52">
        <f>SUMIF(RecoveredRaw!$B:$B,$A52,RecoveredRaw!BU:BU)</f>
        <v>0</v>
      </c>
      <c r="BS52">
        <f>SUMIF(RecoveredRaw!$B:$B,$A52,RecoveredRaw!BV:BV)</f>
        <v>0</v>
      </c>
      <c r="BT52">
        <f>SUMIF(RecoveredRaw!$B:$B,$A52,RecoveredRaw!BW:BW)</f>
        <v>0</v>
      </c>
    </row>
    <row r="53" spans="1:72" ht="15" thickBot="1" x14ac:dyDescent="0.35">
      <c r="A53" s="4" t="s">
        <v>233</v>
      </c>
      <c r="B53">
        <f>SUMIF(RecoveredRaw!$B:$B,$A53,RecoveredRaw!E:E)</f>
        <v>0</v>
      </c>
      <c r="C53">
        <f>SUMIF(RecoveredRaw!$B:$B,$A53,RecoveredRaw!F:F)</f>
        <v>0</v>
      </c>
      <c r="D53">
        <f>SUMIF(RecoveredRaw!$B:$B,$A53,RecoveredRaw!G:G)</f>
        <v>0</v>
      </c>
      <c r="E53">
        <f>SUMIF(RecoveredRaw!$B:$B,$A53,RecoveredRaw!H:H)</f>
        <v>0</v>
      </c>
      <c r="F53">
        <f>SUMIF(RecoveredRaw!$B:$B,$A53,RecoveredRaw!I:I)</f>
        <v>0</v>
      </c>
      <c r="G53">
        <f>SUMIF(RecoveredRaw!$B:$B,$A53,RecoveredRaw!J:J)</f>
        <v>0</v>
      </c>
      <c r="H53">
        <f>SUMIF(RecoveredRaw!$B:$B,$A53,RecoveredRaw!K:K)</f>
        <v>0</v>
      </c>
      <c r="I53">
        <f>SUMIF(RecoveredRaw!$B:$B,$A53,RecoveredRaw!L:L)</f>
        <v>0</v>
      </c>
      <c r="J53">
        <f>SUMIF(RecoveredRaw!$B:$B,$A53,RecoveredRaw!M:M)</f>
        <v>0</v>
      </c>
      <c r="K53">
        <f>SUMIF(RecoveredRaw!$B:$B,$A53,RecoveredRaw!N:N)</f>
        <v>0</v>
      </c>
      <c r="L53">
        <f>SUMIF(RecoveredRaw!$B:$B,$A53,RecoveredRaw!O:O)</f>
        <v>0</v>
      </c>
      <c r="M53">
        <f>SUMIF(RecoveredRaw!$B:$B,$A53,RecoveredRaw!P:P)</f>
        <v>0</v>
      </c>
      <c r="N53">
        <f>SUMIF(RecoveredRaw!$B:$B,$A53,RecoveredRaw!Q:Q)</f>
        <v>0</v>
      </c>
      <c r="O53">
        <f>SUMIF(RecoveredRaw!$B:$B,$A53,RecoveredRaw!R:R)</f>
        <v>0</v>
      </c>
      <c r="P53">
        <f>SUMIF(RecoveredRaw!$B:$B,$A53,RecoveredRaw!S:S)</f>
        <v>0</v>
      </c>
      <c r="Q53">
        <f>SUMIF(RecoveredRaw!$B:$B,$A53,RecoveredRaw!T:T)</f>
        <v>0</v>
      </c>
      <c r="R53">
        <f>SUMIF(RecoveredRaw!$B:$B,$A53,RecoveredRaw!U:U)</f>
        <v>0</v>
      </c>
      <c r="S53">
        <f>SUMIF(RecoveredRaw!$B:$B,$A53,RecoveredRaw!V:V)</f>
        <v>0</v>
      </c>
      <c r="T53">
        <f>SUMIF(RecoveredRaw!$B:$B,$A53,RecoveredRaw!W:W)</f>
        <v>0</v>
      </c>
      <c r="U53">
        <f>SUMIF(RecoveredRaw!$B:$B,$A53,RecoveredRaw!X:X)</f>
        <v>0</v>
      </c>
      <c r="V53">
        <f>SUMIF(RecoveredRaw!$B:$B,$A53,RecoveredRaw!Y:Y)</f>
        <v>0</v>
      </c>
      <c r="W53">
        <f>SUMIF(RecoveredRaw!$B:$B,$A53,RecoveredRaw!Z:Z)</f>
        <v>0</v>
      </c>
      <c r="X53">
        <f>SUMIF(RecoveredRaw!$B:$B,$A53,RecoveredRaw!AA:AA)</f>
        <v>0</v>
      </c>
      <c r="Y53">
        <f>SUMIF(RecoveredRaw!$B:$B,$A53,RecoveredRaw!AB:AB)</f>
        <v>0</v>
      </c>
      <c r="Z53">
        <f>SUMIF(RecoveredRaw!$B:$B,$A53,RecoveredRaw!AC:AC)</f>
        <v>0</v>
      </c>
      <c r="AA53">
        <f>SUMIF(RecoveredRaw!$B:$B,$A53,RecoveredRaw!AD:AD)</f>
        <v>0</v>
      </c>
      <c r="AB53">
        <f>SUMIF(RecoveredRaw!$B:$B,$A53,RecoveredRaw!AE:AE)</f>
        <v>0</v>
      </c>
      <c r="AC53">
        <f>SUMIF(RecoveredRaw!$B:$B,$A53,RecoveredRaw!AF:AF)</f>
        <v>0</v>
      </c>
      <c r="AD53">
        <f>SUMIF(RecoveredRaw!$B:$B,$A53,RecoveredRaw!AG:AG)</f>
        <v>0</v>
      </c>
      <c r="AE53">
        <f>SUMIF(RecoveredRaw!$B:$B,$A53,RecoveredRaw!AH:AH)</f>
        <v>0</v>
      </c>
      <c r="AF53">
        <f>SUMIF(RecoveredRaw!$B:$B,$A53,RecoveredRaw!AI:AI)</f>
        <v>0</v>
      </c>
      <c r="AG53">
        <f>SUMIF(RecoveredRaw!$B:$B,$A53,RecoveredRaw!AJ:AJ)</f>
        <v>0</v>
      </c>
      <c r="AH53">
        <f>SUMIF(RecoveredRaw!$B:$B,$A53,RecoveredRaw!AK:AK)</f>
        <v>0</v>
      </c>
      <c r="AI53">
        <f>SUMIF(RecoveredRaw!$B:$B,$A53,RecoveredRaw!AL:AL)</f>
        <v>0</v>
      </c>
      <c r="AJ53">
        <f>SUMIF(RecoveredRaw!$B:$B,$A53,RecoveredRaw!AM:AM)</f>
        <v>0</v>
      </c>
      <c r="AK53">
        <f>SUMIF(RecoveredRaw!$B:$B,$A53,RecoveredRaw!AN:AN)</f>
        <v>0</v>
      </c>
      <c r="AL53">
        <f>SUMIF(RecoveredRaw!$B:$B,$A53,RecoveredRaw!AO:AO)</f>
        <v>0</v>
      </c>
      <c r="AM53">
        <f>SUMIF(RecoveredRaw!$B:$B,$A53,RecoveredRaw!AP:AP)</f>
        <v>0</v>
      </c>
      <c r="AN53">
        <f>SUMIF(RecoveredRaw!$B:$B,$A53,RecoveredRaw!AQ:AQ)</f>
        <v>0</v>
      </c>
      <c r="AO53">
        <f>SUMIF(RecoveredRaw!$B:$B,$A53,RecoveredRaw!AR:AR)</f>
        <v>0</v>
      </c>
      <c r="AP53">
        <f>SUMIF(RecoveredRaw!$B:$B,$A53,RecoveredRaw!AS:AS)</f>
        <v>0</v>
      </c>
      <c r="AQ53">
        <f>SUMIF(RecoveredRaw!$B:$B,$A53,RecoveredRaw!AT:AT)</f>
        <v>0</v>
      </c>
      <c r="AR53">
        <f>SUMIF(RecoveredRaw!$B:$B,$A53,RecoveredRaw!AU:AU)</f>
        <v>0</v>
      </c>
      <c r="AS53">
        <f>SUMIF(RecoveredRaw!$B:$B,$A53,RecoveredRaw!AV:AV)</f>
        <v>0</v>
      </c>
      <c r="AT53">
        <f>SUMIF(RecoveredRaw!$B:$B,$A53,RecoveredRaw!AW:AW)</f>
        <v>0</v>
      </c>
      <c r="AU53">
        <f>SUMIF(RecoveredRaw!$B:$B,$A53,RecoveredRaw!AX:AX)</f>
        <v>0</v>
      </c>
      <c r="AV53">
        <f>SUMIF(RecoveredRaw!$B:$B,$A53,RecoveredRaw!AY:AY)</f>
        <v>0</v>
      </c>
      <c r="AW53">
        <f>SUMIF(RecoveredRaw!$B:$B,$A53,RecoveredRaw!AZ:AZ)</f>
        <v>0</v>
      </c>
      <c r="AX53">
        <f>SUMIF(RecoveredRaw!$B:$B,$A53,RecoveredRaw!BA:BA)</f>
        <v>0</v>
      </c>
      <c r="AY53">
        <f>SUMIF(RecoveredRaw!$B:$B,$A53,RecoveredRaw!BB:BB)</f>
        <v>0</v>
      </c>
      <c r="AZ53">
        <f>SUMIF(RecoveredRaw!$B:$B,$A53,RecoveredRaw!BC:BC)</f>
        <v>0</v>
      </c>
      <c r="BA53">
        <f>SUMIF(RecoveredRaw!$B:$B,$A53,RecoveredRaw!BD:BD)</f>
        <v>0</v>
      </c>
      <c r="BB53">
        <f>SUMIF(RecoveredRaw!$B:$B,$A53,RecoveredRaw!BE:BE)</f>
        <v>0</v>
      </c>
      <c r="BC53">
        <f>SUMIF(RecoveredRaw!$B:$B,$A53,RecoveredRaw!BF:BF)</f>
        <v>0</v>
      </c>
      <c r="BD53">
        <f>SUMIF(RecoveredRaw!$B:$B,$A53,RecoveredRaw!BG:BG)</f>
        <v>0</v>
      </c>
      <c r="BE53">
        <f>SUMIF(RecoveredRaw!$B:$B,$A53,RecoveredRaw!BH:BH)</f>
        <v>0</v>
      </c>
      <c r="BF53">
        <f>SUMIF(RecoveredRaw!$B:$B,$A53,RecoveredRaw!BI:BI)</f>
        <v>0</v>
      </c>
      <c r="BG53">
        <f>SUMIF(RecoveredRaw!$B:$B,$A53,RecoveredRaw!BJ:BJ)</f>
        <v>0</v>
      </c>
      <c r="BH53">
        <f>SUMIF(RecoveredRaw!$B:$B,$A53,RecoveredRaw!BK:BK)</f>
        <v>1</v>
      </c>
      <c r="BI53">
        <f>SUMIF(RecoveredRaw!$B:$B,$A53,RecoveredRaw!BL:BL)</f>
        <v>0</v>
      </c>
      <c r="BJ53">
        <f>SUMIF(RecoveredRaw!$B:$B,$A53,RecoveredRaw!BM:BM)</f>
        <v>0</v>
      </c>
      <c r="BK53">
        <f>SUMIF(RecoveredRaw!$B:$B,$A53,RecoveredRaw!BN:BN)</f>
        <v>0</v>
      </c>
      <c r="BL53">
        <f>SUMIF(RecoveredRaw!$B:$B,$A53,RecoveredRaw!BO:BO)</f>
        <v>0</v>
      </c>
      <c r="BM53">
        <f>SUMIF(RecoveredRaw!$B:$B,$A53,RecoveredRaw!BP:BP)</f>
        <v>0</v>
      </c>
      <c r="BN53">
        <f>SUMIF(RecoveredRaw!$B:$B,$A53,RecoveredRaw!BQ:BQ)</f>
        <v>0</v>
      </c>
      <c r="BO53">
        <f>SUMIF(RecoveredRaw!$B:$B,$A53,RecoveredRaw!BR:BR)</f>
        <v>0</v>
      </c>
      <c r="BP53">
        <f>SUMIF(RecoveredRaw!$B:$B,$A53,RecoveredRaw!BS:BS)</f>
        <v>0</v>
      </c>
      <c r="BQ53">
        <f>SUMIF(RecoveredRaw!$B:$B,$A53,RecoveredRaw!BT:BT)</f>
        <v>0</v>
      </c>
      <c r="BR53">
        <f>SUMIF(RecoveredRaw!$B:$B,$A53,RecoveredRaw!BU:BU)</f>
        <v>0</v>
      </c>
      <c r="BS53">
        <f>SUMIF(RecoveredRaw!$B:$B,$A53,RecoveredRaw!BV:BV)</f>
        <v>0</v>
      </c>
      <c r="BT53">
        <f>SUMIF(RecoveredRaw!$B:$B,$A53,RecoveredRaw!BW:BW)</f>
        <v>0</v>
      </c>
    </row>
    <row r="54" spans="1:72" ht="15" thickBot="1" x14ac:dyDescent="0.35">
      <c r="A54" s="3" t="s">
        <v>161</v>
      </c>
      <c r="B54">
        <f>SUMIF(RecoveredRaw!$B:$B,$A54,RecoveredRaw!E:E)</f>
        <v>0</v>
      </c>
      <c r="C54">
        <f>SUMIF(RecoveredRaw!$B:$B,$A54,RecoveredRaw!F:F)</f>
        <v>0</v>
      </c>
      <c r="D54">
        <f>SUMIF(RecoveredRaw!$B:$B,$A54,RecoveredRaw!G:G)</f>
        <v>0</v>
      </c>
      <c r="E54">
        <f>SUMIF(RecoveredRaw!$B:$B,$A54,RecoveredRaw!H:H)</f>
        <v>0</v>
      </c>
      <c r="F54">
        <f>SUMIF(RecoveredRaw!$B:$B,$A54,RecoveredRaw!I:I)</f>
        <v>0</v>
      </c>
      <c r="G54">
        <f>SUMIF(RecoveredRaw!$B:$B,$A54,RecoveredRaw!J:J)</f>
        <v>0</v>
      </c>
      <c r="H54">
        <f>SUMIF(RecoveredRaw!$B:$B,$A54,RecoveredRaw!K:K)</f>
        <v>0</v>
      </c>
      <c r="I54">
        <f>SUMIF(RecoveredRaw!$B:$B,$A54,RecoveredRaw!L:L)</f>
        <v>0</v>
      </c>
      <c r="J54">
        <f>SUMIF(RecoveredRaw!$B:$B,$A54,RecoveredRaw!M:M)</f>
        <v>0</v>
      </c>
      <c r="K54">
        <f>SUMIF(RecoveredRaw!$B:$B,$A54,RecoveredRaw!N:N)</f>
        <v>0</v>
      </c>
      <c r="L54">
        <f>SUMIF(RecoveredRaw!$B:$B,$A54,RecoveredRaw!O:O)</f>
        <v>0</v>
      </c>
      <c r="M54">
        <f>SUMIF(RecoveredRaw!$B:$B,$A54,RecoveredRaw!P:P)</f>
        <v>0</v>
      </c>
      <c r="N54">
        <f>SUMIF(RecoveredRaw!$B:$B,$A54,RecoveredRaw!Q:Q)</f>
        <v>0</v>
      </c>
      <c r="O54">
        <f>SUMIF(RecoveredRaw!$B:$B,$A54,RecoveredRaw!R:R)</f>
        <v>0</v>
      </c>
      <c r="P54">
        <f>SUMIF(RecoveredRaw!$B:$B,$A54,RecoveredRaw!S:S)</f>
        <v>0</v>
      </c>
      <c r="Q54">
        <f>SUMIF(RecoveredRaw!$B:$B,$A54,RecoveredRaw!T:T)</f>
        <v>0</v>
      </c>
      <c r="R54">
        <f>SUMIF(RecoveredRaw!$B:$B,$A54,RecoveredRaw!U:U)</f>
        <v>0</v>
      </c>
      <c r="S54">
        <f>SUMIF(RecoveredRaw!$B:$B,$A54,RecoveredRaw!V:V)</f>
        <v>0</v>
      </c>
      <c r="T54">
        <f>SUMIF(RecoveredRaw!$B:$B,$A54,RecoveredRaw!W:W)</f>
        <v>0</v>
      </c>
      <c r="U54">
        <f>SUMIF(RecoveredRaw!$B:$B,$A54,RecoveredRaw!X:X)</f>
        <v>0</v>
      </c>
      <c r="V54">
        <f>SUMIF(RecoveredRaw!$B:$B,$A54,RecoveredRaw!Y:Y)</f>
        <v>0</v>
      </c>
      <c r="W54">
        <f>SUMIF(RecoveredRaw!$B:$B,$A54,RecoveredRaw!Z:Z)</f>
        <v>0</v>
      </c>
      <c r="X54">
        <f>SUMIF(RecoveredRaw!$B:$B,$A54,RecoveredRaw!AA:AA)</f>
        <v>0</v>
      </c>
      <c r="Y54">
        <f>SUMIF(RecoveredRaw!$B:$B,$A54,RecoveredRaw!AB:AB)</f>
        <v>0</v>
      </c>
      <c r="Z54">
        <f>SUMIF(RecoveredRaw!$B:$B,$A54,RecoveredRaw!AC:AC)</f>
        <v>0</v>
      </c>
      <c r="AA54">
        <f>SUMIF(RecoveredRaw!$B:$B,$A54,RecoveredRaw!AD:AD)</f>
        <v>0</v>
      </c>
      <c r="AB54">
        <f>SUMIF(RecoveredRaw!$B:$B,$A54,RecoveredRaw!AE:AE)</f>
        <v>0</v>
      </c>
      <c r="AC54">
        <f>SUMIF(RecoveredRaw!$B:$B,$A54,RecoveredRaw!AF:AF)</f>
        <v>0</v>
      </c>
      <c r="AD54">
        <f>SUMIF(RecoveredRaw!$B:$B,$A54,RecoveredRaw!AG:AG)</f>
        <v>0</v>
      </c>
      <c r="AE54">
        <f>SUMIF(RecoveredRaw!$B:$B,$A54,RecoveredRaw!AH:AH)</f>
        <v>0</v>
      </c>
      <c r="AF54">
        <f>SUMIF(RecoveredRaw!$B:$B,$A54,RecoveredRaw!AI:AI)</f>
        <v>0</v>
      </c>
      <c r="AG54">
        <f>SUMIF(RecoveredRaw!$B:$B,$A54,RecoveredRaw!AJ:AJ)</f>
        <v>0</v>
      </c>
      <c r="AH54">
        <f>SUMIF(RecoveredRaw!$B:$B,$A54,RecoveredRaw!AK:AK)</f>
        <v>0</v>
      </c>
      <c r="AI54">
        <f>SUMIF(RecoveredRaw!$B:$B,$A54,RecoveredRaw!AL:AL)</f>
        <v>0</v>
      </c>
      <c r="AJ54">
        <f>SUMIF(RecoveredRaw!$B:$B,$A54,RecoveredRaw!AM:AM)</f>
        <v>0</v>
      </c>
      <c r="AK54">
        <f>SUMIF(RecoveredRaw!$B:$B,$A54,RecoveredRaw!AN:AN)</f>
        <v>0</v>
      </c>
      <c r="AL54">
        <f>SUMIF(RecoveredRaw!$B:$B,$A54,RecoveredRaw!AO:AO)</f>
        <v>0</v>
      </c>
      <c r="AM54">
        <f>SUMIF(RecoveredRaw!$B:$B,$A54,RecoveredRaw!AP:AP)</f>
        <v>0</v>
      </c>
      <c r="AN54">
        <f>SUMIF(RecoveredRaw!$B:$B,$A54,RecoveredRaw!AQ:AQ)</f>
        <v>0</v>
      </c>
      <c r="AO54">
        <f>SUMIF(RecoveredRaw!$B:$B,$A54,RecoveredRaw!AR:AR)</f>
        <v>0</v>
      </c>
      <c r="AP54">
        <f>SUMIF(RecoveredRaw!$B:$B,$A54,RecoveredRaw!AS:AS)</f>
        <v>0</v>
      </c>
      <c r="AQ54">
        <f>SUMIF(RecoveredRaw!$B:$B,$A54,RecoveredRaw!AT:AT)</f>
        <v>0</v>
      </c>
      <c r="AR54">
        <f>SUMIF(RecoveredRaw!$B:$B,$A54,RecoveredRaw!AU:AU)</f>
        <v>0</v>
      </c>
      <c r="AS54">
        <f>SUMIF(RecoveredRaw!$B:$B,$A54,RecoveredRaw!AV:AV)</f>
        <v>0</v>
      </c>
      <c r="AT54">
        <f>SUMIF(RecoveredRaw!$B:$B,$A54,RecoveredRaw!AW:AW)</f>
        <v>0</v>
      </c>
      <c r="AU54">
        <f>SUMIF(RecoveredRaw!$B:$B,$A54,RecoveredRaw!AX:AX)</f>
        <v>0</v>
      </c>
      <c r="AV54">
        <f>SUMIF(RecoveredRaw!$B:$B,$A54,RecoveredRaw!AY:AY)</f>
        <v>0</v>
      </c>
      <c r="AW54">
        <f>SUMIF(RecoveredRaw!$B:$B,$A54,RecoveredRaw!AZ:AZ)</f>
        <v>0</v>
      </c>
      <c r="AX54">
        <f>SUMIF(RecoveredRaw!$B:$B,$A54,RecoveredRaw!BA:BA)</f>
        <v>0</v>
      </c>
      <c r="AY54">
        <f>SUMIF(RecoveredRaw!$B:$B,$A54,RecoveredRaw!BB:BB)</f>
        <v>0</v>
      </c>
      <c r="AZ54">
        <f>SUMIF(RecoveredRaw!$B:$B,$A54,RecoveredRaw!BC:BC)</f>
        <v>0</v>
      </c>
      <c r="BA54">
        <f>SUMIF(RecoveredRaw!$B:$B,$A54,RecoveredRaw!BD:BD)</f>
        <v>0</v>
      </c>
      <c r="BB54">
        <f>SUMIF(RecoveredRaw!$B:$B,$A54,RecoveredRaw!BE:BE)</f>
        <v>0</v>
      </c>
      <c r="BC54">
        <f>SUMIF(RecoveredRaw!$B:$B,$A54,RecoveredRaw!BF:BF)</f>
        <v>0</v>
      </c>
      <c r="BD54">
        <f>SUMIF(RecoveredRaw!$B:$B,$A54,RecoveredRaw!BG:BG)</f>
        <v>1</v>
      </c>
      <c r="BE54">
        <f>SUMIF(RecoveredRaw!$B:$B,$A54,RecoveredRaw!BH:BH)</f>
        <v>1</v>
      </c>
      <c r="BF54">
        <f>SUMIF(RecoveredRaw!$B:$B,$A54,RecoveredRaw!BI:BI)</f>
        <v>1</v>
      </c>
      <c r="BG54">
        <f>SUMIF(RecoveredRaw!$B:$B,$A54,RecoveredRaw!BJ:BJ)</f>
        <v>1</v>
      </c>
      <c r="BH54">
        <f>SUMIF(RecoveredRaw!$B:$B,$A54,RecoveredRaw!BK:BK)</f>
        <v>1</v>
      </c>
      <c r="BI54">
        <f>SUMIF(RecoveredRaw!$B:$B,$A54,RecoveredRaw!BL:BL)</f>
        <v>0</v>
      </c>
      <c r="BJ54">
        <f>SUMIF(RecoveredRaw!$B:$B,$A54,RecoveredRaw!BM:BM)</f>
        <v>0</v>
      </c>
      <c r="BK54">
        <f>SUMIF(RecoveredRaw!$B:$B,$A54,RecoveredRaw!BN:BN)</f>
        <v>0</v>
      </c>
      <c r="BL54">
        <f>SUMIF(RecoveredRaw!$B:$B,$A54,RecoveredRaw!BO:BO)</f>
        <v>0</v>
      </c>
      <c r="BM54">
        <f>SUMIF(RecoveredRaw!$B:$B,$A54,RecoveredRaw!BP:BP)</f>
        <v>0</v>
      </c>
      <c r="BN54">
        <f>SUMIF(RecoveredRaw!$B:$B,$A54,RecoveredRaw!BQ:BQ)</f>
        <v>0</v>
      </c>
      <c r="BO54">
        <f>SUMIF(RecoveredRaw!$B:$B,$A54,RecoveredRaw!BR:BR)</f>
        <v>0</v>
      </c>
      <c r="BP54">
        <f>SUMIF(RecoveredRaw!$B:$B,$A54,RecoveredRaw!BS:BS)</f>
        <v>0</v>
      </c>
      <c r="BQ54">
        <f>SUMIF(RecoveredRaw!$B:$B,$A54,RecoveredRaw!BT:BT)</f>
        <v>0</v>
      </c>
      <c r="BR54">
        <f>SUMIF(RecoveredRaw!$B:$B,$A54,RecoveredRaw!BU:BU)</f>
        <v>0</v>
      </c>
      <c r="BS54">
        <f>SUMIF(RecoveredRaw!$B:$B,$A54,RecoveredRaw!BV:BV)</f>
        <v>0</v>
      </c>
      <c r="BT54">
        <f>SUMIF(RecoveredRaw!$B:$B,$A54,RecoveredRaw!BW:BW)</f>
        <v>0</v>
      </c>
    </row>
    <row r="55" spans="1:72" ht="15" thickBot="1" x14ac:dyDescent="0.35">
      <c r="A55" s="3" t="s">
        <v>99</v>
      </c>
      <c r="B55">
        <f>SUMIF(RecoveredRaw!$B:$B,$A55,RecoveredRaw!E:E)</f>
        <v>0</v>
      </c>
      <c r="C55">
        <f>SUMIF(RecoveredRaw!$B:$B,$A55,RecoveredRaw!F:F)</f>
        <v>0</v>
      </c>
      <c r="D55">
        <f>SUMIF(RecoveredRaw!$B:$B,$A55,RecoveredRaw!G:G)</f>
        <v>0</v>
      </c>
      <c r="E55">
        <f>SUMIF(RecoveredRaw!$B:$B,$A55,RecoveredRaw!H:H)</f>
        <v>0</v>
      </c>
      <c r="F55">
        <f>SUMIF(RecoveredRaw!$B:$B,$A55,RecoveredRaw!I:I)</f>
        <v>0</v>
      </c>
      <c r="G55">
        <f>SUMIF(RecoveredRaw!$B:$B,$A55,RecoveredRaw!J:J)</f>
        <v>0</v>
      </c>
      <c r="H55">
        <f>SUMIF(RecoveredRaw!$B:$B,$A55,RecoveredRaw!K:K)</f>
        <v>0</v>
      </c>
      <c r="I55">
        <f>SUMIF(RecoveredRaw!$B:$B,$A55,RecoveredRaw!L:L)</f>
        <v>0</v>
      </c>
      <c r="J55">
        <f>SUMIF(RecoveredRaw!$B:$B,$A55,RecoveredRaw!M:M)</f>
        <v>0</v>
      </c>
      <c r="K55">
        <f>SUMIF(RecoveredRaw!$B:$B,$A55,RecoveredRaw!N:N)</f>
        <v>0</v>
      </c>
      <c r="L55">
        <f>SUMIF(RecoveredRaw!$B:$B,$A55,RecoveredRaw!O:O)</f>
        <v>0</v>
      </c>
      <c r="M55">
        <f>SUMIF(RecoveredRaw!$B:$B,$A55,RecoveredRaw!P:P)</f>
        <v>0</v>
      </c>
      <c r="N55">
        <f>SUMIF(RecoveredRaw!$B:$B,$A55,RecoveredRaw!Q:Q)</f>
        <v>0</v>
      </c>
      <c r="O55">
        <f>SUMIF(RecoveredRaw!$B:$B,$A55,RecoveredRaw!R:R)</f>
        <v>0</v>
      </c>
      <c r="P55">
        <f>SUMIF(RecoveredRaw!$B:$B,$A55,RecoveredRaw!S:S)</f>
        <v>0</v>
      </c>
      <c r="Q55">
        <f>SUMIF(RecoveredRaw!$B:$B,$A55,RecoveredRaw!T:T)</f>
        <v>0</v>
      </c>
      <c r="R55">
        <f>SUMIF(RecoveredRaw!$B:$B,$A55,RecoveredRaw!U:U)</f>
        <v>0</v>
      </c>
      <c r="S55">
        <f>SUMIF(RecoveredRaw!$B:$B,$A55,RecoveredRaw!V:V)</f>
        <v>0</v>
      </c>
      <c r="T55">
        <f>SUMIF(RecoveredRaw!$B:$B,$A55,RecoveredRaw!W:W)</f>
        <v>0</v>
      </c>
      <c r="U55">
        <f>SUMIF(RecoveredRaw!$B:$B,$A55,RecoveredRaw!X:X)</f>
        <v>0</v>
      </c>
      <c r="V55">
        <f>SUMIF(RecoveredRaw!$B:$B,$A55,RecoveredRaw!Y:Y)</f>
        <v>0</v>
      </c>
      <c r="W55">
        <f>SUMIF(RecoveredRaw!$B:$B,$A55,RecoveredRaw!Z:Z)</f>
        <v>0</v>
      </c>
      <c r="X55">
        <f>SUMIF(RecoveredRaw!$B:$B,$A55,RecoveredRaw!AA:AA)</f>
        <v>0</v>
      </c>
      <c r="Y55">
        <f>SUMIF(RecoveredRaw!$B:$B,$A55,RecoveredRaw!AB:AB)</f>
        <v>0</v>
      </c>
      <c r="Z55">
        <f>SUMIF(RecoveredRaw!$B:$B,$A55,RecoveredRaw!AC:AC)</f>
        <v>0</v>
      </c>
      <c r="AA55">
        <f>SUMIF(RecoveredRaw!$B:$B,$A55,RecoveredRaw!AD:AD)</f>
        <v>0</v>
      </c>
      <c r="AB55">
        <f>SUMIF(RecoveredRaw!$B:$B,$A55,RecoveredRaw!AE:AE)</f>
        <v>0</v>
      </c>
      <c r="AC55">
        <f>SUMIF(RecoveredRaw!$B:$B,$A55,RecoveredRaw!AF:AF)</f>
        <v>0</v>
      </c>
      <c r="AD55">
        <f>SUMIF(RecoveredRaw!$B:$B,$A55,RecoveredRaw!AG:AG)</f>
        <v>0</v>
      </c>
      <c r="AE55">
        <f>SUMIF(RecoveredRaw!$B:$B,$A55,RecoveredRaw!AH:AH)</f>
        <v>0</v>
      </c>
      <c r="AF55">
        <f>SUMIF(RecoveredRaw!$B:$B,$A55,RecoveredRaw!AI:AI)</f>
        <v>0</v>
      </c>
      <c r="AG55">
        <f>SUMIF(RecoveredRaw!$B:$B,$A55,RecoveredRaw!AJ:AJ)</f>
        <v>0</v>
      </c>
      <c r="AH55">
        <f>SUMIF(RecoveredRaw!$B:$B,$A55,RecoveredRaw!AK:AK)</f>
        <v>0</v>
      </c>
      <c r="AI55">
        <f>SUMIF(RecoveredRaw!$B:$B,$A55,RecoveredRaw!AL:AL)</f>
        <v>0</v>
      </c>
      <c r="AJ55">
        <f>SUMIF(RecoveredRaw!$B:$B,$A55,RecoveredRaw!AM:AM)</f>
        <v>0</v>
      </c>
      <c r="AK55">
        <f>SUMIF(RecoveredRaw!$B:$B,$A55,RecoveredRaw!AN:AN)</f>
        <v>0</v>
      </c>
      <c r="AL55">
        <f>SUMIF(RecoveredRaw!$B:$B,$A55,RecoveredRaw!AO:AO)</f>
        <v>0</v>
      </c>
      <c r="AM55">
        <f>SUMIF(RecoveredRaw!$B:$B,$A55,RecoveredRaw!AP:AP)</f>
        <v>0</v>
      </c>
      <c r="AN55">
        <f>SUMIF(RecoveredRaw!$B:$B,$A55,RecoveredRaw!AQ:AQ)</f>
        <v>0</v>
      </c>
      <c r="AO55">
        <f>SUMIF(RecoveredRaw!$B:$B,$A55,RecoveredRaw!AR:AR)</f>
        <v>0</v>
      </c>
      <c r="AP55">
        <f>SUMIF(RecoveredRaw!$B:$B,$A55,RecoveredRaw!AS:AS)</f>
        <v>0</v>
      </c>
      <c r="AQ55">
        <f>SUMIF(RecoveredRaw!$B:$B,$A55,RecoveredRaw!AT:AT)</f>
        <v>0</v>
      </c>
      <c r="AR55">
        <f>SUMIF(RecoveredRaw!$B:$B,$A55,RecoveredRaw!AU:AU)</f>
        <v>0</v>
      </c>
      <c r="AS55">
        <f>SUMIF(RecoveredRaw!$B:$B,$A55,RecoveredRaw!AV:AV)</f>
        <v>0</v>
      </c>
      <c r="AT55">
        <f>SUMIF(RecoveredRaw!$B:$B,$A55,RecoveredRaw!AW:AW)</f>
        <v>0</v>
      </c>
      <c r="AU55">
        <f>SUMIF(RecoveredRaw!$B:$B,$A55,RecoveredRaw!AX:AX)</f>
        <v>0</v>
      </c>
      <c r="AV55">
        <f>SUMIF(RecoveredRaw!$B:$B,$A55,RecoveredRaw!AY:AY)</f>
        <v>0</v>
      </c>
      <c r="AW55">
        <f>SUMIF(RecoveredRaw!$B:$B,$A55,RecoveredRaw!AZ:AZ)</f>
        <v>0</v>
      </c>
      <c r="AX55">
        <f>SUMIF(RecoveredRaw!$B:$B,$A55,RecoveredRaw!BA:BA)</f>
        <v>0</v>
      </c>
      <c r="AY55">
        <f>SUMIF(RecoveredRaw!$B:$B,$A55,RecoveredRaw!BB:BB)</f>
        <v>0</v>
      </c>
      <c r="AZ55">
        <f>SUMIF(RecoveredRaw!$B:$B,$A55,RecoveredRaw!BC:BC)</f>
        <v>0</v>
      </c>
      <c r="BA55">
        <f>SUMIF(RecoveredRaw!$B:$B,$A55,RecoveredRaw!BD:BD)</f>
        <v>0</v>
      </c>
      <c r="BB55">
        <f>SUMIF(RecoveredRaw!$B:$B,$A55,RecoveredRaw!BE:BE)</f>
        <v>0</v>
      </c>
      <c r="BC55">
        <f>SUMIF(RecoveredRaw!$B:$B,$A55,RecoveredRaw!BF:BF)</f>
        <v>0</v>
      </c>
      <c r="BD55">
        <f>SUMIF(RecoveredRaw!$B:$B,$A55,RecoveredRaw!BG:BG)</f>
        <v>0</v>
      </c>
      <c r="BE55">
        <f>SUMIF(RecoveredRaw!$B:$B,$A55,RecoveredRaw!BH:BH)</f>
        <v>0</v>
      </c>
      <c r="BF55">
        <f>SUMIF(RecoveredRaw!$B:$B,$A55,RecoveredRaw!BI:BI)</f>
        <v>0</v>
      </c>
      <c r="BG55">
        <f>SUMIF(RecoveredRaw!$B:$B,$A55,RecoveredRaw!BJ:BJ)</f>
        <v>0</v>
      </c>
      <c r="BH55">
        <f>SUMIF(RecoveredRaw!$B:$B,$A55,RecoveredRaw!BK:BK)</f>
        <v>0</v>
      </c>
      <c r="BI55">
        <f>SUMIF(RecoveredRaw!$B:$B,$A55,RecoveredRaw!BL:BL)</f>
        <v>0</v>
      </c>
      <c r="BJ55">
        <f>SUMIF(RecoveredRaw!$B:$B,$A55,RecoveredRaw!BM:BM)</f>
        <v>0</v>
      </c>
      <c r="BK55">
        <f>SUMIF(RecoveredRaw!$B:$B,$A55,RecoveredRaw!BN:BN)</f>
        <v>0</v>
      </c>
      <c r="BL55">
        <f>SUMIF(RecoveredRaw!$B:$B,$A55,RecoveredRaw!BO:BO)</f>
        <v>0</v>
      </c>
      <c r="BM55">
        <f>SUMIF(RecoveredRaw!$B:$B,$A55,RecoveredRaw!BP:BP)</f>
        <v>0</v>
      </c>
      <c r="BN55">
        <f>SUMIF(RecoveredRaw!$B:$B,$A55,RecoveredRaw!BQ:BQ)</f>
        <v>0</v>
      </c>
      <c r="BO55">
        <f>SUMIF(RecoveredRaw!$B:$B,$A55,RecoveredRaw!BR:BR)</f>
        <v>0</v>
      </c>
      <c r="BP55">
        <f>SUMIF(RecoveredRaw!$B:$B,$A55,RecoveredRaw!BS:BS)</f>
        <v>0</v>
      </c>
      <c r="BQ55">
        <f>SUMIF(RecoveredRaw!$B:$B,$A55,RecoveredRaw!BT:BT)</f>
        <v>0</v>
      </c>
      <c r="BR55">
        <f>SUMIF(RecoveredRaw!$B:$B,$A55,RecoveredRaw!BU:BU)</f>
        <v>0</v>
      </c>
      <c r="BS55">
        <f>SUMIF(RecoveredRaw!$B:$B,$A55,RecoveredRaw!BV:BV)</f>
        <v>0</v>
      </c>
      <c r="BT55">
        <f>SUMIF(RecoveredRaw!$B:$B,$A55,RecoveredRaw!BW:BW)</f>
        <v>0</v>
      </c>
    </row>
    <row r="56" spans="1:72" ht="15" thickBot="1" x14ac:dyDescent="0.35">
      <c r="A56" s="4" t="s">
        <v>230</v>
      </c>
      <c r="B56">
        <f>SUMIF(RecoveredRaw!$B:$B,$A56,RecoveredRaw!E:E)</f>
        <v>0</v>
      </c>
      <c r="C56">
        <f>SUMIF(RecoveredRaw!$B:$B,$A56,RecoveredRaw!F:F)</f>
        <v>0</v>
      </c>
      <c r="D56">
        <f>SUMIF(RecoveredRaw!$B:$B,$A56,RecoveredRaw!G:G)</f>
        <v>0</v>
      </c>
      <c r="E56">
        <f>SUMIF(RecoveredRaw!$B:$B,$A56,RecoveredRaw!H:H)</f>
        <v>0</v>
      </c>
      <c r="F56">
        <f>SUMIF(RecoveredRaw!$B:$B,$A56,RecoveredRaw!I:I)</f>
        <v>0</v>
      </c>
      <c r="G56">
        <f>SUMIF(RecoveredRaw!$B:$B,$A56,RecoveredRaw!J:J)</f>
        <v>0</v>
      </c>
      <c r="H56">
        <f>SUMIF(RecoveredRaw!$B:$B,$A56,RecoveredRaw!K:K)</f>
        <v>0</v>
      </c>
      <c r="I56">
        <f>SUMIF(RecoveredRaw!$B:$B,$A56,RecoveredRaw!L:L)</f>
        <v>0</v>
      </c>
      <c r="J56">
        <f>SUMIF(RecoveredRaw!$B:$B,$A56,RecoveredRaw!M:M)</f>
        <v>0</v>
      </c>
      <c r="K56">
        <f>SUMIF(RecoveredRaw!$B:$B,$A56,RecoveredRaw!N:N)</f>
        <v>0</v>
      </c>
      <c r="L56">
        <f>SUMIF(RecoveredRaw!$B:$B,$A56,RecoveredRaw!O:O)</f>
        <v>0</v>
      </c>
      <c r="M56">
        <f>SUMIF(RecoveredRaw!$B:$B,$A56,RecoveredRaw!P:P)</f>
        <v>0</v>
      </c>
      <c r="N56">
        <f>SUMIF(RecoveredRaw!$B:$B,$A56,RecoveredRaw!Q:Q)</f>
        <v>0</v>
      </c>
      <c r="O56">
        <f>SUMIF(RecoveredRaw!$B:$B,$A56,RecoveredRaw!R:R)</f>
        <v>0</v>
      </c>
      <c r="P56">
        <f>SUMIF(RecoveredRaw!$B:$B,$A56,RecoveredRaw!S:S)</f>
        <v>0</v>
      </c>
      <c r="Q56">
        <f>SUMIF(RecoveredRaw!$B:$B,$A56,RecoveredRaw!T:T)</f>
        <v>0</v>
      </c>
      <c r="R56">
        <f>SUMIF(RecoveredRaw!$B:$B,$A56,RecoveredRaw!U:U)</f>
        <v>0</v>
      </c>
      <c r="S56">
        <f>SUMIF(RecoveredRaw!$B:$B,$A56,RecoveredRaw!V:V)</f>
        <v>0</v>
      </c>
      <c r="T56">
        <f>SUMIF(RecoveredRaw!$B:$B,$A56,RecoveredRaw!W:W)</f>
        <v>0</v>
      </c>
      <c r="U56">
        <f>SUMIF(RecoveredRaw!$B:$B,$A56,RecoveredRaw!X:X)</f>
        <v>0</v>
      </c>
      <c r="V56">
        <f>SUMIF(RecoveredRaw!$B:$B,$A56,RecoveredRaw!Y:Y)</f>
        <v>0</v>
      </c>
      <c r="W56">
        <f>SUMIF(RecoveredRaw!$B:$B,$A56,RecoveredRaw!Z:Z)</f>
        <v>0</v>
      </c>
      <c r="X56">
        <f>SUMIF(RecoveredRaw!$B:$B,$A56,RecoveredRaw!AA:AA)</f>
        <v>0</v>
      </c>
      <c r="Y56">
        <f>SUMIF(RecoveredRaw!$B:$B,$A56,RecoveredRaw!AB:AB)</f>
        <v>0</v>
      </c>
      <c r="Z56">
        <f>SUMIF(RecoveredRaw!$B:$B,$A56,RecoveredRaw!AC:AC)</f>
        <v>0</v>
      </c>
      <c r="AA56">
        <f>SUMIF(RecoveredRaw!$B:$B,$A56,RecoveredRaw!AD:AD)</f>
        <v>0</v>
      </c>
      <c r="AB56">
        <f>SUMIF(RecoveredRaw!$B:$B,$A56,RecoveredRaw!AE:AE)</f>
        <v>0</v>
      </c>
      <c r="AC56">
        <f>SUMIF(RecoveredRaw!$B:$B,$A56,RecoveredRaw!AF:AF)</f>
        <v>0</v>
      </c>
      <c r="AD56">
        <f>SUMIF(RecoveredRaw!$B:$B,$A56,RecoveredRaw!AG:AG)</f>
        <v>0</v>
      </c>
      <c r="AE56">
        <f>SUMIF(RecoveredRaw!$B:$B,$A56,RecoveredRaw!AH:AH)</f>
        <v>0</v>
      </c>
      <c r="AF56">
        <f>SUMIF(RecoveredRaw!$B:$B,$A56,RecoveredRaw!AI:AI)</f>
        <v>0</v>
      </c>
      <c r="AG56">
        <f>SUMIF(RecoveredRaw!$B:$B,$A56,RecoveredRaw!AJ:AJ)</f>
        <v>0</v>
      </c>
      <c r="AH56">
        <f>SUMIF(RecoveredRaw!$B:$B,$A56,RecoveredRaw!AK:AK)</f>
        <v>0</v>
      </c>
      <c r="AI56">
        <f>SUMIF(RecoveredRaw!$B:$B,$A56,RecoveredRaw!AL:AL)</f>
        <v>0</v>
      </c>
      <c r="AJ56">
        <f>SUMIF(RecoveredRaw!$B:$B,$A56,RecoveredRaw!AM:AM)</f>
        <v>0</v>
      </c>
      <c r="AK56">
        <f>SUMIF(RecoveredRaw!$B:$B,$A56,RecoveredRaw!AN:AN)</f>
        <v>0</v>
      </c>
      <c r="AL56">
        <f>SUMIF(RecoveredRaw!$B:$B,$A56,RecoveredRaw!AO:AO)</f>
        <v>0</v>
      </c>
      <c r="AM56">
        <f>SUMIF(RecoveredRaw!$B:$B,$A56,RecoveredRaw!AP:AP)</f>
        <v>0</v>
      </c>
      <c r="AN56">
        <f>SUMIF(RecoveredRaw!$B:$B,$A56,RecoveredRaw!AQ:AQ)</f>
        <v>0</v>
      </c>
      <c r="AO56">
        <f>SUMIF(RecoveredRaw!$B:$B,$A56,RecoveredRaw!AR:AR)</f>
        <v>0</v>
      </c>
      <c r="AP56">
        <f>SUMIF(RecoveredRaw!$B:$B,$A56,RecoveredRaw!AS:AS)</f>
        <v>0</v>
      </c>
      <c r="AQ56">
        <f>SUMIF(RecoveredRaw!$B:$B,$A56,RecoveredRaw!AT:AT)</f>
        <v>0</v>
      </c>
      <c r="AR56">
        <f>SUMIF(RecoveredRaw!$B:$B,$A56,RecoveredRaw!AU:AU)</f>
        <v>0</v>
      </c>
      <c r="AS56">
        <f>SUMIF(RecoveredRaw!$B:$B,$A56,RecoveredRaw!AV:AV)</f>
        <v>0</v>
      </c>
      <c r="AT56">
        <f>SUMIF(RecoveredRaw!$B:$B,$A56,RecoveredRaw!AW:AW)</f>
        <v>0</v>
      </c>
      <c r="AU56">
        <f>SUMIF(RecoveredRaw!$B:$B,$A56,RecoveredRaw!AX:AX)</f>
        <v>0</v>
      </c>
      <c r="AV56">
        <f>SUMIF(RecoveredRaw!$B:$B,$A56,RecoveredRaw!AY:AY)</f>
        <v>0</v>
      </c>
      <c r="AW56">
        <f>SUMIF(RecoveredRaw!$B:$B,$A56,RecoveredRaw!AZ:AZ)</f>
        <v>0</v>
      </c>
      <c r="AX56">
        <f>SUMIF(RecoveredRaw!$B:$B,$A56,RecoveredRaw!BA:BA)</f>
        <v>0</v>
      </c>
      <c r="AY56">
        <f>SUMIF(RecoveredRaw!$B:$B,$A56,RecoveredRaw!BB:BB)</f>
        <v>0</v>
      </c>
      <c r="AZ56">
        <f>SUMIF(RecoveredRaw!$B:$B,$A56,RecoveredRaw!BC:BC)</f>
        <v>0</v>
      </c>
      <c r="BA56">
        <f>SUMIF(RecoveredRaw!$B:$B,$A56,RecoveredRaw!BD:BD)</f>
        <v>0</v>
      </c>
      <c r="BB56">
        <f>SUMIF(RecoveredRaw!$B:$B,$A56,RecoveredRaw!BE:BE)</f>
        <v>0</v>
      </c>
      <c r="BC56">
        <f>SUMIF(RecoveredRaw!$B:$B,$A56,RecoveredRaw!BF:BF)</f>
        <v>0</v>
      </c>
      <c r="BD56">
        <f>SUMIF(RecoveredRaw!$B:$B,$A56,RecoveredRaw!BG:BG)</f>
        <v>0</v>
      </c>
      <c r="BE56">
        <f>SUMIF(RecoveredRaw!$B:$B,$A56,RecoveredRaw!BH:BH)</f>
        <v>0</v>
      </c>
      <c r="BF56">
        <f>SUMIF(RecoveredRaw!$B:$B,$A56,RecoveredRaw!BI:BI)</f>
        <v>0</v>
      </c>
      <c r="BG56">
        <f>SUMIF(RecoveredRaw!$B:$B,$A56,RecoveredRaw!BJ:BJ)</f>
        <v>0</v>
      </c>
      <c r="BH56">
        <f>SUMIF(RecoveredRaw!$B:$B,$A56,RecoveredRaw!BK:BK)</f>
        <v>0</v>
      </c>
      <c r="BI56">
        <f>SUMIF(RecoveredRaw!$B:$B,$A56,RecoveredRaw!BL:BL)</f>
        <v>0</v>
      </c>
      <c r="BJ56">
        <f>SUMIF(RecoveredRaw!$B:$B,$A56,RecoveredRaw!BM:BM)</f>
        <v>0</v>
      </c>
      <c r="BK56">
        <f>SUMIF(RecoveredRaw!$B:$B,$A56,RecoveredRaw!BN:BN)</f>
        <v>0</v>
      </c>
      <c r="BL56">
        <f>SUMIF(RecoveredRaw!$B:$B,$A56,RecoveredRaw!BO:BO)</f>
        <v>0</v>
      </c>
      <c r="BM56">
        <f>SUMIF(RecoveredRaw!$B:$B,$A56,RecoveredRaw!BP:BP)</f>
        <v>0</v>
      </c>
      <c r="BN56">
        <f>SUMIF(RecoveredRaw!$B:$B,$A56,RecoveredRaw!BQ:BQ)</f>
        <v>0</v>
      </c>
      <c r="BO56">
        <f>SUMIF(RecoveredRaw!$B:$B,$A56,RecoveredRaw!BR:BR)</f>
        <v>0</v>
      </c>
      <c r="BP56">
        <f>SUMIF(RecoveredRaw!$B:$B,$A56,RecoveredRaw!BS:BS)</f>
        <v>0</v>
      </c>
      <c r="BQ56">
        <f>SUMIF(RecoveredRaw!$B:$B,$A56,RecoveredRaw!BT:BT)</f>
        <v>0</v>
      </c>
      <c r="BR56">
        <f>SUMIF(RecoveredRaw!$B:$B,$A56,RecoveredRaw!BU:BU)</f>
        <v>0</v>
      </c>
      <c r="BS56">
        <f>SUMIF(RecoveredRaw!$B:$B,$A56,RecoveredRaw!BV:BV)</f>
        <v>0</v>
      </c>
      <c r="BT56">
        <f>SUMIF(RecoveredRaw!$B:$B,$A56,RecoveredRaw!BW:BW)</f>
        <v>0</v>
      </c>
    </row>
    <row r="57" spans="1:72" ht="15" thickBot="1" x14ac:dyDescent="0.35">
      <c r="A57" s="3" t="s">
        <v>76</v>
      </c>
      <c r="B57">
        <f>SUMIF(RecoveredRaw!$B:$B,$A57,RecoveredRaw!E:E)</f>
        <v>0</v>
      </c>
      <c r="C57">
        <f>SUMIF(RecoveredRaw!$B:$B,$A57,RecoveredRaw!F:F)</f>
        <v>0</v>
      </c>
      <c r="D57">
        <f>SUMIF(RecoveredRaw!$B:$B,$A57,RecoveredRaw!G:G)</f>
        <v>0</v>
      </c>
      <c r="E57">
        <f>SUMIF(RecoveredRaw!$B:$B,$A57,RecoveredRaw!H:H)</f>
        <v>0</v>
      </c>
      <c r="F57">
        <f>SUMIF(RecoveredRaw!$B:$B,$A57,RecoveredRaw!I:I)</f>
        <v>0</v>
      </c>
      <c r="G57">
        <f>SUMIF(RecoveredRaw!$B:$B,$A57,RecoveredRaw!J:J)</f>
        <v>0</v>
      </c>
      <c r="H57">
        <f>SUMIF(RecoveredRaw!$B:$B,$A57,RecoveredRaw!K:K)</f>
        <v>0</v>
      </c>
      <c r="I57">
        <f>SUMIF(RecoveredRaw!$B:$B,$A57,RecoveredRaw!L:L)</f>
        <v>0</v>
      </c>
      <c r="J57">
        <f>SUMIF(RecoveredRaw!$B:$B,$A57,RecoveredRaw!M:M)</f>
        <v>0</v>
      </c>
      <c r="K57">
        <f>SUMIF(RecoveredRaw!$B:$B,$A57,RecoveredRaw!N:N)</f>
        <v>0</v>
      </c>
      <c r="L57">
        <f>SUMIF(RecoveredRaw!$B:$B,$A57,RecoveredRaw!O:O)</f>
        <v>0</v>
      </c>
      <c r="M57">
        <f>SUMIF(RecoveredRaw!$B:$B,$A57,RecoveredRaw!P:P)</f>
        <v>0</v>
      </c>
      <c r="N57">
        <f>SUMIF(RecoveredRaw!$B:$B,$A57,RecoveredRaw!Q:Q)</f>
        <v>0</v>
      </c>
      <c r="O57">
        <f>SUMIF(RecoveredRaw!$B:$B,$A57,RecoveredRaw!R:R)</f>
        <v>0</v>
      </c>
      <c r="P57">
        <f>SUMIF(RecoveredRaw!$B:$B,$A57,RecoveredRaw!S:S)</f>
        <v>0</v>
      </c>
      <c r="Q57">
        <f>SUMIF(RecoveredRaw!$B:$B,$A57,RecoveredRaw!T:T)</f>
        <v>0</v>
      </c>
      <c r="R57">
        <f>SUMIF(RecoveredRaw!$B:$B,$A57,RecoveredRaw!U:U)</f>
        <v>0</v>
      </c>
      <c r="S57">
        <f>SUMIF(RecoveredRaw!$B:$B,$A57,RecoveredRaw!V:V)</f>
        <v>0</v>
      </c>
      <c r="T57">
        <f>SUMIF(RecoveredRaw!$B:$B,$A57,RecoveredRaw!W:W)</f>
        <v>0</v>
      </c>
      <c r="U57">
        <f>SUMIF(RecoveredRaw!$B:$B,$A57,RecoveredRaw!X:X)</f>
        <v>0</v>
      </c>
      <c r="V57">
        <f>SUMIF(RecoveredRaw!$B:$B,$A57,RecoveredRaw!Y:Y)</f>
        <v>0</v>
      </c>
      <c r="W57">
        <f>SUMIF(RecoveredRaw!$B:$B,$A57,RecoveredRaw!Z:Z)</f>
        <v>0</v>
      </c>
      <c r="X57">
        <f>SUMIF(RecoveredRaw!$B:$B,$A57,RecoveredRaw!AA:AA)</f>
        <v>0</v>
      </c>
      <c r="Y57">
        <f>SUMIF(RecoveredRaw!$B:$B,$A57,RecoveredRaw!AB:AB)</f>
        <v>0</v>
      </c>
      <c r="Z57">
        <f>SUMIF(RecoveredRaw!$B:$B,$A57,RecoveredRaw!AC:AC)</f>
        <v>0</v>
      </c>
      <c r="AA57">
        <f>SUMIF(RecoveredRaw!$B:$B,$A57,RecoveredRaw!AD:AD)</f>
        <v>0</v>
      </c>
      <c r="AB57">
        <f>SUMIF(RecoveredRaw!$B:$B,$A57,RecoveredRaw!AE:AE)</f>
        <v>0</v>
      </c>
      <c r="AC57">
        <f>SUMIF(RecoveredRaw!$B:$B,$A57,RecoveredRaw!AF:AF)</f>
        <v>0</v>
      </c>
      <c r="AD57">
        <f>SUMIF(RecoveredRaw!$B:$B,$A57,RecoveredRaw!AG:AG)</f>
        <v>0</v>
      </c>
      <c r="AE57">
        <f>SUMIF(RecoveredRaw!$B:$B,$A57,RecoveredRaw!AH:AH)</f>
        <v>0</v>
      </c>
      <c r="AF57">
        <f>SUMIF(RecoveredRaw!$B:$B,$A57,RecoveredRaw!AI:AI)</f>
        <v>0</v>
      </c>
      <c r="AG57">
        <f>SUMIF(RecoveredRaw!$B:$B,$A57,RecoveredRaw!AJ:AJ)</f>
        <v>0</v>
      </c>
      <c r="AH57">
        <f>SUMIF(RecoveredRaw!$B:$B,$A57,RecoveredRaw!AK:AK)</f>
        <v>0</v>
      </c>
      <c r="AI57">
        <f>SUMIF(RecoveredRaw!$B:$B,$A57,RecoveredRaw!AL:AL)</f>
        <v>0</v>
      </c>
      <c r="AJ57">
        <f>SUMIF(RecoveredRaw!$B:$B,$A57,RecoveredRaw!AM:AM)</f>
        <v>0</v>
      </c>
      <c r="AK57">
        <f>SUMIF(RecoveredRaw!$B:$B,$A57,RecoveredRaw!AN:AN)</f>
        <v>0</v>
      </c>
      <c r="AL57">
        <f>SUMIF(RecoveredRaw!$B:$B,$A57,RecoveredRaw!AO:AO)</f>
        <v>0</v>
      </c>
      <c r="AM57">
        <f>SUMIF(RecoveredRaw!$B:$B,$A57,RecoveredRaw!AP:AP)</f>
        <v>0</v>
      </c>
      <c r="AN57">
        <f>SUMIF(RecoveredRaw!$B:$B,$A57,RecoveredRaw!AQ:AQ)</f>
        <v>0</v>
      </c>
      <c r="AO57">
        <f>SUMIF(RecoveredRaw!$B:$B,$A57,RecoveredRaw!AR:AR)</f>
        <v>0</v>
      </c>
      <c r="AP57">
        <f>SUMIF(RecoveredRaw!$B:$B,$A57,RecoveredRaw!AS:AS)</f>
        <v>0</v>
      </c>
      <c r="AQ57">
        <f>SUMIF(RecoveredRaw!$B:$B,$A57,RecoveredRaw!AT:AT)</f>
        <v>0</v>
      </c>
      <c r="AR57">
        <f>SUMIF(RecoveredRaw!$B:$B,$A57,RecoveredRaw!AU:AU)</f>
        <v>0</v>
      </c>
      <c r="AS57">
        <f>SUMIF(RecoveredRaw!$B:$B,$A57,RecoveredRaw!AV:AV)</f>
        <v>0</v>
      </c>
      <c r="AT57">
        <f>SUMIF(RecoveredRaw!$B:$B,$A57,RecoveredRaw!AW:AW)</f>
        <v>0</v>
      </c>
      <c r="AU57">
        <f>SUMIF(RecoveredRaw!$B:$B,$A57,RecoveredRaw!AX:AX)</f>
        <v>0</v>
      </c>
      <c r="AV57">
        <f>SUMIF(RecoveredRaw!$B:$B,$A57,RecoveredRaw!AY:AY)</f>
        <v>0</v>
      </c>
      <c r="AW57">
        <f>SUMIF(RecoveredRaw!$B:$B,$A57,RecoveredRaw!AZ:AZ)</f>
        <v>0</v>
      </c>
      <c r="AX57">
        <f>SUMIF(RecoveredRaw!$B:$B,$A57,RecoveredRaw!BA:BA)</f>
        <v>0</v>
      </c>
      <c r="AY57">
        <f>SUMIF(RecoveredRaw!$B:$B,$A57,RecoveredRaw!BB:BB)</f>
        <v>0</v>
      </c>
      <c r="AZ57">
        <f>SUMIF(RecoveredRaw!$B:$B,$A57,RecoveredRaw!BC:BC)</f>
        <v>0</v>
      </c>
      <c r="BA57">
        <f>SUMIF(RecoveredRaw!$B:$B,$A57,RecoveredRaw!BD:BD)</f>
        <v>1</v>
      </c>
      <c r="BB57">
        <f>SUMIF(RecoveredRaw!$B:$B,$A57,RecoveredRaw!BE:BE)</f>
        <v>1</v>
      </c>
      <c r="BC57">
        <f>SUMIF(RecoveredRaw!$B:$B,$A57,RecoveredRaw!BF:BF)</f>
        <v>1</v>
      </c>
      <c r="BD57">
        <f>SUMIF(RecoveredRaw!$B:$B,$A57,RecoveredRaw!BG:BG)</f>
        <v>2</v>
      </c>
      <c r="BE57">
        <f>SUMIF(RecoveredRaw!$B:$B,$A57,RecoveredRaw!BH:BH)</f>
        <v>4</v>
      </c>
      <c r="BF57">
        <f>SUMIF(RecoveredRaw!$B:$B,$A57,RecoveredRaw!BI:BI)</f>
        <v>4</v>
      </c>
      <c r="BG57">
        <f>SUMIF(RecoveredRaw!$B:$B,$A57,RecoveredRaw!BJ:BJ)</f>
        <v>5</v>
      </c>
      <c r="BH57">
        <f>SUMIF(RecoveredRaw!$B:$B,$A57,RecoveredRaw!BK:BK)</f>
        <v>5</v>
      </c>
      <c r="BI57">
        <f>SUMIF(RecoveredRaw!$B:$B,$A57,RecoveredRaw!BL:BL)</f>
        <v>0</v>
      </c>
      <c r="BJ57">
        <f>SUMIF(RecoveredRaw!$B:$B,$A57,RecoveredRaw!BM:BM)</f>
        <v>0</v>
      </c>
      <c r="BK57">
        <f>SUMIF(RecoveredRaw!$B:$B,$A57,RecoveredRaw!BN:BN)</f>
        <v>0</v>
      </c>
      <c r="BL57">
        <f>SUMIF(RecoveredRaw!$B:$B,$A57,RecoveredRaw!BO:BO)</f>
        <v>0</v>
      </c>
      <c r="BM57">
        <f>SUMIF(RecoveredRaw!$B:$B,$A57,RecoveredRaw!BP:BP)</f>
        <v>0</v>
      </c>
      <c r="BN57">
        <f>SUMIF(RecoveredRaw!$B:$B,$A57,RecoveredRaw!BQ:BQ)</f>
        <v>0</v>
      </c>
      <c r="BO57">
        <f>SUMIF(RecoveredRaw!$B:$B,$A57,RecoveredRaw!BR:BR)</f>
        <v>0</v>
      </c>
      <c r="BP57">
        <f>SUMIF(RecoveredRaw!$B:$B,$A57,RecoveredRaw!BS:BS)</f>
        <v>0</v>
      </c>
      <c r="BQ57">
        <f>SUMIF(RecoveredRaw!$B:$B,$A57,RecoveredRaw!BT:BT)</f>
        <v>0</v>
      </c>
      <c r="BR57">
        <f>SUMIF(RecoveredRaw!$B:$B,$A57,RecoveredRaw!BU:BU)</f>
        <v>0</v>
      </c>
      <c r="BS57">
        <f>SUMIF(RecoveredRaw!$B:$B,$A57,RecoveredRaw!BV:BV)</f>
        <v>0</v>
      </c>
      <c r="BT57">
        <f>SUMIF(RecoveredRaw!$B:$B,$A57,RecoveredRaw!BW:BW)</f>
        <v>0</v>
      </c>
    </row>
    <row r="58" spans="1:72" ht="15" thickBot="1" x14ac:dyDescent="0.35">
      <c r="A58" s="4" t="s">
        <v>162</v>
      </c>
      <c r="B58">
        <f>SUMIF(RecoveredRaw!$B:$B,$A58,RecoveredRaw!E:E)</f>
        <v>0</v>
      </c>
      <c r="C58">
        <f>SUMIF(RecoveredRaw!$B:$B,$A58,RecoveredRaw!F:F)</f>
        <v>0</v>
      </c>
      <c r="D58">
        <f>SUMIF(RecoveredRaw!$B:$B,$A58,RecoveredRaw!G:G)</f>
        <v>0</v>
      </c>
      <c r="E58">
        <f>SUMIF(RecoveredRaw!$B:$B,$A58,RecoveredRaw!H:H)</f>
        <v>0</v>
      </c>
      <c r="F58">
        <f>SUMIF(RecoveredRaw!$B:$B,$A58,RecoveredRaw!I:I)</f>
        <v>0</v>
      </c>
      <c r="G58">
        <f>SUMIF(RecoveredRaw!$B:$B,$A58,RecoveredRaw!J:J)</f>
        <v>0</v>
      </c>
      <c r="H58">
        <f>SUMIF(RecoveredRaw!$B:$B,$A58,RecoveredRaw!K:K)</f>
        <v>0</v>
      </c>
      <c r="I58">
        <f>SUMIF(RecoveredRaw!$B:$B,$A58,RecoveredRaw!L:L)</f>
        <v>0</v>
      </c>
      <c r="J58">
        <f>SUMIF(RecoveredRaw!$B:$B,$A58,RecoveredRaw!M:M)</f>
        <v>0</v>
      </c>
      <c r="K58">
        <f>SUMIF(RecoveredRaw!$B:$B,$A58,RecoveredRaw!N:N)</f>
        <v>0</v>
      </c>
      <c r="L58">
        <f>SUMIF(RecoveredRaw!$B:$B,$A58,RecoveredRaw!O:O)</f>
        <v>0</v>
      </c>
      <c r="M58">
        <f>SUMIF(RecoveredRaw!$B:$B,$A58,RecoveredRaw!P:P)</f>
        <v>0</v>
      </c>
      <c r="N58">
        <f>SUMIF(RecoveredRaw!$B:$B,$A58,RecoveredRaw!Q:Q)</f>
        <v>0</v>
      </c>
      <c r="O58">
        <f>SUMIF(RecoveredRaw!$B:$B,$A58,RecoveredRaw!R:R)</f>
        <v>0</v>
      </c>
      <c r="P58">
        <f>SUMIF(RecoveredRaw!$B:$B,$A58,RecoveredRaw!S:S)</f>
        <v>0</v>
      </c>
      <c r="Q58">
        <f>SUMIF(RecoveredRaw!$B:$B,$A58,RecoveredRaw!T:T)</f>
        <v>0</v>
      </c>
      <c r="R58">
        <f>SUMIF(RecoveredRaw!$B:$B,$A58,RecoveredRaw!U:U)</f>
        <v>0</v>
      </c>
      <c r="S58">
        <f>SUMIF(RecoveredRaw!$B:$B,$A58,RecoveredRaw!V:V)</f>
        <v>0</v>
      </c>
      <c r="T58">
        <f>SUMIF(RecoveredRaw!$B:$B,$A58,RecoveredRaw!W:W)</f>
        <v>0</v>
      </c>
      <c r="U58">
        <f>SUMIF(RecoveredRaw!$B:$B,$A58,RecoveredRaw!X:X)</f>
        <v>0</v>
      </c>
      <c r="V58">
        <f>SUMIF(RecoveredRaw!$B:$B,$A58,RecoveredRaw!Y:Y)</f>
        <v>0</v>
      </c>
      <c r="W58">
        <f>SUMIF(RecoveredRaw!$B:$B,$A58,RecoveredRaw!Z:Z)</f>
        <v>0</v>
      </c>
      <c r="X58">
        <f>SUMIF(RecoveredRaw!$B:$B,$A58,RecoveredRaw!AA:AA)</f>
        <v>0</v>
      </c>
      <c r="Y58">
        <f>SUMIF(RecoveredRaw!$B:$B,$A58,RecoveredRaw!AB:AB)</f>
        <v>0</v>
      </c>
      <c r="Z58">
        <f>SUMIF(RecoveredRaw!$B:$B,$A58,RecoveredRaw!AC:AC)</f>
        <v>0</v>
      </c>
      <c r="AA58">
        <f>SUMIF(RecoveredRaw!$B:$B,$A58,RecoveredRaw!AD:AD)</f>
        <v>0</v>
      </c>
      <c r="AB58">
        <f>SUMIF(RecoveredRaw!$B:$B,$A58,RecoveredRaw!AE:AE)</f>
        <v>0</v>
      </c>
      <c r="AC58">
        <f>SUMIF(RecoveredRaw!$B:$B,$A58,RecoveredRaw!AF:AF)</f>
        <v>0</v>
      </c>
      <c r="AD58">
        <f>SUMIF(RecoveredRaw!$B:$B,$A58,RecoveredRaw!AG:AG)</f>
        <v>0</v>
      </c>
      <c r="AE58">
        <f>SUMIF(RecoveredRaw!$B:$B,$A58,RecoveredRaw!AH:AH)</f>
        <v>0</v>
      </c>
      <c r="AF58">
        <f>SUMIF(RecoveredRaw!$B:$B,$A58,RecoveredRaw!AI:AI)</f>
        <v>0</v>
      </c>
      <c r="AG58">
        <f>SUMIF(RecoveredRaw!$B:$B,$A58,RecoveredRaw!AJ:AJ)</f>
        <v>0</v>
      </c>
      <c r="AH58">
        <f>SUMIF(RecoveredRaw!$B:$B,$A58,RecoveredRaw!AK:AK)</f>
        <v>0</v>
      </c>
      <c r="AI58">
        <f>SUMIF(RecoveredRaw!$B:$B,$A58,RecoveredRaw!AL:AL)</f>
        <v>0</v>
      </c>
      <c r="AJ58">
        <f>SUMIF(RecoveredRaw!$B:$B,$A58,RecoveredRaw!AM:AM)</f>
        <v>0</v>
      </c>
      <c r="AK58">
        <f>SUMIF(RecoveredRaw!$B:$B,$A58,RecoveredRaw!AN:AN)</f>
        <v>0</v>
      </c>
      <c r="AL58">
        <f>SUMIF(RecoveredRaw!$B:$B,$A58,RecoveredRaw!AO:AO)</f>
        <v>0</v>
      </c>
      <c r="AM58">
        <f>SUMIF(RecoveredRaw!$B:$B,$A58,RecoveredRaw!AP:AP)</f>
        <v>0</v>
      </c>
      <c r="AN58">
        <f>SUMIF(RecoveredRaw!$B:$B,$A58,RecoveredRaw!AQ:AQ)</f>
        <v>0</v>
      </c>
      <c r="AO58">
        <f>SUMIF(RecoveredRaw!$B:$B,$A58,RecoveredRaw!AR:AR)</f>
        <v>0</v>
      </c>
      <c r="AP58">
        <f>SUMIF(RecoveredRaw!$B:$B,$A58,RecoveredRaw!AS:AS)</f>
        <v>0</v>
      </c>
      <c r="AQ58">
        <f>SUMIF(RecoveredRaw!$B:$B,$A58,RecoveredRaw!AT:AT)</f>
        <v>0</v>
      </c>
      <c r="AR58">
        <f>SUMIF(RecoveredRaw!$B:$B,$A58,RecoveredRaw!AU:AU)</f>
        <v>0</v>
      </c>
      <c r="AS58">
        <f>SUMIF(RecoveredRaw!$B:$B,$A58,RecoveredRaw!AV:AV)</f>
        <v>0</v>
      </c>
      <c r="AT58">
        <f>SUMIF(RecoveredRaw!$B:$B,$A58,RecoveredRaw!AW:AW)</f>
        <v>0</v>
      </c>
      <c r="AU58">
        <f>SUMIF(RecoveredRaw!$B:$B,$A58,RecoveredRaw!AX:AX)</f>
        <v>0</v>
      </c>
      <c r="AV58">
        <f>SUMIF(RecoveredRaw!$B:$B,$A58,RecoveredRaw!AY:AY)</f>
        <v>0</v>
      </c>
      <c r="AW58">
        <f>SUMIF(RecoveredRaw!$B:$B,$A58,RecoveredRaw!AZ:AZ)</f>
        <v>0</v>
      </c>
      <c r="AX58">
        <f>SUMIF(RecoveredRaw!$B:$B,$A58,RecoveredRaw!BA:BA)</f>
        <v>0</v>
      </c>
      <c r="AY58">
        <f>SUMIF(RecoveredRaw!$B:$B,$A58,RecoveredRaw!BB:BB)</f>
        <v>0</v>
      </c>
      <c r="AZ58">
        <f>SUMIF(RecoveredRaw!$B:$B,$A58,RecoveredRaw!BC:BC)</f>
        <v>0</v>
      </c>
      <c r="BA58">
        <f>SUMIF(RecoveredRaw!$B:$B,$A58,RecoveredRaw!BD:BD)</f>
        <v>0</v>
      </c>
      <c r="BB58">
        <f>SUMIF(RecoveredRaw!$B:$B,$A58,RecoveredRaw!BE:BE)</f>
        <v>0</v>
      </c>
      <c r="BC58">
        <f>SUMIF(RecoveredRaw!$B:$B,$A58,RecoveredRaw!BF:BF)</f>
        <v>0</v>
      </c>
      <c r="BD58">
        <f>SUMIF(RecoveredRaw!$B:$B,$A58,RecoveredRaw!BG:BG)</f>
        <v>0</v>
      </c>
      <c r="BE58">
        <f>SUMIF(RecoveredRaw!$B:$B,$A58,RecoveredRaw!BH:BH)</f>
        <v>0</v>
      </c>
      <c r="BF58">
        <f>SUMIF(RecoveredRaw!$B:$B,$A58,RecoveredRaw!BI:BI)</f>
        <v>0</v>
      </c>
      <c r="BG58">
        <f>SUMIF(RecoveredRaw!$B:$B,$A58,RecoveredRaw!BJ:BJ)</f>
        <v>0</v>
      </c>
      <c r="BH58">
        <f>SUMIF(RecoveredRaw!$B:$B,$A58,RecoveredRaw!BK:BK)</f>
        <v>0</v>
      </c>
      <c r="BI58">
        <f>SUMIF(RecoveredRaw!$B:$B,$A58,RecoveredRaw!BL:BL)</f>
        <v>0</v>
      </c>
      <c r="BJ58">
        <f>SUMIF(RecoveredRaw!$B:$B,$A58,RecoveredRaw!BM:BM)</f>
        <v>0</v>
      </c>
      <c r="BK58">
        <f>SUMIF(RecoveredRaw!$B:$B,$A58,RecoveredRaw!BN:BN)</f>
        <v>0</v>
      </c>
      <c r="BL58">
        <f>SUMIF(RecoveredRaw!$B:$B,$A58,RecoveredRaw!BO:BO)</f>
        <v>0</v>
      </c>
      <c r="BM58">
        <f>SUMIF(RecoveredRaw!$B:$B,$A58,RecoveredRaw!BP:BP)</f>
        <v>0</v>
      </c>
      <c r="BN58">
        <f>SUMIF(RecoveredRaw!$B:$B,$A58,RecoveredRaw!BQ:BQ)</f>
        <v>0</v>
      </c>
      <c r="BO58">
        <f>SUMIF(RecoveredRaw!$B:$B,$A58,RecoveredRaw!BR:BR)</f>
        <v>0</v>
      </c>
      <c r="BP58">
        <f>SUMIF(RecoveredRaw!$B:$B,$A58,RecoveredRaw!BS:BS)</f>
        <v>0</v>
      </c>
      <c r="BQ58">
        <f>SUMIF(RecoveredRaw!$B:$B,$A58,RecoveredRaw!BT:BT)</f>
        <v>0</v>
      </c>
      <c r="BR58">
        <f>SUMIF(RecoveredRaw!$B:$B,$A58,RecoveredRaw!BU:BU)</f>
        <v>0</v>
      </c>
      <c r="BS58">
        <f>SUMIF(RecoveredRaw!$B:$B,$A58,RecoveredRaw!BV:BV)</f>
        <v>0</v>
      </c>
      <c r="BT58">
        <f>SUMIF(RecoveredRaw!$B:$B,$A58,RecoveredRaw!BW:BW)</f>
        <v>0</v>
      </c>
    </row>
    <row r="59" spans="1:72" ht="15" thickBot="1" x14ac:dyDescent="0.35">
      <c r="A59" s="4" t="s">
        <v>123</v>
      </c>
      <c r="B59">
        <f>SUMIF(RecoveredRaw!$B:$B,$A59,RecoveredRaw!E:E)</f>
        <v>0</v>
      </c>
      <c r="C59">
        <f>SUMIF(RecoveredRaw!$B:$B,$A59,RecoveredRaw!F:F)</f>
        <v>0</v>
      </c>
      <c r="D59">
        <f>SUMIF(RecoveredRaw!$B:$B,$A59,RecoveredRaw!G:G)</f>
        <v>0</v>
      </c>
      <c r="E59">
        <f>SUMIF(RecoveredRaw!$B:$B,$A59,RecoveredRaw!H:H)</f>
        <v>0</v>
      </c>
      <c r="F59">
        <f>SUMIF(RecoveredRaw!$B:$B,$A59,RecoveredRaw!I:I)</f>
        <v>0</v>
      </c>
      <c r="G59">
        <f>SUMIF(RecoveredRaw!$B:$B,$A59,RecoveredRaw!J:J)</f>
        <v>0</v>
      </c>
      <c r="H59">
        <f>SUMIF(RecoveredRaw!$B:$B,$A59,RecoveredRaw!K:K)</f>
        <v>0</v>
      </c>
      <c r="I59">
        <f>SUMIF(RecoveredRaw!$B:$B,$A59,RecoveredRaw!L:L)</f>
        <v>0</v>
      </c>
      <c r="J59">
        <f>SUMIF(RecoveredRaw!$B:$B,$A59,RecoveredRaw!M:M)</f>
        <v>0</v>
      </c>
      <c r="K59">
        <f>SUMIF(RecoveredRaw!$B:$B,$A59,RecoveredRaw!N:N)</f>
        <v>0</v>
      </c>
      <c r="L59">
        <f>SUMIF(RecoveredRaw!$B:$B,$A59,RecoveredRaw!O:O)</f>
        <v>0</v>
      </c>
      <c r="M59">
        <f>SUMIF(RecoveredRaw!$B:$B,$A59,RecoveredRaw!P:P)</f>
        <v>0</v>
      </c>
      <c r="N59">
        <f>SUMIF(RecoveredRaw!$B:$B,$A59,RecoveredRaw!Q:Q)</f>
        <v>0</v>
      </c>
      <c r="O59">
        <f>SUMIF(RecoveredRaw!$B:$B,$A59,RecoveredRaw!R:R)</f>
        <v>0</v>
      </c>
      <c r="P59">
        <f>SUMIF(RecoveredRaw!$B:$B,$A59,RecoveredRaw!S:S)</f>
        <v>0</v>
      </c>
      <c r="Q59">
        <f>SUMIF(RecoveredRaw!$B:$B,$A59,RecoveredRaw!T:T)</f>
        <v>0</v>
      </c>
      <c r="R59">
        <f>SUMIF(RecoveredRaw!$B:$B,$A59,RecoveredRaw!U:U)</f>
        <v>0</v>
      </c>
      <c r="S59">
        <f>SUMIF(RecoveredRaw!$B:$B,$A59,RecoveredRaw!V:V)</f>
        <v>0</v>
      </c>
      <c r="T59">
        <f>SUMIF(RecoveredRaw!$B:$B,$A59,RecoveredRaw!W:W)</f>
        <v>0</v>
      </c>
      <c r="U59">
        <f>SUMIF(RecoveredRaw!$B:$B,$A59,RecoveredRaw!X:X)</f>
        <v>0</v>
      </c>
      <c r="V59">
        <f>SUMIF(RecoveredRaw!$B:$B,$A59,RecoveredRaw!Y:Y)</f>
        <v>0</v>
      </c>
      <c r="W59">
        <f>SUMIF(RecoveredRaw!$B:$B,$A59,RecoveredRaw!Z:Z)</f>
        <v>0</v>
      </c>
      <c r="X59">
        <f>SUMIF(RecoveredRaw!$B:$B,$A59,RecoveredRaw!AA:AA)</f>
        <v>0</v>
      </c>
      <c r="Y59">
        <f>SUMIF(RecoveredRaw!$B:$B,$A59,RecoveredRaw!AB:AB)</f>
        <v>0</v>
      </c>
      <c r="Z59">
        <f>SUMIF(RecoveredRaw!$B:$B,$A59,RecoveredRaw!AC:AC)</f>
        <v>0</v>
      </c>
      <c r="AA59">
        <f>SUMIF(RecoveredRaw!$B:$B,$A59,RecoveredRaw!AD:AD)</f>
        <v>0</v>
      </c>
      <c r="AB59">
        <f>SUMIF(RecoveredRaw!$B:$B,$A59,RecoveredRaw!AE:AE)</f>
        <v>0</v>
      </c>
      <c r="AC59">
        <f>SUMIF(RecoveredRaw!$B:$B,$A59,RecoveredRaw!AF:AF)</f>
        <v>0</v>
      </c>
      <c r="AD59">
        <f>SUMIF(RecoveredRaw!$B:$B,$A59,RecoveredRaw!AG:AG)</f>
        <v>0</v>
      </c>
      <c r="AE59">
        <f>SUMIF(RecoveredRaw!$B:$B,$A59,RecoveredRaw!AH:AH)</f>
        <v>0</v>
      </c>
      <c r="AF59">
        <f>SUMIF(RecoveredRaw!$B:$B,$A59,RecoveredRaw!AI:AI)</f>
        <v>0</v>
      </c>
      <c r="AG59">
        <f>SUMIF(RecoveredRaw!$B:$B,$A59,RecoveredRaw!AJ:AJ)</f>
        <v>0</v>
      </c>
      <c r="AH59">
        <f>SUMIF(RecoveredRaw!$B:$B,$A59,RecoveredRaw!AK:AK)</f>
        <v>0</v>
      </c>
      <c r="AI59">
        <f>SUMIF(RecoveredRaw!$B:$B,$A59,RecoveredRaw!AL:AL)</f>
        <v>0</v>
      </c>
      <c r="AJ59">
        <f>SUMIF(RecoveredRaw!$B:$B,$A59,RecoveredRaw!AM:AM)</f>
        <v>0</v>
      </c>
      <c r="AK59">
        <f>SUMIF(RecoveredRaw!$B:$B,$A59,RecoveredRaw!AN:AN)</f>
        <v>0</v>
      </c>
      <c r="AL59">
        <f>SUMIF(RecoveredRaw!$B:$B,$A59,RecoveredRaw!AO:AO)</f>
        <v>0</v>
      </c>
      <c r="AM59">
        <f>SUMIF(RecoveredRaw!$B:$B,$A59,RecoveredRaw!AP:AP)</f>
        <v>0</v>
      </c>
      <c r="AN59">
        <f>SUMIF(RecoveredRaw!$B:$B,$A59,RecoveredRaw!AQ:AQ)</f>
        <v>0</v>
      </c>
      <c r="AO59">
        <f>SUMIF(RecoveredRaw!$B:$B,$A59,RecoveredRaw!AR:AR)</f>
        <v>0</v>
      </c>
      <c r="AP59">
        <f>SUMIF(RecoveredRaw!$B:$B,$A59,RecoveredRaw!AS:AS)</f>
        <v>0</v>
      </c>
      <c r="AQ59">
        <f>SUMIF(RecoveredRaw!$B:$B,$A59,RecoveredRaw!AT:AT)</f>
        <v>0</v>
      </c>
      <c r="AR59">
        <f>SUMIF(RecoveredRaw!$B:$B,$A59,RecoveredRaw!AU:AU)</f>
        <v>0</v>
      </c>
      <c r="AS59">
        <f>SUMIF(RecoveredRaw!$B:$B,$A59,RecoveredRaw!AV:AV)</f>
        <v>0</v>
      </c>
      <c r="AT59">
        <f>SUMIF(RecoveredRaw!$B:$B,$A59,RecoveredRaw!AW:AW)</f>
        <v>0</v>
      </c>
      <c r="AU59">
        <f>SUMIF(RecoveredRaw!$B:$B,$A59,RecoveredRaw!AX:AX)</f>
        <v>0</v>
      </c>
      <c r="AV59">
        <f>SUMIF(RecoveredRaw!$B:$B,$A59,RecoveredRaw!AY:AY)</f>
        <v>0</v>
      </c>
      <c r="AW59">
        <f>SUMIF(RecoveredRaw!$B:$B,$A59,RecoveredRaw!AZ:AZ)</f>
        <v>0</v>
      </c>
      <c r="AX59">
        <f>SUMIF(RecoveredRaw!$B:$B,$A59,RecoveredRaw!BA:BA)</f>
        <v>0</v>
      </c>
      <c r="AY59">
        <f>SUMIF(RecoveredRaw!$B:$B,$A59,RecoveredRaw!BB:BB)</f>
        <v>0</v>
      </c>
      <c r="AZ59">
        <f>SUMIF(RecoveredRaw!$B:$B,$A59,RecoveredRaw!BC:BC)</f>
        <v>0</v>
      </c>
      <c r="BA59">
        <f>SUMIF(RecoveredRaw!$B:$B,$A59,RecoveredRaw!BD:BD)</f>
        <v>0</v>
      </c>
      <c r="BB59">
        <f>SUMIF(RecoveredRaw!$B:$B,$A59,RecoveredRaw!BE:BE)</f>
        <v>1</v>
      </c>
      <c r="BC59">
        <f>SUMIF(RecoveredRaw!$B:$B,$A59,RecoveredRaw!BF:BF)</f>
        <v>1</v>
      </c>
      <c r="BD59">
        <f>SUMIF(RecoveredRaw!$B:$B,$A59,RecoveredRaw!BG:BG)</f>
        <v>1</v>
      </c>
      <c r="BE59">
        <f>SUMIF(RecoveredRaw!$B:$B,$A59,RecoveredRaw!BH:BH)</f>
        <v>3</v>
      </c>
      <c r="BF59">
        <f>SUMIF(RecoveredRaw!$B:$B,$A59,RecoveredRaw!BI:BI)</f>
        <v>3</v>
      </c>
      <c r="BG59">
        <f>SUMIF(RecoveredRaw!$B:$B,$A59,RecoveredRaw!BJ:BJ)</f>
        <v>3</v>
      </c>
      <c r="BH59">
        <f>SUMIF(RecoveredRaw!$B:$B,$A59,RecoveredRaw!BK:BK)</f>
        <v>3</v>
      </c>
      <c r="BI59">
        <f>SUMIF(RecoveredRaw!$B:$B,$A59,RecoveredRaw!BL:BL)</f>
        <v>0</v>
      </c>
      <c r="BJ59">
        <f>SUMIF(RecoveredRaw!$B:$B,$A59,RecoveredRaw!BM:BM)</f>
        <v>0</v>
      </c>
      <c r="BK59">
        <f>SUMIF(RecoveredRaw!$B:$B,$A59,RecoveredRaw!BN:BN)</f>
        <v>0</v>
      </c>
      <c r="BL59">
        <f>SUMIF(RecoveredRaw!$B:$B,$A59,RecoveredRaw!BO:BO)</f>
        <v>0</v>
      </c>
      <c r="BM59">
        <f>SUMIF(RecoveredRaw!$B:$B,$A59,RecoveredRaw!BP:BP)</f>
        <v>0</v>
      </c>
      <c r="BN59">
        <f>SUMIF(RecoveredRaw!$B:$B,$A59,RecoveredRaw!BQ:BQ)</f>
        <v>0</v>
      </c>
      <c r="BO59">
        <f>SUMIF(RecoveredRaw!$B:$B,$A59,RecoveredRaw!BR:BR)</f>
        <v>0</v>
      </c>
      <c r="BP59">
        <f>SUMIF(RecoveredRaw!$B:$B,$A59,RecoveredRaw!BS:BS)</f>
        <v>0</v>
      </c>
      <c r="BQ59">
        <f>SUMIF(RecoveredRaw!$B:$B,$A59,RecoveredRaw!BT:BT)</f>
        <v>0</v>
      </c>
      <c r="BR59">
        <f>SUMIF(RecoveredRaw!$B:$B,$A59,RecoveredRaw!BU:BU)</f>
        <v>0</v>
      </c>
      <c r="BS59">
        <f>SUMIF(RecoveredRaw!$B:$B,$A59,RecoveredRaw!BV:BV)</f>
        <v>0</v>
      </c>
      <c r="BT59">
        <f>SUMIF(RecoveredRaw!$B:$B,$A59,RecoveredRaw!BW:BW)</f>
        <v>0</v>
      </c>
    </row>
    <row r="60" spans="1:72" ht="15" thickBot="1" x14ac:dyDescent="0.35">
      <c r="A60" s="3" t="s">
        <v>80</v>
      </c>
      <c r="B60">
        <f>SUMIF(RecoveredRaw!$B:$B,$A60,RecoveredRaw!E:E)</f>
        <v>0</v>
      </c>
      <c r="C60">
        <f>SUMIF(RecoveredRaw!$B:$B,$A60,RecoveredRaw!F:F)</f>
        <v>0</v>
      </c>
      <c r="D60">
        <f>SUMIF(RecoveredRaw!$B:$B,$A60,RecoveredRaw!G:G)</f>
        <v>0</v>
      </c>
      <c r="E60">
        <f>SUMIF(RecoveredRaw!$B:$B,$A60,RecoveredRaw!H:H)</f>
        <v>0</v>
      </c>
      <c r="F60">
        <f>SUMIF(RecoveredRaw!$B:$B,$A60,RecoveredRaw!I:I)</f>
        <v>0</v>
      </c>
      <c r="G60">
        <f>SUMIF(RecoveredRaw!$B:$B,$A60,RecoveredRaw!J:J)</f>
        <v>0</v>
      </c>
      <c r="H60">
        <f>SUMIF(RecoveredRaw!$B:$B,$A60,RecoveredRaw!K:K)</f>
        <v>0</v>
      </c>
      <c r="I60">
        <f>SUMIF(RecoveredRaw!$B:$B,$A60,RecoveredRaw!L:L)</f>
        <v>0</v>
      </c>
      <c r="J60">
        <f>SUMIF(RecoveredRaw!$B:$B,$A60,RecoveredRaw!M:M)</f>
        <v>0</v>
      </c>
      <c r="K60">
        <f>SUMIF(RecoveredRaw!$B:$B,$A60,RecoveredRaw!N:N)</f>
        <v>0</v>
      </c>
      <c r="L60">
        <f>SUMIF(RecoveredRaw!$B:$B,$A60,RecoveredRaw!O:O)</f>
        <v>0</v>
      </c>
      <c r="M60">
        <f>SUMIF(RecoveredRaw!$B:$B,$A60,RecoveredRaw!P:P)</f>
        <v>0</v>
      </c>
      <c r="N60">
        <f>SUMIF(RecoveredRaw!$B:$B,$A60,RecoveredRaw!Q:Q)</f>
        <v>0</v>
      </c>
      <c r="O60">
        <f>SUMIF(RecoveredRaw!$B:$B,$A60,RecoveredRaw!R:R)</f>
        <v>0</v>
      </c>
      <c r="P60">
        <f>SUMIF(RecoveredRaw!$B:$B,$A60,RecoveredRaw!S:S)</f>
        <v>0</v>
      </c>
      <c r="Q60">
        <f>SUMIF(RecoveredRaw!$B:$B,$A60,RecoveredRaw!T:T)</f>
        <v>0</v>
      </c>
      <c r="R60">
        <f>SUMIF(RecoveredRaw!$B:$B,$A60,RecoveredRaw!U:U)</f>
        <v>0</v>
      </c>
      <c r="S60">
        <f>SUMIF(RecoveredRaw!$B:$B,$A60,RecoveredRaw!V:V)</f>
        <v>0</v>
      </c>
      <c r="T60">
        <f>SUMIF(RecoveredRaw!$B:$B,$A60,RecoveredRaw!W:W)</f>
        <v>0</v>
      </c>
      <c r="U60">
        <f>SUMIF(RecoveredRaw!$B:$B,$A60,RecoveredRaw!X:X)</f>
        <v>0</v>
      </c>
      <c r="V60">
        <f>SUMIF(RecoveredRaw!$B:$B,$A60,RecoveredRaw!Y:Y)</f>
        <v>0</v>
      </c>
      <c r="W60">
        <f>SUMIF(RecoveredRaw!$B:$B,$A60,RecoveredRaw!Z:Z)</f>
        <v>0</v>
      </c>
      <c r="X60">
        <f>SUMIF(RecoveredRaw!$B:$B,$A60,RecoveredRaw!AA:AA)</f>
        <v>0</v>
      </c>
      <c r="Y60">
        <f>SUMIF(RecoveredRaw!$B:$B,$A60,RecoveredRaw!AB:AB)</f>
        <v>0</v>
      </c>
      <c r="Z60">
        <f>SUMIF(RecoveredRaw!$B:$B,$A60,RecoveredRaw!AC:AC)</f>
        <v>0</v>
      </c>
      <c r="AA60">
        <f>SUMIF(RecoveredRaw!$B:$B,$A60,RecoveredRaw!AD:AD)</f>
        <v>0</v>
      </c>
      <c r="AB60">
        <f>SUMIF(RecoveredRaw!$B:$B,$A60,RecoveredRaw!AE:AE)</f>
        <v>0</v>
      </c>
      <c r="AC60">
        <f>SUMIF(RecoveredRaw!$B:$B,$A60,RecoveredRaw!AF:AF)</f>
        <v>0</v>
      </c>
      <c r="AD60">
        <f>SUMIF(RecoveredRaw!$B:$B,$A60,RecoveredRaw!AG:AG)</f>
        <v>0</v>
      </c>
      <c r="AE60">
        <f>SUMIF(RecoveredRaw!$B:$B,$A60,RecoveredRaw!AH:AH)</f>
        <v>0</v>
      </c>
      <c r="AF60">
        <f>SUMIF(RecoveredRaw!$B:$B,$A60,RecoveredRaw!AI:AI)</f>
        <v>0</v>
      </c>
      <c r="AG60">
        <f>SUMIF(RecoveredRaw!$B:$B,$A60,RecoveredRaw!AJ:AJ)</f>
        <v>0</v>
      </c>
      <c r="AH60">
        <f>SUMIF(RecoveredRaw!$B:$B,$A60,RecoveredRaw!AK:AK)</f>
        <v>0</v>
      </c>
      <c r="AI60">
        <f>SUMIF(RecoveredRaw!$B:$B,$A60,RecoveredRaw!AL:AL)</f>
        <v>0</v>
      </c>
      <c r="AJ60">
        <f>SUMIF(RecoveredRaw!$B:$B,$A60,RecoveredRaw!AM:AM)</f>
        <v>0</v>
      </c>
      <c r="AK60">
        <f>SUMIF(RecoveredRaw!$B:$B,$A60,RecoveredRaw!AN:AN)</f>
        <v>0</v>
      </c>
      <c r="AL60">
        <f>SUMIF(RecoveredRaw!$B:$B,$A60,RecoveredRaw!AO:AO)</f>
        <v>0</v>
      </c>
      <c r="AM60">
        <f>SUMIF(RecoveredRaw!$B:$B,$A60,RecoveredRaw!AP:AP)</f>
        <v>0</v>
      </c>
      <c r="AN60">
        <f>SUMIF(RecoveredRaw!$B:$B,$A60,RecoveredRaw!AQ:AQ)</f>
        <v>0</v>
      </c>
      <c r="AO60">
        <f>SUMIF(RecoveredRaw!$B:$B,$A60,RecoveredRaw!AR:AR)</f>
        <v>0</v>
      </c>
      <c r="AP60">
        <f>SUMIF(RecoveredRaw!$B:$B,$A60,RecoveredRaw!AS:AS)</f>
        <v>0</v>
      </c>
      <c r="AQ60">
        <f>SUMIF(RecoveredRaw!$B:$B,$A60,RecoveredRaw!AT:AT)</f>
        <v>0</v>
      </c>
      <c r="AR60">
        <f>SUMIF(RecoveredRaw!$B:$B,$A60,RecoveredRaw!AU:AU)</f>
        <v>0</v>
      </c>
      <c r="AS60">
        <f>SUMIF(RecoveredRaw!$B:$B,$A60,RecoveredRaw!AV:AV)</f>
        <v>0</v>
      </c>
      <c r="AT60">
        <f>SUMIF(RecoveredRaw!$B:$B,$A60,RecoveredRaw!AW:AW)</f>
        <v>0</v>
      </c>
      <c r="AU60">
        <f>SUMIF(RecoveredRaw!$B:$B,$A60,RecoveredRaw!AX:AX)</f>
        <v>0</v>
      </c>
      <c r="AV60">
        <f>SUMIF(RecoveredRaw!$B:$B,$A60,RecoveredRaw!AY:AY)</f>
        <v>1</v>
      </c>
      <c r="AW60">
        <f>SUMIF(RecoveredRaw!$B:$B,$A60,RecoveredRaw!AZ:AZ)</f>
        <v>1</v>
      </c>
      <c r="AX60">
        <f>SUMIF(RecoveredRaw!$B:$B,$A60,RecoveredRaw!BA:BA)</f>
        <v>1</v>
      </c>
      <c r="AY60">
        <f>SUMIF(RecoveredRaw!$B:$B,$A60,RecoveredRaw!BB:BB)</f>
        <v>2</v>
      </c>
      <c r="AZ60">
        <f>SUMIF(RecoveredRaw!$B:$B,$A60,RecoveredRaw!BC:BC)</f>
        <v>2</v>
      </c>
      <c r="BA60">
        <f>SUMIF(RecoveredRaw!$B:$B,$A60,RecoveredRaw!BD:BD)</f>
        <v>2</v>
      </c>
      <c r="BB60">
        <f>SUMIF(RecoveredRaw!$B:$B,$A60,RecoveredRaw!BE:BE)</f>
        <v>2</v>
      </c>
      <c r="BC60">
        <f>SUMIF(RecoveredRaw!$B:$B,$A60,RecoveredRaw!BF:BF)</f>
        <v>2</v>
      </c>
      <c r="BD60">
        <f>SUMIF(RecoveredRaw!$B:$B,$A60,RecoveredRaw!BG:BG)</f>
        <v>2</v>
      </c>
      <c r="BE60">
        <f>SUMIF(RecoveredRaw!$B:$B,$A60,RecoveredRaw!BH:BH)</f>
        <v>2</v>
      </c>
      <c r="BF60">
        <f>SUMIF(RecoveredRaw!$B:$B,$A60,RecoveredRaw!BI:BI)</f>
        <v>2</v>
      </c>
      <c r="BG60">
        <f>SUMIF(RecoveredRaw!$B:$B,$A60,RecoveredRaw!BJ:BJ)</f>
        <v>13</v>
      </c>
      <c r="BH60">
        <f>SUMIF(RecoveredRaw!$B:$B,$A60,RecoveredRaw!BK:BK)</f>
        <v>13</v>
      </c>
      <c r="BI60">
        <f>SUMIF(RecoveredRaw!$B:$B,$A60,RecoveredRaw!BL:BL)</f>
        <v>0</v>
      </c>
      <c r="BJ60">
        <f>SUMIF(RecoveredRaw!$B:$B,$A60,RecoveredRaw!BM:BM)</f>
        <v>0</v>
      </c>
      <c r="BK60">
        <f>SUMIF(RecoveredRaw!$B:$B,$A60,RecoveredRaw!BN:BN)</f>
        <v>0</v>
      </c>
      <c r="BL60">
        <f>SUMIF(RecoveredRaw!$B:$B,$A60,RecoveredRaw!BO:BO)</f>
        <v>0</v>
      </c>
      <c r="BM60">
        <f>SUMIF(RecoveredRaw!$B:$B,$A60,RecoveredRaw!BP:BP)</f>
        <v>0</v>
      </c>
      <c r="BN60">
        <f>SUMIF(RecoveredRaw!$B:$B,$A60,RecoveredRaw!BQ:BQ)</f>
        <v>0</v>
      </c>
      <c r="BO60">
        <f>SUMIF(RecoveredRaw!$B:$B,$A60,RecoveredRaw!BR:BR)</f>
        <v>0</v>
      </c>
      <c r="BP60">
        <f>SUMIF(RecoveredRaw!$B:$B,$A60,RecoveredRaw!BS:BS)</f>
        <v>0</v>
      </c>
      <c r="BQ60">
        <f>SUMIF(RecoveredRaw!$B:$B,$A60,RecoveredRaw!BT:BT)</f>
        <v>0</v>
      </c>
      <c r="BR60">
        <f>SUMIF(RecoveredRaw!$B:$B,$A60,RecoveredRaw!BU:BU)</f>
        <v>0</v>
      </c>
      <c r="BS60">
        <f>SUMIF(RecoveredRaw!$B:$B,$A60,RecoveredRaw!BV:BV)</f>
        <v>0</v>
      </c>
      <c r="BT60">
        <f>SUMIF(RecoveredRaw!$B:$B,$A60,RecoveredRaw!BW:BW)</f>
        <v>0</v>
      </c>
    </row>
    <row r="61" spans="1:72" ht="15" thickBot="1" x14ac:dyDescent="0.35">
      <c r="A61" s="4" t="s">
        <v>160</v>
      </c>
      <c r="B61">
        <f>SUMIF(RecoveredRaw!$B:$B,$A61,RecoveredRaw!E:E)</f>
        <v>0</v>
      </c>
      <c r="C61">
        <f>SUMIF(RecoveredRaw!$B:$B,$A61,RecoveredRaw!F:F)</f>
        <v>0</v>
      </c>
      <c r="D61">
        <f>SUMIF(RecoveredRaw!$B:$B,$A61,RecoveredRaw!G:G)</f>
        <v>0</v>
      </c>
      <c r="E61">
        <f>SUMIF(RecoveredRaw!$B:$B,$A61,RecoveredRaw!H:H)</f>
        <v>0</v>
      </c>
      <c r="F61">
        <f>SUMIF(RecoveredRaw!$B:$B,$A61,RecoveredRaw!I:I)</f>
        <v>0</v>
      </c>
      <c r="G61">
        <f>SUMIF(RecoveredRaw!$B:$B,$A61,RecoveredRaw!J:J)</f>
        <v>0</v>
      </c>
      <c r="H61">
        <f>SUMIF(RecoveredRaw!$B:$B,$A61,RecoveredRaw!K:K)</f>
        <v>0</v>
      </c>
      <c r="I61">
        <f>SUMIF(RecoveredRaw!$B:$B,$A61,RecoveredRaw!L:L)</f>
        <v>0</v>
      </c>
      <c r="J61">
        <f>SUMIF(RecoveredRaw!$B:$B,$A61,RecoveredRaw!M:M)</f>
        <v>0</v>
      </c>
      <c r="K61">
        <f>SUMIF(RecoveredRaw!$B:$B,$A61,RecoveredRaw!N:N)</f>
        <v>0</v>
      </c>
      <c r="L61">
        <f>SUMIF(RecoveredRaw!$B:$B,$A61,RecoveredRaw!O:O)</f>
        <v>0</v>
      </c>
      <c r="M61">
        <f>SUMIF(RecoveredRaw!$B:$B,$A61,RecoveredRaw!P:P)</f>
        <v>0</v>
      </c>
      <c r="N61">
        <f>SUMIF(RecoveredRaw!$B:$B,$A61,RecoveredRaw!Q:Q)</f>
        <v>0</v>
      </c>
      <c r="O61">
        <f>SUMIF(RecoveredRaw!$B:$B,$A61,RecoveredRaw!R:R)</f>
        <v>0</v>
      </c>
      <c r="P61">
        <f>SUMIF(RecoveredRaw!$B:$B,$A61,RecoveredRaw!S:S)</f>
        <v>0</v>
      </c>
      <c r="Q61">
        <f>SUMIF(RecoveredRaw!$B:$B,$A61,RecoveredRaw!T:T)</f>
        <v>0</v>
      </c>
      <c r="R61">
        <f>SUMIF(RecoveredRaw!$B:$B,$A61,RecoveredRaw!U:U)</f>
        <v>0</v>
      </c>
      <c r="S61">
        <f>SUMIF(RecoveredRaw!$B:$B,$A61,RecoveredRaw!V:V)</f>
        <v>0</v>
      </c>
      <c r="T61">
        <f>SUMIF(RecoveredRaw!$B:$B,$A61,RecoveredRaw!W:W)</f>
        <v>0</v>
      </c>
      <c r="U61">
        <f>SUMIF(RecoveredRaw!$B:$B,$A61,RecoveredRaw!X:X)</f>
        <v>0</v>
      </c>
      <c r="V61">
        <f>SUMIF(RecoveredRaw!$B:$B,$A61,RecoveredRaw!Y:Y)</f>
        <v>0</v>
      </c>
      <c r="W61">
        <f>SUMIF(RecoveredRaw!$B:$B,$A61,RecoveredRaw!Z:Z)</f>
        <v>0</v>
      </c>
      <c r="X61">
        <f>SUMIF(RecoveredRaw!$B:$B,$A61,RecoveredRaw!AA:AA)</f>
        <v>0</v>
      </c>
      <c r="Y61">
        <f>SUMIF(RecoveredRaw!$B:$B,$A61,RecoveredRaw!AB:AB)</f>
        <v>0</v>
      </c>
      <c r="Z61">
        <f>SUMIF(RecoveredRaw!$B:$B,$A61,RecoveredRaw!AC:AC)</f>
        <v>0</v>
      </c>
      <c r="AA61">
        <f>SUMIF(RecoveredRaw!$B:$B,$A61,RecoveredRaw!AD:AD)</f>
        <v>0</v>
      </c>
      <c r="AB61">
        <f>SUMIF(RecoveredRaw!$B:$B,$A61,RecoveredRaw!AE:AE)</f>
        <v>0</v>
      </c>
      <c r="AC61">
        <f>SUMIF(RecoveredRaw!$B:$B,$A61,RecoveredRaw!AF:AF)</f>
        <v>0</v>
      </c>
      <c r="AD61">
        <f>SUMIF(RecoveredRaw!$B:$B,$A61,RecoveredRaw!AG:AG)</f>
        <v>0</v>
      </c>
      <c r="AE61">
        <f>SUMIF(RecoveredRaw!$B:$B,$A61,RecoveredRaw!AH:AH)</f>
        <v>0</v>
      </c>
      <c r="AF61">
        <f>SUMIF(RecoveredRaw!$B:$B,$A61,RecoveredRaw!AI:AI)</f>
        <v>0</v>
      </c>
      <c r="AG61">
        <f>SUMIF(RecoveredRaw!$B:$B,$A61,RecoveredRaw!AJ:AJ)</f>
        <v>0</v>
      </c>
      <c r="AH61">
        <f>SUMIF(RecoveredRaw!$B:$B,$A61,RecoveredRaw!AK:AK)</f>
        <v>0</v>
      </c>
      <c r="AI61">
        <f>SUMIF(RecoveredRaw!$B:$B,$A61,RecoveredRaw!AL:AL)</f>
        <v>0</v>
      </c>
      <c r="AJ61">
        <f>SUMIF(RecoveredRaw!$B:$B,$A61,RecoveredRaw!AM:AM)</f>
        <v>0</v>
      </c>
      <c r="AK61">
        <f>SUMIF(RecoveredRaw!$B:$B,$A61,RecoveredRaw!AN:AN)</f>
        <v>0</v>
      </c>
      <c r="AL61">
        <f>SUMIF(RecoveredRaw!$B:$B,$A61,RecoveredRaw!AO:AO)</f>
        <v>0</v>
      </c>
      <c r="AM61">
        <f>SUMIF(RecoveredRaw!$B:$B,$A61,RecoveredRaw!AP:AP)</f>
        <v>0</v>
      </c>
      <c r="AN61">
        <f>SUMIF(RecoveredRaw!$B:$B,$A61,RecoveredRaw!AQ:AQ)</f>
        <v>0</v>
      </c>
      <c r="AO61">
        <f>SUMIF(RecoveredRaw!$B:$B,$A61,RecoveredRaw!AR:AR)</f>
        <v>0</v>
      </c>
      <c r="AP61">
        <f>SUMIF(RecoveredRaw!$B:$B,$A61,RecoveredRaw!AS:AS)</f>
        <v>0</v>
      </c>
      <c r="AQ61">
        <f>SUMIF(RecoveredRaw!$B:$B,$A61,RecoveredRaw!AT:AT)</f>
        <v>0</v>
      </c>
      <c r="AR61">
        <f>SUMIF(RecoveredRaw!$B:$B,$A61,RecoveredRaw!AU:AU)</f>
        <v>0</v>
      </c>
      <c r="AS61">
        <f>SUMIF(RecoveredRaw!$B:$B,$A61,RecoveredRaw!AV:AV)</f>
        <v>0</v>
      </c>
      <c r="AT61">
        <f>SUMIF(RecoveredRaw!$B:$B,$A61,RecoveredRaw!AW:AW)</f>
        <v>0</v>
      </c>
      <c r="AU61">
        <f>SUMIF(RecoveredRaw!$B:$B,$A61,RecoveredRaw!AX:AX)</f>
        <v>0</v>
      </c>
      <c r="AV61">
        <f>SUMIF(RecoveredRaw!$B:$B,$A61,RecoveredRaw!AY:AY)</f>
        <v>0</v>
      </c>
      <c r="AW61">
        <f>SUMIF(RecoveredRaw!$B:$B,$A61,RecoveredRaw!AZ:AZ)</f>
        <v>0</v>
      </c>
      <c r="AX61">
        <f>SUMIF(RecoveredRaw!$B:$B,$A61,RecoveredRaw!BA:BA)</f>
        <v>0</v>
      </c>
      <c r="AY61">
        <f>SUMIF(RecoveredRaw!$B:$B,$A61,RecoveredRaw!BB:BB)</f>
        <v>0</v>
      </c>
      <c r="AZ61">
        <f>SUMIF(RecoveredRaw!$B:$B,$A61,RecoveredRaw!BC:BC)</f>
        <v>0</v>
      </c>
      <c r="BA61">
        <f>SUMIF(RecoveredRaw!$B:$B,$A61,RecoveredRaw!BD:BD)</f>
        <v>0</v>
      </c>
      <c r="BB61">
        <f>SUMIF(RecoveredRaw!$B:$B,$A61,RecoveredRaw!BE:BE)</f>
        <v>0</v>
      </c>
      <c r="BC61">
        <f>SUMIF(RecoveredRaw!$B:$B,$A61,RecoveredRaw!BF:BF)</f>
        <v>0</v>
      </c>
      <c r="BD61">
        <f>SUMIF(RecoveredRaw!$B:$B,$A61,RecoveredRaw!BG:BG)</f>
        <v>0</v>
      </c>
      <c r="BE61">
        <f>SUMIF(RecoveredRaw!$B:$B,$A61,RecoveredRaw!BH:BH)</f>
        <v>1</v>
      </c>
      <c r="BF61">
        <f>SUMIF(RecoveredRaw!$B:$B,$A61,RecoveredRaw!BI:BI)</f>
        <v>1</v>
      </c>
      <c r="BG61">
        <f>SUMIF(RecoveredRaw!$B:$B,$A61,RecoveredRaw!BJ:BJ)</f>
        <v>1</v>
      </c>
      <c r="BH61">
        <f>SUMIF(RecoveredRaw!$B:$B,$A61,RecoveredRaw!BK:BK)</f>
        <v>1</v>
      </c>
      <c r="BI61">
        <f>SUMIF(RecoveredRaw!$B:$B,$A61,RecoveredRaw!BL:BL)</f>
        <v>0</v>
      </c>
      <c r="BJ61">
        <f>SUMIF(RecoveredRaw!$B:$B,$A61,RecoveredRaw!BM:BM)</f>
        <v>0</v>
      </c>
      <c r="BK61">
        <f>SUMIF(RecoveredRaw!$B:$B,$A61,RecoveredRaw!BN:BN)</f>
        <v>0</v>
      </c>
      <c r="BL61">
        <f>SUMIF(RecoveredRaw!$B:$B,$A61,RecoveredRaw!BO:BO)</f>
        <v>0</v>
      </c>
      <c r="BM61">
        <f>SUMIF(RecoveredRaw!$B:$B,$A61,RecoveredRaw!BP:BP)</f>
        <v>0</v>
      </c>
      <c r="BN61">
        <f>SUMIF(RecoveredRaw!$B:$B,$A61,RecoveredRaw!BQ:BQ)</f>
        <v>0</v>
      </c>
      <c r="BO61">
        <f>SUMIF(RecoveredRaw!$B:$B,$A61,RecoveredRaw!BR:BR)</f>
        <v>0</v>
      </c>
      <c r="BP61">
        <f>SUMIF(RecoveredRaw!$B:$B,$A61,RecoveredRaw!BS:BS)</f>
        <v>0</v>
      </c>
      <c r="BQ61">
        <f>SUMIF(RecoveredRaw!$B:$B,$A61,RecoveredRaw!BT:BT)</f>
        <v>0</v>
      </c>
      <c r="BR61">
        <f>SUMIF(RecoveredRaw!$B:$B,$A61,RecoveredRaw!BU:BU)</f>
        <v>0</v>
      </c>
      <c r="BS61">
        <f>SUMIF(RecoveredRaw!$B:$B,$A61,RecoveredRaw!BV:BV)</f>
        <v>0</v>
      </c>
      <c r="BT61">
        <f>SUMIF(RecoveredRaw!$B:$B,$A61,RecoveredRaw!BW:BW)</f>
        <v>0</v>
      </c>
    </row>
    <row r="62" spans="1:72" ht="15" thickBot="1" x14ac:dyDescent="0.35">
      <c r="A62" s="3" t="s">
        <v>91</v>
      </c>
      <c r="B62">
        <f>SUMIF(RecoveredRaw!$B:$B,$A62,RecoveredRaw!E:E)</f>
        <v>0</v>
      </c>
      <c r="C62">
        <f>SUMIF(RecoveredRaw!$B:$B,$A62,RecoveredRaw!F:F)</f>
        <v>0</v>
      </c>
      <c r="D62">
        <f>SUMIF(RecoveredRaw!$B:$B,$A62,RecoveredRaw!G:G)</f>
        <v>0</v>
      </c>
      <c r="E62">
        <f>SUMIF(RecoveredRaw!$B:$B,$A62,RecoveredRaw!H:H)</f>
        <v>0</v>
      </c>
      <c r="F62">
        <f>SUMIF(RecoveredRaw!$B:$B,$A62,RecoveredRaw!I:I)</f>
        <v>0</v>
      </c>
      <c r="G62">
        <f>SUMIF(RecoveredRaw!$B:$B,$A62,RecoveredRaw!J:J)</f>
        <v>0</v>
      </c>
      <c r="H62">
        <f>SUMIF(RecoveredRaw!$B:$B,$A62,RecoveredRaw!K:K)</f>
        <v>0</v>
      </c>
      <c r="I62">
        <f>SUMIF(RecoveredRaw!$B:$B,$A62,RecoveredRaw!L:L)</f>
        <v>0</v>
      </c>
      <c r="J62">
        <f>SUMIF(RecoveredRaw!$B:$B,$A62,RecoveredRaw!M:M)</f>
        <v>0</v>
      </c>
      <c r="K62">
        <f>SUMIF(RecoveredRaw!$B:$B,$A62,RecoveredRaw!N:N)</f>
        <v>0</v>
      </c>
      <c r="L62">
        <f>SUMIF(RecoveredRaw!$B:$B,$A62,RecoveredRaw!O:O)</f>
        <v>0</v>
      </c>
      <c r="M62">
        <f>SUMIF(RecoveredRaw!$B:$B,$A62,RecoveredRaw!P:P)</f>
        <v>0</v>
      </c>
      <c r="N62">
        <f>SUMIF(RecoveredRaw!$B:$B,$A62,RecoveredRaw!Q:Q)</f>
        <v>0</v>
      </c>
      <c r="O62">
        <f>SUMIF(RecoveredRaw!$B:$B,$A62,RecoveredRaw!R:R)</f>
        <v>0</v>
      </c>
      <c r="P62">
        <f>SUMIF(RecoveredRaw!$B:$B,$A62,RecoveredRaw!S:S)</f>
        <v>0</v>
      </c>
      <c r="Q62">
        <f>SUMIF(RecoveredRaw!$B:$B,$A62,RecoveredRaw!T:T)</f>
        <v>0</v>
      </c>
      <c r="R62">
        <f>SUMIF(RecoveredRaw!$B:$B,$A62,RecoveredRaw!U:U)</f>
        <v>0</v>
      </c>
      <c r="S62">
        <f>SUMIF(RecoveredRaw!$B:$B,$A62,RecoveredRaw!V:V)</f>
        <v>0</v>
      </c>
      <c r="T62">
        <f>SUMIF(RecoveredRaw!$B:$B,$A62,RecoveredRaw!W:W)</f>
        <v>0</v>
      </c>
      <c r="U62">
        <f>SUMIF(RecoveredRaw!$B:$B,$A62,RecoveredRaw!X:X)</f>
        <v>0</v>
      </c>
      <c r="V62">
        <f>SUMIF(RecoveredRaw!$B:$B,$A62,RecoveredRaw!Y:Y)</f>
        <v>0</v>
      </c>
      <c r="W62">
        <f>SUMIF(RecoveredRaw!$B:$B,$A62,RecoveredRaw!Z:Z)</f>
        <v>0</v>
      </c>
      <c r="X62">
        <f>SUMIF(RecoveredRaw!$B:$B,$A62,RecoveredRaw!AA:AA)</f>
        <v>0</v>
      </c>
      <c r="Y62">
        <f>SUMIF(RecoveredRaw!$B:$B,$A62,RecoveredRaw!AB:AB)</f>
        <v>0</v>
      </c>
      <c r="Z62">
        <f>SUMIF(RecoveredRaw!$B:$B,$A62,RecoveredRaw!AC:AC)</f>
        <v>0</v>
      </c>
      <c r="AA62">
        <f>SUMIF(RecoveredRaw!$B:$B,$A62,RecoveredRaw!AD:AD)</f>
        <v>0</v>
      </c>
      <c r="AB62">
        <f>SUMIF(RecoveredRaw!$B:$B,$A62,RecoveredRaw!AE:AE)</f>
        <v>0</v>
      </c>
      <c r="AC62">
        <f>SUMIF(RecoveredRaw!$B:$B,$A62,RecoveredRaw!AF:AF)</f>
        <v>0</v>
      </c>
      <c r="AD62">
        <f>SUMIF(RecoveredRaw!$B:$B,$A62,RecoveredRaw!AG:AG)</f>
        <v>0</v>
      </c>
      <c r="AE62">
        <f>SUMIF(RecoveredRaw!$B:$B,$A62,RecoveredRaw!AH:AH)</f>
        <v>0</v>
      </c>
      <c r="AF62">
        <f>SUMIF(RecoveredRaw!$B:$B,$A62,RecoveredRaw!AI:AI)</f>
        <v>0</v>
      </c>
      <c r="AG62">
        <f>SUMIF(RecoveredRaw!$B:$B,$A62,RecoveredRaw!AJ:AJ)</f>
        <v>0</v>
      </c>
      <c r="AH62">
        <f>SUMIF(RecoveredRaw!$B:$B,$A62,RecoveredRaw!AK:AK)</f>
        <v>0</v>
      </c>
      <c r="AI62">
        <f>SUMIF(RecoveredRaw!$B:$B,$A62,RecoveredRaw!AL:AL)</f>
        <v>0</v>
      </c>
      <c r="AJ62">
        <f>SUMIF(RecoveredRaw!$B:$B,$A62,RecoveredRaw!AM:AM)</f>
        <v>0</v>
      </c>
      <c r="AK62">
        <f>SUMIF(RecoveredRaw!$B:$B,$A62,RecoveredRaw!AN:AN)</f>
        <v>0</v>
      </c>
      <c r="AL62">
        <f>SUMIF(RecoveredRaw!$B:$B,$A62,RecoveredRaw!AO:AO)</f>
        <v>0</v>
      </c>
      <c r="AM62">
        <f>SUMIF(RecoveredRaw!$B:$B,$A62,RecoveredRaw!AP:AP)</f>
        <v>0</v>
      </c>
      <c r="AN62">
        <f>SUMIF(RecoveredRaw!$B:$B,$A62,RecoveredRaw!AQ:AQ)</f>
        <v>0</v>
      </c>
      <c r="AO62">
        <f>SUMIF(RecoveredRaw!$B:$B,$A62,RecoveredRaw!AR:AR)</f>
        <v>0</v>
      </c>
      <c r="AP62">
        <f>SUMIF(RecoveredRaw!$B:$B,$A62,RecoveredRaw!AS:AS)</f>
        <v>0</v>
      </c>
      <c r="AQ62">
        <f>SUMIF(RecoveredRaw!$B:$B,$A62,RecoveredRaw!AT:AT)</f>
        <v>0</v>
      </c>
      <c r="AR62">
        <f>SUMIF(RecoveredRaw!$B:$B,$A62,RecoveredRaw!AU:AU)</f>
        <v>0</v>
      </c>
      <c r="AS62">
        <f>SUMIF(RecoveredRaw!$B:$B,$A62,RecoveredRaw!AV:AV)</f>
        <v>0</v>
      </c>
      <c r="AT62">
        <f>SUMIF(RecoveredRaw!$B:$B,$A62,RecoveredRaw!AW:AW)</f>
        <v>0</v>
      </c>
      <c r="AU62">
        <f>SUMIF(RecoveredRaw!$B:$B,$A62,RecoveredRaw!AX:AX)</f>
        <v>0</v>
      </c>
      <c r="AV62">
        <f>SUMIF(RecoveredRaw!$B:$B,$A62,RecoveredRaw!AY:AY)</f>
        <v>0</v>
      </c>
      <c r="AW62">
        <f>SUMIF(RecoveredRaw!$B:$B,$A62,RecoveredRaw!AZ:AZ)</f>
        <v>1</v>
      </c>
      <c r="AX62">
        <f>SUMIF(RecoveredRaw!$B:$B,$A62,RecoveredRaw!BA:BA)</f>
        <v>3</v>
      </c>
      <c r="AY62">
        <f>SUMIF(RecoveredRaw!$B:$B,$A62,RecoveredRaw!BB:BB)</f>
        <v>3</v>
      </c>
      <c r="AZ62">
        <f>SUMIF(RecoveredRaw!$B:$B,$A62,RecoveredRaw!BC:BC)</f>
        <v>3</v>
      </c>
      <c r="BA62">
        <f>SUMIF(RecoveredRaw!$B:$B,$A62,RecoveredRaw!BD:BD)</f>
        <v>3</v>
      </c>
      <c r="BB62">
        <f>SUMIF(RecoveredRaw!$B:$B,$A62,RecoveredRaw!BE:BE)</f>
        <v>3</v>
      </c>
      <c r="BC62">
        <f>SUMIF(RecoveredRaw!$B:$B,$A62,RecoveredRaw!BF:BF)</f>
        <v>3</v>
      </c>
      <c r="BD62">
        <f>SUMIF(RecoveredRaw!$B:$B,$A62,RecoveredRaw!BG:BG)</f>
        <v>3</v>
      </c>
      <c r="BE62">
        <f>SUMIF(RecoveredRaw!$B:$B,$A62,RecoveredRaw!BH:BH)</f>
        <v>3</v>
      </c>
      <c r="BF62">
        <f>SUMIF(RecoveredRaw!$B:$B,$A62,RecoveredRaw!BI:BI)</f>
        <v>5</v>
      </c>
      <c r="BG62">
        <f>SUMIF(RecoveredRaw!$B:$B,$A62,RecoveredRaw!BJ:BJ)</f>
        <v>5</v>
      </c>
      <c r="BH62">
        <f>SUMIF(RecoveredRaw!$B:$B,$A62,RecoveredRaw!BK:BK)</f>
        <v>5</v>
      </c>
      <c r="BI62">
        <f>SUMIF(RecoveredRaw!$B:$B,$A62,RecoveredRaw!BL:BL)</f>
        <v>0</v>
      </c>
      <c r="BJ62">
        <f>SUMIF(RecoveredRaw!$B:$B,$A62,RecoveredRaw!BM:BM)</f>
        <v>0</v>
      </c>
      <c r="BK62">
        <f>SUMIF(RecoveredRaw!$B:$B,$A62,RecoveredRaw!BN:BN)</f>
        <v>0</v>
      </c>
      <c r="BL62">
        <f>SUMIF(RecoveredRaw!$B:$B,$A62,RecoveredRaw!BO:BO)</f>
        <v>0</v>
      </c>
      <c r="BM62">
        <f>SUMIF(RecoveredRaw!$B:$B,$A62,RecoveredRaw!BP:BP)</f>
        <v>0</v>
      </c>
      <c r="BN62">
        <f>SUMIF(RecoveredRaw!$B:$B,$A62,RecoveredRaw!BQ:BQ)</f>
        <v>0</v>
      </c>
      <c r="BO62">
        <f>SUMIF(RecoveredRaw!$B:$B,$A62,RecoveredRaw!BR:BR)</f>
        <v>0</v>
      </c>
      <c r="BP62">
        <f>SUMIF(RecoveredRaw!$B:$B,$A62,RecoveredRaw!BS:BS)</f>
        <v>0</v>
      </c>
      <c r="BQ62">
        <f>SUMIF(RecoveredRaw!$B:$B,$A62,RecoveredRaw!BT:BT)</f>
        <v>0</v>
      </c>
      <c r="BR62">
        <f>SUMIF(RecoveredRaw!$B:$B,$A62,RecoveredRaw!BU:BU)</f>
        <v>0</v>
      </c>
      <c r="BS62">
        <f>SUMIF(RecoveredRaw!$B:$B,$A62,RecoveredRaw!BV:BV)</f>
        <v>0</v>
      </c>
      <c r="BT62">
        <f>SUMIF(RecoveredRaw!$B:$B,$A62,RecoveredRaw!BW:BW)</f>
        <v>0</v>
      </c>
    </row>
    <row r="63" spans="1:72" ht="15" thickBot="1" x14ac:dyDescent="0.35">
      <c r="A63" s="3" t="s">
        <v>283</v>
      </c>
      <c r="B63">
        <f>SUMIF(RecoveredRaw!$B:$B,$A63,RecoveredRaw!E:E)</f>
        <v>0</v>
      </c>
      <c r="C63">
        <f>SUMIF(RecoveredRaw!$B:$B,$A63,RecoveredRaw!F:F)</f>
        <v>0</v>
      </c>
      <c r="D63">
        <f>SUMIF(RecoveredRaw!$B:$B,$A63,RecoveredRaw!G:G)</f>
        <v>0</v>
      </c>
      <c r="E63">
        <f>SUMIF(RecoveredRaw!$B:$B,$A63,RecoveredRaw!H:H)</f>
        <v>0</v>
      </c>
      <c r="F63">
        <f>SUMIF(RecoveredRaw!$B:$B,$A63,RecoveredRaw!I:I)</f>
        <v>0</v>
      </c>
      <c r="G63">
        <f>SUMIF(RecoveredRaw!$B:$B,$A63,RecoveredRaw!J:J)</f>
        <v>0</v>
      </c>
      <c r="H63">
        <f>SUMIF(RecoveredRaw!$B:$B,$A63,RecoveredRaw!K:K)</f>
        <v>0</v>
      </c>
      <c r="I63">
        <f>SUMIF(RecoveredRaw!$B:$B,$A63,RecoveredRaw!L:L)</f>
        <v>0</v>
      </c>
      <c r="J63">
        <f>SUMIF(RecoveredRaw!$B:$B,$A63,RecoveredRaw!M:M)</f>
        <v>0</v>
      </c>
      <c r="K63">
        <f>SUMIF(RecoveredRaw!$B:$B,$A63,RecoveredRaw!N:N)</f>
        <v>0</v>
      </c>
      <c r="L63">
        <f>SUMIF(RecoveredRaw!$B:$B,$A63,RecoveredRaw!O:O)</f>
        <v>0</v>
      </c>
      <c r="M63">
        <f>SUMIF(RecoveredRaw!$B:$B,$A63,RecoveredRaw!P:P)</f>
        <v>0</v>
      </c>
      <c r="N63">
        <f>SUMIF(RecoveredRaw!$B:$B,$A63,RecoveredRaw!Q:Q)</f>
        <v>0</v>
      </c>
      <c r="O63">
        <f>SUMIF(RecoveredRaw!$B:$B,$A63,RecoveredRaw!R:R)</f>
        <v>0</v>
      </c>
      <c r="P63">
        <f>SUMIF(RecoveredRaw!$B:$B,$A63,RecoveredRaw!S:S)</f>
        <v>0</v>
      </c>
      <c r="Q63">
        <f>SUMIF(RecoveredRaw!$B:$B,$A63,RecoveredRaw!T:T)</f>
        <v>0</v>
      </c>
      <c r="R63">
        <f>SUMIF(RecoveredRaw!$B:$B,$A63,RecoveredRaw!U:U)</f>
        <v>0</v>
      </c>
      <c r="S63">
        <f>SUMIF(RecoveredRaw!$B:$B,$A63,RecoveredRaw!V:V)</f>
        <v>0</v>
      </c>
      <c r="T63">
        <f>SUMIF(RecoveredRaw!$B:$B,$A63,RecoveredRaw!W:W)</f>
        <v>0</v>
      </c>
      <c r="U63">
        <f>SUMIF(RecoveredRaw!$B:$B,$A63,RecoveredRaw!X:X)</f>
        <v>0</v>
      </c>
      <c r="V63">
        <f>SUMIF(RecoveredRaw!$B:$B,$A63,RecoveredRaw!Y:Y)</f>
        <v>0</v>
      </c>
      <c r="W63">
        <f>SUMIF(RecoveredRaw!$B:$B,$A63,RecoveredRaw!Z:Z)</f>
        <v>0</v>
      </c>
      <c r="X63">
        <f>SUMIF(RecoveredRaw!$B:$B,$A63,RecoveredRaw!AA:AA)</f>
        <v>0</v>
      </c>
      <c r="Y63">
        <f>SUMIF(RecoveredRaw!$B:$B,$A63,RecoveredRaw!AB:AB)</f>
        <v>0</v>
      </c>
      <c r="Z63">
        <f>SUMIF(RecoveredRaw!$B:$B,$A63,RecoveredRaw!AC:AC)</f>
        <v>0</v>
      </c>
      <c r="AA63">
        <f>SUMIF(RecoveredRaw!$B:$B,$A63,RecoveredRaw!AD:AD)</f>
        <v>0</v>
      </c>
      <c r="AB63">
        <f>SUMIF(RecoveredRaw!$B:$B,$A63,RecoveredRaw!AE:AE)</f>
        <v>0</v>
      </c>
      <c r="AC63">
        <f>SUMIF(RecoveredRaw!$B:$B,$A63,RecoveredRaw!AF:AF)</f>
        <v>0</v>
      </c>
      <c r="AD63">
        <f>SUMIF(RecoveredRaw!$B:$B,$A63,RecoveredRaw!AG:AG)</f>
        <v>0</v>
      </c>
      <c r="AE63">
        <f>SUMIF(RecoveredRaw!$B:$B,$A63,RecoveredRaw!AH:AH)</f>
        <v>0</v>
      </c>
      <c r="AF63">
        <f>SUMIF(RecoveredRaw!$B:$B,$A63,RecoveredRaw!AI:AI)</f>
        <v>0</v>
      </c>
      <c r="AG63">
        <f>SUMIF(RecoveredRaw!$B:$B,$A63,RecoveredRaw!AJ:AJ)</f>
        <v>0</v>
      </c>
      <c r="AH63">
        <f>SUMIF(RecoveredRaw!$B:$B,$A63,RecoveredRaw!AK:AK)</f>
        <v>0</v>
      </c>
      <c r="AI63">
        <f>SUMIF(RecoveredRaw!$B:$B,$A63,RecoveredRaw!AL:AL)</f>
        <v>0</v>
      </c>
      <c r="AJ63">
        <f>SUMIF(RecoveredRaw!$B:$B,$A63,RecoveredRaw!AM:AM)</f>
        <v>0</v>
      </c>
      <c r="AK63">
        <f>SUMIF(RecoveredRaw!$B:$B,$A63,RecoveredRaw!AN:AN)</f>
        <v>0</v>
      </c>
      <c r="AL63">
        <f>SUMIF(RecoveredRaw!$B:$B,$A63,RecoveredRaw!AO:AO)</f>
        <v>0</v>
      </c>
      <c r="AM63">
        <f>SUMIF(RecoveredRaw!$B:$B,$A63,RecoveredRaw!AP:AP)</f>
        <v>0</v>
      </c>
      <c r="AN63">
        <f>SUMIF(RecoveredRaw!$B:$B,$A63,RecoveredRaw!AQ:AQ)</f>
        <v>0</v>
      </c>
      <c r="AO63">
        <f>SUMIF(RecoveredRaw!$B:$B,$A63,RecoveredRaw!AR:AR)</f>
        <v>0</v>
      </c>
      <c r="AP63">
        <f>SUMIF(RecoveredRaw!$B:$B,$A63,RecoveredRaw!AS:AS)</f>
        <v>0</v>
      </c>
      <c r="AQ63">
        <f>SUMIF(RecoveredRaw!$B:$B,$A63,RecoveredRaw!AT:AT)</f>
        <v>0</v>
      </c>
      <c r="AR63">
        <f>SUMIF(RecoveredRaw!$B:$B,$A63,RecoveredRaw!AU:AU)</f>
        <v>0</v>
      </c>
      <c r="AS63">
        <f>SUMIF(RecoveredRaw!$B:$B,$A63,RecoveredRaw!AV:AV)</f>
        <v>0</v>
      </c>
      <c r="AT63">
        <f>SUMIF(RecoveredRaw!$B:$B,$A63,RecoveredRaw!AW:AW)</f>
        <v>0</v>
      </c>
      <c r="AU63">
        <f>SUMIF(RecoveredRaw!$B:$B,$A63,RecoveredRaw!AX:AX)</f>
        <v>0</v>
      </c>
      <c r="AV63">
        <f>SUMIF(RecoveredRaw!$B:$B,$A63,RecoveredRaw!AY:AY)</f>
        <v>0</v>
      </c>
      <c r="AW63">
        <f>SUMIF(RecoveredRaw!$B:$B,$A63,RecoveredRaw!AZ:AZ)</f>
        <v>0</v>
      </c>
      <c r="AX63">
        <f>SUMIF(RecoveredRaw!$B:$B,$A63,RecoveredRaw!BA:BA)</f>
        <v>0</v>
      </c>
      <c r="AY63">
        <f>SUMIF(RecoveredRaw!$B:$B,$A63,RecoveredRaw!BB:BB)</f>
        <v>0</v>
      </c>
      <c r="AZ63">
        <f>SUMIF(RecoveredRaw!$B:$B,$A63,RecoveredRaw!BC:BC)</f>
        <v>0</v>
      </c>
      <c r="BA63">
        <f>SUMIF(RecoveredRaw!$B:$B,$A63,RecoveredRaw!BD:BD)</f>
        <v>0</v>
      </c>
      <c r="BB63">
        <f>SUMIF(RecoveredRaw!$B:$B,$A63,RecoveredRaw!BE:BE)</f>
        <v>0</v>
      </c>
      <c r="BC63">
        <f>SUMIF(RecoveredRaw!$B:$B,$A63,RecoveredRaw!BF:BF)</f>
        <v>0</v>
      </c>
      <c r="BD63">
        <f>SUMIF(RecoveredRaw!$B:$B,$A63,RecoveredRaw!BG:BG)</f>
        <v>0</v>
      </c>
      <c r="BE63">
        <f>SUMIF(RecoveredRaw!$B:$B,$A63,RecoveredRaw!BH:BH)</f>
        <v>0</v>
      </c>
      <c r="BF63">
        <f>SUMIF(RecoveredRaw!$B:$B,$A63,RecoveredRaw!BI:BI)</f>
        <v>0</v>
      </c>
      <c r="BG63">
        <f>SUMIF(RecoveredRaw!$B:$B,$A63,RecoveredRaw!BJ:BJ)</f>
        <v>0</v>
      </c>
      <c r="BH63">
        <f>SUMIF(RecoveredRaw!$B:$B,$A63,RecoveredRaw!BK:BK)</f>
        <v>0</v>
      </c>
      <c r="BI63">
        <f>SUMIF(RecoveredRaw!$B:$B,$A63,RecoveredRaw!BL:BL)</f>
        <v>0</v>
      </c>
      <c r="BJ63">
        <f>SUMIF(RecoveredRaw!$B:$B,$A63,RecoveredRaw!BM:BM)</f>
        <v>0</v>
      </c>
      <c r="BK63">
        <f>SUMIF(RecoveredRaw!$B:$B,$A63,RecoveredRaw!BN:BN)</f>
        <v>0</v>
      </c>
      <c r="BL63">
        <f>SUMIF(RecoveredRaw!$B:$B,$A63,RecoveredRaw!BO:BO)</f>
        <v>0</v>
      </c>
      <c r="BM63">
        <f>SUMIF(RecoveredRaw!$B:$B,$A63,RecoveredRaw!BP:BP)</f>
        <v>0</v>
      </c>
      <c r="BN63">
        <f>SUMIF(RecoveredRaw!$B:$B,$A63,RecoveredRaw!BQ:BQ)</f>
        <v>0</v>
      </c>
      <c r="BO63">
        <f>SUMIF(RecoveredRaw!$B:$B,$A63,RecoveredRaw!BR:BR)</f>
        <v>0</v>
      </c>
      <c r="BP63">
        <f>SUMIF(RecoveredRaw!$B:$B,$A63,RecoveredRaw!BS:BS)</f>
        <v>0</v>
      </c>
      <c r="BQ63">
        <f>SUMIF(RecoveredRaw!$B:$B,$A63,RecoveredRaw!BT:BT)</f>
        <v>0</v>
      </c>
      <c r="BR63">
        <f>SUMIF(RecoveredRaw!$B:$B,$A63,RecoveredRaw!BU:BU)</f>
        <v>0</v>
      </c>
      <c r="BS63">
        <f>SUMIF(RecoveredRaw!$B:$B,$A63,RecoveredRaw!BV:BV)</f>
        <v>0</v>
      </c>
      <c r="BT63">
        <f>SUMIF(RecoveredRaw!$B:$B,$A63,RecoveredRaw!BW:BW)</f>
        <v>0</v>
      </c>
    </row>
    <row r="64" spans="1:72" ht="15" thickBot="1" x14ac:dyDescent="0.35">
      <c r="A64" s="4" t="s">
        <v>75</v>
      </c>
      <c r="B64">
        <f>SUMIF(RecoveredRaw!$B:$B,$A64,RecoveredRaw!E:E)</f>
        <v>0</v>
      </c>
      <c r="C64">
        <f>SUMIF(RecoveredRaw!$B:$B,$A64,RecoveredRaw!F:F)</f>
        <v>0</v>
      </c>
      <c r="D64">
        <f>SUMIF(RecoveredRaw!$B:$B,$A64,RecoveredRaw!G:G)</f>
        <v>0</v>
      </c>
      <c r="E64">
        <f>SUMIF(RecoveredRaw!$B:$B,$A64,RecoveredRaw!H:H)</f>
        <v>0</v>
      </c>
      <c r="F64">
        <f>SUMIF(RecoveredRaw!$B:$B,$A64,RecoveredRaw!I:I)</f>
        <v>0</v>
      </c>
      <c r="G64">
        <f>SUMIF(RecoveredRaw!$B:$B,$A64,RecoveredRaw!J:J)</f>
        <v>0</v>
      </c>
      <c r="H64">
        <f>SUMIF(RecoveredRaw!$B:$B,$A64,RecoveredRaw!K:K)</f>
        <v>0</v>
      </c>
      <c r="I64">
        <f>SUMIF(RecoveredRaw!$B:$B,$A64,RecoveredRaw!L:L)</f>
        <v>0</v>
      </c>
      <c r="J64">
        <f>SUMIF(RecoveredRaw!$B:$B,$A64,RecoveredRaw!M:M)</f>
        <v>0</v>
      </c>
      <c r="K64">
        <f>SUMIF(RecoveredRaw!$B:$B,$A64,RecoveredRaw!N:N)</f>
        <v>0</v>
      </c>
      <c r="L64">
        <f>SUMIF(RecoveredRaw!$B:$B,$A64,RecoveredRaw!O:O)</f>
        <v>0</v>
      </c>
      <c r="M64">
        <f>SUMIF(RecoveredRaw!$B:$B,$A64,RecoveredRaw!P:P)</f>
        <v>0</v>
      </c>
      <c r="N64">
        <f>SUMIF(RecoveredRaw!$B:$B,$A64,RecoveredRaw!Q:Q)</f>
        <v>0</v>
      </c>
      <c r="O64">
        <f>SUMIF(RecoveredRaw!$B:$B,$A64,RecoveredRaw!R:R)</f>
        <v>0</v>
      </c>
      <c r="P64">
        <f>SUMIF(RecoveredRaw!$B:$B,$A64,RecoveredRaw!S:S)</f>
        <v>0</v>
      </c>
      <c r="Q64">
        <f>SUMIF(RecoveredRaw!$B:$B,$A64,RecoveredRaw!T:T)</f>
        <v>0</v>
      </c>
      <c r="R64">
        <f>SUMIF(RecoveredRaw!$B:$B,$A64,RecoveredRaw!U:U)</f>
        <v>0</v>
      </c>
      <c r="S64">
        <f>SUMIF(RecoveredRaw!$B:$B,$A64,RecoveredRaw!V:V)</f>
        <v>0</v>
      </c>
      <c r="T64">
        <f>SUMIF(RecoveredRaw!$B:$B,$A64,RecoveredRaw!W:W)</f>
        <v>0</v>
      </c>
      <c r="U64">
        <f>SUMIF(RecoveredRaw!$B:$B,$A64,RecoveredRaw!X:X)</f>
        <v>0</v>
      </c>
      <c r="V64">
        <f>SUMIF(RecoveredRaw!$B:$B,$A64,RecoveredRaw!Y:Y)</f>
        <v>0</v>
      </c>
      <c r="W64">
        <f>SUMIF(RecoveredRaw!$B:$B,$A64,RecoveredRaw!Z:Z)</f>
        <v>0</v>
      </c>
      <c r="X64">
        <f>SUMIF(RecoveredRaw!$B:$B,$A64,RecoveredRaw!AA:AA)</f>
        <v>0</v>
      </c>
      <c r="Y64">
        <f>SUMIF(RecoveredRaw!$B:$B,$A64,RecoveredRaw!AB:AB)</f>
        <v>0</v>
      </c>
      <c r="Z64">
        <f>SUMIF(RecoveredRaw!$B:$B,$A64,RecoveredRaw!AC:AC)</f>
        <v>0</v>
      </c>
      <c r="AA64">
        <f>SUMIF(RecoveredRaw!$B:$B,$A64,RecoveredRaw!AD:AD)</f>
        <v>0</v>
      </c>
      <c r="AB64">
        <f>SUMIF(RecoveredRaw!$B:$B,$A64,RecoveredRaw!AE:AE)</f>
        <v>0</v>
      </c>
      <c r="AC64">
        <f>SUMIF(RecoveredRaw!$B:$B,$A64,RecoveredRaw!AF:AF)</f>
        <v>0</v>
      </c>
      <c r="AD64">
        <f>SUMIF(RecoveredRaw!$B:$B,$A64,RecoveredRaw!AG:AG)</f>
        <v>0</v>
      </c>
      <c r="AE64">
        <f>SUMIF(RecoveredRaw!$B:$B,$A64,RecoveredRaw!AH:AH)</f>
        <v>0</v>
      </c>
      <c r="AF64">
        <f>SUMIF(RecoveredRaw!$B:$B,$A64,RecoveredRaw!AI:AI)</f>
        <v>0</v>
      </c>
      <c r="AG64">
        <f>SUMIF(RecoveredRaw!$B:$B,$A64,RecoveredRaw!AJ:AJ)</f>
        <v>0</v>
      </c>
      <c r="AH64">
        <f>SUMIF(RecoveredRaw!$B:$B,$A64,RecoveredRaw!AK:AK)</f>
        <v>0</v>
      </c>
      <c r="AI64">
        <f>SUMIF(RecoveredRaw!$B:$B,$A64,RecoveredRaw!AL:AL)</f>
        <v>0</v>
      </c>
      <c r="AJ64">
        <f>SUMIF(RecoveredRaw!$B:$B,$A64,RecoveredRaw!AM:AM)</f>
        <v>0</v>
      </c>
      <c r="AK64">
        <f>SUMIF(RecoveredRaw!$B:$B,$A64,RecoveredRaw!AN:AN)</f>
        <v>0</v>
      </c>
      <c r="AL64">
        <f>SUMIF(RecoveredRaw!$B:$B,$A64,RecoveredRaw!AO:AO)</f>
        <v>0</v>
      </c>
      <c r="AM64">
        <f>SUMIF(RecoveredRaw!$B:$B,$A64,RecoveredRaw!AP:AP)</f>
        <v>0</v>
      </c>
      <c r="AN64">
        <f>SUMIF(RecoveredRaw!$B:$B,$A64,RecoveredRaw!AQ:AQ)</f>
        <v>0</v>
      </c>
      <c r="AO64">
        <f>SUMIF(RecoveredRaw!$B:$B,$A64,RecoveredRaw!AR:AR)</f>
        <v>0</v>
      </c>
      <c r="AP64">
        <f>SUMIF(RecoveredRaw!$B:$B,$A64,RecoveredRaw!AS:AS)</f>
        <v>0</v>
      </c>
      <c r="AQ64">
        <f>SUMIF(RecoveredRaw!$B:$B,$A64,RecoveredRaw!AT:AT)</f>
        <v>0</v>
      </c>
      <c r="AR64">
        <f>SUMIF(RecoveredRaw!$B:$B,$A64,RecoveredRaw!AU:AU)</f>
        <v>0</v>
      </c>
      <c r="AS64">
        <f>SUMIF(RecoveredRaw!$B:$B,$A64,RecoveredRaw!AV:AV)</f>
        <v>0</v>
      </c>
      <c r="AT64">
        <f>SUMIF(RecoveredRaw!$B:$B,$A64,RecoveredRaw!AW:AW)</f>
        <v>0</v>
      </c>
      <c r="AU64">
        <f>SUMIF(RecoveredRaw!$B:$B,$A64,RecoveredRaw!AX:AX)</f>
        <v>0</v>
      </c>
      <c r="AV64">
        <f>SUMIF(RecoveredRaw!$B:$B,$A64,RecoveredRaw!AY:AY)</f>
        <v>0</v>
      </c>
      <c r="AW64">
        <f>SUMIF(RecoveredRaw!$B:$B,$A64,RecoveredRaw!AZ:AZ)</f>
        <v>0</v>
      </c>
      <c r="AX64">
        <f>SUMIF(RecoveredRaw!$B:$B,$A64,RecoveredRaw!BA:BA)</f>
        <v>0</v>
      </c>
      <c r="AY64">
        <f>SUMIF(RecoveredRaw!$B:$B,$A64,RecoveredRaw!BB:BB)</f>
        <v>0</v>
      </c>
      <c r="AZ64">
        <f>SUMIF(RecoveredRaw!$B:$B,$A64,RecoveredRaw!BC:BC)</f>
        <v>8</v>
      </c>
      <c r="BA64">
        <f>SUMIF(RecoveredRaw!$B:$B,$A64,RecoveredRaw!BD:BD)</f>
        <v>8</v>
      </c>
      <c r="BB64">
        <f>SUMIF(RecoveredRaw!$B:$B,$A64,RecoveredRaw!BE:BE)</f>
        <v>12</v>
      </c>
      <c r="BC64">
        <f>SUMIF(RecoveredRaw!$B:$B,$A64,RecoveredRaw!BF:BF)</f>
        <v>12</v>
      </c>
      <c r="BD64">
        <f>SUMIF(RecoveredRaw!$B:$B,$A64,RecoveredRaw!BG:BG)</f>
        <v>12</v>
      </c>
      <c r="BE64">
        <f>SUMIF(RecoveredRaw!$B:$B,$A64,RecoveredRaw!BH:BH)</f>
        <v>12</v>
      </c>
      <c r="BF64">
        <f>SUMIF(RecoveredRaw!$B:$B,$A64,RecoveredRaw!BI:BI)</f>
        <v>12</v>
      </c>
      <c r="BG64">
        <f>SUMIF(RecoveredRaw!$B:$B,$A64,RecoveredRaw!BJ:BJ)</f>
        <v>32</v>
      </c>
      <c r="BH64">
        <f>SUMIF(RecoveredRaw!$B:$B,$A64,RecoveredRaw!BK:BK)</f>
        <v>32</v>
      </c>
      <c r="BI64">
        <f>SUMIF(RecoveredRaw!$B:$B,$A64,RecoveredRaw!BL:BL)</f>
        <v>0</v>
      </c>
      <c r="BJ64">
        <f>SUMIF(RecoveredRaw!$B:$B,$A64,RecoveredRaw!BM:BM)</f>
        <v>0</v>
      </c>
      <c r="BK64">
        <f>SUMIF(RecoveredRaw!$B:$B,$A64,RecoveredRaw!BN:BN)</f>
        <v>0</v>
      </c>
      <c r="BL64">
        <f>SUMIF(RecoveredRaw!$B:$B,$A64,RecoveredRaw!BO:BO)</f>
        <v>0</v>
      </c>
      <c r="BM64">
        <f>SUMIF(RecoveredRaw!$B:$B,$A64,RecoveredRaw!BP:BP)</f>
        <v>0</v>
      </c>
      <c r="BN64">
        <f>SUMIF(RecoveredRaw!$B:$B,$A64,RecoveredRaw!BQ:BQ)</f>
        <v>0</v>
      </c>
      <c r="BO64">
        <f>SUMIF(RecoveredRaw!$B:$B,$A64,RecoveredRaw!BR:BR)</f>
        <v>0</v>
      </c>
      <c r="BP64">
        <f>SUMIF(RecoveredRaw!$B:$B,$A64,RecoveredRaw!BS:BS)</f>
        <v>0</v>
      </c>
      <c r="BQ64">
        <f>SUMIF(RecoveredRaw!$B:$B,$A64,RecoveredRaw!BT:BT)</f>
        <v>0</v>
      </c>
      <c r="BR64">
        <f>SUMIF(RecoveredRaw!$B:$B,$A64,RecoveredRaw!BU:BU)</f>
        <v>0</v>
      </c>
      <c r="BS64">
        <f>SUMIF(RecoveredRaw!$B:$B,$A64,RecoveredRaw!BV:BV)</f>
        <v>0</v>
      </c>
      <c r="BT64">
        <f>SUMIF(RecoveredRaw!$B:$B,$A64,RecoveredRaw!BW:BW)</f>
        <v>0</v>
      </c>
    </row>
    <row r="65" spans="1:72" ht="15" thickBot="1" x14ac:dyDescent="0.35">
      <c r="A65" s="3" t="s">
        <v>82</v>
      </c>
      <c r="B65">
        <f>SUMIF(RecoveredRaw!$B:$B,$A65,RecoveredRaw!E:E)</f>
        <v>0</v>
      </c>
      <c r="C65">
        <f>SUMIF(RecoveredRaw!$B:$B,$A65,RecoveredRaw!F:F)</f>
        <v>0</v>
      </c>
      <c r="D65">
        <f>SUMIF(RecoveredRaw!$B:$B,$A65,RecoveredRaw!G:G)</f>
        <v>0</v>
      </c>
      <c r="E65">
        <f>SUMIF(RecoveredRaw!$B:$B,$A65,RecoveredRaw!H:H)</f>
        <v>0</v>
      </c>
      <c r="F65">
        <f>SUMIF(RecoveredRaw!$B:$B,$A65,RecoveredRaw!I:I)</f>
        <v>0</v>
      </c>
      <c r="G65">
        <f>SUMIF(RecoveredRaw!$B:$B,$A65,RecoveredRaw!J:J)</f>
        <v>0</v>
      </c>
      <c r="H65">
        <f>SUMIF(RecoveredRaw!$B:$B,$A65,RecoveredRaw!K:K)</f>
        <v>0</v>
      </c>
      <c r="I65">
        <f>SUMIF(RecoveredRaw!$B:$B,$A65,RecoveredRaw!L:L)</f>
        <v>0</v>
      </c>
      <c r="J65">
        <f>SUMIF(RecoveredRaw!$B:$B,$A65,RecoveredRaw!M:M)</f>
        <v>0</v>
      </c>
      <c r="K65">
        <f>SUMIF(RecoveredRaw!$B:$B,$A65,RecoveredRaw!N:N)</f>
        <v>0</v>
      </c>
      <c r="L65">
        <f>SUMIF(RecoveredRaw!$B:$B,$A65,RecoveredRaw!O:O)</f>
        <v>0</v>
      </c>
      <c r="M65">
        <f>SUMIF(RecoveredRaw!$B:$B,$A65,RecoveredRaw!P:P)</f>
        <v>0</v>
      </c>
      <c r="N65">
        <f>SUMIF(RecoveredRaw!$B:$B,$A65,RecoveredRaw!Q:Q)</f>
        <v>0</v>
      </c>
      <c r="O65">
        <f>SUMIF(RecoveredRaw!$B:$B,$A65,RecoveredRaw!R:R)</f>
        <v>0</v>
      </c>
      <c r="P65">
        <f>SUMIF(RecoveredRaw!$B:$B,$A65,RecoveredRaw!S:S)</f>
        <v>0</v>
      </c>
      <c r="Q65">
        <f>SUMIF(RecoveredRaw!$B:$B,$A65,RecoveredRaw!T:T)</f>
        <v>0</v>
      </c>
      <c r="R65">
        <f>SUMIF(RecoveredRaw!$B:$B,$A65,RecoveredRaw!U:U)</f>
        <v>0</v>
      </c>
      <c r="S65">
        <f>SUMIF(RecoveredRaw!$B:$B,$A65,RecoveredRaw!V:V)</f>
        <v>0</v>
      </c>
      <c r="T65">
        <f>SUMIF(RecoveredRaw!$B:$B,$A65,RecoveredRaw!W:W)</f>
        <v>0</v>
      </c>
      <c r="U65">
        <f>SUMIF(RecoveredRaw!$B:$B,$A65,RecoveredRaw!X:X)</f>
        <v>0</v>
      </c>
      <c r="V65">
        <f>SUMIF(RecoveredRaw!$B:$B,$A65,RecoveredRaw!Y:Y)</f>
        <v>0</v>
      </c>
      <c r="W65">
        <f>SUMIF(RecoveredRaw!$B:$B,$A65,RecoveredRaw!Z:Z)</f>
        <v>0</v>
      </c>
      <c r="X65">
        <f>SUMIF(RecoveredRaw!$B:$B,$A65,RecoveredRaw!AA:AA)</f>
        <v>0</v>
      </c>
      <c r="Y65">
        <f>SUMIF(RecoveredRaw!$B:$B,$A65,RecoveredRaw!AB:AB)</f>
        <v>0</v>
      </c>
      <c r="Z65">
        <f>SUMIF(RecoveredRaw!$B:$B,$A65,RecoveredRaw!AC:AC)</f>
        <v>0</v>
      </c>
      <c r="AA65">
        <f>SUMIF(RecoveredRaw!$B:$B,$A65,RecoveredRaw!AD:AD)</f>
        <v>0</v>
      </c>
      <c r="AB65">
        <f>SUMIF(RecoveredRaw!$B:$B,$A65,RecoveredRaw!AE:AE)</f>
        <v>0</v>
      </c>
      <c r="AC65">
        <f>SUMIF(RecoveredRaw!$B:$B,$A65,RecoveredRaw!AF:AF)</f>
        <v>0</v>
      </c>
      <c r="AD65">
        <f>SUMIF(RecoveredRaw!$B:$B,$A65,RecoveredRaw!AG:AG)</f>
        <v>0</v>
      </c>
      <c r="AE65">
        <f>SUMIF(RecoveredRaw!$B:$B,$A65,RecoveredRaw!AH:AH)</f>
        <v>0</v>
      </c>
      <c r="AF65">
        <f>SUMIF(RecoveredRaw!$B:$B,$A65,RecoveredRaw!AI:AI)</f>
        <v>0</v>
      </c>
      <c r="AG65">
        <f>SUMIF(RecoveredRaw!$B:$B,$A65,RecoveredRaw!AJ:AJ)</f>
        <v>0</v>
      </c>
      <c r="AH65">
        <f>SUMIF(RecoveredRaw!$B:$B,$A65,RecoveredRaw!AK:AK)</f>
        <v>0</v>
      </c>
      <c r="AI65">
        <f>SUMIF(RecoveredRaw!$B:$B,$A65,RecoveredRaw!AL:AL)</f>
        <v>0</v>
      </c>
      <c r="AJ65">
        <f>SUMIF(RecoveredRaw!$B:$B,$A65,RecoveredRaw!AM:AM)</f>
        <v>0</v>
      </c>
      <c r="AK65">
        <f>SUMIF(RecoveredRaw!$B:$B,$A65,RecoveredRaw!AN:AN)</f>
        <v>0</v>
      </c>
      <c r="AL65">
        <f>SUMIF(RecoveredRaw!$B:$B,$A65,RecoveredRaw!AO:AO)</f>
        <v>0</v>
      </c>
      <c r="AM65">
        <f>SUMIF(RecoveredRaw!$B:$B,$A65,RecoveredRaw!AP:AP)</f>
        <v>0</v>
      </c>
      <c r="AN65">
        <f>SUMIF(RecoveredRaw!$B:$B,$A65,RecoveredRaw!AQ:AQ)</f>
        <v>0</v>
      </c>
      <c r="AO65">
        <f>SUMIF(RecoveredRaw!$B:$B,$A65,RecoveredRaw!AR:AR)</f>
        <v>0</v>
      </c>
      <c r="AP65">
        <f>SUMIF(RecoveredRaw!$B:$B,$A65,RecoveredRaw!AS:AS)</f>
        <v>0</v>
      </c>
      <c r="AQ65">
        <f>SUMIF(RecoveredRaw!$B:$B,$A65,RecoveredRaw!AT:AT)</f>
        <v>0</v>
      </c>
      <c r="AR65">
        <f>SUMIF(RecoveredRaw!$B:$B,$A65,RecoveredRaw!AU:AU)</f>
        <v>0</v>
      </c>
      <c r="AS65">
        <f>SUMIF(RecoveredRaw!$B:$B,$A65,RecoveredRaw!AV:AV)</f>
        <v>0</v>
      </c>
      <c r="AT65">
        <f>SUMIF(RecoveredRaw!$B:$B,$A65,RecoveredRaw!AW:AW)</f>
        <v>0</v>
      </c>
      <c r="AU65">
        <f>SUMIF(RecoveredRaw!$B:$B,$A65,RecoveredRaw!AX:AX)</f>
        <v>0</v>
      </c>
      <c r="AV65">
        <f>SUMIF(RecoveredRaw!$B:$B,$A65,RecoveredRaw!AY:AY)</f>
        <v>0</v>
      </c>
      <c r="AW65">
        <f>SUMIF(RecoveredRaw!$B:$B,$A65,RecoveredRaw!AZ:AZ)</f>
        <v>0</v>
      </c>
      <c r="AX65">
        <f>SUMIF(RecoveredRaw!$B:$B,$A65,RecoveredRaw!BA:BA)</f>
        <v>0</v>
      </c>
      <c r="AY65">
        <f>SUMIF(RecoveredRaw!$B:$B,$A65,RecoveredRaw!BB:BB)</f>
        <v>0</v>
      </c>
      <c r="AZ65">
        <f>SUMIF(RecoveredRaw!$B:$B,$A65,RecoveredRaw!BC:BC)</f>
        <v>0</v>
      </c>
      <c r="BA65">
        <f>SUMIF(RecoveredRaw!$B:$B,$A65,RecoveredRaw!BD:BD)</f>
        <v>0</v>
      </c>
      <c r="BB65">
        <f>SUMIF(RecoveredRaw!$B:$B,$A65,RecoveredRaw!BE:BE)</f>
        <v>0</v>
      </c>
      <c r="BC65">
        <f>SUMIF(RecoveredRaw!$B:$B,$A65,RecoveredRaw!BF:BF)</f>
        <v>0</v>
      </c>
      <c r="BD65">
        <f>SUMIF(RecoveredRaw!$B:$B,$A65,RecoveredRaw!BG:BG)</f>
        <v>1</v>
      </c>
      <c r="BE65">
        <f>SUMIF(RecoveredRaw!$B:$B,$A65,RecoveredRaw!BH:BH)</f>
        <v>1</v>
      </c>
      <c r="BF65">
        <f>SUMIF(RecoveredRaw!$B:$B,$A65,RecoveredRaw!BI:BI)</f>
        <v>1</v>
      </c>
      <c r="BG65">
        <f>SUMIF(RecoveredRaw!$B:$B,$A65,RecoveredRaw!BJ:BJ)</f>
        <v>1</v>
      </c>
      <c r="BH65">
        <f>SUMIF(RecoveredRaw!$B:$B,$A65,RecoveredRaw!BK:BK)</f>
        <v>1</v>
      </c>
      <c r="BI65">
        <f>SUMIF(RecoveredRaw!$B:$B,$A65,RecoveredRaw!BL:BL)</f>
        <v>0</v>
      </c>
      <c r="BJ65">
        <f>SUMIF(RecoveredRaw!$B:$B,$A65,RecoveredRaw!BM:BM)</f>
        <v>0</v>
      </c>
      <c r="BK65">
        <f>SUMIF(RecoveredRaw!$B:$B,$A65,RecoveredRaw!BN:BN)</f>
        <v>0</v>
      </c>
      <c r="BL65">
        <f>SUMIF(RecoveredRaw!$B:$B,$A65,RecoveredRaw!BO:BO)</f>
        <v>0</v>
      </c>
      <c r="BM65">
        <f>SUMIF(RecoveredRaw!$B:$B,$A65,RecoveredRaw!BP:BP)</f>
        <v>0</v>
      </c>
      <c r="BN65">
        <f>SUMIF(RecoveredRaw!$B:$B,$A65,RecoveredRaw!BQ:BQ)</f>
        <v>0</v>
      </c>
      <c r="BO65">
        <f>SUMIF(RecoveredRaw!$B:$B,$A65,RecoveredRaw!BR:BR)</f>
        <v>0</v>
      </c>
      <c r="BP65">
        <f>SUMIF(RecoveredRaw!$B:$B,$A65,RecoveredRaw!BS:BS)</f>
        <v>0</v>
      </c>
      <c r="BQ65">
        <f>SUMIF(RecoveredRaw!$B:$B,$A65,RecoveredRaw!BT:BT)</f>
        <v>0</v>
      </c>
      <c r="BR65">
        <f>SUMIF(RecoveredRaw!$B:$B,$A65,RecoveredRaw!BU:BU)</f>
        <v>0</v>
      </c>
      <c r="BS65">
        <f>SUMIF(RecoveredRaw!$B:$B,$A65,RecoveredRaw!BV:BV)</f>
        <v>0</v>
      </c>
      <c r="BT65">
        <f>SUMIF(RecoveredRaw!$B:$B,$A65,RecoveredRaw!BW:BW)</f>
        <v>0</v>
      </c>
    </row>
    <row r="66" spans="1:72" ht="15" thickBot="1" x14ac:dyDescent="0.35">
      <c r="A66" s="3" t="s">
        <v>145</v>
      </c>
      <c r="B66">
        <f>SUMIF(RecoveredRaw!$B:$B,$A66,RecoveredRaw!E:E)</f>
        <v>0</v>
      </c>
      <c r="C66">
        <f>SUMIF(RecoveredRaw!$B:$B,$A66,RecoveredRaw!F:F)</f>
        <v>0</v>
      </c>
      <c r="D66">
        <f>SUMIF(RecoveredRaw!$B:$B,$A66,RecoveredRaw!G:G)</f>
        <v>0</v>
      </c>
      <c r="E66">
        <f>SUMIF(RecoveredRaw!$B:$B,$A66,RecoveredRaw!H:H)</f>
        <v>0</v>
      </c>
      <c r="F66">
        <f>SUMIF(RecoveredRaw!$B:$B,$A66,RecoveredRaw!I:I)</f>
        <v>0</v>
      </c>
      <c r="G66">
        <f>SUMIF(RecoveredRaw!$B:$B,$A66,RecoveredRaw!J:J)</f>
        <v>0</v>
      </c>
      <c r="H66">
        <f>SUMIF(RecoveredRaw!$B:$B,$A66,RecoveredRaw!K:K)</f>
        <v>0</v>
      </c>
      <c r="I66">
        <f>SUMIF(RecoveredRaw!$B:$B,$A66,RecoveredRaw!L:L)</f>
        <v>0</v>
      </c>
      <c r="J66">
        <f>SUMIF(RecoveredRaw!$B:$B,$A66,RecoveredRaw!M:M)</f>
        <v>0</v>
      </c>
      <c r="K66">
        <f>SUMIF(RecoveredRaw!$B:$B,$A66,RecoveredRaw!N:N)</f>
        <v>0</v>
      </c>
      <c r="L66">
        <f>SUMIF(RecoveredRaw!$B:$B,$A66,RecoveredRaw!O:O)</f>
        <v>0</v>
      </c>
      <c r="M66">
        <f>SUMIF(RecoveredRaw!$B:$B,$A66,RecoveredRaw!P:P)</f>
        <v>0</v>
      </c>
      <c r="N66">
        <f>SUMIF(RecoveredRaw!$B:$B,$A66,RecoveredRaw!Q:Q)</f>
        <v>0</v>
      </c>
      <c r="O66">
        <f>SUMIF(RecoveredRaw!$B:$B,$A66,RecoveredRaw!R:R)</f>
        <v>0</v>
      </c>
      <c r="P66">
        <f>SUMIF(RecoveredRaw!$B:$B,$A66,RecoveredRaw!S:S)</f>
        <v>0</v>
      </c>
      <c r="Q66">
        <f>SUMIF(RecoveredRaw!$B:$B,$A66,RecoveredRaw!T:T)</f>
        <v>0</v>
      </c>
      <c r="R66">
        <f>SUMIF(RecoveredRaw!$B:$B,$A66,RecoveredRaw!U:U)</f>
        <v>0</v>
      </c>
      <c r="S66">
        <f>SUMIF(RecoveredRaw!$B:$B,$A66,RecoveredRaw!V:V)</f>
        <v>0</v>
      </c>
      <c r="T66">
        <f>SUMIF(RecoveredRaw!$B:$B,$A66,RecoveredRaw!W:W)</f>
        <v>0</v>
      </c>
      <c r="U66">
        <f>SUMIF(RecoveredRaw!$B:$B,$A66,RecoveredRaw!X:X)</f>
        <v>0</v>
      </c>
      <c r="V66">
        <f>SUMIF(RecoveredRaw!$B:$B,$A66,RecoveredRaw!Y:Y)</f>
        <v>0</v>
      </c>
      <c r="W66">
        <f>SUMIF(RecoveredRaw!$B:$B,$A66,RecoveredRaw!Z:Z)</f>
        <v>0</v>
      </c>
      <c r="X66">
        <f>SUMIF(RecoveredRaw!$B:$B,$A66,RecoveredRaw!AA:AA)</f>
        <v>0</v>
      </c>
      <c r="Y66">
        <f>SUMIF(RecoveredRaw!$B:$B,$A66,RecoveredRaw!AB:AB)</f>
        <v>0</v>
      </c>
      <c r="Z66">
        <f>SUMIF(RecoveredRaw!$B:$B,$A66,RecoveredRaw!AC:AC)</f>
        <v>0</v>
      </c>
      <c r="AA66">
        <f>SUMIF(RecoveredRaw!$B:$B,$A66,RecoveredRaw!AD:AD)</f>
        <v>0</v>
      </c>
      <c r="AB66">
        <f>SUMIF(RecoveredRaw!$B:$B,$A66,RecoveredRaw!AE:AE)</f>
        <v>0</v>
      </c>
      <c r="AC66">
        <f>SUMIF(RecoveredRaw!$B:$B,$A66,RecoveredRaw!AF:AF)</f>
        <v>0</v>
      </c>
      <c r="AD66">
        <f>SUMIF(RecoveredRaw!$B:$B,$A66,RecoveredRaw!AG:AG)</f>
        <v>0</v>
      </c>
      <c r="AE66">
        <f>SUMIF(RecoveredRaw!$B:$B,$A66,RecoveredRaw!AH:AH)</f>
        <v>0</v>
      </c>
      <c r="AF66">
        <f>SUMIF(RecoveredRaw!$B:$B,$A66,RecoveredRaw!AI:AI)</f>
        <v>0</v>
      </c>
      <c r="AG66">
        <f>SUMIF(RecoveredRaw!$B:$B,$A66,RecoveredRaw!AJ:AJ)</f>
        <v>0</v>
      </c>
      <c r="AH66">
        <f>SUMIF(RecoveredRaw!$B:$B,$A66,RecoveredRaw!AK:AK)</f>
        <v>0</v>
      </c>
      <c r="AI66">
        <f>SUMIF(RecoveredRaw!$B:$B,$A66,RecoveredRaw!AL:AL)</f>
        <v>0</v>
      </c>
      <c r="AJ66">
        <f>SUMIF(RecoveredRaw!$B:$B,$A66,RecoveredRaw!AM:AM)</f>
        <v>0</v>
      </c>
      <c r="AK66">
        <f>SUMIF(RecoveredRaw!$B:$B,$A66,RecoveredRaw!AN:AN)</f>
        <v>0</v>
      </c>
      <c r="AL66">
        <f>SUMIF(RecoveredRaw!$B:$B,$A66,RecoveredRaw!AO:AO)</f>
        <v>0</v>
      </c>
      <c r="AM66">
        <f>SUMIF(RecoveredRaw!$B:$B,$A66,RecoveredRaw!AP:AP)</f>
        <v>0</v>
      </c>
      <c r="AN66">
        <f>SUMIF(RecoveredRaw!$B:$B,$A66,RecoveredRaw!AQ:AQ)</f>
        <v>0</v>
      </c>
      <c r="AO66">
        <f>SUMIF(RecoveredRaw!$B:$B,$A66,RecoveredRaw!AR:AR)</f>
        <v>0</v>
      </c>
      <c r="AP66">
        <f>SUMIF(RecoveredRaw!$B:$B,$A66,RecoveredRaw!AS:AS)</f>
        <v>0</v>
      </c>
      <c r="AQ66">
        <f>SUMIF(RecoveredRaw!$B:$B,$A66,RecoveredRaw!AT:AT)</f>
        <v>0</v>
      </c>
      <c r="AR66">
        <f>SUMIF(RecoveredRaw!$B:$B,$A66,RecoveredRaw!AU:AU)</f>
        <v>0</v>
      </c>
      <c r="AS66">
        <f>SUMIF(RecoveredRaw!$B:$B,$A66,RecoveredRaw!AV:AV)</f>
        <v>0</v>
      </c>
      <c r="AT66">
        <f>SUMIF(RecoveredRaw!$B:$B,$A66,RecoveredRaw!AW:AW)</f>
        <v>0</v>
      </c>
      <c r="AU66">
        <f>SUMIF(RecoveredRaw!$B:$B,$A66,RecoveredRaw!AX:AX)</f>
        <v>0</v>
      </c>
      <c r="AV66">
        <f>SUMIF(RecoveredRaw!$B:$B,$A66,RecoveredRaw!AY:AY)</f>
        <v>0</v>
      </c>
      <c r="AW66">
        <f>SUMIF(RecoveredRaw!$B:$B,$A66,RecoveredRaw!AZ:AZ)</f>
        <v>0</v>
      </c>
      <c r="AX66">
        <f>SUMIF(RecoveredRaw!$B:$B,$A66,RecoveredRaw!BA:BA)</f>
        <v>0</v>
      </c>
      <c r="AY66">
        <f>SUMIF(RecoveredRaw!$B:$B,$A66,RecoveredRaw!BB:BB)</f>
        <v>0</v>
      </c>
      <c r="AZ66">
        <f>SUMIF(RecoveredRaw!$B:$B,$A66,RecoveredRaw!BC:BC)</f>
        <v>0</v>
      </c>
      <c r="BA66">
        <f>SUMIF(RecoveredRaw!$B:$B,$A66,RecoveredRaw!BD:BD)</f>
        <v>0</v>
      </c>
      <c r="BB66">
        <f>SUMIF(RecoveredRaw!$B:$B,$A66,RecoveredRaw!BE:BE)</f>
        <v>0</v>
      </c>
      <c r="BC66">
        <f>SUMIF(RecoveredRaw!$B:$B,$A66,RecoveredRaw!BF:BF)</f>
        <v>0</v>
      </c>
      <c r="BD66">
        <f>SUMIF(RecoveredRaw!$B:$B,$A66,RecoveredRaw!BG:BG)</f>
        <v>0</v>
      </c>
      <c r="BE66">
        <f>SUMIF(RecoveredRaw!$B:$B,$A66,RecoveredRaw!BH:BH)</f>
        <v>0</v>
      </c>
      <c r="BF66">
        <f>SUMIF(RecoveredRaw!$B:$B,$A66,RecoveredRaw!BI:BI)</f>
        <v>0</v>
      </c>
      <c r="BG66">
        <f>SUMIF(RecoveredRaw!$B:$B,$A66,RecoveredRaw!BJ:BJ)</f>
        <v>0</v>
      </c>
      <c r="BH66">
        <f>SUMIF(RecoveredRaw!$B:$B,$A66,RecoveredRaw!BK:BK)</f>
        <v>0</v>
      </c>
      <c r="BI66">
        <f>SUMIF(RecoveredRaw!$B:$B,$A66,RecoveredRaw!BL:BL)</f>
        <v>0</v>
      </c>
      <c r="BJ66">
        <f>SUMIF(RecoveredRaw!$B:$B,$A66,RecoveredRaw!BM:BM)</f>
        <v>0</v>
      </c>
      <c r="BK66">
        <f>SUMIF(RecoveredRaw!$B:$B,$A66,RecoveredRaw!BN:BN)</f>
        <v>0</v>
      </c>
      <c r="BL66">
        <f>SUMIF(RecoveredRaw!$B:$B,$A66,RecoveredRaw!BO:BO)</f>
        <v>0</v>
      </c>
      <c r="BM66">
        <f>SUMIF(RecoveredRaw!$B:$B,$A66,RecoveredRaw!BP:BP)</f>
        <v>0</v>
      </c>
      <c r="BN66">
        <f>SUMIF(RecoveredRaw!$B:$B,$A66,RecoveredRaw!BQ:BQ)</f>
        <v>0</v>
      </c>
      <c r="BO66">
        <f>SUMIF(RecoveredRaw!$B:$B,$A66,RecoveredRaw!BR:BR)</f>
        <v>0</v>
      </c>
      <c r="BP66">
        <f>SUMIF(RecoveredRaw!$B:$B,$A66,RecoveredRaw!BS:BS)</f>
        <v>0</v>
      </c>
      <c r="BQ66">
        <f>SUMIF(RecoveredRaw!$B:$B,$A66,RecoveredRaw!BT:BT)</f>
        <v>0</v>
      </c>
      <c r="BR66">
        <f>SUMIF(RecoveredRaw!$B:$B,$A66,RecoveredRaw!BU:BU)</f>
        <v>0</v>
      </c>
      <c r="BS66">
        <f>SUMIF(RecoveredRaw!$B:$B,$A66,RecoveredRaw!BV:BV)</f>
        <v>0</v>
      </c>
      <c r="BT66">
        <f>SUMIF(RecoveredRaw!$B:$B,$A66,RecoveredRaw!BW:BW)</f>
        <v>0</v>
      </c>
    </row>
    <row r="67" spans="1:72" ht="15" thickBot="1" x14ac:dyDescent="0.35">
      <c r="A67" s="3" t="s">
        <v>199</v>
      </c>
      <c r="B67">
        <f>SUMIF(RecoveredRaw!$B:$B,$A67,RecoveredRaw!E:E)</f>
        <v>0</v>
      </c>
      <c r="C67">
        <f>SUMIF(RecoveredRaw!$B:$B,$A67,RecoveredRaw!F:F)</f>
        <v>0</v>
      </c>
      <c r="D67">
        <f>SUMIF(RecoveredRaw!$B:$B,$A67,RecoveredRaw!G:G)</f>
        <v>0</v>
      </c>
      <c r="E67">
        <f>SUMIF(RecoveredRaw!$B:$B,$A67,RecoveredRaw!H:H)</f>
        <v>0</v>
      </c>
      <c r="F67">
        <f>SUMIF(RecoveredRaw!$B:$B,$A67,RecoveredRaw!I:I)</f>
        <v>0</v>
      </c>
      <c r="G67">
        <f>SUMIF(RecoveredRaw!$B:$B,$A67,RecoveredRaw!J:J)</f>
        <v>0</v>
      </c>
      <c r="H67">
        <f>SUMIF(RecoveredRaw!$B:$B,$A67,RecoveredRaw!K:K)</f>
        <v>0</v>
      </c>
      <c r="I67">
        <f>SUMIF(RecoveredRaw!$B:$B,$A67,RecoveredRaw!L:L)</f>
        <v>0</v>
      </c>
      <c r="J67">
        <f>SUMIF(RecoveredRaw!$B:$B,$A67,RecoveredRaw!M:M)</f>
        <v>0</v>
      </c>
      <c r="K67">
        <f>SUMIF(RecoveredRaw!$B:$B,$A67,RecoveredRaw!N:N)</f>
        <v>0</v>
      </c>
      <c r="L67">
        <f>SUMIF(RecoveredRaw!$B:$B,$A67,RecoveredRaw!O:O)</f>
        <v>0</v>
      </c>
      <c r="M67">
        <f>SUMIF(RecoveredRaw!$B:$B,$A67,RecoveredRaw!P:P)</f>
        <v>0</v>
      </c>
      <c r="N67">
        <f>SUMIF(RecoveredRaw!$B:$B,$A67,RecoveredRaw!Q:Q)</f>
        <v>0</v>
      </c>
      <c r="O67">
        <f>SUMIF(RecoveredRaw!$B:$B,$A67,RecoveredRaw!R:R)</f>
        <v>0</v>
      </c>
      <c r="P67">
        <f>SUMIF(RecoveredRaw!$B:$B,$A67,RecoveredRaw!S:S)</f>
        <v>0</v>
      </c>
      <c r="Q67">
        <f>SUMIF(RecoveredRaw!$B:$B,$A67,RecoveredRaw!T:T)</f>
        <v>0</v>
      </c>
      <c r="R67">
        <f>SUMIF(RecoveredRaw!$B:$B,$A67,RecoveredRaw!U:U)</f>
        <v>0</v>
      </c>
      <c r="S67">
        <f>SUMIF(RecoveredRaw!$B:$B,$A67,RecoveredRaw!V:V)</f>
        <v>0</v>
      </c>
      <c r="T67">
        <f>SUMIF(RecoveredRaw!$B:$B,$A67,RecoveredRaw!W:W)</f>
        <v>0</v>
      </c>
      <c r="U67">
        <f>SUMIF(RecoveredRaw!$B:$B,$A67,RecoveredRaw!X:X)</f>
        <v>0</v>
      </c>
      <c r="V67">
        <f>SUMIF(RecoveredRaw!$B:$B,$A67,RecoveredRaw!Y:Y)</f>
        <v>0</v>
      </c>
      <c r="W67">
        <f>SUMIF(RecoveredRaw!$B:$B,$A67,RecoveredRaw!Z:Z)</f>
        <v>0</v>
      </c>
      <c r="X67">
        <f>SUMIF(RecoveredRaw!$B:$B,$A67,RecoveredRaw!AA:AA)</f>
        <v>0</v>
      </c>
      <c r="Y67">
        <f>SUMIF(RecoveredRaw!$B:$B,$A67,RecoveredRaw!AB:AB)</f>
        <v>0</v>
      </c>
      <c r="Z67">
        <f>SUMIF(RecoveredRaw!$B:$B,$A67,RecoveredRaw!AC:AC)</f>
        <v>0</v>
      </c>
      <c r="AA67">
        <f>SUMIF(RecoveredRaw!$B:$B,$A67,RecoveredRaw!AD:AD)</f>
        <v>0</v>
      </c>
      <c r="AB67">
        <f>SUMIF(RecoveredRaw!$B:$B,$A67,RecoveredRaw!AE:AE)</f>
        <v>0</v>
      </c>
      <c r="AC67">
        <f>SUMIF(RecoveredRaw!$B:$B,$A67,RecoveredRaw!AF:AF)</f>
        <v>0</v>
      </c>
      <c r="AD67">
        <f>SUMIF(RecoveredRaw!$B:$B,$A67,RecoveredRaw!AG:AG)</f>
        <v>0</v>
      </c>
      <c r="AE67">
        <f>SUMIF(RecoveredRaw!$B:$B,$A67,RecoveredRaw!AH:AH)</f>
        <v>0</v>
      </c>
      <c r="AF67">
        <f>SUMIF(RecoveredRaw!$B:$B,$A67,RecoveredRaw!AI:AI)</f>
        <v>0</v>
      </c>
      <c r="AG67">
        <f>SUMIF(RecoveredRaw!$B:$B,$A67,RecoveredRaw!AJ:AJ)</f>
        <v>0</v>
      </c>
      <c r="AH67">
        <f>SUMIF(RecoveredRaw!$B:$B,$A67,RecoveredRaw!AK:AK)</f>
        <v>0</v>
      </c>
      <c r="AI67">
        <f>SUMIF(RecoveredRaw!$B:$B,$A67,RecoveredRaw!AL:AL)</f>
        <v>0</v>
      </c>
      <c r="AJ67">
        <f>SUMIF(RecoveredRaw!$B:$B,$A67,RecoveredRaw!AM:AM)</f>
        <v>0</v>
      </c>
      <c r="AK67">
        <f>SUMIF(RecoveredRaw!$B:$B,$A67,RecoveredRaw!AN:AN)</f>
        <v>0</v>
      </c>
      <c r="AL67">
        <f>SUMIF(RecoveredRaw!$B:$B,$A67,RecoveredRaw!AO:AO)</f>
        <v>0</v>
      </c>
      <c r="AM67">
        <f>SUMIF(RecoveredRaw!$B:$B,$A67,RecoveredRaw!AP:AP)</f>
        <v>0</v>
      </c>
      <c r="AN67">
        <f>SUMIF(RecoveredRaw!$B:$B,$A67,RecoveredRaw!AQ:AQ)</f>
        <v>0</v>
      </c>
      <c r="AO67">
        <f>SUMIF(RecoveredRaw!$B:$B,$A67,RecoveredRaw!AR:AR)</f>
        <v>0</v>
      </c>
      <c r="AP67">
        <f>SUMIF(RecoveredRaw!$B:$B,$A67,RecoveredRaw!AS:AS)</f>
        <v>0</v>
      </c>
      <c r="AQ67">
        <f>SUMIF(RecoveredRaw!$B:$B,$A67,RecoveredRaw!AT:AT)</f>
        <v>0</v>
      </c>
      <c r="AR67">
        <f>SUMIF(RecoveredRaw!$B:$B,$A67,RecoveredRaw!AU:AU)</f>
        <v>0</v>
      </c>
      <c r="AS67">
        <f>SUMIF(RecoveredRaw!$B:$B,$A67,RecoveredRaw!AV:AV)</f>
        <v>0</v>
      </c>
      <c r="AT67">
        <f>SUMIF(RecoveredRaw!$B:$B,$A67,RecoveredRaw!AW:AW)</f>
        <v>0</v>
      </c>
      <c r="AU67">
        <f>SUMIF(RecoveredRaw!$B:$B,$A67,RecoveredRaw!AX:AX)</f>
        <v>0</v>
      </c>
      <c r="AV67">
        <f>SUMIF(RecoveredRaw!$B:$B,$A67,RecoveredRaw!AY:AY)</f>
        <v>0</v>
      </c>
      <c r="AW67">
        <f>SUMIF(RecoveredRaw!$B:$B,$A67,RecoveredRaw!AZ:AZ)</f>
        <v>0</v>
      </c>
      <c r="AX67">
        <f>SUMIF(RecoveredRaw!$B:$B,$A67,RecoveredRaw!BA:BA)</f>
        <v>0</v>
      </c>
      <c r="AY67">
        <f>SUMIF(RecoveredRaw!$B:$B,$A67,RecoveredRaw!BB:BB)</f>
        <v>0</v>
      </c>
      <c r="AZ67">
        <f>SUMIF(RecoveredRaw!$B:$B,$A67,RecoveredRaw!BC:BC)</f>
        <v>0</v>
      </c>
      <c r="BA67">
        <f>SUMIF(RecoveredRaw!$B:$B,$A67,RecoveredRaw!BD:BD)</f>
        <v>0</v>
      </c>
      <c r="BB67">
        <f>SUMIF(RecoveredRaw!$B:$B,$A67,RecoveredRaw!BE:BE)</f>
        <v>0</v>
      </c>
      <c r="BC67">
        <f>SUMIF(RecoveredRaw!$B:$B,$A67,RecoveredRaw!BF:BF)</f>
        <v>0</v>
      </c>
      <c r="BD67">
        <f>SUMIF(RecoveredRaw!$B:$B,$A67,RecoveredRaw!BG:BG)</f>
        <v>0</v>
      </c>
      <c r="BE67">
        <f>SUMIF(RecoveredRaw!$B:$B,$A67,RecoveredRaw!BH:BH)</f>
        <v>0</v>
      </c>
      <c r="BF67">
        <f>SUMIF(RecoveredRaw!$B:$B,$A67,RecoveredRaw!BI:BI)</f>
        <v>0</v>
      </c>
      <c r="BG67">
        <f>SUMIF(RecoveredRaw!$B:$B,$A67,RecoveredRaw!BJ:BJ)</f>
        <v>0</v>
      </c>
      <c r="BH67">
        <f>SUMIF(RecoveredRaw!$B:$B,$A67,RecoveredRaw!BK:BK)</f>
        <v>0</v>
      </c>
      <c r="BI67">
        <f>SUMIF(RecoveredRaw!$B:$B,$A67,RecoveredRaw!BL:BL)</f>
        <v>0</v>
      </c>
      <c r="BJ67">
        <f>SUMIF(RecoveredRaw!$B:$B,$A67,RecoveredRaw!BM:BM)</f>
        <v>0</v>
      </c>
      <c r="BK67">
        <f>SUMIF(RecoveredRaw!$B:$B,$A67,RecoveredRaw!BN:BN)</f>
        <v>0</v>
      </c>
      <c r="BL67">
        <f>SUMIF(RecoveredRaw!$B:$B,$A67,RecoveredRaw!BO:BO)</f>
        <v>0</v>
      </c>
      <c r="BM67">
        <f>SUMIF(RecoveredRaw!$B:$B,$A67,RecoveredRaw!BP:BP)</f>
        <v>0</v>
      </c>
      <c r="BN67">
        <f>SUMIF(RecoveredRaw!$B:$B,$A67,RecoveredRaw!BQ:BQ)</f>
        <v>0</v>
      </c>
      <c r="BO67">
        <f>SUMIF(RecoveredRaw!$B:$B,$A67,RecoveredRaw!BR:BR)</f>
        <v>0</v>
      </c>
      <c r="BP67">
        <f>SUMIF(RecoveredRaw!$B:$B,$A67,RecoveredRaw!BS:BS)</f>
        <v>0</v>
      </c>
      <c r="BQ67">
        <f>SUMIF(RecoveredRaw!$B:$B,$A67,RecoveredRaw!BT:BT)</f>
        <v>0</v>
      </c>
      <c r="BR67">
        <f>SUMIF(RecoveredRaw!$B:$B,$A67,RecoveredRaw!BU:BU)</f>
        <v>0</v>
      </c>
      <c r="BS67">
        <f>SUMIF(RecoveredRaw!$B:$B,$A67,RecoveredRaw!BV:BV)</f>
        <v>0</v>
      </c>
      <c r="BT67">
        <f>SUMIF(RecoveredRaw!$B:$B,$A67,RecoveredRaw!BW:BW)</f>
        <v>0</v>
      </c>
    </row>
    <row r="68" spans="1:72" ht="15" thickBot="1" x14ac:dyDescent="0.35">
      <c r="A68" s="3" t="s">
        <v>159</v>
      </c>
      <c r="B68">
        <f>SUMIF(RecoveredRaw!$B:$B,$A68,RecoveredRaw!E:E)</f>
        <v>0</v>
      </c>
      <c r="C68">
        <f>SUMIF(RecoveredRaw!$B:$B,$A68,RecoveredRaw!F:F)</f>
        <v>0</v>
      </c>
      <c r="D68">
        <f>SUMIF(RecoveredRaw!$B:$B,$A68,RecoveredRaw!G:G)</f>
        <v>0</v>
      </c>
      <c r="E68">
        <f>SUMIF(RecoveredRaw!$B:$B,$A68,RecoveredRaw!H:H)</f>
        <v>0</v>
      </c>
      <c r="F68">
        <f>SUMIF(RecoveredRaw!$B:$B,$A68,RecoveredRaw!I:I)</f>
        <v>0</v>
      </c>
      <c r="G68">
        <f>SUMIF(RecoveredRaw!$B:$B,$A68,RecoveredRaw!J:J)</f>
        <v>0</v>
      </c>
      <c r="H68">
        <f>SUMIF(RecoveredRaw!$B:$B,$A68,RecoveredRaw!K:K)</f>
        <v>0</v>
      </c>
      <c r="I68">
        <f>SUMIF(RecoveredRaw!$B:$B,$A68,RecoveredRaw!L:L)</f>
        <v>0</v>
      </c>
      <c r="J68">
        <f>SUMIF(RecoveredRaw!$B:$B,$A68,RecoveredRaw!M:M)</f>
        <v>0</v>
      </c>
      <c r="K68">
        <f>SUMIF(RecoveredRaw!$B:$B,$A68,RecoveredRaw!N:N)</f>
        <v>0</v>
      </c>
      <c r="L68">
        <f>SUMIF(RecoveredRaw!$B:$B,$A68,RecoveredRaw!O:O)</f>
        <v>0</v>
      </c>
      <c r="M68">
        <f>SUMIF(RecoveredRaw!$B:$B,$A68,RecoveredRaw!P:P)</f>
        <v>0</v>
      </c>
      <c r="N68">
        <f>SUMIF(RecoveredRaw!$B:$B,$A68,RecoveredRaw!Q:Q)</f>
        <v>0</v>
      </c>
      <c r="O68">
        <f>SUMIF(RecoveredRaw!$B:$B,$A68,RecoveredRaw!R:R)</f>
        <v>0</v>
      </c>
      <c r="P68">
        <f>SUMIF(RecoveredRaw!$B:$B,$A68,RecoveredRaw!S:S)</f>
        <v>0</v>
      </c>
      <c r="Q68">
        <f>SUMIF(RecoveredRaw!$B:$B,$A68,RecoveredRaw!T:T)</f>
        <v>0</v>
      </c>
      <c r="R68">
        <f>SUMIF(RecoveredRaw!$B:$B,$A68,RecoveredRaw!U:U)</f>
        <v>0</v>
      </c>
      <c r="S68">
        <f>SUMIF(RecoveredRaw!$B:$B,$A68,RecoveredRaw!V:V)</f>
        <v>0</v>
      </c>
      <c r="T68">
        <f>SUMIF(RecoveredRaw!$B:$B,$A68,RecoveredRaw!W:W)</f>
        <v>0</v>
      </c>
      <c r="U68">
        <f>SUMIF(RecoveredRaw!$B:$B,$A68,RecoveredRaw!X:X)</f>
        <v>0</v>
      </c>
      <c r="V68">
        <f>SUMIF(RecoveredRaw!$B:$B,$A68,RecoveredRaw!Y:Y)</f>
        <v>0</v>
      </c>
      <c r="W68">
        <f>SUMIF(RecoveredRaw!$B:$B,$A68,RecoveredRaw!Z:Z)</f>
        <v>0</v>
      </c>
      <c r="X68">
        <f>SUMIF(RecoveredRaw!$B:$B,$A68,RecoveredRaw!AA:AA)</f>
        <v>0</v>
      </c>
      <c r="Y68">
        <f>SUMIF(RecoveredRaw!$B:$B,$A68,RecoveredRaw!AB:AB)</f>
        <v>0</v>
      </c>
      <c r="Z68">
        <f>SUMIF(RecoveredRaw!$B:$B,$A68,RecoveredRaw!AC:AC)</f>
        <v>0</v>
      </c>
      <c r="AA68">
        <f>SUMIF(RecoveredRaw!$B:$B,$A68,RecoveredRaw!AD:AD)</f>
        <v>0</v>
      </c>
      <c r="AB68">
        <f>SUMIF(RecoveredRaw!$B:$B,$A68,RecoveredRaw!AE:AE)</f>
        <v>0</v>
      </c>
      <c r="AC68">
        <f>SUMIF(RecoveredRaw!$B:$B,$A68,RecoveredRaw!AF:AF)</f>
        <v>0</v>
      </c>
      <c r="AD68">
        <f>SUMIF(RecoveredRaw!$B:$B,$A68,RecoveredRaw!AG:AG)</f>
        <v>0</v>
      </c>
      <c r="AE68">
        <f>SUMIF(RecoveredRaw!$B:$B,$A68,RecoveredRaw!AH:AH)</f>
        <v>0</v>
      </c>
      <c r="AF68">
        <f>SUMIF(RecoveredRaw!$B:$B,$A68,RecoveredRaw!AI:AI)</f>
        <v>0</v>
      </c>
      <c r="AG68">
        <f>SUMIF(RecoveredRaw!$B:$B,$A68,RecoveredRaw!AJ:AJ)</f>
        <v>0</v>
      </c>
      <c r="AH68">
        <f>SUMIF(RecoveredRaw!$B:$B,$A68,RecoveredRaw!AK:AK)</f>
        <v>0</v>
      </c>
      <c r="AI68">
        <f>SUMIF(RecoveredRaw!$B:$B,$A68,RecoveredRaw!AL:AL)</f>
        <v>0</v>
      </c>
      <c r="AJ68">
        <f>SUMIF(RecoveredRaw!$B:$B,$A68,RecoveredRaw!AM:AM)</f>
        <v>0</v>
      </c>
      <c r="AK68">
        <f>SUMIF(RecoveredRaw!$B:$B,$A68,RecoveredRaw!AN:AN)</f>
        <v>0</v>
      </c>
      <c r="AL68">
        <f>SUMIF(RecoveredRaw!$B:$B,$A68,RecoveredRaw!AO:AO)</f>
        <v>0</v>
      </c>
      <c r="AM68">
        <f>SUMIF(RecoveredRaw!$B:$B,$A68,RecoveredRaw!AP:AP)</f>
        <v>0</v>
      </c>
      <c r="AN68">
        <f>SUMIF(RecoveredRaw!$B:$B,$A68,RecoveredRaw!AQ:AQ)</f>
        <v>0</v>
      </c>
      <c r="AO68">
        <f>SUMIF(RecoveredRaw!$B:$B,$A68,RecoveredRaw!AR:AR)</f>
        <v>0</v>
      </c>
      <c r="AP68">
        <f>SUMIF(RecoveredRaw!$B:$B,$A68,RecoveredRaw!AS:AS)</f>
        <v>0</v>
      </c>
      <c r="AQ68">
        <f>SUMIF(RecoveredRaw!$B:$B,$A68,RecoveredRaw!AT:AT)</f>
        <v>0</v>
      </c>
      <c r="AR68">
        <f>SUMIF(RecoveredRaw!$B:$B,$A68,RecoveredRaw!AU:AU)</f>
        <v>0</v>
      </c>
      <c r="AS68">
        <f>SUMIF(RecoveredRaw!$B:$B,$A68,RecoveredRaw!AV:AV)</f>
        <v>0</v>
      </c>
      <c r="AT68">
        <f>SUMIF(RecoveredRaw!$B:$B,$A68,RecoveredRaw!AW:AW)</f>
        <v>0</v>
      </c>
      <c r="AU68">
        <f>SUMIF(RecoveredRaw!$B:$B,$A68,RecoveredRaw!AX:AX)</f>
        <v>0</v>
      </c>
      <c r="AV68">
        <f>SUMIF(RecoveredRaw!$B:$B,$A68,RecoveredRaw!AY:AY)</f>
        <v>0</v>
      </c>
      <c r="AW68">
        <f>SUMIF(RecoveredRaw!$B:$B,$A68,RecoveredRaw!AZ:AZ)</f>
        <v>0</v>
      </c>
      <c r="AX68">
        <f>SUMIF(RecoveredRaw!$B:$B,$A68,RecoveredRaw!BA:BA)</f>
        <v>0</v>
      </c>
      <c r="AY68">
        <f>SUMIF(RecoveredRaw!$B:$B,$A68,RecoveredRaw!BB:BB)</f>
        <v>0</v>
      </c>
      <c r="AZ68">
        <f>SUMIF(RecoveredRaw!$B:$B,$A68,RecoveredRaw!BC:BC)</f>
        <v>0</v>
      </c>
      <c r="BA68">
        <f>SUMIF(RecoveredRaw!$B:$B,$A68,RecoveredRaw!BD:BD)</f>
        <v>0</v>
      </c>
      <c r="BB68">
        <f>SUMIF(RecoveredRaw!$B:$B,$A68,RecoveredRaw!BE:BE)</f>
        <v>0</v>
      </c>
      <c r="BC68">
        <f>SUMIF(RecoveredRaw!$B:$B,$A68,RecoveredRaw!BF:BF)</f>
        <v>0</v>
      </c>
      <c r="BD68">
        <f>SUMIF(RecoveredRaw!$B:$B,$A68,RecoveredRaw!BG:BG)</f>
        <v>0</v>
      </c>
      <c r="BE68">
        <f>SUMIF(RecoveredRaw!$B:$B,$A68,RecoveredRaw!BH:BH)</f>
        <v>0</v>
      </c>
      <c r="BF68">
        <f>SUMIF(RecoveredRaw!$B:$B,$A68,RecoveredRaw!BI:BI)</f>
        <v>0</v>
      </c>
      <c r="BG68">
        <f>SUMIF(RecoveredRaw!$B:$B,$A68,RecoveredRaw!BJ:BJ)</f>
        <v>0</v>
      </c>
      <c r="BH68">
        <f>SUMIF(RecoveredRaw!$B:$B,$A68,RecoveredRaw!BK:BK)</f>
        <v>0</v>
      </c>
      <c r="BI68">
        <f>SUMIF(RecoveredRaw!$B:$B,$A68,RecoveredRaw!BL:BL)</f>
        <v>0</v>
      </c>
      <c r="BJ68">
        <f>SUMIF(RecoveredRaw!$B:$B,$A68,RecoveredRaw!BM:BM)</f>
        <v>0</v>
      </c>
      <c r="BK68">
        <f>SUMIF(RecoveredRaw!$B:$B,$A68,RecoveredRaw!BN:BN)</f>
        <v>0</v>
      </c>
      <c r="BL68">
        <f>SUMIF(RecoveredRaw!$B:$B,$A68,RecoveredRaw!BO:BO)</f>
        <v>0</v>
      </c>
      <c r="BM68">
        <f>SUMIF(RecoveredRaw!$B:$B,$A68,RecoveredRaw!BP:BP)</f>
        <v>0</v>
      </c>
      <c r="BN68">
        <f>SUMIF(RecoveredRaw!$B:$B,$A68,RecoveredRaw!BQ:BQ)</f>
        <v>0</v>
      </c>
      <c r="BO68">
        <f>SUMIF(RecoveredRaw!$B:$B,$A68,RecoveredRaw!BR:BR)</f>
        <v>0</v>
      </c>
      <c r="BP68">
        <f>SUMIF(RecoveredRaw!$B:$B,$A68,RecoveredRaw!BS:BS)</f>
        <v>0</v>
      </c>
      <c r="BQ68">
        <f>SUMIF(RecoveredRaw!$B:$B,$A68,RecoveredRaw!BT:BT)</f>
        <v>0</v>
      </c>
      <c r="BR68">
        <f>SUMIF(RecoveredRaw!$B:$B,$A68,RecoveredRaw!BU:BU)</f>
        <v>0</v>
      </c>
      <c r="BS68">
        <f>SUMIF(RecoveredRaw!$B:$B,$A68,RecoveredRaw!BV:BV)</f>
        <v>0</v>
      </c>
      <c r="BT68">
        <f>SUMIF(RecoveredRaw!$B:$B,$A68,RecoveredRaw!BW:BW)</f>
        <v>0</v>
      </c>
    </row>
    <row r="69" spans="1:72" ht="15" thickBot="1" x14ac:dyDescent="0.35">
      <c r="A69" s="4" t="s">
        <v>132</v>
      </c>
      <c r="B69">
        <f>SUMIF(RecoveredRaw!$B:$B,$A69,RecoveredRaw!E:E)</f>
        <v>0</v>
      </c>
      <c r="C69">
        <f>SUMIF(RecoveredRaw!$B:$B,$A69,RecoveredRaw!F:F)</f>
        <v>0</v>
      </c>
      <c r="D69">
        <f>SUMIF(RecoveredRaw!$B:$B,$A69,RecoveredRaw!G:G)</f>
        <v>0</v>
      </c>
      <c r="E69">
        <f>SUMIF(RecoveredRaw!$B:$B,$A69,RecoveredRaw!H:H)</f>
        <v>0</v>
      </c>
      <c r="F69">
        <f>SUMIF(RecoveredRaw!$B:$B,$A69,RecoveredRaw!I:I)</f>
        <v>0</v>
      </c>
      <c r="G69">
        <f>SUMIF(RecoveredRaw!$B:$B,$A69,RecoveredRaw!J:J)</f>
        <v>0</v>
      </c>
      <c r="H69">
        <f>SUMIF(RecoveredRaw!$B:$B,$A69,RecoveredRaw!K:K)</f>
        <v>0</v>
      </c>
      <c r="I69">
        <f>SUMIF(RecoveredRaw!$B:$B,$A69,RecoveredRaw!L:L)</f>
        <v>0</v>
      </c>
      <c r="J69">
        <f>SUMIF(RecoveredRaw!$B:$B,$A69,RecoveredRaw!M:M)</f>
        <v>0</v>
      </c>
      <c r="K69">
        <f>SUMIF(RecoveredRaw!$B:$B,$A69,RecoveredRaw!N:N)</f>
        <v>0</v>
      </c>
      <c r="L69">
        <f>SUMIF(RecoveredRaw!$B:$B,$A69,RecoveredRaw!O:O)</f>
        <v>0</v>
      </c>
      <c r="M69">
        <f>SUMIF(RecoveredRaw!$B:$B,$A69,RecoveredRaw!P:P)</f>
        <v>0</v>
      </c>
      <c r="N69">
        <f>SUMIF(RecoveredRaw!$B:$B,$A69,RecoveredRaw!Q:Q)</f>
        <v>0</v>
      </c>
      <c r="O69">
        <f>SUMIF(RecoveredRaw!$B:$B,$A69,RecoveredRaw!R:R)</f>
        <v>0</v>
      </c>
      <c r="P69">
        <f>SUMIF(RecoveredRaw!$B:$B,$A69,RecoveredRaw!S:S)</f>
        <v>0</v>
      </c>
      <c r="Q69">
        <f>SUMIF(RecoveredRaw!$B:$B,$A69,RecoveredRaw!T:T)</f>
        <v>0</v>
      </c>
      <c r="R69">
        <f>SUMIF(RecoveredRaw!$B:$B,$A69,RecoveredRaw!U:U)</f>
        <v>0</v>
      </c>
      <c r="S69">
        <f>SUMIF(RecoveredRaw!$B:$B,$A69,RecoveredRaw!V:V)</f>
        <v>0</v>
      </c>
      <c r="T69">
        <f>SUMIF(RecoveredRaw!$B:$B,$A69,RecoveredRaw!W:W)</f>
        <v>0</v>
      </c>
      <c r="U69">
        <f>SUMIF(RecoveredRaw!$B:$B,$A69,RecoveredRaw!X:X)</f>
        <v>0</v>
      </c>
      <c r="V69">
        <f>SUMIF(RecoveredRaw!$B:$B,$A69,RecoveredRaw!Y:Y)</f>
        <v>0</v>
      </c>
      <c r="W69">
        <f>SUMIF(RecoveredRaw!$B:$B,$A69,RecoveredRaw!Z:Z)</f>
        <v>0</v>
      </c>
      <c r="X69">
        <f>SUMIF(RecoveredRaw!$B:$B,$A69,RecoveredRaw!AA:AA)</f>
        <v>0</v>
      </c>
      <c r="Y69">
        <f>SUMIF(RecoveredRaw!$B:$B,$A69,RecoveredRaw!AB:AB)</f>
        <v>0</v>
      </c>
      <c r="Z69">
        <f>SUMIF(RecoveredRaw!$B:$B,$A69,RecoveredRaw!AC:AC)</f>
        <v>0</v>
      </c>
      <c r="AA69">
        <f>SUMIF(RecoveredRaw!$B:$B,$A69,RecoveredRaw!AD:AD)</f>
        <v>0</v>
      </c>
      <c r="AB69">
        <f>SUMIF(RecoveredRaw!$B:$B,$A69,RecoveredRaw!AE:AE)</f>
        <v>0</v>
      </c>
      <c r="AC69">
        <f>SUMIF(RecoveredRaw!$B:$B,$A69,RecoveredRaw!AF:AF)</f>
        <v>0</v>
      </c>
      <c r="AD69">
        <f>SUMIF(RecoveredRaw!$B:$B,$A69,RecoveredRaw!AG:AG)</f>
        <v>0</v>
      </c>
      <c r="AE69">
        <f>SUMIF(RecoveredRaw!$B:$B,$A69,RecoveredRaw!AH:AH)</f>
        <v>0</v>
      </c>
      <c r="AF69">
        <f>SUMIF(RecoveredRaw!$B:$B,$A69,RecoveredRaw!AI:AI)</f>
        <v>0</v>
      </c>
      <c r="AG69">
        <f>SUMIF(RecoveredRaw!$B:$B,$A69,RecoveredRaw!AJ:AJ)</f>
        <v>0</v>
      </c>
      <c r="AH69">
        <f>SUMIF(RecoveredRaw!$B:$B,$A69,RecoveredRaw!AK:AK)</f>
        <v>0</v>
      </c>
      <c r="AI69">
        <f>SUMIF(RecoveredRaw!$B:$B,$A69,RecoveredRaw!AL:AL)</f>
        <v>0</v>
      </c>
      <c r="AJ69">
        <f>SUMIF(RecoveredRaw!$B:$B,$A69,RecoveredRaw!AM:AM)</f>
        <v>0</v>
      </c>
      <c r="AK69">
        <f>SUMIF(RecoveredRaw!$B:$B,$A69,RecoveredRaw!AN:AN)</f>
        <v>0</v>
      </c>
      <c r="AL69">
        <f>SUMIF(RecoveredRaw!$B:$B,$A69,RecoveredRaw!AO:AO)</f>
        <v>0</v>
      </c>
      <c r="AM69">
        <f>SUMIF(RecoveredRaw!$B:$B,$A69,RecoveredRaw!AP:AP)</f>
        <v>0</v>
      </c>
      <c r="AN69">
        <f>SUMIF(RecoveredRaw!$B:$B,$A69,RecoveredRaw!AQ:AQ)</f>
        <v>0</v>
      </c>
      <c r="AO69">
        <f>SUMIF(RecoveredRaw!$B:$B,$A69,RecoveredRaw!AR:AR)</f>
        <v>0</v>
      </c>
      <c r="AP69">
        <f>SUMIF(RecoveredRaw!$B:$B,$A69,RecoveredRaw!AS:AS)</f>
        <v>0</v>
      </c>
      <c r="AQ69">
        <f>SUMIF(RecoveredRaw!$B:$B,$A69,RecoveredRaw!AT:AT)</f>
        <v>0</v>
      </c>
      <c r="AR69">
        <f>SUMIF(RecoveredRaw!$B:$B,$A69,RecoveredRaw!AU:AU)</f>
        <v>0</v>
      </c>
      <c r="AS69">
        <f>SUMIF(RecoveredRaw!$B:$B,$A69,RecoveredRaw!AV:AV)</f>
        <v>0</v>
      </c>
      <c r="AT69">
        <f>SUMIF(RecoveredRaw!$B:$B,$A69,RecoveredRaw!AW:AW)</f>
        <v>0</v>
      </c>
      <c r="AU69">
        <f>SUMIF(RecoveredRaw!$B:$B,$A69,RecoveredRaw!AX:AX)</f>
        <v>0</v>
      </c>
      <c r="AV69">
        <f>SUMIF(RecoveredRaw!$B:$B,$A69,RecoveredRaw!AY:AY)</f>
        <v>0</v>
      </c>
      <c r="AW69">
        <f>SUMIF(RecoveredRaw!$B:$B,$A69,RecoveredRaw!AZ:AZ)</f>
        <v>0</v>
      </c>
      <c r="AX69">
        <f>SUMIF(RecoveredRaw!$B:$B,$A69,RecoveredRaw!BA:BA)</f>
        <v>0</v>
      </c>
      <c r="AY69">
        <f>SUMIF(RecoveredRaw!$B:$B,$A69,RecoveredRaw!BB:BB)</f>
        <v>0</v>
      </c>
      <c r="AZ69">
        <f>SUMIF(RecoveredRaw!$B:$B,$A69,RecoveredRaw!BC:BC)</f>
        <v>0</v>
      </c>
      <c r="BA69">
        <f>SUMIF(RecoveredRaw!$B:$B,$A69,RecoveredRaw!BD:BD)</f>
        <v>0</v>
      </c>
      <c r="BB69">
        <f>SUMIF(RecoveredRaw!$B:$B,$A69,RecoveredRaw!BE:BE)</f>
        <v>1</v>
      </c>
      <c r="BC69">
        <f>SUMIF(RecoveredRaw!$B:$B,$A69,RecoveredRaw!BF:BF)</f>
        <v>1</v>
      </c>
      <c r="BD69">
        <f>SUMIF(RecoveredRaw!$B:$B,$A69,RecoveredRaw!BG:BG)</f>
        <v>1</v>
      </c>
      <c r="BE69">
        <f>SUMIF(RecoveredRaw!$B:$B,$A69,RecoveredRaw!BH:BH)</f>
        <v>2</v>
      </c>
      <c r="BF69">
        <f>SUMIF(RecoveredRaw!$B:$B,$A69,RecoveredRaw!BI:BI)</f>
        <v>2</v>
      </c>
      <c r="BG69">
        <f>SUMIF(RecoveredRaw!$B:$B,$A69,RecoveredRaw!BJ:BJ)</f>
        <v>2</v>
      </c>
      <c r="BH69">
        <f>SUMIF(RecoveredRaw!$B:$B,$A69,RecoveredRaw!BK:BK)</f>
        <v>2</v>
      </c>
      <c r="BI69">
        <f>SUMIF(RecoveredRaw!$B:$B,$A69,RecoveredRaw!BL:BL)</f>
        <v>0</v>
      </c>
      <c r="BJ69">
        <f>SUMIF(RecoveredRaw!$B:$B,$A69,RecoveredRaw!BM:BM)</f>
        <v>0</v>
      </c>
      <c r="BK69">
        <f>SUMIF(RecoveredRaw!$B:$B,$A69,RecoveredRaw!BN:BN)</f>
        <v>0</v>
      </c>
      <c r="BL69">
        <f>SUMIF(RecoveredRaw!$B:$B,$A69,RecoveredRaw!BO:BO)</f>
        <v>0</v>
      </c>
      <c r="BM69">
        <f>SUMIF(RecoveredRaw!$B:$B,$A69,RecoveredRaw!BP:BP)</f>
        <v>0</v>
      </c>
      <c r="BN69">
        <f>SUMIF(RecoveredRaw!$B:$B,$A69,RecoveredRaw!BQ:BQ)</f>
        <v>0</v>
      </c>
      <c r="BO69">
        <f>SUMIF(RecoveredRaw!$B:$B,$A69,RecoveredRaw!BR:BR)</f>
        <v>0</v>
      </c>
      <c r="BP69">
        <f>SUMIF(RecoveredRaw!$B:$B,$A69,RecoveredRaw!BS:BS)</f>
        <v>0</v>
      </c>
      <c r="BQ69">
        <f>SUMIF(RecoveredRaw!$B:$B,$A69,RecoveredRaw!BT:BT)</f>
        <v>0</v>
      </c>
      <c r="BR69">
        <f>SUMIF(RecoveredRaw!$B:$B,$A69,RecoveredRaw!BU:BU)</f>
        <v>0</v>
      </c>
      <c r="BS69">
        <f>SUMIF(RecoveredRaw!$B:$B,$A69,RecoveredRaw!BV:BV)</f>
        <v>0</v>
      </c>
      <c r="BT69">
        <f>SUMIF(RecoveredRaw!$B:$B,$A69,RecoveredRaw!BW:BW)</f>
        <v>0</v>
      </c>
    </row>
    <row r="70" spans="1:72" ht="15" thickBot="1" x14ac:dyDescent="0.35">
      <c r="A70" s="4" t="s">
        <v>71</v>
      </c>
      <c r="B70">
        <f>SUMIF(RecoveredRaw!$B:$B,$A70,RecoveredRaw!E:E)</f>
        <v>0</v>
      </c>
      <c r="C70">
        <f>SUMIF(RecoveredRaw!$B:$B,$A70,RecoveredRaw!F:F)</f>
        <v>0</v>
      </c>
      <c r="D70">
        <f>SUMIF(RecoveredRaw!$B:$B,$A70,RecoveredRaw!G:G)</f>
        <v>0</v>
      </c>
      <c r="E70">
        <f>SUMIF(RecoveredRaw!$B:$B,$A70,RecoveredRaw!H:H)</f>
        <v>0</v>
      </c>
      <c r="F70">
        <f>SUMIF(RecoveredRaw!$B:$B,$A70,RecoveredRaw!I:I)</f>
        <v>0</v>
      </c>
      <c r="G70">
        <f>SUMIF(RecoveredRaw!$B:$B,$A70,RecoveredRaw!J:J)</f>
        <v>0</v>
      </c>
      <c r="H70">
        <f>SUMIF(RecoveredRaw!$B:$B,$A70,RecoveredRaw!K:K)</f>
        <v>0</v>
      </c>
      <c r="I70">
        <f>SUMIF(RecoveredRaw!$B:$B,$A70,RecoveredRaw!L:L)</f>
        <v>0</v>
      </c>
      <c r="J70">
        <f>SUMIF(RecoveredRaw!$B:$B,$A70,RecoveredRaw!M:M)</f>
        <v>0</v>
      </c>
      <c r="K70">
        <f>SUMIF(RecoveredRaw!$B:$B,$A70,RecoveredRaw!N:N)</f>
        <v>0</v>
      </c>
      <c r="L70">
        <f>SUMIF(RecoveredRaw!$B:$B,$A70,RecoveredRaw!O:O)</f>
        <v>0</v>
      </c>
      <c r="M70">
        <f>SUMIF(RecoveredRaw!$B:$B,$A70,RecoveredRaw!P:P)</f>
        <v>0</v>
      </c>
      <c r="N70">
        <f>SUMIF(RecoveredRaw!$B:$B,$A70,RecoveredRaw!Q:Q)</f>
        <v>0</v>
      </c>
      <c r="O70">
        <f>SUMIF(RecoveredRaw!$B:$B,$A70,RecoveredRaw!R:R)</f>
        <v>0</v>
      </c>
      <c r="P70">
        <f>SUMIF(RecoveredRaw!$B:$B,$A70,RecoveredRaw!S:S)</f>
        <v>0</v>
      </c>
      <c r="Q70">
        <f>SUMIF(RecoveredRaw!$B:$B,$A70,RecoveredRaw!T:T)</f>
        <v>0</v>
      </c>
      <c r="R70">
        <f>SUMIF(RecoveredRaw!$B:$B,$A70,RecoveredRaw!U:U)</f>
        <v>0</v>
      </c>
      <c r="S70">
        <f>SUMIF(RecoveredRaw!$B:$B,$A70,RecoveredRaw!V:V)</f>
        <v>0</v>
      </c>
      <c r="T70">
        <f>SUMIF(RecoveredRaw!$B:$B,$A70,RecoveredRaw!W:W)</f>
        <v>0</v>
      </c>
      <c r="U70">
        <f>SUMIF(RecoveredRaw!$B:$B,$A70,RecoveredRaw!X:X)</f>
        <v>0</v>
      </c>
      <c r="V70">
        <f>SUMIF(RecoveredRaw!$B:$B,$A70,RecoveredRaw!Y:Y)</f>
        <v>0</v>
      </c>
      <c r="W70">
        <f>SUMIF(RecoveredRaw!$B:$B,$A70,RecoveredRaw!Z:Z)</f>
        <v>0</v>
      </c>
      <c r="X70">
        <f>SUMIF(RecoveredRaw!$B:$B,$A70,RecoveredRaw!AA:AA)</f>
        <v>0</v>
      </c>
      <c r="Y70">
        <f>SUMIF(RecoveredRaw!$B:$B,$A70,RecoveredRaw!AB:AB)</f>
        <v>0</v>
      </c>
      <c r="Z70">
        <f>SUMIF(RecoveredRaw!$B:$B,$A70,RecoveredRaw!AC:AC)</f>
        <v>0</v>
      </c>
      <c r="AA70">
        <f>SUMIF(RecoveredRaw!$B:$B,$A70,RecoveredRaw!AD:AD)</f>
        <v>0</v>
      </c>
      <c r="AB70">
        <f>SUMIF(RecoveredRaw!$B:$B,$A70,RecoveredRaw!AE:AE)</f>
        <v>0</v>
      </c>
      <c r="AC70">
        <f>SUMIF(RecoveredRaw!$B:$B,$A70,RecoveredRaw!AF:AF)</f>
        <v>0</v>
      </c>
      <c r="AD70">
        <f>SUMIF(RecoveredRaw!$B:$B,$A70,RecoveredRaw!AG:AG)</f>
        <v>0</v>
      </c>
      <c r="AE70">
        <f>SUMIF(RecoveredRaw!$B:$B,$A70,RecoveredRaw!AH:AH)</f>
        <v>0</v>
      </c>
      <c r="AF70">
        <f>SUMIF(RecoveredRaw!$B:$B,$A70,RecoveredRaw!AI:AI)</f>
        <v>0</v>
      </c>
      <c r="AG70">
        <f>SUMIF(RecoveredRaw!$B:$B,$A70,RecoveredRaw!AJ:AJ)</f>
        <v>0</v>
      </c>
      <c r="AH70">
        <f>SUMIF(RecoveredRaw!$B:$B,$A70,RecoveredRaw!AK:AK)</f>
        <v>0</v>
      </c>
      <c r="AI70">
        <f>SUMIF(RecoveredRaw!$B:$B,$A70,RecoveredRaw!AL:AL)</f>
        <v>0</v>
      </c>
      <c r="AJ70">
        <f>SUMIF(RecoveredRaw!$B:$B,$A70,RecoveredRaw!AM:AM)</f>
        <v>0</v>
      </c>
      <c r="AK70">
        <f>SUMIF(RecoveredRaw!$B:$B,$A70,RecoveredRaw!AN:AN)</f>
        <v>0</v>
      </c>
      <c r="AL70">
        <f>SUMIF(RecoveredRaw!$B:$B,$A70,RecoveredRaw!AO:AO)</f>
        <v>0</v>
      </c>
      <c r="AM70">
        <f>SUMIF(RecoveredRaw!$B:$B,$A70,RecoveredRaw!AP:AP)</f>
        <v>0</v>
      </c>
      <c r="AN70">
        <f>SUMIF(RecoveredRaw!$B:$B,$A70,RecoveredRaw!AQ:AQ)</f>
        <v>1</v>
      </c>
      <c r="AO70">
        <f>SUMIF(RecoveredRaw!$B:$B,$A70,RecoveredRaw!AR:AR)</f>
        <v>1</v>
      </c>
      <c r="AP70">
        <f>SUMIF(RecoveredRaw!$B:$B,$A70,RecoveredRaw!AS:AS)</f>
        <v>1</v>
      </c>
      <c r="AQ70">
        <f>SUMIF(RecoveredRaw!$B:$B,$A70,RecoveredRaw!AT:AT)</f>
        <v>2</v>
      </c>
      <c r="AR70">
        <f>SUMIF(RecoveredRaw!$B:$B,$A70,RecoveredRaw!AU:AU)</f>
        <v>2</v>
      </c>
      <c r="AS70">
        <f>SUMIF(RecoveredRaw!$B:$B,$A70,RecoveredRaw!AV:AV)</f>
        <v>2</v>
      </c>
      <c r="AT70">
        <f>SUMIF(RecoveredRaw!$B:$B,$A70,RecoveredRaw!AW:AW)</f>
        <v>2</v>
      </c>
      <c r="AU70">
        <f>SUMIF(RecoveredRaw!$B:$B,$A70,RecoveredRaw!AX:AX)</f>
        <v>2</v>
      </c>
      <c r="AV70">
        <f>SUMIF(RecoveredRaw!$B:$B,$A70,RecoveredRaw!AY:AY)</f>
        <v>2</v>
      </c>
      <c r="AW70">
        <f>SUMIF(RecoveredRaw!$B:$B,$A70,RecoveredRaw!AZ:AZ)</f>
        <v>2</v>
      </c>
      <c r="AX70">
        <f>SUMIF(RecoveredRaw!$B:$B,$A70,RecoveredRaw!BA:BA)</f>
        <v>9</v>
      </c>
      <c r="AY70">
        <f>SUMIF(RecoveredRaw!$B:$B,$A70,RecoveredRaw!BB:BB)</f>
        <v>9</v>
      </c>
      <c r="AZ70">
        <f>SUMIF(RecoveredRaw!$B:$B,$A70,RecoveredRaw!BC:BC)</f>
        <v>9</v>
      </c>
      <c r="BA70">
        <f>SUMIF(RecoveredRaw!$B:$B,$A70,RecoveredRaw!BD:BD)</f>
        <v>9</v>
      </c>
      <c r="BB70">
        <f>SUMIF(RecoveredRaw!$B:$B,$A70,RecoveredRaw!BE:BE)</f>
        <v>9</v>
      </c>
      <c r="BC70">
        <f>SUMIF(RecoveredRaw!$B:$B,$A70,RecoveredRaw!BF:BF)</f>
        <v>9</v>
      </c>
      <c r="BD70">
        <f>SUMIF(RecoveredRaw!$B:$B,$A70,RecoveredRaw!BG:BG)</f>
        <v>9</v>
      </c>
      <c r="BE70">
        <f>SUMIF(RecoveredRaw!$B:$B,$A70,RecoveredRaw!BH:BH)</f>
        <v>9</v>
      </c>
      <c r="BF70">
        <f>SUMIF(RecoveredRaw!$B:$B,$A70,RecoveredRaw!BI:BI)</f>
        <v>12</v>
      </c>
      <c r="BG70">
        <f>SUMIF(RecoveredRaw!$B:$B,$A70,RecoveredRaw!BJ:BJ)</f>
        <v>12</v>
      </c>
      <c r="BH70">
        <f>SUMIF(RecoveredRaw!$B:$B,$A70,RecoveredRaw!BK:BK)</f>
        <v>12</v>
      </c>
      <c r="BI70">
        <f>SUMIF(RecoveredRaw!$B:$B,$A70,RecoveredRaw!BL:BL)</f>
        <v>0</v>
      </c>
      <c r="BJ70">
        <f>SUMIF(RecoveredRaw!$B:$B,$A70,RecoveredRaw!BM:BM)</f>
        <v>0</v>
      </c>
      <c r="BK70">
        <f>SUMIF(RecoveredRaw!$B:$B,$A70,RecoveredRaw!BN:BN)</f>
        <v>0</v>
      </c>
      <c r="BL70">
        <f>SUMIF(RecoveredRaw!$B:$B,$A70,RecoveredRaw!BO:BO)</f>
        <v>0</v>
      </c>
      <c r="BM70">
        <f>SUMIF(RecoveredRaw!$B:$B,$A70,RecoveredRaw!BP:BP)</f>
        <v>0</v>
      </c>
      <c r="BN70">
        <f>SUMIF(RecoveredRaw!$B:$B,$A70,RecoveredRaw!BQ:BQ)</f>
        <v>0</v>
      </c>
      <c r="BO70">
        <f>SUMIF(RecoveredRaw!$B:$B,$A70,RecoveredRaw!BR:BR)</f>
        <v>0</v>
      </c>
      <c r="BP70">
        <f>SUMIF(RecoveredRaw!$B:$B,$A70,RecoveredRaw!BS:BS)</f>
        <v>0</v>
      </c>
      <c r="BQ70">
        <f>SUMIF(RecoveredRaw!$B:$B,$A70,RecoveredRaw!BT:BT)</f>
        <v>0</v>
      </c>
      <c r="BR70">
        <f>SUMIF(RecoveredRaw!$B:$B,$A70,RecoveredRaw!BU:BU)</f>
        <v>0</v>
      </c>
      <c r="BS70">
        <f>SUMIF(RecoveredRaw!$B:$B,$A70,RecoveredRaw!BV:BV)</f>
        <v>0</v>
      </c>
      <c r="BT70">
        <f>SUMIF(RecoveredRaw!$B:$B,$A70,RecoveredRaw!BW:BW)</f>
        <v>0</v>
      </c>
    </row>
    <row r="71" spans="1:72" ht="15" thickBot="1" x14ac:dyDescent="0.35">
      <c r="A71" s="4" t="s">
        <v>103</v>
      </c>
      <c r="B71">
        <f>SUMIF(RecoveredRaw!$B:$B,$A71,RecoveredRaw!E:E)</f>
        <v>0</v>
      </c>
      <c r="C71">
        <f>SUMIF(RecoveredRaw!$B:$B,$A71,RecoveredRaw!F:F)</f>
        <v>0</v>
      </c>
      <c r="D71">
        <f>SUMIF(RecoveredRaw!$B:$B,$A71,RecoveredRaw!G:G)</f>
        <v>0</v>
      </c>
      <c r="E71">
        <f>SUMIF(RecoveredRaw!$B:$B,$A71,RecoveredRaw!H:H)</f>
        <v>0</v>
      </c>
      <c r="F71">
        <f>SUMIF(RecoveredRaw!$B:$B,$A71,RecoveredRaw!I:I)</f>
        <v>0</v>
      </c>
      <c r="G71">
        <f>SUMIF(RecoveredRaw!$B:$B,$A71,RecoveredRaw!J:J)</f>
        <v>0</v>
      </c>
      <c r="H71">
        <f>SUMIF(RecoveredRaw!$B:$B,$A71,RecoveredRaw!K:K)</f>
        <v>0</v>
      </c>
      <c r="I71">
        <f>SUMIF(RecoveredRaw!$B:$B,$A71,RecoveredRaw!L:L)</f>
        <v>0</v>
      </c>
      <c r="J71">
        <f>SUMIF(RecoveredRaw!$B:$B,$A71,RecoveredRaw!M:M)</f>
        <v>0</v>
      </c>
      <c r="K71">
        <f>SUMIF(RecoveredRaw!$B:$B,$A71,RecoveredRaw!N:N)</f>
        <v>0</v>
      </c>
      <c r="L71">
        <f>SUMIF(RecoveredRaw!$B:$B,$A71,RecoveredRaw!O:O)</f>
        <v>0</v>
      </c>
      <c r="M71">
        <f>SUMIF(RecoveredRaw!$B:$B,$A71,RecoveredRaw!P:P)</f>
        <v>0</v>
      </c>
      <c r="N71">
        <f>SUMIF(RecoveredRaw!$B:$B,$A71,RecoveredRaw!Q:Q)</f>
        <v>0</v>
      </c>
      <c r="O71">
        <f>SUMIF(RecoveredRaw!$B:$B,$A71,RecoveredRaw!R:R)</f>
        <v>0</v>
      </c>
      <c r="P71">
        <f>SUMIF(RecoveredRaw!$B:$B,$A71,RecoveredRaw!S:S)</f>
        <v>0</v>
      </c>
      <c r="Q71">
        <f>SUMIF(RecoveredRaw!$B:$B,$A71,RecoveredRaw!T:T)</f>
        <v>0</v>
      </c>
      <c r="R71">
        <f>SUMIF(RecoveredRaw!$B:$B,$A71,RecoveredRaw!U:U)</f>
        <v>0</v>
      </c>
      <c r="S71">
        <f>SUMIF(RecoveredRaw!$B:$B,$A71,RecoveredRaw!V:V)</f>
        <v>0</v>
      </c>
      <c r="T71">
        <f>SUMIF(RecoveredRaw!$B:$B,$A71,RecoveredRaw!W:W)</f>
        <v>0</v>
      </c>
      <c r="U71">
        <f>SUMIF(RecoveredRaw!$B:$B,$A71,RecoveredRaw!X:X)</f>
        <v>0</v>
      </c>
      <c r="V71">
        <f>SUMIF(RecoveredRaw!$B:$B,$A71,RecoveredRaw!Y:Y)</f>
        <v>0</v>
      </c>
      <c r="W71">
        <f>SUMIF(RecoveredRaw!$B:$B,$A71,RecoveredRaw!Z:Z)</f>
        <v>0</v>
      </c>
      <c r="X71">
        <f>SUMIF(RecoveredRaw!$B:$B,$A71,RecoveredRaw!AA:AA)</f>
        <v>0</v>
      </c>
      <c r="Y71">
        <f>SUMIF(RecoveredRaw!$B:$B,$A71,RecoveredRaw!AB:AB)</f>
        <v>0</v>
      </c>
      <c r="Z71">
        <f>SUMIF(RecoveredRaw!$B:$B,$A71,RecoveredRaw!AC:AC)</f>
        <v>0</v>
      </c>
      <c r="AA71">
        <f>SUMIF(RecoveredRaw!$B:$B,$A71,RecoveredRaw!AD:AD)</f>
        <v>0</v>
      </c>
      <c r="AB71">
        <f>SUMIF(RecoveredRaw!$B:$B,$A71,RecoveredRaw!AE:AE)</f>
        <v>0</v>
      </c>
      <c r="AC71">
        <f>SUMIF(RecoveredRaw!$B:$B,$A71,RecoveredRaw!AF:AF)</f>
        <v>0</v>
      </c>
      <c r="AD71">
        <f>SUMIF(RecoveredRaw!$B:$B,$A71,RecoveredRaw!AG:AG)</f>
        <v>0</v>
      </c>
      <c r="AE71">
        <f>SUMIF(RecoveredRaw!$B:$B,$A71,RecoveredRaw!AH:AH)</f>
        <v>0</v>
      </c>
      <c r="AF71">
        <f>SUMIF(RecoveredRaw!$B:$B,$A71,RecoveredRaw!AI:AI)</f>
        <v>0</v>
      </c>
      <c r="AG71">
        <f>SUMIF(RecoveredRaw!$B:$B,$A71,RecoveredRaw!AJ:AJ)</f>
        <v>0</v>
      </c>
      <c r="AH71">
        <f>SUMIF(RecoveredRaw!$B:$B,$A71,RecoveredRaw!AK:AK)</f>
        <v>0</v>
      </c>
      <c r="AI71">
        <f>SUMIF(RecoveredRaw!$B:$B,$A71,RecoveredRaw!AL:AL)</f>
        <v>0</v>
      </c>
      <c r="AJ71">
        <f>SUMIF(RecoveredRaw!$B:$B,$A71,RecoveredRaw!AM:AM)</f>
        <v>0</v>
      </c>
      <c r="AK71">
        <f>SUMIF(RecoveredRaw!$B:$B,$A71,RecoveredRaw!AN:AN)</f>
        <v>0</v>
      </c>
      <c r="AL71">
        <f>SUMIF(RecoveredRaw!$B:$B,$A71,RecoveredRaw!AO:AO)</f>
        <v>0</v>
      </c>
      <c r="AM71">
        <f>SUMIF(RecoveredRaw!$B:$B,$A71,RecoveredRaw!AP:AP)</f>
        <v>0</v>
      </c>
      <c r="AN71">
        <f>SUMIF(RecoveredRaw!$B:$B,$A71,RecoveredRaw!AQ:AQ)</f>
        <v>0</v>
      </c>
      <c r="AO71">
        <f>SUMIF(RecoveredRaw!$B:$B,$A71,RecoveredRaw!AR:AR)</f>
        <v>0</v>
      </c>
      <c r="AP71">
        <f>SUMIF(RecoveredRaw!$B:$B,$A71,RecoveredRaw!AS:AS)</f>
        <v>0</v>
      </c>
      <c r="AQ71">
        <f>SUMIF(RecoveredRaw!$B:$B,$A71,RecoveredRaw!AT:AT)</f>
        <v>0</v>
      </c>
      <c r="AR71">
        <f>SUMIF(RecoveredRaw!$B:$B,$A71,RecoveredRaw!AU:AU)</f>
        <v>0</v>
      </c>
      <c r="AS71">
        <f>SUMIF(RecoveredRaw!$B:$B,$A71,RecoveredRaw!AV:AV)</f>
        <v>0</v>
      </c>
      <c r="AT71">
        <f>SUMIF(RecoveredRaw!$B:$B,$A71,RecoveredRaw!AW:AW)</f>
        <v>0</v>
      </c>
      <c r="AU71">
        <f>SUMIF(RecoveredRaw!$B:$B,$A71,RecoveredRaw!AX:AX)</f>
        <v>0</v>
      </c>
      <c r="AV71">
        <f>SUMIF(RecoveredRaw!$B:$B,$A71,RecoveredRaw!AY:AY)</f>
        <v>0</v>
      </c>
      <c r="AW71">
        <f>SUMIF(RecoveredRaw!$B:$B,$A71,RecoveredRaw!AZ:AZ)</f>
        <v>0</v>
      </c>
      <c r="AX71">
        <f>SUMIF(RecoveredRaw!$B:$B,$A71,RecoveredRaw!BA:BA)</f>
        <v>0</v>
      </c>
      <c r="AY71">
        <f>SUMIF(RecoveredRaw!$B:$B,$A71,RecoveredRaw!BB:BB)</f>
        <v>0</v>
      </c>
      <c r="AZ71">
        <f>SUMIF(RecoveredRaw!$B:$B,$A71,RecoveredRaw!BC:BC)</f>
        <v>0</v>
      </c>
      <c r="BA71">
        <f>SUMIF(RecoveredRaw!$B:$B,$A71,RecoveredRaw!BD:BD)</f>
        <v>0</v>
      </c>
      <c r="BB71">
        <f>SUMIF(RecoveredRaw!$B:$B,$A71,RecoveredRaw!BE:BE)</f>
        <v>0</v>
      </c>
      <c r="BC71">
        <f>SUMIF(RecoveredRaw!$B:$B,$A71,RecoveredRaw!BF:BF)</f>
        <v>0</v>
      </c>
      <c r="BD71">
        <f>SUMIF(RecoveredRaw!$B:$B,$A71,RecoveredRaw!BG:BG)</f>
        <v>0</v>
      </c>
      <c r="BE71">
        <f>SUMIF(RecoveredRaw!$B:$B,$A71,RecoveredRaw!BH:BH)</f>
        <v>0</v>
      </c>
      <c r="BF71">
        <f>SUMIF(RecoveredRaw!$B:$B,$A71,RecoveredRaw!BI:BI)</f>
        <v>0</v>
      </c>
      <c r="BG71">
        <f>SUMIF(RecoveredRaw!$B:$B,$A71,RecoveredRaw!BJ:BJ)</f>
        <v>0</v>
      </c>
      <c r="BH71">
        <f>SUMIF(RecoveredRaw!$B:$B,$A71,RecoveredRaw!BK:BK)</f>
        <v>0</v>
      </c>
      <c r="BI71">
        <f>SUMIF(RecoveredRaw!$B:$B,$A71,RecoveredRaw!BL:BL)</f>
        <v>0</v>
      </c>
      <c r="BJ71">
        <f>SUMIF(RecoveredRaw!$B:$B,$A71,RecoveredRaw!BM:BM)</f>
        <v>0</v>
      </c>
      <c r="BK71">
        <f>SUMIF(RecoveredRaw!$B:$B,$A71,RecoveredRaw!BN:BN)</f>
        <v>0</v>
      </c>
      <c r="BL71">
        <f>SUMIF(RecoveredRaw!$B:$B,$A71,RecoveredRaw!BO:BO)</f>
        <v>0</v>
      </c>
      <c r="BM71">
        <f>SUMIF(RecoveredRaw!$B:$B,$A71,RecoveredRaw!BP:BP)</f>
        <v>0</v>
      </c>
      <c r="BN71">
        <f>SUMIF(RecoveredRaw!$B:$B,$A71,RecoveredRaw!BQ:BQ)</f>
        <v>0</v>
      </c>
      <c r="BO71">
        <f>SUMIF(RecoveredRaw!$B:$B,$A71,RecoveredRaw!BR:BR)</f>
        <v>0</v>
      </c>
      <c r="BP71">
        <f>SUMIF(RecoveredRaw!$B:$B,$A71,RecoveredRaw!BS:BS)</f>
        <v>0</v>
      </c>
      <c r="BQ71">
        <f>SUMIF(RecoveredRaw!$B:$B,$A71,RecoveredRaw!BT:BT)</f>
        <v>0</v>
      </c>
      <c r="BR71">
        <f>SUMIF(RecoveredRaw!$B:$B,$A71,RecoveredRaw!BU:BU)</f>
        <v>0</v>
      </c>
      <c r="BS71">
        <f>SUMIF(RecoveredRaw!$B:$B,$A71,RecoveredRaw!BV:BV)</f>
        <v>0</v>
      </c>
      <c r="BT71">
        <f>SUMIF(RecoveredRaw!$B:$B,$A71,RecoveredRaw!BW:BW)</f>
        <v>0</v>
      </c>
    </row>
    <row r="72" spans="1:72" ht="15" thickBot="1" x14ac:dyDescent="0.35">
      <c r="A72" s="4" t="s">
        <v>111</v>
      </c>
      <c r="B72">
        <f>SUMIF(RecoveredRaw!$B:$B,$A72,RecoveredRaw!E:E)</f>
        <v>0</v>
      </c>
      <c r="C72">
        <f>SUMIF(RecoveredRaw!$B:$B,$A72,RecoveredRaw!F:F)</f>
        <v>0</v>
      </c>
      <c r="D72">
        <f>SUMIF(RecoveredRaw!$B:$B,$A72,RecoveredRaw!G:G)</f>
        <v>0</v>
      </c>
      <c r="E72">
        <f>SUMIF(RecoveredRaw!$B:$B,$A72,RecoveredRaw!H:H)</f>
        <v>0</v>
      </c>
      <c r="F72">
        <f>SUMIF(RecoveredRaw!$B:$B,$A72,RecoveredRaw!I:I)</f>
        <v>0</v>
      </c>
      <c r="G72">
        <f>SUMIF(RecoveredRaw!$B:$B,$A72,RecoveredRaw!J:J)</f>
        <v>0</v>
      </c>
      <c r="H72">
        <f>SUMIF(RecoveredRaw!$B:$B,$A72,RecoveredRaw!K:K)</f>
        <v>0</v>
      </c>
      <c r="I72">
        <f>SUMIF(RecoveredRaw!$B:$B,$A72,RecoveredRaw!L:L)</f>
        <v>0</v>
      </c>
      <c r="J72">
        <f>SUMIF(RecoveredRaw!$B:$B,$A72,RecoveredRaw!M:M)</f>
        <v>0</v>
      </c>
      <c r="K72">
        <f>SUMIF(RecoveredRaw!$B:$B,$A72,RecoveredRaw!N:N)</f>
        <v>0</v>
      </c>
      <c r="L72">
        <f>SUMIF(RecoveredRaw!$B:$B,$A72,RecoveredRaw!O:O)</f>
        <v>0</v>
      </c>
      <c r="M72">
        <f>SUMIF(RecoveredRaw!$B:$B,$A72,RecoveredRaw!P:P)</f>
        <v>0</v>
      </c>
      <c r="N72">
        <f>SUMIF(RecoveredRaw!$B:$B,$A72,RecoveredRaw!Q:Q)</f>
        <v>0</v>
      </c>
      <c r="O72">
        <f>SUMIF(RecoveredRaw!$B:$B,$A72,RecoveredRaw!R:R)</f>
        <v>0</v>
      </c>
      <c r="P72">
        <f>SUMIF(RecoveredRaw!$B:$B,$A72,RecoveredRaw!S:S)</f>
        <v>0</v>
      </c>
      <c r="Q72">
        <f>SUMIF(RecoveredRaw!$B:$B,$A72,RecoveredRaw!T:T)</f>
        <v>0</v>
      </c>
      <c r="R72">
        <f>SUMIF(RecoveredRaw!$B:$B,$A72,RecoveredRaw!U:U)</f>
        <v>0</v>
      </c>
      <c r="S72">
        <f>SUMIF(RecoveredRaw!$B:$B,$A72,RecoveredRaw!V:V)</f>
        <v>0</v>
      </c>
      <c r="T72">
        <f>SUMIF(RecoveredRaw!$B:$B,$A72,RecoveredRaw!W:W)</f>
        <v>0</v>
      </c>
      <c r="U72">
        <f>SUMIF(RecoveredRaw!$B:$B,$A72,RecoveredRaw!X:X)</f>
        <v>0</v>
      </c>
      <c r="V72">
        <f>SUMIF(RecoveredRaw!$B:$B,$A72,RecoveredRaw!Y:Y)</f>
        <v>0</v>
      </c>
      <c r="W72">
        <f>SUMIF(RecoveredRaw!$B:$B,$A72,RecoveredRaw!Z:Z)</f>
        <v>0</v>
      </c>
      <c r="X72">
        <f>SUMIF(RecoveredRaw!$B:$B,$A72,RecoveredRaw!AA:AA)</f>
        <v>0</v>
      </c>
      <c r="Y72">
        <f>SUMIF(RecoveredRaw!$B:$B,$A72,RecoveredRaw!AB:AB)</f>
        <v>0</v>
      </c>
      <c r="Z72">
        <f>SUMIF(RecoveredRaw!$B:$B,$A72,RecoveredRaw!AC:AC)</f>
        <v>0</v>
      </c>
      <c r="AA72">
        <f>SUMIF(RecoveredRaw!$B:$B,$A72,RecoveredRaw!AD:AD)</f>
        <v>0</v>
      </c>
      <c r="AB72">
        <f>SUMIF(RecoveredRaw!$B:$B,$A72,RecoveredRaw!AE:AE)</f>
        <v>0</v>
      </c>
      <c r="AC72">
        <f>SUMIF(RecoveredRaw!$B:$B,$A72,RecoveredRaw!AF:AF)</f>
        <v>0</v>
      </c>
      <c r="AD72">
        <f>SUMIF(RecoveredRaw!$B:$B,$A72,RecoveredRaw!AG:AG)</f>
        <v>0</v>
      </c>
      <c r="AE72">
        <f>SUMIF(RecoveredRaw!$B:$B,$A72,RecoveredRaw!AH:AH)</f>
        <v>0</v>
      </c>
      <c r="AF72">
        <f>SUMIF(RecoveredRaw!$B:$B,$A72,RecoveredRaw!AI:AI)</f>
        <v>0</v>
      </c>
      <c r="AG72">
        <f>SUMIF(RecoveredRaw!$B:$B,$A72,RecoveredRaw!AJ:AJ)</f>
        <v>0</v>
      </c>
      <c r="AH72">
        <f>SUMIF(RecoveredRaw!$B:$B,$A72,RecoveredRaw!AK:AK)</f>
        <v>0</v>
      </c>
      <c r="AI72">
        <f>SUMIF(RecoveredRaw!$B:$B,$A72,RecoveredRaw!AL:AL)</f>
        <v>0</v>
      </c>
      <c r="AJ72">
        <f>SUMIF(RecoveredRaw!$B:$B,$A72,RecoveredRaw!AM:AM)</f>
        <v>0</v>
      </c>
      <c r="AK72">
        <f>SUMIF(RecoveredRaw!$B:$B,$A72,RecoveredRaw!AN:AN)</f>
        <v>0</v>
      </c>
      <c r="AL72">
        <f>SUMIF(RecoveredRaw!$B:$B,$A72,RecoveredRaw!AO:AO)</f>
        <v>0</v>
      </c>
      <c r="AM72">
        <f>SUMIF(RecoveredRaw!$B:$B,$A72,RecoveredRaw!AP:AP)</f>
        <v>0</v>
      </c>
      <c r="AN72">
        <f>SUMIF(RecoveredRaw!$B:$B,$A72,RecoveredRaw!AQ:AQ)</f>
        <v>0</v>
      </c>
      <c r="AO72">
        <f>SUMIF(RecoveredRaw!$B:$B,$A72,RecoveredRaw!AR:AR)</f>
        <v>0</v>
      </c>
      <c r="AP72">
        <f>SUMIF(RecoveredRaw!$B:$B,$A72,RecoveredRaw!AS:AS)</f>
        <v>0</v>
      </c>
      <c r="AQ72">
        <f>SUMIF(RecoveredRaw!$B:$B,$A72,RecoveredRaw!AT:AT)</f>
        <v>0</v>
      </c>
      <c r="AR72">
        <f>SUMIF(RecoveredRaw!$B:$B,$A72,RecoveredRaw!AU:AU)</f>
        <v>0</v>
      </c>
      <c r="AS72">
        <f>SUMIF(RecoveredRaw!$B:$B,$A72,RecoveredRaw!AV:AV)</f>
        <v>0</v>
      </c>
      <c r="AT72">
        <f>SUMIF(RecoveredRaw!$B:$B,$A72,RecoveredRaw!AW:AW)</f>
        <v>0</v>
      </c>
      <c r="AU72">
        <f>SUMIF(RecoveredRaw!$B:$B,$A72,RecoveredRaw!AX:AX)</f>
        <v>0</v>
      </c>
      <c r="AV72">
        <f>SUMIF(RecoveredRaw!$B:$B,$A72,RecoveredRaw!AY:AY)</f>
        <v>0</v>
      </c>
      <c r="AW72">
        <f>SUMIF(RecoveredRaw!$B:$B,$A72,RecoveredRaw!AZ:AZ)</f>
        <v>0</v>
      </c>
      <c r="AX72">
        <f>SUMIF(RecoveredRaw!$B:$B,$A72,RecoveredRaw!BA:BA)</f>
        <v>1</v>
      </c>
      <c r="AY72">
        <f>SUMIF(RecoveredRaw!$B:$B,$A72,RecoveredRaw!BB:BB)</f>
        <v>1</v>
      </c>
      <c r="AZ72">
        <f>SUMIF(RecoveredRaw!$B:$B,$A72,RecoveredRaw!BC:BC)</f>
        <v>1</v>
      </c>
      <c r="BA72">
        <f>SUMIF(RecoveredRaw!$B:$B,$A72,RecoveredRaw!BD:BD)</f>
        <v>1</v>
      </c>
      <c r="BB72">
        <f>SUMIF(RecoveredRaw!$B:$B,$A72,RecoveredRaw!BE:BE)</f>
        <v>1</v>
      </c>
      <c r="BC72">
        <f>SUMIF(RecoveredRaw!$B:$B,$A72,RecoveredRaw!BF:BF)</f>
        <v>1</v>
      </c>
      <c r="BD72">
        <f>SUMIF(RecoveredRaw!$B:$B,$A72,RecoveredRaw!BG:BG)</f>
        <v>1</v>
      </c>
      <c r="BE72">
        <f>SUMIF(RecoveredRaw!$B:$B,$A72,RecoveredRaw!BH:BH)</f>
        <v>1</v>
      </c>
      <c r="BF72">
        <f>SUMIF(RecoveredRaw!$B:$B,$A72,RecoveredRaw!BI:BI)</f>
        <v>1</v>
      </c>
      <c r="BG72">
        <f>SUMIF(RecoveredRaw!$B:$B,$A72,RecoveredRaw!BJ:BJ)</f>
        <v>1</v>
      </c>
      <c r="BH72">
        <f>SUMIF(RecoveredRaw!$B:$B,$A72,RecoveredRaw!BK:BK)</f>
        <v>1</v>
      </c>
      <c r="BI72">
        <f>SUMIF(RecoveredRaw!$B:$B,$A72,RecoveredRaw!BL:BL)</f>
        <v>0</v>
      </c>
      <c r="BJ72">
        <f>SUMIF(RecoveredRaw!$B:$B,$A72,RecoveredRaw!BM:BM)</f>
        <v>0</v>
      </c>
      <c r="BK72">
        <f>SUMIF(RecoveredRaw!$B:$B,$A72,RecoveredRaw!BN:BN)</f>
        <v>0</v>
      </c>
      <c r="BL72">
        <f>SUMIF(RecoveredRaw!$B:$B,$A72,RecoveredRaw!BO:BO)</f>
        <v>0</v>
      </c>
      <c r="BM72">
        <f>SUMIF(RecoveredRaw!$B:$B,$A72,RecoveredRaw!BP:BP)</f>
        <v>0</v>
      </c>
      <c r="BN72">
        <f>SUMIF(RecoveredRaw!$B:$B,$A72,RecoveredRaw!BQ:BQ)</f>
        <v>0</v>
      </c>
      <c r="BO72">
        <f>SUMIF(RecoveredRaw!$B:$B,$A72,RecoveredRaw!BR:BR)</f>
        <v>0</v>
      </c>
      <c r="BP72">
        <f>SUMIF(RecoveredRaw!$B:$B,$A72,RecoveredRaw!BS:BS)</f>
        <v>0</v>
      </c>
      <c r="BQ72">
        <f>SUMIF(RecoveredRaw!$B:$B,$A72,RecoveredRaw!BT:BT)</f>
        <v>0</v>
      </c>
      <c r="BR72">
        <f>SUMIF(RecoveredRaw!$B:$B,$A72,RecoveredRaw!BU:BU)</f>
        <v>0</v>
      </c>
      <c r="BS72">
        <f>SUMIF(RecoveredRaw!$B:$B,$A72,RecoveredRaw!BV:BV)</f>
        <v>0</v>
      </c>
      <c r="BT72">
        <f>SUMIF(RecoveredRaw!$B:$B,$A72,RecoveredRaw!BW:BW)</f>
        <v>0</v>
      </c>
    </row>
    <row r="73" spans="1:72" ht="15" thickBot="1" x14ac:dyDescent="0.35">
      <c r="A73" s="4" t="s">
        <v>138</v>
      </c>
      <c r="B73">
        <f>SUMIF(RecoveredRaw!$B:$B,$A73,RecoveredRaw!E:E)</f>
        <v>0</v>
      </c>
      <c r="C73">
        <f>SUMIF(RecoveredRaw!$B:$B,$A73,RecoveredRaw!F:F)</f>
        <v>0</v>
      </c>
      <c r="D73">
        <f>SUMIF(RecoveredRaw!$B:$B,$A73,RecoveredRaw!G:G)</f>
        <v>0</v>
      </c>
      <c r="E73">
        <f>SUMIF(RecoveredRaw!$B:$B,$A73,RecoveredRaw!H:H)</f>
        <v>0</v>
      </c>
      <c r="F73">
        <f>SUMIF(RecoveredRaw!$B:$B,$A73,RecoveredRaw!I:I)</f>
        <v>0</v>
      </c>
      <c r="G73">
        <f>SUMIF(RecoveredRaw!$B:$B,$A73,RecoveredRaw!J:J)</f>
        <v>0</v>
      </c>
      <c r="H73">
        <f>SUMIF(RecoveredRaw!$B:$B,$A73,RecoveredRaw!K:K)</f>
        <v>0</v>
      </c>
      <c r="I73">
        <f>SUMIF(RecoveredRaw!$B:$B,$A73,RecoveredRaw!L:L)</f>
        <v>0</v>
      </c>
      <c r="J73">
        <f>SUMIF(RecoveredRaw!$B:$B,$A73,RecoveredRaw!M:M)</f>
        <v>0</v>
      </c>
      <c r="K73">
        <f>SUMIF(RecoveredRaw!$B:$B,$A73,RecoveredRaw!N:N)</f>
        <v>0</v>
      </c>
      <c r="L73">
        <f>SUMIF(RecoveredRaw!$B:$B,$A73,RecoveredRaw!O:O)</f>
        <v>0</v>
      </c>
      <c r="M73">
        <f>SUMIF(RecoveredRaw!$B:$B,$A73,RecoveredRaw!P:P)</f>
        <v>0</v>
      </c>
      <c r="N73">
        <f>SUMIF(RecoveredRaw!$B:$B,$A73,RecoveredRaw!Q:Q)</f>
        <v>0</v>
      </c>
      <c r="O73">
        <f>SUMIF(RecoveredRaw!$B:$B,$A73,RecoveredRaw!R:R)</f>
        <v>0</v>
      </c>
      <c r="P73">
        <f>SUMIF(RecoveredRaw!$B:$B,$A73,RecoveredRaw!S:S)</f>
        <v>0</v>
      </c>
      <c r="Q73">
        <f>SUMIF(RecoveredRaw!$B:$B,$A73,RecoveredRaw!T:T)</f>
        <v>0</v>
      </c>
      <c r="R73">
        <f>SUMIF(RecoveredRaw!$B:$B,$A73,RecoveredRaw!U:U)</f>
        <v>0</v>
      </c>
      <c r="S73">
        <f>SUMIF(RecoveredRaw!$B:$B,$A73,RecoveredRaw!V:V)</f>
        <v>0</v>
      </c>
      <c r="T73">
        <f>SUMIF(RecoveredRaw!$B:$B,$A73,RecoveredRaw!W:W)</f>
        <v>0</v>
      </c>
      <c r="U73">
        <f>SUMIF(RecoveredRaw!$B:$B,$A73,RecoveredRaw!X:X)</f>
        <v>0</v>
      </c>
      <c r="V73">
        <f>SUMIF(RecoveredRaw!$B:$B,$A73,RecoveredRaw!Y:Y)</f>
        <v>0</v>
      </c>
      <c r="W73">
        <f>SUMIF(RecoveredRaw!$B:$B,$A73,RecoveredRaw!Z:Z)</f>
        <v>0</v>
      </c>
      <c r="X73">
        <f>SUMIF(RecoveredRaw!$B:$B,$A73,RecoveredRaw!AA:AA)</f>
        <v>0</v>
      </c>
      <c r="Y73">
        <f>SUMIF(RecoveredRaw!$B:$B,$A73,RecoveredRaw!AB:AB)</f>
        <v>0</v>
      </c>
      <c r="Z73">
        <f>SUMIF(RecoveredRaw!$B:$B,$A73,RecoveredRaw!AC:AC)</f>
        <v>0</v>
      </c>
      <c r="AA73">
        <f>SUMIF(RecoveredRaw!$B:$B,$A73,RecoveredRaw!AD:AD)</f>
        <v>0</v>
      </c>
      <c r="AB73">
        <f>SUMIF(RecoveredRaw!$B:$B,$A73,RecoveredRaw!AE:AE)</f>
        <v>0</v>
      </c>
      <c r="AC73">
        <f>SUMIF(RecoveredRaw!$B:$B,$A73,RecoveredRaw!AF:AF)</f>
        <v>0</v>
      </c>
      <c r="AD73">
        <f>SUMIF(RecoveredRaw!$B:$B,$A73,RecoveredRaw!AG:AG)</f>
        <v>0</v>
      </c>
      <c r="AE73">
        <f>SUMIF(RecoveredRaw!$B:$B,$A73,RecoveredRaw!AH:AH)</f>
        <v>0</v>
      </c>
      <c r="AF73">
        <f>SUMIF(RecoveredRaw!$B:$B,$A73,RecoveredRaw!AI:AI)</f>
        <v>0</v>
      </c>
      <c r="AG73">
        <f>SUMIF(RecoveredRaw!$B:$B,$A73,RecoveredRaw!AJ:AJ)</f>
        <v>0</v>
      </c>
      <c r="AH73">
        <f>SUMIF(RecoveredRaw!$B:$B,$A73,RecoveredRaw!AK:AK)</f>
        <v>0</v>
      </c>
      <c r="AI73">
        <f>SUMIF(RecoveredRaw!$B:$B,$A73,RecoveredRaw!AL:AL)</f>
        <v>0</v>
      </c>
      <c r="AJ73">
        <f>SUMIF(RecoveredRaw!$B:$B,$A73,RecoveredRaw!AM:AM)</f>
        <v>0</v>
      </c>
      <c r="AK73">
        <f>SUMIF(RecoveredRaw!$B:$B,$A73,RecoveredRaw!AN:AN)</f>
        <v>0</v>
      </c>
      <c r="AL73">
        <f>SUMIF(RecoveredRaw!$B:$B,$A73,RecoveredRaw!AO:AO)</f>
        <v>0</v>
      </c>
      <c r="AM73">
        <f>SUMIF(RecoveredRaw!$B:$B,$A73,RecoveredRaw!AP:AP)</f>
        <v>0</v>
      </c>
      <c r="AN73">
        <f>SUMIF(RecoveredRaw!$B:$B,$A73,RecoveredRaw!AQ:AQ)</f>
        <v>0</v>
      </c>
      <c r="AO73">
        <f>SUMIF(RecoveredRaw!$B:$B,$A73,RecoveredRaw!AR:AR)</f>
        <v>0</v>
      </c>
      <c r="AP73">
        <f>SUMIF(RecoveredRaw!$B:$B,$A73,RecoveredRaw!AS:AS)</f>
        <v>0</v>
      </c>
      <c r="AQ73">
        <f>SUMIF(RecoveredRaw!$B:$B,$A73,RecoveredRaw!AT:AT)</f>
        <v>0</v>
      </c>
      <c r="AR73">
        <f>SUMIF(RecoveredRaw!$B:$B,$A73,RecoveredRaw!AU:AU)</f>
        <v>0</v>
      </c>
      <c r="AS73">
        <f>SUMIF(RecoveredRaw!$B:$B,$A73,RecoveredRaw!AV:AV)</f>
        <v>0</v>
      </c>
      <c r="AT73">
        <f>SUMIF(RecoveredRaw!$B:$B,$A73,RecoveredRaw!AW:AW)</f>
        <v>0</v>
      </c>
      <c r="AU73">
        <f>SUMIF(RecoveredRaw!$B:$B,$A73,RecoveredRaw!AX:AX)</f>
        <v>0</v>
      </c>
      <c r="AV73">
        <f>SUMIF(RecoveredRaw!$B:$B,$A73,RecoveredRaw!AY:AY)</f>
        <v>0</v>
      </c>
      <c r="AW73">
        <f>SUMIF(RecoveredRaw!$B:$B,$A73,RecoveredRaw!AZ:AZ)</f>
        <v>0</v>
      </c>
      <c r="AX73">
        <f>SUMIF(RecoveredRaw!$B:$B,$A73,RecoveredRaw!BA:BA)</f>
        <v>0</v>
      </c>
      <c r="AY73">
        <f>SUMIF(RecoveredRaw!$B:$B,$A73,RecoveredRaw!BB:BB)</f>
        <v>0</v>
      </c>
      <c r="AZ73">
        <f>SUMIF(RecoveredRaw!$B:$B,$A73,RecoveredRaw!BC:BC)</f>
        <v>0</v>
      </c>
      <c r="BA73">
        <f>SUMIF(RecoveredRaw!$B:$B,$A73,RecoveredRaw!BD:BD)</f>
        <v>0</v>
      </c>
      <c r="BB73">
        <f>SUMIF(RecoveredRaw!$B:$B,$A73,RecoveredRaw!BE:BE)</f>
        <v>0</v>
      </c>
      <c r="BC73">
        <f>SUMIF(RecoveredRaw!$B:$B,$A73,RecoveredRaw!BF:BF)</f>
        <v>0</v>
      </c>
      <c r="BD73">
        <f>SUMIF(RecoveredRaw!$B:$B,$A73,RecoveredRaw!BG:BG)</f>
        <v>0</v>
      </c>
      <c r="BE73">
        <f>SUMIF(RecoveredRaw!$B:$B,$A73,RecoveredRaw!BH:BH)</f>
        <v>0</v>
      </c>
      <c r="BF73">
        <f>SUMIF(RecoveredRaw!$B:$B,$A73,RecoveredRaw!BI:BI)</f>
        <v>0</v>
      </c>
      <c r="BG73">
        <f>SUMIF(RecoveredRaw!$B:$B,$A73,RecoveredRaw!BJ:BJ)</f>
        <v>0</v>
      </c>
      <c r="BH73">
        <f>SUMIF(RecoveredRaw!$B:$B,$A73,RecoveredRaw!BK:BK)</f>
        <v>0</v>
      </c>
      <c r="BI73">
        <f>SUMIF(RecoveredRaw!$B:$B,$A73,RecoveredRaw!BL:BL)</f>
        <v>0</v>
      </c>
      <c r="BJ73">
        <f>SUMIF(RecoveredRaw!$B:$B,$A73,RecoveredRaw!BM:BM)</f>
        <v>0</v>
      </c>
      <c r="BK73">
        <f>SUMIF(RecoveredRaw!$B:$B,$A73,RecoveredRaw!BN:BN)</f>
        <v>0</v>
      </c>
      <c r="BL73">
        <f>SUMIF(RecoveredRaw!$B:$B,$A73,RecoveredRaw!BO:BO)</f>
        <v>0</v>
      </c>
      <c r="BM73">
        <f>SUMIF(RecoveredRaw!$B:$B,$A73,RecoveredRaw!BP:BP)</f>
        <v>0</v>
      </c>
      <c r="BN73">
        <f>SUMIF(RecoveredRaw!$B:$B,$A73,RecoveredRaw!BQ:BQ)</f>
        <v>0</v>
      </c>
      <c r="BO73">
        <f>SUMIF(RecoveredRaw!$B:$B,$A73,RecoveredRaw!BR:BR)</f>
        <v>0</v>
      </c>
      <c r="BP73">
        <f>SUMIF(RecoveredRaw!$B:$B,$A73,RecoveredRaw!BS:BS)</f>
        <v>0</v>
      </c>
      <c r="BQ73">
        <f>SUMIF(RecoveredRaw!$B:$B,$A73,RecoveredRaw!BT:BT)</f>
        <v>0</v>
      </c>
      <c r="BR73">
        <f>SUMIF(RecoveredRaw!$B:$B,$A73,RecoveredRaw!BU:BU)</f>
        <v>0</v>
      </c>
      <c r="BS73">
        <f>SUMIF(RecoveredRaw!$B:$B,$A73,RecoveredRaw!BV:BV)</f>
        <v>0</v>
      </c>
      <c r="BT73">
        <f>SUMIF(RecoveredRaw!$B:$B,$A73,RecoveredRaw!BW:BW)</f>
        <v>0</v>
      </c>
    </row>
    <row r="74" spans="1:72" ht="15" thickBot="1" x14ac:dyDescent="0.35">
      <c r="A74" s="3" t="s">
        <v>104</v>
      </c>
      <c r="B74">
        <f>SUMIF(RecoveredRaw!$B:$B,$A74,RecoveredRaw!E:E)</f>
        <v>0</v>
      </c>
      <c r="C74">
        <f>SUMIF(RecoveredRaw!$B:$B,$A74,RecoveredRaw!F:F)</f>
        <v>0</v>
      </c>
      <c r="D74">
        <f>SUMIF(RecoveredRaw!$B:$B,$A74,RecoveredRaw!G:G)</f>
        <v>0</v>
      </c>
      <c r="E74">
        <f>SUMIF(RecoveredRaw!$B:$B,$A74,RecoveredRaw!H:H)</f>
        <v>0</v>
      </c>
      <c r="F74">
        <f>SUMIF(RecoveredRaw!$B:$B,$A74,RecoveredRaw!I:I)</f>
        <v>0</v>
      </c>
      <c r="G74">
        <f>SUMIF(RecoveredRaw!$B:$B,$A74,RecoveredRaw!J:J)</f>
        <v>0</v>
      </c>
      <c r="H74">
        <f>SUMIF(RecoveredRaw!$B:$B,$A74,RecoveredRaw!K:K)</f>
        <v>0</v>
      </c>
      <c r="I74">
        <f>SUMIF(RecoveredRaw!$B:$B,$A74,RecoveredRaw!L:L)</f>
        <v>0</v>
      </c>
      <c r="J74">
        <f>SUMIF(RecoveredRaw!$B:$B,$A74,RecoveredRaw!M:M)</f>
        <v>0</v>
      </c>
      <c r="K74">
        <f>SUMIF(RecoveredRaw!$B:$B,$A74,RecoveredRaw!N:N)</f>
        <v>0</v>
      </c>
      <c r="L74">
        <f>SUMIF(RecoveredRaw!$B:$B,$A74,RecoveredRaw!O:O)</f>
        <v>0</v>
      </c>
      <c r="M74">
        <f>SUMIF(RecoveredRaw!$B:$B,$A74,RecoveredRaw!P:P)</f>
        <v>0</v>
      </c>
      <c r="N74">
        <f>SUMIF(RecoveredRaw!$B:$B,$A74,RecoveredRaw!Q:Q)</f>
        <v>0</v>
      </c>
      <c r="O74">
        <f>SUMIF(RecoveredRaw!$B:$B,$A74,RecoveredRaw!R:R)</f>
        <v>0</v>
      </c>
      <c r="P74">
        <f>SUMIF(RecoveredRaw!$B:$B,$A74,RecoveredRaw!S:S)</f>
        <v>0</v>
      </c>
      <c r="Q74">
        <f>SUMIF(RecoveredRaw!$B:$B,$A74,RecoveredRaw!T:T)</f>
        <v>0</v>
      </c>
      <c r="R74">
        <f>SUMIF(RecoveredRaw!$B:$B,$A74,RecoveredRaw!U:U)</f>
        <v>0</v>
      </c>
      <c r="S74">
        <f>SUMIF(RecoveredRaw!$B:$B,$A74,RecoveredRaw!V:V)</f>
        <v>0</v>
      </c>
      <c r="T74">
        <f>SUMIF(RecoveredRaw!$B:$B,$A74,RecoveredRaw!W:W)</f>
        <v>0</v>
      </c>
      <c r="U74">
        <f>SUMIF(RecoveredRaw!$B:$B,$A74,RecoveredRaw!X:X)</f>
        <v>0</v>
      </c>
      <c r="V74">
        <f>SUMIF(RecoveredRaw!$B:$B,$A74,RecoveredRaw!Y:Y)</f>
        <v>0</v>
      </c>
      <c r="W74">
        <f>SUMIF(RecoveredRaw!$B:$B,$A74,RecoveredRaw!Z:Z)</f>
        <v>0</v>
      </c>
      <c r="X74">
        <f>SUMIF(RecoveredRaw!$B:$B,$A74,RecoveredRaw!AA:AA)</f>
        <v>0</v>
      </c>
      <c r="Y74">
        <f>SUMIF(RecoveredRaw!$B:$B,$A74,RecoveredRaw!AB:AB)</f>
        <v>0</v>
      </c>
      <c r="Z74">
        <f>SUMIF(RecoveredRaw!$B:$B,$A74,RecoveredRaw!AC:AC)</f>
        <v>0</v>
      </c>
      <c r="AA74">
        <f>SUMIF(RecoveredRaw!$B:$B,$A74,RecoveredRaw!AD:AD)</f>
        <v>0</v>
      </c>
      <c r="AB74">
        <f>SUMIF(RecoveredRaw!$B:$B,$A74,RecoveredRaw!AE:AE)</f>
        <v>0</v>
      </c>
      <c r="AC74">
        <f>SUMIF(RecoveredRaw!$B:$B,$A74,RecoveredRaw!AF:AF)</f>
        <v>0</v>
      </c>
      <c r="AD74">
        <f>SUMIF(RecoveredRaw!$B:$B,$A74,RecoveredRaw!AG:AG)</f>
        <v>0</v>
      </c>
      <c r="AE74">
        <f>SUMIF(RecoveredRaw!$B:$B,$A74,RecoveredRaw!AH:AH)</f>
        <v>0</v>
      </c>
      <c r="AF74">
        <f>SUMIF(RecoveredRaw!$B:$B,$A74,RecoveredRaw!AI:AI)</f>
        <v>0</v>
      </c>
      <c r="AG74">
        <f>SUMIF(RecoveredRaw!$B:$B,$A74,RecoveredRaw!AJ:AJ)</f>
        <v>0</v>
      </c>
      <c r="AH74">
        <f>SUMIF(RecoveredRaw!$B:$B,$A74,RecoveredRaw!AK:AK)</f>
        <v>0</v>
      </c>
      <c r="AI74">
        <f>SUMIF(RecoveredRaw!$B:$B,$A74,RecoveredRaw!AL:AL)</f>
        <v>0</v>
      </c>
      <c r="AJ74">
        <f>SUMIF(RecoveredRaw!$B:$B,$A74,RecoveredRaw!AM:AM)</f>
        <v>0</v>
      </c>
      <c r="AK74">
        <f>SUMIF(RecoveredRaw!$B:$B,$A74,RecoveredRaw!AN:AN)</f>
        <v>0</v>
      </c>
      <c r="AL74">
        <f>SUMIF(RecoveredRaw!$B:$B,$A74,RecoveredRaw!AO:AO)</f>
        <v>0</v>
      </c>
      <c r="AM74">
        <f>SUMIF(RecoveredRaw!$B:$B,$A74,RecoveredRaw!AP:AP)</f>
        <v>0</v>
      </c>
      <c r="AN74">
        <f>SUMIF(RecoveredRaw!$B:$B,$A74,RecoveredRaw!AQ:AQ)</f>
        <v>0</v>
      </c>
      <c r="AO74">
        <f>SUMIF(RecoveredRaw!$B:$B,$A74,RecoveredRaw!AR:AR)</f>
        <v>0</v>
      </c>
      <c r="AP74">
        <f>SUMIF(RecoveredRaw!$B:$B,$A74,RecoveredRaw!AS:AS)</f>
        <v>0</v>
      </c>
      <c r="AQ74">
        <f>SUMIF(RecoveredRaw!$B:$B,$A74,RecoveredRaw!AT:AT)</f>
        <v>0</v>
      </c>
      <c r="AR74">
        <f>SUMIF(RecoveredRaw!$B:$B,$A74,RecoveredRaw!AU:AU)</f>
        <v>0</v>
      </c>
      <c r="AS74">
        <f>SUMIF(RecoveredRaw!$B:$B,$A74,RecoveredRaw!AV:AV)</f>
        <v>0</v>
      </c>
      <c r="AT74">
        <f>SUMIF(RecoveredRaw!$B:$B,$A74,RecoveredRaw!AW:AW)</f>
        <v>0</v>
      </c>
      <c r="AU74">
        <f>SUMIF(RecoveredRaw!$B:$B,$A74,RecoveredRaw!AX:AX)</f>
        <v>0</v>
      </c>
      <c r="AV74">
        <f>SUMIF(RecoveredRaw!$B:$B,$A74,RecoveredRaw!AY:AY)</f>
        <v>0</v>
      </c>
      <c r="AW74">
        <f>SUMIF(RecoveredRaw!$B:$B,$A74,RecoveredRaw!AZ:AZ)</f>
        <v>0</v>
      </c>
      <c r="AX74">
        <f>SUMIF(RecoveredRaw!$B:$B,$A74,RecoveredRaw!BA:BA)</f>
        <v>0</v>
      </c>
      <c r="AY74">
        <f>SUMIF(RecoveredRaw!$B:$B,$A74,RecoveredRaw!BB:BB)</f>
        <v>3</v>
      </c>
      <c r="AZ74">
        <f>SUMIF(RecoveredRaw!$B:$B,$A74,RecoveredRaw!BC:BC)</f>
        <v>3</v>
      </c>
      <c r="BA74">
        <f>SUMIF(RecoveredRaw!$B:$B,$A74,RecoveredRaw!BD:BD)</f>
        <v>3</v>
      </c>
      <c r="BB74">
        <f>SUMIF(RecoveredRaw!$B:$B,$A74,RecoveredRaw!BE:BE)</f>
        <v>3</v>
      </c>
      <c r="BC74">
        <f>SUMIF(RecoveredRaw!$B:$B,$A74,RecoveredRaw!BF:BF)</f>
        <v>6</v>
      </c>
      <c r="BD74">
        <f>SUMIF(RecoveredRaw!$B:$B,$A74,RecoveredRaw!BG:BG)</f>
        <v>6</v>
      </c>
      <c r="BE74">
        <f>SUMIF(RecoveredRaw!$B:$B,$A74,RecoveredRaw!BH:BH)</f>
        <v>6</v>
      </c>
      <c r="BF74">
        <f>SUMIF(RecoveredRaw!$B:$B,$A74,RecoveredRaw!BI:BI)</f>
        <v>6</v>
      </c>
      <c r="BG74">
        <f>SUMIF(RecoveredRaw!$B:$B,$A74,RecoveredRaw!BJ:BJ)</f>
        <v>6</v>
      </c>
      <c r="BH74">
        <f>SUMIF(RecoveredRaw!$B:$B,$A74,RecoveredRaw!BK:BK)</f>
        <v>6</v>
      </c>
      <c r="BI74">
        <f>SUMIF(RecoveredRaw!$B:$B,$A74,RecoveredRaw!BL:BL)</f>
        <v>0</v>
      </c>
      <c r="BJ74">
        <f>SUMIF(RecoveredRaw!$B:$B,$A74,RecoveredRaw!BM:BM)</f>
        <v>0</v>
      </c>
      <c r="BK74">
        <f>SUMIF(RecoveredRaw!$B:$B,$A74,RecoveredRaw!BN:BN)</f>
        <v>0</v>
      </c>
      <c r="BL74">
        <f>SUMIF(RecoveredRaw!$B:$B,$A74,RecoveredRaw!BO:BO)</f>
        <v>0</v>
      </c>
      <c r="BM74">
        <f>SUMIF(RecoveredRaw!$B:$B,$A74,RecoveredRaw!BP:BP)</f>
        <v>0</v>
      </c>
      <c r="BN74">
        <f>SUMIF(RecoveredRaw!$B:$B,$A74,RecoveredRaw!BQ:BQ)</f>
        <v>0</v>
      </c>
      <c r="BO74">
        <f>SUMIF(RecoveredRaw!$B:$B,$A74,RecoveredRaw!BR:BR)</f>
        <v>0</v>
      </c>
      <c r="BP74">
        <f>SUMIF(RecoveredRaw!$B:$B,$A74,RecoveredRaw!BS:BS)</f>
        <v>0</v>
      </c>
      <c r="BQ74">
        <f>SUMIF(RecoveredRaw!$B:$B,$A74,RecoveredRaw!BT:BT)</f>
        <v>0</v>
      </c>
      <c r="BR74">
        <f>SUMIF(RecoveredRaw!$B:$B,$A74,RecoveredRaw!BU:BU)</f>
        <v>0</v>
      </c>
      <c r="BS74">
        <f>SUMIF(RecoveredRaw!$B:$B,$A74,RecoveredRaw!BV:BV)</f>
        <v>0</v>
      </c>
      <c r="BT74">
        <f>SUMIF(RecoveredRaw!$B:$B,$A74,RecoveredRaw!BW:BW)</f>
        <v>0</v>
      </c>
    </row>
    <row r="75" spans="1:72" ht="15" thickBot="1" x14ac:dyDescent="0.35">
      <c r="A75" s="3" t="s">
        <v>231</v>
      </c>
      <c r="B75">
        <f>SUMIF(RecoveredRaw!$B:$B,$A75,RecoveredRaw!E:E)</f>
        <v>0</v>
      </c>
      <c r="C75">
        <f>SUMIF(RecoveredRaw!$B:$B,$A75,RecoveredRaw!F:F)</f>
        <v>0</v>
      </c>
      <c r="D75">
        <f>SUMIF(RecoveredRaw!$B:$B,$A75,RecoveredRaw!G:G)</f>
        <v>0</v>
      </c>
      <c r="E75">
        <f>SUMIF(RecoveredRaw!$B:$B,$A75,RecoveredRaw!H:H)</f>
        <v>0</v>
      </c>
      <c r="F75">
        <f>SUMIF(RecoveredRaw!$B:$B,$A75,RecoveredRaw!I:I)</f>
        <v>0</v>
      </c>
      <c r="G75">
        <f>SUMIF(RecoveredRaw!$B:$B,$A75,RecoveredRaw!J:J)</f>
        <v>0</v>
      </c>
      <c r="H75">
        <f>SUMIF(RecoveredRaw!$B:$B,$A75,RecoveredRaw!K:K)</f>
        <v>0</v>
      </c>
      <c r="I75">
        <f>SUMIF(RecoveredRaw!$B:$B,$A75,RecoveredRaw!L:L)</f>
        <v>0</v>
      </c>
      <c r="J75">
        <f>SUMIF(RecoveredRaw!$B:$B,$A75,RecoveredRaw!M:M)</f>
        <v>0</v>
      </c>
      <c r="K75">
        <f>SUMIF(RecoveredRaw!$B:$B,$A75,RecoveredRaw!N:N)</f>
        <v>0</v>
      </c>
      <c r="L75">
        <f>SUMIF(RecoveredRaw!$B:$B,$A75,RecoveredRaw!O:O)</f>
        <v>0</v>
      </c>
      <c r="M75">
        <f>SUMIF(RecoveredRaw!$B:$B,$A75,RecoveredRaw!P:P)</f>
        <v>0</v>
      </c>
      <c r="N75">
        <f>SUMIF(RecoveredRaw!$B:$B,$A75,RecoveredRaw!Q:Q)</f>
        <v>0</v>
      </c>
      <c r="O75">
        <f>SUMIF(RecoveredRaw!$B:$B,$A75,RecoveredRaw!R:R)</f>
        <v>0</v>
      </c>
      <c r="P75">
        <f>SUMIF(RecoveredRaw!$B:$B,$A75,RecoveredRaw!S:S)</f>
        <v>0</v>
      </c>
      <c r="Q75">
        <f>SUMIF(RecoveredRaw!$B:$B,$A75,RecoveredRaw!T:T)</f>
        <v>0</v>
      </c>
      <c r="R75">
        <f>SUMIF(RecoveredRaw!$B:$B,$A75,RecoveredRaw!U:U)</f>
        <v>0</v>
      </c>
      <c r="S75">
        <f>SUMIF(RecoveredRaw!$B:$B,$A75,RecoveredRaw!V:V)</f>
        <v>0</v>
      </c>
      <c r="T75">
        <f>SUMIF(RecoveredRaw!$B:$B,$A75,RecoveredRaw!W:W)</f>
        <v>0</v>
      </c>
      <c r="U75">
        <f>SUMIF(RecoveredRaw!$B:$B,$A75,RecoveredRaw!X:X)</f>
        <v>0</v>
      </c>
      <c r="V75">
        <f>SUMIF(RecoveredRaw!$B:$B,$A75,RecoveredRaw!Y:Y)</f>
        <v>0</v>
      </c>
      <c r="W75">
        <f>SUMIF(RecoveredRaw!$B:$B,$A75,RecoveredRaw!Z:Z)</f>
        <v>0</v>
      </c>
      <c r="X75">
        <f>SUMIF(RecoveredRaw!$B:$B,$A75,RecoveredRaw!AA:AA)</f>
        <v>0</v>
      </c>
      <c r="Y75">
        <f>SUMIF(RecoveredRaw!$B:$B,$A75,RecoveredRaw!AB:AB)</f>
        <v>0</v>
      </c>
      <c r="Z75">
        <f>SUMIF(RecoveredRaw!$B:$B,$A75,RecoveredRaw!AC:AC)</f>
        <v>0</v>
      </c>
      <c r="AA75">
        <f>SUMIF(RecoveredRaw!$B:$B,$A75,RecoveredRaw!AD:AD)</f>
        <v>0</v>
      </c>
      <c r="AB75">
        <f>SUMIF(RecoveredRaw!$B:$B,$A75,RecoveredRaw!AE:AE)</f>
        <v>0</v>
      </c>
      <c r="AC75">
        <f>SUMIF(RecoveredRaw!$B:$B,$A75,RecoveredRaw!AF:AF)</f>
        <v>0</v>
      </c>
      <c r="AD75">
        <f>SUMIF(RecoveredRaw!$B:$B,$A75,RecoveredRaw!AG:AG)</f>
        <v>0</v>
      </c>
      <c r="AE75">
        <f>SUMIF(RecoveredRaw!$B:$B,$A75,RecoveredRaw!AH:AH)</f>
        <v>0</v>
      </c>
      <c r="AF75">
        <f>SUMIF(RecoveredRaw!$B:$B,$A75,RecoveredRaw!AI:AI)</f>
        <v>0</v>
      </c>
      <c r="AG75">
        <f>SUMIF(RecoveredRaw!$B:$B,$A75,RecoveredRaw!AJ:AJ)</f>
        <v>0</v>
      </c>
      <c r="AH75">
        <f>SUMIF(RecoveredRaw!$B:$B,$A75,RecoveredRaw!AK:AK)</f>
        <v>0</v>
      </c>
      <c r="AI75">
        <f>SUMIF(RecoveredRaw!$B:$B,$A75,RecoveredRaw!AL:AL)</f>
        <v>0</v>
      </c>
      <c r="AJ75">
        <f>SUMIF(RecoveredRaw!$B:$B,$A75,RecoveredRaw!AM:AM)</f>
        <v>0</v>
      </c>
      <c r="AK75">
        <f>SUMIF(RecoveredRaw!$B:$B,$A75,RecoveredRaw!AN:AN)</f>
        <v>0</v>
      </c>
      <c r="AL75">
        <f>SUMIF(RecoveredRaw!$B:$B,$A75,RecoveredRaw!AO:AO)</f>
        <v>0</v>
      </c>
      <c r="AM75">
        <f>SUMIF(RecoveredRaw!$B:$B,$A75,RecoveredRaw!AP:AP)</f>
        <v>0</v>
      </c>
      <c r="AN75">
        <f>SUMIF(RecoveredRaw!$B:$B,$A75,RecoveredRaw!AQ:AQ)</f>
        <v>0</v>
      </c>
      <c r="AO75">
        <f>SUMIF(RecoveredRaw!$B:$B,$A75,RecoveredRaw!AR:AR)</f>
        <v>0</v>
      </c>
      <c r="AP75">
        <f>SUMIF(RecoveredRaw!$B:$B,$A75,RecoveredRaw!AS:AS)</f>
        <v>0</v>
      </c>
      <c r="AQ75">
        <f>SUMIF(RecoveredRaw!$B:$B,$A75,RecoveredRaw!AT:AT)</f>
        <v>0</v>
      </c>
      <c r="AR75">
        <f>SUMIF(RecoveredRaw!$B:$B,$A75,RecoveredRaw!AU:AU)</f>
        <v>0</v>
      </c>
      <c r="AS75">
        <f>SUMIF(RecoveredRaw!$B:$B,$A75,RecoveredRaw!AV:AV)</f>
        <v>0</v>
      </c>
      <c r="AT75">
        <f>SUMIF(RecoveredRaw!$B:$B,$A75,RecoveredRaw!AW:AW)</f>
        <v>0</v>
      </c>
      <c r="AU75">
        <f>SUMIF(RecoveredRaw!$B:$B,$A75,RecoveredRaw!AX:AX)</f>
        <v>0</v>
      </c>
      <c r="AV75">
        <f>SUMIF(RecoveredRaw!$B:$B,$A75,RecoveredRaw!AY:AY)</f>
        <v>0</v>
      </c>
      <c r="AW75">
        <f>SUMIF(RecoveredRaw!$B:$B,$A75,RecoveredRaw!AZ:AZ)</f>
        <v>0</v>
      </c>
      <c r="AX75">
        <f>SUMIF(RecoveredRaw!$B:$B,$A75,RecoveredRaw!BA:BA)</f>
        <v>0</v>
      </c>
      <c r="AY75">
        <f>SUMIF(RecoveredRaw!$B:$B,$A75,RecoveredRaw!BB:BB)</f>
        <v>0</v>
      </c>
      <c r="AZ75">
        <f>SUMIF(RecoveredRaw!$B:$B,$A75,RecoveredRaw!BC:BC)</f>
        <v>0</v>
      </c>
      <c r="BA75">
        <f>SUMIF(RecoveredRaw!$B:$B,$A75,RecoveredRaw!BD:BD)</f>
        <v>0</v>
      </c>
      <c r="BB75">
        <f>SUMIF(RecoveredRaw!$B:$B,$A75,RecoveredRaw!BE:BE)</f>
        <v>0</v>
      </c>
      <c r="BC75">
        <f>SUMIF(RecoveredRaw!$B:$B,$A75,RecoveredRaw!BF:BF)</f>
        <v>0</v>
      </c>
      <c r="BD75">
        <f>SUMIF(RecoveredRaw!$B:$B,$A75,RecoveredRaw!BG:BG)</f>
        <v>0</v>
      </c>
      <c r="BE75">
        <f>SUMIF(RecoveredRaw!$B:$B,$A75,RecoveredRaw!BH:BH)</f>
        <v>0</v>
      </c>
      <c r="BF75">
        <f>SUMIF(RecoveredRaw!$B:$B,$A75,RecoveredRaw!BI:BI)</f>
        <v>0</v>
      </c>
      <c r="BG75">
        <f>SUMIF(RecoveredRaw!$B:$B,$A75,RecoveredRaw!BJ:BJ)</f>
        <v>0</v>
      </c>
      <c r="BH75">
        <f>SUMIF(RecoveredRaw!$B:$B,$A75,RecoveredRaw!BK:BK)</f>
        <v>0</v>
      </c>
      <c r="BI75">
        <f>SUMIF(RecoveredRaw!$B:$B,$A75,RecoveredRaw!BL:BL)</f>
        <v>0</v>
      </c>
      <c r="BJ75">
        <f>SUMIF(RecoveredRaw!$B:$B,$A75,RecoveredRaw!BM:BM)</f>
        <v>0</v>
      </c>
      <c r="BK75">
        <f>SUMIF(RecoveredRaw!$B:$B,$A75,RecoveredRaw!BN:BN)</f>
        <v>0</v>
      </c>
      <c r="BL75">
        <f>SUMIF(RecoveredRaw!$B:$B,$A75,RecoveredRaw!BO:BO)</f>
        <v>0</v>
      </c>
      <c r="BM75">
        <f>SUMIF(RecoveredRaw!$B:$B,$A75,RecoveredRaw!BP:BP)</f>
        <v>0</v>
      </c>
      <c r="BN75">
        <f>SUMIF(RecoveredRaw!$B:$B,$A75,RecoveredRaw!BQ:BQ)</f>
        <v>0</v>
      </c>
      <c r="BO75">
        <f>SUMIF(RecoveredRaw!$B:$B,$A75,RecoveredRaw!BR:BR)</f>
        <v>0</v>
      </c>
      <c r="BP75">
        <f>SUMIF(RecoveredRaw!$B:$B,$A75,RecoveredRaw!BS:BS)</f>
        <v>0</v>
      </c>
      <c r="BQ75">
        <f>SUMIF(RecoveredRaw!$B:$B,$A75,RecoveredRaw!BT:BT)</f>
        <v>0</v>
      </c>
      <c r="BR75">
        <f>SUMIF(RecoveredRaw!$B:$B,$A75,RecoveredRaw!BU:BU)</f>
        <v>0</v>
      </c>
      <c r="BS75">
        <f>SUMIF(RecoveredRaw!$B:$B,$A75,RecoveredRaw!BV:BV)</f>
        <v>0</v>
      </c>
      <c r="BT75">
        <f>SUMIF(RecoveredRaw!$B:$B,$A75,RecoveredRaw!BW:BW)</f>
        <v>0</v>
      </c>
    </row>
    <row r="76" spans="1:72" ht="15" thickBot="1" x14ac:dyDescent="0.35">
      <c r="A76" s="3" t="s">
        <v>84</v>
      </c>
      <c r="B76">
        <f>SUMIF(RecoveredRaw!$B:$B,$A76,RecoveredRaw!E:E)</f>
        <v>0</v>
      </c>
      <c r="C76">
        <f>SUMIF(RecoveredRaw!$B:$B,$A76,RecoveredRaw!F:F)</f>
        <v>0</v>
      </c>
      <c r="D76">
        <f>SUMIF(RecoveredRaw!$B:$B,$A76,RecoveredRaw!G:G)</f>
        <v>0</v>
      </c>
      <c r="E76">
        <f>SUMIF(RecoveredRaw!$B:$B,$A76,RecoveredRaw!H:H)</f>
        <v>0</v>
      </c>
      <c r="F76">
        <f>SUMIF(RecoveredRaw!$B:$B,$A76,RecoveredRaw!I:I)</f>
        <v>0</v>
      </c>
      <c r="G76">
        <f>SUMIF(RecoveredRaw!$B:$B,$A76,RecoveredRaw!J:J)</f>
        <v>0</v>
      </c>
      <c r="H76">
        <f>SUMIF(RecoveredRaw!$B:$B,$A76,RecoveredRaw!K:K)</f>
        <v>0</v>
      </c>
      <c r="I76">
        <f>SUMIF(RecoveredRaw!$B:$B,$A76,RecoveredRaw!L:L)</f>
        <v>0</v>
      </c>
      <c r="J76">
        <f>SUMIF(RecoveredRaw!$B:$B,$A76,RecoveredRaw!M:M)</f>
        <v>0</v>
      </c>
      <c r="K76">
        <f>SUMIF(RecoveredRaw!$B:$B,$A76,RecoveredRaw!N:N)</f>
        <v>0</v>
      </c>
      <c r="L76">
        <f>SUMIF(RecoveredRaw!$B:$B,$A76,RecoveredRaw!O:O)</f>
        <v>0</v>
      </c>
      <c r="M76">
        <f>SUMIF(RecoveredRaw!$B:$B,$A76,RecoveredRaw!P:P)</f>
        <v>0</v>
      </c>
      <c r="N76">
        <f>SUMIF(RecoveredRaw!$B:$B,$A76,RecoveredRaw!Q:Q)</f>
        <v>0</v>
      </c>
      <c r="O76">
        <f>SUMIF(RecoveredRaw!$B:$B,$A76,RecoveredRaw!R:R)</f>
        <v>0</v>
      </c>
      <c r="P76">
        <f>SUMIF(RecoveredRaw!$B:$B,$A76,RecoveredRaw!S:S)</f>
        <v>0</v>
      </c>
      <c r="Q76">
        <f>SUMIF(RecoveredRaw!$B:$B,$A76,RecoveredRaw!T:T)</f>
        <v>0</v>
      </c>
      <c r="R76">
        <f>SUMIF(RecoveredRaw!$B:$B,$A76,RecoveredRaw!U:U)</f>
        <v>0</v>
      </c>
      <c r="S76">
        <f>SUMIF(RecoveredRaw!$B:$B,$A76,RecoveredRaw!V:V)</f>
        <v>0</v>
      </c>
      <c r="T76">
        <f>SUMIF(RecoveredRaw!$B:$B,$A76,RecoveredRaw!W:W)</f>
        <v>0</v>
      </c>
      <c r="U76">
        <f>SUMIF(RecoveredRaw!$B:$B,$A76,RecoveredRaw!X:X)</f>
        <v>0</v>
      </c>
      <c r="V76">
        <f>SUMIF(RecoveredRaw!$B:$B,$A76,RecoveredRaw!Y:Y)</f>
        <v>0</v>
      </c>
      <c r="W76">
        <f>SUMIF(RecoveredRaw!$B:$B,$A76,RecoveredRaw!Z:Z)</f>
        <v>0</v>
      </c>
      <c r="X76">
        <f>SUMIF(RecoveredRaw!$B:$B,$A76,RecoveredRaw!AA:AA)</f>
        <v>0</v>
      </c>
      <c r="Y76">
        <f>SUMIF(RecoveredRaw!$B:$B,$A76,RecoveredRaw!AB:AB)</f>
        <v>0</v>
      </c>
      <c r="Z76">
        <f>SUMIF(RecoveredRaw!$B:$B,$A76,RecoveredRaw!AC:AC)</f>
        <v>0</v>
      </c>
      <c r="AA76">
        <f>SUMIF(RecoveredRaw!$B:$B,$A76,RecoveredRaw!AD:AD)</f>
        <v>0</v>
      </c>
      <c r="AB76">
        <f>SUMIF(RecoveredRaw!$B:$B,$A76,RecoveredRaw!AE:AE)</f>
        <v>0</v>
      </c>
      <c r="AC76">
        <f>SUMIF(RecoveredRaw!$B:$B,$A76,RecoveredRaw!AF:AF)</f>
        <v>0</v>
      </c>
      <c r="AD76">
        <f>SUMIF(RecoveredRaw!$B:$B,$A76,RecoveredRaw!AG:AG)</f>
        <v>0</v>
      </c>
      <c r="AE76">
        <f>SUMIF(RecoveredRaw!$B:$B,$A76,RecoveredRaw!AH:AH)</f>
        <v>0</v>
      </c>
      <c r="AF76">
        <f>SUMIF(RecoveredRaw!$B:$B,$A76,RecoveredRaw!AI:AI)</f>
        <v>0</v>
      </c>
      <c r="AG76">
        <f>SUMIF(RecoveredRaw!$B:$B,$A76,RecoveredRaw!AJ:AJ)</f>
        <v>0</v>
      </c>
      <c r="AH76">
        <f>SUMIF(RecoveredRaw!$B:$B,$A76,RecoveredRaw!AK:AK)</f>
        <v>0</v>
      </c>
      <c r="AI76">
        <f>SUMIF(RecoveredRaw!$B:$B,$A76,RecoveredRaw!AL:AL)</f>
        <v>0</v>
      </c>
      <c r="AJ76">
        <f>SUMIF(RecoveredRaw!$B:$B,$A76,RecoveredRaw!AM:AM)</f>
        <v>0</v>
      </c>
      <c r="AK76">
        <f>SUMIF(RecoveredRaw!$B:$B,$A76,RecoveredRaw!AN:AN)</f>
        <v>0</v>
      </c>
      <c r="AL76">
        <f>SUMIF(RecoveredRaw!$B:$B,$A76,RecoveredRaw!AO:AO)</f>
        <v>0</v>
      </c>
      <c r="AM76">
        <f>SUMIF(RecoveredRaw!$B:$B,$A76,RecoveredRaw!AP:AP)</f>
        <v>0</v>
      </c>
      <c r="AN76">
        <f>SUMIF(RecoveredRaw!$B:$B,$A76,RecoveredRaw!AQ:AQ)</f>
        <v>0</v>
      </c>
      <c r="AO76">
        <f>SUMIF(RecoveredRaw!$B:$B,$A76,RecoveredRaw!AR:AR)</f>
        <v>0</v>
      </c>
      <c r="AP76">
        <f>SUMIF(RecoveredRaw!$B:$B,$A76,RecoveredRaw!AS:AS)</f>
        <v>0</v>
      </c>
      <c r="AQ76">
        <f>SUMIF(RecoveredRaw!$B:$B,$A76,RecoveredRaw!AT:AT)</f>
        <v>0</v>
      </c>
      <c r="AR76">
        <f>SUMIF(RecoveredRaw!$B:$B,$A76,RecoveredRaw!AU:AU)</f>
        <v>0</v>
      </c>
      <c r="AS76">
        <f>SUMIF(RecoveredRaw!$B:$B,$A76,RecoveredRaw!AV:AV)</f>
        <v>0</v>
      </c>
      <c r="AT76">
        <f>SUMIF(RecoveredRaw!$B:$B,$A76,RecoveredRaw!AW:AW)</f>
        <v>0</v>
      </c>
      <c r="AU76">
        <f>SUMIF(RecoveredRaw!$B:$B,$A76,RecoveredRaw!AX:AX)</f>
        <v>0</v>
      </c>
      <c r="AV76">
        <f>SUMIF(RecoveredRaw!$B:$B,$A76,RecoveredRaw!AY:AY)</f>
        <v>0</v>
      </c>
      <c r="AW76">
        <f>SUMIF(RecoveredRaw!$B:$B,$A76,RecoveredRaw!AZ:AZ)</f>
        <v>0</v>
      </c>
      <c r="AX76">
        <f>SUMIF(RecoveredRaw!$B:$B,$A76,RecoveredRaw!BA:BA)</f>
        <v>0</v>
      </c>
      <c r="AY76">
        <f>SUMIF(RecoveredRaw!$B:$B,$A76,RecoveredRaw!BB:BB)</f>
        <v>0</v>
      </c>
      <c r="AZ76">
        <f>SUMIF(RecoveredRaw!$B:$B,$A76,RecoveredRaw!BC:BC)</f>
        <v>0</v>
      </c>
      <c r="BA76">
        <f>SUMIF(RecoveredRaw!$B:$B,$A76,RecoveredRaw!BD:BD)</f>
        <v>1</v>
      </c>
      <c r="BB76">
        <f>SUMIF(RecoveredRaw!$B:$B,$A76,RecoveredRaw!BE:BE)</f>
        <v>1</v>
      </c>
      <c r="BC76">
        <f>SUMIF(RecoveredRaw!$B:$B,$A76,RecoveredRaw!BF:BF)</f>
        <v>1</v>
      </c>
      <c r="BD76">
        <f>SUMIF(RecoveredRaw!$B:$B,$A76,RecoveredRaw!BG:BG)</f>
        <v>1</v>
      </c>
      <c r="BE76">
        <f>SUMIF(RecoveredRaw!$B:$B,$A76,RecoveredRaw!BH:BH)</f>
        <v>1</v>
      </c>
      <c r="BF76">
        <f>SUMIF(RecoveredRaw!$B:$B,$A76,RecoveredRaw!BI:BI)</f>
        <v>1</v>
      </c>
      <c r="BG76">
        <f>SUMIF(RecoveredRaw!$B:$B,$A76,RecoveredRaw!BJ:BJ)</f>
        <v>1</v>
      </c>
      <c r="BH76">
        <f>SUMIF(RecoveredRaw!$B:$B,$A76,RecoveredRaw!BK:BK)</f>
        <v>1</v>
      </c>
      <c r="BI76">
        <f>SUMIF(RecoveredRaw!$B:$B,$A76,RecoveredRaw!BL:BL)</f>
        <v>0</v>
      </c>
      <c r="BJ76">
        <f>SUMIF(RecoveredRaw!$B:$B,$A76,RecoveredRaw!BM:BM)</f>
        <v>0</v>
      </c>
      <c r="BK76">
        <f>SUMIF(RecoveredRaw!$B:$B,$A76,RecoveredRaw!BN:BN)</f>
        <v>0</v>
      </c>
      <c r="BL76">
        <f>SUMIF(RecoveredRaw!$B:$B,$A76,RecoveredRaw!BO:BO)</f>
        <v>0</v>
      </c>
      <c r="BM76">
        <f>SUMIF(RecoveredRaw!$B:$B,$A76,RecoveredRaw!BP:BP)</f>
        <v>0</v>
      </c>
      <c r="BN76">
        <f>SUMIF(RecoveredRaw!$B:$B,$A76,RecoveredRaw!BQ:BQ)</f>
        <v>0</v>
      </c>
      <c r="BO76">
        <f>SUMIF(RecoveredRaw!$B:$B,$A76,RecoveredRaw!BR:BR)</f>
        <v>0</v>
      </c>
      <c r="BP76">
        <f>SUMIF(RecoveredRaw!$B:$B,$A76,RecoveredRaw!BS:BS)</f>
        <v>0</v>
      </c>
      <c r="BQ76">
        <f>SUMIF(RecoveredRaw!$B:$B,$A76,RecoveredRaw!BT:BT)</f>
        <v>0</v>
      </c>
      <c r="BR76">
        <f>SUMIF(RecoveredRaw!$B:$B,$A76,RecoveredRaw!BU:BU)</f>
        <v>0</v>
      </c>
      <c r="BS76">
        <f>SUMIF(RecoveredRaw!$B:$B,$A76,RecoveredRaw!BV:BV)</f>
        <v>0</v>
      </c>
      <c r="BT76">
        <f>SUMIF(RecoveredRaw!$B:$B,$A76,RecoveredRaw!BW:BW)</f>
        <v>0</v>
      </c>
    </row>
    <row r="77" spans="1:72" ht="15" thickBot="1" x14ac:dyDescent="0.35">
      <c r="A77" s="3" t="s">
        <v>140</v>
      </c>
      <c r="B77">
        <f>SUMIF(RecoveredRaw!$B:$B,$A77,RecoveredRaw!E:E)</f>
        <v>0</v>
      </c>
      <c r="C77">
        <f>SUMIF(RecoveredRaw!$B:$B,$A77,RecoveredRaw!F:F)</f>
        <v>0</v>
      </c>
      <c r="D77">
        <f>SUMIF(RecoveredRaw!$B:$B,$A77,RecoveredRaw!G:G)</f>
        <v>0</v>
      </c>
      <c r="E77">
        <f>SUMIF(RecoveredRaw!$B:$B,$A77,RecoveredRaw!H:H)</f>
        <v>0</v>
      </c>
      <c r="F77">
        <f>SUMIF(RecoveredRaw!$B:$B,$A77,RecoveredRaw!I:I)</f>
        <v>0</v>
      </c>
      <c r="G77">
        <f>SUMIF(RecoveredRaw!$B:$B,$A77,RecoveredRaw!J:J)</f>
        <v>0</v>
      </c>
      <c r="H77">
        <f>SUMIF(RecoveredRaw!$B:$B,$A77,RecoveredRaw!K:K)</f>
        <v>0</v>
      </c>
      <c r="I77">
        <f>SUMIF(RecoveredRaw!$B:$B,$A77,RecoveredRaw!L:L)</f>
        <v>0</v>
      </c>
      <c r="J77">
        <f>SUMIF(RecoveredRaw!$B:$B,$A77,RecoveredRaw!M:M)</f>
        <v>0</v>
      </c>
      <c r="K77">
        <f>SUMIF(RecoveredRaw!$B:$B,$A77,RecoveredRaw!N:N)</f>
        <v>0</v>
      </c>
      <c r="L77">
        <f>SUMIF(RecoveredRaw!$B:$B,$A77,RecoveredRaw!O:O)</f>
        <v>0</v>
      </c>
      <c r="M77">
        <f>SUMIF(RecoveredRaw!$B:$B,$A77,RecoveredRaw!P:P)</f>
        <v>0</v>
      </c>
      <c r="N77">
        <f>SUMIF(RecoveredRaw!$B:$B,$A77,RecoveredRaw!Q:Q)</f>
        <v>0</v>
      </c>
      <c r="O77">
        <f>SUMIF(RecoveredRaw!$B:$B,$A77,RecoveredRaw!R:R)</f>
        <v>0</v>
      </c>
      <c r="P77">
        <f>SUMIF(RecoveredRaw!$B:$B,$A77,RecoveredRaw!S:S)</f>
        <v>0</v>
      </c>
      <c r="Q77">
        <f>SUMIF(RecoveredRaw!$B:$B,$A77,RecoveredRaw!T:T)</f>
        <v>0</v>
      </c>
      <c r="R77">
        <f>SUMIF(RecoveredRaw!$B:$B,$A77,RecoveredRaw!U:U)</f>
        <v>0</v>
      </c>
      <c r="S77">
        <f>SUMIF(RecoveredRaw!$B:$B,$A77,RecoveredRaw!V:V)</f>
        <v>0</v>
      </c>
      <c r="T77">
        <f>SUMIF(RecoveredRaw!$B:$B,$A77,RecoveredRaw!W:W)</f>
        <v>0</v>
      </c>
      <c r="U77">
        <f>SUMIF(RecoveredRaw!$B:$B,$A77,RecoveredRaw!X:X)</f>
        <v>0</v>
      </c>
      <c r="V77">
        <f>SUMIF(RecoveredRaw!$B:$B,$A77,RecoveredRaw!Y:Y)</f>
        <v>0</v>
      </c>
      <c r="W77">
        <f>SUMIF(RecoveredRaw!$B:$B,$A77,RecoveredRaw!Z:Z)</f>
        <v>0</v>
      </c>
      <c r="X77">
        <f>SUMIF(RecoveredRaw!$B:$B,$A77,RecoveredRaw!AA:AA)</f>
        <v>0</v>
      </c>
      <c r="Y77">
        <f>SUMIF(RecoveredRaw!$B:$B,$A77,RecoveredRaw!AB:AB)</f>
        <v>0</v>
      </c>
      <c r="Z77">
        <f>SUMIF(RecoveredRaw!$B:$B,$A77,RecoveredRaw!AC:AC)</f>
        <v>0</v>
      </c>
      <c r="AA77">
        <f>SUMIF(RecoveredRaw!$B:$B,$A77,RecoveredRaw!AD:AD)</f>
        <v>0</v>
      </c>
      <c r="AB77">
        <f>SUMIF(RecoveredRaw!$B:$B,$A77,RecoveredRaw!AE:AE)</f>
        <v>0</v>
      </c>
      <c r="AC77">
        <f>SUMIF(RecoveredRaw!$B:$B,$A77,RecoveredRaw!AF:AF)</f>
        <v>0</v>
      </c>
      <c r="AD77">
        <f>SUMIF(RecoveredRaw!$B:$B,$A77,RecoveredRaw!AG:AG)</f>
        <v>0</v>
      </c>
      <c r="AE77">
        <f>SUMIF(RecoveredRaw!$B:$B,$A77,RecoveredRaw!AH:AH)</f>
        <v>0</v>
      </c>
      <c r="AF77">
        <f>SUMIF(RecoveredRaw!$B:$B,$A77,RecoveredRaw!AI:AI)</f>
        <v>0</v>
      </c>
      <c r="AG77">
        <f>SUMIF(RecoveredRaw!$B:$B,$A77,RecoveredRaw!AJ:AJ)</f>
        <v>0</v>
      </c>
      <c r="AH77">
        <f>SUMIF(RecoveredRaw!$B:$B,$A77,RecoveredRaw!AK:AK)</f>
        <v>0</v>
      </c>
      <c r="AI77">
        <f>SUMIF(RecoveredRaw!$B:$B,$A77,RecoveredRaw!AL:AL)</f>
        <v>0</v>
      </c>
      <c r="AJ77">
        <f>SUMIF(RecoveredRaw!$B:$B,$A77,RecoveredRaw!AM:AM)</f>
        <v>0</v>
      </c>
      <c r="AK77">
        <f>SUMIF(RecoveredRaw!$B:$B,$A77,RecoveredRaw!AN:AN)</f>
        <v>0</v>
      </c>
      <c r="AL77">
        <f>SUMIF(RecoveredRaw!$B:$B,$A77,RecoveredRaw!AO:AO)</f>
        <v>0</v>
      </c>
      <c r="AM77">
        <f>SUMIF(RecoveredRaw!$B:$B,$A77,RecoveredRaw!AP:AP)</f>
        <v>0</v>
      </c>
      <c r="AN77">
        <f>SUMIF(RecoveredRaw!$B:$B,$A77,RecoveredRaw!AQ:AQ)</f>
        <v>0</v>
      </c>
      <c r="AO77">
        <f>SUMIF(RecoveredRaw!$B:$B,$A77,RecoveredRaw!AR:AR)</f>
        <v>0</v>
      </c>
      <c r="AP77">
        <f>SUMIF(RecoveredRaw!$B:$B,$A77,RecoveredRaw!AS:AS)</f>
        <v>0</v>
      </c>
      <c r="AQ77">
        <f>SUMIF(RecoveredRaw!$B:$B,$A77,RecoveredRaw!AT:AT)</f>
        <v>0</v>
      </c>
      <c r="AR77">
        <f>SUMIF(RecoveredRaw!$B:$B,$A77,RecoveredRaw!AU:AU)</f>
        <v>0</v>
      </c>
      <c r="AS77">
        <f>SUMIF(RecoveredRaw!$B:$B,$A77,RecoveredRaw!AV:AV)</f>
        <v>0</v>
      </c>
      <c r="AT77">
        <f>SUMIF(RecoveredRaw!$B:$B,$A77,RecoveredRaw!AW:AW)</f>
        <v>0</v>
      </c>
      <c r="AU77">
        <f>SUMIF(RecoveredRaw!$B:$B,$A77,RecoveredRaw!AX:AX)</f>
        <v>0</v>
      </c>
      <c r="AV77">
        <f>SUMIF(RecoveredRaw!$B:$B,$A77,RecoveredRaw!AY:AY)</f>
        <v>0</v>
      </c>
      <c r="AW77">
        <f>SUMIF(RecoveredRaw!$B:$B,$A77,RecoveredRaw!AZ:AZ)</f>
        <v>0</v>
      </c>
      <c r="AX77">
        <f>SUMIF(RecoveredRaw!$B:$B,$A77,RecoveredRaw!BA:BA)</f>
        <v>0</v>
      </c>
      <c r="AY77">
        <f>SUMIF(RecoveredRaw!$B:$B,$A77,RecoveredRaw!BB:BB)</f>
        <v>0</v>
      </c>
      <c r="AZ77">
        <f>SUMIF(RecoveredRaw!$B:$B,$A77,RecoveredRaw!BC:BC)</f>
        <v>0</v>
      </c>
      <c r="BA77">
        <f>SUMIF(RecoveredRaw!$B:$B,$A77,RecoveredRaw!BD:BD)</f>
        <v>0</v>
      </c>
      <c r="BB77">
        <f>SUMIF(RecoveredRaw!$B:$B,$A77,RecoveredRaw!BE:BE)</f>
        <v>0</v>
      </c>
      <c r="BC77">
        <f>SUMIF(RecoveredRaw!$B:$B,$A77,RecoveredRaw!BF:BF)</f>
        <v>0</v>
      </c>
      <c r="BD77">
        <f>SUMIF(RecoveredRaw!$B:$B,$A77,RecoveredRaw!BG:BG)</f>
        <v>0</v>
      </c>
      <c r="BE77">
        <f>SUMIF(RecoveredRaw!$B:$B,$A77,RecoveredRaw!BH:BH)</f>
        <v>2</v>
      </c>
      <c r="BF77">
        <f>SUMIF(RecoveredRaw!$B:$B,$A77,RecoveredRaw!BI:BI)</f>
        <v>2</v>
      </c>
      <c r="BG77">
        <f>SUMIF(RecoveredRaw!$B:$B,$A77,RecoveredRaw!BJ:BJ)</f>
        <v>2</v>
      </c>
      <c r="BH77">
        <f>SUMIF(RecoveredRaw!$B:$B,$A77,RecoveredRaw!BK:BK)</f>
        <v>2</v>
      </c>
      <c r="BI77">
        <f>SUMIF(RecoveredRaw!$B:$B,$A77,RecoveredRaw!BL:BL)</f>
        <v>0</v>
      </c>
      <c r="BJ77">
        <f>SUMIF(RecoveredRaw!$B:$B,$A77,RecoveredRaw!BM:BM)</f>
        <v>0</v>
      </c>
      <c r="BK77">
        <f>SUMIF(RecoveredRaw!$B:$B,$A77,RecoveredRaw!BN:BN)</f>
        <v>0</v>
      </c>
      <c r="BL77">
        <f>SUMIF(RecoveredRaw!$B:$B,$A77,RecoveredRaw!BO:BO)</f>
        <v>0</v>
      </c>
      <c r="BM77">
        <f>SUMIF(RecoveredRaw!$B:$B,$A77,RecoveredRaw!BP:BP)</f>
        <v>0</v>
      </c>
      <c r="BN77">
        <f>SUMIF(RecoveredRaw!$B:$B,$A77,RecoveredRaw!BQ:BQ)</f>
        <v>0</v>
      </c>
      <c r="BO77">
        <f>SUMIF(RecoveredRaw!$B:$B,$A77,RecoveredRaw!BR:BR)</f>
        <v>0</v>
      </c>
      <c r="BP77">
        <f>SUMIF(RecoveredRaw!$B:$B,$A77,RecoveredRaw!BS:BS)</f>
        <v>0</v>
      </c>
      <c r="BQ77">
        <f>SUMIF(RecoveredRaw!$B:$B,$A77,RecoveredRaw!BT:BT)</f>
        <v>0</v>
      </c>
      <c r="BR77">
        <f>SUMIF(RecoveredRaw!$B:$B,$A77,RecoveredRaw!BU:BU)</f>
        <v>0</v>
      </c>
      <c r="BS77">
        <f>SUMIF(RecoveredRaw!$B:$B,$A77,RecoveredRaw!BV:BV)</f>
        <v>0</v>
      </c>
      <c r="BT77">
        <f>SUMIF(RecoveredRaw!$B:$B,$A77,RecoveredRaw!BW:BW)</f>
        <v>0</v>
      </c>
    </row>
    <row r="78" spans="1:72" ht="15" thickBot="1" x14ac:dyDescent="0.35">
      <c r="A78" s="4" t="s">
        <v>158</v>
      </c>
      <c r="B78">
        <f>SUMIF(RecoveredRaw!$B:$B,$A78,RecoveredRaw!E:E)</f>
        <v>0</v>
      </c>
      <c r="C78">
        <f>SUMIF(RecoveredRaw!$B:$B,$A78,RecoveredRaw!F:F)</f>
        <v>0</v>
      </c>
      <c r="D78">
        <f>SUMIF(RecoveredRaw!$B:$B,$A78,RecoveredRaw!G:G)</f>
        <v>0</v>
      </c>
      <c r="E78">
        <f>SUMIF(RecoveredRaw!$B:$B,$A78,RecoveredRaw!H:H)</f>
        <v>0</v>
      </c>
      <c r="F78">
        <f>SUMIF(RecoveredRaw!$B:$B,$A78,RecoveredRaw!I:I)</f>
        <v>0</v>
      </c>
      <c r="G78">
        <f>SUMIF(RecoveredRaw!$B:$B,$A78,RecoveredRaw!J:J)</f>
        <v>0</v>
      </c>
      <c r="H78">
        <f>SUMIF(RecoveredRaw!$B:$B,$A78,RecoveredRaw!K:K)</f>
        <v>0</v>
      </c>
      <c r="I78">
        <f>SUMIF(RecoveredRaw!$B:$B,$A78,RecoveredRaw!L:L)</f>
        <v>0</v>
      </c>
      <c r="J78">
        <f>SUMIF(RecoveredRaw!$B:$B,$A78,RecoveredRaw!M:M)</f>
        <v>0</v>
      </c>
      <c r="K78">
        <f>SUMIF(RecoveredRaw!$B:$B,$A78,RecoveredRaw!N:N)</f>
        <v>0</v>
      </c>
      <c r="L78">
        <f>SUMIF(RecoveredRaw!$B:$B,$A78,RecoveredRaw!O:O)</f>
        <v>0</v>
      </c>
      <c r="M78">
        <f>SUMIF(RecoveredRaw!$B:$B,$A78,RecoveredRaw!P:P)</f>
        <v>0</v>
      </c>
      <c r="N78">
        <f>SUMIF(RecoveredRaw!$B:$B,$A78,RecoveredRaw!Q:Q)</f>
        <v>0</v>
      </c>
      <c r="O78">
        <f>SUMIF(RecoveredRaw!$B:$B,$A78,RecoveredRaw!R:R)</f>
        <v>0</v>
      </c>
      <c r="P78">
        <f>SUMIF(RecoveredRaw!$B:$B,$A78,RecoveredRaw!S:S)</f>
        <v>0</v>
      </c>
      <c r="Q78">
        <f>SUMIF(RecoveredRaw!$B:$B,$A78,RecoveredRaw!T:T)</f>
        <v>0</v>
      </c>
      <c r="R78">
        <f>SUMIF(RecoveredRaw!$B:$B,$A78,RecoveredRaw!U:U)</f>
        <v>0</v>
      </c>
      <c r="S78">
        <f>SUMIF(RecoveredRaw!$B:$B,$A78,RecoveredRaw!V:V)</f>
        <v>0</v>
      </c>
      <c r="T78">
        <f>SUMIF(RecoveredRaw!$B:$B,$A78,RecoveredRaw!W:W)</f>
        <v>0</v>
      </c>
      <c r="U78">
        <f>SUMIF(RecoveredRaw!$B:$B,$A78,RecoveredRaw!X:X)</f>
        <v>0</v>
      </c>
      <c r="V78">
        <f>SUMIF(RecoveredRaw!$B:$B,$A78,RecoveredRaw!Y:Y)</f>
        <v>0</v>
      </c>
      <c r="W78">
        <f>SUMIF(RecoveredRaw!$B:$B,$A78,RecoveredRaw!Z:Z)</f>
        <v>0</v>
      </c>
      <c r="X78">
        <f>SUMIF(RecoveredRaw!$B:$B,$A78,RecoveredRaw!AA:AA)</f>
        <v>0</v>
      </c>
      <c r="Y78">
        <f>SUMIF(RecoveredRaw!$B:$B,$A78,RecoveredRaw!AB:AB)</f>
        <v>0</v>
      </c>
      <c r="Z78">
        <f>SUMIF(RecoveredRaw!$B:$B,$A78,RecoveredRaw!AC:AC)</f>
        <v>0</v>
      </c>
      <c r="AA78">
        <f>SUMIF(RecoveredRaw!$B:$B,$A78,RecoveredRaw!AD:AD)</f>
        <v>0</v>
      </c>
      <c r="AB78">
        <f>SUMIF(RecoveredRaw!$B:$B,$A78,RecoveredRaw!AE:AE)</f>
        <v>0</v>
      </c>
      <c r="AC78">
        <f>SUMIF(RecoveredRaw!$B:$B,$A78,RecoveredRaw!AF:AF)</f>
        <v>0</v>
      </c>
      <c r="AD78">
        <f>SUMIF(RecoveredRaw!$B:$B,$A78,RecoveredRaw!AG:AG)</f>
        <v>0</v>
      </c>
      <c r="AE78">
        <f>SUMIF(RecoveredRaw!$B:$B,$A78,RecoveredRaw!AH:AH)</f>
        <v>0</v>
      </c>
      <c r="AF78">
        <f>SUMIF(RecoveredRaw!$B:$B,$A78,RecoveredRaw!AI:AI)</f>
        <v>0</v>
      </c>
      <c r="AG78">
        <f>SUMIF(RecoveredRaw!$B:$B,$A78,RecoveredRaw!AJ:AJ)</f>
        <v>0</v>
      </c>
      <c r="AH78">
        <f>SUMIF(RecoveredRaw!$B:$B,$A78,RecoveredRaw!AK:AK)</f>
        <v>0</v>
      </c>
      <c r="AI78">
        <f>SUMIF(RecoveredRaw!$B:$B,$A78,RecoveredRaw!AL:AL)</f>
        <v>0</v>
      </c>
      <c r="AJ78">
        <f>SUMIF(RecoveredRaw!$B:$B,$A78,RecoveredRaw!AM:AM)</f>
        <v>0</v>
      </c>
      <c r="AK78">
        <f>SUMIF(RecoveredRaw!$B:$B,$A78,RecoveredRaw!AN:AN)</f>
        <v>0</v>
      </c>
      <c r="AL78">
        <f>SUMIF(RecoveredRaw!$B:$B,$A78,RecoveredRaw!AO:AO)</f>
        <v>0</v>
      </c>
      <c r="AM78">
        <f>SUMIF(RecoveredRaw!$B:$B,$A78,RecoveredRaw!AP:AP)</f>
        <v>0</v>
      </c>
      <c r="AN78">
        <f>SUMIF(RecoveredRaw!$B:$B,$A78,RecoveredRaw!AQ:AQ)</f>
        <v>0</v>
      </c>
      <c r="AO78">
        <f>SUMIF(RecoveredRaw!$B:$B,$A78,RecoveredRaw!AR:AR)</f>
        <v>0</v>
      </c>
      <c r="AP78">
        <f>SUMIF(RecoveredRaw!$B:$B,$A78,RecoveredRaw!AS:AS)</f>
        <v>0</v>
      </c>
      <c r="AQ78">
        <f>SUMIF(RecoveredRaw!$B:$B,$A78,RecoveredRaw!AT:AT)</f>
        <v>0</v>
      </c>
      <c r="AR78">
        <f>SUMIF(RecoveredRaw!$B:$B,$A78,RecoveredRaw!AU:AU)</f>
        <v>0</v>
      </c>
      <c r="AS78">
        <f>SUMIF(RecoveredRaw!$B:$B,$A78,RecoveredRaw!AV:AV)</f>
        <v>0</v>
      </c>
      <c r="AT78">
        <f>SUMIF(RecoveredRaw!$B:$B,$A78,RecoveredRaw!AW:AW)</f>
        <v>0</v>
      </c>
      <c r="AU78">
        <f>SUMIF(RecoveredRaw!$B:$B,$A78,RecoveredRaw!AX:AX)</f>
        <v>0</v>
      </c>
      <c r="AV78">
        <f>SUMIF(RecoveredRaw!$B:$B,$A78,RecoveredRaw!AY:AY)</f>
        <v>0</v>
      </c>
      <c r="AW78">
        <f>SUMIF(RecoveredRaw!$B:$B,$A78,RecoveredRaw!AZ:AZ)</f>
        <v>0</v>
      </c>
      <c r="AX78">
        <f>SUMIF(RecoveredRaw!$B:$B,$A78,RecoveredRaw!BA:BA)</f>
        <v>0</v>
      </c>
      <c r="AY78">
        <f>SUMIF(RecoveredRaw!$B:$B,$A78,RecoveredRaw!BB:BB)</f>
        <v>0</v>
      </c>
      <c r="AZ78">
        <f>SUMIF(RecoveredRaw!$B:$B,$A78,RecoveredRaw!BC:BC)</f>
        <v>0</v>
      </c>
      <c r="BA78">
        <f>SUMIF(RecoveredRaw!$B:$B,$A78,RecoveredRaw!BD:BD)</f>
        <v>0</v>
      </c>
      <c r="BB78">
        <f>SUMIF(RecoveredRaw!$B:$B,$A78,RecoveredRaw!BE:BE)</f>
        <v>0</v>
      </c>
      <c r="BC78">
        <f>SUMIF(RecoveredRaw!$B:$B,$A78,RecoveredRaw!BF:BF)</f>
        <v>0</v>
      </c>
      <c r="BD78">
        <f>SUMIF(RecoveredRaw!$B:$B,$A78,RecoveredRaw!BG:BG)</f>
        <v>0</v>
      </c>
      <c r="BE78">
        <f>SUMIF(RecoveredRaw!$B:$B,$A78,RecoveredRaw!BH:BH)</f>
        <v>1</v>
      </c>
      <c r="BF78">
        <f>SUMIF(RecoveredRaw!$B:$B,$A78,RecoveredRaw!BI:BI)</f>
        <v>1</v>
      </c>
      <c r="BG78">
        <f>SUMIF(RecoveredRaw!$B:$B,$A78,RecoveredRaw!BJ:BJ)</f>
        <v>1</v>
      </c>
      <c r="BH78">
        <f>SUMIF(RecoveredRaw!$B:$B,$A78,RecoveredRaw!BK:BK)</f>
        <v>1</v>
      </c>
      <c r="BI78">
        <f>SUMIF(RecoveredRaw!$B:$B,$A78,RecoveredRaw!BL:BL)</f>
        <v>0</v>
      </c>
      <c r="BJ78">
        <f>SUMIF(RecoveredRaw!$B:$B,$A78,RecoveredRaw!BM:BM)</f>
        <v>0</v>
      </c>
      <c r="BK78">
        <f>SUMIF(RecoveredRaw!$B:$B,$A78,RecoveredRaw!BN:BN)</f>
        <v>0</v>
      </c>
      <c r="BL78">
        <f>SUMIF(RecoveredRaw!$B:$B,$A78,RecoveredRaw!BO:BO)</f>
        <v>0</v>
      </c>
      <c r="BM78">
        <f>SUMIF(RecoveredRaw!$B:$B,$A78,RecoveredRaw!BP:BP)</f>
        <v>0</v>
      </c>
      <c r="BN78">
        <f>SUMIF(RecoveredRaw!$B:$B,$A78,RecoveredRaw!BQ:BQ)</f>
        <v>0</v>
      </c>
      <c r="BO78">
        <f>SUMIF(RecoveredRaw!$B:$B,$A78,RecoveredRaw!BR:BR)</f>
        <v>0</v>
      </c>
      <c r="BP78">
        <f>SUMIF(RecoveredRaw!$B:$B,$A78,RecoveredRaw!BS:BS)</f>
        <v>0</v>
      </c>
      <c r="BQ78">
        <f>SUMIF(RecoveredRaw!$B:$B,$A78,RecoveredRaw!BT:BT)</f>
        <v>0</v>
      </c>
      <c r="BR78">
        <f>SUMIF(RecoveredRaw!$B:$B,$A78,RecoveredRaw!BU:BU)</f>
        <v>0</v>
      </c>
      <c r="BS78">
        <f>SUMIF(RecoveredRaw!$B:$B,$A78,RecoveredRaw!BV:BV)</f>
        <v>0</v>
      </c>
      <c r="BT78">
        <f>SUMIF(RecoveredRaw!$B:$B,$A78,RecoveredRaw!BW:BW)</f>
        <v>0</v>
      </c>
    </row>
    <row r="79" spans="1:72" ht="15" thickBot="1" x14ac:dyDescent="0.35">
      <c r="A79" s="3" t="s">
        <v>177</v>
      </c>
      <c r="B79">
        <f>SUMIF(RecoveredRaw!$B:$B,$A79,RecoveredRaw!E:E)</f>
        <v>0</v>
      </c>
      <c r="C79">
        <f>SUMIF(RecoveredRaw!$B:$B,$A79,RecoveredRaw!F:F)</f>
        <v>0</v>
      </c>
      <c r="D79">
        <f>SUMIF(RecoveredRaw!$B:$B,$A79,RecoveredRaw!G:G)</f>
        <v>0</v>
      </c>
      <c r="E79">
        <f>SUMIF(RecoveredRaw!$B:$B,$A79,RecoveredRaw!H:H)</f>
        <v>0</v>
      </c>
      <c r="F79">
        <f>SUMIF(RecoveredRaw!$B:$B,$A79,RecoveredRaw!I:I)</f>
        <v>0</v>
      </c>
      <c r="G79">
        <f>SUMIF(RecoveredRaw!$B:$B,$A79,RecoveredRaw!J:J)</f>
        <v>0</v>
      </c>
      <c r="H79">
        <f>SUMIF(RecoveredRaw!$B:$B,$A79,RecoveredRaw!K:K)</f>
        <v>0</v>
      </c>
      <c r="I79">
        <f>SUMIF(RecoveredRaw!$B:$B,$A79,RecoveredRaw!L:L)</f>
        <v>0</v>
      </c>
      <c r="J79">
        <f>SUMIF(RecoveredRaw!$B:$B,$A79,RecoveredRaw!M:M)</f>
        <v>0</v>
      </c>
      <c r="K79">
        <f>SUMIF(RecoveredRaw!$B:$B,$A79,RecoveredRaw!N:N)</f>
        <v>0</v>
      </c>
      <c r="L79">
        <f>SUMIF(RecoveredRaw!$B:$B,$A79,RecoveredRaw!O:O)</f>
        <v>0</v>
      </c>
      <c r="M79">
        <f>SUMIF(RecoveredRaw!$B:$B,$A79,RecoveredRaw!P:P)</f>
        <v>0</v>
      </c>
      <c r="N79">
        <f>SUMIF(RecoveredRaw!$B:$B,$A79,RecoveredRaw!Q:Q)</f>
        <v>0</v>
      </c>
      <c r="O79">
        <f>SUMIF(RecoveredRaw!$B:$B,$A79,RecoveredRaw!R:R)</f>
        <v>0</v>
      </c>
      <c r="P79">
        <f>SUMIF(RecoveredRaw!$B:$B,$A79,RecoveredRaw!S:S)</f>
        <v>0</v>
      </c>
      <c r="Q79">
        <f>SUMIF(RecoveredRaw!$B:$B,$A79,RecoveredRaw!T:T)</f>
        <v>0</v>
      </c>
      <c r="R79">
        <f>SUMIF(RecoveredRaw!$B:$B,$A79,RecoveredRaw!U:U)</f>
        <v>0</v>
      </c>
      <c r="S79">
        <f>SUMIF(RecoveredRaw!$B:$B,$A79,RecoveredRaw!V:V)</f>
        <v>0</v>
      </c>
      <c r="T79">
        <f>SUMIF(RecoveredRaw!$B:$B,$A79,RecoveredRaw!W:W)</f>
        <v>0</v>
      </c>
      <c r="U79">
        <f>SUMIF(RecoveredRaw!$B:$B,$A79,RecoveredRaw!X:X)</f>
        <v>0</v>
      </c>
      <c r="V79">
        <f>SUMIF(RecoveredRaw!$B:$B,$A79,RecoveredRaw!Y:Y)</f>
        <v>0</v>
      </c>
      <c r="W79">
        <f>SUMIF(RecoveredRaw!$B:$B,$A79,RecoveredRaw!Z:Z)</f>
        <v>0</v>
      </c>
      <c r="X79">
        <f>SUMIF(RecoveredRaw!$B:$B,$A79,RecoveredRaw!AA:AA)</f>
        <v>0</v>
      </c>
      <c r="Y79">
        <f>SUMIF(RecoveredRaw!$B:$B,$A79,RecoveredRaw!AB:AB)</f>
        <v>0</v>
      </c>
      <c r="Z79">
        <f>SUMIF(RecoveredRaw!$B:$B,$A79,RecoveredRaw!AC:AC)</f>
        <v>0</v>
      </c>
      <c r="AA79">
        <f>SUMIF(RecoveredRaw!$B:$B,$A79,RecoveredRaw!AD:AD)</f>
        <v>0</v>
      </c>
      <c r="AB79">
        <f>SUMIF(RecoveredRaw!$B:$B,$A79,RecoveredRaw!AE:AE)</f>
        <v>0</v>
      </c>
      <c r="AC79">
        <f>SUMIF(RecoveredRaw!$B:$B,$A79,RecoveredRaw!AF:AF)</f>
        <v>0</v>
      </c>
      <c r="AD79">
        <f>SUMIF(RecoveredRaw!$B:$B,$A79,RecoveredRaw!AG:AG)</f>
        <v>0</v>
      </c>
      <c r="AE79">
        <f>SUMIF(RecoveredRaw!$B:$B,$A79,RecoveredRaw!AH:AH)</f>
        <v>0</v>
      </c>
      <c r="AF79">
        <f>SUMIF(RecoveredRaw!$B:$B,$A79,RecoveredRaw!AI:AI)</f>
        <v>0</v>
      </c>
      <c r="AG79">
        <f>SUMIF(RecoveredRaw!$B:$B,$A79,RecoveredRaw!AJ:AJ)</f>
        <v>0</v>
      </c>
      <c r="AH79">
        <f>SUMIF(RecoveredRaw!$B:$B,$A79,RecoveredRaw!AK:AK)</f>
        <v>0</v>
      </c>
      <c r="AI79">
        <f>SUMIF(RecoveredRaw!$B:$B,$A79,RecoveredRaw!AL:AL)</f>
        <v>0</v>
      </c>
      <c r="AJ79">
        <f>SUMIF(RecoveredRaw!$B:$B,$A79,RecoveredRaw!AM:AM)</f>
        <v>0</v>
      </c>
      <c r="AK79">
        <f>SUMIF(RecoveredRaw!$B:$B,$A79,RecoveredRaw!AN:AN)</f>
        <v>0</v>
      </c>
      <c r="AL79">
        <f>SUMIF(RecoveredRaw!$B:$B,$A79,RecoveredRaw!AO:AO)</f>
        <v>0</v>
      </c>
      <c r="AM79">
        <f>SUMIF(RecoveredRaw!$B:$B,$A79,RecoveredRaw!AP:AP)</f>
        <v>0</v>
      </c>
      <c r="AN79">
        <f>SUMIF(RecoveredRaw!$B:$B,$A79,RecoveredRaw!AQ:AQ)</f>
        <v>0</v>
      </c>
      <c r="AO79">
        <f>SUMIF(RecoveredRaw!$B:$B,$A79,RecoveredRaw!AR:AR)</f>
        <v>0</v>
      </c>
      <c r="AP79">
        <f>SUMIF(RecoveredRaw!$B:$B,$A79,RecoveredRaw!AS:AS)</f>
        <v>0</v>
      </c>
      <c r="AQ79">
        <f>SUMIF(RecoveredRaw!$B:$B,$A79,RecoveredRaw!AT:AT)</f>
        <v>0</v>
      </c>
      <c r="AR79">
        <f>SUMIF(RecoveredRaw!$B:$B,$A79,RecoveredRaw!AU:AU)</f>
        <v>0</v>
      </c>
      <c r="AS79">
        <f>SUMIF(RecoveredRaw!$B:$B,$A79,RecoveredRaw!AV:AV)</f>
        <v>0</v>
      </c>
      <c r="AT79">
        <f>SUMIF(RecoveredRaw!$B:$B,$A79,RecoveredRaw!AW:AW)</f>
        <v>0</v>
      </c>
      <c r="AU79">
        <f>SUMIF(RecoveredRaw!$B:$B,$A79,RecoveredRaw!AX:AX)</f>
        <v>0</v>
      </c>
      <c r="AV79">
        <f>SUMIF(RecoveredRaw!$B:$B,$A79,RecoveredRaw!AY:AY)</f>
        <v>0</v>
      </c>
      <c r="AW79">
        <f>SUMIF(RecoveredRaw!$B:$B,$A79,RecoveredRaw!AZ:AZ)</f>
        <v>0</v>
      </c>
      <c r="AX79">
        <f>SUMIF(RecoveredRaw!$B:$B,$A79,RecoveredRaw!BA:BA)</f>
        <v>0</v>
      </c>
      <c r="AY79">
        <f>SUMIF(RecoveredRaw!$B:$B,$A79,RecoveredRaw!BB:BB)</f>
        <v>0</v>
      </c>
      <c r="AZ79">
        <f>SUMIF(RecoveredRaw!$B:$B,$A79,RecoveredRaw!BC:BC)</f>
        <v>0</v>
      </c>
      <c r="BA79">
        <f>SUMIF(RecoveredRaw!$B:$B,$A79,RecoveredRaw!BD:BD)</f>
        <v>1</v>
      </c>
      <c r="BB79">
        <f>SUMIF(RecoveredRaw!$B:$B,$A79,RecoveredRaw!BE:BE)</f>
        <v>1</v>
      </c>
      <c r="BC79">
        <f>SUMIF(RecoveredRaw!$B:$B,$A79,RecoveredRaw!BF:BF)</f>
        <v>1</v>
      </c>
      <c r="BD79">
        <f>SUMIF(RecoveredRaw!$B:$B,$A79,RecoveredRaw!BG:BG)</f>
        <v>2</v>
      </c>
      <c r="BE79">
        <f>SUMIF(RecoveredRaw!$B:$B,$A79,RecoveredRaw!BH:BH)</f>
        <v>2</v>
      </c>
      <c r="BF79">
        <f>SUMIF(RecoveredRaw!$B:$B,$A79,RecoveredRaw!BI:BI)</f>
        <v>2</v>
      </c>
      <c r="BG79">
        <f>SUMIF(RecoveredRaw!$B:$B,$A79,RecoveredRaw!BJ:BJ)</f>
        <v>2</v>
      </c>
      <c r="BH79">
        <f>SUMIF(RecoveredRaw!$B:$B,$A79,RecoveredRaw!BK:BK)</f>
        <v>2</v>
      </c>
      <c r="BI79">
        <f>SUMIF(RecoveredRaw!$B:$B,$A79,RecoveredRaw!BL:BL)</f>
        <v>0</v>
      </c>
      <c r="BJ79">
        <f>SUMIF(RecoveredRaw!$B:$B,$A79,RecoveredRaw!BM:BM)</f>
        <v>0</v>
      </c>
      <c r="BK79">
        <f>SUMIF(RecoveredRaw!$B:$B,$A79,RecoveredRaw!BN:BN)</f>
        <v>0</v>
      </c>
      <c r="BL79">
        <f>SUMIF(RecoveredRaw!$B:$B,$A79,RecoveredRaw!BO:BO)</f>
        <v>0</v>
      </c>
      <c r="BM79">
        <f>SUMIF(RecoveredRaw!$B:$B,$A79,RecoveredRaw!BP:BP)</f>
        <v>0</v>
      </c>
      <c r="BN79">
        <f>SUMIF(RecoveredRaw!$B:$B,$A79,RecoveredRaw!BQ:BQ)</f>
        <v>0</v>
      </c>
      <c r="BO79">
        <f>SUMIF(RecoveredRaw!$B:$B,$A79,RecoveredRaw!BR:BR)</f>
        <v>0</v>
      </c>
      <c r="BP79">
        <f>SUMIF(RecoveredRaw!$B:$B,$A79,RecoveredRaw!BS:BS)</f>
        <v>0</v>
      </c>
      <c r="BQ79">
        <f>SUMIF(RecoveredRaw!$B:$B,$A79,RecoveredRaw!BT:BT)</f>
        <v>0</v>
      </c>
      <c r="BR79">
        <f>SUMIF(RecoveredRaw!$B:$B,$A79,RecoveredRaw!BU:BU)</f>
        <v>0</v>
      </c>
      <c r="BS79">
        <f>SUMIF(RecoveredRaw!$B:$B,$A79,RecoveredRaw!BV:BV)</f>
        <v>0</v>
      </c>
      <c r="BT79">
        <f>SUMIF(RecoveredRaw!$B:$B,$A79,RecoveredRaw!BW:BW)</f>
        <v>0</v>
      </c>
    </row>
    <row r="80" spans="1:72" ht="15" thickBot="1" x14ac:dyDescent="0.35">
      <c r="A80" s="4" t="s">
        <v>94</v>
      </c>
      <c r="B80">
        <f>SUMIF(RecoveredRaw!$B:$B,$A80,RecoveredRaw!E:E)</f>
        <v>0</v>
      </c>
      <c r="C80">
        <f>SUMIF(RecoveredRaw!$B:$B,$A80,RecoveredRaw!F:F)</f>
        <v>0</v>
      </c>
      <c r="D80">
        <f>SUMIF(RecoveredRaw!$B:$B,$A80,RecoveredRaw!G:G)</f>
        <v>0</v>
      </c>
      <c r="E80">
        <f>SUMIF(RecoveredRaw!$B:$B,$A80,RecoveredRaw!H:H)</f>
        <v>0</v>
      </c>
      <c r="F80">
        <f>SUMIF(RecoveredRaw!$B:$B,$A80,RecoveredRaw!I:I)</f>
        <v>0</v>
      </c>
      <c r="G80">
        <f>SUMIF(RecoveredRaw!$B:$B,$A80,RecoveredRaw!J:J)</f>
        <v>0</v>
      </c>
      <c r="H80">
        <f>SUMIF(RecoveredRaw!$B:$B,$A80,RecoveredRaw!K:K)</f>
        <v>0</v>
      </c>
      <c r="I80">
        <f>SUMIF(RecoveredRaw!$B:$B,$A80,RecoveredRaw!L:L)</f>
        <v>0</v>
      </c>
      <c r="J80">
        <f>SUMIF(RecoveredRaw!$B:$B,$A80,RecoveredRaw!M:M)</f>
        <v>0</v>
      </c>
      <c r="K80">
        <f>SUMIF(RecoveredRaw!$B:$B,$A80,RecoveredRaw!N:N)</f>
        <v>0</v>
      </c>
      <c r="L80">
        <f>SUMIF(RecoveredRaw!$B:$B,$A80,RecoveredRaw!O:O)</f>
        <v>0</v>
      </c>
      <c r="M80">
        <f>SUMIF(RecoveredRaw!$B:$B,$A80,RecoveredRaw!P:P)</f>
        <v>0</v>
      </c>
      <c r="N80">
        <f>SUMIF(RecoveredRaw!$B:$B,$A80,RecoveredRaw!Q:Q)</f>
        <v>0</v>
      </c>
      <c r="O80">
        <f>SUMIF(RecoveredRaw!$B:$B,$A80,RecoveredRaw!R:R)</f>
        <v>0</v>
      </c>
      <c r="P80">
        <f>SUMIF(RecoveredRaw!$B:$B,$A80,RecoveredRaw!S:S)</f>
        <v>0</v>
      </c>
      <c r="Q80">
        <f>SUMIF(RecoveredRaw!$B:$B,$A80,RecoveredRaw!T:T)</f>
        <v>0</v>
      </c>
      <c r="R80">
        <f>SUMIF(RecoveredRaw!$B:$B,$A80,RecoveredRaw!U:U)</f>
        <v>0</v>
      </c>
      <c r="S80">
        <f>SUMIF(RecoveredRaw!$B:$B,$A80,RecoveredRaw!V:V)</f>
        <v>0</v>
      </c>
      <c r="T80">
        <f>SUMIF(RecoveredRaw!$B:$B,$A80,RecoveredRaw!W:W)</f>
        <v>0</v>
      </c>
      <c r="U80">
        <f>SUMIF(RecoveredRaw!$B:$B,$A80,RecoveredRaw!X:X)</f>
        <v>0</v>
      </c>
      <c r="V80">
        <f>SUMIF(RecoveredRaw!$B:$B,$A80,RecoveredRaw!Y:Y)</f>
        <v>0</v>
      </c>
      <c r="W80">
        <f>SUMIF(RecoveredRaw!$B:$B,$A80,RecoveredRaw!Z:Z)</f>
        <v>0</v>
      </c>
      <c r="X80">
        <f>SUMIF(RecoveredRaw!$B:$B,$A80,RecoveredRaw!AA:AA)</f>
        <v>0</v>
      </c>
      <c r="Y80">
        <f>SUMIF(RecoveredRaw!$B:$B,$A80,RecoveredRaw!AB:AB)</f>
        <v>0</v>
      </c>
      <c r="Z80">
        <f>SUMIF(RecoveredRaw!$B:$B,$A80,RecoveredRaw!AC:AC)</f>
        <v>0</v>
      </c>
      <c r="AA80">
        <f>SUMIF(RecoveredRaw!$B:$B,$A80,RecoveredRaw!AD:AD)</f>
        <v>0</v>
      </c>
      <c r="AB80">
        <f>SUMIF(RecoveredRaw!$B:$B,$A80,RecoveredRaw!AE:AE)</f>
        <v>0</v>
      </c>
      <c r="AC80">
        <f>SUMIF(RecoveredRaw!$B:$B,$A80,RecoveredRaw!AF:AF)</f>
        <v>0</v>
      </c>
      <c r="AD80">
        <f>SUMIF(RecoveredRaw!$B:$B,$A80,RecoveredRaw!AG:AG)</f>
        <v>0</v>
      </c>
      <c r="AE80">
        <f>SUMIF(RecoveredRaw!$B:$B,$A80,RecoveredRaw!AH:AH)</f>
        <v>0</v>
      </c>
      <c r="AF80">
        <f>SUMIF(RecoveredRaw!$B:$B,$A80,RecoveredRaw!AI:AI)</f>
        <v>0</v>
      </c>
      <c r="AG80">
        <f>SUMIF(RecoveredRaw!$B:$B,$A80,RecoveredRaw!AJ:AJ)</f>
        <v>0</v>
      </c>
      <c r="AH80">
        <f>SUMIF(RecoveredRaw!$B:$B,$A80,RecoveredRaw!AK:AK)</f>
        <v>0</v>
      </c>
      <c r="AI80">
        <f>SUMIF(RecoveredRaw!$B:$B,$A80,RecoveredRaw!AL:AL)</f>
        <v>0</v>
      </c>
      <c r="AJ80">
        <f>SUMIF(RecoveredRaw!$B:$B,$A80,RecoveredRaw!AM:AM)</f>
        <v>0</v>
      </c>
      <c r="AK80">
        <f>SUMIF(RecoveredRaw!$B:$B,$A80,RecoveredRaw!AN:AN)</f>
        <v>0</v>
      </c>
      <c r="AL80">
        <f>SUMIF(RecoveredRaw!$B:$B,$A80,RecoveredRaw!AO:AO)</f>
        <v>0</v>
      </c>
      <c r="AM80">
        <f>SUMIF(RecoveredRaw!$B:$B,$A80,RecoveredRaw!AP:AP)</f>
        <v>0</v>
      </c>
      <c r="AN80">
        <f>SUMIF(RecoveredRaw!$B:$B,$A80,RecoveredRaw!AQ:AQ)</f>
        <v>0</v>
      </c>
      <c r="AO80">
        <f>SUMIF(RecoveredRaw!$B:$B,$A80,RecoveredRaw!AR:AR)</f>
        <v>0</v>
      </c>
      <c r="AP80">
        <f>SUMIF(RecoveredRaw!$B:$B,$A80,RecoveredRaw!AS:AS)</f>
        <v>0</v>
      </c>
      <c r="AQ80">
        <f>SUMIF(RecoveredRaw!$B:$B,$A80,RecoveredRaw!AT:AT)</f>
        <v>1</v>
      </c>
      <c r="AR80">
        <f>SUMIF(RecoveredRaw!$B:$B,$A80,RecoveredRaw!AU:AU)</f>
        <v>1</v>
      </c>
      <c r="AS80">
        <f>SUMIF(RecoveredRaw!$B:$B,$A80,RecoveredRaw!AV:AV)</f>
        <v>1</v>
      </c>
      <c r="AT80">
        <f>SUMIF(RecoveredRaw!$B:$B,$A80,RecoveredRaw!AW:AW)</f>
        <v>1</v>
      </c>
      <c r="AU80">
        <f>SUMIF(RecoveredRaw!$B:$B,$A80,RecoveredRaw!AX:AX)</f>
        <v>1</v>
      </c>
      <c r="AV80">
        <f>SUMIF(RecoveredRaw!$B:$B,$A80,RecoveredRaw!AY:AY)</f>
        <v>1</v>
      </c>
      <c r="AW80">
        <f>SUMIF(RecoveredRaw!$B:$B,$A80,RecoveredRaw!AZ:AZ)</f>
        <v>1</v>
      </c>
      <c r="AX80">
        <f>SUMIF(RecoveredRaw!$B:$B,$A80,RecoveredRaw!BA:BA)</f>
        <v>4</v>
      </c>
      <c r="AY80">
        <f>SUMIF(RecoveredRaw!$B:$B,$A80,RecoveredRaw!BB:BB)</f>
        <v>4</v>
      </c>
      <c r="AZ80">
        <f>SUMIF(RecoveredRaw!$B:$B,$A80,RecoveredRaw!BC:BC)</f>
        <v>4</v>
      </c>
      <c r="BA80">
        <f>SUMIF(RecoveredRaw!$B:$B,$A80,RecoveredRaw!BD:BD)</f>
        <v>4</v>
      </c>
      <c r="BB80">
        <f>SUMIF(RecoveredRaw!$B:$B,$A80,RecoveredRaw!BE:BE)</f>
        <v>4</v>
      </c>
      <c r="BC80">
        <f>SUMIF(RecoveredRaw!$B:$B,$A80,RecoveredRaw!BF:BF)</f>
        <v>4</v>
      </c>
      <c r="BD80">
        <f>SUMIF(RecoveredRaw!$B:$B,$A80,RecoveredRaw!BG:BG)</f>
        <v>4</v>
      </c>
      <c r="BE80">
        <f>SUMIF(RecoveredRaw!$B:$B,$A80,RecoveredRaw!BH:BH)</f>
        <v>4</v>
      </c>
      <c r="BF80">
        <f>SUMIF(RecoveredRaw!$B:$B,$A80,RecoveredRaw!BI:BI)</f>
        <v>4</v>
      </c>
      <c r="BG80">
        <f>SUMIF(RecoveredRaw!$B:$B,$A80,RecoveredRaw!BJ:BJ)</f>
        <v>4</v>
      </c>
      <c r="BH80">
        <f>SUMIF(RecoveredRaw!$B:$B,$A80,RecoveredRaw!BK:BK)</f>
        <v>4</v>
      </c>
      <c r="BI80">
        <f>SUMIF(RecoveredRaw!$B:$B,$A80,RecoveredRaw!BL:BL)</f>
        <v>0</v>
      </c>
      <c r="BJ80">
        <f>SUMIF(RecoveredRaw!$B:$B,$A80,RecoveredRaw!BM:BM)</f>
        <v>0</v>
      </c>
      <c r="BK80">
        <f>SUMIF(RecoveredRaw!$B:$B,$A80,RecoveredRaw!BN:BN)</f>
        <v>0</v>
      </c>
      <c r="BL80">
        <f>SUMIF(RecoveredRaw!$B:$B,$A80,RecoveredRaw!BO:BO)</f>
        <v>0</v>
      </c>
      <c r="BM80">
        <f>SUMIF(RecoveredRaw!$B:$B,$A80,RecoveredRaw!BP:BP)</f>
        <v>0</v>
      </c>
      <c r="BN80">
        <f>SUMIF(RecoveredRaw!$B:$B,$A80,RecoveredRaw!BQ:BQ)</f>
        <v>0</v>
      </c>
      <c r="BO80">
        <f>SUMIF(RecoveredRaw!$B:$B,$A80,RecoveredRaw!BR:BR)</f>
        <v>0</v>
      </c>
      <c r="BP80">
        <f>SUMIF(RecoveredRaw!$B:$B,$A80,RecoveredRaw!BS:BS)</f>
        <v>0</v>
      </c>
      <c r="BQ80">
        <f>SUMIF(RecoveredRaw!$B:$B,$A80,RecoveredRaw!BT:BT)</f>
        <v>0</v>
      </c>
      <c r="BR80">
        <f>SUMIF(RecoveredRaw!$B:$B,$A80,RecoveredRaw!BU:BU)</f>
        <v>0</v>
      </c>
      <c r="BS80">
        <f>SUMIF(RecoveredRaw!$B:$B,$A80,RecoveredRaw!BV:BV)</f>
        <v>0</v>
      </c>
      <c r="BT80">
        <f>SUMIF(RecoveredRaw!$B:$B,$A80,RecoveredRaw!BW:BW)</f>
        <v>0</v>
      </c>
    </row>
    <row r="81" spans="1:72" ht="15" thickBot="1" x14ac:dyDescent="0.35">
      <c r="A81" s="3" t="s">
        <v>114</v>
      </c>
      <c r="B81">
        <f>SUMIF(RecoveredRaw!$B:$B,$A81,RecoveredRaw!E:E)</f>
        <v>0</v>
      </c>
      <c r="C81">
        <f>SUMIF(RecoveredRaw!$B:$B,$A81,RecoveredRaw!F:F)</f>
        <v>0</v>
      </c>
      <c r="D81">
        <f>SUMIF(RecoveredRaw!$B:$B,$A81,RecoveredRaw!G:G)</f>
        <v>0</v>
      </c>
      <c r="E81">
        <f>SUMIF(RecoveredRaw!$B:$B,$A81,RecoveredRaw!H:H)</f>
        <v>0</v>
      </c>
      <c r="F81">
        <f>SUMIF(RecoveredRaw!$B:$B,$A81,RecoveredRaw!I:I)</f>
        <v>0</v>
      </c>
      <c r="G81">
        <f>SUMIF(RecoveredRaw!$B:$B,$A81,RecoveredRaw!J:J)</f>
        <v>0</v>
      </c>
      <c r="H81">
        <f>SUMIF(RecoveredRaw!$B:$B,$A81,RecoveredRaw!K:K)</f>
        <v>0</v>
      </c>
      <c r="I81">
        <f>SUMIF(RecoveredRaw!$B:$B,$A81,RecoveredRaw!L:L)</f>
        <v>0</v>
      </c>
      <c r="J81">
        <f>SUMIF(RecoveredRaw!$B:$B,$A81,RecoveredRaw!M:M)</f>
        <v>0</v>
      </c>
      <c r="K81">
        <f>SUMIF(RecoveredRaw!$B:$B,$A81,RecoveredRaw!N:N)</f>
        <v>0</v>
      </c>
      <c r="L81">
        <f>SUMIF(RecoveredRaw!$B:$B,$A81,RecoveredRaw!O:O)</f>
        <v>0</v>
      </c>
      <c r="M81">
        <f>SUMIF(RecoveredRaw!$B:$B,$A81,RecoveredRaw!P:P)</f>
        <v>0</v>
      </c>
      <c r="N81">
        <f>SUMIF(RecoveredRaw!$B:$B,$A81,RecoveredRaw!Q:Q)</f>
        <v>0</v>
      </c>
      <c r="O81">
        <f>SUMIF(RecoveredRaw!$B:$B,$A81,RecoveredRaw!R:R)</f>
        <v>0</v>
      </c>
      <c r="P81">
        <f>SUMIF(RecoveredRaw!$B:$B,$A81,RecoveredRaw!S:S)</f>
        <v>0</v>
      </c>
      <c r="Q81">
        <f>SUMIF(RecoveredRaw!$B:$B,$A81,RecoveredRaw!T:T)</f>
        <v>0</v>
      </c>
      <c r="R81">
        <f>SUMIF(RecoveredRaw!$B:$B,$A81,RecoveredRaw!U:U)</f>
        <v>0</v>
      </c>
      <c r="S81">
        <f>SUMIF(RecoveredRaw!$B:$B,$A81,RecoveredRaw!V:V)</f>
        <v>0</v>
      </c>
      <c r="T81">
        <f>SUMIF(RecoveredRaw!$B:$B,$A81,RecoveredRaw!W:W)</f>
        <v>0</v>
      </c>
      <c r="U81">
        <f>SUMIF(RecoveredRaw!$B:$B,$A81,RecoveredRaw!X:X)</f>
        <v>0</v>
      </c>
      <c r="V81">
        <f>SUMIF(RecoveredRaw!$B:$B,$A81,RecoveredRaw!Y:Y)</f>
        <v>0</v>
      </c>
      <c r="W81">
        <f>SUMIF(RecoveredRaw!$B:$B,$A81,RecoveredRaw!Z:Z)</f>
        <v>0</v>
      </c>
      <c r="X81">
        <f>SUMIF(RecoveredRaw!$B:$B,$A81,RecoveredRaw!AA:AA)</f>
        <v>0</v>
      </c>
      <c r="Y81">
        <f>SUMIF(RecoveredRaw!$B:$B,$A81,RecoveredRaw!AB:AB)</f>
        <v>0</v>
      </c>
      <c r="Z81">
        <f>SUMIF(RecoveredRaw!$B:$B,$A81,RecoveredRaw!AC:AC)</f>
        <v>0</v>
      </c>
      <c r="AA81">
        <f>SUMIF(RecoveredRaw!$B:$B,$A81,RecoveredRaw!AD:AD)</f>
        <v>0</v>
      </c>
      <c r="AB81">
        <f>SUMIF(RecoveredRaw!$B:$B,$A81,RecoveredRaw!AE:AE)</f>
        <v>0</v>
      </c>
      <c r="AC81">
        <f>SUMIF(RecoveredRaw!$B:$B,$A81,RecoveredRaw!AF:AF)</f>
        <v>0</v>
      </c>
      <c r="AD81">
        <f>SUMIF(RecoveredRaw!$B:$B,$A81,RecoveredRaw!AG:AG)</f>
        <v>0</v>
      </c>
      <c r="AE81">
        <f>SUMIF(RecoveredRaw!$B:$B,$A81,RecoveredRaw!AH:AH)</f>
        <v>0</v>
      </c>
      <c r="AF81">
        <f>SUMIF(RecoveredRaw!$B:$B,$A81,RecoveredRaw!AI:AI)</f>
        <v>0</v>
      </c>
      <c r="AG81">
        <f>SUMIF(RecoveredRaw!$B:$B,$A81,RecoveredRaw!AJ:AJ)</f>
        <v>0</v>
      </c>
      <c r="AH81">
        <f>SUMIF(RecoveredRaw!$B:$B,$A81,RecoveredRaw!AK:AK)</f>
        <v>0</v>
      </c>
      <c r="AI81">
        <f>SUMIF(RecoveredRaw!$B:$B,$A81,RecoveredRaw!AL:AL)</f>
        <v>0</v>
      </c>
      <c r="AJ81">
        <f>SUMIF(RecoveredRaw!$B:$B,$A81,RecoveredRaw!AM:AM)</f>
        <v>0</v>
      </c>
      <c r="AK81">
        <f>SUMIF(RecoveredRaw!$B:$B,$A81,RecoveredRaw!AN:AN)</f>
        <v>0</v>
      </c>
      <c r="AL81">
        <f>SUMIF(RecoveredRaw!$B:$B,$A81,RecoveredRaw!AO:AO)</f>
        <v>0</v>
      </c>
      <c r="AM81">
        <f>SUMIF(RecoveredRaw!$B:$B,$A81,RecoveredRaw!AP:AP)</f>
        <v>0</v>
      </c>
      <c r="AN81">
        <f>SUMIF(RecoveredRaw!$B:$B,$A81,RecoveredRaw!AQ:AQ)</f>
        <v>0</v>
      </c>
      <c r="AO81">
        <f>SUMIF(RecoveredRaw!$B:$B,$A81,RecoveredRaw!AR:AR)</f>
        <v>0</v>
      </c>
      <c r="AP81">
        <f>SUMIF(RecoveredRaw!$B:$B,$A81,RecoveredRaw!AS:AS)</f>
        <v>0</v>
      </c>
      <c r="AQ81">
        <f>SUMIF(RecoveredRaw!$B:$B,$A81,RecoveredRaw!AT:AT)</f>
        <v>0</v>
      </c>
      <c r="AR81">
        <f>SUMIF(RecoveredRaw!$B:$B,$A81,RecoveredRaw!AU:AU)</f>
        <v>0</v>
      </c>
      <c r="AS81">
        <f>SUMIF(RecoveredRaw!$B:$B,$A81,RecoveredRaw!AV:AV)</f>
        <v>0</v>
      </c>
      <c r="AT81">
        <f>SUMIF(RecoveredRaw!$B:$B,$A81,RecoveredRaw!AW:AW)</f>
        <v>0</v>
      </c>
      <c r="AU81">
        <f>SUMIF(RecoveredRaw!$B:$B,$A81,RecoveredRaw!AX:AX)</f>
        <v>0</v>
      </c>
      <c r="AV81">
        <f>SUMIF(RecoveredRaw!$B:$B,$A81,RecoveredRaw!AY:AY)</f>
        <v>1</v>
      </c>
      <c r="AW81">
        <f>SUMIF(RecoveredRaw!$B:$B,$A81,RecoveredRaw!AZ:AZ)</f>
        <v>1</v>
      </c>
      <c r="AX81">
        <f>SUMIF(RecoveredRaw!$B:$B,$A81,RecoveredRaw!BA:BA)</f>
        <v>1</v>
      </c>
      <c r="AY81">
        <f>SUMIF(RecoveredRaw!$B:$B,$A81,RecoveredRaw!BB:BB)</f>
        <v>1</v>
      </c>
      <c r="AZ81">
        <f>SUMIF(RecoveredRaw!$B:$B,$A81,RecoveredRaw!BC:BC)</f>
        <v>1</v>
      </c>
      <c r="BA81">
        <f>SUMIF(RecoveredRaw!$B:$B,$A81,RecoveredRaw!BD:BD)</f>
        <v>1</v>
      </c>
      <c r="BB81">
        <f>SUMIF(RecoveredRaw!$B:$B,$A81,RecoveredRaw!BE:BE)</f>
        <v>1</v>
      </c>
      <c r="BC81">
        <f>SUMIF(RecoveredRaw!$B:$B,$A81,RecoveredRaw!BF:BF)</f>
        <v>1</v>
      </c>
      <c r="BD81">
        <f>SUMIF(RecoveredRaw!$B:$B,$A81,RecoveredRaw!BG:BG)</f>
        <v>2</v>
      </c>
      <c r="BE81">
        <f>SUMIF(RecoveredRaw!$B:$B,$A81,RecoveredRaw!BH:BH)</f>
        <v>2</v>
      </c>
      <c r="BF81">
        <f>SUMIF(RecoveredRaw!$B:$B,$A81,RecoveredRaw!BI:BI)</f>
        <v>2</v>
      </c>
      <c r="BG81">
        <f>SUMIF(RecoveredRaw!$B:$B,$A81,RecoveredRaw!BJ:BJ)</f>
        <v>2</v>
      </c>
      <c r="BH81">
        <f>SUMIF(RecoveredRaw!$B:$B,$A81,RecoveredRaw!BK:BK)</f>
        <v>2</v>
      </c>
      <c r="BI81">
        <f>SUMIF(RecoveredRaw!$B:$B,$A81,RecoveredRaw!BL:BL)</f>
        <v>0</v>
      </c>
      <c r="BJ81">
        <f>SUMIF(RecoveredRaw!$B:$B,$A81,RecoveredRaw!BM:BM)</f>
        <v>0</v>
      </c>
      <c r="BK81">
        <f>SUMIF(RecoveredRaw!$B:$B,$A81,RecoveredRaw!BN:BN)</f>
        <v>0</v>
      </c>
      <c r="BL81">
        <f>SUMIF(RecoveredRaw!$B:$B,$A81,RecoveredRaw!BO:BO)</f>
        <v>0</v>
      </c>
      <c r="BM81">
        <f>SUMIF(RecoveredRaw!$B:$B,$A81,RecoveredRaw!BP:BP)</f>
        <v>0</v>
      </c>
      <c r="BN81">
        <f>SUMIF(RecoveredRaw!$B:$B,$A81,RecoveredRaw!BQ:BQ)</f>
        <v>0</v>
      </c>
      <c r="BO81">
        <f>SUMIF(RecoveredRaw!$B:$B,$A81,RecoveredRaw!BR:BR)</f>
        <v>0</v>
      </c>
      <c r="BP81">
        <f>SUMIF(RecoveredRaw!$B:$B,$A81,RecoveredRaw!BS:BS)</f>
        <v>0</v>
      </c>
      <c r="BQ81">
        <f>SUMIF(RecoveredRaw!$B:$B,$A81,RecoveredRaw!BT:BT)</f>
        <v>0</v>
      </c>
      <c r="BR81">
        <f>SUMIF(RecoveredRaw!$B:$B,$A81,RecoveredRaw!BU:BU)</f>
        <v>0</v>
      </c>
      <c r="BS81">
        <f>SUMIF(RecoveredRaw!$B:$B,$A81,RecoveredRaw!BV:BV)</f>
        <v>0</v>
      </c>
      <c r="BT81">
        <f>SUMIF(RecoveredRaw!$B:$B,$A81,RecoveredRaw!BW:BW)</f>
        <v>0</v>
      </c>
    </row>
    <row r="82" spans="1:72" ht="15" thickBot="1" x14ac:dyDescent="0.35">
      <c r="A82" s="4" t="s">
        <v>200</v>
      </c>
      <c r="B82">
        <f>SUMIF(RecoveredRaw!$B:$B,$A82,RecoveredRaw!E:E)</f>
        <v>0</v>
      </c>
      <c r="C82">
        <f>SUMIF(RecoveredRaw!$B:$B,$A82,RecoveredRaw!F:F)</f>
        <v>0</v>
      </c>
      <c r="D82">
        <f>SUMIF(RecoveredRaw!$B:$B,$A82,RecoveredRaw!G:G)</f>
        <v>0</v>
      </c>
      <c r="E82">
        <f>SUMIF(RecoveredRaw!$B:$B,$A82,RecoveredRaw!H:H)</f>
        <v>0</v>
      </c>
      <c r="F82">
        <f>SUMIF(RecoveredRaw!$B:$B,$A82,RecoveredRaw!I:I)</f>
        <v>0</v>
      </c>
      <c r="G82">
        <f>SUMIF(RecoveredRaw!$B:$B,$A82,RecoveredRaw!J:J)</f>
        <v>0</v>
      </c>
      <c r="H82">
        <f>SUMIF(RecoveredRaw!$B:$B,$A82,RecoveredRaw!K:K)</f>
        <v>0</v>
      </c>
      <c r="I82">
        <f>SUMIF(RecoveredRaw!$B:$B,$A82,RecoveredRaw!L:L)</f>
        <v>0</v>
      </c>
      <c r="J82">
        <f>SUMIF(RecoveredRaw!$B:$B,$A82,RecoveredRaw!M:M)</f>
        <v>0</v>
      </c>
      <c r="K82">
        <f>SUMIF(RecoveredRaw!$B:$B,$A82,RecoveredRaw!N:N)</f>
        <v>0</v>
      </c>
      <c r="L82">
        <f>SUMIF(RecoveredRaw!$B:$B,$A82,RecoveredRaw!O:O)</f>
        <v>0</v>
      </c>
      <c r="M82">
        <f>SUMIF(RecoveredRaw!$B:$B,$A82,RecoveredRaw!P:P)</f>
        <v>0</v>
      </c>
      <c r="N82">
        <f>SUMIF(RecoveredRaw!$B:$B,$A82,RecoveredRaw!Q:Q)</f>
        <v>0</v>
      </c>
      <c r="O82">
        <f>SUMIF(RecoveredRaw!$B:$B,$A82,RecoveredRaw!R:R)</f>
        <v>0</v>
      </c>
      <c r="P82">
        <f>SUMIF(RecoveredRaw!$B:$B,$A82,RecoveredRaw!S:S)</f>
        <v>0</v>
      </c>
      <c r="Q82">
        <f>SUMIF(RecoveredRaw!$B:$B,$A82,RecoveredRaw!T:T)</f>
        <v>0</v>
      </c>
      <c r="R82">
        <f>SUMIF(RecoveredRaw!$B:$B,$A82,RecoveredRaw!U:U)</f>
        <v>0</v>
      </c>
      <c r="S82">
        <f>SUMIF(RecoveredRaw!$B:$B,$A82,RecoveredRaw!V:V)</f>
        <v>0</v>
      </c>
      <c r="T82">
        <f>SUMIF(RecoveredRaw!$B:$B,$A82,RecoveredRaw!W:W)</f>
        <v>0</v>
      </c>
      <c r="U82">
        <f>SUMIF(RecoveredRaw!$B:$B,$A82,RecoveredRaw!X:X)</f>
        <v>0</v>
      </c>
      <c r="V82">
        <f>SUMIF(RecoveredRaw!$B:$B,$A82,RecoveredRaw!Y:Y)</f>
        <v>0</v>
      </c>
      <c r="W82">
        <f>SUMIF(RecoveredRaw!$B:$B,$A82,RecoveredRaw!Z:Z)</f>
        <v>0</v>
      </c>
      <c r="X82">
        <f>SUMIF(RecoveredRaw!$B:$B,$A82,RecoveredRaw!AA:AA)</f>
        <v>0</v>
      </c>
      <c r="Y82">
        <f>SUMIF(RecoveredRaw!$B:$B,$A82,RecoveredRaw!AB:AB)</f>
        <v>0</v>
      </c>
      <c r="Z82">
        <f>SUMIF(RecoveredRaw!$B:$B,$A82,RecoveredRaw!AC:AC)</f>
        <v>0</v>
      </c>
      <c r="AA82">
        <f>SUMIF(RecoveredRaw!$B:$B,$A82,RecoveredRaw!AD:AD)</f>
        <v>0</v>
      </c>
      <c r="AB82">
        <f>SUMIF(RecoveredRaw!$B:$B,$A82,RecoveredRaw!AE:AE)</f>
        <v>0</v>
      </c>
      <c r="AC82">
        <f>SUMIF(RecoveredRaw!$B:$B,$A82,RecoveredRaw!AF:AF)</f>
        <v>0</v>
      </c>
      <c r="AD82">
        <f>SUMIF(RecoveredRaw!$B:$B,$A82,RecoveredRaw!AG:AG)</f>
        <v>0</v>
      </c>
      <c r="AE82">
        <f>SUMIF(RecoveredRaw!$B:$B,$A82,RecoveredRaw!AH:AH)</f>
        <v>0</v>
      </c>
      <c r="AF82">
        <f>SUMIF(RecoveredRaw!$B:$B,$A82,RecoveredRaw!AI:AI)</f>
        <v>0</v>
      </c>
      <c r="AG82">
        <f>SUMIF(RecoveredRaw!$B:$B,$A82,RecoveredRaw!AJ:AJ)</f>
        <v>0</v>
      </c>
      <c r="AH82">
        <f>SUMIF(RecoveredRaw!$B:$B,$A82,RecoveredRaw!AK:AK)</f>
        <v>0</v>
      </c>
      <c r="AI82">
        <f>SUMIF(RecoveredRaw!$B:$B,$A82,RecoveredRaw!AL:AL)</f>
        <v>0</v>
      </c>
      <c r="AJ82">
        <f>SUMIF(RecoveredRaw!$B:$B,$A82,RecoveredRaw!AM:AM)</f>
        <v>0</v>
      </c>
      <c r="AK82">
        <f>SUMIF(RecoveredRaw!$B:$B,$A82,RecoveredRaw!AN:AN)</f>
        <v>0</v>
      </c>
      <c r="AL82">
        <f>SUMIF(RecoveredRaw!$B:$B,$A82,RecoveredRaw!AO:AO)</f>
        <v>0</v>
      </c>
      <c r="AM82">
        <f>SUMIF(RecoveredRaw!$B:$B,$A82,RecoveredRaw!AP:AP)</f>
        <v>0</v>
      </c>
      <c r="AN82">
        <f>SUMIF(RecoveredRaw!$B:$B,$A82,RecoveredRaw!AQ:AQ)</f>
        <v>0</v>
      </c>
      <c r="AO82">
        <f>SUMIF(RecoveredRaw!$B:$B,$A82,RecoveredRaw!AR:AR)</f>
        <v>0</v>
      </c>
      <c r="AP82">
        <f>SUMIF(RecoveredRaw!$B:$B,$A82,RecoveredRaw!AS:AS)</f>
        <v>0</v>
      </c>
      <c r="AQ82">
        <f>SUMIF(RecoveredRaw!$B:$B,$A82,RecoveredRaw!AT:AT)</f>
        <v>0</v>
      </c>
      <c r="AR82">
        <f>SUMIF(RecoveredRaw!$B:$B,$A82,RecoveredRaw!AU:AU)</f>
        <v>0</v>
      </c>
      <c r="AS82">
        <f>SUMIF(RecoveredRaw!$B:$B,$A82,RecoveredRaw!AV:AV)</f>
        <v>0</v>
      </c>
      <c r="AT82">
        <f>SUMIF(RecoveredRaw!$B:$B,$A82,RecoveredRaw!AW:AW)</f>
        <v>0</v>
      </c>
      <c r="AU82">
        <f>SUMIF(RecoveredRaw!$B:$B,$A82,RecoveredRaw!AX:AX)</f>
        <v>0</v>
      </c>
      <c r="AV82">
        <f>SUMIF(RecoveredRaw!$B:$B,$A82,RecoveredRaw!AY:AY)</f>
        <v>0</v>
      </c>
      <c r="AW82">
        <f>SUMIF(RecoveredRaw!$B:$B,$A82,RecoveredRaw!AZ:AZ)</f>
        <v>0</v>
      </c>
      <c r="AX82">
        <f>SUMIF(RecoveredRaw!$B:$B,$A82,RecoveredRaw!BA:BA)</f>
        <v>0</v>
      </c>
      <c r="AY82">
        <f>SUMIF(RecoveredRaw!$B:$B,$A82,RecoveredRaw!BB:BB)</f>
        <v>0</v>
      </c>
      <c r="AZ82">
        <f>SUMIF(RecoveredRaw!$B:$B,$A82,RecoveredRaw!BC:BC)</f>
        <v>0</v>
      </c>
      <c r="BA82">
        <f>SUMIF(RecoveredRaw!$B:$B,$A82,RecoveredRaw!BD:BD)</f>
        <v>0</v>
      </c>
      <c r="BB82">
        <f>SUMIF(RecoveredRaw!$B:$B,$A82,RecoveredRaw!BE:BE)</f>
        <v>0</v>
      </c>
      <c r="BC82">
        <f>SUMIF(RecoveredRaw!$B:$B,$A82,RecoveredRaw!BF:BF)</f>
        <v>0</v>
      </c>
      <c r="BD82">
        <f>SUMIF(RecoveredRaw!$B:$B,$A82,RecoveredRaw!BG:BG)</f>
        <v>0</v>
      </c>
      <c r="BE82">
        <f>SUMIF(RecoveredRaw!$B:$B,$A82,RecoveredRaw!BH:BH)</f>
        <v>0</v>
      </c>
      <c r="BF82">
        <f>SUMIF(RecoveredRaw!$B:$B,$A82,RecoveredRaw!BI:BI)</f>
        <v>0</v>
      </c>
      <c r="BG82">
        <f>SUMIF(RecoveredRaw!$B:$B,$A82,RecoveredRaw!BJ:BJ)</f>
        <v>0</v>
      </c>
      <c r="BH82">
        <f>SUMIF(RecoveredRaw!$B:$B,$A82,RecoveredRaw!BK:BK)</f>
        <v>0</v>
      </c>
      <c r="BI82">
        <f>SUMIF(RecoveredRaw!$B:$B,$A82,RecoveredRaw!BL:BL)</f>
        <v>0</v>
      </c>
      <c r="BJ82">
        <f>SUMIF(RecoveredRaw!$B:$B,$A82,RecoveredRaw!BM:BM)</f>
        <v>0</v>
      </c>
      <c r="BK82">
        <f>SUMIF(RecoveredRaw!$B:$B,$A82,RecoveredRaw!BN:BN)</f>
        <v>0</v>
      </c>
      <c r="BL82">
        <f>SUMIF(RecoveredRaw!$B:$B,$A82,RecoveredRaw!BO:BO)</f>
        <v>0</v>
      </c>
      <c r="BM82">
        <f>SUMIF(RecoveredRaw!$B:$B,$A82,RecoveredRaw!BP:BP)</f>
        <v>0</v>
      </c>
      <c r="BN82">
        <f>SUMIF(RecoveredRaw!$B:$B,$A82,RecoveredRaw!BQ:BQ)</f>
        <v>0</v>
      </c>
      <c r="BO82">
        <f>SUMIF(RecoveredRaw!$B:$B,$A82,RecoveredRaw!BR:BR)</f>
        <v>0</v>
      </c>
      <c r="BP82">
        <f>SUMIF(RecoveredRaw!$B:$B,$A82,RecoveredRaw!BS:BS)</f>
        <v>0</v>
      </c>
      <c r="BQ82">
        <f>SUMIF(RecoveredRaw!$B:$B,$A82,RecoveredRaw!BT:BT)</f>
        <v>0</v>
      </c>
      <c r="BR82">
        <f>SUMIF(RecoveredRaw!$B:$B,$A82,RecoveredRaw!BU:BU)</f>
        <v>0</v>
      </c>
      <c r="BS82">
        <f>SUMIF(RecoveredRaw!$B:$B,$A82,RecoveredRaw!BV:BV)</f>
        <v>0</v>
      </c>
      <c r="BT82">
        <f>SUMIF(RecoveredRaw!$B:$B,$A82,RecoveredRaw!BW:BW)</f>
        <v>0</v>
      </c>
    </row>
    <row r="83" spans="1:72" ht="15" thickBot="1" x14ac:dyDescent="0.35">
      <c r="A83" s="4" t="s">
        <v>105</v>
      </c>
      <c r="B83">
        <f>SUMIF(RecoveredRaw!$B:$B,$A83,RecoveredRaw!E:E)</f>
        <v>0</v>
      </c>
      <c r="C83">
        <f>SUMIF(RecoveredRaw!$B:$B,$A83,RecoveredRaw!F:F)</f>
        <v>0</v>
      </c>
      <c r="D83">
        <f>SUMIF(RecoveredRaw!$B:$B,$A83,RecoveredRaw!G:G)</f>
        <v>0</v>
      </c>
      <c r="E83">
        <f>SUMIF(RecoveredRaw!$B:$B,$A83,RecoveredRaw!H:H)</f>
        <v>0</v>
      </c>
      <c r="F83">
        <f>SUMIF(RecoveredRaw!$B:$B,$A83,RecoveredRaw!I:I)</f>
        <v>0</v>
      </c>
      <c r="G83">
        <f>SUMIF(RecoveredRaw!$B:$B,$A83,RecoveredRaw!J:J)</f>
        <v>0</v>
      </c>
      <c r="H83">
        <f>SUMIF(RecoveredRaw!$B:$B,$A83,RecoveredRaw!K:K)</f>
        <v>0</v>
      </c>
      <c r="I83">
        <f>SUMIF(RecoveredRaw!$B:$B,$A83,RecoveredRaw!L:L)</f>
        <v>0</v>
      </c>
      <c r="J83">
        <f>SUMIF(RecoveredRaw!$B:$B,$A83,RecoveredRaw!M:M)</f>
        <v>0</v>
      </c>
      <c r="K83">
        <f>SUMIF(RecoveredRaw!$B:$B,$A83,RecoveredRaw!N:N)</f>
        <v>0</v>
      </c>
      <c r="L83">
        <f>SUMIF(RecoveredRaw!$B:$B,$A83,RecoveredRaw!O:O)</f>
        <v>0</v>
      </c>
      <c r="M83">
        <f>SUMIF(RecoveredRaw!$B:$B,$A83,RecoveredRaw!P:P)</f>
        <v>0</v>
      </c>
      <c r="N83">
        <f>SUMIF(RecoveredRaw!$B:$B,$A83,RecoveredRaw!Q:Q)</f>
        <v>0</v>
      </c>
      <c r="O83">
        <f>SUMIF(RecoveredRaw!$B:$B,$A83,RecoveredRaw!R:R)</f>
        <v>0</v>
      </c>
      <c r="P83">
        <f>SUMIF(RecoveredRaw!$B:$B,$A83,RecoveredRaw!S:S)</f>
        <v>0</v>
      </c>
      <c r="Q83">
        <f>SUMIF(RecoveredRaw!$B:$B,$A83,RecoveredRaw!T:T)</f>
        <v>0</v>
      </c>
      <c r="R83">
        <f>SUMIF(RecoveredRaw!$B:$B,$A83,RecoveredRaw!U:U)</f>
        <v>0</v>
      </c>
      <c r="S83">
        <f>SUMIF(RecoveredRaw!$B:$B,$A83,RecoveredRaw!V:V)</f>
        <v>0</v>
      </c>
      <c r="T83">
        <f>SUMIF(RecoveredRaw!$B:$B,$A83,RecoveredRaw!W:W)</f>
        <v>0</v>
      </c>
      <c r="U83">
        <f>SUMIF(RecoveredRaw!$B:$B,$A83,RecoveredRaw!X:X)</f>
        <v>0</v>
      </c>
      <c r="V83">
        <f>SUMIF(RecoveredRaw!$B:$B,$A83,RecoveredRaw!Y:Y)</f>
        <v>0</v>
      </c>
      <c r="W83">
        <f>SUMIF(RecoveredRaw!$B:$B,$A83,RecoveredRaw!Z:Z)</f>
        <v>0</v>
      </c>
      <c r="X83">
        <f>SUMIF(RecoveredRaw!$B:$B,$A83,RecoveredRaw!AA:AA)</f>
        <v>0</v>
      </c>
      <c r="Y83">
        <f>SUMIF(RecoveredRaw!$B:$B,$A83,RecoveredRaw!AB:AB)</f>
        <v>0</v>
      </c>
      <c r="Z83">
        <f>SUMIF(RecoveredRaw!$B:$B,$A83,RecoveredRaw!AC:AC)</f>
        <v>0</v>
      </c>
      <c r="AA83">
        <f>SUMIF(RecoveredRaw!$B:$B,$A83,RecoveredRaw!AD:AD)</f>
        <v>0</v>
      </c>
      <c r="AB83">
        <f>SUMIF(RecoveredRaw!$B:$B,$A83,RecoveredRaw!AE:AE)</f>
        <v>0</v>
      </c>
      <c r="AC83">
        <f>SUMIF(RecoveredRaw!$B:$B,$A83,RecoveredRaw!AF:AF)</f>
        <v>0</v>
      </c>
      <c r="AD83">
        <f>SUMIF(RecoveredRaw!$B:$B,$A83,RecoveredRaw!AG:AG)</f>
        <v>0</v>
      </c>
      <c r="AE83">
        <f>SUMIF(RecoveredRaw!$B:$B,$A83,RecoveredRaw!AH:AH)</f>
        <v>0</v>
      </c>
      <c r="AF83">
        <f>SUMIF(RecoveredRaw!$B:$B,$A83,RecoveredRaw!AI:AI)</f>
        <v>0</v>
      </c>
      <c r="AG83">
        <f>SUMIF(RecoveredRaw!$B:$B,$A83,RecoveredRaw!AJ:AJ)</f>
        <v>0</v>
      </c>
      <c r="AH83">
        <f>SUMIF(RecoveredRaw!$B:$B,$A83,RecoveredRaw!AK:AK)</f>
        <v>0</v>
      </c>
      <c r="AI83">
        <f>SUMIF(RecoveredRaw!$B:$B,$A83,RecoveredRaw!AL:AL)</f>
        <v>0</v>
      </c>
      <c r="AJ83">
        <f>SUMIF(RecoveredRaw!$B:$B,$A83,RecoveredRaw!AM:AM)</f>
        <v>0</v>
      </c>
      <c r="AK83">
        <f>SUMIF(RecoveredRaw!$B:$B,$A83,RecoveredRaw!AN:AN)</f>
        <v>0</v>
      </c>
      <c r="AL83">
        <f>SUMIF(RecoveredRaw!$B:$B,$A83,RecoveredRaw!AO:AO)</f>
        <v>0</v>
      </c>
      <c r="AM83">
        <f>SUMIF(RecoveredRaw!$B:$B,$A83,RecoveredRaw!AP:AP)</f>
        <v>0</v>
      </c>
      <c r="AN83">
        <f>SUMIF(RecoveredRaw!$B:$B,$A83,RecoveredRaw!AQ:AQ)</f>
        <v>0</v>
      </c>
      <c r="AO83">
        <f>SUMIF(RecoveredRaw!$B:$B,$A83,RecoveredRaw!AR:AR)</f>
        <v>0</v>
      </c>
      <c r="AP83">
        <f>SUMIF(RecoveredRaw!$B:$B,$A83,RecoveredRaw!AS:AS)</f>
        <v>0</v>
      </c>
      <c r="AQ83">
        <f>SUMIF(RecoveredRaw!$B:$B,$A83,RecoveredRaw!AT:AT)</f>
        <v>0</v>
      </c>
      <c r="AR83">
        <f>SUMIF(RecoveredRaw!$B:$B,$A83,RecoveredRaw!AU:AU)</f>
        <v>0</v>
      </c>
      <c r="AS83">
        <f>SUMIF(RecoveredRaw!$B:$B,$A83,RecoveredRaw!AV:AV)</f>
        <v>0</v>
      </c>
      <c r="AT83">
        <f>SUMIF(RecoveredRaw!$B:$B,$A83,RecoveredRaw!AW:AW)</f>
        <v>0</v>
      </c>
      <c r="AU83">
        <f>SUMIF(RecoveredRaw!$B:$B,$A83,RecoveredRaw!AX:AX)</f>
        <v>0</v>
      </c>
      <c r="AV83">
        <f>SUMIF(RecoveredRaw!$B:$B,$A83,RecoveredRaw!AY:AY)</f>
        <v>0</v>
      </c>
      <c r="AW83">
        <f>SUMIF(RecoveredRaw!$B:$B,$A83,RecoveredRaw!AZ:AZ)</f>
        <v>0</v>
      </c>
      <c r="AX83">
        <f>SUMIF(RecoveredRaw!$B:$B,$A83,RecoveredRaw!BA:BA)</f>
        <v>0</v>
      </c>
      <c r="AY83">
        <f>SUMIF(RecoveredRaw!$B:$B,$A83,RecoveredRaw!BB:BB)</f>
        <v>0</v>
      </c>
      <c r="AZ83">
        <f>SUMIF(RecoveredRaw!$B:$B,$A83,RecoveredRaw!BC:BC)</f>
        <v>0</v>
      </c>
      <c r="BA83">
        <f>SUMIF(RecoveredRaw!$B:$B,$A83,RecoveredRaw!BD:BD)</f>
        <v>0</v>
      </c>
      <c r="BB83">
        <f>SUMIF(RecoveredRaw!$B:$B,$A83,RecoveredRaw!BE:BE)</f>
        <v>0</v>
      </c>
      <c r="BC83">
        <f>SUMIF(RecoveredRaw!$B:$B,$A83,RecoveredRaw!BF:BF)</f>
        <v>0</v>
      </c>
      <c r="BD83">
        <f>SUMIF(RecoveredRaw!$B:$B,$A83,RecoveredRaw!BG:BG)</f>
        <v>0</v>
      </c>
      <c r="BE83">
        <f>SUMIF(RecoveredRaw!$B:$B,$A83,RecoveredRaw!BH:BH)</f>
        <v>1</v>
      </c>
      <c r="BF83">
        <f>SUMIF(RecoveredRaw!$B:$B,$A83,RecoveredRaw!BI:BI)</f>
        <v>1</v>
      </c>
      <c r="BG83">
        <f>SUMIF(RecoveredRaw!$B:$B,$A83,RecoveredRaw!BJ:BJ)</f>
        <v>1</v>
      </c>
      <c r="BH83">
        <f>SUMIF(RecoveredRaw!$B:$B,$A83,RecoveredRaw!BK:BK)</f>
        <v>1</v>
      </c>
      <c r="BI83">
        <f>SUMIF(RecoveredRaw!$B:$B,$A83,RecoveredRaw!BL:BL)</f>
        <v>0</v>
      </c>
      <c r="BJ83">
        <f>SUMIF(RecoveredRaw!$B:$B,$A83,RecoveredRaw!BM:BM)</f>
        <v>0</v>
      </c>
      <c r="BK83">
        <f>SUMIF(RecoveredRaw!$B:$B,$A83,RecoveredRaw!BN:BN)</f>
        <v>0</v>
      </c>
      <c r="BL83">
        <f>SUMIF(RecoveredRaw!$B:$B,$A83,RecoveredRaw!BO:BO)</f>
        <v>0</v>
      </c>
      <c r="BM83">
        <f>SUMIF(RecoveredRaw!$B:$B,$A83,RecoveredRaw!BP:BP)</f>
        <v>0</v>
      </c>
      <c r="BN83">
        <f>SUMIF(RecoveredRaw!$B:$B,$A83,RecoveredRaw!BQ:BQ)</f>
        <v>0</v>
      </c>
      <c r="BO83">
        <f>SUMIF(RecoveredRaw!$B:$B,$A83,RecoveredRaw!BR:BR)</f>
        <v>0</v>
      </c>
      <c r="BP83">
        <f>SUMIF(RecoveredRaw!$B:$B,$A83,RecoveredRaw!BS:BS)</f>
        <v>0</v>
      </c>
      <c r="BQ83">
        <f>SUMIF(RecoveredRaw!$B:$B,$A83,RecoveredRaw!BT:BT)</f>
        <v>0</v>
      </c>
      <c r="BR83">
        <f>SUMIF(RecoveredRaw!$B:$B,$A83,RecoveredRaw!BU:BU)</f>
        <v>0</v>
      </c>
      <c r="BS83">
        <f>SUMIF(RecoveredRaw!$B:$B,$A83,RecoveredRaw!BV:BV)</f>
        <v>0</v>
      </c>
      <c r="BT83">
        <f>SUMIF(RecoveredRaw!$B:$B,$A83,RecoveredRaw!BW:BW)</f>
        <v>0</v>
      </c>
    </row>
    <row r="84" spans="1:72" ht="15" thickBot="1" x14ac:dyDescent="0.35">
      <c r="A84" s="3" t="s">
        <v>353</v>
      </c>
      <c r="B84">
        <f>SUMIF(RecoveredRaw!$B:$B,$A84,RecoveredRaw!E:E)</f>
        <v>0</v>
      </c>
      <c r="C84">
        <f>SUMIF(RecoveredRaw!$B:$B,$A84,RecoveredRaw!F:F)</f>
        <v>0</v>
      </c>
      <c r="D84">
        <f>SUMIF(RecoveredRaw!$B:$B,$A84,RecoveredRaw!G:G)</f>
        <v>0</v>
      </c>
      <c r="E84">
        <f>SUMIF(RecoveredRaw!$B:$B,$A84,RecoveredRaw!H:H)</f>
        <v>0</v>
      </c>
      <c r="F84">
        <f>SUMIF(RecoveredRaw!$B:$B,$A84,RecoveredRaw!I:I)</f>
        <v>0</v>
      </c>
      <c r="G84">
        <f>SUMIF(RecoveredRaw!$B:$B,$A84,RecoveredRaw!J:J)</f>
        <v>0</v>
      </c>
      <c r="H84">
        <f>SUMIF(RecoveredRaw!$B:$B,$A84,RecoveredRaw!K:K)</f>
        <v>0</v>
      </c>
      <c r="I84">
        <f>SUMIF(RecoveredRaw!$B:$B,$A84,RecoveredRaw!L:L)</f>
        <v>0</v>
      </c>
      <c r="J84">
        <f>SUMIF(RecoveredRaw!$B:$B,$A84,RecoveredRaw!M:M)</f>
        <v>0</v>
      </c>
      <c r="K84">
        <f>SUMIF(RecoveredRaw!$B:$B,$A84,RecoveredRaw!N:N)</f>
        <v>0</v>
      </c>
      <c r="L84">
        <f>SUMIF(RecoveredRaw!$B:$B,$A84,RecoveredRaw!O:O)</f>
        <v>0</v>
      </c>
      <c r="M84">
        <f>SUMIF(RecoveredRaw!$B:$B,$A84,RecoveredRaw!P:P)</f>
        <v>0</v>
      </c>
      <c r="N84">
        <f>SUMIF(RecoveredRaw!$B:$B,$A84,RecoveredRaw!Q:Q)</f>
        <v>0</v>
      </c>
      <c r="O84">
        <f>SUMIF(RecoveredRaw!$B:$B,$A84,RecoveredRaw!R:R)</f>
        <v>0</v>
      </c>
      <c r="P84">
        <f>SUMIF(RecoveredRaw!$B:$B,$A84,RecoveredRaw!S:S)</f>
        <v>0</v>
      </c>
      <c r="Q84">
        <f>SUMIF(RecoveredRaw!$B:$B,$A84,RecoveredRaw!T:T)</f>
        <v>0</v>
      </c>
      <c r="R84">
        <f>SUMIF(RecoveredRaw!$B:$B,$A84,RecoveredRaw!U:U)</f>
        <v>0</v>
      </c>
      <c r="S84">
        <f>SUMIF(RecoveredRaw!$B:$B,$A84,RecoveredRaw!V:V)</f>
        <v>0</v>
      </c>
      <c r="T84">
        <f>SUMIF(RecoveredRaw!$B:$B,$A84,RecoveredRaw!W:W)</f>
        <v>0</v>
      </c>
      <c r="U84">
        <f>SUMIF(RecoveredRaw!$B:$B,$A84,RecoveredRaw!X:X)</f>
        <v>0</v>
      </c>
      <c r="V84">
        <f>SUMIF(RecoveredRaw!$B:$B,$A84,RecoveredRaw!Y:Y)</f>
        <v>0</v>
      </c>
      <c r="W84">
        <f>SUMIF(RecoveredRaw!$B:$B,$A84,RecoveredRaw!Z:Z)</f>
        <v>0</v>
      </c>
      <c r="X84">
        <f>SUMIF(RecoveredRaw!$B:$B,$A84,RecoveredRaw!AA:AA)</f>
        <v>0</v>
      </c>
      <c r="Y84">
        <f>SUMIF(RecoveredRaw!$B:$B,$A84,RecoveredRaw!AB:AB)</f>
        <v>0</v>
      </c>
      <c r="Z84">
        <f>SUMIF(RecoveredRaw!$B:$B,$A84,RecoveredRaw!AC:AC)</f>
        <v>0</v>
      </c>
      <c r="AA84">
        <f>SUMIF(RecoveredRaw!$B:$B,$A84,RecoveredRaw!AD:AD)</f>
        <v>0</v>
      </c>
      <c r="AB84">
        <f>SUMIF(RecoveredRaw!$B:$B,$A84,RecoveredRaw!AE:AE)</f>
        <v>0</v>
      </c>
      <c r="AC84">
        <f>SUMIF(RecoveredRaw!$B:$B,$A84,RecoveredRaw!AF:AF)</f>
        <v>0</v>
      </c>
      <c r="AD84">
        <f>SUMIF(RecoveredRaw!$B:$B,$A84,RecoveredRaw!AG:AG)</f>
        <v>0</v>
      </c>
      <c r="AE84">
        <f>SUMIF(RecoveredRaw!$B:$B,$A84,RecoveredRaw!AH:AH)</f>
        <v>0</v>
      </c>
      <c r="AF84">
        <f>SUMIF(RecoveredRaw!$B:$B,$A84,RecoveredRaw!AI:AI)</f>
        <v>0</v>
      </c>
      <c r="AG84">
        <f>SUMIF(RecoveredRaw!$B:$B,$A84,RecoveredRaw!AJ:AJ)</f>
        <v>0</v>
      </c>
      <c r="AH84">
        <f>SUMIF(RecoveredRaw!$B:$B,$A84,RecoveredRaw!AK:AK)</f>
        <v>0</v>
      </c>
      <c r="AI84">
        <f>SUMIF(RecoveredRaw!$B:$B,$A84,RecoveredRaw!AL:AL)</f>
        <v>0</v>
      </c>
      <c r="AJ84">
        <f>SUMIF(RecoveredRaw!$B:$B,$A84,RecoveredRaw!AM:AM)</f>
        <v>0</v>
      </c>
      <c r="AK84">
        <f>SUMIF(RecoveredRaw!$B:$B,$A84,RecoveredRaw!AN:AN)</f>
        <v>0</v>
      </c>
      <c r="AL84">
        <f>SUMIF(RecoveredRaw!$B:$B,$A84,RecoveredRaw!AO:AO)</f>
        <v>0</v>
      </c>
      <c r="AM84">
        <f>SUMIF(RecoveredRaw!$B:$B,$A84,RecoveredRaw!AP:AP)</f>
        <v>0</v>
      </c>
      <c r="AN84">
        <f>SUMIF(RecoveredRaw!$B:$B,$A84,RecoveredRaw!AQ:AQ)</f>
        <v>0</v>
      </c>
      <c r="AO84">
        <f>SUMIF(RecoveredRaw!$B:$B,$A84,RecoveredRaw!AR:AR)</f>
        <v>0</v>
      </c>
      <c r="AP84">
        <f>SUMIF(RecoveredRaw!$B:$B,$A84,RecoveredRaw!AS:AS)</f>
        <v>0</v>
      </c>
      <c r="AQ84">
        <f>SUMIF(RecoveredRaw!$B:$B,$A84,RecoveredRaw!AT:AT)</f>
        <v>0</v>
      </c>
      <c r="AR84">
        <f>SUMIF(RecoveredRaw!$B:$B,$A84,RecoveredRaw!AU:AU)</f>
        <v>0</v>
      </c>
      <c r="AS84">
        <f>SUMIF(RecoveredRaw!$B:$B,$A84,RecoveredRaw!AV:AV)</f>
        <v>0</v>
      </c>
      <c r="AT84">
        <f>SUMIF(RecoveredRaw!$B:$B,$A84,RecoveredRaw!AW:AW)</f>
        <v>0</v>
      </c>
      <c r="AU84">
        <f>SUMIF(RecoveredRaw!$B:$B,$A84,RecoveredRaw!AX:AX)</f>
        <v>0</v>
      </c>
      <c r="AV84">
        <f>SUMIF(RecoveredRaw!$B:$B,$A84,RecoveredRaw!AY:AY)</f>
        <v>0</v>
      </c>
      <c r="AW84">
        <f>SUMIF(RecoveredRaw!$B:$B,$A84,RecoveredRaw!AZ:AZ)</f>
        <v>0</v>
      </c>
      <c r="AX84">
        <f>SUMIF(RecoveredRaw!$B:$B,$A84,RecoveredRaw!BA:BA)</f>
        <v>0</v>
      </c>
      <c r="AY84">
        <f>SUMIF(RecoveredRaw!$B:$B,$A84,RecoveredRaw!BB:BB)</f>
        <v>0</v>
      </c>
      <c r="AZ84">
        <f>SUMIF(RecoveredRaw!$B:$B,$A84,RecoveredRaw!BC:BC)</f>
        <v>0</v>
      </c>
      <c r="BA84">
        <f>SUMIF(RecoveredRaw!$B:$B,$A84,RecoveredRaw!BD:BD)</f>
        <v>0</v>
      </c>
      <c r="BB84">
        <f>SUMIF(RecoveredRaw!$B:$B,$A84,RecoveredRaw!BE:BE)</f>
        <v>0</v>
      </c>
      <c r="BC84">
        <f>SUMIF(RecoveredRaw!$B:$B,$A84,RecoveredRaw!BF:BF)</f>
        <v>0</v>
      </c>
      <c r="BD84">
        <f>SUMIF(RecoveredRaw!$B:$B,$A84,RecoveredRaw!BG:BG)</f>
        <v>2</v>
      </c>
      <c r="BE84">
        <f>SUMIF(RecoveredRaw!$B:$B,$A84,RecoveredRaw!BH:BH)</f>
        <v>2</v>
      </c>
      <c r="BF84">
        <f>SUMIF(RecoveredRaw!$B:$B,$A84,RecoveredRaw!BI:BI)</f>
        <v>2</v>
      </c>
      <c r="BG84">
        <f>SUMIF(RecoveredRaw!$B:$B,$A84,RecoveredRaw!BJ:BJ)</f>
        <v>2</v>
      </c>
      <c r="BH84">
        <f>SUMIF(RecoveredRaw!$B:$B,$A84,RecoveredRaw!BK:BK)</f>
        <v>2</v>
      </c>
      <c r="BI84">
        <f>SUMIF(RecoveredRaw!$B:$B,$A84,RecoveredRaw!BL:BL)</f>
        <v>0</v>
      </c>
      <c r="BJ84">
        <f>SUMIF(RecoveredRaw!$B:$B,$A84,RecoveredRaw!BM:BM)</f>
        <v>0</v>
      </c>
      <c r="BK84">
        <f>SUMIF(RecoveredRaw!$B:$B,$A84,RecoveredRaw!BN:BN)</f>
        <v>0</v>
      </c>
      <c r="BL84">
        <f>SUMIF(RecoveredRaw!$B:$B,$A84,RecoveredRaw!BO:BO)</f>
        <v>0</v>
      </c>
      <c r="BM84">
        <f>SUMIF(RecoveredRaw!$B:$B,$A84,RecoveredRaw!BP:BP)</f>
        <v>0</v>
      </c>
      <c r="BN84">
        <f>SUMIF(RecoveredRaw!$B:$B,$A84,RecoveredRaw!BQ:BQ)</f>
        <v>0</v>
      </c>
      <c r="BO84">
        <f>SUMIF(RecoveredRaw!$B:$B,$A84,RecoveredRaw!BR:BR)</f>
        <v>0</v>
      </c>
      <c r="BP84">
        <f>SUMIF(RecoveredRaw!$B:$B,$A84,RecoveredRaw!BS:BS)</f>
        <v>0</v>
      </c>
      <c r="BQ84">
        <f>SUMIF(RecoveredRaw!$B:$B,$A84,RecoveredRaw!BT:BT)</f>
        <v>0</v>
      </c>
      <c r="BR84">
        <f>SUMIF(RecoveredRaw!$B:$B,$A84,RecoveredRaw!BU:BU)</f>
        <v>0</v>
      </c>
      <c r="BS84">
        <f>SUMIF(RecoveredRaw!$B:$B,$A84,RecoveredRaw!BV:BV)</f>
        <v>0</v>
      </c>
      <c r="BT84">
        <f>SUMIF(RecoveredRaw!$B:$B,$A84,RecoveredRaw!BW:BW)</f>
        <v>0</v>
      </c>
    </row>
    <row r="85" spans="1:72" ht="15" thickBot="1" x14ac:dyDescent="0.35">
      <c r="A85" s="3" t="s">
        <v>72</v>
      </c>
      <c r="B85">
        <f>SUMIF(RecoveredRaw!$B:$B,$A85,RecoveredRaw!E:E)</f>
        <v>0</v>
      </c>
      <c r="C85">
        <f>SUMIF(RecoveredRaw!$B:$B,$A85,RecoveredRaw!F:F)</f>
        <v>0</v>
      </c>
      <c r="D85">
        <f>SUMIF(RecoveredRaw!$B:$B,$A85,RecoveredRaw!G:G)</f>
        <v>0</v>
      </c>
      <c r="E85">
        <f>SUMIF(RecoveredRaw!$B:$B,$A85,RecoveredRaw!H:H)</f>
        <v>0</v>
      </c>
      <c r="F85">
        <f>SUMIF(RecoveredRaw!$B:$B,$A85,RecoveredRaw!I:I)</f>
        <v>0</v>
      </c>
      <c r="G85">
        <f>SUMIF(RecoveredRaw!$B:$B,$A85,RecoveredRaw!J:J)</f>
        <v>0</v>
      </c>
      <c r="H85">
        <f>SUMIF(RecoveredRaw!$B:$B,$A85,RecoveredRaw!K:K)</f>
        <v>0</v>
      </c>
      <c r="I85">
        <f>SUMIF(RecoveredRaw!$B:$B,$A85,RecoveredRaw!L:L)</f>
        <v>0</v>
      </c>
      <c r="J85">
        <f>SUMIF(RecoveredRaw!$B:$B,$A85,RecoveredRaw!M:M)</f>
        <v>0</v>
      </c>
      <c r="K85">
        <f>SUMIF(RecoveredRaw!$B:$B,$A85,RecoveredRaw!N:N)</f>
        <v>0</v>
      </c>
      <c r="L85">
        <f>SUMIF(RecoveredRaw!$B:$B,$A85,RecoveredRaw!O:O)</f>
        <v>0</v>
      </c>
      <c r="M85">
        <f>SUMIF(RecoveredRaw!$B:$B,$A85,RecoveredRaw!P:P)</f>
        <v>0</v>
      </c>
      <c r="N85">
        <f>SUMIF(RecoveredRaw!$B:$B,$A85,RecoveredRaw!Q:Q)</f>
        <v>0</v>
      </c>
      <c r="O85">
        <f>SUMIF(RecoveredRaw!$B:$B,$A85,RecoveredRaw!R:R)</f>
        <v>0</v>
      </c>
      <c r="P85">
        <f>SUMIF(RecoveredRaw!$B:$B,$A85,RecoveredRaw!S:S)</f>
        <v>0</v>
      </c>
      <c r="Q85">
        <f>SUMIF(RecoveredRaw!$B:$B,$A85,RecoveredRaw!T:T)</f>
        <v>0</v>
      </c>
      <c r="R85">
        <f>SUMIF(RecoveredRaw!$B:$B,$A85,RecoveredRaw!U:U)</f>
        <v>0</v>
      </c>
      <c r="S85">
        <f>SUMIF(RecoveredRaw!$B:$B,$A85,RecoveredRaw!V:V)</f>
        <v>0</v>
      </c>
      <c r="T85">
        <f>SUMIF(RecoveredRaw!$B:$B,$A85,RecoveredRaw!W:W)</f>
        <v>0</v>
      </c>
      <c r="U85">
        <f>SUMIF(RecoveredRaw!$B:$B,$A85,RecoveredRaw!X:X)</f>
        <v>0</v>
      </c>
      <c r="V85">
        <f>SUMIF(RecoveredRaw!$B:$B,$A85,RecoveredRaw!Y:Y)</f>
        <v>0</v>
      </c>
      <c r="W85">
        <f>SUMIF(RecoveredRaw!$B:$B,$A85,RecoveredRaw!Z:Z)</f>
        <v>0</v>
      </c>
      <c r="X85">
        <f>SUMIF(RecoveredRaw!$B:$B,$A85,RecoveredRaw!AA:AA)</f>
        <v>0</v>
      </c>
      <c r="Y85">
        <f>SUMIF(RecoveredRaw!$B:$B,$A85,RecoveredRaw!AB:AB)</f>
        <v>0</v>
      </c>
      <c r="Z85">
        <f>SUMIF(RecoveredRaw!$B:$B,$A85,RecoveredRaw!AC:AC)</f>
        <v>0</v>
      </c>
      <c r="AA85">
        <f>SUMIF(RecoveredRaw!$B:$B,$A85,RecoveredRaw!AD:AD)</f>
        <v>0</v>
      </c>
      <c r="AB85">
        <f>SUMIF(RecoveredRaw!$B:$B,$A85,RecoveredRaw!AE:AE)</f>
        <v>0</v>
      </c>
      <c r="AC85">
        <f>SUMIF(RecoveredRaw!$B:$B,$A85,RecoveredRaw!AF:AF)</f>
        <v>0</v>
      </c>
      <c r="AD85">
        <f>SUMIF(RecoveredRaw!$B:$B,$A85,RecoveredRaw!AG:AG)</f>
        <v>0</v>
      </c>
      <c r="AE85">
        <f>SUMIF(RecoveredRaw!$B:$B,$A85,RecoveredRaw!AH:AH)</f>
        <v>0</v>
      </c>
      <c r="AF85">
        <f>SUMIF(RecoveredRaw!$B:$B,$A85,RecoveredRaw!AI:AI)</f>
        <v>0</v>
      </c>
      <c r="AG85">
        <f>SUMIF(RecoveredRaw!$B:$B,$A85,RecoveredRaw!AJ:AJ)</f>
        <v>0</v>
      </c>
      <c r="AH85">
        <f>SUMIF(RecoveredRaw!$B:$B,$A85,RecoveredRaw!AK:AK)</f>
        <v>0</v>
      </c>
      <c r="AI85">
        <f>SUMIF(RecoveredRaw!$B:$B,$A85,RecoveredRaw!AL:AL)</f>
        <v>0</v>
      </c>
      <c r="AJ85">
        <f>SUMIF(RecoveredRaw!$B:$B,$A85,RecoveredRaw!AM:AM)</f>
        <v>0</v>
      </c>
      <c r="AK85">
        <f>SUMIF(RecoveredRaw!$B:$B,$A85,RecoveredRaw!AN:AN)</f>
        <v>0</v>
      </c>
      <c r="AL85">
        <f>SUMIF(RecoveredRaw!$B:$B,$A85,RecoveredRaw!AO:AO)</f>
        <v>0</v>
      </c>
      <c r="AM85">
        <f>SUMIF(RecoveredRaw!$B:$B,$A85,RecoveredRaw!AP:AP)</f>
        <v>0</v>
      </c>
      <c r="AN85">
        <f>SUMIF(RecoveredRaw!$B:$B,$A85,RecoveredRaw!AQ:AQ)</f>
        <v>0</v>
      </c>
      <c r="AO85">
        <f>SUMIF(RecoveredRaw!$B:$B,$A85,RecoveredRaw!AR:AR)</f>
        <v>0</v>
      </c>
      <c r="AP85">
        <f>SUMIF(RecoveredRaw!$B:$B,$A85,RecoveredRaw!AS:AS)</f>
        <v>0</v>
      </c>
      <c r="AQ85">
        <f>SUMIF(RecoveredRaw!$B:$B,$A85,RecoveredRaw!AT:AT)</f>
        <v>0</v>
      </c>
      <c r="AR85">
        <f>SUMIF(RecoveredRaw!$B:$B,$A85,RecoveredRaw!AU:AU)</f>
        <v>0</v>
      </c>
      <c r="AS85">
        <f>SUMIF(RecoveredRaw!$B:$B,$A85,RecoveredRaw!AV:AV)</f>
        <v>0</v>
      </c>
      <c r="AT85">
        <f>SUMIF(RecoveredRaw!$B:$B,$A85,RecoveredRaw!AW:AW)</f>
        <v>0</v>
      </c>
      <c r="AU85">
        <f>SUMIF(RecoveredRaw!$B:$B,$A85,RecoveredRaw!AX:AX)</f>
        <v>0</v>
      </c>
      <c r="AV85">
        <f>SUMIF(RecoveredRaw!$B:$B,$A85,RecoveredRaw!AY:AY)</f>
        <v>0</v>
      </c>
      <c r="AW85">
        <f>SUMIF(RecoveredRaw!$B:$B,$A85,RecoveredRaw!AZ:AZ)</f>
        <v>0</v>
      </c>
      <c r="AX85">
        <f>SUMIF(RecoveredRaw!$B:$B,$A85,RecoveredRaw!BA:BA)</f>
        <v>0</v>
      </c>
      <c r="AY85">
        <f>SUMIF(RecoveredRaw!$B:$B,$A85,RecoveredRaw!BB:BB)</f>
        <v>0</v>
      </c>
      <c r="AZ85">
        <f>SUMIF(RecoveredRaw!$B:$B,$A85,RecoveredRaw!BC:BC)</f>
        <v>0</v>
      </c>
      <c r="BA85">
        <f>SUMIF(RecoveredRaw!$B:$B,$A85,RecoveredRaw!BD:BD)</f>
        <v>0</v>
      </c>
      <c r="BB85">
        <f>SUMIF(RecoveredRaw!$B:$B,$A85,RecoveredRaw!BE:BE)</f>
        <v>0</v>
      </c>
      <c r="BC85">
        <f>SUMIF(RecoveredRaw!$B:$B,$A85,RecoveredRaw!BF:BF)</f>
        <v>0</v>
      </c>
      <c r="BD85">
        <f>SUMIF(RecoveredRaw!$B:$B,$A85,RecoveredRaw!BG:BG)</f>
        <v>1</v>
      </c>
      <c r="BE85">
        <f>SUMIF(RecoveredRaw!$B:$B,$A85,RecoveredRaw!BH:BH)</f>
        <v>1</v>
      </c>
      <c r="BF85">
        <f>SUMIF(RecoveredRaw!$B:$B,$A85,RecoveredRaw!BI:BI)</f>
        <v>1</v>
      </c>
      <c r="BG85">
        <f>SUMIF(RecoveredRaw!$B:$B,$A85,RecoveredRaw!BJ:BJ)</f>
        <v>1</v>
      </c>
      <c r="BH85">
        <f>SUMIF(RecoveredRaw!$B:$B,$A85,RecoveredRaw!BK:BK)</f>
        <v>1</v>
      </c>
      <c r="BI85">
        <f>SUMIF(RecoveredRaw!$B:$B,$A85,RecoveredRaw!BL:BL)</f>
        <v>0</v>
      </c>
      <c r="BJ85">
        <f>SUMIF(RecoveredRaw!$B:$B,$A85,RecoveredRaw!BM:BM)</f>
        <v>0</v>
      </c>
      <c r="BK85">
        <f>SUMIF(RecoveredRaw!$B:$B,$A85,RecoveredRaw!BN:BN)</f>
        <v>0</v>
      </c>
      <c r="BL85">
        <f>SUMIF(RecoveredRaw!$B:$B,$A85,RecoveredRaw!BO:BO)</f>
        <v>0</v>
      </c>
      <c r="BM85">
        <f>SUMIF(RecoveredRaw!$B:$B,$A85,RecoveredRaw!BP:BP)</f>
        <v>0</v>
      </c>
      <c r="BN85">
        <f>SUMIF(RecoveredRaw!$B:$B,$A85,RecoveredRaw!BQ:BQ)</f>
        <v>0</v>
      </c>
      <c r="BO85">
        <f>SUMIF(RecoveredRaw!$B:$B,$A85,RecoveredRaw!BR:BR)</f>
        <v>0</v>
      </c>
      <c r="BP85">
        <f>SUMIF(RecoveredRaw!$B:$B,$A85,RecoveredRaw!BS:BS)</f>
        <v>0</v>
      </c>
      <c r="BQ85">
        <f>SUMIF(RecoveredRaw!$B:$B,$A85,RecoveredRaw!BT:BT)</f>
        <v>0</v>
      </c>
      <c r="BR85">
        <f>SUMIF(RecoveredRaw!$B:$B,$A85,RecoveredRaw!BU:BU)</f>
        <v>0</v>
      </c>
      <c r="BS85">
        <f>SUMIF(RecoveredRaw!$B:$B,$A85,RecoveredRaw!BV:BV)</f>
        <v>0</v>
      </c>
      <c r="BT85">
        <f>SUMIF(RecoveredRaw!$B:$B,$A85,RecoveredRaw!BW:BW)</f>
        <v>0</v>
      </c>
    </row>
    <row r="86" spans="1:72" ht="15" thickBot="1" x14ac:dyDescent="0.35">
      <c r="A86" s="3" t="s">
        <v>112</v>
      </c>
      <c r="B86">
        <f>SUMIF(RecoveredRaw!$B:$B,$A86,RecoveredRaw!E:E)</f>
        <v>0</v>
      </c>
      <c r="C86">
        <f>SUMIF(RecoveredRaw!$B:$B,$A86,RecoveredRaw!F:F)</f>
        <v>0</v>
      </c>
      <c r="D86">
        <f>SUMIF(RecoveredRaw!$B:$B,$A86,RecoveredRaw!G:G)</f>
        <v>0</v>
      </c>
      <c r="E86">
        <f>SUMIF(RecoveredRaw!$B:$B,$A86,RecoveredRaw!H:H)</f>
        <v>0</v>
      </c>
      <c r="F86">
        <f>SUMIF(RecoveredRaw!$B:$B,$A86,RecoveredRaw!I:I)</f>
        <v>0</v>
      </c>
      <c r="G86">
        <f>SUMIF(RecoveredRaw!$B:$B,$A86,RecoveredRaw!J:J)</f>
        <v>0</v>
      </c>
      <c r="H86">
        <f>SUMIF(RecoveredRaw!$B:$B,$A86,RecoveredRaw!K:K)</f>
        <v>0</v>
      </c>
      <c r="I86">
        <f>SUMIF(RecoveredRaw!$B:$B,$A86,RecoveredRaw!L:L)</f>
        <v>0</v>
      </c>
      <c r="J86">
        <f>SUMIF(RecoveredRaw!$B:$B,$A86,RecoveredRaw!M:M)</f>
        <v>0</v>
      </c>
      <c r="K86">
        <f>SUMIF(RecoveredRaw!$B:$B,$A86,RecoveredRaw!N:N)</f>
        <v>0</v>
      </c>
      <c r="L86">
        <f>SUMIF(RecoveredRaw!$B:$B,$A86,RecoveredRaw!O:O)</f>
        <v>0</v>
      </c>
      <c r="M86">
        <f>SUMIF(RecoveredRaw!$B:$B,$A86,RecoveredRaw!P:P)</f>
        <v>0</v>
      </c>
      <c r="N86">
        <f>SUMIF(RecoveredRaw!$B:$B,$A86,RecoveredRaw!Q:Q)</f>
        <v>0</v>
      </c>
      <c r="O86">
        <f>SUMIF(RecoveredRaw!$B:$B,$A86,RecoveredRaw!R:R)</f>
        <v>0</v>
      </c>
      <c r="P86">
        <f>SUMIF(RecoveredRaw!$B:$B,$A86,RecoveredRaw!S:S)</f>
        <v>0</v>
      </c>
      <c r="Q86">
        <f>SUMIF(RecoveredRaw!$B:$B,$A86,RecoveredRaw!T:T)</f>
        <v>0</v>
      </c>
      <c r="R86">
        <f>SUMIF(RecoveredRaw!$B:$B,$A86,RecoveredRaw!U:U)</f>
        <v>0</v>
      </c>
      <c r="S86">
        <f>SUMIF(RecoveredRaw!$B:$B,$A86,RecoveredRaw!V:V)</f>
        <v>0</v>
      </c>
      <c r="T86">
        <f>SUMIF(RecoveredRaw!$B:$B,$A86,RecoveredRaw!W:W)</f>
        <v>0</v>
      </c>
      <c r="U86">
        <f>SUMIF(RecoveredRaw!$B:$B,$A86,RecoveredRaw!X:X)</f>
        <v>0</v>
      </c>
      <c r="V86">
        <f>SUMIF(RecoveredRaw!$B:$B,$A86,RecoveredRaw!Y:Y)</f>
        <v>0</v>
      </c>
      <c r="W86">
        <f>SUMIF(RecoveredRaw!$B:$B,$A86,RecoveredRaw!Z:Z)</f>
        <v>0</v>
      </c>
      <c r="X86">
        <f>SUMIF(RecoveredRaw!$B:$B,$A86,RecoveredRaw!AA:AA)</f>
        <v>0</v>
      </c>
      <c r="Y86">
        <f>SUMIF(RecoveredRaw!$B:$B,$A86,RecoveredRaw!AB:AB)</f>
        <v>0</v>
      </c>
      <c r="Z86">
        <f>SUMIF(RecoveredRaw!$B:$B,$A86,RecoveredRaw!AC:AC)</f>
        <v>0</v>
      </c>
      <c r="AA86">
        <f>SUMIF(RecoveredRaw!$B:$B,$A86,RecoveredRaw!AD:AD)</f>
        <v>0</v>
      </c>
      <c r="AB86">
        <f>SUMIF(RecoveredRaw!$B:$B,$A86,RecoveredRaw!AE:AE)</f>
        <v>0</v>
      </c>
      <c r="AC86">
        <f>SUMIF(RecoveredRaw!$B:$B,$A86,RecoveredRaw!AF:AF)</f>
        <v>0</v>
      </c>
      <c r="AD86">
        <f>SUMIF(RecoveredRaw!$B:$B,$A86,RecoveredRaw!AG:AG)</f>
        <v>0</v>
      </c>
      <c r="AE86">
        <f>SUMIF(RecoveredRaw!$B:$B,$A86,RecoveredRaw!AH:AH)</f>
        <v>0</v>
      </c>
      <c r="AF86">
        <f>SUMIF(RecoveredRaw!$B:$B,$A86,RecoveredRaw!AI:AI)</f>
        <v>0</v>
      </c>
      <c r="AG86">
        <f>SUMIF(RecoveredRaw!$B:$B,$A86,RecoveredRaw!AJ:AJ)</f>
        <v>0</v>
      </c>
      <c r="AH86">
        <f>SUMIF(RecoveredRaw!$B:$B,$A86,RecoveredRaw!AK:AK)</f>
        <v>0</v>
      </c>
      <c r="AI86">
        <f>SUMIF(RecoveredRaw!$B:$B,$A86,RecoveredRaw!AL:AL)</f>
        <v>0</v>
      </c>
      <c r="AJ86">
        <f>SUMIF(RecoveredRaw!$B:$B,$A86,RecoveredRaw!AM:AM)</f>
        <v>0</v>
      </c>
      <c r="AK86">
        <f>SUMIF(RecoveredRaw!$B:$B,$A86,RecoveredRaw!AN:AN)</f>
        <v>0</v>
      </c>
      <c r="AL86">
        <f>SUMIF(RecoveredRaw!$B:$B,$A86,RecoveredRaw!AO:AO)</f>
        <v>0</v>
      </c>
      <c r="AM86">
        <f>SUMIF(RecoveredRaw!$B:$B,$A86,RecoveredRaw!AP:AP)</f>
        <v>0</v>
      </c>
      <c r="AN86">
        <f>SUMIF(RecoveredRaw!$B:$B,$A86,RecoveredRaw!AQ:AQ)</f>
        <v>0</v>
      </c>
      <c r="AO86">
        <f>SUMIF(RecoveredRaw!$B:$B,$A86,RecoveredRaw!AR:AR)</f>
        <v>0</v>
      </c>
      <c r="AP86">
        <f>SUMIF(RecoveredRaw!$B:$B,$A86,RecoveredRaw!AS:AS)</f>
        <v>0</v>
      </c>
      <c r="AQ86">
        <f>SUMIF(RecoveredRaw!$B:$B,$A86,RecoveredRaw!AT:AT)</f>
        <v>0</v>
      </c>
      <c r="AR86">
        <f>SUMIF(RecoveredRaw!$B:$B,$A86,RecoveredRaw!AU:AU)</f>
        <v>0</v>
      </c>
      <c r="AS86">
        <f>SUMIF(RecoveredRaw!$B:$B,$A86,RecoveredRaw!AV:AV)</f>
        <v>0</v>
      </c>
      <c r="AT86">
        <f>SUMIF(RecoveredRaw!$B:$B,$A86,RecoveredRaw!AW:AW)</f>
        <v>0</v>
      </c>
      <c r="AU86">
        <f>SUMIF(RecoveredRaw!$B:$B,$A86,RecoveredRaw!AX:AX)</f>
        <v>0</v>
      </c>
      <c r="AV86">
        <f>SUMIF(RecoveredRaw!$B:$B,$A86,RecoveredRaw!AY:AY)</f>
        <v>0</v>
      </c>
      <c r="AW86">
        <f>SUMIF(RecoveredRaw!$B:$B,$A86,RecoveredRaw!AZ:AZ)</f>
        <v>0</v>
      </c>
      <c r="AX86">
        <f>SUMIF(RecoveredRaw!$B:$B,$A86,RecoveredRaw!BA:BA)</f>
        <v>0</v>
      </c>
      <c r="AY86">
        <f>SUMIF(RecoveredRaw!$B:$B,$A86,RecoveredRaw!BB:BB)</f>
        <v>0</v>
      </c>
      <c r="AZ86">
        <f>SUMIF(RecoveredRaw!$B:$B,$A86,RecoveredRaw!BC:BC)</f>
        <v>0</v>
      </c>
      <c r="BA86">
        <f>SUMIF(RecoveredRaw!$B:$B,$A86,RecoveredRaw!BD:BD)</f>
        <v>1</v>
      </c>
      <c r="BB86">
        <f>SUMIF(RecoveredRaw!$B:$B,$A86,RecoveredRaw!BE:BE)</f>
        <v>1</v>
      </c>
      <c r="BC86">
        <f>SUMIF(RecoveredRaw!$B:$B,$A86,RecoveredRaw!BF:BF)</f>
        <v>1</v>
      </c>
      <c r="BD86">
        <f>SUMIF(RecoveredRaw!$B:$B,$A86,RecoveredRaw!BG:BG)</f>
        <v>1</v>
      </c>
      <c r="BE86">
        <f>SUMIF(RecoveredRaw!$B:$B,$A86,RecoveredRaw!BH:BH)</f>
        <v>1</v>
      </c>
      <c r="BF86">
        <f>SUMIF(RecoveredRaw!$B:$B,$A86,RecoveredRaw!BI:BI)</f>
        <v>1</v>
      </c>
      <c r="BG86">
        <f>SUMIF(RecoveredRaw!$B:$B,$A86,RecoveredRaw!BJ:BJ)</f>
        <v>1</v>
      </c>
      <c r="BH86">
        <f>SUMIF(RecoveredRaw!$B:$B,$A86,RecoveredRaw!BK:BK)</f>
        <v>1</v>
      </c>
      <c r="BI86">
        <f>SUMIF(RecoveredRaw!$B:$B,$A86,RecoveredRaw!BL:BL)</f>
        <v>0</v>
      </c>
      <c r="BJ86">
        <f>SUMIF(RecoveredRaw!$B:$B,$A86,RecoveredRaw!BM:BM)</f>
        <v>0</v>
      </c>
      <c r="BK86">
        <f>SUMIF(RecoveredRaw!$B:$B,$A86,RecoveredRaw!BN:BN)</f>
        <v>0</v>
      </c>
      <c r="BL86">
        <f>SUMIF(RecoveredRaw!$B:$B,$A86,RecoveredRaw!BO:BO)</f>
        <v>0</v>
      </c>
      <c r="BM86">
        <f>SUMIF(RecoveredRaw!$B:$B,$A86,RecoveredRaw!BP:BP)</f>
        <v>0</v>
      </c>
      <c r="BN86">
        <f>SUMIF(RecoveredRaw!$B:$B,$A86,RecoveredRaw!BQ:BQ)</f>
        <v>0</v>
      </c>
      <c r="BO86">
        <f>SUMIF(RecoveredRaw!$B:$B,$A86,RecoveredRaw!BR:BR)</f>
        <v>0</v>
      </c>
      <c r="BP86">
        <f>SUMIF(RecoveredRaw!$B:$B,$A86,RecoveredRaw!BS:BS)</f>
        <v>0</v>
      </c>
      <c r="BQ86">
        <f>SUMIF(RecoveredRaw!$B:$B,$A86,RecoveredRaw!BT:BT)</f>
        <v>0</v>
      </c>
      <c r="BR86">
        <f>SUMIF(RecoveredRaw!$B:$B,$A86,RecoveredRaw!BU:BU)</f>
        <v>0</v>
      </c>
      <c r="BS86">
        <f>SUMIF(RecoveredRaw!$B:$B,$A86,RecoveredRaw!BV:BV)</f>
        <v>0</v>
      </c>
      <c r="BT86">
        <f>SUMIF(RecoveredRaw!$B:$B,$A86,RecoveredRaw!BW:BW)</f>
        <v>0</v>
      </c>
    </row>
    <row r="87" spans="1:72" ht="15" thickBot="1" x14ac:dyDescent="0.35">
      <c r="A87" s="3" t="s">
        <v>93</v>
      </c>
      <c r="B87">
        <f>SUMIF(RecoveredRaw!$B:$B,$A87,RecoveredRaw!E:E)</f>
        <v>0</v>
      </c>
      <c r="C87">
        <f>SUMIF(RecoveredRaw!$B:$B,$A87,RecoveredRaw!F:F)</f>
        <v>0</v>
      </c>
      <c r="D87">
        <f>SUMIF(RecoveredRaw!$B:$B,$A87,RecoveredRaw!G:G)</f>
        <v>0</v>
      </c>
      <c r="E87">
        <f>SUMIF(RecoveredRaw!$B:$B,$A87,RecoveredRaw!H:H)</f>
        <v>0</v>
      </c>
      <c r="F87">
        <f>SUMIF(RecoveredRaw!$B:$B,$A87,RecoveredRaw!I:I)</f>
        <v>0</v>
      </c>
      <c r="G87">
        <f>SUMIF(RecoveredRaw!$B:$B,$A87,RecoveredRaw!J:J)</f>
        <v>0</v>
      </c>
      <c r="H87">
        <f>SUMIF(RecoveredRaw!$B:$B,$A87,RecoveredRaw!K:K)</f>
        <v>0</v>
      </c>
      <c r="I87">
        <f>SUMIF(RecoveredRaw!$B:$B,$A87,RecoveredRaw!L:L)</f>
        <v>0</v>
      </c>
      <c r="J87">
        <f>SUMIF(RecoveredRaw!$B:$B,$A87,RecoveredRaw!M:M)</f>
        <v>0</v>
      </c>
      <c r="K87">
        <f>SUMIF(RecoveredRaw!$B:$B,$A87,RecoveredRaw!N:N)</f>
        <v>0</v>
      </c>
      <c r="L87">
        <f>SUMIF(RecoveredRaw!$B:$B,$A87,RecoveredRaw!O:O)</f>
        <v>0</v>
      </c>
      <c r="M87">
        <f>SUMIF(RecoveredRaw!$B:$B,$A87,RecoveredRaw!P:P)</f>
        <v>0</v>
      </c>
      <c r="N87">
        <f>SUMIF(RecoveredRaw!$B:$B,$A87,RecoveredRaw!Q:Q)</f>
        <v>0</v>
      </c>
      <c r="O87">
        <f>SUMIF(RecoveredRaw!$B:$B,$A87,RecoveredRaw!R:R)</f>
        <v>0</v>
      </c>
      <c r="P87">
        <f>SUMIF(RecoveredRaw!$B:$B,$A87,RecoveredRaw!S:S)</f>
        <v>0</v>
      </c>
      <c r="Q87">
        <f>SUMIF(RecoveredRaw!$B:$B,$A87,RecoveredRaw!T:T)</f>
        <v>0</v>
      </c>
      <c r="R87">
        <f>SUMIF(RecoveredRaw!$B:$B,$A87,RecoveredRaw!U:U)</f>
        <v>0</v>
      </c>
      <c r="S87">
        <f>SUMIF(RecoveredRaw!$B:$B,$A87,RecoveredRaw!V:V)</f>
        <v>0</v>
      </c>
      <c r="T87">
        <f>SUMIF(RecoveredRaw!$B:$B,$A87,RecoveredRaw!W:W)</f>
        <v>0</v>
      </c>
      <c r="U87">
        <f>SUMIF(RecoveredRaw!$B:$B,$A87,RecoveredRaw!X:X)</f>
        <v>0</v>
      </c>
      <c r="V87">
        <f>SUMIF(RecoveredRaw!$B:$B,$A87,RecoveredRaw!Y:Y)</f>
        <v>0</v>
      </c>
      <c r="W87">
        <f>SUMIF(RecoveredRaw!$B:$B,$A87,RecoveredRaw!Z:Z)</f>
        <v>0</v>
      </c>
      <c r="X87">
        <f>SUMIF(RecoveredRaw!$B:$B,$A87,RecoveredRaw!AA:AA)</f>
        <v>0</v>
      </c>
      <c r="Y87">
        <f>SUMIF(RecoveredRaw!$B:$B,$A87,RecoveredRaw!AB:AB)</f>
        <v>0</v>
      </c>
      <c r="Z87">
        <f>SUMIF(RecoveredRaw!$B:$B,$A87,RecoveredRaw!AC:AC)</f>
        <v>0</v>
      </c>
      <c r="AA87">
        <f>SUMIF(RecoveredRaw!$B:$B,$A87,RecoveredRaw!AD:AD)</f>
        <v>0</v>
      </c>
      <c r="AB87">
        <f>SUMIF(RecoveredRaw!$B:$B,$A87,RecoveredRaw!AE:AE)</f>
        <v>0</v>
      </c>
      <c r="AC87">
        <f>SUMIF(RecoveredRaw!$B:$B,$A87,RecoveredRaw!AF:AF)</f>
        <v>0</v>
      </c>
      <c r="AD87">
        <f>SUMIF(RecoveredRaw!$B:$B,$A87,RecoveredRaw!AG:AG)</f>
        <v>0</v>
      </c>
      <c r="AE87">
        <f>SUMIF(RecoveredRaw!$B:$B,$A87,RecoveredRaw!AH:AH)</f>
        <v>0</v>
      </c>
      <c r="AF87">
        <f>SUMIF(RecoveredRaw!$B:$B,$A87,RecoveredRaw!AI:AI)</f>
        <v>0</v>
      </c>
      <c r="AG87">
        <f>SUMIF(RecoveredRaw!$B:$B,$A87,RecoveredRaw!AJ:AJ)</f>
        <v>0</v>
      </c>
      <c r="AH87">
        <f>SUMIF(RecoveredRaw!$B:$B,$A87,RecoveredRaw!AK:AK)</f>
        <v>0</v>
      </c>
      <c r="AI87">
        <f>SUMIF(RecoveredRaw!$B:$B,$A87,RecoveredRaw!AL:AL)</f>
        <v>0</v>
      </c>
      <c r="AJ87">
        <f>SUMIF(RecoveredRaw!$B:$B,$A87,RecoveredRaw!AM:AM)</f>
        <v>0</v>
      </c>
      <c r="AK87">
        <f>SUMIF(RecoveredRaw!$B:$B,$A87,RecoveredRaw!AN:AN)</f>
        <v>0</v>
      </c>
      <c r="AL87">
        <f>SUMIF(RecoveredRaw!$B:$B,$A87,RecoveredRaw!AO:AO)</f>
        <v>0</v>
      </c>
      <c r="AM87">
        <f>SUMIF(RecoveredRaw!$B:$B,$A87,RecoveredRaw!AP:AP)</f>
        <v>0</v>
      </c>
      <c r="AN87">
        <f>SUMIF(RecoveredRaw!$B:$B,$A87,RecoveredRaw!AQ:AQ)</f>
        <v>0</v>
      </c>
      <c r="AO87">
        <f>SUMIF(RecoveredRaw!$B:$B,$A87,RecoveredRaw!AR:AR)</f>
        <v>0</v>
      </c>
      <c r="AP87">
        <f>SUMIF(RecoveredRaw!$B:$B,$A87,RecoveredRaw!AS:AS)</f>
        <v>0</v>
      </c>
      <c r="AQ87">
        <f>SUMIF(RecoveredRaw!$B:$B,$A87,RecoveredRaw!AT:AT)</f>
        <v>0</v>
      </c>
      <c r="AR87">
        <f>SUMIF(RecoveredRaw!$B:$B,$A87,RecoveredRaw!AU:AU)</f>
        <v>0</v>
      </c>
      <c r="AS87">
        <f>SUMIF(RecoveredRaw!$B:$B,$A87,RecoveredRaw!AV:AV)</f>
        <v>0</v>
      </c>
      <c r="AT87">
        <f>SUMIF(RecoveredRaw!$B:$B,$A87,RecoveredRaw!AW:AW)</f>
        <v>0</v>
      </c>
      <c r="AU87">
        <f>SUMIF(RecoveredRaw!$B:$B,$A87,RecoveredRaw!AX:AX)</f>
        <v>0</v>
      </c>
      <c r="AV87">
        <f>SUMIF(RecoveredRaw!$B:$B,$A87,RecoveredRaw!AY:AY)</f>
        <v>0</v>
      </c>
      <c r="AW87">
        <f>SUMIF(RecoveredRaw!$B:$B,$A87,RecoveredRaw!AZ:AZ)</f>
        <v>0</v>
      </c>
      <c r="AX87">
        <f>SUMIF(RecoveredRaw!$B:$B,$A87,RecoveredRaw!BA:BA)</f>
        <v>0</v>
      </c>
      <c r="AY87">
        <f>SUMIF(RecoveredRaw!$B:$B,$A87,RecoveredRaw!BB:BB)</f>
        <v>0</v>
      </c>
      <c r="AZ87">
        <f>SUMIF(RecoveredRaw!$B:$B,$A87,RecoveredRaw!BC:BC)</f>
        <v>0</v>
      </c>
      <c r="BA87">
        <f>SUMIF(RecoveredRaw!$B:$B,$A87,RecoveredRaw!BD:BD)</f>
        <v>0</v>
      </c>
      <c r="BB87">
        <f>SUMIF(RecoveredRaw!$B:$B,$A87,RecoveredRaw!BE:BE)</f>
        <v>0</v>
      </c>
      <c r="BC87">
        <f>SUMIF(RecoveredRaw!$B:$B,$A87,RecoveredRaw!BF:BF)</f>
        <v>1</v>
      </c>
      <c r="BD87">
        <f>SUMIF(RecoveredRaw!$B:$B,$A87,RecoveredRaw!BG:BG)</f>
        <v>1</v>
      </c>
      <c r="BE87">
        <f>SUMIF(RecoveredRaw!$B:$B,$A87,RecoveredRaw!BH:BH)</f>
        <v>1</v>
      </c>
      <c r="BF87">
        <f>SUMIF(RecoveredRaw!$B:$B,$A87,RecoveredRaw!BI:BI)</f>
        <v>1</v>
      </c>
      <c r="BG87">
        <f>SUMIF(RecoveredRaw!$B:$B,$A87,RecoveredRaw!BJ:BJ)</f>
        <v>1</v>
      </c>
      <c r="BH87">
        <f>SUMIF(RecoveredRaw!$B:$B,$A87,RecoveredRaw!BK:BK)</f>
        <v>1</v>
      </c>
      <c r="BI87">
        <f>SUMIF(RecoveredRaw!$B:$B,$A87,RecoveredRaw!BL:BL)</f>
        <v>0</v>
      </c>
      <c r="BJ87">
        <f>SUMIF(RecoveredRaw!$B:$B,$A87,RecoveredRaw!BM:BM)</f>
        <v>0</v>
      </c>
      <c r="BK87">
        <f>SUMIF(RecoveredRaw!$B:$B,$A87,RecoveredRaw!BN:BN)</f>
        <v>0</v>
      </c>
      <c r="BL87">
        <f>SUMIF(RecoveredRaw!$B:$B,$A87,RecoveredRaw!BO:BO)</f>
        <v>0</v>
      </c>
      <c r="BM87">
        <f>SUMIF(RecoveredRaw!$B:$B,$A87,RecoveredRaw!BP:BP)</f>
        <v>0</v>
      </c>
      <c r="BN87">
        <f>SUMIF(RecoveredRaw!$B:$B,$A87,RecoveredRaw!BQ:BQ)</f>
        <v>0</v>
      </c>
      <c r="BO87">
        <f>SUMIF(RecoveredRaw!$B:$B,$A87,RecoveredRaw!BR:BR)</f>
        <v>0</v>
      </c>
      <c r="BP87">
        <f>SUMIF(RecoveredRaw!$B:$B,$A87,RecoveredRaw!BS:BS)</f>
        <v>0</v>
      </c>
      <c r="BQ87">
        <f>SUMIF(RecoveredRaw!$B:$B,$A87,RecoveredRaw!BT:BT)</f>
        <v>0</v>
      </c>
      <c r="BR87">
        <f>SUMIF(RecoveredRaw!$B:$B,$A87,RecoveredRaw!BU:BU)</f>
        <v>0</v>
      </c>
      <c r="BS87">
        <f>SUMIF(RecoveredRaw!$B:$B,$A87,RecoveredRaw!BV:BV)</f>
        <v>0</v>
      </c>
      <c r="BT87">
        <f>SUMIF(RecoveredRaw!$B:$B,$A87,RecoveredRaw!BW:BW)</f>
        <v>0</v>
      </c>
    </row>
    <row r="88" spans="1:72" ht="15" thickBot="1" x14ac:dyDescent="0.35">
      <c r="A88" s="4" t="s">
        <v>345</v>
      </c>
      <c r="B88">
        <f>SUMIF(RecoveredRaw!$B:$B,$A88,RecoveredRaw!E:E)</f>
        <v>0</v>
      </c>
      <c r="C88">
        <f>SUMIF(RecoveredRaw!$B:$B,$A88,RecoveredRaw!F:F)</f>
        <v>0</v>
      </c>
      <c r="D88">
        <f>SUMIF(RecoveredRaw!$B:$B,$A88,RecoveredRaw!G:G)</f>
        <v>0</v>
      </c>
      <c r="E88">
        <f>SUMIF(RecoveredRaw!$B:$B,$A88,RecoveredRaw!H:H)</f>
        <v>0</v>
      </c>
      <c r="F88">
        <f>SUMIF(RecoveredRaw!$B:$B,$A88,RecoveredRaw!I:I)</f>
        <v>0</v>
      </c>
      <c r="G88">
        <f>SUMIF(RecoveredRaw!$B:$B,$A88,RecoveredRaw!J:J)</f>
        <v>0</v>
      </c>
      <c r="H88">
        <f>SUMIF(RecoveredRaw!$B:$B,$A88,RecoveredRaw!K:K)</f>
        <v>0</v>
      </c>
      <c r="I88">
        <f>SUMIF(RecoveredRaw!$B:$B,$A88,RecoveredRaw!L:L)</f>
        <v>0</v>
      </c>
      <c r="J88">
        <f>SUMIF(RecoveredRaw!$B:$B,$A88,RecoveredRaw!M:M)</f>
        <v>0</v>
      </c>
      <c r="K88">
        <f>SUMIF(RecoveredRaw!$B:$B,$A88,RecoveredRaw!N:N)</f>
        <v>0</v>
      </c>
      <c r="L88">
        <f>SUMIF(RecoveredRaw!$B:$B,$A88,RecoveredRaw!O:O)</f>
        <v>0</v>
      </c>
      <c r="M88">
        <f>SUMIF(RecoveredRaw!$B:$B,$A88,RecoveredRaw!P:P)</f>
        <v>0</v>
      </c>
      <c r="N88">
        <f>SUMIF(RecoveredRaw!$B:$B,$A88,RecoveredRaw!Q:Q)</f>
        <v>0</v>
      </c>
      <c r="O88">
        <f>SUMIF(RecoveredRaw!$B:$B,$A88,RecoveredRaw!R:R)</f>
        <v>0</v>
      </c>
      <c r="P88">
        <f>SUMIF(RecoveredRaw!$B:$B,$A88,RecoveredRaw!S:S)</f>
        <v>0</v>
      </c>
      <c r="Q88">
        <f>SUMIF(RecoveredRaw!$B:$B,$A88,RecoveredRaw!T:T)</f>
        <v>0</v>
      </c>
      <c r="R88">
        <f>SUMIF(RecoveredRaw!$B:$B,$A88,RecoveredRaw!U:U)</f>
        <v>0</v>
      </c>
      <c r="S88">
        <f>SUMIF(RecoveredRaw!$B:$B,$A88,RecoveredRaw!V:V)</f>
        <v>0</v>
      </c>
      <c r="T88">
        <f>SUMIF(RecoveredRaw!$B:$B,$A88,RecoveredRaw!W:W)</f>
        <v>0</v>
      </c>
      <c r="U88">
        <f>SUMIF(RecoveredRaw!$B:$B,$A88,RecoveredRaw!X:X)</f>
        <v>0</v>
      </c>
      <c r="V88">
        <f>SUMIF(RecoveredRaw!$B:$B,$A88,RecoveredRaw!Y:Y)</f>
        <v>0</v>
      </c>
      <c r="W88">
        <f>SUMIF(RecoveredRaw!$B:$B,$A88,RecoveredRaw!Z:Z)</f>
        <v>0</v>
      </c>
      <c r="X88">
        <f>SUMIF(RecoveredRaw!$B:$B,$A88,RecoveredRaw!AA:AA)</f>
        <v>0</v>
      </c>
      <c r="Y88">
        <f>SUMIF(RecoveredRaw!$B:$B,$A88,RecoveredRaw!AB:AB)</f>
        <v>0</v>
      </c>
      <c r="Z88">
        <f>SUMIF(RecoveredRaw!$B:$B,$A88,RecoveredRaw!AC:AC)</f>
        <v>0</v>
      </c>
      <c r="AA88">
        <f>SUMIF(RecoveredRaw!$B:$B,$A88,RecoveredRaw!AD:AD)</f>
        <v>0</v>
      </c>
      <c r="AB88">
        <f>SUMIF(RecoveredRaw!$B:$B,$A88,RecoveredRaw!AE:AE)</f>
        <v>0</v>
      </c>
      <c r="AC88">
        <f>SUMIF(RecoveredRaw!$B:$B,$A88,RecoveredRaw!AF:AF)</f>
        <v>0</v>
      </c>
      <c r="AD88">
        <f>SUMIF(RecoveredRaw!$B:$B,$A88,RecoveredRaw!AG:AG)</f>
        <v>0</v>
      </c>
      <c r="AE88">
        <f>SUMIF(RecoveredRaw!$B:$B,$A88,RecoveredRaw!AH:AH)</f>
        <v>0</v>
      </c>
      <c r="AF88">
        <f>SUMIF(RecoveredRaw!$B:$B,$A88,RecoveredRaw!AI:AI)</f>
        <v>0</v>
      </c>
      <c r="AG88">
        <f>SUMIF(RecoveredRaw!$B:$B,$A88,RecoveredRaw!AJ:AJ)</f>
        <v>0</v>
      </c>
      <c r="AH88">
        <f>SUMIF(RecoveredRaw!$B:$B,$A88,RecoveredRaw!AK:AK)</f>
        <v>0</v>
      </c>
      <c r="AI88">
        <f>SUMIF(RecoveredRaw!$B:$B,$A88,RecoveredRaw!AL:AL)</f>
        <v>0</v>
      </c>
      <c r="AJ88">
        <f>SUMIF(RecoveredRaw!$B:$B,$A88,RecoveredRaw!AM:AM)</f>
        <v>0</v>
      </c>
      <c r="AK88">
        <f>SUMIF(RecoveredRaw!$B:$B,$A88,RecoveredRaw!AN:AN)</f>
        <v>0</v>
      </c>
      <c r="AL88">
        <f>SUMIF(RecoveredRaw!$B:$B,$A88,RecoveredRaw!AO:AO)</f>
        <v>0</v>
      </c>
      <c r="AM88">
        <f>SUMIF(RecoveredRaw!$B:$B,$A88,RecoveredRaw!AP:AP)</f>
        <v>0</v>
      </c>
      <c r="AN88">
        <f>SUMIF(RecoveredRaw!$B:$B,$A88,RecoveredRaw!AQ:AQ)</f>
        <v>0</v>
      </c>
      <c r="AO88">
        <f>SUMIF(RecoveredRaw!$B:$B,$A88,RecoveredRaw!AR:AR)</f>
        <v>0</v>
      </c>
      <c r="AP88">
        <f>SUMIF(RecoveredRaw!$B:$B,$A88,RecoveredRaw!AS:AS)</f>
        <v>0</v>
      </c>
      <c r="AQ88">
        <f>SUMIF(RecoveredRaw!$B:$B,$A88,RecoveredRaw!AT:AT)</f>
        <v>0</v>
      </c>
      <c r="AR88">
        <f>SUMIF(RecoveredRaw!$B:$B,$A88,RecoveredRaw!AU:AU)</f>
        <v>0</v>
      </c>
      <c r="AS88">
        <f>SUMIF(RecoveredRaw!$B:$B,$A88,RecoveredRaw!AV:AV)</f>
        <v>0</v>
      </c>
      <c r="AT88">
        <f>SUMIF(RecoveredRaw!$B:$B,$A88,RecoveredRaw!AW:AW)</f>
        <v>0</v>
      </c>
      <c r="AU88">
        <f>SUMIF(RecoveredRaw!$B:$B,$A88,RecoveredRaw!AX:AX)</f>
        <v>0</v>
      </c>
      <c r="AV88">
        <f>SUMIF(RecoveredRaw!$B:$B,$A88,RecoveredRaw!AY:AY)</f>
        <v>0</v>
      </c>
      <c r="AW88">
        <f>SUMIF(RecoveredRaw!$B:$B,$A88,RecoveredRaw!AZ:AZ)</f>
        <v>0</v>
      </c>
      <c r="AX88">
        <f>SUMIF(RecoveredRaw!$B:$B,$A88,RecoveredRaw!BA:BA)</f>
        <v>0</v>
      </c>
      <c r="AY88">
        <f>SUMIF(RecoveredRaw!$B:$B,$A88,RecoveredRaw!BB:BB)</f>
        <v>0</v>
      </c>
      <c r="AZ88">
        <f>SUMIF(RecoveredRaw!$B:$B,$A88,RecoveredRaw!BC:BC)</f>
        <v>0</v>
      </c>
      <c r="BA88">
        <f>SUMIF(RecoveredRaw!$B:$B,$A88,RecoveredRaw!BD:BD)</f>
        <v>0</v>
      </c>
      <c r="BB88">
        <f>SUMIF(RecoveredRaw!$B:$B,$A88,RecoveredRaw!BE:BE)</f>
        <v>0</v>
      </c>
      <c r="BC88">
        <f>SUMIF(RecoveredRaw!$B:$B,$A88,RecoveredRaw!BF:BF)</f>
        <v>0</v>
      </c>
      <c r="BD88">
        <f>SUMIF(RecoveredRaw!$B:$B,$A88,RecoveredRaw!BG:BG)</f>
        <v>0</v>
      </c>
      <c r="BE88">
        <f>SUMIF(RecoveredRaw!$B:$B,$A88,RecoveredRaw!BH:BH)</f>
        <v>1</v>
      </c>
      <c r="BF88">
        <f>SUMIF(RecoveredRaw!$B:$B,$A88,RecoveredRaw!BI:BI)</f>
        <v>1</v>
      </c>
      <c r="BG88">
        <f>SUMIF(RecoveredRaw!$B:$B,$A88,RecoveredRaw!BJ:BJ)</f>
        <v>1</v>
      </c>
      <c r="BH88">
        <f>SUMIF(RecoveredRaw!$B:$B,$A88,RecoveredRaw!BK:BK)</f>
        <v>1</v>
      </c>
      <c r="BI88">
        <f>SUMIF(RecoveredRaw!$B:$B,$A88,RecoveredRaw!BL:BL)</f>
        <v>0</v>
      </c>
      <c r="BJ88">
        <f>SUMIF(RecoveredRaw!$B:$B,$A88,RecoveredRaw!BM:BM)</f>
        <v>0</v>
      </c>
      <c r="BK88">
        <f>SUMIF(RecoveredRaw!$B:$B,$A88,RecoveredRaw!BN:BN)</f>
        <v>0</v>
      </c>
      <c r="BL88">
        <f>SUMIF(RecoveredRaw!$B:$B,$A88,RecoveredRaw!BO:BO)</f>
        <v>0</v>
      </c>
      <c r="BM88">
        <f>SUMIF(RecoveredRaw!$B:$B,$A88,RecoveredRaw!BP:BP)</f>
        <v>0</v>
      </c>
      <c r="BN88">
        <f>SUMIF(RecoveredRaw!$B:$B,$A88,RecoveredRaw!BQ:BQ)</f>
        <v>0</v>
      </c>
      <c r="BO88">
        <f>SUMIF(RecoveredRaw!$B:$B,$A88,RecoveredRaw!BR:BR)</f>
        <v>0</v>
      </c>
      <c r="BP88">
        <f>SUMIF(RecoveredRaw!$B:$B,$A88,RecoveredRaw!BS:BS)</f>
        <v>0</v>
      </c>
      <c r="BQ88">
        <f>SUMIF(RecoveredRaw!$B:$B,$A88,RecoveredRaw!BT:BT)</f>
        <v>0</v>
      </c>
      <c r="BR88">
        <f>SUMIF(RecoveredRaw!$B:$B,$A88,RecoveredRaw!BU:BU)</f>
        <v>0</v>
      </c>
      <c r="BS88">
        <f>SUMIF(RecoveredRaw!$B:$B,$A88,RecoveredRaw!BV:BV)</f>
        <v>0</v>
      </c>
      <c r="BT88">
        <f>SUMIF(RecoveredRaw!$B:$B,$A88,RecoveredRaw!BW:BW)</f>
        <v>0</v>
      </c>
    </row>
    <row r="89" spans="1:72" ht="15" thickBot="1" x14ac:dyDescent="0.35">
      <c r="A89" s="4" t="s">
        <v>206</v>
      </c>
      <c r="B89">
        <f>SUMIF(RecoveredRaw!$B:$B,$A89,RecoveredRaw!E:E)</f>
        <v>0</v>
      </c>
      <c r="C89">
        <f>SUMIF(RecoveredRaw!$B:$B,$A89,RecoveredRaw!F:F)</f>
        <v>0</v>
      </c>
      <c r="D89">
        <f>SUMIF(RecoveredRaw!$B:$B,$A89,RecoveredRaw!G:G)</f>
        <v>0</v>
      </c>
      <c r="E89">
        <f>SUMIF(RecoveredRaw!$B:$B,$A89,RecoveredRaw!H:H)</f>
        <v>0</v>
      </c>
      <c r="F89">
        <f>SUMIF(RecoveredRaw!$B:$B,$A89,RecoveredRaw!I:I)</f>
        <v>0</v>
      </c>
      <c r="G89">
        <f>SUMIF(RecoveredRaw!$B:$B,$A89,RecoveredRaw!J:J)</f>
        <v>0</v>
      </c>
      <c r="H89">
        <f>SUMIF(RecoveredRaw!$B:$B,$A89,RecoveredRaw!K:K)</f>
        <v>0</v>
      </c>
      <c r="I89">
        <f>SUMIF(RecoveredRaw!$B:$B,$A89,RecoveredRaw!L:L)</f>
        <v>0</v>
      </c>
      <c r="J89">
        <f>SUMIF(RecoveredRaw!$B:$B,$A89,RecoveredRaw!M:M)</f>
        <v>0</v>
      </c>
      <c r="K89">
        <f>SUMIF(RecoveredRaw!$B:$B,$A89,RecoveredRaw!N:N)</f>
        <v>0</v>
      </c>
      <c r="L89">
        <f>SUMIF(RecoveredRaw!$B:$B,$A89,RecoveredRaw!O:O)</f>
        <v>0</v>
      </c>
      <c r="M89">
        <f>SUMIF(RecoveredRaw!$B:$B,$A89,RecoveredRaw!P:P)</f>
        <v>0</v>
      </c>
      <c r="N89">
        <f>SUMIF(RecoveredRaw!$B:$B,$A89,RecoveredRaw!Q:Q)</f>
        <v>0</v>
      </c>
      <c r="O89">
        <f>SUMIF(RecoveredRaw!$B:$B,$A89,RecoveredRaw!R:R)</f>
        <v>0</v>
      </c>
      <c r="P89">
        <f>SUMIF(RecoveredRaw!$B:$B,$A89,RecoveredRaw!S:S)</f>
        <v>0</v>
      </c>
      <c r="Q89">
        <f>SUMIF(RecoveredRaw!$B:$B,$A89,RecoveredRaw!T:T)</f>
        <v>0</v>
      </c>
      <c r="R89">
        <f>SUMIF(RecoveredRaw!$B:$B,$A89,RecoveredRaw!U:U)</f>
        <v>0</v>
      </c>
      <c r="S89">
        <f>SUMIF(RecoveredRaw!$B:$B,$A89,RecoveredRaw!V:V)</f>
        <v>0</v>
      </c>
      <c r="T89">
        <f>SUMIF(RecoveredRaw!$B:$B,$A89,RecoveredRaw!W:W)</f>
        <v>0</v>
      </c>
      <c r="U89">
        <f>SUMIF(RecoveredRaw!$B:$B,$A89,RecoveredRaw!X:X)</f>
        <v>0</v>
      </c>
      <c r="V89">
        <f>SUMIF(RecoveredRaw!$B:$B,$A89,RecoveredRaw!Y:Y)</f>
        <v>0</v>
      </c>
      <c r="W89">
        <f>SUMIF(RecoveredRaw!$B:$B,$A89,RecoveredRaw!Z:Z)</f>
        <v>0</v>
      </c>
      <c r="X89">
        <f>SUMIF(RecoveredRaw!$B:$B,$A89,RecoveredRaw!AA:AA)</f>
        <v>0</v>
      </c>
      <c r="Y89">
        <f>SUMIF(RecoveredRaw!$B:$B,$A89,RecoveredRaw!AB:AB)</f>
        <v>0</v>
      </c>
      <c r="Z89">
        <f>SUMIF(RecoveredRaw!$B:$B,$A89,RecoveredRaw!AC:AC)</f>
        <v>0</v>
      </c>
      <c r="AA89">
        <f>SUMIF(RecoveredRaw!$B:$B,$A89,RecoveredRaw!AD:AD)</f>
        <v>0</v>
      </c>
      <c r="AB89">
        <f>SUMIF(RecoveredRaw!$B:$B,$A89,RecoveredRaw!AE:AE)</f>
        <v>0</v>
      </c>
      <c r="AC89">
        <f>SUMIF(RecoveredRaw!$B:$B,$A89,RecoveredRaw!AF:AF)</f>
        <v>0</v>
      </c>
      <c r="AD89">
        <f>SUMIF(RecoveredRaw!$B:$B,$A89,RecoveredRaw!AG:AG)</f>
        <v>0</v>
      </c>
      <c r="AE89">
        <f>SUMIF(RecoveredRaw!$B:$B,$A89,RecoveredRaw!AH:AH)</f>
        <v>0</v>
      </c>
      <c r="AF89">
        <f>SUMIF(RecoveredRaw!$B:$B,$A89,RecoveredRaw!AI:AI)</f>
        <v>0</v>
      </c>
      <c r="AG89">
        <f>SUMIF(RecoveredRaw!$B:$B,$A89,RecoveredRaw!AJ:AJ)</f>
        <v>0</v>
      </c>
      <c r="AH89">
        <f>SUMIF(RecoveredRaw!$B:$B,$A89,RecoveredRaw!AK:AK)</f>
        <v>0</v>
      </c>
      <c r="AI89">
        <f>SUMIF(RecoveredRaw!$B:$B,$A89,RecoveredRaw!AL:AL)</f>
        <v>0</v>
      </c>
      <c r="AJ89">
        <f>SUMIF(RecoveredRaw!$B:$B,$A89,RecoveredRaw!AM:AM)</f>
        <v>0</v>
      </c>
      <c r="AK89">
        <f>SUMIF(RecoveredRaw!$B:$B,$A89,RecoveredRaw!AN:AN)</f>
        <v>0</v>
      </c>
      <c r="AL89">
        <f>SUMIF(RecoveredRaw!$B:$B,$A89,RecoveredRaw!AO:AO)</f>
        <v>0</v>
      </c>
      <c r="AM89">
        <f>SUMIF(RecoveredRaw!$B:$B,$A89,RecoveredRaw!AP:AP)</f>
        <v>0</v>
      </c>
      <c r="AN89">
        <f>SUMIF(RecoveredRaw!$B:$B,$A89,RecoveredRaw!AQ:AQ)</f>
        <v>0</v>
      </c>
      <c r="AO89">
        <f>SUMIF(RecoveredRaw!$B:$B,$A89,RecoveredRaw!AR:AR)</f>
        <v>0</v>
      </c>
      <c r="AP89">
        <f>SUMIF(RecoveredRaw!$B:$B,$A89,RecoveredRaw!AS:AS)</f>
        <v>0</v>
      </c>
      <c r="AQ89">
        <f>SUMIF(RecoveredRaw!$B:$B,$A89,RecoveredRaw!AT:AT)</f>
        <v>0</v>
      </c>
      <c r="AR89">
        <f>SUMIF(RecoveredRaw!$B:$B,$A89,RecoveredRaw!AU:AU)</f>
        <v>0</v>
      </c>
      <c r="AS89">
        <f>SUMIF(RecoveredRaw!$B:$B,$A89,RecoveredRaw!AV:AV)</f>
        <v>0</v>
      </c>
      <c r="AT89">
        <f>SUMIF(RecoveredRaw!$B:$B,$A89,RecoveredRaw!AW:AW)</f>
        <v>0</v>
      </c>
      <c r="AU89">
        <f>SUMIF(RecoveredRaw!$B:$B,$A89,RecoveredRaw!AX:AX)</f>
        <v>0</v>
      </c>
      <c r="AV89">
        <f>SUMIF(RecoveredRaw!$B:$B,$A89,RecoveredRaw!AY:AY)</f>
        <v>0</v>
      </c>
      <c r="AW89">
        <f>SUMIF(RecoveredRaw!$B:$B,$A89,RecoveredRaw!AZ:AZ)</f>
        <v>0</v>
      </c>
      <c r="AX89">
        <f>SUMIF(RecoveredRaw!$B:$B,$A89,RecoveredRaw!BA:BA)</f>
        <v>0</v>
      </c>
      <c r="AY89">
        <f>SUMIF(RecoveredRaw!$B:$B,$A89,RecoveredRaw!BB:BB)</f>
        <v>0</v>
      </c>
      <c r="AZ89">
        <f>SUMIF(RecoveredRaw!$B:$B,$A89,RecoveredRaw!BC:BC)</f>
        <v>0</v>
      </c>
      <c r="BA89">
        <f>SUMIF(RecoveredRaw!$B:$B,$A89,RecoveredRaw!BD:BD)</f>
        <v>0</v>
      </c>
      <c r="BB89">
        <f>SUMIF(RecoveredRaw!$B:$B,$A89,RecoveredRaw!BE:BE)</f>
        <v>0</v>
      </c>
      <c r="BC89">
        <f>SUMIF(RecoveredRaw!$B:$B,$A89,RecoveredRaw!BF:BF)</f>
        <v>0</v>
      </c>
      <c r="BD89">
        <f>SUMIF(RecoveredRaw!$B:$B,$A89,RecoveredRaw!BG:BG)</f>
        <v>0</v>
      </c>
      <c r="BE89">
        <f>SUMIF(RecoveredRaw!$B:$B,$A89,RecoveredRaw!BH:BH)</f>
        <v>0</v>
      </c>
      <c r="BF89">
        <f>SUMIF(RecoveredRaw!$B:$B,$A89,RecoveredRaw!BI:BI)</f>
        <v>0</v>
      </c>
      <c r="BG89">
        <f>SUMIF(RecoveredRaw!$B:$B,$A89,RecoveredRaw!BJ:BJ)</f>
        <v>0</v>
      </c>
      <c r="BH89">
        <f>SUMIF(RecoveredRaw!$B:$B,$A89,RecoveredRaw!BK:BK)</f>
        <v>0</v>
      </c>
      <c r="BI89">
        <f>SUMIF(RecoveredRaw!$B:$B,$A89,RecoveredRaw!BL:BL)</f>
        <v>0</v>
      </c>
      <c r="BJ89">
        <f>SUMIF(RecoveredRaw!$B:$B,$A89,RecoveredRaw!BM:BM)</f>
        <v>0</v>
      </c>
      <c r="BK89">
        <f>SUMIF(RecoveredRaw!$B:$B,$A89,RecoveredRaw!BN:BN)</f>
        <v>0</v>
      </c>
      <c r="BL89">
        <f>SUMIF(RecoveredRaw!$B:$B,$A89,RecoveredRaw!BO:BO)</f>
        <v>0</v>
      </c>
      <c r="BM89">
        <f>SUMIF(RecoveredRaw!$B:$B,$A89,RecoveredRaw!BP:BP)</f>
        <v>0</v>
      </c>
      <c r="BN89">
        <f>SUMIF(RecoveredRaw!$B:$B,$A89,RecoveredRaw!BQ:BQ)</f>
        <v>0</v>
      </c>
      <c r="BO89">
        <f>SUMIF(RecoveredRaw!$B:$B,$A89,RecoveredRaw!BR:BR)</f>
        <v>0</v>
      </c>
      <c r="BP89">
        <f>SUMIF(RecoveredRaw!$B:$B,$A89,RecoveredRaw!BS:BS)</f>
        <v>0</v>
      </c>
      <c r="BQ89">
        <f>SUMIF(RecoveredRaw!$B:$B,$A89,RecoveredRaw!BT:BT)</f>
        <v>0</v>
      </c>
      <c r="BR89">
        <f>SUMIF(RecoveredRaw!$B:$B,$A89,RecoveredRaw!BU:BU)</f>
        <v>0</v>
      </c>
      <c r="BS89">
        <f>SUMIF(RecoveredRaw!$B:$B,$A89,RecoveredRaw!BV:BV)</f>
        <v>0</v>
      </c>
      <c r="BT89">
        <f>SUMIF(RecoveredRaw!$B:$B,$A89,RecoveredRaw!BW:BW)</f>
        <v>0</v>
      </c>
    </row>
    <row r="90" spans="1:72" ht="15" thickBot="1" x14ac:dyDescent="0.35">
      <c r="A90" s="3" t="s">
        <v>52</v>
      </c>
      <c r="B90">
        <f>SUMIF(RecoveredRaw!$B:$B,$A90,RecoveredRaw!E:E)</f>
        <v>0</v>
      </c>
      <c r="C90">
        <f>SUMIF(RecoveredRaw!$B:$B,$A90,RecoveredRaw!F:F)</f>
        <v>0</v>
      </c>
      <c r="D90">
        <f>SUMIF(RecoveredRaw!$B:$B,$A90,RecoveredRaw!G:G)</f>
        <v>0</v>
      </c>
      <c r="E90">
        <f>SUMIF(RecoveredRaw!$B:$B,$A90,RecoveredRaw!H:H)</f>
        <v>0</v>
      </c>
      <c r="F90">
        <f>SUMIF(RecoveredRaw!$B:$B,$A90,RecoveredRaw!I:I)</f>
        <v>0</v>
      </c>
      <c r="G90">
        <f>SUMIF(RecoveredRaw!$B:$B,$A90,RecoveredRaw!J:J)</f>
        <v>0</v>
      </c>
      <c r="H90">
        <f>SUMIF(RecoveredRaw!$B:$B,$A90,RecoveredRaw!K:K)</f>
        <v>0</v>
      </c>
      <c r="I90">
        <f>SUMIF(RecoveredRaw!$B:$B,$A90,RecoveredRaw!L:L)</f>
        <v>0</v>
      </c>
      <c r="J90">
        <f>SUMIF(RecoveredRaw!$B:$B,$A90,RecoveredRaw!M:M)</f>
        <v>0</v>
      </c>
      <c r="K90">
        <f>SUMIF(RecoveredRaw!$B:$B,$A90,RecoveredRaw!N:N)</f>
        <v>0</v>
      </c>
      <c r="L90">
        <f>SUMIF(RecoveredRaw!$B:$B,$A90,RecoveredRaw!O:O)</f>
        <v>0</v>
      </c>
      <c r="M90">
        <f>SUMIF(RecoveredRaw!$B:$B,$A90,RecoveredRaw!P:P)</f>
        <v>0</v>
      </c>
      <c r="N90">
        <f>SUMIF(RecoveredRaw!$B:$B,$A90,RecoveredRaw!Q:Q)</f>
        <v>0</v>
      </c>
      <c r="O90">
        <f>SUMIF(RecoveredRaw!$B:$B,$A90,RecoveredRaw!R:R)</f>
        <v>0</v>
      </c>
      <c r="P90">
        <f>SUMIF(RecoveredRaw!$B:$B,$A90,RecoveredRaw!S:S)</f>
        <v>0</v>
      </c>
      <c r="Q90">
        <f>SUMIF(RecoveredRaw!$B:$B,$A90,RecoveredRaw!T:T)</f>
        <v>0</v>
      </c>
      <c r="R90">
        <f>SUMIF(RecoveredRaw!$B:$B,$A90,RecoveredRaw!U:U)</f>
        <v>0</v>
      </c>
      <c r="S90">
        <f>SUMIF(RecoveredRaw!$B:$B,$A90,RecoveredRaw!V:V)</f>
        <v>1</v>
      </c>
      <c r="T90">
        <f>SUMIF(RecoveredRaw!$B:$B,$A90,RecoveredRaw!W:W)</f>
        <v>1</v>
      </c>
      <c r="U90">
        <f>SUMIF(RecoveredRaw!$B:$B,$A90,RecoveredRaw!X:X)</f>
        <v>1</v>
      </c>
      <c r="V90">
        <f>SUMIF(RecoveredRaw!$B:$B,$A90,RecoveredRaw!Y:Y)</f>
        <v>1</v>
      </c>
      <c r="W90">
        <f>SUMIF(RecoveredRaw!$B:$B,$A90,RecoveredRaw!Z:Z)</f>
        <v>1</v>
      </c>
      <c r="X90">
        <f>SUMIF(RecoveredRaw!$B:$B,$A90,RecoveredRaw!AA:AA)</f>
        <v>1</v>
      </c>
      <c r="Y90">
        <f>SUMIF(RecoveredRaw!$B:$B,$A90,RecoveredRaw!AB:AB)</f>
        <v>1</v>
      </c>
      <c r="Z90">
        <f>SUMIF(RecoveredRaw!$B:$B,$A90,RecoveredRaw!AC:AC)</f>
        <v>1</v>
      </c>
      <c r="AA90">
        <f>SUMIF(RecoveredRaw!$B:$B,$A90,RecoveredRaw!AD:AD)</f>
        <v>1</v>
      </c>
      <c r="AB90">
        <f>SUMIF(RecoveredRaw!$B:$B,$A90,RecoveredRaw!AE:AE)</f>
        <v>1</v>
      </c>
      <c r="AC90">
        <f>SUMIF(RecoveredRaw!$B:$B,$A90,RecoveredRaw!AF:AF)</f>
        <v>1</v>
      </c>
      <c r="AD90">
        <f>SUMIF(RecoveredRaw!$B:$B,$A90,RecoveredRaw!AG:AG)</f>
        <v>1</v>
      </c>
      <c r="AE90">
        <f>SUMIF(RecoveredRaw!$B:$B,$A90,RecoveredRaw!AH:AH)</f>
        <v>1</v>
      </c>
      <c r="AF90">
        <f>SUMIF(RecoveredRaw!$B:$B,$A90,RecoveredRaw!AI:AI)</f>
        <v>1</v>
      </c>
      <c r="AG90">
        <f>SUMIF(RecoveredRaw!$B:$B,$A90,RecoveredRaw!AJ:AJ)</f>
        <v>1</v>
      </c>
      <c r="AH90">
        <f>SUMIF(RecoveredRaw!$B:$B,$A90,RecoveredRaw!AK:AK)</f>
        <v>1</v>
      </c>
      <c r="AI90">
        <f>SUMIF(RecoveredRaw!$B:$B,$A90,RecoveredRaw!AL:AL)</f>
        <v>1</v>
      </c>
      <c r="AJ90">
        <f>SUMIF(RecoveredRaw!$B:$B,$A90,RecoveredRaw!AM:AM)</f>
        <v>1</v>
      </c>
      <c r="AK90">
        <f>SUMIF(RecoveredRaw!$B:$B,$A90,RecoveredRaw!AN:AN)</f>
        <v>1</v>
      </c>
      <c r="AL90">
        <f>SUMIF(RecoveredRaw!$B:$B,$A90,RecoveredRaw!AO:AO)</f>
        <v>1</v>
      </c>
      <c r="AM90">
        <f>SUMIF(RecoveredRaw!$B:$B,$A90,RecoveredRaw!AP:AP)</f>
        <v>1</v>
      </c>
      <c r="AN90">
        <f>SUMIF(RecoveredRaw!$B:$B,$A90,RecoveredRaw!AQ:AQ)</f>
        <v>1</v>
      </c>
      <c r="AO90">
        <f>SUMIF(RecoveredRaw!$B:$B,$A90,RecoveredRaw!AR:AR)</f>
        <v>1</v>
      </c>
      <c r="AP90">
        <f>SUMIF(RecoveredRaw!$B:$B,$A90,RecoveredRaw!AS:AS)</f>
        <v>1</v>
      </c>
      <c r="AQ90">
        <f>SUMIF(RecoveredRaw!$B:$B,$A90,RecoveredRaw!AT:AT)</f>
        <v>1</v>
      </c>
      <c r="AR90">
        <f>SUMIF(RecoveredRaw!$B:$B,$A90,RecoveredRaw!AU:AU)</f>
        <v>1</v>
      </c>
      <c r="AS90">
        <f>SUMIF(RecoveredRaw!$B:$B,$A90,RecoveredRaw!AV:AV)</f>
        <v>1</v>
      </c>
      <c r="AT90">
        <f>SUMIF(RecoveredRaw!$B:$B,$A90,RecoveredRaw!AW:AW)</f>
        <v>1</v>
      </c>
      <c r="AU90">
        <f>SUMIF(RecoveredRaw!$B:$B,$A90,RecoveredRaw!AX:AX)</f>
        <v>1</v>
      </c>
      <c r="AV90">
        <f>SUMIF(RecoveredRaw!$B:$B,$A90,RecoveredRaw!AY:AY)</f>
        <v>1</v>
      </c>
      <c r="AW90">
        <f>SUMIF(RecoveredRaw!$B:$B,$A90,RecoveredRaw!AZ:AZ)</f>
        <v>1</v>
      </c>
      <c r="AX90">
        <f>SUMIF(RecoveredRaw!$B:$B,$A90,RecoveredRaw!BA:BA)</f>
        <v>1</v>
      </c>
      <c r="AY90">
        <f>SUMIF(RecoveredRaw!$B:$B,$A90,RecoveredRaw!BB:BB)</f>
        <v>1</v>
      </c>
      <c r="AZ90">
        <f>SUMIF(RecoveredRaw!$B:$B,$A90,RecoveredRaw!BC:BC)</f>
        <v>1</v>
      </c>
      <c r="BA90">
        <f>SUMIF(RecoveredRaw!$B:$B,$A90,RecoveredRaw!BD:BD)</f>
        <v>1</v>
      </c>
      <c r="BB90">
        <f>SUMIF(RecoveredRaw!$B:$B,$A90,RecoveredRaw!BE:BE)</f>
        <v>1</v>
      </c>
      <c r="BC90">
        <f>SUMIF(RecoveredRaw!$B:$B,$A90,RecoveredRaw!BF:BF)</f>
        <v>1</v>
      </c>
      <c r="BD90">
        <f>SUMIF(RecoveredRaw!$B:$B,$A90,RecoveredRaw!BG:BG)</f>
        <v>1</v>
      </c>
      <c r="BE90">
        <f>SUMIF(RecoveredRaw!$B:$B,$A90,RecoveredRaw!BH:BH)</f>
        <v>1</v>
      </c>
      <c r="BF90">
        <f>SUMIF(RecoveredRaw!$B:$B,$A90,RecoveredRaw!BI:BI)</f>
        <v>1</v>
      </c>
      <c r="BG90">
        <f>SUMIF(RecoveredRaw!$B:$B,$A90,RecoveredRaw!BJ:BJ)</f>
        <v>3</v>
      </c>
      <c r="BH90">
        <f>SUMIF(RecoveredRaw!$B:$B,$A90,RecoveredRaw!BK:BK)</f>
        <v>3</v>
      </c>
      <c r="BI90">
        <f>SUMIF(RecoveredRaw!$B:$B,$A90,RecoveredRaw!BL:BL)</f>
        <v>0</v>
      </c>
      <c r="BJ90">
        <f>SUMIF(RecoveredRaw!$B:$B,$A90,RecoveredRaw!BM:BM)</f>
        <v>0</v>
      </c>
      <c r="BK90">
        <f>SUMIF(RecoveredRaw!$B:$B,$A90,RecoveredRaw!BN:BN)</f>
        <v>0</v>
      </c>
      <c r="BL90">
        <f>SUMIF(RecoveredRaw!$B:$B,$A90,RecoveredRaw!BO:BO)</f>
        <v>0</v>
      </c>
      <c r="BM90">
        <f>SUMIF(RecoveredRaw!$B:$B,$A90,RecoveredRaw!BP:BP)</f>
        <v>0</v>
      </c>
      <c r="BN90">
        <f>SUMIF(RecoveredRaw!$B:$B,$A90,RecoveredRaw!BQ:BQ)</f>
        <v>0</v>
      </c>
      <c r="BO90">
        <f>SUMIF(RecoveredRaw!$B:$B,$A90,RecoveredRaw!BR:BR)</f>
        <v>0</v>
      </c>
      <c r="BP90">
        <f>SUMIF(RecoveredRaw!$B:$B,$A90,RecoveredRaw!BS:BS)</f>
        <v>0</v>
      </c>
      <c r="BQ90">
        <f>SUMIF(RecoveredRaw!$B:$B,$A90,RecoveredRaw!BT:BT)</f>
        <v>0</v>
      </c>
      <c r="BR90">
        <f>SUMIF(RecoveredRaw!$B:$B,$A90,RecoveredRaw!BU:BU)</f>
        <v>0</v>
      </c>
      <c r="BS90">
        <f>SUMIF(RecoveredRaw!$B:$B,$A90,RecoveredRaw!BV:BV)</f>
        <v>0</v>
      </c>
      <c r="BT90">
        <f>SUMIF(RecoveredRaw!$B:$B,$A90,RecoveredRaw!BW:BW)</f>
        <v>0</v>
      </c>
    </row>
    <row r="91" spans="1:72" ht="15" thickBot="1" x14ac:dyDescent="0.35">
      <c r="A91" s="4" t="s">
        <v>51</v>
      </c>
      <c r="B91">
        <f>SUMIF(RecoveredRaw!$B:$B,$A91,RecoveredRaw!E:E)</f>
        <v>0</v>
      </c>
      <c r="C91">
        <f>SUMIF(RecoveredRaw!$B:$B,$A91,RecoveredRaw!F:F)</f>
        <v>0</v>
      </c>
      <c r="D91">
        <f>SUMIF(RecoveredRaw!$B:$B,$A91,RecoveredRaw!G:G)</f>
        <v>0</v>
      </c>
      <c r="E91">
        <f>SUMIF(RecoveredRaw!$B:$B,$A91,RecoveredRaw!H:H)</f>
        <v>0</v>
      </c>
      <c r="F91">
        <f>SUMIF(RecoveredRaw!$B:$B,$A91,RecoveredRaw!I:I)</f>
        <v>0</v>
      </c>
      <c r="G91">
        <f>SUMIF(RecoveredRaw!$B:$B,$A91,RecoveredRaw!J:J)</f>
        <v>0</v>
      </c>
      <c r="H91">
        <f>SUMIF(RecoveredRaw!$B:$B,$A91,RecoveredRaw!K:K)</f>
        <v>0</v>
      </c>
      <c r="I91">
        <f>SUMIF(RecoveredRaw!$B:$B,$A91,RecoveredRaw!L:L)</f>
        <v>0</v>
      </c>
      <c r="J91">
        <f>SUMIF(RecoveredRaw!$B:$B,$A91,RecoveredRaw!M:M)</f>
        <v>0</v>
      </c>
      <c r="K91">
        <f>SUMIF(RecoveredRaw!$B:$B,$A91,RecoveredRaw!N:N)</f>
        <v>0</v>
      </c>
      <c r="L91">
        <f>SUMIF(RecoveredRaw!$B:$B,$A91,RecoveredRaw!O:O)</f>
        <v>0</v>
      </c>
      <c r="M91">
        <f>SUMIF(RecoveredRaw!$B:$B,$A91,RecoveredRaw!P:P)</f>
        <v>0</v>
      </c>
      <c r="N91">
        <f>SUMIF(RecoveredRaw!$B:$B,$A91,RecoveredRaw!Q:Q)</f>
        <v>0</v>
      </c>
      <c r="O91">
        <f>SUMIF(RecoveredRaw!$B:$B,$A91,RecoveredRaw!R:R)</f>
        <v>0</v>
      </c>
      <c r="P91">
        <f>SUMIF(RecoveredRaw!$B:$B,$A91,RecoveredRaw!S:S)</f>
        <v>0</v>
      </c>
      <c r="Q91">
        <f>SUMIF(RecoveredRaw!$B:$B,$A91,RecoveredRaw!T:T)</f>
        <v>0</v>
      </c>
      <c r="R91">
        <f>SUMIF(RecoveredRaw!$B:$B,$A91,RecoveredRaw!U:U)</f>
        <v>0</v>
      </c>
      <c r="S91">
        <f>SUMIF(RecoveredRaw!$B:$B,$A91,RecoveredRaw!V:V)</f>
        <v>0</v>
      </c>
      <c r="T91">
        <f>SUMIF(RecoveredRaw!$B:$B,$A91,RecoveredRaw!W:W)</f>
        <v>0</v>
      </c>
      <c r="U91">
        <f>SUMIF(RecoveredRaw!$B:$B,$A91,RecoveredRaw!X:X)</f>
        <v>0</v>
      </c>
      <c r="V91">
        <f>SUMIF(RecoveredRaw!$B:$B,$A91,RecoveredRaw!Y:Y)</f>
        <v>0</v>
      </c>
      <c r="W91">
        <f>SUMIF(RecoveredRaw!$B:$B,$A91,RecoveredRaw!Z:Z)</f>
        <v>1</v>
      </c>
      <c r="X91">
        <f>SUMIF(RecoveredRaw!$B:$B,$A91,RecoveredRaw!AA:AA)</f>
        <v>1</v>
      </c>
      <c r="Y91">
        <f>SUMIF(RecoveredRaw!$B:$B,$A91,RecoveredRaw!AB:AB)</f>
        <v>1</v>
      </c>
      <c r="Z91">
        <f>SUMIF(RecoveredRaw!$B:$B,$A91,RecoveredRaw!AC:AC)</f>
        <v>1</v>
      </c>
      <c r="AA91">
        <f>SUMIF(RecoveredRaw!$B:$B,$A91,RecoveredRaw!AD:AD)</f>
        <v>1</v>
      </c>
      <c r="AB91">
        <f>SUMIF(RecoveredRaw!$B:$B,$A91,RecoveredRaw!AE:AE)</f>
        <v>1</v>
      </c>
      <c r="AC91">
        <f>SUMIF(RecoveredRaw!$B:$B,$A91,RecoveredRaw!AF:AF)</f>
        <v>1</v>
      </c>
      <c r="AD91">
        <f>SUMIF(RecoveredRaw!$B:$B,$A91,RecoveredRaw!AG:AG)</f>
        <v>1</v>
      </c>
      <c r="AE91">
        <f>SUMIF(RecoveredRaw!$B:$B,$A91,RecoveredRaw!AH:AH)</f>
        <v>1</v>
      </c>
      <c r="AF91">
        <f>SUMIF(RecoveredRaw!$B:$B,$A91,RecoveredRaw!AI:AI)</f>
        <v>1</v>
      </c>
      <c r="AG91">
        <f>SUMIF(RecoveredRaw!$B:$B,$A91,RecoveredRaw!AJ:AJ)</f>
        <v>1</v>
      </c>
      <c r="AH91">
        <f>SUMIF(RecoveredRaw!$B:$B,$A91,RecoveredRaw!AK:AK)</f>
        <v>1</v>
      </c>
      <c r="AI91">
        <f>SUMIF(RecoveredRaw!$B:$B,$A91,RecoveredRaw!AL:AL)</f>
        <v>1</v>
      </c>
      <c r="AJ91">
        <f>SUMIF(RecoveredRaw!$B:$B,$A91,RecoveredRaw!AM:AM)</f>
        <v>1</v>
      </c>
      <c r="AK91">
        <f>SUMIF(RecoveredRaw!$B:$B,$A91,RecoveredRaw!AN:AN)</f>
        <v>1</v>
      </c>
      <c r="AL91">
        <f>SUMIF(RecoveredRaw!$B:$B,$A91,RecoveredRaw!AO:AO)</f>
        <v>1</v>
      </c>
      <c r="AM91">
        <f>SUMIF(RecoveredRaw!$B:$B,$A91,RecoveredRaw!AP:AP)</f>
        <v>1</v>
      </c>
      <c r="AN91">
        <f>SUMIF(RecoveredRaw!$B:$B,$A91,RecoveredRaw!AQ:AQ)</f>
        <v>1</v>
      </c>
      <c r="AO91">
        <f>SUMIF(RecoveredRaw!$B:$B,$A91,RecoveredRaw!AR:AR)</f>
        <v>1</v>
      </c>
      <c r="AP91">
        <f>SUMIF(RecoveredRaw!$B:$B,$A91,RecoveredRaw!AS:AS)</f>
        <v>1</v>
      </c>
      <c r="AQ91">
        <f>SUMIF(RecoveredRaw!$B:$B,$A91,RecoveredRaw!AT:AT)</f>
        <v>1</v>
      </c>
      <c r="AR91">
        <f>SUMIF(RecoveredRaw!$B:$B,$A91,RecoveredRaw!AU:AU)</f>
        <v>1</v>
      </c>
      <c r="AS91">
        <f>SUMIF(RecoveredRaw!$B:$B,$A91,RecoveredRaw!AV:AV)</f>
        <v>1</v>
      </c>
      <c r="AT91">
        <f>SUMIF(RecoveredRaw!$B:$B,$A91,RecoveredRaw!AW:AW)</f>
        <v>1</v>
      </c>
      <c r="AU91">
        <f>SUMIF(RecoveredRaw!$B:$B,$A91,RecoveredRaw!AX:AX)</f>
        <v>1</v>
      </c>
      <c r="AV91">
        <f>SUMIF(RecoveredRaw!$B:$B,$A91,RecoveredRaw!AY:AY)</f>
        <v>1</v>
      </c>
      <c r="AW91">
        <f>SUMIF(RecoveredRaw!$B:$B,$A91,RecoveredRaw!AZ:AZ)</f>
        <v>1</v>
      </c>
      <c r="AX91">
        <f>SUMIF(RecoveredRaw!$B:$B,$A91,RecoveredRaw!BA:BA)</f>
        <v>1</v>
      </c>
      <c r="AY91">
        <f>SUMIF(RecoveredRaw!$B:$B,$A91,RecoveredRaw!BB:BB)</f>
        <v>1</v>
      </c>
      <c r="AZ91">
        <f>SUMIF(RecoveredRaw!$B:$B,$A91,RecoveredRaw!BC:BC)</f>
        <v>1</v>
      </c>
      <c r="BA91">
        <f>SUMIF(RecoveredRaw!$B:$B,$A91,RecoveredRaw!BD:BD)</f>
        <v>1</v>
      </c>
      <c r="BB91">
        <f>SUMIF(RecoveredRaw!$B:$B,$A91,RecoveredRaw!BE:BE)</f>
        <v>1</v>
      </c>
      <c r="BC91">
        <f>SUMIF(RecoveredRaw!$B:$B,$A91,RecoveredRaw!BF:BF)</f>
        <v>1</v>
      </c>
      <c r="BD91">
        <f>SUMIF(RecoveredRaw!$B:$B,$A91,RecoveredRaw!BG:BG)</f>
        <v>1</v>
      </c>
      <c r="BE91">
        <f>SUMIF(RecoveredRaw!$B:$B,$A91,RecoveredRaw!BH:BH)</f>
        <v>1</v>
      </c>
      <c r="BF91">
        <f>SUMIF(RecoveredRaw!$B:$B,$A91,RecoveredRaw!BI:BI)</f>
        <v>1</v>
      </c>
      <c r="BG91">
        <f>SUMIF(RecoveredRaw!$B:$B,$A91,RecoveredRaw!BJ:BJ)</f>
        <v>1</v>
      </c>
      <c r="BH91">
        <f>SUMIF(RecoveredRaw!$B:$B,$A91,RecoveredRaw!BK:BK)</f>
        <v>1</v>
      </c>
      <c r="BI91">
        <f>SUMIF(RecoveredRaw!$B:$B,$A91,RecoveredRaw!BL:BL)</f>
        <v>0</v>
      </c>
      <c r="BJ91">
        <f>SUMIF(RecoveredRaw!$B:$B,$A91,RecoveredRaw!BM:BM)</f>
        <v>0</v>
      </c>
      <c r="BK91">
        <f>SUMIF(RecoveredRaw!$B:$B,$A91,RecoveredRaw!BN:BN)</f>
        <v>0</v>
      </c>
      <c r="BL91">
        <f>SUMIF(RecoveredRaw!$B:$B,$A91,RecoveredRaw!BO:BO)</f>
        <v>0</v>
      </c>
      <c r="BM91">
        <f>SUMIF(RecoveredRaw!$B:$B,$A91,RecoveredRaw!BP:BP)</f>
        <v>0</v>
      </c>
      <c r="BN91">
        <f>SUMIF(RecoveredRaw!$B:$B,$A91,RecoveredRaw!BQ:BQ)</f>
        <v>0</v>
      </c>
      <c r="BO91">
        <f>SUMIF(RecoveredRaw!$B:$B,$A91,RecoveredRaw!BR:BR)</f>
        <v>0</v>
      </c>
      <c r="BP91">
        <f>SUMIF(RecoveredRaw!$B:$B,$A91,RecoveredRaw!BS:BS)</f>
        <v>0</v>
      </c>
      <c r="BQ91">
        <f>SUMIF(RecoveredRaw!$B:$B,$A91,RecoveredRaw!BT:BT)</f>
        <v>0</v>
      </c>
      <c r="BR91">
        <f>SUMIF(RecoveredRaw!$B:$B,$A91,RecoveredRaw!BU:BU)</f>
        <v>0</v>
      </c>
      <c r="BS91">
        <f>SUMIF(RecoveredRaw!$B:$B,$A91,RecoveredRaw!BV:BV)</f>
        <v>0</v>
      </c>
      <c r="BT91">
        <f>SUMIF(RecoveredRaw!$B:$B,$A91,RecoveredRaw!BW:BW)</f>
        <v>0</v>
      </c>
    </row>
    <row r="92" spans="1:72" ht="15" thickBot="1" x14ac:dyDescent="0.35">
      <c r="A92" s="3" t="s">
        <v>106</v>
      </c>
      <c r="B92">
        <f>SUMIF(RecoveredRaw!$B:$B,$A92,RecoveredRaw!E:E)</f>
        <v>0</v>
      </c>
      <c r="C92">
        <f>SUMIF(RecoveredRaw!$B:$B,$A92,RecoveredRaw!F:F)</f>
        <v>0</v>
      </c>
      <c r="D92">
        <f>SUMIF(RecoveredRaw!$B:$B,$A92,RecoveredRaw!G:G)</f>
        <v>0</v>
      </c>
      <c r="E92">
        <f>SUMIF(RecoveredRaw!$B:$B,$A92,RecoveredRaw!H:H)</f>
        <v>0</v>
      </c>
      <c r="F92">
        <f>SUMIF(RecoveredRaw!$B:$B,$A92,RecoveredRaw!I:I)</f>
        <v>0</v>
      </c>
      <c r="G92">
        <f>SUMIF(RecoveredRaw!$B:$B,$A92,RecoveredRaw!J:J)</f>
        <v>0</v>
      </c>
      <c r="H92">
        <f>SUMIF(RecoveredRaw!$B:$B,$A92,RecoveredRaw!K:K)</f>
        <v>0</v>
      </c>
      <c r="I92">
        <f>SUMIF(RecoveredRaw!$B:$B,$A92,RecoveredRaw!L:L)</f>
        <v>0</v>
      </c>
      <c r="J92">
        <f>SUMIF(RecoveredRaw!$B:$B,$A92,RecoveredRaw!M:M)</f>
        <v>0</v>
      </c>
      <c r="K92">
        <f>SUMIF(RecoveredRaw!$B:$B,$A92,RecoveredRaw!N:N)</f>
        <v>0</v>
      </c>
      <c r="L92">
        <f>SUMIF(RecoveredRaw!$B:$B,$A92,RecoveredRaw!O:O)</f>
        <v>0</v>
      </c>
      <c r="M92">
        <f>SUMIF(RecoveredRaw!$B:$B,$A92,RecoveredRaw!P:P)</f>
        <v>0</v>
      </c>
      <c r="N92">
        <f>SUMIF(RecoveredRaw!$B:$B,$A92,RecoveredRaw!Q:Q)</f>
        <v>0</v>
      </c>
      <c r="O92">
        <f>SUMIF(RecoveredRaw!$B:$B,$A92,RecoveredRaw!R:R)</f>
        <v>0</v>
      </c>
      <c r="P92">
        <f>SUMIF(RecoveredRaw!$B:$B,$A92,RecoveredRaw!S:S)</f>
        <v>0</v>
      </c>
      <c r="Q92">
        <f>SUMIF(RecoveredRaw!$B:$B,$A92,RecoveredRaw!T:T)</f>
        <v>0</v>
      </c>
      <c r="R92">
        <f>SUMIF(RecoveredRaw!$B:$B,$A92,RecoveredRaw!U:U)</f>
        <v>0</v>
      </c>
      <c r="S92">
        <f>SUMIF(RecoveredRaw!$B:$B,$A92,RecoveredRaw!V:V)</f>
        <v>0</v>
      </c>
      <c r="T92">
        <f>SUMIF(RecoveredRaw!$B:$B,$A92,RecoveredRaw!W:W)</f>
        <v>0</v>
      </c>
      <c r="U92">
        <f>SUMIF(RecoveredRaw!$B:$B,$A92,RecoveredRaw!X:X)</f>
        <v>0</v>
      </c>
      <c r="V92">
        <f>SUMIF(RecoveredRaw!$B:$B,$A92,RecoveredRaw!Y:Y)</f>
        <v>0</v>
      </c>
      <c r="W92">
        <f>SUMIF(RecoveredRaw!$B:$B,$A92,RecoveredRaw!Z:Z)</f>
        <v>0</v>
      </c>
      <c r="X92">
        <f>SUMIF(RecoveredRaw!$B:$B,$A92,RecoveredRaw!AA:AA)</f>
        <v>0</v>
      </c>
      <c r="Y92">
        <f>SUMIF(RecoveredRaw!$B:$B,$A92,RecoveredRaw!AB:AB)</f>
        <v>0</v>
      </c>
      <c r="Z92">
        <f>SUMIF(RecoveredRaw!$B:$B,$A92,RecoveredRaw!AC:AC)</f>
        <v>0</v>
      </c>
      <c r="AA92">
        <f>SUMIF(RecoveredRaw!$B:$B,$A92,RecoveredRaw!AD:AD)</f>
        <v>0</v>
      </c>
      <c r="AB92">
        <f>SUMIF(RecoveredRaw!$B:$B,$A92,RecoveredRaw!AE:AE)</f>
        <v>0</v>
      </c>
      <c r="AC92">
        <f>SUMIF(RecoveredRaw!$B:$B,$A92,RecoveredRaw!AF:AF)</f>
        <v>0</v>
      </c>
      <c r="AD92">
        <f>SUMIF(RecoveredRaw!$B:$B,$A92,RecoveredRaw!AG:AG)</f>
        <v>0</v>
      </c>
      <c r="AE92">
        <f>SUMIF(RecoveredRaw!$B:$B,$A92,RecoveredRaw!AH:AH)</f>
        <v>0</v>
      </c>
      <c r="AF92">
        <f>SUMIF(RecoveredRaw!$B:$B,$A92,RecoveredRaw!AI:AI)</f>
        <v>0</v>
      </c>
      <c r="AG92">
        <f>SUMIF(RecoveredRaw!$B:$B,$A92,RecoveredRaw!AJ:AJ)</f>
        <v>0</v>
      </c>
      <c r="AH92">
        <f>SUMIF(RecoveredRaw!$B:$B,$A92,RecoveredRaw!AK:AK)</f>
        <v>0</v>
      </c>
      <c r="AI92">
        <f>SUMIF(RecoveredRaw!$B:$B,$A92,RecoveredRaw!AL:AL)</f>
        <v>0</v>
      </c>
      <c r="AJ92">
        <f>SUMIF(RecoveredRaw!$B:$B,$A92,RecoveredRaw!AM:AM)</f>
        <v>0</v>
      </c>
      <c r="AK92">
        <f>SUMIF(RecoveredRaw!$B:$B,$A92,RecoveredRaw!AN:AN)</f>
        <v>0</v>
      </c>
      <c r="AL92">
        <f>SUMIF(RecoveredRaw!$B:$B,$A92,RecoveredRaw!AO:AO)</f>
        <v>0</v>
      </c>
      <c r="AM92">
        <f>SUMIF(RecoveredRaw!$B:$B,$A92,RecoveredRaw!AP:AP)</f>
        <v>0</v>
      </c>
      <c r="AN92">
        <f>SUMIF(RecoveredRaw!$B:$B,$A92,RecoveredRaw!AQ:AQ)</f>
        <v>0</v>
      </c>
      <c r="AO92">
        <f>SUMIF(RecoveredRaw!$B:$B,$A92,RecoveredRaw!AR:AR)</f>
        <v>0</v>
      </c>
      <c r="AP92">
        <f>SUMIF(RecoveredRaw!$B:$B,$A92,RecoveredRaw!AS:AS)</f>
        <v>0</v>
      </c>
      <c r="AQ92">
        <f>SUMIF(RecoveredRaw!$B:$B,$A92,RecoveredRaw!AT:AT)</f>
        <v>0</v>
      </c>
      <c r="AR92">
        <f>SUMIF(RecoveredRaw!$B:$B,$A92,RecoveredRaw!AU:AU)</f>
        <v>0</v>
      </c>
      <c r="AS92">
        <f>SUMIF(RecoveredRaw!$B:$B,$A92,RecoveredRaw!AV:AV)</f>
        <v>0</v>
      </c>
      <c r="AT92">
        <f>SUMIF(RecoveredRaw!$B:$B,$A92,RecoveredRaw!AW:AW)</f>
        <v>0</v>
      </c>
      <c r="AU92">
        <f>SUMIF(RecoveredRaw!$B:$B,$A92,RecoveredRaw!AX:AX)</f>
        <v>0</v>
      </c>
      <c r="AV92">
        <f>SUMIF(RecoveredRaw!$B:$B,$A92,RecoveredRaw!AY:AY)</f>
        <v>0</v>
      </c>
      <c r="AW92">
        <f>SUMIF(RecoveredRaw!$B:$B,$A92,RecoveredRaw!AZ:AZ)</f>
        <v>0</v>
      </c>
      <c r="AX92">
        <f>SUMIF(RecoveredRaw!$B:$B,$A92,RecoveredRaw!BA:BA)</f>
        <v>0</v>
      </c>
      <c r="AY92">
        <f>SUMIF(RecoveredRaw!$B:$B,$A92,RecoveredRaw!BB:BB)</f>
        <v>0</v>
      </c>
      <c r="AZ92">
        <f>SUMIF(RecoveredRaw!$B:$B,$A92,RecoveredRaw!BC:BC)</f>
        <v>0</v>
      </c>
      <c r="BA92">
        <f>SUMIF(RecoveredRaw!$B:$B,$A92,RecoveredRaw!BD:BD)</f>
        <v>0</v>
      </c>
      <c r="BB92">
        <f>SUMIF(RecoveredRaw!$B:$B,$A92,RecoveredRaw!BE:BE)</f>
        <v>0</v>
      </c>
      <c r="BC92">
        <f>SUMIF(RecoveredRaw!$B:$B,$A92,RecoveredRaw!BF:BF)</f>
        <v>0</v>
      </c>
      <c r="BD92">
        <f>SUMIF(RecoveredRaw!$B:$B,$A92,RecoveredRaw!BG:BG)</f>
        <v>0</v>
      </c>
      <c r="BE92">
        <f>SUMIF(RecoveredRaw!$B:$B,$A92,RecoveredRaw!BH:BH)</f>
        <v>0</v>
      </c>
      <c r="BF92">
        <f>SUMIF(RecoveredRaw!$B:$B,$A92,RecoveredRaw!BI:BI)</f>
        <v>0</v>
      </c>
      <c r="BG92">
        <f>SUMIF(RecoveredRaw!$B:$B,$A92,RecoveredRaw!BJ:BJ)</f>
        <v>0</v>
      </c>
      <c r="BH92">
        <f>SUMIF(RecoveredRaw!$B:$B,$A92,RecoveredRaw!BK:BK)</f>
        <v>0</v>
      </c>
      <c r="BI92">
        <f>SUMIF(RecoveredRaw!$B:$B,$A92,RecoveredRaw!BL:BL)</f>
        <v>0</v>
      </c>
      <c r="BJ92">
        <f>SUMIF(RecoveredRaw!$B:$B,$A92,RecoveredRaw!BM:BM)</f>
        <v>0</v>
      </c>
      <c r="BK92">
        <f>SUMIF(RecoveredRaw!$B:$B,$A92,RecoveredRaw!BN:BN)</f>
        <v>0</v>
      </c>
      <c r="BL92">
        <f>SUMIF(RecoveredRaw!$B:$B,$A92,RecoveredRaw!BO:BO)</f>
        <v>0</v>
      </c>
      <c r="BM92">
        <f>SUMIF(RecoveredRaw!$B:$B,$A92,RecoveredRaw!BP:BP)</f>
        <v>0</v>
      </c>
      <c r="BN92">
        <f>SUMIF(RecoveredRaw!$B:$B,$A92,RecoveredRaw!BQ:BQ)</f>
        <v>0</v>
      </c>
      <c r="BO92">
        <f>SUMIF(RecoveredRaw!$B:$B,$A92,RecoveredRaw!BR:BR)</f>
        <v>0</v>
      </c>
      <c r="BP92">
        <f>SUMIF(RecoveredRaw!$B:$B,$A92,RecoveredRaw!BS:BS)</f>
        <v>0</v>
      </c>
      <c r="BQ92">
        <f>SUMIF(RecoveredRaw!$B:$B,$A92,RecoveredRaw!BT:BT)</f>
        <v>0</v>
      </c>
      <c r="BR92">
        <f>SUMIF(RecoveredRaw!$B:$B,$A92,RecoveredRaw!BU:BU)</f>
        <v>0</v>
      </c>
      <c r="BS92">
        <f>SUMIF(RecoveredRaw!$B:$B,$A92,RecoveredRaw!BV:BV)</f>
        <v>0</v>
      </c>
      <c r="BT92">
        <f>SUMIF(RecoveredRaw!$B:$B,$A92,RecoveredRaw!BW:BW)</f>
        <v>0</v>
      </c>
    </row>
    <row r="93" spans="1:72" ht="15" thickBot="1" x14ac:dyDescent="0.35">
      <c r="A93" s="4" t="s">
        <v>176</v>
      </c>
      <c r="B93">
        <f>SUMIF(RecoveredRaw!$B:$B,$A93,RecoveredRaw!E:E)</f>
        <v>0</v>
      </c>
      <c r="C93">
        <f>SUMIF(RecoveredRaw!$B:$B,$A93,RecoveredRaw!F:F)</f>
        <v>0</v>
      </c>
      <c r="D93">
        <f>SUMIF(RecoveredRaw!$B:$B,$A93,RecoveredRaw!G:G)</f>
        <v>0</v>
      </c>
      <c r="E93">
        <f>SUMIF(RecoveredRaw!$B:$B,$A93,RecoveredRaw!H:H)</f>
        <v>0</v>
      </c>
      <c r="F93">
        <f>SUMIF(RecoveredRaw!$B:$B,$A93,RecoveredRaw!I:I)</f>
        <v>0</v>
      </c>
      <c r="G93">
        <f>SUMIF(RecoveredRaw!$B:$B,$A93,RecoveredRaw!J:J)</f>
        <v>0</v>
      </c>
      <c r="H93">
        <f>SUMIF(RecoveredRaw!$B:$B,$A93,RecoveredRaw!K:K)</f>
        <v>0</v>
      </c>
      <c r="I93">
        <f>SUMIF(RecoveredRaw!$B:$B,$A93,RecoveredRaw!L:L)</f>
        <v>0</v>
      </c>
      <c r="J93">
        <f>SUMIF(RecoveredRaw!$B:$B,$A93,RecoveredRaw!M:M)</f>
        <v>0</v>
      </c>
      <c r="K93">
        <f>SUMIF(RecoveredRaw!$B:$B,$A93,RecoveredRaw!N:N)</f>
        <v>0</v>
      </c>
      <c r="L93">
        <f>SUMIF(RecoveredRaw!$B:$B,$A93,RecoveredRaw!O:O)</f>
        <v>0</v>
      </c>
      <c r="M93">
        <f>SUMIF(RecoveredRaw!$B:$B,$A93,RecoveredRaw!P:P)</f>
        <v>0</v>
      </c>
      <c r="N93">
        <f>SUMIF(RecoveredRaw!$B:$B,$A93,RecoveredRaw!Q:Q)</f>
        <v>0</v>
      </c>
      <c r="O93">
        <f>SUMIF(RecoveredRaw!$B:$B,$A93,RecoveredRaw!R:R)</f>
        <v>0</v>
      </c>
      <c r="P93">
        <f>SUMIF(RecoveredRaw!$B:$B,$A93,RecoveredRaw!S:S)</f>
        <v>0</v>
      </c>
      <c r="Q93">
        <f>SUMIF(RecoveredRaw!$B:$B,$A93,RecoveredRaw!T:T)</f>
        <v>0</v>
      </c>
      <c r="R93">
        <f>SUMIF(RecoveredRaw!$B:$B,$A93,RecoveredRaw!U:U)</f>
        <v>0</v>
      </c>
      <c r="S93">
        <f>SUMIF(RecoveredRaw!$B:$B,$A93,RecoveredRaw!V:V)</f>
        <v>0</v>
      </c>
      <c r="T93">
        <f>SUMIF(RecoveredRaw!$B:$B,$A93,RecoveredRaw!W:W)</f>
        <v>0</v>
      </c>
      <c r="U93">
        <f>SUMIF(RecoveredRaw!$B:$B,$A93,RecoveredRaw!X:X)</f>
        <v>0</v>
      </c>
      <c r="V93">
        <f>SUMIF(RecoveredRaw!$B:$B,$A93,RecoveredRaw!Y:Y)</f>
        <v>0</v>
      </c>
      <c r="W93">
        <f>SUMIF(RecoveredRaw!$B:$B,$A93,RecoveredRaw!Z:Z)</f>
        <v>0</v>
      </c>
      <c r="X93">
        <f>SUMIF(RecoveredRaw!$B:$B,$A93,RecoveredRaw!AA:AA)</f>
        <v>0</v>
      </c>
      <c r="Y93">
        <f>SUMIF(RecoveredRaw!$B:$B,$A93,RecoveredRaw!AB:AB)</f>
        <v>0</v>
      </c>
      <c r="Z93">
        <f>SUMIF(RecoveredRaw!$B:$B,$A93,RecoveredRaw!AC:AC)</f>
        <v>0</v>
      </c>
      <c r="AA93">
        <f>SUMIF(RecoveredRaw!$B:$B,$A93,RecoveredRaw!AD:AD)</f>
        <v>0</v>
      </c>
      <c r="AB93">
        <f>SUMIF(RecoveredRaw!$B:$B,$A93,RecoveredRaw!AE:AE)</f>
        <v>0</v>
      </c>
      <c r="AC93">
        <f>SUMIF(RecoveredRaw!$B:$B,$A93,RecoveredRaw!AF:AF)</f>
        <v>0</v>
      </c>
      <c r="AD93">
        <f>SUMIF(RecoveredRaw!$B:$B,$A93,RecoveredRaw!AG:AG)</f>
        <v>0</v>
      </c>
      <c r="AE93">
        <f>SUMIF(RecoveredRaw!$B:$B,$A93,RecoveredRaw!AH:AH)</f>
        <v>0</v>
      </c>
      <c r="AF93">
        <f>SUMIF(RecoveredRaw!$B:$B,$A93,RecoveredRaw!AI:AI)</f>
        <v>0</v>
      </c>
      <c r="AG93">
        <f>SUMIF(RecoveredRaw!$B:$B,$A93,RecoveredRaw!AJ:AJ)</f>
        <v>0</v>
      </c>
      <c r="AH93">
        <f>SUMIF(RecoveredRaw!$B:$B,$A93,RecoveredRaw!AK:AK)</f>
        <v>0</v>
      </c>
      <c r="AI93">
        <f>SUMIF(RecoveredRaw!$B:$B,$A93,RecoveredRaw!AL:AL)</f>
        <v>0</v>
      </c>
      <c r="AJ93">
        <f>SUMIF(RecoveredRaw!$B:$B,$A93,RecoveredRaw!AM:AM)</f>
        <v>0</v>
      </c>
      <c r="AK93">
        <f>SUMIF(RecoveredRaw!$B:$B,$A93,RecoveredRaw!AN:AN)</f>
        <v>0</v>
      </c>
      <c r="AL93">
        <f>SUMIF(RecoveredRaw!$B:$B,$A93,RecoveredRaw!AO:AO)</f>
        <v>0</v>
      </c>
      <c r="AM93">
        <f>SUMIF(RecoveredRaw!$B:$B,$A93,RecoveredRaw!AP:AP)</f>
        <v>0</v>
      </c>
      <c r="AN93">
        <f>SUMIF(RecoveredRaw!$B:$B,$A93,RecoveredRaw!AQ:AQ)</f>
        <v>0</v>
      </c>
      <c r="AO93">
        <f>SUMIF(RecoveredRaw!$B:$B,$A93,RecoveredRaw!AR:AR)</f>
        <v>0</v>
      </c>
      <c r="AP93">
        <f>SUMIF(RecoveredRaw!$B:$B,$A93,RecoveredRaw!AS:AS)</f>
        <v>0</v>
      </c>
      <c r="AQ93">
        <f>SUMIF(RecoveredRaw!$B:$B,$A93,RecoveredRaw!AT:AT)</f>
        <v>0</v>
      </c>
      <c r="AR93">
        <f>SUMIF(RecoveredRaw!$B:$B,$A93,RecoveredRaw!AU:AU)</f>
        <v>0</v>
      </c>
      <c r="AS93">
        <f>SUMIF(RecoveredRaw!$B:$B,$A93,RecoveredRaw!AV:AV)</f>
        <v>0</v>
      </c>
      <c r="AT93">
        <f>SUMIF(RecoveredRaw!$B:$B,$A93,RecoveredRaw!AW:AW)</f>
        <v>0</v>
      </c>
      <c r="AU93">
        <f>SUMIF(RecoveredRaw!$B:$B,$A93,RecoveredRaw!AX:AX)</f>
        <v>0</v>
      </c>
      <c r="AV93">
        <f>SUMIF(RecoveredRaw!$B:$B,$A93,RecoveredRaw!AY:AY)</f>
        <v>0</v>
      </c>
      <c r="AW93">
        <f>SUMIF(RecoveredRaw!$B:$B,$A93,RecoveredRaw!AZ:AZ)</f>
        <v>0</v>
      </c>
      <c r="AX93">
        <f>SUMIF(RecoveredRaw!$B:$B,$A93,RecoveredRaw!BA:BA)</f>
        <v>0</v>
      </c>
      <c r="AY93">
        <f>SUMIF(RecoveredRaw!$B:$B,$A93,RecoveredRaw!BB:BB)</f>
        <v>0</v>
      </c>
      <c r="AZ93">
        <f>SUMIF(RecoveredRaw!$B:$B,$A93,RecoveredRaw!BC:BC)</f>
        <v>0</v>
      </c>
      <c r="BA93">
        <f>SUMIF(RecoveredRaw!$B:$B,$A93,RecoveredRaw!BD:BD)</f>
        <v>0</v>
      </c>
      <c r="BB93">
        <f>SUMIF(RecoveredRaw!$B:$B,$A93,RecoveredRaw!BE:BE)</f>
        <v>0</v>
      </c>
      <c r="BC93">
        <f>SUMIF(RecoveredRaw!$B:$B,$A93,RecoveredRaw!BF:BF)</f>
        <v>0</v>
      </c>
      <c r="BD93">
        <f>SUMIF(RecoveredRaw!$B:$B,$A93,RecoveredRaw!BG:BG)</f>
        <v>0</v>
      </c>
      <c r="BE93">
        <f>SUMIF(RecoveredRaw!$B:$B,$A93,RecoveredRaw!BH:BH)</f>
        <v>0</v>
      </c>
      <c r="BF93">
        <f>SUMIF(RecoveredRaw!$B:$B,$A93,RecoveredRaw!BI:BI)</f>
        <v>0</v>
      </c>
      <c r="BG93">
        <f>SUMIF(RecoveredRaw!$B:$B,$A93,RecoveredRaw!BJ:BJ)</f>
        <v>0</v>
      </c>
      <c r="BH93">
        <f>SUMIF(RecoveredRaw!$B:$B,$A93,RecoveredRaw!BK:BK)</f>
        <v>0</v>
      </c>
      <c r="BI93">
        <f>SUMIF(RecoveredRaw!$B:$B,$A93,RecoveredRaw!BL:BL)</f>
        <v>0</v>
      </c>
      <c r="BJ93">
        <f>SUMIF(RecoveredRaw!$B:$B,$A93,RecoveredRaw!BM:BM)</f>
        <v>0</v>
      </c>
      <c r="BK93">
        <f>SUMIF(RecoveredRaw!$B:$B,$A93,RecoveredRaw!BN:BN)</f>
        <v>0</v>
      </c>
      <c r="BL93">
        <f>SUMIF(RecoveredRaw!$B:$B,$A93,RecoveredRaw!BO:BO)</f>
        <v>0</v>
      </c>
      <c r="BM93">
        <f>SUMIF(RecoveredRaw!$B:$B,$A93,RecoveredRaw!BP:BP)</f>
        <v>0</v>
      </c>
      <c r="BN93">
        <f>SUMIF(RecoveredRaw!$B:$B,$A93,RecoveredRaw!BQ:BQ)</f>
        <v>0</v>
      </c>
      <c r="BO93">
        <f>SUMIF(RecoveredRaw!$B:$B,$A93,RecoveredRaw!BR:BR)</f>
        <v>0</v>
      </c>
      <c r="BP93">
        <f>SUMIF(RecoveredRaw!$B:$B,$A93,RecoveredRaw!BS:BS)</f>
        <v>0</v>
      </c>
      <c r="BQ93">
        <f>SUMIF(RecoveredRaw!$B:$B,$A93,RecoveredRaw!BT:BT)</f>
        <v>0</v>
      </c>
      <c r="BR93">
        <f>SUMIF(RecoveredRaw!$B:$B,$A93,RecoveredRaw!BU:BU)</f>
        <v>0</v>
      </c>
      <c r="BS93">
        <f>SUMIF(RecoveredRaw!$B:$B,$A93,RecoveredRaw!BV:BV)</f>
        <v>0</v>
      </c>
      <c r="BT93">
        <f>SUMIF(RecoveredRaw!$B:$B,$A93,RecoveredRaw!BW:BW)</f>
        <v>0</v>
      </c>
    </row>
    <row r="94" spans="1:72" ht="15" thickBot="1" x14ac:dyDescent="0.35">
      <c r="A94" s="3" t="s">
        <v>95</v>
      </c>
      <c r="B94">
        <f>SUMIF(RecoveredRaw!$B:$B,$A94,RecoveredRaw!E:E)</f>
        <v>0</v>
      </c>
      <c r="C94">
        <f>SUMIF(RecoveredRaw!$B:$B,$A94,RecoveredRaw!F:F)</f>
        <v>0</v>
      </c>
      <c r="D94">
        <f>SUMIF(RecoveredRaw!$B:$B,$A94,RecoveredRaw!G:G)</f>
        <v>0</v>
      </c>
      <c r="E94">
        <f>SUMIF(RecoveredRaw!$B:$B,$A94,RecoveredRaw!H:H)</f>
        <v>0</v>
      </c>
      <c r="F94">
        <f>SUMIF(RecoveredRaw!$B:$B,$A94,RecoveredRaw!I:I)</f>
        <v>0</v>
      </c>
      <c r="G94">
        <f>SUMIF(RecoveredRaw!$B:$B,$A94,RecoveredRaw!J:J)</f>
        <v>0</v>
      </c>
      <c r="H94">
        <f>SUMIF(RecoveredRaw!$B:$B,$A94,RecoveredRaw!K:K)</f>
        <v>0</v>
      </c>
      <c r="I94">
        <f>SUMIF(RecoveredRaw!$B:$B,$A94,RecoveredRaw!L:L)</f>
        <v>0</v>
      </c>
      <c r="J94">
        <f>SUMIF(RecoveredRaw!$B:$B,$A94,RecoveredRaw!M:M)</f>
        <v>0</v>
      </c>
      <c r="K94">
        <f>SUMIF(RecoveredRaw!$B:$B,$A94,RecoveredRaw!N:N)</f>
        <v>0</v>
      </c>
      <c r="L94">
        <f>SUMIF(RecoveredRaw!$B:$B,$A94,RecoveredRaw!O:O)</f>
        <v>0</v>
      </c>
      <c r="M94">
        <f>SUMIF(RecoveredRaw!$B:$B,$A94,RecoveredRaw!P:P)</f>
        <v>0</v>
      </c>
      <c r="N94">
        <f>SUMIF(RecoveredRaw!$B:$B,$A94,RecoveredRaw!Q:Q)</f>
        <v>0</v>
      </c>
      <c r="O94">
        <f>SUMIF(RecoveredRaw!$B:$B,$A94,RecoveredRaw!R:R)</f>
        <v>0</v>
      </c>
      <c r="P94">
        <f>SUMIF(RecoveredRaw!$B:$B,$A94,RecoveredRaw!S:S)</f>
        <v>0</v>
      </c>
      <c r="Q94">
        <f>SUMIF(RecoveredRaw!$B:$B,$A94,RecoveredRaw!T:T)</f>
        <v>0</v>
      </c>
      <c r="R94">
        <f>SUMIF(RecoveredRaw!$B:$B,$A94,RecoveredRaw!U:U)</f>
        <v>0</v>
      </c>
      <c r="S94">
        <f>SUMIF(RecoveredRaw!$B:$B,$A94,RecoveredRaw!V:V)</f>
        <v>0</v>
      </c>
      <c r="T94">
        <f>SUMIF(RecoveredRaw!$B:$B,$A94,RecoveredRaw!W:W)</f>
        <v>0</v>
      </c>
      <c r="U94">
        <f>SUMIF(RecoveredRaw!$B:$B,$A94,RecoveredRaw!X:X)</f>
        <v>0</v>
      </c>
      <c r="V94">
        <f>SUMIF(RecoveredRaw!$B:$B,$A94,RecoveredRaw!Y:Y)</f>
        <v>0</v>
      </c>
      <c r="W94">
        <f>SUMIF(RecoveredRaw!$B:$B,$A94,RecoveredRaw!Z:Z)</f>
        <v>0</v>
      </c>
      <c r="X94">
        <f>SUMIF(RecoveredRaw!$B:$B,$A94,RecoveredRaw!AA:AA)</f>
        <v>0</v>
      </c>
      <c r="Y94">
        <f>SUMIF(RecoveredRaw!$B:$B,$A94,RecoveredRaw!AB:AB)</f>
        <v>0</v>
      </c>
      <c r="Z94">
        <f>SUMIF(RecoveredRaw!$B:$B,$A94,RecoveredRaw!AC:AC)</f>
        <v>0</v>
      </c>
      <c r="AA94">
        <f>SUMIF(RecoveredRaw!$B:$B,$A94,RecoveredRaw!AD:AD)</f>
        <v>0</v>
      </c>
      <c r="AB94">
        <f>SUMIF(RecoveredRaw!$B:$B,$A94,RecoveredRaw!AE:AE)</f>
        <v>0</v>
      </c>
      <c r="AC94">
        <f>SUMIF(RecoveredRaw!$B:$B,$A94,RecoveredRaw!AF:AF)</f>
        <v>0</v>
      </c>
      <c r="AD94">
        <f>SUMIF(RecoveredRaw!$B:$B,$A94,RecoveredRaw!AG:AG)</f>
        <v>0</v>
      </c>
      <c r="AE94">
        <f>SUMIF(RecoveredRaw!$B:$B,$A94,RecoveredRaw!AH:AH)</f>
        <v>0</v>
      </c>
      <c r="AF94">
        <f>SUMIF(RecoveredRaw!$B:$B,$A94,RecoveredRaw!AI:AI)</f>
        <v>0</v>
      </c>
      <c r="AG94">
        <f>SUMIF(RecoveredRaw!$B:$B,$A94,RecoveredRaw!AJ:AJ)</f>
        <v>0</v>
      </c>
      <c r="AH94">
        <f>SUMIF(RecoveredRaw!$B:$B,$A94,RecoveredRaw!AK:AK)</f>
        <v>0</v>
      </c>
      <c r="AI94">
        <f>SUMIF(RecoveredRaw!$B:$B,$A94,RecoveredRaw!AL:AL)</f>
        <v>0</v>
      </c>
      <c r="AJ94">
        <f>SUMIF(RecoveredRaw!$B:$B,$A94,RecoveredRaw!AM:AM)</f>
        <v>0</v>
      </c>
      <c r="AK94">
        <f>SUMIF(RecoveredRaw!$B:$B,$A94,RecoveredRaw!AN:AN)</f>
        <v>0</v>
      </c>
      <c r="AL94">
        <f>SUMIF(RecoveredRaw!$B:$B,$A94,RecoveredRaw!AO:AO)</f>
        <v>0</v>
      </c>
      <c r="AM94">
        <f>SUMIF(RecoveredRaw!$B:$B,$A94,RecoveredRaw!AP:AP)</f>
        <v>0</v>
      </c>
      <c r="AN94">
        <f>SUMIF(RecoveredRaw!$B:$B,$A94,RecoveredRaw!AQ:AQ)</f>
        <v>0</v>
      </c>
      <c r="AO94">
        <f>SUMIF(RecoveredRaw!$B:$B,$A94,RecoveredRaw!AR:AR)</f>
        <v>0</v>
      </c>
      <c r="AP94">
        <f>SUMIF(RecoveredRaw!$B:$B,$A94,RecoveredRaw!AS:AS)</f>
        <v>0</v>
      </c>
      <c r="AQ94">
        <f>SUMIF(RecoveredRaw!$B:$B,$A94,RecoveredRaw!AT:AT)</f>
        <v>0</v>
      </c>
      <c r="AR94">
        <f>SUMIF(RecoveredRaw!$B:$B,$A94,RecoveredRaw!AU:AU)</f>
        <v>0</v>
      </c>
      <c r="AS94">
        <f>SUMIF(RecoveredRaw!$B:$B,$A94,RecoveredRaw!AV:AV)</f>
        <v>0</v>
      </c>
      <c r="AT94">
        <f>SUMIF(RecoveredRaw!$B:$B,$A94,RecoveredRaw!AW:AW)</f>
        <v>0</v>
      </c>
      <c r="AU94">
        <f>SUMIF(RecoveredRaw!$B:$B,$A94,RecoveredRaw!AX:AX)</f>
        <v>0</v>
      </c>
      <c r="AV94">
        <f>SUMIF(RecoveredRaw!$B:$B,$A94,RecoveredRaw!AY:AY)</f>
        <v>0</v>
      </c>
      <c r="AW94">
        <f>SUMIF(RecoveredRaw!$B:$B,$A94,RecoveredRaw!AZ:AZ)</f>
        <v>0</v>
      </c>
      <c r="AX94">
        <f>SUMIF(RecoveredRaw!$B:$B,$A94,RecoveredRaw!BA:BA)</f>
        <v>0</v>
      </c>
      <c r="AY94">
        <f>SUMIF(RecoveredRaw!$B:$B,$A94,RecoveredRaw!BB:BB)</f>
        <v>0</v>
      </c>
      <c r="AZ94">
        <f>SUMIF(RecoveredRaw!$B:$B,$A94,RecoveredRaw!BC:BC)</f>
        <v>0</v>
      </c>
      <c r="BA94">
        <f>SUMIF(RecoveredRaw!$B:$B,$A94,RecoveredRaw!BD:BD)</f>
        <v>0</v>
      </c>
      <c r="BB94">
        <f>SUMIF(RecoveredRaw!$B:$B,$A94,RecoveredRaw!BE:BE)</f>
        <v>0</v>
      </c>
      <c r="BC94">
        <f>SUMIF(RecoveredRaw!$B:$B,$A94,RecoveredRaw!BF:BF)</f>
        <v>0</v>
      </c>
      <c r="BD94">
        <f>SUMIF(RecoveredRaw!$B:$B,$A94,RecoveredRaw!BG:BG)</f>
        <v>0</v>
      </c>
      <c r="BE94">
        <f>SUMIF(RecoveredRaw!$B:$B,$A94,RecoveredRaw!BH:BH)</f>
        <v>0</v>
      </c>
      <c r="BF94">
        <f>SUMIF(RecoveredRaw!$B:$B,$A94,RecoveredRaw!BI:BI)</f>
        <v>0</v>
      </c>
      <c r="BG94">
        <f>SUMIF(RecoveredRaw!$B:$B,$A94,RecoveredRaw!BJ:BJ)</f>
        <v>0</v>
      </c>
      <c r="BH94">
        <f>SUMIF(RecoveredRaw!$B:$B,$A94,RecoveredRaw!BK:BK)</f>
        <v>0</v>
      </c>
      <c r="BI94">
        <f>SUMIF(RecoveredRaw!$B:$B,$A94,RecoveredRaw!BL:BL)</f>
        <v>0</v>
      </c>
      <c r="BJ94">
        <f>SUMIF(RecoveredRaw!$B:$B,$A94,RecoveredRaw!BM:BM)</f>
        <v>0</v>
      </c>
      <c r="BK94">
        <f>SUMIF(RecoveredRaw!$B:$B,$A94,RecoveredRaw!BN:BN)</f>
        <v>0</v>
      </c>
      <c r="BL94">
        <f>SUMIF(RecoveredRaw!$B:$B,$A94,RecoveredRaw!BO:BO)</f>
        <v>0</v>
      </c>
      <c r="BM94">
        <f>SUMIF(RecoveredRaw!$B:$B,$A94,RecoveredRaw!BP:BP)</f>
        <v>0</v>
      </c>
      <c r="BN94">
        <f>SUMIF(RecoveredRaw!$B:$B,$A94,RecoveredRaw!BQ:BQ)</f>
        <v>0</v>
      </c>
      <c r="BO94">
        <f>SUMIF(RecoveredRaw!$B:$B,$A94,RecoveredRaw!BR:BR)</f>
        <v>0</v>
      </c>
      <c r="BP94">
        <f>SUMIF(RecoveredRaw!$B:$B,$A94,RecoveredRaw!BS:BS)</f>
        <v>0</v>
      </c>
      <c r="BQ94">
        <f>SUMIF(RecoveredRaw!$B:$B,$A94,RecoveredRaw!BT:BT)</f>
        <v>0</v>
      </c>
      <c r="BR94">
        <f>SUMIF(RecoveredRaw!$B:$B,$A94,RecoveredRaw!BU:BU)</f>
        <v>0</v>
      </c>
      <c r="BS94">
        <f>SUMIF(RecoveredRaw!$B:$B,$A94,RecoveredRaw!BV:BV)</f>
        <v>0</v>
      </c>
      <c r="BT94">
        <f>SUMIF(RecoveredRaw!$B:$B,$A94,RecoveredRaw!BW:BW)</f>
        <v>0</v>
      </c>
    </row>
    <row r="95" spans="1:72" ht="15" thickBot="1" x14ac:dyDescent="0.35">
      <c r="A95" s="4" t="s">
        <v>354</v>
      </c>
      <c r="B95">
        <f>SUMIF(RecoveredRaw!$B:$B,$A95,RecoveredRaw!E:E)</f>
        <v>0</v>
      </c>
      <c r="C95">
        <f>SUMIF(RecoveredRaw!$B:$B,$A95,RecoveredRaw!F:F)</f>
        <v>0</v>
      </c>
      <c r="D95">
        <f>SUMIF(RecoveredRaw!$B:$B,$A95,RecoveredRaw!G:G)</f>
        <v>0</v>
      </c>
      <c r="E95">
        <f>SUMIF(RecoveredRaw!$B:$B,$A95,RecoveredRaw!H:H)</f>
        <v>0</v>
      </c>
      <c r="F95">
        <f>SUMIF(RecoveredRaw!$B:$B,$A95,RecoveredRaw!I:I)</f>
        <v>0</v>
      </c>
      <c r="G95">
        <f>SUMIF(RecoveredRaw!$B:$B,$A95,RecoveredRaw!J:J)</f>
        <v>0</v>
      </c>
      <c r="H95">
        <f>SUMIF(RecoveredRaw!$B:$B,$A95,RecoveredRaw!K:K)</f>
        <v>0</v>
      </c>
      <c r="I95">
        <f>SUMIF(RecoveredRaw!$B:$B,$A95,RecoveredRaw!L:L)</f>
        <v>0</v>
      </c>
      <c r="J95">
        <f>SUMIF(RecoveredRaw!$B:$B,$A95,RecoveredRaw!M:M)</f>
        <v>0</v>
      </c>
      <c r="K95">
        <f>SUMIF(RecoveredRaw!$B:$B,$A95,RecoveredRaw!N:N)</f>
        <v>0</v>
      </c>
      <c r="L95">
        <f>SUMIF(RecoveredRaw!$B:$B,$A95,RecoveredRaw!O:O)</f>
        <v>0</v>
      </c>
      <c r="M95">
        <f>SUMIF(RecoveredRaw!$B:$B,$A95,RecoveredRaw!P:P)</f>
        <v>0</v>
      </c>
      <c r="N95">
        <f>SUMIF(RecoveredRaw!$B:$B,$A95,RecoveredRaw!Q:Q)</f>
        <v>0</v>
      </c>
      <c r="O95">
        <f>SUMIF(RecoveredRaw!$B:$B,$A95,RecoveredRaw!R:R)</f>
        <v>0</v>
      </c>
      <c r="P95">
        <f>SUMIF(RecoveredRaw!$B:$B,$A95,RecoveredRaw!S:S)</f>
        <v>0</v>
      </c>
      <c r="Q95">
        <f>SUMIF(RecoveredRaw!$B:$B,$A95,RecoveredRaw!T:T)</f>
        <v>0</v>
      </c>
      <c r="R95">
        <f>SUMIF(RecoveredRaw!$B:$B,$A95,RecoveredRaw!U:U)</f>
        <v>0</v>
      </c>
      <c r="S95">
        <f>SUMIF(RecoveredRaw!$B:$B,$A95,RecoveredRaw!V:V)</f>
        <v>0</v>
      </c>
      <c r="T95">
        <f>SUMIF(RecoveredRaw!$B:$B,$A95,RecoveredRaw!W:W)</f>
        <v>0</v>
      </c>
      <c r="U95">
        <f>SUMIF(RecoveredRaw!$B:$B,$A95,RecoveredRaw!X:X)</f>
        <v>0</v>
      </c>
      <c r="V95">
        <f>SUMIF(RecoveredRaw!$B:$B,$A95,RecoveredRaw!Y:Y)</f>
        <v>0</v>
      </c>
      <c r="W95">
        <f>SUMIF(RecoveredRaw!$B:$B,$A95,RecoveredRaw!Z:Z)</f>
        <v>0</v>
      </c>
      <c r="X95">
        <f>SUMIF(RecoveredRaw!$B:$B,$A95,RecoveredRaw!AA:AA)</f>
        <v>0</v>
      </c>
      <c r="Y95">
        <f>SUMIF(RecoveredRaw!$B:$B,$A95,RecoveredRaw!AB:AB)</f>
        <v>0</v>
      </c>
      <c r="Z95">
        <f>SUMIF(RecoveredRaw!$B:$B,$A95,RecoveredRaw!AC:AC)</f>
        <v>0</v>
      </c>
      <c r="AA95">
        <f>SUMIF(RecoveredRaw!$B:$B,$A95,RecoveredRaw!AD:AD)</f>
        <v>0</v>
      </c>
      <c r="AB95">
        <f>SUMIF(RecoveredRaw!$B:$B,$A95,RecoveredRaw!AE:AE)</f>
        <v>0</v>
      </c>
      <c r="AC95">
        <f>SUMIF(RecoveredRaw!$B:$B,$A95,RecoveredRaw!AF:AF)</f>
        <v>0</v>
      </c>
      <c r="AD95">
        <f>SUMIF(RecoveredRaw!$B:$B,$A95,RecoveredRaw!AG:AG)</f>
        <v>0</v>
      </c>
      <c r="AE95">
        <f>SUMIF(RecoveredRaw!$B:$B,$A95,RecoveredRaw!AH:AH)</f>
        <v>0</v>
      </c>
      <c r="AF95">
        <f>SUMIF(RecoveredRaw!$B:$B,$A95,RecoveredRaw!AI:AI)</f>
        <v>0</v>
      </c>
      <c r="AG95">
        <f>SUMIF(RecoveredRaw!$B:$B,$A95,RecoveredRaw!AJ:AJ)</f>
        <v>0</v>
      </c>
      <c r="AH95">
        <f>SUMIF(RecoveredRaw!$B:$B,$A95,RecoveredRaw!AK:AK)</f>
        <v>0</v>
      </c>
      <c r="AI95">
        <f>SUMIF(RecoveredRaw!$B:$B,$A95,RecoveredRaw!AL:AL)</f>
        <v>0</v>
      </c>
      <c r="AJ95">
        <f>SUMIF(RecoveredRaw!$B:$B,$A95,RecoveredRaw!AM:AM)</f>
        <v>0</v>
      </c>
      <c r="AK95">
        <f>SUMIF(RecoveredRaw!$B:$B,$A95,RecoveredRaw!AN:AN)</f>
        <v>0</v>
      </c>
      <c r="AL95">
        <f>SUMIF(RecoveredRaw!$B:$B,$A95,RecoveredRaw!AO:AO)</f>
        <v>0</v>
      </c>
      <c r="AM95">
        <f>SUMIF(RecoveredRaw!$B:$B,$A95,RecoveredRaw!AP:AP)</f>
        <v>0</v>
      </c>
      <c r="AN95">
        <f>SUMIF(RecoveredRaw!$B:$B,$A95,RecoveredRaw!AQ:AQ)</f>
        <v>0</v>
      </c>
      <c r="AO95">
        <f>SUMIF(RecoveredRaw!$B:$B,$A95,RecoveredRaw!AR:AR)</f>
        <v>0</v>
      </c>
      <c r="AP95">
        <f>SUMIF(RecoveredRaw!$B:$B,$A95,RecoveredRaw!AS:AS)</f>
        <v>0</v>
      </c>
      <c r="AQ95">
        <f>SUMIF(RecoveredRaw!$B:$B,$A95,RecoveredRaw!AT:AT)</f>
        <v>0</v>
      </c>
      <c r="AR95">
        <f>SUMIF(RecoveredRaw!$B:$B,$A95,RecoveredRaw!AU:AU)</f>
        <v>0</v>
      </c>
      <c r="AS95">
        <f>SUMIF(RecoveredRaw!$B:$B,$A95,RecoveredRaw!AV:AV)</f>
        <v>0</v>
      </c>
      <c r="AT95">
        <f>SUMIF(RecoveredRaw!$B:$B,$A95,RecoveredRaw!AW:AW)</f>
        <v>0</v>
      </c>
      <c r="AU95">
        <f>SUMIF(RecoveredRaw!$B:$B,$A95,RecoveredRaw!AX:AX)</f>
        <v>0</v>
      </c>
      <c r="AV95">
        <f>SUMIF(RecoveredRaw!$B:$B,$A95,RecoveredRaw!AY:AY)</f>
        <v>0</v>
      </c>
      <c r="AW95">
        <f>SUMIF(RecoveredRaw!$B:$B,$A95,RecoveredRaw!AZ:AZ)</f>
        <v>0</v>
      </c>
      <c r="AX95">
        <f>SUMIF(RecoveredRaw!$B:$B,$A95,RecoveredRaw!BA:BA)</f>
        <v>0</v>
      </c>
      <c r="AY95">
        <f>SUMIF(RecoveredRaw!$B:$B,$A95,RecoveredRaw!BB:BB)</f>
        <v>0</v>
      </c>
      <c r="AZ95">
        <f>SUMIF(RecoveredRaw!$B:$B,$A95,RecoveredRaw!BC:BC)</f>
        <v>0</v>
      </c>
      <c r="BA95">
        <f>SUMIF(RecoveredRaw!$B:$B,$A95,RecoveredRaw!BD:BD)</f>
        <v>0</v>
      </c>
      <c r="BB95">
        <f>SUMIF(RecoveredRaw!$B:$B,$A95,RecoveredRaw!BE:BE)</f>
        <v>0</v>
      </c>
      <c r="BC95">
        <f>SUMIF(RecoveredRaw!$B:$B,$A95,RecoveredRaw!BF:BF)</f>
        <v>0</v>
      </c>
      <c r="BD95">
        <f>SUMIF(RecoveredRaw!$B:$B,$A95,RecoveredRaw!BG:BG)</f>
        <v>0</v>
      </c>
      <c r="BE95">
        <f>SUMIF(RecoveredRaw!$B:$B,$A95,RecoveredRaw!BH:BH)</f>
        <v>0</v>
      </c>
      <c r="BF95">
        <f>SUMIF(RecoveredRaw!$B:$B,$A95,RecoveredRaw!BI:BI)</f>
        <v>0</v>
      </c>
      <c r="BG95">
        <f>SUMIF(RecoveredRaw!$B:$B,$A95,RecoveredRaw!BJ:BJ)</f>
        <v>0</v>
      </c>
      <c r="BH95">
        <f>SUMIF(RecoveredRaw!$B:$B,$A95,RecoveredRaw!BK:BK)</f>
        <v>0</v>
      </c>
      <c r="BI95">
        <f>SUMIF(RecoveredRaw!$B:$B,$A95,RecoveredRaw!BL:BL)</f>
        <v>0</v>
      </c>
      <c r="BJ95">
        <f>SUMIF(RecoveredRaw!$B:$B,$A95,RecoveredRaw!BM:BM)</f>
        <v>0</v>
      </c>
      <c r="BK95">
        <f>SUMIF(RecoveredRaw!$B:$B,$A95,RecoveredRaw!BN:BN)</f>
        <v>0</v>
      </c>
      <c r="BL95">
        <f>SUMIF(RecoveredRaw!$B:$B,$A95,RecoveredRaw!BO:BO)</f>
        <v>0</v>
      </c>
      <c r="BM95">
        <f>SUMIF(RecoveredRaw!$B:$B,$A95,RecoveredRaw!BP:BP)</f>
        <v>0</v>
      </c>
      <c r="BN95">
        <f>SUMIF(RecoveredRaw!$B:$B,$A95,RecoveredRaw!BQ:BQ)</f>
        <v>0</v>
      </c>
      <c r="BO95">
        <f>SUMIF(RecoveredRaw!$B:$B,$A95,RecoveredRaw!BR:BR)</f>
        <v>0</v>
      </c>
      <c r="BP95">
        <f>SUMIF(RecoveredRaw!$B:$B,$A95,RecoveredRaw!BS:BS)</f>
        <v>0</v>
      </c>
      <c r="BQ95">
        <f>SUMIF(RecoveredRaw!$B:$B,$A95,RecoveredRaw!BT:BT)</f>
        <v>0</v>
      </c>
      <c r="BR95">
        <f>SUMIF(RecoveredRaw!$B:$B,$A95,RecoveredRaw!BU:BU)</f>
        <v>0</v>
      </c>
      <c r="BS95">
        <f>SUMIF(RecoveredRaw!$B:$B,$A95,RecoveredRaw!BV:BV)</f>
        <v>0</v>
      </c>
      <c r="BT95">
        <f>SUMIF(RecoveredRaw!$B:$B,$A95,RecoveredRaw!BW:BW)</f>
        <v>0</v>
      </c>
    </row>
    <row r="96" spans="1:72" ht="15" thickBot="1" x14ac:dyDescent="0.35">
      <c r="A96" s="3" t="s">
        <v>355</v>
      </c>
      <c r="B96">
        <f>SUMIF(RecoveredRaw!$B:$B,$A96,RecoveredRaw!E:E)</f>
        <v>0</v>
      </c>
      <c r="C96">
        <f>SUMIF(RecoveredRaw!$B:$B,$A96,RecoveredRaw!F:F)</f>
        <v>0</v>
      </c>
      <c r="D96">
        <f>SUMIF(RecoveredRaw!$B:$B,$A96,RecoveredRaw!G:G)</f>
        <v>0</v>
      </c>
      <c r="E96">
        <f>SUMIF(RecoveredRaw!$B:$B,$A96,RecoveredRaw!H:H)</f>
        <v>0</v>
      </c>
      <c r="F96">
        <f>SUMIF(RecoveredRaw!$B:$B,$A96,RecoveredRaw!I:I)</f>
        <v>0</v>
      </c>
      <c r="G96">
        <f>SUMIF(RecoveredRaw!$B:$B,$A96,RecoveredRaw!J:J)</f>
        <v>0</v>
      </c>
      <c r="H96">
        <f>SUMIF(RecoveredRaw!$B:$B,$A96,RecoveredRaw!K:K)</f>
        <v>0</v>
      </c>
      <c r="I96">
        <f>SUMIF(RecoveredRaw!$B:$B,$A96,RecoveredRaw!L:L)</f>
        <v>0</v>
      </c>
      <c r="J96">
        <f>SUMIF(RecoveredRaw!$B:$B,$A96,RecoveredRaw!M:M)</f>
        <v>0</v>
      </c>
      <c r="K96">
        <f>SUMIF(RecoveredRaw!$B:$B,$A96,RecoveredRaw!N:N)</f>
        <v>0</v>
      </c>
      <c r="L96">
        <f>SUMIF(RecoveredRaw!$B:$B,$A96,RecoveredRaw!O:O)</f>
        <v>0</v>
      </c>
      <c r="M96">
        <f>SUMIF(RecoveredRaw!$B:$B,$A96,RecoveredRaw!P:P)</f>
        <v>0</v>
      </c>
      <c r="N96">
        <f>SUMIF(RecoveredRaw!$B:$B,$A96,RecoveredRaw!Q:Q)</f>
        <v>0</v>
      </c>
      <c r="O96">
        <f>SUMIF(RecoveredRaw!$B:$B,$A96,RecoveredRaw!R:R)</f>
        <v>0</v>
      </c>
      <c r="P96">
        <f>SUMIF(RecoveredRaw!$B:$B,$A96,RecoveredRaw!S:S)</f>
        <v>0</v>
      </c>
      <c r="Q96">
        <f>SUMIF(RecoveredRaw!$B:$B,$A96,RecoveredRaw!T:T)</f>
        <v>0</v>
      </c>
      <c r="R96">
        <f>SUMIF(RecoveredRaw!$B:$B,$A96,RecoveredRaw!U:U)</f>
        <v>0</v>
      </c>
      <c r="S96">
        <f>SUMIF(RecoveredRaw!$B:$B,$A96,RecoveredRaw!V:V)</f>
        <v>0</v>
      </c>
      <c r="T96">
        <f>SUMIF(RecoveredRaw!$B:$B,$A96,RecoveredRaw!W:W)</f>
        <v>0</v>
      </c>
      <c r="U96">
        <f>SUMIF(RecoveredRaw!$B:$B,$A96,RecoveredRaw!X:X)</f>
        <v>0</v>
      </c>
      <c r="V96">
        <f>SUMIF(RecoveredRaw!$B:$B,$A96,RecoveredRaw!Y:Y)</f>
        <v>0</v>
      </c>
      <c r="W96">
        <f>SUMIF(RecoveredRaw!$B:$B,$A96,RecoveredRaw!Z:Z)</f>
        <v>0</v>
      </c>
      <c r="X96">
        <f>SUMIF(RecoveredRaw!$B:$B,$A96,RecoveredRaw!AA:AA)</f>
        <v>0</v>
      </c>
      <c r="Y96">
        <f>SUMIF(RecoveredRaw!$B:$B,$A96,RecoveredRaw!AB:AB)</f>
        <v>0</v>
      </c>
      <c r="Z96">
        <f>SUMIF(RecoveredRaw!$B:$B,$A96,RecoveredRaw!AC:AC)</f>
        <v>0</v>
      </c>
      <c r="AA96">
        <f>SUMIF(RecoveredRaw!$B:$B,$A96,RecoveredRaw!AD:AD)</f>
        <v>0</v>
      </c>
      <c r="AB96">
        <f>SUMIF(RecoveredRaw!$B:$B,$A96,RecoveredRaw!AE:AE)</f>
        <v>0</v>
      </c>
      <c r="AC96">
        <f>SUMIF(RecoveredRaw!$B:$B,$A96,RecoveredRaw!AF:AF)</f>
        <v>0</v>
      </c>
      <c r="AD96">
        <f>SUMIF(RecoveredRaw!$B:$B,$A96,RecoveredRaw!AG:AG)</f>
        <v>0</v>
      </c>
      <c r="AE96">
        <f>SUMIF(RecoveredRaw!$B:$B,$A96,RecoveredRaw!AH:AH)</f>
        <v>0</v>
      </c>
      <c r="AF96">
        <f>SUMIF(RecoveredRaw!$B:$B,$A96,RecoveredRaw!AI:AI)</f>
        <v>0</v>
      </c>
      <c r="AG96">
        <f>SUMIF(RecoveredRaw!$B:$B,$A96,RecoveredRaw!AJ:AJ)</f>
        <v>0</v>
      </c>
      <c r="AH96">
        <f>SUMIF(RecoveredRaw!$B:$B,$A96,RecoveredRaw!AK:AK)</f>
        <v>0</v>
      </c>
      <c r="AI96">
        <f>SUMIF(RecoveredRaw!$B:$B,$A96,RecoveredRaw!AL:AL)</f>
        <v>0</v>
      </c>
      <c r="AJ96">
        <f>SUMIF(RecoveredRaw!$B:$B,$A96,RecoveredRaw!AM:AM)</f>
        <v>0</v>
      </c>
      <c r="AK96">
        <f>SUMIF(RecoveredRaw!$B:$B,$A96,RecoveredRaw!AN:AN)</f>
        <v>0</v>
      </c>
      <c r="AL96">
        <f>SUMIF(RecoveredRaw!$B:$B,$A96,RecoveredRaw!AO:AO)</f>
        <v>0</v>
      </c>
      <c r="AM96">
        <f>SUMIF(RecoveredRaw!$B:$B,$A96,RecoveredRaw!AP:AP)</f>
        <v>0</v>
      </c>
      <c r="AN96">
        <f>SUMIF(RecoveredRaw!$B:$B,$A96,RecoveredRaw!AQ:AQ)</f>
        <v>0</v>
      </c>
      <c r="AO96">
        <f>SUMIF(RecoveredRaw!$B:$B,$A96,RecoveredRaw!AR:AR)</f>
        <v>0</v>
      </c>
      <c r="AP96">
        <f>SUMIF(RecoveredRaw!$B:$B,$A96,RecoveredRaw!AS:AS)</f>
        <v>0</v>
      </c>
      <c r="AQ96">
        <f>SUMIF(RecoveredRaw!$B:$B,$A96,RecoveredRaw!AT:AT)</f>
        <v>0</v>
      </c>
      <c r="AR96">
        <f>SUMIF(RecoveredRaw!$B:$B,$A96,RecoveredRaw!AU:AU)</f>
        <v>0</v>
      </c>
      <c r="AS96">
        <f>SUMIF(RecoveredRaw!$B:$B,$A96,RecoveredRaw!AV:AV)</f>
        <v>0</v>
      </c>
      <c r="AT96">
        <f>SUMIF(RecoveredRaw!$B:$B,$A96,RecoveredRaw!AW:AW)</f>
        <v>0</v>
      </c>
      <c r="AU96">
        <f>SUMIF(RecoveredRaw!$B:$B,$A96,RecoveredRaw!AX:AX)</f>
        <v>0</v>
      </c>
      <c r="AV96">
        <f>SUMIF(RecoveredRaw!$B:$B,$A96,RecoveredRaw!AY:AY)</f>
        <v>0</v>
      </c>
      <c r="AW96">
        <f>SUMIF(RecoveredRaw!$B:$B,$A96,RecoveredRaw!AZ:AZ)</f>
        <v>0</v>
      </c>
      <c r="AX96">
        <f>SUMIF(RecoveredRaw!$B:$B,$A96,RecoveredRaw!BA:BA)</f>
        <v>0</v>
      </c>
      <c r="AY96">
        <f>SUMIF(RecoveredRaw!$B:$B,$A96,RecoveredRaw!BB:BB)</f>
        <v>0</v>
      </c>
      <c r="AZ96">
        <f>SUMIF(RecoveredRaw!$B:$B,$A96,RecoveredRaw!BC:BC)</f>
        <v>0</v>
      </c>
      <c r="BA96">
        <f>SUMIF(RecoveredRaw!$B:$B,$A96,RecoveredRaw!BD:BD)</f>
        <v>0</v>
      </c>
      <c r="BB96">
        <f>SUMIF(RecoveredRaw!$B:$B,$A96,RecoveredRaw!BE:BE)</f>
        <v>0</v>
      </c>
      <c r="BC96">
        <f>SUMIF(RecoveredRaw!$B:$B,$A96,RecoveredRaw!BF:BF)</f>
        <v>0</v>
      </c>
      <c r="BD96">
        <f>SUMIF(RecoveredRaw!$B:$B,$A96,RecoveredRaw!BG:BG)</f>
        <v>0</v>
      </c>
      <c r="BE96">
        <f>SUMIF(RecoveredRaw!$B:$B,$A96,RecoveredRaw!BH:BH)</f>
        <v>0</v>
      </c>
      <c r="BF96">
        <f>SUMIF(RecoveredRaw!$B:$B,$A96,RecoveredRaw!BI:BI)</f>
        <v>0</v>
      </c>
      <c r="BG96">
        <f>SUMIF(RecoveredRaw!$B:$B,$A96,RecoveredRaw!BJ:BJ)</f>
        <v>0</v>
      </c>
      <c r="BH96">
        <f>SUMIF(RecoveredRaw!$B:$B,$A96,RecoveredRaw!BK:BK)</f>
        <v>0</v>
      </c>
      <c r="BI96">
        <f>SUMIF(RecoveredRaw!$B:$B,$A96,RecoveredRaw!BL:BL)</f>
        <v>0</v>
      </c>
      <c r="BJ96">
        <f>SUMIF(RecoveredRaw!$B:$B,$A96,RecoveredRaw!BM:BM)</f>
        <v>0</v>
      </c>
      <c r="BK96">
        <f>SUMIF(RecoveredRaw!$B:$B,$A96,RecoveredRaw!BN:BN)</f>
        <v>0</v>
      </c>
      <c r="BL96">
        <f>SUMIF(RecoveredRaw!$B:$B,$A96,RecoveredRaw!BO:BO)</f>
        <v>0</v>
      </c>
      <c r="BM96">
        <f>SUMIF(RecoveredRaw!$B:$B,$A96,RecoveredRaw!BP:BP)</f>
        <v>0</v>
      </c>
      <c r="BN96">
        <f>SUMIF(RecoveredRaw!$B:$B,$A96,RecoveredRaw!BQ:BQ)</f>
        <v>0</v>
      </c>
      <c r="BO96">
        <f>SUMIF(RecoveredRaw!$B:$B,$A96,RecoveredRaw!BR:BR)</f>
        <v>0</v>
      </c>
      <c r="BP96">
        <f>SUMIF(RecoveredRaw!$B:$B,$A96,RecoveredRaw!BS:BS)</f>
        <v>0</v>
      </c>
      <c r="BQ96">
        <f>SUMIF(RecoveredRaw!$B:$B,$A96,RecoveredRaw!BT:BT)</f>
        <v>0</v>
      </c>
      <c r="BR96">
        <f>SUMIF(RecoveredRaw!$B:$B,$A96,RecoveredRaw!BU:BU)</f>
        <v>0</v>
      </c>
      <c r="BS96">
        <f>SUMIF(RecoveredRaw!$B:$B,$A96,RecoveredRaw!BV:BV)</f>
        <v>0</v>
      </c>
      <c r="BT96">
        <f>SUMIF(RecoveredRaw!$B:$B,$A96,RecoveredRaw!BW:BW)</f>
        <v>0</v>
      </c>
    </row>
    <row r="97" spans="1:72" ht="15" thickBot="1" x14ac:dyDescent="0.35">
      <c r="A97" s="4" t="s">
        <v>410</v>
      </c>
      <c r="B97">
        <f>SUMIF(RecoveredRaw!$B:$B,$A97,RecoveredRaw!E:E)</f>
        <v>0</v>
      </c>
      <c r="C97">
        <f>SUMIF(RecoveredRaw!$B:$B,$A97,RecoveredRaw!F:F)</f>
        <v>0</v>
      </c>
      <c r="D97">
        <f>SUMIF(RecoveredRaw!$B:$B,$A97,RecoveredRaw!G:G)</f>
        <v>0</v>
      </c>
      <c r="E97">
        <f>SUMIF(RecoveredRaw!$B:$B,$A97,RecoveredRaw!H:H)</f>
        <v>0</v>
      </c>
      <c r="F97">
        <f>SUMIF(RecoveredRaw!$B:$B,$A97,RecoveredRaw!I:I)</f>
        <v>0</v>
      </c>
      <c r="G97">
        <f>SUMIF(RecoveredRaw!$B:$B,$A97,RecoveredRaw!J:J)</f>
        <v>0</v>
      </c>
      <c r="H97">
        <f>SUMIF(RecoveredRaw!$B:$B,$A97,RecoveredRaw!K:K)</f>
        <v>0</v>
      </c>
      <c r="I97">
        <f>SUMIF(RecoveredRaw!$B:$B,$A97,RecoveredRaw!L:L)</f>
        <v>0</v>
      </c>
      <c r="J97">
        <f>SUMIF(RecoveredRaw!$B:$B,$A97,RecoveredRaw!M:M)</f>
        <v>0</v>
      </c>
      <c r="K97">
        <f>SUMIF(RecoveredRaw!$B:$B,$A97,RecoveredRaw!N:N)</f>
        <v>0</v>
      </c>
      <c r="L97">
        <f>SUMIF(RecoveredRaw!$B:$B,$A97,RecoveredRaw!O:O)</f>
        <v>0</v>
      </c>
      <c r="M97">
        <f>SUMIF(RecoveredRaw!$B:$B,$A97,RecoveredRaw!P:P)</f>
        <v>0</v>
      </c>
      <c r="N97">
        <f>SUMIF(RecoveredRaw!$B:$B,$A97,RecoveredRaw!Q:Q)</f>
        <v>0</v>
      </c>
      <c r="O97">
        <f>SUMIF(RecoveredRaw!$B:$B,$A97,RecoveredRaw!R:R)</f>
        <v>0</v>
      </c>
      <c r="P97">
        <f>SUMIF(RecoveredRaw!$B:$B,$A97,RecoveredRaw!S:S)</f>
        <v>0</v>
      </c>
      <c r="Q97">
        <f>SUMIF(RecoveredRaw!$B:$B,$A97,RecoveredRaw!T:T)</f>
        <v>0</v>
      </c>
      <c r="R97">
        <f>SUMIF(RecoveredRaw!$B:$B,$A97,RecoveredRaw!U:U)</f>
        <v>0</v>
      </c>
      <c r="S97">
        <f>SUMIF(RecoveredRaw!$B:$B,$A97,RecoveredRaw!V:V)</f>
        <v>0</v>
      </c>
      <c r="T97">
        <f>SUMIF(RecoveredRaw!$B:$B,$A97,RecoveredRaw!W:W)</f>
        <v>0</v>
      </c>
      <c r="U97">
        <f>SUMIF(RecoveredRaw!$B:$B,$A97,RecoveredRaw!X:X)</f>
        <v>0</v>
      </c>
      <c r="V97">
        <f>SUMIF(RecoveredRaw!$B:$B,$A97,RecoveredRaw!Y:Y)</f>
        <v>0</v>
      </c>
      <c r="W97">
        <f>SUMIF(RecoveredRaw!$B:$B,$A97,RecoveredRaw!Z:Z)</f>
        <v>0</v>
      </c>
      <c r="X97">
        <f>SUMIF(RecoveredRaw!$B:$B,$A97,RecoveredRaw!AA:AA)</f>
        <v>0</v>
      </c>
      <c r="Y97">
        <f>SUMIF(RecoveredRaw!$B:$B,$A97,RecoveredRaw!AB:AB)</f>
        <v>0</v>
      </c>
      <c r="Z97">
        <f>SUMIF(RecoveredRaw!$B:$B,$A97,RecoveredRaw!AC:AC)</f>
        <v>0</v>
      </c>
      <c r="AA97">
        <f>SUMIF(RecoveredRaw!$B:$B,$A97,RecoveredRaw!AD:AD)</f>
        <v>0</v>
      </c>
      <c r="AB97">
        <f>SUMIF(RecoveredRaw!$B:$B,$A97,RecoveredRaw!AE:AE)</f>
        <v>0</v>
      </c>
      <c r="AC97">
        <f>SUMIF(RecoveredRaw!$B:$B,$A97,RecoveredRaw!AF:AF)</f>
        <v>0</v>
      </c>
      <c r="AD97">
        <f>SUMIF(RecoveredRaw!$B:$B,$A97,RecoveredRaw!AG:AG)</f>
        <v>0</v>
      </c>
      <c r="AE97">
        <f>SUMIF(RecoveredRaw!$B:$B,$A97,RecoveredRaw!AH:AH)</f>
        <v>0</v>
      </c>
      <c r="AF97">
        <f>SUMIF(RecoveredRaw!$B:$B,$A97,RecoveredRaw!AI:AI)</f>
        <v>0</v>
      </c>
      <c r="AG97">
        <f>SUMIF(RecoveredRaw!$B:$B,$A97,RecoveredRaw!AJ:AJ)</f>
        <v>0</v>
      </c>
      <c r="AH97">
        <f>SUMIF(RecoveredRaw!$B:$B,$A97,RecoveredRaw!AK:AK)</f>
        <v>0</v>
      </c>
      <c r="AI97">
        <f>SUMIF(RecoveredRaw!$B:$B,$A97,RecoveredRaw!AL:AL)</f>
        <v>0</v>
      </c>
      <c r="AJ97">
        <f>SUMIF(RecoveredRaw!$B:$B,$A97,RecoveredRaw!AM:AM)</f>
        <v>0</v>
      </c>
      <c r="AK97">
        <f>SUMIF(RecoveredRaw!$B:$B,$A97,RecoveredRaw!AN:AN)</f>
        <v>0</v>
      </c>
      <c r="AL97">
        <f>SUMIF(RecoveredRaw!$B:$B,$A97,RecoveredRaw!AO:AO)</f>
        <v>0</v>
      </c>
      <c r="AM97">
        <f>SUMIF(RecoveredRaw!$B:$B,$A97,RecoveredRaw!AP:AP)</f>
        <v>0</v>
      </c>
      <c r="AN97">
        <f>SUMIF(RecoveredRaw!$B:$B,$A97,RecoveredRaw!AQ:AQ)</f>
        <v>0</v>
      </c>
      <c r="AO97">
        <f>SUMIF(RecoveredRaw!$B:$B,$A97,RecoveredRaw!AR:AR)</f>
        <v>0</v>
      </c>
      <c r="AP97">
        <f>SUMIF(RecoveredRaw!$B:$B,$A97,RecoveredRaw!AS:AS)</f>
        <v>0</v>
      </c>
      <c r="AQ97">
        <f>SUMIF(RecoveredRaw!$B:$B,$A97,RecoveredRaw!AT:AT)</f>
        <v>0</v>
      </c>
      <c r="AR97">
        <f>SUMIF(RecoveredRaw!$B:$B,$A97,RecoveredRaw!AU:AU)</f>
        <v>0</v>
      </c>
      <c r="AS97">
        <f>SUMIF(RecoveredRaw!$B:$B,$A97,RecoveredRaw!AV:AV)</f>
        <v>0</v>
      </c>
      <c r="AT97">
        <f>SUMIF(RecoveredRaw!$B:$B,$A97,RecoveredRaw!AW:AW)</f>
        <v>0</v>
      </c>
      <c r="AU97">
        <f>SUMIF(RecoveredRaw!$B:$B,$A97,RecoveredRaw!AX:AX)</f>
        <v>0</v>
      </c>
      <c r="AV97">
        <f>SUMIF(RecoveredRaw!$B:$B,$A97,RecoveredRaw!AY:AY)</f>
        <v>0</v>
      </c>
      <c r="AW97">
        <f>SUMIF(RecoveredRaw!$B:$B,$A97,RecoveredRaw!AZ:AZ)</f>
        <v>0</v>
      </c>
      <c r="AX97">
        <f>SUMIF(RecoveredRaw!$B:$B,$A97,RecoveredRaw!BA:BA)</f>
        <v>0</v>
      </c>
      <c r="AY97">
        <f>SUMIF(RecoveredRaw!$B:$B,$A97,RecoveredRaw!BB:BB)</f>
        <v>0</v>
      </c>
      <c r="AZ97">
        <f>SUMIF(RecoveredRaw!$B:$B,$A97,RecoveredRaw!BC:BC)</f>
        <v>0</v>
      </c>
      <c r="BA97">
        <f>SUMIF(RecoveredRaw!$B:$B,$A97,RecoveredRaw!BD:BD)</f>
        <v>0</v>
      </c>
      <c r="BB97">
        <f>SUMIF(RecoveredRaw!$B:$B,$A97,RecoveredRaw!BE:BE)</f>
        <v>0</v>
      </c>
      <c r="BC97">
        <f>SUMIF(RecoveredRaw!$B:$B,$A97,RecoveredRaw!BF:BF)</f>
        <v>0</v>
      </c>
      <c r="BD97">
        <f>SUMIF(RecoveredRaw!$B:$B,$A97,RecoveredRaw!BG:BG)</f>
        <v>0</v>
      </c>
      <c r="BE97">
        <f>SUMIF(RecoveredRaw!$B:$B,$A97,RecoveredRaw!BH:BH)</f>
        <v>0</v>
      </c>
      <c r="BF97">
        <f>SUMIF(RecoveredRaw!$B:$B,$A97,RecoveredRaw!BI:BI)</f>
        <v>0</v>
      </c>
      <c r="BG97">
        <f>SUMIF(RecoveredRaw!$B:$B,$A97,RecoveredRaw!BJ:BJ)</f>
        <v>0</v>
      </c>
      <c r="BH97">
        <f>SUMIF(RecoveredRaw!$B:$B,$A97,RecoveredRaw!BK:BK)</f>
        <v>0</v>
      </c>
      <c r="BI97">
        <f>SUMIF(RecoveredRaw!$B:$B,$A97,RecoveredRaw!BL:BL)</f>
        <v>0</v>
      </c>
      <c r="BJ97">
        <f>SUMIF(RecoveredRaw!$B:$B,$A97,RecoveredRaw!BM:BM)</f>
        <v>0</v>
      </c>
      <c r="BK97">
        <f>SUMIF(RecoveredRaw!$B:$B,$A97,RecoveredRaw!BN:BN)</f>
        <v>0</v>
      </c>
      <c r="BL97">
        <f>SUMIF(RecoveredRaw!$B:$B,$A97,RecoveredRaw!BO:BO)</f>
        <v>0</v>
      </c>
      <c r="BM97">
        <f>SUMIF(RecoveredRaw!$B:$B,$A97,RecoveredRaw!BP:BP)</f>
        <v>0</v>
      </c>
      <c r="BN97">
        <f>SUMIF(RecoveredRaw!$B:$B,$A97,RecoveredRaw!BQ:BQ)</f>
        <v>0</v>
      </c>
      <c r="BO97">
        <f>SUMIF(RecoveredRaw!$B:$B,$A97,RecoveredRaw!BR:BR)</f>
        <v>0</v>
      </c>
      <c r="BP97">
        <f>SUMIF(RecoveredRaw!$B:$B,$A97,RecoveredRaw!BS:BS)</f>
        <v>0</v>
      </c>
      <c r="BQ97">
        <f>SUMIF(RecoveredRaw!$B:$B,$A97,RecoveredRaw!BT:BT)</f>
        <v>0</v>
      </c>
      <c r="BR97">
        <f>SUMIF(RecoveredRaw!$B:$B,$A97,RecoveredRaw!BU:BU)</f>
        <v>0</v>
      </c>
      <c r="BS97">
        <f>SUMIF(RecoveredRaw!$B:$B,$A97,RecoveredRaw!BV:BV)</f>
        <v>0</v>
      </c>
      <c r="BT97">
        <f>SUMIF(RecoveredRaw!$B:$B,$A97,RecoveredRaw!BW:BW)</f>
        <v>0</v>
      </c>
    </row>
    <row r="98" spans="1:72" ht="15" thickBot="1" x14ac:dyDescent="0.35">
      <c r="A98" s="4" t="s">
        <v>413</v>
      </c>
      <c r="B98">
        <f>SUMIF(RecoveredRaw!$B:$B,$A98,RecoveredRaw!E:E)</f>
        <v>0</v>
      </c>
      <c r="C98">
        <f>SUMIF(RecoveredRaw!$B:$B,$A98,RecoveredRaw!F:F)</f>
        <v>0</v>
      </c>
      <c r="D98">
        <f>SUMIF(RecoveredRaw!$B:$B,$A98,RecoveredRaw!G:G)</f>
        <v>0</v>
      </c>
      <c r="E98">
        <f>SUMIF(RecoveredRaw!$B:$B,$A98,RecoveredRaw!H:H)</f>
        <v>0</v>
      </c>
      <c r="F98">
        <f>SUMIF(RecoveredRaw!$B:$B,$A98,RecoveredRaw!I:I)</f>
        <v>0</v>
      </c>
      <c r="G98">
        <f>SUMIF(RecoveredRaw!$B:$B,$A98,RecoveredRaw!J:J)</f>
        <v>0</v>
      </c>
      <c r="H98">
        <f>SUMIF(RecoveredRaw!$B:$B,$A98,RecoveredRaw!K:K)</f>
        <v>0</v>
      </c>
      <c r="I98">
        <f>SUMIF(RecoveredRaw!$B:$B,$A98,RecoveredRaw!L:L)</f>
        <v>0</v>
      </c>
      <c r="J98">
        <f>SUMIF(RecoveredRaw!$B:$B,$A98,RecoveredRaw!M:M)</f>
        <v>0</v>
      </c>
      <c r="K98">
        <f>SUMIF(RecoveredRaw!$B:$B,$A98,RecoveredRaw!N:N)</f>
        <v>0</v>
      </c>
      <c r="L98">
        <f>SUMIF(RecoveredRaw!$B:$B,$A98,RecoveredRaw!O:O)</f>
        <v>0</v>
      </c>
      <c r="M98">
        <f>SUMIF(RecoveredRaw!$B:$B,$A98,RecoveredRaw!P:P)</f>
        <v>0</v>
      </c>
      <c r="N98">
        <f>SUMIF(RecoveredRaw!$B:$B,$A98,RecoveredRaw!Q:Q)</f>
        <v>0</v>
      </c>
      <c r="O98">
        <f>SUMIF(RecoveredRaw!$B:$B,$A98,RecoveredRaw!R:R)</f>
        <v>0</v>
      </c>
      <c r="P98">
        <f>SUMIF(RecoveredRaw!$B:$B,$A98,RecoveredRaw!S:S)</f>
        <v>0</v>
      </c>
      <c r="Q98">
        <f>SUMIF(RecoveredRaw!$B:$B,$A98,RecoveredRaw!T:T)</f>
        <v>0</v>
      </c>
      <c r="R98">
        <f>SUMIF(RecoveredRaw!$B:$B,$A98,RecoveredRaw!U:U)</f>
        <v>0</v>
      </c>
      <c r="S98">
        <f>SUMIF(RecoveredRaw!$B:$B,$A98,RecoveredRaw!V:V)</f>
        <v>0</v>
      </c>
      <c r="T98">
        <f>SUMIF(RecoveredRaw!$B:$B,$A98,RecoveredRaw!W:W)</f>
        <v>0</v>
      </c>
      <c r="U98">
        <f>SUMIF(RecoveredRaw!$B:$B,$A98,RecoveredRaw!X:X)</f>
        <v>0</v>
      </c>
      <c r="V98">
        <f>SUMIF(RecoveredRaw!$B:$B,$A98,RecoveredRaw!Y:Y)</f>
        <v>0</v>
      </c>
      <c r="W98">
        <f>SUMIF(RecoveredRaw!$B:$B,$A98,RecoveredRaw!Z:Z)</f>
        <v>0</v>
      </c>
      <c r="X98">
        <f>SUMIF(RecoveredRaw!$B:$B,$A98,RecoveredRaw!AA:AA)</f>
        <v>0</v>
      </c>
      <c r="Y98">
        <f>SUMIF(RecoveredRaw!$B:$B,$A98,RecoveredRaw!AB:AB)</f>
        <v>0</v>
      </c>
      <c r="Z98">
        <f>SUMIF(RecoveredRaw!$B:$B,$A98,RecoveredRaw!AC:AC)</f>
        <v>0</v>
      </c>
      <c r="AA98">
        <f>SUMIF(RecoveredRaw!$B:$B,$A98,RecoveredRaw!AD:AD)</f>
        <v>0</v>
      </c>
      <c r="AB98">
        <f>SUMIF(RecoveredRaw!$B:$B,$A98,RecoveredRaw!AE:AE)</f>
        <v>0</v>
      </c>
      <c r="AC98">
        <f>SUMIF(RecoveredRaw!$B:$B,$A98,RecoveredRaw!AF:AF)</f>
        <v>0</v>
      </c>
      <c r="AD98">
        <f>SUMIF(RecoveredRaw!$B:$B,$A98,RecoveredRaw!AG:AG)</f>
        <v>0</v>
      </c>
      <c r="AE98">
        <f>SUMIF(RecoveredRaw!$B:$B,$A98,RecoveredRaw!AH:AH)</f>
        <v>0</v>
      </c>
      <c r="AF98">
        <f>SUMIF(RecoveredRaw!$B:$B,$A98,RecoveredRaw!AI:AI)</f>
        <v>0</v>
      </c>
      <c r="AG98">
        <f>SUMIF(RecoveredRaw!$B:$B,$A98,RecoveredRaw!AJ:AJ)</f>
        <v>0</v>
      </c>
      <c r="AH98">
        <f>SUMIF(RecoveredRaw!$B:$B,$A98,RecoveredRaw!AK:AK)</f>
        <v>0</v>
      </c>
      <c r="AI98">
        <f>SUMIF(RecoveredRaw!$B:$B,$A98,RecoveredRaw!AL:AL)</f>
        <v>0</v>
      </c>
      <c r="AJ98">
        <f>SUMIF(RecoveredRaw!$B:$B,$A98,RecoveredRaw!AM:AM)</f>
        <v>0</v>
      </c>
      <c r="AK98">
        <f>SUMIF(RecoveredRaw!$B:$B,$A98,RecoveredRaw!AN:AN)</f>
        <v>0</v>
      </c>
      <c r="AL98">
        <f>SUMIF(RecoveredRaw!$B:$B,$A98,RecoveredRaw!AO:AO)</f>
        <v>0</v>
      </c>
      <c r="AM98">
        <f>SUMIF(RecoveredRaw!$B:$B,$A98,RecoveredRaw!AP:AP)</f>
        <v>0</v>
      </c>
      <c r="AN98">
        <f>SUMIF(RecoveredRaw!$B:$B,$A98,RecoveredRaw!AQ:AQ)</f>
        <v>0</v>
      </c>
      <c r="AO98">
        <f>SUMIF(RecoveredRaw!$B:$B,$A98,RecoveredRaw!AR:AR)</f>
        <v>0</v>
      </c>
      <c r="AP98">
        <f>SUMIF(RecoveredRaw!$B:$B,$A98,RecoveredRaw!AS:AS)</f>
        <v>0</v>
      </c>
      <c r="AQ98">
        <f>SUMIF(RecoveredRaw!$B:$B,$A98,RecoveredRaw!AT:AT)</f>
        <v>0</v>
      </c>
      <c r="AR98">
        <f>SUMIF(RecoveredRaw!$B:$B,$A98,RecoveredRaw!AU:AU)</f>
        <v>0</v>
      </c>
      <c r="AS98">
        <f>SUMIF(RecoveredRaw!$B:$B,$A98,RecoveredRaw!AV:AV)</f>
        <v>0</v>
      </c>
      <c r="AT98">
        <f>SUMIF(RecoveredRaw!$B:$B,$A98,RecoveredRaw!AW:AW)</f>
        <v>0</v>
      </c>
      <c r="AU98">
        <f>SUMIF(RecoveredRaw!$B:$B,$A98,RecoveredRaw!AX:AX)</f>
        <v>0</v>
      </c>
      <c r="AV98">
        <f>SUMIF(RecoveredRaw!$B:$B,$A98,RecoveredRaw!AY:AY)</f>
        <v>0</v>
      </c>
      <c r="AW98">
        <f>SUMIF(RecoveredRaw!$B:$B,$A98,RecoveredRaw!AZ:AZ)</f>
        <v>0</v>
      </c>
      <c r="AX98">
        <f>SUMIF(RecoveredRaw!$B:$B,$A98,RecoveredRaw!BA:BA)</f>
        <v>0</v>
      </c>
      <c r="AY98">
        <f>SUMIF(RecoveredRaw!$B:$B,$A98,RecoveredRaw!BB:BB)</f>
        <v>0</v>
      </c>
      <c r="AZ98">
        <f>SUMIF(RecoveredRaw!$B:$B,$A98,RecoveredRaw!BC:BC)</f>
        <v>0</v>
      </c>
      <c r="BA98">
        <f>SUMIF(RecoveredRaw!$B:$B,$A98,RecoveredRaw!BD:BD)</f>
        <v>0</v>
      </c>
      <c r="BB98">
        <f>SUMIF(RecoveredRaw!$B:$B,$A98,RecoveredRaw!BE:BE)</f>
        <v>0</v>
      </c>
      <c r="BC98">
        <f>SUMIF(RecoveredRaw!$B:$B,$A98,RecoveredRaw!BF:BF)</f>
        <v>0</v>
      </c>
      <c r="BD98">
        <f>SUMIF(RecoveredRaw!$B:$B,$A98,RecoveredRaw!BG:BG)</f>
        <v>0</v>
      </c>
      <c r="BE98">
        <f>SUMIF(RecoveredRaw!$B:$B,$A98,RecoveredRaw!BH:BH)</f>
        <v>0</v>
      </c>
      <c r="BF98">
        <f>SUMIF(RecoveredRaw!$B:$B,$A98,RecoveredRaw!BI:BI)</f>
        <v>0</v>
      </c>
      <c r="BG98">
        <f>SUMIF(RecoveredRaw!$B:$B,$A98,RecoveredRaw!BJ:BJ)</f>
        <v>0</v>
      </c>
      <c r="BH98">
        <f>SUMIF(RecoveredRaw!$B:$B,$A98,RecoveredRaw!BK:BK)</f>
        <v>0</v>
      </c>
      <c r="BI98">
        <f>SUMIF(RecoveredRaw!$B:$B,$A98,RecoveredRaw!BL:BL)</f>
        <v>0</v>
      </c>
      <c r="BJ98">
        <f>SUMIF(RecoveredRaw!$B:$B,$A98,RecoveredRaw!BM:BM)</f>
        <v>0</v>
      </c>
      <c r="BK98">
        <f>SUMIF(RecoveredRaw!$B:$B,$A98,RecoveredRaw!BN:BN)</f>
        <v>0</v>
      </c>
      <c r="BL98">
        <f>SUMIF(RecoveredRaw!$B:$B,$A98,RecoveredRaw!BO:BO)</f>
        <v>0</v>
      </c>
      <c r="BM98">
        <f>SUMIF(RecoveredRaw!$B:$B,$A98,RecoveredRaw!BP:BP)</f>
        <v>0</v>
      </c>
      <c r="BN98">
        <f>SUMIF(RecoveredRaw!$B:$B,$A98,RecoveredRaw!BQ:BQ)</f>
        <v>0</v>
      </c>
      <c r="BO98">
        <f>SUMIF(RecoveredRaw!$B:$B,$A98,RecoveredRaw!BR:BR)</f>
        <v>0</v>
      </c>
      <c r="BP98">
        <f>SUMIF(RecoveredRaw!$B:$B,$A98,RecoveredRaw!BS:BS)</f>
        <v>0</v>
      </c>
      <c r="BQ98">
        <f>SUMIF(RecoveredRaw!$B:$B,$A98,RecoveredRaw!BT:BT)</f>
        <v>0</v>
      </c>
      <c r="BR98">
        <f>SUMIF(RecoveredRaw!$B:$B,$A98,RecoveredRaw!BU:BU)</f>
        <v>0</v>
      </c>
      <c r="BS98">
        <f>SUMIF(RecoveredRaw!$B:$B,$A98,RecoveredRaw!BV:BV)</f>
        <v>0</v>
      </c>
      <c r="BT98">
        <f>SUMIF(RecoveredRaw!$B:$B,$A98,RecoveredRaw!BW:BW)</f>
        <v>0</v>
      </c>
    </row>
    <row r="99" spans="1:72" ht="15" thickBot="1" x14ac:dyDescent="0.35">
      <c r="A99" s="3" t="s">
        <v>202</v>
      </c>
      <c r="B99">
        <f>SUMIF(RecoveredRaw!$B:$B,$A99,RecoveredRaw!E:E)</f>
        <v>0</v>
      </c>
      <c r="C99">
        <f>SUMIF(RecoveredRaw!$B:$B,$A99,RecoveredRaw!F:F)</f>
        <v>0</v>
      </c>
      <c r="D99">
        <f>SUMIF(RecoveredRaw!$B:$B,$A99,RecoveredRaw!G:G)</f>
        <v>0</v>
      </c>
      <c r="E99">
        <f>SUMIF(RecoveredRaw!$B:$B,$A99,RecoveredRaw!H:H)</f>
        <v>0</v>
      </c>
      <c r="F99">
        <f>SUMIF(RecoveredRaw!$B:$B,$A99,RecoveredRaw!I:I)</f>
        <v>0</v>
      </c>
      <c r="G99">
        <f>SUMIF(RecoveredRaw!$B:$B,$A99,RecoveredRaw!J:J)</f>
        <v>0</v>
      </c>
      <c r="H99">
        <f>SUMIF(RecoveredRaw!$B:$B,$A99,RecoveredRaw!K:K)</f>
        <v>0</v>
      </c>
      <c r="I99">
        <f>SUMIF(RecoveredRaw!$B:$B,$A99,RecoveredRaw!L:L)</f>
        <v>0</v>
      </c>
      <c r="J99">
        <f>SUMIF(RecoveredRaw!$B:$B,$A99,RecoveredRaw!M:M)</f>
        <v>0</v>
      </c>
      <c r="K99">
        <f>SUMIF(RecoveredRaw!$B:$B,$A99,RecoveredRaw!N:N)</f>
        <v>0</v>
      </c>
      <c r="L99">
        <f>SUMIF(RecoveredRaw!$B:$B,$A99,RecoveredRaw!O:O)</f>
        <v>0</v>
      </c>
      <c r="M99">
        <f>SUMIF(RecoveredRaw!$B:$B,$A99,RecoveredRaw!P:P)</f>
        <v>0</v>
      </c>
      <c r="N99">
        <f>SUMIF(RecoveredRaw!$B:$B,$A99,RecoveredRaw!Q:Q)</f>
        <v>0</v>
      </c>
      <c r="O99">
        <f>SUMIF(RecoveredRaw!$B:$B,$A99,RecoveredRaw!R:R)</f>
        <v>0</v>
      </c>
      <c r="P99">
        <f>SUMIF(RecoveredRaw!$B:$B,$A99,RecoveredRaw!S:S)</f>
        <v>0</v>
      </c>
      <c r="Q99">
        <f>SUMIF(RecoveredRaw!$B:$B,$A99,RecoveredRaw!T:T)</f>
        <v>0</v>
      </c>
      <c r="R99">
        <f>SUMIF(RecoveredRaw!$B:$B,$A99,RecoveredRaw!U:U)</f>
        <v>0</v>
      </c>
      <c r="S99">
        <f>SUMIF(RecoveredRaw!$B:$B,$A99,RecoveredRaw!V:V)</f>
        <v>0</v>
      </c>
      <c r="T99">
        <f>SUMIF(RecoveredRaw!$B:$B,$A99,RecoveredRaw!W:W)</f>
        <v>0</v>
      </c>
      <c r="U99">
        <f>SUMIF(RecoveredRaw!$B:$B,$A99,RecoveredRaw!X:X)</f>
        <v>0</v>
      </c>
      <c r="V99">
        <f>SUMIF(RecoveredRaw!$B:$B,$A99,RecoveredRaw!Y:Y)</f>
        <v>0</v>
      </c>
      <c r="W99">
        <f>SUMIF(RecoveredRaw!$B:$B,$A99,RecoveredRaw!Z:Z)</f>
        <v>0</v>
      </c>
      <c r="X99">
        <f>SUMIF(RecoveredRaw!$B:$B,$A99,RecoveredRaw!AA:AA)</f>
        <v>0</v>
      </c>
      <c r="Y99">
        <f>SUMIF(RecoveredRaw!$B:$B,$A99,RecoveredRaw!AB:AB)</f>
        <v>0</v>
      </c>
      <c r="Z99">
        <f>SUMIF(RecoveredRaw!$B:$B,$A99,RecoveredRaw!AC:AC)</f>
        <v>0</v>
      </c>
      <c r="AA99">
        <f>SUMIF(RecoveredRaw!$B:$B,$A99,RecoveredRaw!AD:AD)</f>
        <v>0</v>
      </c>
      <c r="AB99">
        <f>SUMIF(RecoveredRaw!$B:$B,$A99,RecoveredRaw!AE:AE)</f>
        <v>0</v>
      </c>
      <c r="AC99">
        <f>SUMIF(RecoveredRaw!$B:$B,$A99,RecoveredRaw!AF:AF)</f>
        <v>0</v>
      </c>
      <c r="AD99">
        <f>SUMIF(RecoveredRaw!$B:$B,$A99,RecoveredRaw!AG:AG)</f>
        <v>0</v>
      </c>
      <c r="AE99">
        <f>SUMIF(RecoveredRaw!$B:$B,$A99,RecoveredRaw!AH:AH)</f>
        <v>0</v>
      </c>
      <c r="AF99">
        <f>SUMIF(RecoveredRaw!$B:$B,$A99,RecoveredRaw!AI:AI)</f>
        <v>0</v>
      </c>
      <c r="AG99">
        <f>SUMIF(RecoveredRaw!$B:$B,$A99,RecoveredRaw!AJ:AJ)</f>
        <v>0</v>
      </c>
      <c r="AH99">
        <f>SUMIF(RecoveredRaw!$B:$B,$A99,RecoveredRaw!AK:AK)</f>
        <v>0</v>
      </c>
      <c r="AI99">
        <f>SUMIF(RecoveredRaw!$B:$B,$A99,RecoveredRaw!AL:AL)</f>
        <v>0</v>
      </c>
      <c r="AJ99">
        <f>SUMIF(RecoveredRaw!$B:$B,$A99,RecoveredRaw!AM:AM)</f>
        <v>0</v>
      </c>
      <c r="AK99">
        <f>SUMIF(RecoveredRaw!$B:$B,$A99,RecoveredRaw!AN:AN)</f>
        <v>0</v>
      </c>
      <c r="AL99">
        <f>SUMIF(RecoveredRaw!$B:$B,$A99,RecoveredRaw!AO:AO)</f>
        <v>0</v>
      </c>
      <c r="AM99">
        <f>SUMIF(RecoveredRaw!$B:$B,$A99,RecoveredRaw!AP:AP)</f>
        <v>0</v>
      </c>
      <c r="AN99">
        <f>SUMIF(RecoveredRaw!$B:$B,$A99,RecoveredRaw!AQ:AQ)</f>
        <v>0</v>
      </c>
      <c r="AO99">
        <f>SUMIF(RecoveredRaw!$B:$B,$A99,RecoveredRaw!AR:AR)</f>
        <v>0</v>
      </c>
      <c r="AP99">
        <f>SUMIF(RecoveredRaw!$B:$B,$A99,RecoveredRaw!AS:AS)</f>
        <v>0</v>
      </c>
      <c r="AQ99">
        <f>SUMIF(RecoveredRaw!$B:$B,$A99,RecoveredRaw!AT:AT)</f>
        <v>0</v>
      </c>
      <c r="AR99">
        <f>SUMIF(RecoveredRaw!$B:$B,$A99,RecoveredRaw!AU:AU)</f>
        <v>0</v>
      </c>
      <c r="AS99">
        <f>SUMIF(RecoveredRaw!$B:$B,$A99,RecoveredRaw!AV:AV)</f>
        <v>0</v>
      </c>
      <c r="AT99">
        <f>SUMIF(RecoveredRaw!$B:$B,$A99,RecoveredRaw!AW:AW)</f>
        <v>0</v>
      </c>
      <c r="AU99">
        <f>SUMIF(RecoveredRaw!$B:$B,$A99,RecoveredRaw!AX:AX)</f>
        <v>0</v>
      </c>
      <c r="AV99">
        <f>SUMIF(RecoveredRaw!$B:$B,$A99,RecoveredRaw!AY:AY)</f>
        <v>0</v>
      </c>
      <c r="AW99">
        <f>SUMIF(RecoveredRaw!$B:$B,$A99,RecoveredRaw!AZ:AZ)</f>
        <v>0</v>
      </c>
      <c r="AX99">
        <f>SUMIF(RecoveredRaw!$B:$B,$A99,RecoveredRaw!BA:BA)</f>
        <v>0</v>
      </c>
      <c r="AY99">
        <f>SUMIF(RecoveredRaw!$B:$B,$A99,RecoveredRaw!BB:BB)</f>
        <v>0</v>
      </c>
      <c r="AZ99">
        <f>SUMIF(RecoveredRaw!$B:$B,$A99,RecoveredRaw!BC:BC)</f>
        <v>0</v>
      </c>
      <c r="BA99">
        <f>SUMIF(RecoveredRaw!$B:$B,$A99,RecoveredRaw!BD:BD)</f>
        <v>0</v>
      </c>
      <c r="BB99">
        <f>SUMIF(RecoveredRaw!$B:$B,$A99,RecoveredRaw!BE:BE)</f>
        <v>0</v>
      </c>
      <c r="BC99">
        <f>SUMIF(RecoveredRaw!$B:$B,$A99,RecoveredRaw!BF:BF)</f>
        <v>0</v>
      </c>
      <c r="BD99">
        <f>SUMIF(RecoveredRaw!$B:$B,$A99,RecoveredRaw!BG:BG)</f>
        <v>2</v>
      </c>
      <c r="BE99">
        <f>SUMIF(RecoveredRaw!$B:$B,$A99,RecoveredRaw!BH:BH)</f>
        <v>3</v>
      </c>
      <c r="BF99">
        <f>SUMIF(RecoveredRaw!$B:$B,$A99,RecoveredRaw!BI:BI)</f>
        <v>3</v>
      </c>
      <c r="BG99">
        <f>SUMIF(RecoveredRaw!$B:$B,$A99,RecoveredRaw!BJ:BJ)</f>
        <v>3</v>
      </c>
      <c r="BH99">
        <f>SUMIF(RecoveredRaw!$B:$B,$A99,RecoveredRaw!BK:BK)</f>
        <v>3</v>
      </c>
      <c r="BI99">
        <f>SUMIF(RecoveredRaw!$B:$B,$A99,RecoveredRaw!BL:BL)</f>
        <v>0</v>
      </c>
      <c r="BJ99">
        <f>SUMIF(RecoveredRaw!$B:$B,$A99,RecoveredRaw!BM:BM)</f>
        <v>0</v>
      </c>
      <c r="BK99">
        <f>SUMIF(RecoveredRaw!$B:$B,$A99,RecoveredRaw!BN:BN)</f>
        <v>0</v>
      </c>
      <c r="BL99">
        <f>SUMIF(RecoveredRaw!$B:$B,$A99,RecoveredRaw!BO:BO)</f>
        <v>0</v>
      </c>
      <c r="BM99">
        <f>SUMIF(RecoveredRaw!$B:$B,$A99,RecoveredRaw!BP:BP)</f>
        <v>0</v>
      </c>
      <c r="BN99">
        <f>SUMIF(RecoveredRaw!$B:$B,$A99,RecoveredRaw!BQ:BQ)</f>
        <v>0</v>
      </c>
      <c r="BO99">
        <f>SUMIF(RecoveredRaw!$B:$B,$A99,RecoveredRaw!BR:BR)</f>
        <v>0</v>
      </c>
      <c r="BP99">
        <f>SUMIF(RecoveredRaw!$B:$B,$A99,RecoveredRaw!BS:BS)</f>
        <v>0</v>
      </c>
      <c r="BQ99">
        <f>SUMIF(RecoveredRaw!$B:$B,$A99,RecoveredRaw!BT:BT)</f>
        <v>0</v>
      </c>
      <c r="BR99">
        <f>SUMIF(RecoveredRaw!$B:$B,$A99,RecoveredRaw!BU:BU)</f>
        <v>0</v>
      </c>
      <c r="BS99">
        <f>SUMIF(RecoveredRaw!$B:$B,$A99,RecoveredRaw!BV:BV)</f>
        <v>0</v>
      </c>
      <c r="BT99">
        <f>SUMIF(RecoveredRaw!$B:$B,$A99,RecoveredRaw!BW:BW)</f>
        <v>0</v>
      </c>
    </row>
    <row r="100" spans="1:72" ht="15" thickBot="1" x14ac:dyDescent="0.35">
      <c r="A100" s="3" t="s">
        <v>346</v>
      </c>
      <c r="B100">
        <f>SUMIF(RecoveredRaw!$B:$B,$A100,RecoveredRaw!E:E)</f>
        <v>0</v>
      </c>
      <c r="C100">
        <f>SUMIF(RecoveredRaw!$B:$B,$A100,RecoveredRaw!F:F)</f>
        <v>0</v>
      </c>
      <c r="D100">
        <f>SUMIF(RecoveredRaw!$B:$B,$A100,RecoveredRaw!G:G)</f>
        <v>0</v>
      </c>
      <c r="E100">
        <f>SUMIF(RecoveredRaw!$B:$B,$A100,RecoveredRaw!H:H)</f>
        <v>0</v>
      </c>
      <c r="F100">
        <f>SUMIF(RecoveredRaw!$B:$B,$A100,RecoveredRaw!I:I)</f>
        <v>0</v>
      </c>
      <c r="G100">
        <f>SUMIF(RecoveredRaw!$B:$B,$A100,RecoveredRaw!J:J)</f>
        <v>0</v>
      </c>
      <c r="H100">
        <f>SUMIF(RecoveredRaw!$B:$B,$A100,RecoveredRaw!K:K)</f>
        <v>0</v>
      </c>
      <c r="I100">
        <f>SUMIF(RecoveredRaw!$B:$B,$A100,RecoveredRaw!L:L)</f>
        <v>0</v>
      </c>
      <c r="J100">
        <f>SUMIF(RecoveredRaw!$B:$B,$A100,RecoveredRaw!M:M)</f>
        <v>0</v>
      </c>
      <c r="K100">
        <f>SUMIF(RecoveredRaw!$B:$B,$A100,RecoveredRaw!N:N)</f>
        <v>0</v>
      </c>
      <c r="L100">
        <f>SUMIF(RecoveredRaw!$B:$B,$A100,RecoveredRaw!O:O)</f>
        <v>0</v>
      </c>
      <c r="M100">
        <f>SUMIF(RecoveredRaw!$B:$B,$A100,RecoveredRaw!P:P)</f>
        <v>0</v>
      </c>
      <c r="N100">
        <f>SUMIF(RecoveredRaw!$B:$B,$A100,RecoveredRaw!Q:Q)</f>
        <v>0</v>
      </c>
      <c r="O100">
        <f>SUMIF(RecoveredRaw!$B:$B,$A100,RecoveredRaw!R:R)</f>
        <v>0</v>
      </c>
      <c r="P100">
        <f>SUMIF(RecoveredRaw!$B:$B,$A100,RecoveredRaw!S:S)</f>
        <v>0</v>
      </c>
      <c r="Q100">
        <f>SUMIF(RecoveredRaw!$B:$B,$A100,RecoveredRaw!T:T)</f>
        <v>0</v>
      </c>
      <c r="R100">
        <f>SUMIF(RecoveredRaw!$B:$B,$A100,RecoveredRaw!U:U)</f>
        <v>0</v>
      </c>
      <c r="S100">
        <f>SUMIF(RecoveredRaw!$B:$B,$A100,RecoveredRaw!V:V)</f>
        <v>0</v>
      </c>
      <c r="T100">
        <f>SUMIF(RecoveredRaw!$B:$B,$A100,RecoveredRaw!W:W)</f>
        <v>0</v>
      </c>
      <c r="U100">
        <f>SUMIF(RecoveredRaw!$B:$B,$A100,RecoveredRaw!X:X)</f>
        <v>0</v>
      </c>
      <c r="V100">
        <f>SUMIF(RecoveredRaw!$B:$B,$A100,RecoveredRaw!Y:Y)</f>
        <v>0</v>
      </c>
      <c r="W100">
        <f>SUMIF(RecoveredRaw!$B:$B,$A100,RecoveredRaw!Z:Z)</f>
        <v>0</v>
      </c>
      <c r="X100">
        <f>SUMIF(RecoveredRaw!$B:$B,$A100,RecoveredRaw!AA:AA)</f>
        <v>0</v>
      </c>
      <c r="Y100">
        <f>SUMIF(RecoveredRaw!$B:$B,$A100,RecoveredRaw!AB:AB)</f>
        <v>0</v>
      </c>
      <c r="Z100">
        <f>SUMIF(RecoveredRaw!$B:$B,$A100,RecoveredRaw!AC:AC)</f>
        <v>0</v>
      </c>
      <c r="AA100">
        <f>SUMIF(RecoveredRaw!$B:$B,$A100,RecoveredRaw!AD:AD)</f>
        <v>0</v>
      </c>
      <c r="AB100">
        <f>SUMIF(RecoveredRaw!$B:$B,$A100,RecoveredRaw!AE:AE)</f>
        <v>0</v>
      </c>
      <c r="AC100">
        <f>SUMIF(RecoveredRaw!$B:$B,$A100,RecoveredRaw!AF:AF)</f>
        <v>0</v>
      </c>
      <c r="AD100">
        <f>SUMIF(RecoveredRaw!$B:$B,$A100,RecoveredRaw!AG:AG)</f>
        <v>0</v>
      </c>
      <c r="AE100">
        <f>SUMIF(RecoveredRaw!$B:$B,$A100,RecoveredRaw!AH:AH)</f>
        <v>0</v>
      </c>
      <c r="AF100">
        <f>SUMIF(RecoveredRaw!$B:$B,$A100,RecoveredRaw!AI:AI)</f>
        <v>0</v>
      </c>
      <c r="AG100">
        <f>SUMIF(RecoveredRaw!$B:$B,$A100,RecoveredRaw!AJ:AJ)</f>
        <v>0</v>
      </c>
      <c r="AH100">
        <f>SUMIF(RecoveredRaw!$B:$B,$A100,RecoveredRaw!AK:AK)</f>
        <v>0</v>
      </c>
      <c r="AI100">
        <f>SUMIF(RecoveredRaw!$B:$B,$A100,RecoveredRaw!AL:AL)</f>
        <v>0</v>
      </c>
      <c r="AJ100">
        <f>SUMIF(RecoveredRaw!$B:$B,$A100,RecoveredRaw!AM:AM)</f>
        <v>0</v>
      </c>
      <c r="AK100">
        <f>SUMIF(RecoveredRaw!$B:$B,$A100,RecoveredRaw!AN:AN)</f>
        <v>0</v>
      </c>
      <c r="AL100">
        <f>SUMIF(RecoveredRaw!$B:$B,$A100,RecoveredRaw!AO:AO)</f>
        <v>0</v>
      </c>
      <c r="AM100">
        <f>SUMIF(RecoveredRaw!$B:$B,$A100,RecoveredRaw!AP:AP)</f>
        <v>0</v>
      </c>
      <c r="AN100">
        <f>SUMIF(RecoveredRaw!$B:$B,$A100,RecoveredRaw!AQ:AQ)</f>
        <v>0</v>
      </c>
      <c r="AO100">
        <f>SUMIF(RecoveredRaw!$B:$B,$A100,RecoveredRaw!AR:AR)</f>
        <v>0</v>
      </c>
      <c r="AP100">
        <f>SUMIF(RecoveredRaw!$B:$B,$A100,RecoveredRaw!AS:AS)</f>
        <v>0</v>
      </c>
      <c r="AQ100">
        <f>SUMIF(RecoveredRaw!$B:$B,$A100,RecoveredRaw!AT:AT)</f>
        <v>0</v>
      </c>
      <c r="AR100">
        <f>SUMIF(RecoveredRaw!$B:$B,$A100,RecoveredRaw!AU:AU)</f>
        <v>0</v>
      </c>
      <c r="AS100">
        <f>SUMIF(RecoveredRaw!$B:$B,$A100,RecoveredRaw!AV:AV)</f>
        <v>0</v>
      </c>
      <c r="AT100">
        <f>SUMIF(RecoveredRaw!$B:$B,$A100,RecoveredRaw!AW:AW)</f>
        <v>0</v>
      </c>
      <c r="AU100">
        <f>SUMIF(RecoveredRaw!$B:$B,$A100,RecoveredRaw!AX:AX)</f>
        <v>0</v>
      </c>
      <c r="AV100">
        <f>SUMIF(RecoveredRaw!$B:$B,$A100,RecoveredRaw!AY:AY)</f>
        <v>0</v>
      </c>
      <c r="AW100">
        <f>SUMIF(RecoveredRaw!$B:$B,$A100,RecoveredRaw!AZ:AZ)</f>
        <v>0</v>
      </c>
      <c r="AX100">
        <f>SUMIF(RecoveredRaw!$B:$B,$A100,RecoveredRaw!BA:BA)</f>
        <v>0</v>
      </c>
      <c r="AY100">
        <f>SUMIF(RecoveredRaw!$B:$B,$A100,RecoveredRaw!BB:BB)</f>
        <v>0</v>
      </c>
      <c r="AZ100">
        <f>SUMIF(RecoveredRaw!$B:$B,$A100,RecoveredRaw!BC:BC)</f>
        <v>0</v>
      </c>
      <c r="BA100">
        <f>SUMIF(RecoveredRaw!$B:$B,$A100,RecoveredRaw!BD:BD)</f>
        <v>0</v>
      </c>
      <c r="BB100">
        <f>SUMIF(RecoveredRaw!$B:$B,$A100,RecoveredRaw!BE:BE)</f>
        <v>0</v>
      </c>
      <c r="BC100">
        <f>SUMIF(RecoveredRaw!$B:$B,$A100,RecoveredRaw!BF:BF)</f>
        <v>0</v>
      </c>
      <c r="BD100">
        <f>SUMIF(RecoveredRaw!$B:$B,$A100,RecoveredRaw!BG:BG)</f>
        <v>0</v>
      </c>
      <c r="BE100">
        <f>SUMIF(RecoveredRaw!$B:$B,$A100,RecoveredRaw!BH:BH)</f>
        <v>0</v>
      </c>
      <c r="BF100">
        <f>SUMIF(RecoveredRaw!$B:$B,$A100,RecoveredRaw!BI:BI)</f>
        <v>0</v>
      </c>
      <c r="BG100">
        <f>SUMIF(RecoveredRaw!$B:$B,$A100,RecoveredRaw!BJ:BJ)</f>
        <v>0</v>
      </c>
      <c r="BH100">
        <f>SUMIF(RecoveredRaw!$B:$B,$A100,RecoveredRaw!BK:BK)</f>
        <v>0</v>
      </c>
      <c r="BI100">
        <f>SUMIF(RecoveredRaw!$B:$B,$A100,RecoveredRaw!BL:BL)</f>
        <v>0</v>
      </c>
      <c r="BJ100">
        <f>SUMIF(RecoveredRaw!$B:$B,$A100,RecoveredRaw!BM:BM)</f>
        <v>0</v>
      </c>
      <c r="BK100">
        <f>SUMIF(RecoveredRaw!$B:$B,$A100,RecoveredRaw!BN:BN)</f>
        <v>0</v>
      </c>
      <c r="BL100">
        <f>SUMIF(RecoveredRaw!$B:$B,$A100,RecoveredRaw!BO:BO)</f>
        <v>0</v>
      </c>
      <c r="BM100">
        <f>SUMIF(RecoveredRaw!$B:$B,$A100,RecoveredRaw!BP:BP)</f>
        <v>0</v>
      </c>
      <c r="BN100">
        <f>SUMIF(RecoveredRaw!$B:$B,$A100,RecoveredRaw!BQ:BQ)</f>
        <v>0</v>
      </c>
      <c r="BO100">
        <f>SUMIF(RecoveredRaw!$B:$B,$A100,RecoveredRaw!BR:BR)</f>
        <v>0</v>
      </c>
      <c r="BP100">
        <f>SUMIF(RecoveredRaw!$B:$B,$A100,RecoveredRaw!BS:BS)</f>
        <v>0</v>
      </c>
      <c r="BQ100">
        <f>SUMIF(RecoveredRaw!$B:$B,$A100,RecoveredRaw!BT:BT)</f>
        <v>0</v>
      </c>
      <c r="BR100">
        <f>SUMIF(RecoveredRaw!$B:$B,$A100,RecoveredRaw!BU:BU)</f>
        <v>0</v>
      </c>
      <c r="BS100">
        <f>SUMIF(RecoveredRaw!$B:$B,$A100,RecoveredRaw!BV:BV)</f>
        <v>0</v>
      </c>
      <c r="BT100">
        <f>SUMIF(RecoveredRaw!$B:$B,$A100,RecoveredRaw!BW:BW)</f>
        <v>0</v>
      </c>
    </row>
    <row r="101" spans="1:72" ht="15" thickBot="1" x14ac:dyDescent="0.35">
      <c r="A101" s="4" t="s">
        <v>180</v>
      </c>
      <c r="B101">
        <f>SUMIF(RecoveredRaw!$B:$B,$A101,RecoveredRaw!E:E)</f>
        <v>0</v>
      </c>
      <c r="C101">
        <f>SUMIF(RecoveredRaw!$B:$B,$A101,RecoveredRaw!F:F)</f>
        <v>0</v>
      </c>
      <c r="D101">
        <f>SUMIF(RecoveredRaw!$B:$B,$A101,RecoveredRaw!G:G)</f>
        <v>0</v>
      </c>
      <c r="E101">
        <f>SUMIF(RecoveredRaw!$B:$B,$A101,RecoveredRaw!H:H)</f>
        <v>0</v>
      </c>
      <c r="F101">
        <f>SUMIF(RecoveredRaw!$B:$B,$A101,RecoveredRaw!I:I)</f>
        <v>0</v>
      </c>
      <c r="G101">
        <f>SUMIF(RecoveredRaw!$B:$B,$A101,RecoveredRaw!J:J)</f>
        <v>0</v>
      </c>
      <c r="H101">
        <f>SUMIF(RecoveredRaw!$B:$B,$A101,RecoveredRaw!K:K)</f>
        <v>0</v>
      </c>
      <c r="I101">
        <f>SUMIF(RecoveredRaw!$B:$B,$A101,RecoveredRaw!L:L)</f>
        <v>0</v>
      </c>
      <c r="J101">
        <f>SUMIF(RecoveredRaw!$B:$B,$A101,RecoveredRaw!M:M)</f>
        <v>0</v>
      </c>
      <c r="K101">
        <f>SUMIF(RecoveredRaw!$B:$B,$A101,RecoveredRaw!N:N)</f>
        <v>0</v>
      </c>
      <c r="L101">
        <f>SUMIF(RecoveredRaw!$B:$B,$A101,RecoveredRaw!O:O)</f>
        <v>0</v>
      </c>
      <c r="M101">
        <f>SUMIF(RecoveredRaw!$B:$B,$A101,RecoveredRaw!P:P)</f>
        <v>0</v>
      </c>
      <c r="N101">
        <f>SUMIF(RecoveredRaw!$B:$B,$A101,RecoveredRaw!Q:Q)</f>
        <v>0</v>
      </c>
      <c r="O101">
        <f>SUMIF(RecoveredRaw!$B:$B,$A101,RecoveredRaw!R:R)</f>
        <v>0</v>
      </c>
      <c r="P101">
        <f>SUMIF(RecoveredRaw!$B:$B,$A101,RecoveredRaw!S:S)</f>
        <v>0</v>
      </c>
      <c r="Q101">
        <f>SUMIF(RecoveredRaw!$B:$B,$A101,RecoveredRaw!T:T)</f>
        <v>0</v>
      </c>
      <c r="R101">
        <f>SUMIF(RecoveredRaw!$B:$B,$A101,RecoveredRaw!U:U)</f>
        <v>0</v>
      </c>
      <c r="S101">
        <f>SUMIF(RecoveredRaw!$B:$B,$A101,RecoveredRaw!V:V)</f>
        <v>0</v>
      </c>
      <c r="T101">
        <f>SUMIF(RecoveredRaw!$B:$B,$A101,RecoveredRaw!W:W)</f>
        <v>0</v>
      </c>
      <c r="U101">
        <f>SUMIF(RecoveredRaw!$B:$B,$A101,RecoveredRaw!X:X)</f>
        <v>0</v>
      </c>
      <c r="V101">
        <f>SUMIF(RecoveredRaw!$B:$B,$A101,RecoveredRaw!Y:Y)</f>
        <v>0</v>
      </c>
      <c r="W101">
        <f>SUMIF(RecoveredRaw!$B:$B,$A101,RecoveredRaw!Z:Z)</f>
        <v>0</v>
      </c>
      <c r="X101">
        <f>SUMIF(RecoveredRaw!$B:$B,$A101,RecoveredRaw!AA:AA)</f>
        <v>0</v>
      </c>
      <c r="Y101">
        <f>SUMIF(RecoveredRaw!$B:$B,$A101,RecoveredRaw!AB:AB)</f>
        <v>0</v>
      </c>
      <c r="Z101">
        <f>SUMIF(RecoveredRaw!$B:$B,$A101,RecoveredRaw!AC:AC)</f>
        <v>0</v>
      </c>
      <c r="AA101">
        <f>SUMIF(RecoveredRaw!$B:$B,$A101,RecoveredRaw!AD:AD)</f>
        <v>0</v>
      </c>
      <c r="AB101">
        <f>SUMIF(RecoveredRaw!$B:$B,$A101,RecoveredRaw!AE:AE)</f>
        <v>0</v>
      </c>
      <c r="AC101">
        <f>SUMIF(RecoveredRaw!$B:$B,$A101,RecoveredRaw!AF:AF)</f>
        <v>0</v>
      </c>
      <c r="AD101">
        <f>SUMIF(RecoveredRaw!$B:$B,$A101,RecoveredRaw!AG:AG)</f>
        <v>0</v>
      </c>
      <c r="AE101">
        <f>SUMIF(RecoveredRaw!$B:$B,$A101,RecoveredRaw!AH:AH)</f>
        <v>0</v>
      </c>
      <c r="AF101">
        <f>SUMIF(RecoveredRaw!$B:$B,$A101,RecoveredRaw!AI:AI)</f>
        <v>0</v>
      </c>
      <c r="AG101">
        <f>SUMIF(RecoveredRaw!$B:$B,$A101,RecoveredRaw!AJ:AJ)</f>
        <v>0</v>
      </c>
      <c r="AH101">
        <f>SUMIF(RecoveredRaw!$B:$B,$A101,RecoveredRaw!AK:AK)</f>
        <v>0</v>
      </c>
      <c r="AI101">
        <f>SUMIF(RecoveredRaw!$B:$B,$A101,RecoveredRaw!AL:AL)</f>
        <v>0</v>
      </c>
      <c r="AJ101">
        <f>SUMIF(RecoveredRaw!$B:$B,$A101,RecoveredRaw!AM:AM)</f>
        <v>0</v>
      </c>
      <c r="AK101">
        <f>SUMIF(RecoveredRaw!$B:$B,$A101,RecoveredRaw!AN:AN)</f>
        <v>0</v>
      </c>
      <c r="AL101">
        <f>SUMIF(RecoveredRaw!$B:$B,$A101,RecoveredRaw!AO:AO)</f>
        <v>0</v>
      </c>
      <c r="AM101">
        <f>SUMIF(RecoveredRaw!$B:$B,$A101,RecoveredRaw!AP:AP)</f>
        <v>0</v>
      </c>
      <c r="AN101">
        <f>SUMIF(RecoveredRaw!$B:$B,$A101,RecoveredRaw!AQ:AQ)</f>
        <v>0</v>
      </c>
      <c r="AO101">
        <f>SUMIF(RecoveredRaw!$B:$B,$A101,RecoveredRaw!AR:AR)</f>
        <v>0</v>
      </c>
      <c r="AP101">
        <f>SUMIF(RecoveredRaw!$B:$B,$A101,RecoveredRaw!AS:AS)</f>
        <v>0</v>
      </c>
      <c r="AQ101">
        <f>SUMIF(RecoveredRaw!$B:$B,$A101,RecoveredRaw!AT:AT)</f>
        <v>0</v>
      </c>
      <c r="AR101">
        <f>SUMIF(RecoveredRaw!$B:$B,$A101,RecoveredRaw!AU:AU)</f>
        <v>0</v>
      </c>
      <c r="AS101">
        <f>SUMIF(RecoveredRaw!$B:$B,$A101,RecoveredRaw!AV:AV)</f>
        <v>0</v>
      </c>
      <c r="AT101">
        <f>SUMIF(RecoveredRaw!$B:$B,$A101,RecoveredRaw!AW:AW)</f>
        <v>0</v>
      </c>
      <c r="AU101">
        <f>SUMIF(RecoveredRaw!$B:$B,$A101,RecoveredRaw!AX:AX)</f>
        <v>0</v>
      </c>
      <c r="AV101">
        <f>SUMIF(RecoveredRaw!$B:$B,$A101,RecoveredRaw!AY:AY)</f>
        <v>0</v>
      </c>
      <c r="AW101">
        <f>SUMIF(RecoveredRaw!$B:$B,$A101,RecoveredRaw!AZ:AZ)</f>
        <v>0</v>
      </c>
      <c r="AX101">
        <f>SUMIF(RecoveredRaw!$B:$B,$A101,RecoveredRaw!BA:BA)</f>
        <v>0</v>
      </c>
      <c r="AY101">
        <f>SUMIF(RecoveredRaw!$B:$B,$A101,RecoveredRaw!BB:BB)</f>
        <v>0</v>
      </c>
      <c r="AZ101">
        <f>SUMIF(RecoveredRaw!$B:$B,$A101,RecoveredRaw!BC:BC)</f>
        <v>0</v>
      </c>
      <c r="BA101">
        <f>SUMIF(RecoveredRaw!$B:$B,$A101,RecoveredRaw!BD:BD)</f>
        <v>0</v>
      </c>
      <c r="BB101">
        <f>SUMIF(RecoveredRaw!$B:$B,$A101,RecoveredRaw!BE:BE)</f>
        <v>0</v>
      </c>
      <c r="BC101">
        <f>SUMIF(RecoveredRaw!$B:$B,$A101,RecoveredRaw!BF:BF)</f>
        <v>0</v>
      </c>
      <c r="BD101">
        <f>SUMIF(RecoveredRaw!$B:$B,$A101,RecoveredRaw!BG:BG)</f>
        <v>0</v>
      </c>
      <c r="BE101">
        <f>SUMIF(RecoveredRaw!$B:$B,$A101,RecoveredRaw!BH:BH)</f>
        <v>0</v>
      </c>
      <c r="BF101">
        <f>SUMIF(RecoveredRaw!$B:$B,$A101,RecoveredRaw!BI:BI)</f>
        <v>0</v>
      </c>
      <c r="BG101">
        <f>SUMIF(RecoveredRaw!$B:$B,$A101,RecoveredRaw!BJ:BJ)</f>
        <v>0</v>
      </c>
      <c r="BH101">
        <f>SUMIF(RecoveredRaw!$B:$B,$A101,RecoveredRaw!BK:BK)</f>
        <v>0</v>
      </c>
      <c r="BI101">
        <f>SUMIF(RecoveredRaw!$B:$B,$A101,RecoveredRaw!BL:BL)</f>
        <v>0</v>
      </c>
      <c r="BJ101">
        <f>SUMIF(RecoveredRaw!$B:$B,$A101,RecoveredRaw!BM:BM)</f>
        <v>0</v>
      </c>
      <c r="BK101">
        <f>SUMIF(RecoveredRaw!$B:$B,$A101,RecoveredRaw!BN:BN)</f>
        <v>0</v>
      </c>
      <c r="BL101">
        <f>SUMIF(RecoveredRaw!$B:$B,$A101,RecoveredRaw!BO:BO)</f>
        <v>0</v>
      </c>
      <c r="BM101">
        <f>SUMIF(RecoveredRaw!$B:$B,$A101,RecoveredRaw!BP:BP)</f>
        <v>0</v>
      </c>
      <c r="BN101">
        <f>SUMIF(RecoveredRaw!$B:$B,$A101,RecoveredRaw!BQ:BQ)</f>
        <v>0</v>
      </c>
      <c r="BO101">
        <f>SUMIF(RecoveredRaw!$B:$B,$A101,RecoveredRaw!BR:BR)</f>
        <v>0</v>
      </c>
      <c r="BP101">
        <f>SUMIF(RecoveredRaw!$B:$B,$A101,RecoveredRaw!BS:BS)</f>
        <v>0</v>
      </c>
      <c r="BQ101">
        <f>SUMIF(RecoveredRaw!$B:$B,$A101,RecoveredRaw!BT:BT)</f>
        <v>0</v>
      </c>
      <c r="BR101">
        <f>SUMIF(RecoveredRaw!$B:$B,$A101,RecoveredRaw!BU:BU)</f>
        <v>0</v>
      </c>
      <c r="BS101">
        <f>SUMIF(RecoveredRaw!$B:$B,$A101,RecoveredRaw!BV:BV)</f>
        <v>0</v>
      </c>
      <c r="BT101">
        <f>SUMIF(RecoveredRaw!$B:$B,$A101,RecoveredRaw!BW:BW)</f>
        <v>0</v>
      </c>
    </row>
    <row r="102" spans="1:72" ht="15" thickBot="1" x14ac:dyDescent="0.35">
      <c r="A102" s="3" t="s">
        <v>129</v>
      </c>
      <c r="B102">
        <f>SUMIF(RecoveredRaw!$B:$B,$A102,RecoveredRaw!E:E)</f>
        <v>0</v>
      </c>
      <c r="C102">
        <f>SUMIF(RecoveredRaw!$B:$B,$A102,RecoveredRaw!F:F)</f>
        <v>0</v>
      </c>
      <c r="D102">
        <f>SUMIF(RecoveredRaw!$B:$B,$A102,RecoveredRaw!G:G)</f>
        <v>0</v>
      </c>
      <c r="E102">
        <f>SUMIF(RecoveredRaw!$B:$B,$A102,RecoveredRaw!H:H)</f>
        <v>0</v>
      </c>
      <c r="F102">
        <f>SUMIF(RecoveredRaw!$B:$B,$A102,RecoveredRaw!I:I)</f>
        <v>0</v>
      </c>
      <c r="G102">
        <f>SUMIF(RecoveredRaw!$B:$B,$A102,RecoveredRaw!J:J)</f>
        <v>0</v>
      </c>
      <c r="H102">
        <f>SUMIF(RecoveredRaw!$B:$B,$A102,RecoveredRaw!K:K)</f>
        <v>0</v>
      </c>
      <c r="I102">
        <f>SUMIF(RecoveredRaw!$B:$B,$A102,RecoveredRaw!L:L)</f>
        <v>0</v>
      </c>
      <c r="J102">
        <f>SUMIF(RecoveredRaw!$B:$B,$A102,RecoveredRaw!M:M)</f>
        <v>0</v>
      </c>
      <c r="K102">
        <f>SUMIF(RecoveredRaw!$B:$B,$A102,RecoveredRaw!N:N)</f>
        <v>0</v>
      </c>
      <c r="L102">
        <f>SUMIF(RecoveredRaw!$B:$B,$A102,RecoveredRaw!O:O)</f>
        <v>0</v>
      </c>
      <c r="M102">
        <f>SUMIF(RecoveredRaw!$B:$B,$A102,RecoveredRaw!P:P)</f>
        <v>0</v>
      </c>
      <c r="N102">
        <f>SUMIF(RecoveredRaw!$B:$B,$A102,RecoveredRaw!Q:Q)</f>
        <v>0</v>
      </c>
      <c r="O102">
        <f>SUMIF(RecoveredRaw!$B:$B,$A102,RecoveredRaw!R:R)</f>
        <v>0</v>
      </c>
      <c r="P102">
        <f>SUMIF(RecoveredRaw!$B:$B,$A102,RecoveredRaw!S:S)</f>
        <v>0</v>
      </c>
      <c r="Q102">
        <f>SUMIF(RecoveredRaw!$B:$B,$A102,RecoveredRaw!T:T)</f>
        <v>0</v>
      </c>
      <c r="R102">
        <f>SUMIF(RecoveredRaw!$B:$B,$A102,RecoveredRaw!U:U)</f>
        <v>0</v>
      </c>
      <c r="S102">
        <f>SUMIF(RecoveredRaw!$B:$B,$A102,RecoveredRaw!V:V)</f>
        <v>0</v>
      </c>
      <c r="T102">
        <f>SUMIF(RecoveredRaw!$B:$B,$A102,RecoveredRaw!W:W)</f>
        <v>0</v>
      </c>
      <c r="U102">
        <f>SUMIF(RecoveredRaw!$B:$B,$A102,RecoveredRaw!X:X)</f>
        <v>0</v>
      </c>
      <c r="V102">
        <f>SUMIF(RecoveredRaw!$B:$B,$A102,RecoveredRaw!Y:Y)</f>
        <v>0</v>
      </c>
      <c r="W102">
        <f>SUMIF(RecoveredRaw!$B:$B,$A102,RecoveredRaw!Z:Z)</f>
        <v>0</v>
      </c>
      <c r="X102">
        <f>SUMIF(RecoveredRaw!$B:$B,$A102,RecoveredRaw!AA:AA)</f>
        <v>0</v>
      </c>
      <c r="Y102">
        <f>SUMIF(RecoveredRaw!$B:$B,$A102,RecoveredRaw!AB:AB)</f>
        <v>0</v>
      </c>
      <c r="Z102">
        <f>SUMIF(RecoveredRaw!$B:$B,$A102,RecoveredRaw!AC:AC)</f>
        <v>0</v>
      </c>
      <c r="AA102">
        <f>SUMIF(RecoveredRaw!$B:$B,$A102,RecoveredRaw!AD:AD)</f>
        <v>0</v>
      </c>
      <c r="AB102">
        <f>SUMIF(RecoveredRaw!$B:$B,$A102,RecoveredRaw!AE:AE)</f>
        <v>0</v>
      </c>
      <c r="AC102">
        <f>SUMIF(RecoveredRaw!$B:$B,$A102,RecoveredRaw!AF:AF)</f>
        <v>0</v>
      </c>
      <c r="AD102">
        <f>SUMIF(RecoveredRaw!$B:$B,$A102,RecoveredRaw!AG:AG)</f>
        <v>0</v>
      </c>
      <c r="AE102">
        <f>SUMIF(RecoveredRaw!$B:$B,$A102,RecoveredRaw!AH:AH)</f>
        <v>0</v>
      </c>
      <c r="AF102">
        <f>SUMIF(RecoveredRaw!$B:$B,$A102,RecoveredRaw!AI:AI)</f>
        <v>0</v>
      </c>
      <c r="AG102">
        <f>SUMIF(RecoveredRaw!$B:$B,$A102,RecoveredRaw!AJ:AJ)</f>
        <v>0</v>
      </c>
      <c r="AH102">
        <f>SUMIF(RecoveredRaw!$B:$B,$A102,RecoveredRaw!AK:AK)</f>
        <v>0</v>
      </c>
      <c r="AI102">
        <f>SUMIF(RecoveredRaw!$B:$B,$A102,RecoveredRaw!AL:AL)</f>
        <v>0</v>
      </c>
      <c r="AJ102">
        <f>SUMIF(RecoveredRaw!$B:$B,$A102,RecoveredRaw!AM:AM)</f>
        <v>0</v>
      </c>
      <c r="AK102">
        <f>SUMIF(RecoveredRaw!$B:$B,$A102,RecoveredRaw!AN:AN)</f>
        <v>0</v>
      </c>
      <c r="AL102">
        <f>SUMIF(RecoveredRaw!$B:$B,$A102,RecoveredRaw!AO:AO)</f>
        <v>0</v>
      </c>
      <c r="AM102">
        <f>SUMIF(RecoveredRaw!$B:$B,$A102,RecoveredRaw!AP:AP)</f>
        <v>0</v>
      </c>
      <c r="AN102">
        <f>SUMIF(RecoveredRaw!$B:$B,$A102,RecoveredRaw!AQ:AQ)</f>
        <v>0</v>
      </c>
      <c r="AO102">
        <f>SUMIF(RecoveredRaw!$B:$B,$A102,RecoveredRaw!AR:AR)</f>
        <v>0</v>
      </c>
      <c r="AP102">
        <f>SUMIF(RecoveredRaw!$B:$B,$A102,RecoveredRaw!AS:AS)</f>
        <v>0</v>
      </c>
      <c r="AQ102">
        <f>SUMIF(RecoveredRaw!$B:$B,$A102,RecoveredRaw!AT:AT)</f>
        <v>0</v>
      </c>
      <c r="AR102">
        <f>SUMIF(RecoveredRaw!$B:$B,$A102,RecoveredRaw!AU:AU)</f>
        <v>0</v>
      </c>
      <c r="AS102">
        <f>SUMIF(RecoveredRaw!$B:$B,$A102,RecoveredRaw!AV:AV)</f>
        <v>0</v>
      </c>
      <c r="AT102">
        <f>SUMIF(RecoveredRaw!$B:$B,$A102,RecoveredRaw!AW:AW)</f>
        <v>0</v>
      </c>
      <c r="AU102">
        <f>SUMIF(RecoveredRaw!$B:$B,$A102,RecoveredRaw!AX:AX)</f>
        <v>0</v>
      </c>
      <c r="AV102">
        <f>SUMIF(RecoveredRaw!$B:$B,$A102,RecoveredRaw!AY:AY)</f>
        <v>0</v>
      </c>
      <c r="AW102">
        <f>SUMIF(RecoveredRaw!$B:$B,$A102,RecoveredRaw!AZ:AZ)</f>
        <v>0</v>
      </c>
      <c r="AX102">
        <f>SUMIF(RecoveredRaw!$B:$B,$A102,RecoveredRaw!BA:BA)</f>
        <v>0</v>
      </c>
      <c r="AY102">
        <f>SUMIF(RecoveredRaw!$B:$B,$A102,RecoveredRaw!BB:BB)</f>
        <v>0</v>
      </c>
      <c r="AZ102">
        <f>SUMIF(RecoveredRaw!$B:$B,$A102,RecoveredRaw!BC:BC)</f>
        <v>0</v>
      </c>
      <c r="BA102">
        <f>SUMIF(RecoveredRaw!$B:$B,$A102,RecoveredRaw!BD:BD)</f>
        <v>0</v>
      </c>
      <c r="BB102">
        <f>SUMIF(RecoveredRaw!$B:$B,$A102,RecoveredRaw!BE:BE)</f>
        <v>0</v>
      </c>
      <c r="BC102">
        <f>SUMIF(RecoveredRaw!$B:$B,$A102,RecoveredRaw!BF:BF)</f>
        <v>0</v>
      </c>
      <c r="BD102">
        <f>SUMIF(RecoveredRaw!$B:$B,$A102,RecoveredRaw!BG:BG)</f>
        <v>0</v>
      </c>
      <c r="BE102">
        <f>SUMIF(RecoveredRaw!$B:$B,$A102,RecoveredRaw!BH:BH)</f>
        <v>0</v>
      </c>
      <c r="BF102">
        <f>SUMIF(RecoveredRaw!$B:$B,$A102,RecoveredRaw!BI:BI)</f>
        <v>0</v>
      </c>
      <c r="BG102">
        <f>SUMIF(RecoveredRaw!$B:$B,$A102,RecoveredRaw!BJ:BJ)</f>
        <v>0</v>
      </c>
      <c r="BH102">
        <f>SUMIF(RecoveredRaw!$B:$B,$A102,RecoveredRaw!BK:BK)</f>
        <v>0</v>
      </c>
      <c r="BI102">
        <f>SUMIF(RecoveredRaw!$B:$B,$A102,RecoveredRaw!BL:BL)</f>
        <v>0</v>
      </c>
      <c r="BJ102">
        <f>SUMIF(RecoveredRaw!$B:$B,$A102,RecoveredRaw!BM:BM)</f>
        <v>0</v>
      </c>
      <c r="BK102">
        <f>SUMIF(RecoveredRaw!$B:$B,$A102,RecoveredRaw!BN:BN)</f>
        <v>0</v>
      </c>
      <c r="BL102">
        <f>SUMIF(RecoveredRaw!$B:$B,$A102,RecoveredRaw!BO:BO)</f>
        <v>0</v>
      </c>
      <c r="BM102">
        <f>SUMIF(RecoveredRaw!$B:$B,$A102,RecoveredRaw!BP:BP)</f>
        <v>0</v>
      </c>
      <c r="BN102">
        <f>SUMIF(RecoveredRaw!$B:$B,$A102,RecoveredRaw!BQ:BQ)</f>
        <v>0</v>
      </c>
      <c r="BO102">
        <f>SUMIF(RecoveredRaw!$B:$B,$A102,RecoveredRaw!BR:BR)</f>
        <v>0</v>
      </c>
      <c r="BP102">
        <f>SUMIF(RecoveredRaw!$B:$B,$A102,RecoveredRaw!BS:BS)</f>
        <v>0</v>
      </c>
      <c r="BQ102">
        <f>SUMIF(RecoveredRaw!$B:$B,$A102,RecoveredRaw!BT:BT)</f>
        <v>0</v>
      </c>
      <c r="BR102">
        <f>SUMIF(RecoveredRaw!$B:$B,$A102,RecoveredRaw!BU:BU)</f>
        <v>0</v>
      </c>
      <c r="BS102">
        <f>SUMIF(RecoveredRaw!$B:$B,$A102,RecoveredRaw!BV:BV)</f>
        <v>0</v>
      </c>
      <c r="BT102">
        <f>SUMIF(RecoveredRaw!$B:$B,$A102,RecoveredRaw!BW:BW)</f>
        <v>0</v>
      </c>
    </row>
    <row r="103" spans="1:72" ht="15" thickBot="1" x14ac:dyDescent="0.35">
      <c r="A103" s="3" t="s">
        <v>422</v>
      </c>
      <c r="B103">
        <f>SUMIF(RecoveredRaw!$B:$B,$A103,RecoveredRaw!E:E)</f>
        <v>0</v>
      </c>
      <c r="C103">
        <f>SUMIF(RecoveredRaw!$B:$B,$A103,RecoveredRaw!F:F)</f>
        <v>0</v>
      </c>
      <c r="D103">
        <f>SUMIF(RecoveredRaw!$B:$B,$A103,RecoveredRaw!G:G)</f>
        <v>0</v>
      </c>
      <c r="E103">
        <f>SUMIF(RecoveredRaw!$B:$B,$A103,RecoveredRaw!H:H)</f>
        <v>0</v>
      </c>
      <c r="F103">
        <f>SUMIF(RecoveredRaw!$B:$B,$A103,RecoveredRaw!I:I)</f>
        <v>0</v>
      </c>
      <c r="G103">
        <f>SUMIF(RecoveredRaw!$B:$B,$A103,RecoveredRaw!J:J)</f>
        <v>0</v>
      </c>
      <c r="H103">
        <f>SUMIF(RecoveredRaw!$B:$B,$A103,RecoveredRaw!K:K)</f>
        <v>0</v>
      </c>
      <c r="I103">
        <f>SUMIF(RecoveredRaw!$B:$B,$A103,RecoveredRaw!L:L)</f>
        <v>0</v>
      </c>
      <c r="J103">
        <f>SUMIF(RecoveredRaw!$B:$B,$A103,RecoveredRaw!M:M)</f>
        <v>0</v>
      </c>
      <c r="K103">
        <f>SUMIF(RecoveredRaw!$B:$B,$A103,RecoveredRaw!N:N)</f>
        <v>0</v>
      </c>
      <c r="L103">
        <f>SUMIF(RecoveredRaw!$B:$B,$A103,RecoveredRaw!O:O)</f>
        <v>0</v>
      </c>
      <c r="M103">
        <f>SUMIF(RecoveredRaw!$B:$B,$A103,RecoveredRaw!P:P)</f>
        <v>0</v>
      </c>
      <c r="N103">
        <f>SUMIF(RecoveredRaw!$B:$B,$A103,RecoveredRaw!Q:Q)</f>
        <v>0</v>
      </c>
      <c r="O103">
        <f>SUMIF(RecoveredRaw!$B:$B,$A103,RecoveredRaw!R:R)</f>
        <v>0</v>
      </c>
      <c r="P103">
        <f>SUMIF(RecoveredRaw!$B:$B,$A103,RecoveredRaw!S:S)</f>
        <v>0</v>
      </c>
      <c r="Q103">
        <f>SUMIF(RecoveredRaw!$B:$B,$A103,RecoveredRaw!T:T)</f>
        <v>0</v>
      </c>
      <c r="R103">
        <f>SUMIF(RecoveredRaw!$B:$B,$A103,RecoveredRaw!U:U)</f>
        <v>0</v>
      </c>
      <c r="S103">
        <f>SUMIF(RecoveredRaw!$B:$B,$A103,RecoveredRaw!V:V)</f>
        <v>0</v>
      </c>
      <c r="T103">
        <f>SUMIF(RecoveredRaw!$B:$B,$A103,RecoveredRaw!W:W)</f>
        <v>0</v>
      </c>
      <c r="U103">
        <f>SUMIF(RecoveredRaw!$B:$B,$A103,RecoveredRaw!X:X)</f>
        <v>0</v>
      </c>
      <c r="V103">
        <f>SUMIF(RecoveredRaw!$B:$B,$A103,RecoveredRaw!Y:Y)</f>
        <v>0</v>
      </c>
      <c r="W103">
        <f>SUMIF(RecoveredRaw!$B:$B,$A103,RecoveredRaw!Z:Z)</f>
        <v>0</v>
      </c>
      <c r="X103">
        <f>SUMIF(RecoveredRaw!$B:$B,$A103,RecoveredRaw!AA:AA)</f>
        <v>0</v>
      </c>
      <c r="Y103">
        <f>SUMIF(RecoveredRaw!$B:$B,$A103,RecoveredRaw!AB:AB)</f>
        <v>0</v>
      </c>
      <c r="Z103">
        <f>SUMIF(RecoveredRaw!$B:$B,$A103,RecoveredRaw!AC:AC)</f>
        <v>0</v>
      </c>
      <c r="AA103">
        <f>SUMIF(RecoveredRaw!$B:$B,$A103,RecoveredRaw!AD:AD)</f>
        <v>0</v>
      </c>
      <c r="AB103">
        <f>SUMIF(RecoveredRaw!$B:$B,$A103,RecoveredRaw!AE:AE)</f>
        <v>0</v>
      </c>
      <c r="AC103">
        <f>SUMIF(RecoveredRaw!$B:$B,$A103,RecoveredRaw!AF:AF)</f>
        <v>0</v>
      </c>
      <c r="AD103">
        <f>SUMIF(RecoveredRaw!$B:$B,$A103,RecoveredRaw!AG:AG)</f>
        <v>0</v>
      </c>
      <c r="AE103">
        <f>SUMIF(RecoveredRaw!$B:$B,$A103,RecoveredRaw!AH:AH)</f>
        <v>0</v>
      </c>
      <c r="AF103">
        <f>SUMIF(RecoveredRaw!$B:$B,$A103,RecoveredRaw!AI:AI)</f>
        <v>0</v>
      </c>
      <c r="AG103">
        <f>SUMIF(RecoveredRaw!$B:$B,$A103,RecoveredRaw!AJ:AJ)</f>
        <v>0</v>
      </c>
      <c r="AH103">
        <f>SUMIF(RecoveredRaw!$B:$B,$A103,RecoveredRaw!AK:AK)</f>
        <v>0</v>
      </c>
      <c r="AI103">
        <f>SUMIF(RecoveredRaw!$B:$B,$A103,RecoveredRaw!AL:AL)</f>
        <v>0</v>
      </c>
      <c r="AJ103">
        <f>SUMIF(RecoveredRaw!$B:$B,$A103,RecoveredRaw!AM:AM)</f>
        <v>0</v>
      </c>
      <c r="AK103">
        <f>SUMIF(RecoveredRaw!$B:$B,$A103,RecoveredRaw!AN:AN)</f>
        <v>0</v>
      </c>
      <c r="AL103">
        <f>SUMIF(RecoveredRaw!$B:$B,$A103,RecoveredRaw!AO:AO)</f>
        <v>0</v>
      </c>
      <c r="AM103">
        <f>SUMIF(RecoveredRaw!$B:$B,$A103,RecoveredRaw!AP:AP)</f>
        <v>0</v>
      </c>
      <c r="AN103">
        <f>SUMIF(RecoveredRaw!$B:$B,$A103,RecoveredRaw!AQ:AQ)</f>
        <v>0</v>
      </c>
      <c r="AO103">
        <f>SUMIF(RecoveredRaw!$B:$B,$A103,RecoveredRaw!AR:AR)</f>
        <v>0</v>
      </c>
      <c r="AP103">
        <f>SUMIF(RecoveredRaw!$B:$B,$A103,RecoveredRaw!AS:AS)</f>
        <v>0</v>
      </c>
      <c r="AQ103">
        <f>SUMIF(RecoveredRaw!$B:$B,$A103,RecoveredRaw!AT:AT)</f>
        <v>0</v>
      </c>
      <c r="AR103">
        <f>SUMIF(RecoveredRaw!$B:$B,$A103,RecoveredRaw!AU:AU)</f>
        <v>0</v>
      </c>
      <c r="AS103">
        <f>SUMIF(RecoveredRaw!$B:$B,$A103,RecoveredRaw!AV:AV)</f>
        <v>0</v>
      </c>
      <c r="AT103">
        <f>SUMIF(RecoveredRaw!$B:$B,$A103,RecoveredRaw!AW:AW)</f>
        <v>0</v>
      </c>
      <c r="AU103">
        <f>SUMIF(RecoveredRaw!$B:$B,$A103,RecoveredRaw!AX:AX)</f>
        <v>0</v>
      </c>
      <c r="AV103">
        <f>SUMIF(RecoveredRaw!$B:$B,$A103,RecoveredRaw!AY:AY)</f>
        <v>0</v>
      </c>
      <c r="AW103">
        <f>SUMIF(RecoveredRaw!$B:$B,$A103,RecoveredRaw!AZ:AZ)</f>
        <v>0</v>
      </c>
      <c r="AX103">
        <f>SUMIF(RecoveredRaw!$B:$B,$A103,RecoveredRaw!BA:BA)</f>
        <v>0</v>
      </c>
      <c r="AY103">
        <f>SUMIF(RecoveredRaw!$B:$B,$A103,RecoveredRaw!BB:BB)</f>
        <v>0</v>
      </c>
      <c r="AZ103">
        <f>SUMIF(RecoveredRaw!$B:$B,$A103,RecoveredRaw!BC:BC)</f>
        <v>0</v>
      </c>
      <c r="BA103">
        <f>SUMIF(RecoveredRaw!$B:$B,$A103,RecoveredRaw!BD:BD)</f>
        <v>0</v>
      </c>
      <c r="BB103">
        <f>SUMIF(RecoveredRaw!$B:$B,$A103,RecoveredRaw!BE:BE)</f>
        <v>0</v>
      </c>
      <c r="BC103">
        <f>SUMIF(RecoveredRaw!$B:$B,$A103,RecoveredRaw!BF:BF)</f>
        <v>0</v>
      </c>
      <c r="BD103">
        <f>SUMIF(RecoveredRaw!$B:$B,$A103,RecoveredRaw!BG:BG)</f>
        <v>0</v>
      </c>
      <c r="BE103">
        <f>SUMIF(RecoveredRaw!$B:$B,$A103,RecoveredRaw!BH:BH)</f>
        <v>0</v>
      </c>
      <c r="BF103">
        <f>SUMIF(RecoveredRaw!$B:$B,$A103,RecoveredRaw!BI:BI)</f>
        <v>0</v>
      </c>
      <c r="BG103">
        <f>SUMIF(RecoveredRaw!$B:$B,$A103,RecoveredRaw!BJ:BJ)</f>
        <v>0</v>
      </c>
      <c r="BH103">
        <f>SUMIF(RecoveredRaw!$B:$B,$A103,RecoveredRaw!BK:BK)</f>
        <v>0</v>
      </c>
      <c r="BI103">
        <f>SUMIF(RecoveredRaw!$B:$B,$A103,RecoveredRaw!BL:BL)</f>
        <v>0</v>
      </c>
      <c r="BJ103">
        <f>SUMIF(RecoveredRaw!$B:$B,$A103,RecoveredRaw!BM:BM)</f>
        <v>0</v>
      </c>
      <c r="BK103">
        <f>SUMIF(RecoveredRaw!$B:$B,$A103,RecoveredRaw!BN:BN)</f>
        <v>0</v>
      </c>
      <c r="BL103">
        <f>SUMIF(RecoveredRaw!$B:$B,$A103,RecoveredRaw!BO:BO)</f>
        <v>0</v>
      </c>
      <c r="BM103">
        <f>SUMIF(RecoveredRaw!$B:$B,$A103,RecoveredRaw!BP:BP)</f>
        <v>0</v>
      </c>
      <c r="BN103">
        <f>SUMIF(RecoveredRaw!$B:$B,$A103,RecoveredRaw!BQ:BQ)</f>
        <v>0</v>
      </c>
      <c r="BO103">
        <f>SUMIF(RecoveredRaw!$B:$B,$A103,RecoveredRaw!BR:BR)</f>
        <v>0</v>
      </c>
      <c r="BP103">
        <f>SUMIF(RecoveredRaw!$B:$B,$A103,RecoveredRaw!BS:BS)</f>
        <v>0</v>
      </c>
      <c r="BQ103">
        <f>SUMIF(RecoveredRaw!$B:$B,$A103,RecoveredRaw!BT:BT)</f>
        <v>0</v>
      </c>
      <c r="BR103">
        <f>SUMIF(RecoveredRaw!$B:$B,$A103,RecoveredRaw!BU:BU)</f>
        <v>0</v>
      </c>
      <c r="BS103">
        <f>SUMIF(RecoveredRaw!$B:$B,$A103,RecoveredRaw!BV:BV)</f>
        <v>0</v>
      </c>
      <c r="BT103">
        <f>SUMIF(RecoveredRaw!$B:$B,$A103,RecoveredRaw!BW:BW)</f>
        <v>0</v>
      </c>
    </row>
    <row r="104" spans="1:72" ht="15" thickBot="1" x14ac:dyDescent="0.35">
      <c r="A104" s="4" t="s">
        <v>279</v>
      </c>
      <c r="B104">
        <f>SUMIF(RecoveredRaw!$B:$B,$A104,RecoveredRaw!E:E)</f>
        <v>0</v>
      </c>
      <c r="C104">
        <f>SUMIF(RecoveredRaw!$B:$B,$A104,RecoveredRaw!F:F)</f>
        <v>0</v>
      </c>
      <c r="D104">
        <f>SUMIF(RecoveredRaw!$B:$B,$A104,RecoveredRaw!G:G)</f>
        <v>0</v>
      </c>
      <c r="E104">
        <f>SUMIF(RecoveredRaw!$B:$B,$A104,RecoveredRaw!H:H)</f>
        <v>0</v>
      </c>
      <c r="F104">
        <f>SUMIF(RecoveredRaw!$B:$B,$A104,RecoveredRaw!I:I)</f>
        <v>0</v>
      </c>
      <c r="G104">
        <f>SUMIF(RecoveredRaw!$B:$B,$A104,RecoveredRaw!J:J)</f>
        <v>0</v>
      </c>
      <c r="H104">
        <f>SUMIF(RecoveredRaw!$B:$B,$A104,RecoveredRaw!K:K)</f>
        <v>0</v>
      </c>
      <c r="I104">
        <f>SUMIF(RecoveredRaw!$B:$B,$A104,RecoveredRaw!L:L)</f>
        <v>0</v>
      </c>
      <c r="J104">
        <f>SUMIF(RecoveredRaw!$B:$B,$A104,RecoveredRaw!M:M)</f>
        <v>0</v>
      </c>
      <c r="K104">
        <f>SUMIF(RecoveredRaw!$B:$B,$A104,RecoveredRaw!N:N)</f>
        <v>0</v>
      </c>
      <c r="L104">
        <f>SUMIF(RecoveredRaw!$B:$B,$A104,RecoveredRaw!O:O)</f>
        <v>0</v>
      </c>
      <c r="M104">
        <f>SUMIF(RecoveredRaw!$B:$B,$A104,RecoveredRaw!P:P)</f>
        <v>0</v>
      </c>
      <c r="N104">
        <f>SUMIF(RecoveredRaw!$B:$B,$A104,RecoveredRaw!Q:Q)</f>
        <v>0</v>
      </c>
      <c r="O104">
        <f>SUMIF(RecoveredRaw!$B:$B,$A104,RecoveredRaw!R:R)</f>
        <v>0</v>
      </c>
      <c r="P104">
        <f>SUMIF(RecoveredRaw!$B:$B,$A104,RecoveredRaw!S:S)</f>
        <v>0</v>
      </c>
      <c r="Q104">
        <f>SUMIF(RecoveredRaw!$B:$B,$A104,RecoveredRaw!T:T)</f>
        <v>0</v>
      </c>
      <c r="R104">
        <f>SUMIF(RecoveredRaw!$B:$B,$A104,RecoveredRaw!U:U)</f>
        <v>0</v>
      </c>
      <c r="S104">
        <f>SUMIF(RecoveredRaw!$B:$B,$A104,RecoveredRaw!V:V)</f>
        <v>0</v>
      </c>
      <c r="T104">
        <f>SUMIF(RecoveredRaw!$B:$B,$A104,RecoveredRaw!W:W)</f>
        <v>0</v>
      </c>
      <c r="U104">
        <f>SUMIF(RecoveredRaw!$B:$B,$A104,RecoveredRaw!X:X)</f>
        <v>0</v>
      </c>
      <c r="V104">
        <f>SUMIF(RecoveredRaw!$B:$B,$A104,RecoveredRaw!Y:Y)</f>
        <v>0</v>
      </c>
      <c r="W104">
        <f>SUMIF(RecoveredRaw!$B:$B,$A104,RecoveredRaw!Z:Z)</f>
        <v>0</v>
      </c>
      <c r="X104">
        <f>SUMIF(RecoveredRaw!$B:$B,$A104,RecoveredRaw!AA:AA)</f>
        <v>0</v>
      </c>
      <c r="Y104">
        <f>SUMIF(RecoveredRaw!$B:$B,$A104,RecoveredRaw!AB:AB)</f>
        <v>0</v>
      </c>
      <c r="Z104">
        <f>SUMIF(RecoveredRaw!$B:$B,$A104,RecoveredRaw!AC:AC)</f>
        <v>0</v>
      </c>
      <c r="AA104">
        <f>SUMIF(RecoveredRaw!$B:$B,$A104,RecoveredRaw!AD:AD)</f>
        <v>0</v>
      </c>
      <c r="AB104">
        <f>SUMIF(RecoveredRaw!$B:$B,$A104,RecoveredRaw!AE:AE)</f>
        <v>0</v>
      </c>
      <c r="AC104">
        <f>SUMIF(RecoveredRaw!$B:$B,$A104,RecoveredRaw!AF:AF)</f>
        <v>0</v>
      </c>
      <c r="AD104">
        <f>SUMIF(RecoveredRaw!$B:$B,$A104,RecoveredRaw!AG:AG)</f>
        <v>0</v>
      </c>
      <c r="AE104">
        <f>SUMIF(RecoveredRaw!$B:$B,$A104,RecoveredRaw!AH:AH)</f>
        <v>0</v>
      </c>
      <c r="AF104">
        <f>SUMIF(RecoveredRaw!$B:$B,$A104,RecoveredRaw!AI:AI)</f>
        <v>0</v>
      </c>
      <c r="AG104">
        <f>SUMIF(RecoveredRaw!$B:$B,$A104,RecoveredRaw!AJ:AJ)</f>
        <v>0</v>
      </c>
      <c r="AH104">
        <f>SUMIF(RecoveredRaw!$B:$B,$A104,RecoveredRaw!AK:AK)</f>
        <v>0</v>
      </c>
      <c r="AI104">
        <f>SUMIF(RecoveredRaw!$B:$B,$A104,RecoveredRaw!AL:AL)</f>
        <v>0</v>
      </c>
      <c r="AJ104">
        <f>SUMIF(RecoveredRaw!$B:$B,$A104,RecoveredRaw!AM:AM)</f>
        <v>0</v>
      </c>
      <c r="AK104">
        <f>SUMIF(RecoveredRaw!$B:$B,$A104,RecoveredRaw!AN:AN)</f>
        <v>0</v>
      </c>
      <c r="AL104">
        <f>SUMIF(RecoveredRaw!$B:$B,$A104,RecoveredRaw!AO:AO)</f>
        <v>0</v>
      </c>
      <c r="AM104">
        <f>SUMIF(RecoveredRaw!$B:$B,$A104,RecoveredRaw!AP:AP)</f>
        <v>0</v>
      </c>
      <c r="AN104">
        <f>SUMIF(RecoveredRaw!$B:$B,$A104,RecoveredRaw!AQ:AQ)</f>
        <v>0</v>
      </c>
      <c r="AO104">
        <f>SUMIF(RecoveredRaw!$B:$B,$A104,RecoveredRaw!AR:AR)</f>
        <v>0</v>
      </c>
      <c r="AP104">
        <f>SUMIF(RecoveredRaw!$B:$B,$A104,RecoveredRaw!AS:AS)</f>
        <v>0</v>
      </c>
      <c r="AQ104">
        <f>SUMIF(RecoveredRaw!$B:$B,$A104,RecoveredRaw!AT:AT)</f>
        <v>0</v>
      </c>
      <c r="AR104">
        <f>SUMIF(RecoveredRaw!$B:$B,$A104,RecoveredRaw!AU:AU)</f>
        <v>0</v>
      </c>
      <c r="AS104">
        <f>SUMIF(RecoveredRaw!$B:$B,$A104,RecoveredRaw!AV:AV)</f>
        <v>0</v>
      </c>
      <c r="AT104">
        <f>SUMIF(RecoveredRaw!$B:$B,$A104,RecoveredRaw!AW:AW)</f>
        <v>0</v>
      </c>
      <c r="AU104">
        <f>SUMIF(RecoveredRaw!$B:$B,$A104,RecoveredRaw!AX:AX)</f>
        <v>0</v>
      </c>
      <c r="AV104">
        <f>SUMIF(RecoveredRaw!$B:$B,$A104,RecoveredRaw!AY:AY)</f>
        <v>0</v>
      </c>
      <c r="AW104">
        <f>SUMIF(RecoveredRaw!$B:$B,$A104,RecoveredRaw!AZ:AZ)</f>
        <v>0</v>
      </c>
      <c r="AX104">
        <f>SUMIF(RecoveredRaw!$B:$B,$A104,RecoveredRaw!BA:BA)</f>
        <v>0</v>
      </c>
      <c r="AY104">
        <f>SUMIF(RecoveredRaw!$B:$B,$A104,RecoveredRaw!BB:BB)</f>
        <v>0</v>
      </c>
      <c r="AZ104">
        <f>SUMIF(RecoveredRaw!$B:$B,$A104,RecoveredRaw!BC:BC)</f>
        <v>0</v>
      </c>
      <c r="BA104">
        <f>SUMIF(RecoveredRaw!$B:$B,$A104,RecoveredRaw!BD:BD)</f>
        <v>0</v>
      </c>
      <c r="BB104">
        <f>SUMIF(RecoveredRaw!$B:$B,$A104,RecoveredRaw!BE:BE)</f>
        <v>0</v>
      </c>
      <c r="BC104">
        <f>SUMIF(RecoveredRaw!$B:$B,$A104,RecoveredRaw!BF:BF)</f>
        <v>0</v>
      </c>
      <c r="BD104">
        <f>SUMIF(RecoveredRaw!$B:$B,$A104,RecoveredRaw!BG:BG)</f>
        <v>0</v>
      </c>
      <c r="BE104">
        <f>SUMIF(RecoveredRaw!$B:$B,$A104,RecoveredRaw!BH:BH)</f>
        <v>0</v>
      </c>
      <c r="BF104">
        <f>SUMIF(RecoveredRaw!$B:$B,$A104,RecoveredRaw!BI:BI)</f>
        <v>0</v>
      </c>
      <c r="BG104">
        <f>SUMIF(RecoveredRaw!$B:$B,$A104,RecoveredRaw!BJ:BJ)</f>
        <v>0</v>
      </c>
      <c r="BH104">
        <f>SUMIF(RecoveredRaw!$B:$B,$A104,RecoveredRaw!BK:BK)</f>
        <v>0</v>
      </c>
      <c r="BI104">
        <f>SUMIF(RecoveredRaw!$B:$B,$A104,RecoveredRaw!BL:BL)</f>
        <v>0</v>
      </c>
      <c r="BJ104">
        <f>SUMIF(RecoveredRaw!$B:$B,$A104,RecoveredRaw!BM:BM)</f>
        <v>0</v>
      </c>
      <c r="BK104">
        <f>SUMIF(RecoveredRaw!$B:$B,$A104,RecoveredRaw!BN:BN)</f>
        <v>0</v>
      </c>
      <c r="BL104">
        <f>SUMIF(RecoveredRaw!$B:$B,$A104,RecoveredRaw!BO:BO)</f>
        <v>0</v>
      </c>
      <c r="BM104">
        <f>SUMIF(RecoveredRaw!$B:$B,$A104,RecoveredRaw!BP:BP)</f>
        <v>0</v>
      </c>
      <c r="BN104">
        <f>SUMIF(RecoveredRaw!$B:$B,$A104,RecoveredRaw!BQ:BQ)</f>
        <v>0</v>
      </c>
      <c r="BO104">
        <f>SUMIF(RecoveredRaw!$B:$B,$A104,RecoveredRaw!BR:BR)</f>
        <v>0</v>
      </c>
      <c r="BP104">
        <f>SUMIF(RecoveredRaw!$B:$B,$A104,RecoveredRaw!BS:BS)</f>
        <v>0</v>
      </c>
      <c r="BQ104">
        <f>SUMIF(RecoveredRaw!$B:$B,$A104,RecoveredRaw!BT:BT)</f>
        <v>0</v>
      </c>
      <c r="BR104">
        <f>SUMIF(RecoveredRaw!$B:$B,$A104,RecoveredRaw!BU:BU)</f>
        <v>0</v>
      </c>
      <c r="BS104">
        <f>SUMIF(RecoveredRaw!$B:$B,$A104,RecoveredRaw!BV:BV)</f>
        <v>0</v>
      </c>
      <c r="BT104">
        <f>SUMIF(RecoveredRaw!$B:$B,$A104,RecoveredRaw!BW:BW)</f>
        <v>0</v>
      </c>
    </row>
    <row r="105" spans="1:72" ht="15" thickBot="1" x14ac:dyDescent="0.35">
      <c r="A105" s="3" t="s">
        <v>157</v>
      </c>
      <c r="B105">
        <f>SUMIF(RecoveredRaw!$B:$B,$A105,RecoveredRaw!E:E)</f>
        <v>0</v>
      </c>
      <c r="C105">
        <f>SUMIF(RecoveredRaw!$B:$B,$A105,RecoveredRaw!F:F)</f>
        <v>0</v>
      </c>
      <c r="D105">
        <f>SUMIF(RecoveredRaw!$B:$B,$A105,RecoveredRaw!G:G)</f>
        <v>0</v>
      </c>
      <c r="E105">
        <f>SUMIF(RecoveredRaw!$B:$B,$A105,RecoveredRaw!H:H)</f>
        <v>0</v>
      </c>
      <c r="F105">
        <f>SUMIF(RecoveredRaw!$B:$B,$A105,RecoveredRaw!I:I)</f>
        <v>0</v>
      </c>
      <c r="G105">
        <f>SUMIF(RecoveredRaw!$B:$B,$A105,RecoveredRaw!J:J)</f>
        <v>0</v>
      </c>
      <c r="H105">
        <f>SUMIF(RecoveredRaw!$B:$B,$A105,RecoveredRaw!K:K)</f>
        <v>0</v>
      </c>
      <c r="I105">
        <f>SUMIF(RecoveredRaw!$B:$B,$A105,RecoveredRaw!L:L)</f>
        <v>0</v>
      </c>
      <c r="J105">
        <f>SUMIF(RecoveredRaw!$B:$B,$A105,RecoveredRaw!M:M)</f>
        <v>0</v>
      </c>
      <c r="K105">
        <f>SUMIF(RecoveredRaw!$B:$B,$A105,RecoveredRaw!N:N)</f>
        <v>0</v>
      </c>
      <c r="L105">
        <f>SUMIF(RecoveredRaw!$B:$B,$A105,RecoveredRaw!O:O)</f>
        <v>0</v>
      </c>
      <c r="M105">
        <f>SUMIF(RecoveredRaw!$B:$B,$A105,RecoveredRaw!P:P)</f>
        <v>0</v>
      </c>
      <c r="N105">
        <f>SUMIF(RecoveredRaw!$B:$B,$A105,RecoveredRaw!Q:Q)</f>
        <v>0</v>
      </c>
      <c r="O105">
        <f>SUMIF(RecoveredRaw!$B:$B,$A105,RecoveredRaw!R:R)</f>
        <v>0</v>
      </c>
      <c r="P105">
        <f>SUMIF(RecoveredRaw!$B:$B,$A105,RecoveredRaw!S:S)</f>
        <v>0</v>
      </c>
      <c r="Q105">
        <f>SUMIF(RecoveredRaw!$B:$B,$A105,RecoveredRaw!T:T)</f>
        <v>0</v>
      </c>
      <c r="R105">
        <f>SUMIF(RecoveredRaw!$B:$B,$A105,RecoveredRaw!U:U)</f>
        <v>0</v>
      </c>
      <c r="S105">
        <f>SUMIF(RecoveredRaw!$B:$B,$A105,RecoveredRaw!V:V)</f>
        <v>0</v>
      </c>
      <c r="T105">
        <f>SUMIF(RecoveredRaw!$B:$B,$A105,RecoveredRaw!W:W)</f>
        <v>0</v>
      </c>
      <c r="U105">
        <f>SUMIF(RecoveredRaw!$B:$B,$A105,RecoveredRaw!X:X)</f>
        <v>0</v>
      </c>
      <c r="V105">
        <f>SUMIF(RecoveredRaw!$B:$B,$A105,RecoveredRaw!Y:Y)</f>
        <v>0</v>
      </c>
      <c r="W105">
        <f>SUMIF(RecoveredRaw!$B:$B,$A105,RecoveredRaw!Z:Z)</f>
        <v>0</v>
      </c>
      <c r="X105">
        <f>SUMIF(RecoveredRaw!$B:$B,$A105,RecoveredRaw!AA:AA)</f>
        <v>0</v>
      </c>
      <c r="Y105">
        <f>SUMIF(RecoveredRaw!$B:$B,$A105,RecoveredRaw!AB:AB)</f>
        <v>0</v>
      </c>
      <c r="Z105">
        <f>SUMIF(RecoveredRaw!$B:$B,$A105,RecoveredRaw!AC:AC)</f>
        <v>0</v>
      </c>
      <c r="AA105">
        <f>SUMIF(RecoveredRaw!$B:$B,$A105,RecoveredRaw!AD:AD)</f>
        <v>0</v>
      </c>
      <c r="AB105">
        <f>SUMIF(RecoveredRaw!$B:$B,$A105,RecoveredRaw!AE:AE)</f>
        <v>0</v>
      </c>
      <c r="AC105">
        <f>SUMIF(RecoveredRaw!$B:$B,$A105,RecoveredRaw!AF:AF)</f>
        <v>0</v>
      </c>
      <c r="AD105">
        <f>SUMIF(RecoveredRaw!$B:$B,$A105,RecoveredRaw!AG:AG)</f>
        <v>0</v>
      </c>
      <c r="AE105">
        <f>SUMIF(RecoveredRaw!$B:$B,$A105,RecoveredRaw!AH:AH)</f>
        <v>0</v>
      </c>
      <c r="AF105">
        <f>SUMIF(RecoveredRaw!$B:$B,$A105,RecoveredRaw!AI:AI)</f>
        <v>0</v>
      </c>
      <c r="AG105">
        <f>SUMIF(RecoveredRaw!$B:$B,$A105,RecoveredRaw!AJ:AJ)</f>
        <v>0</v>
      </c>
      <c r="AH105">
        <f>SUMIF(RecoveredRaw!$B:$B,$A105,RecoveredRaw!AK:AK)</f>
        <v>0</v>
      </c>
      <c r="AI105">
        <f>SUMIF(RecoveredRaw!$B:$B,$A105,RecoveredRaw!AL:AL)</f>
        <v>0</v>
      </c>
      <c r="AJ105">
        <f>SUMIF(RecoveredRaw!$B:$B,$A105,RecoveredRaw!AM:AM)</f>
        <v>0</v>
      </c>
      <c r="AK105">
        <f>SUMIF(RecoveredRaw!$B:$B,$A105,RecoveredRaw!AN:AN)</f>
        <v>0</v>
      </c>
      <c r="AL105">
        <f>SUMIF(RecoveredRaw!$B:$B,$A105,RecoveredRaw!AO:AO)</f>
        <v>0</v>
      </c>
      <c r="AM105">
        <f>SUMIF(RecoveredRaw!$B:$B,$A105,RecoveredRaw!AP:AP)</f>
        <v>0</v>
      </c>
      <c r="AN105">
        <f>SUMIF(RecoveredRaw!$B:$B,$A105,RecoveredRaw!AQ:AQ)</f>
        <v>0</v>
      </c>
      <c r="AO105">
        <f>SUMIF(RecoveredRaw!$B:$B,$A105,RecoveredRaw!AR:AR)</f>
        <v>0</v>
      </c>
      <c r="AP105">
        <f>SUMIF(RecoveredRaw!$B:$B,$A105,RecoveredRaw!AS:AS)</f>
        <v>0</v>
      </c>
      <c r="AQ105">
        <f>SUMIF(RecoveredRaw!$B:$B,$A105,RecoveredRaw!AT:AT)</f>
        <v>0</v>
      </c>
      <c r="AR105">
        <f>SUMIF(RecoveredRaw!$B:$B,$A105,RecoveredRaw!AU:AU)</f>
        <v>0</v>
      </c>
      <c r="AS105">
        <f>SUMIF(RecoveredRaw!$B:$B,$A105,RecoveredRaw!AV:AV)</f>
        <v>0</v>
      </c>
      <c r="AT105">
        <f>SUMIF(RecoveredRaw!$B:$B,$A105,RecoveredRaw!AW:AW)</f>
        <v>0</v>
      </c>
      <c r="AU105">
        <f>SUMIF(RecoveredRaw!$B:$B,$A105,RecoveredRaw!AX:AX)</f>
        <v>0</v>
      </c>
      <c r="AV105">
        <f>SUMIF(RecoveredRaw!$B:$B,$A105,RecoveredRaw!AY:AY)</f>
        <v>0</v>
      </c>
      <c r="AW105">
        <f>SUMIF(RecoveredRaw!$B:$B,$A105,RecoveredRaw!AZ:AZ)</f>
        <v>0</v>
      </c>
      <c r="AX105">
        <f>SUMIF(RecoveredRaw!$B:$B,$A105,RecoveredRaw!BA:BA)</f>
        <v>0</v>
      </c>
      <c r="AY105">
        <f>SUMIF(RecoveredRaw!$B:$B,$A105,RecoveredRaw!BB:BB)</f>
        <v>0</v>
      </c>
      <c r="AZ105">
        <f>SUMIF(RecoveredRaw!$B:$B,$A105,RecoveredRaw!BC:BC)</f>
        <v>0</v>
      </c>
      <c r="BA105">
        <f>SUMIF(RecoveredRaw!$B:$B,$A105,RecoveredRaw!BD:BD)</f>
        <v>0</v>
      </c>
      <c r="BB105">
        <f>SUMIF(RecoveredRaw!$B:$B,$A105,RecoveredRaw!BE:BE)</f>
        <v>0</v>
      </c>
      <c r="BC105">
        <f>SUMIF(RecoveredRaw!$B:$B,$A105,RecoveredRaw!BF:BF)</f>
        <v>0</v>
      </c>
      <c r="BD105">
        <f>SUMIF(RecoveredRaw!$B:$B,$A105,RecoveredRaw!BG:BG)</f>
        <v>0</v>
      </c>
      <c r="BE105">
        <f>SUMIF(RecoveredRaw!$B:$B,$A105,RecoveredRaw!BH:BH)</f>
        <v>0</v>
      </c>
      <c r="BF105">
        <f>SUMIF(RecoveredRaw!$B:$B,$A105,RecoveredRaw!BI:BI)</f>
        <v>0</v>
      </c>
      <c r="BG105">
        <f>SUMIF(RecoveredRaw!$B:$B,$A105,RecoveredRaw!BJ:BJ)</f>
        <v>0</v>
      </c>
      <c r="BH105">
        <f>SUMIF(RecoveredRaw!$B:$B,$A105,RecoveredRaw!BK:BK)</f>
        <v>0</v>
      </c>
      <c r="BI105">
        <f>SUMIF(RecoveredRaw!$B:$B,$A105,RecoveredRaw!BL:BL)</f>
        <v>0</v>
      </c>
      <c r="BJ105">
        <f>SUMIF(RecoveredRaw!$B:$B,$A105,RecoveredRaw!BM:BM)</f>
        <v>0</v>
      </c>
      <c r="BK105">
        <f>SUMIF(RecoveredRaw!$B:$B,$A105,RecoveredRaw!BN:BN)</f>
        <v>0</v>
      </c>
      <c r="BL105">
        <f>SUMIF(RecoveredRaw!$B:$B,$A105,RecoveredRaw!BO:BO)</f>
        <v>0</v>
      </c>
      <c r="BM105">
        <f>SUMIF(RecoveredRaw!$B:$B,$A105,RecoveredRaw!BP:BP)</f>
        <v>0</v>
      </c>
      <c r="BN105">
        <f>SUMIF(RecoveredRaw!$B:$B,$A105,RecoveredRaw!BQ:BQ)</f>
        <v>0</v>
      </c>
      <c r="BO105">
        <f>SUMIF(RecoveredRaw!$B:$B,$A105,RecoveredRaw!BR:BR)</f>
        <v>0</v>
      </c>
      <c r="BP105">
        <f>SUMIF(RecoveredRaw!$B:$B,$A105,RecoveredRaw!BS:BS)</f>
        <v>0</v>
      </c>
      <c r="BQ105">
        <f>SUMIF(RecoveredRaw!$B:$B,$A105,RecoveredRaw!BT:BT)</f>
        <v>0</v>
      </c>
      <c r="BR105">
        <f>SUMIF(RecoveredRaw!$B:$B,$A105,RecoveredRaw!BU:BU)</f>
        <v>0</v>
      </c>
      <c r="BS105">
        <f>SUMIF(RecoveredRaw!$B:$B,$A105,RecoveredRaw!BV:BV)</f>
        <v>0</v>
      </c>
      <c r="BT105">
        <f>SUMIF(RecoveredRaw!$B:$B,$A105,RecoveredRaw!BW:BW)</f>
        <v>0</v>
      </c>
    </row>
    <row r="106" spans="1:72" ht="15" thickBot="1" x14ac:dyDescent="0.35">
      <c r="A106" s="4" t="s">
        <v>351</v>
      </c>
      <c r="B106">
        <f>SUMIF(RecoveredRaw!$B:$B,$A106,RecoveredRaw!E:E)</f>
        <v>0</v>
      </c>
      <c r="C106">
        <f>SUMIF(RecoveredRaw!$B:$B,$A106,RecoveredRaw!F:F)</f>
        <v>0</v>
      </c>
      <c r="D106">
        <f>SUMIF(RecoveredRaw!$B:$B,$A106,RecoveredRaw!G:G)</f>
        <v>0</v>
      </c>
      <c r="E106">
        <f>SUMIF(RecoveredRaw!$B:$B,$A106,RecoveredRaw!H:H)</f>
        <v>0</v>
      </c>
      <c r="F106">
        <f>SUMIF(RecoveredRaw!$B:$B,$A106,RecoveredRaw!I:I)</f>
        <v>0</v>
      </c>
      <c r="G106">
        <f>SUMIF(RecoveredRaw!$B:$B,$A106,RecoveredRaw!J:J)</f>
        <v>0</v>
      </c>
      <c r="H106">
        <f>SUMIF(RecoveredRaw!$B:$B,$A106,RecoveredRaw!K:K)</f>
        <v>0</v>
      </c>
      <c r="I106">
        <f>SUMIF(RecoveredRaw!$B:$B,$A106,RecoveredRaw!L:L)</f>
        <v>0</v>
      </c>
      <c r="J106">
        <f>SUMIF(RecoveredRaw!$B:$B,$A106,RecoveredRaw!M:M)</f>
        <v>0</v>
      </c>
      <c r="K106">
        <f>SUMIF(RecoveredRaw!$B:$B,$A106,RecoveredRaw!N:N)</f>
        <v>0</v>
      </c>
      <c r="L106">
        <f>SUMIF(RecoveredRaw!$B:$B,$A106,RecoveredRaw!O:O)</f>
        <v>0</v>
      </c>
      <c r="M106">
        <f>SUMIF(RecoveredRaw!$B:$B,$A106,RecoveredRaw!P:P)</f>
        <v>0</v>
      </c>
      <c r="N106">
        <f>SUMIF(RecoveredRaw!$B:$B,$A106,RecoveredRaw!Q:Q)</f>
        <v>0</v>
      </c>
      <c r="O106">
        <f>SUMIF(RecoveredRaw!$B:$B,$A106,RecoveredRaw!R:R)</f>
        <v>0</v>
      </c>
      <c r="P106">
        <f>SUMIF(RecoveredRaw!$B:$B,$A106,RecoveredRaw!S:S)</f>
        <v>0</v>
      </c>
      <c r="Q106">
        <f>SUMIF(RecoveredRaw!$B:$B,$A106,RecoveredRaw!T:T)</f>
        <v>0</v>
      </c>
      <c r="R106">
        <f>SUMIF(RecoveredRaw!$B:$B,$A106,RecoveredRaw!U:U)</f>
        <v>0</v>
      </c>
      <c r="S106">
        <f>SUMIF(RecoveredRaw!$B:$B,$A106,RecoveredRaw!V:V)</f>
        <v>0</v>
      </c>
      <c r="T106">
        <f>SUMIF(RecoveredRaw!$B:$B,$A106,RecoveredRaw!W:W)</f>
        <v>0</v>
      </c>
      <c r="U106">
        <f>SUMIF(RecoveredRaw!$B:$B,$A106,RecoveredRaw!X:X)</f>
        <v>0</v>
      </c>
      <c r="V106">
        <f>SUMIF(RecoveredRaw!$B:$B,$A106,RecoveredRaw!Y:Y)</f>
        <v>0</v>
      </c>
      <c r="W106">
        <f>SUMIF(RecoveredRaw!$B:$B,$A106,RecoveredRaw!Z:Z)</f>
        <v>0</v>
      </c>
      <c r="X106">
        <f>SUMIF(RecoveredRaw!$B:$B,$A106,RecoveredRaw!AA:AA)</f>
        <v>0</v>
      </c>
      <c r="Y106">
        <f>SUMIF(RecoveredRaw!$B:$B,$A106,RecoveredRaw!AB:AB)</f>
        <v>0</v>
      </c>
      <c r="Z106">
        <f>SUMIF(RecoveredRaw!$B:$B,$A106,RecoveredRaw!AC:AC)</f>
        <v>0</v>
      </c>
      <c r="AA106">
        <f>SUMIF(RecoveredRaw!$B:$B,$A106,RecoveredRaw!AD:AD)</f>
        <v>0</v>
      </c>
      <c r="AB106">
        <f>SUMIF(RecoveredRaw!$B:$B,$A106,RecoveredRaw!AE:AE)</f>
        <v>0</v>
      </c>
      <c r="AC106">
        <f>SUMIF(RecoveredRaw!$B:$B,$A106,RecoveredRaw!AF:AF)</f>
        <v>0</v>
      </c>
      <c r="AD106">
        <f>SUMIF(RecoveredRaw!$B:$B,$A106,RecoveredRaw!AG:AG)</f>
        <v>0</v>
      </c>
      <c r="AE106">
        <f>SUMIF(RecoveredRaw!$B:$B,$A106,RecoveredRaw!AH:AH)</f>
        <v>0</v>
      </c>
      <c r="AF106">
        <f>SUMIF(RecoveredRaw!$B:$B,$A106,RecoveredRaw!AI:AI)</f>
        <v>0</v>
      </c>
      <c r="AG106">
        <f>SUMIF(RecoveredRaw!$B:$B,$A106,RecoveredRaw!AJ:AJ)</f>
        <v>0</v>
      </c>
      <c r="AH106">
        <f>SUMIF(RecoveredRaw!$B:$B,$A106,RecoveredRaw!AK:AK)</f>
        <v>0</v>
      </c>
      <c r="AI106">
        <f>SUMIF(RecoveredRaw!$B:$B,$A106,RecoveredRaw!AL:AL)</f>
        <v>0</v>
      </c>
      <c r="AJ106">
        <f>SUMIF(RecoveredRaw!$B:$B,$A106,RecoveredRaw!AM:AM)</f>
        <v>0</v>
      </c>
      <c r="AK106">
        <f>SUMIF(RecoveredRaw!$B:$B,$A106,RecoveredRaw!AN:AN)</f>
        <v>0</v>
      </c>
      <c r="AL106">
        <f>SUMIF(RecoveredRaw!$B:$B,$A106,RecoveredRaw!AO:AO)</f>
        <v>0</v>
      </c>
      <c r="AM106">
        <f>SUMIF(RecoveredRaw!$B:$B,$A106,RecoveredRaw!AP:AP)</f>
        <v>0</v>
      </c>
      <c r="AN106">
        <f>SUMIF(RecoveredRaw!$B:$B,$A106,RecoveredRaw!AQ:AQ)</f>
        <v>0</v>
      </c>
      <c r="AO106">
        <f>SUMIF(RecoveredRaw!$B:$B,$A106,RecoveredRaw!AR:AR)</f>
        <v>0</v>
      </c>
      <c r="AP106">
        <f>SUMIF(RecoveredRaw!$B:$B,$A106,RecoveredRaw!AS:AS)</f>
        <v>0</v>
      </c>
      <c r="AQ106">
        <f>SUMIF(RecoveredRaw!$B:$B,$A106,RecoveredRaw!AT:AT)</f>
        <v>0</v>
      </c>
      <c r="AR106">
        <f>SUMIF(RecoveredRaw!$B:$B,$A106,RecoveredRaw!AU:AU)</f>
        <v>0</v>
      </c>
      <c r="AS106">
        <f>SUMIF(RecoveredRaw!$B:$B,$A106,RecoveredRaw!AV:AV)</f>
        <v>0</v>
      </c>
      <c r="AT106">
        <f>SUMIF(RecoveredRaw!$B:$B,$A106,RecoveredRaw!AW:AW)</f>
        <v>0</v>
      </c>
      <c r="AU106">
        <f>SUMIF(RecoveredRaw!$B:$B,$A106,RecoveredRaw!AX:AX)</f>
        <v>0</v>
      </c>
      <c r="AV106">
        <f>SUMIF(RecoveredRaw!$B:$B,$A106,RecoveredRaw!AY:AY)</f>
        <v>0</v>
      </c>
      <c r="AW106">
        <f>SUMIF(RecoveredRaw!$B:$B,$A106,RecoveredRaw!AZ:AZ)</f>
        <v>0</v>
      </c>
      <c r="AX106">
        <f>SUMIF(RecoveredRaw!$B:$B,$A106,RecoveredRaw!BA:BA)</f>
        <v>0</v>
      </c>
      <c r="AY106">
        <f>SUMIF(RecoveredRaw!$B:$B,$A106,RecoveredRaw!BB:BB)</f>
        <v>0</v>
      </c>
      <c r="AZ106">
        <f>SUMIF(RecoveredRaw!$B:$B,$A106,RecoveredRaw!BC:BC)</f>
        <v>0</v>
      </c>
      <c r="BA106">
        <f>SUMIF(RecoveredRaw!$B:$B,$A106,RecoveredRaw!BD:BD)</f>
        <v>0</v>
      </c>
      <c r="BB106">
        <f>SUMIF(RecoveredRaw!$B:$B,$A106,RecoveredRaw!BE:BE)</f>
        <v>0</v>
      </c>
      <c r="BC106">
        <f>SUMIF(RecoveredRaw!$B:$B,$A106,RecoveredRaw!BF:BF)</f>
        <v>0</v>
      </c>
      <c r="BD106">
        <f>SUMIF(RecoveredRaw!$B:$B,$A106,RecoveredRaw!BG:BG)</f>
        <v>0</v>
      </c>
      <c r="BE106">
        <f>SUMIF(RecoveredRaw!$B:$B,$A106,RecoveredRaw!BH:BH)</f>
        <v>0</v>
      </c>
      <c r="BF106">
        <f>SUMIF(RecoveredRaw!$B:$B,$A106,RecoveredRaw!BI:BI)</f>
        <v>0</v>
      </c>
      <c r="BG106">
        <f>SUMIF(RecoveredRaw!$B:$B,$A106,RecoveredRaw!BJ:BJ)</f>
        <v>0</v>
      </c>
      <c r="BH106">
        <f>SUMIF(RecoveredRaw!$B:$B,$A106,RecoveredRaw!BK:BK)</f>
        <v>0</v>
      </c>
      <c r="BI106">
        <f>SUMIF(RecoveredRaw!$B:$B,$A106,RecoveredRaw!BL:BL)</f>
        <v>0</v>
      </c>
      <c r="BJ106">
        <f>SUMIF(RecoveredRaw!$B:$B,$A106,RecoveredRaw!BM:BM)</f>
        <v>0</v>
      </c>
      <c r="BK106">
        <f>SUMIF(RecoveredRaw!$B:$B,$A106,RecoveredRaw!BN:BN)</f>
        <v>0</v>
      </c>
      <c r="BL106">
        <f>SUMIF(RecoveredRaw!$B:$B,$A106,RecoveredRaw!BO:BO)</f>
        <v>0</v>
      </c>
      <c r="BM106">
        <f>SUMIF(RecoveredRaw!$B:$B,$A106,RecoveredRaw!BP:BP)</f>
        <v>0</v>
      </c>
      <c r="BN106">
        <f>SUMIF(RecoveredRaw!$B:$B,$A106,RecoveredRaw!BQ:BQ)</f>
        <v>0</v>
      </c>
      <c r="BO106">
        <f>SUMIF(RecoveredRaw!$B:$B,$A106,RecoveredRaw!BR:BR)</f>
        <v>0</v>
      </c>
      <c r="BP106">
        <f>SUMIF(RecoveredRaw!$B:$B,$A106,RecoveredRaw!BS:BS)</f>
        <v>0</v>
      </c>
      <c r="BQ106">
        <f>SUMIF(RecoveredRaw!$B:$B,$A106,RecoveredRaw!BT:BT)</f>
        <v>0</v>
      </c>
      <c r="BR106">
        <f>SUMIF(RecoveredRaw!$B:$B,$A106,RecoveredRaw!BU:BU)</f>
        <v>0</v>
      </c>
      <c r="BS106">
        <f>SUMIF(RecoveredRaw!$B:$B,$A106,RecoveredRaw!BV:BV)</f>
        <v>0</v>
      </c>
      <c r="BT106">
        <f>SUMIF(RecoveredRaw!$B:$B,$A106,RecoveredRaw!BW:BW)</f>
        <v>0</v>
      </c>
    </row>
    <row r="107" spans="1:72" ht="15" thickBot="1" x14ac:dyDescent="0.35">
      <c r="A107" s="4" t="s">
        <v>348</v>
      </c>
      <c r="B107">
        <f>SUMIF(RecoveredRaw!$B:$B,$A107,RecoveredRaw!E:E)</f>
        <v>0</v>
      </c>
      <c r="C107">
        <f>SUMIF(RecoveredRaw!$B:$B,$A107,RecoveredRaw!F:F)</f>
        <v>0</v>
      </c>
      <c r="D107">
        <f>SUMIF(RecoveredRaw!$B:$B,$A107,RecoveredRaw!G:G)</f>
        <v>0</v>
      </c>
      <c r="E107">
        <f>SUMIF(RecoveredRaw!$B:$B,$A107,RecoveredRaw!H:H)</f>
        <v>0</v>
      </c>
      <c r="F107">
        <f>SUMIF(RecoveredRaw!$B:$B,$A107,RecoveredRaw!I:I)</f>
        <v>0</v>
      </c>
      <c r="G107">
        <f>SUMIF(RecoveredRaw!$B:$B,$A107,RecoveredRaw!J:J)</f>
        <v>0</v>
      </c>
      <c r="H107">
        <f>SUMIF(RecoveredRaw!$B:$B,$A107,RecoveredRaw!K:K)</f>
        <v>0</v>
      </c>
      <c r="I107">
        <f>SUMIF(RecoveredRaw!$B:$B,$A107,RecoveredRaw!L:L)</f>
        <v>0</v>
      </c>
      <c r="J107">
        <f>SUMIF(RecoveredRaw!$B:$B,$A107,RecoveredRaw!M:M)</f>
        <v>0</v>
      </c>
      <c r="K107">
        <f>SUMIF(RecoveredRaw!$B:$B,$A107,RecoveredRaw!N:N)</f>
        <v>0</v>
      </c>
      <c r="L107">
        <f>SUMIF(RecoveredRaw!$B:$B,$A107,RecoveredRaw!O:O)</f>
        <v>0</v>
      </c>
      <c r="M107">
        <f>SUMIF(RecoveredRaw!$B:$B,$A107,RecoveredRaw!P:P)</f>
        <v>0</v>
      </c>
      <c r="N107">
        <f>SUMIF(RecoveredRaw!$B:$B,$A107,RecoveredRaw!Q:Q)</f>
        <v>0</v>
      </c>
      <c r="O107">
        <f>SUMIF(RecoveredRaw!$B:$B,$A107,RecoveredRaw!R:R)</f>
        <v>0</v>
      </c>
      <c r="P107">
        <f>SUMIF(RecoveredRaw!$B:$B,$A107,RecoveredRaw!S:S)</f>
        <v>0</v>
      </c>
      <c r="Q107">
        <f>SUMIF(RecoveredRaw!$B:$B,$A107,RecoveredRaw!T:T)</f>
        <v>0</v>
      </c>
      <c r="R107">
        <f>SUMIF(RecoveredRaw!$B:$B,$A107,RecoveredRaw!U:U)</f>
        <v>0</v>
      </c>
      <c r="S107">
        <f>SUMIF(RecoveredRaw!$B:$B,$A107,RecoveredRaw!V:V)</f>
        <v>0</v>
      </c>
      <c r="T107">
        <f>SUMIF(RecoveredRaw!$B:$B,$A107,RecoveredRaw!W:W)</f>
        <v>0</v>
      </c>
      <c r="U107">
        <f>SUMIF(RecoveredRaw!$B:$B,$A107,RecoveredRaw!X:X)</f>
        <v>0</v>
      </c>
      <c r="V107">
        <f>SUMIF(RecoveredRaw!$B:$B,$A107,RecoveredRaw!Y:Y)</f>
        <v>0</v>
      </c>
      <c r="W107">
        <f>SUMIF(RecoveredRaw!$B:$B,$A107,RecoveredRaw!Z:Z)</f>
        <v>0</v>
      </c>
      <c r="X107">
        <f>SUMIF(RecoveredRaw!$B:$B,$A107,RecoveredRaw!AA:AA)</f>
        <v>0</v>
      </c>
      <c r="Y107">
        <f>SUMIF(RecoveredRaw!$B:$B,$A107,RecoveredRaw!AB:AB)</f>
        <v>0</v>
      </c>
      <c r="Z107">
        <f>SUMIF(RecoveredRaw!$B:$B,$A107,RecoveredRaw!AC:AC)</f>
        <v>0</v>
      </c>
      <c r="AA107">
        <f>SUMIF(RecoveredRaw!$B:$B,$A107,RecoveredRaw!AD:AD)</f>
        <v>0</v>
      </c>
      <c r="AB107">
        <f>SUMIF(RecoveredRaw!$B:$B,$A107,RecoveredRaw!AE:AE)</f>
        <v>0</v>
      </c>
      <c r="AC107">
        <f>SUMIF(RecoveredRaw!$B:$B,$A107,RecoveredRaw!AF:AF)</f>
        <v>0</v>
      </c>
      <c r="AD107">
        <f>SUMIF(RecoveredRaw!$B:$B,$A107,RecoveredRaw!AG:AG)</f>
        <v>0</v>
      </c>
      <c r="AE107">
        <f>SUMIF(RecoveredRaw!$B:$B,$A107,RecoveredRaw!AH:AH)</f>
        <v>0</v>
      </c>
      <c r="AF107">
        <f>SUMIF(RecoveredRaw!$B:$B,$A107,RecoveredRaw!AI:AI)</f>
        <v>0</v>
      </c>
      <c r="AG107">
        <f>SUMIF(RecoveredRaw!$B:$B,$A107,RecoveredRaw!AJ:AJ)</f>
        <v>0</v>
      </c>
      <c r="AH107">
        <f>SUMIF(RecoveredRaw!$B:$B,$A107,RecoveredRaw!AK:AK)</f>
        <v>0</v>
      </c>
      <c r="AI107">
        <f>SUMIF(RecoveredRaw!$B:$B,$A107,RecoveredRaw!AL:AL)</f>
        <v>0</v>
      </c>
      <c r="AJ107">
        <f>SUMIF(RecoveredRaw!$B:$B,$A107,RecoveredRaw!AM:AM)</f>
        <v>0</v>
      </c>
      <c r="AK107">
        <f>SUMIF(RecoveredRaw!$B:$B,$A107,RecoveredRaw!AN:AN)</f>
        <v>0</v>
      </c>
      <c r="AL107">
        <f>SUMIF(RecoveredRaw!$B:$B,$A107,RecoveredRaw!AO:AO)</f>
        <v>0</v>
      </c>
      <c r="AM107">
        <f>SUMIF(RecoveredRaw!$B:$B,$A107,RecoveredRaw!AP:AP)</f>
        <v>0</v>
      </c>
      <c r="AN107">
        <f>SUMIF(RecoveredRaw!$B:$B,$A107,RecoveredRaw!AQ:AQ)</f>
        <v>0</v>
      </c>
      <c r="AO107">
        <f>SUMIF(RecoveredRaw!$B:$B,$A107,RecoveredRaw!AR:AR)</f>
        <v>0</v>
      </c>
      <c r="AP107">
        <f>SUMIF(RecoveredRaw!$B:$B,$A107,RecoveredRaw!AS:AS)</f>
        <v>0</v>
      </c>
      <c r="AQ107">
        <f>SUMIF(RecoveredRaw!$B:$B,$A107,RecoveredRaw!AT:AT)</f>
        <v>0</v>
      </c>
      <c r="AR107">
        <f>SUMIF(RecoveredRaw!$B:$B,$A107,RecoveredRaw!AU:AU)</f>
        <v>0</v>
      </c>
      <c r="AS107">
        <f>SUMIF(RecoveredRaw!$B:$B,$A107,RecoveredRaw!AV:AV)</f>
        <v>0</v>
      </c>
      <c r="AT107">
        <f>SUMIF(RecoveredRaw!$B:$B,$A107,RecoveredRaw!AW:AW)</f>
        <v>0</v>
      </c>
      <c r="AU107">
        <f>SUMIF(RecoveredRaw!$B:$B,$A107,RecoveredRaw!AX:AX)</f>
        <v>0</v>
      </c>
      <c r="AV107">
        <f>SUMIF(RecoveredRaw!$B:$B,$A107,RecoveredRaw!AY:AY)</f>
        <v>0</v>
      </c>
      <c r="AW107">
        <f>SUMIF(RecoveredRaw!$B:$B,$A107,RecoveredRaw!AZ:AZ)</f>
        <v>0</v>
      </c>
      <c r="AX107">
        <f>SUMIF(RecoveredRaw!$B:$B,$A107,RecoveredRaw!BA:BA)</f>
        <v>0</v>
      </c>
      <c r="AY107">
        <f>SUMIF(RecoveredRaw!$B:$B,$A107,RecoveredRaw!BB:BB)</f>
        <v>0</v>
      </c>
      <c r="AZ107">
        <f>SUMIF(RecoveredRaw!$B:$B,$A107,RecoveredRaw!BC:BC)</f>
        <v>0</v>
      </c>
      <c r="BA107">
        <f>SUMIF(RecoveredRaw!$B:$B,$A107,RecoveredRaw!BD:BD)</f>
        <v>0</v>
      </c>
      <c r="BB107">
        <f>SUMIF(RecoveredRaw!$B:$B,$A107,RecoveredRaw!BE:BE)</f>
        <v>0</v>
      </c>
      <c r="BC107">
        <f>SUMIF(RecoveredRaw!$B:$B,$A107,RecoveredRaw!BF:BF)</f>
        <v>0</v>
      </c>
      <c r="BD107">
        <f>SUMIF(RecoveredRaw!$B:$B,$A107,RecoveredRaw!BG:BG)</f>
        <v>0</v>
      </c>
      <c r="BE107">
        <f>SUMIF(RecoveredRaw!$B:$B,$A107,RecoveredRaw!BH:BH)</f>
        <v>0</v>
      </c>
      <c r="BF107">
        <f>SUMIF(RecoveredRaw!$B:$B,$A107,RecoveredRaw!BI:BI)</f>
        <v>0</v>
      </c>
      <c r="BG107">
        <f>SUMIF(RecoveredRaw!$B:$B,$A107,RecoveredRaw!BJ:BJ)</f>
        <v>0</v>
      </c>
      <c r="BH107">
        <f>SUMIF(RecoveredRaw!$B:$B,$A107,RecoveredRaw!BK:BK)</f>
        <v>0</v>
      </c>
      <c r="BI107">
        <f>SUMIF(RecoveredRaw!$B:$B,$A107,RecoveredRaw!BL:BL)</f>
        <v>0</v>
      </c>
      <c r="BJ107">
        <f>SUMIF(RecoveredRaw!$B:$B,$A107,RecoveredRaw!BM:BM)</f>
        <v>0</v>
      </c>
      <c r="BK107">
        <f>SUMIF(RecoveredRaw!$B:$B,$A107,RecoveredRaw!BN:BN)</f>
        <v>0</v>
      </c>
      <c r="BL107">
        <f>SUMIF(RecoveredRaw!$B:$B,$A107,RecoveredRaw!BO:BO)</f>
        <v>0</v>
      </c>
      <c r="BM107">
        <f>SUMIF(RecoveredRaw!$B:$B,$A107,RecoveredRaw!BP:BP)</f>
        <v>0</v>
      </c>
      <c r="BN107">
        <f>SUMIF(RecoveredRaw!$B:$B,$A107,RecoveredRaw!BQ:BQ)</f>
        <v>0</v>
      </c>
      <c r="BO107">
        <f>SUMIF(RecoveredRaw!$B:$B,$A107,RecoveredRaw!BR:BR)</f>
        <v>0</v>
      </c>
      <c r="BP107">
        <f>SUMIF(RecoveredRaw!$B:$B,$A107,RecoveredRaw!BS:BS)</f>
        <v>0</v>
      </c>
      <c r="BQ107">
        <f>SUMIF(RecoveredRaw!$B:$B,$A107,RecoveredRaw!BT:BT)</f>
        <v>0</v>
      </c>
      <c r="BR107">
        <f>SUMIF(RecoveredRaw!$B:$B,$A107,RecoveredRaw!BU:BU)</f>
        <v>0</v>
      </c>
      <c r="BS107">
        <f>SUMIF(RecoveredRaw!$B:$B,$A107,RecoveredRaw!BV:BV)</f>
        <v>0</v>
      </c>
      <c r="BT107">
        <f>SUMIF(RecoveredRaw!$B:$B,$A107,RecoveredRaw!BW:BW)</f>
        <v>0</v>
      </c>
    </row>
    <row r="108" spans="1:72" ht="15" thickBot="1" x14ac:dyDescent="0.35">
      <c r="A108" s="4" t="s">
        <v>100</v>
      </c>
      <c r="B108">
        <f>SUMIF(RecoveredRaw!$B:$B,$A108,RecoveredRaw!E:E)</f>
        <v>0</v>
      </c>
      <c r="C108">
        <f>SUMIF(RecoveredRaw!$B:$B,$A108,RecoveredRaw!F:F)</f>
        <v>0</v>
      </c>
      <c r="D108">
        <f>SUMIF(RecoveredRaw!$B:$B,$A108,RecoveredRaw!G:G)</f>
        <v>0</v>
      </c>
      <c r="E108">
        <f>SUMIF(RecoveredRaw!$B:$B,$A108,RecoveredRaw!H:H)</f>
        <v>0</v>
      </c>
      <c r="F108">
        <f>SUMIF(RecoveredRaw!$B:$B,$A108,RecoveredRaw!I:I)</f>
        <v>0</v>
      </c>
      <c r="G108">
        <f>SUMIF(RecoveredRaw!$B:$B,$A108,RecoveredRaw!J:J)</f>
        <v>0</v>
      </c>
      <c r="H108">
        <f>SUMIF(RecoveredRaw!$B:$B,$A108,RecoveredRaw!K:K)</f>
        <v>0</v>
      </c>
      <c r="I108">
        <f>SUMIF(RecoveredRaw!$B:$B,$A108,RecoveredRaw!L:L)</f>
        <v>0</v>
      </c>
      <c r="J108">
        <f>SUMIF(RecoveredRaw!$B:$B,$A108,RecoveredRaw!M:M)</f>
        <v>0</v>
      </c>
      <c r="K108">
        <f>SUMIF(RecoveredRaw!$B:$B,$A108,RecoveredRaw!N:N)</f>
        <v>0</v>
      </c>
      <c r="L108">
        <f>SUMIF(RecoveredRaw!$B:$B,$A108,RecoveredRaw!O:O)</f>
        <v>0</v>
      </c>
      <c r="M108">
        <f>SUMIF(RecoveredRaw!$B:$B,$A108,RecoveredRaw!P:P)</f>
        <v>0</v>
      </c>
      <c r="N108">
        <f>SUMIF(RecoveredRaw!$B:$B,$A108,RecoveredRaw!Q:Q)</f>
        <v>0</v>
      </c>
      <c r="O108">
        <f>SUMIF(RecoveredRaw!$B:$B,$A108,RecoveredRaw!R:R)</f>
        <v>0</v>
      </c>
      <c r="P108">
        <f>SUMIF(RecoveredRaw!$B:$B,$A108,RecoveredRaw!S:S)</f>
        <v>0</v>
      </c>
      <c r="Q108">
        <f>SUMIF(RecoveredRaw!$B:$B,$A108,RecoveredRaw!T:T)</f>
        <v>0</v>
      </c>
      <c r="R108">
        <f>SUMIF(RecoveredRaw!$B:$B,$A108,RecoveredRaw!U:U)</f>
        <v>0</v>
      </c>
      <c r="S108">
        <f>SUMIF(RecoveredRaw!$B:$B,$A108,RecoveredRaw!V:V)</f>
        <v>0</v>
      </c>
      <c r="T108">
        <f>SUMIF(RecoveredRaw!$B:$B,$A108,RecoveredRaw!W:W)</f>
        <v>0</v>
      </c>
      <c r="U108">
        <f>SUMIF(RecoveredRaw!$B:$B,$A108,RecoveredRaw!X:X)</f>
        <v>0</v>
      </c>
      <c r="V108">
        <f>SUMIF(RecoveredRaw!$B:$B,$A108,RecoveredRaw!Y:Y)</f>
        <v>0</v>
      </c>
      <c r="W108">
        <f>SUMIF(RecoveredRaw!$B:$B,$A108,RecoveredRaw!Z:Z)</f>
        <v>0</v>
      </c>
      <c r="X108">
        <f>SUMIF(RecoveredRaw!$B:$B,$A108,RecoveredRaw!AA:AA)</f>
        <v>0</v>
      </c>
      <c r="Y108">
        <f>SUMIF(RecoveredRaw!$B:$B,$A108,RecoveredRaw!AB:AB)</f>
        <v>0</v>
      </c>
      <c r="Z108">
        <f>SUMIF(RecoveredRaw!$B:$B,$A108,RecoveredRaw!AC:AC)</f>
        <v>0</v>
      </c>
      <c r="AA108">
        <f>SUMIF(RecoveredRaw!$B:$B,$A108,RecoveredRaw!AD:AD)</f>
        <v>0</v>
      </c>
      <c r="AB108">
        <f>SUMIF(RecoveredRaw!$B:$B,$A108,RecoveredRaw!AE:AE)</f>
        <v>0</v>
      </c>
      <c r="AC108">
        <f>SUMIF(RecoveredRaw!$B:$B,$A108,RecoveredRaw!AF:AF)</f>
        <v>0</v>
      </c>
      <c r="AD108">
        <f>SUMIF(RecoveredRaw!$B:$B,$A108,RecoveredRaw!AG:AG)</f>
        <v>0</v>
      </c>
      <c r="AE108">
        <f>SUMIF(RecoveredRaw!$B:$B,$A108,RecoveredRaw!AH:AH)</f>
        <v>0</v>
      </c>
      <c r="AF108">
        <f>SUMIF(RecoveredRaw!$B:$B,$A108,RecoveredRaw!AI:AI)</f>
        <v>0</v>
      </c>
      <c r="AG108">
        <f>SUMIF(RecoveredRaw!$B:$B,$A108,RecoveredRaw!AJ:AJ)</f>
        <v>0</v>
      </c>
      <c r="AH108">
        <f>SUMIF(RecoveredRaw!$B:$B,$A108,RecoveredRaw!AK:AK)</f>
        <v>0</v>
      </c>
      <c r="AI108">
        <f>SUMIF(RecoveredRaw!$B:$B,$A108,RecoveredRaw!AL:AL)</f>
        <v>0</v>
      </c>
      <c r="AJ108">
        <f>SUMIF(RecoveredRaw!$B:$B,$A108,RecoveredRaw!AM:AM)</f>
        <v>0</v>
      </c>
      <c r="AK108">
        <f>SUMIF(RecoveredRaw!$B:$B,$A108,RecoveredRaw!AN:AN)</f>
        <v>0</v>
      </c>
      <c r="AL108">
        <f>SUMIF(RecoveredRaw!$B:$B,$A108,RecoveredRaw!AO:AO)</f>
        <v>0</v>
      </c>
      <c r="AM108">
        <f>SUMIF(RecoveredRaw!$B:$B,$A108,RecoveredRaw!AP:AP)</f>
        <v>0</v>
      </c>
      <c r="AN108">
        <f>SUMIF(RecoveredRaw!$B:$B,$A108,RecoveredRaw!AQ:AQ)</f>
        <v>0</v>
      </c>
      <c r="AO108">
        <f>SUMIF(RecoveredRaw!$B:$B,$A108,RecoveredRaw!AR:AR)</f>
        <v>0</v>
      </c>
      <c r="AP108">
        <f>SUMIF(RecoveredRaw!$B:$B,$A108,RecoveredRaw!AS:AS)</f>
        <v>0</v>
      </c>
      <c r="AQ108">
        <f>SUMIF(RecoveredRaw!$B:$B,$A108,RecoveredRaw!AT:AT)</f>
        <v>0</v>
      </c>
      <c r="AR108">
        <f>SUMIF(RecoveredRaw!$B:$B,$A108,RecoveredRaw!AU:AU)</f>
        <v>0</v>
      </c>
      <c r="AS108">
        <f>SUMIF(RecoveredRaw!$B:$B,$A108,RecoveredRaw!AV:AV)</f>
        <v>0</v>
      </c>
      <c r="AT108">
        <f>SUMIF(RecoveredRaw!$B:$B,$A108,RecoveredRaw!AW:AW)</f>
        <v>0</v>
      </c>
      <c r="AU108">
        <f>SUMIF(RecoveredRaw!$B:$B,$A108,RecoveredRaw!AX:AX)</f>
        <v>0</v>
      </c>
      <c r="AV108">
        <f>SUMIF(RecoveredRaw!$B:$B,$A108,RecoveredRaw!AY:AY)</f>
        <v>0</v>
      </c>
      <c r="AW108">
        <f>SUMIF(RecoveredRaw!$B:$B,$A108,RecoveredRaw!AZ:AZ)</f>
        <v>0</v>
      </c>
      <c r="AX108">
        <f>SUMIF(RecoveredRaw!$B:$B,$A108,RecoveredRaw!BA:BA)</f>
        <v>0</v>
      </c>
      <c r="AY108">
        <f>SUMIF(RecoveredRaw!$B:$B,$A108,RecoveredRaw!BB:BB)</f>
        <v>0</v>
      </c>
      <c r="AZ108">
        <f>SUMIF(RecoveredRaw!$B:$B,$A108,RecoveredRaw!BC:BC)</f>
        <v>0</v>
      </c>
      <c r="BA108">
        <f>SUMIF(RecoveredRaw!$B:$B,$A108,RecoveredRaw!BD:BD)</f>
        <v>0</v>
      </c>
      <c r="BB108">
        <f>SUMIF(RecoveredRaw!$B:$B,$A108,RecoveredRaw!BE:BE)</f>
        <v>0</v>
      </c>
      <c r="BC108">
        <f>SUMIF(RecoveredRaw!$B:$B,$A108,RecoveredRaw!BF:BF)</f>
        <v>0</v>
      </c>
      <c r="BD108">
        <f>SUMIF(RecoveredRaw!$B:$B,$A108,RecoveredRaw!BG:BG)</f>
        <v>0</v>
      </c>
      <c r="BE108">
        <f>SUMIF(RecoveredRaw!$B:$B,$A108,RecoveredRaw!BH:BH)</f>
        <v>0</v>
      </c>
      <c r="BF108">
        <f>SUMIF(RecoveredRaw!$B:$B,$A108,RecoveredRaw!BI:BI)</f>
        <v>0</v>
      </c>
      <c r="BG108">
        <f>SUMIF(RecoveredRaw!$B:$B,$A108,RecoveredRaw!BJ:BJ)</f>
        <v>0</v>
      </c>
      <c r="BH108">
        <f>SUMIF(RecoveredRaw!$B:$B,$A108,RecoveredRaw!BK:BK)</f>
        <v>0</v>
      </c>
      <c r="BI108">
        <f>SUMIF(RecoveredRaw!$B:$B,$A108,RecoveredRaw!BL:BL)</f>
        <v>0</v>
      </c>
      <c r="BJ108">
        <f>SUMIF(RecoveredRaw!$B:$B,$A108,RecoveredRaw!BM:BM)</f>
        <v>0</v>
      </c>
      <c r="BK108">
        <f>SUMIF(RecoveredRaw!$B:$B,$A108,RecoveredRaw!BN:BN)</f>
        <v>0</v>
      </c>
      <c r="BL108">
        <f>SUMIF(RecoveredRaw!$B:$B,$A108,RecoveredRaw!BO:BO)</f>
        <v>0</v>
      </c>
      <c r="BM108">
        <f>SUMIF(RecoveredRaw!$B:$B,$A108,RecoveredRaw!BP:BP)</f>
        <v>0</v>
      </c>
      <c r="BN108">
        <f>SUMIF(RecoveredRaw!$B:$B,$A108,RecoveredRaw!BQ:BQ)</f>
        <v>0</v>
      </c>
      <c r="BO108">
        <f>SUMIF(RecoveredRaw!$B:$B,$A108,RecoveredRaw!BR:BR)</f>
        <v>0</v>
      </c>
      <c r="BP108">
        <f>SUMIF(RecoveredRaw!$B:$B,$A108,RecoveredRaw!BS:BS)</f>
        <v>0</v>
      </c>
      <c r="BQ108">
        <f>SUMIF(RecoveredRaw!$B:$B,$A108,RecoveredRaw!BT:BT)</f>
        <v>0</v>
      </c>
      <c r="BR108">
        <f>SUMIF(RecoveredRaw!$B:$B,$A108,RecoveredRaw!BU:BU)</f>
        <v>0</v>
      </c>
      <c r="BS108">
        <f>SUMIF(RecoveredRaw!$B:$B,$A108,RecoveredRaw!BV:BV)</f>
        <v>0</v>
      </c>
      <c r="BT108">
        <f>SUMIF(RecoveredRaw!$B:$B,$A108,RecoveredRaw!BW:BW)</f>
        <v>0</v>
      </c>
    </row>
    <row r="109" spans="1:72" ht="15" thickBot="1" x14ac:dyDescent="0.35">
      <c r="A109" s="4" t="s">
        <v>96</v>
      </c>
      <c r="B109">
        <f>SUMIF(RecoveredRaw!$B:$B,$A109,RecoveredRaw!E:E)</f>
        <v>0</v>
      </c>
      <c r="C109">
        <f>SUMIF(RecoveredRaw!$B:$B,$A109,RecoveredRaw!F:F)</f>
        <v>0</v>
      </c>
      <c r="D109">
        <f>SUMIF(RecoveredRaw!$B:$B,$A109,RecoveredRaw!G:G)</f>
        <v>0</v>
      </c>
      <c r="E109">
        <f>SUMIF(RecoveredRaw!$B:$B,$A109,RecoveredRaw!H:H)</f>
        <v>0</v>
      </c>
      <c r="F109">
        <f>SUMIF(RecoveredRaw!$B:$B,$A109,RecoveredRaw!I:I)</f>
        <v>0</v>
      </c>
      <c r="G109">
        <f>SUMIF(RecoveredRaw!$B:$B,$A109,RecoveredRaw!J:J)</f>
        <v>0</v>
      </c>
      <c r="H109">
        <f>SUMIF(RecoveredRaw!$B:$B,$A109,RecoveredRaw!K:K)</f>
        <v>0</v>
      </c>
      <c r="I109">
        <f>SUMIF(RecoveredRaw!$B:$B,$A109,RecoveredRaw!L:L)</f>
        <v>0</v>
      </c>
      <c r="J109">
        <f>SUMIF(RecoveredRaw!$B:$B,$A109,RecoveredRaw!M:M)</f>
        <v>0</v>
      </c>
      <c r="K109">
        <f>SUMIF(RecoveredRaw!$B:$B,$A109,RecoveredRaw!N:N)</f>
        <v>0</v>
      </c>
      <c r="L109">
        <f>SUMIF(RecoveredRaw!$B:$B,$A109,RecoveredRaw!O:O)</f>
        <v>0</v>
      </c>
      <c r="M109">
        <f>SUMIF(RecoveredRaw!$B:$B,$A109,RecoveredRaw!P:P)</f>
        <v>0</v>
      </c>
      <c r="N109">
        <f>SUMIF(RecoveredRaw!$B:$B,$A109,RecoveredRaw!Q:Q)</f>
        <v>0</v>
      </c>
      <c r="O109">
        <f>SUMIF(RecoveredRaw!$B:$B,$A109,RecoveredRaw!R:R)</f>
        <v>0</v>
      </c>
      <c r="P109">
        <f>SUMIF(RecoveredRaw!$B:$B,$A109,RecoveredRaw!S:S)</f>
        <v>0</v>
      </c>
      <c r="Q109">
        <f>SUMIF(RecoveredRaw!$B:$B,$A109,RecoveredRaw!T:T)</f>
        <v>0</v>
      </c>
      <c r="R109">
        <f>SUMIF(RecoveredRaw!$B:$B,$A109,RecoveredRaw!U:U)</f>
        <v>0</v>
      </c>
      <c r="S109">
        <f>SUMIF(RecoveredRaw!$B:$B,$A109,RecoveredRaw!V:V)</f>
        <v>0</v>
      </c>
      <c r="T109">
        <f>SUMIF(RecoveredRaw!$B:$B,$A109,RecoveredRaw!W:W)</f>
        <v>0</v>
      </c>
      <c r="U109">
        <f>SUMIF(RecoveredRaw!$B:$B,$A109,RecoveredRaw!X:X)</f>
        <v>0</v>
      </c>
      <c r="V109">
        <f>SUMIF(RecoveredRaw!$B:$B,$A109,RecoveredRaw!Y:Y)</f>
        <v>0</v>
      </c>
      <c r="W109">
        <f>SUMIF(RecoveredRaw!$B:$B,$A109,RecoveredRaw!Z:Z)</f>
        <v>0</v>
      </c>
      <c r="X109">
        <f>SUMIF(RecoveredRaw!$B:$B,$A109,RecoveredRaw!AA:AA)</f>
        <v>0</v>
      </c>
      <c r="Y109">
        <f>SUMIF(RecoveredRaw!$B:$B,$A109,RecoveredRaw!AB:AB)</f>
        <v>0</v>
      </c>
      <c r="Z109">
        <f>SUMIF(RecoveredRaw!$B:$B,$A109,RecoveredRaw!AC:AC)</f>
        <v>0</v>
      </c>
      <c r="AA109">
        <f>SUMIF(RecoveredRaw!$B:$B,$A109,RecoveredRaw!AD:AD)</f>
        <v>0</v>
      </c>
      <c r="AB109">
        <f>SUMIF(RecoveredRaw!$B:$B,$A109,RecoveredRaw!AE:AE)</f>
        <v>0</v>
      </c>
      <c r="AC109">
        <f>SUMIF(RecoveredRaw!$B:$B,$A109,RecoveredRaw!AF:AF)</f>
        <v>0</v>
      </c>
      <c r="AD109">
        <f>SUMIF(RecoveredRaw!$B:$B,$A109,RecoveredRaw!AG:AG)</f>
        <v>0</v>
      </c>
      <c r="AE109">
        <f>SUMIF(RecoveredRaw!$B:$B,$A109,RecoveredRaw!AH:AH)</f>
        <v>0</v>
      </c>
      <c r="AF109">
        <f>SUMIF(RecoveredRaw!$B:$B,$A109,RecoveredRaw!AI:AI)</f>
        <v>0</v>
      </c>
      <c r="AG109">
        <f>SUMIF(RecoveredRaw!$B:$B,$A109,RecoveredRaw!AJ:AJ)</f>
        <v>0</v>
      </c>
      <c r="AH109">
        <f>SUMIF(RecoveredRaw!$B:$B,$A109,RecoveredRaw!AK:AK)</f>
        <v>0</v>
      </c>
      <c r="AI109">
        <f>SUMIF(RecoveredRaw!$B:$B,$A109,RecoveredRaw!AL:AL)</f>
        <v>0</v>
      </c>
      <c r="AJ109">
        <f>SUMIF(RecoveredRaw!$B:$B,$A109,RecoveredRaw!AM:AM)</f>
        <v>0</v>
      </c>
      <c r="AK109">
        <f>SUMIF(RecoveredRaw!$B:$B,$A109,RecoveredRaw!AN:AN)</f>
        <v>0</v>
      </c>
      <c r="AL109">
        <f>SUMIF(RecoveredRaw!$B:$B,$A109,RecoveredRaw!AO:AO)</f>
        <v>0</v>
      </c>
      <c r="AM109">
        <f>SUMIF(RecoveredRaw!$B:$B,$A109,RecoveredRaw!AP:AP)</f>
        <v>0</v>
      </c>
      <c r="AN109">
        <f>SUMIF(RecoveredRaw!$B:$B,$A109,RecoveredRaw!AQ:AQ)</f>
        <v>0</v>
      </c>
      <c r="AO109">
        <f>SUMIF(RecoveredRaw!$B:$B,$A109,RecoveredRaw!AR:AR)</f>
        <v>0</v>
      </c>
      <c r="AP109">
        <f>SUMIF(RecoveredRaw!$B:$B,$A109,RecoveredRaw!AS:AS)</f>
        <v>0</v>
      </c>
      <c r="AQ109">
        <f>SUMIF(RecoveredRaw!$B:$B,$A109,RecoveredRaw!AT:AT)</f>
        <v>0</v>
      </c>
      <c r="AR109">
        <f>SUMIF(RecoveredRaw!$B:$B,$A109,RecoveredRaw!AU:AU)</f>
        <v>0</v>
      </c>
      <c r="AS109">
        <f>SUMIF(RecoveredRaw!$B:$B,$A109,RecoveredRaw!AV:AV)</f>
        <v>0</v>
      </c>
      <c r="AT109">
        <f>SUMIF(RecoveredRaw!$B:$B,$A109,RecoveredRaw!AW:AW)</f>
        <v>0</v>
      </c>
      <c r="AU109">
        <f>SUMIF(RecoveredRaw!$B:$B,$A109,RecoveredRaw!AX:AX)</f>
        <v>0</v>
      </c>
      <c r="AV109">
        <f>SUMIF(RecoveredRaw!$B:$B,$A109,RecoveredRaw!AY:AY)</f>
        <v>0</v>
      </c>
      <c r="AW109">
        <f>SUMIF(RecoveredRaw!$B:$B,$A109,RecoveredRaw!AZ:AZ)</f>
        <v>0</v>
      </c>
      <c r="AX109">
        <f>SUMIF(RecoveredRaw!$B:$B,$A109,RecoveredRaw!BA:BA)</f>
        <v>0</v>
      </c>
      <c r="AY109">
        <f>SUMIF(RecoveredRaw!$B:$B,$A109,RecoveredRaw!BB:BB)</f>
        <v>0</v>
      </c>
      <c r="AZ109">
        <f>SUMIF(RecoveredRaw!$B:$B,$A109,RecoveredRaw!BC:BC)</f>
        <v>0</v>
      </c>
      <c r="BA109">
        <f>SUMIF(RecoveredRaw!$B:$B,$A109,RecoveredRaw!BD:BD)</f>
        <v>0</v>
      </c>
      <c r="BB109">
        <f>SUMIF(RecoveredRaw!$B:$B,$A109,RecoveredRaw!BE:BE)</f>
        <v>0</v>
      </c>
      <c r="BC109">
        <f>SUMIF(RecoveredRaw!$B:$B,$A109,RecoveredRaw!BF:BF)</f>
        <v>0</v>
      </c>
      <c r="BD109">
        <f>SUMIF(RecoveredRaw!$B:$B,$A109,RecoveredRaw!BG:BG)</f>
        <v>0</v>
      </c>
      <c r="BE109">
        <f>SUMIF(RecoveredRaw!$B:$B,$A109,RecoveredRaw!BH:BH)</f>
        <v>0</v>
      </c>
      <c r="BF109">
        <f>SUMIF(RecoveredRaw!$B:$B,$A109,RecoveredRaw!BI:BI)</f>
        <v>1</v>
      </c>
      <c r="BG109">
        <f>SUMIF(RecoveredRaw!$B:$B,$A109,RecoveredRaw!BJ:BJ)</f>
        <v>1</v>
      </c>
      <c r="BH109">
        <f>SUMIF(RecoveredRaw!$B:$B,$A109,RecoveredRaw!BK:BK)</f>
        <v>1</v>
      </c>
      <c r="BI109">
        <f>SUMIF(RecoveredRaw!$B:$B,$A109,RecoveredRaw!BL:BL)</f>
        <v>0</v>
      </c>
      <c r="BJ109">
        <f>SUMIF(RecoveredRaw!$B:$B,$A109,RecoveredRaw!BM:BM)</f>
        <v>0</v>
      </c>
      <c r="BK109">
        <f>SUMIF(RecoveredRaw!$B:$B,$A109,RecoveredRaw!BN:BN)</f>
        <v>0</v>
      </c>
      <c r="BL109">
        <f>SUMIF(RecoveredRaw!$B:$B,$A109,RecoveredRaw!BO:BO)</f>
        <v>0</v>
      </c>
      <c r="BM109">
        <f>SUMIF(RecoveredRaw!$B:$B,$A109,RecoveredRaw!BP:BP)</f>
        <v>0</v>
      </c>
      <c r="BN109">
        <f>SUMIF(RecoveredRaw!$B:$B,$A109,RecoveredRaw!BQ:BQ)</f>
        <v>0</v>
      </c>
      <c r="BO109">
        <f>SUMIF(RecoveredRaw!$B:$B,$A109,RecoveredRaw!BR:BR)</f>
        <v>0</v>
      </c>
      <c r="BP109">
        <f>SUMIF(RecoveredRaw!$B:$B,$A109,RecoveredRaw!BS:BS)</f>
        <v>0</v>
      </c>
      <c r="BQ109">
        <f>SUMIF(RecoveredRaw!$B:$B,$A109,RecoveredRaw!BT:BT)</f>
        <v>0</v>
      </c>
      <c r="BR109">
        <f>SUMIF(RecoveredRaw!$B:$B,$A109,RecoveredRaw!BU:BU)</f>
        <v>0</v>
      </c>
      <c r="BS109">
        <f>SUMIF(RecoveredRaw!$B:$B,$A109,RecoveredRaw!BV:BV)</f>
        <v>0</v>
      </c>
      <c r="BT109">
        <f>SUMIF(RecoveredRaw!$B:$B,$A109,RecoveredRaw!BW:BW)</f>
        <v>0</v>
      </c>
    </row>
    <row r="110" spans="1:72" ht="15" thickBot="1" x14ac:dyDescent="0.35">
      <c r="A110" s="4" t="s">
        <v>109</v>
      </c>
      <c r="B110">
        <f>SUMIF(RecoveredRaw!$B:$B,$A110,RecoveredRaw!E:E)</f>
        <v>0</v>
      </c>
      <c r="C110">
        <f>SUMIF(RecoveredRaw!$B:$B,$A110,RecoveredRaw!F:F)</f>
        <v>0</v>
      </c>
      <c r="D110">
        <f>SUMIF(RecoveredRaw!$B:$B,$A110,RecoveredRaw!G:G)</f>
        <v>0</v>
      </c>
      <c r="E110">
        <f>SUMIF(RecoveredRaw!$B:$B,$A110,RecoveredRaw!H:H)</f>
        <v>0</v>
      </c>
      <c r="F110">
        <f>SUMIF(RecoveredRaw!$B:$B,$A110,RecoveredRaw!I:I)</f>
        <v>0</v>
      </c>
      <c r="G110">
        <f>SUMIF(RecoveredRaw!$B:$B,$A110,RecoveredRaw!J:J)</f>
        <v>0</v>
      </c>
      <c r="H110">
        <f>SUMIF(RecoveredRaw!$B:$B,$A110,RecoveredRaw!K:K)</f>
        <v>0</v>
      </c>
      <c r="I110">
        <f>SUMIF(RecoveredRaw!$B:$B,$A110,RecoveredRaw!L:L)</f>
        <v>0</v>
      </c>
      <c r="J110">
        <f>SUMIF(RecoveredRaw!$B:$B,$A110,RecoveredRaw!M:M)</f>
        <v>0</v>
      </c>
      <c r="K110">
        <f>SUMIF(RecoveredRaw!$B:$B,$A110,RecoveredRaw!N:N)</f>
        <v>0</v>
      </c>
      <c r="L110">
        <f>SUMIF(RecoveredRaw!$B:$B,$A110,RecoveredRaw!O:O)</f>
        <v>0</v>
      </c>
      <c r="M110">
        <f>SUMIF(RecoveredRaw!$B:$B,$A110,RecoveredRaw!P:P)</f>
        <v>0</v>
      </c>
      <c r="N110">
        <f>SUMIF(RecoveredRaw!$B:$B,$A110,RecoveredRaw!Q:Q)</f>
        <v>0</v>
      </c>
      <c r="O110">
        <f>SUMIF(RecoveredRaw!$B:$B,$A110,RecoveredRaw!R:R)</f>
        <v>0</v>
      </c>
      <c r="P110">
        <f>SUMIF(RecoveredRaw!$B:$B,$A110,RecoveredRaw!S:S)</f>
        <v>0</v>
      </c>
      <c r="Q110">
        <f>SUMIF(RecoveredRaw!$B:$B,$A110,RecoveredRaw!T:T)</f>
        <v>0</v>
      </c>
      <c r="R110">
        <f>SUMIF(RecoveredRaw!$B:$B,$A110,RecoveredRaw!U:U)</f>
        <v>0</v>
      </c>
      <c r="S110">
        <f>SUMIF(RecoveredRaw!$B:$B,$A110,RecoveredRaw!V:V)</f>
        <v>0</v>
      </c>
      <c r="T110">
        <f>SUMIF(RecoveredRaw!$B:$B,$A110,RecoveredRaw!W:W)</f>
        <v>0</v>
      </c>
      <c r="U110">
        <f>SUMIF(RecoveredRaw!$B:$B,$A110,RecoveredRaw!X:X)</f>
        <v>0</v>
      </c>
      <c r="V110">
        <f>SUMIF(RecoveredRaw!$B:$B,$A110,RecoveredRaw!Y:Y)</f>
        <v>0</v>
      </c>
      <c r="W110">
        <f>SUMIF(RecoveredRaw!$B:$B,$A110,RecoveredRaw!Z:Z)</f>
        <v>0</v>
      </c>
      <c r="X110">
        <f>SUMIF(RecoveredRaw!$B:$B,$A110,RecoveredRaw!AA:AA)</f>
        <v>0</v>
      </c>
      <c r="Y110">
        <f>SUMIF(RecoveredRaw!$B:$B,$A110,RecoveredRaw!AB:AB)</f>
        <v>0</v>
      </c>
      <c r="Z110">
        <f>SUMIF(RecoveredRaw!$B:$B,$A110,RecoveredRaw!AC:AC)</f>
        <v>0</v>
      </c>
      <c r="AA110">
        <f>SUMIF(RecoveredRaw!$B:$B,$A110,RecoveredRaw!AD:AD)</f>
        <v>0</v>
      </c>
      <c r="AB110">
        <f>SUMIF(RecoveredRaw!$B:$B,$A110,RecoveredRaw!AE:AE)</f>
        <v>0</v>
      </c>
      <c r="AC110">
        <f>SUMIF(RecoveredRaw!$B:$B,$A110,RecoveredRaw!AF:AF)</f>
        <v>0</v>
      </c>
      <c r="AD110">
        <f>SUMIF(RecoveredRaw!$B:$B,$A110,RecoveredRaw!AG:AG)</f>
        <v>0</v>
      </c>
      <c r="AE110">
        <f>SUMIF(RecoveredRaw!$B:$B,$A110,RecoveredRaw!AH:AH)</f>
        <v>0</v>
      </c>
      <c r="AF110">
        <f>SUMIF(RecoveredRaw!$B:$B,$A110,RecoveredRaw!AI:AI)</f>
        <v>0</v>
      </c>
      <c r="AG110">
        <f>SUMIF(RecoveredRaw!$B:$B,$A110,RecoveredRaw!AJ:AJ)</f>
        <v>0</v>
      </c>
      <c r="AH110">
        <f>SUMIF(RecoveredRaw!$B:$B,$A110,RecoveredRaw!AK:AK)</f>
        <v>0</v>
      </c>
      <c r="AI110">
        <f>SUMIF(RecoveredRaw!$B:$B,$A110,RecoveredRaw!AL:AL)</f>
        <v>0</v>
      </c>
      <c r="AJ110">
        <f>SUMIF(RecoveredRaw!$B:$B,$A110,RecoveredRaw!AM:AM)</f>
        <v>0</v>
      </c>
      <c r="AK110">
        <f>SUMIF(RecoveredRaw!$B:$B,$A110,RecoveredRaw!AN:AN)</f>
        <v>0</v>
      </c>
      <c r="AL110">
        <f>SUMIF(RecoveredRaw!$B:$B,$A110,RecoveredRaw!AO:AO)</f>
        <v>0</v>
      </c>
      <c r="AM110">
        <f>SUMIF(RecoveredRaw!$B:$B,$A110,RecoveredRaw!AP:AP)</f>
        <v>0</v>
      </c>
      <c r="AN110">
        <f>SUMIF(RecoveredRaw!$B:$B,$A110,RecoveredRaw!AQ:AQ)</f>
        <v>0</v>
      </c>
      <c r="AO110">
        <f>SUMIF(RecoveredRaw!$B:$B,$A110,RecoveredRaw!AR:AR)</f>
        <v>0</v>
      </c>
      <c r="AP110">
        <f>SUMIF(RecoveredRaw!$B:$B,$A110,RecoveredRaw!AS:AS)</f>
        <v>0</v>
      </c>
      <c r="AQ110">
        <f>SUMIF(RecoveredRaw!$B:$B,$A110,RecoveredRaw!AT:AT)</f>
        <v>0</v>
      </c>
      <c r="AR110">
        <f>SUMIF(RecoveredRaw!$B:$B,$A110,RecoveredRaw!AU:AU)</f>
        <v>0</v>
      </c>
      <c r="AS110">
        <f>SUMIF(RecoveredRaw!$B:$B,$A110,RecoveredRaw!AV:AV)</f>
        <v>0</v>
      </c>
      <c r="AT110">
        <f>SUMIF(RecoveredRaw!$B:$B,$A110,RecoveredRaw!AW:AW)</f>
        <v>0</v>
      </c>
      <c r="AU110">
        <f>SUMIF(RecoveredRaw!$B:$B,$A110,RecoveredRaw!AX:AX)</f>
        <v>0</v>
      </c>
      <c r="AV110">
        <f>SUMIF(RecoveredRaw!$B:$B,$A110,RecoveredRaw!AY:AY)</f>
        <v>0</v>
      </c>
      <c r="AW110">
        <f>SUMIF(RecoveredRaw!$B:$B,$A110,RecoveredRaw!AZ:AZ)</f>
        <v>0</v>
      </c>
      <c r="AX110">
        <f>SUMIF(RecoveredRaw!$B:$B,$A110,RecoveredRaw!BA:BA)</f>
        <v>0</v>
      </c>
      <c r="AY110">
        <f>SUMIF(RecoveredRaw!$B:$B,$A110,RecoveredRaw!BB:BB)</f>
        <v>0</v>
      </c>
      <c r="AZ110">
        <f>SUMIF(RecoveredRaw!$B:$B,$A110,RecoveredRaw!BC:BC)</f>
        <v>1</v>
      </c>
      <c r="BA110">
        <f>SUMIF(RecoveredRaw!$B:$B,$A110,RecoveredRaw!BD:BD)</f>
        <v>0</v>
      </c>
      <c r="BB110">
        <f>SUMIF(RecoveredRaw!$B:$B,$A110,RecoveredRaw!BE:BE)</f>
        <v>1</v>
      </c>
      <c r="BC110">
        <f>SUMIF(RecoveredRaw!$B:$B,$A110,RecoveredRaw!BF:BF)</f>
        <v>1</v>
      </c>
      <c r="BD110">
        <f>SUMIF(RecoveredRaw!$B:$B,$A110,RecoveredRaw!BG:BG)</f>
        <v>1</v>
      </c>
      <c r="BE110">
        <f>SUMIF(RecoveredRaw!$B:$B,$A110,RecoveredRaw!BH:BH)</f>
        <v>1</v>
      </c>
      <c r="BF110">
        <f>SUMIF(RecoveredRaw!$B:$B,$A110,RecoveredRaw!BI:BI)</f>
        <v>1</v>
      </c>
      <c r="BG110">
        <f>SUMIF(RecoveredRaw!$B:$B,$A110,RecoveredRaw!BJ:BJ)</f>
        <v>1</v>
      </c>
      <c r="BH110">
        <f>SUMIF(RecoveredRaw!$B:$B,$A110,RecoveredRaw!BK:BK)</f>
        <v>1</v>
      </c>
      <c r="BI110">
        <f>SUMIF(RecoveredRaw!$B:$B,$A110,RecoveredRaw!BL:BL)</f>
        <v>0</v>
      </c>
      <c r="BJ110">
        <f>SUMIF(RecoveredRaw!$B:$B,$A110,RecoveredRaw!BM:BM)</f>
        <v>0</v>
      </c>
      <c r="BK110">
        <f>SUMIF(RecoveredRaw!$B:$B,$A110,RecoveredRaw!BN:BN)</f>
        <v>0</v>
      </c>
      <c r="BL110">
        <f>SUMIF(RecoveredRaw!$B:$B,$A110,RecoveredRaw!BO:BO)</f>
        <v>0</v>
      </c>
      <c r="BM110">
        <f>SUMIF(RecoveredRaw!$B:$B,$A110,RecoveredRaw!BP:BP)</f>
        <v>0</v>
      </c>
      <c r="BN110">
        <f>SUMIF(RecoveredRaw!$B:$B,$A110,RecoveredRaw!BQ:BQ)</f>
        <v>0</v>
      </c>
      <c r="BO110">
        <f>SUMIF(RecoveredRaw!$B:$B,$A110,RecoveredRaw!BR:BR)</f>
        <v>0</v>
      </c>
      <c r="BP110">
        <f>SUMIF(RecoveredRaw!$B:$B,$A110,RecoveredRaw!BS:BS)</f>
        <v>0</v>
      </c>
      <c r="BQ110">
        <f>SUMIF(RecoveredRaw!$B:$B,$A110,RecoveredRaw!BT:BT)</f>
        <v>0</v>
      </c>
      <c r="BR110">
        <f>SUMIF(RecoveredRaw!$B:$B,$A110,RecoveredRaw!BU:BU)</f>
        <v>0</v>
      </c>
      <c r="BS110">
        <f>SUMIF(RecoveredRaw!$B:$B,$A110,RecoveredRaw!BV:BV)</f>
        <v>0</v>
      </c>
      <c r="BT110">
        <f>SUMIF(RecoveredRaw!$B:$B,$A110,RecoveredRaw!BW:BW)</f>
        <v>0</v>
      </c>
    </row>
    <row r="111" spans="1:72" ht="15" thickBot="1" x14ac:dyDescent="0.35">
      <c r="A111" s="4" t="s">
        <v>424</v>
      </c>
      <c r="B111">
        <f>SUMIF(RecoveredRaw!$B:$B,$A111,RecoveredRaw!E:E)</f>
        <v>0</v>
      </c>
      <c r="C111">
        <f>SUMIF(RecoveredRaw!$B:$B,$A111,RecoveredRaw!F:F)</f>
        <v>0</v>
      </c>
      <c r="D111">
        <f>SUMIF(RecoveredRaw!$B:$B,$A111,RecoveredRaw!G:G)</f>
        <v>0</v>
      </c>
      <c r="E111">
        <f>SUMIF(RecoveredRaw!$B:$B,$A111,RecoveredRaw!H:H)</f>
        <v>0</v>
      </c>
      <c r="F111">
        <f>SUMIF(RecoveredRaw!$B:$B,$A111,RecoveredRaw!I:I)</f>
        <v>0</v>
      </c>
      <c r="G111">
        <f>SUMIF(RecoveredRaw!$B:$B,$A111,RecoveredRaw!J:J)</f>
        <v>0</v>
      </c>
      <c r="H111">
        <f>SUMIF(RecoveredRaw!$B:$B,$A111,RecoveredRaw!K:K)</f>
        <v>0</v>
      </c>
      <c r="I111">
        <f>SUMIF(RecoveredRaw!$B:$B,$A111,RecoveredRaw!L:L)</f>
        <v>0</v>
      </c>
      <c r="J111">
        <f>SUMIF(RecoveredRaw!$B:$B,$A111,RecoveredRaw!M:M)</f>
        <v>0</v>
      </c>
      <c r="K111">
        <f>SUMIF(RecoveredRaw!$B:$B,$A111,RecoveredRaw!N:N)</f>
        <v>0</v>
      </c>
      <c r="L111">
        <f>SUMIF(RecoveredRaw!$B:$B,$A111,RecoveredRaw!O:O)</f>
        <v>0</v>
      </c>
      <c r="M111">
        <f>SUMIF(RecoveredRaw!$B:$B,$A111,RecoveredRaw!P:P)</f>
        <v>0</v>
      </c>
      <c r="N111">
        <f>SUMIF(RecoveredRaw!$B:$B,$A111,RecoveredRaw!Q:Q)</f>
        <v>0</v>
      </c>
      <c r="O111">
        <f>SUMIF(RecoveredRaw!$B:$B,$A111,RecoveredRaw!R:R)</f>
        <v>0</v>
      </c>
      <c r="P111">
        <f>SUMIF(RecoveredRaw!$B:$B,$A111,RecoveredRaw!S:S)</f>
        <v>0</v>
      </c>
      <c r="Q111">
        <f>SUMIF(RecoveredRaw!$B:$B,$A111,RecoveredRaw!T:T)</f>
        <v>0</v>
      </c>
      <c r="R111">
        <f>SUMIF(RecoveredRaw!$B:$B,$A111,RecoveredRaw!U:U)</f>
        <v>0</v>
      </c>
      <c r="S111">
        <f>SUMIF(RecoveredRaw!$B:$B,$A111,RecoveredRaw!V:V)</f>
        <v>0</v>
      </c>
      <c r="T111">
        <f>SUMIF(RecoveredRaw!$B:$B,$A111,RecoveredRaw!W:W)</f>
        <v>0</v>
      </c>
      <c r="U111">
        <f>SUMIF(RecoveredRaw!$B:$B,$A111,RecoveredRaw!X:X)</f>
        <v>0</v>
      </c>
      <c r="V111">
        <f>SUMIF(RecoveredRaw!$B:$B,$A111,RecoveredRaw!Y:Y)</f>
        <v>0</v>
      </c>
      <c r="W111">
        <f>SUMIF(RecoveredRaw!$B:$B,$A111,RecoveredRaw!Z:Z)</f>
        <v>0</v>
      </c>
      <c r="X111">
        <f>SUMIF(RecoveredRaw!$B:$B,$A111,RecoveredRaw!AA:AA)</f>
        <v>0</v>
      </c>
      <c r="Y111">
        <f>SUMIF(RecoveredRaw!$B:$B,$A111,RecoveredRaw!AB:AB)</f>
        <v>0</v>
      </c>
      <c r="Z111">
        <f>SUMIF(RecoveredRaw!$B:$B,$A111,RecoveredRaw!AC:AC)</f>
        <v>0</v>
      </c>
      <c r="AA111">
        <f>SUMIF(RecoveredRaw!$B:$B,$A111,RecoveredRaw!AD:AD)</f>
        <v>0</v>
      </c>
      <c r="AB111">
        <f>SUMIF(RecoveredRaw!$B:$B,$A111,RecoveredRaw!AE:AE)</f>
        <v>0</v>
      </c>
      <c r="AC111">
        <f>SUMIF(RecoveredRaw!$B:$B,$A111,RecoveredRaw!AF:AF)</f>
        <v>0</v>
      </c>
      <c r="AD111">
        <f>SUMIF(RecoveredRaw!$B:$B,$A111,RecoveredRaw!AG:AG)</f>
        <v>0</v>
      </c>
      <c r="AE111">
        <f>SUMIF(RecoveredRaw!$B:$B,$A111,RecoveredRaw!AH:AH)</f>
        <v>0</v>
      </c>
      <c r="AF111">
        <f>SUMIF(RecoveredRaw!$B:$B,$A111,RecoveredRaw!AI:AI)</f>
        <v>0</v>
      </c>
      <c r="AG111">
        <f>SUMIF(RecoveredRaw!$B:$B,$A111,RecoveredRaw!AJ:AJ)</f>
        <v>0</v>
      </c>
      <c r="AH111">
        <f>SUMIF(RecoveredRaw!$B:$B,$A111,RecoveredRaw!AK:AK)</f>
        <v>0</v>
      </c>
      <c r="AI111">
        <f>SUMIF(RecoveredRaw!$B:$B,$A111,RecoveredRaw!AL:AL)</f>
        <v>0</v>
      </c>
      <c r="AJ111">
        <f>SUMIF(RecoveredRaw!$B:$B,$A111,RecoveredRaw!AM:AM)</f>
        <v>0</v>
      </c>
      <c r="AK111">
        <f>SUMIF(RecoveredRaw!$B:$B,$A111,RecoveredRaw!AN:AN)</f>
        <v>0</v>
      </c>
      <c r="AL111">
        <f>SUMIF(RecoveredRaw!$B:$B,$A111,RecoveredRaw!AO:AO)</f>
        <v>0</v>
      </c>
      <c r="AM111">
        <f>SUMIF(RecoveredRaw!$B:$B,$A111,RecoveredRaw!AP:AP)</f>
        <v>0</v>
      </c>
      <c r="AN111">
        <f>SUMIF(RecoveredRaw!$B:$B,$A111,RecoveredRaw!AQ:AQ)</f>
        <v>0</v>
      </c>
      <c r="AO111">
        <f>SUMIF(RecoveredRaw!$B:$B,$A111,RecoveredRaw!AR:AR)</f>
        <v>0</v>
      </c>
      <c r="AP111">
        <f>SUMIF(RecoveredRaw!$B:$B,$A111,RecoveredRaw!AS:AS)</f>
        <v>0</v>
      </c>
      <c r="AQ111">
        <f>SUMIF(RecoveredRaw!$B:$B,$A111,RecoveredRaw!AT:AT)</f>
        <v>0</v>
      </c>
      <c r="AR111">
        <f>SUMIF(RecoveredRaw!$B:$B,$A111,RecoveredRaw!AU:AU)</f>
        <v>0</v>
      </c>
      <c r="AS111">
        <f>SUMIF(RecoveredRaw!$B:$B,$A111,RecoveredRaw!AV:AV)</f>
        <v>0</v>
      </c>
      <c r="AT111">
        <f>SUMIF(RecoveredRaw!$B:$B,$A111,RecoveredRaw!AW:AW)</f>
        <v>0</v>
      </c>
      <c r="AU111">
        <f>SUMIF(RecoveredRaw!$B:$B,$A111,RecoveredRaw!AX:AX)</f>
        <v>0</v>
      </c>
      <c r="AV111">
        <f>SUMIF(RecoveredRaw!$B:$B,$A111,RecoveredRaw!AY:AY)</f>
        <v>0</v>
      </c>
      <c r="AW111">
        <f>SUMIF(RecoveredRaw!$B:$B,$A111,RecoveredRaw!AZ:AZ)</f>
        <v>0</v>
      </c>
      <c r="AX111">
        <f>SUMIF(RecoveredRaw!$B:$B,$A111,RecoveredRaw!BA:BA)</f>
        <v>0</v>
      </c>
      <c r="AY111">
        <f>SUMIF(RecoveredRaw!$B:$B,$A111,RecoveredRaw!BB:BB)</f>
        <v>0</v>
      </c>
      <c r="AZ111">
        <f>SUMIF(RecoveredRaw!$B:$B,$A111,RecoveredRaw!BC:BC)</f>
        <v>0</v>
      </c>
      <c r="BA111">
        <f>SUMIF(RecoveredRaw!$B:$B,$A111,RecoveredRaw!BD:BD)</f>
        <v>0</v>
      </c>
      <c r="BB111">
        <f>SUMIF(RecoveredRaw!$B:$B,$A111,RecoveredRaw!BE:BE)</f>
        <v>0</v>
      </c>
      <c r="BC111">
        <f>SUMIF(RecoveredRaw!$B:$B,$A111,RecoveredRaw!BF:BF)</f>
        <v>0</v>
      </c>
      <c r="BD111">
        <f>SUMIF(RecoveredRaw!$B:$B,$A111,RecoveredRaw!BG:BG)</f>
        <v>0</v>
      </c>
      <c r="BE111">
        <f>SUMIF(RecoveredRaw!$B:$B,$A111,RecoveredRaw!BH:BH)</f>
        <v>0</v>
      </c>
      <c r="BF111">
        <f>SUMIF(RecoveredRaw!$B:$B,$A111,RecoveredRaw!BI:BI)</f>
        <v>0</v>
      </c>
      <c r="BG111">
        <f>SUMIF(RecoveredRaw!$B:$B,$A111,RecoveredRaw!BJ:BJ)</f>
        <v>0</v>
      </c>
      <c r="BH111">
        <f>SUMIF(RecoveredRaw!$B:$B,$A111,RecoveredRaw!BK:BK)</f>
        <v>0</v>
      </c>
      <c r="BI111">
        <f>SUMIF(RecoveredRaw!$B:$B,$A111,RecoveredRaw!BL:BL)</f>
        <v>0</v>
      </c>
      <c r="BJ111">
        <f>SUMIF(RecoveredRaw!$B:$B,$A111,RecoveredRaw!BM:BM)</f>
        <v>0</v>
      </c>
      <c r="BK111">
        <f>SUMIF(RecoveredRaw!$B:$B,$A111,RecoveredRaw!BN:BN)</f>
        <v>0</v>
      </c>
      <c r="BL111">
        <f>SUMIF(RecoveredRaw!$B:$B,$A111,RecoveredRaw!BO:BO)</f>
        <v>0</v>
      </c>
      <c r="BM111">
        <f>SUMIF(RecoveredRaw!$B:$B,$A111,RecoveredRaw!BP:BP)</f>
        <v>0</v>
      </c>
      <c r="BN111">
        <f>SUMIF(RecoveredRaw!$B:$B,$A111,RecoveredRaw!BQ:BQ)</f>
        <v>0</v>
      </c>
      <c r="BO111">
        <f>SUMIF(RecoveredRaw!$B:$B,$A111,RecoveredRaw!BR:BR)</f>
        <v>0</v>
      </c>
      <c r="BP111">
        <f>SUMIF(RecoveredRaw!$B:$B,$A111,RecoveredRaw!BS:BS)</f>
        <v>0</v>
      </c>
      <c r="BQ111">
        <f>SUMIF(RecoveredRaw!$B:$B,$A111,RecoveredRaw!BT:BT)</f>
        <v>0</v>
      </c>
      <c r="BR111">
        <f>SUMIF(RecoveredRaw!$B:$B,$A111,RecoveredRaw!BU:BU)</f>
        <v>0</v>
      </c>
      <c r="BS111">
        <f>SUMIF(RecoveredRaw!$B:$B,$A111,RecoveredRaw!BV:BV)</f>
        <v>0</v>
      </c>
      <c r="BT111">
        <f>SUMIF(RecoveredRaw!$B:$B,$A111,RecoveredRaw!BW:BW)</f>
        <v>0</v>
      </c>
    </row>
    <row r="112" spans="1:72" ht="15" thickBot="1" x14ac:dyDescent="0.35">
      <c r="A112" s="4" t="s">
        <v>156</v>
      </c>
      <c r="B112">
        <f>SUMIF(RecoveredRaw!$B:$B,$A112,RecoveredRaw!E:E)</f>
        <v>0</v>
      </c>
      <c r="C112">
        <f>SUMIF(RecoveredRaw!$B:$B,$A112,RecoveredRaw!F:F)</f>
        <v>0</v>
      </c>
      <c r="D112">
        <f>SUMIF(RecoveredRaw!$B:$B,$A112,RecoveredRaw!G:G)</f>
        <v>0</v>
      </c>
      <c r="E112">
        <f>SUMIF(RecoveredRaw!$B:$B,$A112,RecoveredRaw!H:H)</f>
        <v>0</v>
      </c>
      <c r="F112">
        <f>SUMIF(RecoveredRaw!$B:$B,$A112,RecoveredRaw!I:I)</f>
        <v>0</v>
      </c>
      <c r="G112">
        <f>SUMIF(RecoveredRaw!$B:$B,$A112,RecoveredRaw!J:J)</f>
        <v>0</v>
      </c>
      <c r="H112">
        <f>SUMIF(RecoveredRaw!$B:$B,$A112,RecoveredRaw!K:K)</f>
        <v>0</v>
      </c>
      <c r="I112">
        <f>SUMIF(RecoveredRaw!$B:$B,$A112,RecoveredRaw!L:L)</f>
        <v>0</v>
      </c>
      <c r="J112">
        <f>SUMIF(RecoveredRaw!$B:$B,$A112,RecoveredRaw!M:M)</f>
        <v>0</v>
      </c>
      <c r="K112">
        <f>SUMIF(RecoveredRaw!$B:$B,$A112,RecoveredRaw!N:N)</f>
        <v>0</v>
      </c>
      <c r="L112">
        <f>SUMIF(RecoveredRaw!$B:$B,$A112,RecoveredRaw!O:O)</f>
        <v>0</v>
      </c>
      <c r="M112">
        <f>SUMIF(RecoveredRaw!$B:$B,$A112,RecoveredRaw!P:P)</f>
        <v>0</v>
      </c>
      <c r="N112">
        <f>SUMIF(RecoveredRaw!$B:$B,$A112,RecoveredRaw!Q:Q)</f>
        <v>0</v>
      </c>
      <c r="O112">
        <f>SUMIF(RecoveredRaw!$B:$B,$A112,RecoveredRaw!R:R)</f>
        <v>0</v>
      </c>
      <c r="P112">
        <f>SUMIF(RecoveredRaw!$B:$B,$A112,RecoveredRaw!S:S)</f>
        <v>0</v>
      </c>
      <c r="Q112">
        <f>SUMIF(RecoveredRaw!$B:$B,$A112,RecoveredRaw!T:T)</f>
        <v>0</v>
      </c>
      <c r="R112">
        <f>SUMIF(RecoveredRaw!$B:$B,$A112,RecoveredRaw!U:U)</f>
        <v>0</v>
      </c>
      <c r="S112">
        <f>SUMIF(RecoveredRaw!$B:$B,$A112,RecoveredRaw!V:V)</f>
        <v>0</v>
      </c>
      <c r="T112">
        <f>SUMIF(RecoveredRaw!$B:$B,$A112,RecoveredRaw!W:W)</f>
        <v>0</v>
      </c>
      <c r="U112">
        <f>SUMIF(RecoveredRaw!$B:$B,$A112,RecoveredRaw!X:X)</f>
        <v>0</v>
      </c>
      <c r="V112">
        <f>SUMIF(RecoveredRaw!$B:$B,$A112,RecoveredRaw!Y:Y)</f>
        <v>0</v>
      </c>
      <c r="W112">
        <f>SUMIF(RecoveredRaw!$B:$B,$A112,RecoveredRaw!Z:Z)</f>
        <v>0</v>
      </c>
      <c r="X112">
        <f>SUMIF(RecoveredRaw!$B:$B,$A112,RecoveredRaw!AA:AA)</f>
        <v>0</v>
      </c>
      <c r="Y112">
        <f>SUMIF(RecoveredRaw!$B:$B,$A112,RecoveredRaw!AB:AB)</f>
        <v>0</v>
      </c>
      <c r="Z112">
        <f>SUMIF(RecoveredRaw!$B:$B,$A112,RecoveredRaw!AC:AC)</f>
        <v>0</v>
      </c>
      <c r="AA112">
        <f>SUMIF(RecoveredRaw!$B:$B,$A112,RecoveredRaw!AD:AD)</f>
        <v>0</v>
      </c>
      <c r="AB112">
        <f>SUMIF(RecoveredRaw!$B:$B,$A112,RecoveredRaw!AE:AE)</f>
        <v>0</v>
      </c>
      <c r="AC112">
        <f>SUMIF(RecoveredRaw!$B:$B,$A112,RecoveredRaw!AF:AF)</f>
        <v>0</v>
      </c>
      <c r="AD112">
        <f>SUMIF(RecoveredRaw!$B:$B,$A112,RecoveredRaw!AG:AG)</f>
        <v>0</v>
      </c>
      <c r="AE112">
        <f>SUMIF(RecoveredRaw!$B:$B,$A112,RecoveredRaw!AH:AH)</f>
        <v>0</v>
      </c>
      <c r="AF112">
        <f>SUMIF(RecoveredRaw!$B:$B,$A112,RecoveredRaw!AI:AI)</f>
        <v>0</v>
      </c>
      <c r="AG112">
        <f>SUMIF(RecoveredRaw!$B:$B,$A112,RecoveredRaw!AJ:AJ)</f>
        <v>0</v>
      </c>
      <c r="AH112">
        <f>SUMIF(RecoveredRaw!$B:$B,$A112,RecoveredRaw!AK:AK)</f>
        <v>0</v>
      </c>
      <c r="AI112">
        <f>SUMIF(RecoveredRaw!$B:$B,$A112,RecoveredRaw!AL:AL)</f>
        <v>0</v>
      </c>
      <c r="AJ112">
        <f>SUMIF(RecoveredRaw!$B:$B,$A112,RecoveredRaw!AM:AM)</f>
        <v>0</v>
      </c>
      <c r="AK112">
        <f>SUMIF(RecoveredRaw!$B:$B,$A112,RecoveredRaw!AN:AN)</f>
        <v>0</v>
      </c>
      <c r="AL112">
        <f>SUMIF(RecoveredRaw!$B:$B,$A112,RecoveredRaw!AO:AO)</f>
        <v>0</v>
      </c>
      <c r="AM112">
        <f>SUMIF(RecoveredRaw!$B:$B,$A112,RecoveredRaw!AP:AP)</f>
        <v>0</v>
      </c>
      <c r="AN112">
        <f>SUMIF(RecoveredRaw!$B:$B,$A112,RecoveredRaw!AQ:AQ)</f>
        <v>0</v>
      </c>
      <c r="AO112">
        <f>SUMIF(RecoveredRaw!$B:$B,$A112,RecoveredRaw!AR:AR)</f>
        <v>0</v>
      </c>
      <c r="AP112">
        <f>SUMIF(RecoveredRaw!$B:$B,$A112,RecoveredRaw!AS:AS)</f>
        <v>0</v>
      </c>
      <c r="AQ112">
        <f>SUMIF(RecoveredRaw!$B:$B,$A112,RecoveredRaw!AT:AT)</f>
        <v>0</v>
      </c>
      <c r="AR112">
        <f>SUMIF(RecoveredRaw!$B:$B,$A112,RecoveredRaw!AU:AU)</f>
        <v>0</v>
      </c>
      <c r="AS112">
        <f>SUMIF(RecoveredRaw!$B:$B,$A112,RecoveredRaw!AV:AV)</f>
        <v>0</v>
      </c>
      <c r="AT112">
        <f>SUMIF(RecoveredRaw!$B:$B,$A112,RecoveredRaw!AW:AW)</f>
        <v>0</v>
      </c>
      <c r="AU112">
        <f>SUMIF(RecoveredRaw!$B:$B,$A112,RecoveredRaw!AX:AX)</f>
        <v>0</v>
      </c>
      <c r="AV112">
        <f>SUMIF(RecoveredRaw!$B:$B,$A112,RecoveredRaw!AY:AY)</f>
        <v>0</v>
      </c>
      <c r="AW112">
        <f>SUMIF(RecoveredRaw!$B:$B,$A112,RecoveredRaw!AZ:AZ)</f>
        <v>0</v>
      </c>
      <c r="AX112">
        <f>SUMIF(RecoveredRaw!$B:$B,$A112,RecoveredRaw!BA:BA)</f>
        <v>0</v>
      </c>
      <c r="AY112">
        <f>SUMIF(RecoveredRaw!$B:$B,$A112,RecoveredRaw!BB:BB)</f>
        <v>0</v>
      </c>
      <c r="AZ112">
        <f>SUMIF(RecoveredRaw!$B:$B,$A112,RecoveredRaw!BC:BC)</f>
        <v>0</v>
      </c>
      <c r="BA112">
        <f>SUMIF(RecoveredRaw!$B:$B,$A112,RecoveredRaw!BD:BD)</f>
        <v>0</v>
      </c>
      <c r="BB112">
        <f>SUMIF(RecoveredRaw!$B:$B,$A112,RecoveredRaw!BE:BE)</f>
        <v>0</v>
      </c>
      <c r="BC112">
        <f>SUMIF(RecoveredRaw!$B:$B,$A112,RecoveredRaw!BF:BF)</f>
        <v>0</v>
      </c>
      <c r="BD112">
        <f>SUMIF(RecoveredRaw!$B:$B,$A112,RecoveredRaw!BG:BG)</f>
        <v>0</v>
      </c>
      <c r="BE112">
        <f>SUMIF(RecoveredRaw!$B:$B,$A112,RecoveredRaw!BH:BH)</f>
        <v>0</v>
      </c>
      <c r="BF112">
        <f>SUMIF(RecoveredRaw!$B:$B,$A112,RecoveredRaw!BI:BI)</f>
        <v>0</v>
      </c>
      <c r="BG112">
        <f>SUMIF(RecoveredRaw!$B:$B,$A112,RecoveredRaw!BJ:BJ)</f>
        <v>0</v>
      </c>
      <c r="BH112">
        <f>SUMIF(RecoveredRaw!$B:$B,$A112,RecoveredRaw!BK:BK)</f>
        <v>0</v>
      </c>
      <c r="BI112">
        <f>SUMIF(RecoveredRaw!$B:$B,$A112,RecoveredRaw!BL:BL)</f>
        <v>0</v>
      </c>
      <c r="BJ112">
        <f>SUMIF(RecoveredRaw!$B:$B,$A112,RecoveredRaw!BM:BM)</f>
        <v>0</v>
      </c>
      <c r="BK112">
        <f>SUMIF(RecoveredRaw!$B:$B,$A112,RecoveredRaw!BN:BN)</f>
        <v>0</v>
      </c>
      <c r="BL112">
        <f>SUMIF(RecoveredRaw!$B:$B,$A112,RecoveredRaw!BO:BO)</f>
        <v>0</v>
      </c>
      <c r="BM112">
        <f>SUMIF(RecoveredRaw!$B:$B,$A112,RecoveredRaw!BP:BP)</f>
        <v>0</v>
      </c>
      <c r="BN112">
        <f>SUMIF(RecoveredRaw!$B:$B,$A112,RecoveredRaw!BQ:BQ)</f>
        <v>0</v>
      </c>
      <c r="BO112">
        <f>SUMIF(RecoveredRaw!$B:$B,$A112,RecoveredRaw!BR:BR)</f>
        <v>0</v>
      </c>
      <c r="BP112">
        <f>SUMIF(RecoveredRaw!$B:$B,$A112,RecoveredRaw!BS:BS)</f>
        <v>0</v>
      </c>
      <c r="BQ112">
        <f>SUMIF(RecoveredRaw!$B:$B,$A112,RecoveredRaw!BT:BT)</f>
        <v>0</v>
      </c>
      <c r="BR112">
        <f>SUMIF(RecoveredRaw!$B:$B,$A112,RecoveredRaw!BU:BU)</f>
        <v>0</v>
      </c>
      <c r="BS112">
        <f>SUMIF(RecoveredRaw!$B:$B,$A112,RecoveredRaw!BV:BV)</f>
        <v>0</v>
      </c>
      <c r="BT112">
        <f>SUMIF(RecoveredRaw!$B:$B,$A112,RecoveredRaw!BW:BW)</f>
        <v>0</v>
      </c>
    </row>
    <row r="113" spans="1:72" ht="15" thickBot="1" x14ac:dyDescent="0.35">
      <c r="A113" s="4" t="s">
        <v>415</v>
      </c>
      <c r="B113">
        <f>SUMIF(RecoveredRaw!$B:$B,$A113,RecoveredRaw!E:E)</f>
        <v>0</v>
      </c>
      <c r="C113">
        <f>SUMIF(RecoveredRaw!$B:$B,$A113,RecoveredRaw!F:F)</f>
        <v>0</v>
      </c>
      <c r="D113">
        <f>SUMIF(RecoveredRaw!$B:$B,$A113,RecoveredRaw!G:G)</f>
        <v>0</v>
      </c>
      <c r="E113">
        <f>SUMIF(RecoveredRaw!$B:$B,$A113,RecoveredRaw!H:H)</f>
        <v>0</v>
      </c>
      <c r="F113">
        <f>SUMIF(RecoveredRaw!$B:$B,$A113,RecoveredRaw!I:I)</f>
        <v>0</v>
      </c>
      <c r="G113">
        <f>SUMIF(RecoveredRaw!$B:$B,$A113,RecoveredRaw!J:J)</f>
        <v>0</v>
      </c>
      <c r="H113">
        <f>SUMIF(RecoveredRaw!$B:$B,$A113,RecoveredRaw!K:K)</f>
        <v>0</v>
      </c>
      <c r="I113">
        <f>SUMIF(RecoveredRaw!$B:$B,$A113,RecoveredRaw!L:L)</f>
        <v>0</v>
      </c>
      <c r="J113">
        <f>SUMIF(RecoveredRaw!$B:$B,$A113,RecoveredRaw!M:M)</f>
        <v>0</v>
      </c>
      <c r="K113">
        <f>SUMIF(RecoveredRaw!$B:$B,$A113,RecoveredRaw!N:N)</f>
        <v>0</v>
      </c>
      <c r="L113">
        <f>SUMIF(RecoveredRaw!$B:$B,$A113,RecoveredRaw!O:O)</f>
        <v>0</v>
      </c>
      <c r="M113">
        <f>SUMIF(RecoveredRaw!$B:$B,$A113,RecoveredRaw!P:P)</f>
        <v>0</v>
      </c>
      <c r="N113">
        <f>SUMIF(RecoveredRaw!$B:$B,$A113,RecoveredRaw!Q:Q)</f>
        <v>0</v>
      </c>
      <c r="O113">
        <f>SUMIF(RecoveredRaw!$B:$B,$A113,RecoveredRaw!R:R)</f>
        <v>0</v>
      </c>
      <c r="P113">
        <f>SUMIF(RecoveredRaw!$B:$B,$A113,RecoveredRaw!S:S)</f>
        <v>0</v>
      </c>
      <c r="Q113">
        <f>SUMIF(RecoveredRaw!$B:$B,$A113,RecoveredRaw!T:T)</f>
        <v>0</v>
      </c>
      <c r="R113">
        <f>SUMIF(RecoveredRaw!$B:$B,$A113,RecoveredRaw!U:U)</f>
        <v>0</v>
      </c>
      <c r="S113">
        <f>SUMIF(RecoveredRaw!$B:$B,$A113,RecoveredRaw!V:V)</f>
        <v>0</v>
      </c>
      <c r="T113">
        <f>SUMIF(RecoveredRaw!$B:$B,$A113,RecoveredRaw!W:W)</f>
        <v>0</v>
      </c>
      <c r="U113">
        <f>SUMIF(RecoveredRaw!$B:$B,$A113,RecoveredRaw!X:X)</f>
        <v>0</v>
      </c>
      <c r="V113">
        <f>SUMIF(RecoveredRaw!$B:$B,$A113,RecoveredRaw!Y:Y)</f>
        <v>0</v>
      </c>
      <c r="W113">
        <f>SUMIF(RecoveredRaw!$B:$B,$A113,RecoveredRaw!Z:Z)</f>
        <v>0</v>
      </c>
      <c r="X113">
        <f>SUMIF(RecoveredRaw!$B:$B,$A113,RecoveredRaw!AA:AA)</f>
        <v>0</v>
      </c>
      <c r="Y113">
        <f>SUMIF(RecoveredRaw!$B:$B,$A113,RecoveredRaw!AB:AB)</f>
        <v>0</v>
      </c>
      <c r="Z113">
        <f>SUMIF(RecoveredRaw!$B:$B,$A113,RecoveredRaw!AC:AC)</f>
        <v>0</v>
      </c>
      <c r="AA113">
        <f>SUMIF(RecoveredRaw!$B:$B,$A113,RecoveredRaw!AD:AD)</f>
        <v>0</v>
      </c>
      <c r="AB113">
        <f>SUMIF(RecoveredRaw!$B:$B,$A113,RecoveredRaw!AE:AE)</f>
        <v>0</v>
      </c>
      <c r="AC113">
        <f>SUMIF(RecoveredRaw!$B:$B,$A113,RecoveredRaw!AF:AF)</f>
        <v>0</v>
      </c>
      <c r="AD113">
        <f>SUMIF(RecoveredRaw!$B:$B,$A113,RecoveredRaw!AG:AG)</f>
        <v>0</v>
      </c>
      <c r="AE113">
        <f>SUMIF(RecoveredRaw!$B:$B,$A113,RecoveredRaw!AH:AH)</f>
        <v>0</v>
      </c>
      <c r="AF113">
        <f>SUMIF(RecoveredRaw!$B:$B,$A113,RecoveredRaw!AI:AI)</f>
        <v>0</v>
      </c>
      <c r="AG113">
        <f>SUMIF(RecoveredRaw!$B:$B,$A113,RecoveredRaw!AJ:AJ)</f>
        <v>0</v>
      </c>
      <c r="AH113">
        <f>SUMIF(RecoveredRaw!$B:$B,$A113,RecoveredRaw!AK:AK)</f>
        <v>0</v>
      </c>
      <c r="AI113">
        <f>SUMIF(RecoveredRaw!$B:$B,$A113,RecoveredRaw!AL:AL)</f>
        <v>0</v>
      </c>
      <c r="AJ113">
        <f>SUMIF(RecoveredRaw!$B:$B,$A113,RecoveredRaw!AM:AM)</f>
        <v>0</v>
      </c>
      <c r="AK113">
        <f>SUMIF(RecoveredRaw!$B:$B,$A113,RecoveredRaw!AN:AN)</f>
        <v>0</v>
      </c>
      <c r="AL113">
        <f>SUMIF(RecoveredRaw!$B:$B,$A113,RecoveredRaw!AO:AO)</f>
        <v>0</v>
      </c>
      <c r="AM113">
        <f>SUMIF(RecoveredRaw!$B:$B,$A113,RecoveredRaw!AP:AP)</f>
        <v>0</v>
      </c>
      <c r="AN113">
        <f>SUMIF(RecoveredRaw!$B:$B,$A113,RecoveredRaw!AQ:AQ)</f>
        <v>0</v>
      </c>
      <c r="AO113">
        <f>SUMIF(RecoveredRaw!$B:$B,$A113,RecoveredRaw!AR:AR)</f>
        <v>0</v>
      </c>
      <c r="AP113">
        <f>SUMIF(RecoveredRaw!$B:$B,$A113,RecoveredRaw!AS:AS)</f>
        <v>0</v>
      </c>
      <c r="AQ113">
        <f>SUMIF(RecoveredRaw!$B:$B,$A113,RecoveredRaw!AT:AT)</f>
        <v>0</v>
      </c>
      <c r="AR113">
        <f>SUMIF(RecoveredRaw!$B:$B,$A113,RecoveredRaw!AU:AU)</f>
        <v>0</v>
      </c>
      <c r="AS113">
        <f>SUMIF(RecoveredRaw!$B:$B,$A113,RecoveredRaw!AV:AV)</f>
        <v>0</v>
      </c>
      <c r="AT113">
        <f>SUMIF(RecoveredRaw!$B:$B,$A113,RecoveredRaw!AW:AW)</f>
        <v>0</v>
      </c>
      <c r="AU113">
        <f>SUMIF(RecoveredRaw!$B:$B,$A113,RecoveredRaw!AX:AX)</f>
        <v>0</v>
      </c>
      <c r="AV113">
        <f>SUMIF(RecoveredRaw!$B:$B,$A113,RecoveredRaw!AY:AY)</f>
        <v>0</v>
      </c>
      <c r="AW113">
        <f>SUMIF(RecoveredRaw!$B:$B,$A113,RecoveredRaw!AZ:AZ)</f>
        <v>0</v>
      </c>
      <c r="AX113">
        <f>SUMIF(RecoveredRaw!$B:$B,$A113,RecoveredRaw!BA:BA)</f>
        <v>0</v>
      </c>
      <c r="AY113">
        <f>SUMIF(RecoveredRaw!$B:$B,$A113,RecoveredRaw!BB:BB)</f>
        <v>0</v>
      </c>
      <c r="AZ113">
        <f>SUMIF(RecoveredRaw!$B:$B,$A113,RecoveredRaw!BC:BC)</f>
        <v>0</v>
      </c>
      <c r="BA113">
        <f>SUMIF(RecoveredRaw!$B:$B,$A113,RecoveredRaw!BD:BD)</f>
        <v>0</v>
      </c>
      <c r="BB113">
        <f>SUMIF(RecoveredRaw!$B:$B,$A113,RecoveredRaw!BE:BE)</f>
        <v>0</v>
      </c>
      <c r="BC113">
        <f>SUMIF(RecoveredRaw!$B:$B,$A113,RecoveredRaw!BF:BF)</f>
        <v>0</v>
      </c>
      <c r="BD113">
        <f>SUMIF(RecoveredRaw!$B:$B,$A113,RecoveredRaw!BG:BG)</f>
        <v>0</v>
      </c>
      <c r="BE113">
        <f>SUMIF(RecoveredRaw!$B:$B,$A113,RecoveredRaw!BH:BH)</f>
        <v>0</v>
      </c>
      <c r="BF113">
        <f>SUMIF(RecoveredRaw!$B:$B,$A113,RecoveredRaw!BI:BI)</f>
        <v>0</v>
      </c>
      <c r="BG113">
        <f>SUMIF(RecoveredRaw!$B:$B,$A113,RecoveredRaw!BJ:BJ)</f>
        <v>0</v>
      </c>
      <c r="BH113">
        <f>SUMIF(RecoveredRaw!$B:$B,$A113,RecoveredRaw!BK:BK)</f>
        <v>0</v>
      </c>
      <c r="BI113">
        <f>SUMIF(RecoveredRaw!$B:$B,$A113,RecoveredRaw!BL:BL)</f>
        <v>0</v>
      </c>
      <c r="BJ113">
        <f>SUMIF(RecoveredRaw!$B:$B,$A113,RecoveredRaw!BM:BM)</f>
        <v>0</v>
      </c>
      <c r="BK113">
        <f>SUMIF(RecoveredRaw!$B:$B,$A113,RecoveredRaw!BN:BN)</f>
        <v>0</v>
      </c>
      <c r="BL113">
        <f>SUMIF(RecoveredRaw!$B:$B,$A113,RecoveredRaw!BO:BO)</f>
        <v>0</v>
      </c>
      <c r="BM113">
        <f>SUMIF(RecoveredRaw!$B:$B,$A113,RecoveredRaw!BP:BP)</f>
        <v>0</v>
      </c>
      <c r="BN113">
        <f>SUMIF(RecoveredRaw!$B:$B,$A113,RecoveredRaw!BQ:BQ)</f>
        <v>0</v>
      </c>
      <c r="BO113">
        <f>SUMIF(RecoveredRaw!$B:$B,$A113,RecoveredRaw!BR:BR)</f>
        <v>0</v>
      </c>
      <c r="BP113">
        <f>SUMIF(RecoveredRaw!$B:$B,$A113,RecoveredRaw!BS:BS)</f>
        <v>0</v>
      </c>
      <c r="BQ113">
        <f>SUMIF(RecoveredRaw!$B:$B,$A113,RecoveredRaw!BT:BT)</f>
        <v>0</v>
      </c>
      <c r="BR113">
        <f>SUMIF(RecoveredRaw!$B:$B,$A113,RecoveredRaw!BU:BU)</f>
        <v>0</v>
      </c>
      <c r="BS113">
        <f>SUMIF(RecoveredRaw!$B:$B,$A113,RecoveredRaw!BV:BV)</f>
        <v>0</v>
      </c>
      <c r="BT113">
        <f>SUMIF(RecoveredRaw!$B:$B,$A113,RecoveredRaw!BW:BW)</f>
        <v>0</v>
      </c>
    </row>
    <row r="114" spans="1:72" ht="15" thickBot="1" x14ac:dyDescent="0.35">
      <c r="A114" s="3" t="s">
        <v>352</v>
      </c>
      <c r="B114">
        <f>SUMIF(RecoveredRaw!$B:$B,$A114,RecoveredRaw!E:E)</f>
        <v>0</v>
      </c>
      <c r="C114">
        <f>SUMIF(RecoveredRaw!$B:$B,$A114,RecoveredRaw!F:F)</f>
        <v>0</v>
      </c>
      <c r="D114">
        <f>SUMIF(RecoveredRaw!$B:$B,$A114,RecoveredRaw!G:G)</f>
        <v>0</v>
      </c>
      <c r="E114">
        <f>SUMIF(RecoveredRaw!$B:$B,$A114,RecoveredRaw!H:H)</f>
        <v>0</v>
      </c>
      <c r="F114">
        <f>SUMIF(RecoveredRaw!$B:$B,$A114,RecoveredRaw!I:I)</f>
        <v>0</v>
      </c>
      <c r="G114">
        <f>SUMIF(RecoveredRaw!$B:$B,$A114,RecoveredRaw!J:J)</f>
        <v>0</v>
      </c>
      <c r="H114">
        <f>SUMIF(RecoveredRaw!$B:$B,$A114,RecoveredRaw!K:K)</f>
        <v>0</v>
      </c>
      <c r="I114">
        <f>SUMIF(RecoveredRaw!$B:$B,$A114,RecoveredRaw!L:L)</f>
        <v>0</v>
      </c>
      <c r="J114">
        <f>SUMIF(RecoveredRaw!$B:$B,$A114,RecoveredRaw!M:M)</f>
        <v>0</v>
      </c>
      <c r="K114">
        <f>SUMIF(RecoveredRaw!$B:$B,$A114,RecoveredRaw!N:N)</f>
        <v>0</v>
      </c>
      <c r="L114">
        <f>SUMIF(RecoveredRaw!$B:$B,$A114,RecoveredRaw!O:O)</f>
        <v>0</v>
      </c>
      <c r="M114">
        <f>SUMIF(RecoveredRaw!$B:$B,$A114,RecoveredRaw!P:P)</f>
        <v>0</v>
      </c>
      <c r="N114">
        <f>SUMIF(RecoveredRaw!$B:$B,$A114,RecoveredRaw!Q:Q)</f>
        <v>0</v>
      </c>
      <c r="O114">
        <f>SUMIF(RecoveredRaw!$B:$B,$A114,RecoveredRaw!R:R)</f>
        <v>0</v>
      </c>
      <c r="P114">
        <f>SUMIF(RecoveredRaw!$B:$B,$A114,RecoveredRaw!S:S)</f>
        <v>0</v>
      </c>
      <c r="Q114">
        <f>SUMIF(RecoveredRaw!$B:$B,$A114,RecoveredRaw!T:T)</f>
        <v>0</v>
      </c>
      <c r="R114">
        <f>SUMIF(RecoveredRaw!$B:$B,$A114,RecoveredRaw!U:U)</f>
        <v>0</v>
      </c>
      <c r="S114">
        <f>SUMIF(RecoveredRaw!$B:$B,$A114,RecoveredRaw!V:V)</f>
        <v>0</v>
      </c>
      <c r="T114">
        <f>SUMIF(RecoveredRaw!$B:$B,$A114,RecoveredRaw!W:W)</f>
        <v>0</v>
      </c>
      <c r="U114">
        <f>SUMIF(RecoveredRaw!$B:$B,$A114,RecoveredRaw!X:X)</f>
        <v>0</v>
      </c>
      <c r="V114">
        <f>SUMIF(RecoveredRaw!$B:$B,$A114,RecoveredRaw!Y:Y)</f>
        <v>0</v>
      </c>
      <c r="W114">
        <f>SUMIF(RecoveredRaw!$B:$B,$A114,RecoveredRaw!Z:Z)</f>
        <v>0</v>
      </c>
      <c r="X114">
        <f>SUMIF(RecoveredRaw!$B:$B,$A114,RecoveredRaw!AA:AA)</f>
        <v>0</v>
      </c>
      <c r="Y114">
        <f>SUMIF(RecoveredRaw!$B:$B,$A114,RecoveredRaw!AB:AB)</f>
        <v>0</v>
      </c>
      <c r="Z114">
        <f>SUMIF(RecoveredRaw!$B:$B,$A114,RecoveredRaw!AC:AC)</f>
        <v>0</v>
      </c>
      <c r="AA114">
        <f>SUMIF(RecoveredRaw!$B:$B,$A114,RecoveredRaw!AD:AD)</f>
        <v>0</v>
      </c>
      <c r="AB114">
        <f>SUMIF(RecoveredRaw!$B:$B,$A114,RecoveredRaw!AE:AE)</f>
        <v>0</v>
      </c>
      <c r="AC114">
        <f>SUMIF(RecoveredRaw!$B:$B,$A114,RecoveredRaw!AF:AF)</f>
        <v>0</v>
      </c>
      <c r="AD114">
        <f>SUMIF(RecoveredRaw!$B:$B,$A114,RecoveredRaw!AG:AG)</f>
        <v>0</v>
      </c>
      <c r="AE114">
        <f>SUMIF(RecoveredRaw!$B:$B,$A114,RecoveredRaw!AH:AH)</f>
        <v>0</v>
      </c>
      <c r="AF114">
        <f>SUMIF(RecoveredRaw!$B:$B,$A114,RecoveredRaw!AI:AI)</f>
        <v>0</v>
      </c>
      <c r="AG114">
        <f>SUMIF(RecoveredRaw!$B:$B,$A114,RecoveredRaw!AJ:AJ)</f>
        <v>0</v>
      </c>
      <c r="AH114">
        <f>SUMIF(RecoveredRaw!$B:$B,$A114,RecoveredRaw!AK:AK)</f>
        <v>0</v>
      </c>
      <c r="AI114">
        <f>SUMIF(RecoveredRaw!$B:$B,$A114,RecoveredRaw!AL:AL)</f>
        <v>0</v>
      </c>
      <c r="AJ114">
        <f>SUMIF(RecoveredRaw!$B:$B,$A114,RecoveredRaw!AM:AM)</f>
        <v>0</v>
      </c>
      <c r="AK114">
        <f>SUMIF(RecoveredRaw!$B:$B,$A114,RecoveredRaw!AN:AN)</f>
        <v>0</v>
      </c>
      <c r="AL114">
        <f>SUMIF(RecoveredRaw!$B:$B,$A114,RecoveredRaw!AO:AO)</f>
        <v>0</v>
      </c>
      <c r="AM114">
        <f>SUMIF(RecoveredRaw!$B:$B,$A114,RecoveredRaw!AP:AP)</f>
        <v>0</v>
      </c>
      <c r="AN114">
        <f>SUMIF(RecoveredRaw!$B:$B,$A114,RecoveredRaw!AQ:AQ)</f>
        <v>0</v>
      </c>
      <c r="AO114">
        <f>SUMIF(RecoveredRaw!$B:$B,$A114,RecoveredRaw!AR:AR)</f>
        <v>0</v>
      </c>
      <c r="AP114">
        <f>SUMIF(RecoveredRaw!$B:$B,$A114,RecoveredRaw!AS:AS)</f>
        <v>0</v>
      </c>
      <c r="AQ114">
        <f>SUMIF(RecoveredRaw!$B:$B,$A114,RecoveredRaw!AT:AT)</f>
        <v>0</v>
      </c>
      <c r="AR114">
        <f>SUMIF(RecoveredRaw!$B:$B,$A114,RecoveredRaw!AU:AU)</f>
        <v>0</v>
      </c>
      <c r="AS114">
        <f>SUMIF(RecoveredRaw!$B:$B,$A114,RecoveredRaw!AV:AV)</f>
        <v>0</v>
      </c>
      <c r="AT114">
        <f>SUMIF(RecoveredRaw!$B:$B,$A114,RecoveredRaw!AW:AW)</f>
        <v>0</v>
      </c>
      <c r="AU114">
        <f>SUMIF(RecoveredRaw!$B:$B,$A114,RecoveredRaw!AX:AX)</f>
        <v>0</v>
      </c>
      <c r="AV114">
        <f>SUMIF(RecoveredRaw!$B:$B,$A114,RecoveredRaw!AY:AY)</f>
        <v>0</v>
      </c>
      <c r="AW114">
        <f>SUMIF(RecoveredRaw!$B:$B,$A114,RecoveredRaw!AZ:AZ)</f>
        <v>0</v>
      </c>
      <c r="AX114">
        <f>SUMIF(RecoveredRaw!$B:$B,$A114,RecoveredRaw!BA:BA)</f>
        <v>0</v>
      </c>
      <c r="AY114">
        <f>SUMIF(RecoveredRaw!$B:$B,$A114,RecoveredRaw!BB:BB)</f>
        <v>0</v>
      </c>
      <c r="AZ114">
        <f>SUMIF(RecoveredRaw!$B:$B,$A114,RecoveredRaw!BC:BC)</f>
        <v>0</v>
      </c>
      <c r="BA114">
        <f>SUMIF(RecoveredRaw!$B:$B,$A114,RecoveredRaw!BD:BD)</f>
        <v>0</v>
      </c>
      <c r="BB114">
        <f>SUMIF(RecoveredRaw!$B:$B,$A114,RecoveredRaw!BE:BE)</f>
        <v>0</v>
      </c>
      <c r="BC114">
        <f>SUMIF(RecoveredRaw!$B:$B,$A114,RecoveredRaw!BF:BF)</f>
        <v>0</v>
      </c>
      <c r="BD114">
        <f>SUMIF(RecoveredRaw!$B:$B,$A114,RecoveredRaw!BG:BG)</f>
        <v>0</v>
      </c>
      <c r="BE114">
        <f>SUMIF(RecoveredRaw!$B:$B,$A114,RecoveredRaw!BH:BH)</f>
        <v>1</v>
      </c>
      <c r="BF114">
        <f>SUMIF(RecoveredRaw!$B:$B,$A114,RecoveredRaw!BI:BI)</f>
        <v>1</v>
      </c>
      <c r="BG114">
        <f>SUMIF(RecoveredRaw!$B:$B,$A114,RecoveredRaw!BJ:BJ)</f>
        <v>1</v>
      </c>
      <c r="BH114">
        <f>SUMIF(RecoveredRaw!$B:$B,$A114,RecoveredRaw!BK:BK)</f>
        <v>1</v>
      </c>
      <c r="BI114">
        <f>SUMIF(RecoveredRaw!$B:$B,$A114,RecoveredRaw!BL:BL)</f>
        <v>0</v>
      </c>
      <c r="BJ114">
        <f>SUMIF(RecoveredRaw!$B:$B,$A114,RecoveredRaw!BM:BM)</f>
        <v>0</v>
      </c>
      <c r="BK114">
        <f>SUMIF(RecoveredRaw!$B:$B,$A114,RecoveredRaw!BN:BN)</f>
        <v>0</v>
      </c>
      <c r="BL114">
        <f>SUMIF(RecoveredRaw!$B:$B,$A114,RecoveredRaw!BO:BO)</f>
        <v>0</v>
      </c>
      <c r="BM114">
        <f>SUMIF(RecoveredRaw!$B:$B,$A114,RecoveredRaw!BP:BP)</f>
        <v>0</v>
      </c>
      <c r="BN114">
        <f>SUMIF(RecoveredRaw!$B:$B,$A114,RecoveredRaw!BQ:BQ)</f>
        <v>0</v>
      </c>
      <c r="BO114">
        <f>SUMIF(RecoveredRaw!$B:$B,$A114,RecoveredRaw!BR:BR)</f>
        <v>0</v>
      </c>
      <c r="BP114">
        <f>SUMIF(RecoveredRaw!$B:$B,$A114,RecoveredRaw!BS:BS)</f>
        <v>0</v>
      </c>
      <c r="BQ114">
        <f>SUMIF(RecoveredRaw!$B:$B,$A114,RecoveredRaw!BT:BT)</f>
        <v>0</v>
      </c>
      <c r="BR114">
        <f>SUMIF(RecoveredRaw!$B:$B,$A114,RecoveredRaw!BU:BU)</f>
        <v>0</v>
      </c>
      <c r="BS114">
        <f>SUMIF(RecoveredRaw!$B:$B,$A114,RecoveredRaw!BV:BV)</f>
        <v>0</v>
      </c>
      <c r="BT114">
        <f>SUMIF(RecoveredRaw!$B:$B,$A114,RecoveredRaw!BW:BW)</f>
        <v>0</v>
      </c>
    </row>
    <row r="115" spans="1:72" ht="15" thickBot="1" x14ac:dyDescent="0.35">
      <c r="A115" s="4" t="s">
        <v>419</v>
      </c>
      <c r="B115">
        <f>SUMIF(RecoveredRaw!$B:$B,$A115,RecoveredRaw!E:E)</f>
        <v>0</v>
      </c>
      <c r="C115">
        <f>SUMIF(RecoveredRaw!$B:$B,$A115,RecoveredRaw!F:F)</f>
        <v>0</v>
      </c>
      <c r="D115">
        <f>SUMIF(RecoveredRaw!$B:$B,$A115,RecoveredRaw!G:G)</f>
        <v>0</v>
      </c>
      <c r="E115">
        <f>SUMIF(RecoveredRaw!$B:$B,$A115,RecoveredRaw!H:H)</f>
        <v>0</v>
      </c>
      <c r="F115">
        <f>SUMIF(RecoveredRaw!$B:$B,$A115,RecoveredRaw!I:I)</f>
        <v>0</v>
      </c>
      <c r="G115">
        <f>SUMIF(RecoveredRaw!$B:$B,$A115,RecoveredRaw!J:J)</f>
        <v>0</v>
      </c>
      <c r="H115">
        <f>SUMIF(RecoveredRaw!$B:$B,$A115,RecoveredRaw!K:K)</f>
        <v>0</v>
      </c>
      <c r="I115">
        <f>SUMIF(RecoveredRaw!$B:$B,$A115,RecoveredRaw!L:L)</f>
        <v>0</v>
      </c>
      <c r="J115">
        <f>SUMIF(RecoveredRaw!$B:$B,$A115,RecoveredRaw!M:M)</f>
        <v>0</v>
      </c>
      <c r="K115">
        <f>SUMIF(RecoveredRaw!$B:$B,$A115,RecoveredRaw!N:N)</f>
        <v>0</v>
      </c>
      <c r="L115">
        <f>SUMIF(RecoveredRaw!$B:$B,$A115,RecoveredRaw!O:O)</f>
        <v>0</v>
      </c>
      <c r="M115">
        <f>SUMIF(RecoveredRaw!$B:$B,$A115,RecoveredRaw!P:P)</f>
        <v>0</v>
      </c>
      <c r="N115">
        <f>SUMIF(RecoveredRaw!$B:$B,$A115,RecoveredRaw!Q:Q)</f>
        <v>0</v>
      </c>
      <c r="O115">
        <f>SUMIF(RecoveredRaw!$B:$B,$A115,RecoveredRaw!R:R)</f>
        <v>0</v>
      </c>
      <c r="P115">
        <f>SUMIF(RecoveredRaw!$B:$B,$A115,RecoveredRaw!S:S)</f>
        <v>0</v>
      </c>
      <c r="Q115">
        <f>SUMIF(RecoveredRaw!$B:$B,$A115,RecoveredRaw!T:T)</f>
        <v>0</v>
      </c>
      <c r="R115">
        <f>SUMIF(RecoveredRaw!$B:$B,$A115,RecoveredRaw!U:U)</f>
        <v>0</v>
      </c>
      <c r="S115">
        <f>SUMIF(RecoveredRaw!$B:$B,$A115,RecoveredRaw!V:V)</f>
        <v>0</v>
      </c>
      <c r="T115">
        <f>SUMIF(RecoveredRaw!$B:$B,$A115,RecoveredRaw!W:W)</f>
        <v>0</v>
      </c>
      <c r="U115">
        <f>SUMIF(RecoveredRaw!$B:$B,$A115,RecoveredRaw!X:X)</f>
        <v>0</v>
      </c>
      <c r="V115">
        <f>SUMIF(RecoveredRaw!$B:$B,$A115,RecoveredRaw!Y:Y)</f>
        <v>0</v>
      </c>
      <c r="W115">
        <f>SUMIF(RecoveredRaw!$B:$B,$A115,RecoveredRaw!Z:Z)</f>
        <v>0</v>
      </c>
      <c r="X115">
        <f>SUMIF(RecoveredRaw!$B:$B,$A115,RecoveredRaw!AA:AA)</f>
        <v>0</v>
      </c>
      <c r="Y115">
        <f>SUMIF(RecoveredRaw!$B:$B,$A115,RecoveredRaw!AB:AB)</f>
        <v>0</v>
      </c>
      <c r="Z115">
        <f>SUMIF(RecoveredRaw!$B:$B,$A115,RecoveredRaw!AC:AC)</f>
        <v>0</v>
      </c>
      <c r="AA115">
        <f>SUMIF(RecoveredRaw!$B:$B,$A115,RecoveredRaw!AD:AD)</f>
        <v>0</v>
      </c>
      <c r="AB115">
        <f>SUMIF(RecoveredRaw!$B:$B,$A115,RecoveredRaw!AE:AE)</f>
        <v>0</v>
      </c>
      <c r="AC115">
        <f>SUMIF(RecoveredRaw!$B:$B,$A115,RecoveredRaw!AF:AF)</f>
        <v>0</v>
      </c>
      <c r="AD115">
        <f>SUMIF(RecoveredRaw!$B:$B,$A115,RecoveredRaw!AG:AG)</f>
        <v>0</v>
      </c>
      <c r="AE115">
        <f>SUMIF(RecoveredRaw!$B:$B,$A115,RecoveredRaw!AH:AH)</f>
        <v>0</v>
      </c>
      <c r="AF115">
        <f>SUMIF(RecoveredRaw!$B:$B,$A115,RecoveredRaw!AI:AI)</f>
        <v>0</v>
      </c>
      <c r="AG115">
        <f>SUMIF(RecoveredRaw!$B:$B,$A115,RecoveredRaw!AJ:AJ)</f>
        <v>0</v>
      </c>
      <c r="AH115">
        <f>SUMIF(RecoveredRaw!$B:$B,$A115,RecoveredRaw!AK:AK)</f>
        <v>0</v>
      </c>
      <c r="AI115">
        <f>SUMIF(RecoveredRaw!$B:$B,$A115,RecoveredRaw!AL:AL)</f>
        <v>0</v>
      </c>
      <c r="AJ115">
        <f>SUMIF(RecoveredRaw!$B:$B,$A115,RecoveredRaw!AM:AM)</f>
        <v>0</v>
      </c>
      <c r="AK115">
        <f>SUMIF(RecoveredRaw!$B:$B,$A115,RecoveredRaw!AN:AN)</f>
        <v>0</v>
      </c>
      <c r="AL115">
        <f>SUMIF(RecoveredRaw!$B:$B,$A115,RecoveredRaw!AO:AO)</f>
        <v>0</v>
      </c>
      <c r="AM115">
        <f>SUMIF(RecoveredRaw!$B:$B,$A115,RecoveredRaw!AP:AP)</f>
        <v>0</v>
      </c>
      <c r="AN115">
        <f>SUMIF(RecoveredRaw!$B:$B,$A115,RecoveredRaw!AQ:AQ)</f>
        <v>0</v>
      </c>
      <c r="AO115">
        <f>SUMIF(RecoveredRaw!$B:$B,$A115,RecoveredRaw!AR:AR)</f>
        <v>0</v>
      </c>
      <c r="AP115">
        <f>SUMIF(RecoveredRaw!$B:$B,$A115,RecoveredRaw!AS:AS)</f>
        <v>0</v>
      </c>
      <c r="AQ115">
        <f>SUMIF(RecoveredRaw!$B:$B,$A115,RecoveredRaw!AT:AT)</f>
        <v>0</v>
      </c>
      <c r="AR115">
        <f>SUMIF(RecoveredRaw!$B:$B,$A115,RecoveredRaw!AU:AU)</f>
        <v>0</v>
      </c>
      <c r="AS115">
        <f>SUMIF(RecoveredRaw!$B:$B,$A115,RecoveredRaw!AV:AV)</f>
        <v>0</v>
      </c>
      <c r="AT115">
        <f>SUMIF(RecoveredRaw!$B:$B,$A115,RecoveredRaw!AW:AW)</f>
        <v>0</v>
      </c>
      <c r="AU115">
        <f>SUMIF(RecoveredRaw!$B:$B,$A115,RecoveredRaw!AX:AX)</f>
        <v>0</v>
      </c>
      <c r="AV115">
        <f>SUMIF(RecoveredRaw!$B:$B,$A115,RecoveredRaw!AY:AY)</f>
        <v>0</v>
      </c>
      <c r="AW115">
        <f>SUMIF(RecoveredRaw!$B:$B,$A115,RecoveredRaw!AZ:AZ)</f>
        <v>0</v>
      </c>
      <c r="AX115">
        <f>SUMIF(RecoveredRaw!$B:$B,$A115,RecoveredRaw!BA:BA)</f>
        <v>0</v>
      </c>
      <c r="AY115">
        <f>SUMIF(RecoveredRaw!$B:$B,$A115,RecoveredRaw!BB:BB)</f>
        <v>0</v>
      </c>
      <c r="AZ115">
        <f>SUMIF(RecoveredRaw!$B:$B,$A115,RecoveredRaw!BC:BC)</f>
        <v>0</v>
      </c>
      <c r="BA115">
        <f>SUMIF(RecoveredRaw!$B:$B,$A115,RecoveredRaw!BD:BD)</f>
        <v>0</v>
      </c>
      <c r="BB115">
        <f>SUMIF(RecoveredRaw!$B:$B,$A115,RecoveredRaw!BE:BE)</f>
        <v>0</v>
      </c>
      <c r="BC115">
        <f>SUMIF(RecoveredRaw!$B:$B,$A115,RecoveredRaw!BF:BF)</f>
        <v>0</v>
      </c>
      <c r="BD115">
        <f>SUMIF(RecoveredRaw!$B:$B,$A115,RecoveredRaw!BG:BG)</f>
        <v>0</v>
      </c>
      <c r="BE115">
        <f>SUMIF(RecoveredRaw!$B:$B,$A115,RecoveredRaw!BH:BH)</f>
        <v>0</v>
      </c>
      <c r="BF115">
        <f>SUMIF(RecoveredRaw!$B:$B,$A115,RecoveredRaw!BI:BI)</f>
        <v>0</v>
      </c>
      <c r="BG115">
        <f>SUMIF(RecoveredRaw!$B:$B,$A115,RecoveredRaw!BJ:BJ)</f>
        <v>0</v>
      </c>
      <c r="BH115">
        <f>SUMIF(RecoveredRaw!$B:$B,$A115,RecoveredRaw!BK:BK)</f>
        <v>0</v>
      </c>
      <c r="BI115">
        <f>SUMIF(RecoveredRaw!$B:$B,$A115,RecoveredRaw!BL:BL)</f>
        <v>0</v>
      </c>
      <c r="BJ115">
        <f>SUMIF(RecoveredRaw!$B:$B,$A115,RecoveredRaw!BM:BM)</f>
        <v>0</v>
      </c>
      <c r="BK115">
        <f>SUMIF(RecoveredRaw!$B:$B,$A115,RecoveredRaw!BN:BN)</f>
        <v>0</v>
      </c>
      <c r="BL115">
        <f>SUMIF(RecoveredRaw!$B:$B,$A115,RecoveredRaw!BO:BO)</f>
        <v>0</v>
      </c>
      <c r="BM115">
        <f>SUMIF(RecoveredRaw!$B:$B,$A115,RecoveredRaw!BP:BP)</f>
        <v>0</v>
      </c>
      <c r="BN115">
        <f>SUMIF(RecoveredRaw!$B:$B,$A115,RecoveredRaw!BQ:BQ)</f>
        <v>0</v>
      </c>
      <c r="BO115">
        <f>SUMIF(RecoveredRaw!$B:$B,$A115,RecoveredRaw!BR:BR)</f>
        <v>0</v>
      </c>
      <c r="BP115">
        <f>SUMIF(RecoveredRaw!$B:$B,$A115,RecoveredRaw!BS:BS)</f>
        <v>0</v>
      </c>
      <c r="BQ115">
        <f>SUMIF(RecoveredRaw!$B:$B,$A115,RecoveredRaw!BT:BT)</f>
        <v>0</v>
      </c>
      <c r="BR115">
        <f>SUMIF(RecoveredRaw!$B:$B,$A115,RecoveredRaw!BU:BU)</f>
        <v>0</v>
      </c>
      <c r="BS115">
        <f>SUMIF(RecoveredRaw!$B:$B,$A115,RecoveredRaw!BV:BV)</f>
        <v>0</v>
      </c>
      <c r="BT115">
        <f>SUMIF(RecoveredRaw!$B:$B,$A115,RecoveredRaw!BW:BW)</f>
        <v>0</v>
      </c>
    </row>
    <row r="116" spans="1:72" ht="15" thickBot="1" x14ac:dyDescent="0.35">
      <c r="A116" s="3" t="s">
        <v>416</v>
      </c>
      <c r="B116">
        <f>SUMIF(RecoveredRaw!$B:$B,$A116,RecoveredRaw!E:E)</f>
        <v>0</v>
      </c>
      <c r="C116">
        <f>SUMIF(RecoveredRaw!$B:$B,$A116,RecoveredRaw!F:F)</f>
        <v>0</v>
      </c>
      <c r="D116">
        <f>SUMIF(RecoveredRaw!$B:$B,$A116,RecoveredRaw!G:G)</f>
        <v>0</v>
      </c>
      <c r="E116">
        <f>SUMIF(RecoveredRaw!$B:$B,$A116,RecoveredRaw!H:H)</f>
        <v>0</v>
      </c>
      <c r="F116">
        <f>SUMIF(RecoveredRaw!$B:$B,$A116,RecoveredRaw!I:I)</f>
        <v>0</v>
      </c>
      <c r="G116">
        <f>SUMIF(RecoveredRaw!$B:$B,$A116,RecoveredRaw!J:J)</f>
        <v>0</v>
      </c>
      <c r="H116">
        <f>SUMIF(RecoveredRaw!$B:$B,$A116,RecoveredRaw!K:K)</f>
        <v>0</v>
      </c>
      <c r="I116">
        <f>SUMIF(RecoveredRaw!$B:$B,$A116,RecoveredRaw!L:L)</f>
        <v>0</v>
      </c>
      <c r="J116">
        <f>SUMIF(RecoveredRaw!$B:$B,$A116,RecoveredRaw!M:M)</f>
        <v>0</v>
      </c>
      <c r="K116">
        <f>SUMIF(RecoveredRaw!$B:$B,$A116,RecoveredRaw!N:N)</f>
        <v>0</v>
      </c>
      <c r="L116">
        <f>SUMIF(RecoveredRaw!$B:$B,$A116,RecoveredRaw!O:O)</f>
        <v>0</v>
      </c>
      <c r="M116">
        <f>SUMIF(RecoveredRaw!$B:$B,$A116,RecoveredRaw!P:P)</f>
        <v>0</v>
      </c>
      <c r="N116">
        <f>SUMIF(RecoveredRaw!$B:$B,$A116,RecoveredRaw!Q:Q)</f>
        <v>0</v>
      </c>
      <c r="O116">
        <f>SUMIF(RecoveredRaw!$B:$B,$A116,RecoveredRaw!R:R)</f>
        <v>0</v>
      </c>
      <c r="P116">
        <f>SUMIF(RecoveredRaw!$B:$B,$A116,RecoveredRaw!S:S)</f>
        <v>0</v>
      </c>
      <c r="Q116">
        <f>SUMIF(RecoveredRaw!$B:$B,$A116,RecoveredRaw!T:T)</f>
        <v>0</v>
      </c>
      <c r="R116">
        <f>SUMIF(RecoveredRaw!$B:$B,$A116,RecoveredRaw!U:U)</f>
        <v>0</v>
      </c>
      <c r="S116">
        <f>SUMIF(RecoveredRaw!$B:$B,$A116,RecoveredRaw!V:V)</f>
        <v>0</v>
      </c>
      <c r="T116">
        <f>SUMIF(RecoveredRaw!$B:$B,$A116,RecoveredRaw!W:W)</f>
        <v>0</v>
      </c>
      <c r="U116">
        <f>SUMIF(RecoveredRaw!$B:$B,$A116,RecoveredRaw!X:X)</f>
        <v>0</v>
      </c>
      <c r="V116">
        <f>SUMIF(RecoveredRaw!$B:$B,$A116,RecoveredRaw!Y:Y)</f>
        <v>0</v>
      </c>
      <c r="W116">
        <f>SUMIF(RecoveredRaw!$B:$B,$A116,RecoveredRaw!Z:Z)</f>
        <v>0</v>
      </c>
      <c r="X116">
        <f>SUMIF(RecoveredRaw!$B:$B,$A116,RecoveredRaw!AA:AA)</f>
        <v>0</v>
      </c>
      <c r="Y116">
        <f>SUMIF(RecoveredRaw!$B:$B,$A116,RecoveredRaw!AB:AB)</f>
        <v>0</v>
      </c>
      <c r="Z116">
        <f>SUMIF(RecoveredRaw!$B:$B,$A116,RecoveredRaw!AC:AC)</f>
        <v>0</v>
      </c>
      <c r="AA116">
        <f>SUMIF(RecoveredRaw!$B:$B,$A116,RecoveredRaw!AD:AD)</f>
        <v>0</v>
      </c>
      <c r="AB116">
        <f>SUMIF(RecoveredRaw!$B:$B,$A116,RecoveredRaw!AE:AE)</f>
        <v>0</v>
      </c>
      <c r="AC116">
        <f>SUMIF(RecoveredRaw!$B:$B,$A116,RecoveredRaw!AF:AF)</f>
        <v>0</v>
      </c>
      <c r="AD116">
        <f>SUMIF(RecoveredRaw!$B:$B,$A116,RecoveredRaw!AG:AG)</f>
        <v>0</v>
      </c>
      <c r="AE116">
        <f>SUMIF(RecoveredRaw!$B:$B,$A116,RecoveredRaw!AH:AH)</f>
        <v>0</v>
      </c>
      <c r="AF116">
        <f>SUMIF(RecoveredRaw!$B:$B,$A116,RecoveredRaw!AI:AI)</f>
        <v>0</v>
      </c>
      <c r="AG116">
        <f>SUMIF(RecoveredRaw!$B:$B,$A116,RecoveredRaw!AJ:AJ)</f>
        <v>0</v>
      </c>
      <c r="AH116">
        <f>SUMIF(RecoveredRaw!$B:$B,$A116,RecoveredRaw!AK:AK)</f>
        <v>0</v>
      </c>
      <c r="AI116">
        <f>SUMIF(RecoveredRaw!$B:$B,$A116,RecoveredRaw!AL:AL)</f>
        <v>0</v>
      </c>
      <c r="AJ116">
        <f>SUMIF(RecoveredRaw!$B:$B,$A116,RecoveredRaw!AM:AM)</f>
        <v>0</v>
      </c>
      <c r="AK116">
        <f>SUMIF(RecoveredRaw!$B:$B,$A116,RecoveredRaw!AN:AN)</f>
        <v>0</v>
      </c>
      <c r="AL116">
        <f>SUMIF(RecoveredRaw!$B:$B,$A116,RecoveredRaw!AO:AO)</f>
        <v>0</v>
      </c>
      <c r="AM116">
        <f>SUMIF(RecoveredRaw!$B:$B,$A116,RecoveredRaw!AP:AP)</f>
        <v>0</v>
      </c>
      <c r="AN116">
        <f>SUMIF(RecoveredRaw!$B:$B,$A116,RecoveredRaw!AQ:AQ)</f>
        <v>0</v>
      </c>
      <c r="AO116">
        <f>SUMIF(RecoveredRaw!$B:$B,$A116,RecoveredRaw!AR:AR)</f>
        <v>0</v>
      </c>
      <c r="AP116">
        <f>SUMIF(RecoveredRaw!$B:$B,$A116,RecoveredRaw!AS:AS)</f>
        <v>0</v>
      </c>
      <c r="AQ116">
        <f>SUMIF(RecoveredRaw!$B:$B,$A116,RecoveredRaw!AT:AT)</f>
        <v>0</v>
      </c>
      <c r="AR116">
        <f>SUMIF(RecoveredRaw!$B:$B,$A116,RecoveredRaw!AU:AU)</f>
        <v>0</v>
      </c>
      <c r="AS116">
        <f>SUMIF(RecoveredRaw!$B:$B,$A116,RecoveredRaw!AV:AV)</f>
        <v>0</v>
      </c>
      <c r="AT116">
        <f>SUMIF(RecoveredRaw!$B:$B,$A116,RecoveredRaw!AW:AW)</f>
        <v>0</v>
      </c>
      <c r="AU116">
        <f>SUMIF(RecoveredRaw!$B:$B,$A116,RecoveredRaw!AX:AX)</f>
        <v>0</v>
      </c>
      <c r="AV116">
        <f>SUMIF(RecoveredRaw!$B:$B,$A116,RecoveredRaw!AY:AY)</f>
        <v>0</v>
      </c>
      <c r="AW116">
        <f>SUMIF(RecoveredRaw!$B:$B,$A116,RecoveredRaw!AZ:AZ)</f>
        <v>0</v>
      </c>
      <c r="AX116">
        <f>SUMIF(RecoveredRaw!$B:$B,$A116,RecoveredRaw!BA:BA)</f>
        <v>0</v>
      </c>
      <c r="AY116">
        <f>SUMIF(RecoveredRaw!$B:$B,$A116,RecoveredRaw!BB:BB)</f>
        <v>0</v>
      </c>
      <c r="AZ116">
        <f>SUMIF(RecoveredRaw!$B:$B,$A116,RecoveredRaw!BC:BC)</f>
        <v>0</v>
      </c>
      <c r="BA116">
        <f>SUMIF(RecoveredRaw!$B:$B,$A116,RecoveredRaw!BD:BD)</f>
        <v>0</v>
      </c>
      <c r="BB116">
        <f>SUMIF(RecoveredRaw!$B:$B,$A116,RecoveredRaw!BE:BE)</f>
        <v>0</v>
      </c>
      <c r="BC116">
        <f>SUMIF(RecoveredRaw!$B:$B,$A116,RecoveredRaw!BF:BF)</f>
        <v>0</v>
      </c>
      <c r="BD116">
        <f>SUMIF(RecoveredRaw!$B:$B,$A116,RecoveredRaw!BG:BG)</f>
        <v>0</v>
      </c>
      <c r="BE116">
        <f>SUMIF(RecoveredRaw!$B:$B,$A116,RecoveredRaw!BH:BH)</f>
        <v>0</v>
      </c>
      <c r="BF116">
        <f>SUMIF(RecoveredRaw!$B:$B,$A116,RecoveredRaw!BI:BI)</f>
        <v>0</v>
      </c>
      <c r="BG116">
        <f>SUMIF(RecoveredRaw!$B:$B,$A116,RecoveredRaw!BJ:BJ)</f>
        <v>0</v>
      </c>
      <c r="BH116">
        <f>SUMIF(RecoveredRaw!$B:$B,$A116,RecoveredRaw!BK:BK)</f>
        <v>0</v>
      </c>
      <c r="BI116">
        <f>SUMIF(RecoveredRaw!$B:$B,$A116,RecoveredRaw!BL:BL)</f>
        <v>0</v>
      </c>
      <c r="BJ116">
        <f>SUMIF(RecoveredRaw!$B:$B,$A116,RecoveredRaw!BM:BM)</f>
        <v>0</v>
      </c>
      <c r="BK116">
        <f>SUMIF(RecoveredRaw!$B:$B,$A116,RecoveredRaw!BN:BN)</f>
        <v>0</v>
      </c>
      <c r="BL116">
        <f>SUMIF(RecoveredRaw!$B:$B,$A116,RecoveredRaw!BO:BO)</f>
        <v>0</v>
      </c>
      <c r="BM116">
        <f>SUMIF(RecoveredRaw!$B:$B,$A116,RecoveredRaw!BP:BP)</f>
        <v>0</v>
      </c>
      <c r="BN116">
        <f>SUMIF(RecoveredRaw!$B:$B,$A116,RecoveredRaw!BQ:BQ)</f>
        <v>0</v>
      </c>
      <c r="BO116">
        <f>SUMIF(RecoveredRaw!$B:$B,$A116,RecoveredRaw!BR:BR)</f>
        <v>0</v>
      </c>
      <c r="BP116">
        <f>SUMIF(RecoveredRaw!$B:$B,$A116,RecoveredRaw!BS:BS)</f>
        <v>0</v>
      </c>
      <c r="BQ116">
        <f>SUMIF(RecoveredRaw!$B:$B,$A116,RecoveredRaw!BT:BT)</f>
        <v>0</v>
      </c>
      <c r="BR116">
        <f>SUMIF(RecoveredRaw!$B:$B,$A116,RecoveredRaw!BU:BU)</f>
        <v>0</v>
      </c>
      <c r="BS116">
        <f>SUMIF(RecoveredRaw!$B:$B,$A116,RecoveredRaw!BV:BV)</f>
        <v>0</v>
      </c>
      <c r="BT116">
        <f>SUMIF(RecoveredRaw!$B:$B,$A116,RecoveredRaw!BW:BW)</f>
        <v>0</v>
      </c>
    </row>
    <row r="117" spans="1:72" ht="15" thickBot="1" x14ac:dyDescent="0.35">
      <c r="A117" s="4" t="s">
        <v>421</v>
      </c>
      <c r="B117">
        <f>SUMIF(RecoveredRaw!$B:$B,$A117,RecoveredRaw!E:E)</f>
        <v>0</v>
      </c>
      <c r="C117">
        <f>SUMIF(RecoveredRaw!$B:$B,$A117,RecoveredRaw!F:F)</f>
        <v>0</v>
      </c>
      <c r="D117">
        <f>SUMIF(RecoveredRaw!$B:$B,$A117,RecoveredRaw!G:G)</f>
        <v>0</v>
      </c>
      <c r="E117">
        <f>SUMIF(RecoveredRaw!$B:$B,$A117,RecoveredRaw!H:H)</f>
        <v>0</v>
      </c>
      <c r="F117">
        <f>SUMIF(RecoveredRaw!$B:$B,$A117,RecoveredRaw!I:I)</f>
        <v>0</v>
      </c>
      <c r="G117">
        <f>SUMIF(RecoveredRaw!$B:$B,$A117,RecoveredRaw!J:J)</f>
        <v>0</v>
      </c>
      <c r="H117">
        <f>SUMIF(RecoveredRaw!$B:$B,$A117,RecoveredRaw!K:K)</f>
        <v>0</v>
      </c>
      <c r="I117">
        <f>SUMIF(RecoveredRaw!$B:$B,$A117,RecoveredRaw!L:L)</f>
        <v>0</v>
      </c>
      <c r="J117">
        <f>SUMIF(RecoveredRaw!$B:$B,$A117,RecoveredRaw!M:M)</f>
        <v>0</v>
      </c>
      <c r="K117">
        <f>SUMIF(RecoveredRaw!$B:$B,$A117,RecoveredRaw!N:N)</f>
        <v>0</v>
      </c>
      <c r="L117">
        <f>SUMIF(RecoveredRaw!$B:$B,$A117,RecoveredRaw!O:O)</f>
        <v>0</v>
      </c>
      <c r="M117">
        <f>SUMIF(RecoveredRaw!$B:$B,$A117,RecoveredRaw!P:P)</f>
        <v>0</v>
      </c>
      <c r="N117">
        <f>SUMIF(RecoveredRaw!$B:$B,$A117,RecoveredRaw!Q:Q)</f>
        <v>0</v>
      </c>
      <c r="O117">
        <f>SUMIF(RecoveredRaw!$B:$B,$A117,RecoveredRaw!R:R)</f>
        <v>0</v>
      </c>
      <c r="P117">
        <f>SUMIF(RecoveredRaw!$B:$B,$A117,RecoveredRaw!S:S)</f>
        <v>0</v>
      </c>
      <c r="Q117">
        <f>SUMIF(RecoveredRaw!$B:$B,$A117,RecoveredRaw!T:T)</f>
        <v>0</v>
      </c>
      <c r="R117">
        <f>SUMIF(RecoveredRaw!$B:$B,$A117,RecoveredRaw!U:U)</f>
        <v>0</v>
      </c>
      <c r="S117">
        <f>SUMIF(RecoveredRaw!$B:$B,$A117,RecoveredRaw!V:V)</f>
        <v>0</v>
      </c>
      <c r="T117">
        <f>SUMIF(RecoveredRaw!$B:$B,$A117,RecoveredRaw!W:W)</f>
        <v>0</v>
      </c>
      <c r="U117">
        <f>SUMIF(RecoveredRaw!$B:$B,$A117,RecoveredRaw!X:X)</f>
        <v>0</v>
      </c>
      <c r="V117">
        <f>SUMIF(RecoveredRaw!$B:$B,$A117,RecoveredRaw!Y:Y)</f>
        <v>0</v>
      </c>
      <c r="W117">
        <f>SUMIF(RecoveredRaw!$B:$B,$A117,RecoveredRaw!Z:Z)</f>
        <v>0</v>
      </c>
      <c r="X117">
        <f>SUMIF(RecoveredRaw!$B:$B,$A117,RecoveredRaw!AA:AA)</f>
        <v>0</v>
      </c>
      <c r="Y117">
        <f>SUMIF(RecoveredRaw!$B:$B,$A117,RecoveredRaw!AB:AB)</f>
        <v>0</v>
      </c>
      <c r="Z117">
        <f>SUMIF(RecoveredRaw!$B:$B,$A117,RecoveredRaw!AC:AC)</f>
        <v>0</v>
      </c>
      <c r="AA117">
        <f>SUMIF(RecoveredRaw!$B:$B,$A117,RecoveredRaw!AD:AD)</f>
        <v>0</v>
      </c>
      <c r="AB117">
        <f>SUMIF(RecoveredRaw!$B:$B,$A117,RecoveredRaw!AE:AE)</f>
        <v>0</v>
      </c>
      <c r="AC117">
        <f>SUMIF(RecoveredRaw!$B:$B,$A117,RecoveredRaw!AF:AF)</f>
        <v>0</v>
      </c>
      <c r="AD117">
        <f>SUMIF(RecoveredRaw!$B:$B,$A117,RecoveredRaw!AG:AG)</f>
        <v>0</v>
      </c>
      <c r="AE117">
        <f>SUMIF(RecoveredRaw!$B:$B,$A117,RecoveredRaw!AH:AH)</f>
        <v>0</v>
      </c>
      <c r="AF117">
        <f>SUMIF(RecoveredRaw!$B:$B,$A117,RecoveredRaw!AI:AI)</f>
        <v>0</v>
      </c>
      <c r="AG117">
        <f>SUMIF(RecoveredRaw!$B:$B,$A117,RecoveredRaw!AJ:AJ)</f>
        <v>0</v>
      </c>
      <c r="AH117">
        <f>SUMIF(RecoveredRaw!$B:$B,$A117,RecoveredRaw!AK:AK)</f>
        <v>0</v>
      </c>
      <c r="AI117">
        <f>SUMIF(RecoveredRaw!$B:$B,$A117,RecoveredRaw!AL:AL)</f>
        <v>0</v>
      </c>
      <c r="AJ117">
        <f>SUMIF(RecoveredRaw!$B:$B,$A117,RecoveredRaw!AM:AM)</f>
        <v>0</v>
      </c>
      <c r="AK117">
        <f>SUMIF(RecoveredRaw!$B:$B,$A117,RecoveredRaw!AN:AN)</f>
        <v>0</v>
      </c>
      <c r="AL117">
        <f>SUMIF(RecoveredRaw!$B:$B,$A117,RecoveredRaw!AO:AO)</f>
        <v>0</v>
      </c>
      <c r="AM117">
        <f>SUMIF(RecoveredRaw!$B:$B,$A117,RecoveredRaw!AP:AP)</f>
        <v>0</v>
      </c>
      <c r="AN117">
        <f>SUMIF(RecoveredRaw!$B:$B,$A117,RecoveredRaw!AQ:AQ)</f>
        <v>0</v>
      </c>
      <c r="AO117">
        <f>SUMIF(RecoveredRaw!$B:$B,$A117,RecoveredRaw!AR:AR)</f>
        <v>0</v>
      </c>
      <c r="AP117">
        <f>SUMIF(RecoveredRaw!$B:$B,$A117,RecoveredRaw!AS:AS)</f>
        <v>0</v>
      </c>
      <c r="AQ117">
        <f>SUMIF(RecoveredRaw!$B:$B,$A117,RecoveredRaw!AT:AT)</f>
        <v>0</v>
      </c>
      <c r="AR117">
        <f>SUMIF(RecoveredRaw!$B:$B,$A117,RecoveredRaw!AU:AU)</f>
        <v>0</v>
      </c>
      <c r="AS117">
        <f>SUMIF(RecoveredRaw!$B:$B,$A117,RecoveredRaw!AV:AV)</f>
        <v>0</v>
      </c>
      <c r="AT117">
        <f>SUMIF(RecoveredRaw!$B:$B,$A117,RecoveredRaw!AW:AW)</f>
        <v>0</v>
      </c>
      <c r="AU117">
        <f>SUMIF(RecoveredRaw!$B:$B,$A117,RecoveredRaw!AX:AX)</f>
        <v>0</v>
      </c>
      <c r="AV117">
        <f>SUMIF(RecoveredRaw!$B:$B,$A117,RecoveredRaw!AY:AY)</f>
        <v>0</v>
      </c>
      <c r="AW117">
        <f>SUMIF(RecoveredRaw!$B:$B,$A117,RecoveredRaw!AZ:AZ)</f>
        <v>0</v>
      </c>
      <c r="AX117">
        <f>SUMIF(RecoveredRaw!$B:$B,$A117,RecoveredRaw!BA:BA)</f>
        <v>0</v>
      </c>
      <c r="AY117">
        <f>SUMIF(RecoveredRaw!$B:$B,$A117,RecoveredRaw!BB:BB)</f>
        <v>0</v>
      </c>
      <c r="AZ117">
        <f>SUMIF(RecoveredRaw!$B:$B,$A117,RecoveredRaw!BC:BC)</f>
        <v>0</v>
      </c>
      <c r="BA117">
        <f>SUMIF(RecoveredRaw!$B:$B,$A117,RecoveredRaw!BD:BD)</f>
        <v>0</v>
      </c>
      <c r="BB117">
        <f>SUMIF(RecoveredRaw!$B:$B,$A117,RecoveredRaw!BE:BE)</f>
        <v>0</v>
      </c>
      <c r="BC117">
        <f>SUMIF(RecoveredRaw!$B:$B,$A117,RecoveredRaw!BF:BF)</f>
        <v>0</v>
      </c>
      <c r="BD117">
        <f>SUMIF(RecoveredRaw!$B:$B,$A117,RecoveredRaw!BG:BG)</f>
        <v>0</v>
      </c>
      <c r="BE117">
        <f>SUMIF(RecoveredRaw!$B:$B,$A117,RecoveredRaw!BH:BH)</f>
        <v>0</v>
      </c>
      <c r="BF117">
        <f>SUMIF(RecoveredRaw!$B:$B,$A117,RecoveredRaw!BI:BI)</f>
        <v>0</v>
      </c>
      <c r="BG117">
        <f>SUMIF(RecoveredRaw!$B:$B,$A117,RecoveredRaw!BJ:BJ)</f>
        <v>0</v>
      </c>
      <c r="BH117">
        <f>SUMIF(RecoveredRaw!$B:$B,$A117,RecoveredRaw!BK:BK)</f>
        <v>0</v>
      </c>
      <c r="BI117">
        <f>SUMIF(RecoveredRaw!$B:$B,$A117,RecoveredRaw!BL:BL)</f>
        <v>0</v>
      </c>
      <c r="BJ117">
        <f>SUMIF(RecoveredRaw!$B:$B,$A117,RecoveredRaw!BM:BM)</f>
        <v>0</v>
      </c>
      <c r="BK117">
        <f>SUMIF(RecoveredRaw!$B:$B,$A117,RecoveredRaw!BN:BN)</f>
        <v>0</v>
      </c>
      <c r="BL117">
        <f>SUMIF(RecoveredRaw!$B:$B,$A117,RecoveredRaw!BO:BO)</f>
        <v>0</v>
      </c>
      <c r="BM117">
        <f>SUMIF(RecoveredRaw!$B:$B,$A117,RecoveredRaw!BP:BP)</f>
        <v>0</v>
      </c>
      <c r="BN117">
        <f>SUMIF(RecoveredRaw!$B:$B,$A117,RecoveredRaw!BQ:BQ)</f>
        <v>0</v>
      </c>
      <c r="BO117">
        <f>SUMIF(RecoveredRaw!$B:$B,$A117,RecoveredRaw!BR:BR)</f>
        <v>0</v>
      </c>
      <c r="BP117">
        <f>SUMIF(RecoveredRaw!$B:$B,$A117,RecoveredRaw!BS:BS)</f>
        <v>0</v>
      </c>
      <c r="BQ117">
        <f>SUMIF(RecoveredRaw!$B:$B,$A117,RecoveredRaw!BT:BT)</f>
        <v>0</v>
      </c>
      <c r="BR117">
        <f>SUMIF(RecoveredRaw!$B:$B,$A117,RecoveredRaw!BU:BU)</f>
        <v>0</v>
      </c>
      <c r="BS117">
        <f>SUMIF(RecoveredRaw!$B:$B,$A117,RecoveredRaw!BV:BV)</f>
        <v>0</v>
      </c>
      <c r="BT117">
        <f>SUMIF(RecoveredRaw!$B:$B,$A117,RecoveredRaw!BW:BW)</f>
        <v>0</v>
      </c>
    </row>
    <row r="118" spans="1:72" ht="15" thickBot="1" x14ac:dyDescent="0.35">
      <c r="A118" s="3" t="s">
        <v>411</v>
      </c>
      <c r="B118">
        <f>SUMIF(RecoveredRaw!$B:$B,$A118,RecoveredRaw!E:E)</f>
        <v>0</v>
      </c>
      <c r="C118">
        <f>SUMIF(RecoveredRaw!$B:$B,$A118,RecoveredRaw!F:F)</f>
        <v>0</v>
      </c>
      <c r="D118">
        <f>SUMIF(RecoveredRaw!$B:$B,$A118,RecoveredRaw!G:G)</f>
        <v>0</v>
      </c>
      <c r="E118">
        <f>SUMIF(RecoveredRaw!$B:$B,$A118,RecoveredRaw!H:H)</f>
        <v>0</v>
      </c>
      <c r="F118">
        <f>SUMIF(RecoveredRaw!$B:$B,$A118,RecoveredRaw!I:I)</f>
        <v>0</v>
      </c>
      <c r="G118">
        <f>SUMIF(RecoveredRaw!$B:$B,$A118,RecoveredRaw!J:J)</f>
        <v>0</v>
      </c>
      <c r="H118">
        <f>SUMIF(RecoveredRaw!$B:$B,$A118,RecoveredRaw!K:K)</f>
        <v>0</v>
      </c>
      <c r="I118">
        <f>SUMIF(RecoveredRaw!$B:$B,$A118,RecoveredRaw!L:L)</f>
        <v>0</v>
      </c>
      <c r="J118">
        <f>SUMIF(RecoveredRaw!$B:$B,$A118,RecoveredRaw!M:M)</f>
        <v>0</v>
      </c>
      <c r="K118">
        <f>SUMIF(RecoveredRaw!$B:$B,$A118,RecoveredRaw!N:N)</f>
        <v>0</v>
      </c>
      <c r="L118">
        <f>SUMIF(RecoveredRaw!$B:$B,$A118,RecoveredRaw!O:O)</f>
        <v>0</v>
      </c>
      <c r="M118">
        <f>SUMIF(RecoveredRaw!$B:$B,$A118,RecoveredRaw!P:P)</f>
        <v>0</v>
      </c>
      <c r="N118">
        <f>SUMIF(RecoveredRaw!$B:$B,$A118,RecoveredRaw!Q:Q)</f>
        <v>0</v>
      </c>
      <c r="O118">
        <f>SUMIF(RecoveredRaw!$B:$B,$A118,RecoveredRaw!R:R)</f>
        <v>0</v>
      </c>
      <c r="P118">
        <f>SUMIF(RecoveredRaw!$B:$B,$A118,RecoveredRaw!S:S)</f>
        <v>0</v>
      </c>
      <c r="Q118">
        <f>SUMIF(RecoveredRaw!$B:$B,$A118,RecoveredRaw!T:T)</f>
        <v>0</v>
      </c>
      <c r="R118">
        <f>SUMIF(RecoveredRaw!$B:$B,$A118,RecoveredRaw!U:U)</f>
        <v>0</v>
      </c>
      <c r="S118">
        <f>SUMIF(RecoveredRaw!$B:$B,$A118,RecoveredRaw!V:V)</f>
        <v>0</v>
      </c>
      <c r="T118">
        <f>SUMIF(RecoveredRaw!$B:$B,$A118,RecoveredRaw!W:W)</f>
        <v>0</v>
      </c>
      <c r="U118">
        <f>SUMIF(RecoveredRaw!$B:$B,$A118,RecoveredRaw!X:X)</f>
        <v>0</v>
      </c>
      <c r="V118">
        <f>SUMIF(RecoveredRaw!$B:$B,$A118,RecoveredRaw!Y:Y)</f>
        <v>0</v>
      </c>
      <c r="W118">
        <f>SUMIF(RecoveredRaw!$B:$B,$A118,RecoveredRaw!Z:Z)</f>
        <v>0</v>
      </c>
      <c r="X118">
        <f>SUMIF(RecoveredRaw!$B:$B,$A118,RecoveredRaw!AA:AA)</f>
        <v>0</v>
      </c>
      <c r="Y118">
        <f>SUMIF(RecoveredRaw!$B:$B,$A118,RecoveredRaw!AB:AB)</f>
        <v>0</v>
      </c>
      <c r="Z118">
        <f>SUMIF(RecoveredRaw!$B:$B,$A118,RecoveredRaw!AC:AC)</f>
        <v>0</v>
      </c>
      <c r="AA118">
        <f>SUMIF(RecoveredRaw!$B:$B,$A118,RecoveredRaw!AD:AD)</f>
        <v>0</v>
      </c>
      <c r="AB118">
        <f>SUMIF(RecoveredRaw!$B:$B,$A118,RecoveredRaw!AE:AE)</f>
        <v>0</v>
      </c>
      <c r="AC118">
        <f>SUMIF(RecoveredRaw!$B:$B,$A118,RecoveredRaw!AF:AF)</f>
        <v>0</v>
      </c>
      <c r="AD118">
        <f>SUMIF(RecoveredRaw!$B:$B,$A118,RecoveredRaw!AG:AG)</f>
        <v>0</v>
      </c>
      <c r="AE118">
        <f>SUMIF(RecoveredRaw!$B:$B,$A118,RecoveredRaw!AH:AH)</f>
        <v>0</v>
      </c>
      <c r="AF118">
        <f>SUMIF(RecoveredRaw!$B:$B,$A118,RecoveredRaw!AI:AI)</f>
        <v>0</v>
      </c>
      <c r="AG118">
        <f>SUMIF(RecoveredRaw!$B:$B,$A118,RecoveredRaw!AJ:AJ)</f>
        <v>0</v>
      </c>
      <c r="AH118">
        <f>SUMIF(RecoveredRaw!$B:$B,$A118,RecoveredRaw!AK:AK)</f>
        <v>0</v>
      </c>
      <c r="AI118">
        <f>SUMIF(RecoveredRaw!$B:$B,$A118,RecoveredRaw!AL:AL)</f>
        <v>0</v>
      </c>
      <c r="AJ118">
        <f>SUMIF(RecoveredRaw!$B:$B,$A118,RecoveredRaw!AM:AM)</f>
        <v>0</v>
      </c>
      <c r="AK118">
        <f>SUMIF(RecoveredRaw!$B:$B,$A118,RecoveredRaw!AN:AN)</f>
        <v>0</v>
      </c>
      <c r="AL118">
        <f>SUMIF(RecoveredRaw!$B:$B,$A118,RecoveredRaw!AO:AO)</f>
        <v>0</v>
      </c>
      <c r="AM118">
        <f>SUMIF(RecoveredRaw!$B:$B,$A118,RecoveredRaw!AP:AP)</f>
        <v>0</v>
      </c>
      <c r="AN118">
        <f>SUMIF(RecoveredRaw!$B:$B,$A118,RecoveredRaw!AQ:AQ)</f>
        <v>0</v>
      </c>
      <c r="AO118">
        <f>SUMIF(RecoveredRaw!$B:$B,$A118,RecoveredRaw!AR:AR)</f>
        <v>0</v>
      </c>
      <c r="AP118">
        <f>SUMIF(RecoveredRaw!$B:$B,$A118,RecoveredRaw!AS:AS)</f>
        <v>0</v>
      </c>
      <c r="AQ118">
        <f>SUMIF(RecoveredRaw!$B:$B,$A118,RecoveredRaw!AT:AT)</f>
        <v>0</v>
      </c>
      <c r="AR118">
        <f>SUMIF(RecoveredRaw!$B:$B,$A118,RecoveredRaw!AU:AU)</f>
        <v>0</v>
      </c>
      <c r="AS118">
        <f>SUMIF(RecoveredRaw!$B:$B,$A118,RecoveredRaw!AV:AV)</f>
        <v>0</v>
      </c>
      <c r="AT118">
        <f>SUMIF(RecoveredRaw!$B:$B,$A118,RecoveredRaw!AW:AW)</f>
        <v>0</v>
      </c>
      <c r="AU118">
        <f>SUMIF(RecoveredRaw!$B:$B,$A118,RecoveredRaw!AX:AX)</f>
        <v>0</v>
      </c>
      <c r="AV118">
        <f>SUMIF(RecoveredRaw!$B:$B,$A118,RecoveredRaw!AY:AY)</f>
        <v>0</v>
      </c>
      <c r="AW118">
        <f>SUMIF(RecoveredRaw!$B:$B,$A118,RecoveredRaw!AZ:AZ)</f>
        <v>0</v>
      </c>
      <c r="AX118">
        <f>SUMIF(RecoveredRaw!$B:$B,$A118,RecoveredRaw!BA:BA)</f>
        <v>0</v>
      </c>
      <c r="AY118">
        <f>SUMIF(RecoveredRaw!$B:$B,$A118,RecoveredRaw!BB:BB)</f>
        <v>0</v>
      </c>
      <c r="AZ118">
        <f>SUMIF(RecoveredRaw!$B:$B,$A118,RecoveredRaw!BC:BC)</f>
        <v>0</v>
      </c>
      <c r="BA118">
        <f>SUMIF(RecoveredRaw!$B:$B,$A118,RecoveredRaw!BD:BD)</f>
        <v>0</v>
      </c>
      <c r="BB118">
        <f>SUMIF(RecoveredRaw!$B:$B,$A118,RecoveredRaw!BE:BE)</f>
        <v>0</v>
      </c>
      <c r="BC118">
        <f>SUMIF(RecoveredRaw!$B:$B,$A118,RecoveredRaw!BF:BF)</f>
        <v>0</v>
      </c>
      <c r="BD118">
        <f>SUMIF(RecoveredRaw!$B:$B,$A118,RecoveredRaw!BG:BG)</f>
        <v>0</v>
      </c>
      <c r="BE118">
        <f>SUMIF(RecoveredRaw!$B:$B,$A118,RecoveredRaw!BH:BH)</f>
        <v>0</v>
      </c>
      <c r="BF118">
        <f>SUMIF(RecoveredRaw!$B:$B,$A118,RecoveredRaw!BI:BI)</f>
        <v>0</v>
      </c>
      <c r="BG118">
        <f>SUMIF(RecoveredRaw!$B:$B,$A118,RecoveredRaw!BJ:BJ)</f>
        <v>0</v>
      </c>
      <c r="BH118">
        <f>SUMIF(RecoveredRaw!$B:$B,$A118,RecoveredRaw!BK:BK)</f>
        <v>0</v>
      </c>
      <c r="BI118">
        <f>SUMIF(RecoveredRaw!$B:$B,$A118,RecoveredRaw!BL:BL)</f>
        <v>0</v>
      </c>
      <c r="BJ118">
        <f>SUMIF(RecoveredRaw!$B:$B,$A118,RecoveredRaw!BM:BM)</f>
        <v>0</v>
      </c>
      <c r="BK118">
        <f>SUMIF(RecoveredRaw!$B:$B,$A118,RecoveredRaw!BN:BN)</f>
        <v>0</v>
      </c>
      <c r="BL118">
        <f>SUMIF(RecoveredRaw!$B:$B,$A118,RecoveredRaw!BO:BO)</f>
        <v>0</v>
      </c>
      <c r="BM118">
        <f>SUMIF(RecoveredRaw!$B:$B,$A118,RecoveredRaw!BP:BP)</f>
        <v>0</v>
      </c>
      <c r="BN118">
        <f>SUMIF(RecoveredRaw!$B:$B,$A118,RecoveredRaw!BQ:BQ)</f>
        <v>0</v>
      </c>
      <c r="BO118">
        <f>SUMIF(RecoveredRaw!$B:$B,$A118,RecoveredRaw!BR:BR)</f>
        <v>0</v>
      </c>
      <c r="BP118">
        <f>SUMIF(RecoveredRaw!$B:$B,$A118,RecoveredRaw!BS:BS)</f>
        <v>0</v>
      </c>
      <c r="BQ118">
        <f>SUMIF(RecoveredRaw!$B:$B,$A118,RecoveredRaw!BT:BT)</f>
        <v>0</v>
      </c>
      <c r="BR118">
        <f>SUMIF(RecoveredRaw!$B:$B,$A118,RecoveredRaw!BU:BU)</f>
        <v>0</v>
      </c>
      <c r="BS118">
        <f>SUMIF(RecoveredRaw!$B:$B,$A118,RecoveredRaw!BV:BV)</f>
        <v>0</v>
      </c>
      <c r="BT118">
        <f>SUMIF(RecoveredRaw!$B:$B,$A118,RecoveredRaw!BW:BW)</f>
        <v>0</v>
      </c>
    </row>
    <row r="119" spans="1:72" ht="15" thickBot="1" x14ac:dyDescent="0.35">
      <c r="A119" s="3" t="s">
        <v>281</v>
      </c>
      <c r="B119">
        <f>SUMIF(RecoveredRaw!$B:$B,$A119,RecoveredRaw!E:E)</f>
        <v>0</v>
      </c>
      <c r="C119">
        <f>SUMIF(RecoveredRaw!$B:$B,$A119,RecoveredRaw!F:F)</f>
        <v>0</v>
      </c>
      <c r="D119">
        <f>SUMIF(RecoveredRaw!$B:$B,$A119,RecoveredRaw!G:G)</f>
        <v>0</v>
      </c>
      <c r="E119">
        <f>SUMIF(RecoveredRaw!$B:$B,$A119,RecoveredRaw!H:H)</f>
        <v>0</v>
      </c>
      <c r="F119">
        <f>SUMIF(RecoveredRaw!$B:$B,$A119,RecoveredRaw!I:I)</f>
        <v>0</v>
      </c>
      <c r="G119">
        <f>SUMIF(RecoveredRaw!$B:$B,$A119,RecoveredRaw!J:J)</f>
        <v>0</v>
      </c>
      <c r="H119">
        <f>SUMIF(RecoveredRaw!$B:$B,$A119,RecoveredRaw!K:K)</f>
        <v>0</v>
      </c>
      <c r="I119">
        <f>SUMIF(RecoveredRaw!$B:$B,$A119,RecoveredRaw!L:L)</f>
        <v>0</v>
      </c>
      <c r="J119">
        <f>SUMIF(RecoveredRaw!$B:$B,$A119,RecoveredRaw!M:M)</f>
        <v>0</v>
      </c>
      <c r="K119">
        <f>SUMIF(RecoveredRaw!$B:$B,$A119,RecoveredRaw!N:N)</f>
        <v>0</v>
      </c>
      <c r="L119">
        <f>SUMIF(RecoveredRaw!$B:$B,$A119,RecoveredRaw!O:O)</f>
        <v>0</v>
      </c>
      <c r="M119">
        <f>SUMIF(RecoveredRaw!$B:$B,$A119,RecoveredRaw!P:P)</f>
        <v>0</v>
      </c>
      <c r="N119">
        <f>SUMIF(RecoveredRaw!$B:$B,$A119,RecoveredRaw!Q:Q)</f>
        <v>0</v>
      </c>
      <c r="O119">
        <f>SUMIF(RecoveredRaw!$B:$B,$A119,RecoveredRaw!R:R)</f>
        <v>0</v>
      </c>
      <c r="P119">
        <f>SUMIF(RecoveredRaw!$B:$B,$A119,RecoveredRaw!S:S)</f>
        <v>0</v>
      </c>
      <c r="Q119">
        <f>SUMIF(RecoveredRaw!$B:$B,$A119,RecoveredRaw!T:T)</f>
        <v>0</v>
      </c>
      <c r="R119">
        <f>SUMIF(RecoveredRaw!$B:$B,$A119,RecoveredRaw!U:U)</f>
        <v>0</v>
      </c>
      <c r="S119">
        <f>SUMIF(RecoveredRaw!$B:$B,$A119,RecoveredRaw!V:V)</f>
        <v>0</v>
      </c>
      <c r="T119">
        <f>SUMIF(RecoveredRaw!$B:$B,$A119,RecoveredRaw!W:W)</f>
        <v>0</v>
      </c>
      <c r="U119">
        <f>SUMIF(RecoveredRaw!$B:$B,$A119,RecoveredRaw!X:X)</f>
        <v>0</v>
      </c>
      <c r="V119">
        <f>SUMIF(RecoveredRaw!$B:$B,$A119,RecoveredRaw!Y:Y)</f>
        <v>0</v>
      </c>
      <c r="W119">
        <f>SUMIF(RecoveredRaw!$B:$B,$A119,RecoveredRaw!Z:Z)</f>
        <v>0</v>
      </c>
      <c r="X119">
        <f>SUMIF(RecoveredRaw!$B:$B,$A119,RecoveredRaw!AA:AA)</f>
        <v>0</v>
      </c>
      <c r="Y119">
        <f>SUMIF(RecoveredRaw!$B:$B,$A119,RecoveredRaw!AB:AB)</f>
        <v>0</v>
      </c>
      <c r="Z119">
        <f>SUMIF(RecoveredRaw!$B:$B,$A119,RecoveredRaw!AC:AC)</f>
        <v>0</v>
      </c>
      <c r="AA119">
        <f>SUMIF(RecoveredRaw!$B:$B,$A119,RecoveredRaw!AD:AD)</f>
        <v>0</v>
      </c>
      <c r="AB119">
        <f>SUMIF(RecoveredRaw!$B:$B,$A119,RecoveredRaw!AE:AE)</f>
        <v>0</v>
      </c>
      <c r="AC119">
        <f>SUMIF(RecoveredRaw!$B:$B,$A119,RecoveredRaw!AF:AF)</f>
        <v>0</v>
      </c>
      <c r="AD119">
        <f>SUMIF(RecoveredRaw!$B:$B,$A119,RecoveredRaw!AG:AG)</f>
        <v>0</v>
      </c>
      <c r="AE119">
        <f>SUMIF(RecoveredRaw!$B:$B,$A119,RecoveredRaw!AH:AH)</f>
        <v>0</v>
      </c>
      <c r="AF119">
        <f>SUMIF(RecoveredRaw!$B:$B,$A119,RecoveredRaw!AI:AI)</f>
        <v>0</v>
      </c>
      <c r="AG119">
        <f>SUMIF(RecoveredRaw!$B:$B,$A119,RecoveredRaw!AJ:AJ)</f>
        <v>0</v>
      </c>
      <c r="AH119">
        <f>SUMIF(RecoveredRaw!$B:$B,$A119,RecoveredRaw!AK:AK)</f>
        <v>0</v>
      </c>
      <c r="AI119">
        <f>SUMIF(RecoveredRaw!$B:$B,$A119,RecoveredRaw!AL:AL)</f>
        <v>0</v>
      </c>
      <c r="AJ119">
        <f>SUMIF(RecoveredRaw!$B:$B,$A119,RecoveredRaw!AM:AM)</f>
        <v>0</v>
      </c>
      <c r="AK119">
        <f>SUMIF(RecoveredRaw!$B:$B,$A119,RecoveredRaw!AN:AN)</f>
        <v>0</v>
      </c>
      <c r="AL119">
        <f>SUMIF(RecoveredRaw!$B:$B,$A119,RecoveredRaw!AO:AO)</f>
        <v>0</v>
      </c>
      <c r="AM119">
        <f>SUMIF(RecoveredRaw!$B:$B,$A119,RecoveredRaw!AP:AP)</f>
        <v>0</v>
      </c>
      <c r="AN119">
        <f>SUMIF(RecoveredRaw!$B:$B,$A119,RecoveredRaw!AQ:AQ)</f>
        <v>0</v>
      </c>
      <c r="AO119">
        <f>SUMIF(RecoveredRaw!$B:$B,$A119,RecoveredRaw!AR:AR)</f>
        <v>0</v>
      </c>
      <c r="AP119">
        <f>SUMIF(RecoveredRaw!$B:$B,$A119,RecoveredRaw!AS:AS)</f>
        <v>0</v>
      </c>
      <c r="AQ119">
        <f>SUMIF(RecoveredRaw!$B:$B,$A119,RecoveredRaw!AT:AT)</f>
        <v>0</v>
      </c>
      <c r="AR119">
        <f>SUMIF(RecoveredRaw!$B:$B,$A119,RecoveredRaw!AU:AU)</f>
        <v>0</v>
      </c>
      <c r="AS119">
        <f>SUMIF(RecoveredRaw!$B:$B,$A119,RecoveredRaw!AV:AV)</f>
        <v>0</v>
      </c>
      <c r="AT119">
        <f>SUMIF(RecoveredRaw!$B:$B,$A119,RecoveredRaw!AW:AW)</f>
        <v>0</v>
      </c>
      <c r="AU119">
        <f>SUMIF(RecoveredRaw!$B:$B,$A119,RecoveredRaw!AX:AX)</f>
        <v>0</v>
      </c>
      <c r="AV119">
        <f>SUMIF(RecoveredRaw!$B:$B,$A119,RecoveredRaw!AY:AY)</f>
        <v>0</v>
      </c>
      <c r="AW119">
        <f>SUMIF(RecoveredRaw!$B:$B,$A119,RecoveredRaw!AZ:AZ)</f>
        <v>0</v>
      </c>
      <c r="AX119">
        <f>SUMIF(RecoveredRaw!$B:$B,$A119,RecoveredRaw!BA:BA)</f>
        <v>0</v>
      </c>
      <c r="AY119">
        <f>SUMIF(RecoveredRaw!$B:$B,$A119,RecoveredRaw!BB:BB)</f>
        <v>0</v>
      </c>
      <c r="AZ119">
        <f>SUMIF(RecoveredRaw!$B:$B,$A119,RecoveredRaw!BC:BC)</f>
        <v>0</v>
      </c>
      <c r="BA119">
        <f>SUMIF(RecoveredRaw!$B:$B,$A119,RecoveredRaw!BD:BD)</f>
        <v>0</v>
      </c>
      <c r="BB119">
        <f>SUMIF(RecoveredRaw!$B:$B,$A119,RecoveredRaw!BE:BE)</f>
        <v>0</v>
      </c>
      <c r="BC119">
        <f>SUMIF(RecoveredRaw!$B:$B,$A119,RecoveredRaw!BF:BF)</f>
        <v>0</v>
      </c>
      <c r="BD119">
        <f>SUMIF(RecoveredRaw!$B:$B,$A119,RecoveredRaw!BG:BG)</f>
        <v>0</v>
      </c>
      <c r="BE119">
        <f>SUMIF(RecoveredRaw!$B:$B,$A119,RecoveredRaw!BH:BH)</f>
        <v>0</v>
      </c>
      <c r="BF119">
        <f>SUMIF(RecoveredRaw!$B:$B,$A119,RecoveredRaw!BI:BI)</f>
        <v>0</v>
      </c>
      <c r="BG119">
        <f>SUMIF(RecoveredRaw!$B:$B,$A119,RecoveredRaw!BJ:BJ)</f>
        <v>0</v>
      </c>
      <c r="BH119">
        <f>SUMIF(RecoveredRaw!$B:$B,$A119,RecoveredRaw!BK:BK)</f>
        <v>0</v>
      </c>
      <c r="BI119">
        <f>SUMIF(RecoveredRaw!$B:$B,$A119,RecoveredRaw!BL:BL)</f>
        <v>0</v>
      </c>
      <c r="BJ119">
        <f>SUMIF(RecoveredRaw!$B:$B,$A119,RecoveredRaw!BM:BM)</f>
        <v>0</v>
      </c>
      <c r="BK119">
        <f>SUMIF(RecoveredRaw!$B:$B,$A119,RecoveredRaw!BN:BN)</f>
        <v>0</v>
      </c>
      <c r="BL119">
        <f>SUMIF(RecoveredRaw!$B:$B,$A119,RecoveredRaw!BO:BO)</f>
        <v>0</v>
      </c>
      <c r="BM119">
        <f>SUMIF(RecoveredRaw!$B:$B,$A119,RecoveredRaw!BP:BP)</f>
        <v>0</v>
      </c>
      <c r="BN119">
        <f>SUMIF(RecoveredRaw!$B:$B,$A119,RecoveredRaw!BQ:BQ)</f>
        <v>0</v>
      </c>
      <c r="BO119">
        <f>SUMIF(RecoveredRaw!$B:$B,$A119,RecoveredRaw!BR:BR)</f>
        <v>0</v>
      </c>
      <c r="BP119">
        <f>SUMIF(RecoveredRaw!$B:$B,$A119,RecoveredRaw!BS:BS)</f>
        <v>0</v>
      </c>
      <c r="BQ119">
        <f>SUMIF(RecoveredRaw!$B:$B,$A119,RecoveredRaw!BT:BT)</f>
        <v>0</v>
      </c>
      <c r="BR119">
        <f>SUMIF(RecoveredRaw!$B:$B,$A119,RecoveredRaw!BU:BU)</f>
        <v>0</v>
      </c>
      <c r="BS119">
        <f>SUMIF(RecoveredRaw!$B:$B,$A119,RecoveredRaw!BV:BV)</f>
        <v>0</v>
      </c>
      <c r="BT119">
        <f>SUMIF(RecoveredRaw!$B:$B,$A119,RecoveredRaw!BW:BW)</f>
        <v>0</v>
      </c>
    </row>
    <row r="120" spans="1:72" ht="15" thickBot="1" x14ac:dyDescent="0.35">
      <c r="A120" s="4" t="s">
        <v>125</v>
      </c>
      <c r="B120">
        <f>SUMIF(RecoveredRaw!$B:$B,$A120,RecoveredRaw!E:E)</f>
        <v>0</v>
      </c>
      <c r="C120">
        <f>SUMIF(RecoveredRaw!$B:$B,$A120,RecoveredRaw!F:F)</f>
        <v>0</v>
      </c>
      <c r="D120">
        <f>SUMIF(RecoveredRaw!$B:$B,$A120,RecoveredRaw!G:G)</f>
        <v>0</v>
      </c>
      <c r="E120">
        <f>SUMIF(RecoveredRaw!$B:$B,$A120,RecoveredRaw!H:H)</f>
        <v>0</v>
      </c>
      <c r="F120">
        <f>SUMIF(RecoveredRaw!$B:$B,$A120,RecoveredRaw!I:I)</f>
        <v>0</v>
      </c>
      <c r="G120">
        <f>SUMIF(RecoveredRaw!$B:$B,$A120,RecoveredRaw!J:J)</f>
        <v>0</v>
      </c>
      <c r="H120">
        <f>SUMIF(RecoveredRaw!$B:$B,$A120,RecoveredRaw!K:K)</f>
        <v>0</v>
      </c>
      <c r="I120">
        <f>SUMIF(RecoveredRaw!$B:$B,$A120,RecoveredRaw!L:L)</f>
        <v>0</v>
      </c>
      <c r="J120">
        <f>SUMIF(RecoveredRaw!$B:$B,$A120,RecoveredRaw!M:M)</f>
        <v>0</v>
      </c>
      <c r="K120">
        <f>SUMIF(RecoveredRaw!$B:$B,$A120,RecoveredRaw!N:N)</f>
        <v>0</v>
      </c>
      <c r="L120">
        <f>SUMIF(RecoveredRaw!$B:$B,$A120,RecoveredRaw!O:O)</f>
        <v>0</v>
      </c>
      <c r="M120">
        <f>SUMIF(RecoveredRaw!$B:$B,$A120,RecoveredRaw!P:P)</f>
        <v>0</v>
      </c>
      <c r="N120">
        <f>SUMIF(RecoveredRaw!$B:$B,$A120,RecoveredRaw!Q:Q)</f>
        <v>0</v>
      </c>
      <c r="O120">
        <f>SUMIF(RecoveredRaw!$B:$B,$A120,RecoveredRaw!R:R)</f>
        <v>0</v>
      </c>
      <c r="P120">
        <f>SUMIF(RecoveredRaw!$B:$B,$A120,RecoveredRaw!S:S)</f>
        <v>0</v>
      </c>
      <c r="Q120">
        <f>SUMIF(RecoveredRaw!$B:$B,$A120,RecoveredRaw!T:T)</f>
        <v>0</v>
      </c>
      <c r="R120">
        <f>SUMIF(RecoveredRaw!$B:$B,$A120,RecoveredRaw!U:U)</f>
        <v>0</v>
      </c>
      <c r="S120">
        <f>SUMIF(RecoveredRaw!$B:$B,$A120,RecoveredRaw!V:V)</f>
        <v>0</v>
      </c>
      <c r="T120">
        <f>SUMIF(RecoveredRaw!$B:$B,$A120,RecoveredRaw!W:W)</f>
        <v>0</v>
      </c>
      <c r="U120">
        <f>SUMIF(RecoveredRaw!$B:$B,$A120,RecoveredRaw!X:X)</f>
        <v>0</v>
      </c>
      <c r="V120">
        <f>SUMIF(RecoveredRaw!$B:$B,$A120,RecoveredRaw!Y:Y)</f>
        <v>0</v>
      </c>
      <c r="W120">
        <f>SUMIF(RecoveredRaw!$B:$B,$A120,RecoveredRaw!Z:Z)</f>
        <v>0</v>
      </c>
      <c r="X120">
        <f>SUMIF(RecoveredRaw!$B:$B,$A120,RecoveredRaw!AA:AA)</f>
        <v>0</v>
      </c>
      <c r="Y120">
        <f>SUMIF(RecoveredRaw!$B:$B,$A120,RecoveredRaw!AB:AB)</f>
        <v>0</v>
      </c>
      <c r="Z120">
        <f>SUMIF(RecoveredRaw!$B:$B,$A120,RecoveredRaw!AC:AC)</f>
        <v>0</v>
      </c>
      <c r="AA120">
        <f>SUMIF(RecoveredRaw!$B:$B,$A120,RecoveredRaw!AD:AD)</f>
        <v>0</v>
      </c>
      <c r="AB120">
        <f>SUMIF(RecoveredRaw!$B:$B,$A120,RecoveredRaw!AE:AE)</f>
        <v>0</v>
      </c>
      <c r="AC120">
        <f>SUMIF(RecoveredRaw!$B:$B,$A120,RecoveredRaw!AF:AF)</f>
        <v>0</v>
      </c>
      <c r="AD120">
        <f>SUMIF(RecoveredRaw!$B:$B,$A120,RecoveredRaw!AG:AG)</f>
        <v>0</v>
      </c>
      <c r="AE120">
        <f>SUMIF(RecoveredRaw!$B:$B,$A120,RecoveredRaw!AH:AH)</f>
        <v>0</v>
      </c>
      <c r="AF120">
        <f>SUMIF(RecoveredRaw!$B:$B,$A120,RecoveredRaw!AI:AI)</f>
        <v>0</v>
      </c>
      <c r="AG120">
        <f>SUMIF(RecoveredRaw!$B:$B,$A120,RecoveredRaw!AJ:AJ)</f>
        <v>0</v>
      </c>
      <c r="AH120">
        <f>SUMIF(RecoveredRaw!$B:$B,$A120,RecoveredRaw!AK:AK)</f>
        <v>0</v>
      </c>
      <c r="AI120">
        <f>SUMIF(RecoveredRaw!$B:$B,$A120,RecoveredRaw!AL:AL)</f>
        <v>0</v>
      </c>
      <c r="AJ120">
        <f>SUMIF(RecoveredRaw!$B:$B,$A120,RecoveredRaw!AM:AM)</f>
        <v>0</v>
      </c>
      <c r="AK120">
        <f>SUMIF(RecoveredRaw!$B:$B,$A120,RecoveredRaw!AN:AN)</f>
        <v>0</v>
      </c>
      <c r="AL120">
        <f>SUMIF(RecoveredRaw!$B:$B,$A120,RecoveredRaw!AO:AO)</f>
        <v>0</v>
      </c>
      <c r="AM120">
        <f>SUMIF(RecoveredRaw!$B:$B,$A120,RecoveredRaw!AP:AP)</f>
        <v>0</v>
      </c>
      <c r="AN120">
        <f>SUMIF(RecoveredRaw!$B:$B,$A120,RecoveredRaw!AQ:AQ)</f>
        <v>0</v>
      </c>
      <c r="AO120">
        <f>SUMIF(RecoveredRaw!$B:$B,$A120,RecoveredRaw!AR:AR)</f>
        <v>0</v>
      </c>
      <c r="AP120">
        <f>SUMIF(RecoveredRaw!$B:$B,$A120,RecoveredRaw!AS:AS)</f>
        <v>0</v>
      </c>
      <c r="AQ120">
        <f>SUMIF(RecoveredRaw!$B:$B,$A120,RecoveredRaw!AT:AT)</f>
        <v>0</v>
      </c>
      <c r="AR120">
        <f>SUMIF(RecoveredRaw!$B:$B,$A120,RecoveredRaw!AU:AU)</f>
        <v>0</v>
      </c>
      <c r="AS120">
        <f>SUMIF(RecoveredRaw!$B:$B,$A120,RecoveredRaw!AV:AV)</f>
        <v>0</v>
      </c>
      <c r="AT120">
        <f>SUMIF(RecoveredRaw!$B:$B,$A120,RecoveredRaw!AW:AW)</f>
        <v>0</v>
      </c>
      <c r="AU120">
        <f>SUMIF(RecoveredRaw!$B:$B,$A120,RecoveredRaw!AX:AX)</f>
        <v>0</v>
      </c>
      <c r="AV120">
        <f>SUMIF(RecoveredRaw!$B:$B,$A120,RecoveredRaw!AY:AY)</f>
        <v>0</v>
      </c>
      <c r="AW120">
        <f>SUMIF(RecoveredRaw!$B:$B,$A120,RecoveredRaw!AZ:AZ)</f>
        <v>0</v>
      </c>
      <c r="AX120">
        <f>SUMIF(RecoveredRaw!$B:$B,$A120,RecoveredRaw!BA:BA)</f>
        <v>0</v>
      </c>
      <c r="AY120">
        <f>SUMIF(RecoveredRaw!$B:$B,$A120,RecoveredRaw!BB:BB)</f>
        <v>0</v>
      </c>
      <c r="AZ120">
        <f>SUMIF(RecoveredRaw!$B:$B,$A120,RecoveredRaw!BC:BC)</f>
        <v>0</v>
      </c>
      <c r="BA120">
        <f>SUMIF(RecoveredRaw!$B:$B,$A120,RecoveredRaw!BD:BD)</f>
        <v>1</v>
      </c>
      <c r="BB120">
        <f>SUMIF(RecoveredRaw!$B:$B,$A120,RecoveredRaw!BE:BE)</f>
        <v>1</v>
      </c>
      <c r="BC120">
        <f>SUMIF(RecoveredRaw!$B:$B,$A120,RecoveredRaw!BF:BF)</f>
        <v>1</v>
      </c>
      <c r="BD120">
        <f>SUMIF(RecoveredRaw!$B:$B,$A120,RecoveredRaw!BG:BG)</f>
        <v>1</v>
      </c>
      <c r="BE120">
        <f>SUMIF(RecoveredRaw!$B:$B,$A120,RecoveredRaw!BH:BH)</f>
        <v>1</v>
      </c>
      <c r="BF120">
        <f>SUMIF(RecoveredRaw!$B:$B,$A120,RecoveredRaw!BI:BI)</f>
        <v>1</v>
      </c>
      <c r="BG120">
        <f>SUMIF(RecoveredRaw!$B:$B,$A120,RecoveredRaw!BJ:BJ)</f>
        <v>1</v>
      </c>
      <c r="BH120">
        <f>SUMIF(RecoveredRaw!$B:$B,$A120,RecoveredRaw!BK:BK)</f>
        <v>1</v>
      </c>
      <c r="BI120">
        <f>SUMIF(RecoveredRaw!$B:$B,$A120,RecoveredRaw!BL:BL)</f>
        <v>0</v>
      </c>
      <c r="BJ120">
        <f>SUMIF(RecoveredRaw!$B:$B,$A120,RecoveredRaw!BM:BM)</f>
        <v>0</v>
      </c>
      <c r="BK120">
        <f>SUMIF(RecoveredRaw!$B:$B,$A120,RecoveredRaw!BN:BN)</f>
        <v>0</v>
      </c>
      <c r="BL120">
        <f>SUMIF(RecoveredRaw!$B:$B,$A120,RecoveredRaw!BO:BO)</f>
        <v>0</v>
      </c>
      <c r="BM120">
        <f>SUMIF(RecoveredRaw!$B:$B,$A120,RecoveredRaw!BP:BP)</f>
        <v>0</v>
      </c>
      <c r="BN120">
        <f>SUMIF(RecoveredRaw!$B:$B,$A120,RecoveredRaw!BQ:BQ)</f>
        <v>0</v>
      </c>
      <c r="BO120">
        <f>SUMIF(RecoveredRaw!$B:$B,$A120,RecoveredRaw!BR:BR)</f>
        <v>0</v>
      </c>
      <c r="BP120">
        <f>SUMIF(RecoveredRaw!$B:$B,$A120,RecoveredRaw!BS:BS)</f>
        <v>0</v>
      </c>
      <c r="BQ120">
        <f>SUMIF(RecoveredRaw!$B:$B,$A120,RecoveredRaw!BT:BT)</f>
        <v>0</v>
      </c>
      <c r="BR120">
        <f>SUMIF(RecoveredRaw!$B:$B,$A120,RecoveredRaw!BU:BU)</f>
        <v>0</v>
      </c>
      <c r="BS120">
        <f>SUMIF(RecoveredRaw!$B:$B,$A120,RecoveredRaw!BV:BV)</f>
        <v>0</v>
      </c>
      <c r="BT120">
        <f>SUMIF(RecoveredRaw!$B:$B,$A120,RecoveredRaw!BW:BW)</f>
        <v>0</v>
      </c>
    </row>
    <row r="121" spans="1:72" ht="15" thickBot="1" x14ac:dyDescent="0.35">
      <c r="A121" s="3" t="s">
        <v>423</v>
      </c>
      <c r="B121">
        <f>SUMIF(RecoveredRaw!$B:$B,$A121,RecoveredRaw!E:E)</f>
        <v>0</v>
      </c>
      <c r="C121">
        <f>SUMIF(RecoveredRaw!$B:$B,$A121,RecoveredRaw!F:F)</f>
        <v>0</v>
      </c>
      <c r="D121">
        <f>SUMIF(RecoveredRaw!$B:$B,$A121,RecoveredRaw!G:G)</f>
        <v>0</v>
      </c>
      <c r="E121">
        <f>SUMIF(RecoveredRaw!$B:$B,$A121,RecoveredRaw!H:H)</f>
        <v>0</v>
      </c>
      <c r="F121">
        <f>SUMIF(RecoveredRaw!$B:$B,$A121,RecoveredRaw!I:I)</f>
        <v>0</v>
      </c>
      <c r="G121">
        <f>SUMIF(RecoveredRaw!$B:$B,$A121,RecoveredRaw!J:J)</f>
        <v>0</v>
      </c>
      <c r="H121">
        <f>SUMIF(RecoveredRaw!$B:$B,$A121,RecoveredRaw!K:K)</f>
        <v>0</v>
      </c>
      <c r="I121">
        <f>SUMIF(RecoveredRaw!$B:$B,$A121,RecoveredRaw!L:L)</f>
        <v>0</v>
      </c>
      <c r="J121">
        <f>SUMIF(RecoveredRaw!$B:$B,$A121,RecoveredRaw!M:M)</f>
        <v>0</v>
      </c>
      <c r="K121">
        <f>SUMIF(RecoveredRaw!$B:$B,$A121,RecoveredRaw!N:N)</f>
        <v>0</v>
      </c>
      <c r="L121">
        <f>SUMIF(RecoveredRaw!$B:$B,$A121,RecoveredRaw!O:O)</f>
        <v>0</v>
      </c>
      <c r="M121">
        <f>SUMIF(RecoveredRaw!$B:$B,$A121,RecoveredRaw!P:P)</f>
        <v>0</v>
      </c>
      <c r="N121">
        <f>SUMIF(RecoveredRaw!$B:$B,$A121,RecoveredRaw!Q:Q)</f>
        <v>0</v>
      </c>
      <c r="O121">
        <f>SUMIF(RecoveredRaw!$B:$B,$A121,RecoveredRaw!R:R)</f>
        <v>0</v>
      </c>
      <c r="P121">
        <f>SUMIF(RecoveredRaw!$B:$B,$A121,RecoveredRaw!S:S)</f>
        <v>0</v>
      </c>
      <c r="Q121">
        <f>SUMIF(RecoveredRaw!$B:$B,$A121,RecoveredRaw!T:T)</f>
        <v>0</v>
      </c>
      <c r="R121">
        <f>SUMIF(RecoveredRaw!$B:$B,$A121,RecoveredRaw!U:U)</f>
        <v>0</v>
      </c>
      <c r="S121">
        <f>SUMIF(RecoveredRaw!$B:$B,$A121,RecoveredRaw!V:V)</f>
        <v>0</v>
      </c>
      <c r="T121">
        <f>SUMIF(RecoveredRaw!$B:$B,$A121,RecoveredRaw!W:W)</f>
        <v>0</v>
      </c>
      <c r="U121">
        <f>SUMIF(RecoveredRaw!$B:$B,$A121,RecoveredRaw!X:X)</f>
        <v>0</v>
      </c>
      <c r="V121">
        <f>SUMIF(RecoveredRaw!$B:$B,$A121,RecoveredRaw!Y:Y)</f>
        <v>0</v>
      </c>
      <c r="W121">
        <f>SUMIF(RecoveredRaw!$B:$B,$A121,RecoveredRaw!Z:Z)</f>
        <v>0</v>
      </c>
      <c r="X121">
        <f>SUMIF(RecoveredRaw!$B:$B,$A121,RecoveredRaw!AA:AA)</f>
        <v>0</v>
      </c>
      <c r="Y121">
        <f>SUMIF(RecoveredRaw!$B:$B,$A121,RecoveredRaw!AB:AB)</f>
        <v>0</v>
      </c>
      <c r="Z121">
        <f>SUMIF(RecoveredRaw!$B:$B,$A121,RecoveredRaw!AC:AC)</f>
        <v>0</v>
      </c>
      <c r="AA121">
        <f>SUMIF(RecoveredRaw!$B:$B,$A121,RecoveredRaw!AD:AD)</f>
        <v>0</v>
      </c>
      <c r="AB121">
        <f>SUMIF(RecoveredRaw!$B:$B,$A121,RecoveredRaw!AE:AE)</f>
        <v>0</v>
      </c>
      <c r="AC121">
        <f>SUMIF(RecoveredRaw!$B:$B,$A121,RecoveredRaw!AF:AF)</f>
        <v>0</v>
      </c>
      <c r="AD121">
        <f>SUMIF(RecoveredRaw!$B:$B,$A121,RecoveredRaw!AG:AG)</f>
        <v>0</v>
      </c>
      <c r="AE121">
        <f>SUMIF(RecoveredRaw!$B:$B,$A121,RecoveredRaw!AH:AH)</f>
        <v>0</v>
      </c>
      <c r="AF121">
        <f>SUMIF(RecoveredRaw!$B:$B,$A121,RecoveredRaw!AI:AI)</f>
        <v>0</v>
      </c>
      <c r="AG121">
        <f>SUMIF(RecoveredRaw!$B:$B,$A121,RecoveredRaw!AJ:AJ)</f>
        <v>0</v>
      </c>
      <c r="AH121">
        <f>SUMIF(RecoveredRaw!$B:$B,$A121,RecoveredRaw!AK:AK)</f>
        <v>0</v>
      </c>
      <c r="AI121">
        <f>SUMIF(RecoveredRaw!$B:$B,$A121,RecoveredRaw!AL:AL)</f>
        <v>0</v>
      </c>
      <c r="AJ121">
        <f>SUMIF(RecoveredRaw!$B:$B,$A121,RecoveredRaw!AM:AM)</f>
        <v>0</v>
      </c>
      <c r="AK121">
        <f>SUMIF(RecoveredRaw!$B:$B,$A121,RecoveredRaw!AN:AN)</f>
        <v>0</v>
      </c>
      <c r="AL121">
        <f>SUMIF(RecoveredRaw!$B:$B,$A121,RecoveredRaw!AO:AO)</f>
        <v>0</v>
      </c>
      <c r="AM121">
        <f>SUMIF(RecoveredRaw!$B:$B,$A121,RecoveredRaw!AP:AP)</f>
        <v>0</v>
      </c>
      <c r="AN121">
        <f>SUMIF(RecoveredRaw!$B:$B,$A121,RecoveredRaw!AQ:AQ)</f>
        <v>0</v>
      </c>
      <c r="AO121">
        <f>SUMIF(RecoveredRaw!$B:$B,$A121,RecoveredRaw!AR:AR)</f>
        <v>0</v>
      </c>
      <c r="AP121">
        <f>SUMIF(RecoveredRaw!$B:$B,$A121,RecoveredRaw!AS:AS)</f>
        <v>0</v>
      </c>
      <c r="AQ121">
        <f>SUMIF(RecoveredRaw!$B:$B,$A121,RecoveredRaw!AT:AT)</f>
        <v>0</v>
      </c>
      <c r="AR121">
        <f>SUMIF(RecoveredRaw!$B:$B,$A121,RecoveredRaw!AU:AU)</f>
        <v>0</v>
      </c>
      <c r="AS121">
        <f>SUMIF(RecoveredRaw!$B:$B,$A121,RecoveredRaw!AV:AV)</f>
        <v>0</v>
      </c>
      <c r="AT121">
        <f>SUMIF(RecoveredRaw!$B:$B,$A121,RecoveredRaw!AW:AW)</f>
        <v>0</v>
      </c>
      <c r="AU121">
        <f>SUMIF(RecoveredRaw!$B:$B,$A121,RecoveredRaw!AX:AX)</f>
        <v>0</v>
      </c>
      <c r="AV121">
        <f>SUMIF(RecoveredRaw!$B:$B,$A121,RecoveredRaw!AY:AY)</f>
        <v>0</v>
      </c>
      <c r="AW121">
        <f>SUMIF(RecoveredRaw!$B:$B,$A121,RecoveredRaw!AZ:AZ)</f>
        <v>0</v>
      </c>
      <c r="AX121">
        <f>SUMIF(RecoveredRaw!$B:$B,$A121,RecoveredRaw!BA:BA)</f>
        <v>0</v>
      </c>
      <c r="AY121">
        <f>SUMIF(RecoveredRaw!$B:$B,$A121,RecoveredRaw!BB:BB)</f>
        <v>0</v>
      </c>
      <c r="AZ121">
        <f>SUMIF(RecoveredRaw!$B:$B,$A121,RecoveredRaw!BC:BC)</f>
        <v>0</v>
      </c>
      <c r="BA121">
        <f>SUMIF(RecoveredRaw!$B:$B,$A121,RecoveredRaw!BD:BD)</f>
        <v>0</v>
      </c>
      <c r="BB121">
        <f>SUMIF(RecoveredRaw!$B:$B,$A121,RecoveredRaw!BE:BE)</f>
        <v>0</v>
      </c>
      <c r="BC121">
        <f>SUMIF(RecoveredRaw!$B:$B,$A121,RecoveredRaw!BF:BF)</f>
        <v>0</v>
      </c>
      <c r="BD121">
        <f>SUMIF(RecoveredRaw!$B:$B,$A121,RecoveredRaw!BG:BG)</f>
        <v>0</v>
      </c>
      <c r="BE121">
        <f>SUMIF(RecoveredRaw!$B:$B,$A121,RecoveredRaw!BH:BH)</f>
        <v>0</v>
      </c>
      <c r="BF121">
        <f>SUMIF(RecoveredRaw!$B:$B,$A121,RecoveredRaw!BI:BI)</f>
        <v>0</v>
      </c>
      <c r="BG121">
        <f>SUMIF(RecoveredRaw!$B:$B,$A121,RecoveredRaw!BJ:BJ)</f>
        <v>0</v>
      </c>
      <c r="BH121">
        <f>SUMIF(RecoveredRaw!$B:$B,$A121,RecoveredRaw!BK:BK)</f>
        <v>0</v>
      </c>
      <c r="BI121">
        <f>SUMIF(RecoveredRaw!$B:$B,$A121,RecoveredRaw!BL:BL)</f>
        <v>0</v>
      </c>
      <c r="BJ121">
        <f>SUMIF(RecoveredRaw!$B:$B,$A121,RecoveredRaw!BM:BM)</f>
        <v>0</v>
      </c>
      <c r="BK121">
        <f>SUMIF(RecoveredRaw!$B:$B,$A121,RecoveredRaw!BN:BN)</f>
        <v>0</v>
      </c>
      <c r="BL121">
        <f>SUMIF(RecoveredRaw!$B:$B,$A121,RecoveredRaw!BO:BO)</f>
        <v>0</v>
      </c>
      <c r="BM121">
        <f>SUMIF(RecoveredRaw!$B:$B,$A121,RecoveredRaw!BP:BP)</f>
        <v>0</v>
      </c>
      <c r="BN121">
        <f>SUMIF(RecoveredRaw!$B:$B,$A121,RecoveredRaw!BQ:BQ)</f>
        <v>0</v>
      </c>
      <c r="BO121">
        <f>SUMIF(RecoveredRaw!$B:$B,$A121,RecoveredRaw!BR:BR)</f>
        <v>0</v>
      </c>
      <c r="BP121">
        <f>SUMIF(RecoveredRaw!$B:$B,$A121,RecoveredRaw!BS:BS)</f>
        <v>0</v>
      </c>
      <c r="BQ121">
        <f>SUMIF(RecoveredRaw!$B:$B,$A121,RecoveredRaw!BT:BT)</f>
        <v>0</v>
      </c>
      <c r="BR121">
        <f>SUMIF(RecoveredRaw!$B:$B,$A121,RecoveredRaw!BU:BU)</f>
        <v>0</v>
      </c>
      <c r="BS121">
        <f>SUMIF(RecoveredRaw!$B:$B,$A121,RecoveredRaw!BV:BV)</f>
        <v>0</v>
      </c>
      <c r="BT121">
        <f>SUMIF(RecoveredRaw!$B:$B,$A121,RecoveredRaw!BW:BW)</f>
        <v>0</v>
      </c>
    </row>
    <row r="122" spans="1:72" ht="15" thickBot="1" x14ac:dyDescent="0.35">
      <c r="A122" s="4" t="s">
        <v>136</v>
      </c>
      <c r="B122">
        <f>SUMIF(RecoveredRaw!$B:$B,$A122,RecoveredRaw!E:E)</f>
        <v>0</v>
      </c>
      <c r="C122">
        <f>SUMIF(RecoveredRaw!$B:$B,$A122,RecoveredRaw!F:F)</f>
        <v>0</v>
      </c>
      <c r="D122">
        <f>SUMIF(RecoveredRaw!$B:$B,$A122,RecoveredRaw!G:G)</f>
        <v>0</v>
      </c>
      <c r="E122">
        <f>SUMIF(RecoveredRaw!$B:$B,$A122,RecoveredRaw!H:H)</f>
        <v>0</v>
      </c>
      <c r="F122">
        <f>SUMIF(RecoveredRaw!$B:$B,$A122,RecoveredRaw!I:I)</f>
        <v>0</v>
      </c>
      <c r="G122">
        <f>SUMIF(RecoveredRaw!$B:$B,$A122,RecoveredRaw!J:J)</f>
        <v>0</v>
      </c>
      <c r="H122">
        <f>SUMIF(RecoveredRaw!$B:$B,$A122,RecoveredRaw!K:K)</f>
        <v>0</v>
      </c>
      <c r="I122">
        <f>SUMIF(RecoveredRaw!$B:$B,$A122,RecoveredRaw!L:L)</f>
        <v>0</v>
      </c>
      <c r="J122">
        <f>SUMIF(RecoveredRaw!$B:$B,$A122,RecoveredRaw!M:M)</f>
        <v>0</v>
      </c>
      <c r="K122">
        <f>SUMIF(RecoveredRaw!$B:$B,$A122,RecoveredRaw!N:N)</f>
        <v>0</v>
      </c>
      <c r="L122">
        <f>SUMIF(RecoveredRaw!$B:$B,$A122,RecoveredRaw!O:O)</f>
        <v>0</v>
      </c>
      <c r="M122">
        <f>SUMIF(RecoveredRaw!$B:$B,$A122,RecoveredRaw!P:P)</f>
        <v>0</v>
      </c>
      <c r="N122">
        <f>SUMIF(RecoveredRaw!$B:$B,$A122,RecoveredRaw!Q:Q)</f>
        <v>0</v>
      </c>
      <c r="O122">
        <f>SUMIF(RecoveredRaw!$B:$B,$A122,RecoveredRaw!R:R)</f>
        <v>0</v>
      </c>
      <c r="P122">
        <f>SUMIF(RecoveredRaw!$B:$B,$A122,RecoveredRaw!S:S)</f>
        <v>0</v>
      </c>
      <c r="Q122">
        <f>SUMIF(RecoveredRaw!$B:$B,$A122,RecoveredRaw!T:T)</f>
        <v>0</v>
      </c>
      <c r="R122">
        <f>SUMIF(RecoveredRaw!$B:$B,$A122,RecoveredRaw!U:U)</f>
        <v>0</v>
      </c>
      <c r="S122">
        <f>SUMIF(RecoveredRaw!$B:$B,$A122,RecoveredRaw!V:V)</f>
        <v>0</v>
      </c>
      <c r="T122">
        <f>SUMIF(RecoveredRaw!$B:$B,$A122,RecoveredRaw!W:W)</f>
        <v>0</v>
      </c>
      <c r="U122">
        <f>SUMIF(RecoveredRaw!$B:$B,$A122,RecoveredRaw!X:X)</f>
        <v>0</v>
      </c>
      <c r="V122">
        <f>SUMIF(RecoveredRaw!$B:$B,$A122,RecoveredRaw!Y:Y)</f>
        <v>0</v>
      </c>
      <c r="W122">
        <f>SUMIF(RecoveredRaw!$B:$B,$A122,RecoveredRaw!Z:Z)</f>
        <v>0</v>
      </c>
      <c r="X122">
        <f>SUMIF(RecoveredRaw!$B:$B,$A122,RecoveredRaw!AA:AA)</f>
        <v>0</v>
      </c>
      <c r="Y122">
        <f>SUMIF(RecoveredRaw!$B:$B,$A122,RecoveredRaw!AB:AB)</f>
        <v>0</v>
      </c>
      <c r="Z122">
        <f>SUMIF(RecoveredRaw!$B:$B,$A122,RecoveredRaw!AC:AC)</f>
        <v>0</v>
      </c>
      <c r="AA122">
        <f>SUMIF(RecoveredRaw!$B:$B,$A122,RecoveredRaw!AD:AD)</f>
        <v>0</v>
      </c>
      <c r="AB122">
        <f>SUMIF(RecoveredRaw!$B:$B,$A122,RecoveredRaw!AE:AE)</f>
        <v>0</v>
      </c>
      <c r="AC122">
        <f>SUMIF(RecoveredRaw!$B:$B,$A122,RecoveredRaw!AF:AF)</f>
        <v>0</v>
      </c>
      <c r="AD122">
        <f>SUMIF(RecoveredRaw!$B:$B,$A122,RecoveredRaw!AG:AG)</f>
        <v>0</v>
      </c>
      <c r="AE122">
        <f>SUMIF(RecoveredRaw!$B:$B,$A122,RecoveredRaw!AH:AH)</f>
        <v>0</v>
      </c>
      <c r="AF122">
        <f>SUMIF(RecoveredRaw!$B:$B,$A122,RecoveredRaw!AI:AI)</f>
        <v>0</v>
      </c>
      <c r="AG122">
        <f>SUMIF(RecoveredRaw!$B:$B,$A122,RecoveredRaw!AJ:AJ)</f>
        <v>0</v>
      </c>
      <c r="AH122">
        <f>SUMIF(RecoveredRaw!$B:$B,$A122,RecoveredRaw!AK:AK)</f>
        <v>0</v>
      </c>
      <c r="AI122">
        <f>SUMIF(RecoveredRaw!$B:$B,$A122,RecoveredRaw!AL:AL)</f>
        <v>0</v>
      </c>
      <c r="AJ122">
        <f>SUMIF(RecoveredRaw!$B:$B,$A122,RecoveredRaw!AM:AM)</f>
        <v>0</v>
      </c>
      <c r="AK122">
        <f>SUMIF(RecoveredRaw!$B:$B,$A122,RecoveredRaw!AN:AN)</f>
        <v>0</v>
      </c>
      <c r="AL122">
        <f>SUMIF(RecoveredRaw!$B:$B,$A122,RecoveredRaw!AO:AO)</f>
        <v>0</v>
      </c>
      <c r="AM122">
        <f>SUMIF(RecoveredRaw!$B:$B,$A122,RecoveredRaw!AP:AP)</f>
        <v>0</v>
      </c>
      <c r="AN122">
        <f>SUMIF(RecoveredRaw!$B:$B,$A122,RecoveredRaw!AQ:AQ)</f>
        <v>0</v>
      </c>
      <c r="AO122">
        <f>SUMIF(RecoveredRaw!$B:$B,$A122,RecoveredRaw!AR:AR)</f>
        <v>0</v>
      </c>
      <c r="AP122">
        <f>SUMIF(RecoveredRaw!$B:$B,$A122,RecoveredRaw!AS:AS)</f>
        <v>0</v>
      </c>
      <c r="AQ122">
        <f>SUMIF(RecoveredRaw!$B:$B,$A122,RecoveredRaw!AT:AT)</f>
        <v>0</v>
      </c>
      <c r="AR122">
        <f>SUMIF(RecoveredRaw!$B:$B,$A122,RecoveredRaw!AU:AU)</f>
        <v>0</v>
      </c>
      <c r="AS122">
        <f>SUMIF(RecoveredRaw!$B:$B,$A122,RecoveredRaw!AV:AV)</f>
        <v>0</v>
      </c>
      <c r="AT122">
        <f>SUMIF(RecoveredRaw!$B:$B,$A122,RecoveredRaw!AW:AW)</f>
        <v>0</v>
      </c>
      <c r="AU122">
        <f>SUMIF(RecoveredRaw!$B:$B,$A122,RecoveredRaw!AX:AX)</f>
        <v>0</v>
      </c>
      <c r="AV122">
        <f>SUMIF(RecoveredRaw!$B:$B,$A122,RecoveredRaw!AY:AY)</f>
        <v>0</v>
      </c>
      <c r="AW122">
        <f>SUMIF(RecoveredRaw!$B:$B,$A122,RecoveredRaw!AZ:AZ)</f>
        <v>0</v>
      </c>
      <c r="AX122">
        <f>SUMIF(RecoveredRaw!$B:$B,$A122,RecoveredRaw!BA:BA)</f>
        <v>0</v>
      </c>
      <c r="AY122">
        <f>SUMIF(RecoveredRaw!$B:$B,$A122,RecoveredRaw!BB:BB)</f>
        <v>0</v>
      </c>
      <c r="AZ122">
        <f>SUMIF(RecoveredRaw!$B:$B,$A122,RecoveredRaw!BC:BC)</f>
        <v>0</v>
      </c>
      <c r="BA122">
        <f>SUMIF(RecoveredRaw!$B:$B,$A122,RecoveredRaw!BD:BD)</f>
        <v>0</v>
      </c>
      <c r="BB122">
        <f>SUMIF(RecoveredRaw!$B:$B,$A122,RecoveredRaw!BE:BE)</f>
        <v>0</v>
      </c>
      <c r="BC122">
        <f>SUMIF(RecoveredRaw!$B:$B,$A122,RecoveredRaw!BF:BF)</f>
        <v>0</v>
      </c>
      <c r="BD122">
        <f>SUMIF(RecoveredRaw!$B:$B,$A122,RecoveredRaw!BG:BG)</f>
        <v>0</v>
      </c>
      <c r="BE122">
        <f>SUMIF(RecoveredRaw!$B:$B,$A122,RecoveredRaw!BH:BH)</f>
        <v>0</v>
      </c>
      <c r="BF122">
        <f>SUMIF(RecoveredRaw!$B:$B,$A122,RecoveredRaw!BI:BI)</f>
        <v>0</v>
      </c>
      <c r="BG122">
        <f>SUMIF(RecoveredRaw!$B:$B,$A122,RecoveredRaw!BJ:BJ)</f>
        <v>0</v>
      </c>
      <c r="BH122">
        <f>SUMIF(RecoveredRaw!$B:$B,$A122,RecoveredRaw!BK:BK)</f>
        <v>0</v>
      </c>
      <c r="BI122">
        <f>SUMIF(RecoveredRaw!$B:$B,$A122,RecoveredRaw!BL:BL)</f>
        <v>0</v>
      </c>
      <c r="BJ122">
        <f>SUMIF(RecoveredRaw!$B:$B,$A122,RecoveredRaw!BM:BM)</f>
        <v>0</v>
      </c>
      <c r="BK122">
        <f>SUMIF(RecoveredRaw!$B:$B,$A122,RecoveredRaw!BN:BN)</f>
        <v>0</v>
      </c>
      <c r="BL122">
        <f>SUMIF(RecoveredRaw!$B:$B,$A122,RecoveredRaw!BO:BO)</f>
        <v>0</v>
      </c>
      <c r="BM122">
        <f>SUMIF(RecoveredRaw!$B:$B,$A122,RecoveredRaw!BP:BP)</f>
        <v>0</v>
      </c>
      <c r="BN122">
        <f>SUMIF(RecoveredRaw!$B:$B,$A122,RecoveredRaw!BQ:BQ)</f>
        <v>0</v>
      </c>
      <c r="BO122">
        <f>SUMIF(RecoveredRaw!$B:$B,$A122,RecoveredRaw!BR:BR)</f>
        <v>0</v>
      </c>
      <c r="BP122">
        <f>SUMIF(RecoveredRaw!$B:$B,$A122,RecoveredRaw!BS:BS)</f>
        <v>0</v>
      </c>
      <c r="BQ122">
        <f>SUMIF(RecoveredRaw!$B:$B,$A122,RecoveredRaw!BT:BT)</f>
        <v>0</v>
      </c>
      <c r="BR122">
        <f>SUMIF(RecoveredRaw!$B:$B,$A122,RecoveredRaw!BU:BU)</f>
        <v>0</v>
      </c>
      <c r="BS122">
        <f>SUMIF(RecoveredRaw!$B:$B,$A122,RecoveredRaw!BV:BV)</f>
        <v>0</v>
      </c>
      <c r="BT122">
        <f>SUMIF(RecoveredRaw!$B:$B,$A122,RecoveredRaw!BW:BW)</f>
        <v>0</v>
      </c>
    </row>
    <row r="123" spans="1:72" ht="15" thickBot="1" x14ac:dyDescent="0.35">
      <c r="A123" s="4" t="s">
        <v>282</v>
      </c>
      <c r="B123">
        <f>SUMIF(RecoveredRaw!$B:$B,$A123,RecoveredRaw!E:E)</f>
        <v>0</v>
      </c>
      <c r="C123">
        <f>SUMIF(RecoveredRaw!$B:$B,$A123,RecoveredRaw!F:F)</f>
        <v>0</v>
      </c>
      <c r="D123">
        <f>SUMIF(RecoveredRaw!$B:$B,$A123,RecoveredRaw!G:G)</f>
        <v>0</v>
      </c>
      <c r="E123">
        <f>SUMIF(RecoveredRaw!$B:$B,$A123,RecoveredRaw!H:H)</f>
        <v>0</v>
      </c>
      <c r="F123">
        <f>SUMIF(RecoveredRaw!$B:$B,$A123,RecoveredRaw!I:I)</f>
        <v>0</v>
      </c>
      <c r="G123">
        <f>SUMIF(RecoveredRaw!$B:$B,$A123,RecoveredRaw!J:J)</f>
        <v>0</v>
      </c>
      <c r="H123">
        <f>SUMIF(RecoveredRaw!$B:$B,$A123,RecoveredRaw!K:K)</f>
        <v>0</v>
      </c>
      <c r="I123">
        <f>SUMIF(RecoveredRaw!$B:$B,$A123,RecoveredRaw!L:L)</f>
        <v>0</v>
      </c>
      <c r="J123">
        <f>SUMIF(RecoveredRaw!$B:$B,$A123,RecoveredRaw!M:M)</f>
        <v>0</v>
      </c>
      <c r="K123">
        <f>SUMIF(RecoveredRaw!$B:$B,$A123,RecoveredRaw!N:N)</f>
        <v>0</v>
      </c>
      <c r="L123">
        <f>SUMIF(RecoveredRaw!$B:$B,$A123,RecoveredRaw!O:O)</f>
        <v>0</v>
      </c>
      <c r="M123">
        <f>SUMIF(RecoveredRaw!$B:$B,$A123,RecoveredRaw!P:P)</f>
        <v>0</v>
      </c>
      <c r="N123">
        <f>SUMIF(RecoveredRaw!$B:$B,$A123,RecoveredRaw!Q:Q)</f>
        <v>0</v>
      </c>
      <c r="O123">
        <f>SUMIF(RecoveredRaw!$B:$B,$A123,RecoveredRaw!R:R)</f>
        <v>0</v>
      </c>
      <c r="P123">
        <f>SUMIF(RecoveredRaw!$B:$B,$A123,RecoveredRaw!S:S)</f>
        <v>0</v>
      </c>
      <c r="Q123">
        <f>SUMIF(RecoveredRaw!$B:$B,$A123,RecoveredRaw!T:T)</f>
        <v>0</v>
      </c>
      <c r="R123">
        <f>SUMIF(RecoveredRaw!$B:$B,$A123,RecoveredRaw!U:U)</f>
        <v>0</v>
      </c>
      <c r="S123">
        <f>SUMIF(RecoveredRaw!$B:$B,$A123,RecoveredRaw!V:V)</f>
        <v>0</v>
      </c>
      <c r="T123">
        <f>SUMIF(RecoveredRaw!$B:$B,$A123,RecoveredRaw!W:W)</f>
        <v>0</v>
      </c>
      <c r="U123">
        <f>SUMIF(RecoveredRaw!$B:$B,$A123,RecoveredRaw!X:X)</f>
        <v>0</v>
      </c>
      <c r="V123">
        <f>SUMIF(RecoveredRaw!$B:$B,$A123,RecoveredRaw!Y:Y)</f>
        <v>0</v>
      </c>
      <c r="W123">
        <f>SUMIF(RecoveredRaw!$B:$B,$A123,RecoveredRaw!Z:Z)</f>
        <v>0</v>
      </c>
      <c r="X123">
        <f>SUMIF(RecoveredRaw!$B:$B,$A123,RecoveredRaw!AA:AA)</f>
        <v>0</v>
      </c>
      <c r="Y123">
        <f>SUMIF(RecoveredRaw!$B:$B,$A123,RecoveredRaw!AB:AB)</f>
        <v>0</v>
      </c>
      <c r="Z123">
        <f>SUMIF(RecoveredRaw!$B:$B,$A123,RecoveredRaw!AC:AC)</f>
        <v>0</v>
      </c>
      <c r="AA123">
        <f>SUMIF(RecoveredRaw!$B:$B,$A123,RecoveredRaw!AD:AD)</f>
        <v>0</v>
      </c>
      <c r="AB123">
        <f>SUMIF(RecoveredRaw!$B:$B,$A123,RecoveredRaw!AE:AE)</f>
        <v>0</v>
      </c>
      <c r="AC123">
        <f>SUMIF(RecoveredRaw!$B:$B,$A123,RecoveredRaw!AF:AF)</f>
        <v>0</v>
      </c>
      <c r="AD123">
        <f>SUMIF(RecoveredRaw!$B:$B,$A123,RecoveredRaw!AG:AG)</f>
        <v>0</v>
      </c>
      <c r="AE123">
        <f>SUMIF(RecoveredRaw!$B:$B,$A123,RecoveredRaw!AH:AH)</f>
        <v>0</v>
      </c>
      <c r="AF123">
        <f>SUMIF(RecoveredRaw!$B:$B,$A123,RecoveredRaw!AI:AI)</f>
        <v>0</v>
      </c>
      <c r="AG123">
        <f>SUMIF(RecoveredRaw!$B:$B,$A123,RecoveredRaw!AJ:AJ)</f>
        <v>0</v>
      </c>
      <c r="AH123">
        <f>SUMIF(RecoveredRaw!$B:$B,$A123,RecoveredRaw!AK:AK)</f>
        <v>0</v>
      </c>
      <c r="AI123">
        <f>SUMIF(RecoveredRaw!$B:$B,$A123,RecoveredRaw!AL:AL)</f>
        <v>0</v>
      </c>
      <c r="AJ123">
        <f>SUMIF(RecoveredRaw!$B:$B,$A123,RecoveredRaw!AM:AM)</f>
        <v>0</v>
      </c>
      <c r="AK123">
        <f>SUMIF(RecoveredRaw!$B:$B,$A123,RecoveredRaw!AN:AN)</f>
        <v>0</v>
      </c>
      <c r="AL123">
        <f>SUMIF(RecoveredRaw!$B:$B,$A123,RecoveredRaw!AO:AO)</f>
        <v>0</v>
      </c>
      <c r="AM123">
        <f>SUMIF(RecoveredRaw!$B:$B,$A123,RecoveredRaw!AP:AP)</f>
        <v>0</v>
      </c>
      <c r="AN123">
        <f>SUMIF(RecoveredRaw!$B:$B,$A123,RecoveredRaw!AQ:AQ)</f>
        <v>0</v>
      </c>
      <c r="AO123">
        <f>SUMIF(RecoveredRaw!$B:$B,$A123,RecoveredRaw!AR:AR)</f>
        <v>0</v>
      </c>
      <c r="AP123">
        <f>SUMIF(RecoveredRaw!$B:$B,$A123,RecoveredRaw!AS:AS)</f>
        <v>0</v>
      </c>
      <c r="AQ123">
        <f>SUMIF(RecoveredRaw!$B:$B,$A123,RecoveredRaw!AT:AT)</f>
        <v>0</v>
      </c>
      <c r="AR123">
        <f>SUMIF(RecoveredRaw!$B:$B,$A123,RecoveredRaw!AU:AU)</f>
        <v>0</v>
      </c>
      <c r="AS123">
        <f>SUMIF(RecoveredRaw!$B:$B,$A123,RecoveredRaw!AV:AV)</f>
        <v>0</v>
      </c>
      <c r="AT123">
        <f>SUMIF(RecoveredRaw!$B:$B,$A123,RecoveredRaw!AW:AW)</f>
        <v>0</v>
      </c>
      <c r="AU123">
        <f>SUMIF(RecoveredRaw!$B:$B,$A123,RecoveredRaw!AX:AX)</f>
        <v>0</v>
      </c>
      <c r="AV123">
        <f>SUMIF(RecoveredRaw!$B:$B,$A123,RecoveredRaw!AY:AY)</f>
        <v>0</v>
      </c>
      <c r="AW123">
        <f>SUMIF(RecoveredRaw!$B:$B,$A123,RecoveredRaw!AZ:AZ)</f>
        <v>0</v>
      </c>
      <c r="AX123">
        <f>SUMIF(RecoveredRaw!$B:$B,$A123,RecoveredRaw!BA:BA)</f>
        <v>0</v>
      </c>
      <c r="AY123">
        <f>SUMIF(RecoveredRaw!$B:$B,$A123,RecoveredRaw!BB:BB)</f>
        <v>0</v>
      </c>
      <c r="AZ123">
        <f>SUMIF(RecoveredRaw!$B:$B,$A123,RecoveredRaw!BC:BC)</f>
        <v>0</v>
      </c>
      <c r="BA123">
        <f>SUMIF(RecoveredRaw!$B:$B,$A123,RecoveredRaw!BD:BD)</f>
        <v>0</v>
      </c>
      <c r="BB123">
        <f>SUMIF(RecoveredRaw!$B:$B,$A123,RecoveredRaw!BE:BE)</f>
        <v>0</v>
      </c>
      <c r="BC123">
        <f>SUMIF(RecoveredRaw!$B:$B,$A123,RecoveredRaw!BF:BF)</f>
        <v>0</v>
      </c>
      <c r="BD123">
        <f>SUMIF(RecoveredRaw!$B:$B,$A123,RecoveredRaw!BG:BG)</f>
        <v>0</v>
      </c>
      <c r="BE123">
        <f>SUMIF(RecoveredRaw!$B:$B,$A123,RecoveredRaw!BH:BH)</f>
        <v>0</v>
      </c>
      <c r="BF123">
        <f>SUMIF(RecoveredRaw!$B:$B,$A123,RecoveredRaw!BI:BI)</f>
        <v>0</v>
      </c>
      <c r="BG123">
        <f>SUMIF(RecoveredRaw!$B:$B,$A123,RecoveredRaw!BJ:BJ)</f>
        <v>0</v>
      </c>
      <c r="BH123">
        <f>SUMIF(RecoveredRaw!$B:$B,$A123,RecoveredRaw!BK:BK)</f>
        <v>0</v>
      </c>
      <c r="BI123">
        <f>SUMIF(RecoveredRaw!$B:$B,$A123,RecoveredRaw!BL:BL)</f>
        <v>0</v>
      </c>
      <c r="BJ123">
        <f>SUMIF(RecoveredRaw!$B:$B,$A123,RecoveredRaw!BM:BM)</f>
        <v>0</v>
      </c>
      <c r="BK123">
        <f>SUMIF(RecoveredRaw!$B:$B,$A123,RecoveredRaw!BN:BN)</f>
        <v>0</v>
      </c>
      <c r="BL123">
        <f>SUMIF(RecoveredRaw!$B:$B,$A123,RecoveredRaw!BO:BO)</f>
        <v>0</v>
      </c>
      <c r="BM123">
        <f>SUMIF(RecoveredRaw!$B:$B,$A123,RecoveredRaw!BP:BP)</f>
        <v>0</v>
      </c>
      <c r="BN123">
        <f>SUMIF(RecoveredRaw!$B:$B,$A123,RecoveredRaw!BQ:BQ)</f>
        <v>0</v>
      </c>
      <c r="BO123">
        <f>SUMIF(RecoveredRaw!$B:$B,$A123,RecoveredRaw!BR:BR)</f>
        <v>0</v>
      </c>
      <c r="BP123">
        <f>SUMIF(RecoveredRaw!$B:$B,$A123,RecoveredRaw!BS:BS)</f>
        <v>0</v>
      </c>
      <c r="BQ123">
        <f>SUMIF(RecoveredRaw!$B:$B,$A123,RecoveredRaw!BT:BT)</f>
        <v>0</v>
      </c>
      <c r="BR123">
        <f>SUMIF(RecoveredRaw!$B:$B,$A123,RecoveredRaw!BU:BU)</f>
        <v>0</v>
      </c>
      <c r="BS123">
        <f>SUMIF(RecoveredRaw!$B:$B,$A123,RecoveredRaw!BV:BV)</f>
        <v>0</v>
      </c>
      <c r="BT123">
        <f>SUMIF(RecoveredRaw!$B:$B,$A123,RecoveredRaw!BW:BW)</f>
        <v>0</v>
      </c>
    </row>
    <row r="124" spans="1:72" ht="15" thickBot="1" x14ac:dyDescent="0.35">
      <c r="A124" s="4" t="s">
        <v>42</v>
      </c>
      <c r="B124">
        <f>SUMIF(RecoveredRaw!$B:$B,$A124,RecoveredRaw!E:E)</f>
        <v>0</v>
      </c>
      <c r="C124">
        <f>SUMIF(RecoveredRaw!$B:$B,$A124,RecoveredRaw!F:F)</f>
        <v>0</v>
      </c>
      <c r="D124">
        <f>SUMIF(RecoveredRaw!$B:$B,$A124,RecoveredRaw!G:G)</f>
        <v>0</v>
      </c>
      <c r="E124">
        <f>SUMIF(RecoveredRaw!$B:$B,$A124,RecoveredRaw!H:H)</f>
        <v>0</v>
      </c>
      <c r="F124">
        <f>SUMIF(RecoveredRaw!$B:$B,$A124,RecoveredRaw!I:I)</f>
        <v>0</v>
      </c>
      <c r="G124">
        <f>SUMIF(RecoveredRaw!$B:$B,$A124,RecoveredRaw!J:J)</f>
        <v>0</v>
      </c>
      <c r="H124">
        <f>SUMIF(RecoveredRaw!$B:$B,$A124,RecoveredRaw!K:K)</f>
        <v>0</v>
      </c>
      <c r="I124">
        <f>SUMIF(RecoveredRaw!$B:$B,$A124,RecoveredRaw!L:L)</f>
        <v>0</v>
      </c>
      <c r="J124">
        <f>SUMIF(RecoveredRaw!$B:$B,$A124,RecoveredRaw!M:M)</f>
        <v>0</v>
      </c>
      <c r="K124">
        <f>SUMIF(RecoveredRaw!$B:$B,$A124,RecoveredRaw!N:N)</f>
        <v>0</v>
      </c>
      <c r="L124">
        <f>SUMIF(RecoveredRaw!$B:$B,$A124,RecoveredRaw!O:O)</f>
        <v>0</v>
      </c>
      <c r="M124">
        <f>SUMIF(RecoveredRaw!$B:$B,$A124,RecoveredRaw!P:P)</f>
        <v>0</v>
      </c>
      <c r="N124">
        <f>SUMIF(RecoveredRaw!$B:$B,$A124,RecoveredRaw!Q:Q)</f>
        <v>0</v>
      </c>
      <c r="O124">
        <f>SUMIF(RecoveredRaw!$B:$B,$A124,RecoveredRaw!R:R)</f>
        <v>0</v>
      </c>
      <c r="P124">
        <f>SUMIF(RecoveredRaw!$B:$B,$A124,RecoveredRaw!S:S)</f>
        <v>0</v>
      </c>
      <c r="Q124">
        <f>SUMIF(RecoveredRaw!$B:$B,$A124,RecoveredRaw!T:T)</f>
        <v>0</v>
      </c>
      <c r="R124">
        <f>SUMIF(RecoveredRaw!$B:$B,$A124,RecoveredRaw!U:U)</f>
        <v>0</v>
      </c>
      <c r="S124">
        <f>SUMIF(RecoveredRaw!$B:$B,$A124,RecoveredRaw!V:V)</f>
        <v>0</v>
      </c>
      <c r="T124">
        <f>SUMIF(RecoveredRaw!$B:$B,$A124,RecoveredRaw!W:W)</f>
        <v>0</v>
      </c>
      <c r="U124">
        <f>SUMIF(RecoveredRaw!$B:$B,$A124,RecoveredRaw!X:X)</f>
        <v>0</v>
      </c>
      <c r="V124">
        <f>SUMIF(RecoveredRaw!$B:$B,$A124,RecoveredRaw!Y:Y)</f>
        <v>0</v>
      </c>
      <c r="W124">
        <f>SUMIF(RecoveredRaw!$B:$B,$A124,RecoveredRaw!Z:Z)</f>
        <v>1</v>
      </c>
      <c r="X124">
        <f>SUMIF(RecoveredRaw!$B:$B,$A124,RecoveredRaw!AA:AA)</f>
        <v>1</v>
      </c>
      <c r="Y124">
        <f>SUMIF(RecoveredRaw!$B:$B,$A124,RecoveredRaw!AB:AB)</f>
        <v>1</v>
      </c>
      <c r="Z124">
        <f>SUMIF(RecoveredRaw!$B:$B,$A124,RecoveredRaw!AC:AC)</f>
        <v>1</v>
      </c>
      <c r="AA124">
        <f>SUMIF(RecoveredRaw!$B:$B,$A124,RecoveredRaw!AD:AD)</f>
        <v>1</v>
      </c>
      <c r="AB124">
        <f>SUMIF(RecoveredRaw!$B:$B,$A124,RecoveredRaw!AE:AE)</f>
        <v>1</v>
      </c>
      <c r="AC124">
        <f>SUMIF(RecoveredRaw!$B:$B,$A124,RecoveredRaw!AF:AF)</f>
        <v>1</v>
      </c>
      <c r="AD124">
        <f>SUMIF(RecoveredRaw!$B:$B,$A124,RecoveredRaw!AG:AG)</f>
        <v>1</v>
      </c>
      <c r="AE124">
        <f>SUMIF(RecoveredRaw!$B:$B,$A124,RecoveredRaw!AH:AH)</f>
        <v>1</v>
      </c>
      <c r="AF124">
        <f>SUMIF(RecoveredRaw!$B:$B,$A124,RecoveredRaw!AI:AI)</f>
        <v>1</v>
      </c>
      <c r="AG124">
        <f>SUMIF(RecoveredRaw!$B:$B,$A124,RecoveredRaw!AJ:AJ)</f>
        <v>1</v>
      </c>
      <c r="AH124">
        <f>SUMIF(RecoveredRaw!$B:$B,$A124,RecoveredRaw!AK:AK)</f>
        <v>1</v>
      </c>
      <c r="AI124">
        <f>SUMIF(RecoveredRaw!$B:$B,$A124,RecoveredRaw!AL:AL)</f>
        <v>1</v>
      </c>
      <c r="AJ124">
        <f>SUMIF(RecoveredRaw!$B:$B,$A124,RecoveredRaw!AM:AM)</f>
        <v>1</v>
      </c>
      <c r="AK124">
        <f>SUMIF(RecoveredRaw!$B:$B,$A124,RecoveredRaw!AN:AN)</f>
        <v>1</v>
      </c>
      <c r="AL124">
        <f>SUMIF(RecoveredRaw!$B:$B,$A124,RecoveredRaw!AO:AO)</f>
        <v>1</v>
      </c>
      <c r="AM124">
        <f>SUMIF(RecoveredRaw!$B:$B,$A124,RecoveredRaw!AP:AP)</f>
        <v>1</v>
      </c>
      <c r="AN124">
        <f>SUMIF(RecoveredRaw!$B:$B,$A124,RecoveredRaw!AQ:AQ)</f>
        <v>1</v>
      </c>
      <c r="AO124">
        <f>SUMIF(RecoveredRaw!$B:$B,$A124,RecoveredRaw!AR:AR)</f>
        <v>1</v>
      </c>
      <c r="AP124">
        <f>SUMIF(RecoveredRaw!$B:$B,$A124,RecoveredRaw!AS:AS)</f>
        <v>1</v>
      </c>
      <c r="AQ124">
        <f>SUMIF(RecoveredRaw!$B:$B,$A124,RecoveredRaw!AT:AT)</f>
        <v>1</v>
      </c>
      <c r="AR124">
        <f>SUMIF(RecoveredRaw!$B:$B,$A124,RecoveredRaw!AU:AU)</f>
        <v>1</v>
      </c>
      <c r="AS124">
        <f>SUMIF(RecoveredRaw!$B:$B,$A124,RecoveredRaw!AV:AV)</f>
        <v>1</v>
      </c>
      <c r="AT124">
        <f>SUMIF(RecoveredRaw!$B:$B,$A124,RecoveredRaw!AW:AW)</f>
        <v>1</v>
      </c>
      <c r="AU124">
        <f>SUMIF(RecoveredRaw!$B:$B,$A124,RecoveredRaw!AX:AX)</f>
        <v>1</v>
      </c>
      <c r="AV124">
        <f>SUMIF(RecoveredRaw!$B:$B,$A124,RecoveredRaw!AY:AY)</f>
        <v>1</v>
      </c>
      <c r="AW124">
        <f>SUMIF(RecoveredRaw!$B:$B,$A124,RecoveredRaw!AZ:AZ)</f>
        <v>1</v>
      </c>
      <c r="AX124">
        <f>SUMIF(RecoveredRaw!$B:$B,$A124,RecoveredRaw!BA:BA)</f>
        <v>1</v>
      </c>
      <c r="AY124">
        <f>SUMIF(RecoveredRaw!$B:$B,$A124,RecoveredRaw!BB:BB)</f>
        <v>1</v>
      </c>
      <c r="AZ124">
        <f>SUMIF(RecoveredRaw!$B:$B,$A124,RecoveredRaw!BC:BC)</f>
        <v>1</v>
      </c>
      <c r="BA124">
        <f>SUMIF(RecoveredRaw!$B:$B,$A124,RecoveredRaw!BD:BD)</f>
        <v>1</v>
      </c>
      <c r="BB124">
        <f>SUMIF(RecoveredRaw!$B:$B,$A124,RecoveredRaw!BE:BE)</f>
        <v>1</v>
      </c>
      <c r="BC124">
        <f>SUMIF(RecoveredRaw!$B:$B,$A124,RecoveredRaw!BF:BF)</f>
        <v>1</v>
      </c>
      <c r="BD124">
        <f>SUMIF(RecoveredRaw!$B:$B,$A124,RecoveredRaw!BG:BG)</f>
        <v>1</v>
      </c>
      <c r="BE124">
        <f>SUMIF(RecoveredRaw!$B:$B,$A124,RecoveredRaw!BH:BH)</f>
        <v>1</v>
      </c>
      <c r="BF124">
        <f>SUMIF(RecoveredRaw!$B:$B,$A124,RecoveredRaw!BI:BI)</f>
        <v>1</v>
      </c>
      <c r="BG124">
        <f>SUMIF(RecoveredRaw!$B:$B,$A124,RecoveredRaw!BJ:BJ)</f>
        <v>1</v>
      </c>
      <c r="BH124">
        <f>SUMIF(RecoveredRaw!$B:$B,$A124,RecoveredRaw!BK:BK)</f>
        <v>1</v>
      </c>
      <c r="BI124">
        <f>SUMIF(RecoveredRaw!$B:$B,$A124,RecoveredRaw!BL:BL)</f>
        <v>0</v>
      </c>
      <c r="BJ124">
        <f>SUMIF(RecoveredRaw!$B:$B,$A124,RecoveredRaw!BM:BM)</f>
        <v>0</v>
      </c>
      <c r="BK124">
        <f>SUMIF(RecoveredRaw!$B:$B,$A124,RecoveredRaw!BN:BN)</f>
        <v>0</v>
      </c>
      <c r="BL124">
        <f>SUMIF(RecoveredRaw!$B:$B,$A124,RecoveredRaw!BO:BO)</f>
        <v>0</v>
      </c>
      <c r="BM124">
        <f>SUMIF(RecoveredRaw!$B:$B,$A124,RecoveredRaw!BP:BP)</f>
        <v>0</v>
      </c>
      <c r="BN124">
        <f>SUMIF(RecoveredRaw!$B:$B,$A124,RecoveredRaw!BQ:BQ)</f>
        <v>0</v>
      </c>
      <c r="BO124">
        <f>SUMIF(RecoveredRaw!$B:$B,$A124,RecoveredRaw!BR:BR)</f>
        <v>0</v>
      </c>
      <c r="BP124">
        <f>SUMIF(RecoveredRaw!$B:$B,$A124,RecoveredRaw!BS:BS)</f>
        <v>0</v>
      </c>
      <c r="BQ124">
        <f>SUMIF(RecoveredRaw!$B:$B,$A124,RecoveredRaw!BT:BT)</f>
        <v>0</v>
      </c>
      <c r="BR124">
        <f>SUMIF(RecoveredRaw!$B:$B,$A124,RecoveredRaw!BU:BU)</f>
        <v>0</v>
      </c>
      <c r="BS124">
        <f>SUMIF(RecoveredRaw!$B:$B,$A124,RecoveredRaw!BV:BV)</f>
        <v>0</v>
      </c>
      <c r="BT124">
        <f>SUMIF(RecoveredRaw!$B:$B,$A124,RecoveredRaw!BW:BW)</f>
        <v>0</v>
      </c>
    </row>
    <row r="125" spans="1:72" ht="15" thickBot="1" x14ac:dyDescent="0.35">
      <c r="A125" s="3" t="s">
        <v>420</v>
      </c>
      <c r="B125">
        <f>SUMIF(RecoveredRaw!$B:$B,$A125,RecoveredRaw!E:E)</f>
        <v>0</v>
      </c>
      <c r="C125">
        <f>SUMIF(RecoveredRaw!$B:$B,$A125,RecoveredRaw!F:F)</f>
        <v>0</v>
      </c>
      <c r="D125">
        <f>SUMIF(RecoveredRaw!$B:$B,$A125,RecoveredRaw!G:G)</f>
        <v>0</v>
      </c>
      <c r="E125">
        <f>SUMIF(RecoveredRaw!$B:$B,$A125,RecoveredRaw!H:H)</f>
        <v>0</v>
      </c>
      <c r="F125">
        <f>SUMIF(RecoveredRaw!$B:$B,$A125,RecoveredRaw!I:I)</f>
        <v>0</v>
      </c>
      <c r="G125">
        <f>SUMIF(RecoveredRaw!$B:$B,$A125,RecoveredRaw!J:J)</f>
        <v>0</v>
      </c>
      <c r="H125">
        <f>SUMIF(RecoveredRaw!$B:$B,$A125,RecoveredRaw!K:K)</f>
        <v>0</v>
      </c>
      <c r="I125">
        <f>SUMIF(RecoveredRaw!$B:$B,$A125,RecoveredRaw!L:L)</f>
        <v>0</v>
      </c>
      <c r="J125">
        <f>SUMIF(RecoveredRaw!$B:$B,$A125,RecoveredRaw!M:M)</f>
        <v>0</v>
      </c>
      <c r="K125">
        <f>SUMIF(RecoveredRaw!$B:$B,$A125,RecoveredRaw!N:N)</f>
        <v>0</v>
      </c>
      <c r="L125">
        <f>SUMIF(RecoveredRaw!$B:$B,$A125,RecoveredRaw!O:O)</f>
        <v>0</v>
      </c>
      <c r="M125">
        <f>SUMIF(RecoveredRaw!$B:$B,$A125,RecoveredRaw!P:P)</f>
        <v>0</v>
      </c>
      <c r="N125">
        <f>SUMIF(RecoveredRaw!$B:$B,$A125,RecoveredRaw!Q:Q)</f>
        <v>0</v>
      </c>
      <c r="O125">
        <f>SUMIF(RecoveredRaw!$B:$B,$A125,RecoveredRaw!R:R)</f>
        <v>0</v>
      </c>
      <c r="P125">
        <f>SUMIF(RecoveredRaw!$B:$B,$A125,RecoveredRaw!S:S)</f>
        <v>0</v>
      </c>
      <c r="Q125">
        <f>SUMIF(RecoveredRaw!$B:$B,$A125,RecoveredRaw!T:T)</f>
        <v>0</v>
      </c>
      <c r="R125">
        <f>SUMIF(RecoveredRaw!$B:$B,$A125,RecoveredRaw!U:U)</f>
        <v>0</v>
      </c>
      <c r="S125">
        <f>SUMIF(RecoveredRaw!$B:$B,$A125,RecoveredRaw!V:V)</f>
        <v>0</v>
      </c>
      <c r="T125">
        <f>SUMIF(RecoveredRaw!$B:$B,$A125,RecoveredRaw!W:W)</f>
        <v>0</v>
      </c>
      <c r="U125">
        <f>SUMIF(RecoveredRaw!$B:$B,$A125,RecoveredRaw!X:X)</f>
        <v>0</v>
      </c>
      <c r="V125">
        <f>SUMIF(RecoveredRaw!$B:$B,$A125,RecoveredRaw!Y:Y)</f>
        <v>0</v>
      </c>
      <c r="W125">
        <f>SUMIF(RecoveredRaw!$B:$B,$A125,RecoveredRaw!Z:Z)</f>
        <v>0</v>
      </c>
      <c r="X125">
        <f>SUMIF(RecoveredRaw!$B:$B,$A125,RecoveredRaw!AA:AA)</f>
        <v>0</v>
      </c>
      <c r="Y125">
        <f>SUMIF(RecoveredRaw!$B:$B,$A125,RecoveredRaw!AB:AB)</f>
        <v>0</v>
      </c>
      <c r="Z125">
        <f>SUMIF(RecoveredRaw!$B:$B,$A125,RecoveredRaw!AC:AC)</f>
        <v>0</v>
      </c>
      <c r="AA125">
        <f>SUMIF(RecoveredRaw!$B:$B,$A125,RecoveredRaw!AD:AD)</f>
        <v>0</v>
      </c>
      <c r="AB125">
        <f>SUMIF(RecoveredRaw!$B:$B,$A125,RecoveredRaw!AE:AE)</f>
        <v>0</v>
      </c>
      <c r="AC125">
        <f>SUMIF(RecoveredRaw!$B:$B,$A125,RecoveredRaw!AF:AF)</f>
        <v>0</v>
      </c>
      <c r="AD125">
        <f>SUMIF(RecoveredRaw!$B:$B,$A125,RecoveredRaw!AG:AG)</f>
        <v>0</v>
      </c>
      <c r="AE125">
        <f>SUMIF(RecoveredRaw!$B:$B,$A125,RecoveredRaw!AH:AH)</f>
        <v>0</v>
      </c>
      <c r="AF125">
        <f>SUMIF(RecoveredRaw!$B:$B,$A125,RecoveredRaw!AI:AI)</f>
        <v>0</v>
      </c>
      <c r="AG125">
        <f>SUMIF(RecoveredRaw!$B:$B,$A125,RecoveredRaw!AJ:AJ)</f>
        <v>0</v>
      </c>
      <c r="AH125">
        <f>SUMIF(RecoveredRaw!$B:$B,$A125,RecoveredRaw!AK:AK)</f>
        <v>0</v>
      </c>
      <c r="AI125">
        <f>SUMIF(RecoveredRaw!$B:$B,$A125,RecoveredRaw!AL:AL)</f>
        <v>0</v>
      </c>
      <c r="AJ125">
        <f>SUMIF(RecoveredRaw!$B:$B,$A125,RecoveredRaw!AM:AM)</f>
        <v>0</v>
      </c>
      <c r="AK125">
        <f>SUMIF(RecoveredRaw!$B:$B,$A125,RecoveredRaw!AN:AN)</f>
        <v>0</v>
      </c>
      <c r="AL125">
        <f>SUMIF(RecoveredRaw!$B:$B,$A125,RecoveredRaw!AO:AO)</f>
        <v>0</v>
      </c>
      <c r="AM125">
        <f>SUMIF(RecoveredRaw!$B:$B,$A125,RecoveredRaw!AP:AP)</f>
        <v>0</v>
      </c>
      <c r="AN125">
        <f>SUMIF(RecoveredRaw!$B:$B,$A125,RecoveredRaw!AQ:AQ)</f>
        <v>0</v>
      </c>
      <c r="AO125">
        <f>SUMIF(RecoveredRaw!$B:$B,$A125,RecoveredRaw!AR:AR)</f>
        <v>0</v>
      </c>
      <c r="AP125">
        <f>SUMIF(RecoveredRaw!$B:$B,$A125,RecoveredRaw!AS:AS)</f>
        <v>0</v>
      </c>
      <c r="AQ125">
        <f>SUMIF(RecoveredRaw!$B:$B,$A125,RecoveredRaw!AT:AT)</f>
        <v>0</v>
      </c>
      <c r="AR125">
        <f>SUMIF(RecoveredRaw!$B:$B,$A125,RecoveredRaw!AU:AU)</f>
        <v>0</v>
      </c>
      <c r="AS125">
        <f>SUMIF(RecoveredRaw!$B:$B,$A125,RecoveredRaw!AV:AV)</f>
        <v>0</v>
      </c>
      <c r="AT125">
        <f>SUMIF(RecoveredRaw!$B:$B,$A125,RecoveredRaw!AW:AW)</f>
        <v>0</v>
      </c>
      <c r="AU125">
        <f>SUMIF(RecoveredRaw!$B:$B,$A125,RecoveredRaw!AX:AX)</f>
        <v>0</v>
      </c>
      <c r="AV125">
        <f>SUMIF(RecoveredRaw!$B:$B,$A125,RecoveredRaw!AY:AY)</f>
        <v>0</v>
      </c>
      <c r="AW125">
        <f>SUMIF(RecoveredRaw!$B:$B,$A125,RecoveredRaw!AZ:AZ)</f>
        <v>0</v>
      </c>
      <c r="AX125">
        <f>SUMIF(RecoveredRaw!$B:$B,$A125,RecoveredRaw!BA:BA)</f>
        <v>0</v>
      </c>
      <c r="AY125">
        <f>SUMIF(RecoveredRaw!$B:$B,$A125,RecoveredRaw!BB:BB)</f>
        <v>0</v>
      </c>
      <c r="AZ125">
        <f>SUMIF(RecoveredRaw!$B:$B,$A125,RecoveredRaw!BC:BC)</f>
        <v>0</v>
      </c>
      <c r="BA125">
        <f>SUMIF(RecoveredRaw!$B:$B,$A125,RecoveredRaw!BD:BD)</f>
        <v>0</v>
      </c>
      <c r="BB125">
        <f>SUMIF(RecoveredRaw!$B:$B,$A125,RecoveredRaw!BE:BE)</f>
        <v>0</v>
      </c>
      <c r="BC125">
        <f>SUMIF(RecoveredRaw!$B:$B,$A125,RecoveredRaw!BF:BF)</f>
        <v>0</v>
      </c>
      <c r="BD125">
        <f>SUMIF(RecoveredRaw!$B:$B,$A125,RecoveredRaw!BG:BG)</f>
        <v>0</v>
      </c>
      <c r="BE125">
        <f>SUMIF(RecoveredRaw!$B:$B,$A125,RecoveredRaw!BH:BH)</f>
        <v>0</v>
      </c>
      <c r="BF125">
        <f>SUMIF(RecoveredRaw!$B:$B,$A125,RecoveredRaw!BI:BI)</f>
        <v>0</v>
      </c>
      <c r="BG125">
        <f>SUMIF(RecoveredRaw!$B:$B,$A125,RecoveredRaw!BJ:BJ)</f>
        <v>0</v>
      </c>
      <c r="BH125">
        <f>SUMIF(RecoveredRaw!$B:$B,$A125,RecoveredRaw!BK:BK)</f>
        <v>0</v>
      </c>
      <c r="BI125">
        <f>SUMIF(RecoveredRaw!$B:$B,$A125,RecoveredRaw!BL:BL)</f>
        <v>0</v>
      </c>
      <c r="BJ125">
        <f>SUMIF(RecoveredRaw!$B:$B,$A125,RecoveredRaw!BM:BM)</f>
        <v>0</v>
      </c>
      <c r="BK125">
        <f>SUMIF(RecoveredRaw!$B:$B,$A125,RecoveredRaw!BN:BN)</f>
        <v>0</v>
      </c>
      <c r="BL125">
        <f>SUMIF(RecoveredRaw!$B:$B,$A125,RecoveredRaw!BO:BO)</f>
        <v>0</v>
      </c>
      <c r="BM125">
        <f>SUMIF(RecoveredRaw!$B:$B,$A125,RecoveredRaw!BP:BP)</f>
        <v>0</v>
      </c>
      <c r="BN125">
        <f>SUMIF(RecoveredRaw!$B:$B,$A125,RecoveredRaw!BQ:BQ)</f>
        <v>0</v>
      </c>
      <c r="BO125">
        <f>SUMIF(RecoveredRaw!$B:$B,$A125,RecoveredRaw!BR:BR)</f>
        <v>0</v>
      </c>
      <c r="BP125">
        <f>SUMIF(RecoveredRaw!$B:$B,$A125,RecoveredRaw!BS:BS)</f>
        <v>0</v>
      </c>
      <c r="BQ125">
        <f>SUMIF(RecoveredRaw!$B:$B,$A125,RecoveredRaw!BT:BT)</f>
        <v>0</v>
      </c>
      <c r="BR125">
        <f>SUMIF(RecoveredRaw!$B:$B,$A125,RecoveredRaw!BU:BU)</f>
        <v>0</v>
      </c>
      <c r="BS125">
        <f>SUMIF(RecoveredRaw!$B:$B,$A125,RecoveredRaw!BV:BV)</f>
        <v>0</v>
      </c>
      <c r="BT125">
        <f>SUMIF(RecoveredRaw!$B:$B,$A125,RecoveredRaw!BW:BW)</f>
        <v>0</v>
      </c>
    </row>
    <row r="126" spans="1:72" ht="15" thickBot="1" x14ac:dyDescent="0.35">
      <c r="A126" s="3" t="s">
        <v>163</v>
      </c>
      <c r="B126">
        <f>SUMIF(RecoveredRaw!$B:$B,$A126,RecoveredRaw!E:E)</f>
        <v>0</v>
      </c>
      <c r="C126">
        <f>SUMIF(RecoveredRaw!$B:$B,$A126,RecoveredRaw!F:F)</f>
        <v>0</v>
      </c>
      <c r="D126">
        <f>SUMIF(RecoveredRaw!$B:$B,$A126,RecoveredRaw!G:G)</f>
        <v>0</v>
      </c>
      <c r="E126">
        <f>SUMIF(RecoveredRaw!$B:$B,$A126,RecoveredRaw!H:H)</f>
        <v>0</v>
      </c>
      <c r="F126">
        <f>SUMIF(RecoveredRaw!$B:$B,$A126,RecoveredRaw!I:I)</f>
        <v>0</v>
      </c>
      <c r="G126">
        <f>SUMIF(RecoveredRaw!$B:$B,$A126,RecoveredRaw!J:J)</f>
        <v>0</v>
      </c>
      <c r="H126">
        <f>SUMIF(RecoveredRaw!$B:$B,$A126,RecoveredRaw!K:K)</f>
        <v>0</v>
      </c>
      <c r="I126">
        <f>SUMIF(RecoveredRaw!$B:$B,$A126,RecoveredRaw!L:L)</f>
        <v>0</v>
      </c>
      <c r="J126">
        <f>SUMIF(RecoveredRaw!$B:$B,$A126,RecoveredRaw!M:M)</f>
        <v>0</v>
      </c>
      <c r="K126">
        <f>SUMIF(RecoveredRaw!$B:$B,$A126,RecoveredRaw!N:N)</f>
        <v>0</v>
      </c>
      <c r="L126">
        <f>SUMIF(RecoveredRaw!$B:$B,$A126,RecoveredRaw!O:O)</f>
        <v>0</v>
      </c>
      <c r="M126">
        <f>SUMIF(RecoveredRaw!$B:$B,$A126,RecoveredRaw!P:P)</f>
        <v>0</v>
      </c>
      <c r="N126">
        <f>SUMIF(RecoveredRaw!$B:$B,$A126,RecoveredRaw!Q:Q)</f>
        <v>0</v>
      </c>
      <c r="O126">
        <f>SUMIF(RecoveredRaw!$B:$B,$A126,RecoveredRaw!R:R)</f>
        <v>0</v>
      </c>
      <c r="P126">
        <f>SUMIF(RecoveredRaw!$B:$B,$A126,RecoveredRaw!S:S)</f>
        <v>0</v>
      </c>
      <c r="Q126">
        <f>SUMIF(RecoveredRaw!$B:$B,$A126,RecoveredRaw!T:T)</f>
        <v>0</v>
      </c>
      <c r="R126">
        <f>SUMIF(RecoveredRaw!$B:$B,$A126,RecoveredRaw!U:U)</f>
        <v>0</v>
      </c>
      <c r="S126">
        <f>SUMIF(RecoveredRaw!$B:$B,$A126,RecoveredRaw!V:V)</f>
        <v>0</v>
      </c>
      <c r="T126">
        <f>SUMIF(RecoveredRaw!$B:$B,$A126,RecoveredRaw!W:W)</f>
        <v>0</v>
      </c>
      <c r="U126">
        <f>SUMIF(RecoveredRaw!$B:$B,$A126,RecoveredRaw!X:X)</f>
        <v>0</v>
      </c>
      <c r="V126">
        <f>SUMIF(RecoveredRaw!$B:$B,$A126,RecoveredRaw!Y:Y)</f>
        <v>0</v>
      </c>
      <c r="W126">
        <f>SUMIF(RecoveredRaw!$B:$B,$A126,RecoveredRaw!Z:Z)</f>
        <v>0</v>
      </c>
      <c r="X126">
        <f>SUMIF(RecoveredRaw!$B:$B,$A126,RecoveredRaw!AA:AA)</f>
        <v>0</v>
      </c>
      <c r="Y126">
        <f>SUMIF(RecoveredRaw!$B:$B,$A126,RecoveredRaw!AB:AB)</f>
        <v>0</v>
      </c>
      <c r="Z126">
        <f>SUMIF(RecoveredRaw!$B:$B,$A126,RecoveredRaw!AC:AC)</f>
        <v>0</v>
      </c>
      <c r="AA126">
        <f>SUMIF(RecoveredRaw!$B:$B,$A126,RecoveredRaw!AD:AD)</f>
        <v>0</v>
      </c>
      <c r="AB126">
        <f>SUMIF(RecoveredRaw!$B:$B,$A126,RecoveredRaw!AE:AE)</f>
        <v>0</v>
      </c>
      <c r="AC126">
        <f>SUMIF(RecoveredRaw!$B:$B,$A126,RecoveredRaw!AF:AF)</f>
        <v>0</v>
      </c>
      <c r="AD126">
        <f>SUMIF(RecoveredRaw!$B:$B,$A126,RecoveredRaw!AG:AG)</f>
        <v>0</v>
      </c>
      <c r="AE126">
        <f>SUMIF(RecoveredRaw!$B:$B,$A126,RecoveredRaw!AH:AH)</f>
        <v>0</v>
      </c>
      <c r="AF126">
        <f>SUMIF(RecoveredRaw!$B:$B,$A126,RecoveredRaw!AI:AI)</f>
        <v>0</v>
      </c>
      <c r="AG126">
        <f>SUMIF(RecoveredRaw!$B:$B,$A126,RecoveredRaw!AJ:AJ)</f>
        <v>0</v>
      </c>
      <c r="AH126">
        <f>SUMIF(RecoveredRaw!$B:$B,$A126,RecoveredRaw!AK:AK)</f>
        <v>0</v>
      </c>
      <c r="AI126">
        <f>SUMIF(RecoveredRaw!$B:$B,$A126,RecoveredRaw!AL:AL)</f>
        <v>0</v>
      </c>
      <c r="AJ126">
        <f>SUMIF(RecoveredRaw!$B:$B,$A126,RecoveredRaw!AM:AM)</f>
        <v>0</v>
      </c>
      <c r="AK126">
        <f>SUMIF(RecoveredRaw!$B:$B,$A126,RecoveredRaw!AN:AN)</f>
        <v>0</v>
      </c>
      <c r="AL126">
        <f>SUMIF(RecoveredRaw!$B:$B,$A126,RecoveredRaw!AO:AO)</f>
        <v>0</v>
      </c>
      <c r="AM126">
        <f>SUMIF(RecoveredRaw!$B:$B,$A126,RecoveredRaw!AP:AP)</f>
        <v>0</v>
      </c>
      <c r="AN126">
        <f>SUMIF(RecoveredRaw!$B:$B,$A126,RecoveredRaw!AQ:AQ)</f>
        <v>0</v>
      </c>
      <c r="AO126">
        <f>SUMIF(RecoveredRaw!$B:$B,$A126,RecoveredRaw!AR:AR)</f>
        <v>0</v>
      </c>
      <c r="AP126">
        <f>SUMIF(RecoveredRaw!$B:$B,$A126,RecoveredRaw!AS:AS)</f>
        <v>0</v>
      </c>
      <c r="AQ126">
        <f>SUMIF(RecoveredRaw!$B:$B,$A126,RecoveredRaw!AT:AT)</f>
        <v>0</v>
      </c>
      <c r="AR126">
        <f>SUMIF(RecoveredRaw!$B:$B,$A126,RecoveredRaw!AU:AU)</f>
        <v>0</v>
      </c>
      <c r="AS126">
        <f>SUMIF(RecoveredRaw!$B:$B,$A126,RecoveredRaw!AV:AV)</f>
        <v>0</v>
      </c>
      <c r="AT126">
        <f>SUMIF(RecoveredRaw!$B:$B,$A126,RecoveredRaw!AW:AW)</f>
        <v>0</v>
      </c>
      <c r="AU126">
        <f>SUMIF(RecoveredRaw!$B:$B,$A126,RecoveredRaw!AX:AX)</f>
        <v>0</v>
      </c>
      <c r="AV126">
        <f>SUMIF(RecoveredRaw!$B:$B,$A126,RecoveredRaw!AY:AY)</f>
        <v>0</v>
      </c>
      <c r="AW126">
        <f>SUMIF(RecoveredRaw!$B:$B,$A126,RecoveredRaw!AZ:AZ)</f>
        <v>0</v>
      </c>
      <c r="AX126">
        <f>SUMIF(RecoveredRaw!$B:$B,$A126,RecoveredRaw!BA:BA)</f>
        <v>0</v>
      </c>
      <c r="AY126">
        <f>SUMIF(RecoveredRaw!$B:$B,$A126,RecoveredRaw!BB:BB)</f>
        <v>0</v>
      </c>
      <c r="AZ126">
        <f>SUMIF(RecoveredRaw!$B:$B,$A126,RecoveredRaw!BC:BC)</f>
        <v>0</v>
      </c>
      <c r="BA126">
        <f>SUMIF(RecoveredRaw!$B:$B,$A126,RecoveredRaw!BD:BD)</f>
        <v>0</v>
      </c>
      <c r="BB126">
        <f>SUMIF(RecoveredRaw!$B:$B,$A126,RecoveredRaw!BE:BE)</f>
        <v>0</v>
      </c>
      <c r="BC126">
        <f>SUMIF(RecoveredRaw!$B:$B,$A126,RecoveredRaw!BF:BF)</f>
        <v>0</v>
      </c>
      <c r="BD126">
        <f>SUMIF(RecoveredRaw!$B:$B,$A126,RecoveredRaw!BG:BG)</f>
        <v>0</v>
      </c>
      <c r="BE126">
        <f>SUMIF(RecoveredRaw!$B:$B,$A126,RecoveredRaw!BH:BH)</f>
        <v>0</v>
      </c>
      <c r="BF126">
        <f>SUMIF(RecoveredRaw!$B:$B,$A126,RecoveredRaw!BI:BI)</f>
        <v>0</v>
      </c>
      <c r="BG126">
        <f>SUMIF(RecoveredRaw!$B:$B,$A126,RecoveredRaw!BJ:BJ)</f>
        <v>0</v>
      </c>
      <c r="BH126">
        <f>SUMIF(RecoveredRaw!$B:$B,$A126,RecoveredRaw!BK:BK)</f>
        <v>1</v>
      </c>
      <c r="BI126">
        <f>SUMIF(RecoveredRaw!$B:$B,$A126,RecoveredRaw!BL:BL)</f>
        <v>0</v>
      </c>
      <c r="BJ126">
        <f>SUMIF(RecoveredRaw!$B:$B,$A126,RecoveredRaw!BM:BM)</f>
        <v>0</v>
      </c>
      <c r="BK126">
        <f>SUMIF(RecoveredRaw!$B:$B,$A126,RecoveredRaw!BN:BN)</f>
        <v>0</v>
      </c>
      <c r="BL126">
        <f>SUMIF(RecoveredRaw!$B:$B,$A126,RecoveredRaw!BO:BO)</f>
        <v>0</v>
      </c>
      <c r="BM126">
        <f>SUMIF(RecoveredRaw!$B:$B,$A126,RecoveredRaw!BP:BP)</f>
        <v>0</v>
      </c>
      <c r="BN126">
        <f>SUMIF(RecoveredRaw!$B:$B,$A126,RecoveredRaw!BQ:BQ)</f>
        <v>0</v>
      </c>
      <c r="BO126">
        <f>SUMIF(RecoveredRaw!$B:$B,$A126,RecoveredRaw!BR:BR)</f>
        <v>0</v>
      </c>
      <c r="BP126">
        <f>SUMIF(RecoveredRaw!$B:$B,$A126,RecoveredRaw!BS:BS)</f>
        <v>0</v>
      </c>
      <c r="BQ126">
        <f>SUMIF(RecoveredRaw!$B:$B,$A126,RecoveredRaw!BT:BT)</f>
        <v>0</v>
      </c>
      <c r="BR126">
        <f>SUMIF(RecoveredRaw!$B:$B,$A126,RecoveredRaw!BU:BU)</f>
        <v>0</v>
      </c>
      <c r="BS126">
        <f>SUMIF(RecoveredRaw!$B:$B,$A126,RecoveredRaw!BV:BV)</f>
        <v>0</v>
      </c>
      <c r="BT126">
        <f>SUMIF(RecoveredRaw!$B:$B,$A126,RecoveredRaw!BW:BW)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BT126"/>
  <sheetViews>
    <sheetView workbookViewId="0">
      <selection activeCell="B2" sqref="B2:BT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SUMIF(DeadRaw!$B:$B,$A2,DeadRaw!E:E)</f>
        <v>17</v>
      </c>
      <c r="C2">
        <f>SUMIF(DeadRaw!$B:$B,$A2,DeadRaw!F:F)</f>
        <v>18</v>
      </c>
      <c r="D2">
        <f>SUMIF(DeadRaw!$B:$B,$A2,DeadRaw!G:G)</f>
        <v>26</v>
      </c>
      <c r="E2">
        <f>SUMIF(DeadRaw!$B:$B,$A2,DeadRaw!H:H)</f>
        <v>42</v>
      </c>
      <c r="F2">
        <f>SUMIF(DeadRaw!$B:$B,$A2,DeadRaw!I:I)</f>
        <v>56</v>
      </c>
      <c r="G2">
        <f>SUMIF(DeadRaw!$B:$B,$A2,DeadRaw!J:J)</f>
        <v>82</v>
      </c>
      <c r="H2">
        <f>SUMIF(DeadRaw!$B:$B,$A2,DeadRaw!K:K)</f>
        <v>131</v>
      </c>
      <c r="I2">
        <f>SUMIF(DeadRaw!$B:$B,$A2,DeadRaw!L:L)</f>
        <v>133</v>
      </c>
      <c r="J2">
        <f>SUMIF(DeadRaw!$B:$B,$A2,DeadRaw!M:M)</f>
        <v>171</v>
      </c>
      <c r="K2">
        <f>SUMIF(DeadRaw!$B:$B,$A2,DeadRaw!N:N)</f>
        <v>213</v>
      </c>
      <c r="L2">
        <f>SUMIF(DeadRaw!$B:$B,$A2,DeadRaw!O:O)</f>
        <v>259</v>
      </c>
      <c r="M2">
        <f>SUMIF(DeadRaw!$B:$B,$A2,DeadRaw!P:P)</f>
        <v>361</v>
      </c>
      <c r="N2">
        <f>SUMIF(DeadRaw!$B:$B,$A2,DeadRaw!Q:Q)</f>
        <v>425</v>
      </c>
      <c r="O2">
        <f>SUMIF(DeadRaw!$B:$B,$A2,DeadRaw!R:R)</f>
        <v>491</v>
      </c>
      <c r="P2">
        <f>SUMIF(DeadRaw!$B:$B,$A2,DeadRaw!S:S)</f>
        <v>563</v>
      </c>
      <c r="Q2">
        <f>SUMIF(DeadRaw!$B:$B,$A2,DeadRaw!T:T)</f>
        <v>633</v>
      </c>
      <c r="R2">
        <f>SUMIF(DeadRaw!$B:$B,$A2,DeadRaw!U:U)</f>
        <v>718</v>
      </c>
      <c r="S2">
        <f>SUMIF(DeadRaw!$B:$B,$A2,DeadRaw!V:V)</f>
        <v>805</v>
      </c>
      <c r="T2">
        <f>SUMIF(DeadRaw!$B:$B,$A2,DeadRaw!W:W)</f>
        <v>905</v>
      </c>
      <c r="U2">
        <f>SUMIF(DeadRaw!$B:$B,$A2,DeadRaw!X:X)</f>
        <v>1012</v>
      </c>
      <c r="V2">
        <f>SUMIF(DeadRaw!$B:$B,$A2,DeadRaw!Y:Y)</f>
        <v>1112</v>
      </c>
      <c r="W2">
        <f>SUMIF(DeadRaw!$B:$B,$A2,DeadRaw!Z:Z)</f>
        <v>1117</v>
      </c>
      <c r="X2">
        <f>SUMIF(DeadRaw!$B:$B,$A2,DeadRaw!AA:AA)</f>
        <v>1369</v>
      </c>
      <c r="Y2">
        <f>SUMIF(DeadRaw!$B:$B,$A2,DeadRaw!AB:AB)</f>
        <v>1521</v>
      </c>
      <c r="Z2">
        <f>SUMIF(DeadRaw!$B:$B,$A2,DeadRaw!AC:AC)</f>
        <v>1663</v>
      </c>
      <c r="AA2">
        <f>SUMIF(DeadRaw!$B:$B,$A2,DeadRaw!AD:AD)</f>
        <v>1766</v>
      </c>
      <c r="AB2">
        <f>SUMIF(DeadRaw!$B:$B,$A2,DeadRaw!AE:AE)</f>
        <v>1864</v>
      </c>
      <c r="AC2">
        <f>SUMIF(DeadRaw!$B:$B,$A2,DeadRaw!AF:AF)</f>
        <v>2003</v>
      </c>
      <c r="AD2">
        <f>SUMIF(DeadRaw!$B:$B,$A2,DeadRaw!AG:AG)</f>
        <v>2116</v>
      </c>
      <c r="AE2">
        <f>SUMIF(DeadRaw!$B:$B,$A2,DeadRaw!AH:AH)</f>
        <v>2238</v>
      </c>
      <c r="AF2">
        <f>SUMIF(DeadRaw!$B:$B,$A2,DeadRaw!AI:AI)</f>
        <v>2238</v>
      </c>
      <c r="AG2">
        <f>SUMIF(DeadRaw!$B:$B,$A2,DeadRaw!AJ:AJ)</f>
        <v>2443</v>
      </c>
      <c r="AH2">
        <f>SUMIF(DeadRaw!$B:$B,$A2,DeadRaw!AK:AK)</f>
        <v>2445</v>
      </c>
      <c r="AI2">
        <f>SUMIF(DeadRaw!$B:$B,$A2,DeadRaw!AL:AL)</f>
        <v>2595</v>
      </c>
      <c r="AJ2">
        <f>SUMIF(DeadRaw!$B:$B,$A2,DeadRaw!AM:AM)</f>
        <v>2665</v>
      </c>
      <c r="AK2">
        <f>SUMIF(DeadRaw!$B:$B,$A2,DeadRaw!AN:AN)</f>
        <v>2717</v>
      </c>
      <c r="AL2">
        <f>SUMIF(DeadRaw!$B:$B,$A2,DeadRaw!AO:AO)</f>
        <v>2746</v>
      </c>
      <c r="AM2">
        <f>SUMIF(DeadRaw!$B:$B,$A2,DeadRaw!AP:AP)</f>
        <v>2790</v>
      </c>
      <c r="AN2">
        <f>SUMIF(DeadRaw!$B:$B,$A2,DeadRaw!AQ:AQ)</f>
        <v>2837</v>
      </c>
      <c r="AO2">
        <f>SUMIF(DeadRaw!$B:$B,$A2,DeadRaw!AR:AR)</f>
        <v>2872</v>
      </c>
      <c r="AP2">
        <f>SUMIF(DeadRaw!$B:$B,$A2,DeadRaw!AS:AS)</f>
        <v>2914</v>
      </c>
      <c r="AQ2">
        <f>SUMIF(DeadRaw!$B:$B,$A2,DeadRaw!AT:AT)</f>
        <v>2947</v>
      </c>
      <c r="AR2">
        <f>SUMIF(DeadRaw!$B:$B,$A2,DeadRaw!AU:AU)</f>
        <v>2983</v>
      </c>
      <c r="AS2">
        <f>SUMIF(DeadRaw!$B:$B,$A2,DeadRaw!AV:AV)</f>
        <v>3015</v>
      </c>
      <c r="AT2">
        <f>SUMIF(DeadRaw!$B:$B,$A2,DeadRaw!AW:AW)</f>
        <v>3044</v>
      </c>
      <c r="AU2">
        <f>SUMIF(DeadRaw!$B:$B,$A2,DeadRaw!AX:AX)</f>
        <v>3072</v>
      </c>
      <c r="AV2">
        <f>SUMIF(DeadRaw!$B:$B,$A2,DeadRaw!AY:AY)</f>
        <v>3100</v>
      </c>
      <c r="AW2">
        <f>SUMIF(DeadRaw!$B:$B,$A2,DeadRaw!AZ:AZ)</f>
        <v>3123</v>
      </c>
      <c r="AX2">
        <f>SUMIF(DeadRaw!$B:$B,$A2,DeadRaw!BA:BA)</f>
        <v>3139</v>
      </c>
      <c r="AY2">
        <f>SUMIF(DeadRaw!$B:$B,$A2,DeadRaw!BB:BB)</f>
        <v>3161</v>
      </c>
      <c r="AZ2">
        <f>SUMIF(DeadRaw!$B:$B,$A2,DeadRaw!BC:BC)</f>
        <v>3172</v>
      </c>
      <c r="BA2">
        <f>SUMIF(DeadRaw!$B:$B,$A2,DeadRaw!BD:BD)</f>
        <v>3180</v>
      </c>
      <c r="BB2">
        <f>SUMIF(DeadRaw!$B:$B,$A2,DeadRaw!BE:BE)</f>
        <v>3193</v>
      </c>
      <c r="BC2">
        <f>SUMIF(DeadRaw!$B:$B,$A2,DeadRaw!BF:BF)</f>
        <v>3203</v>
      </c>
      <c r="BD2">
        <f>SUMIF(DeadRaw!$B:$B,$A2,DeadRaw!BG:BG)</f>
        <v>3217</v>
      </c>
      <c r="BE2">
        <f>SUMIF(DeadRaw!$B:$B,$A2,DeadRaw!BH:BH)</f>
        <v>3230</v>
      </c>
      <c r="BF2">
        <f>SUMIF(DeadRaw!$B:$B,$A2,DeadRaw!BI:BI)</f>
        <v>3241</v>
      </c>
      <c r="BG2">
        <f>SUMIF(DeadRaw!$B:$B,$A2,DeadRaw!BJ:BJ)</f>
        <v>3249</v>
      </c>
      <c r="BH2">
        <f>SUMIF(DeadRaw!$B:$B,$A2,DeadRaw!BK:BK)</f>
        <v>3253</v>
      </c>
      <c r="BI2">
        <f>SUMIF(DeadRaw!$B:$B,$A2,DeadRaw!BL:BL)</f>
        <v>0</v>
      </c>
      <c r="BJ2">
        <f>SUMIF(DeadRaw!$B:$B,$A2,DeadRaw!BM:BM)</f>
        <v>0</v>
      </c>
      <c r="BK2">
        <f>SUMIF(DeadRaw!$B:$B,$A2,DeadRaw!BN:BN)</f>
        <v>0</v>
      </c>
      <c r="BL2">
        <f>SUMIF(DeadRaw!$B:$B,$A2,DeadRaw!BO:BO)</f>
        <v>0</v>
      </c>
      <c r="BM2">
        <f>SUMIF(DeadRaw!$B:$B,$A2,DeadRaw!BP:BP)</f>
        <v>0</v>
      </c>
      <c r="BN2">
        <f>SUMIF(DeadRaw!$B:$B,$A2,DeadRaw!BQ:BQ)</f>
        <v>0</v>
      </c>
      <c r="BO2">
        <f>SUMIF(DeadRaw!$B:$B,$A2,DeadRaw!BR:BR)</f>
        <v>0</v>
      </c>
      <c r="BP2">
        <f>SUMIF(DeadRaw!$B:$B,$A2,DeadRaw!BS:BS)</f>
        <v>0</v>
      </c>
      <c r="BQ2">
        <f>SUMIF(DeadRaw!$B:$B,$A2,DeadRaw!BT:BT)</f>
        <v>0</v>
      </c>
      <c r="BR2">
        <f>SUMIF(DeadRaw!$B:$B,$A2,DeadRaw!BU:BU)</f>
        <v>0</v>
      </c>
      <c r="BS2">
        <f>SUMIF(DeadRaw!$B:$B,$A2,DeadRaw!BV:BV)</f>
        <v>0</v>
      </c>
      <c r="BT2">
        <f>SUMIF(DeadRaw!$B:$B,$A2,DeadRaw!BW:BW)</f>
        <v>0</v>
      </c>
    </row>
    <row r="3" spans="1:72" ht="15" thickBot="1" x14ac:dyDescent="0.35">
      <c r="A3" s="3" t="s">
        <v>58</v>
      </c>
      <c r="B3">
        <f>SUMIF(DeadRaw!$B:$B,$A3,DeadRaw!E:E)</f>
        <v>0</v>
      </c>
      <c r="C3">
        <f>SUMIF(DeadRaw!$B:$B,$A3,DeadRaw!F:F)</f>
        <v>0</v>
      </c>
      <c r="D3">
        <f>SUMIF(DeadRaw!$B:$B,$A3,DeadRaw!G:G)</f>
        <v>0</v>
      </c>
      <c r="E3">
        <f>SUMIF(DeadRaw!$B:$B,$A3,DeadRaw!H:H)</f>
        <v>0</v>
      </c>
      <c r="F3">
        <f>SUMIF(DeadRaw!$B:$B,$A3,DeadRaw!I:I)</f>
        <v>0</v>
      </c>
      <c r="G3">
        <f>SUMIF(DeadRaw!$B:$B,$A3,DeadRaw!J:J)</f>
        <v>0</v>
      </c>
      <c r="H3">
        <f>SUMIF(DeadRaw!$B:$B,$A3,DeadRaw!K:K)</f>
        <v>0</v>
      </c>
      <c r="I3">
        <f>SUMIF(DeadRaw!$B:$B,$A3,DeadRaw!L:L)</f>
        <v>0</v>
      </c>
      <c r="J3">
        <f>SUMIF(DeadRaw!$B:$B,$A3,DeadRaw!M:M)</f>
        <v>0</v>
      </c>
      <c r="K3">
        <f>SUMIF(DeadRaw!$B:$B,$A3,DeadRaw!N:N)</f>
        <v>0</v>
      </c>
      <c r="L3">
        <f>SUMIF(DeadRaw!$B:$B,$A3,DeadRaw!O:O)</f>
        <v>0</v>
      </c>
      <c r="M3">
        <f>SUMIF(DeadRaw!$B:$B,$A3,DeadRaw!P:P)</f>
        <v>0</v>
      </c>
      <c r="N3">
        <f>SUMIF(DeadRaw!$B:$B,$A3,DeadRaw!Q:Q)</f>
        <v>0</v>
      </c>
      <c r="O3">
        <f>SUMIF(DeadRaw!$B:$B,$A3,DeadRaw!R:R)</f>
        <v>0</v>
      </c>
      <c r="P3">
        <f>SUMIF(DeadRaw!$B:$B,$A3,DeadRaw!S:S)</f>
        <v>0</v>
      </c>
      <c r="Q3">
        <f>SUMIF(DeadRaw!$B:$B,$A3,DeadRaw!T:T)</f>
        <v>0</v>
      </c>
      <c r="R3">
        <f>SUMIF(DeadRaw!$B:$B,$A3,DeadRaw!U:U)</f>
        <v>0</v>
      </c>
      <c r="S3">
        <f>SUMIF(DeadRaw!$B:$B,$A3,DeadRaw!V:V)</f>
        <v>0</v>
      </c>
      <c r="T3">
        <f>SUMIF(DeadRaw!$B:$B,$A3,DeadRaw!W:W)</f>
        <v>0</v>
      </c>
      <c r="U3">
        <f>SUMIF(DeadRaw!$B:$B,$A3,DeadRaw!X:X)</f>
        <v>0</v>
      </c>
      <c r="V3">
        <f>SUMIF(DeadRaw!$B:$B,$A3,DeadRaw!Y:Y)</f>
        <v>0</v>
      </c>
      <c r="W3">
        <f>SUMIF(DeadRaw!$B:$B,$A3,DeadRaw!Z:Z)</f>
        <v>0</v>
      </c>
      <c r="X3">
        <f>SUMIF(DeadRaw!$B:$B,$A3,DeadRaw!AA:AA)</f>
        <v>0</v>
      </c>
      <c r="Y3">
        <f>SUMIF(DeadRaw!$B:$B,$A3,DeadRaw!AB:AB)</f>
        <v>0</v>
      </c>
      <c r="Z3">
        <f>SUMIF(DeadRaw!$B:$B,$A3,DeadRaw!AC:AC)</f>
        <v>0</v>
      </c>
      <c r="AA3">
        <f>SUMIF(DeadRaw!$B:$B,$A3,DeadRaw!AD:AD)</f>
        <v>0</v>
      </c>
      <c r="AB3">
        <f>SUMIF(DeadRaw!$B:$B,$A3,DeadRaw!AE:AE)</f>
        <v>0</v>
      </c>
      <c r="AC3">
        <f>SUMIF(DeadRaw!$B:$B,$A3,DeadRaw!AF:AF)</f>
        <v>0</v>
      </c>
      <c r="AD3">
        <f>SUMIF(DeadRaw!$B:$B,$A3,DeadRaw!AG:AG)</f>
        <v>0</v>
      </c>
      <c r="AE3">
        <f>SUMIF(DeadRaw!$B:$B,$A3,DeadRaw!AH:AH)</f>
        <v>0</v>
      </c>
      <c r="AF3">
        <f>SUMIF(DeadRaw!$B:$B,$A3,DeadRaw!AI:AI)</f>
        <v>1</v>
      </c>
      <c r="AG3">
        <f>SUMIF(DeadRaw!$B:$B,$A3,DeadRaw!AJ:AJ)</f>
        <v>2</v>
      </c>
      <c r="AH3">
        <f>SUMIF(DeadRaw!$B:$B,$A3,DeadRaw!AK:AK)</f>
        <v>3</v>
      </c>
      <c r="AI3">
        <f>SUMIF(DeadRaw!$B:$B,$A3,DeadRaw!AL:AL)</f>
        <v>7</v>
      </c>
      <c r="AJ3">
        <f>SUMIF(DeadRaw!$B:$B,$A3,DeadRaw!AM:AM)</f>
        <v>10</v>
      </c>
      <c r="AK3">
        <f>SUMIF(DeadRaw!$B:$B,$A3,DeadRaw!AN:AN)</f>
        <v>12</v>
      </c>
      <c r="AL3">
        <f>SUMIF(DeadRaw!$B:$B,$A3,DeadRaw!AO:AO)</f>
        <v>17</v>
      </c>
      <c r="AM3">
        <f>SUMIF(DeadRaw!$B:$B,$A3,DeadRaw!AP:AP)</f>
        <v>21</v>
      </c>
      <c r="AN3">
        <f>SUMIF(DeadRaw!$B:$B,$A3,DeadRaw!AQ:AQ)</f>
        <v>29</v>
      </c>
      <c r="AO3">
        <f>SUMIF(DeadRaw!$B:$B,$A3,DeadRaw!AR:AR)</f>
        <v>34</v>
      </c>
      <c r="AP3">
        <f>SUMIF(DeadRaw!$B:$B,$A3,DeadRaw!AS:AS)</f>
        <v>52</v>
      </c>
      <c r="AQ3">
        <f>SUMIF(DeadRaw!$B:$B,$A3,DeadRaw!AT:AT)</f>
        <v>79</v>
      </c>
      <c r="AR3">
        <f>SUMIF(DeadRaw!$B:$B,$A3,DeadRaw!AU:AU)</f>
        <v>107</v>
      </c>
      <c r="AS3">
        <f>SUMIF(DeadRaw!$B:$B,$A3,DeadRaw!AV:AV)</f>
        <v>148</v>
      </c>
      <c r="AT3">
        <f>SUMIF(DeadRaw!$B:$B,$A3,DeadRaw!AW:AW)</f>
        <v>197</v>
      </c>
      <c r="AU3">
        <f>SUMIF(DeadRaw!$B:$B,$A3,DeadRaw!AX:AX)</f>
        <v>233</v>
      </c>
      <c r="AV3">
        <f>SUMIF(DeadRaw!$B:$B,$A3,DeadRaw!AY:AY)</f>
        <v>366</v>
      </c>
      <c r="AW3">
        <f>SUMIF(DeadRaw!$B:$B,$A3,DeadRaw!AZ:AZ)</f>
        <v>463</v>
      </c>
      <c r="AX3">
        <f>SUMIF(DeadRaw!$B:$B,$A3,DeadRaw!BA:BA)</f>
        <v>631</v>
      </c>
      <c r="AY3">
        <f>SUMIF(DeadRaw!$B:$B,$A3,DeadRaw!BB:BB)</f>
        <v>827</v>
      </c>
      <c r="AZ3">
        <f>SUMIF(DeadRaw!$B:$B,$A3,DeadRaw!BC:BC)</f>
        <v>827</v>
      </c>
      <c r="BA3">
        <f>SUMIF(DeadRaw!$B:$B,$A3,DeadRaw!BD:BD)</f>
        <v>1266</v>
      </c>
      <c r="BB3">
        <f>SUMIF(DeadRaw!$B:$B,$A3,DeadRaw!BE:BE)</f>
        <v>1441</v>
      </c>
      <c r="BC3">
        <f>SUMIF(DeadRaw!$B:$B,$A3,DeadRaw!BF:BF)</f>
        <v>1809</v>
      </c>
      <c r="BD3">
        <f>SUMIF(DeadRaw!$B:$B,$A3,DeadRaw!BG:BG)</f>
        <v>2158</v>
      </c>
      <c r="BE3">
        <f>SUMIF(DeadRaw!$B:$B,$A3,DeadRaw!BH:BH)</f>
        <v>2503</v>
      </c>
      <c r="BF3">
        <f>SUMIF(DeadRaw!$B:$B,$A3,DeadRaw!BI:BI)</f>
        <v>2978</v>
      </c>
      <c r="BG3">
        <f>SUMIF(DeadRaw!$B:$B,$A3,DeadRaw!BJ:BJ)</f>
        <v>3405</v>
      </c>
      <c r="BH3">
        <f>SUMIF(DeadRaw!$B:$B,$A3,DeadRaw!BK:BK)</f>
        <v>4032</v>
      </c>
      <c r="BI3">
        <f>SUMIF(DeadRaw!$B:$B,$A3,DeadRaw!BL:BL)</f>
        <v>0</v>
      </c>
      <c r="BJ3">
        <f>SUMIF(DeadRaw!$B:$B,$A3,DeadRaw!BM:BM)</f>
        <v>0</v>
      </c>
      <c r="BK3">
        <f>SUMIF(DeadRaw!$B:$B,$A3,DeadRaw!BN:BN)</f>
        <v>0</v>
      </c>
      <c r="BL3">
        <f>SUMIF(DeadRaw!$B:$B,$A3,DeadRaw!BO:BO)</f>
        <v>0</v>
      </c>
      <c r="BM3">
        <f>SUMIF(DeadRaw!$B:$B,$A3,DeadRaw!BP:BP)</f>
        <v>0</v>
      </c>
      <c r="BN3">
        <f>SUMIF(DeadRaw!$B:$B,$A3,DeadRaw!BQ:BQ)</f>
        <v>0</v>
      </c>
      <c r="BO3">
        <f>SUMIF(DeadRaw!$B:$B,$A3,DeadRaw!BR:BR)</f>
        <v>0</v>
      </c>
      <c r="BP3">
        <f>SUMIF(DeadRaw!$B:$B,$A3,DeadRaw!BS:BS)</f>
        <v>0</v>
      </c>
      <c r="BQ3">
        <f>SUMIF(DeadRaw!$B:$B,$A3,DeadRaw!BT:BT)</f>
        <v>0</v>
      </c>
      <c r="BR3">
        <f>SUMIF(DeadRaw!$B:$B,$A3,DeadRaw!BU:BU)</f>
        <v>0</v>
      </c>
      <c r="BS3">
        <f>SUMIF(DeadRaw!$B:$B,$A3,DeadRaw!BV:BV)</f>
        <v>0</v>
      </c>
      <c r="BT3">
        <f>SUMIF(DeadRaw!$B:$B,$A3,DeadRaw!BW:BW)</f>
        <v>0</v>
      </c>
    </row>
    <row r="4" spans="1:72" ht="15" thickBot="1" x14ac:dyDescent="0.35">
      <c r="A4" s="4" t="s">
        <v>338</v>
      </c>
      <c r="B4">
        <f>SUMIF(DeadRaw!$B:$B,$A4,DeadRaw!E:E)</f>
        <v>0</v>
      </c>
      <c r="C4">
        <f>SUMIF(DeadRaw!$B:$B,$A4,DeadRaw!F:F)</f>
        <v>0</v>
      </c>
      <c r="D4">
        <f>SUMIF(DeadRaw!$B:$B,$A4,DeadRaw!G:G)</f>
        <v>0</v>
      </c>
      <c r="E4">
        <f>SUMIF(DeadRaw!$B:$B,$A4,DeadRaw!H:H)</f>
        <v>0</v>
      </c>
      <c r="F4">
        <f>SUMIF(DeadRaw!$B:$B,$A4,DeadRaw!I:I)</f>
        <v>0</v>
      </c>
      <c r="G4">
        <f>SUMIF(DeadRaw!$B:$B,$A4,DeadRaw!J:J)</f>
        <v>0</v>
      </c>
      <c r="H4">
        <f>SUMIF(DeadRaw!$B:$B,$A4,DeadRaw!K:K)</f>
        <v>0</v>
      </c>
      <c r="I4">
        <f>SUMIF(DeadRaw!$B:$B,$A4,DeadRaw!L:L)</f>
        <v>0</v>
      </c>
      <c r="J4">
        <f>SUMIF(DeadRaw!$B:$B,$A4,DeadRaw!M:M)</f>
        <v>0</v>
      </c>
      <c r="K4">
        <f>SUMIF(DeadRaw!$B:$B,$A4,DeadRaw!N:N)</f>
        <v>0</v>
      </c>
      <c r="L4">
        <f>SUMIF(DeadRaw!$B:$B,$A4,DeadRaw!O:O)</f>
        <v>0</v>
      </c>
      <c r="M4">
        <f>SUMIF(DeadRaw!$B:$B,$A4,DeadRaw!P:P)</f>
        <v>0</v>
      </c>
      <c r="N4">
        <f>SUMIF(DeadRaw!$B:$B,$A4,DeadRaw!Q:Q)</f>
        <v>0</v>
      </c>
      <c r="O4">
        <f>SUMIF(DeadRaw!$B:$B,$A4,DeadRaw!R:R)</f>
        <v>0</v>
      </c>
      <c r="P4">
        <f>SUMIF(DeadRaw!$B:$B,$A4,DeadRaw!S:S)</f>
        <v>0</v>
      </c>
      <c r="Q4">
        <f>SUMIF(DeadRaw!$B:$B,$A4,DeadRaw!T:T)</f>
        <v>0</v>
      </c>
      <c r="R4">
        <f>SUMIF(DeadRaw!$B:$B,$A4,DeadRaw!U:U)</f>
        <v>0</v>
      </c>
      <c r="S4">
        <f>SUMIF(DeadRaw!$B:$B,$A4,DeadRaw!V:V)</f>
        <v>0</v>
      </c>
      <c r="T4">
        <f>SUMIF(DeadRaw!$B:$B,$A4,DeadRaw!W:W)</f>
        <v>0</v>
      </c>
      <c r="U4">
        <f>SUMIF(DeadRaw!$B:$B,$A4,DeadRaw!X:X)</f>
        <v>0</v>
      </c>
      <c r="V4">
        <f>SUMIF(DeadRaw!$B:$B,$A4,DeadRaw!Y:Y)</f>
        <v>0</v>
      </c>
      <c r="W4">
        <f>SUMIF(DeadRaw!$B:$B,$A4,DeadRaw!Z:Z)</f>
        <v>0</v>
      </c>
      <c r="X4">
        <f>SUMIF(DeadRaw!$B:$B,$A4,DeadRaw!AA:AA)</f>
        <v>0</v>
      </c>
      <c r="Y4">
        <f>SUMIF(DeadRaw!$B:$B,$A4,DeadRaw!AB:AB)</f>
        <v>0</v>
      </c>
      <c r="Z4">
        <f>SUMIF(DeadRaw!$B:$B,$A4,DeadRaw!AC:AC)</f>
        <v>0</v>
      </c>
      <c r="AA4">
        <f>SUMIF(DeadRaw!$B:$B,$A4,DeadRaw!AD:AD)</f>
        <v>0</v>
      </c>
      <c r="AB4">
        <f>SUMIF(DeadRaw!$B:$B,$A4,DeadRaw!AE:AE)</f>
        <v>0</v>
      </c>
      <c r="AC4">
        <f>SUMIF(DeadRaw!$B:$B,$A4,DeadRaw!AF:AF)</f>
        <v>0</v>
      </c>
      <c r="AD4">
        <f>SUMIF(DeadRaw!$B:$B,$A4,DeadRaw!AG:AG)</f>
        <v>2</v>
      </c>
      <c r="AE4">
        <f>SUMIF(DeadRaw!$B:$B,$A4,DeadRaw!AH:AH)</f>
        <v>2</v>
      </c>
      <c r="AF4">
        <f>SUMIF(DeadRaw!$B:$B,$A4,DeadRaw!AI:AI)</f>
        <v>4</v>
      </c>
      <c r="AG4">
        <f>SUMIF(DeadRaw!$B:$B,$A4,DeadRaw!AJ:AJ)</f>
        <v>5</v>
      </c>
      <c r="AH4">
        <f>SUMIF(DeadRaw!$B:$B,$A4,DeadRaw!AK:AK)</f>
        <v>8</v>
      </c>
      <c r="AI4">
        <f>SUMIF(DeadRaw!$B:$B,$A4,DeadRaw!AL:AL)</f>
        <v>12</v>
      </c>
      <c r="AJ4">
        <f>SUMIF(DeadRaw!$B:$B,$A4,DeadRaw!AM:AM)</f>
        <v>16</v>
      </c>
      <c r="AK4">
        <f>SUMIF(DeadRaw!$B:$B,$A4,DeadRaw!AN:AN)</f>
        <v>19</v>
      </c>
      <c r="AL4">
        <f>SUMIF(DeadRaw!$B:$B,$A4,DeadRaw!AO:AO)</f>
        <v>26</v>
      </c>
      <c r="AM4">
        <f>SUMIF(DeadRaw!$B:$B,$A4,DeadRaw!AP:AP)</f>
        <v>34</v>
      </c>
      <c r="AN4">
        <f>SUMIF(DeadRaw!$B:$B,$A4,DeadRaw!AQ:AQ)</f>
        <v>43</v>
      </c>
      <c r="AO4">
        <f>SUMIF(DeadRaw!$B:$B,$A4,DeadRaw!AR:AR)</f>
        <v>54</v>
      </c>
      <c r="AP4">
        <f>SUMIF(DeadRaw!$B:$B,$A4,DeadRaw!AS:AS)</f>
        <v>66</v>
      </c>
      <c r="AQ4">
        <f>SUMIF(DeadRaw!$B:$B,$A4,DeadRaw!AT:AT)</f>
        <v>77</v>
      </c>
      <c r="AR4">
        <f>SUMIF(DeadRaw!$B:$B,$A4,DeadRaw!AU:AU)</f>
        <v>92</v>
      </c>
      <c r="AS4">
        <f>SUMIF(DeadRaw!$B:$B,$A4,DeadRaw!AV:AV)</f>
        <v>107</v>
      </c>
      <c r="AT4">
        <f>SUMIF(DeadRaw!$B:$B,$A4,DeadRaw!AW:AW)</f>
        <v>124</v>
      </c>
      <c r="AU4">
        <f>SUMIF(DeadRaw!$B:$B,$A4,DeadRaw!AX:AX)</f>
        <v>145</v>
      </c>
      <c r="AV4">
        <f>SUMIF(DeadRaw!$B:$B,$A4,DeadRaw!AY:AY)</f>
        <v>194</v>
      </c>
      <c r="AW4">
        <f>SUMIF(DeadRaw!$B:$B,$A4,DeadRaw!AZ:AZ)</f>
        <v>237</v>
      </c>
      <c r="AX4">
        <f>SUMIF(DeadRaw!$B:$B,$A4,DeadRaw!BA:BA)</f>
        <v>291</v>
      </c>
      <c r="AY4">
        <f>SUMIF(DeadRaw!$B:$B,$A4,DeadRaw!BB:BB)</f>
        <v>354</v>
      </c>
      <c r="AZ4">
        <f>SUMIF(DeadRaw!$B:$B,$A4,DeadRaw!BC:BC)</f>
        <v>429</v>
      </c>
      <c r="BA4">
        <f>SUMIF(DeadRaw!$B:$B,$A4,DeadRaw!BD:BD)</f>
        <v>514</v>
      </c>
      <c r="BB4">
        <f>SUMIF(DeadRaw!$B:$B,$A4,DeadRaw!BE:BE)</f>
        <v>611</v>
      </c>
      <c r="BC4">
        <f>SUMIF(DeadRaw!$B:$B,$A4,DeadRaw!BF:BF)</f>
        <v>724</v>
      </c>
      <c r="BD4">
        <f>SUMIF(DeadRaw!$B:$B,$A4,DeadRaw!BG:BG)</f>
        <v>853</v>
      </c>
      <c r="BE4">
        <f>SUMIF(DeadRaw!$B:$B,$A4,DeadRaw!BH:BH)</f>
        <v>988</v>
      </c>
      <c r="BF4">
        <f>SUMIF(DeadRaw!$B:$B,$A4,DeadRaw!BI:BI)</f>
        <v>1135</v>
      </c>
      <c r="BG4">
        <f>SUMIF(DeadRaw!$B:$B,$A4,DeadRaw!BJ:BJ)</f>
        <v>1284</v>
      </c>
      <c r="BH4">
        <f>SUMIF(DeadRaw!$B:$B,$A4,DeadRaw!BK:BK)</f>
        <v>1433</v>
      </c>
      <c r="BI4">
        <f>SUMIF(DeadRaw!$B:$B,$A4,DeadRaw!BL:BL)</f>
        <v>0</v>
      </c>
      <c r="BJ4">
        <f>SUMIF(DeadRaw!$B:$B,$A4,DeadRaw!BM:BM)</f>
        <v>0</v>
      </c>
      <c r="BK4">
        <f>SUMIF(DeadRaw!$B:$B,$A4,DeadRaw!BN:BN)</f>
        <v>0</v>
      </c>
      <c r="BL4">
        <f>SUMIF(DeadRaw!$B:$B,$A4,DeadRaw!BO:BO)</f>
        <v>0</v>
      </c>
      <c r="BM4">
        <f>SUMIF(DeadRaw!$B:$B,$A4,DeadRaw!BP:BP)</f>
        <v>0</v>
      </c>
      <c r="BN4">
        <f>SUMIF(DeadRaw!$B:$B,$A4,DeadRaw!BQ:BQ)</f>
        <v>0</v>
      </c>
      <c r="BO4">
        <f>SUMIF(DeadRaw!$B:$B,$A4,DeadRaw!BR:BR)</f>
        <v>0</v>
      </c>
      <c r="BP4">
        <f>SUMIF(DeadRaw!$B:$B,$A4,DeadRaw!BS:BS)</f>
        <v>0</v>
      </c>
      <c r="BQ4">
        <f>SUMIF(DeadRaw!$B:$B,$A4,DeadRaw!BT:BT)</f>
        <v>0</v>
      </c>
      <c r="BR4">
        <f>SUMIF(DeadRaw!$B:$B,$A4,DeadRaw!BU:BU)</f>
        <v>0</v>
      </c>
      <c r="BS4">
        <f>SUMIF(DeadRaw!$B:$B,$A4,DeadRaw!BV:BV)</f>
        <v>0</v>
      </c>
      <c r="BT4">
        <f>SUMIF(DeadRaw!$B:$B,$A4,DeadRaw!BW:BW)</f>
        <v>0</v>
      </c>
    </row>
    <row r="5" spans="1:72" ht="15" thickBot="1" x14ac:dyDescent="0.35">
      <c r="A5" s="3" t="s">
        <v>339</v>
      </c>
      <c r="B5">
        <f>SUMIF(DeadRaw!$B:$B,$A5,DeadRaw!E:E)</f>
        <v>0</v>
      </c>
      <c r="C5">
        <f>SUMIF(DeadRaw!$B:$B,$A5,DeadRaw!F:F)</f>
        <v>0</v>
      </c>
      <c r="D5">
        <f>SUMIF(DeadRaw!$B:$B,$A5,DeadRaw!G:G)</f>
        <v>0</v>
      </c>
      <c r="E5">
        <f>SUMIF(DeadRaw!$B:$B,$A5,DeadRaw!H:H)</f>
        <v>0</v>
      </c>
      <c r="F5">
        <f>SUMIF(DeadRaw!$B:$B,$A5,DeadRaw!I:I)</f>
        <v>0</v>
      </c>
      <c r="G5">
        <f>SUMIF(DeadRaw!$B:$B,$A5,DeadRaw!J:J)</f>
        <v>0</v>
      </c>
      <c r="H5">
        <f>SUMIF(DeadRaw!$B:$B,$A5,DeadRaw!K:K)</f>
        <v>0</v>
      </c>
      <c r="I5">
        <f>SUMIF(DeadRaw!$B:$B,$A5,DeadRaw!L:L)</f>
        <v>0</v>
      </c>
      <c r="J5">
        <f>SUMIF(DeadRaw!$B:$B,$A5,DeadRaw!M:M)</f>
        <v>0</v>
      </c>
      <c r="K5">
        <f>SUMIF(DeadRaw!$B:$B,$A5,DeadRaw!N:N)</f>
        <v>0</v>
      </c>
      <c r="L5">
        <f>SUMIF(DeadRaw!$B:$B,$A5,DeadRaw!O:O)</f>
        <v>0</v>
      </c>
      <c r="M5">
        <f>SUMIF(DeadRaw!$B:$B,$A5,DeadRaw!P:P)</f>
        <v>0</v>
      </c>
      <c r="N5">
        <f>SUMIF(DeadRaw!$B:$B,$A5,DeadRaw!Q:Q)</f>
        <v>0</v>
      </c>
      <c r="O5">
        <f>SUMIF(DeadRaw!$B:$B,$A5,DeadRaw!R:R)</f>
        <v>0</v>
      </c>
      <c r="P5">
        <f>SUMIF(DeadRaw!$B:$B,$A5,DeadRaw!S:S)</f>
        <v>0</v>
      </c>
      <c r="Q5">
        <f>SUMIF(DeadRaw!$B:$B,$A5,DeadRaw!T:T)</f>
        <v>0</v>
      </c>
      <c r="R5">
        <f>SUMIF(DeadRaw!$B:$B,$A5,DeadRaw!U:U)</f>
        <v>0</v>
      </c>
      <c r="S5">
        <f>SUMIF(DeadRaw!$B:$B,$A5,DeadRaw!V:V)</f>
        <v>0</v>
      </c>
      <c r="T5">
        <f>SUMIF(DeadRaw!$B:$B,$A5,DeadRaw!W:W)</f>
        <v>0</v>
      </c>
      <c r="U5">
        <f>SUMIF(DeadRaw!$B:$B,$A5,DeadRaw!X:X)</f>
        <v>0</v>
      </c>
      <c r="V5">
        <f>SUMIF(DeadRaw!$B:$B,$A5,DeadRaw!Y:Y)</f>
        <v>0</v>
      </c>
      <c r="W5">
        <f>SUMIF(DeadRaw!$B:$B,$A5,DeadRaw!Z:Z)</f>
        <v>0</v>
      </c>
      <c r="X5">
        <f>SUMIF(DeadRaw!$B:$B,$A5,DeadRaw!AA:AA)</f>
        <v>0</v>
      </c>
      <c r="Y5">
        <f>SUMIF(DeadRaw!$B:$B,$A5,DeadRaw!AB:AB)</f>
        <v>0</v>
      </c>
      <c r="Z5">
        <f>SUMIF(DeadRaw!$B:$B,$A5,DeadRaw!AC:AC)</f>
        <v>0</v>
      </c>
      <c r="AA5">
        <f>SUMIF(DeadRaw!$B:$B,$A5,DeadRaw!AD:AD)</f>
        <v>0</v>
      </c>
      <c r="AB5">
        <f>SUMIF(DeadRaw!$B:$B,$A5,DeadRaw!AE:AE)</f>
        <v>0</v>
      </c>
      <c r="AC5">
        <f>SUMIF(DeadRaw!$B:$B,$A5,DeadRaw!AF:AF)</f>
        <v>0</v>
      </c>
      <c r="AD5">
        <f>SUMIF(DeadRaw!$B:$B,$A5,DeadRaw!AG:AG)</f>
        <v>0</v>
      </c>
      <c r="AE5">
        <f>SUMIF(DeadRaw!$B:$B,$A5,DeadRaw!AH:AH)</f>
        <v>1</v>
      </c>
      <c r="AF5">
        <f>SUMIF(DeadRaw!$B:$B,$A5,DeadRaw!AI:AI)</f>
        <v>2</v>
      </c>
      <c r="AG5">
        <f>SUMIF(DeadRaw!$B:$B,$A5,DeadRaw!AJ:AJ)</f>
        <v>2</v>
      </c>
      <c r="AH5">
        <f>SUMIF(DeadRaw!$B:$B,$A5,DeadRaw!AK:AK)</f>
        <v>6</v>
      </c>
      <c r="AI5">
        <f>SUMIF(DeadRaw!$B:$B,$A5,DeadRaw!AL:AL)</f>
        <v>8</v>
      </c>
      <c r="AJ5">
        <f>SUMIF(DeadRaw!$B:$B,$A5,DeadRaw!AM:AM)</f>
        <v>10</v>
      </c>
      <c r="AK5">
        <f>SUMIF(DeadRaw!$B:$B,$A5,DeadRaw!AN:AN)</f>
        <v>12</v>
      </c>
      <c r="AL5">
        <f>SUMIF(DeadRaw!$B:$B,$A5,DeadRaw!AO:AO)</f>
        <v>13</v>
      </c>
      <c r="AM5">
        <f>SUMIF(DeadRaw!$B:$B,$A5,DeadRaw!AP:AP)</f>
        <v>13</v>
      </c>
      <c r="AN5">
        <f>SUMIF(DeadRaw!$B:$B,$A5,DeadRaw!AQ:AQ)</f>
        <v>16</v>
      </c>
      <c r="AO5">
        <f>SUMIF(DeadRaw!$B:$B,$A5,DeadRaw!AR:AR)</f>
        <v>17</v>
      </c>
      <c r="AP5">
        <f>SUMIF(DeadRaw!$B:$B,$A5,DeadRaw!AS:AS)</f>
        <v>28</v>
      </c>
      <c r="AQ5">
        <f>SUMIF(DeadRaw!$B:$B,$A5,DeadRaw!AT:AT)</f>
        <v>28</v>
      </c>
      <c r="AR5">
        <f>SUMIF(DeadRaw!$B:$B,$A5,DeadRaw!AU:AU)</f>
        <v>35</v>
      </c>
      <c r="AS5">
        <f>SUMIF(DeadRaw!$B:$B,$A5,DeadRaw!AV:AV)</f>
        <v>35</v>
      </c>
      <c r="AT5">
        <f>SUMIF(DeadRaw!$B:$B,$A5,DeadRaw!AW:AW)</f>
        <v>42</v>
      </c>
      <c r="AU5">
        <f>SUMIF(DeadRaw!$B:$B,$A5,DeadRaw!AX:AX)</f>
        <v>44</v>
      </c>
      <c r="AV5">
        <f>SUMIF(DeadRaw!$B:$B,$A5,DeadRaw!AY:AY)</f>
        <v>50</v>
      </c>
      <c r="AW5">
        <f>SUMIF(DeadRaw!$B:$B,$A5,DeadRaw!AZ:AZ)</f>
        <v>53</v>
      </c>
      <c r="AX5">
        <f>SUMIF(DeadRaw!$B:$B,$A5,DeadRaw!BA:BA)</f>
        <v>54</v>
      </c>
      <c r="AY5">
        <f>SUMIF(DeadRaw!$B:$B,$A5,DeadRaw!BB:BB)</f>
        <v>60</v>
      </c>
      <c r="AZ5">
        <f>SUMIF(DeadRaw!$B:$B,$A5,DeadRaw!BC:BC)</f>
        <v>66</v>
      </c>
      <c r="BA5">
        <f>SUMIF(DeadRaw!$B:$B,$A5,DeadRaw!BD:BD)</f>
        <v>66</v>
      </c>
      <c r="BB5">
        <f>SUMIF(DeadRaw!$B:$B,$A5,DeadRaw!BE:BE)</f>
        <v>72</v>
      </c>
      <c r="BC5">
        <f>SUMIF(DeadRaw!$B:$B,$A5,DeadRaw!BF:BF)</f>
        <v>75</v>
      </c>
      <c r="BD5">
        <f>SUMIF(DeadRaw!$B:$B,$A5,DeadRaw!BG:BG)</f>
        <v>75</v>
      </c>
      <c r="BE5">
        <f>SUMIF(DeadRaw!$B:$B,$A5,DeadRaw!BH:BH)</f>
        <v>81</v>
      </c>
      <c r="BF5">
        <f>SUMIF(DeadRaw!$B:$B,$A5,DeadRaw!BI:BI)</f>
        <v>84</v>
      </c>
      <c r="BG5">
        <f>SUMIF(DeadRaw!$B:$B,$A5,DeadRaw!BJ:BJ)</f>
        <v>91</v>
      </c>
      <c r="BH5">
        <f>SUMIF(DeadRaw!$B:$B,$A5,DeadRaw!BK:BK)</f>
        <v>94</v>
      </c>
      <c r="BI5">
        <f>SUMIF(DeadRaw!$B:$B,$A5,DeadRaw!BL:BL)</f>
        <v>0</v>
      </c>
      <c r="BJ5">
        <f>SUMIF(DeadRaw!$B:$B,$A5,DeadRaw!BM:BM)</f>
        <v>0</v>
      </c>
      <c r="BK5">
        <f>SUMIF(DeadRaw!$B:$B,$A5,DeadRaw!BN:BN)</f>
        <v>0</v>
      </c>
      <c r="BL5">
        <f>SUMIF(DeadRaw!$B:$B,$A5,DeadRaw!BO:BO)</f>
        <v>0</v>
      </c>
      <c r="BM5">
        <f>SUMIF(DeadRaw!$B:$B,$A5,DeadRaw!BP:BP)</f>
        <v>0</v>
      </c>
      <c r="BN5">
        <f>SUMIF(DeadRaw!$B:$B,$A5,DeadRaw!BQ:BQ)</f>
        <v>0</v>
      </c>
      <c r="BO5">
        <f>SUMIF(DeadRaw!$B:$B,$A5,DeadRaw!BR:BR)</f>
        <v>0</v>
      </c>
      <c r="BP5">
        <f>SUMIF(DeadRaw!$B:$B,$A5,DeadRaw!BS:BS)</f>
        <v>0</v>
      </c>
      <c r="BQ5">
        <f>SUMIF(DeadRaw!$B:$B,$A5,DeadRaw!BT:BT)</f>
        <v>0</v>
      </c>
      <c r="BR5">
        <f>SUMIF(DeadRaw!$B:$B,$A5,DeadRaw!BU:BU)</f>
        <v>0</v>
      </c>
      <c r="BS5">
        <f>SUMIF(DeadRaw!$B:$B,$A5,DeadRaw!BV:BV)</f>
        <v>0</v>
      </c>
      <c r="BT5">
        <f>SUMIF(DeadRaw!$B:$B,$A5,DeadRaw!BW:BW)</f>
        <v>0</v>
      </c>
    </row>
    <row r="6" spans="1:72" ht="15" thickBot="1" x14ac:dyDescent="0.35">
      <c r="A6" s="3" t="s">
        <v>60</v>
      </c>
      <c r="B6">
        <f>SUMIF(DeadRaw!$B:$B,$A6,DeadRaw!E:E)</f>
        <v>0</v>
      </c>
      <c r="C6">
        <f>SUMIF(DeadRaw!$B:$B,$A6,DeadRaw!F:F)</f>
        <v>0</v>
      </c>
      <c r="D6">
        <f>SUMIF(DeadRaw!$B:$B,$A6,DeadRaw!G:G)</f>
        <v>0</v>
      </c>
      <c r="E6">
        <f>SUMIF(DeadRaw!$B:$B,$A6,DeadRaw!H:H)</f>
        <v>0</v>
      </c>
      <c r="F6">
        <f>SUMIF(DeadRaw!$B:$B,$A6,DeadRaw!I:I)</f>
        <v>0</v>
      </c>
      <c r="G6">
        <f>SUMIF(DeadRaw!$B:$B,$A6,DeadRaw!J:J)</f>
        <v>0</v>
      </c>
      <c r="H6">
        <f>SUMIF(DeadRaw!$B:$B,$A6,DeadRaw!K:K)</f>
        <v>0</v>
      </c>
      <c r="I6">
        <f>SUMIF(DeadRaw!$B:$B,$A6,DeadRaw!L:L)</f>
        <v>0</v>
      </c>
      <c r="J6">
        <f>SUMIF(DeadRaw!$B:$B,$A6,DeadRaw!M:M)</f>
        <v>0</v>
      </c>
      <c r="K6">
        <f>SUMIF(DeadRaw!$B:$B,$A6,DeadRaw!N:N)</f>
        <v>0</v>
      </c>
      <c r="L6">
        <f>SUMIF(DeadRaw!$B:$B,$A6,DeadRaw!O:O)</f>
        <v>0</v>
      </c>
      <c r="M6">
        <f>SUMIF(DeadRaw!$B:$B,$A6,DeadRaw!P:P)</f>
        <v>0</v>
      </c>
      <c r="N6">
        <f>SUMIF(DeadRaw!$B:$B,$A6,DeadRaw!Q:Q)</f>
        <v>0</v>
      </c>
      <c r="O6">
        <f>SUMIF(DeadRaw!$B:$B,$A6,DeadRaw!R:R)</f>
        <v>0</v>
      </c>
      <c r="P6">
        <f>SUMIF(DeadRaw!$B:$B,$A6,DeadRaw!S:S)</f>
        <v>0</v>
      </c>
      <c r="Q6">
        <f>SUMIF(DeadRaw!$B:$B,$A6,DeadRaw!T:T)</f>
        <v>0</v>
      </c>
      <c r="R6">
        <f>SUMIF(DeadRaw!$B:$B,$A6,DeadRaw!U:U)</f>
        <v>0</v>
      </c>
      <c r="S6">
        <f>SUMIF(DeadRaw!$B:$B,$A6,DeadRaw!V:V)</f>
        <v>0</v>
      </c>
      <c r="T6">
        <f>SUMIF(DeadRaw!$B:$B,$A6,DeadRaw!W:W)</f>
        <v>0</v>
      </c>
      <c r="U6">
        <f>SUMIF(DeadRaw!$B:$B,$A6,DeadRaw!X:X)</f>
        <v>0</v>
      </c>
      <c r="V6">
        <f>SUMIF(DeadRaw!$B:$B,$A6,DeadRaw!Y:Y)</f>
        <v>0</v>
      </c>
      <c r="W6">
        <f>SUMIF(DeadRaw!$B:$B,$A6,DeadRaw!Z:Z)</f>
        <v>0</v>
      </c>
      <c r="X6">
        <f>SUMIF(DeadRaw!$B:$B,$A6,DeadRaw!AA:AA)</f>
        <v>0</v>
      </c>
      <c r="Y6">
        <f>SUMIF(DeadRaw!$B:$B,$A6,DeadRaw!AB:AB)</f>
        <v>0</v>
      </c>
      <c r="Z6">
        <f>SUMIF(DeadRaw!$B:$B,$A6,DeadRaw!AC:AC)</f>
        <v>0</v>
      </c>
      <c r="AA6">
        <f>SUMIF(DeadRaw!$B:$B,$A6,DeadRaw!AD:AD)</f>
        <v>0</v>
      </c>
      <c r="AB6">
        <f>SUMIF(DeadRaw!$B:$B,$A6,DeadRaw!AE:AE)</f>
        <v>0</v>
      </c>
      <c r="AC6">
        <f>SUMIF(DeadRaw!$B:$B,$A6,DeadRaw!AF:AF)</f>
        <v>0</v>
      </c>
      <c r="AD6">
        <f>SUMIF(DeadRaw!$B:$B,$A6,DeadRaw!AG:AG)</f>
        <v>0</v>
      </c>
      <c r="AE6">
        <f>SUMIF(DeadRaw!$B:$B,$A6,DeadRaw!AH:AH)</f>
        <v>0</v>
      </c>
      <c r="AF6">
        <f>SUMIF(DeadRaw!$B:$B,$A6,DeadRaw!AI:AI)</f>
        <v>0</v>
      </c>
      <c r="AG6">
        <f>SUMIF(DeadRaw!$B:$B,$A6,DeadRaw!AJ:AJ)</f>
        <v>0</v>
      </c>
      <c r="AH6">
        <f>SUMIF(DeadRaw!$B:$B,$A6,DeadRaw!AK:AK)</f>
        <v>0</v>
      </c>
      <c r="AI6">
        <f>SUMIF(DeadRaw!$B:$B,$A6,DeadRaw!AL:AL)</f>
        <v>0</v>
      </c>
      <c r="AJ6">
        <f>SUMIF(DeadRaw!$B:$B,$A6,DeadRaw!AM:AM)</f>
        <v>0</v>
      </c>
      <c r="AK6">
        <f>SUMIF(DeadRaw!$B:$B,$A6,DeadRaw!AN:AN)</f>
        <v>0</v>
      </c>
      <c r="AL6">
        <f>SUMIF(DeadRaw!$B:$B,$A6,DeadRaw!AO:AO)</f>
        <v>0</v>
      </c>
      <c r="AM6">
        <f>SUMIF(DeadRaw!$B:$B,$A6,DeadRaw!AP:AP)</f>
        <v>0</v>
      </c>
      <c r="AN6">
        <f>SUMIF(DeadRaw!$B:$B,$A6,DeadRaw!AQ:AQ)</f>
        <v>0</v>
      </c>
      <c r="AO6">
        <f>SUMIF(DeadRaw!$B:$B,$A6,DeadRaw!AR:AR)</f>
        <v>0</v>
      </c>
      <c r="AP6">
        <f>SUMIF(DeadRaw!$B:$B,$A6,DeadRaw!AS:AS)</f>
        <v>0</v>
      </c>
      <c r="AQ6">
        <f>SUMIF(DeadRaw!$B:$B,$A6,DeadRaw!AT:AT)</f>
        <v>1</v>
      </c>
      <c r="AR6">
        <f>SUMIF(DeadRaw!$B:$B,$A6,DeadRaw!AU:AU)</f>
        <v>2</v>
      </c>
      <c r="AS6">
        <f>SUMIF(DeadRaw!$B:$B,$A6,DeadRaw!AV:AV)</f>
        <v>3</v>
      </c>
      <c r="AT6">
        <f>SUMIF(DeadRaw!$B:$B,$A6,DeadRaw!AW:AW)</f>
        <v>5</v>
      </c>
      <c r="AU6">
        <f>SUMIF(DeadRaw!$B:$B,$A6,DeadRaw!AX:AX)</f>
        <v>10</v>
      </c>
      <c r="AV6">
        <f>SUMIF(DeadRaw!$B:$B,$A6,DeadRaw!AY:AY)</f>
        <v>17</v>
      </c>
      <c r="AW6">
        <f>SUMIF(DeadRaw!$B:$B,$A6,DeadRaw!AZ:AZ)</f>
        <v>28</v>
      </c>
      <c r="AX6">
        <f>SUMIF(DeadRaw!$B:$B,$A6,DeadRaw!BA:BA)</f>
        <v>35</v>
      </c>
      <c r="AY6">
        <f>SUMIF(DeadRaw!$B:$B,$A6,DeadRaw!BB:BB)</f>
        <v>54</v>
      </c>
      <c r="AZ6">
        <f>SUMIF(DeadRaw!$B:$B,$A6,DeadRaw!BC:BC)</f>
        <v>55</v>
      </c>
      <c r="BA6">
        <f>SUMIF(DeadRaw!$B:$B,$A6,DeadRaw!BD:BD)</f>
        <v>133</v>
      </c>
      <c r="BB6">
        <f>SUMIF(DeadRaw!$B:$B,$A6,DeadRaw!BE:BE)</f>
        <v>195</v>
      </c>
      <c r="BC6">
        <f>SUMIF(DeadRaw!$B:$B,$A6,DeadRaw!BF:BF)</f>
        <v>289</v>
      </c>
      <c r="BD6">
        <f>SUMIF(DeadRaw!$B:$B,$A6,DeadRaw!BG:BG)</f>
        <v>342</v>
      </c>
      <c r="BE6">
        <f>SUMIF(DeadRaw!$B:$B,$A6,DeadRaw!BH:BH)</f>
        <v>533</v>
      </c>
      <c r="BF6">
        <f>SUMIF(DeadRaw!$B:$B,$A6,DeadRaw!BI:BI)</f>
        <v>623</v>
      </c>
      <c r="BG6">
        <f>SUMIF(DeadRaw!$B:$B,$A6,DeadRaw!BJ:BJ)</f>
        <v>830</v>
      </c>
      <c r="BH6">
        <f>SUMIF(DeadRaw!$B:$B,$A6,DeadRaw!BK:BK)</f>
        <v>1043</v>
      </c>
      <c r="BI6">
        <f>SUMIF(DeadRaw!$B:$B,$A6,DeadRaw!BL:BL)</f>
        <v>0</v>
      </c>
      <c r="BJ6">
        <f>SUMIF(DeadRaw!$B:$B,$A6,DeadRaw!BM:BM)</f>
        <v>0</v>
      </c>
      <c r="BK6">
        <f>SUMIF(DeadRaw!$B:$B,$A6,DeadRaw!BN:BN)</f>
        <v>0</v>
      </c>
      <c r="BL6">
        <f>SUMIF(DeadRaw!$B:$B,$A6,DeadRaw!BO:BO)</f>
        <v>0</v>
      </c>
      <c r="BM6">
        <f>SUMIF(DeadRaw!$B:$B,$A6,DeadRaw!BP:BP)</f>
        <v>0</v>
      </c>
      <c r="BN6">
        <f>SUMIF(DeadRaw!$B:$B,$A6,DeadRaw!BQ:BQ)</f>
        <v>0</v>
      </c>
      <c r="BO6">
        <f>SUMIF(DeadRaw!$B:$B,$A6,DeadRaw!BR:BR)</f>
        <v>0</v>
      </c>
      <c r="BP6">
        <f>SUMIF(DeadRaw!$B:$B,$A6,DeadRaw!BS:BS)</f>
        <v>0</v>
      </c>
      <c r="BQ6">
        <f>SUMIF(DeadRaw!$B:$B,$A6,DeadRaw!BT:BT)</f>
        <v>0</v>
      </c>
      <c r="BR6">
        <f>SUMIF(DeadRaw!$B:$B,$A6,DeadRaw!BU:BU)</f>
        <v>0</v>
      </c>
      <c r="BS6">
        <f>SUMIF(DeadRaw!$B:$B,$A6,DeadRaw!BV:BV)</f>
        <v>0</v>
      </c>
      <c r="BT6">
        <f>SUMIF(DeadRaw!$B:$B,$A6,DeadRaw!BW:BW)</f>
        <v>0</v>
      </c>
    </row>
    <row r="7" spans="1:72" ht="15" thickBot="1" x14ac:dyDescent="0.35">
      <c r="A7" s="4" t="s">
        <v>53</v>
      </c>
      <c r="B7">
        <f>SUMIF(DeadRaw!$B:$B,$A7,DeadRaw!E:E)</f>
        <v>0</v>
      </c>
      <c r="C7">
        <f>SUMIF(DeadRaw!$B:$B,$A7,DeadRaw!F:F)</f>
        <v>0</v>
      </c>
      <c r="D7">
        <f>SUMIF(DeadRaw!$B:$B,$A7,DeadRaw!G:G)</f>
        <v>0</v>
      </c>
      <c r="E7">
        <f>SUMIF(DeadRaw!$B:$B,$A7,DeadRaw!H:H)</f>
        <v>0</v>
      </c>
      <c r="F7">
        <f>SUMIF(DeadRaw!$B:$B,$A7,DeadRaw!I:I)</f>
        <v>0</v>
      </c>
      <c r="G7">
        <f>SUMIF(DeadRaw!$B:$B,$A7,DeadRaw!J:J)</f>
        <v>0</v>
      </c>
      <c r="H7">
        <f>SUMIF(DeadRaw!$B:$B,$A7,DeadRaw!K:K)</f>
        <v>0</v>
      </c>
      <c r="I7">
        <f>SUMIF(DeadRaw!$B:$B,$A7,DeadRaw!L:L)</f>
        <v>0</v>
      </c>
      <c r="J7">
        <f>SUMIF(DeadRaw!$B:$B,$A7,DeadRaw!M:M)</f>
        <v>0</v>
      </c>
      <c r="K7">
        <f>SUMIF(DeadRaw!$B:$B,$A7,DeadRaw!N:N)</f>
        <v>0</v>
      </c>
      <c r="L7">
        <f>SUMIF(DeadRaw!$B:$B,$A7,DeadRaw!O:O)</f>
        <v>0</v>
      </c>
      <c r="M7">
        <f>SUMIF(DeadRaw!$B:$B,$A7,DeadRaw!P:P)</f>
        <v>0</v>
      </c>
      <c r="N7">
        <f>SUMIF(DeadRaw!$B:$B,$A7,DeadRaw!Q:Q)</f>
        <v>0</v>
      </c>
      <c r="O7">
        <f>SUMIF(DeadRaw!$B:$B,$A7,DeadRaw!R:R)</f>
        <v>0</v>
      </c>
      <c r="P7">
        <f>SUMIF(DeadRaw!$B:$B,$A7,DeadRaw!S:S)</f>
        <v>0</v>
      </c>
      <c r="Q7">
        <f>SUMIF(DeadRaw!$B:$B,$A7,DeadRaw!T:T)</f>
        <v>0</v>
      </c>
      <c r="R7">
        <f>SUMIF(DeadRaw!$B:$B,$A7,DeadRaw!U:U)</f>
        <v>0</v>
      </c>
      <c r="S7">
        <f>SUMIF(DeadRaw!$B:$B,$A7,DeadRaw!V:V)</f>
        <v>0</v>
      </c>
      <c r="T7">
        <f>SUMIF(DeadRaw!$B:$B,$A7,DeadRaw!W:W)</f>
        <v>0</v>
      </c>
      <c r="U7">
        <f>SUMIF(DeadRaw!$B:$B,$A7,DeadRaw!X:X)</f>
        <v>0</v>
      </c>
      <c r="V7">
        <f>SUMIF(DeadRaw!$B:$B,$A7,DeadRaw!Y:Y)</f>
        <v>0</v>
      </c>
      <c r="W7">
        <f>SUMIF(DeadRaw!$B:$B,$A7,DeadRaw!Z:Z)</f>
        <v>0</v>
      </c>
      <c r="X7">
        <f>SUMIF(DeadRaw!$B:$B,$A7,DeadRaw!AA:AA)</f>
        <v>0</v>
      </c>
      <c r="Y7">
        <f>SUMIF(DeadRaw!$B:$B,$A7,DeadRaw!AB:AB)</f>
        <v>0</v>
      </c>
      <c r="Z7">
        <f>SUMIF(DeadRaw!$B:$B,$A7,DeadRaw!AC:AC)</f>
        <v>0</v>
      </c>
      <c r="AA7">
        <f>SUMIF(DeadRaw!$B:$B,$A7,DeadRaw!AD:AD)</f>
        <v>0</v>
      </c>
      <c r="AB7">
        <f>SUMIF(DeadRaw!$B:$B,$A7,DeadRaw!AE:AE)</f>
        <v>0</v>
      </c>
      <c r="AC7">
        <f>SUMIF(DeadRaw!$B:$B,$A7,DeadRaw!AF:AF)</f>
        <v>0</v>
      </c>
      <c r="AD7">
        <f>SUMIF(DeadRaw!$B:$B,$A7,DeadRaw!AG:AG)</f>
        <v>0</v>
      </c>
      <c r="AE7">
        <f>SUMIF(DeadRaw!$B:$B,$A7,DeadRaw!AH:AH)</f>
        <v>0</v>
      </c>
      <c r="AF7">
        <f>SUMIF(DeadRaw!$B:$B,$A7,DeadRaw!AI:AI)</f>
        <v>0</v>
      </c>
      <c r="AG7">
        <f>SUMIF(DeadRaw!$B:$B,$A7,DeadRaw!AJ:AJ)</f>
        <v>0</v>
      </c>
      <c r="AH7">
        <f>SUMIF(DeadRaw!$B:$B,$A7,DeadRaw!AK:AK)</f>
        <v>0</v>
      </c>
      <c r="AI7">
        <f>SUMIF(DeadRaw!$B:$B,$A7,DeadRaw!AL:AL)</f>
        <v>0</v>
      </c>
      <c r="AJ7">
        <f>SUMIF(DeadRaw!$B:$B,$A7,DeadRaw!AM:AM)</f>
        <v>0</v>
      </c>
      <c r="AK7">
        <f>SUMIF(DeadRaw!$B:$B,$A7,DeadRaw!AN:AN)</f>
        <v>0</v>
      </c>
      <c r="AL7">
        <f>SUMIF(DeadRaw!$B:$B,$A7,DeadRaw!AO:AO)</f>
        <v>0</v>
      </c>
      <c r="AM7">
        <f>SUMIF(DeadRaw!$B:$B,$A7,DeadRaw!AP:AP)</f>
        <v>0</v>
      </c>
      <c r="AN7">
        <f>SUMIF(DeadRaw!$B:$B,$A7,DeadRaw!AQ:AQ)</f>
        <v>0</v>
      </c>
      <c r="AO7">
        <f>SUMIF(DeadRaw!$B:$B,$A7,DeadRaw!AR:AR)</f>
        <v>0</v>
      </c>
      <c r="AP7">
        <f>SUMIF(DeadRaw!$B:$B,$A7,DeadRaw!AS:AS)</f>
        <v>0</v>
      </c>
      <c r="AQ7">
        <f>SUMIF(DeadRaw!$B:$B,$A7,DeadRaw!AT:AT)</f>
        <v>0</v>
      </c>
      <c r="AR7">
        <f>SUMIF(DeadRaw!$B:$B,$A7,DeadRaw!AU:AU)</f>
        <v>0</v>
      </c>
      <c r="AS7">
        <f>SUMIF(DeadRaw!$B:$B,$A7,DeadRaw!AV:AV)</f>
        <v>0</v>
      </c>
      <c r="AT7">
        <f>SUMIF(DeadRaw!$B:$B,$A7,DeadRaw!AW:AW)</f>
        <v>0</v>
      </c>
      <c r="AU7">
        <f>SUMIF(DeadRaw!$B:$B,$A7,DeadRaw!AX:AX)</f>
        <v>0</v>
      </c>
      <c r="AV7">
        <f>SUMIF(DeadRaw!$B:$B,$A7,DeadRaw!AY:AY)</f>
        <v>0</v>
      </c>
      <c r="AW7">
        <f>SUMIF(DeadRaw!$B:$B,$A7,DeadRaw!AZ:AZ)</f>
        <v>2</v>
      </c>
      <c r="AX7">
        <f>SUMIF(DeadRaw!$B:$B,$A7,DeadRaw!BA:BA)</f>
        <v>2</v>
      </c>
      <c r="AY7">
        <f>SUMIF(DeadRaw!$B:$B,$A7,DeadRaw!BB:BB)</f>
        <v>3</v>
      </c>
      <c r="AZ7">
        <f>SUMIF(DeadRaw!$B:$B,$A7,DeadRaw!BC:BC)</f>
        <v>3</v>
      </c>
      <c r="BA7">
        <f>SUMIF(DeadRaw!$B:$B,$A7,DeadRaw!BD:BD)</f>
        <v>7</v>
      </c>
      <c r="BB7">
        <f>SUMIF(DeadRaw!$B:$B,$A7,DeadRaw!BE:BE)</f>
        <v>9</v>
      </c>
      <c r="BC7">
        <f>SUMIF(DeadRaw!$B:$B,$A7,DeadRaw!BF:BF)</f>
        <v>11</v>
      </c>
      <c r="BD7">
        <f>SUMIF(DeadRaw!$B:$B,$A7,DeadRaw!BG:BG)</f>
        <v>17</v>
      </c>
      <c r="BE7">
        <f>SUMIF(DeadRaw!$B:$B,$A7,DeadRaw!BH:BH)</f>
        <v>24</v>
      </c>
      <c r="BF7">
        <f>SUMIF(DeadRaw!$B:$B,$A7,DeadRaw!BI:BI)</f>
        <v>28</v>
      </c>
      <c r="BG7">
        <f>SUMIF(DeadRaw!$B:$B,$A7,DeadRaw!BJ:BJ)</f>
        <v>44</v>
      </c>
      <c r="BH7">
        <f>SUMIF(DeadRaw!$B:$B,$A7,DeadRaw!BK:BK)</f>
        <v>67</v>
      </c>
      <c r="BI7">
        <f>SUMIF(DeadRaw!$B:$B,$A7,DeadRaw!BL:BL)</f>
        <v>0</v>
      </c>
      <c r="BJ7">
        <f>SUMIF(DeadRaw!$B:$B,$A7,DeadRaw!BM:BM)</f>
        <v>0</v>
      </c>
      <c r="BK7">
        <f>SUMIF(DeadRaw!$B:$B,$A7,DeadRaw!BN:BN)</f>
        <v>0</v>
      </c>
      <c r="BL7">
        <f>SUMIF(DeadRaw!$B:$B,$A7,DeadRaw!BO:BO)</f>
        <v>0</v>
      </c>
      <c r="BM7">
        <f>SUMIF(DeadRaw!$B:$B,$A7,DeadRaw!BP:BP)</f>
        <v>0</v>
      </c>
      <c r="BN7">
        <f>SUMIF(DeadRaw!$B:$B,$A7,DeadRaw!BQ:BQ)</f>
        <v>0</v>
      </c>
      <c r="BO7">
        <f>SUMIF(DeadRaw!$B:$B,$A7,DeadRaw!BR:BR)</f>
        <v>0</v>
      </c>
      <c r="BP7">
        <f>SUMIF(DeadRaw!$B:$B,$A7,DeadRaw!BS:BS)</f>
        <v>0</v>
      </c>
      <c r="BQ7">
        <f>SUMIF(DeadRaw!$B:$B,$A7,DeadRaw!BT:BT)</f>
        <v>0</v>
      </c>
      <c r="BR7">
        <f>SUMIF(DeadRaw!$B:$B,$A7,DeadRaw!BU:BU)</f>
        <v>0</v>
      </c>
      <c r="BS7">
        <f>SUMIF(DeadRaw!$B:$B,$A7,DeadRaw!BV:BV)</f>
        <v>0</v>
      </c>
      <c r="BT7">
        <f>SUMIF(DeadRaw!$B:$B,$A7,DeadRaw!BW:BW)</f>
        <v>0</v>
      </c>
    </row>
    <row r="8" spans="1:72" ht="15" thickBot="1" x14ac:dyDescent="0.35">
      <c r="A8" s="4" t="s">
        <v>41</v>
      </c>
      <c r="B8">
        <f>SUMIF(DeadRaw!$B:$B,$A8,DeadRaw!E:E)</f>
        <v>0</v>
      </c>
      <c r="C8">
        <f>SUMIF(DeadRaw!$B:$B,$A8,DeadRaw!F:F)</f>
        <v>0</v>
      </c>
      <c r="D8">
        <f>SUMIF(DeadRaw!$B:$B,$A8,DeadRaw!G:G)</f>
        <v>0</v>
      </c>
      <c r="E8">
        <f>SUMIF(DeadRaw!$B:$B,$A8,DeadRaw!H:H)</f>
        <v>0</v>
      </c>
      <c r="F8">
        <f>SUMIF(DeadRaw!$B:$B,$A8,DeadRaw!I:I)</f>
        <v>0</v>
      </c>
      <c r="G8">
        <f>SUMIF(DeadRaw!$B:$B,$A8,DeadRaw!J:J)</f>
        <v>0</v>
      </c>
      <c r="H8">
        <f>SUMIF(DeadRaw!$B:$B,$A8,DeadRaw!K:K)</f>
        <v>0</v>
      </c>
      <c r="I8">
        <f>SUMIF(DeadRaw!$B:$B,$A8,DeadRaw!L:L)</f>
        <v>0</v>
      </c>
      <c r="J8">
        <f>SUMIF(DeadRaw!$B:$B,$A8,DeadRaw!M:M)</f>
        <v>0</v>
      </c>
      <c r="K8">
        <f>SUMIF(DeadRaw!$B:$B,$A8,DeadRaw!N:N)</f>
        <v>0</v>
      </c>
      <c r="L8">
        <f>SUMIF(DeadRaw!$B:$B,$A8,DeadRaw!O:O)</f>
        <v>0</v>
      </c>
      <c r="M8">
        <f>SUMIF(DeadRaw!$B:$B,$A8,DeadRaw!P:P)</f>
        <v>0</v>
      </c>
      <c r="N8">
        <f>SUMIF(DeadRaw!$B:$B,$A8,DeadRaw!Q:Q)</f>
        <v>0</v>
      </c>
      <c r="O8">
        <f>SUMIF(DeadRaw!$B:$B,$A8,DeadRaw!R:R)</f>
        <v>0</v>
      </c>
      <c r="P8">
        <f>SUMIF(DeadRaw!$B:$B,$A8,DeadRaw!S:S)</f>
        <v>0</v>
      </c>
      <c r="Q8">
        <f>SUMIF(DeadRaw!$B:$B,$A8,DeadRaw!T:T)</f>
        <v>0</v>
      </c>
      <c r="R8">
        <f>SUMIF(DeadRaw!$B:$B,$A8,DeadRaw!U:U)</f>
        <v>0</v>
      </c>
      <c r="S8">
        <f>SUMIF(DeadRaw!$B:$B,$A8,DeadRaw!V:V)</f>
        <v>0</v>
      </c>
      <c r="T8">
        <f>SUMIF(DeadRaw!$B:$B,$A8,DeadRaw!W:W)</f>
        <v>0</v>
      </c>
      <c r="U8">
        <f>SUMIF(DeadRaw!$B:$B,$A8,DeadRaw!X:X)</f>
        <v>0</v>
      </c>
      <c r="V8">
        <f>SUMIF(DeadRaw!$B:$B,$A8,DeadRaw!Y:Y)</f>
        <v>0</v>
      </c>
      <c r="W8">
        <f>SUMIF(DeadRaw!$B:$B,$A8,DeadRaw!Z:Z)</f>
        <v>0</v>
      </c>
      <c r="X8">
        <f>SUMIF(DeadRaw!$B:$B,$A8,DeadRaw!AA:AA)</f>
        <v>0</v>
      </c>
      <c r="Y8">
        <f>SUMIF(DeadRaw!$B:$B,$A8,DeadRaw!AB:AB)</f>
        <v>0</v>
      </c>
      <c r="Z8">
        <f>SUMIF(DeadRaw!$B:$B,$A8,DeadRaw!AC:AC)</f>
        <v>1</v>
      </c>
      <c r="AA8">
        <f>SUMIF(DeadRaw!$B:$B,$A8,DeadRaw!AD:AD)</f>
        <v>1</v>
      </c>
      <c r="AB8">
        <f>SUMIF(DeadRaw!$B:$B,$A8,DeadRaw!AE:AE)</f>
        <v>1</v>
      </c>
      <c r="AC8">
        <f>SUMIF(DeadRaw!$B:$B,$A8,DeadRaw!AF:AF)</f>
        <v>1</v>
      </c>
      <c r="AD8">
        <f>SUMIF(DeadRaw!$B:$B,$A8,DeadRaw!AG:AG)</f>
        <v>1</v>
      </c>
      <c r="AE8">
        <f>SUMIF(DeadRaw!$B:$B,$A8,DeadRaw!AH:AH)</f>
        <v>1</v>
      </c>
      <c r="AF8">
        <f>SUMIF(DeadRaw!$B:$B,$A8,DeadRaw!AI:AI)</f>
        <v>1</v>
      </c>
      <c r="AG8">
        <f>SUMIF(DeadRaw!$B:$B,$A8,DeadRaw!AJ:AJ)</f>
        <v>1</v>
      </c>
      <c r="AH8">
        <f>SUMIF(DeadRaw!$B:$B,$A8,DeadRaw!AK:AK)</f>
        <v>1</v>
      </c>
      <c r="AI8">
        <f>SUMIF(DeadRaw!$B:$B,$A8,DeadRaw!AL:AL)</f>
        <v>1</v>
      </c>
      <c r="AJ8">
        <f>SUMIF(DeadRaw!$B:$B,$A8,DeadRaw!AM:AM)</f>
        <v>1</v>
      </c>
      <c r="AK8">
        <f>SUMIF(DeadRaw!$B:$B,$A8,DeadRaw!AN:AN)</f>
        <v>2</v>
      </c>
      <c r="AL8">
        <f>SUMIF(DeadRaw!$B:$B,$A8,DeadRaw!AO:AO)</f>
        <v>2</v>
      </c>
      <c r="AM8">
        <f>SUMIF(DeadRaw!$B:$B,$A8,DeadRaw!AP:AP)</f>
        <v>2</v>
      </c>
      <c r="AN8">
        <f>SUMIF(DeadRaw!$B:$B,$A8,DeadRaw!AQ:AQ)</f>
        <v>2</v>
      </c>
      <c r="AO8">
        <f>SUMIF(DeadRaw!$B:$B,$A8,DeadRaw!AR:AR)</f>
        <v>2</v>
      </c>
      <c r="AP8">
        <f>SUMIF(DeadRaw!$B:$B,$A8,DeadRaw!AS:AS)</f>
        <v>3</v>
      </c>
      <c r="AQ8">
        <f>SUMIF(DeadRaw!$B:$B,$A8,DeadRaw!AT:AT)</f>
        <v>4</v>
      </c>
      <c r="AR8">
        <f>SUMIF(DeadRaw!$B:$B,$A8,DeadRaw!AU:AU)</f>
        <v>4</v>
      </c>
      <c r="AS8">
        <f>SUMIF(DeadRaw!$B:$B,$A8,DeadRaw!AV:AV)</f>
        <v>6</v>
      </c>
      <c r="AT8">
        <f>SUMIF(DeadRaw!$B:$B,$A8,DeadRaw!AW:AW)</f>
        <v>9</v>
      </c>
      <c r="AU8">
        <f>SUMIF(DeadRaw!$B:$B,$A8,DeadRaw!AX:AX)</f>
        <v>11</v>
      </c>
      <c r="AV8">
        <f>SUMIF(DeadRaw!$B:$B,$A8,DeadRaw!AY:AY)</f>
        <v>19</v>
      </c>
      <c r="AW8">
        <f>SUMIF(DeadRaw!$B:$B,$A8,DeadRaw!AZ:AZ)</f>
        <v>19</v>
      </c>
      <c r="AX8">
        <f>SUMIF(DeadRaw!$B:$B,$A8,DeadRaw!BA:BA)</f>
        <v>33</v>
      </c>
      <c r="AY8">
        <f>SUMIF(DeadRaw!$B:$B,$A8,DeadRaw!BB:BB)</f>
        <v>48</v>
      </c>
      <c r="AZ8">
        <f>SUMIF(DeadRaw!$B:$B,$A8,DeadRaw!BC:BC)</f>
        <v>48</v>
      </c>
      <c r="BA8">
        <f>SUMIF(DeadRaw!$B:$B,$A8,DeadRaw!BD:BD)</f>
        <v>79</v>
      </c>
      <c r="BB8">
        <f>SUMIF(DeadRaw!$B:$B,$A8,DeadRaw!BE:BE)</f>
        <v>91</v>
      </c>
      <c r="BC8">
        <f>SUMIF(DeadRaw!$B:$B,$A8,DeadRaw!BF:BF)</f>
        <v>91</v>
      </c>
      <c r="BD8">
        <f>SUMIF(DeadRaw!$B:$B,$A8,DeadRaw!BG:BG)</f>
        <v>148</v>
      </c>
      <c r="BE8">
        <f>SUMIF(DeadRaw!$B:$B,$A8,DeadRaw!BH:BH)</f>
        <v>148</v>
      </c>
      <c r="BF8">
        <f>SUMIF(DeadRaw!$B:$B,$A8,DeadRaw!BI:BI)</f>
        <v>148</v>
      </c>
      <c r="BG8">
        <f>SUMIF(DeadRaw!$B:$B,$A8,DeadRaw!BJ:BJ)</f>
        <v>243</v>
      </c>
      <c r="BH8">
        <f>SUMIF(DeadRaw!$B:$B,$A8,DeadRaw!BK:BK)</f>
        <v>450</v>
      </c>
      <c r="BI8">
        <f>SUMIF(DeadRaw!$B:$B,$A8,DeadRaw!BL:BL)</f>
        <v>0</v>
      </c>
      <c r="BJ8">
        <f>SUMIF(DeadRaw!$B:$B,$A8,DeadRaw!BM:BM)</f>
        <v>0</v>
      </c>
      <c r="BK8">
        <f>SUMIF(DeadRaw!$B:$B,$A8,DeadRaw!BN:BN)</f>
        <v>0</v>
      </c>
      <c r="BL8">
        <f>SUMIF(DeadRaw!$B:$B,$A8,DeadRaw!BO:BO)</f>
        <v>0</v>
      </c>
      <c r="BM8">
        <f>SUMIF(DeadRaw!$B:$B,$A8,DeadRaw!BP:BP)</f>
        <v>0</v>
      </c>
      <c r="BN8">
        <f>SUMIF(DeadRaw!$B:$B,$A8,DeadRaw!BQ:BQ)</f>
        <v>0</v>
      </c>
      <c r="BO8">
        <f>SUMIF(DeadRaw!$B:$B,$A8,DeadRaw!BR:BR)</f>
        <v>0</v>
      </c>
      <c r="BP8">
        <f>SUMIF(DeadRaw!$B:$B,$A8,DeadRaw!BS:BS)</f>
        <v>0</v>
      </c>
      <c r="BQ8">
        <f>SUMIF(DeadRaw!$B:$B,$A8,DeadRaw!BT:BT)</f>
        <v>0</v>
      </c>
      <c r="BR8">
        <f>SUMIF(DeadRaw!$B:$B,$A8,DeadRaw!BU:BU)</f>
        <v>0</v>
      </c>
      <c r="BS8">
        <f>SUMIF(DeadRaw!$B:$B,$A8,DeadRaw!BV:BV)</f>
        <v>0</v>
      </c>
      <c r="BT8">
        <f>SUMIF(DeadRaw!$B:$B,$A8,DeadRaw!BW:BW)</f>
        <v>0</v>
      </c>
    </row>
    <row r="9" spans="1:72" ht="15" thickBot="1" x14ac:dyDescent="0.35">
      <c r="A9" s="3" t="s">
        <v>38</v>
      </c>
      <c r="B9">
        <f>SUMIF(DeadRaw!$B:$B,$A9,DeadRaw!E:E)</f>
        <v>0</v>
      </c>
      <c r="C9">
        <f>SUMIF(DeadRaw!$B:$B,$A9,DeadRaw!F:F)</f>
        <v>0</v>
      </c>
      <c r="D9">
        <f>SUMIF(DeadRaw!$B:$B,$A9,DeadRaw!G:G)</f>
        <v>0</v>
      </c>
      <c r="E9">
        <f>SUMIF(DeadRaw!$B:$B,$A9,DeadRaw!H:H)</f>
        <v>0</v>
      </c>
      <c r="F9">
        <f>SUMIF(DeadRaw!$B:$B,$A9,DeadRaw!I:I)</f>
        <v>0</v>
      </c>
      <c r="G9">
        <f>SUMIF(DeadRaw!$B:$B,$A9,DeadRaw!J:J)</f>
        <v>0</v>
      </c>
      <c r="H9">
        <f>SUMIF(DeadRaw!$B:$B,$A9,DeadRaw!K:K)</f>
        <v>0</v>
      </c>
      <c r="I9">
        <f>SUMIF(DeadRaw!$B:$B,$A9,DeadRaw!L:L)</f>
        <v>0</v>
      </c>
      <c r="J9">
        <f>SUMIF(DeadRaw!$B:$B,$A9,DeadRaw!M:M)</f>
        <v>0</v>
      </c>
      <c r="K9">
        <f>SUMIF(DeadRaw!$B:$B,$A9,DeadRaw!N:N)</f>
        <v>0</v>
      </c>
      <c r="L9">
        <f>SUMIF(DeadRaw!$B:$B,$A9,DeadRaw!O:O)</f>
        <v>0</v>
      </c>
      <c r="M9">
        <f>SUMIF(DeadRaw!$B:$B,$A9,DeadRaw!P:P)</f>
        <v>0</v>
      </c>
      <c r="N9">
        <f>SUMIF(DeadRaw!$B:$B,$A9,DeadRaw!Q:Q)</f>
        <v>0</v>
      </c>
      <c r="O9">
        <f>SUMIF(DeadRaw!$B:$B,$A9,DeadRaw!R:R)</f>
        <v>0</v>
      </c>
      <c r="P9">
        <f>SUMIF(DeadRaw!$B:$B,$A9,DeadRaw!S:S)</f>
        <v>0</v>
      </c>
      <c r="Q9">
        <f>SUMIF(DeadRaw!$B:$B,$A9,DeadRaw!T:T)</f>
        <v>0</v>
      </c>
      <c r="R9">
        <f>SUMIF(DeadRaw!$B:$B,$A9,DeadRaw!U:U)</f>
        <v>0</v>
      </c>
      <c r="S9">
        <f>SUMIF(DeadRaw!$B:$B,$A9,DeadRaw!V:V)</f>
        <v>0</v>
      </c>
      <c r="T9">
        <f>SUMIF(DeadRaw!$B:$B,$A9,DeadRaw!W:W)</f>
        <v>0</v>
      </c>
      <c r="U9">
        <f>SUMIF(DeadRaw!$B:$B,$A9,DeadRaw!X:X)</f>
        <v>0</v>
      </c>
      <c r="V9">
        <f>SUMIF(DeadRaw!$B:$B,$A9,DeadRaw!Y:Y)</f>
        <v>0</v>
      </c>
      <c r="W9">
        <f>SUMIF(DeadRaw!$B:$B,$A9,DeadRaw!Z:Z)</f>
        <v>0</v>
      </c>
      <c r="X9">
        <f>SUMIF(DeadRaw!$B:$B,$A9,DeadRaw!AA:AA)</f>
        <v>0</v>
      </c>
      <c r="Y9">
        <f>SUMIF(DeadRaw!$B:$B,$A9,DeadRaw!AB:AB)</f>
        <v>0</v>
      </c>
      <c r="Z9">
        <f>SUMIF(DeadRaw!$B:$B,$A9,DeadRaw!AC:AC)</f>
        <v>0</v>
      </c>
      <c r="AA9">
        <f>SUMIF(DeadRaw!$B:$B,$A9,DeadRaw!AD:AD)</f>
        <v>0</v>
      </c>
      <c r="AB9">
        <f>SUMIF(DeadRaw!$B:$B,$A9,DeadRaw!AE:AE)</f>
        <v>0</v>
      </c>
      <c r="AC9">
        <f>SUMIF(DeadRaw!$B:$B,$A9,DeadRaw!AF:AF)</f>
        <v>0</v>
      </c>
      <c r="AD9">
        <f>SUMIF(DeadRaw!$B:$B,$A9,DeadRaw!AG:AG)</f>
        <v>0</v>
      </c>
      <c r="AE9">
        <f>SUMIF(DeadRaw!$B:$B,$A9,DeadRaw!AH:AH)</f>
        <v>0</v>
      </c>
      <c r="AF9">
        <f>SUMIF(DeadRaw!$B:$B,$A9,DeadRaw!AI:AI)</f>
        <v>0</v>
      </c>
      <c r="AG9">
        <f>SUMIF(DeadRaw!$B:$B,$A9,DeadRaw!AJ:AJ)</f>
        <v>0</v>
      </c>
      <c r="AH9">
        <f>SUMIF(DeadRaw!$B:$B,$A9,DeadRaw!AK:AK)</f>
        <v>0</v>
      </c>
      <c r="AI9">
        <f>SUMIF(DeadRaw!$B:$B,$A9,DeadRaw!AL:AL)</f>
        <v>0</v>
      </c>
      <c r="AJ9">
        <f>SUMIF(DeadRaw!$B:$B,$A9,DeadRaw!AM:AM)</f>
        <v>0</v>
      </c>
      <c r="AK9">
        <f>SUMIF(DeadRaw!$B:$B,$A9,DeadRaw!AN:AN)</f>
        <v>0</v>
      </c>
      <c r="AL9">
        <f>SUMIF(DeadRaw!$B:$B,$A9,DeadRaw!AO:AO)</f>
        <v>0</v>
      </c>
      <c r="AM9">
        <f>SUMIF(DeadRaw!$B:$B,$A9,DeadRaw!AP:AP)</f>
        <v>0</v>
      </c>
      <c r="AN9">
        <f>SUMIF(DeadRaw!$B:$B,$A9,DeadRaw!AQ:AQ)</f>
        <v>1</v>
      </c>
      <c r="AO9">
        <f>SUMIF(DeadRaw!$B:$B,$A9,DeadRaw!AR:AR)</f>
        <v>1</v>
      </c>
      <c r="AP9">
        <f>SUMIF(DeadRaw!$B:$B,$A9,DeadRaw!AS:AS)</f>
        <v>6</v>
      </c>
      <c r="AQ9">
        <f>SUMIF(DeadRaw!$B:$B,$A9,DeadRaw!AT:AT)</f>
        <v>7</v>
      </c>
      <c r="AR9">
        <f>SUMIF(DeadRaw!$B:$B,$A9,DeadRaw!AU:AU)</f>
        <v>11</v>
      </c>
      <c r="AS9">
        <f>SUMIF(DeadRaw!$B:$B,$A9,DeadRaw!AV:AV)</f>
        <v>12</v>
      </c>
      <c r="AT9">
        <f>SUMIF(DeadRaw!$B:$B,$A9,DeadRaw!AW:AW)</f>
        <v>14</v>
      </c>
      <c r="AU9">
        <f>SUMIF(DeadRaw!$B:$B,$A9,DeadRaw!AX:AX)</f>
        <v>17</v>
      </c>
      <c r="AV9">
        <f>SUMIF(DeadRaw!$B:$B,$A9,DeadRaw!AY:AY)</f>
        <v>21</v>
      </c>
      <c r="AW9">
        <f>SUMIF(DeadRaw!$B:$B,$A9,DeadRaw!AZ:AZ)</f>
        <v>22</v>
      </c>
      <c r="AX9">
        <f>SUMIF(DeadRaw!$B:$B,$A9,DeadRaw!BA:BA)</f>
        <v>28</v>
      </c>
      <c r="AY9">
        <f>SUMIF(DeadRaw!$B:$B,$A9,DeadRaw!BB:BB)</f>
        <v>36</v>
      </c>
      <c r="AZ9">
        <f>SUMIF(DeadRaw!$B:$B,$A9,DeadRaw!BC:BC)</f>
        <v>40</v>
      </c>
      <c r="BA9">
        <f>SUMIF(DeadRaw!$B:$B,$A9,DeadRaw!BD:BD)</f>
        <v>47</v>
      </c>
      <c r="BB9">
        <f>SUMIF(DeadRaw!$B:$B,$A9,DeadRaw!BE:BE)</f>
        <v>54</v>
      </c>
      <c r="BC9">
        <f>SUMIF(DeadRaw!$B:$B,$A9,DeadRaw!BF:BF)</f>
        <v>63</v>
      </c>
      <c r="BD9">
        <f>SUMIF(DeadRaw!$B:$B,$A9,DeadRaw!BG:BG)</f>
        <v>85</v>
      </c>
      <c r="BE9">
        <f>SUMIF(DeadRaw!$B:$B,$A9,DeadRaw!BH:BH)</f>
        <v>108</v>
      </c>
      <c r="BF9">
        <f>SUMIF(DeadRaw!$B:$B,$A9,DeadRaw!BI:BI)</f>
        <v>118</v>
      </c>
      <c r="BG9">
        <f>SUMIF(DeadRaw!$B:$B,$A9,DeadRaw!BJ:BJ)</f>
        <v>200</v>
      </c>
      <c r="BH9">
        <f>SUMIF(DeadRaw!$B:$B,$A9,DeadRaw!BK:BK)</f>
        <v>244</v>
      </c>
      <c r="BI9">
        <f>SUMIF(DeadRaw!$B:$B,$A9,DeadRaw!BL:BL)</f>
        <v>0</v>
      </c>
      <c r="BJ9">
        <f>SUMIF(DeadRaw!$B:$B,$A9,DeadRaw!BM:BM)</f>
        <v>0</v>
      </c>
      <c r="BK9">
        <f>SUMIF(DeadRaw!$B:$B,$A9,DeadRaw!BN:BN)</f>
        <v>0</v>
      </c>
      <c r="BL9">
        <f>SUMIF(DeadRaw!$B:$B,$A9,DeadRaw!BO:BO)</f>
        <v>0</v>
      </c>
      <c r="BM9">
        <f>SUMIF(DeadRaw!$B:$B,$A9,DeadRaw!BP:BP)</f>
        <v>0</v>
      </c>
      <c r="BN9">
        <f>SUMIF(DeadRaw!$B:$B,$A9,DeadRaw!BQ:BQ)</f>
        <v>0</v>
      </c>
      <c r="BO9">
        <f>SUMIF(DeadRaw!$B:$B,$A9,DeadRaw!BR:BR)</f>
        <v>0</v>
      </c>
      <c r="BP9">
        <f>SUMIF(DeadRaw!$B:$B,$A9,DeadRaw!BS:BS)</f>
        <v>0</v>
      </c>
      <c r="BQ9">
        <f>SUMIF(DeadRaw!$B:$B,$A9,DeadRaw!BT:BT)</f>
        <v>0</v>
      </c>
      <c r="BR9">
        <f>SUMIF(DeadRaw!$B:$B,$A9,DeadRaw!BU:BU)</f>
        <v>0</v>
      </c>
      <c r="BS9">
        <f>SUMIF(DeadRaw!$B:$B,$A9,DeadRaw!BV:BV)</f>
        <v>0</v>
      </c>
      <c r="BT9">
        <f>SUMIF(DeadRaw!$B:$B,$A9,DeadRaw!BW:BW)</f>
        <v>0</v>
      </c>
    </row>
    <row r="10" spans="1:72" ht="15" thickBot="1" x14ac:dyDescent="0.35">
      <c r="A10" s="4" t="s">
        <v>77</v>
      </c>
      <c r="B10">
        <f>SUMIF(DeadRaw!$B:$B,$A10,DeadRaw!E:E)</f>
        <v>0</v>
      </c>
      <c r="C10">
        <f>SUMIF(DeadRaw!$B:$B,$A10,DeadRaw!F:F)</f>
        <v>0</v>
      </c>
      <c r="D10">
        <f>SUMIF(DeadRaw!$B:$B,$A10,DeadRaw!G:G)</f>
        <v>0</v>
      </c>
      <c r="E10">
        <f>SUMIF(DeadRaw!$B:$B,$A10,DeadRaw!H:H)</f>
        <v>0</v>
      </c>
      <c r="F10">
        <f>SUMIF(DeadRaw!$B:$B,$A10,DeadRaw!I:I)</f>
        <v>0</v>
      </c>
      <c r="G10">
        <f>SUMIF(DeadRaw!$B:$B,$A10,DeadRaw!J:J)</f>
        <v>0</v>
      </c>
      <c r="H10">
        <f>SUMIF(DeadRaw!$B:$B,$A10,DeadRaw!K:K)</f>
        <v>0</v>
      </c>
      <c r="I10">
        <f>SUMIF(DeadRaw!$B:$B,$A10,DeadRaw!L:L)</f>
        <v>0</v>
      </c>
      <c r="J10">
        <f>SUMIF(DeadRaw!$B:$B,$A10,DeadRaw!M:M)</f>
        <v>0</v>
      </c>
      <c r="K10">
        <f>SUMIF(DeadRaw!$B:$B,$A10,DeadRaw!N:N)</f>
        <v>0</v>
      </c>
      <c r="L10">
        <f>SUMIF(DeadRaw!$B:$B,$A10,DeadRaw!O:O)</f>
        <v>0</v>
      </c>
      <c r="M10">
        <f>SUMIF(DeadRaw!$B:$B,$A10,DeadRaw!P:P)</f>
        <v>0</v>
      </c>
      <c r="N10">
        <f>SUMIF(DeadRaw!$B:$B,$A10,DeadRaw!Q:Q)</f>
        <v>0</v>
      </c>
      <c r="O10">
        <f>SUMIF(DeadRaw!$B:$B,$A10,DeadRaw!R:R)</f>
        <v>0</v>
      </c>
      <c r="P10">
        <f>SUMIF(DeadRaw!$B:$B,$A10,DeadRaw!S:S)</f>
        <v>0</v>
      </c>
      <c r="Q10">
        <f>SUMIF(DeadRaw!$B:$B,$A10,DeadRaw!T:T)</f>
        <v>0</v>
      </c>
      <c r="R10">
        <f>SUMIF(DeadRaw!$B:$B,$A10,DeadRaw!U:U)</f>
        <v>0</v>
      </c>
      <c r="S10">
        <f>SUMIF(DeadRaw!$B:$B,$A10,DeadRaw!V:V)</f>
        <v>0</v>
      </c>
      <c r="T10">
        <f>SUMIF(DeadRaw!$B:$B,$A10,DeadRaw!W:W)</f>
        <v>0</v>
      </c>
      <c r="U10">
        <f>SUMIF(DeadRaw!$B:$B,$A10,DeadRaw!X:X)</f>
        <v>0</v>
      </c>
      <c r="V10">
        <f>SUMIF(DeadRaw!$B:$B,$A10,DeadRaw!Y:Y)</f>
        <v>0</v>
      </c>
      <c r="W10">
        <f>SUMIF(DeadRaw!$B:$B,$A10,DeadRaw!Z:Z)</f>
        <v>0</v>
      </c>
      <c r="X10">
        <f>SUMIF(DeadRaw!$B:$B,$A10,DeadRaw!AA:AA)</f>
        <v>0</v>
      </c>
      <c r="Y10">
        <f>SUMIF(DeadRaw!$B:$B,$A10,DeadRaw!AB:AB)</f>
        <v>0</v>
      </c>
      <c r="Z10">
        <f>SUMIF(DeadRaw!$B:$B,$A10,DeadRaw!AC:AC)</f>
        <v>0</v>
      </c>
      <c r="AA10">
        <f>SUMIF(DeadRaw!$B:$B,$A10,DeadRaw!AD:AD)</f>
        <v>0</v>
      </c>
      <c r="AB10">
        <f>SUMIF(DeadRaw!$B:$B,$A10,DeadRaw!AE:AE)</f>
        <v>0</v>
      </c>
      <c r="AC10">
        <f>SUMIF(DeadRaw!$B:$B,$A10,DeadRaw!AF:AF)</f>
        <v>0</v>
      </c>
      <c r="AD10">
        <f>SUMIF(DeadRaw!$B:$B,$A10,DeadRaw!AG:AG)</f>
        <v>0</v>
      </c>
      <c r="AE10">
        <f>SUMIF(DeadRaw!$B:$B,$A10,DeadRaw!AH:AH)</f>
        <v>0</v>
      </c>
      <c r="AF10">
        <f>SUMIF(DeadRaw!$B:$B,$A10,DeadRaw!AI:AI)</f>
        <v>0</v>
      </c>
      <c r="AG10">
        <f>SUMIF(DeadRaw!$B:$B,$A10,DeadRaw!AJ:AJ)</f>
        <v>0</v>
      </c>
      <c r="AH10">
        <f>SUMIF(DeadRaw!$B:$B,$A10,DeadRaw!AK:AK)</f>
        <v>0</v>
      </c>
      <c r="AI10">
        <f>SUMIF(DeadRaw!$B:$B,$A10,DeadRaw!AL:AL)</f>
        <v>0</v>
      </c>
      <c r="AJ10">
        <f>SUMIF(DeadRaw!$B:$B,$A10,DeadRaw!AM:AM)</f>
        <v>0</v>
      </c>
      <c r="AK10">
        <f>SUMIF(DeadRaw!$B:$B,$A10,DeadRaw!AN:AN)</f>
        <v>0</v>
      </c>
      <c r="AL10">
        <f>SUMIF(DeadRaw!$B:$B,$A10,DeadRaw!AO:AO)</f>
        <v>0</v>
      </c>
      <c r="AM10">
        <f>SUMIF(DeadRaw!$B:$B,$A10,DeadRaw!AP:AP)</f>
        <v>0</v>
      </c>
      <c r="AN10">
        <f>SUMIF(DeadRaw!$B:$B,$A10,DeadRaw!AQ:AQ)</f>
        <v>0</v>
      </c>
      <c r="AO10">
        <f>SUMIF(DeadRaw!$B:$B,$A10,DeadRaw!AR:AR)</f>
        <v>0</v>
      </c>
      <c r="AP10">
        <f>SUMIF(DeadRaw!$B:$B,$A10,DeadRaw!AS:AS)</f>
        <v>0</v>
      </c>
      <c r="AQ10">
        <f>SUMIF(DeadRaw!$B:$B,$A10,DeadRaw!AT:AT)</f>
        <v>0</v>
      </c>
      <c r="AR10">
        <f>SUMIF(DeadRaw!$B:$B,$A10,DeadRaw!AU:AU)</f>
        <v>0</v>
      </c>
      <c r="AS10">
        <f>SUMIF(DeadRaw!$B:$B,$A10,DeadRaw!AV:AV)</f>
        <v>1</v>
      </c>
      <c r="AT10">
        <f>SUMIF(DeadRaw!$B:$B,$A10,DeadRaw!AW:AW)</f>
        <v>1</v>
      </c>
      <c r="AU10">
        <f>SUMIF(DeadRaw!$B:$B,$A10,DeadRaw!AX:AX)</f>
        <v>1</v>
      </c>
      <c r="AV10">
        <f>SUMIF(DeadRaw!$B:$B,$A10,DeadRaw!AY:AY)</f>
        <v>2</v>
      </c>
      <c r="AW10">
        <f>SUMIF(DeadRaw!$B:$B,$A10,DeadRaw!AZ:AZ)</f>
        <v>2</v>
      </c>
      <c r="AX10">
        <f>SUMIF(DeadRaw!$B:$B,$A10,DeadRaw!BA:BA)</f>
        <v>3</v>
      </c>
      <c r="AY10">
        <f>SUMIF(DeadRaw!$B:$B,$A10,DeadRaw!BB:BB)</f>
        <v>4</v>
      </c>
      <c r="AZ10">
        <f>SUMIF(DeadRaw!$B:$B,$A10,DeadRaw!BC:BC)</f>
        <v>4</v>
      </c>
      <c r="BA10">
        <f>SUMIF(DeadRaw!$B:$B,$A10,DeadRaw!BD:BD)</f>
        <v>11</v>
      </c>
      <c r="BB10">
        <f>SUMIF(DeadRaw!$B:$B,$A10,DeadRaw!BE:BE)</f>
        <v>13</v>
      </c>
      <c r="BC10">
        <f>SUMIF(DeadRaw!$B:$B,$A10,DeadRaw!BF:BF)</f>
        <v>14</v>
      </c>
      <c r="BD10">
        <f>SUMIF(DeadRaw!$B:$B,$A10,DeadRaw!BG:BG)</f>
        <v>14</v>
      </c>
      <c r="BE10">
        <f>SUMIF(DeadRaw!$B:$B,$A10,DeadRaw!BH:BH)</f>
        <v>27</v>
      </c>
      <c r="BF10">
        <f>SUMIF(DeadRaw!$B:$B,$A10,DeadRaw!BI:BI)</f>
        <v>28</v>
      </c>
      <c r="BG10">
        <f>SUMIF(DeadRaw!$B:$B,$A10,DeadRaw!BJ:BJ)</f>
        <v>41</v>
      </c>
      <c r="BH10">
        <f>SUMIF(DeadRaw!$B:$B,$A10,DeadRaw!BK:BK)</f>
        <v>54</v>
      </c>
      <c r="BI10">
        <f>SUMIF(DeadRaw!$B:$B,$A10,DeadRaw!BL:BL)</f>
        <v>0</v>
      </c>
      <c r="BJ10">
        <f>SUMIF(DeadRaw!$B:$B,$A10,DeadRaw!BM:BM)</f>
        <v>0</v>
      </c>
      <c r="BK10">
        <f>SUMIF(DeadRaw!$B:$B,$A10,DeadRaw!BN:BN)</f>
        <v>0</v>
      </c>
      <c r="BL10">
        <f>SUMIF(DeadRaw!$B:$B,$A10,DeadRaw!BO:BO)</f>
        <v>0</v>
      </c>
      <c r="BM10">
        <f>SUMIF(DeadRaw!$B:$B,$A10,DeadRaw!BP:BP)</f>
        <v>0</v>
      </c>
      <c r="BN10">
        <f>SUMIF(DeadRaw!$B:$B,$A10,DeadRaw!BQ:BQ)</f>
        <v>0</v>
      </c>
      <c r="BO10">
        <f>SUMIF(DeadRaw!$B:$B,$A10,DeadRaw!BR:BR)</f>
        <v>0</v>
      </c>
      <c r="BP10">
        <f>SUMIF(DeadRaw!$B:$B,$A10,DeadRaw!BS:BS)</f>
        <v>0</v>
      </c>
      <c r="BQ10">
        <f>SUMIF(DeadRaw!$B:$B,$A10,DeadRaw!BT:BT)</f>
        <v>0</v>
      </c>
      <c r="BR10">
        <f>SUMIF(DeadRaw!$B:$B,$A10,DeadRaw!BU:BU)</f>
        <v>0</v>
      </c>
      <c r="BS10">
        <f>SUMIF(DeadRaw!$B:$B,$A10,DeadRaw!BV:BV)</f>
        <v>0</v>
      </c>
      <c r="BT10">
        <f>SUMIF(DeadRaw!$B:$B,$A10,DeadRaw!BW:BW)</f>
        <v>0</v>
      </c>
    </row>
    <row r="11" spans="1:72" ht="15" thickBot="1" x14ac:dyDescent="0.35">
      <c r="A11" s="4" t="s">
        <v>85</v>
      </c>
      <c r="B11">
        <f>SUMIF(DeadRaw!$B:$B,$A11,DeadRaw!E:E)</f>
        <v>0</v>
      </c>
      <c r="C11">
        <f>SUMIF(DeadRaw!$B:$B,$A11,DeadRaw!F:F)</f>
        <v>0</v>
      </c>
      <c r="D11">
        <f>SUMIF(DeadRaw!$B:$B,$A11,DeadRaw!G:G)</f>
        <v>0</v>
      </c>
      <c r="E11">
        <f>SUMIF(DeadRaw!$B:$B,$A11,DeadRaw!H:H)</f>
        <v>0</v>
      </c>
      <c r="F11">
        <f>SUMIF(DeadRaw!$B:$B,$A11,DeadRaw!I:I)</f>
        <v>0</v>
      </c>
      <c r="G11">
        <f>SUMIF(DeadRaw!$B:$B,$A11,DeadRaw!J:J)</f>
        <v>0</v>
      </c>
      <c r="H11">
        <f>SUMIF(DeadRaw!$B:$B,$A11,DeadRaw!K:K)</f>
        <v>0</v>
      </c>
      <c r="I11">
        <f>SUMIF(DeadRaw!$B:$B,$A11,DeadRaw!L:L)</f>
        <v>0</v>
      </c>
      <c r="J11">
        <f>SUMIF(DeadRaw!$B:$B,$A11,DeadRaw!M:M)</f>
        <v>0</v>
      </c>
      <c r="K11">
        <f>SUMIF(DeadRaw!$B:$B,$A11,DeadRaw!N:N)</f>
        <v>0</v>
      </c>
      <c r="L11">
        <f>SUMIF(DeadRaw!$B:$B,$A11,DeadRaw!O:O)</f>
        <v>0</v>
      </c>
      <c r="M11">
        <f>SUMIF(DeadRaw!$B:$B,$A11,DeadRaw!P:P)</f>
        <v>0</v>
      </c>
      <c r="N11">
        <f>SUMIF(DeadRaw!$B:$B,$A11,DeadRaw!Q:Q)</f>
        <v>0</v>
      </c>
      <c r="O11">
        <f>SUMIF(DeadRaw!$B:$B,$A11,DeadRaw!R:R)</f>
        <v>0</v>
      </c>
      <c r="P11">
        <f>SUMIF(DeadRaw!$B:$B,$A11,DeadRaw!S:S)</f>
        <v>0</v>
      </c>
      <c r="Q11">
        <f>SUMIF(DeadRaw!$B:$B,$A11,DeadRaw!T:T)</f>
        <v>0</v>
      </c>
      <c r="R11">
        <f>SUMIF(DeadRaw!$B:$B,$A11,DeadRaw!U:U)</f>
        <v>0</v>
      </c>
      <c r="S11">
        <f>SUMIF(DeadRaw!$B:$B,$A11,DeadRaw!V:V)</f>
        <v>0</v>
      </c>
      <c r="T11">
        <f>SUMIF(DeadRaw!$B:$B,$A11,DeadRaw!W:W)</f>
        <v>0</v>
      </c>
      <c r="U11">
        <f>SUMIF(DeadRaw!$B:$B,$A11,DeadRaw!X:X)</f>
        <v>0</v>
      </c>
      <c r="V11">
        <f>SUMIF(DeadRaw!$B:$B,$A11,DeadRaw!Y:Y)</f>
        <v>0</v>
      </c>
      <c r="W11">
        <f>SUMIF(DeadRaw!$B:$B,$A11,DeadRaw!Z:Z)</f>
        <v>0</v>
      </c>
      <c r="X11">
        <f>SUMIF(DeadRaw!$B:$B,$A11,DeadRaw!AA:AA)</f>
        <v>0</v>
      </c>
      <c r="Y11">
        <f>SUMIF(DeadRaw!$B:$B,$A11,DeadRaw!AB:AB)</f>
        <v>0</v>
      </c>
      <c r="Z11">
        <f>SUMIF(DeadRaw!$B:$B,$A11,DeadRaw!AC:AC)</f>
        <v>0</v>
      </c>
      <c r="AA11">
        <f>SUMIF(DeadRaw!$B:$B,$A11,DeadRaw!AD:AD)</f>
        <v>0</v>
      </c>
      <c r="AB11">
        <f>SUMIF(DeadRaw!$B:$B,$A11,DeadRaw!AE:AE)</f>
        <v>0</v>
      </c>
      <c r="AC11">
        <f>SUMIF(DeadRaw!$B:$B,$A11,DeadRaw!AF:AF)</f>
        <v>0</v>
      </c>
      <c r="AD11">
        <f>SUMIF(DeadRaw!$B:$B,$A11,DeadRaw!AG:AG)</f>
        <v>0</v>
      </c>
      <c r="AE11">
        <f>SUMIF(DeadRaw!$B:$B,$A11,DeadRaw!AH:AH)</f>
        <v>0</v>
      </c>
      <c r="AF11">
        <f>SUMIF(DeadRaw!$B:$B,$A11,DeadRaw!AI:AI)</f>
        <v>0</v>
      </c>
      <c r="AG11">
        <f>SUMIF(DeadRaw!$B:$B,$A11,DeadRaw!AJ:AJ)</f>
        <v>0</v>
      </c>
      <c r="AH11">
        <f>SUMIF(DeadRaw!$B:$B,$A11,DeadRaw!AK:AK)</f>
        <v>0</v>
      </c>
      <c r="AI11">
        <f>SUMIF(DeadRaw!$B:$B,$A11,DeadRaw!AL:AL)</f>
        <v>0</v>
      </c>
      <c r="AJ11">
        <f>SUMIF(DeadRaw!$B:$B,$A11,DeadRaw!AM:AM)</f>
        <v>0</v>
      </c>
      <c r="AK11">
        <f>SUMIF(DeadRaw!$B:$B,$A11,DeadRaw!AN:AN)</f>
        <v>0</v>
      </c>
      <c r="AL11">
        <f>SUMIF(DeadRaw!$B:$B,$A11,DeadRaw!AO:AO)</f>
        <v>0</v>
      </c>
      <c r="AM11">
        <f>SUMIF(DeadRaw!$B:$B,$A11,DeadRaw!AP:AP)</f>
        <v>0</v>
      </c>
      <c r="AN11">
        <f>SUMIF(DeadRaw!$B:$B,$A11,DeadRaw!AQ:AQ)</f>
        <v>0</v>
      </c>
      <c r="AO11">
        <f>SUMIF(DeadRaw!$B:$B,$A11,DeadRaw!AR:AR)</f>
        <v>0</v>
      </c>
      <c r="AP11">
        <f>SUMIF(DeadRaw!$B:$B,$A11,DeadRaw!AS:AS)</f>
        <v>0</v>
      </c>
      <c r="AQ11">
        <f>SUMIF(DeadRaw!$B:$B,$A11,DeadRaw!AT:AT)</f>
        <v>0</v>
      </c>
      <c r="AR11">
        <f>SUMIF(DeadRaw!$B:$B,$A11,DeadRaw!AU:AU)</f>
        <v>0</v>
      </c>
      <c r="AS11">
        <f>SUMIF(DeadRaw!$B:$B,$A11,DeadRaw!AV:AV)</f>
        <v>0</v>
      </c>
      <c r="AT11">
        <f>SUMIF(DeadRaw!$B:$B,$A11,DeadRaw!AW:AW)</f>
        <v>0</v>
      </c>
      <c r="AU11">
        <f>SUMIF(DeadRaw!$B:$B,$A11,DeadRaw!AX:AX)</f>
        <v>0</v>
      </c>
      <c r="AV11">
        <f>SUMIF(DeadRaw!$B:$B,$A11,DeadRaw!AY:AY)</f>
        <v>0</v>
      </c>
      <c r="AW11">
        <f>SUMIF(DeadRaw!$B:$B,$A11,DeadRaw!AZ:AZ)</f>
        <v>0</v>
      </c>
      <c r="AX11">
        <f>SUMIF(DeadRaw!$B:$B,$A11,DeadRaw!BA:BA)</f>
        <v>0</v>
      </c>
      <c r="AY11">
        <f>SUMIF(DeadRaw!$B:$B,$A11,DeadRaw!BB:BB)</f>
        <v>0</v>
      </c>
      <c r="AZ11">
        <f>SUMIF(DeadRaw!$B:$B,$A11,DeadRaw!BC:BC)</f>
        <v>0</v>
      </c>
      <c r="BA11">
        <f>SUMIF(DeadRaw!$B:$B,$A11,DeadRaw!BD:BD)</f>
        <v>0</v>
      </c>
      <c r="BB11">
        <f>SUMIF(DeadRaw!$B:$B,$A11,DeadRaw!BE:BE)</f>
        <v>3</v>
      </c>
      <c r="BC11">
        <f>SUMIF(DeadRaw!$B:$B,$A11,DeadRaw!BF:BF)</f>
        <v>3</v>
      </c>
      <c r="BD11">
        <f>SUMIF(DeadRaw!$B:$B,$A11,DeadRaw!BG:BG)</f>
        <v>3</v>
      </c>
      <c r="BE11">
        <f>SUMIF(DeadRaw!$B:$B,$A11,DeadRaw!BH:BH)</f>
        <v>3</v>
      </c>
      <c r="BF11">
        <f>SUMIF(DeadRaw!$B:$B,$A11,DeadRaw!BI:BI)</f>
        <v>6</v>
      </c>
      <c r="BG11">
        <f>SUMIF(DeadRaw!$B:$B,$A11,DeadRaw!BJ:BJ)</f>
        <v>7</v>
      </c>
      <c r="BH11">
        <f>SUMIF(DeadRaw!$B:$B,$A11,DeadRaw!BK:BK)</f>
        <v>7</v>
      </c>
      <c r="BI11">
        <f>SUMIF(DeadRaw!$B:$B,$A11,DeadRaw!BL:BL)</f>
        <v>0</v>
      </c>
      <c r="BJ11">
        <f>SUMIF(DeadRaw!$B:$B,$A11,DeadRaw!BM:BM)</f>
        <v>0</v>
      </c>
      <c r="BK11">
        <f>SUMIF(DeadRaw!$B:$B,$A11,DeadRaw!BN:BN)</f>
        <v>0</v>
      </c>
      <c r="BL11">
        <f>SUMIF(DeadRaw!$B:$B,$A11,DeadRaw!BO:BO)</f>
        <v>0</v>
      </c>
      <c r="BM11">
        <f>SUMIF(DeadRaw!$B:$B,$A11,DeadRaw!BP:BP)</f>
        <v>0</v>
      </c>
      <c r="BN11">
        <f>SUMIF(DeadRaw!$B:$B,$A11,DeadRaw!BQ:BQ)</f>
        <v>0</v>
      </c>
      <c r="BO11">
        <f>SUMIF(DeadRaw!$B:$B,$A11,DeadRaw!BR:BR)</f>
        <v>0</v>
      </c>
      <c r="BP11">
        <f>SUMIF(DeadRaw!$B:$B,$A11,DeadRaw!BS:BS)</f>
        <v>0</v>
      </c>
      <c r="BQ11">
        <f>SUMIF(DeadRaw!$B:$B,$A11,DeadRaw!BT:BT)</f>
        <v>0</v>
      </c>
      <c r="BR11">
        <f>SUMIF(DeadRaw!$B:$B,$A11,DeadRaw!BU:BU)</f>
        <v>0</v>
      </c>
      <c r="BS11">
        <f>SUMIF(DeadRaw!$B:$B,$A11,DeadRaw!BV:BV)</f>
        <v>0</v>
      </c>
      <c r="BT11">
        <f>SUMIF(DeadRaw!$B:$B,$A11,DeadRaw!BW:BW)</f>
        <v>0</v>
      </c>
    </row>
    <row r="12" spans="1:72" ht="15" thickBot="1" x14ac:dyDescent="0.35">
      <c r="A12" s="4" t="s">
        <v>59</v>
      </c>
      <c r="B12">
        <f>SUMIF(DeadRaw!$B:$B,$A12,DeadRaw!E:E)</f>
        <v>0</v>
      </c>
      <c r="C12">
        <f>SUMIF(DeadRaw!$B:$B,$A12,DeadRaw!F:F)</f>
        <v>0</v>
      </c>
      <c r="D12">
        <f>SUMIF(DeadRaw!$B:$B,$A12,DeadRaw!G:G)</f>
        <v>0</v>
      </c>
      <c r="E12">
        <f>SUMIF(DeadRaw!$B:$B,$A12,DeadRaw!H:H)</f>
        <v>0</v>
      </c>
      <c r="F12">
        <f>SUMIF(DeadRaw!$B:$B,$A12,DeadRaw!I:I)</f>
        <v>0</v>
      </c>
      <c r="G12">
        <f>SUMIF(DeadRaw!$B:$B,$A12,DeadRaw!J:J)</f>
        <v>0</v>
      </c>
      <c r="H12">
        <f>SUMIF(DeadRaw!$B:$B,$A12,DeadRaw!K:K)</f>
        <v>0</v>
      </c>
      <c r="I12">
        <f>SUMIF(DeadRaw!$B:$B,$A12,DeadRaw!L:L)</f>
        <v>0</v>
      </c>
      <c r="J12">
        <f>SUMIF(DeadRaw!$B:$B,$A12,DeadRaw!M:M)</f>
        <v>0</v>
      </c>
      <c r="K12">
        <f>SUMIF(DeadRaw!$B:$B,$A12,DeadRaw!N:N)</f>
        <v>0</v>
      </c>
      <c r="L12">
        <f>SUMIF(DeadRaw!$B:$B,$A12,DeadRaw!O:O)</f>
        <v>0</v>
      </c>
      <c r="M12">
        <f>SUMIF(DeadRaw!$B:$B,$A12,DeadRaw!P:P)</f>
        <v>0</v>
      </c>
      <c r="N12">
        <f>SUMIF(DeadRaw!$B:$B,$A12,DeadRaw!Q:Q)</f>
        <v>0</v>
      </c>
      <c r="O12">
        <f>SUMIF(DeadRaw!$B:$B,$A12,DeadRaw!R:R)</f>
        <v>0</v>
      </c>
      <c r="P12">
        <f>SUMIF(DeadRaw!$B:$B,$A12,DeadRaw!S:S)</f>
        <v>0</v>
      </c>
      <c r="Q12">
        <f>SUMIF(DeadRaw!$B:$B,$A12,DeadRaw!T:T)</f>
        <v>0</v>
      </c>
      <c r="R12">
        <f>SUMIF(DeadRaw!$B:$B,$A12,DeadRaw!U:U)</f>
        <v>0</v>
      </c>
      <c r="S12">
        <f>SUMIF(DeadRaw!$B:$B,$A12,DeadRaw!V:V)</f>
        <v>0</v>
      </c>
      <c r="T12">
        <f>SUMIF(DeadRaw!$B:$B,$A12,DeadRaw!W:W)</f>
        <v>0</v>
      </c>
      <c r="U12">
        <f>SUMIF(DeadRaw!$B:$B,$A12,DeadRaw!X:X)</f>
        <v>0</v>
      </c>
      <c r="V12">
        <f>SUMIF(DeadRaw!$B:$B,$A12,DeadRaw!Y:Y)</f>
        <v>0</v>
      </c>
      <c r="W12">
        <f>SUMIF(DeadRaw!$B:$B,$A12,DeadRaw!Z:Z)</f>
        <v>0</v>
      </c>
      <c r="X12">
        <f>SUMIF(DeadRaw!$B:$B,$A12,DeadRaw!AA:AA)</f>
        <v>0</v>
      </c>
      <c r="Y12">
        <f>SUMIF(DeadRaw!$B:$B,$A12,DeadRaw!AB:AB)</f>
        <v>0</v>
      </c>
      <c r="Z12">
        <f>SUMIF(DeadRaw!$B:$B,$A12,DeadRaw!AC:AC)</f>
        <v>0</v>
      </c>
      <c r="AA12">
        <f>SUMIF(DeadRaw!$B:$B,$A12,DeadRaw!AD:AD)</f>
        <v>0</v>
      </c>
      <c r="AB12">
        <f>SUMIF(DeadRaw!$B:$B,$A12,DeadRaw!AE:AE)</f>
        <v>0</v>
      </c>
      <c r="AC12">
        <f>SUMIF(DeadRaw!$B:$B,$A12,DeadRaw!AF:AF)</f>
        <v>0</v>
      </c>
      <c r="AD12">
        <f>SUMIF(DeadRaw!$B:$B,$A12,DeadRaw!AG:AG)</f>
        <v>0</v>
      </c>
      <c r="AE12">
        <f>SUMIF(DeadRaw!$B:$B,$A12,DeadRaw!AH:AH)</f>
        <v>0</v>
      </c>
      <c r="AF12">
        <f>SUMIF(DeadRaw!$B:$B,$A12,DeadRaw!AI:AI)</f>
        <v>0</v>
      </c>
      <c r="AG12">
        <f>SUMIF(DeadRaw!$B:$B,$A12,DeadRaw!AJ:AJ)</f>
        <v>0</v>
      </c>
      <c r="AH12">
        <f>SUMIF(DeadRaw!$B:$B,$A12,DeadRaw!AK:AK)</f>
        <v>0</v>
      </c>
      <c r="AI12">
        <f>SUMIF(DeadRaw!$B:$B,$A12,DeadRaw!AL:AL)</f>
        <v>0</v>
      </c>
      <c r="AJ12">
        <f>SUMIF(DeadRaw!$B:$B,$A12,DeadRaw!AM:AM)</f>
        <v>0</v>
      </c>
      <c r="AK12">
        <f>SUMIF(DeadRaw!$B:$B,$A12,DeadRaw!AN:AN)</f>
        <v>0</v>
      </c>
      <c r="AL12">
        <f>SUMIF(DeadRaw!$B:$B,$A12,DeadRaw!AO:AO)</f>
        <v>0</v>
      </c>
      <c r="AM12">
        <f>SUMIF(DeadRaw!$B:$B,$A12,DeadRaw!AP:AP)</f>
        <v>0</v>
      </c>
      <c r="AN12">
        <f>SUMIF(DeadRaw!$B:$B,$A12,DeadRaw!AQ:AQ)</f>
        <v>0</v>
      </c>
      <c r="AO12">
        <f>SUMIF(DeadRaw!$B:$B,$A12,DeadRaw!AR:AR)</f>
        <v>0</v>
      </c>
      <c r="AP12">
        <f>SUMIF(DeadRaw!$B:$B,$A12,DeadRaw!AS:AS)</f>
        <v>0</v>
      </c>
      <c r="AQ12">
        <f>SUMIF(DeadRaw!$B:$B,$A12,DeadRaw!AT:AT)</f>
        <v>0</v>
      </c>
      <c r="AR12">
        <f>SUMIF(DeadRaw!$B:$B,$A12,DeadRaw!AU:AU)</f>
        <v>0</v>
      </c>
      <c r="AS12">
        <f>SUMIF(DeadRaw!$B:$B,$A12,DeadRaw!AV:AV)</f>
        <v>0</v>
      </c>
      <c r="AT12">
        <f>SUMIF(DeadRaw!$B:$B,$A12,DeadRaw!AW:AW)</f>
        <v>0</v>
      </c>
      <c r="AU12">
        <f>SUMIF(DeadRaw!$B:$B,$A12,DeadRaw!AX:AX)</f>
        <v>0</v>
      </c>
      <c r="AV12">
        <f>SUMIF(DeadRaw!$B:$B,$A12,DeadRaw!AY:AY)</f>
        <v>0</v>
      </c>
      <c r="AW12">
        <f>SUMIF(DeadRaw!$B:$B,$A12,DeadRaw!AZ:AZ)</f>
        <v>0</v>
      </c>
      <c r="AX12">
        <f>SUMIF(DeadRaw!$B:$B,$A12,DeadRaw!BA:BA)</f>
        <v>0</v>
      </c>
      <c r="AY12">
        <f>SUMIF(DeadRaw!$B:$B,$A12,DeadRaw!BB:BB)</f>
        <v>1</v>
      </c>
      <c r="AZ12">
        <f>SUMIF(DeadRaw!$B:$B,$A12,DeadRaw!BC:BC)</f>
        <v>1</v>
      </c>
      <c r="BA12">
        <f>SUMIF(DeadRaw!$B:$B,$A12,DeadRaw!BD:BD)</f>
        <v>1</v>
      </c>
      <c r="BB12">
        <f>SUMIF(DeadRaw!$B:$B,$A12,DeadRaw!BE:BE)</f>
        <v>2</v>
      </c>
      <c r="BC12">
        <f>SUMIF(DeadRaw!$B:$B,$A12,DeadRaw!BF:BF)</f>
        <v>3</v>
      </c>
      <c r="BD12">
        <f>SUMIF(DeadRaw!$B:$B,$A12,DeadRaw!BG:BG)</f>
        <v>6</v>
      </c>
      <c r="BE12">
        <f>SUMIF(DeadRaw!$B:$B,$A12,DeadRaw!BH:BH)</f>
        <v>7</v>
      </c>
      <c r="BF12">
        <f>SUMIF(DeadRaw!$B:$B,$A12,DeadRaw!BI:BI)</f>
        <v>10</v>
      </c>
      <c r="BG12">
        <f>SUMIF(DeadRaw!$B:$B,$A12,DeadRaw!BJ:BJ)</f>
        <v>11</v>
      </c>
      <c r="BH12">
        <f>SUMIF(DeadRaw!$B:$B,$A12,DeadRaw!BK:BK)</f>
        <v>16</v>
      </c>
      <c r="BI12">
        <f>SUMIF(DeadRaw!$B:$B,$A12,DeadRaw!BL:BL)</f>
        <v>0</v>
      </c>
      <c r="BJ12">
        <f>SUMIF(DeadRaw!$B:$B,$A12,DeadRaw!BM:BM)</f>
        <v>0</v>
      </c>
      <c r="BK12">
        <f>SUMIF(DeadRaw!$B:$B,$A12,DeadRaw!BN:BN)</f>
        <v>0</v>
      </c>
      <c r="BL12">
        <f>SUMIF(DeadRaw!$B:$B,$A12,DeadRaw!BO:BO)</f>
        <v>0</v>
      </c>
      <c r="BM12">
        <f>SUMIF(DeadRaw!$B:$B,$A12,DeadRaw!BP:BP)</f>
        <v>0</v>
      </c>
      <c r="BN12">
        <f>SUMIF(DeadRaw!$B:$B,$A12,DeadRaw!BQ:BQ)</f>
        <v>0</v>
      </c>
      <c r="BO12">
        <f>SUMIF(DeadRaw!$B:$B,$A12,DeadRaw!BR:BR)</f>
        <v>0</v>
      </c>
      <c r="BP12">
        <f>SUMIF(DeadRaw!$B:$B,$A12,DeadRaw!BS:BS)</f>
        <v>0</v>
      </c>
      <c r="BQ12">
        <f>SUMIF(DeadRaw!$B:$B,$A12,DeadRaw!BT:BT)</f>
        <v>0</v>
      </c>
      <c r="BR12">
        <f>SUMIF(DeadRaw!$B:$B,$A12,DeadRaw!BU:BU)</f>
        <v>0</v>
      </c>
      <c r="BS12">
        <f>SUMIF(DeadRaw!$B:$B,$A12,DeadRaw!BV:BV)</f>
        <v>0</v>
      </c>
      <c r="BT12">
        <f>SUMIF(DeadRaw!$B:$B,$A12,DeadRaw!BW:BW)</f>
        <v>0</v>
      </c>
    </row>
    <row r="13" spans="1:72" ht="15" thickBot="1" x14ac:dyDescent="0.35">
      <c r="A13" s="3" t="s">
        <v>87</v>
      </c>
      <c r="B13">
        <f>SUMIF(DeadRaw!$B:$B,$A13,DeadRaw!E:E)</f>
        <v>0</v>
      </c>
      <c r="C13">
        <f>SUMIF(DeadRaw!$B:$B,$A13,DeadRaw!F:F)</f>
        <v>0</v>
      </c>
      <c r="D13">
        <f>SUMIF(DeadRaw!$B:$B,$A13,DeadRaw!G:G)</f>
        <v>0</v>
      </c>
      <c r="E13">
        <f>SUMIF(DeadRaw!$B:$B,$A13,DeadRaw!H:H)</f>
        <v>0</v>
      </c>
      <c r="F13">
        <f>SUMIF(DeadRaw!$B:$B,$A13,DeadRaw!I:I)</f>
        <v>0</v>
      </c>
      <c r="G13">
        <f>SUMIF(DeadRaw!$B:$B,$A13,DeadRaw!J:J)</f>
        <v>0</v>
      </c>
      <c r="H13">
        <f>SUMIF(DeadRaw!$B:$B,$A13,DeadRaw!K:K)</f>
        <v>0</v>
      </c>
      <c r="I13">
        <f>SUMIF(DeadRaw!$B:$B,$A13,DeadRaw!L:L)</f>
        <v>0</v>
      </c>
      <c r="J13">
        <f>SUMIF(DeadRaw!$B:$B,$A13,DeadRaw!M:M)</f>
        <v>0</v>
      </c>
      <c r="K13">
        <f>SUMIF(DeadRaw!$B:$B,$A13,DeadRaw!N:N)</f>
        <v>0</v>
      </c>
      <c r="L13">
        <f>SUMIF(DeadRaw!$B:$B,$A13,DeadRaw!O:O)</f>
        <v>0</v>
      </c>
      <c r="M13">
        <f>SUMIF(DeadRaw!$B:$B,$A13,DeadRaw!P:P)</f>
        <v>0</v>
      </c>
      <c r="N13">
        <f>SUMIF(DeadRaw!$B:$B,$A13,DeadRaw!Q:Q)</f>
        <v>0</v>
      </c>
      <c r="O13">
        <f>SUMIF(DeadRaw!$B:$B,$A13,DeadRaw!R:R)</f>
        <v>0</v>
      </c>
      <c r="P13">
        <f>SUMIF(DeadRaw!$B:$B,$A13,DeadRaw!S:S)</f>
        <v>0</v>
      </c>
      <c r="Q13">
        <f>SUMIF(DeadRaw!$B:$B,$A13,DeadRaw!T:T)</f>
        <v>0</v>
      </c>
      <c r="R13">
        <f>SUMIF(DeadRaw!$B:$B,$A13,DeadRaw!U:U)</f>
        <v>0</v>
      </c>
      <c r="S13">
        <f>SUMIF(DeadRaw!$B:$B,$A13,DeadRaw!V:V)</f>
        <v>0</v>
      </c>
      <c r="T13">
        <f>SUMIF(DeadRaw!$B:$B,$A13,DeadRaw!W:W)</f>
        <v>0</v>
      </c>
      <c r="U13">
        <f>SUMIF(DeadRaw!$B:$B,$A13,DeadRaw!X:X)</f>
        <v>0</v>
      </c>
      <c r="V13">
        <f>SUMIF(DeadRaw!$B:$B,$A13,DeadRaw!Y:Y)</f>
        <v>0</v>
      </c>
      <c r="W13">
        <f>SUMIF(DeadRaw!$B:$B,$A13,DeadRaw!Z:Z)</f>
        <v>0</v>
      </c>
      <c r="X13">
        <f>SUMIF(DeadRaw!$B:$B,$A13,DeadRaw!AA:AA)</f>
        <v>0</v>
      </c>
      <c r="Y13">
        <f>SUMIF(DeadRaw!$B:$B,$A13,DeadRaw!AB:AB)</f>
        <v>0</v>
      </c>
      <c r="Z13">
        <f>SUMIF(DeadRaw!$B:$B,$A13,DeadRaw!AC:AC)</f>
        <v>0</v>
      </c>
      <c r="AA13">
        <f>SUMIF(DeadRaw!$B:$B,$A13,DeadRaw!AD:AD)</f>
        <v>0</v>
      </c>
      <c r="AB13">
        <f>SUMIF(DeadRaw!$B:$B,$A13,DeadRaw!AE:AE)</f>
        <v>0</v>
      </c>
      <c r="AC13">
        <f>SUMIF(DeadRaw!$B:$B,$A13,DeadRaw!AF:AF)</f>
        <v>0</v>
      </c>
      <c r="AD13">
        <f>SUMIF(DeadRaw!$B:$B,$A13,DeadRaw!AG:AG)</f>
        <v>0</v>
      </c>
      <c r="AE13">
        <f>SUMIF(DeadRaw!$B:$B,$A13,DeadRaw!AH:AH)</f>
        <v>0</v>
      </c>
      <c r="AF13">
        <f>SUMIF(DeadRaw!$B:$B,$A13,DeadRaw!AI:AI)</f>
        <v>0</v>
      </c>
      <c r="AG13">
        <f>SUMIF(DeadRaw!$B:$B,$A13,DeadRaw!AJ:AJ)</f>
        <v>0</v>
      </c>
      <c r="AH13">
        <f>SUMIF(DeadRaw!$B:$B,$A13,DeadRaw!AK:AK)</f>
        <v>0</v>
      </c>
      <c r="AI13">
        <f>SUMIF(DeadRaw!$B:$B,$A13,DeadRaw!AL:AL)</f>
        <v>0</v>
      </c>
      <c r="AJ13">
        <f>SUMIF(DeadRaw!$B:$B,$A13,DeadRaw!AM:AM)</f>
        <v>0</v>
      </c>
      <c r="AK13">
        <f>SUMIF(DeadRaw!$B:$B,$A13,DeadRaw!AN:AN)</f>
        <v>0</v>
      </c>
      <c r="AL13">
        <f>SUMIF(DeadRaw!$B:$B,$A13,DeadRaw!AO:AO)</f>
        <v>0</v>
      </c>
      <c r="AM13">
        <f>SUMIF(DeadRaw!$B:$B,$A13,DeadRaw!AP:AP)</f>
        <v>0</v>
      </c>
      <c r="AN13">
        <f>SUMIF(DeadRaw!$B:$B,$A13,DeadRaw!AQ:AQ)</f>
        <v>0</v>
      </c>
      <c r="AO13">
        <f>SUMIF(DeadRaw!$B:$B,$A13,DeadRaw!AR:AR)</f>
        <v>0</v>
      </c>
      <c r="AP13">
        <f>SUMIF(DeadRaw!$B:$B,$A13,DeadRaw!AS:AS)</f>
        <v>0</v>
      </c>
      <c r="AQ13">
        <f>SUMIF(DeadRaw!$B:$B,$A13,DeadRaw!AT:AT)</f>
        <v>0</v>
      </c>
      <c r="AR13">
        <f>SUMIF(DeadRaw!$B:$B,$A13,DeadRaw!AU:AU)</f>
        <v>0</v>
      </c>
      <c r="AS13">
        <f>SUMIF(DeadRaw!$B:$B,$A13,DeadRaw!AV:AV)</f>
        <v>0</v>
      </c>
      <c r="AT13">
        <f>SUMIF(DeadRaw!$B:$B,$A13,DeadRaw!AW:AW)</f>
        <v>0</v>
      </c>
      <c r="AU13">
        <f>SUMIF(DeadRaw!$B:$B,$A13,DeadRaw!AX:AX)</f>
        <v>0</v>
      </c>
      <c r="AV13">
        <f>SUMIF(DeadRaw!$B:$B,$A13,DeadRaw!AY:AY)</f>
        <v>0</v>
      </c>
      <c r="AW13">
        <f>SUMIF(DeadRaw!$B:$B,$A13,DeadRaw!AZ:AZ)</f>
        <v>0</v>
      </c>
      <c r="AX13">
        <f>SUMIF(DeadRaw!$B:$B,$A13,DeadRaw!BA:BA)</f>
        <v>0</v>
      </c>
      <c r="AY13">
        <f>SUMIF(DeadRaw!$B:$B,$A13,DeadRaw!BB:BB)</f>
        <v>0</v>
      </c>
      <c r="AZ13">
        <f>SUMIF(DeadRaw!$B:$B,$A13,DeadRaw!BC:BC)</f>
        <v>0</v>
      </c>
      <c r="BA13">
        <f>SUMIF(DeadRaw!$B:$B,$A13,DeadRaw!BD:BD)</f>
        <v>0</v>
      </c>
      <c r="BB13">
        <f>SUMIF(DeadRaw!$B:$B,$A13,DeadRaw!BE:BE)</f>
        <v>1</v>
      </c>
      <c r="BC13">
        <f>SUMIF(DeadRaw!$B:$B,$A13,DeadRaw!BF:BF)</f>
        <v>2</v>
      </c>
      <c r="BD13">
        <f>SUMIF(DeadRaw!$B:$B,$A13,DeadRaw!BG:BG)</f>
        <v>3</v>
      </c>
      <c r="BE13">
        <f>SUMIF(DeadRaw!$B:$B,$A13,DeadRaw!BH:BH)</f>
        <v>4</v>
      </c>
      <c r="BF13">
        <f>SUMIF(DeadRaw!$B:$B,$A13,DeadRaw!BI:BI)</f>
        <v>4</v>
      </c>
      <c r="BG13">
        <f>SUMIF(DeadRaw!$B:$B,$A13,DeadRaw!BJ:BJ)</f>
        <v>6</v>
      </c>
      <c r="BH13">
        <f>SUMIF(DeadRaw!$B:$B,$A13,DeadRaw!BK:BK)</f>
        <v>9</v>
      </c>
      <c r="BI13">
        <f>SUMIF(DeadRaw!$B:$B,$A13,DeadRaw!BL:BL)</f>
        <v>0</v>
      </c>
      <c r="BJ13">
        <f>SUMIF(DeadRaw!$B:$B,$A13,DeadRaw!BM:BM)</f>
        <v>0</v>
      </c>
      <c r="BK13">
        <f>SUMIF(DeadRaw!$B:$B,$A13,DeadRaw!BN:BN)</f>
        <v>0</v>
      </c>
      <c r="BL13">
        <f>SUMIF(DeadRaw!$B:$B,$A13,DeadRaw!BO:BO)</f>
        <v>0</v>
      </c>
      <c r="BM13">
        <f>SUMIF(DeadRaw!$B:$B,$A13,DeadRaw!BP:BP)</f>
        <v>0</v>
      </c>
      <c r="BN13">
        <f>SUMIF(DeadRaw!$B:$B,$A13,DeadRaw!BQ:BQ)</f>
        <v>0</v>
      </c>
      <c r="BO13">
        <f>SUMIF(DeadRaw!$B:$B,$A13,DeadRaw!BR:BR)</f>
        <v>0</v>
      </c>
      <c r="BP13">
        <f>SUMIF(DeadRaw!$B:$B,$A13,DeadRaw!BS:BS)</f>
        <v>0</v>
      </c>
      <c r="BQ13">
        <f>SUMIF(DeadRaw!$B:$B,$A13,DeadRaw!BT:BT)</f>
        <v>0</v>
      </c>
      <c r="BR13">
        <f>SUMIF(DeadRaw!$B:$B,$A13,DeadRaw!BU:BU)</f>
        <v>0</v>
      </c>
      <c r="BS13">
        <f>SUMIF(DeadRaw!$B:$B,$A13,DeadRaw!BV:BV)</f>
        <v>0</v>
      </c>
      <c r="BT13">
        <f>SUMIF(DeadRaw!$B:$B,$A13,DeadRaw!BW:BW)</f>
        <v>0</v>
      </c>
    </row>
    <row r="14" spans="1:72" ht="15" thickBot="1" x14ac:dyDescent="0.35">
      <c r="A14" s="3" t="s">
        <v>89</v>
      </c>
      <c r="B14">
        <f>SUMIF(DeadRaw!$B:$B,$A14,DeadRaw!E:E)</f>
        <v>0</v>
      </c>
      <c r="C14">
        <f>SUMIF(DeadRaw!$B:$B,$A14,DeadRaw!F:F)</f>
        <v>0</v>
      </c>
      <c r="D14">
        <f>SUMIF(DeadRaw!$B:$B,$A14,DeadRaw!G:G)</f>
        <v>0</v>
      </c>
      <c r="E14">
        <f>SUMIF(DeadRaw!$B:$B,$A14,DeadRaw!H:H)</f>
        <v>0</v>
      </c>
      <c r="F14">
        <f>SUMIF(DeadRaw!$B:$B,$A14,DeadRaw!I:I)</f>
        <v>0</v>
      </c>
      <c r="G14">
        <f>SUMIF(DeadRaw!$B:$B,$A14,DeadRaw!J:J)</f>
        <v>0</v>
      </c>
      <c r="H14">
        <f>SUMIF(DeadRaw!$B:$B,$A14,DeadRaw!K:K)</f>
        <v>0</v>
      </c>
      <c r="I14">
        <f>SUMIF(DeadRaw!$B:$B,$A14,DeadRaw!L:L)</f>
        <v>0</v>
      </c>
      <c r="J14">
        <f>SUMIF(DeadRaw!$B:$B,$A14,DeadRaw!M:M)</f>
        <v>0</v>
      </c>
      <c r="K14">
        <f>SUMIF(DeadRaw!$B:$B,$A14,DeadRaw!N:N)</f>
        <v>0</v>
      </c>
      <c r="L14">
        <f>SUMIF(DeadRaw!$B:$B,$A14,DeadRaw!O:O)</f>
        <v>0</v>
      </c>
      <c r="M14">
        <f>SUMIF(DeadRaw!$B:$B,$A14,DeadRaw!P:P)</f>
        <v>0</v>
      </c>
      <c r="N14">
        <f>SUMIF(DeadRaw!$B:$B,$A14,DeadRaw!Q:Q)</f>
        <v>0</v>
      </c>
      <c r="O14">
        <f>SUMIF(DeadRaw!$B:$B,$A14,DeadRaw!R:R)</f>
        <v>0</v>
      </c>
      <c r="P14">
        <f>SUMIF(DeadRaw!$B:$B,$A14,DeadRaw!S:S)</f>
        <v>0</v>
      </c>
      <c r="Q14">
        <f>SUMIF(DeadRaw!$B:$B,$A14,DeadRaw!T:T)</f>
        <v>0</v>
      </c>
      <c r="R14">
        <f>SUMIF(DeadRaw!$B:$B,$A14,DeadRaw!U:U)</f>
        <v>0</v>
      </c>
      <c r="S14">
        <f>SUMIF(DeadRaw!$B:$B,$A14,DeadRaw!V:V)</f>
        <v>0</v>
      </c>
      <c r="T14">
        <f>SUMIF(DeadRaw!$B:$B,$A14,DeadRaw!W:W)</f>
        <v>0</v>
      </c>
      <c r="U14">
        <f>SUMIF(DeadRaw!$B:$B,$A14,DeadRaw!X:X)</f>
        <v>0</v>
      </c>
      <c r="V14">
        <f>SUMIF(DeadRaw!$B:$B,$A14,DeadRaw!Y:Y)</f>
        <v>0</v>
      </c>
      <c r="W14">
        <f>SUMIF(DeadRaw!$B:$B,$A14,DeadRaw!Z:Z)</f>
        <v>0</v>
      </c>
      <c r="X14">
        <f>SUMIF(DeadRaw!$B:$B,$A14,DeadRaw!AA:AA)</f>
        <v>0</v>
      </c>
      <c r="Y14">
        <f>SUMIF(DeadRaw!$B:$B,$A14,DeadRaw!AB:AB)</f>
        <v>0</v>
      </c>
      <c r="Z14">
        <f>SUMIF(DeadRaw!$B:$B,$A14,DeadRaw!AC:AC)</f>
        <v>0</v>
      </c>
      <c r="AA14">
        <f>SUMIF(DeadRaw!$B:$B,$A14,DeadRaw!AD:AD)</f>
        <v>0</v>
      </c>
      <c r="AB14">
        <f>SUMIF(DeadRaw!$B:$B,$A14,DeadRaw!AE:AE)</f>
        <v>0</v>
      </c>
      <c r="AC14">
        <f>SUMIF(DeadRaw!$B:$B,$A14,DeadRaw!AF:AF)</f>
        <v>0</v>
      </c>
      <c r="AD14">
        <f>SUMIF(DeadRaw!$B:$B,$A14,DeadRaw!AG:AG)</f>
        <v>0</v>
      </c>
      <c r="AE14">
        <f>SUMIF(DeadRaw!$B:$B,$A14,DeadRaw!AH:AH)</f>
        <v>0</v>
      </c>
      <c r="AF14">
        <f>SUMIF(DeadRaw!$B:$B,$A14,DeadRaw!AI:AI)</f>
        <v>0</v>
      </c>
      <c r="AG14">
        <f>SUMIF(DeadRaw!$B:$B,$A14,DeadRaw!AJ:AJ)</f>
        <v>0</v>
      </c>
      <c r="AH14">
        <f>SUMIF(DeadRaw!$B:$B,$A14,DeadRaw!AK:AK)</f>
        <v>0</v>
      </c>
      <c r="AI14">
        <f>SUMIF(DeadRaw!$B:$B,$A14,DeadRaw!AL:AL)</f>
        <v>0</v>
      </c>
      <c r="AJ14">
        <f>SUMIF(DeadRaw!$B:$B,$A14,DeadRaw!AM:AM)</f>
        <v>0</v>
      </c>
      <c r="AK14">
        <f>SUMIF(DeadRaw!$B:$B,$A14,DeadRaw!AN:AN)</f>
        <v>0</v>
      </c>
      <c r="AL14">
        <f>SUMIF(DeadRaw!$B:$B,$A14,DeadRaw!AO:AO)</f>
        <v>0</v>
      </c>
      <c r="AM14">
        <f>SUMIF(DeadRaw!$B:$B,$A14,DeadRaw!AP:AP)</f>
        <v>0</v>
      </c>
      <c r="AN14">
        <f>SUMIF(DeadRaw!$B:$B,$A14,DeadRaw!AQ:AQ)</f>
        <v>0</v>
      </c>
      <c r="AO14">
        <f>SUMIF(DeadRaw!$B:$B,$A14,DeadRaw!AR:AR)</f>
        <v>0</v>
      </c>
      <c r="AP14">
        <f>SUMIF(DeadRaw!$B:$B,$A14,DeadRaw!AS:AS)</f>
        <v>0</v>
      </c>
      <c r="AQ14">
        <f>SUMIF(DeadRaw!$B:$B,$A14,DeadRaw!AT:AT)</f>
        <v>0</v>
      </c>
      <c r="AR14">
        <f>SUMIF(DeadRaw!$B:$B,$A14,DeadRaw!AU:AU)</f>
        <v>0</v>
      </c>
      <c r="AS14">
        <f>SUMIF(DeadRaw!$B:$B,$A14,DeadRaw!AV:AV)</f>
        <v>0</v>
      </c>
      <c r="AT14">
        <f>SUMIF(DeadRaw!$B:$B,$A14,DeadRaw!AW:AW)</f>
        <v>1</v>
      </c>
      <c r="AU14">
        <f>SUMIF(DeadRaw!$B:$B,$A14,DeadRaw!AX:AX)</f>
        <v>1</v>
      </c>
      <c r="AV14">
        <f>SUMIF(DeadRaw!$B:$B,$A14,DeadRaw!AY:AY)</f>
        <v>3</v>
      </c>
      <c r="AW14">
        <f>SUMIF(DeadRaw!$B:$B,$A14,DeadRaw!AZ:AZ)</f>
        <v>3</v>
      </c>
      <c r="AX14">
        <f>SUMIF(DeadRaw!$B:$B,$A14,DeadRaw!BA:BA)</f>
        <v>4</v>
      </c>
      <c r="AY14">
        <f>SUMIF(DeadRaw!$B:$B,$A14,DeadRaw!BB:BB)</f>
        <v>5</v>
      </c>
      <c r="AZ14">
        <f>SUMIF(DeadRaw!$B:$B,$A14,DeadRaw!BC:BC)</f>
        <v>5</v>
      </c>
      <c r="BA14">
        <f>SUMIF(DeadRaw!$B:$B,$A14,DeadRaw!BD:BD)</f>
        <v>10</v>
      </c>
      <c r="BB14">
        <f>SUMIF(DeadRaw!$B:$B,$A14,DeadRaw!BE:BE)</f>
        <v>12</v>
      </c>
      <c r="BC14">
        <f>SUMIF(DeadRaw!$B:$B,$A14,DeadRaw!BF:BF)</f>
        <v>20</v>
      </c>
      <c r="BD14">
        <f>SUMIF(DeadRaw!$B:$B,$A14,DeadRaw!BG:BG)</f>
        <v>24</v>
      </c>
      <c r="BE14">
        <f>SUMIF(DeadRaw!$B:$B,$A14,DeadRaw!BH:BH)</f>
        <v>43</v>
      </c>
      <c r="BF14">
        <f>SUMIF(DeadRaw!$B:$B,$A14,DeadRaw!BI:BI)</f>
        <v>58</v>
      </c>
      <c r="BG14">
        <f>SUMIF(DeadRaw!$B:$B,$A14,DeadRaw!BJ:BJ)</f>
        <v>77</v>
      </c>
      <c r="BH14">
        <f>SUMIF(DeadRaw!$B:$B,$A14,DeadRaw!BK:BK)</f>
        <v>107</v>
      </c>
      <c r="BI14">
        <f>SUMIF(DeadRaw!$B:$B,$A14,DeadRaw!BL:BL)</f>
        <v>0</v>
      </c>
      <c r="BJ14">
        <f>SUMIF(DeadRaw!$B:$B,$A14,DeadRaw!BM:BM)</f>
        <v>0</v>
      </c>
      <c r="BK14">
        <f>SUMIF(DeadRaw!$B:$B,$A14,DeadRaw!BN:BN)</f>
        <v>0</v>
      </c>
      <c r="BL14">
        <f>SUMIF(DeadRaw!$B:$B,$A14,DeadRaw!BO:BO)</f>
        <v>0</v>
      </c>
      <c r="BM14">
        <f>SUMIF(DeadRaw!$B:$B,$A14,DeadRaw!BP:BP)</f>
        <v>0</v>
      </c>
      <c r="BN14">
        <f>SUMIF(DeadRaw!$B:$B,$A14,DeadRaw!BQ:BQ)</f>
        <v>0</v>
      </c>
      <c r="BO14">
        <f>SUMIF(DeadRaw!$B:$B,$A14,DeadRaw!BR:BR)</f>
        <v>0</v>
      </c>
      <c r="BP14">
        <f>SUMIF(DeadRaw!$B:$B,$A14,DeadRaw!BS:BS)</f>
        <v>0</v>
      </c>
      <c r="BQ14">
        <f>SUMIF(DeadRaw!$B:$B,$A14,DeadRaw!BT:BT)</f>
        <v>0</v>
      </c>
      <c r="BR14">
        <f>SUMIF(DeadRaw!$B:$B,$A14,DeadRaw!BU:BU)</f>
        <v>0</v>
      </c>
      <c r="BS14">
        <f>SUMIF(DeadRaw!$B:$B,$A14,DeadRaw!BV:BV)</f>
        <v>0</v>
      </c>
      <c r="BT14">
        <f>SUMIF(DeadRaw!$B:$B,$A14,DeadRaw!BW:BW)</f>
        <v>0</v>
      </c>
    </row>
    <row r="15" spans="1:72" ht="15" thickBot="1" x14ac:dyDescent="0.35">
      <c r="A15" s="3" t="s">
        <v>349</v>
      </c>
      <c r="B15">
        <f>SUMIF(DeadRaw!$B:$B,$A15,DeadRaw!E:E)</f>
        <v>0</v>
      </c>
      <c r="C15">
        <f>SUMIF(DeadRaw!$B:$B,$A15,DeadRaw!F:F)</f>
        <v>0</v>
      </c>
      <c r="D15">
        <f>SUMIF(DeadRaw!$B:$B,$A15,DeadRaw!G:G)</f>
        <v>0</v>
      </c>
      <c r="E15">
        <f>SUMIF(DeadRaw!$B:$B,$A15,DeadRaw!H:H)</f>
        <v>0</v>
      </c>
      <c r="F15">
        <f>SUMIF(DeadRaw!$B:$B,$A15,DeadRaw!I:I)</f>
        <v>0</v>
      </c>
      <c r="G15">
        <f>SUMIF(DeadRaw!$B:$B,$A15,DeadRaw!J:J)</f>
        <v>0</v>
      </c>
      <c r="H15">
        <f>SUMIF(DeadRaw!$B:$B,$A15,DeadRaw!K:K)</f>
        <v>0</v>
      </c>
      <c r="I15">
        <f>SUMIF(DeadRaw!$B:$B,$A15,DeadRaw!L:L)</f>
        <v>0</v>
      </c>
      <c r="J15">
        <f>SUMIF(DeadRaw!$B:$B,$A15,DeadRaw!M:M)</f>
        <v>0</v>
      </c>
      <c r="K15">
        <f>SUMIF(DeadRaw!$B:$B,$A15,DeadRaw!N:N)</f>
        <v>0</v>
      </c>
      <c r="L15">
        <f>SUMIF(DeadRaw!$B:$B,$A15,DeadRaw!O:O)</f>
        <v>0</v>
      </c>
      <c r="M15">
        <f>SUMIF(DeadRaw!$B:$B,$A15,DeadRaw!P:P)</f>
        <v>0</v>
      </c>
      <c r="N15">
        <f>SUMIF(DeadRaw!$B:$B,$A15,DeadRaw!Q:Q)</f>
        <v>0</v>
      </c>
      <c r="O15">
        <f>SUMIF(DeadRaw!$B:$B,$A15,DeadRaw!R:R)</f>
        <v>0</v>
      </c>
      <c r="P15">
        <f>SUMIF(DeadRaw!$B:$B,$A15,DeadRaw!S:S)</f>
        <v>0</v>
      </c>
      <c r="Q15">
        <f>SUMIF(DeadRaw!$B:$B,$A15,DeadRaw!T:T)</f>
        <v>0</v>
      </c>
      <c r="R15">
        <f>SUMIF(DeadRaw!$B:$B,$A15,DeadRaw!U:U)</f>
        <v>0</v>
      </c>
      <c r="S15">
        <f>SUMIF(DeadRaw!$B:$B,$A15,DeadRaw!V:V)</f>
        <v>0</v>
      </c>
      <c r="T15">
        <f>SUMIF(DeadRaw!$B:$B,$A15,DeadRaw!W:W)</f>
        <v>0</v>
      </c>
      <c r="U15">
        <f>SUMIF(DeadRaw!$B:$B,$A15,DeadRaw!X:X)</f>
        <v>0</v>
      </c>
      <c r="V15">
        <f>SUMIF(DeadRaw!$B:$B,$A15,DeadRaw!Y:Y)</f>
        <v>0</v>
      </c>
      <c r="W15">
        <f>SUMIF(DeadRaw!$B:$B,$A15,DeadRaw!Z:Z)</f>
        <v>0</v>
      </c>
      <c r="X15">
        <f>SUMIF(DeadRaw!$B:$B,$A15,DeadRaw!AA:AA)</f>
        <v>0</v>
      </c>
      <c r="Y15">
        <f>SUMIF(DeadRaw!$B:$B,$A15,DeadRaw!AB:AB)</f>
        <v>0</v>
      </c>
      <c r="Z15">
        <f>SUMIF(DeadRaw!$B:$B,$A15,DeadRaw!AC:AC)</f>
        <v>0</v>
      </c>
      <c r="AA15">
        <f>SUMIF(DeadRaw!$B:$B,$A15,DeadRaw!AD:AD)</f>
        <v>0</v>
      </c>
      <c r="AB15">
        <f>SUMIF(DeadRaw!$B:$B,$A15,DeadRaw!AE:AE)</f>
        <v>0</v>
      </c>
      <c r="AC15">
        <f>SUMIF(DeadRaw!$B:$B,$A15,DeadRaw!AF:AF)</f>
        <v>0</v>
      </c>
      <c r="AD15">
        <f>SUMIF(DeadRaw!$B:$B,$A15,DeadRaw!AG:AG)</f>
        <v>0</v>
      </c>
      <c r="AE15">
        <f>SUMIF(DeadRaw!$B:$B,$A15,DeadRaw!AH:AH)</f>
        <v>0</v>
      </c>
      <c r="AF15">
        <f>SUMIF(DeadRaw!$B:$B,$A15,DeadRaw!AI:AI)</f>
        <v>0</v>
      </c>
      <c r="AG15">
        <f>SUMIF(DeadRaw!$B:$B,$A15,DeadRaw!AJ:AJ)</f>
        <v>0</v>
      </c>
      <c r="AH15">
        <f>SUMIF(DeadRaw!$B:$B,$A15,DeadRaw!AK:AK)</f>
        <v>0</v>
      </c>
      <c r="AI15">
        <f>SUMIF(DeadRaw!$B:$B,$A15,DeadRaw!AL:AL)</f>
        <v>0</v>
      </c>
      <c r="AJ15">
        <f>SUMIF(DeadRaw!$B:$B,$A15,DeadRaw!AM:AM)</f>
        <v>0</v>
      </c>
      <c r="AK15">
        <f>SUMIF(DeadRaw!$B:$B,$A15,DeadRaw!AN:AN)</f>
        <v>0</v>
      </c>
      <c r="AL15">
        <f>SUMIF(DeadRaw!$B:$B,$A15,DeadRaw!AO:AO)</f>
        <v>0</v>
      </c>
      <c r="AM15">
        <f>SUMIF(DeadRaw!$B:$B,$A15,DeadRaw!AP:AP)</f>
        <v>0</v>
      </c>
      <c r="AN15">
        <f>SUMIF(DeadRaw!$B:$B,$A15,DeadRaw!AQ:AQ)</f>
        <v>0</v>
      </c>
      <c r="AO15">
        <f>SUMIF(DeadRaw!$B:$B,$A15,DeadRaw!AR:AR)</f>
        <v>0</v>
      </c>
      <c r="AP15">
        <f>SUMIF(DeadRaw!$B:$B,$A15,DeadRaw!AS:AS)</f>
        <v>0</v>
      </c>
      <c r="AQ15">
        <f>SUMIF(DeadRaw!$B:$B,$A15,DeadRaw!AT:AT)</f>
        <v>0</v>
      </c>
      <c r="AR15">
        <f>SUMIF(DeadRaw!$B:$B,$A15,DeadRaw!AU:AU)</f>
        <v>0</v>
      </c>
      <c r="AS15">
        <f>SUMIF(DeadRaw!$B:$B,$A15,DeadRaw!AV:AV)</f>
        <v>1</v>
      </c>
      <c r="AT15">
        <f>SUMIF(DeadRaw!$B:$B,$A15,DeadRaw!AW:AW)</f>
        <v>2</v>
      </c>
      <c r="AU15">
        <f>SUMIF(DeadRaw!$B:$B,$A15,DeadRaw!AX:AX)</f>
        <v>2</v>
      </c>
      <c r="AV15">
        <f>SUMIF(DeadRaw!$B:$B,$A15,DeadRaw!AY:AY)</f>
        <v>3</v>
      </c>
      <c r="AW15">
        <f>SUMIF(DeadRaw!$B:$B,$A15,DeadRaw!AZ:AZ)</f>
        <v>4</v>
      </c>
      <c r="AX15">
        <f>SUMIF(DeadRaw!$B:$B,$A15,DeadRaw!BA:BA)</f>
        <v>6</v>
      </c>
      <c r="AY15">
        <f>SUMIF(DeadRaw!$B:$B,$A15,DeadRaw!BB:BB)</f>
        <v>8</v>
      </c>
      <c r="AZ15">
        <f>SUMIF(DeadRaw!$B:$B,$A15,DeadRaw!BC:BC)</f>
        <v>8</v>
      </c>
      <c r="BA15">
        <f>SUMIF(DeadRaw!$B:$B,$A15,DeadRaw!BD:BD)</f>
        <v>8</v>
      </c>
      <c r="BB15">
        <f>SUMIF(DeadRaw!$B:$B,$A15,DeadRaw!BE:BE)</f>
        <v>21</v>
      </c>
      <c r="BC15">
        <f>SUMIF(DeadRaw!$B:$B,$A15,DeadRaw!BF:BF)</f>
        <v>21</v>
      </c>
      <c r="BD15">
        <f>SUMIF(DeadRaw!$B:$B,$A15,DeadRaw!BG:BG)</f>
        <v>56</v>
      </c>
      <c r="BE15">
        <f>SUMIF(DeadRaw!$B:$B,$A15,DeadRaw!BH:BH)</f>
        <v>56</v>
      </c>
      <c r="BF15">
        <f>SUMIF(DeadRaw!$B:$B,$A15,DeadRaw!BI:BI)</f>
        <v>72</v>
      </c>
      <c r="BG15">
        <f>SUMIF(DeadRaw!$B:$B,$A15,DeadRaw!BJ:BJ)</f>
        <v>138</v>
      </c>
      <c r="BH15">
        <f>SUMIF(DeadRaw!$B:$B,$A15,DeadRaw!BK:BK)</f>
        <v>178</v>
      </c>
      <c r="BI15">
        <f>SUMIF(DeadRaw!$B:$B,$A15,DeadRaw!BL:BL)</f>
        <v>0</v>
      </c>
      <c r="BJ15">
        <f>SUMIF(DeadRaw!$B:$B,$A15,DeadRaw!BM:BM)</f>
        <v>0</v>
      </c>
      <c r="BK15">
        <f>SUMIF(DeadRaw!$B:$B,$A15,DeadRaw!BN:BN)</f>
        <v>0</v>
      </c>
      <c r="BL15">
        <f>SUMIF(DeadRaw!$B:$B,$A15,DeadRaw!BO:BO)</f>
        <v>0</v>
      </c>
      <c r="BM15">
        <f>SUMIF(DeadRaw!$B:$B,$A15,DeadRaw!BP:BP)</f>
        <v>0</v>
      </c>
      <c r="BN15">
        <f>SUMIF(DeadRaw!$B:$B,$A15,DeadRaw!BQ:BQ)</f>
        <v>0</v>
      </c>
      <c r="BO15">
        <f>SUMIF(DeadRaw!$B:$B,$A15,DeadRaw!BR:BR)</f>
        <v>0</v>
      </c>
      <c r="BP15">
        <f>SUMIF(DeadRaw!$B:$B,$A15,DeadRaw!BS:BS)</f>
        <v>0</v>
      </c>
      <c r="BQ15">
        <f>SUMIF(DeadRaw!$B:$B,$A15,DeadRaw!BT:BT)</f>
        <v>0</v>
      </c>
      <c r="BR15">
        <f>SUMIF(DeadRaw!$B:$B,$A15,DeadRaw!BU:BU)</f>
        <v>0</v>
      </c>
      <c r="BS15">
        <f>SUMIF(DeadRaw!$B:$B,$A15,DeadRaw!BV:BV)</f>
        <v>0</v>
      </c>
      <c r="BT15">
        <f>SUMIF(DeadRaw!$B:$B,$A15,DeadRaw!BW:BW)</f>
        <v>0</v>
      </c>
    </row>
    <row r="16" spans="1:72" ht="15" thickBot="1" x14ac:dyDescent="0.35">
      <c r="A16" s="4" t="s">
        <v>36</v>
      </c>
      <c r="B16">
        <f>SUMIF(DeadRaw!$B:$B,$A16,DeadRaw!E:E)</f>
        <v>0</v>
      </c>
      <c r="C16">
        <f>SUMIF(DeadRaw!$B:$B,$A16,DeadRaw!F:F)</f>
        <v>0</v>
      </c>
      <c r="D16">
        <f>SUMIF(DeadRaw!$B:$B,$A16,DeadRaw!G:G)</f>
        <v>0</v>
      </c>
      <c r="E16">
        <f>SUMIF(DeadRaw!$B:$B,$A16,DeadRaw!H:H)</f>
        <v>0</v>
      </c>
      <c r="F16">
        <f>SUMIF(DeadRaw!$B:$B,$A16,DeadRaw!I:I)</f>
        <v>0</v>
      </c>
      <c r="G16">
        <f>SUMIF(DeadRaw!$B:$B,$A16,DeadRaw!J:J)</f>
        <v>0</v>
      </c>
      <c r="H16">
        <f>SUMIF(DeadRaw!$B:$B,$A16,DeadRaw!K:K)</f>
        <v>0</v>
      </c>
      <c r="I16">
        <f>SUMIF(DeadRaw!$B:$B,$A16,DeadRaw!L:L)</f>
        <v>0</v>
      </c>
      <c r="J16">
        <f>SUMIF(DeadRaw!$B:$B,$A16,DeadRaw!M:M)</f>
        <v>0</v>
      </c>
      <c r="K16">
        <f>SUMIF(DeadRaw!$B:$B,$A16,DeadRaw!N:N)</f>
        <v>0</v>
      </c>
      <c r="L16">
        <f>SUMIF(DeadRaw!$B:$B,$A16,DeadRaw!O:O)</f>
        <v>0</v>
      </c>
      <c r="M16">
        <f>SUMIF(DeadRaw!$B:$B,$A16,DeadRaw!P:P)</f>
        <v>0</v>
      </c>
      <c r="N16">
        <f>SUMIF(DeadRaw!$B:$B,$A16,DeadRaw!Q:Q)</f>
        <v>0</v>
      </c>
      <c r="O16">
        <f>SUMIF(DeadRaw!$B:$B,$A16,DeadRaw!R:R)</f>
        <v>0</v>
      </c>
      <c r="P16">
        <f>SUMIF(DeadRaw!$B:$B,$A16,DeadRaw!S:S)</f>
        <v>0</v>
      </c>
      <c r="Q16">
        <f>SUMIF(DeadRaw!$B:$B,$A16,DeadRaw!T:T)</f>
        <v>0</v>
      </c>
      <c r="R16">
        <f>SUMIF(DeadRaw!$B:$B,$A16,DeadRaw!U:U)</f>
        <v>0</v>
      </c>
      <c r="S16">
        <f>SUMIF(DeadRaw!$B:$B,$A16,DeadRaw!V:V)</f>
        <v>0</v>
      </c>
      <c r="T16">
        <f>SUMIF(DeadRaw!$B:$B,$A16,DeadRaw!W:W)</f>
        <v>0</v>
      </c>
      <c r="U16">
        <f>SUMIF(DeadRaw!$B:$B,$A16,DeadRaw!X:X)</f>
        <v>0</v>
      </c>
      <c r="V16">
        <f>SUMIF(DeadRaw!$B:$B,$A16,DeadRaw!Y:Y)</f>
        <v>0</v>
      </c>
      <c r="W16">
        <f>SUMIF(DeadRaw!$B:$B,$A16,DeadRaw!Z:Z)</f>
        <v>0</v>
      </c>
      <c r="X16">
        <f>SUMIF(DeadRaw!$B:$B,$A16,DeadRaw!AA:AA)</f>
        <v>1</v>
      </c>
      <c r="Y16">
        <f>SUMIF(DeadRaw!$B:$B,$A16,DeadRaw!AB:AB)</f>
        <v>1</v>
      </c>
      <c r="Z16">
        <f>SUMIF(DeadRaw!$B:$B,$A16,DeadRaw!AC:AC)</f>
        <v>1</v>
      </c>
      <c r="AA16">
        <f>SUMIF(DeadRaw!$B:$B,$A16,DeadRaw!AD:AD)</f>
        <v>1</v>
      </c>
      <c r="AB16">
        <f>SUMIF(DeadRaw!$B:$B,$A16,DeadRaw!AE:AE)</f>
        <v>1</v>
      </c>
      <c r="AC16">
        <f>SUMIF(DeadRaw!$B:$B,$A16,DeadRaw!AF:AF)</f>
        <v>1</v>
      </c>
      <c r="AD16">
        <f>SUMIF(DeadRaw!$B:$B,$A16,DeadRaw!AG:AG)</f>
        <v>1</v>
      </c>
      <c r="AE16">
        <f>SUMIF(DeadRaw!$B:$B,$A16,DeadRaw!AH:AH)</f>
        <v>1</v>
      </c>
      <c r="AF16">
        <f>SUMIF(DeadRaw!$B:$B,$A16,DeadRaw!AI:AI)</f>
        <v>1</v>
      </c>
      <c r="AG16">
        <f>SUMIF(DeadRaw!$B:$B,$A16,DeadRaw!AJ:AJ)</f>
        <v>1</v>
      </c>
      <c r="AH16">
        <f>SUMIF(DeadRaw!$B:$B,$A16,DeadRaw!AK:AK)</f>
        <v>1</v>
      </c>
      <c r="AI16">
        <f>SUMIF(DeadRaw!$B:$B,$A16,DeadRaw!AL:AL)</f>
        <v>1</v>
      </c>
      <c r="AJ16">
        <f>SUMIF(DeadRaw!$B:$B,$A16,DeadRaw!AM:AM)</f>
        <v>1</v>
      </c>
      <c r="AK16">
        <f>SUMIF(DeadRaw!$B:$B,$A16,DeadRaw!AN:AN)</f>
        <v>2</v>
      </c>
      <c r="AL16">
        <f>SUMIF(DeadRaw!$B:$B,$A16,DeadRaw!AO:AO)</f>
        <v>4</v>
      </c>
      <c r="AM16">
        <f>SUMIF(DeadRaw!$B:$B,$A16,DeadRaw!AP:AP)</f>
        <v>4</v>
      </c>
      <c r="AN16">
        <f>SUMIF(DeadRaw!$B:$B,$A16,DeadRaw!AQ:AQ)</f>
        <v>5</v>
      </c>
      <c r="AO16">
        <f>SUMIF(DeadRaw!$B:$B,$A16,DeadRaw!AR:AR)</f>
        <v>6</v>
      </c>
      <c r="AP16">
        <f>SUMIF(DeadRaw!$B:$B,$A16,DeadRaw!AS:AS)</f>
        <v>6</v>
      </c>
      <c r="AQ16">
        <f>SUMIF(DeadRaw!$B:$B,$A16,DeadRaw!AT:AT)</f>
        <v>6</v>
      </c>
      <c r="AR16">
        <f>SUMIF(DeadRaw!$B:$B,$A16,DeadRaw!AU:AU)</f>
        <v>6</v>
      </c>
      <c r="AS16">
        <f>SUMIF(DeadRaw!$B:$B,$A16,DeadRaw!AV:AV)</f>
        <v>6</v>
      </c>
      <c r="AT16">
        <f>SUMIF(DeadRaw!$B:$B,$A16,DeadRaw!AW:AW)</f>
        <v>6</v>
      </c>
      <c r="AU16">
        <f>SUMIF(DeadRaw!$B:$B,$A16,DeadRaw!AX:AX)</f>
        <v>6</v>
      </c>
      <c r="AV16">
        <f>SUMIF(DeadRaw!$B:$B,$A16,DeadRaw!AY:AY)</f>
        <v>6</v>
      </c>
      <c r="AW16">
        <f>SUMIF(DeadRaw!$B:$B,$A16,DeadRaw!AZ:AZ)</f>
        <v>10</v>
      </c>
      <c r="AX16">
        <f>SUMIF(DeadRaw!$B:$B,$A16,DeadRaw!BA:BA)</f>
        <v>10</v>
      </c>
      <c r="AY16">
        <f>SUMIF(DeadRaw!$B:$B,$A16,DeadRaw!BB:BB)</f>
        <v>15</v>
      </c>
      <c r="AZ16">
        <f>SUMIF(DeadRaw!$B:$B,$A16,DeadRaw!BC:BC)</f>
        <v>16</v>
      </c>
      <c r="BA16">
        <f>SUMIF(DeadRaw!$B:$B,$A16,DeadRaw!BD:BD)</f>
        <v>19</v>
      </c>
      <c r="BB16">
        <f>SUMIF(DeadRaw!$B:$B,$A16,DeadRaw!BE:BE)</f>
        <v>22</v>
      </c>
      <c r="BC16">
        <f>SUMIF(DeadRaw!$B:$B,$A16,DeadRaw!BF:BF)</f>
        <v>22</v>
      </c>
      <c r="BD16">
        <f>SUMIF(DeadRaw!$B:$B,$A16,DeadRaw!BG:BG)</f>
        <v>27</v>
      </c>
      <c r="BE16">
        <f>SUMIF(DeadRaw!$B:$B,$A16,DeadRaw!BH:BH)</f>
        <v>29</v>
      </c>
      <c r="BF16">
        <f>SUMIF(DeadRaw!$B:$B,$A16,DeadRaw!BI:BI)</f>
        <v>29</v>
      </c>
      <c r="BG16">
        <f>SUMIF(DeadRaw!$B:$B,$A16,DeadRaw!BJ:BJ)</f>
        <v>29</v>
      </c>
      <c r="BH16">
        <f>SUMIF(DeadRaw!$B:$B,$A16,DeadRaw!BK:BK)</f>
        <v>33</v>
      </c>
      <c r="BI16">
        <f>SUMIF(DeadRaw!$B:$B,$A16,DeadRaw!BL:BL)</f>
        <v>0</v>
      </c>
      <c r="BJ16">
        <f>SUMIF(DeadRaw!$B:$B,$A16,DeadRaw!BM:BM)</f>
        <v>0</v>
      </c>
      <c r="BK16">
        <f>SUMIF(DeadRaw!$B:$B,$A16,DeadRaw!BN:BN)</f>
        <v>0</v>
      </c>
      <c r="BL16">
        <f>SUMIF(DeadRaw!$B:$B,$A16,DeadRaw!BO:BO)</f>
        <v>0</v>
      </c>
      <c r="BM16">
        <f>SUMIF(DeadRaw!$B:$B,$A16,DeadRaw!BP:BP)</f>
        <v>0</v>
      </c>
      <c r="BN16">
        <f>SUMIF(DeadRaw!$B:$B,$A16,DeadRaw!BQ:BQ)</f>
        <v>0</v>
      </c>
      <c r="BO16">
        <f>SUMIF(DeadRaw!$B:$B,$A16,DeadRaw!BR:BR)</f>
        <v>0</v>
      </c>
      <c r="BP16">
        <f>SUMIF(DeadRaw!$B:$B,$A16,DeadRaw!BS:BS)</f>
        <v>0</v>
      </c>
      <c r="BQ16">
        <f>SUMIF(DeadRaw!$B:$B,$A16,DeadRaw!BT:BT)</f>
        <v>0</v>
      </c>
      <c r="BR16">
        <f>SUMIF(DeadRaw!$B:$B,$A16,DeadRaw!BU:BU)</f>
        <v>0</v>
      </c>
      <c r="BS16">
        <f>SUMIF(DeadRaw!$B:$B,$A16,DeadRaw!BV:BV)</f>
        <v>0</v>
      </c>
      <c r="BT16">
        <f>SUMIF(DeadRaw!$B:$B,$A16,DeadRaw!BW:BW)</f>
        <v>0</v>
      </c>
    </row>
    <row r="17" spans="1:72" ht="15" thickBot="1" x14ac:dyDescent="0.35">
      <c r="A17" s="4" t="s">
        <v>340</v>
      </c>
      <c r="B17">
        <f>SUMIF(DeadRaw!$B:$B,$A17,DeadRaw!E:E)</f>
        <v>0</v>
      </c>
      <c r="C17">
        <f>SUMIF(DeadRaw!$B:$B,$A17,DeadRaw!F:F)</f>
        <v>0</v>
      </c>
      <c r="D17">
        <f>SUMIF(DeadRaw!$B:$B,$A17,DeadRaw!G:G)</f>
        <v>0</v>
      </c>
      <c r="E17">
        <f>SUMIF(DeadRaw!$B:$B,$A17,DeadRaw!H:H)</f>
        <v>0</v>
      </c>
      <c r="F17">
        <f>SUMIF(DeadRaw!$B:$B,$A17,DeadRaw!I:I)</f>
        <v>0</v>
      </c>
      <c r="G17">
        <f>SUMIF(DeadRaw!$B:$B,$A17,DeadRaw!J:J)</f>
        <v>0</v>
      </c>
      <c r="H17">
        <f>SUMIF(DeadRaw!$B:$B,$A17,DeadRaw!K:K)</f>
        <v>0</v>
      </c>
      <c r="I17">
        <f>SUMIF(DeadRaw!$B:$B,$A17,DeadRaw!L:L)</f>
        <v>0</v>
      </c>
      <c r="J17">
        <f>SUMIF(DeadRaw!$B:$B,$A17,DeadRaw!M:M)</f>
        <v>0</v>
      </c>
      <c r="K17">
        <f>SUMIF(DeadRaw!$B:$B,$A17,DeadRaw!N:N)</f>
        <v>0</v>
      </c>
      <c r="L17">
        <f>SUMIF(DeadRaw!$B:$B,$A17,DeadRaw!O:O)</f>
        <v>0</v>
      </c>
      <c r="M17">
        <f>SUMIF(DeadRaw!$B:$B,$A17,DeadRaw!P:P)</f>
        <v>0</v>
      </c>
      <c r="N17">
        <f>SUMIF(DeadRaw!$B:$B,$A17,DeadRaw!Q:Q)</f>
        <v>0</v>
      </c>
      <c r="O17">
        <f>SUMIF(DeadRaw!$B:$B,$A17,DeadRaw!R:R)</f>
        <v>0</v>
      </c>
      <c r="P17">
        <f>SUMIF(DeadRaw!$B:$B,$A17,DeadRaw!S:S)</f>
        <v>0</v>
      </c>
      <c r="Q17">
        <f>SUMIF(DeadRaw!$B:$B,$A17,DeadRaw!T:T)</f>
        <v>0</v>
      </c>
      <c r="R17">
        <f>SUMIF(DeadRaw!$B:$B,$A17,DeadRaw!U:U)</f>
        <v>0</v>
      </c>
      <c r="S17">
        <f>SUMIF(DeadRaw!$B:$B,$A17,DeadRaw!V:V)</f>
        <v>0</v>
      </c>
      <c r="T17">
        <f>SUMIF(DeadRaw!$B:$B,$A17,DeadRaw!W:W)</f>
        <v>0</v>
      </c>
      <c r="U17">
        <f>SUMIF(DeadRaw!$B:$B,$A17,DeadRaw!X:X)</f>
        <v>0</v>
      </c>
      <c r="V17">
        <f>SUMIF(DeadRaw!$B:$B,$A17,DeadRaw!Y:Y)</f>
        <v>0</v>
      </c>
      <c r="W17">
        <f>SUMIF(DeadRaw!$B:$B,$A17,DeadRaw!Z:Z)</f>
        <v>0</v>
      </c>
      <c r="X17">
        <f>SUMIF(DeadRaw!$B:$B,$A17,DeadRaw!AA:AA)</f>
        <v>0</v>
      </c>
      <c r="Y17">
        <f>SUMIF(DeadRaw!$B:$B,$A17,DeadRaw!AB:AB)</f>
        <v>0</v>
      </c>
      <c r="Z17">
        <f>SUMIF(DeadRaw!$B:$B,$A17,DeadRaw!AC:AC)</f>
        <v>0</v>
      </c>
      <c r="AA17">
        <f>SUMIF(DeadRaw!$B:$B,$A17,DeadRaw!AD:AD)</f>
        <v>0</v>
      </c>
      <c r="AB17">
        <f>SUMIF(DeadRaw!$B:$B,$A17,DeadRaw!AE:AE)</f>
        <v>0</v>
      </c>
      <c r="AC17">
        <f>SUMIF(DeadRaw!$B:$B,$A17,DeadRaw!AF:AF)</f>
        <v>0</v>
      </c>
      <c r="AD17">
        <f>SUMIF(DeadRaw!$B:$B,$A17,DeadRaw!AG:AG)</f>
        <v>0</v>
      </c>
      <c r="AE17">
        <f>SUMIF(DeadRaw!$B:$B,$A17,DeadRaw!AH:AH)</f>
        <v>2</v>
      </c>
      <c r="AF17">
        <f>SUMIF(DeadRaw!$B:$B,$A17,DeadRaw!AI:AI)</f>
        <v>2</v>
      </c>
      <c r="AG17">
        <f>SUMIF(DeadRaw!$B:$B,$A17,DeadRaw!AJ:AJ)</f>
        <v>2</v>
      </c>
      <c r="AH17">
        <f>SUMIF(DeadRaw!$B:$B,$A17,DeadRaw!AK:AK)</f>
        <v>3</v>
      </c>
      <c r="AI17">
        <f>SUMIF(DeadRaw!$B:$B,$A17,DeadRaw!AL:AL)</f>
        <v>3</v>
      </c>
      <c r="AJ17">
        <f>SUMIF(DeadRaw!$B:$B,$A17,DeadRaw!AM:AM)</f>
        <v>3</v>
      </c>
      <c r="AK17">
        <f>SUMIF(DeadRaw!$B:$B,$A17,DeadRaw!AN:AN)</f>
        <v>4</v>
      </c>
      <c r="AL17">
        <f>SUMIF(DeadRaw!$B:$B,$A17,DeadRaw!AO:AO)</f>
        <v>4</v>
      </c>
      <c r="AM17">
        <f>SUMIF(DeadRaw!$B:$B,$A17,DeadRaw!AP:AP)</f>
        <v>6</v>
      </c>
      <c r="AN17">
        <f>SUMIF(DeadRaw!$B:$B,$A17,DeadRaw!AQ:AQ)</f>
        <v>6</v>
      </c>
      <c r="AO17">
        <f>SUMIF(DeadRaw!$B:$B,$A17,DeadRaw!AR:AR)</f>
        <v>6</v>
      </c>
      <c r="AP17">
        <f>SUMIF(DeadRaw!$B:$B,$A17,DeadRaw!AS:AS)</f>
        <v>6</v>
      </c>
      <c r="AQ17">
        <f>SUMIF(DeadRaw!$B:$B,$A17,DeadRaw!AT:AT)</f>
        <v>6</v>
      </c>
      <c r="AR17">
        <f>SUMIF(DeadRaw!$B:$B,$A17,DeadRaw!AU:AU)</f>
        <v>6</v>
      </c>
      <c r="AS17">
        <f>SUMIF(DeadRaw!$B:$B,$A17,DeadRaw!AV:AV)</f>
        <v>6</v>
      </c>
      <c r="AT17">
        <f>SUMIF(DeadRaw!$B:$B,$A17,DeadRaw!AW:AW)</f>
        <v>6</v>
      </c>
      <c r="AU17">
        <f>SUMIF(DeadRaw!$B:$B,$A17,DeadRaw!AX:AX)</f>
        <v>6</v>
      </c>
      <c r="AV17">
        <f>SUMIF(DeadRaw!$B:$B,$A17,DeadRaw!AY:AY)</f>
        <v>6</v>
      </c>
      <c r="AW17">
        <f>SUMIF(DeadRaw!$B:$B,$A17,DeadRaw!AZ:AZ)</f>
        <v>6</v>
      </c>
      <c r="AX17">
        <f>SUMIF(DeadRaw!$B:$B,$A17,DeadRaw!BA:BA)</f>
        <v>6</v>
      </c>
      <c r="AY17">
        <f>SUMIF(DeadRaw!$B:$B,$A17,DeadRaw!BB:BB)</f>
        <v>7</v>
      </c>
      <c r="AZ17">
        <f>SUMIF(DeadRaw!$B:$B,$A17,DeadRaw!BC:BC)</f>
        <v>7</v>
      </c>
      <c r="BA17">
        <f>SUMIF(DeadRaw!$B:$B,$A17,DeadRaw!BD:BD)</f>
        <v>7</v>
      </c>
      <c r="BB17">
        <f>SUMIF(DeadRaw!$B:$B,$A17,DeadRaw!BE:BE)</f>
        <v>7</v>
      </c>
      <c r="BC17">
        <f>SUMIF(DeadRaw!$B:$B,$A17,DeadRaw!BF:BF)</f>
        <v>7</v>
      </c>
      <c r="BD17">
        <f>SUMIF(DeadRaw!$B:$B,$A17,DeadRaw!BG:BG)</f>
        <v>7</v>
      </c>
      <c r="BE17">
        <f>SUMIF(DeadRaw!$B:$B,$A17,DeadRaw!BH:BH)</f>
        <v>7</v>
      </c>
      <c r="BF17">
        <f>SUMIF(DeadRaw!$B:$B,$A17,DeadRaw!BI:BI)</f>
        <v>7</v>
      </c>
      <c r="BG17">
        <f>SUMIF(DeadRaw!$B:$B,$A17,DeadRaw!BJ:BJ)</f>
        <v>7</v>
      </c>
      <c r="BH17">
        <f>SUMIF(DeadRaw!$B:$B,$A17,DeadRaw!BK:BK)</f>
        <v>7</v>
      </c>
      <c r="BI17">
        <f>SUMIF(DeadRaw!$B:$B,$A17,DeadRaw!BL:BL)</f>
        <v>0</v>
      </c>
      <c r="BJ17">
        <f>SUMIF(DeadRaw!$B:$B,$A17,DeadRaw!BM:BM)</f>
        <v>0</v>
      </c>
      <c r="BK17">
        <f>SUMIF(DeadRaw!$B:$B,$A17,DeadRaw!BN:BN)</f>
        <v>0</v>
      </c>
      <c r="BL17">
        <f>SUMIF(DeadRaw!$B:$B,$A17,DeadRaw!BO:BO)</f>
        <v>0</v>
      </c>
      <c r="BM17">
        <f>SUMIF(DeadRaw!$B:$B,$A17,DeadRaw!BP:BP)</f>
        <v>0</v>
      </c>
      <c r="BN17">
        <f>SUMIF(DeadRaw!$B:$B,$A17,DeadRaw!BQ:BQ)</f>
        <v>0</v>
      </c>
      <c r="BO17">
        <f>SUMIF(DeadRaw!$B:$B,$A17,DeadRaw!BR:BR)</f>
        <v>0</v>
      </c>
      <c r="BP17">
        <f>SUMIF(DeadRaw!$B:$B,$A17,DeadRaw!BS:BS)</f>
        <v>0</v>
      </c>
      <c r="BQ17">
        <f>SUMIF(DeadRaw!$B:$B,$A17,DeadRaw!BT:BT)</f>
        <v>0</v>
      </c>
      <c r="BR17">
        <f>SUMIF(DeadRaw!$B:$B,$A17,DeadRaw!BU:BU)</f>
        <v>0</v>
      </c>
      <c r="BS17">
        <f>SUMIF(DeadRaw!$B:$B,$A17,DeadRaw!BV:BV)</f>
        <v>0</v>
      </c>
      <c r="BT17">
        <f>SUMIF(DeadRaw!$B:$B,$A17,DeadRaw!BW:BW)</f>
        <v>0</v>
      </c>
    </row>
    <row r="18" spans="1:72" ht="15" thickBot="1" x14ac:dyDescent="0.35">
      <c r="A18" s="3" t="s">
        <v>63</v>
      </c>
      <c r="B18">
        <f>SUMIF(DeadRaw!$B:$B,$A18,DeadRaw!E:E)</f>
        <v>0</v>
      </c>
      <c r="C18">
        <f>SUMIF(DeadRaw!$B:$B,$A18,DeadRaw!F:F)</f>
        <v>0</v>
      </c>
      <c r="D18">
        <f>SUMIF(DeadRaw!$B:$B,$A18,DeadRaw!G:G)</f>
        <v>0</v>
      </c>
      <c r="E18">
        <f>SUMIF(DeadRaw!$B:$B,$A18,DeadRaw!H:H)</f>
        <v>0</v>
      </c>
      <c r="F18">
        <f>SUMIF(DeadRaw!$B:$B,$A18,DeadRaw!I:I)</f>
        <v>0</v>
      </c>
      <c r="G18">
        <f>SUMIF(DeadRaw!$B:$B,$A18,DeadRaw!J:J)</f>
        <v>0</v>
      </c>
      <c r="H18">
        <f>SUMIF(DeadRaw!$B:$B,$A18,DeadRaw!K:K)</f>
        <v>0</v>
      </c>
      <c r="I18">
        <f>SUMIF(DeadRaw!$B:$B,$A18,DeadRaw!L:L)</f>
        <v>0</v>
      </c>
      <c r="J18">
        <f>SUMIF(DeadRaw!$B:$B,$A18,DeadRaw!M:M)</f>
        <v>0</v>
      </c>
      <c r="K18">
        <f>SUMIF(DeadRaw!$B:$B,$A18,DeadRaw!N:N)</f>
        <v>0</v>
      </c>
      <c r="L18">
        <f>SUMIF(DeadRaw!$B:$B,$A18,DeadRaw!O:O)</f>
        <v>0</v>
      </c>
      <c r="M18">
        <f>SUMIF(DeadRaw!$B:$B,$A18,DeadRaw!P:P)</f>
        <v>0</v>
      </c>
      <c r="N18">
        <f>SUMIF(DeadRaw!$B:$B,$A18,DeadRaw!Q:Q)</f>
        <v>0</v>
      </c>
      <c r="O18">
        <f>SUMIF(DeadRaw!$B:$B,$A18,DeadRaw!R:R)</f>
        <v>0</v>
      </c>
      <c r="P18">
        <f>SUMIF(DeadRaw!$B:$B,$A18,DeadRaw!S:S)</f>
        <v>0</v>
      </c>
      <c r="Q18">
        <f>SUMIF(DeadRaw!$B:$B,$A18,DeadRaw!T:T)</f>
        <v>0</v>
      </c>
      <c r="R18">
        <f>SUMIF(DeadRaw!$B:$B,$A18,DeadRaw!U:U)</f>
        <v>0</v>
      </c>
      <c r="S18">
        <f>SUMIF(DeadRaw!$B:$B,$A18,DeadRaw!V:V)</f>
        <v>0</v>
      </c>
      <c r="T18">
        <f>SUMIF(DeadRaw!$B:$B,$A18,DeadRaw!W:W)</f>
        <v>0</v>
      </c>
      <c r="U18">
        <f>SUMIF(DeadRaw!$B:$B,$A18,DeadRaw!X:X)</f>
        <v>0</v>
      </c>
      <c r="V18">
        <f>SUMIF(DeadRaw!$B:$B,$A18,DeadRaw!Y:Y)</f>
        <v>0</v>
      </c>
      <c r="W18">
        <f>SUMIF(DeadRaw!$B:$B,$A18,DeadRaw!Z:Z)</f>
        <v>0</v>
      </c>
      <c r="X18">
        <f>SUMIF(DeadRaw!$B:$B,$A18,DeadRaw!AA:AA)</f>
        <v>0</v>
      </c>
      <c r="Y18">
        <f>SUMIF(DeadRaw!$B:$B,$A18,DeadRaw!AB:AB)</f>
        <v>0</v>
      </c>
      <c r="Z18">
        <f>SUMIF(DeadRaw!$B:$B,$A18,DeadRaw!AC:AC)</f>
        <v>0</v>
      </c>
      <c r="AA18">
        <f>SUMIF(DeadRaw!$B:$B,$A18,DeadRaw!AD:AD)</f>
        <v>0</v>
      </c>
      <c r="AB18">
        <f>SUMIF(DeadRaw!$B:$B,$A18,DeadRaw!AE:AE)</f>
        <v>0</v>
      </c>
      <c r="AC18">
        <f>SUMIF(DeadRaw!$B:$B,$A18,DeadRaw!AF:AF)</f>
        <v>0</v>
      </c>
      <c r="AD18">
        <f>SUMIF(DeadRaw!$B:$B,$A18,DeadRaw!AG:AG)</f>
        <v>0</v>
      </c>
      <c r="AE18">
        <f>SUMIF(DeadRaw!$B:$B,$A18,DeadRaw!AH:AH)</f>
        <v>0</v>
      </c>
      <c r="AF18">
        <f>SUMIF(DeadRaw!$B:$B,$A18,DeadRaw!AI:AI)</f>
        <v>0</v>
      </c>
      <c r="AG18">
        <f>SUMIF(DeadRaw!$B:$B,$A18,DeadRaw!AJ:AJ)</f>
        <v>0</v>
      </c>
      <c r="AH18">
        <f>SUMIF(DeadRaw!$B:$B,$A18,DeadRaw!AK:AK)</f>
        <v>0</v>
      </c>
      <c r="AI18">
        <f>SUMIF(DeadRaw!$B:$B,$A18,DeadRaw!AL:AL)</f>
        <v>0</v>
      </c>
      <c r="AJ18">
        <f>SUMIF(DeadRaw!$B:$B,$A18,DeadRaw!AM:AM)</f>
        <v>0</v>
      </c>
      <c r="AK18">
        <f>SUMIF(DeadRaw!$B:$B,$A18,DeadRaw!AN:AN)</f>
        <v>0</v>
      </c>
      <c r="AL18">
        <f>SUMIF(DeadRaw!$B:$B,$A18,DeadRaw!AO:AO)</f>
        <v>0</v>
      </c>
      <c r="AM18">
        <f>SUMIF(DeadRaw!$B:$B,$A18,DeadRaw!AP:AP)</f>
        <v>0</v>
      </c>
      <c r="AN18">
        <f>SUMIF(DeadRaw!$B:$B,$A18,DeadRaw!AQ:AQ)</f>
        <v>0</v>
      </c>
      <c r="AO18">
        <f>SUMIF(DeadRaw!$B:$B,$A18,DeadRaw!AR:AR)</f>
        <v>0</v>
      </c>
      <c r="AP18">
        <f>SUMIF(DeadRaw!$B:$B,$A18,DeadRaw!AS:AS)</f>
        <v>0</v>
      </c>
      <c r="AQ18">
        <f>SUMIF(DeadRaw!$B:$B,$A18,DeadRaw!AT:AT)</f>
        <v>0</v>
      </c>
      <c r="AR18">
        <f>SUMIF(DeadRaw!$B:$B,$A18,DeadRaw!AU:AU)</f>
        <v>0</v>
      </c>
      <c r="AS18">
        <f>SUMIF(DeadRaw!$B:$B,$A18,DeadRaw!AV:AV)</f>
        <v>0</v>
      </c>
      <c r="AT18">
        <f>SUMIF(DeadRaw!$B:$B,$A18,DeadRaw!AW:AW)</f>
        <v>0</v>
      </c>
      <c r="AU18">
        <f>SUMIF(DeadRaw!$B:$B,$A18,DeadRaw!AX:AX)</f>
        <v>0</v>
      </c>
      <c r="AV18">
        <f>SUMIF(DeadRaw!$B:$B,$A18,DeadRaw!AY:AY)</f>
        <v>0</v>
      </c>
      <c r="AW18">
        <f>SUMIF(DeadRaw!$B:$B,$A18,DeadRaw!AZ:AZ)</f>
        <v>0</v>
      </c>
      <c r="AX18">
        <f>SUMIF(DeadRaw!$B:$B,$A18,DeadRaw!BA:BA)</f>
        <v>0</v>
      </c>
      <c r="AY18">
        <f>SUMIF(DeadRaw!$B:$B,$A18,DeadRaw!BB:BB)</f>
        <v>3</v>
      </c>
      <c r="AZ18">
        <f>SUMIF(DeadRaw!$B:$B,$A18,DeadRaw!BC:BC)</f>
        <v>3</v>
      </c>
      <c r="BA18">
        <f>SUMIF(DeadRaw!$B:$B,$A18,DeadRaw!BD:BD)</f>
        <v>3</v>
      </c>
      <c r="BB18">
        <f>SUMIF(DeadRaw!$B:$B,$A18,DeadRaw!BE:BE)</f>
        <v>4</v>
      </c>
      <c r="BC18">
        <f>SUMIF(DeadRaw!$B:$B,$A18,DeadRaw!BF:BF)</f>
        <v>4</v>
      </c>
      <c r="BD18">
        <f>SUMIF(DeadRaw!$B:$B,$A18,DeadRaw!BG:BG)</f>
        <v>5</v>
      </c>
      <c r="BE18">
        <f>SUMIF(DeadRaw!$B:$B,$A18,DeadRaw!BH:BH)</f>
        <v>10</v>
      </c>
      <c r="BF18">
        <f>SUMIF(DeadRaw!$B:$B,$A18,DeadRaw!BI:BI)</f>
        <v>14</v>
      </c>
      <c r="BG18">
        <f>SUMIF(DeadRaw!$B:$B,$A18,DeadRaw!BJ:BJ)</f>
        <v>21</v>
      </c>
      <c r="BH18">
        <f>SUMIF(DeadRaw!$B:$B,$A18,DeadRaw!BK:BK)</f>
        <v>37</v>
      </c>
      <c r="BI18">
        <f>SUMIF(DeadRaw!$B:$B,$A18,DeadRaw!BL:BL)</f>
        <v>0</v>
      </c>
      <c r="BJ18">
        <f>SUMIF(DeadRaw!$B:$B,$A18,DeadRaw!BM:BM)</f>
        <v>0</v>
      </c>
      <c r="BK18">
        <f>SUMIF(DeadRaw!$B:$B,$A18,DeadRaw!BN:BN)</f>
        <v>0</v>
      </c>
      <c r="BL18">
        <f>SUMIF(DeadRaw!$B:$B,$A18,DeadRaw!BO:BO)</f>
        <v>0</v>
      </c>
      <c r="BM18">
        <f>SUMIF(DeadRaw!$B:$B,$A18,DeadRaw!BP:BP)</f>
        <v>0</v>
      </c>
      <c r="BN18">
        <f>SUMIF(DeadRaw!$B:$B,$A18,DeadRaw!BQ:BQ)</f>
        <v>0</v>
      </c>
      <c r="BO18">
        <f>SUMIF(DeadRaw!$B:$B,$A18,DeadRaw!BR:BR)</f>
        <v>0</v>
      </c>
      <c r="BP18">
        <f>SUMIF(DeadRaw!$B:$B,$A18,DeadRaw!BS:BS)</f>
        <v>0</v>
      </c>
      <c r="BQ18">
        <f>SUMIF(DeadRaw!$B:$B,$A18,DeadRaw!BT:BT)</f>
        <v>0</v>
      </c>
      <c r="BR18">
        <f>SUMIF(DeadRaw!$B:$B,$A18,DeadRaw!BU:BU)</f>
        <v>0</v>
      </c>
      <c r="BS18">
        <f>SUMIF(DeadRaw!$B:$B,$A18,DeadRaw!BV:BV)</f>
        <v>0</v>
      </c>
      <c r="BT18">
        <f>SUMIF(DeadRaw!$B:$B,$A18,DeadRaw!BW:BW)</f>
        <v>0</v>
      </c>
    </row>
    <row r="19" spans="1:72" ht="15" thickBot="1" x14ac:dyDescent="0.35">
      <c r="A19" s="3" t="s">
        <v>78</v>
      </c>
      <c r="B19">
        <f>SUMIF(DeadRaw!$B:$B,$A19,DeadRaw!E:E)</f>
        <v>0</v>
      </c>
      <c r="C19">
        <f>SUMIF(DeadRaw!$B:$B,$A19,DeadRaw!F:F)</f>
        <v>0</v>
      </c>
      <c r="D19">
        <f>SUMIF(DeadRaw!$B:$B,$A19,DeadRaw!G:G)</f>
        <v>0</v>
      </c>
      <c r="E19">
        <f>SUMIF(DeadRaw!$B:$B,$A19,DeadRaw!H:H)</f>
        <v>0</v>
      </c>
      <c r="F19">
        <f>SUMIF(DeadRaw!$B:$B,$A19,DeadRaw!I:I)</f>
        <v>0</v>
      </c>
      <c r="G19">
        <f>SUMIF(DeadRaw!$B:$B,$A19,DeadRaw!J:J)</f>
        <v>0</v>
      </c>
      <c r="H19">
        <f>SUMIF(DeadRaw!$B:$B,$A19,DeadRaw!K:K)</f>
        <v>0</v>
      </c>
      <c r="I19">
        <f>SUMIF(DeadRaw!$B:$B,$A19,DeadRaw!L:L)</f>
        <v>0</v>
      </c>
      <c r="J19">
        <f>SUMIF(DeadRaw!$B:$B,$A19,DeadRaw!M:M)</f>
        <v>0</v>
      </c>
      <c r="K19">
        <f>SUMIF(DeadRaw!$B:$B,$A19,DeadRaw!N:N)</f>
        <v>0</v>
      </c>
      <c r="L19">
        <f>SUMIF(DeadRaw!$B:$B,$A19,DeadRaw!O:O)</f>
        <v>0</v>
      </c>
      <c r="M19">
        <f>SUMIF(DeadRaw!$B:$B,$A19,DeadRaw!P:P)</f>
        <v>0</v>
      </c>
      <c r="N19">
        <f>SUMIF(DeadRaw!$B:$B,$A19,DeadRaw!Q:Q)</f>
        <v>0</v>
      </c>
      <c r="O19">
        <f>SUMIF(DeadRaw!$B:$B,$A19,DeadRaw!R:R)</f>
        <v>0</v>
      </c>
      <c r="P19">
        <f>SUMIF(DeadRaw!$B:$B,$A19,DeadRaw!S:S)</f>
        <v>0</v>
      </c>
      <c r="Q19">
        <f>SUMIF(DeadRaw!$B:$B,$A19,DeadRaw!T:T)</f>
        <v>0</v>
      </c>
      <c r="R19">
        <f>SUMIF(DeadRaw!$B:$B,$A19,DeadRaw!U:U)</f>
        <v>0</v>
      </c>
      <c r="S19">
        <f>SUMIF(DeadRaw!$B:$B,$A19,DeadRaw!V:V)</f>
        <v>0</v>
      </c>
      <c r="T19">
        <f>SUMIF(DeadRaw!$B:$B,$A19,DeadRaw!W:W)</f>
        <v>0</v>
      </c>
      <c r="U19">
        <f>SUMIF(DeadRaw!$B:$B,$A19,DeadRaw!X:X)</f>
        <v>0</v>
      </c>
      <c r="V19">
        <f>SUMIF(DeadRaw!$B:$B,$A19,DeadRaw!Y:Y)</f>
        <v>0</v>
      </c>
      <c r="W19">
        <f>SUMIF(DeadRaw!$B:$B,$A19,DeadRaw!Z:Z)</f>
        <v>0</v>
      </c>
      <c r="X19">
        <f>SUMIF(DeadRaw!$B:$B,$A19,DeadRaw!AA:AA)</f>
        <v>0</v>
      </c>
      <c r="Y19">
        <f>SUMIF(DeadRaw!$B:$B,$A19,DeadRaw!AB:AB)</f>
        <v>0</v>
      </c>
      <c r="Z19">
        <f>SUMIF(DeadRaw!$B:$B,$A19,DeadRaw!AC:AC)</f>
        <v>0</v>
      </c>
      <c r="AA19">
        <f>SUMIF(DeadRaw!$B:$B,$A19,DeadRaw!AD:AD)</f>
        <v>0</v>
      </c>
      <c r="AB19">
        <f>SUMIF(DeadRaw!$B:$B,$A19,DeadRaw!AE:AE)</f>
        <v>0</v>
      </c>
      <c r="AC19">
        <f>SUMIF(DeadRaw!$B:$B,$A19,DeadRaw!AF:AF)</f>
        <v>0</v>
      </c>
      <c r="AD19">
        <f>SUMIF(DeadRaw!$B:$B,$A19,DeadRaw!AG:AG)</f>
        <v>0</v>
      </c>
      <c r="AE19">
        <f>SUMIF(DeadRaw!$B:$B,$A19,DeadRaw!AH:AH)</f>
        <v>0</v>
      </c>
      <c r="AF19">
        <f>SUMIF(DeadRaw!$B:$B,$A19,DeadRaw!AI:AI)</f>
        <v>0</v>
      </c>
      <c r="AG19">
        <f>SUMIF(DeadRaw!$B:$B,$A19,DeadRaw!AJ:AJ)</f>
        <v>0</v>
      </c>
      <c r="AH19">
        <f>SUMIF(DeadRaw!$B:$B,$A19,DeadRaw!AK:AK)</f>
        <v>0</v>
      </c>
      <c r="AI19">
        <f>SUMIF(DeadRaw!$B:$B,$A19,DeadRaw!AL:AL)</f>
        <v>0</v>
      </c>
      <c r="AJ19">
        <f>SUMIF(DeadRaw!$B:$B,$A19,DeadRaw!AM:AM)</f>
        <v>0</v>
      </c>
      <c r="AK19">
        <f>SUMIF(DeadRaw!$B:$B,$A19,DeadRaw!AN:AN)</f>
        <v>0</v>
      </c>
      <c r="AL19">
        <f>SUMIF(DeadRaw!$B:$B,$A19,DeadRaw!AO:AO)</f>
        <v>0</v>
      </c>
      <c r="AM19">
        <f>SUMIF(DeadRaw!$B:$B,$A19,DeadRaw!AP:AP)</f>
        <v>0</v>
      </c>
      <c r="AN19">
        <f>SUMIF(DeadRaw!$B:$B,$A19,DeadRaw!AQ:AQ)</f>
        <v>0</v>
      </c>
      <c r="AO19">
        <f>SUMIF(DeadRaw!$B:$B,$A19,DeadRaw!AR:AR)</f>
        <v>0</v>
      </c>
      <c r="AP19">
        <f>SUMIF(DeadRaw!$B:$B,$A19,DeadRaw!AS:AS)</f>
        <v>0</v>
      </c>
      <c r="AQ19">
        <f>SUMIF(DeadRaw!$B:$B,$A19,DeadRaw!AT:AT)</f>
        <v>0</v>
      </c>
      <c r="AR19">
        <f>SUMIF(DeadRaw!$B:$B,$A19,DeadRaw!AU:AU)</f>
        <v>0</v>
      </c>
      <c r="AS19">
        <f>SUMIF(DeadRaw!$B:$B,$A19,DeadRaw!AV:AV)</f>
        <v>0</v>
      </c>
      <c r="AT19">
        <f>SUMIF(DeadRaw!$B:$B,$A19,DeadRaw!AW:AW)</f>
        <v>0</v>
      </c>
      <c r="AU19">
        <f>SUMIF(DeadRaw!$B:$B,$A19,DeadRaw!AX:AX)</f>
        <v>0</v>
      </c>
      <c r="AV19">
        <f>SUMIF(DeadRaw!$B:$B,$A19,DeadRaw!AY:AY)</f>
        <v>0</v>
      </c>
      <c r="AW19">
        <f>SUMIF(DeadRaw!$B:$B,$A19,DeadRaw!AZ:AZ)</f>
        <v>0</v>
      </c>
      <c r="AX19">
        <f>SUMIF(DeadRaw!$B:$B,$A19,DeadRaw!BA:BA)</f>
        <v>0</v>
      </c>
      <c r="AY19">
        <f>SUMIF(DeadRaw!$B:$B,$A19,DeadRaw!BB:BB)</f>
        <v>0</v>
      </c>
      <c r="AZ19">
        <f>SUMIF(DeadRaw!$B:$B,$A19,DeadRaw!BC:BC)</f>
        <v>1</v>
      </c>
      <c r="BA19">
        <f>SUMIF(DeadRaw!$B:$B,$A19,DeadRaw!BD:BD)</f>
        <v>1</v>
      </c>
      <c r="BB19">
        <f>SUMIF(DeadRaw!$B:$B,$A19,DeadRaw!BE:BE)</f>
        <v>1</v>
      </c>
      <c r="BC19">
        <f>SUMIF(DeadRaw!$B:$B,$A19,DeadRaw!BF:BF)</f>
        <v>1</v>
      </c>
      <c r="BD19">
        <f>SUMIF(DeadRaw!$B:$B,$A19,DeadRaw!BG:BG)</f>
        <v>3</v>
      </c>
      <c r="BE19">
        <f>SUMIF(DeadRaw!$B:$B,$A19,DeadRaw!BH:BH)</f>
        <v>3</v>
      </c>
      <c r="BF19">
        <f>SUMIF(DeadRaw!$B:$B,$A19,DeadRaw!BI:BI)</f>
        <v>4</v>
      </c>
      <c r="BG19">
        <f>SUMIF(DeadRaw!$B:$B,$A19,DeadRaw!BJ:BJ)</f>
        <v>6</v>
      </c>
      <c r="BH19">
        <f>SUMIF(DeadRaw!$B:$B,$A19,DeadRaw!BK:BK)</f>
        <v>6</v>
      </c>
      <c r="BI19">
        <f>SUMIF(DeadRaw!$B:$B,$A19,DeadRaw!BL:BL)</f>
        <v>0</v>
      </c>
      <c r="BJ19">
        <f>SUMIF(DeadRaw!$B:$B,$A19,DeadRaw!BM:BM)</f>
        <v>0</v>
      </c>
      <c r="BK19">
        <f>SUMIF(DeadRaw!$B:$B,$A19,DeadRaw!BN:BN)</f>
        <v>0</v>
      </c>
      <c r="BL19">
        <f>SUMIF(DeadRaw!$B:$B,$A19,DeadRaw!BO:BO)</f>
        <v>0</v>
      </c>
      <c r="BM19">
        <f>SUMIF(DeadRaw!$B:$B,$A19,DeadRaw!BP:BP)</f>
        <v>0</v>
      </c>
      <c r="BN19">
        <f>SUMIF(DeadRaw!$B:$B,$A19,DeadRaw!BQ:BQ)</f>
        <v>0</v>
      </c>
      <c r="BO19">
        <f>SUMIF(DeadRaw!$B:$B,$A19,DeadRaw!BR:BR)</f>
        <v>0</v>
      </c>
      <c r="BP19">
        <f>SUMIF(DeadRaw!$B:$B,$A19,DeadRaw!BS:BS)</f>
        <v>0</v>
      </c>
      <c r="BQ19">
        <f>SUMIF(DeadRaw!$B:$B,$A19,DeadRaw!BT:BT)</f>
        <v>0</v>
      </c>
      <c r="BR19">
        <f>SUMIF(DeadRaw!$B:$B,$A19,DeadRaw!BU:BU)</f>
        <v>0</v>
      </c>
      <c r="BS19">
        <f>SUMIF(DeadRaw!$B:$B,$A19,DeadRaw!BV:BV)</f>
        <v>0</v>
      </c>
      <c r="BT19">
        <f>SUMIF(DeadRaw!$B:$B,$A19,DeadRaw!BW:BW)</f>
        <v>0</v>
      </c>
    </row>
    <row r="20" spans="1:72" ht="15" thickBot="1" x14ac:dyDescent="0.35">
      <c r="A20" s="3" t="s">
        <v>101</v>
      </c>
      <c r="B20">
        <f>SUMIF(DeadRaw!$B:$B,$A20,DeadRaw!E:E)</f>
        <v>0</v>
      </c>
      <c r="C20">
        <f>SUMIF(DeadRaw!$B:$B,$A20,DeadRaw!F:F)</f>
        <v>0</v>
      </c>
      <c r="D20">
        <f>SUMIF(DeadRaw!$B:$B,$A20,DeadRaw!G:G)</f>
        <v>0</v>
      </c>
      <c r="E20">
        <f>SUMIF(DeadRaw!$B:$B,$A20,DeadRaw!H:H)</f>
        <v>0</v>
      </c>
      <c r="F20">
        <f>SUMIF(DeadRaw!$B:$B,$A20,DeadRaw!I:I)</f>
        <v>0</v>
      </c>
      <c r="G20">
        <f>SUMIF(DeadRaw!$B:$B,$A20,DeadRaw!J:J)</f>
        <v>0</v>
      </c>
      <c r="H20">
        <f>SUMIF(DeadRaw!$B:$B,$A20,DeadRaw!K:K)</f>
        <v>0</v>
      </c>
      <c r="I20">
        <f>SUMIF(DeadRaw!$B:$B,$A20,DeadRaw!L:L)</f>
        <v>0</v>
      </c>
      <c r="J20">
        <f>SUMIF(DeadRaw!$B:$B,$A20,DeadRaw!M:M)</f>
        <v>0</v>
      </c>
      <c r="K20">
        <f>SUMIF(DeadRaw!$B:$B,$A20,DeadRaw!N:N)</f>
        <v>0</v>
      </c>
      <c r="L20">
        <f>SUMIF(DeadRaw!$B:$B,$A20,DeadRaw!O:O)</f>
        <v>0</v>
      </c>
      <c r="M20">
        <f>SUMIF(DeadRaw!$B:$B,$A20,DeadRaw!P:P)</f>
        <v>0</v>
      </c>
      <c r="N20">
        <f>SUMIF(DeadRaw!$B:$B,$A20,DeadRaw!Q:Q)</f>
        <v>0</v>
      </c>
      <c r="O20">
        <f>SUMIF(DeadRaw!$B:$B,$A20,DeadRaw!R:R)</f>
        <v>0</v>
      </c>
      <c r="P20">
        <f>SUMIF(DeadRaw!$B:$B,$A20,DeadRaw!S:S)</f>
        <v>0</v>
      </c>
      <c r="Q20">
        <f>SUMIF(DeadRaw!$B:$B,$A20,DeadRaw!T:T)</f>
        <v>0</v>
      </c>
      <c r="R20">
        <f>SUMIF(DeadRaw!$B:$B,$A20,DeadRaw!U:U)</f>
        <v>0</v>
      </c>
      <c r="S20">
        <f>SUMIF(DeadRaw!$B:$B,$A20,DeadRaw!V:V)</f>
        <v>0</v>
      </c>
      <c r="T20">
        <f>SUMIF(DeadRaw!$B:$B,$A20,DeadRaw!W:W)</f>
        <v>0</v>
      </c>
      <c r="U20">
        <f>SUMIF(DeadRaw!$B:$B,$A20,DeadRaw!X:X)</f>
        <v>0</v>
      </c>
      <c r="V20">
        <f>SUMIF(DeadRaw!$B:$B,$A20,DeadRaw!Y:Y)</f>
        <v>0</v>
      </c>
      <c r="W20">
        <f>SUMIF(DeadRaw!$B:$B,$A20,DeadRaw!Z:Z)</f>
        <v>0</v>
      </c>
      <c r="X20">
        <f>SUMIF(DeadRaw!$B:$B,$A20,DeadRaw!AA:AA)</f>
        <v>0</v>
      </c>
      <c r="Y20">
        <f>SUMIF(DeadRaw!$B:$B,$A20,DeadRaw!AB:AB)</f>
        <v>0</v>
      </c>
      <c r="Z20">
        <f>SUMIF(DeadRaw!$B:$B,$A20,DeadRaw!AC:AC)</f>
        <v>0</v>
      </c>
      <c r="AA20">
        <f>SUMIF(DeadRaw!$B:$B,$A20,DeadRaw!AD:AD)</f>
        <v>0</v>
      </c>
      <c r="AB20">
        <f>SUMIF(DeadRaw!$B:$B,$A20,DeadRaw!AE:AE)</f>
        <v>0</v>
      </c>
      <c r="AC20">
        <f>SUMIF(DeadRaw!$B:$B,$A20,DeadRaw!AF:AF)</f>
        <v>0</v>
      </c>
      <c r="AD20">
        <f>SUMIF(DeadRaw!$B:$B,$A20,DeadRaw!AG:AG)</f>
        <v>0</v>
      </c>
      <c r="AE20">
        <f>SUMIF(DeadRaw!$B:$B,$A20,DeadRaw!AH:AH)</f>
        <v>0</v>
      </c>
      <c r="AF20">
        <f>SUMIF(DeadRaw!$B:$B,$A20,DeadRaw!AI:AI)</f>
        <v>0</v>
      </c>
      <c r="AG20">
        <f>SUMIF(DeadRaw!$B:$B,$A20,DeadRaw!AJ:AJ)</f>
        <v>0</v>
      </c>
      <c r="AH20">
        <f>SUMIF(DeadRaw!$B:$B,$A20,DeadRaw!AK:AK)</f>
        <v>0</v>
      </c>
      <c r="AI20">
        <f>SUMIF(DeadRaw!$B:$B,$A20,DeadRaw!AL:AL)</f>
        <v>0</v>
      </c>
      <c r="AJ20">
        <f>SUMIF(DeadRaw!$B:$B,$A20,DeadRaw!AM:AM)</f>
        <v>0</v>
      </c>
      <c r="AK20">
        <f>SUMIF(DeadRaw!$B:$B,$A20,DeadRaw!AN:AN)</f>
        <v>0</v>
      </c>
      <c r="AL20">
        <f>SUMIF(DeadRaw!$B:$B,$A20,DeadRaw!AO:AO)</f>
        <v>0</v>
      </c>
      <c r="AM20">
        <f>SUMIF(DeadRaw!$B:$B,$A20,DeadRaw!AP:AP)</f>
        <v>0</v>
      </c>
      <c r="AN20">
        <f>SUMIF(DeadRaw!$B:$B,$A20,DeadRaw!AQ:AQ)</f>
        <v>0</v>
      </c>
      <c r="AO20">
        <f>SUMIF(DeadRaw!$B:$B,$A20,DeadRaw!AR:AR)</f>
        <v>0</v>
      </c>
      <c r="AP20">
        <f>SUMIF(DeadRaw!$B:$B,$A20,DeadRaw!AS:AS)</f>
        <v>0</v>
      </c>
      <c r="AQ20">
        <f>SUMIF(DeadRaw!$B:$B,$A20,DeadRaw!AT:AT)</f>
        <v>0</v>
      </c>
      <c r="AR20">
        <f>SUMIF(DeadRaw!$B:$B,$A20,DeadRaw!AU:AU)</f>
        <v>0</v>
      </c>
      <c r="AS20">
        <f>SUMIF(DeadRaw!$B:$B,$A20,DeadRaw!AV:AV)</f>
        <v>0</v>
      </c>
      <c r="AT20">
        <f>SUMIF(DeadRaw!$B:$B,$A20,DeadRaw!AW:AW)</f>
        <v>0</v>
      </c>
      <c r="AU20">
        <f>SUMIF(DeadRaw!$B:$B,$A20,DeadRaw!AX:AX)</f>
        <v>0</v>
      </c>
      <c r="AV20">
        <f>SUMIF(DeadRaw!$B:$B,$A20,DeadRaw!AY:AY)</f>
        <v>0</v>
      </c>
      <c r="AW20">
        <f>SUMIF(DeadRaw!$B:$B,$A20,DeadRaw!AZ:AZ)</f>
        <v>0</v>
      </c>
      <c r="AX20">
        <f>SUMIF(DeadRaw!$B:$B,$A20,DeadRaw!BA:BA)</f>
        <v>0</v>
      </c>
      <c r="AY20">
        <f>SUMIF(DeadRaw!$B:$B,$A20,DeadRaw!BB:BB)</f>
        <v>0</v>
      </c>
      <c r="AZ20">
        <f>SUMIF(DeadRaw!$B:$B,$A20,DeadRaw!BC:BC)</f>
        <v>0</v>
      </c>
      <c r="BA20">
        <f>SUMIF(DeadRaw!$B:$B,$A20,DeadRaw!BD:BD)</f>
        <v>0</v>
      </c>
      <c r="BB20">
        <f>SUMIF(DeadRaw!$B:$B,$A20,DeadRaw!BE:BE)</f>
        <v>0</v>
      </c>
      <c r="BC20">
        <f>SUMIF(DeadRaw!$B:$B,$A20,DeadRaw!BF:BF)</f>
        <v>0</v>
      </c>
      <c r="BD20">
        <f>SUMIF(DeadRaw!$B:$B,$A20,DeadRaw!BG:BG)</f>
        <v>0</v>
      </c>
      <c r="BE20">
        <f>SUMIF(DeadRaw!$B:$B,$A20,DeadRaw!BH:BH)</f>
        <v>0</v>
      </c>
      <c r="BF20">
        <f>SUMIF(DeadRaw!$B:$B,$A20,DeadRaw!BI:BI)</f>
        <v>0</v>
      </c>
      <c r="BG20">
        <f>SUMIF(DeadRaw!$B:$B,$A20,DeadRaw!BJ:BJ)</f>
        <v>0</v>
      </c>
      <c r="BH20">
        <f>SUMIF(DeadRaw!$B:$B,$A20,DeadRaw!BK:BK)</f>
        <v>0</v>
      </c>
      <c r="BI20">
        <f>SUMIF(DeadRaw!$B:$B,$A20,DeadRaw!BL:BL)</f>
        <v>0</v>
      </c>
      <c r="BJ20">
        <f>SUMIF(DeadRaw!$B:$B,$A20,DeadRaw!BM:BM)</f>
        <v>0</v>
      </c>
      <c r="BK20">
        <f>SUMIF(DeadRaw!$B:$B,$A20,DeadRaw!BN:BN)</f>
        <v>0</v>
      </c>
      <c r="BL20">
        <f>SUMIF(DeadRaw!$B:$B,$A20,DeadRaw!BO:BO)</f>
        <v>0</v>
      </c>
      <c r="BM20">
        <f>SUMIF(DeadRaw!$B:$B,$A20,DeadRaw!BP:BP)</f>
        <v>0</v>
      </c>
      <c r="BN20">
        <f>SUMIF(DeadRaw!$B:$B,$A20,DeadRaw!BQ:BQ)</f>
        <v>0</v>
      </c>
      <c r="BO20">
        <f>SUMIF(DeadRaw!$B:$B,$A20,DeadRaw!BR:BR)</f>
        <v>0</v>
      </c>
      <c r="BP20">
        <f>SUMIF(DeadRaw!$B:$B,$A20,DeadRaw!BS:BS)</f>
        <v>0</v>
      </c>
      <c r="BQ20">
        <f>SUMIF(DeadRaw!$B:$B,$A20,DeadRaw!BT:BT)</f>
        <v>0</v>
      </c>
      <c r="BR20">
        <f>SUMIF(DeadRaw!$B:$B,$A20,DeadRaw!BU:BU)</f>
        <v>0</v>
      </c>
      <c r="BS20">
        <f>SUMIF(DeadRaw!$B:$B,$A20,DeadRaw!BV:BV)</f>
        <v>0</v>
      </c>
      <c r="BT20">
        <f>SUMIF(DeadRaw!$B:$B,$A20,DeadRaw!BW:BW)</f>
        <v>0</v>
      </c>
    </row>
    <row r="21" spans="1:72" ht="15" thickBot="1" x14ac:dyDescent="0.35">
      <c r="A21" s="3" t="s">
        <v>48</v>
      </c>
      <c r="B21">
        <f>SUMIF(DeadRaw!$B:$B,$A21,DeadRaw!E:E)</f>
        <v>0</v>
      </c>
      <c r="C21">
        <f>SUMIF(DeadRaw!$B:$B,$A21,DeadRaw!F:F)</f>
        <v>0</v>
      </c>
      <c r="D21">
        <f>SUMIF(DeadRaw!$B:$B,$A21,DeadRaw!G:G)</f>
        <v>0</v>
      </c>
      <c r="E21">
        <f>SUMIF(DeadRaw!$B:$B,$A21,DeadRaw!H:H)</f>
        <v>0</v>
      </c>
      <c r="F21">
        <f>SUMIF(DeadRaw!$B:$B,$A21,DeadRaw!I:I)</f>
        <v>0</v>
      </c>
      <c r="G21">
        <f>SUMIF(DeadRaw!$B:$B,$A21,DeadRaw!J:J)</f>
        <v>0</v>
      </c>
      <c r="H21">
        <f>SUMIF(DeadRaw!$B:$B,$A21,DeadRaw!K:K)</f>
        <v>0</v>
      </c>
      <c r="I21">
        <f>SUMIF(DeadRaw!$B:$B,$A21,DeadRaw!L:L)</f>
        <v>0</v>
      </c>
      <c r="J21">
        <f>SUMIF(DeadRaw!$B:$B,$A21,DeadRaw!M:M)</f>
        <v>0</v>
      </c>
      <c r="K21">
        <f>SUMIF(DeadRaw!$B:$B,$A21,DeadRaw!N:N)</f>
        <v>0</v>
      </c>
      <c r="L21">
        <f>SUMIF(DeadRaw!$B:$B,$A21,DeadRaw!O:O)</f>
        <v>0</v>
      </c>
      <c r="M21">
        <f>SUMIF(DeadRaw!$B:$B,$A21,DeadRaw!P:P)</f>
        <v>0</v>
      </c>
      <c r="N21">
        <f>SUMIF(DeadRaw!$B:$B,$A21,DeadRaw!Q:Q)</f>
        <v>0</v>
      </c>
      <c r="O21">
        <f>SUMIF(DeadRaw!$B:$B,$A21,DeadRaw!R:R)</f>
        <v>0</v>
      </c>
      <c r="P21">
        <f>SUMIF(DeadRaw!$B:$B,$A21,DeadRaw!S:S)</f>
        <v>0</v>
      </c>
      <c r="Q21">
        <f>SUMIF(DeadRaw!$B:$B,$A21,DeadRaw!T:T)</f>
        <v>0</v>
      </c>
      <c r="R21">
        <f>SUMIF(DeadRaw!$B:$B,$A21,DeadRaw!U:U)</f>
        <v>0</v>
      </c>
      <c r="S21">
        <f>SUMIF(DeadRaw!$B:$B,$A21,DeadRaw!V:V)</f>
        <v>0</v>
      </c>
      <c r="T21">
        <f>SUMIF(DeadRaw!$B:$B,$A21,DeadRaw!W:W)</f>
        <v>0</v>
      </c>
      <c r="U21">
        <f>SUMIF(DeadRaw!$B:$B,$A21,DeadRaw!X:X)</f>
        <v>0</v>
      </c>
      <c r="V21">
        <f>SUMIF(DeadRaw!$B:$B,$A21,DeadRaw!Y:Y)</f>
        <v>0</v>
      </c>
      <c r="W21">
        <f>SUMIF(DeadRaw!$B:$B,$A21,DeadRaw!Z:Z)</f>
        <v>0</v>
      </c>
      <c r="X21">
        <f>SUMIF(DeadRaw!$B:$B,$A21,DeadRaw!AA:AA)</f>
        <v>0</v>
      </c>
      <c r="Y21">
        <f>SUMIF(DeadRaw!$B:$B,$A21,DeadRaw!AB:AB)</f>
        <v>0</v>
      </c>
      <c r="Z21">
        <f>SUMIF(DeadRaw!$B:$B,$A21,DeadRaw!AC:AC)</f>
        <v>0</v>
      </c>
      <c r="AA21">
        <f>SUMIF(DeadRaw!$B:$B,$A21,DeadRaw!AD:AD)</f>
        <v>0</v>
      </c>
      <c r="AB21">
        <f>SUMIF(DeadRaw!$B:$B,$A21,DeadRaw!AE:AE)</f>
        <v>0</v>
      </c>
      <c r="AC21">
        <f>SUMIF(DeadRaw!$B:$B,$A21,DeadRaw!AF:AF)</f>
        <v>0</v>
      </c>
      <c r="AD21">
        <f>SUMIF(DeadRaw!$B:$B,$A21,DeadRaw!AG:AG)</f>
        <v>0</v>
      </c>
      <c r="AE21">
        <f>SUMIF(DeadRaw!$B:$B,$A21,DeadRaw!AH:AH)</f>
        <v>0</v>
      </c>
      <c r="AF21">
        <f>SUMIF(DeadRaw!$B:$B,$A21,DeadRaw!AI:AI)</f>
        <v>0</v>
      </c>
      <c r="AG21">
        <f>SUMIF(DeadRaw!$B:$B,$A21,DeadRaw!AJ:AJ)</f>
        <v>0</v>
      </c>
      <c r="AH21">
        <f>SUMIF(DeadRaw!$B:$B,$A21,DeadRaw!AK:AK)</f>
        <v>0</v>
      </c>
      <c r="AI21">
        <f>SUMIF(DeadRaw!$B:$B,$A21,DeadRaw!AL:AL)</f>
        <v>0</v>
      </c>
      <c r="AJ21">
        <f>SUMIF(DeadRaw!$B:$B,$A21,DeadRaw!AM:AM)</f>
        <v>0</v>
      </c>
      <c r="AK21">
        <f>SUMIF(DeadRaw!$B:$B,$A21,DeadRaw!AN:AN)</f>
        <v>0</v>
      </c>
      <c r="AL21">
        <f>SUMIF(DeadRaw!$B:$B,$A21,DeadRaw!AO:AO)</f>
        <v>0</v>
      </c>
      <c r="AM21">
        <f>SUMIF(DeadRaw!$B:$B,$A21,DeadRaw!AP:AP)</f>
        <v>0</v>
      </c>
      <c r="AN21">
        <f>SUMIF(DeadRaw!$B:$B,$A21,DeadRaw!AQ:AQ)</f>
        <v>0</v>
      </c>
      <c r="AO21">
        <f>SUMIF(DeadRaw!$B:$B,$A21,DeadRaw!AR:AR)</f>
        <v>1</v>
      </c>
      <c r="AP21">
        <f>SUMIF(DeadRaw!$B:$B,$A21,DeadRaw!AS:AS)</f>
        <v>1</v>
      </c>
      <c r="AQ21">
        <f>SUMIF(DeadRaw!$B:$B,$A21,DeadRaw!AT:AT)</f>
        <v>1</v>
      </c>
      <c r="AR21">
        <f>SUMIF(DeadRaw!$B:$B,$A21,DeadRaw!AU:AU)</f>
        <v>2</v>
      </c>
      <c r="AS21">
        <f>SUMIF(DeadRaw!$B:$B,$A21,DeadRaw!AV:AV)</f>
        <v>2</v>
      </c>
      <c r="AT21">
        <f>SUMIF(DeadRaw!$B:$B,$A21,DeadRaw!AW:AW)</f>
        <v>2</v>
      </c>
      <c r="AU21">
        <f>SUMIF(DeadRaw!$B:$B,$A21,DeadRaw!AX:AX)</f>
        <v>2</v>
      </c>
      <c r="AV21">
        <f>SUMIF(DeadRaw!$B:$B,$A21,DeadRaw!AY:AY)</f>
        <v>3</v>
      </c>
      <c r="AW21">
        <f>SUMIF(DeadRaw!$B:$B,$A21,DeadRaw!AZ:AZ)</f>
        <v>3</v>
      </c>
      <c r="AX21">
        <f>SUMIF(DeadRaw!$B:$B,$A21,DeadRaw!BA:BA)</f>
        <v>3</v>
      </c>
      <c r="AY21">
        <f>SUMIF(DeadRaw!$B:$B,$A21,DeadRaw!BB:BB)</f>
        <v>3</v>
      </c>
      <c r="AZ21">
        <f>SUMIF(DeadRaw!$B:$B,$A21,DeadRaw!BC:BC)</f>
        <v>3</v>
      </c>
      <c r="BA21">
        <f>SUMIF(DeadRaw!$B:$B,$A21,DeadRaw!BD:BD)</f>
        <v>3</v>
      </c>
      <c r="BB21">
        <f>SUMIF(DeadRaw!$B:$B,$A21,DeadRaw!BE:BE)</f>
        <v>3</v>
      </c>
      <c r="BC21">
        <f>SUMIF(DeadRaw!$B:$B,$A21,DeadRaw!BF:BF)</f>
        <v>3</v>
      </c>
      <c r="BD21">
        <f>SUMIF(DeadRaw!$B:$B,$A21,DeadRaw!BG:BG)</f>
        <v>3</v>
      </c>
      <c r="BE21">
        <f>SUMIF(DeadRaw!$B:$B,$A21,DeadRaw!BH:BH)</f>
        <v>5</v>
      </c>
      <c r="BF21">
        <f>SUMIF(DeadRaw!$B:$B,$A21,DeadRaw!BI:BI)</f>
        <v>6</v>
      </c>
      <c r="BG21">
        <f>SUMIF(DeadRaw!$B:$B,$A21,DeadRaw!BJ:BJ)</f>
        <v>6</v>
      </c>
      <c r="BH21">
        <f>SUMIF(DeadRaw!$B:$B,$A21,DeadRaw!BK:BK)</f>
        <v>7</v>
      </c>
      <c r="BI21">
        <f>SUMIF(DeadRaw!$B:$B,$A21,DeadRaw!BL:BL)</f>
        <v>0</v>
      </c>
      <c r="BJ21">
        <f>SUMIF(DeadRaw!$B:$B,$A21,DeadRaw!BM:BM)</f>
        <v>0</v>
      </c>
      <c r="BK21">
        <f>SUMIF(DeadRaw!$B:$B,$A21,DeadRaw!BN:BN)</f>
        <v>0</v>
      </c>
      <c r="BL21">
        <f>SUMIF(DeadRaw!$B:$B,$A21,DeadRaw!BO:BO)</f>
        <v>0</v>
      </c>
      <c r="BM21">
        <f>SUMIF(DeadRaw!$B:$B,$A21,DeadRaw!BP:BP)</f>
        <v>0</v>
      </c>
      <c r="BN21">
        <f>SUMIF(DeadRaw!$B:$B,$A21,DeadRaw!BQ:BQ)</f>
        <v>0</v>
      </c>
      <c r="BO21">
        <f>SUMIF(DeadRaw!$B:$B,$A21,DeadRaw!BR:BR)</f>
        <v>0</v>
      </c>
      <c r="BP21">
        <f>SUMIF(DeadRaw!$B:$B,$A21,DeadRaw!BS:BS)</f>
        <v>0</v>
      </c>
      <c r="BQ21">
        <f>SUMIF(DeadRaw!$B:$B,$A21,DeadRaw!BT:BT)</f>
        <v>0</v>
      </c>
      <c r="BR21">
        <f>SUMIF(DeadRaw!$B:$B,$A21,DeadRaw!BU:BU)</f>
        <v>0</v>
      </c>
      <c r="BS21">
        <f>SUMIF(DeadRaw!$B:$B,$A21,DeadRaw!BV:BV)</f>
        <v>0</v>
      </c>
      <c r="BT21">
        <f>SUMIF(DeadRaw!$B:$B,$A21,DeadRaw!BW:BW)</f>
        <v>0</v>
      </c>
    </row>
    <row r="22" spans="1:72" ht="15" thickBot="1" x14ac:dyDescent="0.35">
      <c r="A22" s="3" t="s">
        <v>40</v>
      </c>
      <c r="B22">
        <f>SUMIF(DeadRaw!$B:$B,$A22,DeadRaw!E:E)</f>
        <v>0</v>
      </c>
      <c r="C22">
        <f>SUMIF(DeadRaw!$B:$B,$A22,DeadRaw!F:F)</f>
        <v>0</v>
      </c>
      <c r="D22">
        <f>SUMIF(DeadRaw!$B:$B,$A22,DeadRaw!G:G)</f>
        <v>0</v>
      </c>
      <c r="E22">
        <f>SUMIF(DeadRaw!$B:$B,$A22,DeadRaw!H:H)</f>
        <v>0</v>
      </c>
      <c r="F22">
        <f>SUMIF(DeadRaw!$B:$B,$A22,DeadRaw!I:I)</f>
        <v>0</v>
      </c>
      <c r="G22">
        <f>SUMIF(DeadRaw!$B:$B,$A22,DeadRaw!J:J)</f>
        <v>0</v>
      </c>
      <c r="H22">
        <f>SUMIF(DeadRaw!$B:$B,$A22,DeadRaw!K:K)</f>
        <v>0</v>
      </c>
      <c r="I22">
        <f>SUMIF(DeadRaw!$B:$B,$A22,DeadRaw!L:L)</f>
        <v>0</v>
      </c>
      <c r="J22">
        <f>SUMIF(DeadRaw!$B:$B,$A22,DeadRaw!M:M)</f>
        <v>0</v>
      </c>
      <c r="K22">
        <f>SUMIF(DeadRaw!$B:$B,$A22,DeadRaw!N:N)</f>
        <v>0</v>
      </c>
      <c r="L22">
        <f>SUMIF(DeadRaw!$B:$B,$A22,DeadRaw!O:O)</f>
        <v>0</v>
      </c>
      <c r="M22">
        <f>SUMIF(DeadRaw!$B:$B,$A22,DeadRaw!P:P)</f>
        <v>0</v>
      </c>
      <c r="N22">
        <f>SUMIF(DeadRaw!$B:$B,$A22,DeadRaw!Q:Q)</f>
        <v>0</v>
      </c>
      <c r="O22">
        <f>SUMIF(DeadRaw!$B:$B,$A22,DeadRaw!R:R)</f>
        <v>0</v>
      </c>
      <c r="P22">
        <f>SUMIF(DeadRaw!$B:$B,$A22,DeadRaw!S:S)</f>
        <v>0</v>
      </c>
      <c r="Q22">
        <f>SUMIF(DeadRaw!$B:$B,$A22,DeadRaw!T:T)</f>
        <v>0</v>
      </c>
      <c r="R22">
        <f>SUMIF(DeadRaw!$B:$B,$A22,DeadRaw!U:U)</f>
        <v>0</v>
      </c>
      <c r="S22">
        <f>SUMIF(DeadRaw!$B:$B,$A22,DeadRaw!V:V)</f>
        <v>0</v>
      </c>
      <c r="T22">
        <f>SUMIF(DeadRaw!$B:$B,$A22,DeadRaw!W:W)</f>
        <v>0</v>
      </c>
      <c r="U22">
        <f>SUMIF(DeadRaw!$B:$B,$A22,DeadRaw!X:X)</f>
        <v>0</v>
      </c>
      <c r="V22">
        <f>SUMIF(DeadRaw!$B:$B,$A22,DeadRaw!Y:Y)</f>
        <v>0</v>
      </c>
      <c r="W22">
        <f>SUMIF(DeadRaw!$B:$B,$A22,DeadRaw!Z:Z)</f>
        <v>0</v>
      </c>
      <c r="X22">
        <f>SUMIF(DeadRaw!$B:$B,$A22,DeadRaw!AA:AA)</f>
        <v>0</v>
      </c>
      <c r="Y22">
        <f>SUMIF(DeadRaw!$B:$B,$A22,DeadRaw!AB:AB)</f>
        <v>0</v>
      </c>
      <c r="Z22">
        <f>SUMIF(DeadRaw!$B:$B,$A22,DeadRaw!AC:AC)</f>
        <v>0</v>
      </c>
      <c r="AA22">
        <f>SUMIF(DeadRaw!$B:$B,$A22,DeadRaw!AD:AD)</f>
        <v>0</v>
      </c>
      <c r="AB22">
        <f>SUMIF(DeadRaw!$B:$B,$A22,DeadRaw!AE:AE)</f>
        <v>0</v>
      </c>
      <c r="AC22">
        <f>SUMIF(DeadRaw!$B:$B,$A22,DeadRaw!AF:AF)</f>
        <v>0</v>
      </c>
      <c r="AD22">
        <f>SUMIF(DeadRaw!$B:$B,$A22,DeadRaw!AG:AG)</f>
        <v>0</v>
      </c>
      <c r="AE22">
        <f>SUMIF(DeadRaw!$B:$B,$A22,DeadRaw!AH:AH)</f>
        <v>0</v>
      </c>
      <c r="AF22">
        <f>SUMIF(DeadRaw!$B:$B,$A22,DeadRaw!AI:AI)</f>
        <v>0</v>
      </c>
      <c r="AG22">
        <f>SUMIF(DeadRaw!$B:$B,$A22,DeadRaw!AJ:AJ)</f>
        <v>0</v>
      </c>
      <c r="AH22">
        <f>SUMIF(DeadRaw!$B:$B,$A22,DeadRaw!AK:AK)</f>
        <v>0</v>
      </c>
      <c r="AI22">
        <f>SUMIF(DeadRaw!$B:$B,$A22,DeadRaw!AL:AL)</f>
        <v>0</v>
      </c>
      <c r="AJ22">
        <f>SUMIF(DeadRaw!$B:$B,$A22,DeadRaw!AM:AM)</f>
        <v>0</v>
      </c>
      <c r="AK22">
        <f>SUMIF(DeadRaw!$B:$B,$A22,DeadRaw!AN:AN)</f>
        <v>0</v>
      </c>
      <c r="AL22">
        <f>SUMIF(DeadRaw!$B:$B,$A22,DeadRaw!AO:AO)</f>
        <v>0</v>
      </c>
      <c r="AM22">
        <f>SUMIF(DeadRaw!$B:$B,$A22,DeadRaw!AP:AP)</f>
        <v>0</v>
      </c>
      <c r="AN22">
        <f>SUMIF(DeadRaw!$B:$B,$A22,DeadRaw!AQ:AQ)</f>
        <v>0</v>
      </c>
      <c r="AO22">
        <f>SUMIF(DeadRaw!$B:$B,$A22,DeadRaw!AR:AR)</f>
        <v>0</v>
      </c>
      <c r="AP22">
        <f>SUMIF(DeadRaw!$B:$B,$A22,DeadRaw!AS:AS)</f>
        <v>0</v>
      </c>
      <c r="AQ22">
        <f>SUMIF(DeadRaw!$B:$B,$A22,DeadRaw!AT:AT)</f>
        <v>0</v>
      </c>
      <c r="AR22">
        <f>SUMIF(DeadRaw!$B:$B,$A22,DeadRaw!AU:AU)</f>
        <v>0</v>
      </c>
      <c r="AS22">
        <f>SUMIF(DeadRaw!$B:$B,$A22,DeadRaw!AV:AV)</f>
        <v>0</v>
      </c>
      <c r="AT22">
        <f>SUMIF(DeadRaw!$B:$B,$A22,DeadRaw!AW:AW)</f>
        <v>0</v>
      </c>
      <c r="AU22">
        <f>SUMIF(DeadRaw!$B:$B,$A22,DeadRaw!AX:AX)</f>
        <v>0</v>
      </c>
      <c r="AV22">
        <f>SUMIF(DeadRaw!$B:$B,$A22,DeadRaw!AY:AY)</f>
        <v>0</v>
      </c>
      <c r="AW22">
        <f>SUMIF(DeadRaw!$B:$B,$A22,DeadRaw!AZ:AZ)</f>
        <v>0</v>
      </c>
      <c r="AX22">
        <f>SUMIF(DeadRaw!$B:$B,$A22,DeadRaw!BA:BA)</f>
        <v>0</v>
      </c>
      <c r="AY22">
        <f>SUMIF(DeadRaw!$B:$B,$A22,DeadRaw!BB:BB)</f>
        <v>0</v>
      </c>
      <c r="AZ22">
        <f>SUMIF(DeadRaw!$B:$B,$A22,DeadRaw!BC:BC)</f>
        <v>0</v>
      </c>
      <c r="BA22">
        <f>SUMIF(DeadRaw!$B:$B,$A22,DeadRaw!BD:BD)</f>
        <v>0</v>
      </c>
      <c r="BB22">
        <f>SUMIF(DeadRaw!$B:$B,$A22,DeadRaw!BE:BE)</f>
        <v>0</v>
      </c>
      <c r="BC22">
        <f>SUMIF(DeadRaw!$B:$B,$A22,DeadRaw!BF:BF)</f>
        <v>0</v>
      </c>
      <c r="BD22">
        <f>SUMIF(DeadRaw!$B:$B,$A22,DeadRaw!BG:BG)</f>
        <v>0</v>
      </c>
      <c r="BE22">
        <f>SUMIF(DeadRaw!$B:$B,$A22,DeadRaw!BH:BH)</f>
        <v>0</v>
      </c>
      <c r="BF22">
        <f>SUMIF(DeadRaw!$B:$B,$A22,DeadRaw!BI:BI)</f>
        <v>0</v>
      </c>
      <c r="BG22">
        <f>SUMIF(DeadRaw!$B:$B,$A22,DeadRaw!BJ:BJ)</f>
        <v>0</v>
      </c>
      <c r="BH22">
        <f>SUMIF(DeadRaw!$B:$B,$A22,DeadRaw!BK:BK)</f>
        <v>0</v>
      </c>
      <c r="BI22">
        <f>SUMIF(DeadRaw!$B:$B,$A22,DeadRaw!BL:BL)</f>
        <v>0</v>
      </c>
      <c r="BJ22">
        <f>SUMIF(DeadRaw!$B:$B,$A22,DeadRaw!BM:BM)</f>
        <v>0</v>
      </c>
      <c r="BK22">
        <f>SUMIF(DeadRaw!$B:$B,$A22,DeadRaw!BN:BN)</f>
        <v>0</v>
      </c>
      <c r="BL22">
        <f>SUMIF(DeadRaw!$B:$B,$A22,DeadRaw!BO:BO)</f>
        <v>0</v>
      </c>
      <c r="BM22">
        <f>SUMIF(DeadRaw!$B:$B,$A22,DeadRaw!BP:BP)</f>
        <v>0</v>
      </c>
      <c r="BN22">
        <f>SUMIF(DeadRaw!$B:$B,$A22,DeadRaw!BQ:BQ)</f>
        <v>0</v>
      </c>
      <c r="BO22">
        <f>SUMIF(DeadRaw!$B:$B,$A22,DeadRaw!BR:BR)</f>
        <v>0</v>
      </c>
      <c r="BP22">
        <f>SUMIF(DeadRaw!$B:$B,$A22,DeadRaw!BS:BS)</f>
        <v>0</v>
      </c>
      <c r="BQ22">
        <f>SUMIF(DeadRaw!$B:$B,$A22,DeadRaw!BT:BT)</f>
        <v>0</v>
      </c>
      <c r="BR22">
        <f>SUMIF(DeadRaw!$B:$B,$A22,DeadRaw!BU:BU)</f>
        <v>0</v>
      </c>
      <c r="BS22">
        <f>SUMIF(DeadRaw!$B:$B,$A22,DeadRaw!BV:BV)</f>
        <v>0</v>
      </c>
      <c r="BT22">
        <f>SUMIF(DeadRaw!$B:$B,$A22,DeadRaw!BW:BW)</f>
        <v>0</v>
      </c>
    </row>
    <row r="23" spans="1:72" ht="15" thickBot="1" x14ac:dyDescent="0.35">
      <c r="A23" s="3" t="s">
        <v>43</v>
      </c>
      <c r="B23">
        <f>SUMIF(DeadRaw!$B:$B,$A23,DeadRaw!E:E)</f>
        <v>0</v>
      </c>
      <c r="C23">
        <f>SUMIF(DeadRaw!$B:$B,$A23,DeadRaw!F:F)</f>
        <v>0</v>
      </c>
      <c r="D23">
        <f>SUMIF(DeadRaw!$B:$B,$A23,DeadRaw!G:G)</f>
        <v>0</v>
      </c>
      <c r="E23">
        <f>SUMIF(DeadRaw!$B:$B,$A23,DeadRaw!H:H)</f>
        <v>0</v>
      </c>
      <c r="F23">
        <f>SUMIF(DeadRaw!$B:$B,$A23,DeadRaw!I:I)</f>
        <v>0</v>
      </c>
      <c r="G23">
        <f>SUMIF(DeadRaw!$B:$B,$A23,DeadRaw!J:J)</f>
        <v>0</v>
      </c>
      <c r="H23">
        <f>SUMIF(DeadRaw!$B:$B,$A23,DeadRaw!K:K)</f>
        <v>0</v>
      </c>
      <c r="I23">
        <f>SUMIF(DeadRaw!$B:$B,$A23,DeadRaw!L:L)</f>
        <v>0</v>
      </c>
      <c r="J23">
        <f>SUMIF(DeadRaw!$B:$B,$A23,DeadRaw!M:M)</f>
        <v>0</v>
      </c>
      <c r="K23">
        <f>SUMIF(DeadRaw!$B:$B,$A23,DeadRaw!N:N)</f>
        <v>0</v>
      </c>
      <c r="L23">
        <f>SUMIF(DeadRaw!$B:$B,$A23,DeadRaw!O:O)</f>
        <v>0</v>
      </c>
      <c r="M23">
        <f>SUMIF(DeadRaw!$B:$B,$A23,DeadRaw!P:P)</f>
        <v>0</v>
      </c>
      <c r="N23">
        <f>SUMIF(DeadRaw!$B:$B,$A23,DeadRaw!Q:Q)</f>
        <v>0</v>
      </c>
      <c r="O23">
        <f>SUMIF(DeadRaw!$B:$B,$A23,DeadRaw!R:R)</f>
        <v>0</v>
      </c>
      <c r="P23">
        <f>SUMIF(DeadRaw!$B:$B,$A23,DeadRaw!S:S)</f>
        <v>0</v>
      </c>
      <c r="Q23">
        <f>SUMIF(DeadRaw!$B:$B,$A23,DeadRaw!T:T)</f>
        <v>0</v>
      </c>
      <c r="R23">
        <f>SUMIF(DeadRaw!$B:$B,$A23,DeadRaw!U:U)</f>
        <v>0</v>
      </c>
      <c r="S23">
        <f>SUMIF(DeadRaw!$B:$B,$A23,DeadRaw!V:V)</f>
        <v>0</v>
      </c>
      <c r="T23">
        <f>SUMIF(DeadRaw!$B:$B,$A23,DeadRaw!W:W)</f>
        <v>0</v>
      </c>
      <c r="U23">
        <f>SUMIF(DeadRaw!$B:$B,$A23,DeadRaw!X:X)</f>
        <v>0</v>
      </c>
      <c r="V23">
        <f>SUMIF(DeadRaw!$B:$B,$A23,DeadRaw!Y:Y)</f>
        <v>0</v>
      </c>
      <c r="W23">
        <f>SUMIF(DeadRaw!$B:$B,$A23,DeadRaw!Z:Z)</f>
        <v>0</v>
      </c>
      <c r="X23">
        <f>SUMIF(DeadRaw!$B:$B,$A23,DeadRaw!AA:AA)</f>
        <v>0</v>
      </c>
      <c r="Y23">
        <f>SUMIF(DeadRaw!$B:$B,$A23,DeadRaw!AB:AB)</f>
        <v>0</v>
      </c>
      <c r="Z23">
        <f>SUMIF(DeadRaw!$B:$B,$A23,DeadRaw!AC:AC)</f>
        <v>0</v>
      </c>
      <c r="AA23">
        <f>SUMIF(DeadRaw!$B:$B,$A23,DeadRaw!AD:AD)</f>
        <v>0</v>
      </c>
      <c r="AB23">
        <f>SUMIF(DeadRaw!$B:$B,$A23,DeadRaw!AE:AE)</f>
        <v>0</v>
      </c>
      <c r="AC23">
        <f>SUMIF(DeadRaw!$B:$B,$A23,DeadRaw!AF:AF)</f>
        <v>0</v>
      </c>
      <c r="AD23">
        <f>SUMIF(DeadRaw!$B:$B,$A23,DeadRaw!AG:AG)</f>
        <v>0</v>
      </c>
      <c r="AE23">
        <f>SUMIF(DeadRaw!$B:$B,$A23,DeadRaw!AH:AH)</f>
        <v>0</v>
      </c>
      <c r="AF23">
        <f>SUMIF(DeadRaw!$B:$B,$A23,DeadRaw!AI:AI)</f>
        <v>0</v>
      </c>
      <c r="AG23">
        <f>SUMIF(DeadRaw!$B:$B,$A23,DeadRaw!AJ:AJ)</f>
        <v>0</v>
      </c>
      <c r="AH23">
        <f>SUMIF(DeadRaw!$B:$B,$A23,DeadRaw!AK:AK)</f>
        <v>0</v>
      </c>
      <c r="AI23">
        <f>SUMIF(DeadRaw!$B:$B,$A23,DeadRaw!AL:AL)</f>
        <v>0</v>
      </c>
      <c r="AJ23">
        <f>SUMIF(DeadRaw!$B:$B,$A23,DeadRaw!AM:AM)</f>
        <v>0</v>
      </c>
      <c r="AK23">
        <f>SUMIF(DeadRaw!$B:$B,$A23,DeadRaw!AN:AN)</f>
        <v>0</v>
      </c>
      <c r="AL23">
        <f>SUMIF(DeadRaw!$B:$B,$A23,DeadRaw!AO:AO)</f>
        <v>0</v>
      </c>
      <c r="AM23">
        <f>SUMIF(DeadRaw!$B:$B,$A23,DeadRaw!AP:AP)</f>
        <v>0</v>
      </c>
      <c r="AN23">
        <f>SUMIF(DeadRaw!$B:$B,$A23,DeadRaw!AQ:AQ)</f>
        <v>0</v>
      </c>
      <c r="AO23">
        <f>SUMIF(DeadRaw!$B:$B,$A23,DeadRaw!AR:AR)</f>
        <v>0</v>
      </c>
      <c r="AP23">
        <f>SUMIF(DeadRaw!$B:$B,$A23,DeadRaw!AS:AS)</f>
        <v>0</v>
      </c>
      <c r="AQ23">
        <f>SUMIF(DeadRaw!$B:$B,$A23,DeadRaw!AT:AT)</f>
        <v>0</v>
      </c>
      <c r="AR23">
        <f>SUMIF(DeadRaw!$B:$B,$A23,DeadRaw!AU:AU)</f>
        <v>0</v>
      </c>
      <c r="AS23">
        <f>SUMIF(DeadRaw!$B:$B,$A23,DeadRaw!AV:AV)</f>
        <v>0</v>
      </c>
      <c r="AT23">
        <f>SUMIF(DeadRaw!$B:$B,$A23,DeadRaw!AW:AW)</f>
        <v>0</v>
      </c>
      <c r="AU23">
        <f>SUMIF(DeadRaw!$B:$B,$A23,DeadRaw!AX:AX)</f>
        <v>0</v>
      </c>
      <c r="AV23">
        <f>SUMIF(DeadRaw!$B:$B,$A23,DeadRaw!AY:AY)</f>
        <v>0</v>
      </c>
      <c r="AW23">
        <f>SUMIF(DeadRaw!$B:$B,$A23,DeadRaw!AZ:AZ)</f>
        <v>0</v>
      </c>
      <c r="AX23">
        <f>SUMIF(DeadRaw!$B:$B,$A23,DeadRaw!BA:BA)</f>
        <v>0</v>
      </c>
      <c r="AY23">
        <f>SUMIF(DeadRaw!$B:$B,$A23,DeadRaw!BB:BB)</f>
        <v>0</v>
      </c>
      <c r="AZ23">
        <f>SUMIF(DeadRaw!$B:$B,$A23,DeadRaw!BC:BC)</f>
        <v>0</v>
      </c>
      <c r="BA23">
        <f>SUMIF(DeadRaw!$B:$B,$A23,DeadRaw!BD:BD)</f>
        <v>0</v>
      </c>
      <c r="BB23">
        <f>SUMIF(DeadRaw!$B:$B,$A23,DeadRaw!BE:BE)</f>
        <v>0</v>
      </c>
      <c r="BC23">
        <f>SUMIF(DeadRaw!$B:$B,$A23,DeadRaw!BF:BF)</f>
        <v>0</v>
      </c>
      <c r="BD23">
        <f>SUMIF(DeadRaw!$B:$B,$A23,DeadRaw!BG:BG)</f>
        <v>0</v>
      </c>
      <c r="BE23">
        <f>SUMIF(DeadRaw!$B:$B,$A23,DeadRaw!BH:BH)</f>
        <v>2</v>
      </c>
      <c r="BF23">
        <f>SUMIF(DeadRaw!$B:$B,$A23,DeadRaw!BI:BI)</f>
        <v>2</v>
      </c>
      <c r="BG23">
        <f>SUMIF(DeadRaw!$B:$B,$A23,DeadRaw!BJ:BJ)</f>
        <v>2</v>
      </c>
      <c r="BH23">
        <f>SUMIF(DeadRaw!$B:$B,$A23,DeadRaw!BK:BK)</f>
        <v>3</v>
      </c>
      <c r="BI23">
        <f>SUMIF(DeadRaw!$B:$B,$A23,DeadRaw!BL:BL)</f>
        <v>0</v>
      </c>
      <c r="BJ23">
        <f>SUMIF(DeadRaw!$B:$B,$A23,DeadRaw!BM:BM)</f>
        <v>0</v>
      </c>
      <c r="BK23">
        <f>SUMIF(DeadRaw!$B:$B,$A23,DeadRaw!BN:BN)</f>
        <v>0</v>
      </c>
      <c r="BL23">
        <f>SUMIF(DeadRaw!$B:$B,$A23,DeadRaw!BO:BO)</f>
        <v>0</v>
      </c>
      <c r="BM23">
        <f>SUMIF(DeadRaw!$B:$B,$A23,DeadRaw!BP:BP)</f>
        <v>0</v>
      </c>
      <c r="BN23">
        <f>SUMIF(DeadRaw!$B:$B,$A23,DeadRaw!BQ:BQ)</f>
        <v>0</v>
      </c>
      <c r="BO23">
        <f>SUMIF(DeadRaw!$B:$B,$A23,DeadRaw!BR:BR)</f>
        <v>0</v>
      </c>
      <c r="BP23">
        <f>SUMIF(DeadRaw!$B:$B,$A23,DeadRaw!BS:BS)</f>
        <v>0</v>
      </c>
      <c r="BQ23">
        <f>SUMIF(DeadRaw!$B:$B,$A23,DeadRaw!BT:BT)</f>
        <v>0</v>
      </c>
      <c r="BR23">
        <f>SUMIF(DeadRaw!$B:$B,$A23,DeadRaw!BU:BU)</f>
        <v>0</v>
      </c>
      <c r="BS23">
        <f>SUMIF(DeadRaw!$B:$B,$A23,DeadRaw!BV:BV)</f>
        <v>0</v>
      </c>
      <c r="BT23">
        <f>SUMIF(DeadRaw!$B:$B,$A23,DeadRaw!BW:BW)</f>
        <v>0</v>
      </c>
    </row>
    <row r="24" spans="1:72" ht="15" thickBot="1" x14ac:dyDescent="0.35">
      <c r="A24" s="4" t="s">
        <v>45</v>
      </c>
      <c r="B24">
        <f>SUMIF(DeadRaw!$B:$B,$A24,DeadRaw!E:E)</f>
        <v>0</v>
      </c>
      <c r="C24">
        <f>SUMIF(DeadRaw!$B:$B,$A24,DeadRaw!F:F)</f>
        <v>0</v>
      </c>
      <c r="D24">
        <f>SUMIF(DeadRaw!$B:$B,$A24,DeadRaw!G:G)</f>
        <v>0</v>
      </c>
      <c r="E24">
        <f>SUMIF(DeadRaw!$B:$B,$A24,DeadRaw!H:H)</f>
        <v>0</v>
      </c>
      <c r="F24">
        <f>SUMIF(DeadRaw!$B:$B,$A24,DeadRaw!I:I)</f>
        <v>0</v>
      </c>
      <c r="G24">
        <f>SUMIF(DeadRaw!$B:$B,$A24,DeadRaw!J:J)</f>
        <v>0</v>
      </c>
      <c r="H24">
        <f>SUMIF(DeadRaw!$B:$B,$A24,DeadRaw!K:K)</f>
        <v>0</v>
      </c>
      <c r="I24">
        <f>SUMIF(DeadRaw!$B:$B,$A24,DeadRaw!L:L)</f>
        <v>0</v>
      </c>
      <c r="J24">
        <f>SUMIF(DeadRaw!$B:$B,$A24,DeadRaw!M:M)</f>
        <v>0</v>
      </c>
      <c r="K24">
        <f>SUMIF(DeadRaw!$B:$B,$A24,DeadRaw!N:N)</f>
        <v>0</v>
      </c>
      <c r="L24">
        <f>SUMIF(DeadRaw!$B:$B,$A24,DeadRaw!O:O)</f>
        <v>0</v>
      </c>
      <c r="M24">
        <f>SUMIF(DeadRaw!$B:$B,$A24,DeadRaw!P:P)</f>
        <v>0</v>
      </c>
      <c r="N24">
        <f>SUMIF(DeadRaw!$B:$B,$A24,DeadRaw!Q:Q)</f>
        <v>0</v>
      </c>
      <c r="O24">
        <f>SUMIF(DeadRaw!$B:$B,$A24,DeadRaw!R:R)</f>
        <v>0</v>
      </c>
      <c r="P24">
        <f>SUMIF(DeadRaw!$B:$B,$A24,DeadRaw!S:S)</f>
        <v>0</v>
      </c>
      <c r="Q24">
        <f>SUMIF(DeadRaw!$B:$B,$A24,DeadRaw!T:T)</f>
        <v>0</v>
      </c>
      <c r="R24">
        <f>SUMIF(DeadRaw!$B:$B,$A24,DeadRaw!U:U)</f>
        <v>0</v>
      </c>
      <c r="S24">
        <f>SUMIF(DeadRaw!$B:$B,$A24,DeadRaw!V:V)</f>
        <v>0</v>
      </c>
      <c r="T24">
        <f>SUMIF(DeadRaw!$B:$B,$A24,DeadRaw!W:W)</f>
        <v>0</v>
      </c>
      <c r="U24">
        <f>SUMIF(DeadRaw!$B:$B,$A24,DeadRaw!X:X)</f>
        <v>0</v>
      </c>
      <c r="V24">
        <f>SUMIF(DeadRaw!$B:$B,$A24,DeadRaw!Y:Y)</f>
        <v>0</v>
      </c>
      <c r="W24">
        <f>SUMIF(DeadRaw!$B:$B,$A24,DeadRaw!Z:Z)</f>
        <v>0</v>
      </c>
      <c r="X24">
        <f>SUMIF(DeadRaw!$B:$B,$A24,DeadRaw!AA:AA)</f>
        <v>0</v>
      </c>
      <c r="Y24">
        <f>SUMIF(DeadRaw!$B:$B,$A24,DeadRaw!AB:AB)</f>
        <v>0</v>
      </c>
      <c r="Z24">
        <f>SUMIF(DeadRaw!$B:$B,$A24,DeadRaw!AC:AC)</f>
        <v>0</v>
      </c>
      <c r="AA24">
        <f>SUMIF(DeadRaw!$B:$B,$A24,DeadRaw!AD:AD)</f>
        <v>0</v>
      </c>
      <c r="AB24">
        <f>SUMIF(DeadRaw!$B:$B,$A24,DeadRaw!AE:AE)</f>
        <v>0</v>
      </c>
      <c r="AC24">
        <f>SUMIF(DeadRaw!$B:$B,$A24,DeadRaw!AF:AF)</f>
        <v>0</v>
      </c>
      <c r="AD24">
        <f>SUMIF(DeadRaw!$B:$B,$A24,DeadRaw!AG:AG)</f>
        <v>0</v>
      </c>
      <c r="AE24">
        <f>SUMIF(DeadRaw!$B:$B,$A24,DeadRaw!AH:AH)</f>
        <v>0</v>
      </c>
      <c r="AF24">
        <f>SUMIF(DeadRaw!$B:$B,$A24,DeadRaw!AI:AI)</f>
        <v>0</v>
      </c>
      <c r="AG24">
        <f>SUMIF(DeadRaw!$B:$B,$A24,DeadRaw!AJ:AJ)</f>
        <v>0</v>
      </c>
      <c r="AH24">
        <f>SUMIF(DeadRaw!$B:$B,$A24,DeadRaw!AK:AK)</f>
        <v>0</v>
      </c>
      <c r="AI24">
        <f>SUMIF(DeadRaw!$B:$B,$A24,DeadRaw!AL:AL)</f>
        <v>0</v>
      </c>
      <c r="AJ24">
        <f>SUMIF(DeadRaw!$B:$B,$A24,DeadRaw!AM:AM)</f>
        <v>0</v>
      </c>
      <c r="AK24">
        <f>SUMIF(DeadRaw!$B:$B,$A24,DeadRaw!AN:AN)</f>
        <v>0</v>
      </c>
      <c r="AL24">
        <f>SUMIF(DeadRaw!$B:$B,$A24,DeadRaw!AO:AO)</f>
        <v>0</v>
      </c>
      <c r="AM24">
        <f>SUMIF(DeadRaw!$B:$B,$A24,DeadRaw!AP:AP)</f>
        <v>0</v>
      </c>
      <c r="AN24">
        <f>SUMIF(DeadRaw!$B:$B,$A24,DeadRaw!AQ:AQ)</f>
        <v>0</v>
      </c>
      <c r="AO24">
        <f>SUMIF(DeadRaw!$B:$B,$A24,DeadRaw!AR:AR)</f>
        <v>0</v>
      </c>
      <c r="AP24">
        <f>SUMIF(DeadRaw!$B:$B,$A24,DeadRaw!AS:AS)</f>
        <v>0</v>
      </c>
      <c r="AQ24">
        <f>SUMIF(DeadRaw!$B:$B,$A24,DeadRaw!AT:AT)</f>
        <v>0</v>
      </c>
      <c r="AR24">
        <f>SUMIF(DeadRaw!$B:$B,$A24,DeadRaw!AU:AU)</f>
        <v>0</v>
      </c>
      <c r="AS24">
        <f>SUMIF(DeadRaw!$B:$B,$A24,DeadRaw!AV:AV)</f>
        <v>0</v>
      </c>
      <c r="AT24">
        <f>SUMIF(DeadRaw!$B:$B,$A24,DeadRaw!AW:AW)</f>
        <v>0</v>
      </c>
      <c r="AU24">
        <f>SUMIF(DeadRaw!$B:$B,$A24,DeadRaw!AX:AX)</f>
        <v>0</v>
      </c>
      <c r="AV24">
        <f>SUMIF(DeadRaw!$B:$B,$A24,DeadRaw!AY:AY)</f>
        <v>0</v>
      </c>
      <c r="AW24">
        <f>SUMIF(DeadRaw!$B:$B,$A24,DeadRaw!AZ:AZ)</f>
        <v>1</v>
      </c>
      <c r="AX24">
        <f>SUMIF(DeadRaw!$B:$B,$A24,DeadRaw!BA:BA)</f>
        <v>1</v>
      </c>
      <c r="AY24">
        <f>SUMIF(DeadRaw!$B:$B,$A24,DeadRaw!BB:BB)</f>
        <v>1</v>
      </c>
      <c r="AZ24">
        <f>SUMIF(DeadRaw!$B:$B,$A24,DeadRaw!BC:BC)</f>
        <v>1</v>
      </c>
      <c r="BA24">
        <f>SUMIF(DeadRaw!$B:$B,$A24,DeadRaw!BD:BD)</f>
        <v>1</v>
      </c>
      <c r="BB24">
        <f>SUMIF(DeadRaw!$B:$B,$A24,DeadRaw!BE:BE)</f>
        <v>1</v>
      </c>
      <c r="BC24">
        <f>SUMIF(DeadRaw!$B:$B,$A24,DeadRaw!BF:BF)</f>
        <v>1</v>
      </c>
      <c r="BD24">
        <f>SUMIF(DeadRaw!$B:$B,$A24,DeadRaw!BG:BG)</f>
        <v>4</v>
      </c>
      <c r="BE24">
        <f>SUMIF(DeadRaw!$B:$B,$A24,DeadRaw!BH:BH)</f>
        <v>5</v>
      </c>
      <c r="BF24">
        <f>SUMIF(DeadRaw!$B:$B,$A24,DeadRaw!BI:BI)</f>
        <v>8</v>
      </c>
      <c r="BG24">
        <f>SUMIF(DeadRaw!$B:$B,$A24,DeadRaw!BJ:BJ)</f>
        <v>9</v>
      </c>
      <c r="BH24">
        <f>SUMIF(DeadRaw!$B:$B,$A24,DeadRaw!BK:BK)</f>
        <v>12</v>
      </c>
      <c r="BI24">
        <f>SUMIF(DeadRaw!$B:$B,$A24,DeadRaw!BL:BL)</f>
        <v>0</v>
      </c>
      <c r="BJ24">
        <f>SUMIF(DeadRaw!$B:$B,$A24,DeadRaw!BM:BM)</f>
        <v>0</v>
      </c>
      <c r="BK24">
        <f>SUMIF(DeadRaw!$B:$B,$A24,DeadRaw!BN:BN)</f>
        <v>0</v>
      </c>
      <c r="BL24">
        <f>SUMIF(DeadRaw!$B:$B,$A24,DeadRaw!BO:BO)</f>
        <v>0</v>
      </c>
      <c r="BM24">
        <f>SUMIF(DeadRaw!$B:$B,$A24,DeadRaw!BP:BP)</f>
        <v>0</v>
      </c>
      <c r="BN24">
        <f>SUMIF(DeadRaw!$B:$B,$A24,DeadRaw!BQ:BQ)</f>
        <v>0</v>
      </c>
      <c r="BO24">
        <f>SUMIF(DeadRaw!$B:$B,$A24,DeadRaw!BR:BR)</f>
        <v>0</v>
      </c>
      <c r="BP24">
        <f>SUMIF(DeadRaw!$B:$B,$A24,DeadRaw!BS:BS)</f>
        <v>0</v>
      </c>
      <c r="BQ24">
        <f>SUMIF(DeadRaw!$B:$B,$A24,DeadRaw!BT:BT)</f>
        <v>0</v>
      </c>
      <c r="BR24">
        <f>SUMIF(DeadRaw!$B:$B,$A24,DeadRaw!BU:BU)</f>
        <v>0</v>
      </c>
      <c r="BS24">
        <f>SUMIF(DeadRaw!$B:$B,$A24,DeadRaw!BV:BV)</f>
        <v>0</v>
      </c>
      <c r="BT24">
        <f>SUMIF(DeadRaw!$B:$B,$A24,DeadRaw!BW:BW)</f>
        <v>0</v>
      </c>
    </row>
    <row r="25" spans="1:72" ht="15" thickBot="1" x14ac:dyDescent="0.35">
      <c r="A25" s="4" t="s">
        <v>83</v>
      </c>
      <c r="B25">
        <f>SUMIF(DeadRaw!$B:$B,$A25,DeadRaw!E:E)</f>
        <v>0</v>
      </c>
      <c r="C25">
        <f>SUMIF(DeadRaw!$B:$B,$A25,DeadRaw!F:F)</f>
        <v>0</v>
      </c>
      <c r="D25">
        <f>SUMIF(DeadRaw!$B:$B,$A25,DeadRaw!G:G)</f>
        <v>0</v>
      </c>
      <c r="E25">
        <f>SUMIF(DeadRaw!$B:$B,$A25,DeadRaw!H:H)</f>
        <v>0</v>
      </c>
      <c r="F25">
        <f>SUMIF(DeadRaw!$B:$B,$A25,DeadRaw!I:I)</f>
        <v>0</v>
      </c>
      <c r="G25">
        <f>SUMIF(DeadRaw!$B:$B,$A25,DeadRaw!J:J)</f>
        <v>0</v>
      </c>
      <c r="H25">
        <f>SUMIF(DeadRaw!$B:$B,$A25,DeadRaw!K:K)</f>
        <v>0</v>
      </c>
      <c r="I25">
        <f>SUMIF(DeadRaw!$B:$B,$A25,DeadRaw!L:L)</f>
        <v>0</v>
      </c>
      <c r="J25">
        <f>SUMIF(DeadRaw!$B:$B,$A25,DeadRaw!M:M)</f>
        <v>0</v>
      </c>
      <c r="K25">
        <f>SUMIF(DeadRaw!$B:$B,$A25,DeadRaw!N:N)</f>
        <v>0</v>
      </c>
      <c r="L25">
        <f>SUMIF(DeadRaw!$B:$B,$A25,DeadRaw!O:O)</f>
        <v>0</v>
      </c>
      <c r="M25">
        <f>SUMIF(DeadRaw!$B:$B,$A25,DeadRaw!P:P)</f>
        <v>0</v>
      </c>
      <c r="N25">
        <f>SUMIF(DeadRaw!$B:$B,$A25,DeadRaw!Q:Q)</f>
        <v>0</v>
      </c>
      <c r="O25">
        <f>SUMIF(DeadRaw!$B:$B,$A25,DeadRaw!R:R)</f>
        <v>0</v>
      </c>
      <c r="P25">
        <f>SUMIF(DeadRaw!$B:$B,$A25,DeadRaw!S:S)</f>
        <v>0</v>
      </c>
      <c r="Q25">
        <f>SUMIF(DeadRaw!$B:$B,$A25,DeadRaw!T:T)</f>
        <v>0</v>
      </c>
      <c r="R25">
        <f>SUMIF(DeadRaw!$B:$B,$A25,DeadRaw!U:U)</f>
        <v>0</v>
      </c>
      <c r="S25">
        <f>SUMIF(DeadRaw!$B:$B,$A25,DeadRaw!V:V)</f>
        <v>0</v>
      </c>
      <c r="T25">
        <f>SUMIF(DeadRaw!$B:$B,$A25,DeadRaw!W:W)</f>
        <v>0</v>
      </c>
      <c r="U25">
        <f>SUMIF(DeadRaw!$B:$B,$A25,DeadRaw!X:X)</f>
        <v>0</v>
      </c>
      <c r="V25">
        <f>SUMIF(DeadRaw!$B:$B,$A25,DeadRaw!Y:Y)</f>
        <v>0</v>
      </c>
      <c r="W25">
        <f>SUMIF(DeadRaw!$B:$B,$A25,DeadRaw!Z:Z)</f>
        <v>0</v>
      </c>
      <c r="X25">
        <f>SUMIF(DeadRaw!$B:$B,$A25,DeadRaw!AA:AA)</f>
        <v>0</v>
      </c>
      <c r="Y25">
        <f>SUMIF(DeadRaw!$B:$B,$A25,DeadRaw!AB:AB)</f>
        <v>0</v>
      </c>
      <c r="Z25">
        <f>SUMIF(DeadRaw!$B:$B,$A25,DeadRaw!AC:AC)</f>
        <v>0</v>
      </c>
      <c r="AA25">
        <f>SUMIF(DeadRaw!$B:$B,$A25,DeadRaw!AD:AD)</f>
        <v>0</v>
      </c>
      <c r="AB25">
        <f>SUMIF(DeadRaw!$B:$B,$A25,DeadRaw!AE:AE)</f>
        <v>0</v>
      </c>
      <c r="AC25">
        <f>SUMIF(DeadRaw!$B:$B,$A25,DeadRaw!AF:AF)</f>
        <v>0</v>
      </c>
      <c r="AD25">
        <f>SUMIF(DeadRaw!$B:$B,$A25,DeadRaw!AG:AG)</f>
        <v>0</v>
      </c>
      <c r="AE25">
        <f>SUMIF(DeadRaw!$B:$B,$A25,DeadRaw!AH:AH)</f>
        <v>0</v>
      </c>
      <c r="AF25">
        <f>SUMIF(DeadRaw!$B:$B,$A25,DeadRaw!AI:AI)</f>
        <v>0</v>
      </c>
      <c r="AG25">
        <f>SUMIF(DeadRaw!$B:$B,$A25,DeadRaw!AJ:AJ)</f>
        <v>0</v>
      </c>
      <c r="AH25">
        <f>SUMIF(DeadRaw!$B:$B,$A25,DeadRaw!AK:AK)</f>
        <v>0</v>
      </c>
      <c r="AI25">
        <f>SUMIF(DeadRaw!$B:$B,$A25,DeadRaw!AL:AL)</f>
        <v>0</v>
      </c>
      <c r="AJ25">
        <f>SUMIF(DeadRaw!$B:$B,$A25,DeadRaw!AM:AM)</f>
        <v>0</v>
      </c>
      <c r="AK25">
        <f>SUMIF(DeadRaw!$B:$B,$A25,DeadRaw!AN:AN)</f>
        <v>0</v>
      </c>
      <c r="AL25">
        <f>SUMIF(DeadRaw!$B:$B,$A25,DeadRaw!AO:AO)</f>
        <v>0</v>
      </c>
      <c r="AM25">
        <f>SUMIF(DeadRaw!$B:$B,$A25,DeadRaw!AP:AP)</f>
        <v>0</v>
      </c>
      <c r="AN25">
        <f>SUMIF(DeadRaw!$B:$B,$A25,DeadRaw!AQ:AQ)</f>
        <v>0</v>
      </c>
      <c r="AO25">
        <f>SUMIF(DeadRaw!$B:$B,$A25,DeadRaw!AR:AR)</f>
        <v>0</v>
      </c>
      <c r="AP25">
        <f>SUMIF(DeadRaw!$B:$B,$A25,DeadRaw!AS:AS)</f>
        <v>0</v>
      </c>
      <c r="AQ25">
        <f>SUMIF(DeadRaw!$B:$B,$A25,DeadRaw!AT:AT)</f>
        <v>0</v>
      </c>
      <c r="AR25">
        <f>SUMIF(DeadRaw!$B:$B,$A25,DeadRaw!AU:AU)</f>
        <v>0</v>
      </c>
      <c r="AS25">
        <f>SUMIF(DeadRaw!$B:$B,$A25,DeadRaw!AV:AV)</f>
        <v>0</v>
      </c>
      <c r="AT25">
        <f>SUMIF(DeadRaw!$B:$B,$A25,DeadRaw!AW:AW)</f>
        <v>0</v>
      </c>
      <c r="AU25">
        <f>SUMIF(DeadRaw!$B:$B,$A25,DeadRaw!AX:AX)</f>
        <v>0</v>
      </c>
      <c r="AV25">
        <f>SUMIF(DeadRaw!$B:$B,$A25,DeadRaw!AY:AY)</f>
        <v>0</v>
      </c>
      <c r="AW25">
        <f>SUMIF(DeadRaw!$B:$B,$A25,DeadRaw!AZ:AZ)</f>
        <v>0</v>
      </c>
      <c r="AX25">
        <f>SUMIF(DeadRaw!$B:$B,$A25,DeadRaw!BA:BA)</f>
        <v>0</v>
      </c>
      <c r="AY25">
        <f>SUMIF(DeadRaw!$B:$B,$A25,DeadRaw!BB:BB)</f>
        <v>1</v>
      </c>
      <c r="AZ25">
        <f>SUMIF(DeadRaw!$B:$B,$A25,DeadRaw!BC:BC)</f>
        <v>1</v>
      </c>
      <c r="BA25">
        <f>SUMIF(DeadRaw!$B:$B,$A25,DeadRaw!BD:BD)</f>
        <v>1</v>
      </c>
      <c r="BB25">
        <f>SUMIF(DeadRaw!$B:$B,$A25,DeadRaw!BE:BE)</f>
        <v>3</v>
      </c>
      <c r="BC25">
        <f>SUMIF(DeadRaw!$B:$B,$A25,DeadRaw!BF:BF)</f>
        <v>4</v>
      </c>
      <c r="BD25">
        <f>SUMIF(DeadRaw!$B:$B,$A25,DeadRaw!BG:BG)</f>
        <v>4</v>
      </c>
      <c r="BE25">
        <f>SUMIF(DeadRaw!$B:$B,$A25,DeadRaw!BH:BH)</f>
        <v>5</v>
      </c>
      <c r="BF25">
        <f>SUMIF(DeadRaw!$B:$B,$A25,DeadRaw!BI:BI)</f>
        <v>5</v>
      </c>
      <c r="BG25">
        <f>SUMIF(DeadRaw!$B:$B,$A25,DeadRaw!BJ:BJ)</f>
        <v>6</v>
      </c>
      <c r="BH25">
        <f>SUMIF(DeadRaw!$B:$B,$A25,DeadRaw!BK:BK)</f>
        <v>6</v>
      </c>
      <c r="BI25">
        <f>SUMIF(DeadRaw!$B:$B,$A25,DeadRaw!BL:BL)</f>
        <v>0</v>
      </c>
      <c r="BJ25">
        <f>SUMIF(DeadRaw!$B:$B,$A25,DeadRaw!BM:BM)</f>
        <v>0</v>
      </c>
      <c r="BK25">
        <f>SUMIF(DeadRaw!$B:$B,$A25,DeadRaw!BN:BN)</f>
        <v>0</v>
      </c>
      <c r="BL25">
        <f>SUMIF(DeadRaw!$B:$B,$A25,DeadRaw!BO:BO)</f>
        <v>0</v>
      </c>
      <c r="BM25">
        <f>SUMIF(DeadRaw!$B:$B,$A25,DeadRaw!BP:BP)</f>
        <v>0</v>
      </c>
      <c r="BN25">
        <f>SUMIF(DeadRaw!$B:$B,$A25,DeadRaw!BQ:BQ)</f>
        <v>0</v>
      </c>
      <c r="BO25">
        <f>SUMIF(DeadRaw!$B:$B,$A25,DeadRaw!BR:BR)</f>
        <v>0</v>
      </c>
      <c r="BP25">
        <f>SUMIF(DeadRaw!$B:$B,$A25,DeadRaw!BS:BS)</f>
        <v>0</v>
      </c>
      <c r="BQ25">
        <f>SUMIF(DeadRaw!$B:$B,$A25,DeadRaw!BT:BT)</f>
        <v>0</v>
      </c>
      <c r="BR25">
        <f>SUMIF(DeadRaw!$B:$B,$A25,DeadRaw!BU:BU)</f>
        <v>0</v>
      </c>
      <c r="BS25">
        <f>SUMIF(DeadRaw!$B:$B,$A25,DeadRaw!BV:BV)</f>
        <v>0</v>
      </c>
      <c r="BT25">
        <f>SUMIF(DeadRaw!$B:$B,$A25,DeadRaw!BW:BW)</f>
        <v>0</v>
      </c>
    </row>
    <row r="26" spans="1:72" ht="15" thickBot="1" x14ac:dyDescent="0.35">
      <c r="A26" s="4" t="s">
        <v>73</v>
      </c>
      <c r="B26">
        <f>SUMIF(DeadRaw!$B:$B,$A26,DeadRaw!E:E)</f>
        <v>0</v>
      </c>
      <c r="C26">
        <f>SUMIF(DeadRaw!$B:$B,$A26,DeadRaw!F:F)</f>
        <v>0</v>
      </c>
      <c r="D26">
        <f>SUMIF(DeadRaw!$B:$B,$A26,DeadRaw!G:G)</f>
        <v>0</v>
      </c>
      <c r="E26">
        <f>SUMIF(DeadRaw!$B:$B,$A26,DeadRaw!H:H)</f>
        <v>0</v>
      </c>
      <c r="F26">
        <f>SUMIF(DeadRaw!$B:$B,$A26,DeadRaw!I:I)</f>
        <v>0</v>
      </c>
      <c r="G26">
        <f>SUMIF(DeadRaw!$B:$B,$A26,DeadRaw!J:J)</f>
        <v>0</v>
      </c>
      <c r="H26">
        <f>SUMIF(DeadRaw!$B:$B,$A26,DeadRaw!K:K)</f>
        <v>0</v>
      </c>
      <c r="I26">
        <f>SUMIF(DeadRaw!$B:$B,$A26,DeadRaw!L:L)</f>
        <v>0</v>
      </c>
      <c r="J26">
        <f>SUMIF(DeadRaw!$B:$B,$A26,DeadRaw!M:M)</f>
        <v>0</v>
      </c>
      <c r="K26">
        <f>SUMIF(DeadRaw!$B:$B,$A26,DeadRaw!N:N)</f>
        <v>0</v>
      </c>
      <c r="L26">
        <f>SUMIF(DeadRaw!$B:$B,$A26,DeadRaw!O:O)</f>
        <v>0</v>
      </c>
      <c r="M26">
        <f>SUMIF(DeadRaw!$B:$B,$A26,DeadRaw!P:P)</f>
        <v>0</v>
      </c>
      <c r="N26">
        <f>SUMIF(DeadRaw!$B:$B,$A26,DeadRaw!Q:Q)</f>
        <v>0</v>
      </c>
      <c r="O26">
        <f>SUMIF(DeadRaw!$B:$B,$A26,DeadRaw!R:R)</f>
        <v>0</v>
      </c>
      <c r="P26">
        <f>SUMIF(DeadRaw!$B:$B,$A26,DeadRaw!S:S)</f>
        <v>0</v>
      </c>
      <c r="Q26">
        <f>SUMIF(DeadRaw!$B:$B,$A26,DeadRaw!T:T)</f>
        <v>0</v>
      </c>
      <c r="R26">
        <f>SUMIF(DeadRaw!$B:$B,$A26,DeadRaw!U:U)</f>
        <v>0</v>
      </c>
      <c r="S26">
        <f>SUMIF(DeadRaw!$B:$B,$A26,DeadRaw!V:V)</f>
        <v>0</v>
      </c>
      <c r="T26">
        <f>SUMIF(DeadRaw!$B:$B,$A26,DeadRaw!W:W)</f>
        <v>0</v>
      </c>
      <c r="U26">
        <f>SUMIF(DeadRaw!$B:$B,$A26,DeadRaw!X:X)</f>
        <v>0</v>
      </c>
      <c r="V26">
        <f>SUMIF(DeadRaw!$B:$B,$A26,DeadRaw!Y:Y)</f>
        <v>0</v>
      </c>
      <c r="W26">
        <f>SUMIF(DeadRaw!$B:$B,$A26,DeadRaw!Z:Z)</f>
        <v>0</v>
      </c>
      <c r="X26">
        <f>SUMIF(DeadRaw!$B:$B,$A26,DeadRaw!AA:AA)</f>
        <v>0</v>
      </c>
      <c r="Y26">
        <f>SUMIF(DeadRaw!$B:$B,$A26,DeadRaw!AB:AB)</f>
        <v>0</v>
      </c>
      <c r="Z26">
        <f>SUMIF(DeadRaw!$B:$B,$A26,DeadRaw!AC:AC)</f>
        <v>0</v>
      </c>
      <c r="AA26">
        <f>SUMIF(DeadRaw!$B:$B,$A26,DeadRaw!AD:AD)</f>
        <v>0</v>
      </c>
      <c r="AB26">
        <f>SUMIF(DeadRaw!$B:$B,$A26,DeadRaw!AE:AE)</f>
        <v>0</v>
      </c>
      <c r="AC26">
        <f>SUMIF(DeadRaw!$B:$B,$A26,DeadRaw!AF:AF)</f>
        <v>0</v>
      </c>
      <c r="AD26">
        <f>SUMIF(DeadRaw!$B:$B,$A26,DeadRaw!AG:AG)</f>
        <v>0</v>
      </c>
      <c r="AE26">
        <f>SUMIF(DeadRaw!$B:$B,$A26,DeadRaw!AH:AH)</f>
        <v>0</v>
      </c>
      <c r="AF26">
        <f>SUMIF(DeadRaw!$B:$B,$A26,DeadRaw!AI:AI)</f>
        <v>0</v>
      </c>
      <c r="AG26">
        <f>SUMIF(DeadRaw!$B:$B,$A26,DeadRaw!AJ:AJ)</f>
        <v>0</v>
      </c>
      <c r="AH26">
        <f>SUMIF(DeadRaw!$B:$B,$A26,DeadRaw!AK:AK)</f>
        <v>0</v>
      </c>
      <c r="AI26">
        <f>SUMIF(DeadRaw!$B:$B,$A26,DeadRaw!AL:AL)</f>
        <v>0</v>
      </c>
      <c r="AJ26">
        <f>SUMIF(DeadRaw!$B:$B,$A26,DeadRaw!AM:AM)</f>
        <v>0</v>
      </c>
      <c r="AK26">
        <f>SUMIF(DeadRaw!$B:$B,$A26,DeadRaw!AN:AN)</f>
        <v>0</v>
      </c>
      <c r="AL26">
        <f>SUMIF(DeadRaw!$B:$B,$A26,DeadRaw!AO:AO)</f>
        <v>0</v>
      </c>
      <c r="AM26">
        <f>SUMIF(DeadRaw!$B:$B,$A26,DeadRaw!AP:AP)</f>
        <v>0</v>
      </c>
      <c r="AN26">
        <f>SUMIF(DeadRaw!$B:$B,$A26,DeadRaw!AQ:AQ)</f>
        <v>0</v>
      </c>
      <c r="AO26">
        <f>SUMIF(DeadRaw!$B:$B,$A26,DeadRaw!AR:AR)</f>
        <v>0</v>
      </c>
      <c r="AP26">
        <f>SUMIF(DeadRaw!$B:$B,$A26,DeadRaw!AS:AS)</f>
        <v>0</v>
      </c>
      <c r="AQ26">
        <f>SUMIF(DeadRaw!$B:$B,$A26,DeadRaw!AT:AT)</f>
        <v>0</v>
      </c>
      <c r="AR26">
        <f>SUMIF(DeadRaw!$B:$B,$A26,DeadRaw!AU:AU)</f>
        <v>0</v>
      </c>
      <c r="AS26">
        <f>SUMIF(DeadRaw!$B:$B,$A26,DeadRaw!AV:AV)</f>
        <v>0</v>
      </c>
      <c r="AT26">
        <f>SUMIF(DeadRaw!$B:$B,$A26,DeadRaw!AW:AW)</f>
        <v>0</v>
      </c>
      <c r="AU26">
        <f>SUMIF(DeadRaw!$B:$B,$A26,DeadRaw!AX:AX)</f>
        <v>0</v>
      </c>
      <c r="AV26">
        <f>SUMIF(DeadRaw!$B:$B,$A26,DeadRaw!AY:AY)</f>
        <v>0</v>
      </c>
      <c r="AW26">
        <f>SUMIF(DeadRaw!$B:$B,$A26,DeadRaw!AZ:AZ)</f>
        <v>0</v>
      </c>
      <c r="AX26">
        <f>SUMIF(DeadRaw!$B:$B,$A26,DeadRaw!BA:BA)</f>
        <v>0</v>
      </c>
      <c r="AY26">
        <f>SUMIF(DeadRaw!$B:$B,$A26,DeadRaw!BB:BB)</f>
        <v>0</v>
      </c>
      <c r="AZ26">
        <f>SUMIF(DeadRaw!$B:$B,$A26,DeadRaw!BC:BC)</f>
        <v>0</v>
      </c>
      <c r="BA26">
        <f>SUMIF(DeadRaw!$B:$B,$A26,DeadRaw!BD:BD)</f>
        <v>0</v>
      </c>
      <c r="BB26">
        <f>SUMIF(DeadRaw!$B:$B,$A26,DeadRaw!BE:BE)</f>
        <v>0</v>
      </c>
      <c r="BC26">
        <f>SUMIF(DeadRaw!$B:$B,$A26,DeadRaw!BF:BF)</f>
        <v>0</v>
      </c>
      <c r="BD26">
        <f>SUMIF(DeadRaw!$B:$B,$A26,DeadRaw!BG:BG)</f>
        <v>1</v>
      </c>
      <c r="BE26">
        <f>SUMIF(DeadRaw!$B:$B,$A26,DeadRaw!BH:BH)</f>
        <v>1</v>
      </c>
      <c r="BF26">
        <f>SUMIF(DeadRaw!$B:$B,$A26,DeadRaw!BI:BI)</f>
        <v>1</v>
      </c>
      <c r="BG26">
        <f>SUMIF(DeadRaw!$B:$B,$A26,DeadRaw!BJ:BJ)</f>
        <v>1</v>
      </c>
      <c r="BH26">
        <f>SUMIF(DeadRaw!$B:$B,$A26,DeadRaw!BK:BK)</f>
        <v>1</v>
      </c>
      <c r="BI26">
        <f>SUMIF(DeadRaw!$B:$B,$A26,DeadRaw!BL:BL)</f>
        <v>0</v>
      </c>
      <c r="BJ26">
        <f>SUMIF(DeadRaw!$B:$B,$A26,DeadRaw!BM:BM)</f>
        <v>0</v>
      </c>
      <c r="BK26">
        <f>SUMIF(DeadRaw!$B:$B,$A26,DeadRaw!BN:BN)</f>
        <v>0</v>
      </c>
      <c r="BL26">
        <f>SUMIF(DeadRaw!$B:$B,$A26,DeadRaw!BO:BO)</f>
        <v>0</v>
      </c>
      <c r="BM26">
        <f>SUMIF(DeadRaw!$B:$B,$A26,DeadRaw!BP:BP)</f>
        <v>0</v>
      </c>
      <c r="BN26">
        <f>SUMIF(DeadRaw!$B:$B,$A26,DeadRaw!BQ:BQ)</f>
        <v>0</v>
      </c>
      <c r="BO26">
        <f>SUMIF(DeadRaw!$B:$B,$A26,DeadRaw!BR:BR)</f>
        <v>0</v>
      </c>
      <c r="BP26">
        <f>SUMIF(DeadRaw!$B:$B,$A26,DeadRaw!BS:BS)</f>
        <v>0</v>
      </c>
      <c r="BQ26">
        <f>SUMIF(DeadRaw!$B:$B,$A26,DeadRaw!BT:BT)</f>
        <v>0</v>
      </c>
      <c r="BR26">
        <f>SUMIF(DeadRaw!$B:$B,$A26,DeadRaw!BU:BU)</f>
        <v>0</v>
      </c>
      <c r="BS26">
        <f>SUMIF(DeadRaw!$B:$B,$A26,DeadRaw!BV:BV)</f>
        <v>0</v>
      </c>
      <c r="BT26">
        <f>SUMIF(DeadRaw!$B:$B,$A26,DeadRaw!BW:BW)</f>
        <v>0</v>
      </c>
    </row>
    <row r="27" spans="1:72" ht="15" thickBot="1" x14ac:dyDescent="0.35">
      <c r="A27" s="4" t="s">
        <v>79</v>
      </c>
      <c r="B27">
        <f>SUMIF(DeadRaw!$B:$B,$A27,DeadRaw!E:E)</f>
        <v>0</v>
      </c>
      <c r="C27">
        <f>SUMIF(DeadRaw!$B:$B,$A27,DeadRaw!F:F)</f>
        <v>0</v>
      </c>
      <c r="D27">
        <f>SUMIF(DeadRaw!$B:$B,$A27,DeadRaw!G:G)</f>
        <v>0</v>
      </c>
      <c r="E27">
        <f>SUMIF(DeadRaw!$B:$B,$A27,DeadRaw!H:H)</f>
        <v>0</v>
      </c>
      <c r="F27">
        <f>SUMIF(DeadRaw!$B:$B,$A27,DeadRaw!I:I)</f>
        <v>0</v>
      </c>
      <c r="G27">
        <f>SUMIF(DeadRaw!$B:$B,$A27,DeadRaw!J:J)</f>
        <v>0</v>
      </c>
      <c r="H27">
        <f>SUMIF(DeadRaw!$B:$B,$A27,DeadRaw!K:K)</f>
        <v>0</v>
      </c>
      <c r="I27">
        <f>SUMIF(DeadRaw!$B:$B,$A27,DeadRaw!L:L)</f>
        <v>0</v>
      </c>
      <c r="J27">
        <f>SUMIF(DeadRaw!$B:$B,$A27,DeadRaw!M:M)</f>
        <v>0</v>
      </c>
      <c r="K27">
        <f>SUMIF(DeadRaw!$B:$B,$A27,DeadRaw!N:N)</f>
        <v>0</v>
      </c>
      <c r="L27">
        <f>SUMIF(DeadRaw!$B:$B,$A27,DeadRaw!O:O)</f>
        <v>0</v>
      </c>
      <c r="M27">
        <f>SUMIF(DeadRaw!$B:$B,$A27,DeadRaw!P:P)</f>
        <v>0</v>
      </c>
      <c r="N27">
        <f>SUMIF(DeadRaw!$B:$B,$A27,DeadRaw!Q:Q)</f>
        <v>0</v>
      </c>
      <c r="O27">
        <f>SUMIF(DeadRaw!$B:$B,$A27,DeadRaw!R:R)</f>
        <v>0</v>
      </c>
      <c r="P27">
        <f>SUMIF(DeadRaw!$B:$B,$A27,DeadRaw!S:S)</f>
        <v>0</v>
      </c>
      <c r="Q27">
        <f>SUMIF(DeadRaw!$B:$B,$A27,DeadRaw!T:T)</f>
        <v>0</v>
      </c>
      <c r="R27">
        <f>SUMIF(DeadRaw!$B:$B,$A27,DeadRaw!U:U)</f>
        <v>0</v>
      </c>
      <c r="S27">
        <f>SUMIF(DeadRaw!$B:$B,$A27,DeadRaw!V:V)</f>
        <v>0</v>
      </c>
      <c r="T27">
        <f>SUMIF(DeadRaw!$B:$B,$A27,DeadRaw!W:W)</f>
        <v>0</v>
      </c>
      <c r="U27">
        <f>SUMIF(DeadRaw!$B:$B,$A27,DeadRaw!X:X)</f>
        <v>0</v>
      </c>
      <c r="V27">
        <f>SUMIF(DeadRaw!$B:$B,$A27,DeadRaw!Y:Y)</f>
        <v>0</v>
      </c>
      <c r="W27">
        <f>SUMIF(DeadRaw!$B:$B,$A27,DeadRaw!Z:Z)</f>
        <v>0</v>
      </c>
      <c r="X27">
        <f>SUMIF(DeadRaw!$B:$B,$A27,DeadRaw!AA:AA)</f>
        <v>0</v>
      </c>
      <c r="Y27">
        <f>SUMIF(DeadRaw!$B:$B,$A27,DeadRaw!AB:AB)</f>
        <v>0</v>
      </c>
      <c r="Z27">
        <f>SUMIF(DeadRaw!$B:$B,$A27,DeadRaw!AC:AC)</f>
        <v>0</v>
      </c>
      <c r="AA27">
        <f>SUMIF(DeadRaw!$B:$B,$A27,DeadRaw!AD:AD)</f>
        <v>0</v>
      </c>
      <c r="AB27">
        <f>SUMIF(DeadRaw!$B:$B,$A27,DeadRaw!AE:AE)</f>
        <v>0</v>
      </c>
      <c r="AC27">
        <f>SUMIF(DeadRaw!$B:$B,$A27,DeadRaw!AF:AF)</f>
        <v>0</v>
      </c>
      <c r="AD27">
        <f>SUMIF(DeadRaw!$B:$B,$A27,DeadRaw!AG:AG)</f>
        <v>0</v>
      </c>
      <c r="AE27">
        <f>SUMIF(DeadRaw!$B:$B,$A27,DeadRaw!AH:AH)</f>
        <v>0</v>
      </c>
      <c r="AF27">
        <f>SUMIF(DeadRaw!$B:$B,$A27,DeadRaw!AI:AI)</f>
        <v>0</v>
      </c>
      <c r="AG27">
        <f>SUMIF(DeadRaw!$B:$B,$A27,DeadRaw!AJ:AJ)</f>
        <v>0</v>
      </c>
      <c r="AH27">
        <f>SUMIF(DeadRaw!$B:$B,$A27,DeadRaw!AK:AK)</f>
        <v>0</v>
      </c>
      <c r="AI27">
        <f>SUMIF(DeadRaw!$B:$B,$A27,DeadRaw!AL:AL)</f>
        <v>0</v>
      </c>
      <c r="AJ27">
        <f>SUMIF(DeadRaw!$B:$B,$A27,DeadRaw!AM:AM)</f>
        <v>0</v>
      </c>
      <c r="AK27">
        <f>SUMIF(DeadRaw!$B:$B,$A27,DeadRaw!AN:AN)</f>
        <v>0</v>
      </c>
      <c r="AL27">
        <f>SUMIF(DeadRaw!$B:$B,$A27,DeadRaw!AO:AO)</f>
        <v>0</v>
      </c>
      <c r="AM27">
        <f>SUMIF(DeadRaw!$B:$B,$A27,DeadRaw!AP:AP)</f>
        <v>0</v>
      </c>
      <c r="AN27">
        <f>SUMIF(DeadRaw!$B:$B,$A27,DeadRaw!AQ:AQ)</f>
        <v>0</v>
      </c>
      <c r="AO27">
        <f>SUMIF(DeadRaw!$B:$B,$A27,DeadRaw!AR:AR)</f>
        <v>0</v>
      </c>
      <c r="AP27">
        <f>SUMIF(DeadRaw!$B:$B,$A27,DeadRaw!AS:AS)</f>
        <v>0</v>
      </c>
      <c r="AQ27">
        <f>SUMIF(DeadRaw!$B:$B,$A27,DeadRaw!AT:AT)</f>
        <v>0</v>
      </c>
      <c r="AR27">
        <f>SUMIF(DeadRaw!$B:$B,$A27,DeadRaw!AU:AU)</f>
        <v>0</v>
      </c>
      <c r="AS27">
        <f>SUMIF(DeadRaw!$B:$B,$A27,DeadRaw!AV:AV)</f>
        <v>0</v>
      </c>
      <c r="AT27">
        <f>SUMIF(DeadRaw!$B:$B,$A27,DeadRaw!AW:AW)</f>
        <v>0</v>
      </c>
      <c r="AU27">
        <f>SUMIF(DeadRaw!$B:$B,$A27,DeadRaw!AX:AX)</f>
        <v>0</v>
      </c>
      <c r="AV27">
        <f>SUMIF(DeadRaw!$B:$B,$A27,DeadRaw!AY:AY)</f>
        <v>0</v>
      </c>
      <c r="AW27">
        <f>SUMIF(DeadRaw!$B:$B,$A27,DeadRaw!AZ:AZ)</f>
        <v>0</v>
      </c>
      <c r="AX27">
        <f>SUMIF(DeadRaw!$B:$B,$A27,DeadRaw!BA:BA)</f>
        <v>0</v>
      </c>
      <c r="AY27">
        <f>SUMIF(DeadRaw!$B:$B,$A27,DeadRaw!BB:BB)</f>
        <v>0</v>
      </c>
      <c r="AZ27">
        <f>SUMIF(DeadRaw!$B:$B,$A27,DeadRaw!BC:BC)</f>
        <v>0</v>
      </c>
      <c r="BA27">
        <f>SUMIF(DeadRaw!$B:$B,$A27,DeadRaw!BD:BD)</f>
        <v>0</v>
      </c>
      <c r="BB27">
        <f>SUMIF(DeadRaw!$B:$B,$A27,DeadRaw!BE:BE)</f>
        <v>0</v>
      </c>
      <c r="BC27">
        <f>SUMIF(DeadRaw!$B:$B,$A27,DeadRaw!BF:BF)</f>
        <v>0</v>
      </c>
      <c r="BD27">
        <f>SUMIF(DeadRaw!$B:$B,$A27,DeadRaw!BG:BG)</f>
        <v>0</v>
      </c>
      <c r="BE27">
        <f>SUMIF(DeadRaw!$B:$B,$A27,DeadRaw!BH:BH)</f>
        <v>0</v>
      </c>
      <c r="BF27">
        <f>SUMIF(DeadRaw!$B:$B,$A27,DeadRaw!BI:BI)</f>
        <v>0</v>
      </c>
      <c r="BG27">
        <f>SUMIF(DeadRaw!$B:$B,$A27,DeadRaw!BJ:BJ)</f>
        <v>0</v>
      </c>
      <c r="BH27">
        <f>SUMIF(DeadRaw!$B:$B,$A27,DeadRaw!BK:BK)</f>
        <v>0</v>
      </c>
      <c r="BI27">
        <f>SUMIF(DeadRaw!$B:$B,$A27,DeadRaw!BL:BL)</f>
        <v>0</v>
      </c>
      <c r="BJ27">
        <f>SUMIF(DeadRaw!$B:$B,$A27,DeadRaw!BM:BM)</f>
        <v>0</v>
      </c>
      <c r="BK27">
        <f>SUMIF(DeadRaw!$B:$B,$A27,DeadRaw!BN:BN)</f>
        <v>0</v>
      </c>
      <c r="BL27">
        <f>SUMIF(DeadRaw!$B:$B,$A27,DeadRaw!BO:BO)</f>
        <v>0</v>
      </c>
      <c r="BM27">
        <f>SUMIF(DeadRaw!$B:$B,$A27,DeadRaw!BP:BP)</f>
        <v>0</v>
      </c>
      <c r="BN27">
        <f>SUMIF(DeadRaw!$B:$B,$A27,DeadRaw!BQ:BQ)</f>
        <v>0</v>
      </c>
      <c r="BO27">
        <f>SUMIF(DeadRaw!$B:$B,$A27,DeadRaw!BR:BR)</f>
        <v>0</v>
      </c>
      <c r="BP27">
        <f>SUMIF(DeadRaw!$B:$B,$A27,DeadRaw!BS:BS)</f>
        <v>0</v>
      </c>
      <c r="BQ27">
        <f>SUMIF(DeadRaw!$B:$B,$A27,DeadRaw!BT:BT)</f>
        <v>0</v>
      </c>
      <c r="BR27">
        <f>SUMIF(DeadRaw!$B:$B,$A27,DeadRaw!BU:BU)</f>
        <v>0</v>
      </c>
      <c r="BS27">
        <f>SUMIF(DeadRaw!$B:$B,$A27,DeadRaw!BV:BV)</f>
        <v>0</v>
      </c>
      <c r="BT27">
        <f>SUMIF(DeadRaw!$B:$B,$A27,DeadRaw!BW:BW)</f>
        <v>0</v>
      </c>
    </row>
    <row r="28" spans="1:72" ht="15" thickBot="1" x14ac:dyDescent="0.35">
      <c r="A28" s="3" t="s">
        <v>54</v>
      </c>
      <c r="B28">
        <f>SUMIF(DeadRaw!$B:$B,$A28,DeadRaw!E:E)</f>
        <v>0</v>
      </c>
      <c r="C28">
        <f>SUMIF(DeadRaw!$B:$B,$A28,DeadRaw!F:F)</f>
        <v>0</v>
      </c>
      <c r="D28">
        <f>SUMIF(DeadRaw!$B:$B,$A28,DeadRaw!G:G)</f>
        <v>0</v>
      </c>
      <c r="E28">
        <f>SUMIF(DeadRaw!$B:$B,$A28,DeadRaw!H:H)</f>
        <v>0</v>
      </c>
      <c r="F28">
        <f>SUMIF(DeadRaw!$B:$B,$A28,DeadRaw!I:I)</f>
        <v>0</v>
      </c>
      <c r="G28">
        <f>SUMIF(DeadRaw!$B:$B,$A28,DeadRaw!J:J)</f>
        <v>0</v>
      </c>
      <c r="H28">
        <f>SUMIF(DeadRaw!$B:$B,$A28,DeadRaw!K:K)</f>
        <v>0</v>
      </c>
      <c r="I28">
        <f>SUMIF(DeadRaw!$B:$B,$A28,DeadRaw!L:L)</f>
        <v>0</v>
      </c>
      <c r="J28">
        <f>SUMIF(DeadRaw!$B:$B,$A28,DeadRaw!M:M)</f>
        <v>0</v>
      </c>
      <c r="K28">
        <f>SUMIF(DeadRaw!$B:$B,$A28,DeadRaw!N:N)</f>
        <v>0</v>
      </c>
      <c r="L28">
        <f>SUMIF(DeadRaw!$B:$B,$A28,DeadRaw!O:O)</f>
        <v>0</v>
      </c>
      <c r="M28">
        <f>SUMIF(DeadRaw!$B:$B,$A28,DeadRaw!P:P)</f>
        <v>0</v>
      </c>
      <c r="N28">
        <f>SUMIF(DeadRaw!$B:$B,$A28,DeadRaw!Q:Q)</f>
        <v>0</v>
      </c>
      <c r="O28">
        <f>SUMIF(DeadRaw!$B:$B,$A28,DeadRaw!R:R)</f>
        <v>0</v>
      </c>
      <c r="P28">
        <f>SUMIF(DeadRaw!$B:$B,$A28,DeadRaw!S:S)</f>
        <v>0</v>
      </c>
      <c r="Q28">
        <f>SUMIF(DeadRaw!$B:$B,$A28,DeadRaw!T:T)</f>
        <v>0</v>
      </c>
      <c r="R28">
        <f>SUMIF(DeadRaw!$B:$B,$A28,DeadRaw!U:U)</f>
        <v>0</v>
      </c>
      <c r="S28">
        <f>SUMIF(DeadRaw!$B:$B,$A28,DeadRaw!V:V)</f>
        <v>0</v>
      </c>
      <c r="T28">
        <f>SUMIF(DeadRaw!$B:$B,$A28,DeadRaw!W:W)</f>
        <v>0</v>
      </c>
      <c r="U28">
        <f>SUMIF(DeadRaw!$B:$B,$A28,DeadRaw!X:X)</f>
        <v>0</v>
      </c>
      <c r="V28">
        <f>SUMIF(DeadRaw!$B:$B,$A28,DeadRaw!Y:Y)</f>
        <v>0</v>
      </c>
      <c r="W28">
        <f>SUMIF(DeadRaw!$B:$B,$A28,DeadRaw!Z:Z)</f>
        <v>0</v>
      </c>
      <c r="X28">
        <f>SUMIF(DeadRaw!$B:$B,$A28,DeadRaw!AA:AA)</f>
        <v>0</v>
      </c>
      <c r="Y28">
        <f>SUMIF(DeadRaw!$B:$B,$A28,DeadRaw!AB:AB)</f>
        <v>0</v>
      </c>
      <c r="Z28">
        <f>SUMIF(DeadRaw!$B:$B,$A28,DeadRaw!AC:AC)</f>
        <v>0</v>
      </c>
      <c r="AA28">
        <f>SUMIF(DeadRaw!$B:$B,$A28,DeadRaw!AD:AD)</f>
        <v>0</v>
      </c>
      <c r="AB28">
        <f>SUMIF(DeadRaw!$B:$B,$A28,DeadRaw!AE:AE)</f>
        <v>0</v>
      </c>
      <c r="AC28">
        <f>SUMIF(DeadRaw!$B:$B,$A28,DeadRaw!AF:AF)</f>
        <v>0</v>
      </c>
      <c r="AD28">
        <f>SUMIF(DeadRaw!$B:$B,$A28,DeadRaw!AG:AG)</f>
        <v>0</v>
      </c>
      <c r="AE28">
        <f>SUMIF(DeadRaw!$B:$B,$A28,DeadRaw!AH:AH)</f>
        <v>0</v>
      </c>
      <c r="AF28">
        <f>SUMIF(DeadRaw!$B:$B,$A28,DeadRaw!AI:AI)</f>
        <v>0</v>
      </c>
      <c r="AG28">
        <f>SUMIF(DeadRaw!$B:$B,$A28,DeadRaw!AJ:AJ)</f>
        <v>0</v>
      </c>
      <c r="AH28">
        <f>SUMIF(DeadRaw!$B:$B,$A28,DeadRaw!AK:AK)</f>
        <v>0</v>
      </c>
      <c r="AI28">
        <f>SUMIF(DeadRaw!$B:$B,$A28,DeadRaw!AL:AL)</f>
        <v>0</v>
      </c>
      <c r="AJ28">
        <f>SUMIF(DeadRaw!$B:$B,$A28,DeadRaw!AM:AM)</f>
        <v>0</v>
      </c>
      <c r="AK28">
        <f>SUMIF(DeadRaw!$B:$B,$A28,DeadRaw!AN:AN)</f>
        <v>0</v>
      </c>
      <c r="AL28">
        <f>SUMIF(DeadRaw!$B:$B,$A28,DeadRaw!AO:AO)</f>
        <v>0</v>
      </c>
      <c r="AM28">
        <f>SUMIF(DeadRaw!$B:$B,$A28,DeadRaw!AP:AP)</f>
        <v>0</v>
      </c>
      <c r="AN28">
        <f>SUMIF(DeadRaw!$B:$B,$A28,DeadRaw!AQ:AQ)</f>
        <v>0</v>
      </c>
      <c r="AO28">
        <f>SUMIF(DeadRaw!$B:$B,$A28,DeadRaw!AR:AR)</f>
        <v>0</v>
      </c>
      <c r="AP28">
        <f>SUMIF(DeadRaw!$B:$B,$A28,DeadRaw!AS:AS)</f>
        <v>0</v>
      </c>
      <c r="AQ28">
        <f>SUMIF(DeadRaw!$B:$B,$A28,DeadRaw!AT:AT)</f>
        <v>0</v>
      </c>
      <c r="AR28">
        <f>SUMIF(DeadRaw!$B:$B,$A28,DeadRaw!AU:AU)</f>
        <v>0</v>
      </c>
      <c r="AS28">
        <f>SUMIF(DeadRaw!$B:$B,$A28,DeadRaw!AV:AV)</f>
        <v>0</v>
      </c>
      <c r="AT28">
        <f>SUMIF(DeadRaw!$B:$B,$A28,DeadRaw!AW:AW)</f>
        <v>0</v>
      </c>
      <c r="AU28">
        <f>SUMIF(DeadRaw!$B:$B,$A28,DeadRaw!AX:AX)</f>
        <v>0</v>
      </c>
      <c r="AV28">
        <f>SUMIF(DeadRaw!$B:$B,$A28,DeadRaw!AY:AY)</f>
        <v>0</v>
      </c>
      <c r="AW28">
        <f>SUMIF(DeadRaw!$B:$B,$A28,DeadRaw!AZ:AZ)</f>
        <v>0</v>
      </c>
      <c r="AX28">
        <f>SUMIF(DeadRaw!$B:$B,$A28,DeadRaw!BA:BA)</f>
        <v>0</v>
      </c>
      <c r="AY28">
        <f>SUMIF(DeadRaw!$B:$B,$A28,DeadRaw!BB:BB)</f>
        <v>0</v>
      </c>
      <c r="AZ28">
        <f>SUMIF(DeadRaw!$B:$B,$A28,DeadRaw!BC:BC)</f>
        <v>0</v>
      </c>
      <c r="BA28">
        <f>SUMIF(DeadRaw!$B:$B,$A28,DeadRaw!BD:BD)</f>
        <v>0</v>
      </c>
      <c r="BB28">
        <f>SUMIF(DeadRaw!$B:$B,$A28,DeadRaw!BE:BE)</f>
        <v>0</v>
      </c>
      <c r="BC28">
        <f>SUMIF(DeadRaw!$B:$B,$A28,DeadRaw!BF:BF)</f>
        <v>0</v>
      </c>
      <c r="BD28">
        <f>SUMIF(DeadRaw!$B:$B,$A28,DeadRaw!BG:BG)</f>
        <v>0</v>
      </c>
      <c r="BE28">
        <f>SUMIF(DeadRaw!$B:$B,$A28,DeadRaw!BH:BH)</f>
        <v>0</v>
      </c>
      <c r="BF28">
        <f>SUMIF(DeadRaw!$B:$B,$A28,DeadRaw!BI:BI)</f>
        <v>0</v>
      </c>
      <c r="BG28">
        <f>SUMIF(DeadRaw!$B:$B,$A28,DeadRaw!BJ:BJ)</f>
        <v>0</v>
      </c>
      <c r="BH28">
        <f>SUMIF(DeadRaw!$B:$B,$A28,DeadRaw!BK:BK)</f>
        <v>0</v>
      </c>
      <c r="BI28">
        <f>SUMIF(DeadRaw!$B:$B,$A28,DeadRaw!BL:BL)</f>
        <v>0</v>
      </c>
      <c r="BJ28">
        <f>SUMIF(DeadRaw!$B:$B,$A28,DeadRaw!BM:BM)</f>
        <v>0</v>
      </c>
      <c r="BK28">
        <f>SUMIF(DeadRaw!$B:$B,$A28,DeadRaw!BN:BN)</f>
        <v>0</v>
      </c>
      <c r="BL28">
        <f>SUMIF(DeadRaw!$B:$B,$A28,DeadRaw!BO:BO)</f>
        <v>0</v>
      </c>
      <c r="BM28">
        <f>SUMIF(DeadRaw!$B:$B,$A28,DeadRaw!BP:BP)</f>
        <v>0</v>
      </c>
      <c r="BN28">
        <f>SUMIF(DeadRaw!$B:$B,$A28,DeadRaw!BQ:BQ)</f>
        <v>0</v>
      </c>
      <c r="BO28">
        <f>SUMIF(DeadRaw!$B:$B,$A28,DeadRaw!BR:BR)</f>
        <v>0</v>
      </c>
      <c r="BP28">
        <f>SUMIF(DeadRaw!$B:$B,$A28,DeadRaw!BS:BS)</f>
        <v>0</v>
      </c>
      <c r="BQ28">
        <f>SUMIF(DeadRaw!$B:$B,$A28,DeadRaw!BT:BT)</f>
        <v>0</v>
      </c>
      <c r="BR28">
        <f>SUMIF(DeadRaw!$B:$B,$A28,DeadRaw!BU:BU)</f>
        <v>0</v>
      </c>
      <c r="BS28">
        <f>SUMIF(DeadRaw!$B:$B,$A28,DeadRaw!BV:BV)</f>
        <v>0</v>
      </c>
      <c r="BT28">
        <f>SUMIF(DeadRaw!$B:$B,$A28,DeadRaw!BW:BW)</f>
        <v>0</v>
      </c>
    </row>
    <row r="29" spans="1:72" ht="15" thickBot="1" x14ac:dyDescent="0.35">
      <c r="A29" s="4" t="s">
        <v>81</v>
      </c>
      <c r="B29">
        <f>SUMIF(DeadRaw!$B:$B,$A29,DeadRaw!E:E)</f>
        <v>0</v>
      </c>
      <c r="C29">
        <f>SUMIF(DeadRaw!$B:$B,$A29,DeadRaw!F:F)</f>
        <v>0</v>
      </c>
      <c r="D29">
        <f>SUMIF(DeadRaw!$B:$B,$A29,DeadRaw!G:G)</f>
        <v>0</v>
      </c>
      <c r="E29">
        <f>SUMIF(DeadRaw!$B:$B,$A29,DeadRaw!H:H)</f>
        <v>0</v>
      </c>
      <c r="F29">
        <f>SUMIF(DeadRaw!$B:$B,$A29,DeadRaw!I:I)</f>
        <v>0</v>
      </c>
      <c r="G29">
        <f>SUMIF(DeadRaw!$B:$B,$A29,DeadRaw!J:J)</f>
        <v>0</v>
      </c>
      <c r="H29">
        <f>SUMIF(DeadRaw!$B:$B,$A29,DeadRaw!K:K)</f>
        <v>0</v>
      </c>
      <c r="I29">
        <f>SUMIF(DeadRaw!$B:$B,$A29,DeadRaw!L:L)</f>
        <v>0</v>
      </c>
      <c r="J29">
        <f>SUMIF(DeadRaw!$B:$B,$A29,DeadRaw!M:M)</f>
        <v>0</v>
      </c>
      <c r="K29">
        <f>SUMIF(DeadRaw!$B:$B,$A29,DeadRaw!N:N)</f>
        <v>0</v>
      </c>
      <c r="L29">
        <f>SUMIF(DeadRaw!$B:$B,$A29,DeadRaw!O:O)</f>
        <v>0</v>
      </c>
      <c r="M29">
        <f>SUMIF(DeadRaw!$B:$B,$A29,DeadRaw!P:P)</f>
        <v>0</v>
      </c>
      <c r="N29">
        <f>SUMIF(DeadRaw!$B:$B,$A29,DeadRaw!Q:Q)</f>
        <v>0</v>
      </c>
      <c r="O29">
        <f>SUMIF(DeadRaw!$B:$B,$A29,DeadRaw!R:R)</f>
        <v>0</v>
      </c>
      <c r="P29">
        <f>SUMIF(DeadRaw!$B:$B,$A29,DeadRaw!S:S)</f>
        <v>0</v>
      </c>
      <c r="Q29">
        <f>SUMIF(DeadRaw!$B:$B,$A29,DeadRaw!T:T)</f>
        <v>0</v>
      </c>
      <c r="R29">
        <f>SUMIF(DeadRaw!$B:$B,$A29,DeadRaw!U:U)</f>
        <v>0</v>
      </c>
      <c r="S29">
        <f>SUMIF(DeadRaw!$B:$B,$A29,DeadRaw!V:V)</f>
        <v>0</v>
      </c>
      <c r="T29">
        <f>SUMIF(DeadRaw!$B:$B,$A29,DeadRaw!W:W)</f>
        <v>0</v>
      </c>
      <c r="U29">
        <f>SUMIF(DeadRaw!$B:$B,$A29,DeadRaw!X:X)</f>
        <v>0</v>
      </c>
      <c r="V29">
        <f>SUMIF(DeadRaw!$B:$B,$A29,DeadRaw!Y:Y)</f>
        <v>0</v>
      </c>
      <c r="W29">
        <f>SUMIF(DeadRaw!$B:$B,$A29,DeadRaw!Z:Z)</f>
        <v>0</v>
      </c>
      <c r="X29">
        <f>SUMIF(DeadRaw!$B:$B,$A29,DeadRaw!AA:AA)</f>
        <v>0</v>
      </c>
      <c r="Y29">
        <f>SUMIF(DeadRaw!$B:$B,$A29,DeadRaw!AB:AB)</f>
        <v>0</v>
      </c>
      <c r="Z29">
        <f>SUMIF(DeadRaw!$B:$B,$A29,DeadRaw!AC:AC)</f>
        <v>0</v>
      </c>
      <c r="AA29">
        <f>SUMIF(DeadRaw!$B:$B,$A29,DeadRaw!AD:AD)</f>
        <v>0</v>
      </c>
      <c r="AB29">
        <f>SUMIF(DeadRaw!$B:$B,$A29,DeadRaw!AE:AE)</f>
        <v>0</v>
      </c>
      <c r="AC29">
        <f>SUMIF(DeadRaw!$B:$B,$A29,DeadRaw!AF:AF)</f>
        <v>0</v>
      </c>
      <c r="AD29">
        <f>SUMIF(DeadRaw!$B:$B,$A29,DeadRaw!AG:AG)</f>
        <v>0</v>
      </c>
      <c r="AE29">
        <f>SUMIF(DeadRaw!$B:$B,$A29,DeadRaw!AH:AH)</f>
        <v>0</v>
      </c>
      <c r="AF29">
        <f>SUMIF(DeadRaw!$B:$B,$A29,DeadRaw!AI:AI)</f>
        <v>0</v>
      </c>
      <c r="AG29">
        <f>SUMIF(DeadRaw!$B:$B,$A29,DeadRaw!AJ:AJ)</f>
        <v>0</v>
      </c>
      <c r="AH29">
        <f>SUMIF(DeadRaw!$B:$B,$A29,DeadRaw!AK:AK)</f>
        <v>0</v>
      </c>
      <c r="AI29">
        <f>SUMIF(DeadRaw!$B:$B,$A29,DeadRaw!AL:AL)</f>
        <v>0</v>
      </c>
      <c r="AJ29">
        <f>SUMIF(DeadRaw!$B:$B,$A29,DeadRaw!AM:AM)</f>
        <v>0</v>
      </c>
      <c r="AK29">
        <f>SUMIF(DeadRaw!$B:$B,$A29,DeadRaw!AN:AN)</f>
        <v>0</v>
      </c>
      <c r="AL29">
        <f>SUMIF(DeadRaw!$B:$B,$A29,DeadRaw!AO:AO)</f>
        <v>0</v>
      </c>
      <c r="AM29">
        <f>SUMIF(DeadRaw!$B:$B,$A29,DeadRaw!AP:AP)</f>
        <v>0</v>
      </c>
      <c r="AN29">
        <f>SUMIF(DeadRaw!$B:$B,$A29,DeadRaw!AQ:AQ)</f>
        <v>0</v>
      </c>
      <c r="AO29">
        <f>SUMIF(DeadRaw!$B:$B,$A29,DeadRaw!AR:AR)</f>
        <v>0</v>
      </c>
      <c r="AP29">
        <f>SUMIF(DeadRaw!$B:$B,$A29,DeadRaw!AS:AS)</f>
        <v>0</v>
      </c>
      <c r="AQ29">
        <f>SUMIF(DeadRaw!$B:$B,$A29,DeadRaw!AT:AT)</f>
        <v>0</v>
      </c>
      <c r="AR29">
        <f>SUMIF(DeadRaw!$B:$B,$A29,DeadRaw!AU:AU)</f>
        <v>0</v>
      </c>
      <c r="AS29">
        <f>SUMIF(DeadRaw!$B:$B,$A29,DeadRaw!AV:AV)</f>
        <v>0</v>
      </c>
      <c r="AT29">
        <f>SUMIF(DeadRaw!$B:$B,$A29,DeadRaw!AW:AW)</f>
        <v>0</v>
      </c>
      <c r="AU29">
        <f>SUMIF(DeadRaw!$B:$B,$A29,DeadRaw!AX:AX)</f>
        <v>0</v>
      </c>
      <c r="AV29">
        <f>SUMIF(DeadRaw!$B:$B,$A29,DeadRaw!AY:AY)</f>
        <v>0</v>
      </c>
      <c r="AW29">
        <f>SUMIF(DeadRaw!$B:$B,$A29,DeadRaw!AZ:AZ)</f>
        <v>0</v>
      </c>
      <c r="AX29">
        <f>SUMIF(DeadRaw!$B:$B,$A29,DeadRaw!BA:BA)</f>
        <v>0</v>
      </c>
      <c r="AY29">
        <f>SUMIF(DeadRaw!$B:$B,$A29,DeadRaw!BB:BB)</f>
        <v>0</v>
      </c>
      <c r="AZ29">
        <f>SUMIF(DeadRaw!$B:$B,$A29,DeadRaw!BC:BC)</f>
        <v>0</v>
      </c>
      <c r="BA29">
        <f>SUMIF(DeadRaw!$B:$B,$A29,DeadRaw!BD:BD)</f>
        <v>0</v>
      </c>
      <c r="BB29">
        <f>SUMIF(DeadRaw!$B:$B,$A29,DeadRaw!BE:BE)</f>
        <v>0</v>
      </c>
      <c r="BC29">
        <f>SUMIF(DeadRaw!$B:$B,$A29,DeadRaw!BF:BF)</f>
        <v>0</v>
      </c>
      <c r="BD29">
        <f>SUMIF(DeadRaw!$B:$B,$A29,DeadRaw!BG:BG)</f>
        <v>0</v>
      </c>
      <c r="BE29">
        <f>SUMIF(DeadRaw!$B:$B,$A29,DeadRaw!BH:BH)</f>
        <v>1</v>
      </c>
      <c r="BF29">
        <f>SUMIF(DeadRaw!$B:$B,$A29,DeadRaw!BI:BI)</f>
        <v>3</v>
      </c>
      <c r="BG29">
        <f>SUMIF(DeadRaw!$B:$B,$A29,DeadRaw!BJ:BJ)</f>
        <v>6</v>
      </c>
      <c r="BH29">
        <f>SUMIF(DeadRaw!$B:$B,$A29,DeadRaw!BK:BK)</f>
        <v>11</v>
      </c>
      <c r="BI29">
        <f>SUMIF(DeadRaw!$B:$B,$A29,DeadRaw!BL:BL)</f>
        <v>0</v>
      </c>
      <c r="BJ29">
        <f>SUMIF(DeadRaw!$B:$B,$A29,DeadRaw!BM:BM)</f>
        <v>0</v>
      </c>
      <c r="BK29">
        <f>SUMIF(DeadRaw!$B:$B,$A29,DeadRaw!BN:BN)</f>
        <v>0</v>
      </c>
      <c r="BL29">
        <f>SUMIF(DeadRaw!$B:$B,$A29,DeadRaw!BO:BO)</f>
        <v>0</v>
      </c>
      <c r="BM29">
        <f>SUMIF(DeadRaw!$B:$B,$A29,DeadRaw!BP:BP)</f>
        <v>0</v>
      </c>
      <c r="BN29">
        <f>SUMIF(DeadRaw!$B:$B,$A29,DeadRaw!BQ:BQ)</f>
        <v>0</v>
      </c>
      <c r="BO29">
        <f>SUMIF(DeadRaw!$B:$B,$A29,DeadRaw!BR:BR)</f>
        <v>0</v>
      </c>
      <c r="BP29">
        <f>SUMIF(DeadRaw!$B:$B,$A29,DeadRaw!BS:BS)</f>
        <v>0</v>
      </c>
      <c r="BQ29">
        <f>SUMIF(DeadRaw!$B:$B,$A29,DeadRaw!BT:BT)</f>
        <v>0</v>
      </c>
      <c r="BR29">
        <f>SUMIF(DeadRaw!$B:$B,$A29,DeadRaw!BU:BU)</f>
        <v>0</v>
      </c>
      <c r="BS29">
        <f>SUMIF(DeadRaw!$B:$B,$A29,DeadRaw!BV:BV)</f>
        <v>0</v>
      </c>
      <c r="BT29">
        <f>SUMIF(DeadRaw!$B:$B,$A29,DeadRaw!BW:BW)</f>
        <v>0</v>
      </c>
    </row>
    <row r="30" spans="1:72" ht="15" thickBot="1" x14ac:dyDescent="0.35">
      <c r="A30" s="3" t="s">
        <v>341</v>
      </c>
      <c r="B30">
        <f>SUMIF(DeadRaw!$B:$B,$A30,DeadRaw!E:E)</f>
        <v>0</v>
      </c>
      <c r="C30">
        <f>SUMIF(DeadRaw!$B:$B,$A30,DeadRaw!F:F)</f>
        <v>0</v>
      </c>
      <c r="D30">
        <f>SUMIF(DeadRaw!$B:$B,$A30,DeadRaw!G:G)</f>
        <v>0</v>
      </c>
      <c r="E30">
        <f>SUMIF(DeadRaw!$B:$B,$A30,DeadRaw!H:H)</f>
        <v>0</v>
      </c>
      <c r="F30">
        <f>SUMIF(DeadRaw!$B:$B,$A30,DeadRaw!I:I)</f>
        <v>0</v>
      </c>
      <c r="G30">
        <f>SUMIF(DeadRaw!$B:$B,$A30,DeadRaw!J:J)</f>
        <v>0</v>
      </c>
      <c r="H30">
        <f>SUMIF(DeadRaw!$B:$B,$A30,DeadRaw!K:K)</f>
        <v>0</v>
      </c>
      <c r="I30">
        <f>SUMIF(DeadRaw!$B:$B,$A30,DeadRaw!L:L)</f>
        <v>0</v>
      </c>
      <c r="J30">
        <f>SUMIF(DeadRaw!$B:$B,$A30,DeadRaw!M:M)</f>
        <v>0</v>
      </c>
      <c r="K30">
        <f>SUMIF(DeadRaw!$B:$B,$A30,DeadRaw!N:N)</f>
        <v>0</v>
      </c>
      <c r="L30">
        <f>SUMIF(DeadRaw!$B:$B,$A30,DeadRaw!O:O)</f>
        <v>0</v>
      </c>
      <c r="M30">
        <f>SUMIF(DeadRaw!$B:$B,$A30,DeadRaw!P:P)</f>
        <v>0</v>
      </c>
      <c r="N30">
        <f>SUMIF(DeadRaw!$B:$B,$A30,DeadRaw!Q:Q)</f>
        <v>0</v>
      </c>
      <c r="O30">
        <f>SUMIF(DeadRaw!$B:$B,$A30,DeadRaw!R:R)</f>
        <v>0</v>
      </c>
      <c r="P30">
        <f>SUMIF(DeadRaw!$B:$B,$A30,DeadRaw!S:S)</f>
        <v>0</v>
      </c>
      <c r="Q30">
        <f>SUMIF(DeadRaw!$B:$B,$A30,DeadRaw!T:T)</f>
        <v>0</v>
      </c>
      <c r="R30">
        <f>SUMIF(DeadRaw!$B:$B,$A30,DeadRaw!U:U)</f>
        <v>0</v>
      </c>
      <c r="S30">
        <f>SUMIF(DeadRaw!$B:$B,$A30,DeadRaw!V:V)</f>
        <v>0</v>
      </c>
      <c r="T30">
        <f>SUMIF(DeadRaw!$B:$B,$A30,DeadRaw!W:W)</f>
        <v>0</v>
      </c>
      <c r="U30">
        <f>SUMIF(DeadRaw!$B:$B,$A30,DeadRaw!X:X)</f>
        <v>0</v>
      </c>
      <c r="V30">
        <f>SUMIF(DeadRaw!$B:$B,$A30,DeadRaw!Y:Y)</f>
        <v>0</v>
      </c>
      <c r="W30">
        <f>SUMIF(DeadRaw!$B:$B,$A30,DeadRaw!Z:Z)</f>
        <v>0</v>
      </c>
      <c r="X30">
        <f>SUMIF(DeadRaw!$B:$B,$A30,DeadRaw!AA:AA)</f>
        <v>0</v>
      </c>
      <c r="Y30">
        <f>SUMIF(DeadRaw!$B:$B,$A30,DeadRaw!AB:AB)</f>
        <v>0</v>
      </c>
      <c r="Z30">
        <f>SUMIF(DeadRaw!$B:$B,$A30,DeadRaw!AC:AC)</f>
        <v>0</v>
      </c>
      <c r="AA30">
        <f>SUMIF(DeadRaw!$B:$B,$A30,DeadRaw!AD:AD)</f>
        <v>0</v>
      </c>
      <c r="AB30">
        <f>SUMIF(DeadRaw!$B:$B,$A30,DeadRaw!AE:AE)</f>
        <v>0</v>
      </c>
      <c r="AC30">
        <f>SUMIF(DeadRaw!$B:$B,$A30,DeadRaw!AF:AF)</f>
        <v>0</v>
      </c>
      <c r="AD30">
        <f>SUMIF(DeadRaw!$B:$B,$A30,DeadRaw!AG:AG)</f>
        <v>0</v>
      </c>
      <c r="AE30">
        <f>SUMIF(DeadRaw!$B:$B,$A30,DeadRaw!AH:AH)</f>
        <v>0</v>
      </c>
      <c r="AF30">
        <f>SUMIF(DeadRaw!$B:$B,$A30,DeadRaw!AI:AI)</f>
        <v>0</v>
      </c>
      <c r="AG30">
        <f>SUMIF(DeadRaw!$B:$B,$A30,DeadRaw!AJ:AJ)</f>
        <v>0</v>
      </c>
      <c r="AH30">
        <f>SUMIF(DeadRaw!$B:$B,$A30,DeadRaw!AK:AK)</f>
        <v>0</v>
      </c>
      <c r="AI30">
        <f>SUMIF(DeadRaw!$B:$B,$A30,DeadRaw!AL:AL)</f>
        <v>0</v>
      </c>
      <c r="AJ30">
        <f>SUMIF(DeadRaw!$B:$B,$A30,DeadRaw!AM:AM)</f>
        <v>0</v>
      </c>
      <c r="AK30">
        <f>SUMIF(DeadRaw!$B:$B,$A30,DeadRaw!AN:AN)</f>
        <v>0</v>
      </c>
      <c r="AL30">
        <f>SUMIF(DeadRaw!$B:$B,$A30,DeadRaw!AO:AO)</f>
        <v>0</v>
      </c>
      <c r="AM30">
        <f>SUMIF(DeadRaw!$B:$B,$A30,DeadRaw!AP:AP)</f>
        <v>0</v>
      </c>
      <c r="AN30">
        <f>SUMIF(DeadRaw!$B:$B,$A30,DeadRaw!AQ:AQ)</f>
        <v>0</v>
      </c>
      <c r="AO30">
        <f>SUMIF(DeadRaw!$B:$B,$A30,DeadRaw!AR:AR)</f>
        <v>0</v>
      </c>
      <c r="AP30">
        <f>SUMIF(DeadRaw!$B:$B,$A30,DeadRaw!AS:AS)</f>
        <v>0</v>
      </c>
      <c r="AQ30">
        <f>SUMIF(DeadRaw!$B:$B,$A30,DeadRaw!AT:AT)</f>
        <v>0</v>
      </c>
      <c r="AR30">
        <f>SUMIF(DeadRaw!$B:$B,$A30,DeadRaw!AU:AU)</f>
        <v>0</v>
      </c>
      <c r="AS30">
        <f>SUMIF(DeadRaw!$B:$B,$A30,DeadRaw!AV:AV)</f>
        <v>0</v>
      </c>
      <c r="AT30">
        <f>SUMIF(DeadRaw!$B:$B,$A30,DeadRaw!AW:AW)</f>
        <v>0</v>
      </c>
      <c r="AU30">
        <f>SUMIF(DeadRaw!$B:$B,$A30,DeadRaw!AX:AX)</f>
        <v>0</v>
      </c>
      <c r="AV30">
        <f>SUMIF(DeadRaw!$B:$B,$A30,DeadRaw!AY:AY)</f>
        <v>0</v>
      </c>
      <c r="AW30">
        <f>SUMIF(DeadRaw!$B:$B,$A30,DeadRaw!AZ:AZ)</f>
        <v>0</v>
      </c>
      <c r="AX30">
        <f>SUMIF(DeadRaw!$B:$B,$A30,DeadRaw!BA:BA)</f>
        <v>0</v>
      </c>
      <c r="AY30">
        <f>SUMIF(DeadRaw!$B:$B,$A30,DeadRaw!BB:BB)</f>
        <v>0</v>
      </c>
      <c r="AZ30">
        <f>SUMIF(DeadRaw!$B:$B,$A30,DeadRaw!BC:BC)</f>
        <v>0</v>
      </c>
      <c r="BA30">
        <f>SUMIF(DeadRaw!$B:$B,$A30,DeadRaw!BD:BD)</f>
        <v>0</v>
      </c>
      <c r="BB30">
        <f>SUMIF(DeadRaw!$B:$B,$A30,DeadRaw!BE:BE)</f>
        <v>0</v>
      </c>
      <c r="BC30">
        <f>SUMIF(DeadRaw!$B:$B,$A30,DeadRaw!BF:BF)</f>
        <v>0</v>
      </c>
      <c r="BD30">
        <f>SUMIF(DeadRaw!$B:$B,$A30,DeadRaw!BG:BG)</f>
        <v>0</v>
      </c>
      <c r="BE30">
        <f>SUMIF(DeadRaw!$B:$B,$A30,DeadRaw!BH:BH)</f>
        <v>0</v>
      </c>
      <c r="BF30">
        <f>SUMIF(DeadRaw!$B:$B,$A30,DeadRaw!BI:BI)</f>
        <v>0</v>
      </c>
      <c r="BG30">
        <f>SUMIF(DeadRaw!$B:$B,$A30,DeadRaw!BJ:BJ)</f>
        <v>0</v>
      </c>
      <c r="BH30">
        <f>SUMIF(DeadRaw!$B:$B,$A30,DeadRaw!BK:BK)</f>
        <v>0</v>
      </c>
      <c r="BI30">
        <f>SUMIF(DeadRaw!$B:$B,$A30,DeadRaw!BL:BL)</f>
        <v>0</v>
      </c>
      <c r="BJ30">
        <f>SUMIF(DeadRaw!$B:$B,$A30,DeadRaw!BM:BM)</f>
        <v>0</v>
      </c>
      <c r="BK30">
        <f>SUMIF(DeadRaw!$B:$B,$A30,DeadRaw!BN:BN)</f>
        <v>0</v>
      </c>
      <c r="BL30">
        <f>SUMIF(DeadRaw!$B:$B,$A30,DeadRaw!BO:BO)</f>
        <v>0</v>
      </c>
      <c r="BM30">
        <f>SUMIF(DeadRaw!$B:$B,$A30,DeadRaw!BP:BP)</f>
        <v>0</v>
      </c>
      <c r="BN30">
        <f>SUMIF(DeadRaw!$B:$B,$A30,DeadRaw!BQ:BQ)</f>
        <v>0</v>
      </c>
      <c r="BO30">
        <f>SUMIF(DeadRaw!$B:$B,$A30,DeadRaw!BR:BR)</f>
        <v>0</v>
      </c>
      <c r="BP30">
        <f>SUMIF(DeadRaw!$B:$B,$A30,DeadRaw!BS:BS)</f>
        <v>0</v>
      </c>
      <c r="BQ30">
        <f>SUMIF(DeadRaw!$B:$B,$A30,DeadRaw!BT:BT)</f>
        <v>0</v>
      </c>
      <c r="BR30">
        <f>SUMIF(DeadRaw!$B:$B,$A30,DeadRaw!BU:BU)</f>
        <v>0</v>
      </c>
      <c r="BS30">
        <f>SUMIF(DeadRaw!$B:$B,$A30,DeadRaw!BV:BV)</f>
        <v>0</v>
      </c>
      <c r="BT30">
        <f>SUMIF(DeadRaw!$B:$B,$A30,DeadRaw!BW:BW)</f>
        <v>0</v>
      </c>
    </row>
    <row r="31" spans="1:72" ht="15" thickBot="1" x14ac:dyDescent="0.35">
      <c r="A31" s="4" t="s">
        <v>141</v>
      </c>
      <c r="B31">
        <f>SUMIF(DeadRaw!$B:$B,$A31,DeadRaw!E:E)</f>
        <v>0</v>
      </c>
      <c r="C31">
        <f>SUMIF(DeadRaw!$B:$B,$A31,DeadRaw!F:F)</f>
        <v>0</v>
      </c>
      <c r="D31">
        <f>SUMIF(DeadRaw!$B:$B,$A31,DeadRaw!G:G)</f>
        <v>0</v>
      </c>
      <c r="E31">
        <f>SUMIF(DeadRaw!$B:$B,$A31,DeadRaw!H:H)</f>
        <v>0</v>
      </c>
      <c r="F31">
        <f>SUMIF(DeadRaw!$B:$B,$A31,DeadRaw!I:I)</f>
        <v>0</v>
      </c>
      <c r="G31">
        <f>SUMIF(DeadRaw!$B:$B,$A31,DeadRaw!J:J)</f>
        <v>0</v>
      </c>
      <c r="H31">
        <f>SUMIF(DeadRaw!$B:$B,$A31,DeadRaw!K:K)</f>
        <v>0</v>
      </c>
      <c r="I31">
        <f>SUMIF(DeadRaw!$B:$B,$A31,DeadRaw!L:L)</f>
        <v>0</v>
      </c>
      <c r="J31">
        <f>SUMIF(DeadRaw!$B:$B,$A31,DeadRaw!M:M)</f>
        <v>0</v>
      </c>
      <c r="K31">
        <f>SUMIF(DeadRaw!$B:$B,$A31,DeadRaw!N:N)</f>
        <v>0</v>
      </c>
      <c r="L31">
        <f>SUMIF(DeadRaw!$B:$B,$A31,DeadRaw!O:O)</f>
        <v>0</v>
      </c>
      <c r="M31">
        <f>SUMIF(DeadRaw!$B:$B,$A31,DeadRaw!P:P)</f>
        <v>0</v>
      </c>
      <c r="N31">
        <f>SUMIF(DeadRaw!$B:$B,$A31,DeadRaw!Q:Q)</f>
        <v>0</v>
      </c>
      <c r="O31">
        <f>SUMIF(DeadRaw!$B:$B,$A31,DeadRaw!R:R)</f>
        <v>0</v>
      </c>
      <c r="P31">
        <f>SUMIF(DeadRaw!$B:$B,$A31,DeadRaw!S:S)</f>
        <v>0</v>
      </c>
      <c r="Q31">
        <f>SUMIF(DeadRaw!$B:$B,$A31,DeadRaw!T:T)</f>
        <v>0</v>
      </c>
      <c r="R31">
        <f>SUMIF(DeadRaw!$B:$B,$A31,DeadRaw!U:U)</f>
        <v>0</v>
      </c>
      <c r="S31">
        <f>SUMIF(DeadRaw!$B:$B,$A31,DeadRaw!V:V)</f>
        <v>0</v>
      </c>
      <c r="T31">
        <f>SUMIF(DeadRaw!$B:$B,$A31,DeadRaw!W:W)</f>
        <v>0</v>
      </c>
      <c r="U31">
        <f>SUMIF(DeadRaw!$B:$B,$A31,DeadRaw!X:X)</f>
        <v>0</v>
      </c>
      <c r="V31">
        <f>SUMIF(DeadRaw!$B:$B,$A31,DeadRaw!Y:Y)</f>
        <v>0</v>
      </c>
      <c r="W31">
        <f>SUMIF(DeadRaw!$B:$B,$A31,DeadRaw!Z:Z)</f>
        <v>0</v>
      </c>
      <c r="X31">
        <f>SUMIF(DeadRaw!$B:$B,$A31,DeadRaw!AA:AA)</f>
        <v>0</v>
      </c>
      <c r="Y31">
        <f>SUMIF(DeadRaw!$B:$B,$A31,DeadRaw!AB:AB)</f>
        <v>0</v>
      </c>
      <c r="Z31">
        <f>SUMIF(DeadRaw!$B:$B,$A31,DeadRaw!AC:AC)</f>
        <v>0</v>
      </c>
      <c r="AA31">
        <f>SUMIF(DeadRaw!$B:$B,$A31,DeadRaw!AD:AD)</f>
        <v>0</v>
      </c>
      <c r="AB31">
        <f>SUMIF(DeadRaw!$B:$B,$A31,DeadRaw!AE:AE)</f>
        <v>0</v>
      </c>
      <c r="AC31">
        <f>SUMIF(DeadRaw!$B:$B,$A31,DeadRaw!AF:AF)</f>
        <v>0</v>
      </c>
      <c r="AD31">
        <f>SUMIF(DeadRaw!$B:$B,$A31,DeadRaw!AG:AG)</f>
        <v>0</v>
      </c>
      <c r="AE31">
        <f>SUMIF(DeadRaw!$B:$B,$A31,DeadRaw!AH:AH)</f>
        <v>0</v>
      </c>
      <c r="AF31">
        <f>SUMIF(DeadRaw!$B:$B,$A31,DeadRaw!AI:AI)</f>
        <v>0</v>
      </c>
      <c r="AG31">
        <f>SUMIF(DeadRaw!$B:$B,$A31,DeadRaw!AJ:AJ)</f>
        <v>0</v>
      </c>
      <c r="AH31">
        <f>SUMIF(DeadRaw!$B:$B,$A31,DeadRaw!AK:AK)</f>
        <v>0</v>
      </c>
      <c r="AI31">
        <f>SUMIF(DeadRaw!$B:$B,$A31,DeadRaw!AL:AL)</f>
        <v>0</v>
      </c>
      <c r="AJ31">
        <f>SUMIF(DeadRaw!$B:$B,$A31,DeadRaw!AM:AM)</f>
        <v>0</v>
      </c>
      <c r="AK31">
        <f>SUMIF(DeadRaw!$B:$B,$A31,DeadRaw!AN:AN)</f>
        <v>0</v>
      </c>
      <c r="AL31">
        <f>SUMIF(DeadRaw!$B:$B,$A31,DeadRaw!AO:AO)</f>
        <v>0</v>
      </c>
      <c r="AM31">
        <f>SUMIF(DeadRaw!$B:$B,$A31,DeadRaw!AP:AP)</f>
        <v>0</v>
      </c>
      <c r="AN31">
        <f>SUMIF(DeadRaw!$B:$B,$A31,DeadRaw!AQ:AQ)</f>
        <v>0</v>
      </c>
      <c r="AO31">
        <f>SUMIF(DeadRaw!$B:$B,$A31,DeadRaw!AR:AR)</f>
        <v>0</v>
      </c>
      <c r="AP31">
        <f>SUMIF(DeadRaw!$B:$B,$A31,DeadRaw!AS:AS)</f>
        <v>0</v>
      </c>
      <c r="AQ31">
        <f>SUMIF(DeadRaw!$B:$B,$A31,DeadRaw!AT:AT)</f>
        <v>0</v>
      </c>
      <c r="AR31">
        <f>SUMIF(DeadRaw!$B:$B,$A31,DeadRaw!AU:AU)</f>
        <v>0</v>
      </c>
      <c r="AS31">
        <f>SUMIF(DeadRaw!$B:$B,$A31,DeadRaw!AV:AV)</f>
        <v>0</v>
      </c>
      <c r="AT31">
        <f>SUMIF(DeadRaw!$B:$B,$A31,DeadRaw!AW:AW)</f>
        <v>0</v>
      </c>
      <c r="AU31">
        <f>SUMIF(DeadRaw!$B:$B,$A31,DeadRaw!AX:AX)</f>
        <v>0</v>
      </c>
      <c r="AV31">
        <f>SUMIF(DeadRaw!$B:$B,$A31,DeadRaw!AY:AY)</f>
        <v>0</v>
      </c>
      <c r="AW31">
        <f>SUMIF(DeadRaw!$B:$B,$A31,DeadRaw!AZ:AZ)</f>
        <v>0</v>
      </c>
      <c r="AX31">
        <f>SUMIF(DeadRaw!$B:$B,$A31,DeadRaw!BA:BA)</f>
        <v>0</v>
      </c>
      <c r="AY31">
        <f>SUMIF(DeadRaw!$B:$B,$A31,DeadRaw!BB:BB)</f>
        <v>0</v>
      </c>
      <c r="AZ31">
        <f>SUMIF(DeadRaw!$B:$B,$A31,DeadRaw!BC:BC)</f>
        <v>0</v>
      </c>
      <c r="BA31">
        <f>SUMIF(DeadRaw!$B:$B,$A31,DeadRaw!BD:BD)</f>
        <v>0</v>
      </c>
      <c r="BB31">
        <f>SUMIF(DeadRaw!$B:$B,$A31,DeadRaw!BE:BE)</f>
        <v>1</v>
      </c>
      <c r="BC31">
        <f>SUMIF(DeadRaw!$B:$B,$A31,DeadRaw!BF:BF)</f>
        <v>1</v>
      </c>
      <c r="BD31">
        <f>SUMIF(DeadRaw!$B:$B,$A31,DeadRaw!BG:BG)</f>
        <v>1</v>
      </c>
      <c r="BE31">
        <f>SUMIF(DeadRaw!$B:$B,$A31,DeadRaw!BH:BH)</f>
        <v>1</v>
      </c>
      <c r="BF31">
        <f>SUMIF(DeadRaw!$B:$B,$A31,DeadRaw!BI:BI)</f>
        <v>1</v>
      </c>
      <c r="BG31">
        <f>SUMIF(DeadRaw!$B:$B,$A31,DeadRaw!BJ:BJ)</f>
        <v>1</v>
      </c>
      <c r="BH31">
        <f>SUMIF(DeadRaw!$B:$B,$A31,DeadRaw!BK:BK)</f>
        <v>1</v>
      </c>
      <c r="BI31">
        <f>SUMIF(DeadRaw!$B:$B,$A31,DeadRaw!BL:BL)</f>
        <v>0</v>
      </c>
      <c r="BJ31">
        <f>SUMIF(DeadRaw!$B:$B,$A31,DeadRaw!BM:BM)</f>
        <v>0</v>
      </c>
      <c r="BK31">
        <f>SUMIF(DeadRaw!$B:$B,$A31,DeadRaw!BN:BN)</f>
        <v>0</v>
      </c>
      <c r="BL31">
        <f>SUMIF(DeadRaw!$B:$B,$A31,DeadRaw!BO:BO)</f>
        <v>0</v>
      </c>
      <c r="BM31">
        <f>SUMIF(DeadRaw!$B:$B,$A31,DeadRaw!BP:BP)</f>
        <v>0</v>
      </c>
      <c r="BN31">
        <f>SUMIF(DeadRaw!$B:$B,$A31,DeadRaw!BQ:BQ)</f>
        <v>0</v>
      </c>
      <c r="BO31">
        <f>SUMIF(DeadRaw!$B:$B,$A31,DeadRaw!BR:BR)</f>
        <v>0</v>
      </c>
      <c r="BP31">
        <f>SUMIF(DeadRaw!$B:$B,$A31,DeadRaw!BS:BS)</f>
        <v>0</v>
      </c>
      <c r="BQ31">
        <f>SUMIF(DeadRaw!$B:$B,$A31,DeadRaw!BT:BT)</f>
        <v>0</v>
      </c>
      <c r="BR31">
        <f>SUMIF(DeadRaw!$B:$B,$A31,DeadRaw!BU:BU)</f>
        <v>0</v>
      </c>
      <c r="BS31">
        <f>SUMIF(DeadRaw!$B:$B,$A31,DeadRaw!BV:BV)</f>
        <v>0</v>
      </c>
      <c r="BT31">
        <f>SUMIF(DeadRaw!$B:$B,$A31,DeadRaw!BW:BW)</f>
        <v>0</v>
      </c>
    </row>
    <row r="32" spans="1:72" ht="15" thickBot="1" x14ac:dyDescent="0.35">
      <c r="A32" s="4" t="s">
        <v>92</v>
      </c>
      <c r="B32">
        <f>SUMIF(DeadRaw!$B:$B,$A32,DeadRaw!E:E)</f>
        <v>0</v>
      </c>
      <c r="C32">
        <f>SUMIF(DeadRaw!$B:$B,$A32,DeadRaw!F:F)</f>
        <v>0</v>
      </c>
      <c r="D32">
        <f>SUMIF(DeadRaw!$B:$B,$A32,DeadRaw!G:G)</f>
        <v>0</v>
      </c>
      <c r="E32">
        <f>SUMIF(DeadRaw!$B:$B,$A32,DeadRaw!H:H)</f>
        <v>0</v>
      </c>
      <c r="F32">
        <f>SUMIF(DeadRaw!$B:$B,$A32,DeadRaw!I:I)</f>
        <v>0</v>
      </c>
      <c r="G32">
        <f>SUMIF(DeadRaw!$B:$B,$A32,DeadRaw!J:J)</f>
        <v>0</v>
      </c>
      <c r="H32">
        <f>SUMIF(DeadRaw!$B:$B,$A32,DeadRaw!K:K)</f>
        <v>0</v>
      </c>
      <c r="I32">
        <f>SUMIF(DeadRaw!$B:$B,$A32,DeadRaw!L:L)</f>
        <v>0</v>
      </c>
      <c r="J32">
        <f>SUMIF(DeadRaw!$B:$B,$A32,DeadRaw!M:M)</f>
        <v>0</v>
      </c>
      <c r="K32">
        <f>SUMIF(DeadRaw!$B:$B,$A32,DeadRaw!N:N)</f>
        <v>0</v>
      </c>
      <c r="L32">
        <f>SUMIF(DeadRaw!$B:$B,$A32,DeadRaw!O:O)</f>
        <v>0</v>
      </c>
      <c r="M32">
        <f>SUMIF(DeadRaw!$B:$B,$A32,DeadRaw!P:P)</f>
        <v>0</v>
      </c>
      <c r="N32">
        <f>SUMIF(DeadRaw!$B:$B,$A32,DeadRaw!Q:Q)</f>
        <v>0</v>
      </c>
      <c r="O32">
        <f>SUMIF(DeadRaw!$B:$B,$A32,DeadRaw!R:R)</f>
        <v>0</v>
      </c>
      <c r="P32">
        <f>SUMIF(DeadRaw!$B:$B,$A32,DeadRaw!S:S)</f>
        <v>0</v>
      </c>
      <c r="Q32">
        <f>SUMIF(DeadRaw!$B:$B,$A32,DeadRaw!T:T)</f>
        <v>0</v>
      </c>
      <c r="R32">
        <f>SUMIF(DeadRaw!$B:$B,$A32,DeadRaw!U:U)</f>
        <v>0</v>
      </c>
      <c r="S32">
        <f>SUMIF(DeadRaw!$B:$B,$A32,DeadRaw!V:V)</f>
        <v>0</v>
      </c>
      <c r="T32">
        <f>SUMIF(DeadRaw!$B:$B,$A32,DeadRaw!W:W)</f>
        <v>0</v>
      </c>
      <c r="U32">
        <f>SUMIF(DeadRaw!$B:$B,$A32,DeadRaw!X:X)</f>
        <v>0</v>
      </c>
      <c r="V32">
        <f>SUMIF(DeadRaw!$B:$B,$A32,DeadRaw!Y:Y)</f>
        <v>0</v>
      </c>
      <c r="W32">
        <f>SUMIF(DeadRaw!$B:$B,$A32,DeadRaw!Z:Z)</f>
        <v>0</v>
      </c>
      <c r="X32">
        <f>SUMIF(DeadRaw!$B:$B,$A32,DeadRaw!AA:AA)</f>
        <v>0</v>
      </c>
      <c r="Y32">
        <f>SUMIF(DeadRaw!$B:$B,$A32,DeadRaw!AB:AB)</f>
        <v>0</v>
      </c>
      <c r="Z32">
        <f>SUMIF(DeadRaw!$B:$B,$A32,DeadRaw!AC:AC)</f>
        <v>0</v>
      </c>
      <c r="AA32">
        <f>SUMIF(DeadRaw!$B:$B,$A32,DeadRaw!AD:AD)</f>
        <v>0</v>
      </c>
      <c r="AB32">
        <f>SUMIF(DeadRaw!$B:$B,$A32,DeadRaw!AE:AE)</f>
        <v>0</v>
      </c>
      <c r="AC32">
        <f>SUMIF(DeadRaw!$B:$B,$A32,DeadRaw!AF:AF)</f>
        <v>0</v>
      </c>
      <c r="AD32">
        <f>SUMIF(DeadRaw!$B:$B,$A32,DeadRaw!AG:AG)</f>
        <v>0</v>
      </c>
      <c r="AE32">
        <f>SUMIF(DeadRaw!$B:$B,$A32,DeadRaw!AH:AH)</f>
        <v>0</v>
      </c>
      <c r="AF32">
        <f>SUMIF(DeadRaw!$B:$B,$A32,DeadRaw!AI:AI)</f>
        <v>0</v>
      </c>
      <c r="AG32">
        <f>SUMIF(DeadRaw!$B:$B,$A32,DeadRaw!AJ:AJ)</f>
        <v>0</v>
      </c>
      <c r="AH32">
        <f>SUMIF(DeadRaw!$B:$B,$A32,DeadRaw!AK:AK)</f>
        <v>0</v>
      </c>
      <c r="AI32">
        <f>SUMIF(DeadRaw!$B:$B,$A32,DeadRaw!AL:AL)</f>
        <v>0</v>
      </c>
      <c r="AJ32">
        <f>SUMIF(DeadRaw!$B:$B,$A32,DeadRaw!AM:AM)</f>
        <v>0</v>
      </c>
      <c r="AK32">
        <f>SUMIF(DeadRaw!$B:$B,$A32,DeadRaw!AN:AN)</f>
        <v>0</v>
      </c>
      <c r="AL32">
        <f>SUMIF(DeadRaw!$B:$B,$A32,DeadRaw!AO:AO)</f>
        <v>0</v>
      </c>
      <c r="AM32">
        <f>SUMIF(DeadRaw!$B:$B,$A32,DeadRaw!AP:AP)</f>
        <v>0</v>
      </c>
      <c r="AN32">
        <f>SUMIF(DeadRaw!$B:$B,$A32,DeadRaw!AQ:AQ)</f>
        <v>0</v>
      </c>
      <c r="AO32">
        <f>SUMIF(DeadRaw!$B:$B,$A32,DeadRaw!AR:AR)</f>
        <v>0</v>
      </c>
      <c r="AP32">
        <f>SUMIF(DeadRaw!$B:$B,$A32,DeadRaw!AS:AS)</f>
        <v>0</v>
      </c>
      <c r="AQ32">
        <f>SUMIF(DeadRaw!$B:$B,$A32,DeadRaw!AT:AT)</f>
        <v>0</v>
      </c>
      <c r="AR32">
        <f>SUMIF(DeadRaw!$B:$B,$A32,DeadRaw!AU:AU)</f>
        <v>0</v>
      </c>
      <c r="AS32">
        <f>SUMIF(DeadRaw!$B:$B,$A32,DeadRaw!AV:AV)</f>
        <v>0</v>
      </c>
      <c r="AT32">
        <f>SUMIF(DeadRaw!$B:$B,$A32,DeadRaw!AW:AW)</f>
        <v>0</v>
      </c>
      <c r="AU32">
        <f>SUMIF(DeadRaw!$B:$B,$A32,DeadRaw!AX:AX)</f>
        <v>0</v>
      </c>
      <c r="AV32">
        <f>SUMIF(DeadRaw!$B:$B,$A32,DeadRaw!AY:AY)</f>
        <v>0</v>
      </c>
      <c r="AW32">
        <f>SUMIF(DeadRaw!$B:$B,$A32,DeadRaw!AZ:AZ)</f>
        <v>0</v>
      </c>
      <c r="AX32">
        <f>SUMIF(DeadRaw!$B:$B,$A32,DeadRaw!BA:BA)</f>
        <v>0</v>
      </c>
      <c r="AY32">
        <f>SUMIF(DeadRaw!$B:$B,$A32,DeadRaw!BB:BB)</f>
        <v>0</v>
      </c>
      <c r="AZ32">
        <f>SUMIF(DeadRaw!$B:$B,$A32,DeadRaw!BC:BC)</f>
        <v>0</v>
      </c>
      <c r="BA32">
        <f>SUMIF(DeadRaw!$B:$B,$A32,DeadRaw!BD:BD)</f>
        <v>0</v>
      </c>
      <c r="BB32">
        <f>SUMIF(DeadRaw!$B:$B,$A32,DeadRaw!BE:BE)</f>
        <v>0</v>
      </c>
      <c r="BC32">
        <f>SUMIF(DeadRaw!$B:$B,$A32,DeadRaw!BF:BF)</f>
        <v>5</v>
      </c>
      <c r="BD32">
        <f>SUMIF(DeadRaw!$B:$B,$A32,DeadRaw!BG:BG)</f>
        <v>0</v>
      </c>
      <c r="BE32">
        <f>SUMIF(DeadRaw!$B:$B,$A32,DeadRaw!BH:BH)</f>
        <v>1</v>
      </c>
      <c r="BF32">
        <f>SUMIF(DeadRaw!$B:$B,$A32,DeadRaw!BI:BI)</f>
        <v>1</v>
      </c>
      <c r="BG32">
        <f>SUMIF(DeadRaw!$B:$B,$A32,DeadRaw!BJ:BJ)</f>
        <v>1</v>
      </c>
      <c r="BH32">
        <f>SUMIF(DeadRaw!$B:$B,$A32,DeadRaw!BK:BK)</f>
        <v>0</v>
      </c>
      <c r="BI32">
        <f>SUMIF(DeadRaw!$B:$B,$A32,DeadRaw!BL:BL)</f>
        <v>0</v>
      </c>
      <c r="BJ32">
        <f>SUMIF(DeadRaw!$B:$B,$A32,DeadRaw!BM:BM)</f>
        <v>0</v>
      </c>
      <c r="BK32">
        <f>SUMIF(DeadRaw!$B:$B,$A32,DeadRaw!BN:BN)</f>
        <v>0</v>
      </c>
      <c r="BL32">
        <f>SUMIF(DeadRaw!$B:$B,$A32,DeadRaw!BO:BO)</f>
        <v>0</v>
      </c>
      <c r="BM32">
        <f>SUMIF(DeadRaw!$B:$B,$A32,DeadRaw!BP:BP)</f>
        <v>0</v>
      </c>
      <c r="BN32">
        <f>SUMIF(DeadRaw!$B:$B,$A32,DeadRaw!BQ:BQ)</f>
        <v>0</v>
      </c>
      <c r="BO32">
        <f>SUMIF(DeadRaw!$B:$B,$A32,DeadRaw!BR:BR)</f>
        <v>0</v>
      </c>
      <c r="BP32">
        <f>SUMIF(DeadRaw!$B:$B,$A32,DeadRaw!BS:BS)</f>
        <v>0</v>
      </c>
      <c r="BQ32">
        <f>SUMIF(DeadRaw!$B:$B,$A32,DeadRaw!BT:BT)</f>
        <v>0</v>
      </c>
      <c r="BR32">
        <f>SUMIF(DeadRaw!$B:$B,$A32,DeadRaw!BU:BU)</f>
        <v>0</v>
      </c>
      <c r="BS32">
        <f>SUMIF(DeadRaw!$B:$B,$A32,DeadRaw!BV:BV)</f>
        <v>0</v>
      </c>
      <c r="BT32">
        <f>SUMIF(DeadRaw!$B:$B,$A32,DeadRaw!BW:BW)</f>
        <v>0</v>
      </c>
    </row>
    <row r="33" spans="1:72" ht="15" thickBot="1" x14ac:dyDescent="0.35">
      <c r="A33" s="3" t="s">
        <v>108</v>
      </c>
      <c r="B33">
        <f>SUMIF(DeadRaw!$B:$B,$A33,DeadRaw!E:E)</f>
        <v>0</v>
      </c>
      <c r="C33">
        <f>SUMIF(DeadRaw!$B:$B,$A33,DeadRaw!F:F)</f>
        <v>0</v>
      </c>
      <c r="D33">
        <f>SUMIF(DeadRaw!$B:$B,$A33,DeadRaw!G:G)</f>
        <v>0</v>
      </c>
      <c r="E33">
        <f>SUMIF(DeadRaw!$B:$B,$A33,DeadRaw!H:H)</f>
        <v>0</v>
      </c>
      <c r="F33">
        <f>SUMIF(DeadRaw!$B:$B,$A33,DeadRaw!I:I)</f>
        <v>0</v>
      </c>
      <c r="G33">
        <f>SUMIF(DeadRaw!$B:$B,$A33,DeadRaw!J:J)</f>
        <v>0</v>
      </c>
      <c r="H33">
        <f>SUMIF(DeadRaw!$B:$B,$A33,DeadRaw!K:K)</f>
        <v>0</v>
      </c>
      <c r="I33">
        <f>SUMIF(DeadRaw!$B:$B,$A33,DeadRaw!L:L)</f>
        <v>0</v>
      </c>
      <c r="J33">
        <f>SUMIF(DeadRaw!$B:$B,$A33,DeadRaw!M:M)</f>
        <v>0</v>
      </c>
      <c r="K33">
        <f>SUMIF(DeadRaw!$B:$B,$A33,DeadRaw!N:N)</f>
        <v>0</v>
      </c>
      <c r="L33">
        <f>SUMIF(DeadRaw!$B:$B,$A33,DeadRaw!O:O)</f>
        <v>0</v>
      </c>
      <c r="M33">
        <f>SUMIF(DeadRaw!$B:$B,$A33,DeadRaw!P:P)</f>
        <v>0</v>
      </c>
      <c r="N33">
        <f>SUMIF(DeadRaw!$B:$B,$A33,DeadRaw!Q:Q)</f>
        <v>0</v>
      </c>
      <c r="O33">
        <f>SUMIF(DeadRaw!$B:$B,$A33,DeadRaw!R:R)</f>
        <v>0</v>
      </c>
      <c r="P33">
        <f>SUMIF(DeadRaw!$B:$B,$A33,DeadRaw!S:S)</f>
        <v>0</v>
      </c>
      <c r="Q33">
        <f>SUMIF(DeadRaw!$B:$B,$A33,DeadRaw!T:T)</f>
        <v>0</v>
      </c>
      <c r="R33">
        <f>SUMIF(DeadRaw!$B:$B,$A33,DeadRaw!U:U)</f>
        <v>0</v>
      </c>
      <c r="S33">
        <f>SUMIF(DeadRaw!$B:$B,$A33,DeadRaw!V:V)</f>
        <v>0</v>
      </c>
      <c r="T33">
        <f>SUMIF(DeadRaw!$B:$B,$A33,DeadRaw!W:W)</f>
        <v>0</v>
      </c>
      <c r="U33">
        <f>SUMIF(DeadRaw!$B:$B,$A33,DeadRaw!X:X)</f>
        <v>0</v>
      </c>
      <c r="V33">
        <f>SUMIF(DeadRaw!$B:$B,$A33,DeadRaw!Y:Y)</f>
        <v>0</v>
      </c>
      <c r="W33">
        <f>SUMIF(DeadRaw!$B:$B,$A33,DeadRaw!Z:Z)</f>
        <v>0</v>
      </c>
      <c r="X33">
        <f>SUMIF(DeadRaw!$B:$B,$A33,DeadRaw!AA:AA)</f>
        <v>0</v>
      </c>
      <c r="Y33">
        <f>SUMIF(DeadRaw!$B:$B,$A33,DeadRaw!AB:AB)</f>
        <v>0</v>
      </c>
      <c r="Z33">
        <f>SUMIF(DeadRaw!$B:$B,$A33,DeadRaw!AC:AC)</f>
        <v>0</v>
      </c>
      <c r="AA33">
        <f>SUMIF(DeadRaw!$B:$B,$A33,DeadRaw!AD:AD)</f>
        <v>0</v>
      </c>
      <c r="AB33">
        <f>SUMIF(DeadRaw!$B:$B,$A33,DeadRaw!AE:AE)</f>
        <v>0</v>
      </c>
      <c r="AC33">
        <f>SUMIF(DeadRaw!$B:$B,$A33,DeadRaw!AF:AF)</f>
        <v>0</v>
      </c>
      <c r="AD33">
        <f>SUMIF(DeadRaw!$B:$B,$A33,DeadRaw!AG:AG)</f>
        <v>0</v>
      </c>
      <c r="AE33">
        <f>SUMIF(DeadRaw!$B:$B,$A33,DeadRaw!AH:AH)</f>
        <v>0</v>
      </c>
      <c r="AF33">
        <f>SUMIF(DeadRaw!$B:$B,$A33,DeadRaw!AI:AI)</f>
        <v>0</v>
      </c>
      <c r="AG33">
        <f>SUMIF(DeadRaw!$B:$B,$A33,DeadRaw!AJ:AJ)</f>
        <v>0</v>
      </c>
      <c r="AH33">
        <f>SUMIF(DeadRaw!$B:$B,$A33,DeadRaw!AK:AK)</f>
        <v>0</v>
      </c>
      <c r="AI33">
        <f>SUMIF(DeadRaw!$B:$B,$A33,DeadRaw!AL:AL)</f>
        <v>0</v>
      </c>
      <c r="AJ33">
        <f>SUMIF(DeadRaw!$B:$B,$A33,DeadRaw!AM:AM)</f>
        <v>0</v>
      </c>
      <c r="AK33">
        <f>SUMIF(DeadRaw!$B:$B,$A33,DeadRaw!AN:AN)</f>
        <v>0</v>
      </c>
      <c r="AL33">
        <f>SUMIF(DeadRaw!$B:$B,$A33,DeadRaw!AO:AO)</f>
        <v>0</v>
      </c>
      <c r="AM33">
        <f>SUMIF(DeadRaw!$B:$B,$A33,DeadRaw!AP:AP)</f>
        <v>0</v>
      </c>
      <c r="AN33">
        <f>SUMIF(DeadRaw!$B:$B,$A33,DeadRaw!AQ:AQ)</f>
        <v>0</v>
      </c>
      <c r="AO33">
        <f>SUMIF(DeadRaw!$B:$B,$A33,DeadRaw!AR:AR)</f>
        <v>0</v>
      </c>
      <c r="AP33">
        <f>SUMIF(DeadRaw!$B:$B,$A33,DeadRaw!AS:AS)</f>
        <v>0</v>
      </c>
      <c r="AQ33">
        <f>SUMIF(DeadRaw!$B:$B,$A33,DeadRaw!AT:AT)</f>
        <v>0</v>
      </c>
      <c r="AR33">
        <f>SUMIF(DeadRaw!$B:$B,$A33,DeadRaw!AU:AU)</f>
        <v>0</v>
      </c>
      <c r="AS33">
        <f>SUMIF(DeadRaw!$B:$B,$A33,DeadRaw!AV:AV)</f>
        <v>0</v>
      </c>
      <c r="AT33">
        <f>SUMIF(DeadRaw!$B:$B,$A33,DeadRaw!AW:AW)</f>
        <v>0</v>
      </c>
      <c r="AU33">
        <f>SUMIF(DeadRaw!$B:$B,$A33,DeadRaw!AX:AX)</f>
        <v>0</v>
      </c>
      <c r="AV33">
        <f>SUMIF(DeadRaw!$B:$B,$A33,DeadRaw!AY:AY)</f>
        <v>0</v>
      </c>
      <c r="AW33">
        <f>SUMIF(DeadRaw!$B:$B,$A33,DeadRaw!AZ:AZ)</f>
        <v>0</v>
      </c>
      <c r="AX33">
        <f>SUMIF(DeadRaw!$B:$B,$A33,DeadRaw!BA:BA)</f>
        <v>0</v>
      </c>
      <c r="AY33">
        <f>SUMIF(DeadRaw!$B:$B,$A33,DeadRaw!BB:BB)</f>
        <v>0</v>
      </c>
      <c r="AZ33">
        <f>SUMIF(DeadRaw!$B:$B,$A33,DeadRaw!BC:BC)</f>
        <v>0</v>
      </c>
      <c r="BA33">
        <f>SUMIF(DeadRaw!$B:$B,$A33,DeadRaw!BD:BD)</f>
        <v>0</v>
      </c>
      <c r="BB33">
        <f>SUMIF(DeadRaw!$B:$B,$A33,DeadRaw!BE:BE)</f>
        <v>0</v>
      </c>
      <c r="BC33">
        <f>SUMIF(DeadRaw!$B:$B,$A33,DeadRaw!BF:BF)</f>
        <v>0</v>
      </c>
      <c r="BD33">
        <f>SUMIF(DeadRaw!$B:$B,$A33,DeadRaw!BG:BG)</f>
        <v>0</v>
      </c>
      <c r="BE33">
        <f>SUMIF(DeadRaw!$B:$B,$A33,DeadRaw!BH:BH)</f>
        <v>1</v>
      </c>
      <c r="BF33">
        <f>SUMIF(DeadRaw!$B:$B,$A33,DeadRaw!BI:BI)</f>
        <v>2</v>
      </c>
      <c r="BG33">
        <f>SUMIF(DeadRaw!$B:$B,$A33,DeadRaw!BJ:BJ)</f>
        <v>3</v>
      </c>
      <c r="BH33">
        <f>SUMIF(DeadRaw!$B:$B,$A33,DeadRaw!BK:BK)</f>
        <v>6</v>
      </c>
      <c r="BI33">
        <f>SUMIF(DeadRaw!$B:$B,$A33,DeadRaw!BL:BL)</f>
        <v>0</v>
      </c>
      <c r="BJ33">
        <f>SUMIF(DeadRaw!$B:$B,$A33,DeadRaw!BM:BM)</f>
        <v>0</v>
      </c>
      <c r="BK33">
        <f>SUMIF(DeadRaw!$B:$B,$A33,DeadRaw!BN:BN)</f>
        <v>0</v>
      </c>
      <c r="BL33">
        <f>SUMIF(DeadRaw!$B:$B,$A33,DeadRaw!BO:BO)</f>
        <v>0</v>
      </c>
      <c r="BM33">
        <f>SUMIF(DeadRaw!$B:$B,$A33,DeadRaw!BP:BP)</f>
        <v>0</v>
      </c>
      <c r="BN33">
        <f>SUMIF(DeadRaw!$B:$B,$A33,DeadRaw!BQ:BQ)</f>
        <v>0</v>
      </c>
      <c r="BO33">
        <f>SUMIF(DeadRaw!$B:$B,$A33,DeadRaw!BR:BR)</f>
        <v>0</v>
      </c>
      <c r="BP33">
        <f>SUMIF(DeadRaw!$B:$B,$A33,DeadRaw!BS:BS)</f>
        <v>0</v>
      </c>
      <c r="BQ33">
        <f>SUMIF(DeadRaw!$B:$B,$A33,DeadRaw!BT:BT)</f>
        <v>0</v>
      </c>
      <c r="BR33">
        <f>SUMIF(DeadRaw!$B:$B,$A33,DeadRaw!BU:BU)</f>
        <v>0</v>
      </c>
      <c r="BS33">
        <f>SUMIF(DeadRaw!$B:$B,$A33,DeadRaw!BV:BV)</f>
        <v>0</v>
      </c>
      <c r="BT33">
        <f>SUMIF(DeadRaw!$B:$B,$A33,DeadRaw!BW:BW)</f>
        <v>0</v>
      </c>
    </row>
    <row r="34" spans="1:72" ht="15" thickBot="1" x14ac:dyDescent="0.35">
      <c r="A34" s="3" t="s">
        <v>70</v>
      </c>
      <c r="B34">
        <f>SUMIF(DeadRaw!$B:$B,$A34,DeadRaw!E:E)</f>
        <v>0</v>
      </c>
      <c r="C34">
        <f>SUMIF(DeadRaw!$B:$B,$A34,DeadRaw!F:F)</f>
        <v>0</v>
      </c>
      <c r="D34">
        <f>SUMIF(DeadRaw!$B:$B,$A34,DeadRaw!G:G)</f>
        <v>0</v>
      </c>
      <c r="E34">
        <f>SUMIF(DeadRaw!$B:$B,$A34,DeadRaw!H:H)</f>
        <v>0</v>
      </c>
      <c r="F34">
        <f>SUMIF(DeadRaw!$B:$B,$A34,DeadRaw!I:I)</f>
        <v>0</v>
      </c>
      <c r="G34">
        <f>SUMIF(DeadRaw!$B:$B,$A34,DeadRaw!J:J)</f>
        <v>0</v>
      </c>
      <c r="H34">
        <f>SUMIF(DeadRaw!$B:$B,$A34,DeadRaw!K:K)</f>
        <v>0</v>
      </c>
      <c r="I34">
        <f>SUMIF(DeadRaw!$B:$B,$A34,DeadRaw!L:L)</f>
        <v>0</v>
      </c>
      <c r="J34">
        <f>SUMIF(DeadRaw!$B:$B,$A34,DeadRaw!M:M)</f>
        <v>0</v>
      </c>
      <c r="K34">
        <f>SUMIF(DeadRaw!$B:$B,$A34,DeadRaw!N:N)</f>
        <v>0</v>
      </c>
      <c r="L34">
        <f>SUMIF(DeadRaw!$B:$B,$A34,DeadRaw!O:O)</f>
        <v>0</v>
      </c>
      <c r="M34">
        <f>SUMIF(DeadRaw!$B:$B,$A34,DeadRaw!P:P)</f>
        <v>0</v>
      </c>
      <c r="N34">
        <f>SUMIF(DeadRaw!$B:$B,$A34,DeadRaw!Q:Q)</f>
        <v>0</v>
      </c>
      <c r="O34">
        <f>SUMIF(DeadRaw!$B:$B,$A34,DeadRaw!R:R)</f>
        <v>0</v>
      </c>
      <c r="P34">
        <f>SUMIF(DeadRaw!$B:$B,$A34,DeadRaw!S:S)</f>
        <v>0</v>
      </c>
      <c r="Q34">
        <f>SUMIF(DeadRaw!$B:$B,$A34,DeadRaw!T:T)</f>
        <v>0</v>
      </c>
      <c r="R34">
        <f>SUMIF(DeadRaw!$B:$B,$A34,DeadRaw!U:U)</f>
        <v>0</v>
      </c>
      <c r="S34">
        <f>SUMIF(DeadRaw!$B:$B,$A34,DeadRaw!V:V)</f>
        <v>0</v>
      </c>
      <c r="T34">
        <f>SUMIF(DeadRaw!$B:$B,$A34,DeadRaw!W:W)</f>
        <v>0</v>
      </c>
      <c r="U34">
        <f>SUMIF(DeadRaw!$B:$B,$A34,DeadRaw!X:X)</f>
        <v>0</v>
      </c>
      <c r="V34">
        <f>SUMIF(DeadRaw!$B:$B,$A34,DeadRaw!Y:Y)</f>
        <v>0</v>
      </c>
      <c r="W34">
        <f>SUMIF(DeadRaw!$B:$B,$A34,DeadRaw!Z:Z)</f>
        <v>0</v>
      </c>
      <c r="X34">
        <f>SUMIF(DeadRaw!$B:$B,$A34,DeadRaw!AA:AA)</f>
        <v>0</v>
      </c>
      <c r="Y34">
        <f>SUMIF(DeadRaw!$B:$B,$A34,DeadRaw!AB:AB)</f>
        <v>0</v>
      </c>
      <c r="Z34">
        <f>SUMIF(DeadRaw!$B:$B,$A34,DeadRaw!AC:AC)</f>
        <v>0</v>
      </c>
      <c r="AA34">
        <f>SUMIF(DeadRaw!$B:$B,$A34,DeadRaw!AD:AD)</f>
        <v>0</v>
      </c>
      <c r="AB34">
        <f>SUMIF(DeadRaw!$B:$B,$A34,DeadRaw!AE:AE)</f>
        <v>0</v>
      </c>
      <c r="AC34">
        <f>SUMIF(DeadRaw!$B:$B,$A34,DeadRaw!AF:AF)</f>
        <v>0</v>
      </c>
      <c r="AD34">
        <f>SUMIF(DeadRaw!$B:$B,$A34,DeadRaw!AG:AG)</f>
        <v>0</v>
      </c>
      <c r="AE34">
        <f>SUMIF(DeadRaw!$B:$B,$A34,DeadRaw!AH:AH)</f>
        <v>0</v>
      </c>
      <c r="AF34">
        <f>SUMIF(DeadRaw!$B:$B,$A34,DeadRaw!AI:AI)</f>
        <v>0</v>
      </c>
      <c r="AG34">
        <f>SUMIF(DeadRaw!$B:$B,$A34,DeadRaw!AJ:AJ)</f>
        <v>0</v>
      </c>
      <c r="AH34">
        <f>SUMIF(DeadRaw!$B:$B,$A34,DeadRaw!AK:AK)</f>
        <v>0</v>
      </c>
      <c r="AI34">
        <f>SUMIF(DeadRaw!$B:$B,$A34,DeadRaw!AL:AL)</f>
        <v>0</v>
      </c>
      <c r="AJ34">
        <f>SUMIF(DeadRaw!$B:$B,$A34,DeadRaw!AM:AM)</f>
        <v>0</v>
      </c>
      <c r="AK34">
        <f>SUMIF(DeadRaw!$B:$B,$A34,DeadRaw!AN:AN)</f>
        <v>0</v>
      </c>
      <c r="AL34">
        <f>SUMIF(DeadRaw!$B:$B,$A34,DeadRaw!AO:AO)</f>
        <v>0</v>
      </c>
      <c r="AM34">
        <f>SUMIF(DeadRaw!$B:$B,$A34,DeadRaw!AP:AP)</f>
        <v>0</v>
      </c>
      <c r="AN34">
        <f>SUMIF(DeadRaw!$B:$B,$A34,DeadRaw!AQ:AQ)</f>
        <v>0</v>
      </c>
      <c r="AO34">
        <f>SUMIF(DeadRaw!$B:$B,$A34,DeadRaw!AR:AR)</f>
        <v>0</v>
      </c>
      <c r="AP34">
        <f>SUMIF(DeadRaw!$B:$B,$A34,DeadRaw!AS:AS)</f>
        <v>0</v>
      </c>
      <c r="AQ34">
        <f>SUMIF(DeadRaw!$B:$B,$A34,DeadRaw!AT:AT)</f>
        <v>0</v>
      </c>
      <c r="AR34">
        <f>SUMIF(DeadRaw!$B:$B,$A34,DeadRaw!AU:AU)</f>
        <v>2</v>
      </c>
      <c r="AS34">
        <f>SUMIF(DeadRaw!$B:$B,$A34,DeadRaw!AV:AV)</f>
        <v>2</v>
      </c>
      <c r="AT34">
        <f>SUMIF(DeadRaw!$B:$B,$A34,DeadRaw!AW:AW)</f>
        <v>3</v>
      </c>
      <c r="AU34">
        <f>SUMIF(DeadRaw!$B:$B,$A34,DeadRaw!AX:AX)</f>
        <v>4</v>
      </c>
      <c r="AV34">
        <f>SUMIF(DeadRaw!$B:$B,$A34,DeadRaw!AY:AY)</f>
        <v>6</v>
      </c>
      <c r="AW34">
        <f>SUMIF(DeadRaw!$B:$B,$A34,DeadRaw!AZ:AZ)</f>
        <v>6</v>
      </c>
      <c r="AX34">
        <f>SUMIF(DeadRaw!$B:$B,$A34,DeadRaw!BA:BA)</f>
        <v>7</v>
      </c>
      <c r="AY34">
        <f>SUMIF(DeadRaw!$B:$B,$A34,DeadRaw!BB:BB)</f>
        <v>7</v>
      </c>
      <c r="AZ34">
        <f>SUMIF(DeadRaw!$B:$B,$A34,DeadRaw!BC:BC)</f>
        <v>8</v>
      </c>
      <c r="BA34">
        <f>SUMIF(DeadRaw!$B:$B,$A34,DeadRaw!BD:BD)</f>
        <v>9</v>
      </c>
      <c r="BB34">
        <f>SUMIF(DeadRaw!$B:$B,$A34,DeadRaw!BE:BE)</f>
        <v>10</v>
      </c>
      <c r="BC34">
        <f>SUMIF(DeadRaw!$B:$B,$A34,DeadRaw!BF:BF)</f>
        <v>10</v>
      </c>
      <c r="BD34">
        <f>SUMIF(DeadRaw!$B:$B,$A34,DeadRaw!BG:BG)</f>
        <v>10</v>
      </c>
      <c r="BE34">
        <f>SUMIF(DeadRaw!$B:$B,$A34,DeadRaw!BH:BH)</f>
        <v>11</v>
      </c>
      <c r="BF34">
        <f>SUMIF(DeadRaw!$B:$B,$A34,DeadRaw!BI:BI)</f>
        <v>12</v>
      </c>
      <c r="BG34">
        <f>SUMIF(DeadRaw!$B:$B,$A34,DeadRaw!BJ:BJ)</f>
        <v>13</v>
      </c>
      <c r="BH34">
        <f>SUMIF(DeadRaw!$B:$B,$A34,DeadRaw!BK:BK)</f>
        <v>17</v>
      </c>
      <c r="BI34">
        <f>SUMIF(DeadRaw!$B:$B,$A34,DeadRaw!BL:BL)</f>
        <v>0</v>
      </c>
      <c r="BJ34">
        <f>SUMIF(DeadRaw!$B:$B,$A34,DeadRaw!BM:BM)</f>
        <v>0</v>
      </c>
      <c r="BK34">
        <f>SUMIF(DeadRaw!$B:$B,$A34,DeadRaw!BN:BN)</f>
        <v>0</v>
      </c>
      <c r="BL34">
        <f>SUMIF(DeadRaw!$B:$B,$A34,DeadRaw!BO:BO)</f>
        <v>0</v>
      </c>
      <c r="BM34">
        <f>SUMIF(DeadRaw!$B:$B,$A34,DeadRaw!BP:BP)</f>
        <v>0</v>
      </c>
      <c r="BN34">
        <f>SUMIF(DeadRaw!$B:$B,$A34,DeadRaw!BQ:BQ)</f>
        <v>0</v>
      </c>
      <c r="BO34">
        <f>SUMIF(DeadRaw!$B:$B,$A34,DeadRaw!BR:BR)</f>
        <v>0</v>
      </c>
      <c r="BP34">
        <f>SUMIF(DeadRaw!$B:$B,$A34,DeadRaw!BS:BS)</f>
        <v>0</v>
      </c>
      <c r="BQ34">
        <f>SUMIF(DeadRaw!$B:$B,$A34,DeadRaw!BT:BT)</f>
        <v>0</v>
      </c>
      <c r="BR34">
        <f>SUMIF(DeadRaw!$B:$B,$A34,DeadRaw!BU:BU)</f>
        <v>0</v>
      </c>
      <c r="BS34">
        <f>SUMIF(DeadRaw!$B:$B,$A34,DeadRaw!BV:BV)</f>
        <v>0</v>
      </c>
      <c r="BT34">
        <f>SUMIF(DeadRaw!$B:$B,$A34,DeadRaw!BW:BW)</f>
        <v>0</v>
      </c>
    </row>
    <row r="35" spans="1:72" ht="15" thickBot="1" x14ac:dyDescent="0.35">
      <c r="A35" s="4" t="s">
        <v>98</v>
      </c>
      <c r="B35">
        <f>SUMIF(DeadRaw!$B:$B,$A35,DeadRaw!E:E)</f>
        <v>0</v>
      </c>
      <c r="C35">
        <f>SUMIF(DeadRaw!$B:$B,$A35,DeadRaw!F:F)</f>
        <v>0</v>
      </c>
      <c r="D35">
        <f>SUMIF(DeadRaw!$B:$B,$A35,DeadRaw!G:G)</f>
        <v>0</v>
      </c>
      <c r="E35">
        <f>SUMIF(DeadRaw!$B:$B,$A35,DeadRaw!H:H)</f>
        <v>0</v>
      </c>
      <c r="F35">
        <f>SUMIF(DeadRaw!$B:$B,$A35,DeadRaw!I:I)</f>
        <v>0</v>
      </c>
      <c r="G35">
        <f>SUMIF(DeadRaw!$B:$B,$A35,DeadRaw!J:J)</f>
        <v>0</v>
      </c>
      <c r="H35">
        <f>SUMIF(DeadRaw!$B:$B,$A35,DeadRaw!K:K)</f>
        <v>0</v>
      </c>
      <c r="I35">
        <f>SUMIF(DeadRaw!$B:$B,$A35,DeadRaw!L:L)</f>
        <v>0</v>
      </c>
      <c r="J35">
        <f>SUMIF(DeadRaw!$B:$B,$A35,DeadRaw!M:M)</f>
        <v>0</v>
      </c>
      <c r="K35">
        <f>SUMIF(DeadRaw!$B:$B,$A35,DeadRaw!N:N)</f>
        <v>0</v>
      </c>
      <c r="L35">
        <f>SUMIF(DeadRaw!$B:$B,$A35,DeadRaw!O:O)</f>
        <v>0</v>
      </c>
      <c r="M35">
        <f>SUMIF(DeadRaw!$B:$B,$A35,DeadRaw!P:P)</f>
        <v>0</v>
      </c>
      <c r="N35">
        <f>SUMIF(DeadRaw!$B:$B,$A35,DeadRaw!Q:Q)</f>
        <v>0</v>
      </c>
      <c r="O35">
        <f>SUMIF(DeadRaw!$B:$B,$A35,DeadRaw!R:R)</f>
        <v>0</v>
      </c>
      <c r="P35">
        <f>SUMIF(DeadRaw!$B:$B,$A35,DeadRaw!S:S)</f>
        <v>0</v>
      </c>
      <c r="Q35">
        <f>SUMIF(DeadRaw!$B:$B,$A35,DeadRaw!T:T)</f>
        <v>0</v>
      </c>
      <c r="R35">
        <f>SUMIF(DeadRaw!$B:$B,$A35,DeadRaw!U:U)</f>
        <v>0</v>
      </c>
      <c r="S35">
        <f>SUMIF(DeadRaw!$B:$B,$A35,DeadRaw!V:V)</f>
        <v>0</v>
      </c>
      <c r="T35">
        <f>SUMIF(DeadRaw!$B:$B,$A35,DeadRaw!W:W)</f>
        <v>0</v>
      </c>
      <c r="U35">
        <f>SUMIF(DeadRaw!$B:$B,$A35,DeadRaw!X:X)</f>
        <v>0</v>
      </c>
      <c r="V35">
        <f>SUMIF(DeadRaw!$B:$B,$A35,DeadRaw!Y:Y)</f>
        <v>0</v>
      </c>
      <c r="W35">
        <f>SUMIF(DeadRaw!$B:$B,$A35,DeadRaw!Z:Z)</f>
        <v>0</v>
      </c>
      <c r="X35">
        <f>SUMIF(DeadRaw!$B:$B,$A35,DeadRaw!AA:AA)</f>
        <v>0</v>
      </c>
      <c r="Y35">
        <f>SUMIF(DeadRaw!$B:$B,$A35,DeadRaw!AB:AB)</f>
        <v>0</v>
      </c>
      <c r="Z35">
        <f>SUMIF(DeadRaw!$B:$B,$A35,DeadRaw!AC:AC)</f>
        <v>0</v>
      </c>
      <c r="AA35">
        <f>SUMIF(DeadRaw!$B:$B,$A35,DeadRaw!AD:AD)</f>
        <v>0</v>
      </c>
      <c r="AB35">
        <f>SUMIF(DeadRaw!$B:$B,$A35,DeadRaw!AE:AE)</f>
        <v>0</v>
      </c>
      <c r="AC35">
        <f>SUMIF(DeadRaw!$B:$B,$A35,DeadRaw!AF:AF)</f>
        <v>0</v>
      </c>
      <c r="AD35">
        <f>SUMIF(DeadRaw!$B:$B,$A35,DeadRaw!AG:AG)</f>
        <v>0</v>
      </c>
      <c r="AE35">
        <f>SUMIF(DeadRaw!$B:$B,$A35,DeadRaw!AH:AH)</f>
        <v>0</v>
      </c>
      <c r="AF35">
        <f>SUMIF(DeadRaw!$B:$B,$A35,DeadRaw!AI:AI)</f>
        <v>0</v>
      </c>
      <c r="AG35">
        <f>SUMIF(DeadRaw!$B:$B,$A35,DeadRaw!AJ:AJ)</f>
        <v>0</v>
      </c>
      <c r="AH35">
        <f>SUMIF(DeadRaw!$B:$B,$A35,DeadRaw!AK:AK)</f>
        <v>0</v>
      </c>
      <c r="AI35">
        <f>SUMIF(DeadRaw!$B:$B,$A35,DeadRaw!AL:AL)</f>
        <v>0</v>
      </c>
      <c r="AJ35">
        <f>SUMIF(DeadRaw!$B:$B,$A35,DeadRaw!AM:AM)</f>
        <v>0</v>
      </c>
      <c r="AK35">
        <f>SUMIF(DeadRaw!$B:$B,$A35,DeadRaw!AN:AN)</f>
        <v>0</v>
      </c>
      <c r="AL35">
        <f>SUMIF(DeadRaw!$B:$B,$A35,DeadRaw!AO:AO)</f>
        <v>0</v>
      </c>
      <c r="AM35">
        <f>SUMIF(DeadRaw!$B:$B,$A35,DeadRaw!AP:AP)</f>
        <v>0</v>
      </c>
      <c r="AN35">
        <f>SUMIF(DeadRaw!$B:$B,$A35,DeadRaw!AQ:AQ)</f>
        <v>0</v>
      </c>
      <c r="AO35">
        <f>SUMIF(DeadRaw!$B:$B,$A35,DeadRaw!AR:AR)</f>
        <v>0</v>
      </c>
      <c r="AP35">
        <f>SUMIF(DeadRaw!$B:$B,$A35,DeadRaw!AS:AS)</f>
        <v>0</v>
      </c>
      <c r="AQ35">
        <f>SUMIF(DeadRaw!$B:$B,$A35,DeadRaw!AT:AT)</f>
        <v>0</v>
      </c>
      <c r="AR35">
        <f>SUMIF(DeadRaw!$B:$B,$A35,DeadRaw!AU:AU)</f>
        <v>0</v>
      </c>
      <c r="AS35">
        <f>SUMIF(DeadRaw!$B:$B,$A35,DeadRaw!AV:AV)</f>
        <v>0</v>
      </c>
      <c r="AT35">
        <f>SUMIF(DeadRaw!$B:$B,$A35,DeadRaw!AW:AW)</f>
        <v>0</v>
      </c>
      <c r="AU35">
        <f>SUMIF(DeadRaw!$B:$B,$A35,DeadRaw!AX:AX)</f>
        <v>0</v>
      </c>
      <c r="AV35">
        <f>SUMIF(DeadRaw!$B:$B,$A35,DeadRaw!AY:AY)</f>
        <v>0</v>
      </c>
      <c r="AW35">
        <f>SUMIF(DeadRaw!$B:$B,$A35,DeadRaw!AZ:AZ)</f>
        <v>0</v>
      </c>
      <c r="AX35">
        <f>SUMIF(DeadRaw!$B:$B,$A35,DeadRaw!BA:BA)</f>
        <v>0</v>
      </c>
      <c r="AY35">
        <f>SUMIF(DeadRaw!$B:$B,$A35,DeadRaw!BB:BB)</f>
        <v>1</v>
      </c>
      <c r="AZ35">
        <f>SUMIF(DeadRaw!$B:$B,$A35,DeadRaw!BC:BC)</f>
        <v>1</v>
      </c>
      <c r="BA35">
        <f>SUMIF(DeadRaw!$B:$B,$A35,DeadRaw!BD:BD)</f>
        <v>1</v>
      </c>
      <c r="BB35">
        <f>SUMIF(DeadRaw!$B:$B,$A35,DeadRaw!BE:BE)</f>
        <v>2</v>
      </c>
      <c r="BC35">
        <f>SUMIF(DeadRaw!$B:$B,$A35,DeadRaw!BF:BF)</f>
        <v>2</v>
      </c>
      <c r="BD35">
        <f>SUMIF(DeadRaw!$B:$B,$A35,DeadRaw!BG:BG)</f>
        <v>2</v>
      </c>
      <c r="BE35">
        <f>SUMIF(DeadRaw!$B:$B,$A35,DeadRaw!BH:BH)</f>
        <v>2</v>
      </c>
      <c r="BF35">
        <f>SUMIF(DeadRaw!$B:$B,$A35,DeadRaw!BI:BI)</f>
        <v>2</v>
      </c>
      <c r="BG35">
        <f>SUMIF(DeadRaw!$B:$B,$A35,DeadRaw!BJ:BJ)</f>
        <v>3</v>
      </c>
      <c r="BH35">
        <f>SUMIF(DeadRaw!$B:$B,$A35,DeadRaw!BK:BK)</f>
        <v>3</v>
      </c>
      <c r="BI35">
        <f>SUMIF(DeadRaw!$B:$B,$A35,DeadRaw!BL:BL)</f>
        <v>0</v>
      </c>
      <c r="BJ35">
        <f>SUMIF(DeadRaw!$B:$B,$A35,DeadRaw!BM:BM)</f>
        <v>0</v>
      </c>
      <c r="BK35">
        <f>SUMIF(DeadRaw!$B:$B,$A35,DeadRaw!BN:BN)</f>
        <v>0</v>
      </c>
      <c r="BL35">
        <f>SUMIF(DeadRaw!$B:$B,$A35,DeadRaw!BO:BO)</f>
        <v>0</v>
      </c>
      <c r="BM35">
        <f>SUMIF(DeadRaw!$B:$B,$A35,DeadRaw!BP:BP)</f>
        <v>0</v>
      </c>
      <c r="BN35">
        <f>SUMIF(DeadRaw!$B:$B,$A35,DeadRaw!BQ:BQ)</f>
        <v>0</v>
      </c>
      <c r="BO35">
        <f>SUMIF(DeadRaw!$B:$B,$A35,DeadRaw!BR:BR)</f>
        <v>0</v>
      </c>
      <c r="BP35">
        <f>SUMIF(DeadRaw!$B:$B,$A35,DeadRaw!BS:BS)</f>
        <v>0</v>
      </c>
      <c r="BQ35">
        <f>SUMIF(DeadRaw!$B:$B,$A35,DeadRaw!BT:BT)</f>
        <v>0</v>
      </c>
      <c r="BR35">
        <f>SUMIF(DeadRaw!$B:$B,$A35,DeadRaw!BU:BU)</f>
        <v>0</v>
      </c>
      <c r="BS35">
        <f>SUMIF(DeadRaw!$B:$B,$A35,DeadRaw!BV:BV)</f>
        <v>0</v>
      </c>
      <c r="BT35">
        <f>SUMIF(DeadRaw!$B:$B,$A35,DeadRaw!BW:BW)</f>
        <v>0</v>
      </c>
    </row>
    <row r="36" spans="1:72" ht="15" thickBot="1" x14ac:dyDescent="0.35">
      <c r="A36" s="3" t="s">
        <v>86</v>
      </c>
      <c r="B36">
        <f>SUMIF(DeadRaw!$B:$B,$A36,DeadRaw!E:E)</f>
        <v>0</v>
      </c>
      <c r="C36">
        <f>SUMIF(DeadRaw!$B:$B,$A36,DeadRaw!F:F)</f>
        <v>0</v>
      </c>
      <c r="D36">
        <f>SUMIF(DeadRaw!$B:$B,$A36,DeadRaw!G:G)</f>
        <v>0</v>
      </c>
      <c r="E36">
        <f>SUMIF(DeadRaw!$B:$B,$A36,DeadRaw!H:H)</f>
        <v>0</v>
      </c>
      <c r="F36">
        <f>SUMIF(DeadRaw!$B:$B,$A36,DeadRaw!I:I)</f>
        <v>0</v>
      </c>
      <c r="G36">
        <f>SUMIF(DeadRaw!$B:$B,$A36,DeadRaw!J:J)</f>
        <v>0</v>
      </c>
      <c r="H36">
        <f>SUMIF(DeadRaw!$B:$B,$A36,DeadRaw!K:K)</f>
        <v>0</v>
      </c>
      <c r="I36">
        <f>SUMIF(DeadRaw!$B:$B,$A36,DeadRaw!L:L)</f>
        <v>0</v>
      </c>
      <c r="J36">
        <f>SUMIF(DeadRaw!$B:$B,$A36,DeadRaw!M:M)</f>
        <v>0</v>
      </c>
      <c r="K36">
        <f>SUMIF(DeadRaw!$B:$B,$A36,DeadRaw!N:N)</f>
        <v>0</v>
      </c>
      <c r="L36">
        <f>SUMIF(DeadRaw!$B:$B,$A36,DeadRaw!O:O)</f>
        <v>0</v>
      </c>
      <c r="M36">
        <f>SUMIF(DeadRaw!$B:$B,$A36,DeadRaw!P:P)</f>
        <v>0</v>
      </c>
      <c r="N36">
        <f>SUMIF(DeadRaw!$B:$B,$A36,DeadRaw!Q:Q)</f>
        <v>0</v>
      </c>
      <c r="O36">
        <f>SUMIF(DeadRaw!$B:$B,$A36,DeadRaw!R:R)</f>
        <v>0</v>
      </c>
      <c r="P36">
        <f>SUMIF(DeadRaw!$B:$B,$A36,DeadRaw!S:S)</f>
        <v>0</v>
      </c>
      <c r="Q36">
        <f>SUMIF(DeadRaw!$B:$B,$A36,DeadRaw!T:T)</f>
        <v>0</v>
      </c>
      <c r="R36">
        <f>SUMIF(DeadRaw!$B:$B,$A36,DeadRaw!U:U)</f>
        <v>0</v>
      </c>
      <c r="S36">
        <f>SUMIF(DeadRaw!$B:$B,$A36,DeadRaw!V:V)</f>
        <v>0</v>
      </c>
      <c r="T36">
        <f>SUMIF(DeadRaw!$B:$B,$A36,DeadRaw!W:W)</f>
        <v>0</v>
      </c>
      <c r="U36">
        <f>SUMIF(DeadRaw!$B:$B,$A36,DeadRaw!X:X)</f>
        <v>0</v>
      </c>
      <c r="V36">
        <f>SUMIF(DeadRaw!$B:$B,$A36,DeadRaw!Y:Y)</f>
        <v>0</v>
      </c>
      <c r="W36">
        <f>SUMIF(DeadRaw!$B:$B,$A36,DeadRaw!Z:Z)</f>
        <v>0</v>
      </c>
      <c r="X36">
        <f>SUMIF(DeadRaw!$B:$B,$A36,DeadRaw!AA:AA)</f>
        <v>0</v>
      </c>
      <c r="Y36">
        <f>SUMIF(DeadRaw!$B:$B,$A36,DeadRaw!AB:AB)</f>
        <v>0</v>
      </c>
      <c r="Z36">
        <f>SUMIF(DeadRaw!$B:$B,$A36,DeadRaw!AC:AC)</f>
        <v>0</v>
      </c>
      <c r="AA36">
        <f>SUMIF(DeadRaw!$B:$B,$A36,DeadRaw!AD:AD)</f>
        <v>0</v>
      </c>
      <c r="AB36">
        <f>SUMIF(DeadRaw!$B:$B,$A36,DeadRaw!AE:AE)</f>
        <v>0</v>
      </c>
      <c r="AC36">
        <f>SUMIF(DeadRaw!$B:$B,$A36,DeadRaw!AF:AF)</f>
        <v>0</v>
      </c>
      <c r="AD36">
        <f>SUMIF(DeadRaw!$B:$B,$A36,DeadRaw!AG:AG)</f>
        <v>0</v>
      </c>
      <c r="AE36">
        <f>SUMIF(DeadRaw!$B:$B,$A36,DeadRaw!AH:AH)</f>
        <v>0</v>
      </c>
      <c r="AF36">
        <f>SUMIF(DeadRaw!$B:$B,$A36,DeadRaw!AI:AI)</f>
        <v>0</v>
      </c>
      <c r="AG36">
        <f>SUMIF(DeadRaw!$B:$B,$A36,DeadRaw!AJ:AJ)</f>
        <v>0</v>
      </c>
      <c r="AH36">
        <f>SUMIF(DeadRaw!$B:$B,$A36,DeadRaw!AK:AK)</f>
        <v>0</v>
      </c>
      <c r="AI36">
        <f>SUMIF(DeadRaw!$B:$B,$A36,DeadRaw!AL:AL)</f>
        <v>0</v>
      </c>
      <c r="AJ36">
        <f>SUMIF(DeadRaw!$B:$B,$A36,DeadRaw!AM:AM)</f>
        <v>0</v>
      </c>
      <c r="AK36">
        <f>SUMIF(DeadRaw!$B:$B,$A36,DeadRaw!AN:AN)</f>
        <v>0</v>
      </c>
      <c r="AL36">
        <f>SUMIF(DeadRaw!$B:$B,$A36,DeadRaw!AO:AO)</f>
        <v>0</v>
      </c>
      <c r="AM36">
        <f>SUMIF(DeadRaw!$B:$B,$A36,DeadRaw!AP:AP)</f>
        <v>0</v>
      </c>
      <c r="AN36">
        <f>SUMIF(DeadRaw!$B:$B,$A36,DeadRaw!AQ:AQ)</f>
        <v>0</v>
      </c>
      <c r="AO36">
        <f>SUMIF(DeadRaw!$B:$B,$A36,DeadRaw!AR:AR)</f>
        <v>0</v>
      </c>
      <c r="AP36">
        <f>SUMIF(DeadRaw!$B:$B,$A36,DeadRaw!AS:AS)</f>
        <v>0</v>
      </c>
      <c r="AQ36">
        <f>SUMIF(DeadRaw!$B:$B,$A36,DeadRaw!AT:AT)</f>
        <v>0</v>
      </c>
      <c r="AR36">
        <f>SUMIF(DeadRaw!$B:$B,$A36,DeadRaw!AU:AU)</f>
        <v>0</v>
      </c>
      <c r="AS36">
        <f>SUMIF(DeadRaw!$B:$B,$A36,DeadRaw!AV:AV)</f>
        <v>0</v>
      </c>
      <c r="AT36">
        <f>SUMIF(DeadRaw!$B:$B,$A36,DeadRaw!AW:AW)</f>
        <v>0</v>
      </c>
      <c r="AU36">
        <f>SUMIF(DeadRaw!$B:$B,$A36,DeadRaw!AX:AX)</f>
        <v>0</v>
      </c>
      <c r="AV36">
        <f>SUMIF(DeadRaw!$B:$B,$A36,DeadRaw!AY:AY)</f>
        <v>0</v>
      </c>
      <c r="AW36">
        <f>SUMIF(DeadRaw!$B:$B,$A36,DeadRaw!AZ:AZ)</f>
        <v>0</v>
      </c>
      <c r="AX36">
        <f>SUMIF(DeadRaw!$B:$B,$A36,DeadRaw!BA:BA)</f>
        <v>0</v>
      </c>
      <c r="AY36">
        <f>SUMIF(DeadRaw!$B:$B,$A36,DeadRaw!BB:BB)</f>
        <v>0</v>
      </c>
      <c r="AZ36">
        <f>SUMIF(DeadRaw!$B:$B,$A36,DeadRaw!BC:BC)</f>
        <v>0</v>
      </c>
      <c r="BA36">
        <f>SUMIF(DeadRaw!$B:$B,$A36,DeadRaw!BD:BD)</f>
        <v>0</v>
      </c>
      <c r="BB36">
        <f>SUMIF(DeadRaw!$B:$B,$A36,DeadRaw!BE:BE)</f>
        <v>0</v>
      </c>
      <c r="BC36">
        <f>SUMIF(DeadRaw!$B:$B,$A36,DeadRaw!BF:BF)</f>
        <v>0</v>
      </c>
      <c r="BD36">
        <f>SUMIF(DeadRaw!$B:$B,$A36,DeadRaw!BG:BG)</f>
        <v>0</v>
      </c>
      <c r="BE36">
        <f>SUMIF(DeadRaw!$B:$B,$A36,DeadRaw!BH:BH)</f>
        <v>0</v>
      </c>
      <c r="BF36">
        <f>SUMIF(DeadRaw!$B:$B,$A36,DeadRaw!BI:BI)</f>
        <v>0</v>
      </c>
      <c r="BG36">
        <f>SUMIF(DeadRaw!$B:$B,$A36,DeadRaw!BJ:BJ)</f>
        <v>0</v>
      </c>
      <c r="BH36">
        <f>SUMIF(DeadRaw!$B:$B,$A36,DeadRaw!BK:BK)</f>
        <v>0</v>
      </c>
      <c r="BI36">
        <f>SUMIF(DeadRaw!$B:$B,$A36,DeadRaw!BL:BL)</f>
        <v>0</v>
      </c>
      <c r="BJ36">
        <f>SUMIF(DeadRaw!$B:$B,$A36,DeadRaw!BM:BM)</f>
        <v>0</v>
      </c>
      <c r="BK36">
        <f>SUMIF(DeadRaw!$B:$B,$A36,DeadRaw!BN:BN)</f>
        <v>0</v>
      </c>
      <c r="BL36">
        <f>SUMIF(DeadRaw!$B:$B,$A36,DeadRaw!BO:BO)</f>
        <v>0</v>
      </c>
      <c r="BM36">
        <f>SUMIF(DeadRaw!$B:$B,$A36,DeadRaw!BP:BP)</f>
        <v>0</v>
      </c>
      <c r="BN36">
        <f>SUMIF(DeadRaw!$B:$B,$A36,DeadRaw!BQ:BQ)</f>
        <v>0</v>
      </c>
      <c r="BO36">
        <f>SUMIF(DeadRaw!$B:$B,$A36,DeadRaw!BR:BR)</f>
        <v>0</v>
      </c>
      <c r="BP36">
        <f>SUMIF(DeadRaw!$B:$B,$A36,DeadRaw!BS:BS)</f>
        <v>0</v>
      </c>
      <c r="BQ36">
        <f>SUMIF(DeadRaw!$B:$B,$A36,DeadRaw!BT:BT)</f>
        <v>0</v>
      </c>
      <c r="BR36">
        <f>SUMIF(DeadRaw!$B:$B,$A36,DeadRaw!BU:BU)</f>
        <v>0</v>
      </c>
      <c r="BS36">
        <f>SUMIF(DeadRaw!$B:$B,$A36,DeadRaw!BV:BV)</f>
        <v>0</v>
      </c>
      <c r="BT36">
        <f>SUMIF(DeadRaw!$B:$B,$A36,DeadRaw!BW:BW)</f>
        <v>0</v>
      </c>
    </row>
    <row r="37" spans="1:72" ht="15" thickBot="1" x14ac:dyDescent="0.35">
      <c r="A37" s="4" t="s">
        <v>113</v>
      </c>
      <c r="B37">
        <f>SUMIF(DeadRaw!$B:$B,$A37,DeadRaw!E:E)</f>
        <v>0</v>
      </c>
      <c r="C37">
        <f>SUMIF(DeadRaw!$B:$B,$A37,DeadRaw!F:F)</f>
        <v>0</v>
      </c>
      <c r="D37">
        <f>SUMIF(DeadRaw!$B:$B,$A37,DeadRaw!G:G)</f>
        <v>0</v>
      </c>
      <c r="E37">
        <f>SUMIF(DeadRaw!$B:$B,$A37,DeadRaw!H:H)</f>
        <v>0</v>
      </c>
      <c r="F37">
        <f>SUMIF(DeadRaw!$B:$B,$A37,DeadRaw!I:I)</f>
        <v>0</v>
      </c>
      <c r="G37">
        <f>SUMIF(DeadRaw!$B:$B,$A37,DeadRaw!J:J)</f>
        <v>0</v>
      </c>
      <c r="H37">
        <f>SUMIF(DeadRaw!$B:$B,$A37,DeadRaw!K:K)</f>
        <v>0</v>
      </c>
      <c r="I37">
        <f>SUMIF(DeadRaw!$B:$B,$A37,DeadRaw!L:L)</f>
        <v>0</v>
      </c>
      <c r="J37">
        <f>SUMIF(DeadRaw!$B:$B,$A37,DeadRaw!M:M)</f>
        <v>0</v>
      </c>
      <c r="K37">
        <f>SUMIF(DeadRaw!$B:$B,$A37,DeadRaw!N:N)</f>
        <v>0</v>
      </c>
      <c r="L37">
        <f>SUMIF(DeadRaw!$B:$B,$A37,DeadRaw!O:O)</f>
        <v>0</v>
      </c>
      <c r="M37">
        <f>SUMIF(DeadRaw!$B:$B,$A37,DeadRaw!P:P)</f>
        <v>0</v>
      </c>
      <c r="N37">
        <f>SUMIF(DeadRaw!$B:$B,$A37,DeadRaw!Q:Q)</f>
        <v>0</v>
      </c>
      <c r="O37">
        <f>SUMIF(DeadRaw!$B:$B,$A37,DeadRaw!R:R)</f>
        <v>0</v>
      </c>
      <c r="P37">
        <f>SUMIF(DeadRaw!$B:$B,$A37,DeadRaw!S:S)</f>
        <v>0</v>
      </c>
      <c r="Q37">
        <f>SUMIF(DeadRaw!$B:$B,$A37,DeadRaw!T:T)</f>
        <v>0</v>
      </c>
      <c r="R37">
        <f>SUMIF(DeadRaw!$B:$B,$A37,DeadRaw!U:U)</f>
        <v>0</v>
      </c>
      <c r="S37">
        <f>SUMIF(DeadRaw!$B:$B,$A37,DeadRaw!V:V)</f>
        <v>0</v>
      </c>
      <c r="T37">
        <f>SUMIF(DeadRaw!$B:$B,$A37,DeadRaw!W:W)</f>
        <v>0</v>
      </c>
      <c r="U37">
        <f>SUMIF(DeadRaw!$B:$B,$A37,DeadRaw!X:X)</f>
        <v>0</v>
      </c>
      <c r="V37">
        <f>SUMIF(DeadRaw!$B:$B,$A37,DeadRaw!Y:Y)</f>
        <v>0</v>
      </c>
      <c r="W37">
        <f>SUMIF(DeadRaw!$B:$B,$A37,DeadRaw!Z:Z)</f>
        <v>0</v>
      </c>
      <c r="X37">
        <f>SUMIF(DeadRaw!$B:$B,$A37,DeadRaw!AA:AA)</f>
        <v>0</v>
      </c>
      <c r="Y37">
        <f>SUMIF(DeadRaw!$B:$B,$A37,DeadRaw!AB:AB)</f>
        <v>0</v>
      </c>
      <c r="Z37">
        <f>SUMIF(DeadRaw!$B:$B,$A37,DeadRaw!AC:AC)</f>
        <v>0</v>
      </c>
      <c r="AA37">
        <f>SUMIF(DeadRaw!$B:$B,$A37,DeadRaw!AD:AD)</f>
        <v>0</v>
      </c>
      <c r="AB37">
        <f>SUMIF(DeadRaw!$B:$B,$A37,DeadRaw!AE:AE)</f>
        <v>0</v>
      </c>
      <c r="AC37">
        <f>SUMIF(DeadRaw!$B:$B,$A37,DeadRaw!AF:AF)</f>
        <v>0</v>
      </c>
      <c r="AD37">
        <f>SUMIF(DeadRaw!$B:$B,$A37,DeadRaw!AG:AG)</f>
        <v>0</v>
      </c>
      <c r="AE37">
        <f>SUMIF(DeadRaw!$B:$B,$A37,DeadRaw!AH:AH)</f>
        <v>0</v>
      </c>
      <c r="AF37">
        <f>SUMIF(DeadRaw!$B:$B,$A37,DeadRaw!AI:AI)</f>
        <v>0</v>
      </c>
      <c r="AG37">
        <f>SUMIF(DeadRaw!$B:$B,$A37,DeadRaw!AJ:AJ)</f>
        <v>0</v>
      </c>
      <c r="AH37">
        <f>SUMIF(DeadRaw!$B:$B,$A37,DeadRaw!AK:AK)</f>
        <v>0</v>
      </c>
      <c r="AI37">
        <f>SUMIF(DeadRaw!$B:$B,$A37,DeadRaw!AL:AL)</f>
        <v>0</v>
      </c>
      <c r="AJ37">
        <f>SUMIF(DeadRaw!$B:$B,$A37,DeadRaw!AM:AM)</f>
        <v>0</v>
      </c>
      <c r="AK37">
        <f>SUMIF(DeadRaw!$B:$B,$A37,DeadRaw!AN:AN)</f>
        <v>0</v>
      </c>
      <c r="AL37">
        <f>SUMIF(DeadRaw!$B:$B,$A37,DeadRaw!AO:AO)</f>
        <v>0</v>
      </c>
      <c r="AM37">
        <f>SUMIF(DeadRaw!$B:$B,$A37,DeadRaw!AP:AP)</f>
        <v>0</v>
      </c>
      <c r="AN37">
        <f>SUMIF(DeadRaw!$B:$B,$A37,DeadRaw!AQ:AQ)</f>
        <v>0</v>
      </c>
      <c r="AO37">
        <f>SUMIF(DeadRaw!$B:$B,$A37,DeadRaw!AR:AR)</f>
        <v>0</v>
      </c>
      <c r="AP37">
        <f>SUMIF(DeadRaw!$B:$B,$A37,DeadRaw!AS:AS)</f>
        <v>0</v>
      </c>
      <c r="AQ37">
        <f>SUMIF(DeadRaw!$B:$B,$A37,DeadRaw!AT:AT)</f>
        <v>0</v>
      </c>
      <c r="AR37">
        <f>SUMIF(DeadRaw!$B:$B,$A37,DeadRaw!AU:AU)</f>
        <v>0</v>
      </c>
      <c r="AS37">
        <f>SUMIF(DeadRaw!$B:$B,$A37,DeadRaw!AV:AV)</f>
        <v>0</v>
      </c>
      <c r="AT37">
        <f>SUMIF(DeadRaw!$B:$B,$A37,DeadRaw!AW:AW)</f>
        <v>0</v>
      </c>
      <c r="AU37">
        <f>SUMIF(DeadRaw!$B:$B,$A37,DeadRaw!AX:AX)</f>
        <v>0</v>
      </c>
      <c r="AV37">
        <f>SUMIF(DeadRaw!$B:$B,$A37,DeadRaw!AY:AY)</f>
        <v>0</v>
      </c>
      <c r="AW37">
        <f>SUMIF(DeadRaw!$B:$B,$A37,DeadRaw!AZ:AZ)</f>
        <v>0</v>
      </c>
      <c r="AX37">
        <f>SUMIF(DeadRaw!$B:$B,$A37,DeadRaw!BA:BA)</f>
        <v>0</v>
      </c>
      <c r="AY37">
        <f>SUMIF(DeadRaw!$B:$B,$A37,DeadRaw!BB:BB)</f>
        <v>0</v>
      </c>
      <c r="AZ37">
        <f>SUMIF(DeadRaw!$B:$B,$A37,DeadRaw!BC:BC)</f>
        <v>0</v>
      </c>
      <c r="BA37">
        <f>SUMIF(DeadRaw!$B:$B,$A37,DeadRaw!BD:BD)</f>
        <v>0</v>
      </c>
      <c r="BB37">
        <f>SUMIF(DeadRaw!$B:$B,$A37,DeadRaw!BE:BE)</f>
        <v>0</v>
      </c>
      <c r="BC37">
        <f>SUMIF(DeadRaw!$B:$B,$A37,DeadRaw!BF:BF)</f>
        <v>0</v>
      </c>
      <c r="BD37">
        <f>SUMIF(DeadRaw!$B:$B,$A37,DeadRaw!BG:BG)</f>
        <v>0</v>
      </c>
      <c r="BE37">
        <f>SUMIF(DeadRaw!$B:$B,$A37,DeadRaw!BH:BH)</f>
        <v>0</v>
      </c>
      <c r="BF37">
        <f>SUMIF(DeadRaw!$B:$B,$A37,DeadRaw!BI:BI)</f>
        <v>0</v>
      </c>
      <c r="BG37">
        <f>SUMIF(DeadRaw!$B:$B,$A37,DeadRaw!BJ:BJ)</f>
        <v>0</v>
      </c>
      <c r="BH37">
        <f>SUMIF(DeadRaw!$B:$B,$A37,DeadRaw!BK:BK)</f>
        <v>0</v>
      </c>
      <c r="BI37">
        <f>SUMIF(DeadRaw!$B:$B,$A37,DeadRaw!BL:BL)</f>
        <v>0</v>
      </c>
      <c r="BJ37">
        <f>SUMIF(DeadRaw!$B:$B,$A37,DeadRaw!BM:BM)</f>
        <v>0</v>
      </c>
      <c r="BK37">
        <f>SUMIF(DeadRaw!$B:$B,$A37,DeadRaw!BN:BN)</f>
        <v>0</v>
      </c>
      <c r="BL37">
        <f>SUMIF(DeadRaw!$B:$B,$A37,DeadRaw!BO:BO)</f>
        <v>0</v>
      </c>
      <c r="BM37">
        <f>SUMIF(DeadRaw!$B:$B,$A37,DeadRaw!BP:BP)</f>
        <v>0</v>
      </c>
      <c r="BN37">
        <f>SUMIF(DeadRaw!$B:$B,$A37,DeadRaw!BQ:BQ)</f>
        <v>0</v>
      </c>
      <c r="BO37">
        <f>SUMIF(DeadRaw!$B:$B,$A37,DeadRaw!BR:BR)</f>
        <v>0</v>
      </c>
      <c r="BP37">
        <f>SUMIF(DeadRaw!$B:$B,$A37,DeadRaw!BS:BS)</f>
        <v>0</v>
      </c>
      <c r="BQ37">
        <f>SUMIF(DeadRaw!$B:$B,$A37,DeadRaw!BT:BT)</f>
        <v>0</v>
      </c>
      <c r="BR37">
        <f>SUMIF(DeadRaw!$B:$B,$A37,DeadRaw!BU:BU)</f>
        <v>0</v>
      </c>
      <c r="BS37">
        <f>SUMIF(DeadRaw!$B:$B,$A37,DeadRaw!BV:BV)</f>
        <v>0</v>
      </c>
      <c r="BT37">
        <f>SUMIF(DeadRaw!$B:$B,$A37,DeadRaw!BW:BW)</f>
        <v>0</v>
      </c>
    </row>
    <row r="38" spans="1:72" ht="15" thickBot="1" x14ac:dyDescent="0.35">
      <c r="A38" s="4" t="s">
        <v>55</v>
      </c>
      <c r="B38">
        <f>SUMIF(DeadRaw!$B:$B,$A38,DeadRaw!E:E)</f>
        <v>0</v>
      </c>
      <c r="C38">
        <f>SUMIF(DeadRaw!$B:$B,$A38,DeadRaw!F:F)</f>
        <v>0</v>
      </c>
      <c r="D38">
        <f>SUMIF(DeadRaw!$B:$B,$A38,DeadRaw!G:G)</f>
        <v>0</v>
      </c>
      <c r="E38">
        <f>SUMIF(DeadRaw!$B:$B,$A38,DeadRaw!H:H)</f>
        <v>0</v>
      </c>
      <c r="F38">
        <f>SUMIF(DeadRaw!$B:$B,$A38,DeadRaw!I:I)</f>
        <v>0</v>
      </c>
      <c r="G38">
        <f>SUMIF(DeadRaw!$B:$B,$A38,DeadRaw!J:J)</f>
        <v>0</v>
      </c>
      <c r="H38">
        <f>SUMIF(DeadRaw!$B:$B,$A38,DeadRaw!K:K)</f>
        <v>0</v>
      </c>
      <c r="I38">
        <f>SUMIF(DeadRaw!$B:$B,$A38,DeadRaw!L:L)</f>
        <v>0</v>
      </c>
      <c r="J38">
        <f>SUMIF(DeadRaw!$B:$B,$A38,DeadRaw!M:M)</f>
        <v>0</v>
      </c>
      <c r="K38">
        <f>SUMIF(DeadRaw!$B:$B,$A38,DeadRaw!N:N)</f>
        <v>0</v>
      </c>
      <c r="L38">
        <f>SUMIF(DeadRaw!$B:$B,$A38,DeadRaw!O:O)</f>
        <v>0</v>
      </c>
      <c r="M38">
        <f>SUMIF(DeadRaw!$B:$B,$A38,DeadRaw!P:P)</f>
        <v>0</v>
      </c>
      <c r="N38">
        <f>SUMIF(DeadRaw!$B:$B,$A38,DeadRaw!Q:Q)</f>
        <v>0</v>
      </c>
      <c r="O38">
        <f>SUMIF(DeadRaw!$B:$B,$A38,DeadRaw!R:R)</f>
        <v>0</v>
      </c>
      <c r="P38">
        <f>SUMIF(DeadRaw!$B:$B,$A38,DeadRaw!S:S)</f>
        <v>0</v>
      </c>
      <c r="Q38">
        <f>SUMIF(DeadRaw!$B:$B,$A38,DeadRaw!T:T)</f>
        <v>0</v>
      </c>
      <c r="R38">
        <f>SUMIF(DeadRaw!$B:$B,$A38,DeadRaw!U:U)</f>
        <v>0</v>
      </c>
      <c r="S38">
        <f>SUMIF(DeadRaw!$B:$B,$A38,DeadRaw!V:V)</f>
        <v>0</v>
      </c>
      <c r="T38">
        <f>SUMIF(DeadRaw!$B:$B,$A38,DeadRaw!W:W)</f>
        <v>0</v>
      </c>
      <c r="U38">
        <f>SUMIF(DeadRaw!$B:$B,$A38,DeadRaw!X:X)</f>
        <v>0</v>
      </c>
      <c r="V38">
        <f>SUMIF(DeadRaw!$B:$B,$A38,DeadRaw!Y:Y)</f>
        <v>0</v>
      </c>
      <c r="W38">
        <f>SUMIF(DeadRaw!$B:$B,$A38,DeadRaw!Z:Z)</f>
        <v>0</v>
      </c>
      <c r="X38">
        <f>SUMIF(DeadRaw!$B:$B,$A38,DeadRaw!AA:AA)</f>
        <v>0</v>
      </c>
      <c r="Y38">
        <f>SUMIF(DeadRaw!$B:$B,$A38,DeadRaw!AB:AB)</f>
        <v>0</v>
      </c>
      <c r="Z38">
        <f>SUMIF(DeadRaw!$B:$B,$A38,DeadRaw!AC:AC)</f>
        <v>0</v>
      </c>
      <c r="AA38">
        <f>SUMIF(DeadRaw!$B:$B,$A38,DeadRaw!AD:AD)</f>
        <v>0</v>
      </c>
      <c r="AB38">
        <f>SUMIF(DeadRaw!$B:$B,$A38,DeadRaw!AE:AE)</f>
        <v>0</v>
      </c>
      <c r="AC38">
        <f>SUMIF(DeadRaw!$B:$B,$A38,DeadRaw!AF:AF)</f>
        <v>0</v>
      </c>
      <c r="AD38">
        <f>SUMIF(DeadRaw!$B:$B,$A38,DeadRaw!AG:AG)</f>
        <v>0</v>
      </c>
      <c r="AE38">
        <f>SUMIF(DeadRaw!$B:$B,$A38,DeadRaw!AH:AH)</f>
        <v>0</v>
      </c>
      <c r="AF38">
        <f>SUMIF(DeadRaw!$B:$B,$A38,DeadRaw!AI:AI)</f>
        <v>0</v>
      </c>
      <c r="AG38">
        <f>SUMIF(DeadRaw!$B:$B,$A38,DeadRaw!AJ:AJ)</f>
        <v>0</v>
      </c>
      <c r="AH38">
        <f>SUMIF(DeadRaw!$B:$B,$A38,DeadRaw!AK:AK)</f>
        <v>0</v>
      </c>
      <c r="AI38">
        <f>SUMIF(DeadRaw!$B:$B,$A38,DeadRaw!AL:AL)</f>
        <v>0</v>
      </c>
      <c r="AJ38">
        <f>SUMIF(DeadRaw!$B:$B,$A38,DeadRaw!AM:AM)</f>
        <v>0</v>
      </c>
      <c r="AK38">
        <f>SUMIF(DeadRaw!$B:$B,$A38,DeadRaw!AN:AN)</f>
        <v>0</v>
      </c>
      <c r="AL38">
        <f>SUMIF(DeadRaw!$B:$B,$A38,DeadRaw!AO:AO)</f>
        <v>0</v>
      </c>
      <c r="AM38">
        <f>SUMIF(DeadRaw!$B:$B,$A38,DeadRaw!AP:AP)</f>
        <v>0</v>
      </c>
      <c r="AN38">
        <f>SUMIF(DeadRaw!$B:$B,$A38,DeadRaw!AQ:AQ)</f>
        <v>0</v>
      </c>
      <c r="AO38">
        <f>SUMIF(DeadRaw!$B:$B,$A38,DeadRaw!AR:AR)</f>
        <v>0</v>
      </c>
      <c r="AP38">
        <f>SUMIF(DeadRaw!$B:$B,$A38,DeadRaw!AS:AS)</f>
        <v>0</v>
      </c>
      <c r="AQ38">
        <f>SUMIF(DeadRaw!$B:$B,$A38,DeadRaw!AT:AT)</f>
        <v>0</v>
      </c>
      <c r="AR38">
        <f>SUMIF(DeadRaw!$B:$B,$A38,DeadRaw!AU:AU)</f>
        <v>0</v>
      </c>
      <c r="AS38">
        <f>SUMIF(DeadRaw!$B:$B,$A38,DeadRaw!AV:AV)</f>
        <v>0</v>
      </c>
      <c r="AT38">
        <f>SUMIF(DeadRaw!$B:$B,$A38,DeadRaw!AW:AW)</f>
        <v>0</v>
      </c>
      <c r="AU38">
        <f>SUMIF(DeadRaw!$B:$B,$A38,DeadRaw!AX:AX)</f>
        <v>0</v>
      </c>
      <c r="AV38">
        <f>SUMIF(DeadRaw!$B:$B,$A38,DeadRaw!AY:AY)</f>
        <v>0</v>
      </c>
      <c r="AW38">
        <f>SUMIF(DeadRaw!$B:$B,$A38,DeadRaw!AZ:AZ)</f>
        <v>0</v>
      </c>
      <c r="AX38">
        <f>SUMIF(DeadRaw!$B:$B,$A38,DeadRaw!BA:BA)</f>
        <v>0</v>
      </c>
      <c r="AY38">
        <f>SUMIF(DeadRaw!$B:$B,$A38,DeadRaw!BB:BB)</f>
        <v>0</v>
      </c>
      <c r="AZ38">
        <f>SUMIF(DeadRaw!$B:$B,$A38,DeadRaw!BC:BC)</f>
        <v>0</v>
      </c>
      <c r="BA38">
        <f>SUMIF(DeadRaw!$B:$B,$A38,DeadRaw!BD:BD)</f>
        <v>0</v>
      </c>
      <c r="BB38">
        <f>SUMIF(DeadRaw!$B:$B,$A38,DeadRaw!BE:BE)</f>
        <v>0</v>
      </c>
      <c r="BC38">
        <f>SUMIF(DeadRaw!$B:$B,$A38,DeadRaw!BF:BF)</f>
        <v>0</v>
      </c>
      <c r="BD38">
        <f>SUMIF(DeadRaw!$B:$B,$A38,DeadRaw!BG:BG)</f>
        <v>0</v>
      </c>
      <c r="BE38">
        <f>SUMIF(DeadRaw!$B:$B,$A38,DeadRaw!BH:BH)</f>
        <v>0</v>
      </c>
      <c r="BF38">
        <f>SUMIF(DeadRaw!$B:$B,$A38,DeadRaw!BI:BI)</f>
        <v>0</v>
      </c>
      <c r="BG38">
        <f>SUMIF(DeadRaw!$B:$B,$A38,DeadRaw!BJ:BJ)</f>
        <v>0</v>
      </c>
      <c r="BH38">
        <f>SUMIF(DeadRaw!$B:$B,$A38,DeadRaw!BK:BK)</f>
        <v>2</v>
      </c>
      <c r="BI38">
        <f>SUMIF(DeadRaw!$B:$B,$A38,DeadRaw!BL:BL)</f>
        <v>0</v>
      </c>
      <c r="BJ38">
        <f>SUMIF(DeadRaw!$B:$B,$A38,DeadRaw!BM:BM)</f>
        <v>0</v>
      </c>
      <c r="BK38">
        <f>SUMIF(DeadRaw!$B:$B,$A38,DeadRaw!BN:BN)</f>
        <v>0</v>
      </c>
      <c r="BL38">
        <f>SUMIF(DeadRaw!$B:$B,$A38,DeadRaw!BO:BO)</f>
        <v>0</v>
      </c>
      <c r="BM38">
        <f>SUMIF(DeadRaw!$B:$B,$A38,DeadRaw!BP:BP)</f>
        <v>0</v>
      </c>
      <c r="BN38">
        <f>SUMIF(DeadRaw!$B:$B,$A38,DeadRaw!BQ:BQ)</f>
        <v>0</v>
      </c>
      <c r="BO38">
        <f>SUMIF(DeadRaw!$B:$B,$A38,DeadRaw!BR:BR)</f>
        <v>0</v>
      </c>
      <c r="BP38">
        <f>SUMIF(DeadRaw!$B:$B,$A38,DeadRaw!BS:BS)</f>
        <v>0</v>
      </c>
      <c r="BQ38">
        <f>SUMIF(DeadRaw!$B:$B,$A38,DeadRaw!BT:BT)</f>
        <v>0</v>
      </c>
      <c r="BR38">
        <f>SUMIF(DeadRaw!$B:$B,$A38,DeadRaw!BU:BU)</f>
        <v>0</v>
      </c>
      <c r="BS38">
        <f>SUMIF(DeadRaw!$B:$B,$A38,DeadRaw!BV:BV)</f>
        <v>0</v>
      </c>
      <c r="BT38">
        <f>SUMIF(DeadRaw!$B:$B,$A38,DeadRaw!BW:BW)</f>
        <v>0</v>
      </c>
    </row>
    <row r="39" spans="1:72" ht="15" thickBot="1" x14ac:dyDescent="0.35">
      <c r="A39" s="4" t="s">
        <v>57</v>
      </c>
      <c r="B39">
        <f>SUMIF(DeadRaw!$B:$B,$A39,DeadRaw!E:E)</f>
        <v>0</v>
      </c>
      <c r="C39">
        <f>SUMIF(DeadRaw!$B:$B,$A39,DeadRaw!F:F)</f>
        <v>0</v>
      </c>
      <c r="D39">
        <f>SUMIF(DeadRaw!$B:$B,$A39,DeadRaw!G:G)</f>
        <v>0</v>
      </c>
      <c r="E39">
        <f>SUMIF(DeadRaw!$B:$B,$A39,DeadRaw!H:H)</f>
        <v>0</v>
      </c>
      <c r="F39">
        <f>SUMIF(DeadRaw!$B:$B,$A39,DeadRaw!I:I)</f>
        <v>0</v>
      </c>
      <c r="G39">
        <f>SUMIF(DeadRaw!$B:$B,$A39,DeadRaw!J:J)</f>
        <v>0</v>
      </c>
      <c r="H39">
        <f>SUMIF(DeadRaw!$B:$B,$A39,DeadRaw!K:K)</f>
        <v>0</v>
      </c>
      <c r="I39">
        <f>SUMIF(DeadRaw!$B:$B,$A39,DeadRaw!L:L)</f>
        <v>0</v>
      </c>
      <c r="J39">
        <f>SUMIF(DeadRaw!$B:$B,$A39,DeadRaw!M:M)</f>
        <v>0</v>
      </c>
      <c r="K39">
        <f>SUMIF(DeadRaw!$B:$B,$A39,DeadRaw!N:N)</f>
        <v>0</v>
      </c>
      <c r="L39">
        <f>SUMIF(DeadRaw!$B:$B,$A39,DeadRaw!O:O)</f>
        <v>0</v>
      </c>
      <c r="M39">
        <f>SUMIF(DeadRaw!$B:$B,$A39,DeadRaw!P:P)</f>
        <v>0</v>
      </c>
      <c r="N39">
        <f>SUMIF(DeadRaw!$B:$B,$A39,DeadRaw!Q:Q)</f>
        <v>0</v>
      </c>
      <c r="O39">
        <f>SUMIF(DeadRaw!$B:$B,$A39,DeadRaw!R:R)</f>
        <v>0</v>
      </c>
      <c r="P39">
        <f>SUMIF(DeadRaw!$B:$B,$A39,DeadRaw!S:S)</f>
        <v>0</v>
      </c>
      <c r="Q39">
        <f>SUMIF(DeadRaw!$B:$B,$A39,DeadRaw!T:T)</f>
        <v>0</v>
      </c>
      <c r="R39">
        <f>SUMIF(DeadRaw!$B:$B,$A39,DeadRaw!U:U)</f>
        <v>0</v>
      </c>
      <c r="S39">
        <f>SUMIF(DeadRaw!$B:$B,$A39,DeadRaw!V:V)</f>
        <v>0</v>
      </c>
      <c r="T39">
        <f>SUMIF(DeadRaw!$B:$B,$A39,DeadRaw!W:W)</f>
        <v>0</v>
      </c>
      <c r="U39">
        <f>SUMIF(DeadRaw!$B:$B,$A39,DeadRaw!X:X)</f>
        <v>0</v>
      </c>
      <c r="V39">
        <f>SUMIF(DeadRaw!$B:$B,$A39,DeadRaw!Y:Y)</f>
        <v>0</v>
      </c>
      <c r="W39">
        <f>SUMIF(DeadRaw!$B:$B,$A39,DeadRaw!Z:Z)</f>
        <v>0</v>
      </c>
      <c r="X39">
        <f>SUMIF(DeadRaw!$B:$B,$A39,DeadRaw!AA:AA)</f>
        <v>0</v>
      </c>
      <c r="Y39">
        <f>SUMIF(DeadRaw!$B:$B,$A39,DeadRaw!AB:AB)</f>
        <v>0</v>
      </c>
      <c r="Z39">
        <f>SUMIF(DeadRaw!$B:$B,$A39,DeadRaw!AC:AC)</f>
        <v>0</v>
      </c>
      <c r="AA39">
        <f>SUMIF(DeadRaw!$B:$B,$A39,DeadRaw!AD:AD)</f>
        <v>0</v>
      </c>
      <c r="AB39">
        <f>SUMIF(DeadRaw!$B:$B,$A39,DeadRaw!AE:AE)</f>
        <v>0</v>
      </c>
      <c r="AC39">
        <f>SUMIF(DeadRaw!$B:$B,$A39,DeadRaw!AF:AF)</f>
        <v>0</v>
      </c>
      <c r="AD39">
        <f>SUMIF(DeadRaw!$B:$B,$A39,DeadRaw!AG:AG)</f>
        <v>0</v>
      </c>
      <c r="AE39">
        <f>SUMIF(DeadRaw!$B:$B,$A39,DeadRaw!AH:AH)</f>
        <v>0</v>
      </c>
      <c r="AF39">
        <f>SUMIF(DeadRaw!$B:$B,$A39,DeadRaw!AI:AI)</f>
        <v>0</v>
      </c>
      <c r="AG39">
        <f>SUMIF(DeadRaw!$B:$B,$A39,DeadRaw!AJ:AJ)</f>
        <v>0</v>
      </c>
      <c r="AH39">
        <f>SUMIF(DeadRaw!$B:$B,$A39,DeadRaw!AK:AK)</f>
        <v>0</v>
      </c>
      <c r="AI39">
        <f>SUMIF(DeadRaw!$B:$B,$A39,DeadRaw!AL:AL)</f>
        <v>0</v>
      </c>
      <c r="AJ39">
        <f>SUMIF(DeadRaw!$B:$B,$A39,DeadRaw!AM:AM)</f>
        <v>0</v>
      </c>
      <c r="AK39">
        <f>SUMIF(DeadRaw!$B:$B,$A39,DeadRaw!AN:AN)</f>
        <v>0</v>
      </c>
      <c r="AL39">
        <f>SUMIF(DeadRaw!$B:$B,$A39,DeadRaw!AO:AO)</f>
        <v>0</v>
      </c>
      <c r="AM39">
        <f>SUMIF(DeadRaw!$B:$B,$A39,DeadRaw!AP:AP)</f>
        <v>0</v>
      </c>
      <c r="AN39">
        <f>SUMIF(DeadRaw!$B:$B,$A39,DeadRaw!AQ:AQ)</f>
        <v>0</v>
      </c>
      <c r="AO39">
        <f>SUMIF(DeadRaw!$B:$B,$A39,DeadRaw!AR:AR)</f>
        <v>0</v>
      </c>
      <c r="AP39">
        <f>SUMIF(DeadRaw!$B:$B,$A39,DeadRaw!AS:AS)</f>
        <v>0</v>
      </c>
      <c r="AQ39">
        <f>SUMIF(DeadRaw!$B:$B,$A39,DeadRaw!AT:AT)</f>
        <v>0</v>
      </c>
      <c r="AR39">
        <f>SUMIF(DeadRaw!$B:$B,$A39,DeadRaw!AU:AU)</f>
        <v>0</v>
      </c>
      <c r="AS39">
        <f>SUMIF(DeadRaw!$B:$B,$A39,DeadRaw!AV:AV)</f>
        <v>0</v>
      </c>
      <c r="AT39">
        <f>SUMIF(DeadRaw!$B:$B,$A39,DeadRaw!AW:AW)</f>
        <v>0</v>
      </c>
      <c r="AU39">
        <f>SUMIF(DeadRaw!$B:$B,$A39,DeadRaw!AX:AX)</f>
        <v>0</v>
      </c>
      <c r="AV39">
        <f>SUMIF(DeadRaw!$B:$B,$A39,DeadRaw!AY:AY)</f>
        <v>0</v>
      </c>
      <c r="AW39">
        <f>SUMIF(DeadRaw!$B:$B,$A39,DeadRaw!AZ:AZ)</f>
        <v>0</v>
      </c>
      <c r="AX39">
        <f>SUMIF(DeadRaw!$B:$B,$A39,DeadRaw!BA:BA)</f>
        <v>0</v>
      </c>
      <c r="AY39">
        <f>SUMIF(DeadRaw!$B:$B,$A39,DeadRaw!BB:BB)</f>
        <v>1</v>
      </c>
      <c r="AZ39">
        <f>SUMIF(DeadRaw!$B:$B,$A39,DeadRaw!BC:BC)</f>
        <v>1</v>
      </c>
      <c r="BA39">
        <f>SUMIF(DeadRaw!$B:$B,$A39,DeadRaw!BD:BD)</f>
        <v>2</v>
      </c>
      <c r="BB39">
        <f>SUMIF(DeadRaw!$B:$B,$A39,DeadRaw!BE:BE)</f>
        <v>2</v>
      </c>
      <c r="BC39">
        <f>SUMIF(DeadRaw!$B:$B,$A39,DeadRaw!BF:BF)</f>
        <v>2</v>
      </c>
      <c r="BD39">
        <f>SUMIF(DeadRaw!$B:$B,$A39,DeadRaw!BG:BG)</f>
        <v>2</v>
      </c>
      <c r="BE39">
        <f>SUMIF(DeadRaw!$B:$B,$A39,DeadRaw!BH:BH)</f>
        <v>3</v>
      </c>
      <c r="BF39">
        <f>SUMIF(DeadRaw!$B:$B,$A39,DeadRaw!BI:BI)</f>
        <v>3</v>
      </c>
      <c r="BG39">
        <f>SUMIF(DeadRaw!$B:$B,$A39,DeadRaw!BJ:BJ)</f>
        <v>4</v>
      </c>
      <c r="BH39">
        <f>SUMIF(DeadRaw!$B:$B,$A39,DeadRaw!BK:BK)</f>
        <v>5</v>
      </c>
      <c r="BI39">
        <f>SUMIF(DeadRaw!$B:$B,$A39,DeadRaw!BL:BL)</f>
        <v>0</v>
      </c>
      <c r="BJ39">
        <f>SUMIF(DeadRaw!$B:$B,$A39,DeadRaw!BM:BM)</f>
        <v>0</v>
      </c>
      <c r="BK39">
        <f>SUMIF(DeadRaw!$B:$B,$A39,DeadRaw!BN:BN)</f>
        <v>0</v>
      </c>
      <c r="BL39">
        <f>SUMIF(DeadRaw!$B:$B,$A39,DeadRaw!BO:BO)</f>
        <v>0</v>
      </c>
      <c r="BM39">
        <f>SUMIF(DeadRaw!$B:$B,$A39,DeadRaw!BP:BP)</f>
        <v>0</v>
      </c>
      <c r="BN39">
        <f>SUMIF(DeadRaw!$B:$B,$A39,DeadRaw!BQ:BQ)</f>
        <v>0</v>
      </c>
      <c r="BO39">
        <f>SUMIF(DeadRaw!$B:$B,$A39,DeadRaw!BR:BR)</f>
        <v>0</v>
      </c>
      <c r="BP39">
        <f>SUMIF(DeadRaw!$B:$B,$A39,DeadRaw!BS:BS)</f>
        <v>0</v>
      </c>
      <c r="BQ39">
        <f>SUMIF(DeadRaw!$B:$B,$A39,DeadRaw!BT:BT)</f>
        <v>0</v>
      </c>
      <c r="BR39">
        <f>SUMIF(DeadRaw!$B:$B,$A39,DeadRaw!BU:BU)</f>
        <v>0</v>
      </c>
      <c r="BS39">
        <f>SUMIF(DeadRaw!$B:$B,$A39,DeadRaw!BV:BV)</f>
        <v>0</v>
      </c>
      <c r="BT39">
        <f>SUMIF(DeadRaw!$B:$B,$A39,DeadRaw!BW:BW)</f>
        <v>0</v>
      </c>
    </row>
    <row r="40" spans="1:72" ht="15" thickBot="1" x14ac:dyDescent="0.35">
      <c r="A40" s="4" t="s">
        <v>65</v>
      </c>
      <c r="B40">
        <f>SUMIF(DeadRaw!$B:$B,$A40,DeadRaw!E:E)</f>
        <v>0</v>
      </c>
      <c r="C40">
        <f>SUMIF(DeadRaw!$B:$B,$A40,DeadRaw!F:F)</f>
        <v>0</v>
      </c>
      <c r="D40">
        <f>SUMIF(DeadRaw!$B:$B,$A40,DeadRaw!G:G)</f>
        <v>0</v>
      </c>
      <c r="E40">
        <f>SUMIF(DeadRaw!$B:$B,$A40,DeadRaw!H:H)</f>
        <v>0</v>
      </c>
      <c r="F40">
        <f>SUMIF(DeadRaw!$B:$B,$A40,DeadRaw!I:I)</f>
        <v>0</v>
      </c>
      <c r="G40">
        <f>SUMIF(DeadRaw!$B:$B,$A40,DeadRaw!J:J)</f>
        <v>0</v>
      </c>
      <c r="H40">
        <f>SUMIF(DeadRaw!$B:$B,$A40,DeadRaw!K:K)</f>
        <v>0</v>
      </c>
      <c r="I40">
        <f>SUMIF(DeadRaw!$B:$B,$A40,DeadRaw!L:L)</f>
        <v>0</v>
      </c>
      <c r="J40">
        <f>SUMIF(DeadRaw!$B:$B,$A40,DeadRaw!M:M)</f>
        <v>0</v>
      </c>
      <c r="K40">
        <f>SUMIF(DeadRaw!$B:$B,$A40,DeadRaw!N:N)</f>
        <v>0</v>
      </c>
      <c r="L40">
        <f>SUMIF(DeadRaw!$B:$B,$A40,DeadRaw!O:O)</f>
        <v>0</v>
      </c>
      <c r="M40">
        <f>SUMIF(DeadRaw!$B:$B,$A40,DeadRaw!P:P)</f>
        <v>0</v>
      </c>
      <c r="N40">
        <f>SUMIF(DeadRaw!$B:$B,$A40,DeadRaw!Q:Q)</f>
        <v>0</v>
      </c>
      <c r="O40">
        <f>SUMIF(DeadRaw!$B:$B,$A40,DeadRaw!R:R)</f>
        <v>0</v>
      </c>
      <c r="P40">
        <f>SUMIF(DeadRaw!$B:$B,$A40,DeadRaw!S:S)</f>
        <v>0</v>
      </c>
      <c r="Q40">
        <f>SUMIF(DeadRaw!$B:$B,$A40,DeadRaw!T:T)</f>
        <v>0</v>
      </c>
      <c r="R40">
        <f>SUMIF(DeadRaw!$B:$B,$A40,DeadRaw!U:U)</f>
        <v>0</v>
      </c>
      <c r="S40">
        <f>SUMIF(DeadRaw!$B:$B,$A40,DeadRaw!V:V)</f>
        <v>0</v>
      </c>
      <c r="T40">
        <f>SUMIF(DeadRaw!$B:$B,$A40,DeadRaw!W:W)</f>
        <v>0</v>
      </c>
      <c r="U40">
        <f>SUMIF(DeadRaw!$B:$B,$A40,DeadRaw!X:X)</f>
        <v>0</v>
      </c>
      <c r="V40">
        <f>SUMIF(DeadRaw!$B:$B,$A40,DeadRaw!Y:Y)</f>
        <v>0</v>
      </c>
      <c r="W40">
        <f>SUMIF(DeadRaw!$B:$B,$A40,DeadRaw!Z:Z)</f>
        <v>0</v>
      </c>
      <c r="X40">
        <f>SUMIF(DeadRaw!$B:$B,$A40,DeadRaw!AA:AA)</f>
        <v>0</v>
      </c>
      <c r="Y40">
        <f>SUMIF(DeadRaw!$B:$B,$A40,DeadRaw!AB:AB)</f>
        <v>0</v>
      </c>
      <c r="Z40">
        <f>SUMIF(DeadRaw!$B:$B,$A40,DeadRaw!AC:AC)</f>
        <v>0</v>
      </c>
      <c r="AA40">
        <f>SUMIF(DeadRaw!$B:$B,$A40,DeadRaw!AD:AD)</f>
        <v>0</v>
      </c>
      <c r="AB40">
        <f>SUMIF(DeadRaw!$B:$B,$A40,DeadRaw!AE:AE)</f>
        <v>0</v>
      </c>
      <c r="AC40">
        <f>SUMIF(DeadRaw!$B:$B,$A40,DeadRaw!AF:AF)</f>
        <v>0</v>
      </c>
      <c r="AD40">
        <f>SUMIF(DeadRaw!$B:$B,$A40,DeadRaw!AG:AG)</f>
        <v>0</v>
      </c>
      <c r="AE40">
        <f>SUMIF(DeadRaw!$B:$B,$A40,DeadRaw!AH:AH)</f>
        <v>0</v>
      </c>
      <c r="AF40">
        <f>SUMIF(DeadRaw!$B:$B,$A40,DeadRaw!AI:AI)</f>
        <v>0</v>
      </c>
      <c r="AG40">
        <f>SUMIF(DeadRaw!$B:$B,$A40,DeadRaw!AJ:AJ)</f>
        <v>0</v>
      </c>
      <c r="AH40">
        <f>SUMIF(DeadRaw!$B:$B,$A40,DeadRaw!AK:AK)</f>
        <v>0</v>
      </c>
      <c r="AI40">
        <f>SUMIF(DeadRaw!$B:$B,$A40,DeadRaw!AL:AL)</f>
        <v>0</v>
      </c>
      <c r="AJ40">
        <f>SUMIF(DeadRaw!$B:$B,$A40,DeadRaw!AM:AM)</f>
        <v>0</v>
      </c>
      <c r="AK40">
        <f>SUMIF(DeadRaw!$B:$B,$A40,DeadRaw!AN:AN)</f>
        <v>0</v>
      </c>
      <c r="AL40">
        <f>SUMIF(DeadRaw!$B:$B,$A40,DeadRaw!AO:AO)</f>
        <v>0</v>
      </c>
      <c r="AM40">
        <f>SUMIF(DeadRaw!$B:$B,$A40,DeadRaw!AP:AP)</f>
        <v>0</v>
      </c>
      <c r="AN40">
        <f>SUMIF(DeadRaw!$B:$B,$A40,DeadRaw!AQ:AQ)</f>
        <v>0</v>
      </c>
      <c r="AO40">
        <f>SUMIF(DeadRaw!$B:$B,$A40,DeadRaw!AR:AR)</f>
        <v>0</v>
      </c>
      <c r="AP40">
        <f>SUMIF(DeadRaw!$B:$B,$A40,DeadRaw!AS:AS)</f>
        <v>0</v>
      </c>
      <c r="AQ40">
        <f>SUMIF(DeadRaw!$B:$B,$A40,DeadRaw!AT:AT)</f>
        <v>0</v>
      </c>
      <c r="AR40">
        <f>SUMIF(DeadRaw!$B:$B,$A40,DeadRaw!AU:AU)</f>
        <v>0</v>
      </c>
      <c r="AS40">
        <f>SUMIF(DeadRaw!$B:$B,$A40,DeadRaw!AV:AV)</f>
        <v>0</v>
      </c>
      <c r="AT40">
        <f>SUMIF(DeadRaw!$B:$B,$A40,DeadRaw!AW:AW)</f>
        <v>0</v>
      </c>
      <c r="AU40">
        <f>SUMIF(DeadRaw!$B:$B,$A40,DeadRaw!AX:AX)</f>
        <v>0</v>
      </c>
      <c r="AV40">
        <f>SUMIF(DeadRaw!$B:$B,$A40,DeadRaw!AY:AY)</f>
        <v>1</v>
      </c>
      <c r="AW40">
        <f>SUMIF(DeadRaw!$B:$B,$A40,DeadRaw!AZ:AZ)</f>
        <v>1</v>
      </c>
      <c r="AX40">
        <f>SUMIF(DeadRaw!$B:$B,$A40,DeadRaw!BA:BA)</f>
        <v>1</v>
      </c>
      <c r="AY40">
        <f>SUMIF(DeadRaw!$B:$B,$A40,DeadRaw!BB:BB)</f>
        <v>1</v>
      </c>
      <c r="AZ40">
        <f>SUMIF(DeadRaw!$B:$B,$A40,DeadRaw!BC:BC)</f>
        <v>1</v>
      </c>
      <c r="BA40">
        <f>SUMIF(DeadRaw!$B:$B,$A40,DeadRaw!BD:BD)</f>
        <v>2</v>
      </c>
      <c r="BB40">
        <f>SUMIF(DeadRaw!$B:$B,$A40,DeadRaw!BE:BE)</f>
        <v>2</v>
      </c>
      <c r="BC40">
        <f>SUMIF(DeadRaw!$B:$B,$A40,DeadRaw!BF:BF)</f>
        <v>2</v>
      </c>
      <c r="BD40">
        <f>SUMIF(DeadRaw!$B:$B,$A40,DeadRaw!BG:BG)</f>
        <v>2</v>
      </c>
      <c r="BE40">
        <f>SUMIF(DeadRaw!$B:$B,$A40,DeadRaw!BH:BH)</f>
        <v>4</v>
      </c>
      <c r="BF40">
        <f>SUMIF(DeadRaw!$B:$B,$A40,DeadRaw!BI:BI)</f>
        <v>6</v>
      </c>
      <c r="BG40">
        <f>SUMIF(DeadRaw!$B:$B,$A40,DeadRaw!BJ:BJ)</f>
        <v>6</v>
      </c>
      <c r="BH40">
        <f>SUMIF(DeadRaw!$B:$B,$A40,DeadRaw!BK:BK)</f>
        <v>8</v>
      </c>
      <c r="BI40">
        <f>SUMIF(DeadRaw!$B:$B,$A40,DeadRaw!BL:BL)</f>
        <v>0</v>
      </c>
      <c r="BJ40">
        <f>SUMIF(DeadRaw!$B:$B,$A40,DeadRaw!BM:BM)</f>
        <v>0</v>
      </c>
      <c r="BK40">
        <f>SUMIF(DeadRaw!$B:$B,$A40,DeadRaw!BN:BN)</f>
        <v>0</v>
      </c>
      <c r="BL40">
        <f>SUMIF(DeadRaw!$B:$B,$A40,DeadRaw!BO:BO)</f>
        <v>0</v>
      </c>
      <c r="BM40">
        <f>SUMIF(DeadRaw!$B:$B,$A40,DeadRaw!BP:BP)</f>
        <v>0</v>
      </c>
      <c r="BN40">
        <f>SUMIF(DeadRaw!$B:$B,$A40,DeadRaw!BQ:BQ)</f>
        <v>0</v>
      </c>
      <c r="BO40">
        <f>SUMIF(DeadRaw!$B:$B,$A40,DeadRaw!BR:BR)</f>
        <v>0</v>
      </c>
      <c r="BP40">
        <f>SUMIF(DeadRaw!$B:$B,$A40,DeadRaw!BS:BS)</f>
        <v>0</v>
      </c>
      <c r="BQ40">
        <f>SUMIF(DeadRaw!$B:$B,$A40,DeadRaw!BT:BT)</f>
        <v>0</v>
      </c>
      <c r="BR40">
        <f>SUMIF(DeadRaw!$B:$B,$A40,DeadRaw!BU:BU)</f>
        <v>0</v>
      </c>
      <c r="BS40">
        <f>SUMIF(DeadRaw!$B:$B,$A40,DeadRaw!BV:BV)</f>
        <v>0</v>
      </c>
      <c r="BT40">
        <f>SUMIF(DeadRaw!$B:$B,$A40,DeadRaw!BW:BW)</f>
        <v>0</v>
      </c>
    </row>
    <row r="41" spans="1:72" ht="15" thickBot="1" x14ac:dyDescent="0.35">
      <c r="A41" s="3" t="s">
        <v>74</v>
      </c>
      <c r="B41">
        <f>SUMIF(DeadRaw!$B:$B,$A41,DeadRaw!E:E)</f>
        <v>0</v>
      </c>
      <c r="C41">
        <f>SUMIF(DeadRaw!$B:$B,$A41,DeadRaw!F:F)</f>
        <v>0</v>
      </c>
      <c r="D41">
        <f>SUMIF(DeadRaw!$B:$B,$A41,DeadRaw!G:G)</f>
        <v>0</v>
      </c>
      <c r="E41">
        <f>SUMIF(DeadRaw!$B:$B,$A41,DeadRaw!H:H)</f>
        <v>0</v>
      </c>
      <c r="F41">
        <f>SUMIF(DeadRaw!$B:$B,$A41,DeadRaw!I:I)</f>
        <v>0</v>
      </c>
      <c r="G41">
        <f>SUMIF(DeadRaw!$B:$B,$A41,DeadRaw!J:J)</f>
        <v>0</v>
      </c>
      <c r="H41">
        <f>SUMIF(DeadRaw!$B:$B,$A41,DeadRaw!K:K)</f>
        <v>0</v>
      </c>
      <c r="I41">
        <f>SUMIF(DeadRaw!$B:$B,$A41,DeadRaw!L:L)</f>
        <v>0</v>
      </c>
      <c r="J41">
        <f>SUMIF(DeadRaw!$B:$B,$A41,DeadRaw!M:M)</f>
        <v>0</v>
      </c>
      <c r="K41">
        <f>SUMIF(DeadRaw!$B:$B,$A41,DeadRaw!N:N)</f>
        <v>0</v>
      </c>
      <c r="L41">
        <f>SUMIF(DeadRaw!$B:$B,$A41,DeadRaw!O:O)</f>
        <v>0</v>
      </c>
      <c r="M41">
        <f>SUMIF(DeadRaw!$B:$B,$A41,DeadRaw!P:P)</f>
        <v>0</v>
      </c>
      <c r="N41">
        <f>SUMIF(DeadRaw!$B:$B,$A41,DeadRaw!Q:Q)</f>
        <v>0</v>
      </c>
      <c r="O41">
        <f>SUMIF(DeadRaw!$B:$B,$A41,DeadRaw!R:R)</f>
        <v>0</v>
      </c>
      <c r="P41">
        <f>SUMIF(DeadRaw!$B:$B,$A41,DeadRaw!S:S)</f>
        <v>0</v>
      </c>
      <c r="Q41">
        <f>SUMIF(DeadRaw!$B:$B,$A41,DeadRaw!T:T)</f>
        <v>0</v>
      </c>
      <c r="R41">
        <f>SUMIF(DeadRaw!$B:$B,$A41,DeadRaw!U:U)</f>
        <v>0</v>
      </c>
      <c r="S41">
        <f>SUMIF(DeadRaw!$B:$B,$A41,DeadRaw!V:V)</f>
        <v>0</v>
      </c>
      <c r="T41">
        <f>SUMIF(DeadRaw!$B:$B,$A41,DeadRaw!W:W)</f>
        <v>0</v>
      </c>
      <c r="U41">
        <f>SUMIF(DeadRaw!$B:$B,$A41,DeadRaw!X:X)</f>
        <v>0</v>
      </c>
      <c r="V41">
        <f>SUMIF(DeadRaw!$B:$B,$A41,DeadRaw!Y:Y)</f>
        <v>0</v>
      </c>
      <c r="W41">
        <f>SUMIF(DeadRaw!$B:$B,$A41,DeadRaw!Z:Z)</f>
        <v>0</v>
      </c>
      <c r="X41">
        <f>SUMIF(DeadRaw!$B:$B,$A41,DeadRaw!AA:AA)</f>
        <v>0</v>
      </c>
      <c r="Y41">
        <f>SUMIF(DeadRaw!$B:$B,$A41,DeadRaw!AB:AB)</f>
        <v>0</v>
      </c>
      <c r="Z41">
        <f>SUMIF(DeadRaw!$B:$B,$A41,DeadRaw!AC:AC)</f>
        <v>0</v>
      </c>
      <c r="AA41">
        <f>SUMIF(DeadRaw!$B:$B,$A41,DeadRaw!AD:AD)</f>
        <v>0</v>
      </c>
      <c r="AB41">
        <f>SUMIF(DeadRaw!$B:$B,$A41,DeadRaw!AE:AE)</f>
        <v>0</v>
      </c>
      <c r="AC41">
        <f>SUMIF(DeadRaw!$B:$B,$A41,DeadRaw!AF:AF)</f>
        <v>0</v>
      </c>
      <c r="AD41">
        <f>SUMIF(DeadRaw!$B:$B,$A41,DeadRaw!AG:AG)</f>
        <v>0</v>
      </c>
      <c r="AE41">
        <f>SUMIF(DeadRaw!$B:$B,$A41,DeadRaw!AH:AH)</f>
        <v>0</v>
      </c>
      <c r="AF41">
        <f>SUMIF(DeadRaw!$B:$B,$A41,DeadRaw!AI:AI)</f>
        <v>0</v>
      </c>
      <c r="AG41">
        <f>SUMIF(DeadRaw!$B:$B,$A41,DeadRaw!AJ:AJ)</f>
        <v>0</v>
      </c>
      <c r="AH41">
        <f>SUMIF(DeadRaw!$B:$B,$A41,DeadRaw!AK:AK)</f>
        <v>0</v>
      </c>
      <c r="AI41">
        <f>SUMIF(DeadRaw!$B:$B,$A41,DeadRaw!AL:AL)</f>
        <v>0</v>
      </c>
      <c r="AJ41">
        <f>SUMIF(DeadRaw!$B:$B,$A41,DeadRaw!AM:AM)</f>
        <v>0</v>
      </c>
      <c r="AK41">
        <f>SUMIF(DeadRaw!$B:$B,$A41,DeadRaw!AN:AN)</f>
        <v>0</v>
      </c>
      <c r="AL41">
        <f>SUMIF(DeadRaw!$B:$B,$A41,DeadRaw!AO:AO)</f>
        <v>0</v>
      </c>
      <c r="AM41">
        <f>SUMIF(DeadRaw!$B:$B,$A41,DeadRaw!AP:AP)</f>
        <v>0</v>
      </c>
      <c r="AN41">
        <f>SUMIF(DeadRaw!$B:$B,$A41,DeadRaw!AQ:AQ)</f>
        <v>0</v>
      </c>
      <c r="AO41">
        <f>SUMIF(DeadRaw!$B:$B,$A41,DeadRaw!AR:AR)</f>
        <v>0</v>
      </c>
      <c r="AP41">
        <f>SUMIF(DeadRaw!$B:$B,$A41,DeadRaw!AS:AS)</f>
        <v>0</v>
      </c>
      <c r="AQ41">
        <f>SUMIF(DeadRaw!$B:$B,$A41,DeadRaw!AT:AT)</f>
        <v>0</v>
      </c>
      <c r="AR41">
        <f>SUMIF(DeadRaw!$B:$B,$A41,DeadRaw!AU:AU)</f>
        <v>0</v>
      </c>
      <c r="AS41">
        <f>SUMIF(DeadRaw!$B:$B,$A41,DeadRaw!AV:AV)</f>
        <v>0</v>
      </c>
      <c r="AT41">
        <f>SUMIF(DeadRaw!$B:$B,$A41,DeadRaw!AW:AW)</f>
        <v>0</v>
      </c>
      <c r="AU41">
        <f>SUMIF(DeadRaw!$B:$B,$A41,DeadRaw!AX:AX)</f>
        <v>0</v>
      </c>
      <c r="AV41">
        <f>SUMIF(DeadRaw!$B:$B,$A41,DeadRaw!AY:AY)</f>
        <v>0</v>
      </c>
      <c r="AW41">
        <f>SUMIF(DeadRaw!$B:$B,$A41,DeadRaw!AZ:AZ)</f>
        <v>0</v>
      </c>
      <c r="AX41">
        <f>SUMIF(DeadRaw!$B:$B,$A41,DeadRaw!BA:BA)</f>
        <v>0</v>
      </c>
      <c r="AY41">
        <f>SUMIF(DeadRaw!$B:$B,$A41,DeadRaw!BB:BB)</f>
        <v>0</v>
      </c>
      <c r="AZ41">
        <f>SUMIF(DeadRaw!$B:$B,$A41,DeadRaw!BC:BC)</f>
        <v>0</v>
      </c>
      <c r="BA41">
        <f>SUMIF(DeadRaw!$B:$B,$A41,DeadRaw!BD:BD)</f>
        <v>0</v>
      </c>
      <c r="BB41">
        <f>SUMIF(DeadRaw!$B:$B,$A41,DeadRaw!BE:BE)</f>
        <v>0</v>
      </c>
      <c r="BC41">
        <f>SUMIF(DeadRaw!$B:$B,$A41,DeadRaw!BF:BF)</f>
        <v>0</v>
      </c>
      <c r="BD41">
        <f>SUMIF(DeadRaw!$B:$B,$A41,DeadRaw!BG:BG)</f>
        <v>0</v>
      </c>
      <c r="BE41">
        <f>SUMIF(DeadRaw!$B:$B,$A41,DeadRaw!BH:BH)</f>
        <v>0</v>
      </c>
      <c r="BF41">
        <f>SUMIF(DeadRaw!$B:$B,$A41,DeadRaw!BI:BI)</f>
        <v>0</v>
      </c>
      <c r="BG41">
        <f>SUMIF(DeadRaw!$B:$B,$A41,DeadRaw!BJ:BJ)</f>
        <v>0</v>
      </c>
      <c r="BH41">
        <f>SUMIF(DeadRaw!$B:$B,$A41,DeadRaw!BK:BK)</f>
        <v>0</v>
      </c>
      <c r="BI41">
        <f>SUMIF(DeadRaw!$B:$B,$A41,DeadRaw!BL:BL)</f>
        <v>0</v>
      </c>
      <c r="BJ41">
        <f>SUMIF(DeadRaw!$B:$B,$A41,DeadRaw!BM:BM)</f>
        <v>0</v>
      </c>
      <c r="BK41">
        <f>SUMIF(DeadRaw!$B:$B,$A41,DeadRaw!BN:BN)</f>
        <v>0</v>
      </c>
      <c r="BL41">
        <f>SUMIF(DeadRaw!$B:$B,$A41,DeadRaw!BO:BO)</f>
        <v>0</v>
      </c>
      <c r="BM41">
        <f>SUMIF(DeadRaw!$B:$B,$A41,DeadRaw!BP:BP)</f>
        <v>0</v>
      </c>
      <c r="BN41">
        <f>SUMIF(DeadRaw!$B:$B,$A41,DeadRaw!BQ:BQ)</f>
        <v>0</v>
      </c>
      <c r="BO41">
        <f>SUMIF(DeadRaw!$B:$B,$A41,DeadRaw!BR:BR)</f>
        <v>0</v>
      </c>
      <c r="BP41">
        <f>SUMIF(DeadRaw!$B:$B,$A41,DeadRaw!BS:BS)</f>
        <v>0</v>
      </c>
      <c r="BQ41">
        <f>SUMIF(DeadRaw!$B:$B,$A41,DeadRaw!BT:BT)</f>
        <v>0</v>
      </c>
      <c r="BR41">
        <f>SUMIF(DeadRaw!$B:$B,$A41,DeadRaw!BU:BU)</f>
        <v>0</v>
      </c>
      <c r="BS41">
        <f>SUMIF(DeadRaw!$B:$B,$A41,DeadRaw!BV:BV)</f>
        <v>0</v>
      </c>
      <c r="BT41">
        <f>SUMIF(DeadRaw!$B:$B,$A41,DeadRaw!BW:BW)</f>
        <v>0</v>
      </c>
    </row>
    <row r="42" spans="1:72" ht="15" thickBot="1" x14ac:dyDescent="0.35">
      <c r="A42" s="4" t="s">
        <v>90</v>
      </c>
      <c r="B42">
        <f>SUMIF(DeadRaw!$B:$B,$A42,DeadRaw!E:E)</f>
        <v>0</v>
      </c>
      <c r="C42">
        <f>SUMIF(DeadRaw!$B:$B,$A42,DeadRaw!F:F)</f>
        <v>0</v>
      </c>
      <c r="D42">
        <f>SUMIF(DeadRaw!$B:$B,$A42,DeadRaw!G:G)</f>
        <v>0</v>
      </c>
      <c r="E42">
        <f>SUMIF(DeadRaw!$B:$B,$A42,DeadRaw!H:H)</f>
        <v>0</v>
      </c>
      <c r="F42">
        <f>SUMIF(DeadRaw!$B:$B,$A42,DeadRaw!I:I)</f>
        <v>0</v>
      </c>
      <c r="G42">
        <f>SUMIF(DeadRaw!$B:$B,$A42,DeadRaw!J:J)</f>
        <v>0</v>
      </c>
      <c r="H42">
        <f>SUMIF(DeadRaw!$B:$B,$A42,DeadRaw!K:K)</f>
        <v>0</v>
      </c>
      <c r="I42">
        <f>SUMIF(DeadRaw!$B:$B,$A42,DeadRaw!L:L)</f>
        <v>0</v>
      </c>
      <c r="J42">
        <f>SUMIF(DeadRaw!$B:$B,$A42,DeadRaw!M:M)</f>
        <v>0</v>
      </c>
      <c r="K42">
        <f>SUMIF(DeadRaw!$B:$B,$A42,DeadRaw!N:N)</f>
        <v>0</v>
      </c>
      <c r="L42">
        <f>SUMIF(DeadRaw!$B:$B,$A42,DeadRaw!O:O)</f>
        <v>0</v>
      </c>
      <c r="M42">
        <f>SUMIF(DeadRaw!$B:$B,$A42,DeadRaw!P:P)</f>
        <v>0</v>
      </c>
      <c r="N42">
        <f>SUMIF(DeadRaw!$B:$B,$A42,DeadRaw!Q:Q)</f>
        <v>0</v>
      </c>
      <c r="O42">
        <f>SUMIF(DeadRaw!$B:$B,$A42,DeadRaw!R:R)</f>
        <v>0</v>
      </c>
      <c r="P42">
        <f>SUMIF(DeadRaw!$B:$B,$A42,DeadRaw!S:S)</f>
        <v>0</v>
      </c>
      <c r="Q42">
        <f>SUMIF(DeadRaw!$B:$B,$A42,DeadRaw!T:T)</f>
        <v>0</v>
      </c>
      <c r="R42">
        <f>SUMIF(DeadRaw!$B:$B,$A42,DeadRaw!U:U)</f>
        <v>0</v>
      </c>
      <c r="S42">
        <f>SUMIF(DeadRaw!$B:$B,$A42,DeadRaw!V:V)</f>
        <v>0</v>
      </c>
      <c r="T42">
        <f>SUMIF(DeadRaw!$B:$B,$A42,DeadRaw!W:W)</f>
        <v>0</v>
      </c>
      <c r="U42">
        <f>SUMIF(DeadRaw!$B:$B,$A42,DeadRaw!X:X)</f>
        <v>0</v>
      </c>
      <c r="V42">
        <f>SUMIF(DeadRaw!$B:$B,$A42,DeadRaw!Y:Y)</f>
        <v>0</v>
      </c>
      <c r="W42">
        <f>SUMIF(DeadRaw!$B:$B,$A42,DeadRaw!Z:Z)</f>
        <v>0</v>
      </c>
      <c r="X42">
        <f>SUMIF(DeadRaw!$B:$B,$A42,DeadRaw!AA:AA)</f>
        <v>0</v>
      </c>
      <c r="Y42">
        <f>SUMIF(DeadRaw!$B:$B,$A42,DeadRaw!AB:AB)</f>
        <v>0</v>
      </c>
      <c r="Z42">
        <f>SUMIF(DeadRaw!$B:$B,$A42,DeadRaw!AC:AC)</f>
        <v>0</v>
      </c>
      <c r="AA42">
        <f>SUMIF(DeadRaw!$B:$B,$A42,DeadRaw!AD:AD)</f>
        <v>0</v>
      </c>
      <c r="AB42">
        <f>SUMIF(DeadRaw!$B:$B,$A42,DeadRaw!AE:AE)</f>
        <v>0</v>
      </c>
      <c r="AC42">
        <f>SUMIF(DeadRaw!$B:$B,$A42,DeadRaw!AF:AF)</f>
        <v>0</v>
      </c>
      <c r="AD42">
        <f>SUMIF(DeadRaw!$B:$B,$A42,DeadRaw!AG:AG)</f>
        <v>0</v>
      </c>
      <c r="AE42">
        <f>SUMIF(DeadRaw!$B:$B,$A42,DeadRaw!AH:AH)</f>
        <v>0</v>
      </c>
      <c r="AF42">
        <f>SUMIF(DeadRaw!$B:$B,$A42,DeadRaw!AI:AI)</f>
        <v>0</v>
      </c>
      <c r="AG42">
        <f>SUMIF(DeadRaw!$B:$B,$A42,DeadRaw!AJ:AJ)</f>
        <v>0</v>
      </c>
      <c r="AH42">
        <f>SUMIF(DeadRaw!$B:$B,$A42,DeadRaw!AK:AK)</f>
        <v>0</v>
      </c>
      <c r="AI42">
        <f>SUMIF(DeadRaw!$B:$B,$A42,DeadRaw!AL:AL)</f>
        <v>0</v>
      </c>
      <c r="AJ42">
        <f>SUMIF(DeadRaw!$B:$B,$A42,DeadRaw!AM:AM)</f>
        <v>0</v>
      </c>
      <c r="AK42">
        <f>SUMIF(DeadRaw!$B:$B,$A42,DeadRaw!AN:AN)</f>
        <v>0</v>
      </c>
      <c r="AL42">
        <f>SUMIF(DeadRaw!$B:$B,$A42,DeadRaw!AO:AO)</f>
        <v>0</v>
      </c>
      <c r="AM42">
        <f>SUMIF(DeadRaw!$B:$B,$A42,DeadRaw!AP:AP)</f>
        <v>0</v>
      </c>
      <c r="AN42">
        <f>SUMIF(DeadRaw!$B:$B,$A42,DeadRaw!AQ:AQ)</f>
        <v>0</v>
      </c>
      <c r="AO42">
        <f>SUMIF(DeadRaw!$B:$B,$A42,DeadRaw!AR:AR)</f>
        <v>0</v>
      </c>
      <c r="AP42">
        <f>SUMIF(DeadRaw!$B:$B,$A42,DeadRaw!AS:AS)</f>
        <v>0</v>
      </c>
      <c r="AQ42">
        <f>SUMIF(DeadRaw!$B:$B,$A42,DeadRaw!AT:AT)</f>
        <v>1</v>
      </c>
      <c r="AR42">
        <f>SUMIF(DeadRaw!$B:$B,$A42,DeadRaw!AU:AU)</f>
        <v>1</v>
      </c>
      <c r="AS42">
        <f>SUMIF(DeadRaw!$B:$B,$A42,DeadRaw!AV:AV)</f>
        <v>1</v>
      </c>
      <c r="AT42">
        <f>SUMIF(DeadRaw!$B:$B,$A42,DeadRaw!AW:AW)</f>
        <v>1</v>
      </c>
      <c r="AU42">
        <f>SUMIF(DeadRaw!$B:$B,$A42,DeadRaw!AX:AX)</f>
        <v>1</v>
      </c>
      <c r="AV42">
        <f>SUMIF(DeadRaw!$B:$B,$A42,DeadRaw!AY:AY)</f>
        <v>1</v>
      </c>
      <c r="AW42">
        <f>SUMIF(DeadRaw!$B:$B,$A42,DeadRaw!AZ:AZ)</f>
        <v>1</v>
      </c>
      <c r="AX42">
        <f>SUMIF(DeadRaw!$B:$B,$A42,DeadRaw!BA:BA)</f>
        <v>2</v>
      </c>
      <c r="AY42">
        <f>SUMIF(DeadRaw!$B:$B,$A42,DeadRaw!BB:BB)</f>
        <v>2</v>
      </c>
      <c r="AZ42">
        <f>SUMIF(DeadRaw!$B:$B,$A42,DeadRaw!BC:BC)</f>
        <v>3</v>
      </c>
      <c r="BA42">
        <f>SUMIF(DeadRaw!$B:$B,$A42,DeadRaw!BD:BD)</f>
        <v>5</v>
      </c>
      <c r="BB42">
        <f>SUMIF(DeadRaw!$B:$B,$A42,DeadRaw!BE:BE)</f>
        <v>5</v>
      </c>
      <c r="BC42">
        <f>SUMIF(DeadRaw!$B:$B,$A42,DeadRaw!BF:BF)</f>
        <v>5</v>
      </c>
      <c r="BD42">
        <f>SUMIF(DeadRaw!$B:$B,$A42,DeadRaw!BG:BG)</f>
        <v>7</v>
      </c>
      <c r="BE42">
        <f>SUMIF(DeadRaw!$B:$B,$A42,DeadRaw!BH:BH)</f>
        <v>7</v>
      </c>
      <c r="BF42">
        <f>SUMIF(DeadRaw!$B:$B,$A42,DeadRaw!BI:BI)</f>
        <v>11</v>
      </c>
      <c r="BG42">
        <f>SUMIF(DeadRaw!$B:$B,$A42,DeadRaw!BJ:BJ)</f>
        <v>11</v>
      </c>
      <c r="BH42">
        <f>SUMIF(DeadRaw!$B:$B,$A42,DeadRaw!BK:BK)</f>
        <v>14</v>
      </c>
      <c r="BI42">
        <f>SUMIF(DeadRaw!$B:$B,$A42,DeadRaw!BL:BL)</f>
        <v>0</v>
      </c>
      <c r="BJ42">
        <f>SUMIF(DeadRaw!$B:$B,$A42,DeadRaw!BM:BM)</f>
        <v>0</v>
      </c>
      <c r="BK42">
        <f>SUMIF(DeadRaw!$B:$B,$A42,DeadRaw!BN:BN)</f>
        <v>0</v>
      </c>
      <c r="BL42">
        <f>SUMIF(DeadRaw!$B:$B,$A42,DeadRaw!BO:BO)</f>
        <v>0</v>
      </c>
      <c r="BM42">
        <f>SUMIF(DeadRaw!$B:$B,$A42,DeadRaw!BP:BP)</f>
        <v>0</v>
      </c>
      <c r="BN42">
        <f>SUMIF(DeadRaw!$B:$B,$A42,DeadRaw!BQ:BQ)</f>
        <v>0</v>
      </c>
      <c r="BO42">
        <f>SUMIF(DeadRaw!$B:$B,$A42,DeadRaw!BR:BR)</f>
        <v>0</v>
      </c>
      <c r="BP42">
        <f>SUMIF(DeadRaw!$B:$B,$A42,DeadRaw!BS:BS)</f>
        <v>0</v>
      </c>
      <c r="BQ42">
        <f>SUMIF(DeadRaw!$B:$B,$A42,DeadRaw!BT:BT)</f>
        <v>0</v>
      </c>
      <c r="BR42">
        <f>SUMIF(DeadRaw!$B:$B,$A42,DeadRaw!BU:BU)</f>
        <v>0</v>
      </c>
      <c r="BS42">
        <f>SUMIF(DeadRaw!$B:$B,$A42,DeadRaw!BV:BV)</f>
        <v>0</v>
      </c>
      <c r="BT42">
        <f>SUMIF(DeadRaw!$B:$B,$A42,DeadRaw!BW:BW)</f>
        <v>0</v>
      </c>
    </row>
    <row r="43" spans="1:72" ht="15" thickBot="1" x14ac:dyDescent="0.35">
      <c r="A43" s="4" t="s">
        <v>88</v>
      </c>
      <c r="B43">
        <f>SUMIF(DeadRaw!$B:$B,$A43,DeadRaw!E:E)</f>
        <v>0</v>
      </c>
      <c r="C43">
        <f>SUMIF(DeadRaw!$B:$B,$A43,DeadRaw!F:F)</f>
        <v>0</v>
      </c>
      <c r="D43">
        <f>SUMIF(DeadRaw!$B:$B,$A43,DeadRaw!G:G)</f>
        <v>0</v>
      </c>
      <c r="E43">
        <f>SUMIF(DeadRaw!$B:$B,$A43,DeadRaw!H:H)</f>
        <v>0</v>
      </c>
      <c r="F43">
        <f>SUMIF(DeadRaw!$B:$B,$A43,DeadRaw!I:I)</f>
        <v>0</v>
      </c>
      <c r="G43">
        <f>SUMIF(DeadRaw!$B:$B,$A43,DeadRaw!J:J)</f>
        <v>0</v>
      </c>
      <c r="H43">
        <f>SUMIF(DeadRaw!$B:$B,$A43,DeadRaw!K:K)</f>
        <v>0</v>
      </c>
      <c r="I43">
        <f>SUMIF(DeadRaw!$B:$B,$A43,DeadRaw!L:L)</f>
        <v>0</v>
      </c>
      <c r="J43">
        <f>SUMIF(DeadRaw!$B:$B,$A43,DeadRaw!M:M)</f>
        <v>0</v>
      </c>
      <c r="K43">
        <f>SUMIF(DeadRaw!$B:$B,$A43,DeadRaw!N:N)</f>
        <v>0</v>
      </c>
      <c r="L43">
        <f>SUMIF(DeadRaw!$B:$B,$A43,DeadRaw!O:O)</f>
        <v>0</v>
      </c>
      <c r="M43">
        <f>SUMIF(DeadRaw!$B:$B,$A43,DeadRaw!P:P)</f>
        <v>0</v>
      </c>
      <c r="N43">
        <f>SUMIF(DeadRaw!$B:$B,$A43,DeadRaw!Q:Q)</f>
        <v>0</v>
      </c>
      <c r="O43">
        <f>SUMIF(DeadRaw!$B:$B,$A43,DeadRaw!R:R)</f>
        <v>0</v>
      </c>
      <c r="P43">
        <f>SUMIF(DeadRaw!$B:$B,$A43,DeadRaw!S:S)</f>
        <v>0</v>
      </c>
      <c r="Q43">
        <f>SUMIF(DeadRaw!$B:$B,$A43,DeadRaw!T:T)</f>
        <v>0</v>
      </c>
      <c r="R43">
        <f>SUMIF(DeadRaw!$B:$B,$A43,DeadRaw!U:U)</f>
        <v>0</v>
      </c>
      <c r="S43">
        <f>SUMIF(DeadRaw!$B:$B,$A43,DeadRaw!V:V)</f>
        <v>0</v>
      </c>
      <c r="T43">
        <f>SUMIF(DeadRaw!$B:$B,$A43,DeadRaw!W:W)</f>
        <v>0</v>
      </c>
      <c r="U43">
        <f>SUMIF(DeadRaw!$B:$B,$A43,DeadRaw!X:X)</f>
        <v>0</v>
      </c>
      <c r="V43">
        <f>SUMIF(DeadRaw!$B:$B,$A43,DeadRaw!Y:Y)</f>
        <v>0</v>
      </c>
      <c r="W43">
        <f>SUMIF(DeadRaw!$B:$B,$A43,DeadRaw!Z:Z)</f>
        <v>0</v>
      </c>
      <c r="X43">
        <f>SUMIF(DeadRaw!$B:$B,$A43,DeadRaw!AA:AA)</f>
        <v>0</v>
      </c>
      <c r="Y43">
        <f>SUMIF(DeadRaw!$B:$B,$A43,DeadRaw!AB:AB)</f>
        <v>0</v>
      </c>
      <c r="Z43">
        <f>SUMIF(DeadRaw!$B:$B,$A43,DeadRaw!AC:AC)</f>
        <v>0</v>
      </c>
      <c r="AA43">
        <f>SUMIF(DeadRaw!$B:$B,$A43,DeadRaw!AD:AD)</f>
        <v>0</v>
      </c>
      <c r="AB43">
        <f>SUMIF(DeadRaw!$B:$B,$A43,DeadRaw!AE:AE)</f>
        <v>0</v>
      </c>
      <c r="AC43">
        <f>SUMIF(DeadRaw!$B:$B,$A43,DeadRaw!AF:AF)</f>
        <v>0</v>
      </c>
      <c r="AD43">
        <f>SUMIF(DeadRaw!$B:$B,$A43,DeadRaw!AG:AG)</f>
        <v>0</v>
      </c>
      <c r="AE43">
        <f>SUMIF(DeadRaw!$B:$B,$A43,DeadRaw!AH:AH)</f>
        <v>0</v>
      </c>
      <c r="AF43">
        <f>SUMIF(DeadRaw!$B:$B,$A43,DeadRaw!AI:AI)</f>
        <v>0</v>
      </c>
      <c r="AG43">
        <f>SUMIF(DeadRaw!$B:$B,$A43,DeadRaw!AJ:AJ)</f>
        <v>0</v>
      </c>
      <c r="AH43">
        <f>SUMIF(DeadRaw!$B:$B,$A43,DeadRaw!AK:AK)</f>
        <v>0</v>
      </c>
      <c r="AI43">
        <f>SUMIF(DeadRaw!$B:$B,$A43,DeadRaw!AL:AL)</f>
        <v>0</v>
      </c>
      <c r="AJ43">
        <f>SUMIF(DeadRaw!$B:$B,$A43,DeadRaw!AM:AM)</f>
        <v>0</v>
      </c>
      <c r="AK43">
        <f>SUMIF(DeadRaw!$B:$B,$A43,DeadRaw!AN:AN)</f>
        <v>0</v>
      </c>
      <c r="AL43">
        <f>SUMIF(DeadRaw!$B:$B,$A43,DeadRaw!AO:AO)</f>
        <v>0</v>
      </c>
      <c r="AM43">
        <f>SUMIF(DeadRaw!$B:$B,$A43,DeadRaw!AP:AP)</f>
        <v>0</v>
      </c>
      <c r="AN43">
        <f>SUMIF(DeadRaw!$B:$B,$A43,DeadRaw!AQ:AQ)</f>
        <v>0</v>
      </c>
      <c r="AO43">
        <f>SUMIF(DeadRaw!$B:$B,$A43,DeadRaw!AR:AR)</f>
        <v>0</v>
      </c>
      <c r="AP43">
        <f>SUMIF(DeadRaw!$B:$B,$A43,DeadRaw!AS:AS)</f>
        <v>0</v>
      </c>
      <c r="AQ43">
        <f>SUMIF(DeadRaw!$B:$B,$A43,DeadRaw!AT:AT)</f>
        <v>0</v>
      </c>
      <c r="AR43">
        <f>SUMIF(DeadRaw!$B:$B,$A43,DeadRaw!AU:AU)</f>
        <v>0</v>
      </c>
      <c r="AS43">
        <f>SUMIF(DeadRaw!$B:$B,$A43,DeadRaw!AV:AV)</f>
        <v>0</v>
      </c>
      <c r="AT43">
        <f>SUMIF(DeadRaw!$B:$B,$A43,DeadRaw!AW:AW)</f>
        <v>0</v>
      </c>
      <c r="AU43">
        <f>SUMIF(DeadRaw!$B:$B,$A43,DeadRaw!AX:AX)</f>
        <v>0</v>
      </c>
      <c r="AV43">
        <f>SUMIF(DeadRaw!$B:$B,$A43,DeadRaw!AY:AY)</f>
        <v>0</v>
      </c>
      <c r="AW43">
        <f>SUMIF(DeadRaw!$B:$B,$A43,DeadRaw!AZ:AZ)</f>
        <v>0</v>
      </c>
      <c r="AX43">
        <f>SUMIF(DeadRaw!$B:$B,$A43,DeadRaw!BA:BA)</f>
        <v>0</v>
      </c>
      <c r="AY43">
        <f>SUMIF(DeadRaw!$B:$B,$A43,DeadRaw!BB:BB)</f>
        <v>0</v>
      </c>
      <c r="AZ43">
        <f>SUMIF(DeadRaw!$B:$B,$A43,DeadRaw!BC:BC)</f>
        <v>0</v>
      </c>
      <c r="BA43">
        <f>SUMIF(DeadRaw!$B:$B,$A43,DeadRaw!BD:BD)</f>
        <v>0</v>
      </c>
      <c r="BB43">
        <f>SUMIF(DeadRaw!$B:$B,$A43,DeadRaw!BE:BE)</f>
        <v>0</v>
      </c>
      <c r="BC43">
        <f>SUMIF(DeadRaw!$B:$B,$A43,DeadRaw!BF:BF)</f>
        <v>0</v>
      </c>
      <c r="BD43">
        <f>SUMIF(DeadRaw!$B:$B,$A43,DeadRaw!BG:BG)</f>
        <v>0</v>
      </c>
      <c r="BE43">
        <f>SUMIF(DeadRaw!$B:$B,$A43,DeadRaw!BH:BH)</f>
        <v>0</v>
      </c>
      <c r="BF43">
        <f>SUMIF(DeadRaw!$B:$B,$A43,DeadRaw!BI:BI)</f>
        <v>0</v>
      </c>
      <c r="BG43">
        <f>SUMIF(DeadRaw!$B:$B,$A43,DeadRaw!BJ:BJ)</f>
        <v>0</v>
      </c>
      <c r="BH43">
        <f>SUMIF(DeadRaw!$B:$B,$A43,DeadRaw!BK:BK)</f>
        <v>0</v>
      </c>
      <c r="BI43">
        <f>SUMIF(DeadRaw!$B:$B,$A43,DeadRaw!BL:BL)</f>
        <v>0</v>
      </c>
      <c r="BJ43">
        <f>SUMIF(DeadRaw!$B:$B,$A43,DeadRaw!BM:BM)</f>
        <v>0</v>
      </c>
      <c r="BK43">
        <f>SUMIF(DeadRaw!$B:$B,$A43,DeadRaw!BN:BN)</f>
        <v>0</v>
      </c>
      <c r="BL43">
        <f>SUMIF(DeadRaw!$B:$B,$A43,DeadRaw!BO:BO)</f>
        <v>0</v>
      </c>
      <c r="BM43">
        <f>SUMIF(DeadRaw!$B:$B,$A43,DeadRaw!BP:BP)</f>
        <v>0</v>
      </c>
      <c r="BN43">
        <f>SUMIF(DeadRaw!$B:$B,$A43,DeadRaw!BQ:BQ)</f>
        <v>0</v>
      </c>
      <c r="BO43">
        <f>SUMIF(DeadRaw!$B:$B,$A43,DeadRaw!BR:BR)</f>
        <v>0</v>
      </c>
      <c r="BP43">
        <f>SUMIF(DeadRaw!$B:$B,$A43,DeadRaw!BS:BS)</f>
        <v>0</v>
      </c>
      <c r="BQ43">
        <f>SUMIF(DeadRaw!$B:$B,$A43,DeadRaw!BT:BT)</f>
        <v>0</v>
      </c>
      <c r="BR43">
        <f>SUMIF(DeadRaw!$B:$B,$A43,DeadRaw!BU:BU)</f>
        <v>0</v>
      </c>
      <c r="BS43">
        <f>SUMIF(DeadRaw!$B:$B,$A43,DeadRaw!BV:BV)</f>
        <v>0</v>
      </c>
      <c r="BT43">
        <f>SUMIF(DeadRaw!$B:$B,$A43,DeadRaw!BW:BW)</f>
        <v>0</v>
      </c>
    </row>
    <row r="44" spans="1:72" ht="15" thickBot="1" x14ac:dyDescent="0.35">
      <c r="A44" s="4" t="s">
        <v>67</v>
      </c>
      <c r="B44">
        <f>SUMIF(DeadRaw!$B:$B,$A44,DeadRaw!E:E)</f>
        <v>0</v>
      </c>
      <c r="C44">
        <f>SUMIF(DeadRaw!$B:$B,$A44,DeadRaw!F:F)</f>
        <v>0</v>
      </c>
      <c r="D44">
        <f>SUMIF(DeadRaw!$B:$B,$A44,DeadRaw!G:G)</f>
        <v>0</v>
      </c>
      <c r="E44">
        <f>SUMIF(DeadRaw!$B:$B,$A44,DeadRaw!H:H)</f>
        <v>0</v>
      </c>
      <c r="F44">
        <f>SUMIF(DeadRaw!$B:$B,$A44,DeadRaw!I:I)</f>
        <v>0</v>
      </c>
      <c r="G44">
        <f>SUMIF(DeadRaw!$B:$B,$A44,DeadRaw!J:J)</f>
        <v>0</v>
      </c>
      <c r="H44">
        <f>SUMIF(DeadRaw!$B:$B,$A44,DeadRaw!K:K)</f>
        <v>0</v>
      </c>
      <c r="I44">
        <f>SUMIF(DeadRaw!$B:$B,$A44,DeadRaw!L:L)</f>
        <v>0</v>
      </c>
      <c r="J44">
        <f>SUMIF(DeadRaw!$B:$B,$A44,DeadRaw!M:M)</f>
        <v>0</v>
      </c>
      <c r="K44">
        <f>SUMIF(DeadRaw!$B:$B,$A44,DeadRaw!N:N)</f>
        <v>0</v>
      </c>
      <c r="L44">
        <f>SUMIF(DeadRaw!$B:$B,$A44,DeadRaw!O:O)</f>
        <v>0</v>
      </c>
      <c r="M44">
        <f>SUMIF(DeadRaw!$B:$B,$A44,DeadRaw!P:P)</f>
        <v>0</v>
      </c>
      <c r="N44">
        <f>SUMIF(DeadRaw!$B:$B,$A44,DeadRaw!Q:Q)</f>
        <v>0</v>
      </c>
      <c r="O44">
        <f>SUMIF(DeadRaw!$B:$B,$A44,DeadRaw!R:R)</f>
        <v>0</v>
      </c>
      <c r="P44">
        <f>SUMIF(DeadRaw!$B:$B,$A44,DeadRaw!S:S)</f>
        <v>0</v>
      </c>
      <c r="Q44">
        <f>SUMIF(DeadRaw!$B:$B,$A44,DeadRaw!T:T)</f>
        <v>0</v>
      </c>
      <c r="R44">
        <f>SUMIF(DeadRaw!$B:$B,$A44,DeadRaw!U:U)</f>
        <v>0</v>
      </c>
      <c r="S44">
        <f>SUMIF(DeadRaw!$B:$B,$A44,DeadRaw!V:V)</f>
        <v>0</v>
      </c>
      <c r="T44">
        <f>SUMIF(DeadRaw!$B:$B,$A44,DeadRaw!W:W)</f>
        <v>0</v>
      </c>
      <c r="U44">
        <f>SUMIF(DeadRaw!$B:$B,$A44,DeadRaw!X:X)</f>
        <v>0</v>
      </c>
      <c r="V44">
        <f>SUMIF(DeadRaw!$B:$B,$A44,DeadRaw!Y:Y)</f>
        <v>0</v>
      </c>
      <c r="W44">
        <f>SUMIF(DeadRaw!$B:$B,$A44,DeadRaw!Z:Z)</f>
        <v>0</v>
      </c>
      <c r="X44">
        <f>SUMIF(DeadRaw!$B:$B,$A44,DeadRaw!AA:AA)</f>
        <v>0</v>
      </c>
      <c r="Y44">
        <f>SUMIF(DeadRaw!$B:$B,$A44,DeadRaw!AB:AB)</f>
        <v>0</v>
      </c>
      <c r="Z44">
        <f>SUMIF(DeadRaw!$B:$B,$A44,DeadRaw!AC:AC)</f>
        <v>0</v>
      </c>
      <c r="AA44">
        <f>SUMIF(DeadRaw!$B:$B,$A44,DeadRaw!AD:AD)</f>
        <v>0</v>
      </c>
      <c r="AB44">
        <f>SUMIF(DeadRaw!$B:$B,$A44,DeadRaw!AE:AE)</f>
        <v>0</v>
      </c>
      <c r="AC44">
        <f>SUMIF(DeadRaw!$B:$B,$A44,DeadRaw!AF:AF)</f>
        <v>0</v>
      </c>
      <c r="AD44">
        <f>SUMIF(DeadRaw!$B:$B,$A44,DeadRaw!AG:AG)</f>
        <v>0</v>
      </c>
      <c r="AE44">
        <f>SUMIF(DeadRaw!$B:$B,$A44,DeadRaw!AH:AH)</f>
        <v>0</v>
      </c>
      <c r="AF44">
        <f>SUMIF(DeadRaw!$B:$B,$A44,DeadRaw!AI:AI)</f>
        <v>0</v>
      </c>
      <c r="AG44">
        <f>SUMIF(DeadRaw!$B:$B,$A44,DeadRaw!AJ:AJ)</f>
        <v>0</v>
      </c>
      <c r="AH44">
        <f>SUMIF(DeadRaw!$B:$B,$A44,DeadRaw!AK:AK)</f>
        <v>0</v>
      </c>
      <c r="AI44">
        <f>SUMIF(DeadRaw!$B:$B,$A44,DeadRaw!AL:AL)</f>
        <v>0</v>
      </c>
      <c r="AJ44">
        <f>SUMIF(DeadRaw!$B:$B,$A44,DeadRaw!AM:AM)</f>
        <v>0</v>
      </c>
      <c r="AK44">
        <f>SUMIF(DeadRaw!$B:$B,$A44,DeadRaw!AN:AN)</f>
        <v>0</v>
      </c>
      <c r="AL44">
        <f>SUMIF(DeadRaw!$B:$B,$A44,DeadRaw!AO:AO)</f>
        <v>0</v>
      </c>
      <c r="AM44">
        <f>SUMIF(DeadRaw!$B:$B,$A44,DeadRaw!AP:AP)</f>
        <v>0</v>
      </c>
      <c r="AN44">
        <f>SUMIF(DeadRaw!$B:$B,$A44,DeadRaw!AQ:AQ)</f>
        <v>0</v>
      </c>
      <c r="AO44">
        <f>SUMIF(DeadRaw!$B:$B,$A44,DeadRaw!AR:AR)</f>
        <v>0</v>
      </c>
      <c r="AP44">
        <f>SUMIF(DeadRaw!$B:$B,$A44,DeadRaw!AS:AS)</f>
        <v>0</v>
      </c>
      <c r="AQ44">
        <f>SUMIF(DeadRaw!$B:$B,$A44,DeadRaw!AT:AT)</f>
        <v>0</v>
      </c>
      <c r="AR44">
        <f>SUMIF(DeadRaw!$B:$B,$A44,DeadRaw!AU:AU)</f>
        <v>0</v>
      </c>
      <c r="AS44">
        <f>SUMIF(DeadRaw!$B:$B,$A44,DeadRaw!AV:AV)</f>
        <v>0</v>
      </c>
      <c r="AT44">
        <f>SUMIF(DeadRaw!$B:$B,$A44,DeadRaw!AW:AW)</f>
        <v>0</v>
      </c>
      <c r="AU44">
        <f>SUMIF(DeadRaw!$B:$B,$A44,DeadRaw!AX:AX)</f>
        <v>0</v>
      </c>
      <c r="AV44">
        <f>SUMIF(DeadRaw!$B:$B,$A44,DeadRaw!AY:AY)</f>
        <v>0</v>
      </c>
      <c r="AW44">
        <f>SUMIF(DeadRaw!$B:$B,$A44,DeadRaw!AZ:AZ)</f>
        <v>0</v>
      </c>
      <c r="AX44">
        <f>SUMIF(DeadRaw!$B:$B,$A44,DeadRaw!BA:BA)</f>
        <v>1</v>
      </c>
      <c r="AY44">
        <f>SUMIF(DeadRaw!$B:$B,$A44,DeadRaw!BB:BB)</f>
        <v>3</v>
      </c>
      <c r="AZ44">
        <f>SUMIF(DeadRaw!$B:$B,$A44,DeadRaw!BC:BC)</f>
        <v>3</v>
      </c>
      <c r="BA44">
        <f>SUMIF(DeadRaw!$B:$B,$A44,DeadRaw!BD:BD)</f>
        <v>3</v>
      </c>
      <c r="BB44">
        <f>SUMIF(DeadRaw!$B:$B,$A44,DeadRaw!BE:BE)</f>
        <v>3</v>
      </c>
      <c r="BC44">
        <f>SUMIF(DeadRaw!$B:$B,$A44,DeadRaw!BF:BF)</f>
        <v>3</v>
      </c>
      <c r="BD44">
        <f>SUMIF(DeadRaw!$B:$B,$A44,DeadRaw!BG:BG)</f>
        <v>3</v>
      </c>
      <c r="BE44">
        <f>SUMIF(DeadRaw!$B:$B,$A44,DeadRaw!BH:BH)</f>
        <v>3</v>
      </c>
      <c r="BF44">
        <f>SUMIF(DeadRaw!$B:$B,$A44,DeadRaw!BI:BI)</f>
        <v>3</v>
      </c>
      <c r="BG44">
        <f>SUMIF(DeadRaw!$B:$B,$A44,DeadRaw!BJ:BJ)</f>
        <v>4</v>
      </c>
      <c r="BH44">
        <f>SUMIF(DeadRaw!$B:$B,$A44,DeadRaw!BK:BK)</f>
        <v>4</v>
      </c>
      <c r="BI44">
        <f>SUMIF(DeadRaw!$B:$B,$A44,DeadRaw!BL:BL)</f>
        <v>0</v>
      </c>
      <c r="BJ44">
        <f>SUMIF(DeadRaw!$B:$B,$A44,DeadRaw!BM:BM)</f>
        <v>0</v>
      </c>
      <c r="BK44">
        <f>SUMIF(DeadRaw!$B:$B,$A44,DeadRaw!BN:BN)</f>
        <v>0</v>
      </c>
      <c r="BL44">
        <f>SUMIF(DeadRaw!$B:$B,$A44,DeadRaw!BO:BO)</f>
        <v>0</v>
      </c>
      <c r="BM44">
        <f>SUMIF(DeadRaw!$B:$B,$A44,DeadRaw!BP:BP)</f>
        <v>0</v>
      </c>
      <c r="BN44">
        <f>SUMIF(DeadRaw!$B:$B,$A44,DeadRaw!BQ:BQ)</f>
        <v>0</v>
      </c>
      <c r="BO44">
        <f>SUMIF(DeadRaw!$B:$B,$A44,DeadRaw!BR:BR)</f>
        <v>0</v>
      </c>
      <c r="BP44">
        <f>SUMIF(DeadRaw!$B:$B,$A44,DeadRaw!BS:BS)</f>
        <v>0</v>
      </c>
      <c r="BQ44">
        <f>SUMIF(DeadRaw!$B:$B,$A44,DeadRaw!BT:BT)</f>
        <v>0</v>
      </c>
      <c r="BR44">
        <f>SUMIF(DeadRaw!$B:$B,$A44,DeadRaw!BU:BU)</f>
        <v>0</v>
      </c>
      <c r="BS44">
        <f>SUMIF(DeadRaw!$B:$B,$A44,DeadRaw!BV:BV)</f>
        <v>0</v>
      </c>
      <c r="BT44">
        <f>SUMIF(DeadRaw!$B:$B,$A44,DeadRaw!BW:BW)</f>
        <v>0</v>
      </c>
    </row>
    <row r="45" spans="1:72" ht="15" thickBot="1" x14ac:dyDescent="0.35">
      <c r="A45" s="3" t="s">
        <v>35</v>
      </c>
      <c r="B45">
        <f>SUMIF(DeadRaw!$B:$B,$A45,DeadRaw!E:E)</f>
        <v>0</v>
      </c>
      <c r="C45">
        <f>SUMIF(DeadRaw!$B:$B,$A45,DeadRaw!F:F)</f>
        <v>0</v>
      </c>
      <c r="D45">
        <f>SUMIF(DeadRaw!$B:$B,$A45,DeadRaw!G:G)</f>
        <v>0</v>
      </c>
      <c r="E45">
        <f>SUMIF(DeadRaw!$B:$B,$A45,DeadRaw!H:H)</f>
        <v>0</v>
      </c>
      <c r="F45">
        <f>SUMIF(DeadRaw!$B:$B,$A45,DeadRaw!I:I)</f>
        <v>0</v>
      </c>
      <c r="G45">
        <f>SUMIF(DeadRaw!$B:$B,$A45,DeadRaw!J:J)</f>
        <v>0</v>
      </c>
      <c r="H45">
        <f>SUMIF(DeadRaw!$B:$B,$A45,DeadRaw!K:K)</f>
        <v>0</v>
      </c>
      <c r="I45">
        <f>SUMIF(DeadRaw!$B:$B,$A45,DeadRaw!L:L)</f>
        <v>0</v>
      </c>
      <c r="J45">
        <f>SUMIF(DeadRaw!$B:$B,$A45,DeadRaw!M:M)</f>
        <v>0</v>
      </c>
      <c r="K45">
        <f>SUMIF(DeadRaw!$B:$B,$A45,DeadRaw!N:N)</f>
        <v>0</v>
      </c>
      <c r="L45">
        <f>SUMIF(DeadRaw!$B:$B,$A45,DeadRaw!O:O)</f>
        <v>0</v>
      </c>
      <c r="M45">
        <f>SUMIF(DeadRaw!$B:$B,$A45,DeadRaw!P:P)</f>
        <v>0</v>
      </c>
      <c r="N45">
        <f>SUMIF(DeadRaw!$B:$B,$A45,DeadRaw!Q:Q)</f>
        <v>0</v>
      </c>
      <c r="O45">
        <f>SUMIF(DeadRaw!$B:$B,$A45,DeadRaw!R:R)</f>
        <v>0</v>
      </c>
      <c r="P45">
        <f>SUMIF(DeadRaw!$B:$B,$A45,DeadRaw!S:S)</f>
        <v>0</v>
      </c>
      <c r="Q45">
        <f>SUMIF(DeadRaw!$B:$B,$A45,DeadRaw!T:T)</f>
        <v>0</v>
      </c>
      <c r="R45">
        <f>SUMIF(DeadRaw!$B:$B,$A45,DeadRaw!U:U)</f>
        <v>0</v>
      </c>
      <c r="S45">
        <f>SUMIF(DeadRaw!$B:$B,$A45,DeadRaw!V:V)</f>
        <v>0</v>
      </c>
      <c r="T45">
        <f>SUMIF(DeadRaw!$B:$B,$A45,DeadRaw!W:W)</f>
        <v>0</v>
      </c>
      <c r="U45">
        <f>SUMIF(DeadRaw!$B:$B,$A45,DeadRaw!X:X)</f>
        <v>0</v>
      </c>
      <c r="V45">
        <f>SUMIF(DeadRaw!$B:$B,$A45,DeadRaw!Y:Y)</f>
        <v>0</v>
      </c>
      <c r="W45">
        <f>SUMIF(DeadRaw!$B:$B,$A45,DeadRaw!Z:Z)</f>
        <v>0</v>
      </c>
      <c r="X45">
        <f>SUMIF(DeadRaw!$B:$B,$A45,DeadRaw!AA:AA)</f>
        <v>0</v>
      </c>
      <c r="Y45">
        <f>SUMIF(DeadRaw!$B:$B,$A45,DeadRaw!AB:AB)</f>
        <v>0</v>
      </c>
      <c r="Z45">
        <f>SUMIF(DeadRaw!$B:$B,$A45,DeadRaw!AC:AC)</f>
        <v>0</v>
      </c>
      <c r="AA45">
        <f>SUMIF(DeadRaw!$B:$B,$A45,DeadRaw!AD:AD)</f>
        <v>0</v>
      </c>
      <c r="AB45">
        <f>SUMIF(DeadRaw!$B:$B,$A45,DeadRaw!AE:AE)</f>
        <v>0</v>
      </c>
      <c r="AC45">
        <f>SUMIF(DeadRaw!$B:$B,$A45,DeadRaw!AF:AF)</f>
        <v>0</v>
      </c>
      <c r="AD45">
        <f>SUMIF(DeadRaw!$B:$B,$A45,DeadRaw!AG:AG)</f>
        <v>0</v>
      </c>
      <c r="AE45">
        <f>SUMIF(DeadRaw!$B:$B,$A45,DeadRaw!AH:AH)</f>
        <v>0</v>
      </c>
      <c r="AF45">
        <f>SUMIF(DeadRaw!$B:$B,$A45,DeadRaw!AI:AI)</f>
        <v>0</v>
      </c>
      <c r="AG45">
        <f>SUMIF(DeadRaw!$B:$B,$A45,DeadRaw!AJ:AJ)</f>
        <v>0</v>
      </c>
      <c r="AH45">
        <f>SUMIF(DeadRaw!$B:$B,$A45,DeadRaw!AK:AK)</f>
        <v>0</v>
      </c>
      <c r="AI45">
        <f>SUMIF(DeadRaw!$B:$B,$A45,DeadRaw!AL:AL)</f>
        <v>0</v>
      </c>
      <c r="AJ45">
        <f>SUMIF(DeadRaw!$B:$B,$A45,DeadRaw!AM:AM)</f>
        <v>0</v>
      </c>
      <c r="AK45">
        <f>SUMIF(DeadRaw!$B:$B,$A45,DeadRaw!AN:AN)</f>
        <v>0</v>
      </c>
      <c r="AL45">
        <f>SUMIF(DeadRaw!$B:$B,$A45,DeadRaw!AO:AO)</f>
        <v>0</v>
      </c>
      <c r="AM45">
        <f>SUMIF(DeadRaw!$B:$B,$A45,DeadRaw!AP:AP)</f>
        <v>0</v>
      </c>
      <c r="AN45">
        <f>SUMIF(DeadRaw!$B:$B,$A45,DeadRaw!AQ:AQ)</f>
        <v>0</v>
      </c>
      <c r="AO45">
        <f>SUMIF(DeadRaw!$B:$B,$A45,DeadRaw!AR:AR)</f>
        <v>1</v>
      </c>
      <c r="AP45">
        <f>SUMIF(DeadRaw!$B:$B,$A45,DeadRaw!AS:AS)</f>
        <v>1</v>
      </c>
      <c r="AQ45">
        <f>SUMIF(DeadRaw!$B:$B,$A45,DeadRaw!AT:AT)</f>
        <v>1</v>
      </c>
      <c r="AR45">
        <f>SUMIF(DeadRaw!$B:$B,$A45,DeadRaw!AU:AU)</f>
        <v>1</v>
      </c>
      <c r="AS45">
        <f>SUMIF(DeadRaw!$B:$B,$A45,DeadRaw!AV:AV)</f>
        <v>1</v>
      </c>
      <c r="AT45">
        <f>SUMIF(DeadRaw!$B:$B,$A45,DeadRaw!AW:AW)</f>
        <v>1</v>
      </c>
      <c r="AU45">
        <f>SUMIF(DeadRaw!$B:$B,$A45,DeadRaw!AX:AX)</f>
        <v>1</v>
      </c>
      <c r="AV45">
        <f>SUMIF(DeadRaw!$B:$B,$A45,DeadRaw!AY:AY)</f>
        <v>1</v>
      </c>
      <c r="AW45">
        <f>SUMIF(DeadRaw!$B:$B,$A45,DeadRaw!AZ:AZ)</f>
        <v>1</v>
      </c>
      <c r="AX45">
        <f>SUMIF(DeadRaw!$B:$B,$A45,DeadRaw!BA:BA)</f>
        <v>1</v>
      </c>
      <c r="AY45">
        <f>SUMIF(DeadRaw!$B:$B,$A45,DeadRaw!BB:BB)</f>
        <v>1</v>
      </c>
      <c r="AZ45">
        <f>SUMIF(DeadRaw!$B:$B,$A45,DeadRaw!BC:BC)</f>
        <v>1</v>
      </c>
      <c r="BA45">
        <f>SUMIF(DeadRaw!$B:$B,$A45,DeadRaw!BD:BD)</f>
        <v>1</v>
      </c>
      <c r="BB45">
        <f>SUMIF(DeadRaw!$B:$B,$A45,DeadRaw!BE:BE)</f>
        <v>1</v>
      </c>
      <c r="BC45">
        <f>SUMIF(DeadRaw!$B:$B,$A45,DeadRaw!BF:BF)</f>
        <v>1</v>
      </c>
      <c r="BD45">
        <f>SUMIF(DeadRaw!$B:$B,$A45,DeadRaw!BG:BG)</f>
        <v>1</v>
      </c>
      <c r="BE45">
        <f>SUMIF(DeadRaw!$B:$B,$A45,DeadRaw!BH:BH)</f>
        <v>1</v>
      </c>
      <c r="BF45">
        <f>SUMIF(DeadRaw!$B:$B,$A45,DeadRaw!BI:BI)</f>
        <v>1</v>
      </c>
      <c r="BG45">
        <f>SUMIF(DeadRaw!$B:$B,$A45,DeadRaw!BJ:BJ)</f>
        <v>1</v>
      </c>
      <c r="BH45">
        <f>SUMIF(DeadRaw!$B:$B,$A45,DeadRaw!BK:BK)</f>
        <v>1</v>
      </c>
      <c r="BI45">
        <f>SUMIF(DeadRaw!$B:$B,$A45,DeadRaw!BL:BL)</f>
        <v>0</v>
      </c>
      <c r="BJ45">
        <f>SUMIF(DeadRaw!$B:$B,$A45,DeadRaw!BM:BM)</f>
        <v>0</v>
      </c>
      <c r="BK45">
        <f>SUMIF(DeadRaw!$B:$B,$A45,DeadRaw!BN:BN)</f>
        <v>0</v>
      </c>
      <c r="BL45">
        <f>SUMIF(DeadRaw!$B:$B,$A45,DeadRaw!BO:BO)</f>
        <v>0</v>
      </c>
      <c r="BM45">
        <f>SUMIF(DeadRaw!$B:$B,$A45,DeadRaw!BP:BP)</f>
        <v>0</v>
      </c>
      <c r="BN45">
        <f>SUMIF(DeadRaw!$B:$B,$A45,DeadRaw!BQ:BQ)</f>
        <v>0</v>
      </c>
      <c r="BO45">
        <f>SUMIF(DeadRaw!$B:$B,$A45,DeadRaw!BR:BR)</f>
        <v>0</v>
      </c>
      <c r="BP45">
        <f>SUMIF(DeadRaw!$B:$B,$A45,DeadRaw!BS:BS)</f>
        <v>0</v>
      </c>
      <c r="BQ45">
        <f>SUMIF(DeadRaw!$B:$B,$A45,DeadRaw!BT:BT)</f>
        <v>0</v>
      </c>
      <c r="BR45">
        <f>SUMIF(DeadRaw!$B:$B,$A45,DeadRaw!BU:BU)</f>
        <v>0</v>
      </c>
      <c r="BS45">
        <f>SUMIF(DeadRaw!$B:$B,$A45,DeadRaw!BV:BV)</f>
        <v>0</v>
      </c>
      <c r="BT45">
        <f>SUMIF(DeadRaw!$B:$B,$A45,DeadRaw!BW:BW)</f>
        <v>0</v>
      </c>
    </row>
    <row r="46" spans="1:72" ht="15" thickBot="1" x14ac:dyDescent="0.35">
      <c r="A46" s="4" t="s">
        <v>107</v>
      </c>
      <c r="B46">
        <f>SUMIF(DeadRaw!$B:$B,$A46,DeadRaw!E:E)</f>
        <v>0</v>
      </c>
      <c r="C46">
        <f>SUMIF(DeadRaw!$B:$B,$A46,DeadRaw!F:F)</f>
        <v>0</v>
      </c>
      <c r="D46">
        <f>SUMIF(DeadRaw!$B:$B,$A46,DeadRaw!G:G)</f>
        <v>0</v>
      </c>
      <c r="E46">
        <f>SUMIF(DeadRaw!$B:$B,$A46,DeadRaw!H:H)</f>
        <v>0</v>
      </c>
      <c r="F46">
        <f>SUMIF(DeadRaw!$B:$B,$A46,DeadRaw!I:I)</f>
        <v>0</v>
      </c>
      <c r="G46">
        <f>SUMIF(DeadRaw!$B:$B,$A46,DeadRaw!J:J)</f>
        <v>0</v>
      </c>
      <c r="H46">
        <f>SUMIF(DeadRaw!$B:$B,$A46,DeadRaw!K:K)</f>
        <v>0</v>
      </c>
      <c r="I46">
        <f>SUMIF(DeadRaw!$B:$B,$A46,DeadRaw!L:L)</f>
        <v>0</v>
      </c>
      <c r="J46">
        <f>SUMIF(DeadRaw!$B:$B,$A46,DeadRaw!M:M)</f>
        <v>0</v>
      </c>
      <c r="K46">
        <f>SUMIF(DeadRaw!$B:$B,$A46,DeadRaw!N:N)</f>
        <v>0</v>
      </c>
      <c r="L46">
        <f>SUMIF(DeadRaw!$B:$B,$A46,DeadRaw!O:O)</f>
        <v>0</v>
      </c>
      <c r="M46">
        <f>SUMIF(DeadRaw!$B:$B,$A46,DeadRaw!P:P)</f>
        <v>0</v>
      </c>
      <c r="N46">
        <f>SUMIF(DeadRaw!$B:$B,$A46,DeadRaw!Q:Q)</f>
        <v>0</v>
      </c>
      <c r="O46">
        <f>SUMIF(DeadRaw!$B:$B,$A46,DeadRaw!R:R)</f>
        <v>0</v>
      </c>
      <c r="P46">
        <f>SUMIF(DeadRaw!$B:$B,$A46,DeadRaw!S:S)</f>
        <v>0</v>
      </c>
      <c r="Q46">
        <f>SUMIF(DeadRaw!$B:$B,$A46,DeadRaw!T:T)</f>
        <v>0</v>
      </c>
      <c r="R46">
        <f>SUMIF(DeadRaw!$B:$B,$A46,DeadRaw!U:U)</f>
        <v>0</v>
      </c>
      <c r="S46">
        <f>SUMIF(DeadRaw!$B:$B,$A46,DeadRaw!V:V)</f>
        <v>0</v>
      </c>
      <c r="T46">
        <f>SUMIF(DeadRaw!$B:$B,$A46,DeadRaw!W:W)</f>
        <v>0</v>
      </c>
      <c r="U46">
        <f>SUMIF(DeadRaw!$B:$B,$A46,DeadRaw!X:X)</f>
        <v>0</v>
      </c>
      <c r="V46">
        <f>SUMIF(DeadRaw!$B:$B,$A46,DeadRaw!Y:Y)</f>
        <v>0</v>
      </c>
      <c r="W46">
        <f>SUMIF(DeadRaw!$B:$B,$A46,DeadRaw!Z:Z)</f>
        <v>0</v>
      </c>
      <c r="X46">
        <f>SUMIF(DeadRaw!$B:$B,$A46,DeadRaw!AA:AA)</f>
        <v>0</v>
      </c>
      <c r="Y46">
        <f>SUMIF(DeadRaw!$B:$B,$A46,DeadRaw!AB:AB)</f>
        <v>0</v>
      </c>
      <c r="Z46">
        <f>SUMIF(DeadRaw!$B:$B,$A46,DeadRaw!AC:AC)</f>
        <v>0</v>
      </c>
      <c r="AA46">
        <f>SUMIF(DeadRaw!$B:$B,$A46,DeadRaw!AD:AD)</f>
        <v>0</v>
      </c>
      <c r="AB46">
        <f>SUMIF(DeadRaw!$B:$B,$A46,DeadRaw!AE:AE)</f>
        <v>0</v>
      </c>
      <c r="AC46">
        <f>SUMIF(DeadRaw!$B:$B,$A46,DeadRaw!AF:AF)</f>
        <v>0</v>
      </c>
      <c r="AD46">
        <f>SUMIF(DeadRaw!$B:$B,$A46,DeadRaw!AG:AG)</f>
        <v>0</v>
      </c>
      <c r="AE46">
        <f>SUMIF(DeadRaw!$B:$B,$A46,DeadRaw!AH:AH)</f>
        <v>0</v>
      </c>
      <c r="AF46">
        <f>SUMIF(DeadRaw!$B:$B,$A46,DeadRaw!AI:AI)</f>
        <v>0</v>
      </c>
      <c r="AG46">
        <f>SUMIF(DeadRaw!$B:$B,$A46,DeadRaw!AJ:AJ)</f>
        <v>0</v>
      </c>
      <c r="AH46">
        <f>SUMIF(DeadRaw!$B:$B,$A46,DeadRaw!AK:AK)</f>
        <v>0</v>
      </c>
      <c r="AI46">
        <f>SUMIF(DeadRaw!$B:$B,$A46,DeadRaw!AL:AL)</f>
        <v>0</v>
      </c>
      <c r="AJ46">
        <f>SUMIF(DeadRaw!$B:$B,$A46,DeadRaw!AM:AM)</f>
        <v>0</v>
      </c>
      <c r="AK46">
        <f>SUMIF(DeadRaw!$B:$B,$A46,DeadRaw!AN:AN)</f>
        <v>0</v>
      </c>
      <c r="AL46">
        <f>SUMIF(DeadRaw!$B:$B,$A46,DeadRaw!AO:AO)</f>
        <v>0</v>
      </c>
      <c r="AM46">
        <f>SUMIF(DeadRaw!$B:$B,$A46,DeadRaw!AP:AP)</f>
        <v>0</v>
      </c>
      <c r="AN46">
        <f>SUMIF(DeadRaw!$B:$B,$A46,DeadRaw!AQ:AQ)</f>
        <v>0</v>
      </c>
      <c r="AO46">
        <f>SUMIF(DeadRaw!$B:$B,$A46,DeadRaw!AR:AR)</f>
        <v>0</v>
      </c>
      <c r="AP46">
        <f>SUMIF(DeadRaw!$B:$B,$A46,DeadRaw!AS:AS)</f>
        <v>0</v>
      </c>
      <c r="AQ46">
        <f>SUMIF(DeadRaw!$B:$B,$A46,DeadRaw!AT:AT)</f>
        <v>0</v>
      </c>
      <c r="AR46">
        <f>SUMIF(DeadRaw!$B:$B,$A46,DeadRaw!AU:AU)</f>
        <v>0</v>
      </c>
      <c r="AS46">
        <f>SUMIF(DeadRaw!$B:$B,$A46,DeadRaw!AV:AV)</f>
        <v>0</v>
      </c>
      <c r="AT46">
        <f>SUMIF(DeadRaw!$B:$B,$A46,DeadRaw!AW:AW)</f>
        <v>0</v>
      </c>
      <c r="AU46">
        <f>SUMIF(DeadRaw!$B:$B,$A46,DeadRaw!AX:AX)</f>
        <v>0</v>
      </c>
      <c r="AV46">
        <f>SUMIF(DeadRaw!$B:$B,$A46,DeadRaw!AY:AY)</f>
        <v>0</v>
      </c>
      <c r="AW46">
        <f>SUMIF(DeadRaw!$B:$B,$A46,DeadRaw!AZ:AZ)</f>
        <v>0</v>
      </c>
      <c r="AX46">
        <f>SUMIF(DeadRaw!$B:$B,$A46,DeadRaw!BA:BA)</f>
        <v>0</v>
      </c>
      <c r="AY46">
        <f>SUMIF(DeadRaw!$B:$B,$A46,DeadRaw!BB:BB)</f>
        <v>1</v>
      </c>
      <c r="AZ46">
        <f>SUMIF(DeadRaw!$B:$B,$A46,DeadRaw!BC:BC)</f>
        <v>1</v>
      </c>
      <c r="BA46">
        <f>SUMIF(DeadRaw!$B:$B,$A46,DeadRaw!BD:BD)</f>
        <v>4</v>
      </c>
      <c r="BB46">
        <f>SUMIF(DeadRaw!$B:$B,$A46,DeadRaw!BE:BE)</f>
        <v>5</v>
      </c>
      <c r="BC46">
        <f>SUMIF(DeadRaw!$B:$B,$A46,DeadRaw!BF:BF)</f>
        <v>5</v>
      </c>
      <c r="BD46">
        <f>SUMIF(DeadRaw!$B:$B,$A46,DeadRaw!BG:BG)</f>
        <v>5</v>
      </c>
      <c r="BE46">
        <f>SUMIF(DeadRaw!$B:$B,$A46,DeadRaw!BH:BH)</f>
        <v>5</v>
      </c>
      <c r="BF46">
        <f>SUMIF(DeadRaw!$B:$B,$A46,DeadRaw!BI:BI)</f>
        <v>19</v>
      </c>
      <c r="BG46">
        <f>SUMIF(DeadRaw!$B:$B,$A46,DeadRaw!BJ:BJ)</f>
        <v>25</v>
      </c>
      <c r="BH46">
        <f>SUMIF(DeadRaw!$B:$B,$A46,DeadRaw!BK:BK)</f>
        <v>32</v>
      </c>
      <c r="BI46">
        <f>SUMIF(DeadRaw!$B:$B,$A46,DeadRaw!BL:BL)</f>
        <v>0</v>
      </c>
      <c r="BJ46">
        <f>SUMIF(DeadRaw!$B:$B,$A46,DeadRaw!BM:BM)</f>
        <v>0</v>
      </c>
      <c r="BK46">
        <f>SUMIF(DeadRaw!$B:$B,$A46,DeadRaw!BN:BN)</f>
        <v>0</v>
      </c>
      <c r="BL46">
        <f>SUMIF(DeadRaw!$B:$B,$A46,DeadRaw!BO:BO)</f>
        <v>0</v>
      </c>
      <c r="BM46">
        <f>SUMIF(DeadRaw!$B:$B,$A46,DeadRaw!BP:BP)</f>
        <v>0</v>
      </c>
      <c r="BN46">
        <f>SUMIF(DeadRaw!$B:$B,$A46,DeadRaw!BQ:BQ)</f>
        <v>0</v>
      </c>
      <c r="BO46">
        <f>SUMIF(DeadRaw!$B:$B,$A46,DeadRaw!BR:BR)</f>
        <v>0</v>
      </c>
      <c r="BP46">
        <f>SUMIF(DeadRaw!$B:$B,$A46,DeadRaw!BS:BS)</f>
        <v>0</v>
      </c>
      <c r="BQ46">
        <f>SUMIF(DeadRaw!$B:$B,$A46,DeadRaw!BT:BT)</f>
        <v>0</v>
      </c>
      <c r="BR46">
        <f>SUMIF(DeadRaw!$B:$B,$A46,DeadRaw!BU:BU)</f>
        <v>0</v>
      </c>
      <c r="BS46">
        <f>SUMIF(DeadRaw!$B:$B,$A46,DeadRaw!BV:BV)</f>
        <v>0</v>
      </c>
      <c r="BT46">
        <f>SUMIF(DeadRaw!$B:$B,$A46,DeadRaw!BW:BW)</f>
        <v>0</v>
      </c>
    </row>
    <row r="47" spans="1:72" ht="15" thickBot="1" x14ac:dyDescent="0.35">
      <c r="A47" s="3" t="s">
        <v>137</v>
      </c>
      <c r="B47">
        <f>SUMIF(DeadRaw!$B:$B,$A47,DeadRaw!E:E)</f>
        <v>0</v>
      </c>
      <c r="C47">
        <f>SUMIF(DeadRaw!$B:$B,$A47,DeadRaw!F:F)</f>
        <v>0</v>
      </c>
      <c r="D47">
        <f>SUMIF(DeadRaw!$B:$B,$A47,DeadRaw!G:G)</f>
        <v>0</v>
      </c>
      <c r="E47">
        <f>SUMIF(DeadRaw!$B:$B,$A47,DeadRaw!H:H)</f>
        <v>0</v>
      </c>
      <c r="F47">
        <f>SUMIF(DeadRaw!$B:$B,$A47,DeadRaw!I:I)</f>
        <v>0</v>
      </c>
      <c r="G47">
        <f>SUMIF(DeadRaw!$B:$B,$A47,DeadRaw!J:J)</f>
        <v>0</v>
      </c>
      <c r="H47">
        <f>SUMIF(DeadRaw!$B:$B,$A47,DeadRaw!K:K)</f>
        <v>0</v>
      </c>
      <c r="I47">
        <f>SUMIF(DeadRaw!$B:$B,$A47,DeadRaw!L:L)</f>
        <v>0</v>
      </c>
      <c r="J47">
        <f>SUMIF(DeadRaw!$B:$B,$A47,DeadRaw!M:M)</f>
        <v>0</v>
      </c>
      <c r="K47">
        <f>SUMIF(DeadRaw!$B:$B,$A47,DeadRaw!N:N)</f>
        <v>0</v>
      </c>
      <c r="L47">
        <f>SUMIF(DeadRaw!$B:$B,$A47,DeadRaw!O:O)</f>
        <v>0</v>
      </c>
      <c r="M47">
        <f>SUMIF(DeadRaw!$B:$B,$A47,DeadRaw!P:P)</f>
        <v>0</v>
      </c>
      <c r="N47">
        <f>SUMIF(DeadRaw!$B:$B,$A47,DeadRaw!Q:Q)</f>
        <v>0</v>
      </c>
      <c r="O47">
        <f>SUMIF(DeadRaw!$B:$B,$A47,DeadRaw!R:R)</f>
        <v>0</v>
      </c>
      <c r="P47">
        <f>SUMIF(DeadRaw!$B:$B,$A47,DeadRaw!S:S)</f>
        <v>0</v>
      </c>
      <c r="Q47">
        <f>SUMIF(DeadRaw!$B:$B,$A47,DeadRaw!T:T)</f>
        <v>0</v>
      </c>
      <c r="R47">
        <f>SUMIF(DeadRaw!$B:$B,$A47,DeadRaw!U:U)</f>
        <v>0</v>
      </c>
      <c r="S47">
        <f>SUMIF(DeadRaw!$B:$B,$A47,DeadRaw!V:V)</f>
        <v>0</v>
      </c>
      <c r="T47">
        <f>SUMIF(DeadRaw!$B:$B,$A47,DeadRaw!W:W)</f>
        <v>0</v>
      </c>
      <c r="U47">
        <f>SUMIF(DeadRaw!$B:$B,$A47,DeadRaw!X:X)</f>
        <v>0</v>
      </c>
      <c r="V47">
        <f>SUMIF(DeadRaw!$B:$B,$A47,DeadRaw!Y:Y)</f>
        <v>0</v>
      </c>
      <c r="W47">
        <f>SUMIF(DeadRaw!$B:$B,$A47,DeadRaw!Z:Z)</f>
        <v>0</v>
      </c>
      <c r="X47">
        <f>SUMIF(DeadRaw!$B:$B,$A47,DeadRaw!AA:AA)</f>
        <v>0</v>
      </c>
      <c r="Y47">
        <f>SUMIF(DeadRaw!$B:$B,$A47,DeadRaw!AB:AB)</f>
        <v>0</v>
      </c>
      <c r="Z47">
        <f>SUMIF(DeadRaw!$B:$B,$A47,DeadRaw!AC:AC)</f>
        <v>0</v>
      </c>
      <c r="AA47">
        <f>SUMIF(DeadRaw!$B:$B,$A47,DeadRaw!AD:AD)</f>
        <v>0</v>
      </c>
      <c r="AB47">
        <f>SUMIF(DeadRaw!$B:$B,$A47,DeadRaw!AE:AE)</f>
        <v>0</v>
      </c>
      <c r="AC47">
        <f>SUMIF(DeadRaw!$B:$B,$A47,DeadRaw!AF:AF)</f>
        <v>0</v>
      </c>
      <c r="AD47">
        <f>SUMIF(DeadRaw!$B:$B,$A47,DeadRaw!AG:AG)</f>
        <v>0</v>
      </c>
      <c r="AE47">
        <f>SUMIF(DeadRaw!$B:$B,$A47,DeadRaw!AH:AH)</f>
        <v>0</v>
      </c>
      <c r="AF47">
        <f>SUMIF(DeadRaw!$B:$B,$A47,DeadRaw!AI:AI)</f>
        <v>0</v>
      </c>
      <c r="AG47">
        <f>SUMIF(DeadRaw!$B:$B,$A47,DeadRaw!AJ:AJ)</f>
        <v>0</v>
      </c>
      <c r="AH47">
        <f>SUMIF(DeadRaw!$B:$B,$A47,DeadRaw!AK:AK)</f>
        <v>0</v>
      </c>
      <c r="AI47">
        <f>SUMIF(DeadRaw!$B:$B,$A47,DeadRaw!AL:AL)</f>
        <v>0</v>
      </c>
      <c r="AJ47">
        <f>SUMIF(DeadRaw!$B:$B,$A47,DeadRaw!AM:AM)</f>
        <v>0</v>
      </c>
      <c r="AK47">
        <f>SUMIF(DeadRaw!$B:$B,$A47,DeadRaw!AN:AN)</f>
        <v>0</v>
      </c>
      <c r="AL47">
        <f>SUMIF(DeadRaw!$B:$B,$A47,DeadRaw!AO:AO)</f>
        <v>0</v>
      </c>
      <c r="AM47">
        <f>SUMIF(DeadRaw!$B:$B,$A47,DeadRaw!AP:AP)</f>
        <v>0</v>
      </c>
      <c r="AN47">
        <f>SUMIF(DeadRaw!$B:$B,$A47,DeadRaw!AQ:AQ)</f>
        <v>0</v>
      </c>
      <c r="AO47">
        <f>SUMIF(DeadRaw!$B:$B,$A47,DeadRaw!AR:AR)</f>
        <v>0</v>
      </c>
      <c r="AP47">
        <f>SUMIF(DeadRaw!$B:$B,$A47,DeadRaw!AS:AS)</f>
        <v>0</v>
      </c>
      <c r="AQ47">
        <f>SUMIF(DeadRaw!$B:$B,$A47,DeadRaw!AT:AT)</f>
        <v>0</v>
      </c>
      <c r="AR47">
        <f>SUMIF(DeadRaw!$B:$B,$A47,DeadRaw!AU:AU)</f>
        <v>0</v>
      </c>
      <c r="AS47">
        <f>SUMIF(DeadRaw!$B:$B,$A47,DeadRaw!AV:AV)</f>
        <v>0</v>
      </c>
      <c r="AT47">
        <f>SUMIF(DeadRaw!$B:$B,$A47,DeadRaw!AW:AW)</f>
        <v>0</v>
      </c>
      <c r="AU47">
        <f>SUMIF(DeadRaw!$B:$B,$A47,DeadRaw!AX:AX)</f>
        <v>0</v>
      </c>
      <c r="AV47">
        <f>SUMIF(DeadRaw!$B:$B,$A47,DeadRaw!AY:AY)</f>
        <v>0</v>
      </c>
      <c r="AW47">
        <f>SUMIF(DeadRaw!$B:$B,$A47,DeadRaw!AZ:AZ)</f>
        <v>0</v>
      </c>
      <c r="AX47">
        <f>SUMIF(DeadRaw!$B:$B,$A47,DeadRaw!BA:BA)</f>
        <v>0</v>
      </c>
      <c r="AY47">
        <f>SUMIF(DeadRaw!$B:$B,$A47,DeadRaw!BB:BB)</f>
        <v>0</v>
      </c>
      <c r="AZ47">
        <f>SUMIF(DeadRaw!$B:$B,$A47,DeadRaw!BC:BC)</f>
        <v>1</v>
      </c>
      <c r="BA47">
        <f>SUMIF(DeadRaw!$B:$B,$A47,DeadRaw!BD:BD)</f>
        <v>2</v>
      </c>
      <c r="BB47">
        <f>SUMIF(DeadRaw!$B:$B,$A47,DeadRaw!BE:BE)</f>
        <v>3</v>
      </c>
      <c r="BC47">
        <f>SUMIF(DeadRaw!$B:$B,$A47,DeadRaw!BF:BF)</f>
        <v>3</v>
      </c>
      <c r="BD47">
        <f>SUMIF(DeadRaw!$B:$B,$A47,DeadRaw!BG:BG)</f>
        <v>4</v>
      </c>
      <c r="BE47">
        <f>SUMIF(DeadRaw!$B:$B,$A47,DeadRaw!BH:BH)</f>
        <v>5</v>
      </c>
      <c r="BF47">
        <f>SUMIF(DeadRaw!$B:$B,$A47,DeadRaw!BI:BI)</f>
        <v>5</v>
      </c>
      <c r="BG47">
        <f>SUMIF(DeadRaw!$B:$B,$A47,DeadRaw!BJ:BJ)</f>
        <v>5</v>
      </c>
      <c r="BH47">
        <f>SUMIF(DeadRaw!$B:$B,$A47,DeadRaw!BK:BK)</f>
        <v>5</v>
      </c>
      <c r="BI47">
        <f>SUMIF(DeadRaw!$B:$B,$A47,DeadRaw!BL:BL)</f>
        <v>0</v>
      </c>
      <c r="BJ47">
        <f>SUMIF(DeadRaw!$B:$B,$A47,DeadRaw!BM:BM)</f>
        <v>0</v>
      </c>
      <c r="BK47">
        <f>SUMIF(DeadRaw!$B:$B,$A47,DeadRaw!BN:BN)</f>
        <v>0</v>
      </c>
      <c r="BL47">
        <f>SUMIF(DeadRaw!$B:$B,$A47,DeadRaw!BO:BO)</f>
        <v>0</v>
      </c>
      <c r="BM47">
        <f>SUMIF(DeadRaw!$B:$B,$A47,DeadRaw!BP:BP)</f>
        <v>0</v>
      </c>
      <c r="BN47">
        <f>SUMIF(DeadRaw!$B:$B,$A47,DeadRaw!BQ:BQ)</f>
        <v>0</v>
      </c>
      <c r="BO47">
        <f>SUMIF(DeadRaw!$B:$B,$A47,DeadRaw!BR:BR)</f>
        <v>0</v>
      </c>
      <c r="BP47">
        <f>SUMIF(DeadRaw!$B:$B,$A47,DeadRaw!BS:BS)</f>
        <v>0</v>
      </c>
      <c r="BQ47">
        <f>SUMIF(DeadRaw!$B:$B,$A47,DeadRaw!BT:BT)</f>
        <v>0</v>
      </c>
      <c r="BR47">
        <f>SUMIF(DeadRaw!$B:$B,$A47,DeadRaw!BU:BU)</f>
        <v>0</v>
      </c>
      <c r="BS47">
        <f>SUMIF(DeadRaw!$B:$B,$A47,DeadRaw!BV:BV)</f>
        <v>0</v>
      </c>
      <c r="BT47">
        <f>SUMIF(DeadRaw!$B:$B,$A47,DeadRaw!BW:BW)</f>
        <v>0</v>
      </c>
    </row>
    <row r="48" spans="1:72" ht="15" thickBot="1" x14ac:dyDescent="0.35">
      <c r="A48" s="3" t="s">
        <v>56</v>
      </c>
      <c r="B48">
        <f>SUMIF(DeadRaw!$B:$B,$A48,DeadRaw!E:E)</f>
        <v>0</v>
      </c>
      <c r="C48">
        <f>SUMIF(DeadRaw!$B:$B,$A48,DeadRaw!F:F)</f>
        <v>0</v>
      </c>
      <c r="D48">
        <f>SUMIF(DeadRaw!$B:$B,$A48,DeadRaw!G:G)</f>
        <v>0</v>
      </c>
      <c r="E48">
        <f>SUMIF(DeadRaw!$B:$B,$A48,DeadRaw!H:H)</f>
        <v>0</v>
      </c>
      <c r="F48">
        <f>SUMIF(DeadRaw!$B:$B,$A48,DeadRaw!I:I)</f>
        <v>0</v>
      </c>
      <c r="G48">
        <f>SUMIF(DeadRaw!$B:$B,$A48,DeadRaw!J:J)</f>
        <v>0</v>
      </c>
      <c r="H48">
        <f>SUMIF(DeadRaw!$B:$B,$A48,DeadRaw!K:K)</f>
        <v>0</v>
      </c>
      <c r="I48">
        <f>SUMIF(DeadRaw!$B:$B,$A48,DeadRaw!L:L)</f>
        <v>0</v>
      </c>
      <c r="J48">
        <f>SUMIF(DeadRaw!$B:$B,$A48,DeadRaw!M:M)</f>
        <v>0</v>
      </c>
      <c r="K48">
        <f>SUMIF(DeadRaw!$B:$B,$A48,DeadRaw!N:N)</f>
        <v>0</v>
      </c>
      <c r="L48">
        <f>SUMIF(DeadRaw!$B:$B,$A48,DeadRaw!O:O)</f>
        <v>0</v>
      </c>
      <c r="M48">
        <f>SUMIF(DeadRaw!$B:$B,$A48,DeadRaw!P:P)</f>
        <v>1</v>
      </c>
      <c r="N48">
        <f>SUMIF(DeadRaw!$B:$B,$A48,DeadRaw!Q:Q)</f>
        <v>1</v>
      </c>
      <c r="O48">
        <f>SUMIF(DeadRaw!$B:$B,$A48,DeadRaw!R:R)</f>
        <v>1</v>
      </c>
      <c r="P48">
        <f>SUMIF(DeadRaw!$B:$B,$A48,DeadRaw!S:S)</f>
        <v>1</v>
      </c>
      <c r="Q48">
        <f>SUMIF(DeadRaw!$B:$B,$A48,DeadRaw!T:T)</f>
        <v>1</v>
      </c>
      <c r="R48">
        <f>SUMIF(DeadRaw!$B:$B,$A48,DeadRaw!U:U)</f>
        <v>1</v>
      </c>
      <c r="S48">
        <f>SUMIF(DeadRaw!$B:$B,$A48,DeadRaw!V:V)</f>
        <v>1</v>
      </c>
      <c r="T48">
        <f>SUMIF(DeadRaw!$B:$B,$A48,DeadRaw!W:W)</f>
        <v>1</v>
      </c>
      <c r="U48">
        <f>SUMIF(DeadRaw!$B:$B,$A48,DeadRaw!X:X)</f>
        <v>1</v>
      </c>
      <c r="V48">
        <f>SUMIF(DeadRaw!$B:$B,$A48,DeadRaw!Y:Y)</f>
        <v>1</v>
      </c>
      <c r="W48">
        <f>SUMIF(DeadRaw!$B:$B,$A48,DeadRaw!Z:Z)</f>
        <v>1</v>
      </c>
      <c r="X48">
        <f>SUMIF(DeadRaw!$B:$B,$A48,DeadRaw!AA:AA)</f>
        <v>1</v>
      </c>
      <c r="Y48">
        <f>SUMIF(DeadRaw!$B:$B,$A48,DeadRaw!AB:AB)</f>
        <v>1</v>
      </c>
      <c r="Z48">
        <f>SUMIF(DeadRaw!$B:$B,$A48,DeadRaw!AC:AC)</f>
        <v>1</v>
      </c>
      <c r="AA48">
        <f>SUMIF(DeadRaw!$B:$B,$A48,DeadRaw!AD:AD)</f>
        <v>1</v>
      </c>
      <c r="AB48">
        <f>SUMIF(DeadRaw!$B:$B,$A48,DeadRaw!AE:AE)</f>
        <v>1</v>
      </c>
      <c r="AC48">
        <f>SUMIF(DeadRaw!$B:$B,$A48,DeadRaw!AF:AF)</f>
        <v>1</v>
      </c>
      <c r="AD48">
        <f>SUMIF(DeadRaw!$B:$B,$A48,DeadRaw!AG:AG)</f>
        <v>1</v>
      </c>
      <c r="AE48">
        <f>SUMIF(DeadRaw!$B:$B,$A48,DeadRaw!AH:AH)</f>
        <v>1</v>
      </c>
      <c r="AF48">
        <f>SUMIF(DeadRaw!$B:$B,$A48,DeadRaw!AI:AI)</f>
        <v>1</v>
      </c>
      <c r="AG48">
        <f>SUMIF(DeadRaw!$B:$B,$A48,DeadRaw!AJ:AJ)</f>
        <v>1</v>
      </c>
      <c r="AH48">
        <f>SUMIF(DeadRaw!$B:$B,$A48,DeadRaw!AK:AK)</f>
        <v>1</v>
      </c>
      <c r="AI48">
        <f>SUMIF(DeadRaw!$B:$B,$A48,DeadRaw!AL:AL)</f>
        <v>1</v>
      </c>
      <c r="AJ48">
        <f>SUMIF(DeadRaw!$B:$B,$A48,DeadRaw!AM:AM)</f>
        <v>1</v>
      </c>
      <c r="AK48">
        <f>SUMIF(DeadRaw!$B:$B,$A48,DeadRaw!AN:AN)</f>
        <v>1</v>
      </c>
      <c r="AL48">
        <f>SUMIF(DeadRaw!$B:$B,$A48,DeadRaw!AO:AO)</f>
        <v>1</v>
      </c>
      <c r="AM48">
        <f>SUMIF(DeadRaw!$B:$B,$A48,DeadRaw!AP:AP)</f>
        <v>1</v>
      </c>
      <c r="AN48">
        <f>SUMIF(DeadRaw!$B:$B,$A48,DeadRaw!AQ:AQ)</f>
        <v>1</v>
      </c>
      <c r="AO48">
        <f>SUMIF(DeadRaw!$B:$B,$A48,DeadRaw!AR:AR)</f>
        <v>1</v>
      </c>
      <c r="AP48">
        <f>SUMIF(DeadRaw!$B:$B,$A48,DeadRaw!AS:AS)</f>
        <v>1</v>
      </c>
      <c r="AQ48">
        <f>SUMIF(DeadRaw!$B:$B,$A48,DeadRaw!AT:AT)</f>
        <v>1</v>
      </c>
      <c r="AR48">
        <f>SUMIF(DeadRaw!$B:$B,$A48,DeadRaw!AU:AU)</f>
        <v>1</v>
      </c>
      <c r="AS48">
        <f>SUMIF(DeadRaw!$B:$B,$A48,DeadRaw!AV:AV)</f>
        <v>1</v>
      </c>
      <c r="AT48">
        <f>SUMIF(DeadRaw!$B:$B,$A48,DeadRaw!AW:AW)</f>
        <v>1</v>
      </c>
      <c r="AU48">
        <f>SUMIF(DeadRaw!$B:$B,$A48,DeadRaw!AX:AX)</f>
        <v>1</v>
      </c>
      <c r="AV48">
        <f>SUMIF(DeadRaw!$B:$B,$A48,DeadRaw!AY:AY)</f>
        <v>1</v>
      </c>
      <c r="AW48">
        <f>SUMIF(DeadRaw!$B:$B,$A48,DeadRaw!AZ:AZ)</f>
        <v>1</v>
      </c>
      <c r="AX48">
        <f>SUMIF(DeadRaw!$B:$B,$A48,DeadRaw!BA:BA)</f>
        <v>1</v>
      </c>
      <c r="AY48">
        <f>SUMIF(DeadRaw!$B:$B,$A48,DeadRaw!BB:BB)</f>
        <v>1</v>
      </c>
      <c r="AZ48">
        <f>SUMIF(DeadRaw!$B:$B,$A48,DeadRaw!BC:BC)</f>
        <v>2</v>
      </c>
      <c r="BA48">
        <f>SUMIF(DeadRaw!$B:$B,$A48,DeadRaw!BD:BD)</f>
        <v>5</v>
      </c>
      <c r="BB48">
        <f>SUMIF(DeadRaw!$B:$B,$A48,DeadRaw!BE:BE)</f>
        <v>8</v>
      </c>
      <c r="BC48">
        <f>SUMIF(DeadRaw!$B:$B,$A48,DeadRaw!BF:BF)</f>
        <v>11</v>
      </c>
      <c r="BD48">
        <f>SUMIF(DeadRaw!$B:$B,$A48,DeadRaw!BG:BG)</f>
        <v>12</v>
      </c>
      <c r="BE48">
        <f>SUMIF(DeadRaw!$B:$B,$A48,DeadRaw!BH:BH)</f>
        <v>12</v>
      </c>
      <c r="BF48">
        <f>SUMIF(DeadRaw!$B:$B,$A48,DeadRaw!BI:BI)</f>
        <v>19</v>
      </c>
      <c r="BG48">
        <f>SUMIF(DeadRaw!$B:$B,$A48,DeadRaw!BJ:BJ)</f>
        <v>17</v>
      </c>
      <c r="BH48">
        <f>SUMIF(DeadRaw!$B:$B,$A48,DeadRaw!BK:BK)</f>
        <v>18</v>
      </c>
      <c r="BI48">
        <f>SUMIF(DeadRaw!$B:$B,$A48,DeadRaw!BL:BL)</f>
        <v>0</v>
      </c>
      <c r="BJ48">
        <f>SUMIF(DeadRaw!$B:$B,$A48,DeadRaw!BM:BM)</f>
        <v>0</v>
      </c>
      <c r="BK48">
        <f>SUMIF(DeadRaw!$B:$B,$A48,DeadRaw!BN:BN)</f>
        <v>0</v>
      </c>
      <c r="BL48">
        <f>SUMIF(DeadRaw!$B:$B,$A48,DeadRaw!BO:BO)</f>
        <v>0</v>
      </c>
      <c r="BM48">
        <f>SUMIF(DeadRaw!$B:$B,$A48,DeadRaw!BP:BP)</f>
        <v>0</v>
      </c>
      <c r="BN48">
        <f>SUMIF(DeadRaw!$B:$B,$A48,DeadRaw!BQ:BQ)</f>
        <v>0</v>
      </c>
      <c r="BO48">
        <f>SUMIF(DeadRaw!$B:$B,$A48,DeadRaw!BR:BR)</f>
        <v>0</v>
      </c>
      <c r="BP48">
        <f>SUMIF(DeadRaw!$B:$B,$A48,DeadRaw!BS:BS)</f>
        <v>0</v>
      </c>
      <c r="BQ48">
        <f>SUMIF(DeadRaw!$B:$B,$A48,DeadRaw!BT:BT)</f>
        <v>0</v>
      </c>
      <c r="BR48">
        <f>SUMIF(DeadRaw!$B:$B,$A48,DeadRaw!BU:BU)</f>
        <v>0</v>
      </c>
      <c r="BS48">
        <f>SUMIF(DeadRaw!$B:$B,$A48,DeadRaw!BV:BV)</f>
        <v>0</v>
      </c>
      <c r="BT48">
        <f>SUMIF(DeadRaw!$B:$B,$A48,DeadRaw!BW:BW)</f>
        <v>0</v>
      </c>
    </row>
    <row r="49" spans="1:72" ht="15" thickBot="1" x14ac:dyDescent="0.35">
      <c r="A49" s="3" t="s">
        <v>342</v>
      </c>
      <c r="B49">
        <f>SUMIF(DeadRaw!$B:$B,$A49,DeadRaw!E:E)</f>
        <v>0</v>
      </c>
      <c r="C49">
        <f>SUMIF(DeadRaw!$B:$B,$A49,DeadRaw!F:F)</f>
        <v>0</v>
      </c>
      <c r="D49">
        <f>SUMIF(DeadRaw!$B:$B,$A49,DeadRaw!G:G)</f>
        <v>0</v>
      </c>
      <c r="E49">
        <f>SUMIF(DeadRaw!$B:$B,$A49,DeadRaw!H:H)</f>
        <v>0</v>
      </c>
      <c r="F49">
        <f>SUMIF(DeadRaw!$B:$B,$A49,DeadRaw!I:I)</f>
        <v>0</v>
      </c>
      <c r="G49">
        <f>SUMIF(DeadRaw!$B:$B,$A49,DeadRaw!J:J)</f>
        <v>0</v>
      </c>
      <c r="H49">
        <f>SUMIF(DeadRaw!$B:$B,$A49,DeadRaw!K:K)</f>
        <v>0</v>
      </c>
      <c r="I49">
        <f>SUMIF(DeadRaw!$B:$B,$A49,DeadRaw!L:L)</f>
        <v>0</v>
      </c>
      <c r="J49">
        <f>SUMIF(DeadRaw!$B:$B,$A49,DeadRaw!M:M)</f>
        <v>0</v>
      </c>
      <c r="K49">
        <f>SUMIF(DeadRaw!$B:$B,$A49,DeadRaw!N:N)</f>
        <v>0</v>
      </c>
      <c r="L49">
        <f>SUMIF(DeadRaw!$B:$B,$A49,DeadRaw!O:O)</f>
        <v>0</v>
      </c>
      <c r="M49">
        <f>SUMIF(DeadRaw!$B:$B,$A49,DeadRaw!P:P)</f>
        <v>0</v>
      </c>
      <c r="N49">
        <f>SUMIF(DeadRaw!$B:$B,$A49,DeadRaw!Q:Q)</f>
        <v>0</v>
      </c>
      <c r="O49">
        <f>SUMIF(DeadRaw!$B:$B,$A49,DeadRaw!R:R)</f>
        <v>0</v>
      </c>
      <c r="P49">
        <f>SUMIF(DeadRaw!$B:$B,$A49,DeadRaw!S:S)</f>
        <v>0</v>
      </c>
      <c r="Q49">
        <f>SUMIF(DeadRaw!$B:$B,$A49,DeadRaw!T:T)</f>
        <v>0</v>
      </c>
      <c r="R49">
        <f>SUMIF(DeadRaw!$B:$B,$A49,DeadRaw!U:U)</f>
        <v>0</v>
      </c>
      <c r="S49">
        <f>SUMIF(DeadRaw!$B:$B,$A49,DeadRaw!V:V)</f>
        <v>0</v>
      </c>
      <c r="T49">
        <f>SUMIF(DeadRaw!$B:$B,$A49,DeadRaw!W:W)</f>
        <v>0</v>
      </c>
      <c r="U49">
        <f>SUMIF(DeadRaw!$B:$B,$A49,DeadRaw!X:X)</f>
        <v>0</v>
      </c>
      <c r="V49">
        <f>SUMIF(DeadRaw!$B:$B,$A49,DeadRaw!Y:Y)</f>
        <v>0</v>
      </c>
      <c r="W49">
        <f>SUMIF(DeadRaw!$B:$B,$A49,DeadRaw!Z:Z)</f>
        <v>0</v>
      </c>
      <c r="X49">
        <f>SUMIF(DeadRaw!$B:$B,$A49,DeadRaw!AA:AA)</f>
        <v>0</v>
      </c>
      <c r="Y49">
        <f>SUMIF(DeadRaw!$B:$B,$A49,DeadRaw!AB:AB)</f>
        <v>0</v>
      </c>
      <c r="Z49">
        <f>SUMIF(DeadRaw!$B:$B,$A49,DeadRaw!AC:AC)</f>
        <v>0</v>
      </c>
      <c r="AA49">
        <f>SUMIF(DeadRaw!$B:$B,$A49,DeadRaw!AD:AD)</f>
        <v>1</v>
      </c>
      <c r="AB49">
        <f>SUMIF(DeadRaw!$B:$B,$A49,DeadRaw!AE:AE)</f>
        <v>1</v>
      </c>
      <c r="AC49">
        <f>SUMIF(DeadRaw!$B:$B,$A49,DeadRaw!AF:AF)</f>
        <v>1</v>
      </c>
      <c r="AD49">
        <f>SUMIF(DeadRaw!$B:$B,$A49,DeadRaw!AG:AG)</f>
        <v>1</v>
      </c>
      <c r="AE49">
        <f>SUMIF(DeadRaw!$B:$B,$A49,DeadRaw!AH:AH)</f>
        <v>1</v>
      </c>
      <c r="AF49">
        <f>SUMIF(DeadRaw!$B:$B,$A49,DeadRaw!AI:AI)</f>
        <v>1</v>
      </c>
      <c r="AG49">
        <f>SUMIF(DeadRaw!$B:$B,$A49,DeadRaw!AJ:AJ)</f>
        <v>1</v>
      </c>
      <c r="AH49">
        <f>SUMIF(DeadRaw!$B:$B,$A49,DeadRaw!AK:AK)</f>
        <v>1</v>
      </c>
      <c r="AI49">
        <f>SUMIF(DeadRaw!$B:$B,$A49,DeadRaw!AL:AL)</f>
        <v>1</v>
      </c>
      <c r="AJ49">
        <f>SUMIF(DeadRaw!$B:$B,$A49,DeadRaw!AM:AM)</f>
        <v>1</v>
      </c>
      <c r="AK49">
        <f>SUMIF(DeadRaw!$B:$B,$A49,DeadRaw!AN:AN)</f>
        <v>1</v>
      </c>
      <c r="AL49">
        <f>SUMIF(DeadRaw!$B:$B,$A49,DeadRaw!AO:AO)</f>
        <v>1</v>
      </c>
      <c r="AM49">
        <f>SUMIF(DeadRaw!$B:$B,$A49,DeadRaw!AP:AP)</f>
        <v>1</v>
      </c>
      <c r="AN49">
        <f>SUMIF(DeadRaw!$B:$B,$A49,DeadRaw!AQ:AQ)</f>
        <v>1</v>
      </c>
      <c r="AO49">
        <f>SUMIF(DeadRaw!$B:$B,$A49,DeadRaw!AR:AR)</f>
        <v>1</v>
      </c>
      <c r="AP49">
        <f>SUMIF(DeadRaw!$B:$B,$A49,DeadRaw!AS:AS)</f>
        <v>1</v>
      </c>
      <c r="AQ49">
        <f>SUMIF(DeadRaw!$B:$B,$A49,DeadRaw!AT:AT)</f>
        <v>1</v>
      </c>
      <c r="AR49">
        <f>SUMIF(DeadRaw!$B:$B,$A49,DeadRaw!AU:AU)</f>
        <v>1</v>
      </c>
      <c r="AS49">
        <f>SUMIF(DeadRaw!$B:$B,$A49,DeadRaw!AV:AV)</f>
        <v>1</v>
      </c>
      <c r="AT49">
        <f>SUMIF(DeadRaw!$B:$B,$A49,DeadRaw!AW:AW)</f>
        <v>1</v>
      </c>
      <c r="AU49">
        <f>SUMIF(DeadRaw!$B:$B,$A49,DeadRaw!AX:AX)</f>
        <v>1</v>
      </c>
      <c r="AV49">
        <f>SUMIF(DeadRaw!$B:$B,$A49,DeadRaw!AY:AY)</f>
        <v>1</v>
      </c>
      <c r="AW49">
        <f>SUMIF(DeadRaw!$B:$B,$A49,DeadRaw!AZ:AZ)</f>
        <v>1</v>
      </c>
      <c r="AX49">
        <f>SUMIF(DeadRaw!$B:$B,$A49,DeadRaw!BA:BA)</f>
        <v>1</v>
      </c>
      <c r="AY49">
        <f>SUMIF(DeadRaw!$B:$B,$A49,DeadRaw!BB:BB)</f>
        <v>1</v>
      </c>
      <c r="AZ49">
        <f>SUMIF(DeadRaw!$B:$B,$A49,DeadRaw!BC:BC)</f>
        <v>1</v>
      </c>
      <c r="BA49">
        <f>SUMIF(DeadRaw!$B:$B,$A49,DeadRaw!BD:BD)</f>
        <v>1</v>
      </c>
      <c r="BB49">
        <f>SUMIF(DeadRaw!$B:$B,$A49,DeadRaw!BE:BE)</f>
        <v>1</v>
      </c>
      <c r="BC49">
        <f>SUMIF(DeadRaw!$B:$B,$A49,DeadRaw!BF:BF)</f>
        <v>1</v>
      </c>
      <c r="BD49">
        <f>SUMIF(DeadRaw!$B:$B,$A49,DeadRaw!BG:BG)</f>
        <v>1</v>
      </c>
      <c r="BE49">
        <f>SUMIF(DeadRaw!$B:$B,$A49,DeadRaw!BH:BH)</f>
        <v>1</v>
      </c>
      <c r="BF49">
        <f>SUMIF(DeadRaw!$B:$B,$A49,DeadRaw!BI:BI)</f>
        <v>1</v>
      </c>
      <c r="BG49">
        <f>SUMIF(DeadRaw!$B:$B,$A49,DeadRaw!BJ:BJ)</f>
        <v>1</v>
      </c>
      <c r="BH49">
        <f>SUMIF(DeadRaw!$B:$B,$A49,DeadRaw!BK:BK)</f>
        <v>2</v>
      </c>
      <c r="BI49">
        <f>SUMIF(DeadRaw!$B:$B,$A49,DeadRaw!BL:BL)</f>
        <v>0</v>
      </c>
      <c r="BJ49">
        <f>SUMIF(DeadRaw!$B:$B,$A49,DeadRaw!BM:BM)</f>
        <v>0</v>
      </c>
      <c r="BK49">
        <f>SUMIF(DeadRaw!$B:$B,$A49,DeadRaw!BN:BN)</f>
        <v>0</v>
      </c>
      <c r="BL49">
        <f>SUMIF(DeadRaw!$B:$B,$A49,DeadRaw!BO:BO)</f>
        <v>0</v>
      </c>
      <c r="BM49">
        <f>SUMIF(DeadRaw!$B:$B,$A49,DeadRaw!BP:BP)</f>
        <v>0</v>
      </c>
      <c r="BN49">
        <f>SUMIF(DeadRaw!$B:$B,$A49,DeadRaw!BQ:BQ)</f>
        <v>0</v>
      </c>
      <c r="BO49">
        <f>SUMIF(DeadRaw!$B:$B,$A49,DeadRaw!BR:BR)</f>
        <v>0</v>
      </c>
      <c r="BP49">
        <f>SUMIF(DeadRaw!$B:$B,$A49,DeadRaw!BS:BS)</f>
        <v>0</v>
      </c>
      <c r="BQ49">
        <f>SUMIF(DeadRaw!$B:$B,$A49,DeadRaw!BT:BT)</f>
        <v>0</v>
      </c>
      <c r="BR49">
        <f>SUMIF(DeadRaw!$B:$B,$A49,DeadRaw!BU:BU)</f>
        <v>0</v>
      </c>
      <c r="BS49">
        <f>SUMIF(DeadRaw!$B:$B,$A49,DeadRaw!BV:BV)</f>
        <v>0</v>
      </c>
      <c r="BT49">
        <f>SUMIF(DeadRaw!$B:$B,$A49,DeadRaw!BW:BW)</f>
        <v>0</v>
      </c>
    </row>
    <row r="50" spans="1:72" ht="15" thickBot="1" x14ac:dyDescent="0.35">
      <c r="A50" s="4" t="s">
        <v>343</v>
      </c>
      <c r="B50">
        <f>SUMIF(DeadRaw!$B:$B,$A50,DeadRaw!E:E)</f>
        <v>0</v>
      </c>
      <c r="C50">
        <f>SUMIF(DeadRaw!$B:$B,$A50,DeadRaw!F:F)</f>
        <v>0</v>
      </c>
      <c r="D50">
        <f>SUMIF(DeadRaw!$B:$B,$A50,DeadRaw!G:G)</f>
        <v>0</v>
      </c>
      <c r="E50">
        <f>SUMIF(DeadRaw!$B:$B,$A50,DeadRaw!H:H)</f>
        <v>0</v>
      </c>
      <c r="F50">
        <f>SUMIF(DeadRaw!$B:$B,$A50,DeadRaw!I:I)</f>
        <v>0</v>
      </c>
      <c r="G50">
        <f>SUMIF(DeadRaw!$B:$B,$A50,DeadRaw!J:J)</f>
        <v>0</v>
      </c>
      <c r="H50">
        <f>SUMIF(DeadRaw!$B:$B,$A50,DeadRaw!K:K)</f>
        <v>0</v>
      </c>
      <c r="I50">
        <f>SUMIF(DeadRaw!$B:$B,$A50,DeadRaw!L:L)</f>
        <v>0</v>
      </c>
      <c r="J50">
        <f>SUMIF(DeadRaw!$B:$B,$A50,DeadRaw!M:M)</f>
        <v>0</v>
      </c>
      <c r="K50">
        <f>SUMIF(DeadRaw!$B:$B,$A50,DeadRaw!N:N)</f>
        <v>0</v>
      </c>
      <c r="L50">
        <f>SUMIF(DeadRaw!$B:$B,$A50,DeadRaw!O:O)</f>
        <v>0</v>
      </c>
      <c r="M50">
        <f>SUMIF(DeadRaw!$B:$B,$A50,DeadRaw!P:P)</f>
        <v>0</v>
      </c>
      <c r="N50">
        <f>SUMIF(DeadRaw!$B:$B,$A50,DeadRaw!Q:Q)</f>
        <v>0</v>
      </c>
      <c r="O50">
        <f>SUMIF(DeadRaw!$B:$B,$A50,DeadRaw!R:R)</f>
        <v>0</v>
      </c>
      <c r="P50">
        <f>SUMIF(DeadRaw!$B:$B,$A50,DeadRaw!S:S)</f>
        <v>0</v>
      </c>
      <c r="Q50">
        <f>SUMIF(DeadRaw!$B:$B,$A50,DeadRaw!T:T)</f>
        <v>0</v>
      </c>
      <c r="R50">
        <f>SUMIF(DeadRaw!$B:$B,$A50,DeadRaw!U:U)</f>
        <v>0</v>
      </c>
      <c r="S50">
        <f>SUMIF(DeadRaw!$B:$B,$A50,DeadRaw!V:V)</f>
        <v>0</v>
      </c>
      <c r="T50">
        <f>SUMIF(DeadRaw!$B:$B,$A50,DeadRaw!W:W)</f>
        <v>0</v>
      </c>
      <c r="U50">
        <f>SUMIF(DeadRaw!$B:$B,$A50,DeadRaw!X:X)</f>
        <v>0</v>
      </c>
      <c r="V50">
        <f>SUMIF(DeadRaw!$B:$B,$A50,DeadRaw!Y:Y)</f>
        <v>0</v>
      </c>
      <c r="W50">
        <f>SUMIF(DeadRaw!$B:$B,$A50,DeadRaw!Z:Z)</f>
        <v>0</v>
      </c>
      <c r="X50">
        <f>SUMIF(DeadRaw!$B:$B,$A50,DeadRaw!AA:AA)</f>
        <v>0</v>
      </c>
      <c r="Y50">
        <f>SUMIF(DeadRaw!$B:$B,$A50,DeadRaw!AB:AB)</f>
        <v>0</v>
      </c>
      <c r="Z50">
        <f>SUMIF(DeadRaw!$B:$B,$A50,DeadRaw!AC:AC)</f>
        <v>0</v>
      </c>
      <c r="AA50">
        <f>SUMIF(DeadRaw!$B:$B,$A50,DeadRaw!AD:AD)</f>
        <v>0</v>
      </c>
      <c r="AB50">
        <f>SUMIF(DeadRaw!$B:$B,$A50,DeadRaw!AE:AE)</f>
        <v>0</v>
      </c>
      <c r="AC50">
        <f>SUMIF(DeadRaw!$B:$B,$A50,DeadRaw!AF:AF)</f>
        <v>0</v>
      </c>
      <c r="AD50">
        <f>SUMIF(DeadRaw!$B:$B,$A50,DeadRaw!AG:AG)</f>
        <v>0</v>
      </c>
      <c r="AE50">
        <f>SUMIF(DeadRaw!$B:$B,$A50,DeadRaw!AH:AH)</f>
        <v>0</v>
      </c>
      <c r="AF50">
        <f>SUMIF(DeadRaw!$B:$B,$A50,DeadRaw!AI:AI)</f>
        <v>0</v>
      </c>
      <c r="AG50">
        <f>SUMIF(DeadRaw!$B:$B,$A50,DeadRaw!AJ:AJ)</f>
        <v>0</v>
      </c>
      <c r="AH50">
        <f>SUMIF(DeadRaw!$B:$B,$A50,DeadRaw!AK:AK)</f>
        <v>0</v>
      </c>
      <c r="AI50">
        <f>SUMIF(DeadRaw!$B:$B,$A50,DeadRaw!AL:AL)</f>
        <v>0</v>
      </c>
      <c r="AJ50">
        <f>SUMIF(DeadRaw!$B:$B,$A50,DeadRaw!AM:AM)</f>
        <v>0</v>
      </c>
      <c r="AK50">
        <f>SUMIF(DeadRaw!$B:$B,$A50,DeadRaw!AN:AN)</f>
        <v>0</v>
      </c>
      <c r="AL50">
        <f>SUMIF(DeadRaw!$B:$B,$A50,DeadRaw!AO:AO)</f>
        <v>0</v>
      </c>
      <c r="AM50">
        <f>SUMIF(DeadRaw!$B:$B,$A50,DeadRaw!AP:AP)</f>
        <v>0</v>
      </c>
      <c r="AN50">
        <f>SUMIF(DeadRaw!$B:$B,$A50,DeadRaw!AQ:AQ)</f>
        <v>0</v>
      </c>
      <c r="AO50">
        <f>SUMIF(DeadRaw!$B:$B,$A50,DeadRaw!AR:AR)</f>
        <v>0</v>
      </c>
      <c r="AP50">
        <f>SUMIF(DeadRaw!$B:$B,$A50,DeadRaw!AS:AS)</f>
        <v>0</v>
      </c>
      <c r="AQ50">
        <f>SUMIF(DeadRaw!$B:$B,$A50,DeadRaw!AT:AT)</f>
        <v>0</v>
      </c>
      <c r="AR50">
        <f>SUMIF(DeadRaw!$B:$B,$A50,DeadRaw!AU:AU)</f>
        <v>0</v>
      </c>
      <c r="AS50">
        <f>SUMIF(DeadRaw!$B:$B,$A50,DeadRaw!AV:AV)</f>
        <v>0</v>
      </c>
      <c r="AT50">
        <f>SUMIF(DeadRaw!$B:$B,$A50,DeadRaw!AW:AW)</f>
        <v>0</v>
      </c>
      <c r="AU50">
        <f>SUMIF(DeadRaw!$B:$B,$A50,DeadRaw!AX:AX)</f>
        <v>0</v>
      </c>
      <c r="AV50">
        <f>SUMIF(DeadRaw!$B:$B,$A50,DeadRaw!AY:AY)</f>
        <v>0</v>
      </c>
      <c r="AW50">
        <f>SUMIF(DeadRaw!$B:$B,$A50,DeadRaw!AZ:AZ)</f>
        <v>0</v>
      </c>
      <c r="AX50">
        <f>SUMIF(DeadRaw!$B:$B,$A50,DeadRaw!BA:BA)</f>
        <v>0</v>
      </c>
      <c r="AY50">
        <f>SUMIF(DeadRaw!$B:$B,$A50,DeadRaw!BB:BB)</f>
        <v>0</v>
      </c>
      <c r="AZ50">
        <f>SUMIF(DeadRaw!$B:$B,$A50,DeadRaw!BC:BC)</f>
        <v>0</v>
      </c>
      <c r="BA50">
        <f>SUMIF(DeadRaw!$B:$B,$A50,DeadRaw!BD:BD)</f>
        <v>0</v>
      </c>
      <c r="BB50">
        <f>SUMIF(DeadRaw!$B:$B,$A50,DeadRaw!BE:BE)</f>
        <v>0</v>
      </c>
      <c r="BC50">
        <f>SUMIF(DeadRaw!$B:$B,$A50,DeadRaw!BF:BF)</f>
        <v>0</v>
      </c>
      <c r="BD50">
        <f>SUMIF(DeadRaw!$B:$B,$A50,DeadRaw!BG:BG)</f>
        <v>0</v>
      </c>
      <c r="BE50">
        <f>SUMIF(DeadRaw!$B:$B,$A50,DeadRaw!BH:BH)</f>
        <v>0</v>
      </c>
      <c r="BF50">
        <f>SUMIF(DeadRaw!$B:$B,$A50,DeadRaw!BI:BI)</f>
        <v>0</v>
      </c>
      <c r="BG50">
        <f>SUMIF(DeadRaw!$B:$B,$A50,DeadRaw!BJ:BJ)</f>
        <v>0</v>
      </c>
      <c r="BH50">
        <f>SUMIF(DeadRaw!$B:$B,$A50,DeadRaw!BK:BK)</f>
        <v>0</v>
      </c>
      <c r="BI50">
        <f>SUMIF(DeadRaw!$B:$B,$A50,DeadRaw!BL:BL)</f>
        <v>0</v>
      </c>
      <c r="BJ50">
        <f>SUMIF(DeadRaw!$B:$B,$A50,DeadRaw!BM:BM)</f>
        <v>0</v>
      </c>
      <c r="BK50">
        <f>SUMIF(DeadRaw!$B:$B,$A50,DeadRaw!BN:BN)</f>
        <v>0</v>
      </c>
      <c r="BL50">
        <f>SUMIF(DeadRaw!$B:$B,$A50,DeadRaw!BO:BO)</f>
        <v>0</v>
      </c>
      <c r="BM50">
        <f>SUMIF(DeadRaw!$B:$B,$A50,DeadRaw!BP:BP)</f>
        <v>0</v>
      </c>
      <c r="BN50">
        <f>SUMIF(DeadRaw!$B:$B,$A50,DeadRaw!BQ:BQ)</f>
        <v>0</v>
      </c>
      <c r="BO50">
        <f>SUMIF(DeadRaw!$B:$B,$A50,DeadRaw!BR:BR)</f>
        <v>0</v>
      </c>
      <c r="BP50">
        <f>SUMIF(DeadRaw!$B:$B,$A50,DeadRaw!BS:BS)</f>
        <v>0</v>
      </c>
      <c r="BQ50">
        <f>SUMIF(DeadRaw!$B:$B,$A50,DeadRaw!BT:BT)</f>
        <v>0</v>
      </c>
      <c r="BR50">
        <f>SUMIF(DeadRaw!$B:$B,$A50,DeadRaw!BU:BU)</f>
        <v>0</v>
      </c>
      <c r="BS50">
        <f>SUMIF(DeadRaw!$B:$B,$A50,DeadRaw!BV:BV)</f>
        <v>0</v>
      </c>
      <c r="BT50">
        <f>SUMIF(DeadRaw!$B:$B,$A50,DeadRaw!BW:BW)</f>
        <v>0</v>
      </c>
    </row>
    <row r="51" spans="1:72" ht="15" thickBot="1" x14ac:dyDescent="0.35">
      <c r="A51" s="3" t="s">
        <v>344</v>
      </c>
      <c r="B51">
        <f>SUMIF(DeadRaw!$B:$B,$A51,DeadRaw!E:E)</f>
        <v>0</v>
      </c>
      <c r="C51">
        <f>SUMIF(DeadRaw!$B:$B,$A51,DeadRaw!F:F)</f>
        <v>0</v>
      </c>
      <c r="D51">
        <f>SUMIF(DeadRaw!$B:$B,$A51,DeadRaw!G:G)</f>
        <v>0</v>
      </c>
      <c r="E51">
        <f>SUMIF(DeadRaw!$B:$B,$A51,DeadRaw!H:H)</f>
        <v>0</v>
      </c>
      <c r="F51">
        <f>SUMIF(DeadRaw!$B:$B,$A51,DeadRaw!I:I)</f>
        <v>0</v>
      </c>
      <c r="G51">
        <f>SUMIF(DeadRaw!$B:$B,$A51,DeadRaw!J:J)</f>
        <v>0</v>
      </c>
      <c r="H51">
        <f>SUMIF(DeadRaw!$B:$B,$A51,DeadRaw!K:K)</f>
        <v>0</v>
      </c>
      <c r="I51">
        <f>SUMIF(DeadRaw!$B:$B,$A51,DeadRaw!L:L)</f>
        <v>0</v>
      </c>
      <c r="J51">
        <f>SUMIF(DeadRaw!$B:$B,$A51,DeadRaw!M:M)</f>
        <v>0</v>
      </c>
      <c r="K51">
        <f>SUMIF(DeadRaw!$B:$B,$A51,DeadRaw!N:N)</f>
        <v>0</v>
      </c>
      <c r="L51">
        <f>SUMIF(DeadRaw!$B:$B,$A51,DeadRaw!O:O)</f>
        <v>0</v>
      </c>
      <c r="M51">
        <f>SUMIF(DeadRaw!$B:$B,$A51,DeadRaw!P:P)</f>
        <v>0</v>
      </c>
      <c r="N51">
        <f>SUMIF(DeadRaw!$B:$B,$A51,DeadRaw!Q:Q)</f>
        <v>0</v>
      </c>
      <c r="O51">
        <f>SUMIF(DeadRaw!$B:$B,$A51,DeadRaw!R:R)</f>
        <v>0</v>
      </c>
      <c r="P51">
        <f>SUMIF(DeadRaw!$B:$B,$A51,DeadRaw!S:S)</f>
        <v>0</v>
      </c>
      <c r="Q51">
        <f>SUMIF(DeadRaw!$B:$B,$A51,DeadRaw!T:T)</f>
        <v>0</v>
      </c>
      <c r="R51">
        <f>SUMIF(DeadRaw!$B:$B,$A51,DeadRaw!U:U)</f>
        <v>0</v>
      </c>
      <c r="S51">
        <f>SUMIF(DeadRaw!$B:$B,$A51,DeadRaw!V:V)</f>
        <v>0</v>
      </c>
      <c r="T51">
        <f>SUMIF(DeadRaw!$B:$B,$A51,DeadRaw!W:W)</f>
        <v>0</v>
      </c>
      <c r="U51">
        <f>SUMIF(DeadRaw!$B:$B,$A51,DeadRaw!X:X)</f>
        <v>0</v>
      </c>
      <c r="V51">
        <f>SUMIF(DeadRaw!$B:$B,$A51,DeadRaw!Y:Y)</f>
        <v>0</v>
      </c>
      <c r="W51">
        <f>SUMIF(DeadRaw!$B:$B,$A51,DeadRaw!Z:Z)</f>
        <v>0</v>
      </c>
      <c r="X51">
        <f>SUMIF(DeadRaw!$B:$B,$A51,DeadRaw!AA:AA)</f>
        <v>0</v>
      </c>
      <c r="Y51">
        <f>SUMIF(DeadRaw!$B:$B,$A51,DeadRaw!AB:AB)</f>
        <v>0</v>
      </c>
      <c r="Z51">
        <f>SUMIF(DeadRaw!$B:$B,$A51,DeadRaw!AC:AC)</f>
        <v>0</v>
      </c>
      <c r="AA51">
        <f>SUMIF(DeadRaw!$B:$B,$A51,DeadRaw!AD:AD)</f>
        <v>0</v>
      </c>
      <c r="AB51">
        <f>SUMIF(DeadRaw!$B:$B,$A51,DeadRaw!AE:AE)</f>
        <v>0</v>
      </c>
      <c r="AC51">
        <f>SUMIF(DeadRaw!$B:$B,$A51,DeadRaw!AF:AF)</f>
        <v>0</v>
      </c>
      <c r="AD51">
        <f>SUMIF(DeadRaw!$B:$B,$A51,DeadRaw!AG:AG)</f>
        <v>0</v>
      </c>
      <c r="AE51">
        <f>SUMIF(DeadRaw!$B:$B,$A51,DeadRaw!AH:AH)</f>
        <v>0</v>
      </c>
      <c r="AF51">
        <f>SUMIF(DeadRaw!$B:$B,$A51,DeadRaw!AI:AI)</f>
        <v>0</v>
      </c>
      <c r="AG51">
        <f>SUMIF(DeadRaw!$B:$B,$A51,DeadRaw!AJ:AJ)</f>
        <v>0</v>
      </c>
      <c r="AH51">
        <f>SUMIF(DeadRaw!$B:$B,$A51,DeadRaw!AK:AK)</f>
        <v>0</v>
      </c>
      <c r="AI51">
        <f>SUMIF(DeadRaw!$B:$B,$A51,DeadRaw!AL:AL)</f>
        <v>0</v>
      </c>
      <c r="AJ51">
        <f>SUMIF(DeadRaw!$B:$B,$A51,DeadRaw!AM:AM)</f>
        <v>0</v>
      </c>
      <c r="AK51">
        <f>SUMIF(DeadRaw!$B:$B,$A51,DeadRaw!AN:AN)</f>
        <v>0</v>
      </c>
      <c r="AL51">
        <f>SUMIF(DeadRaw!$B:$B,$A51,DeadRaw!AO:AO)</f>
        <v>0</v>
      </c>
      <c r="AM51">
        <f>SUMIF(DeadRaw!$B:$B,$A51,DeadRaw!AP:AP)</f>
        <v>0</v>
      </c>
      <c r="AN51">
        <f>SUMIF(DeadRaw!$B:$B,$A51,DeadRaw!AQ:AQ)</f>
        <v>0</v>
      </c>
      <c r="AO51">
        <f>SUMIF(DeadRaw!$B:$B,$A51,DeadRaw!AR:AR)</f>
        <v>0</v>
      </c>
      <c r="AP51">
        <f>SUMIF(DeadRaw!$B:$B,$A51,DeadRaw!AS:AS)</f>
        <v>0</v>
      </c>
      <c r="AQ51">
        <f>SUMIF(DeadRaw!$B:$B,$A51,DeadRaw!AT:AT)</f>
        <v>0</v>
      </c>
      <c r="AR51">
        <f>SUMIF(DeadRaw!$B:$B,$A51,DeadRaw!AU:AU)</f>
        <v>0</v>
      </c>
      <c r="AS51">
        <f>SUMIF(DeadRaw!$B:$B,$A51,DeadRaw!AV:AV)</f>
        <v>0</v>
      </c>
      <c r="AT51">
        <f>SUMIF(DeadRaw!$B:$B,$A51,DeadRaw!AW:AW)</f>
        <v>0</v>
      </c>
      <c r="AU51">
        <f>SUMIF(DeadRaw!$B:$B,$A51,DeadRaw!AX:AX)</f>
        <v>0</v>
      </c>
      <c r="AV51">
        <f>SUMIF(DeadRaw!$B:$B,$A51,DeadRaw!AY:AY)</f>
        <v>0</v>
      </c>
      <c r="AW51">
        <f>SUMIF(DeadRaw!$B:$B,$A51,DeadRaw!AZ:AZ)</f>
        <v>0</v>
      </c>
      <c r="AX51">
        <f>SUMIF(DeadRaw!$B:$B,$A51,DeadRaw!BA:BA)</f>
        <v>0</v>
      </c>
      <c r="AY51">
        <f>SUMIF(DeadRaw!$B:$B,$A51,DeadRaw!BB:BB)</f>
        <v>0</v>
      </c>
      <c r="AZ51">
        <f>SUMIF(DeadRaw!$B:$B,$A51,DeadRaw!BC:BC)</f>
        <v>0</v>
      </c>
      <c r="BA51">
        <f>SUMIF(DeadRaw!$B:$B,$A51,DeadRaw!BD:BD)</f>
        <v>0</v>
      </c>
      <c r="BB51">
        <f>SUMIF(DeadRaw!$B:$B,$A51,DeadRaw!BE:BE)</f>
        <v>0</v>
      </c>
      <c r="BC51">
        <f>SUMIF(DeadRaw!$B:$B,$A51,DeadRaw!BF:BF)</f>
        <v>0</v>
      </c>
      <c r="BD51">
        <f>SUMIF(DeadRaw!$B:$B,$A51,DeadRaw!BG:BG)</f>
        <v>0</v>
      </c>
      <c r="BE51">
        <f>SUMIF(DeadRaw!$B:$B,$A51,DeadRaw!BH:BH)</f>
        <v>0</v>
      </c>
      <c r="BF51">
        <f>SUMIF(DeadRaw!$B:$B,$A51,DeadRaw!BI:BI)</f>
        <v>0</v>
      </c>
      <c r="BG51">
        <f>SUMIF(DeadRaw!$B:$B,$A51,DeadRaw!BJ:BJ)</f>
        <v>1</v>
      </c>
      <c r="BH51">
        <f>SUMIF(DeadRaw!$B:$B,$A51,DeadRaw!BK:BK)</f>
        <v>1</v>
      </c>
      <c r="BI51">
        <f>SUMIF(DeadRaw!$B:$B,$A51,DeadRaw!BL:BL)</f>
        <v>0</v>
      </c>
      <c r="BJ51">
        <f>SUMIF(DeadRaw!$B:$B,$A51,DeadRaw!BM:BM)</f>
        <v>0</v>
      </c>
      <c r="BK51">
        <f>SUMIF(DeadRaw!$B:$B,$A51,DeadRaw!BN:BN)</f>
        <v>0</v>
      </c>
      <c r="BL51">
        <f>SUMIF(DeadRaw!$B:$B,$A51,DeadRaw!BO:BO)</f>
        <v>0</v>
      </c>
      <c r="BM51">
        <f>SUMIF(DeadRaw!$B:$B,$A51,DeadRaw!BP:BP)</f>
        <v>0</v>
      </c>
      <c r="BN51">
        <f>SUMIF(DeadRaw!$B:$B,$A51,DeadRaw!BQ:BQ)</f>
        <v>0</v>
      </c>
      <c r="BO51">
        <f>SUMIF(DeadRaw!$B:$B,$A51,DeadRaw!BR:BR)</f>
        <v>0</v>
      </c>
      <c r="BP51">
        <f>SUMIF(DeadRaw!$B:$B,$A51,DeadRaw!BS:BS)</f>
        <v>0</v>
      </c>
      <c r="BQ51">
        <f>SUMIF(DeadRaw!$B:$B,$A51,DeadRaw!BT:BT)</f>
        <v>0</v>
      </c>
      <c r="BR51">
        <f>SUMIF(DeadRaw!$B:$B,$A51,DeadRaw!BU:BU)</f>
        <v>0</v>
      </c>
      <c r="BS51">
        <f>SUMIF(DeadRaw!$B:$B,$A51,DeadRaw!BV:BV)</f>
        <v>0</v>
      </c>
      <c r="BT51">
        <f>SUMIF(DeadRaw!$B:$B,$A51,DeadRaw!BW:BW)</f>
        <v>0</v>
      </c>
    </row>
    <row r="52" spans="1:72" ht="15" thickBot="1" x14ac:dyDescent="0.35">
      <c r="A52" s="3" t="s">
        <v>124</v>
      </c>
      <c r="B52">
        <f>SUMIF(DeadRaw!$B:$B,$A52,DeadRaw!E:E)</f>
        <v>0</v>
      </c>
      <c r="C52">
        <f>SUMIF(DeadRaw!$B:$B,$A52,DeadRaw!F:F)</f>
        <v>0</v>
      </c>
      <c r="D52">
        <f>SUMIF(DeadRaw!$B:$B,$A52,DeadRaw!G:G)</f>
        <v>0</v>
      </c>
      <c r="E52">
        <f>SUMIF(DeadRaw!$B:$B,$A52,DeadRaw!H:H)</f>
        <v>0</v>
      </c>
      <c r="F52">
        <f>SUMIF(DeadRaw!$B:$B,$A52,DeadRaw!I:I)</f>
        <v>0</v>
      </c>
      <c r="G52">
        <f>SUMIF(DeadRaw!$B:$B,$A52,DeadRaw!J:J)</f>
        <v>0</v>
      </c>
      <c r="H52">
        <f>SUMIF(DeadRaw!$B:$B,$A52,DeadRaw!K:K)</f>
        <v>0</v>
      </c>
      <c r="I52">
        <f>SUMIF(DeadRaw!$B:$B,$A52,DeadRaw!L:L)</f>
        <v>0</v>
      </c>
      <c r="J52">
        <f>SUMIF(DeadRaw!$B:$B,$A52,DeadRaw!M:M)</f>
        <v>0</v>
      </c>
      <c r="K52">
        <f>SUMIF(DeadRaw!$B:$B,$A52,DeadRaw!N:N)</f>
        <v>0</v>
      </c>
      <c r="L52">
        <f>SUMIF(DeadRaw!$B:$B,$A52,DeadRaw!O:O)</f>
        <v>0</v>
      </c>
      <c r="M52">
        <f>SUMIF(DeadRaw!$B:$B,$A52,DeadRaw!P:P)</f>
        <v>0</v>
      </c>
      <c r="N52">
        <f>SUMIF(DeadRaw!$B:$B,$A52,DeadRaw!Q:Q)</f>
        <v>0</v>
      </c>
      <c r="O52">
        <f>SUMIF(DeadRaw!$B:$B,$A52,DeadRaw!R:R)</f>
        <v>0</v>
      </c>
      <c r="P52">
        <f>SUMIF(DeadRaw!$B:$B,$A52,DeadRaw!S:S)</f>
        <v>0</v>
      </c>
      <c r="Q52">
        <f>SUMIF(DeadRaw!$B:$B,$A52,DeadRaw!T:T)</f>
        <v>0</v>
      </c>
      <c r="R52">
        <f>SUMIF(DeadRaw!$B:$B,$A52,DeadRaw!U:U)</f>
        <v>0</v>
      </c>
      <c r="S52">
        <f>SUMIF(DeadRaw!$B:$B,$A52,DeadRaw!V:V)</f>
        <v>0</v>
      </c>
      <c r="T52">
        <f>SUMIF(DeadRaw!$B:$B,$A52,DeadRaw!W:W)</f>
        <v>0</v>
      </c>
      <c r="U52">
        <f>SUMIF(DeadRaw!$B:$B,$A52,DeadRaw!X:X)</f>
        <v>0</v>
      </c>
      <c r="V52">
        <f>SUMIF(DeadRaw!$B:$B,$A52,DeadRaw!Y:Y)</f>
        <v>0</v>
      </c>
      <c r="W52">
        <f>SUMIF(DeadRaw!$B:$B,$A52,DeadRaw!Z:Z)</f>
        <v>0</v>
      </c>
      <c r="X52">
        <f>SUMIF(DeadRaw!$B:$B,$A52,DeadRaw!AA:AA)</f>
        <v>0</v>
      </c>
      <c r="Y52">
        <f>SUMIF(DeadRaw!$B:$B,$A52,DeadRaw!AB:AB)</f>
        <v>0</v>
      </c>
      <c r="Z52">
        <f>SUMIF(DeadRaw!$B:$B,$A52,DeadRaw!AC:AC)</f>
        <v>0</v>
      </c>
      <c r="AA52">
        <f>SUMIF(DeadRaw!$B:$B,$A52,DeadRaw!AD:AD)</f>
        <v>0</v>
      </c>
      <c r="AB52">
        <f>SUMIF(DeadRaw!$B:$B,$A52,DeadRaw!AE:AE)</f>
        <v>0</v>
      </c>
      <c r="AC52">
        <f>SUMIF(DeadRaw!$B:$B,$A52,DeadRaw!AF:AF)</f>
        <v>0</v>
      </c>
      <c r="AD52">
        <f>SUMIF(DeadRaw!$B:$B,$A52,DeadRaw!AG:AG)</f>
        <v>0</v>
      </c>
      <c r="AE52">
        <f>SUMIF(DeadRaw!$B:$B,$A52,DeadRaw!AH:AH)</f>
        <v>0</v>
      </c>
      <c r="AF52">
        <f>SUMIF(DeadRaw!$B:$B,$A52,DeadRaw!AI:AI)</f>
        <v>0</v>
      </c>
      <c r="AG52">
        <f>SUMIF(DeadRaw!$B:$B,$A52,DeadRaw!AJ:AJ)</f>
        <v>0</v>
      </c>
      <c r="AH52">
        <f>SUMIF(DeadRaw!$B:$B,$A52,DeadRaw!AK:AK)</f>
        <v>0</v>
      </c>
      <c r="AI52">
        <f>SUMIF(DeadRaw!$B:$B,$A52,DeadRaw!AL:AL)</f>
        <v>0</v>
      </c>
      <c r="AJ52">
        <f>SUMIF(DeadRaw!$B:$B,$A52,DeadRaw!AM:AM)</f>
        <v>0</v>
      </c>
      <c r="AK52">
        <f>SUMIF(DeadRaw!$B:$B,$A52,DeadRaw!AN:AN)</f>
        <v>0</v>
      </c>
      <c r="AL52">
        <f>SUMIF(DeadRaw!$B:$B,$A52,DeadRaw!AO:AO)</f>
        <v>0</v>
      </c>
      <c r="AM52">
        <f>SUMIF(DeadRaw!$B:$B,$A52,DeadRaw!AP:AP)</f>
        <v>0</v>
      </c>
      <c r="AN52">
        <f>SUMIF(DeadRaw!$B:$B,$A52,DeadRaw!AQ:AQ)</f>
        <v>0</v>
      </c>
      <c r="AO52">
        <f>SUMIF(DeadRaw!$B:$B,$A52,DeadRaw!AR:AR)</f>
        <v>0</v>
      </c>
      <c r="AP52">
        <f>SUMIF(DeadRaw!$B:$B,$A52,DeadRaw!AS:AS)</f>
        <v>0</v>
      </c>
      <c r="AQ52">
        <f>SUMIF(DeadRaw!$B:$B,$A52,DeadRaw!AT:AT)</f>
        <v>0</v>
      </c>
      <c r="AR52">
        <f>SUMIF(DeadRaw!$B:$B,$A52,DeadRaw!AU:AU)</f>
        <v>0</v>
      </c>
      <c r="AS52">
        <f>SUMIF(DeadRaw!$B:$B,$A52,DeadRaw!AV:AV)</f>
        <v>0</v>
      </c>
      <c r="AT52">
        <f>SUMIF(DeadRaw!$B:$B,$A52,DeadRaw!AW:AW)</f>
        <v>0</v>
      </c>
      <c r="AU52">
        <f>SUMIF(DeadRaw!$B:$B,$A52,DeadRaw!AX:AX)</f>
        <v>0</v>
      </c>
      <c r="AV52">
        <f>SUMIF(DeadRaw!$B:$B,$A52,DeadRaw!AY:AY)</f>
        <v>0</v>
      </c>
      <c r="AW52">
        <f>SUMIF(DeadRaw!$B:$B,$A52,DeadRaw!AZ:AZ)</f>
        <v>0</v>
      </c>
      <c r="AX52">
        <f>SUMIF(DeadRaw!$B:$B,$A52,DeadRaw!BA:BA)</f>
        <v>0</v>
      </c>
      <c r="AY52">
        <f>SUMIF(DeadRaw!$B:$B,$A52,DeadRaw!BB:BB)</f>
        <v>0</v>
      </c>
      <c r="AZ52">
        <f>SUMIF(DeadRaw!$B:$B,$A52,DeadRaw!BC:BC)</f>
        <v>0</v>
      </c>
      <c r="BA52">
        <f>SUMIF(DeadRaw!$B:$B,$A52,DeadRaw!BD:BD)</f>
        <v>0</v>
      </c>
      <c r="BB52">
        <f>SUMIF(DeadRaw!$B:$B,$A52,DeadRaw!BE:BE)</f>
        <v>0</v>
      </c>
      <c r="BC52">
        <f>SUMIF(DeadRaw!$B:$B,$A52,DeadRaw!BF:BF)</f>
        <v>0</v>
      </c>
      <c r="BD52">
        <f>SUMIF(DeadRaw!$B:$B,$A52,DeadRaw!BG:BG)</f>
        <v>0</v>
      </c>
      <c r="BE52">
        <f>SUMIF(DeadRaw!$B:$B,$A52,DeadRaw!BH:BH)</f>
        <v>0</v>
      </c>
      <c r="BF52">
        <f>SUMIF(DeadRaw!$B:$B,$A52,DeadRaw!BI:BI)</f>
        <v>0</v>
      </c>
      <c r="BG52">
        <f>SUMIF(DeadRaw!$B:$B,$A52,DeadRaw!BJ:BJ)</f>
        <v>0</v>
      </c>
      <c r="BH52">
        <f>SUMIF(DeadRaw!$B:$B,$A52,DeadRaw!BK:BK)</f>
        <v>0</v>
      </c>
      <c r="BI52">
        <f>SUMIF(DeadRaw!$B:$B,$A52,DeadRaw!BL:BL)</f>
        <v>0</v>
      </c>
      <c r="BJ52">
        <f>SUMIF(DeadRaw!$B:$B,$A52,DeadRaw!BM:BM)</f>
        <v>0</v>
      </c>
      <c r="BK52">
        <f>SUMIF(DeadRaw!$B:$B,$A52,DeadRaw!BN:BN)</f>
        <v>0</v>
      </c>
      <c r="BL52">
        <f>SUMIF(DeadRaw!$B:$B,$A52,DeadRaw!BO:BO)</f>
        <v>0</v>
      </c>
      <c r="BM52">
        <f>SUMIF(DeadRaw!$B:$B,$A52,DeadRaw!BP:BP)</f>
        <v>0</v>
      </c>
      <c r="BN52">
        <f>SUMIF(DeadRaw!$B:$B,$A52,DeadRaw!BQ:BQ)</f>
        <v>0</v>
      </c>
      <c r="BO52">
        <f>SUMIF(DeadRaw!$B:$B,$A52,DeadRaw!BR:BR)</f>
        <v>0</v>
      </c>
      <c r="BP52">
        <f>SUMIF(DeadRaw!$B:$B,$A52,DeadRaw!BS:BS)</f>
        <v>0</v>
      </c>
      <c r="BQ52">
        <f>SUMIF(DeadRaw!$B:$B,$A52,DeadRaw!BT:BT)</f>
        <v>0</v>
      </c>
      <c r="BR52">
        <f>SUMIF(DeadRaw!$B:$B,$A52,DeadRaw!BU:BU)</f>
        <v>0</v>
      </c>
      <c r="BS52">
        <f>SUMIF(DeadRaw!$B:$B,$A52,DeadRaw!BV:BV)</f>
        <v>0</v>
      </c>
      <c r="BT52">
        <f>SUMIF(DeadRaw!$B:$B,$A52,DeadRaw!BW:BW)</f>
        <v>0</v>
      </c>
    </row>
    <row r="53" spans="1:72" ht="15" thickBot="1" x14ac:dyDescent="0.35">
      <c r="A53" s="4" t="s">
        <v>233</v>
      </c>
      <c r="B53">
        <f>SUMIF(DeadRaw!$B:$B,$A53,DeadRaw!E:E)</f>
        <v>0</v>
      </c>
      <c r="C53">
        <f>SUMIF(DeadRaw!$B:$B,$A53,DeadRaw!F:F)</f>
        <v>0</v>
      </c>
      <c r="D53">
        <f>SUMIF(DeadRaw!$B:$B,$A53,DeadRaw!G:G)</f>
        <v>0</v>
      </c>
      <c r="E53">
        <f>SUMIF(DeadRaw!$B:$B,$A53,DeadRaw!H:H)</f>
        <v>0</v>
      </c>
      <c r="F53">
        <f>SUMIF(DeadRaw!$B:$B,$A53,DeadRaw!I:I)</f>
        <v>0</v>
      </c>
      <c r="G53">
        <f>SUMIF(DeadRaw!$B:$B,$A53,DeadRaw!J:J)</f>
        <v>0</v>
      </c>
      <c r="H53">
        <f>SUMIF(DeadRaw!$B:$B,$A53,DeadRaw!K:K)</f>
        <v>0</v>
      </c>
      <c r="I53">
        <f>SUMIF(DeadRaw!$B:$B,$A53,DeadRaw!L:L)</f>
        <v>0</v>
      </c>
      <c r="J53">
        <f>SUMIF(DeadRaw!$B:$B,$A53,DeadRaw!M:M)</f>
        <v>0</v>
      </c>
      <c r="K53">
        <f>SUMIF(DeadRaw!$B:$B,$A53,DeadRaw!N:N)</f>
        <v>0</v>
      </c>
      <c r="L53">
        <f>SUMIF(DeadRaw!$B:$B,$A53,DeadRaw!O:O)</f>
        <v>0</v>
      </c>
      <c r="M53">
        <f>SUMIF(DeadRaw!$B:$B,$A53,DeadRaw!P:P)</f>
        <v>0</v>
      </c>
      <c r="N53">
        <f>SUMIF(DeadRaw!$B:$B,$A53,DeadRaw!Q:Q)</f>
        <v>0</v>
      </c>
      <c r="O53">
        <f>SUMIF(DeadRaw!$B:$B,$A53,DeadRaw!R:R)</f>
        <v>0</v>
      </c>
      <c r="P53">
        <f>SUMIF(DeadRaw!$B:$B,$A53,DeadRaw!S:S)</f>
        <v>0</v>
      </c>
      <c r="Q53">
        <f>SUMIF(DeadRaw!$B:$B,$A53,DeadRaw!T:T)</f>
        <v>0</v>
      </c>
      <c r="R53">
        <f>SUMIF(DeadRaw!$B:$B,$A53,DeadRaw!U:U)</f>
        <v>0</v>
      </c>
      <c r="S53">
        <f>SUMIF(DeadRaw!$B:$B,$A53,DeadRaw!V:V)</f>
        <v>0</v>
      </c>
      <c r="T53">
        <f>SUMIF(DeadRaw!$B:$B,$A53,DeadRaw!W:W)</f>
        <v>0</v>
      </c>
      <c r="U53">
        <f>SUMIF(DeadRaw!$B:$B,$A53,DeadRaw!X:X)</f>
        <v>0</v>
      </c>
      <c r="V53">
        <f>SUMIF(DeadRaw!$B:$B,$A53,DeadRaw!Y:Y)</f>
        <v>0</v>
      </c>
      <c r="W53">
        <f>SUMIF(DeadRaw!$B:$B,$A53,DeadRaw!Z:Z)</f>
        <v>0</v>
      </c>
      <c r="X53">
        <f>SUMIF(DeadRaw!$B:$B,$A53,DeadRaw!AA:AA)</f>
        <v>0</v>
      </c>
      <c r="Y53">
        <f>SUMIF(DeadRaw!$B:$B,$A53,DeadRaw!AB:AB)</f>
        <v>0</v>
      </c>
      <c r="Z53">
        <f>SUMIF(DeadRaw!$B:$B,$A53,DeadRaw!AC:AC)</f>
        <v>0</v>
      </c>
      <c r="AA53">
        <f>SUMIF(DeadRaw!$B:$B,$A53,DeadRaw!AD:AD)</f>
        <v>0</v>
      </c>
      <c r="AB53">
        <f>SUMIF(DeadRaw!$B:$B,$A53,DeadRaw!AE:AE)</f>
        <v>0</v>
      </c>
      <c r="AC53">
        <f>SUMIF(DeadRaw!$B:$B,$A53,DeadRaw!AF:AF)</f>
        <v>0</v>
      </c>
      <c r="AD53">
        <f>SUMIF(DeadRaw!$B:$B,$A53,DeadRaw!AG:AG)</f>
        <v>0</v>
      </c>
      <c r="AE53">
        <f>SUMIF(DeadRaw!$B:$B,$A53,DeadRaw!AH:AH)</f>
        <v>0</v>
      </c>
      <c r="AF53">
        <f>SUMIF(DeadRaw!$B:$B,$A53,DeadRaw!AI:AI)</f>
        <v>0</v>
      </c>
      <c r="AG53">
        <f>SUMIF(DeadRaw!$B:$B,$A53,DeadRaw!AJ:AJ)</f>
        <v>0</v>
      </c>
      <c r="AH53">
        <f>SUMIF(DeadRaw!$B:$B,$A53,DeadRaw!AK:AK)</f>
        <v>0</v>
      </c>
      <c r="AI53">
        <f>SUMIF(DeadRaw!$B:$B,$A53,DeadRaw!AL:AL)</f>
        <v>0</v>
      </c>
      <c r="AJ53">
        <f>SUMIF(DeadRaw!$B:$B,$A53,DeadRaw!AM:AM)</f>
        <v>0</v>
      </c>
      <c r="AK53">
        <f>SUMIF(DeadRaw!$B:$B,$A53,DeadRaw!AN:AN)</f>
        <v>0</v>
      </c>
      <c r="AL53">
        <f>SUMIF(DeadRaw!$B:$B,$A53,DeadRaw!AO:AO)</f>
        <v>0</v>
      </c>
      <c r="AM53">
        <f>SUMIF(DeadRaw!$B:$B,$A53,DeadRaw!AP:AP)</f>
        <v>0</v>
      </c>
      <c r="AN53">
        <f>SUMIF(DeadRaw!$B:$B,$A53,DeadRaw!AQ:AQ)</f>
        <v>0</v>
      </c>
      <c r="AO53">
        <f>SUMIF(DeadRaw!$B:$B,$A53,DeadRaw!AR:AR)</f>
        <v>0</v>
      </c>
      <c r="AP53">
        <f>SUMIF(DeadRaw!$B:$B,$A53,DeadRaw!AS:AS)</f>
        <v>0</v>
      </c>
      <c r="AQ53">
        <f>SUMIF(DeadRaw!$B:$B,$A53,DeadRaw!AT:AT)</f>
        <v>0</v>
      </c>
      <c r="AR53">
        <f>SUMIF(DeadRaw!$B:$B,$A53,DeadRaw!AU:AU)</f>
        <v>0</v>
      </c>
      <c r="AS53">
        <f>SUMIF(DeadRaw!$B:$B,$A53,DeadRaw!AV:AV)</f>
        <v>0</v>
      </c>
      <c r="AT53">
        <f>SUMIF(DeadRaw!$B:$B,$A53,DeadRaw!AW:AW)</f>
        <v>0</v>
      </c>
      <c r="AU53">
        <f>SUMIF(DeadRaw!$B:$B,$A53,DeadRaw!AX:AX)</f>
        <v>0</v>
      </c>
      <c r="AV53">
        <f>SUMIF(DeadRaw!$B:$B,$A53,DeadRaw!AY:AY)</f>
        <v>0</v>
      </c>
      <c r="AW53">
        <f>SUMIF(DeadRaw!$B:$B,$A53,DeadRaw!AZ:AZ)</f>
        <v>0</v>
      </c>
      <c r="AX53">
        <f>SUMIF(DeadRaw!$B:$B,$A53,DeadRaw!BA:BA)</f>
        <v>0</v>
      </c>
      <c r="AY53">
        <f>SUMIF(DeadRaw!$B:$B,$A53,DeadRaw!BB:BB)</f>
        <v>0</v>
      </c>
      <c r="AZ53">
        <f>SUMIF(DeadRaw!$B:$B,$A53,DeadRaw!BC:BC)</f>
        <v>0</v>
      </c>
      <c r="BA53">
        <f>SUMIF(DeadRaw!$B:$B,$A53,DeadRaw!BD:BD)</f>
        <v>0</v>
      </c>
      <c r="BB53">
        <f>SUMIF(DeadRaw!$B:$B,$A53,DeadRaw!BE:BE)</f>
        <v>0</v>
      </c>
      <c r="BC53">
        <f>SUMIF(DeadRaw!$B:$B,$A53,DeadRaw!BF:BF)</f>
        <v>0</v>
      </c>
      <c r="BD53">
        <f>SUMIF(DeadRaw!$B:$B,$A53,DeadRaw!BG:BG)</f>
        <v>0</v>
      </c>
      <c r="BE53">
        <f>SUMIF(DeadRaw!$B:$B,$A53,DeadRaw!BH:BH)</f>
        <v>0</v>
      </c>
      <c r="BF53">
        <f>SUMIF(DeadRaw!$B:$B,$A53,DeadRaw!BI:BI)</f>
        <v>0</v>
      </c>
      <c r="BG53">
        <f>SUMIF(DeadRaw!$B:$B,$A53,DeadRaw!BJ:BJ)</f>
        <v>0</v>
      </c>
      <c r="BH53">
        <f>SUMIF(DeadRaw!$B:$B,$A53,DeadRaw!BK:BK)</f>
        <v>0</v>
      </c>
      <c r="BI53">
        <f>SUMIF(DeadRaw!$B:$B,$A53,DeadRaw!BL:BL)</f>
        <v>0</v>
      </c>
      <c r="BJ53">
        <f>SUMIF(DeadRaw!$B:$B,$A53,DeadRaw!BM:BM)</f>
        <v>0</v>
      </c>
      <c r="BK53">
        <f>SUMIF(DeadRaw!$B:$B,$A53,DeadRaw!BN:BN)</f>
        <v>0</v>
      </c>
      <c r="BL53">
        <f>SUMIF(DeadRaw!$B:$B,$A53,DeadRaw!BO:BO)</f>
        <v>0</v>
      </c>
      <c r="BM53">
        <f>SUMIF(DeadRaw!$B:$B,$A53,DeadRaw!BP:BP)</f>
        <v>0</v>
      </c>
      <c r="BN53">
        <f>SUMIF(DeadRaw!$B:$B,$A53,DeadRaw!BQ:BQ)</f>
        <v>0</v>
      </c>
      <c r="BO53">
        <f>SUMIF(DeadRaw!$B:$B,$A53,DeadRaw!BR:BR)</f>
        <v>0</v>
      </c>
      <c r="BP53">
        <f>SUMIF(DeadRaw!$B:$B,$A53,DeadRaw!BS:BS)</f>
        <v>0</v>
      </c>
      <c r="BQ53">
        <f>SUMIF(DeadRaw!$B:$B,$A53,DeadRaw!BT:BT)</f>
        <v>0</v>
      </c>
      <c r="BR53">
        <f>SUMIF(DeadRaw!$B:$B,$A53,DeadRaw!BU:BU)</f>
        <v>0</v>
      </c>
      <c r="BS53">
        <f>SUMIF(DeadRaw!$B:$B,$A53,DeadRaw!BV:BV)</f>
        <v>0</v>
      </c>
      <c r="BT53">
        <f>SUMIF(DeadRaw!$B:$B,$A53,DeadRaw!BW:BW)</f>
        <v>0</v>
      </c>
    </row>
    <row r="54" spans="1:72" ht="15" thickBot="1" x14ac:dyDescent="0.35">
      <c r="A54" s="3" t="s">
        <v>161</v>
      </c>
      <c r="B54">
        <f>SUMIF(DeadRaw!$B:$B,$A54,DeadRaw!E:E)</f>
        <v>0</v>
      </c>
      <c r="C54">
        <f>SUMIF(DeadRaw!$B:$B,$A54,DeadRaw!F:F)</f>
        <v>0</v>
      </c>
      <c r="D54">
        <f>SUMIF(DeadRaw!$B:$B,$A54,DeadRaw!G:G)</f>
        <v>0</v>
      </c>
      <c r="E54">
        <f>SUMIF(DeadRaw!$B:$B,$A54,DeadRaw!H:H)</f>
        <v>0</v>
      </c>
      <c r="F54">
        <f>SUMIF(DeadRaw!$B:$B,$A54,DeadRaw!I:I)</f>
        <v>0</v>
      </c>
      <c r="G54">
        <f>SUMIF(DeadRaw!$B:$B,$A54,DeadRaw!J:J)</f>
        <v>0</v>
      </c>
      <c r="H54">
        <f>SUMIF(DeadRaw!$B:$B,$A54,DeadRaw!K:K)</f>
        <v>0</v>
      </c>
      <c r="I54">
        <f>SUMIF(DeadRaw!$B:$B,$A54,DeadRaw!L:L)</f>
        <v>0</v>
      </c>
      <c r="J54">
        <f>SUMIF(DeadRaw!$B:$B,$A54,DeadRaw!M:M)</f>
        <v>0</v>
      </c>
      <c r="K54">
        <f>SUMIF(DeadRaw!$B:$B,$A54,DeadRaw!N:N)</f>
        <v>0</v>
      </c>
      <c r="L54">
        <f>SUMIF(DeadRaw!$B:$B,$A54,DeadRaw!O:O)</f>
        <v>0</v>
      </c>
      <c r="M54">
        <f>SUMIF(DeadRaw!$B:$B,$A54,DeadRaw!P:P)</f>
        <v>0</v>
      </c>
      <c r="N54">
        <f>SUMIF(DeadRaw!$B:$B,$A54,DeadRaw!Q:Q)</f>
        <v>0</v>
      </c>
      <c r="O54">
        <f>SUMIF(DeadRaw!$B:$B,$A54,DeadRaw!R:R)</f>
        <v>0</v>
      </c>
      <c r="P54">
        <f>SUMIF(DeadRaw!$B:$B,$A54,DeadRaw!S:S)</f>
        <v>0</v>
      </c>
      <c r="Q54">
        <f>SUMIF(DeadRaw!$B:$B,$A54,DeadRaw!T:T)</f>
        <v>0</v>
      </c>
      <c r="R54">
        <f>SUMIF(DeadRaw!$B:$B,$A54,DeadRaw!U:U)</f>
        <v>0</v>
      </c>
      <c r="S54">
        <f>SUMIF(DeadRaw!$B:$B,$A54,DeadRaw!V:V)</f>
        <v>0</v>
      </c>
      <c r="T54">
        <f>SUMIF(DeadRaw!$B:$B,$A54,DeadRaw!W:W)</f>
        <v>0</v>
      </c>
      <c r="U54">
        <f>SUMIF(DeadRaw!$B:$B,$A54,DeadRaw!X:X)</f>
        <v>0</v>
      </c>
      <c r="V54">
        <f>SUMIF(DeadRaw!$B:$B,$A54,DeadRaw!Y:Y)</f>
        <v>0</v>
      </c>
      <c r="W54">
        <f>SUMIF(DeadRaw!$B:$B,$A54,DeadRaw!Z:Z)</f>
        <v>0</v>
      </c>
      <c r="X54">
        <f>SUMIF(DeadRaw!$B:$B,$A54,DeadRaw!AA:AA)</f>
        <v>0</v>
      </c>
      <c r="Y54">
        <f>SUMIF(DeadRaw!$B:$B,$A54,DeadRaw!AB:AB)</f>
        <v>0</v>
      </c>
      <c r="Z54">
        <f>SUMIF(DeadRaw!$B:$B,$A54,DeadRaw!AC:AC)</f>
        <v>0</v>
      </c>
      <c r="AA54">
        <f>SUMIF(DeadRaw!$B:$B,$A54,DeadRaw!AD:AD)</f>
        <v>0</v>
      </c>
      <c r="AB54">
        <f>SUMIF(DeadRaw!$B:$B,$A54,DeadRaw!AE:AE)</f>
        <v>0</v>
      </c>
      <c r="AC54">
        <f>SUMIF(DeadRaw!$B:$B,$A54,DeadRaw!AF:AF)</f>
        <v>0</v>
      </c>
      <c r="AD54">
        <f>SUMIF(DeadRaw!$B:$B,$A54,DeadRaw!AG:AG)</f>
        <v>0</v>
      </c>
      <c r="AE54">
        <f>SUMIF(DeadRaw!$B:$B,$A54,DeadRaw!AH:AH)</f>
        <v>0</v>
      </c>
      <c r="AF54">
        <f>SUMIF(DeadRaw!$B:$B,$A54,DeadRaw!AI:AI)</f>
        <v>0</v>
      </c>
      <c r="AG54">
        <f>SUMIF(DeadRaw!$B:$B,$A54,DeadRaw!AJ:AJ)</f>
        <v>0</v>
      </c>
      <c r="AH54">
        <f>SUMIF(DeadRaw!$B:$B,$A54,DeadRaw!AK:AK)</f>
        <v>0</v>
      </c>
      <c r="AI54">
        <f>SUMIF(DeadRaw!$B:$B,$A54,DeadRaw!AL:AL)</f>
        <v>0</v>
      </c>
      <c r="AJ54">
        <f>SUMIF(DeadRaw!$B:$B,$A54,DeadRaw!AM:AM)</f>
        <v>0</v>
      </c>
      <c r="AK54">
        <f>SUMIF(DeadRaw!$B:$B,$A54,DeadRaw!AN:AN)</f>
        <v>0</v>
      </c>
      <c r="AL54">
        <f>SUMIF(DeadRaw!$B:$B,$A54,DeadRaw!AO:AO)</f>
        <v>0</v>
      </c>
      <c r="AM54">
        <f>SUMIF(DeadRaw!$B:$B,$A54,DeadRaw!AP:AP)</f>
        <v>0</v>
      </c>
      <c r="AN54">
        <f>SUMIF(DeadRaw!$B:$B,$A54,DeadRaw!AQ:AQ)</f>
        <v>0</v>
      </c>
      <c r="AO54">
        <f>SUMIF(DeadRaw!$B:$B,$A54,DeadRaw!AR:AR)</f>
        <v>0</v>
      </c>
      <c r="AP54">
        <f>SUMIF(DeadRaw!$B:$B,$A54,DeadRaw!AS:AS)</f>
        <v>0</v>
      </c>
      <c r="AQ54">
        <f>SUMIF(DeadRaw!$B:$B,$A54,DeadRaw!AT:AT)</f>
        <v>0</v>
      </c>
      <c r="AR54">
        <f>SUMIF(DeadRaw!$B:$B,$A54,DeadRaw!AU:AU)</f>
        <v>0</v>
      </c>
      <c r="AS54">
        <f>SUMIF(DeadRaw!$B:$B,$A54,DeadRaw!AV:AV)</f>
        <v>0</v>
      </c>
      <c r="AT54">
        <f>SUMIF(DeadRaw!$B:$B,$A54,DeadRaw!AW:AW)</f>
        <v>0</v>
      </c>
      <c r="AU54">
        <f>SUMIF(DeadRaw!$B:$B,$A54,DeadRaw!AX:AX)</f>
        <v>0</v>
      </c>
      <c r="AV54">
        <f>SUMIF(DeadRaw!$B:$B,$A54,DeadRaw!AY:AY)</f>
        <v>0</v>
      </c>
      <c r="AW54">
        <f>SUMIF(DeadRaw!$B:$B,$A54,DeadRaw!AZ:AZ)</f>
        <v>0</v>
      </c>
      <c r="AX54">
        <f>SUMIF(DeadRaw!$B:$B,$A54,DeadRaw!BA:BA)</f>
        <v>0</v>
      </c>
      <c r="AY54">
        <f>SUMIF(DeadRaw!$B:$B,$A54,DeadRaw!BB:BB)</f>
        <v>0</v>
      </c>
      <c r="AZ54">
        <f>SUMIF(DeadRaw!$B:$B,$A54,DeadRaw!BC:BC)</f>
        <v>0</v>
      </c>
      <c r="BA54">
        <f>SUMIF(DeadRaw!$B:$B,$A54,DeadRaw!BD:BD)</f>
        <v>0</v>
      </c>
      <c r="BB54">
        <f>SUMIF(DeadRaw!$B:$B,$A54,DeadRaw!BE:BE)</f>
        <v>0</v>
      </c>
      <c r="BC54">
        <f>SUMIF(DeadRaw!$B:$B,$A54,DeadRaw!BF:BF)</f>
        <v>0</v>
      </c>
      <c r="BD54">
        <f>SUMIF(DeadRaw!$B:$B,$A54,DeadRaw!BG:BG)</f>
        <v>0</v>
      </c>
      <c r="BE54">
        <f>SUMIF(DeadRaw!$B:$B,$A54,DeadRaw!BH:BH)</f>
        <v>0</v>
      </c>
      <c r="BF54">
        <f>SUMIF(DeadRaw!$B:$B,$A54,DeadRaw!BI:BI)</f>
        <v>0</v>
      </c>
      <c r="BG54">
        <f>SUMIF(DeadRaw!$B:$B,$A54,DeadRaw!BJ:BJ)</f>
        <v>0</v>
      </c>
      <c r="BH54">
        <f>SUMIF(DeadRaw!$B:$B,$A54,DeadRaw!BK:BK)</f>
        <v>1</v>
      </c>
      <c r="BI54">
        <f>SUMIF(DeadRaw!$B:$B,$A54,DeadRaw!BL:BL)</f>
        <v>0</v>
      </c>
      <c r="BJ54">
        <f>SUMIF(DeadRaw!$B:$B,$A54,DeadRaw!BM:BM)</f>
        <v>0</v>
      </c>
      <c r="BK54">
        <f>SUMIF(DeadRaw!$B:$B,$A54,DeadRaw!BN:BN)</f>
        <v>0</v>
      </c>
      <c r="BL54">
        <f>SUMIF(DeadRaw!$B:$B,$A54,DeadRaw!BO:BO)</f>
        <v>0</v>
      </c>
      <c r="BM54">
        <f>SUMIF(DeadRaw!$B:$B,$A54,DeadRaw!BP:BP)</f>
        <v>0</v>
      </c>
      <c r="BN54">
        <f>SUMIF(DeadRaw!$B:$B,$A54,DeadRaw!BQ:BQ)</f>
        <v>0</v>
      </c>
      <c r="BO54">
        <f>SUMIF(DeadRaw!$B:$B,$A54,DeadRaw!BR:BR)</f>
        <v>0</v>
      </c>
      <c r="BP54">
        <f>SUMIF(DeadRaw!$B:$B,$A54,DeadRaw!BS:BS)</f>
        <v>0</v>
      </c>
      <c r="BQ54">
        <f>SUMIF(DeadRaw!$B:$B,$A54,DeadRaw!BT:BT)</f>
        <v>0</v>
      </c>
      <c r="BR54">
        <f>SUMIF(DeadRaw!$B:$B,$A54,DeadRaw!BU:BU)</f>
        <v>0</v>
      </c>
      <c r="BS54">
        <f>SUMIF(DeadRaw!$B:$B,$A54,DeadRaw!BV:BV)</f>
        <v>0</v>
      </c>
      <c r="BT54">
        <f>SUMIF(DeadRaw!$B:$B,$A54,DeadRaw!BW:BW)</f>
        <v>0</v>
      </c>
    </row>
    <row r="55" spans="1:72" ht="15" thickBot="1" x14ac:dyDescent="0.35">
      <c r="A55" s="3" t="s">
        <v>99</v>
      </c>
      <c r="B55">
        <f>SUMIF(DeadRaw!$B:$B,$A55,DeadRaw!E:E)</f>
        <v>0</v>
      </c>
      <c r="C55">
        <f>SUMIF(DeadRaw!$B:$B,$A55,DeadRaw!F:F)</f>
        <v>0</v>
      </c>
      <c r="D55">
        <f>SUMIF(DeadRaw!$B:$B,$A55,DeadRaw!G:G)</f>
        <v>0</v>
      </c>
      <c r="E55">
        <f>SUMIF(DeadRaw!$B:$B,$A55,DeadRaw!H:H)</f>
        <v>0</v>
      </c>
      <c r="F55">
        <f>SUMIF(DeadRaw!$B:$B,$A55,DeadRaw!I:I)</f>
        <v>0</v>
      </c>
      <c r="G55">
        <f>SUMIF(DeadRaw!$B:$B,$A55,DeadRaw!J:J)</f>
        <v>0</v>
      </c>
      <c r="H55">
        <f>SUMIF(DeadRaw!$B:$B,$A55,DeadRaw!K:K)</f>
        <v>0</v>
      </c>
      <c r="I55">
        <f>SUMIF(DeadRaw!$B:$B,$A55,DeadRaw!L:L)</f>
        <v>0</v>
      </c>
      <c r="J55">
        <f>SUMIF(DeadRaw!$B:$B,$A55,DeadRaw!M:M)</f>
        <v>0</v>
      </c>
      <c r="K55">
        <f>SUMIF(DeadRaw!$B:$B,$A55,DeadRaw!N:N)</f>
        <v>0</v>
      </c>
      <c r="L55">
        <f>SUMIF(DeadRaw!$B:$B,$A55,DeadRaw!O:O)</f>
        <v>0</v>
      </c>
      <c r="M55">
        <f>SUMIF(DeadRaw!$B:$B,$A55,DeadRaw!P:P)</f>
        <v>0</v>
      </c>
      <c r="N55">
        <f>SUMIF(DeadRaw!$B:$B,$A55,DeadRaw!Q:Q)</f>
        <v>0</v>
      </c>
      <c r="O55">
        <f>SUMIF(DeadRaw!$B:$B,$A55,DeadRaw!R:R)</f>
        <v>0</v>
      </c>
      <c r="P55">
        <f>SUMIF(DeadRaw!$B:$B,$A55,DeadRaw!S:S)</f>
        <v>0</v>
      </c>
      <c r="Q55">
        <f>SUMIF(DeadRaw!$B:$B,$A55,DeadRaw!T:T)</f>
        <v>0</v>
      </c>
      <c r="R55">
        <f>SUMIF(DeadRaw!$B:$B,$A55,DeadRaw!U:U)</f>
        <v>0</v>
      </c>
      <c r="S55">
        <f>SUMIF(DeadRaw!$B:$B,$A55,DeadRaw!V:V)</f>
        <v>0</v>
      </c>
      <c r="T55">
        <f>SUMIF(DeadRaw!$B:$B,$A55,DeadRaw!W:W)</f>
        <v>0</v>
      </c>
      <c r="U55">
        <f>SUMIF(DeadRaw!$B:$B,$A55,DeadRaw!X:X)</f>
        <v>0</v>
      </c>
      <c r="V55">
        <f>SUMIF(DeadRaw!$B:$B,$A55,DeadRaw!Y:Y)</f>
        <v>0</v>
      </c>
      <c r="W55">
        <f>SUMIF(DeadRaw!$B:$B,$A55,DeadRaw!Z:Z)</f>
        <v>0</v>
      </c>
      <c r="X55">
        <f>SUMIF(DeadRaw!$B:$B,$A55,DeadRaw!AA:AA)</f>
        <v>0</v>
      </c>
      <c r="Y55">
        <f>SUMIF(DeadRaw!$B:$B,$A55,DeadRaw!AB:AB)</f>
        <v>0</v>
      </c>
      <c r="Z55">
        <f>SUMIF(DeadRaw!$B:$B,$A55,DeadRaw!AC:AC)</f>
        <v>0</v>
      </c>
      <c r="AA55">
        <f>SUMIF(DeadRaw!$B:$B,$A55,DeadRaw!AD:AD)</f>
        <v>0</v>
      </c>
      <c r="AB55">
        <f>SUMIF(DeadRaw!$B:$B,$A55,DeadRaw!AE:AE)</f>
        <v>0</v>
      </c>
      <c r="AC55">
        <f>SUMIF(DeadRaw!$B:$B,$A55,DeadRaw!AF:AF)</f>
        <v>0</v>
      </c>
      <c r="AD55">
        <f>SUMIF(DeadRaw!$B:$B,$A55,DeadRaw!AG:AG)</f>
        <v>0</v>
      </c>
      <c r="AE55">
        <f>SUMIF(DeadRaw!$B:$B,$A55,DeadRaw!AH:AH)</f>
        <v>0</v>
      </c>
      <c r="AF55">
        <f>SUMIF(DeadRaw!$B:$B,$A55,DeadRaw!AI:AI)</f>
        <v>0</v>
      </c>
      <c r="AG55">
        <f>SUMIF(DeadRaw!$B:$B,$A55,DeadRaw!AJ:AJ)</f>
        <v>0</v>
      </c>
      <c r="AH55">
        <f>SUMIF(DeadRaw!$B:$B,$A55,DeadRaw!AK:AK)</f>
        <v>0</v>
      </c>
      <c r="AI55">
        <f>SUMIF(DeadRaw!$B:$B,$A55,DeadRaw!AL:AL)</f>
        <v>0</v>
      </c>
      <c r="AJ55">
        <f>SUMIF(DeadRaw!$B:$B,$A55,DeadRaw!AM:AM)</f>
        <v>0</v>
      </c>
      <c r="AK55">
        <f>SUMIF(DeadRaw!$B:$B,$A55,DeadRaw!AN:AN)</f>
        <v>0</v>
      </c>
      <c r="AL55">
        <f>SUMIF(DeadRaw!$B:$B,$A55,DeadRaw!AO:AO)</f>
        <v>0</v>
      </c>
      <c r="AM55">
        <f>SUMIF(DeadRaw!$B:$B,$A55,DeadRaw!AP:AP)</f>
        <v>0</v>
      </c>
      <c r="AN55">
        <f>SUMIF(DeadRaw!$B:$B,$A55,DeadRaw!AQ:AQ)</f>
        <v>0</v>
      </c>
      <c r="AO55">
        <f>SUMIF(DeadRaw!$B:$B,$A55,DeadRaw!AR:AR)</f>
        <v>0</v>
      </c>
      <c r="AP55">
        <f>SUMIF(DeadRaw!$B:$B,$A55,DeadRaw!AS:AS)</f>
        <v>0</v>
      </c>
      <c r="AQ55">
        <f>SUMIF(DeadRaw!$B:$B,$A55,DeadRaw!AT:AT)</f>
        <v>0</v>
      </c>
      <c r="AR55">
        <f>SUMIF(DeadRaw!$B:$B,$A55,DeadRaw!AU:AU)</f>
        <v>0</v>
      </c>
      <c r="AS55">
        <f>SUMIF(DeadRaw!$B:$B,$A55,DeadRaw!AV:AV)</f>
        <v>0</v>
      </c>
      <c r="AT55">
        <f>SUMIF(DeadRaw!$B:$B,$A55,DeadRaw!AW:AW)</f>
        <v>0</v>
      </c>
      <c r="AU55">
        <f>SUMIF(DeadRaw!$B:$B,$A55,DeadRaw!AX:AX)</f>
        <v>0</v>
      </c>
      <c r="AV55">
        <f>SUMIF(DeadRaw!$B:$B,$A55,DeadRaw!AY:AY)</f>
        <v>0</v>
      </c>
      <c r="AW55">
        <f>SUMIF(DeadRaw!$B:$B,$A55,DeadRaw!AZ:AZ)</f>
        <v>0</v>
      </c>
      <c r="AX55">
        <f>SUMIF(DeadRaw!$B:$B,$A55,DeadRaw!BA:BA)</f>
        <v>0</v>
      </c>
      <c r="AY55">
        <f>SUMIF(DeadRaw!$B:$B,$A55,DeadRaw!BB:BB)</f>
        <v>0</v>
      </c>
      <c r="AZ55">
        <f>SUMIF(DeadRaw!$B:$B,$A55,DeadRaw!BC:BC)</f>
        <v>0</v>
      </c>
      <c r="BA55">
        <f>SUMIF(DeadRaw!$B:$B,$A55,DeadRaw!BD:BD)</f>
        <v>0</v>
      </c>
      <c r="BB55">
        <f>SUMIF(DeadRaw!$B:$B,$A55,DeadRaw!BE:BE)</f>
        <v>1</v>
      </c>
      <c r="BC55">
        <f>SUMIF(DeadRaw!$B:$B,$A55,DeadRaw!BF:BF)</f>
        <v>1</v>
      </c>
      <c r="BD55">
        <f>SUMIF(DeadRaw!$B:$B,$A55,DeadRaw!BG:BG)</f>
        <v>1</v>
      </c>
      <c r="BE55">
        <f>SUMIF(DeadRaw!$B:$B,$A55,DeadRaw!BH:BH)</f>
        <v>1</v>
      </c>
      <c r="BF55">
        <f>SUMIF(DeadRaw!$B:$B,$A55,DeadRaw!BI:BI)</f>
        <v>2</v>
      </c>
      <c r="BG55">
        <f>SUMIF(DeadRaw!$B:$B,$A55,DeadRaw!BJ:BJ)</f>
        <v>4</v>
      </c>
      <c r="BH55">
        <f>SUMIF(DeadRaw!$B:$B,$A55,DeadRaw!BK:BK)</f>
        <v>4</v>
      </c>
      <c r="BI55">
        <f>SUMIF(DeadRaw!$B:$B,$A55,DeadRaw!BL:BL)</f>
        <v>0</v>
      </c>
      <c r="BJ55">
        <f>SUMIF(DeadRaw!$B:$B,$A55,DeadRaw!BM:BM)</f>
        <v>0</v>
      </c>
      <c r="BK55">
        <f>SUMIF(DeadRaw!$B:$B,$A55,DeadRaw!BN:BN)</f>
        <v>0</v>
      </c>
      <c r="BL55">
        <f>SUMIF(DeadRaw!$B:$B,$A55,DeadRaw!BO:BO)</f>
        <v>0</v>
      </c>
      <c r="BM55">
        <f>SUMIF(DeadRaw!$B:$B,$A55,DeadRaw!BP:BP)</f>
        <v>0</v>
      </c>
      <c r="BN55">
        <f>SUMIF(DeadRaw!$B:$B,$A55,DeadRaw!BQ:BQ)</f>
        <v>0</v>
      </c>
      <c r="BO55">
        <f>SUMIF(DeadRaw!$B:$B,$A55,DeadRaw!BR:BR)</f>
        <v>0</v>
      </c>
      <c r="BP55">
        <f>SUMIF(DeadRaw!$B:$B,$A55,DeadRaw!BS:BS)</f>
        <v>0</v>
      </c>
      <c r="BQ55">
        <f>SUMIF(DeadRaw!$B:$B,$A55,DeadRaw!BT:BT)</f>
        <v>0</v>
      </c>
      <c r="BR55">
        <f>SUMIF(DeadRaw!$B:$B,$A55,DeadRaw!BU:BU)</f>
        <v>0</v>
      </c>
      <c r="BS55">
        <f>SUMIF(DeadRaw!$B:$B,$A55,DeadRaw!BV:BV)</f>
        <v>0</v>
      </c>
      <c r="BT55">
        <f>SUMIF(DeadRaw!$B:$B,$A55,DeadRaw!BW:BW)</f>
        <v>0</v>
      </c>
    </row>
    <row r="56" spans="1:72" ht="15" thickBot="1" x14ac:dyDescent="0.35">
      <c r="A56" s="4" t="s">
        <v>230</v>
      </c>
      <c r="B56">
        <f>SUMIF(DeadRaw!$B:$B,$A56,DeadRaw!E:E)</f>
        <v>0</v>
      </c>
      <c r="C56">
        <f>SUMIF(DeadRaw!$B:$B,$A56,DeadRaw!F:F)</f>
        <v>0</v>
      </c>
      <c r="D56">
        <f>SUMIF(DeadRaw!$B:$B,$A56,DeadRaw!G:G)</f>
        <v>0</v>
      </c>
      <c r="E56">
        <f>SUMIF(DeadRaw!$B:$B,$A56,DeadRaw!H:H)</f>
        <v>0</v>
      </c>
      <c r="F56">
        <f>SUMIF(DeadRaw!$B:$B,$A56,DeadRaw!I:I)</f>
        <v>0</v>
      </c>
      <c r="G56">
        <f>SUMIF(DeadRaw!$B:$B,$A56,DeadRaw!J:J)</f>
        <v>0</v>
      </c>
      <c r="H56">
        <f>SUMIF(DeadRaw!$B:$B,$A56,DeadRaw!K:K)</f>
        <v>0</v>
      </c>
      <c r="I56">
        <f>SUMIF(DeadRaw!$B:$B,$A56,DeadRaw!L:L)</f>
        <v>0</v>
      </c>
      <c r="J56">
        <f>SUMIF(DeadRaw!$B:$B,$A56,DeadRaw!M:M)</f>
        <v>0</v>
      </c>
      <c r="K56">
        <f>SUMIF(DeadRaw!$B:$B,$A56,DeadRaw!N:N)</f>
        <v>0</v>
      </c>
      <c r="L56">
        <f>SUMIF(DeadRaw!$B:$B,$A56,DeadRaw!O:O)</f>
        <v>0</v>
      </c>
      <c r="M56">
        <f>SUMIF(DeadRaw!$B:$B,$A56,DeadRaw!P:P)</f>
        <v>0</v>
      </c>
      <c r="N56">
        <f>SUMIF(DeadRaw!$B:$B,$A56,DeadRaw!Q:Q)</f>
        <v>0</v>
      </c>
      <c r="O56">
        <f>SUMIF(DeadRaw!$B:$B,$A56,DeadRaw!R:R)</f>
        <v>0</v>
      </c>
      <c r="P56">
        <f>SUMIF(DeadRaw!$B:$B,$A56,DeadRaw!S:S)</f>
        <v>0</v>
      </c>
      <c r="Q56">
        <f>SUMIF(DeadRaw!$B:$B,$A56,DeadRaw!T:T)</f>
        <v>0</v>
      </c>
      <c r="R56">
        <f>SUMIF(DeadRaw!$B:$B,$A56,DeadRaw!U:U)</f>
        <v>0</v>
      </c>
      <c r="S56">
        <f>SUMIF(DeadRaw!$B:$B,$A56,DeadRaw!V:V)</f>
        <v>0</v>
      </c>
      <c r="T56">
        <f>SUMIF(DeadRaw!$B:$B,$A56,DeadRaw!W:W)</f>
        <v>0</v>
      </c>
      <c r="U56">
        <f>SUMIF(DeadRaw!$B:$B,$A56,DeadRaw!X:X)</f>
        <v>0</v>
      </c>
      <c r="V56">
        <f>SUMIF(DeadRaw!$B:$B,$A56,DeadRaw!Y:Y)</f>
        <v>0</v>
      </c>
      <c r="W56">
        <f>SUMIF(DeadRaw!$B:$B,$A56,DeadRaw!Z:Z)</f>
        <v>0</v>
      </c>
      <c r="X56">
        <f>SUMIF(DeadRaw!$B:$B,$A56,DeadRaw!AA:AA)</f>
        <v>0</v>
      </c>
      <c r="Y56">
        <f>SUMIF(DeadRaw!$B:$B,$A56,DeadRaw!AB:AB)</f>
        <v>0</v>
      </c>
      <c r="Z56">
        <f>SUMIF(DeadRaw!$B:$B,$A56,DeadRaw!AC:AC)</f>
        <v>0</v>
      </c>
      <c r="AA56">
        <f>SUMIF(DeadRaw!$B:$B,$A56,DeadRaw!AD:AD)</f>
        <v>0</v>
      </c>
      <c r="AB56">
        <f>SUMIF(DeadRaw!$B:$B,$A56,DeadRaw!AE:AE)</f>
        <v>0</v>
      </c>
      <c r="AC56">
        <f>SUMIF(DeadRaw!$B:$B,$A56,DeadRaw!AF:AF)</f>
        <v>0</v>
      </c>
      <c r="AD56">
        <f>SUMIF(DeadRaw!$B:$B,$A56,DeadRaw!AG:AG)</f>
        <v>0</v>
      </c>
      <c r="AE56">
        <f>SUMIF(DeadRaw!$B:$B,$A56,DeadRaw!AH:AH)</f>
        <v>0</v>
      </c>
      <c r="AF56">
        <f>SUMIF(DeadRaw!$B:$B,$A56,DeadRaw!AI:AI)</f>
        <v>0</v>
      </c>
      <c r="AG56">
        <f>SUMIF(DeadRaw!$B:$B,$A56,DeadRaw!AJ:AJ)</f>
        <v>0</v>
      </c>
      <c r="AH56">
        <f>SUMIF(DeadRaw!$B:$B,$A56,DeadRaw!AK:AK)</f>
        <v>0</v>
      </c>
      <c r="AI56">
        <f>SUMIF(DeadRaw!$B:$B,$A56,DeadRaw!AL:AL)</f>
        <v>0</v>
      </c>
      <c r="AJ56">
        <f>SUMIF(DeadRaw!$B:$B,$A56,DeadRaw!AM:AM)</f>
        <v>0</v>
      </c>
      <c r="AK56">
        <f>SUMIF(DeadRaw!$B:$B,$A56,DeadRaw!AN:AN)</f>
        <v>0</v>
      </c>
      <c r="AL56">
        <f>SUMIF(DeadRaw!$B:$B,$A56,DeadRaw!AO:AO)</f>
        <v>0</v>
      </c>
      <c r="AM56">
        <f>SUMIF(DeadRaw!$B:$B,$A56,DeadRaw!AP:AP)</f>
        <v>0</v>
      </c>
      <c r="AN56">
        <f>SUMIF(DeadRaw!$B:$B,$A56,DeadRaw!AQ:AQ)</f>
        <v>0</v>
      </c>
      <c r="AO56">
        <f>SUMIF(DeadRaw!$B:$B,$A56,DeadRaw!AR:AR)</f>
        <v>0</v>
      </c>
      <c r="AP56">
        <f>SUMIF(DeadRaw!$B:$B,$A56,DeadRaw!AS:AS)</f>
        <v>0</v>
      </c>
      <c r="AQ56">
        <f>SUMIF(DeadRaw!$B:$B,$A56,DeadRaw!AT:AT)</f>
        <v>0</v>
      </c>
      <c r="AR56">
        <f>SUMIF(DeadRaw!$B:$B,$A56,DeadRaw!AU:AU)</f>
        <v>0</v>
      </c>
      <c r="AS56">
        <f>SUMIF(DeadRaw!$B:$B,$A56,DeadRaw!AV:AV)</f>
        <v>0</v>
      </c>
      <c r="AT56">
        <f>SUMIF(DeadRaw!$B:$B,$A56,DeadRaw!AW:AW)</f>
        <v>0</v>
      </c>
      <c r="AU56">
        <f>SUMIF(DeadRaw!$B:$B,$A56,DeadRaw!AX:AX)</f>
        <v>0</v>
      </c>
      <c r="AV56">
        <f>SUMIF(DeadRaw!$B:$B,$A56,DeadRaw!AY:AY)</f>
        <v>0</v>
      </c>
      <c r="AW56">
        <f>SUMIF(DeadRaw!$B:$B,$A56,DeadRaw!AZ:AZ)</f>
        <v>0</v>
      </c>
      <c r="AX56">
        <f>SUMIF(DeadRaw!$B:$B,$A56,DeadRaw!BA:BA)</f>
        <v>0</v>
      </c>
      <c r="AY56">
        <f>SUMIF(DeadRaw!$B:$B,$A56,DeadRaw!BB:BB)</f>
        <v>1</v>
      </c>
      <c r="AZ56">
        <f>SUMIF(DeadRaw!$B:$B,$A56,DeadRaw!BC:BC)</f>
        <v>1</v>
      </c>
      <c r="BA56">
        <f>SUMIF(DeadRaw!$B:$B,$A56,DeadRaw!BD:BD)</f>
        <v>1</v>
      </c>
      <c r="BB56">
        <f>SUMIF(DeadRaw!$B:$B,$A56,DeadRaw!BE:BE)</f>
        <v>1</v>
      </c>
      <c r="BC56">
        <f>SUMIF(DeadRaw!$B:$B,$A56,DeadRaw!BF:BF)</f>
        <v>1</v>
      </c>
      <c r="BD56">
        <f>SUMIF(DeadRaw!$B:$B,$A56,DeadRaw!BG:BG)</f>
        <v>1</v>
      </c>
      <c r="BE56">
        <f>SUMIF(DeadRaw!$B:$B,$A56,DeadRaw!BH:BH)</f>
        <v>1</v>
      </c>
      <c r="BF56">
        <f>SUMIF(DeadRaw!$B:$B,$A56,DeadRaw!BI:BI)</f>
        <v>2</v>
      </c>
      <c r="BG56">
        <f>SUMIF(DeadRaw!$B:$B,$A56,DeadRaw!BJ:BJ)</f>
        <v>2</v>
      </c>
      <c r="BH56">
        <f>SUMIF(DeadRaw!$B:$B,$A56,DeadRaw!BK:BK)</f>
        <v>2</v>
      </c>
      <c r="BI56">
        <f>SUMIF(DeadRaw!$B:$B,$A56,DeadRaw!BL:BL)</f>
        <v>0</v>
      </c>
      <c r="BJ56">
        <f>SUMIF(DeadRaw!$B:$B,$A56,DeadRaw!BM:BM)</f>
        <v>0</v>
      </c>
      <c r="BK56">
        <f>SUMIF(DeadRaw!$B:$B,$A56,DeadRaw!BN:BN)</f>
        <v>0</v>
      </c>
      <c r="BL56">
        <f>SUMIF(DeadRaw!$B:$B,$A56,DeadRaw!BO:BO)</f>
        <v>0</v>
      </c>
      <c r="BM56">
        <f>SUMIF(DeadRaw!$B:$B,$A56,DeadRaw!BP:BP)</f>
        <v>0</v>
      </c>
      <c r="BN56">
        <f>SUMIF(DeadRaw!$B:$B,$A56,DeadRaw!BQ:BQ)</f>
        <v>0</v>
      </c>
      <c r="BO56">
        <f>SUMIF(DeadRaw!$B:$B,$A56,DeadRaw!BR:BR)</f>
        <v>0</v>
      </c>
      <c r="BP56">
        <f>SUMIF(DeadRaw!$B:$B,$A56,DeadRaw!BS:BS)</f>
        <v>0</v>
      </c>
      <c r="BQ56">
        <f>SUMIF(DeadRaw!$B:$B,$A56,DeadRaw!BT:BT)</f>
        <v>0</v>
      </c>
      <c r="BR56">
        <f>SUMIF(DeadRaw!$B:$B,$A56,DeadRaw!BU:BU)</f>
        <v>0</v>
      </c>
      <c r="BS56">
        <f>SUMIF(DeadRaw!$B:$B,$A56,DeadRaw!BV:BV)</f>
        <v>0</v>
      </c>
      <c r="BT56">
        <f>SUMIF(DeadRaw!$B:$B,$A56,DeadRaw!BW:BW)</f>
        <v>0</v>
      </c>
    </row>
    <row r="57" spans="1:72" ht="15" thickBot="1" x14ac:dyDescent="0.35">
      <c r="A57" s="3" t="s">
        <v>76</v>
      </c>
      <c r="B57">
        <f>SUMIF(DeadRaw!$B:$B,$A57,DeadRaw!E:E)</f>
        <v>0</v>
      </c>
      <c r="C57">
        <f>SUMIF(DeadRaw!$B:$B,$A57,DeadRaw!F:F)</f>
        <v>0</v>
      </c>
      <c r="D57">
        <f>SUMIF(DeadRaw!$B:$B,$A57,DeadRaw!G:G)</f>
        <v>0</v>
      </c>
      <c r="E57">
        <f>SUMIF(DeadRaw!$B:$B,$A57,DeadRaw!H:H)</f>
        <v>0</v>
      </c>
      <c r="F57">
        <f>SUMIF(DeadRaw!$B:$B,$A57,DeadRaw!I:I)</f>
        <v>0</v>
      </c>
      <c r="G57">
        <f>SUMIF(DeadRaw!$B:$B,$A57,DeadRaw!J:J)</f>
        <v>0</v>
      </c>
      <c r="H57">
        <f>SUMIF(DeadRaw!$B:$B,$A57,DeadRaw!K:K)</f>
        <v>0</v>
      </c>
      <c r="I57">
        <f>SUMIF(DeadRaw!$B:$B,$A57,DeadRaw!L:L)</f>
        <v>0</v>
      </c>
      <c r="J57">
        <f>SUMIF(DeadRaw!$B:$B,$A57,DeadRaw!M:M)</f>
        <v>0</v>
      </c>
      <c r="K57">
        <f>SUMIF(DeadRaw!$B:$B,$A57,DeadRaw!N:N)</f>
        <v>0</v>
      </c>
      <c r="L57">
        <f>SUMIF(DeadRaw!$B:$B,$A57,DeadRaw!O:O)</f>
        <v>0</v>
      </c>
      <c r="M57">
        <f>SUMIF(DeadRaw!$B:$B,$A57,DeadRaw!P:P)</f>
        <v>0</v>
      </c>
      <c r="N57">
        <f>SUMIF(DeadRaw!$B:$B,$A57,DeadRaw!Q:Q)</f>
        <v>0</v>
      </c>
      <c r="O57">
        <f>SUMIF(DeadRaw!$B:$B,$A57,DeadRaw!R:R)</f>
        <v>0</v>
      </c>
      <c r="P57">
        <f>SUMIF(DeadRaw!$B:$B,$A57,DeadRaw!S:S)</f>
        <v>0</v>
      </c>
      <c r="Q57">
        <f>SUMIF(DeadRaw!$B:$B,$A57,DeadRaw!T:T)</f>
        <v>0</v>
      </c>
      <c r="R57">
        <f>SUMIF(DeadRaw!$B:$B,$A57,DeadRaw!U:U)</f>
        <v>0</v>
      </c>
      <c r="S57">
        <f>SUMIF(DeadRaw!$B:$B,$A57,DeadRaw!V:V)</f>
        <v>0</v>
      </c>
      <c r="T57">
        <f>SUMIF(DeadRaw!$B:$B,$A57,DeadRaw!W:W)</f>
        <v>0</v>
      </c>
      <c r="U57">
        <f>SUMIF(DeadRaw!$B:$B,$A57,DeadRaw!X:X)</f>
        <v>0</v>
      </c>
      <c r="V57">
        <f>SUMIF(DeadRaw!$B:$B,$A57,DeadRaw!Y:Y)</f>
        <v>0</v>
      </c>
      <c r="W57">
        <f>SUMIF(DeadRaw!$B:$B,$A57,DeadRaw!Z:Z)</f>
        <v>0</v>
      </c>
      <c r="X57">
        <f>SUMIF(DeadRaw!$B:$B,$A57,DeadRaw!AA:AA)</f>
        <v>0</v>
      </c>
      <c r="Y57">
        <f>SUMIF(DeadRaw!$B:$B,$A57,DeadRaw!AB:AB)</f>
        <v>0</v>
      </c>
      <c r="Z57">
        <f>SUMIF(DeadRaw!$B:$B,$A57,DeadRaw!AC:AC)</f>
        <v>0</v>
      </c>
      <c r="AA57">
        <f>SUMIF(DeadRaw!$B:$B,$A57,DeadRaw!AD:AD)</f>
        <v>0</v>
      </c>
      <c r="AB57">
        <f>SUMIF(DeadRaw!$B:$B,$A57,DeadRaw!AE:AE)</f>
        <v>0</v>
      </c>
      <c r="AC57">
        <f>SUMIF(DeadRaw!$B:$B,$A57,DeadRaw!AF:AF)</f>
        <v>0</v>
      </c>
      <c r="AD57">
        <f>SUMIF(DeadRaw!$B:$B,$A57,DeadRaw!AG:AG)</f>
        <v>0</v>
      </c>
      <c r="AE57">
        <f>SUMIF(DeadRaw!$B:$B,$A57,DeadRaw!AH:AH)</f>
        <v>0</v>
      </c>
      <c r="AF57">
        <f>SUMIF(DeadRaw!$B:$B,$A57,DeadRaw!AI:AI)</f>
        <v>0</v>
      </c>
      <c r="AG57">
        <f>SUMIF(DeadRaw!$B:$B,$A57,DeadRaw!AJ:AJ)</f>
        <v>0</v>
      </c>
      <c r="AH57">
        <f>SUMIF(DeadRaw!$B:$B,$A57,DeadRaw!AK:AK)</f>
        <v>0</v>
      </c>
      <c r="AI57">
        <f>SUMIF(DeadRaw!$B:$B,$A57,DeadRaw!AL:AL)</f>
        <v>0</v>
      </c>
      <c r="AJ57">
        <f>SUMIF(DeadRaw!$B:$B,$A57,DeadRaw!AM:AM)</f>
        <v>0</v>
      </c>
      <c r="AK57">
        <f>SUMIF(DeadRaw!$B:$B,$A57,DeadRaw!AN:AN)</f>
        <v>0</v>
      </c>
      <c r="AL57">
        <f>SUMIF(DeadRaw!$B:$B,$A57,DeadRaw!AO:AO)</f>
        <v>0</v>
      </c>
      <c r="AM57">
        <f>SUMIF(DeadRaw!$B:$B,$A57,DeadRaw!AP:AP)</f>
        <v>0</v>
      </c>
      <c r="AN57">
        <f>SUMIF(DeadRaw!$B:$B,$A57,DeadRaw!AQ:AQ)</f>
        <v>0</v>
      </c>
      <c r="AO57">
        <f>SUMIF(DeadRaw!$B:$B,$A57,DeadRaw!AR:AR)</f>
        <v>0</v>
      </c>
      <c r="AP57">
        <f>SUMIF(DeadRaw!$B:$B,$A57,DeadRaw!AS:AS)</f>
        <v>0</v>
      </c>
      <c r="AQ57">
        <f>SUMIF(DeadRaw!$B:$B,$A57,DeadRaw!AT:AT)</f>
        <v>0</v>
      </c>
      <c r="AR57">
        <f>SUMIF(DeadRaw!$B:$B,$A57,DeadRaw!AU:AU)</f>
        <v>0</v>
      </c>
      <c r="AS57">
        <f>SUMIF(DeadRaw!$B:$B,$A57,DeadRaw!AV:AV)</f>
        <v>0</v>
      </c>
      <c r="AT57">
        <f>SUMIF(DeadRaw!$B:$B,$A57,DeadRaw!AW:AW)</f>
        <v>0</v>
      </c>
      <c r="AU57">
        <f>SUMIF(DeadRaw!$B:$B,$A57,DeadRaw!AX:AX)</f>
        <v>0</v>
      </c>
      <c r="AV57">
        <f>SUMIF(DeadRaw!$B:$B,$A57,DeadRaw!AY:AY)</f>
        <v>0</v>
      </c>
      <c r="AW57">
        <f>SUMIF(DeadRaw!$B:$B,$A57,DeadRaw!AZ:AZ)</f>
        <v>0</v>
      </c>
      <c r="AX57">
        <f>SUMIF(DeadRaw!$B:$B,$A57,DeadRaw!BA:BA)</f>
        <v>0</v>
      </c>
      <c r="AY57">
        <f>SUMIF(DeadRaw!$B:$B,$A57,DeadRaw!BB:BB)</f>
        <v>0</v>
      </c>
      <c r="AZ57">
        <f>SUMIF(DeadRaw!$B:$B,$A57,DeadRaw!BC:BC)</f>
        <v>0</v>
      </c>
      <c r="BA57">
        <f>SUMIF(DeadRaw!$B:$B,$A57,DeadRaw!BD:BD)</f>
        <v>0</v>
      </c>
      <c r="BB57">
        <f>SUMIF(DeadRaw!$B:$B,$A57,DeadRaw!BE:BE)</f>
        <v>0</v>
      </c>
      <c r="BC57">
        <f>SUMIF(DeadRaw!$B:$B,$A57,DeadRaw!BF:BF)</f>
        <v>0</v>
      </c>
      <c r="BD57">
        <f>SUMIF(DeadRaw!$B:$B,$A57,DeadRaw!BG:BG)</f>
        <v>0</v>
      </c>
      <c r="BE57">
        <f>SUMIF(DeadRaw!$B:$B,$A57,DeadRaw!BH:BH)</f>
        <v>0</v>
      </c>
      <c r="BF57">
        <f>SUMIF(DeadRaw!$B:$B,$A57,DeadRaw!BI:BI)</f>
        <v>0</v>
      </c>
      <c r="BG57">
        <f>SUMIF(DeadRaw!$B:$B,$A57,DeadRaw!BJ:BJ)</f>
        <v>1</v>
      </c>
      <c r="BH57">
        <f>SUMIF(DeadRaw!$B:$B,$A57,DeadRaw!BK:BK)</f>
        <v>1</v>
      </c>
      <c r="BI57">
        <f>SUMIF(DeadRaw!$B:$B,$A57,DeadRaw!BL:BL)</f>
        <v>0</v>
      </c>
      <c r="BJ57">
        <f>SUMIF(DeadRaw!$B:$B,$A57,DeadRaw!BM:BM)</f>
        <v>0</v>
      </c>
      <c r="BK57">
        <f>SUMIF(DeadRaw!$B:$B,$A57,DeadRaw!BN:BN)</f>
        <v>0</v>
      </c>
      <c r="BL57">
        <f>SUMIF(DeadRaw!$B:$B,$A57,DeadRaw!BO:BO)</f>
        <v>0</v>
      </c>
      <c r="BM57">
        <f>SUMIF(DeadRaw!$B:$B,$A57,DeadRaw!BP:BP)</f>
        <v>0</v>
      </c>
      <c r="BN57">
        <f>SUMIF(DeadRaw!$B:$B,$A57,DeadRaw!BQ:BQ)</f>
        <v>0</v>
      </c>
      <c r="BO57">
        <f>SUMIF(DeadRaw!$B:$B,$A57,DeadRaw!BR:BR)</f>
        <v>0</v>
      </c>
      <c r="BP57">
        <f>SUMIF(DeadRaw!$B:$B,$A57,DeadRaw!BS:BS)</f>
        <v>0</v>
      </c>
      <c r="BQ57">
        <f>SUMIF(DeadRaw!$B:$B,$A57,DeadRaw!BT:BT)</f>
        <v>0</v>
      </c>
      <c r="BR57">
        <f>SUMIF(DeadRaw!$B:$B,$A57,DeadRaw!BU:BU)</f>
        <v>0</v>
      </c>
      <c r="BS57">
        <f>SUMIF(DeadRaw!$B:$B,$A57,DeadRaw!BV:BV)</f>
        <v>0</v>
      </c>
      <c r="BT57">
        <f>SUMIF(DeadRaw!$B:$B,$A57,DeadRaw!BW:BW)</f>
        <v>0</v>
      </c>
    </row>
    <row r="58" spans="1:72" ht="15" thickBot="1" x14ac:dyDescent="0.35">
      <c r="A58" s="4" t="s">
        <v>162</v>
      </c>
      <c r="B58">
        <f>SUMIF(DeadRaw!$B:$B,$A58,DeadRaw!E:E)</f>
        <v>0</v>
      </c>
      <c r="C58">
        <f>SUMIF(DeadRaw!$B:$B,$A58,DeadRaw!F:F)</f>
        <v>0</v>
      </c>
      <c r="D58">
        <f>SUMIF(DeadRaw!$B:$B,$A58,DeadRaw!G:G)</f>
        <v>0</v>
      </c>
      <c r="E58">
        <f>SUMIF(DeadRaw!$B:$B,$A58,DeadRaw!H:H)</f>
        <v>0</v>
      </c>
      <c r="F58">
        <f>SUMIF(DeadRaw!$B:$B,$A58,DeadRaw!I:I)</f>
        <v>0</v>
      </c>
      <c r="G58">
        <f>SUMIF(DeadRaw!$B:$B,$A58,DeadRaw!J:J)</f>
        <v>0</v>
      </c>
      <c r="H58">
        <f>SUMIF(DeadRaw!$B:$B,$A58,DeadRaw!K:K)</f>
        <v>0</v>
      </c>
      <c r="I58">
        <f>SUMIF(DeadRaw!$B:$B,$A58,DeadRaw!L:L)</f>
        <v>0</v>
      </c>
      <c r="J58">
        <f>SUMIF(DeadRaw!$B:$B,$A58,DeadRaw!M:M)</f>
        <v>0</v>
      </c>
      <c r="K58">
        <f>SUMIF(DeadRaw!$B:$B,$A58,DeadRaw!N:N)</f>
        <v>0</v>
      </c>
      <c r="L58">
        <f>SUMIF(DeadRaw!$B:$B,$A58,DeadRaw!O:O)</f>
        <v>0</v>
      </c>
      <c r="M58">
        <f>SUMIF(DeadRaw!$B:$B,$A58,DeadRaw!P:P)</f>
        <v>0</v>
      </c>
      <c r="N58">
        <f>SUMIF(DeadRaw!$B:$B,$A58,DeadRaw!Q:Q)</f>
        <v>0</v>
      </c>
      <c r="O58">
        <f>SUMIF(DeadRaw!$B:$B,$A58,DeadRaw!R:R)</f>
        <v>0</v>
      </c>
      <c r="P58">
        <f>SUMIF(DeadRaw!$B:$B,$A58,DeadRaw!S:S)</f>
        <v>0</v>
      </c>
      <c r="Q58">
        <f>SUMIF(DeadRaw!$B:$B,$A58,DeadRaw!T:T)</f>
        <v>0</v>
      </c>
      <c r="R58">
        <f>SUMIF(DeadRaw!$B:$B,$A58,DeadRaw!U:U)</f>
        <v>0</v>
      </c>
      <c r="S58">
        <f>SUMIF(DeadRaw!$B:$B,$A58,DeadRaw!V:V)</f>
        <v>0</v>
      </c>
      <c r="T58">
        <f>SUMIF(DeadRaw!$B:$B,$A58,DeadRaw!W:W)</f>
        <v>0</v>
      </c>
      <c r="U58">
        <f>SUMIF(DeadRaw!$B:$B,$A58,DeadRaw!X:X)</f>
        <v>0</v>
      </c>
      <c r="V58">
        <f>SUMIF(DeadRaw!$B:$B,$A58,DeadRaw!Y:Y)</f>
        <v>0</v>
      </c>
      <c r="W58">
        <f>SUMIF(DeadRaw!$B:$B,$A58,DeadRaw!Z:Z)</f>
        <v>0</v>
      </c>
      <c r="X58">
        <f>SUMIF(DeadRaw!$B:$B,$A58,DeadRaw!AA:AA)</f>
        <v>0</v>
      </c>
      <c r="Y58">
        <f>SUMIF(DeadRaw!$B:$B,$A58,DeadRaw!AB:AB)</f>
        <v>0</v>
      </c>
      <c r="Z58">
        <f>SUMIF(DeadRaw!$B:$B,$A58,DeadRaw!AC:AC)</f>
        <v>0</v>
      </c>
      <c r="AA58">
        <f>SUMIF(DeadRaw!$B:$B,$A58,DeadRaw!AD:AD)</f>
        <v>0</v>
      </c>
      <c r="AB58">
        <f>SUMIF(DeadRaw!$B:$B,$A58,DeadRaw!AE:AE)</f>
        <v>0</v>
      </c>
      <c r="AC58">
        <f>SUMIF(DeadRaw!$B:$B,$A58,DeadRaw!AF:AF)</f>
        <v>0</v>
      </c>
      <c r="AD58">
        <f>SUMIF(DeadRaw!$B:$B,$A58,DeadRaw!AG:AG)</f>
        <v>0</v>
      </c>
      <c r="AE58">
        <f>SUMIF(DeadRaw!$B:$B,$A58,DeadRaw!AH:AH)</f>
        <v>0</v>
      </c>
      <c r="AF58">
        <f>SUMIF(DeadRaw!$B:$B,$A58,DeadRaw!AI:AI)</f>
        <v>0</v>
      </c>
      <c r="AG58">
        <f>SUMIF(DeadRaw!$B:$B,$A58,DeadRaw!AJ:AJ)</f>
        <v>0</v>
      </c>
      <c r="AH58">
        <f>SUMIF(DeadRaw!$B:$B,$A58,DeadRaw!AK:AK)</f>
        <v>0</v>
      </c>
      <c r="AI58">
        <f>SUMIF(DeadRaw!$B:$B,$A58,DeadRaw!AL:AL)</f>
        <v>0</v>
      </c>
      <c r="AJ58">
        <f>SUMIF(DeadRaw!$B:$B,$A58,DeadRaw!AM:AM)</f>
        <v>0</v>
      </c>
      <c r="AK58">
        <f>SUMIF(DeadRaw!$B:$B,$A58,DeadRaw!AN:AN)</f>
        <v>0</v>
      </c>
      <c r="AL58">
        <f>SUMIF(DeadRaw!$B:$B,$A58,DeadRaw!AO:AO)</f>
        <v>0</v>
      </c>
      <c r="AM58">
        <f>SUMIF(DeadRaw!$B:$B,$A58,DeadRaw!AP:AP)</f>
        <v>0</v>
      </c>
      <c r="AN58">
        <f>SUMIF(DeadRaw!$B:$B,$A58,DeadRaw!AQ:AQ)</f>
        <v>0</v>
      </c>
      <c r="AO58">
        <f>SUMIF(DeadRaw!$B:$B,$A58,DeadRaw!AR:AR)</f>
        <v>0</v>
      </c>
      <c r="AP58">
        <f>SUMIF(DeadRaw!$B:$B,$A58,DeadRaw!AS:AS)</f>
        <v>0</v>
      </c>
      <c r="AQ58">
        <f>SUMIF(DeadRaw!$B:$B,$A58,DeadRaw!AT:AT)</f>
        <v>0</v>
      </c>
      <c r="AR58">
        <f>SUMIF(DeadRaw!$B:$B,$A58,DeadRaw!AU:AU)</f>
        <v>0</v>
      </c>
      <c r="AS58">
        <f>SUMIF(DeadRaw!$B:$B,$A58,DeadRaw!AV:AV)</f>
        <v>0</v>
      </c>
      <c r="AT58">
        <f>SUMIF(DeadRaw!$B:$B,$A58,DeadRaw!AW:AW)</f>
        <v>0</v>
      </c>
      <c r="AU58">
        <f>SUMIF(DeadRaw!$B:$B,$A58,DeadRaw!AX:AX)</f>
        <v>0</v>
      </c>
      <c r="AV58">
        <f>SUMIF(DeadRaw!$B:$B,$A58,DeadRaw!AY:AY)</f>
        <v>0</v>
      </c>
      <c r="AW58">
        <f>SUMIF(DeadRaw!$B:$B,$A58,DeadRaw!AZ:AZ)</f>
        <v>0</v>
      </c>
      <c r="AX58">
        <f>SUMIF(DeadRaw!$B:$B,$A58,DeadRaw!BA:BA)</f>
        <v>0</v>
      </c>
      <c r="AY58">
        <f>SUMIF(DeadRaw!$B:$B,$A58,DeadRaw!BB:BB)</f>
        <v>0</v>
      </c>
      <c r="AZ58">
        <f>SUMIF(DeadRaw!$B:$B,$A58,DeadRaw!BC:BC)</f>
        <v>0</v>
      </c>
      <c r="BA58">
        <f>SUMIF(DeadRaw!$B:$B,$A58,DeadRaw!BD:BD)</f>
        <v>0</v>
      </c>
      <c r="BB58">
        <f>SUMIF(DeadRaw!$B:$B,$A58,DeadRaw!BE:BE)</f>
        <v>0</v>
      </c>
      <c r="BC58">
        <f>SUMIF(DeadRaw!$B:$B,$A58,DeadRaw!BF:BF)</f>
        <v>0</v>
      </c>
      <c r="BD58">
        <f>SUMIF(DeadRaw!$B:$B,$A58,DeadRaw!BG:BG)</f>
        <v>0</v>
      </c>
      <c r="BE58">
        <f>SUMIF(DeadRaw!$B:$B,$A58,DeadRaw!BH:BH)</f>
        <v>0</v>
      </c>
      <c r="BF58">
        <f>SUMIF(DeadRaw!$B:$B,$A58,DeadRaw!BI:BI)</f>
        <v>1</v>
      </c>
      <c r="BG58">
        <f>SUMIF(DeadRaw!$B:$B,$A58,DeadRaw!BJ:BJ)</f>
        <v>1</v>
      </c>
      <c r="BH58">
        <f>SUMIF(DeadRaw!$B:$B,$A58,DeadRaw!BK:BK)</f>
        <v>1</v>
      </c>
      <c r="BI58">
        <f>SUMIF(DeadRaw!$B:$B,$A58,DeadRaw!BL:BL)</f>
        <v>0</v>
      </c>
      <c r="BJ58">
        <f>SUMIF(DeadRaw!$B:$B,$A58,DeadRaw!BM:BM)</f>
        <v>0</v>
      </c>
      <c r="BK58">
        <f>SUMIF(DeadRaw!$B:$B,$A58,DeadRaw!BN:BN)</f>
        <v>0</v>
      </c>
      <c r="BL58">
        <f>SUMIF(DeadRaw!$B:$B,$A58,DeadRaw!BO:BO)</f>
        <v>0</v>
      </c>
      <c r="BM58">
        <f>SUMIF(DeadRaw!$B:$B,$A58,DeadRaw!BP:BP)</f>
        <v>0</v>
      </c>
      <c r="BN58">
        <f>SUMIF(DeadRaw!$B:$B,$A58,DeadRaw!BQ:BQ)</f>
        <v>0</v>
      </c>
      <c r="BO58">
        <f>SUMIF(DeadRaw!$B:$B,$A58,DeadRaw!BR:BR)</f>
        <v>0</v>
      </c>
      <c r="BP58">
        <f>SUMIF(DeadRaw!$B:$B,$A58,DeadRaw!BS:BS)</f>
        <v>0</v>
      </c>
      <c r="BQ58">
        <f>SUMIF(DeadRaw!$B:$B,$A58,DeadRaw!BT:BT)</f>
        <v>0</v>
      </c>
      <c r="BR58">
        <f>SUMIF(DeadRaw!$B:$B,$A58,DeadRaw!BU:BU)</f>
        <v>0</v>
      </c>
      <c r="BS58">
        <f>SUMIF(DeadRaw!$B:$B,$A58,DeadRaw!BV:BV)</f>
        <v>0</v>
      </c>
      <c r="BT58">
        <f>SUMIF(DeadRaw!$B:$B,$A58,DeadRaw!BW:BW)</f>
        <v>0</v>
      </c>
    </row>
    <row r="59" spans="1:72" ht="15" thickBot="1" x14ac:dyDescent="0.35">
      <c r="A59" s="4" t="s">
        <v>123</v>
      </c>
      <c r="B59">
        <f>SUMIF(DeadRaw!$B:$B,$A59,DeadRaw!E:E)</f>
        <v>0</v>
      </c>
      <c r="C59">
        <f>SUMIF(DeadRaw!$B:$B,$A59,DeadRaw!F:F)</f>
        <v>0</v>
      </c>
      <c r="D59">
        <f>SUMIF(DeadRaw!$B:$B,$A59,DeadRaw!G:G)</f>
        <v>0</v>
      </c>
      <c r="E59">
        <f>SUMIF(DeadRaw!$B:$B,$A59,DeadRaw!H:H)</f>
        <v>0</v>
      </c>
      <c r="F59">
        <f>SUMIF(DeadRaw!$B:$B,$A59,DeadRaw!I:I)</f>
        <v>0</v>
      </c>
      <c r="G59">
        <f>SUMIF(DeadRaw!$B:$B,$A59,DeadRaw!J:J)</f>
        <v>0</v>
      </c>
      <c r="H59">
        <f>SUMIF(DeadRaw!$B:$B,$A59,DeadRaw!K:K)</f>
        <v>0</v>
      </c>
      <c r="I59">
        <f>SUMIF(DeadRaw!$B:$B,$A59,DeadRaw!L:L)</f>
        <v>0</v>
      </c>
      <c r="J59">
        <f>SUMIF(DeadRaw!$B:$B,$A59,DeadRaw!M:M)</f>
        <v>0</v>
      </c>
      <c r="K59">
        <f>SUMIF(DeadRaw!$B:$B,$A59,DeadRaw!N:N)</f>
        <v>0</v>
      </c>
      <c r="L59">
        <f>SUMIF(DeadRaw!$B:$B,$A59,DeadRaw!O:O)</f>
        <v>0</v>
      </c>
      <c r="M59">
        <f>SUMIF(DeadRaw!$B:$B,$A59,DeadRaw!P:P)</f>
        <v>0</v>
      </c>
      <c r="N59">
        <f>SUMIF(DeadRaw!$B:$B,$A59,DeadRaw!Q:Q)</f>
        <v>0</v>
      </c>
      <c r="O59">
        <f>SUMIF(DeadRaw!$B:$B,$A59,DeadRaw!R:R)</f>
        <v>0</v>
      </c>
      <c r="P59">
        <f>SUMIF(DeadRaw!$B:$B,$A59,DeadRaw!S:S)</f>
        <v>0</v>
      </c>
      <c r="Q59">
        <f>SUMIF(DeadRaw!$B:$B,$A59,DeadRaw!T:T)</f>
        <v>0</v>
      </c>
      <c r="R59">
        <f>SUMIF(DeadRaw!$B:$B,$A59,DeadRaw!U:U)</f>
        <v>0</v>
      </c>
      <c r="S59">
        <f>SUMIF(DeadRaw!$B:$B,$A59,DeadRaw!V:V)</f>
        <v>0</v>
      </c>
      <c r="T59">
        <f>SUMIF(DeadRaw!$B:$B,$A59,DeadRaw!W:W)</f>
        <v>0</v>
      </c>
      <c r="U59">
        <f>SUMIF(DeadRaw!$B:$B,$A59,DeadRaw!X:X)</f>
        <v>0</v>
      </c>
      <c r="V59">
        <f>SUMIF(DeadRaw!$B:$B,$A59,DeadRaw!Y:Y)</f>
        <v>0</v>
      </c>
      <c r="W59">
        <f>SUMIF(DeadRaw!$B:$B,$A59,DeadRaw!Z:Z)</f>
        <v>0</v>
      </c>
      <c r="X59">
        <f>SUMIF(DeadRaw!$B:$B,$A59,DeadRaw!AA:AA)</f>
        <v>0</v>
      </c>
      <c r="Y59">
        <f>SUMIF(DeadRaw!$B:$B,$A59,DeadRaw!AB:AB)</f>
        <v>0</v>
      </c>
      <c r="Z59">
        <f>SUMIF(DeadRaw!$B:$B,$A59,DeadRaw!AC:AC)</f>
        <v>0</v>
      </c>
      <c r="AA59">
        <f>SUMIF(DeadRaw!$B:$B,$A59,DeadRaw!AD:AD)</f>
        <v>0</v>
      </c>
      <c r="AB59">
        <f>SUMIF(DeadRaw!$B:$B,$A59,DeadRaw!AE:AE)</f>
        <v>0</v>
      </c>
      <c r="AC59">
        <f>SUMIF(DeadRaw!$B:$B,$A59,DeadRaw!AF:AF)</f>
        <v>0</v>
      </c>
      <c r="AD59">
        <f>SUMIF(DeadRaw!$B:$B,$A59,DeadRaw!AG:AG)</f>
        <v>0</v>
      </c>
      <c r="AE59">
        <f>SUMIF(DeadRaw!$B:$B,$A59,DeadRaw!AH:AH)</f>
        <v>0</v>
      </c>
      <c r="AF59">
        <f>SUMIF(DeadRaw!$B:$B,$A59,DeadRaw!AI:AI)</f>
        <v>0</v>
      </c>
      <c r="AG59">
        <f>SUMIF(DeadRaw!$B:$B,$A59,DeadRaw!AJ:AJ)</f>
        <v>0</v>
      </c>
      <c r="AH59">
        <f>SUMIF(DeadRaw!$B:$B,$A59,DeadRaw!AK:AK)</f>
        <v>0</v>
      </c>
      <c r="AI59">
        <f>SUMIF(DeadRaw!$B:$B,$A59,DeadRaw!AL:AL)</f>
        <v>0</v>
      </c>
      <c r="AJ59">
        <f>SUMIF(DeadRaw!$B:$B,$A59,DeadRaw!AM:AM)</f>
        <v>0</v>
      </c>
      <c r="AK59">
        <f>SUMIF(DeadRaw!$B:$B,$A59,DeadRaw!AN:AN)</f>
        <v>0</v>
      </c>
      <c r="AL59">
        <f>SUMIF(DeadRaw!$B:$B,$A59,DeadRaw!AO:AO)</f>
        <v>0</v>
      </c>
      <c r="AM59">
        <f>SUMIF(DeadRaw!$B:$B,$A59,DeadRaw!AP:AP)</f>
        <v>0</v>
      </c>
      <c r="AN59">
        <f>SUMIF(DeadRaw!$B:$B,$A59,DeadRaw!AQ:AQ)</f>
        <v>0</v>
      </c>
      <c r="AO59">
        <f>SUMIF(DeadRaw!$B:$B,$A59,DeadRaw!AR:AR)</f>
        <v>0</v>
      </c>
      <c r="AP59">
        <f>SUMIF(DeadRaw!$B:$B,$A59,DeadRaw!AS:AS)</f>
        <v>0</v>
      </c>
      <c r="AQ59">
        <f>SUMIF(DeadRaw!$B:$B,$A59,DeadRaw!AT:AT)</f>
        <v>0</v>
      </c>
      <c r="AR59">
        <f>SUMIF(DeadRaw!$B:$B,$A59,DeadRaw!AU:AU)</f>
        <v>0</v>
      </c>
      <c r="AS59">
        <f>SUMIF(DeadRaw!$B:$B,$A59,DeadRaw!AV:AV)</f>
        <v>0</v>
      </c>
      <c r="AT59">
        <f>SUMIF(DeadRaw!$B:$B,$A59,DeadRaw!AW:AW)</f>
        <v>0</v>
      </c>
      <c r="AU59">
        <f>SUMIF(DeadRaw!$B:$B,$A59,DeadRaw!AX:AX)</f>
        <v>0</v>
      </c>
      <c r="AV59">
        <f>SUMIF(DeadRaw!$B:$B,$A59,DeadRaw!AY:AY)</f>
        <v>1</v>
      </c>
      <c r="AW59">
        <f>SUMIF(DeadRaw!$B:$B,$A59,DeadRaw!AZ:AZ)</f>
        <v>1</v>
      </c>
      <c r="AX59">
        <f>SUMIF(DeadRaw!$B:$B,$A59,DeadRaw!BA:BA)</f>
        <v>1</v>
      </c>
      <c r="AY59">
        <f>SUMIF(DeadRaw!$B:$B,$A59,DeadRaw!BB:BB)</f>
        <v>1</v>
      </c>
      <c r="AZ59">
        <f>SUMIF(DeadRaw!$B:$B,$A59,DeadRaw!BC:BC)</f>
        <v>1</v>
      </c>
      <c r="BA59">
        <f>SUMIF(DeadRaw!$B:$B,$A59,DeadRaw!BD:BD)</f>
        <v>2</v>
      </c>
      <c r="BB59">
        <f>SUMIF(DeadRaw!$B:$B,$A59,DeadRaw!BE:BE)</f>
        <v>2</v>
      </c>
      <c r="BC59">
        <f>SUMIF(DeadRaw!$B:$B,$A59,DeadRaw!BF:BF)</f>
        <v>2</v>
      </c>
      <c r="BD59">
        <f>SUMIF(DeadRaw!$B:$B,$A59,DeadRaw!BG:BG)</f>
        <v>2</v>
      </c>
      <c r="BE59">
        <f>SUMIF(DeadRaw!$B:$B,$A59,DeadRaw!BH:BH)</f>
        <v>2</v>
      </c>
      <c r="BF59">
        <f>SUMIF(DeadRaw!$B:$B,$A59,DeadRaw!BI:BI)</f>
        <v>2</v>
      </c>
      <c r="BG59">
        <f>SUMIF(DeadRaw!$B:$B,$A59,DeadRaw!BJ:BJ)</f>
        <v>3</v>
      </c>
      <c r="BH59">
        <f>SUMIF(DeadRaw!$B:$B,$A59,DeadRaw!BK:BK)</f>
        <v>3</v>
      </c>
      <c r="BI59">
        <f>SUMIF(DeadRaw!$B:$B,$A59,DeadRaw!BL:BL)</f>
        <v>0</v>
      </c>
      <c r="BJ59">
        <f>SUMIF(DeadRaw!$B:$B,$A59,DeadRaw!BM:BM)</f>
        <v>0</v>
      </c>
      <c r="BK59">
        <f>SUMIF(DeadRaw!$B:$B,$A59,DeadRaw!BN:BN)</f>
        <v>0</v>
      </c>
      <c r="BL59">
        <f>SUMIF(DeadRaw!$B:$B,$A59,DeadRaw!BO:BO)</f>
        <v>0</v>
      </c>
      <c r="BM59">
        <f>SUMIF(DeadRaw!$B:$B,$A59,DeadRaw!BP:BP)</f>
        <v>0</v>
      </c>
      <c r="BN59">
        <f>SUMIF(DeadRaw!$B:$B,$A59,DeadRaw!BQ:BQ)</f>
        <v>0</v>
      </c>
      <c r="BO59">
        <f>SUMIF(DeadRaw!$B:$B,$A59,DeadRaw!BR:BR)</f>
        <v>0</v>
      </c>
      <c r="BP59">
        <f>SUMIF(DeadRaw!$B:$B,$A59,DeadRaw!BS:BS)</f>
        <v>0</v>
      </c>
      <c r="BQ59">
        <f>SUMIF(DeadRaw!$B:$B,$A59,DeadRaw!BT:BT)</f>
        <v>0</v>
      </c>
      <c r="BR59">
        <f>SUMIF(DeadRaw!$B:$B,$A59,DeadRaw!BU:BU)</f>
        <v>0</v>
      </c>
      <c r="BS59">
        <f>SUMIF(DeadRaw!$B:$B,$A59,DeadRaw!BV:BV)</f>
        <v>0</v>
      </c>
      <c r="BT59">
        <f>SUMIF(DeadRaw!$B:$B,$A59,DeadRaw!BW:BW)</f>
        <v>0</v>
      </c>
    </row>
    <row r="60" spans="1:72" ht="15" thickBot="1" x14ac:dyDescent="0.35">
      <c r="A60" s="3" t="s">
        <v>80</v>
      </c>
      <c r="B60">
        <f>SUMIF(DeadRaw!$B:$B,$A60,DeadRaw!E:E)</f>
        <v>0</v>
      </c>
      <c r="C60">
        <f>SUMIF(DeadRaw!$B:$B,$A60,DeadRaw!F:F)</f>
        <v>0</v>
      </c>
      <c r="D60">
        <f>SUMIF(DeadRaw!$B:$B,$A60,DeadRaw!G:G)</f>
        <v>0</v>
      </c>
      <c r="E60">
        <f>SUMIF(DeadRaw!$B:$B,$A60,DeadRaw!H:H)</f>
        <v>0</v>
      </c>
      <c r="F60">
        <f>SUMIF(DeadRaw!$B:$B,$A60,DeadRaw!I:I)</f>
        <v>0</v>
      </c>
      <c r="G60">
        <f>SUMIF(DeadRaw!$B:$B,$A60,DeadRaw!J:J)</f>
        <v>0</v>
      </c>
      <c r="H60">
        <f>SUMIF(DeadRaw!$B:$B,$A60,DeadRaw!K:K)</f>
        <v>0</v>
      </c>
      <c r="I60">
        <f>SUMIF(DeadRaw!$B:$B,$A60,DeadRaw!L:L)</f>
        <v>0</v>
      </c>
      <c r="J60">
        <f>SUMIF(DeadRaw!$B:$B,$A60,DeadRaw!M:M)</f>
        <v>0</v>
      </c>
      <c r="K60">
        <f>SUMIF(DeadRaw!$B:$B,$A60,DeadRaw!N:N)</f>
        <v>0</v>
      </c>
      <c r="L60">
        <f>SUMIF(DeadRaw!$B:$B,$A60,DeadRaw!O:O)</f>
        <v>0</v>
      </c>
      <c r="M60">
        <f>SUMIF(DeadRaw!$B:$B,$A60,DeadRaw!P:P)</f>
        <v>0</v>
      </c>
      <c r="N60">
        <f>SUMIF(DeadRaw!$B:$B,$A60,DeadRaw!Q:Q)</f>
        <v>0</v>
      </c>
      <c r="O60">
        <f>SUMIF(DeadRaw!$B:$B,$A60,DeadRaw!R:R)</f>
        <v>0</v>
      </c>
      <c r="P60">
        <f>SUMIF(DeadRaw!$B:$B,$A60,DeadRaw!S:S)</f>
        <v>0</v>
      </c>
      <c r="Q60">
        <f>SUMIF(DeadRaw!$B:$B,$A60,DeadRaw!T:T)</f>
        <v>0</v>
      </c>
      <c r="R60">
        <f>SUMIF(DeadRaw!$B:$B,$A60,DeadRaw!U:U)</f>
        <v>0</v>
      </c>
      <c r="S60">
        <f>SUMIF(DeadRaw!$B:$B,$A60,DeadRaw!V:V)</f>
        <v>0</v>
      </c>
      <c r="T60">
        <f>SUMIF(DeadRaw!$B:$B,$A60,DeadRaw!W:W)</f>
        <v>0</v>
      </c>
      <c r="U60">
        <f>SUMIF(DeadRaw!$B:$B,$A60,DeadRaw!X:X)</f>
        <v>0</v>
      </c>
      <c r="V60">
        <f>SUMIF(DeadRaw!$B:$B,$A60,DeadRaw!Y:Y)</f>
        <v>0</v>
      </c>
      <c r="W60">
        <f>SUMIF(DeadRaw!$B:$B,$A60,DeadRaw!Z:Z)</f>
        <v>0</v>
      </c>
      <c r="X60">
        <f>SUMIF(DeadRaw!$B:$B,$A60,DeadRaw!AA:AA)</f>
        <v>0</v>
      </c>
      <c r="Y60">
        <f>SUMIF(DeadRaw!$B:$B,$A60,DeadRaw!AB:AB)</f>
        <v>0</v>
      </c>
      <c r="Z60">
        <f>SUMIF(DeadRaw!$B:$B,$A60,DeadRaw!AC:AC)</f>
        <v>0</v>
      </c>
      <c r="AA60">
        <f>SUMIF(DeadRaw!$B:$B,$A60,DeadRaw!AD:AD)</f>
        <v>0</v>
      </c>
      <c r="AB60">
        <f>SUMIF(DeadRaw!$B:$B,$A60,DeadRaw!AE:AE)</f>
        <v>0</v>
      </c>
      <c r="AC60">
        <f>SUMIF(DeadRaw!$B:$B,$A60,DeadRaw!AF:AF)</f>
        <v>0</v>
      </c>
      <c r="AD60">
        <f>SUMIF(DeadRaw!$B:$B,$A60,DeadRaw!AG:AG)</f>
        <v>0</v>
      </c>
      <c r="AE60">
        <f>SUMIF(DeadRaw!$B:$B,$A60,DeadRaw!AH:AH)</f>
        <v>0</v>
      </c>
      <c r="AF60">
        <f>SUMIF(DeadRaw!$B:$B,$A60,DeadRaw!AI:AI)</f>
        <v>0</v>
      </c>
      <c r="AG60">
        <f>SUMIF(DeadRaw!$B:$B,$A60,DeadRaw!AJ:AJ)</f>
        <v>0</v>
      </c>
      <c r="AH60">
        <f>SUMIF(DeadRaw!$B:$B,$A60,DeadRaw!AK:AK)</f>
        <v>0</v>
      </c>
      <c r="AI60">
        <f>SUMIF(DeadRaw!$B:$B,$A60,DeadRaw!AL:AL)</f>
        <v>0</v>
      </c>
      <c r="AJ60">
        <f>SUMIF(DeadRaw!$B:$B,$A60,DeadRaw!AM:AM)</f>
        <v>0</v>
      </c>
      <c r="AK60">
        <f>SUMIF(DeadRaw!$B:$B,$A60,DeadRaw!AN:AN)</f>
        <v>0</v>
      </c>
      <c r="AL60">
        <f>SUMIF(DeadRaw!$B:$B,$A60,DeadRaw!AO:AO)</f>
        <v>0</v>
      </c>
      <c r="AM60">
        <f>SUMIF(DeadRaw!$B:$B,$A60,DeadRaw!AP:AP)</f>
        <v>0</v>
      </c>
      <c r="AN60">
        <f>SUMIF(DeadRaw!$B:$B,$A60,DeadRaw!AQ:AQ)</f>
        <v>0</v>
      </c>
      <c r="AO60">
        <f>SUMIF(DeadRaw!$B:$B,$A60,DeadRaw!AR:AR)</f>
        <v>0</v>
      </c>
      <c r="AP60">
        <f>SUMIF(DeadRaw!$B:$B,$A60,DeadRaw!AS:AS)</f>
        <v>0</v>
      </c>
      <c r="AQ60">
        <f>SUMIF(DeadRaw!$B:$B,$A60,DeadRaw!AT:AT)</f>
        <v>0</v>
      </c>
      <c r="AR60">
        <f>SUMIF(DeadRaw!$B:$B,$A60,DeadRaw!AU:AU)</f>
        <v>0</v>
      </c>
      <c r="AS60">
        <f>SUMIF(DeadRaw!$B:$B,$A60,DeadRaw!AV:AV)</f>
        <v>0</v>
      </c>
      <c r="AT60">
        <f>SUMIF(DeadRaw!$B:$B,$A60,DeadRaw!AW:AW)</f>
        <v>0</v>
      </c>
      <c r="AU60">
        <f>SUMIF(DeadRaw!$B:$B,$A60,DeadRaw!AX:AX)</f>
        <v>0</v>
      </c>
      <c r="AV60">
        <f>SUMIF(DeadRaw!$B:$B,$A60,DeadRaw!AY:AY)</f>
        <v>0</v>
      </c>
      <c r="AW60">
        <f>SUMIF(DeadRaw!$B:$B,$A60,DeadRaw!AZ:AZ)</f>
        <v>0</v>
      </c>
      <c r="AX60">
        <f>SUMIF(DeadRaw!$B:$B,$A60,DeadRaw!BA:BA)</f>
        <v>0</v>
      </c>
      <c r="AY60">
        <f>SUMIF(DeadRaw!$B:$B,$A60,DeadRaw!BB:BB)</f>
        <v>0</v>
      </c>
      <c r="AZ60">
        <f>SUMIF(DeadRaw!$B:$B,$A60,DeadRaw!BC:BC)</f>
        <v>0</v>
      </c>
      <c r="BA60">
        <f>SUMIF(DeadRaw!$B:$B,$A60,DeadRaw!BD:BD)</f>
        <v>0</v>
      </c>
      <c r="BB60">
        <f>SUMIF(DeadRaw!$B:$B,$A60,DeadRaw!BE:BE)</f>
        <v>0</v>
      </c>
      <c r="BC60">
        <f>SUMIF(DeadRaw!$B:$B,$A60,DeadRaw!BF:BF)</f>
        <v>0</v>
      </c>
      <c r="BD60">
        <f>SUMIF(DeadRaw!$B:$B,$A60,DeadRaw!BG:BG)</f>
        <v>0</v>
      </c>
      <c r="BE60">
        <f>SUMIF(DeadRaw!$B:$B,$A60,DeadRaw!BH:BH)</f>
        <v>0</v>
      </c>
      <c r="BF60">
        <f>SUMIF(DeadRaw!$B:$B,$A60,DeadRaw!BI:BI)</f>
        <v>0</v>
      </c>
      <c r="BG60">
        <f>SUMIF(DeadRaw!$B:$B,$A60,DeadRaw!BJ:BJ)</f>
        <v>2</v>
      </c>
      <c r="BH60">
        <f>SUMIF(DeadRaw!$B:$B,$A60,DeadRaw!BK:BK)</f>
        <v>3</v>
      </c>
      <c r="BI60">
        <f>SUMIF(DeadRaw!$B:$B,$A60,DeadRaw!BL:BL)</f>
        <v>0</v>
      </c>
      <c r="BJ60">
        <f>SUMIF(DeadRaw!$B:$B,$A60,DeadRaw!BM:BM)</f>
        <v>0</v>
      </c>
      <c r="BK60">
        <f>SUMIF(DeadRaw!$B:$B,$A60,DeadRaw!BN:BN)</f>
        <v>0</v>
      </c>
      <c r="BL60">
        <f>SUMIF(DeadRaw!$B:$B,$A60,DeadRaw!BO:BO)</f>
        <v>0</v>
      </c>
      <c r="BM60">
        <f>SUMIF(DeadRaw!$B:$B,$A60,DeadRaw!BP:BP)</f>
        <v>0</v>
      </c>
      <c r="BN60">
        <f>SUMIF(DeadRaw!$B:$B,$A60,DeadRaw!BQ:BQ)</f>
        <v>0</v>
      </c>
      <c r="BO60">
        <f>SUMIF(DeadRaw!$B:$B,$A60,DeadRaw!BR:BR)</f>
        <v>0</v>
      </c>
      <c r="BP60">
        <f>SUMIF(DeadRaw!$B:$B,$A60,DeadRaw!BS:BS)</f>
        <v>0</v>
      </c>
      <c r="BQ60">
        <f>SUMIF(DeadRaw!$B:$B,$A60,DeadRaw!BT:BT)</f>
        <v>0</v>
      </c>
      <c r="BR60">
        <f>SUMIF(DeadRaw!$B:$B,$A60,DeadRaw!BU:BU)</f>
        <v>0</v>
      </c>
      <c r="BS60">
        <f>SUMIF(DeadRaw!$B:$B,$A60,DeadRaw!BV:BV)</f>
        <v>0</v>
      </c>
      <c r="BT60">
        <f>SUMIF(DeadRaw!$B:$B,$A60,DeadRaw!BW:BW)</f>
        <v>0</v>
      </c>
    </row>
    <row r="61" spans="1:72" ht="15" thickBot="1" x14ac:dyDescent="0.35">
      <c r="A61" s="4" t="s">
        <v>160</v>
      </c>
      <c r="B61">
        <f>SUMIF(DeadRaw!$B:$B,$A61,DeadRaw!E:E)</f>
        <v>0</v>
      </c>
      <c r="C61">
        <f>SUMIF(DeadRaw!$B:$B,$A61,DeadRaw!F:F)</f>
        <v>0</v>
      </c>
      <c r="D61">
        <f>SUMIF(DeadRaw!$B:$B,$A61,DeadRaw!G:G)</f>
        <v>0</v>
      </c>
      <c r="E61">
        <f>SUMIF(DeadRaw!$B:$B,$A61,DeadRaw!H:H)</f>
        <v>0</v>
      </c>
      <c r="F61">
        <f>SUMIF(DeadRaw!$B:$B,$A61,DeadRaw!I:I)</f>
        <v>0</v>
      </c>
      <c r="G61">
        <f>SUMIF(DeadRaw!$B:$B,$A61,DeadRaw!J:J)</f>
        <v>0</v>
      </c>
      <c r="H61">
        <f>SUMIF(DeadRaw!$B:$B,$A61,DeadRaw!K:K)</f>
        <v>0</v>
      </c>
      <c r="I61">
        <f>SUMIF(DeadRaw!$B:$B,$A61,DeadRaw!L:L)</f>
        <v>0</v>
      </c>
      <c r="J61">
        <f>SUMIF(DeadRaw!$B:$B,$A61,DeadRaw!M:M)</f>
        <v>0</v>
      </c>
      <c r="K61">
        <f>SUMIF(DeadRaw!$B:$B,$A61,DeadRaw!N:N)</f>
        <v>0</v>
      </c>
      <c r="L61">
        <f>SUMIF(DeadRaw!$B:$B,$A61,DeadRaw!O:O)</f>
        <v>0</v>
      </c>
      <c r="M61">
        <f>SUMIF(DeadRaw!$B:$B,$A61,DeadRaw!P:P)</f>
        <v>0</v>
      </c>
      <c r="N61">
        <f>SUMIF(DeadRaw!$B:$B,$A61,DeadRaw!Q:Q)</f>
        <v>0</v>
      </c>
      <c r="O61">
        <f>SUMIF(DeadRaw!$B:$B,$A61,DeadRaw!R:R)</f>
        <v>0</v>
      </c>
      <c r="P61">
        <f>SUMIF(DeadRaw!$B:$B,$A61,DeadRaw!S:S)</f>
        <v>0</v>
      </c>
      <c r="Q61">
        <f>SUMIF(DeadRaw!$B:$B,$A61,DeadRaw!T:T)</f>
        <v>0</v>
      </c>
      <c r="R61">
        <f>SUMIF(DeadRaw!$B:$B,$A61,DeadRaw!U:U)</f>
        <v>0</v>
      </c>
      <c r="S61">
        <f>SUMIF(DeadRaw!$B:$B,$A61,DeadRaw!V:V)</f>
        <v>0</v>
      </c>
      <c r="T61">
        <f>SUMIF(DeadRaw!$B:$B,$A61,DeadRaw!W:W)</f>
        <v>0</v>
      </c>
      <c r="U61">
        <f>SUMIF(DeadRaw!$B:$B,$A61,DeadRaw!X:X)</f>
        <v>0</v>
      </c>
      <c r="V61">
        <f>SUMIF(DeadRaw!$B:$B,$A61,DeadRaw!Y:Y)</f>
        <v>0</v>
      </c>
      <c r="W61">
        <f>SUMIF(DeadRaw!$B:$B,$A61,DeadRaw!Z:Z)</f>
        <v>0</v>
      </c>
      <c r="X61">
        <f>SUMIF(DeadRaw!$B:$B,$A61,DeadRaw!AA:AA)</f>
        <v>0</v>
      </c>
      <c r="Y61">
        <f>SUMIF(DeadRaw!$B:$B,$A61,DeadRaw!AB:AB)</f>
        <v>0</v>
      </c>
      <c r="Z61">
        <f>SUMIF(DeadRaw!$B:$B,$A61,DeadRaw!AC:AC)</f>
        <v>0</v>
      </c>
      <c r="AA61">
        <f>SUMIF(DeadRaw!$B:$B,$A61,DeadRaw!AD:AD)</f>
        <v>0</v>
      </c>
      <c r="AB61">
        <f>SUMIF(DeadRaw!$B:$B,$A61,DeadRaw!AE:AE)</f>
        <v>0</v>
      </c>
      <c r="AC61">
        <f>SUMIF(DeadRaw!$B:$B,$A61,DeadRaw!AF:AF)</f>
        <v>0</v>
      </c>
      <c r="AD61">
        <f>SUMIF(DeadRaw!$B:$B,$A61,DeadRaw!AG:AG)</f>
        <v>0</v>
      </c>
      <c r="AE61">
        <f>SUMIF(DeadRaw!$B:$B,$A61,DeadRaw!AH:AH)</f>
        <v>0</v>
      </c>
      <c r="AF61">
        <f>SUMIF(DeadRaw!$B:$B,$A61,DeadRaw!AI:AI)</f>
        <v>0</v>
      </c>
      <c r="AG61">
        <f>SUMIF(DeadRaw!$B:$B,$A61,DeadRaw!AJ:AJ)</f>
        <v>0</v>
      </c>
      <c r="AH61">
        <f>SUMIF(DeadRaw!$B:$B,$A61,DeadRaw!AK:AK)</f>
        <v>0</v>
      </c>
      <c r="AI61">
        <f>SUMIF(DeadRaw!$B:$B,$A61,DeadRaw!AL:AL)</f>
        <v>0</v>
      </c>
      <c r="AJ61">
        <f>SUMIF(DeadRaw!$B:$B,$A61,DeadRaw!AM:AM)</f>
        <v>0</v>
      </c>
      <c r="AK61">
        <f>SUMIF(DeadRaw!$B:$B,$A61,DeadRaw!AN:AN)</f>
        <v>0</v>
      </c>
      <c r="AL61">
        <f>SUMIF(DeadRaw!$B:$B,$A61,DeadRaw!AO:AO)</f>
        <v>0</v>
      </c>
      <c r="AM61">
        <f>SUMIF(DeadRaw!$B:$B,$A61,DeadRaw!AP:AP)</f>
        <v>0</v>
      </c>
      <c r="AN61">
        <f>SUMIF(DeadRaw!$B:$B,$A61,DeadRaw!AQ:AQ)</f>
        <v>0</v>
      </c>
      <c r="AO61">
        <f>SUMIF(DeadRaw!$B:$B,$A61,DeadRaw!AR:AR)</f>
        <v>0</v>
      </c>
      <c r="AP61">
        <f>SUMIF(DeadRaw!$B:$B,$A61,DeadRaw!AS:AS)</f>
        <v>0</v>
      </c>
      <c r="AQ61">
        <f>SUMIF(DeadRaw!$B:$B,$A61,DeadRaw!AT:AT)</f>
        <v>0</v>
      </c>
      <c r="AR61">
        <f>SUMIF(DeadRaw!$B:$B,$A61,DeadRaw!AU:AU)</f>
        <v>0</v>
      </c>
      <c r="AS61">
        <f>SUMIF(DeadRaw!$B:$B,$A61,DeadRaw!AV:AV)</f>
        <v>0</v>
      </c>
      <c r="AT61">
        <f>SUMIF(DeadRaw!$B:$B,$A61,DeadRaw!AW:AW)</f>
        <v>0</v>
      </c>
      <c r="AU61">
        <f>SUMIF(DeadRaw!$B:$B,$A61,DeadRaw!AX:AX)</f>
        <v>0</v>
      </c>
      <c r="AV61">
        <f>SUMIF(DeadRaw!$B:$B,$A61,DeadRaw!AY:AY)</f>
        <v>0</v>
      </c>
      <c r="AW61">
        <f>SUMIF(DeadRaw!$B:$B,$A61,DeadRaw!AZ:AZ)</f>
        <v>0</v>
      </c>
      <c r="AX61">
        <f>SUMIF(DeadRaw!$B:$B,$A61,DeadRaw!BA:BA)</f>
        <v>0</v>
      </c>
      <c r="AY61">
        <f>SUMIF(DeadRaw!$B:$B,$A61,DeadRaw!BB:BB)</f>
        <v>0</v>
      </c>
      <c r="AZ61">
        <f>SUMIF(DeadRaw!$B:$B,$A61,DeadRaw!BC:BC)</f>
        <v>0</v>
      </c>
      <c r="BA61">
        <f>SUMIF(DeadRaw!$B:$B,$A61,DeadRaw!BD:BD)</f>
        <v>0</v>
      </c>
      <c r="BB61">
        <f>SUMIF(DeadRaw!$B:$B,$A61,DeadRaw!BE:BE)</f>
        <v>0</v>
      </c>
      <c r="BC61">
        <f>SUMIF(DeadRaw!$B:$B,$A61,DeadRaw!BF:BF)</f>
        <v>0</v>
      </c>
      <c r="BD61">
        <f>SUMIF(DeadRaw!$B:$B,$A61,DeadRaw!BG:BG)</f>
        <v>0</v>
      </c>
      <c r="BE61">
        <f>SUMIF(DeadRaw!$B:$B,$A61,DeadRaw!BH:BH)</f>
        <v>0</v>
      </c>
      <c r="BF61">
        <f>SUMIF(DeadRaw!$B:$B,$A61,DeadRaw!BI:BI)</f>
        <v>0</v>
      </c>
      <c r="BG61">
        <f>SUMIF(DeadRaw!$B:$B,$A61,DeadRaw!BJ:BJ)</f>
        <v>0</v>
      </c>
      <c r="BH61">
        <f>SUMIF(DeadRaw!$B:$B,$A61,DeadRaw!BK:BK)</f>
        <v>3</v>
      </c>
      <c r="BI61">
        <f>SUMIF(DeadRaw!$B:$B,$A61,DeadRaw!BL:BL)</f>
        <v>0</v>
      </c>
      <c r="BJ61">
        <f>SUMIF(DeadRaw!$B:$B,$A61,DeadRaw!BM:BM)</f>
        <v>0</v>
      </c>
      <c r="BK61">
        <f>SUMIF(DeadRaw!$B:$B,$A61,DeadRaw!BN:BN)</f>
        <v>0</v>
      </c>
      <c r="BL61">
        <f>SUMIF(DeadRaw!$B:$B,$A61,DeadRaw!BO:BO)</f>
        <v>0</v>
      </c>
      <c r="BM61">
        <f>SUMIF(DeadRaw!$B:$B,$A61,DeadRaw!BP:BP)</f>
        <v>0</v>
      </c>
      <c r="BN61">
        <f>SUMIF(DeadRaw!$B:$B,$A61,DeadRaw!BQ:BQ)</f>
        <v>0</v>
      </c>
      <c r="BO61">
        <f>SUMIF(DeadRaw!$B:$B,$A61,DeadRaw!BR:BR)</f>
        <v>0</v>
      </c>
      <c r="BP61">
        <f>SUMIF(DeadRaw!$B:$B,$A61,DeadRaw!BS:BS)</f>
        <v>0</v>
      </c>
      <c r="BQ61">
        <f>SUMIF(DeadRaw!$B:$B,$A61,DeadRaw!BT:BT)</f>
        <v>0</v>
      </c>
      <c r="BR61">
        <f>SUMIF(DeadRaw!$B:$B,$A61,DeadRaw!BU:BU)</f>
        <v>0</v>
      </c>
      <c r="BS61">
        <f>SUMIF(DeadRaw!$B:$B,$A61,DeadRaw!BV:BV)</f>
        <v>0</v>
      </c>
      <c r="BT61">
        <f>SUMIF(DeadRaw!$B:$B,$A61,DeadRaw!BW:BW)</f>
        <v>0</v>
      </c>
    </row>
    <row r="62" spans="1:72" ht="15" thickBot="1" x14ac:dyDescent="0.35">
      <c r="A62" s="3" t="s">
        <v>91</v>
      </c>
      <c r="B62">
        <f>SUMIF(DeadRaw!$B:$B,$A62,DeadRaw!E:E)</f>
        <v>0</v>
      </c>
      <c r="C62">
        <f>SUMIF(DeadRaw!$B:$B,$A62,DeadRaw!F:F)</f>
        <v>0</v>
      </c>
      <c r="D62">
        <f>SUMIF(DeadRaw!$B:$B,$A62,DeadRaw!G:G)</f>
        <v>0</v>
      </c>
      <c r="E62">
        <f>SUMIF(DeadRaw!$B:$B,$A62,DeadRaw!H:H)</f>
        <v>0</v>
      </c>
      <c r="F62">
        <f>SUMIF(DeadRaw!$B:$B,$A62,DeadRaw!I:I)</f>
        <v>0</v>
      </c>
      <c r="G62">
        <f>SUMIF(DeadRaw!$B:$B,$A62,DeadRaw!J:J)</f>
        <v>0</v>
      </c>
      <c r="H62">
        <f>SUMIF(DeadRaw!$B:$B,$A62,DeadRaw!K:K)</f>
        <v>0</v>
      </c>
      <c r="I62">
        <f>SUMIF(DeadRaw!$B:$B,$A62,DeadRaw!L:L)</f>
        <v>0</v>
      </c>
      <c r="J62">
        <f>SUMIF(DeadRaw!$B:$B,$A62,DeadRaw!M:M)</f>
        <v>0</v>
      </c>
      <c r="K62">
        <f>SUMIF(DeadRaw!$B:$B,$A62,DeadRaw!N:N)</f>
        <v>0</v>
      </c>
      <c r="L62">
        <f>SUMIF(DeadRaw!$B:$B,$A62,DeadRaw!O:O)</f>
        <v>0</v>
      </c>
      <c r="M62">
        <f>SUMIF(DeadRaw!$B:$B,$A62,DeadRaw!P:P)</f>
        <v>0</v>
      </c>
      <c r="N62">
        <f>SUMIF(DeadRaw!$B:$B,$A62,DeadRaw!Q:Q)</f>
        <v>0</v>
      </c>
      <c r="O62">
        <f>SUMIF(DeadRaw!$B:$B,$A62,DeadRaw!R:R)</f>
        <v>0</v>
      </c>
      <c r="P62">
        <f>SUMIF(DeadRaw!$B:$B,$A62,DeadRaw!S:S)</f>
        <v>0</v>
      </c>
      <c r="Q62">
        <f>SUMIF(DeadRaw!$B:$B,$A62,DeadRaw!T:T)</f>
        <v>0</v>
      </c>
      <c r="R62">
        <f>SUMIF(DeadRaw!$B:$B,$A62,DeadRaw!U:U)</f>
        <v>0</v>
      </c>
      <c r="S62">
        <f>SUMIF(DeadRaw!$B:$B,$A62,DeadRaw!V:V)</f>
        <v>0</v>
      </c>
      <c r="T62">
        <f>SUMIF(DeadRaw!$B:$B,$A62,DeadRaw!W:W)</f>
        <v>0</v>
      </c>
      <c r="U62">
        <f>SUMIF(DeadRaw!$B:$B,$A62,DeadRaw!X:X)</f>
        <v>0</v>
      </c>
      <c r="V62">
        <f>SUMIF(DeadRaw!$B:$B,$A62,DeadRaw!Y:Y)</f>
        <v>0</v>
      </c>
      <c r="W62">
        <f>SUMIF(DeadRaw!$B:$B,$A62,DeadRaw!Z:Z)</f>
        <v>0</v>
      </c>
      <c r="X62">
        <f>SUMIF(DeadRaw!$B:$B,$A62,DeadRaw!AA:AA)</f>
        <v>0</v>
      </c>
      <c r="Y62">
        <f>SUMIF(DeadRaw!$B:$B,$A62,DeadRaw!AB:AB)</f>
        <v>0</v>
      </c>
      <c r="Z62">
        <f>SUMIF(DeadRaw!$B:$B,$A62,DeadRaw!AC:AC)</f>
        <v>0</v>
      </c>
      <c r="AA62">
        <f>SUMIF(DeadRaw!$B:$B,$A62,DeadRaw!AD:AD)</f>
        <v>0</v>
      </c>
      <c r="AB62">
        <f>SUMIF(DeadRaw!$B:$B,$A62,DeadRaw!AE:AE)</f>
        <v>0</v>
      </c>
      <c r="AC62">
        <f>SUMIF(DeadRaw!$B:$B,$A62,DeadRaw!AF:AF)</f>
        <v>0</v>
      </c>
      <c r="AD62">
        <f>SUMIF(DeadRaw!$B:$B,$A62,DeadRaw!AG:AG)</f>
        <v>0</v>
      </c>
      <c r="AE62">
        <f>SUMIF(DeadRaw!$B:$B,$A62,DeadRaw!AH:AH)</f>
        <v>0</v>
      </c>
      <c r="AF62">
        <f>SUMIF(DeadRaw!$B:$B,$A62,DeadRaw!AI:AI)</f>
        <v>0</v>
      </c>
      <c r="AG62">
        <f>SUMIF(DeadRaw!$B:$B,$A62,DeadRaw!AJ:AJ)</f>
        <v>0</v>
      </c>
      <c r="AH62">
        <f>SUMIF(DeadRaw!$B:$B,$A62,DeadRaw!AK:AK)</f>
        <v>0</v>
      </c>
      <c r="AI62">
        <f>SUMIF(DeadRaw!$B:$B,$A62,DeadRaw!AL:AL)</f>
        <v>0</v>
      </c>
      <c r="AJ62">
        <f>SUMIF(DeadRaw!$B:$B,$A62,DeadRaw!AM:AM)</f>
        <v>0</v>
      </c>
      <c r="AK62">
        <f>SUMIF(DeadRaw!$B:$B,$A62,DeadRaw!AN:AN)</f>
        <v>0</v>
      </c>
      <c r="AL62">
        <f>SUMIF(DeadRaw!$B:$B,$A62,DeadRaw!AO:AO)</f>
        <v>0</v>
      </c>
      <c r="AM62">
        <f>SUMIF(DeadRaw!$B:$B,$A62,DeadRaw!AP:AP)</f>
        <v>0</v>
      </c>
      <c r="AN62">
        <f>SUMIF(DeadRaw!$B:$B,$A62,DeadRaw!AQ:AQ)</f>
        <v>0</v>
      </c>
      <c r="AO62">
        <f>SUMIF(DeadRaw!$B:$B,$A62,DeadRaw!AR:AR)</f>
        <v>0</v>
      </c>
      <c r="AP62">
        <f>SUMIF(DeadRaw!$B:$B,$A62,DeadRaw!AS:AS)</f>
        <v>0</v>
      </c>
      <c r="AQ62">
        <f>SUMIF(DeadRaw!$B:$B,$A62,DeadRaw!AT:AT)</f>
        <v>0</v>
      </c>
      <c r="AR62">
        <f>SUMIF(DeadRaw!$B:$B,$A62,DeadRaw!AU:AU)</f>
        <v>0</v>
      </c>
      <c r="AS62">
        <f>SUMIF(DeadRaw!$B:$B,$A62,DeadRaw!AV:AV)</f>
        <v>0</v>
      </c>
      <c r="AT62">
        <f>SUMIF(DeadRaw!$B:$B,$A62,DeadRaw!AW:AW)</f>
        <v>0</v>
      </c>
      <c r="AU62">
        <f>SUMIF(DeadRaw!$B:$B,$A62,DeadRaw!AX:AX)</f>
        <v>0</v>
      </c>
      <c r="AV62">
        <f>SUMIF(DeadRaw!$B:$B,$A62,DeadRaw!AY:AY)</f>
        <v>0</v>
      </c>
      <c r="AW62">
        <f>SUMIF(DeadRaw!$B:$B,$A62,DeadRaw!AZ:AZ)</f>
        <v>0</v>
      </c>
      <c r="AX62">
        <f>SUMIF(DeadRaw!$B:$B,$A62,DeadRaw!BA:BA)</f>
        <v>0</v>
      </c>
      <c r="AY62">
        <f>SUMIF(DeadRaw!$B:$B,$A62,DeadRaw!BB:BB)</f>
        <v>0</v>
      </c>
      <c r="AZ62">
        <f>SUMIF(DeadRaw!$B:$B,$A62,DeadRaw!BC:BC)</f>
        <v>0</v>
      </c>
      <c r="BA62">
        <f>SUMIF(DeadRaw!$B:$B,$A62,DeadRaw!BD:BD)</f>
        <v>0</v>
      </c>
      <c r="BB62">
        <f>SUMIF(DeadRaw!$B:$B,$A62,DeadRaw!BE:BE)</f>
        <v>0</v>
      </c>
      <c r="BC62">
        <f>SUMIF(DeadRaw!$B:$B,$A62,DeadRaw!BF:BF)</f>
        <v>0</v>
      </c>
      <c r="BD62">
        <f>SUMIF(DeadRaw!$B:$B,$A62,DeadRaw!BG:BG)</f>
        <v>0</v>
      </c>
      <c r="BE62">
        <f>SUMIF(DeadRaw!$B:$B,$A62,DeadRaw!BH:BH)</f>
        <v>0</v>
      </c>
      <c r="BF62">
        <f>SUMIF(DeadRaw!$B:$B,$A62,DeadRaw!BI:BI)</f>
        <v>0</v>
      </c>
      <c r="BG62">
        <f>SUMIF(DeadRaw!$B:$B,$A62,DeadRaw!BJ:BJ)</f>
        <v>0</v>
      </c>
      <c r="BH62">
        <f>SUMIF(DeadRaw!$B:$B,$A62,DeadRaw!BK:BK)</f>
        <v>0</v>
      </c>
      <c r="BI62">
        <f>SUMIF(DeadRaw!$B:$B,$A62,DeadRaw!BL:BL)</f>
        <v>0</v>
      </c>
      <c r="BJ62">
        <f>SUMIF(DeadRaw!$B:$B,$A62,DeadRaw!BM:BM)</f>
        <v>0</v>
      </c>
      <c r="BK62">
        <f>SUMIF(DeadRaw!$B:$B,$A62,DeadRaw!BN:BN)</f>
        <v>0</v>
      </c>
      <c r="BL62">
        <f>SUMIF(DeadRaw!$B:$B,$A62,DeadRaw!BO:BO)</f>
        <v>0</v>
      </c>
      <c r="BM62">
        <f>SUMIF(DeadRaw!$B:$B,$A62,DeadRaw!BP:BP)</f>
        <v>0</v>
      </c>
      <c r="BN62">
        <f>SUMIF(DeadRaw!$B:$B,$A62,DeadRaw!BQ:BQ)</f>
        <v>0</v>
      </c>
      <c r="BO62">
        <f>SUMIF(DeadRaw!$B:$B,$A62,DeadRaw!BR:BR)</f>
        <v>0</v>
      </c>
      <c r="BP62">
        <f>SUMIF(DeadRaw!$B:$B,$A62,DeadRaw!BS:BS)</f>
        <v>0</v>
      </c>
      <c r="BQ62">
        <f>SUMIF(DeadRaw!$B:$B,$A62,DeadRaw!BT:BT)</f>
        <v>0</v>
      </c>
      <c r="BR62">
        <f>SUMIF(DeadRaw!$B:$B,$A62,DeadRaw!BU:BU)</f>
        <v>0</v>
      </c>
      <c r="BS62">
        <f>SUMIF(DeadRaw!$B:$B,$A62,DeadRaw!BV:BV)</f>
        <v>0</v>
      </c>
      <c r="BT62">
        <f>SUMIF(DeadRaw!$B:$B,$A62,DeadRaw!BW:BW)</f>
        <v>0</v>
      </c>
    </row>
    <row r="63" spans="1:72" ht="15" thickBot="1" x14ac:dyDescent="0.35">
      <c r="A63" s="3" t="s">
        <v>283</v>
      </c>
      <c r="B63">
        <f>SUMIF(DeadRaw!$B:$B,$A63,DeadRaw!E:E)</f>
        <v>0</v>
      </c>
      <c r="C63">
        <f>SUMIF(DeadRaw!$B:$B,$A63,DeadRaw!F:F)</f>
        <v>0</v>
      </c>
      <c r="D63">
        <f>SUMIF(DeadRaw!$B:$B,$A63,DeadRaw!G:G)</f>
        <v>0</v>
      </c>
      <c r="E63">
        <f>SUMIF(DeadRaw!$B:$B,$A63,DeadRaw!H:H)</f>
        <v>0</v>
      </c>
      <c r="F63">
        <f>SUMIF(DeadRaw!$B:$B,$A63,DeadRaw!I:I)</f>
        <v>0</v>
      </c>
      <c r="G63">
        <f>SUMIF(DeadRaw!$B:$B,$A63,DeadRaw!J:J)</f>
        <v>0</v>
      </c>
      <c r="H63">
        <f>SUMIF(DeadRaw!$B:$B,$A63,DeadRaw!K:K)</f>
        <v>0</v>
      </c>
      <c r="I63">
        <f>SUMIF(DeadRaw!$B:$B,$A63,DeadRaw!L:L)</f>
        <v>0</v>
      </c>
      <c r="J63">
        <f>SUMIF(DeadRaw!$B:$B,$A63,DeadRaw!M:M)</f>
        <v>0</v>
      </c>
      <c r="K63">
        <f>SUMIF(DeadRaw!$B:$B,$A63,DeadRaw!N:N)</f>
        <v>0</v>
      </c>
      <c r="L63">
        <f>SUMIF(DeadRaw!$B:$B,$A63,DeadRaw!O:O)</f>
        <v>0</v>
      </c>
      <c r="M63">
        <f>SUMIF(DeadRaw!$B:$B,$A63,DeadRaw!P:P)</f>
        <v>0</v>
      </c>
      <c r="N63">
        <f>SUMIF(DeadRaw!$B:$B,$A63,DeadRaw!Q:Q)</f>
        <v>0</v>
      </c>
      <c r="O63">
        <f>SUMIF(DeadRaw!$B:$B,$A63,DeadRaw!R:R)</f>
        <v>0</v>
      </c>
      <c r="P63">
        <f>SUMIF(DeadRaw!$B:$B,$A63,DeadRaw!S:S)</f>
        <v>0</v>
      </c>
      <c r="Q63">
        <f>SUMIF(DeadRaw!$B:$B,$A63,DeadRaw!T:T)</f>
        <v>0</v>
      </c>
      <c r="R63">
        <f>SUMIF(DeadRaw!$B:$B,$A63,DeadRaw!U:U)</f>
        <v>0</v>
      </c>
      <c r="S63">
        <f>SUMIF(DeadRaw!$B:$B,$A63,DeadRaw!V:V)</f>
        <v>0</v>
      </c>
      <c r="T63">
        <f>SUMIF(DeadRaw!$B:$B,$A63,DeadRaw!W:W)</f>
        <v>0</v>
      </c>
      <c r="U63">
        <f>SUMIF(DeadRaw!$B:$B,$A63,DeadRaw!X:X)</f>
        <v>0</v>
      </c>
      <c r="V63">
        <f>SUMIF(DeadRaw!$B:$B,$A63,DeadRaw!Y:Y)</f>
        <v>0</v>
      </c>
      <c r="W63">
        <f>SUMIF(DeadRaw!$B:$B,$A63,DeadRaw!Z:Z)</f>
        <v>0</v>
      </c>
      <c r="X63">
        <f>SUMIF(DeadRaw!$B:$B,$A63,DeadRaw!AA:AA)</f>
        <v>0</v>
      </c>
      <c r="Y63">
        <f>SUMIF(DeadRaw!$B:$B,$A63,DeadRaw!AB:AB)</f>
        <v>0</v>
      </c>
      <c r="Z63">
        <f>SUMIF(DeadRaw!$B:$B,$A63,DeadRaw!AC:AC)</f>
        <v>0</v>
      </c>
      <c r="AA63">
        <f>SUMIF(DeadRaw!$B:$B,$A63,DeadRaw!AD:AD)</f>
        <v>0</v>
      </c>
      <c r="AB63">
        <f>SUMIF(DeadRaw!$B:$B,$A63,DeadRaw!AE:AE)</f>
        <v>0</v>
      </c>
      <c r="AC63">
        <f>SUMIF(DeadRaw!$B:$B,$A63,DeadRaw!AF:AF)</f>
        <v>0</v>
      </c>
      <c r="AD63">
        <f>SUMIF(DeadRaw!$B:$B,$A63,DeadRaw!AG:AG)</f>
        <v>0</v>
      </c>
      <c r="AE63">
        <f>SUMIF(DeadRaw!$B:$B,$A63,DeadRaw!AH:AH)</f>
        <v>0</v>
      </c>
      <c r="AF63">
        <f>SUMIF(DeadRaw!$B:$B,$A63,DeadRaw!AI:AI)</f>
        <v>0</v>
      </c>
      <c r="AG63">
        <f>SUMIF(DeadRaw!$B:$B,$A63,DeadRaw!AJ:AJ)</f>
        <v>0</v>
      </c>
      <c r="AH63">
        <f>SUMIF(DeadRaw!$B:$B,$A63,DeadRaw!AK:AK)</f>
        <v>0</v>
      </c>
      <c r="AI63">
        <f>SUMIF(DeadRaw!$B:$B,$A63,DeadRaw!AL:AL)</f>
        <v>0</v>
      </c>
      <c r="AJ63">
        <f>SUMIF(DeadRaw!$B:$B,$A63,DeadRaw!AM:AM)</f>
        <v>0</v>
      </c>
      <c r="AK63">
        <f>SUMIF(DeadRaw!$B:$B,$A63,DeadRaw!AN:AN)</f>
        <v>0</v>
      </c>
      <c r="AL63">
        <f>SUMIF(DeadRaw!$B:$B,$A63,DeadRaw!AO:AO)</f>
        <v>0</v>
      </c>
      <c r="AM63">
        <f>SUMIF(DeadRaw!$B:$B,$A63,DeadRaw!AP:AP)</f>
        <v>0</v>
      </c>
      <c r="AN63">
        <f>SUMIF(DeadRaw!$B:$B,$A63,DeadRaw!AQ:AQ)</f>
        <v>0</v>
      </c>
      <c r="AO63">
        <f>SUMIF(DeadRaw!$B:$B,$A63,DeadRaw!AR:AR)</f>
        <v>0</v>
      </c>
      <c r="AP63">
        <f>SUMIF(DeadRaw!$B:$B,$A63,DeadRaw!AS:AS)</f>
        <v>0</v>
      </c>
      <c r="AQ63">
        <f>SUMIF(DeadRaw!$B:$B,$A63,DeadRaw!AT:AT)</f>
        <v>0</v>
      </c>
      <c r="AR63">
        <f>SUMIF(DeadRaw!$B:$B,$A63,DeadRaw!AU:AU)</f>
        <v>0</v>
      </c>
      <c r="AS63">
        <f>SUMIF(DeadRaw!$B:$B,$A63,DeadRaw!AV:AV)</f>
        <v>0</v>
      </c>
      <c r="AT63">
        <f>SUMIF(DeadRaw!$B:$B,$A63,DeadRaw!AW:AW)</f>
        <v>0</v>
      </c>
      <c r="AU63">
        <f>SUMIF(DeadRaw!$B:$B,$A63,DeadRaw!AX:AX)</f>
        <v>0</v>
      </c>
      <c r="AV63">
        <f>SUMIF(DeadRaw!$B:$B,$A63,DeadRaw!AY:AY)</f>
        <v>0</v>
      </c>
      <c r="AW63">
        <f>SUMIF(DeadRaw!$B:$B,$A63,DeadRaw!AZ:AZ)</f>
        <v>0</v>
      </c>
      <c r="AX63">
        <f>SUMIF(DeadRaw!$B:$B,$A63,DeadRaw!BA:BA)</f>
        <v>0</v>
      </c>
      <c r="AY63">
        <f>SUMIF(DeadRaw!$B:$B,$A63,DeadRaw!BB:BB)</f>
        <v>1</v>
      </c>
      <c r="AZ63">
        <f>SUMIF(DeadRaw!$B:$B,$A63,DeadRaw!BC:BC)</f>
        <v>1</v>
      </c>
      <c r="BA63">
        <f>SUMIF(DeadRaw!$B:$B,$A63,DeadRaw!BD:BD)</f>
        <v>1</v>
      </c>
      <c r="BB63">
        <f>SUMIF(DeadRaw!$B:$B,$A63,DeadRaw!BE:BE)</f>
        <v>1</v>
      </c>
      <c r="BC63">
        <f>SUMIF(DeadRaw!$B:$B,$A63,DeadRaw!BF:BF)</f>
        <v>1</v>
      </c>
      <c r="BD63">
        <f>SUMIF(DeadRaw!$B:$B,$A63,DeadRaw!BG:BG)</f>
        <v>1</v>
      </c>
      <c r="BE63">
        <f>SUMIF(DeadRaw!$B:$B,$A63,DeadRaw!BH:BH)</f>
        <v>1</v>
      </c>
      <c r="BF63">
        <f>SUMIF(DeadRaw!$B:$B,$A63,DeadRaw!BI:BI)</f>
        <v>1</v>
      </c>
      <c r="BG63">
        <f>SUMIF(DeadRaw!$B:$B,$A63,DeadRaw!BJ:BJ)</f>
        <v>1</v>
      </c>
      <c r="BH63">
        <f>SUMIF(DeadRaw!$B:$B,$A63,DeadRaw!BK:BK)</f>
        <v>1</v>
      </c>
      <c r="BI63">
        <f>SUMIF(DeadRaw!$B:$B,$A63,DeadRaw!BL:BL)</f>
        <v>0</v>
      </c>
      <c r="BJ63">
        <f>SUMIF(DeadRaw!$B:$B,$A63,DeadRaw!BM:BM)</f>
        <v>0</v>
      </c>
      <c r="BK63">
        <f>SUMIF(DeadRaw!$B:$B,$A63,DeadRaw!BN:BN)</f>
        <v>0</v>
      </c>
      <c r="BL63">
        <f>SUMIF(DeadRaw!$B:$B,$A63,DeadRaw!BO:BO)</f>
        <v>0</v>
      </c>
      <c r="BM63">
        <f>SUMIF(DeadRaw!$B:$B,$A63,DeadRaw!BP:BP)</f>
        <v>0</v>
      </c>
      <c r="BN63">
        <f>SUMIF(DeadRaw!$B:$B,$A63,DeadRaw!BQ:BQ)</f>
        <v>0</v>
      </c>
      <c r="BO63">
        <f>SUMIF(DeadRaw!$B:$B,$A63,DeadRaw!BR:BR)</f>
        <v>0</v>
      </c>
      <c r="BP63">
        <f>SUMIF(DeadRaw!$B:$B,$A63,DeadRaw!BS:BS)</f>
        <v>0</v>
      </c>
      <c r="BQ63">
        <f>SUMIF(DeadRaw!$B:$B,$A63,DeadRaw!BT:BT)</f>
        <v>0</v>
      </c>
      <c r="BR63">
        <f>SUMIF(DeadRaw!$B:$B,$A63,DeadRaw!BU:BU)</f>
        <v>0</v>
      </c>
      <c r="BS63">
        <f>SUMIF(DeadRaw!$B:$B,$A63,DeadRaw!BV:BV)</f>
        <v>0</v>
      </c>
      <c r="BT63">
        <f>SUMIF(DeadRaw!$B:$B,$A63,DeadRaw!BW:BW)</f>
        <v>0</v>
      </c>
    </row>
    <row r="64" spans="1:72" ht="15" thickBot="1" x14ac:dyDescent="0.35">
      <c r="A64" s="4" t="s">
        <v>75</v>
      </c>
      <c r="B64">
        <f>SUMIF(DeadRaw!$B:$B,$A64,DeadRaw!E:E)</f>
        <v>0</v>
      </c>
      <c r="C64">
        <f>SUMIF(DeadRaw!$B:$B,$A64,DeadRaw!F:F)</f>
        <v>0</v>
      </c>
      <c r="D64">
        <f>SUMIF(DeadRaw!$B:$B,$A64,DeadRaw!G:G)</f>
        <v>0</v>
      </c>
      <c r="E64">
        <f>SUMIF(DeadRaw!$B:$B,$A64,DeadRaw!H:H)</f>
        <v>0</v>
      </c>
      <c r="F64">
        <f>SUMIF(DeadRaw!$B:$B,$A64,DeadRaw!I:I)</f>
        <v>0</v>
      </c>
      <c r="G64">
        <f>SUMIF(DeadRaw!$B:$B,$A64,DeadRaw!J:J)</f>
        <v>0</v>
      </c>
      <c r="H64">
        <f>SUMIF(DeadRaw!$B:$B,$A64,DeadRaw!K:K)</f>
        <v>0</v>
      </c>
      <c r="I64">
        <f>SUMIF(DeadRaw!$B:$B,$A64,DeadRaw!L:L)</f>
        <v>0</v>
      </c>
      <c r="J64">
        <f>SUMIF(DeadRaw!$B:$B,$A64,DeadRaw!M:M)</f>
        <v>0</v>
      </c>
      <c r="K64">
        <f>SUMIF(DeadRaw!$B:$B,$A64,DeadRaw!N:N)</f>
        <v>0</v>
      </c>
      <c r="L64">
        <f>SUMIF(DeadRaw!$B:$B,$A64,DeadRaw!O:O)</f>
        <v>0</v>
      </c>
      <c r="M64">
        <f>SUMIF(DeadRaw!$B:$B,$A64,DeadRaw!P:P)</f>
        <v>0</v>
      </c>
      <c r="N64">
        <f>SUMIF(DeadRaw!$B:$B,$A64,DeadRaw!Q:Q)</f>
        <v>0</v>
      </c>
      <c r="O64">
        <f>SUMIF(DeadRaw!$B:$B,$A64,DeadRaw!R:R)</f>
        <v>0</v>
      </c>
      <c r="P64">
        <f>SUMIF(DeadRaw!$B:$B,$A64,DeadRaw!S:S)</f>
        <v>0</v>
      </c>
      <c r="Q64">
        <f>SUMIF(DeadRaw!$B:$B,$A64,DeadRaw!T:T)</f>
        <v>0</v>
      </c>
      <c r="R64">
        <f>SUMIF(DeadRaw!$B:$B,$A64,DeadRaw!U:U)</f>
        <v>0</v>
      </c>
      <c r="S64">
        <f>SUMIF(DeadRaw!$B:$B,$A64,DeadRaw!V:V)</f>
        <v>0</v>
      </c>
      <c r="T64">
        <f>SUMIF(DeadRaw!$B:$B,$A64,DeadRaw!W:W)</f>
        <v>0</v>
      </c>
      <c r="U64">
        <f>SUMIF(DeadRaw!$B:$B,$A64,DeadRaw!X:X)</f>
        <v>0</v>
      </c>
      <c r="V64">
        <f>SUMIF(DeadRaw!$B:$B,$A64,DeadRaw!Y:Y)</f>
        <v>0</v>
      </c>
      <c r="W64">
        <f>SUMIF(DeadRaw!$B:$B,$A64,DeadRaw!Z:Z)</f>
        <v>0</v>
      </c>
      <c r="X64">
        <f>SUMIF(DeadRaw!$B:$B,$A64,DeadRaw!AA:AA)</f>
        <v>0</v>
      </c>
      <c r="Y64">
        <f>SUMIF(DeadRaw!$B:$B,$A64,DeadRaw!AB:AB)</f>
        <v>0</v>
      </c>
      <c r="Z64">
        <f>SUMIF(DeadRaw!$B:$B,$A64,DeadRaw!AC:AC)</f>
        <v>0</v>
      </c>
      <c r="AA64">
        <f>SUMIF(DeadRaw!$B:$B,$A64,DeadRaw!AD:AD)</f>
        <v>0</v>
      </c>
      <c r="AB64">
        <f>SUMIF(DeadRaw!$B:$B,$A64,DeadRaw!AE:AE)</f>
        <v>0</v>
      </c>
      <c r="AC64">
        <f>SUMIF(DeadRaw!$B:$B,$A64,DeadRaw!AF:AF)</f>
        <v>0</v>
      </c>
      <c r="AD64">
        <f>SUMIF(DeadRaw!$B:$B,$A64,DeadRaw!AG:AG)</f>
        <v>0</v>
      </c>
      <c r="AE64">
        <f>SUMIF(DeadRaw!$B:$B,$A64,DeadRaw!AH:AH)</f>
        <v>0</v>
      </c>
      <c r="AF64">
        <f>SUMIF(DeadRaw!$B:$B,$A64,DeadRaw!AI:AI)</f>
        <v>0</v>
      </c>
      <c r="AG64">
        <f>SUMIF(DeadRaw!$B:$B,$A64,DeadRaw!AJ:AJ)</f>
        <v>0</v>
      </c>
      <c r="AH64">
        <f>SUMIF(DeadRaw!$B:$B,$A64,DeadRaw!AK:AK)</f>
        <v>0</v>
      </c>
      <c r="AI64">
        <f>SUMIF(DeadRaw!$B:$B,$A64,DeadRaw!AL:AL)</f>
        <v>0</v>
      </c>
      <c r="AJ64">
        <f>SUMIF(DeadRaw!$B:$B,$A64,DeadRaw!AM:AM)</f>
        <v>0</v>
      </c>
      <c r="AK64">
        <f>SUMIF(DeadRaw!$B:$B,$A64,DeadRaw!AN:AN)</f>
        <v>0</v>
      </c>
      <c r="AL64">
        <f>SUMIF(DeadRaw!$B:$B,$A64,DeadRaw!AO:AO)</f>
        <v>0</v>
      </c>
      <c r="AM64">
        <f>SUMIF(DeadRaw!$B:$B,$A64,DeadRaw!AP:AP)</f>
        <v>0</v>
      </c>
      <c r="AN64">
        <f>SUMIF(DeadRaw!$B:$B,$A64,DeadRaw!AQ:AQ)</f>
        <v>0</v>
      </c>
      <c r="AO64">
        <f>SUMIF(DeadRaw!$B:$B,$A64,DeadRaw!AR:AR)</f>
        <v>0</v>
      </c>
      <c r="AP64">
        <f>SUMIF(DeadRaw!$B:$B,$A64,DeadRaw!AS:AS)</f>
        <v>0</v>
      </c>
      <c r="AQ64">
        <f>SUMIF(DeadRaw!$B:$B,$A64,DeadRaw!AT:AT)</f>
        <v>0</v>
      </c>
      <c r="AR64">
        <f>SUMIF(DeadRaw!$B:$B,$A64,DeadRaw!AU:AU)</f>
        <v>0</v>
      </c>
      <c r="AS64">
        <f>SUMIF(DeadRaw!$B:$B,$A64,DeadRaw!AV:AV)</f>
        <v>0</v>
      </c>
      <c r="AT64">
        <f>SUMIF(DeadRaw!$B:$B,$A64,DeadRaw!AW:AW)</f>
        <v>0</v>
      </c>
      <c r="AU64">
        <f>SUMIF(DeadRaw!$B:$B,$A64,DeadRaw!AX:AX)</f>
        <v>0</v>
      </c>
      <c r="AV64">
        <f>SUMIF(DeadRaw!$B:$B,$A64,DeadRaw!AY:AY)</f>
        <v>0</v>
      </c>
      <c r="AW64">
        <f>SUMIF(DeadRaw!$B:$B,$A64,DeadRaw!AZ:AZ)</f>
        <v>0</v>
      </c>
      <c r="AX64">
        <f>SUMIF(DeadRaw!$B:$B,$A64,DeadRaw!BA:BA)</f>
        <v>0</v>
      </c>
      <c r="AY64">
        <f>SUMIF(DeadRaw!$B:$B,$A64,DeadRaw!BB:BB)</f>
        <v>0</v>
      </c>
      <c r="AZ64">
        <f>SUMIF(DeadRaw!$B:$B,$A64,DeadRaw!BC:BC)</f>
        <v>1</v>
      </c>
      <c r="BA64">
        <f>SUMIF(DeadRaw!$B:$B,$A64,DeadRaw!BD:BD)</f>
        <v>2</v>
      </c>
      <c r="BB64">
        <f>SUMIF(DeadRaw!$B:$B,$A64,DeadRaw!BE:BE)</f>
        <v>3</v>
      </c>
      <c r="BC64">
        <f>SUMIF(DeadRaw!$B:$B,$A64,DeadRaw!BF:BF)</f>
        <v>4</v>
      </c>
      <c r="BD64">
        <f>SUMIF(DeadRaw!$B:$B,$A64,DeadRaw!BG:BG)</f>
        <v>4</v>
      </c>
      <c r="BE64">
        <f>SUMIF(DeadRaw!$B:$B,$A64,DeadRaw!BH:BH)</f>
        <v>4</v>
      </c>
      <c r="BF64">
        <f>SUMIF(DeadRaw!$B:$B,$A64,DeadRaw!BI:BI)</f>
        <v>7</v>
      </c>
      <c r="BG64">
        <f>SUMIF(DeadRaw!$B:$B,$A64,DeadRaw!BJ:BJ)</f>
        <v>9</v>
      </c>
      <c r="BH64">
        <f>SUMIF(DeadRaw!$B:$B,$A64,DeadRaw!BK:BK)</f>
        <v>11</v>
      </c>
      <c r="BI64">
        <f>SUMIF(DeadRaw!$B:$B,$A64,DeadRaw!BL:BL)</f>
        <v>0</v>
      </c>
      <c r="BJ64">
        <f>SUMIF(DeadRaw!$B:$B,$A64,DeadRaw!BM:BM)</f>
        <v>0</v>
      </c>
      <c r="BK64">
        <f>SUMIF(DeadRaw!$B:$B,$A64,DeadRaw!BN:BN)</f>
        <v>0</v>
      </c>
      <c r="BL64">
        <f>SUMIF(DeadRaw!$B:$B,$A64,DeadRaw!BO:BO)</f>
        <v>0</v>
      </c>
      <c r="BM64">
        <f>SUMIF(DeadRaw!$B:$B,$A64,DeadRaw!BP:BP)</f>
        <v>0</v>
      </c>
      <c r="BN64">
        <f>SUMIF(DeadRaw!$B:$B,$A64,DeadRaw!BQ:BQ)</f>
        <v>0</v>
      </c>
      <c r="BO64">
        <f>SUMIF(DeadRaw!$B:$B,$A64,DeadRaw!BR:BR)</f>
        <v>0</v>
      </c>
      <c r="BP64">
        <f>SUMIF(DeadRaw!$B:$B,$A64,DeadRaw!BS:BS)</f>
        <v>0</v>
      </c>
      <c r="BQ64">
        <f>SUMIF(DeadRaw!$B:$B,$A64,DeadRaw!BT:BT)</f>
        <v>0</v>
      </c>
      <c r="BR64">
        <f>SUMIF(DeadRaw!$B:$B,$A64,DeadRaw!BU:BU)</f>
        <v>0</v>
      </c>
      <c r="BS64">
        <f>SUMIF(DeadRaw!$B:$B,$A64,DeadRaw!BV:BV)</f>
        <v>0</v>
      </c>
      <c r="BT64">
        <f>SUMIF(DeadRaw!$B:$B,$A64,DeadRaw!BW:BW)</f>
        <v>0</v>
      </c>
    </row>
    <row r="65" spans="1:72" ht="15" thickBot="1" x14ac:dyDescent="0.35">
      <c r="A65" s="3" t="s">
        <v>82</v>
      </c>
      <c r="B65">
        <f>SUMIF(DeadRaw!$B:$B,$A65,DeadRaw!E:E)</f>
        <v>0</v>
      </c>
      <c r="C65">
        <f>SUMIF(DeadRaw!$B:$B,$A65,DeadRaw!F:F)</f>
        <v>0</v>
      </c>
      <c r="D65">
        <f>SUMIF(DeadRaw!$B:$B,$A65,DeadRaw!G:G)</f>
        <v>0</v>
      </c>
      <c r="E65">
        <f>SUMIF(DeadRaw!$B:$B,$A65,DeadRaw!H:H)</f>
        <v>0</v>
      </c>
      <c r="F65">
        <f>SUMIF(DeadRaw!$B:$B,$A65,DeadRaw!I:I)</f>
        <v>0</v>
      </c>
      <c r="G65">
        <f>SUMIF(DeadRaw!$B:$B,$A65,DeadRaw!J:J)</f>
        <v>0</v>
      </c>
      <c r="H65">
        <f>SUMIF(DeadRaw!$B:$B,$A65,DeadRaw!K:K)</f>
        <v>0</v>
      </c>
      <c r="I65">
        <f>SUMIF(DeadRaw!$B:$B,$A65,DeadRaw!L:L)</f>
        <v>0</v>
      </c>
      <c r="J65">
        <f>SUMIF(DeadRaw!$B:$B,$A65,DeadRaw!M:M)</f>
        <v>0</v>
      </c>
      <c r="K65">
        <f>SUMIF(DeadRaw!$B:$B,$A65,DeadRaw!N:N)</f>
        <v>0</v>
      </c>
      <c r="L65">
        <f>SUMIF(DeadRaw!$B:$B,$A65,DeadRaw!O:O)</f>
        <v>0</v>
      </c>
      <c r="M65">
        <f>SUMIF(DeadRaw!$B:$B,$A65,DeadRaw!P:P)</f>
        <v>0</v>
      </c>
      <c r="N65">
        <f>SUMIF(DeadRaw!$B:$B,$A65,DeadRaw!Q:Q)</f>
        <v>0</v>
      </c>
      <c r="O65">
        <f>SUMIF(DeadRaw!$B:$B,$A65,DeadRaw!R:R)</f>
        <v>0</v>
      </c>
      <c r="P65">
        <f>SUMIF(DeadRaw!$B:$B,$A65,DeadRaw!S:S)</f>
        <v>0</v>
      </c>
      <c r="Q65">
        <f>SUMIF(DeadRaw!$B:$B,$A65,DeadRaw!T:T)</f>
        <v>0</v>
      </c>
      <c r="R65">
        <f>SUMIF(DeadRaw!$B:$B,$A65,DeadRaw!U:U)</f>
        <v>0</v>
      </c>
      <c r="S65">
        <f>SUMIF(DeadRaw!$B:$B,$A65,DeadRaw!V:V)</f>
        <v>0</v>
      </c>
      <c r="T65">
        <f>SUMIF(DeadRaw!$B:$B,$A65,DeadRaw!W:W)</f>
        <v>0</v>
      </c>
      <c r="U65">
        <f>SUMIF(DeadRaw!$B:$B,$A65,DeadRaw!X:X)</f>
        <v>0</v>
      </c>
      <c r="V65">
        <f>SUMIF(DeadRaw!$B:$B,$A65,DeadRaw!Y:Y)</f>
        <v>0</v>
      </c>
      <c r="W65">
        <f>SUMIF(DeadRaw!$B:$B,$A65,DeadRaw!Z:Z)</f>
        <v>0</v>
      </c>
      <c r="X65">
        <f>SUMIF(DeadRaw!$B:$B,$A65,DeadRaw!AA:AA)</f>
        <v>0</v>
      </c>
      <c r="Y65">
        <f>SUMIF(DeadRaw!$B:$B,$A65,DeadRaw!AB:AB)</f>
        <v>0</v>
      </c>
      <c r="Z65">
        <f>SUMIF(DeadRaw!$B:$B,$A65,DeadRaw!AC:AC)</f>
        <v>0</v>
      </c>
      <c r="AA65">
        <f>SUMIF(DeadRaw!$B:$B,$A65,DeadRaw!AD:AD)</f>
        <v>0</v>
      </c>
      <c r="AB65">
        <f>SUMIF(DeadRaw!$B:$B,$A65,DeadRaw!AE:AE)</f>
        <v>0</v>
      </c>
      <c r="AC65">
        <f>SUMIF(DeadRaw!$B:$B,$A65,DeadRaw!AF:AF)</f>
        <v>0</v>
      </c>
      <c r="AD65">
        <f>SUMIF(DeadRaw!$B:$B,$A65,DeadRaw!AG:AG)</f>
        <v>0</v>
      </c>
      <c r="AE65">
        <f>SUMIF(DeadRaw!$B:$B,$A65,DeadRaw!AH:AH)</f>
        <v>0</v>
      </c>
      <c r="AF65">
        <f>SUMIF(DeadRaw!$B:$B,$A65,DeadRaw!AI:AI)</f>
        <v>0</v>
      </c>
      <c r="AG65">
        <f>SUMIF(DeadRaw!$B:$B,$A65,DeadRaw!AJ:AJ)</f>
        <v>0</v>
      </c>
      <c r="AH65">
        <f>SUMIF(DeadRaw!$B:$B,$A65,DeadRaw!AK:AK)</f>
        <v>0</v>
      </c>
      <c r="AI65">
        <f>SUMIF(DeadRaw!$B:$B,$A65,DeadRaw!AL:AL)</f>
        <v>0</v>
      </c>
      <c r="AJ65">
        <f>SUMIF(DeadRaw!$B:$B,$A65,DeadRaw!AM:AM)</f>
        <v>0</v>
      </c>
      <c r="AK65">
        <f>SUMIF(DeadRaw!$B:$B,$A65,DeadRaw!AN:AN)</f>
        <v>0</v>
      </c>
      <c r="AL65">
        <f>SUMIF(DeadRaw!$B:$B,$A65,DeadRaw!AO:AO)</f>
        <v>0</v>
      </c>
      <c r="AM65">
        <f>SUMIF(DeadRaw!$B:$B,$A65,DeadRaw!AP:AP)</f>
        <v>0</v>
      </c>
      <c r="AN65">
        <f>SUMIF(DeadRaw!$B:$B,$A65,DeadRaw!AQ:AQ)</f>
        <v>0</v>
      </c>
      <c r="AO65">
        <f>SUMIF(DeadRaw!$B:$B,$A65,DeadRaw!AR:AR)</f>
        <v>0</v>
      </c>
      <c r="AP65">
        <f>SUMIF(DeadRaw!$B:$B,$A65,DeadRaw!AS:AS)</f>
        <v>0</v>
      </c>
      <c r="AQ65">
        <f>SUMIF(DeadRaw!$B:$B,$A65,DeadRaw!AT:AT)</f>
        <v>0</v>
      </c>
      <c r="AR65">
        <f>SUMIF(DeadRaw!$B:$B,$A65,DeadRaw!AU:AU)</f>
        <v>0</v>
      </c>
      <c r="AS65">
        <f>SUMIF(DeadRaw!$B:$B,$A65,DeadRaw!AV:AV)</f>
        <v>0</v>
      </c>
      <c r="AT65">
        <f>SUMIF(DeadRaw!$B:$B,$A65,DeadRaw!AW:AW)</f>
        <v>0</v>
      </c>
      <c r="AU65">
        <f>SUMIF(DeadRaw!$B:$B,$A65,DeadRaw!AX:AX)</f>
        <v>0</v>
      </c>
      <c r="AV65">
        <f>SUMIF(DeadRaw!$B:$B,$A65,DeadRaw!AY:AY)</f>
        <v>0</v>
      </c>
      <c r="AW65">
        <f>SUMIF(DeadRaw!$B:$B,$A65,DeadRaw!AZ:AZ)</f>
        <v>0</v>
      </c>
      <c r="AX65">
        <f>SUMIF(DeadRaw!$B:$B,$A65,DeadRaw!BA:BA)</f>
        <v>0</v>
      </c>
      <c r="AY65">
        <f>SUMIF(DeadRaw!$B:$B,$A65,DeadRaw!BB:BB)</f>
        <v>0</v>
      </c>
      <c r="AZ65">
        <f>SUMIF(DeadRaw!$B:$B,$A65,DeadRaw!BC:BC)</f>
        <v>0</v>
      </c>
      <c r="BA65">
        <f>SUMIF(DeadRaw!$B:$B,$A65,DeadRaw!BD:BD)</f>
        <v>0</v>
      </c>
      <c r="BB65">
        <f>SUMIF(DeadRaw!$B:$B,$A65,DeadRaw!BE:BE)</f>
        <v>0</v>
      </c>
      <c r="BC65">
        <f>SUMIF(DeadRaw!$B:$B,$A65,DeadRaw!BF:BF)</f>
        <v>0</v>
      </c>
      <c r="BD65">
        <f>SUMIF(DeadRaw!$B:$B,$A65,DeadRaw!BG:BG)</f>
        <v>0</v>
      </c>
      <c r="BE65">
        <f>SUMIF(DeadRaw!$B:$B,$A65,DeadRaw!BH:BH)</f>
        <v>0</v>
      </c>
      <c r="BF65">
        <f>SUMIF(DeadRaw!$B:$B,$A65,DeadRaw!BI:BI)</f>
        <v>0</v>
      </c>
      <c r="BG65">
        <f>SUMIF(DeadRaw!$B:$B,$A65,DeadRaw!BJ:BJ)</f>
        <v>0</v>
      </c>
      <c r="BH65">
        <f>SUMIF(DeadRaw!$B:$B,$A65,DeadRaw!BK:BK)</f>
        <v>0</v>
      </c>
      <c r="BI65">
        <f>SUMIF(DeadRaw!$B:$B,$A65,DeadRaw!BL:BL)</f>
        <v>0</v>
      </c>
      <c r="BJ65">
        <f>SUMIF(DeadRaw!$B:$B,$A65,DeadRaw!BM:BM)</f>
        <v>0</v>
      </c>
      <c r="BK65">
        <f>SUMIF(DeadRaw!$B:$B,$A65,DeadRaw!BN:BN)</f>
        <v>0</v>
      </c>
      <c r="BL65">
        <f>SUMIF(DeadRaw!$B:$B,$A65,DeadRaw!BO:BO)</f>
        <v>0</v>
      </c>
      <c r="BM65">
        <f>SUMIF(DeadRaw!$B:$B,$A65,DeadRaw!BP:BP)</f>
        <v>0</v>
      </c>
      <c r="BN65">
        <f>SUMIF(DeadRaw!$B:$B,$A65,DeadRaw!BQ:BQ)</f>
        <v>0</v>
      </c>
      <c r="BO65">
        <f>SUMIF(DeadRaw!$B:$B,$A65,DeadRaw!BR:BR)</f>
        <v>0</v>
      </c>
      <c r="BP65">
        <f>SUMIF(DeadRaw!$B:$B,$A65,DeadRaw!BS:BS)</f>
        <v>0</v>
      </c>
      <c r="BQ65">
        <f>SUMIF(DeadRaw!$B:$B,$A65,DeadRaw!BT:BT)</f>
        <v>0</v>
      </c>
      <c r="BR65">
        <f>SUMIF(DeadRaw!$B:$B,$A65,DeadRaw!BU:BU)</f>
        <v>0</v>
      </c>
      <c r="BS65">
        <f>SUMIF(DeadRaw!$B:$B,$A65,DeadRaw!BV:BV)</f>
        <v>0</v>
      </c>
      <c r="BT65">
        <f>SUMIF(DeadRaw!$B:$B,$A65,DeadRaw!BW:BW)</f>
        <v>0</v>
      </c>
    </row>
    <row r="66" spans="1:72" ht="15" thickBot="1" x14ac:dyDescent="0.35">
      <c r="A66" s="3" t="s">
        <v>145</v>
      </c>
      <c r="B66">
        <f>SUMIF(DeadRaw!$B:$B,$A66,DeadRaw!E:E)</f>
        <v>0</v>
      </c>
      <c r="C66">
        <f>SUMIF(DeadRaw!$B:$B,$A66,DeadRaw!F:F)</f>
        <v>0</v>
      </c>
      <c r="D66">
        <f>SUMIF(DeadRaw!$B:$B,$A66,DeadRaw!G:G)</f>
        <v>0</v>
      </c>
      <c r="E66">
        <f>SUMIF(DeadRaw!$B:$B,$A66,DeadRaw!H:H)</f>
        <v>0</v>
      </c>
      <c r="F66">
        <f>SUMIF(DeadRaw!$B:$B,$A66,DeadRaw!I:I)</f>
        <v>0</v>
      </c>
      <c r="G66">
        <f>SUMIF(DeadRaw!$B:$B,$A66,DeadRaw!J:J)</f>
        <v>0</v>
      </c>
      <c r="H66">
        <f>SUMIF(DeadRaw!$B:$B,$A66,DeadRaw!K:K)</f>
        <v>0</v>
      </c>
      <c r="I66">
        <f>SUMIF(DeadRaw!$B:$B,$A66,DeadRaw!L:L)</f>
        <v>0</v>
      </c>
      <c r="J66">
        <f>SUMIF(DeadRaw!$B:$B,$A66,DeadRaw!M:M)</f>
        <v>0</v>
      </c>
      <c r="K66">
        <f>SUMIF(DeadRaw!$B:$B,$A66,DeadRaw!N:N)</f>
        <v>0</v>
      </c>
      <c r="L66">
        <f>SUMIF(DeadRaw!$B:$B,$A66,DeadRaw!O:O)</f>
        <v>0</v>
      </c>
      <c r="M66">
        <f>SUMIF(DeadRaw!$B:$B,$A66,DeadRaw!P:P)</f>
        <v>0</v>
      </c>
      <c r="N66">
        <f>SUMIF(DeadRaw!$B:$B,$A66,DeadRaw!Q:Q)</f>
        <v>0</v>
      </c>
      <c r="O66">
        <f>SUMIF(DeadRaw!$B:$B,$A66,DeadRaw!R:R)</f>
        <v>0</v>
      </c>
      <c r="P66">
        <f>SUMIF(DeadRaw!$B:$B,$A66,DeadRaw!S:S)</f>
        <v>0</v>
      </c>
      <c r="Q66">
        <f>SUMIF(DeadRaw!$B:$B,$A66,DeadRaw!T:T)</f>
        <v>0</v>
      </c>
      <c r="R66">
        <f>SUMIF(DeadRaw!$B:$B,$A66,DeadRaw!U:U)</f>
        <v>0</v>
      </c>
      <c r="S66">
        <f>SUMIF(DeadRaw!$B:$B,$A66,DeadRaw!V:V)</f>
        <v>0</v>
      </c>
      <c r="T66">
        <f>SUMIF(DeadRaw!$B:$B,$A66,DeadRaw!W:W)</f>
        <v>0</v>
      </c>
      <c r="U66">
        <f>SUMIF(DeadRaw!$B:$B,$A66,DeadRaw!X:X)</f>
        <v>0</v>
      </c>
      <c r="V66">
        <f>SUMIF(DeadRaw!$B:$B,$A66,DeadRaw!Y:Y)</f>
        <v>0</v>
      </c>
      <c r="W66">
        <f>SUMIF(DeadRaw!$B:$B,$A66,DeadRaw!Z:Z)</f>
        <v>0</v>
      </c>
      <c r="X66">
        <f>SUMIF(DeadRaw!$B:$B,$A66,DeadRaw!AA:AA)</f>
        <v>0</v>
      </c>
      <c r="Y66">
        <f>SUMIF(DeadRaw!$B:$B,$A66,DeadRaw!AB:AB)</f>
        <v>0</v>
      </c>
      <c r="Z66">
        <f>SUMIF(DeadRaw!$B:$B,$A66,DeadRaw!AC:AC)</f>
        <v>0</v>
      </c>
      <c r="AA66">
        <f>SUMIF(DeadRaw!$B:$B,$A66,DeadRaw!AD:AD)</f>
        <v>0</v>
      </c>
      <c r="AB66">
        <f>SUMIF(DeadRaw!$B:$B,$A66,DeadRaw!AE:AE)</f>
        <v>0</v>
      </c>
      <c r="AC66">
        <f>SUMIF(DeadRaw!$B:$B,$A66,DeadRaw!AF:AF)</f>
        <v>0</v>
      </c>
      <c r="AD66">
        <f>SUMIF(DeadRaw!$B:$B,$A66,DeadRaw!AG:AG)</f>
        <v>0</v>
      </c>
      <c r="AE66">
        <f>SUMIF(DeadRaw!$B:$B,$A66,DeadRaw!AH:AH)</f>
        <v>0</v>
      </c>
      <c r="AF66">
        <f>SUMIF(DeadRaw!$B:$B,$A66,DeadRaw!AI:AI)</f>
        <v>0</v>
      </c>
      <c r="AG66">
        <f>SUMIF(DeadRaw!$B:$B,$A66,DeadRaw!AJ:AJ)</f>
        <v>0</v>
      </c>
      <c r="AH66">
        <f>SUMIF(DeadRaw!$B:$B,$A66,DeadRaw!AK:AK)</f>
        <v>0</v>
      </c>
      <c r="AI66">
        <f>SUMIF(DeadRaw!$B:$B,$A66,DeadRaw!AL:AL)</f>
        <v>0</v>
      </c>
      <c r="AJ66">
        <f>SUMIF(DeadRaw!$B:$B,$A66,DeadRaw!AM:AM)</f>
        <v>0</v>
      </c>
      <c r="AK66">
        <f>SUMIF(DeadRaw!$B:$B,$A66,DeadRaw!AN:AN)</f>
        <v>0</v>
      </c>
      <c r="AL66">
        <f>SUMIF(DeadRaw!$B:$B,$A66,DeadRaw!AO:AO)</f>
        <v>0</v>
      </c>
      <c r="AM66">
        <f>SUMIF(DeadRaw!$B:$B,$A66,DeadRaw!AP:AP)</f>
        <v>0</v>
      </c>
      <c r="AN66">
        <f>SUMIF(DeadRaw!$B:$B,$A66,DeadRaw!AQ:AQ)</f>
        <v>0</v>
      </c>
      <c r="AO66">
        <f>SUMIF(DeadRaw!$B:$B,$A66,DeadRaw!AR:AR)</f>
        <v>0</v>
      </c>
      <c r="AP66">
        <f>SUMIF(DeadRaw!$B:$B,$A66,DeadRaw!AS:AS)</f>
        <v>0</v>
      </c>
      <c r="AQ66">
        <f>SUMIF(DeadRaw!$B:$B,$A66,DeadRaw!AT:AT)</f>
        <v>0</v>
      </c>
      <c r="AR66">
        <f>SUMIF(DeadRaw!$B:$B,$A66,DeadRaw!AU:AU)</f>
        <v>0</v>
      </c>
      <c r="AS66">
        <f>SUMIF(DeadRaw!$B:$B,$A66,DeadRaw!AV:AV)</f>
        <v>0</v>
      </c>
      <c r="AT66">
        <f>SUMIF(DeadRaw!$B:$B,$A66,DeadRaw!AW:AW)</f>
        <v>0</v>
      </c>
      <c r="AU66">
        <f>SUMIF(DeadRaw!$B:$B,$A66,DeadRaw!AX:AX)</f>
        <v>0</v>
      </c>
      <c r="AV66">
        <f>SUMIF(DeadRaw!$B:$B,$A66,DeadRaw!AY:AY)</f>
        <v>0</v>
      </c>
      <c r="AW66">
        <f>SUMIF(DeadRaw!$B:$B,$A66,DeadRaw!AZ:AZ)</f>
        <v>0</v>
      </c>
      <c r="AX66">
        <f>SUMIF(DeadRaw!$B:$B,$A66,DeadRaw!BA:BA)</f>
        <v>0</v>
      </c>
      <c r="AY66">
        <f>SUMIF(DeadRaw!$B:$B,$A66,DeadRaw!BB:BB)</f>
        <v>0</v>
      </c>
      <c r="AZ66">
        <f>SUMIF(DeadRaw!$B:$B,$A66,DeadRaw!BC:BC)</f>
        <v>0</v>
      </c>
      <c r="BA66">
        <f>SUMIF(DeadRaw!$B:$B,$A66,DeadRaw!BD:BD)</f>
        <v>0</v>
      </c>
      <c r="BB66">
        <f>SUMIF(DeadRaw!$B:$B,$A66,DeadRaw!BE:BE)</f>
        <v>0</v>
      </c>
      <c r="BC66">
        <f>SUMIF(DeadRaw!$B:$B,$A66,DeadRaw!BF:BF)</f>
        <v>0</v>
      </c>
      <c r="BD66">
        <f>SUMIF(DeadRaw!$B:$B,$A66,DeadRaw!BG:BG)</f>
        <v>0</v>
      </c>
      <c r="BE66">
        <f>SUMIF(DeadRaw!$B:$B,$A66,DeadRaw!BH:BH)</f>
        <v>0</v>
      </c>
      <c r="BF66">
        <f>SUMIF(DeadRaw!$B:$B,$A66,DeadRaw!BI:BI)</f>
        <v>0</v>
      </c>
      <c r="BG66">
        <f>SUMIF(DeadRaw!$B:$B,$A66,DeadRaw!BJ:BJ)</f>
        <v>0</v>
      </c>
      <c r="BH66">
        <f>SUMIF(DeadRaw!$B:$B,$A66,DeadRaw!BK:BK)</f>
        <v>0</v>
      </c>
      <c r="BI66">
        <f>SUMIF(DeadRaw!$B:$B,$A66,DeadRaw!BL:BL)</f>
        <v>0</v>
      </c>
      <c r="BJ66">
        <f>SUMIF(DeadRaw!$B:$B,$A66,DeadRaw!BM:BM)</f>
        <v>0</v>
      </c>
      <c r="BK66">
        <f>SUMIF(DeadRaw!$B:$B,$A66,DeadRaw!BN:BN)</f>
        <v>0</v>
      </c>
      <c r="BL66">
        <f>SUMIF(DeadRaw!$B:$B,$A66,DeadRaw!BO:BO)</f>
        <v>0</v>
      </c>
      <c r="BM66">
        <f>SUMIF(DeadRaw!$B:$B,$A66,DeadRaw!BP:BP)</f>
        <v>0</v>
      </c>
      <c r="BN66">
        <f>SUMIF(DeadRaw!$B:$B,$A66,DeadRaw!BQ:BQ)</f>
        <v>0</v>
      </c>
      <c r="BO66">
        <f>SUMIF(DeadRaw!$B:$B,$A66,DeadRaw!BR:BR)</f>
        <v>0</v>
      </c>
      <c r="BP66">
        <f>SUMIF(DeadRaw!$B:$B,$A66,DeadRaw!BS:BS)</f>
        <v>0</v>
      </c>
      <c r="BQ66">
        <f>SUMIF(DeadRaw!$B:$B,$A66,DeadRaw!BT:BT)</f>
        <v>0</v>
      </c>
      <c r="BR66">
        <f>SUMIF(DeadRaw!$B:$B,$A66,DeadRaw!BU:BU)</f>
        <v>0</v>
      </c>
      <c r="BS66">
        <f>SUMIF(DeadRaw!$B:$B,$A66,DeadRaw!BV:BV)</f>
        <v>0</v>
      </c>
      <c r="BT66">
        <f>SUMIF(DeadRaw!$B:$B,$A66,DeadRaw!BW:BW)</f>
        <v>0</v>
      </c>
    </row>
    <row r="67" spans="1:72" ht="15" thickBot="1" x14ac:dyDescent="0.35">
      <c r="A67" s="3" t="s">
        <v>199</v>
      </c>
      <c r="B67">
        <f>SUMIF(DeadRaw!$B:$B,$A67,DeadRaw!E:E)</f>
        <v>0</v>
      </c>
      <c r="C67">
        <f>SUMIF(DeadRaw!$B:$B,$A67,DeadRaw!F:F)</f>
        <v>0</v>
      </c>
      <c r="D67">
        <f>SUMIF(DeadRaw!$B:$B,$A67,DeadRaw!G:G)</f>
        <v>0</v>
      </c>
      <c r="E67">
        <f>SUMIF(DeadRaw!$B:$B,$A67,DeadRaw!H:H)</f>
        <v>0</v>
      </c>
      <c r="F67">
        <f>SUMIF(DeadRaw!$B:$B,$A67,DeadRaw!I:I)</f>
        <v>0</v>
      </c>
      <c r="G67">
        <f>SUMIF(DeadRaw!$B:$B,$A67,DeadRaw!J:J)</f>
        <v>0</v>
      </c>
      <c r="H67">
        <f>SUMIF(DeadRaw!$B:$B,$A67,DeadRaw!K:K)</f>
        <v>0</v>
      </c>
      <c r="I67">
        <f>SUMIF(DeadRaw!$B:$B,$A67,DeadRaw!L:L)</f>
        <v>0</v>
      </c>
      <c r="J67">
        <f>SUMIF(DeadRaw!$B:$B,$A67,DeadRaw!M:M)</f>
        <v>0</v>
      </c>
      <c r="K67">
        <f>SUMIF(DeadRaw!$B:$B,$A67,DeadRaw!N:N)</f>
        <v>0</v>
      </c>
      <c r="L67">
        <f>SUMIF(DeadRaw!$B:$B,$A67,DeadRaw!O:O)</f>
        <v>0</v>
      </c>
      <c r="M67">
        <f>SUMIF(DeadRaw!$B:$B,$A67,DeadRaw!P:P)</f>
        <v>0</v>
      </c>
      <c r="N67">
        <f>SUMIF(DeadRaw!$B:$B,$A67,DeadRaw!Q:Q)</f>
        <v>0</v>
      </c>
      <c r="O67">
        <f>SUMIF(DeadRaw!$B:$B,$A67,DeadRaw!R:R)</f>
        <v>0</v>
      </c>
      <c r="P67">
        <f>SUMIF(DeadRaw!$B:$B,$A67,DeadRaw!S:S)</f>
        <v>0</v>
      </c>
      <c r="Q67">
        <f>SUMIF(DeadRaw!$B:$B,$A67,DeadRaw!T:T)</f>
        <v>0</v>
      </c>
      <c r="R67">
        <f>SUMIF(DeadRaw!$B:$B,$A67,DeadRaw!U:U)</f>
        <v>0</v>
      </c>
      <c r="S67">
        <f>SUMIF(DeadRaw!$B:$B,$A67,DeadRaw!V:V)</f>
        <v>0</v>
      </c>
      <c r="T67">
        <f>SUMIF(DeadRaw!$B:$B,$A67,DeadRaw!W:W)</f>
        <v>0</v>
      </c>
      <c r="U67">
        <f>SUMIF(DeadRaw!$B:$B,$A67,DeadRaw!X:X)</f>
        <v>0</v>
      </c>
      <c r="V67">
        <f>SUMIF(DeadRaw!$B:$B,$A67,DeadRaw!Y:Y)</f>
        <v>0</v>
      </c>
      <c r="W67">
        <f>SUMIF(DeadRaw!$B:$B,$A67,DeadRaw!Z:Z)</f>
        <v>0</v>
      </c>
      <c r="X67">
        <f>SUMIF(DeadRaw!$B:$B,$A67,DeadRaw!AA:AA)</f>
        <v>0</v>
      </c>
      <c r="Y67">
        <f>SUMIF(DeadRaw!$B:$B,$A67,DeadRaw!AB:AB)</f>
        <v>0</v>
      </c>
      <c r="Z67">
        <f>SUMIF(DeadRaw!$B:$B,$A67,DeadRaw!AC:AC)</f>
        <v>0</v>
      </c>
      <c r="AA67">
        <f>SUMIF(DeadRaw!$B:$B,$A67,DeadRaw!AD:AD)</f>
        <v>0</v>
      </c>
      <c r="AB67">
        <f>SUMIF(DeadRaw!$B:$B,$A67,DeadRaw!AE:AE)</f>
        <v>0</v>
      </c>
      <c r="AC67">
        <f>SUMIF(DeadRaw!$B:$B,$A67,DeadRaw!AF:AF)</f>
        <v>0</v>
      </c>
      <c r="AD67">
        <f>SUMIF(DeadRaw!$B:$B,$A67,DeadRaw!AG:AG)</f>
        <v>0</v>
      </c>
      <c r="AE67">
        <f>SUMIF(DeadRaw!$B:$B,$A67,DeadRaw!AH:AH)</f>
        <v>0</v>
      </c>
      <c r="AF67">
        <f>SUMIF(DeadRaw!$B:$B,$A67,DeadRaw!AI:AI)</f>
        <v>0</v>
      </c>
      <c r="AG67">
        <f>SUMIF(DeadRaw!$B:$B,$A67,DeadRaw!AJ:AJ)</f>
        <v>0</v>
      </c>
      <c r="AH67">
        <f>SUMIF(DeadRaw!$B:$B,$A67,DeadRaw!AK:AK)</f>
        <v>0</v>
      </c>
      <c r="AI67">
        <f>SUMIF(DeadRaw!$B:$B,$A67,DeadRaw!AL:AL)</f>
        <v>0</v>
      </c>
      <c r="AJ67">
        <f>SUMIF(DeadRaw!$B:$B,$A67,DeadRaw!AM:AM)</f>
        <v>0</v>
      </c>
      <c r="AK67">
        <f>SUMIF(DeadRaw!$B:$B,$A67,DeadRaw!AN:AN)</f>
        <v>0</v>
      </c>
      <c r="AL67">
        <f>SUMIF(DeadRaw!$B:$B,$A67,DeadRaw!AO:AO)</f>
        <v>0</v>
      </c>
      <c r="AM67">
        <f>SUMIF(DeadRaw!$B:$B,$A67,DeadRaw!AP:AP)</f>
        <v>0</v>
      </c>
      <c r="AN67">
        <f>SUMIF(DeadRaw!$B:$B,$A67,DeadRaw!AQ:AQ)</f>
        <v>0</v>
      </c>
      <c r="AO67">
        <f>SUMIF(DeadRaw!$B:$B,$A67,DeadRaw!AR:AR)</f>
        <v>0</v>
      </c>
      <c r="AP67">
        <f>SUMIF(DeadRaw!$B:$B,$A67,DeadRaw!AS:AS)</f>
        <v>0</v>
      </c>
      <c r="AQ67">
        <f>SUMIF(DeadRaw!$B:$B,$A67,DeadRaw!AT:AT)</f>
        <v>0</v>
      </c>
      <c r="AR67">
        <f>SUMIF(DeadRaw!$B:$B,$A67,DeadRaw!AU:AU)</f>
        <v>0</v>
      </c>
      <c r="AS67">
        <f>SUMIF(DeadRaw!$B:$B,$A67,DeadRaw!AV:AV)</f>
        <v>0</v>
      </c>
      <c r="AT67">
        <f>SUMIF(DeadRaw!$B:$B,$A67,DeadRaw!AW:AW)</f>
        <v>0</v>
      </c>
      <c r="AU67">
        <f>SUMIF(DeadRaw!$B:$B,$A67,DeadRaw!AX:AX)</f>
        <v>0</v>
      </c>
      <c r="AV67">
        <f>SUMIF(DeadRaw!$B:$B,$A67,DeadRaw!AY:AY)</f>
        <v>0</v>
      </c>
      <c r="AW67">
        <f>SUMIF(DeadRaw!$B:$B,$A67,DeadRaw!AZ:AZ)</f>
        <v>0</v>
      </c>
      <c r="AX67">
        <f>SUMIF(DeadRaw!$B:$B,$A67,DeadRaw!BA:BA)</f>
        <v>0</v>
      </c>
      <c r="AY67">
        <f>SUMIF(DeadRaw!$B:$B,$A67,DeadRaw!BB:BB)</f>
        <v>1</v>
      </c>
      <c r="AZ67">
        <f>SUMIF(DeadRaw!$B:$B,$A67,DeadRaw!BC:BC)</f>
        <v>1</v>
      </c>
      <c r="BA67">
        <f>SUMIF(DeadRaw!$B:$B,$A67,DeadRaw!BD:BD)</f>
        <v>1</v>
      </c>
      <c r="BB67">
        <f>SUMIF(DeadRaw!$B:$B,$A67,DeadRaw!BE:BE)</f>
        <v>2</v>
      </c>
      <c r="BC67">
        <f>SUMIF(DeadRaw!$B:$B,$A67,DeadRaw!BF:BF)</f>
        <v>2</v>
      </c>
      <c r="BD67">
        <f>SUMIF(DeadRaw!$B:$B,$A67,DeadRaw!BG:BG)</f>
        <v>2</v>
      </c>
      <c r="BE67">
        <f>SUMIF(DeadRaw!$B:$B,$A67,DeadRaw!BH:BH)</f>
        <v>2</v>
      </c>
      <c r="BF67">
        <f>SUMIF(DeadRaw!$B:$B,$A67,DeadRaw!BI:BI)</f>
        <v>2</v>
      </c>
      <c r="BG67">
        <f>SUMIF(DeadRaw!$B:$B,$A67,DeadRaw!BJ:BJ)</f>
        <v>3</v>
      </c>
      <c r="BH67">
        <f>SUMIF(DeadRaw!$B:$B,$A67,DeadRaw!BK:BK)</f>
        <v>3</v>
      </c>
      <c r="BI67">
        <f>SUMIF(DeadRaw!$B:$B,$A67,DeadRaw!BL:BL)</f>
        <v>0</v>
      </c>
      <c r="BJ67">
        <f>SUMIF(DeadRaw!$B:$B,$A67,DeadRaw!BM:BM)</f>
        <v>0</v>
      </c>
      <c r="BK67">
        <f>SUMIF(DeadRaw!$B:$B,$A67,DeadRaw!BN:BN)</f>
        <v>0</v>
      </c>
      <c r="BL67">
        <f>SUMIF(DeadRaw!$B:$B,$A67,DeadRaw!BO:BO)</f>
        <v>0</v>
      </c>
      <c r="BM67">
        <f>SUMIF(DeadRaw!$B:$B,$A67,DeadRaw!BP:BP)</f>
        <v>0</v>
      </c>
      <c r="BN67">
        <f>SUMIF(DeadRaw!$B:$B,$A67,DeadRaw!BQ:BQ)</f>
        <v>0</v>
      </c>
      <c r="BO67">
        <f>SUMIF(DeadRaw!$B:$B,$A67,DeadRaw!BR:BR)</f>
        <v>0</v>
      </c>
      <c r="BP67">
        <f>SUMIF(DeadRaw!$B:$B,$A67,DeadRaw!BS:BS)</f>
        <v>0</v>
      </c>
      <c r="BQ67">
        <f>SUMIF(DeadRaw!$B:$B,$A67,DeadRaw!BT:BT)</f>
        <v>0</v>
      </c>
      <c r="BR67">
        <f>SUMIF(DeadRaw!$B:$B,$A67,DeadRaw!BU:BU)</f>
        <v>0</v>
      </c>
      <c r="BS67">
        <f>SUMIF(DeadRaw!$B:$B,$A67,DeadRaw!BV:BV)</f>
        <v>0</v>
      </c>
      <c r="BT67">
        <f>SUMIF(DeadRaw!$B:$B,$A67,DeadRaw!BW:BW)</f>
        <v>0</v>
      </c>
    </row>
    <row r="68" spans="1:72" ht="15" thickBot="1" x14ac:dyDescent="0.35">
      <c r="A68" s="3" t="s">
        <v>159</v>
      </c>
      <c r="B68">
        <f>SUMIF(DeadRaw!$B:$B,$A68,DeadRaw!E:E)</f>
        <v>0</v>
      </c>
      <c r="C68">
        <f>SUMIF(DeadRaw!$B:$B,$A68,DeadRaw!F:F)</f>
        <v>0</v>
      </c>
      <c r="D68">
        <f>SUMIF(DeadRaw!$B:$B,$A68,DeadRaw!G:G)</f>
        <v>0</v>
      </c>
      <c r="E68">
        <f>SUMIF(DeadRaw!$B:$B,$A68,DeadRaw!H:H)</f>
        <v>0</v>
      </c>
      <c r="F68">
        <f>SUMIF(DeadRaw!$B:$B,$A68,DeadRaw!I:I)</f>
        <v>0</v>
      </c>
      <c r="G68">
        <f>SUMIF(DeadRaw!$B:$B,$A68,DeadRaw!J:J)</f>
        <v>0</v>
      </c>
      <c r="H68">
        <f>SUMIF(DeadRaw!$B:$B,$A68,DeadRaw!K:K)</f>
        <v>0</v>
      </c>
      <c r="I68">
        <f>SUMIF(DeadRaw!$B:$B,$A68,DeadRaw!L:L)</f>
        <v>0</v>
      </c>
      <c r="J68">
        <f>SUMIF(DeadRaw!$B:$B,$A68,DeadRaw!M:M)</f>
        <v>0</v>
      </c>
      <c r="K68">
        <f>SUMIF(DeadRaw!$B:$B,$A68,DeadRaw!N:N)</f>
        <v>0</v>
      </c>
      <c r="L68">
        <f>SUMIF(DeadRaw!$B:$B,$A68,DeadRaw!O:O)</f>
        <v>0</v>
      </c>
      <c r="M68">
        <f>SUMIF(DeadRaw!$B:$B,$A68,DeadRaw!P:P)</f>
        <v>0</v>
      </c>
      <c r="N68">
        <f>SUMIF(DeadRaw!$B:$B,$A68,DeadRaw!Q:Q)</f>
        <v>0</v>
      </c>
      <c r="O68">
        <f>SUMIF(DeadRaw!$B:$B,$A68,DeadRaw!R:R)</f>
        <v>0</v>
      </c>
      <c r="P68">
        <f>SUMIF(DeadRaw!$B:$B,$A68,DeadRaw!S:S)</f>
        <v>0</v>
      </c>
      <c r="Q68">
        <f>SUMIF(DeadRaw!$B:$B,$A68,DeadRaw!T:T)</f>
        <v>0</v>
      </c>
      <c r="R68">
        <f>SUMIF(DeadRaw!$B:$B,$A68,DeadRaw!U:U)</f>
        <v>0</v>
      </c>
      <c r="S68">
        <f>SUMIF(DeadRaw!$B:$B,$A68,DeadRaw!V:V)</f>
        <v>0</v>
      </c>
      <c r="T68">
        <f>SUMIF(DeadRaw!$B:$B,$A68,DeadRaw!W:W)</f>
        <v>0</v>
      </c>
      <c r="U68">
        <f>SUMIF(DeadRaw!$B:$B,$A68,DeadRaw!X:X)</f>
        <v>0</v>
      </c>
      <c r="V68">
        <f>SUMIF(DeadRaw!$B:$B,$A68,DeadRaw!Y:Y)</f>
        <v>0</v>
      </c>
      <c r="W68">
        <f>SUMIF(DeadRaw!$B:$B,$A68,DeadRaw!Z:Z)</f>
        <v>0</v>
      </c>
      <c r="X68">
        <f>SUMIF(DeadRaw!$B:$B,$A68,DeadRaw!AA:AA)</f>
        <v>0</v>
      </c>
      <c r="Y68">
        <f>SUMIF(DeadRaw!$B:$B,$A68,DeadRaw!AB:AB)</f>
        <v>0</v>
      </c>
      <c r="Z68">
        <f>SUMIF(DeadRaw!$B:$B,$A68,DeadRaw!AC:AC)</f>
        <v>0</v>
      </c>
      <c r="AA68">
        <f>SUMIF(DeadRaw!$B:$B,$A68,DeadRaw!AD:AD)</f>
        <v>0</v>
      </c>
      <c r="AB68">
        <f>SUMIF(DeadRaw!$B:$B,$A68,DeadRaw!AE:AE)</f>
        <v>0</v>
      </c>
      <c r="AC68">
        <f>SUMIF(DeadRaw!$B:$B,$A68,DeadRaw!AF:AF)</f>
        <v>0</v>
      </c>
      <c r="AD68">
        <f>SUMIF(DeadRaw!$B:$B,$A68,DeadRaw!AG:AG)</f>
        <v>0</v>
      </c>
      <c r="AE68">
        <f>SUMIF(DeadRaw!$B:$B,$A68,DeadRaw!AH:AH)</f>
        <v>0</v>
      </c>
      <c r="AF68">
        <f>SUMIF(DeadRaw!$B:$B,$A68,DeadRaw!AI:AI)</f>
        <v>0</v>
      </c>
      <c r="AG68">
        <f>SUMIF(DeadRaw!$B:$B,$A68,DeadRaw!AJ:AJ)</f>
        <v>0</v>
      </c>
      <c r="AH68">
        <f>SUMIF(DeadRaw!$B:$B,$A68,DeadRaw!AK:AK)</f>
        <v>0</v>
      </c>
      <c r="AI68">
        <f>SUMIF(DeadRaw!$B:$B,$A68,DeadRaw!AL:AL)</f>
        <v>0</v>
      </c>
      <c r="AJ68">
        <f>SUMIF(DeadRaw!$B:$B,$A68,DeadRaw!AM:AM)</f>
        <v>0</v>
      </c>
      <c r="AK68">
        <f>SUMIF(DeadRaw!$B:$B,$A68,DeadRaw!AN:AN)</f>
        <v>0</v>
      </c>
      <c r="AL68">
        <f>SUMIF(DeadRaw!$B:$B,$A68,DeadRaw!AO:AO)</f>
        <v>0</v>
      </c>
      <c r="AM68">
        <f>SUMIF(DeadRaw!$B:$B,$A68,DeadRaw!AP:AP)</f>
        <v>0</v>
      </c>
      <c r="AN68">
        <f>SUMIF(DeadRaw!$B:$B,$A68,DeadRaw!AQ:AQ)</f>
        <v>0</v>
      </c>
      <c r="AO68">
        <f>SUMIF(DeadRaw!$B:$B,$A68,DeadRaw!AR:AR)</f>
        <v>0</v>
      </c>
      <c r="AP68">
        <f>SUMIF(DeadRaw!$B:$B,$A68,DeadRaw!AS:AS)</f>
        <v>0</v>
      </c>
      <c r="AQ68">
        <f>SUMIF(DeadRaw!$B:$B,$A68,DeadRaw!AT:AT)</f>
        <v>0</v>
      </c>
      <c r="AR68">
        <f>SUMIF(DeadRaw!$B:$B,$A68,DeadRaw!AU:AU)</f>
        <v>0</v>
      </c>
      <c r="AS68">
        <f>SUMIF(DeadRaw!$B:$B,$A68,DeadRaw!AV:AV)</f>
        <v>0</v>
      </c>
      <c r="AT68">
        <f>SUMIF(DeadRaw!$B:$B,$A68,DeadRaw!AW:AW)</f>
        <v>0</v>
      </c>
      <c r="AU68">
        <f>SUMIF(DeadRaw!$B:$B,$A68,DeadRaw!AX:AX)</f>
        <v>0</v>
      </c>
      <c r="AV68">
        <f>SUMIF(DeadRaw!$B:$B,$A68,DeadRaw!AY:AY)</f>
        <v>0</v>
      </c>
      <c r="AW68">
        <f>SUMIF(DeadRaw!$B:$B,$A68,DeadRaw!AZ:AZ)</f>
        <v>0</v>
      </c>
      <c r="AX68">
        <f>SUMIF(DeadRaw!$B:$B,$A68,DeadRaw!BA:BA)</f>
        <v>0</v>
      </c>
      <c r="AY68">
        <f>SUMIF(DeadRaw!$B:$B,$A68,DeadRaw!BB:BB)</f>
        <v>0</v>
      </c>
      <c r="AZ68">
        <f>SUMIF(DeadRaw!$B:$B,$A68,DeadRaw!BC:BC)</f>
        <v>0</v>
      </c>
      <c r="BA68">
        <f>SUMIF(DeadRaw!$B:$B,$A68,DeadRaw!BD:BD)</f>
        <v>0</v>
      </c>
      <c r="BB68">
        <f>SUMIF(DeadRaw!$B:$B,$A68,DeadRaw!BE:BE)</f>
        <v>0</v>
      </c>
      <c r="BC68">
        <f>SUMIF(DeadRaw!$B:$B,$A68,DeadRaw!BF:BF)</f>
        <v>0</v>
      </c>
      <c r="BD68">
        <f>SUMIF(DeadRaw!$B:$B,$A68,DeadRaw!BG:BG)</f>
        <v>0</v>
      </c>
      <c r="BE68">
        <f>SUMIF(DeadRaw!$B:$B,$A68,DeadRaw!BH:BH)</f>
        <v>0</v>
      </c>
      <c r="BF68">
        <f>SUMIF(DeadRaw!$B:$B,$A68,DeadRaw!BI:BI)</f>
        <v>0</v>
      </c>
      <c r="BG68">
        <f>SUMIF(DeadRaw!$B:$B,$A68,DeadRaw!BJ:BJ)</f>
        <v>1</v>
      </c>
      <c r="BH68">
        <f>SUMIF(DeadRaw!$B:$B,$A68,DeadRaw!BK:BK)</f>
        <v>1</v>
      </c>
      <c r="BI68">
        <f>SUMIF(DeadRaw!$B:$B,$A68,DeadRaw!BL:BL)</f>
        <v>0</v>
      </c>
      <c r="BJ68">
        <f>SUMIF(DeadRaw!$B:$B,$A68,DeadRaw!BM:BM)</f>
        <v>0</v>
      </c>
      <c r="BK68">
        <f>SUMIF(DeadRaw!$B:$B,$A68,DeadRaw!BN:BN)</f>
        <v>0</v>
      </c>
      <c r="BL68">
        <f>SUMIF(DeadRaw!$B:$B,$A68,DeadRaw!BO:BO)</f>
        <v>0</v>
      </c>
      <c r="BM68">
        <f>SUMIF(DeadRaw!$B:$B,$A68,DeadRaw!BP:BP)</f>
        <v>0</v>
      </c>
      <c r="BN68">
        <f>SUMIF(DeadRaw!$B:$B,$A68,DeadRaw!BQ:BQ)</f>
        <v>0</v>
      </c>
      <c r="BO68">
        <f>SUMIF(DeadRaw!$B:$B,$A68,DeadRaw!BR:BR)</f>
        <v>0</v>
      </c>
      <c r="BP68">
        <f>SUMIF(DeadRaw!$B:$B,$A68,DeadRaw!BS:BS)</f>
        <v>0</v>
      </c>
      <c r="BQ68">
        <f>SUMIF(DeadRaw!$B:$B,$A68,DeadRaw!BT:BT)</f>
        <v>0</v>
      </c>
      <c r="BR68">
        <f>SUMIF(DeadRaw!$B:$B,$A68,DeadRaw!BU:BU)</f>
        <v>0</v>
      </c>
      <c r="BS68">
        <f>SUMIF(DeadRaw!$B:$B,$A68,DeadRaw!BV:BV)</f>
        <v>0</v>
      </c>
      <c r="BT68">
        <f>SUMIF(DeadRaw!$B:$B,$A68,DeadRaw!BW:BW)</f>
        <v>0</v>
      </c>
    </row>
    <row r="69" spans="1:72" ht="15" thickBot="1" x14ac:dyDescent="0.35">
      <c r="A69" s="4" t="s">
        <v>132</v>
      </c>
      <c r="B69">
        <f>SUMIF(DeadRaw!$B:$B,$A69,DeadRaw!E:E)</f>
        <v>0</v>
      </c>
      <c r="C69">
        <f>SUMIF(DeadRaw!$B:$B,$A69,DeadRaw!F:F)</f>
        <v>0</v>
      </c>
      <c r="D69">
        <f>SUMIF(DeadRaw!$B:$B,$A69,DeadRaw!G:G)</f>
        <v>0</v>
      </c>
      <c r="E69">
        <f>SUMIF(DeadRaw!$B:$B,$A69,DeadRaw!H:H)</f>
        <v>0</v>
      </c>
      <c r="F69">
        <f>SUMIF(DeadRaw!$B:$B,$A69,DeadRaw!I:I)</f>
        <v>0</v>
      </c>
      <c r="G69">
        <f>SUMIF(DeadRaw!$B:$B,$A69,DeadRaw!J:J)</f>
        <v>0</v>
      </c>
      <c r="H69">
        <f>SUMIF(DeadRaw!$B:$B,$A69,DeadRaw!K:K)</f>
        <v>0</v>
      </c>
      <c r="I69">
        <f>SUMIF(DeadRaw!$B:$B,$A69,DeadRaw!L:L)</f>
        <v>0</v>
      </c>
      <c r="J69">
        <f>SUMIF(DeadRaw!$B:$B,$A69,DeadRaw!M:M)</f>
        <v>0</v>
      </c>
      <c r="K69">
        <f>SUMIF(DeadRaw!$B:$B,$A69,DeadRaw!N:N)</f>
        <v>0</v>
      </c>
      <c r="L69">
        <f>SUMIF(DeadRaw!$B:$B,$A69,DeadRaw!O:O)</f>
        <v>0</v>
      </c>
      <c r="M69">
        <f>SUMIF(DeadRaw!$B:$B,$A69,DeadRaw!P:P)</f>
        <v>0</v>
      </c>
      <c r="N69">
        <f>SUMIF(DeadRaw!$B:$B,$A69,DeadRaw!Q:Q)</f>
        <v>0</v>
      </c>
      <c r="O69">
        <f>SUMIF(DeadRaw!$B:$B,$A69,DeadRaw!R:R)</f>
        <v>0</v>
      </c>
      <c r="P69">
        <f>SUMIF(DeadRaw!$B:$B,$A69,DeadRaw!S:S)</f>
        <v>0</v>
      </c>
      <c r="Q69">
        <f>SUMIF(DeadRaw!$B:$B,$A69,DeadRaw!T:T)</f>
        <v>0</v>
      </c>
      <c r="R69">
        <f>SUMIF(DeadRaw!$B:$B,$A69,DeadRaw!U:U)</f>
        <v>0</v>
      </c>
      <c r="S69">
        <f>SUMIF(DeadRaw!$B:$B,$A69,DeadRaw!V:V)</f>
        <v>0</v>
      </c>
      <c r="T69">
        <f>SUMIF(DeadRaw!$B:$B,$A69,DeadRaw!W:W)</f>
        <v>0</v>
      </c>
      <c r="U69">
        <f>SUMIF(DeadRaw!$B:$B,$A69,DeadRaw!X:X)</f>
        <v>0</v>
      </c>
      <c r="V69">
        <f>SUMIF(DeadRaw!$B:$B,$A69,DeadRaw!Y:Y)</f>
        <v>0</v>
      </c>
      <c r="W69">
        <f>SUMIF(DeadRaw!$B:$B,$A69,DeadRaw!Z:Z)</f>
        <v>0</v>
      </c>
      <c r="X69">
        <f>SUMIF(DeadRaw!$B:$B,$A69,DeadRaw!AA:AA)</f>
        <v>0</v>
      </c>
      <c r="Y69">
        <f>SUMIF(DeadRaw!$B:$B,$A69,DeadRaw!AB:AB)</f>
        <v>0</v>
      </c>
      <c r="Z69">
        <f>SUMIF(DeadRaw!$B:$B,$A69,DeadRaw!AC:AC)</f>
        <v>0</v>
      </c>
      <c r="AA69">
        <f>SUMIF(DeadRaw!$B:$B,$A69,DeadRaw!AD:AD)</f>
        <v>0</v>
      </c>
      <c r="AB69">
        <f>SUMIF(DeadRaw!$B:$B,$A69,DeadRaw!AE:AE)</f>
        <v>0</v>
      </c>
      <c r="AC69">
        <f>SUMIF(DeadRaw!$B:$B,$A69,DeadRaw!AF:AF)</f>
        <v>0</v>
      </c>
      <c r="AD69">
        <f>SUMIF(DeadRaw!$B:$B,$A69,DeadRaw!AG:AG)</f>
        <v>0</v>
      </c>
      <c r="AE69">
        <f>SUMIF(DeadRaw!$B:$B,$A69,DeadRaw!AH:AH)</f>
        <v>0</v>
      </c>
      <c r="AF69">
        <f>SUMIF(DeadRaw!$B:$B,$A69,DeadRaw!AI:AI)</f>
        <v>0</v>
      </c>
      <c r="AG69">
        <f>SUMIF(DeadRaw!$B:$B,$A69,DeadRaw!AJ:AJ)</f>
        <v>0</v>
      </c>
      <c r="AH69">
        <f>SUMIF(DeadRaw!$B:$B,$A69,DeadRaw!AK:AK)</f>
        <v>0</v>
      </c>
      <c r="AI69">
        <f>SUMIF(DeadRaw!$B:$B,$A69,DeadRaw!AL:AL)</f>
        <v>0</v>
      </c>
      <c r="AJ69">
        <f>SUMIF(DeadRaw!$B:$B,$A69,DeadRaw!AM:AM)</f>
        <v>0</v>
      </c>
      <c r="AK69">
        <f>SUMIF(DeadRaw!$B:$B,$A69,DeadRaw!AN:AN)</f>
        <v>0</v>
      </c>
      <c r="AL69">
        <f>SUMIF(DeadRaw!$B:$B,$A69,DeadRaw!AO:AO)</f>
        <v>0</v>
      </c>
      <c r="AM69">
        <f>SUMIF(DeadRaw!$B:$B,$A69,DeadRaw!AP:AP)</f>
        <v>0</v>
      </c>
      <c r="AN69">
        <f>SUMIF(DeadRaw!$B:$B,$A69,DeadRaw!AQ:AQ)</f>
        <v>0</v>
      </c>
      <c r="AO69">
        <f>SUMIF(DeadRaw!$B:$B,$A69,DeadRaw!AR:AR)</f>
        <v>0</v>
      </c>
      <c r="AP69">
        <f>SUMIF(DeadRaw!$B:$B,$A69,DeadRaw!AS:AS)</f>
        <v>0</v>
      </c>
      <c r="AQ69">
        <f>SUMIF(DeadRaw!$B:$B,$A69,DeadRaw!AT:AT)</f>
        <v>0</v>
      </c>
      <c r="AR69">
        <f>SUMIF(DeadRaw!$B:$B,$A69,DeadRaw!AU:AU)</f>
        <v>0</v>
      </c>
      <c r="AS69">
        <f>SUMIF(DeadRaw!$B:$B,$A69,DeadRaw!AV:AV)</f>
        <v>0</v>
      </c>
      <c r="AT69">
        <f>SUMIF(DeadRaw!$B:$B,$A69,DeadRaw!AW:AW)</f>
        <v>0</v>
      </c>
      <c r="AU69">
        <f>SUMIF(DeadRaw!$B:$B,$A69,DeadRaw!AX:AX)</f>
        <v>0</v>
      </c>
      <c r="AV69">
        <f>SUMIF(DeadRaw!$B:$B,$A69,DeadRaw!AY:AY)</f>
        <v>0</v>
      </c>
      <c r="AW69">
        <f>SUMIF(DeadRaw!$B:$B,$A69,DeadRaw!AZ:AZ)</f>
        <v>0</v>
      </c>
      <c r="AX69">
        <f>SUMIF(DeadRaw!$B:$B,$A69,DeadRaw!BA:BA)</f>
        <v>0</v>
      </c>
      <c r="AY69">
        <f>SUMIF(DeadRaw!$B:$B,$A69,DeadRaw!BB:BB)</f>
        <v>0</v>
      </c>
      <c r="AZ69">
        <f>SUMIF(DeadRaw!$B:$B,$A69,DeadRaw!BC:BC)</f>
        <v>0</v>
      </c>
      <c r="BA69">
        <f>SUMIF(DeadRaw!$B:$B,$A69,DeadRaw!BD:BD)</f>
        <v>0</v>
      </c>
      <c r="BB69">
        <f>SUMIF(DeadRaw!$B:$B,$A69,DeadRaw!BE:BE)</f>
        <v>0</v>
      </c>
      <c r="BC69">
        <f>SUMIF(DeadRaw!$B:$B,$A69,DeadRaw!BF:BF)</f>
        <v>1</v>
      </c>
      <c r="BD69">
        <f>SUMIF(DeadRaw!$B:$B,$A69,DeadRaw!BG:BG)</f>
        <v>1</v>
      </c>
      <c r="BE69">
        <f>SUMIF(DeadRaw!$B:$B,$A69,DeadRaw!BH:BH)</f>
        <v>1</v>
      </c>
      <c r="BF69">
        <f>SUMIF(DeadRaw!$B:$B,$A69,DeadRaw!BI:BI)</f>
        <v>1</v>
      </c>
      <c r="BG69">
        <f>SUMIF(DeadRaw!$B:$B,$A69,DeadRaw!BJ:BJ)</f>
        <v>1</v>
      </c>
      <c r="BH69">
        <f>SUMIF(DeadRaw!$B:$B,$A69,DeadRaw!BK:BK)</f>
        <v>3</v>
      </c>
      <c r="BI69">
        <f>SUMIF(DeadRaw!$B:$B,$A69,DeadRaw!BL:BL)</f>
        <v>0</v>
      </c>
      <c r="BJ69">
        <f>SUMIF(DeadRaw!$B:$B,$A69,DeadRaw!BM:BM)</f>
        <v>0</v>
      </c>
      <c r="BK69">
        <f>SUMIF(DeadRaw!$B:$B,$A69,DeadRaw!BN:BN)</f>
        <v>0</v>
      </c>
      <c r="BL69">
        <f>SUMIF(DeadRaw!$B:$B,$A69,DeadRaw!BO:BO)</f>
        <v>0</v>
      </c>
      <c r="BM69">
        <f>SUMIF(DeadRaw!$B:$B,$A69,DeadRaw!BP:BP)</f>
        <v>0</v>
      </c>
      <c r="BN69">
        <f>SUMIF(DeadRaw!$B:$B,$A69,DeadRaw!BQ:BQ)</f>
        <v>0</v>
      </c>
      <c r="BO69">
        <f>SUMIF(DeadRaw!$B:$B,$A69,DeadRaw!BR:BR)</f>
        <v>0</v>
      </c>
      <c r="BP69">
        <f>SUMIF(DeadRaw!$B:$B,$A69,DeadRaw!BS:BS)</f>
        <v>0</v>
      </c>
      <c r="BQ69">
        <f>SUMIF(DeadRaw!$B:$B,$A69,DeadRaw!BT:BT)</f>
        <v>0</v>
      </c>
      <c r="BR69">
        <f>SUMIF(DeadRaw!$B:$B,$A69,DeadRaw!BU:BU)</f>
        <v>0</v>
      </c>
      <c r="BS69">
        <f>SUMIF(DeadRaw!$B:$B,$A69,DeadRaw!BV:BV)</f>
        <v>0</v>
      </c>
      <c r="BT69">
        <f>SUMIF(DeadRaw!$B:$B,$A69,DeadRaw!BW:BW)</f>
        <v>0</v>
      </c>
    </row>
    <row r="70" spans="1:72" ht="15" thickBot="1" x14ac:dyDescent="0.35">
      <c r="A70" s="4" t="s">
        <v>71</v>
      </c>
      <c r="B70">
        <f>SUMIF(DeadRaw!$B:$B,$A70,DeadRaw!E:E)</f>
        <v>0</v>
      </c>
      <c r="C70">
        <f>SUMIF(DeadRaw!$B:$B,$A70,DeadRaw!F:F)</f>
        <v>0</v>
      </c>
      <c r="D70">
        <f>SUMIF(DeadRaw!$B:$B,$A70,DeadRaw!G:G)</f>
        <v>0</v>
      </c>
      <c r="E70">
        <f>SUMIF(DeadRaw!$B:$B,$A70,DeadRaw!H:H)</f>
        <v>0</v>
      </c>
      <c r="F70">
        <f>SUMIF(DeadRaw!$B:$B,$A70,DeadRaw!I:I)</f>
        <v>0</v>
      </c>
      <c r="G70">
        <f>SUMIF(DeadRaw!$B:$B,$A70,DeadRaw!J:J)</f>
        <v>0</v>
      </c>
      <c r="H70">
        <f>SUMIF(DeadRaw!$B:$B,$A70,DeadRaw!K:K)</f>
        <v>0</v>
      </c>
      <c r="I70">
        <f>SUMIF(DeadRaw!$B:$B,$A70,DeadRaw!L:L)</f>
        <v>0</v>
      </c>
      <c r="J70">
        <f>SUMIF(DeadRaw!$B:$B,$A70,DeadRaw!M:M)</f>
        <v>0</v>
      </c>
      <c r="K70">
        <f>SUMIF(DeadRaw!$B:$B,$A70,DeadRaw!N:N)</f>
        <v>0</v>
      </c>
      <c r="L70">
        <f>SUMIF(DeadRaw!$B:$B,$A70,DeadRaw!O:O)</f>
        <v>0</v>
      </c>
      <c r="M70">
        <f>SUMIF(DeadRaw!$B:$B,$A70,DeadRaw!P:P)</f>
        <v>0</v>
      </c>
      <c r="N70">
        <f>SUMIF(DeadRaw!$B:$B,$A70,DeadRaw!Q:Q)</f>
        <v>0</v>
      </c>
      <c r="O70">
        <f>SUMIF(DeadRaw!$B:$B,$A70,DeadRaw!R:R)</f>
        <v>0</v>
      </c>
      <c r="P70">
        <f>SUMIF(DeadRaw!$B:$B,$A70,DeadRaw!S:S)</f>
        <v>0</v>
      </c>
      <c r="Q70">
        <f>SUMIF(DeadRaw!$B:$B,$A70,DeadRaw!T:T)</f>
        <v>0</v>
      </c>
      <c r="R70">
        <f>SUMIF(DeadRaw!$B:$B,$A70,DeadRaw!U:U)</f>
        <v>0</v>
      </c>
      <c r="S70">
        <f>SUMIF(DeadRaw!$B:$B,$A70,DeadRaw!V:V)</f>
        <v>0</v>
      </c>
      <c r="T70">
        <f>SUMIF(DeadRaw!$B:$B,$A70,DeadRaw!W:W)</f>
        <v>0</v>
      </c>
      <c r="U70">
        <f>SUMIF(DeadRaw!$B:$B,$A70,DeadRaw!X:X)</f>
        <v>0</v>
      </c>
      <c r="V70">
        <f>SUMIF(DeadRaw!$B:$B,$A70,DeadRaw!Y:Y)</f>
        <v>0</v>
      </c>
      <c r="W70">
        <f>SUMIF(DeadRaw!$B:$B,$A70,DeadRaw!Z:Z)</f>
        <v>0</v>
      </c>
      <c r="X70">
        <f>SUMIF(DeadRaw!$B:$B,$A70,DeadRaw!AA:AA)</f>
        <v>0</v>
      </c>
      <c r="Y70">
        <f>SUMIF(DeadRaw!$B:$B,$A70,DeadRaw!AB:AB)</f>
        <v>0</v>
      </c>
      <c r="Z70">
        <f>SUMIF(DeadRaw!$B:$B,$A70,DeadRaw!AC:AC)</f>
        <v>0</v>
      </c>
      <c r="AA70">
        <f>SUMIF(DeadRaw!$B:$B,$A70,DeadRaw!AD:AD)</f>
        <v>0</v>
      </c>
      <c r="AB70">
        <f>SUMIF(DeadRaw!$B:$B,$A70,DeadRaw!AE:AE)</f>
        <v>0</v>
      </c>
      <c r="AC70">
        <f>SUMIF(DeadRaw!$B:$B,$A70,DeadRaw!AF:AF)</f>
        <v>0</v>
      </c>
      <c r="AD70">
        <f>SUMIF(DeadRaw!$B:$B,$A70,DeadRaw!AG:AG)</f>
        <v>0</v>
      </c>
      <c r="AE70">
        <f>SUMIF(DeadRaw!$B:$B,$A70,DeadRaw!AH:AH)</f>
        <v>0</v>
      </c>
      <c r="AF70">
        <f>SUMIF(DeadRaw!$B:$B,$A70,DeadRaw!AI:AI)</f>
        <v>0</v>
      </c>
      <c r="AG70">
        <f>SUMIF(DeadRaw!$B:$B,$A70,DeadRaw!AJ:AJ)</f>
        <v>0</v>
      </c>
      <c r="AH70">
        <f>SUMIF(DeadRaw!$B:$B,$A70,DeadRaw!AK:AK)</f>
        <v>0</v>
      </c>
      <c r="AI70">
        <f>SUMIF(DeadRaw!$B:$B,$A70,DeadRaw!AL:AL)</f>
        <v>0</v>
      </c>
      <c r="AJ70">
        <f>SUMIF(DeadRaw!$B:$B,$A70,DeadRaw!AM:AM)</f>
        <v>0</v>
      </c>
      <c r="AK70">
        <f>SUMIF(DeadRaw!$B:$B,$A70,DeadRaw!AN:AN)</f>
        <v>0</v>
      </c>
      <c r="AL70">
        <f>SUMIF(DeadRaw!$B:$B,$A70,DeadRaw!AO:AO)</f>
        <v>0</v>
      </c>
      <c r="AM70">
        <f>SUMIF(DeadRaw!$B:$B,$A70,DeadRaw!AP:AP)</f>
        <v>0</v>
      </c>
      <c r="AN70">
        <f>SUMIF(DeadRaw!$B:$B,$A70,DeadRaw!AQ:AQ)</f>
        <v>0</v>
      </c>
      <c r="AO70">
        <f>SUMIF(DeadRaw!$B:$B,$A70,DeadRaw!AR:AR)</f>
        <v>0</v>
      </c>
      <c r="AP70">
        <f>SUMIF(DeadRaw!$B:$B,$A70,DeadRaw!AS:AS)</f>
        <v>0</v>
      </c>
      <c r="AQ70">
        <f>SUMIF(DeadRaw!$B:$B,$A70,DeadRaw!AT:AT)</f>
        <v>0</v>
      </c>
      <c r="AR70">
        <f>SUMIF(DeadRaw!$B:$B,$A70,DeadRaw!AU:AU)</f>
        <v>0</v>
      </c>
      <c r="AS70">
        <f>SUMIF(DeadRaw!$B:$B,$A70,DeadRaw!AV:AV)</f>
        <v>0</v>
      </c>
      <c r="AT70">
        <f>SUMIF(DeadRaw!$B:$B,$A70,DeadRaw!AW:AW)</f>
        <v>0</v>
      </c>
      <c r="AU70">
        <f>SUMIF(DeadRaw!$B:$B,$A70,DeadRaw!AX:AX)</f>
        <v>0</v>
      </c>
      <c r="AV70">
        <f>SUMIF(DeadRaw!$B:$B,$A70,DeadRaw!AY:AY)</f>
        <v>0</v>
      </c>
      <c r="AW70">
        <f>SUMIF(DeadRaw!$B:$B,$A70,DeadRaw!AZ:AZ)</f>
        <v>0</v>
      </c>
      <c r="AX70">
        <f>SUMIF(DeadRaw!$B:$B,$A70,DeadRaw!BA:BA)</f>
        <v>0</v>
      </c>
      <c r="AY70">
        <f>SUMIF(DeadRaw!$B:$B,$A70,DeadRaw!BB:BB)</f>
        <v>0</v>
      </c>
      <c r="AZ70">
        <f>SUMIF(DeadRaw!$B:$B,$A70,DeadRaw!BC:BC)</f>
        <v>0</v>
      </c>
      <c r="BA70">
        <f>SUMIF(DeadRaw!$B:$B,$A70,DeadRaw!BD:BD)</f>
        <v>0</v>
      </c>
      <c r="BB70">
        <f>SUMIF(DeadRaw!$B:$B,$A70,DeadRaw!BE:BE)</f>
        <v>0</v>
      </c>
      <c r="BC70">
        <f>SUMIF(DeadRaw!$B:$B,$A70,DeadRaw!BF:BF)</f>
        <v>0</v>
      </c>
      <c r="BD70">
        <f>SUMIF(DeadRaw!$B:$B,$A70,DeadRaw!BG:BG)</f>
        <v>0</v>
      </c>
      <c r="BE70">
        <f>SUMIF(DeadRaw!$B:$B,$A70,DeadRaw!BH:BH)</f>
        <v>0</v>
      </c>
      <c r="BF70">
        <f>SUMIF(DeadRaw!$B:$B,$A70,DeadRaw!BI:BI)</f>
        <v>0</v>
      </c>
      <c r="BG70">
        <f>SUMIF(DeadRaw!$B:$B,$A70,DeadRaw!BJ:BJ)</f>
        <v>0</v>
      </c>
      <c r="BH70">
        <f>SUMIF(DeadRaw!$B:$B,$A70,DeadRaw!BK:BK)</f>
        <v>0</v>
      </c>
      <c r="BI70">
        <f>SUMIF(DeadRaw!$B:$B,$A70,DeadRaw!BL:BL)</f>
        <v>0</v>
      </c>
      <c r="BJ70">
        <f>SUMIF(DeadRaw!$B:$B,$A70,DeadRaw!BM:BM)</f>
        <v>0</v>
      </c>
      <c r="BK70">
        <f>SUMIF(DeadRaw!$B:$B,$A70,DeadRaw!BN:BN)</f>
        <v>0</v>
      </c>
      <c r="BL70">
        <f>SUMIF(DeadRaw!$B:$B,$A70,DeadRaw!BO:BO)</f>
        <v>0</v>
      </c>
      <c r="BM70">
        <f>SUMIF(DeadRaw!$B:$B,$A70,DeadRaw!BP:BP)</f>
        <v>0</v>
      </c>
      <c r="BN70">
        <f>SUMIF(DeadRaw!$B:$B,$A70,DeadRaw!BQ:BQ)</f>
        <v>0</v>
      </c>
      <c r="BO70">
        <f>SUMIF(DeadRaw!$B:$B,$A70,DeadRaw!BR:BR)</f>
        <v>0</v>
      </c>
      <c r="BP70">
        <f>SUMIF(DeadRaw!$B:$B,$A70,DeadRaw!BS:BS)</f>
        <v>0</v>
      </c>
      <c r="BQ70">
        <f>SUMIF(DeadRaw!$B:$B,$A70,DeadRaw!BT:BT)</f>
        <v>0</v>
      </c>
      <c r="BR70">
        <f>SUMIF(DeadRaw!$B:$B,$A70,DeadRaw!BU:BU)</f>
        <v>0</v>
      </c>
      <c r="BS70">
        <f>SUMIF(DeadRaw!$B:$B,$A70,DeadRaw!BV:BV)</f>
        <v>0</v>
      </c>
      <c r="BT70">
        <f>SUMIF(DeadRaw!$B:$B,$A70,DeadRaw!BW:BW)</f>
        <v>0</v>
      </c>
    </row>
    <row r="71" spans="1:72" ht="15" thickBot="1" x14ac:dyDescent="0.35">
      <c r="A71" s="4" t="s">
        <v>103</v>
      </c>
      <c r="B71">
        <f>SUMIF(DeadRaw!$B:$B,$A71,DeadRaw!E:E)</f>
        <v>0</v>
      </c>
      <c r="C71">
        <f>SUMIF(DeadRaw!$B:$B,$A71,DeadRaw!F:F)</f>
        <v>0</v>
      </c>
      <c r="D71">
        <f>SUMIF(DeadRaw!$B:$B,$A71,DeadRaw!G:G)</f>
        <v>0</v>
      </c>
      <c r="E71">
        <f>SUMIF(DeadRaw!$B:$B,$A71,DeadRaw!H:H)</f>
        <v>0</v>
      </c>
      <c r="F71">
        <f>SUMIF(DeadRaw!$B:$B,$A71,DeadRaw!I:I)</f>
        <v>0</v>
      </c>
      <c r="G71">
        <f>SUMIF(DeadRaw!$B:$B,$A71,DeadRaw!J:J)</f>
        <v>0</v>
      </c>
      <c r="H71">
        <f>SUMIF(DeadRaw!$B:$B,$A71,DeadRaw!K:K)</f>
        <v>0</v>
      </c>
      <c r="I71">
        <f>SUMIF(DeadRaw!$B:$B,$A71,DeadRaw!L:L)</f>
        <v>0</v>
      </c>
      <c r="J71">
        <f>SUMIF(DeadRaw!$B:$B,$A71,DeadRaw!M:M)</f>
        <v>0</v>
      </c>
      <c r="K71">
        <f>SUMIF(DeadRaw!$B:$B,$A71,DeadRaw!N:N)</f>
        <v>0</v>
      </c>
      <c r="L71">
        <f>SUMIF(DeadRaw!$B:$B,$A71,DeadRaw!O:O)</f>
        <v>0</v>
      </c>
      <c r="M71">
        <f>SUMIF(DeadRaw!$B:$B,$A71,DeadRaw!P:P)</f>
        <v>0</v>
      </c>
      <c r="N71">
        <f>SUMIF(DeadRaw!$B:$B,$A71,DeadRaw!Q:Q)</f>
        <v>0</v>
      </c>
      <c r="O71">
        <f>SUMIF(DeadRaw!$B:$B,$A71,DeadRaw!R:R)</f>
        <v>0</v>
      </c>
      <c r="P71">
        <f>SUMIF(DeadRaw!$B:$B,$A71,DeadRaw!S:S)</f>
        <v>0</v>
      </c>
      <c r="Q71">
        <f>SUMIF(DeadRaw!$B:$B,$A71,DeadRaw!T:T)</f>
        <v>0</v>
      </c>
      <c r="R71">
        <f>SUMIF(DeadRaw!$B:$B,$A71,DeadRaw!U:U)</f>
        <v>0</v>
      </c>
      <c r="S71">
        <f>SUMIF(DeadRaw!$B:$B,$A71,DeadRaw!V:V)</f>
        <v>0</v>
      </c>
      <c r="T71">
        <f>SUMIF(DeadRaw!$B:$B,$A71,DeadRaw!W:W)</f>
        <v>0</v>
      </c>
      <c r="U71">
        <f>SUMIF(DeadRaw!$B:$B,$A71,DeadRaw!X:X)</f>
        <v>0</v>
      </c>
      <c r="V71">
        <f>SUMIF(DeadRaw!$B:$B,$A71,DeadRaw!Y:Y)</f>
        <v>0</v>
      </c>
      <c r="W71">
        <f>SUMIF(DeadRaw!$B:$B,$A71,DeadRaw!Z:Z)</f>
        <v>0</v>
      </c>
      <c r="X71">
        <f>SUMIF(DeadRaw!$B:$B,$A71,DeadRaw!AA:AA)</f>
        <v>0</v>
      </c>
      <c r="Y71">
        <f>SUMIF(DeadRaw!$B:$B,$A71,DeadRaw!AB:AB)</f>
        <v>0</v>
      </c>
      <c r="Z71">
        <f>SUMIF(DeadRaw!$B:$B,$A71,DeadRaw!AC:AC)</f>
        <v>0</v>
      </c>
      <c r="AA71">
        <f>SUMIF(DeadRaw!$B:$B,$A71,DeadRaw!AD:AD)</f>
        <v>0</v>
      </c>
      <c r="AB71">
        <f>SUMIF(DeadRaw!$B:$B,$A71,DeadRaw!AE:AE)</f>
        <v>0</v>
      </c>
      <c r="AC71">
        <f>SUMIF(DeadRaw!$B:$B,$A71,DeadRaw!AF:AF)</f>
        <v>0</v>
      </c>
      <c r="AD71">
        <f>SUMIF(DeadRaw!$B:$B,$A71,DeadRaw!AG:AG)</f>
        <v>0</v>
      </c>
      <c r="AE71">
        <f>SUMIF(DeadRaw!$B:$B,$A71,DeadRaw!AH:AH)</f>
        <v>0</v>
      </c>
      <c r="AF71">
        <f>SUMIF(DeadRaw!$B:$B,$A71,DeadRaw!AI:AI)</f>
        <v>0</v>
      </c>
      <c r="AG71">
        <f>SUMIF(DeadRaw!$B:$B,$A71,DeadRaw!AJ:AJ)</f>
        <v>0</v>
      </c>
      <c r="AH71">
        <f>SUMIF(DeadRaw!$B:$B,$A71,DeadRaw!AK:AK)</f>
        <v>0</v>
      </c>
      <c r="AI71">
        <f>SUMIF(DeadRaw!$B:$B,$A71,DeadRaw!AL:AL)</f>
        <v>0</v>
      </c>
      <c r="AJ71">
        <f>SUMIF(DeadRaw!$B:$B,$A71,DeadRaw!AM:AM)</f>
        <v>0</v>
      </c>
      <c r="AK71">
        <f>SUMIF(DeadRaw!$B:$B,$A71,DeadRaw!AN:AN)</f>
        <v>0</v>
      </c>
      <c r="AL71">
        <f>SUMIF(DeadRaw!$B:$B,$A71,DeadRaw!AO:AO)</f>
        <v>0</v>
      </c>
      <c r="AM71">
        <f>SUMIF(DeadRaw!$B:$B,$A71,DeadRaw!AP:AP)</f>
        <v>0</v>
      </c>
      <c r="AN71">
        <f>SUMIF(DeadRaw!$B:$B,$A71,DeadRaw!AQ:AQ)</f>
        <v>0</v>
      </c>
      <c r="AO71">
        <f>SUMIF(DeadRaw!$B:$B,$A71,DeadRaw!AR:AR)</f>
        <v>0</v>
      </c>
      <c r="AP71">
        <f>SUMIF(DeadRaw!$B:$B,$A71,DeadRaw!AS:AS)</f>
        <v>0</v>
      </c>
      <c r="AQ71">
        <f>SUMIF(DeadRaw!$B:$B,$A71,DeadRaw!AT:AT)</f>
        <v>0</v>
      </c>
      <c r="AR71">
        <f>SUMIF(DeadRaw!$B:$B,$A71,DeadRaw!AU:AU)</f>
        <v>0</v>
      </c>
      <c r="AS71">
        <f>SUMIF(DeadRaw!$B:$B,$A71,DeadRaw!AV:AV)</f>
        <v>0</v>
      </c>
      <c r="AT71">
        <f>SUMIF(DeadRaw!$B:$B,$A71,DeadRaw!AW:AW)</f>
        <v>0</v>
      </c>
      <c r="AU71">
        <f>SUMIF(DeadRaw!$B:$B,$A71,DeadRaw!AX:AX)</f>
        <v>0</v>
      </c>
      <c r="AV71">
        <f>SUMIF(DeadRaw!$B:$B,$A71,DeadRaw!AY:AY)</f>
        <v>0</v>
      </c>
      <c r="AW71">
        <f>SUMIF(DeadRaw!$B:$B,$A71,DeadRaw!AZ:AZ)</f>
        <v>0</v>
      </c>
      <c r="AX71">
        <f>SUMIF(DeadRaw!$B:$B,$A71,DeadRaw!BA:BA)</f>
        <v>0</v>
      </c>
      <c r="AY71">
        <f>SUMIF(DeadRaw!$B:$B,$A71,DeadRaw!BB:BB)</f>
        <v>0</v>
      </c>
      <c r="AZ71">
        <f>SUMIF(DeadRaw!$B:$B,$A71,DeadRaw!BC:BC)</f>
        <v>0</v>
      </c>
      <c r="BA71">
        <f>SUMIF(DeadRaw!$B:$B,$A71,DeadRaw!BD:BD)</f>
        <v>0</v>
      </c>
      <c r="BB71">
        <f>SUMIF(DeadRaw!$B:$B,$A71,DeadRaw!BE:BE)</f>
        <v>2</v>
      </c>
      <c r="BC71">
        <f>SUMIF(DeadRaw!$B:$B,$A71,DeadRaw!BF:BF)</f>
        <v>2</v>
      </c>
      <c r="BD71">
        <f>SUMIF(DeadRaw!$B:$B,$A71,DeadRaw!BG:BG)</f>
        <v>2</v>
      </c>
      <c r="BE71">
        <f>SUMIF(DeadRaw!$B:$B,$A71,DeadRaw!BH:BH)</f>
        <v>2</v>
      </c>
      <c r="BF71">
        <f>SUMIF(DeadRaw!$B:$B,$A71,DeadRaw!BI:BI)</f>
        <v>2</v>
      </c>
      <c r="BG71">
        <f>SUMIF(DeadRaw!$B:$B,$A71,DeadRaw!BJ:BJ)</f>
        <v>3</v>
      </c>
      <c r="BH71">
        <f>SUMIF(DeadRaw!$B:$B,$A71,DeadRaw!BK:BK)</f>
        <v>5</v>
      </c>
      <c r="BI71">
        <f>SUMIF(DeadRaw!$B:$B,$A71,DeadRaw!BL:BL)</f>
        <v>0</v>
      </c>
      <c r="BJ71">
        <f>SUMIF(DeadRaw!$B:$B,$A71,DeadRaw!BM:BM)</f>
        <v>0</v>
      </c>
      <c r="BK71">
        <f>SUMIF(DeadRaw!$B:$B,$A71,DeadRaw!BN:BN)</f>
        <v>0</v>
      </c>
      <c r="BL71">
        <f>SUMIF(DeadRaw!$B:$B,$A71,DeadRaw!BO:BO)</f>
        <v>0</v>
      </c>
      <c r="BM71">
        <f>SUMIF(DeadRaw!$B:$B,$A71,DeadRaw!BP:BP)</f>
        <v>0</v>
      </c>
      <c r="BN71">
        <f>SUMIF(DeadRaw!$B:$B,$A71,DeadRaw!BQ:BQ)</f>
        <v>0</v>
      </c>
      <c r="BO71">
        <f>SUMIF(DeadRaw!$B:$B,$A71,DeadRaw!BR:BR)</f>
        <v>0</v>
      </c>
      <c r="BP71">
        <f>SUMIF(DeadRaw!$B:$B,$A71,DeadRaw!BS:BS)</f>
        <v>0</v>
      </c>
      <c r="BQ71">
        <f>SUMIF(DeadRaw!$B:$B,$A71,DeadRaw!BT:BT)</f>
        <v>0</v>
      </c>
      <c r="BR71">
        <f>SUMIF(DeadRaw!$B:$B,$A71,DeadRaw!BU:BU)</f>
        <v>0</v>
      </c>
      <c r="BS71">
        <f>SUMIF(DeadRaw!$B:$B,$A71,DeadRaw!BV:BV)</f>
        <v>0</v>
      </c>
      <c r="BT71">
        <f>SUMIF(DeadRaw!$B:$B,$A71,DeadRaw!BW:BW)</f>
        <v>0</v>
      </c>
    </row>
    <row r="72" spans="1:72" ht="15" thickBot="1" x14ac:dyDescent="0.35">
      <c r="A72" s="4" t="s">
        <v>111</v>
      </c>
      <c r="B72">
        <f>SUMIF(DeadRaw!$B:$B,$A72,DeadRaw!E:E)</f>
        <v>0</v>
      </c>
      <c r="C72">
        <f>SUMIF(DeadRaw!$B:$B,$A72,DeadRaw!F:F)</f>
        <v>0</v>
      </c>
      <c r="D72">
        <f>SUMIF(DeadRaw!$B:$B,$A72,DeadRaw!G:G)</f>
        <v>0</v>
      </c>
      <c r="E72">
        <f>SUMIF(DeadRaw!$B:$B,$A72,DeadRaw!H:H)</f>
        <v>0</v>
      </c>
      <c r="F72">
        <f>SUMIF(DeadRaw!$B:$B,$A72,DeadRaw!I:I)</f>
        <v>0</v>
      </c>
      <c r="G72">
        <f>SUMIF(DeadRaw!$B:$B,$A72,DeadRaw!J:J)</f>
        <v>0</v>
      </c>
      <c r="H72">
        <f>SUMIF(DeadRaw!$B:$B,$A72,DeadRaw!K:K)</f>
        <v>0</v>
      </c>
      <c r="I72">
        <f>SUMIF(DeadRaw!$B:$B,$A72,DeadRaw!L:L)</f>
        <v>0</v>
      </c>
      <c r="J72">
        <f>SUMIF(DeadRaw!$B:$B,$A72,DeadRaw!M:M)</f>
        <v>0</v>
      </c>
      <c r="K72">
        <f>SUMIF(DeadRaw!$B:$B,$A72,DeadRaw!N:N)</f>
        <v>0</v>
      </c>
      <c r="L72">
        <f>SUMIF(DeadRaw!$B:$B,$A72,DeadRaw!O:O)</f>
        <v>0</v>
      </c>
      <c r="M72">
        <f>SUMIF(DeadRaw!$B:$B,$A72,DeadRaw!P:P)</f>
        <v>0</v>
      </c>
      <c r="N72">
        <f>SUMIF(DeadRaw!$B:$B,$A72,DeadRaw!Q:Q)</f>
        <v>0</v>
      </c>
      <c r="O72">
        <f>SUMIF(DeadRaw!$B:$B,$A72,DeadRaw!R:R)</f>
        <v>0</v>
      </c>
      <c r="P72">
        <f>SUMIF(DeadRaw!$B:$B,$A72,DeadRaw!S:S)</f>
        <v>0</v>
      </c>
      <c r="Q72">
        <f>SUMIF(DeadRaw!$B:$B,$A72,DeadRaw!T:T)</f>
        <v>0</v>
      </c>
      <c r="R72">
        <f>SUMIF(DeadRaw!$B:$B,$A72,DeadRaw!U:U)</f>
        <v>0</v>
      </c>
      <c r="S72">
        <f>SUMIF(DeadRaw!$B:$B,$A72,DeadRaw!V:V)</f>
        <v>0</v>
      </c>
      <c r="T72">
        <f>SUMIF(DeadRaw!$B:$B,$A72,DeadRaw!W:W)</f>
        <v>0</v>
      </c>
      <c r="U72">
        <f>SUMIF(DeadRaw!$B:$B,$A72,DeadRaw!X:X)</f>
        <v>0</v>
      </c>
      <c r="V72">
        <f>SUMIF(DeadRaw!$B:$B,$A72,DeadRaw!Y:Y)</f>
        <v>0</v>
      </c>
      <c r="W72">
        <f>SUMIF(DeadRaw!$B:$B,$A72,DeadRaw!Z:Z)</f>
        <v>0</v>
      </c>
      <c r="X72">
        <f>SUMIF(DeadRaw!$B:$B,$A72,DeadRaw!AA:AA)</f>
        <v>0</v>
      </c>
      <c r="Y72">
        <f>SUMIF(DeadRaw!$B:$B,$A72,DeadRaw!AB:AB)</f>
        <v>0</v>
      </c>
      <c r="Z72">
        <f>SUMIF(DeadRaw!$B:$B,$A72,DeadRaw!AC:AC)</f>
        <v>0</v>
      </c>
      <c r="AA72">
        <f>SUMIF(DeadRaw!$B:$B,$A72,DeadRaw!AD:AD)</f>
        <v>0</v>
      </c>
      <c r="AB72">
        <f>SUMIF(DeadRaw!$B:$B,$A72,DeadRaw!AE:AE)</f>
        <v>0</v>
      </c>
      <c r="AC72">
        <f>SUMIF(DeadRaw!$B:$B,$A72,DeadRaw!AF:AF)</f>
        <v>0</v>
      </c>
      <c r="AD72">
        <f>SUMIF(DeadRaw!$B:$B,$A72,DeadRaw!AG:AG)</f>
        <v>0</v>
      </c>
      <c r="AE72">
        <f>SUMIF(DeadRaw!$B:$B,$A72,DeadRaw!AH:AH)</f>
        <v>0</v>
      </c>
      <c r="AF72">
        <f>SUMIF(DeadRaw!$B:$B,$A72,DeadRaw!AI:AI)</f>
        <v>0</v>
      </c>
      <c r="AG72">
        <f>SUMIF(DeadRaw!$B:$B,$A72,DeadRaw!AJ:AJ)</f>
        <v>0</v>
      </c>
      <c r="AH72">
        <f>SUMIF(DeadRaw!$B:$B,$A72,DeadRaw!AK:AK)</f>
        <v>0</v>
      </c>
      <c r="AI72">
        <f>SUMIF(DeadRaw!$B:$B,$A72,DeadRaw!AL:AL)</f>
        <v>0</v>
      </c>
      <c r="AJ72">
        <f>SUMIF(DeadRaw!$B:$B,$A72,DeadRaw!AM:AM)</f>
        <v>0</v>
      </c>
      <c r="AK72">
        <f>SUMIF(DeadRaw!$B:$B,$A72,DeadRaw!AN:AN)</f>
        <v>0</v>
      </c>
      <c r="AL72">
        <f>SUMIF(DeadRaw!$B:$B,$A72,DeadRaw!AO:AO)</f>
        <v>0</v>
      </c>
      <c r="AM72">
        <f>SUMIF(DeadRaw!$B:$B,$A72,DeadRaw!AP:AP)</f>
        <v>0</v>
      </c>
      <c r="AN72">
        <f>SUMIF(DeadRaw!$B:$B,$A72,DeadRaw!AQ:AQ)</f>
        <v>0</v>
      </c>
      <c r="AO72">
        <f>SUMIF(DeadRaw!$B:$B,$A72,DeadRaw!AR:AR)</f>
        <v>0</v>
      </c>
      <c r="AP72">
        <f>SUMIF(DeadRaw!$B:$B,$A72,DeadRaw!AS:AS)</f>
        <v>0</v>
      </c>
      <c r="AQ72">
        <f>SUMIF(DeadRaw!$B:$B,$A72,DeadRaw!AT:AT)</f>
        <v>0</v>
      </c>
      <c r="AR72">
        <f>SUMIF(DeadRaw!$B:$B,$A72,DeadRaw!AU:AU)</f>
        <v>0</v>
      </c>
      <c r="AS72">
        <f>SUMIF(DeadRaw!$B:$B,$A72,DeadRaw!AV:AV)</f>
        <v>0</v>
      </c>
      <c r="AT72">
        <f>SUMIF(DeadRaw!$B:$B,$A72,DeadRaw!AW:AW)</f>
        <v>0</v>
      </c>
      <c r="AU72">
        <f>SUMIF(DeadRaw!$B:$B,$A72,DeadRaw!AX:AX)</f>
        <v>0</v>
      </c>
      <c r="AV72">
        <f>SUMIF(DeadRaw!$B:$B,$A72,DeadRaw!AY:AY)</f>
        <v>0</v>
      </c>
      <c r="AW72">
        <f>SUMIF(DeadRaw!$B:$B,$A72,DeadRaw!AZ:AZ)</f>
        <v>0</v>
      </c>
      <c r="AX72">
        <f>SUMIF(DeadRaw!$B:$B,$A72,DeadRaw!BA:BA)</f>
        <v>0</v>
      </c>
      <c r="AY72">
        <f>SUMIF(DeadRaw!$B:$B,$A72,DeadRaw!BB:BB)</f>
        <v>0</v>
      </c>
      <c r="AZ72">
        <f>SUMIF(DeadRaw!$B:$B,$A72,DeadRaw!BC:BC)</f>
        <v>0</v>
      </c>
      <c r="BA72">
        <f>SUMIF(DeadRaw!$B:$B,$A72,DeadRaw!BD:BD)</f>
        <v>0</v>
      </c>
      <c r="BB72">
        <f>SUMIF(DeadRaw!$B:$B,$A72,DeadRaw!BE:BE)</f>
        <v>0</v>
      </c>
      <c r="BC72">
        <f>SUMIF(DeadRaw!$B:$B,$A72,DeadRaw!BF:BF)</f>
        <v>0</v>
      </c>
      <c r="BD72">
        <f>SUMIF(DeadRaw!$B:$B,$A72,DeadRaw!BG:BG)</f>
        <v>0</v>
      </c>
      <c r="BE72">
        <f>SUMIF(DeadRaw!$B:$B,$A72,DeadRaw!BH:BH)</f>
        <v>0</v>
      </c>
      <c r="BF72">
        <f>SUMIF(DeadRaw!$B:$B,$A72,DeadRaw!BI:BI)</f>
        <v>0</v>
      </c>
      <c r="BG72">
        <f>SUMIF(DeadRaw!$B:$B,$A72,DeadRaw!BJ:BJ)</f>
        <v>0</v>
      </c>
      <c r="BH72">
        <f>SUMIF(DeadRaw!$B:$B,$A72,DeadRaw!BK:BK)</f>
        <v>0</v>
      </c>
      <c r="BI72">
        <f>SUMIF(DeadRaw!$B:$B,$A72,DeadRaw!BL:BL)</f>
        <v>0</v>
      </c>
      <c r="BJ72">
        <f>SUMIF(DeadRaw!$B:$B,$A72,DeadRaw!BM:BM)</f>
        <v>0</v>
      </c>
      <c r="BK72">
        <f>SUMIF(DeadRaw!$B:$B,$A72,DeadRaw!BN:BN)</f>
        <v>0</v>
      </c>
      <c r="BL72">
        <f>SUMIF(DeadRaw!$B:$B,$A72,DeadRaw!BO:BO)</f>
        <v>0</v>
      </c>
      <c r="BM72">
        <f>SUMIF(DeadRaw!$B:$B,$A72,DeadRaw!BP:BP)</f>
        <v>0</v>
      </c>
      <c r="BN72">
        <f>SUMIF(DeadRaw!$B:$B,$A72,DeadRaw!BQ:BQ)</f>
        <v>0</v>
      </c>
      <c r="BO72">
        <f>SUMIF(DeadRaw!$B:$B,$A72,DeadRaw!BR:BR)</f>
        <v>0</v>
      </c>
      <c r="BP72">
        <f>SUMIF(DeadRaw!$B:$B,$A72,DeadRaw!BS:BS)</f>
        <v>0</v>
      </c>
      <c r="BQ72">
        <f>SUMIF(DeadRaw!$B:$B,$A72,DeadRaw!BT:BT)</f>
        <v>0</v>
      </c>
      <c r="BR72">
        <f>SUMIF(DeadRaw!$B:$B,$A72,DeadRaw!BU:BU)</f>
        <v>0</v>
      </c>
      <c r="BS72">
        <f>SUMIF(DeadRaw!$B:$B,$A72,DeadRaw!BV:BV)</f>
        <v>0</v>
      </c>
      <c r="BT72">
        <f>SUMIF(DeadRaw!$B:$B,$A72,DeadRaw!BW:BW)</f>
        <v>0</v>
      </c>
    </row>
    <row r="73" spans="1:72" ht="15" thickBot="1" x14ac:dyDescent="0.35">
      <c r="A73" s="4" t="s">
        <v>138</v>
      </c>
      <c r="B73">
        <f>SUMIF(DeadRaw!$B:$B,$A73,DeadRaw!E:E)</f>
        <v>0</v>
      </c>
      <c r="C73">
        <f>SUMIF(DeadRaw!$B:$B,$A73,DeadRaw!F:F)</f>
        <v>0</v>
      </c>
      <c r="D73">
        <f>SUMIF(DeadRaw!$B:$B,$A73,DeadRaw!G:G)</f>
        <v>0</v>
      </c>
      <c r="E73">
        <f>SUMIF(DeadRaw!$B:$B,$A73,DeadRaw!H:H)</f>
        <v>0</v>
      </c>
      <c r="F73">
        <f>SUMIF(DeadRaw!$B:$B,$A73,DeadRaw!I:I)</f>
        <v>0</v>
      </c>
      <c r="G73">
        <f>SUMIF(DeadRaw!$B:$B,$A73,DeadRaw!J:J)</f>
        <v>0</v>
      </c>
      <c r="H73">
        <f>SUMIF(DeadRaw!$B:$B,$A73,DeadRaw!K:K)</f>
        <v>0</v>
      </c>
      <c r="I73">
        <f>SUMIF(DeadRaw!$B:$B,$A73,DeadRaw!L:L)</f>
        <v>0</v>
      </c>
      <c r="J73">
        <f>SUMIF(DeadRaw!$B:$B,$A73,DeadRaw!M:M)</f>
        <v>0</v>
      </c>
      <c r="K73">
        <f>SUMIF(DeadRaw!$B:$B,$A73,DeadRaw!N:N)</f>
        <v>0</v>
      </c>
      <c r="L73">
        <f>SUMIF(DeadRaw!$B:$B,$A73,DeadRaw!O:O)</f>
        <v>0</v>
      </c>
      <c r="M73">
        <f>SUMIF(DeadRaw!$B:$B,$A73,DeadRaw!P:P)</f>
        <v>0</v>
      </c>
      <c r="N73">
        <f>SUMIF(DeadRaw!$B:$B,$A73,DeadRaw!Q:Q)</f>
        <v>0</v>
      </c>
      <c r="O73">
        <f>SUMIF(DeadRaw!$B:$B,$A73,DeadRaw!R:R)</f>
        <v>0</v>
      </c>
      <c r="P73">
        <f>SUMIF(DeadRaw!$B:$B,$A73,DeadRaw!S:S)</f>
        <v>0</v>
      </c>
      <c r="Q73">
        <f>SUMIF(DeadRaw!$B:$B,$A73,DeadRaw!T:T)</f>
        <v>0</v>
      </c>
      <c r="R73">
        <f>SUMIF(DeadRaw!$B:$B,$A73,DeadRaw!U:U)</f>
        <v>0</v>
      </c>
      <c r="S73">
        <f>SUMIF(DeadRaw!$B:$B,$A73,DeadRaw!V:V)</f>
        <v>0</v>
      </c>
      <c r="T73">
        <f>SUMIF(DeadRaw!$B:$B,$A73,DeadRaw!W:W)</f>
        <v>0</v>
      </c>
      <c r="U73">
        <f>SUMIF(DeadRaw!$B:$B,$A73,DeadRaw!X:X)</f>
        <v>0</v>
      </c>
      <c r="V73">
        <f>SUMIF(DeadRaw!$B:$B,$A73,DeadRaw!Y:Y)</f>
        <v>0</v>
      </c>
      <c r="W73">
        <f>SUMIF(DeadRaw!$B:$B,$A73,DeadRaw!Z:Z)</f>
        <v>0</v>
      </c>
      <c r="X73">
        <f>SUMIF(DeadRaw!$B:$B,$A73,DeadRaw!AA:AA)</f>
        <v>0</v>
      </c>
      <c r="Y73">
        <f>SUMIF(DeadRaw!$B:$B,$A73,DeadRaw!AB:AB)</f>
        <v>0</v>
      </c>
      <c r="Z73">
        <f>SUMIF(DeadRaw!$B:$B,$A73,DeadRaw!AC:AC)</f>
        <v>0</v>
      </c>
      <c r="AA73">
        <f>SUMIF(DeadRaw!$B:$B,$A73,DeadRaw!AD:AD)</f>
        <v>0</v>
      </c>
      <c r="AB73">
        <f>SUMIF(DeadRaw!$B:$B,$A73,DeadRaw!AE:AE)</f>
        <v>0</v>
      </c>
      <c r="AC73">
        <f>SUMIF(DeadRaw!$B:$B,$A73,DeadRaw!AF:AF)</f>
        <v>0</v>
      </c>
      <c r="AD73">
        <f>SUMIF(DeadRaw!$B:$B,$A73,DeadRaw!AG:AG)</f>
        <v>0</v>
      </c>
      <c r="AE73">
        <f>SUMIF(DeadRaw!$B:$B,$A73,DeadRaw!AH:AH)</f>
        <v>0</v>
      </c>
      <c r="AF73">
        <f>SUMIF(DeadRaw!$B:$B,$A73,DeadRaw!AI:AI)</f>
        <v>0</v>
      </c>
      <c r="AG73">
        <f>SUMIF(DeadRaw!$B:$B,$A73,DeadRaw!AJ:AJ)</f>
        <v>0</v>
      </c>
      <c r="AH73">
        <f>SUMIF(DeadRaw!$B:$B,$A73,DeadRaw!AK:AK)</f>
        <v>0</v>
      </c>
      <c r="AI73">
        <f>SUMIF(DeadRaw!$B:$B,$A73,DeadRaw!AL:AL)</f>
        <v>0</v>
      </c>
      <c r="AJ73">
        <f>SUMIF(DeadRaw!$B:$B,$A73,DeadRaw!AM:AM)</f>
        <v>0</v>
      </c>
      <c r="AK73">
        <f>SUMIF(DeadRaw!$B:$B,$A73,DeadRaw!AN:AN)</f>
        <v>0</v>
      </c>
      <c r="AL73">
        <f>SUMIF(DeadRaw!$B:$B,$A73,DeadRaw!AO:AO)</f>
        <v>0</v>
      </c>
      <c r="AM73">
        <f>SUMIF(DeadRaw!$B:$B,$A73,DeadRaw!AP:AP)</f>
        <v>0</v>
      </c>
      <c r="AN73">
        <f>SUMIF(DeadRaw!$B:$B,$A73,DeadRaw!AQ:AQ)</f>
        <v>0</v>
      </c>
      <c r="AO73">
        <f>SUMIF(DeadRaw!$B:$B,$A73,DeadRaw!AR:AR)</f>
        <v>0</v>
      </c>
      <c r="AP73">
        <f>SUMIF(DeadRaw!$B:$B,$A73,DeadRaw!AS:AS)</f>
        <v>0</v>
      </c>
      <c r="AQ73">
        <f>SUMIF(DeadRaw!$B:$B,$A73,DeadRaw!AT:AT)</f>
        <v>0</v>
      </c>
      <c r="AR73">
        <f>SUMIF(DeadRaw!$B:$B,$A73,DeadRaw!AU:AU)</f>
        <v>0</v>
      </c>
      <c r="AS73">
        <f>SUMIF(DeadRaw!$B:$B,$A73,DeadRaw!AV:AV)</f>
        <v>0</v>
      </c>
      <c r="AT73">
        <f>SUMIF(DeadRaw!$B:$B,$A73,DeadRaw!AW:AW)</f>
        <v>0</v>
      </c>
      <c r="AU73">
        <f>SUMIF(DeadRaw!$B:$B,$A73,DeadRaw!AX:AX)</f>
        <v>0</v>
      </c>
      <c r="AV73">
        <f>SUMIF(DeadRaw!$B:$B,$A73,DeadRaw!AY:AY)</f>
        <v>0</v>
      </c>
      <c r="AW73">
        <f>SUMIF(DeadRaw!$B:$B,$A73,DeadRaw!AZ:AZ)</f>
        <v>0</v>
      </c>
      <c r="AX73">
        <f>SUMIF(DeadRaw!$B:$B,$A73,DeadRaw!BA:BA)</f>
        <v>0</v>
      </c>
      <c r="AY73">
        <f>SUMIF(DeadRaw!$B:$B,$A73,DeadRaw!BB:BB)</f>
        <v>0</v>
      </c>
      <c r="AZ73">
        <f>SUMIF(DeadRaw!$B:$B,$A73,DeadRaw!BC:BC)</f>
        <v>0</v>
      </c>
      <c r="BA73">
        <f>SUMIF(DeadRaw!$B:$B,$A73,DeadRaw!BD:BD)</f>
        <v>0</v>
      </c>
      <c r="BB73">
        <f>SUMIF(DeadRaw!$B:$B,$A73,DeadRaw!BE:BE)</f>
        <v>0</v>
      </c>
      <c r="BC73">
        <f>SUMIF(DeadRaw!$B:$B,$A73,DeadRaw!BF:BF)</f>
        <v>0</v>
      </c>
      <c r="BD73">
        <f>SUMIF(DeadRaw!$B:$B,$A73,DeadRaw!BG:BG)</f>
        <v>0</v>
      </c>
      <c r="BE73">
        <f>SUMIF(DeadRaw!$B:$B,$A73,DeadRaw!BH:BH)</f>
        <v>0</v>
      </c>
      <c r="BF73">
        <f>SUMIF(DeadRaw!$B:$B,$A73,DeadRaw!BI:BI)</f>
        <v>0</v>
      </c>
      <c r="BG73">
        <f>SUMIF(DeadRaw!$B:$B,$A73,DeadRaw!BJ:BJ)</f>
        <v>1</v>
      </c>
      <c r="BH73">
        <f>SUMIF(DeadRaw!$B:$B,$A73,DeadRaw!BK:BK)</f>
        <v>1</v>
      </c>
      <c r="BI73">
        <f>SUMIF(DeadRaw!$B:$B,$A73,DeadRaw!BL:BL)</f>
        <v>0</v>
      </c>
      <c r="BJ73">
        <f>SUMIF(DeadRaw!$B:$B,$A73,DeadRaw!BM:BM)</f>
        <v>0</v>
      </c>
      <c r="BK73">
        <f>SUMIF(DeadRaw!$B:$B,$A73,DeadRaw!BN:BN)</f>
        <v>0</v>
      </c>
      <c r="BL73">
        <f>SUMIF(DeadRaw!$B:$B,$A73,DeadRaw!BO:BO)</f>
        <v>0</v>
      </c>
      <c r="BM73">
        <f>SUMIF(DeadRaw!$B:$B,$A73,DeadRaw!BP:BP)</f>
        <v>0</v>
      </c>
      <c r="BN73">
        <f>SUMIF(DeadRaw!$B:$B,$A73,DeadRaw!BQ:BQ)</f>
        <v>0</v>
      </c>
      <c r="BO73">
        <f>SUMIF(DeadRaw!$B:$B,$A73,DeadRaw!BR:BR)</f>
        <v>0</v>
      </c>
      <c r="BP73">
        <f>SUMIF(DeadRaw!$B:$B,$A73,DeadRaw!BS:BS)</f>
        <v>0</v>
      </c>
      <c r="BQ73">
        <f>SUMIF(DeadRaw!$B:$B,$A73,DeadRaw!BT:BT)</f>
        <v>0</v>
      </c>
      <c r="BR73">
        <f>SUMIF(DeadRaw!$B:$B,$A73,DeadRaw!BU:BU)</f>
        <v>0</v>
      </c>
      <c r="BS73">
        <f>SUMIF(DeadRaw!$B:$B,$A73,DeadRaw!BV:BV)</f>
        <v>0</v>
      </c>
      <c r="BT73">
        <f>SUMIF(DeadRaw!$B:$B,$A73,DeadRaw!BW:BW)</f>
        <v>0</v>
      </c>
    </row>
    <row r="74" spans="1:72" ht="15" thickBot="1" x14ac:dyDescent="0.35">
      <c r="A74" s="3" t="s">
        <v>104</v>
      </c>
      <c r="B74">
        <f>SUMIF(DeadRaw!$B:$B,$A74,DeadRaw!E:E)</f>
        <v>0</v>
      </c>
      <c r="C74">
        <f>SUMIF(DeadRaw!$B:$B,$A74,DeadRaw!F:F)</f>
        <v>0</v>
      </c>
      <c r="D74">
        <f>SUMIF(DeadRaw!$B:$B,$A74,DeadRaw!G:G)</f>
        <v>0</v>
      </c>
      <c r="E74">
        <f>SUMIF(DeadRaw!$B:$B,$A74,DeadRaw!H:H)</f>
        <v>0</v>
      </c>
      <c r="F74">
        <f>SUMIF(DeadRaw!$B:$B,$A74,DeadRaw!I:I)</f>
        <v>0</v>
      </c>
      <c r="G74">
        <f>SUMIF(DeadRaw!$B:$B,$A74,DeadRaw!J:J)</f>
        <v>0</v>
      </c>
      <c r="H74">
        <f>SUMIF(DeadRaw!$B:$B,$A74,DeadRaw!K:K)</f>
        <v>0</v>
      </c>
      <c r="I74">
        <f>SUMIF(DeadRaw!$B:$B,$A74,DeadRaw!L:L)</f>
        <v>0</v>
      </c>
      <c r="J74">
        <f>SUMIF(DeadRaw!$B:$B,$A74,DeadRaw!M:M)</f>
        <v>0</v>
      </c>
      <c r="K74">
        <f>SUMIF(DeadRaw!$B:$B,$A74,DeadRaw!N:N)</f>
        <v>0</v>
      </c>
      <c r="L74">
        <f>SUMIF(DeadRaw!$B:$B,$A74,DeadRaw!O:O)</f>
        <v>0</v>
      </c>
      <c r="M74">
        <f>SUMIF(DeadRaw!$B:$B,$A74,DeadRaw!P:P)</f>
        <v>0</v>
      </c>
      <c r="N74">
        <f>SUMIF(DeadRaw!$B:$B,$A74,DeadRaw!Q:Q)</f>
        <v>0</v>
      </c>
      <c r="O74">
        <f>SUMIF(DeadRaw!$B:$B,$A74,DeadRaw!R:R)</f>
        <v>0</v>
      </c>
      <c r="P74">
        <f>SUMIF(DeadRaw!$B:$B,$A74,DeadRaw!S:S)</f>
        <v>0</v>
      </c>
      <c r="Q74">
        <f>SUMIF(DeadRaw!$B:$B,$A74,DeadRaw!T:T)</f>
        <v>0</v>
      </c>
      <c r="R74">
        <f>SUMIF(DeadRaw!$B:$B,$A74,DeadRaw!U:U)</f>
        <v>0</v>
      </c>
      <c r="S74">
        <f>SUMIF(DeadRaw!$B:$B,$A74,DeadRaw!V:V)</f>
        <v>0</v>
      </c>
      <c r="T74">
        <f>SUMIF(DeadRaw!$B:$B,$A74,DeadRaw!W:W)</f>
        <v>0</v>
      </c>
      <c r="U74">
        <f>SUMIF(DeadRaw!$B:$B,$A74,DeadRaw!X:X)</f>
        <v>0</v>
      </c>
      <c r="V74">
        <f>SUMIF(DeadRaw!$B:$B,$A74,DeadRaw!Y:Y)</f>
        <v>0</v>
      </c>
      <c r="W74">
        <f>SUMIF(DeadRaw!$B:$B,$A74,DeadRaw!Z:Z)</f>
        <v>0</v>
      </c>
      <c r="X74">
        <f>SUMIF(DeadRaw!$B:$B,$A74,DeadRaw!AA:AA)</f>
        <v>0</v>
      </c>
      <c r="Y74">
        <f>SUMIF(DeadRaw!$B:$B,$A74,DeadRaw!AB:AB)</f>
        <v>0</v>
      </c>
      <c r="Z74">
        <f>SUMIF(DeadRaw!$B:$B,$A74,DeadRaw!AC:AC)</f>
        <v>0</v>
      </c>
      <c r="AA74">
        <f>SUMIF(DeadRaw!$B:$B,$A74,DeadRaw!AD:AD)</f>
        <v>0</v>
      </c>
      <c r="AB74">
        <f>SUMIF(DeadRaw!$B:$B,$A74,DeadRaw!AE:AE)</f>
        <v>0</v>
      </c>
      <c r="AC74">
        <f>SUMIF(DeadRaw!$B:$B,$A74,DeadRaw!AF:AF)</f>
        <v>0</v>
      </c>
      <c r="AD74">
        <f>SUMIF(DeadRaw!$B:$B,$A74,DeadRaw!AG:AG)</f>
        <v>0</v>
      </c>
      <c r="AE74">
        <f>SUMIF(DeadRaw!$B:$B,$A74,DeadRaw!AH:AH)</f>
        <v>0</v>
      </c>
      <c r="AF74">
        <f>SUMIF(DeadRaw!$B:$B,$A74,DeadRaw!AI:AI)</f>
        <v>0</v>
      </c>
      <c r="AG74">
        <f>SUMIF(DeadRaw!$B:$B,$A74,DeadRaw!AJ:AJ)</f>
        <v>0</v>
      </c>
      <c r="AH74">
        <f>SUMIF(DeadRaw!$B:$B,$A74,DeadRaw!AK:AK)</f>
        <v>0</v>
      </c>
      <c r="AI74">
        <f>SUMIF(DeadRaw!$B:$B,$A74,DeadRaw!AL:AL)</f>
        <v>0</v>
      </c>
      <c r="AJ74">
        <f>SUMIF(DeadRaw!$B:$B,$A74,DeadRaw!AM:AM)</f>
        <v>0</v>
      </c>
      <c r="AK74">
        <f>SUMIF(DeadRaw!$B:$B,$A74,DeadRaw!AN:AN)</f>
        <v>0</v>
      </c>
      <c r="AL74">
        <f>SUMIF(DeadRaw!$B:$B,$A74,DeadRaw!AO:AO)</f>
        <v>0</v>
      </c>
      <c r="AM74">
        <f>SUMIF(DeadRaw!$B:$B,$A74,DeadRaw!AP:AP)</f>
        <v>0</v>
      </c>
      <c r="AN74">
        <f>SUMIF(DeadRaw!$B:$B,$A74,DeadRaw!AQ:AQ)</f>
        <v>0</v>
      </c>
      <c r="AO74">
        <f>SUMIF(DeadRaw!$B:$B,$A74,DeadRaw!AR:AR)</f>
        <v>0</v>
      </c>
      <c r="AP74">
        <f>SUMIF(DeadRaw!$B:$B,$A74,DeadRaw!AS:AS)</f>
        <v>0</v>
      </c>
      <c r="AQ74">
        <f>SUMIF(DeadRaw!$B:$B,$A74,DeadRaw!AT:AT)</f>
        <v>0</v>
      </c>
      <c r="AR74">
        <f>SUMIF(DeadRaw!$B:$B,$A74,DeadRaw!AU:AU)</f>
        <v>0</v>
      </c>
      <c r="AS74">
        <f>SUMIF(DeadRaw!$B:$B,$A74,DeadRaw!AV:AV)</f>
        <v>0</v>
      </c>
      <c r="AT74">
        <f>SUMIF(DeadRaw!$B:$B,$A74,DeadRaw!AW:AW)</f>
        <v>0</v>
      </c>
      <c r="AU74">
        <f>SUMIF(DeadRaw!$B:$B,$A74,DeadRaw!AX:AX)</f>
        <v>0</v>
      </c>
      <c r="AV74">
        <f>SUMIF(DeadRaw!$B:$B,$A74,DeadRaw!AY:AY)</f>
        <v>0</v>
      </c>
      <c r="AW74">
        <f>SUMIF(DeadRaw!$B:$B,$A74,DeadRaw!AZ:AZ)</f>
        <v>0</v>
      </c>
      <c r="AX74">
        <f>SUMIF(DeadRaw!$B:$B,$A74,DeadRaw!BA:BA)</f>
        <v>0</v>
      </c>
      <c r="AY74">
        <f>SUMIF(DeadRaw!$B:$B,$A74,DeadRaw!BB:BB)</f>
        <v>0</v>
      </c>
      <c r="AZ74">
        <f>SUMIF(DeadRaw!$B:$B,$A74,DeadRaw!BC:BC)</f>
        <v>0</v>
      </c>
      <c r="BA74">
        <f>SUMIF(DeadRaw!$B:$B,$A74,DeadRaw!BD:BD)</f>
        <v>1</v>
      </c>
      <c r="BB74">
        <f>SUMIF(DeadRaw!$B:$B,$A74,DeadRaw!BE:BE)</f>
        <v>1</v>
      </c>
      <c r="BC74">
        <f>SUMIF(DeadRaw!$B:$B,$A74,DeadRaw!BF:BF)</f>
        <v>1</v>
      </c>
      <c r="BD74">
        <f>SUMIF(DeadRaw!$B:$B,$A74,DeadRaw!BG:BG)</f>
        <v>1</v>
      </c>
      <c r="BE74">
        <f>SUMIF(DeadRaw!$B:$B,$A74,DeadRaw!BH:BH)</f>
        <v>1</v>
      </c>
      <c r="BF74">
        <f>SUMIF(DeadRaw!$B:$B,$A74,DeadRaw!BI:BI)</f>
        <v>1</v>
      </c>
      <c r="BG74">
        <f>SUMIF(DeadRaw!$B:$B,$A74,DeadRaw!BJ:BJ)</f>
        <v>1</v>
      </c>
      <c r="BH74">
        <f>SUMIF(DeadRaw!$B:$B,$A74,DeadRaw!BK:BK)</f>
        <v>1</v>
      </c>
      <c r="BI74">
        <f>SUMIF(DeadRaw!$B:$B,$A74,DeadRaw!BL:BL)</f>
        <v>0</v>
      </c>
      <c r="BJ74">
        <f>SUMIF(DeadRaw!$B:$B,$A74,DeadRaw!BM:BM)</f>
        <v>0</v>
      </c>
      <c r="BK74">
        <f>SUMIF(DeadRaw!$B:$B,$A74,DeadRaw!BN:BN)</f>
        <v>0</v>
      </c>
      <c r="BL74">
        <f>SUMIF(DeadRaw!$B:$B,$A74,DeadRaw!BO:BO)</f>
        <v>0</v>
      </c>
      <c r="BM74">
        <f>SUMIF(DeadRaw!$B:$B,$A74,DeadRaw!BP:BP)</f>
        <v>0</v>
      </c>
      <c r="BN74">
        <f>SUMIF(DeadRaw!$B:$B,$A74,DeadRaw!BQ:BQ)</f>
        <v>0</v>
      </c>
      <c r="BO74">
        <f>SUMIF(DeadRaw!$B:$B,$A74,DeadRaw!BR:BR)</f>
        <v>0</v>
      </c>
      <c r="BP74">
        <f>SUMIF(DeadRaw!$B:$B,$A74,DeadRaw!BS:BS)</f>
        <v>0</v>
      </c>
      <c r="BQ74">
        <f>SUMIF(DeadRaw!$B:$B,$A74,DeadRaw!BT:BT)</f>
        <v>0</v>
      </c>
      <c r="BR74">
        <f>SUMIF(DeadRaw!$B:$B,$A74,DeadRaw!BU:BU)</f>
        <v>0</v>
      </c>
      <c r="BS74">
        <f>SUMIF(DeadRaw!$B:$B,$A74,DeadRaw!BV:BV)</f>
        <v>0</v>
      </c>
      <c r="BT74">
        <f>SUMIF(DeadRaw!$B:$B,$A74,DeadRaw!BW:BW)</f>
        <v>0</v>
      </c>
    </row>
    <row r="75" spans="1:72" ht="15" thickBot="1" x14ac:dyDescent="0.35">
      <c r="A75" s="3" t="s">
        <v>231</v>
      </c>
      <c r="B75">
        <f>SUMIF(DeadRaw!$B:$B,$A75,DeadRaw!E:E)</f>
        <v>0</v>
      </c>
      <c r="C75">
        <f>SUMIF(DeadRaw!$B:$B,$A75,DeadRaw!F:F)</f>
        <v>0</v>
      </c>
      <c r="D75">
        <f>SUMIF(DeadRaw!$B:$B,$A75,DeadRaw!G:G)</f>
        <v>0</v>
      </c>
      <c r="E75">
        <f>SUMIF(DeadRaw!$B:$B,$A75,DeadRaw!H:H)</f>
        <v>0</v>
      </c>
      <c r="F75">
        <f>SUMIF(DeadRaw!$B:$B,$A75,DeadRaw!I:I)</f>
        <v>0</v>
      </c>
      <c r="G75">
        <f>SUMIF(DeadRaw!$B:$B,$A75,DeadRaw!J:J)</f>
        <v>0</v>
      </c>
      <c r="H75">
        <f>SUMIF(DeadRaw!$B:$B,$A75,DeadRaw!K:K)</f>
        <v>0</v>
      </c>
      <c r="I75">
        <f>SUMIF(DeadRaw!$B:$B,$A75,DeadRaw!L:L)</f>
        <v>0</v>
      </c>
      <c r="J75">
        <f>SUMIF(DeadRaw!$B:$B,$A75,DeadRaw!M:M)</f>
        <v>0</v>
      </c>
      <c r="K75">
        <f>SUMIF(DeadRaw!$B:$B,$A75,DeadRaw!N:N)</f>
        <v>0</v>
      </c>
      <c r="L75">
        <f>SUMIF(DeadRaw!$B:$B,$A75,DeadRaw!O:O)</f>
        <v>0</v>
      </c>
      <c r="M75">
        <f>SUMIF(DeadRaw!$B:$B,$A75,DeadRaw!P:P)</f>
        <v>0</v>
      </c>
      <c r="N75">
        <f>SUMIF(DeadRaw!$B:$B,$A75,DeadRaw!Q:Q)</f>
        <v>0</v>
      </c>
      <c r="O75">
        <f>SUMIF(DeadRaw!$B:$B,$A75,DeadRaw!R:R)</f>
        <v>0</v>
      </c>
      <c r="P75">
        <f>SUMIF(DeadRaw!$B:$B,$A75,DeadRaw!S:S)</f>
        <v>0</v>
      </c>
      <c r="Q75">
        <f>SUMIF(DeadRaw!$B:$B,$A75,DeadRaw!T:T)</f>
        <v>0</v>
      </c>
      <c r="R75">
        <f>SUMIF(DeadRaw!$B:$B,$A75,DeadRaw!U:U)</f>
        <v>0</v>
      </c>
      <c r="S75">
        <f>SUMIF(DeadRaw!$B:$B,$A75,DeadRaw!V:V)</f>
        <v>0</v>
      </c>
      <c r="T75">
        <f>SUMIF(DeadRaw!$B:$B,$A75,DeadRaw!W:W)</f>
        <v>0</v>
      </c>
      <c r="U75">
        <f>SUMIF(DeadRaw!$B:$B,$A75,DeadRaw!X:X)</f>
        <v>0</v>
      </c>
      <c r="V75">
        <f>SUMIF(DeadRaw!$B:$B,$A75,DeadRaw!Y:Y)</f>
        <v>0</v>
      </c>
      <c r="W75">
        <f>SUMIF(DeadRaw!$B:$B,$A75,DeadRaw!Z:Z)</f>
        <v>0</v>
      </c>
      <c r="X75">
        <f>SUMIF(DeadRaw!$B:$B,$A75,DeadRaw!AA:AA)</f>
        <v>0</v>
      </c>
      <c r="Y75">
        <f>SUMIF(DeadRaw!$B:$B,$A75,DeadRaw!AB:AB)</f>
        <v>0</v>
      </c>
      <c r="Z75">
        <f>SUMIF(DeadRaw!$B:$B,$A75,DeadRaw!AC:AC)</f>
        <v>0</v>
      </c>
      <c r="AA75">
        <f>SUMIF(DeadRaw!$B:$B,$A75,DeadRaw!AD:AD)</f>
        <v>0</v>
      </c>
      <c r="AB75">
        <f>SUMIF(DeadRaw!$B:$B,$A75,DeadRaw!AE:AE)</f>
        <v>0</v>
      </c>
      <c r="AC75">
        <f>SUMIF(DeadRaw!$B:$B,$A75,DeadRaw!AF:AF)</f>
        <v>0</v>
      </c>
      <c r="AD75">
        <f>SUMIF(DeadRaw!$B:$B,$A75,DeadRaw!AG:AG)</f>
        <v>0</v>
      </c>
      <c r="AE75">
        <f>SUMIF(DeadRaw!$B:$B,$A75,DeadRaw!AH:AH)</f>
        <v>0</v>
      </c>
      <c r="AF75">
        <f>SUMIF(DeadRaw!$B:$B,$A75,DeadRaw!AI:AI)</f>
        <v>0</v>
      </c>
      <c r="AG75">
        <f>SUMIF(DeadRaw!$B:$B,$A75,DeadRaw!AJ:AJ)</f>
        <v>0</v>
      </c>
      <c r="AH75">
        <f>SUMIF(DeadRaw!$B:$B,$A75,DeadRaw!AK:AK)</f>
        <v>0</v>
      </c>
      <c r="AI75">
        <f>SUMIF(DeadRaw!$B:$B,$A75,DeadRaw!AL:AL)</f>
        <v>0</v>
      </c>
      <c r="AJ75">
        <f>SUMIF(DeadRaw!$B:$B,$A75,DeadRaw!AM:AM)</f>
        <v>0</v>
      </c>
      <c r="AK75">
        <f>SUMIF(DeadRaw!$B:$B,$A75,DeadRaw!AN:AN)</f>
        <v>0</v>
      </c>
      <c r="AL75">
        <f>SUMIF(DeadRaw!$B:$B,$A75,DeadRaw!AO:AO)</f>
        <v>0</v>
      </c>
      <c r="AM75">
        <f>SUMIF(DeadRaw!$B:$B,$A75,DeadRaw!AP:AP)</f>
        <v>0</v>
      </c>
      <c r="AN75">
        <f>SUMIF(DeadRaw!$B:$B,$A75,DeadRaw!AQ:AQ)</f>
        <v>0</v>
      </c>
      <c r="AO75">
        <f>SUMIF(DeadRaw!$B:$B,$A75,DeadRaw!AR:AR)</f>
        <v>0</v>
      </c>
      <c r="AP75">
        <f>SUMIF(DeadRaw!$B:$B,$A75,DeadRaw!AS:AS)</f>
        <v>0</v>
      </c>
      <c r="AQ75">
        <f>SUMIF(DeadRaw!$B:$B,$A75,DeadRaw!AT:AT)</f>
        <v>0</v>
      </c>
      <c r="AR75">
        <f>SUMIF(DeadRaw!$B:$B,$A75,DeadRaw!AU:AU)</f>
        <v>0</v>
      </c>
      <c r="AS75">
        <f>SUMIF(DeadRaw!$B:$B,$A75,DeadRaw!AV:AV)</f>
        <v>0</v>
      </c>
      <c r="AT75">
        <f>SUMIF(DeadRaw!$B:$B,$A75,DeadRaw!AW:AW)</f>
        <v>0</v>
      </c>
      <c r="AU75">
        <f>SUMIF(DeadRaw!$B:$B,$A75,DeadRaw!AX:AX)</f>
        <v>0</v>
      </c>
      <c r="AV75">
        <f>SUMIF(DeadRaw!$B:$B,$A75,DeadRaw!AY:AY)</f>
        <v>0</v>
      </c>
      <c r="AW75">
        <f>SUMIF(DeadRaw!$B:$B,$A75,DeadRaw!AZ:AZ)</f>
        <v>0</v>
      </c>
      <c r="AX75">
        <f>SUMIF(DeadRaw!$B:$B,$A75,DeadRaw!BA:BA)</f>
        <v>0</v>
      </c>
      <c r="AY75">
        <f>SUMIF(DeadRaw!$B:$B,$A75,DeadRaw!BB:BB)</f>
        <v>0</v>
      </c>
      <c r="AZ75">
        <f>SUMIF(DeadRaw!$B:$B,$A75,DeadRaw!BC:BC)</f>
        <v>0</v>
      </c>
      <c r="BA75">
        <f>SUMIF(DeadRaw!$B:$B,$A75,DeadRaw!BD:BD)</f>
        <v>0</v>
      </c>
      <c r="BB75">
        <f>SUMIF(DeadRaw!$B:$B,$A75,DeadRaw!BE:BE)</f>
        <v>0</v>
      </c>
      <c r="BC75">
        <f>SUMIF(DeadRaw!$B:$B,$A75,DeadRaw!BF:BF)</f>
        <v>0</v>
      </c>
      <c r="BD75">
        <f>SUMIF(DeadRaw!$B:$B,$A75,DeadRaw!BG:BG)</f>
        <v>0</v>
      </c>
      <c r="BE75">
        <f>SUMIF(DeadRaw!$B:$B,$A75,DeadRaw!BH:BH)</f>
        <v>0</v>
      </c>
      <c r="BF75">
        <f>SUMIF(DeadRaw!$B:$B,$A75,DeadRaw!BI:BI)</f>
        <v>0</v>
      </c>
      <c r="BG75">
        <f>SUMIF(DeadRaw!$B:$B,$A75,DeadRaw!BJ:BJ)</f>
        <v>0</v>
      </c>
      <c r="BH75">
        <f>SUMIF(DeadRaw!$B:$B,$A75,DeadRaw!BK:BK)</f>
        <v>0</v>
      </c>
      <c r="BI75">
        <f>SUMIF(DeadRaw!$B:$B,$A75,DeadRaw!BL:BL)</f>
        <v>0</v>
      </c>
      <c r="BJ75">
        <f>SUMIF(DeadRaw!$B:$B,$A75,DeadRaw!BM:BM)</f>
        <v>0</v>
      </c>
      <c r="BK75">
        <f>SUMIF(DeadRaw!$B:$B,$A75,DeadRaw!BN:BN)</f>
        <v>0</v>
      </c>
      <c r="BL75">
        <f>SUMIF(DeadRaw!$B:$B,$A75,DeadRaw!BO:BO)</f>
        <v>0</v>
      </c>
      <c r="BM75">
        <f>SUMIF(DeadRaw!$B:$B,$A75,DeadRaw!BP:BP)</f>
        <v>0</v>
      </c>
      <c r="BN75">
        <f>SUMIF(DeadRaw!$B:$B,$A75,DeadRaw!BQ:BQ)</f>
        <v>0</v>
      </c>
      <c r="BO75">
        <f>SUMIF(DeadRaw!$B:$B,$A75,DeadRaw!BR:BR)</f>
        <v>0</v>
      </c>
      <c r="BP75">
        <f>SUMIF(DeadRaw!$B:$B,$A75,DeadRaw!BS:BS)</f>
        <v>0</v>
      </c>
      <c r="BQ75">
        <f>SUMIF(DeadRaw!$B:$B,$A75,DeadRaw!BT:BT)</f>
        <v>0</v>
      </c>
      <c r="BR75">
        <f>SUMIF(DeadRaw!$B:$B,$A75,DeadRaw!BU:BU)</f>
        <v>0</v>
      </c>
      <c r="BS75">
        <f>SUMIF(DeadRaw!$B:$B,$A75,DeadRaw!BV:BV)</f>
        <v>0</v>
      </c>
      <c r="BT75">
        <f>SUMIF(DeadRaw!$B:$B,$A75,DeadRaw!BW:BW)</f>
        <v>0</v>
      </c>
    </row>
    <row r="76" spans="1:72" ht="15" thickBot="1" x14ac:dyDescent="0.35">
      <c r="A76" s="3" t="s">
        <v>84</v>
      </c>
      <c r="B76">
        <f>SUMIF(DeadRaw!$B:$B,$A76,DeadRaw!E:E)</f>
        <v>0</v>
      </c>
      <c r="C76">
        <f>SUMIF(DeadRaw!$B:$B,$A76,DeadRaw!F:F)</f>
        <v>0</v>
      </c>
      <c r="D76">
        <f>SUMIF(DeadRaw!$B:$B,$A76,DeadRaw!G:G)</f>
        <v>0</v>
      </c>
      <c r="E76">
        <f>SUMIF(DeadRaw!$B:$B,$A76,DeadRaw!H:H)</f>
        <v>0</v>
      </c>
      <c r="F76">
        <f>SUMIF(DeadRaw!$B:$B,$A76,DeadRaw!I:I)</f>
        <v>0</v>
      </c>
      <c r="G76">
        <f>SUMIF(DeadRaw!$B:$B,$A76,DeadRaw!J:J)</f>
        <v>0</v>
      </c>
      <c r="H76">
        <f>SUMIF(DeadRaw!$B:$B,$A76,DeadRaw!K:K)</f>
        <v>0</v>
      </c>
      <c r="I76">
        <f>SUMIF(DeadRaw!$B:$B,$A76,DeadRaw!L:L)</f>
        <v>0</v>
      </c>
      <c r="J76">
        <f>SUMIF(DeadRaw!$B:$B,$A76,DeadRaw!M:M)</f>
        <v>0</v>
      </c>
      <c r="K76">
        <f>SUMIF(DeadRaw!$B:$B,$A76,DeadRaw!N:N)</f>
        <v>0</v>
      </c>
      <c r="L76">
        <f>SUMIF(DeadRaw!$B:$B,$A76,DeadRaw!O:O)</f>
        <v>0</v>
      </c>
      <c r="M76">
        <f>SUMIF(DeadRaw!$B:$B,$A76,DeadRaw!P:P)</f>
        <v>0</v>
      </c>
      <c r="N76">
        <f>SUMIF(DeadRaw!$B:$B,$A76,DeadRaw!Q:Q)</f>
        <v>0</v>
      </c>
      <c r="O76">
        <f>SUMIF(DeadRaw!$B:$B,$A76,DeadRaw!R:R)</f>
        <v>0</v>
      </c>
      <c r="P76">
        <f>SUMIF(DeadRaw!$B:$B,$A76,DeadRaw!S:S)</f>
        <v>0</v>
      </c>
      <c r="Q76">
        <f>SUMIF(DeadRaw!$B:$B,$A76,DeadRaw!T:T)</f>
        <v>0</v>
      </c>
      <c r="R76">
        <f>SUMIF(DeadRaw!$B:$B,$A76,DeadRaw!U:U)</f>
        <v>0</v>
      </c>
      <c r="S76">
        <f>SUMIF(DeadRaw!$B:$B,$A76,DeadRaw!V:V)</f>
        <v>0</v>
      </c>
      <c r="T76">
        <f>SUMIF(DeadRaw!$B:$B,$A76,DeadRaw!W:W)</f>
        <v>0</v>
      </c>
      <c r="U76">
        <f>SUMIF(DeadRaw!$B:$B,$A76,DeadRaw!X:X)</f>
        <v>0</v>
      </c>
      <c r="V76">
        <f>SUMIF(DeadRaw!$B:$B,$A76,DeadRaw!Y:Y)</f>
        <v>0</v>
      </c>
      <c r="W76">
        <f>SUMIF(DeadRaw!$B:$B,$A76,DeadRaw!Z:Z)</f>
        <v>0</v>
      </c>
      <c r="X76">
        <f>SUMIF(DeadRaw!$B:$B,$A76,DeadRaw!AA:AA)</f>
        <v>0</v>
      </c>
      <c r="Y76">
        <f>SUMIF(DeadRaw!$B:$B,$A76,DeadRaw!AB:AB)</f>
        <v>0</v>
      </c>
      <c r="Z76">
        <f>SUMIF(DeadRaw!$B:$B,$A76,DeadRaw!AC:AC)</f>
        <v>0</v>
      </c>
      <c r="AA76">
        <f>SUMIF(DeadRaw!$B:$B,$A76,DeadRaw!AD:AD)</f>
        <v>0</v>
      </c>
      <c r="AB76">
        <f>SUMIF(DeadRaw!$B:$B,$A76,DeadRaw!AE:AE)</f>
        <v>0</v>
      </c>
      <c r="AC76">
        <f>SUMIF(DeadRaw!$B:$B,$A76,DeadRaw!AF:AF)</f>
        <v>0</v>
      </c>
      <c r="AD76">
        <f>SUMIF(DeadRaw!$B:$B,$A76,DeadRaw!AG:AG)</f>
        <v>0</v>
      </c>
      <c r="AE76">
        <f>SUMIF(DeadRaw!$B:$B,$A76,DeadRaw!AH:AH)</f>
        <v>0</v>
      </c>
      <c r="AF76">
        <f>SUMIF(DeadRaw!$B:$B,$A76,DeadRaw!AI:AI)</f>
        <v>0</v>
      </c>
      <c r="AG76">
        <f>SUMIF(DeadRaw!$B:$B,$A76,DeadRaw!AJ:AJ)</f>
        <v>0</v>
      </c>
      <c r="AH76">
        <f>SUMIF(DeadRaw!$B:$B,$A76,DeadRaw!AK:AK)</f>
        <v>0</v>
      </c>
      <c r="AI76">
        <f>SUMIF(DeadRaw!$B:$B,$A76,DeadRaw!AL:AL)</f>
        <v>0</v>
      </c>
      <c r="AJ76">
        <f>SUMIF(DeadRaw!$B:$B,$A76,DeadRaw!AM:AM)</f>
        <v>0</v>
      </c>
      <c r="AK76">
        <f>SUMIF(DeadRaw!$B:$B,$A76,DeadRaw!AN:AN)</f>
        <v>0</v>
      </c>
      <c r="AL76">
        <f>SUMIF(DeadRaw!$B:$B,$A76,DeadRaw!AO:AO)</f>
        <v>0</v>
      </c>
      <c r="AM76">
        <f>SUMIF(DeadRaw!$B:$B,$A76,DeadRaw!AP:AP)</f>
        <v>0</v>
      </c>
      <c r="AN76">
        <f>SUMIF(DeadRaw!$B:$B,$A76,DeadRaw!AQ:AQ)</f>
        <v>0</v>
      </c>
      <c r="AO76">
        <f>SUMIF(DeadRaw!$B:$B,$A76,DeadRaw!AR:AR)</f>
        <v>0</v>
      </c>
      <c r="AP76">
        <f>SUMIF(DeadRaw!$B:$B,$A76,DeadRaw!AS:AS)</f>
        <v>0</v>
      </c>
      <c r="AQ76">
        <f>SUMIF(DeadRaw!$B:$B,$A76,DeadRaw!AT:AT)</f>
        <v>0</v>
      </c>
      <c r="AR76">
        <f>SUMIF(DeadRaw!$B:$B,$A76,DeadRaw!AU:AU)</f>
        <v>0</v>
      </c>
      <c r="AS76">
        <f>SUMIF(DeadRaw!$B:$B,$A76,DeadRaw!AV:AV)</f>
        <v>0</v>
      </c>
      <c r="AT76">
        <f>SUMIF(DeadRaw!$B:$B,$A76,DeadRaw!AW:AW)</f>
        <v>0</v>
      </c>
      <c r="AU76">
        <f>SUMIF(DeadRaw!$B:$B,$A76,DeadRaw!AX:AX)</f>
        <v>0</v>
      </c>
      <c r="AV76">
        <f>SUMIF(DeadRaw!$B:$B,$A76,DeadRaw!AY:AY)</f>
        <v>0</v>
      </c>
      <c r="AW76">
        <f>SUMIF(DeadRaw!$B:$B,$A76,DeadRaw!AZ:AZ)</f>
        <v>0</v>
      </c>
      <c r="AX76">
        <f>SUMIF(DeadRaw!$B:$B,$A76,DeadRaw!BA:BA)</f>
        <v>0</v>
      </c>
      <c r="AY76">
        <f>SUMIF(DeadRaw!$B:$B,$A76,DeadRaw!BB:BB)</f>
        <v>0</v>
      </c>
      <c r="AZ76">
        <f>SUMIF(DeadRaw!$B:$B,$A76,DeadRaw!BC:BC)</f>
        <v>0</v>
      </c>
      <c r="BA76">
        <f>SUMIF(DeadRaw!$B:$B,$A76,DeadRaw!BD:BD)</f>
        <v>0</v>
      </c>
      <c r="BB76">
        <f>SUMIF(DeadRaw!$B:$B,$A76,DeadRaw!BE:BE)</f>
        <v>0</v>
      </c>
      <c r="BC76">
        <f>SUMIF(DeadRaw!$B:$B,$A76,DeadRaw!BF:BF)</f>
        <v>0</v>
      </c>
      <c r="BD76">
        <f>SUMIF(DeadRaw!$B:$B,$A76,DeadRaw!BG:BG)</f>
        <v>0</v>
      </c>
      <c r="BE76">
        <f>SUMIF(DeadRaw!$B:$B,$A76,DeadRaw!BH:BH)</f>
        <v>0</v>
      </c>
      <c r="BF76">
        <f>SUMIF(DeadRaw!$B:$B,$A76,DeadRaw!BI:BI)</f>
        <v>0</v>
      </c>
      <c r="BG76">
        <f>SUMIF(DeadRaw!$B:$B,$A76,DeadRaw!BJ:BJ)</f>
        <v>0</v>
      </c>
      <c r="BH76">
        <f>SUMIF(DeadRaw!$B:$B,$A76,DeadRaw!BK:BK)</f>
        <v>0</v>
      </c>
      <c r="BI76">
        <f>SUMIF(DeadRaw!$B:$B,$A76,DeadRaw!BL:BL)</f>
        <v>0</v>
      </c>
      <c r="BJ76">
        <f>SUMIF(DeadRaw!$B:$B,$A76,DeadRaw!BM:BM)</f>
        <v>0</v>
      </c>
      <c r="BK76">
        <f>SUMIF(DeadRaw!$B:$B,$A76,DeadRaw!BN:BN)</f>
        <v>0</v>
      </c>
      <c r="BL76">
        <f>SUMIF(DeadRaw!$B:$B,$A76,DeadRaw!BO:BO)</f>
        <v>0</v>
      </c>
      <c r="BM76">
        <f>SUMIF(DeadRaw!$B:$B,$A76,DeadRaw!BP:BP)</f>
        <v>0</v>
      </c>
      <c r="BN76">
        <f>SUMIF(DeadRaw!$B:$B,$A76,DeadRaw!BQ:BQ)</f>
        <v>0</v>
      </c>
      <c r="BO76">
        <f>SUMIF(DeadRaw!$B:$B,$A76,DeadRaw!BR:BR)</f>
        <v>0</v>
      </c>
      <c r="BP76">
        <f>SUMIF(DeadRaw!$B:$B,$A76,DeadRaw!BS:BS)</f>
        <v>0</v>
      </c>
      <c r="BQ76">
        <f>SUMIF(DeadRaw!$B:$B,$A76,DeadRaw!BT:BT)</f>
        <v>0</v>
      </c>
      <c r="BR76">
        <f>SUMIF(DeadRaw!$B:$B,$A76,DeadRaw!BU:BU)</f>
        <v>0</v>
      </c>
      <c r="BS76">
        <f>SUMIF(DeadRaw!$B:$B,$A76,DeadRaw!BV:BV)</f>
        <v>0</v>
      </c>
      <c r="BT76">
        <f>SUMIF(DeadRaw!$B:$B,$A76,DeadRaw!BW:BW)</f>
        <v>0</v>
      </c>
    </row>
    <row r="77" spans="1:72" ht="15" thickBot="1" x14ac:dyDescent="0.35">
      <c r="A77" s="3" t="s">
        <v>140</v>
      </c>
      <c r="B77">
        <f>SUMIF(DeadRaw!$B:$B,$A77,DeadRaw!E:E)</f>
        <v>0</v>
      </c>
      <c r="C77">
        <f>SUMIF(DeadRaw!$B:$B,$A77,DeadRaw!F:F)</f>
        <v>0</v>
      </c>
      <c r="D77">
        <f>SUMIF(DeadRaw!$B:$B,$A77,DeadRaw!G:G)</f>
        <v>0</v>
      </c>
      <c r="E77">
        <f>SUMIF(DeadRaw!$B:$B,$A77,DeadRaw!H:H)</f>
        <v>0</v>
      </c>
      <c r="F77">
        <f>SUMIF(DeadRaw!$B:$B,$A77,DeadRaw!I:I)</f>
        <v>0</v>
      </c>
      <c r="G77">
        <f>SUMIF(DeadRaw!$B:$B,$A77,DeadRaw!J:J)</f>
        <v>0</v>
      </c>
      <c r="H77">
        <f>SUMIF(DeadRaw!$B:$B,$A77,DeadRaw!K:K)</f>
        <v>0</v>
      </c>
      <c r="I77">
        <f>SUMIF(DeadRaw!$B:$B,$A77,DeadRaw!L:L)</f>
        <v>0</v>
      </c>
      <c r="J77">
        <f>SUMIF(DeadRaw!$B:$B,$A77,DeadRaw!M:M)</f>
        <v>0</v>
      </c>
      <c r="K77">
        <f>SUMIF(DeadRaw!$B:$B,$A77,DeadRaw!N:N)</f>
        <v>0</v>
      </c>
      <c r="L77">
        <f>SUMIF(DeadRaw!$B:$B,$A77,DeadRaw!O:O)</f>
        <v>0</v>
      </c>
      <c r="M77">
        <f>SUMIF(DeadRaw!$B:$B,$A77,DeadRaw!P:P)</f>
        <v>0</v>
      </c>
      <c r="N77">
        <f>SUMIF(DeadRaw!$B:$B,$A77,DeadRaw!Q:Q)</f>
        <v>0</v>
      </c>
      <c r="O77">
        <f>SUMIF(DeadRaw!$B:$B,$A77,DeadRaw!R:R)</f>
        <v>0</v>
      </c>
      <c r="P77">
        <f>SUMIF(DeadRaw!$B:$B,$A77,DeadRaw!S:S)</f>
        <v>0</v>
      </c>
      <c r="Q77">
        <f>SUMIF(DeadRaw!$B:$B,$A77,DeadRaw!T:T)</f>
        <v>0</v>
      </c>
      <c r="R77">
        <f>SUMIF(DeadRaw!$B:$B,$A77,DeadRaw!U:U)</f>
        <v>0</v>
      </c>
      <c r="S77">
        <f>SUMIF(DeadRaw!$B:$B,$A77,DeadRaw!V:V)</f>
        <v>0</v>
      </c>
      <c r="T77">
        <f>SUMIF(DeadRaw!$B:$B,$A77,DeadRaw!W:W)</f>
        <v>0</v>
      </c>
      <c r="U77">
        <f>SUMIF(DeadRaw!$B:$B,$A77,DeadRaw!X:X)</f>
        <v>0</v>
      </c>
      <c r="V77">
        <f>SUMIF(DeadRaw!$B:$B,$A77,DeadRaw!Y:Y)</f>
        <v>0</v>
      </c>
      <c r="W77">
        <f>SUMIF(DeadRaw!$B:$B,$A77,DeadRaw!Z:Z)</f>
        <v>0</v>
      </c>
      <c r="X77">
        <f>SUMIF(DeadRaw!$B:$B,$A77,DeadRaw!AA:AA)</f>
        <v>0</v>
      </c>
      <c r="Y77">
        <f>SUMIF(DeadRaw!$B:$B,$A77,DeadRaw!AB:AB)</f>
        <v>0</v>
      </c>
      <c r="Z77">
        <f>SUMIF(DeadRaw!$B:$B,$A77,DeadRaw!AC:AC)</f>
        <v>0</v>
      </c>
      <c r="AA77">
        <f>SUMIF(DeadRaw!$B:$B,$A77,DeadRaw!AD:AD)</f>
        <v>0</v>
      </c>
      <c r="AB77">
        <f>SUMIF(DeadRaw!$B:$B,$A77,DeadRaw!AE:AE)</f>
        <v>0</v>
      </c>
      <c r="AC77">
        <f>SUMIF(DeadRaw!$B:$B,$A77,DeadRaw!AF:AF)</f>
        <v>0</v>
      </c>
      <c r="AD77">
        <f>SUMIF(DeadRaw!$B:$B,$A77,DeadRaw!AG:AG)</f>
        <v>0</v>
      </c>
      <c r="AE77">
        <f>SUMIF(DeadRaw!$B:$B,$A77,DeadRaw!AH:AH)</f>
        <v>0</v>
      </c>
      <c r="AF77">
        <f>SUMIF(DeadRaw!$B:$B,$A77,DeadRaw!AI:AI)</f>
        <v>0</v>
      </c>
      <c r="AG77">
        <f>SUMIF(DeadRaw!$B:$B,$A77,DeadRaw!AJ:AJ)</f>
        <v>0</v>
      </c>
      <c r="AH77">
        <f>SUMIF(DeadRaw!$B:$B,$A77,DeadRaw!AK:AK)</f>
        <v>0</v>
      </c>
      <c r="AI77">
        <f>SUMIF(DeadRaw!$B:$B,$A77,DeadRaw!AL:AL)</f>
        <v>0</v>
      </c>
      <c r="AJ77">
        <f>SUMIF(DeadRaw!$B:$B,$A77,DeadRaw!AM:AM)</f>
        <v>0</v>
      </c>
      <c r="AK77">
        <f>SUMIF(DeadRaw!$B:$B,$A77,DeadRaw!AN:AN)</f>
        <v>0</v>
      </c>
      <c r="AL77">
        <f>SUMIF(DeadRaw!$B:$B,$A77,DeadRaw!AO:AO)</f>
        <v>0</v>
      </c>
      <c r="AM77">
        <f>SUMIF(DeadRaw!$B:$B,$A77,DeadRaw!AP:AP)</f>
        <v>0</v>
      </c>
      <c r="AN77">
        <f>SUMIF(DeadRaw!$B:$B,$A77,DeadRaw!AQ:AQ)</f>
        <v>0</v>
      </c>
      <c r="AO77">
        <f>SUMIF(DeadRaw!$B:$B,$A77,DeadRaw!AR:AR)</f>
        <v>0</v>
      </c>
      <c r="AP77">
        <f>SUMIF(DeadRaw!$B:$B,$A77,DeadRaw!AS:AS)</f>
        <v>0</v>
      </c>
      <c r="AQ77">
        <f>SUMIF(DeadRaw!$B:$B,$A77,DeadRaw!AT:AT)</f>
        <v>0</v>
      </c>
      <c r="AR77">
        <f>SUMIF(DeadRaw!$B:$B,$A77,DeadRaw!AU:AU)</f>
        <v>0</v>
      </c>
      <c r="AS77">
        <f>SUMIF(DeadRaw!$B:$B,$A77,DeadRaw!AV:AV)</f>
        <v>0</v>
      </c>
      <c r="AT77">
        <f>SUMIF(DeadRaw!$B:$B,$A77,DeadRaw!AW:AW)</f>
        <v>0</v>
      </c>
      <c r="AU77">
        <f>SUMIF(DeadRaw!$B:$B,$A77,DeadRaw!AX:AX)</f>
        <v>0</v>
      </c>
      <c r="AV77">
        <f>SUMIF(DeadRaw!$B:$B,$A77,DeadRaw!AY:AY)</f>
        <v>0</v>
      </c>
      <c r="AW77">
        <f>SUMIF(DeadRaw!$B:$B,$A77,DeadRaw!AZ:AZ)</f>
        <v>0</v>
      </c>
      <c r="AX77">
        <f>SUMIF(DeadRaw!$B:$B,$A77,DeadRaw!BA:BA)</f>
        <v>0</v>
      </c>
      <c r="AY77">
        <f>SUMIF(DeadRaw!$B:$B,$A77,DeadRaw!BB:BB)</f>
        <v>0</v>
      </c>
      <c r="AZ77">
        <f>SUMIF(DeadRaw!$B:$B,$A77,DeadRaw!BC:BC)</f>
        <v>0</v>
      </c>
      <c r="BA77">
        <f>SUMIF(DeadRaw!$B:$B,$A77,DeadRaw!BD:BD)</f>
        <v>0</v>
      </c>
      <c r="BB77">
        <f>SUMIF(DeadRaw!$B:$B,$A77,DeadRaw!BE:BE)</f>
        <v>0</v>
      </c>
      <c r="BC77">
        <f>SUMIF(DeadRaw!$B:$B,$A77,DeadRaw!BF:BF)</f>
        <v>0</v>
      </c>
      <c r="BD77">
        <f>SUMIF(DeadRaw!$B:$B,$A77,DeadRaw!BG:BG)</f>
        <v>0</v>
      </c>
      <c r="BE77">
        <f>SUMIF(DeadRaw!$B:$B,$A77,DeadRaw!BH:BH)</f>
        <v>0</v>
      </c>
      <c r="BF77">
        <f>SUMIF(DeadRaw!$B:$B,$A77,DeadRaw!BI:BI)</f>
        <v>0</v>
      </c>
      <c r="BG77">
        <f>SUMIF(DeadRaw!$B:$B,$A77,DeadRaw!BJ:BJ)</f>
        <v>0</v>
      </c>
      <c r="BH77">
        <f>SUMIF(DeadRaw!$B:$B,$A77,DeadRaw!BK:BK)</f>
        <v>0</v>
      </c>
      <c r="BI77">
        <f>SUMIF(DeadRaw!$B:$B,$A77,DeadRaw!BL:BL)</f>
        <v>0</v>
      </c>
      <c r="BJ77">
        <f>SUMIF(DeadRaw!$B:$B,$A77,DeadRaw!BM:BM)</f>
        <v>0</v>
      </c>
      <c r="BK77">
        <f>SUMIF(DeadRaw!$B:$B,$A77,DeadRaw!BN:BN)</f>
        <v>0</v>
      </c>
      <c r="BL77">
        <f>SUMIF(DeadRaw!$B:$B,$A77,DeadRaw!BO:BO)</f>
        <v>0</v>
      </c>
      <c r="BM77">
        <f>SUMIF(DeadRaw!$B:$B,$A77,DeadRaw!BP:BP)</f>
        <v>0</v>
      </c>
      <c r="BN77">
        <f>SUMIF(DeadRaw!$B:$B,$A77,DeadRaw!BQ:BQ)</f>
        <v>0</v>
      </c>
      <c r="BO77">
        <f>SUMIF(DeadRaw!$B:$B,$A77,DeadRaw!BR:BR)</f>
        <v>0</v>
      </c>
      <c r="BP77">
        <f>SUMIF(DeadRaw!$B:$B,$A77,DeadRaw!BS:BS)</f>
        <v>0</v>
      </c>
      <c r="BQ77">
        <f>SUMIF(DeadRaw!$B:$B,$A77,DeadRaw!BT:BT)</f>
        <v>0</v>
      </c>
      <c r="BR77">
        <f>SUMIF(DeadRaw!$B:$B,$A77,DeadRaw!BU:BU)</f>
        <v>0</v>
      </c>
      <c r="BS77">
        <f>SUMIF(DeadRaw!$B:$B,$A77,DeadRaw!BV:BV)</f>
        <v>0</v>
      </c>
      <c r="BT77">
        <f>SUMIF(DeadRaw!$B:$B,$A77,DeadRaw!BW:BW)</f>
        <v>0</v>
      </c>
    </row>
    <row r="78" spans="1:72" ht="15" thickBot="1" x14ac:dyDescent="0.35">
      <c r="A78" s="4" t="s">
        <v>158</v>
      </c>
      <c r="B78">
        <f>SUMIF(DeadRaw!$B:$B,$A78,DeadRaw!E:E)</f>
        <v>0</v>
      </c>
      <c r="C78">
        <f>SUMIF(DeadRaw!$B:$B,$A78,DeadRaw!F:F)</f>
        <v>0</v>
      </c>
      <c r="D78">
        <f>SUMIF(DeadRaw!$B:$B,$A78,DeadRaw!G:G)</f>
        <v>0</v>
      </c>
      <c r="E78">
        <f>SUMIF(DeadRaw!$B:$B,$A78,DeadRaw!H:H)</f>
        <v>0</v>
      </c>
      <c r="F78">
        <f>SUMIF(DeadRaw!$B:$B,$A78,DeadRaw!I:I)</f>
        <v>0</v>
      </c>
      <c r="G78">
        <f>SUMIF(DeadRaw!$B:$B,$A78,DeadRaw!J:J)</f>
        <v>0</v>
      </c>
      <c r="H78">
        <f>SUMIF(DeadRaw!$B:$B,$A78,DeadRaw!K:K)</f>
        <v>0</v>
      </c>
      <c r="I78">
        <f>SUMIF(DeadRaw!$B:$B,$A78,DeadRaw!L:L)</f>
        <v>0</v>
      </c>
      <c r="J78">
        <f>SUMIF(DeadRaw!$B:$B,$A78,DeadRaw!M:M)</f>
        <v>0</v>
      </c>
      <c r="K78">
        <f>SUMIF(DeadRaw!$B:$B,$A78,DeadRaw!N:N)</f>
        <v>0</v>
      </c>
      <c r="L78">
        <f>SUMIF(DeadRaw!$B:$B,$A78,DeadRaw!O:O)</f>
        <v>0</v>
      </c>
      <c r="M78">
        <f>SUMIF(DeadRaw!$B:$B,$A78,DeadRaw!P:P)</f>
        <v>0</v>
      </c>
      <c r="N78">
        <f>SUMIF(DeadRaw!$B:$B,$A78,DeadRaw!Q:Q)</f>
        <v>0</v>
      </c>
      <c r="O78">
        <f>SUMIF(DeadRaw!$B:$B,$A78,DeadRaw!R:R)</f>
        <v>0</v>
      </c>
      <c r="P78">
        <f>SUMIF(DeadRaw!$B:$B,$A78,DeadRaw!S:S)</f>
        <v>0</v>
      </c>
      <c r="Q78">
        <f>SUMIF(DeadRaw!$B:$B,$A78,DeadRaw!T:T)</f>
        <v>0</v>
      </c>
      <c r="R78">
        <f>SUMIF(DeadRaw!$B:$B,$A78,DeadRaw!U:U)</f>
        <v>0</v>
      </c>
      <c r="S78">
        <f>SUMIF(DeadRaw!$B:$B,$A78,DeadRaw!V:V)</f>
        <v>0</v>
      </c>
      <c r="T78">
        <f>SUMIF(DeadRaw!$B:$B,$A78,DeadRaw!W:W)</f>
        <v>0</v>
      </c>
      <c r="U78">
        <f>SUMIF(DeadRaw!$B:$B,$A78,DeadRaw!X:X)</f>
        <v>0</v>
      </c>
      <c r="V78">
        <f>SUMIF(DeadRaw!$B:$B,$A78,DeadRaw!Y:Y)</f>
        <v>0</v>
      </c>
      <c r="W78">
        <f>SUMIF(DeadRaw!$B:$B,$A78,DeadRaw!Z:Z)</f>
        <v>0</v>
      </c>
      <c r="X78">
        <f>SUMIF(DeadRaw!$B:$B,$A78,DeadRaw!AA:AA)</f>
        <v>0</v>
      </c>
      <c r="Y78">
        <f>SUMIF(DeadRaw!$B:$B,$A78,DeadRaw!AB:AB)</f>
        <v>0</v>
      </c>
      <c r="Z78">
        <f>SUMIF(DeadRaw!$B:$B,$A78,DeadRaw!AC:AC)</f>
        <v>0</v>
      </c>
      <c r="AA78">
        <f>SUMIF(DeadRaw!$B:$B,$A78,DeadRaw!AD:AD)</f>
        <v>0</v>
      </c>
      <c r="AB78">
        <f>SUMIF(DeadRaw!$B:$B,$A78,DeadRaw!AE:AE)</f>
        <v>0</v>
      </c>
      <c r="AC78">
        <f>SUMIF(DeadRaw!$B:$B,$A78,DeadRaw!AF:AF)</f>
        <v>0</v>
      </c>
      <c r="AD78">
        <f>SUMIF(DeadRaw!$B:$B,$A78,DeadRaw!AG:AG)</f>
        <v>0</v>
      </c>
      <c r="AE78">
        <f>SUMIF(DeadRaw!$B:$B,$A78,DeadRaw!AH:AH)</f>
        <v>0</v>
      </c>
      <c r="AF78">
        <f>SUMIF(DeadRaw!$B:$B,$A78,DeadRaw!AI:AI)</f>
        <v>0</v>
      </c>
      <c r="AG78">
        <f>SUMIF(DeadRaw!$B:$B,$A78,DeadRaw!AJ:AJ)</f>
        <v>0</v>
      </c>
      <c r="AH78">
        <f>SUMIF(DeadRaw!$B:$B,$A78,DeadRaw!AK:AK)</f>
        <v>0</v>
      </c>
      <c r="AI78">
        <f>SUMIF(DeadRaw!$B:$B,$A78,DeadRaw!AL:AL)</f>
        <v>0</v>
      </c>
      <c r="AJ78">
        <f>SUMIF(DeadRaw!$B:$B,$A78,DeadRaw!AM:AM)</f>
        <v>0</v>
      </c>
      <c r="AK78">
        <f>SUMIF(DeadRaw!$B:$B,$A78,DeadRaw!AN:AN)</f>
        <v>0</v>
      </c>
      <c r="AL78">
        <f>SUMIF(DeadRaw!$B:$B,$A78,DeadRaw!AO:AO)</f>
        <v>0</v>
      </c>
      <c r="AM78">
        <f>SUMIF(DeadRaw!$B:$B,$A78,DeadRaw!AP:AP)</f>
        <v>0</v>
      </c>
      <c r="AN78">
        <f>SUMIF(DeadRaw!$B:$B,$A78,DeadRaw!AQ:AQ)</f>
        <v>0</v>
      </c>
      <c r="AO78">
        <f>SUMIF(DeadRaw!$B:$B,$A78,DeadRaw!AR:AR)</f>
        <v>0</v>
      </c>
      <c r="AP78">
        <f>SUMIF(DeadRaw!$B:$B,$A78,DeadRaw!AS:AS)</f>
        <v>0</v>
      </c>
      <c r="AQ78">
        <f>SUMIF(DeadRaw!$B:$B,$A78,DeadRaw!AT:AT)</f>
        <v>0</v>
      </c>
      <c r="AR78">
        <f>SUMIF(DeadRaw!$B:$B,$A78,DeadRaw!AU:AU)</f>
        <v>0</v>
      </c>
      <c r="AS78">
        <f>SUMIF(DeadRaw!$B:$B,$A78,DeadRaw!AV:AV)</f>
        <v>0</v>
      </c>
      <c r="AT78">
        <f>SUMIF(DeadRaw!$B:$B,$A78,DeadRaw!AW:AW)</f>
        <v>0</v>
      </c>
      <c r="AU78">
        <f>SUMIF(DeadRaw!$B:$B,$A78,DeadRaw!AX:AX)</f>
        <v>0</v>
      </c>
      <c r="AV78">
        <f>SUMIF(DeadRaw!$B:$B,$A78,DeadRaw!AY:AY)</f>
        <v>0</v>
      </c>
      <c r="AW78">
        <f>SUMIF(DeadRaw!$B:$B,$A78,DeadRaw!AZ:AZ)</f>
        <v>0</v>
      </c>
      <c r="AX78">
        <f>SUMIF(DeadRaw!$B:$B,$A78,DeadRaw!BA:BA)</f>
        <v>0</v>
      </c>
      <c r="AY78">
        <f>SUMIF(DeadRaw!$B:$B,$A78,DeadRaw!BB:BB)</f>
        <v>0</v>
      </c>
      <c r="AZ78">
        <f>SUMIF(DeadRaw!$B:$B,$A78,DeadRaw!BC:BC)</f>
        <v>0</v>
      </c>
      <c r="BA78">
        <f>SUMIF(DeadRaw!$B:$B,$A78,DeadRaw!BD:BD)</f>
        <v>0</v>
      </c>
      <c r="BB78">
        <f>SUMIF(DeadRaw!$B:$B,$A78,DeadRaw!BE:BE)</f>
        <v>0</v>
      </c>
      <c r="BC78">
        <f>SUMIF(DeadRaw!$B:$B,$A78,DeadRaw!BF:BF)</f>
        <v>0</v>
      </c>
      <c r="BD78">
        <f>SUMIF(DeadRaw!$B:$B,$A78,DeadRaw!BG:BG)</f>
        <v>0</v>
      </c>
      <c r="BE78">
        <f>SUMIF(DeadRaw!$B:$B,$A78,DeadRaw!BH:BH)</f>
        <v>0</v>
      </c>
      <c r="BF78">
        <f>SUMIF(DeadRaw!$B:$B,$A78,DeadRaw!BI:BI)</f>
        <v>0</v>
      </c>
      <c r="BG78">
        <f>SUMIF(DeadRaw!$B:$B,$A78,DeadRaw!BJ:BJ)</f>
        <v>0</v>
      </c>
      <c r="BH78">
        <f>SUMIF(DeadRaw!$B:$B,$A78,DeadRaw!BK:BK)</f>
        <v>0</v>
      </c>
      <c r="BI78">
        <f>SUMIF(DeadRaw!$B:$B,$A78,DeadRaw!BL:BL)</f>
        <v>0</v>
      </c>
      <c r="BJ78">
        <f>SUMIF(DeadRaw!$B:$B,$A78,DeadRaw!BM:BM)</f>
        <v>0</v>
      </c>
      <c r="BK78">
        <f>SUMIF(DeadRaw!$B:$B,$A78,DeadRaw!BN:BN)</f>
        <v>0</v>
      </c>
      <c r="BL78">
        <f>SUMIF(DeadRaw!$B:$B,$A78,DeadRaw!BO:BO)</f>
        <v>0</v>
      </c>
      <c r="BM78">
        <f>SUMIF(DeadRaw!$B:$B,$A78,DeadRaw!BP:BP)</f>
        <v>0</v>
      </c>
      <c r="BN78">
        <f>SUMIF(DeadRaw!$B:$B,$A78,DeadRaw!BQ:BQ)</f>
        <v>0</v>
      </c>
      <c r="BO78">
        <f>SUMIF(DeadRaw!$B:$B,$A78,DeadRaw!BR:BR)</f>
        <v>0</v>
      </c>
      <c r="BP78">
        <f>SUMIF(DeadRaw!$B:$B,$A78,DeadRaw!BS:BS)</f>
        <v>0</v>
      </c>
      <c r="BQ78">
        <f>SUMIF(DeadRaw!$B:$B,$A78,DeadRaw!BT:BT)</f>
        <v>0</v>
      </c>
      <c r="BR78">
        <f>SUMIF(DeadRaw!$B:$B,$A78,DeadRaw!BU:BU)</f>
        <v>0</v>
      </c>
      <c r="BS78">
        <f>SUMIF(DeadRaw!$B:$B,$A78,DeadRaw!BV:BV)</f>
        <v>0</v>
      </c>
      <c r="BT78">
        <f>SUMIF(DeadRaw!$B:$B,$A78,DeadRaw!BW:BW)</f>
        <v>0</v>
      </c>
    </row>
    <row r="79" spans="1:72" ht="15" thickBot="1" x14ac:dyDescent="0.35">
      <c r="A79" s="3" t="s">
        <v>177</v>
      </c>
      <c r="B79">
        <f>SUMIF(DeadRaw!$B:$B,$A79,DeadRaw!E:E)</f>
        <v>0</v>
      </c>
      <c r="C79">
        <f>SUMIF(DeadRaw!$B:$B,$A79,DeadRaw!F:F)</f>
        <v>0</v>
      </c>
      <c r="D79">
        <f>SUMIF(DeadRaw!$B:$B,$A79,DeadRaw!G:G)</f>
        <v>0</v>
      </c>
      <c r="E79">
        <f>SUMIF(DeadRaw!$B:$B,$A79,DeadRaw!H:H)</f>
        <v>0</v>
      </c>
      <c r="F79">
        <f>SUMIF(DeadRaw!$B:$B,$A79,DeadRaw!I:I)</f>
        <v>0</v>
      </c>
      <c r="G79">
        <f>SUMIF(DeadRaw!$B:$B,$A79,DeadRaw!J:J)</f>
        <v>0</v>
      </c>
      <c r="H79">
        <f>SUMIF(DeadRaw!$B:$B,$A79,DeadRaw!K:K)</f>
        <v>0</v>
      </c>
      <c r="I79">
        <f>SUMIF(DeadRaw!$B:$B,$A79,DeadRaw!L:L)</f>
        <v>0</v>
      </c>
      <c r="J79">
        <f>SUMIF(DeadRaw!$B:$B,$A79,DeadRaw!M:M)</f>
        <v>0</v>
      </c>
      <c r="K79">
        <f>SUMIF(DeadRaw!$B:$B,$A79,DeadRaw!N:N)</f>
        <v>0</v>
      </c>
      <c r="L79">
        <f>SUMIF(DeadRaw!$B:$B,$A79,DeadRaw!O:O)</f>
        <v>0</v>
      </c>
      <c r="M79">
        <f>SUMIF(DeadRaw!$B:$B,$A79,DeadRaw!P:P)</f>
        <v>0</v>
      </c>
      <c r="N79">
        <f>SUMIF(DeadRaw!$B:$B,$A79,DeadRaw!Q:Q)</f>
        <v>0</v>
      </c>
      <c r="O79">
        <f>SUMIF(DeadRaw!$B:$B,$A79,DeadRaw!R:R)</f>
        <v>0</v>
      </c>
      <c r="P79">
        <f>SUMIF(DeadRaw!$B:$B,$A79,DeadRaw!S:S)</f>
        <v>0</v>
      </c>
      <c r="Q79">
        <f>SUMIF(DeadRaw!$B:$B,$A79,DeadRaw!T:T)</f>
        <v>0</v>
      </c>
      <c r="R79">
        <f>SUMIF(DeadRaw!$B:$B,$A79,DeadRaw!U:U)</f>
        <v>0</v>
      </c>
      <c r="S79">
        <f>SUMIF(DeadRaw!$B:$B,$A79,DeadRaw!V:V)</f>
        <v>0</v>
      </c>
      <c r="T79">
        <f>SUMIF(DeadRaw!$B:$B,$A79,DeadRaw!W:W)</f>
        <v>0</v>
      </c>
      <c r="U79">
        <f>SUMIF(DeadRaw!$B:$B,$A79,DeadRaw!X:X)</f>
        <v>0</v>
      </c>
      <c r="V79">
        <f>SUMIF(DeadRaw!$B:$B,$A79,DeadRaw!Y:Y)</f>
        <v>0</v>
      </c>
      <c r="W79">
        <f>SUMIF(DeadRaw!$B:$B,$A79,DeadRaw!Z:Z)</f>
        <v>0</v>
      </c>
      <c r="X79">
        <f>SUMIF(DeadRaw!$B:$B,$A79,DeadRaw!AA:AA)</f>
        <v>0</v>
      </c>
      <c r="Y79">
        <f>SUMIF(DeadRaw!$B:$B,$A79,DeadRaw!AB:AB)</f>
        <v>0</v>
      </c>
      <c r="Z79">
        <f>SUMIF(DeadRaw!$B:$B,$A79,DeadRaw!AC:AC)</f>
        <v>0</v>
      </c>
      <c r="AA79">
        <f>SUMIF(DeadRaw!$B:$B,$A79,DeadRaw!AD:AD)</f>
        <v>0</v>
      </c>
      <c r="AB79">
        <f>SUMIF(DeadRaw!$B:$B,$A79,DeadRaw!AE:AE)</f>
        <v>0</v>
      </c>
      <c r="AC79">
        <f>SUMIF(DeadRaw!$B:$B,$A79,DeadRaw!AF:AF)</f>
        <v>0</v>
      </c>
      <c r="AD79">
        <f>SUMIF(DeadRaw!$B:$B,$A79,DeadRaw!AG:AG)</f>
        <v>0</v>
      </c>
      <c r="AE79">
        <f>SUMIF(DeadRaw!$B:$B,$A79,DeadRaw!AH:AH)</f>
        <v>0</v>
      </c>
      <c r="AF79">
        <f>SUMIF(DeadRaw!$B:$B,$A79,DeadRaw!AI:AI)</f>
        <v>0</v>
      </c>
      <c r="AG79">
        <f>SUMIF(DeadRaw!$B:$B,$A79,DeadRaw!AJ:AJ)</f>
        <v>0</v>
      </c>
      <c r="AH79">
        <f>SUMIF(DeadRaw!$B:$B,$A79,DeadRaw!AK:AK)</f>
        <v>0</v>
      </c>
      <c r="AI79">
        <f>SUMIF(DeadRaw!$B:$B,$A79,DeadRaw!AL:AL)</f>
        <v>0</v>
      </c>
      <c r="AJ79">
        <f>SUMIF(DeadRaw!$B:$B,$A79,DeadRaw!AM:AM)</f>
        <v>0</v>
      </c>
      <c r="AK79">
        <f>SUMIF(DeadRaw!$B:$B,$A79,DeadRaw!AN:AN)</f>
        <v>0</v>
      </c>
      <c r="AL79">
        <f>SUMIF(DeadRaw!$B:$B,$A79,DeadRaw!AO:AO)</f>
        <v>0</v>
      </c>
      <c r="AM79">
        <f>SUMIF(DeadRaw!$B:$B,$A79,DeadRaw!AP:AP)</f>
        <v>0</v>
      </c>
      <c r="AN79">
        <f>SUMIF(DeadRaw!$B:$B,$A79,DeadRaw!AQ:AQ)</f>
        <v>0</v>
      </c>
      <c r="AO79">
        <f>SUMIF(DeadRaw!$B:$B,$A79,DeadRaw!AR:AR)</f>
        <v>0</v>
      </c>
      <c r="AP79">
        <f>SUMIF(DeadRaw!$B:$B,$A79,DeadRaw!AS:AS)</f>
        <v>0</v>
      </c>
      <c r="AQ79">
        <f>SUMIF(DeadRaw!$B:$B,$A79,DeadRaw!AT:AT)</f>
        <v>0</v>
      </c>
      <c r="AR79">
        <f>SUMIF(DeadRaw!$B:$B,$A79,DeadRaw!AU:AU)</f>
        <v>0</v>
      </c>
      <c r="AS79">
        <f>SUMIF(DeadRaw!$B:$B,$A79,DeadRaw!AV:AV)</f>
        <v>0</v>
      </c>
      <c r="AT79">
        <f>SUMIF(DeadRaw!$B:$B,$A79,DeadRaw!AW:AW)</f>
        <v>0</v>
      </c>
      <c r="AU79">
        <f>SUMIF(DeadRaw!$B:$B,$A79,DeadRaw!AX:AX)</f>
        <v>0</v>
      </c>
      <c r="AV79">
        <f>SUMIF(DeadRaw!$B:$B,$A79,DeadRaw!AY:AY)</f>
        <v>0</v>
      </c>
      <c r="AW79">
        <f>SUMIF(DeadRaw!$B:$B,$A79,DeadRaw!AZ:AZ)</f>
        <v>0</v>
      </c>
      <c r="AX79">
        <f>SUMIF(DeadRaw!$B:$B,$A79,DeadRaw!BA:BA)</f>
        <v>0</v>
      </c>
      <c r="AY79">
        <f>SUMIF(DeadRaw!$B:$B,$A79,DeadRaw!BB:BB)</f>
        <v>0</v>
      </c>
      <c r="AZ79">
        <f>SUMIF(DeadRaw!$B:$B,$A79,DeadRaw!BC:BC)</f>
        <v>0</v>
      </c>
      <c r="BA79">
        <f>SUMIF(DeadRaw!$B:$B,$A79,DeadRaw!BD:BD)</f>
        <v>0</v>
      </c>
      <c r="BB79">
        <f>SUMIF(DeadRaw!$B:$B,$A79,DeadRaw!BE:BE)</f>
        <v>0</v>
      </c>
      <c r="BC79">
        <f>SUMIF(DeadRaw!$B:$B,$A79,DeadRaw!BF:BF)</f>
        <v>0</v>
      </c>
      <c r="BD79">
        <f>SUMIF(DeadRaw!$B:$B,$A79,DeadRaw!BG:BG)</f>
        <v>0</v>
      </c>
      <c r="BE79">
        <f>SUMIF(DeadRaw!$B:$B,$A79,DeadRaw!BH:BH)</f>
        <v>0</v>
      </c>
      <c r="BF79">
        <f>SUMIF(DeadRaw!$B:$B,$A79,DeadRaw!BI:BI)</f>
        <v>0</v>
      </c>
      <c r="BG79">
        <f>SUMIF(DeadRaw!$B:$B,$A79,DeadRaw!BJ:BJ)</f>
        <v>0</v>
      </c>
      <c r="BH79">
        <f>SUMIF(DeadRaw!$B:$B,$A79,DeadRaw!BK:BK)</f>
        <v>0</v>
      </c>
      <c r="BI79">
        <f>SUMIF(DeadRaw!$B:$B,$A79,DeadRaw!BL:BL)</f>
        <v>0</v>
      </c>
      <c r="BJ79">
        <f>SUMIF(DeadRaw!$B:$B,$A79,DeadRaw!BM:BM)</f>
        <v>0</v>
      </c>
      <c r="BK79">
        <f>SUMIF(DeadRaw!$B:$B,$A79,DeadRaw!BN:BN)</f>
        <v>0</v>
      </c>
      <c r="BL79">
        <f>SUMIF(DeadRaw!$B:$B,$A79,DeadRaw!BO:BO)</f>
        <v>0</v>
      </c>
      <c r="BM79">
        <f>SUMIF(DeadRaw!$B:$B,$A79,DeadRaw!BP:BP)</f>
        <v>0</v>
      </c>
      <c r="BN79">
        <f>SUMIF(DeadRaw!$B:$B,$A79,DeadRaw!BQ:BQ)</f>
        <v>0</v>
      </c>
      <c r="BO79">
        <f>SUMIF(DeadRaw!$B:$B,$A79,DeadRaw!BR:BR)</f>
        <v>0</v>
      </c>
      <c r="BP79">
        <f>SUMIF(DeadRaw!$B:$B,$A79,DeadRaw!BS:BS)</f>
        <v>0</v>
      </c>
      <c r="BQ79">
        <f>SUMIF(DeadRaw!$B:$B,$A79,DeadRaw!BT:BT)</f>
        <v>0</v>
      </c>
      <c r="BR79">
        <f>SUMIF(DeadRaw!$B:$B,$A79,DeadRaw!BU:BU)</f>
        <v>0</v>
      </c>
      <c r="BS79">
        <f>SUMIF(DeadRaw!$B:$B,$A79,DeadRaw!BV:BV)</f>
        <v>0</v>
      </c>
      <c r="BT79">
        <f>SUMIF(DeadRaw!$B:$B,$A79,DeadRaw!BW:BW)</f>
        <v>0</v>
      </c>
    </row>
    <row r="80" spans="1:72" ht="15" thickBot="1" x14ac:dyDescent="0.35">
      <c r="A80" s="4" t="s">
        <v>94</v>
      </c>
      <c r="B80">
        <f>SUMIF(DeadRaw!$B:$B,$A80,DeadRaw!E:E)</f>
        <v>0</v>
      </c>
      <c r="C80">
        <f>SUMIF(DeadRaw!$B:$B,$A80,DeadRaw!F:F)</f>
        <v>0</v>
      </c>
      <c r="D80">
        <f>SUMIF(DeadRaw!$B:$B,$A80,DeadRaw!G:G)</f>
        <v>0</v>
      </c>
      <c r="E80">
        <f>SUMIF(DeadRaw!$B:$B,$A80,DeadRaw!H:H)</f>
        <v>0</v>
      </c>
      <c r="F80">
        <f>SUMIF(DeadRaw!$B:$B,$A80,DeadRaw!I:I)</f>
        <v>0</v>
      </c>
      <c r="G80">
        <f>SUMIF(DeadRaw!$B:$B,$A80,DeadRaw!J:J)</f>
        <v>0</v>
      </c>
      <c r="H80">
        <f>SUMIF(DeadRaw!$B:$B,$A80,DeadRaw!K:K)</f>
        <v>0</v>
      </c>
      <c r="I80">
        <f>SUMIF(DeadRaw!$B:$B,$A80,DeadRaw!L:L)</f>
        <v>0</v>
      </c>
      <c r="J80">
        <f>SUMIF(DeadRaw!$B:$B,$A80,DeadRaw!M:M)</f>
        <v>0</v>
      </c>
      <c r="K80">
        <f>SUMIF(DeadRaw!$B:$B,$A80,DeadRaw!N:N)</f>
        <v>0</v>
      </c>
      <c r="L80">
        <f>SUMIF(DeadRaw!$B:$B,$A80,DeadRaw!O:O)</f>
        <v>0</v>
      </c>
      <c r="M80">
        <f>SUMIF(DeadRaw!$B:$B,$A80,DeadRaw!P:P)</f>
        <v>0</v>
      </c>
      <c r="N80">
        <f>SUMIF(DeadRaw!$B:$B,$A80,DeadRaw!Q:Q)</f>
        <v>0</v>
      </c>
      <c r="O80">
        <f>SUMIF(DeadRaw!$B:$B,$A80,DeadRaw!R:R)</f>
        <v>0</v>
      </c>
      <c r="P80">
        <f>SUMIF(DeadRaw!$B:$B,$A80,DeadRaw!S:S)</f>
        <v>0</v>
      </c>
      <c r="Q80">
        <f>SUMIF(DeadRaw!$B:$B,$A80,DeadRaw!T:T)</f>
        <v>0</v>
      </c>
      <c r="R80">
        <f>SUMIF(DeadRaw!$B:$B,$A80,DeadRaw!U:U)</f>
        <v>0</v>
      </c>
      <c r="S80">
        <f>SUMIF(DeadRaw!$B:$B,$A80,DeadRaw!V:V)</f>
        <v>0</v>
      </c>
      <c r="T80">
        <f>SUMIF(DeadRaw!$B:$B,$A80,DeadRaw!W:W)</f>
        <v>0</v>
      </c>
      <c r="U80">
        <f>SUMIF(DeadRaw!$B:$B,$A80,DeadRaw!X:X)</f>
        <v>0</v>
      </c>
      <c r="V80">
        <f>SUMIF(DeadRaw!$B:$B,$A80,DeadRaw!Y:Y)</f>
        <v>0</v>
      </c>
      <c r="W80">
        <f>SUMIF(DeadRaw!$B:$B,$A80,DeadRaw!Z:Z)</f>
        <v>0</v>
      </c>
      <c r="X80">
        <f>SUMIF(DeadRaw!$B:$B,$A80,DeadRaw!AA:AA)</f>
        <v>0</v>
      </c>
      <c r="Y80">
        <f>SUMIF(DeadRaw!$B:$B,$A80,DeadRaw!AB:AB)</f>
        <v>0</v>
      </c>
      <c r="Z80">
        <f>SUMIF(DeadRaw!$B:$B,$A80,DeadRaw!AC:AC)</f>
        <v>0</v>
      </c>
      <c r="AA80">
        <f>SUMIF(DeadRaw!$B:$B,$A80,DeadRaw!AD:AD)</f>
        <v>0</v>
      </c>
      <c r="AB80">
        <f>SUMIF(DeadRaw!$B:$B,$A80,DeadRaw!AE:AE)</f>
        <v>0</v>
      </c>
      <c r="AC80">
        <f>SUMIF(DeadRaw!$B:$B,$A80,DeadRaw!AF:AF)</f>
        <v>0</v>
      </c>
      <c r="AD80">
        <f>SUMIF(DeadRaw!$B:$B,$A80,DeadRaw!AG:AG)</f>
        <v>0</v>
      </c>
      <c r="AE80">
        <f>SUMIF(DeadRaw!$B:$B,$A80,DeadRaw!AH:AH)</f>
        <v>0</v>
      </c>
      <c r="AF80">
        <f>SUMIF(DeadRaw!$B:$B,$A80,DeadRaw!AI:AI)</f>
        <v>0</v>
      </c>
      <c r="AG80">
        <f>SUMIF(DeadRaw!$B:$B,$A80,DeadRaw!AJ:AJ)</f>
        <v>0</v>
      </c>
      <c r="AH80">
        <f>SUMIF(DeadRaw!$B:$B,$A80,DeadRaw!AK:AK)</f>
        <v>0</v>
      </c>
      <c r="AI80">
        <f>SUMIF(DeadRaw!$B:$B,$A80,DeadRaw!AL:AL)</f>
        <v>0</v>
      </c>
      <c r="AJ80">
        <f>SUMIF(DeadRaw!$B:$B,$A80,DeadRaw!AM:AM)</f>
        <v>0</v>
      </c>
      <c r="AK80">
        <f>SUMIF(DeadRaw!$B:$B,$A80,DeadRaw!AN:AN)</f>
        <v>0</v>
      </c>
      <c r="AL80">
        <f>SUMIF(DeadRaw!$B:$B,$A80,DeadRaw!AO:AO)</f>
        <v>0</v>
      </c>
      <c r="AM80">
        <f>SUMIF(DeadRaw!$B:$B,$A80,DeadRaw!AP:AP)</f>
        <v>0</v>
      </c>
      <c r="AN80">
        <f>SUMIF(DeadRaw!$B:$B,$A80,DeadRaw!AQ:AQ)</f>
        <v>0</v>
      </c>
      <c r="AO80">
        <f>SUMIF(DeadRaw!$B:$B,$A80,DeadRaw!AR:AR)</f>
        <v>0</v>
      </c>
      <c r="AP80">
        <f>SUMIF(DeadRaw!$B:$B,$A80,DeadRaw!AS:AS)</f>
        <v>0</v>
      </c>
      <c r="AQ80">
        <f>SUMIF(DeadRaw!$B:$B,$A80,DeadRaw!AT:AT)</f>
        <v>0</v>
      </c>
      <c r="AR80">
        <f>SUMIF(DeadRaw!$B:$B,$A80,DeadRaw!AU:AU)</f>
        <v>0</v>
      </c>
      <c r="AS80">
        <f>SUMIF(DeadRaw!$B:$B,$A80,DeadRaw!AV:AV)</f>
        <v>0</v>
      </c>
      <c r="AT80">
        <f>SUMIF(DeadRaw!$B:$B,$A80,DeadRaw!AW:AW)</f>
        <v>0</v>
      </c>
      <c r="AU80">
        <f>SUMIF(DeadRaw!$B:$B,$A80,DeadRaw!AX:AX)</f>
        <v>0</v>
      </c>
      <c r="AV80">
        <f>SUMIF(DeadRaw!$B:$B,$A80,DeadRaw!AY:AY)</f>
        <v>0</v>
      </c>
      <c r="AW80">
        <f>SUMIF(DeadRaw!$B:$B,$A80,DeadRaw!AZ:AZ)</f>
        <v>0</v>
      </c>
      <c r="AX80">
        <f>SUMIF(DeadRaw!$B:$B,$A80,DeadRaw!BA:BA)</f>
        <v>0</v>
      </c>
      <c r="AY80">
        <f>SUMIF(DeadRaw!$B:$B,$A80,DeadRaw!BB:BB)</f>
        <v>0</v>
      </c>
      <c r="AZ80">
        <f>SUMIF(DeadRaw!$B:$B,$A80,DeadRaw!BC:BC)</f>
        <v>0</v>
      </c>
      <c r="BA80">
        <f>SUMIF(DeadRaw!$B:$B,$A80,DeadRaw!BD:BD)</f>
        <v>0</v>
      </c>
      <c r="BB80">
        <f>SUMIF(DeadRaw!$B:$B,$A80,DeadRaw!BE:BE)</f>
        <v>0</v>
      </c>
      <c r="BC80">
        <f>SUMIF(DeadRaw!$B:$B,$A80,DeadRaw!BF:BF)</f>
        <v>0</v>
      </c>
      <c r="BD80">
        <f>SUMIF(DeadRaw!$B:$B,$A80,DeadRaw!BG:BG)</f>
        <v>0</v>
      </c>
      <c r="BE80">
        <f>SUMIF(DeadRaw!$B:$B,$A80,DeadRaw!BH:BH)</f>
        <v>0</v>
      </c>
      <c r="BF80">
        <f>SUMIF(DeadRaw!$B:$B,$A80,DeadRaw!BI:BI)</f>
        <v>0</v>
      </c>
      <c r="BG80">
        <f>SUMIF(DeadRaw!$B:$B,$A80,DeadRaw!BJ:BJ)</f>
        <v>1</v>
      </c>
      <c r="BH80">
        <f>SUMIF(DeadRaw!$B:$B,$A80,DeadRaw!BK:BK)</f>
        <v>1</v>
      </c>
      <c r="BI80">
        <f>SUMIF(DeadRaw!$B:$B,$A80,DeadRaw!BL:BL)</f>
        <v>0</v>
      </c>
      <c r="BJ80">
        <f>SUMIF(DeadRaw!$B:$B,$A80,DeadRaw!BM:BM)</f>
        <v>0</v>
      </c>
      <c r="BK80">
        <f>SUMIF(DeadRaw!$B:$B,$A80,DeadRaw!BN:BN)</f>
        <v>0</v>
      </c>
      <c r="BL80">
        <f>SUMIF(DeadRaw!$B:$B,$A80,DeadRaw!BO:BO)</f>
        <v>0</v>
      </c>
      <c r="BM80">
        <f>SUMIF(DeadRaw!$B:$B,$A80,DeadRaw!BP:BP)</f>
        <v>0</v>
      </c>
      <c r="BN80">
        <f>SUMIF(DeadRaw!$B:$B,$A80,DeadRaw!BQ:BQ)</f>
        <v>0</v>
      </c>
      <c r="BO80">
        <f>SUMIF(DeadRaw!$B:$B,$A80,DeadRaw!BR:BR)</f>
        <v>0</v>
      </c>
      <c r="BP80">
        <f>SUMIF(DeadRaw!$B:$B,$A80,DeadRaw!BS:BS)</f>
        <v>0</v>
      </c>
      <c r="BQ80">
        <f>SUMIF(DeadRaw!$B:$B,$A80,DeadRaw!BT:BT)</f>
        <v>0</v>
      </c>
      <c r="BR80">
        <f>SUMIF(DeadRaw!$B:$B,$A80,DeadRaw!BU:BU)</f>
        <v>0</v>
      </c>
      <c r="BS80">
        <f>SUMIF(DeadRaw!$B:$B,$A80,DeadRaw!BV:BV)</f>
        <v>0</v>
      </c>
      <c r="BT80">
        <f>SUMIF(DeadRaw!$B:$B,$A80,DeadRaw!BW:BW)</f>
        <v>0</v>
      </c>
    </row>
    <row r="81" spans="1:72" ht="15" thickBot="1" x14ac:dyDescent="0.35">
      <c r="A81" s="3" t="s">
        <v>114</v>
      </c>
      <c r="B81">
        <f>SUMIF(DeadRaw!$B:$B,$A81,DeadRaw!E:E)</f>
        <v>0</v>
      </c>
      <c r="C81">
        <f>SUMIF(DeadRaw!$B:$B,$A81,DeadRaw!F:F)</f>
        <v>0</v>
      </c>
      <c r="D81">
        <f>SUMIF(DeadRaw!$B:$B,$A81,DeadRaw!G:G)</f>
        <v>0</v>
      </c>
      <c r="E81">
        <f>SUMIF(DeadRaw!$B:$B,$A81,DeadRaw!H:H)</f>
        <v>0</v>
      </c>
      <c r="F81">
        <f>SUMIF(DeadRaw!$B:$B,$A81,DeadRaw!I:I)</f>
        <v>0</v>
      </c>
      <c r="G81">
        <f>SUMIF(DeadRaw!$B:$B,$A81,DeadRaw!J:J)</f>
        <v>0</v>
      </c>
      <c r="H81">
        <f>SUMIF(DeadRaw!$B:$B,$A81,DeadRaw!K:K)</f>
        <v>0</v>
      </c>
      <c r="I81">
        <f>SUMIF(DeadRaw!$B:$B,$A81,DeadRaw!L:L)</f>
        <v>0</v>
      </c>
      <c r="J81">
        <f>SUMIF(DeadRaw!$B:$B,$A81,DeadRaw!M:M)</f>
        <v>0</v>
      </c>
      <c r="K81">
        <f>SUMIF(DeadRaw!$B:$B,$A81,DeadRaw!N:N)</f>
        <v>0</v>
      </c>
      <c r="L81">
        <f>SUMIF(DeadRaw!$B:$B,$A81,DeadRaw!O:O)</f>
        <v>0</v>
      </c>
      <c r="M81">
        <f>SUMIF(DeadRaw!$B:$B,$A81,DeadRaw!P:P)</f>
        <v>0</v>
      </c>
      <c r="N81">
        <f>SUMIF(DeadRaw!$B:$B,$A81,DeadRaw!Q:Q)</f>
        <v>0</v>
      </c>
      <c r="O81">
        <f>SUMIF(DeadRaw!$B:$B,$A81,DeadRaw!R:R)</f>
        <v>0</v>
      </c>
      <c r="P81">
        <f>SUMIF(DeadRaw!$B:$B,$A81,DeadRaw!S:S)</f>
        <v>0</v>
      </c>
      <c r="Q81">
        <f>SUMIF(DeadRaw!$B:$B,$A81,DeadRaw!T:T)</f>
        <v>0</v>
      </c>
      <c r="R81">
        <f>SUMIF(DeadRaw!$B:$B,$A81,DeadRaw!U:U)</f>
        <v>0</v>
      </c>
      <c r="S81">
        <f>SUMIF(DeadRaw!$B:$B,$A81,DeadRaw!V:V)</f>
        <v>0</v>
      </c>
      <c r="T81">
        <f>SUMIF(DeadRaw!$B:$B,$A81,DeadRaw!W:W)</f>
        <v>0</v>
      </c>
      <c r="U81">
        <f>SUMIF(DeadRaw!$B:$B,$A81,DeadRaw!X:X)</f>
        <v>0</v>
      </c>
      <c r="V81">
        <f>SUMIF(DeadRaw!$B:$B,$A81,DeadRaw!Y:Y)</f>
        <v>0</v>
      </c>
      <c r="W81">
        <f>SUMIF(DeadRaw!$B:$B,$A81,DeadRaw!Z:Z)</f>
        <v>0</v>
      </c>
      <c r="X81">
        <f>SUMIF(DeadRaw!$B:$B,$A81,DeadRaw!AA:AA)</f>
        <v>0</v>
      </c>
      <c r="Y81">
        <f>SUMIF(DeadRaw!$B:$B,$A81,DeadRaw!AB:AB)</f>
        <v>0</v>
      </c>
      <c r="Z81">
        <f>SUMIF(DeadRaw!$B:$B,$A81,DeadRaw!AC:AC)</f>
        <v>0</v>
      </c>
      <c r="AA81">
        <f>SUMIF(DeadRaw!$B:$B,$A81,DeadRaw!AD:AD)</f>
        <v>0</v>
      </c>
      <c r="AB81">
        <f>SUMIF(DeadRaw!$B:$B,$A81,DeadRaw!AE:AE)</f>
        <v>0</v>
      </c>
      <c r="AC81">
        <f>SUMIF(DeadRaw!$B:$B,$A81,DeadRaw!AF:AF)</f>
        <v>0</v>
      </c>
      <c r="AD81">
        <f>SUMIF(DeadRaw!$B:$B,$A81,DeadRaw!AG:AG)</f>
        <v>0</v>
      </c>
      <c r="AE81">
        <f>SUMIF(DeadRaw!$B:$B,$A81,DeadRaw!AH:AH)</f>
        <v>0</v>
      </c>
      <c r="AF81">
        <f>SUMIF(DeadRaw!$B:$B,$A81,DeadRaw!AI:AI)</f>
        <v>0</v>
      </c>
      <c r="AG81">
        <f>SUMIF(DeadRaw!$B:$B,$A81,DeadRaw!AJ:AJ)</f>
        <v>0</v>
      </c>
      <c r="AH81">
        <f>SUMIF(DeadRaw!$B:$B,$A81,DeadRaw!AK:AK)</f>
        <v>0</v>
      </c>
      <c r="AI81">
        <f>SUMIF(DeadRaw!$B:$B,$A81,DeadRaw!AL:AL)</f>
        <v>0</v>
      </c>
      <c r="AJ81">
        <f>SUMIF(DeadRaw!$B:$B,$A81,DeadRaw!AM:AM)</f>
        <v>0</v>
      </c>
      <c r="AK81">
        <f>SUMIF(DeadRaw!$B:$B,$A81,DeadRaw!AN:AN)</f>
        <v>0</v>
      </c>
      <c r="AL81">
        <f>SUMIF(DeadRaw!$B:$B,$A81,DeadRaw!AO:AO)</f>
        <v>0</v>
      </c>
      <c r="AM81">
        <f>SUMIF(DeadRaw!$B:$B,$A81,DeadRaw!AP:AP)</f>
        <v>0</v>
      </c>
      <c r="AN81">
        <f>SUMIF(DeadRaw!$B:$B,$A81,DeadRaw!AQ:AQ)</f>
        <v>0</v>
      </c>
      <c r="AO81">
        <f>SUMIF(DeadRaw!$B:$B,$A81,DeadRaw!AR:AR)</f>
        <v>0</v>
      </c>
      <c r="AP81">
        <f>SUMIF(DeadRaw!$B:$B,$A81,DeadRaw!AS:AS)</f>
        <v>0</v>
      </c>
      <c r="AQ81">
        <f>SUMIF(DeadRaw!$B:$B,$A81,DeadRaw!AT:AT)</f>
        <v>0</v>
      </c>
      <c r="AR81">
        <f>SUMIF(DeadRaw!$B:$B,$A81,DeadRaw!AU:AU)</f>
        <v>0</v>
      </c>
      <c r="AS81">
        <f>SUMIF(DeadRaw!$B:$B,$A81,DeadRaw!AV:AV)</f>
        <v>0</v>
      </c>
      <c r="AT81">
        <f>SUMIF(DeadRaw!$B:$B,$A81,DeadRaw!AW:AW)</f>
        <v>0</v>
      </c>
      <c r="AU81">
        <f>SUMIF(DeadRaw!$B:$B,$A81,DeadRaw!AX:AX)</f>
        <v>0</v>
      </c>
      <c r="AV81">
        <f>SUMIF(DeadRaw!$B:$B,$A81,DeadRaw!AY:AY)</f>
        <v>0</v>
      </c>
      <c r="AW81">
        <f>SUMIF(DeadRaw!$B:$B,$A81,DeadRaw!AZ:AZ)</f>
        <v>0</v>
      </c>
      <c r="AX81">
        <f>SUMIF(DeadRaw!$B:$B,$A81,DeadRaw!BA:BA)</f>
        <v>0</v>
      </c>
      <c r="AY81">
        <f>SUMIF(DeadRaw!$B:$B,$A81,DeadRaw!BB:BB)</f>
        <v>0</v>
      </c>
      <c r="AZ81">
        <f>SUMIF(DeadRaw!$B:$B,$A81,DeadRaw!BC:BC)</f>
        <v>0</v>
      </c>
      <c r="BA81">
        <f>SUMIF(DeadRaw!$B:$B,$A81,DeadRaw!BD:BD)</f>
        <v>0</v>
      </c>
      <c r="BB81">
        <f>SUMIF(DeadRaw!$B:$B,$A81,DeadRaw!BE:BE)</f>
        <v>0</v>
      </c>
      <c r="BC81">
        <f>SUMIF(DeadRaw!$B:$B,$A81,DeadRaw!BF:BF)</f>
        <v>0</v>
      </c>
      <c r="BD81">
        <f>SUMIF(DeadRaw!$B:$B,$A81,DeadRaw!BG:BG)</f>
        <v>0</v>
      </c>
      <c r="BE81">
        <f>SUMIF(DeadRaw!$B:$B,$A81,DeadRaw!BH:BH)</f>
        <v>0</v>
      </c>
      <c r="BF81">
        <f>SUMIF(DeadRaw!$B:$B,$A81,DeadRaw!BI:BI)</f>
        <v>0</v>
      </c>
      <c r="BG81">
        <f>SUMIF(DeadRaw!$B:$B,$A81,DeadRaw!BJ:BJ)</f>
        <v>0</v>
      </c>
      <c r="BH81">
        <f>SUMIF(DeadRaw!$B:$B,$A81,DeadRaw!BK:BK)</f>
        <v>0</v>
      </c>
      <c r="BI81">
        <f>SUMIF(DeadRaw!$B:$B,$A81,DeadRaw!BL:BL)</f>
        <v>0</v>
      </c>
      <c r="BJ81">
        <f>SUMIF(DeadRaw!$B:$B,$A81,DeadRaw!BM:BM)</f>
        <v>0</v>
      </c>
      <c r="BK81">
        <f>SUMIF(DeadRaw!$B:$B,$A81,DeadRaw!BN:BN)</f>
        <v>0</v>
      </c>
      <c r="BL81">
        <f>SUMIF(DeadRaw!$B:$B,$A81,DeadRaw!BO:BO)</f>
        <v>0</v>
      </c>
      <c r="BM81">
        <f>SUMIF(DeadRaw!$B:$B,$A81,DeadRaw!BP:BP)</f>
        <v>0</v>
      </c>
      <c r="BN81">
        <f>SUMIF(DeadRaw!$B:$B,$A81,DeadRaw!BQ:BQ)</f>
        <v>0</v>
      </c>
      <c r="BO81">
        <f>SUMIF(DeadRaw!$B:$B,$A81,DeadRaw!BR:BR)</f>
        <v>0</v>
      </c>
      <c r="BP81">
        <f>SUMIF(DeadRaw!$B:$B,$A81,DeadRaw!BS:BS)</f>
        <v>0</v>
      </c>
      <c r="BQ81">
        <f>SUMIF(DeadRaw!$B:$B,$A81,DeadRaw!BT:BT)</f>
        <v>0</v>
      </c>
      <c r="BR81">
        <f>SUMIF(DeadRaw!$B:$B,$A81,DeadRaw!BU:BU)</f>
        <v>0</v>
      </c>
      <c r="BS81">
        <f>SUMIF(DeadRaw!$B:$B,$A81,DeadRaw!BV:BV)</f>
        <v>0</v>
      </c>
      <c r="BT81">
        <f>SUMIF(DeadRaw!$B:$B,$A81,DeadRaw!BW:BW)</f>
        <v>0</v>
      </c>
    </row>
    <row r="82" spans="1:72" ht="15" thickBot="1" x14ac:dyDescent="0.35">
      <c r="A82" s="4" t="s">
        <v>200</v>
      </c>
      <c r="B82">
        <f>SUMIF(DeadRaw!$B:$B,$A82,DeadRaw!E:E)</f>
        <v>0</v>
      </c>
      <c r="C82">
        <f>SUMIF(DeadRaw!$B:$B,$A82,DeadRaw!F:F)</f>
        <v>0</v>
      </c>
      <c r="D82">
        <f>SUMIF(DeadRaw!$B:$B,$A82,DeadRaw!G:G)</f>
        <v>0</v>
      </c>
      <c r="E82">
        <f>SUMIF(DeadRaw!$B:$B,$A82,DeadRaw!H:H)</f>
        <v>0</v>
      </c>
      <c r="F82">
        <f>SUMIF(DeadRaw!$B:$B,$A82,DeadRaw!I:I)</f>
        <v>0</v>
      </c>
      <c r="G82">
        <f>SUMIF(DeadRaw!$B:$B,$A82,DeadRaw!J:J)</f>
        <v>0</v>
      </c>
      <c r="H82">
        <f>SUMIF(DeadRaw!$B:$B,$A82,DeadRaw!K:K)</f>
        <v>0</v>
      </c>
      <c r="I82">
        <f>SUMIF(DeadRaw!$B:$B,$A82,DeadRaw!L:L)</f>
        <v>0</v>
      </c>
      <c r="J82">
        <f>SUMIF(DeadRaw!$B:$B,$A82,DeadRaw!M:M)</f>
        <v>0</v>
      </c>
      <c r="K82">
        <f>SUMIF(DeadRaw!$B:$B,$A82,DeadRaw!N:N)</f>
        <v>0</v>
      </c>
      <c r="L82">
        <f>SUMIF(DeadRaw!$B:$B,$A82,DeadRaw!O:O)</f>
        <v>0</v>
      </c>
      <c r="M82">
        <f>SUMIF(DeadRaw!$B:$B,$A82,DeadRaw!P:P)</f>
        <v>0</v>
      </c>
      <c r="N82">
        <f>SUMIF(DeadRaw!$B:$B,$A82,DeadRaw!Q:Q)</f>
        <v>0</v>
      </c>
      <c r="O82">
        <f>SUMIF(DeadRaw!$B:$B,$A82,DeadRaw!R:R)</f>
        <v>0</v>
      </c>
      <c r="P82">
        <f>SUMIF(DeadRaw!$B:$B,$A82,DeadRaw!S:S)</f>
        <v>0</v>
      </c>
      <c r="Q82">
        <f>SUMIF(DeadRaw!$B:$B,$A82,DeadRaw!T:T)</f>
        <v>0</v>
      </c>
      <c r="R82">
        <f>SUMIF(DeadRaw!$B:$B,$A82,DeadRaw!U:U)</f>
        <v>0</v>
      </c>
      <c r="S82">
        <f>SUMIF(DeadRaw!$B:$B,$A82,DeadRaw!V:V)</f>
        <v>0</v>
      </c>
      <c r="T82">
        <f>SUMIF(DeadRaw!$B:$B,$A82,DeadRaw!W:W)</f>
        <v>0</v>
      </c>
      <c r="U82">
        <f>SUMIF(DeadRaw!$B:$B,$A82,DeadRaw!X:X)</f>
        <v>0</v>
      </c>
      <c r="V82">
        <f>SUMIF(DeadRaw!$B:$B,$A82,DeadRaw!Y:Y)</f>
        <v>0</v>
      </c>
      <c r="W82">
        <f>SUMIF(DeadRaw!$B:$B,$A82,DeadRaw!Z:Z)</f>
        <v>0</v>
      </c>
      <c r="X82">
        <f>SUMIF(DeadRaw!$B:$B,$A82,DeadRaw!AA:AA)</f>
        <v>0</v>
      </c>
      <c r="Y82">
        <f>SUMIF(DeadRaw!$B:$B,$A82,DeadRaw!AB:AB)</f>
        <v>0</v>
      </c>
      <c r="Z82">
        <f>SUMIF(DeadRaw!$B:$B,$A82,DeadRaw!AC:AC)</f>
        <v>0</v>
      </c>
      <c r="AA82">
        <f>SUMIF(DeadRaw!$B:$B,$A82,DeadRaw!AD:AD)</f>
        <v>0</v>
      </c>
      <c r="AB82">
        <f>SUMIF(DeadRaw!$B:$B,$A82,DeadRaw!AE:AE)</f>
        <v>0</v>
      </c>
      <c r="AC82">
        <f>SUMIF(DeadRaw!$B:$B,$A82,DeadRaw!AF:AF)</f>
        <v>0</v>
      </c>
      <c r="AD82">
        <f>SUMIF(DeadRaw!$B:$B,$A82,DeadRaw!AG:AG)</f>
        <v>0</v>
      </c>
      <c r="AE82">
        <f>SUMIF(DeadRaw!$B:$B,$A82,DeadRaw!AH:AH)</f>
        <v>0</v>
      </c>
      <c r="AF82">
        <f>SUMIF(DeadRaw!$B:$B,$A82,DeadRaw!AI:AI)</f>
        <v>0</v>
      </c>
      <c r="AG82">
        <f>SUMIF(DeadRaw!$B:$B,$A82,DeadRaw!AJ:AJ)</f>
        <v>0</v>
      </c>
      <c r="AH82">
        <f>SUMIF(DeadRaw!$B:$B,$A82,DeadRaw!AK:AK)</f>
        <v>0</v>
      </c>
      <c r="AI82">
        <f>SUMIF(DeadRaw!$B:$B,$A82,DeadRaw!AL:AL)</f>
        <v>0</v>
      </c>
      <c r="AJ82">
        <f>SUMIF(DeadRaw!$B:$B,$A82,DeadRaw!AM:AM)</f>
        <v>0</v>
      </c>
      <c r="AK82">
        <f>SUMIF(DeadRaw!$B:$B,$A82,DeadRaw!AN:AN)</f>
        <v>0</v>
      </c>
      <c r="AL82">
        <f>SUMIF(DeadRaw!$B:$B,$A82,DeadRaw!AO:AO)</f>
        <v>0</v>
      </c>
      <c r="AM82">
        <f>SUMIF(DeadRaw!$B:$B,$A82,DeadRaw!AP:AP)</f>
        <v>0</v>
      </c>
      <c r="AN82">
        <f>SUMIF(DeadRaw!$B:$B,$A82,DeadRaw!AQ:AQ)</f>
        <v>0</v>
      </c>
      <c r="AO82">
        <f>SUMIF(DeadRaw!$B:$B,$A82,DeadRaw!AR:AR)</f>
        <v>0</v>
      </c>
      <c r="AP82">
        <f>SUMIF(DeadRaw!$B:$B,$A82,DeadRaw!AS:AS)</f>
        <v>0</v>
      </c>
      <c r="AQ82">
        <f>SUMIF(DeadRaw!$B:$B,$A82,DeadRaw!AT:AT)</f>
        <v>0</v>
      </c>
      <c r="AR82">
        <f>SUMIF(DeadRaw!$B:$B,$A82,DeadRaw!AU:AU)</f>
        <v>0</v>
      </c>
      <c r="AS82">
        <f>SUMIF(DeadRaw!$B:$B,$A82,DeadRaw!AV:AV)</f>
        <v>0</v>
      </c>
      <c r="AT82">
        <f>SUMIF(DeadRaw!$B:$B,$A82,DeadRaw!AW:AW)</f>
        <v>0</v>
      </c>
      <c r="AU82">
        <f>SUMIF(DeadRaw!$B:$B,$A82,DeadRaw!AX:AX)</f>
        <v>0</v>
      </c>
      <c r="AV82">
        <f>SUMIF(DeadRaw!$B:$B,$A82,DeadRaw!AY:AY)</f>
        <v>0</v>
      </c>
      <c r="AW82">
        <f>SUMIF(DeadRaw!$B:$B,$A82,DeadRaw!AZ:AZ)</f>
        <v>0</v>
      </c>
      <c r="AX82">
        <f>SUMIF(DeadRaw!$B:$B,$A82,DeadRaw!BA:BA)</f>
        <v>0</v>
      </c>
      <c r="AY82">
        <f>SUMIF(DeadRaw!$B:$B,$A82,DeadRaw!BB:BB)</f>
        <v>0</v>
      </c>
      <c r="AZ82">
        <f>SUMIF(DeadRaw!$B:$B,$A82,DeadRaw!BC:BC)</f>
        <v>0</v>
      </c>
      <c r="BA82">
        <f>SUMIF(DeadRaw!$B:$B,$A82,DeadRaw!BD:BD)</f>
        <v>0</v>
      </c>
      <c r="BB82">
        <f>SUMIF(DeadRaw!$B:$B,$A82,DeadRaw!BE:BE)</f>
        <v>0</v>
      </c>
      <c r="BC82">
        <f>SUMIF(DeadRaw!$B:$B,$A82,DeadRaw!BF:BF)</f>
        <v>0</v>
      </c>
      <c r="BD82">
        <f>SUMIF(DeadRaw!$B:$B,$A82,DeadRaw!BG:BG)</f>
        <v>0</v>
      </c>
      <c r="BE82">
        <f>SUMIF(DeadRaw!$B:$B,$A82,DeadRaw!BH:BH)</f>
        <v>0</v>
      </c>
      <c r="BF82">
        <f>SUMIF(DeadRaw!$B:$B,$A82,DeadRaw!BI:BI)</f>
        <v>0</v>
      </c>
      <c r="BG82">
        <f>SUMIF(DeadRaw!$B:$B,$A82,DeadRaw!BJ:BJ)</f>
        <v>0</v>
      </c>
      <c r="BH82">
        <f>SUMIF(DeadRaw!$B:$B,$A82,DeadRaw!BK:BK)</f>
        <v>0</v>
      </c>
      <c r="BI82">
        <f>SUMIF(DeadRaw!$B:$B,$A82,DeadRaw!BL:BL)</f>
        <v>0</v>
      </c>
      <c r="BJ82">
        <f>SUMIF(DeadRaw!$B:$B,$A82,DeadRaw!BM:BM)</f>
        <v>0</v>
      </c>
      <c r="BK82">
        <f>SUMIF(DeadRaw!$B:$B,$A82,DeadRaw!BN:BN)</f>
        <v>0</v>
      </c>
      <c r="BL82">
        <f>SUMIF(DeadRaw!$B:$B,$A82,DeadRaw!BO:BO)</f>
        <v>0</v>
      </c>
      <c r="BM82">
        <f>SUMIF(DeadRaw!$B:$B,$A82,DeadRaw!BP:BP)</f>
        <v>0</v>
      </c>
      <c r="BN82">
        <f>SUMIF(DeadRaw!$B:$B,$A82,DeadRaw!BQ:BQ)</f>
        <v>0</v>
      </c>
      <c r="BO82">
        <f>SUMIF(DeadRaw!$B:$B,$A82,DeadRaw!BR:BR)</f>
        <v>0</v>
      </c>
      <c r="BP82">
        <f>SUMIF(DeadRaw!$B:$B,$A82,DeadRaw!BS:BS)</f>
        <v>0</v>
      </c>
      <c r="BQ82">
        <f>SUMIF(DeadRaw!$B:$B,$A82,DeadRaw!BT:BT)</f>
        <v>0</v>
      </c>
      <c r="BR82">
        <f>SUMIF(DeadRaw!$B:$B,$A82,DeadRaw!BU:BU)</f>
        <v>0</v>
      </c>
      <c r="BS82">
        <f>SUMIF(DeadRaw!$B:$B,$A82,DeadRaw!BV:BV)</f>
        <v>0</v>
      </c>
      <c r="BT82">
        <f>SUMIF(DeadRaw!$B:$B,$A82,DeadRaw!BW:BW)</f>
        <v>0</v>
      </c>
    </row>
    <row r="83" spans="1:72" ht="15" thickBot="1" x14ac:dyDescent="0.35">
      <c r="A83" s="4" t="s">
        <v>105</v>
      </c>
      <c r="B83">
        <f>SUMIF(DeadRaw!$B:$B,$A83,DeadRaw!E:E)</f>
        <v>0</v>
      </c>
      <c r="C83">
        <f>SUMIF(DeadRaw!$B:$B,$A83,DeadRaw!F:F)</f>
        <v>0</v>
      </c>
      <c r="D83">
        <f>SUMIF(DeadRaw!$B:$B,$A83,DeadRaw!G:G)</f>
        <v>0</v>
      </c>
      <c r="E83">
        <f>SUMIF(DeadRaw!$B:$B,$A83,DeadRaw!H:H)</f>
        <v>0</v>
      </c>
      <c r="F83">
        <f>SUMIF(DeadRaw!$B:$B,$A83,DeadRaw!I:I)</f>
        <v>0</v>
      </c>
      <c r="G83">
        <f>SUMIF(DeadRaw!$B:$B,$A83,DeadRaw!J:J)</f>
        <v>0</v>
      </c>
      <c r="H83">
        <f>SUMIF(DeadRaw!$B:$B,$A83,DeadRaw!K:K)</f>
        <v>0</v>
      </c>
      <c r="I83">
        <f>SUMIF(DeadRaw!$B:$B,$A83,DeadRaw!L:L)</f>
        <v>0</v>
      </c>
      <c r="J83">
        <f>SUMIF(DeadRaw!$B:$B,$A83,DeadRaw!M:M)</f>
        <v>0</v>
      </c>
      <c r="K83">
        <f>SUMIF(DeadRaw!$B:$B,$A83,DeadRaw!N:N)</f>
        <v>0</v>
      </c>
      <c r="L83">
        <f>SUMIF(DeadRaw!$B:$B,$A83,DeadRaw!O:O)</f>
        <v>0</v>
      </c>
      <c r="M83">
        <f>SUMIF(DeadRaw!$B:$B,$A83,DeadRaw!P:P)</f>
        <v>0</v>
      </c>
      <c r="N83">
        <f>SUMIF(DeadRaw!$B:$B,$A83,DeadRaw!Q:Q)</f>
        <v>0</v>
      </c>
      <c r="O83">
        <f>SUMIF(DeadRaw!$B:$B,$A83,DeadRaw!R:R)</f>
        <v>0</v>
      </c>
      <c r="P83">
        <f>SUMIF(DeadRaw!$B:$B,$A83,DeadRaw!S:S)</f>
        <v>0</v>
      </c>
      <c r="Q83">
        <f>SUMIF(DeadRaw!$B:$B,$A83,DeadRaw!T:T)</f>
        <v>0</v>
      </c>
      <c r="R83">
        <f>SUMIF(DeadRaw!$B:$B,$A83,DeadRaw!U:U)</f>
        <v>0</v>
      </c>
      <c r="S83">
        <f>SUMIF(DeadRaw!$B:$B,$A83,DeadRaw!V:V)</f>
        <v>0</v>
      </c>
      <c r="T83">
        <f>SUMIF(DeadRaw!$B:$B,$A83,DeadRaw!W:W)</f>
        <v>0</v>
      </c>
      <c r="U83">
        <f>SUMIF(DeadRaw!$B:$B,$A83,DeadRaw!X:X)</f>
        <v>0</v>
      </c>
      <c r="V83">
        <f>SUMIF(DeadRaw!$B:$B,$A83,DeadRaw!Y:Y)</f>
        <v>0</v>
      </c>
      <c r="W83">
        <f>SUMIF(DeadRaw!$B:$B,$A83,DeadRaw!Z:Z)</f>
        <v>0</v>
      </c>
      <c r="X83">
        <f>SUMIF(DeadRaw!$B:$B,$A83,DeadRaw!AA:AA)</f>
        <v>0</v>
      </c>
      <c r="Y83">
        <f>SUMIF(DeadRaw!$B:$B,$A83,DeadRaw!AB:AB)</f>
        <v>0</v>
      </c>
      <c r="Z83">
        <f>SUMIF(DeadRaw!$B:$B,$A83,DeadRaw!AC:AC)</f>
        <v>0</v>
      </c>
      <c r="AA83">
        <f>SUMIF(DeadRaw!$B:$B,$A83,DeadRaw!AD:AD)</f>
        <v>0</v>
      </c>
      <c r="AB83">
        <f>SUMIF(DeadRaw!$B:$B,$A83,DeadRaw!AE:AE)</f>
        <v>0</v>
      </c>
      <c r="AC83">
        <f>SUMIF(DeadRaw!$B:$B,$A83,DeadRaw!AF:AF)</f>
        <v>0</v>
      </c>
      <c r="AD83">
        <f>SUMIF(DeadRaw!$B:$B,$A83,DeadRaw!AG:AG)</f>
        <v>0</v>
      </c>
      <c r="AE83">
        <f>SUMIF(DeadRaw!$B:$B,$A83,DeadRaw!AH:AH)</f>
        <v>0</v>
      </c>
      <c r="AF83">
        <f>SUMIF(DeadRaw!$B:$B,$A83,DeadRaw!AI:AI)</f>
        <v>0</v>
      </c>
      <c r="AG83">
        <f>SUMIF(DeadRaw!$B:$B,$A83,DeadRaw!AJ:AJ)</f>
        <v>0</v>
      </c>
      <c r="AH83">
        <f>SUMIF(DeadRaw!$B:$B,$A83,DeadRaw!AK:AK)</f>
        <v>0</v>
      </c>
      <c r="AI83">
        <f>SUMIF(DeadRaw!$B:$B,$A83,DeadRaw!AL:AL)</f>
        <v>0</v>
      </c>
      <c r="AJ83">
        <f>SUMIF(DeadRaw!$B:$B,$A83,DeadRaw!AM:AM)</f>
        <v>0</v>
      </c>
      <c r="AK83">
        <f>SUMIF(DeadRaw!$B:$B,$A83,DeadRaw!AN:AN)</f>
        <v>0</v>
      </c>
      <c r="AL83">
        <f>SUMIF(DeadRaw!$B:$B,$A83,DeadRaw!AO:AO)</f>
        <v>0</v>
      </c>
      <c r="AM83">
        <f>SUMIF(DeadRaw!$B:$B,$A83,DeadRaw!AP:AP)</f>
        <v>0</v>
      </c>
      <c r="AN83">
        <f>SUMIF(DeadRaw!$B:$B,$A83,DeadRaw!AQ:AQ)</f>
        <v>0</v>
      </c>
      <c r="AO83">
        <f>SUMIF(DeadRaw!$B:$B,$A83,DeadRaw!AR:AR)</f>
        <v>0</v>
      </c>
      <c r="AP83">
        <f>SUMIF(DeadRaw!$B:$B,$A83,DeadRaw!AS:AS)</f>
        <v>0</v>
      </c>
      <c r="AQ83">
        <f>SUMIF(DeadRaw!$B:$B,$A83,DeadRaw!AT:AT)</f>
        <v>0</v>
      </c>
      <c r="AR83">
        <f>SUMIF(DeadRaw!$B:$B,$A83,DeadRaw!AU:AU)</f>
        <v>0</v>
      </c>
      <c r="AS83">
        <f>SUMIF(DeadRaw!$B:$B,$A83,DeadRaw!AV:AV)</f>
        <v>0</v>
      </c>
      <c r="AT83">
        <f>SUMIF(DeadRaw!$B:$B,$A83,DeadRaw!AW:AW)</f>
        <v>0</v>
      </c>
      <c r="AU83">
        <f>SUMIF(DeadRaw!$B:$B,$A83,DeadRaw!AX:AX)</f>
        <v>0</v>
      </c>
      <c r="AV83">
        <f>SUMIF(DeadRaw!$B:$B,$A83,DeadRaw!AY:AY)</f>
        <v>0</v>
      </c>
      <c r="AW83">
        <f>SUMIF(DeadRaw!$B:$B,$A83,DeadRaw!AZ:AZ)</f>
        <v>0</v>
      </c>
      <c r="AX83">
        <f>SUMIF(DeadRaw!$B:$B,$A83,DeadRaw!BA:BA)</f>
        <v>0</v>
      </c>
      <c r="AY83">
        <f>SUMIF(DeadRaw!$B:$B,$A83,DeadRaw!BB:BB)</f>
        <v>0</v>
      </c>
      <c r="AZ83">
        <f>SUMIF(DeadRaw!$B:$B,$A83,DeadRaw!BC:BC)</f>
        <v>0</v>
      </c>
      <c r="BA83">
        <f>SUMIF(DeadRaw!$B:$B,$A83,DeadRaw!BD:BD)</f>
        <v>0</v>
      </c>
      <c r="BB83">
        <f>SUMIF(DeadRaw!$B:$B,$A83,DeadRaw!BE:BE)</f>
        <v>0</v>
      </c>
      <c r="BC83">
        <f>SUMIF(DeadRaw!$B:$B,$A83,DeadRaw!BF:BF)</f>
        <v>0</v>
      </c>
      <c r="BD83">
        <f>SUMIF(DeadRaw!$B:$B,$A83,DeadRaw!BG:BG)</f>
        <v>0</v>
      </c>
      <c r="BE83">
        <f>SUMIF(DeadRaw!$B:$B,$A83,DeadRaw!BH:BH)</f>
        <v>0</v>
      </c>
      <c r="BF83">
        <f>SUMIF(DeadRaw!$B:$B,$A83,DeadRaw!BI:BI)</f>
        <v>0</v>
      </c>
      <c r="BG83">
        <f>SUMIF(DeadRaw!$B:$B,$A83,DeadRaw!BJ:BJ)</f>
        <v>0</v>
      </c>
      <c r="BH83">
        <f>SUMIF(DeadRaw!$B:$B,$A83,DeadRaw!BK:BK)</f>
        <v>0</v>
      </c>
      <c r="BI83">
        <f>SUMIF(DeadRaw!$B:$B,$A83,DeadRaw!BL:BL)</f>
        <v>0</v>
      </c>
      <c r="BJ83">
        <f>SUMIF(DeadRaw!$B:$B,$A83,DeadRaw!BM:BM)</f>
        <v>0</v>
      </c>
      <c r="BK83">
        <f>SUMIF(DeadRaw!$B:$B,$A83,DeadRaw!BN:BN)</f>
        <v>0</v>
      </c>
      <c r="BL83">
        <f>SUMIF(DeadRaw!$B:$B,$A83,DeadRaw!BO:BO)</f>
        <v>0</v>
      </c>
      <c r="BM83">
        <f>SUMIF(DeadRaw!$B:$B,$A83,DeadRaw!BP:BP)</f>
        <v>0</v>
      </c>
      <c r="BN83">
        <f>SUMIF(DeadRaw!$B:$B,$A83,DeadRaw!BQ:BQ)</f>
        <v>0</v>
      </c>
      <c r="BO83">
        <f>SUMIF(DeadRaw!$B:$B,$A83,DeadRaw!BR:BR)</f>
        <v>0</v>
      </c>
      <c r="BP83">
        <f>SUMIF(DeadRaw!$B:$B,$A83,DeadRaw!BS:BS)</f>
        <v>0</v>
      </c>
      <c r="BQ83">
        <f>SUMIF(DeadRaw!$B:$B,$A83,DeadRaw!BT:BT)</f>
        <v>0</v>
      </c>
      <c r="BR83">
        <f>SUMIF(DeadRaw!$B:$B,$A83,DeadRaw!BU:BU)</f>
        <v>0</v>
      </c>
      <c r="BS83">
        <f>SUMIF(DeadRaw!$B:$B,$A83,DeadRaw!BV:BV)</f>
        <v>0</v>
      </c>
      <c r="BT83">
        <f>SUMIF(DeadRaw!$B:$B,$A83,DeadRaw!BW:BW)</f>
        <v>0</v>
      </c>
    </row>
    <row r="84" spans="1:72" ht="15" thickBot="1" x14ac:dyDescent="0.35">
      <c r="A84" s="3" t="s">
        <v>353</v>
      </c>
      <c r="B84">
        <f>SUMIF(DeadRaw!$B:$B,$A84,DeadRaw!E:E)</f>
        <v>0</v>
      </c>
      <c r="C84">
        <f>SUMIF(DeadRaw!$B:$B,$A84,DeadRaw!F:F)</f>
        <v>0</v>
      </c>
      <c r="D84">
        <f>SUMIF(DeadRaw!$B:$B,$A84,DeadRaw!G:G)</f>
        <v>0</v>
      </c>
      <c r="E84">
        <f>SUMIF(DeadRaw!$B:$B,$A84,DeadRaw!H:H)</f>
        <v>0</v>
      </c>
      <c r="F84">
        <f>SUMIF(DeadRaw!$B:$B,$A84,DeadRaw!I:I)</f>
        <v>0</v>
      </c>
      <c r="G84">
        <f>SUMIF(DeadRaw!$B:$B,$A84,DeadRaw!J:J)</f>
        <v>0</v>
      </c>
      <c r="H84">
        <f>SUMIF(DeadRaw!$B:$B,$A84,DeadRaw!K:K)</f>
        <v>0</v>
      </c>
      <c r="I84">
        <f>SUMIF(DeadRaw!$B:$B,$A84,DeadRaw!L:L)</f>
        <v>0</v>
      </c>
      <c r="J84">
        <f>SUMIF(DeadRaw!$B:$B,$A84,DeadRaw!M:M)</f>
        <v>0</v>
      </c>
      <c r="K84">
        <f>SUMIF(DeadRaw!$B:$B,$A84,DeadRaw!N:N)</f>
        <v>0</v>
      </c>
      <c r="L84">
        <f>SUMIF(DeadRaw!$B:$B,$A84,DeadRaw!O:O)</f>
        <v>0</v>
      </c>
      <c r="M84">
        <f>SUMIF(DeadRaw!$B:$B,$A84,DeadRaw!P:P)</f>
        <v>0</v>
      </c>
      <c r="N84">
        <f>SUMIF(DeadRaw!$B:$B,$A84,DeadRaw!Q:Q)</f>
        <v>0</v>
      </c>
      <c r="O84">
        <f>SUMIF(DeadRaw!$B:$B,$A84,DeadRaw!R:R)</f>
        <v>0</v>
      </c>
      <c r="P84">
        <f>SUMIF(DeadRaw!$B:$B,$A84,DeadRaw!S:S)</f>
        <v>0</v>
      </c>
      <c r="Q84">
        <f>SUMIF(DeadRaw!$B:$B,$A84,DeadRaw!T:T)</f>
        <v>0</v>
      </c>
      <c r="R84">
        <f>SUMIF(DeadRaw!$B:$B,$A84,DeadRaw!U:U)</f>
        <v>0</v>
      </c>
      <c r="S84">
        <f>SUMIF(DeadRaw!$B:$B,$A84,DeadRaw!V:V)</f>
        <v>0</v>
      </c>
      <c r="T84">
        <f>SUMIF(DeadRaw!$B:$B,$A84,DeadRaw!W:W)</f>
        <v>0</v>
      </c>
      <c r="U84">
        <f>SUMIF(DeadRaw!$B:$B,$A84,DeadRaw!X:X)</f>
        <v>0</v>
      </c>
      <c r="V84">
        <f>SUMIF(DeadRaw!$B:$B,$A84,DeadRaw!Y:Y)</f>
        <v>0</v>
      </c>
      <c r="W84">
        <f>SUMIF(DeadRaw!$B:$B,$A84,DeadRaw!Z:Z)</f>
        <v>0</v>
      </c>
      <c r="X84">
        <f>SUMIF(DeadRaw!$B:$B,$A84,DeadRaw!AA:AA)</f>
        <v>0</v>
      </c>
      <c r="Y84">
        <f>SUMIF(DeadRaw!$B:$B,$A84,DeadRaw!AB:AB)</f>
        <v>0</v>
      </c>
      <c r="Z84">
        <f>SUMIF(DeadRaw!$B:$B,$A84,DeadRaw!AC:AC)</f>
        <v>0</v>
      </c>
      <c r="AA84">
        <f>SUMIF(DeadRaw!$B:$B,$A84,DeadRaw!AD:AD)</f>
        <v>0</v>
      </c>
      <c r="AB84">
        <f>SUMIF(DeadRaw!$B:$B,$A84,DeadRaw!AE:AE)</f>
        <v>0</v>
      </c>
      <c r="AC84">
        <f>SUMIF(DeadRaw!$B:$B,$A84,DeadRaw!AF:AF)</f>
        <v>0</v>
      </c>
      <c r="AD84">
        <f>SUMIF(DeadRaw!$B:$B,$A84,DeadRaw!AG:AG)</f>
        <v>0</v>
      </c>
      <c r="AE84">
        <f>SUMIF(DeadRaw!$B:$B,$A84,DeadRaw!AH:AH)</f>
        <v>0</v>
      </c>
      <c r="AF84">
        <f>SUMIF(DeadRaw!$B:$B,$A84,DeadRaw!AI:AI)</f>
        <v>0</v>
      </c>
      <c r="AG84">
        <f>SUMIF(DeadRaw!$B:$B,$A84,DeadRaw!AJ:AJ)</f>
        <v>0</v>
      </c>
      <c r="AH84">
        <f>SUMIF(DeadRaw!$B:$B,$A84,DeadRaw!AK:AK)</f>
        <v>0</v>
      </c>
      <c r="AI84">
        <f>SUMIF(DeadRaw!$B:$B,$A84,DeadRaw!AL:AL)</f>
        <v>0</v>
      </c>
      <c r="AJ84">
        <f>SUMIF(DeadRaw!$B:$B,$A84,DeadRaw!AM:AM)</f>
        <v>0</v>
      </c>
      <c r="AK84">
        <f>SUMIF(DeadRaw!$B:$B,$A84,DeadRaw!AN:AN)</f>
        <v>0</v>
      </c>
      <c r="AL84">
        <f>SUMIF(DeadRaw!$B:$B,$A84,DeadRaw!AO:AO)</f>
        <v>0</v>
      </c>
      <c r="AM84">
        <f>SUMIF(DeadRaw!$B:$B,$A84,DeadRaw!AP:AP)</f>
        <v>0</v>
      </c>
      <c r="AN84">
        <f>SUMIF(DeadRaw!$B:$B,$A84,DeadRaw!AQ:AQ)</f>
        <v>0</v>
      </c>
      <c r="AO84">
        <f>SUMIF(DeadRaw!$B:$B,$A84,DeadRaw!AR:AR)</f>
        <v>0</v>
      </c>
      <c r="AP84">
        <f>SUMIF(DeadRaw!$B:$B,$A84,DeadRaw!AS:AS)</f>
        <v>0</v>
      </c>
      <c r="AQ84">
        <f>SUMIF(DeadRaw!$B:$B,$A84,DeadRaw!AT:AT)</f>
        <v>0</v>
      </c>
      <c r="AR84">
        <f>SUMIF(DeadRaw!$B:$B,$A84,DeadRaw!AU:AU)</f>
        <v>0</v>
      </c>
      <c r="AS84">
        <f>SUMIF(DeadRaw!$B:$B,$A84,DeadRaw!AV:AV)</f>
        <v>0</v>
      </c>
      <c r="AT84">
        <f>SUMIF(DeadRaw!$B:$B,$A84,DeadRaw!AW:AW)</f>
        <v>0</v>
      </c>
      <c r="AU84">
        <f>SUMIF(DeadRaw!$B:$B,$A84,DeadRaw!AX:AX)</f>
        <v>0</v>
      </c>
      <c r="AV84">
        <f>SUMIF(DeadRaw!$B:$B,$A84,DeadRaw!AY:AY)</f>
        <v>0</v>
      </c>
      <c r="AW84">
        <f>SUMIF(DeadRaw!$B:$B,$A84,DeadRaw!AZ:AZ)</f>
        <v>0</v>
      </c>
      <c r="AX84">
        <f>SUMIF(DeadRaw!$B:$B,$A84,DeadRaw!BA:BA)</f>
        <v>0</v>
      </c>
      <c r="AY84">
        <f>SUMIF(DeadRaw!$B:$B,$A84,DeadRaw!BB:BB)</f>
        <v>0</v>
      </c>
      <c r="AZ84">
        <f>SUMIF(DeadRaw!$B:$B,$A84,DeadRaw!BC:BC)</f>
        <v>0</v>
      </c>
      <c r="BA84">
        <f>SUMIF(DeadRaw!$B:$B,$A84,DeadRaw!BD:BD)</f>
        <v>0</v>
      </c>
      <c r="BB84">
        <f>SUMIF(DeadRaw!$B:$B,$A84,DeadRaw!BE:BE)</f>
        <v>0</v>
      </c>
      <c r="BC84">
        <f>SUMIF(DeadRaw!$B:$B,$A84,DeadRaw!BF:BF)</f>
        <v>0</v>
      </c>
      <c r="BD84">
        <f>SUMIF(DeadRaw!$B:$B,$A84,DeadRaw!BG:BG)</f>
        <v>0</v>
      </c>
      <c r="BE84">
        <f>SUMIF(DeadRaw!$B:$B,$A84,DeadRaw!BH:BH)</f>
        <v>0</v>
      </c>
      <c r="BF84">
        <f>SUMIF(DeadRaw!$B:$B,$A84,DeadRaw!BI:BI)</f>
        <v>0</v>
      </c>
      <c r="BG84">
        <f>SUMIF(DeadRaw!$B:$B,$A84,DeadRaw!BJ:BJ)</f>
        <v>1</v>
      </c>
      <c r="BH84">
        <f>SUMIF(DeadRaw!$B:$B,$A84,DeadRaw!BK:BK)</f>
        <v>1</v>
      </c>
      <c r="BI84">
        <f>SUMIF(DeadRaw!$B:$B,$A84,DeadRaw!BL:BL)</f>
        <v>0</v>
      </c>
      <c r="BJ84">
        <f>SUMIF(DeadRaw!$B:$B,$A84,DeadRaw!BM:BM)</f>
        <v>0</v>
      </c>
      <c r="BK84">
        <f>SUMIF(DeadRaw!$B:$B,$A84,DeadRaw!BN:BN)</f>
        <v>0</v>
      </c>
      <c r="BL84">
        <f>SUMIF(DeadRaw!$B:$B,$A84,DeadRaw!BO:BO)</f>
        <v>0</v>
      </c>
      <c r="BM84">
        <f>SUMIF(DeadRaw!$B:$B,$A84,DeadRaw!BP:BP)</f>
        <v>0</v>
      </c>
      <c r="BN84">
        <f>SUMIF(DeadRaw!$B:$B,$A84,DeadRaw!BQ:BQ)</f>
        <v>0</v>
      </c>
      <c r="BO84">
        <f>SUMIF(DeadRaw!$B:$B,$A84,DeadRaw!BR:BR)</f>
        <v>0</v>
      </c>
      <c r="BP84">
        <f>SUMIF(DeadRaw!$B:$B,$A84,DeadRaw!BS:BS)</f>
        <v>0</v>
      </c>
      <c r="BQ84">
        <f>SUMIF(DeadRaw!$B:$B,$A84,DeadRaw!BT:BT)</f>
        <v>0</v>
      </c>
      <c r="BR84">
        <f>SUMIF(DeadRaw!$B:$B,$A84,DeadRaw!BU:BU)</f>
        <v>0</v>
      </c>
      <c r="BS84">
        <f>SUMIF(DeadRaw!$B:$B,$A84,DeadRaw!BV:BV)</f>
        <v>0</v>
      </c>
      <c r="BT84">
        <f>SUMIF(DeadRaw!$B:$B,$A84,DeadRaw!BW:BW)</f>
        <v>0</v>
      </c>
    </row>
    <row r="85" spans="1:72" ht="15" thickBot="1" x14ac:dyDescent="0.35">
      <c r="A85" s="3" t="s">
        <v>72</v>
      </c>
      <c r="B85">
        <f>SUMIF(DeadRaw!$B:$B,$A85,DeadRaw!E:E)</f>
        <v>0</v>
      </c>
      <c r="C85">
        <f>SUMIF(DeadRaw!$B:$B,$A85,DeadRaw!F:F)</f>
        <v>0</v>
      </c>
      <c r="D85">
        <f>SUMIF(DeadRaw!$B:$B,$A85,DeadRaw!G:G)</f>
        <v>0</v>
      </c>
      <c r="E85">
        <f>SUMIF(DeadRaw!$B:$B,$A85,DeadRaw!H:H)</f>
        <v>0</v>
      </c>
      <c r="F85">
        <f>SUMIF(DeadRaw!$B:$B,$A85,DeadRaw!I:I)</f>
        <v>0</v>
      </c>
      <c r="G85">
        <f>SUMIF(DeadRaw!$B:$B,$A85,DeadRaw!J:J)</f>
        <v>0</v>
      </c>
      <c r="H85">
        <f>SUMIF(DeadRaw!$B:$B,$A85,DeadRaw!K:K)</f>
        <v>0</v>
      </c>
      <c r="I85">
        <f>SUMIF(DeadRaw!$B:$B,$A85,DeadRaw!L:L)</f>
        <v>0</v>
      </c>
      <c r="J85">
        <f>SUMIF(DeadRaw!$B:$B,$A85,DeadRaw!M:M)</f>
        <v>0</v>
      </c>
      <c r="K85">
        <f>SUMIF(DeadRaw!$B:$B,$A85,DeadRaw!N:N)</f>
        <v>0</v>
      </c>
      <c r="L85">
        <f>SUMIF(DeadRaw!$B:$B,$A85,DeadRaw!O:O)</f>
        <v>0</v>
      </c>
      <c r="M85">
        <f>SUMIF(DeadRaw!$B:$B,$A85,DeadRaw!P:P)</f>
        <v>0</v>
      </c>
      <c r="N85">
        <f>SUMIF(DeadRaw!$B:$B,$A85,DeadRaw!Q:Q)</f>
        <v>0</v>
      </c>
      <c r="O85">
        <f>SUMIF(DeadRaw!$B:$B,$A85,DeadRaw!R:R)</f>
        <v>0</v>
      </c>
      <c r="P85">
        <f>SUMIF(DeadRaw!$B:$B,$A85,DeadRaw!S:S)</f>
        <v>0</v>
      </c>
      <c r="Q85">
        <f>SUMIF(DeadRaw!$B:$B,$A85,DeadRaw!T:T)</f>
        <v>0</v>
      </c>
      <c r="R85">
        <f>SUMIF(DeadRaw!$B:$B,$A85,DeadRaw!U:U)</f>
        <v>0</v>
      </c>
      <c r="S85">
        <f>SUMIF(DeadRaw!$B:$B,$A85,DeadRaw!V:V)</f>
        <v>0</v>
      </c>
      <c r="T85">
        <f>SUMIF(DeadRaw!$B:$B,$A85,DeadRaw!W:W)</f>
        <v>0</v>
      </c>
      <c r="U85">
        <f>SUMIF(DeadRaw!$B:$B,$A85,DeadRaw!X:X)</f>
        <v>0</v>
      </c>
      <c r="V85">
        <f>SUMIF(DeadRaw!$B:$B,$A85,DeadRaw!Y:Y)</f>
        <v>0</v>
      </c>
      <c r="W85">
        <f>SUMIF(DeadRaw!$B:$B,$A85,DeadRaw!Z:Z)</f>
        <v>0</v>
      </c>
      <c r="X85">
        <f>SUMIF(DeadRaw!$B:$B,$A85,DeadRaw!AA:AA)</f>
        <v>0</v>
      </c>
      <c r="Y85">
        <f>SUMIF(DeadRaw!$B:$B,$A85,DeadRaw!AB:AB)</f>
        <v>0</v>
      </c>
      <c r="Z85">
        <f>SUMIF(DeadRaw!$B:$B,$A85,DeadRaw!AC:AC)</f>
        <v>0</v>
      </c>
      <c r="AA85">
        <f>SUMIF(DeadRaw!$B:$B,$A85,DeadRaw!AD:AD)</f>
        <v>0</v>
      </c>
      <c r="AB85">
        <f>SUMIF(DeadRaw!$B:$B,$A85,DeadRaw!AE:AE)</f>
        <v>0</v>
      </c>
      <c r="AC85">
        <f>SUMIF(DeadRaw!$B:$B,$A85,DeadRaw!AF:AF)</f>
        <v>0</v>
      </c>
      <c r="AD85">
        <f>SUMIF(DeadRaw!$B:$B,$A85,DeadRaw!AG:AG)</f>
        <v>0</v>
      </c>
      <c r="AE85">
        <f>SUMIF(DeadRaw!$B:$B,$A85,DeadRaw!AH:AH)</f>
        <v>0</v>
      </c>
      <c r="AF85">
        <f>SUMIF(DeadRaw!$B:$B,$A85,DeadRaw!AI:AI)</f>
        <v>0</v>
      </c>
      <c r="AG85">
        <f>SUMIF(DeadRaw!$B:$B,$A85,DeadRaw!AJ:AJ)</f>
        <v>0</v>
      </c>
      <c r="AH85">
        <f>SUMIF(DeadRaw!$B:$B,$A85,DeadRaw!AK:AK)</f>
        <v>0</v>
      </c>
      <c r="AI85">
        <f>SUMIF(DeadRaw!$B:$B,$A85,DeadRaw!AL:AL)</f>
        <v>0</v>
      </c>
      <c r="AJ85">
        <f>SUMIF(DeadRaw!$B:$B,$A85,DeadRaw!AM:AM)</f>
        <v>0</v>
      </c>
      <c r="AK85">
        <f>SUMIF(DeadRaw!$B:$B,$A85,DeadRaw!AN:AN)</f>
        <v>0</v>
      </c>
      <c r="AL85">
        <f>SUMIF(DeadRaw!$B:$B,$A85,DeadRaw!AO:AO)</f>
        <v>0</v>
      </c>
      <c r="AM85">
        <f>SUMIF(DeadRaw!$B:$B,$A85,DeadRaw!AP:AP)</f>
        <v>0</v>
      </c>
      <c r="AN85">
        <f>SUMIF(DeadRaw!$B:$B,$A85,DeadRaw!AQ:AQ)</f>
        <v>0</v>
      </c>
      <c r="AO85">
        <f>SUMIF(DeadRaw!$B:$B,$A85,DeadRaw!AR:AR)</f>
        <v>0</v>
      </c>
      <c r="AP85">
        <f>SUMIF(DeadRaw!$B:$B,$A85,DeadRaw!AS:AS)</f>
        <v>0</v>
      </c>
      <c r="AQ85">
        <f>SUMIF(DeadRaw!$B:$B,$A85,DeadRaw!AT:AT)</f>
        <v>0</v>
      </c>
      <c r="AR85">
        <f>SUMIF(DeadRaw!$B:$B,$A85,DeadRaw!AU:AU)</f>
        <v>0</v>
      </c>
      <c r="AS85">
        <f>SUMIF(DeadRaw!$B:$B,$A85,DeadRaw!AV:AV)</f>
        <v>0</v>
      </c>
      <c r="AT85">
        <f>SUMIF(DeadRaw!$B:$B,$A85,DeadRaw!AW:AW)</f>
        <v>0</v>
      </c>
      <c r="AU85">
        <f>SUMIF(DeadRaw!$B:$B,$A85,DeadRaw!AX:AX)</f>
        <v>0</v>
      </c>
      <c r="AV85">
        <f>SUMIF(DeadRaw!$B:$B,$A85,DeadRaw!AY:AY)</f>
        <v>0</v>
      </c>
      <c r="AW85">
        <f>SUMIF(DeadRaw!$B:$B,$A85,DeadRaw!AZ:AZ)</f>
        <v>0</v>
      </c>
      <c r="AX85">
        <f>SUMIF(DeadRaw!$B:$B,$A85,DeadRaw!BA:BA)</f>
        <v>0</v>
      </c>
      <c r="AY85">
        <f>SUMIF(DeadRaw!$B:$B,$A85,DeadRaw!BB:BB)</f>
        <v>0</v>
      </c>
      <c r="AZ85">
        <f>SUMIF(DeadRaw!$B:$B,$A85,DeadRaw!BC:BC)</f>
        <v>0</v>
      </c>
      <c r="BA85">
        <f>SUMIF(DeadRaw!$B:$B,$A85,DeadRaw!BD:BD)</f>
        <v>0</v>
      </c>
      <c r="BB85">
        <f>SUMIF(DeadRaw!$B:$B,$A85,DeadRaw!BE:BE)</f>
        <v>0</v>
      </c>
      <c r="BC85">
        <f>SUMIF(DeadRaw!$B:$B,$A85,DeadRaw!BF:BF)</f>
        <v>0</v>
      </c>
      <c r="BD85">
        <f>SUMIF(DeadRaw!$B:$B,$A85,DeadRaw!BG:BG)</f>
        <v>0</v>
      </c>
      <c r="BE85">
        <f>SUMIF(DeadRaw!$B:$B,$A85,DeadRaw!BH:BH)</f>
        <v>0</v>
      </c>
      <c r="BF85">
        <f>SUMIF(DeadRaw!$B:$B,$A85,DeadRaw!BI:BI)</f>
        <v>0</v>
      </c>
      <c r="BG85">
        <f>SUMIF(DeadRaw!$B:$B,$A85,DeadRaw!BJ:BJ)</f>
        <v>0</v>
      </c>
      <c r="BH85">
        <f>SUMIF(DeadRaw!$B:$B,$A85,DeadRaw!BK:BK)</f>
        <v>0</v>
      </c>
      <c r="BI85">
        <f>SUMIF(DeadRaw!$B:$B,$A85,DeadRaw!BL:BL)</f>
        <v>0</v>
      </c>
      <c r="BJ85">
        <f>SUMIF(DeadRaw!$B:$B,$A85,DeadRaw!BM:BM)</f>
        <v>0</v>
      </c>
      <c r="BK85">
        <f>SUMIF(DeadRaw!$B:$B,$A85,DeadRaw!BN:BN)</f>
        <v>0</v>
      </c>
      <c r="BL85">
        <f>SUMIF(DeadRaw!$B:$B,$A85,DeadRaw!BO:BO)</f>
        <v>0</v>
      </c>
      <c r="BM85">
        <f>SUMIF(DeadRaw!$B:$B,$A85,DeadRaw!BP:BP)</f>
        <v>0</v>
      </c>
      <c r="BN85">
        <f>SUMIF(DeadRaw!$B:$B,$A85,DeadRaw!BQ:BQ)</f>
        <v>0</v>
      </c>
      <c r="BO85">
        <f>SUMIF(DeadRaw!$B:$B,$A85,DeadRaw!BR:BR)</f>
        <v>0</v>
      </c>
      <c r="BP85">
        <f>SUMIF(DeadRaw!$B:$B,$A85,DeadRaw!BS:BS)</f>
        <v>0</v>
      </c>
      <c r="BQ85">
        <f>SUMIF(DeadRaw!$B:$B,$A85,DeadRaw!BT:BT)</f>
        <v>0</v>
      </c>
      <c r="BR85">
        <f>SUMIF(DeadRaw!$B:$B,$A85,DeadRaw!BU:BU)</f>
        <v>0</v>
      </c>
      <c r="BS85">
        <f>SUMIF(DeadRaw!$B:$B,$A85,DeadRaw!BV:BV)</f>
        <v>0</v>
      </c>
      <c r="BT85">
        <f>SUMIF(DeadRaw!$B:$B,$A85,DeadRaw!BW:BW)</f>
        <v>0</v>
      </c>
    </row>
    <row r="86" spans="1:72" ht="15" thickBot="1" x14ac:dyDescent="0.35">
      <c r="A86" s="3" t="s">
        <v>112</v>
      </c>
      <c r="B86">
        <f>SUMIF(DeadRaw!$B:$B,$A86,DeadRaw!E:E)</f>
        <v>0</v>
      </c>
      <c r="C86">
        <f>SUMIF(DeadRaw!$B:$B,$A86,DeadRaw!F:F)</f>
        <v>0</v>
      </c>
      <c r="D86">
        <f>SUMIF(DeadRaw!$B:$B,$A86,DeadRaw!G:G)</f>
        <v>0</v>
      </c>
      <c r="E86">
        <f>SUMIF(DeadRaw!$B:$B,$A86,DeadRaw!H:H)</f>
        <v>0</v>
      </c>
      <c r="F86">
        <f>SUMIF(DeadRaw!$B:$B,$A86,DeadRaw!I:I)</f>
        <v>0</v>
      </c>
      <c r="G86">
        <f>SUMIF(DeadRaw!$B:$B,$A86,DeadRaw!J:J)</f>
        <v>0</v>
      </c>
      <c r="H86">
        <f>SUMIF(DeadRaw!$B:$B,$A86,DeadRaw!K:K)</f>
        <v>0</v>
      </c>
      <c r="I86">
        <f>SUMIF(DeadRaw!$B:$B,$A86,DeadRaw!L:L)</f>
        <v>0</v>
      </c>
      <c r="J86">
        <f>SUMIF(DeadRaw!$B:$B,$A86,DeadRaw!M:M)</f>
        <v>0</v>
      </c>
      <c r="K86">
        <f>SUMIF(DeadRaw!$B:$B,$A86,DeadRaw!N:N)</f>
        <v>0</v>
      </c>
      <c r="L86">
        <f>SUMIF(DeadRaw!$B:$B,$A86,DeadRaw!O:O)</f>
        <v>0</v>
      </c>
      <c r="M86">
        <f>SUMIF(DeadRaw!$B:$B,$A86,DeadRaw!P:P)</f>
        <v>0</v>
      </c>
      <c r="N86">
        <f>SUMIF(DeadRaw!$B:$B,$A86,DeadRaw!Q:Q)</f>
        <v>0</v>
      </c>
      <c r="O86">
        <f>SUMIF(DeadRaw!$B:$B,$A86,DeadRaw!R:R)</f>
        <v>0</v>
      </c>
      <c r="P86">
        <f>SUMIF(DeadRaw!$B:$B,$A86,DeadRaw!S:S)</f>
        <v>0</v>
      </c>
      <c r="Q86">
        <f>SUMIF(DeadRaw!$B:$B,$A86,DeadRaw!T:T)</f>
        <v>0</v>
      </c>
      <c r="R86">
        <f>SUMIF(DeadRaw!$B:$B,$A86,DeadRaw!U:U)</f>
        <v>0</v>
      </c>
      <c r="S86">
        <f>SUMIF(DeadRaw!$B:$B,$A86,DeadRaw!V:V)</f>
        <v>0</v>
      </c>
      <c r="T86">
        <f>SUMIF(DeadRaw!$B:$B,$A86,DeadRaw!W:W)</f>
        <v>0</v>
      </c>
      <c r="U86">
        <f>SUMIF(DeadRaw!$B:$B,$A86,DeadRaw!X:X)</f>
        <v>0</v>
      </c>
      <c r="V86">
        <f>SUMIF(DeadRaw!$B:$B,$A86,DeadRaw!Y:Y)</f>
        <v>0</v>
      </c>
      <c r="W86">
        <f>SUMIF(DeadRaw!$B:$B,$A86,DeadRaw!Z:Z)</f>
        <v>0</v>
      </c>
      <c r="X86">
        <f>SUMIF(DeadRaw!$B:$B,$A86,DeadRaw!AA:AA)</f>
        <v>0</v>
      </c>
      <c r="Y86">
        <f>SUMIF(DeadRaw!$B:$B,$A86,DeadRaw!AB:AB)</f>
        <v>0</v>
      </c>
      <c r="Z86">
        <f>SUMIF(DeadRaw!$B:$B,$A86,DeadRaw!AC:AC)</f>
        <v>0</v>
      </c>
      <c r="AA86">
        <f>SUMIF(DeadRaw!$B:$B,$A86,DeadRaw!AD:AD)</f>
        <v>0</v>
      </c>
      <c r="AB86">
        <f>SUMIF(DeadRaw!$B:$B,$A86,DeadRaw!AE:AE)</f>
        <v>0</v>
      </c>
      <c r="AC86">
        <f>SUMIF(DeadRaw!$B:$B,$A86,DeadRaw!AF:AF)</f>
        <v>0</v>
      </c>
      <c r="AD86">
        <f>SUMIF(DeadRaw!$B:$B,$A86,DeadRaw!AG:AG)</f>
        <v>0</v>
      </c>
      <c r="AE86">
        <f>SUMIF(DeadRaw!$B:$B,$A86,DeadRaw!AH:AH)</f>
        <v>0</v>
      </c>
      <c r="AF86">
        <f>SUMIF(DeadRaw!$B:$B,$A86,DeadRaw!AI:AI)</f>
        <v>0</v>
      </c>
      <c r="AG86">
        <f>SUMIF(DeadRaw!$B:$B,$A86,DeadRaw!AJ:AJ)</f>
        <v>0</v>
      </c>
      <c r="AH86">
        <f>SUMIF(DeadRaw!$B:$B,$A86,DeadRaw!AK:AK)</f>
        <v>0</v>
      </c>
      <c r="AI86">
        <f>SUMIF(DeadRaw!$B:$B,$A86,DeadRaw!AL:AL)</f>
        <v>0</v>
      </c>
      <c r="AJ86">
        <f>SUMIF(DeadRaw!$B:$B,$A86,DeadRaw!AM:AM)</f>
        <v>0</v>
      </c>
      <c r="AK86">
        <f>SUMIF(DeadRaw!$B:$B,$A86,DeadRaw!AN:AN)</f>
        <v>0</v>
      </c>
      <c r="AL86">
        <f>SUMIF(DeadRaw!$B:$B,$A86,DeadRaw!AO:AO)</f>
        <v>0</v>
      </c>
      <c r="AM86">
        <f>SUMIF(DeadRaw!$B:$B,$A86,DeadRaw!AP:AP)</f>
        <v>0</v>
      </c>
      <c r="AN86">
        <f>SUMIF(DeadRaw!$B:$B,$A86,DeadRaw!AQ:AQ)</f>
        <v>0</v>
      </c>
      <c r="AO86">
        <f>SUMIF(DeadRaw!$B:$B,$A86,DeadRaw!AR:AR)</f>
        <v>0</v>
      </c>
      <c r="AP86">
        <f>SUMIF(DeadRaw!$B:$B,$A86,DeadRaw!AS:AS)</f>
        <v>0</v>
      </c>
      <c r="AQ86">
        <f>SUMIF(DeadRaw!$B:$B,$A86,DeadRaw!AT:AT)</f>
        <v>0</v>
      </c>
      <c r="AR86">
        <f>SUMIF(DeadRaw!$B:$B,$A86,DeadRaw!AU:AU)</f>
        <v>0</v>
      </c>
      <c r="AS86">
        <f>SUMIF(DeadRaw!$B:$B,$A86,DeadRaw!AV:AV)</f>
        <v>0</v>
      </c>
      <c r="AT86">
        <f>SUMIF(DeadRaw!$B:$B,$A86,DeadRaw!AW:AW)</f>
        <v>0</v>
      </c>
      <c r="AU86">
        <f>SUMIF(DeadRaw!$B:$B,$A86,DeadRaw!AX:AX)</f>
        <v>0</v>
      </c>
      <c r="AV86">
        <f>SUMIF(DeadRaw!$B:$B,$A86,DeadRaw!AY:AY)</f>
        <v>0</v>
      </c>
      <c r="AW86">
        <f>SUMIF(DeadRaw!$B:$B,$A86,DeadRaw!AZ:AZ)</f>
        <v>0</v>
      </c>
      <c r="AX86">
        <f>SUMIF(DeadRaw!$B:$B,$A86,DeadRaw!BA:BA)</f>
        <v>1</v>
      </c>
      <c r="AY86">
        <f>SUMIF(DeadRaw!$B:$B,$A86,DeadRaw!BB:BB)</f>
        <v>1</v>
      </c>
      <c r="AZ86">
        <f>SUMIF(DeadRaw!$B:$B,$A86,DeadRaw!BC:BC)</f>
        <v>1</v>
      </c>
      <c r="BA86">
        <f>SUMIF(DeadRaw!$B:$B,$A86,DeadRaw!BD:BD)</f>
        <v>1</v>
      </c>
      <c r="BB86">
        <f>SUMIF(DeadRaw!$B:$B,$A86,DeadRaw!BE:BE)</f>
        <v>1</v>
      </c>
      <c r="BC86">
        <f>SUMIF(DeadRaw!$B:$B,$A86,DeadRaw!BF:BF)</f>
        <v>1</v>
      </c>
      <c r="BD86">
        <f>SUMIF(DeadRaw!$B:$B,$A86,DeadRaw!BG:BG)</f>
        <v>1</v>
      </c>
      <c r="BE86">
        <f>SUMIF(DeadRaw!$B:$B,$A86,DeadRaw!BH:BH)</f>
        <v>2</v>
      </c>
      <c r="BF86">
        <f>SUMIF(DeadRaw!$B:$B,$A86,DeadRaw!BI:BI)</f>
        <v>2</v>
      </c>
      <c r="BG86">
        <f>SUMIF(DeadRaw!$B:$B,$A86,DeadRaw!BJ:BJ)</f>
        <v>2</v>
      </c>
      <c r="BH86">
        <f>SUMIF(DeadRaw!$B:$B,$A86,DeadRaw!BK:BK)</f>
        <v>3</v>
      </c>
      <c r="BI86">
        <f>SUMIF(DeadRaw!$B:$B,$A86,DeadRaw!BL:BL)</f>
        <v>0</v>
      </c>
      <c r="BJ86">
        <f>SUMIF(DeadRaw!$B:$B,$A86,DeadRaw!BM:BM)</f>
        <v>0</v>
      </c>
      <c r="BK86">
        <f>SUMIF(DeadRaw!$B:$B,$A86,DeadRaw!BN:BN)</f>
        <v>0</v>
      </c>
      <c r="BL86">
        <f>SUMIF(DeadRaw!$B:$B,$A86,DeadRaw!BO:BO)</f>
        <v>0</v>
      </c>
      <c r="BM86">
        <f>SUMIF(DeadRaw!$B:$B,$A86,DeadRaw!BP:BP)</f>
        <v>0</v>
      </c>
      <c r="BN86">
        <f>SUMIF(DeadRaw!$B:$B,$A86,DeadRaw!BQ:BQ)</f>
        <v>0</v>
      </c>
      <c r="BO86">
        <f>SUMIF(DeadRaw!$B:$B,$A86,DeadRaw!BR:BR)</f>
        <v>0</v>
      </c>
      <c r="BP86">
        <f>SUMIF(DeadRaw!$B:$B,$A86,DeadRaw!BS:BS)</f>
        <v>0</v>
      </c>
      <c r="BQ86">
        <f>SUMIF(DeadRaw!$B:$B,$A86,DeadRaw!BT:BT)</f>
        <v>0</v>
      </c>
      <c r="BR86">
        <f>SUMIF(DeadRaw!$B:$B,$A86,DeadRaw!BU:BU)</f>
        <v>0</v>
      </c>
      <c r="BS86">
        <f>SUMIF(DeadRaw!$B:$B,$A86,DeadRaw!BV:BV)</f>
        <v>0</v>
      </c>
      <c r="BT86">
        <f>SUMIF(DeadRaw!$B:$B,$A86,DeadRaw!BW:BW)</f>
        <v>0</v>
      </c>
    </row>
    <row r="87" spans="1:72" ht="15" thickBot="1" x14ac:dyDescent="0.35">
      <c r="A87" s="3" t="s">
        <v>93</v>
      </c>
      <c r="B87">
        <f>SUMIF(DeadRaw!$B:$B,$A87,DeadRaw!E:E)</f>
        <v>0</v>
      </c>
      <c r="C87">
        <f>SUMIF(DeadRaw!$B:$B,$A87,DeadRaw!F:F)</f>
        <v>0</v>
      </c>
      <c r="D87">
        <f>SUMIF(DeadRaw!$B:$B,$A87,DeadRaw!G:G)</f>
        <v>0</v>
      </c>
      <c r="E87">
        <f>SUMIF(DeadRaw!$B:$B,$A87,DeadRaw!H:H)</f>
        <v>0</v>
      </c>
      <c r="F87">
        <f>SUMIF(DeadRaw!$B:$B,$A87,DeadRaw!I:I)</f>
        <v>0</v>
      </c>
      <c r="G87">
        <f>SUMIF(DeadRaw!$B:$B,$A87,DeadRaw!J:J)</f>
        <v>0</v>
      </c>
      <c r="H87">
        <f>SUMIF(DeadRaw!$B:$B,$A87,DeadRaw!K:K)</f>
        <v>0</v>
      </c>
      <c r="I87">
        <f>SUMIF(DeadRaw!$B:$B,$A87,DeadRaw!L:L)</f>
        <v>0</v>
      </c>
      <c r="J87">
        <f>SUMIF(DeadRaw!$B:$B,$A87,DeadRaw!M:M)</f>
        <v>0</v>
      </c>
      <c r="K87">
        <f>SUMIF(DeadRaw!$B:$B,$A87,DeadRaw!N:N)</f>
        <v>0</v>
      </c>
      <c r="L87">
        <f>SUMIF(DeadRaw!$B:$B,$A87,DeadRaw!O:O)</f>
        <v>0</v>
      </c>
      <c r="M87">
        <f>SUMIF(DeadRaw!$B:$B,$A87,DeadRaw!P:P)</f>
        <v>0</v>
      </c>
      <c r="N87">
        <f>SUMIF(DeadRaw!$B:$B,$A87,DeadRaw!Q:Q)</f>
        <v>0</v>
      </c>
      <c r="O87">
        <f>SUMIF(DeadRaw!$B:$B,$A87,DeadRaw!R:R)</f>
        <v>0</v>
      </c>
      <c r="P87">
        <f>SUMIF(DeadRaw!$B:$B,$A87,DeadRaw!S:S)</f>
        <v>0</v>
      </c>
      <c r="Q87">
        <f>SUMIF(DeadRaw!$B:$B,$A87,DeadRaw!T:T)</f>
        <v>0</v>
      </c>
      <c r="R87">
        <f>SUMIF(DeadRaw!$B:$B,$A87,DeadRaw!U:U)</f>
        <v>0</v>
      </c>
      <c r="S87">
        <f>SUMIF(DeadRaw!$B:$B,$A87,DeadRaw!V:V)</f>
        <v>0</v>
      </c>
      <c r="T87">
        <f>SUMIF(DeadRaw!$B:$B,$A87,DeadRaw!W:W)</f>
        <v>0</v>
      </c>
      <c r="U87">
        <f>SUMIF(DeadRaw!$B:$B,$A87,DeadRaw!X:X)</f>
        <v>0</v>
      </c>
      <c r="V87">
        <f>SUMIF(DeadRaw!$B:$B,$A87,DeadRaw!Y:Y)</f>
        <v>0</v>
      </c>
      <c r="W87">
        <f>SUMIF(DeadRaw!$B:$B,$A87,DeadRaw!Z:Z)</f>
        <v>0</v>
      </c>
      <c r="X87">
        <f>SUMIF(DeadRaw!$B:$B,$A87,DeadRaw!AA:AA)</f>
        <v>0</v>
      </c>
      <c r="Y87">
        <f>SUMIF(DeadRaw!$B:$B,$A87,DeadRaw!AB:AB)</f>
        <v>0</v>
      </c>
      <c r="Z87">
        <f>SUMIF(DeadRaw!$B:$B,$A87,DeadRaw!AC:AC)</f>
        <v>0</v>
      </c>
      <c r="AA87">
        <f>SUMIF(DeadRaw!$B:$B,$A87,DeadRaw!AD:AD)</f>
        <v>0</v>
      </c>
      <c r="AB87">
        <f>SUMIF(DeadRaw!$B:$B,$A87,DeadRaw!AE:AE)</f>
        <v>0</v>
      </c>
      <c r="AC87">
        <f>SUMIF(DeadRaw!$B:$B,$A87,DeadRaw!AF:AF)</f>
        <v>0</v>
      </c>
      <c r="AD87">
        <f>SUMIF(DeadRaw!$B:$B,$A87,DeadRaw!AG:AG)</f>
        <v>0</v>
      </c>
      <c r="AE87">
        <f>SUMIF(DeadRaw!$B:$B,$A87,DeadRaw!AH:AH)</f>
        <v>0</v>
      </c>
      <c r="AF87">
        <f>SUMIF(DeadRaw!$B:$B,$A87,DeadRaw!AI:AI)</f>
        <v>0</v>
      </c>
      <c r="AG87">
        <f>SUMIF(DeadRaw!$B:$B,$A87,DeadRaw!AJ:AJ)</f>
        <v>0</v>
      </c>
      <c r="AH87">
        <f>SUMIF(DeadRaw!$B:$B,$A87,DeadRaw!AK:AK)</f>
        <v>0</v>
      </c>
      <c r="AI87">
        <f>SUMIF(DeadRaw!$B:$B,$A87,DeadRaw!AL:AL)</f>
        <v>0</v>
      </c>
      <c r="AJ87">
        <f>SUMIF(DeadRaw!$B:$B,$A87,DeadRaw!AM:AM)</f>
        <v>0</v>
      </c>
      <c r="AK87">
        <f>SUMIF(DeadRaw!$B:$B,$A87,DeadRaw!AN:AN)</f>
        <v>0</v>
      </c>
      <c r="AL87">
        <f>SUMIF(DeadRaw!$B:$B,$A87,DeadRaw!AO:AO)</f>
        <v>0</v>
      </c>
      <c r="AM87">
        <f>SUMIF(DeadRaw!$B:$B,$A87,DeadRaw!AP:AP)</f>
        <v>0</v>
      </c>
      <c r="AN87">
        <f>SUMIF(DeadRaw!$B:$B,$A87,DeadRaw!AQ:AQ)</f>
        <v>0</v>
      </c>
      <c r="AO87">
        <f>SUMIF(DeadRaw!$B:$B,$A87,DeadRaw!AR:AR)</f>
        <v>0</v>
      </c>
      <c r="AP87">
        <f>SUMIF(DeadRaw!$B:$B,$A87,DeadRaw!AS:AS)</f>
        <v>0</v>
      </c>
      <c r="AQ87">
        <f>SUMIF(DeadRaw!$B:$B,$A87,DeadRaw!AT:AT)</f>
        <v>0</v>
      </c>
      <c r="AR87">
        <f>SUMIF(DeadRaw!$B:$B,$A87,DeadRaw!AU:AU)</f>
        <v>0</v>
      </c>
      <c r="AS87">
        <f>SUMIF(DeadRaw!$B:$B,$A87,DeadRaw!AV:AV)</f>
        <v>0</v>
      </c>
      <c r="AT87">
        <f>SUMIF(DeadRaw!$B:$B,$A87,DeadRaw!AW:AW)</f>
        <v>0</v>
      </c>
      <c r="AU87">
        <f>SUMIF(DeadRaw!$B:$B,$A87,DeadRaw!AX:AX)</f>
        <v>0</v>
      </c>
      <c r="AV87">
        <f>SUMIF(DeadRaw!$B:$B,$A87,DeadRaw!AY:AY)</f>
        <v>0</v>
      </c>
      <c r="AW87">
        <f>SUMIF(DeadRaw!$B:$B,$A87,DeadRaw!AZ:AZ)</f>
        <v>0</v>
      </c>
      <c r="AX87">
        <f>SUMIF(DeadRaw!$B:$B,$A87,DeadRaw!BA:BA)</f>
        <v>0</v>
      </c>
      <c r="AY87">
        <f>SUMIF(DeadRaw!$B:$B,$A87,DeadRaw!BB:BB)</f>
        <v>0</v>
      </c>
      <c r="AZ87">
        <f>SUMIF(DeadRaw!$B:$B,$A87,DeadRaw!BC:BC)</f>
        <v>0</v>
      </c>
      <c r="BA87">
        <f>SUMIF(DeadRaw!$B:$B,$A87,DeadRaw!BD:BD)</f>
        <v>0</v>
      </c>
      <c r="BB87">
        <f>SUMIF(DeadRaw!$B:$B,$A87,DeadRaw!BE:BE)</f>
        <v>0</v>
      </c>
      <c r="BC87">
        <f>SUMIF(DeadRaw!$B:$B,$A87,DeadRaw!BF:BF)</f>
        <v>0</v>
      </c>
      <c r="BD87">
        <f>SUMIF(DeadRaw!$B:$B,$A87,DeadRaw!BG:BG)</f>
        <v>0</v>
      </c>
      <c r="BE87">
        <f>SUMIF(DeadRaw!$B:$B,$A87,DeadRaw!BH:BH)</f>
        <v>0</v>
      </c>
      <c r="BF87">
        <f>SUMIF(DeadRaw!$B:$B,$A87,DeadRaw!BI:BI)</f>
        <v>0</v>
      </c>
      <c r="BG87">
        <f>SUMIF(DeadRaw!$B:$B,$A87,DeadRaw!BJ:BJ)</f>
        <v>0</v>
      </c>
      <c r="BH87">
        <f>SUMIF(DeadRaw!$B:$B,$A87,DeadRaw!BK:BK)</f>
        <v>0</v>
      </c>
      <c r="BI87">
        <f>SUMIF(DeadRaw!$B:$B,$A87,DeadRaw!BL:BL)</f>
        <v>0</v>
      </c>
      <c r="BJ87">
        <f>SUMIF(DeadRaw!$B:$B,$A87,DeadRaw!BM:BM)</f>
        <v>0</v>
      </c>
      <c r="BK87">
        <f>SUMIF(DeadRaw!$B:$B,$A87,DeadRaw!BN:BN)</f>
        <v>0</v>
      </c>
      <c r="BL87">
        <f>SUMIF(DeadRaw!$B:$B,$A87,DeadRaw!BO:BO)</f>
        <v>0</v>
      </c>
      <c r="BM87">
        <f>SUMIF(DeadRaw!$B:$B,$A87,DeadRaw!BP:BP)</f>
        <v>0</v>
      </c>
      <c r="BN87">
        <f>SUMIF(DeadRaw!$B:$B,$A87,DeadRaw!BQ:BQ)</f>
        <v>0</v>
      </c>
      <c r="BO87">
        <f>SUMIF(DeadRaw!$B:$B,$A87,DeadRaw!BR:BR)</f>
        <v>0</v>
      </c>
      <c r="BP87">
        <f>SUMIF(DeadRaw!$B:$B,$A87,DeadRaw!BS:BS)</f>
        <v>0</v>
      </c>
      <c r="BQ87">
        <f>SUMIF(DeadRaw!$B:$B,$A87,DeadRaw!BT:BT)</f>
        <v>0</v>
      </c>
      <c r="BR87">
        <f>SUMIF(DeadRaw!$B:$B,$A87,DeadRaw!BU:BU)</f>
        <v>0</v>
      </c>
      <c r="BS87">
        <f>SUMIF(DeadRaw!$B:$B,$A87,DeadRaw!BV:BV)</f>
        <v>0</v>
      </c>
      <c r="BT87">
        <f>SUMIF(DeadRaw!$B:$B,$A87,DeadRaw!BW:BW)</f>
        <v>0</v>
      </c>
    </row>
    <row r="88" spans="1:72" ht="15" thickBot="1" x14ac:dyDescent="0.35">
      <c r="A88" s="4" t="s">
        <v>345</v>
      </c>
      <c r="B88">
        <f>SUMIF(DeadRaw!$B:$B,$A88,DeadRaw!E:E)</f>
        <v>0</v>
      </c>
      <c r="C88">
        <f>SUMIF(DeadRaw!$B:$B,$A88,DeadRaw!F:F)</f>
        <v>0</v>
      </c>
      <c r="D88">
        <f>SUMIF(DeadRaw!$B:$B,$A88,DeadRaw!G:G)</f>
        <v>0</v>
      </c>
      <c r="E88">
        <f>SUMIF(DeadRaw!$B:$B,$A88,DeadRaw!H:H)</f>
        <v>0</v>
      </c>
      <c r="F88">
        <f>SUMIF(DeadRaw!$B:$B,$A88,DeadRaw!I:I)</f>
        <v>0</v>
      </c>
      <c r="G88">
        <f>SUMIF(DeadRaw!$B:$B,$A88,DeadRaw!J:J)</f>
        <v>0</v>
      </c>
      <c r="H88">
        <f>SUMIF(DeadRaw!$B:$B,$A88,DeadRaw!K:K)</f>
        <v>0</v>
      </c>
      <c r="I88">
        <f>SUMIF(DeadRaw!$B:$B,$A88,DeadRaw!L:L)</f>
        <v>0</v>
      </c>
      <c r="J88">
        <f>SUMIF(DeadRaw!$B:$B,$A88,DeadRaw!M:M)</f>
        <v>0</v>
      </c>
      <c r="K88">
        <f>SUMIF(DeadRaw!$B:$B,$A88,DeadRaw!N:N)</f>
        <v>0</v>
      </c>
      <c r="L88">
        <f>SUMIF(DeadRaw!$B:$B,$A88,DeadRaw!O:O)</f>
        <v>0</v>
      </c>
      <c r="M88">
        <f>SUMIF(DeadRaw!$B:$B,$A88,DeadRaw!P:P)</f>
        <v>0</v>
      </c>
      <c r="N88">
        <f>SUMIF(DeadRaw!$B:$B,$A88,DeadRaw!Q:Q)</f>
        <v>0</v>
      </c>
      <c r="O88">
        <f>SUMIF(DeadRaw!$B:$B,$A88,DeadRaw!R:R)</f>
        <v>0</v>
      </c>
      <c r="P88">
        <f>SUMIF(DeadRaw!$B:$B,$A88,DeadRaw!S:S)</f>
        <v>0</v>
      </c>
      <c r="Q88">
        <f>SUMIF(DeadRaw!$B:$B,$A88,DeadRaw!T:T)</f>
        <v>0</v>
      </c>
      <c r="R88">
        <f>SUMIF(DeadRaw!$B:$B,$A88,DeadRaw!U:U)</f>
        <v>0</v>
      </c>
      <c r="S88">
        <f>SUMIF(DeadRaw!$B:$B,$A88,DeadRaw!V:V)</f>
        <v>0</v>
      </c>
      <c r="T88">
        <f>SUMIF(DeadRaw!$B:$B,$A88,DeadRaw!W:W)</f>
        <v>0</v>
      </c>
      <c r="U88">
        <f>SUMIF(DeadRaw!$B:$B,$A88,DeadRaw!X:X)</f>
        <v>0</v>
      </c>
      <c r="V88">
        <f>SUMIF(DeadRaw!$B:$B,$A88,DeadRaw!Y:Y)</f>
        <v>0</v>
      </c>
      <c r="W88">
        <f>SUMIF(DeadRaw!$B:$B,$A88,DeadRaw!Z:Z)</f>
        <v>0</v>
      </c>
      <c r="X88">
        <f>SUMIF(DeadRaw!$B:$B,$A88,DeadRaw!AA:AA)</f>
        <v>0</v>
      </c>
      <c r="Y88">
        <f>SUMIF(DeadRaw!$B:$B,$A88,DeadRaw!AB:AB)</f>
        <v>0</v>
      </c>
      <c r="Z88">
        <f>SUMIF(DeadRaw!$B:$B,$A88,DeadRaw!AC:AC)</f>
        <v>0</v>
      </c>
      <c r="AA88">
        <f>SUMIF(DeadRaw!$B:$B,$A88,DeadRaw!AD:AD)</f>
        <v>0</v>
      </c>
      <c r="AB88">
        <f>SUMIF(DeadRaw!$B:$B,$A88,DeadRaw!AE:AE)</f>
        <v>0</v>
      </c>
      <c r="AC88">
        <f>SUMIF(DeadRaw!$B:$B,$A88,DeadRaw!AF:AF)</f>
        <v>0</v>
      </c>
      <c r="AD88">
        <f>SUMIF(DeadRaw!$B:$B,$A88,DeadRaw!AG:AG)</f>
        <v>0</v>
      </c>
      <c r="AE88">
        <f>SUMIF(DeadRaw!$B:$B,$A88,DeadRaw!AH:AH)</f>
        <v>0</v>
      </c>
      <c r="AF88">
        <f>SUMIF(DeadRaw!$B:$B,$A88,DeadRaw!AI:AI)</f>
        <v>0</v>
      </c>
      <c r="AG88">
        <f>SUMIF(DeadRaw!$B:$B,$A88,DeadRaw!AJ:AJ)</f>
        <v>0</v>
      </c>
      <c r="AH88">
        <f>SUMIF(DeadRaw!$B:$B,$A88,DeadRaw!AK:AK)</f>
        <v>0</v>
      </c>
      <c r="AI88">
        <f>SUMIF(DeadRaw!$B:$B,$A88,DeadRaw!AL:AL)</f>
        <v>0</v>
      </c>
      <c r="AJ88">
        <f>SUMIF(DeadRaw!$B:$B,$A88,DeadRaw!AM:AM)</f>
        <v>0</v>
      </c>
      <c r="AK88">
        <f>SUMIF(DeadRaw!$B:$B,$A88,DeadRaw!AN:AN)</f>
        <v>0</v>
      </c>
      <c r="AL88">
        <f>SUMIF(DeadRaw!$B:$B,$A88,DeadRaw!AO:AO)</f>
        <v>0</v>
      </c>
      <c r="AM88">
        <f>SUMIF(DeadRaw!$B:$B,$A88,DeadRaw!AP:AP)</f>
        <v>0</v>
      </c>
      <c r="AN88">
        <f>SUMIF(DeadRaw!$B:$B,$A88,DeadRaw!AQ:AQ)</f>
        <v>0</v>
      </c>
      <c r="AO88">
        <f>SUMIF(DeadRaw!$B:$B,$A88,DeadRaw!AR:AR)</f>
        <v>0</v>
      </c>
      <c r="AP88">
        <f>SUMIF(DeadRaw!$B:$B,$A88,DeadRaw!AS:AS)</f>
        <v>0</v>
      </c>
      <c r="AQ88">
        <f>SUMIF(DeadRaw!$B:$B,$A88,DeadRaw!AT:AT)</f>
        <v>0</v>
      </c>
      <c r="AR88">
        <f>SUMIF(DeadRaw!$B:$B,$A88,DeadRaw!AU:AU)</f>
        <v>0</v>
      </c>
      <c r="AS88">
        <f>SUMIF(DeadRaw!$B:$B,$A88,DeadRaw!AV:AV)</f>
        <v>0</v>
      </c>
      <c r="AT88">
        <f>SUMIF(DeadRaw!$B:$B,$A88,DeadRaw!AW:AW)</f>
        <v>0</v>
      </c>
      <c r="AU88">
        <f>SUMIF(DeadRaw!$B:$B,$A88,DeadRaw!AX:AX)</f>
        <v>0</v>
      </c>
      <c r="AV88">
        <f>SUMIF(DeadRaw!$B:$B,$A88,DeadRaw!AY:AY)</f>
        <v>0</v>
      </c>
      <c r="AW88">
        <f>SUMIF(DeadRaw!$B:$B,$A88,DeadRaw!AZ:AZ)</f>
        <v>0</v>
      </c>
      <c r="AX88">
        <f>SUMIF(DeadRaw!$B:$B,$A88,DeadRaw!BA:BA)</f>
        <v>0</v>
      </c>
      <c r="AY88">
        <f>SUMIF(DeadRaw!$B:$B,$A88,DeadRaw!BB:BB)</f>
        <v>0</v>
      </c>
      <c r="AZ88">
        <f>SUMIF(DeadRaw!$B:$B,$A88,DeadRaw!BC:BC)</f>
        <v>0</v>
      </c>
      <c r="BA88">
        <f>SUMIF(DeadRaw!$B:$B,$A88,DeadRaw!BD:BD)</f>
        <v>0</v>
      </c>
      <c r="BB88">
        <f>SUMIF(DeadRaw!$B:$B,$A88,DeadRaw!BE:BE)</f>
        <v>0</v>
      </c>
      <c r="BC88">
        <f>SUMIF(DeadRaw!$B:$B,$A88,DeadRaw!BF:BF)</f>
        <v>0</v>
      </c>
      <c r="BD88">
        <f>SUMIF(DeadRaw!$B:$B,$A88,DeadRaw!BG:BG)</f>
        <v>0</v>
      </c>
      <c r="BE88">
        <f>SUMIF(DeadRaw!$B:$B,$A88,DeadRaw!BH:BH)</f>
        <v>0</v>
      </c>
      <c r="BF88">
        <f>SUMIF(DeadRaw!$B:$B,$A88,DeadRaw!BI:BI)</f>
        <v>1</v>
      </c>
      <c r="BG88">
        <f>SUMIF(DeadRaw!$B:$B,$A88,DeadRaw!BJ:BJ)</f>
        <v>1</v>
      </c>
      <c r="BH88">
        <f>SUMIF(DeadRaw!$B:$B,$A88,DeadRaw!BK:BK)</f>
        <v>1</v>
      </c>
      <c r="BI88">
        <f>SUMIF(DeadRaw!$B:$B,$A88,DeadRaw!BL:BL)</f>
        <v>0</v>
      </c>
      <c r="BJ88">
        <f>SUMIF(DeadRaw!$B:$B,$A88,DeadRaw!BM:BM)</f>
        <v>0</v>
      </c>
      <c r="BK88">
        <f>SUMIF(DeadRaw!$B:$B,$A88,DeadRaw!BN:BN)</f>
        <v>0</v>
      </c>
      <c r="BL88">
        <f>SUMIF(DeadRaw!$B:$B,$A88,DeadRaw!BO:BO)</f>
        <v>0</v>
      </c>
      <c r="BM88">
        <f>SUMIF(DeadRaw!$B:$B,$A88,DeadRaw!BP:BP)</f>
        <v>0</v>
      </c>
      <c r="BN88">
        <f>SUMIF(DeadRaw!$B:$B,$A88,DeadRaw!BQ:BQ)</f>
        <v>0</v>
      </c>
      <c r="BO88">
        <f>SUMIF(DeadRaw!$B:$B,$A88,DeadRaw!BR:BR)</f>
        <v>0</v>
      </c>
      <c r="BP88">
        <f>SUMIF(DeadRaw!$B:$B,$A88,DeadRaw!BS:BS)</f>
        <v>0</v>
      </c>
      <c r="BQ88">
        <f>SUMIF(DeadRaw!$B:$B,$A88,DeadRaw!BT:BT)</f>
        <v>0</v>
      </c>
      <c r="BR88">
        <f>SUMIF(DeadRaw!$B:$B,$A88,DeadRaw!BU:BU)</f>
        <v>0</v>
      </c>
      <c r="BS88">
        <f>SUMIF(DeadRaw!$B:$B,$A88,DeadRaw!BV:BV)</f>
        <v>0</v>
      </c>
      <c r="BT88">
        <f>SUMIF(DeadRaw!$B:$B,$A88,DeadRaw!BW:BW)</f>
        <v>0</v>
      </c>
    </row>
    <row r="89" spans="1:72" ht="15" thickBot="1" x14ac:dyDescent="0.35">
      <c r="A89" s="4" t="s">
        <v>206</v>
      </c>
      <c r="B89">
        <f>SUMIF(DeadRaw!$B:$B,$A89,DeadRaw!E:E)</f>
        <v>0</v>
      </c>
      <c r="C89">
        <f>SUMIF(DeadRaw!$B:$B,$A89,DeadRaw!F:F)</f>
        <v>0</v>
      </c>
      <c r="D89">
        <f>SUMIF(DeadRaw!$B:$B,$A89,DeadRaw!G:G)</f>
        <v>0</v>
      </c>
      <c r="E89">
        <f>SUMIF(DeadRaw!$B:$B,$A89,DeadRaw!H:H)</f>
        <v>0</v>
      </c>
      <c r="F89">
        <f>SUMIF(DeadRaw!$B:$B,$A89,DeadRaw!I:I)</f>
        <v>0</v>
      </c>
      <c r="G89">
        <f>SUMIF(DeadRaw!$B:$B,$A89,DeadRaw!J:J)</f>
        <v>0</v>
      </c>
      <c r="H89">
        <f>SUMIF(DeadRaw!$B:$B,$A89,DeadRaw!K:K)</f>
        <v>0</v>
      </c>
      <c r="I89">
        <f>SUMIF(DeadRaw!$B:$B,$A89,DeadRaw!L:L)</f>
        <v>0</v>
      </c>
      <c r="J89">
        <f>SUMIF(DeadRaw!$B:$B,$A89,DeadRaw!M:M)</f>
        <v>0</v>
      </c>
      <c r="K89">
        <f>SUMIF(DeadRaw!$B:$B,$A89,DeadRaw!N:N)</f>
        <v>0</v>
      </c>
      <c r="L89">
        <f>SUMIF(DeadRaw!$B:$B,$A89,DeadRaw!O:O)</f>
        <v>0</v>
      </c>
      <c r="M89">
        <f>SUMIF(DeadRaw!$B:$B,$A89,DeadRaw!P:P)</f>
        <v>0</v>
      </c>
      <c r="N89">
        <f>SUMIF(DeadRaw!$B:$B,$A89,DeadRaw!Q:Q)</f>
        <v>0</v>
      </c>
      <c r="O89">
        <f>SUMIF(DeadRaw!$B:$B,$A89,DeadRaw!R:R)</f>
        <v>0</v>
      </c>
      <c r="P89">
        <f>SUMIF(DeadRaw!$B:$B,$A89,DeadRaw!S:S)</f>
        <v>0</v>
      </c>
      <c r="Q89">
        <f>SUMIF(DeadRaw!$B:$B,$A89,DeadRaw!T:T)</f>
        <v>0</v>
      </c>
      <c r="R89">
        <f>SUMIF(DeadRaw!$B:$B,$A89,DeadRaw!U:U)</f>
        <v>0</v>
      </c>
      <c r="S89">
        <f>SUMIF(DeadRaw!$B:$B,$A89,DeadRaw!V:V)</f>
        <v>0</v>
      </c>
      <c r="T89">
        <f>SUMIF(DeadRaw!$B:$B,$A89,DeadRaw!W:W)</f>
        <v>0</v>
      </c>
      <c r="U89">
        <f>SUMIF(DeadRaw!$B:$B,$A89,DeadRaw!X:X)</f>
        <v>0</v>
      </c>
      <c r="V89">
        <f>SUMIF(DeadRaw!$B:$B,$A89,DeadRaw!Y:Y)</f>
        <v>0</v>
      </c>
      <c r="W89">
        <f>SUMIF(DeadRaw!$B:$B,$A89,DeadRaw!Z:Z)</f>
        <v>0</v>
      </c>
      <c r="X89">
        <f>SUMIF(DeadRaw!$B:$B,$A89,DeadRaw!AA:AA)</f>
        <v>0</v>
      </c>
      <c r="Y89">
        <f>SUMIF(DeadRaw!$B:$B,$A89,DeadRaw!AB:AB)</f>
        <v>0</v>
      </c>
      <c r="Z89">
        <f>SUMIF(DeadRaw!$B:$B,$A89,DeadRaw!AC:AC)</f>
        <v>0</v>
      </c>
      <c r="AA89">
        <f>SUMIF(DeadRaw!$B:$B,$A89,DeadRaw!AD:AD)</f>
        <v>0</v>
      </c>
      <c r="AB89">
        <f>SUMIF(DeadRaw!$B:$B,$A89,DeadRaw!AE:AE)</f>
        <v>0</v>
      </c>
      <c r="AC89">
        <f>SUMIF(DeadRaw!$B:$B,$A89,DeadRaw!AF:AF)</f>
        <v>0</v>
      </c>
      <c r="AD89">
        <f>SUMIF(DeadRaw!$B:$B,$A89,DeadRaw!AG:AG)</f>
        <v>0</v>
      </c>
      <c r="AE89">
        <f>SUMIF(DeadRaw!$B:$B,$A89,DeadRaw!AH:AH)</f>
        <v>0</v>
      </c>
      <c r="AF89">
        <f>SUMIF(DeadRaw!$B:$B,$A89,DeadRaw!AI:AI)</f>
        <v>0</v>
      </c>
      <c r="AG89">
        <f>SUMIF(DeadRaw!$B:$B,$A89,DeadRaw!AJ:AJ)</f>
        <v>0</v>
      </c>
      <c r="AH89">
        <f>SUMIF(DeadRaw!$B:$B,$A89,DeadRaw!AK:AK)</f>
        <v>0</v>
      </c>
      <c r="AI89">
        <f>SUMIF(DeadRaw!$B:$B,$A89,DeadRaw!AL:AL)</f>
        <v>0</v>
      </c>
      <c r="AJ89">
        <f>SUMIF(DeadRaw!$B:$B,$A89,DeadRaw!AM:AM)</f>
        <v>0</v>
      </c>
      <c r="AK89">
        <f>SUMIF(DeadRaw!$B:$B,$A89,DeadRaw!AN:AN)</f>
        <v>0</v>
      </c>
      <c r="AL89">
        <f>SUMIF(DeadRaw!$B:$B,$A89,DeadRaw!AO:AO)</f>
        <v>0</v>
      </c>
      <c r="AM89">
        <f>SUMIF(DeadRaw!$B:$B,$A89,DeadRaw!AP:AP)</f>
        <v>0</v>
      </c>
      <c r="AN89">
        <f>SUMIF(DeadRaw!$B:$B,$A89,DeadRaw!AQ:AQ)</f>
        <v>0</v>
      </c>
      <c r="AO89">
        <f>SUMIF(DeadRaw!$B:$B,$A89,DeadRaw!AR:AR)</f>
        <v>0</v>
      </c>
      <c r="AP89">
        <f>SUMIF(DeadRaw!$B:$B,$A89,DeadRaw!AS:AS)</f>
        <v>0</v>
      </c>
      <c r="AQ89">
        <f>SUMIF(DeadRaw!$B:$B,$A89,DeadRaw!AT:AT)</f>
        <v>0</v>
      </c>
      <c r="AR89">
        <f>SUMIF(DeadRaw!$B:$B,$A89,DeadRaw!AU:AU)</f>
        <v>0</v>
      </c>
      <c r="AS89">
        <f>SUMIF(DeadRaw!$B:$B,$A89,DeadRaw!AV:AV)</f>
        <v>0</v>
      </c>
      <c r="AT89">
        <f>SUMIF(DeadRaw!$B:$B,$A89,DeadRaw!AW:AW)</f>
        <v>0</v>
      </c>
      <c r="AU89">
        <f>SUMIF(DeadRaw!$B:$B,$A89,DeadRaw!AX:AX)</f>
        <v>0</v>
      </c>
      <c r="AV89">
        <f>SUMIF(DeadRaw!$B:$B,$A89,DeadRaw!AY:AY)</f>
        <v>0</v>
      </c>
      <c r="AW89">
        <f>SUMIF(DeadRaw!$B:$B,$A89,DeadRaw!AZ:AZ)</f>
        <v>0</v>
      </c>
      <c r="AX89">
        <f>SUMIF(DeadRaw!$B:$B,$A89,DeadRaw!BA:BA)</f>
        <v>0</v>
      </c>
      <c r="AY89">
        <f>SUMIF(DeadRaw!$B:$B,$A89,DeadRaw!BB:BB)</f>
        <v>0</v>
      </c>
      <c r="AZ89">
        <f>SUMIF(DeadRaw!$B:$B,$A89,DeadRaw!BC:BC)</f>
        <v>0</v>
      </c>
      <c r="BA89">
        <f>SUMIF(DeadRaw!$B:$B,$A89,DeadRaw!BD:BD)</f>
        <v>0</v>
      </c>
      <c r="BB89">
        <f>SUMIF(DeadRaw!$B:$B,$A89,DeadRaw!BE:BE)</f>
        <v>0</v>
      </c>
      <c r="BC89">
        <f>SUMIF(DeadRaw!$B:$B,$A89,DeadRaw!BF:BF)</f>
        <v>0</v>
      </c>
      <c r="BD89">
        <f>SUMIF(DeadRaw!$B:$B,$A89,DeadRaw!BG:BG)</f>
        <v>0</v>
      </c>
      <c r="BE89">
        <f>SUMIF(DeadRaw!$B:$B,$A89,DeadRaw!BH:BH)</f>
        <v>0</v>
      </c>
      <c r="BF89">
        <f>SUMIF(DeadRaw!$B:$B,$A89,DeadRaw!BI:BI)</f>
        <v>0</v>
      </c>
      <c r="BG89">
        <f>SUMIF(DeadRaw!$B:$B,$A89,DeadRaw!BJ:BJ)</f>
        <v>0</v>
      </c>
      <c r="BH89">
        <f>SUMIF(DeadRaw!$B:$B,$A89,DeadRaw!BK:BK)</f>
        <v>0</v>
      </c>
      <c r="BI89">
        <f>SUMIF(DeadRaw!$B:$B,$A89,DeadRaw!BL:BL)</f>
        <v>0</v>
      </c>
      <c r="BJ89">
        <f>SUMIF(DeadRaw!$B:$B,$A89,DeadRaw!BM:BM)</f>
        <v>0</v>
      </c>
      <c r="BK89">
        <f>SUMIF(DeadRaw!$B:$B,$A89,DeadRaw!BN:BN)</f>
        <v>0</v>
      </c>
      <c r="BL89">
        <f>SUMIF(DeadRaw!$B:$B,$A89,DeadRaw!BO:BO)</f>
        <v>0</v>
      </c>
      <c r="BM89">
        <f>SUMIF(DeadRaw!$B:$B,$A89,DeadRaw!BP:BP)</f>
        <v>0</v>
      </c>
      <c r="BN89">
        <f>SUMIF(DeadRaw!$B:$B,$A89,DeadRaw!BQ:BQ)</f>
        <v>0</v>
      </c>
      <c r="BO89">
        <f>SUMIF(DeadRaw!$B:$B,$A89,DeadRaw!BR:BR)</f>
        <v>0</v>
      </c>
      <c r="BP89">
        <f>SUMIF(DeadRaw!$B:$B,$A89,DeadRaw!BS:BS)</f>
        <v>0</v>
      </c>
      <c r="BQ89">
        <f>SUMIF(DeadRaw!$B:$B,$A89,DeadRaw!BT:BT)</f>
        <v>0</v>
      </c>
      <c r="BR89">
        <f>SUMIF(DeadRaw!$B:$B,$A89,DeadRaw!BU:BU)</f>
        <v>0</v>
      </c>
      <c r="BS89">
        <f>SUMIF(DeadRaw!$B:$B,$A89,DeadRaw!BV:BV)</f>
        <v>0</v>
      </c>
      <c r="BT89">
        <f>SUMIF(DeadRaw!$B:$B,$A89,DeadRaw!BW:BW)</f>
        <v>0</v>
      </c>
    </row>
    <row r="90" spans="1:72" ht="15" thickBot="1" x14ac:dyDescent="0.35">
      <c r="A90" s="3" t="s">
        <v>52</v>
      </c>
      <c r="B90">
        <f>SUMIF(DeadRaw!$B:$B,$A90,DeadRaw!E:E)</f>
        <v>0</v>
      </c>
      <c r="C90">
        <f>SUMIF(DeadRaw!$B:$B,$A90,DeadRaw!F:F)</f>
        <v>0</v>
      </c>
      <c r="D90">
        <f>SUMIF(DeadRaw!$B:$B,$A90,DeadRaw!G:G)</f>
        <v>0</v>
      </c>
      <c r="E90">
        <f>SUMIF(DeadRaw!$B:$B,$A90,DeadRaw!H:H)</f>
        <v>0</v>
      </c>
      <c r="F90">
        <f>SUMIF(DeadRaw!$B:$B,$A90,DeadRaw!I:I)</f>
        <v>0</v>
      </c>
      <c r="G90">
        <f>SUMIF(DeadRaw!$B:$B,$A90,DeadRaw!J:J)</f>
        <v>0</v>
      </c>
      <c r="H90">
        <f>SUMIF(DeadRaw!$B:$B,$A90,DeadRaw!K:K)</f>
        <v>0</v>
      </c>
      <c r="I90">
        <f>SUMIF(DeadRaw!$B:$B,$A90,DeadRaw!L:L)</f>
        <v>0</v>
      </c>
      <c r="J90">
        <f>SUMIF(DeadRaw!$B:$B,$A90,DeadRaw!M:M)</f>
        <v>0</v>
      </c>
      <c r="K90">
        <f>SUMIF(DeadRaw!$B:$B,$A90,DeadRaw!N:N)</f>
        <v>0</v>
      </c>
      <c r="L90">
        <f>SUMIF(DeadRaw!$B:$B,$A90,DeadRaw!O:O)</f>
        <v>0</v>
      </c>
      <c r="M90">
        <f>SUMIF(DeadRaw!$B:$B,$A90,DeadRaw!P:P)</f>
        <v>0</v>
      </c>
      <c r="N90">
        <f>SUMIF(DeadRaw!$B:$B,$A90,DeadRaw!Q:Q)</f>
        <v>0</v>
      </c>
      <c r="O90">
        <f>SUMIF(DeadRaw!$B:$B,$A90,DeadRaw!R:R)</f>
        <v>0</v>
      </c>
      <c r="P90">
        <f>SUMIF(DeadRaw!$B:$B,$A90,DeadRaw!S:S)</f>
        <v>0</v>
      </c>
      <c r="Q90">
        <f>SUMIF(DeadRaw!$B:$B,$A90,DeadRaw!T:T)</f>
        <v>0</v>
      </c>
      <c r="R90">
        <f>SUMIF(DeadRaw!$B:$B,$A90,DeadRaw!U:U)</f>
        <v>0</v>
      </c>
      <c r="S90">
        <f>SUMIF(DeadRaw!$B:$B,$A90,DeadRaw!V:V)</f>
        <v>0</v>
      </c>
      <c r="T90">
        <f>SUMIF(DeadRaw!$B:$B,$A90,DeadRaw!W:W)</f>
        <v>0</v>
      </c>
      <c r="U90">
        <f>SUMIF(DeadRaw!$B:$B,$A90,DeadRaw!X:X)</f>
        <v>0</v>
      </c>
      <c r="V90">
        <f>SUMIF(DeadRaw!$B:$B,$A90,DeadRaw!Y:Y)</f>
        <v>0</v>
      </c>
      <c r="W90">
        <f>SUMIF(DeadRaw!$B:$B,$A90,DeadRaw!Z:Z)</f>
        <v>0</v>
      </c>
      <c r="X90">
        <f>SUMIF(DeadRaw!$B:$B,$A90,DeadRaw!AA:AA)</f>
        <v>0</v>
      </c>
      <c r="Y90">
        <f>SUMIF(DeadRaw!$B:$B,$A90,DeadRaw!AB:AB)</f>
        <v>0</v>
      </c>
      <c r="Z90">
        <f>SUMIF(DeadRaw!$B:$B,$A90,DeadRaw!AC:AC)</f>
        <v>0</v>
      </c>
      <c r="AA90">
        <f>SUMIF(DeadRaw!$B:$B,$A90,DeadRaw!AD:AD)</f>
        <v>0</v>
      </c>
      <c r="AB90">
        <f>SUMIF(DeadRaw!$B:$B,$A90,DeadRaw!AE:AE)</f>
        <v>0</v>
      </c>
      <c r="AC90">
        <f>SUMIF(DeadRaw!$B:$B,$A90,DeadRaw!AF:AF)</f>
        <v>0</v>
      </c>
      <c r="AD90">
        <f>SUMIF(DeadRaw!$B:$B,$A90,DeadRaw!AG:AG)</f>
        <v>0</v>
      </c>
      <c r="AE90">
        <f>SUMIF(DeadRaw!$B:$B,$A90,DeadRaw!AH:AH)</f>
        <v>0</v>
      </c>
      <c r="AF90">
        <f>SUMIF(DeadRaw!$B:$B,$A90,DeadRaw!AI:AI)</f>
        <v>0</v>
      </c>
      <c r="AG90">
        <f>SUMIF(DeadRaw!$B:$B,$A90,DeadRaw!AJ:AJ)</f>
        <v>0</v>
      </c>
      <c r="AH90">
        <f>SUMIF(DeadRaw!$B:$B,$A90,DeadRaw!AK:AK)</f>
        <v>0</v>
      </c>
      <c r="AI90">
        <f>SUMIF(DeadRaw!$B:$B,$A90,DeadRaw!AL:AL)</f>
        <v>0</v>
      </c>
      <c r="AJ90">
        <f>SUMIF(DeadRaw!$B:$B,$A90,DeadRaw!AM:AM)</f>
        <v>0</v>
      </c>
      <c r="AK90">
        <f>SUMIF(DeadRaw!$B:$B,$A90,DeadRaw!AN:AN)</f>
        <v>0</v>
      </c>
      <c r="AL90">
        <f>SUMIF(DeadRaw!$B:$B,$A90,DeadRaw!AO:AO)</f>
        <v>0</v>
      </c>
      <c r="AM90">
        <f>SUMIF(DeadRaw!$B:$B,$A90,DeadRaw!AP:AP)</f>
        <v>0</v>
      </c>
      <c r="AN90">
        <f>SUMIF(DeadRaw!$B:$B,$A90,DeadRaw!AQ:AQ)</f>
        <v>0</v>
      </c>
      <c r="AO90">
        <f>SUMIF(DeadRaw!$B:$B,$A90,DeadRaw!AR:AR)</f>
        <v>0</v>
      </c>
      <c r="AP90">
        <f>SUMIF(DeadRaw!$B:$B,$A90,DeadRaw!AS:AS)</f>
        <v>0</v>
      </c>
      <c r="AQ90">
        <f>SUMIF(DeadRaw!$B:$B,$A90,DeadRaw!AT:AT)</f>
        <v>0</v>
      </c>
      <c r="AR90">
        <f>SUMIF(DeadRaw!$B:$B,$A90,DeadRaw!AU:AU)</f>
        <v>0</v>
      </c>
      <c r="AS90">
        <f>SUMIF(DeadRaw!$B:$B,$A90,DeadRaw!AV:AV)</f>
        <v>0</v>
      </c>
      <c r="AT90">
        <f>SUMIF(DeadRaw!$B:$B,$A90,DeadRaw!AW:AW)</f>
        <v>0</v>
      </c>
      <c r="AU90">
        <f>SUMIF(DeadRaw!$B:$B,$A90,DeadRaw!AX:AX)</f>
        <v>0</v>
      </c>
      <c r="AV90">
        <f>SUMIF(DeadRaw!$B:$B,$A90,DeadRaw!AY:AY)</f>
        <v>0</v>
      </c>
      <c r="AW90">
        <f>SUMIF(DeadRaw!$B:$B,$A90,DeadRaw!AZ:AZ)</f>
        <v>0</v>
      </c>
      <c r="AX90">
        <f>SUMIF(DeadRaw!$B:$B,$A90,DeadRaw!BA:BA)</f>
        <v>0</v>
      </c>
      <c r="AY90">
        <f>SUMIF(DeadRaw!$B:$B,$A90,DeadRaw!BB:BB)</f>
        <v>0</v>
      </c>
      <c r="AZ90">
        <f>SUMIF(DeadRaw!$B:$B,$A90,DeadRaw!BC:BC)</f>
        <v>0</v>
      </c>
      <c r="BA90">
        <f>SUMIF(DeadRaw!$B:$B,$A90,DeadRaw!BD:BD)</f>
        <v>0</v>
      </c>
      <c r="BB90">
        <f>SUMIF(DeadRaw!$B:$B,$A90,DeadRaw!BE:BE)</f>
        <v>0</v>
      </c>
      <c r="BC90">
        <f>SUMIF(DeadRaw!$B:$B,$A90,DeadRaw!BF:BF)</f>
        <v>0</v>
      </c>
      <c r="BD90">
        <f>SUMIF(DeadRaw!$B:$B,$A90,DeadRaw!BG:BG)</f>
        <v>0</v>
      </c>
      <c r="BE90">
        <f>SUMIF(DeadRaw!$B:$B,$A90,DeadRaw!BH:BH)</f>
        <v>0</v>
      </c>
      <c r="BF90">
        <f>SUMIF(DeadRaw!$B:$B,$A90,DeadRaw!BI:BI)</f>
        <v>0</v>
      </c>
      <c r="BG90">
        <f>SUMIF(DeadRaw!$B:$B,$A90,DeadRaw!BJ:BJ)</f>
        <v>0</v>
      </c>
      <c r="BH90">
        <f>SUMIF(DeadRaw!$B:$B,$A90,DeadRaw!BK:BK)</f>
        <v>0</v>
      </c>
      <c r="BI90">
        <f>SUMIF(DeadRaw!$B:$B,$A90,DeadRaw!BL:BL)</f>
        <v>0</v>
      </c>
      <c r="BJ90">
        <f>SUMIF(DeadRaw!$B:$B,$A90,DeadRaw!BM:BM)</f>
        <v>0</v>
      </c>
      <c r="BK90">
        <f>SUMIF(DeadRaw!$B:$B,$A90,DeadRaw!BN:BN)</f>
        <v>0</v>
      </c>
      <c r="BL90">
        <f>SUMIF(DeadRaw!$B:$B,$A90,DeadRaw!BO:BO)</f>
        <v>0</v>
      </c>
      <c r="BM90">
        <f>SUMIF(DeadRaw!$B:$B,$A90,DeadRaw!BP:BP)</f>
        <v>0</v>
      </c>
      <c r="BN90">
        <f>SUMIF(DeadRaw!$B:$B,$A90,DeadRaw!BQ:BQ)</f>
        <v>0</v>
      </c>
      <c r="BO90">
        <f>SUMIF(DeadRaw!$B:$B,$A90,DeadRaw!BR:BR)</f>
        <v>0</v>
      </c>
      <c r="BP90">
        <f>SUMIF(DeadRaw!$B:$B,$A90,DeadRaw!BS:BS)</f>
        <v>0</v>
      </c>
      <c r="BQ90">
        <f>SUMIF(DeadRaw!$B:$B,$A90,DeadRaw!BT:BT)</f>
        <v>0</v>
      </c>
      <c r="BR90">
        <f>SUMIF(DeadRaw!$B:$B,$A90,DeadRaw!BU:BU)</f>
        <v>0</v>
      </c>
      <c r="BS90">
        <f>SUMIF(DeadRaw!$B:$B,$A90,DeadRaw!BV:BV)</f>
        <v>0</v>
      </c>
      <c r="BT90">
        <f>SUMIF(DeadRaw!$B:$B,$A90,DeadRaw!BW:BW)</f>
        <v>0</v>
      </c>
    </row>
    <row r="91" spans="1:72" ht="15" thickBot="1" x14ac:dyDescent="0.35">
      <c r="A91" s="4" t="s">
        <v>51</v>
      </c>
      <c r="B91">
        <f>SUMIF(DeadRaw!$B:$B,$A91,DeadRaw!E:E)</f>
        <v>0</v>
      </c>
      <c r="C91">
        <f>SUMIF(DeadRaw!$B:$B,$A91,DeadRaw!F:F)</f>
        <v>0</v>
      </c>
      <c r="D91">
        <f>SUMIF(DeadRaw!$B:$B,$A91,DeadRaw!G:G)</f>
        <v>0</v>
      </c>
      <c r="E91">
        <f>SUMIF(DeadRaw!$B:$B,$A91,DeadRaw!H:H)</f>
        <v>0</v>
      </c>
      <c r="F91">
        <f>SUMIF(DeadRaw!$B:$B,$A91,DeadRaw!I:I)</f>
        <v>0</v>
      </c>
      <c r="G91">
        <f>SUMIF(DeadRaw!$B:$B,$A91,DeadRaw!J:J)</f>
        <v>0</v>
      </c>
      <c r="H91">
        <f>SUMIF(DeadRaw!$B:$B,$A91,DeadRaw!K:K)</f>
        <v>0</v>
      </c>
      <c r="I91">
        <f>SUMIF(DeadRaw!$B:$B,$A91,DeadRaw!L:L)</f>
        <v>0</v>
      </c>
      <c r="J91">
        <f>SUMIF(DeadRaw!$B:$B,$A91,DeadRaw!M:M)</f>
        <v>0</v>
      </c>
      <c r="K91">
        <f>SUMIF(DeadRaw!$B:$B,$A91,DeadRaw!N:N)</f>
        <v>0</v>
      </c>
      <c r="L91">
        <f>SUMIF(DeadRaw!$B:$B,$A91,DeadRaw!O:O)</f>
        <v>0</v>
      </c>
      <c r="M91">
        <f>SUMIF(DeadRaw!$B:$B,$A91,DeadRaw!P:P)</f>
        <v>0</v>
      </c>
      <c r="N91">
        <f>SUMIF(DeadRaw!$B:$B,$A91,DeadRaw!Q:Q)</f>
        <v>0</v>
      </c>
      <c r="O91">
        <f>SUMIF(DeadRaw!$B:$B,$A91,DeadRaw!R:R)</f>
        <v>0</v>
      </c>
      <c r="P91">
        <f>SUMIF(DeadRaw!$B:$B,$A91,DeadRaw!S:S)</f>
        <v>0</v>
      </c>
      <c r="Q91">
        <f>SUMIF(DeadRaw!$B:$B,$A91,DeadRaw!T:T)</f>
        <v>0</v>
      </c>
      <c r="R91">
        <f>SUMIF(DeadRaw!$B:$B,$A91,DeadRaw!U:U)</f>
        <v>0</v>
      </c>
      <c r="S91">
        <f>SUMIF(DeadRaw!$B:$B,$A91,DeadRaw!V:V)</f>
        <v>0</v>
      </c>
      <c r="T91">
        <f>SUMIF(DeadRaw!$B:$B,$A91,DeadRaw!W:W)</f>
        <v>0</v>
      </c>
      <c r="U91">
        <f>SUMIF(DeadRaw!$B:$B,$A91,DeadRaw!X:X)</f>
        <v>0</v>
      </c>
      <c r="V91">
        <f>SUMIF(DeadRaw!$B:$B,$A91,DeadRaw!Y:Y)</f>
        <v>0</v>
      </c>
      <c r="W91">
        <f>SUMIF(DeadRaw!$B:$B,$A91,DeadRaw!Z:Z)</f>
        <v>0</v>
      </c>
      <c r="X91">
        <f>SUMIF(DeadRaw!$B:$B,$A91,DeadRaw!AA:AA)</f>
        <v>0</v>
      </c>
      <c r="Y91">
        <f>SUMIF(DeadRaw!$B:$B,$A91,DeadRaw!AB:AB)</f>
        <v>0</v>
      </c>
      <c r="Z91">
        <f>SUMIF(DeadRaw!$B:$B,$A91,DeadRaw!AC:AC)</f>
        <v>0</v>
      </c>
      <c r="AA91">
        <f>SUMIF(DeadRaw!$B:$B,$A91,DeadRaw!AD:AD)</f>
        <v>0</v>
      </c>
      <c r="AB91">
        <f>SUMIF(DeadRaw!$B:$B,$A91,DeadRaw!AE:AE)</f>
        <v>0</v>
      </c>
      <c r="AC91">
        <f>SUMIF(DeadRaw!$B:$B,$A91,DeadRaw!AF:AF)</f>
        <v>0</v>
      </c>
      <c r="AD91">
        <f>SUMIF(DeadRaw!$B:$B,$A91,DeadRaw!AG:AG)</f>
        <v>0</v>
      </c>
      <c r="AE91">
        <f>SUMIF(DeadRaw!$B:$B,$A91,DeadRaw!AH:AH)</f>
        <v>0</v>
      </c>
      <c r="AF91">
        <f>SUMIF(DeadRaw!$B:$B,$A91,DeadRaw!AI:AI)</f>
        <v>0</v>
      </c>
      <c r="AG91">
        <f>SUMIF(DeadRaw!$B:$B,$A91,DeadRaw!AJ:AJ)</f>
        <v>0</v>
      </c>
      <c r="AH91">
        <f>SUMIF(DeadRaw!$B:$B,$A91,DeadRaw!AK:AK)</f>
        <v>0</v>
      </c>
      <c r="AI91">
        <f>SUMIF(DeadRaw!$B:$B,$A91,DeadRaw!AL:AL)</f>
        <v>0</v>
      </c>
      <c r="AJ91">
        <f>SUMIF(DeadRaw!$B:$B,$A91,DeadRaw!AM:AM)</f>
        <v>0</v>
      </c>
      <c r="AK91">
        <f>SUMIF(DeadRaw!$B:$B,$A91,DeadRaw!AN:AN)</f>
        <v>0</v>
      </c>
      <c r="AL91">
        <f>SUMIF(DeadRaw!$B:$B,$A91,DeadRaw!AO:AO)</f>
        <v>0</v>
      </c>
      <c r="AM91">
        <f>SUMIF(DeadRaw!$B:$B,$A91,DeadRaw!AP:AP)</f>
        <v>0</v>
      </c>
      <c r="AN91">
        <f>SUMIF(DeadRaw!$B:$B,$A91,DeadRaw!AQ:AQ)</f>
        <v>0</v>
      </c>
      <c r="AO91">
        <f>SUMIF(DeadRaw!$B:$B,$A91,DeadRaw!AR:AR)</f>
        <v>0</v>
      </c>
      <c r="AP91">
        <f>SUMIF(DeadRaw!$B:$B,$A91,DeadRaw!AS:AS)</f>
        <v>0</v>
      </c>
      <c r="AQ91">
        <f>SUMIF(DeadRaw!$B:$B,$A91,DeadRaw!AT:AT)</f>
        <v>0</v>
      </c>
      <c r="AR91">
        <f>SUMIF(DeadRaw!$B:$B,$A91,DeadRaw!AU:AU)</f>
        <v>0</v>
      </c>
      <c r="AS91">
        <f>SUMIF(DeadRaw!$B:$B,$A91,DeadRaw!AV:AV)</f>
        <v>0</v>
      </c>
      <c r="AT91">
        <f>SUMIF(DeadRaw!$B:$B,$A91,DeadRaw!AW:AW)</f>
        <v>0</v>
      </c>
      <c r="AU91">
        <f>SUMIF(DeadRaw!$B:$B,$A91,DeadRaw!AX:AX)</f>
        <v>0</v>
      </c>
      <c r="AV91">
        <f>SUMIF(DeadRaw!$B:$B,$A91,DeadRaw!AY:AY)</f>
        <v>0</v>
      </c>
      <c r="AW91">
        <f>SUMIF(DeadRaw!$B:$B,$A91,DeadRaw!AZ:AZ)</f>
        <v>0</v>
      </c>
      <c r="AX91">
        <f>SUMIF(DeadRaw!$B:$B,$A91,DeadRaw!BA:BA)</f>
        <v>0</v>
      </c>
      <c r="AY91">
        <f>SUMIF(DeadRaw!$B:$B,$A91,DeadRaw!BB:BB)</f>
        <v>0</v>
      </c>
      <c r="AZ91">
        <f>SUMIF(DeadRaw!$B:$B,$A91,DeadRaw!BC:BC)</f>
        <v>0</v>
      </c>
      <c r="BA91">
        <f>SUMIF(DeadRaw!$B:$B,$A91,DeadRaw!BD:BD)</f>
        <v>0</v>
      </c>
      <c r="BB91">
        <f>SUMIF(DeadRaw!$B:$B,$A91,DeadRaw!BE:BE)</f>
        <v>0</v>
      </c>
      <c r="BC91">
        <f>SUMIF(DeadRaw!$B:$B,$A91,DeadRaw!BF:BF)</f>
        <v>0</v>
      </c>
      <c r="BD91">
        <f>SUMIF(DeadRaw!$B:$B,$A91,DeadRaw!BG:BG)</f>
        <v>0</v>
      </c>
      <c r="BE91">
        <f>SUMIF(DeadRaw!$B:$B,$A91,DeadRaw!BH:BH)</f>
        <v>0</v>
      </c>
      <c r="BF91">
        <f>SUMIF(DeadRaw!$B:$B,$A91,DeadRaw!BI:BI)</f>
        <v>0</v>
      </c>
      <c r="BG91">
        <f>SUMIF(DeadRaw!$B:$B,$A91,DeadRaw!BJ:BJ)</f>
        <v>0</v>
      </c>
      <c r="BH91">
        <f>SUMIF(DeadRaw!$B:$B,$A91,DeadRaw!BK:BK)</f>
        <v>0</v>
      </c>
      <c r="BI91">
        <f>SUMIF(DeadRaw!$B:$B,$A91,DeadRaw!BL:BL)</f>
        <v>0</v>
      </c>
      <c r="BJ91">
        <f>SUMIF(DeadRaw!$B:$B,$A91,DeadRaw!BM:BM)</f>
        <v>0</v>
      </c>
      <c r="BK91">
        <f>SUMIF(DeadRaw!$B:$B,$A91,DeadRaw!BN:BN)</f>
        <v>0</v>
      </c>
      <c r="BL91">
        <f>SUMIF(DeadRaw!$B:$B,$A91,DeadRaw!BO:BO)</f>
        <v>0</v>
      </c>
      <c r="BM91">
        <f>SUMIF(DeadRaw!$B:$B,$A91,DeadRaw!BP:BP)</f>
        <v>0</v>
      </c>
      <c r="BN91">
        <f>SUMIF(DeadRaw!$B:$B,$A91,DeadRaw!BQ:BQ)</f>
        <v>0</v>
      </c>
      <c r="BO91">
        <f>SUMIF(DeadRaw!$B:$B,$A91,DeadRaw!BR:BR)</f>
        <v>0</v>
      </c>
      <c r="BP91">
        <f>SUMIF(DeadRaw!$B:$B,$A91,DeadRaw!BS:BS)</f>
        <v>0</v>
      </c>
      <c r="BQ91">
        <f>SUMIF(DeadRaw!$B:$B,$A91,DeadRaw!BT:BT)</f>
        <v>0</v>
      </c>
      <c r="BR91">
        <f>SUMIF(DeadRaw!$B:$B,$A91,DeadRaw!BU:BU)</f>
        <v>0</v>
      </c>
      <c r="BS91">
        <f>SUMIF(DeadRaw!$B:$B,$A91,DeadRaw!BV:BV)</f>
        <v>0</v>
      </c>
      <c r="BT91">
        <f>SUMIF(DeadRaw!$B:$B,$A91,DeadRaw!BW:BW)</f>
        <v>0</v>
      </c>
    </row>
    <row r="92" spans="1:72" ht="15" thickBot="1" x14ac:dyDescent="0.35">
      <c r="A92" s="3" t="s">
        <v>106</v>
      </c>
      <c r="B92">
        <f>SUMIF(DeadRaw!$B:$B,$A92,DeadRaw!E:E)</f>
        <v>0</v>
      </c>
      <c r="C92">
        <f>SUMIF(DeadRaw!$B:$B,$A92,DeadRaw!F:F)</f>
        <v>0</v>
      </c>
      <c r="D92">
        <f>SUMIF(DeadRaw!$B:$B,$A92,DeadRaw!G:G)</f>
        <v>0</v>
      </c>
      <c r="E92">
        <f>SUMIF(DeadRaw!$B:$B,$A92,DeadRaw!H:H)</f>
        <v>0</v>
      </c>
      <c r="F92">
        <f>SUMIF(DeadRaw!$B:$B,$A92,DeadRaw!I:I)</f>
        <v>0</v>
      </c>
      <c r="G92">
        <f>SUMIF(DeadRaw!$B:$B,$A92,DeadRaw!J:J)</f>
        <v>0</v>
      </c>
      <c r="H92">
        <f>SUMIF(DeadRaw!$B:$B,$A92,DeadRaw!K:K)</f>
        <v>0</v>
      </c>
      <c r="I92">
        <f>SUMIF(DeadRaw!$B:$B,$A92,DeadRaw!L:L)</f>
        <v>0</v>
      </c>
      <c r="J92">
        <f>SUMIF(DeadRaw!$B:$B,$A92,DeadRaw!M:M)</f>
        <v>0</v>
      </c>
      <c r="K92">
        <f>SUMIF(DeadRaw!$B:$B,$A92,DeadRaw!N:N)</f>
        <v>0</v>
      </c>
      <c r="L92">
        <f>SUMIF(DeadRaw!$B:$B,$A92,DeadRaw!O:O)</f>
        <v>0</v>
      </c>
      <c r="M92">
        <f>SUMIF(DeadRaw!$B:$B,$A92,DeadRaw!P:P)</f>
        <v>0</v>
      </c>
      <c r="N92">
        <f>SUMIF(DeadRaw!$B:$B,$A92,DeadRaw!Q:Q)</f>
        <v>0</v>
      </c>
      <c r="O92">
        <f>SUMIF(DeadRaw!$B:$B,$A92,DeadRaw!R:R)</f>
        <v>0</v>
      </c>
      <c r="P92">
        <f>SUMIF(DeadRaw!$B:$B,$A92,DeadRaw!S:S)</f>
        <v>0</v>
      </c>
      <c r="Q92">
        <f>SUMIF(DeadRaw!$B:$B,$A92,DeadRaw!T:T)</f>
        <v>0</v>
      </c>
      <c r="R92">
        <f>SUMIF(DeadRaw!$B:$B,$A92,DeadRaw!U:U)</f>
        <v>0</v>
      </c>
      <c r="S92">
        <f>SUMIF(DeadRaw!$B:$B,$A92,DeadRaw!V:V)</f>
        <v>0</v>
      </c>
      <c r="T92">
        <f>SUMIF(DeadRaw!$B:$B,$A92,DeadRaw!W:W)</f>
        <v>0</v>
      </c>
      <c r="U92">
        <f>SUMIF(DeadRaw!$B:$B,$A92,DeadRaw!X:X)</f>
        <v>0</v>
      </c>
      <c r="V92">
        <f>SUMIF(DeadRaw!$B:$B,$A92,DeadRaw!Y:Y)</f>
        <v>0</v>
      </c>
      <c r="W92">
        <f>SUMIF(DeadRaw!$B:$B,$A92,DeadRaw!Z:Z)</f>
        <v>0</v>
      </c>
      <c r="X92">
        <f>SUMIF(DeadRaw!$B:$B,$A92,DeadRaw!AA:AA)</f>
        <v>0</v>
      </c>
      <c r="Y92">
        <f>SUMIF(DeadRaw!$B:$B,$A92,DeadRaw!AB:AB)</f>
        <v>0</v>
      </c>
      <c r="Z92">
        <f>SUMIF(DeadRaw!$B:$B,$A92,DeadRaw!AC:AC)</f>
        <v>0</v>
      </c>
      <c r="AA92">
        <f>SUMIF(DeadRaw!$B:$B,$A92,DeadRaw!AD:AD)</f>
        <v>0</v>
      </c>
      <c r="AB92">
        <f>SUMIF(DeadRaw!$B:$B,$A92,DeadRaw!AE:AE)</f>
        <v>0</v>
      </c>
      <c r="AC92">
        <f>SUMIF(DeadRaw!$B:$B,$A92,DeadRaw!AF:AF)</f>
        <v>0</v>
      </c>
      <c r="AD92">
        <f>SUMIF(DeadRaw!$B:$B,$A92,DeadRaw!AG:AG)</f>
        <v>0</v>
      </c>
      <c r="AE92">
        <f>SUMIF(DeadRaw!$B:$B,$A92,DeadRaw!AH:AH)</f>
        <v>0</v>
      </c>
      <c r="AF92">
        <f>SUMIF(DeadRaw!$B:$B,$A92,DeadRaw!AI:AI)</f>
        <v>0</v>
      </c>
      <c r="AG92">
        <f>SUMIF(DeadRaw!$B:$B,$A92,DeadRaw!AJ:AJ)</f>
        <v>0</v>
      </c>
      <c r="AH92">
        <f>SUMIF(DeadRaw!$B:$B,$A92,DeadRaw!AK:AK)</f>
        <v>0</v>
      </c>
      <c r="AI92">
        <f>SUMIF(DeadRaw!$B:$B,$A92,DeadRaw!AL:AL)</f>
        <v>0</v>
      </c>
      <c r="AJ92">
        <f>SUMIF(DeadRaw!$B:$B,$A92,DeadRaw!AM:AM)</f>
        <v>0</v>
      </c>
      <c r="AK92">
        <f>SUMIF(DeadRaw!$B:$B,$A92,DeadRaw!AN:AN)</f>
        <v>0</v>
      </c>
      <c r="AL92">
        <f>SUMIF(DeadRaw!$B:$B,$A92,DeadRaw!AO:AO)</f>
        <v>0</v>
      </c>
      <c r="AM92">
        <f>SUMIF(DeadRaw!$B:$B,$A92,DeadRaw!AP:AP)</f>
        <v>0</v>
      </c>
      <c r="AN92">
        <f>SUMIF(DeadRaw!$B:$B,$A92,DeadRaw!AQ:AQ)</f>
        <v>0</v>
      </c>
      <c r="AO92">
        <f>SUMIF(DeadRaw!$B:$B,$A92,DeadRaw!AR:AR)</f>
        <v>0</v>
      </c>
      <c r="AP92">
        <f>SUMIF(DeadRaw!$B:$B,$A92,DeadRaw!AS:AS)</f>
        <v>0</v>
      </c>
      <c r="AQ92">
        <f>SUMIF(DeadRaw!$B:$B,$A92,DeadRaw!AT:AT)</f>
        <v>0</v>
      </c>
      <c r="AR92">
        <f>SUMIF(DeadRaw!$B:$B,$A92,DeadRaw!AU:AU)</f>
        <v>0</v>
      </c>
      <c r="AS92">
        <f>SUMIF(DeadRaw!$B:$B,$A92,DeadRaw!AV:AV)</f>
        <v>0</v>
      </c>
      <c r="AT92">
        <f>SUMIF(DeadRaw!$B:$B,$A92,DeadRaw!AW:AW)</f>
        <v>0</v>
      </c>
      <c r="AU92">
        <f>SUMIF(DeadRaw!$B:$B,$A92,DeadRaw!AX:AX)</f>
        <v>0</v>
      </c>
      <c r="AV92">
        <f>SUMIF(DeadRaw!$B:$B,$A92,DeadRaw!AY:AY)</f>
        <v>0</v>
      </c>
      <c r="AW92">
        <f>SUMIF(DeadRaw!$B:$B,$A92,DeadRaw!AZ:AZ)</f>
        <v>0</v>
      </c>
      <c r="AX92">
        <f>SUMIF(DeadRaw!$B:$B,$A92,DeadRaw!BA:BA)</f>
        <v>0</v>
      </c>
      <c r="AY92">
        <f>SUMIF(DeadRaw!$B:$B,$A92,DeadRaw!BB:BB)</f>
        <v>0</v>
      </c>
      <c r="AZ92">
        <f>SUMIF(DeadRaw!$B:$B,$A92,DeadRaw!BC:BC)</f>
        <v>0</v>
      </c>
      <c r="BA92">
        <f>SUMIF(DeadRaw!$B:$B,$A92,DeadRaw!BD:BD)</f>
        <v>0</v>
      </c>
      <c r="BB92">
        <f>SUMIF(DeadRaw!$B:$B,$A92,DeadRaw!BE:BE)</f>
        <v>0</v>
      </c>
      <c r="BC92">
        <f>SUMIF(DeadRaw!$B:$B,$A92,DeadRaw!BF:BF)</f>
        <v>0</v>
      </c>
      <c r="BD92">
        <f>SUMIF(DeadRaw!$B:$B,$A92,DeadRaw!BG:BG)</f>
        <v>0</v>
      </c>
      <c r="BE92">
        <f>SUMIF(DeadRaw!$B:$B,$A92,DeadRaw!BH:BH)</f>
        <v>1</v>
      </c>
      <c r="BF92">
        <f>SUMIF(DeadRaw!$B:$B,$A92,DeadRaw!BI:BI)</f>
        <v>1</v>
      </c>
      <c r="BG92">
        <f>SUMIF(DeadRaw!$B:$B,$A92,DeadRaw!BJ:BJ)</f>
        <v>2</v>
      </c>
      <c r="BH92">
        <f>SUMIF(DeadRaw!$B:$B,$A92,DeadRaw!BK:BK)</f>
        <v>2</v>
      </c>
      <c r="BI92">
        <f>SUMIF(DeadRaw!$B:$B,$A92,DeadRaw!BL:BL)</f>
        <v>0</v>
      </c>
      <c r="BJ92">
        <f>SUMIF(DeadRaw!$B:$B,$A92,DeadRaw!BM:BM)</f>
        <v>0</v>
      </c>
      <c r="BK92">
        <f>SUMIF(DeadRaw!$B:$B,$A92,DeadRaw!BN:BN)</f>
        <v>0</v>
      </c>
      <c r="BL92">
        <f>SUMIF(DeadRaw!$B:$B,$A92,DeadRaw!BO:BO)</f>
        <v>0</v>
      </c>
      <c r="BM92">
        <f>SUMIF(DeadRaw!$B:$B,$A92,DeadRaw!BP:BP)</f>
        <v>0</v>
      </c>
      <c r="BN92">
        <f>SUMIF(DeadRaw!$B:$B,$A92,DeadRaw!BQ:BQ)</f>
        <v>0</v>
      </c>
      <c r="BO92">
        <f>SUMIF(DeadRaw!$B:$B,$A92,DeadRaw!BR:BR)</f>
        <v>0</v>
      </c>
      <c r="BP92">
        <f>SUMIF(DeadRaw!$B:$B,$A92,DeadRaw!BS:BS)</f>
        <v>0</v>
      </c>
      <c r="BQ92">
        <f>SUMIF(DeadRaw!$B:$B,$A92,DeadRaw!BT:BT)</f>
        <v>0</v>
      </c>
      <c r="BR92">
        <f>SUMIF(DeadRaw!$B:$B,$A92,DeadRaw!BU:BU)</f>
        <v>0</v>
      </c>
      <c r="BS92">
        <f>SUMIF(DeadRaw!$B:$B,$A92,DeadRaw!BV:BV)</f>
        <v>0</v>
      </c>
      <c r="BT92">
        <f>SUMIF(DeadRaw!$B:$B,$A92,DeadRaw!BW:BW)</f>
        <v>0</v>
      </c>
    </row>
    <row r="93" spans="1:72" ht="15" thickBot="1" x14ac:dyDescent="0.35">
      <c r="A93" s="4" t="s">
        <v>176</v>
      </c>
      <c r="B93">
        <f>SUMIF(DeadRaw!$B:$B,$A93,DeadRaw!E:E)</f>
        <v>0</v>
      </c>
      <c r="C93">
        <f>SUMIF(DeadRaw!$B:$B,$A93,DeadRaw!F:F)</f>
        <v>0</v>
      </c>
      <c r="D93">
        <f>SUMIF(DeadRaw!$B:$B,$A93,DeadRaw!G:G)</f>
        <v>0</v>
      </c>
      <c r="E93">
        <f>SUMIF(DeadRaw!$B:$B,$A93,DeadRaw!H:H)</f>
        <v>0</v>
      </c>
      <c r="F93">
        <f>SUMIF(DeadRaw!$B:$B,$A93,DeadRaw!I:I)</f>
        <v>0</v>
      </c>
      <c r="G93">
        <f>SUMIF(DeadRaw!$B:$B,$A93,DeadRaw!J:J)</f>
        <v>0</v>
      </c>
      <c r="H93">
        <f>SUMIF(DeadRaw!$B:$B,$A93,DeadRaw!K:K)</f>
        <v>0</v>
      </c>
      <c r="I93">
        <f>SUMIF(DeadRaw!$B:$B,$A93,DeadRaw!L:L)</f>
        <v>0</v>
      </c>
      <c r="J93">
        <f>SUMIF(DeadRaw!$B:$B,$A93,DeadRaw!M:M)</f>
        <v>0</v>
      </c>
      <c r="K93">
        <f>SUMIF(DeadRaw!$B:$B,$A93,DeadRaw!N:N)</f>
        <v>0</v>
      </c>
      <c r="L93">
        <f>SUMIF(DeadRaw!$B:$B,$A93,DeadRaw!O:O)</f>
        <v>0</v>
      </c>
      <c r="M93">
        <f>SUMIF(DeadRaw!$B:$B,$A93,DeadRaw!P:P)</f>
        <v>0</v>
      </c>
      <c r="N93">
        <f>SUMIF(DeadRaw!$B:$B,$A93,DeadRaw!Q:Q)</f>
        <v>0</v>
      </c>
      <c r="O93">
        <f>SUMIF(DeadRaw!$B:$B,$A93,DeadRaw!R:R)</f>
        <v>0</v>
      </c>
      <c r="P93">
        <f>SUMIF(DeadRaw!$B:$B,$A93,DeadRaw!S:S)</f>
        <v>0</v>
      </c>
      <c r="Q93">
        <f>SUMIF(DeadRaw!$B:$B,$A93,DeadRaw!T:T)</f>
        <v>0</v>
      </c>
      <c r="R93">
        <f>SUMIF(DeadRaw!$B:$B,$A93,DeadRaw!U:U)</f>
        <v>0</v>
      </c>
      <c r="S93">
        <f>SUMIF(DeadRaw!$B:$B,$A93,DeadRaw!V:V)</f>
        <v>0</v>
      </c>
      <c r="T93">
        <f>SUMIF(DeadRaw!$B:$B,$A93,DeadRaw!W:W)</f>
        <v>0</v>
      </c>
      <c r="U93">
        <f>SUMIF(DeadRaw!$B:$B,$A93,DeadRaw!X:X)</f>
        <v>0</v>
      </c>
      <c r="V93">
        <f>SUMIF(DeadRaw!$B:$B,$A93,DeadRaw!Y:Y)</f>
        <v>0</v>
      </c>
      <c r="W93">
        <f>SUMIF(DeadRaw!$B:$B,$A93,DeadRaw!Z:Z)</f>
        <v>0</v>
      </c>
      <c r="X93">
        <f>SUMIF(DeadRaw!$B:$B,$A93,DeadRaw!AA:AA)</f>
        <v>0</v>
      </c>
      <c r="Y93">
        <f>SUMIF(DeadRaw!$B:$B,$A93,DeadRaw!AB:AB)</f>
        <v>0</v>
      </c>
      <c r="Z93">
        <f>SUMIF(DeadRaw!$B:$B,$A93,DeadRaw!AC:AC)</f>
        <v>0</v>
      </c>
      <c r="AA93">
        <f>SUMIF(DeadRaw!$B:$B,$A93,DeadRaw!AD:AD)</f>
        <v>0</v>
      </c>
      <c r="AB93">
        <f>SUMIF(DeadRaw!$B:$B,$A93,DeadRaw!AE:AE)</f>
        <v>0</v>
      </c>
      <c r="AC93">
        <f>SUMIF(DeadRaw!$B:$B,$A93,DeadRaw!AF:AF)</f>
        <v>0</v>
      </c>
      <c r="AD93">
        <f>SUMIF(DeadRaw!$B:$B,$A93,DeadRaw!AG:AG)</f>
        <v>0</v>
      </c>
      <c r="AE93">
        <f>SUMIF(DeadRaw!$B:$B,$A93,DeadRaw!AH:AH)</f>
        <v>0</v>
      </c>
      <c r="AF93">
        <f>SUMIF(DeadRaw!$B:$B,$A93,DeadRaw!AI:AI)</f>
        <v>0</v>
      </c>
      <c r="AG93">
        <f>SUMIF(DeadRaw!$B:$B,$A93,DeadRaw!AJ:AJ)</f>
        <v>0</v>
      </c>
      <c r="AH93">
        <f>SUMIF(DeadRaw!$B:$B,$A93,DeadRaw!AK:AK)</f>
        <v>0</v>
      </c>
      <c r="AI93">
        <f>SUMIF(DeadRaw!$B:$B,$A93,DeadRaw!AL:AL)</f>
        <v>0</v>
      </c>
      <c r="AJ93">
        <f>SUMIF(DeadRaw!$B:$B,$A93,DeadRaw!AM:AM)</f>
        <v>0</v>
      </c>
      <c r="AK93">
        <f>SUMIF(DeadRaw!$B:$B,$A93,DeadRaw!AN:AN)</f>
        <v>0</v>
      </c>
      <c r="AL93">
        <f>SUMIF(DeadRaw!$B:$B,$A93,DeadRaw!AO:AO)</f>
        <v>0</v>
      </c>
      <c r="AM93">
        <f>SUMIF(DeadRaw!$B:$B,$A93,DeadRaw!AP:AP)</f>
        <v>0</v>
      </c>
      <c r="AN93">
        <f>SUMIF(DeadRaw!$B:$B,$A93,DeadRaw!AQ:AQ)</f>
        <v>0</v>
      </c>
      <c r="AO93">
        <f>SUMIF(DeadRaw!$B:$B,$A93,DeadRaw!AR:AR)</f>
        <v>0</v>
      </c>
      <c r="AP93">
        <f>SUMIF(DeadRaw!$B:$B,$A93,DeadRaw!AS:AS)</f>
        <v>0</v>
      </c>
      <c r="AQ93">
        <f>SUMIF(DeadRaw!$B:$B,$A93,DeadRaw!AT:AT)</f>
        <v>0</v>
      </c>
      <c r="AR93">
        <f>SUMIF(DeadRaw!$B:$B,$A93,DeadRaw!AU:AU)</f>
        <v>0</v>
      </c>
      <c r="AS93">
        <f>SUMIF(DeadRaw!$B:$B,$A93,DeadRaw!AV:AV)</f>
        <v>0</v>
      </c>
      <c r="AT93">
        <f>SUMIF(DeadRaw!$B:$B,$A93,DeadRaw!AW:AW)</f>
        <v>0</v>
      </c>
      <c r="AU93">
        <f>SUMIF(DeadRaw!$B:$B,$A93,DeadRaw!AX:AX)</f>
        <v>0</v>
      </c>
      <c r="AV93">
        <f>SUMIF(DeadRaw!$B:$B,$A93,DeadRaw!AY:AY)</f>
        <v>0</v>
      </c>
      <c r="AW93">
        <f>SUMIF(DeadRaw!$B:$B,$A93,DeadRaw!AZ:AZ)</f>
        <v>0</v>
      </c>
      <c r="AX93">
        <f>SUMIF(DeadRaw!$B:$B,$A93,DeadRaw!BA:BA)</f>
        <v>0</v>
      </c>
      <c r="AY93">
        <f>SUMIF(DeadRaw!$B:$B,$A93,DeadRaw!BB:BB)</f>
        <v>0</v>
      </c>
      <c r="AZ93">
        <f>SUMIF(DeadRaw!$B:$B,$A93,DeadRaw!BC:BC)</f>
        <v>0</v>
      </c>
      <c r="BA93">
        <f>SUMIF(DeadRaw!$B:$B,$A93,DeadRaw!BD:BD)</f>
        <v>0</v>
      </c>
      <c r="BB93">
        <f>SUMIF(DeadRaw!$B:$B,$A93,DeadRaw!BE:BE)</f>
        <v>0</v>
      </c>
      <c r="BC93">
        <f>SUMIF(DeadRaw!$B:$B,$A93,DeadRaw!BF:BF)</f>
        <v>0</v>
      </c>
      <c r="BD93">
        <f>SUMIF(DeadRaw!$B:$B,$A93,DeadRaw!BG:BG)</f>
        <v>0</v>
      </c>
      <c r="BE93">
        <f>SUMIF(DeadRaw!$B:$B,$A93,DeadRaw!BH:BH)</f>
        <v>0</v>
      </c>
      <c r="BF93">
        <f>SUMIF(DeadRaw!$B:$B,$A93,DeadRaw!BI:BI)</f>
        <v>0</v>
      </c>
      <c r="BG93">
        <f>SUMIF(DeadRaw!$B:$B,$A93,DeadRaw!BJ:BJ)</f>
        <v>0</v>
      </c>
      <c r="BH93">
        <f>SUMIF(DeadRaw!$B:$B,$A93,DeadRaw!BK:BK)</f>
        <v>0</v>
      </c>
      <c r="BI93">
        <f>SUMIF(DeadRaw!$B:$B,$A93,DeadRaw!BL:BL)</f>
        <v>0</v>
      </c>
      <c r="BJ93">
        <f>SUMIF(DeadRaw!$B:$B,$A93,DeadRaw!BM:BM)</f>
        <v>0</v>
      </c>
      <c r="BK93">
        <f>SUMIF(DeadRaw!$B:$B,$A93,DeadRaw!BN:BN)</f>
        <v>0</v>
      </c>
      <c r="BL93">
        <f>SUMIF(DeadRaw!$B:$B,$A93,DeadRaw!BO:BO)</f>
        <v>0</v>
      </c>
      <c r="BM93">
        <f>SUMIF(DeadRaw!$B:$B,$A93,DeadRaw!BP:BP)</f>
        <v>0</v>
      </c>
      <c r="BN93">
        <f>SUMIF(DeadRaw!$B:$B,$A93,DeadRaw!BQ:BQ)</f>
        <v>0</v>
      </c>
      <c r="BO93">
        <f>SUMIF(DeadRaw!$B:$B,$A93,DeadRaw!BR:BR)</f>
        <v>0</v>
      </c>
      <c r="BP93">
        <f>SUMIF(DeadRaw!$B:$B,$A93,DeadRaw!BS:BS)</f>
        <v>0</v>
      </c>
      <c r="BQ93">
        <f>SUMIF(DeadRaw!$B:$B,$A93,DeadRaw!BT:BT)</f>
        <v>0</v>
      </c>
      <c r="BR93">
        <f>SUMIF(DeadRaw!$B:$B,$A93,DeadRaw!BU:BU)</f>
        <v>0</v>
      </c>
      <c r="BS93">
        <f>SUMIF(DeadRaw!$B:$B,$A93,DeadRaw!BV:BV)</f>
        <v>0</v>
      </c>
      <c r="BT93">
        <f>SUMIF(DeadRaw!$B:$B,$A93,DeadRaw!BW:BW)</f>
        <v>0</v>
      </c>
    </row>
    <row r="94" spans="1:72" ht="15" thickBot="1" x14ac:dyDescent="0.35">
      <c r="A94" s="3" t="s">
        <v>95</v>
      </c>
      <c r="B94">
        <f>SUMIF(DeadRaw!$B:$B,$A94,DeadRaw!E:E)</f>
        <v>0</v>
      </c>
      <c r="C94">
        <f>SUMIF(DeadRaw!$B:$B,$A94,DeadRaw!F:F)</f>
        <v>0</v>
      </c>
      <c r="D94">
        <f>SUMIF(DeadRaw!$B:$B,$A94,DeadRaw!G:G)</f>
        <v>0</v>
      </c>
      <c r="E94">
        <f>SUMIF(DeadRaw!$B:$B,$A94,DeadRaw!H:H)</f>
        <v>0</v>
      </c>
      <c r="F94">
        <f>SUMIF(DeadRaw!$B:$B,$A94,DeadRaw!I:I)</f>
        <v>0</v>
      </c>
      <c r="G94">
        <f>SUMIF(DeadRaw!$B:$B,$A94,DeadRaw!J:J)</f>
        <v>0</v>
      </c>
      <c r="H94">
        <f>SUMIF(DeadRaw!$B:$B,$A94,DeadRaw!K:K)</f>
        <v>0</v>
      </c>
      <c r="I94">
        <f>SUMIF(DeadRaw!$B:$B,$A94,DeadRaw!L:L)</f>
        <v>0</v>
      </c>
      <c r="J94">
        <f>SUMIF(DeadRaw!$B:$B,$A94,DeadRaw!M:M)</f>
        <v>0</v>
      </c>
      <c r="K94">
        <f>SUMIF(DeadRaw!$B:$B,$A94,DeadRaw!N:N)</f>
        <v>0</v>
      </c>
      <c r="L94">
        <f>SUMIF(DeadRaw!$B:$B,$A94,DeadRaw!O:O)</f>
        <v>0</v>
      </c>
      <c r="M94">
        <f>SUMIF(DeadRaw!$B:$B,$A94,DeadRaw!P:P)</f>
        <v>0</v>
      </c>
      <c r="N94">
        <f>SUMIF(DeadRaw!$B:$B,$A94,DeadRaw!Q:Q)</f>
        <v>0</v>
      </c>
      <c r="O94">
        <f>SUMIF(DeadRaw!$B:$B,$A94,DeadRaw!R:R)</f>
        <v>0</v>
      </c>
      <c r="P94">
        <f>SUMIF(DeadRaw!$B:$B,$A94,DeadRaw!S:S)</f>
        <v>0</v>
      </c>
      <c r="Q94">
        <f>SUMIF(DeadRaw!$B:$B,$A94,DeadRaw!T:T)</f>
        <v>0</v>
      </c>
      <c r="R94">
        <f>SUMIF(DeadRaw!$B:$B,$A94,DeadRaw!U:U)</f>
        <v>0</v>
      </c>
      <c r="S94">
        <f>SUMIF(DeadRaw!$B:$B,$A94,DeadRaw!V:V)</f>
        <v>0</v>
      </c>
      <c r="T94">
        <f>SUMIF(DeadRaw!$B:$B,$A94,DeadRaw!W:W)</f>
        <v>0</v>
      </c>
      <c r="U94">
        <f>SUMIF(DeadRaw!$B:$B,$A94,DeadRaw!X:X)</f>
        <v>0</v>
      </c>
      <c r="V94">
        <f>SUMIF(DeadRaw!$B:$B,$A94,DeadRaw!Y:Y)</f>
        <v>0</v>
      </c>
      <c r="W94">
        <f>SUMIF(DeadRaw!$B:$B,$A94,DeadRaw!Z:Z)</f>
        <v>0</v>
      </c>
      <c r="X94">
        <f>SUMIF(DeadRaw!$B:$B,$A94,DeadRaw!AA:AA)</f>
        <v>0</v>
      </c>
      <c r="Y94">
        <f>SUMIF(DeadRaw!$B:$B,$A94,DeadRaw!AB:AB)</f>
        <v>0</v>
      </c>
      <c r="Z94">
        <f>SUMIF(DeadRaw!$B:$B,$A94,DeadRaw!AC:AC)</f>
        <v>0</v>
      </c>
      <c r="AA94">
        <f>SUMIF(DeadRaw!$B:$B,$A94,DeadRaw!AD:AD)</f>
        <v>0</v>
      </c>
      <c r="AB94">
        <f>SUMIF(DeadRaw!$B:$B,$A94,DeadRaw!AE:AE)</f>
        <v>0</v>
      </c>
      <c r="AC94">
        <f>SUMIF(DeadRaw!$B:$B,$A94,DeadRaw!AF:AF)</f>
        <v>0</v>
      </c>
      <c r="AD94">
        <f>SUMIF(DeadRaw!$B:$B,$A94,DeadRaw!AG:AG)</f>
        <v>0</v>
      </c>
      <c r="AE94">
        <f>SUMIF(DeadRaw!$B:$B,$A94,DeadRaw!AH:AH)</f>
        <v>0</v>
      </c>
      <c r="AF94">
        <f>SUMIF(DeadRaw!$B:$B,$A94,DeadRaw!AI:AI)</f>
        <v>0</v>
      </c>
      <c r="AG94">
        <f>SUMIF(DeadRaw!$B:$B,$A94,DeadRaw!AJ:AJ)</f>
        <v>0</v>
      </c>
      <c r="AH94">
        <f>SUMIF(DeadRaw!$B:$B,$A94,DeadRaw!AK:AK)</f>
        <v>0</v>
      </c>
      <c r="AI94">
        <f>SUMIF(DeadRaw!$B:$B,$A94,DeadRaw!AL:AL)</f>
        <v>0</v>
      </c>
      <c r="AJ94">
        <f>SUMIF(DeadRaw!$B:$B,$A94,DeadRaw!AM:AM)</f>
        <v>0</v>
      </c>
      <c r="AK94">
        <f>SUMIF(DeadRaw!$B:$B,$A94,DeadRaw!AN:AN)</f>
        <v>0</v>
      </c>
      <c r="AL94">
        <f>SUMIF(DeadRaw!$B:$B,$A94,DeadRaw!AO:AO)</f>
        <v>0</v>
      </c>
      <c r="AM94">
        <f>SUMIF(DeadRaw!$B:$B,$A94,DeadRaw!AP:AP)</f>
        <v>0</v>
      </c>
      <c r="AN94">
        <f>SUMIF(DeadRaw!$B:$B,$A94,DeadRaw!AQ:AQ)</f>
        <v>0</v>
      </c>
      <c r="AO94">
        <f>SUMIF(DeadRaw!$B:$B,$A94,DeadRaw!AR:AR)</f>
        <v>0</v>
      </c>
      <c r="AP94">
        <f>SUMIF(DeadRaw!$B:$B,$A94,DeadRaw!AS:AS)</f>
        <v>0</v>
      </c>
      <c r="AQ94">
        <f>SUMIF(DeadRaw!$B:$B,$A94,DeadRaw!AT:AT)</f>
        <v>0</v>
      </c>
      <c r="AR94">
        <f>SUMIF(DeadRaw!$B:$B,$A94,DeadRaw!AU:AU)</f>
        <v>0</v>
      </c>
      <c r="AS94">
        <f>SUMIF(DeadRaw!$B:$B,$A94,DeadRaw!AV:AV)</f>
        <v>0</v>
      </c>
      <c r="AT94">
        <f>SUMIF(DeadRaw!$B:$B,$A94,DeadRaw!AW:AW)</f>
        <v>0</v>
      </c>
      <c r="AU94">
        <f>SUMIF(DeadRaw!$B:$B,$A94,DeadRaw!AX:AX)</f>
        <v>0</v>
      </c>
      <c r="AV94">
        <f>SUMIF(DeadRaw!$B:$B,$A94,DeadRaw!AY:AY)</f>
        <v>0</v>
      </c>
      <c r="AW94">
        <f>SUMIF(DeadRaw!$B:$B,$A94,DeadRaw!AZ:AZ)</f>
        <v>0</v>
      </c>
      <c r="AX94">
        <f>SUMIF(DeadRaw!$B:$B,$A94,DeadRaw!BA:BA)</f>
        <v>0</v>
      </c>
      <c r="AY94">
        <f>SUMIF(DeadRaw!$B:$B,$A94,DeadRaw!BB:BB)</f>
        <v>0</v>
      </c>
      <c r="AZ94">
        <f>SUMIF(DeadRaw!$B:$B,$A94,DeadRaw!BC:BC)</f>
        <v>0</v>
      </c>
      <c r="BA94">
        <f>SUMIF(DeadRaw!$B:$B,$A94,DeadRaw!BD:BD)</f>
        <v>0</v>
      </c>
      <c r="BB94">
        <f>SUMIF(DeadRaw!$B:$B,$A94,DeadRaw!BE:BE)</f>
        <v>0</v>
      </c>
      <c r="BC94">
        <f>SUMIF(DeadRaw!$B:$B,$A94,DeadRaw!BF:BF)</f>
        <v>0</v>
      </c>
      <c r="BD94">
        <f>SUMIF(DeadRaw!$B:$B,$A94,DeadRaw!BG:BG)</f>
        <v>0</v>
      </c>
      <c r="BE94">
        <f>SUMIF(DeadRaw!$B:$B,$A94,DeadRaw!BH:BH)</f>
        <v>0</v>
      </c>
      <c r="BF94">
        <f>SUMIF(DeadRaw!$B:$B,$A94,DeadRaw!BI:BI)</f>
        <v>0</v>
      </c>
      <c r="BG94">
        <f>SUMIF(DeadRaw!$B:$B,$A94,DeadRaw!BJ:BJ)</f>
        <v>0</v>
      </c>
      <c r="BH94">
        <f>SUMIF(DeadRaw!$B:$B,$A94,DeadRaw!BK:BK)</f>
        <v>0</v>
      </c>
      <c r="BI94">
        <f>SUMIF(DeadRaw!$B:$B,$A94,DeadRaw!BL:BL)</f>
        <v>0</v>
      </c>
      <c r="BJ94">
        <f>SUMIF(DeadRaw!$B:$B,$A94,DeadRaw!BM:BM)</f>
        <v>0</v>
      </c>
      <c r="BK94">
        <f>SUMIF(DeadRaw!$B:$B,$A94,DeadRaw!BN:BN)</f>
        <v>0</v>
      </c>
      <c r="BL94">
        <f>SUMIF(DeadRaw!$B:$B,$A94,DeadRaw!BO:BO)</f>
        <v>0</v>
      </c>
      <c r="BM94">
        <f>SUMIF(DeadRaw!$B:$B,$A94,DeadRaw!BP:BP)</f>
        <v>0</v>
      </c>
      <c r="BN94">
        <f>SUMIF(DeadRaw!$B:$B,$A94,DeadRaw!BQ:BQ)</f>
        <v>0</v>
      </c>
      <c r="BO94">
        <f>SUMIF(DeadRaw!$B:$B,$A94,DeadRaw!BR:BR)</f>
        <v>0</v>
      </c>
      <c r="BP94">
        <f>SUMIF(DeadRaw!$B:$B,$A94,DeadRaw!BS:BS)</f>
        <v>0</v>
      </c>
      <c r="BQ94">
        <f>SUMIF(DeadRaw!$B:$B,$A94,DeadRaw!BT:BT)</f>
        <v>0</v>
      </c>
      <c r="BR94">
        <f>SUMIF(DeadRaw!$B:$B,$A94,DeadRaw!BU:BU)</f>
        <v>0</v>
      </c>
      <c r="BS94">
        <f>SUMIF(DeadRaw!$B:$B,$A94,DeadRaw!BV:BV)</f>
        <v>0</v>
      </c>
      <c r="BT94">
        <f>SUMIF(DeadRaw!$B:$B,$A94,DeadRaw!BW:BW)</f>
        <v>0</v>
      </c>
    </row>
    <row r="95" spans="1:72" ht="15" thickBot="1" x14ac:dyDescent="0.35">
      <c r="A95" s="4" t="s">
        <v>354</v>
      </c>
      <c r="B95">
        <f>SUMIF(DeadRaw!$B:$B,$A95,DeadRaw!E:E)</f>
        <v>0</v>
      </c>
      <c r="C95">
        <f>SUMIF(DeadRaw!$B:$B,$A95,DeadRaw!F:F)</f>
        <v>0</v>
      </c>
      <c r="D95">
        <f>SUMIF(DeadRaw!$B:$B,$A95,DeadRaw!G:G)</f>
        <v>0</v>
      </c>
      <c r="E95">
        <f>SUMIF(DeadRaw!$B:$B,$A95,DeadRaw!H:H)</f>
        <v>0</v>
      </c>
      <c r="F95">
        <f>SUMIF(DeadRaw!$B:$B,$A95,DeadRaw!I:I)</f>
        <v>0</v>
      </c>
      <c r="G95">
        <f>SUMIF(DeadRaw!$B:$B,$A95,DeadRaw!J:J)</f>
        <v>0</v>
      </c>
      <c r="H95">
        <f>SUMIF(DeadRaw!$B:$B,$A95,DeadRaw!K:K)</f>
        <v>0</v>
      </c>
      <c r="I95">
        <f>SUMIF(DeadRaw!$B:$B,$A95,DeadRaw!L:L)</f>
        <v>0</v>
      </c>
      <c r="J95">
        <f>SUMIF(DeadRaw!$B:$B,$A95,DeadRaw!M:M)</f>
        <v>0</v>
      </c>
      <c r="K95">
        <f>SUMIF(DeadRaw!$B:$B,$A95,DeadRaw!N:N)</f>
        <v>0</v>
      </c>
      <c r="L95">
        <f>SUMIF(DeadRaw!$B:$B,$A95,DeadRaw!O:O)</f>
        <v>0</v>
      </c>
      <c r="M95">
        <f>SUMIF(DeadRaw!$B:$B,$A95,DeadRaw!P:P)</f>
        <v>0</v>
      </c>
      <c r="N95">
        <f>SUMIF(DeadRaw!$B:$B,$A95,DeadRaw!Q:Q)</f>
        <v>0</v>
      </c>
      <c r="O95">
        <f>SUMIF(DeadRaw!$B:$B,$A95,DeadRaw!R:R)</f>
        <v>0</v>
      </c>
      <c r="P95">
        <f>SUMIF(DeadRaw!$B:$B,$A95,DeadRaw!S:S)</f>
        <v>0</v>
      </c>
      <c r="Q95">
        <f>SUMIF(DeadRaw!$B:$B,$A95,DeadRaw!T:T)</f>
        <v>0</v>
      </c>
      <c r="R95">
        <f>SUMIF(DeadRaw!$B:$B,$A95,DeadRaw!U:U)</f>
        <v>0</v>
      </c>
      <c r="S95">
        <f>SUMIF(DeadRaw!$B:$B,$A95,DeadRaw!V:V)</f>
        <v>0</v>
      </c>
      <c r="T95">
        <f>SUMIF(DeadRaw!$B:$B,$A95,DeadRaw!W:W)</f>
        <v>0</v>
      </c>
      <c r="U95">
        <f>SUMIF(DeadRaw!$B:$B,$A95,DeadRaw!X:X)</f>
        <v>0</v>
      </c>
      <c r="V95">
        <f>SUMIF(DeadRaw!$B:$B,$A95,DeadRaw!Y:Y)</f>
        <v>0</v>
      </c>
      <c r="W95">
        <f>SUMIF(DeadRaw!$B:$B,$A95,DeadRaw!Z:Z)</f>
        <v>0</v>
      </c>
      <c r="X95">
        <f>SUMIF(DeadRaw!$B:$B,$A95,DeadRaw!AA:AA)</f>
        <v>0</v>
      </c>
      <c r="Y95">
        <f>SUMIF(DeadRaw!$B:$B,$A95,DeadRaw!AB:AB)</f>
        <v>0</v>
      </c>
      <c r="Z95">
        <f>SUMIF(DeadRaw!$B:$B,$A95,DeadRaw!AC:AC)</f>
        <v>0</v>
      </c>
      <c r="AA95">
        <f>SUMIF(DeadRaw!$B:$B,$A95,DeadRaw!AD:AD)</f>
        <v>0</v>
      </c>
      <c r="AB95">
        <f>SUMIF(DeadRaw!$B:$B,$A95,DeadRaw!AE:AE)</f>
        <v>0</v>
      </c>
      <c r="AC95">
        <f>SUMIF(DeadRaw!$B:$B,$A95,DeadRaw!AF:AF)</f>
        <v>0</v>
      </c>
      <c r="AD95">
        <f>SUMIF(DeadRaw!$B:$B,$A95,DeadRaw!AG:AG)</f>
        <v>0</v>
      </c>
      <c r="AE95">
        <f>SUMIF(DeadRaw!$B:$B,$A95,DeadRaw!AH:AH)</f>
        <v>0</v>
      </c>
      <c r="AF95">
        <f>SUMIF(DeadRaw!$B:$B,$A95,DeadRaw!AI:AI)</f>
        <v>0</v>
      </c>
      <c r="AG95">
        <f>SUMIF(DeadRaw!$B:$B,$A95,DeadRaw!AJ:AJ)</f>
        <v>0</v>
      </c>
      <c r="AH95">
        <f>SUMIF(DeadRaw!$B:$B,$A95,DeadRaw!AK:AK)</f>
        <v>0</v>
      </c>
      <c r="AI95">
        <f>SUMIF(DeadRaw!$B:$B,$A95,DeadRaw!AL:AL)</f>
        <v>0</v>
      </c>
      <c r="AJ95">
        <f>SUMIF(DeadRaw!$B:$B,$A95,DeadRaw!AM:AM)</f>
        <v>0</v>
      </c>
      <c r="AK95">
        <f>SUMIF(DeadRaw!$B:$B,$A95,DeadRaw!AN:AN)</f>
        <v>0</v>
      </c>
      <c r="AL95">
        <f>SUMIF(DeadRaw!$B:$B,$A95,DeadRaw!AO:AO)</f>
        <v>0</v>
      </c>
      <c r="AM95">
        <f>SUMIF(DeadRaw!$B:$B,$A95,DeadRaw!AP:AP)</f>
        <v>0</v>
      </c>
      <c r="AN95">
        <f>SUMIF(DeadRaw!$B:$B,$A95,DeadRaw!AQ:AQ)</f>
        <v>0</v>
      </c>
      <c r="AO95">
        <f>SUMIF(DeadRaw!$B:$B,$A95,DeadRaw!AR:AR)</f>
        <v>0</v>
      </c>
      <c r="AP95">
        <f>SUMIF(DeadRaw!$B:$B,$A95,DeadRaw!AS:AS)</f>
        <v>0</v>
      </c>
      <c r="AQ95">
        <f>SUMIF(DeadRaw!$B:$B,$A95,DeadRaw!AT:AT)</f>
        <v>0</v>
      </c>
      <c r="AR95">
        <f>SUMIF(DeadRaw!$B:$B,$A95,DeadRaw!AU:AU)</f>
        <v>0</v>
      </c>
      <c r="AS95">
        <f>SUMIF(DeadRaw!$B:$B,$A95,DeadRaw!AV:AV)</f>
        <v>0</v>
      </c>
      <c r="AT95">
        <f>SUMIF(DeadRaw!$B:$B,$A95,DeadRaw!AW:AW)</f>
        <v>0</v>
      </c>
      <c r="AU95">
        <f>SUMIF(DeadRaw!$B:$B,$A95,DeadRaw!AX:AX)</f>
        <v>0</v>
      </c>
      <c r="AV95">
        <f>SUMIF(DeadRaw!$B:$B,$A95,DeadRaw!AY:AY)</f>
        <v>0</v>
      </c>
      <c r="AW95">
        <f>SUMIF(DeadRaw!$B:$B,$A95,DeadRaw!AZ:AZ)</f>
        <v>0</v>
      </c>
      <c r="AX95">
        <f>SUMIF(DeadRaw!$B:$B,$A95,DeadRaw!BA:BA)</f>
        <v>0</v>
      </c>
      <c r="AY95">
        <f>SUMIF(DeadRaw!$B:$B,$A95,DeadRaw!BB:BB)</f>
        <v>0</v>
      </c>
      <c r="AZ95">
        <f>SUMIF(DeadRaw!$B:$B,$A95,DeadRaw!BC:BC)</f>
        <v>0</v>
      </c>
      <c r="BA95">
        <f>SUMIF(DeadRaw!$B:$B,$A95,DeadRaw!BD:BD)</f>
        <v>0</v>
      </c>
      <c r="BB95">
        <f>SUMIF(DeadRaw!$B:$B,$A95,DeadRaw!BE:BE)</f>
        <v>0</v>
      </c>
      <c r="BC95">
        <f>SUMIF(DeadRaw!$B:$B,$A95,DeadRaw!BF:BF)</f>
        <v>0</v>
      </c>
      <c r="BD95">
        <f>SUMIF(DeadRaw!$B:$B,$A95,DeadRaw!BG:BG)</f>
        <v>0</v>
      </c>
      <c r="BE95">
        <f>SUMIF(DeadRaw!$B:$B,$A95,DeadRaw!BH:BH)</f>
        <v>0</v>
      </c>
      <c r="BF95">
        <f>SUMIF(DeadRaw!$B:$B,$A95,DeadRaw!BI:BI)</f>
        <v>0</v>
      </c>
      <c r="BG95">
        <f>SUMIF(DeadRaw!$B:$B,$A95,DeadRaw!BJ:BJ)</f>
        <v>0</v>
      </c>
      <c r="BH95">
        <f>SUMIF(DeadRaw!$B:$B,$A95,DeadRaw!BK:BK)</f>
        <v>0</v>
      </c>
      <c r="BI95">
        <f>SUMIF(DeadRaw!$B:$B,$A95,DeadRaw!BL:BL)</f>
        <v>0</v>
      </c>
      <c r="BJ95">
        <f>SUMIF(DeadRaw!$B:$B,$A95,DeadRaw!BM:BM)</f>
        <v>0</v>
      </c>
      <c r="BK95">
        <f>SUMIF(DeadRaw!$B:$B,$A95,DeadRaw!BN:BN)</f>
        <v>0</v>
      </c>
      <c r="BL95">
        <f>SUMIF(DeadRaw!$B:$B,$A95,DeadRaw!BO:BO)</f>
        <v>0</v>
      </c>
      <c r="BM95">
        <f>SUMIF(DeadRaw!$B:$B,$A95,DeadRaw!BP:BP)</f>
        <v>0</v>
      </c>
      <c r="BN95">
        <f>SUMIF(DeadRaw!$B:$B,$A95,DeadRaw!BQ:BQ)</f>
        <v>0</v>
      </c>
      <c r="BO95">
        <f>SUMIF(DeadRaw!$B:$B,$A95,DeadRaw!BR:BR)</f>
        <v>0</v>
      </c>
      <c r="BP95">
        <f>SUMIF(DeadRaw!$B:$B,$A95,DeadRaw!BS:BS)</f>
        <v>0</v>
      </c>
      <c r="BQ95">
        <f>SUMIF(DeadRaw!$B:$B,$A95,DeadRaw!BT:BT)</f>
        <v>0</v>
      </c>
      <c r="BR95">
        <f>SUMIF(DeadRaw!$B:$B,$A95,DeadRaw!BU:BU)</f>
        <v>0</v>
      </c>
      <c r="BS95">
        <f>SUMIF(DeadRaw!$B:$B,$A95,DeadRaw!BV:BV)</f>
        <v>0</v>
      </c>
      <c r="BT95">
        <f>SUMIF(DeadRaw!$B:$B,$A95,DeadRaw!BW:BW)</f>
        <v>0</v>
      </c>
    </row>
    <row r="96" spans="1:72" ht="15" thickBot="1" x14ac:dyDescent="0.35">
      <c r="A96" s="3" t="s">
        <v>355</v>
      </c>
      <c r="B96">
        <f>SUMIF(DeadRaw!$B:$B,$A96,DeadRaw!E:E)</f>
        <v>0</v>
      </c>
      <c r="C96">
        <f>SUMIF(DeadRaw!$B:$B,$A96,DeadRaw!F:F)</f>
        <v>0</v>
      </c>
      <c r="D96">
        <f>SUMIF(DeadRaw!$B:$B,$A96,DeadRaw!G:G)</f>
        <v>0</v>
      </c>
      <c r="E96">
        <f>SUMIF(DeadRaw!$B:$B,$A96,DeadRaw!H:H)</f>
        <v>0</v>
      </c>
      <c r="F96">
        <f>SUMIF(DeadRaw!$B:$B,$A96,DeadRaw!I:I)</f>
        <v>0</v>
      </c>
      <c r="G96">
        <f>SUMIF(DeadRaw!$B:$B,$A96,DeadRaw!J:J)</f>
        <v>0</v>
      </c>
      <c r="H96">
        <f>SUMIF(DeadRaw!$B:$B,$A96,DeadRaw!K:K)</f>
        <v>0</v>
      </c>
      <c r="I96">
        <f>SUMIF(DeadRaw!$B:$B,$A96,DeadRaw!L:L)</f>
        <v>0</v>
      </c>
      <c r="J96">
        <f>SUMIF(DeadRaw!$B:$B,$A96,DeadRaw!M:M)</f>
        <v>0</v>
      </c>
      <c r="K96">
        <f>SUMIF(DeadRaw!$B:$B,$A96,DeadRaw!N:N)</f>
        <v>0</v>
      </c>
      <c r="L96">
        <f>SUMIF(DeadRaw!$B:$B,$A96,DeadRaw!O:O)</f>
        <v>0</v>
      </c>
      <c r="M96">
        <f>SUMIF(DeadRaw!$B:$B,$A96,DeadRaw!P:P)</f>
        <v>0</v>
      </c>
      <c r="N96">
        <f>SUMIF(DeadRaw!$B:$B,$A96,DeadRaw!Q:Q)</f>
        <v>0</v>
      </c>
      <c r="O96">
        <f>SUMIF(DeadRaw!$B:$B,$A96,DeadRaw!R:R)</f>
        <v>0</v>
      </c>
      <c r="P96">
        <f>SUMIF(DeadRaw!$B:$B,$A96,DeadRaw!S:S)</f>
        <v>0</v>
      </c>
      <c r="Q96">
        <f>SUMIF(DeadRaw!$B:$B,$A96,DeadRaw!T:T)</f>
        <v>0</v>
      </c>
      <c r="R96">
        <f>SUMIF(DeadRaw!$B:$B,$A96,DeadRaw!U:U)</f>
        <v>0</v>
      </c>
      <c r="S96">
        <f>SUMIF(DeadRaw!$B:$B,$A96,DeadRaw!V:V)</f>
        <v>0</v>
      </c>
      <c r="T96">
        <f>SUMIF(DeadRaw!$B:$B,$A96,DeadRaw!W:W)</f>
        <v>0</v>
      </c>
      <c r="U96">
        <f>SUMIF(DeadRaw!$B:$B,$A96,DeadRaw!X:X)</f>
        <v>0</v>
      </c>
      <c r="V96">
        <f>SUMIF(DeadRaw!$B:$B,$A96,DeadRaw!Y:Y)</f>
        <v>0</v>
      </c>
      <c r="W96">
        <f>SUMIF(DeadRaw!$B:$B,$A96,DeadRaw!Z:Z)</f>
        <v>0</v>
      </c>
      <c r="X96">
        <f>SUMIF(DeadRaw!$B:$B,$A96,DeadRaw!AA:AA)</f>
        <v>0</v>
      </c>
      <c r="Y96">
        <f>SUMIF(DeadRaw!$B:$B,$A96,DeadRaw!AB:AB)</f>
        <v>0</v>
      </c>
      <c r="Z96">
        <f>SUMIF(DeadRaw!$B:$B,$A96,DeadRaw!AC:AC)</f>
        <v>0</v>
      </c>
      <c r="AA96">
        <f>SUMIF(DeadRaw!$B:$B,$A96,DeadRaw!AD:AD)</f>
        <v>0</v>
      </c>
      <c r="AB96">
        <f>SUMIF(DeadRaw!$B:$B,$A96,DeadRaw!AE:AE)</f>
        <v>0</v>
      </c>
      <c r="AC96">
        <f>SUMIF(DeadRaw!$B:$B,$A96,DeadRaw!AF:AF)</f>
        <v>0</v>
      </c>
      <c r="AD96">
        <f>SUMIF(DeadRaw!$B:$B,$A96,DeadRaw!AG:AG)</f>
        <v>0</v>
      </c>
      <c r="AE96">
        <f>SUMIF(DeadRaw!$B:$B,$A96,DeadRaw!AH:AH)</f>
        <v>0</v>
      </c>
      <c r="AF96">
        <f>SUMIF(DeadRaw!$B:$B,$A96,DeadRaw!AI:AI)</f>
        <v>0</v>
      </c>
      <c r="AG96">
        <f>SUMIF(DeadRaw!$B:$B,$A96,DeadRaw!AJ:AJ)</f>
        <v>0</v>
      </c>
      <c r="AH96">
        <f>SUMIF(DeadRaw!$B:$B,$A96,DeadRaw!AK:AK)</f>
        <v>0</v>
      </c>
      <c r="AI96">
        <f>SUMIF(DeadRaw!$B:$B,$A96,DeadRaw!AL:AL)</f>
        <v>0</v>
      </c>
      <c r="AJ96">
        <f>SUMIF(DeadRaw!$B:$B,$A96,DeadRaw!AM:AM)</f>
        <v>0</v>
      </c>
      <c r="AK96">
        <f>SUMIF(DeadRaw!$B:$B,$A96,DeadRaw!AN:AN)</f>
        <v>0</v>
      </c>
      <c r="AL96">
        <f>SUMIF(DeadRaw!$B:$B,$A96,DeadRaw!AO:AO)</f>
        <v>0</v>
      </c>
      <c r="AM96">
        <f>SUMIF(DeadRaw!$B:$B,$A96,DeadRaw!AP:AP)</f>
        <v>0</v>
      </c>
      <c r="AN96">
        <f>SUMIF(DeadRaw!$B:$B,$A96,DeadRaw!AQ:AQ)</f>
        <v>0</v>
      </c>
      <c r="AO96">
        <f>SUMIF(DeadRaw!$B:$B,$A96,DeadRaw!AR:AR)</f>
        <v>0</v>
      </c>
      <c r="AP96">
        <f>SUMIF(DeadRaw!$B:$B,$A96,DeadRaw!AS:AS)</f>
        <v>0</v>
      </c>
      <c r="AQ96">
        <f>SUMIF(DeadRaw!$B:$B,$A96,DeadRaw!AT:AT)</f>
        <v>0</v>
      </c>
      <c r="AR96">
        <f>SUMIF(DeadRaw!$B:$B,$A96,DeadRaw!AU:AU)</f>
        <v>0</v>
      </c>
      <c r="AS96">
        <f>SUMIF(DeadRaw!$B:$B,$A96,DeadRaw!AV:AV)</f>
        <v>0</v>
      </c>
      <c r="AT96">
        <f>SUMIF(DeadRaw!$B:$B,$A96,DeadRaw!AW:AW)</f>
        <v>0</v>
      </c>
      <c r="AU96">
        <f>SUMIF(DeadRaw!$B:$B,$A96,DeadRaw!AX:AX)</f>
        <v>0</v>
      </c>
      <c r="AV96">
        <f>SUMIF(DeadRaw!$B:$B,$A96,DeadRaw!AY:AY)</f>
        <v>0</v>
      </c>
      <c r="AW96">
        <f>SUMIF(DeadRaw!$B:$B,$A96,DeadRaw!AZ:AZ)</f>
        <v>0</v>
      </c>
      <c r="AX96">
        <f>SUMIF(DeadRaw!$B:$B,$A96,DeadRaw!BA:BA)</f>
        <v>0</v>
      </c>
      <c r="AY96">
        <f>SUMIF(DeadRaw!$B:$B,$A96,DeadRaw!BB:BB)</f>
        <v>0</v>
      </c>
      <c r="AZ96">
        <f>SUMIF(DeadRaw!$B:$B,$A96,DeadRaw!BC:BC)</f>
        <v>0</v>
      </c>
      <c r="BA96">
        <f>SUMIF(DeadRaw!$B:$B,$A96,DeadRaw!BD:BD)</f>
        <v>0</v>
      </c>
      <c r="BB96">
        <f>SUMIF(DeadRaw!$B:$B,$A96,DeadRaw!BE:BE)</f>
        <v>0</v>
      </c>
      <c r="BC96">
        <f>SUMIF(DeadRaw!$B:$B,$A96,DeadRaw!BF:BF)</f>
        <v>0</v>
      </c>
      <c r="BD96">
        <f>SUMIF(DeadRaw!$B:$B,$A96,DeadRaw!BG:BG)</f>
        <v>0</v>
      </c>
      <c r="BE96">
        <f>SUMIF(DeadRaw!$B:$B,$A96,DeadRaw!BH:BH)</f>
        <v>1</v>
      </c>
      <c r="BF96">
        <f>SUMIF(DeadRaw!$B:$B,$A96,DeadRaw!BI:BI)</f>
        <v>1</v>
      </c>
      <c r="BG96">
        <f>SUMIF(DeadRaw!$B:$B,$A96,DeadRaw!BJ:BJ)</f>
        <v>3</v>
      </c>
      <c r="BH96">
        <f>SUMIF(DeadRaw!$B:$B,$A96,DeadRaw!BK:BK)</f>
        <v>4</v>
      </c>
      <c r="BI96">
        <f>SUMIF(DeadRaw!$B:$B,$A96,DeadRaw!BL:BL)</f>
        <v>0</v>
      </c>
      <c r="BJ96">
        <f>SUMIF(DeadRaw!$B:$B,$A96,DeadRaw!BM:BM)</f>
        <v>0</v>
      </c>
      <c r="BK96">
        <f>SUMIF(DeadRaw!$B:$B,$A96,DeadRaw!BN:BN)</f>
        <v>0</v>
      </c>
      <c r="BL96">
        <f>SUMIF(DeadRaw!$B:$B,$A96,DeadRaw!BO:BO)</f>
        <v>0</v>
      </c>
      <c r="BM96">
        <f>SUMIF(DeadRaw!$B:$B,$A96,DeadRaw!BP:BP)</f>
        <v>0</v>
      </c>
      <c r="BN96">
        <f>SUMIF(DeadRaw!$B:$B,$A96,DeadRaw!BQ:BQ)</f>
        <v>0</v>
      </c>
      <c r="BO96">
        <f>SUMIF(DeadRaw!$B:$B,$A96,DeadRaw!BR:BR)</f>
        <v>0</v>
      </c>
      <c r="BP96">
        <f>SUMIF(DeadRaw!$B:$B,$A96,DeadRaw!BS:BS)</f>
        <v>0</v>
      </c>
      <c r="BQ96">
        <f>SUMIF(DeadRaw!$B:$B,$A96,DeadRaw!BT:BT)</f>
        <v>0</v>
      </c>
      <c r="BR96">
        <f>SUMIF(DeadRaw!$B:$B,$A96,DeadRaw!BU:BU)</f>
        <v>0</v>
      </c>
      <c r="BS96">
        <f>SUMIF(DeadRaw!$B:$B,$A96,DeadRaw!BV:BV)</f>
        <v>0</v>
      </c>
      <c r="BT96">
        <f>SUMIF(DeadRaw!$B:$B,$A96,DeadRaw!BW:BW)</f>
        <v>0</v>
      </c>
    </row>
    <row r="97" spans="1:72" ht="15" thickBot="1" x14ac:dyDescent="0.35">
      <c r="A97" s="4" t="s">
        <v>410</v>
      </c>
      <c r="B97">
        <f>SUMIF(DeadRaw!$B:$B,$A97,DeadRaw!E:E)</f>
        <v>0</v>
      </c>
      <c r="C97">
        <f>SUMIF(DeadRaw!$B:$B,$A97,DeadRaw!F:F)</f>
        <v>0</v>
      </c>
      <c r="D97">
        <f>SUMIF(DeadRaw!$B:$B,$A97,DeadRaw!G:G)</f>
        <v>0</v>
      </c>
      <c r="E97">
        <f>SUMIF(DeadRaw!$B:$B,$A97,DeadRaw!H:H)</f>
        <v>0</v>
      </c>
      <c r="F97">
        <f>SUMIF(DeadRaw!$B:$B,$A97,DeadRaw!I:I)</f>
        <v>0</v>
      </c>
      <c r="G97">
        <f>SUMIF(DeadRaw!$B:$B,$A97,DeadRaw!J:J)</f>
        <v>0</v>
      </c>
      <c r="H97">
        <f>SUMIF(DeadRaw!$B:$B,$A97,DeadRaw!K:K)</f>
        <v>0</v>
      </c>
      <c r="I97">
        <f>SUMIF(DeadRaw!$B:$B,$A97,DeadRaw!L:L)</f>
        <v>0</v>
      </c>
      <c r="J97">
        <f>SUMIF(DeadRaw!$B:$B,$A97,DeadRaw!M:M)</f>
        <v>0</v>
      </c>
      <c r="K97">
        <f>SUMIF(DeadRaw!$B:$B,$A97,DeadRaw!N:N)</f>
        <v>0</v>
      </c>
      <c r="L97">
        <f>SUMIF(DeadRaw!$B:$B,$A97,DeadRaw!O:O)</f>
        <v>0</v>
      </c>
      <c r="M97">
        <f>SUMIF(DeadRaw!$B:$B,$A97,DeadRaw!P:P)</f>
        <v>0</v>
      </c>
      <c r="N97">
        <f>SUMIF(DeadRaw!$B:$B,$A97,DeadRaw!Q:Q)</f>
        <v>0</v>
      </c>
      <c r="O97">
        <f>SUMIF(DeadRaw!$B:$B,$A97,DeadRaw!R:R)</f>
        <v>0</v>
      </c>
      <c r="P97">
        <f>SUMIF(DeadRaw!$B:$B,$A97,DeadRaw!S:S)</f>
        <v>0</v>
      </c>
      <c r="Q97">
        <f>SUMIF(DeadRaw!$B:$B,$A97,DeadRaw!T:T)</f>
        <v>0</v>
      </c>
      <c r="R97">
        <f>SUMIF(DeadRaw!$B:$B,$A97,DeadRaw!U:U)</f>
        <v>0</v>
      </c>
      <c r="S97">
        <f>SUMIF(DeadRaw!$B:$B,$A97,DeadRaw!V:V)</f>
        <v>0</v>
      </c>
      <c r="T97">
        <f>SUMIF(DeadRaw!$B:$B,$A97,DeadRaw!W:W)</f>
        <v>0</v>
      </c>
      <c r="U97">
        <f>SUMIF(DeadRaw!$B:$B,$A97,DeadRaw!X:X)</f>
        <v>0</v>
      </c>
      <c r="V97">
        <f>SUMIF(DeadRaw!$B:$B,$A97,DeadRaw!Y:Y)</f>
        <v>0</v>
      </c>
      <c r="W97">
        <f>SUMIF(DeadRaw!$B:$B,$A97,DeadRaw!Z:Z)</f>
        <v>0</v>
      </c>
      <c r="X97">
        <f>SUMIF(DeadRaw!$B:$B,$A97,DeadRaw!AA:AA)</f>
        <v>0</v>
      </c>
      <c r="Y97">
        <f>SUMIF(DeadRaw!$B:$B,$A97,DeadRaw!AB:AB)</f>
        <v>0</v>
      </c>
      <c r="Z97">
        <f>SUMIF(DeadRaw!$B:$B,$A97,DeadRaw!AC:AC)</f>
        <v>0</v>
      </c>
      <c r="AA97">
        <f>SUMIF(DeadRaw!$B:$B,$A97,DeadRaw!AD:AD)</f>
        <v>0</v>
      </c>
      <c r="AB97">
        <f>SUMIF(DeadRaw!$B:$B,$A97,DeadRaw!AE:AE)</f>
        <v>0</v>
      </c>
      <c r="AC97">
        <f>SUMIF(DeadRaw!$B:$B,$A97,DeadRaw!AF:AF)</f>
        <v>0</v>
      </c>
      <c r="AD97">
        <f>SUMIF(DeadRaw!$B:$B,$A97,DeadRaw!AG:AG)</f>
        <v>0</v>
      </c>
      <c r="AE97">
        <f>SUMIF(DeadRaw!$B:$B,$A97,DeadRaw!AH:AH)</f>
        <v>0</v>
      </c>
      <c r="AF97">
        <f>SUMIF(DeadRaw!$B:$B,$A97,DeadRaw!AI:AI)</f>
        <v>0</v>
      </c>
      <c r="AG97">
        <f>SUMIF(DeadRaw!$B:$B,$A97,DeadRaw!AJ:AJ)</f>
        <v>0</v>
      </c>
      <c r="AH97">
        <f>SUMIF(DeadRaw!$B:$B,$A97,DeadRaw!AK:AK)</f>
        <v>0</v>
      </c>
      <c r="AI97">
        <f>SUMIF(DeadRaw!$B:$B,$A97,DeadRaw!AL:AL)</f>
        <v>0</v>
      </c>
      <c r="AJ97">
        <f>SUMIF(DeadRaw!$B:$B,$A97,DeadRaw!AM:AM)</f>
        <v>0</v>
      </c>
      <c r="AK97">
        <f>SUMIF(DeadRaw!$B:$B,$A97,DeadRaw!AN:AN)</f>
        <v>0</v>
      </c>
      <c r="AL97">
        <f>SUMIF(DeadRaw!$B:$B,$A97,DeadRaw!AO:AO)</f>
        <v>0</v>
      </c>
      <c r="AM97">
        <f>SUMIF(DeadRaw!$B:$B,$A97,DeadRaw!AP:AP)</f>
        <v>0</v>
      </c>
      <c r="AN97">
        <f>SUMIF(DeadRaw!$B:$B,$A97,DeadRaw!AQ:AQ)</f>
        <v>0</v>
      </c>
      <c r="AO97">
        <f>SUMIF(DeadRaw!$B:$B,$A97,DeadRaw!AR:AR)</f>
        <v>0</v>
      </c>
      <c r="AP97">
        <f>SUMIF(DeadRaw!$B:$B,$A97,DeadRaw!AS:AS)</f>
        <v>0</v>
      </c>
      <c r="AQ97">
        <f>SUMIF(DeadRaw!$B:$B,$A97,DeadRaw!AT:AT)</f>
        <v>0</v>
      </c>
      <c r="AR97">
        <f>SUMIF(DeadRaw!$B:$B,$A97,DeadRaw!AU:AU)</f>
        <v>0</v>
      </c>
      <c r="AS97">
        <f>SUMIF(DeadRaw!$B:$B,$A97,DeadRaw!AV:AV)</f>
        <v>0</v>
      </c>
      <c r="AT97">
        <f>SUMIF(DeadRaw!$B:$B,$A97,DeadRaw!AW:AW)</f>
        <v>0</v>
      </c>
      <c r="AU97">
        <f>SUMIF(DeadRaw!$B:$B,$A97,DeadRaw!AX:AX)</f>
        <v>0</v>
      </c>
      <c r="AV97">
        <f>SUMIF(DeadRaw!$B:$B,$A97,DeadRaw!AY:AY)</f>
        <v>0</v>
      </c>
      <c r="AW97">
        <f>SUMIF(DeadRaw!$B:$B,$A97,DeadRaw!AZ:AZ)</f>
        <v>0</v>
      </c>
      <c r="AX97">
        <f>SUMIF(DeadRaw!$B:$B,$A97,DeadRaw!BA:BA)</f>
        <v>0</v>
      </c>
      <c r="AY97">
        <f>SUMIF(DeadRaw!$B:$B,$A97,DeadRaw!BB:BB)</f>
        <v>0</v>
      </c>
      <c r="AZ97">
        <f>SUMIF(DeadRaw!$B:$B,$A97,DeadRaw!BC:BC)</f>
        <v>0</v>
      </c>
      <c r="BA97">
        <f>SUMIF(DeadRaw!$B:$B,$A97,DeadRaw!BD:BD)</f>
        <v>0</v>
      </c>
      <c r="BB97">
        <f>SUMIF(DeadRaw!$B:$B,$A97,DeadRaw!BE:BE)</f>
        <v>0</v>
      </c>
      <c r="BC97">
        <f>SUMIF(DeadRaw!$B:$B,$A97,DeadRaw!BF:BF)</f>
        <v>0</v>
      </c>
      <c r="BD97">
        <f>SUMIF(DeadRaw!$B:$B,$A97,DeadRaw!BG:BG)</f>
        <v>0</v>
      </c>
      <c r="BE97">
        <f>SUMIF(DeadRaw!$B:$B,$A97,DeadRaw!BH:BH)</f>
        <v>0</v>
      </c>
      <c r="BF97">
        <f>SUMIF(DeadRaw!$B:$B,$A97,DeadRaw!BI:BI)</f>
        <v>1</v>
      </c>
      <c r="BG97">
        <f>SUMIF(DeadRaw!$B:$B,$A97,DeadRaw!BJ:BJ)</f>
        <v>1</v>
      </c>
      <c r="BH97">
        <f>SUMIF(DeadRaw!$B:$B,$A97,DeadRaw!BK:BK)</f>
        <v>1</v>
      </c>
      <c r="BI97">
        <f>SUMIF(DeadRaw!$B:$B,$A97,DeadRaw!BL:BL)</f>
        <v>0</v>
      </c>
      <c r="BJ97">
        <f>SUMIF(DeadRaw!$B:$B,$A97,DeadRaw!BM:BM)</f>
        <v>0</v>
      </c>
      <c r="BK97">
        <f>SUMIF(DeadRaw!$B:$B,$A97,DeadRaw!BN:BN)</f>
        <v>0</v>
      </c>
      <c r="BL97">
        <f>SUMIF(DeadRaw!$B:$B,$A97,DeadRaw!BO:BO)</f>
        <v>0</v>
      </c>
      <c r="BM97">
        <f>SUMIF(DeadRaw!$B:$B,$A97,DeadRaw!BP:BP)</f>
        <v>0</v>
      </c>
      <c r="BN97">
        <f>SUMIF(DeadRaw!$B:$B,$A97,DeadRaw!BQ:BQ)</f>
        <v>0</v>
      </c>
      <c r="BO97">
        <f>SUMIF(DeadRaw!$B:$B,$A97,DeadRaw!BR:BR)</f>
        <v>0</v>
      </c>
      <c r="BP97">
        <f>SUMIF(DeadRaw!$B:$B,$A97,DeadRaw!BS:BS)</f>
        <v>0</v>
      </c>
      <c r="BQ97">
        <f>SUMIF(DeadRaw!$B:$B,$A97,DeadRaw!BT:BT)</f>
        <v>0</v>
      </c>
      <c r="BR97">
        <f>SUMIF(DeadRaw!$B:$B,$A97,DeadRaw!BU:BU)</f>
        <v>0</v>
      </c>
      <c r="BS97">
        <f>SUMIF(DeadRaw!$B:$B,$A97,DeadRaw!BV:BV)</f>
        <v>0</v>
      </c>
      <c r="BT97">
        <f>SUMIF(DeadRaw!$B:$B,$A97,DeadRaw!BW:BW)</f>
        <v>0</v>
      </c>
    </row>
    <row r="98" spans="1:72" ht="15" thickBot="1" x14ac:dyDescent="0.35">
      <c r="A98" s="4" t="s">
        <v>413</v>
      </c>
      <c r="B98">
        <f>SUMIF(DeadRaw!$B:$B,$A98,DeadRaw!E:E)</f>
        <v>0</v>
      </c>
      <c r="C98">
        <f>SUMIF(DeadRaw!$B:$B,$A98,DeadRaw!F:F)</f>
        <v>0</v>
      </c>
      <c r="D98">
        <f>SUMIF(DeadRaw!$B:$B,$A98,DeadRaw!G:G)</f>
        <v>0</v>
      </c>
      <c r="E98">
        <f>SUMIF(DeadRaw!$B:$B,$A98,DeadRaw!H:H)</f>
        <v>0</v>
      </c>
      <c r="F98">
        <f>SUMIF(DeadRaw!$B:$B,$A98,DeadRaw!I:I)</f>
        <v>0</v>
      </c>
      <c r="G98">
        <f>SUMIF(DeadRaw!$B:$B,$A98,DeadRaw!J:J)</f>
        <v>0</v>
      </c>
      <c r="H98">
        <f>SUMIF(DeadRaw!$B:$B,$A98,DeadRaw!K:K)</f>
        <v>0</v>
      </c>
      <c r="I98">
        <f>SUMIF(DeadRaw!$B:$B,$A98,DeadRaw!L:L)</f>
        <v>0</v>
      </c>
      <c r="J98">
        <f>SUMIF(DeadRaw!$B:$B,$A98,DeadRaw!M:M)</f>
        <v>0</v>
      </c>
      <c r="K98">
        <f>SUMIF(DeadRaw!$B:$B,$A98,DeadRaw!N:N)</f>
        <v>0</v>
      </c>
      <c r="L98">
        <f>SUMIF(DeadRaw!$B:$B,$A98,DeadRaw!O:O)</f>
        <v>0</v>
      </c>
      <c r="M98">
        <f>SUMIF(DeadRaw!$B:$B,$A98,DeadRaw!P:P)</f>
        <v>0</v>
      </c>
      <c r="N98">
        <f>SUMIF(DeadRaw!$B:$B,$A98,DeadRaw!Q:Q)</f>
        <v>0</v>
      </c>
      <c r="O98">
        <f>SUMIF(DeadRaw!$B:$B,$A98,DeadRaw!R:R)</f>
        <v>0</v>
      </c>
      <c r="P98">
        <f>SUMIF(DeadRaw!$B:$B,$A98,DeadRaw!S:S)</f>
        <v>0</v>
      </c>
      <c r="Q98">
        <f>SUMIF(DeadRaw!$B:$B,$A98,DeadRaw!T:T)</f>
        <v>0</v>
      </c>
      <c r="R98">
        <f>SUMIF(DeadRaw!$B:$B,$A98,DeadRaw!U:U)</f>
        <v>0</v>
      </c>
      <c r="S98">
        <f>SUMIF(DeadRaw!$B:$B,$A98,DeadRaw!V:V)</f>
        <v>0</v>
      </c>
      <c r="T98">
        <f>SUMIF(DeadRaw!$B:$B,$A98,DeadRaw!W:W)</f>
        <v>0</v>
      </c>
      <c r="U98">
        <f>SUMIF(DeadRaw!$B:$B,$A98,DeadRaw!X:X)</f>
        <v>0</v>
      </c>
      <c r="V98">
        <f>SUMIF(DeadRaw!$B:$B,$A98,DeadRaw!Y:Y)</f>
        <v>0</v>
      </c>
      <c r="W98">
        <f>SUMIF(DeadRaw!$B:$B,$A98,DeadRaw!Z:Z)</f>
        <v>0</v>
      </c>
      <c r="X98">
        <f>SUMIF(DeadRaw!$B:$B,$A98,DeadRaw!AA:AA)</f>
        <v>0</v>
      </c>
      <c r="Y98">
        <f>SUMIF(DeadRaw!$B:$B,$A98,DeadRaw!AB:AB)</f>
        <v>0</v>
      </c>
      <c r="Z98">
        <f>SUMIF(DeadRaw!$B:$B,$A98,DeadRaw!AC:AC)</f>
        <v>0</v>
      </c>
      <c r="AA98">
        <f>SUMIF(DeadRaw!$B:$B,$A98,DeadRaw!AD:AD)</f>
        <v>0</v>
      </c>
      <c r="AB98">
        <f>SUMIF(DeadRaw!$B:$B,$A98,DeadRaw!AE:AE)</f>
        <v>0</v>
      </c>
      <c r="AC98">
        <f>SUMIF(DeadRaw!$B:$B,$A98,DeadRaw!AF:AF)</f>
        <v>0</v>
      </c>
      <c r="AD98">
        <f>SUMIF(DeadRaw!$B:$B,$A98,DeadRaw!AG:AG)</f>
        <v>0</v>
      </c>
      <c r="AE98">
        <f>SUMIF(DeadRaw!$B:$B,$A98,DeadRaw!AH:AH)</f>
        <v>0</v>
      </c>
      <c r="AF98">
        <f>SUMIF(DeadRaw!$B:$B,$A98,DeadRaw!AI:AI)</f>
        <v>0</v>
      </c>
      <c r="AG98">
        <f>SUMIF(DeadRaw!$B:$B,$A98,DeadRaw!AJ:AJ)</f>
        <v>0</v>
      </c>
      <c r="AH98">
        <f>SUMIF(DeadRaw!$B:$B,$A98,DeadRaw!AK:AK)</f>
        <v>0</v>
      </c>
      <c r="AI98">
        <f>SUMIF(DeadRaw!$B:$B,$A98,DeadRaw!AL:AL)</f>
        <v>0</v>
      </c>
      <c r="AJ98">
        <f>SUMIF(DeadRaw!$B:$B,$A98,DeadRaw!AM:AM)</f>
        <v>0</v>
      </c>
      <c r="AK98">
        <f>SUMIF(DeadRaw!$B:$B,$A98,DeadRaw!AN:AN)</f>
        <v>0</v>
      </c>
      <c r="AL98">
        <f>SUMIF(DeadRaw!$B:$B,$A98,DeadRaw!AO:AO)</f>
        <v>0</v>
      </c>
      <c r="AM98">
        <f>SUMIF(DeadRaw!$B:$B,$A98,DeadRaw!AP:AP)</f>
        <v>0</v>
      </c>
      <c r="AN98">
        <f>SUMIF(DeadRaw!$B:$B,$A98,DeadRaw!AQ:AQ)</f>
        <v>0</v>
      </c>
      <c r="AO98">
        <f>SUMIF(DeadRaw!$B:$B,$A98,DeadRaw!AR:AR)</f>
        <v>0</v>
      </c>
      <c r="AP98">
        <f>SUMIF(DeadRaw!$B:$B,$A98,DeadRaw!AS:AS)</f>
        <v>0</v>
      </c>
      <c r="AQ98">
        <f>SUMIF(DeadRaw!$B:$B,$A98,DeadRaw!AT:AT)</f>
        <v>0</v>
      </c>
      <c r="AR98">
        <f>SUMIF(DeadRaw!$B:$B,$A98,DeadRaw!AU:AU)</f>
        <v>0</v>
      </c>
      <c r="AS98">
        <f>SUMIF(DeadRaw!$B:$B,$A98,DeadRaw!AV:AV)</f>
        <v>0</v>
      </c>
      <c r="AT98">
        <f>SUMIF(DeadRaw!$B:$B,$A98,DeadRaw!AW:AW)</f>
        <v>0</v>
      </c>
      <c r="AU98">
        <f>SUMIF(DeadRaw!$B:$B,$A98,DeadRaw!AX:AX)</f>
        <v>0</v>
      </c>
      <c r="AV98">
        <f>SUMIF(DeadRaw!$B:$B,$A98,DeadRaw!AY:AY)</f>
        <v>0</v>
      </c>
      <c r="AW98">
        <f>SUMIF(DeadRaw!$B:$B,$A98,DeadRaw!AZ:AZ)</f>
        <v>0</v>
      </c>
      <c r="AX98">
        <f>SUMIF(DeadRaw!$B:$B,$A98,DeadRaw!BA:BA)</f>
        <v>0</v>
      </c>
      <c r="AY98">
        <f>SUMIF(DeadRaw!$B:$B,$A98,DeadRaw!BB:BB)</f>
        <v>0</v>
      </c>
      <c r="AZ98">
        <f>SUMIF(DeadRaw!$B:$B,$A98,DeadRaw!BC:BC)</f>
        <v>0</v>
      </c>
      <c r="BA98">
        <f>SUMIF(DeadRaw!$B:$B,$A98,DeadRaw!BD:BD)</f>
        <v>0</v>
      </c>
      <c r="BB98">
        <f>SUMIF(DeadRaw!$B:$B,$A98,DeadRaw!BE:BE)</f>
        <v>0</v>
      </c>
      <c r="BC98">
        <f>SUMIF(DeadRaw!$B:$B,$A98,DeadRaw!BF:BF)</f>
        <v>0</v>
      </c>
      <c r="BD98">
        <f>SUMIF(DeadRaw!$B:$B,$A98,DeadRaw!BG:BG)</f>
        <v>0</v>
      </c>
      <c r="BE98">
        <f>SUMIF(DeadRaw!$B:$B,$A98,DeadRaw!BH:BH)</f>
        <v>0</v>
      </c>
      <c r="BF98">
        <f>SUMIF(DeadRaw!$B:$B,$A98,DeadRaw!BI:BI)</f>
        <v>0</v>
      </c>
      <c r="BG98">
        <f>SUMIF(DeadRaw!$B:$B,$A98,DeadRaw!BJ:BJ)</f>
        <v>0</v>
      </c>
      <c r="BH98">
        <f>SUMIF(DeadRaw!$B:$B,$A98,DeadRaw!BK:BK)</f>
        <v>3</v>
      </c>
      <c r="BI98">
        <f>SUMIF(DeadRaw!$B:$B,$A98,DeadRaw!BL:BL)</f>
        <v>0</v>
      </c>
      <c r="BJ98">
        <f>SUMIF(DeadRaw!$B:$B,$A98,DeadRaw!BM:BM)</f>
        <v>0</v>
      </c>
      <c r="BK98">
        <f>SUMIF(DeadRaw!$B:$B,$A98,DeadRaw!BN:BN)</f>
        <v>0</v>
      </c>
      <c r="BL98">
        <f>SUMIF(DeadRaw!$B:$B,$A98,DeadRaw!BO:BO)</f>
        <v>0</v>
      </c>
      <c r="BM98">
        <f>SUMIF(DeadRaw!$B:$B,$A98,DeadRaw!BP:BP)</f>
        <v>0</v>
      </c>
      <c r="BN98">
        <f>SUMIF(DeadRaw!$B:$B,$A98,DeadRaw!BQ:BQ)</f>
        <v>0</v>
      </c>
      <c r="BO98">
        <f>SUMIF(DeadRaw!$B:$B,$A98,DeadRaw!BR:BR)</f>
        <v>0</v>
      </c>
      <c r="BP98">
        <f>SUMIF(DeadRaw!$B:$B,$A98,DeadRaw!BS:BS)</f>
        <v>0</v>
      </c>
      <c r="BQ98">
        <f>SUMIF(DeadRaw!$B:$B,$A98,DeadRaw!BT:BT)</f>
        <v>0</v>
      </c>
      <c r="BR98">
        <f>SUMIF(DeadRaw!$B:$B,$A98,DeadRaw!BU:BU)</f>
        <v>0</v>
      </c>
      <c r="BS98">
        <f>SUMIF(DeadRaw!$B:$B,$A98,DeadRaw!BV:BV)</f>
        <v>0</v>
      </c>
      <c r="BT98">
        <f>SUMIF(DeadRaw!$B:$B,$A98,DeadRaw!BW:BW)</f>
        <v>0</v>
      </c>
    </row>
    <row r="99" spans="1:72" ht="15" thickBot="1" x14ac:dyDescent="0.35">
      <c r="A99" s="3" t="s">
        <v>202</v>
      </c>
      <c r="B99">
        <f>SUMIF(DeadRaw!$B:$B,$A99,DeadRaw!E:E)</f>
        <v>0</v>
      </c>
      <c r="C99">
        <f>SUMIF(DeadRaw!$B:$B,$A99,DeadRaw!F:F)</f>
        <v>0</v>
      </c>
      <c r="D99">
        <f>SUMIF(DeadRaw!$B:$B,$A99,DeadRaw!G:G)</f>
        <v>0</v>
      </c>
      <c r="E99">
        <f>SUMIF(DeadRaw!$B:$B,$A99,DeadRaw!H:H)</f>
        <v>0</v>
      </c>
      <c r="F99">
        <f>SUMIF(DeadRaw!$B:$B,$A99,DeadRaw!I:I)</f>
        <v>0</v>
      </c>
      <c r="G99">
        <f>SUMIF(DeadRaw!$B:$B,$A99,DeadRaw!J:J)</f>
        <v>0</v>
      </c>
      <c r="H99">
        <f>SUMIF(DeadRaw!$B:$B,$A99,DeadRaw!K:K)</f>
        <v>0</v>
      </c>
      <c r="I99">
        <f>SUMIF(DeadRaw!$B:$B,$A99,DeadRaw!L:L)</f>
        <v>0</v>
      </c>
      <c r="J99">
        <f>SUMIF(DeadRaw!$B:$B,$A99,DeadRaw!M:M)</f>
        <v>0</v>
      </c>
      <c r="K99">
        <f>SUMIF(DeadRaw!$B:$B,$A99,DeadRaw!N:N)</f>
        <v>0</v>
      </c>
      <c r="L99">
        <f>SUMIF(DeadRaw!$B:$B,$A99,DeadRaw!O:O)</f>
        <v>0</v>
      </c>
      <c r="M99">
        <f>SUMIF(DeadRaw!$B:$B,$A99,DeadRaw!P:P)</f>
        <v>0</v>
      </c>
      <c r="N99">
        <f>SUMIF(DeadRaw!$B:$B,$A99,DeadRaw!Q:Q)</f>
        <v>0</v>
      </c>
      <c r="O99">
        <f>SUMIF(DeadRaw!$B:$B,$A99,DeadRaw!R:R)</f>
        <v>0</v>
      </c>
      <c r="P99">
        <f>SUMIF(DeadRaw!$B:$B,$A99,DeadRaw!S:S)</f>
        <v>0</v>
      </c>
      <c r="Q99">
        <f>SUMIF(DeadRaw!$B:$B,$A99,DeadRaw!T:T)</f>
        <v>0</v>
      </c>
      <c r="R99">
        <f>SUMIF(DeadRaw!$B:$B,$A99,DeadRaw!U:U)</f>
        <v>0</v>
      </c>
      <c r="S99">
        <f>SUMIF(DeadRaw!$B:$B,$A99,DeadRaw!V:V)</f>
        <v>0</v>
      </c>
      <c r="T99">
        <f>SUMIF(DeadRaw!$B:$B,$A99,DeadRaw!W:W)</f>
        <v>0</v>
      </c>
      <c r="U99">
        <f>SUMIF(DeadRaw!$B:$B,$A99,DeadRaw!X:X)</f>
        <v>0</v>
      </c>
      <c r="V99">
        <f>SUMIF(DeadRaw!$B:$B,$A99,DeadRaw!Y:Y)</f>
        <v>0</v>
      </c>
      <c r="W99">
        <f>SUMIF(DeadRaw!$B:$B,$A99,DeadRaw!Z:Z)</f>
        <v>0</v>
      </c>
      <c r="X99">
        <f>SUMIF(DeadRaw!$B:$B,$A99,DeadRaw!AA:AA)</f>
        <v>0</v>
      </c>
      <c r="Y99">
        <f>SUMIF(DeadRaw!$B:$B,$A99,DeadRaw!AB:AB)</f>
        <v>0</v>
      </c>
      <c r="Z99">
        <f>SUMIF(DeadRaw!$B:$B,$A99,DeadRaw!AC:AC)</f>
        <v>0</v>
      </c>
      <c r="AA99">
        <f>SUMIF(DeadRaw!$B:$B,$A99,DeadRaw!AD:AD)</f>
        <v>0</v>
      </c>
      <c r="AB99">
        <f>SUMIF(DeadRaw!$B:$B,$A99,DeadRaw!AE:AE)</f>
        <v>0</v>
      </c>
      <c r="AC99">
        <f>SUMIF(DeadRaw!$B:$B,$A99,DeadRaw!AF:AF)</f>
        <v>0</v>
      </c>
      <c r="AD99">
        <f>SUMIF(DeadRaw!$B:$B,$A99,DeadRaw!AG:AG)</f>
        <v>0</v>
      </c>
      <c r="AE99">
        <f>SUMIF(DeadRaw!$B:$B,$A99,DeadRaw!AH:AH)</f>
        <v>0</v>
      </c>
      <c r="AF99">
        <f>SUMIF(DeadRaw!$B:$B,$A99,DeadRaw!AI:AI)</f>
        <v>0</v>
      </c>
      <c r="AG99">
        <f>SUMIF(DeadRaw!$B:$B,$A99,DeadRaw!AJ:AJ)</f>
        <v>0</v>
      </c>
      <c r="AH99">
        <f>SUMIF(DeadRaw!$B:$B,$A99,DeadRaw!AK:AK)</f>
        <v>0</v>
      </c>
      <c r="AI99">
        <f>SUMIF(DeadRaw!$B:$B,$A99,DeadRaw!AL:AL)</f>
        <v>0</v>
      </c>
      <c r="AJ99">
        <f>SUMIF(DeadRaw!$B:$B,$A99,DeadRaw!AM:AM)</f>
        <v>0</v>
      </c>
      <c r="AK99">
        <f>SUMIF(DeadRaw!$B:$B,$A99,DeadRaw!AN:AN)</f>
        <v>0</v>
      </c>
      <c r="AL99">
        <f>SUMIF(DeadRaw!$B:$B,$A99,DeadRaw!AO:AO)</f>
        <v>0</v>
      </c>
      <c r="AM99">
        <f>SUMIF(DeadRaw!$B:$B,$A99,DeadRaw!AP:AP)</f>
        <v>0</v>
      </c>
      <c r="AN99">
        <f>SUMIF(DeadRaw!$B:$B,$A99,DeadRaw!AQ:AQ)</f>
        <v>0</v>
      </c>
      <c r="AO99">
        <f>SUMIF(DeadRaw!$B:$B,$A99,DeadRaw!AR:AR)</f>
        <v>0</v>
      </c>
      <c r="AP99">
        <f>SUMIF(DeadRaw!$B:$B,$A99,DeadRaw!AS:AS)</f>
        <v>0</v>
      </c>
      <c r="AQ99">
        <f>SUMIF(DeadRaw!$B:$B,$A99,DeadRaw!AT:AT)</f>
        <v>0</v>
      </c>
      <c r="AR99">
        <f>SUMIF(DeadRaw!$B:$B,$A99,DeadRaw!AU:AU)</f>
        <v>0</v>
      </c>
      <c r="AS99">
        <f>SUMIF(DeadRaw!$B:$B,$A99,DeadRaw!AV:AV)</f>
        <v>0</v>
      </c>
      <c r="AT99">
        <f>SUMIF(DeadRaw!$B:$B,$A99,DeadRaw!AW:AW)</f>
        <v>0</v>
      </c>
      <c r="AU99">
        <f>SUMIF(DeadRaw!$B:$B,$A99,DeadRaw!AX:AX)</f>
        <v>0</v>
      </c>
      <c r="AV99">
        <f>SUMIF(DeadRaw!$B:$B,$A99,DeadRaw!AY:AY)</f>
        <v>0</v>
      </c>
      <c r="AW99">
        <f>SUMIF(DeadRaw!$B:$B,$A99,DeadRaw!AZ:AZ)</f>
        <v>0</v>
      </c>
      <c r="AX99">
        <f>SUMIF(DeadRaw!$B:$B,$A99,DeadRaw!BA:BA)</f>
        <v>0</v>
      </c>
      <c r="AY99">
        <f>SUMIF(DeadRaw!$B:$B,$A99,DeadRaw!BB:BB)</f>
        <v>0</v>
      </c>
      <c r="AZ99">
        <f>SUMIF(DeadRaw!$B:$B,$A99,DeadRaw!BC:BC)</f>
        <v>0</v>
      </c>
      <c r="BA99">
        <f>SUMIF(DeadRaw!$B:$B,$A99,DeadRaw!BD:BD)</f>
        <v>0</v>
      </c>
      <c r="BB99">
        <f>SUMIF(DeadRaw!$B:$B,$A99,DeadRaw!BE:BE)</f>
        <v>0</v>
      </c>
      <c r="BC99">
        <f>SUMIF(DeadRaw!$B:$B,$A99,DeadRaw!BF:BF)</f>
        <v>0</v>
      </c>
      <c r="BD99">
        <f>SUMIF(DeadRaw!$B:$B,$A99,DeadRaw!BG:BG)</f>
        <v>0</v>
      </c>
      <c r="BE99">
        <f>SUMIF(DeadRaw!$B:$B,$A99,DeadRaw!BH:BH)</f>
        <v>0</v>
      </c>
      <c r="BF99">
        <f>SUMIF(DeadRaw!$B:$B,$A99,DeadRaw!BI:BI)</f>
        <v>1</v>
      </c>
      <c r="BG99">
        <f>SUMIF(DeadRaw!$B:$B,$A99,DeadRaw!BJ:BJ)</f>
        <v>1</v>
      </c>
      <c r="BH99">
        <f>SUMIF(DeadRaw!$B:$B,$A99,DeadRaw!BK:BK)</f>
        <v>1</v>
      </c>
      <c r="BI99">
        <f>SUMIF(DeadRaw!$B:$B,$A99,DeadRaw!BL:BL)</f>
        <v>0</v>
      </c>
      <c r="BJ99">
        <f>SUMIF(DeadRaw!$B:$B,$A99,DeadRaw!BM:BM)</f>
        <v>0</v>
      </c>
      <c r="BK99">
        <f>SUMIF(DeadRaw!$B:$B,$A99,DeadRaw!BN:BN)</f>
        <v>0</v>
      </c>
      <c r="BL99">
        <f>SUMIF(DeadRaw!$B:$B,$A99,DeadRaw!BO:BO)</f>
        <v>0</v>
      </c>
      <c r="BM99">
        <f>SUMIF(DeadRaw!$B:$B,$A99,DeadRaw!BP:BP)</f>
        <v>0</v>
      </c>
      <c r="BN99">
        <f>SUMIF(DeadRaw!$B:$B,$A99,DeadRaw!BQ:BQ)</f>
        <v>0</v>
      </c>
      <c r="BO99">
        <f>SUMIF(DeadRaw!$B:$B,$A99,DeadRaw!BR:BR)</f>
        <v>0</v>
      </c>
      <c r="BP99">
        <f>SUMIF(DeadRaw!$B:$B,$A99,DeadRaw!BS:BS)</f>
        <v>0</v>
      </c>
      <c r="BQ99">
        <f>SUMIF(DeadRaw!$B:$B,$A99,DeadRaw!BT:BT)</f>
        <v>0</v>
      </c>
      <c r="BR99">
        <f>SUMIF(DeadRaw!$B:$B,$A99,DeadRaw!BU:BU)</f>
        <v>0</v>
      </c>
      <c r="BS99">
        <f>SUMIF(DeadRaw!$B:$B,$A99,DeadRaw!BV:BV)</f>
        <v>0</v>
      </c>
      <c r="BT99">
        <f>SUMIF(DeadRaw!$B:$B,$A99,DeadRaw!BW:BW)</f>
        <v>0</v>
      </c>
    </row>
    <row r="100" spans="1:72" ht="15" thickBot="1" x14ac:dyDescent="0.35">
      <c r="A100" s="3" t="s">
        <v>346</v>
      </c>
      <c r="B100">
        <f>SUMIF(DeadRaw!$B:$B,$A100,DeadRaw!E:E)</f>
        <v>0</v>
      </c>
      <c r="C100">
        <f>SUMIF(DeadRaw!$B:$B,$A100,DeadRaw!F:F)</f>
        <v>0</v>
      </c>
      <c r="D100">
        <f>SUMIF(DeadRaw!$B:$B,$A100,DeadRaw!G:G)</f>
        <v>0</v>
      </c>
      <c r="E100">
        <f>SUMIF(DeadRaw!$B:$B,$A100,DeadRaw!H:H)</f>
        <v>0</v>
      </c>
      <c r="F100">
        <f>SUMIF(DeadRaw!$B:$B,$A100,DeadRaw!I:I)</f>
        <v>0</v>
      </c>
      <c r="G100">
        <f>SUMIF(DeadRaw!$B:$B,$A100,DeadRaw!J:J)</f>
        <v>0</v>
      </c>
      <c r="H100">
        <f>SUMIF(DeadRaw!$B:$B,$A100,DeadRaw!K:K)</f>
        <v>0</v>
      </c>
      <c r="I100">
        <f>SUMIF(DeadRaw!$B:$B,$A100,DeadRaw!L:L)</f>
        <v>0</v>
      </c>
      <c r="J100">
        <f>SUMIF(DeadRaw!$B:$B,$A100,DeadRaw!M:M)</f>
        <v>0</v>
      </c>
      <c r="K100">
        <f>SUMIF(DeadRaw!$B:$B,$A100,DeadRaw!N:N)</f>
        <v>0</v>
      </c>
      <c r="L100">
        <f>SUMIF(DeadRaw!$B:$B,$A100,DeadRaw!O:O)</f>
        <v>0</v>
      </c>
      <c r="M100">
        <f>SUMIF(DeadRaw!$B:$B,$A100,DeadRaw!P:P)</f>
        <v>0</v>
      </c>
      <c r="N100">
        <f>SUMIF(DeadRaw!$B:$B,$A100,DeadRaw!Q:Q)</f>
        <v>0</v>
      </c>
      <c r="O100">
        <f>SUMIF(DeadRaw!$B:$B,$A100,DeadRaw!R:R)</f>
        <v>0</v>
      </c>
      <c r="P100">
        <f>SUMIF(DeadRaw!$B:$B,$A100,DeadRaw!S:S)</f>
        <v>0</v>
      </c>
      <c r="Q100">
        <f>SUMIF(DeadRaw!$B:$B,$A100,DeadRaw!T:T)</f>
        <v>0</v>
      </c>
      <c r="R100">
        <f>SUMIF(DeadRaw!$B:$B,$A100,DeadRaw!U:U)</f>
        <v>0</v>
      </c>
      <c r="S100">
        <f>SUMIF(DeadRaw!$B:$B,$A100,DeadRaw!V:V)</f>
        <v>0</v>
      </c>
      <c r="T100">
        <f>SUMIF(DeadRaw!$B:$B,$A100,DeadRaw!W:W)</f>
        <v>0</v>
      </c>
      <c r="U100">
        <f>SUMIF(DeadRaw!$B:$B,$A100,DeadRaw!X:X)</f>
        <v>0</v>
      </c>
      <c r="V100">
        <f>SUMIF(DeadRaw!$B:$B,$A100,DeadRaw!Y:Y)</f>
        <v>0</v>
      </c>
      <c r="W100">
        <f>SUMIF(DeadRaw!$B:$B,$A100,DeadRaw!Z:Z)</f>
        <v>0</v>
      </c>
      <c r="X100">
        <f>SUMIF(DeadRaw!$B:$B,$A100,DeadRaw!AA:AA)</f>
        <v>0</v>
      </c>
      <c r="Y100">
        <f>SUMIF(DeadRaw!$B:$B,$A100,DeadRaw!AB:AB)</f>
        <v>0</v>
      </c>
      <c r="Z100">
        <f>SUMIF(DeadRaw!$B:$B,$A100,DeadRaw!AC:AC)</f>
        <v>0</v>
      </c>
      <c r="AA100">
        <f>SUMIF(DeadRaw!$B:$B,$A100,DeadRaw!AD:AD)</f>
        <v>0</v>
      </c>
      <c r="AB100">
        <f>SUMIF(DeadRaw!$B:$B,$A100,DeadRaw!AE:AE)</f>
        <v>0</v>
      </c>
      <c r="AC100">
        <f>SUMIF(DeadRaw!$B:$B,$A100,DeadRaw!AF:AF)</f>
        <v>0</v>
      </c>
      <c r="AD100">
        <f>SUMIF(DeadRaw!$B:$B,$A100,DeadRaw!AG:AG)</f>
        <v>0</v>
      </c>
      <c r="AE100">
        <f>SUMIF(DeadRaw!$B:$B,$A100,DeadRaw!AH:AH)</f>
        <v>0</v>
      </c>
      <c r="AF100">
        <f>SUMIF(DeadRaw!$B:$B,$A100,DeadRaw!AI:AI)</f>
        <v>0</v>
      </c>
      <c r="AG100">
        <f>SUMIF(DeadRaw!$B:$B,$A100,DeadRaw!AJ:AJ)</f>
        <v>0</v>
      </c>
      <c r="AH100">
        <f>SUMIF(DeadRaw!$B:$B,$A100,DeadRaw!AK:AK)</f>
        <v>0</v>
      </c>
      <c r="AI100">
        <f>SUMIF(DeadRaw!$B:$B,$A100,DeadRaw!AL:AL)</f>
        <v>0</v>
      </c>
      <c r="AJ100">
        <f>SUMIF(DeadRaw!$B:$B,$A100,DeadRaw!AM:AM)</f>
        <v>0</v>
      </c>
      <c r="AK100">
        <f>SUMIF(DeadRaw!$B:$B,$A100,DeadRaw!AN:AN)</f>
        <v>0</v>
      </c>
      <c r="AL100">
        <f>SUMIF(DeadRaw!$B:$B,$A100,DeadRaw!AO:AO)</f>
        <v>0</v>
      </c>
      <c r="AM100">
        <f>SUMIF(DeadRaw!$B:$B,$A100,DeadRaw!AP:AP)</f>
        <v>0</v>
      </c>
      <c r="AN100">
        <f>SUMIF(DeadRaw!$B:$B,$A100,DeadRaw!AQ:AQ)</f>
        <v>0</v>
      </c>
      <c r="AO100">
        <f>SUMIF(DeadRaw!$B:$B,$A100,DeadRaw!AR:AR)</f>
        <v>0</v>
      </c>
      <c r="AP100">
        <f>SUMIF(DeadRaw!$B:$B,$A100,DeadRaw!AS:AS)</f>
        <v>0</v>
      </c>
      <c r="AQ100">
        <f>SUMIF(DeadRaw!$B:$B,$A100,DeadRaw!AT:AT)</f>
        <v>0</v>
      </c>
      <c r="AR100">
        <f>SUMIF(DeadRaw!$B:$B,$A100,DeadRaw!AU:AU)</f>
        <v>0</v>
      </c>
      <c r="AS100">
        <f>SUMIF(DeadRaw!$B:$B,$A100,DeadRaw!AV:AV)</f>
        <v>0</v>
      </c>
      <c r="AT100">
        <f>SUMIF(DeadRaw!$B:$B,$A100,DeadRaw!AW:AW)</f>
        <v>0</v>
      </c>
      <c r="AU100">
        <f>SUMIF(DeadRaw!$B:$B,$A100,DeadRaw!AX:AX)</f>
        <v>0</v>
      </c>
      <c r="AV100">
        <f>SUMIF(DeadRaw!$B:$B,$A100,DeadRaw!AY:AY)</f>
        <v>0</v>
      </c>
      <c r="AW100">
        <f>SUMIF(DeadRaw!$B:$B,$A100,DeadRaw!AZ:AZ)</f>
        <v>0</v>
      </c>
      <c r="AX100">
        <f>SUMIF(DeadRaw!$B:$B,$A100,DeadRaw!BA:BA)</f>
        <v>0</v>
      </c>
      <c r="AY100">
        <f>SUMIF(DeadRaw!$B:$B,$A100,DeadRaw!BB:BB)</f>
        <v>0</v>
      </c>
      <c r="AZ100">
        <f>SUMIF(DeadRaw!$B:$B,$A100,DeadRaw!BC:BC)</f>
        <v>0</v>
      </c>
      <c r="BA100">
        <f>SUMIF(DeadRaw!$B:$B,$A100,DeadRaw!BD:BD)</f>
        <v>0</v>
      </c>
      <c r="BB100">
        <f>SUMIF(DeadRaw!$B:$B,$A100,DeadRaw!BE:BE)</f>
        <v>0</v>
      </c>
      <c r="BC100">
        <f>SUMIF(DeadRaw!$B:$B,$A100,DeadRaw!BF:BF)</f>
        <v>0</v>
      </c>
      <c r="BD100">
        <f>SUMIF(DeadRaw!$B:$B,$A100,DeadRaw!BG:BG)</f>
        <v>0</v>
      </c>
      <c r="BE100">
        <f>SUMIF(DeadRaw!$B:$B,$A100,DeadRaw!BH:BH)</f>
        <v>0</v>
      </c>
      <c r="BF100">
        <f>SUMIF(DeadRaw!$B:$B,$A100,DeadRaw!BI:BI)</f>
        <v>0</v>
      </c>
      <c r="BG100">
        <f>SUMIF(DeadRaw!$B:$B,$A100,DeadRaw!BJ:BJ)</f>
        <v>0</v>
      </c>
      <c r="BH100">
        <f>SUMIF(DeadRaw!$B:$B,$A100,DeadRaw!BK:BK)</f>
        <v>0</v>
      </c>
      <c r="BI100">
        <f>SUMIF(DeadRaw!$B:$B,$A100,DeadRaw!BL:BL)</f>
        <v>0</v>
      </c>
      <c r="BJ100">
        <f>SUMIF(DeadRaw!$B:$B,$A100,DeadRaw!BM:BM)</f>
        <v>0</v>
      </c>
      <c r="BK100">
        <f>SUMIF(DeadRaw!$B:$B,$A100,DeadRaw!BN:BN)</f>
        <v>0</v>
      </c>
      <c r="BL100">
        <f>SUMIF(DeadRaw!$B:$B,$A100,DeadRaw!BO:BO)</f>
        <v>0</v>
      </c>
      <c r="BM100">
        <f>SUMIF(DeadRaw!$B:$B,$A100,DeadRaw!BP:BP)</f>
        <v>0</v>
      </c>
      <c r="BN100">
        <f>SUMIF(DeadRaw!$B:$B,$A100,DeadRaw!BQ:BQ)</f>
        <v>0</v>
      </c>
      <c r="BO100">
        <f>SUMIF(DeadRaw!$B:$B,$A100,DeadRaw!BR:BR)</f>
        <v>0</v>
      </c>
      <c r="BP100">
        <f>SUMIF(DeadRaw!$B:$B,$A100,DeadRaw!BS:BS)</f>
        <v>0</v>
      </c>
      <c r="BQ100">
        <f>SUMIF(DeadRaw!$B:$B,$A100,DeadRaw!BT:BT)</f>
        <v>0</v>
      </c>
      <c r="BR100">
        <f>SUMIF(DeadRaw!$B:$B,$A100,DeadRaw!BU:BU)</f>
        <v>0</v>
      </c>
      <c r="BS100">
        <f>SUMIF(DeadRaw!$B:$B,$A100,DeadRaw!BV:BV)</f>
        <v>0</v>
      </c>
      <c r="BT100">
        <f>SUMIF(DeadRaw!$B:$B,$A100,DeadRaw!BW:BW)</f>
        <v>0</v>
      </c>
    </row>
    <row r="101" spans="1:72" ht="15" thickBot="1" x14ac:dyDescent="0.35">
      <c r="A101" s="4" t="s">
        <v>180</v>
      </c>
      <c r="B101">
        <f>SUMIF(DeadRaw!$B:$B,$A101,DeadRaw!E:E)</f>
        <v>0</v>
      </c>
      <c r="C101">
        <f>SUMIF(DeadRaw!$B:$B,$A101,DeadRaw!F:F)</f>
        <v>0</v>
      </c>
      <c r="D101">
        <f>SUMIF(DeadRaw!$B:$B,$A101,DeadRaw!G:G)</f>
        <v>0</v>
      </c>
      <c r="E101">
        <f>SUMIF(DeadRaw!$B:$B,$A101,DeadRaw!H:H)</f>
        <v>0</v>
      </c>
      <c r="F101">
        <f>SUMIF(DeadRaw!$B:$B,$A101,DeadRaw!I:I)</f>
        <v>0</v>
      </c>
      <c r="G101">
        <f>SUMIF(DeadRaw!$B:$B,$A101,DeadRaw!J:J)</f>
        <v>0</v>
      </c>
      <c r="H101">
        <f>SUMIF(DeadRaw!$B:$B,$A101,DeadRaw!K:K)</f>
        <v>0</v>
      </c>
      <c r="I101">
        <f>SUMIF(DeadRaw!$B:$B,$A101,DeadRaw!L:L)</f>
        <v>0</v>
      </c>
      <c r="J101">
        <f>SUMIF(DeadRaw!$B:$B,$A101,DeadRaw!M:M)</f>
        <v>0</v>
      </c>
      <c r="K101">
        <f>SUMIF(DeadRaw!$B:$B,$A101,DeadRaw!N:N)</f>
        <v>0</v>
      </c>
      <c r="L101">
        <f>SUMIF(DeadRaw!$B:$B,$A101,DeadRaw!O:O)</f>
        <v>0</v>
      </c>
      <c r="M101">
        <f>SUMIF(DeadRaw!$B:$B,$A101,DeadRaw!P:P)</f>
        <v>0</v>
      </c>
      <c r="N101">
        <f>SUMIF(DeadRaw!$B:$B,$A101,DeadRaw!Q:Q)</f>
        <v>0</v>
      </c>
      <c r="O101">
        <f>SUMIF(DeadRaw!$B:$B,$A101,DeadRaw!R:R)</f>
        <v>0</v>
      </c>
      <c r="P101">
        <f>SUMIF(DeadRaw!$B:$B,$A101,DeadRaw!S:S)</f>
        <v>0</v>
      </c>
      <c r="Q101">
        <f>SUMIF(DeadRaw!$B:$B,$A101,DeadRaw!T:T)</f>
        <v>0</v>
      </c>
      <c r="R101">
        <f>SUMIF(DeadRaw!$B:$B,$A101,DeadRaw!U:U)</f>
        <v>0</v>
      </c>
      <c r="S101">
        <f>SUMIF(DeadRaw!$B:$B,$A101,DeadRaw!V:V)</f>
        <v>0</v>
      </c>
      <c r="T101">
        <f>SUMIF(DeadRaw!$B:$B,$A101,DeadRaw!W:W)</f>
        <v>0</v>
      </c>
      <c r="U101">
        <f>SUMIF(DeadRaw!$B:$B,$A101,DeadRaw!X:X)</f>
        <v>0</v>
      </c>
      <c r="V101">
        <f>SUMIF(DeadRaw!$B:$B,$A101,DeadRaw!Y:Y)</f>
        <v>0</v>
      </c>
      <c r="W101">
        <f>SUMIF(DeadRaw!$B:$B,$A101,DeadRaw!Z:Z)</f>
        <v>0</v>
      </c>
      <c r="X101">
        <f>SUMIF(DeadRaw!$B:$B,$A101,DeadRaw!AA:AA)</f>
        <v>0</v>
      </c>
      <c r="Y101">
        <f>SUMIF(DeadRaw!$B:$B,$A101,DeadRaw!AB:AB)</f>
        <v>0</v>
      </c>
      <c r="Z101">
        <f>SUMIF(DeadRaw!$B:$B,$A101,DeadRaw!AC:AC)</f>
        <v>0</v>
      </c>
      <c r="AA101">
        <f>SUMIF(DeadRaw!$B:$B,$A101,DeadRaw!AD:AD)</f>
        <v>0</v>
      </c>
      <c r="AB101">
        <f>SUMIF(DeadRaw!$B:$B,$A101,DeadRaw!AE:AE)</f>
        <v>0</v>
      </c>
      <c r="AC101">
        <f>SUMIF(DeadRaw!$B:$B,$A101,DeadRaw!AF:AF)</f>
        <v>0</v>
      </c>
      <c r="AD101">
        <f>SUMIF(DeadRaw!$B:$B,$A101,DeadRaw!AG:AG)</f>
        <v>0</v>
      </c>
      <c r="AE101">
        <f>SUMIF(DeadRaw!$B:$B,$A101,DeadRaw!AH:AH)</f>
        <v>0</v>
      </c>
      <c r="AF101">
        <f>SUMIF(DeadRaw!$B:$B,$A101,DeadRaw!AI:AI)</f>
        <v>0</v>
      </c>
      <c r="AG101">
        <f>SUMIF(DeadRaw!$B:$B,$A101,DeadRaw!AJ:AJ)</f>
        <v>0</v>
      </c>
      <c r="AH101">
        <f>SUMIF(DeadRaw!$B:$B,$A101,DeadRaw!AK:AK)</f>
        <v>0</v>
      </c>
      <c r="AI101">
        <f>SUMIF(DeadRaw!$B:$B,$A101,DeadRaw!AL:AL)</f>
        <v>0</v>
      </c>
      <c r="AJ101">
        <f>SUMIF(DeadRaw!$B:$B,$A101,DeadRaw!AM:AM)</f>
        <v>0</v>
      </c>
      <c r="AK101">
        <f>SUMIF(DeadRaw!$B:$B,$A101,DeadRaw!AN:AN)</f>
        <v>0</v>
      </c>
      <c r="AL101">
        <f>SUMIF(DeadRaw!$B:$B,$A101,DeadRaw!AO:AO)</f>
        <v>0</v>
      </c>
      <c r="AM101">
        <f>SUMIF(DeadRaw!$B:$B,$A101,DeadRaw!AP:AP)</f>
        <v>0</v>
      </c>
      <c r="AN101">
        <f>SUMIF(DeadRaw!$B:$B,$A101,DeadRaw!AQ:AQ)</f>
        <v>0</v>
      </c>
      <c r="AO101">
        <f>SUMIF(DeadRaw!$B:$B,$A101,DeadRaw!AR:AR)</f>
        <v>0</v>
      </c>
      <c r="AP101">
        <f>SUMIF(DeadRaw!$B:$B,$A101,DeadRaw!AS:AS)</f>
        <v>0</v>
      </c>
      <c r="AQ101">
        <f>SUMIF(DeadRaw!$B:$B,$A101,DeadRaw!AT:AT)</f>
        <v>0</v>
      </c>
      <c r="AR101">
        <f>SUMIF(DeadRaw!$B:$B,$A101,DeadRaw!AU:AU)</f>
        <v>0</v>
      </c>
      <c r="AS101">
        <f>SUMIF(DeadRaw!$B:$B,$A101,DeadRaw!AV:AV)</f>
        <v>0</v>
      </c>
      <c r="AT101">
        <f>SUMIF(DeadRaw!$B:$B,$A101,DeadRaw!AW:AW)</f>
        <v>0</v>
      </c>
      <c r="AU101">
        <f>SUMIF(DeadRaw!$B:$B,$A101,DeadRaw!AX:AX)</f>
        <v>0</v>
      </c>
      <c r="AV101">
        <f>SUMIF(DeadRaw!$B:$B,$A101,DeadRaw!AY:AY)</f>
        <v>0</v>
      </c>
      <c r="AW101">
        <f>SUMIF(DeadRaw!$B:$B,$A101,DeadRaw!AZ:AZ)</f>
        <v>0</v>
      </c>
      <c r="AX101">
        <f>SUMIF(DeadRaw!$B:$B,$A101,DeadRaw!BA:BA)</f>
        <v>0</v>
      </c>
      <c r="AY101">
        <f>SUMIF(DeadRaw!$B:$B,$A101,DeadRaw!BB:BB)</f>
        <v>0</v>
      </c>
      <c r="AZ101">
        <f>SUMIF(DeadRaw!$B:$B,$A101,DeadRaw!BC:BC)</f>
        <v>0</v>
      </c>
      <c r="BA101">
        <f>SUMIF(DeadRaw!$B:$B,$A101,DeadRaw!BD:BD)</f>
        <v>0</v>
      </c>
      <c r="BB101">
        <f>SUMIF(DeadRaw!$B:$B,$A101,DeadRaw!BE:BE)</f>
        <v>0</v>
      </c>
      <c r="BC101">
        <f>SUMIF(DeadRaw!$B:$B,$A101,DeadRaw!BF:BF)</f>
        <v>0</v>
      </c>
      <c r="BD101">
        <f>SUMIF(DeadRaw!$B:$B,$A101,DeadRaw!BG:BG)</f>
        <v>1</v>
      </c>
      <c r="BE101">
        <f>SUMIF(DeadRaw!$B:$B,$A101,DeadRaw!BH:BH)</f>
        <v>1</v>
      </c>
      <c r="BF101">
        <f>SUMIF(DeadRaw!$B:$B,$A101,DeadRaw!BI:BI)</f>
        <v>1</v>
      </c>
      <c r="BG101">
        <f>SUMIF(DeadRaw!$B:$B,$A101,DeadRaw!BJ:BJ)</f>
        <v>1</v>
      </c>
      <c r="BH101">
        <f>SUMIF(DeadRaw!$B:$B,$A101,DeadRaw!BK:BK)</f>
        <v>1</v>
      </c>
      <c r="BI101">
        <f>SUMIF(DeadRaw!$B:$B,$A101,DeadRaw!BL:BL)</f>
        <v>0</v>
      </c>
      <c r="BJ101">
        <f>SUMIF(DeadRaw!$B:$B,$A101,DeadRaw!BM:BM)</f>
        <v>0</v>
      </c>
      <c r="BK101">
        <f>SUMIF(DeadRaw!$B:$B,$A101,DeadRaw!BN:BN)</f>
        <v>0</v>
      </c>
      <c r="BL101">
        <f>SUMIF(DeadRaw!$B:$B,$A101,DeadRaw!BO:BO)</f>
        <v>0</v>
      </c>
      <c r="BM101">
        <f>SUMIF(DeadRaw!$B:$B,$A101,DeadRaw!BP:BP)</f>
        <v>0</v>
      </c>
      <c r="BN101">
        <f>SUMIF(DeadRaw!$B:$B,$A101,DeadRaw!BQ:BQ)</f>
        <v>0</v>
      </c>
      <c r="BO101">
        <f>SUMIF(DeadRaw!$B:$B,$A101,DeadRaw!BR:BR)</f>
        <v>0</v>
      </c>
      <c r="BP101">
        <f>SUMIF(DeadRaw!$B:$B,$A101,DeadRaw!BS:BS)</f>
        <v>0</v>
      </c>
      <c r="BQ101">
        <f>SUMIF(DeadRaw!$B:$B,$A101,DeadRaw!BT:BT)</f>
        <v>0</v>
      </c>
      <c r="BR101">
        <f>SUMIF(DeadRaw!$B:$B,$A101,DeadRaw!BU:BU)</f>
        <v>0</v>
      </c>
      <c r="BS101">
        <f>SUMIF(DeadRaw!$B:$B,$A101,DeadRaw!BV:BV)</f>
        <v>0</v>
      </c>
      <c r="BT101">
        <f>SUMIF(DeadRaw!$B:$B,$A101,DeadRaw!BW:BW)</f>
        <v>0</v>
      </c>
    </row>
    <row r="102" spans="1:72" ht="15" thickBot="1" x14ac:dyDescent="0.35">
      <c r="A102" s="3" t="s">
        <v>129</v>
      </c>
      <c r="B102">
        <f>SUMIF(DeadRaw!$B:$B,$A102,DeadRaw!E:E)</f>
        <v>0</v>
      </c>
      <c r="C102">
        <f>SUMIF(DeadRaw!$B:$B,$A102,DeadRaw!F:F)</f>
        <v>0</v>
      </c>
      <c r="D102">
        <f>SUMIF(DeadRaw!$B:$B,$A102,DeadRaw!G:G)</f>
        <v>0</v>
      </c>
      <c r="E102">
        <f>SUMIF(DeadRaw!$B:$B,$A102,DeadRaw!H:H)</f>
        <v>0</v>
      </c>
      <c r="F102">
        <f>SUMIF(DeadRaw!$B:$B,$A102,DeadRaw!I:I)</f>
        <v>0</v>
      </c>
      <c r="G102">
        <f>SUMIF(DeadRaw!$B:$B,$A102,DeadRaw!J:J)</f>
        <v>0</v>
      </c>
      <c r="H102">
        <f>SUMIF(DeadRaw!$B:$B,$A102,DeadRaw!K:K)</f>
        <v>0</v>
      </c>
      <c r="I102">
        <f>SUMIF(DeadRaw!$B:$B,$A102,DeadRaw!L:L)</f>
        <v>0</v>
      </c>
      <c r="J102">
        <f>SUMIF(DeadRaw!$B:$B,$A102,DeadRaw!M:M)</f>
        <v>0</v>
      </c>
      <c r="K102">
        <f>SUMIF(DeadRaw!$B:$B,$A102,DeadRaw!N:N)</f>
        <v>0</v>
      </c>
      <c r="L102">
        <f>SUMIF(DeadRaw!$B:$B,$A102,DeadRaw!O:O)</f>
        <v>0</v>
      </c>
      <c r="M102">
        <f>SUMIF(DeadRaw!$B:$B,$A102,DeadRaw!P:P)</f>
        <v>0</v>
      </c>
      <c r="N102">
        <f>SUMIF(DeadRaw!$B:$B,$A102,DeadRaw!Q:Q)</f>
        <v>0</v>
      </c>
      <c r="O102">
        <f>SUMIF(DeadRaw!$B:$B,$A102,DeadRaw!R:R)</f>
        <v>0</v>
      </c>
      <c r="P102">
        <f>SUMIF(DeadRaw!$B:$B,$A102,DeadRaw!S:S)</f>
        <v>0</v>
      </c>
      <c r="Q102">
        <f>SUMIF(DeadRaw!$B:$B,$A102,DeadRaw!T:T)</f>
        <v>0</v>
      </c>
      <c r="R102">
        <f>SUMIF(DeadRaw!$B:$B,$A102,DeadRaw!U:U)</f>
        <v>0</v>
      </c>
      <c r="S102">
        <f>SUMIF(DeadRaw!$B:$B,$A102,DeadRaw!V:V)</f>
        <v>0</v>
      </c>
      <c r="T102">
        <f>SUMIF(DeadRaw!$B:$B,$A102,DeadRaw!W:W)</f>
        <v>0</v>
      </c>
      <c r="U102">
        <f>SUMIF(DeadRaw!$B:$B,$A102,DeadRaw!X:X)</f>
        <v>0</v>
      </c>
      <c r="V102">
        <f>SUMIF(DeadRaw!$B:$B,$A102,DeadRaw!Y:Y)</f>
        <v>0</v>
      </c>
      <c r="W102">
        <f>SUMIF(DeadRaw!$B:$B,$A102,DeadRaw!Z:Z)</f>
        <v>0</v>
      </c>
      <c r="X102">
        <f>SUMIF(DeadRaw!$B:$B,$A102,DeadRaw!AA:AA)</f>
        <v>0</v>
      </c>
      <c r="Y102">
        <f>SUMIF(DeadRaw!$B:$B,$A102,DeadRaw!AB:AB)</f>
        <v>0</v>
      </c>
      <c r="Z102">
        <f>SUMIF(DeadRaw!$B:$B,$A102,DeadRaw!AC:AC)</f>
        <v>0</v>
      </c>
      <c r="AA102">
        <f>SUMIF(DeadRaw!$B:$B,$A102,DeadRaw!AD:AD)</f>
        <v>0</v>
      </c>
      <c r="AB102">
        <f>SUMIF(DeadRaw!$B:$B,$A102,DeadRaw!AE:AE)</f>
        <v>0</v>
      </c>
      <c r="AC102">
        <f>SUMIF(DeadRaw!$B:$B,$A102,DeadRaw!AF:AF)</f>
        <v>0</v>
      </c>
      <c r="AD102">
        <f>SUMIF(DeadRaw!$B:$B,$A102,DeadRaw!AG:AG)</f>
        <v>0</v>
      </c>
      <c r="AE102">
        <f>SUMIF(DeadRaw!$B:$B,$A102,DeadRaw!AH:AH)</f>
        <v>0</v>
      </c>
      <c r="AF102">
        <f>SUMIF(DeadRaw!$B:$B,$A102,DeadRaw!AI:AI)</f>
        <v>0</v>
      </c>
      <c r="AG102">
        <f>SUMIF(DeadRaw!$B:$B,$A102,DeadRaw!AJ:AJ)</f>
        <v>0</v>
      </c>
      <c r="AH102">
        <f>SUMIF(DeadRaw!$B:$B,$A102,DeadRaw!AK:AK)</f>
        <v>0</v>
      </c>
      <c r="AI102">
        <f>SUMIF(DeadRaw!$B:$B,$A102,DeadRaw!AL:AL)</f>
        <v>0</v>
      </c>
      <c r="AJ102">
        <f>SUMIF(DeadRaw!$B:$B,$A102,DeadRaw!AM:AM)</f>
        <v>0</v>
      </c>
      <c r="AK102">
        <f>SUMIF(DeadRaw!$B:$B,$A102,DeadRaw!AN:AN)</f>
        <v>0</v>
      </c>
      <c r="AL102">
        <f>SUMIF(DeadRaw!$B:$B,$A102,DeadRaw!AO:AO)</f>
        <v>0</v>
      </c>
      <c r="AM102">
        <f>SUMIF(DeadRaw!$B:$B,$A102,DeadRaw!AP:AP)</f>
        <v>0</v>
      </c>
      <c r="AN102">
        <f>SUMIF(DeadRaw!$B:$B,$A102,DeadRaw!AQ:AQ)</f>
        <v>0</v>
      </c>
      <c r="AO102">
        <f>SUMIF(DeadRaw!$B:$B,$A102,DeadRaw!AR:AR)</f>
        <v>0</v>
      </c>
      <c r="AP102">
        <f>SUMIF(DeadRaw!$B:$B,$A102,DeadRaw!AS:AS)</f>
        <v>0</v>
      </c>
      <c r="AQ102">
        <f>SUMIF(DeadRaw!$B:$B,$A102,DeadRaw!AT:AT)</f>
        <v>0</v>
      </c>
      <c r="AR102">
        <f>SUMIF(DeadRaw!$B:$B,$A102,DeadRaw!AU:AU)</f>
        <v>0</v>
      </c>
      <c r="AS102">
        <f>SUMIF(DeadRaw!$B:$B,$A102,DeadRaw!AV:AV)</f>
        <v>0</v>
      </c>
      <c r="AT102">
        <f>SUMIF(DeadRaw!$B:$B,$A102,DeadRaw!AW:AW)</f>
        <v>0</v>
      </c>
      <c r="AU102">
        <f>SUMIF(DeadRaw!$B:$B,$A102,DeadRaw!AX:AX)</f>
        <v>0</v>
      </c>
      <c r="AV102">
        <f>SUMIF(DeadRaw!$B:$B,$A102,DeadRaw!AY:AY)</f>
        <v>0</v>
      </c>
      <c r="AW102">
        <f>SUMIF(DeadRaw!$B:$B,$A102,DeadRaw!AZ:AZ)</f>
        <v>0</v>
      </c>
      <c r="AX102">
        <f>SUMIF(DeadRaw!$B:$B,$A102,DeadRaw!BA:BA)</f>
        <v>0</v>
      </c>
      <c r="AY102">
        <f>SUMIF(DeadRaw!$B:$B,$A102,DeadRaw!BB:BB)</f>
        <v>0</v>
      </c>
      <c r="AZ102">
        <f>SUMIF(DeadRaw!$B:$B,$A102,DeadRaw!BC:BC)</f>
        <v>0</v>
      </c>
      <c r="BA102">
        <f>SUMIF(DeadRaw!$B:$B,$A102,DeadRaw!BD:BD)</f>
        <v>1</v>
      </c>
      <c r="BB102">
        <f>SUMIF(DeadRaw!$B:$B,$A102,DeadRaw!BE:BE)</f>
        <v>1</v>
      </c>
      <c r="BC102">
        <f>SUMIF(DeadRaw!$B:$B,$A102,DeadRaw!BF:BF)</f>
        <v>1</v>
      </c>
      <c r="BD102">
        <f>SUMIF(DeadRaw!$B:$B,$A102,DeadRaw!BG:BG)</f>
        <v>1</v>
      </c>
      <c r="BE102">
        <f>SUMIF(DeadRaw!$B:$B,$A102,DeadRaw!BH:BH)</f>
        <v>2</v>
      </c>
      <c r="BF102">
        <f>SUMIF(DeadRaw!$B:$B,$A102,DeadRaw!BI:BI)</f>
        <v>2</v>
      </c>
      <c r="BG102">
        <f>SUMIF(DeadRaw!$B:$B,$A102,DeadRaw!BJ:BJ)</f>
        <v>2</v>
      </c>
      <c r="BH102">
        <f>SUMIF(DeadRaw!$B:$B,$A102,DeadRaw!BK:BK)</f>
        <v>3</v>
      </c>
      <c r="BI102">
        <f>SUMIF(DeadRaw!$B:$B,$A102,DeadRaw!BL:BL)</f>
        <v>0</v>
      </c>
      <c r="BJ102">
        <f>SUMIF(DeadRaw!$B:$B,$A102,DeadRaw!BM:BM)</f>
        <v>0</v>
      </c>
      <c r="BK102">
        <f>SUMIF(DeadRaw!$B:$B,$A102,DeadRaw!BN:BN)</f>
        <v>0</v>
      </c>
      <c r="BL102">
        <f>SUMIF(DeadRaw!$B:$B,$A102,DeadRaw!BO:BO)</f>
        <v>0</v>
      </c>
      <c r="BM102">
        <f>SUMIF(DeadRaw!$B:$B,$A102,DeadRaw!BP:BP)</f>
        <v>0</v>
      </c>
      <c r="BN102">
        <f>SUMIF(DeadRaw!$B:$B,$A102,DeadRaw!BQ:BQ)</f>
        <v>0</v>
      </c>
      <c r="BO102">
        <f>SUMIF(DeadRaw!$B:$B,$A102,DeadRaw!BR:BR)</f>
        <v>0</v>
      </c>
      <c r="BP102">
        <f>SUMIF(DeadRaw!$B:$B,$A102,DeadRaw!BS:BS)</f>
        <v>0</v>
      </c>
      <c r="BQ102">
        <f>SUMIF(DeadRaw!$B:$B,$A102,DeadRaw!BT:BT)</f>
        <v>0</v>
      </c>
      <c r="BR102">
        <f>SUMIF(DeadRaw!$B:$B,$A102,DeadRaw!BU:BU)</f>
        <v>0</v>
      </c>
      <c r="BS102">
        <f>SUMIF(DeadRaw!$B:$B,$A102,DeadRaw!BV:BV)</f>
        <v>0</v>
      </c>
      <c r="BT102">
        <f>SUMIF(DeadRaw!$B:$B,$A102,DeadRaw!BW:BW)</f>
        <v>0</v>
      </c>
    </row>
    <row r="103" spans="1:72" ht="15" thickBot="1" x14ac:dyDescent="0.35">
      <c r="A103" s="3" t="s">
        <v>422</v>
      </c>
      <c r="B103">
        <f>SUMIF(DeadRaw!$B:$B,$A103,DeadRaw!E:E)</f>
        <v>0</v>
      </c>
      <c r="C103">
        <f>SUMIF(DeadRaw!$B:$B,$A103,DeadRaw!F:F)</f>
        <v>0</v>
      </c>
      <c r="D103">
        <f>SUMIF(DeadRaw!$B:$B,$A103,DeadRaw!G:G)</f>
        <v>0</v>
      </c>
      <c r="E103">
        <f>SUMIF(DeadRaw!$B:$B,$A103,DeadRaw!H:H)</f>
        <v>0</v>
      </c>
      <c r="F103">
        <f>SUMIF(DeadRaw!$B:$B,$A103,DeadRaw!I:I)</f>
        <v>0</v>
      </c>
      <c r="G103">
        <f>SUMIF(DeadRaw!$B:$B,$A103,DeadRaw!J:J)</f>
        <v>0</v>
      </c>
      <c r="H103">
        <f>SUMIF(DeadRaw!$B:$B,$A103,DeadRaw!K:K)</f>
        <v>0</v>
      </c>
      <c r="I103">
        <f>SUMIF(DeadRaw!$B:$B,$A103,DeadRaw!L:L)</f>
        <v>0</v>
      </c>
      <c r="J103">
        <f>SUMIF(DeadRaw!$B:$B,$A103,DeadRaw!M:M)</f>
        <v>0</v>
      </c>
      <c r="K103">
        <f>SUMIF(DeadRaw!$B:$B,$A103,DeadRaw!N:N)</f>
        <v>0</v>
      </c>
      <c r="L103">
        <f>SUMIF(DeadRaw!$B:$B,$A103,DeadRaw!O:O)</f>
        <v>0</v>
      </c>
      <c r="M103">
        <f>SUMIF(DeadRaw!$B:$B,$A103,DeadRaw!P:P)</f>
        <v>0</v>
      </c>
      <c r="N103">
        <f>SUMIF(DeadRaw!$B:$B,$A103,DeadRaw!Q:Q)</f>
        <v>0</v>
      </c>
      <c r="O103">
        <f>SUMIF(DeadRaw!$B:$B,$A103,DeadRaw!R:R)</f>
        <v>0</v>
      </c>
      <c r="P103">
        <f>SUMIF(DeadRaw!$B:$B,$A103,DeadRaw!S:S)</f>
        <v>0</v>
      </c>
      <c r="Q103">
        <f>SUMIF(DeadRaw!$B:$B,$A103,DeadRaw!T:T)</f>
        <v>0</v>
      </c>
      <c r="R103">
        <f>SUMIF(DeadRaw!$B:$B,$A103,DeadRaw!U:U)</f>
        <v>0</v>
      </c>
      <c r="S103">
        <f>SUMIF(DeadRaw!$B:$B,$A103,DeadRaw!V:V)</f>
        <v>0</v>
      </c>
      <c r="T103">
        <f>SUMIF(DeadRaw!$B:$B,$A103,DeadRaw!W:W)</f>
        <v>0</v>
      </c>
      <c r="U103">
        <f>SUMIF(DeadRaw!$B:$B,$A103,DeadRaw!X:X)</f>
        <v>0</v>
      </c>
      <c r="V103">
        <f>SUMIF(DeadRaw!$B:$B,$A103,DeadRaw!Y:Y)</f>
        <v>0</v>
      </c>
      <c r="W103">
        <f>SUMIF(DeadRaw!$B:$B,$A103,DeadRaw!Z:Z)</f>
        <v>0</v>
      </c>
      <c r="X103">
        <f>SUMIF(DeadRaw!$B:$B,$A103,DeadRaw!AA:AA)</f>
        <v>0</v>
      </c>
      <c r="Y103">
        <f>SUMIF(DeadRaw!$B:$B,$A103,DeadRaw!AB:AB)</f>
        <v>0</v>
      </c>
      <c r="Z103">
        <f>SUMIF(DeadRaw!$B:$B,$A103,DeadRaw!AC:AC)</f>
        <v>0</v>
      </c>
      <c r="AA103">
        <f>SUMIF(DeadRaw!$B:$B,$A103,DeadRaw!AD:AD)</f>
        <v>0</v>
      </c>
      <c r="AB103">
        <f>SUMIF(DeadRaw!$B:$B,$A103,DeadRaw!AE:AE)</f>
        <v>0</v>
      </c>
      <c r="AC103">
        <f>SUMIF(DeadRaw!$B:$B,$A103,DeadRaw!AF:AF)</f>
        <v>0</v>
      </c>
      <c r="AD103">
        <f>SUMIF(DeadRaw!$B:$B,$A103,DeadRaw!AG:AG)</f>
        <v>0</v>
      </c>
      <c r="AE103">
        <f>SUMIF(DeadRaw!$B:$B,$A103,DeadRaw!AH:AH)</f>
        <v>0</v>
      </c>
      <c r="AF103">
        <f>SUMIF(DeadRaw!$B:$B,$A103,DeadRaw!AI:AI)</f>
        <v>0</v>
      </c>
      <c r="AG103">
        <f>SUMIF(DeadRaw!$B:$B,$A103,DeadRaw!AJ:AJ)</f>
        <v>0</v>
      </c>
      <c r="AH103">
        <f>SUMIF(DeadRaw!$B:$B,$A103,DeadRaw!AK:AK)</f>
        <v>0</v>
      </c>
      <c r="AI103">
        <f>SUMIF(DeadRaw!$B:$B,$A103,DeadRaw!AL:AL)</f>
        <v>0</v>
      </c>
      <c r="AJ103">
        <f>SUMIF(DeadRaw!$B:$B,$A103,DeadRaw!AM:AM)</f>
        <v>0</v>
      </c>
      <c r="AK103">
        <f>SUMIF(DeadRaw!$B:$B,$A103,DeadRaw!AN:AN)</f>
        <v>0</v>
      </c>
      <c r="AL103">
        <f>SUMIF(DeadRaw!$B:$B,$A103,DeadRaw!AO:AO)</f>
        <v>0</v>
      </c>
      <c r="AM103">
        <f>SUMIF(DeadRaw!$B:$B,$A103,DeadRaw!AP:AP)</f>
        <v>0</v>
      </c>
      <c r="AN103">
        <f>SUMIF(DeadRaw!$B:$B,$A103,DeadRaw!AQ:AQ)</f>
        <v>0</v>
      </c>
      <c r="AO103">
        <f>SUMIF(DeadRaw!$B:$B,$A103,DeadRaw!AR:AR)</f>
        <v>0</v>
      </c>
      <c r="AP103">
        <f>SUMIF(DeadRaw!$B:$B,$A103,DeadRaw!AS:AS)</f>
        <v>0</v>
      </c>
      <c r="AQ103">
        <f>SUMIF(DeadRaw!$B:$B,$A103,DeadRaw!AT:AT)</f>
        <v>0</v>
      </c>
      <c r="AR103">
        <f>SUMIF(DeadRaw!$B:$B,$A103,DeadRaw!AU:AU)</f>
        <v>0</v>
      </c>
      <c r="AS103">
        <f>SUMIF(DeadRaw!$B:$B,$A103,DeadRaw!AV:AV)</f>
        <v>0</v>
      </c>
      <c r="AT103">
        <f>SUMIF(DeadRaw!$B:$B,$A103,DeadRaw!AW:AW)</f>
        <v>0</v>
      </c>
      <c r="AU103">
        <f>SUMIF(DeadRaw!$B:$B,$A103,DeadRaw!AX:AX)</f>
        <v>0</v>
      </c>
      <c r="AV103">
        <f>SUMIF(DeadRaw!$B:$B,$A103,DeadRaw!AY:AY)</f>
        <v>0</v>
      </c>
      <c r="AW103">
        <f>SUMIF(DeadRaw!$B:$B,$A103,DeadRaw!AZ:AZ)</f>
        <v>0</v>
      </c>
      <c r="AX103">
        <f>SUMIF(DeadRaw!$B:$B,$A103,DeadRaw!BA:BA)</f>
        <v>0</v>
      </c>
      <c r="AY103">
        <f>SUMIF(DeadRaw!$B:$B,$A103,DeadRaw!BB:BB)</f>
        <v>0</v>
      </c>
      <c r="AZ103">
        <f>SUMIF(DeadRaw!$B:$B,$A103,DeadRaw!BC:BC)</f>
        <v>0</v>
      </c>
      <c r="BA103">
        <f>SUMIF(DeadRaw!$B:$B,$A103,DeadRaw!BD:BD)</f>
        <v>0</v>
      </c>
      <c r="BB103">
        <f>SUMIF(DeadRaw!$B:$B,$A103,DeadRaw!BE:BE)</f>
        <v>0</v>
      </c>
      <c r="BC103">
        <f>SUMIF(DeadRaw!$B:$B,$A103,DeadRaw!BF:BF)</f>
        <v>0</v>
      </c>
      <c r="BD103">
        <f>SUMIF(DeadRaw!$B:$B,$A103,DeadRaw!BG:BG)</f>
        <v>0</v>
      </c>
      <c r="BE103">
        <f>SUMIF(DeadRaw!$B:$B,$A103,DeadRaw!BH:BH)</f>
        <v>0</v>
      </c>
      <c r="BF103">
        <f>SUMIF(DeadRaw!$B:$B,$A103,DeadRaw!BI:BI)</f>
        <v>0</v>
      </c>
      <c r="BG103">
        <f>SUMIF(DeadRaw!$B:$B,$A103,DeadRaw!BJ:BJ)</f>
        <v>0</v>
      </c>
      <c r="BH103">
        <f>SUMIF(DeadRaw!$B:$B,$A103,DeadRaw!BK:BK)</f>
        <v>0</v>
      </c>
      <c r="BI103">
        <f>SUMIF(DeadRaw!$B:$B,$A103,DeadRaw!BL:BL)</f>
        <v>0</v>
      </c>
      <c r="BJ103">
        <f>SUMIF(DeadRaw!$B:$B,$A103,DeadRaw!BM:BM)</f>
        <v>0</v>
      </c>
      <c r="BK103">
        <f>SUMIF(DeadRaw!$B:$B,$A103,DeadRaw!BN:BN)</f>
        <v>0</v>
      </c>
      <c r="BL103">
        <f>SUMIF(DeadRaw!$B:$B,$A103,DeadRaw!BO:BO)</f>
        <v>0</v>
      </c>
      <c r="BM103">
        <f>SUMIF(DeadRaw!$B:$B,$A103,DeadRaw!BP:BP)</f>
        <v>0</v>
      </c>
      <c r="BN103">
        <f>SUMIF(DeadRaw!$B:$B,$A103,DeadRaw!BQ:BQ)</f>
        <v>0</v>
      </c>
      <c r="BO103">
        <f>SUMIF(DeadRaw!$B:$B,$A103,DeadRaw!BR:BR)</f>
        <v>0</v>
      </c>
      <c r="BP103">
        <f>SUMIF(DeadRaw!$B:$B,$A103,DeadRaw!BS:BS)</f>
        <v>0</v>
      </c>
      <c r="BQ103">
        <f>SUMIF(DeadRaw!$B:$B,$A103,DeadRaw!BT:BT)</f>
        <v>0</v>
      </c>
      <c r="BR103">
        <f>SUMIF(DeadRaw!$B:$B,$A103,DeadRaw!BU:BU)</f>
        <v>0</v>
      </c>
      <c r="BS103">
        <f>SUMIF(DeadRaw!$B:$B,$A103,DeadRaw!BV:BV)</f>
        <v>0</v>
      </c>
      <c r="BT103">
        <f>SUMIF(DeadRaw!$B:$B,$A103,DeadRaw!BW:BW)</f>
        <v>0</v>
      </c>
    </row>
    <row r="104" spans="1:72" ht="15" thickBot="1" x14ac:dyDescent="0.35">
      <c r="A104" s="4" t="s">
        <v>279</v>
      </c>
      <c r="B104">
        <f>SUMIF(DeadRaw!$B:$B,$A104,DeadRaw!E:E)</f>
        <v>0</v>
      </c>
      <c r="C104">
        <f>SUMIF(DeadRaw!$B:$B,$A104,DeadRaw!F:F)</f>
        <v>0</v>
      </c>
      <c r="D104">
        <f>SUMIF(DeadRaw!$B:$B,$A104,DeadRaw!G:G)</f>
        <v>0</v>
      </c>
      <c r="E104">
        <f>SUMIF(DeadRaw!$B:$B,$A104,DeadRaw!H:H)</f>
        <v>0</v>
      </c>
      <c r="F104">
        <f>SUMIF(DeadRaw!$B:$B,$A104,DeadRaw!I:I)</f>
        <v>0</v>
      </c>
      <c r="G104">
        <f>SUMIF(DeadRaw!$B:$B,$A104,DeadRaw!J:J)</f>
        <v>0</v>
      </c>
      <c r="H104">
        <f>SUMIF(DeadRaw!$B:$B,$A104,DeadRaw!K:K)</f>
        <v>0</v>
      </c>
      <c r="I104">
        <f>SUMIF(DeadRaw!$B:$B,$A104,DeadRaw!L:L)</f>
        <v>0</v>
      </c>
      <c r="J104">
        <f>SUMIF(DeadRaw!$B:$B,$A104,DeadRaw!M:M)</f>
        <v>0</v>
      </c>
      <c r="K104">
        <f>SUMIF(DeadRaw!$B:$B,$A104,DeadRaw!N:N)</f>
        <v>0</v>
      </c>
      <c r="L104">
        <f>SUMIF(DeadRaw!$B:$B,$A104,DeadRaw!O:O)</f>
        <v>0</v>
      </c>
      <c r="M104">
        <f>SUMIF(DeadRaw!$B:$B,$A104,DeadRaw!P:P)</f>
        <v>0</v>
      </c>
      <c r="N104">
        <f>SUMIF(DeadRaw!$B:$B,$A104,DeadRaw!Q:Q)</f>
        <v>0</v>
      </c>
      <c r="O104">
        <f>SUMIF(DeadRaw!$B:$B,$A104,DeadRaw!R:R)</f>
        <v>0</v>
      </c>
      <c r="P104">
        <f>SUMIF(DeadRaw!$B:$B,$A104,DeadRaw!S:S)</f>
        <v>0</v>
      </c>
      <c r="Q104">
        <f>SUMIF(DeadRaw!$B:$B,$A104,DeadRaw!T:T)</f>
        <v>0</v>
      </c>
      <c r="R104">
        <f>SUMIF(DeadRaw!$B:$B,$A104,DeadRaw!U:U)</f>
        <v>0</v>
      </c>
      <c r="S104">
        <f>SUMIF(DeadRaw!$B:$B,$A104,DeadRaw!V:V)</f>
        <v>0</v>
      </c>
      <c r="T104">
        <f>SUMIF(DeadRaw!$B:$B,$A104,DeadRaw!W:W)</f>
        <v>0</v>
      </c>
      <c r="U104">
        <f>SUMIF(DeadRaw!$B:$B,$A104,DeadRaw!X:X)</f>
        <v>0</v>
      </c>
      <c r="V104">
        <f>SUMIF(DeadRaw!$B:$B,$A104,DeadRaw!Y:Y)</f>
        <v>0</v>
      </c>
      <c r="W104">
        <f>SUMIF(DeadRaw!$B:$B,$A104,DeadRaw!Z:Z)</f>
        <v>0</v>
      </c>
      <c r="X104">
        <f>SUMIF(DeadRaw!$B:$B,$A104,DeadRaw!AA:AA)</f>
        <v>0</v>
      </c>
      <c r="Y104">
        <f>SUMIF(DeadRaw!$B:$B,$A104,DeadRaw!AB:AB)</f>
        <v>0</v>
      </c>
      <c r="Z104">
        <f>SUMIF(DeadRaw!$B:$B,$A104,DeadRaw!AC:AC)</f>
        <v>0</v>
      </c>
      <c r="AA104">
        <f>SUMIF(DeadRaw!$B:$B,$A104,DeadRaw!AD:AD)</f>
        <v>0</v>
      </c>
      <c r="AB104">
        <f>SUMIF(DeadRaw!$B:$B,$A104,DeadRaw!AE:AE)</f>
        <v>0</v>
      </c>
      <c r="AC104">
        <f>SUMIF(DeadRaw!$B:$B,$A104,DeadRaw!AF:AF)</f>
        <v>0</v>
      </c>
      <c r="AD104">
        <f>SUMIF(DeadRaw!$B:$B,$A104,DeadRaw!AG:AG)</f>
        <v>0</v>
      </c>
      <c r="AE104">
        <f>SUMIF(DeadRaw!$B:$B,$A104,DeadRaw!AH:AH)</f>
        <v>0</v>
      </c>
      <c r="AF104">
        <f>SUMIF(DeadRaw!$B:$B,$A104,DeadRaw!AI:AI)</f>
        <v>0</v>
      </c>
      <c r="AG104">
        <f>SUMIF(DeadRaw!$B:$B,$A104,DeadRaw!AJ:AJ)</f>
        <v>0</v>
      </c>
      <c r="AH104">
        <f>SUMIF(DeadRaw!$B:$B,$A104,DeadRaw!AK:AK)</f>
        <v>0</v>
      </c>
      <c r="AI104">
        <f>SUMIF(DeadRaw!$B:$B,$A104,DeadRaw!AL:AL)</f>
        <v>0</v>
      </c>
      <c r="AJ104">
        <f>SUMIF(DeadRaw!$B:$B,$A104,DeadRaw!AM:AM)</f>
        <v>0</v>
      </c>
      <c r="AK104">
        <f>SUMIF(DeadRaw!$B:$B,$A104,DeadRaw!AN:AN)</f>
        <v>0</v>
      </c>
      <c r="AL104">
        <f>SUMIF(DeadRaw!$B:$B,$A104,DeadRaw!AO:AO)</f>
        <v>0</v>
      </c>
      <c r="AM104">
        <f>SUMIF(DeadRaw!$B:$B,$A104,DeadRaw!AP:AP)</f>
        <v>0</v>
      </c>
      <c r="AN104">
        <f>SUMIF(DeadRaw!$B:$B,$A104,DeadRaw!AQ:AQ)</f>
        <v>0</v>
      </c>
      <c r="AO104">
        <f>SUMIF(DeadRaw!$B:$B,$A104,DeadRaw!AR:AR)</f>
        <v>0</v>
      </c>
      <c r="AP104">
        <f>SUMIF(DeadRaw!$B:$B,$A104,DeadRaw!AS:AS)</f>
        <v>0</v>
      </c>
      <c r="AQ104">
        <f>SUMIF(DeadRaw!$B:$B,$A104,DeadRaw!AT:AT)</f>
        <v>0</v>
      </c>
      <c r="AR104">
        <f>SUMIF(DeadRaw!$B:$B,$A104,DeadRaw!AU:AU)</f>
        <v>0</v>
      </c>
      <c r="AS104">
        <f>SUMIF(DeadRaw!$B:$B,$A104,DeadRaw!AV:AV)</f>
        <v>0</v>
      </c>
      <c r="AT104">
        <f>SUMIF(DeadRaw!$B:$B,$A104,DeadRaw!AW:AW)</f>
        <v>0</v>
      </c>
      <c r="AU104">
        <f>SUMIF(DeadRaw!$B:$B,$A104,DeadRaw!AX:AX)</f>
        <v>0</v>
      </c>
      <c r="AV104">
        <f>SUMIF(DeadRaw!$B:$B,$A104,DeadRaw!AY:AY)</f>
        <v>0</v>
      </c>
      <c r="AW104">
        <f>SUMIF(DeadRaw!$B:$B,$A104,DeadRaw!AZ:AZ)</f>
        <v>0</v>
      </c>
      <c r="AX104">
        <f>SUMIF(DeadRaw!$B:$B,$A104,DeadRaw!BA:BA)</f>
        <v>0</v>
      </c>
      <c r="AY104">
        <f>SUMIF(DeadRaw!$B:$B,$A104,DeadRaw!BB:BB)</f>
        <v>0</v>
      </c>
      <c r="AZ104">
        <f>SUMIF(DeadRaw!$B:$B,$A104,DeadRaw!BC:BC)</f>
        <v>0</v>
      </c>
      <c r="BA104">
        <f>SUMIF(DeadRaw!$B:$B,$A104,DeadRaw!BD:BD)</f>
        <v>0</v>
      </c>
      <c r="BB104">
        <f>SUMIF(DeadRaw!$B:$B,$A104,DeadRaw!BE:BE)</f>
        <v>0</v>
      </c>
      <c r="BC104">
        <f>SUMIF(DeadRaw!$B:$B,$A104,DeadRaw!BF:BF)</f>
        <v>0</v>
      </c>
      <c r="BD104">
        <f>SUMIF(DeadRaw!$B:$B,$A104,DeadRaw!BG:BG)</f>
        <v>0</v>
      </c>
      <c r="BE104">
        <f>SUMIF(DeadRaw!$B:$B,$A104,DeadRaw!BH:BH)</f>
        <v>0</v>
      </c>
      <c r="BF104">
        <f>SUMIF(DeadRaw!$B:$B,$A104,DeadRaw!BI:BI)</f>
        <v>1</v>
      </c>
      <c r="BG104">
        <f>SUMIF(DeadRaw!$B:$B,$A104,DeadRaw!BJ:BJ)</f>
        <v>1</v>
      </c>
      <c r="BH104">
        <f>SUMIF(DeadRaw!$B:$B,$A104,DeadRaw!BK:BK)</f>
        <v>1</v>
      </c>
      <c r="BI104">
        <f>SUMIF(DeadRaw!$B:$B,$A104,DeadRaw!BL:BL)</f>
        <v>0</v>
      </c>
      <c r="BJ104">
        <f>SUMIF(DeadRaw!$B:$B,$A104,DeadRaw!BM:BM)</f>
        <v>0</v>
      </c>
      <c r="BK104">
        <f>SUMIF(DeadRaw!$B:$B,$A104,DeadRaw!BN:BN)</f>
        <v>0</v>
      </c>
      <c r="BL104">
        <f>SUMIF(DeadRaw!$B:$B,$A104,DeadRaw!BO:BO)</f>
        <v>0</v>
      </c>
      <c r="BM104">
        <f>SUMIF(DeadRaw!$B:$B,$A104,DeadRaw!BP:BP)</f>
        <v>0</v>
      </c>
      <c r="BN104">
        <f>SUMIF(DeadRaw!$B:$B,$A104,DeadRaw!BQ:BQ)</f>
        <v>0</v>
      </c>
      <c r="BO104">
        <f>SUMIF(DeadRaw!$B:$B,$A104,DeadRaw!BR:BR)</f>
        <v>0</v>
      </c>
      <c r="BP104">
        <f>SUMIF(DeadRaw!$B:$B,$A104,DeadRaw!BS:BS)</f>
        <v>0</v>
      </c>
      <c r="BQ104">
        <f>SUMIF(DeadRaw!$B:$B,$A104,DeadRaw!BT:BT)</f>
        <v>0</v>
      </c>
      <c r="BR104">
        <f>SUMIF(DeadRaw!$B:$B,$A104,DeadRaw!BU:BU)</f>
        <v>0</v>
      </c>
      <c r="BS104">
        <f>SUMIF(DeadRaw!$B:$B,$A104,DeadRaw!BV:BV)</f>
        <v>0</v>
      </c>
      <c r="BT104">
        <f>SUMIF(DeadRaw!$B:$B,$A104,DeadRaw!BW:BW)</f>
        <v>0</v>
      </c>
    </row>
    <row r="105" spans="1:72" ht="15" thickBot="1" x14ac:dyDescent="0.35">
      <c r="A105" s="3" t="s">
        <v>157</v>
      </c>
      <c r="B105">
        <f>SUMIF(DeadRaw!$B:$B,$A105,DeadRaw!E:E)</f>
        <v>0</v>
      </c>
      <c r="C105">
        <f>SUMIF(DeadRaw!$B:$B,$A105,DeadRaw!F:F)</f>
        <v>0</v>
      </c>
      <c r="D105">
        <f>SUMIF(DeadRaw!$B:$B,$A105,DeadRaw!G:G)</f>
        <v>0</v>
      </c>
      <c r="E105">
        <f>SUMIF(DeadRaw!$B:$B,$A105,DeadRaw!H:H)</f>
        <v>0</v>
      </c>
      <c r="F105">
        <f>SUMIF(DeadRaw!$B:$B,$A105,DeadRaw!I:I)</f>
        <v>0</v>
      </c>
      <c r="G105">
        <f>SUMIF(DeadRaw!$B:$B,$A105,DeadRaw!J:J)</f>
        <v>0</v>
      </c>
      <c r="H105">
        <f>SUMIF(DeadRaw!$B:$B,$A105,DeadRaw!K:K)</f>
        <v>0</v>
      </c>
      <c r="I105">
        <f>SUMIF(DeadRaw!$B:$B,$A105,DeadRaw!L:L)</f>
        <v>0</v>
      </c>
      <c r="J105">
        <f>SUMIF(DeadRaw!$B:$B,$A105,DeadRaw!M:M)</f>
        <v>0</v>
      </c>
      <c r="K105">
        <f>SUMIF(DeadRaw!$B:$B,$A105,DeadRaw!N:N)</f>
        <v>0</v>
      </c>
      <c r="L105">
        <f>SUMIF(DeadRaw!$B:$B,$A105,DeadRaw!O:O)</f>
        <v>0</v>
      </c>
      <c r="M105">
        <f>SUMIF(DeadRaw!$B:$B,$A105,DeadRaw!P:P)</f>
        <v>0</v>
      </c>
      <c r="N105">
        <f>SUMIF(DeadRaw!$B:$B,$A105,DeadRaw!Q:Q)</f>
        <v>0</v>
      </c>
      <c r="O105">
        <f>SUMIF(DeadRaw!$B:$B,$A105,DeadRaw!R:R)</f>
        <v>0</v>
      </c>
      <c r="P105">
        <f>SUMIF(DeadRaw!$B:$B,$A105,DeadRaw!S:S)</f>
        <v>0</v>
      </c>
      <c r="Q105">
        <f>SUMIF(DeadRaw!$B:$B,$A105,DeadRaw!T:T)</f>
        <v>0</v>
      </c>
      <c r="R105">
        <f>SUMIF(DeadRaw!$B:$B,$A105,DeadRaw!U:U)</f>
        <v>0</v>
      </c>
      <c r="S105">
        <f>SUMIF(DeadRaw!$B:$B,$A105,DeadRaw!V:V)</f>
        <v>0</v>
      </c>
      <c r="T105">
        <f>SUMIF(DeadRaw!$B:$B,$A105,DeadRaw!W:W)</f>
        <v>0</v>
      </c>
      <c r="U105">
        <f>SUMIF(DeadRaw!$B:$B,$A105,DeadRaw!X:X)</f>
        <v>0</v>
      </c>
      <c r="V105">
        <f>SUMIF(DeadRaw!$B:$B,$A105,DeadRaw!Y:Y)</f>
        <v>0</v>
      </c>
      <c r="W105">
        <f>SUMIF(DeadRaw!$B:$B,$A105,DeadRaw!Z:Z)</f>
        <v>0</v>
      </c>
      <c r="X105">
        <f>SUMIF(DeadRaw!$B:$B,$A105,DeadRaw!AA:AA)</f>
        <v>0</v>
      </c>
      <c r="Y105">
        <f>SUMIF(DeadRaw!$B:$B,$A105,DeadRaw!AB:AB)</f>
        <v>0</v>
      </c>
      <c r="Z105">
        <f>SUMIF(DeadRaw!$B:$B,$A105,DeadRaw!AC:AC)</f>
        <v>0</v>
      </c>
      <c r="AA105">
        <f>SUMIF(DeadRaw!$B:$B,$A105,DeadRaw!AD:AD)</f>
        <v>0</v>
      </c>
      <c r="AB105">
        <f>SUMIF(DeadRaw!$B:$B,$A105,DeadRaw!AE:AE)</f>
        <v>0</v>
      </c>
      <c r="AC105">
        <f>SUMIF(DeadRaw!$B:$B,$A105,DeadRaw!AF:AF)</f>
        <v>0</v>
      </c>
      <c r="AD105">
        <f>SUMIF(DeadRaw!$B:$B,$A105,DeadRaw!AG:AG)</f>
        <v>0</v>
      </c>
      <c r="AE105">
        <f>SUMIF(DeadRaw!$B:$B,$A105,DeadRaw!AH:AH)</f>
        <v>0</v>
      </c>
      <c r="AF105">
        <f>SUMIF(DeadRaw!$B:$B,$A105,DeadRaw!AI:AI)</f>
        <v>0</v>
      </c>
      <c r="AG105">
        <f>SUMIF(DeadRaw!$B:$B,$A105,DeadRaw!AJ:AJ)</f>
        <v>0</v>
      </c>
      <c r="AH105">
        <f>SUMIF(DeadRaw!$B:$B,$A105,DeadRaw!AK:AK)</f>
        <v>0</v>
      </c>
      <c r="AI105">
        <f>SUMIF(DeadRaw!$B:$B,$A105,DeadRaw!AL:AL)</f>
        <v>0</v>
      </c>
      <c r="AJ105">
        <f>SUMIF(DeadRaw!$B:$B,$A105,DeadRaw!AM:AM)</f>
        <v>0</v>
      </c>
      <c r="AK105">
        <f>SUMIF(DeadRaw!$B:$B,$A105,DeadRaw!AN:AN)</f>
        <v>0</v>
      </c>
      <c r="AL105">
        <f>SUMIF(DeadRaw!$B:$B,$A105,DeadRaw!AO:AO)</f>
        <v>0</v>
      </c>
      <c r="AM105">
        <f>SUMIF(DeadRaw!$B:$B,$A105,DeadRaw!AP:AP)</f>
        <v>0</v>
      </c>
      <c r="AN105">
        <f>SUMIF(DeadRaw!$B:$B,$A105,DeadRaw!AQ:AQ)</f>
        <v>0</v>
      </c>
      <c r="AO105">
        <f>SUMIF(DeadRaw!$B:$B,$A105,DeadRaw!AR:AR)</f>
        <v>0</v>
      </c>
      <c r="AP105">
        <f>SUMIF(DeadRaw!$B:$B,$A105,DeadRaw!AS:AS)</f>
        <v>0</v>
      </c>
      <c r="AQ105">
        <f>SUMIF(DeadRaw!$B:$B,$A105,DeadRaw!AT:AT)</f>
        <v>0</v>
      </c>
      <c r="AR105">
        <f>SUMIF(DeadRaw!$B:$B,$A105,DeadRaw!AU:AU)</f>
        <v>0</v>
      </c>
      <c r="AS105">
        <f>SUMIF(DeadRaw!$B:$B,$A105,DeadRaw!AV:AV)</f>
        <v>0</v>
      </c>
      <c r="AT105">
        <f>SUMIF(DeadRaw!$B:$B,$A105,DeadRaw!AW:AW)</f>
        <v>0</v>
      </c>
      <c r="AU105">
        <f>SUMIF(DeadRaw!$B:$B,$A105,DeadRaw!AX:AX)</f>
        <v>0</v>
      </c>
      <c r="AV105">
        <f>SUMIF(DeadRaw!$B:$B,$A105,DeadRaw!AY:AY)</f>
        <v>0</v>
      </c>
      <c r="AW105">
        <f>SUMIF(DeadRaw!$B:$B,$A105,DeadRaw!AZ:AZ)</f>
        <v>0</v>
      </c>
      <c r="AX105">
        <f>SUMIF(DeadRaw!$B:$B,$A105,DeadRaw!BA:BA)</f>
        <v>0</v>
      </c>
      <c r="AY105">
        <f>SUMIF(DeadRaw!$B:$B,$A105,DeadRaw!BB:BB)</f>
        <v>0</v>
      </c>
      <c r="AZ105">
        <f>SUMIF(DeadRaw!$B:$B,$A105,DeadRaw!BC:BC)</f>
        <v>0</v>
      </c>
      <c r="BA105">
        <f>SUMIF(DeadRaw!$B:$B,$A105,DeadRaw!BD:BD)</f>
        <v>0</v>
      </c>
      <c r="BB105">
        <f>SUMIF(DeadRaw!$B:$B,$A105,DeadRaw!BE:BE)</f>
        <v>0</v>
      </c>
      <c r="BC105">
        <f>SUMIF(DeadRaw!$B:$B,$A105,DeadRaw!BF:BF)</f>
        <v>0</v>
      </c>
      <c r="BD105">
        <f>SUMIF(DeadRaw!$B:$B,$A105,DeadRaw!BG:BG)</f>
        <v>0</v>
      </c>
      <c r="BE105">
        <f>SUMIF(DeadRaw!$B:$B,$A105,DeadRaw!BH:BH)</f>
        <v>0</v>
      </c>
      <c r="BF105">
        <f>SUMIF(DeadRaw!$B:$B,$A105,DeadRaw!BI:BI)</f>
        <v>0</v>
      </c>
      <c r="BG105">
        <f>SUMIF(DeadRaw!$B:$B,$A105,DeadRaw!BJ:BJ)</f>
        <v>0</v>
      </c>
      <c r="BH105">
        <f>SUMIF(DeadRaw!$B:$B,$A105,DeadRaw!BK:BK)</f>
        <v>0</v>
      </c>
      <c r="BI105">
        <f>SUMIF(DeadRaw!$B:$B,$A105,DeadRaw!BL:BL)</f>
        <v>0</v>
      </c>
      <c r="BJ105">
        <f>SUMIF(DeadRaw!$B:$B,$A105,DeadRaw!BM:BM)</f>
        <v>0</v>
      </c>
      <c r="BK105">
        <f>SUMIF(DeadRaw!$B:$B,$A105,DeadRaw!BN:BN)</f>
        <v>0</v>
      </c>
      <c r="BL105">
        <f>SUMIF(DeadRaw!$B:$B,$A105,DeadRaw!BO:BO)</f>
        <v>0</v>
      </c>
      <c r="BM105">
        <f>SUMIF(DeadRaw!$B:$B,$A105,DeadRaw!BP:BP)</f>
        <v>0</v>
      </c>
      <c r="BN105">
        <f>SUMIF(DeadRaw!$B:$B,$A105,DeadRaw!BQ:BQ)</f>
        <v>0</v>
      </c>
      <c r="BO105">
        <f>SUMIF(DeadRaw!$B:$B,$A105,DeadRaw!BR:BR)</f>
        <v>0</v>
      </c>
      <c r="BP105">
        <f>SUMIF(DeadRaw!$B:$B,$A105,DeadRaw!BS:BS)</f>
        <v>0</v>
      </c>
      <c r="BQ105">
        <f>SUMIF(DeadRaw!$B:$B,$A105,DeadRaw!BT:BT)</f>
        <v>0</v>
      </c>
      <c r="BR105">
        <f>SUMIF(DeadRaw!$B:$B,$A105,DeadRaw!BU:BU)</f>
        <v>0</v>
      </c>
      <c r="BS105">
        <f>SUMIF(DeadRaw!$B:$B,$A105,DeadRaw!BV:BV)</f>
        <v>0</v>
      </c>
      <c r="BT105">
        <f>SUMIF(DeadRaw!$B:$B,$A105,DeadRaw!BW:BW)</f>
        <v>0</v>
      </c>
    </row>
    <row r="106" spans="1:72" ht="15" thickBot="1" x14ac:dyDescent="0.35">
      <c r="A106" s="4" t="s">
        <v>351</v>
      </c>
      <c r="B106">
        <f>SUMIF(DeadRaw!$B:$B,$A106,DeadRaw!E:E)</f>
        <v>0</v>
      </c>
      <c r="C106">
        <f>SUMIF(DeadRaw!$B:$B,$A106,DeadRaw!F:F)</f>
        <v>0</v>
      </c>
      <c r="D106">
        <f>SUMIF(DeadRaw!$B:$B,$A106,DeadRaw!G:G)</f>
        <v>0</v>
      </c>
      <c r="E106">
        <f>SUMIF(DeadRaw!$B:$B,$A106,DeadRaw!H:H)</f>
        <v>0</v>
      </c>
      <c r="F106">
        <f>SUMIF(DeadRaw!$B:$B,$A106,DeadRaw!I:I)</f>
        <v>0</v>
      </c>
      <c r="G106">
        <f>SUMIF(DeadRaw!$B:$B,$A106,DeadRaw!J:J)</f>
        <v>0</v>
      </c>
      <c r="H106">
        <f>SUMIF(DeadRaw!$B:$B,$A106,DeadRaw!K:K)</f>
        <v>0</v>
      </c>
      <c r="I106">
        <f>SUMIF(DeadRaw!$B:$B,$A106,DeadRaw!L:L)</f>
        <v>0</v>
      </c>
      <c r="J106">
        <f>SUMIF(DeadRaw!$B:$B,$A106,DeadRaw!M:M)</f>
        <v>0</v>
      </c>
      <c r="K106">
        <f>SUMIF(DeadRaw!$B:$B,$A106,DeadRaw!N:N)</f>
        <v>0</v>
      </c>
      <c r="L106">
        <f>SUMIF(DeadRaw!$B:$B,$A106,DeadRaw!O:O)</f>
        <v>0</v>
      </c>
      <c r="M106">
        <f>SUMIF(DeadRaw!$B:$B,$A106,DeadRaw!P:P)</f>
        <v>0</v>
      </c>
      <c r="N106">
        <f>SUMIF(DeadRaw!$B:$B,$A106,DeadRaw!Q:Q)</f>
        <v>0</v>
      </c>
      <c r="O106">
        <f>SUMIF(DeadRaw!$B:$B,$A106,DeadRaw!R:R)</f>
        <v>0</v>
      </c>
      <c r="P106">
        <f>SUMIF(DeadRaw!$B:$B,$A106,DeadRaw!S:S)</f>
        <v>0</v>
      </c>
      <c r="Q106">
        <f>SUMIF(DeadRaw!$B:$B,$A106,DeadRaw!T:T)</f>
        <v>0</v>
      </c>
      <c r="R106">
        <f>SUMIF(DeadRaw!$B:$B,$A106,DeadRaw!U:U)</f>
        <v>0</v>
      </c>
      <c r="S106">
        <f>SUMIF(DeadRaw!$B:$B,$A106,DeadRaw!V:V)</f>
        <v>0</v>
      </c>
      <c r="T106">
        <f>SUMIF(DeadRaw!$B:$B,$A106,DeadRaw!W:W)</f>
        <v>0</v>
      </c>
      <c r="U106">
        <f>SUMIF(DeadRaw!$B:$B,$A106,DeadRaw!X:X)</f>
        <v>0</v>
      </c>
      <c r="V106">
        <f>SUMIF(DeadRaw!$B:$B,$A106,DeadRaw!Y:Y)</f>
        <v>0</v>
      </c>
      <c r="W106">
        <f>SUMIF(DeadRaw!$B:$B,$A106,DeadRaw!Z:Z)</f>
        <v>0</v>
      </c>
      <c r="X106">
        <f>SUMIF(DeadRaw!$B:$B,$A106,DeadRaw!AA:AA)</f>
        <v>0</v>
      </c>
      <c r="Y106">
        <f>SUMIF(DeadRaw!$B:$B,$A106,DeadRaw!AB:AB)</f>
        <v>0</v>
      </c>
      <c r="Z106">
        <f>SUMIF(DeadRaw!$B:$B,$A106,DeadRaw!AC:AC)</f>
        <v>0</v>
      </c>
      <c r="AA106">
        <f>SUMIF(DeadRaw!$B:$B,$A106,DeadRaw!AD:AD)</f>
        <v>0</v>
      </c>
      <c r="AB106">
        <f>SUMIF(DeadRaw!$B:$B,$A106,DeadRaw!AE:AE)</f>
        <v>0</v>
      </c>
      <c r="AC106">
        <f>SUMIF(DeadRaw!$B:$B,$A106,DeadRaw!AF:AF)</f>
        <v>0</v>
      </c>
      <c r="AD106">
        <f>SUMIF(DeadRaw!$B:$B,$A106,DeadRaw!AG:AG)</f>
        <v>0</v>
      </c>
      <c r="AE106">
        <f>SUMIF(DeadRaw!$B:$B,$A106,DeadRaw!AH:AH)</f>
        <v>0</v>
      </c>
      <c r="AF106">
        <f>SUMIF(DeadRaw!$B:$B,$A106,DeadRaw!AI:AI)</f>
        <v>0</v>
      </c>
      <c r="AG106">
        <f>SUMIF(DeadRaw!$B:$B,$A106,DeadRaw!AJ:AJ)</f>
        <v>0</v>
      </c>
      <c r="AH106">
        <f>SUMIF(DeadRaw!$B:$B,$A106,DeadRaw!AK:AK)</f>
        <v>0</v>
      </c>
      <c r="AI106">
        <f>SUMIF(DeadRaw!$B:$B,$A106,DeadRaw!AL:AL)</f>
        <v>0</v>
      </c>
      <c r="AJ106">
        <f>SUMIF(DeadRaw!$B:$B,$A106,DeadRaw!AM:AM)</f>
        <v>0</v>
      </c>
      <c r="AK106">
        <f>SUMIF(DeadRaw!$B:$B,$A106,DeadRaw!AN:AN)</f>
        <v>0</v>
      </c>
      <c r="AL106">
        <f>SUMIF(DeadRaw!$B:$B,$A106,DeadRaw!AO:AO)</f>
        <v>0</v>
      </c>
      <c r="AM106">
        <f>SUMIF(DeadRaw!$B:$B,$A106,DeadRaw!AP:AP)</f>
        <v>0</v>
      </c>
      <c r="AN106">
        <f>SUMIF(DeadRaw!$B:$B,$A106,DeadRaw!AQ:AQ)</f>
        <v>0</v>
      </c>
      <c r="AO106">
        <f>SUMIF(DeadRaw!$B:$B,$A106,DeadRaw!AR:AR)</f>
        <v>0</v>
      </c>
      <c r="AP106">
        <f>SUMIF(DeadRaw!$B:$B,$A106,DeadRaw!AS:AS)</f>
        <v>0</v>
      </c>
      <c r="AQ106">
        <f>SUMIF(DeadRaw!$B:$B,$A106,DeadRaw!AT:AT)</f>
        <v>0</v>
      </c>
      <c r="AR106">
        <f>SUMIF(DeadRaw!$B:$B,$A106,DeadRaw!AU:AU)</f>
        <v>0</v>
      </c>
      <c r="AS106">
        <f>SUMIF(DeadRaw!$B:$B,$A106,DeadRaw!AV:AV)</f>
        <v>0</v>
      </c>
      <c r="AT106">
        <f>SUMIF(DeadRaw!$B:$B,$A106,DeadRaw!AW:AW)</f>
        <v>0</v>
      </c>
      <c r="AU106">
        <f>SUMIF(DeadRaw!$B:$B,$A106,DeadRaw!AX:AX)</f>
        <v>0</v>
      </c>
      <c r="AV106">
        <f>SUMIF(DeadRaw!$B:$B,$A106,DeadRaw!AY:AY)</f>
        <v>0</v>
      </c>
      <c r="AW106">
        <f>SUMIF(DeadRaw!$B:$B,$A106,DeadRaw!AZ:AZ)</f>
        <v>0</v>
      </c>
      <c r="AX106">
        <f>SUMIF(DeadRaw!$B:$B,$A106,DeadRaw!BA:BA)</f>
        <v>0</v>
      </c>
      <c r="AY106">
        <f>SUMIF(DeadRaw!$B:$B,$A106,DeadRaw!BB:BB)</f>
        <v>0</v>
      </c>
      <c r="AZ106">
        <f>SUMIF(DeadRaw!$B:$B,$A106,DeadRaw!BC:BC)</f>
        <v>0</v>
      </c>
      <c r="BA106">
        <f>SUMIF(DeadRaw!$B:$B,$A106,DeadRaw!BD:BD)</f>
        <v>0</v>
      </c>
      <c r="BB106">
        <f>SUMIF(DeadRaw!$B:$B,$A106,DeadRaw!BE:BE)</f>
        <v>0</v>
      </c>
      <c r="BC106">
        <f>SUMIF(DeadRaw!$B:$B,$A106,DeadRaw!BF:BF)</f>
        <v>0</v>
      </c>
      <c r="BD106">
        <f>SUMIF(DeadRaw!$B:$B,$A106,DeadRaw!BG:BG)</f>
        <v>0</v>
      </c>
      <c r="BE106">
        <f>SUMIF(DeadRaw!$B:$B,$A106,DeadRaw!BH:BH)</f>
        <v>0</v>
      </c>
      <c r="BF106">
        <f>SUMIF(DeadRaw!$B:$B,$A106,DeadRaw!BI:BI)</f>
        <v>0</v>
      </c>
      <c r="BG106">
        <f>SUMIF(DeadRaw!$B:$B,$A106,DeadRaw!BJ:BJ)</f>
        <v>0</v>
      </c>
      <c r="BH106">
        <f>SUMIF(DeadRaw!$B:$B,$A106,DeadRaw!BK:BK)</f>
        <v>0</v>
      </c>
      <c r="BI106">
        <f>SUMIF(DeadRaw!$B:$B,$A106,DeadRaw!BL:BL)</f>
        <v>0</v>
      </c>
      <c r="BJ106">
        <f>SUMIF(DeadRaw!$B:$B,$A106,DeadRaw!BM:BM)</f>
        <v>0</v>
      </c>
      <c r="BK106">
        <f>SUMIF(DeadRaw!$B:$B,$A106,DeadRaw!BN:BN)</f>
        <v>0</v>
      </c>
      <c r="BL106">
        <f>SUMIF(DeadRaw!$B:$B,$A106,DeadRaw!BO:BO)</f>
        <v>0</v>
      </c>
      <c r="BM106">
        <f>SUMIF(DeadRaw!$B:$B,$A106,DeadRaw!BP:BP)</f>
        <v>0</v>
      </c>
      <c r="BN106">
        <f>SUMIF(DeadRaw!$B:$B,$A106,DeadRaw!BQ:BQ)</f>
        <v>0</v>
      </c>
      <c r="BO106">
        <f>SUMIF(DeadRaw!$B:$B,$A106,DeadRaw!BR:BR)</f>
        <v>0</v>
      </c>
      <c r="BP106">
        <f>SUMIF(DeadRaw!$B:$B,$A106,DeadRaw!BS:BS)</f>
        <v>0</v>
      </c>
      <c r="BQ106">
        <f>SUMIF(DeadRaw!$B:$B,$A106,DeadRaw!BT:BT)</f>
        <v>0</v>
      </c>
      <c r="BR106">
        <f>SUMIF(DeadRaw!$B:$B,$A106,DeadRaw!BU:BU)</f>
        <v>0</v>
      </c>
      <c r="BS106">
        <f>SUMIF(DeadRaw!$B:$B,$A106,DeadRaw!BV:BV)</f>
        <v>0</v>
      </c>
      <c r="BT106">
        <f>SUMIF(DeadRaw!$B:$B,$A106,DeadRaw!BW:BW)</f>
        <v>0</v>
      </c>
    </row>
    <row r="107" spans="1:72" ht="15" thickBot="1" x14ac:dyDescent="0.35">
      <c r="A107" s="4" t="s">
        <v>348</v>
      </c>
      <c r="B107">
        <f>SUMIF(DeadRaw!$B:$B,$A107,DeadRaw!E:E)</f>
        <v>0</v>
      </c>
      <c r="C107">
        <f>SUMIF(DeadRaw!$B:$B,$A107,DeadRaw!F:F)</f>
        <v>0</v>
      </c>
      <c r="D107">
        <f>SUMIF(DeadRaw!$B:$B,$A107,DeadRaw!G:G)</f>
        <v>0</v>
      </c>
      <c r="E107">
        <f>SUMIF(DeadRaw!$B:$B,$A107,DeadRaw!H:H)</f>
        <v>0</v>
      </c>
      <c r="F107">
        <f>SUMIF(DeadRaw!$B:$B,$A107,DeadRaw!I:I)</f>
        <v>0</v>
      </c>
      <c r="G107">
        <f>SUMIF(DeadRaw!$B:$B,$A107,DeadRaw!J:J)</f>
        <v>0</v>
      </c>
      <c r="H107">
        <f>SUMIF(DeadRaw!$B:$B,$A107,DeadRaw!K:K)</f>
        <v>0</v>
      </c>
      <c r="I107">
        <f>SUMIF(DeadRaw!$B:$B,$A107,DeadRaw!L:L)</f>
        <v>0</v>
      </c>
      <c r="J107">
        <f>SUMIF(DeadRaw!$B:$B,$A107,DeadRaw!M:M)</f>
        <v>0</v>
      </c>
      <c r="K107">
        <f>SUMIF(DeadRaw!$B:$B,$A107,DeadRaw!N:N)</f>
        <v>0</v>
      </c>
      <c r="L107">
        <f>SUMIF(DeadRaw!$B:$B,$A107,DeadRaw!O:O)</f>
        <v>0</v>
      </c>
      <c r="M107">
        <f>SUMIF(DeadRaw!$B:$B,$A107,DeadRaw!P:P)</f>
        <v>0</v>
      </c>
      <c r="N107">
        <f>SUMIF(DeadRaw!$B:$B,$A107,DeadRaw!Q:Q)</f>
        <v>0</v>
      </c>
      <c r="O107">
        <f>SUMIF(DeadRaw!$B:$B,$A107,DeadRaw!R:R)</f>
        <v>0</v>
      </c>
      <c r="P107">
        <f>SUMIF(DeadRaw!$B:$B,$A107,DeadRaw!S:S)</f>
        <v>0</v>
      </c>
      <c r="Q107">
        <f>SUMIF(DeadRaw!$B:$B,$A107,DeadRaw!T:T)</f>
        <v>0</v>
      </c>
      <c r="R107">
        <f>SUMIF(DeadRaw!$B:$B,$A107,DeadRaw!U:U)</f>
        <v>0</v>
      </c>
      <c r="S107">
        <f>SUMIF(DeadRaw!$B:$B,$A107,DeadRaw!V:V)</f>
        <v>0</v>
      </c>
      <c r="T107">
        <f>SUMIF(DeadRaw!$B:$B,$A107,DeadRaw!W:W)</f>
        <v>0</v>
      </c>
      <c r="U107">
        <f>SUMIF(DeadRaw!$B:$B,$A107,DeadRaw!X:X)</f>
        <v>0</v>
      </c>
      <c r="V107">
        <f>SUMIF(DeadRaw!$B:$B,$A107,DeadRaw!Y:Y)</f>
        <v>0</v>
      </c>
      <c r="W107">
        <f>SUMIF(DeadRaw!$B:$B,$A107,DeadRaw!Z:Z)</f>
        <v>0</v>
      </c>
      <c r="X107">
        <f>SUMIF(DeadRaw!$B:$B,$A107,DeadRaw!AA:AA)</f>
        <v>0</v>
      </c>
      <c r="Y107">
        <f>SUMIF(DeadRaw!$B:$B,$A107,DeadRaw!AB:AB)</f>
        <v>0</v>
      </c>
      <c r="Z107">
        <f>SUMIF(DeadRaw!$B:$B,$A107,DeadRaw!AC:AC)</f>
        <v>0</v>
      </c>
      <c r="AA107">
        <f>SUMIF(DeadRaw!$B:$B,$A107,DeadRaw!AD:AD)</f>
        <v>0</v>
      </c>
      <c r="AB107">
        <f>SUMIF(DeadRaw!$B:$B,$A107,DeadRaw!AE:AE)</f>
        <v>0</v>
      </c>
      <c r="AC107">
        <f>SUMIF(DeadRaw!$B:$B,$A107,DeadRaw!AF:AF)</f>
        <v>0</v>
      </c>
      <c r="AD107">
        <f>SUMIF(DeadRaw!$B:$B,$A107,DeadRaw!AG:AG)</f>
        <v>0</v>
      </c>
      <c r="AE107">
        <f>SUMIF(DeadRaw!$B:$B,$A107,DeadRaw!AH:AH)</f>
        <v>0</v>
      </c>
      <c r="AF107">
        <f>SUMIF(DeadRaw!$B:$B,$A107,DeadRaw!AI:AI)</f>
        <v>0</v>
      </c>
      <c r="AG107">
        <f>SUMIF(DeadRaw!$B:$B,$A107,DeadRaw!AJ:AJ)</f>
        <v>0</v>
      </c>
      <c r="AH107">
        <f>SUMIF(DeadRaw!$B:$B,$A107,DeadRaw!AK:AK)</f>
        <v>0</v>
      </c>
      <c r="AI107">
        <f>SUMIF(DeadRaw!$B:$B,$A107,DeadRaw!AL:AL)</f>
        <v>0</v>
      </c>
      <c r="AJ107">
        <f>SUMIF(DeadRaw!$B:$B,$A107,DeadRaw!AM:AM)</f>
        <v>0</v>
      </c>
      <c r="AK107">
        <f>SUMIF(DeadRaw!$B:$B,$A107,DeadRaw!AN:AN)</f>
        <v>0</v>
      </c>
      <c r="AL107">
        <f>SUMIF(DeadRaw!$B:$B,$A107,DeadRaw!AO:AO)</f>
        <v>0</v>
      </c>
      <c r="AM107">
        <f>SUMIF(DeadRaw!$B:$B,$A107,DeadRaw!AP:AP)</f>
        <v>0</v>
      </c>
      <c r="AN107">
        <f>SUMIF(DeadRaw!$B:$B,$A107,DeadRaw!AQ:AQ)</f>
        <v>0</v>
      </c>
      <c r="AO107">
        <f>SUMIF(DeadRaw!$B:$B,$A107,DeadRaw!AR:AR)</f>
        <v>0</v>
      </c>
      <c r="AP107">
        <f>SUMIF(DeadRaw!$B:$B,$A107,DeadRaw!AS:AS)</f>
        <v>0</v>
      </c>
      <c r="AQ107">
        <f>SUMIF(DeadRaw!$B:$B,$A107,DeadRaw!AT:AT)</f>
        <v>0</v>
      </c>
      <c r="AR107">
        <f>SUMIF(DeadRaw!$B:$B,$A107,DeadRaw!AU:AU)</f>
        <v>0</v>
      </c>
      <c r="AS107">
        <f>SUMIF(DeadRaw!$B:$B,$A107,DeadRaw!AV:AV)</f>
        <v>0</v>
      </c>
      <c r="AT107">
        <f>SUMIF(DeadRaw!$B:$B,$A107,DeadRaw!AW:AW)</f>
        <v>0</v>
      </c>
      <c r="AU107">
        <f>SUMIF(DeadRaw!$B:$B,$A107,DeadRaw!AX:AX)</f>
        <v>0</v>
      </c>
      <c r="AV107">
        <f>SUMIF(DeadRaw!$B:$B,$A107,DeadRaw!AY:AY)</f>
        <v>0</v>
      </c>
      <c r="AW107">
        <f>SUMIF(DeadRaw!$B:$B,$A107,DeadRaw!AZ:AZ)</f>
        <v>0</v>
      </c>
      <c r="AX107">
        <f>SUMIF(DeadRaw!$B:$B,$A107,DeadRaw!BA:BA)</f>
        <v>0</v>
      </c>
      <c r="AY107">
        <f>SUMIF(DeadRaw!$B:$B,$A107,DeadRaw!BB:BB)</f>
        <v>0</v>
      </c>
      <c r="AZ107">
        <f>SUMIF(DeadRaw!$B:$B,$A107,DeadRaw!BC:BC)</f>
        <v>0</v>
      </c>
      <c r="BA107">
        <f>SUMIF(DeadRaw!$B:$B,$A107,DeadRaw!BD:BD)</f>
        <v>0</v>
      </c>
      <c r="BB107">
        <f>SUMIF(DeadRaw!$B:$B,$A107,DeadRaw!BE:BE)</f>
        <v>0</v>
      </c>
      <c r="BC107">
        <f>SUMIF(DeadRaw!$B:$B,$A107,DeadRaw!BF:BF)</f>
        <v>0</v>
      </c>
      <c r="BD107">
        <f>SUMIF(DeadRaw!$B:$B,$A107,DeadRaw!BG:BG)</f>
        <v>0</v>
      </c>
      <c r="BE107">
        <f>SUMIF(DeadRaw!$B:$B,$A107,DeadRaw!BH:BH)</f>
        <v>0</v>
      </c>
      <c r="BF107">
        <f>SUMIF(DeadRaw!$B:$B,$A107,DeadRaw!BI:BI)</f>
        <v>0</v>
      </c>
      <c r="BG107">
        <f>SUMIF(DeadRaw!$B:$B,$A107,DeadRaw!BJ:BJ)</f>
        <v>0</v>
      </c>
      <c r="BH107">
        <f>SUMIF(DeadRaw!$B:$B,$A107,DeadRaw!BK:BK)</f>
        <v>0</v>
      </c>
      <c r="BI107">
        <f>SUMIF(DeadRaw!$B:$B,$A107,DeadRaw!BL:BL)</f>
        <v>0</v>
      </c>
      <c r="BJ107">
        <f>SUMIF(DeadRaw!$B:$B,$A107,DeadRaw!BM:BM)</f>
        <v>0</v>
      </c>
      <c r="BK107">
        <f>SUMIF(DeadRaw!$B:$B,$A107,DeadRaw!BN:BN)</f>
        <v>0</v>
      </c>
      <c r="BL107">
        <f>SUMIF(DeadRaw!$B:$B,$A107,DeadRaw!BO:BO)</f>
        <v>0</v>
      </c>
      <c r="BM107">
        <f>SUMIF(DeadRaw!$B:$B,$A107,DeadRaw!BP:BP)</f>
        <v>0</v>
      </c>
      <c r="BN107">
        <f>SUMIF(DeadRaw!$B:$B,$A107,DeadRaw!BQ:BQ)</f>
        <v>0</v>
      </c>
      <c r="BO107">
        <f>SUMIF(DeadRaw!$B:$B,$A107,DeadRaw!BR:BR)</f>
        <v>0</v>
      </c>
      <c r="BP107">
        <f>SUMIF(DeadRaw!$B:$B,$A107,DeadRaw!BS:BS)</f>
        <v>0</v>
      </c>
      <c r="BQ107">
        <f>SUMIF(DeadRaw!$B:$B,$A107,DeadRaw!BT:BT)</f>
        <v>0</v>
      </c>
      <c r="BR107">
        <f>SUMIF(DeadRaw!$B:$B,$A107,DeadRaw!BU:BU)</f>
        <v>0</v>
      </c>
      <c r="BS107">
        <f>SUMIF(DeadRaw!$B:$B,$A107,DeadRaw!BV:BV)</f>
        <v>0</v>
      </c>
      <c r="BT107">
        <f>SUMIF(DeadRaw!$B:$B,$A107,DeadRaw!BW:BW)</f>
        <v>0</v>
      </c>
    </row>
    <row r="108" spans="1:72" ht="15" thickBot="1" x14ac:dyDescent="0.35">
      <c r="A108" s="4" t="s">
        <v>100</v>
      </c>
      <c r="B108">
        <f>SUMIF(DeadRaw!$B:$B,$A108,DeadRaw!E:E)</f>
        <v>0</v>
      </c>
      <c r="C108">
        <f>SUMIF(DeadRaw!$B:$B,$A108,DeadRaw!F:F)</f>
        <v>0</v>
      </c>
      <c r="D108">
        <f>SUMIF(DeadRaw!$B:$B,$A108,DeadRaw!G:G)</f>
        <v>0</v>
      </c>
      <c r="E108">
        <f>SUMIF(DeadRaw!$B:$B,$A108,DeadRaw!H:H)</f>
        <v>0</v>
      </c>
      <c r="F108">
        <f>SUMIF(DeadRaw!$B:$B,$A108,DeadRaw!I:I)</f>
        <v>0</v>
      </c>
      <c r="G108">
        <f>SUMIF(DeadRaw!$B:$B,$A108,DeadRaw!J:J)</f>
        <v>0</v>
      </c>
      <c r="H108">
        <f>SUMIF(DeadRaw!$B:$B,$A108,DeadRaw!K:K)</f>
        <v>0</v>
      </c>
      <c r="I108">
        <f>SUMIF(DeadRaw!$B:$B,$A108,DeadRaw!L:L)</f>
        <v>0</v>
      </c>
      <c r="J108">
        <f>SUMIF(DeadRaw!$B:$B,$A108,DeadRaw!M:M)</f>
        <v>0</v>
      </c>
      <c r="K108">
        <f>SUMIF(DeadRaw!$B:$B,$A108,DeadRaw!N:N)</f>
        <v>0</v>
      </c>
      <c r="L108">
        <f>SUMIF(DeadRaw!$B:$B,$A108,DeadRaw!O:O)</f>
        <v>0</v>
      </c>
      <c r="M108">
        <f>SUMIF(DeadRaw!$B:$B,$A108,DeadRaw!P:P)</f>
        <v>0</v>
      </c>
      <c r="N108">
        <f>SUMIF(DeadRaw!$B:$B,$A108,DeadRaw!Q:Q)</f>
        <v>0</v>
      </c>
      <c r="O108">
        <f>SUMIF(DeadRaw!$B:$B,$A108,DeadRaw!R:R)</f>
        <v>0</v>
      </c>
      <c r="P108">
        <f>SUMIF(DeadRaw!$B:$B,$A108,DeadRaw!S:S)</f>
        <v>0</v>
      </c>
      <c r="Q108">
        <f>SUMIF(DeadRaw!$B:$B,$A108,DeadRaw!T:T)</f>
        <v>0</v>
      </c>
      <c r="R108">
        <f>SUMIF(DeadRaw!$B:$B,$A108,DeadRaw!U:U)</f>
        <v>0</v>
      </c>
      <c r="S108">
        <f>SUMIF(DeadRaw!$B:$B,$A108,DeadRaw!V:V)</f>
        <v>0</v>
      </c>
      <c r="T108">
        <f>SUMIF(DeadRaw!$B:$B,$A108,DeadRaw!W:W)</f>
        <v>0</v>
      </c>
      <c r="U108">
        <f>SUMIF(DeadRaw!$B:$B,$A108,DeadRaw!X:X)</f>
        <v>0</v>
      </c>
      <c r="V108">
        <f>SUMIF(DeadRaw!$B:$B,$A108,DeadRaw!Y:Y)</f>
        <v>0</v>
      </c>
      <c r="W108">
        <f>SUMIF(DeadRaw!$B:$B,$A108,DeadRaw!Z:Z)</f>
        <v>0</v>
      </c>
      <c r="X108">
        <f>SUMIF(DeadRaw!$B:$B,$A108,DeadRaw!AA:AA)</f>
        <v>0</v>
      </c>
      <c r="Y108">
        <f>SUMIF(DeadRaw!$B:$B,$A108,DeadRaw!AB:AB)</f>
        <v>0</v>
      </c>
      <c r="Z108">
        <f>SUMIF(DeadRaw!$B:$B,$A108,DeadRaw!AC:AC)</f>
        <v>0</v>
      </c>
      <c r="AA108">
        <f>SUMIF(DeadRaw!$B:$B,$A108,DeadRaw!AD:AD)</f>
        <v>0</v>
      </c>
      <c r="AB108">
        <f>SUMIF(DeadRaw!$B:$B,$A108,DeadRaw!AE:AE)</f>
        <v>0</v>
      </c>
      <c r="AC108">
        <f>SUMIF(DeadRaw!$B:$B,$A108,DeadRaw!AF:AF)</f>
        <v>0</v>
      </c>
      <c r="AD108">
        <f>SUMIF(DeadRaw!$B:$B,$A108,DeadRaw!AG:AG)</f>
        <v>0</v>
      </c>
      <c r="AE108">
        <f>SUMIF(DeadRaw!$B:$B,$A108,DeadRaw!AH:AH)</f>
        <v>0</v>
      </c>
      <c r="AF108">
        <f>SUMIF(DeadRaw!$B:$B,$A108,DeadRaw!AI:AI)</f>
        <v>0</v>
      </c>
      <c r="AG108">
        <f>SUMIF(DeadRaw!$B:$B,$A108,DeadRaw!AJ:AJ)</f>
        <v>0</v>
      </c>
      <c r="AH108">
        <f>SUMIF(DeadRaw!$B:$B,$A108,DeadRaw!AK:AK)</f>
        <v>0</v>
      </c>
      <c r="AI108">
        <f>SUMIF(DeadRaw!$B:$B,$A108,DeadRaw!AL:AL)</f>
        <v>0</v>
      </c>
      <c r="AJ108">
        <f>SUMIF(DeadRaw!$B:$B,$A108,DeadRaw!AM:AM)</f>
        <v>0</v>
      </c>
      <c r="AK108">
        <f>SUMIF(DeadRaw!$B:$B,$A108,DeadRaw!AN:AN)</f>
        <v>0</v>
      </c>
      <c r="AL108">
        <f>SUMIF(DeadRaw!$B:$B,$A108,DeadRaw!AO:AO)</f>
        <v>0</v>
      </c>
      <c r="AM108">
        <f>SUMIF(DeadRaw!$B:$B,$A108,DeadRaw!AP:AP)</f>
        <v>0</v>
      </c>
      <c r="AN108">
        <f>SUMIF(DeadRaw!$B:$B,$A108,DeadRaw!AQ:AQ)</f>
        <v>0</v>
      </c>
      <c r="AO108">
        <f>SUMIF(DeadRaw!$B:$B,$A108,DeadRaw!AR:AR)</f>
        <v>0</v>
      </c>
      <c r="AP108">
        <f>SUMIF(DeadRaw!$B:$B,$A108,DeadRaw!AS:AS)</f>
        <v>0</v>
      </c>
      <c r="AQ108">
        <f>SUMIF(DeadRaw!$B:$B,$A108,DeadRaw!AT:AT)</f>
        <v>0</v>
      </c>
      <c r="AR108">
        <f>SUMIF(DeadRaw!$B:$B,$A108,DeadRaw!AU:AU)</f>
        <v>0</v>
      </c>
      <c r="AS108">
        <f>SUMIF(DeadRaw!$B:$B,$A108,DeadRaw!AV:AV)</f>
        <v>0</v>
      </c>
      <c r="AT108">
        <f>SUMIF(DeadRaw!$B:$B,$A108,DeadRaw!AW:AW)</f>
        <v>0</v>
      </c>
      <c r="AU108">
        <f>SUMIF(DeadRaw!$B:$B,$A108,DeadRaw!AX:AX)</f>
        <v>0</v>
      </c>
      <c r="AV108">
        <f>SUMIF(DeadRaw!$B:$B,$A108,DeadRaw!AY:AY)</f>
        <v>0</v>
      </c>
      <c r="AW108">
        <f>SUMIF(DeadRaw!$B:$B,$A108,DeadRaw!AZ:AZ)</f>
        <v>0</v>
      </c>
      <c r="AX108">
        <f>SUMIF(DeadRaw!$B:$B,$A108,DeadRaw!BA:BA)</f>
        <v>0</v>
      </c>
      <c r="AY108">
        <f>SUMIF(DeadRaw!$B:$B,$A108,DeadRaw!BB:BB)</f>
        <v>0</v>
      </c>
      <c r="AZ108">
        <f>SUMIF(DeadRaw!$B:$B,$A108,DeadRaw!BC:BC)</f>
        <v>0</v>
      </c>
      <c r="BA108">
        <f>SUMIF(DeadRaw!$B:$B,$A108,DeadRaw!BD:BD)</f>
        <v>0</v>
      </c>
      <c r="BB108">
        <f>SUMIF(DeadRaw!$B:$B,$A108,DeadRaw!BE:BE)</f>
        <v>0</v>
      </c>
      <c r="BC108">
        <f>SUMIF(DeadRaw!$B:$B,$A108,DeadRaw!BF:BF)</f>
        <v>0</v>
      </c>
      <c r="BD108">
        <f>SUMIF(DeadRaw!$B:$B,$A108,DeadRaw!BG:BG)</f>
        <v>0</v>
      </c>
      <c r="BE108">
        <f>SUMIF(DeadRaw!$B:$B,$A108,DeadRaw!BH:BH)</f>
        <v>0</v>
      </c>
      <c r="BF108">
        <f>SUMIF(DeadRaw!$B:$B,$A108,DeadRaw!BI:BI)</f>
        <v>0</v>
      </c>
      <c r="BG108">
        <f>SUMIF(DeadRaw!$B:$B,$A108,DeadRaw!BJ:BJ)</f>
        <v>0</v>
      </c>
      <c r="BH108">
        <f>SUMIF(DeadRaw!$B:$B,$A108,DeadRaw!BK:BK)</f>
        <v>0</v>
      </c>
      <c r="BI108">
        <f>SUMIF(DeadRaw!$B:$B,$A108,DeadRaw!BL:BL)</f>
        <v>0</v>
      </c>
      <c r="BJ108">
        <f>SUMIF(DeadRaw!$B:$B,$A108,DeadRaw!BM:BM)</f>
        <v>0</v>
      </c>
      <c r="BK108">
        <f>SUMIF(DeadRaw!$B:$B,$A108,DeadRaw!BN:BN)</f>
        <v>0</v>
      </c>
      <c r="BL108">
        <f>SUMIF(DeadRaw!$B:$B,$A108,DeadRaw!BO:BO)</f>
        <v>0</v>
      </c>
      <c r="BM108">
        <f>SUMIF(DeadRaw!$B:$B,$A108,DeadRaw!BP:BP)</f>
        <v>0</v>
      </c>
      <c r="BN108">
        <f>SUMIF(DeadRaw!$B:$B,$A108,DeadRaw!BQ:BQ)</f>
        <v>0</v>
      </c>
      <c r="BO108">
        <f>SUMIF(DeadRaw!$B:$B,$A108,DeadRaw!BR:BR)</f>
        <v>0</v>
      </c>
      <c r="BP108">
        <f>SUMIF(DeadRaw!$B:$B,$A108,DeadRaw!BS:BS)</f>
        <v>0</v>
      </c>
      <c r="BQ108">
        <f>SUMIF(DeadRaw!$B:$B,$A108,DeadRaw!BT:BT)</f>
        <v>0</v>
      </c>
      <c r="BR108">
        <f>SUMIF(DeadRaw!$B:$B,$A108,DeadRaw!BU:BU)</f>
        <v>0</v>
      </c>
      <c r="BS108">
        <f>SUMIF(DeadRaw!$B:$B,$A108,DeadRaw!BV:BV)</f>
        <v>0</v>
      </c>
      <c r="BT108">
        <f>SUMIF(DeadRaw!$B:$B,$A108,DeadRaw!BW:BW)</f>
        <v>0</v>
      </c>
    </row>
    <row r="109" spans="1:72" ht="15" thickBot="1" x14ac:dyDescent="0.35">
      <c r="A109" s="4" t="s">
        <v>96</v>
      </c>
      <c r="B109">
        <f>SUMIF(DeadRaw!$B:$B,$A109,DeadRaw!E:E)</f>
        <v>0</v>
      </c>
      <c r="C109">
        <f>SUMIF(DeadRaw!$B:$B,$A109,DeadRaw!F:F)</f>
        <v>0</v>
      </c>
      <c r="D109">
        <f>SUMIF(DeadRaw!$B:$B,$A109,DeadRaw!G:G)</f>
        <v>0</v>
      </c>
      <c r="E109">
        <f>SUMIF(DeadRaw!$B:$B,$A109,DeadRaw!H:H)</f>
        <v>0</v>
      </c>
      <c r="F109">
        <f>SUMIF(DeadRaw!$B:$B,$A109,DeadRaw!I:I)</f>
        <v>0</v>
      </c>
      <c r="G109">
        <f>SUMIF(DeadRaw!$B:$B,$A109,DeadRaw!J:J)</f>
        <v>0</v>
      </c>
      <c r="H109">
        <f>SUMIF(DeadRaw!$B:$B,$A109,DeadRaw!K:K)</f>
        <v>0</v>
      </c>
      <c r="I109">
        <f>SUMIF(DeadRaw!$B:$B,$A109,DeadRaw!L:L)</f>
        <v>0</v>
      </c>
      <c r="J109">
        <f>SUMIF(DeadRaw!$B:$B,$A109,DeadRaw!M:M)</f>
        <v>0</v>
      </c>
      <c r="K109">
        <f>SUMIF(DeadRaw!$B:$B,$A109,DeadRaw!N:N)</f>
        <v>0</v>
      </c>
      <c r="L109">
        <f>SUMIF(DeadRaw!$B:$B,$A109,DeadRaw!O:O)</f>
        <v>0</v>
      </c>
      <c r="M109">
        <f>SUMIF(DeadRaw!$B:$B,$A109,DeadRaw!P:P)</f>
        <v>0</v>
      </c>
      <c r="N109">
        <f>SUMIF(DeadRaw!$B:$B,$A109,DeadRaw!Q:Q)</f>
        <v>0</v>
      </c>
      <c r="O109">
        <f>SUMIF(DeadRaw!$B:$B,$A109,DeadRaw!R:R)</f>
        <v>0</v>
      </c>
      <c r="P109">
        <f>SUMIF(DeadRaw!$B:$B,$A109,DeadRaw!S:S)</f>
        <v>0</v>
      </c>
      <c r="Q109">
        <f>SUMIF(DeadRaw!$B:$B,$A109,DeadRaw!T:T)</f>
        <v>0</v>
      </c>
      <c r="R109">
        <f>SUMIF(DeadRaw!$B:$B,$A109,DeadRaw!U:U)</f>
        <v>0</v>
      </c>
      <c r="S109">
        <f>SUMIF(DeadRaw!$B:$B,$A109,DeadRaw!V:V)</f>
        <v>0</v>
      </c>
      <c r="T109">
        <f>SUMIF(DeadRaw!$B:$B,$A109,DeadRaw!W:W)</f>
        <v>0</v>
      </c>
      <c r="U109">
        <f>SUMIF(DeadRaw!$B:$B,$A109,DeadRaw!X:X)</f>
        <v>0</v>
      </c>
      <c r="V109">
        <f>SUMIF(DeadRaw!$B:$B,$A109,DeadRaw!Y:Y)</f>
        <v>0</v>
      </c>
      <c r="W109">
        <f>SUMIF(DeadRaw!$B:$B,$A109,DeadRaw!Z:Z)</f>
        <v>0</v>
      </c>
      <c r="X109">
        <f>SUMIF(DeadRaw!$B:$B,$A109,DeadRaw!AA:AA)</f>
        <v>0</v>
      </c>
      <c r="Y109">
        <f>SUMIF(DeadRaw!$B:$B,$A109,DeadRaw!AB:AB)</f>
        <v>0</v>
      </c>
      <c r="Z109">
        <f>SUMIF(DeadRaw!$B:$B,$A109,DeadRaw!AC:AC)</f>
        <v>0</v>
      </c>
      <c r="AA109">
        <f>SUMIF(DeadRaw!$B:$B,$A109,DeadRaw!AD:AD)</f>
        <v>0</v>
      </c>
      <c r="AB109">
        <f>SUMIF(DeadRaw!$B:$B,$A109,DeadRaw!AE:AE)</f>
        <v>0</v>
      </c>
      <c r="AC109">
        <f>SUMIF(DeadRaw!$B:$B,$A109,DeadRaw!AF:AF)</f>
        <v>0</v>
      </c>
      <c r="AD109">
        <f>SUMIF(DeadRaw!$B:$B,$A109,DeadRaw!AG:AG)</f>
        <v>0</v>
      </c>
      <c r="AE109">
        <f>SUMIF(DeadRaw!$B:$B,$A109,DeadRaw!AH:AH)</f>
        <v>0</v>
      </c>
      <c r="AF109">
        <f>SUMIF(DeadRaw!$B:$B,$A109,DeadRaw!AI:AI)</f>
        <v>0</v>
      </c>
      <c r="AG109">
        <f>SUMIF(DeadRaw!$B:$B,$A109,DeadRaw!AJ:AJ)</f>
        <v>0</v>
      </c>
      <c r="AH109">
        <f>SUMIF(DeadRaw!$B:$B,$A109,DeadRaw!AK:AK)</f>
        <v>0</v>
      </c>
      <c r="AI109">
        <f>SUMIF(DeadRaw!$B:$B,$A109,DeadRaw!AL:AL)</f>
        <v>0</v>
      </c>
      <c r="AJ109">
        <f>SUMIF(DeadRaw!$B:$B,$A109,DeadRaw!AM:AM)</f>
        <v>0</v>
      </c>
      <c r="AK109">
        <f>SUMIF(DeadRaw!$B:$B,$A109,DeadRaw!AN:AN)</f>
        <v>0</v>
      </c>
      <c r="AL109">
        <f>SUMIF(DeadRaw!$B:$B,$A109,DeadRaw!AO:AO)</f>
        <v>0</v>
      </c>
      <c r="AM109">
        <f>SUMIF(DeadRaw!$B:$B,$A109,DeadRaw!AP:AP)</f>
        <v>0</v>
      </c>
      <c r="AN109">
        <f>SUMIF(DeadRaw!$B:$B,$A109,DeadRaw!AQ:AQ)</f>
        <v>0</v>
      </c>
      <c r="AO109">
        <f>SUMIF(DeadRaw!$B:$B,$A109,DeadRaw!AR:AR)</f>
        <v>0</v>
      </c>
      <c r="AP109">
        <f>SUMIF(DeadRaw!$B:$B,$A109,DeadRaw!AS:AS)</f>
        <v>0</v>
      </c>
      <c r="AQ109">
        <f>SUMIF(DeadRaw!$B:$B,$A109,DeadRaw!AT:AT)</f>
        <v>0</v>
      </c>
      <c r="AR109">
        <f>SUMIF(DeadRaw!$B:$B,$A109,DeadRaw!AU:AU)</f>
        <v>0</v>
      </c>
      <c r="AS109">
        <f>SUMIF(DeadRaw!$B:$B,$A109,DeadRaw!AV:AV)</f>
        <v>0</v>
      </c>
      <c r="AT109">
        <f>SUMIF(DeadRaw!$B:$B,$A109,DeadRaw!AW:AW)</f>
        <v>0</v>
      </c>
      <c r="AU109">
        <f>SUMIF(DeadRaw!$B:$B,$A109,DeadRaw!AX:AX)</f>
        <v>0</v>
      </c>
      <c r="AV109">
        <f>SUMIF(DeadRaw!$B:$B,$A109,DeadRaw!AY:AY)</f>
        <v>0</v>
      </c>
      <c r="AW109">
        <f>SUMIF(DeadRaw!$B:$B,$A109,DeadRaw!AZ:AZ)</f>
        <v>0</v>
      </c>
      <c r="AX109">
        <f>SUMIF(DeadRaw!$B:$B,$A109,DeadRaw!BA:BA)</f>
        <v>0</v>
      </c>
      <c r="AY109">
        <f>SUMIF(DeadRaw!$B:$B,$A109,DeadRaw!BB:BB)</f>
        <v>0</v>
      </c>
      <c r="AZ109">
        <f>SUMIF(DeadRaw!$B:$B,$A109,DeadRaw!BC:BC)</f>
        <v>0</v>
      </c>
      <c r="BA109">
        <f>SUMIF(DeadRaw!$B:$B,$A109,DeadRaw!BD:BD)</f>
        <v>0</v>
      </c>
      <c r="BB109">
        <f>SUMIF(DeadRaw!$B:$B,$A109,DeadRaw!BE:BE)</f>
        <v>0</v>
      </c>
      <c r="BC109">
        <f>SUMIF(DeadRaw!$B:$B,$A109,DeadRaw!BF:BF)</f>
        <v>0</v>
      </c>
      <c r="BD109">
        <f>SUMIF(DeadRaw!$B:$B,$A109,DeadRaw!BG:BG)</f>
        <v>0</v>
      </c>
      <c r="BE109">
        <f>SUMIF(DeadRaw!$B:$B,$A109,DeadRaw!BH:BH)</f>
        <v>0</v>
      </c>
      <c r="BF109">
        <f>SUMIF(DeadRaw!$B:$B,$A109,DeadRaw!BI:BI)</f>
        <v>0</v>
      </c>
      <c r="BG109">
        <f>SUMIF(DeadRaw!$B:$B,$A109,DeadRaw!BJ:BJ)</f>
        <v>0</v>
      </c>
      <c r="BH109">
        <f>SUMIF(DeadRaw!$B:$B,$A109,DeadRaw!BK:BK)</f>
        <v>0</v>
      </c>
      <c r="BI109">
        <f>SUMIF(DeadRaw!$B:$B,$A109,DeadRaw!BL:BL)</f>
        <v>0</v>
      </c>
      <c r="BJ109">
        <f>SUMIF(DeadRaw!$B:$B,$A109,DeadRaw!BM:BM)</f>
        <v>0</v>
      </c>
      <c r="BK109">
        <f>SUMIF(DeadRaw!$B:$B,$A109,DeadRaw!BN:BN)</f>
        <v>0</v>
      </c>
      <c r="BL109">
        <f>SUMIF(DeadRaw!$B:$B,$A109,DeadRaw!BO:BO)</f>
        <v>0</v>
      </c>
      <c r="BM109">
        <f>SUMIF(DeadRaw!$B:$B,$A109,DeadRaw!BP:BP)</f>
        <v>0</v>
      </c>
      <c r="BN109">
        <f>SUMIF(DeadRaw!$B:$B,$A109,DeadRaw!BQ:BQ)</f>
        <v>0</v>
      </c>
      <c r="BO109">
        <f>SUMIF(DeadRaw!$B:$B,$A109,DeadRaw!BR:BR)</f>
        <v>0</v>
      </c>
      <c r="BP109">
        <f>SUMIF(DeadRaw!$B:$B,$A109,DeadRaw!BS:BS)</f>
        <v>0</v>
      </c>
      <c r="BQ109">
        <f>SUMIF(DeadRaw!$B:$B,$A109,DeadRaw!BT:BT)</f>
        <v>0</v>
      </c>
      <c r="BR109">
        <f>SUMIF(DeadRaw!$B:$B,$A109,DeadRaw!BU:BU)</f>
        <v>0</v>
      </c>
      <c r="BS109">
        <f>SUMIF(DeadRaw!$B:$B,$A109,DeadRaw!BV:BV)</f>
        <v>0</v>
      </c>
      <c r="BT109">
        <f>SUMIF(DeadRaw!$B:$B,$A109,DeadRaw!BW:BW)</f>
        <v>0</v>
      </c>
    </row>
    <row r="110" spans="1:72" ht="15" thickBot="1" x14ac:dyDescent="0.35">
      <c r="A110" s="4" t="s">
        <v>109</v>
      </c>
      <c r="B110">
        <f>SUMIF(DeadRaw!$B:$B,$A110,DeadRaw!E:E)</f>
        <v>0</v>
      </c>
      <c r="C110">
        <f>SUMIF(DeadRaw!$B:$B,$A110,DeadRaw!F:F)</f>
        <v>0</v>
      </c>
      <c r="D110">
        <f>SUMIF(DeadRaw!$B:$B,$A110,DeadRaw!G:G)</f>
        <v>0</v>
      </c>
      <c r="E110">
        <f>SUMIF(DeadRaw!$B:$B,$A110,DeadRaw!H:H)</f>
        <v>0</v>
      </c>
      <c r="F110">
        <f>SUMIF(DeadRaw!$B:$B,$A110,DeadRaw!I:I)</f>
        <v>0</v>
      </c>
      <c r="G110">
        <f>SUMIF(DeadRaw!$B:$B,$A110,DeadRaw!J:J)</f>
        <v>0</v>
      </c>
      <c r="H110">
        <f>SUMIF(DeadRaw!$B:$B,$A110,DeadRaw!K:K)</f>
        <v>0</v>
      </c>
      <c r="I110">
        <f>SUMIF(DeadRaw!$B:$B,$A110,DeadRaw!L:L)</f>
        <v>0</v>
      </c>
      <c r="J110">
        <f>SUMIF(DeadRaw!$B:$B,$A110,DeadRaw!M:M)</f>
        <v>0</v>
      </c>
      <c r="K110">
        <f>SUMIF(DeadRaw!$B:$B,$A110,DeadRaw!N:N)</f>
        <v>0</v>
      </c>
      <c r="L110">
        <f>SUMIF(DeadRaw!$B:$B,$A110,DeadRaw!O:O)</f>
        <v>0</v>
      </c>
      <c r="M110">
        <f>SUMIF(DeadRaw!$B:$B,$A110,DeadRaw!P:P)</f>
        <v>0</v>
      </c>
      <c r="N110">
        <f>SUMIF(DeadRaw!$B:$B,$A110,DeadRaw!Q:Q)</f>
        <v>0</v>
      </c>
      <c r="O110">
        <f>SUMIF(DeadRaw!$B:$B,$A110,DeadRaw!R:R)</f>
        <v>0</v>
      </c>
      <c r="P110">
        <f>SUMIF(DeadRaw!$B:$B,$A110,DeadRaw!S:S)</f>
        <v>0</v>
      </c>
      <c r="Q110">
        <f>SUMIF(DeadRaw!$B:$B,$A110,DeadRaw!T:T)</f>
        <v>0</v>
      </c>
      <c r="R110">
        <f>SUMIF(DeadRaw!$B:$B,$A110,DeadRaw!U:U)</f>
        <v>0</v>
      </c>
      <c r="S110">
        <f>SUMIF(DeadRaw!$B:$B,$A110,DeadRaw!V:V)</f>
        <v>0</v>
      </c>
      <c r="T110">
        <f>SUMIF(DeadRaw!$B:$B,$A110,DeadRaw!W:W)</f>
        <v>0</v>
      </c>
      <c r="U110">
        <f>SUMIF(DeadRaw!$B:$B,$A110,DeadRaw!X:X)</f>
        <v>0</v>
      </c>
      <c r="V110">
        <f>SUMIF(DeadRaw!$B:$B,$A110,DeadRaw!Y:Y)</f>
        <v>0</v>
      </c>
      <c r="W110">
        <f>SUMIF(DeadRaw!$B:$B,$A110,DeadRaw!Z:Z)</f>
        <v>0</v>
      </c>
      <c r="X110">
        <f>SUMIF(DeadRaw!$B:$B,$A110,DeadRaw!AA:AA)</f>
        <v>0</v>
      </c>
      <c r="Y110">
        <f>SUMIF(DeadRaw!$B:$B,$A110,DeadRaw!AB:AB)</f>
        <v>0</v>
      </c>
      <c r="Z110">
        <f>SUMIF(DeadRaw!$B:$B,$A110,DeadRaw!AC:AC)</f>
        <v>0</v>
      </c>
      <c r="AA110">
        <f>SUMIF(DeadRaw!$B:$B,$A110,DeadRaw!AD:AD)</f>
        <v>0</v>
      </c>
      <c r="AB110">
        <f>SUMIF(DeadRaw!$B:$B,$A110,DeadRaw!AE:AE)</f>
        <v>0</v>
      </c>
      <c r="AC110">
        <f>SUMIF(DeadRaw!$B:$B,$A110,DeadRaw!AF:AF)</f>
        <v>0</v>
      </c>
      <c r="AD110">
        <f>SUMIF(DeadRaw!$B:$B,$A110,DeadRaw!AG:AG)</f>
        <v>0</v>
      </c>
      <c r="AE110">
        <f>SUMIF(DeadRaw!$B:$B,$A110,DeadRaw!AH:AH)</f>
        <v>0</v>
      </c>
      <c r="AF110">
        <f>SUMIF(DeadRaw!$B:$B,$A110,DeadRaw!AI:AI)</f>
        <v>0</v>
      </c>
      <c r="AG110">
        <f>SUMIF(DeadRaw!$B:$B,$A110,DeadRaw!AJ:AJ)</f>
        <v>0</v>
      </c>
      <c r="AH110">
        <f>SUMIF(DeadRaw!$B:$B,$A110,DeadRaw!AK:AK)</f>
        <v>0</v>
      </c>
      <c r="AI110">
        <f>SUMIF(DeadRaw!$B:$B,$A110,DeadRaw!AL:AL)</f>
        <v>0</v>
      </c>
      <c r="AJ110">
        <f>SUMIF(DeadRaw!$B:$B,$A110,DeadRaw!AM:AM)</f>
        <v>0</v>
      </c>
      <c r="AK110">
        <f>SUMIF(DeadRaw!$B:$B,$A110,DeadRaw!AN:AN)</f>
        <v>0</v>
      </c>
      <c r="AL110">
        <f>SUMIF(DeadRaw!$B:$B,$A110,DeadRaw!AO:AO)</f>
        <v>0</v>
      </c>
      <c r="AM110">
        <f>SUMIF(DeadRaw!$B:$B,$A110,DeadRaw!AP:AP)</f>
        <v>0</v>
      </c>
      <c r="AN110">
        <f>SUMIF(DeadRaw!$B:$B,$A110,DeadRaw!AQ:AQ)</f>
        <v>0</v>
      </c>
      <c r="AO110">
        <f>SUMIF(DeadRaw!$B:$B,$A110,DeadRaw!AR:AR)</f>
        <v>0</v>
      </c>
      <c r="AP110">
        <f>SUMIF(DeadRaw!$B:$B,$A110,DeadRaw!AS:AS)</f>
        <v>0</v>
      </c>
      <c r="AQ110">
        <f>SUMIF(DeadRaw!$B:$B,$A110,DeadRaw!AT:AT)</f>
        <v>0</v>
      </c>
      <c r="AR110">
        <f>SUMIF(DeadRaw!$B:$B,$A110,DeadRaw!AU:AU)</f>
        <v>0</v>
      </c>
      <c r="AS110">
        <f>SUMIF(DeadRaw!$B:$B,$A110,DeadRaw!AV:AV)</f>
        <v>0</v>
      </c>
      <c r="AT110">
        <f>SUMIF(DeadRaw!$B:$B,$A110,DeadRaw!AW:AW)</f>
        <v>0</v>
      </c>
      <c r="AU110">
        <f>SUMIF(DeadRaw!$B:$B,$A110,DeadRaw!AX:AX)</f>
        <v>0</v>
      </c>
      <c r="AV110">
        <f>SUMIF(DeadRaw!$B:$B,$A110,DeadRaw!AY:AY)</f>
        <v>0</v>
      </c>
      <c r="AW110">
        <f>SUMIF(DeadRaw!$B:$B,$A110,DeadRaw!AZ:AZ)</f>
        <v>0</v>
      </c>
      <c r="AX110">
        <f>SUMIF(DeadRaw!$B:$B,$A110,DeadRaw!BA:BA)</f>
        <v>0</v>
      </c>
      <c r="AY110">
        <f>SUMIF(DeadRaw!$B:$B,$A110,DeadRaw!BB:BB)</f>
        <v>0</v>
      </c>
      <c r="AZ110">
        <f>SUMIF(DeadRaw!$B:$B,$A110,DeadRaw!BC:BC)</f>
        <v>0</v>
      </c>
      <c r="BA110">
        <f>SUMIF(DeadRaw!$B:$B,$A110,DeadRaw!BD:BD)</f>
        <v>0</v>
      </c>
      <c r="BB110">
        <f>SUMIF(DeadRaw!$B:$B,$A110,DeadRaw!BE:BE)</f>
        <v>0</v>
      </c>
      <c r="BC110">
        <f>SUMIF(DeadRaw!$B:$B,$A110,DeadRaw!BF:BF)</f>
        <v>0</v>
      </c>
      <c r="BD110">
        <f>SUMIF(DeadRaw!$B:$B,$A110,DeadRaw!BG:BG)</f>
        <v>0</v>
      </c>
      <c r="BE110">
        <f>SUMIF(DeadRaw!$B:$B,$A110,DeadRaw!BH:BH)</f>
        <v>0</v>
      </c>
      <c r="BF110">
        <f>SUMIF(DeadRaw!$B:$B,$A110,DeadRaw!BI:BI)</f>
        <v>0</v>
      </c>
      <c r="BG110">
        <f>SUMIF(DeadRaw!$B:$B,$A110,DeadRaw!BJ:BJ)</f>
        <v>0</v>
      </c>
      <c r="BH110">
        <f>SUMIF(DeadRaw!$B:$B,$A110,DeadRaw!BK:BK)</f>
        <v>0</v>
      </c>
      <c r="BI110">
        <f>SUMIF(DeadRaw!$B:$B,$A110,DeadRaw!BL:BL)</f>
        <v>0</v>
      </c>
      <c r="BJ110">
        <f>SUMIF(DeadRaw!$B:$B,$A110,DeadRaw!BM:BM)</f>
        <v>0</v>
      </c>
      <c r="BK110">
        <f>SUMIF(DeadRaw!$B:$B,$A110,DeadRaw!BN:BN)</f>
        <v>0</v>
      </c>
      <c r="BL110">
        <f>SUMIF(DeadRaw!$B:$B,$A110,DeadRaw!BO:BO)</f>
        <v>0</v>
      </c>
      <c r="BM110">
        <f>SUMIF(DeadRaw!$B:$B,$A110,DeadRaw!BP:BP)</f>
        <v>0</v>
      </c>
      <c r="BN110">
        <f>SUMIF(DeadRaw!$B:$B,$A110,DeadRaw!BQ:BQ)</f>
        <v>0</v>
      </c>
      <c r="BO110">
        <f>SUMIF(DeadRaw!$B:$B,$A110,DeadRaw!BR:BR)</f>
        <v>0</v>
      </c>
      <c r="BP110">
        <f>SUMIF(DeadRaw!$B:$B,$A110,DeadRaw!BS:BS)</f>
        <v>0</v>
      </c>
      <c r="BQ110">
        <f>SUMIF(DeadRaw!$B:$B,$A110,DeadRaw!BT:BT)</f>
        <v>0</v>
      </c>
      <c r="BR110">
        <f>SUMIF(DeadRaw!$B:$B,$A110,DeadRaw!BU:BU)</f>
        <v>0</v>
      </c>
      <c r="BS110">
        <f>SUMIF(DeadRaw!$B:$B,$A110,DeadRaw!BV:BV)</f>
        <v>0</v>
      </c>
      <c r="BT110">
        <f>SUMIF(DeadRaw!$B:$B,$A110,DeadRaw!BW:BW)</f>
        <v>0</v>
      </c>
    </row>
    <row r="111" spans="1:72" ht="15" thickBot="1" x14ac:dyDescent="0.35">
      <c r="A111" s="4" t="s">
        <v>424</v>
      </c>
      <c r="B111">
        <f>SUMIF(DeadRaw!$B:$B,$A111,DeadRaw!E:E)</f>
        <v>0</v>
      </c>
      <c r="C111">
        <f>SUMIF(DeadRaw!$B:$B,$A111,DeadRaw!F:F)</f>
        <v>0</v>
      </c>
      <c r="D111">
        <f>SUMIF(DeadRaw!$B:$B,$A111,DeadRaw!G:G)</f>
        <v>0</v>
      </c>
      <c r="E111">
        <f>SUMIF(DeadRaw!$B:$B,$A111,DeadRaw!H:H)</f>
        <v>0</v>
      </c>
      <c r="F111">
        <f>SUMIF(DeadRaw!$B:$B,$A111,DeadRaw!I:I)</f>
        <v>0</v>
      </c>
      <c r="G111">
        <f>SUMIF(DeadRaw!$B:$B,$A111,DeadRaw!J:J)</f>
        <v>0</v>
      </c>
      <c r="H111">
        <f>SUMIF(DeadRaw!$B:$B,$A111,DeadRaw!K:K)</f>
        <v>0</v>
      </c>
      <c r="I111">
        <f>SUMIF(DeadRaw!$B:$B,$A111,DeadRaw!L:L)</f>
        <v>0</v>
      </c>
      <c r="J111">
        <f>SUMIF(DeadRaw!$B:$B,$A111,DeadRaw!M:M)</f>
        <v>0</v>
      </c>
      <c r="K111">
        <f>SUMIF(DeadRaw!$B:$B,$A111,DeadRaw!N:N)</f>
        <v>0</v>
      </c>
      <c r="L111">
        <f>SUMIF(DeadRaw!$B:$B,$A111,DeadRaw!O:O)</f>
        <v>0</v>
      </c>
      <c r="M111">
        <f>SUMIF(DeadRaw!$B:$B,$A111,DeadRaw!P:P)</f>
        <v>0</v>
      </c>
      <c r="N111">
        <f>SUMIF(DeadRaw!$B:$B,$A111,DeadRaw!Q:Q)</f>
        <v>0</v>
      </c>
      <c r="O111">
        <f>SUMIF(DeadRaw!$B:$B,$A111,DeadRaw!R:R)</f>
        <v>0</v>
      </c>
      <c r="P111">
        <f>SUMIF(DeadRaw!$B:$B,$A111,DeadRaw!S:S)</f>
        <v>0</v>
      </c>
      <c r="Q111">
        <f>SUMIF(DeadRaw!$B:$B,$A111,DeadRaw!T:T)</f>
        <v>0</v>
      </c>
      <c r="R111">
        <f>SUMIF(DeadRaw!$B:$B,$A111,DeadRaw!U:U)</f>
        <v>0</v>
      </c>
      <c r="S111">
        <f>SUMIF(DeadRaw!$B:$B,$A111,DeadRaw!V:V)</f>
        <v>0</v>
      </c>
      <c r="T111">
        <f>SUMIF(DeadRaw!$B:$B,$A111,DeadRaw!W:W)</f>
        <v>0</v>
      </c>
      <c r="U111">
        <f>SUMIF(DeadRaw!$B:$B,$A111,DeadRaw!X:X)</f>
        <v>0</v>
      </c>
      <c r="V111">
        <f>SUMIF(DeadRaw!$B:$B,$A111,DeadRaw!Y:Y)</f>
        <v>0</v>
      </c>
      <c r="W111">
        <f>SUMIF(DeadRaw!$B:$B,$A111,DeadRaw!Z:Z)</f>
        <v>0</v>
      </c>
      <c r="X111">
        <f>SUMIF(DeadRaw!$B:$B,$A111,DeadRaw!AA:AA)</f>
        <v>0</v>
      </c>
      <c r="Y111">
        <f>SUMIF(DeadRaw!$B:$B,$A111,DeadRaw!AB:AB)</f>
        <v>0</v>
      </c>
      <c r="Z111">
        <f>SUMIF(DeadRaw!$B:$B,$A111,DeadRaw!AC:AC)</f>
        <v>0</v>
      </c>
      <c r="AA111">
        <f>SUMIF(DeadRaw!$B:$B,$A111,DeadRaw!AD:AD)</f>
        <v>0</v>
      </c>
      <c r="AB111">
        <f>SUMIF(DeadRaw!$B:$B,$A111,DeadRaw!AE:AE)</f>
        <v>0</v>
      </c>
      <c r="AC111">
        <f>SUMIF(DeadRaw!$B:$B,$A111,DeadRaw!AF:AF)</f>
        <v>0</v>
      </c>
      <c r="AD111">
        <f>SUMIF(DeadRaw!$B:$B,$A111,DeadRaw!AG:AG)</f>
        <v>0</v>
      </c>
      <c r="AE111">
        <f>SUMIF(DeadRaw!$B:$B,$A111,DeadRaw!AH:AH)</f>
        <v>0</v>
      </c>
      <c r="AF111">
        <f>SUMIF(DeadRaw!$B:$B,$A111,DeadRaw!AI:AI)</f>
        <v>0</v>
      </c>
      <c r="AG111">
        <f>SUMIF(DeadRaw!$B:$B,$A111,DeadRaw!AJ:AJ)</f>
        <v>0</v>
      </c>
      <c r="AH111">
        <f>SUMIF(DeadRaw!$B:$B,$A111,DeadRaw!AK:AK)</f>
        <v>0</v>
      </c>
      <c r="AI111">
        <f>SUMIF(DeadRaw!$B:$B,$A111,DeadRaw!AL:AL)</f>
        <v>0</v>
      </c>
      <c r="AJ111">
        <f>SUMIF(DeadRaw!$B:$B,$A111,DeadRaw!AM:AM)</f>
        <v>0</v>
      </c>
      <c r="AK111">
        <f>SUMIF(DeadRaw!$B:$B,$A111,DeadRaw!AN:AN)</f>
        <v>0</v>
      </c>
      <c r="AL111">
        <f>SUMIF(DeadRaw!$B:$B,$A111,DeadRaw!AO:AO)</f>
        <v>0</v>
      </c>
      <c r="AM111">
        <f>SUMIF(DeadRaw!$B:$B,$A111,DeadRaw!AP:AP)</f>
        <v>0</v>
      </c>
      <c r="AN111">
        <f>SUMIF(DeadRaw!$B:$B,$A111,DeadRaw!AQ:AQ)</f>
        <v>0</v>
      </c>
      <c r="AO111">
        <f>SUMIF(DeadRaw!$B:$B,$A111,DeadRaw!AR:AR)</f>
        <v>0</v>
      </c>
      <c r="AP111">
        <f>SUMIF(DeadRaw!$B:$B,$A111,DeadRaw!AS:AS)</f>
        <v>0</v>
      </c>
      <c r="AQ111">
        <f>SUMIF(DeadRaw!$B:$B,$A111,DeadRaw!AT:AT)</f>
        <v>0</v>
      </c>
      <c r="AR111">
        <f>SUMIF(DeadRaw!$B:$B,$A111,DeadRaw!AU:AU)</f>
        <v>0</v>
      </c>
      <c r="AS111">
        <f>SUMIF(DeadRaw!$B:$B,$A111,DeadRaw!AV:AV)</f>
        <v>0</v>
      </c>
      <c r="AT111">
        <f>SUMIF(DeadRaw!$B:$B,$A111,DeadRaw!AW:AW)</f>
        <v>0</v>
      </c>
      <c r="AU111">
        <f>SUMIF(DeadRaw!$B:$B,$A111,DeadRaw!AX:AX)</f>
        <v>0</v>
      </c>
      <c r="AV111">
        <f>SUMIF(DeadRaw!$B:$B,$A111,DeadRaw!AY:AY)</f>
        <v>0</v>
      </c>
      <c r="AW111">
        <f>SUMIF(DeadRaw!$B:$B,$A111,DeadRaw!AZ:AZ)</f>
        <v>0</v>
      </c>
      <c r="AX111">
        <f>SUMIF(DeadRaw!$B:$B,$A111,DeadRaw!BA:BA)</f>
        <v>0</v>
      </c>
      <c r="AY111">
        <f>SUMIF(DeadRaw!$B:$B,$A111,DeadRaw!BB:BB)</f>
        <v>0</v>
      </c>
      <c r="AZ111">
        <f>SUMIF(DeadRaw!$B:$B,$A111,DeadRaw!BC:BC)</f>
        <v>0</v>
      </c>
      <c r="BA111">
        <f>SUMIF(DeadRaw!$B:$B,$A111,DeadRaw!BD:BD)</f>
        <v>0</v>
      </c>
      <c r="BB111">
        <f>SUMIF(DeadRaw!$B:$B,$A111,DeadRaw!BE:BE)</f>
        <v>0</v>
      </c>
      <c r="BC111">
        <f>SUMIF(DeadRaw!$B:$B,$A111,DeadRaw!BF:BF)</f>
        <v>0</v>
      </c>
      <c r="BD111">
        <f>SUMIF(DeadRaw!$B:$B,$A111,DeadRaw!BG:BG)</f>
        <v>0</v>
      </c>
      <c r="BE111">
        <f>SUMIF(DeadRaw!$B:$B,$A111,DeadRaw!BH:BH)</f>
        <v>0</v>
      </c>
      <c r="BF111">
        <f>SUMIF(DeadRaw!$B:$B,$A111,DeadRaw!BI:BI)</f>
        <v>0</v>
      </c>
      <c r="BG111">
        <f>SUMIF(DeadRaw!$B:$B,$A111,DeadRaw!BJ:BJ)</f>
        <v>0</v>
      </c>
      <c r="BH111">
        <f>SUMIF(DeadRaw!$B:$B,$A111,DeadRaw!BK:BK)</f>
        <v>0</v>
      </c>
      <c r="BI111">
        <f>SUMIF(DeadRaw!$B:$B,$A111,DeadRaw!BL:BL)</f>
        <v>0</v>
      </c>
      <c r="BJ111">
        <f>SUMIF(DeadRaw!$B:$B,$A111,DeadRaw!BM:BM)</f>
        <v>0</v>
      </c>
      <c r="BK111">
        <f>SUMIF(DeadRaw!$B:$B,$A111,DeadRaw!BN:BN)</f>
        <v>0</v>
      </c>
      <c r="BL111">
        <f>SUMIF(DeadRaw!$B:$B,$A111,DeadRaw!BO:BO)</f>
        <v>0</v>
      </c>
      <c r="BM111">
        <f>SUMIF(DeadRaw!$B:$B,$A111,DeadRaw!BP:BP)</f>
        <v>0</v>
      </c>
      <c r="BN111">
        <f>SUMIF(DeadRaw!$B:$B,$A111,DeadRaw!BQ:BQ)</f>
        <v>0</v>
      </c>
      <c r="BO111">
        <f>SUMIF(DeadRaw!$B:$B,$A111,DeadRaw!BR:BR)</f>
        <v>0</v>
      </c>
      <c r="BP111">
        <f>SUMIF(DeadRaw!$B:$B,$A111,DeadRaw!BS:BS)</f>
        <v>0</v>
      </c>
      <c r="BQ111">
        <f>SUMIF(DeadRaw!$B:$B,$A111,DeadRaw!BT:BT)</f>
        <v>0</v>
      </c>
      <c r="BR111">
        <f>SUMIF(DeadRaw!$B:$B,$A111,DeadRaw!BU:BU)</f>
        <v>0</v>
      </c>
      <c r="BS111">
        <f>SUMIF(DeadRaw!$B:$B,$A111,DeadRaw!BV:BV)</f>
        <v>0</v>
      </c>
      <c r="BT111">
        <f>SUMIF(DeadRaw!$B:$B,$A111,DeadRaw!BW:BW)</f>
        <v>0</v>
      </c>
    </row>
    <row r="112" spans="1:72" ht="15" thickBot="1" x14ac:dyDescent="0.35">
      <c r="A112" s="4" t="s">
        <v>156</v>
      </c>
      <c r="B112">
        <f>SUMIF(DeadRaw!$B:$B,$A112,DeadRaw!E:E)</f>
        <v>0</v>
      </c>
      <c r="C112">
        <f>SUMIF(DeadRaw!$B:$B,$A112,DeadRaw!F:F)</f>
        <v>0</v>
      </c>
      <c r="D112">
        <f>SUMIF(DeadRaw!$B:$B,$A112,DeadRaw!G:G)</f>
        <v>0</v>
      </c>
      <c r="E112">
        <f>SUMIF(DeadRaw!$B:$B,$A112,DeadRaw!H:H)</f>
        <v>0</v>
      </c>
      <c r="F112">
        <f>SUMIF(DeadRaw!$B:$B,$A112,DeadRaw!I:I)</f>
        <v>0</v>
      </c>
      <c r="G112">
        <f>SUMIF(DeadRaw!$B:$B,$A112,DeadRaw!J:J)</f>
        <v>0</v>
      </c>
      <c r="H112">
        <f>SUMIF(DeadRaw!$B:$B,$A112,DeadRaw!K:K)</f>
        <v>0</v>
      </c>
      <c r="I112">
        <f>SUMIF(DeadRaw!$B:$B,$A112,DeadRaw!L:L)</f>
        <v>0</v>
      </c>
      <c r="J112">
        <f>SUMIF(DeadRaw!$B:$B,$A112,DeadRaw!M:M)</f>
        <v>0</v>
      </c>
      <c r="K112">
        <f>SUMIF(DeadRaw!$B:$B,$A112,DeadRaw!N:N)</f>
        <v>0</v>
      </c>
      <c r="L112">
        <f>SUMIF(DeadRaw!$B:$B,$A112,DeadRaw!O:O)</f>
        <v>0</v>
      </c>
      <c r="M112">
        <f>SUMIF(DeadRaw!$B:$B,$A112,DeadRaw!P:P)</f>
        <v>0</v>
      </c>
      <c r="N112">
        <f>SUMIF(DeadRaw!$B:$B,$A112,DeadRaw!Q:Q)</f>
        <v>0</v>
      </c>
      <c r="O112">
        <f>SUMIF(DeadRaw!$B:$B,$A112,DeadRaw!R:R)</f>
        <v>0</v>
      </c>
      <c r="P112">
        <f>SUMIF(DeadRaw!$B:$B,$A112,DeadRaw!S:S)</f>
        <v>0</v>
      </c>
      <c r="Q112">
        <f>SUMIF(DeadRaw!$B:$B,$A112,DeadRaw!T:T)</f>
        <v>0</v>
      </c>
      <c r="R112">
        <f>SUMIF(DeadRaw!$B:$B,$A112,DeadRaw!U:U)</f>
        <v>0</v>
      </c>
      <c r="S112">
        <f>SUMIF(DeadRaw!$B:$B,$A112,DeadRaw!V:V)</f>
        <v>0</v>
      </c>
      <c r="T112">
        <f>SUMIF(DeadRaw!$B:$B,$A112,DeadRaw!W:W)</f>
        <v>0</v>
      </c>
      <c r="U112">
        <f>SUMIF(DeadRaw!$B:$B,$A112,DeadRaw!X:X)</f>
        <v>0</v>
      </c>
      <c r="V112">
        <f>SUMIF(DeadRaw!$B:$B,$A112,DeadRaw!Y:Y)</f>
        <v>0</v>
      </c>
      <c r="W112">
        <f>SUMIF(DeadRaw!$B:$B,$A112,DeadRaw!Z:Z)</f>
        <v>0</v>
      </c>
      <c r="X112">
        <f>SUMIF(DeadRaw!$B:$B,$A112,DeadRaw!AA:AA)</f>
        <v>0</v>
      </c>
      <c r="Y112">
        <f>SUMIF(DeadRaw!$B:$B,$A112,DeadRaw!AB:AB)</f>
        <v>0</v>
      </c>
      <c r="Z112">
        <f>SUMIF(DeadRaw!$B:$B,$A112,DeadRaw!AC:AC)</f>
        <v>0</v>
      </c>
      <c r="AA112">
        <f>SUMIF(DeadRaw!$B:$B,$A112,DeadRaw!AD:AD)</f>
        <v>0</v>
      </c>
      <c r="AB112">
        <f>SUMIF(DeadRaw!$B:$B,$A112,DeadRaw!AE:AE)</f>
        <v>0</v>
      </c>
      <c r="AC112">
        <f>SUMIF(DeadRaw!$B:$B,$A112,DeadRaw!AF:AF)</f>
        <v>0</v>
      </c>
      <c r="AD112">
        <f>SUMIF(DeadRaw!$B:$B,$A112,DeadRaw!AG:AG)</f>
        <v>0</v>
      </c>
      <c r="AE112">
        <f>SUMIF(DeadRaw!$B:$B,$A112,DeadRaw!AH:AH)</f>
        <v>0</v>
      </c>
      <c r="AF112">
        <f>SUMIF(DeadRaw!$B:$B,$A112,DeadRaw!AI:AI)</f>
        <v>0</v>
      </c>
      <c r="AG112">
        <f>SUMIF(DeadRaw!$B:$B,$A112,DeadRaw!AJ:AJ)</f>
        <v>0</v>
      </c>
      <c r="AH112">
        <f>SUMIF(DeadRaw!$B:$B,$A112,DeadRaw!AK:AK)</f>
        <v>0</v>
      </c>
      <c r="AI112">
        <f>SUMIF(DeadRaw!$B:$B,$A112,DeadRaw!AL:AL)</f>
        <v>0</v>
      </c>
      <c r="AJ112">
        <f>SUMIF(DeadRaw!$B:$B,$A112,DeadRaw!AM:AM)</f>
        <v>0</v>
      </c>
      <c r="AK112">
        <f>SUMIF(DeadRaw!$B:$B,$A112,DeadRaw!AN:AN)</f>
        <v>0</v>
      </c>
      <c r="AL112">
        <f>SUMIF(DeadRaw!$B:$B,$A112,DeadRaw!AO:AO)</f>
        <v>0</v>
      </c>
      <c r="AM112">
        <f>SUMIF(DeadRaw!$B:$B,$A112,DeadRaw!AP:AP)</f>
        <v>0</v>
      </c>
      <c r="AN112">
        <f>SUMIF(DeadRaw!$B:$B,$A112,DeadRaw!AQ:AQ)</f>
        <v>0</v>
      </c>
      <c r="AO112">
        <f>SUMIF(DeadRaw!$B:$B,$A112,DeadRaw!AR:AR)</f>
        <v>0</v>
      </c>
      <c r="AP112">
        <f>SUMIF(DeadRaw!$B:$B,$A112,DeadRaw!AS:AS)</f>
        <v>0</v>
      </c>
      <c r="AQ112">
        <f>SUMIF(DeadRaw!$B:$B,$A112,DeadRaw!AT:AT)</f>
        <v>0</v>
      </c>
      <c r="AR112">
        <f>SUMIF(DeadRaw!$B:$B,$A112,DeadRaw!AU:AU)</f>
        <v>0</v>
      </c>
      <c r="AS112">
        <f>SUMIF(DeadRaw!$B:$B,$A112,DeadRaw!AV:AV)</f>
        <v>0</v>
      </c>
      <c r="AT112">
        <f>SUMIF(DeadRaw!$B:$B,$A112,DeadRaw!AW:AW)</f>
        <v>0</v>
      </c>
      <c r="AU112">
        <f>SUMIF(DeadRaw!$B:$B,$A112,DeadRaw!AX:AX)</f>
        <v>0</v>
      </c>
      <c r="AV112">
        <f>SUMIF(DeadRaw!$B:$B,$A112,DeadRaw!AY:AY)</f>
        <v>0</v>
      </c>
      <c r="AW112">
        <f>SUMIF(DeadRaw!$B:$B,$A112,DeadRaw!AZ:AZ)</f>
        <v>0</v>
      </c>
      <c r="AX112">
        <f>SUMIF(DeadRaw!$B:$B,$A112,DeadRaw!BA:BA)</f>
        <v>0</v>
      </c>
      <c r="AY112">
        <f>SUMIF(DeadRaw!$B:$B,$A112,DeadRaw!BB:BB)</f>
        <v>0</v>
      </c>
      <c r="AZ112">
        <f>SUMIF(DeadRaw!$B:$B,$A112,DeadRaw!BC:BC)</f>
        <v>0</v>
      </c>
      <c r="BA112">
        <f>SUMIF(DeadRaw!$B:$B,$A112,DeadRaw!BD:BD)</f>
        <v>0</v>
      </c>
      <c r="BB112">
        <f>SUMIF(DeadRaw!$B:$B,$A112,DeadRaw!BE:BE)</f>
        <v>0</v>
      </c>
      <c r="BC112">
        <f>SUMIF(DeadRaw!$B:$B,$A112,DeadRaw!BF:BF)</f>
        <v>0</v>
      </c>
      <c r="BD112">
        <f>SUMIF(DeadRaw!$B:$B,$A112,DeadRaw!BG:BG)</f>
        <v>0</v>
      </c>
      <c r="BE112">
        <f>SUMIF(DeadRaw!$B:$B,$A112,DeadRaw!BH:BH)</f>
        <v>0</v>
      </c>
      <c r="BF112">
        <f>SUMIF(DeadRaw!$B:$B,$A112,DeadRaw!BI:BI)</f>
        <v>0</v>
      </c>
      <c r="BG112">
        <f>SUMIF(DeadRaw!$B:$B,$A112,DeadRaw!BJ:BJ)</f>
        <v>0</v>
      </c>
      <c r="BH112">
        <f>SUMIF(DeadRaw!$B:$B,$A112,DeadRaw!BK:BK)</f>
        <v>0</v>
      </c>
      <c r="BI112">
        <f>SUMIF(DeadRaw!$B:$B,$A112,DeadRaw!BL:BL)</f>
        <v>0</v>
      </c>
      <c r="BJ112">
        <f>SUMIF(DeadRaw!$B:$B,$A112,DeadRaw!BM:BM)</f>
        <v>0</v>
      </c>
      <c r="BK112">
        <f>SUMIF(DeadRaw!$B:$B,$A112,DeadRaw!BN:BN)</f>
        <v>0</v>
      </c>
      <c r="BL112">
        <f>SUMIF(DeadRaw!$B:$B,$A112,DeadRaw!BO:BO)</f>
        <v>0</v>
      </c>
      <c r="BM112">
        <f>SUMIF(DeadRaw!$B:$B,$A112,DeadRaw!BP:BP)</f>
        <v>0</v>
      </c>
      <c r="BN112">
        <f>SUMIF(DeadRaw!$B:$B,$A112,DeadRaw!BQ:BQ)</f>
        <v>0</v>
      </c>
      <c r="BO112">
        <f>SUMIF(DeadRaw!$B:$B,$A112,DeadRaw!BR:BR)</f>
        <v>0</v>
      </c>
      <c r="BP112">
        <f>SUMIF(DeadRaw!$B:$B,$A112,DeadRaw!BS:BS)</f>
        <v>0</v>
      </c>
      <c r="BQ112">
        <f>SUMIF(DeadRaw!$B:$B,$A112,DeadRaw!BT:BT)</f>
        <v>0</v>
      </c>
      <c r="BR112">
        <f>SUMIF(DeadRaw!$B:$B,$A112,DeadRaw!BU:BU)</f>
        <v>0</v>
      </c>
      <c r="BS112">
        <f>SUMIF(DeadRaw!$B:$B,$A112,DeadRaw!BV:BV)</f>
        <v>0</v>
      </c>
      <c r="BT112">
        <f>SUMIF(DeadRaw!$B:$B,$A112,DeadRaw!BW:BW)</f>
        <v>0</v>
      </c>
    </row>
    <row r="113" spans="1:72" ht="15" thickBot="1" x14ac:dyDescent="0.35">
      <c r="A113" s="4" t="s">
        <v>415</v>
      </c>
      <c r="B113">
        <f>SUMIF(DeadRaw!$B:$B,$A113,DeadRaw!E:E)</f>
        <v>0</v>
      </c>
      <c r="C113">
        <f>SUMIF(DeadRaw!$B:$B,$A113,DeadRaw!F:F)</f>
        <v>0</v>
      </c>
      <c r="D113">
        <f>SUMIF(DeadRaw!$B:$B,$A113,DeadRaw!G:G)</f>
        <v>0</v>
      </c>
      <c r="E113">
        <f>SUMIF(DeadRaw!$B:$B,$A113,DeadRaw!H:H)</f>
        <v>0</v>
      </c>
      <c r="F113">
        <f>SUMIF(DeadRaw!$B:$B,$A113,DeadRaw!I:I)</f>
        <v>0</v>
      </c>
      <c r="G113">
        <f>SUMIF(DeadRaw!$B:$B,$A113,DeadRaw!J:J)</f>
        <v>0</v>
      </c>
      <c r="H113">
        <f>SUMIF(DeadRaw!$B:$B,$A113,DeadRaw!K:K)</f>
        <v>0</v>
      </c>
      <c r="I113">
        <f>SUMIF(DeadRaw!$B:$B,$A113,DeadRaw!L:L)</f>
        <v>0</v>
      </c>
      <c r="J113">
        <f>SUMIF(DeadRaw!$B:$B,$A113,DeadRaw!M:M)</f>
        <v>0</v>
      </c>
      <c r="K113">
        <f>SUMIF(DeadRaw!$B:$B,$A113,DeadRaw!N:N)</f>
        <v>0</v>
      </c>
      <c r="L113">
        <f>SUMIF(DeadRaw!$B:$B,$A113,DeadRaw!O:O)</f>
        <v>0</v>
      </c>
      <c r="M113">
        <f>SUMIF(DeadRaw!$B:$B,$A113,DeadRaw!P:P)</f>
        <v>0</v>
      </c>
      <c r="N113">
        <f>SUMIF(DeadRaw!$B:$B,$A113,DeadRaw!Q:Q)</f>
        <v>0</v>
      </c>
      <c r="O113">
        <f>SUMIF(DeadRaw!$B:$B,$A113,DeadRaw!R:R)</f>
        <v>0</v>
      </c>
      <c r="P113">
        <f>SUMIF(DeadRaw!$B:$B,$A113,DeadRaw!S:S)</f>
        <v>0</v>
      </c>
      <c r="Q113">
        <f>SUMIF(DeadRaw!$B:$B,$A113,DeadRaw!T:T)</f>
        <v>0</v>
      </c>
      <c r="R113">
        <f>SUMIF(DeadRaw!$B:$B,$A113,DeadRaw!U:U)</f>
        <v>0</v>
      </c>
      <c r="S113">
        <f>SUMIF(DeadRaw!$B:$B,$A113,DeadRaw!V:V)</f>
        <v>0</v>
      </c>
      <c r="T113">
        <f>SUMIF(DeadRaw!$B:$B,$A113,DeadRaw!W:W)</f>
        <v>0</v>
      </c>
      <c r="U113">
        <f>SUMIF(DeadRaw!$B:$B,$A113,DeadRaw!X:X)</f>
        <v>0</v>
      </c>
      <c r="V113">
        <f>SUMIF(DeadRaw!$B:$B,$A113,DeadRaw!Y:Y)</f>
        <v>0</v>
      </c>
      <c r="W113">
        <f>SUMIF(DeadRaw!$B:$B,$A113,DeadRaw!Z:Z)</f>
        <v>0</v>
      </c>
      <c r="X113">
        <f>SUMIF(DeadRaw!$B:$B,$A113,DeadRaw!AA:AA)</f>
        <v>0</v>
      </c>
      <c r="Y113">
        <f>SUMIF(DeadRaw!$B:$B,$A113,DeadRaw!AB:AB)</f>
        <v>0</v>
      </c>
      <c r="Z113">
        <f>SUMIF(DeadRaw!$B:$B,$A113,DeadRaw!AC:AC)</f>
        <v>0</v>
      </c>
      <c r="AA113">
        <f>SUMIF(DeadRaw!$B:$B,$A113,DeadRaw!AD:AD)</f>
        <v>0</v>
      </c>
      <c r="AB113">
        <f>SUMIF(DeadRaw!$B:$B,$A113,DeadRaw!AE:AE)</f>
        <v>0</v>
      </c>
      <c r="AC113">
        <f>SUMIF(DeadRaw!$B:$B,$A113,DeadRaw!AF:AF)</f>
        <v>0</v>
      </c>
      <c r="AD113">
        <f>SUMIF(DeadRaw!$B:$B,$A113,DeadRaw!AG:AG)</f>
        <v>0</v>
      </c>
      <c r="AE113">
        <f>SUMIF(DeadRaw!$B:$B,$A113,DeadRaw!AH:AH)</f>
        <v>0</v>
      </c>
      <c r="AF113">
        <f>SUMIF(DeadRaw!$B:$B,$A113,DeadRaw!AI:AI)</f>
        <v>0</v>
      </c>
      <c r="AG113">
        <f>SUMIF(DeadRaw!$B:$B,$A113,DeadRaw!AJ:AJ)</f>
        <v>0</v>
      </c>
      <c r="AH113">
        <f>SUMIF(DeadRaw!$B:$B,$A113,DeadRaw!AK:AK)</f>
        <v>0</v>
      </c>
      <c r="AI113">
        <f>SUMIF(DeadRaw!$B:$B,$A113,DeadRaw!AL:AL)</f>
        <v>0</v>
      </c>
      <c r="AJ113">
        <f>SUMIF(DeadRaw!$B:$B,$A113,DeadRaw!AM:AM)</f>
        <v>0</v>
      </c>
      <c r="AK113">
        <f>SUMIF(DeadRaw!$B:$B,$A113,DeadRaw!AN:AN)</f>
        <v>0</v>
      </c>
      <c r="AL113">
        <f>SUMIF(DeadRaw!$B:$B,$A113,DeadRaw!AO:AO)</f>
        <v>0</v>
      </c>
      <c r="AM113">
        <f>SUMIF(DeadRaw!$B:$B,$A113,DeadRaw!AP:AP)</f>
        <v>0</v>
      </c>
      <c r="AN113">
        <f>SUMIF(DeadRaw!$B:$B,$A113,DeadRaw!AQ:AQ)</f>
        <v>0</v>
      </c>
      <c r="AO113">
        <f>SUMIF(DeadRaw!$B:$B,$A113,DeadRaw!AR:AR)</f>
        <v>0</v>
      </c>
      <c r="AP113">
        <f>SUMIF(DeadRaw!$B:$B,$A113,DeadRaw!AS:AS)</f>
        <v>0</v>
      </c>
      <c r="AQ113">
        <f>SUMIF(DeadRaw!$B:$B,$A113,DeadRaw!AT:AT)</f>
        <v>0</v>
      </c>
      <c r="AR113">
        <f>SUMIF(DeadRaw!$B:$B,$A113,DeadRaw!AU:AU)</f>
        <v>0</v>
      </c>
      <c r="AS113">
        <f>SUMIF(DeadRaw!$B:$B,$A113,DeadRaw!AV:AV)</f>
        <v>0</v>
      </c>
      <c r="AT113">
        <f>SUMIF(DeadRaw!$B:$B,$A113,DeadRaw!AW:AW)</f>
        <v>0</v>
      </c>
      <c r="AU113">
        <f>SUMIF(DeadRaw!$B:$B,$A113,DeadRaw!AX:AX)</f>
        <v>0</v>
      </c>
      <c r="AV113">
        <f>SUMIF(DeadRaw!$B:$B,$A113,DeadRaw!AY:AY)</f>
        <v>0</v>
      </c>
      <c r="AW113">
        <f>SUMIF(DeadRaw!$B:$B,$A113,DeadRaw!AZ:AZ)</f>
        <v>0</v>
      </c>
      <c r="AX113">
        <f>SUMIF(DeadRaw!$B:$B,$A113,DeadRaw!BA:BA)</f>
        <v>0</v>
      </c>
      <c r="AY113">
        <f>SUMIF(DeadRaw!$B:$B,$A113,DeadRaw!BB:BB)</f>
        <v>0</v>
      </c>
      <c r="AZ113">
        <f>SUMIF(DeadRaw!$B:$B,$A113,DeadRaw!BC:BC)</f>
        <v>0</v>
      </c>
      <c r="BA113">
        <f>SUMIF(DeadRaw!$B:$B,$A113,DeadRaw!BD:BD)</f>
        <v>0</v>
      </c>
      <c r="BB113">
        <f>SUMIF(DeadRaw!$B:$B,$A113,DeadRaw!BE:BE)</f>
        <v>0</v>
      </c>
      <c r="BC113">
        <f>SUMIF(DeadRaw!$B:$B,$A113,DeadRaw!BF:BF)</f>
        <v>0</v>
      </c>
      <c r="BD113">
        <f>SUMIF(DeadRaw!$B:$B,$A113,DeadRaw!BG:BG)</f>
        <v>0</v>
      </c>
      <c r="BE113">
        <f>SUMIF(DeadRaw!$B:$B,$A113,DeadRaw!BH:BH)</f>
        <v>0</v>
      </c>
      <c r="BF113">
        <f>SUMIF(DeadRaw!$B:$B,$A113,DeadRaw!BI:BI)</f>
        <v>0</v>
      </c>
      <c r="BG113">
        <f>SUMIF(DeadRaw!$B:$B,$A113,DeadRaw!BJ:BJ)</f>
        <v>0</v>
      </c>
      <c r="BH113">
        <f>SUMIF(DeadRaw!$B:$B,$A113,DeadRaw!BK:BK)</f>
        <v>0</v>
      </c>
      <c r="BI113">
        <f>SUMIF(DeadRaw!$B:$B,$A113,DeadRaw!BL:BL)</f>
        <v>0</v>
      </c>
      <c r="BJ113">
        <f>SUMIF(DeadRaw!$B:$B,$A113,DeadRaw!BM:BM)</f>
        <v>0</v>
      </c>
      <c r="BK113">
        <f>SUMIF(DeadRaw!$B:$B,$A113,DeadRaw!BN:BN)</f>
        <v>0</v>
      </c>
      <c r="BL113">
        <f>SUMIF(DeadRaw!$B:$B,$A113,DeadRaw!BO:BO)</f>
        <v>0</v>
      </c>
      <c r="BM113">
        <f>SUMIF(DeadRaw!$B:$B,$A113,DeadRaw!BP:BP)</f>
        <v>0</v>
      </c>
      <c r="BN113">
        <f>SUMIF(DeadRaw!$B:$B,$A113,DeadRaw!BQ:BQ)</f>
        <v>0</v>
      </c>
      <c r="BO113">
        <f>SUMIF(DeadRaw!$B:$B,$A113,DeadRaw!BR:BR)</f>
        <v>0</v>
      </c>
      <c r="BP113">
        <f>SUMIF(DeadRaw!$B:$B,$A113,DeadRaw!BS:BS)</f>
        <v>0</v>
      </c>
      <c r="BQ113">
        <f>SUMIF(DeadRaw!$B:$B,$A113,DeadRaw!BT:BT)</f>
        <v>0</v>
      </c>
      <c r="BR113">
        <f>SUMIF(DeadRaw!$B:$B,$A113,DeadRaw!BU:BU)</f>
        <v>0</v>
      </c>
      <c r="BS113">
        <f>SUMIF(DeadRaw!$B:$B,$A113,DeadRaw!BV:BV)</f>
        <v>0</v>
      </c>
      <c r="BT113">
        <f>SUMIF(DeadRaw!$B:$B,$A113,DeadRaw!BW:BW)</f>
        <v>0</v>
      </c>
    </row>
    <row r="114" spans="1:72" ht="15" thickBot="1" x14ac:dyDescent="0.35">
      <c r="A114" s="3" t="s">
        <v>352</v>
      </c>
      <c r="B114">
        <f>SUMIF(DeadRaw!$B:$B,$A114,DeadRaw!E:E)</f>
        <v>0</v>
      </c>
      <c r="C114">
        <f>SUMIF(DeadRaw!$B:$B,$A114,DeadRaw!F:F)</f>
        <v>0</v>
      </c>
      <c r="D114">
        <f>SUMIF(DeadRaw!$B:$B,$A114,DeadRaw!G:G)</f>
        <v>0</v>
      </c>
      <c r="E114">
        <f>SUMIF(DeadRaw!$B:$B,$A114,DeadRaw!H:H)</f>
        <v>0</v>
      </c>
      <c r="F114">
        <f>SUMIF(DeadRaw!$B:$B,$A114,DeadRaw!I:I)</f>
        <v>0</v>
      </c>
      <c r="G114">
        <f>SUMIF(DeadRaw!$B:$B,$A114,DeadRaw!J:J)</f>
        <v>0</v>
      </c>
      <c r="H114">
        <f>SUMIF(DeadRaw!$B:$B,$A114,DeadRaw!K:K)</f>
        <v>0</v>
      </c>
      <c r="I114">
        <f>SUMIF(DeadRaw!$B:$B,$A114,DeadRaw!L:L)</f>
        <v>0</v>
      </c>
      <c r="J114">
        <f>SUMIF(DeadRaw!$B:$B,$A114,DeadRaw!M:M)</f>
        <v>0</v>
      </c>
      <c r="K114">
        <f>SUMIF(DeadRaw!$B:$B,$A114,DeadRaw!N:N)</f>
        <v>0</v>
      </c>
      <c r="L114">
        <f>SUMIF(DeadRaw!$B:$B,$A114,DeadRaw!O:O)</f>
        <v>0</v>
      </c>
      <c r="M114">
        <f>SUMIF(DeadRaw!$B:$B,$A114,DeadRaw!P:P)</f>
        <v>0</v>
      </c>
      <c r="N114">
        <f>SUMIF(DeadRaw!$B:$B,$A114,DeadRaw!Q:Q)</f>
        <v>0</v>
      </c>
      <c r="O114">
        <f>SUMIF(DeadRaw!$B:$B,$A114,DeadRaw!R:R)</f>
        <v>0</v>
      </c>
      <c r="P114">
        <f>SUMIF(DeadRaw!$B:$B,$A114,DeadRaw!S:S)</f>
        <v>0</v>
      </c>
      <c r="Q114">
        <f>SUMIF(DeadRaw!$B:$B,$A114,DeadRaw!T:T)</f>
        <v>0</v>
      </c>
      <c r="R114">
        <f>SUMIF(DeadRaw!$B:$B,$A114,DeadRaw!U:U)</f>
        <v>0</v>
      </c>
      <c r="S114">
        <f>SUMIF(DeadRaw!$B:$B,$A114,DeadRaw!V:V)</f>
        <v>0</v>
      </c>
      <c r="T114">
        <f>SUMIF(DeadRaw!$B:$B,$A114,DeadRaw!W:W)</f>
        <v>0</v>
      </c>
      <c r="U114">
        <f>SUMIF(DeadRaw!$B:$B,$A114,DeadRaw!X:X)</f>
        <v>0</v>
      </c>
      <c r="V114">
        <f>SUMIF(DeadRaw!$B:$B,$A114,DeadRaw!Y:Y)</f>
        <v>0</v>
      </c>
      <c r="W114">
        <f>SUMIF(DeadRaw!$B:$B,$A114,DeadRaw!Z:Z)</f>
        <v>0</v>
      </c>
      <c r="X114">
        <f>SUMIF(DeadRaw!$B:$B,$A114,DeadRaw!AA:AA)</f>
        <v>0</v>
      </c>
      <c r="Y114">
        <f>SUMIF(DeadRaw!$B:$B,$A114,DeadRaw!AB:AB)</f>
        <v>0</v>
      </c>
      <c r="Z114">
        <f>SUMIF(DeadRaw!$B:$B,$A114,DeadRaw!AC:AC)</f>
        <v>0</v>
      </c>
      <c r="AA114">
        <f>SUMIF(DeadRaw!$B:$B,$A114,DeadRaw!AD:AD)</f>
        <v>0</v>
      </c>
      <c r="AB114">
        <f>SUMIF(DeadRaw!$B:$B,$A114,DeadRaw!AE:AE)</f>
        <v>0</v>
      </c>
      <c r="AC114">
        <f>SUMIF(DeadRaw!$B:$B,$A114,DeadRaw!AF:AF)</f>
        <v>0</v>
      </c>
      <c r="AD114">
        <f>SUMIF(DeadRaw!$B:$B,$A114,DeadRaw!AG:AG)</f>
        <v>0</v>
      </c>
      <c r="AE114">
        <f>SUMIF(DeadRaw!$B:$B,$A114,DeadRaw!AH:AH)</f>
        <v>0</v>
      </c>
      <c r="AF114">
        <f>SUMIF(DeadRaw!$B:$B,$A114,DeadRaw!AI:AI)</f>
        <v>0</v>
      </c>
      <c r="AG114">
        <f>SUMIF(DeadRaw!$B:$B,$A114,DeadRaw!AJ:AJ)</f>
        <v>0</v>
      </c>
      <c r="AH114">
        <f>SUMIF(DeadRaw!$B:$B,$A114,DeadRaw!AK:AK)</f>
        <v>0</v>
      </c>
      <c r="AI114">
        <f>SUMIF(DeadRaw!$B:$B,$A114,DeadRaw!AL:AL)</f>
        <v>0</v>
      </c>
      <c r="AJ114">
        <f>SUMIF(DeadRaw!$B:$B,$A114,DeadRaw!AM:AM)</f>
        <v>0</v>
      </c>
      <c r="AK114">
        <f>SUMIF(DeadRaw!$B:$B,$A114,DeadRaw!AN:AN)</f>
        <v>0</v>
      </c>
      <c r="AL114">
        <f>SUMIF(DeadRaw!$B:$B,$A114,DeadRaw!AO:AO)</f>
        <v>0</v>
      </c>
      <c r="AM114">
        <f>SUMIF(DeadRaw!$B:$B,$A114,DeadRaw!AP:AP)</f>
        <v>0</v>
      </c>
      <c r="AN114">
        <f>SUMIF(DeadRaw!$B:$B,$A114,DeadRaw!AQ:AQ)</f>
        <v>0</v>
      </c>
      <c r="AO114">
        <f>SUMIF(DeadRaw!$B:$B,$A114,DeadRaw!AR:AR)</f>
        <v>0</v>
      </c>
      <c r="AP114">
        <f>SUMIF(DeadRaw!$B:$B,$A114,DeadRaw!AS:AS)</f>
        <v>0</v>
      </c>
      <c r="AQ114">
        <f>SUMIF(DeadRaw!$B:$B,$A114,DeadRaw!AT:AT)</f>
        <v>0</v>
      </c>
      <c r="AR114">
        <f>SUMIF(DeadRaw!$B:$B,$A114,DeadRaw!AU:AU)</f>
        <v>0</v>
      </c>
      <c r="AS114">
        <f>SUMIF(DeadRaw!$B:$B,$A114,DeadRaw!AV:AV)</f>
        <v>0</v>
      </c>
      <c r="AT114">
        <f>SUMIF(DeadRaw!$B:$B,$A114,DeadRaw!AW:AW)</f>
        <v>0</v>
      </c>
      <c r="AU114">
        <f>SUMIF(DeadRaw!$B:$B,$A114,DeadRaw!AX:AX)</f>
        <v>0</v>
      </c>
      <c r="AV114">
        <f>SUMIF(DeadRaw!$B:$B,$A114,DeadRaw!AY:AY)</f>
        <v>0</v>
      </c>
      <c r="AW114">
        <f>SUMIF(DeadRaw!$B:$B,$A114,DeadRaw!AZ:AZ)</f>
        <v>0</v>
      </c>
      <c r="AX114">
        <f>SUMIF(DeadRaw!$B:$B,$A114,DeadRaw!BA:BA)</f>
        <v>0</v>
      </c>
      <c r="AY114">
        <f>SUMIF(DeadRaw!$B:$B,$A114,DeadRaw!BB:BB)</f>
        <v>0</v>
      </c>
      <c r="AZ114">
        <f>SUMIF(DeadRaw!$B:$B,$A114,DeadRaw!BC:BC)</f>
        <v>0</v>
      </c>
      <c r="BA114">
        <f>SUMIF(DeadRaw!$B:$B,$A114,DeadRaw!BD:BD)</f>
        <v>0</v>
      </c>
      <c r="BB114">
        <f>SUMIF(DeadRaw!$B:$B,$A114,DeadRaw!BE:BE)</f>
        <v>0</v>
      </c>
      <c r="BC114">
        <f>SUMIF(DeadRaw!$B:$B,$A114,DeadRaw!BF:BF)</f>
        <v>0</v>
      </c>
      <c r="BD114">
        <f>SUMIF(DeadRaw!$B:$B,$A114,DeadRaw!BG:BG)</f>
        <v>0</v>
      </c>
      <c r="BE114">
        <f>SUMIF(DeadRaw!$B:$B,$A114,DeadRaw!BH:BH)</f>
        <v>0</v>
      </c>
      <c r="BF114">
        <f>SUMIF(DeadRaw!$B:$B,$A114,DeadRaw!BI:BI)</f>
        <v>0</v>
      </c>
      <c r="BG114">
        <f>SUMIF(DeadRaw!$B:$B,$A114,DeadRaw!BJ:BJ)</f>
        <v>0</v>
      </c>
      <c r="BH114">
        <f>SUMIF(DeadRaw!$B:$B,$A114,DeadRaw!BK:BK)</f>
        <v>0</v>
      </c>
      <c r="BI114">
        <f>SUMIF(DeadRaw!$B:$B,$A114,DeadRaw!BL:BL)</f>
        <v>0</v>
      </c>
      <c r="BJ114">
        <f>SUMIF(DeadRaw!$B:$B,$A114,DeadRaw!BM:BM)</f>
        <v>0</v>
      </c>
      <c r="BK114">
        <f>SUMIF(DeadRaw!$B:$B,$A114,DeadRaw!BN:BN)</f>
        <v>0</v>
      </c>
      <c r="BL114">
        <f>SUMIF(DeadRaw!$B:$B,$A114,DeadRaw!BO:BO)</f>
        <v>0</v>
      </c>
      <c r="BM114">
        <f>SUMIF(DeadRaw!$B:$B,$A114,DeadRaw!BP:BP)</f>
        <v>0</v>
      </c>
      <c r="BN114">
        <f>SUMIF(DeadRaw!$B:$B,$A114,DeadRaw!BQ:BQ)</f>
        <v>0</v>
      </c>
      <c r="BO114">
        <f>SUMIF(DeadRaw!$B:$B,$A114,DeadRaw!BR:BR)</f>
        <v>0</v>
      </c>
      <c r="BP114">
        <f>SUMIF(DeadRaw!$B:$B,$A114,DeadRaw!BS:BS)</f>
        <v>0</v>
      </c>
      <c r="BQ114">
        <f>SUMIF(DeadRaw!$B:$B,$A114,DeadRaw!BT:BT)</f>
        <v>0</v>
      </c>
      <c r="BR114">
        <f>SUMIF(DeadRaw!$B:$B,$A114,DeadRaw!BU:BU)</f>
        <v>0</v>
      </c>
      <c r="BS114">
        <f>SUMIF(DeadRaw!$B:$B,$A114,DeadRaw!BV:BV)</f>
        <v>0</v>
      </c>
      <c r="BT114">
        <f>SUMIF(DeadRaw!$B:$B,$A114,DeadRaw!BW:BW)</f>
        <v>0</v>
      </c>
    </row>
    <row r="115" spans="1:72" ht="15" thickBot="1" x14ac:dyDescent="0.35">
      <c r="A115" s="4" t="s">
        <v>419</v>
      </c>
      <c r="B115">
        <f>SUMIF(DeadRaw!$B:$B,$A115,DeadRaw!E:E)</f>
        <v>0</v>
      </c>
      <c r="C115">
        <f>SUMIF(DeadRaw!$B:$B,$A115,DeadRaw!F:F)</f>
        <v>0</v>
      </c>
      <c r="D115">
        <f>SUMIF(DeadRaw!$B:$B,$A115,DeadRaw!G:G)</f>
        <v>0</v>
      </c>
      <c r="E115">
        <f>SUMIF(DeadRaw!$B:$B,$A115,DeadRaw!H:H)</f>
        <v>0</v>
      </c>
      <c r="F115">
        <f>SUMIF(DeadRaw!$B:$B,$A115,DeadRaw!I:I)</f>
        <v>0</v>
      </c>
      <c r="G115">
        <f>SUMIF(DeadRaw!$B:$B,$A115,DeadRaw!J:J)</f>
        <v>0</v>
      </c>
      <c r="H115">
        <f>SUMIF(DeadRaw!$B:$B,$A115,DeadRaw!K:K)</f>
        <v>0</v>
      </c>
      <c r="I115">
        <f>SUMIF(DeadRaw!$B:$B,$A115,DeadRaw!L:L)</f>
        <v>0</v>
      </c>
      <c r="J115">
        <f>SUMIF(DeadRaw!$B:$B,$A115,DeadRaw!M:M)</f>
        <v>0</v>
      </c>
      <c r="K115">
        <f>SUMIF(DeadRaw!$B:$B,$A115,DeadRaw!N:N)</f>
        <v>0</v>
      </c>
      <c r="L115">
        <f>SUMIF(DeadRaw!$B:$B,$A115,DeadRaw!O:O)</f>
        <v>0</v>
      </c>
      <c r="M115">
        <f>SUMIF(DeadRaw!$B:$B,$A115,DeadRaw!P:P)</f>
        <v>0</v>
      </c>
      <c r="N115">
        <f>SUMIF(DeadRaw!$B:$B,$A115,DeadRaw!Q:Q)</f>
        <v>0</v>
      </c>
      <c r="O115">
        <f>SUMIF(DeadRaw!$B:$B,$A115,DeadRaw!R:R)</f>
        <v>0</v>
      </c>
      <c r="P115">
        <f>SUMIF(DeadRaw!$B:$B,$A115,DeadRaw!S:S)</f>
        <v>0</v>
      </c>
      <c r="Q115">
        <f>SUMIF(DeadRaw!$B:$B,$A115,DeadRaw!T:T)</f>
        <v>0</v>
      </c>
      <c r="R115">
        <f>SUMIF(DeadRaw!$B:$B,$A115,DeadRaw!U:U)</f>
        <v>0</v>
      </c>
      <c r="S115">
        <f>SUMIF(DeadRaw!$B:$B,$A115,DeadRaw!V:V)</f>
        <v>0</v>
      </c>
      <c r="T115">
        <f>SUMIF(DeadRaw!$B:$B,$A115,DeadRaw!W:W)</f>
        <v>0</v>
      </c>
      <c r="U115">
        <f>SUMIF(DeadRaw!$B:$B,$A115,DeadRaw!X:X)</f>
        <v>0</v>
      </c>
      <c r="V115">
        <f>SUMIF(DeadRaw!$B:$B,$A115,DeadRaw!Y:Y)</f>
        <v>0</v>
      </c>
      <c r="W115">
        <f>SUMIF(DeadRaw!$B:$B,$A115,DeadRaw!Z:Z)</f>
        <v>0</v>
      </c>
      <c r="X115">
        <f>SUMIF(DeadRaw!$B:$B,$A115,DeadRaw!AA:AA)</f>
        <v>0</v>
      </c>
      <c r="Y115">
        <f>SUMIF(DeadRaw!$B:$B,$A115,DeadRaw!AB:AB)</f>
        <v>0</v>
      </c>
      <c r="Z115">
        <f>SUMIF(DeadRaw!$B:$B,$A115,DeadRaw!AC:AC)</f>
        <v>0</v>
      </c>
      <c r="AA115">
        <f>SUMIF(DeadRaw!$B:$B,$A115,DeadRaw!AD:AD)</f>
        <v>0</v>
      </c>
      <c r="AB115">
        <f>SUMIF(DeadRaw!$B:$B,$A115,DeadRaw!AE:AE)</f>
        <v>0</v>
      </c>
      <c r="AC115">
        <f>SUMIF(DeadRaw!$B:$B,$A115,DeadRaw!AF:AF)</f>
        <v>0</v>
      </c>
      <c r="AD115">
        <f>SUMIF(DeadRaw!$B:$B,$A115,DeadRaw!AG:AG)</f>
        <v>0</v>
      </c>
      <c r="AE115">
        <f>SUMIF(DeadRaw!$B:$B,$A115,DeadRaw!AH:AH)</f>
        <v>0</v>
      </c>
      <c r="AF115">
        <f>SUMIF(DeadRaw!$B:$B,$A115,DeadRaw!AI:AI)</f>
        <v>0</v>
      </c>
      <c r="AG115">
        <f>SUMIF(DeadRaw!$B:$B,$A115,DeadRaw!AJ:AJ)</f>
        <v>0</v>
      </c>
      <c r="AH115">
        <f>SUMIF(DeadRaw!$B:$B,$A115,DeadRaw!AK:AK)</f>
        <v>0</v>
      </c>
      <c r="AI115">
        <f>SUMIF(DeadRaw!$B:$B,$A115,DeadRaw!AL:AL)</f>
        <v>0</v>
      </c>
      <c r="AJ115">
        <f>SUMIF(DeadRaw!$B:$B,$A115,DeadRaw!AM:AM)</f>
        <v>0</v>
      </c>
      <c r="AK115">
        <f>SUMIF(DeadRaw!$B:$B,$A115,DeadRaw!AN:AN)</f>
        <v>0</v>
      </c>
      <c r="AL115">
        <f>SUMIF(DeadRaw!$B:$B,$A115,DeadRaw!AO:AO)</f>
        <v>0</v>
      </c>
      <c r="AM115">
        <f>SUMIF(DeadRaw!$B:$B,$A115,DeadRaw!AP:AP)</f>
        <v>0</v>
      </c>
      <c r="AN115">
        <f>SUMIF(DeadRaw!$B:$B,$A115,DeadRaw!AQ:AQ)</f>
        <v>0</v>
      </c>
      <c r="AO115">
        <f>SUMIF(DeadRaw!$B:$B,$A115,DeadRaw!AR:AR)</f>
        <v>0</v>
      </c>
      <c r="AP115">
        <f>SUMIF(DeadRaw!$B:$B,$A115,DeadRaw!AS:AS)</f>
        <v>0</v>
      </c>
      <c r="AQ115">
        <f>SUMIF(DeadRaw!$B:$B,$A115,DeadRaw!AT:AT)</f>
        <v>0</v>
      </c>
      <c r="AR115">
        <f>SUMIF(DeadRaw!$B:$B,$A115,DeadRaw!AU:AU)</f>
        <v>0</v>
      </c>
      <c r="AS115">
        <f>SUMIF(DeadRaw!$B:$B,$A115,DeadRaw!AV:AV)</f>
        <v>0</v>
      </c>
      <c r="AT115">
        <f>SUMIF(DeadRaw!$B:$B,$A115,DeadRaw!AW:AW)</f>
        <v>0</v>
      </c>
      <c r="AU115">
        <f>SUMIF(DeadRaw!$B:$B,$A115,DeadRaw!AX:AX)</f>
        <v>0</v>
      </c>
      <c r="AV115">
        <f>SUMIF(DeadRaw!$B:$B,$A115,DeadRaw!AY:AY)</f>
        <v>0</v>
      </c>
      <c r="AW115">
        <f>SUMIF(DeadRaw!$B:$B,$A115,DeadRaw!AZ:AZ)</f>
        <v>0</v>
      </c>
      <c r="AX115">
        <f>SUMIF(DeadRaw!$B:$B,$A115,DeadRaw!BA:BA)</f>
        <v>0</v>
      </c>
      <c r="AY115">
        <f>SUMIF(DeadRaw!$B:$B,$A115,DeadRaw!BB:BB)</f>
        <v>0</v>
      </c>
      <c r="AZ115">
        <f>SUMIF(DeadRaw!$B:$B,$A115,DeadRaw!BC:BC)</f>
        <v>0</v>
      </c>
      <c r="BA115">
        <f>SUMIF(DeadRaw!$B:$B,$A115,DeadRaw!BD:BD)</f>
        <v>0</v>
      </c>
      <c r="BB115">
        <f>SUMIF(DeadRaw!$B:$B,$A115,DeadRaw!BE:BE)</f>
        <v>0</v>
      </c>
      <c r="BC115">
        <f>SUMIF(DeadRaw!$B:$B,$A115,DeadRaw!BF:BF)</f>
        <v>0</v>
      </c>
      <c r="BD115">
        <f>SUMIF(DeadRaw!$B:$B,$A115,DeadRaw!BG:BG)</f>
        <v>0</v>
      </c>
      <c r="BE115">
        <f>SUMIF(DeadRaw!$B:$B,$A115,DeadRaw!BH:BH)</f>
        <v>0</v>
      </c>
      <c r="BF115">
        <f>SUMIF(DeadRaw!$B:$B,$A115,DeadRaw!BI:BI)</f>
        <v>0</v>
      </c>
      <c r="BG115">
        <f>SUMIF(DeadRaw!$B:$B,$A115,DeadRaw!BJ:BJ)</f>
        <v>0</v>
      </c>
      <c r="BH115">
        <f>SUMIF(DeadRaw!$B:$B,$A115,DeadRaw!BK:BK)</f>
        <v>0</v>
      </c>
      <c r="BI115">
        <f>SUMIF(DeadRaw!$B:$B,$A115,DeadRaw!BL:BL)</f>
        <v>0</v>
      </c>
      <c r="BJ115">
        <f>SUMIF(DeadRaw!$B:$B,$A115,DeadRaw!BM:BM)</f>
        <v>0</v>
      </c>
      <c r="BK115">
        <f>SUMIF(DeadRaw!$B:$B,$A115,DeadRaw!BN:BN)</f>
        <v>0</v>
      </c>
      <c r="BL115">
        <f>SUMIF(DeadRaw!$B:$B,$A115,DeadRaw!BO:BO)</f>
        <v>0</v>
      </c>
      <c r="BM115">
        <f>SUMIF(DeadRaw!$B:$B,$A115,DeadRaw!BP:BP)</f>
        <v>0</v>
      </c>
      <c r="BN115">
        <f>SUMIF(DeadRaw!$B:$B,$A115,DeadRaw!BQ:BQ)</f>
        <v>0</v>
      </c>
      <c r="BO115">
        <f>SUMIF(DeadRaw!$B:$B,$A115,DeadRaw!BR:BR)</f>
        <v>0</v>
      </c>
      <c r="BP115">
        <f>SUMIF(DeadRaw!$B:$B,$A115,DeadRaw!BS:BS)</f>
        <v>0</v>
      </c>
      <c r="BQ115">
        <f>SUMIF(DeadRaw!$B:$B,$A115,DeadRaw!BT:BT)</f>
        <v>0</v>
      </c>
      <c r="BR115">
        <f>SUMIF(DeadRaw!$B:$B,$A115,DeadRaw!BU:BU)</f>
        <v>0</v>
      </c>
      <c r="BS115">
        <f>SUMIF(DeadRaw!$B:$B,$A115,DeadRaw!BV:BV)</f>
        <v>0</v>
      </c>
      <c r="BT115">
        <f>SUMIF(DeadRaw!$B:$B,$A115,DeadRaw!BW:BW)</f>
        <v>0</v>
      </c>
    </row>
    <row r="116" spans="1:72" ht="15" thickBot="1" x14ac:dyDescent="0.35">
      <c r="A116" s="3" t="s">
        <v>416</v>
      </c>
      <c r="B116">
        <f>SUMIF(DeadRaw!$B:$B,$A116,DeadRaw!E:E)</f>
        <v>0</v>
      </c>
      <c r="C116">
        <f>SUMIF(DeadRaw!$B:$B,$A116,DeadRaw!F:F)</f>
        <v>0</v>
      </c>
      <c r="D116">
        <f>SUMIF(DeadRaw!$B:$B,$A116,DeadRaw!G:G)</f>
        <v>0</v>
      </c>
      <c r="E116">
        <f>SUMIF(DeadRaw!$B:$B,$A116,DeadRaw!H:H)</f>
        <v>0</v>
      </c>
      <c r="F116">
        <f>SUMIF(DeadRaw!$B:$B,$A116,DeadRaw!I:I)</f>
        <v>0</v>
      </c>
      <c r="G116">
        <f>SUMIF(DeadRaw!$B:$B,$A116,DeadRaw!J:J)</f>
        <v>0</v>
      </c>
      <c r="H116">
        <f>SUMIF(DeadRaw!$B:$B,$A116,DeadRaw!K:K)</f>
        <v>0</v>
      </c>
      <c r="I116">
        <f>SUMIF(DeadRaw!$B:$B,$A116,DeadRaw!L:L)</f>
        <v>0</v>
      </c>
      <c r="J116">
        <f>SUMIF(DeadRaw!$B:$B,$A116,DeadRaw!M:M)</f>
        <v>0</v>
      </c>
      <c r="K116">
        <f>SUMIF(DeadRaw!$B:$B,$A116,DeadRaw!N:N)</f>
        <v>0</v>
      </c>
      <c r="L116">
        <f>SUMIF(DeadRaw!$B:$B,$A116,DeadRaw!O:O)</f>
        <v>0</v>
      </c>
      <c r="M116">
        <f>SUMIF(DeadRaw!$B:$B,$A116,DeadRaw!P:P)</f>
        <v>0</v>
      </c>
      <c r="N116">
        <f>SUMIF(DeadRaw!$B:$B,$A116,DeadRaw!Q:Q)</f>
        <v>0</v>
      </c>
      <c r="O116">
        <f>SUMIF(DeadRaw!$B:$B,$A116,DeadRaw!R:R)</f>
        <v>0</v>
      </c>
      <c r="P116">
        <f>SUMIF(DeadRaw!$B:$B,$A116,DeadRaw!S:S)</f>
        <v>0</v>
      </c>
      <c r="Q116">
        <f>SUMIF(DeadRaw!$B:$B,$A116,DeadRaw!T:T)</f>
        <v>0</v>
      </c>
      <c r="R116">
        <f>SUMIF(DeadRaw!$B:$B,$A116,DeadRaw!U:U)</f>
        <v>0</v>
      </c>
      <c r="S116">
        <f>SUMIF(DeadRaw!$B:$B,$A116,DeadRaw!V:V)</f>
        <v>0</v>
      </c>
      <c r="T116">
        <f>SUMIF(DeadRaw!$B:$B,$A116,DeadRaw!W:W)</f>
        <v>0</v>
      </c>
      <c r="U116">
        <f>SUMIF(DeadRaw!$B:$B,$A116,DeadRaw!X:X)</f>
        <v>0</v>
      </c>
      <c r="V116">
        <f>SUMIF(DeadRaw!$B:$B,$A116,DeadRaw!Y:Y)</f>
        <v>0</v>
      </c>
      <c r="W116">
        <f>SUMIF(DeadRaw!$B:$B,$A116,DeadRaw!Z:Z)</f>
        <v>0</v>
      </c>
      <c r="X116">
        <f>SUMIF(DeadRaw!$B:$B,$A116,DeadRaw!AA:AA)</f>
        <v>0</v>
      </c>
      <c r="Y116">
        <f>SUMIF(DeadRaw!$B:$B,$A116,DeadRaw!AB:AB)</f>
        <v>0</v>
      </c>
      <c r="Z116">
        <f>SUMIF(DeadRaw!$B:$B,$A116,DeadRaw!AC:AC)</f>
        <v>0</v>
      </c>
      <c r="AA116">
        <f>SUMIF(DeadRaw!$B:$B,$A116,DeadRaw!AD:AD)</f>
        <v>0</v>
      </c>
      <c r="AB116">
        <f>SUMIF(DeadRaw!$B:$B,$A116,DeadRaw!AE:AE)</f>
        <v>0</v>
      </c>
      <c r="AC116">
        <f>SUMIF(DeadRaw!$B:$B,$A116,DeadRaw!AF:AF)</f>
        <v>0</v>
      </c>
      <c r="AD116">
        <f>SUMIF(DeadRaw!$B:$B,$A116,DeadRaw!AG:AG)</f>
        <v>0</v>
      </c>
      <c r="AE116">
        <f>SUMIF(DeadRaw!$B:$B,$A116,DeadRaw!AH:AH)</f>
        <v>0</v>
      </c>
      <c r="AF116">
        <f>SUMIF(DeadRaw!$B:$B,$A116,DeadRaw!AI:AI)</f>
        <v>0</v>
      </c>
      <c r="AG116">
        <f>SUMIF(DeadRaw!$B:$B,$A116,DeadRaw!AJ:AJ)</f>
        <v>0</v>
      </c>
      <c r="AH116">
        <f>SUMIF(DeadRaw!$B:$B,$A116,DeadRaw!AK:AK)</f>
        <v>0</v>
      </c>
      <c r="AI116">
        <f>SUMIF(DeadRaw!$B:$B,$A116,DeadRaw!AL:AL)</f>
        <v>0</v>
      </c>
      <c r="AJ116">
        <f>SUMIF(DeadRaw!$B:$B,$A116,DeadRaw!AM:AM)</f>
        <v>0</v>
      </c>
      <c r="AK116">
        <f>SUMIF(DeadRaw!$B:$B,$A116,DeadRaw!AN:AN)</f>
        <v>0</v>
      </c>
      <c r="AL116">
        <f>SUMIF(DeadRaw!$B:$B,$A116,DeadRaw!AO:AO)</f>
        <v>0</v>
      </c>
      <c r="AM116">
        <f>SUMIF(DeadRaw!$B:$B,$A116,DeadRaw!AP:AP)</f>
        <v>0</v>
      </c>
      <c r="AN116">
        <f>SUMIF(DeadRaw!$B:$B,$A116,DeadRaw!AQ:AQ)</f>
        <v>0</v>
      </c>
      <c r="AO116">
        <f>SUMIF(DeadRaw!$B:$B,$A116,DeadRaw!AR:AR)</f>
        <v>0</v>
      </c>
      <c r="AP116">
        <f>SUMIF(DeadRaw!$B:$B,$A116,DeadRaw!AS:AS)</f>
        <v>0</v>
      </c>
      <c r="AQ116">
        <f>SUMIF(DeadRaw!$B:$B,$A116,DeadRaw!AT:AT)</f>
        <v>0</v>
      </c>
      <c r="AR116">
        <f>SUMIF(DeadRaw!$B:$B,$A116,DeadRaw!AU:AU)</f>
        <v>0</v>
      </c>
      <c r="AS116">
        <f>SUMIF(DeadRaw!$B:$B,$A116,DeadRaw!AV:AV)</f>
        <v>0</v>
      </c>
      <c r="AT116">
        <f>SUMIF(DeadRaw!$B:$B,$A116,DeadRaw!AW:AW)</f>
        <v>0</v>
      </c>
      <c r="AU116">
        <f>SUMIF(DeadRaw!$B:$B,$A116,DeadRaw!AX:AX)</f>
        <v>0</v>
      </c>
      <c r="AV116">
        <f>SUMIF(DeadRaw!$B:$B,$A116,DeadRaw!AY:AY)</f>
        <v>0</v>
      </c>
      <c r="AW116">
        <f>SUMIF(DeadRaw!$B:$B,$A116,DeadRaw!AZ:AZ)</f>
        <v>0</v>
      </c>
      <c r="AX116">
        <f>SUMIF(DeadRaw!$B:$B,$A116,DeadRaw!BA:BA)</f>
        <v>0</v>
      </c>
      <c r="AY116">
        <f>SUMIF(DeadRaw!$B:$B,$A116,DeadRaw!BB:BB)</f>
        <v>0</v>
      </c>
      <c r="AZ116">
        <f>SUMIF(DeadRaw!$B:$B,$A116,DeadRaw!BC:BC)</f>
        <v>0</v>
      </c>
      <c r="BA116">
        <f>SUMIF(DeadRaw!$B:$B,$A116,DeadRaw!BD:BD)</f>
        <v>0</v>
      </c>
      <c r="BB116">
        <f>SUMIF(DeadRaw!$B:$B,$A116,DeadRaw!BE:BE)</f>
        <v>0</v>
      </c>
      <c r="BC116">
        <f>SUMIF(DeadRaw!$B:$B,$A116,DeadRaw!BF:BF)</f>
        <v>0</v>
      </c>
      <c r="BD116">
        <f>SUMIF(DeadRaw!$B:$B,$A116,DeadRaw!BG:BG)</f>
        <v>0</v>
      </c>
      <c r="BE116">
        <f>SUMIF(DeadRaw!$B:$B,$A116,DeadRaw!BH:BH)</f>
        <v>0</v>
      </c>
      <c r="BF116">
        <f>SUMIF(DeadRaw!$B:$B,$A116,DeadRaw!BI:BI)</f>
        <v>0</v>
      </c>
      <c r="BG116">
        <f>SUMIF(DeadRaw!$B:$B,$A116,DeadRaw!BJ:BJ)</f>
        <v>0</v>
      </c>
      <c r="BH116">
        <f>SUMIF(DeadRaw!$B:$B,$A116,DeadRaw!BK:BK)</f>
        <v>0</v>
      </c>
      <c r="BI116">
        <f>SUMIF(DeadRaw!$B:$B,$A116,DeadRaw!BL:BL)</f>
        <v>0</v>
      </c>
      <c r="BJ116">
        <f>SUMIF(DeadRaw!$B:$B,$A116,DeadRaw!BM:BM)</f>
        <v>0</v>
      </c>
      <c r="BK116">
        <f>SUMIF(DeadRaw!$B:$B,$A116,DeadRaw!BN:BN)</f>
        <v>0</v>
      </c>
      <c r="BL116">
        <f>SUMIF(DeadRaw!$B:$B,$A116,DeadRaw!BO:BO)</f>
        <v>0</v>
      </c>
      <c r="BM116">
        <f>SUMIF(DeadRaw!$B:$B,$A116,DeadRaw!BP:BP)</f>
        <v>0</v>
      </c>
      <c r="BN116">
        <f>SUMIF(DeadRaw!$B:$B,$A116,DeadRaw!BQ:BQ)</f>
        <v>0</v>
      </c>
      <c r="BO116">
        <f>SUMIF(DeadRaw!$B:$B,$A116,DeadRaw!BR:BR)</f>
        <v>0</v>
      </c>
      <c r="BP116">
        <f>SUMIF(DeadRaw!$B:$B,$A116,DeadRaw!BS:BS)</f>
        <v>0</v>
      </c>
      <c r="BQ116">
        <f>SUMIF(DeadRaw!$B:$B,$A116,DeadRaw!BT:BT)</f>
        <v>0</v>
      </c>
      <c r="BR116">
        <f>SUMIF(DeadRaw!$B:$B,$A116,DeadRaw!BU:BU)</f>
        <v>0</v>
      </c>
      <c r="BS116">
        <f>SUMIF(DeadRaw!$B:$B,$A116,DeadRaw!BV:BV)</f>
        <v>0</v>
      </c>
      <c r="BT116">
        <f>SUMIF(DeadRaw!$B:$B,$A116,DeadRaw!BW:BW)</f>
        <v>0</v>
      </c>
    </row>
    <row r="117" spans="1:72" ht="15" thickBot="1" x14ac:dyDescent="0.35">
      <c r="A117" s="4" t="s">
        <v>421</v>
      </c>
      <c r="B117">
        <f>SUMIF(DeadRaw!$B:$B,$A117,DeadRaw!E:E)</f>
        <v>0</v>
      </c>
      <c r="C117">
        <f>SUMIF(DeadRaw!$B:$B,$A117,DeadRaw!F:F)</f>
        <v>0</v>
      </c>
      <c r="D117">
        <f>SUMIF(DeadRaw!$B:$B,$A117,DeadRaw!G:G)</f>
        <v>0</v>
      </c>
      <c r="E117">
        <f>SUMIF(DeadRaw!$B:$B,$A117,DeadRaw!H:H)</f>
        <v>0</v>
      </c>
      <c r="F117">
        <f>SUMIF(DeadRaw!$B:$B,$A117,DeadRaw!I:I)</f>
        <v>0</v>
      </c>
      <c r="G117">
        <f>SUMIF(DeadRaw!$B:$B,$A117,DeadRaw!J:J)</f>
        <v>0</v>
      </c>
      <c r="H117">
        <f>SUMIF(DeadRaw!$B:$B,$A117,DeadRaw!K:K)</f>
        <v>0</v>
      </c>
      <c r="I117">
        <f>SUMIF(DeadRaw!$B:$B,$A117,DeadRaw!L:L)</f>
        <v>0</v>
      </c>
      <c r="J117">
        <f>SUMIF(DeadRaw!$B:$B,$A117,DeadRaw!M:M)</f>
        <v>0</v>
      </c>
      <c r="K117">
        <f>SUMIF(DeadRaw!$B:$B,$A117,DeadRaw!N:N)</f>
        <v>0</v>
      </c>
      <c r="L117">
        <f>SUMIF(DeadRaw!$B:$B,$A117,DeadRaw!O:O)</f>
        <v>0</v>
      </c>
      <c r="M117">
        <f>SUMIF(DeadRaw!$B:$B,$A117,DeadRaw!P:P)</f>
        <v>0</v>
      </c>
      <c r="N117">
        <f>SUMIF(DeadRaw!$B:$B,$A117,DeadRaw!Q:Q)</f>
        <v>0</v>
      </c>
      <c r="O117">
        <f>SUMIF(DeadRaw!$B:$B,$A117,DeadRaw!R:R)</f>
        <v>0</v>
      </c>
      <c r="P117">
        <f>SUMIF(DeadRaw!$B:$B,$A117,DeadRaw!S:S)</f>
        <v>0</v>
      </c>
      <c r="Q117">
        <f>SUMIF(DeadRaw!$B:$B,$A117,DeadRaw!T:T)</f>
        <v>0</v>
      </c>
      <c r="R117">
        <f>SUMIF(DeadRaw!$B:$B,$A117,DeadRaw!U:U)</f>
        <v>0</v>
      </c>
      <c r="S117">
        <f>SUMIF(DeadRaw!$B:$B,$A117,DeadRaw!V:V)</f>
        <v>0</v>
      </c>
      <c r="T117">
        <f>SUMIF(DeadRaw!$B:$B,$A117,DeadRaw!W:W)</f>
        <v>0</v>
      </c>
      <c r="U117">
        <f>SUMIF(DeadRaw!$B:$B,$A117,DeadRaw!X:X)</f>
        <v>0</v>
      </c>
      <c r="V117">
        <f>SUMIF(DeadRaw!$B:$B,$A117,DeadRaw!Y:Y)</f>
        <v>0</v>
      </c>
      <c r="W117">
        <f>SUMIF(DeadRaw!$B:$B,$A117,DeadRaw!Z:Z)</f>
        <v>0</v>
      </c>
      <c r="X117">
        <f>SUMIF(DeadRaw!$B:$B,$A117,DeadRaw!AA:AA)</f>
        <v>0</v>
      </c>
      <c r="Y117">
        <f>SUMIF(DeadRaw!$B:$B,$A117,DeadRaw!AB:AB)</f>
        <v>0</v>
      </c>
      <c r="Z117">
        <f>SUMIF(DeadRaw!$B:$B,$A117,DeadRaw!AC:AC)</f>
        <v>0</v>
      </c>
      <c r="AA117">
        <f>SUMIF(DeadRaw!$B:$B,$A117,DeadRaw!AD:AD)</f>
        <v>0</v>
      </c>
      <c r="AB117">
        <f>SUMIF(DeadRaw!$B:$B,$A117,DeadRaw!AE:AE)</f>
        <v>0</v>
      </c>
      <c r="AC117">
        <f>SUMIF(DeadRaw!$B:$B,$A117,DeadRaw!AF:AF)</f>
        <v>0</v>
      </c>
      <c r="AD117">
        <f>SUMIF(DeadRaw!$B:$B,$A117,DeadRaw!AG:AG)</f>
        <v>0</v>
      </c>
      <c r="AE117">
        <f>SUMIF(DeadRaw!$B:$B,$A117,DeadRaw!AH:AH)</f>
        <v>0</v>
      </c>
      <c r="AF117">
        <f>SUMIF(DeadRaw!$B:$B,$A117,DeadRaw!AI:AI)</f>
        <v>0</v>
      </c>
      <c r="AG117">
        <f>SUMIF(DeadRaw!$B:$B,$A117,DeadRaw!AJ:AJ)</f>
        <v>0</v>
      </c>
      <c r="AH117">
        <f>SUMIF(DeadRaw!$B:$B,$A117,DeadRaw!AK:AK)</f>
        <v>0</v>
      </c>
      <c r="AI117">
        <f>SUMIF(DeadRaw!$B:$B,$A117,DeadRaw!AL:AL)</f>
        <v>0</v>
      </c>
      <c r="AJ117">
        <f>SUMIF(DeadRaw!$B:$B,$A117,DeadRaw!AM:AM)</f>
        <v>0</v>
      </c>
      <c r="AK117">
        <f>SUMIF(DeadRaw!$B:$B,$A117,DeadRaw!AN:AN)</f>
        <v>0</v>
      </c>
      <c r="AL117">
        <f>SUMIF(DeadRaw!$B:$B,$A117,DeadRaw!AO:AO)</f>
        <v>0</v>
      </c>
      <c r="AM117">
        <f>SUMIF(DeadRaw!$B:$B,$A117,DeadRaw!AP:AP)</f>
        <v>0</v>
      </c>
      <c r="AN117">
        <f>SUMIF(DeadRaw!$B:$B,$A117,DeadRaw!AQ:AQ)</f>
        <v>0</v>
      </c>
      <c r="AO117">
        <f>SUMIF(DeadRaw!$B:$B,$A117,DeadRaw!AR:AR)</f>
        <v>0</v>
      </c>
      <c r="AP117">
        <f>SUMIF(DeadRaw!$B:$B,$A117,DeadRaw!AS:AS)</f>
        <v>0</v>
      </c>
      <c r="AQ117">
        <f>SUMIF(DeadRaw!$B:$B,$A117,DeadRaw!AT:AT)</f>
        <v>0</v>
      </c>
      <c r="AR117">
        <f>SUMIF(DeadRaw!$B:$B,$A117,DeadRaw!AU:AU)</f>
        <v>0</v>
      </c>
      <c r="AS117">
        <f>SUMIF(DeadRaw!$B:$B,$A117,DeadRaw!AV:AV)</f>
        <v>0</v>
      </c>
      <c r="AT117">
        <f>SUMIF(DeadRaw!$B:$B,$A117,DeadRaw!AW:AW)</f>
        <v>0</v>
      </c>
      <c r="AU117">
        <f>SUMIF(DeadRaw!$B:$B,$A117,DeadRaw!AX:AX)</f>
        <v>0</v>
      </c>
      <c r="AV117">
        <f>SUMIF(DeadRaw!$B:$B,$A117,DeadRaw!AY:AY)</f>
        <v>0</v>
      </c>
      <c r="AW117">
        <f>SUMIF(DeadRaw!$B:$B,$A117,DeadRaw!AZ:AZ)</f>
        <v>0</v>
      </c>
      <c r="AX117">
        <f>SUMIF(DeadRaw!$B:$B,$A117,DeadRaw!BA:BA)</f>
        <v>0</v>
      </c>
      <c r="AY117">
        <f>SUMIF(DeadRaw!$B:$B,$A117,DeadRaw!BB:BB)</f>
        <v>0</v>
      </c>
      <c r="AZ117">
        <f>SUMIF(DeadRaw!$B:$B,$A117,DeadRaw!BC:BC)</f>
        <v>0</v>
      </c>
      <c r="BA117">
        <f>SUMIF(DeadRaw!$B:$B,$A117,DeadRaw!BD:BD)</f>
        <v>0</v>
      </c>
      <c r="BB117">
        <f>SUMIF(DeadRaw!$B:$B,$A117,DeadRaw!BE:BE)</f>
        <v>0</v>
      </c>
      <c r="BC117">
        <f>SUMIF(DeadRaw!$B:$B,$A117,DeadRaw!BF:BF)</f>
        <v>0</v>
      </c>
      <c r="BD117">
        <f>SUMIF(DeadRaw!$B:$B,$A117,DeadRaw!BG:BG)</f>
        <v>0</v>
      </c>
      <c r="BE117">
        <f>SUMIF(DeadRaw!$B:$B,$A117,DeadRaw!BH:BH)</f>
        <v>0</v>
      </c>
      <c r="BF117">
        <f>SUMIF(DeadRaw!$B:$B,$A117,DeadRaw!BI:BI)</f>
        <v>0</v>
      </c>
      <c r="BG117">
        <f>SUMIF(DeadRaw!$B:$B,$A117,DeadRaw!BJ:BJ)</f>
        <v>0</v>
      </c>
      <c r="BH117">
        <f>SUMIF(DeadRaw!$B:$B,$A117,DeadRaw!BK:BK)</f>
        <v>0</v>
      </c>
      <c r="BI117">
        <f>SUMIF(DeadRaw!$B:$B,$A117,DeadRaw!BL:BL)</f>
        <v>0</v>
      </c>
      <c r="BJ117">
        <f>SUMIF(DeadRaw!$B:$B,$A117,DeadRaw!BM:BM)</f>
        <v>0</v>
      </c>
      <c r="BK117">
        <f>SUMIF(DeadRaw!$B:$B,$A117,DeadRaw!BN:BN)</f>
        <v>0</v>
      </c>
      <c r="BL117">
        <f>SUMIF(DeadRaw!$B:$B,$A117,DeadRaw!BO:BO)</f>
        <v>0</v>
      </c>
      <c r="BM117">
        <f>SUMIF(DeadRaw!$B:$B,$A117,DeadRaw!BP:BP)</f>
        <v>0</v>
      </c>
      <c r="BN117">
        <f>SUMIF(DeadRaw!$B:$B,$A117,DeadRaw!BQ:BQ)</f>
        <v>0</v>
      </c>
      <c r="BO117">
        <f>SUMIF(DeadRaw!$B:$B,$A117,DeadRaw!BR:BR)</f>
        <v>0</v>
      </c>
      <c r="BP117">
        <f>SUMIF(DeadRaw!$B:$B,$A117,DeadRaw!BS:BS)</f>
        <v>0</v>
      </c>
      <c r="BQ117">
        <f>SUMIF(DeadRaw!$B:$B,$A117,DeadRaw!BT:BT)</f>
        <v>0</v>
      </c>
      <c r="BR117">
        <f>SUMIF(DeadRaw!$B:$B,$A117,DeadRaw!BU:BU)</f>
        <v>0</v>
      </c>
      <c r="BS117">
        <f>SUMIF(DeadRaw!$B:$B,$A117,DeadRaw!BV:BV)</f>
        <v>0</v>
      </c>
      <c r="BT117">
        <f>SUMIF(DeadRaw!$B:$B,$A117,DeadRaw!BW:BW)</f>
        <v>0</v>
      </c>
    </row>
    <row r="118" spans="1:72" ht="15" thickBot="1" x14ac:dyDescent="0.35">
      <c r="A118" s="3" t="s">
        <v>411</v>
      </c>
      <c r="B118">
        <f>SUMIF(DeadRaw!$B:$B,$A118,DeadRaw!E:E)</f>
        <v>0</v>
      </c>
      <c r="C118">
        <f>SUMIF(DeadRaw!$B:$B,$A118,DeadRaw!F:F)</f>
        <v>0</v>
      </c>
      <c r="D118">
        <f>SUMIF(DeadRaw!$B:$B,$A118,DeadRaw!G:G)</f>
        <v>0</v>
      </c>
      <c r="E118">
        <f>SUMIF(DeadRaw!$B:$B,$A118,DeadRaw!H:H)</f>
        <v>0</v>
      </c>
      <c r="F118">
        <f>SUMIF(DeadRaw!$B:$B,$A118,DeadRaw!I:I)</f>
        <v>0</v>
      </c>
      <c r="G118">
        <f>SUMIF(DeadRaw!$B:$B,$A118,DeadRaw!J:J)</f>
        <v>0</v>
      </c>
      <c r="H118">
        <f>SUMIF(DeadRaw!$B:$B,$A118,DeadRaw!K:K)</f>
        <v>0</v>
      </c>
      <c r="I118">
        <f>SUMIF(DeadRaw!$B:$B,$A118,DeadRaw!L:L)</f>
        <v>0</v>
      </c>
      <c r="J118">
        <f>SUMIF(DeadRaw!$B:$B,$A118,DeadRaw!M:M)</f>
        <v>0</v>
      </c>
      <c r="K118">
        <f>SUMIF(DeadRaw!$B:$B,$A118,DeadRaw!N:N)</f>
        <v>0</v>
      </c>
      <c r="L118">
        <f>SUMIF(DeadRaw!$B:$B,$A118,DeadRaw!O:O)</f>
        <v>0</v>
      </c>
      <c r="M118">
        <f>SUMIF(DeadRaw!$B:$B,$A118,DeadRaw!P:P)</f>
        <v>0</v>
      </c>
      <c r="N118">
        <f>SUMIF(DeadRaw!$B:$B,$A118,DeadRaw!Q:Q)</f>
        <v>0</v>
      </c>
      <c r="O118">
        <f>SUMIF(DeadRaw!$B:$B,$A118,DeadRaw!R:R)</f>
        <v>0</v>
      </c>
      <c r="P118">
        <f>SUMIF(DeadRaw!$B:$B,$A118,DeadRaw!S:S)</f>
        <v>0</v>
      </c>
      <c r="Q118">
        <f>SUMIF(DeadRaw!$B:$B,$A118,DeadRaw!T:T)</f>
        <v>0</v>
      </c>
      <c r="R118">
        <f>SUMIF(DeadRaw!$B:$B,$A118,DeadRaw!U:U)</f>
        <v>0</v>
      </c>
      <c r="S118">
        <f>SUMIF(DeadRaw!$B:$B,$A118,DeadRaw!V:V)</f>
        <v>0</v>
      </c>
      <c r="T118">
        <f>SUMIF(DeadRaw!$B:$B,$A118,DeadRaw!W:W)</f>
        <v>0</v>
      </c>
      <c r="U118">
        <f>SUMIF(DeadRaw!$B:$B,$A118,DeadRaw!X:X)</f>
        <v>0</v>
      </c>
      <c r="V118">
        <f>SUMIF(DeadRaw!$B:$B,$A118,DeadRaw!Y:Y)</f>
        <v>0</v>
      </c>
      <c r="W118">
        <f>SUMIF(DeadRaw!$B:$B,$A118,DeadRaw!Z:Z)</f>
        <v>0</v>
      </c>
      <c r="X118">
        <f>SUMIF(DeadRaw!$B:$B,$A118,DeadRaw!AA:AA)</f>
        <v>0</v>
      </c>
      <c r="Y118">
        <f>SUMIF(DeadRaw!$B:$B,$A118,DeadRaw!AB:AB)</f>
        <v>0</v>
      </c>
      <c r="Z118">
        <f>SUMIF(DeadRaw!$B:$B,$A118,DeadRaw!AC:AC)</f>
        <v>0</v>
      </c>
      <c r="AA118">
        <f>SUMIF(DeadRaw!$B:$B,$A118,DeadRaw!AD:AD)</f>
        <v>0</v>
      </c>
      <c r="AB118">
        <f>SUMIF(DeadRaw!$B:$B,$A118,DeadRaw!AE:AE)</f>
        <v>0</v>
      </c>
      <c r="AC118">
        <f>SUMIF(DeadRaw!$B:$B,$A118,DeadRaw!AF:AF)</f>
        <v>0</v>
      </c>
      <c r="AD118">
        <f>SUMIF(DeadRaw!$B:$B,$A118,DeadRaw!AG:AG)</f>
        <v>0</v>
      </c>
      <c r="AE118">
        <f>SUMIF(DeadRaw!$B:$B,$A118,DeadRaw!AH:AH)</f>
        <v>0</v>
      </c>
      <c r="AF118">
        <f>SUMIF(DeadRaw!$B:$B,$A118,DeadRaw!AI:AI)</f>
        <v>0</v>
      </c>
      <c r="AG118">
        <f>SUMIF(DeadRaw!$B:$B,$A118,DeadRaw!AJ:AJ)</f>
        <v>0</v>
      </c>
      <c r="AH118">
        <f>SUMIF(DeadRaw!$B:$B,$A118,DeadRaw!AK:AK)</f>
        <v>0</v>
      </c>
      <c r="AI118">
        <f>SUMIF(DeadRaw!$B:$B,$A118,DeadRaw!AL:AL)</f>
        <v>0</v>
      </c>
      <c r="AJ118">
        <f>SUMIF(DeadRaw!$B:$B,$A118,DeadRaw!AM:AM)</f>
        <v>0</v>
      </c>
      <c r="AK118">
        <f>SUMIF(DeadRaw!$B:$B,$A118,DeadRaw!AN:AN)</f>
        <v>0</v>
      </c>
      <c r="AL118">
        <f>SUMIF(DeadRaw!$B:$B,$A118,DeadRaw!AO:AO)</f>
        <v>0</v>
      </c>
      <c r="AM118">
        <f>SUMIF(DeadRaw!$B:$B,$A118,DeadRaw!AP:AP)</f>
        <v>0</v>
      </c>
      <c r="AN118">
        <f>SUMIF(DeadRaw!$B:$B,$A118,DeadRaw!AQ:AQ)</f>
        <v>0</v>
      </c>
      <c r="AO118">
        <f>SUMIF(DeadRaw!$B:$B,$A118,DeadRaw!AR:AR)</f>
        <v>0</v>
      </c>
      <c r="AP118">
        <f>SUMIF(DeadRaw!$B:$B,$A118,DeadRaw!AS:AS)</f>
        <v>0</v>
      </c>
      <c r="AQ118">
        <f>SUMIF(DeadRaw!$B:$B,$A118,DeadRaw!AT:AT)</f>
        <v>0</v>
      </c>
      <c r="AR118">
        <f>SUMIF(DeadRaw!$B:$B,$A118,DeadRaw!AU:AU)</f>
        <v>0</v>
      </c>
      <c r="AS118">
        <f>SUMIF(DeadRaw!$B:$B,$A118,DeadRaw!AV:AV)</f>
        <v>0</v>
      </c>
      <c r="AT118">
        <f>SUMIF(DeadRaw!$B:$B,$A118,DeadRaw!AW:AW)</f>
        <v>0</v>
      </c>
      <c r="AU118">
        <f>SUMIF(DeadRaw!$B:$B,$A118,DeadRaw!AX:AX)</f>
        <v>0</v>
      </c>
      <c r="AV118">
        <f>SUMIF(DeadRaw!$B:$B,$A118,DeadRaw!AY:AY)</f>
        <v>0</v>
      </c>
      <c r="AW118">
        <f>SUMIF(DeadRaw!$B:$B,$A118,DeadRaw!AZ:AZ)</f>
        <v>0</v>
      </c>
      <c r="AX118">
        <f>SUMIF(DeadRaw!$B:$B,$A118,DeadRaw!BA:BA)</f>
        <v>0</v>
      </c>
      <c r="AY118">
        <f>SUMIF(DeadRaw!$B:$B,$A118,DeadRaw!BB:BB)</f>
        <v>0</v>
      </c>
      <c r="AZ118">
        <f>SUMIF(DeadRaw!$B:$B,$A118,DeadRaw!BC:BC)</f>
        <v>1</v>
      </c>
      <c r="BA118">
        <f>SUMIF(DeadRaw!$B:$B,$A118,DeadRaw!BD:BD)</f>
        <v>1</v>
      </c>
      <c r="BB118">
        <f>SUMIF(DeadRaw!$B:$B,$A118,DeadRaw!BE:BE)</f>
        <v>1</v>
      </c>
      <c r="BC118">
        <f>SUMIF(DeadRaw!$B:$B,$A118,DeadRaw!BF:BF)</f>
        <v>1</v>
      </c>
      <c r="BD118">
        <f>SUMIF(DeadRaw!$B:$B,$A118,DeadRaw!BG:BG)</f>
        <v>1</v>
      </c>
      <c r="BE118">
        <f>SUMIF(DeadRaw!$B:$B,$A118,DeadRaw!BH:BH)</f>
        <v>1</v>
      </c>
      <c r="BF118">
        <f>SUMIF(DeadRaw!$B:$B,$A118,DeadRaw!BI:BI)</f>
        <v>1</v>
      </c>
      <c r="BG118">
        <f>SUMIF(DeadRaw!$B:$B,$A118,DeadRaw!BJ:BJ)</f>
        <v>1</v>
      </c>
      <c r="BH118">
        <f>SUMIF(DeadRaw!$B:$B,$A118,DeadRaw!BK:BK)</f>
        <v>1</v>
      </c>
      <c r="BI118">
        <f>SUMIF(DeadRaw!$B:$B,$A118,DeadRaw!BL:BL)</f>
        <v>0</v>
      </c>
      <c r="BJ118">
        <f>SUMIF(DeadRaw!$B:$B,$A118,DeadRaw!BM:BM)</f>
        <v>0</v>
      </c>
      <c r="BK118">
        <f>SUMIF(DeadRaw!$B:$B,$A118,DeadRaw!BN:BN)</f>
        <v>0</v>
      </c>
      <c r="BL118">
        <f>SUMIF(DeadRaw!$B:$B,$A118,DeadRaw!BO:BO)</f>
        <v>0</v>
      </c>
      <c r="BM118">
        <f>SUMIF(DeadRaw!$B:$B,$A118,DeadRaw!BP:BP)</f>
        <v>0</v>
      </c>
      <c r="BN118">
        <f>SUMIF(DeadRaw!$B:$B,$A118,DeadRaw!BQ:BQ)</f>
        <v>0</v>
      </c>
      <c r="BO118">
        <f>SUMIF(DeadRaw!$B:$B,$A118,DeadRaw!BR:BR)</f>
        <v>0</v>
      </c>
      <c r="BP118">
        <f>SUMIF(DeadRaw!$B:$B,$A118,DeadRaw!BS:BS)</f>
        <v>0</v>
      </c>
      <c r="BQ118">
        <f>SUMIF(DeadRaw!$B:$B,$A118,DeadRaw!BT:BT)</f>
        <v>0</v>
      </c>
      <c r="BR118">
        <f>SUMIF(DeadRaw!$B:$B,$A118,DeadRaw!BU:BU)</f>
        <v>0</v>
      </c>
      <c r="BS118">
        <f>SUMIF(DeadRaw!$B:$B,$A118,DeadRaw!BV:BV)</f>
        <v>0</v>
      </c>
      <c r="BT118">
        <f>SUMIF(DeadRaw!$B:$B,$A118,DeadRaw!BW:BW)</f>
        <v>0</v>
      </c>
    </row>
    <row r="119" spans="1:72" ht="15" thickBot="1" x14ac:dyDescent="0.35">
      <c r="A119" s="3" t="s">
        <v>281</v>
      </c>
      <c r="B119">
        <f>SUMIF(DeadRaw!$B:$B,$A119,DeadRaw!E:E)</f>
        <v>0</v>
      </c>
      <c r="C119">
        <f>SUMIF(DeadRaw!$B:$B,$A119,DeadRaw!F:F)</f>
        <v>0</v>
      </c>
      <c r="D119">
        <f>SUMIF(DeadRaw!$B:$B,$A119,DeadRaw!G:G)</f>
        <v>0</v>
      </c>
      <c r="E119">
        <f>SUMIF(DeadRaw!$B:$B,$A119,DeadRaw!H:H)</f>
        <v>0</v>
      </c>
      <c r="F119">
        <f>SUMIF(DeadRaw!$B:$B,$A119,DeadRaw!I:I)</f>
        <v>0</v>
      </c>
      <c r="G119">
        <f>SUMIF(DeadRaw!$B:$B,$A119,DeadRaw!J:J)</f>
        <v>0</v>
      </c>
      <c r="H119">
        <f>SUMIF(DeadRaw!$B:$B,$A119,DeadRaw!K:K)</f>
        <v>0</v>
      </c>
      <c r="I119">
        <f>SUMIF(DeadRaw!$B:$B,$A119,DeadRaw!L:L)</f>
        <v>0</v>
      </c>
      <c r="J119">
        <f>SUMIF(DeadRaw!$B:$B,$A119,DeadRaw!M:M)</f>
        <v>0</v>
      </c>
      <c r="K119">
        <f>SUMIF(DeadRaw!$B:$B,$A119,DeadRaw!N:N)</f>
        <v>0</v>
      </c>
      <c r="L119">
        <f>SUMIF(DeadRaw!$B:$B,$A119,DeadRaw!O:O)</f>
        <v>0</v>
      </c>
      <c r="M119">
        <f>SUMIF(DeadRaw!$B:$B,$A119,DeadRaw!P:P)</f>
        <v>0</v>
      </c>
      <c r="N119">
        <f>SUMIF(DeadRaw!$B:$B,$A119,DeadRaw!Q:Q)</f>
        <v>0</v>
      </c>
      <c r="O119">
        <f>SUMIF(DeadRaw!$B:$B,$A119,DeadRaw!R:R)</f>
        <v>0</v>
      </c>
      <c r="P119">
        <f>SUMIF(DeadRaw!$B:$B,$A119,DeadRaw!S:S)</f>
        <v>0</v>
      </c>
      <c r="Q119">
        <f>SUMIF(DeadRaw!$B:$B,$A119,DeadRaw!T:T)</f>
        <v>0</v>
      </c>
      <c r="R119">
        <f>SUMIF(DeadRaw!$B:$B,$A119,DeadRaw!U:U)</f>
        <v>0</v>
      </c>
      <c r="S119">
        <f>SUMIF(DeadRaw!$B:$B,$A119,DeadRaw!V:V)</f>
        <v>0</v>
      </c>
      <c r="T119">
        <f>SUMIF(DeadRaw!$B:$B,$A119,DeadRaw!W:W)</f>
        <v>0</v>
      </c>
      <c r="U119">
        <f>SUMIF(DeadRaw!$B:$B,$A119,DeadRaw!X:X)</f>
        <v>0</v>
      </c>
      <c r="V119">
        <f>SUMIF(DeadRaw!$B:$B,$A119,DeadRaw!Y:Y)</f>
        <v>0</v>
      </c>
      <c r="W119">
        <f>SUMIF(DeadRaw!$B:$B,$A119,DeadRaw!Z:Z)</f>
        <v>0</v>
      </c>
      <c r="X119">
        <f>SUMIF(DeadRaw!$B:$B,$A119,DeadRaw!AA:AA)</f>
        <v>0</v>
      </c>
      <c r="Y119">
        <f>SUMIF(DeadRaw!$B:$B,$A119,DeadRaw!AB:AB)</f>
        <v>0</v>
      </c>
      <c r="Z119">
        <f>SUMIF(DeadRaw!$B:$B,$A119,DeadRaw!AC:AC)</f>
        <v>0</v>
      </c>
      <c r="AA119">
        <f>SUMIF(DeadRaw!$B:$B,$A119,DeadRaw!AD:AD)</f>
        <v>0</v>
      </c>
      <c r="AB119">
        <f>SUMIF(DeadRaw!$B:$B,$A119,DeadRaw!AE:AE)</f>
        <v>0</v>
      </c>
      <c r="AC119">
        <f>SUMIF(DeadRaw!$B:$B,$A119,DeadRaw!AF:AF)</f>
        <v>0</v>
      </c>
      <c r="AD119">
        <f>SUMIF(DeadRaw!$B:$B,$A119,DeadRaw!AG:AG)</f>
        <v>0</v>
      </c>
      <c r="AE119">
        <f>SUMIF(DeadRaw!$B:$B,$A119,DeadRaw!AH:AH)</f>
        <v>0</v>
      </c>
      <c r="AF119">
        <f>SUMIF(DeadRaw!$B:$B,$A119,DeadRaw!AI:AI)</f>
        <v>0</v>
      </c>
      <c r="AG119">
        <f>SUMIF(DeadRaw!$B:$B,$A119,DeadRaw!AJ:AJ)</f>
        <v>0</v>
      </c>
      <c r="AH119">
        <f>SUMIF(DeadRaw!$B:$B,$A119,DeadRaw!AK:AK)</f>
        <v>0</v>
      </c>
      <c r="AI119">
        <f>SUMIF(DeadRaw!$B:$B,$A119,DeadRaw!AL:AL)</f>
        <v>0</v>
      </c>
      <c r="AJ119">
        <f>SUMIF(DeadRaw!$B:$B,$A119,DeadRaw!AM:AM)</f>
        <v>0</v>
      </c>
      <c r="AK119">
        <f>SUMIF(DeadRaw!$B:$B,$A119,DeadRaw!AN:AN)</f>
        <v>0</v>
      </c>
      <c r="AL119">
        <f>SUMIF(DeadRaw!$B:$B,$A119,DeadRaw!AO:AO)</f>
        <v>0</v>
      </c>
      <c r="AM119">
        <f>SUMIF(DeadRaw!$B:$B,$A119,DeadRaw!AP:AP)</f>
        <v>0</v>
      </c>
      <c r="AN119">
        <f>SUMIF(DeadRaw!$B:$B,$A119,DeadRaw!AQ:AQ)</f>
        <v>0</v>
      </c>
      <c r="AO119">
        <f>SUMIF(DeadRaw!$B:$B,$A119,DeadRaw!AR:AR)</f>
        <v>0</v>
      </c>
      <c r="AP119">
        <f>SUMIF(DeadRaw!$B:$B,$A119,DeadRaw!AS:AS)</f>
        <v>0</v>
      </c>
      <c r="AQ119">
        <f>SUMIF(DeadRaw!$B:$B,$A119,DeadRaw!AT:AT)</f>
        <v>0</v>
      </c>
      <c r="AR119">
        <f>SUMIF(DeadRaw!$B:$B,$A119,DeadRaw!AU:AU)</f>
        <v>0</v>
      </c>
      <c r="AS119">
        <f>SUMIF(DeadRaw!$B:$B,$A119,DeadRaw!AV:AV)</f>
        <v>0</v>
      </c>
      <c r="AT119">
        <f>SUMIF(DeadRaw!$B:$B,$A119,DeadRaw!AW:AW)</f>
        <v>0</v>
      </c>
      <c r="AU119">
        <f>SUMIF(DeadRaw!$B:$B,$A119,DeadRaw!AX:AX)</f>
        <v>0</v>
      </c>
      <c r="AV119">
        <f>SUMIF(DeadRaw!$B:$B,$A119,DeadRaw!AY:AY)</f>
        <v>0</v>
      </c>
      <c r="AW119">
        <f>SUMIF(DeadRaw!$B:$B,$A119,DeadRaw!AZ:AZ)</f>
        <v>0</v>
      </c>
      <c r="AX119">
        <f>SUMIF(DeadRaw!$B:$B,$A119,DeadRaw!BA:BA)</f>
        <v>0</v>
      </c>
      <c r="AY119">
        <f>SUMIF(DeadRaw!$B:$B,$A119,DeadRaw!BB:BB)</f>
        <v>0</v>
      </c>
      <c r="AZ119">
        <f>SUMIF(DeadRaw!$B:$B,$A119,DeadRaw!BC:BC)</f>
        <v>0</v>
      </c>
      <c r="BA119">
        <f>SUMIF(DeadRaw!$B:$B,$A119,DeadRaw!BD:BD)</f>
        <v>0</v>
      </c>
      <c r="BB119">
        <f>SUMIF(DeadRaw!$B:$B,$A119,DeadRaw!BE:BE)</f>
        <v>0</v>
      </c>
      <c r="BC119">
        <f>SUMIF(DeadRaw!$B:$B,$A119,DeadRaw!BF:BF)</f>
        <v>0</v>
      </c>
      <c r="BD119">
        <f>SUMIF(DeadRaw!$B:$B,$A119,DeadRaw!BG:BG)</f>
        <v>0</v>
      </c>
      <c r="BE119">
        <f>SUMIF(DeadRaw!$B:$B,$A119,DeadRaw!BH:BH)</f>
        <v>0</v>
      </c>
      <c r="BF119">
        <f>SUMIF(DeadRaw!$B:$B,$A119,DeadRaw!BI:BI)</f>
        <v>0</v>
      </c>
      <c r="BG119">
        <f>SUMIF(DeadRaw!$B:$B,$A119,DeadRaw!BJ:BJ)</f>
        <v>0</v>
      </c>
      <c r="BH119">
        <f>SUMIF(DeadRaw!$B:$B,$A119,DeadRaw!BK:BK)</f>
        <v>0</v>
      </c>
      <c r="BI119">
        <f>SUMIF(DeadRaw!$B:$B,$A119,DeadRaw!BL:BL)</f>
        <v>0</v>
      </c>
      <c r="BJ119">
        <f>SUMIF(DeadRaw!$B:$B,$A119,DeadRaw!BM:BM)</f>
        <v>0</v>
      </c>
      <c r="BK119">
        <f>SUMIF(DeadRaw!$B:$B,$A119,DeadRaw!BN:BN)</f>
        <v>0</v>
      </c>
      <c r="BL119">
        <f>SUMIF(DeadRaw!$B:$B,$A119,DeadRaw!BO:BO)</f>
        <v>0</v>
      </c>
      <c r="BM119">
        <f>SUMIF(DeadRaw!$B:$B,$A119,DeadRaw!BP:BP)</f>
        <v>0</v>
      </c>
      <c r="BN119">
        <f>SUMIF(DeadRaw!$B:$B,$A119,DeadRaw!BQ:BQ)</f>
        <v>0</v>
      </c>
      <c r="BO119">
        <f>SUMIF(DeadRaw!$B:$B,$A119,DeadRaw!BR:BR)</f>
        <v>0</v>
      </c>
      <c r="BP119">
        <f>SUMIF(DeadRaw!$B:$B,$A119,DeadRaw!BS:BS)</f>
        <v>0</v>
      </c>
      <c r="BQ119">
        <f>SUMIF(DeadRaw!$B:$B,$A119,DeadRaw!BT:BT)</f>
        <v>0</v>
      </c>
      <c r="BR119">
        <f>SUMIF(DeadRaw!$B:$B,$A119,DeadRaw!BU:BU)</f>
        <v>0</v>
      </c>
      <c r="BS119">
        <f>SUMIF(DeadRaw!$B:$B,$A119,DeadRaw!BV:BV)</f>
        <v>0</v>
      </c>
      <c r="BT119">
        <f>SUMIF(DeadRaw!$B:$B,$A119,DeadRaw!BW:BW)</f>
        <v>0</v>
      </c>
    </row>
    <row r="120" spans="1:72" ht="15" thickBot="1" x14ac:dyDescent="0.35">
      <c r="A120" s="4" t="s">
        <v>125</v>
      </c>
      <c r="B120">
        <f>SUMIF(DeadRaw!$B:$B,$A120,DeadRaw!E:E)</f>
        <v>0</v>
      </c>
      <c r="C120">
        <f>SUMIF(DeadRaw!$B:$B,$A120,DeadRaw!F:F)</f>
        <v>0</v>
      </c>
      <c r="D120">
        <f>SUMIF(DeadRaw!$B:$B,$A120,DeadRaw!G:G)</f>
        <v>0</v>
      </c>
      <c r="E120">
        <f>SUMIF(DeadRaw!$B:$B,$A120,DeadRaw!H:H)</f>
        <v>0</v>
      </c>
      <c r="F120">
        <f>SUMIF(DeadRaw!$B:$B,$A120,DeadRaw!I:I)</f>
        <v>0</v>
      </c>
      <c r="G120">
        <f>SUMIF(DeadRaw!$B:$B,$A120,DeadRaw!J:J)</f>
        <v>0</v>
      </c>
      <c r="H120">
        <f>SUMIF(DeadRaw!$B:$B,$A120,DeadRaw!K:K)</f>
        <v>0</v>
      </c>
      <c r="I120">
        <f>SUMIF(DeadRaw!$B:$B,$A120,DeadRaw!L:L)</f>
        <v>0</v>
      </c>
      <c r="J120">
        <f>SUMIF(DeadRaw!$B:$B,$A120,DeadRaw!M:M)</f>
        <v>0</v>
      </c>
      <c r="K120">
        <f>SUMIF(DeadRaw!$B:$B,$A120,DeadRaw!N:N)</f>
        <v>0</v>
      </c>
      <c r="L120">
        <f>SUMIF(DeadRaw!$B:$B,$A120,DeadRaw!O:O)</f>
        <v>0</v>
      </c>
      <c r="M120">
        <f>SUMIF(DeadRaw!$B:$B,$A120,DeadRaw!P:P)</f>
        <v>0</v>
      </c>
      <c r="N120">
        <f>SUMIF(DeadRaw!$B:$B,$A120,DeadRaw!Q:Q)</f>
        <v>0</v>
      </c>
      <c r="O120">
        <f>SUMIF(DeadRaw!$B:$B,$A120,DeadRaw!R:R)</f>
        <v>0</v>
      </c>
      <c r="P120">
        <f>SUMIF(DeadRaw!$B:$B,$A120,DeadRaw!S:S)</f>
        <v>0</v>
      </c>
      <c r="Q120">
        <f>SUMIF(DeadRaw!$B:$B,$A120,DeadRaw!T:T)</f>
        <v>0</v>
      </c>
      <c r="R120">
        <f>SUMIF(DeadRaw!$B:$B,$A120,DeadRaw!U:U)</f>
        <v>0</v>
      </c>
      <c r="S120">
        <f>SUMIF(DeadRaw!$B:$B,$A120,DeadRaw!V:V)</f>
        <v>0</v>
      </c>
      <c r="T120">
        <f>SUMIF(DeadRaw!$B:$B,$A120,DeadRaw!W:W)</f>
        <v>0</v>
      </c>
      <c r="U120">
        <f>SUMIF(DeadRaw!$B:$B,$A120,DeadRaw!X:X)</f>
        <v>0</v>
      </c>
      <c r="V120">
        <f>SUMIF(DeadRaw!$B:$B,$A120,DeadRaw!Y:Y)</f>
        <v>0</v>
      </c>
      <c r="W120">
        <f>SUMIF(DeadRaw!$B:$B,$A120,DeadRaw!Z:Z)</f>
        <v>0</v>
      </c>
      <c r="X120">
        <f>SUMIF(DeadRaw!$B:$B,$A120,DeadRaw!AA:AA)</f>
        <v>0</v>
      </c>
      <c r="Y120">
        <f>SUMIF(DeadRaw!$B:$B,$A120,DeadRaw!AB:AB)</f>
        <v>0</v>
      </c>
      <c r="Z120">
        <f>SUMIF(DeadRaw!$B:$B,$A120,DeadRaw!AC:AC)</f>
        <v>0</v>
      </c>
      <c r="AA120">
        <f>SUMIF(DeadRaw!$B:$B,$A120,DeadRaw!AD:AD)</f>
        <v>0</v>
      </c>
      <c r="AB120">
        <f>SUMIF(DeadRaw!$B:$B,$A120,DeadRaw!AE:AE)</f>
        <v>0</v>
      </c>
      <c r="AC120">
        <f>SUMIF(DeadRaw!$B:$B,$A120,DeadRaw!AF:AF)</f>
        <v>0</v>
      </c>
      <c r="AD120">
        <f>SUMIF(DeadRaw!$B:$B,$A120,DeadRaw!AG:AG)</f>
        <v>0</v>
      </c>
      <c r="AE120">
        <f>SUMIF(DeadRaw!$B:$B,$A120,DeadRaw!AH:AH)</f>
        <v>0</v>
      </c>
      <c r="AF120">
        <f>SUMIF(DeadRaw!$B:$B,$A120,DeadRaw!AI:AI)</f>
        <v>0</v>
      </c>
      <c r="AG120">
        <f>SUMIF(DeadRaw!$B:$B,$A120,DeadRaw!AJ:AJ)</f>
        <v>0</v>
      </c>
      <c r="AH120">
        <f>SUMIF(DeadRaw!$B:$B,$A120,DeadRaw!AK:AK)</f>
        <v>0</v>
      </c>
      <c r="AI120">
        <f>SUMIF(DeadRaw!$B:$B,$A120,DeadRaw!AL:AL)</f>
        <v>0</v>
      </c>
      <c r="AJ120">
        <f>SUMIF(DeadRaw!$B:$B,$A120,DeadRaw!AM:AM)</f>
        <v>0</v>
      </c>
      <c r="AK120">
        <f>SUMIF(DeadRaw!$B:$B,$A120,DeadRaw!AN:AN)</f>
        <v>0</v>
      </c>
      <c r="AL120">
        <f>SUMIF(DeadRaw!$B:$B,$A120,DeadRaw!AO:AO)</f>
        <v>0</v>
      </c>
      <c r="AM120">
        <f>SUMIF(DeadRaw!$B:$B,$A120,DeadRaw!AP:AP)</f>
        <v>0</v>
      </c>
      <c r="AN120">
        <f>SUMIF(DeadRaw!$B:$B,$A120,DeadRaw!AQ:AQ)</f>
        <v>0</v>
      </c>
      <c r="AO120">
        <f>SUMIF(DeadRaw!$B:$B,$A120,DeadRaw!AR:AR)</f>
        <v>0</v>
      </c>
      <c r="AP120">
        <f>SUMIF(DeadRaw!$B:$B,$A120,DeadRaw!AS:AS)</f>
        <v>0</v>
      </c>
      <c r="AQ120">
        <f>SUMIF(DeadRaw!$B:$B,$A120,DeadRaw!AT:AT)</f>
        <v>0</v>
      </c>
      <c r="AR120">
        <f>SUMIF(DeadRaw!$B:$B,$A120,DeadRaw!AU:AU)</f>
        <v>0</v>
      </c>
      <c r="AS120">
        <f>SUMIF(DeadRaw!$B:$B,$A120,DeadRaw!AV:AV)</f>
        <v>0</v>
      </c>
      <c r="AT120">
        <f>SUMIF(DeadRaw!$B:$B,$A120,DeadRaw!AW:AW)</f>
        <v>0</v>
      </c>
      <c r="AU120">
        <f>SUMIF(DeadRaw!$B:$B,$A120,DeadRaw!AX:AX)</f>
        <v>0</v>
      </c>
      <c r="AV120">
        <f>SUMIF(DeadRaw!$B:$B,$A120,DeadRaw!AY:AY)</f>
        <v>0</v>
      </c>
      <c r="AW120">
        <f>SUMIF(DeadRaw!$B:$B,$A120,DeadRaw!AZ:AZ)</f>
        <v>0</v>
      </c>
      <c r="AX120">
        <f>SUMIF(DeadRaw!$B:$B,$A120,DeadRaw!BA:BA)</f>
        <v>0</v>
      </c>
      <c r="AY120">
        <f>SUMIF(DeadRaw!$B:$B,$A120,DeadRaw!BB:BB)</f>
        <v>0</v>
      </c>
      <c r="AZ120">
        <f>SUMIF(DeadRaw!$B:$B,$A120,DeadRaw!BC:BC)</f>
        <v>0</v>
      </c>
      <c r="BA120">
        <f>SUMIF(DeadRaw!$B:$B,$A120,DeadRaw!BD:BD)</f>
        <v>0</v>
      </c>
      <c r="BB120">
        <f>SUMIF(DeadRaw!$B:$B,$A120,DeadRaw!BE:BE)</f>
        <v>0</v>
      </c>
      <c r="BC120">
        <f>SUMIF(DeadRaw!$B:$B,$A120,DeadRaw!BF:BF)</f>
        <v>0</v>
      </c>
      <c r="BD120">
        <f>SUMIF(DeadRaw!$B:$B,$A120,DeadRaw!BG:BG)</f>
        <v>0</v>
      </c>
      <c r="BE120">
        <f>SUMIF(DeadRaw!$B:$B,$A120,DeadRaw!BH:BH)</f>
        <v>0</v>
      </c>
      <c r="BF120">
        <f>SUMIF(DeadRaw!$B:$B,$A120,DeadRaw!BI:BI)</f>
        <v>0</v>
      </c>
      <c r="BG120">
        <f>SUMIF(DeadRaw!$B:$B,$A120,DeadRaw!BJ:BJ)</f>
        <v>0</v>
      </c>
      <c r="BH120">
        <f>SUMIF(DeadRaw!$B:$B,$A120,DeadRaw!BK:BK)</f>
        <v>0</v>
      </c>
      <c r="BI120">
        <f>SUMIF(DeadRaw!$B:$B,$A120,DeadRaw!BL:BL)</f>
        <v>0</v>
      </c>
      <c r="BJ120">
        <f>SUMIF(DeadRaw!$B:$B,$A120,DeadRaw!BM:BM)</f>
        <v>0</v>
      </c>
      <c r="BK120">
        <f>SUMIF(DeadRaw!$B:$B,$A120,DeadRaw!BN:BN)</f>
        <v>0</v>
      </c>
      <c r="BL120">
        <f>SUMIF(DeadRaw!$B:$B,$A120,DeadRaw!BO:BO)</f>
        <v>0</v>
      </c>
      <c r="BM120">
        <f>SUMIF(DeadRaw!$B:$B,$A120,DeadRaw!BP:BP)</f>
        <v>0</v>
      </c>
      <c r="BN120">
        <f>SUMIF(DeadRaw!$B:$B,$A120,DeadRaw!BQ:BQ)</f>
        <v>0</v>
      </c>
      <c r="BO120">
        <f>SUMIF(DeadRaw!$B:$B,$A120,DeadRaw!BR:BR)</f>
        <v>0</v>
      </c>
      <c r="BP120">
        <f>SUMIF(DeadRaw!$B:$B,$A120,DeadRaw!BS:BS)</f>
        <v>0</v>
      </c>
      <c r="BQ120">
        <f>SUMIF(DeadRaw!$B:$B,$A120,DeadRaw!BT:BT)</f>
        <v>0</v>
      </c>
      <c r="BR120">
        <f>SUMIF(DeadRaw!$B:$B,$A120,DeadRaw!BU:BU)</f>
        <v>0</v>
      </c>
      <c r="BS120">
        <f>SUMIF(DeadRaw!$B:$B,$A120,DeadRaw!BV:BV)</f>
        <v>0</v>
      </c>
      <c r="BT120">
        <f>SUMIF(DeadRaw!$B:$B,$A120,DeadRaw!BW:BW)</f>
        <v>0</v>
      </c>
    </row>
    <row r="121" spans="1:72" ht="15" thickBot="1" x14ac:dyDescent="0.35">
      <c r="A121" s="3" t="s">
        <v>423</v>
      </c>
      <c r="B121">
        <f>SUMIF(DeadRaw!$B:$B,$A121,DeadRaw!E:E)</f>
        <v>0</v>
      </c>
      <c r="C121">
        <f>SUMIF(DeadRaw!$B:$B,$A121,DeadRaw!F:F)</f>
        <v>0</v>
      </c>
      <c r="D121">
        <f>SUMIF(DeadRaw!$B:$B,$A121,DeadRaw!G:G)</f>
        <v>0</v>
      </c>
      <c r="E121">
        <f>SUMIF(DeadRaw!$B:$B,$A121,DeadRaw!H:H)</f>
        <v>0</v>
      </c>
      <c r="F121">
        <f>SUMIF(DeadRaw!$B:$B,$A121,DeadRaw!I:I)</f>
        <v>0</v>
      </c>
      <c r="G121">
        <f>SUMIF(DeadRaw!$B:$B,$A121,DeadRaw!J:J)</f>
        <v>0</v>
      </c>
      <c r="H121">
        <f>SUMIF(DeadRaw!$B:$B,$A121,DeadRaw!K:K)</f>
        <v>0</v>
      </c>
      <c r="I121">
        <f>SUMIF(DeadRaw!$B:$B,$A121,DeadRaw!L:L)</f>
        <v>0</v>
      </c>
      <c r="J121">
        <f>SUMIF(DeadRaw!$B:$B,$A121,DeadRaw!M:M)</f>
        <v>0</v>
      </c>
      <c r="K121">
        <f>SUMIF(DeadRaw!$B:$B,$A121,DeadRaw!N:N)</f>
        <v>0</v>
      </c>
      <c r="L121">
        <f>SUMIF(DeadRaw!$B:$B,$A121,DeadRaw!O:O)</f>
        <v>0</v>
      </c>
      <c r="M121">
        <f>SUMIF(DeadRaw!$B:$B,$A121,DeadRaw!P:P)</f>
        <v>0</v>
      </c>
      <c r="N121">
        <f>SUMIF(DeadRaw!$B:$B,$A121,DeadRaw!Q:Q)</f>
        <v>0</v>
      </c>
      <c r="O121">
        <f>SUMIF(DeadRaw!$B:$B,$A121,DeadRaw!R:R)</f>
        <v>0</v>
      </c>
      <c r="P121">
        <f>SUMIF(DeadRaw!$B:$B,$A121,DeadRaw!S:S)</f>
        <v>0</v>
      </c>
      <c r="Q121">
        <f>SUMIF(DeadRaw!$B:$B,$A121,DeadRaw!T:T)</f>
        <v>0</v>
      </c>
      <c r="R121">
        <f>SUMIF(DeadRaw!$B:$B,$A121,DeadRaw!U:U)</f>
        <v>0</v>
      </c>
      <c r="S121">
        <f>SUMIF(DeadRaw!$B:$B,$A121,DeadRaw!V:V)</f>
        <v>0</v>
      </c>
      <c r="T121">
        <f>SUMIF(DeadRaw!$B:$B,$A121,DeadRaw!W:W)</f>
        <v>0</v>
      </c>
      <c r="U121">
        <f>SUMIF(DeadRaw!$B:$B,$A121,DeadRaw!X:X)</f>
        <v>0</v>
      </c>
      <c r="V121">
        <f>SUMIF(DeadRaw!$B:$B,$A121,DeadRaw!Y:Y)</f>
        <v>0</v>
      </c>
      <c r="W121">
        <f>SUMIF(DeadRaw!$B:$B,$A121,DeadRaw!Z:Z)</f>
        <v>0</v>
      </c>
      <c r="X121">
        <f>SUMIF(DeadRaw!$B:$B,$A121,DeadRaw!AA:AA)</f>
        <v>0</v>
      </c>
      <c r="Y121">
        <f>SUMIF(DeadRaw!$B:$B,$A121,DeadRaw!AB:AB)</f>
        <v>0</v>
      </c>
      <c r="Z121">
        <f>SUMIF(DeadRaw!$B:$B,$A121,DeadRaw!AC:AC)</f>
        <v>0</v>
      </c>
      <c r="AA121">
        <f>SUMIF(DeadRaw!$B:$B,$A121,DeadRaw!AD:AD)</f>
        <v>0</v>
      </c>
      <c r="AB121">
        <f>SUMIF(DeadRaw!$B:$B,$A121,DeadRaw!AE:AE)</f>
        <v>0</v>
      </c>
      <c r="AC121">
        <f>SUMIF(DeadRaw!$B:$B,$A121,DeadRaw!AF:AF)</f>
        <v>0</v>
      </c>
      <c r="AD121">
        <f>SUMIF(DeadRaw!$B:$B,$A121,DeadRaw!AG:AG)</f>
        <v>0</v>
      </c>
      <c r="AE121">
        <f>SUMIF(DeadRaw!$B:$B,$A121,DeadRaw!AH:AH)</f>
        <v>0</v>
      </c>
      <c r="AF121">
        <f>SUMIF(DeadRaw!$B:$B,$A121,DeadRaw!AI:AI)</f>
        <v>0</v>
      </c>
      <c r="AG121">
        <f>SUMIF(DeadRaw!$B:$B,$A121,DeadRaw!AJ:AJ)</f>
        <v>0</v>
      </c>
      <c r="AH121">
        <f>SUMIF(DeadRaw!$B:$B,$A121,DeadRaw!AK:AK)</f>
        <v>0</v>
      </c>
      <c r="AI121">
        <f>SUMIF(DeadRaw!$B:$B,$A121,DeadRaw!AL:AL)</f>
        <v>0</v>
      </c>
      <c r="AJ121">
        <f>SUMIF(DeadRaw!$B:$B,$A121,DeadRaw!AM:AM)</f>
        <v>0</v>
      </c>
      <c r="AK121">
        <f>SUMIF(DeadRaw!$B:$B,$A121,DeadRaw!AN:AN)</f>
        <v>0</v>
      </c>
      <c r="AL121">
        <f>SUMIF(DeadRaw!$B:$B,$A121,DeadRaw!AO:AO)</f>
        <v>0</v>
      </c>
      <c r="AM121">
        <f>SUMIF(DeadRaw!$B:$B,$A121,DeadRaw!AP:AP)</f>
        <v>0</v>
      </c>
      <c r="AN121">
        <f>SUMIF(DeadRaw!$B:$B,$A121,DeadRaw!AQ:AQ)</f>
        <v>0</v>
      </c>
      <c r="AO121">
        <f>SUMIF(DeadRaw!$B:$B,$A121,DeadRaw!AR:AR)</f>
        <v>0</v>
      </c>
      <c r="AP121">
        <f>SUMIF(DeadRaw!$B:$B,$A121,DeadRaw!AS:AS)</f>
        <v>0</v>
      </c>
      <c r="AQ121">
        <f>SUMIF(DeadRaw!$B:$B,$A121,DeadRaw!AT:AT)</f>
        <v>0</v>
      </c>
      <c r="AR121">
        <f>SUMIF(DeadRaw!$B:$B,$A121,DeadRaw!AU:AU)</f>
        <v>0</v>
      </c>
      <c r="AS121">
        <f>SUMIF(DeadRaw!$B:$B,$A121,DeadRaw!AV:AV)</f>
        <v>0</v>
      </c>
      <c r="AT121">
        <f>SUMIF(DeadRaw!$B:$B,$A121,DeadRaw!AW:AW)</f>
        <v>0</v>
      </c>
      <c r="AU121">
        <f>SUMIF(DeadRaw!$B:$B,$A121,DeadRaw!AX:AX)</f>
        <v>0</v>
      </c>
      <c r="AV121">
        <f>SUMIF(DeadRaw!$B:$B,$A121,DeadRaw!AY:AY)</f>
        <v>0</v>
      </c>
      <c r="AW121">
        <f>SUMIF(DeadRaw!$B:$B,$A121,DeadRaw!AZ:AZ)</f>
        <v>0</v>
      </c>
      <c r="AX121">
        <f>SUMIF(DeadRaw!$B:$B,$A121,DeadRaw!BA:BA)</f>
        <v>0</v>
      </c>
      <c r="AY121">
        <f>SUMIF(DeadRaw!$B:$B,$A121,DeadRaw!BB:BB)</f>
        <v>0</v>
      </c>
      <c r="AZ121">
        <f>SUMIF(DeadRaw!$B:$B,$A121,DeadRaw!BC:BC)</f>
        <v>0</v>
      </c>
      <c r="BA121">
        <f>SUMIF(DeadRaw!$B:$B,$A121,DeadRaw!BD:BD)</f>
        <v>0</v>
      </c>
      <c r="BB121">
        <f>SUMIF(DeadRaw!$B:$B,$A121,DeadRaw!BE:BE)</f>
        <v>0</v>
      </c>
      <c r="BC121">
        <f>SUMIF(DeadRaw!$B:$B,$A121,DeadRaw!BF:BF)</f>
        <v>0</v>
      </c>
      <c r="BD121">
        <f>SUMIF(DeadRaw!$B:$B,$A121,DeadRaw!BG:BG)</f>
        <v>0</v>
      </c>
      <c r="BE121">
        <f>SUMIF(DeadRaw!$B:$B,$A121,DeadRaw!BH:BH)</f>
        <v>0</v>
      </c>
      <c r="BF121">
        <f>SUMIF(DeadRaw!$B:$B,$A121,DeadRaw!BI:BI)</f>
        <v>0</v>
      </c>
      <c r="BG121">
        <f>SUMIF(DeadRaw!$B:$B,$A121,DeadRaw!BJ:BJ)</f>
        <v>0</v>
      </c>
      <c r="BH121">
        <f>SUMIF(DeadRaw!$B:$B,$A121,DeadRaw!BK:BK)</f>
        <v>0</v>
      </c>
      <c r="BI121">
        <f>SUMIF(DeadRaw!$B:$B,$A121,DeadRaw!BL:BL)</f>
        <v>0</v>
      </c>
      <c r="BJ121">
        <f>SUMIF(DeadRaw!$B:$B,$A121,DeadRaw!BM:BM)</f>
        <v>0</v>
      </c>
      <c r="BK121">
        <f>SUMIF(DeadRaw!$B:$B,$A121,DeadRaw!BN:BN)</f>
        <v>0</v>
      </c>
      <c r="BL121">
        <f>SUMIF(DeadRaw!$B:$B,$A121,DeadRaw!BO:BO)</f>
        <v>0</v>
      </c>
      <c r="BM121">
        <f>SUMIF(DeadRaw!$B:$B,$A121,DeadRaw!BP:BP)</f>
        <v>0</v>
      </c>
      <c r="BN121">
        <f>SUMIF(DeadRaw!$B:$B,$A121,DeadRaw!BQ:BQ)</f>
        <v>0</v>
      </c>
      <c r="BO121">
        <f>SUMIF(DeadRaw!$B:$B,$A121,DeadRaw!BR:BR)</f>
        <v>0</v>
      </c>
      <c r="BP121">
        <f>SUMIF(DeadRaw!$B:$B,$A121,DeadRaw!BS:BS)</f>
        <v>0</v>
      </c>
      <c r="BQ121">
        <f>SUMIF(DeadRaw!$B:$B,$A121,DeadRaw!BT:BT)</f>
        <v>0</v>
      </c>
      <c r="BR121">
        <f>SUMIF(DeadRaw!$B:$B,$A121,DeadRaw!BU:BU)</f>
        <v>0</v>
      </c>
      <c r="BS121">
        <f>SUMIF(DeadRaw!$B:$B,$A121,DeadRaw!BV:BV)</f>
        <v>0</v>
      </c>
      <c r="BT121">
        <f>SUMIF(DeadRaw!$B:$B,$A121,DeadRaw!BW:BW)</f>
        <v>0</v>
      </c>
    </row>
    <row r="122" spans="1:72" ht="15" thickBot="1" x14ac:dyDescent="0.35">
      <c r="A122" s="4" t="s">
        <v>136</v>
      </c>
      <c r="B122">
        <f>SUMIF(DeadRaw!$B:$B,$A122,DeadRaw!E:E)</f>
        <v>0</v>
      </c>
      <c r="C122">
        <f>SUMIF(DeadRaw!$B:$B,$A122,DeadRaw!F:F)</f>
        <v>0</v>
      </c>
      <c r="D122">
        <f>SUMIF(DeadRaw!$B:$B,$A122,DeadRaw!G:G)</f>
        <v>0</v>
      </c>
      <c r="E122">
        <f>SUMIF(DeadRaw!$B:$B,$A122,DeadRaw!H:H)</f>
        <v>0</v>
      </c>
      <c r="F122">
        <f>SUMIF(DeadRaw!$B:$B,$A122,DeadRaw!I:I)</f>
        <v>0</v>
      </c>
      <c r="G122">
        <f>SUMIF(DeadRaw!$B:$B,$A122,DeadRaw!J:J)</f>
        <v>0</v>
      </c>
      <c r="H122">
        <f>SUMIF(DeadRaw!$B:$B,$A122,DeadRaw!K:K)</f>
        <v>0</v>
      </c>
      <c r="I122">
        <f>SUMIF(DeadRaw!$B:$B,$A122,DeadRaw!L:L)</f>
        <v>0</v>
      </c>
      <c r="J122">
        <f>SUMIF(DeadRaw!$B:$B,$A122,DeadRaw!M:M)</f>
        <v>0</v>
      </c>
      <c r="K122">
        <f>SUMIF(DeadRaw!$B:$B,$A122,DeadRaw!N:N)</f>
        <v>0</v>
      </c>
      <c r="L122">
        <f>SUMIF(DeadRaw!$B:$B,$A122,DeadRaw!O:O)</f>
        <v>0</v>
      </c>
      <c r="M122">
        <f>SUMIF(DeadRaw!$B:$B,$A122,DeadRaw!P:P)</f>
        <v>0</v>
      </c>
      <c r="N122">
        <f>SUMIF(DeadRaw!$B:$B,$A122,DeadRaw!Q:Q)</f>
        <v>0</v>
      </c>
      <c r="O122">
        <f>SUMIF(DeadRaw!$B:$B,$A122,DeadRaw!R:R)</f>
        <v>0</v>
      </c>
      <c r="P122">
        <f>SUMIF(DeadRaw!$B:$B,$A122,DeadRaw!S:S)</f>
        <v>0</v>
      </c>
      <c r="Q122">
        <f>SUMIF(DeadRaw!$B:$B,$A122,DeadRaw!T:T)</f>
        <v>0</v>
      </c>
      <c r="R122">
        <f>SUMIF(DeadRaw!$B:$B,$A122,DeadRaw!U:U)</f>
        <v>0</v>
      </c>
      <c r="S122">
        <f>SUMIF(DeadRaw!$B:$B,$A122,DeadRaw!V:V)</f>
        <v>0</v>
      </c>
      <c r="T122">
        <f>SUMIF(DeadRaw!$B:$B,$A122,DeadRaw!W:W)</f>
        <v>0</v>
      </c>
      <c r="U122">
        <f>SUMIF(DeadRaw!$B:$B,$A122,DeadRaw!X:X)</f>
        <v>0</v>
      </c>
      <c r="V122">
        <f>SUMIF(DeadRaw!$B:$B,$A122,DeadRaw!Y:Y)</f>
        <v>0</v>
      </c>
      <c r="W122">
        <f>SUMIF(DeadRaw!$B:$B,$A122,DeadRaw!Z:Z)</f>
        <v>0</v>
      </c>
      <c r="X122">
        <f>SUMIF(DeadRaw!$B:$B,$A122,DeadRaw!AA:AA)</f>
        <v>0</v>
      </c>
      <c r="Y122">
        <f>SUMIF(DeadRaw!$B:$B,$A122,DeadRaw!AB:AB)</f>
        <v>0</v>
      </c>
      <c r="Z122">
        <f>SUMIF(DeadRaw!$B:$B,$A122,DeadRaw!AC:AC)</f>
        <v>0</v>
      </c>
      <c r="AA122">
        <f>SUMIF(DeadRaw!$B:$B,$A122,DeadRaw!AD:AD)</f>
        <v>0</v>
      </c>
      <c r="AB122">
        <f>SUMIF(DeadRaw!$B:$B,$A122,DeadRaw!AE:AE)</f>
        <v>0</v>
      </c>
      <c r="AC122">
        <f>SUMIF(DeadRaw!$B:$B,$A122,DeadRaw!AF:AF)</f>
        <v>0</v>
      </c>
      <c r="AD122">
        <f>SUMIF(DeadRaw!$B:$B,$A122,DeadRaw!AG:AG)</f>
        <v>0</v>
      </c>
      <c r="AE122">
        <f>SUMIF(DeadRaw!$B:$B,$A122,DeadRaw!AH:AH)</f>
        <v>0</v>
      </c>
      <c r="AF122">
        <f>SUMIF(DeadRaw!$B:$B,$A122,DeadRaw!AI:AI)</f>
        <v>0</v>
      </c>
      <c r="AG122">
        <f>SUMIF(DeadRaw!$B:$B,$A122,DeadRaw!AJ:AJ)</f>
        <v>0</v>
      </c>
      <c r="AH122">
        <f>SUMIF(DeadRaw!$B:$B,$A122,DeadRaw!AK:AK)</f>
        <v>0</v>
      </c>
      <c r="AI122">
        <f>SUMIF(DeadRaw!$B:$B,$A122,DeadRaw!AL:AL)</f>
        <v>0</v>
      </c>
      <c r="AJ122">
        <f>SUMIF(DeadRaw!$B:$B,$A122,DeadRaw!AM:AM)</f>
        <v>0</v>
      </c>
      <c r="AK122">
        <f>SUMIF(DeadRaw!$B:$B,$A122,DeadRaw!AN:AN)</f>
        <v>0</v>
      </c>
      <c r="AL122">
        <f>SUMIF(DeadRaw!$B:$B,$A122,DeadRaw!AO:AO)</f>
        <v>0</v>
      </c>
      <c r="AM122">
        <f>SUMIF(DeadRaw!$B:$B,$A122,DeadRaw!AP:AP)</f>
        <v>0</v>
      </c>
      <c r="AN122">
        <f>SUMIF(DeadRaw!$B:$B,$A122,DeadRaw!AQ:AQ)</f>
        <v>0</v>
      </c>
      <c r="AO122">
        <f>SUMIF(DeadRaw!$B:$B,$A122,DeadRaw!AR:AR)</f>
        <v>0</v>
      </c>
      <c r="AP122">
        <f>SUMIF(DeadRaw!$B:$B,$A122,DeadRaw!AS:AS)</f>
        <v>0</v>
      </c>
      <c r="AQ122">
        <f>SUMIF(DeadRaw!$B:$B,$A122,DeadRaw!AT:AT)</f>
        <v>0</v>
      </c>
      <c r="AR122">
        <f>SUMIF(DeadRaw!$B:$B,$A122,DeadRaw!AU:AU)</f>
        <v>0</v>
      </c>
      <c r="AS122">
        <f>SUMIF(DeadRaw!$B:$B,$A122,DeadRaw!AV:AV)</f>
        <v>0</v>
      </c>
      <c r="AT122">
        <f>SUMIF(DeadRaw!$B:$B,$A122,DeadRaw!AW:AW)</f>
        <v>0</v>
      </c>
      <c r="AU122">
        <f>SUMIF(DeadRaw!$B:$B,$A122,DeadRaw!AX:AX)</f>
        <v>0</v>
      </c>
      <c r="AV122">
        <f>SUMIF(DeadRaw!$B:$B,$A122,DeadRaw!AY:AY)</f>
        <v>0</v>
      </c>
      <c r="AW122">
        <f>SUMIF(DeadRaw!$B:$B,$A122,DeadRaw!AZ:AZ)</f>
        <v>0</v>
      </c>
      <c r="AX122">
        <f>SUMIF(DeadRaw!$B:$B,$A122,DeadRaw!BA:BA)</f>
        <v>0</v>
      </c>
      <c r="AY122">
        <f>SUMIF(DeadRaw!$B:$B,$A122,DeadRaw!BB:BB)</f>
        <v>0</v>
      </c>
      <c r="AZ122">
        <f>SUMIF(DeadRaw!$B:$B,$A122,DeadRaw!BC:BC)</f>
        <v>0</v>
      </c>
      <c r="BA122">
        <f>SUMIF(DeadRaw!$B:$B,$A122,DeadRaw!BD:BD)</f>
        <v>0</v>
      </c>
      <c r="BB122">
        <f>SUMIF(DeadRaw!$B:$B,$A122,DeadRaw!BE:BE)</f>
        <v>0</v>
      </c>
      <c r="BC122">
        <f>SUMIF(DeadRaw!$B:$B,$A122,DeadRaw!BF:BF)</f>
        <v>0</v>
      </c>
      <c r="BD122">
        <f>SUMIF(DeadRaw!$B:$B,$A122,DeadRaw!BG:BG)</f>
        <v>0</v>
      </c>
      <c r="BE122">
        <f>SUMIF(DeadRaw!$B:$B,$A122,DeadRaw!BH:BH)</f>
        <v>0</v>
      </c>
      <c r="BF122">
        <f>SUMIF(DeadRaw!$B:$B,$A122,DeadRaw!BI:BI)</f>
        <v>0</v>
      </c>
      <c r="BG122">
        <f>SUMIF(DeadRaw!$B:$B,$A122,DeadRaw!BJ:BJ)</f>
        <v>0</v>
      </c>
      <c r="BH122">
        <f>SUMIF(DeadRaw!$B:$B,$A122,DeadRaw!BK:BK)</f>
        <v>0</v>
      </c>
      <c r="BI122">
        <f>SUMIF(DeadRaw!$B:$B,$A122,DeadRaw!BL:BL)</f>
        <v>0</v>
      </c>
      <c r="BJ122">
        <f>SUMIF(DeadRaw!$B:$B,$A122,DeadRaw!BM:BM)</f>
        <v>0</v>
      </c>
      <c r="BK122">
        <f>SUMIF(DeadRaw!$B:$B,$A122,DeadRaw!BN:BN)</f>
        <v>0</v>
      </c>
      <c r="BL122">
        <f>SUMIF(DeadRaw!$B:$B,$A122,DeadRaw!BO:BO)</f>
        <v>0</v>
      </c>
      <c r="BM122">
        <f>SUMIF(DeadRaw!$B:$B,$A122,DeadRaw!BP:BP)</f>
        <v>0</v>
      </c>
      <c r="BN122">
        <f>SUMIF(DeadRaw!$B:$B,$A122,DeadRaw!BQ:BQ)</f>
        <v>0</v>
      </c>
      <c r="BO122">
        <f>SUMIF(DeadRaw!$B:$B,$A122,DeadRaw!BR:BR)</f>
        <v>0</v>
      </c>
      <c r="BP122">
        <f>SUMIF(DeadRaw!$B:$B,$A122,DeadRaw!BS:BS)</f>
        <v>0</v>
      </c>
      <c r="BQ122">
        <f>SUMIF(DeadRaw!$B:$B,$A122,DeadRaw!BT:BT)</f>
        <v>0</v>
      </c>
      <c r="BR122">
        <f>SUMIF(DeadRaw!$B:$B,$A122,DeadRaw!BU:BU)</f>
        <v>0</v>
      </c>
      <c r="BS122">
        <f>SUMIF(DeadRaw!$B:$B,$A122,DeadRaw!BV:BV)</f>
        <v>0</v>
      </c>
      <c r="BT122">
        <f>SUMIF(DeadRaw!$B:$B,$A122,DeadRaw!BW:BW)</f>
        <v>0</v>
      </c>
    </row>
    <row r="123" spans="1:72" ht="15" thickBot="1" x14ac:dyDescent="0.35">
      <c r="A123" s="4" t="s">
        <v>282</v>
      </c>
      <c r="B123">
        <f>SUMIF(DeadRaw!$B:$B,$A123,DeadRaw!E:E)</f>
        <v>0</v>
      </c>
      <c r="C123">
        <f>SUMIF(DeadRaw!$B:$B,$A123,DeadRaw!F:F)</f>
        <v>0</v>
      </c>
      <c r="D123">
        <f>SUMIF(DeadRaw!$B:$B,$A123,DeadRaw!G:G)</f>
        <v>0</v>
      </c>
      <c r="E123">
        <f>SUMIF(DeadRaw!$B:$B,$A123,DeadRaw!H:H)</f>
        <v>0</v>
      </c>
      <c r="F123">
        <f>SUMIF(DeadRaw!$B:$B,$A123,DeadRaw!I:I)</f>
        <v>0</v>
      </c>
      <c r="G123">
        <f>SUMIF(DeadRaw!$B:$B,$A123,DeadRaw!J:J)</f>
        <v>0</v>
      </c>
      <c r="H123">
        <f>SUMIF(DeadRaw!$B:$B,$A123,DeadRaw!K:K)</f>
        <v>0</v>
      </c>
      <c r="I123">
        <f>SUMIF(DeadRaw!$B:$B,$A123,DeadRaw!L:L)</f>
        <v>0</v>
      </c>
      <c r="J123">
        <f>SUMIF(DeadRaw!$B:$B,$A123,DeadRaw!M:M)</f>
        <v>0</v>
      </c>
      <c r="K123">
        <f>SUMIF(DeadRaw!$B:$B,$A123,DeadRaw!N:N)</f>
        <v>0</v>
      </c>
      <c r="L123">
        <f>SUMIF(DeadRaw!$B:$B,$A123,DeadRaw!O:O)</f>
        <v>0</v>
      </c>
      <c r="M123">
        <f>SUMIF(DeadRaw!$B:$B,$A123,DeadRaw!P:P)</f>
        <v>0</v>
      </c>
      <c r="N123">
        <f>SUMIF(DeadRaw!$B:$B,$A123,DeadRaw!Q:Q)</f>
        <v>0</v>
      </c>
      <c r="O123">
        <f>SUMIF(DeadRaw!$B:$B,$A123,DeadRaw!R:R)</f>
        <v>0</v>
      </c>
      <c r="P123">
        <f>SUMIF(DeadRaw!$B:$B,$A123,DeadRaw!S:S)</f>
        <v>0</v>
      </c>
      <c r="Q123">
        <f>SUMIF(DeadRaw!$B:$B,$A123,DeadRaw!T:T)</f>
        <v>0</v>
      </c>
      <c r="R123">
        <f>SUMIF(DeadRaw!$B:$B,$A123,DeadRaw!U:U)</f>
        <v>0</v>
      </c>
      <c r="S123">
        <f>SUMIF(DeadRaw!$B:$B,$A123,DeadRaw!V:V)</f>
        <v>0</v>
      </c>
      <c r="T123">
        <f>SUMIF(DeadRaw!$B:$B,$A123,DeadRaw!W:W)</f>
        <v>0</v>
      </c>
      <c r="U123">
        <f>SUMIF(DeadRaw!$B:$B,$A123,DeadRaw!X:X)</f>
        <v>0</v>
      </c>
      <c r="V123">
        <f>SUMIF(DeadRaw!$B:$B,$A123,DeadRaw!Y:Y)</f>
        <v>0</v>
      </c>
      <c r="W123">
        <f>SUMIF(DeadRaw!$B:$B,$A123,DeadRaw!Z:Z)</f>
        <v>0</v>
      </c>
      <c r="X123">
        <f>SUMIF(DeadRaw!$B:$B,$A123,DeadRaw!AA:AA)</f>
        <v>0</v>
      </c>
      <c r="Y123">
        <f>SUMIF(DeadRaw!$B:$B,$A123,DeadRaw!AB:AB)</f>
        <v>0</v>
      </c>
      <c r="Z123">
        <f>SUMIF(DeadRaw!$B:$B,$A123,DeadRaw!AC:AC)</f>
        <v>0</v>
      </c>
      <c r="AA123">
        <f>SUMIF(DeadRaw!$B:$B,$A123,DeadRaw!AD:AD)</f>
        <v>0</v>
      </c>
      <c r="AB123">
        <f>SUMIF(DeadRaw!$B:$B,$A123,DeadRaw!AE:AE)</f>
        <v>0</v>
      </c>
      <c r="AC123">
        <f>SUMIF(DeadRaw!$B:$B,$A123,DeadRaw!AF:AF)</f>
        <v>0</v>
      </c>
      <c r="AD123">
        <f>SUMIF(DeadRaw!$B:$B,$A123,DeadRaw!AG:AG)</f>
        <v>0</v>
      </c>
      <c r="AE123">
        <f>SUMIF(DeadRaw!$B:$B,$A123,DeadRaw!AH:AH)</f>
        <v>0</v>
      </c>
      <c r="AF123">
        <f>SUMIF(DeadRaw!$B:$B,$A123,DeadRaw!AI:AI)</f>
        <v>0</v>
      </c>
      <c r="AG123">
        <f>SUMIF(DeadRaw!$B:$B,$A123,DeadRaw!AJ:AJ)</f>
        <v>0</v>
      </c>
      <c r="AH123">
        <f>SUMIF(DeadRaw!$B:$B,$A123,DeadRaw!AK:AK)</f>
        <v>0</v>
      </c>
      <c r="AI123">
        <f>SUMIF(DeadRaw!$B:$B,$A123,DeadRaw!AL:AL)</f>
        <v>0</v>
      </c>
      <c r="AJ123">
        <f>SUMIF(DeadRaw!$B:$B,$A123,DeadRaw!AM:AM)</f>
        <v>0</v>
      </c>
      <c r="AK123">
        <f>SUMIF(DeadRaw!$B:$B,$A123,DeadRaw!AN:AN)</f>
        <v>0</v>
      </c>
      <c r="AL123">
        <f>SUMIF(DeadRaw!$B:$B,$A123,DeadRaw!AO:AO)</f>
        <v>0</v>
      </c>
      <c r="AM123">
        <f>SUMIF(DeadRaw!$B:$B,$A123,DeadRaw!AP:AP)</f>
        <v>0</v>
      </c>
      <c r="AN123">
        <f>SUMIF(DeadRaw!$B:$B,$A123,DeadRaw!AQ:AQ)</f>
        <v>0</v>
      </c>
      <c r="AO123">
        <f>SUMIF(DeadRaw!$B:$B,$A123,DeadRaw!AR:AR)</f>
        <v>0</v>
      </c>
      <c r="AP123">
        <f>SUMIF(DeadRaw!$B:$B,$A123,DeadRaw!AS:AS)</f>
        <v>0</v>
      </c>
      <c r="AQ123">
        <f>SUMIF(DeadRaw!$B:$B,$A123,DeadRaw!AT:AT)</f>
        <v>0</v>
      </c>
      <c r="AR123">
        <f>SUMIF(DeadRaw!$B:$B,$A123,DeadRaw!AU:AU)</f>
        <v>0</v>
      </c>
      <c r="AS123">
        <f>SUMIF(DeadRaw!$B:$B,$A123,DeadRaw!AV:AV)</f>
        <v>0</v>
      </c>
      <c r="AT123">
        <f>SUMIF(DeadRaw!$B:$B,$A123,DeadRaw!AW:AW)</f>
        <v>0</v>
      </c>
      <c r="AU123">
        <f>SUMIF(DeadRaw!$B:$B,$A123,DeadRaw!AX:AX)</f>
        <v>0</v>
      </c>
      <c r="AV123">
        <f>SUMIF(DeadRaw!$B:$B,$A123,DeadRaw!AY:AY)</f>
        <v>0</v>
      </c>
      <c r="AW123">
        <f>SUMIF(DeadRaw!$B:$B,$A123,DeadRaw!AZ:AZ)</f>
        <v>0</v>
      </c>
      <c r="AX123">
        <f>SUMIF(DeadRaw!$B:$B,$A123,DeadRaw!BA:BA)</f>
        <v>0</v>
      </c>
      <c r="AY123">
        <f>SUMIF(DeadRaw!$B:$B,$A123,DeadRaw!BB:BB)</f>
        <v>0</v>
      </c>
      <c r="AZ123">
        <f>SUMIF(DeadRaw!$B:$B,$A123,DeadRaw!BC:BC)</f>
        <v>0</v>
      </c>
      <c r="BA123">
        <f>SUMIF(DeadRaw!$B:$B,$A123,DeadRaw!BD:BD)</f>
        <v>0</v>
      </c>
      <c r="BB123">
        <f>SUMIF(DeadRaw!$B:$B,$A123,DeadRaw!BE:BE)</f>
        <v>0</v>
      </c>
      <c r="BC123">
        <f>SUMIF(DeadRaw!$B:$B,$A123,DeadRaw!BF:BF)</f>
        <v>0</v>
      </c>
      <c r="BD123">
        <f>SUMIF(DeadRaw!$B:$B,$A123,DeadRaw!BG:BG)</f>
        <v>0</v>
      </c>
      <c r="BE123">
        <f>SUMIF(DeadRaw!$B:$B,$A123,DeadRaw!BH:BH)</f>
        <v>0</v>
      </c>
      <c r="BF123">
        <f>SUMIF(DeadRaw!$B:$B,$A123,DeadRaw!BI:BI)</f>
        <v>0</v>
      </c>
      <c r="BG123">
        <f>SUMIF(DeadRaw!$B:$B,$A123,DeadRaw!BJ:BJ)</f>
        <v>0</v>
      </c>
      <c r="BH123">
        <f>SUMIF(DeadRaw!$B:$B,$A123,DeadRaw!BK:BK)</f>
        <v>0</v>
      </c>
      <c r="BI123">
        <f>SUMIF(DeadRaw!$B:$B,$A123,DeadRaw!BL:BL)</f>
        <v>0</v>
      </c>
      <c r="BJ123">
        <f>SUMIF(DeadRaw!$B:$B,$A123,DeadRaw!BM:BM)</f>
        <v>0</v>
      </c>
      <c r="BK123">
        <f>SUMIF(DeadRaw!$B:$B,$A123,DeadRaw!BN:BN)</f>
        <v>0</v>
      </c>
      <c r="BL123">
        <f>SUMIF(DeadRaw!$B:$B,$A123,DeadRaw!BO:BO)</f>
        <v>0</v>
      </c>
      <c r="BM123">
        <f>SUMIF(DeadRaw!$B:$B,$A123,DeadRaw!BP:BP)</f>
        <v>0</v>
      </c>
      <c r="BN123">
        <f>SUMIF(DeadRaw!$B:$B,$A123,DeadRaw!BQ:BQ)</f>
        <v>0</v>
      </c>
      <c r="BO123">
        <f>SUMIF(DeadRaw!$B:$B,$A123,DeadRaw!BR:BR)</f>
        <v>0</v>
      </c>
      <c r="BP123">
        <f>SUMIF(DeadRaw!$B:$B,$A123,DeadRaw!BS:BS)</f>
        <v>0</v>
      </c>
      <c r="BQ123">
        <f>SUMIF(DeadRaw!$B:$B,$A123,DeadRaw!BT:BT)</f>
        <v>0</v>
      </c>
      <c r="BR123">
        <f>SUMIF(DeadRaw!$B:$B,$A123,DeadRaw!BU:BU)</f>
        <v>0</v>
      </c>
      <c r="BS123">
        <f>SUMIF(DeadRaw!$B:$B,$A123,DeadRaw!BV:BV)</f>
        <v>0</v>
      </c>
      <c r="BT123">
        <f>SUMIF(DeadRaw!$B:$B,$A123,DeadRaw!BW:BW)</f>
        <v>0</v>
      </c>
    </row>
    <row r="124" spans="1:72" ht="15" thickBot="1" x14ac:dyDescent="0.35">
      <c r="A124" s="4" t="s">
        <v>42</v>
      </c>
      <c r="B124">
        <f>SUMIF(DeadRaw!$B:$B,$A124,DeadRaw!E:E)</f>
        <v>0</v>
      </c>
      <c r="C124">
        <f>SUMIF(DeadRaw!$B:$B,$A124,DeadRaw!F:F)</f>
        <v>0</v>
      </c>
      <c r="D124">
        <f>SUMIF(DeadRaw!$B:$B,$A124,DeadRaw!G:G)</f>
        <v>0</v>
      </c>
      <c r="E124">
        <f>SUMIF(DeadRaw!$B:$B,$A124,DeadRaw!H:H)</f>
        <v>0</v>
      </c>
      <c r="F124">
        <f>SUMIF(DeadRaw!$B:$B,$A124,DeadRaw!I:I)</f>
        <v>0</v>
      </c>
      <c r="G124">
        <f>SUMIF(DeadRaw!$B:$B,$A124,DeadRaw!J:J)</f>
        <v>0</v>
      </c>
      <c r="H124">
        <f>SUMIF(DeadRaw!$B:$B,$A124,DeadRaw!K:K)</f>
        <v>0</v>
      </c>
      <c r="I124">
        <f>SUMIF(DeadRaw!$B:$B,$A124,DeadRaw!L:L)</f>
        <v>0</v>
      </c>
      <c r="J124">
        <f>SUMIF(DeadRaw!$B:$B,$A124,DeadRaw!M:M)</f>
        <v>0</v>
      </c>
      <c r="K124">
        <f>SUMIF(DeadRaw!$B:$B,$A124,DeadRaw!N:N)</f>
        <v>0</v>
      </c>
      <c r="L124">
        <f>SUMIF(DeadRaw!$B:$B,$A124,DeadRaw!O:O)</f>
        <v>0</v>
      </c>
      <c r="M124">
        <f>SUMIF(DeadRaw!$B:$B,$A124,DeadRaw!P:P)</f>
        <v>0</v>
      </c>
      <c r="N124">
        <f>SUMIF(DeadRaw!$B:$B,$A124,DeadRaw!Q:Q)</f>
        <v>0</v>
      </c>
      <c r="O124">
        <f>SUMIF(DeadRaw!$B:$B,$A124,DeadRaw!R:R)</f>
        <v>0</v>
      </c>
      <c r="P124">
        <f>SUMIF(DeadRaw!$B:$B,$A124,DeadRaw!S:S)</f>
        <v>0</v>
      </c>
      <c r="Q124">
        <f>SUMIF(DeadRaw!$B:$B,$A124,DeadRaw!T:T)</f>
        <v>0</v>
      </c>
      <c r="R124">
        <f>SUMIF(DeadRaw!$B:$B,$A124,DeadRaw!U:U)</f>
        <v>0</v>
      </c>
      <c r="S124">
        <f>SUMIF(DeadRaw!$B:$B,$A124,DeadRaw!V:V)</f>
        <v>0</v>
      </c>
      <c r="T124">
        <f>SUMIF(DeadRaw!$B:$B,$A124,DeadRaw!W:W)</f>
        <v>0</v>
      </c>
      <c r="U124">
        <f>SUMIF(DeadRaw!$B:$B,$A124,DeadRaw!X:X)</f>
        <v>0</v>
      </c>
      <c r="V124">
        <f>SUMIF(DeadRaw!$B:$B,$A124,DeadRaw!Y:Y)</f>
        <v>0</v>
      </c>
      <c r="W124">
        <f>SUMIF(DeadRaw!$B:$B,$A124,DeadRaw!Z:Z)</f>
        <v>0</v>
      </c>
      <c r="X124">
        <f>SUMIF(DeadRaw!$B:$B,$A124,DeadRaw!AA:AA)</f>
        <v>0</v>
      </c>
      <c r="Y124">
        <f>SUMIF(DeadRaw!$B:$B,$A124,DeadRaw!AB:AB)</f>
        <v>0</v>
      </c>
      <c r="Z124">
        <f>SUMIF(DeadRaw!$B:$B,$A124,DeadRaw!AC:AC)</f>
        <v>0</v>
      </c>
      <c r="AA124">
        <f>SUMIF(DeadRaw!$B:$B,$A124,DeadRaw!AD:AD)</f>
        <v>0</v>
      </c>
      <c r="AB124">
        <f>SUMIF(DeadRaw!$B:$B,$A124,DeadRaw!AE:AE)</f>
        <v>0</v>
      </c>
      <c r="AC124">
        <f>SUMIF(DeadRaw!$B:$B,$A124,DeadRaw!AF:AF)</f>
        <v>0</v>
      </c>
      <c r="AD124">
        <f>SUMIF(DeadRaw!$B:$B,$A124,DeadRaw!AG:AG)</f>
        <v>0</v>
      </c>
      <c r="AE124">
        <f>SUMIF(DeadRaw!$B:$B,$A124,DeadRaw!AH:AH)</f>
        <v>0</v>
      </c>
      <c r="AF124">
        <f>SUMIF(DeadRaw!$B:$B,$A124,DeadRaw!AI:AI)</f>
        <v>0</v>
      </c>
      <c r="AG124">
        <f>SUMIF(DeadRaw!$B:$B,$A124,DeadRaw!AJ:AJ)</f>
        <v>0</v>
      </c>
      <c r="AH124">
        <f>SUMIF(DeadRaw!$B:$B,$A124,DeadRaw!AK:AK)</f>
        <v>0</v>
      </c>
      <c r="AI124">
        <f>SUMIF(DeadRaw!$B:$B,$A124,DeadRaw!AL:AL)</f>
        <v>0</v>
      </c>
      <c r="AJ124">
        <f>SUMIF(DeadRaw!$B:$B,$A124,DeadRaw!AM:AM)</f>
        <v>0</v>
      </c>
      <c r="AK124">
        <f>SUMIF(DeadRaw!$B:$B,$A124,DeadRaw!AN:AN)</f>
        <v>0</v>
      </c>
      <c r="AL124">
        <f>SUMIF(DeadRaw!$B:$B,$A124,DeadRaw!AO:AO)</f>
        <v>0</v>
      </c>
      <c r="AM124">
        <f>SUMIF(DeadRaw!$B:$B,$A124,DeadRaw!AP:AP)</f>
        <v>0</v>
      </c>
      <c r="AN124">
        <f>SUMIF(DeadRaw!$B:$B,$A124,DeadRaw!AQ:AQ)</f>
        <v>0</v>
      </c>
      <c r="AO124">
        <f>SUMIF(DeadRaw!$B:$B,$A124,DeadRaw!AR:AR)</f>
        <v>0</v>
      </c>
      <c r="AP124">
        <f>SUMIF(DeadRaw!$B:$B,$A124,DeadRaw!AS:AS)</f>
        <v>0</v>
      </c>
      <c r="AQ124">
        <f>SUMIF(DeadRaw!$B:$B,$A124,DeadRaw!AT:AT)</f>
        <v>0</v>
      </c>
      <c r="AR124">
        <f>SUMIF(DeadRaw!$B:$B,$A124,DeadRaw!AU:AU)</f>
        <v>0</v>
      </c>
      <c r="AS124">
        <f>SUMIF(DeadRaw!$B:$B,$A124,DeadRaw!AV:AV)</f>
        <v>0</v>
      </c>
      <c r="AT124">
        <f>SUMIF(DeadRaw!$B:$B,$A124,DeadRaw!AW:AW)</f>
        <v>0</v>
      </c>
      <c r="AU124">
        <f>SUMIF(DeadRaw!$B:$B,$A124,DeadRaw!AX:AX)</f>
        <v>0</v>
      </c>
      <c r="AV124">
        <f>SUMIF(DeadRaw!$B:$B,$A124,DeadRaw!AY:AY)</f>
        <v>0</v>
      </c>
      <c r="AW124">
        <f>SUMIF(DeadRaw!$B:$B,$A124,DeadRaw!AZ:AZ)</f>
        <v>0</v>
      </c>
      <c r="AX124">
        <f>SUMIF(DeadRaw!$B:$B,$A124,DeadRaw!BA:BA)</f>
        <v>0</v>
      </c>
      <c r="AY124">
        <f>SUMIF(DeadRaw!$B:$B,$A124,DeadRaw!BB:BB)</f>
        <v>0</v>
      </c>
      <c r="AZ124">
        <f>SUMIF(DeadRaw!$B:$B,$A124,DeadRaw!BC:BC)</f>
        <v>0</v>
      </c>
      <c r="BA124">
        <f>SUMIF(DeadRaw!$B:$B,$A124,DeadRaw!BD:BD)</f>
        <v>0</v>
      </c>
      <c r="BB124">
        <f>SUMIF(DeadRaw!$B:$B,$A124,DeadRaw!BE:BE)</f>
        <v>0</v>
      </c>
      <c r="BC124">
        <f>SUMIF(DeadRaw!$B:$B,$A124,DeadRaw!BF:BF)</f>
        <v>0</v>
      </c>
      <c r="BD124">
        <f>SUMIF(DeadRaw!$B:$B,$A124,DeadRaw!BG:BG)</f>
        <v>0</v>
      </c>
      <c r="BE124">
        <f>SUMIF(DeadRaw!$B:$B,$A124,DeadRaw!BH:BH)</f>
        <v>0</v>
      </c>
      <c r="BF124">
        <f>SUMIF(DeadRaw!$B:$B,$A124,DeadRaw!BI:BI)</f>
        <v>0</v>
      </c>
      <c r="BG124">
        <f>SUMIF(DeadRaw!$B:$B,$A124,DeadRaw!BJ:BJ)</f>
        <v>0</v>
      </c>
      <c r="BH124">
        <f>SUMIF(DeadRaw!$B:$B,$A124,DeadRaw!BK:BK)</f>
        <v>0</v>
      </c>
      <c r="BI124">
        <f>SUMIF(DeadRaw!$B:$B,$A124,DeadRaw!BL:BL)</f>
        <v>0</v>
      </c>
      <c r="BJ124">
        <f>SUMIF(DeadRaw!$B:$B,$A124,DeadRaw!BM:BM)</f>
        <v>0</v>
      </c>
      <c r="BK124">
        <f>SUMIF(DeadRaw!$B:$B,$A124,DeadRaw!BN:BN)</f>
        <v>0</v>
      </c>
      <c r="BL124">
        <f>SUMIF(DeadRaw!$B:$B,$A124,DeadRaw!BO:BO)</f>
        <v>0</v>
      </c>
      <c r="BM124">
        <f>SUMIF(DeadRaw!$B:$B,$A124,DeadRaw!BP:BP)</f>
        <v>0</v>
      </c>
      <c r="BN124">
        <f>SUMIF(DeadRaw!$B:$B,$A124,DeadRaw!BQ:BQ)</f>
        <v>0</v>
      </c>
      <c r="BO124">
        <f>SUMIF(DeadRaw!$B:$B,$A124,DeadRaw!BR:BR)</f>
        <v>0</v>
      </c>
      <c r="BP124">
        <f>SUMIF(DeadRaw!$B:$B,$A124,DeadRaw!BS:BS)</f>
        <v>0</v>
      </c>
      <c r="BQ124">
        <f>SUMIF(DeadRaw!$B:$B,$A124,DeadRaw!BT:BT)</f>
        <v>0</v>
      </c>
      <c r="BR124">
        <f>SUMIF(DeadRaw!$B:$B,$A124,DeadRaw!BU:BU)</f>
        <v>0</v>
      </c>
      <c r="BS124">
        <f>SUMIF(DeadRaw!$B:$B,$A124,DeadRaw!BV:BV)</f>
        <v>0</v>
      </c>
      <c r="BT124">
        <f>SUMIF(DeadRaw!$B:$B,$A124,DeadRaw!BW:BW)</f>
        <v>0</v>
      </c>
    </row>
    <row r="125" spans="1:72" ht="15" thickBot="1" x14ac:dyDescent="0.35">
      <c r="A125" s="3" t="s">
        <v>420</v>
      </c>
      <c r="B125">
        <f>SUMIF(DeadRaw!$B:$B,$A125,DeadRaw!E:E)</f>
        <v>0</v>
      </c>
      <c r="C125">
        <f>SUMIF(DeadRaw!$B:$B,$A125,DeadRaw!F:F)</f>
        <v>0</v>
      </c>
      <c r="D125">
        <f>SUMIF(DeadRaw!$B:$B,$A125,DeadRaw!G:G)</f>
        <v>0</v>
      </c>
      <c r="E125">
        <f>SUMIF(DeadRaw!$B:$B,$A125,DeadRaw!H:H)</f>
        <v>0</v>
      </c>
      <c r="F125">
        <f>SUMIF(DeadRaw!$B:$B,$A125,DeadRaw!I:I)</f>
        <v>0</v>
      </c>
      <c r="G125">
        <f>SUMIF(DeadRaw!$B:$B,$A125,DeadRaw!J:J)</f>
        <v>0</v>
      </c>
      <c r="H125">
        <f>SUMIF(DeadRaw!$B:$B,$A125,DeadRaw!K:K)</f>
        <v>0</v>
      </c>
      <c r="I125">
        <f>SUMIF(DeadRaw!$B:$B,$A125,DeadRaw!L:L)</f>
        <v>0</v>
      </c>
      <c r="J125">
        <f>SUMIF(DeadRaw!$B:$B,$A125,DeadRaw!M:M)</f>
        <v>0</v>
      </c>
      <c r="K125">
        <f>SUMIF(DeadRaw!$B:$B,$A125,DeadRaw!N:N)</f>
        <v>0</v>
      </c>
      <c r="L125">
        <f>SUMIF(DeadRaw!$B:$B,$A125,DeadRaw!O:O)</f>
        <v>0</v>
      </c>
      <c r="M125">
        <f>SUMIF(DeadRaw!$B:$B,$A125,DeadRaw!P:P)</f>
        <v>0</v>
      </c>
      <c r="N125">
        <f>SUMIF(DeadRaw!$B:$B,$A125,DeadRaw!Q:Q)</f>
        <v>0</v>
      </c>
      <c r="O125">
        <f>SUMIF(DeadRaw!$B:$B,$A125,DeadRaw!R:R)</f>
        <v>0</v>
      </c>
      <c r="P125">
        <f>SUMIF(DeadRaw!$B:$B,$A125,DeadRaw!S:S)</f>
        <v>0</v>
      </c>
      <c r="Q125">
        <f>SUMIF(DeadRaw!$B:$B,$A125,DeadRaw!T:T)</f>
        <v>0</v>
      </c>
      <c r="R125">
        <f>SUMIF(DeadRaw!$B:$B,$A125,DeadRaw!U:U)</f>
        <v>0</v>
      </c>
      <c r="S125">
        <f>SUMIF(DeadRaw!$B:$B,$A125,DeadRaw!V:V)</f>
        <v>0</v>
      </c>
      <c r="T125">
        <f>SUMIF(DeadRaw!$B:$B,$A125,DeadRaw!W:W)</f>
        <v>0</v>
      </c>
      <c r="U125">
        <f>SUMIF(DeadRaw!$B:$B,$A125,DeadRaw!X:X)</f>
        <v>0</v>
      </c>
      <c r="V125">
        <f>SUMIF(DeadRaw!$B:$B,$A125,DeadRaw!Y:Y)</f>
        <v>0</v>
      </c>
      <c r="W125">
        <f>SUMIF(DeadRaw!$B:$B,$A125,DeadRaw!Z:Z)</f>
        <v>0</v>
      </c>
      <c r="X125">
        <f>SUMIF(DeadRaw!$B:$B,$A125,DeadRaw!AA:AA)</f>
        <v>0</v>
      </c>
      <c r="Y125">
        <f>SUMIF(DeadRaw!$B:$B,$A125,DeadRaw!AB:AB)</f>
        <v>0</v>
      </c>
      <c r="Z125">
        <f>SUMIF(DeadRaw!$B:$B,$A125,DeadRaw!AC:AC)</f>
        <v>0</v>
      </c>
      <c r="AA125">
        <f>SUMIF(DeadRaw!$B:$B,$A125,DeadRaw!AD:AD)</f>
        <v>0</v>
      </c>
      <c r="AB125">
        <f>SUMIF(DeadRaw!$B:$B,$A125,DeadRaw!AE:AE)</f>
        <v>0</v>
      </c>
      <c r="AC125">
        <f>SUMIF(DeadRaw!$B:$B,$A125,DeadRaw!AF:AF)</f>
        <v>0</v>
      </c>
      <c r="AD125">
        <f>SUMIF(DeadRaw!$B:$B,$A125,DeadRaw!AG:AG)</f>
        <v>0</v>
      </c>
      <c r="AE125">
        <f>SUMIF(DeadRaw!$B:$B,$A125,DeadRaw!AH:AH)</f>
        <v>0</v>
      </c>
      <c r="AF125">
        <f>SUMIF(DeadRaw!$B:$B,$A125,DeadRaw!AI:AI)</f>
        <v>0</v>
      </c>
      <c r="AG125">
        <f>SUMIF(DeadRaw!$B:$B,$A125,DeadRaw!AJ:AJ)</f>
        <v>0</v>
      </c>
      <c r="AH125">
        <f>SUMIF(DeadRaw!$B:$B,$A125,DeadRaw!AK:AK)</f>
        <v>0</v>
      </c>
      <c r="AI125">
        <f>SUMIF(DeadRaw!$B:$B,$A125,DeadRaw!AL:AL)</f>
        <v>0</v>
      </c>
      <c r="AJ125">
        <f>SUMIF(DeadRaw!$B:$B,$A125,DeadRaw!AM:AM)</f>
        <v>0</v>
      </c>
      <c r="AK125">
        <f>SUMIF(DeadRaw!$B:$B,$A125,DeadRaw!AN:AN)</f>
        <v>0</v>
      </c>
      <c r="AL125">
        <f>SUMIF(DeadRaw!$B:$B,$A125,DeadRaw!AO:AO)</f>
        <v>0</v>
      </c>
      <c r="AM125">
        <f>SUMIF(DeadRaw!$B:$B,$A125,DeadRaw!AP:AP)</f>
        <v>0</v>
      </c>
      <c r="AN125">
        <f>SUMIF(DeadRaw!$B:$B,$A125,DeadRaw!AQ:AQ)</f>
        <v>0</v>
      </c>
      <c r="AO125">
        <f>SUMIF(DeadRaw!$B:$B,$A125,DeadRaw!AR:AR)</f>
        <v>0</v>
      </c>
      <c r="AP125">
        <f>SUMIF(DeadRaw!$B:$B,$A125,DeadRaw!AS:AS)</f>
        <v>0</v>
      </c>
      <c r="AQ125">
        <f>SUMIF(DeadRaw!$B:$B,$A125,DeadRaw!AT:AT)</f>
        <v>0</v>
      </c>
      <c r="AR125">
        <f>SUMIF(DeadRaw!$B:$B,$A125,DeadRaw!AU:AU)</f>
        <v>0</v>
      </c>
      <c r="AS125">
        <f>SUMIF(DeadRaw!$B:$B,$A125,DeadRaw!AV:AV)</f>
        <v>0</v>
      </c>
      <c r="AT125">
        <f>SUMIF(DeadRaw!$B:$B,$A125,DeadRaw!AW:AW)</f>
        <v>0</v>
      </c>
      <c r="AU125">
        <f>SUMIF(DeadRaw!$B:$B,$A125,DeadRaw!AX:AX)</f>
        <v>0</v>
      </c>
      <c r="AV125">
        <f>SUMIF(DeadRaw!$B:$B,$A125,DeadRaw!AY:AY)</f>
        <v>0</v>
      </c>
      <c r="AW125">
        <f>SUMIF(DeadRaw!$B:$B,$A125,DeadRaw!AZ:AZ)</f>
        <v>0</v>
      </c>
      <c r="AX125">
        <f>SUMIF(DeadRaw!$B:$B,$A125,DeadRaw!BA:BA)</f>
        <v>0</v>
      </c>
      <c r="AY125">
        <f>SUMIF(DeadRaw!$B:$B,$A125,DeadRaw!BB:BB)</f>
        <v>0</v>
      </c>
      <c r="AZ125">
        <f>SUMIF(DeadRaw!$B:$B,$A125,DeadRaw!BC:BC)</f>
        <v>0</v>
      </c>
      <c r="BA125">
        <f>SUMIF(DeadRaw!$B:$B,$A125,DeadRaw!BD:BD)</f>
        <v>1</v>
      </c>
      <c r="BB125">
        <f>SUMIF(DeadRaw!$B:$B,$A125,DeadRaw!BE:BE)</f>
        <v>1</v>
      </c>
      <c r="BC125">
        <f>SUMIF(DeadRaw!$B:$B,$A125,DeadRaw!BF:BF)</f>
        <v>1</v>
      </c>
      <c r="BD125">
        <f>SUMIF(DeadRaw!$B:$B,$A125,DeadRaw!BG:BG)</f>
        <v>1</v>
      </c>
      <c r="BE125">
        <f>SUMIF(DeadRaw!$B:$B,$A125,DeadRaw!BH:BH)</f>
        <v>1</v>
      </c>
      <c r="BF125">
        <f>SUMIF(DeadRaw!$B:$B,$A125,DeadRaw!BI:BI)</f>
        <v>1</v>
      </c>
      <c r="BG125">
        <f>SUMIF(DeadRaw!$B:$B,$A125,DeadRaw!BJ:BJ)</f>
        <v>1</v>
      </c>
      <c r="BH125">
        <f>SUMIF(DeadRaw!$B:$B,$A125,DeadRaw!BK:BK)</f>
        <v>1</v>
      </c>
      <c r="BI125">
        <f>SUMIF(DeadRaw!$B:$B,$A125,DeadRaw!BL:BL)</f>
        <v>0</v>
      </c>
      <c r="BJ125">
        <f>SUMIF(DeadRaw!$B:$B,$A125,DeadRaw!BM:BM)</f>
        <v>0</v>
      </c>
      <c r="BK125">
        <f>SUMIF(DeadRaw!$B:$B,$A125,DeadRaw!BN:BN)</f>
        <v>0</v>
      </c>
      <c r="BL125">
        <f>SUMIF(DeadRaw!$B:$B,$A125,DeadRaw!BO:BO)</f>
        <v>0</v>
      </c>
      <c r="BM125">
        <f>SUMIF(DeadRaw!$B:$B,$A125,DeadRaw!BP:BP)</f>
        <v>0</v>
      </c>
      <c r="BN125">
        <f>SUMIF(DeadRaw!$B:$B,$A125,DeadRaw!BQ:BQ)</f>
        <v>0</v>
      </c>
      <c r="BO125">
        <f>SUMIF(DeadRaw!$B:$B,$A125,DeadRaw!BR:BR)</f>
        <v>0</v>
      </c>
      <c r="BP125">
        <f>SUMIF(DeadRaw!$B:$B,$A125,DeadRaw!BS:BS)</f>
        <v>0</v>
      </c>
      <c r="BQ125">
        <f>SUMIF(DeadRaw!$B:$B,$A125,DeadRaw!BT:BT)</f>
        <v>0</v>
      </c>
      <c r="BR125">
        <f>SUMIF(DeadRaw!$B:$B,$A125,DeadRaw!BU:BU)</f>
        <v>0</v>
      </c>
      <c r="BS125">
        <f>SUMIF(DeadRaw!$B:$B,$A125,DeadRaw!BV:BV)</f>
        <v>0</v>
      </c>
      <c r="BT125">
        <f>SUMIF(DeadRaw!$B:$B,$A125,DeadRaw!BW:BW)</f>
        <v>0</v>
      </c>
    </row>
    <row r="126" spans="1:72" ht="15" thickBot="1" x14ac:dyDescent="0.35">
      <c r="A126" s="3" t="s">
        <v>163</v>
      </c>
      <c r="B126">
        <f>SUMIF(DeadRaw!$B:$B,$A126,DeadRaw!E:E)</f>
        <v>0</v>
      </c>
      <c r="C126">
        <f>SUMIF(DeadRaw!$B:$B,$A126,DeadRaw!F:F)</f>
        <v>0</v>
      </c>
      <c r="D126">
        <f>SUMIF(DeadRaw!$B:$B,$A126,DeadRaw!G:G)</f>
        <v>0</v>
      </c>
      <c r="E126">
        <f>SUMIF(DeadRaw!$B:$B,$A126,DeadRaw!H:H)</f>
        <v>0</v>
      </c>
      <c r="F126">
        <f>SUMIF(DeadRaw!$B:$B,$A126,DeadRaw!I:I)</f>
        <v>0</v>
      </c>
      <c r="G126">
        <f>SUMIF(DeadRaw!$B:$B,$A126,DeadRaw!J:J)</f>
        <v>0</v>
      </c>
      <c r="H126">
        <f>SUMIF(DeadRaw!$B:$B,$A126,DeadRaw!K:K)</f>
        <v>0</v>
      </c>
      <c r="I126">
        <f>SUMIF(DeadRaw!$B:$B,$A126,DeadRaw!L:L)</f>
        <v>0</v>
      </c>
      <c r="J126">
        <f>SUMIF(DeadRaw!$B:$B,$A126,DeadRaw!M:M)</f>
        <v>0</v>
      </c>
      <c r="K126">
        <f>SUMIF(DeadRaw!$B:$B,$A126,DeadRaw!N:N)</f>
        <v>0</v>
      </c>
      <c r="L126">
        <f>SUMIF(DeadRaw!$B:$B,$A126,DeadRaw!O:O)</f>
        <v>0</v>
      </c>
      <c r="M126">
        <f>SUMIF(DeadRaw!$B:$B,$A126,DeadRaw!P:P)</f>
        <v>0</v>
      </c>
      <c r="N126">
        <f>SUMIF(DeadRaw!$B:$B,$A126,DeadRaw!Q:Q)</f>
        <v>0</v>
      </c>
      <c r="O126">
        <f>SUMIF(DeadRaw!$B:$B,$A126,DeadRaw!R:R)</f>
        <v>0</v>
      </c>
      <c r="P126">
        <f>SUMIF(DeadRaw!$B:$B,$A126,DeadRaw!S:S)</f>
        <v>0</v>
      </c>
      <c r="Q126">
        <f>SUMIF(DeadRaw!$B:$B,$A126,DeadRaw!T:T)</f>
        <v>0</v>
      </c>
      <c r="R126">
        <f>SUMIF(DeadRaw!$B:$B,$A126,DeadRaw!U:U)</f>
        <v>0</v>
      </c>
      <c r="S126">
        <f>SUMIF(DeadRaw!$B:$B,$A126,DeadRaw!V:V)</f>
        <v>0</v>
      </c>
      <c r="T126">
        <f>SUMIF(DeadRaw!$B:$B,$A126,DeadRaw!W:W)</f>
        <v>0</v>
      </c>
      <c r="U126">
        <f>SUMIF(DeadRaw!$B:$B,$A126,DeadRaw!X:X)</f>
        <v>0</v>
      </c>
      <c r="V126">
        <f>SUMIF(DeadRaw!$B:$B,$A126,DeadRaw!Y:Y)</f>
        <v>0</v>
      </c>
      <c r="W126">
        <f>SUMIF(DeadRaw!$B:$B,$A126,DeadRaw!Z:Z)</f>
        <v>0</v>
      </c>
      <c r="X126">
        <f>SUMIF(DeadRaw!$B:$B,$A126,DeadRaw!AA:AA)</f>
        <v>0</v>
      </c>
      <c r="Y126">
        <f>SUMIF(DeadRaw!$B:$B,$A126,DeadRaw!AB:AB)</f>
        <v>0</v>
      </c>
      <c r="Z126">
        <f>SUMIF(DeadRaw!$B:$B,$A126,DeadRaw!AC:AC)</f>
        <v>0</v>
      </c>
      <c r="AA126">
        <f>SUMIF(DeadRaw!$B:$B,$A126,DeadRaw!AD:AD)</f>
        <v>0</v>
      </c>
      <c r="AB126">
        <f>SUMIF(DeadRaw!$B:$B,$A126,DeadRaw!AE:AE)</f>
        <v>0</v>
      </c>
      <c r="AC126">
        <f>SUMIF(DeadRaw!$B:$B,$A126,DeadRaw!AF:AF)</f>
        <v>0</v>
      </c>
      <c r="AD126">
        <f>SUMIF(DeadRaw!$B:$B,$A126,DeadRaw!AG:AG)</f>
        <v>0</v>
      </c>
      <c r="AE126">
        <f>SUMIF(DeadRaw!$B:$B,$A126,DeadRaw!AH:AH)</f>
        <v>0</v>
      </c>
      <c r="AF126">
        <f>SUMIF(DeadRaw!$B:$B,$A126,DeadRaw!AI:AI)</f>
        <v>0</v>
      </c>
      <c r="AG126">
        <f>SUMIF(DeadRaw!$B:$B,$A126,DeadRaw!AJ:AJ)</f>
        <v>0</v>
      </c>
      <c r="AH126">
        <f>SUMIF(DeadRaw!$B:$B,$A126,DeadRaw!AK:AK)</f>
        <v>0</v>
      </c>
      <c r="AI126">
        <f>SUMIF(DeadRaw!$B:$B,$A126,DeadRaw!AL:AL)</f>
        <v>0</v>
      </c>
      <c r="AJ126">
        <f>SUMIF(DeadRaw!$B:$B,$A126,DeadRaw!AM:AM)</f>
        <v>0</v>
      </c>
      <c r="AK126">
        <f>SUMIF(DeadRaw!$B:$B,$A126,DeadRaw!AN:AN)</f>
        <v>0</v>
      </c>
      <c r="AL126">
        <f>SUMIF(DeadRaw!$B:$B,$A126,DeadRaw!AO:AO)</f>
        <v>0</v>
      </c>
      <c r="AM126">
        <f>SUMIF(DeadRaw!$B:$B,$A126,DeadRaw!AP:AP)</f>
        <v>0</v>
      </c>
      <c r="AN126">
        <f>SUMIF(DeadRaw!$B:$B,$A126,DeadRaw!AQ:AQ)</f>
        <v>0</v>
      </c>
      <c r="AO126">
        <f>SUMIF(DeadRaw!$B:$B,$A126,DeadRaw!AR:AR)</f>
        <v>0</v>
      </c>
      <c r="AP126">
        <f>SUMIF(DeadRaw!$B:$B,$A126,DeadRaw!AS:AS)</f>
        <v>0</v>
      </c>
      <c r="AQ126">
        <f>SUMIF(DeadRaw!$B:$B,$A126,DeadRaw!AT:AT)</f>
        <v>0</v>
      </c>
      <c r="AR126">
        <f>SUMIF(DeadRaw!$B:$B,$A126,DeadRaw!AU:AU)</f>
        <v>0</v>
      </c>
      <c r="AS126">
        <f>SUMIF(DeadRaw!$B:$B,$A126,DeadRaw!AV:AV)</f>
        <v>0</v>
      </c>
      <c r="AT126">
        <f>SUMIF(DeadRaw!$B:$B,$A126,DeadRaw!AW:AW)</f>
        <v>0</v>
      </c>
      <c r="AU126">
        <f>SUMIF(DeadRaw!$B:$B,$A126,DeadRaw!AX:AX)</f>
        <v>0</v>
      </c>
      <c r="AV126">
        <f>SUMIF(DeadRaw!$B:$B,$A126,DeadRaw!AY:AY)</f>
        <v>0</v>
      </c>
      <c r="AW126">
        <f>SUMIF(DeadRaw!$B:$B,$A126,DeadRaw!AZ:AZ)</f>
        <v>0</v>
      </c>
      <c r="AX126">
        <f>SUMIF(DeadRaw!$B:$B,$A126,DeadRaw!BA:BA)</f>
        <v>0</v>
      </c>
      <c r="AY126">
        <f>SUMIF(DeadRaw!$B:$B,$A126,DeadRaw!BB:BB)</f>
        <v>0</v>
      </c>
      <c r="AZ126">
        <f>SUMIF(DeadRaw!$B:$B,$A126,DeadRaw!BC:BC)</f>
        <v>0</v>
      </c>
      <c r="BA126">
        <f>SUMIF(DeadRaw!$B:$B,$A126,DeadRaw!BD:BD)</f>
        <v>0</v>
      </c>
      <c r="BB126">
        <f>SUMIF(DeadRaw!$B:$B,$A126,DeadRaw!BE:BE)</f>
        <v>0</v>
      </c>
      <c r="BC126">
        <f>SUMIF(DeadRaw!$B:$B,$A126,DeadRaw!BF:BF)</f>
        <v>0</v>
      </c>
      <c r="BD126">
        <f>SUMIF(DeadRaw!$B:$B,$A126,DeadRaw!BG:BG)</f>
        <v>0</v>
      </c>
      <c r="BE126">
        <f>SUMIF(DeadRaw!$B:$B,$A126,DeadRaw!BH:BH)</f>
        <v>0</v>
      </c>
      <c r="BF126">
        <f>SUMIF(DeadRaw!$B:$B,$A126,DeadRaw!BI:BI)</f>
        <v>0</v>
      </c>
      <c r="BG126">
        <f>SUMIF(DeadRaw!$B:$B,$A126,DeadRaw!BJ:BJ)</f>
        <v>0</v>
      </c>
      <c r="BH126">
        <f>SUMIF(DeadRaw!$B:$B,$A126,DeadRaw!BK:BK)</f>
        <v>0</v>
      </c>
      <c r="BI126">
        <f>SUMIF(DeadRaw!$B:$B,$A126,DeadRaw!BL:BL)</f>
        <v>0</v>
      </c>
      <c r="BJ126">
        <f>SUMIF(DeadRaw!$B:$B,$A126,DeadRaw!BM:BM)</f>
        <v>0</v>
      </c>
      <c r="BK126">
        <f>SUMIF(DeadRaw!$B:$B,$A126,DeadRaw!BN:BN)</f>
        <v>0</v>
      </c>
      <c r="BL126">
        <f>SUMIF(DeadRaw!$B:$B,$A126,DeadRaw!BO:BO)</f>
        <v>0</v>
      </c>
      <c r="BM126">
        <f>SUMIF(DeadRaw!$B:$B,$A126,DeadRaw!BP:BP)</f>
        <v>0</v>
      </c>
      <c r="BN126">
        <f>SUMIF(DeadRaw!$B:$B,$A126,DeadRaw!BQ:BQ)</f>
        <v>0</v>
      </c>
      <c r="BO126">
        <f>SUMIF(DeadRaw!$B:$B,$A126,DeadRaw!BR:BR)</f>
        <v>0</v>
      </c>
      <c r="BP126">
        <f>SUMIF(DeadRaw!$B:$B,$A126,DeadRaw!BS:BS)</f>
        <v>0</v>
      </c>
      <c r="BQ126">
        <f>SUMIF(DeadRaw!$B:$B,$A126,DeadRaw!BT:BT)</f>
        <v>0</v>
      </c>
      <c r="BR126">
        <f>SUMIF(DeadRaw!$B:$B,$A126,DeadRaw!BU:BU)</f>
        <v>0</v>
      </c>
      <c r="BS126">
        <f>SUMIF(DeadRaw!$B:$B,$A126,DeadRaw!BV:BV)</f>
        <v>0</v>
      </c>
      <c r="BT126">
        <f>SUMIF(DeadRaw!$B:$B,$A126,DeadRaw!BW:BW)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K478"/>
  <sheetViews>
    <sheetView workbookViewId="0">
      <selection sqref="A1:CA1000"/>
    </sheetView>
  </sheetViews>
  <sheetFormatPr defaultRowHeight="14.4" x14ac:dyDescent="0.3"/>
  <cols>
    <col min="5" max="61" width="10.5546875" bestFit="1" customWidth="1"/>
  </cols>
  <sheetData>
    <row r="1" spans="1:63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</row>
    <row r="2" spans="1:63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</row>
    <row r="3" spans="1:63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</row>
    <row r="4" spans="1:63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</row>
    <row r="5" spans="1:63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</row>
    <row r="6" spans="1:63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</row>
    <row r="7" spans="1:63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</row>
    <row r="8" spans="1:63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</row>
    <row r="9" spans="1:63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</row>
    <row r="10" spans="1:63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</row>
    <row r="11" spans="1:63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</row>
    <row r="12" spans="1:63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</row>
    <row r="13" spans="1:63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</row>
    <row r="14" spans="1:63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</row>
    <row r="15" spans="1:63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</row>
    <row r="16" spans="1:63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</row>
    <row r="17" spans="1:63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</row>
    <row r="18" spans="1:63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</row>
    <row r="19" spans="1:63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</row>
    <row r="20" spans="1:63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</row>
    <row r="21" spans="1:63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</row>
    <row r="22" spans="1:63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</row>
    <row r="23" spans="1:63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</row>
    <row r="24" spans="1:63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</row>
    <row r="25" spans="1:63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</row>
    <row r="26" spans="1:63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</row>
    <row r="27" spans="1:63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</row>
    <row r="28" spans="1:63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</row>
    <row r="29" spans="1:63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</row>
    <row r="30" spans="1:63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</row>
    <row r="31" spans="1:63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</row>
    <row r="32" spans="1:63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</row>
    <row r="33" spans="2:63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</row>
    <row r="34" spans="2:63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</row>
    <row r="35" spans="2:63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</row>
    <row r="36" spans="2:63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</row>
    <row r="37" spans="2:63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</row>
    <row r="38" spans="2:63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</row>
    <row r="39" spans="2:63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</row>
    <row r="40" spans="2:63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</row>
    <row r="41" spans="2:63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</row>
    <row r="42" spans="2:63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</row>
    <row r="43" spans="2:63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</row>
    <row r="44" spans="2:63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</row>
    <row r="45" spans="2:63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</row>
    <row r="46" spans="2:63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</row>
    <row r="47" spans="2:63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</row>
    <row r="48" spans="2:63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</row>
    <row r="49" spans="1:63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</row>
    <row r="50" spans="1:63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</row>
    <row r="51" spans="1:63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</row>
    <row r="52" spans="1:63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</row>
    <row r="53" spans="1:63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</row>
    <row r="54" spans="1:63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</row>
    <row r="55" spans="1:63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</row>
    <row r="56" spans="1:63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</row>
    <row r="57" spans="1:63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</row>
    <row r="58" spans="1:63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</row>
    <row r="59" spans="1:63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</row>
    <row r="60" spans="1:63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</row>
    <row r="61" spans="1:63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</row>
    <row r="62" spans="1:63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</row>
    <row r="63" spans="1:63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</row>
    <row r="64" spans="1:63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</row>
    <row r="65" spans="1:63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</row>
    <row r="66" spans="1:63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</row>
    <row r="67" spans="1:63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</row>
    <row r="68" spans="1:63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</row>
    <row r="69" spans="1:63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</row>
    <row r="70" spans="1:63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</row>
    <row r="71" spans="1:63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</row>
    <row r="72" spans="1:63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</row>
    <row r="73" spans="1:63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</row>
    <row r="74" spans="1:63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</row>
    <row r="75" spans="1:63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</row>
    <row r="76" spans="1:63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</row>
    <row r="77" spans="1:63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</row>
    <row r="78" spans="1:63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</row>
    <row r="79" spans="1:63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</row>
    <row r="80" spans="1:63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</row>
    <row r="81" spans="1:63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</row>
    <row r="82" spans="1:63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</row>
    <row r="83" spans="1:63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</row>
    <row r="84" spans="1:63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</row>
    <row r="85" spans="1:63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</row>
    <row r="86" spans="1:63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</row>
    <row r="87" spans="1:63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</row>
    <row r="88" spans="1:63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</row>
    <row r="89" spans="1:63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</row>
    <row r="90" spans="1:63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</row>
    <row r="91" spans="1:63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</row>
    <row r="92" spans="1:63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</row>
    <row r="93" spans="1:63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</row>
    <row r="94" spans="1:63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</row>
    <row r="95" spans="1:63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</row>
    <row r="96" spans="1:63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</row>
    <row r="97" spans="1:63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</row>
    <row r="98" spans="1:63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</row>
    <row r="99" spans="1:63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</row>
    <row r="100" spans="1:63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</row>
    <row r="101" spans="1:63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</row>
    <row r="102" spans="1:63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</row>
    <row r="103" spans="1:63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</row>
    <row r="104" spans="1:63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</row>
    <row r="105" spans="1:63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</row>
    <row r="106" spans="1:63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</row>
    <row r="107" spans="1:63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</row>
    <row r="108" spans="1:63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</row>
    <row r="109" spans="1:63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</row>
    <row r="110" spans="1:63" x14ac:dyDescent="0.3">
      <c r="A110" t="s">
        <v>253</v>
      </c>
      <c r="B110" t="s">
        <v>38</v>
      </c>
      <c r="C110">
        <v>44.572000000000003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</row>
    <row r="111" spans="1:63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</row>
    <row r="112" spans="1:63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</row>
    <row r="113" spans="1:63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</row>
    <row r="114" spans="1:63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</row>
    <row r="115" spans="1:63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</row>
    <row r="116" spans="1:63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</row>
    <row r="117" spans="1:63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</row>
    <row r="118" spans="1:63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</row>
    <row r="119" spans="1:63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</row>
    <row r="120" spans="1:63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</row>
    <row r="121" spans="1:63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</row>
    <row r="122" spans="1:63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</row>
    <row r="123" spans="1:63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</row>
    <row r="124" spans="1:63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</row>
    <row r="125" spans="1:63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</row>
    <row r="126" spans="1:63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</row>
    <row r="127" spans="1:63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</row>
    <row r="128" spans="1:63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</row>
    <row r="129" spans="1:63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</row>
    <row r="130" spans="1:63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</row>
    <row r="131" spans="1:63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</row>
    <row r="132" spans="1:63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</row>
    <row r="133" spans="1:63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</row>
    <row r="134" spans="1:63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</row>
    <row r="135" spans="1:63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</row>
    <row r="136" spans="1:63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</row>
    <row r="137" spans="1:63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</row>
    <row r="138" spans="1:63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</row>
    <row r="139" spans="1:63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</row>
    <row r="140" spans="1:63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</row>
    <row r="141" spans="1:63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</row>
    <row r="142" spans="1:63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</row>
    <row r="143" spans="1:63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</row>
    <row r="144" spans="1:63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</row>
    <row r="145" spans="1:63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</row>
    <row r="146" spans="1:63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</row>
    <row r="147" spans="1:63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</row>
    <row r="148" spans="1:63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</row>
    <row r="149" spans="1:63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</row>
    <row r="150" spans="1:63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</row>
    <row r="151" spans="1:63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</row>
    <row r="152" spans="1:63" x14ac:dyDescent="0.3">
      <c r="A152" t="s">
        <v>297</v>
      </c>
      <c r="B152" t="s">
        <v>38</v>
      </c>
      <c r="C152">
        <v>47.5289</v>
      </c>
      <c r="D152">
        <v>-99.784000000000006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</row>
    <row r="153" spans="1:63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</row>
    <row r="154" spans="1:63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</row>
    <row r="155" spans="1:63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</row>
    <row r="156" spans="1:63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</row>
    <row r="157" spans="1:63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</row>
    <row r="158" spans="1:63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</row>
    <row r="159" spans="1:63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</row>
    <row r="160" spans="1:63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</row>
    <row r="161" spans="1:63" x14ac:dyDescent="0.3">
      <c r="A161" t="s">
        <v>15</v>
      </c>
      <c r="B161" t="s">
        <v>337</v>
      </c>
      <c r="C161">
        <v>33.881999999999998</v>
      </c>
      <c r="D161">
        <v>113.614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</row>
    <row r="162" spans="1:63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</row>
    <row r="163" spans="1:63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</row>
    <row r="164" spans="1:63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</row>
    <row r="165" spans="1:63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</row>
    <row r="166" spans="1:63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</row>
    <row r="167" spans="1:63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</row>
    <row r="168" spans="1:63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</row>
    <row r="169" spans="1:63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</row>
    <row r="170" spans="1:63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</row>
    <row r="171" spans="1:63" x14ac:dyDescent="0.3">
      <c r="A171" t="s">
        <v>14</v>
      </c>
      <c r="B171" t="s">
        <v>337</v>
      </c>
      <c r="C171">
        <v>47.862000000000002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</row>
    <row r="172" spans="1:63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</row>
    <row r="173" spans="1:63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</row>
    <row r="174" spans="1:63" x14ac:dyDescent="0.3">
      <c r="A174" t="s">
        <v>27</v>
      </c>
      <c r="B174" t="s">
        <v>337</v>
      </c>
      <c r="C174">
        <v>31.202000000000002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</row>
    <row r="175" spans="1:63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</row>
    <row r="176" spans="1:63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</row>
    <row r="177" spans="1:63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</row>
    <row r="178" spans="1:63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</row>
    <row r="179" spans="1:63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</row>
    <row r="180" spans="1:63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</row>
    <row r="181" spans="1:63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</row>
    <row r="182" spans="1:63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</row>
    <row r="183" spans="1:63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</row>
    <row r="184" spans="1:63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</row>
    <row r="185" spans="1:63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</row>
    <row r="186" spans="1:63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</row>
    <row r="187" spans="1:63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</row>
    <row r="188" spans="1:63" x14ac:dyDescent="0.3">
      <c r="B188" t="s">
        <v>341</v>
      </c>
      <c r="C188">
        <v>49.817500000000003</v>
      </c>
      <c r="D188">
        <v>15.473000000000001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</row>
    <row r="189" spans="1:63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</row>
    <row r="190" spans="1:63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</row>
    <row r="191" spans="1:63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</row>
    <row r="192" spans="1:63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</row>
    <row r="193" spans="1:63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</row>
    <row r="194" spans="1:63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</row>
    <row r="195" spans="1:63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</row>
    <row r="196" spans="1:63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</row>
    <row r="197" spans="1:63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</row>
    <row r="198" spans="1:63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</row>
    <row r="199" spans="1:63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</row>
    <row r="200" spans="1:63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</row>
    <row r="201" spans="1:63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</row>
    <row r="202" spans="1:63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</row>
    <row r="203" spans="1:63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</row>
    <row r="204" spans="1:63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</row>
    <row r="205" spans="1:63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</row>
    <row r="206" spans="1:63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</row>
    <row r="207" spans="1:63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</row>
    <row r="208" spans="1:63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</row>
    <row r="209" spans="1:63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</row>
    <row r="210" spans="1:63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</row>
    <row r="211" spans="1:63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</row>
    <row r="212" spans="1:63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</row>
    <row r="213" spans="1:63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</row>
    <row r="214" spans="1:63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</row>
    <row r="215" spans="1:63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</row>
    <row r="216" spans="1:63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</row>
    <row r="217" spans="1:63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</row>
    <row r="218" spans="1:63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</row>
    <row r="219" spans="1:63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</row>
    <row r="220" spans="1:63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</row>
    <row r="221" spans="1:63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</row>
    <row r="222" spans="1:63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</row>
    <row r="223" spans="1:63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</row>
    <row r="224" spans="1:63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</row>
    <row r="225" spans="1:63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</row>
    <row r="226" spans="1:63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</row>
    <row r="227" spans="1:63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</row>
    <row r="228" spans="1:63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</row>
    <row r="229" spans="1:63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</row>
    <row r="230" spans="1:63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</row>
    <row r="231" spans="1:63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</row>
    <row r="232" spans="1:63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</row>
    <row r="233" spans="1:63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</row>
    <row r="234" spans="1:63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</row>
    <row r="235" spans="1:63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</row>
    <row r="236" spans="1:63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</row>
    <row r="237" spans="1:63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</row>
    <row r="238" spans="1:63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</row>
    <row r="239" spans="1:63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</row>
    <row r="240" spans="1:63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</row>
    <row r="241" spans="1:63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</row>
    <row r="242" spans="1:63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</row>
    <row r="243" spans="1:63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</row>
    <row r="244" spans="1:63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</row>
    <row r="245" spans="1:63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</row>
    <row r="246" spans="1:63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</row>
    <row r="247" spans="1:63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</row>
    <row r="248" spans="1:63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</row>
    <row r="249" spans="1:63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</row>
    <row r="250" spans="1:63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</row>
    <row r="251" spans="1:63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</row>
    <row r="252" spans="1:63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</row>
    <row r="253" spans="1:63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</row>
    <row r="254" spans="1:63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</row>
    <row r="255" spans="1:63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</row>
    <row r="256" spans="1:63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</row>
    <row r="257" spans="1:63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</row>
    <row r="258" spans="1:63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</row>
    <row r="259" spans="1:63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</row>
    <row r="260" spans="1:63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</row>
    <row r="261" spans="1:63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</row>
    <row r="262" spans="1:63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</row>
    <row r="263" spans="1:63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</row>
    <row r="264" spans="1:63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</row>
    <row r="265" spans="1:63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</row>
    <row r="266" spans="1:63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</row>
    <row r="267" spans="1:63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</row>
    <row r="268" spans="1:63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</row>
    <row r="269" spans="1:63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</row>
    <row r="270" spans="1:63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</row>
    <row r="271" spans="1:63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</row>
    <row r="272" spans="1:63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</row>
    <row r="273" spans="1:63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</row>
    <row r="274" spans="1:63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</row>
    <row r="275" spans="1:63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</row>
    <row r="276" spans="1:63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</row>
    <row r="277" spans="1:63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</row>
    <row r="278" spans="1:63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</row>
    <row r="279" spans="1:63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</row>
    <row r="280" spans="1:63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</row>
    <row r="281" spans="1:63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</row>
    <row r="282" spans="1:63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</row>
    <row r="283" spans="1:63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</row>
    <row r="284" spans="1:63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</row>
    <row r="285" spans="1:63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</row>
    <row r="286" spans="1:63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</row>
    <row r="287" spans="1:63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</row>
    <row r="288" spans="1:63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</row>
    <row r="289" spans="1:63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</row>
    <row r="290" spans="1:63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</row>
    <row r="291" spans="1:63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</row>
    <row r="292" spans="1:63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</row>
    <row r="293" spans="1:63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</row>
    <row r="294" spans="1:63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</row>
    <row r="295" spans="1:63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</row>
    <row r="296" spans="1:63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</row>
    <row r="297" spans="1:63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</row>
    <row r="298" spans="1:63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</row>
    <row r="299" spans="1:63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</row>
    <row r="300" spans="1:63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</row>
    <row r="301" spans="1:63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</row>
    <row r="302" spans="1:63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</row>
    <row r="303" spans="1:63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</row>
    <row r="304" spans="1:63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</row>
    <row r="305" spans="1:63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</row>
    <row r="306" spans="1:63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</row>
    <row r="307" spans="1:63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</row>
    <row r="308" spans="1:63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</row>
    <row r="309" spans="1:63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</row>
    <row r="310" spans="1:63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</row>
    <row r="311" spans="1:63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</row>
    <row r="312" spans="1:63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</row>
    <row r="313" spans="1:63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</row>
    <row r="314" spans="1:63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</row>
    <row r="315" spans="1:63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</row>
    <row r="316" spans="1:63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</row>
    <row r="317" spans="1:63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</row>
    <row r="318" spans="1:63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</row>
    <row r="319" spans="1:63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</row>
    <row r="320" spans="1:63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</row>
    <row r="321" spans="1:63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</row>
    <row r="322" spans="1:63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</row>
    <row r="323" spans="1:63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</row>
    <row r="324" spans="1:63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</row>
    <row r="325" spans="1:63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</row>
    <row r="326" spans="1:63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</row>
    <row r="327" spans="1:63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</row>
    <row r="328" spans="1:63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</row>
    <row r="329" spans="1:63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</row>
    <row r="330" spans="1:63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</row>
    <row r="331" spans="1:63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</row>
    <row r="332" spans="1:63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</row>
    <row r="333" spans="1:63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</row>
    <row r="334" spans="1:63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</row>
    <row r="335" spans="1:63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</row>
    <row r="336" spans="1:63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</row>
    <row r="337" spans="1:63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</row>
    <row r="338" spans="1:63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</row>
    <row r="339" spans="1:63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</row>
    <row r="340" spans="1:63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</row>
    <row r="341" spans="1:63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</row>
    <row r="342" spans="1:63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</row>
    <row r="343" spans="1:63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</row>
    <row r="344" spans="1:63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</row>
    <row r="345" spans="1:63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</row>
    <row r="346" spans="1:63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</row>
    <row r="347" spans="1:63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</row>
    <row r="348" spans="1:63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</row>
    <row r="349" spans="1:63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</row>
    <row r="350" spans="1:63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</row>
    <row r="351" spans="1:63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</row>
    <row r="352" spans="1:63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</row>
    <row r="353" spans="1:63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</row>
    <row r="354" spans="1:63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</row>
    <row r="355" spans="1:63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</row>
    <row r="356" spans="1:63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</row>
    <row r="357" spans="1:63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</row>
    <row r="358" spans="1:63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</row>
    <row r="359" spans="1:63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</row>
    <row r="360" spans="1:63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</row>
    <row r="361" spans="1:63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</row>
    <row r="362" spans="1:63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</row>
    <row r="363" spans="1:63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</row>
    <row r="364" spans="1:63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</row>
    <row r="365" spans="1:63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</row>
    <row r="366" spans="1:63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</row>
    <row r="367" spans="1:63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</row>
    <row r="368" spans="1:63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</row>
    <row r="369" spans="1:63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</row>
    <row r="370" spans="1:63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</row>
    <row r="371" spans="1:63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</row>
    <row r="372" spans="1:63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</row>
    <row r="373" spans="1:63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</row>
    <row r="374" spans="1:63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</row>
    <row r="375" spans="1:63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</row>
    <row r="376" spans="1:63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</row>
    <row r="377" spans="1:63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</row>
    <row r="378" spans="1:63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</row>
    <row r="379" spans="1:63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</row>
    <row r="380" spans="1:63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</row>
    <row r="381" spans="1:63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</row>
    <row r="382" spans="1:63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</row>
    <row r="383" spans="1:63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</row>
    <row r="384" spans="1:63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</row>
    <row r="385" spans="1:63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</row>
    <row r="386" spans="1:63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</row>
    <row r="387" spans="1:63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</row>
    <row r="388" spans="1:63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</row>
    <row r="389" spans="1:63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</row>
    <row r="390" spans="1:63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</row>
    <row r="391" spans="1:63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</row>
    <row r="392" spans="1:63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</row>
    <row r="393" spans="1:63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</row>
    <row r="394" spans="1:63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</row>
    <row r="395" spans="1:63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</row>
    <row r="396" spans="1:63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</row>
    <row r="397" spans="1:63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</row>
    <row r="398" spans="1:63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</row>
    <row r="399" spans="1:63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</row>
    <row r="400" spans="1:63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</row>
    <row r="401" spans="1:63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</row>
    <row r="402" spans="1:63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</row>
    <row r="403" spans="1:63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</row>
    <row r="404" spans="1:63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</row>
    <row r="405" spans="1:63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</row>
    <row r="406" spans="1:63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</row>
    <row r="407" spans="1:63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</row>
    <row r="408" spans="1:63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</row>
    <row r="409" spans="1:63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</row>
    <row r="410" spans="1:63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</row>
    <row r="411" spans="1:63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</row>
    <row r="412" spans="1:63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</row>
    <row r="413" spans="1:63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</row>
    <row r="414" spans="1:63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</row>
    <row r="415" spans="1:63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</row>
    <row r="416" spans="1:63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</row>
    <row r="417" spans="1:63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</row>
    <row r="418" spans="1:63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</row>
    <row r="419" spans="1:63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</row>
    <row r="420" spans="1:63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</row>
    <row r="421" spans="1:63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</row>
    <row r="422" spans="1:63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</row>
    <row r="423" spans="1:63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</row>
    <row r="424" spans="1:63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</row>
    <row r="425" spans="1:63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</row>
    <row r="426" spans="1:63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</row>
    <row r="427" spans="1:63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</row>
    <row r="428" spans="1:63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</row>
    <row r="429" spans="1:63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</row>
    <row r="430" spans="1:63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</row>
    <row r="431" spans="1:63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</row>
    <row r="432" spans="1:63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</row>
    <row r="433" spans="1:63" x14ac:dyDescent="0.3">
      <c r="A433" t="s">
        <v>458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</row>
    <row r="434" spans="1:63" x14ac:dyDescent="0.3">
      <c r="B434" t="s">
        <v>459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</row>
    <row r="435" spans="1:63" x14ac:dyDescent="0.3">
      <c r="A435" t="s">
        <v>460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</row>
    <row r="436" spans="1:63" x14ac:dyDescent="0.3">
      <c r="A436" t="s">
        <v>461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</row>
    <row r="437" spans="1:63" x14ac:dyDescent="0.3">
      <c r="B437" t="s">
        <v>462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</row>
    <row r="438" spans="1:63" x14ac:dyDescent="0.3">
      <c r="B438" t="s">
        <v>463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</row>
    <row r="439" spans="1:63" x14ac:dyDescent="0.3">
      <c r="B439" t="s">
        <v>464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</row>
    <row r="440" spans="1:63" x14ac:dyDescent="0.3">
      <c r="A440" t="s">
        <v>465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</row>
    <row r="441" spans="1:63" x14ac:dyDescent="0.3">
      <c r="B441" t="s">
        <v>466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</row>
    <row r="442" spans="1:63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</row>
    <row r="443" spans="1:63" x14ac:dyDescent="0.3">
      <c r="A443" t="s">
        <v>469</v>
      </c>
      <c r="B443" t="s">
        <v>45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</row>
    <row r="444" spans="1:63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</row>
    <row r="445" spans="1:63" x14ac:dyDescent="0.3">
      <c r="B445" t="s">
        <v>470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</row>
    <row r="446" spans="1:63" x14ac:dyDescent="0.3">
      <c r="B446" t="s">
        <v>472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</row>
    <row r="447" spans="1:63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</row>
    <row r="448" spans="1:63" x14ac:dyDescent="0.3">
      <c r="B448" t="s">
        <v>473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</row>
    <row r="449" spans="1:63" x14ac:dyDescent="0.3">
      <c r="B449" t="s">
        <v>474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</row>
    <row r="450" spans="1:63" x14ac:dyDescent="0.3">
      <c r="A450" t="s">
        <v>475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</row>
    <row r="451" spans="1:63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</row>
    <row r="452" spans="1:63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</row>
    <row r="453" spans="1:63" x14ac:dyDescent="0.3">
      <c r="B453" t="s">
        <v>487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</row>
    <row r="454" spans="1:63" x14ac:dyDescent="0.3">
      <c r="B454" t="s">
        <v>486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</row>
    <row r="455" spans="1:63" x14ac:dyDescent="0.3">
      <c r="B455" t="s">
        <v>483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</row>
    <row r="456" spans="1:63" x14ac:dyDescent="0.3">
      <c r="B456" t="s">
        <v>484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</row>
    <row r="457" spans="1:63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</row>
    <row r="458" spans="1:63" x14ac:dyDescent="0.3">
      <c r="B458" t="s">
        <v>482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</row>
    <row r="459" spans="1:63" x14ac:dyDescent="0.3">
      <c r="B459" t="s">
        <v>485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</row>
    <row r="460" spans="1:63" x14ac:dyDescent="0.3">
      <c r="B460" t="s">
        <v>515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</row>
    <row r="461" spans="1:63" x14ac:dyDescent="0.3">
      <c r="A461" t="s">
        <v>488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</row>
    <row r="462" spans="1:63" x14ac:dyDescent="0.3">
      <c r="B462" t="s">
        <v>526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</row>
    <row r="463" spans="1:63" x14ac:dyDescent="0.3">
      <c r="A463" t="s">
        <v>471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</row>
    <row r="464" spans="1:63" x14ac:dyDescent="0.3">
      <c r="A464" t="s">
        <v>527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</row>
    <row r="465" spans="1:63" x14ac:dyDescent="0.3">
      <c r="A465" t="s">
        <v>528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</row>
    <row r="466" spans="1:63" x14ac:dyDescent="0.3">
      <c r="B466" t="s">
        <v>529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</row>
    <row r="467" spans="1:63" x14ac:dyDescent="0.3">
      <c r="B467" t="s">
        <v>530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</row>
    <row r="468" spans="1:63" x14ac:dyDescent="0.3">
      <c r="B468" t="s">
        <v>531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</row>
    <row r="469" spans="1:63" x14ac:dyDescent="0.3">
      <c r="B469" t="s">
        <v>532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</row>
    <row r="470" spans="1:63" x14ac:dyDescent="0.3">
      <c r="B470" t="s">
        <v>537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</row>
    <row r="471" spans="1:63" x14ac:dyDescent="0.3">
      <c r="B471" t="s">
        <v>538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</row>
    <row r="472" spans="1:63" x14ac:dyDescent="0.3">
      <c r="B472" t="s">
        <v>539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</row>
    <row r="473" spans="1:63" x14ac:dyDescent="0.3">
      <c r="B473" t="s">
        <v>540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</row>
    <row r="474" spans="1:63" x14ac:dyDescent="0.3">
      <c r="A474" t="s">
        <v>541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</row>
    <row r="475" spans="1:63" x14ac:dyDescent="0.3">
      <c r="B475" t="s">
        <v>542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</row>
    <row r="476" spans="1:63" x14ac:dyDescent="0.3">
      <c r="B476" t="s">
        <v>543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</row>
    <row r="477" spans="1:63" x14ac:dyDescent="0.3">
      <c r="A477" t="s">
        <v>544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</row>
    <row r="478" spans="1:63" x14ac:dyDescent="0.3">
      <c r="B478" t="s">
        <v>545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BK478"/>
  <sheetViews>
    <sheetView workbookViewId="0">
      <selection sqref="A1:CA1000"/>
    </sheetView>
  </sheetViews>
  <sheetFormatPr defaultRowHeight="14.4" x14ac:dyDescent="0.3"/>
  <sheetData>
    <row r="1" spans="1:63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</row>
    <row r="2" spans="1:63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1</v>
      </c>
      <c r="AZ2">
        <v>1</v>
      </c>
      <c r="BA2">
        <v>1</v>
      </c>
      <c r="BB2">
        <v>1</v>
      </c>
      <c r="BC2">
        <v>1</v>
      </c>
      <c r="BD2">
        <v>1</v>
      </c>
      <c r="BE2">
        <v>1</v>
      </c>
      <c r="BF2">
        <v>1</v>
      </c>
      <c r="BG2">
        <v>1</v>
      </c>
      <c r="BH2">
        <v>1</v>
      </c>
      <c r="BI2">
        <v>1</v>
      </c>
      <c r="BJ2">
        <v>1</v>
      </c>
      <c r="BK2">
        <v>1</v>
      </c>
    </row>
    <row r="3" spans="1:63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2</v>
      </c>
      <c r="AO3">
        <v>4</v>
      </c>
      <c r="AP3">
        <v>4</v>
      </c>
      <c r="AQ3">
        <v>5</v>
      </c>
      <c r="AR3">
        <v>6</v>
      </c>
      <c r="AS3">
        <v>6</v>
      </c>
      <c r="AT3">
        <v>6</v>
      </c>
      <c r="AU3">
        <v>6</v>
      </c>
      <c r="AV3">
        <v>6</v>
      </c>
      <c r="AW3">
        <v>6</v>
      </c>
      <c r="AX3">
        <v>6</v>
      </c>
      <c r="AY3">
        <v>6</v>
      </c>
      <c r="AZ3">
        <v>10</v>
      </c>
      <c r="BA3">
        <v>10</v>
      </c>
      <c r="BB3">
        <v>15</v>
      </c>
      <c r="BC3">
        <v>16</v>
      </c>
      <c r="BD3">
        <v>19</v>
      </c>
      <c r="BE3">
        <v>22</v>
      </c>
      <c r="BF3">
        <v>22</v>
      </c>
      <c r="BG3">
        <v>27</v>
      </c>
      <c r="BH3">
        <v>29</v>
      </c>
      <c r="BI3">
        <v>29</v>
      </c>
      <c r="BJ3">
        <v>29</v>
      </c>
      <c r="BK3">
        <v>33</v>
      </c>
    </row>
    <row r="4" spans="1:63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</row>
    <row r="5" spans="1:63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</row>
    <row r="6" spans="1:63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2</v>
      </c>
      <c r="BI6">
        <v>2</v>
      </c>
      <c r="BJ6">
        <v>2</v>
      </c>
      <c r="BK6">
        <v>3</v>
      </c>
    </row>
    <row r="7" spans="1:63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1</v>
      </c>
      <c r="BA7">
        <v>1</v>
      </c>
      <c r="BB7">
        <v>1</v>
      </c>
      <c r="BC7">
        <v>1</v>
      </c>
      <c r="BD7">
        <v>1</v>
      </c>
      <c r="BE7">
        <v>1</v>
      </c>
      <c r="BF7">
        <v>1</v>
      </c>
      <c r="BG7">
        <v>4</v>
      </c>
      <c r="BH7">
        <v>4</v>
      </c>
      <c r="BI7">
        <v>7</v>
      </c>
      <c r="BJ7">
        <v>7</v>
      </c>
      <c r="BK7">
        <v>8</v>
      </c>
    </row>
    <row r="8" spans="1:63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1</v>
      </c>
      <c r="AV8">
        <v>1</v>
      </c>
      <c r="AW8">
        <v>1</v>
      </c>
      <c r="AX8">
        <v>1</v>
      </c>
      <c r="AY8">
        <v>2</v>
      </c>
      <c r="AZ8">
        <v>2</v>
      </c>
      <c r="BA8">
        <v>2</v>
      </c>
      <c r="BB8">
        <v>2</v>
      </c>
      <c r="BC8">
        <v>2</v>
      </c>
      <c r="BD8">
        <v>2</v>
      </c>
      <c r="BE8">
        <v>2</v>
      </c>
      <c r="BF8">
        <v>2</v>
      </c>
      <c r="BG8">
        <v>2</v>
      </c>
      <c r="BH8">
        <v>4</v>
      </c>
      <c r="BI8">
        <v>5</v>
      </c>
      <c r="BJ8">
        <v>5</v>
      </c>
      <c r="BK8">
        <v>6</v>
      </c>
    </row>
    <row r="9" spans="1:63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</row>
    <row r="10" spans="1:63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</row>
    <row r="11" spans="1:63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</row>
    <row r="12" spans="1:63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</row>
    <row r="13" spans="1:63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2</v>
      </c>
      <c r="BA13">
        <v>2</v>
      </c>
      <c r="BB13">
        <v>3</v>
      </c>
      <c r="BC13">
        <v>3</v>
      </c>
      <c r="BD13">
        <v>7</v>
      </c>
      <c r="BE13">
        <v>9</v>
      </c>
      <c r="BF13">
        <v>11</v>
      </c>
      <c r="BG13">
        <v>17</v>
      </c>
      <c r="BH13">
        <v>24</v>
      </c>
      <c r="BI13">
        <v>28</v>
      </c>
      <c r="BJ13">
        <v>44</v>
      </c>
      <c r="BK13">
        <v>67</v>
      </c>
    </row>
    <row r="14" spans="1:63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</row>
    <row r="15" spans="1:63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2</v>
      </c>
    </row>
    <row r="16" spans="1:63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1</v>
      </c>
      <c r="BB16">
        <v>1</v>
      </c>
      <c r="BC16">
        <v>2</v>
      </c>
      <c r="BD16">
        <v>5</v>
      </c>
      <c r="BE16">
        <v>8</v>
      </c>
      <c r="BF16">
        <v>11</v>
      </c>
      <c r="BG16">
        <v>12</v>
      </c>
      <c r="BH16">
        <v>12</v>
      </c>
      <c r="BI16">
        <v>19</v>
      </c>
      <c r="BJ16">
        <v>17</v>
      </c>
      <c r="BK16">
        <v>18</v>
      </c>
    </row>
    <row r="17" spans="1:63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1</v>
      </c>
      <c r="BC17">
        <v>1</v>
      </c>
      <c r="BD17">
        <v>2</v>
      </c>
      <c r="BE17">
        <v>2</v>
      </c>
      <c r="BF17">
        <v>2</v>
      </c>
      <c r="BG17">
        <v>2</v>
      </c>
      <c r="BH17">
        <v>3</v>
      </c>
      <c r="BI17">
        <v>3</v>
      </c>
      <c r="BJ17">
        <v>4</v>
      </c>
      <c r="BK17">
        <v>5</v>
      </c>
    </row>
    <row r="18" spans="1:63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1</v>
      </c>
      <c r="AJ18">
        <v>2</v>
      </c>
      <c r="AK18">
        <v>3</v>
      </c>
      <c r="AL18">
        <v>7</v>
      </c>
      <c r="AM18">
        <v>10</v>
      </c>
      <c r="AN18">
        <v>12</v>
      </c>
      <c r="AO18">
        <v>17</v>
      </c>
      <c r="AP18">
        <v>21</v>
      </c>
      <c r="AQ18">
        <v>29</v>
      </c>
      <c r="AR18">
        <v>34</v>
      </c>
      <c r="AS18">
        <v>52</v>
      </c>
      <c r="AT18">
        <v>79</v>
      </c>
      <c r="AU18">
        <v>107</v>
      </c>
      <c r="AV18">
        <v>148</v>
      </c>
      <c r="AW18">
        <v>197</v>
      </c>
      <c r="AX18">
        <v>233</v>
      </c>
      <c r="AY18">
        <v>366</v>
      </c>
      <c r="AZ18">
        <v>463</v>
      </c>
      <c r="BA18">
        <v>631</v>
      </c>
      <c r="BB18">
        <v>827</v>
      </c>
      <c r="BC18">
        <v>827</v>
      </c>
      <c r="BD18">
        <v>1266</v>
      </c>
      <c r="BE18">
        <v>1441</v>
      </c>
      <c r="BF18">
        <v>1809</v>
      </c>
      <c r="BG18">
        <v>2158</v>
      </c>
      <c r="BH18">
        <v>2503</v>
      </c>
      <c r="BI18">
        <v>2978</v>
      </c>
      <c r="BJ18">
        <v>3405</v>
      </c>
      <c r="BK18">
        <v>4032</v>
      </c>
    </row>
    <row r="19" spans="1:63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1</v>
      </c>
      <c r="BC19">
        <v>1</v>
      </c>
      <c r="BD19">
        <v>1</v>
      </c>
      <c r="BE19">
        <v>2</v>
      </c>
      <c r="BF19">
        <v>3</v>
      </c>
      <c r="BG19">
        <v>6</v>
      </c>
      <c r="BH19">
        <v>7</v>
      </c>
      <c r="BI19">
        <v>10</v>
      </c>
      <c r="BJ19">
        <v>11</v>
      </c>
      <c r="BK19">
        <v>16</v>
      </c>
    </row>
    <row r="20" spans="1:63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1</v>
      </c>
      <c r="AU20">
        <v>2</v>
      </c>
      <c r="AV20">
        <v>3</v>
      </c>
      <c r="AW20">
        <v>5</v>
      </c>
      <c r="AX20">
        <v>10</v>
      </c>
      <c r="AY20">
        <v>17</v>
      </c>
      <c r="AZ20">
        <v>28</v>
      </c>
      <c r="BA20">
        <v>35</v>
      </c>
      <c r="BB20">
        <v>54</v>
      </c>
      <c r="BC20">
        <v>55</v>
      </c>
      <c r="BD20">
        <v>133</v>
      </c>
      <c r="BE20">
        <v>195</v>
      </c>
      <c r="BF20">
        <v>289</v>
      </c>
      <c r="BG20">
        <v>342</v>
      </c>
      <c r="BH20">
        <v>533</v>
      </c>
      <c r="BI20">
        <v>623</v>
      </c>
      <c r="BJ20">
        <v>830</v>
      </c>
      <c r="BK20">
        <v>1043</v>
      </c>
    </row>
    <row r="21" spans="1:63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</row>
    <row r="22" spans="1:63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3</v>
      </c>
      <c r="BC22">
        <v>3</v>
      </c>
      <c r="BD22">
        <v>3</v>
      </c>
      <c r="BE22">
        <v>4</v>
      </c>
      <c r="BF22">
        <v>4</v>
      </c>
      <c r="BG22">
        <v>5</v>
      </c>
      <c r="BH22">
        <v>10</v>
      </c>
      <c r="BI22">
        <v>14</v>
      </c>
      <c r="BJ22">
        <v>21</v>
      </c>
      <c r="BK22">
        <v>37</v>
      </c>
    </row>
    <row r="23" spans="1:63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2</v>
      </c>
      <c r="BE23">
        <v>2</v>
      </c>
      <c r="BF23">
        <v>2</v>
      </c>
      <c r="BG23">
        <v>2</v>
      </c>
      <c r="BH23">
        <v>4</v>
      </c>
      <c r="BI23">
        <v>6</v>
      </c>
      <c r="BJ23">
        <v>6</v>
      </c>
      <c r="BK23">
        <v>8</v>
      </c>
    </row>
    <row r="24" spans="1:63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</row>
    <row r="25" spans="1:63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1</v>
      </c>
      <c r="BB25">
        <v>3</v>
      </c>
      <c r="BC25">
        <v>3</v>
      </c>
      <c r="BD25">
        <v>3</v>
      </c>
      <c r="BE25">
        <v>3</v>
      </c>
      <c r="BF25">
        <v>3</v>
      </c>
      <c r="BG25">
        <v>3</v>
      </c>
      <c r="BH25">
        <v>3</v>
      </c>
      <c r="BI25">
        <v>3</v>
      </c>
      <c r="BJ25">
        <v>4</v>
      </c>
      <c r="BK25">
        <v>4</v>
      </c>
    </row>
    <row r="26" spans="1:63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2</v>
      </c>
      <c r="AV26">
        <v>2</v>
      </c>
      <c r="AW26">
        <v>3</v>
      </c>
      <c r="AX26">
        <v>4</v>
      </c>
      <c r="AY26">
        <v>6</v>
      </c>
      <c r="AZ26">
        <v>6</v>
      </c>
      <c r="BA26">
        <v>7</v>
      </c>
      <c r="BB26">
        <v>7</v>
      </c>
      <c r="BC26">
        <v>8</v>
      </c>
      <c r="BD26">
        <v>9</v>
      </c>
      <c r="BE26">
        <v>10</v>
      </c>
      <c r="BF26">
        <v>10</v>
      </c>
      <c r="BG26">
        <v>10</v>
      </c>
      <c r="BH26">
        <v>11</v>
      </c>
      <c r="BI26">
        <v>12</v>
      </c>
      <c r="BJ26">
        <v>13</v>
      </c>
      <c r="BK26">
        <v>17</v>
      </c>
    </row>
    <row r="27" spans="1:63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</row>
    <row r="28" spans="1:63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</row>
    <row r="29" spans="1:63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1</v>
      </c>
      <c r="BH29">
        <v>1</v>
      </c>
      <c r="BI29">
        <v>1</v>
      </c>
      <c r="BJ29">
        <v>1</v>
      </c>
      <c r="BK29">
        <v>1</v>
      </c>
    </row>
    <row r="30" spans="1:63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</row>
    <row r="31" spans="1:63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1</v>
      </c>
      <c r="BD31">
        <v>2</v>
      </c>
      <c r="BE31">
        <v>3</v>
      </c>
      <c r="BF31">
        <v>4</v>
      </c>
      <c r="BG31">
        <v>4</v>
      </c>
      <c r="BH31">
        <v>4</v>
      </c>
      <c r="BI31">
        <v>7</v>
      </c>
      <c r="BJ31">
        <v>9</v>
      </c>
      <c r="BK31">
        <v>11</v>
      </c>
    </row>
    <row r="32" spans="1:63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1</v>
      </c>
      <c r="BK32">
        <v>1</v>
      </c>
    </row>
    <row r="33" spans="2:63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1</v>
      </c>
      <c r="AW33">
        <v>1</v>
      </c>
      <c r="AX33">
        <v>1</v>
      </c>
      <c r="AY33">
        <v>2</v>
      </c>
      <c r="AZ33">
        <v>2</v>
      </c>
      <c r="BA33">
        <v>3</v>
      </c>
      <c r="BB33">
        <v>4</v>
      </c>
      <c r="BC33">
        <v>4</v>
      </c>
      <c r="BD33">
        <v>11</v>
      </c>
      <c r="BE33">
        <v>13</v>
      </c>
      <c r="BF33">
        <v>14</v>
      </c>
      <c r="BG33">
        <v>14</v>
      </c>
      <c r="BH33">
        <v>27</v>
      </c>
      <c r="BI33">
        <v>28</v>
      </c>
      <c r="BJ33">
        <v>41</v>
      </c>
      <c r="BK33">
        <v>54</v>
      </c>
    </row>
    <row r="34" spans="2:63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1</v>
      </c>
      <c r="BD34">
        <v>1</v>
      </c>
      <c r="BE34">
        <v>1</v>
      </c>
      <c r="BF34">
        <v>1</v>
      </c>
      <c r="BG34">
        <v>3</v>
      </c>
      <c r="BH34">
        <v>3</v>
      </c>
      <c r="BI34">
        <v>4</v>
      </c>
      <c r="BJ34">
        <v>6</v>
      </c>
      <c r="BK34">
        <v>6</v>
      </c>
    </row>
    <row r="35" spans="2:63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</row>
    <row r="36" spans="2:63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2</v>
      </c>
      <c r="BK36">
        <v>3</v>
      </c>
    </row>
    <row r="37" spans="2:63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1</v>
      </c>
      <c r="BI37">
        <v>3</v>
      </c>
      <c r="BJ37">
        <v>6</v>
      </c>
      <c r="BK37">
        <v>11</v>
      </c>
    </row>
    <row r="38" spans="2:63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</row>
    <row r="39" spans="2:63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1</v>
      </c>
      <c r="BC39">
        <v>1</v>
      </c>
      <c r="BD39">
        <v>1</v>
      </c>
      <c r="BE39">
        <v>3</v>
      </c>
      <c r="BF39">
        <v>4</v>
      </c>
      <c r="BG39">
        <v>4</v>
      </c>
      <c r="BH39">
        <v>5</v>
      </c>
      <c r="BI39">
        <v>5</v>
      </c>
      <c r="BJ39">
        <v>6</v>
      </c>
      <c r="BK39">
        <v>6</v>
      </c>
    </row>
    <row r="40" spans="2:63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</row>
    <row r="41" spans="2:63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3</v>
      </c>
      <c r="BF41">
        <v>3</v>
      </c>
      <c r="BG41">
        <v>3</v>
      </c>
      <c r="BH41">
        <v>3</v>
      </c>
      <c r="BI41">
        <v>6</v>
      </c>
      <c r="BJ41">
        <v>7</v>
      </c>
      <c r="BK41">
        <v>7</v>
      </c>
    </row>
    <row r="42" spans="2:63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</row>
    <row r="43" spans="2:63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</row>
    <row r="44" spans="2:63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1</v>
      </c>
      <c r="AU44">
        <v>1</v>
      </c>
      <c r="AV44">
        <v>1</v>
      </c>
      <c r="AW44">
        <v>1</v>
      </c>
      <c r="AX44">
        <v>1</v>
      </c>
      <c r="AY44">
        <v>1</v>
      </c>
      <c r="AZ44">
        <v>1</v>
      </c>
      <c r="BA44">
        <v>2</v>
      </c>
      <c r="BB44">
        <v>2</v>
      </c>
      <c r="BC44">
        <v>3</v>
      </c>
      <c r="BD44">
        <v>5</v>
      </c>
      <c r="BE44">
        <v>5</v>
      </c>
      <c r="BF44">
        <v>5</v>
      </c>
      <c r="BG44">
        <v>7</v>
      </c>
      <c r="BH44">
        <v>7</v>
      </c>
      <c r="BI44">
        <v>11</v>
      </c>
      <c r="BJ44">
        <v>11</v>
      </c>
      <c r="BK44">
        <v>14</v>
      </c>
    </row>
    <row r="45" spans="2:63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</row>
    <row r="46" spans="2:63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5</v>
      </c>
      <c r="BG46">
        <v>0</v>
      </c>
      <c r="BH46">
        <v>1</v>
      </c>
      <c r="BI46">
        <v>1</v>
      </c>
      <c r="BJ46">
        <v>1</v>
      </c>
      <c r="BK46">
        <v>0</v>
      </c>
    </row>
    <row r="47" spans="2:63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</row>
    <row r="48" spans="2:63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1</v>
      </c>
      <c r="BK48">
        <v>1</v>
      </c>
    </row>
    <row r="49" spans="1:63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</row>
    <row r="50" spans="1:63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</row>
    <row r="51" spans="1:63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1</v>
      </c>
      <c r="AS51">
        <v>1</v>
      </c>
      <c r="AT51">
        <v>1</v>
      </c>
      <c r="AU51">
        <v>1</v>
      </c>
      <c r="AV51">
        <v>1</v>
      </c>
      <c r="AW51">
        <v>1</v>
      </c>
      <c r="AX51">
        <v>1</v>
      </c>
      <c r="AY51">
        <v>1</v>
      </c>
      <c r="AZ51">
        <v>1</v>
      </c>
      <c r="BA51">
        <v>1</v>
      </c>
      <c r="BB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  <c r="BI51">
        <v>1</v>
      </c>
      <c r="BJ51">
        <v>1</v>
      </c>
      <c r="BK51">
        <v>1</v>
      </c>
    </row>
    <row r="52" spans="1:63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1</v>
      </c>
      <c r="BC52">
        <v>1</v>
      </c>
      <c r="BD52">
        <v>1</v>
      </c>
      <c r="BE52">
        <v>2</v>
      </c>
      <c r="BF52">
        <v>2</v>
      </c>
      <c r="BG52">
        <v>2</v>
      </c>
      <c r="BH52">
        <v>2</v>
      </c>
      <c r="BI52">
        <v>2</v>
      </c>
      <c r="BJ52">
        <v>3</v>
      </c>
      <c r="BK52">
        <v>3</v>
      </c>
    </row>
    <row r="53" spans="1:63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1</v>
      </c>
      <c r="BF53">
        <v>1</v>
      </c>
      <c r="BG53">
        <v>1</v>
      </c>
      <c r="BH53">
        <v>1</v>
      </c>
      <c r="BI53">
        <v>2</v>
      </c>
      <c r="BJ53">
        <v>4</v>
      </c>
      <c r="BK53">
        <v>4</v>
      </c>
    </row>
    <row r="54" spans="1:63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</row>
    <row r="55" spans="1:63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</row>
    <row r="56" spans="1:63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2</v>
      </c>
      <c r="BF56">
        <v>2</v>
      </c>
      <c r="BG56">
        <v>2</v>
      </c>
      <c r="BH56">
        <v>2</v>
      </c>
      <c r="BI56">
        <v>2</v>
      </c>
      <c r="BJ56">
        <v>3</v>
      </c>
      <c r="BK56">
        <v>5</v>
      </c>
    </row>
    <row r="57" spans="1:63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</row>
    <row r="58" spans="1:63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</row>
    <row r="59" spans="1:63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1</v>
      </c>
      <c r="BI59">
        <v>1</v>
      </c>
      <c r="BJ59">
        <v>2</v>
      </c>
      <c r="BK59">
        <v>2</v>
      </c>
    </row>
    <row r="60" spans="1:63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1</v>
      </c>
      <c r="BC60">
        <v>1</v>
      </c>
      <c r="BD60">
        <v>4</v>
      </c>
      <c r="BE60">
        <v>5</v>
      </c>
      <c r="BF60">
        <v>5</v>
      </c>
      <c r="BG60">
        <v>5</v>
      </c>
      <c r="BH60">
        <v>5</v>
      </c>
      <c r="BI60">
        <v>19</v>
      </c>
      <c r="BJ60">
        <v>25</v>
      </c>
      <c r="BK60">
        <v>32</v>
      </c>
    </row>
    <row r="61" spans="1:63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1</v>
      </c>
      <c r="BI61">
        <v>2</v>
      </c>
      <c r="BJ61">
        <v>3</v>
      </c>
      <c r="BK61">
        <v>6</v>
      </c>
    </row>
    <row r="62" spans="1:63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</row>
    <row r="63" spans="1:63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</row>
    <row r="64" spans="1:63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</row>
    <row r="65" spans="1:63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2</v>
      </c>
      <c r="BI65">
        <v>2</v>
      </c>
      <c r="BJ65">
        <v>2</v>
      </c>
      <c r="BK65">
        <v>3</v>
      </c>
    </row>
    <row r="66" spans="1:63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</row>
    <row r="67" spans="1:63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</row>
    <row r="68" spans="1:63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2</v>
      </c>
      <c r="BE68">
        <v>2</v>
      </c>
      <c r="BF68">
        <v>2</v>
      </c>
      <c r="BG68">
        <v>2</v>
      </c>
      <c r="BH68">
        <v>2</v>
      </c>
      <c r="BI68">
        <v>2</v>
      </c>
      <c r="BJ68">
        <v>3</v>
      </c>
      <c r="BK68">
        <v>3</v>
      </c>
    </row>
    <row r="69" spans="1:63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</row>
    <row r="70" spans="1:63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</row>
    <row r="71" spans="1:63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1</v>
      </c>
      <c r="BE71">
        <v>1</v>
      </c>
      <c r="BF71">
        <v>1</v>
      </c>
      <c r="BG71">
        <v>1</v>
      </c>
      <c r="BH71">
        <v>2</v>
      </c>
      <c r="BI71">
        <v>2</v>
      </c>
      <c r="BJ71">
        <v>2</v>
      </c>
      <c r="BK71">
        <v>3</v>
      </c>
    </row>
    <row r="72" spans="1:63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1</v>
      </c>
      <c r="BG72">
        <v>1</v>
      </c>
      <c r="BH72">
        <v>1</v>
      </c>
      <c r="BI72">
        <v>1</v>
      </c>
      <c r="BJ72">
        <v>1</v>
      </c>
      <c r="BK72">
        <v>3</v>
      </c>
    </row>
    <row r="73" spans="1:63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</row>
    <row r="74" spans="1:63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</row>
    <row r="75" spans="1:63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1</v>
      </c>
      <c r="BD75">
        <v>2</v>
      </c>
      <c r="BE75">
        <v>3</v>
      </c>
      <c r="BF75">
        <v>3</v>
      </c>
      <c r="BG75">
        <v>4</v>
      </c>
      <c r="BH75">
        <v>5</v>
      </c>
      <c r="BI75">
        <v>5</v>
      </c>
      <c r="BJ75">
        <v>5</v>
      </c>
      <c r="BK75">
        <v>5</v>
      </c>
    </row>
    <row r="76" spans="1:63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1</v>
      </c>
      <c r="BK76">
        <v>1</v>
      </c>
    </row>
    <row r="77" spans="1:63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</row>
    <row r="78" spans="1:63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1</v>
      </c>
      <c r="BF78">
        <v>1</v>
      </c>
      <c r="BG78">
        <v>1</v>
      </c>
      <c r="BH78">
        <v>1</v>
      </c>
      <c r="BI78">
        <v>1</v>
      </c>
      <c r="BJ78">
        <v>1</v>
      </c>
      <c r="BK78">
        <v>1</v>
      </c>
    </row>
    <row r="79" spans="1:63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</row>
    <row r="80" spans="1:63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</row>
    <row r="81" spans="1:63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</row>
    <row r="82" spans="1:63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</row>
    <row r="83" spans="1:63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1</v>
      </c>
      <c r="BK83">
        <v>1</v>
      </c>
    </row>
    <row r="84" spans="1:63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3</v>
      </c>
    </row>
    <row r="85" spans="1:63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1</v>
      </c>
    </row>
    <row r="86" spans="1:63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1</v>
      </c>
      <c r="BJ86">
        <v>1</v>
      </c>
      <c r="BK86">
        <v>1</v>
      </c>
    </row>
    <row r="87" spans="1:63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</row>
    <row r="88" spans="1:63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</row>
    <row r="89" spans="1:63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1</v>
      </c>
      <c r="BH89">
        <v>1</v>
      </c>
      <c r="BI89">
        <v>1</v>
      </c>
      <c r="BJ89">
        <v>1</v>
      </c>
      <c r="BK89">
        <v>1</v>
      </c>
    </row>
    <row r="90" spans="1:63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1</v>
      </c>
      <c r="BC90">
        <v>1</v>
      </c>
      <c r="BD90">
        <v>1</v>
      </c>
      <c r="BE90">
        <v>2</v>
      </c>
      <c r="BF90">
        <v>2</v>
      </c>
      <c r="BG90">
        <v>2</v>
      </c>
      <c r="BH90">
        <v>2</v>
      </c>
      <c r="BI90">
        <v>2</v>
      </c>
      <c r="BJ90">
        <v>3</v>
      </c>
      <c r="BK90">
        <v>3</v>
      </c>
    </row>
    <row r="91" spans="1:63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</row>
    <row r="92" spans="1:63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1</v>
      </c>
      <c r="BJ92">
        <v>1</v>
      </c>
      <c r="BK92">
        <v>1</v>
      </c>
    </row>
    <row r="93" spans="1:63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</row>
    <row r="94" spans="1:63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1</v>
      </c>
      <c r="BI94">
        <v>1</v>
      </c>
      <c r="BJ94">
        <v>1</v>
      </c>
      <c r="BK94">
        <v>2</v>
      </c>
    </row>
    <row r="95" spans="1:63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1</v>
      </c>
    </row>
    <row r="96" spans="1:63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1</v>
      </c>
      <c r="BK96">
        <v>1</v>
      </c>
    </row>
    <row r="97" spans="1:63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1</v>
      </c>
      <c r="BC97">
        <v>1</v>
      </c>
      <c r="BD97">
        <v>1</v>
      </c>
      <c r="BE97">
        <v>1</v>
      </c>
      <c r="BF97">
        <v>1</v>
      </c>
      <c r="BG97">
        <v>1</v>
      </c>
      <c r="BH97">
        <v>1</v>
      </c>
      <c r="BI97">
        <v>2</v>
      </c>
      <c r="BJ97">
        <v>2</v>
      </c>
      <c r="BK97">
        <v>2</v>
      </c>
    </row>
    <row r="98" spans="1:63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</row>
    <row r="99" spans="1:63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</row>
    <row r="100" spans="1:63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23</v>
      </c>
      <c r="BB100">
        <v>29</v>
      </c>
      <c r="BC100">
        <v>31</v>
      </c>
      <c r="BD100">
        <v>37</v>
      </c>
      <c r="BE100">
        <v>37</v>
      </c>
      <c r="BF100">
        <v>40</v>
      </c>
      <c r="BG100">
        <v>48</v>
      </c>
      <c r="BH100">
        <v>55</v>
      </c>
      <c r="BI100">
        <v>55</v>
      </c>
      <c r="BJ100">
        <v>74</v>
      </c>
      <c r="BK100">
        <v>83</v>
      </c>
    </row>
    <row r="101" spans="1:63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2</v>
      </c>
      <c r="BF101">
        <v>3</v>
      </c>
      <c r="BG101">
        <v>10</v>
      </c>
      <c r="BH101">
        <v>13</v>
      </c>
      <c r="BI101">
        <v>16</v>
      </c>
      <c r="BJ101">
        <v>34</v>
      </c>
      <c r="BK101">
        <v>42</v>
      </c>
    </row>
    <row r="102" spans="1:63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3</v>
      </c>
      <c r="BC102">
        <v>4</v>
      </c>
      <c r="BD102">
        <v>4</v>
      </c>
      <c r="BE102">
        <v>5</v>
      </c>
      <c r="BF102">
        <v>6</v>
      </c>
      <c r="BG102">
        <v>7</v>
      </c>
      <c r="BH102">
        <v>12</v>
      </c>
      <c r="BI102">
        <v>13</v>
      </c>
      <c r="BJ102">
        <v>18</v>
      </c>
      <c r="BK102">
        <v>23</v>
      </c>
    </row>
    <row r="103" spans="1:63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1</v>
      </c>
    </row>
    <row r="104" spans="1:63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</row>
    <row r="105" spans="1:63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</row>
    <row r="106" spans="1:63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1</v>
      </c>
      <c r="BD106">
        <v>1</v>
      </c>
      <c r="BE106">
        <v>1</v>
      </c>
      <c r="BF106">
        <v>1</v>
      </c>
      <c r="BG106">
        <v>1</v>
      </c>
      <c r="BH106">
        <v>1</v>
      </c>
      <c r="BI106">
        <v>3</v>
      </c>
      <c r="BJ106">
        <v>10</v>
      </c>
      <c r="BK106">
        <v>13</v>
      </c>
    </row>
    <row r="107" spans="1:63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1</v>
      </c>
      <c r="BF107">
        <v>1</v>
      </c>
      <c r="BG107">
        <v>1</v>
      </c>
      <c r="BH107">
        <v>2</v>
      </c>
      <c r="BI107">
        <v>2</v>
      </c>
      <c r="BJ107">
        <v>4</v>
      </c>
      <c r="BK107">
        <v>4</v>
      </c>
    </row>
    <row r="108" spans="1:63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2</v>
      </c>
      <c r="BB108">
        <v>2</v>
      </c>
      <c r="BC108">
        <v>2</v>
      </c>
      <c r="BD108">
        <v>2</v>
      </c>
      <c r="BE108">
        <v>3</v>
      </c>
      <c r="BF108">
        <v>4</v>
      </c>
      <c r="BG108">
        <v>5</v>
      </c>
      <c r="BH108">
        <v>6</v>
      </c>
      <c r="BI108">
        <v>7</v>
      </c>
      <c r="BJ108">
        <v>9</v>
      </c>
      <c r="BK108">
        <v>10</v>
      </c>
    </row>
    <row r="109" spans="1:63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1</v>
      </c>
      <c r="BB109">
        <v>1</v>
      </c>
      <c r="BC109">
        <v>1</v>
      </c>
      <c r="BD109">
        <v>1</v>
      </c>
      <c r="BE109">
        <v>1</v>
      </c>
      <c r="BF109">
        <v>2</v>
      </c>
      <c r="BG109">
        <v>2</v>
      </c>
      <c r="BH109">
        <v>3</v>
      </c>
      <c r="BI109">
        <v>3</v>
      </c>
      <c r="BJ109">
        <v>9</v>
      </c>
      <c r="BK109">
        <v>11</v>
      </c>
    </row>
    <row r="110" spans="1:63" x14ac:dyDescent="0.3">
      <c r="A110" t="s">
        <v>253</v>
      </c>
      <c r="B110" t="s">
        <v>38</v>
      </c>
      <c r="C110">
        <v>44.572000000000003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1</v>
      </c>
      <c r="BG110">
        <v>1</v>
      </c>
      <c r="BH110">
        <v>1</v>
      </c>
      <c r="BI110">
        <v>2</v>
      </c>
      <c r="BJ110">
        <v>3</v>
      </c>
      <c r="BK110">
        <v>3</v>
      </c>
    </row>
    <row r="111" spans="1:63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1</v>
      </c>
      <c r="BI111">
        <v>3</v>
      </c>
      <c r="BJ111">
        <v>5</v>
      </c>
      <c r="BK111">
        <v>5</v>
      </c>
    </row>
    <row r="112" spans="1:63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1</v>
      </c>
      <c r="BI112">
        <v>1</v>
      </c>
      <c r="BJ112">
        <v>4</v>
      </c>
      <c r="BK112">
        <v>5</v>
      </c>
    </row>
    <row r="113" spans="1:63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1</v>
      </c>
      <c r="BK113">
        <v>1</v>
      </c>
    </row>
    <row r="114" spans="1:63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</row>
    <row r="115" spans="1:63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1</v>
      </c>
      <c r="BK115">
        <v>1</v>
      </c>
    </row>
    <row r="116" spans="1:63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</row>
    <row r="117" spans="1:63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</row>
    <row r="118" spans="1:63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</row>
    <row r="119" spans="1:63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2</v>
      </c>
      <c r="BI119">
        <v>2</v>
      </c>
      <c r="BJ119">
        <v>2</v>
      </c>
      <c r="BK119">
        <v>2</v>
      </c>
    </row>
    <row r="120" spans="1:63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</row>
    <row r="121" spans="1:63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1</v>
      </c>
      <c r="BH121">
        <v>2</v>
      </c>
      <c r="BI121">
        <v>2</v>
      </c>
      <c r="BJ121">
        <v>2</v>
      </c>
      <c r="BK121">
        <v>2</v>
      </c>
    </row>
    <row r="122" spans="1:63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1</v>
      </c>
      <c r="BJ122">
        <v>2</v>
      </c>
      <c r="BK122">
        <v>2</v>
      </c>
    </row>
    <row r="123" spans="1:63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1</v>
      </c>
    </row>
    <row r="124" spans="1:63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1</v>
      </c>
      <c r="BH124">
        <v>1</v>
      </c>
      <c r="BI124">
        <v>1</v>
      </c>
      <c r="BJ124">
        <v>1</v>
      </c>
      <c r="BK124">
        <v>1</v>
      </c>
    </row>
    <row r="125" spans="1:63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</row>
    <row r="126" spans="1:63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</row>
    <row r="127" spans="1:63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</row>
    <row r="128" spans="1:63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</row>
    <row r="129" spans="1:63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</row>
    <row r="130" spans="1:63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3</v>
      </c>
    </row>
    <row r="131" spans="1:63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2</v>
      </c>
      <c r="BK131">
        <v>3</v>
      </c>
    </row>
    <row r="132" spans="1:63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</row>
    <row r="133" spans="1:63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1</v>
      </c>
      <c r="BK133">
        <v>1</v>
      </c>
    </row>
    <row r="134" spans="1:63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</row>
    <row r="135" spans="1:63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1</v>
      </c>
      <c r="BJ135">
        <v>1</v>
      </c>
      <c r="BK135">
        <v>1</v>
      </c>
    </row>
    <row r="136" spans="1:63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</row>
    <row r="137" spans="1:63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</row>
    <row r="138" spans="1:63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1</v>
      </c>
      <c r="BC138">
        <v>1</v>
      </c>
      <c r="BD138">
        <v>1</v>
      </c>
      <c r="BE138">
        <v>1</v>
      </c>
      <c r="BF138">
        <v>1</v>
      </c>
      <c r="BG138">
        <v>1</v>
      </c>
      <c r="BH138">
        <v>1</v>
      </c>
      <c r="BI138">
        <v>1</v>
      </c>
      <c r="BJ138">
        <v>1</v>
      </c>
      <c r="BK138">
        <v>1</v>
      </c>
    </row>
    <row r="139" spans="1:63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1</v>
      </c>
      <c r="BE139">
        <v>1</v>
      </c>
      <c r="BF139">
        <v>1</v>
      </c>
      <c r="BG139">
        <v>1</v>
      </c>
      <c r="BH139">
        <v>1</v>
      </c>
      <c r="BI139">
        <v>1</v>
      </c>
      <c r="BJ139">
        <v>1</v>
      </c>
      <c r="BK139">
        <v>1</v>
      </c>
    </row>
    <row r="140" spans="1:63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1</v>
      </c>
      <c r="BF140">
        <v>2</v>
      </c>
      <c r="BG140">
        <v>3</v>
      </c>
      <c r="BH140">
        <v>4</v>
      </c>
      <c r="BI140">
        <v>4</v>
      </c>
      <c r="BJ140">
        <v>10</v>
      </c>
      <c r="BK140">
        <v>14</v>
      </c>
    </row>
    <row r="141" spans="1:63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1</v>
      </c>
      <c r="BK141">
        <v>2</v>
      </c>
    </row>
    <row r="142" spans="1:63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2</v>
      </c>
    </row>
    <row r="143" spans="1:63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</row>
    <row r="144" spans="1:63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</row>
    <row r="145" spans="1:63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</row>
    <row r="146" spans="1:63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</row>
    <row r="147" spans="1:63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</row>
    <row r="148" spans="1:63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3</v>
      </c>
      <c r="BK148">
        <v>3</v>
      </c>
    </row>
    <row r="149" spans="1:63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1</v>
      </c>
      <c r="BK149">
        <v>1</v>
      </c>
    </row>
    <row r="150" spans="1:63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</row>
    <row r="151" spans="1:63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</row>
    <row r="152" spans="1:63" x14ac:dyDescent="0.3">
      <c r="A152" t="s">
        <v>297</v>
      </c>
      <c r="B152" t="s">
        <v>38</v>
      </c>
      <c r="C152">
        <v>47.5289</v>
      </c>
      <c r="D152">
        <v>-99.784000000000006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</row>
    <row r="153" spans="1:63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1</v>
      </c>
      <c r="BC153">
        <v>1</v>
      </c>
      <c r="BD153">
        <v>1</v>
      </c>
      <c r="BE153">
        <v>1</v>
      </c>
      <c r="BF153">
        <v>1</v>
      </c>
      <c r="BG153">
        <v>1</v>
      </c>
      <c r="BH153">
        <v>1</v>
      </c>
      <c r="BI153">
        <v>1</v>
      </c>
      <c r="BJ153">
        <v>1</v>
      </c>
      <c r="BK153">
        <v>1</v>
      </c>
    </row>
    <row r="154" spans="1:63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</row>
    <row r="155" spans="1:63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</row>
    <row r="156" spans="1:63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17</v>
      </c>
      <c r="F156">
        <v>17</v>
      </c>
      <c r="G156">
        <v>24</v>
      </c>
      <c r="H156">
        <v>40</v>
      </c>
      <c r="I156">
        <v>52</v>
      </c>
      <c r="J156">
        <v>76</v>
      </c>
      <c r="K156">
        <v>125</v>
      </c>
      <c r="L156">
        <v>125</v>
      </c>
      <c r="M156">
        <v>162</v>
      </c>
      <c r="N156">
        <v>204</v>
      </c>
      <c r="O156">
        <v>249</v>
      </c>
      <c r="P156">
        <v>350</v>
      </c>
      <c r="Q156">
        <v>414</v>
      </c>
      <c r="R156">
        <v>479</v>
      </c>
      <c r="S156">
        <v>549</v>
      </c>
      <c r="T156">
        <v>618</v>
      </c>
      <c r="U156">
        <v>699</v>
      </c>
      <c r="V156">
        <v>780</v>
      </c>
      <c r="W156">
        <v>871</v>
      </c>
      <c r="X156">
        <v>974</v>
      </c>
      <c r="Y156">
        <v>1068</v>
      </c>
      <c r="Z156">
        <v>1068</v>
      </c>
      <c r="AA156">
        <v>1310</v>
      </c>
      <c r="AB156">
        <v>1457</v>
      </c>
      <c r="AC156">
        <v>1596</v>
      </c>
      <c r="AD156">
        <v>1696</v>
      </c>
      <c r="AE156">
        <v>1789</v>
      </c>
      <c r="AF156">
        <v>1921</v>
      </c>
      <c r="AG156">
        <v>2029</v>
      </c>
      <c r="AH156">
        <v>2144</v>
      </c>
      <c r="AI156">
        <v>2144</v>
      </c>
      <c r="AJ156">
        <v>2346</v>
      </c>
      <c r="AK156">
        <v>2346</v>
      </c>
      <c r="AL156">
        <v>2495</v>
      </c>
      <c r="AM156">
        <v>2563</v>
      </c>
      <c r="AN156">
        <v>2615</v>
      </c>
      <c r="AO156">
        <v>2641</v>
      </c>
      <c r="AP156">
        <v>2682</v>
      </c>
      <c r="AQ156">
        <v>2727</v>
      </c>
      <c r="AR156">
        <v>2761</v>
      </c>
      <c r="AS156">
        <v>2803</v>
      </c>
      <c r="AT156">
        <v>2835</v>
      </c>
      <c r="AU156">
        <v>2871</v>
      </c>
      <c r="AV156">
        <v>2902</v>
      </c>
      <c r="AW156">
        <v>2931</v>
      </c>
      <c r="AX156">
        <v>2959</v>
      </c>
      <c r="AY156">
        <v>2986</v>
      </c>
      <c r="AZ156">
        <v>3008</v>
      </c>
      <c r="BA156">
        <v>3024</v>
      </c>
      <c r="BB156">
        <v>3046</v>
      </c>
      <c r="BC156">
        <v>3056</v>
      </c>
      <c r="BD156">
        <v>3062</v>
      </c>
      <c r="BE156">
        <v>3075</v>
      </c>
      <c r="BF156">
        <v>3085</v>
      </c>
      <c r="BG156">
        <v>3099</v>
      </c>
      <c r="BH156">
        <v>3111</v>
      </c>
      <c r="BI156">
        <v>3122</v>
      </c>
      <c r="BJ156">
        <v>3130</v>
      </c>
      <c r="BK156">
        <v>3133</v>
      </c>
    </row>
    <row r="157" spans="1:63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2</v>
      </c>
      <c r="AH157">
        <v>2</v>
      </c>
      <c r="AI157">
        <v>4</v>
      </c>
      <c r="AJ157">
        <v>5</v>
      </c>
      <c r="AK157">
        <v>8</v>
      </c>
      <c r="AL157">
        <v>12</v>
      </c>
      <c r="AM157">
        <v>16</v>
      </c>
      <c r="AN157">
        <v>19</v>
      </c>
      <c r="AO157">
        <v>26</v>
      </c>
      <c r="AP157">
        <v>34</v>
      </c>
      <c r="AQ157">
        <v>43</v>
      </c>
      <c r="AR157">
        <v>54</v>
      </c>
      <c r="AS157">
        <v>66</v>
      </c>
      <c r="AT157">
        <v>77</v>
      </c>
      <c r="AU157">
        <v>92</v>
      </c>
      <c r="AV157">
        <v>107</v>
      </c>
      <c r="AW157">
        <v>124</v>
      </c>
      <c r="AX157">
        <v>145</v>
      </c>
      <c r="AY157">
        <v>194</v>
      </c>
      <c r="AZ157">
        <v>237</v>
      </c>
      <c r="BA157">
        <v>291</v>
      </c>
      <c r="BB157">
        <v>354</v>
      </c>
      <c r="BC157">
        <v>429</v>
      </c>
      <c r="BD157">
        <v>514</v>
      </c>
      <c r="BE157">
        <v>611</v>
      </c>
      <c r="BF157">
        <v>724</v>
      </c>
      <c r="BG157">
        <v>853</v>
      </c>
      <c r="BH157">
        <v>988</v>
      </c>
      <c r="BI157">
        <v>1135</v>
      </c>
      <c r="BJ157">
        <v>1284</v>
      </c>
      <c r="BK157">
        <v>1433</v>
      </c>
    </row>
    <row r="158" spans="1:63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1</v>
      </c>
      <c r="AI158">
        <v>2</v>
      </c>
      <c r="AJ158">
        <v>2</v>
      </c>
      <c r="AK158">
        <v>6</v>
      </c>
      <c r="AL158">
        <v>8</v>
      </c>
      <c r="AM158">
        <v>10</v>
      </c>
      <c r="AN158">
        <v>12</v>
      </c>
      <c r="AO158">
        <v>13</v>
      </c>
      <c r="AP158">
        <v>13</v>
      </c>
      <c r="AQ158">
        <v>16</v>
      </c>
      <c r="AR158">
        <v>17</v>
      </c>
      <c r="AS158">
        <v>28</v>
      </c>
      <c r="AT158">
        <v>28</v>
      </c>
      <c r="AU158">
        <v>35</v>
      </c>
      <c r="AV158">
        <v>35</v>
      </c>
      <c r="AW158">
        <v>42</v>
      </c>
      <c r="AX158">
        <v>44</v>
      </c>
      <c r="AY158">
        <v>50</v>
      </c>
      <c r="AZ158">
        <v>53</v>
      </c>
      <c r="BA158">
        <v>54</v>
      </c>
      <c r="BB158">
        <v>60</v>
      </c>
      <c r="BC158">
        <v>66</v>
      </c>
      <c r="BD158">
        <v>66</v>
      </c>
      <c r="BE158">
        <v>72</v>
      </c>
      <c r="BF158">
        <v>75</v>
      </c>
      <c r="BG158">
        <v>75</v>
      </c>
      <c r="BH158">
        <v>81</v>
      </c>
      <c r="BI158">
        <v>84</v>
      </c>
      <c r="BJ158">
        <v>91</v>
      </c>
      <c r="BK158">
        <v>94</v>
      </c>
    </row>
    <row r="159" spans="1:63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1</v>
      </c>
      <c r="AD159">
        <v>1</v>
      </c>
      <c r="AE159">
        <v>1</v>
      </c>
      <c r="AF159">
        <v>1</v>
      </c>
      <c r="AG159">
        <v>1</v>
      </c>
      <c r="AH159">
        <v>1</v>
      </c>
      <c r="AI159">
        <v>1</v>
      </c>
      <c r="AJ159">
        <v>1</v>
      </c>
      <c r="AK159">
        <v>1</v>
      </c>
      <c r="AL159">
        <v>1</v>
      </c>
      <c r="AM159">
        <v>1</v>
      </c>
      <c r="AN159">
        <v>2</v>
      </c>
      <c r="AO159">
        <v>2</v>
      </c>
      <c r="AP159">
        <v>2</v>
      </c>
      <c r="AQ159">
        <v>2</v>
      </c>
      <c r="AR159">
        <v>2</v>
      </c>
      <c r="AS159">
        <v>3</v>
      </c>
      <c r="AT159">
        <v>4</v>
      </c>
      <c r="AU159">
        <v>4</v>
      </c>
      <c r="AV159">
        <v>6</v>
      </c>
      <c r="AW159">
        <v>9</v>
      </c>
      <c r="AX159">
        <v>11</v>
      </c>
      <c r="AY159">
        <v>19</v>
      </c>
      <c r="AZ159">
        <v>19</v>
      </c>
      <c r="BA159">
        <v>33</v>
      </c>
      <c r="BB159">
        <v>48</v>
      </c>
      <c r="BC159">
        <v>48</v>
      </c>
      <c r="BD159">
        <v>79</v>
      </c>
      <c r="BE159">
        <v>91</v>
      </c>
      <c r="BF159">
        <v>91</v>
      </c>
      <c r="BG159">
        <v>148</v>
      </c>
      <c r="BH159">
        <v>148</v>
      </c>
      <c r="BI159">
        <v>148</v>
      </c>
      <c r="BJ159">
        <v>243</v>
      </c>
      <c r="BK159">
        <v>450</v>
      </c>
    </row>
    <row r="160" spans="1:63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1</v>
      </c>
      <c r="V160">
        <v>1</v>
      </c>
      <c r="W160">
        <v>1</v>
      </c>
      <c r="X160">
        <v>1</v>
      </c>
      <c r="Y160">
        <v>1</v>
      </c>
      <c r="Z160">
        <v>1</v>
      </c>
      <c r="AA160">
        <v>2</v>
      </c>
      <c r="AB160">
        <v>2</v>
      </c>
      <c r="AC160">
        <v>2</v>
      </c>
      <c r="AD160">
        <v>2</v>
      </c>
      <c r="AE160">
        <v>4</v>
      </c>
      <c r="AF160">
        <v>4</v>
      </c>
      <c r="AG160">
        <v>5</v>
      </c>
      <c r="AH160">
        <v>5</v>
      </c>
      <c r="AI160">
        <v>5</v>
      </c>
      <c r="AJ160">
        <v>5</v>
      </c>
      <c r="AK160">
        <v>6</v>
      </c>
      <c r="AL160">
        <v>6</v>
      </c>
      <c r="AM160">
        <v>7</v>
      </c>
      <c r="AN160">
        <v>7</v>
      </c>
      <c r="AO160">
        <v>7</v>
      </c>
      <c r="AP160">
        <v>7</v>
      </c>
      <c r="AQ160">
        <v>7</v>
      </c>
      <c r="AR160">
        <v>7</v>
      </c>
      <c r="AS160">
        <v>7</v>
      </c>
      <c r="AT160">
        <v>7</v>
      </c>
      <c r="AU160">
        <v>7</v>
      </c>
      <c r="AV160">
        <v>7</v>
      </c>
      <c r="AW160">
        <v>7</v>
      </c>
      <c r="AX160">
        <v>7</v>
      </c>
      <c r="AY160">
        <v>7</v>
      </c>
      <c r="AZ160">
        <v>8</v>
      </c>
      <c r="BA160">
        <v>8</v>
      </c>
      <c r="BB160">
        <v>8</v>
      </c>
      <c r="BC160">
        <v>8</v>
      </c>
      <c r="BD160">
        <v>8</v>
      </c>
      <c r="BE160">
        <v>8</v>
      </c>
      <c r="BF160">
        <v>8</v>
      </c>
      <c r="BG160">
        <v>8</v>
      </c>
      <c r="BH160">
        <v>8</v>
      </c>
      <c r="BI160">
        <v>8</v>
      </c>
      <c r="BJ160">
        <v>8</v>
      </c>
      <c r="BK160">
        <v>8</v>
      </c>
    </row>
    <row r="161" spans="1:63" x14ac:dyDescent="0.3">
      <c r="A161" t="s">
        <v>15</v>
      </c>
      <c r="B161" t="s">
        <v>337</v>
      </c>
      <c r="C161">
        <v>33.881999999999998</v>
      </c>
      <c r="D161">
        <v>113.614</v>
      </c>
      <c r="E161">
        <v>0</v>
      </c>
      <c r="F161">
        <v>0</v>
      </c>
      <c r="G161">
        <v>0</v>
      </c>
      <c r="H161">
        <v>0</v>
      </c>
      <c r="I161">
        <v>1</v>
      </c>
      <c r="J161">
        <v>1</v>
      </c>
      <c r="K161">
        <v>1</v>
      </c>
      <c r="L161">
        <v>2</v>
      </c>
      <c r="M161">
        <v>2</v>
      </c>
      <c r="N161">
        <v>2</v>
      </c>
      <c r="O161">
        <v>2</v>
      </c>
      <c r="P161">
        <v>2</v>
      </c>
      <c r="Q161">
        <v>2</v>
      </c>
      <c r="R161">
        <v>2</v>
      </c>
      <c r="S161">
        <v>2</v>
      </c>
      <c r="T161">
        <v>2</v>
      </c>
      <c r="U161">
        <v>3</v>
      </c>
      <c r="V161">
        <v>4</v>
      </c>
      <c r="W161">
        <v>6</v>
      </c>
      <c r="X161">
        <v>6</v>
      </c>
      <c r="Y161">
        <v>7</v>
      </c>
      <c r="Z161">
        <v>8</v>
      </c>
      <c r="AA161">
        <v>10</v>
      </c>
      <c r="AB161">
        <v>11</v>
      </c>
      <c r="AC161">
        <v>13</v>
      </c>
      <c r="AD161">
        <v>13</v>
      </c>
      <c r="AE161">
        <v>16</v>
      </c>
      <c r="AF161">
        <v>19</v>
      </c>
      <c r="AG161">
        <v>19</v>
      </c>
      <c r="AH161">
        <v>19</v>
      </c>
      <c r="AI161">
        <v>19</v>
      </c>
      <c r="AJ161">
        <v>19</v>
      </c>
      <c r="AK161">
        <v>19</v>
      </c>
      <c r="AL161">
        <v>19</v>
      </c>
      <c r="AM161">
        <v>19</v>
      </c>
      <c r="AN161">
        <v>19</v>
      </c>
      <c r="AO161">
        <v>20</v>
      </c>
      <c r="AP161">
        <v>20</v>
      </c>
      <c r="AQ161">
        <v>21</v>
      </c>
      <c r="AR161">
        <v>22</v>
      </c>
      <c r="AS161">
        <v>22</v>
      </c>
      <c r="AT161">
        <v>22</v>
      </c>
      <c r="AU161">
        <v>22</v>
      </c>
      <c r="AV161">
        <v>22</v>
      </c>
      <c r="AW161">
        <v>22</v>
      </c>
      <c r="AX161">
        <v>22</v>
      </c>
      <c r="AY161">
        <v>22</v>
      </c>
      <c r="AZ161">
        <v>22</v>
      </c>
      <c r="BA161">
        <v>22</v>
      </c>
      <c r="BB161">
        <v>22</v>
      </c>
      <c r="BC161">
        <v>22</v>
      </c>
      <c r="BD161">
        <v>22</v>
      </c>
      <c r="BE161">
        <v>22</v>
      </c>
      <c r="BF161">
        <v>22</v>
      </c>
      <c r="BG161">
        <v>22</v>
      </c>
      <c r="BH161">
        <v>22</v>
      </c>
      <c r="BI161">
        <v>22</v>
      </c>
      <c r="BJ161">
        <v>22</v>
      </c>
      <c r="BK161">
        <v>22</v>
      </c>
    </row>
    <row r="162" spans="1:63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1</v>
      </c>
      <c r="AI162">
        <v>1</v>
      </c>
      <c r="AJ162">
        <v>1</v>
      </c>
      <c r="AK162">
        <v>1</v>
      </c>
      <c r="AL162">
        <v>1</v>
      </c>
      <c r="AM162">
        <v>1</v>
      </c>
      <c r="AN162">
        <v>1</v>
      </c>
      <c r="AO162">
        <v>1</v>
      </c>
      <c r="AP162">
        <v>1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1</v>
      </c>
      <c r="BD162">
        <v>1</v>
      </c>
      <c r="BE162">
        <v>1</v>
      </c>
      <c r="BF162">
        <v>1</v>
      </c>
      <c r="BG162">
        <v>1</v>
      </c>
      <c r="BH162">
        <v>1</v>
      </c>
      <c r="BI162">
        <v>1</v>
      </c>
      <c r="BJ162">
        <v>1</v>
      </c>
      <c r="BK162">
        <v>1</v>
      </c>
    </row>
    <row r="163" spans="1:63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1</v>
      </c>
      <c r="W163">
        <v>1</v>
      </c>
      <c r="X163">
        <v>1</v>
      </c>
      <c r="Y163">
        <v>1</v>
      </c>
      <c r="Z163">
        <v>2</v>
      </c>
      <c r="AA163">
        <v>2</v>
      </c>
      <c r="AB163">
        <v>2</v>
      </c>
      <c r="AC163">
        <v>2</v>
      </c>
      <c r="AD163">
        <v>3</v>
      </c>
      <c r="AE163">
        <v>3</v>
      </c>
      <c r="AF163">
        <v>4</v>
      </c>
      <c r="AG163">
        <v>4</v>
      </c>
      <c r="AH163">
        <v>4</v>
      </c>
      <c r="AI163">
        <v>4</v>
      </c>
      <c r="AJ163">
        <v>4</v>
      </c>
      <c r="AK163">
        <v>4</v>
      </c>
      <c r="AL163">
        <v>4</v>
      </c>
      <c r="AM163">
        <v>4</v>
      </c>
      <c r="AN163">
        <v>4</v>
      </c>
      <c r="AO163">
        <v>4</v>
      </c>
      <c r="AP163">
        <v>4</v>
      </c>
      <c r="AQ163">
        <v>4</v>
      </c>
      <c r="AR163">
        <v>4</v>
      </c>
      <c r="AS163">
        <v>4</v>
      </c>
      <c r="AT163">
        <v>4</v>
      </c>
      <c r="AU163">
        <v>4</v>
      </c>
      <c r="AV163">
        <v>4</v>
      </c>
      <c r="AW163">
        <v>4</v>
      </c>
      <c r="AX163">
        <v>4</v>
      </c>
      <c r="AY163">
        <v>4</v>
      </c>
      <c r="AZ163">
        <v>4</v>
      </c>
      <c r="BA163">
        <v>4</v>
      </c>
      <c r="BB163">
        <v>4</v>
      </c>
      <c r="BC163">
        <v>4</v>
      </c>
      <c r="BD163">
        <v>4</v>
      </c>
      <c r="BE163">
        <v>4</v>
      </c>
      <c r="BF163">
        <v>4</v>
      </c>
      <c r="BG163">
        <v>4</v>
      </c>
      <c r="BH163">
        <v>4</v>
      </c>
      <c r="BI163">
        <v>4</v>
      </c>
      <c r="BJ163">
        <v>4</v>
      </c>
      <c r="BK163">
        <v>4</v>
      </c>
    </row>
    <row r="164" spans="1:63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1</v>
      </c>
      <c r="X164">
        <v>3</v>
      </c>
      <c r="Y164">
        <v>4</v>
      </c>
      <c r="Z164">
        <v>4</v>
      </c>
      <c r="AA164">
        <v>5</v>
      </c>
      <c r="AB164">
        <v>6</v>
      </c>
      <c r="AC164">
        <v>6</v>
      </c>
      <c r="AD164">
        <v>6</v>
      </c>
      <c r="AE164">
        <v>6</v>
      </c>
      <c r="AF164">
        <v>6</v>
      </c>
      <c r="AG164">
        <v>6</v>
      </c>
      <c r="AH164">
        <v>6</v>
      </c>
      <c r="AI164">
        <v>6</v>
      </c>
      <c r="AJ164">
        <v>6</v>
      </c>
      <c r="AK164">
        <v>6</v>
      </c>
      <c r="AL164">
        <v>6</v>
      </c>
      <c r="AM164">
        <v>6</v>
      </c>
      <c r="AN164">
        <v>6</v>
      </c>
      <c r="AO164">
        <v>6</v>
      </c>
      <c r="AP164">
        <v>6</v>
      </c>
      <c r="AQ164">
        <v>6</v>
      </c>
      <c r="AR164">
        <v>6</v>
      </c>
      <c r="AS164">
        <v>6</v>
      </c>
      <c r="AT164">
        <v>6</v>
      </c>
      <c r="AU164">
        <v>6</v>
      </c>
      <c r="AV164">
        <v>6</v>
      </c>
      <c r="AW164">
        <v>6</v>
      </c>
      <c r="AX164">
        <v>6</v>
      </c>
      <c r="AY164">
        <v>6</v>
      </c>
      <c r="AZ164">
        <v>6</v>
      </c>
      <c r="BA164">
        <v>6</v>
      </c>
      <c r="BB164">
        <v>6</v>
      </c>
      <c r="BC164">
        <v>6</v>
      </c>
      <c r="BD164">
        <v>6</v>
      </c>
      <c r="BE164">
        <v>6</v>
      </c>
      <c r="BF164">
        <v>6</v>
      </c>
      <c r="BG164">
        <v>6</v>
      </c>
      <c r="BH164">
        <v>6</v>
      </c>
      <c r="BI164">
        <v>6</v>
      </c>
      <c r="BJ164">
        <v>6</v>
      </c>
      <c r="BK164">
        <v>6</v>
      </c>
    </row>
    <row r="165" spans="1:63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>
        <v>1</v>
      </c>
      <c r="AH165">
        <v>1</v>
      </c>
      <c r="AI165">
        <v>1</v>
      </c>
      <c r="AJ165">
        <v>1</v>
      </c>
      <c r="AK165">
        <v>1</v>
      </c>
      <c r="AL165">
        <v>1</v>
      </c>
      <c r="AM165">
        <v>1</v>
      </c>
      <c r="AN165">
        <v>1</v>
      </c>
      <c r="AO165">
        <v>1</v>
      </c>
      <c r="AP165">
        <v>1</v>
      </c>
      <c r="AQ165">
        <v>1</v>
      </c>
      <c r="AR165">
        <v>1</v>
      </c>
      <c r="AS165">
        <v>1</v>
      </c>
      <c r="AT165">
        <v>1</v>
      </c>
      <c r="AU165">
        <v>1</v>
      </c>
      <c r="AV165">
        <v>1</v>
      </c>
      <c r="AW165">
        <v>1</v>
      </c>
      <c r="AX165">
        <v>1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1</v>
      </c>
      <c r="BI165">
        <v>1</v>
      </c>
      <c r="BJ165">
        <v>1</v>
      </c>
      <c r="BK165">
        <v>1</v>
      </c>
    </row>
    <row r="166" spans="1:63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1</v>
      </c>
      <c r="X166">
        <v>1</v>
      </c>
      <c r="Y166">
        <v>1</v>
      </c>
      <c r="Z166">
        <v>2</v>
      </c>
      <c r="AA166">
        <v>2</v>
      </c>
      <c r="AB166">
        <v>2</v>
      </c>
      <c r="AC166">
        <v>2</v>
      </c>
      <c r="AD166">
        <v>2</v>
      </c>
      <c r="AE166">
        <v>2</v>
      </c>
      <c r="AF166">
        <v>3</v>
      </c>
      <c r="AG166">
        <v>3</v>
      </c>
      <c r="AH166">
        <v>4</v>
      </c>
      <c r="AI166">
        <v>4</v>
      </c>
      <c r="AJ166">
        <v>4</v>
      </c>
      <c r="AK166">
        <v>4</v>
      </c>
      <c r="AL166">
        <v>5</v>
      </c>
      <c r="AM166">
        <v>6</v>
      </c>
      <c r="AN166">
        <v>6</v>
      </c>
      <c r="AO166">
        <v>6</v>
      </c>
      <c r="AP166">
        <v>6</v>
      </c>
      <c r="AQ166">
        <v>6</v>
      </c>
      <c r="AR166">
        <v>6</v>
      </c>
      <c r="AS166">
        <v>6</v>
      </c>
      <c r="AT166">
        <v>6</v>
      </c>
      <c r="AU166">
        <v>6</v>
      </c>
      <c r="AV166">
        <v>6</v>
      </c>
      <c r="AW166">
        <v>6</v>
      </c>
      <c r="AX166">
        <v>6</v>
      </c>
      <c r="AY166">
        <v>6</v>
      </c>
      <c r="AZ166">
        <v>6</v>
      </c>
      <c r="BA166">
        <v>6</v>
      </c>
      <c r="BB166">
        <v>6</v>
      </c>
      <c r="BC166">
        <v>6</v>
      </c>
      <c r="BD166">
        <v>7</v>
      </c>
      <c r="BE166">
        <v>7</v>
      </c>
      <c r="BF166">
        <v>7</v>
      </c>
      <c r="BG166">
        <v>7</v>
      </c>
      <c r="BH166">
        <v>7</v>
      </c>
      <c r="BI166">
        <v>7</v>
      </c>
      <c r="BJ166">
        <v>7</v>
      </c>
      <c r="BK166">
        <v>7</v>
      </c>
    </row>
    <row r="167" spans="1:63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2</v>
      </c>
      <c r="AI167">
        <v>2</v>
      </c>
      <c r="AJ167">
        <v>2</v>
      </c>
      <c r="AK167">
        <v>3</v>
      </c>
      <c r="AL167">
        <v>3</v>
      </c>
      <c r="AM167">
        <v>3</v>
      </c>
      <c r="AN167">
        <v>4</v>
      </c>
      <c r="AO167">
        <v>4</v>
      </c>
      <c r="AP167">
        <v>6</v>
      </c>
      <c r="AQ167">
        <v>6</v>
      </c>
      <c r="AR167">
        <v>6</v>
      </c>
      <c r="AS167">
        <v>6</v>
      </c>
      <c r="AT167">
        <v>6</v>
      </c>
      <c r="AU167">
        <v>6</v>
      </c>
      <c r="AV167">
        <v>6</v>
      </c>
      <c r="AW167">
        <v>6</v>
      </c>
      <c r="AX167">
        <v>6</v>
      </c>
      <c r="AY167">
        <v>6</v>
      </c>
      <c r="AZ167">
        <v>6</v>
      </c>
      <c r="BA167">
        <v>6</v>
      </c>
      <c r="BB167">
        <v>7</v>
      </c>
      <c r="BC167">
        <v>7</v>
      </c>
      <c r="BD167">
        <v>7</v>
      </c>
      <c r="BE167">
        <v>7</v>
      </c>
      <c r="BF167">
        <v>7</v>
      </c>
      <c r="BG167">
        <v>7</v>
      </c>
      <c r="BH167">
        <v>7</v>
      </c>
      <c r="BI167">
        <v>7</v>
      </c>
      <c r="BJ167">
        <v>7</v>
      </c>
      <c r="BK167">
        <v>7</v>
      </c>
    </row>
    <row r="168" spans="1:63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</row>
    <row r="169" spans="1:63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1</v>
      </c>
      <c r="P169">
        <v>2</v>
      </c>
      <c r="Q169">
        <v>2</v>
      </c>
      <c r="R169">
        <v>2</v>
      </c>
      <c r="S169">
        <v>2</v>
      </c>
      <c r="T169">
        <v>2</v>
      </c>
      <c r="U169">
        <v>2</v>
      </c>
      <c r="V169">
        <v>2</v>
      </c>
      <c r="W169">
        <v>2</v>
      </c>
      <c r="X169">
        <v>2</v>
      </c>
      <c r="Y169">
        <v>3</v>
      </c>
      <c r="Z169">
        <v>3</v>
      </c>
      <c r="AA169">
        <v>4</v>
      </c>
      <c r="AB169">
        <v>5</v>
      </c>
      <c r="AC169">
        <v>5</v>
      </c>
      <c r="AD169">
        <v>5</v>
      </c>
      <c r="AE169">
        <v>5</v>
      </c>
      <c r="AF169">
        <v>5</v>
      </c>
      <c r="AG169">
        <v>5</v>
      </c>
      <c r="AH169">
        <v>6</v>
      </c>
      <c r="AI169">
        <v>6</v>
      </c>
      <c r="AJ169">
        <v>6</v>
      </c>
      <c r="AK169">
        <v>6</v>
      </c>
      <c r="AL169">
        <v>6</v>
      </c>
      <c r="AM169">
        <v>6</v>
      </c>
      <c r="AN169">
        <v>6</v>
      </c>
      <c r="AO169">
        <v>6</v>
      </c>
      <c r="AP169">
        <v>6</v>
      </c>
      <c r="AQ169">
        <v>6</v>
      </c>
      <c r="AR169">
        <v>6</v>
      </c>
      <c r="AS169">
        <v>6</v>
      </c>
      <c r="AT169">
        <v>6</v>
      </c>
      <c r="AU169">
        <v>6</v>
      </c>
      <c r="AV169">
        <v>6</v>
      </c>
      <c r="AW169">
        <v>6</v>
      </c>
      <c r="AX169">
        <v>6</v>
      </c>
      <c r="AY169">
        <v>6</v>
      </c>
      <c r="AZ169">
        <v>6</v>
      </c>
      <c r="BA169">
        <v>6</v>
      </c>
      <c r="BB169">
        <v>6</v>
      </c>
      <c r="BC169">
        <v>6</v>
      </c>
      <c r="BD169">
        <v>6</v>
      </c>
      <c r="BE169">
        <v>6</v>
      </c>
      <c r="BF169">
        <v>6</v>
      </c>
      <c r="BG169">
        <v>6</v>
      </c>
      <c r="BH169">
        <v>6</v>
      </c>
      <c r="BI169">
        <v>6</v>
      </c>
      <c r="BJ169">
        <v>6</v>
      </c>
      <c r="BK169">
        <v>6</v>
      </c>
    </row>
    <row r="170" spans="1:63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1</v>
      </c>
      <c r="P170">
        <v>1</v>
      </c>
      <c r="Q170">
        <v>1</v>
      </c>
      <c r="R170">
        <v>1</v>
      </c>
      <c r="S170">
        <v>1</v>
      </c>
      <c r="T170">
        <v>1</v>
      </c>
      <c r="U170">
        <v>1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3</v>
      </c>
      <c r="AE170">
        <v>3</v>
      </c>
      <c r="AF170">
        <v>3</v>
      </c>
      <c r="AG170">
        <v>3</v>
      </c>
      <c r="AH170">
        <v>3</v>
      </c>
      <c r="AI170">
        <v>3</v>
      </c>
      <c r="AJ170">
        <v>3</v>
      </c>
      <c r="AK170">
        <v>3</v>
      </c>
      <c r="AL170">
        <v>3</v>
      </c>
      <c r="AM170">
        <v>3</v>
      </c>
      <c r="AN170">
        <v>3</v>
      </c>
      <c r="AO170">
        <v>3</v>
      </c>
      <c r="AP170">
        <v>3</v>
      </c>
      <c r="AQ170">
        <v>3</v>
      </c>
      <c r="AR170">
        <v>3</v>
      </c>
      <c r="AS170">
        <v>3</v>
      </c>
      <c r="AT170">
        <v>3</v>
      </c>
      <c r="AU170">
        <v>3</v>
      </c>
      <c r="AV170">
        <v>3</v>
      </c>
      <c r="AW170">
        <v>3</v>
      </c>
      <c r="AX170">
        <v>3</v>
      </c>
      <c r="AY170">
        <v>3</v>
      </c>
      <c r="AZ170">
        <v>3</v>
      </c>
      <c r="BA170">
        <v>3</v>
      </c>
      <c r="BB170">
        <v>3</v>
      </c>
      <c r="BC170">
        <v>3</v>
      </c>
      <c r="BD170">
        <v>3</v>
      </c>
      <c r="BE170">
        <v>3</v>
      </c>
      <c r="BF170">
        <v>3</v>
      </c>
      <c r="BG170">
        <v>3</v>
      </c>
      <c r="BH170">
        <v>3</v>
      </c>
      <c r="BI170">
        <v>3</v>
      </c>
      <c r="BJ170">
        <v>3</v>
      </c>
      <c r="BK170">
        <v>3</v>
      </c>
    </row>
    <row r="171" spans="1:63" x14ac:dyDescent="0.3">
      <c r="A171" t="s">
        <v>14</v>
      </c>
      <c r="B171" t="s">
        <v>337</v>
      </c>
      <c r="C171">
        <v>47.862000000000002</v>
      </c>
      <c r="D171">
        <v>127.7615</v>
      </c>
      <c r="E171">
        <v>0</v>
      </c>
      <c r="F171">
        <v>0</v>
      </c>
      <c r="G171">
        <v>1</v>
      </c>
      <c r="H171">
        <v>1</v>
      </c>
      <c r="I171">
        <v>1</v>
      </c>
      <c r="J171">
        <v>1</v>
      </c>
      <c r="K171">
        <v>1</v>
      </c>
      <c r="L171">
        <v>1</v>
      </c>
      <c r="M171">
        <v>2</v>
      </c>
      <c r="N171">
        <v>2</v>
      </c>
      <c r="O171">
        <v>2</v>
      </c>
      <c r="P171">
        <v>2</v>
      </c>
      <c r="Q171">
        <v>2</v>
      </c>
      <c r="R171">
        <v>2</v>
      </c>
      <c r="S171">
        <v>2</v>
      </c>
      <c r="T171">
        <v>3</v>
      </c>
      <c r="U171">
        <v>3</v>
      </c>
      <c r="V171">
        <v>5</v>
      </c>
      <c r="W171">
        <v>6</v>
      </c>
      <c r="X171">
        <v>7</v>
      </c>
      <c r="Y171">
        <v>8</v>
      </c>
      <c r="Z171">
        <v>8</v>
      </c>
      <c r="AA171">
        <v>9</v>
      </c>
      <c r="AB171">
        <v>11</v>
      </c>
      <c r="AC171">
        <v>11</v>
      </c>
      <c r="AD171">
        <v>11</v>
      </c>
      <c r="AE171">
        <v>11</v>
      </c>
      <c r="AF171">
        <v>11</v>
      </c>
      <c r="AG171">
        <v>12</v>
      </c>
      <c r="AH171">
        <v>12</v>
      </c>
      <c r="AI171">
        <v>12</v>
      </c>
      <c r="AJ171">
        <v>12</v>
      </c>
      <c r="AK171">
        <v>12</v>
      </c>
      <c r="AL171">
        <v>12</v>
      </c>
      <c r="AM171">
        <v>12</v>
      </c>
      <c r="AN171">
        <v>12</v>
      </c>
      <c r="AO171">
        <v>13</v>
      </c>
      <c r="AP171">
        <v>13</v>
      </c>
      <c r="AQ171">
        <v>13</v>
      </c>
      <c r="AR171">
        <v>13</v>
      </c>
      <c r="AS171">
        <v>13</v>
      </c>
      <c r="AT171">
        <v>13</v>
      </c>
      <c r="AU171">
        <v>13</v>
      </c>
      <c r="AV171">
        <v>13</v>
      </c>
      <c r="AW171">
        <v>13</v>
      </c>
      <c r="AX171">
        <v>13</v>
      </c>
      <c r="AY171">
        <v>13</v>
      </c>
      <c r="AZ171">
        <v>13</v>
      </c>
      <c r="BA171">
        <v>13</v>
      </c>
      <c r="BB171">
        <v>13</v>
      </c>
      <c r="BC171">
        <v>13</v>
      </c>
      <c r="BD171">
        <v>13</v>
      </c>
      <c r="BE171">
        <v>13</v>
      </c>
      <c r="BF171">
        <v>13</v>
      </c>
      <c r="BG171">
        <v>13</v>
      </c>
      <c r="BH171">
        <v>13</v>
      </c>
      <c r="BI171">
        <v>13</v>
      </c>
      <c r="BJ171">
        <v>13</v>
      </c>
      <c r="BK171">
        <v>13</v>
      </c>
    </row>
    <row r="172" spans="1:63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1</v>
      </c>
      <c r="BF172">
        <v>2</v>
      </c>
      <c r="BG172">
        <v>3</v>
      </c>
      <c r="BH172">
        <v>4</v>
      </c>
      <c r="BI172">
        <v>4</v>
      </c>
      <c r="BJ172">
        <v>6</v>
      </c>
      <c r="BK172">
        <v>9</v>
      </c>
    </row>
    <row r="173" spans="1:63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1</v>
      </c>
      <c r="K173">
        <v>1</v>
      </c>
      <c r="L173">
        <v>1</v>
      </c>
      <c r="M173">
        <v>1</v>
      </c>
      <c r="N173">
        <v>1</v>
      </c>
      <c r="O173">
        <v>1</v>
      </c>
      <c r="P173">
        <v>1</v>
      </c>
      <c r="Q173">
        <v>1</v>
      </c>
      <c r="R173">
        <v>1</v>
      </c>
      <c r="S173">
        <v>1</v>
      </c>
      <c r="T173">
        <v>1</v>
      </c>
      <c r="U173">
        <v>1</v>
      </c>
      <c r="V173">
        <v>2</v>
      </c>
      <c r="W173">
        <v>2</v>
      </c>
      <c r="X173">
        <v>2</v>
      </c>
      <c r="Y173">
        <v>3</v>
      </c>
      <c r="Z173">
        <v>3</v>
      </c>
      <c r="AA173">
        <v>3</v>
      </c>
      <c r="AB173">
        <v>3</v>
      </c>
      <c r="AC173">
        <v>4</v>
      </c>
      <c r="AD173">
        <v>4</v>
      </c>
      <c r="AE173">
        <v>4</v>
      </c>
      <c r="AF173">
        <v>4</v>
      </c>
      <c r="AG173">
        <v>4</v>
      </c>
      <c r="AH173">
        <v>4</v>
      </c>
      <c r="AI173">
        <v>4</v>
      </c>
      <c r="AJ173">
        <v>4</v>
      </c>
      <c r="AK173">
        <v>4</v>
      </c>
      <c r="AL173">
        <v>4</v>
      </c>
      <c r="AM173">
        <v>4</v>
      </c>
      <c r="AN173">
        <v>4</v>
      </c>
      <c r="AO173">
        <v>5</v>
      </c>
      <c r="AP173">
        <v>7</v>
      </c>
      <c r="AQ173">
        <v>8</v>
      </c>
      <c r="AR173">
        <v>8</v>
      </c>
      <c r="AS173">
        <v>8</v>
      </c>
      <c r="AT173">
        <v>8</v>
      </c>
      <c r="AU173">
        <v>8</v>
      </c>
      <c r="AV173">
        <v>8</v>
      </c>
      <c r="AW173">
        <v>8</v>
      </c>
      <c r="AX173">
        <v>8</v>
      </c>
      <c r="AY173">
        <v>8</v>
      </c>
      <c r="AZ173">
        <v>8</v>
      </c>
      <c r="BA173">
        <v>8</v>
      </c>
      <c r="BB173">
        <v>8</v>
      </c>
      <c r="BC173">
        <v>8</v>
      </c>
      <c r="BD173">
        <v>8</v>
      </c>
      <c r="BE173">
        <v>8</v>
      </c>
      <c r="BF173">
        <v>8</v>
      </c>
      <c r="BG173">
        <v>8</v>
      </c>
      <c r="BH173">
        <v>8</v>
      </c>
      <c r="BI173">
        <v>8</v>
      </c>
      <c r="BJ173">
        <v>8</v>
      </c>
      <c r="BK173">
        <v>8</v>
      </c>
    </row>
    <row r="174" spans="1:63" x14ac:dyDescent="0.3">
      <c r="A174" t="s">
        <v>27</v>
      </c>
      <c r="B174" t="s">
        <v>337</v>
      </c>
      <c r="C174">
        <v>31.202000000000002</v>
      </c>
      <c r="D174">
        <v>121.4491</v>
      </c>
      <c r="E174">
        <v>0</v>
      </c>
      <c r="F174">
        <v>0</v>
      </c>
      <c r="G174">
        <v>0</v>
      </c>
      <c r="H174">
        <v>0</v>
      </c>
      <c r="I174">
        <v>1</v>
      </c>
      <c r="J174">
        <v>1</v>
      </c>
      <c r="K174">
        <v>1</v>
      </c>
      <c r="L174">
        <v>1</v>
      </c>
      <c r="M174">
        <v>1</v>
      </c>
      <c r="N174">
        <v>1</v>
      </c>
      <c r="O174">
        <v>1</v>
      </c>
      <c r="P174">
        <v>1</v>
      </c>
      <c r="Q174">
        <v>1</v>
      </c>
      <c r="R174">
        <v>1</v>
      </c>
      <c r="S174">
        <v>1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>
        <v>2</v>
      </c>
      <c r="AH174">
        <v>2</v>
      </c>
      <c r="AI174">
        <v>2</v>
      </c>
      <c r="AJ174">
        <v>3</v>
      </c>
      <c r="AK174">
        <v>3</v>
      </c>
      <c r="AL174">
        <v>3</v>
      </c>
      <c r="AM174">
        <v>3</v>
      </c>
      <c r="AN174">
        <v>3</v>
      </c>
      <c r="AO174">
        <v>3</v>
      </c>
      <c r="AP174">
        <v>3</v>
      </c>
      <c r="AQ174">
        <v>3</v>
      </c>
      <c r="AR174">
        <v>3</v>
      </c>
      <c r="AS174">
        <v>3</v>
      </c>
      <c r="AT174">
        <v>3</v>
      </c>
      <c r="AU174">
        <v>3</v>
      </c>
      <c r="AV174">
        <v>3</v>
      </c>
      <c r="AW174">
        <v>3</v>
      </c>
      <c r="AX174">
        <v>3</v>
      </c>
      <c r="AY174">
        <v>3</v>
      </c>
      <c r="AZ174">
        <v>3</v>
      </c>
      <c r="BA174">
        <v>3</v>
      </c>
      <c r="BB174">
        <v>3</v>
      </c>
      <c r="BC174">
        <v>3</v>
      </c>
      <c r="BD174">
        <v>3</v>
      </c>
      <c r="BE174">
        <v>3</v>
      </c>
      <c r="BF174">
        <v>3</v>
      </c>
      <c r="BG174">
        <v>3</v>
      </c>
      <c r="BH174">
        <v>3</v>
      </c>
      <c r="BI174">
        <v>3</v>
      </c>
      <c r="BJ174">
        <v>3</v>
      </c>
      <c r="BK174">
        <v>3</v>
      </c>
    </row>
    <row r="175" spans="1:63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1</v>
      </c>
      <c r="G175">
        <v>1</v>
      </c>
      <c r="H175">
        <v>1</v>
      </c>
      <c r="I175">
        <v>1</v>
      </c>
      <c r="J175">
        <v>1</v>
      </c>
      <c r="K175">
        <v>1</v>
      </c>
      <c r="L175">
        <v>1</v>
      </c>
      <c r="M175">
        <v>1</v>
      </c>
      <c r="N175">
        <v>1</v>
      </c>
      <c r="O175">
        <v>1</v>
      </c>
      <c r="P175">
        <v>1</v>
      </c>
      <c r="Q175">
        <v>1</v>
      </c>
      <c r="R175">
        <v>1</v>
      </c>
      <c r="S175">
        <v>1</v>
      </c>
      <c r="T175">
        <v>1</v>
      </c>
      <c r="U175">
        <v>1</v>
      </c>
      <c r="V175">
        <v>1</v>
      </c>
      <c r="W175">
        <v>2</v>
      </c>
      <c r="X175">
        <v>2</v>
      </c>
      <c r="Y175">
        <v>2</v>
      </c>
      <c r="Z175">
        <v>2</v>
      </c>
      <c r="AA175">
        <v>3</v>
      </c>
      <c r="AB175">
        <v>3</v>
      </c>
      <c r="AC175">
        <v>3</v>
      </c>
      <c r="AD175">
        <v>3</v>
      </c>
      <c r="AE175">
        <v>3</v>
      </c>
      <c r="AF175">
        <v>4</v>
      </c>
      <c r="AG175">
        <v>4</v>
      </c>
      <c r="AH175">
        <v>5</v>
      </c>
      <c r="AI175">
        <v>5</v>
      </c>
      <c r="AJ175">
        <v>6</v>
      </c>
      <c r="AK175">
        <v>6</v>
      </c>
      <c r="AL175">
        <v>6</v>
      </c>
      <c r="AM175">
        <v>6</v>
      </c>
      <c r="AN175">
        <v>6</v>
      </c>
      <c r="AO175">
        <v>6</v>
      </c>
      <c r="AP175">
        <v>6</v>
      </c>
      <c r="AQ175">
        <v>6</v>
      </c>
      <c r="AR175">
        <v>6</v>
      </c>
      <c r="AS175">
        <v>6</v>
      </c>
      <c r="AT175">
        <v>6</v>
      </c>
      <c r="AU175">
        <v>6</v>
      </c>
      <c r="AV175">
        <v>6</v>
      </c>
      <c r="AW175">
        <v>6</v>
      </c>
      <c r="AX175">
        <v>6</v>
      </c>
      <c r="AY175">
        <v>6</v>
      </c>
      <c r="AZ175">
        <v>6</v>
      </c>
      <c r="BA175">
        <v>6</v>
      </c>
      <c r="BB175">
        <v>6</v>
      </c>
      <c r="BC175">
        <v>6</v>
      </c>
      <c r="BD175">
        <v>6</v>
      </c>
      <c r="BE175">
        <v>6</v>
      </c>
      <c r="BF175">
        <v>6</v>
      </c>
      <c r="BG175">
        <v>6</v>
      </c>
      <c r="BH175">
        <v>6</v>
      </c>
      <c r="BI175">
        <v>6</v>
      </c>
      <c r="BJ175">
        <v>6</v>
      </c>
      <c r="BK175">
        <v>6</v>
      </c>
    </row>
    <row r="176" spans="1:63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1</v>
      </c>
      <c r="AI176">
        <v>1</v>
      </c>
      <c r="AJ176">
        <v>1</v>
      </c>
      <c r="AK176">
        <v>1</v>
      </c>
      <c r="AL176">
        <v>1</v>
      </c>
      <c r="AM176">
        <v>1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1</v>
      </c>
      <c r="AX176">
        <v>1</v>
      </c>
      <c r="AY176">
        <v>1</v>
      </c>
      <c r="AZ176">
        <v>1</v>
      </c>
      <c r="BA176">
        <v>1</v>
      </c>
      <c r="BB176">
        <v>1</v>
      </c>
      <c r="BC176">
        <v>1</v>
      </c>
      <c r="BD176">
        <v>1</v>
      </c>
      <c r="BE176">
        <v>1</v>
      </c>
      <c r="BF176">
        <v>1</v>
      </c>
      <c r="BG176">
        <v>1</v>
      </c>
      <c r="BH176">
        <v>1</v>
      </c>
      <c r="BI176">
        <v>1</v>
      </c>
      <c r="BJ176">
        <v>1</v>
      </c>
      <c r="BK176">
        <v>1</v>
      </c>
    </row>
    <row r="177" spans="1:63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1</v>
      </c>
      <c r="X177">
        <v>1</v>
      </c>
      <c r="Y177">
        <v>1</v>
      </c>
      <c r="Z177">
        <v>1</v>
      </c>
      <c r="AA177">
        <v>2</v>
      </c>
      <c r="AB177">
        <v>2</v>
      </c>
      <c r="AC177">
        <v>2</v>
      </c>
      <c r="AD177">
        <v>2</v>
      </c>
      <c r="AE177">
        <v>2</v>
      </c>
      <c r="AF177">
        <v>2</v>
      </c>
      <c r="AG177">
        <v>2</v>
      </c>
      <c r="AH177">
        <v>2</v>
      </c>
      <c r="AI177">
        <v>2</v>
      </c>
      <c r="AJ177">
        <v>2</v>
      </c>
      <c r="AK177">
        <v>2</v>
      </c>
      <c r="AL177">
        <v>2</v>
      </c>
      <c r="AM177">
        <v>2</v>
      </c>
      <c r="AN177">
        <v>2</v>
      </c>
      <c r="AO177">
        <v>2</v>
      </c>
      <c r="AP177">
        <v>2</v>
      </c>
      <c r="AQ177">
        <v>2</v>
      </c>
      <c r="AR177">
        <v>2</v>
      </c>
      <c r="AS177">
        <v>2</v>
      </c>
      <c r="AT177">
        <v>2</v>
      </c>
      <c r="AU177">
        <v>2</v>
      </c>
      <c r="AV177">
        <v>2</v>
      </c>
      <c r="AW177">
        <v>2</v>
      </c>
      <c r="AX177">
        <v>2</v>
      </c>
      <c r="AY177">
        <v>2</v>
      </c>
      <c r="AZ177">
        <v>2</v>
      </c>
      <c r="BA177">
        <v>2</v>
      </c>
      <c r="BB177">
        <v>2</v>
      </c>
      <c r="BC177">
        <v>2</v>
      </c>
      <c r="BD177">
        <v>2</v>
      </c>
      <c r="BE177">
        <v>2</v>
      </c>
      <c r="BF177">
        <v>2</v>
      </c>
      <c r="BG177">
        <v>2</v>
      </c>
      <c r="BH177">
        <v>2</v>
      </c>
      <c r="BI177">
        <v>2</v>
      </c>
      <c r="BJ177">
        <v>2</v>
      </c>
      <c r="BK177">
        <v>2</v>
      </c>
    </row>
    <row r="178" spans="1:63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1</v>
      </c>
      <c r="AI178">
        <v>1</v>
      </c>
      <c r="AJ178">
        <v>1</v>
      </c>
      <c r="AK178">
        <v>1</v>
      </c>
      <c r="AL178">
        <v>1</v>
      </c>
      <c r="AM178">
        <v>1</v>
      </c>
      <c r="AN178">
        <v>1</v>
      </c>
      <c r="AO178">
        <v>1</v>
      </c>
      <c r="AP178">
        <v>1</v>
      </c>
      <c r="AQ178">
        <v>1</v>
      </c>
      <c r="AR178">
        <v>1</v>
      </c>
      <c r="AS178">
        <v>1</v>
      </c>
      <c r="AT178">
        <v>1</v>
      </c>
      <c r="AU178">
        <v>1</v>
      </c>
      <c r="AV178">
        <v>1</v>
      </c>
      <c r="AW178">
        <v>1</v>
      </c>
      <c r="AX178">
        <v>1</v>
      </c>
      <c r="AY178">
        <v>1</v>
      </c>
      <c r="AZ178">
        <v>1</v>
      </c>
      <c r="BA178">
        <v>1</v>
      </c>
      <c r="BB178">
        <v>1</v>
      </c>
      <c r="BC178">
        <v>2</v>
      </c>
      <c r="BD178">
        <v>2</v>
      </c>
      <c r="BE178">
        <v>2</v>
      </c>
      <c r="BF178">
        <v>2</v>
      </c>
      <c r="BG178">
        <v>2</v>
      </c>
      <c r="BH178">
        <v>3</v>
      </c>
      <c r="BI178">
        <v>3</v>
      </c>
      <c r="BJ178">
        <v>3</v>
      </c>
      <c r="BK178">
        <v>3</v>
      </c>
    </row>
    <row r="179" spans="1:63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1</v>
      </c>
      <c r="AH179">
        <v>2</v>
      </c>
      <c r="AI179">
        <v>2</v>
      </c>
      <c r="AJ179">
        <v>2</v>
      </c>
      <c r="AK179">
        <v>2</v>
      </c>
      <c r="AL179">
        <v>2</v>
      </c>
      <c r="AM179">
        <v>2</v>
      </c>
      <c r="AN179">
        <v>2</v>
      </c>
      <c r="AO179">
        <v>2</v>
      </c>
      <c r="AP179">
        <v>2</v>
      </c>
      <c r="AQ179">
        <v>2</v>
      </c>
      <c r="AR179">
        <v>2</v>
      </c>
      <c r="AS179">
        <v>2</v>
      </c>
      <c r="AT179">
        <v>2</v>
      </c>
      <c r="AU179">
        <v>2</v>
      </c>
      <c r="AV179">
        <v>2</v>
      </c>
      <c r="AW179">
        <v>2</v>
      </c>
      <c r="AX179">
        <v>2</v>
      </c>
      <c r="AY179">
        <v>2</v>
      </c>
      <c r="AZ179">
        <v>2</v>
      </c>
      <c r="BA179">
        <v>2</v>
      </c>
      <c r="BB179">
        <v>2</v>
      </c>
      <c r="BC179">
        <v>2</v>
      </c>
      <c r="BD179">
        <v>2</v>
      </c>
      <c r="BE179">
        <v>2</v>
      </c>
      <c r="BF179">
        <v>2</v>
      </c>
      <c r="BG179">
        <v>2</v>
      </c>
      <c r="BH179">
        <v>2</v>
      </c>
      <c r="BI179">
        <v>2</v>
      </c>
      <c r="BJ179">
        <v>2</v>
      </c>
      <c r="BK179">
        <v>2</v>
      </c>
    </row>
    <row r="180" spans="1:63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1</v>
      </c>
      <c r="K180">
        <v>1</v>
      </c>
      <c r="L180">
        <v>1</v>
      </c>
      <c r="M180">
        <v>1</v>
      </c>
      <c r="N180">
        <v>1</v>
      </c>
      <c r="O180">
        <v>1</v>
      </c>
      <c r="P180">
        <v>1</v>
      </c>
      <c r="Q180">
        <v>1</v>
      </c>
      <c r="R180">
        <v>1</v>
      </c>
      <c r="S180">
        <v>1</v>
      </c>
      <c r="T180">
        <v>1</v>
      </c>
      <c r="U180">
        <v>2</v>
      </c>
      <c r="V180">
        <v>2</v>
      </c>
      <c r="W180">
        <v>3</v>
      </c>
      <c r="X180">
        <v>3</v>
      </c>
      <c r="Y180">
        <v>3</v>
      </c>
      <c r="Z180">
        <v>4</v>
      </c>
      <c r="AA180">
        <v>4</v>
      </c>
      <c r="AB180">
        <v>4</v>
      </c>
      <c r="AC180">
        <v>4</v>
      </c>
      <c r="AD180">
        <v>4</v>
      </c>
      <c r="AE180">
        <v>4</v>
      </c>
      <c r="AF180">
        <v>4</v>
      </c>
      <c r="AG180">
        <v>4</v>
      </c>
      <c r="AH180">
        <v>4</v>
      </c>
      <c r="AI180">
        <v>4</v>
      </c>
      <c r="AJ180">
        <v>4</v>
      </c>
      <c r="AK180">
        <v>5</v>
      </c>
      <c r="AL180">
        <v>5</v>
      </c>
      <c r="AM180">
        <v>5</v>
      </c>
      <c r="AN180">
        <v>5</v>
      </c>
      <c r="AO180">
        <v>5</v>
      </c>
      <c r="AP180">
        <v>5</v>
      </c>
      <c r="AQ180">
        <v>5</v>
      </c>
      <c r="AR180">
        <v>5</v>
      </c>
      <c r="AS180">
        <v>5</v>
      </c>
      <c r="AT180">
        <v>5</v>
      </c>
      <c r="AU180">
        <v>5</v>
      </c>
      <c r="AV180">
        <v>6</v>
      </c>
      <c r="AW180">
        <v>6</v>
      </c>
      <c r="AX180">
        <v>6</v>
      </c>
      <c r="AY180">
        <v>6</v>
      </c>
      <c r="AZ180">
        <v>6</v>
      </c>
      <c r="BA180">
        <v>6</v>
      </c>
      <c r="BB180">
        <v>6</v>
      </c>
      <c r="BC180">
        <v>6</v>
      </c>
      <c r="BD180">
        <v>6</v>
      </c>
      <c r="BE180">
        <v>6</v>
      </c>
      <c r="BF180">
        <v>6</v>
      </c>
      <c r="BG180">
        <v>6</v>
      </c>
      <c r="BH180">
        <v>6</v>
      </c>
      <c r="BI180">
        <v>6</v>
      </c>
      <c r="BJ180">
        <v>6</v>
      </c>
      <c r="BK180">
        <v>6</v>
      </c>
    </row>
    <row r="181" spans="1:63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2</v>
      </c>
      <c r="AG181">
        <v>2</v>
      </c>
      <c r="AH181">
        <v>2</v>
      </c>
      <c r="AI181">
        <v>2</v>
      </c>
      <c r="AJ181">
        <v>2</v>
      </c>
      <c r="AK181">
        <v>2</v>
      </c>
      <c r="AL181">
        <v>2</v>
      </c>
      <c r="AM181">
        <v>2</v>
      </c>
      <c r="AN181">
        <v>2</v>
      </c>
      <c r="AO181">
        <v>2</v>
      </c>
      <c r="AP181">
        <v>2</v>
      </c>
      <c r="AQ181">
        <v>2</v>
      </c>
      <c r="AR181">
        <v>2</v>
      </c>
      <c r="AS181">
        <v>2</v>
      </c>
      <c r="AT181">
        <v>2</v>
      </c>
      <c r="AU181">
        <v>2</v>
      </c>
      <c r="AV181">
        <v>2</v>
      </c>
      <c r="AW181">
        <v>2</v>
      </c>
      <c r="AX181">
        <v>2</v>
      </c>
      <c r="AY181">
        <v>2</v>
      </c>
      <c r="AZ181">
        <v>2</v>
      </c>
      <c r="BA181">
        <v>2</v>
      </c>
      <c r="BB181">
        <v>2</v>
      </c>
      <c r="BC181">
        <v>2</v>
      </c>
      <c r="BD181">
        <v>2</v>
      </c>
      <c r="BE181">
        <v>2</v>
      </c>
      <c r="BF181">
        <v>2</v>
      </c>
      <c r="BG181">
        <v>2</v>
      </c>
      <c r="BH181">
        <v>2</v>
      </c>
      <c r="BI181">
        <v>2</v>
      </c>
      <c r="BJ181">
        <v>2</v>
      </c>
      <c r="BK181">
        <v>2</v>
      </c>
    </row>
    <row r="182" spans="1:63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2</v>
      </c>
      <c r="Z182">
        <v>2</v>
      </c>
      <c r="AA182">
        <v>3</v>
      </c>
      <c r="AB182">
        <v>3</v>
      </c>
      <c r="AC182">
        <v>3</v>
      </c>
      <c r="AD182">
        <v>3</v>
      </c>
      <c r="AE182">
        <v>3</v>
      </c>
      <c r="AF182">
        <v>3</v>
      </c>
      <c r="AG182">
        <v>3</v>
      </c>
      <c r="AH182">
        <v>3</v>
      </c>
      <c r="AI182">
        <v>3</v>
      </c>
      <c r="AJ182">
        <v>3</v>
      </c>
      <c r="AK182">
        <v>3</v>
      </c>
      <c r="AL182">
        <v>3</v>
      </c>
      <c r="AM182">
        <v>3</v>
      </c>
      <c r="AN182">
        <v>3</v>
      </c>
      <c r="AO182">
        <v>3</v>
      </c>
      <c r="AP182">
        <v>3</v>
      </c>
      <c r="AQ182">
        <v>3</v>
      </c>
      <c r="AR182">
        <v>3</v>
      </c>
      <c r="AS182">
        <v>3</v>
      </c>
      <c r="AT182">
        <v>3</v>
      </c>
      <c r="AU182">
        <v>3</v>
      </c>
      <c r="AV182">
        <v>3</v>
      </c>
      <c r="AW182">
        <v>3</v>
      </c>
      <c r="AX182">
        <v>3</v>
      </c>
      <c r="AY182">
        <v>3</v>
      </c>
      <c r="AZ182">
        <v>3</v>
      </c>
      <c r="BA182">
        <v>3</v>
      </c>
      <c r="BB182">
        <v>3</v>
      </c>
      <c r="BC182">
        <v>3</v>
      </c>
      <c r="BD182">
        <v>3</v>
      </c>
      <c r="BE182">
        <v>3</v>
      </c>
      <c r="BF182">
        <v>3</v>
      </c>
      <c r="BG182">
        <v>3</v>
      </c>
      <c r="BH182">
        <v>3</v>
      </c>
      <c r="BI182">
        <v>3</v>
      </c>
      <c r="BJ182">
        <v>3</v>
      </c>
      <c r="BK182">
        <v>3</v>
      </c>
    </row>
    <row r="183" spans="1:63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</row>
    <row r="184" spans="1:63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1</v>
      </c>
      <c r="W184">
        <v>2</v>
      </c>
      <c r="X184">
        <v>2</v>
      </c>
      <c r="Y184">
        <v>2</v>
      </c>
      <c r="Z184">
        <v>2</v>
      </c>
      <c r="AA184">
        <v>2</v>
      </c>
      <c r="AB184">
        <v>2</v>
      </c>
      <c r="AC184">
        <v>2</v>
      </c>
      <c r="AD184">
        <v>2</v>
      </c>
      <c r="AE184">
        <v>2</v>
      </c>
      <c r="AF184">
        <v>2</v>
      </c>
      <c r="AG184">
        <v>2</v>
      </c>
      <c r="AH184">
        <v>2</v>
      </c>
      <c r="AI184">
        <v>2</v>
      </c>
      <c r="AJ184">
        <v>2</v>
      </c>
      <c r="AK184">
        <v>2</v>
      </c>
      <c r="AL184">
        <v>2</v>
      </c>
      <c r="AM184">
        <v>2</v>
      </c>
      <c r="AN184">
        <v>2</v>
      </c>
      <c r="AO184">
        <v>2</v>
      </c>
      <c r="AP184">
        <v>2</v>
      </c>
      <c r="AQ184">
        <v>2</v>
      </c>
      <c r="AR184">
        <v>2</v>
      </c>
      <c r="AS184">
        <v>2</v>
      </c>
      <c r="AT184">
        <v>2</v>
      </c>
      <c r="AU184">
        <v>2</v>
      </c>
      <c r="AV184">
        <v>2</v>
      </c>
      <c r="AW184">
        <v>2</v>
      </c>
      <c r="AX184">
        <v>2</v>
      </c>
      <c r="AY184">
        <v>2</v>
      </c>
      <c r="AZ184">
        <v>2</v>
      </c>
      <c r="BA184">
        <v>2</v>
      </c>
      <c r="BB184">
        <v>2</v>
      </c>
      <c r="BC184">
        <v>2</v>
      </c>
      <c r="BD184">
        <v>2</v>
      </c>
      <c r="BE184">
        <v>2</v>
      </c>
      <c r="BF184">
        <v>2</v>
      </c>
      <c r="BG184">
        <v>2</v>
      </c>
      <c r="BH184">
        <v>2</v>
      </c>
      <c r="BI184">
        <v>2</v>
      </c>
      <c r="BJ184">
        <v>2</v>
      </c>
      <c r="BK184">
        <v>2</v>
      </c>
    </row>
    <row r="185" spans="1:63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1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>
        <v>2</v>
      </c>
      <c r="AH185">
        <v>2</v>
      </c>
      <c r="AI185">
        <v>2</v>
      </c>
      <c r="AJ185">
        <v>2</v>
      </c>
      <c r="AK185">
        <v>2</v>
      </c>
      <c r="AL185">
        <v>2</v>
      </c>
      <c r="AM185">
        <v>2</v>
      </c>
      <c r="AN185">
        <v>2</v>
      </c>
      <c r="AO185">
        <v>2</v>
      </c>
      <c r="AP185">
        <v>2</v>
      </c>
      <c r="AQ185">
        <v>2</v>
      </c>
      <c r="AR185">
        <v>2</v>
      </c>
      <c r="AS185">
        <v>2</v>
      </c>
      <c r="AT185">
        <v>2</v>
      </c>
      <c r="AU185">
        <v>2</v>
      </c>
      <c r="AV185">
        <v>2</v>
      </c>
      <c r="AW185">
        <v>2</v>
      </c>
      <c r="AX185">
        <v>2</v>
      </c>
      <c r="AY185">
        <v>3</v>
      </c>
      <c r="AZ185">
        <v>3</v>
      </c>
      <c r="BA185">
        <v>3</v>
      </c>
      <c r="BB185">
        <v>3</v>
      </c>
      <c r="BC185">
        <v>3</v>
      </c>
      <c r="BD185">
        <v>4</v>
      </c>
      <c r="BE185">
        <v>4</v>
      </c>
      <c r="BF185">
        <v>4</v>
      </c>
      <c r="BG185">
        <v>4</v>
      </c>
      <c r="BH185">
        <v>4</v>
      </c>
      <c r="BI185">
        <v>4</v>
      </c>
      <c r="BJ185">
        <v>4</v>
      </c>
      <c r="BK185">
        <v>4</v>
      </c>
    </row>
    <row r="186" spans="1:63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>
        <v>1</v>
      </c>
      <c r="AH186">
        <v>1</v>
      </c>
      <c r="AI186">
        <v>1</v>
      </c>
      <c r="AJ186">
        <v>1</v>
      </c>
      <c r="AK186">
        <v>1</v>
      </c>
      <c r="AL186">
        <v>1</v>
      </c>
      <c r="AM186">
        <v>1</v>
      </c>
      <c r="AN186">
        <v>1</v>
      </c>
      <c r="AO186">
        <v>1</v>
      </c>
      <c r="AP186">
        <v>1</v>
      </c>
      <c r="AQ186">
        <v>1</v>
      </c>
      <c r="AR186">
        <v>1</v>
      </c>
      <c r="AS186">
        <v>1</v>
      </c>
      <c r="AT186">
        <v>1</v>
      </c>
      <c r="AU186">
        <v>1</v>
      </c>
      <c r="AV186">
        <v>1</v>
      </c>
      <c r="AW186">
        <v>1</v>
      </c>
      <c r="AX186">
        <v>1</v>
      </c>
      <c r="AY186">
        <v>1</v>
      </c>
      <c r="AZ186">
        <v>1</v>
      </c>
      <c r="BA186">
        <v>1</v>
      </c>
      <c r="BB186">
        <v>1</v>
      </c>
      <c r="BC186">
        <v>1</v>
      </c>
      <c r="BD186">
        <v>1</v>
      </c>
      <c r="BE186">
        <v>1</v>
      </c>
      <c r="BF186">
        <v>1</v>
      </c>
      <c r="BG186">
        <v>1</v>
      </c>
      <c r="BH186">
        <v>1</v>
      </c>
      <c r="BI186">
        <v>1</v>
      </c>
      <c r="BJ186">
        <v>1</v>
      </c>
      <c r="BK186">
        <v>2</v>
      </c>
    </row>
    <row r="187" spans="1:63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>
        <v>1</v>
      </c>
      <c r="AH187">
        <v>1</v>
      </c>
      <c r="AI187">
        <v>1</v>
      </c>
      <c r="AJ187">
        <v>1</v>
      </c>
      <c r="AK187">
        <v>1</v>
      </c>
      <c r="AL187">
        <v>1</v>
      </c>
      <c r="AM187">
        <v>1</v>
      </c>
      <c r="AN187">
        <v>1</v>
      </c>
      <c r="AO187">
        <v>1</v>
      </c>
      <c r="AP187">
        <v>1</v>
      </c>
      <c r="AQ187">
        <v>1</v>
      </c>
      <c r="AR187">
        <v>1</v>
      </c>
      <c r="AS187">
        <v>1</v>
      </c>
      <c r="AT187">
        <v>1</v>
      </c>
      <c r="AU187">
        <v>1</v>
      </c>
      <c r="AV187">
        <v>1</v>
      </c>
      <c r="AW187">
        <v>1</v>
      </c>
      <c r="AX187">
        <v>1</v>
      </c>
      <c r="AY187">
        <v>1</v>
      </c>
      <c r="AZ187">
        <v>1</v>
      </c>
      <c r="BA187">
        <v>1</v>
      </c>
      <c r="BB187">
        <v>1</v>
      </c>
      <c r="BC187">
        <v>1</v>
      </c>
      <c r="BD187">
        <v>1</v>
      </c>
      <c r="BE187">
        <v>1</v>
      </c>
      <c r="BF187">
        <v>1</v>
      </c>
      <c r="BG187">
        <v>1</v>
      </c>
      <c r="BH187">
        <v>1</v>
      </c>
      <c r="BI187">
        <v>1</v>
      </c>
      <c r="BJ187">
        <v>1</v>
      </c>
      <c r="BK187">
        <v>1</v>
      </c>
    </row>
    <row r="188" spans="1:63" x14ac:dyDescent="0.3">
      <c r="B188" t="s">
        <v>341</v>
      </c>
      <c r="C188">
        <v>49.817500000000003</v>
      </c>
      <c r="D188">
        <v>15.473000000000001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</row>
    <row r="189" spans="1:63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>
        <v>1</v>
      </c>
      <c r="AH189">
        <v>1</v>
      </c>
      <c r="AI189">
        <v>1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3</v>
      </c>
      <c r="AQ189">
        <v>3</v>
      </c>
      <c r="AR189">
        <v>3</v>
      </c>
      <c r="AS189">
        <v>3</v>
      </c>
      <c r="AT189">
        <v>3</v>
      </c>
      <c r="AU189">
        <v>3</v>
      </c>
      <c r="AV189">
        <v>3</v>
      </c>
      <c r="AW189">
        <v>3</v>
      </c>
      <c r="AX189">
        <v>3</v>
      </c>
      <c r="AY189">
        <v>3</v>
      </c>
      <c r="AZ189">
        <v>3</v>
      </c>
      <c r="BA189">
        <v>3</v>
      </c>
      <c r="BB189">
        <v>3</v>
      </c>
      <c r="BC189">
        <v>3</v>
      </c>
      <c r="BD189">
        <v>3</v>
      </c>
      <c r="BE189">
        <v>3</v>
      </c>
      <c r="BF189">
        <v>3</v>
      </c>
      <c r="BG189">
        <v>3</v>
      </c>
      <c r="BH189">
        <v>3</v>
      </c>
      <c r="BI189">
        <v>3</v>
      </c>
      <c r="BJ189">
        <v>3</v>
      </c>
      <c r="BK189">
        <v>3</v>
      </c>
    </row>
    <row r="190" spans="1:63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1</v>
      </c>
      <c r="AU190">
        <v>1</v>
      </c>
      <c r="AV190">
        <v>1</v>
      </c>
      <c r="AW190">
        <v>1</v>
      </c>
      <c r="AX190">
        <v>1</v>
      </c>
      <c r="AY190">
        <v>1</v>
      </c>
      <c r="AZ190">
        <v>1</v>
      </c>
      <c r="BA190">
        <v>1</v>
      </c>
      <c r="BB190">
        <v>1</v>
      </c>
      <c r="BC190">
        <v>1</v>
      </c>
      <c r="BD190">
        <v>1</v>
      </c>
      <c r="BE190">
        <v>1</v>
      </c>
      <c r="BF190">
        <v>1</v>
      </c>
      <c r="BG190">
        <v>1</v>
      </c>
      <c r="BH190">
        <v>1</v>
      </c>
      <c r="BI190">
        <v>1</v>
      </c>
      <c r="BJ190">
        <v>1</v>
      </c>
      <c r="BK190">
        <v>1</v>
      </c>
    </row>
    <row r="191" spans="1:63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</row>
    <row r="192" spans="1:63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1</v>
      </c>
      <c r="AE192">
        <v>1</v>
      </c>
      <c r="AF192">
        <v>1</v>
      </c>
      <c r="AG192">
        <v>1</v>
      </c>
      <c r="AH192">
        <v>1</v>
      </c>
      <c r="AI192">
        <v>1</v>
      </c>
      <c r="AJ192">
        <v>1</v>
      </c>
      <c r="AK192">
        <v>1</v>
      </c>
      <c r="AL192">
        <v>1</v>
      </c>
      <c r="AM192">
        <v>1</v>
      </c>
      <c r="AN192">
        <v>1</v>
      </c>
      <c r="AO192">
        <v>1</v>
      </c>
      <c r="AP192">
        <v>1</v>
      </c>
      <c r="AQ192">
        <v>1</v>
      </c>
      <c r="AR192">
        <v>1</v>
      </c>
      <c r="AS192">
        <v>1</v>
      </c>
      <c r="AT192">
        <v>1</v>
      </c>
      <c r="AU192">
        <v>1</v>
      </c>
      <c r="AV192">
        <v>1</v>
      </c>
      <c r="AW192">
        <v>1</v>
      </c>
      <c r="AX192">
        <v>1</v>
      </c>
      <c r="AY192">
        <v>1</v>
      </c>
      <c r="AZ192">
        <v>1</v>
      </c>
      <c r="BA192">
        <v>1</v>
      </c>
      <c r="BB192">
        <v>1</v>
      </c>
      <c r="BC192">
        <v>1</v>
      </c>
      <c r="BD192">
        <v>1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2</v>
      </c>
    </row>
    <row r="193" spans="1:63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</row>
    <row r="194" spans="1:63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1</v>
      </c>
      <c r="BK194">
        <v>1</v>
      </c>
    </row>
    <row r="195" spans="1:63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</row>
    <row r="196" spans="1:63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</row>
    <row r="197" spans="1:63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1</v>
      </c>
      <c r="BJ197">
        <v>1</v>
      </c>
      <c r="BK197">
        <v>1</v>
      </c>
    </row>
    <row r="198" spans="1:63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</row>
    <row r="199" spans="1:63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</row>
    <row r="200" spans="1:63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</row>
    <row r="201" spans="1:63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</row>
    <row r="202" spans="1:63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</row>
    <row r="203" spans="1:63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</row>
    <row r="204" spans="1:63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</row>
    <row r="205" spans="1:63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</row>
    <row r="206" spans="1:63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</row>
    <row r="207" spans="1:63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</row>
    <row r="208" spans="1:63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1</v>
      </c>
      <c r="BK208">
        <v>1</v>
      </c>
    </row>
    <row r="209" spans="1:63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1</v>
      </c>
      <c r="BI209">
        <v>1</v>
      </c>
      <c r="BJ209">
        <v>3</v>
      </c>
      <c r="BK209">
        <v>4</v>
      </c>
    </row>
    <row r="210" spans="1:63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</row>
    <row r="211" spans="1:63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</row>
    <row r="212" spans="1:63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</row>
    <row r="213" spans="1:63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</row>
    <row r="214" spans="1:63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</row>
    <row r="215" spans="1:63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</row>
    <row r="216" spans="1:63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</row>
    <row r="217" spans="1:63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</row>
    <row r="218" spans="1:63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</row>
    <row r="219" spans="1:63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</row>
    <row r="220" spans="1:63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</row>
    <row r="221" spans="1:63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</row>
    <row r="222" spans="1:63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</row>
    <row r="223" spans="1:63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</row>
    <row r="224" spans="1:63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</row>
    <row r="225" spans="1:63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</row>
    <row r="226" spans="1:63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</row>
    <row r="227" spans="1:63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</row>
    <row r="228" spans="1:63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</row>
    <row r="229" spans="1:63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</row>
    <row r="230" spans="1:63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</row>
    <row r="231" spans="1:63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</row>
    <row r="232" spans="1:63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</row>
    <row r="233" spans="1:63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</row>
    <row r="234" spans="1:63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</row>
    <row r="235" spans="1:63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</row>
    <row r="236" spans="1:63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</row>
    <row r="237" spans="1:63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</row>
    <row r="238" spans="1:63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</row>
    <row r="239" spans="1:63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</row>
    <row r="240" spans="1:63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</row>
    <row r="241" spans="1:63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</row>
    <row r="242" spans="1:63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</row>
    <row r="243" spans="1:63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</row>
    <row r="244" spans="1:63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</row>
    <row r="245" spans="1:63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</row>
    <row r="246" spans="1:63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</row>
    <row r="247" spans="1:63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</row>
    <row r="248" spans="1:63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</row>
    <row r="249" spans="1:63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</row>
    <row r="250" spans="1:63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</row>
    <row r="251" spans="1:63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</row>
    <row r="252" spans="1:63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</row>
    <row r="253" spans="1:63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</row>
    <row r="254" spans="1:63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</row>
    <row r="255" spans="1:63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</row>
    <row r="256" spans="1:63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</row>
    <row r="257" spans="1:63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</row>
    <row r="258" spans="1:63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</row>
    <row r="259" spans="1:63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</row>
    <row r="260" spans="1:63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</row>
    <row r="261" spans="1:63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</row>
    <row r="262" spans="1:63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</row>
    <row r="263" spans="1:63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</row>
    <row r="264" spans="1:63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</row>
    <row r="265" spans="1:63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</row>
    <row r="266" spans="1:63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</row>
    <row r="267" spans="1:63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</row>
    <row r="268" spans="1:63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</row>
    <row r="269" spans="1:63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</row>
    <row r="270" spans="1:63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</row>
    <row r="271" spans="1:63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</row>
    <row r="272" spans="1:63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</row>
    <row r="273" spans="1:63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</row>
    <row r="274" spans="1:63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</row>
    <row r="275" spans="1:63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</row>
    <row r="276" spans="1:63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</row>
    <row r="277" spans="1:63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</row>
    <row r="278" spans="1:63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</row>
    <row r="279" spans="1:63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</row>
    <row r="280" spans="1:63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</row>
    <row r="281" spans="1:63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</row>
    <row r="282" spans="1:63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</row>
    <row r="283" spans="1:63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</row>
    <row r="284" spans="1:63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</row>
    <row r="285" spans="1:63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1</v>
      </c>
      <c r="AZ285">
        <v>1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</row>
    <row r="286" spans="1:63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</row>
    <row r="287" spans="1:63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</row>
    <row r="288" spans="1:63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</row>
    <row r="289" spans="1:63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</row>
    <row r="290" spans="1:63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</row>
    <row r="291" spans="1:63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</row>
    <row r="292" spans="1:63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</row>
    <row r="293" spans="1:63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</row>
    <row r="294" spans="1:63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</row>
    <row r="295" spans="1:63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</row>
    <row r="296" spans="1:63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</row>
    <row r="297" spans="1:63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</row>
    <row r="298" spans="1:63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</row>
    <row r="299" spans="1:63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</row>
    <row r="300" spans="1:63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</row>
    <row r="301" spans="1:63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</row>
    <row r="302" spans="1:63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</row>
    <row r="303" spans="1:63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</row>
    <row r="304" spans="1:63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</row>
    <row r="305" spans="1:63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</row>
    <row r="306" spans="1:63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</row>
    <row r="307" spans="1:63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</row>
    <row r="308" spans="1:63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</row>
    <row r="309" spans="1:63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</row>
    <row r="310" spans="1:63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</row>
    <row r="311" spans="1:63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</row>
    <row r="312" spans="1:63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</row>
    <row r="313" spans="1:63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</row>
    <row r="314" spans="1:63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</row>
    <row r="315" spans="1:63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</row>
    <row r="316" spans="1:63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</row>
    <row r="317" spans="1:63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</row>
    <row r="318" spans="1:63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1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</row>
    <row r="319" spans="1:63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1</v>
      </c>
      <c r="AZ319">
        <v>1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</row>
    <row r="320" spans="1:63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</row>
    <row r="321" spans="1:63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</row>
    <row r="322" spans="1:63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</row>
    <row r="323" spans="1:63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</row>
    <row r="324" spans="1:63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</row>
    <row r="325" spans="1:63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</row>
    <row r="326" spans="1:63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</row>
    <row r="327" spans="1:63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</row>
    <row r="328" spans="1:63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</row>
    <row r="329" spans="1:63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</row>
    <row r="330" spans="1:63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</row>
    <row r="331" spans="1:63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</row>
    <row r="332" spans="1:63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</row>
    <row r="333" spans="1:63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</row>
    <row r="334" spans="1:63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</row>
    <row r="335" spans="1:63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</row>
    <row r="336" spans="1:63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</row>
    <row r="337" spans="1:63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1</v>
      </c>
      <c r="AV337">
        <v>1</v>
      </c>
      <c r="AW337">
        <v>1</v>
      </c>
      <c r="AX337">
        <v>1</v>
      </c>
      <c r="AY337">
        <v>1</v>
      </c>
      <c r="AZ337">
        <v>1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</row>
    <row r="338" spans="1:63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</row>
    <row r="339" spans="1:63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</row>
    <row r="340" spans="1:63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</row>
    <row r="341" spans="1:63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</row>
    <row r="342" spans="1:63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</row>
    <row r="343" spans="1:63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1</v>
      </c>
      <c r="AT343">
        <v>1</v>
      </c>
      <c r="AU343">
        <v>1</v>
      </c>
      <c r="AV343">
        <v>1</v>
      </c>
      <c r="AW343">
        <v>1</v>
      </c>
      <c r="AX343">
        <v>1</v>
      </c>
      <c r="AY343">
        <v>1</v>
      </c>
      <c r="AZ343">
        <v>1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</row>
    <row r="344" spans="1:63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</row>
    <row r="345" spans="1:63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</row>
    <row r="346" spans="1:63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</row>
    <row r="347" spans="1:63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</row>
    <row r="348" spans="1:63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</row>
    <row r="349" spans="1:63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1</v>
      </c>
      <c r="AR349">
        <v>1</v>
      </c>
      <c r="AS349">
        <v>5</v>
      </c>
      <c r="AT349">
        <v>6</v>
      </c>
      <c r="AU349">
        <v>9</v>
      </c>
      <c r="AV349">
        <v>10</v>
      </c>
      <c r="AW349">
        <v>12</v>
      </c>
      <c r="AX349">
        <v>15</v>
      </c>
      <c r="AY349">
        <v>17</v>
      </c>
      <c r="AZ349">
        <v>17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</row>
    <row r="350" spans="1:63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</row>
    <row r="351" spans="1:63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</row>
    <row r="352" spans="1:63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</row>
    <row r="353" spans="1:63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</row>
    <row r="354" spans="1:63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</row>
    <row r="355" spans="1:63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</row>
    <row r="356" spans="1:63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</row>
    <row r="357" spans="1:63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</row>
    <row r="358" spans="1:63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</row>
    <row r="359" spans="1:63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</row>
    <row r="360" spans="1:63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</row>
    <row r="361" spans="1:63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</row>
    <row r="362" spans="1:63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</row>
    <row r="363" spans="1:63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</row>
    <row r="364" spans="1:63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</row>
    <row r="365" spans="1:63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</row>
    <row r="366" spans="1:63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</row>
    <row r="367" spans="1:63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</row>
    <row r="368" spans="1:63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</row>
    <row r="369" spans="1:63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</row>
    <row r="370" spans="1:63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</row>
    <row r="371" spans="1:63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</row>
    <row r="372" spans="1:63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</row>
    <row r="373" spans="1:63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</row>
    <row r="374" spans="1:63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</row>
    <row r="375" spans="1:63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</row>
    <row r="376" spans="1:63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</row>
    <row r="377" spans="1:63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</row>
    <row r="378" spans="1:63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</row>
    <row r="379" spans="1:63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</row>
    <row r="380" spans="1:63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</row>
    <row r="381" spans="1:63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</row>
    <row r="382" spans="1:63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</row>
    <row r="383" spans="1:63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</row>
    <row r="384" spans="1:63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</row>
    <row r="385" spans="1:63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</row>
    <row r="386" spans="1:63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</row>
    <row r="387" spans="1:63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</row>
    <row r="388" spans="1:63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</row>
    <row r="389" spans="1:63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</row>
    <row r="390" spans="1:63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</row>
    <row r="391" spans="1:63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</row>
    <row r="392" spans="1:63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</row>
    <row r="393" spans="1:63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</row>
    <row r="394" spans="1:63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</row>
    <row r="395" spans="1:63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</row>
    <row r="396" spans="1:63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</row>
    <row r="397" spans="1:63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</row>
    <row r="398" spans="1:63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</row>
    <row r="399" spans="1:63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</row>
    <row r="400" spans="1:63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</row>
    <row r="401" spans="1:63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</row>
    <row r="402" spans="1:63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1</v>
      </c>
      <c r="BJ402">
        <v>1</v>
      </c>
      <c r="BK402">
        <v>1</v>
      </c>
    </row>
    <row r="403" spans="1:63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1</v>
      </c>
      <c r="BD403">
        <v>1</v>
      </c>
      <c r="BE403">
        <v>1</v>
      </c>
      <c r="BF403">
        <v>1</v>
      </c>
      <c r="BG403">
        <v>1</v>
      </c>
      <c r="BH403">
        <v>1</v>
      </c>
      <c r="BI403">
        <v>1</v>
      </c>
      <c r="BJ403">
        <v>1</v>
      </c>
      <c r="BK403">
        <v>1</v>
      </c>
    </row>
    <row r="404" spans="1:63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</row>
    <row r="405" spans="1:63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1</v>
      </c>
      <c r="AW405">
        <v>2</v>
      </c>
      <c r="AX405">
        <v>2</v>
      </c>
      <c r="AY405">
        <v>3</v>
      </c>
      <c r="AZ405">
        <v>4</v>
      </c>
      <c r="BA405">
        <v>6</v>
      </c>
      <c r="BB405">
        <v>8</v>
      </c>
      <c r="BC405">
        <v>8</v>
      </c>
      <c r="BD405">
        <v>8</v>
      </c>
      <c r="BE405">
        <v>21</v>
      </c>
      <c r="BF405">
        <v>21</v>
      </c>
      <c r="BG405">
        <v>55</v>
      </c>
      <c r="BH405">
        <v>55</v>
      </c>
      <c r="BI405">
        <v>71</v>
      </c>
      <c r="BJ405">
        <v>137</v>
      </c>
      <c r="BK405">
        <v>177</v>
      </c>
    </row>
    <row r="406" spans="1:63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3</v>
      </c>
    </row>
    <row r="407" spans="1:63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</row>
    <row r="408" spans="1:63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</row>
    <row r="409" spans="1:63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</row>
    <row r="410" spans="1:63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</row>
    <row r="411" spans="1:63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1</v>
      </c>
      <c r="BE411">
        <v>1</v>
      </c>
      <c r="BF411">
        <v>1</v>
      </c>
      <c r="BG411">
        <v>1</v>
      </c>
      <c r="BH411">
        <v>1</v>
      </c>
      <c r="BI411">
        <v>1</v>
      </c>
      <c r="BJ411">
        <v>1</v>
      </c>
      <c r="BK411">
        <v>1</v>
      </c>
    </row>
    <row r="412" spans="1:63" x14ac:dyDescent="0.3">
      <c r="B412" t="s">
        <v>421</v>
      </c>
      <c r="C412">
        <v>9.9456000000000007</v>
      </c>
      <c r="D412">
        <v>-9.6966000000000001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</row>
    <row r="413" spans="1:63" x14ac:dyDescent="0.3">
      <c r="A413" t="s">
        <v>249</v>
      </c>
      <c r="B413" t="s">
        <v>45</v>
      </c>
      <c r="C413">
        <v>37.648899999999998</v>
      </c>
      <c r="D413">
        <v>-122.66549999999999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</row>
    <row r="414" spans="1:63" x14ac:dyDescent="0.3">
      <c r="B414" t="s">
        <v>423</v>
      </c>
      <c r="C414">
        <v>-2.3599999999999999E-2</v>
      </c>
      <c r="D414">
        <v>37.906199999999998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</row>
    <row r="415" spans="1:63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</row>
    <row r="416" spans="1:63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</row>
    <row r="417" spans="1:63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</row>
    <row r="418" spans="1:63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</row>
    <row r="419" spans="1:63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</row>
    <row r="420" spans="1:63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</row>
    <row r="421" spans="1:63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</row>
    <row r="422" spans="1:63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</row>
    <row r="423" spans="1:63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</row>
    <row r="424" spans="1:63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</row>
    <row r="425" spans="1:63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1</v>
      </c>
    </row>
    <row r="426" spans="1:63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1</v>
      </c>
      <c r="BH426">
        <v>1</v>
      </c>
      <c r="BI426">
        <v>1</v>
      </c>
      <c r="BJ426">
        <v>1</v>
      </c>
      <c r="BK426">
        <v>1</v>
      </c>
    </row>
    <row r="427" spans="1:63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</row>
    <row r="428" spans="1:63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</row>
    <row r="429" spans="1:63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</row>
    <row r="430" spans="1:63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</row>
    <row r="431" spans="1:63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</row>
    <row r="432" spans="1:63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</row>
    <row r="433" spans="1:63" x14ac:dyDescent="0.3">
      <c r="A433" t="s">
        <v>458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</row>
    <row r="434" spans="1:63" x14ac:dyDescent="0.3">
      <c r="B434" t="s">
        <v>459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</row>
    <row r="435" spans="1:63" x14ac:dyDescent="0.3">
      <c r="A435" t="s">
        <v>460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</row>
    <row r="436" spans="1:63" x14ac:dyDescent="0.3">
      <c r="A436" t="s">
        <v>461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</row>
    <row r="437" spans="1:63" x14ac:dyDescent="0.3">
      <c r="B437" t="s">
        <v>462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</row>
    <row r="438" spans="1:63" x14ac:dyDescent="0.3">
      <c r="B438" t="s">
        <v>463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</row>
    <row r="439" spans="1:63" x14ac:dyDescent="0.3">
      <c r="B439" t="s">
        <v>464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</row>
    <row r="440" spans="1:63" x14ac:dyDescent="0.3">
      <c r="A440" t="s">
        <v>465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</row>
    <row r="441" spans="1:63" x14ac:dyDescent="0.3">
      <c r="B441" t="s">
        <v>466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</row>
    <row r="442" spans="1:63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1</v>
      </c>
      <c r="AX442">
        <v>1</v>
      </c>
      <c r="AY442">
        <v>3</v>
      </c>
      <c r="AZ442">
        <v>3</v>
      </c>
      <c r="BA442">
        <v>4</v>
      </c>
      <c r="BB442">
        <v>5</v>
      </c>
      <c r="BC442">
        <v>5</v>
      </c>
      <c r="BD442">
        <v>10</v>
      </c>
      <c r="BE442">
        <v>12</v>
      </c>
      <c r="BF442">
        <v>20</v>
      </c>
      <c r="BG442">
        <v>24</v>
      </c>
      <c r="BH442">
        <v>43</v>
      </c>
      <c r="BI442">
        <v>58</v>
      </c>
      <c r="BJ442">
        <v>76</v>
      </c>
      <c r="BK442">
        <v>106</v>
      </c>
    </row>
    <row r="443" spans="1:63" x14ac:dyDescent="0.3">
      <c r="A443" t="s">
        <v>469</v>
      </c>
      <c r="B443" t="s">
        <v>45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</row>
    <row r="444" spans="1:63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</row>
    <row r="445" spans="1:63" x14ac:dyDescent="0.3">
      <c r="B445" t="s">
        <v>470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</row>
    <row r="446" spans="1:63" x14ac:dyDescent="0.3">
      <c r="B446" t="s">
        <v>472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</row>
    <row r="447" spans="1:63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1</v>
      </c>
      <c r="BK447">
        <v>1</v>
      </c>
    </row>
    <row r="448" spans="1:63" x14ac:dyDescent="0.3">
      <c r="B448" t="s">
        <v>473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</row>
    <row r="449" spans="1:63" x14ac:dyDescent="0.3">
      <c r="B449" t="s">
        <v>474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</row>
    <row r="450" spans="1:63" x14ac:dyDescent="0.3">
      <c r="A450" t="s">
        <v>475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</row>
    <row r="451" spans="1:63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1</v>
      </c>
      <c r="BH451">
        <v>1</v>
      </c>
      <c r="BI451">
        <v>1</v>
      </c>
      <c r="BJ451">
        <v>1</v>
      </c>
      <c r="BK451">
        <v>1</v>
      </c>
    </row>
    <row r="452" spans="1:63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</row>
    <row r="453" spans="1:63" x14ac:dyDescent="0.3">
      <c r="B453" t="s">
        <v>487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</row>
    <row r="454" spans="1:63" x14ac:dyDescent="0.3">
      <c r="B454" t="s">
        <v>486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</row>
    <row r="455" spans="1:63" x14ac:dyDescent="0.3">
      <c r="B455" t="s">
        <v>483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</row>
    <row r="456" spans="1:63" x14ac:dyDescent="0.3">
      <c r="B456" t="s">
        <v>484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</row>
    <row r="457" spans="1:63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</row>
    <row r="458" spans="1:63" x14ac:dyDescent="0.3">
      <c r="B458" t="s">
        <v>482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</row>
    <row r="459" spans="1:63" x14ac:dyDescent="0.3">
      <c r="B459" t="s">
        <v>485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</row>
    <row r="460" spans="1:63" x14ac:dyDescent="0.3">
      <c r="B460" t="s">
        <v>515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</row>
    <row r="461" spans="1:63" x14ac:dyDescent="0.3">
      <c r="A461" t="s">
        <v>488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</row>
    <row r="462" spans="1:63" x14ac:dyDescent="0.3">
      <c r="B462" t="s">
        <v>526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</row>
    <row r="463" spans="1:63" x14ac:dyDescent="0.3">
      <c r="A463" t="s">
        <v>471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</row>
    <row r="464" spans="1:63" x14ac:dyDescent="0.3">
      <c r="A464" t="s">
        <v>527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</row>
    <row r="465" spans="1:63" x14ac:dyDescent="0.3">
      <c r="A465" t="s">
        <v>528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</row>
    <row r="466" spans="1:63" x14ac:dyDescent="0.3">
      <c r="B466" t="s">
        <v>529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</row>
    <row r="467" spans="1:63" x14ac:dyDescent="0.3">
      <c r="B467" t="s">
        <v>530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</row>
    <row r="468" spans="1:63" x14ac:dyDescent="0.3">
      <c r="B468" t="s">
        <v>531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</row>
    <row r="469" spans="1:63" x14ac:dyDescent="0.3">
      <c r="B469" t="s">
        <v>532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</row>
    <row r="470" spans="1:63" x14ac:dyDescent="0.3">
      <c r="B470" t="s">
        <v>537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</row>
    <row r="471" spans="1:63" x14ac:dyDescent="0.3">
      <c r="B471" t="s">
        <v>538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</row>
    <row r="472" spans="1:63" x14ac:dyDescent="0.3">
      <c r="B472" t="s">
        <v>539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</row>
    <row r="473" spans="1:63" x14ac:dyDescent="0.3">
      <c r="B473" t="s">
        <v>540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</row>
    <row r="474" spans="1:63" x14ac:dyDescent="0.3">
      <c r="A474" t="s">
        <v>541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</row>
    <row r="475" spans="1:63" x14ac:dyDescent="0.3">
      <c r="B475" t="s">
        <v>542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</row>
    <row r="476" spans="1:63" x14ac:dyDescent="0.3">
      <c r="B476" t="s">
        <v>543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</row>
    <row r="477" spans="1:63" x14ac:dyDescent="0.3">
      <c r="A477" t="s">
        <v>544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</row>
    <row r="478" spans="1:63" x14ac:dyDescent="0.3">
      <c r="B478" t="s">
        <v>545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K478"/>
  <sheetViews>
    <sheetView topLeftCell="AT377" workbookViewId="0">
      <selection sqref="A1:CA1000"/>
    </sheetView>
  </sheetViews>
  <sheetFormatPr defaultRowHeight="14.4" x14ac:dyDescent="0.3"/>
  <cols>
    <col min="5" max="62" width="10.5546875" bestFit="1" customWidth="1"/>
  </cols>
  <sheetData>
    <row r="1" spans="1:63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</row>
    <row r="2" spans="1:63" x14ac:dyDescent="0.3">
      <c r="B2" t="s">
        <v>35</v>
      </c>
      <c r="C2">
        <v>15</v>
      </c>
      <c r="D2">
        <v>101</v>
      </c>
      <c r="E2">
        <v>2</v>
      </c>
      <c r="F2">
        <v>3</v>
      </c>
      <c r="G2">
        <v>5</v>
      </c>
      <c r="H2">
        <v>7</v>
      </c>
      <c r="I2">
        <v>8</v>
      </c>
      <c r="J2">
        <v>8</v>
      </c>
      <c r="K2">
        <v>14</v>
      </c>
      <c r="L2">
        <v>14</v>
      </c>
      <c r="M2">
        <v>14</v>
      </c>
      <c r="N2">
        <v>19</v>
      </c>
      <c r="O2">
        <v>19</v>
      </c>
      <c r="P2">
        <v>19</v>
      </c>
      <c r="Q2">
        <v>19</v>
      </c>
      <c r="R2">
        <v>25</v>
      </c>
      <c r="S2">
        <v>25</v>
      </c>
      <c r="T2">
        <v>25</v>
      </c>
      <c r="U2">
        <v>25</v>
      </c>
      <c r="V2">
        <v>32</v>
      </c>
      <c r="W2">
        <v>32</v>
      </c>
      <c r="X2">
        <v>32</v>
      </c>
      <c r="Y2">
        <v>33</v>
      </c>
      <c r="Z2">
        <v>33</v>
      </c>
      <c r="AA2">
        <v>33</v>
      </c>
      <c r="AB2">
        <v>33</v>
      </c>
      <c r="AC2">
        <v>33</v>
      </c>
      <c r="AD2">
        <v>34</v>
      </c>
      <c r="AE2">
        <v>35</v>
      </c>
      <c r="AF2">
        <v>35</v>
      </c>
      <c r="AG2">
        <v>35</v>
      </c>
      <c r="AH2">
        <v>35</v>
      </c>
      <c r="AI2">
        <v>35</v>
      </c>
      <c r="AJ2">
        <v>35</v>
      </c>
      <c r="AK2">
        <v>35</v>
      </c>
      <c r="AL2">
        <v>35</v>
      </c>
      <c r="AM2">
        <v>37</v>
      </c>
      <c r="AN2">
        <v>40</v>
      </c>
      <c r="AO2">
        <v>40</v>
      </c>
      <c r="AP2">
        <v>41</v>
      </c>
      <c r="AQ2">
        <v>42</v>
      </c>
      <c r="AR2">
        <v>42</v>
      </c>
      <c r="AS2">
        <v>43</v>
      </c>
      <c r="AT2">
        <v>43</v>
      </c>
      <c r="AU2">
        <v>43</v>
      </c>
      <c r="AV2">
        <v>47</v>
      </c>
      <c r="AW2">
        <v>48</v>
      </c>
      <c r="AX2">
        <v>50</v>
      </c>
      <c r="AY2">
        <v>50</v>
      </c>
      <c r="AZ2">
        <v>50</v>
      </c>
      <c r="BA2">
        <v>53</v>
      </c>
      <c r="BB2">
        <v>59</v>
      </c>
      <c r="BC2">
        <v>70</v>
      </c>
      <c r="BD2">
        <v>75</v>
      </c>
      <c r="BE2">
        <v>82</v>
      </c>
      <c r="BF2">
        <v>114</v>
      </c>
      <c r="BG2">
        <v>147</v>
      </c>
      <c r="BH2">
        <v>177</v>
      </c>
      <c r="BI2">
        <v>212</v>
      </c>
      <c r="BJ2">
        <v>272</v>
      </c>
      <c r="BK2">
        <v>322</v>
      </c>
    </row>
    <row r="3" spans="1:63" x14ac:dyDescent="0.3">
      <c r="B3" t="s">
        <v>36</v>
      </c>
      <c r="C3">
        <v>36</v>
      </c>
      <c r="D3">
        <v>138</v>
      </c>
      <c r="E3">
        <v>2</v>
      </c>
      <c r="F3">
        <v>1</v>
      </c>
      <c r="G3">
        <v>2</v>
      </c>
      <c r="H3">
        <v>2</v>
      </c>
      <c r="I3">
        <v>4</v>
      </c>
      <c r="J3">
        <v>4</v>
      </c>
      <c r="K3">
        <v>7</v>
      </c>
      <c r="L3">
        <v>7</v>
      </c>
      <c r="M3">
        <v>11</v>
      </c>
      <c r="N3">
        <v>15</v>
      </c>
      <c r="O3">
        <v>20</v>
      </c>
      <c r="P3">
        <v>20</v>
      </c>
      <c r="Q3">
        <v>20</v>
      </c>
      <c r="R3">
        <v>22</v>
      </c>
      <c r="S3">
        <v>22</v>
      </c>
      <c r="T3">
        <v>45</v>
      </c>
      <c r="U3">
        <v>25</v>
      </c>
      <c r="V3">
        <v>25</v>
      </c>
      <c r="W3">
        <v>26</v>
      </c>
      <c r="X3">
        <v>26</v>
      </c>
      <c r="Y3">
        <v>26</v>
      </c>
      <c r="Z3">
        <v>28</v>
      </c>
      <c r="AA3">
        <v>28</v>
      </c>
      <c r="AB3">
        <v>29</v>
      </c>
      <c r="AC3">
        <v>43</v>
      </c>
      <c r="AD3">
        <v>59</v>
      </c>
      <c r="AE3">
        <v>66</v>
      </c>
      <c r="AF3">
        <v>74</v>
      </c>
      <c r="AG3">
        <v>84</v>
      </c>
      <c r="AH3">
        <v>94</v>
      </c>
      <c r="AI3">
        <v>105</v>
      </c>
      <c r="AJ3">
        <v>122</v>
      </c>
      <c r="AK3">
        <v>147</v>
      </c>
      <c r="AL3">
        <v>159</v>
      </c>
      <c r="AM3">
        <v>170</v>
      </c>
      <c r="AN3">
        <v>189</v>
      </c>
      <c r="AO3">
        <v>214</v>
      </c>
      <c r="AP3">
        <v>228</v>
      </c>
      <c r="AQ3">
        <v>241</v>
      </c>
      <c r="AR3">
        <v>256</v>
      </c>
      <c r="AS3">
        <v>274</v>
      </c>
      <c r="AT3">
        <v>293</v>
      </c>
      <c r="AU3">
        <v>331</v>
      </c>
      <c r="AV3">
        <v>360</v>
      </c>
      <c r="AW3">
        <v>420</v>
      </c>
      <c r="AX3">
        <v>461</v>
      </c>
      <c r="AY3">
        <v>502</v>
      </c>
      <c r="AZ3">
        <v>511</v>
      </c>
      <c r="BA3">
        <v>581</v>
      </c>
      <c r="BB3">
        <v>639</v>
      </c>
      <c r="BC3">
        <v>639</v>
      </c>
      <c r="BD3">
        <v>701</v>
      </c>
      <c r="BE3">
        <v>773</v>
      </c>
      <c r="BF3">
        <v>839</v>
      </c>
      <c r="BG3">
        <v>825</v>
      </c>
      <c r="BH3">
        <v>878</v>
      </c>
      <c r="BI3">
        <v>889</v>
      </c>
      <c r="BJ3">
        <v>924</v>
      </c>
      <c r="BK3">
        <v>963</v>
      </c>
    </row>
    <row r="4" spans="1:63" x14ac:dyDescent="0.3">
      <c r="B4" t="s">
        <v>40</v>
      </c>
      <c r="C4">
        <v>1.2833000000000001</v>
      </c>
      <c r="D4">
        <v>103.83329999999999</v>
      </c>
      <c r="E4">
        <v>0</v>
      </c>
      <c r="F4">
        <v>1</v>
      </c>
      <c r="G4">
        <v>3</v>
      </c>
      <c r="H4">
        <v>3</v>
      </c>
      <c r="I4">
        <v>4</v>
      </c>
      <c r="J4">
        <v>5</v>
      </c>
      <c r="K4">
        <v>7</v>
      </c>
      <c r="L4">
        <v>7</v>
      </c>
      <c r="M4">
        <v>10</v>
      </c>
      <c r="N4">
        <v>13</v>
      </c>
      <c r="O4">
        <v>16</v>
      </c>
      <c r="P4">
        <v>18</v>
      </c>
      <c r="Q4">
        <v>18</v>
      </c>
      <c r="R4">
        <v>24</v>
      </c>
      <c r="S4">
        <v>28</v>
      </c>
      <c r="T4">
        <v>28</v>
      </c>
      <c r="U4">
        <v>30</v>
      </c>
      <c r="V4">
        <v>33</v>
      </c>
      <c r="W4">
        <v>40</v>
      </c>
      <c r="X4">
        <v>45</v>
      </c>
      <c r="Y4">
        <v>47</v>
      </c>
      <c r="Z4">
        <v>50</v>
      </c>
      <c r="AA4">
        <v>58</v>
      </c>
      <c r="AB4">
        <v>67</v>
      </c>
      <c r="AC4">
        <v>72</v>
      </c>
      <c r="AD4">
        <v>75</v>
      </c>
      <c r="AE4">
        <v>77</v>
      </c>
      <c r="AF4">
        <v>81</v>
      </c>
      <c r="AG4">
        <v>84</v>
      </c>
      <c r="AH4">
        <v>84</v>
      </c>
      <c r="AI4">
        <v>85</v>
      </c>
      <c r="AJ4">
        <v>85</v>
      </c>
      <c r="AK4">
        <v>89</v>
      </c>
      <c r="AL4">
        <v>89</v>
      </c>
      <c r="AM4">
        <v>91</v>
      </c>
      <c r="AN4">
        <v>93</v>
      </c>
      <c r="AO4">
        <v>93</v>
      </c>
      <c r="AP4">
        <v>93</v>
      </c>
      <c r="AQ4">
        <v>102</v>
      </c>
      <c r="AR4">
        <v>106</v>
      </c>
      <c r="AS4">
        <v>108</v>
      </c>
      <c r="AT4">
        <v>110</v>
      </c>
      <c r="AU4">
        <v>110</v>
      </c>
      <c r="AV4">
        <v>117</v>
      </c>
      <c r="AW4">
        <v>130</v>
      </c>
      <c r="AX4">
        <v>138</v>
      </c>
      <c r="AY4">
        <v>150</v>
      </c>
      <c r="AZ4">
        <v>150</v>
      </c>
      <c r="BA4">
        <v>160</v>
      </c>
      <c r="BB4">
        <v>178</v>
      </c>
      <c r="BC4">
        <v>178</v>
      </c>
      <c r="BD4">
        <v>200</v>
      </c>
      <c r="BE4">
        <v>212</v>
      </c>
      <c r="BF4">
        <v>226</v>
      </c>
      <c r="BG4">
        <v>243</v>
      </c>
      <c r="BH4">
        <v>266</v>
      </c>
      <c r="BI4">
        <v>313</v>
      </c>
      <c r="BJ4">
        <v>345</v>
      </c>
      <c r="BK4">
        <v>385</v>
      </c>
    </row>
    <row r="5" spans="1:63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</row>
    <row r="6" spans="1:63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3</v>
      </c>
      <c r="I6">
        <v>4</v>
      </c>
      <c r="J6">
        <v>4</v>
      </c>
      <c r="K6">
        <v>4</v>
      </c>
      <c r="L6">
        <v>7</v>
      </c>
      <c r="M6">
        <v>8</v>
      </c>
      <c r="N6">
        <v>8</v>
      </c>
      <c r="O6">
        <v>8</v>
      </c>
      <c r="P6">
        <v>8</v>
      </c>
      <c r="Q6">
        <v>8</v>
      </c>
      <c r="R6">
        <v>10</v>
      </c>
      <c r="S6">
        <v>12</v>
      </c>
      <c r="T6">
        <v>12</v>
      </c>
      <c r="U6">
        <v>12</v>
      </c>
      <c r="V6">
        <v>16</v>
      </c>
      <c r="W6">
        <v>16</v>
      </c>
      <c r="X6">
        <v>18</v>
      </c>
      <c r="Y6">
        <v>18</v>
      </c>
      <c r="Z6">
        <v>18</v>
      </c>
      <c r="AA6">
        <v>19</v>
      </c>
      <c r="AB6">
        <v>19</v>
      </c>
      <c r="AC6">
        <v>22</v>
      </c>
      <c r="AD6">
        <v>22</v>
      </c>
      <c r="AE6">
        <v>22</v>
      </c>
      <c r="AF6">
        <v>22</v>
      </c>
      <c r="AG6">
        <v>22</v>
      </c>
      <c r="AH6">
        <v>22</v>
      </c>
      <c r="AI6">
        <v>22</v>
      </c>
      <c r="AJ6">
        <v>22</v>
      </c>
      <c r="AK6">
        <v>22</v>
      </c>
      <c r="AL6">
        <v>22</v>
      </c>
      <c r="AM6">
        <v>22</v>
      </c>
      <c r="AN6">
        <v>22</v>
      </c>
      <c r="AO6">
        <v>23</v>
      </c>
      <c r="AP6">
        <v>23</v>
      </c>
      <c r="AQ6">
        <v>25</v>
      </c>
      <c r="AR6">
        <v>29</v>
      </c>
      <c r="AS6">
        <v>29</v>
      </c>
      <c r="AT6">
        <v>36</v>
      </c>
      <c r="AU6">
        <v>50</v>
      </c>
      <c r="AV6">
        <v>50</v>
      </c>
      <c r="AW6">
        <v>83</v>
      </c>
      <c r="AX6">
        <v>93</v>
      </c>
      <c r="AY6">
        <v>99</v>
      </c>
      <c r="AZ6">
        <v>117</v>
      </c>
      <c r="BA6">
        <v>129</v>
      </c>
      <c r="BB6">
        <v>149</v>
      </c>
      <c r="BC6">
        <v>149</v>
      </c>
      <c r="BD6">
        <v>197</v>
      </c>
      <c r="BE6">
        <v>238</v>
      </c>
      <c r="BF6">
        <v>428</v>
      </c>
      <c r="BG6">
        <v>566</v>
      </c>
      <c r="BH6">
        <v>673</v>
      </c>
      <c r="BI6">
        <v>790</v>
      </c>
      <c r="BJ6">
        <v>900</v>
      </c>
      <c r="BK6">
        <v>1030</v>
      </c>
    </row>
    <row r="7" spans="1:63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2</v>
      </c>
      <c r="T7">
        <v>2</v>
      </c>
      <c r="U7">
        <v>4</v>
      </c>
      <c r="V7">
        <v>4</v>
      </c>
      <c r="W7">
        <v>4</v>
      </c>
      <c r="X7">
        <v>4</v>
      </c>
      <c r="Y7">
        <v>4</v>
      </c>
      <c r="Z7">
        <v>4</v>
      </c>
      <c r="AA7">
        <v>4</v>
      </c>
      <c r="AB7">
        <v>4</v>
      </c>
      <c r="AC7">
        <v>4</v>
      </c>
      <c r="AD7">
        <v>4</v>
      </c>
      <c r="AE7">
        <v>5</v>
      </c>
      <c r="AF7">
        <v>5</v>
      </c>
      <c r="AG7">
        <v>5</v>
      </c>
      <c r="AH7">
        <v>5</v>
      </c>
      <c r="AI7">
        <v>6</v>
      </c>
      <c r="AJ7">
        <v>6</v>
      </c>
      <c r="AK7">
        <v>6</v>
      </c>
      <c r="AL7">
        <v>6</v>
      </c>
      <c r="AM7">
        <v>7</v>
      </c>
      <c r="AN7">
        <v>7</v>
      </c>
      <c r="AO7">
        <v>7</v>
      </c>
      <c r="AP7">
        <v>7</v>
      </c>
      <c r="AQ7">
        <v>8</v>
      </c>
      <c r="AR7">
        <v>8</v>
      </c>
      <c r="AS7">
        <v>8</v>
      </c>
      <c r="AT7">
        <v>9</v>
      </c>
      <c r="AU7">
        <v>12</v>
      </c>
      <c r="AV7">
        <v>13</v>
      </c>
      <c r="AW7">
        <v>21</v>
      </c>
      <c r="AX7">
        <v>21</v>
      </c>
      <c r="AY7">
        <v>27</v>
      </c>
      <c r="AZ7">
        <v>32</v>
      </c>
      <c r="BA7">
        <v>32</v>
      </c>
      <c r="BB7">
        <v>39</v>
      </c>
      <c r="BC7">
        <v>46</v>
      </c>
      <c r="BD7">
        <v>64</v>
      </c>
      <c r="BE7">
        <v>64</v>
      </c>
      <c r="BF7">
        <v>73</v>
      </c>
      <c r="BG7">
        <v>103</v>
      </c>
      <c r="BH7">
        <v>103</v>
      </c>
      <c r="BI7">
        <v>186</v>
      </c>
      <c r="BJ7">
        <v>231</v>
      </c>
      <c r="BK7">
        <v>271</v>
      </c>
    </row>
    <row r="8" spans="1:63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3</v>
      </c>
      <c r="J8">
        <v>4</v>
      </c>
      <c r="K8">
        <v>4</v>
      </c>
      <c r="L8">
        <v>4</v>
      </c>
      <c r="M8">
        <v>4</v>
      </c>
      <c r="N8">
        <v>4</v>
      </c>
      <c r="O8">
        <v>4</v>
      </c>
      <c r="P8">
        <v>4</v>
      </c>
      <c r="Q8">
        <v>4</v>
      </c>
      <c r="R8">
        <v>4</v>
      </c>
      <c r="S8">
        <v>4</v>
      </c>
      <c r="T8">
        <v>4</v>
      </c>
      <c r="U8">
        <v>4</v>
      </c>
      <c r="V8">
        <v>4</v>
      </c>
      <c r="W8">
        <v>4</v>
      </c>
      <c r="X8">
        <v>4</v>
      </c>
      <c r="Y8">
        <v>4</v>
      </c>
      <c r="Z8">
        <v>4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6</v>
      </c>
      <c r="AS8">
        <v>6</v>
      </c>
      <c r="AT8">
        <v>13</v>
      </c>
      <c r="AU8">
        <v>22</v>
      </c>
      <c r="AV8">
        <v>22</v>
      </c>
      <c r="AW8">
        <v>26</v>
      </c>
      <c r="AX8">
        <v>28</v>
      </c>
      <c r="AY8">
        <v>38</v>
      </c>
      <c r="AZ8">
        <v>48</v>
      </c>
      <c r="BA8">
        <v>55</v>
      </c>
      <c r="BB8">
        <v>65</v>
      </c>
      <c r="BC8">
        <v>65</v>
      </c>
      <c r="BD8">
        <v>92</v>
      </c>
      <c r="BE8">
        <v>112</v>
      </c>
      <c r="BF8">
        <v>134</v>
      </c>
      <c r="BG8">
        <v>171</v>
      </c>
      <c r="BH8">
        <v>210</v>
      </c>
      <c r="BI8">
        <v>267</v>
      </c>
      <c r="BJ8">
        <v>307</v>
      </c>
      <c r="BK8">
        <v>353</v>
      </c>
    </row>
    <row r="9" spans="1:63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1</v>
      </c>
      <c r="J9">
        <v>1</v>
      </c>
      <c r="K9">
        <v>1</v>
      </c>
      <c r="L9">
        <v>1</v>
      </c>
      <c r="M9">
        <v>2</v>
      </c>
      <c r="N9">
        <v>3</v>
      </c>
      <c r="O9">
        <v>4</v>
      </c>
      <c r="P9">
        <v>4</v>
      </c>
      <c r="Q9">
        <v>4</v>
      </c>
      <c r="R9">
        <v>4</v>
      </c>
      <c r="S9">
        <v>4</v>
      </c>
      <c r="T9">
        <v>4</v>
      </c>
      <c r="U9">
        <v>4</v>
      </c>
      <c r="V9">
        <v>4</v>
      </c>
      <c r="W9">
        <v>4</v>
      </c>
      <c r="X9">
        <v>4</v>
      </c>
      <c r="Y9">
        <v>4</v>
      </c>
      <c r="Z9">
        <v>4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7</v>
      </c>
      <c r="AR9">
        <v>7</v>
      </c>
      <c r="AS9">
        <v>9</v>
      </c>
      <c r="AT9">
        <v>9</v>
      </c>
      <c r="AU9">
        <v>10</v>
      </c>
      <c r="AV9">
        <v>10</v>
      </c>
      <c r="AW9">
        <v>10</v>
      </c>
      <c r="AX9">
        <v>11</v>
      </c>
      <c r="AY9">
        <v>11</v>
      </c>
      <c r="AZ9">
        <v>15</v>
      </c>
      <c r="BA9">
        <v>18</v>
      </c>
      <c r="BB9">
        <v>21</v>
      </c>
      <c r="BC9">
        <v>21</v>
      </c>
      <c r="BD9">
        <v>36</v>
      </c>
      <c r="BE9">
        <v>49</v>
      </c>
      <c r="BF9">
        <v>57</v>
      </c>
      <c r="BG9">
        <v>71</v>
      </c>
      <c r="BH9">
        <v>94</v>
      </c>
      <c r="BI9">
        <v>121</v>
      </c>
      <c r="BJ9">
        <v>121</v>
      </c>
      <c r="BK9">
        <v>121</v>
      </c>
    </row>
    <row r="10" spans="1:63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3</v>
      </c>
      <c r="N10">
        <v>2</v>
      </c>
      <c r="O10">
        <v>3</v>
      </c>
      <c r="P10">
        <v>2</v>
      </c>
      <c r="Q10">
        <v>2</v>
      </c>
      <c r="R10">
        <v>3</v>
      </c>
      <c r="S10">
        <v>3</v>
      </c>
      <c r="T10">
        <v>4</v>
      </c>
      <c r="U10">
        <v>5</v>
      </c>
      <c r="V10">
        <v>5</v>
      </c>
      <c r="W10">
        <v>5</v>
      </c>
      <c r="X10">
        <v>5</v>
      </c>
      <c r="Y10">
        <v>5</v>
      </c>
      <c r="Z10">
        <v>5</v>
      </c>
      <c r="AA10">
        <v>5</v>
      </c>
      <c r="AB10">
        <v>5</v>
      </c>
      <c r="AC10">
        <v>5</v>
      </c>
      <c r="AD10">
        <v>5</v>
      </c>
      <c r="AE10">
        <v>5</v>
      </c>
      <c r="AF10">
        <v>5</v>
      </c>
      <c r="AG10">
        <v>5</v>
      </c>
      <c r="AH10">
        <v>5</v>
      </c>
      <c r="AI10">
        <v>5</v>
      </c>
      <c r="AJ10">
        <v>5</v>
      </c>
      <c r="AK10">
        <v>5</v>
      </c>
      <c r="AL10">
        <v>5</v>
      </c>
      <c r="AM10">
        <v>5</v>
      </c>
      <c r="AN10">
        <v>5</v>
      </c>
      <c r="AO10">
        <v>5</v>
      </c>
      <c r="AP10">
        <v>5</v>
      </c>
      <c r="AQ10">
        <v>9</v>
      </c>
      <c r="AR10">
        <v>9</v>
      </c>
      <c r="AS10">
        <v>9</v>
      </c>
      <c r="AT10">
        <v>11</v>
      </c>
      <c r="AU10">
        <v>11</v>
      </c>
      <c r="AV10">
        <v>13</v>
      </c>
      <c r="AW10">
        <v>13</v>
      </c>
      <c r="AX10">
        <v>13</v>
      </c>
      <c r="AY10">
        <v>15</v>
      </c>
      <c r="AZ10">
        <v>15</v>
      </c>
      <c r="BA10">
        <v>18</v>
      </c>
      <c r="BB10">
        <v>20</v>
      </c>
      <c r="BC10">
        <v>20</v>
      </c>
      <c r="BD10">
        <v>35</v>
      </c>
      <c r="BE10">
        <v>46</v>
      </c>
      <c r="BF10">
        <v>61</v>
      </c>
      <c r="BG10">
        <v>68</v>
      </c>
      <c r="BH10">
        <v>78</v>
      </c>
      <c r="BI10">
        <v>94</v>
      </c>
      <c r="BJ10">
        <v>144</v>
      </c>
      <c r="BK10">
        <v>184</v>
      </c>
    </row>
    <row r="11" spans="1:63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3</v>
      </c>
      <c r="BC11">
        <v>3</v>
      </c>
      <c r="BD11">
        <v>5</v>
      </c>
      <c r="BE11">
        <v>7</v>
      </c>
      <c r="BF11">
        <v>7</v>
      </c>
      <c r="BG11">
        <v>7</v>
      </c>
      <c r="BH11">
        <v>33</v>
      </c>
      <c r="BI11">
        <v>35</v>
      </c>
      <c r="BJ11">
        <v>37</v>
      </c>
      <c r="BK11">
        <v>51</v>
      </c>
    </row>
    <row r="12" spans="1:63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2</v>
      </c>
      <c r="BC12">
        <v>2</v>
      </c>
      <c r="BD12">
        <v>6</v>
      </c>
      <c r="BE12">
        <v>10</v>
      </c>
      <c r="BF12">
        <v>18</v>
      </c>
      <c r="BG12">
        <v>28</v>
      </c>
      <c r="BH12">
        <v>44</v>
      </c>
      <c r="BI12">
        <v>51</v>
      </c>
      <c r="BJ12">
        <v>60</v>
      </c>
      <c r="BK12">
        <v>73</v>
      </c>
    </row>
    <row r="13" spans="1:63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4</v>
      </c>
      <c r="L13">
        <v>4</v>
      </c>
      <c r="M13">
        <v>4</v>
      </c>
      <c r="N13">
        <v>5</v>
      </c>
      <c r="O13">
        <v>8</v>
      </c>
      <c r="P13">
        <v>10</v>
      </c>
      <c r="Q13">
        <v>12</v>
      </c>
      <c r="R13">
        <v>12</v>
      </c>
      <c r="S13">
        <v>12</v>
      </c>
      <c r="T13">
        <v>12</v>
      </c>
      <c r="U13">
        <v>13</v>
      </c>
      <c r="V13">
        <v>13</v>
      </c>
      <c r="W13">
        <v>14</v>
      </c>
      <c r="X13">
        <v>14</v>
      </c>
      <c r="Y13">
        <v>16</v>
      </c>
      <c r="Z13">
        <v>16</v>
      </c>
      <c r="AA13">
        <v>16</v>
      </c>
      <c r="AB13">
        <v>16</v>
      </c>
      <c r="AC13">
        <v>16</v>
      </c>
      <c r="AD13">
        <v>16</v>
      </c>
      <c r="AE13">
        <v>16</v>
      </c>
      <c r="AF13">
        <v>16</v>
      </c>
      <c r="AG13">
        <v>16</v>
      </c>
      <c r="AH13">
        <v>16</v>
      </c>
      <c r="AI13">
        <v>16</v>
      </c>
      <c r="AJ13">
        <v>16</v>
      </c>
      <c r="AK13">
        <v>16</v>
      </c>
      <c r="AL13">
        <v>16</v>
      </c>
      <c r="AM13">
        <v>17</v>
      </c>
      <c r="AN13">
        <v>27</v>
      </c>
      <c r="AO13">
        <v>46</v>
      </c>
      <c r="AP13">
        <v>48</v>
      </c>
      <c r="AQ13">
        <v>79</v>
      </c>
      <c r="AR13">
        <v>130</v>
      </c>
      <c r="AS13">
        <v>159</v>
      </c>
      <c r="AT13">
        <v>196</v>
      </c>
      <c r="AU13">
        <v>262</v>
      </c>
      <c r="AV13">
        <v>482</v>
      </c>
      <c r="AW13">
        <v>670</v>
      </c>
      <c r="AX13">
        <v>799</v>
      </c>
      <c r="AY13">
        <v>1040</v>
      </c>
      <c r="AZ13">
        <v>1176</v>
      </c>
      <c r="BA13">
        <v>1457</v>
      </c>
      <c r="BB13">
        <v>1908</v>
      </c>
      <c r="BC13">
        <v>2078</v>
      </c>
      <c r="BD13">
        <v>3675</v>
      </c>
      <c r="BE13">
        <v>4585</v>
      </c>
      <c r="BF13">
        <v>5795</v>
      </c>
      <c r="BG13">
        <v>7272</v>
      </c>
      <c r="BH13">
        <v>9257</v>
      </c>
      <c r="BI13">
        <v>12327</v>
      </c>
      <c r="BJ13">
        <v>15320</v>
      </c>
      <c r="BK13">
        <v>19848</v>
      </c>
    </row>
    <row r="14" spans="1:63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2</v>
      </c>
      <c r="AO14">
        <v>2</v>
      </c>
      <c r="AP14">
        <v>2</v>
      </c>
      <c r="AQ14">
        <v>3</v>
      </c>
      <c r="AR14">
        <v>6</v>
      </c>
      <c r="AS14">
        <v>6</v>
      </c>
      <c r="AT14">
        <v>6</v>
      </c>
      <c r="AU14">
        <v>6</v>
      </c>
      <c r="AV14">
        <v>12</v>
      </c>
      <c r="AW14">
        <v>15</v>
      </c>
      <c r="AX14">
        <v>15</v>
      </c>
      <c r="AY14">
        <v>23</v>
      </c>
      <c r="AZ14">
        <v>30</v>
      </c>
      <c r="BA14">
        <v>40</v>
      </c>
      <c r="BB14">
        <v>59</v>
      </c>
      <c r="BC14">
        <v>59</v>
      </c>
      <c r="BD14">
        <v>155</v>
      </c>
      <c r="BE14">
        <v>225</v>
      </c>
      <c r="BF14">
        <v>244</v>
      </c>
      <c r="BG14">
        <v>277</v>
      </c>
      <c r="BH14">
        <v>321</v>
      </c>
      <c r="BI14">
        <v>336</v>
      </c>
      <c r="BJ14">
        <v>400</v>
      </c>
      <c r="BK14">
        <v>450</v>
      </c>
    </row>
    <row r="15" spans="1:63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4</v>
      </c>
      <c r="M15">
        <v>4</v>
      </c>
      <c r="N15">
        <v>4</v>
      </c>
      <c r="O15">
        <v>4</v>
      </c>
      <c r="P15">
        <v>5</v>
      </c>
      <c r="Q15">
        <v>5</v>
      </c>
      <c r="R15">
        <v>5</v>
      </c>
      <c r="S15">
        <v>5</v>
      </c>
      <c r="T15">
        <v>5</v>
      </c>
      <c r="U15">
        <v>5</v>
      </c>
      <c r="V15">
        <v>7</v>
      </c>
      <c r="W15">
        <v>7</v>
      </c>
      <c r="X15">
        <v>8</v>
      </c>
      <c r="Y15">
        <v>8</v>
      </c>
      <c r="Z15">
        <v>8</v>
      </c>
      <c r="AA15">
        <v>8</v>
      </c>
      <c r="AB15">
        <v>8</v>
      </c>
      <c r="AC15">
        <v>8</v>
      </c>
      <c r="AD15">
        <v>9</v>
      </c>
      <c r="AE15">
        <v>9</v>
      </c>
      <c r="AF15">
        <v>9</v>
      </c>
      <c r="AG15">
        <v>9</v>
      </c>
      <c r="AH15">
        <v>9</v>
      </c>
      <c r="AI15">
        <v>9</v>
      </c>
      <c r="AJ15">
        <v>13</v>
      </c>
      <c r="AK15">
        <v>13</v>
      </c>
      <c r="AL15">
        <v>13</v>
      </c>
      <c r="AM15">
        <v>13</v>
      </c>
      <c r="AN15">
        <v>13</v>
      </c>
      <c r="AO15">
        <v>13</v>
      </c>
      <c r="AP15">
        <v>19</v>
      </c>
      <c r="AQ15">
        <v>21</v>
      </c>
      <c r="AR15">
        <v>21</v>
      </c>
      <c r="AS15">
        <v>21</v>
      </c>
      <c r="AT15">
        <v>27</v>
      </c>
      <c r="AU15">
        <v>27</v>
      </c>
      <c r="AV15">
        <v>29</v>
      </c>
      <c r="AW15">
        <v>29</v>
      </c>
      <c r="AX15">
        <v>45</v>
      </c>
      <c r="AY15">
        <v>45</v>
      </c>
      <c r="AZ15">
        <v>45</v>
      </c>
      <c r="BA15">
        <v>74</v>
      </c>
      <c r="BB15">
        <v>74</v>
      </c>
      <c r="BC15">
        <v>85</v>
      </c>
      <c r="BD15">
        <v>85</v>
      </c>
      <c r="BE15">
        <v>85</v>
      </c>
      <c r="BF15">
        <v>98</v>
      </c>
      <c r="BG15">
        <v>98</v>
      </c>
      <c r="BH15">
        <v>98</v>
      </c>
      <c r="BI15">
        <v>113</v>
      </c>
      <c r="BJ15">
        <v>140</v>
      </c>
      <c r="BK15">
        <v>140</v>
      </c>
    </row>
    <row r="16" spans="1:63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1</v>
      </c>
      <c r="P16">
        <v>2</v>
      </c>
      <c r="Q16">
        <v>2</v>
      </c>
      <c r="R16">
        <v>2</v>
      </c>
      <c r="S16">
        <v>2</v>
      </c>
      <c r="T16">
        <v>2</v>
      </c>
      <c r="U16">
        <v>3</v>
      </c>
      <c r="V16">
        <v>3</v>
      </c>
      <c r="W16">
        <v>3</v>
      </c>
      <c r="X16">
        <v>3</v>
      </c>
      <c r="Y16">
        <v>3</v>
      </c>
      <c r="Z16">
        <v>3</v>
      </c>
      <c r="AA16">
        <v>3</v>
      </c>
      <c r="AB16">
        <v>3</v>
      </c>
      <c r="AC16">
        <v>3</v>
      </c>
      <c r="AD16">
        <v>3</v>
      </c>
      <c r="AE16">
        <v>3</v>
      </c>
      <c r="AF16">
        <v>3</v>
      </c>
      <c r="AG16">
        <v>3</v>
      </c>
      <c r="AH16">
        <v>3</v>
      </c>
      <c r="AI16">
        <v>3</v>
      </c>
      <c r="AJ16">
        <v>3</v>
      </c>
      <c r="AK16">
        <v>3</v>
      </c>
      <c r="AL16">
        <v>3</v>
      </c>
      <c r="AM16">
        <v>3</v>
      </c>
      <c r="AN16">
        <v>3</v>
      </c>
      <c r="AO16">
        <v>3</v>
      </c>
      <c r="AP16">
        <v>3</v>
      </c>
      <c r="AQ16">
        <v>3</v>
      </c>
      <c r="AR16">
        <v>3</v>
      </c>
      <c r="AS16">
        <v>3</v>
      </c>
      <c r="AT16">
        <v>3</v>
      </c>
      <c r="AU16">
        <v>3</v>
      </c>
      <c r="AV16">
        <v>3</v>
      </c>
      <c r="AW16">
        <v>5</v>
      </c>
      <c r="AX16">
        <v>6</v>
      </c>
      <c r="AY16">
        <v>10</v>
      </c>
      <c r="AZ16">
        <v>20</v>
      </c>
      <c r="BA16">
        <v>33</v>
      </c>
      <c r="BB16">
        <v>49</v>
      </c>
      <c r="BC16">
        <v>52</v>
      </c>
      <c r="BD16">
        <v>64</v>
      </c>
      <c r="BE16">
        <v>111</v>
      </c>
      <c r="BF16">
        <v>140</v>
      </c>
      <c r="BG16">
        <v>142</v>
      </c>
      <c r="BH16">
        <v>187</v>
      </c>
      <c r="BI16">
        <v>202</v>
      </c>
      <c r="BJ16">
        <v>217</v>
      </c>
      <c r="BK16">
        <v>230</v>
      </c>
    </row>
    <row r="17" spans="1:63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</v>
      </c>
      <c r="N17">
        <v>1</v>
      </c>
      <c r="O17">
        <v>1</v>
      </c>
      <c r="P17">
        <v>2</v>
      </c>
      <c r="Q17">
        <v>3</v>
      </c>
      <c r="R17">
        <v>3</v>
      </c>
      <c r="S17">
        <v>3</v>
      </c>
      <c r="T17">
        <v>3</v>
      </c>
      <c r="U17">
        <v>3</v>
      </c>
      <c r="V17">
        <v>3</v>
      </c>
      <c r="W17">
        <v>3</v>
      </c>
      <c r="X17">
        <v>3</v>
      </c>
      <c r="Y17">
        <v>3</v>
      </c>
      <c r="Z17">
        <v>3</v>
      </c>
      <c r="AA17">
        <v>3</v>
      </c>
      <c r="AB17">
        <v>3</v>
      </c>
      <c r="AC17">
        <v>3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5</v>
      </c>
      <c r="AT17">
        <v>5</v>
      </c>
      <c r="AU17">
        <v>28</v>
      </c>
      <c r="AV17">
        <v>30</v>
      </c>
      <c r="AW17">
        <v>31</v>
      </c>
      <c r="AX17">
        <v>34</v>
      </c>
      <c r="AY17">
        <v>39</v>
      </c>
      <c r="AZ17">
        <v>43</v>
      </c>
      <c r="BA17">
        <v>56</v>
      </c>
      <c r="BB17">
        <v>62</v>
      </c>
      <c r="BC17">
        <v>73</v>
      </c>
      <c r="BD17">
        <v>82</v>
      </c>
      <c r="BE17">
        <v>102</v>
      </c>
      <c r="BF17">
        <v>113</v>
      </c>
      <c r="BG17">
        <v>119</v>
      </c>
      <c r="BH17">
        <v>142</v>
      </c>
      <c r="BI17">
        <v>156</v>
      </c>
      <c r="BJ17">
        <v>194</v>
      </c>
      <c r="BK17">
        <v>244</v>
      </c>
    </row>
    <row r="18" spans="1:63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2</v>
      </c>
      <c r="O18">
        <v>2</v>
      </c>
      <c r="P18">
        <v>2</v>
      </c>
      <c r="Q18">
        <v>2</v>
      </c>
      <c r="R18">
        <v>2</v>
      </c>
      <c r="S18">
        <v>2</v>
      </c>
      <c r="T18">
        <v>2</v>
      </c>
      <c r="U18">
        <v>3</v>
      </c>
      <c r="V18">
        <v>3</v>
      </c>
      <c r="W18">
        <v>3</v>
      </c>
      <c r="X18">
        <v>3</v>
      </c>
      <c r="Y18">
        <v>3</v>
      </c>
      <c r="Z18">
        <v>3</v>
      </c>
      <c r="AA18">
        <v>3</v>
      </c>
      <c r="AB18">
        <v>3</v>
      </c>
      <c r="AC18">
        <v>3</v>
      </c>
      <c r="AD18">
        <v>3</v>
      </c>
      <c r="AE18">
        <v>3</v>
      </c>
      <c r="AF18">
        <v>3</v>
      </c>
      <c r="AG18">
        <v>3</v>
      </c>
      <c r="AH18">
        <v>3</v>
      </c>
      <c r="AI18">
        <v>20</v>
      </c>
      <c r="AJ18">
        <v>62</v>
      </c>
      <c r="AK18">
        <v>155</v>
      </c>
      <c r="AL18">
        <v>229</v>
      </c>
      <c r="AM18">
        <v>322</v>
      </c>
      <c r="AN18">
        <v>453</v>
      </c>
      <c r="AO18">
        <v>655</v>
      </c>
      <c r="AP18">
        <v>888</v>
      </c>
      <c r="AQ18">
        <v>1128</v>
      </c>
      <c r="AR18">
        <v>1694</v>
      </c>
      <c r="AS18">
        <v>2036</v>
      </c>
      <c r="AT18">
        <v>2502</v>
      </c>
      <c r="AU18">
        <v>3089</v>
      </c>
      <c r="AV18">
        <v>3858</v>
      </c>
      <c r="AW18">
        <v>4636</v>
      </c>
      <c r="AX18">
        <v>5883</v>
      </c>
      <c r="AY18">
        <v>7375</v>
      </c>
      <c r="AZ18">
        <v>9172</v>
      </c>
      <c r="BA18">
        <v>10149</v>
      </c>
      <c r="BB18">
        <v>12462</v>
      </c>
      <c r="BC18">
        <v>12462</v>
      </c>
      <c r="BD18">
        <v>17660</v>
      </c>
      <c r="BE18">
        <v>21157</v>
      </c>
      <c r="BF18">
        <v>24747</v>
      </c>
      <c r="BG18">
        <v>27980</v>
      </c>
      <c r="BH18">
        <v>31506</v>
      </c>
      <c r="BI18">
        <v>35713</v>
      </c>
      <c r="BJ18">
        <v>41035</v>
      </c>
      <c r="BK18">
        <v>47021</v>
      </c>
    </row>
    <row r="19" spans="1:63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2</v>
      </c>
      <c r="AO19">
        <v>7</v>
      </c>
      <c r="AP19">
        <v>7</v>
      </c>
      <c r="AQ19">
        <v>12</v>
      </c>
      <c r="AR19">
        <v>14</v>
      </c>
      <c r="AS19">
        <v>15</v>
      </c>
      <c r="AT19">
        <v>21</v>
      </c>
      <c r="AU19">
        <v>35</v>
      </c>
      <c r="AV19">
        <v>94</v>
      </c>
      <c r="AW19">
        <v>101</v>
      </c>
      <c r="AX19">
        <v>161</v>
      </c>
      <c r="AY19">
        <v>203</v>
      </c>
      <c r="AZ19">
        <v>248</v>
      </c>
      <c r="BA19">
        <v>355</v>
      </c>
      <c r="BB19">
        <v>500</v>
      </c>
      <c r="BC19">
        <v>599</v>
      </c>
      <c r="BD19">
        <v>814</v>
      </c>
      <c r="BE19">
        <v>961</v>
      </c>
      <c r="BF19">
        <v>1022</v>
      </c>
      <c r="BG19">
        <v>1103</v>
      </c>
      <c r="BH19">
        <v>1190</v>
      </c>
      <c r="BI19">
        <v>1279</v>
      </c>
      <c r="BJ19">
        <v>1439</v>
      </c>
      <c r="BK19">
        <v>1639</v>
      </c>
    </row>
    <row r="20" spans="1:63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2</v>
      </c>
      <c r="X20">
        <v>2</v>
      </c>
      <c r="Y20">
        <v>2</v>
      </c>
      <c r="Z20">
        <v>2</v>
      </c>
      <c r="AA20">
        <v>2</v>
      </c>
      <c r="AB20">
        <v>2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6</v>
      </c>
      <c r="AN20">
        <v>13</v>
      </c>
      <c r="AO20">
        <v>15</v>
      </c>
      <c r="AP20">
        <v>32</v>
      </c>
      <c r="AQ20">
        <v>45</v>
      </c>
      <c r="AR20">
        <v>84</v>
      </c>
      <c r="AS20">
        <v>120</v>
      </c>
      <c r="AT20">
        <v>165</v>
      </c>
      <c r="AU20">
        <v>222</v>
      </c>
      <c r="AV20">
        <v>259</v>
      </c>
      <c r="AW20">
        <v>400</v>
      </c>
      <c r="AX20">
        <v>500</v>
      </c>
      <c r="AY20">
        <v>673</v>
      </c>
      <c r="AZ20">
        <v>1073</v>
      </c>
      <c r="BA20">
        <v>1695</v>
      </c>
      <c r="BB20">
        <v>2277</v>
      </c>
      <c r="BC20">
        <v>2277</v>
      </c>
      <c r="BD20">
        <v>5232</v>
      </c>
      <c r="BE20">
        <v>6391</v>
      </c>
      <c r="BF20">
        <v>7798</v>
      </c>
      <c r="BG20">
        <v>9942</v>
      </c>
      <c r="BH20">
        <v>11748</v>
      </c>
      <c r="BI20">
        <v>13910</v>
      </c>
      <c r="BJ20">
        <v>17963</v>
      </c>
      <c r="BK20">
        <v>20410</v>
      </c>
    </row>
    <row r="21" spans="1:63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1</v>
      </c>
      <c r="P21">
        <v>2</v>
      </c>
      <c r="Q21">
        <v>2</v>
      </c>
      <c r="R21">
        <v>2</v>
      </c>
      <c r="S21">
        <v>2</v>
      </c>
      <c r="T21">
        <v>2</v>
      </c>
      <c r="U21">
        <v>2</v>
      </c>
      <c r="V21">
        <v>2</v>
      </c>
      <c r="W21">
        <v>2</v>
      </c>
      <c r="X21">
        <v>2</v>
      </c>
      <c r="Y21">
        <v>2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3</v>
      </c>
      <c r="AR21">
        <v>3</v>
      </c>
      <c r="AS21">
        <v>3</v>
      </c>
      <c r="AT21">
        <v>3</v>
      </c>
      <c r="AU21">
        <v>5</v>
      </c>
      <c r="AV21">
        <v>5</v>
      </c>
      <c r="AW21">
        <v>7</v>
      </c>
      <c r="AX21">
        <v>7</v>
      </c>
      <c r="AY21">
        <v>7</v>
      </c>
      <c r="AZ21">
        <v>7</v>
      </c>
      <c r="BA21">
        <v>7</v>
      </c>
      <c r="BB21">
        <v>9</v>
      </c>
      <c r="BC21">
        <v>9</v>
      </c>
      <c r="BD21">
        <v>16</v>
      </c>
      <c r="BE21">
        <v>19</v>
      </c>
      <c r="BF21">
        <v>20</v>
      </c>
      <c r="BG21">
        <v>29</v>
      </c>
      <c r="BH21">
        <v>29</v>
      </c>
      <c r="BI21">
        <v>37</v>
      </c>
      <c r="BJ21">
        <v>42</v>
      </c>
      <c r="BK21">
        <v>50</v>
      </c>
    </row>
    <row r="22" spans="1:63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2</v>
      </c>
      <c r="AS22">
        <v>8</v>
      </c>
      <c r="AT22">
        <v>13</v>
      </c>
      <c r="AU22">
        <v>23</v>
      </c>
      <c r="AV22">
        <v>50</v>
      </c>
      <c r="AW22">
        <v>109</v>
      </c>
      <c r="AX22">
        <v>169</v>
      </c>
      <c r="AY22">
        <v>200</v>
      </c>
      <c r="AZ22">
        <v>239</v>
      </c>
      <c r="BA22">
        <v>267</v>
      </c>
      <c r="BB22">
        <v>314</v>
      </c>
      <c r="BC22">
        <v>314</v>
      </c>
      <c r="BD22">
        <v>559</v>
      </c>
      <c r="BE22">
        <v>689</v>
      </c>
      <c r="BF22">
        <v>886</v>
      </c>
      <c r="BG22">
        <v>1058</v>
      </c>
      <c r="BH22">
        <v>1243</v>
      </c>
      <c r="BI22">
        <v>1486</v>
      </c>
      <c r="BJ22">
        <v>1795</v>
      </c>
      <c r="BK22">
        <v>2257</v>
      </c>
    </row>
    <row r="23" spans="1:63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1</v>
      </c>
      <c r="AC23">
        <v>1</v>
      </c>
      <c r="AD23">
        <v>1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2</v>
      </c>
      <c r="AS23">
        <v>2</v>
      </c>
      <c r="AT23">
        <v>2</v>
      </c>
      <c r="AU23">
        <v>2</v>
      </c>
      <c r="AV23">
        <v>3</v>
      </c>
      <c r="AW23">
        <v>15</v>
      </c>
      <c r="AX23">
        <v>15</v>
      </c>
      <c r="AY23">
        <v>49</v>
      </c>
      <c r="AZ23">
        <v>55</v>
      </c>
      <c r="BA23">
        <v>59</v>
      </c>
      <c r="BB23">
        <v>60</v>
      </c>
      <c r="BC23">
        <v>67</v>
      </c>
      <c r="BD23">
        <v>80</v>
      </c>
      <c r="BE23">
        <v>109</v>
      </c>
      <c r="BF23">
        <v>110</v>
      </c>
      <c r="BG23">
        <v>150</v>
      </c>
      <c r="BH23">
        <v>196</v>
      </c>
      <c r="BI23">
        <v>196</v>
      </c>
      <c r="BJ23">
        <v>256</v>
      </c>
      <c r="BK23">
        <v>285</v>
      </c>
    </row>
    <row r="24" spans="1:63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4</v>
      </c>
      <c r="AJ24">
        <v>7</v>
      </c>
      <c r="AK24">
        <v>7</v>
      </c>
      <c r="AL24">
        <v>7</v>
      </c>
      <c r="AM24">
        <v>7</v>
      </c>
      <c r="AN24">
        <v>7</v>
      </c>
      <c r="AO24">
        <v>8</v>
      </c>
      <c r="AP24">
        <v>8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</row>
    <row r="25" spans="1:63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2</v>
      </c>
      <c r="AO25">
        <v>2</v>
      </c>
      <c r="AP25">
        <v>2</v>
      </c>
      <c r="AQ25">
        <v>4</v>
      </c>
      <c r="AR25">
        <v>10</v>
      </c>
      <c r="AS25">
        <v>13</v>
      </c>
      <c r="AT25">
        <v>13</v>
      </c>
      <c r="AU25">
        <v>13</v>
      </c>
      <c r="AV25">
        <v>16</v>
      </c>
      <c r="AW25">
        <v>22</v>
      </c>
      <c r="AX25">
        <v>22</v>
      </c>
      <c r="AY25">
        <v>32</v>
      </c>
      <c r="AZ25">
        <v>32</v>
      </c>
      <c r="BA25">
        <v>41</v>
      </c>
      <c r="BB25">
        <v>61</v>
      </c>
      <c r="BC25">
        <v>61</v>
      </c>
      <c r="BD25">
        <v>77</v>
      </c>
      <c r="BE25">
        <v>93</v>
      </c>
      <c r="BF25">
        <v>110</v>
      </c>
      <c r="BG25">
        <v>99</v>
      </c>
      <c r="BH25">
        <v>120</v>
      </c>
      <c r="BI25">
        <v>133</v>
      </c>
      <c r="BJ25">
        <v>157</v>
      </c>
      <c r="BK25">
        <v>163</v>
      </c>
    </row>
    <row r="26" spans="1:63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1</v>
      </c>
      <c r="AM26">
        <v>1</v>
      </c>
      <c r="AN26">
        <v>5</v>
      </c>
      <c r="AO26">
        <v>7</v>
      </c>
      <c r="AP26">
        <v>7</v>
      </c>
      <c r="AQ26">
        <v>13</v>
      </c>
      <c r="AR26">
        <v>19</v>
      </c>
      <c r="AS26">
        <v>26</v>
      </c>
      <c r="AT26">
        <v>32</v>
      </c>
      <c r="AU26">
        <v>35</v>
      </c>
      <c r="AV26">
        <v>35</v>
      </c>
      <c r="AW26">
        <v>40</v>
      </c>
      <c r="AX26">
        <v>54</v>
      </c>
      <c r="AY26">
        <v>60</v>
      </c>
      <c r="AZ26">
        <v>60</v>
      </c>
      <c r="BA26">
        <v>71</v>
      </c>
      <c r="BB26">
        <v>71</v>
      </c>
      <c r="BC26">
        <v>71</v>
      </c>
      <c r="BD26">
        <v>101</v>
      </c>
      <c r="BE26">
        <v>110</v>
      </c>
      <c r="BF26">
        <v>116</v>
      </c>
      <c r="BG26">
        <v>124</v>
      </c>
      <c r="BH26">
        <v>154</v>
      </c>
      <c r="BI26">
        <v>164</v>
      </c>
      <c r="BJ26">
        <v>192</v>
      </c>
      <c r="BK26">
        <v>208</v>
      </c>
    </row>
    <row r="27" spans="1:63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2</v>
      </c>
      <c r="AM27">
        <v>2</v>
      </c>
      <c r="AN27">
        <v>4</v>
      </c>
      <c r="AO27">
        <v>4</v>
      </c>
      <c r="AP27">
        <v>4</v>
      </c>
      <c r="AQ27">
        <v>6</v>
      </c>
      <c r="AR27">
        <v>6</v>
      </c>
      <c r="AS27">
        <v>6</v>
      </c>
      <c r="AT27">
        <v>12</v>
      </c>
      <c r="AU27">
        <v>15</v>
      </c>
      <c r="AV27">
        <v>16</v>
      </c>
      <c r="AW27">
        <v>16</v>
      </c>
      <c r="AX27">
        <v>16</v>
      </c>
      <c r="AY27">
        <v>16</v>
      </c>
      <c r="AZ27">
        <v>16</v>
      </c>
      <c r="BA27">
        <v>18</v>
      </c>
      <c r="BB27">
        <v>18</v>
      </c>
      <c r="BC27">
        <v>18</v>
      </c>
      <c r="BD27">
        <v>19</v>
      </c>
      <c r="BE27">
        <v>19</v>
      </c>
      <c r="BF27">
        <v>22</v>
      </c>
      <c r="BG27">
        <v>22</v>
      </c>
      <c r="BH27">
        <v>24</v>
      </c>
      <c r="BI27">
        <v>39</v>
      </c>
      <c r="BJ27">
        <v>48</v>
      </c>
      <c r="BK27">
        <v>48</v>
      </c>
    </row>
    <row r="28" spans="1:63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1</v>
      </c>
      <c r="AM28">
        <v>1</v>
      </c>
      <c r="AN28">
        <v>1</v>
      </c>
      <c r="AO28">
        <v>1</v>
      </c>
      <c r="AP28">
        <v>1</v>
      </c>
      <c r="AQ28">
        <v>1</v>
      </c>
      <c r="AR28">
        <v>1</v>
      </c>
      <c r="AS28">
        <v>1</v>
      </c>
      <c r="AT28">
        <v>1</v>
      </c>
      <c r="AU28">
        <v>1</v>
      </c>
      <c r="AV28">
        <v>1</v>
      </c>
      <c r="AW28">
        <v>1</v>
      </c>
      <c r="AX28">
        <v>1</v>
      </c>
      <c r="AY28">
        <v>4</v>
      </c>
      <c r="AZ28">
        <v>4</v>
      </c>
      <c r="BA28">
        <v>5</v>
      </c>
      <c r="BB28">
        <v>7</v>
      </c>
      <c r="BC28">
        <v>7</v>
      </c>
      <c r="BD28">
        <v>7</v>
      </c>
      <c r="BE28">
        <v>11</v>
      </c>
      <c r="BF28">
        <v>16</v>
      </c>
      <c r="BG28">
        <v>21</v>
      </c>
      <c r="BH28">
        <v>22</v>
      </c>
      <c r="BI28">
        <v>22</v>
      </c>
      <c r="BJ28">
        <v>22</v>
      </c>
      <c r="BK28">
        <v>24</v>
      </c>
    </row>
    <row r="29" spans="1:63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1</v>
      </c>
      <c r="AM29">
        <v>23</v>
      </c>
      <c r="AN29">
        <v>33</v>
      </c>
      <c r="AO29">
        <v>33</v>
      </c>
      <c r="AP29">
        <v>36</v>
      </c>
      <c r="AQ29">
        <v>41</v>
      </c>
      <c r="AR29">
        <v>47</v>
      </c>
      <c r="AS29">
        <v>49</v>
      </c>
      <c r="AT29">
        <v>49</v>
      </c>
      <c r="AU29">
        <v>52</v>
      </c>
      <c r="AV29">
        <v>55</v>
      </c>
      <c r="AW29">
        <v>60</v>
      </c>
      <c r="AX29">
        <v>85</v>
      </c>
      <c r="AY29">
        <v>85</v>
      </c>
      <c r="AZ29">
        <v>95</v>
      </c>
      <c r="BA29">
        <v>110</v>
      </c>
      <c r="BB29">
        <v>195</v>
      </c>
      <c r="BC29">
        <v>195</v>
      </c>
      <c r="BD29">
        <v>189</v>
      </c>
      <c r="BE29">
        <v>210</v>
      </c>
      <c r="BF29">
        <v>214</v>
      </c>
      <c r="BG29">
        <v>214</v>
      </c>
      <c r="BH29">
        <v>228</v>
      </c>
      <c r="BI29">
        <v>256</v>
      </c>
      <c r="BJ29">
        <v>278</v>
      </c>
      <c r="BK29">
        <v>285</v>
      </c>
    </row>
    <row r="30" spans="1:63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1</v>
      </c>
      <c r="AM30">
        <v>11</v>
      </c>
      <c r="AN30">
        <v>26</v>
      </c>
      <c r="AO30">
        <v>43</v>
      </c>
      <c r="AP30">
        <v>45</v>
      </c>
      <c r="AQ30">
        <v>45</v>
      </c>
      <c r="AR30">
        <v>45</v>
      </c>
      <c r="AS30">
        <v>56</v>
      </c>
      <c r="AT30">
        <v>56</v>
      </c>
      <c r="AU30">
        <v>56</v>
      </c>
      <c r="AV30">
        <v>58</v>
      </c>
      <c r="AW30">
        <v>58</v>
      </c>
      <c r="AX30">
        <v>61</v>
      </c>
      <c r="AY30">
        <v>64</v>
      </c>
      <c r="AZ30">
        <v>64</v>
      </c>
      <c r="BA30">
        <v>69</v>
      </c>
      <c r="BB30">
        <v>72</v>
      </c>
      <c r="BC30">
        <v>80</v>
      </c>
      <c r="BD30">
        <v>80</v>
      </c>
      <c r="BE30">
        <v>104</v>
      </c>
      <c r="BF30">
        <v>112</v>
      </c>
      <c r="BG30">
        <v>123</v>
      </c>
      <c r="BH30">
        <v>130</v>
      </c>
      <c r="BI30">
        <v>142</v>
      </c>
      <c r="BJ30">
        <v>148</v>
      </c>
      <c r="BK30">
        <v>159</v>
      </c>
    </row>
    <row r="31" spans="1:63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1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3</v>
      </c>
      <c r="AT31">
        <v>5</v>
      </c>
      <c r="AU31">
        <v>12</v>
      </c>
      <c r="AV31">
        <v>12</v>
      </c>
      <c r="AW31">
        <v>17</v>
      </c>
      <c r="AX31">
        <v>17</v>
      </c>
      <c r="AY31">
        <v>19</v>
      </c>
      <c r="AZ31">
        <v>20</v>
      </c>
      <c r="BA31">
        <v>20</v>
      </c>
      <c r="BB31">
        <v>20</v>
      </c>
      <c r="BC31">
        <v>24</v>
      </c>
      <c r="BD31">
        <v>26</v>
      </c>
      <c r="BE31">
        <v>37</v>
      </c>
      <c r="BF31">
        <v>48</v>
      </c>
      <c r="BG31">
        <v>54</v>
      </c>
      <c r="BH31">
        <v>60</v>
      </c>
      <c r="BI31">
        <v>74</v>
      </c>
      <c r="BJ31">
        <v>87</v>
      </c>
      <c r="BK31">
        <v>90</v>
      </c>
    </row>
    <row r="32" spans="1:63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1</v>
      </c>
      <c r="AN32">
        <v>3</v>
      </c>
      <c r="AO32">
        <v>3</v>
      </c>
      <c r="AP32">
        <v>5</v>
      </c>
      <c r="AQ32">
        <v>6</v>
      </c>
      <c r="AR32">
        <v>7</v>
      </c>
      <c r="AS32">
        <v>7</v>
      </c>
      <c r="AT32">
        <v>9</v>
      </c>
      <c r="AU32">
        <v>10</v>
      </c>
      <c r="AV32">
        <v>10</v>
      </c>
      <c r="AW32">
        <v>11</v>
      </c>
      <c r="AX32">
        <v>12</v>
      </c>
      <c r="AY32">
        <v>12</v>
      </c>
      <c r="AZ32">
        <v>12</v>
      </c>
      <c r="BA32">
        <v>14</v>
      </c>
      <c r="BB32">
        <v>19</v>
      </c>
      <c r="BC32">
        <v>19</v>
      </c>
      <c r="BD32">
        <v>32</v>
      </c>
      <c r="BE32">
        <v>38</v>
      </c>
      <c r="BF32">
        <v>49</v>
      </c>
      <c r="BG32">
        <v>57</v>
      </c>
      <c r="BH32">
        <v>65</v>
      </c>
      <c r="BI32">
        <v>81</v>
      </c>
      <c r="BJ32">
        <v>105</v>
      </c>
      <c r="BK32">
        <v>128</v>
      </c>
    </row>
    <row r="33" spans="2:63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1</v>
      </c>
      <c r="AN33">
        <v>1</v>
      </c>
      <c r="AO33">
        <v>8</v>
      </c>
      <c r="AP33">
        <v>8</v>
      </c>
      <c r="AQ33">
        <v>18</v>
      </c>
      <c r="AR33">
        <v>27</v>
      </c>
      <c r="AS33">
        <v>42</v>
      </c>
      <c r="AT33">
        <v>56</v>
      </c>
      <c r="AU33">
        <v>90</v>
      </c>
      <c r="AV33">
        <v>114</v>
      </c>
      <c r="AW33">
        <v>214</v>
      </c>
      <c r="AX33">
        <v>268</v>
      </c>
      <c r="AY33">
        <v>337</v>
      </c>
      <c r="AZ33">
        <v>374</v>
      </c>
      <c r="BA33">
        <v>491</v>
      </c>
      <c r="BB33">
        <v>652</v>
      </c>
      <c r="BC33">
        <v>652</v>
      </c>
      <c r="BD33">
        <v>1139</v>
      </c>
      <c r="BE33">
        <v>1359</v>
      </c>
      <c r="BF33">
        <v>2200</v>
      </c>
      <c r="BG33">
        <v>2200</v>
      </c>
      <c r="BH33">
        <v>2700</v>
      </c>
      <c r="BI33">
        <v>3028</v>
      </c>
      <c r="BJ33">
        <v>4075</v>
      </c>
      <c r="BK33">
        <v>5294</v>
      </c>
    </row>
    <row r="34" spans="2:63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2</v>
      </c>
      <c r="AN34">
        <v>2</v>
      </c>
      <c r="AO34">
        <v>3</v>
      </c>
      <c r="AP34">
        <v>3</v>
      </c>
      <c r="AQ34">
        <v>9</v>
      </c>
      <c r="AR34">
        <v>14</v>
      </c>
      <c r="AS34">
        <v>18</v>
      </c>
      <c r="AT34">
        <v>21</v>
      </c>
      <c r="AU34">
        <v>29</v>
      </c>
      <c r="AV34">
        <v>41</v>
      </c>
      <c r="AW34">
        <v>55</v>
      </c>
      <c r="AX34">
        <v>79</v>
      </c>
      <c r="AY34">
        <v>104</v>
      </c>
      <c r="AZ34">
        <v>131</v>
      </c>
      <c r="BA34">
        <v>182</v>
      </c>
      <c r="BB34">
        <v>246</v>
      </c>
      <c r="BC34">
        <v>302</v>
      </c>
      <c r="BD34">
        <v>504</v>
      </c>
      <c r="BE34">
        <v>655</v>
      </c>
      <c r="BF34">
        <v>860</v>
      </c>
      <c r="BG34">
        <v>1018</v>
      </c>
      <c r="BH34">
        <v>1332</v>
      </c>
      <c r="BI34">
        <v>1646</v>
      </c>
      <c r="BJ34">
        <v>2013</v>
      </c>
      <c r="BK34">
        <v>2388</v>
      </c>
    </row>
    <row r="35" spans="2:63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2</v>
      </c>
      <c r="AO35">
        <v>3</v>
      </c>
      <c r="AP35">
        <v>4</v>
      </c>
      <c r="AQ35">
        <v>7</v>
      </c>
      <c r="AR35">
        <v>10</v>
      </c>
      <c r="AS35">
        <v>10</v>
      </c>
      <c r="AT35">
        <v>12</v>
      </c>
      <c r="AU35">
        <v>15</v>
      </c>
      <c r="AV35">
        <v>20</v>
      </c>
      <c r="AW35">
        <v>37</v>
      </c>
      <c r="AX35">
        <v>43</v>
      </c>
      <c r="AY35">
        <v>61</v>
      </c>
      <c r="AZ35">
        <v>61</v>
      </c>
      <c r="BA35">
        <v>83</v>
      </c>
      <c r="BB35">
        <v>109</v>
      </c>
      <c r="BC35">
        <v>131</v>
      </c>
      <c r="BD35">
        <v>161</v>
      </c>
      <c r="BE35">
        <v>193</v>
      </c>
      <c r="BF35">
        <v>251</v>
      </c>
      <c r="BG35">
        <v>255</v>
      </c>
      <c r="BH35">
        <v>337</v>
      </c>
      <c r="BI35">
        <v>433</v>
      </c>
      <c r="BJ35">
        <v>677</v>
      </c>
      <c r="BK35">
        <v>705</v>
      </c>
    </row>
    <row r="36" spans="2:63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2</v>
      </c>
      <c r="AO36">
        <v>2</v>
      </c>
      <c r="AP36">
        <v>2</v>
      </c>
      <c r="AQ36">
        <v>4</v>
      </c>
      <c r="AR36">
        <v>4</v>
      </c>
      <c r="AS36">
        <v>4</v>
      </c>
      <c r="AT36">
        <v>5</v>
      </c>
      <c r="AU36">
        <v>5</v>
      </c>
      <c r="AV36">
        <v>5</v>
      </c>
      <c r="AW36">
        <v>6</v>
      </c>
      <c r="AX36">
        <v>6</v>
      </c>
      <c r="AY36">
        <v>6</v>
      </c>
      <c r="AZ36">
        <v>6</v>
      </c>
      <c r="BA36">
        <v>16</v>
      </c>
      <c r="BB36">
        <v>19</v>
      </c>
      <c r="BC36">
        <v>20</v>
      </c>
      <c r="BD36">
        <v>28</v>
      </c>
      <c r="BE36">
        <v>31</v>
      </c>
      <c r="BF36">
        <v>53</v>
      </c>
      <c r="BG36">
        <v>136</v>
      </c>
      <c r="BH36">
        <v>236</v>
      </c>
      <c r="BI36">
        <v>299</v>
      </c>
      <c r="BJ36">
        <v>454</v>
      </c>
      <c r="BK36">
        <v>501</v>
      </c>
    </row>
    <row r="37" spans="2:63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1</v>
      </c>
      <c r="AO37">
        <v>1</v>
      </c>
      <c r="AP37">
        <v>1</v>
      </c>
      <c r="AQ37">
        <v>2</v>
      </c>
      <c r="AR37">
        <v>2</v>
      </c>
      <c r="AS37">
        <v>2</v>
      </c>
      <c r="AT37">
        <v>2</v>
      </c>
      <c r="AU37">
        <v>4</v>
      </c>
      <c r="AV37">
        <v>4</v>
      </c>
      <c r="AW37">
        <v>13</v>
      </c>
      <c r="AX37">
        <v>13</v>
      </c>
      <c r="AY37">
        <v>20</v>
      </c>
      <c r="AZ37">
        <v>25</v>
      </c>
      <c r="BA37">
        <v>31</v>
      </c>
      <c r="BB37">
        <v>38</v>
      </c>
      <c r="BC37">
        <v>52</v>
      </c>
      <c r="BD37">
        <v>151</v>
      </c>
      <c r="BE37">
        <v>151</v>
      </c>
      <c r="BF37">
        <v>162</v>
      </c>
      <c r="BG37">
        <v>200</v>
      </c>
      <c r="BH37">
        <v>321</v>
      </c>
      <c r="BI37">
        <v>372</v>
      </c>
      <c r="BJ37">
        <v>621</v>
      </c>
      <c r="BK37">
        <v>793</v>
      </c>
    </row>
    <row r="38" spans="2:63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1</v>
      </c>
      <c r="AO38">
        <v>1</v>
      </c>
      <c r="AP38">
        <v>1</v>
      </c>
      <c r="AQ38">
        <v>1</v>
      </c>
      <c r="AR38">
        <v>3</v>
      </c>
      <c r="AS38">
        <v>3</v>
      </c>
      <c r="AT38">
        <v>3</v>
      </c>
      <c r="AU38">
        <v>3</v>
      </c>
      <c r="AV38">
        <v>4</v>
      </c>
      <c r="AW38">
        <v>4</v>
      </c>
      <c r="AX38">
        <v>4</v>
      </c>
      <c r="AY38">
        <v>13</v>
      </c>
      <c r="AZ38">
        <v>15</v>
      </c>
      <c r="BA38">
        <v>15</v>
      </c>
      <c r="BB38">
        <v>24</v>
      </c>
      <c r="BC38">
        <v>24</v>
      </c>
      <c r="BD38">
        <v>25</v>
      </c>
      <c r="BE38">
        <v>30</v>
      </c>
      <c r="BF38">
        <v>33</v>
      </c>
      <c r="BG38">
        <v>33</v>
      </c>
      <c r="BH38">
        <v>34</v>
      </c>
      <c r="BI38">
        <v>38</v>
      </c>
      <c r="BJ38">
        <v>40</v>
      </c>
      <c r="BK38">
        <v>43</v>
      </c>
    </row>
    <row r="39" spans="2:63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1</v>
      </c>
      <c r="AO39">
        <v>3</v>
      </c>
      <c r="AP39">
        <v>4</v>
      </c>
      <c r="AQ39">
        <v>4</v>
      </c>
      <c r="AR39">
        <v>7</v>
      </c>
      <c r="AS39">
        <v>7</v>
      </c>
      <c r="AT39">
        <v>7</v>
      </c>
      <c r="AU39">
        <v>9</v>
      </c>
      <c r="AV39">
        <v>31</v>
      </c>
      <c r="AW39">
        <v>45</v>
      </c>
      <c r="AX39">
        <v>46</v>
      </c>
      <c r="AY39">
        <v>73</v>
      </c>
      <c r="AZ39">
        <v>73</v>
      </c>
      <c r="BA39">
        <v>89</v>
      </c>
      <c r="BB39">
        <v>99</v>
      </c>
      <c r="BC39">
        <v>99</v>
      </c>
      <c r="BD39">
        <v>190</v>
      </c>
      <c r="BE39">
        <v>228</v>
      </c>
      <c r="BF39">
        <v>331</v>
      </c>
      <c r="BG39">
        <v>331</v>
      </c>
      <c r="BH39">
        <v>387</v>
      </c>
      <c r="BI39">
        <v>418</v>
      </c>
      <c r="BJ39">
        <v>418</v>
      </c>
      <c r="BK39">
        <v>495</v>
      </c>
    </row>
    <row r="40" spans="2:63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1</v>
      </c>
      <c r="AO40">
        <v>1</v>
      </c>
      <c r="AP40">
        <v>1</v>
      </c>
      <c r="AQ40">
        <v>1</v>
      </c>
      <c r="AR40">
        <v>1</v>
      </c>
      <c r="AS40">
        <v>1</v>
      </c>
      <c r="AT40">
        <v>1</v>
      </c>
      <c r="AU40">
        <v>1</v>
      </c>
      <c r="AV40">
        <v>1</v>
      </c>
      <c r="AW40">
        <v>3</v>
      </c>
      <c r="AX40">
        <v>3</v>
      </c>
      <c r="AY40">
        <v>3</v>
      </c>
      <c r="AZ40">
        <v>3</v>
      </c>
      <c r="BA40">
        <v>7</v>
      </c>
      <c r="BB40">
        <v>7</v>
      </c>
      <c r="BC40">
        <v>7</v>
      </c>
      <c r="BD40">
        <v>14</v>
      </c>
      <c r="BE40">
        <v>14</v>
      </c>
      <c r="BF40">
        <v>14</v>
      </c>
      <c r="BG40">
        <v>18</v>
      </c>
      <c r="BH40">
        <v>26</v>
      </c>
      <c r="BI40">
        <v>35</v>
      </c>
      <c r="BJ40">
        <v>48</v>
      </c>
      <c r="BK40">
        <v>67</v>
      </c>
    </row>
    <row r="41" spans="2:63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1</v>
      </c>
      <c r="AO41">
        <v>1</v>
      </c>
      <c r="AP41">
        <v>6</v>
      </c>
      <c r="AQ41">
        <v>15</v>
      </c>
      <c r="AR41">
        <v>19</v>
      </c>
      <c r="AS41">
        <v>25</v>
      </c>
      <c r="AT41">
        <v>32</v>
      </c>
      <c r="AU41">
        <v>56</v>
      </c>
      <c r="AV41">
        <v>87</v>
      </c>
      <c r="AW41">
        <v>108</v>
      </c>
      <c r="AX41">
        <v>147</v>
      </c>
      <c r="AY41">
        <v>176</v>
      </c>
      <c r="AZ41">
        <v>205</v>
      </c>
      <c r="BA41">
        <v>400</v>
      </c>
      <c r="BB41">
        <v>598</v>
      </c>
      <c r="BC41">
        <v>702</v>
      </c>
      <c r="BD41">
        <v>996</v>
      </c>
      <c r="BE41">
        <v>1090</v>
      </c>
      <c r="BF41">
        <v>1221</v>
      </c>
      <c r="BG41">
        <v>1333</v>
      </c>
      <c r="BH41">
        <v>1463</v>
      </c>
      <c r="BI41">
        <v>1550</v>
      </c>
      <c r="BJ41">
        <v>1746</v>
      </c>
      <c r="BK41">
        <v>1914</v>
      </c>
    </row>
    <row r="42" spans="2:63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1</v>
      </c>
      <c r="AO42">
        <v>1</v>
      </c>
      <c r="AP42">
        <v>3</v>
      </c>
      <c r="AQ42">
        <v>3</v>
      </c>
      <c r="AR42">
        <v>3</v>
      </c>
      <c r="AS42">
        <v>3</v>
      </c>
      <c r="AT42">
        <v>3</v>
      </c>
      <c r="AU42">
        <v>4</v>
      </c>
      <c r="AV42">
        <v>6</v>
      </c>
      <c r="AW42">
        <v>9</v>
      </c>
      <c r="AX42">
        <v>9</v>
      </c>
      <c r="AY42">
        <v>15</v>
      </c>
      <c r="AZ42">
        <v>15</v>
      </c>
      <c r="BA42">
        <v>25</v>
      </c>
      <c r="BB42">
        <v>45</v>
      </c>
      <c r="BC42">
        <v>49</v>
      </c>
      <c r="BD42">
        <v>89</v>
      </c>
      <c r="BE42">
        <v>123</v>
      </c>
      <c r="BF42">
        <v>131</v>
      </c>
      <c r="BG42">
        <v>158</v>
      </c>
      <c r="BH42">
        <v>184</v>
      </c>
      <c r="BI42">
        <v>260</v>
      </c>
      <c r="BJ42">
        <v>277</v>
      </c>
      <c r="BK42">
        <v>308</v>
      </c>
    </row>
    <row r="43" spans="2:63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1</v>
      </c>
      <c r="AP43">
        <v>1</v>
      </c>
      <c r="AQ43">
        <v>1</v>
      </c>
      <c r="AR43">
        <v>1</v>
      </c>
      <c r="AS43">
        <v>1</v>
      </c>
      <c r="AT43">
        <v>2</v>
      </c>
      <c r="AU43">
        <v>2</v>
      </c>
      <c r="AV43">
        <v>3</v>
      </c>
      <c r="AW43">
        <v>10</v>
      </c>
      <c r="AX43">
        <v>10</v>
      </c>
      <c r="AY43">
        <v>10</v>
      </c>
      <c r="AZ43">
        <v>10</v>
      </c>
      <c r="BA43">
        <v>12</v>
      </c>
      <c r="BB43">
        <v>16</v>
      </c>
      <c r="BC43">
        <v>16</v>
      </c>
      <c r="BD43">
        <v>79</v>
      </c>
      <c r="BE43">
        <v>115</v>
      </c>
      <c r="BF43">
        <v>171</v>
      </c>
      <c r="BG43">
        <v>205</v>
      </c>
      <c r="BH43">
        <v>225</v>
      </c>
      <c r="BI43">
        <v>258</v>
      </c>
      <c r="BJ43">
        <v>267</v>
      </c>
      <c r="BK43">
        <v>283</v>
      </c>
    </row>
    <row r="44" spans="2:63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1</v>
      </c>
      <c r="AP44">
        <v>1</v>
      </c>
      <c r="AQ44">
        <v>1</v>
      </c>
      <c r="AR44">
        <v>1</v>
      </c>
      <c r="AS44">
        <v>8</v>
      </c>
      <c r="AT44">
        <v>10</v>
      </c>
      <c r="AU44">
        <v>16</v>
      </c>
      <c r="AV44">
        <v>21</v>
      </c>
      <c r="AW44">
        <v>21</v>
      </c>
      <c r="AX44">
        <v>23</v>
      </c>
      <c r="AY44">
        <v>36</v>
      </c>
      <c r="AZ44">
        <v>36</v>
      </c>
      <c r="BA44">
        <v>51</v>
      </c>
      <c r="BB44">
        <v>62</v>
      </c>
      <c r="BC44">
        <v>69</v>
      </c>
      <c r="BD44">
        <v>80</v>
      </c>
      <c r="BE44">
        <v>80</v>
      </c>
      <c r="BF44">
        <v>101</v>
      </c>
      <c r="BG44">
        <v>109</v>
      </c>
      <c r="BH44">
        <v>109</v>
      </c>
      <c r="BI44">
        <v>119</v>
      </c>
      <c r="BJ44">
        <v>119</v>
      </c>
      <c r="BK44">
        <v>144</v>
      </c>
    </row>
    <row r="45" spans="2:63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6</v>
      </c>
      <c r="AV45">
        <v>6</v>
      </c>
      <c r="AW45">
        <v>6</v>
      </c>
      <c r="AX45">
        <v>6</v>
      </c>
      <c r="AY45">
        <v>6</v>
      </c>
      <c r="AZ45">
        <v>6</v>
      </c>
      <c r="BA45">
        <v>9</v>
      </c>
      <c r="BB45">
        <v>9</v>
      </c>
      <c r="BC45">
        <v>12</v>
      </c>
      <c r="BD45">
        <v>27</v>
      </c>
      <c r="BE45">
        <v>27</v>
      </c>
      <c r="BF45">
        <v>27</v>
      </c>
      <c r="BG45">
        <v>36</v>
      </c>
      <c r="BH45">
        <v>36</v>
      </c>
      <c r="BI45">
        <v>51</v>
      </c>
      <c r="BJ45">
        <v>51</v>
      </c>
      <c r="BK45">
        <v>69</v>
      </c>
    </row>
    <row r="46" spans="2:63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3</v>
      </c>
      <c r="AS46">
        <v>6</v>
      </c>
      <c r="AT46">
        <v>11</v>
      </c>
      <c r="AU46">
        <v>26</v>
      </c>
      <c r="AV46">
        <v>34</v>
      </c>
      <c r="AW46">
        <v>43</v>
      </c>
      <c r="AX46">
        <v>50</v>
      </c>
      <c r="AY46">
        <v>50</v>
      </c>
      <c r="AZ46">
        <v>58</v>
      </c>
      <c r="BA46">
        <v>69</v>
      </c>
      <c r="BB46">
        <v>85</v>
      </c>
      <c r="BC46">
        <v>103</v>
      </c>
      <c r="BD46">
        <v>134</v>
      </c>
      <c r="BE46">
        <v>156</v>
      </c>
      <c r="BF46">
        <v>171</v>
      </c>
      <c r="BG46">
        <v>180</v>
      </c>
      <c r="BH46">
        <v>220</v>
      </c>
      <c r="BI46">
        <v>250</v>
      </c>
      <c r="BJ46">
        <v>330</v>
      </c>
      <c r="BK46">
        <v>409</v>
      </c>
    </row>
    <row r="47" spans="2:63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3</v>
      </c>
      <c r="BC47">
        <v>3</v>
      </c>
      <c r="BD47">
        <v>6</v>
      </c>
      <c r="BE47">
        <v>8</v>
      </c>
      <c r="BF47">
        <v>12</v>
      </c>
      <c r="BG47">
        <v>17</v>
      </c>
      <c r="BH47">
        <v>25</v>
      </c>
      <c r="BI47">
        <v>27</v>
      </c>
      <c r="BJ47">
        <v>36</v>
      </c>
      <c r="BK47">
        <v>49</v>
      </c>
    </row>
    <row r="48" spans="2:63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1</v>
      </c>
      <c r="AQ48">
        <v>4</v>
      </c>
      <c r="AR48">
        <v>5</v>
      </c>
      <c r="AS48">
        <v>5</v>
      </c>
      <c r="AT48">
        <v>5</v>
      </c>
      <c r="AU48">
        <v>5</v>
      </c>
      <c r="AV48">
        <v>5</v>
      </c>
      <c r="AW48">
        <v>6</v>
      </c>
      <c r="AX48">
        <v>6</v>
      </c>
      <c r="AY48">
        <v>7</v>
      </c>
      <c r="AZ48">
        <v>7</v>
      </c>
      <c r="BA48">
        <v>7</v>
      </c>
      <c r="BB48">
        <v>8</v>
      </c>
      <c r="BC48">
        <v>12</v>
      </c>
      <c r="BD48">
        <v>12</v>
      </c>
      <c r="BE48">
        <v>26</v>
      </c>
      <c r="BF48">
        <v>41</v>
      </c>
      <c r="BG48">
        <v>53</v>
      </c>
      <c r="BH48">
        <v>82</v>
      </c>
      <c r="BI48">
        <v>93</v>
      </c>
      <c r="BJ48">
        <v>118</v>
      </c>
      <c r="BK48">
        <v>164</v>
      </c>
    </row>
    <row r="49" spans="1:63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1</v>
      </c>
      <c r="AQ49">
        <v>1</v>
      </c>
      <c r="AR49">
        <v>1</v>
      </c>
      <c r="AS49">
        <v>1</v>
      </c>
      <c r="AT49">
        <v>1</v>
      </c>
      <c r="AU49">
        <v>3</v>
      </c>
      <c r="AV49">
        <v>3</v>
      </c>
      <c r="AW49">
        <v>4</v>
      </c>
      <c r="AX49">
        <v>5</v>
      </c>
      <c r="AY49">
        <v>5</v>
      </c>
      <c r="AZ49">
        <v>5</v>
      </c>
      <c r="BA49">
        <v>5</v>
      </c>
      <c r="BB49">
        <v>5</v>
      </c>
      <c r="BC49">
        <v>5</v>
      </c>
      <c r="BD49">
        <v>5</v>
      </c>
      <c r="BE49">
        <v>6</v>
      </c>
      <c r="BF49">
        <v>8</v>
      </c>
      <c r="BG49">
        <v>8</v>
      </c>
      <c r="BH49">
        <v>12</v>
      </c>
      <c r="BI49">
        <v>20</v>
      </c>
      <c r="BJ49">
        <v>28</v>
      </c>
      <c r="BK49">
        <v>39</v>
      </c>
    </row>
    <row r="50" spans="1:63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W50">
        <v>1</v>
      </c>
      <c r="AX50">
        <v>1</v>
      </c>
      <c r="AY50">
        <v>1</v>
      </c>
      <c r="AZ50">
        <v>2</v>
      </c>
      <c r="BA50">
        <v>2</v>
      </c>
      <c r="BB50">
        <v>2</v>
      </c>
      <c r="BC50">
        <v>2</v>
      </c>
      <c r="BD50">
        <v>2</v>
      </c>
      <c r="BE50">
        <v>2</v>
      </c>
      <c r="BF50">
        <v>2</v>
      </c>
      <c r="BG50">
        <v>2</v>
      </c>
      <c r="BH50">
        <v>3</v>
      </c>
      <c r="BI50">
        <v>8</v>
      </c>
      <c r="BJ50">
        <v>8</v>
      </c>
      <c r="BK50">
        <v>12</v>
      </c>
    </row>
    <row r="51" spans="1:63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2</v>
      </c>
      <c r="AR51">
        <v>2</v>
      </c>
      <c r="AS51">
        <v>2</v>
      </c>
      <c r="AT51">
        <v>2</v>
      </c>
      <c r="AU51">
        <v>2</v>
      </c>
      <c r="AV51">
        <v>3</v>
      </c>
      <c r="AW51">
        <v>3</v>
      </c>
      <c r="AX51">
        <v>3</v>
      </c>
      <c r="AY51">
        <v>3</v>
      </c>
      <c r="AZ51">
        <v>4</v>
      </c>
      <c r="BA51">
        <v>6</v>
      </c>
      <c r="BB51">
        <v>9</v>
      </c>
      <c r="BC51">
        <v>9</v>
      </c>
      <c r="BD51">
        <v>14</v>
      </c>
      <c r="BE51">
        <v>17</v>
      </c>
      <c r="BF51">
        <v>17</v>
      </c>
      <c r="BG51">
        <v>28</v>
      </c>
      <c r="BH51">
        <v>31</v>
      </c>
      <c r="BI51">
        <v>35</v>
      </c>
      <c r="BJ51">
        <v>52</v>
      </c>
      <c r="BK51">
        <v>64</v>
      </c>
    </row>
    <row r="52" spans="1:63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1</v>
      </c>
      <c r="AR52">
        <v>1</v>
      </c>
      <c r="AS52">
        <v>1</v>
      </c>
      <c r="AT52">
        <v>2</v>
      </c>
      <c r="AU52">
        <v>6</v>
      </c>
      <c r="AV52">
        <v>6</v>
      </c>
      <c r="AW52">
        <v>18</v>
      </c>
      <c r="AX52">
        <v>18</v>
      </c>
      <c r="AY52">
        <v>19</v>
      </c>
      <c r="AZ52">
        <v>21</v>
      </c>
      <c r="BA52">
        <v>34</v>
      </c>
      <c r="BB52">
        <v>43</v>
      </c>
      <c r="BC52">
        <v>43</v>
      </c>
      <c r="BD52">
        <v>90</v>
      </c>
      <c r="BE52">
        <v>129</v>
      </c>
      <c r="BF52">
        <v>129</v>
      </c>
      <c r="BG52">
        <v>169</v>
      </c>
      <c r="BH52">
        <v>223</v>
      </c>
      <c r="BI52">
        <v>292</v>
      </c>
      <c r="BJ52">
        <v>557</v>
      </c>
      <c r="BK52">
        <v>683</v>
      </c>
    </row>
    <row r="53" spans="1:63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W53">
        <v>2</v>
      </c>
      <c r="AX53">
        <v>2</v>
      </c>
      <c r="AY53">
        <v>3</v>
      </c>
      <c r="AZ53">
        <v>3</v>
      </c>
      <c r="BA53">
        <v>5</v>
      </c>
      <c r="BB53">
        <v>7</v>
      </c>
      <c r="BC53">
        <v>19</v>
      </c>
      <c r="BD53">
        <v>34</v>
      </c>
      <c r="BE53">
        <v>51</v>
      </c>
      <c r="BF53">
        <v>59</v>
      </c>
      <c r="BG53">
        <v>77</v>
      </c>
      <c r="BH53">
        <v>140</v>
      </c>
      <c r="BI53">
        <v>203</v>
      </c>
      <c r="BJ53">
        <v>335</v>
      </c>
      <c r="BK53">
        <v>484</v>
      </c>
    </row>
    <row r="54" spans="1:63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2</v>
      </c>
      <c r="BD54">
        <v>2</v>
      </c>
      <c r="BE54">
        <v>2</v>
      </c>
      <c r="BF54">
        <v>2</v>
      </c>
      <c r="BG54">
        <v>7</v>
      </c>
      <c r="BH54">
        <v>7</v>
      </c>
      <c r="BI54">
        <v>7</v>
      </c>
      <c r="BJ54">
        <v>7</v>
      </c>
      <c r="BK54">
        <v>11</v>
      </c>
    </row>
    <row r="55" spans="1:63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1</v>
      </c>
      <c r="AR55">
        <v>3</v>
      </c>
      <c r="AS55">
        <v>3</v>
      </c>
      <c r="AT55">
        <v>7</v>
      </c>
      <c r="AU55">
        <v>8</v>
      </c>
      <c r="AV55">
        <v>8</v>
      </c>
      <c r="AW55">
        <v>8</v>
      </c>
      <c r="AX55">
        <v>8</v>
      </c>
      <c r="AY55">
        <v>15</v>
      </c>
      <c r="AZ55">
        <v>18</v>
      </c>
      <c r="BA55">
        <v>24</v>
      </c>
      <c r="BB55">
        <v>262</v>
      </c>
      <c r="BC55">
        <v>262</v>
      </c>
      <c r="BD55">
        <v>320</v>
      </c>
      <c r="BE55">
        <v>337</v>
      </c>
      <c r="BF55">
        <v>401</v>
      </c>
      <c r="BG55">
        <v>439</v>
      </c>
      <c r="BH55">
        <v>439</v>
      </c>
      <c r="BI55">
        <v>452</v>
      </c>
      <c r="BJ55">
        <v>460</v>
      </c>
      <c r="BK55">
        <v>470</v>
      </c>
    </row>
    <row r="56" spans="1:63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6</v>
      </c>
      <c r="AS56">
        <v>6</v>
      </c>
      <c r="AT56">
        <v>7</v>
      </c>
      <c r="AU56">
        <v>10</v>
      </c>
      <c r="AV56">
        <v>13</v>
      </c>
      <c r="AW56">
        <v>13</v>
      </c>
      <c r="AX56">
        <v>13</v>
      </c>
      <c r="AY56">
        <v>14</v>
      </c>
      <c r="AZ56">
        <v>15</v>
      </c>
      <c r="BA56">
        <v>15</v>
      </c>
      <c r="BB56">
        <v>17</v>
      </c>
      <c r="BC56">
        <v>17</v>
      </c>
      <c r="BD56">
        <v>17</v>
      </c>
      <c r="BE56">
        <v>28</v>
      </c>
      <c r="BF56">
        <v>28</v>
      </c>
      <c r="BG56">
        <v>37</v>
      </c>
      <c r="BH56">
        <v>58</v>
      </c>
      <c r="BI56">
        <v>111</v>
      </c>
      <c r="BJ56">
        <v>199</v>
      </c>
      <c r="BK56">
        <v>367</v>
      </c>
    </row>
    <row r="57" spans="1:63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3</v>
      </c>
      <c r="AS57">
        <v>3</v>
      </c>
      <c r="AT57">
        <v>3</v>
      </c>
      <c r="AU57">
        <v>3</v>
      </c>
      <c r="AV57">
        <v>6</v>
      </c>
      <c r="AW57">
        <v>6</v>
      </c>
      <c r="AX57">
        <v>9</v>
      </c>
      <c r="AY57">
        <v>9</v>
      </c>
      <c r="AZ57">
        <v>9</v>
      </c>
      <c r="BA57">
        <v>11</v>
      </c>
      <c r="BB57">
        <v>11</v>
      </c>
      <c r="BC57">
        <v>11</v>
      </c>
      <c r="BD57">
        <v>15</v>
      </c>
      <c r="BE57">
        <v>15</v>
      </c>
      <c r="BF57">
        <v>23</v>
      </c>
      <c r="BG57">
        <v>15</v>
      </c>
      <c r="BH57">
        <v>28</v>
      </c>
      <c r="BI57">
        <v>28</v>
      </c>
      <c r="BJ57">
        <v>44</v>
      </c>
      <c r="BK57">
        <v>44</v>
      </c>
    </row>
    <row r="58" spans="1:63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4</v>
      </c>
      <c r="BD58">
        <v>8</v>
      </c>
      <c r="BE58">
        <v>18</v>
      </c>
      <c r="BF58">
        <v>26</v>
      </c>
      <c r="BG58">
        <v>52</v>
      </c>
      <c r="BH58">
        <v>78</v>
      </c>
      <c r="BI58">
        <v>84</v>
      </c>
      <c r="BJ58">
        <v>115</v>
      </c>
      <c r="BK58">
        <v>136</v>
      </c>
    </row>
    <row r="59" spans="1:63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1</v>
      </c>
      <c r="AS59">
        <v>1</v>
      </c>
      <c r="AT59">
        <v>1</v>
      </c>
      <c r="AU59">
        <v>1</v>
      </c>
      <c r="AV59">
        <v>1</v>
      </c>
      <c r="AW59">
        <v>2</v>
      </c>
      <c r="AX59">
        <v>2</v>
      </c>
      <c r="AY59">
        <v>5</v>
      </c>
      <c r="AZ59">
        <v>5</v>
      </c>
      <c r="BA59">
        <v>5</v>
      </c>
      <c r="BB59">
        <v>5</v>
      </c>
      <c r="BC59">
        <v>5</v>
      </c>
      <c r="BD59">
        <v>5</v>
      </c>
      <c r="BE59">
        <v>11</v>
      </c>
      <c r="BF59">
        <v>11</v>
      </c>
      <c r="BG59">
        <v>11</v>
      </c>
      <c r="BH59">
        <v>21</v>
      </c>
      <c r="BI59">
        <v>21</v>
      </c>
      <c r="BJ59">
        <v>34</v>
      </c>
      <c r="BK59">
        <v>72</v>
      </c>
    </row>
    <row r="60" spans="1:63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2</v>
      </c>
      <c r="AT60">
        <v>2</v>
      </c>
      <c r="AU60">
        <v>2</v>
      </c>
      <c r="AV60">
        <v>2</v>
      </c>
      <c r="AW60">
        <v>4</v>
      </c>
      <c r="AX60">
        <v>4</v>
      </c>
      <c r="AY60">
        <v>6</v>
      </c>
      <c r="AZ60">
        <v>19</v>
      </c>
      <c r="BA60">
        <v>27</v>
      </c>
      <c r="BB60">
        <v>34</v>
      </c>
      <c r="BC60">
        <v>34</v>
      </c>
      <c r="BD60">
        <v>69</v>
      </c>
      <c r="BE60">
        <v>96</v>
      </c>
      <c r="BF60">
        <v>117</v>
      </c>
      <c r="BG60">
        <v>134</v>
      </c>
      <c r="BH60">
        <v>172</v>
      </c>
      <c r="BI60">
        <v>227</v>
      </c>
      <c r="BJ60">
        <v>311</v>
      </c>
      <c r="BK60">
        <v>369</v>
      </c>
    </row>
    <row r="61" spans="1:63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2</v>
      </c>
      <c r="AT61">
        <v>2</v>
      </c>
      <c r="AU61">
        <v>5</v>
      </c>
      <c r="AV61">
        <v>8</v>
      </c>
      <c r="AW61">
        <v>13</v>
      </c>
      <c r="AX61">
        <v>20</v>
      </c>
      <c r="AY61">
        <v>30</v>
      </c>
      <c r="AZ61">
        <v>30</v>
      </c>
      <c r="BA61">
        <v>41</v>
      </c>
      <c r="BB61">
        <v>59</v>
      </c>
      <c r="BC61">
        <v>59</v>
      </c>
      <c r="BD61">
        <v>112</v>
      </c>
      <c r="BE61">
        <v>169</v>
      </c>
      <c r="BF61">
        <v>245</v>
      </c>
      <c r="BG61">
        <v>331</v>
      </c>
      <c r="BH61">
        <v>448</v>
      </c>
      <c r="BI61">
        <v>448</v>
      </c>
      <c r="BJ61">
        <v>785</v>
      </c>
      <c r="BK61">
        <v>1020</v>
      </c>
    </row>
    <row r="62" spans="1:63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2</v>
      </c>
      <c r="BH62">
        <v>39</v>
      </c>
      <c r="BI62">
        <v>39</v>
      </c>
      <c r="BJ62">
        <v>53</v>
      </c>
      <c r="BK62">
        <v>75</v>
      </c>
    </row>
    <row r="63" spans="1:63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2</v>
      </c>
      <c r="AZ63">
        <v>2</v>
      </c>
      <c r="BA63">
        <v>2</v>
      </c>
      <c r="BB63">
        <v>3</v>
      </c>
      <c r="BC63">
        <v>3</v>
      </c>
      <c r="BD63">
        <v>5</v>
      </c>
      <c r="BE63">
        <v>5</v>
      </c>
      <c r="BF63">
        <v>6</v>
      </c>
      <c r="BG63">
        <v>7</v>
      </c>
      <c r="BH63">
        <v>7</v>
      </c>
      <c r="BI63">
        <v>10</v>
      </c>
      <c r="BJ63">
        <v>10</v>
      </c>
      <c r="BK63">
        <v>10</v>
      </c>
    </row>
    <row r="64" spans="1:63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1</v>
      </c>
      <c r="AT64">
        <v>1</v>
      </c>
      <c r="AU64">
        <v>1</v>
      </c>
      <c r="AV64">
        <v>1</v>
      </c>
      <c r="AW64">
        <v>1</v>
      </c>
      <c r="AX64">
        <v>1</v>
      </c>
      <c r="AY64">
        <v>2</v>
      </c>
      <c r="AZ64">
        <v>6</v>
      </c>
      <c r="BA64">
        <v>8</v>
      </c>
      <c r="BB64">
        <v>10</v>
      </c>
      <c r="BC64">
        <v>10</v>
      </c>
      <c r="BD64">
        <v>17</v>
      </c>
      <c r="BE64">
        <v>26</v>
      </c>
      <c r="BF64">
        <v>30</v>
      </c>
      <c r="BG64">
        <v>34</v>
      </c>
      <c r="BH64">
        <v>49</v>
      </c>
      <c r="BI64">
        <v>71</v>
      </c>
      <c r="BJ64">
        <v>86</v>
      </c>
      <c r="BK64">
        <v>111</v>
      </c>
    </row>
    <row r="65" spans="1:63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1</v>
      </c>
      <c r="AT65">
        <v>1</v>
      </c>
      <c r="AU65">
        <v>1</v>
      </c>
      <c r="AV65">
        <v>2</v>
      </c>
      <c r="AW65">
        <v>2</v>
      </c>
      <c r="AX65">
        <v>2</v>
      </c>
      <c r="AY65">
        <v>2</v>
      </c>
      <c r="AZ65">
        <v>2</v>
      </c>
      <c r="BA65">
        <v>3</v>
      </c>
      <c r="BB65">
        <v>5</v>
      </c>
      <c r="BC65">
        <v>6</v>
      </c>
      <c r="BD65">
        <v>7</v>
      </c>
      <c r="BE65">
        <v>17</v>
      </c>
      <c r="BF65">
        <v>28</v>
      </c>
      <c r="BG65">
        <v>29</v>
      </c>
      <c r="BH65">
        <v>38</v>
      </c>
      <c r="BI65">
        <v>49</v>
      </c>
      <c r="BJ65">
        <v>63</v>
      </c>
      <c r="BK65">
        <v>77</v>
      </c>
    </row>
    <row r="66" spans="1:63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1</v>
      </c>
      <c r="AT66">
        <v>1</v>
      </c>
      <c r="AU66">
        <v>1</v>
      </c>
      <c r="AV66">
        <v>5</v>
      </c>
      <c r="AW66">
        <v>5</v>
      </c>
      <c r="AX66">
        <v>5</v>
      </c>
      <c r="AY66">
        <v>11</v>
      </c>
      <c r="AZ66">
        <v>15</v>
      </c>
      <c r="BA66">
        <v>20</v>
      </c>
      <c r="BB66">
        <v>21</v>
      </c>
      <c r="BC66">
        <v>45</v>
      </c>
      <c r="BD66">
        <v>86</v>
      </c>
      <c r="BE66">
        <v>103</v>
      </c>
      <c r="BF66">
        <v>103</v>
      </c>
      <c r="BG66">
        <v>118</v>
      </c>
      <c r="BH66">
        <v>171</v>
      </c>
      <c r="BI66">
        <v>171</v>
      </c>
      <c r="BJ66">
        <v>274</v>
      </c>
      <c r="BK66">
        <v>344</v>
      </c>
    </row>
    <row r="67" spans="1:63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1</v>
      </c>
      <c r="AT67">
        <v>2</v>
      </c>
      <c r="AU67">
        <v>4</v>
      </c>
      <c r="AV67">
        <v>4</v>
      </c>
      <c r="AW67">
        <v>4</v>
      </c>
      <c r="AX67">
        <v>4</v>
      </c>
      <c r="AY67">
        <v>4</v>
      </c>
      <c r="AZ67">
        <v>4</v>
      </c>
      <c r="BA67">
        <v>4</v>
      </c>
      <c r="BB67">
        <v>4</v>
      </c>
      <c r="BC67">
        <v>4</v>
      </c>
      <c r="BD67">
        <v>10</v>
      </c>
      <c r="BE67">
        <v>10</v>
      </c>
      <c r="BF67">
        <v>24</v>
      </c>
      <c r="BG67">
        <v>24</v>
      </c>
      <c r="BH67">
        <v>26</v>
      </c>
      <c r="BI67">
        <v>31</v>
      </c>
      <c r="BJ67">
        <v>31</v>
      </c>
      <c r="BK67">
        <v>38</v>
      </c>
    </row>
    <row r="68" spans="1:63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1</v>
      </c>
      <c r="AU68">
        <v>1</v>
      </c>
      <c r="AV68">
        <v>1</v>
      </c>
      <c r="AW68">
        <v>2</v>
      </c>
      <c r="AX68">
        <v>8</v>
      </c>
      <c r="AY68">
        <v>12</v>
      </c>
      <c r="AZ68">
        <v>12</v>
      </c>
      <c r="BA68">
        <v>17</v>
      </c>
      <c r="BB68">
        <v>19</v>
      </c>
      <c r="BC68">
        <v>19</v>
      </c>
      <c r="BD68">
        <v>31</v>
      </c>
      <c r="BE68">
        <v>34</v>
      </c>
      <c r="BF68">
        <v>45</v>
      </c>
      <c r="BG68">
        <v>56</v>
      </c>
      <c r="BH68">
        <v>68</v>
      </c>
      <c r="BI68">
        <v>79</v>
      </c>
      <c r="BJ68">
        <v>97</v>
      </c>
      <c r="BK68">
        <v>128</v>
      </c>
    </row>
    <row r="69" spans="1:63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1</v>
      </c>
      <c r="AU69">
        <v>1</v>
      </c>
      <c r="AV69">
        <v>4</v>
      </c>
      <c r="AW69">
        <v>4</v>
      </c>
      <c r="AX69">
        <v>4</v>
      </c>
      <c r="AY69">
        <v>8</v>
      </c>
      <c r="AZ69">
        <v>8</v>
      </c>
      <c r="BA69">
        <v>13</v>
      </c>
      <c r="BB69">
        <v>23</v>
      </c>
      <c r="BC69">
        <v>23</v>
      </c>
      <c r="BD69">
        <v>43</v>
      </c>
      <c r="BE69">
        <v>61</v>
      </c>
      <c r="BF69">
        <v>74</v>
      </c>
      <c r="BG69">
        <v>155</v>
      </c>
      <c r="BH69">
        <v>201</v>
      </c>
      <c r="BI69">
        <v>238</v>
      </c>
      <c r="BJ69">
        <v>238</v>
      </c>
      <c r="BK69">
        <v>434</v>
      </c>
    </row>
    <row r="70" spans="1:63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8</v>
      </c>
      <c r="BG70">
        <v>17</v>
      </c>
      <c r="BH70">
        <v>34</v>
      </c>
      <c r="BI70">
        <v>52</v>
      </c>
      <c r="BJ70">
        <v>69</v>
      </c>
      <c r="BK70">
        <v>85</v>
      </c>
    </row>
    <row r="71" spans="1:63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1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3</v>
      </c>
      <c r="BE71">
        <v>3</v>
      </c>
      <c r="BF71">
        <v>3</v>
      </c>
      <c r="BG71">
        <v>7</v>
      </c>
      <c r="BH71">
        <v>14</v>
      </c>
      <c r="BI71">
        <v>14</v>
      </c>
      <c r="BJ71">
        <v>16</v>
      </c>
      <c r="BK71">
        <v>29</v>
      </c>
    </row>
    <row r="72" spans="1:63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2</v>
      </c>
      <c r="AV72">
        <v>2</v>
      </c>
      <c r="AW72">
        <v>2</v>
      </c>
      <c r="AX72">
        <v>4</v>
      </c>
      <c r="AY72">
        <v>7</v>
      </c>
      <c r="AZ72">
        <v>9</v>
      </c>
      <c r="BA72">
        <v>9</v>
      </c>
      <c r="BB72">
        <v>13</v>
      </c>
      <c r="BC72">
        <v>13</v>
      </c>
      <c r="BD72">
        <v>19</v>
      </c>
      <c r="BE72">
        <v>30</v>
      </c>
      <c r="BF72">
        <v>32</v>
      </c>
      <c r="BG72">
        <v>39</v>
      </c>
      <c r="BH72">
        <v>50</v>
      </c>
      <c r="BI72">
        <v>58</v>
      </c>
      <c r="BJ72">
        <v>73</v>
      </c>
      <c r="BK72">
        <v>85</v>
      </c>
    </row>
    <row r="73" spans="1:63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1</v>
      </c>
      <c r="AV73">
        <v>1</v>
      </c>
      <c r="AW73">
        <v>0</v>
      </c>
      <c r="AX73">
        <v>0</v>
      </c>
      <c r="AY73">
        <v>0</v>
      </c>
      <c r="AZ73">
        <v>0</v>
      </c>
      <c r="BA73">
        <v>1</v>
      </c>
      <c r="BB73">
        <v>1</v>
      </c>
      <c r="BC73">
        <v>1</v>
      </c>
      <c r="BD73">
        <v>1</v>
      </c>
      <c r="BE73">
        <v>1</v>
      </c>
      <c r="BF73">
        <v>1</v>
      </c>
      <c r="BG73">
        <v>1</v>
      </c>
      <c r="BH73">
        <v>1</v>
      </c>
      <c r="BI73">
        <v>1</v>
      </c>
      <c r="BJ73">
        <v>1</v>
      </c>
      <c r="BK73">
        <v>3</v>
      </c>
    </row>
    <row r="74" spans="1:63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1</v>
      </c>
      <c r="BD74">
        <v>1</v>
      </c>
      <c r="BE74">
        <v>4</v>
      </c>
      <c r="BF74">
        <v>4</v>
      </c>
      <c r="BG74">
        <v>4</v>
      </c>
      <c r="BH74">
        <v>7</v>
      </c>
      <c r="BI74">
        <v>28</v>
      </c>
      <c r="BJ74">
        <v>28</v>
      </c>
      <c r="BK74">
        <v>28</v>
      </c>
    </row>
    <row r="75" spans="1:63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1</v>
      </c>
      <c r="AV75">
        <v>1</v>
      </c>
      <c r="AW75">
        <v>5</v>
      </c>
      <c r="AX75">
        <v>5</v>
      </c>
      <c r="AY75">
        <v>11</v>
      </c>
      <c r="AZ75">
        <v>16</v>
      </c>
      <c r="BA75">
        <v>22</v>
      </c>
      <c r="BB75">
        <v>31</v>
      </c>
      <c r="BC75">
        <v>49</v>
      </c>
      <c r="BD75">
        <v>68</v>
      </c>
      <c r="BE75">
        <v>103</v>
      </c>
      <c r="BF75">
        <v>119</v>
      </c>
      <c r="BG75">
        <v>177</v>
      </c>
      <c r="BH75">
        <v>238</v>
      </c>
      <c r="BI75">
        <v>251</v>
      </c>
      <c r="BJ75">
        <v>355</v>
      </c>
      <c r="BK75">
        <v>425</v>
      </c>
    </row>
    <row r="76" spans="1:63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1</v>
      </c>
      <c r="AV76">
        <v>1</v>
      </c>
      <c r="AW76">
        <v>1</v>
      </c>
      <c r="AX76">
        <v>1</v>
      </c>
      <c r="AY76">
        <v>2</v>
      </c>
      <c r="AZ76">
        <v>2</v>
      </c>
      <c r="BA76">
        <v>5</v>
      </c>
      <c r="BB76">
        <v>7</v>
      </c>
      <c r="BC76">
        <v>7</v>
      </c>
      <c r="BD76">
        <v>16</v>
      </c>
      <c r="BE76">
        <v>18</v>
      </c>
      <c r="BF76">
        <v>18</v>
      </c>
      <c r="BG76">
        <v>20</v>
      </c>
      <c r="BH76">
        <v>24</v>
      </c>
      <c r="BI76">
        <v>29</v>
      </c>
      <c r="BJ76">
        <v>39</v>
      </c>
      <c r="BK76">
        <v>54</v>
      </c>
    </row>
    <row r="77" spans="1:63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2</v>
      </c>
      <c r="AW77">
        <v>2</v>
      </c>
      <c r="AX77">
        <v>3</v>
      </c>
      <c r="AY77">
        <v>3</v>
      </c>
      <c r="AZ77">
        <v>3</v>
      </c>
      <c r="BA77">
        <v>5</v>
      </c>
      <c r="BB77">
        <v>7</v>
      </c>
      <c r="BC77">
        <v>11</v>
      </c>
      <c r="BD77">
        <v>13</v>
      </c>
      <c r="BE77">
        <v>18</v>
      </c>
      <c r="BF77">
        <v>24</v>
      </c>
      <c r="BG77">
        <v>25</v>
      </c>
      <c r="BH77">
        <v>26</v>
      </c>
      <c r="BI77">
        <v>38</v>
      </c>
      <c r="BJ77">
        <v>63</v>
      </c>
      <c r="BK77">
        <v>89</v>
      </c>
    </row>
    <row r="78" spans="1:63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2</v>
      </c>
      <c r="AW78">
        <v>7</v>
      </c>
      <c r="AX78">
        <v>7</v>
      </c>
      <c r="AY78">
        <v>16</v>
      </c>
      <c r="AZ78">
        <v>16</v>
      </c>
      <c r="BA78">
        <v>31</v>
      </c>
      <c r="BB78">
        <v>57</v>
      </c>
      <c r="BC78">
        <v>89</v>
      </c>
      <c r="BD78">
        <v>141</v>
      </c>
      <c r="BE78">
        <v>181</v>
      </c>
      <c r="BF78">
        <v>219</v>
      </c>
      <c r="BG78">
        <v>253</v>
      </c>
      <c r="BH78">
        <v>275</v>
      </c>
      <c r="BI78">
        <v>275</v>
      </c>
      <c r="BJ78">
        <v>286</v>
      </c>
      <c r="BK78">
        <v>341</v>
      </c>
    </row>
    <row r="79" spans="1:63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1</v>
      </c>
      <c r="AW79">
        <v>1</v>
      </c>
      <c r="AX79">
        <v>1</v>
      </c>
      <c r="AY79">
        <v>3</v>
      </c>
      <c r="AZ79">
        <v>3</v>
      </c>
      <c r="BA79">
        <v>7</v>
      </c>
      <c r="BB79">
        <v>13</v>
      </c>
      <c r="BC79">
        <v>17</v>
      </c>
      <c r="BD79">
        <v>24</v>
      </c>
      <c r="BE79">
        <v>38</v>
      </c>
      <c r="BF79">
        <v>51</v>
      </c>
      <c r="BG79">
        <v>62</v>
      </c>
      <c r="BH79">
        <v>62</v>
      </c>
      <c r="BI79">
        <v>116</v>
      </c>
      <c r="BJ79">
        <v>150</v>
      </c>
      <c r="BK79">
        <v>202</v>
      </c>
    </row>
    <row r="80" spans="1:63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2</v>
      </c>
    </row>
    <row r="81" spans="1:63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1</v>
      </c>
      <c r="AX81">
        <v>1</v>
      </c>
      <c r="AY81">
        <v>2</v>
      </c>
      <c r="AZ81">
        <v>2</v>
      </c>
      <c r="BA81">
        <v>2</v>
      </c>
      <c r="BB81">
        <v>2</v>
      </c>
      <c r="BC81">
        <v>2</v>
      </c>
      <c r="BD81">
        <v>2</v>
      </c>
      <c r="BE81">
        <v>2</v>
      </c>
      <c r="BF81">
        <v>2</v>
      </c>
      <c r="BG81">
        <v>4</v>
      </c>
      <c r="BH81">
        <v>10</v>
      </c>
      <c r="BI81">
        <v>10</v>
      </c>
      <c r="BJ81">
        <v>13</v>
      </c>
      <c r="BK81">
        <v>20</v>
      </c>
    </row>
    <row r="82" spans="1:63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1</v>
      </c>
      <c r="AX82">
        <v>1</v>
      </c>
      <c r="AY82">
        <v>1</v>
      </c>
      <c r="AZ82">
        <v>1</v>
      </c>
      <c r="BA82">
        <v>3</v>
      </c>
      <c r="BB82">
        <v>9</v>
      </c>
      <c r="BC82">
        <v>9</v>
      </c>
      <c r="BD82">
        <v>13</v>
      </c>
      <c r="BE82">
        <v>22</v>
      </c>
      <c r="BF82">
        <v>34</v>
      </c>
      <c r="BG82">
        <v>54</v>
      </c>
      <c r="BH82">
        <v>65</v>
      </c>
      <c r="BI82">
        <v>93</v>
      </c>
      <c r="BJ82">
        <v>102</v>
      </c>
      <c r="BK82">
        <v>128</v>
      </c>
    </row>
    <row r="83" spans="1:63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1</v>
      </c>
      <c r="AX83">
        <v>1</v>
      </c>
      <c r="AY83">
        <v>5</v>
      </c>
      <c r="AZ83">
        <v>9</v>
      </c>
      <c r="BA83">
        <v>9</v>
      </c>
      <c r="BB83">
        <v>13</v>
      </c>
      <c r="BC83">
        <v>22</v>
      </c>
      <c r="BD83">
        <v>23</v>
      </c>
      <c r="BE83">
        <v>26</v>
      </c>
      <c r="BF83">
        <v>27</v>
      </c>
      <c r="BG83">
        <v>35</v>
      </c>
      <c r="BH83">
        <v>41</v>
      </c>
      <c r="BI83">
        <v>50</v>
      </c>
      <c r="BJ83">
        <v>69</v>
      </c>
      <c r="BK83">
        <v>89</v>
      </c>
    </row>
    <row r="84" spans="1:63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6</v>
      </c>
      <c r="AZ84">
        <v>7</v>
      </c>
      <c r="BA84">
        <v>11</v>
      </c>
      <c r="BB84">
        <v>11</v>
      </c>
      <c r="BC84">
        <v>15</v>
      </c>
      <c r="BD84">
        <v>28</v>
      </c>
      <c r="BE84">
        <v>38</v>
      </c>
      <c r="BF84">
        <v>43</v>
      </c>
      <c r="BG84">
        <v>86</v>
      </c>
      <c r="BH84">
        <v>117</v>
      </c>
      <c r="BI84">
        <v>145</v>
      </c>
      <c r="BJ84">
        <v>234</v>
      </c>
      <c r="BK84">
        <v>234</v>
      </c>
    </row>
    <row r="85" spans="1:63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1</v>
      </c>
      <c r="AX85">
        <v>1</v>
      </c>
      <c r="AY85">
        <v>1</v>
      </c>
      <c r="AZ85">
        <v>1</v>
      </c>
      <c r="BA85">
        <v>5</v>
      </c>
      <c r="BB85">
        <v>12</v>
      </c>
      <c r="BC85">
        <v>19</v>
      </c>
      <c r="BD85">
        <v>35</v>
      </c>
      <c r="BE85">
        <v>46</v>
      </c>
      <c r="BF85">
        <v>48</v>
      </c>
      <c r="BG85">
        <v>55</v>
      </c>
      <c r="BH85">
        <v>65</v>
      </c>
      <c r="BI85">
        <v>83</v>
      </c>
      <c r="BJ85">
        <v>103</v>
      </c>
      <c r="BK85">
        <v>135</v>
      </c>
    </row>
    <row r="86" spans="1:63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1</v>
      </c>
      <c r="AX86">
        <v>1</v>
      </c>
      <c r="AY86">
        <v>3</v>
      </c>
      <c r="AZ86">
        <v>3</v>
      </c>
      <c r="BA86">
        <v>7</v>
      </c>
      <c r="BB86">
        <v>10</v>
      </c>
      <c r="BC86">
        <v>16</v>
      </c>
      <c r="BD86">
        <v>32</v>
      </c>
      <c r="BE86">
        <v>44</v>
      </c>
      <c r="BF86">
        <v>54</v>
      </c>
      <c r="BG86">
        <v>63</v>
      </c>
      <c r="BH86">
        <v>72</v>
      </c>
      <c r="BI86">
        <v>105</v>
      </c>
      <c r="BJ86">
        <v>123</v>
      </c>
      <c r="BK86">
        <v>137</v>
      </c>
    </row>
    <row r="87" spans="1:63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1</v>
      </c>
      <c r="AZ87">
        <v>1</v>
      </c>
      <c r="BA87">
        <v>1</v>
      </c>
      <c r="BB87">
        <v>1</v>
      </c>
      <c r="BC87">
        <v>1</v>
      </c>
      <c r="BD87">
        <v>1</v>
      </c>
      <c r="BE87">
        <v>1</v>
      </c>
      <c r="BF87">
        <v>1</v>
      </c>
      <c r="BG87">
        <v>1</v>
      </c>
      <c r="BH87">
        <v>1</v>
      </c>
      <c r="BI87">
        <v>1</v>
      </c>
      <c r="BJ87">
        <v>1</v>
      </c>
      <c r="BK87">
        <v>9</v>
      </c>
    </row>
    <row r="88" spans="1:63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3</v>
      </c>
      <c r="AY88">
        <v>3</v>
      </c>
      <c r="AZ88">
        <v>3</v>
      </c>
      <c r="BA88">
        <v>5</v>
      </c>
      <c r="BB88">
        <v>6</v>
      </c>
      <c r="BC88">
        <v>6</v>
      </c>
      <c r="BD88">
        <v>12</v>
      </c>
      <c r="BE88">
        <v>18</v>
      </c>
      <c r="BF88">
        <v>21</v>
      </c>
      <c r="BG88">
        <v>30</v>
      </c>
      <c r="BH88">
        <v>38</v>
      </c>
      <c r="BI88">
        <v>38</v>
      </c>
      <c r="BJ88">
        <v>53</v>
      </c>
      <c r="BK88">
        <v>64</v>
      </c>
    </row>
    <row r="89" spans="1:63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2</v>
      </c>
      <c r="AY89">
        <v>2</v>
      </c>
      <c r="AZ89">
        <v>2</v>
      </c>
      <c r="BA89">
        <v>2</v>
      </c>
      <c r="BB89">
        <v>3</v>
      </c>
      <c r="BC89">
        <v>3</v>
      </c>
      <c r="BD89">
        <v>3</v>
      </c>
      <c r="BE89">
        <v>9</v>
      </c>
      <c r="BF89">
        <v>9</v>
      </c>
      <c r="BG89">
        <v>15</v>
      </c>
      <c r="BH89">
        <v>16</v>
      </c>
      <c r="BI89">
        <v>19</v>
      </c>
      <c r="BJ89">
        <v>23</v>
      </c>
      <c r="BK89">
        <v>32</v>
      </c>
    </row>
    <row r="90" spans="1:63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4</v>
      </c>
      <c r="AZ90">
        <v>4</v>
      </c>
      <c r="BA90">
        <v>4</v>
      </c>
      <c r="BB90">
        <v>7</v>
      </c>
      <c r="BC90">
        <v>7</v>
      </c>
      <c r="BD90">
        <v>23</v>
      </c>
      <c r="BE90">
        <v>41</v>
      </c>
      <c r="BF90">
        <v>51</v>
      </c>
      <c r="BG90">
        <v>52</v>
      </c>
      <c r="BH90">
        <v>67</v>
      </c>
      <c r="BI90">
        <v>92</v>
      </c>
      <c r="BJ90">
        <v>94</v>
      </c>
      <c r="BK90">
        <v>127</v>
      </c>
    </row>
    <row r="91" spans="1:63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4</v>
      </c>
      <c r="AZ91">
        <v>4</v>
      </c>
      <c r="BA91">
        <v>6</v>
      </c>
      <c r="BB91">
        <v>8</v>
      </c>
      <c r="BC91">
        <v>8</v>
      </c>
      <c r="BD91">
        <v>9</v>
      </c>
      <c r="BE91">
        <v>10</v>
      </c>
      <c r="BF91">
        <v>13</v>
      </c>
      <c r="BG91">
        <v>13</v>
      </c>
      <c r="BH91">
        <v>13</v>
      </c>
      <c r="BI91">
        <v>13</v>
      </c>
      <c r="BJ91">
        <v>13</v>
      </c>
      <c r="BK91">
        <v>13</v>
      </c>
    </row>
    <row r="92" spans="1:63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3</v>
      </c>
      <c r="AZ92">
        <v>3</v>
      </c>
      <c r="BA92">
        <v>3</v>
      </c>
      <c r="BB92">
        <v>3</v>
      </c>
      <c r="BC92">
        <v>3</v>
      </c>
      <c r="BD92">
        <v>3</v>
      </c>
      <c r="BE92">
        <v>3</v>
      </c>
      <c r="BF92">
        <v>5</v>
      </c>
      <c r="BG92">
        <v>8</v>
      </c>
      <c r="BH92">
        <v>10</v>
      </c>
      <c r="BI92">
        <v>14</v>
      </c>
      <c r="BJ92">
        <v>17</v>
      </c>
      <c r="BK92">
        <v>20</v>
      </c>
    </row>
    <row r="93" spans="1:63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1</v>
      </c>
      <c r="AZ93">
        <v>1</v>
      </c>
      <c r="BA93">
        <v>1</v>
      </c>
      <c r="BB93">
        <v>5</v>
      </c>
      <c r="BC93">
        <v>5</v>
      </c>
      <c r="BD93">
        <v>6</v>
      </c>
      <c r="BE93">
        <v>6</v>
      </c>
      <c r="BF93">
        <v>6</v>
      </c>
      <c r="BG93">
        <v>8</v>
      </c>
      <c r="BH93">
        <v>9</v>
      </c>
      <c r="BI93">
        <v>11</v>
      </c>
      <c r="BJ93">
        <v>11</v>
      </c>
      <c r="BK93">
        <v>13</v>
      </c>
    </row>
    <row r="94" spans="1:63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1</v>
      </c>
      <c r="J94">
        <v>1</v>
      </c>
      <c r="K94">
        <v>1</v>
      </c>
      <c r="L94">
        <v>1</v>
      </c>
      <c r="M94">
        <v>1</v>
      </c>
      <c r="N94">
        <v>3</v>
      </c>
      <c r="O94">
        <v>3</v>
      </c>
      <c r="P94">
        <v>3</v>
      </c>
      <c r="Q94">
        <v>3</v>
      </c>
      <c r="R94">
        <v>3</v>
      </c>
      <c r="S94">
        <v>3</v>
      </c>
      <c r="T94">
        <v>3</v>
      </c>
      <c r="U94">
        <v>3</v>
      </c>
      <c r="V94">
        <v>3</v>
      </c>
      <c r="W94">
        <v>3</v>
      </c>
      <c r="X94">
        <v>3</v>
      </c>
      <c r="Y94">
        <v>3</v>
      </c>
      <c r="Z94">
        <v>3</v>
      </c>
      <c r="AA94">
        <v>3</v>
      </c>
      <c r="AB94">
        <v>3</v>
      </c>
      <c r="AC94">
        <v>3</v>
      </c>
      <c r="AD94">
        <v>3</v>
      </c>
      <c r="AE94">
        <v>3</v>
      </c>
      <c r="AF94">
        <v>3</v>
      </c>
      <c r="AG94">
        <v>3</v>
      </c>
      <c r="AH94">
        <v>3</v>
      </c>
      <c r="AI94">
        <v>3</v>
      </c>
      <c r="AJ94">
        <v>3</v>
      </c>
      <c r="AK94">
        <v>3</v>
      </c>
      <c r="AL94">
        <v>4</v>
      </c>
      <c r="AM94">
        <v>4</v>
      </c>
      <c r="AN94">
        <v>4</v>
      </c>
      <c r="AO94">
        <v>6</v>
      </c>
      <c r="AP94">
        <v>6</v>
      </c>
      <c r="AQ94">
        <v>11</v>
      </c>
      <c r="AR94">
        <v>15</v>
      </c>
      <c r="AS94">
        <v>18</v>
      </c>
      <c r="AT94">
        <v>20</v>
      </c>
      <c r="AU94">
        <v>20</v>
      </c>
      <c r="AV94">
        <v>22</v>
      </c>
      <c r="AW94">
        <v>25</v>
      </c>
      <c r="AX94">
        <v>28</v>
      </c>
      <c r="AY94">
        <v>29</v>
      </c>
      <c r="AZ94">
        <v>34</v>
      </c>
      <c r="BA94">
        <v>36</v>
      </c>
      <c r="BB94">
        <v>41</v>
      </c>
      <c r="BC94">
        <v>42</v>
      </c>
      <c r="BD94">
        <v>74</v>
      </c>
      <c r="BE94">
        <v>79</v>
      </c>
      <c r="BF94">
        <v>104</v>
      </c>
      <c r="BG94">
        <v>177</v>
      </c>
      <c r="BH94">
        <v>185</v>
      </c>
      <c r="BI94">
        <v>221</v>
      </c>
      <c r="BJ94">
        <v>257</v>
      </c>
      <c r="BK94">
        <v>308</v>
      </c>
    </row>
    <row r="95" spans="1:63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1</v>
      </c>
      <c r="AX95">
        <v>2</v>
      </c>
      <c r="AY95">
        <v>4</v>
      </c>
      <c r="AZ95">
        <v>7</v>
      </c>
      <c r="BA95">
        <v>7</v>
      </c>
      <c r="BB95">
        <v>19</v>
      </c>
      <c r="BC95">
        <v>19</v>
      </c>
      <c r="BD95">
        <v>29</v>
      </c>
      <c r="BE95">
        <v>29</v>
      </c>
      <c r="BF95">
        <v>39</v>
      </c>
      <c r="BG95">
        <v>56</v>
      </c>
      <c r="BH95">
        <v>74</v>
      </c>
      <c r="BI95">
        <v>97</v>
      </c>
      <c r="BJ95">
        <v>119</v>
      </c>
      <c r="BK95">
        <v>146</v>
      </c>
    </row>
    <row r="96" spans="1:63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1</v>
      </c>
      <c r="AQ96">
        <v>1</v>
      </c>
      <c r="AR96">
        <v>1</v>
      </c>
      <c r="AS96">
        <v>1</v>
      </c>
      <c r="AT96">
        <v>1</v>
      </c>
      <c r="AU96">
        <v>1</v>
      </c>
      <c r="AV96">
        <v>2</v>
      </c>
      <c r="AW96">
        <v>2</v>
      </c>
      <c r="AX96">
        <v>3</v>
      </c>
      <c r="AY96">
        <v>4</v>
      </c>
      <c r="AZ96">
        <v>4</v>
      </c>
      <c r="BA96">
        <v>4</v>
      </c>
      <c r="BB96">
        <v>8</v>
      </c>
      <c r="BC96">
        <v>9</v>
      </c>
      <c r="BD96">
        <v>17</v>
      </c>
      <c r="BE96">
        <v>17</v>
      </c>
      <c r="BF96">
        <v>24</v>
      </c>
      <c r="BG96">
        <v>50</v>
      </c>
      <c r="BH96">
        <v>74</v>
      </c>
      <c r="BI96">
        <v>94</v>
      </c>
      <c r="BJ96">
        <v>121</v>
      </c>
      <c r="BK96">
        <v>139</v>
      </c>
    </row>
    <row r="97" spans="1:63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2</v>
      </c>
      <c r="BA97">
        <v>10</v>
      </c>
      <c r="BB97">
        <v>12</v>
      </c>
      <c r="BC97">
        <v>23</v>
      </c>
      <c r="BD97">
        <v>33</v>
      </c>
      <c r="BE97">
        <v>38</v>
      </c>
      <c r="BF97">
        <v>42</v>
      </c>
      <c r="BG97">
        <v>51</v>
      </c>
      <c r="BH97">
        <v>55</v>
      </c>
      <c r="BI97">
        <v>59</v>
      </c>
      <c r="BJ97">
        <v>64</v>
      </c>
      <c r="BK97">
        <v>70</v>
      </c>
    </row>
    <row r="98" spans="1:63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2</v>
      </c>
      <c r="BA98">
        <v>3</v>
      </c>
      <c r="BB98">
        <v>6</v>
      </c>
      <c r="BC98">
        <v>6</v>
      </c>
      <c r="BD98">
        <v>14</v>
      </c>
      <c r="BE98">
        <v>26</v>
      </c>
      <c r="BF98">
        <v>26</v>
      </c>
      <c r="BG98">
        <v>33</v>
      </c>
      <c r="BH98">
        <v>46</v>
      </c>
      <c r="BI98">
        <v>49</v>
      </c>
      <c r="BJ98">
        <v>67</v>
      </c>
      <c r="BK98">
        <v>67</v>
      </c>
    </row>
    <row r="99" spans="1:63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1</v>
      </c>
      <c r="BA99">
        <v>1</v>
      </c>
      <c r="BB99">
        <v>11</v>
      </c>
      <c r="BC99">
        <v>11</v>
      </c>
      <c r="BD99">
        <v>37</v>
      </c>
      <c r="BE99">
        <v>40</v>
      </c>
      <c r="BF99">
        <v>50</v>
      </c>
      <c r="BG99">
        <v>54</v>
      </c>
      <c r="BH99">
        <v>56</v>
      </c>
      <c r="BI99">
        <v>68</v>
      </c>
      <c r="BJ99">
        <v>75</v>
      </c>
      <c r="BK99">
        <v>78</v>
      </c>
    </row>
    <row r="100" spans="1:63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267</v>
      </c>
      <c r="BB100">
        <v>366</v>
      </c>
      <c r="BC100">
        <v>442</v>
      </c>
      <c r="BD100">
        <v>568</v>
      </c>
      <c r="BE100">
        <v>572</v>
      </c>
      <c r="BF100">
        <v>643</v>
      </c>
      <c r="BG100">
        <v>904</v>
      </c>
      <c r="BH100">
        <v>1076</v>
      </c>
      <c r="BI100">
        <v>1014</v>
      </c>
      <c r="BJ100">
        <v>1376</v>
      </c>
      <c r="BK100">
        <v>1524</v>
      </c>
    </row>
    <row r="101" spans="1:63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173</v>
      </c>
      <c r="BB101">
        <v>220</v>
      </c>
      <c r="BC101">
        <v>328</v>
      </c>
      <c r="BD101">
        <v>421</v>
      </c>
      <c r="BE101">
        <v>525</v>
      </c>
      <c r="BF101">
        <v>732</v>
      </c>
      <c r="BG101">
        <v>967</v>
      </c>
      <c r="BH101">
        <v>1706</v>
      </c>
      <c r="BI101">
        <v>2495</v>
      </c>
      <c r="BJ101">
        <v>5365</v>
      </c>
      <c r="BK101">
        <v>8310</v>
      </c>
    </row>
    <row r="102" spans="1:63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144</v>
      </c>
      <c r="BB102">
        <v>177</v>
      </c>
      <c r="BC102">
        <v>221</v>
      </c>
      <c r="BD102">
        <v>282</v>
      </c>
      <c r="BE102">
        <v>340</v>
      </c>
      <c r="BF102">
        <v>426</v>
      </c>
      <c r="BG102">
        <v>557</v>
      </c>
      <c r="BH102">
        <v>698</v>
      </c>
      <c r="BI102">
        <v>751</v>
      </c>
      <c r="BJ102">
        <v>952</v>
      </c>
      <c r="BK102">
        <v>1177</v>
      </c>
    </row>
    <row r="103" spans="1:63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92</v>
      </c>
      <c r="BB103">
        <v>95</v>
      </c>
      <c r="BC103">
        <v>108</v>
      </c>
      <c r="BD103">
        <v>123</v>
      </c>
      <c r="BE103">
        <v>138</v>
      </c>
      <c r="BF103">
        <v>164</v>
      </c>
      <c r="BG103">
        <v>197</v>
      </c>
      <c r="BH103">
        <v>218</v>
      </c>
      <c r="BI103">
        <v>218</v>
      </c>
      <c r="BJ103">
        <v>328</v>
      </c>
      <c r="BK103">
        <v>413</v>
      </c>
    </row>
    <row r="104" spans="1:63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36</v>
      </c>
      <c r="AM104">
        <v>36</v>
      </c>
      <c r="AN104">
        <v>42</v>
      </c>
      <c r="AO104">
        <v>42</v>
      </c>
      <c r="AP104">
        <v>44</v>
      </c>
      <c r="AQ104">
        <v>44</v>
      </c>
      <c r="AR104">
        <v>44</v>
      </c>
      <c r="AS104">
        <v>45</v>
      </c>
      <c r="AT104">
        <v>45</v>
      </c>
      <c r="AU104">
        <v>45</v>
      </c>
      <c r="AV104">
        <v>45</v>
      </c>
      <c r="AW104">
        <v>45</v>
      </c>
      <c r="AX104">
        <v>45</v>
      </c>
      <c r="AY104">
        <v>45</v>
      </c>
      <c r="AZ104">
        <v>45</v>
      </c>
      <c r="BA104">
        <v>46</v>
      </c>
      <c r="BB104">
        <v>46</v>
      </c>
      <c r="BC104">
        <v>46</v>
      </c>
      <c r="BD104">
        <v>46</v>
      </c>
      <c r="BE104">
        <v>46</v>
      </c>
      <c r="BF104">
        <v>46</v>
      </c>
      <c r="BG104">
        <v>47</v>
      </c>
      <c r="BH104">
        <v>47</v>
      </c>
      <c r="BI104">
        <v>47</v>
      </c>
      <c r="BJ104">
        <v>47</v>
      </c>
      <c r="BK104">
        <v>49</v>
      </c>
    </row>
    <row r="105" spans="1:63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21</v>
      </c>
      <c r="AY105">
        <v>21</v>
      </c>
      <c r="AZ105">
        <v>21</v>
      </c>
      <c r="BA105">
        <v>21</v>
      </c>
      <c r="BB105">
        <v>21</v>
      </c>
      <c r="BC105">
        <v>21</v>
      </c>
      <c r="BD105">
        <v>21</v>
      </c>
      <c r="BE105">
        <v>21</v>
      </c>
      <c r="BF105">
        <v>21</v>
      </c>
      <c r="BG105">
        <v>20</v>
      </c>
      <c r="BH105">
        <v>21</v>
      </c>
      <c r="BI105">
        <v>21</v>
      </c>
      <c r="BJ105">
        <v>22</v>
      </c>
      <c r="BK105">
        <v>23</v>
      </c>
    </row>
    <row r="106" spans="1:63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17</v>
      </c>
      <c r="BB106">
        <v>23</v>
      </c>
      <c r="BC106">
        <v>31</v>
      </c>
      <c r="BD106">
        <v>42</v>
      </c>
      <c r="BE106">
        <v>66</v>
      </c>
      <c r="BF106">
        <v>99</v>
      </c>
      <c r="BG106">
        <v>121</v>
      </c>
      <c r="BH106">
        <v>146</v>
      </c>
      <c r="BI106">
        <v>199</v>
      </c>
      <c r="BJ106">
        <v>287</v>
      </c>
      <c r="BK106">
        <v>420</v>
      </c>
    </row>
    <row r="107" spans="1:63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15</v>
      </c>
      <c r="BB107">
        <v>34</v>
      </c>
      <c r="BC107">
        <v>45</v>
      </c>
      <c r="BD107">
        <v>49</v>
      </c>
      <c r="BE107">
        <v>101</v>
      </c>
      <c r="BF107">
        <v>131</v>
      </c>
      <c r="BG107">
        <v>160</v>
      </c>
      <c r="BH107">
        <v>160</v>
      </c>
      <c r="BI107">
        <v>184</v>
      </c>
      <c r="BJ107">
        <v>277</v>
      </c>
      <c r="BK107">
        <v>363</v>
      </c>
    </row>
    <row r="108" spans="1:63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15</v>
      </c>
      <c r="BB108">
        <v>28</v>
      </c>
      <c r="BC108">
        <v>35</v>
      </c>
      <c r="BD108">
        <v>50</v>
      </c>
      <c r="BE108">
        <v>76</v>
      </c>
      <c r="BF108">
        <v>115</v>
      </c>
      <c r="BG108">
        <v>155</v>
      </c>
      <c r="BH108">
        <v>216</v>
      </c>
      <c r="BI108">
        <v>314</v>
      </c>
      <c r="BJ108">
        <v>417</v>
      </c>
      <c r="BK108">
        <v>563</v>
      </c>
    </row>
    <row r="109" spans="1:63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15</v>
      </c>
      <c r="BB109">
        <v>23</v>
      </c>
      <c r="BC109">
        <v>29</v>
      </c>
      <c r="BD109">
        <v>29</v>
      </c>
      <c r="BE109">
        <v>69</v>
      </c>
      <c r="BF109">
        <v>98</v>
      </c>
      <c r="BG109">
        <v>178</v>
      </c>
      <c r="BH109">
        <v>267</v>
      </c>
      <c r="BI109">
        <v>267</v>
      </c>
      <c r="BJ109">
        <v>742</v>
      </c>
      <c r="BK109">
        <v>890</v>
      </c>
    </row>
    <row r="110" spans="1:63" x14ac:dyDescent="0.3">
      <c r="A110" t="s">
        <v>253</v>
      </c>
      <c r="B110" t="s">
        <v>38</v>
      </c>
      <c r="C110">
        <v>44.572000000000003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15</v>
      </c>
      <c r="BB110">
        <v>19</v>
      </c>
      <c r="BC110">
        <v>24</v>
      </c>
      <c r="BD110">
        <v>30</v>
      </c>
      <c r="BE110">
        <v>32</v>
      </c>
      <c r="BF110">
        <v>36</v>
      </c>
      <c r="BG110">
        <v>39</v>
      </c>
      <c r="BH110">
        <v>66</v>
      </c>
      <c r="BI110">
        <v>68</v>
      </c>
      <c r="BJ110">
        <v>88</v>
      </c>
      <c r="BK110">
        <v>114</v>
      </c>
    </row>
    <row r="111" spans="1:63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13</v>
      </c>
      <c r="BB111">
        <v>21</v>
      </c>
      <c r="BC111">
        <v>27</v>
      </c>
      <c r="BD111">
        <v>43</v>
      </c>
      <c r="BE111">
        <v>57</v>
      </c>
      <c r="BF111">
        <v>72</v>
      </c>
      <c r="BG111">
        <v>85</v>
      </c>
      <c r="BH111">
        <v>110</v>
      </c>
      <c r="BI111">
        <v>173</v>
      </c>
      <c r="BJ111">
        <v>260</v>
      </c>
      <c r="BK111">
        <v>394</v>
      </c>
    </row>
    <row r="112" spans="1:63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12</v>
      </c>
      <c r="BB112">
        <v>25</v>
      </c>
      <c r="BC112">
        <v>32</v>
      </c>
      <c r="BD112">
        <v>46</v>
      </c>
      <c r="BE112">
        <v>64</v>
      </c>
      <c r="BF112">
        <v>93</v>
      </c>
      <c r="BG112">
        <v>105</v>
      </c>
      <c r="BH112">
        <v>161</v>
      </c>
      <c r="BI112">
        <v>162</v>
      </c>
      <c r="BJ112">
        <v>422</v>
      </c>
      <c r="BK112">
        <v>585</v>
      </c>
    </row>
    <row r="113" spans="1:63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12</v>
      </c>
      <c r="BB113">
        <v>16</v>
      </c>
      <c r="BC113">
        <v>22</v>
      </c>
      <c r="BD113">
        <v>41</v>
      </c>
      <c r="BE113">
        <v>47</v>
      </c>
      <c r="BF113">
        <v>66</v>
      </c>
      <c r="BG113">
        <v>77</v>
      </c>
      <c r="BH113">
        <v>112</v>
      </c>
      <c r="BI113">
        <v>152</v>
      </c>
      <c r="BJ113">
        <v>206</v>
      </c>
      <c r="BK113">
        <v>303</v>
      </c>
    </row>
    <row r="114" spans="1:63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8</v>
      </c>
      <c r="BB114">
        <v>13</v>
      </c>
      <c r="BC114">
        <v>16</v>
      </c>
      <c r="BD114">
        <v>17</v>
      </c>
      <c r="BE114">
        <v>17</v>
      </c>
      <c r="BF114">
        <v>18</v>
      </c>
      <c r="BG114">
        <v>23</v>
      </c>
      <c r="BH114">
        <v>23</v>
      </c>
      <c r="BI114">
        <v>29</v>
      </c>
      <c r="BJ114">
        <v>44</v>
      </c>
      <c r="BK114">
        <v>45</v>
      </c>
    </row>
    <row r="115" spans="1:63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8</v>
      </c>
      <c r="BB115">
        <v>9</v>
      </c>
      <c r="BC115">
        <v>12</v>
      </c>
      <c r="BD115">
        <v>18</v>
      </c>
      <c r="BE115">
        <v>26</v>
      </c>
      <c r="BF115">
        <v>32</v>
      </c>
      <c r="BG115">
        <v>41</v>
      </c>
      <c r="BH115">
        <v>60</v>
      </c>
      <c r="BI115">
        <v>85</v>
      </c>
      <c r="BJ115">
        <v>107</v>
      </c>
      <c r="BK115">
        <v>149</v>
      </c>
    </row>
    <row r="116" spans="1:63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7</v>
      </c>
      <c r="BB116">
        <v>7</v>
      </c>
      <c r="BC116">
        <v>15</v>
      </c>
      <c r="BD116">
        <v>17</v>
      </c>
      <c r="BE116">
        <v>24</v>
      </c>
      <c r="BF116">
        <v>33</v>
      </c>
      <c r="BG116">
        <v>38</v>
      </c>
      <c r="BH116">
        <v>64</v>
      </c>
      <c r="BI116">
        <v>70</v>
      </c>
      <c r="BJ116">
        <v>123</v>
      </c>
      <c r="BK116">
        <v>172</v>
      </c>
    </row>
    <row r="117" spans="1:63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7</v>
      </c>
      <c r="BB117">
        <v>10</v>
      </c>
      <c r="BC117">
        <v>12</v>
      </c>
      <c r="BD117">
        <v>13</v>
      </c>
      <c r="BE117">
        <v>19</v>
      </c>
      <c r="BF117">
        <v>28</v>
      </c>
      <c r="BG117">
        <v>33</v>
      </c>
      <c r="BH117">
        <v>47</v>
      </c>
      <c r="BI117">
        <v>47</v>
      </c>
      <c r="BJ117">
        <v>81</v>
      </c>
      <c r="BK117">
        <v>126</v>
      </c>
    </row>
    <row r="118" spans="1:63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7</v>
      </c>
      <c r="BB118">
        <v>9</v>
      </c>
      <c r="BC118">
        <v>18</v>
      </c>
      <c r="BD118">
        <v>26</v>
      </c>
      <c r="BE118">
        <v>32</v>
      </c>
      <c r="BF118">
        <v>39</v>
      </c>
      <c r="BG118">
        <v>52</v>
      </c>
      <c r="BH118">
        <v>74</v>
      </c>
      <c r="BI118">
        <v>79</v>
      </c>
      <c r="BJ118">
        <v>154</v>
      </c>
      <c r="BK118">
        <v>233</v>
      </c>
    </row>
    <row r="119" spans="1:63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7</v>
      </c>
      <c r="BB119">
        <v>9</v>
      </c>
      <c r="BC119">
        <v>17</v>
      </c>
      <c r="BD119">
        <v>30</v>
      </c>
      <c r="BE119">
        <v>41</v>
      </c>
      <c r="BF119">
        <v>45</v>
      </c>
      <c r="BG119">
        <v>49</v>
      </c>
      <c r="BH119">
        <v>67</v>
      </c>
      <c r="BI119">
        <v>77</v>
      </c>
      <c r="BJ119">
        <v>99</v>
      </c>
      <c r="BK119">
        <v>122</v>
      </c>
    </row>
    <row r="120" spans="1:63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6</v>
      </c>
      <c r="BB120">
        <v>9</v>
      </c>
      <c r="BC120">
        <v>9</v>
      </c>
      <c r="BD120">
        <v>9</v>
      </c>
      <c r="BE120">
        <v>12</v>
      </c>
      <c r="BF120">
        <v>13</v>
      </c>
      <c r="BG120">
        <v>18</v>
      </c>
      <c r="BH120">
        <v>20</v>
      </c>
      <c r="BI120">
        <v>27</v>
      </c>
      <c r="BJ120">
        <v>45</v>
      </c>
      <c r="BK120">
        <v>78</v>
      </c>
    </row>
    <row r="121" spans="1:63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6</v>
      </c>
      <c r="BB121">
        <v>11</v>
      </c>
      <c r="BC121">
        <v>13</v>
      </c>
      <c r="BD121">
        <v>13</v>
      </c>
      <c r="BE121">
        <v>16</v>
      </c>
      <c r="BF121">
        <v>20</v>
      </c>
      <c r="BG121">
        <v>25</v>
      </c>
      <c r="BH121">
        <v>30</v>
      </c>
      <c r="BI121">
        <v>39</v>
      </c>
      <c r="BJ121">
        <v>60</v>
      </c>
      <c r="BK121">
        <v>86</v>
      </c>
    </row>
    <row r="122" spans="1:63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6</v>
      </c>
      <c r="BB122">
        <v>8</v>
      </c>
      <c r="BC122">
        <v>10</v>
      </c>
      <c r="BD122">
        <v>14</v>
      </c>
      <c r="BE122">
        <v>14</v>
      </c>
      <c r="BF122">
        <v>20</v>
      </c>
      <c r="BG122">
        <v>21</v>
      </c>
      <c r="BH122">
        <v>26</v>
      </c>
      <c r="BI122">
        <v>27</v>
      </c>
      <c r="BJ122">
        <v>37</v>
      </c>
      <c r="BK122">
        <v>47</v>
      </c>
    </row>
    <row r="123" spans="1:63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5</v>
      </c>
      <c r="BB123">
        <v>10</v>
      </c>
      <c r="BC123">
        <v>10</v>
      </c>
      <c r="BD123">
        <v>10</v>
      </c>
      <c r="BE123">
        <v>10</v>
      </c>
      <c r="BF123">
        <v>16</v>
      </c>
      <c r="BG123">
        <v>22</v>
      </c>
      <c r="BH123">
        <v>22</v>
      </c>
      <c r="BI123">
        <v>31</v>
      </c>
      <c r="BJ123">
        <v>40</v>
      </c>
      <c r="BK123">
        <v>71</v>
      </c>
    </row>
    <row r="124" spans="1:63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4</v>
      </c>
      <c r="BB124">
        <v>7</v>
      </c>
      <c r="BC124">
        <v>14</v>
      </c>
      <c r="BD124">
        <v>17</v>
      </c>
      <c r="BE124">
        <v>21</v>
      </c>
      <c r="BF124">
        <v>24</v>
      </c>
      <c r="BG124">
        <v>45</v>
      </c>
      <c r="BH124">
        <v>56</v>
      </c>
      <c r="BI124">
        <v>55</v>
      </c>
      <c r="BJ124">
        <v>95</v>
      </c>
      <c r="BK124">
        <v>114</v>
      </c>
    </row>
    <row r="125" spans="1:63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4</v>
      </c>
      <c r="BB125">
        <v>5</v>
      </c>
      <c r="BC125">
        <v>6</v>
      </c>
      <c r="BD125">
        <v>6</v>
      </c>
      <c r="BE125">
        <v>7</v>
      </c>
      <c r="BF125">
        <v>13</v>
      </c>
      <c r="BG125">
        <v>17</v>
      </c>
      <c r="BH125">
        <v>26</v>
      </c>
      <c r="BI125">
        <v>26</v>
      </c>
      <c r="BJ125">
        <v>44</v>
      </c>
      <c r="BK125">
        <v>44</v>
      </c>
    </row>
    <row r="126" spans="1:63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3</v>
      </c>
      <c r="BB126">
        <v>5</v>
      </c>
      <c r="BC126">
        <v>9</v>
      </c>
      <c r="BD126">
        <v>14</v>
      </c>
      <c r="BE126">
        <v>21</v>
      </c>
      <c r="BF126">
        <v>35</v>
      </c>
      <c r="BG126">
        <v>54</v>
      </c>
      <c r="BH126">
        <v>60</v>
      </c>
      <c r="BI126">
        <v>77</v>
      </c>
      <c r="BJ126">
        <v>89</v>
      </c>
      <c r="BK126">
        <v>115</v>
      </c>
    </row>
    <row r="127" spans="1:63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3</v>
      </c>
      <c r="BB127">
        <v>5</v>
      </c>
      <c r="BC127">
        <v>10</v>
      </c>
      <c r="BD127">
        <v>13</v>
      </c>
      <c r="BE127">
        <v>14</v>
      </c>
      <c r="BF127">
        <v>17</v>
      </c>
      <c r="BG127">
        <v>18</v>
      </c>
      <c r="BH127">
        <v>21</v>
      </c>
      <c r="BI127">
        <v>24</v>
      </c>
      <c r="BJ127">
        <v>29</v>
      </c>
      <c r="BK127">
        <v>37</v>
      </c>
    </row>
    <row r="128" spans="1:63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3</v>
      </c>
      <c r="BB128">
        <v>4</v>
      </c>
      <c r="BC128">
        <v>5</v>
      </c>
      <c r="BD128">
        <v>13</v>
      </c>
      <c r="BE128">
        <v>26</v>
      </c>
      <c r="BF128">
        <v>37</v>
      </c>
      <c r="BG128">
        <v>50</v>
      </c>
      <c r="BH128">
        <v>67</v>
      </c>
      <c r="BI128">
        <v>86</v>
      </c>
      <c r="BJ128">
        <v>119</v>
      </c>
      <c r="BK128">
        <v>173</v>
      </c>
    </row>
    <row r="129" spans="1:63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3</v>
      </c>
      <c r="BB129">
        <v>5</v>
      </c>
      <c r="BC129">
        <v>5</v>
      </c>
      <c r="BD129">
        <v>14</v>
      </c>
      <c r="BE129">
        <v>20</v>
      </c>
      <c r="BF129">
        <v>20</v>
      </c>
      <c r="BG129">
        <v>21</v>
      </c>
      <c r="BH129">
        <v>23</v>
      </c>
      <c r="BI129">
        <v>33</v>
      </c>
      <c r="BJ129">
        <v>44</v>
      </c>
      <c r="BK129">
        <v>54</v>
      </c>
    </row>
    <row r="130" spans="1:63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3</v>
      </c>
      <c r="BB130">
        <v>6</v>
      </c>
      <c r="BC130">
        <v>8</v>
      </c>
      <c r="BD130">
        <v>19</v>
      </c>
      <c r="BE130">
        <v>27</v>
      </c>
      <c r="BF130">
        <v>32</v>
      </c>
      <c r="BG130">
        <v>47</v>
      </c>
      <c r="BH130">
        <v>72</v>
      </c>
      <c r="BI130">
        <v>92</v>
      </c>
      <c r="BJ130">
        <v>159</v>
      </c>
      <c r="BK130">
        <v>207</v>
      </c>
    </row>
    <row r="131" spans="1:63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2</v>
      </c>
      <c r="BB131">
        <v>3</v>
      </c>
      <c r="BC131">
        <v>5</v>
      </c>
      <c r="BD131">
        <v>11</v>
      </c>
      <c r="BE131">
        <v>22</v>
      </c>
      <c r="BF131">
        <v>24</v>
      </c>
      <c r="BG131">
        <v>30</v>
      </c>
      <c r="BH131">
        <v>68</v>
      </c>
      <c r="BI131">
        <v>68</v>
      </c>
      <c r="BJ131">
        <v>159</v>
      </c>
      <c r="BK131">
        <v>194</v>
      </c>
    </row>
    <row r="132" spans="1:63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2</v>
      </c>
      <c r="BB132">
        <v>2</v>
      </c>
      <c r="BC132">
        <v>2</v>
      </c>
      <c r="BD132">
        <v>2</v>
      </c>
      <c r="BE132">
        <v>4</v>
      </c>
      <c r="BF132">
        <v>6</v>
      </c>
      <c r="BG132">
        <v>7</v>
      </c>
      <c r="BH132">
        <v>10</v>
      </c>
      <c r="BI132">
        <v>14</v>
      </c>
      <c r="BJ132">
        <v>16</v>
      </c>
      <c r="BK132">
        <v>26</v>
      </c>
    </row>
    <row r="133" spans="1:63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2</v>
      </c>
      <c r="BB133">
        <v>2</v>
      </c>
      <c r="BC133">
        <v>2</v>
      </c>
      <c r="BD133">
        <v>2</v>
      </c>
      <c r="BE133">
        <v>4</v>
      </c>
      <c r="BF133">
        <v>7</v>
      </c>
      <c r="BG133">
        <v>10</v>
      </c>
      <c r="BH133">
        <v>19</v>
      </c>
      <c r="BI133">
        <v>19</v>
      </c>
      <c r="BJ133">
        <v>44</v>
      </c>
      <c r="BK133">
        <v>49</v>
      </c>
    </row>
    <row r="134" spans="1:63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2</v>
      </c>
      <c r="BB134">
        <v>3</v>
      </c>
      <c r="BC134">
        <v>5</v>
      </c>
      <c r="BD134">
        <v>9</v>
      </c>
      <c r="BE134">
        <v>10</v>
      </c>
      <c r="BF134">
        <v>28</v>
      </c>
      <c r="BG134">
        <v>39</v>
      </c>
      <c r="BH134">
        <v>51</v>
      </c>
      <c r="BI134">
        <v>51</v>
      </c>
      <c r="BJ134">
        <v>80</v>
      </c>
      <c r="BK134">
        <v>78</v>
      </c>
    </row>
    <row r="135" spans="1:63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1</v>
      </c>
      <c r="BB135">
        <v>2</v>
      </c>
      <c r="BC135">
        <v>2</v>
      </c>
      <c r="BD135">
        <v>2</v>
      </c>
      <c r="BE135">
        <v>2</v>
      </c>
      <c r="BF135">
        <v>3</v>
      </c>
      <c r="BG135">
        <v>15</v>
      </c>
      <c r="BH135">
        <v>15</v>
      </c>
      <c r="BI135">
        <v>20</v>
      </c>
      <c r="BJ135">
        <v>33</v>
      </c>
      <c r="BK135">
        <v>40</v>
      </c>
    </row>
    <row r="136" spans="1:63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1</v>
      </c>
      <c r="AX136">
        <v>1</v>
      </c>
      <c r="AY136">
        <v>1</v>
      </c>
      <c r="AZ136">
        <v>1</v>
      </c>
      <c r="BA136">
        <v>1</v>
      </c>
      <c r="BB136">
        <v>1</v>
      </c>
      <c r="BC136">
        <v>1</v>
      </c>
      <c r="BD136">
        <v>1</v>
      </c>
      <c r="BE136">
        <v>1</v>
      </c>
      <c r="BF136">
        <v>1</v>
      </c>
      <c r="BG136">
        <v>1</v>
      </c>
      <c r="BH136">
        <v>1</v>
      </c>
      <c r="BI136">
        <v>1</v>
      </c>
      <c r="BJ136">
        <v>1</v>
      </c>
      <c r="BK136">
        <v>1</v>
      </c>
    </row>
    <row r="137" spans="1:63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1</v>
      </c>
      <c r="BB137">
        <v>1</v>
      </c>
      <c r="BC137">
        <v>1</v>
      </c>
      <c r="BD137">
        <v>1</v>
      </c>
      <c r="BE137">
        <v>1</v>
      </c>
      <c r="BF137">
        <v>1</v>
      </c>
      <c r="BG137">
        <v>1</v>
      </c>
      <c r="BH137">
        <v>5</v>
      </c>
      <c r="BI137">
        <v>6</v>
      </c>
      <c r="BJ137">
        <v>6</v>
      </c>
      <c r="BK137">
        <v>6</v>
      </c>
    </row>
    <row r="138" spans="1:63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1</v>
      </c>
      <c r="BB138">
        <v>8</v>
      </c>
      <c r="BC138">
        <v>11</v>
      </c>
      <c r="BD138">
        <v>27</v>
      </c>
      <c r="BE138">
        <v>36</v>
      </c>
      <c r="BF138">
        <v>43</v>
      </c>
      <c r="BG138">
        <v>55</v>
      </c>
      <c r="BH138">
        <v>69</v>
      </c>
      <c r="BI138">
        <v>86</v>
      </c>
      <c r="BJ138">
        <v>109</v>
      </c>
      <c r="BK138">
        <v>137</v>
      </c>
    </row>
    <row r="139" spans="1:63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1</v>
      </c>
      <c r="BB139">
        <v>1</v>
      </c>
      <c r="BC139">
        <v>1</v>
      </c>
      <c r="BD139">
        <v>5</v>
      </c>
      <c r="BE139">
        <v>8</v>
      </c>
      <c r="BF139">
        <v>8</v>
      </c>
      <c r="BG139">
        <v>11</v>
      </c>
      <c r="BH139">
        <v>18</v>
      </c>
      <c r="BI139">
        <v>18</v>
      </c>
      <c r="BJ139">
        <v>34</v>
      </c>
      <c r="BK139">
        <v>44</v>
      </c>
    </row>
    <row r="140" spans="1:63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1</v>
      </c>
      <c r="BB140">
        <v>6</v>
      </c>
      <c r="BC140">
        <v>19</v>
      </c>
      <c r="BD140">
        <v>36</v>
      </c>
      <c r="BE140">
        <v>77</v>
      </c>
      <c r="BF140">
        <v>91</v>
      </c>
      <c r="BG140">
        <v>136</v>
      </c>
      <c r="BH140">
        <v>196</v>
      </c>
      <c r="BI140">
        <v>257</v>
      </c>
      <c r="BJ140">
        <v>392</v>
      </c>
      <c r="BK140">
        <v>538</v>
      </c>
    </row>
    <row r="141" spans="1:63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1</v>
      </c>
      <c r="BB141">
        <v>1</v>
      </c>
      <c r="BC141">
        <v>1</v>
      </c>
      <c r="BD141">
        <v>2</v>
      </c>
      <c r="BE141">
        <v>4</v>
      </c>
      <c r="BF141">
        <v>5</v>
      </c>
      <c r="BG141">
        <v>6</v>
      </c>
      <c r="BH141">
        <v>11</v>
      </c>
      <c r="BI141">
        <v>18</v>
      </c>
      <c r="BJ141">
        <v>31</v>
      </c>
      <c r="BK141">
        <v>53</v>
      </c>
    </row>
    <row r="142" spans="1:63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1</v>
      </c>
      <c r="BB142">
        <v>1</v>
      </c>
      <c r="BC142">
        <v>2</v>
      </c>
      <c r="BD142">
        <v>2</v>
      </c>
      <c r="BE142">
        <v>5</v>
      </c>
      <c r="BF142">
        <v>8</v>
      </c>
      <c r="BG142">
        <v>12</v>
      </c>
      <c r="BH142">
        <v>12</v>
      </c>
      <c r="BI142">
        <v>18</v>
      </c>
      <c r="BJ142">
        <v>22</v>
      </c>
      <c r="BK142">
        <v>29</v>
      </c>
    </row>
    <row r="143" spans="1:63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1</v>
      </c>
      <c r="BE143">
        <v>1</v>
      </c>
      <c r="BF143">
        <v>1</v>
      </c>
      <c r="BG143">
        <v>1</v>
      </c>
      <c r="BH143">
        <v>3</v>
      </c>
      <c r="BI143">
        <v>6</v>
      </c>
      <c r="BJ143">
        <v>9</v>
      </c>
      <c r="BK143">
        <v>12</v>
      </c>
    </row>
    <row r="144" spans="1:63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1</v>
      </c>
      <c r="BC144">
        <v>6</v>
      </c>
      <c r="BD144">
        <v>6</v>
      </c>
      <c r="BE144">
        <v>12</v>
      </c>
      <c r="BF144">
        <v>16</v>
      </c>
      <c r="BG144">
        <v>22</v>
      </c>
      <c r="BH144">
        <v>22</v>
      </c>
      <c r="BI144">
        <v>33</v>
      </c>
      <c r="BJ144">
        <v>62</v>
      </c>
      <c r="BK144">
        <v>96</v>
      </c>
    </row>
    <row r="145" spans="1:63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1</v>
      </c>
      <c r="BC145">
        <v>1</v>
      </c>
      <c r="BD145">
        <v>4</v>
      </c>
      <c r="BE145">
        <v>6</v>
      </c>
      <c r="BF145">
        <v>7</v>
      </c>
      <c r="BG145">
        <v>8</v>
      </c>
      <c r="BH145">
        <v>16</v>
      </c>
      <c r="BI145">
        <v>19</v>
      </c>
      <c r="BJ145">
        <v>30</v>
      </c>
      <c r="BK145">
        <v>38</v>
      </c>
    </row>
    <row r="146" spans="1:63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1</v>
      </c>
      <c r="BE146">
        <v>2</v>
      </c>
      <c r="BF146">
        <v>5</v>
      </c>
      <c r="BG146">
        <v>5</v>
      </c>
      <c r="BH146">
        <v>8</v>
      </c>
      <c r="BI146">
        <v>9</v>
      </c>
      <c r="BJ146">
        <v>11</v>
      </c>
      <c r="BK146">
        <v>23</v>
      </c>
    </row>
    <row r="147" spans="1:63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1</v>
      </c>
      <c r="BE147">
        <v>3</v>
      </c>
      <c r="BF147">
        <v>12</v>
      </c>
      <c r="BG147">
        <v>17</v>
      </c>
      <c r="BH147">
        <v>32</v>
      </c>
      <c r="BI147">
        <v>42</v>
      </c>
      <c r="BJ147">
        <v>52</v>
      </c>
      <c r="BK147">
        <v>56</v>
      </c>
    </row>
    <row r="148" spans="1:63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2</v>
      </c>
      <c r="BC148">
        <v>2</v>
      </c>
      <c r="BD148">
        <v>16</v>
      </c>
      <c r="BE148">
        <v>25</v>
      </c>
      <c r="BF148">
        <v>33</v>
      </c>
      <c r="BG148">
        <v>53</v>
      </c>
      <c r="BH148">
        <v>65</v>
      </c>
      <c r="BI148">
        <v>83</v>
      </c>
      <c r="BJ148">
        <v>334</v>
      </c>
      <c r="BK148">
        <v>552</v>
      </c>
    </row>
    <row r="149" spans="1:63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1</v>
      </c>
      <c r="BD149">
        <v>1</v>
      </c>
      <c r="BE149">
        <v>6</v>
      </c>
      <c r="BF149">
        <v>10</v>
      </c>
      <c r="BG149">
        <v>13</v>
      </c>
      <c r="BH149">
        <v>21</v>
      </c>
      <c r="BI149">
        <v>34</v>
      </c>
      <c r="BJ149">
        <v>50</v>
      </c>
      <c r="BK149">
        <v>80</v>
      </c>
    </row>
    <row r="150" spans="1:63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1</v>
      </c>
      <c r="BC150">
        <v>1</v>
      </c>
      <c r="BD150">
        <v>1</v>
      </c>
      <c r="BE150">
        <v>5</v>
      </c>
      <c r="BF150">
        <v>7</v>
      </c>
      <c r="BG150">
        <v>7</v>
      </c>
      <c r="BH150">
        <v>9</v>
      </c>
      <c r="BI150">
        <v>11</v>
      </c>
      <c r="BJ150">
        <v>11</v>
      </c>
      <c r="BK150">
        <v>15</v>
      </c>
    </row>
    <row r="151" spans="1:63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3</v>
      </c>
      <c r="BC151">
        <v>5</v>
      </c>
      <c r="BD151">
        <v>10</v>
      </c>
      <c r="BE151">
        <v>10</v>
      </c>
      <c r="BF151">
        <v>13</v>
      </c>
      <c r="BG151">
        <v>17</v>
      </c>
      <c r="BH151">
        <v>23</v>
      </c>
      <c r="BI151">
        <v>23</v>
      </c>
      <c r="BJ151">
        <v>35</v>
      </c>
      <c r="BK151">
        <v>43</v>
      </c>
    </row>
    <row r="152" spans="1:63" x14ac:dyDescent="0.3">
      <c r="A152" t="s">
        <v>297</v>
      </c>
      <c r="B152" t="s">
        <v>38</v>
      </c>
      <c r="C152">
        <v>47.5289</v>
      </c>
      <c r="D152">
        <v>-99.784000000000006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1</v>
      </c>
      <c r="BD152">
        <v>1</v>
      </c>
      <c r="BE152">
        <v>1</v>
      </c>
      <c r="BF152">
        <v>1</v>
      </c>
      <c r="BG152">
        <v>1</v>
      </c>
      <c r="BH152">
        <v>3</v>
      </c>
      <c r="BI152">
        <v>6</v>
      </c>
      <c r="BJ152">
        <v>18</v>
      </c>
      <c r="BK152">
        <v>19</v>
      </c>
    </row>
    <row r="153" spans="1:63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8</v>
      </c>
      <c r="BC153">
        <v>8</v>
      </c>
      <c r="BD153">
        <v>8</v>
      </c>
      <c r="BE153">
        <v>9</v>
      </c>
      <c r="BF153">
        <v>9</v>
      </c>
      <c r="BG153">
        <v>10</v>
      </c>
      <c r="BH153">
        <v>11</v>
      </c>
      <c r="BI153">
        <v>11</v>
      </c>
      <c r="BJ153">
        <v>11</v>
      </c>
      <c r="BK153">
        <v>14</v>
      </c>
    </row>
    <row r="154" spans="1:63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1</v>
      </c>
      <c r="BI154">
        <v>1</v>
      </c>
      <c r="BJ154">
        <v>2</v>
      </c>
      <c r="BK154">
        <v>7</v>
      </c>
    </row>
    <row r="155" spans="1:63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1</v>
      </c>
      <c r="BD155">
        <v>1</v>
      </c>
      <c r="BE155">
        <v>2</v>
      </c>
      <c r="BF155">
        <v>3</v>
      </c>
      <c r="BG155">
        <v>3</v>
      </c>
      <c r="BH155">
        <v>11</v>
      </c>
      <c r="BI155">
        <v>15</v>
      </c>
      <c r="BJ155">
        <v>18</v>
      </c>
      <c r="BK155">
        <v>19</v>
      </c>
    </row>
    <row r="156" spans="1:63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444</v>
      </c>
      <c r="F156">
        <v>444</v>
      </c>
      <c r="G156">
        <v>549</v>
      </c>
      <c r="H156">
        <v>761</v>
      </c>
      <c r="I156">
        <v>1058</v>
      </c>
      <c r="J156">
        <v>1423</v>
      </c>
      <c r="K156">
        <v>3554</v>
      </c>
      <c r="L156">
        <v>3554</v>
      </c>
      <c r="M156">
        <v>4903</v>
      </c>
      <c r="N156">
        <v>5806</v>
      </c>
      <c r="O156">
        <v>7153</v>
      </c>
      <c r="P156">
        <v>11177</v>
      </c>
      <c r="Q156">
        <v>13522</v>
      </c>
      <c r="R156">
        <v>16678</v>
      </c>
      <c r="S156">
        <v>19665</v>
      </c>
      <c r="T156">
        <v>22112</v>
      </c>
      <c r="U156">
        <v>24953</v>
      </c>
      <c r="V156">
        <v>27100</v>
      </c>
      <c r="W156">
        <v>29631</v>
      </c>
      <c r="X156">
        <v>31728</v>
      </c>
      <c r="Y156">
        <v>33366</v>
      </c>
      <c r="Z156">
        <v>33366</v>
      </c>
      <c r="AA156">
        <v>48206</v>
      </c>
      <c r="AB156">
        <v>54406</v>
      </c>
      <c r="AC156">
        <v>56249</v>
      </c>
      <c r="AD156">
        <v>58182</v>
      </c>
      <c r="AE156">
        <v>59989</v>
      </c>
      <c r="AF156">
        <v>61682</v>
      </c>
      <c r="AG156">
        <v>62031</v>
      </c>
      <c r="AH156">
        <v>62442</v>
      </c>
      <c r="AI156">
        <v>62662</v>
      </c>
      <c r="AJ156">
        <v>64084</v>
      </c>
      <c r="AK156">
        <v>64084</v>
      </c>
      <c r="AL156">
        <v>64287</v>
      </c>
      <c r="AM156">
        <v>64786</v>
      </c>
      <c r="AN156">
        <v>65187</v>
      </c>
      <c r="AO156">
        <v>65596</v>
      </c>
      <c r="AP156">
        <v>65914</v>
      </c>
      <c r="AQ156">
        <v>66337</v>
      </c>
      <c r="AR156">
        <v>66907</v>
      </c>
      <c r="AS156">
        <v>67103</v>
      </c>
      <c r="AT156">
        <v>67217</v>
      </c>
      <c r="AU156">
        <v>67332</v>
      </c>
      <c r="AV156">
        <v>67466</v>
      </c>
      <c r="AW156">
        <v>67592</v>
      </c>
      <c r="AX156">
        <v>67666</v>
      </c>
      <c r="AY156">
        <v>67707</v>
      </c>
      <c r="AZ156">
        <v>67743</v>
      </c>
      <c r="BA156">
        <v>67760</v>
      </c>
      <c r="BB156">
        <v>67773</v>
      </c>
      <c r="BC156">
        <v>67781</v>
      </c>
      <c r="BD156">
        <v>67786</v>
      </c>
      <c r="BE156">
        <v>67790</v>
      </c>
      <c r="BF156">
        <v>67794</v>
      </c>
      <c r="BG156">
        <v>67798</v>
      </c>
      <c r="BH156">
        <v>67799</v>
      </c>
      <c r="BI156">
        <v>67800</v>
      </c>
      <c r="BJ156">
        <v>67800</v>
      </c>
      <c r="BK156">
        <v>67800</v>
      </c>
    </row>
    <row r="157" spans="1:63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2</v>
      </c>
      <c r="AH157">
        <v>5</v>
      </c>
      <c r="AI157">
        <v>18</v>
      </c>
      <c r="AJ157">
        <v>28</v>
      </c>
      <c r="AK157">
        <v>43</v>
      </c>
      <c r="AL157">
        <v>61</v>
      </c>
      <c r="AM157">
        <v>95</v>
      </c>
      <c r="AN157">
        <v>139</v>
      </c>
      <c r="AO157">
        <v>245</v>
      </c>
      <c r="AP157">
        <v>388</v>
      </c>
      <c r="AQ157">
        <v>593</v>
      </c>
      <c r="AR157">
        <v>978</v>
      </c>
      <c r="AS157">
        <v>1501</v>
      </c>
      <c r="AT157">
        <v>2336</v>
      </c>
      <c r="AU157">
        <v>2922</v>
      </c>
      <c r="AV157">
        <v>3513</v>
      </c>
      <c r="AW157">
        <v>4747</v>
      </c>
      <c r="AX157">
        <v>5823</v>
      </c>
      <c r="AY157">
        <v>6566</v>
      </c>
      <c r="AZ157">
        <v>7161</v>
      </c>
      <c r="BA157">
        <v>8042</v>
      </c>
      <c r="BB157">
        <v>9000</v>
      </c>
      <c r="BC157">
        <v>10075</v>
      </c>
      <c r="BD157">
        <v>11364</v>
      </c>
      <c r="BE157">
        <v>12729</v>
      </c>
      <c r="BF157">
        <v>13938</v>
      </c>
      <c r="BG157">
        <v>14991</v>
      </c>
      <c r="BH157">
        <v>16169</v>
      </c>
      <c r="BI157">
        <v>17361</v>
      </c>
      <c r="BJ157">
        <v>18407</v>
      </c>
      <c r="BK157">
        <v>19644</v>
      </c>
    </row>
    <row r="158" spans="1:63" x14ac:dyDescent="0.3">
      <c r="B158" t="s">
        <v>339</v>
      </c>
      <c r="C158">
        <v>36</v>
      </c>
      <c r="D158">
        <v>128</v>
      </c>
      <c r="E158">
        <v>1</v>
      </c>
      <c r="F158">
        <v>1</v>
      </c>
      <c r="G158">
        <v>2</v>
      </c>
      <c r="H158">
        <v>2</v>
      </c>
      <c r="I158">
        <v>3</v>
      </c>
      <c r="J158">
        <v>4</v>
      </c>
      <c r="K158">
        <v>4</v>
      </c>
      <c r="L158">
        <v>4</v>
      </c>
      <c r="M158">
        <v>4</v>
      </c>
      <c r="N158">
        <v>11</v>
      </c>
      <c r="O158">
        <v>12</v>
      </c>
      <c r="P158">
        <v>15</v>
      </c>
      <c r="Q158">
        <v>15</v>
      </c>
      <c r="R158">
        <v>16</v>
      </c>
      <c r="S158">
        <v>19</v>
      </c>
      <c r="T158">
        <v>23</v>
      </c>
      <c r="U158">
        <v>24</v>
      </c>
      <c r="V158">
        <v>24</v>
      </c>
      <c r="W158">
        <v>25</v>
      </c>
      <c r="X158">
        <v>27</v>
      </c>
      <c r="Y158">
        <v>28</v>
      </c>
      <c r="Z158">
        <v>28</v>
      </c>
      <c r="AA158">
        <v>28</v>
      </c>
      <c r="AB158">
        <v>28</v>
      </c>
      <c r="AC158">
        <v>28</v>
      </c>
      <c r="AD158">
        <v>29</v>
      </c>
      <c r="AE158">
        <v>30</v>
      </c>
      <c r="AF158">
        <v>31</v>
      </c>
      <c r="AG158">
        <v>31</v>
      </c>
      <c r="AH158">
        <v>104</v>
      </c>
      <c r="AI158">
        <v>204</v>
      </c>
      <c r="AJ158">
        <v>433</v>
      </c>
      <c r="AK158">
        <v>602</v>
      </c>
      <c r="AL158">
        <v>833</v>
      </c>
      <c r="AM158">
        <v>977</v>
      </c>
      <c r="AN158">
        <v>1261</v>
      </c>
      <c r="AO158">
        <v>1766</v>
      </c>
      <c r="AP158">
        <v>2337</v>
      </c>
      <c r="AQ158">
        <v>3150</v>
      </c>
      <c r="AR158">
        <v>3736</v>
      </c>
      <c r="AS158">
        <v>4335</v>
      </c>
      <c r="AT158">
        <v>5186</v>
      </c>
      <c r="AU158">
        <v>5621</v>
      </c>
      <c r="AV158">
        <v>6088</v>
      </c>
      <c r="AW158">
        <v>6593</v>
      </c>
      <c r="AX158">
        <v>7041</v>
      </c>
      <c r="AY158">
        <v>7314</v>
      </c>
      <c r="AZ158">
        <v>7478</v>
      </c>
      <c r="BA158">
        <v>7513</v>
      </c>
      <c r="BB158">
        <v>7755</v>
      </c>
      <c r="BC158">
        <v>7869</v>
      </c>
      <c r="BD158">
        <v>7979</v>
      </c>
      <c r="BE158">
        <v>8086</v>
      </c>
      <c r="BF158">
        <v>8162</v>
      </c>
      <c r="BG158">
        <v>8236</v>
      </c>
      <c r="BH158">
        <v>8320</v>
      </c>
      <c r="BI158">
        <v>8413</v>
      </c>
      <c r="BJ158">
        <v>8565</v>
      </c>
      <c r="BK158">
        <v>8652</v>
      </c>
    </row>
    <row r="159" spans="1:63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2</v>
      </c>
      <c r="H159">
        <v>3</v>
      </c>
      <c r="I159">
        <v>3</v>
      </c>
      <c r="J159">
        <v>3</v>
      </c>
      <c r="K159">
        <v>4</v>
      </c>
      <c r="L159">
        <v>5</v>
      </c>
      <c r="M159">
        <v>5</v>
      </c>
      <c r="N159">
        <v>5</v>
      </c>
      <c r="O159">
        <v>6</v>
      </c>
      <c r="P159">
        <v>6</v>
      </c>
      <c r="Q159">
        <v>6</v>
      </c>
      <c r="R159">
        <v>6</v>
      </c>
      <c r="S159">
        <v>6</v>
      </c>
      <c r="T159">
        <v>6</v>
      </c>
      <c r="U159">
        <v>6</v>
      </c>
      <c r="V159">
        <v>11</v>
      </c>
      <c r="W159">
        <v>11</v>
      </c>
      <c r="X159">
        <v>11</v>
      </c>
      <c r="Y159">
        <v>11</v>
      </c>
      <c r="Z159">
        <v>11</v>
      </c>
      <c r="AA159">
        <v>11</v>
      </c>
      <c r="AB159">
        <v>11</v>
      </c>
      <c r="AC159">
        <v>12</v>
      </c>
      <c r="AD159">
        <v>12</v>
      </c>
      <c r="AE159">
        <v>12</v>
      </c>
      <c r="AF159">
        <v>12</v>
      </c>
      <c r="AG159">
        <v>12</v>
      </c>
      <c r="AH159">
        <v>12</v>
      </c>
      <c r="AI159">
        <v>12</v>
      </c>
      <c r="AJ159">
        <v>12</v>
      </c>
      <c r="AK159">
        <v>12</v>
      </c>
      <c r="AL159">
        <v>12</v>
      </c>
      <c r="AM159">
        <v>14</v>
      </c>
      <c r="AN159">
        <v>18</v>
      </c>
      <c r="AO159">
        <v>38</v>
      </c>
      <c r="AP159">
        <v>57</v>
      </c>
      <c r="AQ159">
        <v>100</v>
      </c>
      <c r="AR159">
        <v>130</v>
      </c>
      <c r="AS159">
        <v>191</v>
      </c>
      <c r="AT159">
        <v>204</v>
      </c>
      <c r="AU159">
        <v>285</v>
      </c>
      <c r="AV159">
        <v>377</v>
      </c>
      <c r="AW159">
        <v>653</v>
      </c>
      <c r="AX159">
        <v>949</v>
      </c>
      <c r="AY159">
        <v>1126</v>
      </c>
      <c r="AZ159">
        <v>1209</v>
      </c>
      <c r="BA159">
        <v>1784</v>
      </c>
      <c r="BB159">
        <v>2281</v>
      </c>
      <c r="BC159">
        <v>2281</v>
      </c>
      <c r="BD159">
        <v>3661</v>
      </c>
      <c r="BE159">
        <v>4469</v>
      </c>
      <c r="BF159">
        <v>4499</v>
      </c>
      <c r="BG159">
        <v>6633</v>
      </c>
      <c r="BH159">
        <v>7652</v>
      </c>
      <c r="BI159">
        <v>9043</v>
      </c>
      <c r="BJ159">
        <v>10871</v>
      </c>
      <c r="BK159">
        <v>12612</v>
      </c>
    </row>
    <row r="160" spans="1:63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26</v>
      </c>
      <c r="F160">
        <v>32</v>
      </c>
      <c r="G160">
        <v>53</v>
      </c>
      <c r="H160">
        <v>78</v>
      </c>
      <c r="I160">
        <v>111</v>
      </c>
      <c r="J160">
        <v>151</v>
      </c>
      <c r="K160">
        <v>207</v>
      </c>
      <c r="L160">
        <v>277</v>
      </c>
      <c r="M160">
        <v>354</v>
      </c>
      <c r="N160">
        <v>436</v>
      </c>
      <c r="O160">
        <v>535</v>
      </c>
      <c r="P160">
        <v>632</v>
      </c>
      <c r="Q160">
        <v>725</v>
      </c>
      <c r="R160">
        <v>813</v>
      </c>
      <c r="S160">
        <v>895</v>
      </c>
      <c r="T160">
        <v>970</v>
      </c>
      <c r="U160">
        <v>1034</v>
      </c>
      <c r="V160">
        <v>1095</v>
      </c>
      <c r="W160">
        <v>1131</v>
      </c>
      <c r="X160">
        <v>1159</v>
      </c>
      <c r="Y160">
        <v>1177</v>
      </c>
      <c r="Z160">
        <v>1219</v>
      </c>
      <c r="AA160">
        <v>1241</v>
      </c>
      <c r="AB160">
        <v>1261</v>
      </c>
      <c r="AC160">
        <v>1294</v>
      </c>
      <c r="AD160">
        <v>1316</v>
      </c>
      <c r="AE160">
        <v>1322</v>
      </c>
      <c r="AF160">
        <v>1328</v>
      </c>
      <c r="AG160">
        <v>1331</v>
      </c>
      <c r="AH160">
        <v>1332</v>
      </c>
      <c r="AI160">
        <v>1333</v>
      </c>
      <c r="AJ160">
        <v>1339</v>
      </c>
      <c r="AK160">
        <v>1342</v>
      </c>
      <c r="AL160">
        <v>1345</v>
      </c>
      <c r="AM160">
        <v>1347</v>
      </c>
      <c r="AN160">
        <v>1347</v>
      </c>
      <c r="AO160">
        <v>1347</v>
      </c>
      <c r="AP160">
        <v>1348</v>
      </c>
      <c r="AQ160">
        <v>1349</v>
      </c>
      <c r="AR160">
        <v>1349</v>
      </c>
      <c r="AS160">
        <v>1350</v>
      </c>
      <c r="AT160">
        <v>1350</v>
      </c>
      <c r="AU160">
        <v>1350</v>
      </c>
      <c r="AV160">
        <v>1351</v>
      </c>
      <c r="AW160">
        <v>1352</v>
      </c>
      <c r="AX160">
        <v>1352</v>
      </c>
      <c r="AY160">
        <v>1352</v>
      </c>
      <c r="AZ160">
        <v>1352</v>
      </c>
      <c r="BA160">
        <v>1353</v>
      </c>
      <c r="BB160">
        <v>1356</v>
      </c>
      <c r="BC160">
        <v>1356</v>
      </c>
      <c r="BD160">
        <v>1356</v>
      </c>
      <c r="BE160">
        <v>1356</v>
      </c>
      <c r="BF160">
        <v>1360</v>
      </c>
      <c r="BG160">
        <v>1361</v>
      </c>
      <c r="BH160">
        <v>1364</v>
      </c>
      <c r="BI160">
        <v>1370</v>
      </c>
      <c r="BJ160">
        <v>1378</v>
      </c>
      <c r="BK160">
        <v>1395</v>
      </c>
    </row>
    <row r="161" spans="1:63" x14ac:dyDescent="0.3">
      <c r="A161" t="s">
        <v>15</v>
      </c>
      <c r="B161" t="s">
        <v>337</v>
      </c>
      <c r="C161">
        <v>33.881999999999998</v>
      </c>
      <c r="D161">
        <v>113.614</v>
      </c>
      <c r="E161">
        <v>5</v>
      </c>
      <c r="F161">
        <v>5</v>
      </c>
      <c r="G161">
        <v>9</v>
      </c>
      <c r="H161">
        <v>32</v>
      </c>
      <c r="I161">
        <v>83</v>
      </c>
      <c r="J161">
        <v>128</v>
      </c>
      <c r="K161">
        <v>168</v>
      </c>
      <c r="L161">
        <v>206</v>
      </c>
      <c r="M161">
        <v>278</v>
      </c>
      <c r="N161">
        <v>352</v>
      </c>
      <c r="O161">
        <v>422</v>
      </c>
      <c r="P161">
        <v>493</v>
      </c>
      <c r="Q161">
        <v>566</v>
      </c>
      <c r="R161">
        <v>675</v>
      </c>
      <c r="S161">
        <v>764</v>
      </c>
      <c r="T161">
        <v>851</v>
      </c>
      <c r="U161">
        <v>914</v>
      </c>
      <c r="V161">
        <v>981</v>
      </c>
      <c r="W161">
        <v>1033</v>
      </c>
      <c r="X161">
        <v>1073</v>
      </c>
      <c r="Y161">
        <v>1105</v>
      </c>
      <c r="Z161">
        <v>1135</v>
      </c>
      <c r="AA161">
        <v>1169</v>
      </c>
      <c r="AB161">
        <v>1184</v>
      </c>
      <c r="AC161">
        <v>1212</v>
      </c>
      <c r="AD161">
        <v>1231</v>
      </c>
      <c r="AE161">
        <v>1246</v>
      </c>
      <c r="AF161">
        <v>1257</v>
      </c>
      <c r="AG161">
        <v>1262</v>
      </c>
      <c r="AH161">
        <v>1265</v>
      </c>
      <c r="AI161">
        <v>1267</v>
      </c>
      <c r="AJ161">
        <v>1270</v>
      </c>
      <c r="AK161">
        <v>1271</v>
      </c>
      <c r="AL161">
        <v>1271</v>
      </c>
      <c r="AM161">
        <v>1271</v>
      </c>
      <c r="AN161">
        <v>1271</v>
      </c>
      <c r="AO161">
        <v>1272</v>
      </c>
      <c r="AP161">
        <v>1272</v>
      </c>
      <c r="AQ161">
        <v>1272</v>
      </c>
      <c r="AR161">
        <v>1272</v>
      </c>
      <c r="AS161">
        <v>1272</v>
      </c>
      <c r="AT161">
        <v>1272</v>
      </c>
      <c r="AU161">
        <v>1272</v>
      </c>
      <c r="AV161">
        <v>1272</v>
      </c>
      <c r="AW161">
        <v>1272</v>
      </c>
      <c r="AX161">
        <v>1272</v>
      </c>
      <c r="AY161">
        <v>1272</v>
      </c>
      <c r="AZ161">
        <v>1272</v>
      </c>
      <c r="BA161">
        <v>1272</v>
      </c>
      <c r="BB161">
        <v>1273</v>
      </c>
      <c r="BC161">
        <v>1273</v>
      </c>
      <c r="BD161">
        <v>1273</v>
      </c>
      <c r="BE161">
        <v>1273</v>
      </c>
      <c r="BF161">
        <v>1273</v>
      </c>
      <c r="BG161">
        <v>1273</v>
      </c>
      <c r="BH161">
        <v>1273</v>
      </c>
      <c r="BI161">
        <v>1273</v>
      </c>
      <c r="BJ161">
        <v>1273</v>
      </c>
      <c r="BK161">
        <v>1273</v>
      </c>
    </row>
    <row r="162" spans="1:63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10</v>
      </c>
      <c r="F162">
        <v>27</v>
      </c>
      <c r="G162">
        <v>43</v>
      </c>
      <c r="H162">
        <v>62</v>
      </c>
      <c r="I162">
        <v>104</v>
      </c>
      <c r="J162">
        <v>128</v>
      </c>
      <c r="K162">
        <v>173</v>
      </c>
      <c r="L162">
        <v>296</v>
      </c>
      <c r="M162">
        <v>428</v>
      </c>
      <c r="N162">
        <v>538</v>
      </c>
      <c r="O162">
        <v>599</v>
      </c>
      <c r="P162">
        <v>661</v>
      </c>
      <c r="Q162">
        <v>724</v>
      </c>
      <c r="R162">
        <v>829</v>
      </c>
      <c r="S162">
        <v>895</v>
      </c>
      <c r="T162">
        <v>954</v>
      </c>
      <c r="U162">
        <v>1006</v>
      </c>
      <c r="V162">
        <v>1048</v>
      </c>
      <c r="W162">
        <v>1075</v>
      </c>
      <c r="X162">
        <v>1092</v>
      </c>
      <c r="Y162">
        <v>1117</v>
      </c>
      <c r="Z162">
        <v>1131</v>
      </c>
      <c r="AA162">
        <v>1145</v>
      </c>
      <c r="AB162">
        <v>1155</v>
      </c>
      <c r="AC162">
        <v>1162</v>
      </c>
      <c r="AD162">
        <v>1167</v>
      </c>
      <c r="AE162">
        <v>1171</v>
      </c>
      <c r="AF162">
        <v>1172</v>
      </c>
      <c r="AG162">
        <v>1174</v>
      </c>
      <c r="AH162">
        <v>1175</v>
      </c>
      <c r="AI162">
        <v>1203</v>
      </c>
      <c r="AJ162">
        <v>1205</v>
      </c>
      <c r="AK162">
        <v>1205</v>
      </c>
      <c r="AL162">
        <v>1205</v>
      </c>
      <c r="AM162">
        <v>1205</v>
      </c>
      <c r="AN162">
        <v>1205</v>
      </c>
      <c r="AO162">
        <v>1205</v>
      </c>
      <c r="AP162">
        <v>1205</v>
      </c>
      <c r="AQ162">
        <v>1205</v>
      </c>
      <c r="AR162">
        <v>1205</v>
      </c>
      <c r="AS162">
        <v>1206</v>
      </c>
      <c r="AT162">
        <v>1213</v>
      </c>
      <c r="AU162">
        <v>1213</v>
      </c>
      <c r="AV162">
        <v>1215</v>
      </c>
      <c r="AW162">
        <v>1215</v>
      </c>
      <c r="AX162">
        <v>1215</v>
      </c>
      <c r="AY162">
        <v>1215</v>
      </c>
      <c r="AZ162">
        <v>1215</v>
      </c>
      <c r="BA162">
        <v>1215</v>
      </c>
      <c r="BB162">
        <v>1215</v>
      </c>
      <c r="BC162">
        <v>1215</v>
      </c>
      <c r="BD162">
        <v>1215</v>
      </c>
      <c r="BE162">
        <v>1227</v>
      </c>
      <c r="BF162">
        <v>1231</v>
      </c>
      <c r="BG162">
        <v>1231</v>
      </c>
      <c r="BH162">
        <v>1232</v>
      </c>
      <c r="BI162">
        <v>1232</v>
      </c>
      <c r="BJ162">
        <v>1233</v>
      </c>
      <c r="BK162">
        <v>1234</v>
      </c>
    </row>
    <row r="163" spans="1:63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4</v>
      </c>
      <c r="F163">
        <v>9</v>
      </c>
      <c r="G163">
        <v>24</v>
      </c>
      <c r="H163">
        <v>43</v>
      </c>
      <c r="I163">
        <v>69</v>
      </c>
      <c r="J163">
        <v>100</v>
      </c>
      <c r="K163">
        <v>143</v>
      </c>
      <c r="L163">
        <v>221</v>
      </c>
      <c r="M163">
        <v>277</v>
      </c>
      <c r="N163">
        <v>332</v>
      </c>
      <c r="O163">
        <v>389</v>
      </c>
      <c r="P163">
        <v>463</v>
      </c>
      <c r="Q163">
        <v>521</v>
      </c>
      <c r="R163">
        <v>593</v>
      </c>
      <c r="S163">
        <v>661</v>
      </c>
      <c r="T163">
        <v>711</v>
      </c>
      <c r="U163">
        <v>772</v>
      </c>
      <c r="V163">
        <v>803</v>
      </c>
      <c r="W163">
        <v>838</v>
      </c>
      <c r="X163">
        <v>879</v>
      </c>
      <c r="Y163">
        <v>912</v>
      </c>
      <c r="Z163">
        <v>946</v>
      </c>
      <c r="AA163">
        <v>968</v>
      </c>
      <c r="AB163">
        <v>988</v>
      </c>
      <c r="AC163">
        <v>1001</v>
      </c>
      <c r="AD163">
        <v>1004</v>
      </c>
      <c r="AE163">
        <v>1006</v>
      </c>
      <c r="AF163">
        <v>1007</v>
      </c>
      <c r="AG163">
        <v>1008</v>
      </c>
      <c r="AH163">
        <v>1010</v>
      </c>
      <c r="AI163">
        <v>1011</v>
      </c>
      <c r="AJ163">
        <v>1013</v>
      </c>
      <c r="AK163">
        <v>1016</v>
      </c>
      <c r="AL163">
        <v>1016</v>
      </c>
      <c r="AM163">
        <v>1016</v>
      </c>
      <c r="AN163">
        <v>1016</v>
      </c>
      <c r="AO163">
        <v>1017</v>
      </c>
      <c r="AP163">
        <v>1017</v>
      </c>
      <c r="AQ163">
        <v>1018</v>
      </c>
      <c r="AR163">
        <v>1018</v>
      </c>
      <c r="AS163">
        <v>1018</v>
      </c>
      <c r="AT163">
        <v>1018</v>
      </c>
      <c r="AU163">
        <v>1018</v>
      </c>
      <c r="AV163">
        <v>1018</v>
      </c>
      <c r="AW163">
        <v>1018</v>
      </c>
      <c r="AX163">
        <v>1018</v>
      </c>
      <c r="AY163">
        <v>1018</v>
      </c>
      <c r="AZ163">
        <v>1018</v>
      </c>
      <c r="BA163">
        <v>1018</v>
      </c>
      <c r="BB163">
        <v>1018</v>
      </c>
      <c r="BC163">
        <v>1018</v>
      </c>
      <c r="BD163">
        <v>1018</v>
      </c>
      <c r="BE163">
        <v>1018</v>
      </c>
      <c r="BF163">
        <v>1018</v>
      </c>
      <c r="BG163">
        <v>1018</v>
      </c>
      <c r="BH163">
        <v>1018</v>
      </c>
      <c r="BI163">
        <v>1018</v>
      </c>
      <c r="BJ163">
        <v>1018</v>
      </c>
      <c r="BK163">
        <v>1018</v>
      </c>
    </row>
    <row r="164" spans="1:63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1</v>
      </c>
      <c r="F164">
        <v>9</v>
      </c>
      <c r="G164">
        <v>15</v>
      </c>
      <c r="H164">
        <v>39</v>
      </c>
      <c r="I164">
        <v>60</v>
      </c>
      <c r="J164">
        <v>70</v>
      </c>
      <c r="K164">
        <v>106</v>
      </c>
      <c r="L164">
        <v>152</v>
      </c>
      <c r="M164">
        <v>200</v>
      </c>
      <c r="N164">
        <v>237</v>
      </c>
      <c r="O164">
        <v>297</v>
      </c>
      <c r="P164">
        <v>340</v>
      </c>
      <c r="Q164">
        <v>408</v>
      </c>
      <c r="R164">
        <v>480</v>
      </c>
      <c r="S164">
        <v>530</v>
      </c>
      <c r="T164">
        <v>591</v>
      </c>
      <c r="U164">
        <v>665</v>
      </c>
      <c r="V164">
        <v>733</v>
      </c>
      <c r="W164">
        <v>779</v>
      </c>
      <c r="X164">
        <v>830</v>
      </c>
      <c r="Y164">
        <v>860</v>
      </c>
      <c r="Z164">
        <v>889</v>
      </c>
      <c r="AA164">
        <v>910</v>
      </c>
      <c r="AB164">
        <v>934</v>
      </c>
      <c r="AC164">
        <v>950</v>
      </c>
      <c r="AD164">
        <v>962</v>
      </c>
      <c r="AE164">
        <v>973</v>
      </c>
      <c r="AF164">
        <v>982</v>
      </c>
      <c r="AG164">
        <v>986</v>
      </c>
      <c r="AH164">
        <v>987</v>
      </c>
      <c r="AI164">
        <v>988</v>
      </c>
      <c r="AJ164">
        <v>989</v>
      </c>
      <c r="AK164">
        <v>989</v>
      </c>
      <c r="AL164">
        <v>989</v>
      </c>
      <c r="AM164">
        <v>989</v>
      </c>
      <c r="AN164">
        <v>989</v>
      </c>
      <c r="AO164">
        <v>989</v>
      </c>
      <c r="AP164">
        <v>990</v>
      </c>
      <c r="AQ164">
        <v>990</v>
      </c>
      <c r="AR164">
        <v>990</v>
      </c>
      <c r="AS164">
        <v>990</v>
      </c>
      <c r="AT164">
        <v>990</v>
      </c>
      <c r="AU164">
        <v>990</v>
      </c>
      <c r="AV164">
        <v>990</v>
      </c>
      <c r="AW164">
        <v>990</v>
      </c>
      <c r="AX164">
        <v>990</v>
      </c>
      <c r="AY164">
        <v>990</v>
      </c>
      <c r="AZ164">
        <v>990</v>
      </c>
      <c r="BA164">
        <v>990</v>
      </c>
      <c r="BB164">
        <v>990</v>
      </c>
      <c r="BC164">
        <v>990</v>
      </c>
      <c r="BD164">
        <v>990</v>
      </c>
      <c r="BE164">
        <v>990</v>
      </c>
      <c r="BF164">
        <v>990</v>
      </c>
      <c r="BG164">
        <v>990</v>
      </c>
      <c r="BH164">
        <v>990</v>
      </c>
      <c r="BI164">
        <v>990</v>
      </c>
      <c r="BJ164">
        <v>990</v>
      </c>
      <c r="BK164">
        <v>990</v>
      </c>
    </row>
    <row r="165" spans="1:63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2</v>
      </c>
      <c r="F165">
        <v>7</v>
      </c>
      <c r="G165">
        <v>18</v>
      </c>
      <c r="H165">
        <v>18</v>
      </c>
      <c r="I165">
        <v>36</v>
      </c>
      <c r="J165">
        <v>72</v>
      </c>
      <c r="K165">
        <v>109</v>
      </c>
      <c r="L165">
        <v>109</v>
      </c>
      <c r="M165">
        <v>162</v>
      </c>
      <c r="N165">
        <v>240</v>
      </c>
      <c r="O165">
        <v>286</v>
      </c>
      <c r="P165">
        <v>333</v>
      </c>
      <c r="Q165">
        <v>391</v>
      </c>
      <c r="R165">
        <v>476</v>
      </c>
      <c r="S165">
        <v>548</v>
      </c>
      <c r="T165">
        <v>600</v>
      </c>
      <c r="U165">
        <v>661</v>
      </c>
      <c r="V165">
        <v>698</v>
      </c>
      <c r="W165">
        <v>740</v>
      </c>
      <c r="X165">
        <v>771</v>
      </c>
      <c r="Y165">
        <v>804</v>
      </c>
      <c r="Z165">
        <v>844</v>
      </c>
      <c r="AA165">
        <v>872</v>
      </c>
      <c r="AB165">
        <v>900</v>
      </c>
      <c r="AC165">
        <v>913</v>
      </c>
      <c r="AD165">
        <v>925</v>
      </c>
      <c r="AE165">
        <v>930</v>
      </c>
      <c r="AF165">
        <v>933</v>
      </c>
      <c r="AG165">
        <v>934</v>
      </c>
      <c r="AH165">
        <v>934</v>
      </c>
      <c r="AI165">
        <v>934</v>
      </c>
      <c r="AJ165">
        <v>934</v>
      </c>
      <c r="AK165">
        <v>934</v>
      </c>
      <c r="AL165">
        <v>934</v>
      </c>
      <c r="AM165">
        <v>934</v>
      </c>
      <c r="AN165">
        <v>934</v>
      </c>
      <c r="AO165">
        <v>934</v>
      </c>
      <c r="AP165">
        <v>935</v>
      </c>
      <c r="AQ165">
        <v>935</v>
      </c>
      <c r="AR165">
        <v>935</v>
      </c>
      <c r="AS165">
        <v>935</v>
      </c>
      <c r="AT165">
        <v>935</v>
      </c>
      <c r="AU165">
        <v>935</v>
      </c>
      <c r="AV165">
        <v>935</v>
      </c>
      <c r="AW165">
        <v>935</v>
      </c>
      <c r="AX165">
        <v>935</v>
      </c>
      <c r="AY165">
        <v>935</v>
      </c>
      <c r="AZ165">
        <v>935</v>
      </c>
      <c r="BA165">
        <v>935</v>
      </c>
      <c r="BB165">
        <v>935</v>
      </c>
      <c r="BC165">
        <v>935</v>
      </c>
      <c r="BD165">
        <v>935</v>
      </c>
      <c r="BE165">
        <v>935</v>
      </c>
      <c r="BF165">
        <v>935</v>
      </c>
      <c r="BG165">
        <v>935</v>
      </c>
      <c r="BH165">
        <v>935</v>
      </c>
      <c r="BI165">
        <v>935</v>
      </c>
      <c r="BJ165">
        <v>935</v>
      </c>
      <c r="BK165">
        <v>935</v>
      </c>
    </row>
    <row r="166" spans="1:63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2</v>
      </c>
      <c r="F166">
        <v>6</v>
      </c>
      <c r="G166">
        <v>15</v>
      </c>
      <c r="H166">
        <v>27</v>
      </c>
      <c r="I166">
        <v>46</v>
      </c>
      <c r="J166">
        <v>75</v>
      </c>
      <c r="K166">
        <v>95</v>
      </c>
      <c r="L166">
        <v>130</v>
      </c>
      <c r="M166">
        <v>158</v>
      </c>
      <c r="N166">
        <v>184</v>
      </c>
      <c r="O166">
        <v>206</v>
      </c>
      <c r="P166">
        <v>230</v>
      </c>
      <c r="Q166">
        <v>259</v>
      </c>
      <c r="R166">
        <v>275</v>
      </c>
      <c r="S166">
        <v>307</v>
      </c>
      <c r="T166">
        <v>347</v>
      </c>
      <c r="U166">
        <v>386</v>
      </c>
      <c r="V166">
        <v>416</v>
      </c>
      <c r="W166">
        <v>444</v>
      </c>
      <c r="X166">
        <v>466</v>
      </c>
      <c r="Y166">
        <v>487</v>
      </c>
      <c r="Z166">
        <v>497</v>
      </c>
      <c r="AA166">
        <v>509</v>
      </c>
      <c r="AB166">
        <v>523</v>
      </c>
      <c r="AC166">
        <v>532</v>
      </c>
      <c r="AD166">
        <v>537</v>
      </c>
      <c r="AE166">
        <v>541</v>
      </c>
      <c r="AF166">
        <v>543</v>
      </c>
      <c r="AG166">
        <v>544</v>
      </c>
      <c r="AH166">
        <v>546</v>
      </c>
      <c r="AI166">
        <v>749</v>
      </c>
      <c r="AJ166">
        <v>750</v>
      </c>
      <c r="AK166">
        <v>754</v>
      </c>
      <c r="AL166">
        <v>755</v>
      </c>
      <c r="AM166">
        <v>756</v>
      </c>
      <c r="AN166">
        <v>756</v>
      </c>
      <c r="AO166">
        <v>756</v>
      </c>
      <c r="AP166">
        <v>756</v>
      </c>
      <c r="AQ166">
        <v>756</v>
      </c>
      <c r="AR166">
        <v>758</v>
      </c>
      <c r="AS166">
        <v>758</v>
      </c>
      <c r="AT166">
        <v>758</v>
      </c>
      <c r="AU166">
        <v>758</v>
      </c>
      <c r="AV166">
        <v>758</v>
      </c>
      <c r="AW166">
        <v>758</v>
      </c>
      <c r="AX166">
        <v>758</v>
      </c>
      <c r="AY166">
        <v>758</v>
      </c>
      <c r="AZ166">
        <v>758</v>
      </c>
      <c r="BA166">
        <v>758</v>
      </c>
      <c r="BB166">
        <v>760</v>
      </c>
      <c r="BC166">
        <v>760</v>
      </c>
      <c r="BD166">
        <v>760</v>
      </c>
      <c r="BE166">
        <v>760</v>
      </c>
      <c r="BF166">
        <v>760</v>
      </c>
      <c r="BG166">
        <v>760</v>
      </c>
      <c r="BH166">
        <v>761</v>
      </c>
      <c r="BI166">
        <v>761</v>
      </c>
      <c r="BJ166">
        <v>761</v>
      </c>
      <c r="BK166">
        <v>762</v>
      </c>
    </row>
    <row r="167" spans="1:63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61</v>
      </c>
      <c r="V167">
        <v>61</v>
      </c>
      <c r="W167">
        <v>64</v>
      </c>
      <c r="X167">
        <v>135</v>
      </c>
      <c r="Y167">
        <v>135</v>
      </c>
      <c r="Z167">
        <v>175</v>
      </c>
      <c r="AA167">
        <v>175</v>
      </c>
      <c r="AB167">
        <v>218</v>
      </c>
      <c r="AC167">
        <v>285</v>
      </c>
      <c r="AD167">
        <v>355</v>
      </c>
      <c r="AE167">
        <v>454</v>
      </c>
      <c r="AF167">
        <v>542</v>
      </c>
      <c r="AG167">
        <v>621</v>
      </c>
      <c r="AH167">
        <v>634</v>
      </c>
      <c r="AI167">
        <v>634</v>
      </c>
      <c r="AJ167">
        <v>634</v>
      </c>
      <c r="AK167">
        <v>691</v>
      </c>
      <c r="AL167">
        <v>691</v>
      </c>
      <c r="AM167">
        <v>691</v>
      </c>
      <c r="AN167">
        <v>705</v>
      </c>
      <c r="AO167">
        <v>705</v>
      </c>
      <c r="AP167">
        <v>705</v>
      </c>
      <c r="AQ167">
        <v>705</v>
      </c>
      <c r="AR167">
        <v>705</v>
      </c>
      <c r="AS167">
        <v>705</v>
      </c>
      <c r="AT167">
        <v>706</v>
      </c>
      <c r="AU167">
        <v>706</v>
      </c>
      <c r="AV167">
        <v>706</v>
      </c>
      <c r="AW167">
        <v>696</v>
      </c>
      <c r="AX167">
        <v>696</v>
      </c>
      <c r="AY167">
        <v>696</v>
      </c>
      <c r="AZ167">
        <v>696</v>
      </c>
      <c r="BA167">
        <v>696</v>
      </c>
      <c r="BB167">
        <v>696</v>
      </c>
      <c r="BC167">
        <v>696</v>
      </c>
      <c r="BD167">
        <v>696</v>
      </c>
      <c r="BE167">
        <v>696</v>
      </c>
      <c r="BF167">
        <v>696</v>
      </c>
      <c r="BG167">
        <v>696</v>
      </c>
      <c r="BH167">
        <v>696</v>
      </c>
      <c r="BI167">
        <v>712</v>
      </c>
      <c r="BJ167">
        <v>712</v>
      </c>
      <c r="BK167">
        <v>712</v>
      </c>
    </row>
    <row r="168" spans="1:63" x14ac:dyDescent="0.3">
      <c r="A168" t="s">
        <v>19</v>
      </c>
      <c r="B168" t="s">
        <v>337</v>
      </c>
      <c r="C168">
        <v>32.9711</v>
      </c>
      <c r="D168">
        <v>119.455</v>
      </c>
      <c r="E168">
        <v>1</v>
      </c>
      <c r="F168">
        <v>5</v>
      </c>
      <c r="G168">
        <v>9</v>
      </c>
      <c r="H168">
        <v>18</v>
      </c>
      <c r="I168">
        <v>33</v>
      </c>
      <c r="J168">
        <v>47</v>
      </c>
      <c r="K168">
        <v>70</v>
      </c>
      <c r="L168">
        <v>99</v>
      </c>
      <c r="M168">
        <v>129</v>
      </c>
      <c r="N168">
        <v>168</v>
      </c>
      <c r="O168">
        <v>202</v>
      </c>
      <c r="P168">
        <v>236</v>
      </c>
      <c r="Q168">
        <v>271</v>
      </c>
      <c r="R168">
        <v>308</v>
      </c>
      <c r="S168">
        <v>341</v>
      </c>
      <c r="T168">
        <v>373</v>
      </c>
      <c r="U168">
        <v>408</v>
      </c>
      <c r="V168">
        <v>439</v>
      </c>
      <c r="W168">
        <v>468</v>
      </c>
      <c r="X168">
        <v>492</v>
      </c>
      <c r="Y168">
        <v>515</v>
      </c>
      <c r="Z168">
        <v>543</v>
      </c>
      <c r="AA168">
        <v>570</v>
      </c>
      <c r="AB168">
        <v>593</v>
      </c>
      <c r="AC168">
        <v>604</v>
      </c>
      <c r="AD168">
        <v>617</v>
      </c>
      <c r="AE168">
        <v>626</v>
      </c>
      <c r="AF168">
        <v>629</v>
      </c>
      <c r="AG168">
        <v>631</v>
      </c>
      <c r="AH168">
        <v>631</v>
      </c>
      <c r="AI168">
        <v>631</v>
      </c>
      <c r="AJ168">
        <v>631</v>
      </c>
      <c r="AK168">
        <v>631</v>
      </c>
      <c r="AL168">
        <v>631</v>
      </c>
      <c r="AM168">
        <v>631</v>
      </c>
      <c r="AN168">
        <v>631</v>
      </c>
      <c r="AO168">
        <v>631</v>
      </c>
      <c r="AP168">
        <v>631</v>
      </c>
      <c r="AQ168">
        <v>631</v>
      </c>
      <c r="AR168">
        <v>631</v>
      </c>
      <c r="AS168">
        <v>631</v>
      </c>
      <c r="AT168">
        <v>631</v>
      </c>
      <c r="AU168">
        <v>631</v>
      </c>
      <c r="AV168">
        <v>631</v>
      </c>
      <c r="AW168">
        <v>631</v>
      </c>
      <c r="AX168">
        <v>631</v>
      </c>
      <c r="AY168">
        <v>631</v>
      </c>
      <c r="AZ168">
        <v>631</v>
      </c>
      <c r="BA168">
        <v>631</v>
      </c>
      <c r="BB168">
        <v>631</v>
      </c>
      <c r="BC168">
        <v>631</v>
      </c>
      <c r="BD168">
        <v>631</v>
      </c>
      <c r="BE168">
        <v>631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</row>
    <row r="169" spans="1:63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6</v>
      </c>
      <c r="F169">
        <v>9</v>
      </c>
      <c r="G169">
        <v>27</v>
      </c>
      <c r="H169">
        <v>57</v>
      </c>
      <c r="I169">
        <v>75</v>
      </c>
      <c r="J169">
        <v>110</v>
      </c>
      <c r="K169">
        <v>132</v>
      </c>
      <c r="L169">
        <v>147</v>
      </c>
      <c r="M169">
        <v>182</v>
      </c>
      <c r="N169">
        <v>211</v>
      </c>
      <c r="O169">
        <v>247</v>
      </c>
      <c r="P169">
        <v>300</v>
      </c>
      <c r="Q169">
        <v>337</v>
      </c>
      <c r="R169">
        <v>366</v>
      </c>
      <c r="S169">
        <v>389</v>
      </c>
      <c r="T169">
        <v>411</v>
      </c>
      <c r="U169">
        <v>426</v>
      </c>
      <c r="V169">
        <v>428</v>
      </c>
      <c r="W169">
        <v>468</v>
      </c>
      <c r="X169">
        <v>486</v>
      </c>
      <c r="Y169">
        <v>505</v>
      </c>
      <c r="Z169">
        <v>518</v>
      </c>
      <c r="AA169">
        <v>529</v>
      </c>
      <c r="AB169">
        <v>537</v>
      </c>
      <c r="AC169">
        <v>544</v>
      </c>
      <c r="AD169">
        <v>551</v>
      </c>
      <c r="AE169">
        <v>553</v>
      </c>
      <c r="AF169">
        <v>555</v>
      </c>
      <c r="AG169">
        <v>560</v>
      </c>
      <c r="AH169">
        <v>567</v>
      </c>
      <c r="AI169">
        <v>572</v>
      </c>
      <c r="AJ169">
        <v>573</v>
      </c>
      <c r="AK169">
        <v>575</v>
      </c>
      <c r="AL169">
        <v>576</v>
      </c>
      <c r="AM169">
        <v>576</v>
      </c>
      <c r="AN169">
        <v>576</v>
      </c>
      <c r="AO169">
        <v>576</v>
      </c>
      <c r="AP169">
        <v>576</v>
      </c>
      <c r="AQ169">
        <v>576</v>
      </c>
      <c r="AR169">
        <v>576</v>
      </c>
      <c r="AS169">
        <v>576</v>
      </c>
      <c r="AT169">
        <v>576</v>
      </c>
      <c r="AU169">
        <v>576</v>
      </c>
      <c r="AV169">
        <v>576</v>
      </c>
      <c r="AW169">
        <v>576</v>
      </c>
      <c r="AX169">
        <v>576</v>
      </c>
      <c r="AY169">
        <v>576</v>
      </c>
      <c r="AZ169">
        <v>576</v>
      </c>
      <c r="BA169">
        <v>576</v>
      </c>
      <c r="BB169">
        <v>576</v>
      </c>
      <c r="BC169">
        <v>576</v>
      </c>
      <c r="BD169">
        <v>576</v>
      </c>
      <c r="BE169">
        <v>576</v>
      </c>
      <c r="BF169">
        <v>576</v>
      </c>
      <c r="BG169">
        <v>576</v>
      </c>
      <c r="BH169">
        <v>576</v>
      </c>
      <c r="BI169">
        <v>576</v>
      </c>
      <c r="BJ169">
        <v>576</v>
      </c>
      <c r="BK169">
        <v>576</v>
      </c>
    </row>
    <row r="170" spans="1:63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5</v>
      </c>
      <c r="F170">
        <v>8</v>
      </c>
      <c r="G170">
        <v>15</v>
      </c>
      <c r="H170">
        <v>28</v>
      </c>
      <c r="I170">
        <v>44</v>
      </c>
      <c r="J170">
        <v>69</v>
      </c>
      <c r="K170">
        <v>90</v>
      </c>
      <c r="L170">
        <v>108</v>
      </c>
      <c r="M170">
        <v>142</v>
      </c>
      <c r="N170">
        <v>177</v>
      </c>
      <c r="O170">
        <v>207</v>
      </c>
      <c r="P170">
        <v>231</v>
      </c>
      <c r="Q170">
        <v>254</v>
      </c>
      <c r="R170">
        <v>282</v>
      </c>
      <c r="S170">
        <v>301</v>
      </c>
      <c r="T170">
        <v>321</v>
      </c>
      <c r="U170">
        <v>344</v>
      </c>
      <c r="V170">
        <v>364</v>
      </c>
      <c r="W170">
        <v>386</v>
      </c>
      <c r="X170">
        <v>405</v>
      </c>
      <c r="Y170">
        <v>417</v>
      </c>
      <c r="Z170">
        <v>436</v>
      </c>
      <c r="AA170">
        <v>451</v>
      </c>
      <c r="AB170">
        <v>463</v>
      </c>
      <c r="AC170">
        <v>470</v>
      </c>
      <c r="AD170">
        <v>481</v>
      </c>
      <c r="AE170">
        <v>495</v>
      </c>
      <c r="AF170">
        <v>508</v>
      </c>
      <c r="AG170">
        <v>514</v>
      </c>
      <c r="AH170">
        <v>520</v>
      </c>
      <c r="AI170">
        <v>525</v>
      </c>
      <c r="AJ170">
        <v>526</v>
      </c>
      <c r="AK170">
        <v>526</v>
      </c>
      <c r="AL170">
        <v>527</v>
      </c>
      <c r="AM170">
        <v>529</v>
      </c>
      <c r="AN170">
        <v>531</v>
      </c>
      <c r="AO170">
        <v>534</v>
      </c>
      <c r="AP170">
        <v>538</v>
      </c>
      <c r="AQ170">
        <v>538</v>
      </c>
      <c r="AR170">
        <v>538</v>
      </c>
      <c r="AS170">
        <v>538</v>
      </c>
      <c r="AT170">
        <v>538</v>
      </c>
      <c r="AU170">
        <v>538</v>
      </c>
      <c r="AV170">
        <v>539</v>
      </c>
      <c r="AW170">
        <v>539</v>
      </c>
      <c r="AX170">
        <v>539</v>
      </c>
      <c r="AY170">
        <v>539</v>
      </c>
      <c r="AZ170">
        <v>539</v>
      </c>
      <c r="BA170">
        <v>539</v>
      </c>
      <c r="BB170">
        <v>539</v>
      </c>
      <c r="BC170">
        <v>539</v>
      </c>
      <c r="BD170">
        <v>539</v>
      </c>
      <c r="BE170">
        <v>539</v>
      </c>
      <c r="BF170">
        <v>539</v>
      </c>
      <c r="BG170">
        <v>539</v>
      </c>
      <c r="BH170">
        <v>540</v>
      </c>
      <c r="BI170">
        <v>540</v>
      </c>
      <c r="BJ170">
        <v>540</v>
      </c>
      <c r="BK170">
        <v>541</v>
      </c>
    </row>
    <row r="171" spans="1:63" x14ac:dyDescent="0.3">
      <c r="A171" t="s">
        <v>14</v>
      </c>
      <c r="B171" t="s">
        <v>337</v>
      </c>
      <c r="C171">
        <v>47.862000000000002</v>
      </c>
      <c r="D171">
        <v>127.7615</v>
      </c>
      <c r="E171">
        <v>0</v>
      </c>
      <c r="F171">
        <v>2</v>
      </c>
      <c r="G171">
        <v>4</v>
      </c>
      <c r="H171">
        <v>9</v>
      </c>
      <c r="I171">
        <v>15</v>
      </c>
      <c r="J171">
        <v>21</v>
      </c>
      <c r="K171">
        <v>33</v>
      </c>
      <c r="L171">
        <v>38</v>
      </c>
      <c r="M171">
        <v>44</v>
      </c>
      <c r="N171">
        <v>59</v>
      </c>
      <c r="O171">
        <v>80</v>
      </c>
      <c r="P171">
        <v>95</v>
      </c>
      <c r="Q171">
        <v>121</v>
      </c>
      <c r="R171">
        <v>155</v>
      </c>
      <c r="S171">
        <v>190</v>
      </c>
      <c r="T171">
        <v>227</v>
      </c>
      <c r="U171">
        <v>277</v>
      </c>
      <c r="V171">
        <v>295</v>
      </c>
      <c r="W171">
        <v>307</v>
      </c>
      <c r="X171">
        <v>331</v>
      </c>
      <c r="Y171">
        <v>360</v>
      </c>
      <c r="Z171">
        <v>378</v>
      </c>
      <c r="AA171">
        <v>395</v>
      </c>
      <c r="AB171">
        <v>419</v>
      </c>
      <c r="AC171">
        <v>425</v>
      </c>
      <c r="AD171">
        <v>445</v>
      </c>
      <c r="AE171">
        <v>457</v>
      </c>
      <c r="AF171">
        <v>464</v>
      </c>
      <c r="AG171">
        <v>470</v>
      </c>
      <c r="AH171">
        <v>476</v>
      </c>
      <c r="AI171">
        <v>479</v>
      </c>
      <c r="AJ171">
        <v>479</v>
      </c>
      <c r="AK171">
        <v>480</v>
      </c>
      <c r="AL171">
        <v>480</v>
      </c>
      <c r="AM171">
        <v>480</v>
      </c>
      <c r="AN171">
        <v>480</v>
      </c>
      <c r="AO171">
        <v>480</v>
      </c>
      <c r="AP171">
        <v>480</v>
      </c>
      <c r="AQ171">
        <v>480</v>
      </c>
      <c r="AR171">
        <v>480</v>
      </c>
      <c r="AS171">
        <v>480</v>
      </c>
      <c r="AT171">
        <v>480</v>
      </c>
      <c r="AU171">
        <v>480</v>
      </c>
      <c r="AV171">
        <v>481</v>
      </c>
      <c r="AW171">
        <v>481</v>
      </c>
      <c r="AX171">
        <v>481</v>
      </c>
      <c r="AY171">
        <v>481</v>
      </c>
      <c r="AZ171">
        <v>481</v>
      </c>
      <c r="BA171">
        <v>481</v>
      </c>
      <c r="BB171">
        <v>482</v>
      </c>
      <c r="BC171">
        <v>482</v>
      </c>
      <c r="BD171">
        <v>482</v>
      </c>
      <c r="BE171">
        <v>482</v>
      </c>
      <c r="BF171">
        <v>482</v>
      </c>
      <c r="BG171">
        <v>482</v>
      </c>
      <c r="BH171">
        <v>482</v>
      </c>
      <c r="BI171">
        <v>482</v>
      </c>
      <c r="BJ171">
        <v>483</v>
      </c>
      <c r="BK171">
        <v>484</v>
      </c>
    </row>
    <row r="172" spans="1:63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1</v>
      </c>
      <c r="AP172">
        <v>1</v>
      </c>
      <c r="AQ172">
        <v>3</v>
      </c>
      <c r="AR172">
        <v>4</v>
      </c>
      <c r="AS172">
        <v>4</v>
      </c>
      <c r="AT172">
        <v>6</v>
      </c>
      <c r="AU172">
        <v>10</v>
      </c>
      <c r="AV172">
        <v>10</v>
      </c>
      <c r="AW172">
        <v>23</v>
      </c>
      <c r="AX172">
        <v>23</v>
      </c>
      <c r="AY172">
        <v>35</v>
      </c>
      <c r="AZ172">
        <v>90</v>
      </c>
      <c r="BA172">
        <v>262</v>
      </c>
      <c r="BB172">
        <v>442</v>
      </c>
      <c r="BC172">
        <v>615</v>
      </c>
      <c r="BD172">
        <v>801</v>
      </c>
      <c r="BE172">
        <v>827</v>
      </c>
      <c r="BF172">
        <v>864</v>
      </c>
      <c r="BG172">
        <v>914</v>
      </c>
      <c r="BH172">
        <v>977</v>
      </c>
      <c r="BI172">
        <v>1057</v>
      </c>
      <c r="BJ172">
        <v>1151</v>
      </c>
      <c r="BK172">
        <v>1255</v>
      </c>
    </row>
    <row r="173" spans="1:63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14</v>
      </c>
      <c r="F173">
        <v>22</v>
      </c>
      <c r="G173">
        <v>36</v>
      </c>
      <c r="H173">
        <v>41</v>
      </c>
      <c r="I173">
        <v>68</v>
      </c>
      <c r="J173">
        <v>80</v>
      </c>
      <c r="K173">
        <v>91</v>
      </c>
      <c r="L173">
        <v>111</v>
      </c>
      <c r="M173">
        <v>114</v>
      </c>
      <c r="N173">
        <v>139</v>
      </c>
      <c r="O173">
        <v>168</v>
      </c>
      <c r="P173">
        <v>191</v>
      </c>
      <c r="Q173">
        <v>212</v>
      </c>
      <c r="R173">
        <v>228</v>
      </c>
      <c r="S173">
        <v>253</v>
      </c>
      <c r="T173">
        <v>274</v>
      </c>
      <c r="U173">
        <v>297</v>
      </c>
      <c r="V173">
        <v>315</v>
      </c>
      <c r="W173">
        <v>326</v>
      </c>
      <c r="X173">
        <v>337</v>
      </c>
      <c r="Y173">
        <v>342</v>
      </c>
      <c r="Z173">
        <v>352</v>
      </c>
      <c r="AA173">
        <v>366</v>
      </c>
      <c r="AB173">
        <v>372</v>
      </c>
      <c r="AC173">
        <v>375</v>
      </c>
      <c r="AD173">
        <v>380</v>
      </c>
      <c r="AE173">
        <v>381</v>
      </c>
      <c r="AF173">
        <v>387</v>
      </c>
      <c r="AG173">
        <v>393</v>
      </c>
      <c r="AH173">
        <v>395</v>
      </c>
      <c r="AI173">
        <v>396</v>
      </c>
      <c r="AJ173">
        <v>399</v>
      </c>
      <c r="AK173">
        <v>399</v>
      </c>
      <c r="AL173">
        <v>399</v>
      </c>
      <c r="AM173">
        <v>400</v>
      </c>
      <c r="AN173">
        <v>400</v>
      </c>
      <c r="AO173">
        <v>410</v>
      </c>
      <c r="AP173">
        <v>410</v>
      </c>
      <c r="AQ173">
        <v>411</v>
      </c>
      <c r="AR173">
        <v>413</v>
      </c>
      <c r="AS173">
        <v>414</v>
      </c>
      <c r="AT173">
        <v>414</v>
      </c>
      <c r="AU173">
        <v>418</v>
      </c>
      <c r="AV173">
        <v>418</v>
      </c>
      <c r="AW173">
        <v>422</v>
      </c>
      <c r="AX173">
        <v>426</v>
      </c>
      <c r="AY173">
        <v>428</v>
      </c>
      <c r="AZ173">
        <v>428</v>
      </c>
      <c r="BA173">
        <v>429</v>
      </c>
      <c r="BB173">
        <v>435</v>
      </c>
      <c r="BC173">
        <v>435</v>
      </c>
      <c r="BD173">
        <v>436</v>
      </c>
      <c r="BE173">
        <v>437</v>
      </c>
      <c r="BF173">
        <v>442</v>
      </c>
      <c r="BG173">
        <v>452</v>
      </c>
      <c r="BH173">
        <v>456</v>
      </c>
      <c r="BI173">
        <v>469</v>
      </c>
      <c r="BJ173">
        <v>480</v>
      </c>
      <c r="BK173">
        <v>491</v>
      </c>
    </row>
    <row r="174" spans="1:63" x14ac:dyDescent="0.3">
      <c r="A174" t="s">
        <v>27</v>
      </c>
      <c r="B174" t="s">
        <v>337</v>
      </c>
      <c r="C174">
        <v>31.202000000000002</v>
      </c>
      <c r="D174">
        <v>121.4491</v>
      </c>
      <c r="E174">
        <v>9</v>
      </c>
      <c r="F174">
        <v>16</v>
      </c>
      <c r="G174">
        <v>20</v>
      </c>
      <c r="H174">
        <v>33</v>
      </c>
      <c r="I174">
        <v>40</v>
      </c>
      <c r="J174">
        <v>53</v>
      </c>
      <c r="K174">
        <v>66</v>
      </c>
      <c r="L174">
        <v>96</v>
      </c>
      <c r="M174">
        <v>112</v>
      </c>
      <c r="N174">
        <v>135</v>
      </c>
      <c r="O174">
        <v>169</v>
      </c>
      <c r="P174">
        <v>182</v>
      </c>
      <c r="Q174">
        <v>203</v>
      </c>
      <c r="R174">
        <v>219</v>
      </c>
      <c r="S174">
        <v>243</v>
      </c>
      <c r="T174">
        <v>257</v>
      </c>
      <c r="U174">
        <v>277</v>
      </c>
      <c r="V174">
        <v>286</v>
      </c>
      <c r="W174">
        <v>293</v>
      </c>
      <c r="X174">
        <v>299</v>
      </c>
      <c r="Y174">
        <v>303</v>
      </c>
      <c r="Z174">
        <v>311</v>
      </c>
      <c r="AA174">
        <v>315</v>
      </c>
      <c r="AB174">
        <v>318</v>
      </c>
      <c r="AC174">
        <v>326</v>
      </c>
      <c r="AD174">
        <v>328</v>
      </c>
      <c r="AE174">
        <v>333</v>
      </c>
      <c r="AF174">
        <v>333</v>
      </c>
      <c r="AG174">
        <v>333</v>
      </c>
      <c r="AH174">
        <v>334</v>
      </c>
      <c r="AI174">
        <v>334</v>
      </c>
      <c r="AJ174">
        <v>335</v>
      </c>
      <c r="AK174">
        <v>335</v>
      </c>
      <c r="AL174">
        <v>335</v>
      </c>
      <c r="AM174">
        <v>336</v>
      </c>
      <c r="AN174">
        <v>337</v>
      </c>
      <c r="AO174">
        <v>337</v>
      </c>
      <c r="AP174">
        <v>337</v>
      </c>
      <c r="AQ174">
        <v>337</v>
      </c>
      <c r="AR174">
        <v>337</v>
      </c>
      <c r="AS174">
        <v>337</v>
      </c>
      <c r="AT174">
        <v>338</v>
      </c>
      <c r="AU174">
        <v>338</v>
      </c>
      <c r="AV174">
        <v>339</v>
      </c>
      <c r="AW174">
        <v>342</v>
      </c>
      <c r="AX174">
        <v>342</v>
      </c>
      <c r="AY174">
        <v>342</v>
      </c>
      <c r="AZ174">
        <v>342</v>
      </c>
      <c r="BA174">
        <v>344</v>
      </c>
      <c r="BB174">
        <v>344</v>
      </c>
      <c r="BC174">
        <v>344</v>
      </c>
      <c r="BD174">
        <v>346</v>
      </c>
      <c r="BE174">
        <v>353</v>
      </c>
      <c r="BF174">
        <v>353</v>
      </c>
      <c r="BG174">
        <v>355</v>
      </c>
      <c r="BH174">
        <v>358</v>
      </c>
      <c r="BI174">
        <v>361</v>
      </c>
      <c r="BJ174">
        <v>363</v>
      </c>
      <c r="BK174">
        <v>371</v>
      </c>
    </row>
    <row r="175" spans="1:63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1</v>
      </c>
      <c r="F175">
        <v>1</v>
      </c>
      <c r="G175">
        <v>2</v>
      </c>
      <c r="H175">
        <v>8</v>
      </c>
      <c r="I175">
        <v>13</v>
      </c>
      <c r="J175">
        <v>18</v>
      </c>
      <c r="K175">
        <v>33</v>
      </c>
      <c r="L175">
        <v>48</v>
      </c>
      <c r="M175">
        <v>65</v>
      </c>
      <c r="N175">
        <v>82</v>
      </c>
      <c r="O175">
        <v>96</v>
      </c>
      <c r="P175">
        <v>104</v>
      </c>
      <c r="Q175">
        <v>113</v>
      </c>
      <c r="R175">
        <v>126</v>
      </c>
      <c r="S175">
        <v>135</v>
      </c>
      <c r="T175">
        <v>157</v>
      </c>
      <c r="U175">
        <v>172</v>
      </c>
      <c r="V175">
        <v>195</v>
      </c>
      <c r="W175">
        <v>206</v>
      </c>
      <c r="X175">
        <v>218</v>
      </c>
      <c r="Y175">
        <v>239</v>
      </c>
      <c r="Z175">
        <v>251</v>
      </c>
      <c r="AA175">
        <v>265</v>
      </c>
      <c r="AB175">
        <v>283</v>
      </c>
      <c r="AC175">
        <v>291</v>
      </c>
      <c r="AD175">
        <v>300</v>
      </c>
      <c r="AE175">
        <v>301</v>
      </c>
      <c r="AF175">
        <v>306</v>
      </c>
      <c r="AG175">
        <v>306</v>
      </c>
      <c r="AH175">
        <v>307</v>
      </c>
      <c r="AI175">
        <v>308</v>
      </c>
      <c r="AJ175">
        <v>309</v>
      </c>
      <c r="AK175">
        <v>311</v>
      </c>
      <c r="AL175">
        <v>311</v>
      </c>
      <c r="AM175">
        <v>311</v>
      </c>
      <c r="AN175">
        <v>312</v>
      </c>
      <c r="AO175">
        <v>317</v>
      </c>
      <c r="AP175">
        <v>318</v>
      </c>
      <c r="AQ175">
        <v>318</v>
      </c>
      <c r="AR175">
        <v>318</v>
      </c>
      <c r="AS175">
        <v>318</v>
      </c>
      <c r="AT175">
        <v>318</v>
      </c>
      <c r="AU175">
        <v>318</v>
      </c>
      <c r="AV175">
        <v>318</v>
      </c>
      <c r="AW175">
        <v>318</v>
      </c>
      <c r="AX175">
        <v>318</v>
      </c>
      <c r="AY175">
        <v>318</v>
      </c>
      <c r="AZ175">
        <v>318</v>
      </c>
      <c r="BA175">
        <v>318</v>
      </c>
      <c r="BB175">
        <v>318</v>
      </c>
      <c r="BC175">
        <v>318</v>
      </c>
      <c r="BD175">
        <v>318</v>
      </c>
      <c r="BE175">
        <v>318</v>
      </c>
      <c r="BF175">
        <v>318</v>
      </c>
      <c r="BG175">
        <v>318</v>
      </c>
      <c r="BH175">
        <v>318</v>
      </c>
      <c r="BI175">
        <v>318</v>
      </c>
      <c r="BJ175">
        <v>318</v>
      </c>
      <c r="BK175">
        <v>318</v>
      </c>
    </row>
    <row r="176" spans="1:63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1</v>
      </c>
      <c r="F176">
        <v>5</v>
      </c>
      <c r="G176">
        <v>10</v>
      </c>
      <c r="H176">
        <v>18</v>
      </c>
      <c r="I176">
        <v>35</v>
      </c>
      <c r="J176">
        <v>59</v>
      </c>
      <c r="K176">
        <v>80</v>
      </c>
      <c r="L176">
        <v>84</v>
      </c>
      <c r="M176">
        <v>101</v>
      </c>
      <c r="N176">
        <v>120</v>
      </c>
      <c r="O176">
        <v>144</v>
      </c>
      <c r="P176">
        <v>159</v>
      </c>
      <c r="Q176">
        <v>179</v>
      </c>
      <c r="R176">
        <v>194</v>
      </c>
      <c r="S176">
        <v>205</v>
      </c>
      <c r="T176">
        <v>215</v>
      </c>
      <c r="U176">
        <v>224</v>
      </c>
      <c r="V176">
        <v>239</v>
      </c>
      <c r="W176">
        <v>250</v>
      </c>
      <c r="X176">
        <v>261</v>
      </c>
      <c r="Y176">
        <v>267</v>
      </c>
      <c r="Z176">
        <v>272</v>
      </c>
      <c r="AA176">
        <v>279</v>
      </c>
      <c r="AB176">
        <v>281</v>
      </c>
      <c r="AC176">
        <v>285</v>
      </c>
      <c r="AD176">
        <v>287</v>
      </c>
      <c r="AE176">
        <v>290</v>
      </c>
      <c r="AF176">
        <v>292</v>
      </c>
      <c r="AG176">
        <v>293</v>
      </c>
      <c r="AH176">
        <v>293</v>
      </c>
      <c r="AI176">
        <v>293</v>
      </c>
      <c r="AJ176">
        <v>293</v>
      </c>
      <c r="AK176">
        <v>293</v>
      </c>
      <c r="AL176">
        <v>293</v>
      </c>
      <c r="AM176">
        <v>294</v>
      </c>
      <c r="AN176">
        <v>294</v>
      </c>
      <c r="AO176">
        <v>296</v>
      </c>
      <c r="AP176">
        <v>296</v>
      </c>
      <c r="AQ176">
        <v>296</v>
      </c>
      <c r="AR176">
        <v>296</v>
      </c>
      <c r="AS176">
        <v>296</v>
      </c>
      <c r="AT176">
        <v>296</v>
      </c>
      <c r="AU176">
        <v>296</v>
      </c>
      <c r="AV176">
        <v>296</v>
      </c>
      <c r="AW176">
        <v>296</v>
      </c>
      <c r="AX176">
        <v>296</v>
      </c>
      <c r="AY176">
        <v>296</v>
      </c>
      <c r="AZ176">
        <v>296</v>
      </c>
      <c r="BA176">
        <v>296</v>
      </c>
      <c r="BB176">
        <v>296</v>
      </c>
      <c r="BC176">
        <v>296</v>
      </c>
      <c r="BD176">
        <v>296</v>
      </c>
      <c r="BE176">
        <v>296</v>
      </c>
      <c r="BF176">
        <v>296</v>
      </c>
      <c r="BG176">
        <v>296</v>
      </c>
      <c r="BH176">
        <v>296</v>
      </c>
      <c r="BI176">
        <v>296</v>
      </c>
      <c r="BJ176">
        <v>296</v>
      </c>
      <c r="BK176">
        <v>299</v>
      </c>
    </row>
    <row r="177" spans="1:63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2</v>
      </c>
      <c r="F177">
        <v>5</v>
      </c>
      <c r="G177">
        <v>23</v>
      </c>
      <c r="H177">
        <v>23</v>
      </c>
      <c r="I177">
        <v>36</v>
      </c>
      <c r="J177">
        <v>46</v>
      </c>
      <c r="K177">
        <v>51</v>
      </c>
      <c r="L177">
        <v>58</v>
      </c>
      <c r="M177">
        <v>78</v>
      </c>
      <c r="N177">
        <v>87</v>
      </c>
      <c r="O177">
        <v>100</v>
      </c>
      <c r="P177">
        <v>111</v>
      </c>
      <c r="Q177">
        <v>127</v>
      </c>
      <c r="R177">
        <v>139</v>
      </c>
      <c r="S177">
        <v>150</v>
      </c>
      <c r="T177">
        <v>168</v>
      </c>
      <c r="U177">
        <v>172</v>
      </c>
      <c r="V177">
        <v>183</v>
      </c>
      <c r="W177">
        <v>195</v>
      </c>
      <c r="X177">
        <v>210</v>
      </c>
      <c r="Y177">
        <v>215</v>
      </c>
      <c r="Z177">
        <v>222</v>
      </c>
      <c r="AA177">
        <v>222</v>
      </c>
      <c r="AB177">
        <v>226</v>
      </c>
      <c r="AC177">
        <v>235</v>
      </c>
      <c r="AD177">
        <v>237</v>
      </c>
      <c r="AE177">
        <v>238</v>
      </c>
      <c r="AF177">
        <v>242</v>
      </c>
      <c r="AG177">
        <v>244</v>
      </c>
      <c r="AH177">
        <v>245</v>
      </c>
      <c r="AI177">
        <v>246</v>
      </c>
      <c r="AJ177">
        <v>249</v>
      </c>
      <c r="AK177">
        <v>249</v>
      </c>
      <c r="AL177">
        <v>251</v>
      </c>
      <c r="AM177">
        <v>252</v>
      </c>
      <c r="AN177">
        <v>252</v>
      </c>
      <c r="AO177">
        <v>252</v>
      </c>
      <c r="AP177">
        <v>252</v>
      </c>
      <c r="AQ177">
        <v>252</v>
      </c>
      <c r="AR177">
        <v>252</v>
      </c>
      <c r="AS177">
        <v>252</v>
      </c>
      <c r="AT177">
        <v>252</v>
      </c>
      <c r="AU177">
        <v>252</v>
      </c>
      <c r="AV177">
        <v>252</v>
      </c>
      <c r="AW177">
        <v>252</v>
      </c>
      <c r="AX177">
        <v>252</v>
      </c>
      <c r="AY177">
        <v>252</v>
      </c>
      <c r="AZ177">
        <v>252</v>
      </c>
      <c r="BA177">
        <v>252</v>
      </c>
      <c r="BB177">
        <v>252</v>
      </c>
      <c r="BC177">
        <v>252</v>
      </c>
      <c r="BD177">
        <v>252</v>
      </c>
      <c r="BE177">
        <v>252</v>
      </c>
      <c r="BF177">
        <v>252</v>
      </c>
      <c r="BG177">
        <v>252</v>
      </c>
      <c r="BH177">
        <v>253</v>
      </c>
      <c r="BI177">
        <v>253</v>
      </c>
      <c r="BJ177">
        <v>253</v>
      </c>
      <c r="BK177">
        <v>254</v>
      </c>
    </row>
    <row r="178" spans="1:63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3</v>
      </c>
      <c r="G178">
        <v>5</v>
      </c>
      <c r="H178">
        <v>15</v>
      </c>
      <c r="I178">
        <v>22</v>
      </c>
      <c r="J178">
        <v>35</v>
      </c>
      <c r="K178">
        <v>46</v>
      </c>
      <c r="L178">
        <v>56</v>
      </c>
      <c r="M178">
        <v>63</v>
      </c>
      <c r="N178">
        <v>87</v>
      </c>
      <c r="O178">
        <v>101</v>
      </c>
      <c r="P178">
        <v>116</v>
      </c>
      <c r="Q178">
        <v>128</v>
      </c>
      <c r="R178">
        <v>142</v>
      </c>
      <c r="S178">
        <v>165</v>
      </c>
      <c r="T178">
        <v>173</v>
      </c>
      <c r="U178">
        <v>184</v>
      </c>
      <c r="V178">
        <v>195</v>
      </c>
      <c r="W178">
        <v>208</v>
      </c>
      <c r="X178">
        <v>213</v>
      </c>
      <c r="Y178">
        <v>219</v>
      </c>
      <c r="Z178">
        <v>225</v>
      </c>
      <c r="AA178">
        <v>229</v>
      </c>
      <c r="AB178">
        <v>230</v>
      </c>
      <c r="AC178">
        <v>232</v>
      </c>
      <c r="AD178">
        <v>236</v>
      </c>
      <c r="AE178">
        <v>240</v>
      </c>
      <c r="AF178">
        <v>240</v>
      </c>
      <c r="AG178">
        <v>242</v>
      </c>
      <c r="AH178">
        <v>245</v>
      </c>
      <c r="AI178">
        <v>245</v>
      </c>
      <c r="AJ178">
        <v>245</v>
      </c>
      <c r="AK178">
        <v>245</v>
      </c>
      <c r="AL178">
        <v>245</v>
      </c>
      <c r="AM178">
        <v>245</v>
      </c>
      <c r="AN178">
        <v>245</v>
      </c>
      <c r="AO178">
        <v>245</v>
      </c>
      <c r="AP178">
        <v>245</v>
      </c>
      <c r="AQ178">
        <v>245</v>
      </c>
      <c r="AR178">
        <v>245</v>
      </c>
      <c r="AS178">
        <v>245</v>
      </c>
      <c r="AT178">
        <v>245</v>
      </c>
      <c r="AU178">
        <v>245</v>
      </c>
      <c r="AV178">
        <v>245</v>
      </c>
      <c r="AW178">
        <v>245</v>
      </c>
      <c r="AX178">
        <v>245</v>
      </c>
      <c r="AY178">
        <v>245</v>
      </c>
      <c r="AZ178">
        <v>245</v>
      </c>
      <c r="BA178">
        <v>245</v>
      </c>
      <c r="BB178">
        <v>245</v>
      </c>
      <c r="BC178">
        <v>245</v>
      </c>
      <c r="BD178">
        <v>245</v>
      </c>
      <c r="BE178">
        <v>245</v>
      </c>
      <c r="BF178">
        <v>245</v>
      </c>
      <c r="BG178">
        <v>245</v>
      </c>
      <c r="BH178">
        <v>246</v>
      </c>
      <c r="BI178">
        <v>246</v>
      </c>
      <c r="BJ178">
        <v>246</v>
      </c>
      <c r="BK178">
        <v>247</v>
      </c>
    </row>
    <row r="179" spans="1:63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1</v>
      </c>
      <c r="F179">
        <v>2</v>
      </c>
      <c r="G179">
        <v>5</v>
      </c>
      <c r="H179">
        <v>11</v>
      </c>
      <c r="I179">
        <v>16</v>
      </c>
      <c r="J179">
        <v>26</v>
      </c>
      <c r="K179">
        <v>44</v>
      </c>
      <c r="L179">
        <v>55</v>
      </c>
      <c r="M179">
        <v>70</v>
      </c>
      <c r="N179">
        <v>83</v>
      </c>
      <c r="O179">
        <v>93</v>
      </c>
      <c r="P179">
        <v>105</v>
      </c>
      <c r="Q179">
        <v>117</v>
      </c>
      <c r="R179">
        <v>122</v>
      </c>
      <c r="S179">
        <v>128</v>
      </c>
      <c r="T179">
        <v>133</v>
      </c>
      <c r="U179">
        <v>138</v>
      </c>
      <c r="V179">
        <v>138</v>
      </c>
      <c r="W179">
        <v>141</v>
      </c>
      <c r="X179">
        <v>149</v>
      </c>
      <c r="Y179">
        <v>153</v>
      </c>
      <c r="Z179">
        <v>154</v>
      </c>
      <c r="AA179">
        <v>156</v>
      </c>
      <c r="AB179">
        <v>162</v>
      </c>
      <c r="AC179">
        <v>168</v>
      </c>
      <c r="AD179">
        <v>171</v>
      </c>
      <c r="AE179">
        <v>171</v>
      </c>
      <c r="AF179">
        <v>172</v>
      </c>
      <c r="AG179">
        <v>172</v>
      </c>
      <c r="AH179">
        <v>174</v>
      </c>
      <c r="AI179">
        <v>174</v>
      </c>
      <c r="AJ179">
        <v>174</v>
      </c>
      <c r="AK179">
        <v>174</v>
      </c>
      <c r="AL179">
        <v>174</v>
      </c>
      <c r="AM179">
        <v>174</v>
      </c>
      <c r="AN179">
        <v>174</v>
      </c>
      <c r="AO179">
        <v>174</v>
      </c>
      <c r="AP179">
        <v>174</v>
      </c>
      <c r="AQ179">
        <v>174</v>
      </c>
      <c r="AR179">
        <v>174</v>
      </c>
      <c r="AS179">
        <v>174</v>
      </c>
      <c r="AT179">
        <v>174</v>
      </c>
      <c r="AU179">
        <v>174</v>
      </c>
      <c r="AV179">
        <v>174</v>
      </c>
      <c r="AW179">
        <v>174</v>
      </c>
      <c r="AX179">
        <v>174</v>
      </c>
      <c r="AY179">
        <v>174</v>
      </c>
      <c r="AZ179">
        <v>174</v>
      </c>
      <c r="BA179">
        <v>174</v>
      </c>
      <c r="BB179">
        <v>174</v>
      </c>
      <c r="BC179">
        <v>174</v>
      </c>
      <c r="BD179">
        <v>174</v>
      </c>
      <c r="BE179">
        <v>174</v>
      </c>
      <c r="BF179">
        <v>174</v>
      </c>
      <c r="BG179">
        <v>176</v>
      </c>
      <c r="BH179">
        <v>176</v>
      </c>
      <c r="BI179">
        <v>176</v>
      </c>
      <c r="BJ179">
        <v>176</v>
      </c>
      <c r="BK179">
        <v>176</v>
      </c>
    </row>
    <row r="180" spans="1:63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4</v>
      </c>
      <c r="F180">
        <v>5</v>
      </c>
      <c r="G180">
        <v>8</v>
      </c>
      <c r="H180">
        <v>19</v>
      </c>
      <c r="I180">
        <v>22</v>
      </c>
      <c r="J180">
        <v>33</v>
      </c>
      <c r="K180">
        <v>40</v>
      </c>
      <c r="L180">
        <v>43</v>
      </c>
      <c r="M180">
        <v>46</v>
      </c>
      <c r="N180">
        <v>52</v>
      </c>
      <c r="O180">
        <v>62</v>
      </c>
      <c r="P180">
        <v>64</v>
      </c>
      <c r="Q180">
        <v>72</v>
      </c>
      <c r="R180">
        <v>80</v>
      </c>
      <c r="S180">
        <v>99</v>
      </c>
      <c r="T180">
        <v>106</v>
      </c>
      <c r="U180">
        <v>117</v>
      </c>
      <c r="V180">
        <v>124</v>
      </c>
      <c r="W180">
        <v>131</v>
      </c>
      <c r="X180">
        <v>138</v>
      </c>
      <c r="Y180">
        <v>144</v>
      </c>
      <c r="Z180">
        <v>157</v>
      </c>
      <c r="AA180">
        <v>157</v>
      </c>
      <c r="AB180">
        <v>159</v>
      </c>
      <c r="AC180">
        <v>162</v>
      </c>
      <c r="AD180">
        <v>162</v>
      </c>
      <c r="AE180">
        <v>163</v>
      </c>
      <c r="AF180">
        <v>163</v>
      </c>
      <c r="AG180">
        <v>168</v>
      </c>
      <c r="AH180">
        <v>168</v>
      </c>
      <c r="AI180">
        <v>168</v>
      </c>
      <c r="AJ180">
        <v>168</v>
      </c>
      <c r="AK180">
        <v>168</v>
      </c>
      <c r="AL180">
        <v>168</v>
      </c>
      <c r="AM180">
        <v>168</v>
      </c>
      <c r="AN180">
        <v>168</v>
      </c>
      <c r="AO180">
        <v>168</v>
      </c>
      <c r="AP180">
        <v>168</v>
      </c>
      <c r="AQ180">
        <v>168</v>
      </c>
      <c r="AR180">
        <v>168</v>
      </c>
      <c r="AS180">
        <v>168</v>
      </c>
      <c r="AT180">
        <v>168</v>
      </c>
      <c r="AU180">
        <v>168</v>
      </c>
      <c r="AV180">
        <v>168</v>
      </c>
      <c r="AW180">
        <v>168</v>
      </c>
      <c r="AX180">
        <v>168</v>
      </c>
      <c r="AY180">
        <v>168</v>
      </c>
      <c r="AZ180">
        <v>168</v>
      </c>
      <c r="BA180">
        <v>168</v>
      </c>
      <c r="BB180">
        <v>168</v>
      </c>
      <c r="BC180">
        <v>168</v>
      </c>
      <c r="BD180">
        <v>168</v>
      </c>
      <c r="BE180">
        <v>168</v>
      </c>
      <c r="BF180">
        <v>168</v>
      </c>
      <c r="BG180">
        <v>168</v>
      </c>
      <c r="BH180">
        <v>168</v>
      </c>
      <c r="BI180">
        <v>168</v>
      </c>
      <c r="BJ180">
        <v>168</v>
      </c>
      <c r="BK180">
        <v>168</v>
      </c>
    </row>
    <row r="181" spans="1:63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1</v>
      </c>
      <c r="F181">
        <v>3</v>
      </c>
      <c r="G181">
        <v>3</v>
      </c>
      <c r="H181">
        <v>4</v>
      </c>
      <c r="I181">
        <v>5</v>
      </c>
      <c r="J181">
        <v>7</v>
      </c>
      <c r="K181">
        <v>9</v>
      </c>
      <c r="L181">
        <v>9</v>
      </c>
      <c r="M181">
        <v>12</v>
      </c>
      <c r="N181">
        <v>29</v>
      </c>
      <c r="O181">
        <v>29</v>
      </c>
      <c r="P181">
        <v>38</v>
      </c>
      <c r="Q181">
        <v>46</v>
      </c>
      <c r="R181">
        <v>58</v>
      </c>
      <c r="S181">
        <v>64</v>
      </c>
      <c r="T181">
        <v>71</v>
      </c>
      <c r="U181">
        <v>81</v>
      </c>
      <c r="V181">
        <v>89</v>
      </c>
      <c r="W181">
        <v>99</v>
      </c>
      <c r="X181">
        <v>109</v>
      </c>
      <c r="Y181">
        <v>127</v>
      </c>
      <c r="Z181">
        <v>133</v>
      </c>
      <c r="AA181">
        <v>135</v>
      </c>
      <c r="AB181">
        <v>140</v>
      </c>
      <c r="AC181">
        <v>143</v>
      </c>
      <c r="AD181">
        <v>144</v>
      </c>
      <c r="AE181">
        <v>146</v>
      </c>
      <c r="AF181">
        <v>146</v>
      </c>
      <c r="AG181">
        <v>146</v>
      </c>
      <c r="AH181">
        <v>146</v>
      </c>
      <c r="AI181">
        <v>146</v>
      </c>
      <c r="AJ181">
        <v>146</v>
      </c>
      <c r="AK181">
        <v>146</v>
      </c>
      <c r="AL181">
        <v>146</v>
      </c>
      <c r="AM181">
        <v>146</v>
      </c>
      <c r="AN181">
        <v>146</v>
      </c>
      <c r="AO181">
        <v>146</v>
      </c>
      <c r="AP181">
        <v>146</v>
      </c>
      <c r="AQ181">
        <v>146</v>
      </c>
      <c r="AR181">
        <v>146</v>
      </c>
      <c r="AS181">
        <v>146</v>
      </c>
      <c r="AT181">
        <v>146</v>
      </c>
      <c r="AU181">
        <v>146</v>
      </c>
      <c r="AV181">
        <v>146</v>
      </c>
      <c r="AW181">
        <v>146</v>
      </c>
      <c r="AX181">
        <v>146</v>
      </c>
      <c r="AY181">
        <v>146</v>
      </c>
      <c r="AZ181">
        <v>146</v>
      </c>
      <c r="BA181">
        <v>146</v>
      </c>
      <c r="BB181">
        <v>146</v>
      </c>
      <c r="BC181">
        <v>146</v>
      </c>
      <c r="BD181">
        <v>146</v>
      </c>
      <c r="BE181">
        <v>146</v>
      </c>
      <c r="BF181">
        <v>146</v>
      </c>
      <c r="BG181">
        <v>146</v>
      </c>
      <c r="BH181">
        <v>147</v>
      </c>
      <c r="BI181">
        <v>146</v>
      </c>
      <c r="BJ181">
        <v>146</v>
      </c>
      <c r="BK181">
        <v>146</v>
      </c>
    </row>
    <row r="182" spans="1:63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4</v>
      </c>
      <c r="F182">
        <v>4</v>
      </c>
      <c r="G182">
        <v>8</v>
      </c>
      <c r="H182">
        <v>10</v>
      </c>
      <c r="I182">
        <v>14</v>
      </c>
      <c r="J182">
        <v>23</v>
      </c>
      <c r="K182">
        <v>24</v>
      </c>
      <c r="L182">
        <v>27</v>
      </c>
      <c r="M182">
        <v>31</v>
      </c>
      <c r="N182">
        <v>32</v>
      </c>
      <c r="O182">
        <v>41</v>
      </c>
      <c r="P182">
        <v>48</v>
      </c>
      <c r="Q182">
        <v>60</v>
      </c>
      <c r="R182">
        <v>67</v>
      </c>
      <c r="S182">
        <v>69</v>
      </c>
      <c r="T182">
        <v>79</v>
      </c>
      <c r="U182">
        <v>81</v>
      </c>
      <c r="V182">
        <v>88</v>
      </c>
      <c r="W182">
        <v>91</v>
      </c>
      <c r="X182">
        <v>95</v>
      </c>
      <c r="Y182">
        <v>106</v>
      </c>
      <c r="Z182">
        <v>112</v>
      </c>
      <c r="AA182">
        <v>119</v>
      </c>
      <c r="AB182">
        <v>120</v>
      </c>
      <c r="AC182">
        <v>122</v>
      </c>
      <c r="AD182">
        <v>124</v>
      </c>
      <c r="AE182">
        <v>125</v>
      </c>
      <c r="AF182">
        <v>128</v>
      </c>
      <c r="AG182">
        <v>130</v>
      </c>
      <c r="AH182">
        <v>131</v>
      </c>
      <c r="AI182">
        <v>132</v>
      </c>
      <c r="AJ182">
        <v>135</v>
      </c>
      <c r="AK182">
        <v>135</v>
      </c>
      <c r="AL182">
        <v>135</v>
      </c>
      <c r="AM182">
        <v>135</v>
      </c>
      <c r="AN182">
        <v>135</v>
      </c>
      <c r="AO182">
        <v>136</v>
      </c>
      <c r="AP182">
        <v>136</v>
      </c>
      <c r="AQ182">
        <v>136</v>
      </c>
      <c r="AR182">
        <v>136</v>
      </c>
      <c r="AS182">
        <v>136</v>
      </c>
      <c r="AT182">
        <v>136</v>
      </c>
      <c r="AU182">
        <v>136</v>
      </c>
      <c r="AV182">
        <v>136</v>
      </c>
      <c r="AW182">
        <v>136</v>
      </c>
      <c r="AX182">
        <v>136</v>
      </c>
      <c r="AY182">
        <v>136</v>
      </c>
      <c r="AZ182">
        <v>136</v>
      </c>
      <c r="BA182">
        <v>136</v>
      </c>
      <c r="BB182">
        <v>136</v>
      </c>
      <c r="BC182">
        <v>136</v>
      </c>
      <c r="BD182">
        <v>136</v>
      </c>
      <c r="BE182">
        <v>136</v>
      </c>
      <c r="BF182">
        <v>136</v>
      </c>
      <c r="BG182">
        <v>136</v>
      </c>
      <c r="BH182">
        <v>136</v>
      </c>
      <c r="BI182">
        <v>136</v>
      </c>
      <c r="BJ182">
        <v>137</v>
      </c>
      <c r="BK182">
        <v>137</v>
      </c>
    </row>
    <row r="183" spans="1:63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1</v>
      </c>
      <c r="F183">
        <v>1</v>
      </c>
      <c r="G183">
        <v>1</v>
      </c>
      <c r="H183">
        <v>6</v>
      </c>
      <c r="I183">
        <v>9</v>
      </c>
      <c r="J183">
        <v>13</v>
      </c>
      <c r="K183">
        <v>27</v>
      </c>
      <c r="L183">
        <v>27</v>
      </c>
      <c r="M183">
        <v>35</v>
      </c>
      <c r="N183">
        <v>39</v>
      </c>
      <c r="O183">
        <v>47</v>
      </c>
      <c r="P183">
        <v>66</v>
      </c>
      <c r="Q183">
        <v>74</v>
      </c>
      <c r="R183">
        <v>81</v>
      </c>
      <c r="S183">
        <v>81</v>
      </c>
      <c r="T183">
        <v>96</v>
      </c>
      <c r="U183">
        <v>104</v>
      </c>
      <c r="V183">
        <v>115</v>
      </c>
      <c r="W183">
        <v>119</v>
      </c>
      <c r="X183">
        <v>119</v>
      </c>
      <c r="Y183">
        <v>124</v>
      </c>
      <c r="Z183">
        <v>126</v>
      </c>
      <c r="AA183">
        <v>126</v>
      </c>
      <c r="AB183">
        <v>127</v>
      </c>
      <c r="AC183">
        <v>128</v>
      </c>
      <c r="AD183">
        <v>129</v>
      </c>
      <c r="AE183">
        <v>130</v>
      </c>
      <c r="AF183">
        <v>131</v>
      </c>
      <c r="AG183">
        <v>131</v>
      </c>
      <c r="AH183">
        <v>132</v>
      </c>
      <c r="AI183">
        <v>132</v>
      </c>
      <c r="AJ183">
        <v>132</v>
      </c>
      <c r="AK183">
        <v>132</v>
      </c>
      <c r="AL183">
        <v>133</v>
      </c>
      <c r="AM183">
        <v>133</v>
      </c>
      <c r="AN183">
        <v>133</v>
      </c>
      <c r="AO183">
        <v>133</v>
      </c>
      <c r="AP183">
        <v>133</v>
      </c>
      <c r="AQ183">
        <v>133</v>
      </c>
      <c r="AR183">
        <v>133</v>
      </c>
      <c r="AS183">
        <v>133</v>
      </c>
      <c r="AT183">
        <v>133</v>
      </c>
      <c r="AU183">
        <v>133</v>
      </c>
      <c r="AV183">
        <v>133</v>
      </c>
      <c r="AW183">
        <v>133</v>
      </c>
      <c r="AX183">
        <v>133</v>
      </c>
      <c r="AY183">
        <v>133</v>
      </c>
      <c r="AZ183">
        <v>133</v>
      </c>
      <c r="BA183">
        <v>133</v>
      </c>
      <c r="BB183">
        <v>133</v>
      </c>
      <c r="BC183">
        <v>133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</row>
    <row r="184" spans="1:63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2</v>
      </c>
      <c r="G184">
        <v>2</v>
      </c>
      <c r="H184">
        <v>4</v>
      </c>
      <c r="I184">
        <v>7</v>
      </c>
      <c r="J184">
        <v>14</v>
      </c>
      <c r="K184">
        <v>19</v>
      </c>
      <c r="L184">
        <v>24</v>
      </c>
      <c r="M184">
        <v>26</v>
      </c>
      <c r="N184">
        <v>29</v>
      </c>
      <c r="O184">
        <v>40</v>
      </c>
      <c r="P184">
        <v>51</v>
      </c>
      <c r="Q184">
        <v>55</v>
      </c>
      <c r="R184">
        <v>57</v>
      </c>
      <c r="S184">
        <v>62</v>
      </c>
      <c r="T184">
        <v>62</v>
      </c>
      <c r="U184">
        <v>67</v>
      </c>
      <c r="V184">
        <v>79</v>
      </c>
      <c r="W184">
        <v>83</v>
      </c>
      <c r="X184">
        <v>83</v>
      </c>
      <c r="Y184">
        <v>86</v>
      </c>
      <c r="Z184">
        <v>87</v>
      </c>
      <c r="AA184">
        <v>90</v>
      </c>
      <c r="AB184">
        <v>90</v>
      </c>
      <c r="AC184">
        <v>90</v>
      </c>
      <c r="AD184">
        <v>90</v>
      </c>
      <c r="AE184">
        <v>91</v>
      </c>
      <c r="AF184">
        <v>91</v>
      </c>
      <c r="AG184">
        <v>91</v>
      </c>
      <c r="AH184">
        <v>91</v>
      </c>
      <c r="AI184">
        <v>91</v>
      </c>
      <c r="AJ184">
        <v>91</v>
      </c>
      <c r="AK184">
        <v>91</v>
      </c>
      <c r="AL184">
        <v>91</v>
      </c>
      <c r="AM184">
        <v>91</v>
      </c>
      <c r="AN184">
        <v>91</v>
      </c>
      <c r="AO184">
        <v>91</v>
      </c>
      <c r="AP184">
        <v>91</v>
      </c>
      <c r="AQ184">
        <v>91</v>
      </c>
      <c r="AR184">
        <v>91</v>
      </c>
      <c r="AS184">
        <v>91</v>
      </c>
      <c r="AT184">
        <v>91</v>
      </c>
      <c r="AU184">
        <v>91</v>
      </c>
      <c r="AV184">
        <v>102</v>
      </c>
      <c r="AW184">
        <v>119</v>
      </c>
      <c r="AX184">
        <v>120</v>
      </c>
      <c r="AY184">
        <v>124</v>
      </c>
      <c r="AZ184">
        <v>124</v>
      </c>
      <c r="BA184">
        <v>125</v>
      </c>
      <c r="BB184">
        <v>127</v>
      </c>
      <c r="BC184">
        <v>127</v>
      </c>
      <c r="BD184">
        <v>127</v>
      </c>
      <c r="BE184">
        <v>129</v>
      </c>
      <c r="BF184">
        <v>133</v>
      </c>
      <c r="BG184">
        <v>133</v>
      </c>
      <c r="BH184">
        <v>133</v>
      </c>
      <c r="BI184">
        <v>133</v>
      </c>
      <c r="BJ184">
        <v>134</v>
      </c>
      <c r="BK184">
        <v>134</v>
      </c>
    </row>
    <row r="185" spans="1:63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2</v>
      </c>
      <c r="G185">
        <v>2</v>
      </c>
      <c r="H185">
        <v>5</v>
      </c>
      <c r="I185">
        <v>8</v>
      </c>
      <c r="J185">
        <v>8</v>
      </c>
      <c r="K185">
        <v>8</v>
      </c>
      <c r="L185">
        <v>10</v>
      </c>
      <c r="M185">
        <v>10</v>
      </c>
      <c r="N185">
        <v>12</v>
      </c>
      <c r="O185">
        <v>13</v>
      </c>
      <c r="P185">
        <v>15</v>
      </c>
      <c r="Q185">
        <v>15</v>
      </c>
      <c r="R185">
        <v>17</v>
      </c>
      <c r="S185">
        <v>21</v>
      </c>
      <c r="T185">
        <v>24</v>
      </c>
      <c r="U185">
        <v>25</v>
      </c>
      <c r="V185">
        <v>26</v>
      </c>
      <c r="W185">
        <v>29</v>
      </c>
      <c r="X185">
        <v>38</v>
      </c>
      <c r="Y185">
        <v>49</v>
      </c>
      <c r="Z185">
        <v>50</v>
      </c>
      <c r="AA185">
        <v>53</v>
      </c>
      <c r="AB185">
        <v>56</v>
      </c>
      <c r="AC185">
        <v>56</v>
      </c>
      <c r="AD185">
        <v>57</v>
      </c>
      <c r="AE185">
        <v>60</v>
      </c>
      <c r="AF185">
        <v>62</v>
      </c>
      <c r="AG185">
        <v>63</v>
      </c>
      <c r="AH185">
        <v>68</v>
      </c>
      <c r="AI185">
        <v>68</v>
      </c>
      <c r="AJ185">
        <v>69</v>
      </c>
      <c r="AK185">
        <v>74</v>
      </c>
      <c r="AL185">
        <v>79</v>
      </c>
      <c r="AM185">
        <v>84</v>
      </c>
      <c r="AN185">
        <v>91</v>
      </c>
      <c r="AO185">
        <v>92</v>
      </c>
      <c r="AP185">
        <v>94</v>
      </c>
      <c r="AQ185">
        <v>95</v>
      </c>
      <c r="AR185">
        <v>96</v>
      </c>
      <c r="AS185">
        <v>100</v>
      </c>
      <c r="AT185">
        <v>100</v>
      </c>
      <c r="AU185">
        <v>105</v>
      </c>
      <c r="AV185">
        <v>105</v>
      </c>
      <c r="AW185">
        <v>107</v>
      </c>
      <c r="AX185">
        <v>108</v>
      </c>
      <c r="AY185">
        <v>114</v>
      </c>
      <c r="AZ185">
        <v>115</v>
      </c>
      <c r="BA185">
        <v>120</v>
      </c>
      <c r="BB185">
        <v>126</v>
      </c>
      <c r="BC185">
        <v>129</v>
      </c>
      <c r="BD185">
        <v>134</v>
      </c>
      <c r="BE185">
        <v>140</v>
      </c>
      <c r="BF185">
        <v>145</v>
      </c>
      <c r="BG185">
        <v>155</v>
      </c>
      <c r="BH185">
        <v>162</v>
      </c>
      <c r="BI185">
        <v>181</v>
      </c>
      <c r="BJ185">
        <v>208</v>
      </c>
      <c r="BK185">
        <v>256</v>
      </c>
    </row>
    <row r="186" spans="1:63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2</v>
      </c>
      <c r="F186">
        <v>3</v>
      </c>
      <c r="G186">
        <v>4</v>
      </c>
      <c r="H186">
        <v>17</v>
      </c>
      <c r="I186">
        <v>21</v>
      </c>
      <c r="J186">
        <v>27</v>
      </c>
      <c r="K186">
        <v>34</v>
      </c>
      <c r="L186">
        <v>39</v>
      </c>
      <c r="M186">
        <v>41</v>
      </c>
      <c r="N186">
        <v>48</v>
      </c>
      <c r="O186">
        <v>64</v>
      </c>
      <c r="P186">
        <v>70</v>
      </c>
      <c r="Q186">
        <v>74</v>
      </c>
      <c r="R186">
        <v>81</v>
      </c>
      <c r="S186">
        <v>89</v>
      </c>
      <c r="T186">
        <v>94</v>
      </c>
      <c r="U186">
        <v>99</v>
      </c>
      <c r="V186">
        <v>105</v>
      </c>
      <c r="W186">
        <v>107</v>
      </c>
      <c r="X186">
        <v>108</v>
      </c>
      <c r="Y186">
        <v>111</v>
      </c>
      <c r="Z186">
        <v>116</v>
      </c>
      <c r="AA186">
        <v>117</v>
      </c>
      <c r="AB186">
        <v>119</v>
      </c>
      <c r="AC186">
        <v>119</v>
      </c>
      <c r="AD186">
        <v>121</v>
      </c>
      <c r="AE186">
        <v>121</v>
      </c>
      <c r="AF186">
        <v>121</v>
      </c>
      <c r="AG186">
        <v>121</v>
      </c>
      <c r="AH186">
        <v>121</v>
      </c>
      <c r="AI186">
        <v>121</v>
      </c>
      <c r="AJ186">
        <v>121</v>
      </c>
      <c r="AK186">
        <v>121</v>
      </c>
      <c r="AL186">
        <v>121</v>
      </c>
      <c r="AM186">
        <v>121</v>
      </c>
      <c r="AN186">
        <v>121</v>
      </c>
      <c r="AO186">
        <v>121</v>
      </c>
      <c r="AP186">
        <v>121</v>
      </c>
      <c r="AQ186">
        <v>121</v>
      </c>
      <c r="AR186">
        <v>122</v>
      </c>
      <c r="AS186">
        <v>122</v>
      </c>
      <c r="AT186">
        <v>125</v>
      </c>
      <c r="AU186">
        <v>125</v>
      </c>
      <c r="AV186">
        <v>125</v>
      </c>
      <c r="AW186">
        <v>125</v>
      </c>
      <c r="AX186">
        <v>125</v>
      </c>
      <c r="AY186">
        <v>125</v>
      </c>
      <c r="AZ186">
        <v>125</v>
      </c>
      <c r="BA186">
        <v>125</v>
      </c>
      <c r="BB186">
        <v>125</v>
      </c>
      <c r="BC186">
        <v>125</v>
      </c>
      <c r="BD186">
        <v>125</v>
      </c>
      <c r="BE186">
        <v>125</v>
      </c>
      <c r="BF186">
        <v>125</v>
      </c>
      <c r="BG186">
        <v>125</v>
      </c>
      <c r="BH186">
        <v>125</v>
      </c>
      <c r="BI186">
        <v>125</v>
      </c>
      <c r="BJ186">
        <v>125</v>
      </c>
      <c r="BK186">
        <v>126</v>
      </c>
    </row>
    <row r="187" spans="1:63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1</v>
      </c>
      <c r="G187">
        <v>3</v>
      </c>
      <c r="H187">
        <v>4</v>
      </c>
      <c r="I187">
        <v>4</v>
      </c>
      <c r="J187">
        <v>6</v>
      </c>
      <c r="K187">
        <v>8</v>
      </c>
      <c r="L187">
        <v>9</v>
      </c>
      <c r="M187">
        <v>14</v>
      </c>
      <c r="N187">
        <v>14</v>
      </c>
      <c r="O187">
        <v>17</v>
      </c>
      <c r="P187">
        <v>23</v>
      </c>
      <c r="Q187">
        <v>31</v>
      </c>
      <c r="R187">
        <v>42</v>
      </c>
      <c r="S187">
        <v>54</v>
      </c>
      <c r="T187">
        <v>59</v>
      </c>
      <c r="U187">
        <v>65</v>
      </c>
      <c r="V187">
        <v>69</v>
      </c>
      <c r="W187">
        <v>78</v>
      </c>
      <c r="X187">
        <v>80</v>
      </c>
      <c r="Y187">
        <v>81</v>
      </c>
      <c r="Z187">
        <v>83</v>
      </c>
      <c r="AA187">
        <v>84</v>
      </c>
      <c r="AB187">
        <v>86</v>
      </c>
      <c r="AC187">
        <v>88</v>
      </c>
      <c r="AD187">
        <v>89</v>
      </c>
      <c r="AE187">
        <v>89</v>
      </c>
      <c r="AF187">
        <v>89</v>
      </c>
      <c r="AG187">
        <v>90</v>
      </c>
      <c r="AH187">
        <v>91</v>
      </c>
      <c r="AI187">
        <v>91</v>
      </c>
      <c r="AJ187">
        <v>91</v>
      </c>
      <c r="AK187">
        <v>91</v>
      </c>
      <c r="AL187">
        <v>93</v>
      </c>
      <c r="AM187">
        <v>93</v>
      </c>
      <c r="AN187">
        <v>93</v>
      </c>
      <c r="AO187">
        <v>93</v>
      </c>
      <c r="AP187">
        <v>93</v>
      </c>
      <c r="AQ187">
        <v>93</v>
      </c>
      <c r="AR187">
        <v>93</v>
      </c>
      <c r="AS187">
        <v>93</v>
      </c>
      <c r="AT187">
        <v>93</v>
      </c>
      <c r="AU187">
        <v>93</v>
      </c>
      <c r="AV187">
        <v>93</v>
      </c>
      <c r="AW187">
        <v>93</v>
      </c>
      <c r="AX187">
        <v>93</v>
      </c>
      <c r="AY187">
        <v>93</v>
      </c>
      <c r="AZ187">
        <v>93</v>
      </c>
      <c r="BA187">
        <v>93</v>
      </c>
      <c r="BB187">
        <v>93</v>
      </c>
      <c r="BC187">
        <v>93</v>
      </c>
      <c r="BD187">
        <v>93</v>
      </c>
      <c r="BE187">
        <v>93</v>
      </c>
      <c r="BF187">
        <v>93</v>
      </c>
      <c r="BG187">
        <v>93</v>
      </c>
      <c r="BH187">
        <v>93</v>
      </c>
      <c r="BI187">
        <v>93</v>
      </c>
      <c r="BJ187">
        <v>93</v>
      </c>
      <c r="BK187">
        <v>93</v>
      </c>
    </row>
    <row r="188" spans="1:63" x14ac:dyDescent="0.3">
      <c r="B188" t="s">
        <v>341</v>
      </c>
      <c r="C188">
        <v>49.817500000000003</v>
      </c>
      <c r="D188">
        <v>15.473000000000001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3</v>
      </c>
      <c r="AS188">
        <v>3</v>
      </c>
      <c r="AT188">
        <v>5</v>
      </c>
      <c r="AU188">
        <v>8</v>
      </c>
      <c r="AV188">
        <v>12</v>
      </c>
      <c r="AW188">
        <v>18</v>
      </c>
      <c r="AX188">
        <v>19</v>
      </c>
      <c r="AY188">
        <v>31</v>
      </c>
      <c r="AZ188">
        <v>31</v>
      </c>
      <c r="BA188">
        <v>41</v>
      </c>
      <c r="BB188">
        <v>91</v>
      </c>
      <c r="BC188">
        <v>94</v>
      </c>
      <c r="BD188">
        <v>141</v>
      </c>
      <c r="BE188">
        <v>189</v>
      </c>
      <c r="BF188">
        <v>253</v>
      </c>
      <c r="BG188">
        <v>298</v>
      </c>
      <c r="BH188">
        <v>396</v>
      </c>
      <c r="BI188">
        <v>464</v>
      </c>
      <c r="BJ188">
        <v>694</v>
      </c>
      <c r="BK188">
        <v>833</v>
      </c>
    </row>
    <row r="189" spans="1:63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2</v>
      </c>
      <c r="G189">
        <v>2</v>
      </c>
      <c r="H189">
        <v>3</v>
      </c>
      <c r="I189">
        <v>4</v>
      </c>
      <c r="J189">
        <v>5</v>
      </c>
      <c r="K189">
        <v>10</v>
      </c>
      <c r="L189">
        <v>13</v>
      </c>
      <c r="M189">
        <v>14</v>
      </c>
      <c r="N189">
        <v>17</v>
      </c>
      <c r="O189">
        <v>18</v>
      </c>
      <c r="P189">
        <v>21</v>
      </c>
      <c r="Q189">
        <v>24</v>
      </c>
      <c r="R189">
        <v>29</v>
      </c>
      <c r="S189">
        <v>32</v>
      </c>
      <c r="T189">
        <v>36</v>
      </c>
      <c r="U189">
        <v>39</v>
      </c>
      <c r="V189">
        <v>42</v>
      </c>
      <c r="W189">
        <v>45</v>
      </c>
      <c r="X189">
        <v>49</v>
      </c>
      <c r="Y189">
        <v>55</v>
      </c>
      <c r="Z189">
        <v>59</v>
      </c>
      <c r="AA189">
        <v>63</v>
      </c>
      <c r="AB189">
        <v>65</v>
      </c>
      <c r="AC189">
        <v>70</v>
      </c>
      <c r="AD189">
        <v>71</v>
      </c>
      <c r="AE189">
        <v>75</v>
      </c>
      <c r="AF189">
        <v>76</v>
      </c>
      <c r="AG189">
        <v>76</v>
      </c>
      <c r="AH189">
        <v>76</v>
      </c>
      <c r="AI189">
        <v>76</v>
      </c>
      <c r="AJ189">
        <v>76</v>
      </c>
      <c r="AK189">
        <v>76</v>
      </c>
      <c r="AL189">
        <v>76</v>
      </c>
      <c r="AM189">
        <v>76</v>
      </c>
      <c r="AN189">
        <v>76</v>
      </c>
      <c r="AO189">
        <v>76</v>
      </c>
      <c r="AP189">
        <v>76</v>
      </c>
      <c r="AQ189">
        <v>76</v>
      </c>
      <c r="AR189">
        <v>76</v>
      </c>
      <c r="AS189">
        <v>76</v>
      </c>
      <c r="AT189">
        <v>76</v>
      </c>
      <c r="AU189">
        <v>76</v>
      </c>
      <c r="AV189">
        <v>76</v>
      </c>
      <c r="AW189">
        <v>76</v>
      </c>
      <c r="AX189">
        <v>76</v>
      </c>
      <c r="AY189">
        <v>76</v>
      </c>
      <c r="AZ189">
        <v>76</v>
      </c>
      <c r="BA189">
        <v>76</v>
      </c>
      <c r="BB189">
        <v>76</v>
      </c>
      <c r="BC189">
        <v>76</v>
      </c>
      <c r="BD189">
        <v>76</v>
      </c>
      <c r="BE189">
        <v>76</v>
      </c>
      <c r="BF189">
        <v>76</v>
      </c>
      <c r="BG189">
        <v>76</v>
      </c>
      <c r="BH189">
        <v>76</v>
      </c>
      <c r="BI189">
        <v>76</v>
      </c>
      <c r="BJ189">
        <v>76</v>
      </c>
      <c r="BK189">
        <v>76</v>
      </c>
    </row>
    <row r="190" spans="1:63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1</v>
      </c>
      <c r="H190">
        <v>7</v>
      </c>
      <c r="I190">
        <v>7</v>
      </c>
      <c r="J190">
        <v>11</v>
      </c>
      <c r="K190">
        <v>15</v>
      </c>
      <c r="L190">
        <v>16</v>
      </c>
      <c r="M190">
        <v>19</v>
      </c>
      <c r="N190">
        <v>20</v>
      </c>
      <c r="O190">
        <v>23</v>
      </c>
      <c r="P190">
        <v>27</v>
      </c>
      <c r="Q190">
        <v>34</v>
      </c>
      <c r="R190">
        <v>35</v>
      </c>
      <c r="S190">
        <v>42</v>
      </c>
      <c r="T190">
        <v>46</v>
      </c>
      <c r="U190">
        <v>50</v>
      </c>
      <c r="V190">
        <v>52</v>
      </c>
      <c r="W190">
        <v>54</v>
      </c>
      <c r="X190">
        <v>58</v>
      </c>
      <c r="Y190">
        <v>58</v>
      </c>
      <c r="Z190">
        <v>60</v>
      </c>
      <c r="AA190">
        <v>61</v>
      </c>
      <c r="AB190">
        <v>65</v>
      </c>
      <c r="AC190">
        <v>68</v>
      </c>
      <c r="AD190">
        <v>70</v>
      </c>
      <c r="AE190">
        <v>72</v>
      </c>
      <c r="AF190">
        <v>73</v>
      </c>
      <c r="AG190">
        <v>75</v>
      </c>
      <c r="AH190">
        <v>75</v>
      </c>
      <c r="AI190">
        <v>75</v>
      </c>
      <c r="AJ190">
        <v>75</v>
      </c>
      <c r="AK190">
        <v>75</v>
      </c>
      <c r="AL190">
        <v>75</v>
      </c>
      <c r="AM190">
        <v>75</v>
      </c>
      <c r="AN190">
        <v>75</v>
      </c>
      <c r="AO190">
        <v>75</v>
      </c>
      <c r="AP190">
        <v>75</v>
      </c>
      <c r="AQ190">
        <v>75</v>
      </c>
      <c r="AR190">
        <v>75</v>
      </c>
      <c r="AS190">
        <v>75</v>
      </c>
      <c r="AT190">
        <v>75</v>
      </c>
      <c r="AU190">
        <v>75</v>
      </c>
      <c r="AV190">
        <v>75</v>
      </c>
      <c r="AW190">
        <v>75</v>
      </c>
      <c r="AX190">
        <v>75</v>
      </c>
      <c r="AY190">
        <v>75</v>
      </c>
      <c r="AZ190">
        <v>75</v>
      </c>
      <c r="BA190">
        <v>75</v>
      </c>
      <c r="BB190">
        <v>75</v>
      </c>
      <c r="BC190">
        <v>75</v>
      </c>
      <c r="BD190">
        <v>75</v>
      </c>
      <c r="BE190">
        <v>75</v>
      </c>
      <c r="BF190">
        <v>75</v>
      </c>
      <c r="BG190">
        <v>75</v>
      </c>
      <c r="BH190">
        <v>75</v>
      </c>
      <c r="BI190">
        <v>75</v>
      </c>
      <c r="BJ190">
        <v>75</v>
      </c>
      <c r="BK190">
        <v>75</v>
      </c>
    </row>
    <row r="191" spans="1:63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1</v>
      </c>
      <c r="F191">
        <v>1</v>
      </c>
      <c r="G191">
        <v>2</v>
      </c>
      <c r="H191">
        <v>3</v>
      </c>
      <c r="I191">
        <v>4</v>
      </c>
      <c r="J191">
        <v>7</v>
      </c>
      <c r="K191">
        <v>11</v>
      </c>
      <c r="L191">
        <v>12</v>
      </c>
      <c r="M191">
        <v>17</v>
      </c>
      <c r="N191">
        <v>21</v>
      </c>
      <c r="O191">
        <v>26</v>
      </c>
      <c r="P191">
        <v>28</v>
      </c>
      <c r="Q191">
        <v>31</v>
      </c>
      <c r="R191">
        <v>34</v>
      </c>
      <c r="S191">
        <v>34</v>
      </c>
      <c r="T191">
        <v>40</v>
      </c>
      <c r="U191">
        <v>43</v>
      </c>
      <c r="V191">
        <v>45</v>
      </c>
      <c r="W191">
        <v>45</v>
      </c>
      <c r="X191">
        <v>49</v>
      </c>
      <c r="Y191">
        <v>53</v>
      </c>
      <c r="Z191">
        <v>58</v>
      </c>
      <c r="AA191">
        <v>64</v>
      </c>
      <c r="AB191">
        <v>67</v>
      </c>
      <c r="AC191">
        <v>70</v>
      </c>
      <c r="AD191">
        <v>70</v>
      </c>
      <c r="AE191">
        <v>70</v>
      </c>
      <c r="AF191">
        <v>70</v>
      </c>
      <c r="AG191">
        <v>71</v>
      </c>
      <c r="AH191">
        <v>71</v>
      </c>
      <c r="AI191">
        <v>71</v>
      </c>
      <c r="AJ191">
        <v>71</v>
      </c>
      <c r="AK191">
        <v>71</v>
      </c>
      <c r="AL191">
        <v>71</v>
      </c>
      <c r="AM191">
        <v>71</v>
      </c>
      <c r="AN191">
        <v>71</v>
      </c>
      <c r="AO191">
        <v>72</v>
      </c>
      <c r="AP191">
        <v>72</v>
      </c>
      <c r="AQ191">
        <v>73</v>
      </c>
      <c r="AR191">
        <v>73</v>
      </c>
      <c r="AS191">
        <v>74</v>
      </c>
      <c r="AT191">
        <v>74</v>
      </c>
      <c r="AU191">
        <v>75</v>
      </c>
      <c r="AV191">
        <v>75</v>
      </c>
      <c r="AW191">
        <v>75</v>
      </c>
      <c r="AX191">
        <v>75</v>
      </c>
      <c r="AY191">
        <v>75</v>
      </c>
      <c r="AZ191">
        <v>75</v>
      </c>
      <c r="BA191">
        <v>75</v>
      </c>
      <c r="BB191">
        <v>75</v>
      </c>
      <c r="BC191">
        <v>75</v>
      </c>
      <c r="BD191">
        <v>75</v>
      </c>
      <c r="BE191">
        <v>75</v>
      </c>
      <c r="BF191">
        <v>75</v>
      </c>
      <c r="BG191">
        <v>75</v>
      </c>
      <c r="BH191">
        <v>75</v>
      </c>
      <c r="BI191">
        <v>75</v>
      </c>
      <c r="BJ191">
        <v>75</v>
      </c>
      <c r="BK191">
        <v>75</v>
      </c>
    </row>
    <row r="192" spans="1:63" x14ac:dyDescent="0.3">
      <c r="B192" t="s">
        <v>342</v>
      </c>
      <c r="C192">
        <v>23.7</v>
      </c>
      <c r="D192">
        <v>121</v>
      </c>
      <c r="E192">
        <v>1</v>
      </c>
      <c r="F192">
        <v>1</v>
      </c>
      <c r="G192">
        <v>3</v>
      </c>
      <c r="H192">
        <v>3</v>
      </c>
      <c r="I192">
        <v>4</v>
      </c>
      <c r="J192">
        <v>5</v>
      </c>
      <c r="K192">
        <v>8</v>
      </c>
      <c r="L192">
        <v>8</v>
      </c>
      <c r="M192">
        <v>9</v>
      </c>
      <c r="N192">
        <v>10</v>
      </c>
      <c r="O192">
        <v>10</v>
      </c>
      <c r="P192">
        <v>10</v>
      </c>
      <c r="Q192">
        <v>10</v>
      </c>
      <c r="R192">
        <v>11</v>
      </c>
      <c r="S192">
        <v>11</v>
      </c>
      <c r="T192">
        <v>16</v>
      </c>
      <c r="U192">
        <v>16</v>
      </c>
      <c r="V192">
        <v>17</v>
      </c>
      <c r="W192">
        <v>18</v>
      </c>
      <c r="X192">
        <v>18</v>
      </c>
      <c r="Y192">
        <v>18</v>
      </c>
      <c r="Z192">
        <v>18</v>
      </c>
      <c r="AA192">
        <v>18</v>
      </c>
      <c r="AB192">
        <v>18</v>
      </c>
      <c r="AC192">
        <v>18</v>
      </c>
      <c r="AD192">
        <v>20</v>
      </c>
      <c r="AE192">
        <v>22</v>
      </c>
      <c r="AF192">
        <v>22</v>
      </c>
      <c r="AG192">
        <v>23</v>
      </c>
      <c r="AH192">
        <v>24</v>
      </c>
      <c r="AI192">
        <v>26</v>
      </c>
      <c r="AJ192">
        <v>26</v>
      </c>
      <c r="AK192">
        <v>28</v>
      </c>
      <c r="AL192">
        <v>30</v>
      </c>
      <c r="AM192">
        <v>31</v>
      </c>
      <c r="AN192">
        <v>32</v>
      </c>
      <c r="AO192">
        <v>32</v>
      </c>
      <c r="AP192">
        <v>34</v>
      </c>
      <c r="AQ192">
        <v>39</v>
      </c>
      <c r="AR192">
        <v>40</v>
      </c>
      <c r="AS192">
        <v>41</v>
      </c>
      <c r="AT192">
        <v>42</v>
      </c>
      <c r="AU192">
        <v>42</v>
      </c>
      <c r="AV192">
        <v>44</v>
      </c>
      <c r="AW192">
        <v>45</v>
      </c>
      <c r="AX192">
        <v>45</v>
      </c>
      <c r="AY192">
        <v>45</v>
      </c>
      <c r="AZ192">
        <v>45</v>
      </c>
      <c r="BA192">
        <v>47</v>
      </c>
      <c r="BB192">
        <v>48</v>
      </c>
      <c r="BC192">
        <v>49</v>
      </c>
      <c r="BD192">
        <v>50</v>
      </c>
      <c r="BE192">
        <v>53</v>
      </c>
      <c r="BF192">
        <v>59</v>
      </c>
      <c r="BG192">
        <v>67</v>
      </c>
      <c r="BH192">
        <v>77</v>
      </c>
      <c r="BI192">
        <v>100</v>
      </c>
      <c r="BJ192">
        <v>108</v>
      </c>
      <c r="BK192">
        <v>135</v>
      </c>
    </row>
    <row r="193" spans="1:63" x14ac:dyDescent="0.3">
      <c r="B193" t="s">
        <v>343</v>
      </c>
      <c r="C193">
        <v>16</v>
      </c>
      <c r="D193">
        <v>108</v>
      </c>
      <c r="E193">
        <v>0</v>
      </c>
      <c r="F193">
        <v>2</v>
      </c>
      <c r="G193">
        <v>2</v>
      </c>
      <c r="H193">
        <v>2</v>
      </c>
      <c r="I193">
        <v>2</v>
      </c>
      <c r="J193">
        <v>2</v>
      </c>
      <c r="K193">
        <v>2</v>
      </c>
      <c r="L193">
        <v>2</v>
      </c>
      <c r="M193">
        <v>2</v>
      </c>
      <c r="N193">
        <v>2</v>
      </c>
      <c r="O193">
        <v>6</v>
      </c>
      <c r="P193">
        <v>6</v>
      </c>
      <c r="Q193">
        <v>8</v>
      </c>
      <c r="R193">
        <v>8</v>
      </c>
      <c r="S193">
        <v>8</v>
      </c>
      <c r="T193">
        <v>10</v>
      </c>
      <c r="U193">
        <v>10</v>
      </c>
      <c r="V193">
        <v>13</v>
      </c>
      <c r="W193">
        <v>13</v>
      </c>
      <c r="X193">
        <v>14</v>
      </c>
      <c r="Y193">
        <v>15</v>
      </c>
      <c r="Z193">
        <v>15</v>
      </c>
      <c r="AA193">
        <v>16</v>
      </c>
      <c r="AB193">
        <v>16</v>
      </c>
      <c r="AC193">
        <v>16</v>
      </c>
      <c r="AD193">
        <v>16</v>
      </c>
      <c r="AE193">
        <v>16</v>
      </c>
      <c r="AF193">
        <v>16</v>
      </c>
      <c r="AG193">
        <v>16</v>
      </c>
      <c r="AH193">
        <v>16</v>
      </c>
      <c r="AI193">
        <v>16</v>
      </c>
      <c r="AJ193">
        <v>16</v>
      </c>
      <c r="AK193">
        <v>16</v>
      </c>
      <c r="AL193">
        <v>16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18</v>
      </c>
      <c r="AY193">
        <v>30</v>
      </c>
      <c r="AZ193">
        <v>30</v>
      </c>
      <c r="BA193">
        <v>31</v>
      </c>
      <c r="BB193">
        <v>38</v>
      </c>
      <c r="BC193">
        <v>39</v>
      </c>
      <c r="BD193">
        <v>47</v>
      </c>
      <c r="BE193">
        <v>53</v>
      </c>
      <c r="BF193">
        <v>56</v>
      </c>
      <c r="BG193">
        <v>61</v>
      </c>
      <c r="BH193">
        <v>66</v>
      </c>
      <c r="BI193">
        <v>75</v>
      </c>
      <c r="BJ193">
        <v>85</v>
      </c>
      <c r="BK193">
        <v>91</v>
      </c>
    </row>
    <row r="194" spans="1:63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2</v>
      </c>
      <c r="O194">
        <v>2</v>
      </c>
      <c r="P194">
        <v>2</v>
      </c>
      <c r="Q194">
        <v>2</v>
      </c>
      <c r="R194">
        <v>2</v>
      </c>
      <c r="S194">
        <v>2</v>
      </c>
      <c r="T194">
        <v>2</v>
      </c>
      <c r="U194">
        <v>2</v>
      </c>
      <c r="V194">
        <v>2</v>
      </c>
      <c r="W194">
        <v>2</v>
      </c>
      <c r="X194">
        <v>2</v>
      </c>
      <c r="Y194">
        <v>2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3</v>
      </c>
      <c r="AT194">
        <v>3</v>
      </c>
      <c r="AU194">
        <v>3</v>
      </c>
      <c r="AV194">
        <v>4</v>
      </c>
      <c r="AW194">
        <v>13</v>
      </c>
      <c r="AX194">
        <v>13</v>
      </c>
      <c r="AY194">
        <v>17</v>
      </c>
      <c r="AZ194">
        <v>17</v>
      </c>
      <c r="BA194">
        <v>20</v>
      </c>
      <c r="BB194">
        <v>20</v>
      </c>
      <c r="BC194">
        <v>28</v>
      </c>
      <c r="BD194">
        <v>45</v>
      </c>
      <c r="BE194">
        <v>59</v>
      </c>
      <c r="BF194">
        <v>63</v>
      </c>
      <c r="BG194">
        <v>90</v>
      </c>
      <c r="BH194">
        <v>114</v>
      </c>
      <c r="BI194">
        <v>147</v>
      </c>
      <c r="BJ194">
        <v>199</v>
      </c>
      <c r="BK194">
        <v>253</v>
      </c>
    </row>
    <row r="195" spans="1:63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1</v>
      </c>
      <c r="I195">
        <v>1</v>
      </c>
      <c r="J195">
        <v>6</v>
      </c>
      <c r="K195">
        <v>6</v>
      </c>
      <c r="L195">
        <v>6</v>
      </c>
      <c r="M195">
        <v>8</v>
      </c>
      <c r="N195">
        <v>8</v>
      </c>
      <c r="O195">
        <v>9</v>
      </c>
      <c r="P195">
        <v>11</v>
      </c>
      <c r="Q195">
        <v>13</v>
      </c>
      <c r="R195">
        <v>15</v>
      </c>
      <c r="S195">
        <v>17</v>
      </c>
      <c r="T195">
        <v>18</v>
      </c>
      <c r="U195">
        <v>18</v>
      </c>
      <c r="V195">
        <v>18</v>
      </c>
      <c r="W195">
        <v>18</v>
      </c>
      <c r="X195">
        <v>18</v>
      </c>
      <c r="Y195">
        <v>18</v>
      </c>
      <c r="Z195">
        <v>18</v>
      </c>
      <c r="AA195">
        <v>18</v>
      </c>
      <c r="AB195">
        <v>18</v>
      </c>
      <c r="AC195">
        <v>18</v>
      </c>
      <c r="AD195">
        <v>18</v>
      </c>
      <c r="AE195">
        <v>18</v>
      </c>
      <c r="AF195">
        <v>18</v>
      </c>
      <c r="AG195">
        <v>18</v>
      </c>
      <c r="AH195">
        <v>18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</row>
    <row r="196" spans="1:63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1</v>
      </c>
      <c r="F196">
        <v>2</v>
      </c>
      <c r="G196">
        <v>2</v>
      </c>
      <c r="H196">
        <v>2</v>
      </c>
      <c r="I196">
        <v>5</v>
      </c>
      <c r="J196">
        <v>6</v>
      </c>
      <c r="K196">
        <v>7</v>
      </c>
      <c r="L196">
        <v>7</v>
      </c>
      <c r="M196">
        <v>7</v>
      </c>
      <c r="N196">
        <v>7</v>
      </c>
      <c r="O196">
        <v>7</v>
      </c>
      <c r="P196">
        <v>8</v>
      </c>
      <c r="Q196">
        <v>8</v>
      </c>
      <c r="R196">
        <v>10</v>
      </c>
      <c r="S196">
        <v>10</v>
      </c>
      <c r="T196">
        <v>10</v>
      </c>
      <c r="U196">
        <v>10</v>
      </c>
      <c r="V196">
        <v>10</v>
      </c>
      <c r="W196">
        <v>10</v>
      </c>
      <c r="X196">
        <v>10</v>
      </c>
      <c r="Y196">
        <v>10</v>
      </c>
      <c r="Z196">
        <v>10</v>
      </c>
      <c r="AA196">
        <v>10</v>
      </c>
      <c r="AB196">
        <v>10</v>
      </c>
      <c r="AC196">
        <v>10</v>
      </c>
      <c r="AD196">
        <v>10</v>
      </c>
      <c r="AE196">
        <v>10</v>
      </c>
      <c r="AF196">
        <v>10</v>
      </c>
      <c r="AG196">
        <v>10</v>
      </c>
      <c r="AH196">
        <v>10</v>
      </c>
      <c r="AI196">
        <v>10</v>
      </c>
      <c r="AJ196">
        <v>10</v>
      </c>
      <c r="AK196">
        <v>10</v>
      </c>
      <c r="AL196">
        <v>10</v>
      </c>
      <c r="AM196">
        <v>10</v>
      </c>
      <c r="AN196">
        <v>10</v>
      </c>
      <c r="AO196">
        <v>10</v>
      </c>
      <c r="AP196">
        <v>10</v>
      </c>
      <c r="AQ196">
        <v>10</v>
      </c>
      <c r="AR196">
        <v>10</v>
      </c>
      <c r="AS196">
        <v>10</v>
      </c>
      <c r="AT196">
        <v>10</v>
      </c>
      <c r="AU196">
        <v>10</v>
      </c>
      <c r="AV196">
        <v>10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11</v>
      </c>
      <c r="BH196">
        <v>12</v>
      </c>
      <c r="BI196">
        <v>15</v>
      </c>
      <c r="BJ196">
        <v>17</v>
      </c>
      <c r="BK196">
        <v>17</v>
      </c>
    </row>
    <row r="197" spans="1:63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1</v>
      </c>
      <c r="AZ197">
        <v>1</v>
      </c>
      <c r="BA197">
        <v>3</v>
      </c>
      <c r="BB197">
        <v>3</v>
      </c>
      <c r="BC197">
        <v>3</v>
      </c>
      <c r="BD197">
        <v>6</v>
      </c>
      <c r="BE197">
        <v>12</v>
      </c>
      <c r="BF197">
        <v>23</v>
      </c>
      <c r="BG197">
        <v>23</v>
      </c>
      <c r="BH197">
        <v>30</v>
      </c>
      <c r="BI197">
        <v>30</v>
      </c>
      <c r="BJ197">
        <v>49</v>
      </c>
      <c r="BK197">
        <v>66</v>
      </c>
    </row>
    <row r="198" spans="1:63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2</v>
      </c>
      <c r="BC198">
        <v>2</v>
      </c>
      <c r="BD198">
        <v>3</v>
      </c>
      <c r="BE198">
        <v>10</v>
      </c>
      <c r="BF198">
        <v>10</v>
      </c>
      <c r="BG198">
        <v>11</v>
      </c>
      <c r="BH198">
        <v>11</v>
      </c>
      <c r="BI198">
        <v>12</v>
      </c>
      <c r="BJ198">
        <v>12</v>
      </c>
      <c r="BK198">
        <v>15</v>
      </c>
    </row>
    <row r="199" spans="1:63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1</v>
      </c>
      <c r="AV199">
        <v>1</v>
      </c>
      <c r="AW199">
        <v>1</v>
      </c>
      <c r="AX199">
        <v>1</v>
      </c>
      <c r="AY199">
        <v>2</v>
      </c>
      <c r="AZ199">
        <v>2</v>
      </c>
      <c r="BA199">
        <v>2</v>
      </c>
      <c r="BB199">
        <v>2</v>
      </c>
      <c r="BC199">
        <v>2</v>
      </c>
      <c r="BD199">
        <v>3</v>
      </c>
      <c r="BE199">
        <v>9</v>
      </c>
      <c r="BF199">
        <v>11</v>
      </c>
      <c r="BG199">
        <v>18</v>
      </c>
      <c r="BH199">
        <v>47</v>
      </c>
      <c r="BI199">
        <v>58</v>
      </c>
      <c r="BJ199">
        <v>72</v>
      </c>
      <c r="BK199">
        <v>80</v>
      </c>
    </row>
    <row r="200" spans="1:63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2</v>
      </c>
      <c r="BA200">
        <v>2</v>
      </c>
      <c r="BB200">
        <v>2</v>
      </c>
      <c r="BC200">
        <v>2</v>
      </c>
      <c r="BD200">
        <v>2</v>
      </c>
      <c r="BE200">
        <v>2</v>
      </c>
      <c r="BF200">
        <v>2</v>
      </c>
      <c r="BG200">
        <v>2</v>
      </c>
      <c r="BH200">
        <v>2</v>
      </c>
      <c r="BI200">
        <v>3</v>
      </c>
      <c r="BJ200">
        <v>4</v>
      </c>
      <c r="BK200">
        <v>4</v>
      </c>
    </row>
    <row r="201" spans="1:63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2</v>
      </c>
      <c r="BC201">
        <v>2</v>
      </c>
      <c r="BD201">
        <v>2</v>
      </c>
      <c r="BE201">
        <v>2</v>
      </c>
      <c r="BF201">
        <v>3</v>
      </c>
      <c r="BG201">
        <v>6</v>
      </c>
      <c r="BH201">
        <v>8</v>
      </c>
      <c r="BI201">
        <v>9</v>
      </c>
      <c r="BJ201">
        <v>12</v>
      </c>
      <c r="BK201">
        <v>24</v>
      </c>
    </row>
    <row r="202" spans="1:63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1</v>
      </c>
      <c r="BB202">
        <v>2</v>
      </c>
      <c r="BC202">
        <v>2</v>
      </c>
      <c r="BD202">
        <v>2</v>
      </c>
      <c r="BE202">
        <v>2</v>
      </c>
      <c r="BF202">
        <v>3</v>
      </c>
      <c r="BG202">
        <v>6</v>
      </c>
      <c r="BH202">
        <v>6</v>
      </c>
      <c r="BI202">
        <v>6</v>
      </c>
      <c r="BJ202">
        <v>11</v>
      </c>
      <c r="BK202">
        <v>14</v>
      </c>
    </row>
    <row r="203" spans="1:63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1</v>
      </c>
      <c r="BC203">
        <v>1</v>
      </c>
      <c r="BD203">
        <v>1</v>
      </c>
      <c r="BE203">
        <v>1</v>
      </c>
      <c r="BF203">
        <v>2</v>
      </c>
      <c r="BG203">
        <v>6</v>
      </c>
      <c r="BH203">
        <v>8</v>
      </c>
      <c r="BI203">
        <v>11</v>
      </c>
      <c r="BJ203">
        <v>11</v>
      </c>
      <c r="BK203">
        <v>11</v>
      </c>
    </row>
    <row r="204" spans="1:63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</row>
    <row r="205" spans="1:63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2</v>
      </c>
      <c r="BE205">
        <v>2</v>
      </c>
      <c r="BF205">
        <v>2</v>
      </c>
      <c r="BG205">
        <v>2</v>
      </c>
      <c r="BH205">
        <v>3</v>
      </c>
      <c r="BI205">
        <v>4</v>
      </c>
      <c r="BJ205">
        <v>14</v>
      </c>
      <c r="BK205">
        <v>18</v>
      </c>
    </row>
    <row r="206" spans="1:63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1</v>
      </c>
      <c r="BC206">
        <v>1</v>
      </c>
      <c r="BD206">
        <v>1</v>
      </c>
      <c r="BE206">
        <v>1</v>
      </c>
      <c r="BF206">
        <v>1</v>
      </c>
      <c r="BG206">
        <v>1</v>
      </c>
      <c r="BH206">
        <v>5</v>
      </c>
      <c r="BI206">
        <v>6</v>
      </c>
      <c r="BJ206">
        <v>9</v>
      </c>
      <c r="BK206">
        <v>9</v>
      </c>
    </row>
    <row r="207" spans="1:63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3</v>
      </c>
      <c r="AV207">
        <v>3</v>
      </c>
      <c r="AW207">
        <v>3</v>
      </c>
      <c r="AX207">
        <v>3</v>
      </c>
      <c r="AY207">
        <v>3</v>
      </c>
      <c r="AZ207">
        <v>1</v>
      </c>
      <c r="BA207">
        <v>1</v>
      </c>
      <c r="BB207">
        <v>1</v>
      </c>
      <c r="BC207">
        <v>1</v>
      </c>
      <c r="BD207">
        <v>1</v>
      </c>
      <c r="BE207">
        <v>1</v>
      </c>
      <c r="BF207">
        <v>1</v>
      </c>
      <c r="BG207">
        <v>3</v>
      </c>
      <c r="BH207">
        <v>3</v>
      </c>
      <c r="BI207">
        <v>3</v>
      </c>
      <c r="BJ207">
        <v>3</v>
      </c>
      <c r="BK207">
        <v>3</v>
      </c>
    </row>
    <row r="208" spans="1:63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1</v>
      </c>
      <c r="BC208">
        <v>2</v>
      </c>
      <c r="BD208">
        <v>8</v>
      </c>
      <c r="BE208">
        <v>8</v>
      </c>
      <c r="BF208">
        <v>10</v>
      </c>
      <c r="BG208">
        <v>10</v>
      </c>
      <c r="BH208">
        <v>12</v>
      </c>
      <c r="BI208">
        <v>13</v>
      </c>
      <c r="BJ208">
        <v>15</v>
      </c>
      <c r="BK208">
        <v>16</v>
      </c>
    </row>
    <row r="209" spans="1:63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1</v>
      </c>
      <c r="BC209">
        <v>1</v>
      </c>
      <c r="BD209">
        <v>5</v>
      </c>
      <c r="BE209">
        <v>5</v>
      </c>
      <c r="BF209">
        <v>6</v>
      </c>
      <c r="BG209">
        <v>18</v>
      </c>
      <c r="BH209">
        <v>47</v>
      </c>
      <c r="BI209">
        <v>98</v>
      </c>
      <c r="BJ209">
        <v>192</v>
      </c>
      <c r="BK209">
        <v>359</v>
      </c>
    </row>
    <row r="210" spans="1:63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1</v>
      </c>
      <c r="AV210">
        <v>1</v>
      </c>
      <c r="AW210">
        <v>1</v>
      </c>
      <c r="AX210">
        <v>1</v>
      </c>
      <c r="AY210">
        <v>1</v>
      </c>
      <c r="AZ210">
        <v>1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3</v>
      </c>
      <c r="BI210">
        <v>8</v>
      </c>
      <c r="BJ210">
        <v>10</v>
      </c>
      <c r="BK210">
        <v>10</v>
      </c>
    </row>
    <row r="211" spans="1:63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</row>
    <row r="212" spans="1:63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</row>
    <row r="213" spans="1:63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</row>
    <row r="214" spans="1:63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</row>
    <row r="215" spans="1:63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</row>
    <row r="216" spans="1:63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</row>
    <row r="217" spans="1:63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</row>
    <row r="218" spans="1:63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</row>
    <row r="219" spans="1:63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</row>
    <row r="220" spans="1:63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</row>
    <row r="221" spans="1:63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</row>
    <row r="222" spans="1:63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</row>
    <row r="223" spans="1:63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</row>
    <row r="224" spans="1:63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</row>
    <row r="225" spans="1:63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</row>
    <row r="226" spans="1:63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</row>
    <row r="227" spans="1:63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</row>
    <row r="228" spans="1:63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</row>
    <row r="229" spans="1:63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</row>
    <row r="230" spans="1:63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</row>
    <row r="231" spans="1:63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</row>
    <row r="232" spans="1:63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</row>
    <row r="233" spans="1:63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</row>
    <row r="234" spans="1:63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</row>
    <row r="235" spans="1:63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</row>
    <row r="236" spans="1:63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</row>
    <row r="237" spans="1:63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</row>
    <row r="238" spans="1:63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</row>
    <row r="239" spans="1:63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</row>
    <row r="240" spans="1:63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</row>
    <row r="241" spans="1:63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</row>
    <row r="242" spans="1:63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</row>
    <row r="243" spans="1:63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</row>
    <row r="244" spans="1:63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</row>
    <row r="245" spans="1:63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</row>
    <row r="246" spans="1:63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</row>
    <row r="247" spans="1:63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</row>
    <row r="248" spans="1:63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</row>
    <row r="249" spans="1:63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1</v>
      </c>
      <c r="AZ249">
        <v>1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</row>
    <row r="250" spans="1:63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1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</row>
    <row r="251" spans="1:63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1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</row>
    <row r="252" spans="1:63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1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</row>
    <row r="253" spans="1:63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1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</row>
    <row r="254" spans="1:63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1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</row>
    <row r="255" spans="1:63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1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</row>
    <row r="256" spans="1:63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1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</row>
    <row r="257" spans="1:63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1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</row>
    <row r="258" spans="1:63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2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</row>
    <row r="259" spans="1:63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3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</row>
    <row r="260" spans="1:63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1</v>
      </c>
      <c r="AZ260">
        <v>1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</row>
    <row r="261" spans="1:63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1</v>
      </c>
      <c r="AZ261">
        <v>1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</row>
    <row r="262" spans="1:63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1</v>
      </c>
      <c r="AZ262">
        <v>1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</row>
    <row r="263" spans="1:63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1</v>
      </c>
      <c r="AZ263">
        <v>1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</row>
    <row r="264" spans="1:63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1</v>
      </c>
      <c r="AZ264">
        <v>1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</row>
    <row r="265" spans="1:63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1</v>
      </c>
      <c r="AZ265">
        <v>2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</row>
    <row r="266" spans="1:63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1</v>
      </c>
      <c r="AZ266">
        <v>1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</row>
    <row r="267" spans="1:63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1</v>
      </c>
      <c r="AZ267">
        <v>1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</row>
    <row r="268" spans="1:63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1</v>
      </c>
      <c r="AZ268">
        <v>1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</row>
    <row r="269" spans="1:63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1</v>
      </c>
      <c r="AZ269">
        <v>2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</row>
    <row r="270" spans="1:63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1</v>
      </c>
      <c r="AZ270">
        <v>1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</row>
    <row r="271" spans="1:63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1</v>
      </c>
      <c r="AZ271">
        <v>1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</row>
    <row r="272" spans="1:63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1</v>
      </c>
      <c r="AX272">
        <v>1</v>
      </c>
      <c r="AY272">
        <v>1</v>
      </c>
      <c r="AZ272">
        <v>1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</row>
    <row r="273" spans="1:63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1</v>
      </c>
      <c r="AZ273">
        <v>1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</row>
    <row r="274" spans="1:63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1</v>
      </c>
      <c r="AZ274">
        <v>1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</row>
    <row r="275" spans="1:63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1</v>
      </c>
      <c r="AZ275">
        <v>1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</row>
    <row r="276" spans="1:63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1</v>
      </c>
      <c r="AZ276">
        <v>1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</row>
    <row r="277" spans="1:63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1</v>
      </c>
      <c r="AZ277">
        <v>1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</row>
    <row r="278" spans="1:63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1</v>
      </c>
      <c r="AZ278">
        <v>1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</row>
    <row r="279" spans="1:63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2</v>
      </c>
      <c r="AZ279">
        <v>2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</row>
    <row r="280" spans="1:63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1</v>
      </c>
      <c r="AZ280">
        <v>1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</row>
    <row r="281" spans="1:63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2</v>
      </c>
      <c r="AZ281">
        <v>2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</row>
    <row r="282" spans="1:63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4</v>
      </c>
      <c r="AZ282">
        <v>5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</row>
    <row r="283" spans="1:63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1</v>
      </c>
      <c r="AU283">
        <v>1</v>
      </c>
      <c r="AV283">
        <v>1</v>
      </c>
      <c r="AW283">
        <v>1</v>
      </c>
      <c r="AX283">
        <v>2</v>
      </c>
      <c r="AY283">
        <v>2</v>
      </c>
      <c r="AZ283">
        <v>2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</row>
    <row r="284" spans="1:63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2</v>
      </c>
      <c r="AY284">
        <v>2</v>
      </c>
      <c r="AZ284">
        <v>3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</row>
    <row r="285" spans="1:63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2</v>
      </c>
      <c r="AY285">
        <v>2</v>
      </c>
      <c r="AZ285">
        <v>2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</row>
    <row r="286" spans="1:63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2</v>
      </c>
      <c r="AY286">
        <v>2</v>
      </c>
      <c r="AZ286">
        <v>2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</row>
    <row r="287" spans="1:63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2</v>
      </c>
      <c r="AY287">
        <v>2</v>
      </c>
      <c r="AZ287">
        <v>4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</row>
    <row r="288" spans="1:63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2</v>
      </c>
      <c r="AY288">
        <v>2</v>
      </c>
      <c r="AZ288">
        <v>2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</row>
    <row r="289" spans="1:63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1</v>
      </c>
      <c r="AY289">
        <v>1</v>
      </c>
      <c r="AZ289">
        <v>1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</row>
    <row r="290" spans="1:63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1</v>
      </c>
      <c r="AY290">
        <v>1</v>
      </c>
      <c r="AZ290">
        <v>1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</row>
    <row r="291" spans="1:63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1</v>
      </c>
      <c r="AY291">
        <v>1</v>
      </c>
      <c r="AZ291">
        <v>3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</row>
    <row r="292" spans="1:63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1</v>
      </c>
      <c r="AY292">
        <v>1</v>
      </c>
      <c r="AZ292">
        <v>1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</row>
    <row r="293" spans="1:63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1</v>
      </c>
      <c r="AY293">
        <v>1</v>
      </c>
      <c r="AZ293">
        <v>1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</row>
    <row r="294" spans="1:63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1</v>
      </c>
      <c r="AY294">
        <v>1</v>
      </c>
      <c r="AZ294">
        <v>1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</row>
    <row r="295" spans="1:63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1</v>
      </c>
      <c r="AY295">
        <v>2</v>
      </c>
      <c r="AZ295">
        <v>2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</row>
    <row r="296" spans="1:63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1</v>
      </c>
      <c r="AY296">
        <v>1</v>
      </c>
      <c r="AZ296">
        <v>1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</row>
    <row r="297" spans="1:63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1</v>
      </c>
      <c r="AY297">
        <v>1</v>
      </c>
      <c r="AZ297">
        <v>1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</row>
    <row r="298" spans="1:63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1</v>
      </c>
      <c r="AY298">
        <v>1</v>
      </c>
      <c r="AZ298">
        <v>1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</row>
    <row r="299" spans="1:63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1</v>
      </c>
      <c r="AY299">
        <v>1</v>
      </c>
      <c r="AZ299">
        <v>1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</row>
    <row r="300" spans="1:63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1</v>
      </c>
      <c r="AY300">
        <v>4</v>
      </c>
      <c r="AZ300">
        <v>4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</row>
    <row r="301" spans="1:63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1</v>
      </c>
      <c r="AY301">
        <v>1</v>
      </c>
      <c r="AZ301">
        <v>1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</row>
    <row r="302" spans="1:63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3</v>
      </c>
      <c r="AY302">
        <v>3</v>
      </c>
      <c r="AZ302">
        <v>3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</row>
    <row r="303" spans="1:63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1</v>
      </c>
      <c r="AS303">
        <v>2</v>
      </c>
      <c r="AT303">
        <v>2</v>
      </c>
      <c r="AU303">
        <v>2</v>
      </c>
      <c r="AV303">
        <v>2</v>
      </c>
      <c r="AW303">
        <v>2</v>
      </c>
      <c r="AX303">
        <v>3</v>
      </c>
      <c r="AY303">
        <v>3</v>
      </c>
      <c r="AZ303">
        <v>3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</row>
    <row r="304" spans="1:63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1</v>
      </c>
      <c r="AX304">
        <v>1</v>
      </c>
      <c r="AY304">
        <v>1</v>
      </c>
      <c r="AZ304">
        <v>1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</row>
    <row r="305" spans="1:63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1</v>
      </c>
      <c r="AX305">
        <v>1</v>
      </c>
      <c r="AY305">
        <v>1</v>
      </c>
      <c r="AZ305">
        <v>1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</row>
    <row r="306" spans="1:63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1</v>
      </c>
      <c r="AX306">
        <v>1</v>
      </c>
      <c r="AY306">
        <v>1</v>
      </c>
      <c r="AZ306">
        <v>3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</row>
    <row r="307" spans="1:63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1</v>
      </c>
      <c r="AX307">
        <v>1</v>
      </c>
      <c r="AY307">
        <v>1</v>
      </c>
      <c r="AZ307">
        <v>1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</row>
    <row r="308" spans="1:63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1</v>
      </c>
      <c r="AX308">
        <v>1</v>
      </c>
      <c r="AY308">
        <v>1</v>
      </c>
      <c r="AZ308">
        <v>1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</row>
    <row r="309" spans="1:63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1</v>
      </c>
      <c r="AX309">
        <v>1</v>
      </c>
      <c r="AY309">
        <v>7</v>
      </c>
      <c r="AZ309">
        <v>7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</row>
    <row r="310" spans="1:63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1</v>
      </c>
      <c r="AW310">
        <v>1</v>
      </c>
      <c r="AX310">
        <v>4</v>
      </c>
      <c r="AY310">
        <v>5</v>
      </c>
      <c r="AZ310">
        <v>17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</row>
    <row r="311" spans="1:63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1</v>
      </c>
      <c r="AX311">
        <v>1</v>
      </c>
      <c r="AY311">
        <v>1</v>
      </c>
      <c r="AZ311">
        <v>1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</row>
    <row r="312" spans="1:63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1</v>
      </c>
      <c r="AX312">
        <v>1</v>
      </c>
      <c r="AY312">
        <v>2</v>
      </c>
      <c r="AZ312">
        <v>2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</row>
    <row r="313" spans="1:63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1</v>
      </c>
      <c r="AX313">
        <v>1</v>
      </c>
      <c r="AY313">
        <v>1</v>
      </c>
      <c r="AZ313">
        <v>1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</row>
    <row r="314" spans="1:63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1</v>
      </c>
      <c r="AX314">
        <v>1</v>
      </c>
      <c r="AY314">
        <v>1</v>
      </c>
      <c r="AZ314">
        <v>1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</row>
    <row r="315" spans="1:63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1</v>
      </c>
      <c r="O315">
        <v>1</v>
      </c>
      <c r="P315">
        <v>1</v>
      </c>
      <c r="Q315">
        <v>2</v>
      </c>
      <c r="R315">
        <v>2</v>
      </c>
      <c r="S315">
        <v>2</v>
      </c>
      <c r="T315">
        <v>2</v>
      </c>
      <c r="U315">
        <v>2</v>
      </c>
      <c r="V315">
        <v>2</v>
      </c>
      <c r="W315">
        <v>2</v>
      </c>
      <c r="X315">
        <v>2</v>
      </c>
      <c r="Y315">
        <v>2</v>
      </c>
      <c r="Z315">
        <v>2</v>
      </c>
      <c r="AA315">
        <v>2</v>
      </c>
      <c r="AB315">
        <v>2</v>
      </c>
      <c r="AC315">
        <v>2</v>
      </c>
      <c r="AD315">
        <v>2</v>
      </c>
      <c r="AE315">
        <v>2</v>
      </c>
      <c r="AF315">
        <v>2</v>
      </c>
      <c r="AG315">
        <v>2</v>
      </c>
      <c r="AH315">
        <v>2</v>
      </c>
      <c r="AI315">
        <v>2</v>
      </c>
      <c r="AJ315">
        <v>2</v>
      </c>
      <c r="AK315">
        <v>2</v>
      </c>
      <c r="AL315">
        <v>2</v>
      </c>
      <c r="AM315">
        <v>2</v>
      </c>
      <c r="AN315">
        <v>2</v>
      </c>
      <c r="AO315">
        <v>2</v>
      </c>
      <c r="AP315">
        <v>2</v>
      </c>
      <c r="AQ315">
        <v>3</v>
      </c>
      <c r="AR315">
        <v>3</v>
      </c>
      <c r="AS315">
        <v>9</v>
      </c>
      <c r="AT315">
        <v>11</v>
      </c>
      <c r="AU315">
        <v>11</v>
      </c>
      <c r="AV315">
        <v>20</v>
      </c>
      <c r="AW315">
        <v>20</v>
      </c>
      <c r="AX315">
        <v>32</v>
      </c>
      <c r="AY315">
        <v>38</v>
      </c>
      <c r="AZ315">
        <v>38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</row>
    <row r="316" spans="1:63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1</v>
      </c>
      <c r="AW316">
        <v>1</v>
      </c>
      <c r="AX316">
        <v>1</v>
      </c>
      <c r="AY316">
        <v>2</v>
      </c>
      <c r="AZ316">
        <v>2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</row>
    <row r="317" spans="1:63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1</v>
      </c>
      <c r="AW317">
        <v>1</v>
      </c>
      <c r="AX317">
        <v>3</v>
      </c>
      <c r="AY317">
        <v>6</v>
      </c>
      <c r="AZ317">
        <v>6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</row>
    <row r="318" spans="1:63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1</v>
      </c>
      <c r="AW318">
        <v>1</v>
      </c>
      <c r="AX318">
        <v>1</v>
      </c>
      <c r="AY318">
        <v>1</v>
      </c>
      <c r="AZ318">
        <v>1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</row>
    <row r="319" spans="1:63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1</v>
      </c>
      <c r="AW319">
        <v>1</v>
      </c>
      <c r="AX319">
        <v>1</v>
      </c>
      <c r="AY319">
        <v>1</v>
      </c>
      <c r="AZ319">
        <v>1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</row>
    <row r="320" spans="1:63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1</v>
      </c>
      <c r="AW320">
        <v>1</v>
      </c>
      <c r="AX320">
        <v>1</v>
      </c>
      <c r="AY320">
        <v>1</v>
      </c>
      <c r="AZ320">
        <v>1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</row>
    <row r="321" spans="1:63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1</v>
      </c>
      <c r="AT321">
        <v>1</v>
      </c>
      <c r="AU321">
        <v>1</v>
      </c>
      <c r="AV321">
        <v>4</v>
      </c>
      <c r="AW321">
        <v>11</v>
      </c>
      <c r="AX321">
        <v>11</v>
      </c>
      <c r="AY321">
        <v>12</v>
      </c>
      <c r="AZ321">
        <v>19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</row>
    <row r="322" spans="1:63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3</v>
      </c>
      <c r="AX322">
        <v>3</v>
      </c>
      <c r="AY322">
        <v>4</v>
      </c>
      <c r="AZ322">
        <v>4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</row>
    <row r="323" spans="1:63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1</v>
      </c>
      <c r="P323">
        <v>1</v>
      </c>
      <c r="Q323">
        <v>1</v>
      </c>
      <c r="R323">
        <v>1</v>
      </c>
      <c r="S323">
        <v>1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>
        <v>1</v>
      </c>
      <c r="AH323">
        <v>1</v>
      </c>
      <c r="AI323">
        <v>1</v>
      </c>
      <c r="AJ323">
        <v>1</v>
      </c>
      <c r="AK323">
        <v>1</v>
      </c>
      <c r="AL323">
        <v>1</v>
      </c>
      <c r="AM323">
        <v>1</v>
      </c>
      <c r="AN323">
        <v>1</v>
      </c>
      <c r="AO323">
        <v>1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3</v>
      </c>
      <c r="AX323">
        <v>3</v>
      </c>
      <c r="AY323">
        <v>8</v>
      </c>
      <c r="AZ323">
        <v>8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</row>
    <row r="324" spans="1:63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2</v>
      </c>
      <c r="AX324">
        <v>2</v>
      </c>
      <c r="AY324">
        <v>2</v>
      </c>
      <c r="AZ324">
        <v>2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</row>
    <row r="325" spans="1:63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1</v>
      </c>
      <c r="AX325">
        <v>1</v>
      </c>
      <c r="AY325">
        <v>1</v>
      </c>
      <c r="AZ325">
        <v>1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</row>
    <row r="326" spans="1:63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2</v>
      </c>
      <c r="AW326">
        <v>2</v>
      </c>
      <c r="AX326">
        <v>4</v>
      </c>
      <c r="AY326">
        <v>4</v>
      </c>
      <c r="AZ326">
        <v>4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</row>
    <row r="327" spans="1:63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2</v>
      </c>
      <c r="AW327">
        <v>3</v>
      </c>
      <c r="AX327">
        <v>5</v>
      </c>
      <c r="AY327">
        <v>5</v>
      </c>
      <c r="AZ327">
        <v>6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</row>
    <row r="328" spans="1:63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2</v>
      </c>
      <c r="AW328">
        <v>2</v>
      </c>
      <c r="AX328">
        <v>9</v>
      </c>
      <c r="AY328">
        <v>9</v>
      </c>
      <c r="AZ328">
        <v>9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</row>
    <row r="329" spans="1:63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1</v>
      </c>
      <c r="AV329">
        <v>1</v>
      </c>
      <c r="AW329">
        <v>3</v>
      </c>
      <c r="AX329">
        <v>3</v>
      </c>
      <c r="AY329">
        <v>9</v>
      </c>
      <c r="AZ329">
        <v>9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</row>
    <row r="330" spans="1:63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1</v>
      </c>
      <c r="J330">
        <v>1</v>
      </c>
      <c r="K330">
        <v>1</v>
      </c>
      <c r="L330">
        <v>1</v>
      </c>
      <c r="M330">
        <v>1</v>
      </c>
      <c r="N330">
        <v>1</v>
      </c>
      <c r="O330">
        <v>1</v>
      </c>
      <c r="P330">
        <v>1</v>
      </c>
      <c r="Q330">
        <v>1</v>
      </c>
      <c r="R330">
        <v>1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>
        <v>1</v>
      </c>
      <c r="AH330">
        <v>1</v>
      </c>
      <c r="AI330">
        <v>1</v>
      </c>
      <c r="AJ330">
        <v>1</v>
      </c>
      <c r="AK330">
        <v>1</v>
      </c>
      <c r="AL330">
        <v>1</v>
      </c>
      <c r="AM330">
        <v>1</v>
      </c>
      <c r="AN330">
        <v>1</v>
      </c>
      <c r="AO330">
        <v>1</v>
      </c>
      <c r="AP330">
        <v>1</v>
      </c>
      <c r="AQ330">
        <v>1</v>
      </c>
      <c r="AR330">
        <v>1</v>
      </c>
      <c r="AS330">
        <v>1</v>
      </c>
      <c r="AT330">
        <v>1</v>
      </c>
      <c r="AU330">
        <v>3</v>
      </c>
      <c r="AV330">
        <v>3</v>
      </c>
      <c r="AW330">
        <v>3</v>
      </c>
      <c r="AX330">
        <v>3</v>
      </c>
      <c r="AY330">
        <v>3</v>
      </c>
      <c r="AZ330">
        <v>4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</row>
    <row r="331" spans="1:63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1</v>
      </c>
      <c r="AU331">
        <v>1</v>
      </c>
      <c r="AV331">
        <v>1</v>
      </c>
      <c r="AW331">
        <v>2</v>
      </c>
      <c r="AX331">
        <v>2</v>
      </c>
      <c r="AY331">
        <v>6</v>
      </c>
      <c r="AZ331">
        <v>6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</row>
    <row r="332" spans="1:63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1</v>
      </c>
      <c r="J332">
        <v>1</v>
      </c>
      <c r="K332">
        <v>1</v>
      </c>
      <c r="L332">
        <v>1</v>
      </c>
      <c r="M332">
        <v>1</v>
      </c>
      <c r="N332">
        <v>1</v>
      </c>
      <c r="O332">
        <v>1</v>
      </c>
      <c r="P332">
        <v>1</v>
      </c>
      <c r="Q332">
        <v>1</v>
      </c>
      <c r="R332">
        <v>1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>
        <v>1</v>
      </c>
      <c r="AH332">
        <v>1</v>
      </c>
      <c r="AI332">
        <v>1</v>
      </c>
      <c r="AJ332">
        <v>1</v>
      </c>
      <c r="AK332">
        <v>1</v>
      </c>
      <c r="AL332">
        <v>1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2</v>
      </c>
      <c r="AX332">
        <v>2</v>
      </c>
      <c r="AY332">
        <v>2</v>
      </c>
      <c r="AZ332">
        <v>2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</row>
    <row r="333" spans="1:63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1</v>
      </c>
      <c r="AU333">
        <v>1</v>
      </c>
      <c r="AV333">
        <v>1</v>
      </c>
      <c r="AW333">
        <v>1</v>
      </c>
      <c r="AX333">
        <v>1</v>
      </c>
      <c r="AY333">
        <v>1</v>
      </c>
      <c r="AZ333">
        <v>1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</row>
    <row r="334" spans="1:63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1</v>
      </c>
      <c r="AU334">
        <v>10</v>
      </c>
      <c r="AV334">
        <v>18</v>
      </c>
      <c r="AW334">
        <v>19</v>
      </c>
      <c r="AX334">
        <v>57</v>
      </c>
      <c r="AY334">
        <v>83</v>
      </c>
      <c r="AZ334">
        <v>98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</row>
    <row r="335" spans="1:63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1</v>
      </c>
      <c r="AT335">
        <v>2</v>
      </c>
      <c r="AU335">
        <v>2</v>
      </c>
      <c r="AV335">
        <v>2</v>
      </c>
      <c r="AW335">
        <v>2</v>
      </c>
      <c r="AX335">
        <v>2</v>
      </c>
      <c r="AY335">
        <v>3</v>
      </c>
      <c r="AZ335">
        <v>3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</row>
    <row r="336" spans="1:63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1</v>
      </c>
      <c r="AT336">
        <v>2</v>
      </c>
      <c r="AU336">
        <v>2</v>
      </c>
      <c r="AV336">
        <v>2</v>
      </c>
      <c r="AW336">
        <v>2</v>
      </c>
      <c r="AX336">
        <v>2</v>
      </c>
      <c r="AY336">
        <v>2</v>
      </c>
      <c r="AZ336">
        <v>2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</row>
    <row r="337" spans="1:63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1</v>
      </c>
      <c r="AT337">
        <v>1</v>
      </c>
      <c r="AU337">
        <v>2</v>
      </c>
      <c r="AV337">
        <v>2</v>
      </c>
      <c r="AW337">
        <v>5</v>
      </c>
      <c r="AX337">
        <v>5</v>
      </c>
      <c r="AY337">
        <v>5</v>
      </c>
      <c r="AZ337">
        <v>7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</row>
    <row r="338" spans="1:63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1</v>
      </c>
      <c r="AT338">
        <v>2</v>
      </c>
      <c r="AU338">
        <v>2</v>
      </c>
      <c r="AV338">
        <v>2</v>
      </c>
      <c r="AW338">
        <v>2</v>
      </c>
      <c r="AX338">
        <v>2</v>
      </c>
      <c r="AY338">
        <v>2</v>
      </c>
      <c r="AZ338">
        <v>2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</row>
    <row r="339" spans="1:63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1</v>
      </c>
      <c r="AT339">
        <v>1</v>
      </c>
      <c r="AU339">
        <v>1</v>
      </c>
      <c r="AV339">
        <v>1</v>
      </c>
      <c r="AW339">
        <v>1</v>
      </c>
      <c r="AX339">
        <v>1</v>
      </c>
      <c r="AY339">
        <v>1</v>
      </c>
      <c r="AZ339">
        <v>3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</row>
    <row r="340" spans="1:63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1</v>
      </c>
      <c r="AT340">
        <v>1</v>
      </c>
      <c r="AU340">
        <v>1</v>
      </c>
      <c r="AV340">
        <v>1</v>
      </c>
      <c r="AW340">
        <v>1</v>
      </c>
      <c r="AX340">
        <v>1</v>
      </c>
      <c r="AY340">
        <v>1</v>
      </c>
      <c r="AZ340">
        <v>1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</row>
    <row r="341" spans="1:63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2</v>
      </c>
      <c r="AU341">
        <v>2</v>
      </c>
      <c r="AV341">
        <v>2</v>
      </c>
      <c r="AW341">
        <v>2</v>
      </c>
      <c r="AX341">
        <v>3</v>
      </c>
      <c r="AY341">
        <v>3</v>
      </c>
      <c r="AZ341">
        <v>5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</row>
    <row r="342" spans="1:63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1</v>
      </c>
      <c r="AR342">
        <v>1</v>
      </c>
      <c r="AS342">
        <v>2</v>
      </c>
      <c r="AT342">
        <v>2</v>
      </c>
      <c r="AU342">
        <v>2</v>
      </c>
      <c r="AV342">
        <v>2</v>
      </c>
      <c r="AW342">
        <v>2</v>
      </c>
      <c r="AX342">
        <v>3</v>
      </c>
      <c r="AY342">
        <v>8</v>
      </c>
      <c r="AZ342">
        <v>8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</row>
    <row r="343" spans="1:63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1</v>
      </c>
      <c r="AR343">
        <v>2</v>
      </c>
      <c r="AS343">
        <v>4</v>
      </c>
      <c r="AT343">
        <v>6</v>
      </c>
      <c r="AU343">
        <v>8</v>
      </c>
      <c r="AV343">
        <v>18</v>
      </c>
      <c r="AW343">
        <v>19</v>
      </c>
      <c r="AX343">
        <v>27</v>
      </c>
      <c r="AY343">
        <v>31</v>
      </c>
      <c r="AZ343">
        <v>31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</row>
    <row r="344" spans="1:63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1</v>
      </c>
      <c r="AJ344">
        <v>1</v>
      </c>
      <c r="AK344">
        <v>1</v>
      </c>
      <c r="AL344">
        <v>1</v>
      </c>
      <c r="AM344">
        <v>1</v>
      </c>
      <c r="AN344">
        <v>1</v>
      </c>
      <c r="AO344">
        <v>1</v>
      </c>
      <c r="AP344">
        <v>1</v>
      </c>
      <c r="AQ344">
        <v>1</v>
      </c>
      <c r="AR344">
        <v>1</v>
      </c>
      <c r="AS344">
        <v>1</v>
      </c>
      <c r="AT344">
        <v>1</v>
      </c>
      <c r="AU344">
        <v>1</v>
      </c>
      <c r="AV344">
        <v>1</v>
      </c>
      <c r="AW344">
        <v>1</v>
      </c>
      <c r="AX344">
        <v>1</v>
      </c>
      <c r="AY344">
        <v>1</v>
      </c>
      <c r="AZ344">
        <v>1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</row>
    <row r="345" spans="1:63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1</v>
      </c>
      <c r="AJ345">
        <v>1</v>
      </c>
      <c r="AK345">
        <v>1</v>
      </c>
      <c r="AL345">
        <v>1</v>
      </c>
      <c r="AM345">
        <v>1</v>
      </c>
      <c r="AN345">
        <v>1</v>
      </c>
      <c r="AO345">
        <v>2</v>
      </c>
      <c r="AP345">
        <v>2</v>
      </c>
      <c r="AQ345">
        <v>2</v>
      </c>
      <c r="AR345">
        <v>2</v>
      </c>
      <c r="AS345">
        <v>2</v>
      </c>
      <c r="AT345">
        <v>2</v>
      </c>
      <c r="AU345">
        <v>2</v>
      </c>
      <c r="AV345">
        <v>2</v>
      </c>
      <c r="AW345">
        <v>2</v>
      </c>
      <c r="AX345">
        <v>2</v>
      </c>
      <c r="AY345">
        <v>2</v>
      </c>
      <c r="AZ345">
        <v>2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</row>
    <row r="346" spans="1:63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1</v>
      </c>
      <c r="Z346">
        <v>1</v>
      </c>
      <c r="AA346">
        <v>2</v>
      </c>
      <c r="AB346">
        <v>2</v>
      </c>
      <c r="AC346">
        <v>2</v>
      </c>
      <c r="AD346">
        <v>2</v>
      </c>
      <c r="AE346">
        <v>2</v>
      </c>
      <c r="AF346">
        <v>2</v>
      </c>
      <c r="AG346">
        <v>2</v>
      </c>
      <c r="AH346">
        <v>2</v>
      </c>
      <c r="AI346">
        <v>2</v>
      </c>
      <c r="AJ346">
        <v>2</v>
      </c>
      <c r="AK346">
        <v>2</v>
      </c>
      <c r="AL346">
        <v>2</v>
      </c>
      <c r="AM346">
        <v>2</v>
      </c>
      <c r="AN346">
        <v>2</v>
      </c>
      <c r="AO346">
        <v>2</v>
      </c>
      <c r="AP346">
        <v>2</v>
      </c>
      <c r="AQ346">
        <v>2</v>
      </c>
      <c r="AR346">
        <v>2</v>
      </c>
      <c r="AS346">
        <v>2</v>
      </c>
      <c r="AT346">
        <v>2</v>
      </c>
      <c r="AU346">
        <v>2</v>
      </c>
      <c r="AV346">
        <v>3</v>
      </c>
      <c r="AW346">
        <v>3</v>
      </c>
      <c r="AX346">
        <v>3</v>
      </c>
      <c r="AY346">
        <v>3</v>
      </c>
      <c r="AZ346">
        <v>3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</row>
    <row r="347" spans="1:63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2</v>
      </c>
      <c r="R347">
        <v>2</v>
      </c>
      <c r="S347">
        <v>2</v>
      </c>
      <c r="T347">
        <v>2</v>
      </c>
      <c r="U347">
        <v>2</v>
      </c>
      <c r="V347">
        <v>2</v>
      </c>
      <c r="W347">
        <v>2</v>
      </c>
      <c r="X347">
        <v>2</v>
      </c>
      <c r="Y347">
        <v>2</v>
      </c>
      <c r="Z347">
        <v>2</v>
      </c>
      <c r="AA347">
        <v>2</v>
      </c>
      <c r="AB347">
        <v>2</v>
      </c>
      <c r="AC347">
        <v>2</v>
      </c>
      <c r="AD347">
        <v>2</v>
      </c>
      <c r="AE347">
        <v>2</v>
      </c>
      <c r="AF347">
        <v>2</v>
      </c>
      <c r="AG347">
        <v>2</v>
      </c>
      <c r="AH347">
        <v>2</v>
      </c>
      <c r="AI347">
        <v>2</v>
      </c>
      <c r="AJ347">
        <v>2</v>
      </c>
      <c r="AK347">
        <v>2</v>
      </c>
      <c r="AL347">
        <v>2</v>
      </c>
      <c r="AM347">
        <v>2</v>
      </c>
      <c r="AN347">
        <v>2</v>
      </c>
      <c r="AO347">
        <v>2</v>
      </c>
      <c r="AP347">
        <v>2</v>
      </c>
      <c r="AQ347">
        <v>2</v>
      </c>
      <c r="AR347">
        <v>2</v>
      </c>
      <c r="AS347">
        <v>2</v>
      </c>
      <c r="AT347">
        <v>2</v>
      </c>
      <c r="AU347">
        <v>2</v>
      </c>
      <c r="AV347">
        <v>2</v>
      </c>
      <c r="AW347">
        <v>2</v>
      </c>
      <c r="AX347">
        <v>2</v>
      </c>
      <c r="AY347">
        <v>2</v>
      </c>
      <c r="AZ347">
        <v>2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</row>
    <row r="348" spans="1:63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1</v>
      </c>
      <c r="J348">
        <v>1</v>
      </c>
      <c r="K348">
        <v>1</v>
      </c>
      <c r="L348">
        <v>1</v>
      </c>
      <c r="M348">
        <v>1</v>
      </c>
      <c r="N348">
        <v>1</v>
      </c>
      <c r="O348">
        <v>1</v>
      </c>
      <c r="P348">
        <v>1</v>
      </c>
      <c r="Q348">
        <v>1</v>
      </c>
      <c r="R348">
        <v>1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>
        <v>1</v>
      </c>
      <c r="AH348">
        <v>1</v>
      </c>
      <c r="AI348">
        <v>1</v>
      </c>
      <c r="AJ348">
        <v>1</v>
      </c>
      <c r="AK348">
        <v>1</v>
      </c>
      <c r="AL348">
        <v>1</v>
      </c>
      <c r="AM348">
        <v>1</v>
      </c>
      <c r="AN348">
        <v>1</v>
      </c>
      <c r="AO348">
        <v>1</v>
      </c>
      <c r="AP348">
        <v>1</v>
      </c>
      <c r="AQ348">
        <v>1</v>
      </c>
      <c r="AR348">
        <v>1</v>
      </c>
      <c r="AS348">
        <v>1</v>
      </c>
      <c r="AT348">
        <v>1</v>
      </c>
      <c r="AU348">
        <v>7</v>
      </c>
      <c r="AV348">
        <v>11</v>
      </c>
      <c r="AW348">
        <v>13</v>
      </c>
      <c r="AX348">
        <v>14</v>
      </c>
      <c r="AY348">
        <v>14</v>
      </c>
      <c r="AZ348">
        <v>14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</row>
    <row r="349" spans="1:63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1</v>
      </c>
      <c r="F349">
        <v>1</v>
      </c>
      <c r="G349">
        <v>1</v>
      </c>
      <c r="H349">
        <v>1</v>
      </c>
      <c r="I349">
        <v>1</v>
      </c>
      <c r="J349">
        <v>1</v>
      </c>
      <c r="K349">
        <v>1</v>
      </c>
      <c r="L349">
        <v>1</v>
      </c>
      <c r="M349">
        <v>1</v>
      </c>
      <c r="N349">
        <v>1</v>
      </c>
      <c r="O349">
        <v>1</v>
      </c>
      <c r="P349">
        <v>1</v>
      </c>
      <c r="Q349">
        <v>1</v>
      </c>
      <c r="R349">
        <v>1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6</v>
      </c>
      <c r="AR349">
        <v>9</v>
      </c>
      <c r="AS349">
        <v>14</v>
      </c>
      <c r="AT349">
        <v>21</v>
      </c>
      <c r="AU349">
        <v>31</v>
      </c>
      <c r="AV349">
        <v>51</v>
      </c>
      <c r="AW349">
        <v>58</v>
      </c>
      <c r="AX349">
        <v>71</v>
      </c>
      <c r="AY349">
        <v>83</v>
      </c>
      <c r="AZ349">
        <v>83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</row>
    <row r="350" spans="1:63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1</v>
      </c>
      <c r="H350">
        <v>1</v>
      </c>
      <c r="I350">
        <v>1</v>
      </c>
      <c r="J350">
        <v>1</v>
      </c>
      <c r="K350">
        <v>1</v>
      </c>
      <c r="L350">
        <v>1</v>
      </c>
      <c r="M350">
        <v>1</v>
      </c>
      <c r="N350">
        <v>2</v>
      </c>
      <c r="O350">
        <v>2</v>
      </c>
      <c r="P350">
        <v>2</v>
      </c>
      <c r="Q350">
        <v>2</v>
      </c>
      <c r="R350">
        <v>2</v>
      </c>
      <c r="S350">
        <v>2</v>
      </c>
      <c r="T350">
        <v>2</v>
      </c>
      <c r="U350">
        <v>2</v>
      </c>
      <c r="V350">
        <v>2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3</v>
      </c>
      <c r="AS350">
        <v>4</v>
      </c>
      <c r="AT350">
        <v>4</v>
      </c>
      <c r="AU350">
        <v>4</v>
      </c>
      <c r="AV350">
        <v>5</v>
      </c>
      <c r="AW350">
        <v>5</v>
      </c>
      <c r="AX350">
        <v>6</v>
      </c>
      <c r="AY350">
        <v>7</v>
      </c>
      <c r="AZ350">
        <v>7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</row>
    <row r="351" spans="1:63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</row>
    <row r="352" spans="1:63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</row>
    <row r="353" spans="1:63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</row>
    <row r="354" spans="1:63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</row>
    <row r="355" spans="1:63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</row>
    <row r="356" spans="1:63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</row>
    <row r="357" spans="1:63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</row>
    <row r="358" spans="1:63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</row>
    <row r="359" spans="1:63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</row>
    <row r="360" spans="1:63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</row>
    <row r="361" spans="1:63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</row>
    <row r="362" spans="1:63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</row>
    <row r="363" spans="1:63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</row>
    <row r="364" spans="1:63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</row>
    <row r="365" spans="1:63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</row>
    <row r="366" spans="1:63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</row>
    <row r="367" spans="1:63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</row>
    <row r="368" spans="1:63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</row>
    <row r="369" spans="1:63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</row>
    <row r="370" spans="1:63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</row>
    <row r="371" spans="1:63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</row>
    <row r="372" spans="1:63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</row>
    <row r="373" spans="1:63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</row>
    <row r="374" spans="1:63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</row>
    <row r="375" spans="1:63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</row>
    <row r="376" spans="1:63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</row>
    <row r="377" spans="1:63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</row>
    <row r="378" spans="1:63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</row>
    <row r="379" spans="1:63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</row>
    <row r="380" spans="1:63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</row>
    <row r="381" spans="1:63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</row>
    <row r="382" spans="1:63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</row>
    <row r="383" spans="1:63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</row>
    <row r="384" spans="1:63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</row>
    <row r="385" spans="1:63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</row>
    <row r="386" spans="1:63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</row>
    <row r="387" spans="1:63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</row>
    <row r="388" spans="1:63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</row>
    <row r="389" spans="1:63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</row>
    <row r="390" spans="1:63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</row>
    <row r="391" spans="1:63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</row>
    <row r="392" spans="1:63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</row>
    <row r="393" spans="1:63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</row>
    <row r="394" spans="1:63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</row>
    <row r="395" spans="1:63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</row>
    <row r="396" spans="1:63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</row>
    <row r="397" spans="1:63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</row>
    <row r="398" spans="1:63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</row>
    <row r="399" spans="1:63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</row>
    <row r="400" spans="1:63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</row>
    <row r="401" spans="1:63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</row>
    <row r="402" spans="1:63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3</v>
      </c>
      <c r="BD402">
        <v>4</v>
      </c>
      <c r="BE402">
        <v>4</v>
      </c>
      <c r="BF402">
        <v>4</v>
      </c>
      <c r="BG402">
        <v>4</v>
      </c>
      <c r="BH402">
        <v>5</v>
      </c>
      <c r="BI402">
        <v>7</v>
      </c>
      <c r="BJ402">
        <v>11</v>
      </c>
      <c r="BK402">
        <v>16</v>
      </c>
    </row>
    <row r="403" spans="1:63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1</v>
      </c>
      <c r="BD403">
        <v>1</v>
      </c>
      <c r="BE403">
        <v>1</v>
      </c>
      <c r="BF403">
        <v>4</v>
      </c>
      <c r="BG403">
        <v>4</v>
      </c>
      <c r="BH403">
        <v>7</v>
      </c>
      <c r="BI403">
        <v>7</v>
      </c>
      <c r="BJ403">
        <v>7</v>
      </c>
      <c r="BK403">
        <v>7</v>
      </c>
    </row>
    <row r="404" spans="1:63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1</v>
      </c>
      <c r="BE404">
        <v>1</v>
      </c>
      <c r="BF404">
        <v>1</v>
      </c>
      <c r="BG404">
        <v>2</v>
      </c>
      <c r="BH404">
        <v>2</v>
      </c>
      <c r="BI404">
        <v>3</v>
      </c>
      <c r="BJ404">
        <v>4</v>
      </c>
      <c r="BK404">
        <v>6</v>
      </c>
    </row>
    <row r="405" spans="1:63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2</v>
      </c>
      <c r="O405">
        <v>2</v>
      </c>
      <c r="P405">
        <v>2</v>
      </c>
      <c r="Q405">
        <v>2</v>
      </c>
      <c r="R405">
        <v>2</v>
      </c>
      <c r="S405">
        <v>2</v>
      </c>
      <c r="T405">
        <v>2</v>
      </c>
      <c r="U405">
        <v>3</v>
      </c>
      <c r="V405">
        <v>3</v>
      </c>
      <c r="W405">
        <v>3</v>
      </c>
      <c r="X405">
        <v>8</v>
      </c>
      <c r="Y405">
        <v>8</v>
      </c>
      <c r="Z405">
        <v>9</v>
      </c>
      <c r="AA405">
        <v>9</v>
      </c>
      <c r="AB405">
        <v>9</v>
      </c>
      <c r="AC405">
        <v>9</v>
      </c>
      <c r="AD405">
        <v>9</v>
      </c>
      <c r="AE405">
        <v>9</v>
      </c>
      <c r="AF405">
        <v>9</v>
      </c>
      <c r="AG405">
        <v>9</v>
      </c>
      <c r="AH405">
        <v>9</v>
      </c>
      <c r="AI405">
        <v>9</v>
      </c>
      <c r="AJ405">
        <v>9</v>
      </c>
      <c r="AK405">
        <v>9</v>
      </c>
      <c r="AL405">
        <v>13</v>
      </c>
      <c r="AM405">
        <v>13</v>
      </c>
      <c r="AN405">
        <v>13</v>
      </c>
      <c r="AO405">
        <v>15</v>
      </c>
      <c r="AP405">
        <v>20</v>
      </c>
      <c r="AQ405">
        <v>23</v>
      </c>
      <c r="AR405">
        <v>36</v>
      </c>
      <c r="AS405">
        <v>40</v>
      </c>
      <c r="AT405">
        <v>51</v>
      </c>
      <c r="AU405">
        <v>85</v>
      </c>
      <c r="AV405">
        <v>115</v>
      </c>
      <c r="AW405">
        <v>163</v>
      </c>
      <c r="AX405">
        <v>206</v>
      </c>
      <c r="AY405">
        <v>273</v>
      </c>
      <c r="AZ405">
        <v>321</v>
      </c>
      <c r="BA405">
        <v>382</v>
      </c>
      <c r="BB405">
        <v>456</v>
      </c>
      <c r="BC405">
        <v>456</v>
      </c>
      <c r="BD405">
        <v>798</v>
      </c>
      <c r="BE405">
        <v>1140</v>
      </c>
      <c r="BF405">
        <v>1140</v>
      </c>
      <c r="BG405">
        <v>1543</v>
      </c>
      <c r="BH405">
        <v>1950</v>
      </c>
      <c r="BI405">
        <v>2626</v>
      </c>
      <c r="BJ405">
        <v>2689</v>
      </c>
      <c r="BK405">
        <v>3983</v>
      </c>
    </row>
    <row r="406" spans="1:63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4</v>
      </c>
      <c r="BE406">
        <v>6</v>
      </c>
      <c r="BF406">
        <v>9</v>
      </c>
      <c r="BG406">
        <v>10</v>
      </c>
      <c r="BH406">
        <v>33</v>
      </c>
      <c r="BI406">
        <v>35</v>
      </c>
      <c r="BJ406">
        <v>44</v>
      </c>
      <c r="BK406">
        <v>49</v>
      </c>
    </row>
    <row r="407" spans="1:63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3</v>
      </c>
      <c r="BE407">
        <v>3</v>
      </c>
      <c r="BF407">
        <v>3</v>
      </c>
      <c r="BG407">
        <v>3</v>
      </c>
      <c r="BH407">
        <v>3</v>
      </c>
      <c r="BI407">
        <v>3</v>
      </c>
      <c r="BJ407">
        <v>6</v>
      </c>
      <c r="BK407">
        <v>11</v>
      </c>
    </row>
    <row r="408" spans="1:63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4</v>
      </c>
      <c r="BE408">
        <v>4</v>
      </c>
      <c r="BF408">
        <v>4</v>
      </c>
      <c r="BG408">
        <v>7</v>
      </c>
      <c r="BH408">
        <v>8</v>
      </c>
      <c r="BI408">
        <v>15</v>
      </c>
      <c r="BJ408">
        <v>17</v>
      </c>
      <c r="BK408">
        <v>17</v>
      </c>
    </row>
    <row r="409" spans="1:63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2</v>
      </c>
      <c r="BE409">
        <v>2</v>
      </c>
      <c r="BF409">
        <v>2</v>
      </c>
      <c r="BG409">
        <v>7</v>
      </c>
      <c r="BH409">
        <v>7</v>
      </c>
      <c r="BI409">
        <v>8</v>
      </c>
      <c r="BJ409">
        <v>16</v>
      </c>
      <c r="BK409">
        <v>20</v>
      </c>
    </row>
    <row r="410" spans="1:63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1</v>
      </c>
      <c r="BE410">
        <v>1</v>
      </c>
      <c r="BF410">
        <v>1</v>
      </c>
      <c r="BG410">
        <v>5</v>
      </c>
      <c r="BH410">
        <v>5</v>
      </c>
      <c r="BI410">
        <v>6</v>
      </c>
      <c r="BJ410">
        <v>6</v>
      </c>
      <c r="BK410">
        <v>9</v>
      </c>
    </row>
    <row r="411" spans="1:63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1</v>
      </c>
      <c r="BE411">
        <v>1</v>
      </c>
      <c r="BF411">
        <v>1</v>
      </c>
      <c r="BG411">
        <v>1</v>
      </c>
      <c r="BH411">
        <v>1</v>
      </c>
      <c r="BI411">
        <v>2</v>
      </c>
      <c r="BJ411">
        <v>2</v>
      </c>
      <c r="BK411">
        <v>2</v>
      </c>
    </row>
    <row r="412" spans="1:63" x14ac:dyDescent="0.3">
      <c r="B412" t="s">
        <v>421</v>
      </c>
      <c r="C412">
        <v>9.9456000000000007</v>
      </c>
      <c r="D412">
        <v>-9.6966000000000001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1</v>
      </c>
      <c r="BE412">
        <v>1</v>
      </c>
      <c r="BF412">
        <v>1</v>
      </c>
      <c r="BG412">
        <v>1</v>
      </c>
      <c r="BH412">
        <v>1</v>
      </c>
      <c r="BI412">
        <v>1</v>
      </c>
      <c r="BJ412">
        <v>1</v>
      </c>
      <c r="BK412">
        <v>1</v>
      </c>
    </row>
    <row r="413" spans="1:63" x14ac:dyDescent="0.3">
      <c r="A413" t="s">
        <v>249</v>
      </c>
      <c r="B413" t="s">
        <v>45</v>
      </c>
      <c r="C413">
        <v>37.648899999999998</v>
      </c>
      <c r="D413">
        <v>-122.66549999999999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2</v>
      </c>
      <c r="BE413">
        <v>2</v>
      </c>
      <c r="BF413">
        <v>2</v>
      </c>
      <c r="BG413">
        <v>2</v>
      </c>
      <c r="BH413">
        <v>8</v>
      </c>
      <c r="BI413">
        <v>9</v>
      </c>
      <c r="BJ413">
        <v>9</v>
      </c>
      <c r="BK413">
        <v>10</v>
      </c>
    </row>
    <row r="414" spans="1:63" x14ac:dyDescent="0.3">
      <c r="B414" t="s">
        <v>423</v>
      </c>
      <c r="C414">
        <v>-2.3599999999999999E-2</v>
      </c>
      <c r="D414">
        <v>37.906199999999998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1</v>
      </c>
      <c r="BE414">
        <v>1</v>
      </c>
      <c r="BF414">
        <v>3</v>
      </c>
      <c r="BG414">
        <v>3</v>
      </c>
      <c r="BH414">
        <v>3</v>
      </c>
      <c r="BI414">
        <v>3</v>
      </c>
      <c r="BJ414">
        <v>7</v>
      </c>
      <c r="BK414">
        <v>7</v>
      </c>
    </row>
    <row r="415" spans="1:63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1</v>
      </c>
      <c r="BE415">
        <v>1</v>
      </c>
      <c r="BF415">
        <v>1</v>
      </c>
      <c r="BG415">
        <v>1</v>
      </c>
      <c r="BH415">
        <v>1</v>
      </c>
      <c r="BI415">
        <v>1</v>
      </c>
      <c r="BJ415">
        <v>1</v>
      </c>
      <c r="BK415">
        <v>1</v>
      </c>
    </row>
    <row r="416" spans="1:63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5</v>
      </c>
      <c r="BE416">
        <v>6</v>
      </c>
      <c r="BF416">
        <v>12</v>
      </c>
      <c r="BG416">
        <v>29</v>
      </c>
      <c r="BH416">
        <v>39</v>
      </c>
      <c r="BI416">
        <v>46</v>
      </c>
      <c r="BJ416">
        <v>78</v>
      </c>
      <c r="BK416">
        <v>83</v>
      </c>
    </row>
    <row r="417" spans="1:63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4</v>
      </c>
      <c r="BF417">
        <v>4</v>
      </c>
      <c r="BG417">
        <v>8</v>
      </c>
      <c r="BH417">
        <v>29</v>
      </c>
      <c r="BI417">
        <v>50</v>
      </c>
      <c r="BJ417">
        <v>79</v>
      </c>
      <c r="BK417">
        <v>94</v>
      </c>
    </row>
    <row r="418" spans="1:63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3</v>
      </c>
      <c r="BF418">
        <v>6</v>
      </c>
      <c r="BG418">
        <v>6</v>
      </c>
      <c r="BH418">
        <v>7</v>
      </c>
      <c r="BI418">
        <v>7</v>
      </c>
      <c r="BJ418">
        <v>11</v>
      </c>
      <c r="BK418">
        <v>16</v>
      </c>
    </row>
    <row r="419" spans="1:63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3</v>
      </c>
      <c r="BF419">
        <v>5</v>
      </c>
      <c r="BG419">
        <v>5</v>
      </c>
      <c r="BH419">
        <v>5</v>
      </c>
      <c r="BI419">
        <v>5</v>
      </c>
      <c r="BJ419">
        <v>5</v>
      </c>
      <c r="BK419">
        <v>14</v>
      </c>
    </row>
    <row r="420" spans="1:63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2</v>
      </c>
      <c r="BF420">
        <v>2</v>
      </c>
      <c r="BG420">
        <v>2</v>
      </c>
      <c r="BH420">
        <v>2</v>
      </c>
      <c r="BI420">
        <v>2</v>
      </c>
      <c r="BJ420">
        <v>3</v>
      </c>
      <c r="BK420">
        <v>3</v>
      </c>
    </row>
    <row r="421" spans="1:63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2</v>
      </c>
      <c r="BF421">
        <v>2</v>
      </c>
      <c r="BG421">
        <v>3</v>
      </c>
      <c r="BH421">
        <v>4</v>
      </c>
      <c r="BI421">
        <v>4</v>
      </c>
      <c r="BJ421">
        <v>6</v>
      </c>
      <c r="BK421">
        <v>7</v>
      </c>
    </row>
    <row r="422" spans="1:63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2</v>
      </c>
      <c r="BF422">
        <v>2</v>
      </c>
      <c r="BG422">
        <v>4</v>
      </c>
      <c r="BH422">
        <v>5</v>
      </c>
      <c r="BI422">
        <v>7</v>
      </c>
      <c r="BJ422">
        <v>9</v>
      </c>
      <c r="BK422">
        <v>9</v>
      </c>
    </row>
    <row r="423" spans="1:63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2</v>
      </c>
      <c r="BF423">
        <v>10</v>
      </c>
      <c r="BG423">
        <v>17</v>
      </c>
      <c r="BH423">
        <v>33</v>
      </c>
      <c r="BI423">
        <v>36</v>
      </c>
      <c r="BJ423">
        <v>42</v>
      </c>
      <c r="BK423">
        <v>42</v>
      </c>
    </row>
    <row r="424" spans="1:63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1</v>
      </c>
      <c r="BF424">
        <v>1</v>
      </c>
      <c r="BG424">
        <v>1</v>
      </c>
      <c r="BH424">
        <v>1</v>
      </c>
      <c r="BI424">
        <v>1</v>
      </c>
      <c r="BJ424">
        <v>1</v>
      </c>
      <c r="BK424">
        <v>1</v>
      </c>
    </row>
    <row r="425" spans="1:63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1</v>
      </c>
      <c r="BF425">
        <v>1</v>
      </c>
      <c r="BG425">
        <v>1</v>
      </c>
      <c r="BH425">
        <v>1</v>
      </c>
      <c r="BI425">
        <v>1</v>
      </c>
      <c r="BJ425">
        <v>1</v>
      </c>
      <c r="BK425">
        <v>3</v>
      </c>
    </row>
    <row r="426" spans="1:63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1</v>
      </c>
      <c r="BF426">
        <v>1</v>
      </c>
      <c r="BG426">
        <v>2</v>
      </c>
      <c r="BH426">
        <v>6</v>
      </c>
      <c r="BI426">
        <v>6</v>
      </c>
      <c r="BJ426">
        <v>9</v>
      </c>
      <c r="BK426">
        <v>12</v>
      </c>
    </row>
    <row r="427" spans="1:63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1</v>
      </c>
      <c r="BF427">
        <v>1</v>
      </c>
      <c r="BG427">
        <v>1</v>
      </c>
      <c r="BH427">
        <v>1</v>
      </c>
      <c r="BI427">
        <v>1</v>
      </c>
      <c r="BJ427">
        <v>2</v>
      </c>
      <c r="BK427">
        <v>2</v>
      </c>
    </row>
    <row r="428" spans="1:63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1</v>
      </c>
      <c r="BF428">
        <v>1</v>
      </c>
      <c r="BG428">
        <v>5</v>
      </c>
      <c r="BH428">
        <v>7</v>
      </c>
      <c r="BI428">
        <v>8</v>
      </c>
      <c r="BJ428">
        <v>8</v>
      </c>
      <c r="BK428">
        <v>17</v>
      </c>
    </row>
    <row r="429" spans="1:63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1</v>
      </c>
      <c r="BF429">
        <v>2</v>
      </c>
      <c r="BG429">
        <v>2</v>
      </c>
      <c r="BH429">
        <v>2</v>
      </c>
      <c r="BI429">
        <v>2</v>
      </c>
      <c r="BJ429">
        <v>2</v>
      </c>
      <c r="BK429">
        <v>2</v>
      </c>
    </row>
    <row r="430" spans="1:63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1</v>
      </c>
      <c r="BF430">
        <v>1</v>
      </c>
      <c r="BG430">
        <v>1</v>
      </c>
      <c r="BH430">
        <v>1</v>
      </c>
      <c r="BI430">
        <v>1</v>
      </c>
      <c r="BJ430">
        <v>1</v>
      </c>
      <c r="BK430">
        <v>1</v>
      </c>
    </row>
    <row r="431" spans="1:63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1</v>
      </c>
      <c r="BF431">
        <v>1</v>
      </c>
      <c r="BG431">
        <v>1</v>
      </c>
      <c r="BH431">
        <v>1</v>
      </c>
      <c r="BI431">
        <v>1</v>
      </c>
      <c r="BJ431">
        <v>1</v>
      </c>
      <c r="BK431">
        <v>4</v>
      </c>
    </row>
    <row r="432" spans="1:63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5</v>
      </c>
      <c r="AY432">
        <v>5</v>
      </c>
      <c r="AZ432">
        <v>5</v>
      </c>
      <c r="BA432">
        <v>5</v>
      </c>
      <c r="BB432">
        <v>5</v>
      </c>
      <c r="BC432">
        <v>5</v>
      </c>
      <c r="BD432">
        <v>5</v>
      </c>
      <c r="BE432">
        <v>5</v>
      </c>
      <c r="BF432">
        <v>7</v>
      </c>
      <c r="BG432">
        <v>11</v>
      </c>
      <c r="BH432">
        <v>11</v>
      </c>
      <c r="BI432">
        <v>11</v>
      </c>
      <c r="BJ432">
        <v>11</v>
      </c>
      <c r="BK432">
        <v>15</v>
      </c>
    </row>
    <row r="433" spans="1:63" x14ac:dyDescent="0.3">
      <c r="A433" t="s">
        <v>458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3</v>
      </c>
      <c r="BG433">
        <v>3</v>
      </c>
      <c r="BH433">
        <v>3</v>
      </c>
      <c r="BI433">
        <v>5</v>
      </c>
      <c r="BJ433">
        <v>12</v>
      </c>
      <c r="BK433">
        <v>14</v>
      </c>
    </row>
    <row r="434" spans="1:63" x14ac:dyDescent="0.3">
      <c r="B434" t="s">
        <v>459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2</v>
      </c>
      <c r="BG434">
        <v>2</v>
      </c>
      <c r="BH434">
        <v>2</v>
      </c>
      <c r="BI434">
        <v>2</v>
      </c>
      <c r="BJ434">
        <v>2</v>
      </c>
      <c r="BK434">
        <v>2</v>
      </c>
    </row>
    <row r="435" spans="1:63" x14ac:dyDescent="0.3">
      <c r="A435" t="s">
        <v>460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1</v>
      </c>
      <c r="BG435">
        <v>1</v>
      </c>
      <c r="BH435">
        <v>3</v>
      </c>
      <c r="BI435">
        <v>3</v>
      </c>
      <c r="BJ435">
        <v>3</v>
      </c>
      <c r="BK435">
        <v>4</v>
      </c>
    </row>
    <row r="436" spans="1:63" x14ac:dyDescent="0.3">
      <c r="A436" t="s">
        <v>461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1</v>
      </c>
      <c r="BG436">
        <v>1</v>
      </c>
      <c r="BH436">
        <v>1</v>
      </c>
      <c r="BI436">
        <v>1</v>
      </c>
      <c r="BJ436">
        <v>2</v>
      </c>
      <c r="BK436">
        <v>2</v>
      </c>
    </row>
    <row r="437" spans="1:63" x14ac:dyDescent="0.3">
      <c r="B437" t="s">
        <v>462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1</v>
      </c>
      <c r="BG437">
        <v>1</v>
      </c>
      <c r="BH437">
        <v>1</v>
      </c>
      <c r="BI437">
        <v>1</v>
      </c>
      <c r="BJ437">
        <v>1</v>
      </c>
      <c r="BK437">
        <v>3</v>
      </c>
    </row>
    <row r="438" spans="1:63" x14ac:dyDescent="0.3">
      <c r="B438" t="s">
        <v>463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1</v>
      </c>
      <c r="BG438">
        <v>1</v>
      </c>
      <c r="BH438">
        <v>1</v>
      </c>
      <c r="BI438">
        <v>1</v>
      </c>
      <c r="BJ438">
        <v>3</v>
      </c>
      <c r="BK438">
        <v>3</v>
      </c>
    </row>
    <row r="439" spans="1:63" x14ac:dyDescent="0.3">
      <c r="B439" t="s">
        <v>464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1</v>
      </c>
      <c r="BG439">
        <v>1</v>
      </c>
      <c r="BH439">
        <v>1</v>
      </c>
      <c r="BI439">
        <v>4</v>
      </c>
      <c r="BJ439">
        <v>6</v>
      </c>
      <c r="BK439">
        <v>6</v>
      </c>
    </row>
    <row r="440" spans="1:63" x14ac:dyDescent="0.3">
      <c r="A440" t="s">
        <v>465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1</v>
      </c>
      <c r="BG440">
        <v>1</v>
      </c>
      <c r="BH440">
        <v>1</v>
      </c>
      <c r="BI440">
        <v>3</v>
      </c>
      <c r="BJ440">
        <v>3</v>
      </c>
      <c r="BK440">
        <v>6</v>
      </c>
    </row>
    <row r="441" spans="1:63" x14ac:dyDescent="0.3">
      <c r="B441" t="s">
        <v>466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1</v>
      </c>
      <c r="BG441">
        <v>6</v>
      </c>
      <c r="BH441">
        <v>10</v>
      </c>
      <c r="BI441">
        <v>15</v>
      </c>
      <c r="BJ441">
        <v>23</v>
      </c>
      <c r="BK441">
        <v>33</v>
      </c>
    </row>
    <row r="442" spans="1:63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1</v>
      </c>
      <c r="AP442">
        <v>1</v>
      </c>
      <c r="AQ442">
        <v>6</v>
      </c>
      <c r="AR442">
        <v>10</v>
      </c>
      <c r="AS442">
        <v>18</v>
      </c>
      <c r="AT442">
        <v>24</v>
      </c>
      <c r="AU442">
        <v>38</v>
      </c>
      <c r="AV442">
        <v>82</v>
      </c>
      <c r="AW442">
        <v>128</v>
      </c>
      <c r="AX442">
        <v>188</v>
      </c>
      <c r="AY442">
        <v>265</v>
      </c>
      <c r="AZ442">
        <v>321</v>
      </c>
      <c r="BA442">
        <v>382</v>
      </c>
      <c r="BB442">
        <v>503</v>
      </c>
      <c r="BC442">
        <v>503</v>
      </c>
      <c r="BD442">
        <v>804</v>
      </c>
      <c r="BE442">
        <v>959</v>
      </c>
      <c r="BF442">
        <v>1135</v>
      </c>
      <c r="BG442">
        <v>1413</v>
      </c>
      <c r="BH442">
        <v>1705</v>
      </c>
      <c r="BI442">
        <v>2051</v>
      </c>
      <c r="BJ442">
        <v>2460</v>
      </c>
      <c r="BK442">
        <v>2994</v>
      </c>
    </row>
    <row r="443" spans="1:63" x14ac:dyDescent="0.3">
      <c r="A443" t="s">
        <v>469</v>
      </c>
      <c r="B443" t="s">
        <v>45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5</v>
      </c>
      <c r="BH443">
        <v>7</v>
      </c>
      <c r="BI443">
        <v>12</v>
      </c>
      <c r="BJ443">
        <v>14</v>
      </c>
      <c r="BK443">
        <v>15</v>
      </c>
    </row>
    <row r="444" spans="1:63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1</v>
      </c>
      <c r="BE444">
        <v>1</v>
      </c>
      <c r="BF444">
        <v>3</v>
      </c>
      <c r="BG444">
        <v>6</v>
      </c>
      <c r="BH444">
        <v>18</v>
      </c>
      <c r="BI444">
        <v>27</v>
      </c>
      <c r="BJ444">
        <v>33</v>
      </c>
      <c r="BK444">
        <v>45</v>
      </c>
    </row>
    <row r="445" spans="1:63" x14ac:dyDescent="0.3">
      <c r="B445" t="s">
        <v>470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1</v>
      </c>
      <c r="BH445">
        <v>1</v>
      </c>
      <c r="BI445">
        <v>2</v>
      </c>
      <c r="BJ445">
        <v>2</v>
      </c>
      <c r="BK445">
        <v>2</v>
      </c>
    </row>
    <row r="446" spans="1:63" x14ac:dyDescent="0.3">
      <c r="B446" t="s">
        <v>472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1</v>
      </c>
      <c r="BH446">
        <v>1</v>
      </c>
      <c r="BI446">
        <v>2</v>
      </c>
      <c r="BJ446">
        <v>2</v>
      </c>
      <c r="BK446">
        <v>2</v>
      </c>
    </row>
    <row r="447" spans="1:63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1</v>
      </c>
      <c r="BF447">
        <v>1</v>
      </c>
      <c r="BG447">
        <v>1</v>
      </c>
      <c r="BH447">
        <v>3</v>
      </c>
      <c r="BI447">
        <v>3</v>
      </c>
      <c r="BJ447">
        <v>3</v>
      </c>
      <c r="BK447">
        <v>3</v>
      </c>
    </row>
    <row r="448" spans="1:63" x14ac:dyDescent="0.3">
      <c r="B448" t="s">
        <v>473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1</v>
      </c>
      <c r="BH448">
        <v>1</v>
      </c>
      <c r="BI448">
        <v>1</v>
      </c>
      <c r="BJ448">
        <v>1</v>
      </c>
      <c r="BK448">
        <v>1</v>
      </c>
    </row>
    <row r="449" spans="1:63" x14ac:dyDescent="0.3">
      <c r="B449" t="s">
        <v>474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1</v>
      </c>
      <c r="BH449">
        <v>1</v>
      </c>
      <c r="BI449">
        <v>3</v>
      </c>
      <c r="BJ449">
        <v>6</v>
      </c>
      <c r="BK449">
        <v>6</v>
      </c>
    </row>
    <row r="450" spans="1:63" x14ac:dyDescent="0.3">
      <c r="A450" t="s">
        <v>475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1</v>
      </c>
      <c r="BF450">
        <v>1</v>
      </c>
      <c r="BG450">
        <v>1</v>
      </c>
      <c r="BH450">
        <v>2</v>
      </c>
      <c r="BI450">
        <v>2</v>
      </c>
      <c r="BJ450">
        <v>3</v>
      </c>
      <c r="BK450">
        <v>3</v>
      </c>
    </row>
    <row r="451" spans="1:63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1</v>
      </c>
      <c r="BE451">
        <v>1</v>
      </c>
      <c r="BF451">
        <v>1</v>
      </c>
      <c r="BG451">
        <v>1</v>
      </c>
      <c r="BH451">
        <v>1</v>
      </c>
      <c r="BI451">
        <v>1</v>
      </c>
      <c r="BJ451">
        <v>3</v>
      </c>
      <c r="BK451">
        <v>3</v>
      </c>
    </row>
    <row r="452" spans="1:63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1</v>
      </c>
      <c r="BC452">
        <v>1</v>
      </c>
      <c r="BD452">
        <v>5</v>
      </c>
      <c r="BE452">
        <v>6</v>
      </c>
      <c r="BF452">
        <v>7</v>
      </c>
      <c r="BG452">
        <v>9</v>
      </c>
      <c r="BH452">
        <v>9</v>
      </c>
      <c r="BI452">
        <v>12</v>
      </c>
      <c r="BJ452">
        <v>14</v>
      </c>
      <c r="BK452">
        <v>28</v>
      </c>
    </row>
    <row r="453" spans="1:63" x14ac:dyDescent="0.3">
      <c r="B453" t="s">
        <v>487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2</v>
      </c>
      <c r="BI453">
        <v>2</v>
      </c>
      <c r="BJ453">
        <v>5</v>
      </c>
      <c r="BK453">
        <v>5</v>
      </c>
    </row>
    <row r="454" spans="1:63" x14ac:dyDescent="0.3">
      <c r="B454" t="s">
        <v>486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2</v>
      </c>
      <c r="BI454">
        <v>1</v>
      </c>
      <c r="BJ454">
        <v>3</v>
      </c>
      <c r="BK454">
        <v>14</v>
      </c>
    </row>
    <row r="455" spans="1:63" x14ac:dyDescent="0.3">
      <c r="B455" t="s">
        <v>483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3</v>
      </c>
      <c r="BJ455">
        <v>3</v>
      </c>
      <c r="BK455">
        <v>6</v>
      </c>
    </row>
    <row r="456" spans="1:63" x14ac:dyDescent="0.3">
      <c r="B456" t="s">
        <v>484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3</v>
      </c>
      <c r="BJ456">
        <v>3</v>
      </c>
      <c r="BK456">
        <v>12</v>
      </c>
    </row>
    <row r="457" spans="1:63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2</v>
      </c>
      <c r="BE457">
        <v>2</v>
      </c>
      <c r="BF457">
        <v>2</v>
      </c>
      <c r="BG457">
        <v>2</v>
      </c>
      <c r="BH457">
        <v>3</v>
      </c>
      <c r="BI457">
        <v>4</v>
      </c>
      <c r="BJ457">
        <v>4</v>
      </c>
      <c r="BK457">
        <v>5</v>
      </c>
    </row>
    <row r="458" spans="1:63" x14ac:dyDescent="0.3">
      <c r="B458" t="s">
        <v>482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2</v>
      </c>
      <c r="BJ458">
        <v>2</v>
      </c>
      <c r="BK458">
        <v>2</v>
      </c>
    </row>
    <row r="459" spans="1:63" x14ac:dyDescent="0.3">
      <c r="B459" t="s">
        <v>485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1</v>
      </c>
      <c r="BJ459">
        <v>1</v>
      </c>
      <c r="BK459">
        <v>1</v>
      </c>
    </row>
    <row r="460" spans="1:63" x14ac:dyDescent="0.3">
      <c r="B460" t="s">
        <v>515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1</v>
      </c>
      <c r="BI460">
        <v>1</v>
      </c>
      <c r="BJ460">
        <v>1</v>
      </c>
      <c r="BK460">
        <v>1</v>
      </c>
    </row>
    <row r="461" spans="1:63" x14ac:dyDescent="0.3">
      <c r="A461" t="s">
        <v>488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1</v>
      </c>
      <c r="BJ461">
        <v>1</v>
      </c>
      <c r="BK461">
        <v>1</v>
      </c>
    </row>
    <row r="462" spans="1:63" x14ac:dyDescent="0.3">
      <c r="B462" t="s">
        <v>526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1</v>
      </c>
      <c r="BH462">
        <v>1</v>
      </c>
      <c r="BI462">
        <v>1</v>
      </c>
      <c r="BJ462">
        <v>3</v>
      </c>
      <c r="BK462">
        <v>3</v>
      </c>
    </row>
    <row r="463" spans="1:63" x14ac:dyDescent="0.3">
      <c r="A463" t="s">
        <v>471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1</v>
      </c>
      <c r="BH463">
        <v>1</v>
      </c>
      <c r="BI463">
        <v>1</v>
      </c>
      <c r="BJ463">
        <v>2</v>
      </c>
      <c r="BK463">
        <v>2</v>
      </c>
    </row>
    <row r="464" spans="1:63" x14ac:dyDescent="0.3">
      <c r="A464" t="s">
        <v>527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2</v>
      </c>
      <c r="BK464">
        <v>2</v>
      </c>
    </row>
    <row r="465" spans="1:63" x14ac:dyDescent="0.3">
      <c r="A465" t="s">
        <v>528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2</v>
      </c>
      <c r="BK465">
        <v>2</v>
      </c>
    </row>
    <row r="466" spans="1:63" x14ac:dyDescent="0.3">
      <c r="B466" t="s">
        <v>529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1</v>
      </c>
      <c r="BK466">
        <v>1</v>
      </c>
    </row>
    <row r="467" spans="1:63" x14ac:dyDescent="0.3">
      <c r="B467" t="s">
        <v>530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1</v>
      </c>
      <c r="BK467">
        <v>1</v>
      </c>
    </row>
    <row r="468" spans="1:63" x14ac:dyDescent="0.3">
      <c r="B468" t="s">
        <v>531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1</v>
      </c>
      <c r="BK468">
        <v>1</v>
      </c>
    </row>
    <row r="469" spans="1:63" x14ac:dyDescent="0.3">
      <c r="B469" t="s">
        <v>532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1</v>
      </c>
      <c r="BK469">
        <v>1</v>
      </c>
    </row>
    <row r="470" spans="1:63" x14ac:dyDescent="0.3">
      <c r="B470" t="s">
        <v>537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3</v>
      </c>
    </row>
    <row r="471" spans="1:63" x14ac:dyDescent="0.3">
      <c r="B471" t="s">
        <v>538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2</v>
      </c>
    </row>
    <row r="472" spans="1:63" x14ac:dyDescent="0.3">
      <c r="B472" t="s">
        <v>539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1</v>
      </c>
    </row>
    <row r="473" spans="1:63" x14ac:dyDescent="0.3">
      <c r="B473" t="s">
        <v>540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1</v>
      </c>
    </row>
    <row r="474" spans="1:63" x14ac:dyDescent="0.3">
      <c r="A474" t="s">
        <v>541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1</v>
      </c>
    </row>
    <row r="475" spans="1:63" x14ac:dyDescent="0.3">
      <c r="B475" t="s">
        <v>542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1</v>
      </c>
    </row>
    <row r="476" spans="1:63" x14ac:dyDescent="0.3">
      <c r="B476" t="s">
        <v>543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1</v>
      </c>
    </row>
    <row r="477" spans="1:63" x14ac:dyDescent="0.3">
      <c r="A477" t="s">
        <v>544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1</v>
      </c>
    </row>
    <row r="478" spans="1:63" x14ac:dyDescent="0.3">
      <c r="B478" t="s">
        <v>545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14</vt:i4>
      </vt:variant>
    </vt:vector>
  </HeadingPairs>
  <TitlesOfParts>
    <vt:vector size="28" baseType="lpstr">
      <vt:lpstr>Projections</vt:lpstr>
      <vt:lpstr>Country_Rates</vt:lpstr>
      <vt:lpstr>Country_Comparison</vt:lpstr>
      <vt:lpstr>Projections_Data</vt:lpstr>
      <vt:lpstr>Days_Since_100</vt:lpstr>
      <vt:lpstr>Days_Since_100_active</vt:lpstr>
      <vt:lpstr>Country_Data</vt:lpstr>
      <vt:lpstr>CumulativeConfirmed</vt:lpstr>
      <vt:lpstr>CumulativeActive</vt:lpstr>
      <vt:lpstr>CumulativeRecovered</vt:lpstr>
      <vt:lpstr>CumulativeDead</vt:lpstr>
      <vt:lpstr>RecoveredRaw</vt:lpstr>
      <vt:lpstr>DeadRaw</vt:lpstr>
      <vt:lpstr>ConfirmedRaw</vt:lpstr>
      <vt:lpstr>country</vt:lpstr>
      <vt:lpstr>image_jpg</vt:lpstr>
      <vt:lpstr>xMax</vt:lpstr>
      <vt:lpstr>xMax2</vt:lpstr>
      <vt:lpstr>xMax3</vt:lpstr>
      <vt:lpstr>xMin</vt:lpstr>
      <vt:lpstr>xMin2</vt:lpstr>
      <vt:lpstr>xMin3</vt:lpstr>
      <vt:lpstr>yMax</vt:lpstr>
      <vt:lpstr>yMax2</vt:lpstr>
      <vt:lpstr>yMax3</vt:lpstr>
      <vt:lpstr>yMin</vt:lpstr>
      <vt:lpstr>yMin2</vt:lpstr>
      <vt:lpstr>yMin3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2020-03-21T22:53:58Z</dcterms:modified>
</cp:coreProperties>
</file>