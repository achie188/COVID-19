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15A2F9BA-3660-4570-B7EF-F1F007F666E4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B27" i="23" a="1"/>
  <c r="B27" i="23" s="1"/>
  <c r="C27" i="23"/>
  <c r="D27" i="23"/>
  <c r="C28" i="23"/>
  <c r="B28" i="23" s="1" a="1"/>
  <c r="B28" i="23" s="1"/>
  <c r="D28" i="23"/>
  <c r="B29" i="23" a="1"/>
  <c r="B29" i="23" s="1"/>
  <c r="C29" i="23"/>
  <c r="D29" i="23"/>
  <c r="C30" i="23"/>
  <c r="B30" i="23" s="1" a="1"/>
  <c r="B30" i="23" s="1"/>
  <c r="D30" i="23"/>
  <c r="C31" i="23"/>
  <c r="B31" i="23" s="1" a="1"/>
  <c r="B31" i="23" s="1"/>
  <c r="D31" i="23"/>
  <c r="B32" i="23" a="1"/>
  <c r="B32" i="23" s="1"/>
  <c r="C32" i="23"/>
  <c r="D32" i="23"/>
  <c r="B33" i="23" a="1"/>
  <c r="B33" i="23" s="1"/>
  <c r="C33" i="23"/>
  <c r="D33" i="23"/>
  <c r="C34" i="23"/>
  <c r="B34" i="23" s="1" a="1"/>
  <c r="B34" i="23" s="1"/>
  <c r="D34" i="23"/>
  <c r="B35" i="23" a="1"/>
  <c r="B35" i="23" s="1"/>
  <c r="C35" i="23"/>
  <c r="D35" i="23"/>
  <c r="C36" i="23"/>
  <c r="B36" i="23" s="1" a="1"/>
  <c r="B36" i="23" s="1"/>
  <c r="D36" i="23"/>
  <c r="B37" i="23" a="1"/>
  <c r="B37" i="23" s="1"/>
  <c r="C37" i="23"/>
  <c r="D37" i="23"/>
  <c r="C38" i="23"/>
  <c r="B38" i="23" s="1" a="1"/>
  <c r="B38" i="23" s="1"/>
  <c r="D38" i="23"/>
  <c r="C39" i="23"/>
  <c r="B39" i="23" s="1" a="1"/>
  <c r="B39" i="23" s="1"/>
  <c r="D39" i="23"/>
  <c r="B40" i="23" a="1"/>
  <c r="B40" i="23" s="1"/>
  <c r="C40" i="23"/>
  <c r="D40" i="23"/>
  <c r="B41" i="23" a="1"/>
  <c r="B41" i="23" s="1"/>
  <c r="C41" i="23"/>
  <c r="D41" i="23"/>
  <c r="C42" i="23"/>
  <c r="B42" i="23" s="1" a="1"/>
  <c r="B42" i="23" s="1"/>
  <c r="D42" i="23"/>
  <c r="B43" i="23" a="1"/>
  <c r="B43" i="23" s="1"/>
  <c r="C43" i="23"/>
  <c r="D43" i="23"/>
  <c r="C44" i="23"/>
  <c r="B44" i="23" s="1" a="1"/>
  <c r="B44" i="23" s="1"/>
  <c r="D44" i="23"/>
  <c r="B45" i="23" a="1"/>
  <c r="B45" i="23" s="1"/>
  <c r="C45" i="23"/>
  <c r="D45" i="23"/>
  <c r="C46" i="23"/>
  <c r="B46" i="23" s="1" a="1"/>
  <c r="B46" i="23" s="1"/>
  <c r="D46" i="23"/>
  <c r="C47" i="23"/>
  <c r="B47" i="23" s="1" a="1"/>
  <c r="B47" i="23" s="1"/>
  <c r="D47" i="23"/>
  <c r="B48" i="23" a="1"/>
  <c r="B48" i="23" s="1"/>
  <c r="C48" i="23"/>
  <c r="D48" i="23"/>
  <c r="B49" i="23" a="1"/>
  <c r="B49" i="23" s="1"/>
  <c r="C49" i="23"/>
  <c r="D49" i="23"/>
  <c r="C50" i="23"/>
  <c r="B50" i="23" s="1" a="1"/>
  <c r="B50" i="23" s="1"/>
  <c r="D50" i="23"/>
  <c r="B51" i="23" a="1"/>
  <c r="B51" i="23" s="1"/>
  <c r="C51" i="23"/>
  <c r="D51" i="23"/>
  <c r="C52" i="23"/>
  <c r="B52" i="23" s="1" a="1"/>
  <c r="B52" i="23" s="1"/>
  <c r="D52" i="23"/>
  <c r="B53" i="23" a="1"/>
  <c r="B53" i="23" s="1"/>
  <c r="C53" i="23"/>
  <c r="D53" i="23"/>
  <c r="C54" i="23"/>
  <c r="B54" i="23" s="1" a="1"/>
  <c r="B54" i="23" s="1"/>
  <c r="D54" i="23"/>
  <c r="C55" i="23"/>
  <c r="B55" i="23" s="1" a="1"/>
  <c r="B55" i="23" s="1"/>
  <c r="D55" i="23"/>
  <c r="B56" i="23" a="1"/>
  <c r="B56" i="23" s="1"/>
  <c r="C56" i="23"/>
  <c r="D56" i="23"/>
  <c r="B57" i="23" a="1"/>
  <c r="B57" i="23" s="1"/>
  <c r="C57" i="23"/>
  <c r="D57" i="23"/>
  <c r="C58" i="23"/>
  <c r="B58" i="23" s="1" a="1"/>
  <c r="B58" i="23" s="1"/>
  <c r="D58" i="23"/>
  <c r="B59" i="23" a="1"/>
  <c r="B59" i="23" s="1"/>
  <c r="C59" i="23"/>
  <c r="D59" i="23"/>
  <c r="C60" i="23"/>
  <c r="B60" i="23" s="1" a="1"/>
  <c r="B60" i="23" s="1"/>
  <c r="D60" i="23"/>
  <c r="B61" i="23" a="1"/>
  <c r="B61" i="23" s="1"/>
  <c r="C61" i="23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B65" i="23" a="1"/>
  <c r="B65" i="23" s="1"/>
  <c r="C65" i="23"/>
  <c r="D65" i="23"/>
  <c r="C66" i="23"/>
  <c r="B66" i="23" s="1" a="1"/>
  <c r="B66" i="23" s="1"/>
  <c r="D66" i="23"/>
  <c r="B67" i="23" a="1"/>
  <c r="B67" i="23" s="1"/>
  <c r="C67" i="23"/>
  <c r="D67" i="23"/>
  <c r="C68" i="23"/>
  <c r="B68" i="23" s="1" a="1"/>
  <c r="B68" i="23" s="1"/>
  <c r="D68" i="23"/>
  <c r="B69" i="23" a="1"/>
  <c r="B69" i="23" s="1"/>
  <c r="C69" i="23"/>
  <c r="D69" i="23"/>
  <c r="B70" i="23" a="1"/>
  <c r="B70" i="23" s="1"/>
  <c r="C70" i="23"/>
  <c r="D70" i="23"/>
  <c r="C71" i="23"/>
  <c r="B71" i="23" s="1" a="1"/>
  <c r="B71" i="23" s="1"/>
  <c r="D71" i="23"/>
  <c r="C72" i="23"/>
  <c r="B72" i="23" s="1" a="1"/>
  <c r="B72" i="23" s="1"/>
  <c r="D72" i="23"/>
  <c r="B73" i="23" a="1"/>
  <c r="B73" i="23" s="1"/>
  <c r="C73" i="23"/>
  <c r="D73" i="23"/>
  <c r="C74" i="23"/>
  <c r="B74" i="23" s="1" a="1"/>
  <c r="B74" i="23" s="1"/>
  <c r="D74" i="23"/>
  <c r="B75" i="23" a="1"/>
  <c r="B75" i="23" s="1"/>
  <c r="C75" i="23"/>
  <c r="D75" i="23"/>
  <c r="C76" i="23"/>
  <c r="B76" i="23" s="1" a="1"/>
  <c r="B76" i="23" s="1"/>
  <c r="D76" i="23"/>
  <c r="B77" i="23" a="1"/>
  <c r="B77" i="23" s="1"/>
  <c r="C77" i="23"/>
  <c r="D77" i="23"/>
  <c r="C78" i="23"/>
  <c r="B78" i="23" s="1" a="1"/>
  <c r="B78" i="23" s="1"/>
  <c r="D78" i="23"/>
  <c r="C79" i="23"/>
  <c r="B79" i="23" s="1" a="1"/>
  <c r="B79" i="23" s="1"/>
  <c r="D79" i="23"/>
  <c r="C80" i="23"/>
  <c r="B80" i="23" s="1" a="1"/>
  <c r="B80" i="23" s="1"/>
  <c r="D80" i="23"/>
  <c r="B81" i="23" a="1"/>
  <c r="B81" i="23" s="1"/>
  <c r="C81" i="23"/>
  <c r="D81" i="23"/>
  <c r="C82" i="23"/>
  <c r="B82" i="23" s="1" a="1"/>
  <c r="B82" i="23" s="1"/>
  <c r="D82" i="23"/>
  <c r="E82" i="23"/>
  <c r="F82" i="23"/>
  <c r="G82" i="23"/>
  <c r="B83" i="23" a="1"/>
  <c r="B83" i="23" s="1"/>
  <c r="C83" i="23"/>
  <c r="D83" i="23"/>
  <c r="E83" i="23"/>
  <c r="F83" i="23"/>
  <c r="G83" i="23"/>
  <c r="C84" i="23"/>
  <c r="B84" i="23" s="1" a="1"/>
  <c r="B84" i="23" s="1"/>
  <c r="D84" i="23"/>
  <c r="E84" i="23"/>
  <c r="F84" i="23"/>
  <c r="G84" i="23"/>
  <c r="B85" i="23" a="1"/>
  <c r="B85" i="23" s="1"/>
  <c r="C85" i="23"/>
  <c r="D85" i="23"/>
  <c r="E85" i="23"/>
  <c r="F85" i="23"/>
  <c r="G85" i="23"/>
  <c r="C86" i="23"/>
  <c r="B86" i="23" s="1" a="1"/>
  <c r="B86" i="23" s="1"/>
  <c r="D86" i="23"/>
  <c r="E86" i="23"/>
  <c r="F86" i="23"/>
  <c r="G86" i="23"/>
  <c r="B87" i="23" a="1"/>
  <c r="B87" i="23" s="1"/>
  <c r="C87" i="23"/>
  <c r="D87" i="23"/>
  <c r="E87" i="23"/>
  <c r="F87" i="23"/>
  <c r="G87" i="23"/>
  <c r="C88" i="23"/>
  <c r="B88" i="23" s="1" a="1"/>
  <c r="B88" i="23" s="1"/>
  <c r="D88" i="23"/>
  <c r="E88" i="23"/>
  <c r="F88" i="23"/>
  <c r="G88" i="23"/>
  <c r="B89" i="23" a="1"/>
  <c r="B89" i="23" s="1"/>
  <c r="C89" i="23"/>
  <c r="D89" i="23"/>
  <c r="E89" i="23"/>
  <c r="F89" i="23"/>
  <c r="G89" i="23"/>
  <c r="C90" i="23"/>
  <c r="B90" i="23" s="1" a="1"/>
  <c r="B90" i="23" s="1"/>
  <c r="D90" i="23"/>
  <c r="E90" i="23"/>
  <c r="F90" i="23"/>
  <c r="G90" i="23"/>
  <c r="B91" i="23" a="1"/>
  <c r="B91" i="23" s="1"/>
  <c r="C91" i="23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B95" i="23" a="1"/>
  <c r="B95" i="23" s="1"/>
  <c r="C95" i="23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B99" i="23" a="1"/>
  <c r="B99" i="23" s="1"/>
  <c r="C99" i="23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B107" i="23" a="1"/>
  <c r="B107" i="23" s="1"/>
  <c r="C107" i="23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B115" i="23" a="1"/>
  <c r="B115" i="23" s="1"/>
  <c r="C115" i="23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B123" i="23" a="1"/>
  <c r="B123" i="23" s="1"/>
  <c r="C123" i="23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B134" i="23" a="1"/>
  <c r="B134" i="23" s="1"/>
  <c r="C134" i="23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B136" i="23" a="1"/>
  <c r="B136" i="23" s="1"/>
  <c r="C136" i="23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B142" i="23" a="1"/>
  <c r="B142" i="23" s="1"/>
  <c r="C142" i="23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B144" i="23" a="1"/>
  <c r="B144" i="23" s="1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B150" i="23" a="1"/>
  <c r="B150" i="23" s="1"/>
  <c r="C150" i="23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B152" i="23" a="1"/>
  <c r="B152" i="23" s="1"/>
  <c r="C152" i="23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B158" i="23" a="1"/>
  <c r="B158" i="23" s="1"/>
  <c r="C158" i="23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B160" i="23" a="1"/>
  <c r="B160" i="23" s="1"/>
  <c r="C160" i="23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B166" i="23" a="1"/>
  <c r="B166" i="23" s="1"/>
  <c r="C166" i="23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B174" i="23" a="1"/>
  <c r="B174" i="23" s="1"/>
  <c r="C174" i="23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B182" i="23" a="1"/>
  <c r="B182" i="23" s="1"/>
  <c r="C182" i="23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B190" i="23" a="1"/>
  <c r="B190" i="23" s="1"/>
  <c r="C190" i="23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B198" i="23" a="1"/>
  <c r="B198" i="23" s="1"/>
  <c r="C198" i="23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B84" i="8" a="1"/>
  <c r="B84" i="8" s="1"/>
  <c r="C84" i="8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C89" i="8"/>
  <c r="B89" i="8" s="1" a="1"/>
  <c r="B89" i="8" s="1"/>
  <c r="D89" i="8"/>
  <c r="B90" i="8" a="1"/>
  <c r="B90" i="8" s="1"/>
  <c r="C90" i="8"/>
  <c r="D90" i="8"/>
  <c r="C91" i="8"/>
  <c r="B91" i="8" s="1" a="1"/>
  <c r="B91" i="8" s="1"/>
  <c r="D91" i="8"/>
  <c r="B92" i="8"/>
  <c r="C92" i="8"/>
  <c r="B92" i="8" s="1" a="1"/>
  <c r="D92" i="8"/>
  <c r="C93" i="8"/>
  <c r="B93" i="8" s="1" a="1"/>
  <c r="B93" i="8" s="1"/>
  <c r="D93" i="8"/>
  <c r="B94" i="8"/>
  <c r="C94" i="8"/>
  <c r="B94" i="8" s="1" a="1"/>
  <c r="D94" i="8"/>
  <c r="B95" i="8"/>
  <c r="C95" i="8"/>
  <c r="B95" i="8" s="1" a="1"/>
  <c r="D95" i="8"/>
  <c r="B96" i="8"/>
  <c r="C96" i="8"/>
  <c r="B96" i="8" s="1" a="1"/>
  <c r="D96" i="8"/>
  <c r="C97" i="8"/>
  <c r="B97" i="8" s="1" a="1"/>
  <c r="B97" i="8" s="1"/>
  <c r="D97" i="8"/>
  <c r="B98" i="8"/>
  <c r="C98" i="8"/>
  <c r="B98" i="8" s="1" a="1"/>
  <c r="D98" i="8"/>
  <c r="C99" i="8"/>
  <c r="B99" i="8" s="1" a="1"/>
  <c r="B99" i="8" s="1"/>
  <c r="D99" i="8"/>
  <c r="B100" i="8"/>
  <c r="C100" i="8"/>
  <c r="B100" i="8" s="1" a="1"/>
  <c r="D100" i="8"/>
  <c r="C101" i="8"/>
  <c r="B101" i="8" s="1" a="1"/>
  <c r="B101" i="8" s="1"/>
  <c r="D101" i="8"/>
  <c r="B102" i="8"/>
  <c r="C102" i="8"/>
  <c r="B102" i="8" s="1" a="1"/>
  <c r="D102" i="8"/>
  <c r="C103" i="8"/>
  <c r="B103" i="8" s="1" a="1"/>
  <c r="B103" i="8" s="1"/>
  <c r="D103" i="8"/>
  <c r="B104" i="8"/>
  <c r="C104" i="8"/>
  <c r="B104" i="8" s="1" a="1"/>
  <c r="D104" i="8"/>
  <c r="C105" i="8"/>
  <c r="B105" i="8" s="1" a="1"/>
  <c r="B105" i="8" s="1"/>
  <c r="D105" i="8"/>
  <c r="B106" i="8"/>
  <c r="C106" i="8"/>
  <c r="B106" i="8" s="1" a="1"/>
  <c r="D106" i="8"/>
  <c r="C107" i="8"/>
  <c r="B107" i="8" s="1" a="1"/>
  <c r="B107" i="8" s="1"/>
  <c r="D107" i="8"/>
  <c r="B108" i="8"/>
  <c r="C108" i="8"/>
  <c r="B108" i="8" s="1" a="1"/>
  <c r="D108" i="8"/>
  <c r="C109" i="8"/>
  <c r="B109" i="8" s="1" a="1"/>
  <c r="B109" i="8" s="1"/>
  <c r="D109" i="8"/>
  <c r="B110" i="8"/>
  <c r="C110" i="8"/>
  <c r="B110" i="8" s="1" a="1"/>
  <c r="D110" i="8"/>
  <c r="C111" i="8"/>
  <c r="B111" i="8" s="1" a="1"/>
  <c r="B111" i="8" s="1"/>
  <c r="D111" i="8"/>
  <c r="B112" i="8"/>
  <c r="C112" i="8"/>
  <c r="B112" i="8" s="1" a="1"/>
  <c r="D112" i="8"/>
  <c r="C113" i="8"/>
  <c r="B113" i="8" s="1" a="1"/>
  <c r="B113" i="8" s="1"/>
  <c r="D113" i="8"/>
  <c r="B114" i="8"/>
  <c r="C114" i="8"/>
  <c r="B114" i="8" s="1" a="1"/>
  <c r="D114" i="8"/>
  <c r="E114" i="8"/>
  <c r="F114" i="8"/>
  <c r="G114" i="8"/>
  <c r="C115" i="8"/>
  <c r="B115" i="8" s="1" a="1"/>
  <c r="B115" i="8" s="1"/>
  <c r="D115" i="8"/>
  <c r="E115" i="8"/>
  <c r="F115" i="8"/>
  <c r="G115" i="8"/>
  <c r="B116" i="8"/>
  <c r="C116" i="8"/>
  <c r="B116" i="8" s="1" a="1"/>
  <c r="D116" i="8"/>
  <c r="E116" i="8"/>
  <c r="F116" i="8"/>
  <c r="G116" i="8"/>
  <c r="C117" i="8"/>
  <c r="B117" i="8" s="1" a="1"/>
  <c r="B117" i="8" s="1"/>
  <c r="D117" i="8"/>
  <c r="E117" i="8"/>
  <c r="F117" i="8"/>
  <c r="G117" i="8"/>
  <c r="B118" i="8"/>
  <c r="C118" i="8"/>
  <c r="B118" i="8" s="1" a="1"/>
  <c r="D118" i="8"/>
  <c r="E118" i="8"/>
  <c r="F118" i="8"/>
  <c r="G118" i="8"/>
  <c r="C119" i="8"/>
  <c r="B119" i="8" s="1" a="1"/>
  <c r="B119" i="8" s="1"/>
  <c r="D119" i="8"/>
  <c r="E119" i="8"/>
  <c r="F119" i="8"/>
  <c r="G119" i="8"/>
  <c r="B120" i="8"/>
  <c r="C120" i="8"/>
  <c r="B120" i="8" s="1" a="1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/>
  <c r="C122" i="8"/>
  <c r="B122" i="8" s="1" a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/>
  <c r="C124" i="8"/>
  <c r="B124" i="8" s="1" a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B128" i="8"/>
  <c r="C128" i="8"/>
  <c r="B128" i="8" s="1" a="1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/>
  <c r="C130" i="8"/>
  <c r="B130" i="8" s="1" a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/>
  <c r="C132" i="8"/>
  <c r="B132" i="8" s="1" a="1"/>
  <c r="D132" i="8"/>
  <c r="E132" i="8"/>
  <c r="F132" i="8"/>
  <c r="G132" i="8"/>
  <c r="B133" i="8"/>
  <c r="C133" i="8"/>
  <c r="B133" i="8" s="1" a="1"/>
  <c r="D133" i="8"/>
  <c r="E133" i="8"/>
  <c r="F133" i="8"/>
  <c r="G133" i="8"/>
  <c r="B134" i="8"/>
  <c r="C134" i="8"/>
  <c r="B134" i="8" s="1" a="1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/>
  <c r="C136" i="8"/>
  <c r="B136" i="8" s="1" a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B139" i="8"/>
  <c r="C139" i="8"/>
  <c r="B139" i="8" s="1" a="1"/>
  <c r="D139" i="8"/>
  <c r="E139" i="8"/>
  <c r="F139" i="8"/>
  <c r="G139" i="8"/>
  <c r="B140" i="8"/>
  <c r="C140" i="8"/>
  <c r="B140" i="8" s="1" a="1"/>
  <c r="D140" i="8"/>
  <c r="E140" i="8"/>
  <c r="F140" i="8"/>
  <c r="G140" i="8"/>
  <c r="C141" i="8"/>
  <c r="B141" i="8" s="1" a="1"/>
  <c r="B141" i="8" s="1"/>
  <c r="D141" i="8"/>
  <c r="E141" i="8"/>
  <c r="F141" i="8"/>
  <c r="G141" i="8"/>
  <c r="B142" i="8"/>
  <c r="C142" i="8"/>
  <c r="B142" i="8" s="1" a="1"/>
  <c r="D142" i="8"/>
  <c r="E142" i="8"/>
  <c r="F142" i="8"/>
  <c r="G142" i="8"/>
  <c r="C143" i="8"/>
  <c r="B143" i="8" s="1" a="1"/>
  <c r="B143" i="8" s="1"/>
  <c r="D143" i="8"/>
  <c r="E143" i="8"/>
  <c r="F143" i="8"/>
  <c r="G143" i="8"/>
  <c r="B144" i="8"/>
  <c r="C144" i="8"/>
  <c r="B144" i="8" s="1" a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B147" i="8"/>
  <c r="C147" i="8"/>
  <c r="B147" i="8" s="1" a="1"/>
  <c r="D147" i="8"/>
  <c r="E147" i="8"/>
  <c r="F147" i="8"/>
  <c r="G147" i="8"/>
  <c r="B148" i="8"/>
  <c r="C148" i="8"/>
  <c r="B148" i="8" s="1" a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/>
  <c r="C152" i="8"/>
  <c r="B152" i="8" s="1" a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B155" i="8"/>
  <c r="C155" i="8"/>
  <c r="B155" i="8" s="1" a="1"/>
  <c r="D155" i="8"/>
  <c r="E155" i="8"/>
  <c r="F155" i="8"/>
  <c r="G155" i="8"/>
  <c r="B156" i="8"/>
  <c r="C156" i="8"/>
  <c r="B156" i="8" s="1" a="1"/>
  <c r="D156" i="8"/>
  <c r="E156" i="8"/>
  <c r="F156" i="8"/>
  <c r="G156" i="8"/>
  <c r="C157" i="8"/>
  <c r="B157" i="8" s="1" a="1"/>
  <c r="B157" i="8" s="1"/>
  <c r="D157" i="8"/>
  <c r="E157" i="8"/>
  <c r="F157" i="8"/>
  <c r="G157" i="8"/>
  <c r="B158" i="8"/>
  <c r="C158" i="8"/>
  <c r="B158" i="8" s="1" a="1"/>
  <c r="D158" i="8"/>
  <c r="E158" i="8"/>
  <c r="F158" i="8"/>
  <c r="G158" i="8"/>
  <c r="C159" i="8"/>
  <c r="B159" i="8" s="1" a="1"/>
  <c r="B159" i="8" s="1"/>
  <c r="D159" i="8"/>
  <c r="E159" i="8"/>
  <c r="F159" i="8"/>
  <c r="G159" i="8"/>
  <c r="B160" i="8"/>
  <c r="C160" i="8"/>
  <c r="B160" i="8" s="1" a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B163" i="8"/>
  <c r="C163" i="8"/>
  <c r="B163" i="8" s="1" a="1"/>
  <c r="D163" i="8"/>
  <c r="E163" i="8"/>
  <c r="F163" i="8"/>
  <c r="G163" i="8"/>
  <c r="B164" i="8"/>
  <c r="C164" i="8"/>
  <c r="B164" i="8" s="1" a="1"/>
  <c r="D164" i="8"/>
  <c r="E164" i="8"/>
  <c r="F164" i="8"/>
  <c r="G164" i="8"/>
  <c r="C165" i="8"/>
  <c r="B165" i="8" s="1" a="1"/>
  <c r="B165" i="8" s="1"/>
  <c r="D165" i="8"/>
  <c r="E165" i="8"/>
  <c r="F165" i="8"/>
  <c r="G165" i="8"/>
  <c r="B166" i="8"/>
  <c r="C166" i="8"/>
  <c r="B166" i="8" s="1" a="1"/>
  <c r="D166" i="8"/>
  <c r="E166" i="8"/>
  <c r="F166" i="8"/>
  <c r="G166" i="8"/>
  <c r="C167" i="8"/>
  <c r="B167" i="8" s="1" a="1"/>
  <c r="B167" i="8" s="1"/>
  <c r="D167" i="8"/>
  <c r="E167" i="8"/>
  <c r="F167" i="8"/>
  <c r="G167" i="8"/>
  <c r="B168" i="8"/>
  <c r="C168" i="8"/>
  <c r="B168" i="8" s="1" a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B171" i="8"/>
  <c r="C171" i="8"/>
  <c r="B171" i="8" s="1" a="1"/>
  <c r="D171" i="8"/>
  <c r="E171" i="8"/>
  <c r="F171" i="8"/>
  <c r="G171" i="8"/>
  <c r="B172" i="8"/>
  <c r="C172" i="8"/>
  <c r="B172" i="8" s="1" a="1"/>
  <c r="D172" i="8"/>
  <c r="E172" i="8"/>
  <c r="F172" i="8"/>
  <c r="G172" i="8"/>
  <c r="C173" i="8"/>
  <c r="B173" i="8" s="1" a="1"/>
  <c r="B173" i="8" s="1"/>
  <c r="D173" i="8"/>
  <c r="E173" i="8"/>
  <c r="F173" i="8"/>
  <c r="G173" i="8"/>
  <c r="B174" i="8"/>
  <c r="C174" i="8"/>
  <c r="B174" i="8" s="1" a="1"/>
  <c r="D174" i="8"/>
  <c r="E174" i="8"/>
  <c r="F174" i="8"/>
  <c r="G174" i="8"/>
  <c r="C175" i="8"/>
  <c r="B175" i="8" s="1" a="1"/>
  <c r="B175" i="8" s="1"/>
  <c r="D175" i="8"/>
  <c r="E175" i="8"/>
  <c r="F175" i="8"/>
  <c r="G175" i="8"/>
  <c r="B176" i="8"/>
  <c r="C176" i="8"/>
  <c r="B176" i="8" s="1" a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B179" i="8"/>
  <c r="C179" i="8"/>
  <c r="B179" i="8" s="1" a="1"/>
  <c r="D179" i="8"/>
  <c r="E179" i="8"/>
  <c r="F179" i="8"/>
  <c r="G179" i="8"/>
  <c r="B180" i="8"/>
  <c r="C180" i="8"/>
  <c r="B180" i="8" s="1" a="1"/>
  <c r="D180" i="8"/>
  <c r="E180" i="8"/>
  <c r="F180" i="8"/>
  <c r="G180" i="8"/>
  <c r="C181" i="8"/>
  <c r="B181" i="8" s="1" a="1"/>
  <c r="B181" i="8" s="1"/>
  <c r="D181" i="8"/>
  <c r="E181" i="8"/>
  <c r="F181" i="8"/>
  <c r="G181" i="8"/>
  <c r="B182" i="8"/>
  <c r="C182" i="8"/>
  <c r="B182" i="8" s="1" a="1"/>
  <c r="D182" i="8"/>
  <c r="E182" i="8"/>
  <c r="F182" i="8"/>
  <c r="G182" i="8"/>
  <c r="C183" i="8"/>
  <c r="B183" i="8" s="1" a="1"/>
  <c r="B183" i="8" s="1"/>
  <c r="D183" i="8"/>
  <c r="E183" i="8"/>
  <c r="F183" i="8"/>
  <c r="G183" i="8"/>
  <c r="B184" i="8"/>
  <c r="C184" i="8"/>
  <c r="B184" i="8" s="1" a="1"/>
  <c r="D184" i="8"/>
  <c r="E184" i="8"/>
  <c r="F184" i="8"/>
  <c r="G184" i="8"/>
  <c r="C185" i="8"/>
  <c r="B185" i="8" s="1" a="1"/>
  <c r="B185" i="8" s="1"/>
  <c r="D185" i="8"/>
  <c r="E185" i="8"/>
  <c r="F185" i="8"/>
  <c r="G185" i="8"/>
  <c r="B186" i="8"/>
  <c r="C186" i="8"/>
  <c r="B186" i="8" s="1" a="1"/>
  <c r="D186" i="8"/>
  <c r="E186" i="8"/>
  <c r="F186" i="8"/>
  <c r="G186" i="8"/>
  <c r="B187" i="8"/>
  <c r="C187" i="8"/>
  <c r="B187" i="8" s="1" a="1"/>
  <c r="D187" i="8"/>
  <c r="E187" i="8"/>
  <c r="F187" i="8"/>
  <c r="G187" i="8"/>
  <c r="B188" i="8"/>
  <c r="C188" i="8"/>
  <c r="B188" i="8" s="1" a="1"/>
  <c r="D188" i="8"/>
  <c r="E188" i="8"/>
  <c r="F188" i="8"/>
  <c r="G188" i="8"/>
  <c r="C189" i="8"/>
  <c r="B189" i="8" s="1" a="1"/>
  <c r="B189" i="8" s="1"/>
  <c r="D189" i="8"/>
  <c r="E189" i="8"/>
  <c r="F189" i="8"/>
  <c r="G189" i="8"/>
  <c r="B190" i="8"/>
  <c r="C190" i="8"/>
  <c r="B190" i="8" s="1" a="1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/>
  <c r="C192" i="8"/>
  <c r="B192" i="8" s="1" a="1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/>
  <c r="C194" i="8"/>
  <c r="B194" i="8" s="1" a="1"/>
  <c r="D194" i="8"/>
  <c r="E194" i="8"/>
  <c r="F194" i="8"/>
  <c r="G194" i="8"/>
  <c r="B195" i="8"/>
  <c r="C195" i="8"/>
  <c r="B195" i="8" s="1" a="1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W127" i="19" s="1"/>
  <c r="BX12" i="19"/>
  <c r="BY12" i="19"/>
  <c r="BZ12" i="19"/>
  <c r="CA12" i="19"/>
  <c r="CB12" i="19"/>
  <c r="CC12" i="19"/>
  <c r="CD12" i="19"/>
  <c r="CE12" i="19"/>
  <c r="CE127" i="19" s="1"/>
  <c r="CF12" i="19"/>
  <c r="CG12" i="19"/>
  <c r="CH12" i="19"/>
  <c r="CI12" i="19"/>
  <c r="CJ12" i="19"/>
  <c r="CK12" i="19"/>
  <c r="CL12" i="19"/>
  <c r="CM12" i="19"/>
  <c r="CM127" i="19" s="1"/>
  <c r="CN12" i="19"/>
  <c r="CO12" i="19"/>
  <c r="CP12" i="19"/>
  <c r="CQ12" i="19"/>
  <c r="CR12" i="19"/>
  <c r="CS12" i="19"/>
  <c r="CT12" i="19"/>
  <c r="CU12" i="19"/>
  <c r="CU127" i="19" s="1"/>
  <c r="CV12" i="19"/>
  <c r="CW12" i="19"/>
  <c r="CX12" i="19"/>
  <c r="CY12" i="19"/>
  <c r="CZ12" i="19"/>
  <c r="DA12" i="19"/>
  <c r="DB12" i="19"/>
  <c r="DC12" i="19"/>
  <c r="DC127" i="19" s="1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Y127" i="19" s="1"/>
  <c r="BZ14" i="19"/>
  <c r="CA14" i="19"/>
  <c r="CB14" i="19"/>
  <c r="CC14" i="19"/>
  <c r="CD14" i="19"/>
  <c r="CE14" i="19"/>
  <c r="CF14" i="19"/>
  <c r="CG14" i="19"/>
  <c r="CG127" i="19" s="1"/>
  <c r="CH14" i="19"/>
  <c r="CI14" i="19"/>
  <c r="CJ14" i="19"/>
  <c r="CK14" i="19"/>
  <c r="CL14" i="19"/>
  <c r="CM14" i="19"/>
  <c r="CN14" i="19"/>
  <c r="CO14" i="19"/>
  <c r="CO127" i="19" s="1"/>
  <c r="CP14" i="19"/>
  <c r="CQ14" i="19"/>
  <c r="CR14" i="19"/>
  <c r="CS14" i="19"/>
  <c r="CT14" i="19"/>
  <c r="CU14" i="19"/>
  <c r="CV14" i="19"/>
  <c r="CW14" i="19"/>
  <c r="CW127" i="19" s="1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X127" i="19" s="1"/>
  <c r="BY17" i="19"/>
  <c r="BZ17" i="19"/>
  <c r="CA17" i="19"/>
  <c r="CB17" i="19"/>
  <c r="CC17" i="19"/>
  <c r="CD17" i="19"/>
  <c r="CE17" i="19"/>
  <c r="CF17" i="19"/>
  <c r="CF127" i="19" s="1"/>
  <c r="CG17" i="19"/>
  <c r="CH17" i="19"/>
  <c r="CI17" i="19"/>
  <c r="CJ17" i="19"/>
  <c r="CK17" i="19"/>
  <c r="CL17" i="19"/>
  <c r="CM17" i="19"/>
  <c r="CN17" i="19"/>
  <c r="CN127" i="19" s="1"/>
  <c r="CO17" i="19"/>
  <c r="CP17" i="19"/>
  <c r="CQ17" i="19"/>
  <c r="CR17" i="19"/>
  <c r="CS17" i="19"/>
  <c r="CT17" i="19"/>
  <c r="CU17" i="19"/>
  <c r="CV17" i="19"/>
  <c r="CV127" i="19" s="1"/>
  <c r="CW17" i="19"/>
  <c r="CX17" i="19"/>
  <c r="CY17" i="19"/>
  <c r="CZ17" i="19"/>
  <c r="DA17" i="19"/>
  <c r="DB17" i="19"/>
  <c r="DC17" i="19"/>
  <c r="DD17" i="19"/>
  <c r="DD127" i="19" s="1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BZ127" i="19" s="1"/>
  <c r="CA19" i="19"/>
  <c r="CB19" i="19"/>
  <c r="CC19" i="19"/>
  <c r="CD19" i="19"/>
  <c r="CE19" i="19"/>
  <c r="CF19" i="19"/>
  <c r="CG19" i="19"/>
  <c r="CH19" i="19"/>
  <c r="CH127" i="19" s="1"/>
  <c r="CI19" i="19"/>
  <c r="CJ19" i="19"/>
  <c r="CK19" i="19"/>
  <c r="CL19" i="19"/>
  <c r="CM19" i="19"/>
  <c r="CN19" i="19"/>
  <c r="CO19" i="19"/>
  <c r="CP19" i="19"/>
  <c r="CP127" i="19" s="1"/>
  <c r="CQ19" i="19"/>
  <c r="CR19" i="19"/>
  <c r="CS19" i="19"/>
  <c r="CT19" i="19"/>
  <c r="CU19" i="19"/>
  <c r="CV19" i="19"/>
  <c r="CW19" i="19"/>
  <c r="CX19" i="19"/>
  <c r="CX127" i="19" s="1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A127" i="19" s="1"/>
  <c r="CB24" i="19"/>
  <c r="CC24" i="19"/>
  <c r="CD24" i="19"/>
  <c r="CE24" i="19"/>
  <c r="CF24" i="19"/>
  <c r="CG24" i="19"/>
  <c r="CH24" i="19"/>
  <c r="CI24" i="19"/>
  <c r="CI127" i="19" s="1"/>
  <c r="CJ24" i="19"/>
  <c r="CK24" i="19"/>
  <c r="CL24" i="19"/>
  <c r="CM24" i="19"/>
  <c r="CN24" i="19"/>
  <c r="CO24" i="19"/>
  <c r="CP24" i="19"/>
  <c r="CQ24" i="19"/>
  <c r="CQ127" i="19" s="1"/>
  <c r="CR24" i="19"/>
  <c r="CS24" i="19"/>
  <c r="CT24" i="19"/>
  <c r="CU24" i="19"/>
  <c r="CV24" i="19"/>
  <c r="CW24" i="19"/>
  <c r="CX24" i="19"/>
  <c r="CY24" i="19"/>
  <c r="CY127" i="19" s="1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B127" i="19" s="1"/>
  <c r="CC29" i="19"/>
  <c r="CD29" i="19"/>
  <c r="CE29" i="19"/>
  <c r="CF29" i="19"/>
  <c r="CG29" i="19"/>
  <c r="CH29" i="19"/>
  <c r="CI29" i="19"/>
  <c r="CJ29" i="19"/>
  <c r="CJ127" i="19" s="1"/>
  <c r="CK29" i="19"/>
  <c r="CL29" i="19"/>
  <c r="CM29" i="19"/>
  <c r="CN29" i="19"/>
  <c r="CO29" i="19"/>
  <c r="CP29" i="19"/>
  <c r="CQ29" i="19"/>
  <c r="CR29" i="19"/>
  <c r="CR127" i="19" s="1"/>
  <c r="CS29" i="19"/>
  <c r="CT29" i="19"/>
  <c r="CU29" i="19"/>
  <c r="CV29" i="19"/>
  <c r="CW29" i="19"/>
  <c r="CX29" i="19"/>
  <c r="CY29" i="19"/>
  <c r="CZ29" i="19"/>
  <c r="CZ127" i="19" s="1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C127" i="19" s="1"/>
  <c r="CD34" i="19"/>
  <c r="CE34" i="19"/>
  <c r="CF34" i="19"/>
  <c r="CG34" i="19"/>
  <c r="CH34" i="19"/>
  <c r="CI34" i="19"/>
  <c r="CJ34" i="19"/>
  <c r="CK34" i="19"/>
  <c r="CK127" i="19" s="1"/>
  <c r="CL34" i="19"/>
  <c r="CM34" i="19"/>
  <c r="CN34" i="19"/>
  <c r="CO34" i="19"/>
  <c r="CP34" i="19"/>
  <c r="CQ34" i="19"/>
  <c r="CR34" i="19"/>
  <c r="CS34" i="19"/>
  <c r="CS127" i="19" s="1"/>
  <c r="CT34" i="19"/>
  <c r="CU34" i="19"/>
  <c r="CV34" i="19"/>
  <c r="CW34" i="19"/>
  <c r="CX34" i="19"/>
  <c r="CY34" i="19"/>
  <c r="CZ34" i="19"/>
  <c r="DA34" i="19"/>
  <c r="DA127" i="19" s="1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V127" i="19" s="1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CD127" i="19"/>
  <c r="CL127" i="19"/>
  <c r="CT127" i="19"/>
  <c r="DB127" i="19"/>
  <c r="BV2" i="3"/>
  <c r="BW2" i="3"/>
  <c r="BX2" i="3"/>
  <c r="BY2" i="3"/>
  <c r="BZ2" i="3"/>
  <c r="CA2" i="3"/>
  <c r="CB2" i="3"/>
  <c r="CC2" i="3"/>
  <c r="CC127" i="3" s="1"/>
  <c r="CD2" i="3"/>
  <c r="CE2" i="3"/>
  <c r="CF2" i="3"/>
  <c r="CG2" i="3"/>
  <c r="CH2" i="3"/>
  <c r="CI2" i="3"/>
  <c r="CJ2" i="3"/>
  <c r="CK2" i="3"/>
  <c r="CK127" i="3" s="1"/>
  <c r="CL2" i="3"/>
  <c r="CM2" i="3"/>
  <c r="CN2" i="3"/>
  <c r="CO2" i="3"/>
  <c r="CP2" i="3"/>
  <c r="CQ2" i="3"/>
  <c r="CR2" i="3"/>
  <c r="CS2" i="3"/>
  <c r="CS127" i="3" s="1"/>
  <c r="CT2" i="3"/>
  <c r="CU2" i="3"/>
  <c r="CV2" i="3"/>
  <c r="CW2" i="3"/>
  <c r="CX2" i="3"/>
  <c r="CY2" i="3"/>
  <c r="CZ2" i="3"/>
  <c r="DA2" i="3"/>
  <c r="DA127" i="3" s="1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H127" i="3" s="1"/>
  <c r="CI3" i="3"/>
  <c r="CJ3" i="3"/>
  <c r="CK3" i="3"/>
  <c r="CL3" i="3"/>
  <c r="CM3" i="3"/>
  <c r="CN3" i="3"/>
  <c r="CO3" i="3"/>
  <c r="CP3" i="3"/>
  <c r="CP127" i="3" s="1"/>
  <c r="CQ3" i="3"/>
  <c r="CR3" i="3"/>
  <c r="CS3" i="3"/>
  <c r="CT3" i="3"/>
  <c r="CU3" i="3"/>
  <c r="CV3" i="3"/>
  <c r="CW3" i="3"/>
  <c r="CX3" i="3"/>
  <c r="CX127" i="3" s="1"/>
  <c r="CY3" i="3"/>
  <c r="CZ3" i="3"/>
  <c r="DA3" i="3"/>
  <c r="DB3" i="3"/>
  <c r="DC3" i="3"/>
  <c r="DD3" i="3"/>
  <c r="BV4" i="3"/>
  <c r="BW4" i="3"/>
  <c r="BW127" i="3" s="1"/>
  <c r="BX4" i="3"/>
  <c r="BY4" i="3"/>
  <c r="BZ4" i="3"/>
  <c r="CA4" i="3"/>
  <c r="CB4" i="3"/>
  <c r="CC4" i="3"/>
  <c r="CD4" i="3"/>
  <c r="CE4" i="3"/>
  <c r="CE127" i="3" s="1"/>
  <c r="CF4" i="3"/>
  <c r="CG4" i="3"/>
  <c r="CH4" i="3"/>
  <c r="CI4" i="3"/>
  <c r="CJ4" i="3"/>
  <c r="CK4" i="3"/>
  <c r="CL4" i="3"/>
  <c r="CM4" i="3"/>
  <c r="CM127" i="3" s="1"/>
  <c r="CN4" i="3"/>
  <c r="CO4" i="3"/>
  <c r="CP4" i="3"/>
  <c r="CQ4" i="3"/>
  <c r="CR4" i="3"/>
  <c r="CS4" i="3"/>
  <c r="CT4" i="3"/>
  <c r="CU4" i="3"/>
  <c r="CU127" i="3" s="1"/>
  <c r="CV4" i="3"/>
  <c r="CW4" i="3"/>
  <c r="CX4" i="3"/>
  <c r="CY4" i="3"/>
  <c r="CZ4" i="3"/>
  <c r="DA4" i="3"/>
  <c r="DB4" i="3"/>
  <c r="DC4" i="3"/>
  <c r="DC127" i="3" s="1"/>
  <c r="DD4" i="3"/>
  <c r="BV5" i="3"/>
  <c r="BW5" i="3"/>
  <c r="BX5" i="3"/>
  <c r="BY5" i="3"/>
  <c r="BZ5" i="3"/>
  <c r="CA5" i="3"/>
  <c r="CB5" i="3"/>
  <c r="CB127" i="3" s="1"/>
  <c r="CC5" i="3"/>
  <c r="CD5" i="3"/>
  <c r="CE5" i="3"/>
  <c r="CF5" i="3"/>
  <c r="CG5" i="3"/>
  <c r="CH5" i="3"/>
  <c r="CI5" i="3"/>
  <c r="CJ5" i="3"/>
  <c r="CJ127" i="3" s="1"/>
  <c r="CK5" i="3"/>
  <c r="CL5" i="3"/>
  <c r="CM5" i="3"/>
  <c r="CN5" i="3"/>
  <c r="CO5" i="3"/>
  <c r="CP5" i="3"/>
  <c r="CQ5" i="3"/>
  <c r="CR5" i="3"/>
  <c r="CR127" i="3" s="1"/>
  <c r="CS5" i="3"/>
  <c r="CT5" i="3"/>
  <c r="CU5" i="3"/>
  <c r="CV5" i="3"/>
  <c r="CW5" i="3"/>
  <c r="CX5" i="3"/>
  <c r="CY5" i="3"/>
  <c r="CZ5" i="3"/>
  <c r="CZ127" i="3" s="1"/>
  <c r="DA5" i="3"/>
  <c r="DB5" i="3"/>
  <c r="DC5" i="3"/>
  <c r="DD5" i="3"/>
  <c r="BV6" i="3"/>
  <c r="BW6" i="3"/>
  <c r="BX6" i="3"/>
  <c r="BY6" i="3"/>
  <c r="BY127" i="3" s="1"/>
  <c r="BZ6" i="3"/>
  <c r="CA6" i="3"/>
  <c r="CB6" i="3"/>
  <c r="CC6" i="3"/>
  <c r="CD6" i="3"/>
  <c r="CE6" i="3"/>
  <c r="CF6" i="3"/>
  <c r="CG6" i="3"/>
  <c r="CG127" i="3" s="1"/>
  <c r="CH6" i="3"/>
  <c r="CI6" i="3"/>
  <c r="CJ6" i="3"/>
  <c r="CK6" i="3"/>
  <c r="CL6" i="3"/>
  <c r="CM6" i="3"/>
  <c r="CN6" i="3"/>
  <c r="CO6" i="3"/>
  <c r="CO127" i="3" s="1"/>
  <c r="CP6" i="3"/>
  <c r="CQ6" i="3"/>
  <c r="CR6" i="3"/>
  <c r="CS6" i="3"/>
  <c r="CT6" i="3"/>
  <c r="CU6" i="3"/>
  <c r="CV6" i="3"/>
  <c r="CW6" i="3"/>
  <c r="CW127" i="3" s="1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A127" i="3" s="1"/>
  <c r="CB8" i="3"/>
  <c r="CC8" i="3"/>
  <c r="CD8" i="3"/>
  <c r="CE8" i="3"/>
  <c r="CF8" i="3"/>
  <c r="CG8" i="3"/>
  <c r="CH8" i="3"/>
  <c r="CI8" i="3"/>
  <c r="CI127" i="3" s="1"/>
  <c r="CJ8" i="3"/>
  <c r="CK8" i="3"/>
  <c r="CL8" i="3"/>
  <c r="CM8" i="3"/>
  <c r="CN8" i="3"/>
  <c r="CO8" i="3"/>
  <c r="CP8" i="3"/>
  <c r="CQ8" i="3"/>
  <c r="CQ127" i="3" s="1"/>
  <c r="CR8" i="3"/>
  <c r="CS8" i="3"/>
  <c r="CT8" i="3"/>
  <c r="CU8" i="3"/>
  <c r="CV8" i="3"/>
  <c r="CW8" i="3"/>
  <c r="CX8" i="3"/>
  <c r="CY8" i="3"/>
  <c r="CY127" i="3" s="1"/>
  <c r="CZ8" i="3"/>
  <c r="DA8" i="3"/>
  <c r="DB8" i="3"/>
  <c r="DC8" i="3"/>
  <c r="DD8" i="3"/>
  <c r="BV9" i="3"/>
  <c r="BW9" i="3"/>
  <c r="BX9" i="3"/>
  <c r="BX127" i="3" s="1"/>
  <c r="BY9" i="3"/>
  <c r="BZ9" i="3"/>
  <c r="CA9" i="3"/>
  <c r="CB9" i="3"/>
  <c r="CC9" i="3"/>
  <c r="CD9" i="3"/>
  <c r="CE9" i="3"/>
  <c r="CF9" i="3"/>
  <c r="CF127" i="3" s="1"/>
  <c r="CG9" i="3"/>
  <c r="CH9" i="3"/>
  <c r="CI9" i="3"/>
  <c r="CJ9" i="3"/>
  <c r="CK9" i="3"/>
  <c r="CL9" i="3"/>
  <c r="CM9" i="3"/>
  <c r="CN9" i="3"/>
  <c r="CN127" i="3" s="1"/>
  <c r="CO9" i="3"/>
  <c r="CP9" i="3"/>
  <c r="CQ9" i="3"/>
  <c r="CR9" i="3"/>
  <c r="CS9" i="3"/>
  <c r="CT9" i="3"/>
  <c r="CU9" i="3"/>
  <c r="CV9" i="3"/>
  <c r="CV127" i="3" s="1"/>
  <c r="CW9" i="3"/>
  <c r="CX9" i="3"/>
  <c r="CY9" i="3"/>
  <c r="CZ9" i="3"/>
  <c r="DA9" i="3"/>
  <c r="DB9" i="3"/>
  <c r="DC9" i="3"/>
  <c r="DD9" i="3"/>
  <c r="DD127" i="3" s="1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BZ127" i="3" s="1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BV127" i="3"/>
  <c r="CD127" i="3"/>
  <c r="CL127" i="3"/>
  <c r="CT127" i="3"/>
  <c r="DB127" i="3"/>
  <c r="C5" i="23"/>
  <c r="B5" i="23" s="1" a="1"/>
  <c r="B5" i="23" s="1"/>
  <c r="B5" i="8" a="1"/>
  <c r="B5" i="8" s="1"/>
  <c r="C5" i="8"/>
  <c r="J4" i="8" l="1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3" i="23" l="1"/>
  <c r="D4" i="23"/>
  <c r="D4" i="8"/>
  <c r="D3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B128" i="19" l="1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7" i="20"/>
  <c r="L20" i="20"/>
  <c r="L16" i="20"/>
  <c r="L9" i="20"/>
  <c r="L13" i="20"/>
  <c r="L12" i="20"/>
  <c r="L14" i="20"/>
  <c r="L15" i="20"/>
  <c r="L8" i="20"/>
  <c r="L10" i="20"/>
  <c r="L6" i="20"/>
  <c r="L17" i="20"/>
  <c r="L19" i="20"/>
  <c r="L30" i="20"/>
  <c r="L22" i="20"/>
  <c r="L21" i="20"/>
  <c r="L26" i="20"/>
  <c r="L5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18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1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O43" i="14" s="1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F3" i="23" l="1"/>
  <c r="F4" i="23"/>
  <c r="A4" i="23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E4" i="23" l="1"/>
  <c r="G4" i="23" s="1"/>
  <c r="E3" i="23"/>
  <c r="G3" i="23" s="1"/>
  <c r="F2" i="23"/>
  <c r="E2" i="23"/>
  <c r="C32" i="13"/>
  <c r="G2" i="23" l="1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9" i="20"/>
  <c r="H5" i="13" l="1"/>
  <c r="C24" i="13"/>
  <c r="C23" i="13"/>
  <c r="C16" i="13"/>
  <c r="C19" i="13"/>
  <c r="G5" i="13"/>
  <c r="B35" i="13"/>
  <c r="M33" i="20"/>
  <c r="M51" i="20"/>
  <c r="M50" i="20"/>
  <c r="M56" i="20"/>
  <c r="M20" i="20"/>
  <c r="M23" i="20"/>
  <c r="M5" i="20"/>
  <c r="M30" i="20"/>
  <c r="M17" i="20"/>
  <c r="M43" i="20"/>
  <c r="M24" i="20"/>
  <c r="M25" i="20"/>
  <c r="M26" i="20"/>
  <c r="M53" i="20"/>
  <c r="M14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7" i="14" l="1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1" i="20" s="1"/>
  <c r="G63" i="14"/>
  <c r="G55" i="14"/>
  <c r="F24" i="20" s="1"/>
  <c r="G47" i="14"/>
  <c r="F5" i="20" s="1"/>
  <c r="G39" i="14"/>
  <c r="F30" i="20" s="1"/>
  <c r="G31" i="14"/>
  <c r="F49" i="20" s="1"/>
  <c r="G23" i="14"/>
  <c r="F18" i="20" s="1"/>
  <c r="G15" i="14"/>
  <c r="F8" i="20" s="1"/>
  <c r="G7" i="14"/>
  <c r="F10" i="20" s="1"/>
  <c r="G120" i="14"/>
  <c r="G112" i="14"/>
  <c r="G104" i="14"/>
  <c r="G96" i="14"/>
  <c r="G88" i="14"/>
  <c r="G80" i="14"/>
  <c r="G72" i="14"/>
  <c r="F34" i="20" s="1"/>
  <c r="G64" i="14"/>
  <c r="G56" i="14"/>
  <c r="G48" i="14"/>
  <c r="F21" i="20" s="1"/>
  <c r="G40" i="14"/>
  <c r="F44" i="20" s="1"/>
  <c r="G32" i="14"/>
  <c r="G24" i="14"/>
  <c r="F14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16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9" i="20" s="1"/>
  <c r="G10" i="14"/>
  <c r="F17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3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7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0" i="20" s="1"/>
  <c r="G38" i="14"/>
  <c r="F52" i="20" s="1"/>
  <c r="G30" i="14"/>
  <c r="G22" i="14"/>
  <c r="F43" i="20" s="1"/>
  <c r="G14" i="14"/>
  <c r="F15" i="20" s="1"/>
  <c r="G6" i="14"/>
  <c r="F19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2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3" i="20"/>
  <c r="M67" i="14"/>
  <c r="D56" i="20"/>
  <c r="M41" i="14"/>
  <c r="D11" i="20"/>
  <c r="M71" i="14"/>
  <c r="D44" i="20"/>
  <c r="M52" i="14"/>
  <c r="C15" i="13" s="1"/>
  <c r="C36" i="15" s="1"/>
  <c r="D24" i="20"/>
  <c r="M55" i="14"/>
  <c r="D14" i="20"/>
  <c r="M47" i="14"/>
  <c r="D39" i="20"/>
  <c r="M49" i="14"/>
  <c r="D37" i="20"/>
  <c r="M72" i="14"/>
  <c r="D43" i="20"/>
  <c r="M48" i="14"/>
  <c r="D9" i="20"/>
  <c r="M39" i="14"/>
  <c r="D26" i="20"/>
  <c r="M46" i="14"/>
  <c r="D55" i="20"/>
  <c r="M26" i="14"/>
  <c r="D5" i="20"/>
  <c r="M34" i="14"/>
  <c r="D30" i="20"/>
  <c r="M37" i="14"/>
  <c r="D28" i="20"/>
  <c r="M58" i="14"/>
  <c r="D20" i="20"/>
  <c r="M61" i="14"/>
  <c r="D47" i="20"/>
  <c r="M38" i="14"/>
  <c r="D23" i="20"/>
  <c r="M51" i="14"/>
  <c r="D51" i="20"/>
  <c r="M42" i="14"/>
  <c r="D50" i="20"/>
  <c r="M44" i="14"/>
  <c r="D17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L13" i="13" s="1"/>
  <c r="E17" i="20"/>
  <c r="E47" i="20"/>
  <c r="E5" i="20"/>
  <c r="E53" i="20"/>
  <c r="E30" i="20"/>
  <c r="E14" i="20"/>
  <c r="E9" i="20"/>
  <c r="E56" i="20"/>
  <c r="E33" i="20"/>
  <c r="E13" i="20"/>
  <c r="E24" i="20"/>
  <c r="E43" i="20"/>
  <c r="E20" i="20"/>
  <c r="E55" i="20"/>
  <c r="E37" i="20"/>
  <c r="E44" i="20"/>
  <c r="E63" i="20"/>
  <c r="E50" i="20"/>
  <c r="E42" i="20"/>
  <c r="E51" i="20"/>
  <c r="E28" i="20"/>
  <c r="E26" i="20"/>
  <c r="E39" i="20"/>
  <c r="E11" i="20"/>
  <c r="E25" i="20"/>
  <c r="M1" i="8"/>
  <c r="M4" i="13"/>
  <c r="A11" i="8" l="1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E20" i="8" l="1"/>
  <c r="G20" i="8" s="1"/>
  <c r="A21" i="8"/>
  <c r="F20" i="8"/>
  <c r="V7" i="13"/>
  <c r="U14" i="13"/>
  <c r="U16" i="13" s="1"/>
  <c r="U17" i="13"/>
  <c r="V13" i="13"/>
  <c r="V15" i="13"/>
  <c r="W5" i="13"/>
  <c r="W6" i="13"/>
  <c r="X1" i="8"/>
  <c r="X4" i="13"/>
  <c r="A22" i="8" l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F23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F24" i="8" l="1"/>
  <c r="A27" i="8"/>
  <c r="E26" i="8"/>
  <c r="F26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23" i="8" l="1"/>
  <c r="G23" i="8" s="1"/>
  <c r="F22" i="8"/>
  <c r="G26" i="8"/>
  <c r="E27" i="8"/>
  <c r="G27" i="8" s="1"/>
  <c r="A28" i="8"/>
  <c r="F27" i="8"/>
  <c r="AC7" i="13"/>
  <c r="AB17" i="13"/>
  <c r="AA16" i="13"/>
  <c r="AB8" i="13"/>
  <c r="AC15" i="13"/>
  <c r="AD5" i="13"/>
  <c r="AD13" i="13" s="1"/>
  <c r="AD6" i="13"/>
  <c r="AE1" i="8"/>
  <c r="AE4" i="13"/>
  <c r="E28" i="8" l="1"/>
  <c r="A29" i="8"/>
  <c r="F28" i="8"/>
  <c r="AD7" i="13"/>
  <c r="AC17" i="13"/>
  <c r="AB14" i="13"/>
  <c r="AC8" i="13"/>
  <c r="AD15" i="13"/>
  <c r="AE5" i="13"/>
  <c r="AE13" i="13" s="1"/>
  <c r="AE6" i="13"/>
  <c r="AF1" i="8"/>
  <c r="AF4" i="13"/>
  <c r="E29" i="8" l="1"/>
  <c r="G29" i="8" s="1"/>
  <c r="A30" i="8"/>
  <c r="F29" i="8"/>
  <c r="G28" i="8"/>
  <c r="AE7" i="13"/>
  <c r="AD17" i="13"/>
  <c r="AB16" i="13"/>
  <c r="AC14" i="13"/>
  <c r="AD8" i="13"/>
  <c r="AE15" i="13"/>
  <c r="AF5" i="13"/>
  <c r="AF6" i="13"/>
  <c r="AG1" i="8"/>
  <c r="AG4" i="13"/>
  <c r="E24" i="8" l="1"/>
  <c r="G24" i="8" s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E32" i="8" l="1"/>
  <c r="A33" i="8"/>
  <c r="F32" i="8"/>
  <c r="AH7" i="13"/>
  <c r="AH8" i="13" s="1"/>
  <c r="AG17" i="13"/>
  <c r="AF16" i="13"/>
  <c r="AH15" i="13"/>
  <c r="AI5" i="13"/>
  <c r="AI13" i="13" s="1"/>
  <c r="AI6" i="13"/>
  <c r="AJ1" i="8"/>
  <c r="AJ4" i="13"/>
  <c r="E30" i="8" l="1"/>
  <c r="G30" i="8" s="1"/>
  <c r="E31" i="8"/>
  <c r="G31" i="8" s="1"/>
  <c r="E33" i="8"/>
  <c r="G33" i="8" s="1"/>
  <c r="A34" i="8"/>
  <c r="F33" i="8"/>
  <c r="G32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E34" i="8"/>
  <c r="F34" i="8"/>
  <c r="AJ7" i="13"/>
  <c r="AG16" i="13"/>
  <c r="AH16" i="13"/>
  <c r="AJ15" i="13"/>
  <c r="AJ17" i="13" s="1"/>
  <c r="AK5" i="13"/>
  <c r="AK13" i="13" s="1"/>
  <c r="AK6" i="13"/>
  <c r="AL1" i="8"/>
  <c r="AL4" i="13"/>
  <c r="G34" i="8" l="1"/>
  <c r="E35" i="8"/>
  <c r="A36" i="8"/>
  <c r="F35" i="8"/>
  <c r="AK7" i="13"/>
  <c r="AK8" i="13" s="1"/>
  <c r="AI14" i="13"/>
  <c r="AJ8" i="13"/>
  <c r="AK14" i="13" s="1"/>
  <c r="AL6" i="13"/>
  <c r="AK15" i="13"/>
  <c r="AL5" i="13"/>
  <c r="AM1" i="8"/>
  <c r="AM4" i="13"/>
  <c r="E36" i="8" l="1"/>
  <c r="A37" i="8"/>
  <c r="F36" i="8"/>
  <c r="G35" i="8"/>
  <c r="AL7" i="13"/>
  <c r="AL8" i="13" s="1"/>
  <c r="AK17" i="13"/>
  <c r="AI16" i="13"/>
  <c r="G7" i="20"/>
  <c r="AJ14" i="13"/>
  <c r="AL13" i="13"/>
  <c r="AL15" i="13"/>
  <c r="AL17" i="13" s="1"/>
  <c r="AM5" i="13"/>
  <c r="AM13" i="13" s="1"/>
  <c r="AM6" i="13"/>
  <c r="AN1" i="8"/>
  <c r="AN4" i="13"/>
  <c r="E37" i="8" l="1"/>
  <c r="A38" i="8"/>
  <c r="F37" i="8"/>
  <c r="G36" i="8"/>
  <c r="AJ16" i="13"/>
  <c r="AK16" i="13"/>
  <c r="AM7" i="13"/>
  <c r="AM8" i="13" s="1"/>
  <c r="AM15" i="13"/>
  <c r="AN5" i="13"/>
  <c r="AN6" i="13"/>
  <c r="AO1" i="8"/>
  <c r="AO4" i="13"/>
  <c r="A39" i="8" l="1"/>
  <c r="E38" i="8"/>
  <c r="G38" i="8" s="1"/>
  <c r="F38" i="8"/>
  <c r="G37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E39" i="8" l="1"/>
  <c r="G39" i="8" s="1"/>
  <c r="A40" i="8"/>
  <c r="F39" i="8"/>
  <c r="AL16" i="13"/>
  <c r="AM16" i="13"/>
  <c r="AN17" i="13"/>
  <c r="AN14" i="13"/>
  <c r="AO7" i="13"/>
  <c r="AO15" i="13"/>
  <c r="AP5" i="13"/>
  <c r="AP6" i="13"/>
  <c r="AQ1" i="8"/>
  <c r="AQ4" i="13"/>
  <c r="E40" i="8" l="1"/>
  <c r="A41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E41" i="8" l="1"/>
  <c r="A42" i="8"/>
  <c r="F41" i="8"/>
  <c r="G40" i="8"/>
  <c r="AP17" i="13"/>
  <c r="AP14" i="13"/>
  <c r="AO14" i="13"/>
  <c r="AQ7" i="13"/>
  <c r="AQ8" i="13" s="1"/>
  <c r="AQ15" i="13"/>
  <c r="AR6" i="13"/>
  <c r="AS1" i="8"/>
  <c r="AS4" i="13"/>
  <c r="A43" i="8" l="1"/>
  <c r="E42" i="8"/>
  <c r="F42" i="8"/>
  <c r="G41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E43" i="8"/>
  <c r="A44" i="8"/>
  <c r="F43" i="8"/>
  <c r="AQ16" i="13"/>
  <c r="AR14" i="13"/>
  <c r="AS7" i="13"/>
  <c r="AS8" i="13" s="1"/>
  <c r="AS15" i="13"/>
  <c r="AS17" i="13" s="1"/>
  <c r="AT5" i="13"/>
  <c r="AT6" i="13"/>
  <c r="AU1" i="8"/>
  <c r="AU4" i="13"/>
  <c r="A45" i="8" l="1"/>
  <c r="F44" i="8"/>
  <c r="G43" i="8"/>
  <c r="AR16" i="13"/>
  <c r="AS14" i="13"/>
  <c r="AS16" i="13" s="1"/>
  <c r="AT7" i="13"/>
  <c r="AT13" i="13"/>
  <c r="AT15" i="13"/>
  <c r="AU5" i="13"/>
  <c r="AU6" i="13"/>
  <c r="AV1" i="8"/>
  <c r="AV4" i="13"/>
  <c r="E45" i="8" l="1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44" i="8" l="1"/>
  <c r="G44" i="8" s="1"/>
  <c r="A47" i="8"/>
  <c r="E46" i="8"/>
  <c r="G46" i="8" s="1"/>
  <c r="F46" i="8"/>
  <c r="G45" i="8"/>
  <c r="AU14" i="13"/>
  <c r="AT14" i="13"/>
  <c r="AV7" i="13"/>
  <c r="AV8" i="13" s="1"/>
  <c r="AV15" i="13"/>
  <c r="AW5" i="13"/>
  <c r="AW6" i="13"/>
  <c r="AX1" i="8"/>
  <c r="G27" i="20"/>
  <c r="AX4" i="13"/>
  <c r="E47" i="8" l="1"/>
  <c r="A48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48" i="8" l="1"/>
  <c r="A49" i="8"/>
  <c r="F48" i="8"/>
  <c r="G47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49" i="8" l="1"/>
  <c r="A50" i="8"/>
  <c r="F49" i="8"/>
  <c r="G48" i="8"/>
  <c r="G29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16" i="20"/>
  <c r="BA4" i="13"/>
  <c r="A51" i="8" l="1"/>
  <c r="E50" i="8"/>
  <c r="G50" i="8" s="1"/>
  <c r="F50" i="8"/>
  <c r="G49" i="8"/>
  <c r="AY14" i="13"/>
  <c r="AZ7" i="13"/>
  <c r="AZ8" i="13" s="1"/>
  <c r="AZ15" i="13"/>
  <c r="AZ17" i="13" s="1"/>
  <c r="BA5" i="13"/>
  <c r="BA6" i="13"/>
  <c r="BB1" i="8"/>
  <c r="BB4" i="13"/>
  <c r="E51" i="8" l="1"/>
  <c r="G51" i="8" s="1"/>
  <c r="A52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53" i="8" l="1"/>
  <c r="A54" i="8"/>
  <c r="F53" i="8"/>
  <c r="G52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A55" i="8" l="1"/>
  <c r="E54" i="8"/>
  <c r="F54" i="8"/>
  <c r="G53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E55" i="8"/>
  <c r="A56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5" i="20"/>
  <c r="J5" i="20" s="1"/>
  <c r="C16" i="15"/>
  <c r="C34" i="15"/>
  <c r="I3" i="13"/>
  <c r="C10" i="15"/>
  <c r="BG4" i="13"/>
  <c r="E56" i="8" l="1"/>
  <c r="A57" i="8"/>
  <c r="F56" i="8"/>
  <c r="G55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57" i="8" l="1"/>
  <c r="G57" i="8" s="1"/>
  <c r="A58" i="8"/>
  <c r="F57" i="8"/>
  <c r="G56" i="8"/>
  <c r="G40" i="20" s="1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59" i="8" l="1"/>
  <c r="E58" i="8"/>
  <c r="G58" i="8" s="1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8" l="1"/>
  <c r="A60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60" i="8" l="1"/>
  <c r="A61" i="8"/>
  <c r="F60" i="8"/>
  <c r="G59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3" i="8" l="1"/>
  <c r="E4" i="8"/>
  <c r="G4" i="8" s="1"/>
  <c r="F4" i="8"/>
  <c r="F3" i="8"/>
  <c r="E6" i="8"/>
  <c r="F6" i="8"/>
  <c r="E7" i="8"/>
  <c r="F8" i="8"/>
  <c r="F5" i="8"/>
  <c r="F7" i="8"/>
  <c r="E5" i="8"/>
  <c r="G5" i="8" s="1"/>
  <c r="E9" i="8"/>
  <c r="G9" i="8" s="1"/>
  <c r="F9" i="8"/>
  <c r="E8" i="8"/>
  <c r="G8" i="8" s="1"/>
  <c r="F11" i="8"/>
  <c r="F10" i="8"/>
  <c r="E10" i="8"/>
  <c r="G10" i="8" s="1"/>
  <c r="E11" i="8"/>
  <c r="G11" i="8" s="1"/>
  <c r="F12" i="8"/>
  <c r="E13" i="8"/>
  <c r="G13" i="8" s="1"/>
  <c r="F15" i="8"/>
  <c r="F13" i="8"/>
  <c r="E14" i="8"/>
  <c r="F14" i="8"/>
  <c r="E12" i="8"/>
  <c r="G12" i="8" s="1"/>
  <c r="E16" i="8"/>
  <c r="G16" i="8" s="1"/>
  <c r="F16" i="8"/>
  <c r="E15" i="8"/>
  <c r="G15" i="8" s="1"/>
  <c r="F18" i="8"/>
  <c r="F17" i="8"/>
  <c r="E18" i="8"/>
  <c r="G18" i="8" s="1"/>
  <c r="E17" i="8"/>
  <c r="F19" i="8"/>
  <c r="E19" i="8"/>
  <c r="G19" i="8" s="1"/>
  <c r="E21" i="8"/>
  <c r="F21" i="8"/>
  <c r="E22" i="8"/>
  <c r="G22" i="8" s="1"/>
  <c r="F25" i="8"/>
  <c r="E25" i="8"/>
  <c r="A63" i="8"/>
  <c r="E62" i="8"/>
  <c r="F62" i="8"/>
  <c r="G61" i="8"/>
  <c r="G43" i="20" s="1"/>
  <c r="J43" i="20" s="1"/>
  <c r="BK17" i="13"/>
  <c r="BJ14" i="13"/>
  <c r="G45" i="20"/>
  <c r="G57" i="20"/>
  <c r="G26" i="20"/>
  <c r="J26" i="20" s="1"/>
  <c r="G30" i="20"/>
  <c r="J30" i="20" s="1"/>
  <c r="G25" i="20"/>
  <c r="J25" i="20" s="1"/>
  <c r="G21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62" i="8" l="1"/>
  <c r="E63" i="8"/>
  <c r="A64" i="8"/>
  <c r="F63" i="8"/>
  <c r="G17" i="8"/>
  <c r="G25" i="8"/>
  <c r="G14" i="8"/>
  <c r="G7" i="8"/>
  <c r="G6" i="8"/>
  <c r="G21" i="8"/>
  <c r="G9" i="20" s="1"/>
  <c r="J9" i="20" s="1"/>
  <c r="G3" i="8"/>
  <c r="G12" i="20"/>
  <c r="G15" i="20"/>
  <c r="G19" i="20"/>
  <c r="G17" i="20"/>
  <c r="J17" i="20" s="1"/>
  <c r="G10" i="20"/>
  <c r="G60" i="20"/>
  <c r="G8" i="20"/>
  <c r="BK16" i="13"/>
  <c r="BJ16" i="13"/>
  <c r="BL17" i="13"/>
  <c r="G50" i="20"/>
  <c r="J50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E64" i="8" l="1"/>
  <c r="A65" i="8"/>
  <c r="F64" i="8"/>
  <c r="G63" i="8"/>
  <c r="C12" i="13"/>
  <c r="C14" i="13" s="1"/>
  <c r="C20" i="15" s="1"/>
  <c r="BL14" i="13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E65" i="8" l="1"/>
  <c r="A66" i="8"/>
  <c r="F65" i="8"/>
  <c r="G64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G65" i="8"/>
  <c r="G58" i="20" s="1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A68" i="8"/>
  <c r="E67" i="8"/>
  <c r="G67" i="8" s="1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A70" i="8" l="1"/>
  <c r="E69" i="8"/>
  <c r="G69" i="8" s="1"/>
  <c r="F69" i="8"/>
  <c r="G68" i="8"/>
  <c r="G44" i="20" s="1"/>
  <c r="J44" i="20" s="1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18" i="20"/>
  <c r="G14" i="20"/>
  <c r="J14" i="20" s="1"/>
  <c r="X3" i="13"/>
  <c r="BV4" i="13"/>
  <c r="G70" i="8" l="1"/>
  <c r="A72" i="8"/>
  <c r="E71" i="8"/>
  <c r="G71" i="8" s="1"/>
  <c r="G48" i="20" s="1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A73" i="8" l="1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A74" i="8"/>
  <c r="E73" i="8"/>
  <c r="G73" i="8" s="1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A75" i="8" l="1"/>
  <c r="E74" i="8"/>
  <c r="G74" i="8" s="1"/>
  <c r="F74" i="8"/>
  <c r="BX17" i="13"/>
  <c r="BW8" i="13"/>
  <c r="BV10" i="13"/>
  <c r="BV12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A76" i="8" l="1"/>
  <c r="E75" i="8"/>
  <c r="F75" i="8"/>
  <c r="BY17" i="13"/>
  <c r="BX14" i="13"/>
  <c r="BW11" i="13"/>
  <c r="BX11" i="13" s="1"/>
  <c r="BW12" i="13"/>
  <c r="BX12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53" i="20" s="1"/>
  <c r="J53" i="20" s="1"/>
  <c r="A77" i="8"/>
  <c r="E76" i="8"/>
  <c r="G76" i="8" s="1"/>
  <c r="F76" i="8"/>
  <c r="CB17" i="13"/>
  <c r="CA17" i="13"/>
  <c r="BZ17" i="13"/>
  <c r="BY8" i="13"/>
  <c r="BY10" i="13" s="1"/>
  <c r="BW16" i="13"/>
  <c r="BX16" i="13"/>
  <c r="BZ7" i="13"/>
  <c r="CA15" i="13"/>
  <c r="CC17" i="13" s="1"/>
  <c r="AC27" i="13"/>
  <c r="AC28" i="13" s="1"/>
  <c r="AC25" i="13"/>
  <c r="CA5" i="13"/>
  <c r="CA13" i="13" s="1"/>
  <c r="CA6" i="13"/>
  <c r="G6" i="20"/>
  <c r="AD3" i="13"/>
  <c r="CB4" i="13"/>
  <c r="A78" i="8" l="1"/>
  <c r="E77" i="8"/>
  <c r="F77" i="8"/>
  <c r="CI8" i="13"/>
  <c r="CJ14" i="13" s="1"/>
  <c r="CL16" i="13" s="1"/>
  <c r="CB8" i="13"/>
  <c r="CC14" i="13" s="1"/>
  <c r="CE16" i="13" s="1"/>
  <c r="CA8" i="13"/>
  <c r="CB14" i="13" s="1"/>
  <c r="CD16" i="13" s="1"/>
  <c r="CD8" i="13"/>
  <c r="CE14" i="13" s="1"/>
  <c r="CG16" i="13" s="1"/>
  <c r="CG8" i="13"/>
  <c r="CH14" i="13" s="1"/>
  <c r="CJ16" i="13" s="1"/>
  <c r="BZ8" i="13"/>
  <c r="CA14" i="13" s="1"/>
  <c r="CC16" i="13" s="1"/>
  <c r="CC8" i="13"/>
  <c r="CD14" i="13" s="1"/>
  <c r="CF16" i="13" s="1"/>
  <c r="CH8" i="13"/>
  <c r="CI14" i="13" s="1"/>
  <c r="CK16" i="13" s="1"/>
  <c r="BY12" i="13"/>
  <c r="BY11" i="13"/>
  <c r="BY14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G77" i="8" l="1"/>
  <c r="A79" i="8"/>
  <c r="E78" i="8"/>
  <c r="G78" i="8" s="1"/>
  <c r="F78" i="8"/>
  <c r="CE8" i="13"/>
  <c r="CF14" i="13" s="1"/>
  <c r="CH16" i="13" s="1"/>
  <c r="CF8" i="13"/>
  <c r="CG14" i="13" s="1"/>
  <c r="CI16" i="13" s="1"/>
  <c r="CJ8" i="13"/>
  <c r="CK14" i="13" s="1"/>
  <c r="CM16" i="13" s="1"/>
  <c r="BZ11" i="13"/>
  <c r="CA11" i="13" s="1"/>
  <c r="CB11" i="13" s="1"/>
  <c r="CC11" i="13" s="1"/>
  <c r="CD11" i="13" s="1"/>
  <c r="CE11" i="13" s="1"/>
  <c r="CF11" i="13" s="1"/>
  <c r="CG11" i="13" s="1"/>
  <c r="CH11" i="13" s="1"/>
  <c r="CI11" i="13" s="1"/>
  <c r="CJ11" i="13" s="1"/>
  <c r="BZ12" i="13"/>
  <c r="CA12" i="13" s="1"/>
  <c r="CB12" i="13" s="1"/>
  <c r="CC12" i="13" s="1"/>
  <c r="CD12" i="13" s="1"/>
  <c r="BZ14" i="13"/>
  <c r="CB16" i="13" s="1"/>
  <c r="BZ10" i="13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BY16" i="13"/>
  <c r="CL14" i="13"/>
  <c r="CN16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CE12" i="13" l="1"/>
  <c r="CF12" i="13" s="1"/>
  <c r="CG12" i="13" s="1"/>
  <c r="CH12" i="13" s="1"/>
  <c r="CI12" i="13" s="1"/>
  <c r="CJ12" i="13" s="1"/>
  <c r="CK12" i="13" s="1"/>
  <c r="A80" i="8"/>
  <c r="E79" i="8"/>
  <c r="G79" i="8" s="1"/>
  <c r="G35" i="20" s="1"/>
  <c r="F79" i="8"/>
  <c r="BZ16" i="13"/>
  <c r="CA16" i="13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A81" i="8" l="1"/>
  <c r="E80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G34" i="20" s="1"/>
  <c r="A82" i="8"/>
  <c r="E81" i="8"/>
  <c r="F81" i="8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A83" i="8"/>
  <c r="E82" i="8"/>
  <c r="G82" i="8" s="1"/>
  <c r="F82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20" i="20"/>
  <c r="J20" i="20" s="1"/>
  <c r="AJ3" i="13"/>
  <c r="CH4" i="13"/>
  <c r="A84" i="8" l="1"/>
  <c r="E83" i="8"/>
  <c r="G83" i="8" s="1"/>
  <c r="F83" i="8"/>
  <c r="G38" i="20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A86" i="8" l="1"/>
  <c r="E85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G85" i="8" l="1"/>
  <c r="G42" i="20" s="1"/>
  <c r="J42" i="20" s="1"/>
  <c r="E86" i="8"/>
  <c r="A87" i="8"/>
  <c r="F86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A88" i="8" l="1"/>
  <c r="E87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G88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G36" i="20" s="1"/>
  <c r="G55" i="20"/>
  <c r="J55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G95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A98" i="8" l="1"/>
  <c r="E97" i="8"/>
  <c r="F97" i="8"/>
  <c r="G96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G98" i="8" s="1"/>
  <c r="G51" i="20" s="1"/>
  <c r="J51" i="20" s="1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E100" i="8"/>
  <c r="A101" i="8"/>
  <c r="F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E101" i="8" l="1"/>
  <c r="A102" i="8"/>
  <c r="F101" i="8"/>
  <c r="G100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E102" i="8" l="1"/>
  <c r="A103" i="8"/>
  <c r="F102" i="8"/>
  <c r="G101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G106" i="8" s="1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A108" i="8" l="1"/>
  <c r="E107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A109" i="8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G108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E110" i="8" l="1"/>
  <c r="A111" i="8"/>
  <c r="F110" i="8"/>
  <c r="G109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E111" i="8" l="1"/>
  <c r="A112" i="8"/>
  <c r="F111" i="8"/>
  <c r="G110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F112" i="8"/>
  <c r="G111" i="8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A114" i="8" l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3" i="8"/>
  <c r="F113" i="8"/>
  <c r="G112" i="8"/>
  <c r="DT14" i="13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DT11" i="13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3" i="20"/>
  <c r="J13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1" i="20"/>
  <c r="J11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5" i="20"/>
  <c r="E15" i="20" s="1"/>
  <c r="M15" i="20"/>
  <c r="D36" i="20"/>
  <c r="E36" i="20" s="1"/>
  <c r="M36" i="20"/>
  <c r="D52" i="20"/>
  <c r="E52" i="20" s="1"/>
  <c r="M52" i="20"/>
  <c r="M18" i="20"/>
  <c r="D18" i="20"/>
  <c r="E18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2" i="20"/>
  <c r="E12" i="20" s="1"/>
  <c r="M12" i="20"/>
  <c r="D4" i="20"/>
  <c r="E4" i="20" s="1"/>
  <c r="M4" i="20"/>
  <c r="M19" i="20"/>
  <c r="D19" i="20"/>
  <c r="E19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7" i="20"/>
  <c r="E7" i="20" s="1"/>
  <c r="M7" i="20"/>
  <c r="M34" i="20"/>
  <c r="D34" i="20"/>
  <c r="E34" i="20" s="1"/>
  <c r="D21" i="20"/>
  <c r="E21" i="20" s="1"/>
  <c r="M21" i="20"/>
  <c r="M49" i="20"/>
  <c r="D49" i="20"/>
  <c r="E49" i="20" s="1"/>
  <c r="M16" i="20"/>
  <c r="D16" i="20"/>
  <c r="E16" i="20" s="1"/>
  <c r="D48" i="20"/>
  <c r="E48" i="20" s="1"/>
  <c r="M48" i="20"/>
  <c r="M29" i="20"/>
  <c r="D29" i="20"/>
  <c r="E29" i="20" s="1"/>
  <c r="M61" i="20"/>
  <c r="D61" i="20"/>
  <c r="E61" i="20" s="1"/>
  <c r="D8" i="20"/>
  <c r="E8" i="20" s="1"/>
  <c r="M8" i="20"/>
  <c r="D54" i="20"/>
  <c r="E54" i="20" s="1"/>
  <c r="M54" i="20"/>
  <c r="M40" i="20"/>
  <c r="D40" i="20"/>
  <c r="E40" i="20" s="1"/>
  <c r="D10" i="20"/>
  <c r="E10" i="20" s="1"/>
  <c r="M10" i="20"/>
  <c r="BG20" i="13" l="1"/>
  <c r="BG26" i="13" s="1"/>
  <c r="BH9" i="13"/>
  <c r="CG22" i="13"/>
  <c r="CG21" i="13"/>
  <c r="CG23" i="13"/>
  <c r="J6" i="20"/>
  <c r="J32" i="20"/>
  <c r="J10" i="20"/>
  <c r="J59" i="20"/>
  <c r="J40" i="20"/>
  <c r="J35" i="20"/>
  <c r="J36" i="20"/>
  <c r="J58" i="20"/>
  <c r="J54" i="20"/>
  <c r="J18" i="20"/>
  <c r="J60" i="20"/>
  <c r="J4" i="20"/>
  <c r="J7" i="20"/>
  <c r="J57" i="20"/>
  <c r="J8" i="20"/>
  <c r="J22" i="20"/>
  <c r="J48" i="20"/>
  <c r="J12" i="20"/>
  <c r="J21" i="20"/>
  <c r="J38" i="20"/>
  <c r="J45" i="20"/>
  <c r="J16" i="20"/>
  <c r="J46" i="20"/>
  <c r="J61" i="20"/>
  <c r="J49" i="20"/>
  <c r="J52" i="20"/>
  <c r="J29" i="20"/>
  <c r="J41" i="20"/>
  <c r="J34" i="20"/>
  <c r="J31" i="20"/>
  <c r="J19" i="20"/>
  <c r="J27" i="20"/>
  <c r="J15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A5" i="23" l="1"/>
  <c r="A6" i="23" l="1"/>
  <c r="E5" i="23"/>
  <c r="G5" i="23" s="1"/>
  <c r="H22" i="20" s="1"/>
  <c r="F5" i="23"/>
  <c r="A7" i="23" l="1"/>
  <c r="E6" i="23"/>
  <c r="G6" i="23" s="1"/>
  <c r="H19" i="20" s="1"/>
  <c r="F6" i="23"/>
  <c r="A8" i="23" l="1"/>
  <c r="E7" i="23"/>
  <c r="G7" i="23" s="1"/>
  <c r="H6" i="20" s="1"/>
  <c r="F7" i="23"/>
  <c r="A9" i="23" l="1"/>
  <c r="E8" i="23"/>
  <c r="G8" i="23" s="1"/>
  <c r="H12" i="20" s="1"/>
  <c r="F8" i="23"/>
  <c r="A10" i="23" l="1"/>
  <c r="E9" i="23"/>
  <c r="G9" i="23" s="1"/>
  <c r="H60" i="20" s="1"/>
  <c r="F9" i="23"/>
  <c r="A11" i="23" l="1"/>
  <c r="E10" i="23"/>
  <c r="F10" i="23"/>
  <c r="G10" i="23" l="1"/>
  <c r="H8" i="20" s="1"/>
  <c r="A12" i="23"/>
  <c r="E11" i="23"/>
  <c r="F11" i="23"/>
  <c r="G11" i="23" l="1"/>
  <c r="H10" i="20" s="1"/>
  <c r="A13" i="23"/>
  <c r="E12" i="23"/>
  <c r="F12" i="23"/>
  <c r="G12" i="23" l="1"/>
  <c r="A14" i="23"/>
  <c r="E13" i="23"/>
  <c r="G13" i="23" s="1"/>
  <c r="F13" i="23"/>
  <c r="A15" i="23" l="1"/>
  <c r="E14" i="23"/>
  <c r="F14" i="23"/>
  <c r="G14" i="23" l="1"/>
  <c r="A16" i="23"/>
  <c r="E15" i="23"/>
  <c r="G15" i="23" s="1"/>
  <c r="F15" i="23"/>
  <c r="A17" i="23" l="1"/>
  <c r="E16" i="23"/>
  <c r="G16" i="23" s="1"/>
  <c r="F16" i="23"/>
  <c r="A18" i="23" l="1"/>
  <c r="E17" i="23"/>
  <c r="F17" i="23"/>
  <c r="G17" i="23" l="1"/>
  <c r="H56" i="20" s="1"/>
  <c r="A19" i="23"/>
  <c r="E18" i="23"/>
  <c r="F18" i="23"/>
  <c r="G18" i="23" l="1"/>
  <c r="H15" i="20" s="1"/>
  <c r="A20" i="23"/>
  <c r="E19" i="23"/>
  <c r="F19" i="23"/>
  <c r="G19" i="23" l="1"/>
  <c r="H9" i="20" s="1"/>
  <c r="A21" i="23"/>
  <c r="E20" i="23"/>
  <c r="G20" i="23" s="1"/>
  <c r="F20" i="23"/>
  <c r="A22" i="23" l="1"/>
  <c r="E21" i="23"/>
  <c r="F21" i="23"/>
  <c r="G21" i="23" l="1"/>
  <c r="H17" i="20" s="1"/>
  <c r="A23" i="23"/>
  <c r="E22" i="23"/>
  <c r="G22" i="23" s="1"/>
  <c r="F22" i="23"/>
  <c r="A24" i="23" l="1"/>
  <c r="E23" i="23"/>
  <c r="G23" i="23" s="1"/>
  <c r="H7" i="20" s="1"/>
  <c r="F23" i="23"/>
  <c r="A25" i="23" l="1"/>
  <c r="E24" i="23"/>
  <c r="F24" i="23"/>
  <c r="G24" i="23" l="1"/>
  <c r="H46" i="20" s="1"/>
  <c r="A26" i="23"/>
  <c r="E25" i="23"/>
  <c r="F25" i="23"/>
  <c r="G25" i="23" l="1"/>
  <c r="A27" i="23"/>
  <c r="E26" i="23"/>
  <c r="G26" i="23" s="1"/>
  <c r="H16" i="20" s="1"/>
  <c r="F26" i="23"/>
  <c r="E27" i="23" l="1"/>
  <c r="A28" i="23"/>
  <c r="F27" i="23"/>
  <c r="E28" i="23" l="1"/>
  <c r="G28" i="23" s="1"/>
  <c r="A29" i="23"/>
  <c r="F28" i="23"/>
  <c r="G27" i="23"/>
  <c r="H20" i="20" s="1"/>
  <c r="E29" i="23" l="1"/>
  <c r="A30" i="23"/>
  <c r="F29" i="23"/>
  <c r="G29" i="23" l="1"/>
  <c r="H13" i="20" s="1"/>
  <c r="E30" i="23"/>
  <c r="G30" i="23" s="1"/>
  <c r="H14" i="20" s="1"/>
  <c r="A31" i="23"/>
  <c r="F30" i="23"/>
  <c r="E31" i="23" l="1"/>
  <c r="A32" i="23"/>
  <c r="F31" i="23"/>
  <c r="A33" i="23" l="1"/>
  <c r="E32" i="23"/>
  <c r="G32" i="23" s="1"/>
  <c r="H11" i="20" s="1"/>
  <c r="F32" i="23"/>
  <c r="G31" i="23"/>
  <c r="H50" i="20" s="1"/>
  <c r="A34" i="23" l="1"/>
  <c r="E33" i="23"/>
  <c r="F33" i="23"/>
  <c r="G33" i="23" l="1"/>
  <c r="H27" i="20" s="1"/>
  <c r="A35" i="23"/>
  <c r="E34" i="23"/>
  <c r="G34" i="23" s="1"/>
  <c r="H21" i="20" s="1"/>
  <c r="F34" i="23"/>
  <c r="E35" i="23" l="1"/>
  <c r="G35" i="23" s="1"/>
  <c r="H32" i="20" s="1"/>
  <c r="A36" i="23"/>
  <c r="F35" i="23"/>
  <c r="E36" i="23" l="1"/>
  <c r="A37" i="23"/>
  <c r="F36" i="23"/>
  <c r="E37" i="23" l="1"/>
  <c r="A38" i="23"/>
  <c r="F37" i="23"/>
  <c r="G36" i="23"/>
  <c r="E38" i="23" l="1"/>
  <c r="G38" i="23" s="1"/>
  <c r="H57" i="20" s="1"/>
  <c r="A39" i="23"/>
  <c r="F38" i="23"/>
  <c r="G37" i="23"/>
  <c r="H30" i="20" s="1"/>
  <c r="E39" i="23" l="1"/>
  <c r="G39" i="23" s="1"/>
  <c r="A40" i="23"/>
  <c r="F39" i="23"/>
  <c r="A41" i="23" l="1"/>
  <c r="E40" i="23"/>
  <c r="G40" i="23" s="1"/>
  <c r="H44" i="20" s="1"/>
  <c r="F40" i="23"/>
  <c r="A42" i="23" l="1"/>
  <c r="E41" i="23"/>
  <c r="F41" i="23"/>
  <c r="G41" i="23" l="1"/>
  <c r="H5" i="20" s="1"/>
  <c r="A43" i="23"/>
  <c r="E42" i="23"/>
  <c r="G42" i="23" s="1"/>
  <c r="H41" i="20" s="1"/>
  <c r="F42" i="23"/>
  <c r="E43" i="23" l="1"/>
  <c r="A44" i="23"/>
  <c r="F43" i="23"/>
  <c r="G43" i="23" l="1"/>
  <c r="H48" i="20" s="1"/>
  <c r="E44" i="23"/>
  <c r="A45" i="23"/>
  <c r="F44" i="23"/>
  <c r="G44" i="23" l="1"/>
  <c r="H47" i="20" s="1"/>
  <c r="E45" i="23"/>
  <c r="G45" i="23" s="1"/>
  <c r="H45" i="20" s="1"/>
  <c r="A46" i="23"/>
  <c r="F45" i="23"/>
  <c r="E46" i="23" l="1"/>
  <c r="G46" i="23" s="1"/>
  <c r="H18" i="20" s="1"/>
  <c r="A47" i="23"/>
  <c r="F46" i="23"/>
  <c r="E47" i="23" l="1"/>
  <c r="G47" i="23" s="1"/>
  <c r="A48" i="23"/>
  <c r="F47" i="23"/>
  <c r="A49" i="23" l="1"/>
  <c r="E48" i="23"/>
  <c r="G48" i="23" s="1"/>
  <c r="F48" i="23"/>
  <c r="A50" i="23" l="1"/>
  <c r="E49" i="23"/>
  <c r="G49" i="23" s="1"/>
  <c r="F49" i="23"/>
  <c r="A51" i="23" l="1"/>
  <c r="E50" i="23"/>
  <c r="G50" i="23" s="1"/>
  <c r="H28" i="20" s="1"/>
  <c r="F50" i="23"/>
  <c r="E51" i="23" l="1"/>
  <c r="G51" i="23" s="1"/>
  <c r="A52" i="23"/>
  <c r="F51" i="23"/>
  <c r="E52" i="23" l="1"/>
  <c r="A53" i="23"/>
  <c r="F52" i="23"/>
  <c r="E53" i="23" l="1"/>
  <c r="G53" i="23" s="1"/>
  <c r="A54" i="23"/>
  <c r="F53" i="23"/>
  <c r="G52" i="23"/>
  <c r="H33" i="20" s="1"/>
  <c r="E54" i="23" l="1"/>
  <c r="G54" i="23" s="1"/>
  <c r="A55" i="23"/>
  <c r="F54" i="23"/>
  <c r="E55" i="23" l="1"/>
  <c r="G55" i="23" s="1"/>
  <c r="H51" i="20" s="1"/>
  <c r="A56" i="23"/>
  <c r="F55" i="23"/>
  <c r="A57" i="23" l="1"/>
  <c r="E56" i="23"/>
  <c r="F56" i="23"/>
  <c r="A58" i="23" l="1"/>
  <c r="E57" i="23"/>
  <c r="G57" i="23" s="1"/>
  <c r="H24" i="20" s="1"/>
  <c r="F57" i="23"/>
  <c r="G56" i="23"/>
  <c r="H31" i="20" s="1"/>
  <c r="A59" i="23" l="1"/>
  <c r="E58" i="23"/>
  <c r="G58" i="23" s="1"/>
  <c r="H26" i="20" s="1"/>
  <c r="F58" i="23"/>
  <c r="E59" i="23" l="1"/>
  <c r="A60" i="23"/>
  <c r="F59" i="23"/>
  <c r="E60" i="23" l="1"/>
  <c r="A61" i="23"/>
  <c r="F60" i="23"/>
  <c r="G59" i="23"/>
  <c r="E61" i="23" l="1"/>
  <c r="A62" i="23"/>
  <c r="F61" i="23"/>
  <c r="G60" i="23"/>
  <c r="H29" i="20" s="1"/>
  <c r="E62" i="23" l="1"/>
  <c r="G62" i="23" s="1"/>
  <c r="H37" i="20" s="1"/>
  <c r="A63" i="23"/>
  <c r="F62" i="23"/>
  <c r="G61" i="23"/>
  <c r="H65" i="20" s="1"/>
  <c r="E63" i="23" l="1"/>
  <c r="G63" i="23" s="1"/>
  <c r="A64" i="23"/>
  <c r="F63" i="23"/>
  <c r="A65" i="23" l="1"/>
  <c r="E64" i="23"/>
  <c r="G64" i="23" s="1"/>
  <c r="H4" i="20" s="1"/>
  <c r="F64" i="23"/>
  <c r="A66" i="23" l="1"/>
  <c r="E65" i="23"/>
  <c r="F65" i="23"/>
  <c r="G65" i="23" l="1"/>
  <c r="H49" i="20" s="1"/>
  <c r="A67" i="23"/>
  <c r="E66" i="23"/>
  <c r="G66" i="23" s="1"/>
  <c r="H35" i="20" s="1"/>
  <c r="F66" i="23"/>
  <c r="E67" i="23" l="1"/>
  <c r="G67" i="23" s="1"/>
  <c r="A68" i="23"/>
  <c r="F67" i="23"/>
  <c r="E68" i="23" l="1"/>
  <c r="A69" i="23"/>
  <c r="F68" i="23"/>
  <c r="G68" i="23" l="1"/>
  <c r="E69" i="23"/>
  <c r="A70" i="23"/>
  <c r="F69" i="23"/>
  <c r="E70" i="23" l="1"/>
  <c r="G70" i="23" s="1"/>
  <c r="H25" i="20" s="1"/>
  <c r="A71" i="23"/>
  <c r="F70" i="23"/>
  <c r="G69" i="23"/>
  <c r="E71" i="23" l="1"/>
  <c r="G71" i="23" s="1"/>
  <c r="A72" i="23"/>
  <c r="F71" i="23"/>
  <c r="A73" i="23" l="1"/>
  <c r="E72" i="23"/>
  <c r="G72" i="23" s="1"/>
  <c r="F72" i="23"/>
  <c r="A74" i="23" l="1"/>
  <c r="E73" i="23"/>
  <c r="G73" i="23" s="1"/>
  <c r="F73" i="23"/>
  <c r="A75" i="23" l="1"/>
  <c r="E74" i="23"/>
  <c r="G74" i="23" s="1"/>
  <c r="F74" i="23"/>
  <c r="E75" i="23" l="1"/>
  <c r="G75" i="23" s="1"/>
  <c r="H54" i="20" s="1"/>
  <c r="A76" i="23"/>
  <c r="F75" i="23"/>
  <c r="E76" i="23" l="1"/>
  <c r="A77" i="23"/>
  <c r="F76" i="23"/>
  <c r="E77" i="23" l="1"/>
  <c r="G77" i="23" s="1"/>
  <c r="H38" i="20" s="1"/>
  <c r="A78" i="23"/>
  <c r="F77" i="23"/>
  <c r="G76" i="23"/>
  <c r="E78" i="23" l="1"/>
  <c r="G78" i="23" s="1"/>
  <c r="H63" i="20" s="1"/>
  <c r="A79" i="23"/>
  <c r="F78" i="23"/>
  <c r="E79" i="23" l="1"/>
  <c r="G79" i="23" s="1"/>
  <c r="H66" i="20" s="1"/>
  <c r="A80" i="23"/>
  <c r="F79" i="23"/>
  <c r="A81" i="23" l="1"/>
  <c r="E80" i="23"/>
  <c r="G80" i="23" s="1"/>
  <c r="H52" i="20" s="1"/>
  <c r="F80" i="23"/>
  <c r="A82" i="23" l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81" i="23"/>
  <c r="G81" i="23" s="1"/>
  <c r="F81" i="23"/>
</calcChain>
</file>

<file path=xl/sharedStrings.xml><?xml version="1.0" encoding="utf-8"?>
<sst xmlns="http://schemas.openxmlformats.org/spreadsheetml/2006/main" count="2624" uniqueCount="626">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</sst>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7.1807289291978327</c:v>
                </c:pt>
                <c:pt idx="1">
                  <c:v>7.789265279129852</c:v>
                </c:pt>
                <c:pt idx="2">
                  <c:v>9.5540206939327099</c:v>
                </c:pt>
                <c:pt idx="3">
                  <c:v>13.367515153506698</c:v>
                </c:pt>
                <c:pt idx="4">
                  <c:v>22.302857225008523</c:v>
                </c:pt>
                <c:pt idx="5">
                  <c:v>29.477500790707033</c:v>
                </c:pt>
                <c:pt idx="6">
                  <c:v>33.611491061245225</c:v>
                </c:pt>
                <c:pt idx="7">
                  <c:v>56.298305745139416</c:v>
                </c:pt>
                <c:pt idx="8">
                  <c:v>75.534574435311939</c:v>
                </c:pt>
                <c:pt idx="9">
                  <c:v>98.63698080898115</c:v>
                </c:pt>
                <c:pt idx="10">
                  <c:v>129.69126689751204</c:v>
                </c:pt>
                <c:pt idx="11">
                  <c:v>162.67836278273612</c:v>
                </c:pt>
                <c:pt idx="12">
                  <c:v>198.80882552279084</c:v>
                </c:pt>
                <c:pt idx="13">
                  <c:v>260.1492895959384</c:v>
                </c:pt>
                <c:pt idx="14">
                  <c:v>366.46058992906228</c:v>
                </c:pt>
                <c:pt idx="15">
                  <c:v>434.67751475644167</c:v>
                </c:pt>
                <c:pt idx="16">
                  <c:v>783.06457509252289</c:v>
                </c:pt>
                <c:pt idx="17">
                  <c:v>1109.4226195610652</c:v>
                </c:pt>
                <c:pt idx="18">
                  <c:v>1453.2456572726562</c:v>
                </c:pt>
                <c:pt idx="19">
                  <c:v>1904.7187752872217</c:v>
                </c:pt>
                <c:pt idx="20">
                  <c:v>2512.585735234316</c:v>
                </c:pt>
                <c:pt idx="21">
                  <c:v>3066.5972282124267</c:v>
                </c:pt>
                <c:pt idx="22">
                  <c:v>3749.9226955510917</c:v>
                </c:pt>
                <c:pt idx="23">
                  <c:v>4772.6288852468442</c:v>
                </c:pt>
                <c:pt idx="24">
                  <c:v>5745.6785087881435</c:v>
                </c:pt>
                <c:pt idx="25">
                  <c:v>6777.4518900978828</c:v>
                </c:pt>
                <c:pt idx="26">
                  <c:v>7874.5820753903208</c:v>
                </c:pt>
                <c:pt idx="27">
                  <c:v>8491.5162269514021</c:v>
                </c:pt>
                <c:pt idx="28">
                  <c:v>9740.4762315518801</c:v>
                </c:pt>
                <c:pt idx="29">
                  <c:v>10777.604732741022</c:v>
                </c:pt>
                <c:pt idx="30">
                  <c:v>11987.618410945848</c:v>
                </c:pt>
                <c:pt idx="31">
                  <c:v>13186.380252040435</c:v>
                </c:pt>
                <c:pt idx="32">
                  <c:v>14505.018277244479</c:v>
                </c:pt>
                <c:pt idx="33">
                  <c:v>15955.520104968929</c:v>
                </c:pt>
                <c:pt idx="34">
                  <c:v>17551.072115465824</c:v>
                </c:pt>
                <c:pt idx="35">
                  <c:v>19306.179327012407</c:v>
                </c:pt>
                <c:pt idx="36">
                  <c:v>21236.79725971365</c:v>
                </c:pt>
                <c:pt idx="37">
                  <c:v>23360.476985685018</c:v>
                </c:pt>
                <c:pt idx="38">
                  <c:v>25696.524684253523</c:v>
                </c:pt>
                <c:pt idx="39">
                  <c:v>28266.177152678876</c:v>
                </c:pt>
                <c:pt idx="40">
                  <c:v>31092.794867946766</c:v>
                </c:pt>
                <c:pt idx="41">
                  <c:v>34202.074354741446</c:v>
                </c:pt>
                <c:pt idx="42">
                  <c:v>37622.281790215588</c:v>
                </c:pt>
                <c:pt idx="43">
                  <c:v>41384.509969237144</c:v>
                </c:pt>
                <c:pt idx="44">
                  <c:v>45522.96096616087</c:v>
                </c:pt>
                <c:pt idx="45">
                  <c:v>50075.25706277696</c:v>
                </c:pt>
                <c:pt idx="46">
                  <c:v>55082.782769054655</c:v>
                </c:pt>
                <c:pt idx="47">
                  <c:v>60591.061045960123</c:v>
                </c:pt>
                <c:pt idx="48">
                  <c:v>66650.167150556139</c:v>
                </c:pt>
                <c:pt idx="49">
                  <c:v>73315.183865611747</c:v>
                </c:pt>
                <c:pt idx="50">
                  <c:v>80646.702252172938</c:v>
                </c:pt>
                <c:pt idx="51">
                  <c:v>88711.372477390221</c:v>
                </c:pt>
                <c:pt idx="52">
                  <c:v>97582.509725129261</c:v>
                </c:pt>
                <c:pt idx="53">
                  <c:v>107340.7606976422</c:v>
                </c:pt>
                <c:pt idx="54">
                  <c:v>118074.83676740642</c:v>
                </c:pt>
                <c:pt idx="55">
                  <c:v>129882.32044414709</c:v>
                </c:pt>
                <c:pt idx="56">
                  <c:v>142870.55248856184</c:v>
                </c:pt>
                <c:pt idx="57">
                  <c:v>157157.607737418</c:v>
                </c:pt>
                <c:pt idx="58">
                  <c:v>172873.36851115982</c:v>
                </c:pt>
                <c:pt idx="59">
                  <c:v>190160.7053622758</c:v>
                </c:pt>
                <c:pt idx="60">
                  <c:v>209176.77589850337</c:v>
                </c:pt>
                <c:pt idx="61">
                  <c:v>230094.45348835373</c:v>
                </c:pt>
                <c:pt idx="62">
                  <c:v>253103.89883718913</c:v>
                </c:pt>
                <c:pt idx="63">
                  <c:v>278414.28872090805</c:v>
                </c:pt>
                <c:pt idx="64">
                  <c:v>306255.71759299887</c:v>
                </c:pt>
                <c:pt idx="65">
                  <c:v>336881.28935229877</c:v>
                </c:pt>
                <c:pt idx="66">
                  <c:v>370569.41828752874</c:v>
                </c:pt>
                <c:pt idx="67">
                  <c:v>407626.3601162816</c:v>
                </c:pt>
                <c:pt idx="68">
                  <c:v>448388.99612790981</c:v>
                </c:pt>
                <c:pt idx="69">
                  <c:v>493227.89574070089</c:v>
                </c:pt>
                <c:pt idx="70">
                  <c:v>542550.68531477102</c:v>
                </c:pt>
                <c:pt idx="71">
                  <c:v>596805.75384624826</c:v>
                </c:pt>
                <c:pt idx="72">
                  <c:v>656486.32923087315</c:v>
                </c:pt>
                <c:pt idx="73">
                  <c:v>722134.96215396049</c:v>
                </c:pt>
                <c:pt idx="74">
                  <c:v>794348.45836935658</c:v>
                </c:pt>
                <c:pt idx="75">
                  <c:v>873783.30420629238</c:v>
                </c:pt>
                <c:pt idx="76">
                  <c:v>961161.63462692173</c:v>
                </c:pt>
                <c:pt idx="77">
                  <c:v>1057277.7980896139</c:v>
                </c:pt>
                <c:pt idx="78">
                  <c:v>1163005.5778985755</c:v>
                </c:pt>
                <c:pt idx="79">
                  <c:v>1279306.1356884332</c:v>
                </c:pt>
                <c:pt idx="80">
                  <c:v>1407236.7492572765</c:v>
                </c:pt>
                <c:pt idx="81">
                  <c:v>1547960.4241830043</c:v>
                </c:pt>
                <c:pt idx="82">
                  <c:v>1702756.4666013047</c:v>
                </c:pt>
                <c:pt idx="83">
                  <c:v>1873032.1132614356</c:v>
                </c:pt>
                <c:pt idx="84">
                  <c:v>2060335.3245875791</c:v>
                </c:pt>
                <c:pt idx="85">
                  <c:v>2266368.8570463373</c:v>
                </c:pt>
                <c:pt idx="86">
                  <c:v>2493005.7427509716</c:v>
                </c:pt>
                <c:pt idx="87">
                  <c:v>2742306.3170260689</c:v>
                </c:pt>
                <c:pt idx="88">
                  <c:v>3016536.948728676</c:v>
                </c:pt>
                <c:pt idx="89">
                  <c:v>3318190.6436015437</c:v>
                </c:pt>
                <c:pt idx="90">
                  <c:v>3650009.7079616981</c:v>
                </c:pt>
                <c:pt idx="91">
                  <c:v>4015010.6787578682</c:v>
                </c:pt>
                <c:pt idx="92">
                  <c:v>4416511.7466336554</c:v>
                </c:pt>
                <c:pt idx="93">
                  <c:v>4858162.9212970203</c:v>
                </c:pt>
                <c:pt idx="94">
                  <c:v>5343979.2134267231</c:v>
                </c:pt>
                <c:pt idx="95">
                  <c:v>5878377.1347693969</c:v>
                </c:pt>
                <c:pt idx="96">
                  <c:v>6466214.8482463369</c:v>
                </c:pt>
                <c:pt idx="97">
                  <c:v>7112836.333070972</c:v>
                </c:pt>
                <c:pt idx="98">
                  <c:v>7824119.9663780695</c:v>
                </c:pt>
                <c:pt idx="99">
                  <c:v>8057085.8022944881</c:v>
                </c:pt>
                <c:pt idx="100">
                  <c:v>8057085.8022944881</c:v>
                </c:pt>
                <c:pt idx="101">
                  <c:v>8057085.8022944881</c:v>
                </c:pt>
                <c:pt idx="102">
                  <c:v>8057085.8022944881</c:v>
                </c:pt>
                <c:pt idx="103">
                  <c:v>8057085.8022944881</c:v>
                </c:pt>
                <c:pt idx="104">
                  <c:v>8057085.8022944881</c:v>
                </c:pt>
                <c:pt idx="105">
                  <c:v>8057085.8022944881</c:v>
                </c:pt>
                <c:pt idx="106">
                  <c:v>8057085.8022944881</c:v>
                </c:pt>
                <c:pt idx="107">
                  <c:v>8057085.8022944881</c:v>
                </c:pt>
                <c:pt idx="108">
                  <c:v>8057085.8022944881</c:v>
                </c:pt>
                <c:pt idx="109">
                  <c:v>8057085.8022944881</c:v>
                </c:pt>
                <c:pt idx="110">
                  <c:v>8057085.8022944881</c:v>
                </c:pt>
                <c:pt idx="111">
                  <c:v>8057085.8022944881</c:v>
                </c:pt>
                <c:pt idx="112">
                  <c:v>8057085.8022944881</c:v>
                </c:pt>
                <c:pt idx="113">
                  <c:v>8057085.8022944881</c:v>
                </c:pt>
                <c:pt idx="114">
                  <c:v>8057085.8022944881</c:v>
                </c:pt>
                <c:pt idx="115">
                  <c:v>8057085.8022944881</c:v>
                </c:pt>
                <c:pt idx="116">
                  <c:v>8057085.8022944881</c:v>
                </c:pt>
                <c:pt idx="117">
                  <c:v>8057085.8022944881</c:v>
                </c:pt>
                <c:pt idx="118">
                  <c:v>8057085.8022944881</c:v>
                </c:pt>
                <c:pt idx="119">
                  <c:v>8057085.8022944881</c:v>
                </c:pt>
                <c:pt idx="120">
                  <c:v>8057085.8022944881</c:v>
                </c:pt>
                <c:pt idx="121">
                  <c:v>8057085.8022944881</c:v>
                </c:pt>
                <c:pt idx="122">
                  <c:v>8057085.8022944881</c:v>
                </c:pt>
                <c:pt idx="123">
                  <c:v>8057085.8022944881</c:v>
                </c:pt>
                <c:pt idx="124">
                  <c:v>8057085.8022944881</c:v>
                </c:pt>
                <c:pt idx="125">
                  <c:v>8057085.8022944881</c:v>
                </c:pt>
                <c:pt idx="126">
                  <c:v>8057085.8022944881</c:v>
                </c:pt>
                <c:pt idx="127">
                  <c:v>8057085.8022944881</c:v>
                </c:pt>
                <c:pt idx="128">
                  <c:v>8057085.8022944881</c:v>
                </c:pt>
                <c:pt idx="129">
                  <c:v>8057085.8022944881</c:v>
                </c:pt>
                <c:pt idx="130">
                  <c:v>8057085.8022944881</c:v>
                </c:pt>
                <c:pt idx="131">
                  <c:v>8057085.8022944881</c:v>
                </c:pt>
                <c:pt idx="132">
                  <c:v>8057085.8022944881</c:v>
                </c:pt>
                <c:pt idx="133">
                  <c:v>8057085.8022944881</c:v>
                </c:pt>
                <c:pt idx="134">
                  <c:v>8057085.8022944881</c:v>
                </c:pt>
                <c:pt idx="135">
                  <c:v>8057085.8022944881</c:v>
                </c:pt>
                <c:pt idx="136">
                  <c:v>8057085.8022944881</c:v>
                </c:pt>
                <c:pt idx="137">
                  <c:v>8057085.8022944881</c:v>
                </c:pt>
                <c:pt idx="138">
                  <c:v>8057085.8022944881</c:v>
                </c:pt>
                <c:pt idx="139">
                  <c:v>8057085.8022944881</c:v>
                </c:pt>
                <c:pt idx="140">
                  <c:v>8057085.8022944881</c:v>
                </c:pt>
                <c:pt idx="141">
                  <c:v>8057085.8022944881</c:v>
                </c:pt>
                <c:pt idx="142">
                  <c:v>8057085.8022944881</c:v>
                </c:pt>
                <c:pt idx="143">
                  <c:v>8057085.8022944881</c:v>
                </c:pt>
                <c:pt idx="144">
                  <c:v>8057085.8022944881</c:v>
                </c:pt>
                <c:pt idx="145">
                  <c:v>8057085.8022944881</c:v>
                </c:pt>
                <c:pt idx="146">
                  <c:v>8057085.8022944881</c:v>
                </c:pt>
                <c:pt idx="147">
                  <c:v>8057085.8022944881</c:v>
                </c:pt>
                <c:pt idx="148">
                  <c:v>8057085.8022944881</c:v>
                </c:pt>
                <c:pt idx="149">
                  <c:v>8057085.8022944881</c:v>
                </c:pt>
                <c:pt idx="150">
                  <c:v>8057085.8022944881</c:v>
                </c:pt>
                <c:pt idx="151">
                  <c:v>8057085.8022944881</c:v>
                </c:pt>
                <c:pt idx="152">
                  <c:v>8057085.8022944881</c:v>
                </c:pt>
                <c:pt idx="153">
                  <c:v>8057085.8022944881</c:v>
                </c:pt>
                <c:pt idx="154">
                  <c:v>8057085.8022944881</c:v>
                </c:pt>
                <c:pt idx="155">
                  <c:v>8057085.8022944881</c:v>
                </c:pt>
                <c:pt idx="156">
                  <c:v>8057085.8022944881</c:v>
                </c:pt>
                <c:pt idx="157">
                  <c:v>8057085.8022944881</c:v>
                </c:pt>
                <c:pt idx="158">
                  <c:v>8057085.8022944881</c:v>
                </c:pt>
                <c:pt idx="159">
                  <c:v>8057085.8022944881</c:v>
                </c:pt>
                <c:pt idx="160">
                  <c:v>8057085.8022944881</c:v>
                </c:pt>
                <c:pt idx="161">
                  <c:v>8057085.8022944881</c:v>
                </c:pt>
                <c:pt idx="162">
                  <c:v>8057085.8022944881</c:v>
                </c:pt>
                <c:pt idx="163">
                  <c:v>8057085.8022944881</c:v>
                </c:pt>
                <c:pt idx="164">
                  <c:v>8057085.8022944881</c:v>
                </c:pt>
                <c:pt idx="165">
                  <c:v>8057085.8022944881</c:v>
                </c:pt>
                <c:pt idx="166">
                  <c:v>8057085.8022944881</c:v>
                </c:pt>
                <c:pt idx="167">
                  <c:v>8057085.8022944881</c:v>
                </c:pt>
                <c:pt idx="168">
                  <c:v>8057085.8022944881</c:v>
                </c:pt>
                <c:pt idx="169">
                  <c:v>8057085.8022944881</c:v>
                </c:pt>
                <c:pt idx="170">
                  <c:v>8057085.8022944881</c:v>
                </c:pt>
                <c:pt idx="171">
                  <c:v>8057085.8022944881</c:v>
                </c:pt>
                <c:pt idx="172">
                  <c:v>8057085.8022944881</c:v>
                </c:pt>
                <c:pt idx="173">
                  <c:v>8057085.8022944881</c:v>
                </c:pt>
                <c:pt idx="174">
                  <c:v>8057085.8022944881</c:v>
                </c:pt>
                <c:pt idx="175">
                  <c:v>8057085.8022944881</c:v>
                </c:pt>
                <c:pt idx="176">
                  <c:v>8057085.8022944881</c:v>
                </c:pt>
                <c:pt idx="177">
                  <c:v>8057085.8022944881</c:v>
                </c:pt>
                <c:pt idx="178">
                  <c:v>8057085.8022944881</c:v>
                </c:pt>
                <c:pt idx="179">
                  <c:v>8057085.8022944881</c:v>
                </c:pt>
                <c:pt idx="180">
                  <c:v>8057085.8022944881</c:v>
                </c:pt>
                <c:pt idx="181">
                  <c:v>8057085.8022944881</c:v>
                </c:pt>
                <c:pt idx="182">
                  <c:v>8057085.8022944881</c:v>
                </c:pt>
                <c:pt idx="183">
                  <c:v>8057085.8022944881</c:v>
                </c:pt>
                <c:pt idx="184">
                  <c:v>8057085.8022944881</c:v>
                </c:pt>
                <c:pt idx="185">
                  <c:v>8057085.8022944881</c:v>
                </c:pt>
                <c:pt idx="186">
                  <c:v>8057085.8022944881</c:v>
                </c:pt>
                <c:pt idx="187">
                  <c:v>8057085.8022944881</c:v>
                </c:pt>
                <c:pt idx="188">
                  <c:v>8057085.8022944881</c:v>
                </c:pt>
                <c:pt idx="189">
                  <c:v>8057085.8022944881</c:v>
                </c:pt>
                <c:pt idx="190">
                  <c:v>8057085.8022944881</c:v>
                </c:pt>
                <c:pt idx="191">
                  <c:v>8057085.8022944881</c:v>
                </c:pt>
                <c:pt idx="192">
                  <c:v>8057085.8022944881</c:v>
                </c:pt>
                <c:pt idx="193">
                  <c:v>8057085.8022944881</c:v>
                </c:pt>
                <c:pt idx="194">
                  <c:v>8057085.8022944881</c:v>
                </c:pt>
                <c:pt idx="195">
                  <c:v>8057085.8022944881</c:v>
                </c:pt>
                <c:pt idx="196">
                  <c:v>8057085.8022944881</c:v>
                </c:pt>
                <c:pt idx="197">
                  <c:v>8057085.8022944881</c:v>
                </c:pt>
                <c:pt idx="198">
                  <c:v>8057085.8022944881</c:v>
                </c:pt>
                <c:pt idx="199">
                  <c:v>8057085.8022944881</c:v>
                </c:pt>
                <c:pt idx="200">
                  <c:v>8057085.8022944881</c:v>
                </c:pt>
                <c:pt idx="201">
                  <c:v>8057085.8022944881</c:v>
                </c:pt>
                <c:pt idx="202">
                  <c:v>8057085.8022944881</c:v>
                </c:pt>
                <c:pt idx="203">
                  <c:v>8057085.8022944881</c:v>
                </c:pt>
                <c:pt idx="204">
                  <c:v>8057085.8022944881</c:v>
                </c:pt>
                <c:pt idx="205">
                  <c:v>8057085.8022944881</c:v>
                </c:pt>
                <c:pt idx="206">
                  <c:v>8057085.8022944881</c:v>
                </c:pt>
                <c:pt idx="207">
                  <c:v>8057085.8022944881</c:v>
                </c:pt>
                <c:pt idx="208">
                  <c:v>8057085.8022944881</c:v>
                </c:pt>
                <c:pt idx="209">
                  <c:v>8057085.8022944881</c:v>
                </c:pt>
                <c:pt idx="210">
                  <c:v>8057085.8022944881</c:v>
                </c:pt>
                <c:pt idx="211">
                  <c:v>8057085.8022944881</c:v>
                </c:pt>
                <c:pt idx="212">
                  <c:v>8057085.8022944881</c:v>
                </c:pt>
                <c:pt idx="213">
                  <c:v>8057085.8022944881</c:v>
                </c:pt>
                <c:pt idx="214">
                  <c:v>8057085.8022944881</c:v>
                </c:pt>
                <c:pt idx="215">
                  <c:v>8057085.8022944881</c:v>
                </c:pt>
                <c:pt idx="216">
                  <c:v>8057085.8022944881</c:v>
                </c:pt>
                <c:pt idx="217">
                  <c:v>8057085.8022944881</c:v>
                </c:pt>
                <c:pt idx="218">
                  <c:v>8057085.8022944881</c:v>
                </c:pt>
                <c:pt idx="219">
                  <c:v>8057085.8022944881</c:v>
                </c:pt>
                <c:pt idx="220">
                  <c:v>8057085.8022944881</c:v>
                </c:pt>
                <c:pt idx="221">
                  <c:v>8057085.8022944881</c:v>
                </c:pt>
                <c:pt idx="222">
                  <c:v>8057085.8022944881</c:v>
                </c:pt>
                <c:pt idx="223">
                  <c:v>8057085.8022944881</c:v>
                </c:pt>
                <c:pt idx="224">
                  <c:v>8057085.8022944881</c:v>
                </c:pt>
                <c:pt idx="225">
                  <c:v>8057085.8022944881</c:v>
                </c:pt>
                <c:pt idx="226">
                  <c:v>8057085.8022944881</c:v>
                </c:pt>
                <c:pt idx="227">
                  <c:v>8057085.8022944881</c:v>
                </c:pt>
                <c:pt idx="228">
                  <c:v>8057085.8022944881</c:v>
                </c:pt>
                <c:pt idx="229">
                  <c:v>8057085.8022944881</c:v>
                </c:pt>
                <c:pt idx="230">
                  <c:v>8057085.8022944881</c:v>
                </c:pt>
                <c:pt idx="231">
                  <c:v>8057085.8022944881</c:v>
                </c:pt>
                <c:pt idx="232">
                  <c:v>8057085.8022944881</c:v>
                </c:pt>
                <c:pt idx="233">
                  <c:v>8057085.8022944881</c:v>
                </c:pt>
                <c:pt idx="234">
                  <c:v>8057085.8022944881</c:v>
                </c:pt>
                <c:pt idx="235">
                  <c:v>8057085.8022944881</c:v>
                </c:pt>
                <c:pt idx="236">
                  <c:v>8057085.8022944881</c:v>
                </c:pt>
                <c:pt idx="237">
                  <c:v>8057085.8022944881</c:v>
                </c:pt>
                <c:pt idx="238">
                  <c:v>8057085.8022944881</c:v>
                </c:pt>
                <c:pt idx="239">
                  <c:v>8057085.8022944881</c:v>
                </c:pt>
                <c:pt idx="240">
                  <c:v>8057085.8022944881</c:v>
                </c:pt>
                <c:pt idx="241">
                  <c:v>8057085.8022944881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7.1807289291978327</c:v>
                </c:pt>
                <c:pt idx="1">
                  <c:v>7.789265279129852</c:v>
                </c:pt>
                <c:pt idx="2">
                  <c:v>9.5540206939327099</c:v>
                </c:pt>
                <c:pt idx="3">
                  <c:v>13.367515153506698</c:v>
                </c:pt>
                <c:pt idx="4">
                  <c:v>22.302857225008523</c:v>
                </c:pt>
                <c:pt idx="5">
                  <c:v>29.477500790707033</c:v>
                </c:pt>
                <c:pt idx="6">
                  <c:v>33.611491061245225</c:v>
                </c:pt>
                <c:pt idx="7">
                  <c:v>56.298305745139416</c:v>
                </c:pt>
                <c:pt idx="8">
                  <c:v>75.534574435311939</c:v>
                </c:pt>
                <c:pt idx="9">
                  <c:v>98.63698080898115</c:v>
                </c:pt>
                <c:pt idx="10">
                  <c:v>129.69126689751204</c:v>
                </c:pt>
                <c:pt idx="11">
                  <c:v>162.67836278273612</c:v>
                </c:pt>
                <c:pt idx="12">
                  <c:v>198.80882552279084</c:v>
                </c:pt>
                <c:pt idx="13">
                  <c:v>260.1492895959384</c:v>
                </c:pt>
                <c:pt idx="14">
                  <c:v>366.46058992906228</c:v>
                </c:pt>
                <c:pt idx="15">
                  <c:v>434.67751475644167</c:v>
                </c:pt>
                <c:pt idx="16">
                  <c:v>783.06457509252289</c:v>
                </c:pt>
                <c:pt idx="17">
                  <c:v>1109.4226195610652</c:v>
                </c:pt>
                <c:pt idx="18">
                  <c:v>1453.2456572726562</c:v>
                </c:pt>
                <c:pt idx="19">
                  <c:v>1904.7187752872217</c:v>
                </c:pt>
                <c:pt idx="20">
                  <c:v>2512.585735234316</c:v>
                </c:pt>
                <c:pt idx="21">
                  <c:v>3066.5972282124267</c:v>
                </c:pt>
                <c:pt idx="22">
                  <c:v>3749.9226955510917</c:v>
                </c:pt>
                <c:pt idx="23">
                  <c:v>4772.6288852468442</c:v>
                </c:pt>
                <c:pt idx="24">
                  <c:v>5745.6785087881435</c:v>
                </c:pt>
                <c:pt idx="25">
                  <c:v>6777.4518900978828</c:v>
                </c:pt>
                <c:pt idx="26">
                  <c:v>7874.5820753903208</c:v>
                </c:pt>
                <c:pt idx="27">
                  <c:v>8491.5162269514021</c:v>
                </c:pt>
                <c:pt idx="28">
                  <c:v>9740.4762315518801</c:v>
                </c:pt>
                <c:pt idx="29">
                  <c:v>10777.604732741022</c:v>
                </c:pt>
                <c:pt idx="30">
                  <c:v>11987.618410945848</c:v>
                </c:pt>
                <c:pt idx="31">
                  <c:v>14984.523013682312</c:v>
                </c:pt>
                <c:pt idx="32">
                  <c:v>18730.653767102889</c:v>
                </c:pt>
                <c:pt idx="33">
                  <c:v>23413.317208878612</c:v>
                </c:pt>
                <c:pt idx="34">
                  <c:v>29266.646511098264</c:v>
                </c:pt>
                <c:pt idx="35">
                  <c:v>36583.308138872831</c:v>
                </c:pt>
                <c:pt idx="36">
                  <c:v>45729.135173591036</c:v>
                </c:pt>
                <c:pt idx="37">
                  <c:v>57161.4189669888</c:v>
                </c:pt>
                <c:pt idx="38">
                  <c:v>71451.773708736</c:v>
                </c:pt>
                <c:pt idx="39">
                  <c:v>89314.71713592</c:v>
                </c:pt>
                <c:pt idx="40">
                  <c:v>111643.39641989999</c:v>
                </c:pt>
                <c:pt idx="41">
                  <c:v>139554.245524875</c:v>
                </c:pt>
                <c:pt idx="42">
                  <c:v>174442.80690609376</c:v>
                </c:pt>
                <c:pt idx="43">
                  <c:v>218053.50863261719</c:v>
                </c:pt>
                <c:pt idx="44">
                  <c:v>272566.88579077146</c:v>
                </c:pt>
                <c:pt idx="45">
                  <c:v>340708.60723846435</c:v>
                </c:pt>
                <c:pt idx="46">
                  <c:v>425885.75904808042</c:v>
                </c:pt>
                <c:pt idx="47">
                  <c:v>532357.19881010056</c:v>
                </c:pt>
                <c:pt idx="48">
                  <c:v>665446.49851262569</c:v>
                </c:pt>
                <c:pt idx="49">
                  <c:v>831808.12314078223</c:v>
                </c:pt>
                <c:pt idx="50">
                  <c:v>1039760.1539259778</c:v>
                </c:pt>
                <c:pt idx="51">
                  <c:v>1299700.1924074723</c:v>
                </c:pt>
                <c:pt idx="52">
                  <c:v>1624625.2405093403</c:v>
                </c:pt>
                <c:pt idx="53">
                  <c:v>2030781.5506366757</c:v>
                </c:pt>
                <c:pt idx="54">
                  <c:v>2538476.9382958449</c:v>
                </c:pt>
                <c:pt idx="55">
                  <c:v>3173096.1728698062</c:v>
                </c:pt>
                <c:pt idx="56">
                  <c:v>3966370.2160872575</c:v>
                </c:pt>
                <c:pt idx="57">
                  <c:v>4957962.7701090723</c:v>
                </c:pt>
                <c:pt idx="58">
                  <c:v>6197453.4626363404</c:v>
                </c:pt>
                <c:pt idx="59">
                  <c:v>7746816.8282954264</c:v>
                </c:pt>
                <c:pt idx="60">
                  <c:v>8057085.8022944881</c:v>
                </c:pt>
                <c:pt idx="61">
                  <c:v>8057085.8022944881</c:v>
                </c:pt>
                <c:pt idx="62">
                  <c:v>8057085.8022944881</c:v>
                </c:pt>
                <c:pt idx="63">
                  <c:v>8057085.8022944881</c:v>
                </c:pt>
                <c:pt idx="64">
                  <c:v>8057085.8022944881</c:v>
                </c:pt>
                <c:pt idx="65">
                  <c:v>8057085.8022944881</c:v>
                </c:pt>
                <c:pt idx="66">
                  <c:v>8057085.8022944881</c:v>
                </c:pt>
                <c:pt idx="67">
                  <c:v>8057085.8022944881</c:v>
                </c:pt>
                <c:pt idx="68">
                  <c:v>8057085.8022944881</c:v>
                </c:pt>
                <c:pt idx="69">
                  <c:v>8057085.8022944881</c:v>
                </c:pt>
                <c:pt idx="70">
                  <c:v>8057085.8022944881</c:v>
                </c:pt>
                <c:pt idx="71">
                  <c:v>8057085.8022944881</c:v>
                </c:pt>
                <c:pt idx="72">
                  <c:v>8057085.8022944881</c:v>
                </c:pt>
                <c:pt idx="73">
                  <c:v>8057085.8022944881</c:v>
                </c:pt>
                <c:pt idx="74">
                  <c:v>8057085.8022944881</c:v>
                </c:pt>
                <c:pt idx="75">
                  <c:v>8057085.8022944881</c:v>
                </c:pt>
                <c:pt idx="76">
                  <c:v>8057085.8022944881</c:v>
                </c:pt>
                <c:pt idx="77">
                  <c:v>8057085.8022944881</c:v>
                </c:pt>
                <c:pt idx="78">
                  <c:v>8057085.8022944881</c:v>
                </c:pt>
                <c:pt idx="79">
                  <c:v>8057085.8022944881</c:v>
                </c:pt>
                <c:pt idx="80">
                  <c:v>8057085.8022944881</c:v>
                </c:pt>
                <c:pt idx="81">
                  <c:v>8057085.8022944881</c:v>
                </c:pt>
                <c:pt idx="82">
                  <c:v>8057085.8022944881</c:v>
                </c:pt>
                <c:pt idx="83">
                  <c:v>8057085.8022944881</c:v>
                </c:pt>
                <c:pt idx="84">
                  <c:v>8057085.8022944881</c:v>
                </c:pt>
                <c:pt idx="85">
                  <c:v>8057085.8022944881</c:v>
                </c:pt>
                <c:pt idx="86">
                  <c:v>8057085.8022944881</c:v>
                </c:pt>
                <c:pt idx="87">
                  <c:v>8057085.8022944881</c:v>
                </c:pt>
                <c:pt idx="88">
                  <c:v>8057085.8022944881</c:v>
                </c:pt>
                <c:pt idx="89">
                  <c:v>8057085.8022944881</c:v>
                </c:pt>
                <c:pt idx="90">
                  <c:v>8057085.8022944881</c:v>
                </c:pt>
                <c:pt idx="91">
                  <c:v>8057085.8022944881</c:v>
                </c:pt>
                <c:pt idx="92">
                  <c:v>8057085.8022944881</c:v>
                </c:pt>
                <c:pt idx="93">
                  <c:v>8057085.8022944881</c:v>
                </c:pt>
                <c:pt idx="94">
                  <c:v>8057085.8022944881</c:v>
                </c:pt>
                <c:pt idx="95">
                  <c:v>8057085.8022944881</c:v>
                </c:pt>
                <c:pt idx="96">
                  <c:v>8057085.8022944881</c:v>
                </c:pt>
                <c:pt idx="97">
                  <c:v>8057085.8022944881</c:v>
                </c:pt>
                <c:pt idx="98">
                  <c:v>8057085.8022944881</c:v>
                </c:pt>
                <c:pt idx="99">
                  <c:v>8057085.8022944881</c:v>
                </c:pt>
                <c:pt idx="100">
                  <c:v>8057085.8022944881</c:v>
                </c:pt>
                <c:pt idx="101">
                  <c:v>8057085.8022944881</c:v>
                </c:pt>
                <c:pt idx="102">
                  <c:v>8057085.8022944881</c:v>
                </c:pt>
                <c:pt idx="103">
                  <c:v>8057085.8022944881</c:v>
                </c:pt>
                <c:pt idx="104">
                  <c:v>8057085.8022944881</c:v>
                </c:pt>
                <c:pt idx="105">
                  <c:v>8057085.8022944881</c:v>
                </c:pt>
                <c:pt idx="106">
                  <c:v>8057085.8022944881</c:v>
                </c:pt>
                <c:pt idx="107">
                  <c:v>8057085.8022944881</c:v>
                </c:pt>
                <c:pt idx="108">
                  <c:v>8057085.8022944881</c:v>
                </c:pt>
                <c:pt idx="109">
                  <c:v>8057085.8022944881</c:v>
                </c:pt>
                <c:pt idx="110">
                  <c:v>8057085.8022944881</c:v>
                </c:pt>
                <c:pt idx="111">
                  <c:v>8057085.8022944881</c:v>
                </c:pt>
                <c:pt idx="112">
                  <c:v>8057085.8022944881</c:v>
                </c:pt>
                <c:pt idx="113">
                  <c:v>8057085.8022944881</c:v>
                </c:pt>
                <c:pt idx="114">
                  <c:v>8057085.8022944881</c:v>
                </c:pt>
                <c:pt idx="115">
                  <c:v>8057085.8022944881</c:v>
                </c:pt>
                <c:pt idx="116">
                  <c:v>8057085.8022944881</c:v>
                </c:pt>
                <c:pt idx="117">
                  <c:v>8057085.8022944881</c:v>
                </c:pt>
                <c:pt idx="118">
                  <c:v>8057085.8022944881</c:v>
                </c:pt>
                <c:pt idx="119">
                  <c:v>8057085.8022944881</c:v>
                </c:pt>
                <c:pt idx="120">
                  <c:v>8057085.8022944881</c:v>
                </c:pt>
                <c:pt idx="121">
                  <c:v>8057085.8022944881</c:v>
                </c:pt>
                <c:pt idx="122">
                  <c:v>8057085.8022944881</c:v>
                </c:pt>
                <c:pt idx="123">
                  <c:v>8057085.8022944881</c:v>
                </c:pt>
                <c:pt idx="124">
                  <c:v>8057085.8022944881</c:v>
                </c:pt>
                <c:pt idx="125">
                  <c:v>8057085.8022944881</c:v>
                </c:pt>
                <c:pt idx="126">
                  <c:v>8057085.8022944881</c:v>
                </c:pt>
                <c:pt idx="127">
                  <c:v>8057085.8022944881</c:v>
                </c:pt>
                <c:pt idx="128">
                  <c:v>8057085.8022944881</c:v>
                </c:pt>
                <c:pt idx="129">
                  <c:v>8057085.8022944881</c:v>
                </c:pt>
                <c:pt idx="130">
                  <c:v>8057085.8022944881</c:v>
                </c:pt>
                <c:pt idx="131">
                  <c:v>8057085.8022944881</c:v>
                </c:pt>
                <c:pt idx="132">
                  <c:v>8057085.8022944881</c:v>
                </c:pt>
                <c:pt idx="133">
                  <c:v>8057085.8022944881</c:v>
                </c:pt>
                <c:pt idx="134">
                  <c:v>8057085.8022944881</c:v>
                </c:pt>
                <c:pt idx="135">
                  <c:v>8057085.8022944881</c:v>
                </c:pt>
                <c:pt idx="136">
                  <c:v>8057085.8022944881</c:v>
                </c:pt>
                <c:pt idx="137">
                  <c:v>8057085.8022944881</c:v>
                </c:pt>
                <c:pt idx="138">
                  <c:v>8057085.8022944881</c:v>
                </c:pt>
                <c:pt idx="139">
                  <c:v>8057085.8022944881</c:v>
                </c:pt>
                <c:pt idx="140">
                  <c:v>8057085.8022944881</c:v>
                </c:pt>
                <c:pt idx="141">
                  <c:v>8057085.8022944881</c:v>
                </c:pt>
                <c:pt idx="142">
                  <c:v>8057085.8022944881</c:v>
                </c:pt>
                <c:pt idx="143">
                  <c:v>8057085.8022944881</c:v>
                </c:pt>
                <c:pt idx="144">
                  <c:v>8057085.8022944881</c:v>
                </c:pt>
                <c:pt idx="145">
                  <c:v>8057085.8022944881</c:v>
                </c:pt>
                <c:pt idx="146">
                  <c:v>8057085.8022944881</c:v>
                </c:pt>
                <c:pt idx="147">
                  <c:v>8057085.8022944881</c:v>
                </c:pt>
                <c:pt idx="148">
                  <c:v>8057085.8022944881</c:v>
                </c:pt>
                <c:pt idx="149">
                  <c:v>8057085.8022944881</c:v>
                </c:pt>
                <c:pt idx="150">
                  <c:v>8057085.8022944881</c:v>
                </c:pt>
                <c:pt idx="151">
                  <c:v>8057085.8022944881</c:v>
                </c:pt>
                <c:pt idx="152">
                  <c:v>8057085.8022944881</c:v>
                </c:pt>
                <c:pt idx="153">
                  <c:v>8057085.8022944881</c:v>
                </c:pt>
                <c:pt idx="154">
                  <c:v>8057085.8022944881</c:v>
                </c:pt>
                <c:pt idx="155">
                  <c:v>8057085.8022944881</c:v>
                </c:pt>
                <c:pt idx="156">
                  <c:v>8057085.8022944881</c:v>
                </c:pt>
                <c:pt idx="157">
                  <c:v>8057085.8022944881</c:v>
                </c:pt>
                <c:pt idx="158">
                  <c:v>8057085.8022944881</c:v>
                </c:pt>
                <c:pt idx="159">
                  <c:v>8057085.8022944881</c:v>
                </c:pt>
                <c:pt idx="160">
                  <c:v>8057085.8022944881</c:v>
                </c:pt>
                <c:pt idx="161">
                  <c:v>8057085.8022944881</c:v>
                </c:pt>
                <c:pt idx="162">
                  <c:v>8057085.8022944881</c:v>
                </c:pt>
                <c:pt idx="163">
                  <c:v>8057085.8022944881</c:v>
                </c:pt>
                <c:pt idx="164">
                  <c:v>8057085.8022944881</c:v>
                </c:pt>
                <c:pt idx="165">
                  <c:v>8057085.8022944881</c:v>
                </c:pt>
                <c:pt idx="166">
                  <c:v>8057085.8022944881</c:v>
                </c:pt>
                <c:pt idx="167">
                  <c:v>8057085.8022944881</c:v>
                </c:pt>
                <c:pt idx="168">
                  <c:v>8057085.8022944881</c:v>
                </c:pt>
                <c:pt idx="169">
                  <c:v>8057085.8022944881</c:v>
                </c:pt>
                <c:pt idx="170">
                  <c:v>8057085.8022944881</c:v>
                </c:pt>
                <c:pt idx="171">
                  <c:v>8057085.8022944881</c:v>
                </c:pt>
                <c:pt idx="172">
                  <c:v>8057085.8022944881</c:v>
                </c:pt>
                <c:pt idx="173">
                  <c:v>8057085.8022944881</c:v>
                </c:pt>
                <c:pt idx="174">
                  <c:v>8057085.8022944881</c:v>
                </c:pt>
                <c:pt idx="175">
                  <c:v>8057085.8022944881</c:v>
                </c:pt>
                <c:pt idx="176">
                  <c:v>8057085.8022944881</c:v>
                </c:pt>
                <c:pt idx="177">
                  <c:v>8057085.8022944881</c:v>
                </c:pt>
                <c:pt idx="178">
                  <c:v>8057085.8022944881</c:v>
                </c:pt>
                <c:pt idx="179">
                  <c:v>8057085.8022944881</c:v>
                </c:pt>
                <c:pt idx="180">
                  <c:v>8057085.8022944881</c:v>
                </c:pt>
                <c:pt idx="181">
                  <c:v>8057085.8022944881</c:v>
                </c:pt>
                <c:pt idx="182">
                  <c:v>8057085.8022944881</c:v>
                </c:pt>
                <c:pt idx="183">
                  <c:v>8057085.8022944881</c:v>
                </c:pt>
                <c:pt idx="184">
                  <c:v>8057085.8022944881</c:v>
                </c:pt>
                <c:pt idx="185">
                  <c:v>8057085.8022944881</c:v>
                </c:pt>
                <c:pt idx="186">
                  <c:v>8057085.8022944881</c:v>
                </c:pt>
                <c:pt idx="187">
                  <c:v>8057085.8022944881</c:v>
                </c:pt>
                <c:pt idx="188">
                  <c:v>8057085.8022944881</c:v>
                </c:pt>
                <c:pt idx="189">
                  <c:v>8057085.8022944881</c:v>
                </c:pt>
                <c:pt idx="190">
                  <c:v>8057085.8022944881</c:v>
                </c:pt>
                <c:pt idx="191">
                  <c:v>8057085.8022944881</c:v>
                </c:pt>
                <c:pt idx="192">
                  <c:v>8057085.8022944881</c:v>
                </c:pt>
                <c:pt idx="193">
                  <c:v>8057085.8022944881</c:v>
                </c:pt>
                <c:pt idx="194">
                  <c:v>8057085.8022944881</c:v>
                </c:pt>
                <c:pt idx="195">
                  <c:v>8057085.8022944881</c:v>
                </c:pt>
                <c:pt idx="196">
                  <c:v>8057085.8022944881</c:v>
                </c:pt>
                <c:pt idx="197">
                  <c:v>8057085.8022944881</c:v>
                </c:pt>
                <c:pt idx="198">
                  <c:v>8057085.8022944881</c:v>
                </c:pt>
                <c:pt idx="199">
                  <c:v>8057085.8022944881</c:v>
                </c:pt>
                <c:pt idx="200">
                  <c:v>8057085.8022944881</c:v>
                </c:pt>
                <c:pt idx="201">
                  <c:v>8057085.8022944881</c:v>
                </c:pt>
                <c:pt idx="202">
                  <c:v>8057085.8022944881</c:v>
                </c:pt>
                <c:pt idx="203">
                  <c:v>8057085.8022944881</c:v>
                </c:pt>
                <c:pt idx="204">
                  <c:v>8057085.8022944881</c:v>
                </c:pt>
                <c:pt idx="205">
                  <c:v>8057085.8022944881</c:v>
                </c:pt>
                <c:pt idx="206">
                  <c:v>8057085.8022944881</c:v>
                </c:pt>
                <c:pt idx="207">
                  <c:v>8057085.8022944881</c:v>
                </c:pt>
                <c:pt idx="208">
                  <c:v>8057085.8022944881</c:v>
                </c:pt>
                <c:pt idx="209">
                  <c:v>8057085.8022944881</c:v>
                </c:pt>
                <c:pt idx="210">
                  <c:v>8057085.8022944881</c:v>
                </c:pt>
                <c:pt idx="211">
                  <c:v>8057085.8022944881</c:v>
                </c:pt>
                <c:pt idx="212">
                  <c:v>8057085.8022944881</c:v>
                </c:pt>
                <c:pt idx="213">
                  <c:v>8057085.8022944881</c:v>
                </c:pt>
                <c:pt idx="214">
                  <c:v>8057085.8022944881</c:v>
                </c:pt>
                <c:pt idx="215">
                  <c:v>8057085.8022944881</c:v>
                </c:pt>
                <c:pt idx="216">
                  <c:v>8057085.8022944881</c:v>
                </c:pt>
                <c:pt idx="217">
                  <c:v>8057085.8022944881</c:v>
                </c:pt>
                <c:pt idx="218">
                  <c:v>8057085.8022944881</c:v>
                </c:pt>
                <c:pt idx="219">
                  <c:v>8057085.8022944881</c:v>
                </c:pt>
                <c:pt idx="220">
                  <c:v>8057085.8022944881</c:v>
                </c:pt>
                <c:pt idx="221">
                  <c:v>8057085.8022944881</c:v>
                </c:pt>
                <c:pt idx="222">
                  <c:v>8057085.8022944881</c:v>
                </c:pt>
                <c:pt idx="223">
                  <c:v>8057085.8022944881</c:v>
                </c:pt>
                <c:pt idx="224">
                  <c:v>8057085.8022944881</c:v>
                </c:pt>
                <c:pt idx="225">
                  <c:v>8057085.8022944881</c:v>
                </c:pt>
                <c:pt idx="226">
                  <c:v>8057085.8022944881</c:v>
                </c:pt>
                <c:pt idx="227">
                  <c:v>8057085.8022944881</c:v>
                </c:pt>
                <c:pt idx="228">
                  <c:v>8057085.8022944881</c:v>
                </c:pt>
                <c:pt idx="229">
                  <c:v>8057085.8022944881</c:v>
                </c:pt>
                <c:pt idx="230">
                  <c:v>8057085.8022944881</c:v>
                </c:pt>
                <c:pt idx="231">
                  <c:v>8057085.8022944881</c:v>
                </c:pt>
                <c:pt idx="232">
                  <c:v>8057085.8022944881</c:v>
                </c:pt>
                <c:pt idx="233">
                  <c:v>8057085.8022944881</c:v>
                </c:pt>
                <c:pt idx="234">
                  <c:v>8057085.8022944881</c:v>
                </c:pt>
                <c:pt idx="235">
                  <c:v>8057085.8022944881</c:v>
                </c:pt>
                <c:pt idx="236">
                  <c:v>8057085.8022944881</c:v>
                </c:pt>
                <c:pt idx="237">
                  <c:v>8057085.8022944881</c:v>
                </c:pt>
                <c:pt idx="238">
                  <c:v>8057085.8022944881</c:v>
                </c:pt>
                <c:pt idx="239">
                  <c:v>8057085.8022944881</c:v>
                </c:pt>
                <c:pt idx="240">
                  <c:v>8057085.8022944881</c:v>
                </c:pt>
                <c:pt idx="241">
                  <c:v>8057085.8022944881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7.1807289291978327</c:v>
                </c:pt>
                <c:pt idx="1">
                  <c:v>7.789265279129852</c:v>
                </c:pt>
                <c:pt idx="2">
                  <c:v>9.5540206939327099</c:v>
                </c:pt>
                <c:pt idx="3">
                  <c:v>13.367515153506698</c:v>
                </c:pt>
                <c:pt idx="4">
                  <c:v>22.302857225008523</c:v>
                </c:pt>
                <c:pt idx="5">
                  <c:v>29.477500790707033</c:v>
                </c:pt>
                <c:pt idx="6">
                  <c:v>33.611491061245225</c:v>
                </c:pt>
                <c:pt idx="7">
                  <c:v>56.298305745139416</c:v>
                </c:pt>
                <c:pt idx="8">
                  <c:v>75.534574435311939</c:v>
                </c:pt>
                <c:pt idx="9">
                  <c:v>98.63698080898115</c:v>
                </c:pt>
                <c:pt idx="10">
                  <c:v>129.69126689751204</c:v>
                </c:pt>
                <c:pt idx="11">
                  <c:v>162.67836278273612</c:v>
                </c:pt>
                <c:pt idx="12">
                  <c:v>198.80882552279084</c:v>
                </c:pt>
                <c:pt idx="13">
                  <c:v>260.1492895959384</c:v>
                </c:pt>
                <c:pt idx="14">
                  <c:v>366.46058992906228</c:v>
                </c:pt>
                <c:pt idx="15">
                  <c:v>434.67751475644167</c:v>
                </c:pt>
                <c:pt idx="16">
                  <c:v>783.06457509252289</c:v>
                </c:pt>
                <c:pt idx="17">
                  <c:v>1109.4226195610652</c:v>
                </c:pt>
                <c:pt idx="18">
                  <c:v>1453.2456572726562</c:v>
                </c:pt>
                <c:pt idx="19">
                  <c:v>1904.7187752872217</c:v>
                </c:pt>
                <c:pt idx="20">
                  <c:v>2512.585735234316</c:v>
                </c:pt>
                <c:pt idx="21">
                  <c:v>3066.5972282124267</c:v>
                </c:pt>
                <c:pt idx="22">
                  <c:v>3749.9226955510917</c:v>
                </c:pt>
                <c:pt idx="23">
                  <c:v>4772.6288852468442</c:v>
                </c:pt>
                <c:pt idx="24">
                  <c:v>5745.6785087881435</c:v>
                </c:pt>
                <c:pt idx="25">
                  <c:v>6777.4518900978828</c:v>
                </c:pt>
                <c:pt idx="26">
                  <c:v>7874.5820753903208</c:v>
                </c:pt>
                <c:pt idx="27">
                  <c:v>8491.5162269514021</c:v>
                </c:pt>
                <c:pt idx="28">
                  <c:v>9740.4762315518801</c:v>
                </c:pt>
                <c:pt idx="29">
                  <c:v>10777.604732741022</c:v>
                </c:pt>
                <c:pt idx="30">
                  <c:v>11987.618410945848</c:v>
                </c:pt>
                <c:pt idx="31">
                  <c:v>16782.665775324185</c:v>
                </c:pt>
                <c:pt idx="32">
                  <c:v>23495.732085453859</c:v>
                </c:pt>
                <c:pt idx="33">
                  <c:v>32894.024919635405</c:v>
                </c:pt>
                <c:pt idx="34">
                  <c:v>46051.634887489563</c:v>
                </c:pt>
                <c:pt idx="35">
                  <c:v>64472.288842485381</c:v>
                </c:pt>
                <c:pt idx="36">
                  <c:v>90261.204379479532</c:v>
                </c:pt>
                <c:pt idx="37">
                  <c:v>126365.68613127133</c:v>
                </c:pt>
                <c:pt idx="38">
                  <c:v>176911.96058377987</c:v>
                </c:pt>
                <c:pt idx="39">
                  <c:v>247676.74481729179</c:v>
                </c:pt>
                <c:pt idx="40">
                  <c:v>346747.44274420844</c:v>
                </c:pt>
                <c:pt idx="41">
                  <c:v>485446.41984189179</c:v>
                </c:pt>
                <c:pt idx="42">
                  <c:v>679624.9877786485</c:v>
                </c:pt>
                <c:pt idx="43">
                  <c:v>951474.98289010779</c:v>
                </c:pt>
                <c:pt idx="44">
                  <c:v>1332064.9760461508</c:v>
                </c:pt>
                <c:pt idx="45">
                  <c:v>1864890.966464611</c:v>
                </c:pt>
                <c:pt idx="46">
                  <c:v>2610847.353050455</c:v>
                </c:pt>
                <c:pt idx="47">
                  <c:v>3655186.2942706365</c:v>
                </c:pt>
                <c:pt idx="48">
                  <c:v>5117260.8119788906</c:v>
                </c:pt>
                <c:pt idx="49">
                  <c:v>7164165.1367704468</c:v>
                </c:pt>
                <c:pt idx="50">
                  <c:v>8057085.8022944881</c:v>
                </c:pt>
                <c:pt idx="51">
                  <c:v>8057085.8022944881</c:v>
                </c:pt>
                <c:pt idx="52">
                  <c:v>8057085.8022944881</c:v>
                </c:pt>
                <c:pt idx="53">
                  <c:v>8057085.8022944881</c:v>
                </c:pt>
                <c:pt idx="54">
                  <c:v>8057085.8022944881</c:v>
                </c:pt>
                <c:pt idx="55">
                  <c:v>8057085.8022944881</c:v>
                </c:pt>
                <c:pt idx="56">
                  <c:v>8057085.8022944881</c:v>
                </c:pt>
                <c:pt idx="57">
                  <c:v>8057085.8022944881</c:v>
                </c:pt>
                <c:pt idx="58">
                  <c:v>8057085.8022944881</c:v>
                </c:pt>
                <c:pt idx="59">
                  <c:v>8057085.8022944881</c:v>
                </c:pt>
                <c:pt idx="60">
                  <c:v>8057085.8022944881</c:v>
                </c:pt>
                <c:pt idx="61">
                  <c:v>8057085.8022944881</c:v>
                </c:pt>
                <c:pt idx="62">
                  <c:v>8057085.8022944881</c:v>
                </c:pt>
                <c:pt idx="63">
                  <c:v>8057085.8022944881</c:v>
                </c:pt>
                <c:pt idx="64">
                  <c:v>8057085.8022944881</c:v>
                </c:pt>
                <c:pt idx="65">
                  <c:v>8057085.8022944881</c:v>
                </c:pt>
                <c:pt idx="66">
                  <c:v>8057085.8022944881</c:v>
                </c:pt>
                <c:pt idx="67">
                  <c:v>8057085.8022944881</c:v>
                </c:pt>
                <c:pt idx="68">
                  <c:v>8057085.8022944881</c:v>
                </c:pt>
                <c:pt idx="69">
                  <c:v>8057085.8022944881</c:v>
                </c:pt>
                <c:pt idx="70">
                  <c:v>8057085.8022944881</c:v>
                </c:pt>
                <c:pt idx="71">
                  <c:v>8057085.8022944881</c:v>
                </c:pt>
                <c:pt idx="72">
                  <c:v>8057085.8022944881</c:v>
                </c:pt>
                <c:pt idx="73">
                  <c:v>8057085.8022944881</c:v>
                </c:pt>
                <c:pt idx="74">
                  <c:v>8057085.8022944881</c:v>
                </c:pt>
                <c:pt idx="75">
                  <c:v>8057085.8022944881</c:v>
                </c:pt>
                <c:pt idx="76">
                  <c:v>8057085.8022944881</c:v>
                </c:pt>
                <c:pt idx="77">
                  <c:v>8057085.8022944881</c:v>
                </c:pt>
                <c:pt idx="78">
                  <c:v>8057085.8022944881</c:v>
                </c:pt>
                <c:pt idx="79">
                  <c:v>8057085.8022944881</c:v>
                </c:pt>
                <c:pt idx="80">
                  <c:v>8057085.8022944881</c:v>
                </c:pt>
                <c:pt idx="81">
                  <c:v>8057085.8022944881</c:v>
                </c:pt>
                <c:pt idx="82">
                  <c:v>8057085.8022944881</c:v>
                </c:pt>
                <c:pt idx="83">
                  <c:v>8057085.8022944881</c:v>
                </c:pt>
                <c:pt idx="84">
                  <c:v>8057085.8022944881</c:v>
                </c:pt>
                <c:pt idx="85">
                  <c:v>8057085.8022944881</c:v>
                </c:pt>
                <c:pt idx="86">
                  <c:v>8057085.8022944881</c:v>
                </c:pt>
                <c:pt idx="87">
                  <c:v>8057085.8022944881</c:v>
                </c:pt>
                <c:pt idx="88">
                  <c:v>8057085.8022944881</c:v>
                </c:pt>
                <c:pt idx="89">
                  <c:v>8057085.8022944881</c:v>
                </c:pt>
                <c:pt idx="90">
                  <c:v>8057085.8022944881</c:v>
                </c:pt>
                <c:pt idx="91">
                  <c:v>8057085.8022944881</c:v>
                </c:pt>
                <c:pt idx="92">
                  <c:v>8057085.8022944881</c:v>
                </c:pt>
                <c:pt idx="93">
                  <c:v>8057085.8022944881</c:v>
                </c:pt>
                <c:pt idx="94">
                  <c:v>8057085.8022944881</c:v>
                </c:pt>
                <c:pt idx="95">
                  <c:v>8057085.8022944881</c:v>
                </c:pt>
                <c:pt idx="96">
                  <c:v>8057085.8022944881</c:v>
                </c:pt>
                <c:pt idx="97">
                  <c:v>8057085.8022944881</c:v>
                </c:pt>
                <c:pt idx="98">
                  <c:v>8057085.8022944881</c:v>
                </c:pt>
                <c:pt idx="99">
                  <c:v>8057085.8022944881</c:v>
                </c:pt>
                <c:pt idx="100">
                  <c:v>8057085.8022944881</c:v>
                </c:pt>
                <c:pt idx="101">
                  <c:v>8057085.8022944881</c:v>
                </c:pt>
                <c:pt idx="102">
                  <c:v>8057085.8022944881</c:v>
                </c:pt>
                <c:pt idx="103">
                  <c:v>8057085.8022944881</c:v>
                </c:pt>
                <c:pt idx="104">
                  <c:v>8057085.8022944881</c:v>
                </c:pt>
                <c:pt idx="105">
                  <c:v>8057085.8022944881</c:v>
                </c:pt>
                <c:pt idx="106">
                  <c:v>8057085.8022944881</c:v>
                </c:pt>
                <c:pt idx="107">
                  <c:v>8057085.8022944881</c:v>
                </c:pt>
                <c:pt idx="108">
                  <c:v>8057085.8022944881</c:v>
                </c:pt>
                <c:pt idx="109">
                  <c:v>8057085.8022944881</c:v>
                </c:pt>
                <c:pt idx="110">
                  <c:v>8057085.8022944881</c:v>
                </c:pt>
                <c:pt idx="111">
                  <c:v>8057085.8022944881</c:v>
                </c:pt>
                <c:pt idx="112">
                  <c:v>8057085.8022944881</c:v>
                </c:pt>
                <c:pt idx="113">
                  <c:v>8057085.8022944881</c:v>
                </c:pt>
                <c:pt idx="114">
                  <c:v>8057085.8022944881</c:v>
                </c:pt>
                <c:pt idx="115">
                  <c:v>8057085.8022944881</c:v>
                </c:pt>
                <c:pt idx="116">
                  <c:v>8057085.8022944881</c:v>
                </c:pt>
                <c:pt idx="117">
                  <c:v>8057085.8022944881</c:v>
                </c:pt>
                <c:pt idx="118">
                  <c:v>8057085.8022944881</c:v>
                </c:pt>
                <c:pt idx="119">
                  <c:v>8057085.8022944881</c:v>
                </c:pt>
                <c:pt idx="120">
                  <c:v>8057085.8022944881</c:v>
                </c:pt>
                <c:pt idx="121">
                  <c:v>8057085.8022944881</c:v>
                </c:pt>
                <c:pt idx="122">
                  <c:v>8057085.8022944881</c:v>
                </c:pt>
                <c:pt idx="123">
                  <c:v>8057085.8022944881</c:v>
                </c:pt>
                <c:pt idx="124">
                  <c:v>8057085.8022944881</c:v>
                </c:pt>
                <c:pt idx="125">
                  <c:v>8057085.8022944881</c:v>
                </c:pt>
                <c:pt idx="126">
                  <c:v>8057085.8022944881</c:v>
                </c:pt>
                <c:pt idx="127">
                  <c:v>8057085.8022944881</c:v>
                </c:pt>
                <c:pt idx="128">
                  <c:v>8057085.8022944881</c:v>
                </c:pt>
                <c:pt idx="129">
                  <c:v>8057085.8022944881</c:v>
                </c:pt>
                <c:pt idx="130">
                  <c:v>8057085.8022944881</c:v>
                </c:pt>
                <c:pt idx="131">
                  <c:v>8057085.8022944881</c:v>
                </c:pt>
                <c:pt idx="132">
                  <c:v>8057085.8022944881</c:v>
                </c:pt>
                <c:pt idx="133">
                  <c:v>8057085.8022944881</c:v>
                </c:pt>
                <c:pt idx="134">
                  <c:v>8057085.8022944881</c:v>
                </c:pt>
                <c:pt idx="135">
                  <c:v>8057085.8022944881</c:v>
                </c:pt>
                <c:pt idx="136">
                  <c:v>8057085.8022944881</c:v>
                </c:pt>
                <c:pt idx="137">
                  <c:v>8057085.8022944881</c:v>
                </c:pt>
                <c:pt idx="138">
                  <c:v>8057085.8022944881</c:v>
                </c:pt>
                <c:pt idx="139">
                  <c:v>8057085.8022944881</c:v>
                </c:pt>
                <c:pt idx="140">
                  <c:v>8057085.8022944881</c:v>
                </c:pt>
                <c:pt idx="141">
                  <c:v>8057085.8022944881</c:v>
                </c:pt>
                <c:pt idx="142">
                  <c:v>8057085.8022944881</c:v>
                </c:pt>
                <c:pt idx="143">
                  <c:v>8057085.8022944881</c:v>
                </c:pt>
                <c:pt idx="144">
                  <c:v>8057085.8022944881</c:v>
                </c:pt>
                <c:pt idx="145">
                  <c:v>8057085.8022944881</c:v>
                </c:pt>
                <c:pt idx="146">
                  <c:v>8057085.8022944881</c:v>
                </c:pt>
                <c:pt idx="147">
                  <c:v>8057085.8022944881</c:v>
                </c:pt>
                <c:pt idx="148">
                  <c:v>8057085.8022944881</c:v>
                </c:pt>
                <c:pt idx="149">
                  <c:v>8057085.8022944881</c:v>
                </c:pt>
                <c:pt idx="150">
                  <c:v>8057085.8022944881</c:v>
                </c:pt>
                <c:pt idx="151">
                  <c:v>8057085.8022944881</c:v>
                </c:pt>
                <c:pt idx="152">
                  <c:v>8057085.8022944881</c:v>
                </c:pt>
                <c:pt idx="153">
                  <c:v>8057085.8022944881</c:v>
                </c:pt>
                <c:pt idx="154">
                  <c:v>8057085.8022944881</c:v>
                </c:pt>
                <c:pt idx="155">
                  <c:v>8057085.8022944881</c:v>
                </c:pt>
                <c:pt idx="156">
                  <c:v>8057085.8022944881</c:v>
                </c:pt>
                <c:pt idx="157">
                  <c:v>8057085.8022944881</c:v>
                </c:pt>
                <c:pt idx="158">
                  <c:v>8057085.8022944881</c:v>
                </c:pt>
                <c:pt idx="159">
                  <c:v>8057085.8022944881</c:v>
                </c:pt>
                <c:pt idx="160">
                  <c:v>8057085.8022944881</c:v>
                </c:pt>
                <c:pt idx="161">
                  <c:v>8057085.8022944881</c:v>
                </c:pt>
                <c:pt idx="162">
                  <c:v>8057085.8022944881</c:v>
                </c:pt>
                <c:pt idx="163">
                  <c:v>8057085.8022944881</c:v>
                </c:pt>
                <c:pt idx="164">
                  <c:v>8057085.8022944881</c:v>
                </c:pt>
                <c:pt idx="165">
                  <c:v>8057085.8022944881</c:v>
                </c:pt>
                <c:pt idx="166">
                  <c:v>8057085.8022944881</c:v>
                </c:pt>
                <c:pt idx="167">
                  <c:v>8057085.8022944881</c:v>
                </c:pt>
                <c:pt idx="168">
                  <c:v>8057085.8022944881</c:v>
                </c:pt>
                <c:pt idx="169">
                  <c:v>8057085.8022944881</c:v>
                </c:pt>
                <c:pt idx="170">
                  <c:v>8057085.8022944881</c:v>
                </c:pt>
                <c:pt idx="171">
                  <c:v>8057085.8022944881</c:v>
                </c:pt>
                <c:pt idx="172">
                  <c:v>8057085.8022944881</c:v>
                </c:pt>
                <c:pt idx="173">
                  <c:v>8057085.8022944881</c:v>
                </c:pt>
                <c:pt idx="174">
                  <c:v>8057085.8022944881</c:v>
                </c:pt>
                <c:pt idx="175">
                  <c:v>8057085.8022944881</c:v>
                </c:pt>
                <c:pt idx="176">
                  <c:v>8057085.8022944881</c:v>
                </c:pt>
                <c:pt idx="177">
                  <c:v>8057085.8022944881</c:v>
                </c:pt>
                <c:pt idx="178">
                  <c:v>8057085.8022944881</c:v>
                </c:pt>
                <c:pt idx="179">
                  <c:v>8057085.8022944881</c:v>
                </c:pt>
                <c:pt idx="180">
                  <c:v>8057085.8022944881</c:v>
                </c:pt>
                <c:pt idx="181">
                  <c:v>8057085.8022944881</c:v>
                </c:pt>
                <c:pt idx="182">
                  <c:v>8057085.8022944881</c:v>
                </c:pt>
                <c:pt idx="183">
                  <c:v>8057085.8022944881</c:v>
                </c:pt>
                <c:pt idx="184">
                  <c:v>8057085.8022944881</c:v>
                </c:pt>
                <c:pt idx="185">
                  <c:v>8057085.8022944881</c:v>
                </c:pt>
                <c:pt idx="186">
                  <c:v>8057085.8022944881</c:v>
                </c:pt>
                <c:pt idx="187">
                  <c:v>8057085.8022944881</c:v>
                </c:pt>
                <c:pt idx="188">
                  <c:v>8057085.8022944881</c:v>
                </c:pt>
                <c:pt idx="189">
                  <c:v>8057085.8022944881</c:v>
                </c:pt>
                <c:pt idx="190">
                  <c:v>8057085.8022944881</c:v>
                </c:pt>
                <c:pt idx="191">
                  <c:v>8057085.8022944881</c:v>
                </c:pt>
                <c:pt idx="192">
                  <c:v>8057085.8022944881</c:v>
                </c:pt>
                <c:pt idx="193">
                  <c:v>8057085.8022944881</c:v>
                </c:pt>
                <c:pt idx="194">
                  <c:v>8057085.8022944881</c:v>
                </c:pt>
                <c:pt idx="195">
                  <c:v>8057085.8022944881</c:v>
                </c:pt>
                <c:pt idx="196">
                  <c:v>8057085.8022944881</c:v>
                </c:pt>
                <c:pt idx="197">
                  <c:v>8057085.8022944881</c:v>
                </c:pt>
                <c:pt idx="198">
                  <c:v>8057085.8022944881</c:v>
                </c:pt>
                <c:pt idx="199">
                  <c:v>8057085.8022944881</c:v>
                </c:pt>
                <c:pt idx="200">
                  <c:v>8057085.8022944881</c:v>
                </c:pt>
                <c:pt idx="201">
                  <c:v>8057085.8022944881</c:v>
                </c:pt>
                <c:pt idx="202">
                  <c:v>8057085.8022944881</c:v>
                </c:pt>
                <c:pt idx="203">
                  <c:v>8057085.8022944881</c:v>
                </c:pt>
                <c:pt idx="204">
                  <c:v>8057085.8022944881</c:v>
                </c:pt>
                <c:pt idx="205">
                  <c:v>8057085.8022944881</c:v>
                </c:pt>
                <c:pt idx="206">
                  <c:v>8057085.8022944881</c:v>
                </c:pt>
                <c:pt idx="207">
                  <c:v>8057085.8022944881</c:v>
                </c:pt>
                <c:pt idx="208">
                  <c:v>8057085.8022944881</c:v>
                </c:pt>
                <c:pt idx="209">
                  <c:v>8057085.8022944881</c:v>
                </c:pt>
                <c:pt idx="210">
                  <c:v>8057085.8022944881</c:v>
                </c:pt>
                <c:pt idx="211">
                  <c:v>8057085.8022944881</c:v>
                </c:pt>
                <c:pt idx="212">
                  <c:v>8057085.8022944881</c:v>
                </c:pt>
                <c:pt idx="213">
                  <c:v>8057085.8022944881</c:v>
                </c:pt>
                <c:pt idx="214">
                  <c:v>8057085.8022944881</c:v>
                </c:pt>
                <c:pt idx="215">
                  <c:v>8057085.8022944881</c:v>
                </c:pt>
                <c:pt idx="216">
                  <c:v>8057085.8022944881</c:v>
                </c:pt>
                <c:pt idx="217">
                  <c:v>8057085.8022944881</c:v>
                </c:pt>
                <c:pt idx="218">
                  <c:v>8057085.8022944881</c:v>
                </c:pt>
                <c:pt idx="219">
                  <c:v>8057085.8022944881</c:v>
                </c:pt>
                <c:pt idx="220">
                  <c:v>8057085.8022944881</c:v>
                </c:pt>
                <c:pt idx="221">
                  <c:v>8057085.8022944881</c:v>
                </c:pt>
                <c:pt idx="222">
                  <c:v>8057085.8022944881</c:v>
                </c:pt>
                <c:pt idx="223">
                  <c:v>8057085.8022944881</c:v>
                </c:pt>
                <c:pt idx="224">
                  <c:v>8057085.8022944881</c:v>
                </c:pt>
                <c:pt idx="225">
                  <c:v>8057085.8022944881</c:v>
                </c:pt>
                <c:pt idx="226">
                  <c:v>8057085.8022944881</c:v>
                </c:pt>
                <c:pt idx="227">
                  <c:v>8057085.8022944881</c:v>
                </c:pt>
                <c:pt idx="228">
                  <c:v>8057085.8022944881</c:v>
                </c:pt>
                <c:pt idx="229">
                  <c:v>8057085.8022944881</c:v>
                </c:pt>
                <c:pt idx="230">
                  <c:v>8057085.8022944881</c:v>
                </c:pt>
                <c:pt idx="231">
                  <c:v>8057085.8022944881</c:v>
                </c:pt>
                <c:pt idx="232">
                  <c:v>8057085.8022944881</c:v>
                </c:pt>
                <c:pt idx="233">
                  <c:v>8057085.8022944881</c:v>
                </c:pt>
                <c:pt idx="234">
                  <c:v>8057085.8022944881</c:v>
                </c:pt>
                <c:pt idx="235">
                  <c:v>8057085.8022944881</c:v>
                </c:pt>
                <c:pt idx="236">
                  <c:v>8057085.8022944881</c:v>
                </c:pt>
                <c:pt idx="237">
                  <c:v>8057085.8022944881</c:v>
                </c:pt>
                <c:pt idx="238">
                  <c:v>8057085.8022944881</c:v>
                </c:pt>
                <c:pt idx="239">
                  <c:v>8057085.8022944881</c:v>
                </c:pt>
                <c:pt idx="240">
                  <c:v>8057085.8022944881</c:v>
                </c:pt>
                <c:pt idx="241">
                  <c:v>8057085.8022944881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7.1807289291978327</c:v>
                </c:pt>
                <c:pt idx="1">
                  <c:v>7.789265279129852</c:v>
                </c:pt>
                <c:pt idx="2">
                  <c:v>9.5540206939327099</c:v>
                </c:pt>
                <c:pt idx="3">
                  <c:v>13.367515153506698</c:v>
                </c:pt>
                <c:pt idx="4">
                  <c:v>22.302857225008523</c:v>
                </c:pt>
                <c:pt idx="5">
                  <c:v>29.477500790707033</c:v>
                </c:pt>
                <c:pt idx="6">
                  <c:v>33.611491061245225</c:v>
                </c:pt>
                <c:pt idx="7">
                  <c:v>56.298305745139416</c:v>
                </c:pt>
                <c:pt idx="8">
                  <c:v>75.534574435311939</c:v>
                </c:pt>
                <c:pt idx="9">
                  <c:v>98.63698080898115</c:v>
                </c:pt>
                <c:pt idx="10">
                  <c:v>129.69126689751204</c:v>
                </c:pt>
                <c:pt idx="11">
                  <c:v>162.67836278273612</c:v>
                </c:pt>
                <c:pt idx="12">
                  <c:v>198.80882552279084</c:v>
                </c:pt>
                <c:pt idx="13">
                  <c:v>260.1492895959384</c:v>
                </c:pt>
                <c:pt idx="14">
                  <c:v>366.46058992906228</c:v>
                </c:pt>
                <c:pt idx="15">
                  <c:v>434.67751475644167</c:v>
                </c:pt>
                <c:pt idx="16">
                  <c:v>783.06457509252289</c:v>
                </c:pt>
                <c:pt idx="17">
                  <c:v>1109.4226195610652</c:v>
                </c:pt>
                <c:pt idx="18">
                  <c:v>1453.2456572726562</c:v>
                </c:pt>
                <c:pt idx="19">
                  <c:v>1904.7187752872217</c:v>
                </c:pt>
                <c:pt idx="20">
                  <c:v>2512.585735234316</c:v>
                </c:pt>
                <c:pt idx="21">
                  <c:v>3066.5972282124267</c:v>
                </c:pt>
                <c:pt idx="22">
                  <c:v>3749.9226955510917</c:v>
                </c:pt>
                <c:pt idx="23">
                  <c:v>4772.6288852468442</c:v>
                </c:pt>
                <c:pt idx="24">
                  <c:v>5745.6785087881435</c:v>
                </c:pt>
                <c:pt idx="25">
                  <c:v>6777.4518900978828</c:v>
                </c:pt>
                <c:pt idx="26">
                  <c:v>7874.5820753903208</c:v>
                </c:pt>
                <c:pt idx="27">
                  <c:v>8491.5162269514021</c:v>
                </c:pt>
                <c:pt idx="28">
                  <c:v>9740.4762315518801</c:v>
                </c:pt>
                <c:pt idx="29">
                  <c:v>10777.604732741022</c:v>
                </c:pt>
                <c:pt idx="30">
                  <c:v>11987.618410945848</c:v>
                </c:pt>
                <c:pt idx="31">
                  <c:v>13618.864497917397</c:v>
                </c:pt>
                <c:pt idx="32">
                  <c:v>15472.086602563169</c:v>
                </c:pt>
                <c:pt idx="33">
                  <c:v>17577.490683883498</c:v>
                </c:pt>
                <c:pt idx="34">
                  <c:v>19969.393054639841</c:v>
                </c:pt>
                <c:pt idx="35">
                  <c:v>22686.779708341957</c:v>
                </c:pt>
                <c:pt idx="36">
                  <c:v>25773.941758097124</c:v>
                </c:pt>
                <c:pt idx="37">
                  <c:v>29281.19734443933</c:v>
                </c:pt>
                <c:pt idx="38">
                  <c:v>33265.711778627898</c:v>
                </c:pt>
                <c:pt idx="39">
                  <c:v>37792.429289060274</c:v>
                </c:pt>
                <c:pt idx="40">
                  <c:v>42935.131557480599</c:v>
                </c:pt>
                <c:pt idx="41">
                  <c:v>48777.640298232443</c:v>
                </c:pt>
                <c:pt idx="42">
                  <c:v>55415.183481584339</c:v>
                </c:pt>
                <c:pt idx="43">
                  <c:v>62955.947469417377</c:v>
                </c:pt>
                <c:pt idx="44">
                  <c:v>71522.840361778843</c:v>
                </c:pt>
                <c:pt idx="45">
                  <c:v>81255.495295365166</c:v>
                </c:pt>
                <c:pt idx="46">
                  <c:v>92312.54634601179</c:v>
                </c:pt>
                <c:pt idx="47">
                  <c:v>104874.21413048291</c:v>
                </c:pt>
                <c:pt idx="48">
                  <c:v>119145.24325069232</c:v>
                </c:pt>
                <c:pt idx="49">
                  <c:v>135358.23945822092</c:v>
                </c:pt>
                <c:pt idx="50">
                  <c:v>153777.46093210153</c:v>
                </c:pt>
                <c:pt idx="51">
                  <c:v>174703.12546450456</c:v>
                </c:pt>
                <c:pt idx="52">
                  <c:v>198476.30375782217</c:v>
                </c:pt>
                <c:pt idx="53">
                  <c:v>225484.47858977178</c:v>
                </c:pt>
                <c:pt idx="54">
                  <c:v>256167.86045622572</c:v>
                </c:pt>
                <c:pt idx="55">
                  <c:v>291026.56263142457</c:v>
                </c:pt>
                <c:pt idx="56">
                  <c:v>330628.75259301125</c:v>
                </c:pt>
                <c:pt idx="57">
                  <c:v>375619.912673246</c:v>
                </c:pt>
                <c:pt idx="58">
                  <c:v>426733.36087721511</c:v>
                </c:pt>
                <c:pt idx="59">
                  <c:v>484802.20334850712</c:v>
                </c:pt>
                <c:pt idx="60">
                  <c:v>550772.91329747671</c:v>
                </c:pt>
                <c:pt idx="61">
                  <c:v>625720.7577171874</c:v>
                </c:pt>
                <c:pt idx="62">
                  <c:v>710867.32332950551</c:v>
                </c:pt>
                <c:pt idx="63">
                  <c:v>807600.42741950299</c:v>
                </c:pt>
                <c:pt idx="64">
                  <c:v>917496.73808799288</c:v>
                </c:pt>
                <c:pt idx="65">
                  <c:v>1042347.4726132595</c:v>
                </c:pt>
                <c:pt idx="66">
                  <c:v>1184187.5927836262</c:v>
                </c:pt>
                <c:pt idx="67">
                  <c:v>1345328.9730601888</c:v>
                </c:pt>
                <c:pt idx="68">
                  <c:v>1528398.0821828179</c:v>
                </c:pt>
                <c:pt idx="69">
                  <c:v>1736378.7923978688</c:v>
                </c:pt>
                <c:pt idx="70">
                  <c:v>1972661.0140619397</c:v>
                </c:pt>
                <c:pt idx="71">
                  <c:v>2241095.9483247469</c:v>
                </c:pt>
                <c:pt idx="72">
                  <c:v>2546058.8584632995</c:v>
                </c:pt>
                <c:pt idx="73">
                  <c:v>2892520.3829872357</c:v>
                </c:pt>
                <c:pt idx="74">
                  <c:v>3286127.5528588593</c:v>
                </c:pt>
                <c:pt idx="75">
                  <c:v>3733295.8333403072</c:v>
                </c:pt>
                <c:pt idx="76">
                  <c:v>4241313.6906724088</c:v>
                </c:pt>
                <c:pt idx="77">
                  <c:v>4818461.3879340142</c:v>
                </c:pt>
                <c:pt idx="78">
                  <c:v>5474145.9463542113</c:v>
                </c:pt>
                <c:pt idx="79">
                  <c:v>6219054.4718331192</c:v>
                </c:pt>
                <c:pt idx="80">
                  <c:v>7065328.345764365</c:v>
                </c:pt>
                <c:pt idx="81">
                  <c:v>8026761.1193229221</c:v>
                </c:pt>
                <c:pt idx="82">
                  <c:v>8057085.8022944881</c:v>
                </c:pt>
                <c:pt idx="83">
                  <c:v>8057085.8022944881</c:v>
                </c:pt>
                <c:pt idx="84">
                  <c:v>8057085.8022944881</c:v>
                </c:pt>
                <c:pt idx="85">
                  <c:v>8057085.8022944881</c:v>
                </c:pt>
                <c:pt idx="86">
                  <c:v>8057085.8022944881</c:v>
                </c:pt>
                <c:pt idx="87">
                  <c:v>8057085.8022944881</c:v>
                </c:pt>
                <c:pt idx="88">
                  <c:v>8057085.8022944881</c:v>
                </c:pt>
                <c:pt idx="89">
                  <c:v>8057085.8022944881</c:v>
                </c:pt>
                <c:pt idx="90">
                  <c:v>8057085.8022944881</c:v>
                </c:pt>
                <c:pt idx="91">
                  <c:v>8057085.8022944881</c:v>
                </c:pt>
                <c:pt idx="92">
                  <c:v>8057085.8022944881</c:v>
                </c:pt>
                <c:pt idx="93">
                  <c:v>8057085.8022944881</c:v>
                </c:pt>
                <c:pt idx="94">
                  <c:v>8057085.8022944881</c:v>
                </c:pt>
                <c:pt idx="95">
                  <c:v>8057085.8022944881</c:v>
                </c:pt>
                <c:pt idx="96">
                  <c:v>8057085.8022944881</c:v>
                </c:pt>
                <c:pt idx="97">
                  <c:v>8057085.8022944881</c:v>
                </c:pt>
                <c:pt idx="98">
                  <c:v>8057085.8022944881</c:v>
                </c:pt>
                <c:pt idx="99">
                  <c:v>8057085.8022944881</c:v>
                </c:pt>
                <c:pt idx="100">
                  <c:v>8057085.8022944881</c:v>
                </c:pt>
                <c:pt idx="101">
                  <c:v>8057085.8022944881</c:v>
                </c:pt>
                <c:pt idx="102">
                  <c:v>8057085.8022944881</c:v>
                </c:pt>
                <c:pt idx="103">
                  <c:v>8057085.8022944881</c:v>
                </c:pt>
                <c:pt idx="104">
                  <c:v>8057085.8022944881</c:v>
                </c:pt>
                <c:pt idx="105">
                  <c:v>8057085.8022944881</c:v>
                </c:pt>
                <c:pt idx="106">
                  <c:v>8057085.8022944881</c:v>
                </c:pt>
                <c:pt idx="107">
                  <c:v>8057085.8022944881</c:v>
                </c:pt>
                <c:pt idx="108">
                  <c:v>8057085.8022944881</c:v>
                </c:pt>
                <c:pt idx="109">
                  <c:v>8057085.8022944881</c:v>
                </c:pt>
                <c:pt idx="110">
                  <c:v>8057085.8022944881</c:v>
                </c:pt>
                <c:pt idx="111">
                  <c:v>8057085.8022944881</c:v>
                </c:pt>
                <c:pt idx="112">
                  <c:v>8057085.8022944881</c:v>
                </c:pt>
                <c:pt idx="113">
                  <c:v>8057085.8022944881</c:v>
                </c:pt>
                <c:pt idx="114">
                  <c:v>8057085.8022944881</c:v>
                </c:pt>
                <c:pt idx="115">
                  <c:v>8057085.8022944881</c:v>
                </c:pt>
                <c:pt idx="116">
                  <c:v>8057085.8022944881</c:v>
                </c:pt>
                <c:pt idx="117">
                  <c:v>8057085.8022944881</c:v>
                </c:pt>
                <c:pt idx="118">
                  <c:v>8057085.8022944881</c:v>
                </c:pt>
                <c:pt idx="119">
                  <c:v>8057085.8022944881</c:v>
                </c:pt>
                <c:pt idx="120">
                  <c:v>8057085.8022944881</c:v>
                </c:pt>
                <c:pt idx="121">
                  <c:v>8057085.8022944881</c:v>
                </c:pt>
                <c:pt idx="122">
                  <c:v>8057085.8022944881</c:v>
                </c:pt>
                <c:pt idx="123">
                  <c:v>8057085.8022944881</c:v>
                </c:pt>
                <c:pt idx="124">
                  <c:v>8057085.8022944881</c:v>
                </c:pt>
                <c:pt idx="125">
                  <c:v>8057085.8022944881</c:v>
                </c:pt>
                <c:pt idx="126">
                  <c:v>8057085.8022944881</c:v>
                </c:pt>
                <c:pt idx="127">
                  <c:v>8057085.8022944881</c:v>
                </c:pt>
                <c:pt idx="128">
                  <c:v>8057085.8022944881</c:v>
                </c:pt>
                <c:pt idx="129">
                  <c:v>8057085.8022944881</c:v>
                </c:pt>
                <c:pt idx="130">
                  <c:v>8057085.8022944881</c:v>
                </c:pt>
                <c:pt idx="131">
                  <c:v>8057085.8022944881</c:v>
                </c:pt>
                <c:pt idx="132">
                  <c:v>8057085.8022944881</c:v>
                </c:pt>
                <c:pt idx="133">
                  <c:v>8057085.8022944881</c:v>
                </c:pt>
                <c:pt idx="134">
                  <c:v>8057085.8022944881</c:v>
                </c:pt>
                <c:pt idx="135">
                  <c:v>8057085.8022944881</c:v>
                </c:pt>
                <c:pt idx="136">
                  <c:v>8057085.8022944881</c:v>
                </c:pt>
                <c:pt idx="137">
                  <c:v>8057085.8022944881</c:v>
                </c:pt>
                <c:pt idx="138">
                  <c:v>8057085.8022944881</c:v>
                </c:pt>
                <c:pt idx="139">
                  <c:v>8057085.8022944881</c:v>
                </c:pt>
                <c:pt idx="140">
                  <c:v>8057085.8022944881</c:v>
                </c:pt>
                <c:pt idx="141">
                  <c:v>8057085.8022944881</c:v>
                </c:pt>
                <c:pt idx="142">
                  <c:v>8057085.8022944881</c:v>
                </c:pt>
                <c:pt idx="143">
                  <c:v>8057085.8022944881</c:v>
                </c:pt>
                <c:pt idx="144">
                  <c:v>8057085.8022944881</c:v>
                </c:pt>
                <c:pt idx="145">
                  <c:v>8057085.8022944881</c:v>
                </c:pt>
                <c:pt idx="146">
                  <c:v>8057085.8022944881</c:v>
                </c:pt>
                <c:pt idx="147">
                  <c:v>8057085.8022944881</c:v>
                </c:pt>
                <c:pt idx="148">
                  <c:v>8057085.8022944881</c:v>
                </c:pt>
                <c:pt idx="149">
                  <c:v>8057085.8022944881</c:v>
                </c:pt>
                <c:pt idx="150">
                  <c:v>8057085.8022944881</c:v>
                </c:pt>
                <c:pt idx="151">
                  <c:v>8057085.8022944881</c:v>
                </c:pt>
                <c:pt idx="152">
                  <c:v>8057085.8022944881</c:v>
                </c:pt>
                <c:pt idx="153">
                  <c:v>8057085.8022944881</c:v>
                </c:pt>
                <c:pt idx="154">
                  <c:v>8057085.8022944881</c:v>
                </c:pt>
                <c:pt idx="155">
                  <c:v>8057085.8022944881</c:v>
                </c:pt>
                <c:pt idx="156">
                  <c:v>8057085.8022944881</c:v>
                </c:pt>
                <c:pt idx="157">
                  <c:v>8057085.8022944881</c:v>
                </c:pt>
                <c:pt idx="158">
                  <c:v>8057085.8022944881</c:v>
                </c:pt>
                <c:pt idx="159">
                  <c:v>8057085.8022944881</c:v>
                </c:pt>
                <c:pt idx="160">
                  <c:v>8057085.8022944881</c:v>
                </c:pt>
                <c:pt idx="161">
                  <c:v>8057085.8022944881</c:v>
                </c:pt>
                <c:pt idx="162">
                  <c:v>8057085.8022944881</c:v>
                </c:pt>
                <c:pt idx="163">
                  <c:v>8057085.8022944881</c:v>
                </c:pt>
                <c:pt idx="164">
                  <c:v>8057085.8022944881</c:v>
                </c:pt>
                <c:pt idx="165">
                  <c:v>8057085.8022944881</c:v>
                </c:pt>
                <c:pt idx="166">
                  <c:v>8057085.8022944881</c:v>
                </c:pt>
                <c:pt idx="167">
                  <c:v>8057085.8022944881</c:v>
                </c:pt>
                <c:pt idx="168">
                  <c:v>8057085.8022944881</c:v>
                </c:pt>
                <c:pt idx="169">
                  <c:v>8057085.8022944881</c:v>
                </c:pt>
                <c:pt idx="170">
                  <c:v>8057085.8022944881</c:v>
                </c:pt>
                <c:pt idx="171">
                  <c:v>8057085.8022944881</c:v>
                </c:pt>
                <c:pt idx="172">
                  <c:v>8057085.8022944881</c:v>
                </c:pt>
                <c:pt idx="173">
                  <c:v>8057085.8022944881</c:v>
                </c:pt>
                <c:pt idx="174">
                  <c:v>8057085.8022944881</c:v>
                </c:pt>
                <c:pt idx="175">
                  <c:v>8057085.8022944881</c:v>
                </c:pt>
                <c:pt idx="176">
                  <c:v>8057085.8022944881</c:v>
                </c:pt>
                <c:pt idx="177">
                  <c:v>8057085.8022944881</c:v>
                </c:pt>
                <c:pt idx="178">
                  <c:v>8057085.8022944881</c:v>
                </c:pt>
                <c:pt idx="179">
                  <c:v>8057085.8022944881</c:v>
                </c:pt>
                <c:pt idx="180">
                  <c:v>8057085.8022944881</c:v>
                </c:pt>
                <c:pt idx="181">
                  <c:v>8057085.8022944881</c:v>
                </c:pt>
                <c:pt idx="182">
                  <c:v>8057085.8022944881</c:v>
                </c:pt>
                <c:pt idx="183">
                  <c:v>8057085.8022944881</c:v>
                </c:pt>
                <c:pt idx="184">
                  <c:v>8057085.8022944881</c:v>
                </c:pt>
                <c:pt idx="185">
                  <c:v>8057085.8022944881</c:v>
                </c:pt>
                <c:pt idx="186">
                  <c:v>8057085.8022944881</c:v>
                </c:pt>
                <c:pt idx="187">
                  <c:v>8057085.8022944881</c:v>
                </c:pt>
                <c:pt idx="188">
                  <c:v>8057085.8022944881</c:v>
                </c:pt>
                <c:pt idx="189">
                  <c:v>8057085.8022944881</c:v>
                </c:pt>
                <c:pt idx="190">
                  <c:v>8057085.8022944881</c:v>
                </c:pt>
                <c:pt idx="191">
                  <c:v>8057085.8022944881</c:v>
                </c:pt>
                <c:pt idx="192">
                  <c:v>8057085.8022944881</c:v>
                </c:pt>
                <c:pt idx="193">
                  <c:v>8057085.8022944881</c:v>
                </c:pt>
                <c:pt idx="194">
                  <c:v>8057085.8022944881</c:v>
                </c:pt>
                <c:pt idx="195">
                  <c:v>8057085.8022944881</c:v>
                </c:pt>
                <c:pt idx="196">
                  <c:v>8057085.8022944881</c:v>
                </c:pt>
                <c:pt idx="197">
                  <c:v>8057085.8022944881</c:v>
                </c:pt>
                <c:pt idx="198">
                  <c:v>8057085.8022944881</c:v>
                </c:pt>
                <c:pt idx="199">
                  <c:v>8057085.8022944881</c:v>
                </c:pt>
                <c:pt idx="200">
                  <c:v>8057085.8022944881</c:v>
                </c:pt>
                <c:pt idx="201">
                  <c:v>8057085.8022944881</c:v>
                </c:pt>
                <c:pt idx="202">
                  <c:v>8057085.8022944881</c:v>
                </c:pt>
                <c:pt idx="203">
                  <c:v>8057085.8022944881</c:v>
                </c:pt>
                <c:pt idx="204">
                  <c:v>8057085.8022944881</c:v>
                </c:pt>
                <c:pt idx="205">
                  <c:v>8057085.8022944881</c:v>
                </c:pt>
                <c:pt idx="206">
                  <c:v>8057085.8022944881</c:v>
                </c:pt>
                <c:pt idx="207">
                  <c:v>8057085.8022944881</c:v>
                </c:pt>
                <c:pt idx="208">
                  <c:v>8057085.8022944881</c:v>
                </c:pt>
                <c:pt idx="209">
                  <c:v>8057085.8022944881</c:v>
                </c:pt>
                <c:pt idx="210">
                  <c:v>8057085.8022944881</c:v>
                </c:pt>
                <c:pt idx="211">
                  <c:v>8057085.8022944881</c:v>
                </c:pt>
                <c:pt idx="212">
                  <c:v>8057085.8022944881</c:v>
                </c:pt>
                <c:pt idx="213">
                  <c:v>8057085.8022944881</c:v>
                </c:pt>
                <c:pt idx="214">
                  <c:v>8057085.8022944881</c:v>
                </c:pt>
                <c:pt idx="215">
                  <c:v>8057085.8022944881</c:v>
                </c:pt>
                <c:pt idx="216">
                  <c:v>8057085.8022944881</c:v>
                </c:pt>
                <c:pt idx="217">
                  <c:v>8057085.8022944881</c:v>
                </c:pt>
                <c:pt idx="218">
                  <c:v>8057085.8022944881</c:v>
                </c:pt>
                <c:pt idx="219">
                  <c:v>8057085.8022944881</c:v>
                </c:pt>
                <c:pt idx="220">
                  <c:v>8057085.8022944881</c:v>
                </c:pt>
                <c:pt idx="221">
                  <c:v>8057085.8022944881</c:v>
                </c:pt>
                <c:pt idx="222">
                  <c:v>8057085.8022944881</c:v>
                </c:pt>
                <c:pt idx="223">
                  <c:v>8057085.8022944881</c:v>
                </c:pt>
                <c:pt idx="224">
                  <c:v>8057085.8022944881</c:v>
                </c:pt>
                <c:pt idx="225">
                  <c:v>8057085.8022944881</c:v>
                </c:pt>
                <c:pt idx="226">
                  <c:v>8057085.8022944881</c:v>
                </c:pt>
                <c:pt idx="227">
                  <c:v>8057085.8022944881</c:v>
                </c:pt>
                <c:pt idx="228">
                  <c:v>8057085.8022944881</c:v>
                </c:pt>
                <c:pt idx="229">
                  <c:v>8057085.8022944881</c:v>
                </c:pt>
                <c:pt idx="230">
                  <c:v>8057085.8022944881</c:v>
                </c:pt>
                <c:pt idx="231">
                  <c:v>8057085.8022944881</c:v>
                </c:pt>
                <c:pt idx="232">
                  <c:v>8057085.8022944881</c:v>
                </c:pt>
                <c:pt idx="233">
                  <c:v>8057085.8022944881</c:v>
                </c:pt>
                <c:pt idx="234">
                  <c:v>8057085.8022944881</c:v>
                </c:pt>
                <c:pt idx="235">
                  <c:v>8057085.8022944881</c:v>
                </c:pt>
                <c:pt idx="236">
                  <c:v>8057085.8022944881</c:v>
                </c:pt>
                <c:pt idx="237">
                  <c:v>8057085.8022944881</c:v>
                </c:pt>
                <c:pt idx="238">
                  <c:v>8057085.8022944881</c:v>
                </c:pt>
                <c:pt idx="239">
                  <c:v>8057085.8022944881</c:v>
                </c:pt>
                <c:pt idx="240">
                  <c:v>8057085.8022944881</c:v>
                </c:pt>
                <c:pt idx="241">
                  <c:v>8057085.8022944881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1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4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8468.8195190176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223797.05829304652</c:v>
                </c:pt>
                <c:pt idx="32">
                  <c:v>254250.82009138115</c:v>
                </c:pt>
                <c:pt idx="33">
                  <c:v>288848.65605558484</c:v>
                </c:pt>
                <c:pt idx="34">
                  <c:v>328154.48176383623</c:v>
                </c:pt>
                <c:pt idx="35">
                  <c:v>372808.94906074757</c:v>
                </c:pt>
                <c:pt idx="36">
                  <c:v>423539.88814269454</c:v>
                </c:pt>
                <c:pt idx="37">
                  <c:v>481174.17057683354</c:v>
                </c:pt>
                <c:pt idx="38">
                  <c:v>546651.18661102245</c:v>
                </c:pt>
                <c:pt idx="39">
                  <c:v>621038.15644344187</c:v>
                </c:pt>
                <c:pt idx="40">
                  <c:v>705547.52501271176</c:v>
                </c:pt>
                <c:pt idx="41">
                  <c:v>801556.72382892901</c:v>
                </c:pt>
                <c:pt idx="42">
                  <c:v>910630.62194682099</c:v>
                </c:pt>
                <c:pt idx="43">
                  <c:v>1034547.0320129646</c:v>
                </c:pt>
                <c:pt idx="44">
                  <c:v>1175325.687114151</c:v>
                </c:pt>
                <c:pt idx="45">
                  <c:v>1335261.1607251123</c:v>
                </c:pt>
                <c:pt idx="46">
                  <c:v>1516960.2663230246</c:v>
                </c:pt>
                <c:pt idx="47">
                  <c:v>1723384.5462509929</c:v>
                </c:pt>
                <c:pt idx="48">
                  <c:v>1957898.5423631994</c:v>
                </c:pt>
                <c:pt idx="49">
                  <c:v>2224324.6352225621</c:v>
                </c:pt>
                <c:pt idx="50">
                  <c:v>2527005.3456836259</c:v>
                </c:pt>
                <c:pt idx="51">
                  <c:v>2870874.1143239979</c:v>
                </c:pt>
                <c:pt idx="52">
                  <c:v>3261535.7123694285</c:v>
                </c:pt>
                <c:pt idx="53">
                  <c:v>3705357.5947428765</c:v>
                </c:pt>
                <c:pt idx="54">
                  <c:v>4209573.6842152905</c:v>
                </c:pt>
                <c:pt idx="55">
                  <c:v>4782402.278252326</c:v>
                </c:pt>
                <c:pt idx="56">
                  <c:v>5433180.0003392762</c:v>
                </c:pt>
                <c:pt idx="57">
                  <c:v>6172513.9790779455</c:v>
                </c:pt>
                <c:pt idx="58">
                  <c:v>7012454.7354465509</c:v>
                </c:pt>
                <c:pt idx="59">
                  <c:v>7966692.5961393258</c:v>
                </c:pt>
                <c:pt idx="60">
                  <c:v>9050780.8343577869</c:v>
                </c:pt>
                <c:pt idx="61">
                  <c:v>10282389.175060576</c:v>
                </c:pt>
                <c:pt idx="62">
                  <c:v>11681591.796593865</c:v>
                </c:pt>
                <c:pt idx="63">
                  <c:v>13271194.522886282</c:v>
                </c:pt>
                <c:pt idx="64">
                  <c:v>15077106.53916545</c:v>
                </c:pt>
                <c:pt idx="65">
                  <c:v>17128762.689849198</c:v>
                </c:pt>
                <c:pt idx="66">
                  <c:v>19459603.241711251</c:v>
                </c:pt>
                <c:pt idx="67">
                  <c:v>22107618.932056844</c:v>
                </c:pt>
                <c:pt idx="68">
                  <c:v>25115970.185734294</c:v>
                </c:pt>
                <c:pt idx="69">
                  <c:v>28533690.59369817</c:v>
                </c:pt>
                <c:pt idx="70">
                  <c:v>32416486.119231958</c:v>
                </c:pt>
                <c:pt idx="71">
                  <c:v>36827643.058218338</c:v>
                </c:pt>
                <c:pt idx="72">
                  <c:v>41839059.552444525</c:v>
                </c:pt>
                <c:pt idx="73">
                  <c:v>47532417.468740568</c:v>
                </c:pt>
                <c:pt idx="74">
                  <c:v>54000513.744593181</c:v>
                </c:pt>
                <c:pt idx="75">
                  <c:v>61348772.900047109</c:v>
                </c:pt>
                <c:pt idx="76">
                  <c:v>69696965.368563622</c:v>
                </c:pt>
                <c:pt idx="77">
                  <c:v>79181159.654181555</c:v>
                </c:pt>
                <c:pt idx="78">
                  <c:v>89955940.133497939</c:v>
                </c:pt>
                <c:pt idx="79">
                  <c:v>102196926.65077208</c:v>
                </c:pt>
                <c:pt idx="80">
                  <c:v>116103636.97343045</c:v>
                </c:pt>
                <c:pt idx="81">
                  <c:v>131902738.76358579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216690.1</c:v>
                </c:pt>
                <c:pt idx="32">
                  <c:v>238359.11000000002</c:v>
                </c:pt>
                <c:pt idx="33">
                  <c:v>262195.02100000007</c:v>
                </c:pt>
                <c:pt idx="34">
                  <c:v>288414.52310000011</c:v>
                </c:pt>
                <c:pt idx="35">
                  <c:v>317255.97541000013</c:v>
                </c:pt>
                <c:pt idx="36">
                  <c:v>348981.57295100018</c:v>
                </c:pt>
                <c:pt idx="37">
                  <c:v>383879.73024610023</c:v>
                </c:pt>
                <c:pt idx="38">
                  <c:v>422267.70327071031</c:v>
                </c:pt>
                <c:pt idx="39">
                  <c:v>464494.47359778138</c:v>
                </c:pt>
                <c:pt idx="40">
                  <c:v>510943.92095755955</c:v>
                </c:pt>
                <c:pt idx="41">
                  <c:v>562038.31305331551</c:v>
                </c:pt>
                <c:pt idx="42">
                  <c:v>618242.14435864706</c:v>
                </c:pt>
                <c:pt idx="43">
                  <c:v>680066.35879451176</c:v>
                </c:pt>
                <c:pt idx="44">
                  <c:v>748072.99467396305</c:v>
                </c:pt>
                <c:pt idx="45">
                  <c:v>822880.29414135939</c:v>
                </c:pt>
                <c:pt idx="46">
                  <c:v>905168.32355549536</c:v>
                </c:pt>
                <c:pt idx="47">
                  <c:v>995685.15591104492</c:v>
                </c:pt>
                <c:pt idx="48">
                  <c:v>1095253.6715021494</c:v>
                </c:pt>
                <c:pt idx="49">
                  <c:v>1204779.0386523644</c:v>
                </c:pt>
                <c:pt idx="50">
                  <c:v>1325256.942517601</c:v>
                </c:pt>
                <c:pt idx="51">
                  <c:v>1457782.6367693611</c:v>
                </c:pt>
                <c:pt idx="52">
                  <c:v>1603560.9004462974</c:v>
                </c:pt>
                <c:pt idx="53">
                  <c:v>1763916.9904909274</c:v>
                </c:pt>
                <c:pt idx="54">
                  <c:v>1940308.6895400202</c:v>
                </c:pt>
                <c:pt idx="55">
                  <c:v>2134339.5584940226</c:v>
                </c:pt>
                <c:pt idx="56">
                  <c:v>2347773.5143434252</c:v>
                </c:pt>
                <c:pt idx="57">
                  <c:v>2582550.8657777677</c:v>
                </c:pt>
                <c:pt idx="58">
                  <c:v>2840805.9523555445</c:v>
                </c:pt>
                <c:pt idx="59">
                  <c:v>3124886.547591099</c:v>
                </c:pt>
                <c:pt idx="60">
                  <c:v>3437375.202350209</c:v>
                </c:pt>
                <c:pt idx="61">
                  <c:v>3781112.7225852301</c:v>
                </c:pt>
                <c:pt idx="62">
                  <c:v>4159223.9948437535</c:v>
                </c:pt>
                <c:pt idx="63">
                  <c:v>4575146.3943281295</c:v>
                </c:pt>
                <c:pt idx="64">
                  <c:v>5032661.0337609425</c:v>
                </c:pt>
                <c:pt idx="65">
                  <c:v>5535927.1371370368</c:v>
                </c:pt>
                <c:pt idx="66">
                  <c:v>6089519.8508507414</c:v>
                </c:pt>
                <c:pt idx="67">
                  <c:v>6698471.8359358162</c:v>
                </c:pt>
                <c:pt idx="68">
                  <c:v>7368319.0195293985</c:v>
                </c:pt>
                <c:pt idx="69">
                  <c:v>8105150.9214823395</c:v>
                </c:pt>
                <c:pt idx="70">
                  <c:v>8915666.0136305746</c:v>
                </c:pt>
                <c:pt idx="71">
                  <c:v>9807232.6149936337</c:v>
                </c:pt>
                <c:pt idx="72">
                  <c:v>10787955.876492998</c:v>
                </c:pt>
                <c:pt idx="73">
                  <c:v>11866751.464142298</c:v>
                </c:pt>
                <c:pt idx="74">
                  <c:v>13053426.61055653</c:v>
                </c:pt>
                <c:pt idx="75">
                  <c:v>14358769.271612184</c:v>
                </c:pt>
                <c:pt idx="76">
                  <c:v>15794646.198773405</c:v>
                </c:pt>
                <c:pt idx="77">
                  <c:v>17374110.818650745</c:v>
                </c:pt>
                <c:pt idx="78">
                  <c:v>19111521.900515821</c:v>
                </c:pt>
                <c:pt idx="79">
                  <c:v>21022674.090567406</c:v>
                </c:pt>
                <c:pt idx="80">
                  <c:v>23124941.499624148</c:v>
                </c:pt>
                <c:pt idx="81">
                  <c:v>25437435.649586566</c:v>
                </c:pt>
                <c:pt idx="82">
                  <c:v>27981179.214545224</c:v>
                </c:pt>
                <c:pt idx="83">
                  <c:v>30779297.13599975</c:v>
                </c:pt>
                <c:pt idx="84">
                  <c:v>33857226.849599726</c:v>
                </c:pt>
                <c:pt idx="85">
                  <c:v>37242949.534559704</c:v>
                </c:pt>
                <c:pt idx="86">
                  <c:v>40967244.488015682</c:v>
                </c:pt>
                <c:pt idx="87">
                  <c:v>45063968.936817251</c:v>
                </c:pt>
                <c:pt idx="88">
                  <c:v>49570365.830498978</c:v>
                </c:pt>
                <c:pt idx="89">
                  <c:v>54527402.413548879</c:v>
                </c:pt>
                <c:pt idx="90">
                  <c:v>59980142.654903769</c:v>
                </c:pt>
                <c:pt idx="91">
                  <c:v>65978156.920394152</c:v>
                </c:pt>
                <c:pt idx="92">
                  <c:v>72575972.612433568</c:v>
                </c:pt>
                <c:pt idx="93">
                  <c:v>79833569.873676926</c:v>
                </c:pt>
                <c:pt idx="94">
                  <c:v>87816926.86104463</c:v>
                </c:pt>
                <c:pt idx="95">
                  <c:v>96598619.547149107</c:v>
                </c:pt>
                <c:pt idx="96">
                  <c:v>106258481.50186403</c:v>
                </c:pt>
                <c:pt idx="97">
                  <c:v>116884329.65205045</c:v>
                </c:pt>
                <c:pt idx="98">
                  <c:v>128572762.61725551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246238.75</c:v>
                </c:pt>
                <c:pt idx="32">
                  <c:v>307798.4375</c:v>
                </c:pt>
                <c:pt idx="33">
                  <c:v>384748.046875</c:v>
                </c:pt>
                <c:pt idx="34">
                  <c:v>480935.05859375</c:v>
                </c:pt>
                <c:pt idx="35">
                  <c:v>601168.8232421875</c:v>
                </c:pt>
                <c:pt idx="36">
                  <c:v>751461.02905273438</c:v>
                </c:pt>
                <c:pt idx="37">
                  <c:v>939326.28631591797</c:v>
                </c:pt>
                <c:pt idx="38">
                  <c:v>1174157.8578948975</c:v>
                </c:pt>
                <c:pt idx="39">
                  <c:v>1467697.3223686218</c:v>
                </c:pt>
                <c:pt idx="40">
                  <c:v>1834621.6529607773</c:v>
                </c:pt>
                <c:pt idx="41">
                  <c:v>2293277.0662009716</c:v>
                </c:pt>
                <c:pt idx="42">
                  <c:v>2866596.3327512145</c:v>
                </c:pt>
                <c:pt idx="43">
                  <c:v>3583245.4159390181</c:v>
                </c:pt>
                <c:pt idx="44">
                  <c:v>4479056.7699237727</c:v>
                </c:pt>
                <c:pt idx="45">
                  <c:v>5598820.9624047158</c:v>
                </c:pt>
                <c:pt idx="46">
                  <c:v>6998526.203005895</c:v>
                </c:pt>
                <c:pt idx="47">
                  <c:v>8748157.7537573688</c:v>
                </c:pt>
                <c:pt idx="48">
                  <c:v>10935197.192196712</c:v>
                </c:pt>
                <c:pt idx="49">
                  <c:v>13668996.49024589</c:v>
                </c:pt>
                <c:pt idx="50">
                  <c:v>17086245.612807363</c:v>
                </c:pt>
                <c:pt idx="51">
                  <c:v>21357807.016009204</c:v>
                </c:pt>
                <c:pt idx="52">
                  <c:v>26697258.770011507</c:v>
                </c:pt>
                <c:pt idx="53">
                  <c:v>33371573.462514386</c:v>
                </c:pt>
                <c:pt idx="54">
                  <c:v>41714466.828142986</c:v>
                </c:pt>
                <c:pt idx="55">
                  <c:v>52143083.535178736</c:v>
                </c:pt>
                <c:pt idx="56">
                  <c:v>65178854.418973416</c:v>
                </c:pt>
                <c:pt idx="57">
                  <c:v>81473568.023716778</c:v>
                </c:pt>
                <c:pt idx="58">
                  <c:v>101841960.02964598</c:v>
                </c:pt>
                <c:pt idx="59">
                  <c:v>127302450.03705747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275787.39999999997</c:v>
                </c:pt>
                <c:pt idx="32">
                  <c:v>386102.35999999993</c:v>
                </c:pt>
                <c:pt idx="33">
                  <c:v>540543.30399999989</c:v>
                </c:pt>
                <c:pt idx="34">
                  <c:v>756760.6255999998</c:v>
                </c:pt>
                <c:pt idx="35">
                  <c:v>1059464.8758399996</c:v>
                </c:pt>
                <c:pt idx="36">
                  <c:v>1483250.8261759994</c:v>
                </c:pt>
                <c:pt idx="37">
                  <c:v>2076551.1566463991</c:v>
                </c:pt>
                <c:pt idx="38">
                  <c:v>2907171.6193049587</c:v>
                </c:pt>
                <c:pt idx="39">
                  <c:v>4070040.2670269418</c:v>
                </c:pt>
                <c:pt idx="40">
                  <c:v>5698056.3738377178</c:v>
                </c:pt>
                <c:pt idx="41">
                  <c:v>7977278.9233728042</c:v>
                </c:pt>
                <c:pt idx="42">
                  <c:v>11168190.492721925</c:v>
                </c:pt>
                <c:pt idx="43">
                  <c:v>15635466.689810693</c:v>
                </c:pt>
                <c:pt idx="44">
                  <c:v>21889653.365734968</c:v>
                </c:pt>
                <c:pt idx="45">
                  <c:v>30645514.712028954</c:v>
                </c:pt>
                <c:pt idx="46">
                  <c:v>42903720.596840531</c:v>
                </c:pt>
                <c:pt idx="47">
                  <c:v>60065208.835576735</c:v>
                </c:pt>
                <c:pt idx="48">
                  <c:v>84091292.369807422</c:v>
                </c:pt>
                <c:pt idx="49">
                  <c:v>117727809.31773038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0.3143665522843197</c:v>
                </c:pt>
                <c:pt idx="17">
                  <c:v>0.35110166449018254</c:v>
                </c:pt>
                <c:pt idx="18">
                  <c:v>0.39677150521011123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0.26379662137589666</c:v>
                </c:pt>
                <c:pt idx="25">
                  <c:v>0.24503438252293117</c:v>
                </c:pt>
                <c:pt idx="26">
                  <c:v>0.22473265496050501</c:v>
                </c:pt>
                <c:pt idx="27">
                  <c:v>0.2015605003979597</c:v>
                </c:pt>
                <c:pt idx="28">
                  <c:v>0.17950665849662154</c:v>
                </c:pt>
                <c:pt idx="29">
                  <c:v>0.15500175350256185</c:v>
                </c:pt>
                <c:pt idx="30">
                  <c:v>0.13607757863580838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223797.05829304652</c:v>
                </c:pt>
                <c:pt idx="32">
                  <c:v>254250.82009138115</c:v>
                </c:pt>
                <c:pt idx="33">
                  <c:v>288848.65605558484</c:v>
                </c:pt>
                <c:pt idx="34">
                  <c:v>328154.48176383623</c:v>
                </c:pt>
                <c:pt idx="35">
                  <c:v>372808.94906074757</c:v>
                </c:pt>
                <c:pt idx="36">
                  <c:v>423539.88814269454</c:v>
                </c:pt>
                <c:pt idx="37">
                  <c:v>481174.17057683354</c:v>
                </c:pt>
                <c:pt idx="38">
                  <c:v>546651.18661102245</c:v>
                </c:pt>
                <c:pt idx="39">
                  <c:v>621038.15644344187</c:v>
                </c:pt>
                <c:pt idx="40">
                  <c:v>705547.52501271176</c:v>
                </c:pt>
                <c:pt idx="41">
                  <c:v>801556.72382892901</c:v>
                </c:pt>
                <c:pt idx="42">
                  <c:v>910630.62194682099</c:v>
                </c:pt>
                <c:pt idx="43">
                  <c:v>1034547.0320129646</c:v>
                </c:pt>
                <c:pt idx="44">
                  <c:v>1175325.687114151</c:v>
                </c:pt>
                <c:pt idx="45">
                  <c:v>1335261.1607251123</c:v>
                </c:pt>
                <c:pt idx="46">
                  <c:v>1516960.2663230246</c:v>
                </c:pt>
                <c:pt idx="47">
                  <c:v>1723384.5462509929</c:v>
                </c:pt>
                <c:pt idx="48">
                  <c:v>1957898.5423631994</c:v>
                </c:pt>
                <c:pt idx="49">
                  <c:v>2224324.6352225621</c:v>
                </c:pt>
                <c:pt idx="50">
                  <c:v>2527005.3456836259</c:v>
                </c:pt>
                <c:pt idx="51">
                  <c:v>2870874.1143239979</c:v>
                </c:pt>
                <c:pt idx="52">
                  <c:v>3261535.7123694285</c:v>
                </c:pt>
                <c:pt idx="53">
                  <c:v>3705357.5947428765</c:v>
                </c:pt>
                <c:pt idx="54">
                  <c:v>4209573.6842152905</c:v>
                </c:pt>
                <c:pt idx="55">
                  <c:v>4782402.278252326</c:v>
                </c:pt>
                <c:pt idx="56">
                  <c:v>5433180.0003392762</c:v>
                </c:pt>
                <c:pt idx="57">
                  <c:v>6172513.9790779455</c:v>
                </c:pt>
                <c:pt idx="58">
                  <c:v>7012454.7354465509</c:v>
                </c:pt>
                <c:pt idx="59">
                  <c:v>7966692.5961393258</c:v>
                </c:pt>
                <c:pt idx="60">
                  <c:v>9050780.8343577869</c:v>
                </c:pt>
                <c:pt idx="61">
                  <c:v>10282389.175060576</c:v>
                </c:pt>
                <c:pt idx="62">
                  <c:v>11681591.796593865</c:v>
                </c:pt>
                <c:pt idx="63">
                  <c:v>13271194.522886282</c:v>
                </c:pt>
                <c:pt idx="64">
                  <c:v>15077106.53916545</c:v>
                </c:pt>
                <c:pt idx="65">
                  <c:v>17128762.689849198</c:v>
                </c:pt>
                <c:pt idx="66">
                  <c:v>19459603.241711251</c:v>
                </c:pt>
                <c:pt idx="67">
                  <c:v>22107618.932056844</c:v>
                </c:pt>
                <c:pt idx="68">
                  <c:v>25115970.185734294</c:v>
                </c:pt>
                <c:pt idx="69">
                  <c:v>28533690.59369817</c:v>
                </c:pt>
                <c:pt idx="70">
                  <c:v>32416486.119231958</c:v>
                </c:pt>
                <c:pt idx="71">
                  <c:v>36827643.058218338</c:v>
                </c:pt>
                <c:pt idx="72">
                  <c:v>41839059.552444525</c:v>
                </c:pt>
                <c:pt idx="73">
                  <c:v>47532417.468740568</c:v>
                </c:pt>
                <c:pt idx="74">
                  <c:v>54000513.744593181</c:v>
                </c:pt>
                <c:pt idx="75">
                  <c:v>61348772.900047109</c:v>
                </c:pt>
                <c:pt idx="76">
                  <c:v>69696965.368563622</c:v>
                </c:pt>
                <c:pt idx="77">
                  <c:v>79181159.654181555</c:v>
                </c:pt>
                <c:pt idx="78">
                  <c:v>89955940.133497939</c:v>
                </c:pt>
                <c:pt idx="79">
                  <c:v>102196926.65077208</c:v>
                </c:pt>
                <c:pt idx="80">
                  <c:v>116103636.97343045</c:v>
                </c:pt>
                <c:pt idx="81">
                  <c:v>131902738.76358579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216690.1</c:v>
                </c:pt>
                <c:pt idx="32">
                  <c:v>238359.11000000002</c:v>
                </c:pt>
                <c:pt idx="33">
                  <c:v>262195.02100000007</c:v>
                </c:pt>
                <c:pt idx="34">
                  <c:v>288414.52310000011</c:v>
                </c:pt>
                <c:pt idx="35">
                  <c:v>317255.97541000013</c:v>
                </c:pt>
                <c:pt idx="36">
                  <c:v>348981.57295100018</c:v>
                </c:pt>
                <c:pt idx="37">
                  <c:v>383879.73024610023</c:v>
                </c:pt>
                <c:pt idx="38">
                  <c:v>422267.70327071031</c:v>
                </c:pt>
                <c:pt idx="39">
                  <c:v>464494.47359778138</c:v>
                </c:pt>
                <c:pt idx="40">
                  <c:v>510943.92095755955</c:v>
                </c:pt>
                <c:pt idx="41">
                  <c:v>562038.31305331551</c:v>
                </c:pt>
                <c:pt idx="42">
                  <c:v>618242.14435864706</c:v>
                </c:pt>
                <c:pt idx="43">
                  <c:v>680066.35879451176</c:v>
                </c:pt>
                <c:pt idx="44">
                  <c:v>748072.99467396305</c:v>
                </c:pt>
                <c:pt idx="45">
                  <c:v>822880.29414135939</c:v>
                </c:pt>
                <c:pt idx="46">
                  <c:v>905168.32355549536</c:v>
                </c:pt>
                <c:pt idx="47">
                  <c:v>995685.15591104492</c:v>
                </c:pt>
                <c:pt idx="48">
                  <c:v>1095253.6715021494</c:v>
                </c:pt>
                <c:pt idx="49">
                  <c:v>1204779.0386523644</c:v>
                </c:pt>
                <c:pt idx="50">
                  <c:v>1325256.942517601</c:v>
                </c:pt>
                <c:pt idx="51">
                  <c:v>1457782.6367693611</c:v>
                </c:pt>
                <c:pt idx="52">
                  <c:v>1603560.9004462974</c:v>
                </c:pt>
                <c:pt idx="53">
                  <c:v>1763916.9904909274</c:v>
                </c:pt>
                <c:pt idx="54">
                  <c:v>1940308.6895400202</c:v>
                </c:pt>
                <c:pt idx="55">
                  <c:v>2134339.5584940226</c:v>
                </c:pt>
                <c:pt idx="56">
                  <c:v>2347773.5143434252</c:v>
                </c:pt>
                <c:pt idx="57">
                  <c:v>2582550.8657777677</c:v>
                </c:pt>
                <c:pt idx="58">
                  <c:v>2840805.9523555445</c:v>
                </c:pt>
                <c:pt idx="59">
                  <c:v>3124886.547591099</c:v>
                </c:pt>
                <c:pt idx="60">
                  <c:v>3437375.202350209</c:v>
                </c:pt>
                <c:pt idx="61">
                  <c:v>3781112.7225852301</c:v>
                </c:pt>
                <c:pt idx="62">
                  <c:v>4159223.9948437535</c:v>
                </c:pt>
                <c:pt idx="63">
                  <c:v>4575146.3943281295</c:v>
                </c:pt>
                <c:pt idx="64">
                  <c:v>5032661.0337609425</c:v>
                </c:pt>
                <c:pt idx="65">
                  <c:v>5535927.1371370368</c:v>
                </c:pt>
                <c:pt idx="66">
                  <c:v>6089519.8508507414</c:v>
                </c:pt>
                <c:pt idx="67">
                  <c:v>6698471.8359358162</c:v>
                </c:pt>
                <c:pt idx="68">
                  <c:v>7368319.0195293985</c:v>
                </c:pt>
                <c:pt idx="69">
                  <c:v>8105150.9214823395</c:v>
                </c:pt>
                <c:pt idx="70">
                  <c:v>8915666.0136305746</c:v>
                </c:pt>
                <c:pt idx="71">
                  <c:v>9807232.6149936337</c:v>
                </c:pt>
                <c:pt idx="72">
                  <c:v>10787955.876492998</c:v>
                </c:pt>
                <c:pt idx="73">
                  <c:v>11866751.464142298</c:v>
                </c:pt>
                <c:pt idx="74">
                  <c:v>13053426.61055653</c:v>
                </c:pt>
                <c:pt idx="75">
                  <c:v>14358769.271612184</c:v>
                </c:pt>
                <c:pt idx="76">
                  <c:v>15794646.198773405</c:v>
                </c:pt>
                <c:pt idx="77">
                  <c:v>17374110.818650745</c:v>
                </c:pt>
                <c:pt idx="78">
                  <c:v>19111521.900515821</c:v>
                </c:pt>
                <c:pt idx="79">
                  <c:v>21022674.090567406</c:v>
                </c:pt>
                <c:pt idx="80">
                  <c:v>23124941.499624148</c:v>
                </c:pt>
                <c:pt idx="81">
                  <c:v>25437435.649586566</c:v>
                </c:pt>
                <c:pt idx="82">
                  <c:v>27981179.214545224</c:v>
                </c:pt>
                <c:pt idx="83">
                  <c:v>30779297.13599975</c:v>
                </c:pt>
                <c:pt idx="84">
                  <c:v>33857226.849599726</c:v>
                </c:pt>
                <c:pt idx="85">
                  <c:v>37242949.534559704</c:v>
                </c:pt>
                <c:pt idx="86">
                  <c:v>40967244.488015682</c:v>
                </c:pt>
                <c:pt idx="87">
                  <c:v>45063968.936817251</c:v>
                </c:pt>
                <c:pt idx="88">
                  <c:v>49570365.830498978</c:v>
                </c:pt>
                <c:pt idx="89">
                  <c:v>54527402.413548879</c:v>
                </c:pt>
                <c:pt idx="90">
                  <c:v>59980142.654903769</c:v>
                </c:pt>
                <c:pt idx="91">
                  <c:v>65978156.920394152</c:v>
                </c:pt>
                <c:pt idx="92">
                  <c:v>72575972.612433568</c:v>
                </c:pt>
                <c:pt idx="93">
                  <c:v>79833569.873676926</c:v>
                </c:pt>
                <c:pt idx="94">
                  <c:v>87816926.86104463</c:v>
                </c:pt>
                <c:pt idx="95">
                  <c:v>96598619.547149107</c:v>
                </c:pt>
                <c:pt idx="96">
                  <c:v>106258481.50186403</c:v>
                </c:pt>
                <c:pt idx="97">
                  <c:v>116884329.65205045</c:v>
                </c:pt>
                <c:pt idx="98">
                  <c:v>128572762.61725551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246238.75</c:v>
                </c:pt>
                <c:pt idx="32">
                  <c:v>307798.4375</c:v>
                </c:pt>
                <c:pt idx="33">
                  <c:v>384748.046875</c:v>
                </c:pt>
                <c:pt idx="34">
                  <c:v>480935.05859375</c:v>
                </c:pt>
                <c:pt idx="35">
                  <c:v>601168.8232421875</c:v>
                </c:pt>
                <c:pt idx="36">
                  <c:v>751461.02905273438</c:v>
                </c:pt>
                <c:pt idx="37">
                  <c:v>939326.28631591797</c:v>
                </c:pt>
                <c:pt idx="38">
                  <c:v>1174157.8578948975</c:v>
                </c:pt>
                <c:pt idx="39">
                  <c:v>1467697.3223686218</c:v>
                </c:pt>
                <c:pt idx="40">
                  <c:v>1834621.6529607773</c:v>
                </c:pt>
                <c:pt idx="41">
                  <c:v>2293277.0662009716</c:v>
                </c:pt>
                <c:pt idx="42">
                  <c:v>2866596.3327512145</c:v>
                </c:pt>
                <c:pt idx="43">
                  <c:v>3583245.4159390181</c:v>
                </c:pt>
                <c:pt idx="44">
                  <c:v>4479056.7699237727</c:v>
                </c:pt>
                <c:pt idx="45">
                  <c:v>5598820.9624047158</c:v>
                </c:pt>
                <c:pt idx="46">
                  <c:v>6998526.203005895</c:v>
                </c:pt>
                <c:pt idx="47">
                  <c:v>8748157.7537573688</c:v>
                </c:pt>
                <c:pt idx="48">
                  <c:v>10935197.192196712</c:v>
                </c:pt>
                <c:pt idx="49">
                  <c:v>13668996.49024589</c:v>
                </c:pt>
                <c:pt idx="50">
                  <c:v>17086245.612807363</c:v>
                </c:pt>
                <c:pt idx="51">
                  <c:v>21357807.016009204</c:v>
                </c:pt>
                <c:pt idx="52">
                  <c:v>26697258.770011507</c:v>
                </c:pt>
                <c:pt idx="53">
                  <c:v>33371573.462514386</c:v>
                </c:pt>
                <c:pt idx="54">
                  <c:v>41714466.828142986</c:v>
                </c:pt>
                <c:pt idx="55">
                  <c:v>52143083.535178736</c:v>
                </c:pt>
                <c:pt idx="56">
                  <c:v>65178854.418973416</c:v>
                </c:pt>
                <c:pt idx="57">
                  <c:v>81473568.023716778</c:v>
                </c:pt>
                <c:pt idx="58">
                  <c:v>101841960.02964598</c:v>
                </c:pt>
                <c:pt idx="59">
                  <c:v>127302450.03705747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275787.39999999997</c:v>
                </c:pt>
                <c:pt idx="32">
                  <c:v>386102.35999999993</c:v>
                </c:pt>
                <c:pt idx="33">
                  <c:v>540543.30399999989</c:v>
                </c:pt>
                <c:pt idx="34">
                  <c:v>756760.6255999998</c:v>
                </c:pt>
                <c:pt idx="35">
                  <c:v>1059464.8758399996</c:v>
                </c:pt>
                <c:pt idx="36">
                  <c:v>1483250.8261759994</c:v>
                </c:pt>
                <c:pt idx="37">
                  <c:v>2076551.1566463991</c:v>
                </c:pt>
                <c:pt idx="38">
                  <c:v>2907171.6193049587</c:v>
                </c:pt>
                <c:pt idx="39">
                  <c:v>4070040.2670269418</c:v>
                </c:pt>
                <c:pt idx="40">
                  <c:v>5698056.3738377178</c:v>
                </c:pt>
                <c:pt idx="41">
                  <c:v>7977278.9233728042</c:v>
                </c:pt>
                <c:pt idx="42">
                  <c:v>11168190.492721925</c:v>
                </c:pt>
                <c:pt idx="43">
                  <c:v>15635466.689810693</c:v>
                </c:pt>
                <c:pt idx="44">
                  <c:v>21889653.365734968</c:v>
                </c:pt>
                <c:pt idx="45">
                  <c:v>30645514.712028954</c:v>
                </c:pt>
                <c:pt idx="46">
                  <c:v>42903720.596840531</c:v>
                </c:pt>
                <c:pt idx="47">
                  <c:v>60065208.835576735</c:v>
                </c:pt>
                <c:pt idx="48">
                  <c:v>84091292.369807422</c:v>
                </c:pt>
                <c:pt idx="49">
                  <c:v>117727809.31773038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0.3143665522843197</c:v>
                </c:pt>
                <c:pt idx="17">
                  <c:v>0.35110166449018254</c:v>
                </c:pt>
                <c:pt idx="18">
                  <c:v>0.39677150521011123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0.26379662137589666</c:v>
                </c:pt>
                <c:pt idx="25">
                  <c:v>0.24503438252293117</c:v>
                </c:pt>
                <c:pt idx="26">
                  <c:v>0.22473265496050501</c:v>
                </c:pt>
                <c:pt idx="27">
                  <c:v>0.2015605003979597</c:v>
                </c:pt>
                <c:pt idx="28">
                  <c:v>0.17950665849662154</c:v>
                </c:pt>
                <c:pt idx="29">
                  <c:v>0.15500175350256185</c:v>
                </c:pt>
                <c:pt idx="30">
                  <c:v>0.13607757863580838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8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9398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  <c:pt idx="30">
                  <c:v>243453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52"/>
          <c:order val="10"/>
          <c:tx>
            <c:strRef>
              <c:f>Days_Since_100!$H$12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  <c:pt idx="70">
                  <c:v>929458</c:v>
                </c:pt>
                <c:pt idx="71">
                  <c:v>1009785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53"/>
          <c:order val="11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109607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  <c:pt idx="34">
                  <c:v>324624</c:v>
                </c:pt>
                <c:pt idx="35">
                  <c:v>362825</c:v>
                </c:pt>
                <c:pt idx="36">
                  <c:v>393877</c:v>
                </c:pt>
                <c:pt idx="37">
                  <c:v>426252</c:v>
                </c:pt>
                <c:pt idx="38">
                  <c:v>463747</c:v>
                </c:pt>
                <c:pt idx="39">
                  <c:v>502136</c:v>
                </c:pt>
                <c:pt idx="40">
                  <c:v>539587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12"/>
          <c:tx>
            <c:strRef>
              <c:f>Days_Since_100!$H$14</c:f>
              <c:strCache>
                <c:ptCount val="1"/>
                <c:pt idx="0">
                  <c:v>North America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  <c:pt idx="26">
                  <c:v>107974</c:v>
                </c:pt>
                <c:pt idx="27">
                  <c:v>129008</c:v>
                </c:pt>
                <c:pt idx="28">
                  <c:v>149407</c:v>
                </c:pt>
                <c:pt idx="29">
                  <c:v>171730</c:v>
                </c:pt>
                <c:pt idx="30">
                  <c:v>199550</c:v>
                </c:pt>
                <c:pt idx="31">
                  <c:v>225966</c:v>
                </c:pt>
                <c:pt idx="32">
                  <c:v>258117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13"/>
          <c:tx>
            <c:strRef>
              <c:f>Days_Since_100!$H$15</c:f>
              <c:strCache>
                <c:ptCount val="1"/>
                <c:pt idx="0">
                  <c:v>Asia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8"/>
          <c:order val="14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  <c:pt idx="31">
                  <c:v>39454</c:v>
                </c:pt>
                <c:pt idx="32">
                  <c:v>43425</c:v>
                </c:pt>
                <c:pt idx="33">
                  <c:v>47344</c:v>
                </c:pt>
                <c:pt idx="34">
                  <c:v>51421</c:v>
                </c:pt>
                <c:pt idx="35">
                  <c:v>55631</c:v>
                </c:pt>
                <c:pt idx="36">
                  <c:v>59872</c:v>
                </c:pt>
                <c:pt idx="37">
                  <c:v>64237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15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  <c:pt idx="32">
                  <c:v>38309</c:v>
                </c:pt>
                <c:pt idx="33">
                  <c:v>41495</c:v>
                </c:pt>
                <c:pt idx="34">
                  <c:v>44605</c:v>
                </c:pt>
                <c:pt idx="35">
                  <c:v>47593</c:v>
                </c:pt>
                <c:pt idx="36">
                  <c:v>50468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3"/>
          <c:order val="16"/>
          <c:tx>
            <c:strRef>
              <c:f>Days_Since_100!$H$18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  <c:pt idx="20">
                  <c:v>15263</c:v>
                </c:pt>
                <c:pt idx="21">
                  <c:v>17825</c:v>
                </c:pt>
                <c:pt idx="22">
                  <c:v>20247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17"/>
          <c:tx>
            <c:strRef>
              <c:f>Days_Since_100!$H$19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  <c:pt idx="22">
                  <c:v>12928</c:v>
                </c:pt>
                <c:pt idx="23">
                  <c:v>14076</c:v>
                </c:pt>
                <c:pt idx="24">
                  <c:v>14829</c:v>
                </c:pt>
                <c:pt idx="25">
                  <c:v>15922</c:v>
                </c:pt>
                <c:pt idx="26">
                  <c:v>16605</c:v>
                </c:pt>
                <c:pt idx="27">
                  <c:v>17768</c:v>
                </c:pt>
                <c:pt idx="28">
                  <c:v>18827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6"/>
          <c:order val="18"/>
          <c:tx>
            <c:strRef>
              <c:f>Days_Since_100!$H$20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  <c:pt idx="13">
                  <c:v>15679</c:v>
                </c:pt>
                <c:pt idx="14">
                  <c:v>18135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19"/>
          <c:tx>
            <c:strRef>
              <c:f>Days_Since_100!$H$21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  <c:pt idx="21">
                  <c:v>7284</c:v>
                </c:pt>
                <c:pt idx="22">
                  <c:v>9134</c:v>
                </c:pt>
                <c:pt idx="23">
                  <c:v>10836</c:v>
                </c:pt>
                <c:pt idx="24">
                  <c:v>11899</c:v>
                </c:pt>
                <c:pt idx="25">
                  <c:v>12775</c:v>
                </c:pt>
                <c:pt idx="26">
                  <c:v>13964</c:v>
                </c:pt>
                <c:pt idx="27">
                  <c:v>15348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9"/>
          <c:order val="20"/>
          <c:tx>
            <c:strRef>
              <c:f>Days_Since_100!$H$22</c:f>
              <c:strCache>
                <c:ptCount val="1"/>
                <c:pt idx="0">
                  <c:v>Netherlands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  <c:pt idx="21">
                  <c:v>8647</c:v>
                </c:pt>
                <c:pt idx="22">
                  <c:v>9819</c:v>
                </c:pt>
                <c:pt idx="23">
                  <c:v>10930</c:v>
                </c:pt>
                <c:pt idx="24">
                  <c:v>11817</c:v>
                </c:pt>
                <c:pt idx="25">
                  <c:v>12667</c:v>
                </c:pt>
                <c:pt idx="26">
                  <c:v>13696</c:v>
                </c:pt>
                <c:pt idx="27">
                  <c:v>14788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  <c:pt idx="21">
                  <c:v>9560</c:v>
                </c:pt>
                <c:pt idx="22">
                  <c:v>11284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22"/>
          <c:tx>
            <c:strRef>
              <c:f>Days_Since_100!$H$24</c:f>
              <c:strCache>
                <c:ptCount val="1"/>
                <c:pt idx="0">
                  <c:v>Austria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  <c:pt idx="20">
                  <c:v>8271</c:v>
                </c:pt>
                <c:pt idx="21">
                  <c:v>8788</c:v>
                </c:pt>
                <c:pt idx="22">
                  <c:v>9618</c:v>
                </c:pt>
                <c:pt idx="23">
                  <c:v>10180</c:v>
                </c:pt>
                <c:pt idx="24">
                  <c:v>10711</c:v>
                </c:pt>
                <c:pt idx="25">
                  <c:v>11129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23"/>
          <c:tx>
            <c:strRef>
              <c:f>Days_Since_100!$H$25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  <c:pt idx="41">
                  <c:v>9887</c:v>
                </c:pt>
                <c:pt idx="42">
                  <c:v>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24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  <c:pt idx="18">
                  <c:v>7443</c:v>
                </c:pt>
                <c:pt idx="19">
                  <c:v>8251</c:v>
                </c:pt>
                <c:pt idx="20">
                  <c:v>9034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25"/>
          <c:tx>
            <c:strRef>
              <c:f>Days_Since_100!$H$27</c:f>
              <c:strCache>
                <c:ptCount val="1"/>
                <c:pt idx="0">
                  <c:v>Brazil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  <c:pt idx="17">
                  <c:v>4579</c:v>
                </c:pt>
                <c:pt idx="18">
                  <c:v>5717</c:v>
                </c:pt>
                <c:pt idx="19">
                  <c:v>6836</c:v>
                </c:pt>
                <c:pt idx="20">
                  <c:v>8044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  <c:pt idx="18">
                  <c:v>4695</c:v>
                </c:pt>
                <c:pt idx="19">
                  <c:v>5358</c:v>
                </c:pt>
                <c:pt idx="20">
                  <c:v>6092</c:v>
                </c:pt>
                <c:pt idx="21">
                  <c:v>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27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  <c:pt idx="21">
                  <c:v>4979</c:v>
                </c:pt>
                <c:pt idx="22">
                  <c:v>5444</c:v>
                </c:pt>
                <c:pt idx="23">
                  <c:v>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28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  <c:pt idx="26">
                  <c:v>4947</c:v>
                </c:pt>
                <c:pt idx="27">
                  <c:v>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29"/>
          <c:tx>
            <c:strRef>
              <c:f>Days_Since_100!$H$31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  <c:pt idx="26">
                  <c:v>4863</c:v>
                </c:pt>
                <c:pt idx="27">
                  <c:v>5147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30"/>
          <c:tx>
            <c:strRef>
              <c:f>Days_Since_100!$H$32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  <c:pt idx="22">
                  <c:v>4862</c:v>
                </c:pt>
                <c:pt idx="23">
                  <c:v>5116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31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  <c:pt idx="19">
                  <c:v>3508</c:v>
                </c:pt>
                <c:pt idx="20">
                  <c:v>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32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  <c:pt idx="18">
                  <c:v>3447</c:v>
                </c:pt>
                <c:pt idx="19">
                  <c:v>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33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  <c:pt idx="22">
                  <c:v>3290</c:v>
                </c:pt>
                <c:pt idx="23">
                  <c:v>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34"/>
          <c:tx>
            <c:strRef>
              <c:f>Days_Since_100!$H$36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  <c:pt idx="15">
                  <c:v>2777</c:v>
                </c:pt>
                <c:pt idx="16">
                  <c:v>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35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  <c:pt idx="16">
                  <c:v>3031</c:v>
                </c:pt>
                <c:pt idx="17">
                  <c:v>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36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  <c:pt idx="14">
                  <c:v>2748</c:v>
                </c:pt>
                <c:pt idx="15">
                  <c:v>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37"/>
          <c:tx>
            <c:strRef>
              <c:f>Days_Since_100!$H$39</c:f>
              <c:strCache>
                <c:ptCount val="1"/>
                <c:pt idx="0">
                  <c:v>Malaysia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  <c:pt idx="23">
                  <c:v>2908</c:v>
                </c:pt>
                <c:pt idx="24">
                  <c:v>3116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38"/>
          <c:tx>
            <c:strRef>
              <c:f>Days_Since_100!$H$40</c:f>
              <c:strCache>
                <c:ptCount val="1"/>
                <c:pt idx="0">
                  <c:v>Poland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  <c:pt idx="18">
                  <c:v>2554</c:v>
                </c:pt>
                <c:pt idx="19">
                  <c:v>2946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39"/>
          <c:tx>
            <c:strRef>
              <c:f>Days_Since_100!$H$41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  <c:pt idx="18">
                  <c:v>2460</c:v>
                </c:pt>
                <c:pt idx="19">
                  <c:v>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40"/>
          <c:tx>
            <c:strRef>
              <c:f>Days_Since_100!$H$42</c:f>
              <c:strCache>
                <c:ptCount val="1"/>
                <c:pt idx="0">
                  <c:v>Philippines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  <c:pt idx="18">
                  <c:v>2311</c:v>
                </c:pt>
                <c:pt idx="19">
                  <c:v>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41"/>
          <c:tx>
            <c:strRef>
              <c:f>Days_Since_100!$H$43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  <c:pt idx="18">
                  <c:v>1998</c:v>
                </c:pt>
                <c:pt idx="19">
                  <c:v>2543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42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  <c:pt idx="40">
                  <c:v>2178</c:v>
                </c:pt>
                <c:pt idx="41">
                  <c:v>2495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43"/>
          <c:tx>
            <c:strRef>
              <c:f>Days_Since_100!$H$45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  <c:pt idx="15">
                  <c:v>2319</c:v>
                </c:pt>
                <c:pt idx="16">
                  <c:v>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44"/>
          <c:tx>
            <c:strRef>
              <c:f>Days_Since_100!$H$46</c:f>
              <c:strCache>
                <c:ptCount val="1"/>
                <c:pt idx="0">
                  <c:v>Pakistan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  <c:pt idx="16">
                  <c:v>2118</c:v>
                </c:pt>
                <c:pt idx="17">
                  <c:v>2421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45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  <c:pt idx="18">
                  <c:v>1720</c:v>
                </c:pt>
                <c:pt idx="19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46"/>
          <c:tx>
            <c:strRef>
              <c:f>Days_Since_100!$H$48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  <c:pt idx="17">
                  <c:v>1771</c:v>
                </c:pt>
                <c:pt idx="18">
                  <c:v>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47"/>
          <c:tx>
            <c:strRef>
              <c:f>Days_Since_100!$H$49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  <c:pt idx="17">
                  <c:v>1677</c:v>
                </c:pt>
                <c:pt idx="18">
                  <c:v>1790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48"/>
          <c:tx>
            <c:strRef>
              <c:f>Days_Since_100!$H$50</c:f>
              <c:strCache>
                <c:ptCount val="1"/>
                <c:pt idx="0">
                  <c:v>Greece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  <c:pt idx="18">
                  <c:v>1314</c:v>
                </c:pt>
                <c:pt idx="19">
                  <c:v>1415</c:v>
                </c:pt>
                <c:pt idx="20">
                  <c:v>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49"/>
          <c:tx>
            <c:strRef>
              <c:f>Days_Since_100!$H$51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  <c:pt idx="18">
                  <c:v>1418</c:v>
                </c:pt>
                <c:pt idx="19">
                  <c:v>1446</c:v>
                </c:pt>
                <c:pt idx="20">
                  <c:v>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50"/>
          <c:tx>
            <c:strRef>
              <c:f>Days_Since_100!$H$52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  <c:pt idx="14">
                  <c:v>1380</c:v>
                </c:pt>
                <c:pt idx="15">
                  <c:v>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51"/>
          <c:tx>
            <c:strRef>
              <c:f>Days_Since_100!$H$53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  <c:pt idx="15">
                  <c:v>1323</c:v>
                </c:pt>
                <c:pt idx="16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52"/>
          <c:tx>
            <c:strRef>
              <c:f>Days_Since_100!$H$54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  <c:pt idx="11">
                  <c:v>1284</c:v>
                </c:pt>
                <c:pt idx="12">
                  <c:v>1380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53"/>
          <c:tx>
            <c:strRef>
              <c:f>Days_Since_100!$H$55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  <c:pt idx="13">
                  <c:v>1215</c:v>
                </c:pt>
                <c:pt idx="14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54"/>
          <c:tx>
            <c:strRef>
              <c:f>Days_Since_100!$H$56</c:f>
              <c:strCache>
                <c:ptCount val="1"/>
                <c:pt idx="0">
                  <c:v>Iceland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  <c:pt idx="20">
                  <c:v>1220</c:v>
                </c:pt>
                <c:pt idx="21">
                  <c:v>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55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  <c:pt idx="13">
                  <c:v>1181</c:v>
                </c:pt>
                <c:pt idx="14">
                  <c:v>1317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56"/>
          <c:tx>
            <c:strRef>
              <c:f>Days_Since_100!$H$58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  <c:pt idx="13">
                  <c:v>1060</c:v>
                </c:pt>
                <c:pt idx="14">
                  <c:v>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57"/>
          <c:tx>
            <c:strRef>
              <c:f>Days_Since_100!$H$59</c:f>
              <c:strCache>
                <c:ptCount val="1"/>
                <c:pt idx="0">
                  <c:v>Colombia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  <c:pt idx="13">
                  <c:v>1065</c:v>
                </c:pt>
                <c:pt idx="14">
                  <c:v>1161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58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  <c:pt idx="12">
                  <c:v>1054</c:v>
                </c:pt>
                <c:pt idx="13">
                  <c:v>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59"/>
          <c:tx>
            <c:strRef>
              <c:f>Days_Since_100!$H$61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  <c:pt idx="32">
                  <c:v>1000</c:v>
                </c:pt>
                <c:pt idx="33">
                  <c:v>1049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60"/>
          <c:tx>
            <c:strRef>
              <c:f>Days_Since_100!$H$62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  <c:pt idx="14">
                  <c:v>814</c:v>
                </c:pt>
                <c:pt idx="15">
                  <c:v>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61"/>
          <c:tx>
            <c:strRef>
              <c:f>Days_Since_100!$H$63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  <c:pt idx="13">
                  <c:v>963</c:v>
                </c:pt>
                <c:pt idx="14">
                  <c:v>1011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62"/>
          <c:tx>
            <c:strRef>
              <c:f>Days_Since_100!$H$64</c:f>
              <c:strCache>
                <c:ptCount val="1"/>
                <c:pt idx="0">
                  <c:v>Algeria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  <c:pt idx="11">
                  <c:v>847</c:v>
                </c:pt>
                <c:pt idx="12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63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  <c:pt idx="21">
                  <c:v>835</c:v>
                </c:pt>
                <c:pt idx="22">
                  <c:v>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64"/>
          <c:tx>
            <c:strRef>
              <c:f>Days_Since_100!$H$66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  <c:pt idx="19">
                  <c:v>841</c:v>
                </c:pt>
                <c:pt idx="20">
                  <c:v>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65"/>
          <c:tx>
            <c:strRef>
              <c:f>Days_Since_100!$H$67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  <c:pt idx="7">
                  <c:v>794</c:v>
                </c:pt>
                <c:pt idx="8">
                  <c:v>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66"/>
          <c:tx>
            <c:strRef>
              <c:f>Days_Since_100!$H$68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  <c:pt idx="18">
                  <c:v>779</c:v>
                </c:pt>
                <c:pt idx="19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67"/>
          <c:tx>
            <c:strRef>
              <c:f>Days_Since_100!$H$69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  <c:pt idx="18">
                  <c:v>779</c:v>
                </c:pt>
                <c:pt idx="19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68"/>
          <c:tx>
            <c:strRef>
              <c:f>Days_Since_100!$H$70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  <c:pt idx="10">
                  <c:v>708</c:v>
                </c:pt>
                <c:pt idx="11">
                  <c:v>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3"/>
          <c:order val="69"/>
          <c:tx>
            <c:strRef>
              <c:f>Days_Since_100!$H$71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  <c:pt idx="18">
                  <c:v>694</c:v>
                </c:pt>
                <c:pt idx="19">
                  <c:v>728</c:v>
                </c:pt>
                <c:pt idx="20">
                  <c:v>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B-4C7E-BF82-300F91A3A73B}"/>
            </c:ext>
          </c:extLst>
        </c:ser>
        <c:ser>
          <c:idx val="34"/>
          <c:order val="70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  <c:pt idx="10">
                  <c:v>654</c:v>
                </c:pt>
                <c:pt idx="11">
                  <c:v>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71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  <c:pt idx="13">
                  <c:v>571</c:v>
                </c:pt>
                <c:pt idx="14">
                  <c:v>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72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  <c:pt idx="10">
                  <c:v>581</c:v>
                </c:pt>
                <c:pt idx="11">
                  <c:v>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38"/>
          <c:order val="73"/>
          <c:tx>
            <c:strRef>
              <c:f>Days_Since_100!$H$75</c:f>
              <c:strCache>
                <c:ptCount val="1"/>
                <c:pt idx="0">
                  <c:v>Bahrain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  <c:pt idx="21">
                  <c:v>567</c:v>
                </c:pt>
                <c:pt idx="22">
                  <c:v>569</c:v>
                </c:pt>
                <c:pt idx="23">
                  <c:v>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4B-4C7E-BF82-300F91A3A73B}"/>
            </c:ext>
          </c:extLst>
        </c:ser>
        <c:ser>
          <c:idx val="45"/>
          <c:order val="74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  <c:pt idx="11">
                  <c:v>525</c:v>
                </c:pt>
                <c:pt idx="12">
                  <c:v>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75"/>
          <c:tx>
            <c:strRef>
              <c:f>Days_Since_100!$H$77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  <c:pt idx="10">
                  <c:v>459</c:v>
                </c:pt>
                <c:pt idx="11">
                  <c:v>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76"/>
          <c:tx>
            <c:strRef>
              <c:f>Days_Since_100!$H$78</c:f>
              <c:strCache>
                <c:ptCount val="1"/>
                <c:pt idx="0">
                  <c:v>Moldova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  <c:pt idx="9">
                  <c:v>423</c:v>
                </c:pt>
                <c:pt idx="10">
                  <c:v>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ser>
          <c:idx val="18"/>
          <c:order val="77"/>
          <c:tx>
            <c:strRef>
              <c:f>Days_Since_100!$H$79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  <c:pt idx="16">
                  <c:v>470</c:v>
                </c:pt>
                <c:pt idx="17">
                  <c:v>479</c:v>
                </c:pt>
                <c:pt idx="18">
                  <c:v>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AB6-867B-0481DD8BD9B7}"/>
            </c:ext>
          </c:extLst>
        </c:ser>
        <c:ser>
          <c:idx val="22"/>
          <c:order val="78"/>
          <c:tx>
            <c:strRef>
              <c:f>Days_Since_100!$H$80</c:f>
              <c:strCache>
                <c:ptCount val="1"/>
                <c:pt idx="0">
                  <c:v>Latvia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  <c:pt idx="12">
                  <c:v>446</c:v>
                </c:pt>
                <c:pt idx="13">
                  <c:v>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E-4AB6-867B-0481DD8BD9B7}"/>
            </c:ext>
          </c:extLst>
        </c:ser>
        <c:ser>
          <c:idx val="35"/>
          <c:order val="79"/>
          <c:tx>
            <c:strRef>
              <c:f>Days_Since_100!$H$81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  <c:pt idx="12">
                  <c:v>422</c:v>
                </c:pt>
                <c:pt idx="13">
                  <c:v>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E-4AB6-867B-0481DD8BD9B7}"/>
            </c:ext>
          </c:extLst>
        </c:ser>
        <c:ser>
          <c:idx val="39"/>
          <c:order val="80"/>
          <c:tx>
            <c:strRef>
              <c:f>Days_Since_100!$H$82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  <c:pt idx="8">
                  <c:v>423</c:v>
                </c:pt>
                <c:pt idx="9">
                  <c:v>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E-4AB6-867B-0481DD8BD9B7}"/>
            </c:ext>
          </c:extLst>
        </c:ser>
        <c:ser>
          <c:idx val="40"/>
          <c:order val="81"/>
          <c:tx>
            <c:strRef>
              <c:f>Days_Since_100!$H$83</c:f>
              <c:strCache>
                <c:ptCount val="1"/>
                <c:pt idx="0">
                  <c:v>Kazakhstan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  <c:pt idx="6">
                  <c:v>380</c:v>
                </c:pt>
                <c:pt idx="7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E-4AB6-867B-0481DD8BD9B7}"/>
            </c:ext>
          </c:extLst>
        </c:ser>
        <c:ser>
          <c:idx val="41"/>
          <c:order val="82"/>
          <c:tx>
            <c:strRef>
              <c:f>Days_Since_100!$H$84</c:f>
              <c:strCache>
                <c:ptCount val="1"/>
                <c:pt idx="0">
                  <c:v>Andorra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  <c:pt idx="10">
                  <c:v>390</c:v>
                </c:pt>
                <c:pt idx="11">
                  <c:v>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3E-4AB6-867B-0481DD8BD9B7}"/>
            </c:ext>
          </c:extLst>
        </c:ser>
        <c:ser>
          <c:idx val="42"/>
          <c:order val="83"/>
          <c:tx>
            <c:strRef>
              <c:f>Days_Since_100!$H$85</c:f>
              <c:strCache>
                <c:ptCount val="1"/>
                <c:pt idx="0">
                  <c:v>Slovakia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  <c:pt idx="14">
                  <c:v>400</c:v>
                </c:pt>
                <c:pt idx="15">
                  <c:v>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3E-4AB6-867B-0481DD8BD9B7}"/>
            </c:ext>
          </c:extLst>
        </c:ser>
        <c:ser>
          <c:idx val="46"/>
          <c:order val="84"/>
          <c:tx>
            <c:strRef>
              <c:f>Days_Since_100!$H$86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  <c:pt idx="6">
                  <c:v>359</c:v>
                </c:pt>
                <c:pt idx="7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3E-4AB6-867B-0481DD8BD9B7}"/>
            </c:ext>
          </c:extLst>
        </c:ser>
        <c:ser>
          <c:idx val="47"/>
          <c:order val="85"/>
          <c:tx>
            <c:strRef>
              <c:f>Days_Since_100!$H$87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  <c:pt idx="10">
                  <c:v>347</c:v>
                </c:pt>
                <c:pt idx="11">
                  <c:v>375</c:v>
                </c:pt>
                <c:pt idx="12">
                  <c:v>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3E-4AB6-867B-0481DD8BD9B7}"/>
            </c:ext>
          </c:extLst>
        </c:ser>
        <c:ser>
          <c:idx val="24"/>
          <c:order val="86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  <c:pt idx="10">
                  <c:v>354</c:v>
                </c:pt>
                <c:pt idx="11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6-4FAC-B4C0-FF41ACEEDC9C}"/>
            </c:ext>
          </c:extLst>
        </c:ser>
        <c:ser>
          <c:idx val="25"/>
          <c:order val="87"/>
          <c:tx>
            <c:strRef>
              <c:f>Days_Since_100!$H$89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  <c:pt idx="9">
                  <c:v>320</c:v>
                </c:pt>
                <c:pt idx="10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C6-4FAC-B4C0-FF41ACEEDC9C}"/>
            </c:ext>
          </c:extLst>
        </c:ser>
        <c:ser>
          <c:idx val="28"/>
          <c:order val="88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  <c:pt idx="17">
                  <c:v>289</c:v>
                </c:pt>
                <c:pt idx="18">
                  <c:v>317</c:v>
                </c:pt>
                <c:pt idx="19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6-4FAC-B4C0-FF41ACEEDC9C}"/>
            </c:ext>
          </c:extLst>
        </c:ser>
        <c:ser>
          <c:idx val="43"/>
          <c:order val="89"/>
          <c:tx>
            <c:strRef>
              <c:f>Days_Since_100!$H$91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  <c:pt idx="14">
                  <c:v>329</c:v>
                </c:pt>
                <c:pt idx="15">
                  <c:v>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C6-4FAC-B4C0-FF41ACEEDC9C}"/>
            </c:ext>
          </c:extLst>
        </c:ser>
        <c:ser>
          <c:idx val="44"/>
          <c:order val="90"/>
          <c:tx>
            <c:strRef>
              <c:f>Days_Since_100!$H$92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  <c:pt idx="3">
                  <c:v>233</c:v>
                </c:pt>
                <c:pt idx="4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C6-4FAC-B4C0-FF41ACEEDC9C}"/>
            </c:ext>
          </c:extLst>
        </c:ser>
        <c:ser>
          <c:idx val="48"/>
          <c:order val="91"/>
          <c:tx>
            <c:strRef>
              <c:f>Days_Since_100!$H$93</c:f>
              <c:strCache>
                <c:ptCount val="1"/>
                <c:pt idx="0">
                  <c:v>Belarus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152</c:v>
                </c:pt>
                <c:pt idx="1">
                  <c:v>152</c:v>
                </c:pt>
                <c:pt idx="2">
                  <c:v>163</c:v>
                </c:pt>
                <c:pt idx="3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C6-4FAC-B4C0-FF41ACEEDC9C}"/>
            </c:ext>
          </c:extLst>
        </c:ser>
        <c:ser>
          <c:idx val="51"/>
          <c:order val="92"/>
          <c:tx>
            <c:strRef>
              <c:f>Days_Since_100!$H$94</c:f>
              <c:strCache>
                <c:ptCount val="1"/>
                <c:pt idx="0">
                  <c:v>Jordan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  <c:pt idx="10">
                  <c:v>278</c:v>
                </c:pt>
                <c:pt idx="11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C6-4FAC-B4C0-FF41ACEEDC9C}"/>
            </c:ext>
          </c:extLst>
        </c:ser>
        <c:ser>
          <c:idx val="56"/>
          <c:order val="93"/>
          <c:tx>
            <c:strRef>
              <c:f>Days_Since_100!$H$95</c:f>
              <c:strCache>
                <c:ptCount val="1"/>
                <c:pt idx="0">
                  <c:v>Burkina Faso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  <c:pt idx="8">
                  <c:v>282</c:v>
                </c:pt>
                <c:pt idx="9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C6-4FAC-B4C0-FF41ACEEDC9C}"/>
            </c:ext>
          </c:extLst>
        </c:ser>
        <c:ser>
          <c:idx val="57"/>
          <c:order val="94"/>
          <c:tx>
            <c:strRef>
              <c:f>Days_Since_100!$H$96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  <c:pt idx="9">
                  <c:v>259</c:v>
                </c:pt>
                <c:pt idx="10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C6-4FAC-B4C0-FF41ACEEDC9C}"/>
            </c:ext>
          </c:extLst>
        </c:ser>
        <c:ser>
          <c:idx val="60"/>
          <c:order val="95"/>
          <c:tx>
            <c:strRef>
              <c:f>Days_Since_100!$H$97</c:f>
              <c:strCache>
                <c:ptCount val="1"/>
                <c:pt idx="0">
                  <c:v>Afghanistan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170</c:v>
                </c:pt>
                <c:pt idx="4">
                  <c:v>174</c:v>
                </c:pt>
                <c:pt idx="5">
                  <c:v>237</c:v>
                </c:pt>
                <c:pt idx="6">
                  <c:v>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C6-4FAC-B4C0-FF41ACEEDC9C}"/>
            </c:ext>
          </c:extLst>
        </c:ser>
        <c:ser>
          <c:idx val="61"/>
          <c:order val="96"/>
          <c:tx>
            <c:strRef>
              <c:f>Days_Since_100!$H$98</c:f>
              <c:strCache>
                <c:ptCount val="1"/>
                <c:pt idx="0">
                  <c:v>San Marino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  <c:pt idx="16">
                  <c:v>236</c:v>
                </c:pt>
                <c:pt idx="17">
                  <c:v>236</c:v>
                </c:pt>
                <c:pt idx="18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C6-4FAC-B4C0-FF41ACEEDC9C}"/>
            </c:ext>
          </c:extLst>
        </c:ser>
        <c:ser>
          <c:idx val="62"/>
          <c:order val="97"/>
          <c:tx>
            <c:strRef>
              <c:f>Days_Since_100!$H$99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  <c:pt idx="10">
                  <c:v>218</c:v>
                </c:pt>
                <c:pt idx="11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C6-4FAC-B4C0-FF41ACEEDC9C}"/>
            </c:ext>
          </c:extLst>
        </c:ser>
        <c:ser>
          <c:idx val="65"/>
          <c:order val="98"/>
          <c:tx>
            <c:strRef>
              <c:f>Days_Since_100!$H$100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  <c:pt idx="4">
                  <c:v>212</c:v>
                </c:pt>
                <c:pt idx="5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C6-4FAC-B4C0-FF41ACEEDC9C}"/>
            </c:ext>
          </c:extLst>
        </c:ser>
        <c:ser>
          <c:idx val="68"/>
          <c:order val="99"/>
          <c:tx>
            <c:strRef>
              <c:f>Days_Since_100!$H$101</c:f>
              <c:strCache>
                <c:ptCount val="1"/>
                <c:pt idx="0">
                  <c:v>Oman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  <c:pt idx="6">
                  <c:v>210</c:v>
                </c:pt>
                <c:pt idx="7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C6-4FAC-B4C0-FF41ACEED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3218133389"/>
          <c:h val="0.791539592705951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8"/>
          <c:order val="11"/>
          <c:tx>
            <c:strRef>
              <c:f>Deaths_since_10!$H$13</c:f>
              <c:strCache>
                <c:ptCount val="1"/>
                <c:pt idx="0">
                  <c:v>Europe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  <c:pt idx="36">
                  <c:v>30471</c:v>
                </c:pt>
                <c:pt idx="37">
                  <c:v>33920</c:v>
                </c:pt>
                <c:pt idx="38">
                  <c:v>38451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2"/>
          <c:tx>
            <c:strRef>
              <c:f>Deaths_since_10!$H$14</c:f>
              <c:strCache>
                <c:ptCount val="1"/>
                <c:pt idx="0">
                  <c:v>North America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  <c:pt idx="23">
                  <c:v>1657</c:v>
                </c:pt>
                <c:pt idx="24">
                  <c:v>2119</c:v>
                </c:pt>
                <c:pt idx="25">
                  <c:v>2570</c:v>
                </c:pt>
                <c:pt idx="26">
                  <c:v>3109</c:v>
                </c:pt>
                <c:pt idx="27">
                  <c:v>4041</c:v>
                </c:pt>
                <c:pt idx="28">
                  <c:v>4936</c:v>
                </c:pt>
                <c:pt idx="29">
                  <c:v>6145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2"/>
          <c:order val="13"/>
          <c:tx>
            <c:strRef>
              <c:f>Deaths_since_10!$H$15</c:f>
              <c:strCache>
                <c:ptCount val="1"/>
                <c:pt idx="0">
                  <c:v>Asia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  <c:pt idx="67">
                  <c:v>3803</c:v>
                </c:pt>
                <c:pt idx="68">
                  <c:v>3849</c:v>
                </c:pt>
                <c:pt idx="69">
                  <c:v>3905</c:v>
                </c:pt>
                <c:pt idx="70">
                  <c:v>3983</c:v>
                </c:pt>
                <c:pt idx="71">
                  <c:v>4059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4"/>
          <c:tx>
            <c:strRef>
              <c:f>Deaths_since_10!$H$16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  <c:pt idx="35">
                  <c:v>2730</c:v>
                </c:pt>
                <c:pt idx="36">
                  <c:v>2857</c:v>
                </c:pt>
                <c:pt idx="37">
                  <c:v>3012</c:v>
                </c:pt>
                <c:pt idx="38">
                  <c:v>3168</c:v>
                </c:pt>
                <c:pt idx="39">
                  <c:v>3314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15"/>
          <c:tx>
            <c:strRef>
              <c:f>Deaths_since_10!$H$17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  <c:pt idx="35">
                  <c:v>2640</c:v>
                </c:pt>
                <c:pt idx="36">
                  <c:v>2757</c:v>
                </c:pt>
                <c:pt idx="37">
                  <c:v>2898</c:v>
                </c:pt>
                <c:pt idx="38">
                  <c:v>3036</c:v>
                </c:pt>
                <c:pt idx="39">
                  <c:v>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  <c:pt idx="19">
                  <c:v>1175</c:v>
                </c:pt>
                <c:pt idx="20">
                  <c:v>1341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  <c:pt idx="15">
                  <c:v>828</c:v>
                </c:pt>
                <c:pt idx="16">
                  <c:v>1011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18"/>
          <c:tx>
            <c:strRef>
              <c:f>Deaths_since_10!$H$20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  <c:pt idx="14">
                  <c:v>511</c:v>
                </c:pt>
                <c:pt idx="15">
                  <c:v>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19"/>
          <c:tx>
            <c:strRef>
              <c:f>Deaths_since_10!$H$21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  <c:pt idx="19">
                  <c:v>488</c:v>
                </c:pt>
                <c:pt idx="20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0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  <c:pt idx="11">
                  <c:v>277</c:v>
                </c:pt>
                <c:pt idx="12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1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  <c:pt idx="12">
                  <c:v>240</c:v>
                </c:pt>
                <c:pt idx="13">
                  <c:v>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2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  <c:pt idx="14">
                  <c:v>239</c:v>
                </c:pt>
                <c:pt idx="15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3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  <c:pt idx="17">
                  <c:v>206</c:v>
                </c:pt>
                <c:pt idx="18">
                  <c:v>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4"/>
          <c:tx>
            <c:strRef>
              <c:f>Deaths_since_10!$H$26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  <c:pt idx="11">
                  <c:v>187</c:v>
                </c:pt>
                <c:pt idx="12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5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  <c:pt idx="14">
                  <c:v>157</c:v>
                </c:pt>
                <c:pt idx="1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6"/>
          <c:tx>
            <c:strRef>
              <c:f>Deaths_since_10!$H$28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  <c:pt idx="37">
                  <c:v>165</c:v>
                </c:pt>
                <c:pt idx="38">
                  <c:v>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  <c:pt idx="11">
                  <c:v>146</c:v>
                </c:pt>
                <c:pt idx="12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28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  <c:pt idx="14">
                  <c:v>109</c:v>
                </c:pt>
                <c:pt idx="15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29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  <c:pt idx="12">
                  <c:v>104</c:v>
                </c:pt>
                <c:pt idx="1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0"/>
          <c:tx>
            <c:strRef>
              <c:f>Deaths_since_10!$H$32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  <c:pt idx="10">
                  <c:v>93</c:v>
                </c:pt>
                <c:pt idx="11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1"/>
          <c:tx>
            <c:strRef>
              <c:f>Deaths_since_10!$H$33</c:f>
              <c:strCache>
                <c:ptCount val="1"/>
                <c:pt idx="0">
                  <c:v>Romania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  <c:pt idx="8">
                  <c:v>92</c:v>
                </c:pt>
                <c:pt idx="9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2"/>
          <c:tx>
            <c:strRef>
              <c:f>Deaths_since_10!$H$34</c:f>
              <c:strCache>
                <c:ptCount val="1"/>
                <c:pt idx="0">
                  <c:v>Philippines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  <c:pt idx="18">
                  <c:v>96</c:v>
                </c:pt>
                <c:pt idx="19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3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  <c:pt idx="7">
                  <c:v>85</c:v>
                </c:pt>
                <c:pt idx="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4"/>
          <c:tx>
            <c:strRef>
              <c:f>Deaths_since_10!$H$36</c:f>
              <c:strCache>
                <c:ptCount val="1"/>
                <c:pt idx="0">
                  <c:v>Algeria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  <c:pt idx="13">
                  <c:v>58</c:v>
                </c:pt>
                <c:pt idx="14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5"/>
          <c:tx>
            <c:strRef>
              <c:f>Deaths_since_10!$H$37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  <c:pt idx="9">
                  <c:v>58</c:v>
                </c:pt>
                <c:pt idx="10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6"/>
          <c:tx>
            <c:strRef>
              <c:f>Deaths_since_10!$H$38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  <c:pt idx="23">
                  <c:v>57</c:v>
                </c:pt>
                <c:pt idx="24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37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  <c:pt idx="7">
                  <c:v>57</c:v>
                </c:pt>
                <c:pt idx="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38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  <c:pt idx="12">
                  <c:v>52</c:v>
                </c:pt>
                <c:pt idx="1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39"/>
          <c:tx>
            <c:strRef>
              <c:f>Deaths_since_10!$H$41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  <c:pt idx="9">
                  <c:v>43</c:v>
                </c:pt>
                <c:pt idx="1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0"/>
          <c:tx>
            <c:strRef>
              <c:f>Deaths_since_10!$H$42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  <c:pt idx="7">
                  <c:v>38</c:v>
                </c:pt>
                <c:pt idx="8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1"/>
          <c:tx>
            <c:strRef>
              <c:f>Deaths_since_10!$H$43</c:f>
              <c:strCache>
                <c:ptCount val="1"/>
                <c:pt idx="0">
                  <c:v>Iraq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2"/>
          <c:tx>
            <c:strRef>
              <c:f>Deaths_since_10!$H$44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  <c:pt idx="11">
                  <c:v>50</c:v>
                </c:pt>
                <c:pt idx="12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43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4"/>
          <c:tx>
            <c:strRef>
              <c:f>Deaths_since_10!$H$46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  <c:pt idx="10">
                  <c:v>45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5"/>
          <c:tx>
            <c:strRef>
              <c:f>Deaths_since_10!$H$47</c:f>
              <c:strCache>
                <c:ptCount val="1"/>
                <c:pt idx="0">
                  <c:v>Czechia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  <c:pt idx="6">
                  <c:v>39</c:v>
                </c:pt>
                <c:pt idx="7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6"/>
          <c:tx>
            <c:strRef>
              <c:f>Deaths_since_10!$H$48</c:f>
              <c:strCache>
                <c:ptCount val="1"/>
                <c:pt idx="0">
                  <c:v>Morocco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  <c:pt idx="6">
                  <c:v>39</c:v>
                </c:pt>
                <c:pt idx="7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47"/>
          <c:tx>
            <c:strRef>
              <c:f>Deaths_since_10!$H$49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  <c:pt idx="5">
                  <c:v>29</c:v>
                </c:pt>
                <c:pt idx="6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48"/>
          <c:tx>
            <c:strRef>
              <c:f>Deaths_since_10!$H$50</c:f>
              <c:strCache>
                <c:ptCount val="1"/>
                <c:pt idx="0">
                  <c:v>Israel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  <c:pt idx="6">
                  <c:v>26</c:v>
                </c:pt>
                <c:pt idx="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ser>
          <c:idx val="24"/>
          <c:order val="49"/>
          <c:tx>
            <c:strRef>
              <c:f>Deaths_since_10!$H$51</c:f>
              <c:strCache>
                <c:ptCount val="1"/>
                <c:pt idx="0">
                  <c:v>Argentina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28</c:v>
                </c:pt>
                <c:pt idx="8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F-4BA1-A627-583F0C6F910C}"/>
            </c:ext>
          </c:extLst>
        </c:ser>
        <c:ser>
          <c:idx val="25"/>
          <c:order val="50"/>
          <c:tx>
            <c:strRef>
              <c:f>Deaths_since_10!$H$52</c:f>
              <c:strCache>
                <c:ptCount val="1"/>
                <c:pt idx="0">
                  <c:v>Pakistan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  <c:pt idx="7">
                  <c:v>27</c:v>
                </c:pt>
                <c:pt idx="8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F-4BA1-A627-583F0C6F910C}"/>
            </c:ext>
          </c:extLst>
        </c:ser>
        <c:ser>
          <c:idx val="26"/>
          <c:order val="51"/>
          <c:tx>
            <c:strRef>
              <c:f>Deaths_since_10!$H$53</c:f>
              <c:strCache>
                <c:ptCount val="1"/>
                <c:pt idx="0">
                  <c:v>Panama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9F-4BA1-A627-583F0C6F910C}"/>
            </c:ext>
          </c:extLst>
        </c:ser>
        <c:ser>
          <c:idx val="27"/>
          <c:order val="52"/>
          <c:tx>
            <c:strRef>
              <c:f>Deaths_since_10!$H$54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10</c:v>
                </c:pt>
                <c:pt idx="1">
                  <c:v>13</c:v>
                </c:pt>
                <c:pt idx="2">
                  <c:v>16</c:v>
                </c:pt>
                <c:pt idx="3">
                  <c:v>16</c:v>
                </c:pt>
                <c:pt idx="4">
                  <c:v>28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C1-4277-8CF8-2BD0BAC30E95}"/>
            </c:ext>
          </c:extLst>
        </c:ser>
        <c:ser>
          <c:idx val="30"/>
          <c:order val="53"/>
          <c:tx>
            <c:strRef>
              <c:f>Deaths_since_10!$H$55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C1-4277-8CF8-2BD0BAC30E95}"/>
            </c:ext>
          </c:extLst>
        </c:ser>
        <c:ser>
          <c:idx val="31"/>
          <c:order val="54"/>
          <c:tx>
            <c:strRef>
              <c:f>Deaths_since_10!$H$56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17</c:v>
                </c:pt>
                <c:pt idx="3">
                  <c:v>24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C1-4277-8CF8-2BD0BAC30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8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CumulativeConfirmed!$C$127:$BV$127</c:f>
              <c:numCache>
                <c:formatCode>General</c:formatCode>
                <c:ptCount val="72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  <c:pt idx="70">
                  <c:v>929458</c:v>
                </c:pt>
                <c:pt idx="71">
                  <c:v>1009785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CumulativeConfirmed!$C$128:$BV$128</c:f>
              <c:numCache>
                <c:formatCode>General</c:formatCode>
                <c:ptCount val="72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CumulativeConfirmed!$C$129:$BV$129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CumulativeConfirmed!$C$130:$BV$130</c:f>
              <c:numCache>
                <c:formatCode>General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CumulativeConfirmed!$C$131:$BV$131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CumulativeConfirmed!$C$132:$BV$132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ser>
          <c:idx val="0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CumulativeConfirmed!$C$133:$BV$133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D-4BFB-9871-20DA9C469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832315784363894"/>
          <c:h val="0.3347833459394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5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val>
            <c:numRef>
              <c:f>CumulativeConfirmed!$C$127:$BV$127</c:f>
              <c:numCache>
                <c:formatCode>General</c:formatCode>
                <c:ptCount val="72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  <c:pt idx="70">
                  <c:v>929458</c:v>
                </c:pt>
                <c:pt idx="71">
                  <c:v>1009785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CumulativeConfirmed!$C$128:$BV$128</c:f>
              <c:numCache>
                <c:formatCode>General</c:formatCode>
                <c:ptCount val="72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CumulativeConfirmed!$C$129:$BV$129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CumulativeConfirmed!$C$130:$BV$130</c:f>
              <c:numCache>
                <c:formatCode>General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CumulativeConfirmed!$C$131:$BV$131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CumulativeConfirmed!$C$132:$BV$132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CumulativeConfirmed!$C$133:$BV$133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0.38542</cdr:x>
      <cdr:y>0.67206</cdr:y>
    </cdr:from>
    <cdr:to>
      <cdr:x>0.49676</cdr:x>
      <cdr:y>0.73207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098021" y="4341942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0.14666</cdr:x>
      <cdr:y>0.46327</cdr:y>
    </cdr:from>
    <cdr:to>
      <cdr:x>0.38492</cdr:x>
      <cdr:y>0.5311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559401" y="2993017"/>
          <a:ext cx="2533302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0.40452</cdr:x>
      <cdr:y>0.16198</cdr:y>
    </cdr:from>
    <cdr:to>
      <cdr:x>0.60343</cdr:x>
      <cdr:y>0.22981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301060" y="1046526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0.65034</cdr:x>
      <cdr:y>0.70812</cdr:y>
    </cdr:from>
    <cdr:to>
      <cdr:x>0.76168</cdr:x>
      <cdr:y>0.76813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914730" y="4574915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0.38542</cdr:x>
      <cdr:y>0.67206</cdr:y>
    </cdr:from>
    <cdr:to>
      <cdr:x>0.49676</cdr:x>
      <cdr:y>0.73207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098021" y="4341942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0.14666</cdr:x>
      <cdr:y>0.46327</cdr:y>
    </cdr:from>
    <cdr:to>
      <cdr:x>0.38492</cdr:x>
      <cdr:y>0.5311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559401" y="2993017"/>
          <a:ext cx="2533302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0.40452</cdr:x>
      <cdr:y>0.16198</cdr:y>
    </cdr:from>
    <cdr:to>
      <cdr:x>0.60343</cdr:x>
      <cdr:y>0.22981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301060" y="1046526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0.65034</cdr:x>
      <cdr:y>0.70812</cdr:y>
    </cdr:from>
    <cdr:to>
      <cdr:x>0.76168</cdr:x>
      <cdr:y>0.76813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914730" y="4574915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US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3"/>
      <c r="C3" s="14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1" t="s">
        <v>541</v>
      </c>
      <c r="X3" s="102"/>
      <c r="Y3" s="103"/>
      <c r="Z3" s="110" t="s">
        <v>38</v>
      </c>
      <c r="AA3" s="116"/>
      <c r="AB3" s="116"/>
      <c r="AC3" s="111"/>
    </row>
    <row r="4" spans="1:32" x14ac:dyDescent="0.25">
      <c r="A4" s="46"/>
      <c r="B4" s="143"/>
      <c r="C4" s="14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4"/>
      <c r="X4" s="105"/>
      <c r="Y4" s="106"/>
      <c r="Z4" s="112"/>
      <c r="AA4" s="117"/>
      <c r="AB4" s="117"/>
      <c r="AC4" s="113"/>
    </row>
    <row r="5" spans="1:32" x14ac:dyDescent="0.25">
      <c r="A5" s="46"/>
      <c r="B5" s="145"/>
      <c r="C5" s="14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7"/>
      <c r="X5" s="108"/>
      <c r="Y5" s="109"/>
      <c r="Z5" s="114"/>
      <c r="AA5" s="118"/>
      <c r="AB5" s="118"/>
      <c r="AC5" s="115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476</v>
      </c>
      <c r="C7" s="153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1" t="s">
        <v>540</v>
      </c>
      <c r="X8" s="102"/>
      <c r="Y8" s="103"/>
      <c r="Z8" s="110">
        <v>4</v>
      </c>
      <c r="AA8" s="111"/>
      <c r="AB8" s="119" t="s">
        <v>549</v>
      </c>
      <c r="AC8" s="120"/>
      <c r="AD8" s="120"/>
      <c r="AE8" s="120"/>
      <c r="AF8" s="12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4"/>
      <c r="X9" s="105"/>
      <c r="Y9" s="106"/>
      <c r="Z9" s="112"/>
      <c r="AA9" s="113"/>
      <c r="AB9" s="119"/>
      <c r="AC9" s="120"/>
      <c r="AD9" s="120"/>
      <c r="AE9" s="120"/>
      <c r="AF9" s="120"/>
    </row>
    <row r="10" spans="1:32" ht="18.600000000000001" customHeight="1" x14ac:dyDescent="0.25">
      <c r="A10" s="46"/>
      <c r="B10" s="155" t="s">
        <v>504</v>
      </c>
      <c r="C10" s="163">
        <f>Projections_Data!C4</f>
        <v>243453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7"/>
      <c r="X10" s="108"/>
      <c r="Y10" s="109"/>
      <c r="Z10" s="114"/>
      <c r="AA10" s="115"/>
      <c r="AB10" s="119"/>
      <c r="AC10" s="120"/>
      <c r="AD10" s="120"/>
      <c r="AE10" s="120"/>
      <c r="AF10" s="120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588</v>
      </c>
      <c r="C12" s="161">
        <f ca="1">Projections_Data!C6</f>
        <v>196991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1" t="s">
        <v>542</v>
      </c>
      <c r="X13" s="121"/>
      <c r="Y13" s="121"/>
      <c r="Z13" s="121"/>
      <c r="AA13" s="121"/>
    </row>
    <row r="14" spans="1:32" ht="18.600000000000001" customHeight="1" x14ac:dyDescent="0.25">
      <c r="A14" s="46"/>
      <c r="B14" s="155" t="s">
        <v>589</v>
      </c>
      <c r="C14" s="159">
        <f ca="1">Projections_Data!C7</f>
        <v>40536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1"/>
      <c r="X14" s="121"/>
      <c r="Y14" s="121"/>
      <c r="Z14" s="121"/>
      <c r="AA14" s="121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2" t="s">
        <v>543</v>
      </c>
      <c r="X15" s="122"/>
      <c r="Y15" s="122"/>
      <c r="Z15" s="123">
        <v>0.4</v>
      </c>
      <c r="AA15" s="124"/>
    </row>
    <row r="16" spans="1:32" ht="18.600000000000001" customHeight="1" x14ac:dyDescent="0.25">
      <c r="A16" s="46"/>
      <c r="B16" s="155" t="s">
        <v>513</v>
      </c>
      <c r="C16" s="157">
        <f>Projections_Data!C8</f>
        <v>5926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2"/>
      <c r="X16" s="122"/>
      <c r="Y16" s="122"/>
      <c r="Z16" s="124"/>
      <c r="AA16" s="124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2" t="s">
        <v>544</v>
      </c>
      <c r="X17" s="122"/>
      <c r="Y17" s="122"/>
      <c r="Z17" s="123">
        <v>0.25</v>
      </c>
      <c r="AA17" s="124"/>
    </row>
    <row r="18" spans="1:42" ht="18.600000000000001" customHeight="1" x14ac:dyDescent="0.25">
      <c r="A18" s="46"/>
      <c r="B18" s="134" t="s">
        <v>601</v>
      </c>
      <c r="C18" s="136">
        <f ca="1">Projections_Data!C11</f>
        <v>0.13607757863580838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2"/>
      <c r="X18" s="122"/>
      <c r="Y18" s="122"/>
      <c r="Z18" s="124"/>
      <c r="AA18" s="124"/>
    </row>
    <row r="19" spans="1:42" ht="18.600000000000001" customHeight="1" x14ac:dyDescent="0.25">
      <c r="A19" s="46"/>
      <c r="B19" s="135"/>
      <c r="C19" s="13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2" t="s">
        <v>545</v>
      </c>
      <c r="X19" s="122"/>
      <c r="Y19" s="122"/>
      <c r="Z19" s="123">
        <v>0.1</v>
      </c>
      <c r="AA19" s="124"/>
    </row>
    <row r="20" spans="1:42" ht="18.600000000000001" customHeight="1" x14ac:dyDescent="0.25">
      <c r="A20" s="46"/>
      <c r="B20" s="130" t="s">
        <v>506</v>
      </c>
      <c r="C20" s="132">
        <f>Projections_Data!C14</f>
        <v>279768.38130251894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2"/>
      <c r="X20" s="122"/>
      <c r="Y20" s="122"/>
      <c r="Z20" s="124"/>
      <c r="AA20" s="124"/>
    </row>
    <row r="21" spans="1:42" ht="18.600000000000001" customHeight="1" x14ac:dyDescent="0.25">
      <c r="A21" s="46"/>
      <c r="B21" s="131"/>
      <c r="C21" s="133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4" t="s">
        <v>602</v>
      </c>
      <c r="C22" s="165">
        <f ca="1">Projections_Data!C13</f>
        <v>0.2493636656996526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5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603</v>
      </c>
      <c r="C24" s="157">
        <f ca="1">C16*(1+C22)</f>
        <v>7403.7290829361409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613</v>
      </c>
    </row>
    <row r="26" spans="1:42" ht="18.600000000000001" customHeight="1" x14ac:dyDescent="0.25">
      <c r="A26" s="46"/>
      <c r="B26" s="147" t="s">
        <v>623</v>
      </c>
      <c r="C26" s="1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8" t="str">
        <f>"Source: Analysis of John Hopkins University and WHO data.
Data updated: "&amp;TEXT(Projections_Data!C2,"DD/MM/YYYY")&amp;"."</f>
        <v>Source: Analysis of John Hopkins University and WHO data.
Data updated: 02/04/2020.</v>
      </c>
      <c r="C27" s="14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3" t="str">
        <f>Projections_Data!B35</f>
        <v xml:space="preserve">US critically ill projections </v>
      </c>
      <c r="C29" s="14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3"/>
      <c r="C30" s="14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3"/>
      <c r="C31" s="14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5"/>
      <c r="C32" s="14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1" t="s">
        <v>546</v>
      </c>
      <c r="X32" s="121"/>
      <c r="Y32" s="121"/>
      <c r="Z32" s="126"/>
      <c r="AA32" s="126"/>
      <c r="AB32" s="127" t="s">
        <v>547</v>
      </c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1"/>
      <c r="X33" s="121"/>
      <c r="Y33" s="121"/>
      <c r="Z33" s="126"/>
      <c r="AA33" s="126"/>
      <c r="AB33" s="127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</row>
    <row r="34" spans="1:43" ht="15.6" customHeight="1" x14ac:dyDescent="0.25">
      <c r="A34" s="46"/>
      <c r="B34" s="141" t="s">
        <v>464</v>
      </c>
      <c r="C34" s="99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1"/>
      <c r="X34" s="121"/>
      <c r="Y34" s="121"/>
      <c r="Z34" s="126"/>
      <c r="AA34" s="126"/>
      <c r="AB34" s="127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</row>
    <row r="35" spans="1:43" ht="18" customHeight="1" x14ac:dyDescent="0.25">
      <c r="A35" s="46"/>
      <c r="B35" s="141"/>
      <c r="C35" s="9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1"/>
      <c r="X35" s="121"/>
      <c r="Y35" s="121"/>
      <c r="Z35" s="126"/>
      <c r="AA35" s="126"/>
      <c r="AB35" s="127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</row>
    <row r="36" spans="1:43" ht="18" customHeight="1" x14ac:dyDescent="0.25">
      <c r="A36" s="46"/>
      <c r="B36" s="100" t="s">
        <v>518</v>
      </c>
      <c r="C36" s="167">
        <f>Projections_Data!C15</f>
        <v>6.0853634993201969E-2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1"/>
      <c r="X36" s="121"/>
      <c r="Y36" s="121"/>
      <c r="Z36" s="126"/>
      <c r="AA36" s="126"/>
      <c r="AB36" s="127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</row>
    <row r="37" spans="1:43" ht="20.399999999999999" customHeight="1" x14ac:dyDescent="0.25">
      <c r="A37" s="46"/>
      <c r="B37" s="100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00" t="s">
        <v>517</v>
      </c>
      <c r="C38" s="99">
        <f ca="1">Projections!C12*Projections!C36</f>
        <v>11987.618410945848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00"/>
      <c r="C39" s="9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1" t="s">
        <v>464</v>
      </c>
      <c r="X39" s="121"/>
      <c r="Y39" s="121"/>
      <c r="Z39" s="129"/>
      <c r="AA39" s="129"/>
      <c r="AB39" s="125" t="s">
        <v>548</v>
      </c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</row>
    <row r="40" spans="1:43" ht="20.399999999999999" customHeight="1" x14ac:dyDescent="0.25">
      <c r="A40" s="46"/>
      <c r="B40" s="100" t="s">
        <v>487</v>
      </c>
      <c r="C40" s="142">
        <f ca="1">Projections_Data!D31</f>
        <v>43940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1"/>
      <c r="X40" s="121"/>
      <c r="Y40" s="121"/>
      <c r="Z40" s="129"/>
      <c r="AA40" s="129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</row>
    <row r="41" spans="1:43" ht="20.399999999999999" customHeight="1" x14ac:dyDescent="0.25">
      <c r="A41" s="46"/>
      <c r="B41" s="100"/>
      <c r="C41" s="142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1"/>
      <c r="X41" s="121"/>
      <c r="Y41" s="121"/>
      <c r="Z41" s="129"/>
      <c r="AA41" s="129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</row>
    <row r="42" spans="1:43" ht="20.399999999999999" customHeight="1" x14ac:dyDescent="0.25">
      <c r="A42" s="46"/>
      <c r="B42" s="141" t="s">
        <v>488</v>
      </c>
      <c r="C42" s="140">
        <f ca="1">IFERROR(C40-TODAY(),"N/A")</f>
        <v>16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1"/>
      <c r="X42" s="121"/>
      <c r="Y42" s="121"/>
      <c r="Z42" s="129"/>
      <c r="AA42" s="129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</row>
    <row r="43" spans="1:43" ht="18" customHeight="1" x14ac:dyDescent="0.25">
      <c r="A43" s="46"/>
      <c r="B43" s="141"/>
      <c r="C43" s="14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8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8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9"/>
      <c r="C45" s="139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1" t="s">
        <v>540</v>
      </c>
      <c r="X45" s="102"/>
      <c r="Y45" s="103"/>
      <c r="Z45" s="110"/>
      <c r="AA45" s="111"/>
    </row>
    <row r="46" spans="1:43" ht="15.6" customHeight="1" x14ac:dyDescent="0.25">
      <c r="A46" s="46"/>
      <c r="B46" s="139"/>
      <c r="C46" s="139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4"/>
      <c r="X46" s="105"/>
      <c r="Y46" s="106"/>
      <c r="Z46" s="112"/>
      <c r="AA46" s="113"/>
    </row>
    <row r="47" spans="1:43" ht="13.8" customHeight="1" x14ac:dyDescent="0.25">
      <c r="A47" s="46"/>
      <c r="B47" s="139"/>
      <c r="C47" s="139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7"/>
      <c r="X47" s="108"/>
      <c r="Y47" s="109"/>
      <c r="Z47" s="114"/>
      <c r="AA47" s="115"/>
    </row>
    <row r="48" spans="1:43" ht="14.4" customHeight="1" x14ac:dyDescent="0.25">
      <c r="A48" s="46"/>
      <c r="B48" s="139"/>
      <c r="C48" s="139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02/04/2020.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8"/>
      <c r="C50" s="1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8"/>
      <c r="C51" s="1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8"/>
      <c r="C52" s="1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Days_Since_100!$C$5:$C$83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E68" sqref="E68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557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565</v>
      </c>
      <c r="H3" s="65" t="s">
        <v>566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3404</v>
      </c>
      <c r="E4" s="75">
        <f>D4*Projections_Data!$C$15</f>
        <v>207.14577351685949</v>
      </c>
      <c r="F4" s="79">
        <f>VLOOKUP(C4,Country_Data!C:G,5,FALSE)</f>
        <v>18</v>
      </c>
      <c r="G4" s="80">
        <f>IFERROR(VLOOKUP(C4,Days_Since_100!C:G,5,FALSE)-1,0)</f>
        <v>0.12263020919924017</v>
      </c>
      <c r="H4" s="84">
        <f>IFERROR(VLOOKUP(C4,Deaths_since_10!C:G,5,FALSE)-1,0)</f>
        <v>0.3103706971044482</v>
      </c>
      <c r="J4" s="68">
        <f>IFERROR(LOG((M4/E4),1+G4),"")</f>
        <v>28.475350939466995</v>
      </c>
      <c r="K4" s="67">
        <v>29.2</v>
      </c>
      <c r="L4" s="61">
        <f>VLOOKUP(C4,Country_Data!C:J,8,FALSE)</f>
        <v>19116201</v>
      </c>
      <c r="M4" s="60">
        <f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137</v>
      </c>
      <c r="D5" s="75">
        <f>VLOOKUP(C5,Country_Data!B:F,5,FALSE)</f>
        <v>2946</v>
      </c>
      <c r="E5" s="75">
        <f>D5*Projections_Data!$C$15</f>
        <v>179.27480868997301</v>
      </c>
      <c r="F5" s="75">
        <f>VLOOKUP(C5,Country_Data!C:G,5,FALSE)</f>
        <v>57</v>
      </c>
      <c r="G5" s="76">
        <f>IFERROR(VLOOKUP(C5,Days_Since_100!C:G,5,FALSE)-1,0)</f>
        <v>0.12456294464232998</v>
      </c>
      <c r="H5" s="77">
        <f>IFERROR(VLOOKUP(C5,Deaths_since_10!C:G,5,FALSE)-1,0)</f>
        <v>0.2592746769380383</v>
      </c>
      <c r="J5" s="68" t="str">
        <f>IFERROR(LOG((M5/E5),1+G5),"")</f>
        <v/>
      </c>
      <c r="K5" s="67"/>
      <c r="L5" s="61">
        <f>VLOOKUP(C5,Country_Data!C:J,8,FALSE)</f>
        <v>37846611</v>
      </c>
      <c r="M5" s="60">
        <f>(L5/100000)*K5</f>
        <v>0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38</v>
      </c>
      <c r="D6" s="75">
        <f>VLOOKUP(C6,Country_Data!B:F,5,FALSE)</f>
        <v>243453</v>
      </c>
      <c r="E6" s="75">
        <f>D6*Projections_Data!$C$15</f>
        <v>14814.999999999998</v>
      </c>
      <c r="F6" s="75">
        <f>VLOOKUP(C6,Country_Data!C:G,5,FALSE)</f>
        <v>5926</v>
      </c>
      <c r="G6" s="76">
        <f>IFERROR(VLOOKUP(C6,Days_Since_100!C:G,5,FALSE)-1,0)</f>
        <v>0.14916793509432602</v>
      </c>
      <c r="H6" s="77">
        <f>IFERROR(VLOOKUP(C6,Deaths_since_10!C:G,5,FALSE)-1,0)</f>
        <v>0.23943695588837666</v>
      </c>
      <c r="J6" s="68" t="str">
        <f>IFERROR(LOG((M6/E6),1+G6),"")</f>
        <v/>
      </c>
      <c r="K6" s="67"/>
      <c r="L6" s="61">
        <f>VLOOKUP(C6,Country_Data!C:J,8,FALSE)</f>
        <v>331002651</v>
      </c>
      <c r="M6" s="60">
        <f>(L6/100000)*K6</f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81</v>
      </c>
      <c r="D7" s="75">
        <f>VLOOKUP(C7,Country_Data!B:F,5,FALSE)</f>
        <v>8044</v>
      </c>
      <c r="E7" s="75">
        <f>D7*Projections_Data!$C$15</f>
        <v>489.50663988531664</v>
      </c>
      <c r="F7" s="75">
        <f>VLOOKUP(C7,Country_Data!C:G,5,FALSE)</f>
        <v>324</v>
      </c>
      <c r="G7" s="76">
        <f>IFERROR(VLOOKUP(C7,Days_Since_100!C:G,5,FALSE)-1,0)</f>
        <v>0.15555986793608723</v>
      </c>
      <c r="H7" s="77">
        <f>IFERROR(VLOOKUP(C7,Deaths_since_10!C:G,5,FALSE)-1,0)</f>
        <v>0.23892325902518619</v>
      </c>
      <c r="J7" s="68">
        <f>IFERROR(LOG((M7/E7),1+G7),"")</f>
        <v>20.081570980665944</v>
      </c>
      <c r="K7" s="67">
        <v>4.2</v>
      </c>
      <c r="L7" s="61">
        <f>VLOOKUP(C7,Country_Data!C:J,8,FALSE)</f>
        <v>212559417</v>
      </c>
      <c r="M7" s="60">
        <f>(L7/100000)*K7</f>
        <v>8927.4955140000002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349</v>
      </c>
      <c r="D8" s="75">
        <f>VLOOKUP(C8,Country_Data!B:F,5,FALSE)</f>
        <v>34173</v>
      </c>
      <c r="E8" s="75">
        <f>D8*Projections_Data!$C$15</f>
        <v>2079.5512686226907</v>
      </c>
      <c r="F8" s="75">
        <f>VLOOKUP(C8,Country_Data!C:G,5,FALSE)</f>
        <v>2926</v>
      </c>
      <c r="G8" s="76">
        <f>IFERROR(VLOOKUP(C8,Days_Since_100!C:G,5,FALSE)-1,0)</f>
        <v>0.14569013243420326</v>
      </c>
      <c r="H8" s="77">
        <f>IFERROR(VLOOKUP(C8,Deaths_since_10!C:G,5,FALSE)-1,0)</f>
        <v>0.23438238599839045</v>
      </c>
      <c r="J8" s="68">
        <f>IFERROR(LOG((M8/E8),1+G8),"")</f>
        <v>14.428778524820148</v>
      </c>
      <c r="K8" s="67">
        <v>21.8</v>
      </c>
      <c r="L8" s="61">
        <f>VLOOKUP(C8,Country_Data!C:J,8,FALSE)</f>
        <v>67886011</v>
      </c>
      <c r="M8" s="60">
        <f>(L8/100000)*K8</f>
        <v>14799.150398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63</v>
      </c>
      <c r="D9" s="75">
        <f>VLOOKUP(C9,Country_Data!B:F,5,FALSE)</f>
        <v>15348</v>
      </c>
      <c r="E9" s="75">
        <f>D9*Projections_Data!$C$15</f>
        <v>933.98158987566387</v>
      </c>
      <c r="F9" s="75">
        <f>VLOOKUP(C9,Country_Data!C:G,5,FALSE)</f>
        <v>1011</v>
      </c>
      <c r="G9" s="76">
        <f>IFERROR(VLOOKUP(C9,Days_Since_100!C:G,5,FALSE)-1,0)</f>
        <v>0.10937444291942522</v>
      </c>
      <c r="H9" s="77">
        <f>IFERROR(VLOOKUP(C9,Deaths_since_10!C:G,5,FALSE)-1,0)</f>
        <v>0.23422770256255565</v>
      </c>
      <c r="J9" s="68">
        <f>IFERROR(LOG((M9/E9),1+G9),"")</f>
        <v>-12.079934300695442</v>
      </c>
      <c r="K9" s="67">
        <v>2.2999999999999998</v>
      </c>
      <c r="L9" s="61">
        <f>VLOOKUP(C9,Country_Data!C:J,8,FALSE)</f>
        <v>11589623</v>
      </c>
      <c r="M9" s="60">
        <f>(L9/100000)*K9</f>
        <v>266.561329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53</v>
      </c>
      <c r="D10" s="75">
        <f>VLOOKUP(C10,Country_Data!B:F,5,FALSE)</f>
        <v>84794</v>
      </c>
      <c r="E10" s="75">
        <f>D10*Projections_Data!$C$15</f>
        <v>5160.0231256135676</v>
      </c>
      <c r="F10" s="75">
        <f>VLOOKUP(C10,Country_Data!C:G,5,FALSE)</f>
        <v>1107</v>
      </c>
      <c r="G10" s="76">
        <f>IFERROR(VLOOKUP(C10,Days_Since_100!C:G,5,FALSE)-1,0)</f>
        <v>8.0053799434025796E-2</v>
      </c>
      <c r="H10" s="77">
        <f>IFERROR(VLOOKUP(C10,Deaths_since_10!C:G,5,FALSE)-1,0)</f>
        <v>0.20651283102474283</v>
      </c>
      <c r="J10" s="68" t="str">
        <f>IFERROR(LOG((M10/E10),1+G10),"")</f>
        <v/>
      </c>
      <c r="K10" s="67"/>
      <c r="L10" s="61">
        <f>VLOOKUP(C10,Country_Data!C:J,8,FALSE)</f>
        <v>83783942</v>
      </c>
      <c r="M10" s="60">
        <f>(L10/100000)*K10</f>
        <v>0</v>
      </c>
      <c r="O10" s="59">
        <f t="array" ref="O10">IF(OR(C10=$Q$4:$Q$22),1,0)</f>
        <v>1</v>
      </c>
    </row>
    <row r="11" spans="2:18" s="59" customFormat="1" ht="13.8" customHeight="1" x14ac:dyDescent="0.3">
      <c r="B11" s="66">
        <f t="shared" si="0"/>
        <v>8</v>
      </c>
      <c r="C11" s="62" t="s">
        <v>103</v>
      </c>
      <c r="D11" s="75">
        <f>VLOOKUP(C11,Country_Data!B:F,5,FALSE)</f>
        <v>3163</v>
      </c>
      <c r="E11" s="75">
        <f>D11*Projections_Data!$C$15</f>
        <v>192.48004748349783</v>
      </c>
      <c r="F11" s="75">
        <f>VLOOKUP(C11,Country_Data!C:G,5,FALSE)</f>
        <v>120</v>
      </c>
      <c r="G11" s="76">
        <f>IFERROR(VLOOKUP(C11,Days_Since_100!C:G,5,FALSE)-1,0)</f>
        <v>0.11650971071983363</v>
      </c>
      <c r="H11" s="77">
        <f>IFERROR(VLOOKUP(C11,Deaths_since_10!C:G,5,FALSE)-1,0)</f>
        <v>0.20112443398143132</v>
      </c>
      <c r="J11" s="68" t="str">
        <f>IFERROR(LOG((M11/E11),1+G11),"")</f>
        <v/>
      </c>
      <c r="K11" s="67"/>
      <c r="L11" s="61">
        <f>VLOOKUP(C11,Country_Data!C:J,8,FALSE)</f>
        <v>17643054</v>
      </c>
      <c r="M11" s="60"/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41</v>
      </c>
      <c r="D12" s="75">
        <f>VLOOKUP(C12,Country_Data!B:F,5,FALSE)</f>
        <v>59929</v>
      </c>
      <c r="E12" s="75">
        <f>D12*Projections_Data!$C$15</f>
        <v>3646.897491507601</v>
      </c>
      <c r="F12" s="75">
        <f>VLOOKUP(C12,Country_Data!C:G,5,FALSE)</f>
        <v>5398</v>
      </c>
      <c r="G12" s="76">
        <f>IFERROR(VLOOKUP(C12,Days_Since_100!C:G,5,FALSE)-1,0)</f>
        <v>9.4790481884560851E-2</v>
      </c>
      <c r="H12" s="77">
        <f>IFERROR(VLOOKUP(C12,Deaths_since_10!C:G,5,FALSE)-1,0)</f>
        <v>0.18429901831495421</v>
      </c>
      <c r="J12" s="68">
        <f>IFERROR(LOG((M12/E12),1+G12),"")</f>
        <v>1.4999204684566434</v>
      </c>
      <c r="K12" s="67">
        <v>6.4</v>
      </c>
      <c r="L12" s="61">
        <f>VLOOKUP(C12,Country_Data!C:J,8,FALSE)</f>
        <v>65273511</v>
      </c>
      <c r="M12" s="60">
        <f>(L12/100000)*K12</f>
        <v>4177.5047039999999</v>
      </c>
      <c r="O12" s="59">
        <f t="array" ref="O12">IF(OR(C12=$Q$4:$Q$22),1,0)</f>
        <v>1</v>
      </c>
    </row>
    <row r="13" spans="2:18" s="59" customFormat="1" ht="13.8" customHeight="1" x14ac:dyDescent="0.2">
      <c r="B13" s="66">
        <f t="shared" si="0"/>
        <v>10</v>
      </c>
      <c r="C13" s="62" t="s">
        <v>78</v>
      </c>
      <c r="D13" s="75">
        <f>VLOOKUP(C13,Country_Data!B:F,5,FALSE)</f>
        <v>11129</v>
      </c>
      <c r="E13" s="75">
        <f>D13*Projections_Data!$C$15</f>
        <v>677.24010383934467</v>
      </c>
      <c r="F13" s="75">
        <f>VLOOKUP(C13,Country_Data!C:G,5,FALSE)</f>
        <v>158</v>
      </c>
      <c r="G13" s="76">
        <f>IFERROR(VLOOKUP(C13,Days_Since_100!C:G,5,FALSE)-1,0)</f>
        <v>6.1156953692881988E-2</v>
      </c>
      <c r="H13" s="77">
        <f>IFERROR(VLOOKUP(C13,Deaths_since_10!C:G,5,FALSE)-1,0)</f>
        <v>0.18366725882841539</v>
      </c>
      <c r="I13" s="58"/>
      <c r="J13" s="68" t="str">
        <f>IFERROR(LOG((M13/E13),1+G13),"")</f>
        <v/>
      </c>
      <c r="K13" s="67">
        <v>12.2</v>
      </c>
      <c r="L13" s="61">
        <f>VLOOKUP(C13,Country_Data!C:J,8,FALSE)</f>
        <v>9006398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45</v>
      </c>
      <c r="D14" s="75">
        <f>VLOOKUP(C14,Country_Data!B:F,5,FALSE)</f>
        <v>11284</v>
      </c>
      <c r="E14" s="75">
        <f>D14*Projections_Data!$C$15</f>
        <v>686.67241726329098</v>
      </c>
      <c r="F14" s="75">
        <f>VLOOKUP(C14,Country_Data!C:G,5,FALSE)</f>
        <v>139</v>
      </c>
      <c r="G14" s="76">
        <f>IFERROR(VLOOKUP(C14,Days_Since_100!C:G,5,FALSE)-1,0)</f>
        <v>0.15140487121149482</v>
      </c>
      <c r="H14" s="77">
        <f>IFERROR(VLOOKUP(C14,Deaths_since_10!C:G,5,FALSE)-1,0)</f>
        <v>0.17906295112706538</v>
      </c>
      <c r="J14" s="68">
        <f>IFERROR(LOG((M14/E14),1+G14),"")</f>
        <v>9.4552423669514845</v>
      </c>
      <c r="K14" s="67">
        <v>6.9</v>
      </c>
      <c r="L14" s="61">
        <f>VLOOKUP(C14,Country_Data!C:J,8,FALSE)</f>
        <v>37742154</v>
      </c>
      <c r="M14" s="60">
        <f>(L14/100000)*K14</f>
        <v>2604.2086260000001</v>
      </c>
      <c r="O14" s="59">
        <f t="array" ref="O14">IF(OR(C14=$Q$4:$Q$22),1,0)</f>
        <v>0</v>
      </c>
      <c r="P14" s="95" t="s">
        <v>592</v>
      </c>
      <c r="Q14" s="96">
        <v>20</v>
      </c>
      <c r="R14" s="95" t="s">
        <v>593</v>
      </c>
    </row>
    <row r="15" spans="2:18" s="59" customFormat="1" ht="13.8" customHeight="1" x14ac:dyDescent="0.3">
      <c r="B15" s="66">
        <f t="shared" si="0"/>
        <v>12</v>
      </c>
      <c r="C15" s="62" t="s">
        <v>89</v>
      </c>
      <c r="D15" s="75">
        <f>VLOOKUP(C15,Country_Data!B:F,5,FALSE)</f>
        <v>14788</v>
      </c>
      <c r="E15" s="75">
        <f>D15*Projections_Data!$C$15</f>
        <v>899.90355427947077</v>
      </c>
      <c r="F15" s="75">
        <f>VLOOKUP(C15,Country_Data!C:G,5,FALSE)</f>
        <v>1341</v>
      </c>
      <c r="G15" s="76">
        <f>IFERROR(VLOOKUP(C15,Days_Since_100!C:G,5,FALSE)-1,0)</f>
        <v>8.534656569517507E-2</v>
      </c>
      <c r="H15" s="77">
        <f>IFERROR(VLOOKUP(C15,Deaths_since_10!C:G,5,FALSE)-1,0)</f>
        <v>0.15944395538235612</v>
      </c>
      <c r="J15" s="68" t="str">
        <f>IFERROR(LOG((M15/E15),1+G15),"")</f>
        <v/>
      </c>
      <c r="K15" s="67"/>
      <c r="L15" s="61">
        <f>VLOOKUP(C15,Country_Data!C:J,8,FALSE)</f>
        <v>17134872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108</v>
      </c>
      <c r="D16" s="75">
        <f>VLOOKUP(C16,Country_Data!B:F,5,FALSE)</f>
        <v>9034</v>
      </c>
      <c r="E16" s="75">
        <f>D16*Projections_Data!$C$15</f>
        <v>549.75173852858654</v>
      </c>
      <c r="F16" s="75">
        <f>VLOOKUP(C16,Country_Data!C:G,5,FALSE)</f>
        <v>209</v>
      </c>
      <c r="G16" s="76">
        <f>IFERROR(VLOOKUP(C16,Days_Since_100!C:G,5,FALSE)-1,0)</f>
        <v>0.11809294880422572</v>
      </c>
      <c r="H16" s="77">
        <f>IFERROR(VLOOKUP(C16,Deaths_since_10!C:G,5,FALSE)-1,0)</f>
        <v>0.15885542242122619</v>
      </c>
      <c r="J16" s="68">
        <f>IFERROR(LOG((M16/E16),1+G16),"")</f>
        <v>6.8639801618450456</v>
      </c>
      <c r="K16" s="67">
        <v>11.6</v>
      </c>
      <c r="L16" s="61">
        <f>VLOOKUP(C16,Country_Data!C:J,8,FALSE)</f>
        <v>10196709</v>
      </c>
      <c r="M16" s="60">
        <f>(L16/100000)*K16</f>
        <v>1182.818244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77</v>
      </c>
      <c r="D17" s="75">
        <f>VLOOKUP(C17,Country_Data!B:F,5,FALSE)</f>
        <v>18827</v>
      </c>
      <c r="E17" s="75">
        <f>D17*Projections_Data!$C$15</f>
        <v>1145.6913860170134</v>
      </c>
      <c r="F17" s="75">
        <f>VLOOKUP(C17,Country_Data!C:G,5,FALSE)</f>
        <v>536</v>
      </c>
      <c r="G17" s="76">
        <f>IFERROR(VLOOKUP(C17,Days_Since_100!C:G,5,FALSE)-1,0)</f>
        <v>5.9888970743894321E-2</v>
      </c>
      <c r="H17" s="77">
        <f>IFERROR(VLOOKUP(C17,Deaths_since_10!C:G,5,FALSE)-1,0)</f>
        <v>0.15215835248897069</v>
      </c>
      <c r="J17" s="68" t="str">
        <f>IFERROR(LOG((M17/E17),1+G17),"")</f>
        <v/>
      </c>
      <c r="K17" s="67"/>
      <c r="L17" s="61">
        <f>VLOOKUP(C17,Country_Data!C:J,8,FALSE)</f>
        <v>8654622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43</v>
      </c>
      <c r="D18" s="75">
        <f>VLOOKUP(C18,Country_Data!B:F,5,FALSE)</f>
        <v>3116</v>
      </c>
      <c r="E18" s="75">
        <f>D18*Projections_Data!$C$15</f>
        <v>189.61992663881733</v>
      </c>
      <c r="F18" s="75">
        <f>VLOOKUP(C18,Country_Data!C:G,5,FALSE)</f>
        <v>50</v>
      </c>
      <c r="G18" s="76">
        <f>IFERROR(VLOOKUP(C18,Days_Since_100!C:G,5,FALSE)-1,0)</f>
        <v>6.0771621875591819E-2</v>
      </c>
      <c r="H18" s="77">
        <f>IFERROR(VLOOKUP(C18,Deaths_since_10!C:G,5,FALSE)-1,0)</f>
        <v>0.13115273009052952</v>
      </c>
      <c r="J18" s="68">
        <f>IFERROR(LOG((M18/E18),1+G18),"")</f>
        <v>60.987641559741618</v>
      </c>
      <c r="K18" s="67">
        <v>21.4</v>
      </c>
      <c r="L18" s="61">
        <f>VLOOKUP(C18,Country_Data!C:J,8,FALSE)</f>
        <v>32365999</v>
      </c>
      <c r="M18" s="60">
        <f>(L18/100000)*K18</f>
        <v>6926.323785999999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60</v>
      </c>
      <c r="D19" s="75">
        <f>VLOOKUP(C19,Country_Data!B:F,5,FALSE)</f>
        <v>112065</v>
      </c>
      <c r="E19" s="75">
        <f>D19*Projections_Data!$C$15</f>
        <v>6819.5626055131788</v>
      </c>
      <c r="F19" s="75">
        <f>VLOOKUP(C19,Country_Data!C:G,5,FALSE)</f>
        <v>10348</v>
      </c>
      <c r="G19" s="76">
        <f>IFERROR(VLOOKUP(C19,Days_Since_100!C:G,5,FALSE)-1,0)</f>
        <v>8.880538947534844E-2</v>
      </c>
      <c r="H19" s="77">
        <f>IFERROR(VLOOKUP(C19,Deaths_since_10!C:G,5,FALSE)-1,0)</f>
        <v>0.11584019674275692</v>
      </c>
      <c r="J19" s="68">
        <f>IFERROR(LOG((M19/E19),1+G19),"")</f>
        <v>-9.3202745548368267</v>
      </c>
      <c r="K19" s="67">
        <v>6.6</v>
      </c>
      <c r="L19" s="61">
        <f>VLOOKUP(C19,Country_Data!C:J,8,FALSE)</f>
        <v>46754778</v>
      </c>
      <c r="M19" s="60">
        <f>(L19/100000)*K19</f>
        <v>3085.8153479999996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0"/>
        <v>17</v>
      </c>
      <c r="C20" s="62" t="s">
        <v>107</v>
      </c>
      <c r="D20" s="75">
        <f>VLOOKUP(C20,Country_Data!B:F,5,FALSE)</f>
        <v>1790</v>
      </c>
      <c r="E20" s="75">
        <f>D20*Projections_Data!$C$15</f>
        <v>108.92800663783153</v>
      </c>
      <c r="F20" s="75">
        <f>VLOOKUP(C20,Country_Data!C:G,5,FALSE)</f>
        <v>170</v>
      </c>
      <c r="G20" s="76">
        <f>IFERROR(VLOOKUP(C20,Days_Since_100!C:G,5,FALSE)-1,0)</f>
        <v>9.157658032662086E-2</v>
      </c>
      <c r="H20" s="77">
        <f>IFERROR(VLOOKUP(C20,Deaths_since_10!C:G,5,FALSE)-1,0)</f>
        <v>0.10756634324829006</v>
      </c>
      <c r="J20" s="68" t="str">
        <f>IFERROR(LOG((M20/E20),1+G20),"")</f>
        <v/>
      </c>
      <c r="K20" s="67"/>
      <c r="L20" s="61">
        <f>VLOOKUP(C20,Country_Data!C:J,8,FALSE)</f>
        <v>273523615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56</v>
      </c>
      <c r="D21" s="75">
        <f>VLOOKUP(C21,Country_Data!B:F,5,FALSE)</f>
        <v>2633</v>
      </c>
      <c r="E21" s="75">
        <f>D21*Projections_Data!$C$15</f>
        <v>160.2276209371008</v>
      </c>
      <c r="F21" s="75">
        <f>VLOOKUP(C21,Country_Data!C:G,5,FALSE)</f>
        <v>107</v>
      </c>
      <c r="G21" s="76">
        <f>IFERROR(VLOOKUP(C21,Days_Since_100!C:G,5,FALSE)-1,0)</f>
        <v>0.19621289290278576</v>
      </c>
      <c r="H21" s="77">
        <f>IFERROR(VLOOKUP(C21,Deaths_since_10!C:G,5,FALSE)-1,0)</f>
        <v>9.4901303982790397E-2</v>
      </c>
      <c r="J21" s="68">
        <f>IFERROR(LOG((M21/E21),1+G21),"")</f>
        <v>24.829018928434213</v>
      </c>
      <c r="K21" s="67">
        <v>12.5</v>
      </c>
      <c r="L21" s="61">
        <f>VLOOKUP(C21,Country_Data!C:J,8,FALSE)</f>
        <v>109581078</v>
      </c>
      <c r="M21" s="60">
        <f>(L21/100000)*K21</f>
        <v>13697.634750000001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58</v>
      </c>
      <c r="D22" s="75">
        <f>VLOOKUP(C22,Country_Data!B:F,5,FALSE)</f>
        <v>115242</v>
      </c>
      <c r="E22" s="75">
        <f>D22*Projections_Data!$C$15</f>
        <v>7012.8946038865815</v>
      </c>
      <c r="F22" s="75">
        <f>VLOOKUP(C22,Country_Data!C:G,5,FALSE)</f>
        <v>13915</v>
      </c>
      <c r="G22" s="76">
        <f>IFERROR(VLOOKUP(C22,Days_Since_100!C:G,5,FALSE)-1,0)</f>
        <v>4.5009183934016761E-2</v>
      </c>
      <c r="H22" s="77">
        <f>IFERROR(VLOOKUP(C22,Deaths_since_10!C:G,5,FALSE)-1,0)</f>
        <v>6.7817652484895463E-2</v>
      </c>
      <c r="J22" s="68">
        <f>IFERROR(LOG((M22/E22),1+G22),"")</f>
        <v>-14.971924549342781</v>
      </c>
      <c r="K22" s="67">
        <v>6</v>
      </c>
      <c r="L22" s="61">
        <f>VLOOKUP(C22,Country_Data!C:J,8,FALSE)</f>
        <v>60461826</v>
      </c>
      <c r="M22" s="60">
        <f>(L22/100000)*K22</f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1462</v>
      </c>
      <c r="E23" s="75">
        <f>D23*Projections_Data!$C$15</f>
        <v>88.968014360061275</v>
      </c>
      <c r="F23" s="75">
        <f>VLOOKUP(C23,Country_Data!C:G,5,FALSE)</f>
        <v>5</v>
      </c>
      <c r="G23" s="76">
        <f>IFERROR(VLOOKUP(C23,Days_Since_100!C:G,5,FALSE)-1,0)</f>
        <v>4.2555852859412102E-2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2487</v>
      </c>
      <c r="E24" s="75">
        <f>D24*Projections_Data!$C$15</f>
        <v>151.3429902280933</v>
      </c>
      <c r="F24" s="75">
        <f>VLOOKUP(C24,Country_Data!C:G,5,FALSE)</f>
        <v>30</v>
      </c>
      <c r="G24" s="76">
        <f>IFERROR(VLOOKUP(C24,Days_Since_100!C:G,5,FALSE)-1,0)</f>
        <v>6.3157208559074807E-2</v>
      </c>
      <c r="H24" s="77">
        <f>IFERROR(VLOOKUP(C24,Deaths_since_10!C:G,5,FALSE)-1,0)</f>
        <v>0.10756634324829006</v>
      </c>
      <c r="J24" s="68">
        <f t="shared" ref="J24:J43" si="1">IFERROR(LOG((M24/E24),1+G24),"")</f>
        <v>0.41539413252822865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1875</v>
      </c>
      <c r="E25" s="75">
        <f>D25*Projections_Data!$C$15</f>
        <v>114.10056561225369</v>
      </c>
      <c r="F25" s="75">
        <f>VLOOKUP(C25,Country_Data!C:G,5,FALSE)</f>
        <v>15</v>
      </c>
      <c r="G25" s="76">
        <f>IFERROR(VLOOKUP(C25,Days_Since_100!C:G,5,FALSE)-1,0)</f>
        <v>8.5341436927813152E-2</v>
      </c>
      <c r="H25" s="77">
        <f>IFERROR(VLOOKUP(C25,Deaths_since_10!C:G,5,FALSE)-1,0)</f>
        <v>0.1856311014966876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5116</v>
      </c>
      <c r="E26" s="75">
        <f>D26*Projections_Data!$C$15</f>
        <v>311.32719662522129</v>
      </c>
      <c r="F26" s="75">
        <f>VLOOKUP(C26,Country_Data!C:G,5,FALSE)</f>
        <v>24</v>
      </c>
      <c r="G26" s="76">
        <f>IFERROR(VLOOKUP(C26,Days_Since_100!C:G,5,FALSE)-1,0)</f>
        <v>7.0448629399903373E-2</v>
      </c>
      <c r="H26" s="77">
        <f>IFERROR(VLOOKUP(C26,Deaths_since_10!C:G,5,FALSE)-1,0)</f>
        <v>0.11382417860287908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2738</v>
      </c>
      <c r="E27" s="75">
        <f>D27*Projections_Data!$C$15</f>
        <v>166.61725261138699</v>
      </c>
      <c r="F27" s="75">
        <f>VLOOKUP(C27,Country_Data!C:G,5,FALSE)</f>
        <v>115</v>
      </c>
      <c r="G27" s="76">
        <f>IFERROR(VLOOKUP(C27,Days_Since_100!C:G,5,FALSE)-1,0)</f>
        <v>0.13525484877300498</v>
      </c>
      <c r="H27" s="77">
        <f>IFERROR(VLOOKUP(C27,Deaths_since_10!C:G,5,FALSE)-1,0)</f>
        <v>0.25458249401499078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6857</v>
      </c>
      <c r="E28" s="75">
        <f>D28*Projections_Data!$C$15</f>
        <v>417.27337514838592</v>
      </c>
      <c r="F28" s="75">
        <f>VLOOKUP(C28,Country_Data!C:G,5,FALSE)</f>
        <v>36</v>
      </c>
      <c r="G28" s="76">
        <f>IFERROR(VLOOKUP(C28,Days_Since_100!C:G,5,FALSE)-1,0)</f>
        <v>0.13634214251491206</v>
      </c>
      <c r="H28" s="77">
        <f>IFERROR(VLOOKUP(C28,Deaths_since_10!C:G,5,FALSE)-1,0)</f>
        <v>0.2457309396155174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1885</v>
      </c>
      <c r="E29" s="75">
        <f>D29*Projections_Data!$C$15</f>
        <v>114.70910196218571</v>
      </c>
      <c r="F29" s="75">
        <f>VLOOKUP(C29,Country_Data!C:G,5,FALSE)</f>
        <v>21</v>
      </c>
      <c r="G29" s="76">
        <f>IFERROR(VLOOKUP(C29,Days_Since_100!C:G,5,FALSE)-1,0)</f>
        <v>9.3979403217067103E-2</v>
      </c>
      <c r="H29" s="77">
        <f>IFERROR(VLOOKUP(C29,Deaths_since_10!C:G,5,FALSE)-1,0)</f>
        <v>0.27286494751091528</v>
      </c>
      <c r="J29" s="68">
        <f t="shared" si="1"/>
        <v>37.655943334980051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2543</v>
      </c>
      <c r="E30" s="75">
        <f>D30*Projections_Data!$C$15</f>
        <v>154.75079378771261</v>
      </c>
      <c r="F30" s="75">
        <f>VLOOKUP(C30,Country_Data!C:G,5,FALSE)</f>
        <v>72</v>
      </c>
      <c r="G30" s="76">
        <f>IFERROR(VLOOKUP(C30,Days_Since_100!C:G,5,FALSE)-1,0)</f>
        <v>0.20838643538415691</v>
      </c>
      <c r="H30" s="77">
        <f>IFERROR(VLOOKUP(C30,Deaths_since_10!C:G,5,FALSE)-1,0)</f>
        <v>0.2457309396155174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3548</v>
      </c>
      <c r="E31" s="75">
        <f>D31*Projections_Data!$C$15</f>
        <v>215.90869695588057</v>
      </c>
      <c r="F31" s="75">
        <f>VLOOKUP(C31,Country_Data!C:G,5,FALSE)</f>
        <v>30</v>
      </c>
      <c r="G31" s="76">
        <f>IFERROR(VLOOKUP(C31,Days_Since_100!C:G,5,FALSE)-1,0)</f>
        <v>0.22927006943358963</v>
      </c>
      <c r="H31" s="77">
        <f>IFERROR(VLOOKUP(C31,Deaths_since_10!C:G,5,FALSE)-1,0)</f>
        <v>0.39157884185687042</v>
      </c>
      <c r="J31" s="68">
        <f t="shared" si="1"/>
        <v>18.325158094720084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3849</v>
      </c>
      <c r="E32" s="75">
        <f>D32*Projections_Data!$C$15</f>
        <v>234.22564108883438</v>
      </c>
      <c r="F32" s="75">
        <f>VLOOKUP(C32,Country_Data!C:G,5,FALSE)</f>
        <v>98</v>
      </c>
      <c r="G32" s="76">
        <f>IFERROR(VLOOKUP(C32,Days_Since_100!C:G,5,FALSE)-1,0)</f>
        <v>9.7706296126990333E-2</v>
      </c>
      <c r="H32" s="77">
        <f>IFERROR(VLOOKUP(C32,Deaths_since_10!C:G,5,FALSE)-1,0)</f>
        <v>0.22175665962439473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2421</v>
      </c>
      <c r="E33" s="75">
        <f>D33*Projections_Data!$C$15</f>
        <v>147.32665031854197</v>
      </c>
      <c r="F33" s="75">
        <f>VLOOKUP(C33,Country_Data!C:G,5,FALSE)</f>
        <v>34</v>
      </c>
      <c r="G33" s="76">
        <f>IFERROR(VLOOKUP(C33,Days_Since_100!C:G,5,FALSE)-1,0)</f>
        <v>0.10121145246944896</v>
      </c>
      <c r="H33" s="77">
        <f>IFERROR(VLOOKUP(C33,Deaths_since_10!C:G,5,FALSE)-1,0)</f>
        <v>0.23157122757056103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458</v>
      </c>
      <c r="E34" s="75">
        <f>D34*Projections_Data!$C$15</f>
        <v>27.870964826886503</v>
      </c>
      <c r="F34" s="75">
        <f>VLOOKUP(C34,Country_Data!C:G,5,FALSE)</f>
        <v>0</v>
      </c>
      <c r="G34" s="76">
        <f>IFERROR(VLOOKUP(C34,Days_Since_100!C:G,5,FALSE)-1,0)</f>
        <v>8.4708710650335917E-2</v>
      </c>
      <c r="H34" s="77">
        <f>IFERROR(VLOOKUP(C34,Deaths_since_10!C:G,5,FALSE)-1,0)</f>
        <v>0</v>
      </c>
      <c r="J34" s="68">
        <f t="shared" si="1"/>
        <v>24.688494561805364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494</v>
      </c>
      <c r="E35" s="75">
        <f>D35*Projections_Data!$C$15</f>
        <v>30.061695686641773</v>
      </c>
      <c r="F35" s="75">
        <f>VLOOKUP(C35,Country_Data!C:G,5,FALSE)</f>
        <v>16</v>
      </c>
      <c r="G35" s="76">
        <f>IFERROR(VLOOKUP(C35,Days_Since_100!C:G,5,FALSE)-1,0)</f>
        <v>3.6969413431227727E-2</v>
      </c>
      <c r="H35" s="77">
        <f>IFERROR(VLOOKUP(C35,Deaths_since_10!C:G,5,FALSE)-1,0)</f>
        <v>0.1486983549970351</v>
      </c>
      <c r="J35" s="68">
        <f t="shared" si="1"/>
        <v>72.39954332213847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339</v>
      </c>
      <c r="E36" s="75">
        <f>D36*Projections_Data!$C$15</f>
        <v>20.629382262695469</v>
      </c>
      <c r="F36" s="75">
        <f>VLOOKUP(C36,Country_Data!C:G,5,FALSE)</f>
        <v>5</v>
      </c>
      <c r="G36" s="76">
        <f>IFERROR(VLOOKUP(C36,Days_Since_100!C:G,5,FALSE)-1,0)</f>
        <v>3.6770550458025353E-2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1518</v>
      </c>
      <c r="E37" s="75">
        <f>D37*Projections_Data!$C$15</f>
        <v>92.375817919680586</v>
      </c>
      <c r="F37" s="75">
        <f>VLOOKUP(C37,Country_Data!C:G,5,FALSE)</f>
        <v>19</v>
      </c>
      <c r="G37" s="76">
        <f>IFERROR(VLOOKUP(C37,Days_Since_100!C:G,5,FALSE)-1,0)</f>
        <v>5.3998961825934666E-2</v>
      </c>
      <c r="H37" s="77">
        <f>IFERROR(VLOOKUP(C37,Deaths_since_10!C:G,5,FALSE)-1,0)</f>
        <v>0.16118714233316211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457</v>
      </c>
      <c r="E38" s="75">
        <f>D38*Projections_Data!$C$15</f>
        <v>27.810111191893299</v>
      </c>
      <c r="F38" s="75">
        <f>VLOOKUP(C38,Country_Data!C:G,5,FALSE)</f>
        <v>10</v>
      </c>
      <c r="G38" s="76">
        <f>IFERROR(VLOOKUP(C38,Days_Since_100!C:G,5,FALSE)-1,0)</f>
        <v>6.6639447777535388E-2</v>
      </c>
      <c r="H38" s="77">
        <f>IFERROR(VLOOKUP(C38,Deaths_since_10!C:G,5,FALSE)-1,0)</f>
        <v>5.7371263440564091E-2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1319</v>
      </c>
      <c r="E39" s="75">
        <f>D39*Projections_Data!$C$15</f>
        <v>80.265944556033404</v>
      </c>
      <c r="F39" s="75">
        <f>VLOOKUP(C39,Country_Data!C:G,5,FALSE)</f>
        <v>5</v>
      </c>
      <c r="G39" s="76">
        <f>IFERROR(VLOOKUP(C39,Days_Since_100!C:G,5,FALSE)-1,0)</f>
        <v>6.4936473603633305E-2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1319</v>
      </c>
      <c r="E40" s="75">
        <f>D40*Projections_Data!$C$15</f>
        <v>80.265944556033404</v>
      </c>
      <c r="F40" s="75">
        <f>VLOOKUP(C40,Country_Data!C:G,5,FALSE)</f>
        <v>5</v>
      </c>
      <c r="G40" s="76">
        <f>IFERROR(VLOOKUP(C40,Days_Since_100!C:G,5,FALSE)-1,0)</f>
        <v>6.4936473603633305E-2</v>
      </c>
      <c r="H40" s="77">
        <f>IFERROR(VLOOKUP(C40,Deaths_since_10!C:G,5,FALSE)-1,0)</f>
        <v>0</v>
      </c>
      <c r="J40" s="68">
        <f t="shared" si="1"/>
        <v>-6.2242827511195946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1414</v>
      </c>
      <c r="E41" s="75">
        <f>D41*Projections_Data!$C$15</f>
        <v>86.047039880387587</v>
      </c>
      <c r="F41" s="75">
        <f>VLOOKUP(C41,Country_Data!C:G,5,FALSE)</f>
        <v>55</v>
      </c>
      <c r="G41" s="76">
        <f>IFERROR(VLOOKUP(C41,Days_Since_100!C:G,5,FALSE)-1,0)</f>
        <v>0.16076786869874415</v>
      </c>
      <c r="H41" s="77">
        <f>IFERROR(VLOOKUP(C41,Deaths_since_10!C:G,5,FALSE)-1,0)</f>
        <v>0.28011368782227386</v>
      </c>
      <c r="J41" s="68">
        <f t="shared" si="1"/>
        <v>31.666740107256594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426</v>
      </c>
      <c r="E42" s="75">
        <f>D42*Projections_Data!$C$15</f>
        <v>25.923648507104037</v>
      </c>
      <c r="F42" s="75">
        <f>VLOOKUP(C42,Country_Data!C:G,5,FALSE)</f>
        <v>1</v>
      </c>
      <c r="G42" s="76">
        <f>IFERROR(VLOOKUP(C42,Days_Since_100!C:G,5,FALSE)-1,0)</f>
        <v>7.8463247452696505E-2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1049</v>
      </c>
      <c r="E43" s="75">
        <f>D43*Projections_Data!$C$15</f>
        <v>63.835463107868868</v>
      </c>
      <c r="F43" s="75">
        <f>VLOOKUP(C43,Country_Data!C:G,5,FALSE)</f>
        <v>4</v>
      </c>
      <c r="G43" s="76">
        <f>IFERROR(VLOOKUP(C43,Days_Since_100!C:G,5,FALSE)-1,0)</f>
        <v>5.5164627846081782E-2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865</v>
      </c>
      <c r="E44" s="75">
        <f>D44*Projections_Data!$C$15</f>
        <v>52.638394269119701</v>
      </c>
      <c r="F44" s="75">
        <f>VLOOKUP(C44,Country_Data!C:G,5,FALSE)</f>
        <v>58</v>
      </c>
      <c r="G44" s="76">
        <f>IFERROR(VLOOKUP(C44,Days_Since_100!C:G,5,FALSE)-1,0)</f>
        <v>8.4722690190594641E-2</v>
      </c>
      <c r="H44" s="77">
        <f>IFERROR(VLOOKUP(C44,Deaths_since_10!C:G,5,FALSE)-1,0)</f>
        <v>0.10008210113886595</v>
      </c>
      <c r="J44" s="68">
        <f t="shared" ref="J44:J66" si="5">IFERROR(LOG((M44/E44),1+G44),"")</f>
        <v>41.19029308868587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5147</v>
      </c>
      <c r="E45" s="75">
        <f>D45*Projections_Data!$C$15</f>
        <v>313.21365931001054</v>
      </c>
      <c r="F45" s="75">
        <f>VLOOKUP(C45,Country_Data!C:G,5,FALSE)</f>
        <v>50</v>
      </c>
      <c r="G45" s="76">
        <f>IFERROR(VLOOKUP(C45,Days_Since_100!C:G,5,FALSE)-1,0)</f>
        <v>5.0929840482156097E-2</v>
      </c>
      <c r="H45" s="77">
        <f>IFERROR(VLOOKUP(C45,Deaths_since_10!C:G,5,FALSE)-1,0)</f>
        <v>0.16801503633750126</v>
      </c>
      <c r="J45" s="68">
        <f t="shared" si="5"/>
        <v>6.5518595436563798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5568</v>
      </c>
      <c r="E46" s="75">
        <f>D46*Projections_Data!$C$15</f>
        <v>338.83303964214855</v>
      </c>
      <c r="F46" s="75">
        <f>VLOOKUP(C46,Country_Data!C:G,5,FALSE)</f>
        <v>308</v>
      </c>
      <c r="G46" s="76">
        <f>IFERROR(VLOOKUP(C46,Days_Since_100!C:G,5,FALSE)-1,0)</f>
        <v>0.100655957528895</v>
      </c>
      <c r="H46" s="77">
        <f>IFERROR(VLOOKUP(C46,Deaths_since_10!C:G,5,FALSE)-1,0)</f>
        <v>0.2401444770294936</v>
      </c>
      <c r="J46" s="68">
        <f t="shared" si="5"/>
        <v>15.333313635052116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1544</v>
      </c>
      <c r="E47" s="75">
        <f>D47*Projections_Data!$C$15</f>
        <v>93.958012429503839</v>
      </c>
      <c r="F47" s="75">
        <f>VLOOKUP(C47,Country_Data!C:G,5,FALSE)</f>
        <v>53</v>
      </c>
      <c r="G47" s="76">
        <f>IFERROR(VLOOKUP(C47,Days_Since_100!C:G,5,FALSE)-1,0)</f>
        <v>7.7919633683971146E-2</v>
      </c>
      <c r="H47" s="77">
        <f>IFERROR(VLOOKUP(C47,Deaths_since_10!C:G,5,FALSE)-1,0)</f>
        <v>0.10617841113805837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772</v>
      </c>
      <c r="E48" s="75">
        <f>D48*Projections_Data!$C$15</f>
        <v>46.979006214751919</v>
      </c>
      <c r="F48" s="75">
        <f>VLOOKUP(C48,Country_Data!C:G,5,FALSE)</f>
        <v>54</v>
      </c>
      <c r="G48" s="76">
        <f>IFERROR(VLOOKUP(C48,Days_Since_100!C:G,5,FALSE)-1,0)</f>
        <v>8.8161501337858494E-2</v>
      </c>
      <c r="H48" s="77">
        <f>IFERROR(VLOOKUP(C48,Deaths_since_10!C:G,5,FALSE)-1,0)</f>
        <v>5.1547496797280434E-2</v>
      </c>
      <c r="J48" s="68">
        <f t="shared" si="5"/>
        <v>46.220714193228851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897</v>
      </c>
      <c r="E49" s="75">
        <f>D49*Projections_Data!$C$15</f>
        <v>54.585710588902167</v>
      </c>
      <c r="F49" s="75">
        <f>VLOOKUP(C49,Country_Data!C:G,5,FALSE)</f>
        <v>17</v>
      </c>
      <c r="G49" s="76">
        <f>IFERROR(VLOOKUP(C49,Days_Since_100!C:G,5,FALSE)-1,0)</f>
        <v>5.571640029359215E-2</v>
      </c>
      <c r="H49" s="77">
        <f>IFERROR(VLOOKUP(C49,Deaths_since_10!C:G,5,FALSE)-1,0)</f>
        <v>0.13564157249607756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3573</v>
      </c>
      <c r="E50" s="75">
        <f>D50*Projections_Data!$C$15</f>
        <v>217.43003783071063</v>
      </c>
      <c r="F50" s="75">
        <f>VLOOKUP(C50,Country_Data!C:G,5,FALSE)</f>
        <v>123</v>
      </c>
      <c r="G50" s="76">
        <f>IFERROR(VLOOKUP(C50,Days_Since_100!C:G,5,FALSE)-1,0)</f>
        <v>8.5934560898866419E-2</v>
      </c>
      <c r="H50" s="77">
        <f>IFERROR(VLOOKUP(C50,Deaths_since_10!C:G,5,FALSE)-1,0)</f>
        <v>0.13605236716767655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245</v>
      </c>
      <c r="E51" s="75">
        <f>D51*Projections_Data!$C$15</f>
        <v>14.909140573334483</v>
      </c>
      <c r="F51" s="75">
        <f>VLOOKUP(C51,Country_Data!C:G,5,FALSE)</f>
        <v>30</v>
      </c>
      <c r="G51" s="76">
        <f>IFERROR(VLOOKUP(C51,Days_Since_100!C:G,5,FALSE)-1,0)</f>
        <v>1.8084002320198911E-2</v>
      </c>
      <c r="H51" s="77">
        <f>IFERROR(VLOOKUP(C51,Deaths_since_10!C:G,5,FALSE)-1,0)</f>
        <v>6.3995312815083638E-2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1024</v>
      </c>
      <c r="E52" s="75">
        <f>D52*Projections_Data!$C$15</f>
        <v>62.314122233038816</v>
      </c>
      <c r="F52" s="75">
        <f>VLOOKUP(C52,Country_Data!C:G,5,FALSE)</f>
        <v>8</v>
      </c>
      <c r="G52" s="76">
        <f>IFERROR(VLOOKUP(C52,Days_Since_100!C:G,5,FALSE)-1,0)</f>
        <v>0.16952853017683633</v>
      </c>
      <c r="H52" s="77">
        <f>IFERROR(VLOOKUP(C52,Deaths_since_10!C:G,5,FALSE)-1,0)</f>
        <v>0</v>
      </c>
      <c r="J52" s="68">
        <f t="shared" si="5"/>
        <v>15.096160495278131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643</v>
      </c>
      <c r="E53" s="75">
        <f>D53*Projections_Data!$C$15</f>
        <v>39.128887300628868</v>
      </c>
      <c r="F53" s="75">
        <f>VLOOKUP(C53,Country_Data!C:G,5,FALSE)</f>
        <v>4</v>
      </c>
      <c r="G53" s="76">
        <f>IFERROR(VLOOKUP(C53,Days_Since_100!C:G,5,FALSE)-1,0)</f>
        <v>6.1990921193551873E-2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858</v>
      </c>
      <c r="E54" s="75">
        <f>D54*Projections_Data!$C$15</f>
        <v>52.212418824167287</v>
      </c>
      <c r="F54" s="75">
        <f>VLOOKUP(C54,Country_Data!C:G,5,FALSE)</f>
        <v>11</v>
      </c>
      <c r="G54" s="76">
        <f>IFERROR(VLOOKUP(C54,Days_Since_100!C:G,5,FALSE)-1,0)</f>
        <v>5.8730719866177061E-2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342</v>
      </c>
      <c r="E55" s="75">
        <f>D55*Projections_Data!$C$15</f>
        <v>20.811943167675075</v>
      </c>
      <c r="F55" s="75">
        <f>VLOOKUP(C55,Country_Data!C:G,5,FALSE)</f>
        <v>0</v>
      </c>
      <c r="G55" s="76">
        <f>IFERROR(VLOOKUP(C55,Days_Since_100!C:G,5,FALSE)-1,0)</f>
        <v>7.7932704821011001E-2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50468</v>
      </c>
      <c r="E56" s="75">
        <f>D56*Projections_Data!$C$15</f>
        <v>3071.1612508369171</v>
      </c>
      <c r="F56" s="75">
        <f>VLOOKUP(C56,Country_Data!C:G,5,FALSE)</f>
        <v>3160</v>
      </c>
      <c r="G56" s="76">
        <f>IFERROR(VLOOKUP(C56,Days_Since_100!C:G,5,FALSE)-1,0)</f>
        <v>7.3452766410799564E-2</v>
      </c>
      <c r="H56" s="77">
        <f>IFERROR(VLOOKUP(C56,Deaths_since_10!C:G,5,FALSE)-1,0)</f>
        <v>4.6551907043891338E-2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2495</v>
      </c>
      <c r="E57" s="75">
        <f>D57*Projections_Data!$C$15</f>
        <v>151.82981930803891</v>
      </c>
      <c r="F57" s="75">
        <f>VLOOKUP(C57,Country_Data!C:G,5,FALSE)</f>
        <v>62</v>
      </c>
      <c r="G57" s="76">
        <f>IFERROR(VLOOKUP(C57,Days_Since_100!C:G,5,FALSE)-1,0)</f>
        <v>8.0644178838022329E-2</v>
      </c>
      <c r="H57" s="77">
        <f>IFERROR(VLOOKUP(C57,Deaths_since_10!C:G,5,FALSE)-1,0)</f>
        <v>3.5804203580214189E-2</v>
      </c>
      <c r="J57" s="68">
        <f t="shared" si="5"/>
        <v>52.964118579405479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949</v>
      </c>
      <c r="E58" s="75">
        <f>D58*Projections_Data!$C$15</f>
        <v>57.750099608548666</v>
      </c>
      <c r="F58" s="75">
        <f>VLOOKUP(C58,Country_Data!C:G,5,FALSE)</f>
        <v>3</v>
      </c>
      <c r="G58" s="76">
        <f>IFERROR(VLOOKUP(C58,Days_Since_100!C:G,5,FALSE)-1,0)</f>
        <v>9.9721814973277922E-2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82432</v>
      </c>
      <c r="E60" s="75">
        <f>D60*Projections_Data!$C$15</f>
        <v>5016.2868397596249</v>
      </c>
      <c r="F60" s="75">
        <f>VLOOKUP(C60,Country_Data!C:G,5,FALSE)</f>
        <v>3322</v>
      </c>
      <c r="G60" s="76">
        <f>IFERROR(VLOOKUP(C60,Days_Since_100!C:G,5,FALSE)-1,0)</f>
        <v>1.0538867435447852E-3</v>
      </c>
      <c r="H60" s="77">
        <f>IFERROR(VLOOKUP(C60,Deaths_since_10!C:G,5,FALSE)-1,0)</f>
        <v>1.3904896244103515E-3</v>
      </c>
      <c r="I60" s="59"/>
      <c r="J60" s="68">
        <f t="shared" si="5"/>
        <v>2216.7776256888142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478</v>
      </c>
      <c r="D61" s="75">
        <f>VLOOKUP(C61,Country_Data!B:F,5,FALSE)</f>
        <v>3858</v>
      </c>
      <c r="E61" s="75">
        <f>D61*Projections_Data!$C$15</f>
        <v>234.7733238037732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475</v>
      </c>
      <c r="D62" s="75">
        <f>VLOOKUP(C62,Country_Data!B:F,5,FALSE)</f>
        <v>9976</v>
      </c>
      <c r="E62" s="75">
        <f>D62*Projections_Data!$C$15</f>
        <v>607.0758626921828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356</v>
      </c>
      <c r="E63" s="75">
        <f>D63*Projections_Data!$C$15</f>
        <v>21.663894057579903</v>
      </c>
      <c r="F63" s="75">
        <f>VLOOKUP(C63,Country_Data!C:G,5,FALSE)</f>
        <v>10</v>
      </c>
      <c r="G63" s="76">
        <f>IFERROR(VLOOKUP(C63,Days_Since_100!C:G,5,FALSE)-1,0)</f>
        <v>0.14741201542530291</v>
      </c>
      <c r="H63" s="77">
        <f>IFERROR(VLOOKUP(C63,Deaths_since_10!C:G,5,FALSE)-1,0)</f>
        <v>0.1180339887498949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7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21</v>
      </c>
      <c r="G65" s="75"/>
      <c r="H65" s="77">
        <f>IFERROR(VLOOKUP(C65,Deaths_since_10!C:G,5,FALSE)-1,0)</f>
        <v>0.13806042630985371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9</v>
      </c>
      <c r="G66" s="75"/>
      <c r="H66" s="77">
        <f>IFERROR(VLOOKUP(C66,Deaths_since_10!C:G,5,FALSE)-1,0)</f>
        <v>6.0660171779821193E-2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564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E31" zoomScale="80" zoomScaleNormal="80" workbookViewId="0">
      <selection activeCell="AE78" sqref="AE78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594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7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D4" activePane="bottomRight" state="frozen"/>
      <selection pane="topRight" activeCell="G1" sqref="G1"/>
      <selection pane="bottomLeft" activeCell="A4" sqref="A4"/>
      <selection pane="bottomRight" activeCell="AJ14" sqref="AJ14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43923</v>
      </c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449</v>
      </c>
      <c r="C4" s="21">
        <f>VLOOKUP(B2,Days_Since_100!C:D,2,FALSE)</f>
        <v>243453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31</v>
      </c>
      <c r="F5" s="19" t="s">
        <v>504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13677</v>
      </c>
      <c r="X5" s="40">
        <f>IF(VLOOKUP($B$2,Days_Since_100!$H:$KU,Projections_Data!X$4+2,FALSE)=0,#N/A,VLOOKUP($B$2,Days_Since_100!$H:$KU,Projections_Data!X$4+2,FALSE))</f>
        <v>19100</v>
      </c>
      <c r="Y5" s="40">
        <f>IF(VLOOKUP($B$2,Days_Since_100!$H:$KU,Projections_Data!Y$4+2,FALSE)=0,#N/A,VLOOKUP($B$2,Days_Since_100!$H:$KU,Projections_Data!Y$4+2,FALSE))</f>
        <v>25489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>
        <f>IF(VLOOKUP($B$2,Days_Since_100!$H:$KU,Projections_Data!AB$4+2,FALSE)=0,#N/A,VLOOKUP($B$2,Days_Since_100!$H:$KU,Projections_Data!AB$4+2,FALSE))</f>
        <v>53740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>
        <f>IF(VLOOKUP($B$2,Days_Since_100!$H:$KU,Projections_Data!AE$4+2,FALSE)=0,#N/A,VLOOKUP($B$2,Days_Since_100!$H:$KU,Projections_Data!AE$4+2,FALSE))</f>
        <v>101657</v>
      </c>
      <c r="AF5" s="40">
        <f>IF(VLOOKUP($B$2,Days_Since_100!$H:$KU,Projections_Data!AF$4+2,FALSE)=0,#N/A,VLOOKUP($B$2,Days_Since_100!$H:$KU,Projections_Data!AF$4+2,FALSE))</f>
        <v>121478</v>
      </c>
      <c r="AG5" s="40">
        <f>IF(VLOOKUP($B$2,Days_Since_100!$H:$KU,Projections_Data!AG$4+2,FALSE)=0,#N/A,VLOOKUP($B$2,Days_Since_100!$H:$KU,Projections_Data!AG$4+2,FALSE))</f>
        <v>140886</v>
      </c>
      <c r="AH5" s="40">
        <f>IF(VLOOKUP($B$2,Days_Since_100!$H:$KU,Projections_Data!AH$4+2,FALSE)=0,#N/A,VLOOKUP($B$2,Days_Since_100!$H:$KU,Projections_Data!AH$4+2,FALSE))</f>
        <v>161807</v>
      </c>
      <c r="AI5" s="40">
        <f>IF(VLOOKUP($B$2,Days_Since_100!$H:$KU,Projections_Data!AI$4+2,FALSE)=0,#N/A,VLOOKUP($B$2,Days_Since_100!$H:$KU,Projections_Data!AI$4+2,FALSE))</f>
        <v>188172</v>
      </c>
      <c r="AJ5" s="40">
        <f>IF(VLOOKUP($B$2,Days_Since_100!$H:$KU,Projections_Data!AJ$4+2,FALSE)=0,#N/A,VLOOKUP($B$2,Days_Since_100!$H:$KU,Projections_Data!AJ$4+2,FALSE))</f>
        <v>213372</v>
      </c>
      <c r="AK5" s="40">
        <f>IF(VLOOKUP($B$2,Days_Since_100!$H:$KU,Projections_Data!AK$4+2,FALSE)=0,#N/A,VLOOKUP($B$2,Days_Since_100!$H:$KU,Projections_Data!AK$4+2,FALSE))</f>
        <v>243453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196991</v>
      </c>
      <c r="D6" s="42">
        <v>0.02</v>
      </c>
      <c r="F6" s="19" t="s">
        <v>582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>
        <f ca="1">IF(Projections_Data!AE$4+2-$C$9&lt;2,#N/A,IF(VLOOKUP($B$2,Deaths_since_10!$H:$KU,Projections_Data!AE$4+2-$C$9,FALSE)=0,#N/A,VLOOKUP($B$2,Deaths_since_10!$H:$KU,Projections_Data!AE$4+2-$C$9,FALSE)))</f>
        <v>1581</v>
      </c>
      <c r="AF6" s="40">
        <f ca="1">IF(Projections_Data!AF$4+2-$C$9&lt;2,#N/A,IF(VLOOKUP($B$2,Deaths_since_10!$H:$KU,Projections_Data!AF$4+2-$C$9,FALSE)=0,#N/A,VLOOKUP($B$2,Deaths_since_10!$H:$KU,Projections_Data!AF$4+2-$C$9,FALSE)))</f>
        <v>2026</v>
      </c>
      <c r="AG6" s="40">
        <f ca="1">IF(Projections_Data!AG$4+2-$C$9&lt;2,#N/A,IF(VLOOKUP($B$2,Deaths_since_10!$H:$KU,Projections_Data!AG$4+2-$C$9,FALSE)=0,#N/A,VLOOKUP($B$2,Deaths_since_10!$H:$KU,Projections_Data!AG$4+2-$C$9,FALSE)))</f>
        <v>2467</v>
      </c>
      <c r="AH6" s="40">
        <f ca="1">IF(Projections_Data!AH$4+2-$C$9&lt;2,#N/A,IF(VLOOKUP($B$2,Deaths_since_10!$H:$KU,Projections_Data!AH$4+2-$C$9,FALSE)=0,#N/A,VLOOKUP($B$2,Deaths_since_10!$H:$KU,Projections_Data!AH$4+2-$C$9,FALSE)))</f>
        <v>2978</v>
      </c>
      <c r="AI6" s="40">
        <f ca="1">IF(Projections_Data!AI$4+2-$C$9&lt;2,#N/A,IF(VLOOKUP($B$2,Deaths_since_10!$H:$KU,Projections_Data!AI$4+2-$C$9,FALSE)=0,#N/A,VLOOKUP($B$2,Deaths_since_10!$H:$KU,Projections_Data!AI$4+2-$C$9,FALSE)))</f>
        <v>3873</v>
      </c>
      <c r="AJ6" s="40">
        <f ca="1">IF(Projections_Data!AJ$4+2-$C$9&lt;2,#N/A,IF(VLOOKUP($B$2,Deaths_since_10!$H:$KU,Projections_Data!AJ$4+2-$C$9,FALSE)=0,#N/A,VLOOKUP($B$2,Deaths_since_10!$H:$KU,Projections_Data!AJ$4+2-$C$9,FALSE)))</f>
        <v>4757</v>
      </c>
      <c r="AK6" s="40">
        <f ca="1">IF(Projections_Data!AK$4+2-$C$9&lt;2,#N/A,IF(VLOOKUP($B$2,Deaths_since_10!$H:$KU,Projections_Data!AK$4+2-$C$9,FALSE)=0,#N/A,VLOOKUP($B$2,Deaths_since_10!$H:$KU,Projections_Data!AK$4+2-$C$9,FALSE)))</f>
        <v>5926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40536</v>
      </c>
      <c r="F7" s="19" t="s">
        <v>587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IFERROR((U5-T5)-(U6-T6),U5-T5)</f>
        <v>1766</v>
      </c>
      <c r="V7" s="40">
        <f t="shared" ref="V7" ca="1" si="15">IFERROR((V5-U5)-(V6-U6),V5-U5)</f>
        <v>1352</v>
      </c>
      <c r="W7" s="40">
        <f t="shared" ref="W7" ca="1" si="16">IFERROR((W5-V5)-(W6-V6),W5-V5)</f>
        <v>5812</v>
      </c>
      <c r="X7" s="40">
        <f t="shared" ref="X7" ca="1" si="17">IFERROR((X5-W5)-(X6-W6),X5-W5)</f>
        <v>5379</v>
      </c>
      <c r="Y7" s="40">
        <f t="shared" ref="Y7" ca="1" si="18">IFERROR((Y5-X5)-(Y6-X6),Y5-X5)</f>
        <v>6326</v>
      </c>
      <c r="Z7" s="40">
        <f t="shared" ref="Z7" ca="1" si="19">IFERROR((Z5-Y5)-(Z6-Y6),Z5-Y5)</f>
        <v>7677</v>
      </c>
      <c r="AA7" s="40">
        <f t="shared" ref="AA7" ca="1" si="20">IFERROR((AA5-Z5)-(AA6-Z6),AA5-Z5)</f>
        <v>10431</v>
      </c>
      <c r="AB7" s="40">
        <f t="shared" ref="AB7" ca="1" si="21">IFERROR((AB5-AA5)-(AB6-AA6),AB5-AA5)</f>
        <v>9744</v>
      </c>
      <c r="AC7" s="40">
        <f t="shared" ref="AC7" ca="1" si="22">IFERROR((AC5-AB5)-(AC6-AB6),AC5-AB5)</f>
        <v>11802</v>
      </c>
      <c r="AD7" s="40">
        <f t="shared" ref="AD7" ca="1" si="23">IFERROR((AD5-AC5)-(AD6-AC6),AD5-AC5)</f>
        <v>17791</v>
      </c>
      <c r="AE7" s="40">
        <f t="shared" ref="AE7" ca="1" si="24">IFERROR((AE5-AD5)-(AE6-AD6),AE5-AD5)</f>
        <v>17449</v>
      </c>
      <c r="AF7" s="40">
        <f t="shared" ref="AF7" ca="1" si="25">IFERROR((AF5-AE5)-(AF6-AE6),AF5-AE5)</f>
        <v>19376</v>
      </c>
      <c r="AG7" s="40">
        <f t="shared" ref="AG7" ca="1" si="26">IFERROR((AG5-AF5)-(AG6-AF6),AG5-AF5)</f>
        <v>18967</v>
      </c>
      <c r="AH7" s="40">
        <f t="shared" ref="AH7" ca="1" si="27">IFERROR((AH5-AG5)-(AH6-AG6),AH5-AG5)</f>
        <v>20410</v>
      </c>
      <c r="AI7" s="40">
        <f t="shared" ref="AI7" ca="1" si="28">IFERROR((AI5-AH5)-(AI6-AH6),AI5-AH5)</f>
        <v>25470</v>
      </c>
      <c r="AJ7" s="40">
        <f t="shared" ref="AJ7" ca="1" si="29">IFERROR((AJ5-AI5)-(AJ6-AI6),AJ5-AI5)</f>
        <v>24316</v>
      </c>
      <c r="AK7" s="40">
        <f t="shared" ref="AK7" ca="1" si="30">IFERROR((AK5-AJ5)-(AK6-AJ6),AK5-AJ5)</f>
        <v>28912</v>
      </c>
      <c r="AL7" s="40" t="e">
        <f t="shared" ref="AL7" ca="1" si="31">IFERROR((AL5-AK5)-(AL6-AK6),AL5-AK5)</f>
        <v>#N/A</v>
      </c>
      <c r="AM7" s="40" t="e">
        <f t="shared" ref="AM7" ca="1" si="32">(AM5-AL5)-(AM6-AL6)</f>
        <v>#N/A</v>
      </c>
      <c r="AN7" s="40" t="e">
        <f t="shared" ref="AN7" ca="1" si="33">(AN5-AM5)-(AN6-AM6)</f>
        <v>#N/A</v>
      </c>
      <c r="AO7" s="40" t="e">
        <f t="shared" ref="AO7" ca="1" si="34">(AO5-AN5)-(AO6-AN6)</f>
        <v>#N/A</v>
      </c>
      <c r="AP7" s="40" t="e">
        <f t="shared" ref="AP7" ca="1" si="35">(AP5-AO5)-(AP6-AO6)</f>
        <v>#N/A</v>
      </c>
      <c r="AQ7" s="40" t="e">
        <f t="shared" ref="AQ7" ca="1" si="36">(AQ5-AP5)-(AQ6-AP6)</f>
        <v>#N/A</v>
      </c>
      <c r="AR7" s="40" t="e">
        <f t="shared" ref="AR7" ca="1" si="37">(AR5-AQ5)-(AR6-AQ6)</f>
        <v>#N/A</v>
      </c>
      <c r="AS7" s="40" t="e">
        <f t="shared" ref="AS7" ca="1" si="38">(AS5-AR5)-(AS6-AR6)</f>
        <v>#N/A</v>
      </c>
      <c r="AT7" s="40" t="e">
        <f t="shared" ref="AT7" ca="1" si="39">(AT5-AS5)-(AT6-AS6)</f>
        <v>#N/A</v>
      </c>
      <c r="AU7" s="40" t="e">
        <f t="shared" ref="AU7" ca="1" si="40">(AU5-AT5)-(AU6-AT6)</f>
        <v>#N/A</v>
      </c>
      <c r="AV7" s="40" t="e">
        <f t="shared" ref="AV7" ca="1" si="41">(AV5-AU5)-(AV6-AU6)</f>
        <v>#N/A</v>
      </c>
      <c r="AW7" s="40" t="e">
        <f t="shared" ref="AW7" ca="1" si="42">(AW5-AV5)-(AW6-AV6)</f>
        <v>#N/A</v>
      </c>
      <c r="AX7" s="40" t="e">
        <f t="shared" ref="AX7" ca="1" si="43">(AX5-AW5)-(AX6-AW6)</f>
        <v>#N/A</v>
      </c>
      <c r="AY7" s="40" t="e">
        <f t="shared" ref="AY7" ca="1" si="44">(AY5-AX5)-(AY6-AX6)</f>
        <v>#N/A</v>
      </c>
      <c r="AZ7" s="40" t="e">
        <f t="shared" ref="AZ7" ca="1" si="45">(AZ5-AY5)-(AZ6-AY6)</f>
        <v>#N/A</v>
      </c>
      <c r="BA7" s="40" t="e">
        <f t="shared" ref="BA7" ca="1" si="46">(BA5-AZ5)-(BA6-AZ6)</f>
        <v>#N/A</v>
      </c>
      <c r="BB7" s="40" t="e">
        <f t="shared" ref="BB7" ca="1" si="47">(BB5-BA5)-(BB6-BA6)</f>
        <v>#N/A</v>
      </c>
      <c r="BC7" s="40" t="e">
        <f t="shared" ref="BC7" ca="1" si="48">(BC5-BB5)-(BC6-BB6)</f>
        <v>#N/A</v>
      </c>
      <c r="BD7" s="40" t="e">
        <f t="shared" ref="BD7" ca="1" si="49">(BD5-BC5)-(BD6-BC6)</f>
        <v>#N/A</v>
      </c>
      <c r="BE7" s="40" t="e">
        <f t="shared" ref="BE7" ca="1" si="50">(BE5-BD5)-(BE6-BD6)</f>
        <v>#N/A</v>
      </c>
      <c r="BF7" s="40" t="e">
        <f t="shared" ref="BF7" ca="1" si="51">(BF5-BE5)-(BF6-BE6)</f>
        <v>#N/A</v>
      </c>
      <c r="BG7" s="40" t="e">
        <f t="shared" ref="BG7" ca="1" si="52">(BG5-BF5)-(BG6-BF6)</f>
        <v>#N/A</v>
      </c>
      <c r="BH7" s="40" t="e">
        <f t="shared" ref="BH7" ca="1" si="53">(BH5-BG5)-(BH6-BG6)</f>
        <v>#N/A</v>
      </c>
      <c r="BI7" s="40" t="e">
        <f t="shared" ref="BI7" ca="1" si="54">(BI5-BH5)-(BI6-BH6)</f>
        <v>#N/A</v>
      </c>
      <c r="BJ7" s="40" t="e">
        <f t="shared" ref="BJ7" ca="1" si="55">(BJ5-BI5)-(BJ6-BI6)</f>
        <v>#N/A</v>
      </c>
      <c r="BK7" s="40" t="e">
        <f t="shared" ref="BK7" ca="1" si="56">(BK5-BJ5)-(BK6-BJ6)</f>
        <v>#N/A</v>
      </c>
      <c r="BL7" s="40" t="e">
        <f t="shared" ref="BL7" ca="1" si="57">(BL5-BK5)-(BL6-BK6)</f>
        <v>#N/A</v>
      </c>
      <c r="BM7" s="40" t="e">
        <f t="shared" ref="BM7" ca="1" si="58">(BM5-BL5)-(BM6-BL6)</f>
        <v>#N/A</v>
      </c>
      <c r="BN7" s="40" t="e">
        <f t="shared" ref="BN7" ca="1" si="59">(BN5-BM5)-(BN6-BM6)</f>
        <v>#N/A</v>
      </c>
      <c r="BO7" s="40" t="e">
        <f t="shared" ref="BO7" ca="1" si="60">(BO5-BN5)-(BO6-BN6)</f>
        <v>#N/A</v>
      </c>
      <c r="BP7" s="40" t="e">
        <f t="shared" ref="BP7" ca="1" si="61">(BP5-BO5)-(BP6-BO6)</f>
        <v>#N/A</v>
      </c>
      <c r="BQ7" s="40" t="e">
        <f t="shared" ref="BQ7" ca="1" si="62">(BQ5-BP5)-(BQ6-BP6)</f>
        <v>#N/A</v>
      </c>
      <c r="BR7" s="40" t="e">
        <f t="shared" ref="BR7" ca="1" si="63">(BR5-BQ5)-(BR6-BQ6)</f>
        <v>#N/A</v>
      </c>
      <c r="BS7" s="40" t="e">
        <f t="shared" ref="BS7" ca="1" si="64">(BS5-BR5)-(BS6-BR6)</f>
        <v>#N/A</v>
      </c>
      <c r="BT7" s="40" t="e">
        <f t="shared" ref="BT7" ca="1" si="65">(BT5-BS5)-(BT6-BS6)</f>
        <v>#N/A</v>
      </c>
      <c r="BU7" s="40" t="e">
        <f t="shared" ref="BU7" ca="1" si="66">(BU5-BT5)-(BU6-BT6)</f>
        <v>#N/A</v>
      </c>
      <c r="BV7" s="40" t="e">
        <f t="shared" ref="BV7:EF7" si="67">BV5-BU5</f>
        <v>#N/A</v>
      </c>
      <c r="BW7" s="40" t="e">
        <f t="shared" si="67"/>
        <v>#N/A</v>
      </c>
      <c r="BX7" s="40" t="e">
        <f t="shared" si="67"/>
        <v>#N/A</v>
      </c>
      <c r="BY7" s="40" t="e">
        <f t="shared" si="67"/>
        <v>#N/A</v>
      </c>
      <c r="BZ7" s="40" t="e">
        <f t="shared" si="67"/>
        <v>#N/A</v>
      </c>
      <c r="CA7" s="40" t="e">
        <f t="shared" si="67"/>
        <v>#N/A</v>
      </c>
      <c r="CB7" s="40" t="e">
        <f t="shared" si="67"/>
        <v>#N/A</v>
      </c>
      <c r="CC7" s="40" t="e">
        <f t="shared" si="67"/>
        <v>#N/A</v>
      </c>
      <c r="CD7" s="40" t="e">
        <f t="shared" si="67"/>
        <v>#N/A</v>
      </c>
      <c r="CE7" s="40" t="e">
        <f t="shared" si="67"/>
        <v>#N/A</v>
      </c>
      <c r="CF7" s="40" t="e">
        <f t="shared" si="67"/>
        <v>#N/A</v>
      </c>
      <c r="CG7" s="40" t="e">
        <f t="shared" si="67"/>
        <v>#N/A</v>
      </c>
      <c r="CH7" s="40" t="e">
        <f t="shared" si="67"/>
        <v>#N/A</v>
      </c>
      <c r="CI7" s="40" t="e">
        <f t="shared" si="67"/>
        <v>#N/A</v>
      </c>
      <c r="CJ7" s="40" t="e">
        <f t="shared" si="67"/>
        <v>#N/A</v>
      </c>
      <c r="CK7" s="40" t="e">
        <f t="shared" si="67"/>
        <v>#N/A</v>
      </c>
      <c r="CL7" s="40" t="e">
        <f t="shared" si="67"/>
        <v>#N/A</v>
      </c>
      <c r="CM7" s="40" t="e">
        <f t="shared" si="67"/>
        <v>#N/A</v>
      </c>
      <c r="CN7" s="40" t="e">
        <f t="shared" si="67"/>
        <v>#N/A</v>
      </c>
      <c r="CO7" s="40" t="e">
        <f t="shared" si="67"/>
        <v>#N/A</v>
      </c>
      <c r="CP7" s="40" t="e">
        <f t="shared" si="67"/>
        <v>#N/A</v>
      </c>
      <c r="CQ7" s="40" t="e">
        <f t="shared" si="67"/>
        <v>#N/A</v>
      </c>
      <c r="CR7" s="40" t="e">
        <f t="shared" si="67"/>
        <v>#N/A</v>
      </c>
      <c r="CS7" s="40" t="e">
        <f t="shared" si="67"/>
        <v>#N/A</v>
      </c>
      <c r="CT7" s="40" t="e">
        <f t="shared" si="67"/>
        <v>#N/A</v>
      </c>
      <c r="CU7" s="40" t="e">
        <f t="shared" si="67"/>
        <v>#N/A</v>
      </c>
      <c r="CV7" s="40" t="e">
        <f t="shared" si="67"/>
        <v>#N/A</v>
      </c>
      <c r="CW7" s="40" t="e">
        <f t="shared" si="67"/>
        <v>#N/A</v>
      </c>
      <c r="CX7" s="40" t="e">
        <f t="shared" si="67"/>
        <v>#N/A</v>
      </c>
      <c r="CY7" s="40" t="e">
        <f t="shared" si="67"/>
        <v>#N/A</v>
      </c>
      <c r="CZ7" s="40" t="e">
        <f t="shared" si="67"/>
        <v>#N/A</v>
      </c>
      <c r="DA7" s="40" t="e">
        <f t="shared" si="67"/>
        <v>#N/A</v>
      </c>
      <c r="DB7" s="40" t="e">
        <f t="shared" si="67"/>
        <v>#N/A</v>
      </c>
      <c r="DC7" s="40" t="e">
        <f t="shared" si="67"/>
        <v>#N/A</v>
      </c>
      <c r="DD7" s="40" t="e">
        <f t="shared" si="67"/>
        <v>#N/A</v>
      </c>
      <c r="DE7" s="40" t="e">
        <f t="shared" si="67"/>
        <v>#N/A</v>
      </c>
      <c r="DF7" s="40" t="e">
        <f t="shared" si="67"/>
        <v>#N/A</v>
      </c>
      <c r="DG7" s="40" t="e">
        <f t="shared" si="67"/>
        <v>#N/A</v>
      </c>
      <c r="DH7" s="40" t="e">
        <f t="shared" si="67"/>
        <v>#N/A</v>
      </c>
      <c r="DI7" s="40" t="e">
        <f t="shared" si="67"/>
        <v>#N/A</v>
      </c>
      <c r="DJ7" s="40" t="e">
        <f t="shared" si="67"/>
        <v>#N/A</v>
      </c>
      <c r="DK7" s="40" t="e">
        <f t="shared" si="67"/>
        <v>#N/A</v>
      </c>
      <c r="DL7" s="40" t="e">
        <f t="shared" si="67"/>
        <v>#N/A</v>
      </c>
      <c r="DM7" s="40" t="e">
        <f t="shared" si="67"/>
        <v>#N/A</v>
      </c>
      <c r="DN7" s="40" t="e">
        <f t="shared" si="67"/>
        <v>#N/A</v>
      </c>
      <c r="DO7" s="40" t="e">
        <f t="shared" si="67"/>
        <v>#N/A</v>
      </c>
      <c r="DP7" s="40" t="e">
        <f t="shared" si="67"/>
        <v>#N/A</v>
      </c>
      <c r="DQ7" s="40" t="e">
        <f t="shared" si="67"/>
        <v>#N/A</v>
      </c>
      <c r="DR7" s="40" t="e">
        <f t="shared" si="67"/>
        <v>#N/A</v>
      </c>
      <c r="DS7" s="40" t="e">
        <f t="shared" si="67"/>
        <v>#N/A</v>
      </c>
      <c r="DT7" s="40" t="e">
        <f t="shared" si="67"/>
        <v>#N/A</v>
      </c>
      <c r="DU7" s="40" t="e">
        <f t="shared" si="67"/>
        <v>#N/A</v>
      </c>
      <c r="DV7" s="40" t="e">
        <f t="shared" si="67"/>
        <v>#N/A</v>
      </c>
      <c r="DW7" s="40" t="e">
        <f t="shared" si="67"/>
        <v>#N/A</v>
      </c>
      <c r="DX7" s="40" t="e">
        <f t="shared" si="67"/>
        <v>#N/A</v>
      </c>
      <c r="DY7" s="40" t="e">
        <f t="shared" si="67"/>
        <v>#N/A</v>
      </c>
      <c r="DZ7" s="40" t="e">
        <f t="shared" si="67"/>
        <v>#N/A</v>
      </c>
      <c r="EA7" s="40" t="e">
        <f t="shared" si="67"/>
        <v>#N/A</v>
      </c>
      <c r="EB7" s="40" t="e">
        <f t="shared" si="67"/>
        <v>#N/A</v>
      </c>
      <c r="EC7" s="40" t="e">
        <f t="shared" si="67"/>
        <v>#N/A</v>
      </c>
      <c r="ED7" s="40" t="e">
        <f t="shared" si="67"/>
        <v>#N/A</v>
      </c>
      <c r="EE7" s="40" t="e">
        <f t="shared" si="67"/>
        <v>#N/A</v>
      </c>
      <c r="EF7" s="40" t="e">
        <f t="shared" si="67"/>
        <v>#N/A</v>
      </c>
      <c r="EG7" s="40" t="e">
        <f t="shared" ref="EG7:GR7" si="68">EG5-EF5</f>
        <v>#N/A</v>
      </c>
      <c r="EH7" s="40" t="e">
        <f t="shared" si="68"/>
        <v>#N/A</v>
      </c>
      <c r="EI7" s="40" t="e">
        <f t="shared" si="68"/>
        <v>#N/A</v>
      </c>
      <c r="EJ7" s="40" t="e">
        <f t="shared" si="68"/>
        <v>#N/A</v>
      </c>
      <c r="EK7" s="40" t="e">
        <f t="shared" si="68"/>
        <v>#N/A</v>
      </c>
      <c r="EL7" s="40" t="e">
        <f t="shared" si="68"/>
        <v>#N/A</v>
      </c>
      <c r="EM7" s="40" t="e">
        <f t="shared" si="68"/>
        <v>#N/A</v>
      </c>
      <c r="EN7" s="40" t="e">
        <f t="shared" si="68"/>
        <v>#N/A</v>
      </c>
      <c r="EO7" s="40" t="e">
        <f t="shared" si="68"/>
        <v>#N/A</v>
      </c>
      <c r="EP7" s="40" t="e">
        <f t="shared" si="68"/>
        <v>#N/A</v>
      </c>
      <c r="EQ7" s="40" t="e">
        <f t="shared" si="68"/>
        <v>#N/A</v>
      </c>
      <c r="ER7" s="40" t="e">
        <f t="shared" si="68"/>
        <v>#N/A</v>
      </c>
      <c r="ES7" s="40" t="e">
        <f t="shared" si="68"/>
        <v>#N/A</v>
      </c>
      <c r="ET7" s="40" t="e">
        <f t="shared" si="68"/>
        <v>#N/A</v>
      </c>
      <c r="EU7" s="40" t="e">
        <f t="shared" si="68"/>
        <v>#N/A</v>
      </c>
      <c r="EV7" s="40" t="e">
        <f t="shared" si="68"/>
        <v>#N/A</v>
      </c>
      <c r="EW7" s="40" t="e">
        <f t="shared" si="68"/>
        <v>#N/A</v>
      </c>
      <c r="EX7" s="40" t="e">
        <f t="shared" si="68"/>
        <v>#N/A</v>
      </c>
      <c r="EY7" s="40" t="e">
        <f t="shared" si="68"/>
        <v>#N/A</v>
      </c>
      <c r="EZ7" s="40" t="e">
        <f t="shared" si="68"/>
        <v>#N/A</v>
      </c>
      <c r="FA7" s="40" t="e">
        <f t="shared" si="68"/>
        <v>#N/A</v>
      </c>
      <c r="FB7" s="40" t="e">
        <f t="shared" si="68"/>
        <v>#N/A</v>
      </c>
      <c r="FC7" s="40" t="e">
        <f t="shared" si="68"/>
        <v>#N/A</v>
      </c>
      <c r="FD7" s="40" t="e">
        <f t="shared" si="68"/>
        <v>#N/A</v>
      </c>
      <c r="FE7" s="40" t="e">
        <f t="shared" si="68"/>
        <v>#N/A</v>
      </c>
      <c r="FF7" s="40" t="e">
        <f t="shared" si="68"/>
        <v>#N/A</v>
      </c>
      <c r="FG7" s="40" t="e">
        <f t="shared" si="68"/>
        <v>#N/A</v>
      </c>
      <c r="FH7" s="40" t="e">
        <f t="shared" si="68"/>
        <v>#N/A</v>
      </c>
      <c r="FI7" s="40" t="e">
        <f t="shared" si="68"/>
        <v>#N/A</v>
      </c>
      <c r="FJ7" s="40" t="e">
        <f t="shared" si="68"/>
        <v>#N/A</v>
      </c>
      <c r="FK7" s="40" t="e">
        <f t="shared" si="68"/>
        <v>#N/A</v>
      </c>
      <c r="FL7" s="40" t="e">
        <f t="shared" si="68"/>
        <v>#N/A</v>
      </c>
      <c r="FM7" s="40" t="e">
        <f t="shared" si="68"/>
        <v>#N/A</v>
      </c>
      <c r="FN7" s="40" t="e">
        <f t="shared" si="68"/>
        <v>#N/A</v>
      </c>
      <c r="FO7" s="40" t="e">
        <f t="shared" si="68"/>
        <v>#N/A</v>
      </c>
      <c r="FP7" s="40" t="e">
        <f t="shared" si="68"/>
        <v>#N/A</v>
      </c>
      <c r="FQ7" s="40" t="e">
        <f t="shared" si="68"/>
        <v>#N/A</v>
      </c>
      <c r="FR7" s="40" t="e">
        <f t="shared" si="68"/>
        <v>#N/A</v>
      </c>
      <c r="FS7" s="40" t="e">
        <f t="shared" si="68"/>
        <v>#N/A</v>
      </c>
      <c r="FT7" s="40" t="e">
        <f t="shared" si="68"/>
        <v>#N/A</v>
      </c>
      <c r="FU7" s="40" t="e">
        <f t="shared" si="68"/>
        <v>#N/A</v>
      </c>
      <c r="FV7" s="40" t="e">
        <f t="shared" si="68"/>
        <v>#N/A</v>
      </c>
      <c r="FW7" s="40" t="e">
        <f t="shared" si="68"/>
        <v>#N/A</v>
      </c>
      <c r="FX7" s="40" t="e">
        <f t="shared" si="68"/>
        <v>#N/A</v>
      </c>
      <c r="FY7" s="40" t="e">
        <f t="shared" si="68"/>
        <v>#N/A</v>
      </c>
      <c r="FZ7" s="40" t="e">
        <f t="shared" si="68"/>
        <v>#N/A</v>
      </c>
      <c r="GA7" s="40" t="e">
        <f t="shared" si="68"/>
        <v>#N/A</v>
      </c>
      <c r="GB7" s="40" t="e">
        <f t="shared" si="68"/>
        <v>#N/A</v>
      </c>
      <c r="GC7" s="40" t="e">
        <f t="shared" si="68"/>
        <v>#N/A</v>
      </c>
      <c r="GD7" s="40" t="e">
        <f t="shared" si="68"/>
        <v>#N/A</v>
      </c>
      <c r="GE7" s="40" t="e">
        <f t="shared" si="68"/>
        <v>#N/A</v>
      </c>
      <c r="GF7" s="40" t="e">
        <f t="shared" si="68"/>
        <v>#N/A</v>
      </c>
      <c r="GG7" s="40" t="e">
        <f t="shared" si="68"/>
        <v>#N/A</v>
      </c>
      <c r="GH7" s="40" t="e">
        <f t="shared" si="68"/>
        <v>#N/A</v>
      </c>
      <c r="GI7" s="40" t="e">
        <f t="shared" si="68"/>
        <v>#N/A</v>
      </c>
      <c r="GJ7" s="40" t="e">
        <f t="shared" si="68"/>
        <v>#N/A</v>
      </c>
      <c r="GK7" s="40" t="e">
        <f t="shared" si="68"/>
        <v>#N/A</v>
      </c>
      <c r="GL7" s="40" t="e">
        <f t="shared" si="68"/>
        <v>#N/A</v>
      </c>
      <c r="GM7" s="40" t="e">
        <f t="shared" si="68"/>
        <v>#N/A</v>
      </c>
      <c r="GN7" s="40" t="e">
        <f t="shared" si="68"/>
        <v>#N/A</v>
      </c>
      <c r="GO7" s="40" t="e">
        <f t="shared" si="68"/>
        <v>#N/A</v>
      </c>
      <c r="GP7" s="40" t="e">
        <f t="shared" si="68"/>
        <v>#N/A</v>
      </c>
      <c r="GQ7" s="40" t="e">
        <f t="shared" si="68"/>
        <v>#N/A</v>
      </c>
      <c r="GR7" s="40" t="e">
        <f t="shared" si="68"/>
        <v>#N/A</v>
      </c>
      <c r="GS7" s="40" t="e">
        <f t="shared" ref="GS7:IN7" si="69">GS5-GR5</f>
        <v>#N/A</v>
      </c>
      <c r="GT7" s="40" t="e">
        <f t="shared" si="69"/>
        <v>#N/A</v>
      </c>
      <c r="GU7" s="40" t="e">
        <f t="shared" si="69"/>
        <v>#N/A</v>
      </c>
      <c r="GV7" s="40" t="e">
        <f t="shared" si="69"/>
        <v>#N/A</v>
      </c>
      <c r="GW7" s="40" t="e">
        <f t="shared" si="69"/>
        <v>#N/A</v>
      </c>
      <c r="GX7" s="40" t="e">
        <f t="shared" si="69"/>
        <v>#N/A</v>
      </c>
      <c r="GY7" s="40" t="e">
        <f t="shared" si="69"/>
        <v>#N/A</v>
      </c>
      <c r="GZ7" s="40" t="e">
        <f t="shared" si="69"/>
        <v>#N/A</v>
      </c>
      <c r="HA7" s="40" t="e">
        <f t="shared" si="69"/>
        <v>#N/A</v>
      </c>
      <c r="HB7" s="40" t="e">
        <f t="shared" si="69"/>
        <v>#N/A</v>
      </c>
      <c r="HC7" s="40" t="e">
        <f t="shared" si="69"/>
        <v>#N/A</v>
      </c>
      <c r="HD7" s="40" t="e">
        <f t="shared" si="69"/>
        <v>#N/A</v>
      </c>
      <c r="HE7" s="40" t="e">
        <f t="shared" si="69"/>
        <v>#N/A</v>
      </c>
      <c r="HF7" s="40" t="e">
        <f t="shared" si="69"/>
        <v>#N/A</v>
      </c>
      <c r="HG7" s="40" t="e">
        <f t="shared" si="69"/>
        <v>#N/A</v>
      </c>
      <c r="HH7" s="40" t="e">
        <f t="shared" si="69"/>
        <v>#N/A</v>
      </c>
      <c r="HI7" s="40" t="e">
        <f t="shared" si="69"/>
        <v>#N/A</v>
      </c>
      <c r="HJ7" s="40" t="e">
        <f t="shared" si="69"/>
        <v>#N/A</v>
      </c>
      <c r="HK7" s="40" t="e">
        <f t="shared" si="69"/>
        <v>#N/A</v>
      </c>
      <c r="HL7" s="40" t="e">
        <f t="shared" si="69"/>
        <v>#N/A</v>
      </c>
      <c r="HM7" s="40" t="e">
        <f t="shared" si="69"/>
        <v>#N/A</v>
      </c>
      <c r="HN7" s="40" t="e">
        <f t="shared" si="69"/>
        <v>#N/A</v>
      </c>
      <c r="HO7" s="40" t="e">
        <f t="shared" si="69"/>
        <v>#N/A</v>
      </c>
      <c r="HP7" s="40" t="e">
        <f t="shared" si="69"/>
        <v>#N/A</v>
      </c>
      <c r="HQ7" s="40" t="e">
        <f t="shared" si="69"/>
        <v>#N/A</v>
      </c>
      <c r="HR7" s="40" t="e">
        <f t="shared" si="69"/>
        <v>#N/A</v>
      </c>
      <c r="HS7" s="40" t="e">
        <f t="shared" si="69"/>
        <v>#N/A</v>
      </c>
      <c r="HT7" s="40" t="e">
        <f t="shared" si="69"/>
        <v>#N/A</v>
      </c>
      <c r="HU7" s="40" t="e">
        <f t="shared" si="69"/>
        <v>#N/A</v>
      </c>
      <c r="HV7" s="40" t="e">
        <f t="shared" si="69"/>
        <v>#N/A</v>
      </c>
      <c r="HW7" s="40" t="e">
        <f t="shared" si="69"/>
        <v>#N/A</v>
      </c>
      <c r="HX7" s="40" t="e">
        <f t="shared" si="69"/>
        <v>#N/A</v>
      </c>
      <c r="HY7" s="40" t="e">
        <f t="shared" si="69"/>
        <v>#N/A</v>
      </c>
      <c r="HZ7" s="40" t="e">
        <f t="shared" si="69"/>
        <v>#N/A</v>
      </c>
      <c r="IA7" s="40" t="e">
        <f t="shared" si="69"/>
        <v>#N/A</v>
      </c>
      <c r="IB7" s="40" t="e">
        <f t="shared" si="69"/>
        <v>#N/A</v>
      </c>
      <c r="IC7" s="40" t="e">
        <f t="shared" si="69"/>
        <v>#N/A</v>
      </c>
      <c r="ID7" s="40" t="e">
        <f t="shared" si="69"/>
        <v>#N/A</v>
      </c>
      <c r="IE7" s="40" t="e">
        <f t="shared" si="69"/>
        <v>#N/A</v>
      </c>
      <c r="IF7" s="40" t="e">
        <f t="shared" si="69"/>
        <v>#N/A</v>
      </c>
      <c r="IG7" s="40" t="e">
        <f t="shared" si="69"/>
        <v>#N/A</v>
      </c>
      <c r="IH7" s="40" t="e">
        <f t="shared" si="69"/>
        <v>#N/A</v>
      </c>
      <c r="II7" s="40" t="e">
        <f t="shared" si="69"/>
        <v>#N/A</v>
      </c>
      <c r="IJ7" s="40" t="e">
        <f t="shared" si="69"/>
        <v>#N/A</v>
      </c>
      <c r="IK7" s="40" t="e">
        <f t="shared" si="69"/>
        <v>#N/A</v>
      </c>
      <c r="IL7" s="40" t="e">
        <f t="shared" si="69"/>
        <v>#N/A</v>
      </c>
      <c r="IM7" s="40" t="e">
        <f t="shared" si="69"/>
        <v>#N/A</v>
      </c>
      <c r="IN7" s="40" t="e">
        <f t="shared" si="69"/>
        <v>#N/A</v>
      </c>
    </row>
    <row r="8" spans="2:248" x14ac:dyDescent="0.3">
      <c r="B8" s="19" t="s">
        <v>508</v>
      </c>
      <c r="C8" s="21">
        <f>VLOOKUP(B2,Country_Data!C:G,5,FALSE)</f>
        <v>5926</v>
      </c>
      <c r="F8" s="19" t="s">
        <v>505</v>
      </c>
      <c r="G8" s="40">
        <f>G5</f>
        <v>118</v>
      </c>
      <c r="H8" s="40">
        <f ca="1">MAX(SUM($G$7:H7)-($G$7/H4),G8+10)</f>
        <v>128</v>
      </c>
      <c r="I8" s="40">
        <f ca="1">MAX(SUM($G$7:I7)-($G$7/I4),H8+10)</f>
        <v>157</v>
      </c>
      <c r="J8" s="40">
        <f ca="1">MAX(SUM($G$7:J7)-($G$7/J4),I8+10)</f>
        <v>219.66666666666666</v>
      </c>
      <c r="K8" s="40">
        <f ca="1">MAX(SUM($G$7:K7)-($G$7/K4),J8+10)</f>
        <v>366.5</v>
      </c>
      <c r="L8" s="40">
        <f ca="1">MAX(SUM($G$7:L7)-($G$7/L4),K8+10)</f>
        <v>484.4</v>
      </c>
      <c r="M8" s="40">
        <f ca="1">MAX(SUM($G$7:M7)-($G$7/M4),L8+10)</f>
        <v>552.33333333333337</v>
      </c>
      <c r="N8" s="40">
        <f ca="1">MAX(SUM($G$7:N7)-($G$7/N4),M8+10)</f>
        <v>925.14285714285711</v>
      </c>
      <c r="O8" s="40">
        <f ca="1">MAX(SUM($G$7:O7)-($G$7/O4),N8+10)</f>
        <v>1241.25</v>
      </c>
      <c r="P8" s="40">
        <f ca="1">MAX(SUM($G$7:P7)-($G$7/P4),O8+10)</f>
        <v>1620.8888888888889</v>
      </c>
      <c r="Q8" s="40">
        <f ca="1">MAX(SUM($G$7:Q7)-($G$7/Q4),P8+10)</f>
        <v>2131.1999999999998</v>
      </c>
      <c r="R8" s="40">
        <f ca="1">MAX(SUM($G$7:R7)-($G$7/R4),Q8+10)</f>
        <v>2673.2727272727275</v>
      </c>
      <c r="S8" s="40">
        <f t="shared" ref="S8:CD8" ca="1" si="70">SUM(I7:S7)-H7</f>
        <v>3267</v>
      </c>
      <c r="T8" s="40">
        <f t="shared" ca="1" si="70"/>
        <v>4275</v>
      </c>
      <c r="U8" s="40">
        <f ca="1">SUM(K7:U7)-J7</f>
        <v>6022</v>
      </c>
      <c r="V8" s="40">
        <f t="shared" ca="1" si="70"/>
        <v>7143</v>
      </c>
      <c r="W8" s="40">
        <f t="shared" ca="1" si="70"/>
        <v>12868</v>
      </c>
      <c r="X8" s="40">
        <f t="shared" ca="1" si="70"/>
        <v>18231</v>
      </c>
      <c r="Y8" s="40">
        <f t="shared" ca="1" si="70"/>
        <v>23881</v>
      </c>
      <c r="Z8" s="40">
        <f t="shared" ca="1" si="70"/>
        <v>31300</v>
      </c>
      <c r="AA8" s="40">
        <f t="shared" ca="1" si="70"/>
        <v>41289</v>
      </c>
      <c r="AB8" s="40">
        <f t="shared" ca="1" si="70"/>
        <v>50393</v>
      </c>
      <c r="AC8" s="40">
        <f t="shared" ca="1" si="70"/>
        <v>61622</v>
      </c>
      <c r="AD8" s="40">
        <f t="shared" ca="1" si="70"/>
        <v>78428</v>
      </c>
      <c r="AE8" s="40">
        <f t="shared" ca="1" si="70"/>
        <v>94418</v>
      </c>
      <c r="AF8" s="40">
        <f ca="1">SUM(V7:AF7)-U7</f>
        <v>111373</v>
      </c>
      <c r="AG8" s="40">
        <f ca="1">SUM(W7:AG7)-V7</f>
        <v>129402</v>
      </c>
      <c r="AH8" s="40">
        <f t="shared" ca="1" si="70"/>
        <v>139540</v>
      </c>
      <c r="AI8" s="40">
        <f ca="1">SUM(Y7:AI7)-X7</f>
        <v>160064</v>
      </c>
      <c r="AJ8" s="40">
        <f t="shared" ca="1" si="70"/>
        <v>177107</v>
      </c>
      <c r="AK8" s="40">
        <f ca="1">SUM(AA7:AK7)-Z7</f>
        <v>196991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70"/>
        <v>#N/A</v>
      </c>
      <c r="AP8" s="40" t="e">
        <f t="shared" ca="1" si="70"/>
        <v>#N/A</v>
      </c>
      <c r="AQ8" s="40" t="e">
        <f ca="1">SUM(AG7:AQ7)-AF7</f>
        <v>#N/A</v>
      </c>
      <c r="AR8" s="40" t="e">
        <f t="shared" ca="1" si="70"/>
        <v>#N/A</v>
      </c>
      <c r="AS8" s="40" t="e">
        <f t="shared" ca="1" si="70"/>
        <v>#N/A</v>
      </c>
      <c r="AT8" s="40" t="e">
        <f t="shared" ca="1" si="70"/>
        <v>#N/A</v>
      </c>
      <c r="AU8" s="40" t="e">
        <f t="shared" ca="1" si="70"/>
        <v>#N/A</v>
      </c>
      <c r="AV8" s="40" t="e">
        <f t="shared" ca="1" si="70"/>
        <v>#N/A</v>
      </c>
      <c r="AW8" s="40" t="e">
        <f t="shared" ca="1" si="70"/>
        <v>#N/A</v>
      </c>
      <c r="AX8" s="40" t="e">
        <f t="shared" ca="1" si="70"/>
        <v>#N/A</v>
      </c>
      <c r="AY8" s="40" t="e">
        <f t="shared" ca="1" si="70"/>
        <v>#N/A</v>
      </c>
      <c r="AZ8" s="40" t="e">
        <f t="shared" ca="1" si="70"/>
        <v>#N/A</v>
      </c>
      <c r="BA8" s="40" t="e">
        <f t="shared" ca="1" si="70"/>
        <v>#N/A</v>
      </c>
      <c r="BB8" s="40" t="e">
        <f t="shared" ca="1" si="70"/>
        <v>#N/A</v>
      </c>
      <c r="BC8" s="40" t="e">
        <f t="shared" ca="1" si="70"/>
        <v>#N/A</v>
      </c>
      <c r="BD8" s="40" t="e">
        <f t="shared" ca="1" si="70"/>
        <v>#N/A</v>
      </c>
      <c r="BE8" s="40" t="e">
        <f t="shared" ca="1" si="70"/>
        <v>#N/A</v>
      </c>
      <c r="BF8" s="40" t="e">
        <f t="shared" ca="1" si="70"/>
        <v>#N/A</v>
      </c>
      <c r="BG8" s="40" t="e">
        <f t="shared" ca="1" si="70"/>
        <v>#N/A</v>
      </c>
      <c r="BH8" s="40" t="e">
        <f t="shared" ca="1" si="70"/>
        <v>#N/A</v>
      </c>
      <c r="BI8" s="40" t="e">
        <f t="shared" ca="1" si="70"/>
        <v>#N/A</v>
      </c>
      <c r="BJ8" s="40" t="e">
        <f t="shared" ca="1" si="70"/>
        <v>#N/A</v>
      </c>
      <c r="BK8" s="40" t="e">
        <f t="shared" ca="1" si="70"/>
        <v>#N/A</v>
      </c>
      <c r="BL8" s="40" t="e">
        <f t="shared" ca="1" si="70"/>
        <v>#N/A</v>
      </c>
      <c r="BM8" s="40" t="e">
        <f t="shared" ca="1" si="70"/>
        <v>#N/A</v>
      </c>
      <c r="BN8" s="40" t="e">
        <f t="shared" ca="1" si="70"/>
        <v>#N/A</v>
      </c>
      <c r="BO8" s="40" t="e">
        <f t="shared" ca="1" si="70"/>
        <v>#N/A</v>
      </c>
      <c r="BP8" s="40" t="e">
        <f t="shared" ca="1" si="70"/>
        <v>#N/A</v>
      </c>
      <c r="BQ8" s="40" t="e">
        <f t="shared" ca="1" si="70"/>
        <v>#N/A</v>
      </c>
      <c r="BR8" s="40" t="e">
        <f t="shared" ca="1" si="70"/>
        <v>#N/A</v>
      </c>
      <c r="BS8" s="40" t="e">
        <f t="shared" ca="1" si="70"/>
        <v>#N/A</v>
      </c>
      <c r="BT8" s="40" t="e">
        <f t="shared" ca="1" si="70"/>
        <v>#N/A</v>
      </c>
      <c r="BU8" s="40" t="e">
        <f t="shared" ca="1" si="70"/>
        <v>#N/A</v>
      </c>
      <c r="BV8" s="40" t="e">
        <f t="shared" ca="1" si="70"/>
        <v>#N/A</v>
      </c>
      <c r="BW8" s="40" t="e">
        <f t="shared" ca="1" si="70"/>
        <v>#N/A</v>
      </c>
      <c r="BX8" s="40" t="e">
        <f t="shared" ca="1" si="70"/>
        <v>#N/A</v>
      </c>
      <c r="BY8" s="40" t="e">
        <f t="shared" ca="1" si="70"/>
        <v>#N/A</v>
      </c>
      <c r="BZ8" s="40" t="e">
        <f t="shared" ca="1" si="70"/>
        <v>#N/A</v>
      </c>
      <c r="CA8" s="40" t="e">
        <f t="shared" ca="1" si="70"/>
        <v>#N/A</v>
      </c>
      <c r="CB8" s="40" t="e">
        <f t="shared" ca="1" si="70"/>
        <v>#N/A</v>
      </c>
      <c r="CC8" s="40" t="e">
        <f t="shared" ca="1" si="70"/>
        <v>#N/A</v>
      </c>
      <c r="CD8" s="40" t="e">
        <f t="shared" ca="1" si="70"/>
        <v>#N/A</v>
      </c>
      <c r="CE8" s="40" t="e">
        <f t="shared" ref="CE8:EP8" ca="1" si="71">SUM(BU7:CE7)-BT7</f>
        <v>#N/A</v>
      </c>
      <c r="CF8" s="40" t="e">
        <f t="shared" ca="1" si="71"/>
        <v>#N/A</v>
      </c>
      <c r="CG8" s="40" t="e">
        <f t="shared" si="71"/>
        <v>#N/A</v>
      </c>
      <c r="CH8" s="40" t="e">
        <f t="shared" si="71"/>
        <v>#N/A</v>
      </c>
      <c r="CI8" s="40" t="e">
        <f t="shared" si="71"/>
        <v>#N/A</v>
      </c>
      <c r="CJ8" s="40" t="e">
        <f t="shared" si="71"/>
        <v>#N/A</v>
      </c>
      <c r="CK8" s="40" t="e">
        <f t="shared" si="71"/>
        <v>#N/A</v>
      </c>
      <c r="CL8" s="40" t="e">
        <f t="shared" si="71"/>
        <v>#N/A</v>
      </c>
      <c r="CM8" s="40" t="e">
        <f t="shared" si="71"/>
        <v>#N/A</v>
      </c>
      <c r="CN8" s="40" t="e">
        <f t="shared" si="71"/>
        <v>#N/A</v>
      </c>
      <c r="CO8" s="40" t="e">
        <f t="shared" si="71"/>
        <v>#N/A</v>
      </c>
      <c r="CP8" s="40" t="e">
        <f t="shared" si="71"/>
        <v>#N/A</v>
      </c>
      <c r="CQ8" s="40" t="e">
        <f t="shared" si="71"/>
        <v>#N/A</v>
      </c>
      <c r="CR8" s="40" t="e">
        <f t="shared" si="71"/>
        <v>#N/A</v>
      </c>
      <c r="CS8" s="40" t="e">
        <f t="shared" si="71"/>
        <v>#N/A</v>
      </c>
      <c r="CT8" s="40" t="e">
        <f t="shared" si="71"/>
        <v>#N/A</v>
      </c>
      <c r="CU8" s="40" t="e">
        <f t="shared" si="71"/>
        <v>#N/A</v>
      </c>
      <c r="CV8" s="40" t="e">
        <f t="shared" si="71"/>
        <v>#N/A</v>
      </c>
      <c r="CW8" s="40" t="e">
        <f t="shared" si="71"/>
        <v>#N/A</v>
      </c>
      <c r="CX8" s="40" t="e">
        <f t="shared" si="71"/>
        <v>#N/A</v>
      </c>
      <c r="CY8" s="40" t="e">
        <f t="shared" si="71"/>
        <v>#N/A</v>
      </c>
      <c r="CZ8" s="40" t="e">
        <f t="shared" si="71"/>
        <v>#N/A</v>
      </c>
      <c r="DA8" s="40" t="e">
        <f t="shared" si="71"/>
        <v>#N/A</v>
      </c>
      <c r="DB8" s="40" t="e">
        <f t="shared" si="71"/>
        <v>#N/A</v>
      </c>
      <c r="DC8" s="40" t="e">
        <f t="shared" si="71"/>
        <v>#N/A</v>
      </c>
      <c r="DD8" s="40" t="e">
        <f t="shared" si="71"/>
        <v>#N/A</v>
      </c>
      <c r="DE8" s="40" t="e">
        <f t="shared" si="71"/>
        <v>#N/A</v>
      </c>
      <c r="DF8" s="40" t="e">
        <f t="shared" si="71"/>
        <v>#N/A</v>
      </c>
      <c r="DG8" s="40" t="e">
        <f t="shared" si="71"/>
        <v>#N/A</v>
      </c>
      <c r="DH8" s="40" t="e">
        <f t="shared" si="71"/>
        <v>#N/A</v>
      </c>
      <c r="DI8" s="40" t="e">
        <f t="shared" si="71"/>
        <v>#N/A</v>
      </c>
      <c r="DJ8" s="40" t="e">
        <f t="shared" si="71"/>
        <v>#N/A</v>
      </c>
      <c r="DK8" s="40" t="e">
        <f t="shared" si="71"/>
        <v>#N/A</v>
      </c>
      <c r="DL8" s="40" t="e">
        <f t="shared" si="71"/>
        <v>#N/A</v>
      </c>
      <c r="DM8" s="40" t="e">
        <f t="shared" si="71"/>
        <v>#N/A</v>
      </c>
      <c r="DN8" s="40" t="e">
        <f t="shared" si="71"/>
        <v>#N/A</v>
      </c>
      <c r="DO8" s="40" t="e">
        <f t="shared" si="71"/>
        <v>#N/A</v>
      </c>
      <c r="DP8" s="40" t="e">
        <f t="shared" si="71"/>
        <v>#N/A</v>
      </c>
      <c r="DQ8" s="40" t="e">
        <f t="shared" si="71"/>
        <v>#N/A</v>
      </c>
      <c r="DR8" s="40" t="e">
        <f t="shared" si="71"/>
        <v>#N/A</v>
      </c>
      <c r="DS8" s="40" t="e">
        <f t="shared" si="71"/>
        <v>#N/A</v>
      </c>
      <c r="DT8" s="40" t="e">
        <f t="shared" si="71"/>
        <v>#N/A</v>
      </c>
      <c r="DU8" s="40" t="e">
        <f t="shared" si="71"/>
        <v>#N/A</v>
      </c>
      <c r="DV8" s="40" t="e">
        <f t="shared" si="71"/>
        <v>#N/A</v>
      </c>
      <c r="DW8" s="40" t="e">
        <f t="shared" si="71"/>
        <v>#N/A</v>
      </c>
      <c r="DX8" s="40" t="e">
        <f t="shared" si="71"/>
        <v>#N/A</v>
      </c>
      <c r="DY8" s="40" t="e">
        <f t="shared" si="71"/>
        <v>#N/A</v>
      </c>
      <c r="DZ8" s="40" t="e">
        <f t="shared" si="71"/>
        <v>#N/A</v>
      </c>
      <c r="EA8" s="40" t="e">
        <f t="shared" si="71"/>
        <v>#N/A</v>
      </c>
      <c r="EB8" s="40" t="e">
        <f t="shared" si="71"/>
        <v>#N/A</v>
      </c>
      <c r="EC8" s="40" t="e">
        <f t="shared" si="71"/>
        <v>#N/A</v>
      </c>
      <c r="ED8" s="40" t="e">
        <f t="shared" si="71"/>
        <v>#N/A</v>
      </c>
      <c r="EE8" s="40" t="e">
        <f t="shared" si="71"/>
        <v>#N/A</v>
      </c>
      <c r="EF8" s="40" t="e">
        <f t="shared" si="71"/>
        <v>#N/A</v>
      </c>
      <c r="EG8" s="40" t="e">
        <f t="shared" si="71"/>
        <v>#N/A</v>
      </c>
      <c r="EH8" s="40" t="e">
        <f t="shared" si="71"/>
        <v>#N/A</v>
      </c>
      <c r="EI8" s="40" t="e">
        <f t="shared" si="71"/>
        <v>#N/A</v>
      </c>
      <c r="EJ8" s="40" t="e">
        <f t="shared" si="71"/>
        <v>#N/A</v>
      </c>
      <c r="EK8" s="40" t="e">
        <f t="shared" si="71"/>
        <v>#N/A</v>
      </c>
      <c r="EL8" s="40" t="e">
        <f t="shared" si="71"/>
        <v>#N/A</v>
      </c>
      <c r="EM8" s="40" t="e">
        <f t="shared" si="71"/>
        <v>#N/A</v>
      </c>
      <c r="EN8" s="40" t="e">
        <f t="shared" si="71"/>
        <v>#N/A</v>
      </c>
      <c r="EO8" s="40" t="e">
        <f t="shared" si="71"/>
        <v>#N/A</v>
      </c>
      <c r="EP8" s="40" t="e">
        <f t="shared" si="71"/>
        <v>#N/A</v>
      </c>
      <c r="EQ8" s="40" t="e">
        <f t="shared" ref="EQ8:HB8" si="72">SUM(EG7:EQ7)-EF7</f>
        <v>#N/A</v>
      </c>
      <c r="ER8" s="40" t="e">
        <f t="shared" si="72"/>
        <v>#N/A</v>
      </c>
      <c r="ES8" s="40" t="e">
        <f t="shared" si="72"/>
        <v>#N/A</v>
      </c>
      <c r="ET8" s="40" t="e">
        <f t="shared" si="72"/>
        <v>#N/A</v>
      </c>
      <c r="EU8" s="40" t="e">
        <f t="shared" si="72"/>
        <v>#N/A</v>
      </c>
      <c r="EV8" s="40" t="e">
        <f t="shared" si="72"/>
        <v>#N/A</v>
      </c>
      <c r="EW8" s="40" t="e">
        <f t="shared" si="72"/>
        <v>#N/A</v>
      </c>
      <c r="EX8" s="40" t="e">
        <f t="shared" si="72"/>
        <v>#N/A</v>
      </c>
      <c r="EY8" s="40" t="e">
        <f t="shared" si="72"/>
        <v>#N/A</v>
      </c>
      <c r="EZ8" s="40" t="e">
        <f t="shared" si="72"/>
        <v>#N/A</v>
      </c>
      <c r="FA8" s="40" t="e">
        <f t="shared" si="72"/>
        <v>#N/A</v>
      </c>
      <c r="FB8" s="40" t="e">
        <f t="shared" si="72"/>
        <v>#N/A</v>
      </c>
      <c r="FC8" s="40" t="e">
        <f t="shared" si="72"/>
        <v>#N/A</v>
      </c>
      <c r="FD8" s="40" t="e">
        <f t="shared" si="72"/>
        <v>#N/A</v>
      </c>
      <c r="FE8" s="40" t="e">
        <f t="shared" si="72"/>
        <v>#N/A</v>
      </c>
      <c r="FF8" s="40" t="e">
        <f t="shared" si="72"/>
        <v>#N/A</v>
      </c>
      <c r="FG8" s="40" t="e">
        <f t="shared" si="72"/>
        <v>#N/A</v>
      </c>
      <c r="FH8" s="40" t="e">
        <f t="shared" si="72"/>
        <v>#N/A</v>
      </c>
      <c r="FI8" s="40" t="e">
        <f t="shared" si="72"/>
        <v>#N/A</v>
      </c>
      <c r="FJ8" s="40" t="e">
        <f t="shared" si="72"/>
        <v>#N/A</v>
      </c>
      <c r="FK8" s="40" t="e">
        <f t="shared" si="72"/>
        <v>#N/A</v>
      </c>
      <c r="FL8" s="40" t="e">
        <f t="shared" si="72"/>
        <v>#N/A</v>
      </c>
      <c r="FM8" s="40" t="e">
        <f t="shared" si="72"/>
        <v>#N/A</v>
      </c>
      <c r="FN8" s="40" t="e">
        <f t="shared" si="72"/>
        <v>#N/A</v>
      </c>
      <c r="FO8" s="40" t="e">
        <f t="shared" si="72"/>
        <v>#N/A</v>
      </c>
      <c r="FP8" s="40" t="e">
        <f t="shared" si="72"/>
        <v>#N/A</v>
      </c>
      <c r="FQ8" s="40" t="e">
        <f t="shared" si="72"/>
        <v>#N/A</v>
      </c>
      <c r="FR8" s="40" t="e">
        <f t="shared" si="72"/>
        <v>#N/A</v>
      </c>
      <c r="FS8" s="40" t="e">
        <f t="shared" si="72"/>
        <v>#N/A</v>
      </c>
      <c r="FT8" s="40" t="e">
        <f t="shared" si="72"/>
        <v>#N/A</v>
      </c>
      <c r="FU8" s="40" t="e">
        <f t="shared" si="72"/>
        <v>#N/A</v>
      </c>
      <c r="FV8" s="40" t="e">
        <f t="shared" si="72"/>
        <v>#N/A</v>
      </c>
      <c r="FW8" s="40" t="e">
        <f t="shared" si="72"/>
        <v>#N/A</v>
      </c>
      <c r="FX8" s="40" t="e">
        <f t="shared" si="72"/>
        <v>#N/A</v>
      </c>
      <c r="FY8" s="40" t="e">
        <f t="shared" si="72"/>
        <v>#N/A</v>
      </c>
      <c r="FZ8" s="40" t="e">
        <f t="shared" si="72"/>
        <v>#N/A</v>
      </c>
      <c r="GA8" s="40" t="e">
        <f t="shared" si="72"/>
        <v>#N/A</v>
      </c>
      <c r="GB8" s="40" t="e">
        <f t="shared" si="72"/>
        <v>#N/A</v>
      </c>
      <c r="GC8" s="40" t="e">
        <f t="shared" si="72"/>
        <v>#N/A</v>
      </c>
      <c r="GD8" s="40" t="e">
        <f t="shared" si="72"/>
        <v>#N/A</v>
      </c>
      <c r="GE8" s="40" t="e">
        <f t="shared" si="72"/>
        <v>#N/A</v>
      </c>
      <c r="GF8" s="40" t="e">
        <f t="shared" si="72"/>
        <v>#N/A</v>
      </c>
      <c r="GG8" s="40" t="e">
        <f t="shared" si="72"/>
        <v>#N/A</v>
      </c>
      <c r="GH8" s="40" t="e">
        <f t="shared" si="72"/>
        <v>#N/A</v>
      </c>
      <c r="GI8" s="40" t="e">
        <f t="shared" si="72"/>
        <v>#N/A</v>
      </c>
      <c r="GJ8" s="40" t="e">
        <f t="shared" si="72"/>
        <v>#N/A</v>
      </c>
      <c r="GK8" s="40" t="e">
        <f t="shared" si="72"/>
        <v>#N/A</v>
      </c>
      <c r="GL8" s="40" t="e">
        <f t="shared" si="72"/>
        <v>#N/A</v>
      </c>
      <c r="GM8" s="40" t="e">
        <f t="shared" si="72"/>
        <v>#N/A</v>
      </c>
      <c r="GN8" s="40" t="e">
        <f t="shared" si="72"/>
        <v>#N/A</v>
      </c>
      <c r="GO8" s="40" t="e">
        <f t="shared" si="72"/>
        <v>#N/A</v>
      </c>
      <c r="GP8" s="40" t="e">
        <f t="shared" si="72"/>
        <v>#N/A</v>
      </c>
      <c r="GQ8" s="40" t="e">
        <f t="shared" si="72"/>
        <v>#N/A</v>
      </c>
      <c r="GR8" s="40" t="e">
        <f t="shared" si="72"/>
        <v>#N/A</v>
      </c>
      <c r="GS8" s="40" t="e">
        <f t="shared" si="72"/>
        <v>#N/A</v>
      </c>
      <c r="GT8" s="40" t="e">
        <f t="shared" si="72"/>
        <v>#N/A</v>
      </c>
      <c r="GU8" s="40" t="e">
        <f t="shared" si="72"/>
        <v>#N/A</v>
      </c>
      <c r="GV8" s="40" t="e">
        <f t="shared" si="72"/>
        <v>#N/A</v>
      </c>
      <c r="GW8" s="40" t="e">
        <f t="shared" si="72"/>
        <v>#N/A</v>
      </c>
      <c r="GX8" s="40" t="e">
        <f t="shared" si="72"/>
        <v>#N/A</v>
      </c>
      <c r="GY8" s="40" t="e">
        <f t="shared" si="72"/>
        <v>#N/A</v>
      </c>
      <c r="GZ8" s="40" t="e">
        <f t="shared" si="72"/>
        <v>#N/A</v>
      </c>
      <c r="HA8" s="40" t="e">
        <f t="shared" si="72"/>
        <v>#N/A</v>
      </c>
      <c r="HB8" s="40" t="e">
        <f t="shared" si="72"/>
        <v>#N/A</v>
      </c>
      <c r="HC8" s="40" t="e">
        <f t="shared" ref="HC8:IN8" si="73">SUM(GS7:HC7)-GR7</f>
        <v>#N/A</v>
      </c>
      <c r="HD8" s="40" t="e">
        <f t="shared" si="73"/>
        <v>#N/A</v>
      </c>
      <c r="HE8" s="40" t="e">
        <f t="shared" si="73"/>
        <v>#N/A</v>
      </c>
      <c r="HF8" s="40" t="e">
        <f t="shared" si="73"/>
        <v>#N/A</v>
      </c>
      <c r="HG8" s="40" t="e">
        <f t="shared" si="73"/>
        <v>#N/A</v>
      </c>
      <c r="HH8" s="40" t="e">
        <f t="shared" si="73"/>
        <v>#N/A</v>
      </c>
      <c r="HI8" s="40" t="e">
        <f t="shared" si="73"/>
        <v>#N/A</v>
      </c>
      <c r="HJ8" s="40" t="e">
        <f t="shared" si="73"/>
        <v>#N/A</v>
      </c>
      <c r="HK8" s="40" t="e">
        <f t="shared" si="73"/>
        <v>#N/A</v>
      </c>
      <c r="HL8" s="40" t="e">
        <f t="shared" si="73"/>
        <v>#N/A</v>
      </c>
      <c r="HM8" s="40" t="e">
        <f t="shared" si="73"/>
        <v>#N/A</v>
      </c>
      <c r="HN8" s="40" t="e">
        <f t="shared" si="73"/>
        <v>#N/A</v>
      </c>
      <c r="HO8" s="40" t="e">
        <f t="shared" si="73"/>
        <v>#N/A</v>
      </c>
      <c r="HP8" s="40" t="e">
        <f t="shared" si="73"/>
        <v>#N/A</v>
      </c>
      <c r="HQ8" s="40" t="e">
        <f t="shared" si="73"/>
        <v>#N/A</v>
      </c>
      <c r="HR8" s="40" t="e">
        <f t="shared" si="73"/>
        <v>#N/A</v>
      </c>
      <c r="HS8" s="40" t="e">
        <f t="shared" si="73"/>
        <v>#N/A</v>
      </c>
      <c r="HT8" s="40" t="e">
        <f t="shared" si="73"/>
        <v>#N/A</v>
      </c>
      <c r="HU8" s="40" t="e">
        <f t="shared" si="73"/>
        <v>#N/A</v>
      </c>
      <c r="HV8" s="40" t="e">
        <f t="shared" si="73"/>
        <v>#N/A</v>
      </c>
      <c r="HW8" s="40" t="e">
        <f t="shared" si="73"/>
        <v>#N/A</v>
      </c>
      <c r="HX8" s="40" t="e">
        <f t="shared" si="73"/>
        <v>#N/A</v>
      </c>
      <c r="HY8" s="40" t="e">
        <f t="shared" si="73"/>
        <v>#N/A</v>
      </c>
      <c r="HZ8" s="40" t="e">
        <f t="shared" si="73"/>
        <v>#N/A</v>
      </c>
      <c r="IA8" s="40" t="e">
        <f t="shared" si="73"/>
        <v>#N/A</v>
      </c>
      <c r="IB8" s="40" t="e">
        <f t="shared" si="73"/>
        <v>#N/A</v>
      </c>
      <c r="IC8" s="40" t="e">
        <f t="shared" si="73"/>
        <v>#N/A</v>
      </c>
      <c r="ID8" s="40" t="e">
        <f t="shared" si="73"/>
        <v>#N/A</v>
      </c>
      <c r="IE8" s="40" t="e">
        <f t="shared" si="73"/>
        <v>#N/A</v>
      </c>
      <c r="IF8" s="40" t="e">
        <f t="shared" si="73"/>
        <v>#N/A</v>
      </c>
      <c r="IG8" s="40" t="e">
        <f t="shared" si="73"/>
        <v>#N/A</v>
      </c>
      <c r="IH8" s="40" t="e">
        <f t="shared" si="73"/>
        <v>#N/A</v>
      </c>
      <c r="II8" s="40" t="e">
        <f t="shared" si="73"/>
        <v>#N/A</v>
      </c>
      <c r="IJ8" s="40" t="e">
        <f t="shared" si="73"/>
        <v>#N/A</v>
      </c>
      <c r="IK8" s="40" t="e">
        <f t="shared" si="73"/>
        <v>#N/A</v>
      </c>
      <c r="IL8" s="40" t="e">
        <f t="shared" si="73"/>
        <v>#N/A</v>
      </c>
      <c r="IM8" s="40" t="e">
        <f t="shared" si="73"/>
        <v>#N/A</v>
      </c>
      <c r="IN8" s="40" t="e">
        <f t="shared" si="73"/>
        <v>#N/A</v>
      </c>
    </row>
    <row r="9" spans="2:248" x14ac:dyDescent="0.3">
      <c r="B9" s="19" t="s">
        <v>572</v>
      </c>
      <c r="C9" s="85">
        <f ca="1">VLOOKUP(B2,Country_Data!C:P,14,FALSE)</f>
        <v>1</v>
      </c>
      <c r="F9" s="19" t="s">
        <v>583</v>
      </c>
      <c r="G9" s="40">
        <f t="shared" ref="G9:BP9" si="74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4"/>
        <v>128</v>
      </c>
      <c r="I9" s="40">
        <f t="shared" ca="1" si="74"/>
        <v>157</v>
      </c>
      <c r="J9" s="40">
        <f t="shared" ca="1" si="74"/>
        <v>219.66666666666666</v>
      </c>
      <c r="K9" s="40">
        <f t="shared" ca="1" si="74"/>
        <v>366.5</v>
      </c>
      <c r="L9" s="40">
        <f t="shared" ca="1" si="74"/>
        <v>484.4</v>
      </c>
      <c r="M9" s="40">
        <f t="shared" ca="1" si="74"/>
        <v>552.33333333333337</v>
      </c>
      <c r="N9" s="40">
        <f t="shared" ca="1" si="74"/>
        <v>925.14285714285711</v>
      </c>
      <c r="O9" s="40">
        <f t="shared" ca="1" si="74"/>
        <v>1241.25</v>
      </c>
      <c r="P9" s="40">
        <f t="shared" ca="1" si="74"/>
        <v>1620.8888888888889</v>
      </c>
      <c r="Q9" s="40">
        <f t="shared" ca="1" si="74"/>
        <v>2131.1999999999998</v>
      </c>
      <c r="R9" s="40">
        <f t="shared" ca="1" si="74"/>
        <v>2673.2727272727275</v>
      </c>
      <c r="S9" s="40">
        <f t="shared" ref="S9" ca="1" si="75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4"/>
        <v>7143</v>
      </c>
      <c r="W9" s="40">
        <f t="shared" ca="1" si="74"/>
        <v>12868</v>
      </c>
      <c r="X9" s="40">
        <f t="shared" ca="1" si="74"/>
        <v>18231</v>
      </c>
      <c r="Y9" s="40">
        <f ca="1">IF(IF(AND(ISNA(Y$8),ISNA(X$8)),X9*(1+$C$11),IF(AND(X$8&gt;0,ISNA(Y$8)),X9*(1+$C$11),Y$8))&gt;$C$21,$C$21,IF(AND(ISNA(Y$8),ISNA(X$8)),X9*(1+$C$11),IF(AND(X$8&gt;0,ISNA(Y$8)),X9*(1+$C$11),Y$8)))</f>
        <v>23881</v>
      </c>
      <c r="Z9" s="40">
        <f t="shared" ca="1" si="74"/>
        <v>31300</v>
      </c>
      <c r="AA9" s="40">
        <f t="shared" ca="1" si="74"/>
        <v>41289</v>
      </c>
      <c r="AB9" s="40">
        <f t="shared" ca="1" si="74"/>
        <v>50393</v>
      </c>
      <c r="AC9" s="40">
        <f t="shared" ca="1" si="74"/>
        <v>61622</v>
      </c>
      <c r="AD9" s="40">
        <f t="shared" ca="1" si="74"/>
        <v>78428</v>
      </c>
      <c r="AE9" s="40">
        <f t="shared" ca="1" si="74"/>
        <v>94418</v>
      </c>
      <c r="AF9" s="40">
        <f t="shared" ca="1" si="74"/>
        <v>111373</v>
      </c>
      <c r="AG9" s="40">
        <f t="shared" ca="1" si="74"/>
        <v>129402</v>
      </c>
      <c r="AH9" s="40">
        <f t="shared" ca="1" si="74"/>
        <v>139540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160064</v>
      </c>
      <c r="AJ9" s="40">
        <f t="shared" ca="1" si="74"/>
        <v>177107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196991</v>
      </c>
      <c r="AL9" s="40">
        <f t="shared" ca="1" si="74"/>
        <v>223797.05829304652</v>
      </c>
      <c r="AM9" s="40">
        <f t="shared" ca="1" si="74"/>
        <v>254250.82009138115</v>
      </c>
      <c r="AN9" s="40">
        <f t="shared" ca="1" si="74"/>
        <v>288848.65605558484</v>
      </c>
      <c r="AO9" s="40">
        <f t="shared" ca="1" si="74"/>
        <v>328154.48176383623</v>
      </c>
      <c r="AP9" s="40">
        <f t="shared" ca="1" si="74"/>
        <v>372808.94906074757</v>
      </c>
      <c r="AQ9" s="40">
        <f t="shared" ca="1" si="74"/>
        <v>423539.88814269454</v>
      </c>
      <c r="AR9" s="40">
        <f t="shared" ca="1" si="74"/>
        <v>481174.17057683354</v>
      </c>
      <c r="AS9" s="40">
        <f t="shared" ca="1" si="74"/>
        <v>546651.18661102245</v>
      </c>
      <c r="AT9" s="40">
        <f t="shared" ca="1" si="74"/>
        <v>621038.15644344187</v>
      </c>
      <c r="AU9" s="40">
        <f t="shared" ca="1" si="74"/>
        <v>705547.52501271176</v>
      </c>
      <c r="AV9" s="40">
        <f t="shared" ca="1" si="74"/>
        <v>801556.72382892901</v>
      </c>
      <c r="AW9" s="40">
        <f t="shared" ca="1" si="74"/>
        <v>910630.62194682099</v>
      </c>
      <c r="AX9" s="40">
        <f t="shared" ca="1" si="74"/>
        <v>1034547.0320129646</v>
      </c>
      <c r="AY9" s="40">
        <f t="shared" ca="1" si="74"/>
        <v>1175325.687114151</v>
      </c>
      <c r="AZ9" s="40">
        <f t="shared" ca="1" si="74"/>
        <v>1335261.1607251123</v>
      </c>
      <c r="BA9" s="40">
        <f t="shared" ca="1" si="74"/>
        <v>1516960.2663230246</v>
      </c>
      <c r="BB9" s="40">
        <f t="shared" ca="1" si="74"/>
        <v>1723384.5462509929</v>
      </c>
      <c r="BC9" s="40">
        <f t="shared" ca="1" si="74"/>
        <v>1957898.5423631994</v>
      </c>
      <c r="BD9" s="40">
        <f t="shared" ca="1" si="74"/>
        <v>2224324.6352225621</v>
      </c>
      <c r="BE9" s="40">
        <f t="shared" ca="1" si="74"/>
        <v>2527005.3456836259</v>
      </c>
      <c r="BF9" s="40">
        <f t="shared" ca="1" si="74"/>
        <v>2870874.1143239979</v>
      </c>
      <c r="BG9" s="40">
        <f t="shared" ca="1" si="74"/>
        <v>3261535.7123694285</v>
      </c>
      <c r="BH9" s="40">
        <f t="shared" ca="1" si="74"/>
        <v>3705357.5947428765</v>
      </c>
      <c r="BI9" s="40">
        <f t="shared" ca="1" si="74"/>
        <v>4209573.6842152905</v>
      </c>
      <c r="BJ9" s="40">
        <f t="shared" ca="1" si="74"/>
        <v>4782402.278252326</v>
      </c>
      <c r="BK9" s="40">
        <f t="shared" ca="1" si="74"/>
        <v>5433180.0003392762</v>
      </c>
      <c r="BL9" s="40">
        <f t="shared" ca="1" si="74"/>
        <v>6172513.9790779455</v>
      </c>
      <c r="BM9" s="40">
        <f t="shared" ca="1" si="74"/>
        <v>7012454.7354465509</v>
      </c>
      <c r="BN9" s="40">
        <f t="shared" ca="1" si="74"/>
        <v>7966692.5961393258</v>
      </c>
      <c r="BO9" s="40">
        <f t="shared" ca="1" si="74"/>
        <v>9050780.8343577869</v>
      </c>
      <c r="BP9" s="40">
        <f t="shared" ca="1" si="74"/>
        <v>10282389.175060576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11681591.796593865</v>
      </c>
      <c r="BR9" s="40">
        <f t="shared" ref="BR9:EC9" ca="1" si="76">IF(IF(AND(ISNA(BR$8),ISNA(BQ$8)),BQ9*(1+$C$11),IF(AND(BQ$8&gt;0,ISNA(BR$8)),BQ9*(1+$C$11),BR$8))&gt;$C$21,$C$21,IF(AND(ISNA(BR$8),ISNA(BQ$8)),BQ9*(1+$C$11),IF(AND(BQ$8&gt;0,ISNA(BR$8)),BQ9*(1+$C$11),BR$8)))</f>
        <v>13271194.522886282</v>
      </c>
      <c r="BS9" s="40">
        <f t="shared" ca="1" si="76"/>
        <v>15077106.53916545</v>
      </c>
      <c r="BT9" s="40">
        <f t="shared" ca="1" si="76"/>
        <v>17128762.689849198</v>
      </c>
      <c r="BU9" s="40">
        <f t="shared" ca="1" si="76"/>
        <v>19459603.241711251</v>
      </c>
      <c r="BV9" s="40">
        <f t="shared" ca="1" si="76"/>
        <v>22107618.932056844</v>
      </c>
      <c r="BW9" s="40">
        <f t="shared" ca="1" si="76"/>
        <v>25115970.185734294</v>
      </c>
      <c r="BX9" s="40">
        <f t="shared" ca="1" si="76"/>
        <v>28533690.59369817</v>
      </c>
      <c r="BY9" s="40">
        <f t="shared" ca="1" si="76"/>
        <v>32416486.119231958</v>
      </c>
      <c r="BZ9" s="40">
        <f t="shared" ca="1" si="76"/>
        <v>36827643.058218338</v>
      </c>
      <c r="CA9" s="40">
        <f t="shared" ca="1" si="76"/>
        <v>41839059.552444525</v>
      </c>
      <c r="CB9" s="40">
        <f t="shared" ca="1" si="76"/>
        <v>47532417.468740568</v>
      </c>
      <c r="CC9" s="40">
        <f t="shared" ca="1" si="76"/>
        <v>54000513.744593181</v>
      </c>
      <c r="CD9" s="40">
        <f t="shared" ca="1" si="76"/>
        <v>61348772.900047109</v>
      </c>
      <c r="CE9" s="40">
        <f t="shared" ca="1" si="76"/>
        <v>69696965.368563622</v>
      </c>
      <c r="CF9" s="40">
        <f t="shared" ca="1" si="76"/>
        <v>79181159.654181555</v>
      </c>
      <c r="CG9" s="40">
        <f t="shared" ca="1" si="76"/>
        <v>89955940.133497939</v>
      </c>
      <c r="CH9" s="40">
        <f t="shared" ca="1" si="76"/>
        <v>102196926.65077208</v>
      </c>
      <c r="CI9" s="40">
        <f t="shared" ca="1" si="76"/>
        <v>116103636.97343045</v>
      </c>
      <c r="CJ9" s="40">
        <f t="shared" ca="1" si="76"/>
        <v>131902738.76358579</v>
      </c>
      <c r="CK9" s="40">
        <f t="shared" ca="1" si="76"/>
        <v>132401060.40000001</v>
      </c>
      <c r="CL9" s="40">
        <f t="shared" ca="1" si="76"/>
        <v>132401060.40000001</v>
      </c>
      <c r="CM9" s="40">
        <f t="shared" ca="1" si="76"/>
        <v>132401060.40000001</v>
      </c>
      <c r="CN9" s="40">
        <f t="shared" ca="1" si="76"/>
        <v>132401060.40000001</v>
      </c>
      <c r="CO9" s="40">
        <f t="shared" ca="1" si="76"/>
        <v>132401060.40000001</v>
      </c>
      <c r="CP9" s="40">
        <f t="shared" ca="1" si="76"/>
        <v>132401060.40000001</v>
      </c>
      <c r="CQ9" s="40">
        <f t="shared" ca="1" si="76"/>
        <v>132401060.40000001</v>
      </c>
      <c r="CR9" s="40">
        <f t="shared" ca="1" si="76"/>
        <v>132401060.40000001</v>
      </c>
      <c r="CS9" s="40">
        <f t="shared" ca="1" si="76"/>
        <v>132401060.40000001</v>
      </c>
      <c r="CT9" s="40">
        <f t="shared" ca="1" si="76"/>
        <v>132401060.40000001</v>
      </c>
      <c r="CU9" s="40">
        <f t="shared" ca="1" si="76"/>
        <v>132401060.40000001</v>
      </c>
      <c r="CV9" s="40">
        <f t="shared" ca="1" si="76"/>
        <v>132401060.40000001</v>
      </c>
      <c r="CW9" s="40">
        <f t="shared" ca="1" si="76"/>
        <v>132401060.40000001</v>
      </c>
      <c r="CX9" s="40">
        <f t="shared" ca="1" si="76"/>
        <v>132401060.40000001</v>
      </c>
      <c r="CY9" s="40">
        <f t="shared" ca="1" si="76"/>
        <v>132401060.40000001</v>
      </c>
      <c r="CZ9" s="40">
        <f t="shared" ca="1" si="76"/>
        <v>132401060.40000001</v>
      </c>
      <c r="DA9" s="40">
        <f t="shared" ca="1" si="76"/>
        <v>132401060.40000001</v>
      </c>
      <c r="DB9" s="40">
        <f t="shared" ca="1" si="76"/>
        <v>132401060.40000001</v>
      </c>
      <c r="DC9" s="40">
        <f t="shared" ca="1" si="76"/>
        <v>132401060.40000001</v>
      </c>
      <c r="DD9" s="40">
        <f t="shared" ca="1" si="76"/>
        <v>132401060.40000001</v>
      </c>
      <c r="DE9" s="40">
        <f t="shared" ca="1" si="76"/>
        <v>132401060.40000001</v>
      </c>
      <c r="DF9" s="40">
        <f t="shared" ca="1" si="76"/>
        <v>132401060.40000001</v>
      </c>
      <c r="DG9" s="40">
        <f t="shared" ca="1" si="76"/>
        <v>132401060.40000001</v>
      </c>
      <c r="DH9" s="40">
        <f t="shared" ca="1" si="76"/>
        <v>132401060.40000001</v>
      </c>
      <c r="DI9" s="40">
        <f t="shared" ca="1" si="76"/>
        <v>132401060.40000001</v>
      </c>
      <c r="DJ9" s="40">
        <f t="shared" ca="1" si="76"/>
        <v>132401060.40000001</v>
      </c>
      <c r="DK9" s="40">
        <f t="shared" ca="1" si="76"/>
        <v>132401060.40000001</v>
      </c>
      <c r="DL9" s="40">
        <f t="shared" ca="1" si="76"/>
        <v>132401060.40000001</v>
      </c>
      <c r="DM9" s="40">
        <f t="shared" ca="1" si="76"/>
        <v>132401060.40000001</v>
      </c>
      <c r="DN9" s="40">
        <f t="shared" ca="1" si="76"/>
        <v>132401060.40000001</v>
      </c>
      <c r="DO9" s="40">
        <f t="shared" ca="1" si="76"/>
        <v>132401060.40000001</v>
      </c>
      <c r="DP9" s="40">
        <f t="shared" ca="1" si="76"/>
        <v>132401060.40000001</v>
      </c>
      <c r="DQ9" s="40">
        <f t="shared" ca="1" si="76"/>
        <v>132401060.40000001</v>
      </c>
      <c r="DR9" s="40">
        <f t="shared" ca="1" si="76"/>
        <v>132401060.40000001</v>
      </c>
      <c r="DS9" s="40">
        <f t="shared" ca="1" si="76"/>
        <v>132401060.40000001</v>
      </c>
      <c r="DT9" s="40">
        <f t="shared" ca="1" si="76"/>
        <v>132401060.40000001</v>
      </c>
      <c r="DU9" s="40">
        <f t="shared" ca="1" si="76"/>
        <v>132401060.40000001</v>
      </c>
      <c r="DV9" s="40">
        <f t="shared" ca="1" si="76"/>
        <v>132401060.40000001</v>
      </c>
      <c r="DW9" s="40">
        <f t="shared" ca="1" si="76"/>
        <v>132401060.40000001</v>
      </c>
      <c r="DX9" s="40">
        <f t="shared" ca="1" si="76"/>
        <v>132401060.40000001</v>
      </c>
      <c r="DY9" s="40">
        <f t="shared" ca="1" si="76"/>
        <v>132401060.40000001</v>
      </c>
      <c r="DZ9" s="40">
        <f t="shared" ca="1" si="76"/>
        <v>132401060.40000001</v>
      </c>
      <c r="EA9" s="40">
        <f t="shared" ca="1" si="76"/>
        <v>132401060.40000001</v>
      </c>
      <c r="EB9" s="40">
        <f t="shared" ca="1" si="76"/>
        <v>132401060.40000001</v>
      </c>
      <c r="EC9" s="40">
        <f t="shared" ca="1" si="76"/>
        <v>132401060.40000001</v>
      </c>
      <c r="ED9" s="40">
        <f t="shared" ref="ED9:GO9" ca="1" si="77">IF(IF(AND(ISNA(ED$8),ISNA(EC$8)),EC9*(1+$C$11),IF(AND(EC$8&gt;0,ISNA(ED$8)),EC9*(1+$C$11),ED$8))&gt;$C$21,$C$21,IF(AND(ISNA(ED$8),ISNA(EC$8)),EC9*(1+$C$11),IF(AND(EC$8&gt;0,ISNA(ED$8)),EC9*(1+$C$11),ED$8)))</f>
        <v>132401060.40000001</v>
      </c>
      <c r="EE9" s="40">
        <f t="shared" ca="1" si="77"/>
        <v>132401060.40000001</v>
      </c>
      <c r="EF9" s="40">
        <f t="shared" ca="1" si="77"/>
        <v>132401060.40000001</v>
      </c>
      <c r="EG9" s="40">
        <f t="shared" ca="1" si="77"/>
        <v>132401060.40000001</v>
      </c>
      <c r="EH9" s="40">
        <f t="shared" ca="1" si="77"/>
        <v>132401060.40000001</v>
      </c>
      <c r="EI9" s="40">
        <f t="shared" ca="1" si="77"/>
        <v>132401060.40000001</v>
      </c>
      <c r="EJ9" s="40">
        <f t="shared" ca="1" si="77"/>
        <v>132401060.40000001</v>
      </c>
      <c r="EK9" s="40">
        <f t="shared" ca="1" si="77"/>
        <v>132401060.40000001</v>
      </c>
      <c r="EL9" s="40">
        <f t="shared" ca="1" si="77"/>
        <v>132401060.40000001</v>
      </c>
      <c r="EM9" s="40">
        <f t="shared" ca="1" si="77"/>
        <v>132401060.40000001</v>
      </c>
      <c r="EN9" s="40">
        <f t="shared" ca="1" si="77"/>
        <v>132401060.40000001</v>
      </c>
      <c r="EO9" s="40">
        <f t="shared" ca="1" si="77"/>
        <v>132401060.40000001</v>
      </c>
      <c r="EP9" s="40">
        <f t="shared" ca="1" si="77"/>
        <v>132401060.40000001</v>
      </c>
      <c r="EQ9" s="40">
        <f t="shared" ca="1" si="77"/>
        <v>132401060.40000001</v>
      </c>
      <c r="ER9" s="40">
        <f t="shared" ca="1" si="77"/>
        <v>132401060.40000001</v>
      </c>
      <c r="ES9" s="40">
        <f t="shared" ca="1" si="77"/>
        <v>132401060.40000001</v>
      </c>
      <c r="ET9" s="40">
        <f t="shared" ca="1" si="77"/>
        <v>132401060.40000001</v>
      </c>
      <c r="EU9" s="40">
        <f t="shared" ca="1" si="77"/>
        <v>132401060.40000001</v>
      </c>
      <c r="EV9" s="40">
        <f t="shared" ca="1" si="77"/>
        <v>132401060.40000001</v>
      </c>
      <c r="EW9" s="40">
        <f t="shared" ca="1" si="77"/>
        <v>132401060.40000001</v>
      </c>
      <c r="EX9" s="40">
        <f t="shared" ca="1" si="77"/>
        <v>132401060.40000001</v>
      </c>
      <c r="EY9" s="40">
        <f t="shared" ca="1" si="77"/>
        <v>132401060.40000001</v>
      </c>
      <c r="EZ9" s="40">
        <f t="shared" ca="1" si="77"/>
        <v>132401060.40000001</v>
      </c>
      <c r="FA9" s="40">
        <f t="shared" ca="1" si="77"/>
        <v>132401060.40000001</v>
      </c>
      <c r="FB9" s="40">
        <f t="shared" ca="1" si="77"/>
        <v>132401060.40000001</v>
      </c>
      <c r="FC9" s="40">
        <f t="shared" ca="1" si="77"/>
        <v>132401060.40000001</v>
      </c>
      <c r="FD9" s="40">
        <f t="shared" ca="1" si="77"/>
        <v>132401060.40000001</v>
      </c>
      <c r="FE9" s="40">
        <f t="shared" ca="1" si="77"/>
        <v>132401060.40000001</v>
      </c>
      <c r="FF9" s="40">
        <f t="shared" ca="1" si="77"/>
        <v>132401060.40000001</v>
      </c>
      <c r="FG9" s="40">
        <f t="shared" ca="1" si="77"/>
        <v>132401060.40000001</v>
      </c>
      <c r="FH9" s="40">
        <f t="shared" ca="1" si="77"/>
        <v>132401060.40000001</v>
      </c>
      <c r="FI9" s="40">
        <f t="shared" ca="1" si="77"/>
        <v>132401060.40000001</v>
      </c>
      <c r="FJ9" s="40">
        <f t="shared" ca="1" si="77"/>
        <v>132401060.40000001</v>
      </c>
      <c r="FK9" s="40">
        <f t="shared" ca="1" si="77"/>
        <v>132401060.40000001</v>
      </c>
      <c r="FL9" s="40">
        <f t="shared" ca="1" si="77"/>
        <v>132401060.40000001</v>
      </c>
      <c r="FM9" s="40">
        <f t="shared" ca="1" si="77"/>
        <v>132401060.40000001</v>
      </c>
      <c r="FN9" s="40">
        <f t="shared" ca="1" si="77"/>
        <v>132401060.40000001</v>
      </c>
      <c r="FO9" s="40">
        <f t="shared" ca="1" si="77"/>
        <v>132401060.40000001</v>
      </c>
      <c r="FP9" s="40">
        <f t="shared" ca="1" si="77"/>
        <v>132401060.40000001</v>
      </c>
      <c r="FQ9" s="40">
        <f t="shared" ca="1" si="77"/>
        <v>132401060.40000001</v>
      </c>
      <c r="FR9" s="40">
        <f t="shared" ca="1" si="77"/>
        <v>132401060.40000001</v>
      </c>
      <c r="FS9" s="40">
        <f t="shared" ca="1" si="77"/>
        <v>132401060.40000001</v>
      </c>
      <c r="FT9" s="40">
        <f t="shared" ca="1" si="77"/>
        <v>132401060.40000001</v>
      </c>
      <c r="FU9" s="40">
        <f t="shared" ca="1" si="77"/>
        <v>132401060.40000001</v>
      </c>
      <c r="FV9" s="40">
        <f t="shared" ca="1" si="77"/>
        <v>132401060.40000001</v>
      </c>
      <c r="FW9" s="40">
        <f t="shared" ca="1" si="77"/>
        <v>132401060.40000001</v>
      </c>
      <c r="FX9" s="40">
        <f t="shared" ca="1" si="77"/>
        <v>132401060.40000001</v>
      </c>
      <c r="FY9" s="40">
        <f t="shared" ca="1" si="77"/>
        <v>132401060.40000001</v>
      </c>
      <c r="FZ9" s="40">
        <f t="shared" ca="1" si="77"/>
        <v>132401060.40000001</v>
      </c>
      <c r="GA9" s="40">
        <f t="shared" ca="1" si="77"/>
        <v>132401060.40000001</v>
      </c>
      <c r="GB9" s="40">
        <f t="shared" ca="1" si="77"/>
        <v>132401060.40000001</v>
      </c>
      <c r="GC9" s="40">
        <f t="shared" ca="1" si="77"/>
        <v>132401060.40000001</v>
      </c>
      <c r="GD9" s="40">
        <f t="shared" ca="1" si="77"/>
        <v>132401060.40000001</v>
      </c>
      <c r="GE9" s="40">
        <f t="shared" ca="1" si="77"/>
        <v>132401060.40000001</v>
      </c>
      <c r="GF9" s="40">
        <f t="shared" ca="1" si="77"/>
        <v>132401060.40000001</v>
      </c>
      <c r="GG9" s="40">
        <f t="shared" ca="1" si="77"/>
        <v>132401060.40000001</v>
      </c>
      <c r="GH9" s="40">
        <f t="shared" ca="1" si="77"/>
        <v>132401060.40000001</v>
      </c>
      <c r="GI9" s="40">
        <f t="shared" ca="1" si="77"/>
        <v>132401060.40000001</v>
      </c>
      <c r="GJ9" s="40">
        <f t="shared" ca="1" si="77"/>
        <v>132401060.40000001</v>
      </c>
      <c r="GK9" s="40">
        <f t="shared" ca="1" si="77"/>
        <v>132401060.40000001</v>
      </c>
      <c r="GL9" s="40">
        <f t="shared" ca="1" si="77"/>
        <v>132401060.40000001</v>
      </c>
      <c r="GM9" s="40">
        <f t="shared" ca="1" si="77"/>
        <v>132401060.40000001</v>
      </c>
      <c r="GN9" s="40">
        <f t="shared" ca="1" si="77"/>
        <v>132401060.40000001</v>
      </c>
      <c r="GO9" s="40">
        <f t="shared" ca="1" si="77"/>
        <v>132401060.40000001</v>
      </c>
      <c r="GP9" s="40">
        <f t="shared" ref="GP9:IN9" ca="1" si="78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8"/>
        <v>132401060.40000001</v>
      </c>
      <c r="GR9" s="40">
        <f t="shared" ca="1" si="78"/>
        <v>132401060.40000001</v>
      </c>
      <c r="GS9" s="40">
        <f t="shared" ca="1" si="78"/>
        <v>132401060.40000001</v>
      </c>
      <c r="GT9" s="40">
        <f t="shared" ca="1" si="78"/>
        <v>132401060.40000001</v>
      </c>
      <c r="GU9" s="40">
        <f t="shared" ca="1" si="78"/>
        <v>132401060.40000001</v>
      </c>
      <c r="GV9" s="40">
        <f t="shared" ca="1" si="78"/>
        <v>132401060.40000001</v>
      </c>
      <c r="GW9" s="40">
        <f t="shared" ca="1" si="78"/>
        <v>132401060.40000001</v>
      </c>
      <c r="GX9" s="40">
        <f t="shared" ca="1" si="78"/>
        <v>132401060.40000001</v>
      </c>
      <c r="GY9" s="40">
        <f t="shared" ca="1" si="78"/>
        <v>132401060.40000001</v>
      </c>
      <c r="GZ9" s="40">
        <f t="shared" ca="1" si="78"/>
        <v>132401060.40000001</v>
      </c>
      <c r="HA9" s="40">
        <f t="shared" ca="1" si="78"/>
        <v>132401060.40000001</v>
      </c>
      <c r="HB9" s="40">
        <f t="shared" ca="1" si="78"/>
        <v>132401060.40000001</v>
      </c>
      <c r="HC9" s="40">
        <f t="shared" ca="1" si="78"/>
        <v>132401060.40000001</v>
      </c>
      <c r="HD9" s="40">
        <f t="shared" ca="1" si="78"/>
        <v>132401060.40000001</v>
      </c>
      <c r="HE9" s="40">
        <f t="shared" ca="1" si="78"/>
        <v>132401060.40000001</v>
      </c>
      <c r="HF9" s="40">
        <f t="shared" ca="1" si="78"/>
        <v>132401060.40000001</v>
      </c>
      <c r="HG9" s="40">
        <f t="shared" ca="1" si="78"/>
        <v>132401060.40000001</v>
      </c>
      <c r="HH9" s="40">
        <f t="shared" ca="1" si="78"/>
        <v>132401060.40000001</v>
      </c>
      <c r="HI9" s="40">
        <f t="shared" ca="1" si="78"/>
        <v>132401060.40000001</v>
      </c>
      <c r="HJ9" s="40">
        <f t="shared" ca="1" si="78"/>
        <v>132401060.40000001</v>
      </c>
      <c r="HK9" s="40">
        <f t="shared" ca="1" si="78"/>
        <v>132401060.40000001</v>
      </c>
      <c r="HL9" s="40">
        <f t="shared" ca="1" si="78"/>
        <v>132401060.40000001</v>
      </c>
      <c r="HM9" s="40">
        <f t="shared" ca="1" si="78"/>
        <v>132401060.40000001</v>
      </c>
      <c r="HN9" s="40">
        <f t="shared" ca="1" si="78"/>
        <v>132401060.40000001</v>
      </c>
      <c r="HO9" s="40">
        <f t="shared" ca="1" si="78"/>
        <v>132401060.40000001</v>
      </c>
      <c r="HP9" s="40">
        <f t="shared" ca="1" si="78"/>
        <v>132401060.40000001</v>
      </c>
      <c r="HQ9" s="40">
        <f t="shared" ca="1" si="78"/>
        <v>132401060.40000001</v>
      </c>
      <c r="HR9" s="40">
        <f t="shared" ca="1" si="78"/>
        <v>132401060.40000001</v>
      </c>
      <c r="HS9" s="40">
        <f t="shared" ca="1" si="78"/>
        <v>132401060.40000001</v>
      </c>
      <c r="HT9" s="40">
        <f t="shared" ca="1" si="78"/>
        <v>132401060.40000001</v>
      </c>
      <c r="HU9" s="40">
        <f t="shared" ca="1" si="78"/>
        <v>132401060.40000001</v>
      </c>
      <c r="HV9" s="40">
        <f t="shared" ca="1" si="78"/>
        <v>132401060.40000001</v>
      </c>
      <c r="HW9" s="40">
        <f t="shared" ca="1" si="78"/>
        <v>132401060.40000001</v>
      </c>
      <c r="HX9" s="40">
        <f t="shared" ca="1" si="78"/>
        <v>132401060.40000001</v>
      </c>
      <c r="HY9" s="40">
        <f t="shared" ca="1" si="78"/>
        <v>132401060.40000001</v>
      </c>
      <c r="HZ9" s="40">
        <f t="shared" ca="1" si="78"/>
        <v>132401060.40000001</v>
      </c>
      <c r="IA9" s="40">
        <f t="shared" ca="1" si="78"/>
        <v>132401060.40000001</v>
      </c>
      <c r="IB9" s="40">
        <f t="shared" ca="1" si="78"/>
        <v>132401060.40000001</v>
      </c>
      <c r="IC9" s="40">
        <f t="shared" ca="1" si="78"/>
        <v>132401060.40000001</v>
      </c>
      <c r="ID9" s="40">
        <f t="shared" ca="1" si="78"/>
        <v>132401060.40000001</v>
      </c>
      <c r="IE9" s="40">
        <f t="shared" ca="1" si="78"/>
        <v>132401060.40000001</v>
      </c>
      <c r="IF9" s="40">
        <f t="shared" ca="1" si="78"/>
        <v>132401060.40000001</v>
      </c>
      <c r="IG9" s="40">
        <f t="shared" ca="1" si="78"/>
        <v>132401060.40000001</v>
      </c>
      <c r="IH9" s="40">
        <f t="shared" ca="1" si="78"/>
        <v>132401060.40000001</v>
      </c>
      <c r="II9" s="40">
        <f t="shared" ca="1" si="78"/>
        <v>132401060.40000001</v>
      </c>
      <c r="IJ9" s="40">
        <f t="shared" ca="1" si="78"/>
        <v>132401060.40000001</v>
      </c>
      <c r="IK9" s="40">
        <f t="shared" ca="1" si="78"/>
        <v>132401060.40000001</v>
      </c>
      <c r="IL9" s="40">
        <f t="shared" ca="1" si="78"/>
        <v>132401060.40000001</v>
      </c>
      <c r="IM9" s="40">
        <f t="shared" ca="1" si="78"/>
        <v>132401060.40000001</v>
      </c>
      <c r="IN9" s="40">
        <f t="shared" ca="1" si="78"/>
        <v>132401060.40000001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9">IF(IF(AND(ISNA(H$8),ISNA(G$8)),G10*(1+$E$10),IF(AND(G$8&gt;0,ISNA(H$8)),G10*(1+$E$10),H$8))&gt;$C$21,$C$21,IF(AND(ISNA(H$8),ISNA(G$8)),G10*(1+$E$10),IF(AND(G$8&gt;0,ISNA(H$8)),G10*(1+$E$10),H$8)))</f>
        <v>128</v>
      </c>
      <c r="I10" s="40">
        <f t="shared" ref="I10:BT10" ca="1" si="80">IF(IF(AND(ISNA(I$8),ISNA(H$8)),H10*(1+$E$10),IF(AND(H$8&gt;0,ISNA(I$8)),H10*(1+$E$10),I$8))&gt;$C$21,$C$21,IF(AND(ISNA(I$8),ISNA(H$8)),H10*(1+$E$10),IF(AND(H$8&gt;0,ISNA(I$8)),H10*(1+$E$10),I$8)))</f>
        <v>157</v>
      </c>
      <c r="J10" s="40">
        <f t="shared" ca="1" si="80"/>
        <v>219.66666666666666</v>
      </c>
      <c r="K10" s="40">
        <f t="shared" ca="1" si="80"/>
        <v>366.5</v>
      </c>
      <c r="L10" s="40">
        <f t="shared" ca="1" si="80"/>
        <v>484.4</v>
      </c>
      <c r="M10" s="40">
        <f t="shared" ca="1" si="80"/>
        <v>552.33333333333337</v>
      </c>
      <c r="N10" s="40">
        <f t="shared" ca="1" si="80"/>
        <v>925.14285714285711</v>
      </c>
      <c r="O10" s="40">
        <f t="shared" ca="1" si="80"/>
        <v>1241.25</v>
      </c>
      <c r="P10" s="40">
        <f t="shared" ca="1" si="80"/>
        <v>1620.8888888888889</v>
      </c>
      <c r="Q10" s="40">
        <f t="shared" ca="1" si="80"/>
        <v>2131.1999999999998</v>
      </c>
      <c r="R10" s="40">
        <f t="shared" ca="1" si="80"/>
        <v>2673.2727272727275</v>
      </c>
      <c r="S10" s="40">
        <f t="shared" ca="1" si="80"/>
        <v>3267</v>
      </c>
      <c r="T10" s="40">
        <f t="shared" ca="1" si="80"/>
        <v>4275</v>
      </c>
      <c r="U10" s="40">
        <f t="shared" ca="1" si="80"/>
        <v>6022</v>
      </c>
      <c r="V10" s="40">
        <f t="shared" ca="1" si="80"/>
        <v>7143</v>
      </c>
      <c r="W10" s="40">
        <f t="shared" ca="1" si="80"/>
        <v>12868</v>
      </c>
      <c r="X10" s="40">
        <f t="shared" ca="1" si="80"/>
        <v>18231</v>
      </c>
      <c r="Y10" s="40">
        <f t="shared" ca="1" si="80"/>
        <v>23881</v>
      </c>
      <c r="Z10" s="40">
        <f t="shared" ca="1" si="80"/>
        <v>31300</v>
      </c>
      <c r="AA10" s="40">
        <f t="shared" ca="1" si="80"/>
        <v>41289</v>
      </c>
      <c r="AB10" s="40">
        <f t="shared" ca="1" si="80"/>
        <v>50393</v>
      </c>
      <c r="AC10" s="40">
        <f t="shared" ca="1" si="80"/>
        <v>61622</v>
      </c>
      <c r="AD10" s="40">
        <f t="shared" ca="1" si="80"/>
        <v>78428</v>
      </c>
      <c r="AE10" s="40">
        <f t="shared" ca="1" si="80"/>
        <v>94418</v>
      </c>
      <c r="AF10" s="40">
        <f t="shared" ca="1" si="80"/>
        <v>111373</v>
      </c>
      <c r="AG10" s="40">
        <f t="shared" ca="1" si="80"/>
        <v>129402</v>
      </c>
      <c r="AH10" s="40">
        <f t="shared" ca="1" si="80"/>
        <v>139540</v>
      </c>
      <c r="AI10" s="40">
        <f t="shared" ca="1" si="80"/>
        <v>160064</v>
      </c>
      <c r="AJ10" s="40">
        <f t="shared" ca="1" si="80"/>
        <v>177107</v>
      </c>
      <c r="AK10" s="40">
        <f t="shared" ca="1" si="80"/>
        <v>196991</v>
      </c>
      <c r="AL10" s="40">
        <f t="shared" ca="1" si="80"/>
        <v>216690.1</v>
      </c>
      <c r="AM10" s="40">
        <f t="shared" ca="1" si="80"/>
        <v>238359.11000000002</v>
      </c>
      <c r="AN10" s="40">
        <f t="shared" ca="1" si="80"/>
        <v>262195.02100000007</v>
      </c>
      <c r="AO10" s="40">
        <f t="shared" ca="1" si="80"/>
        <v>288414.52310000011</v>
      </c>
      <c r="AP10" s="40">
        <f t="shared" ca="1" si="80"/>
        <v>317255.97541000013</v>
      </c>
      <c r="AQ10" s="40">
        <f t="shared" ca="1" si="80"/>
        <v>348981.57295100018</v>
      </c>
      <c r="AR10" s="40">
        <f t="shared" ca="1" si="80"/>
        <v>383879.73024610023</v>
      </c>
      <c r="AS10" s="40">
        <f t="shared" ca="1" si="80"/>
        <v>422267.70327071031</v>
      </c>
      <c r="AT10" s="40">
        <f t="shared" ca="1" si="80"/>
        <v>464494.47359778138</v>
      </c>
      <c r="AU10" s="40">
        <f t="shared" ca="1" si="80"/>
        <v>510943.92095755955</v>
      </c>
      <c r="AV10" s="40">
        <f t="shared" ca="1" si="80"/>
        <v>562038.31305331551</v>
      </c>
      <c r="AW10" s="40">
        <f t="shared" ca="1" si="80"/>
        <v>618242.14435864706</v>
      </c>
      <c r="AX10" s="40">
        <f t="shared" ca="1" si="80"/>
        <v>680066.35879451176</v>
      </c>
      <c r="AY10" s="40">
        <f t="shared" ca="1" si="80"/>
        <v>748072.99467396305</v>
      </c>
      <c r="AZ10" s="40">
        <f t="shared" ca="1" si="80"/>
        <v>822880.29414135939</v>
      </c>
      <c r="BA10" s="40">
        <f t="shared" ca="1" si="80"/>
        <v>905168.32355549536</v>
      </c>
      <c r="BB10" s="40">
        <f t="shared" ca="1" si="80"/>
        <v>995685.15591104492</v>
      </c>
      <c r="BC10" s="40">
        <f t="shared" ca="1" si="80"/>
        <v>1095253.6715021494</v>
      </c>
      <c r="BD10" s="40">
        <f t="shared" ca="1" si="80"/>
        <v>1204779.0386523644</v>
      </c>
      <c r="BE10" s="40">
        <f t="shared" ca="1" si="80"/>
        <v>1325256.942517601</v>
      </c>
      <c r="BF10" s="40">
        <f t="shared" ca="1" si="80"/>
        <v>1457782.6367693611</v>
      </c>
      <c r="BG10" s="40">
        <f t="shared" ca="1" si="80"/>
        <v>1603560.9004462974</v>
      </c>
      <c r="BH10" s="40">
        <f t="shared" ca="1" si="80"/>
        <v>1763916.9904909274</v>
      </c>
      <c r="BI10" s="40">
        <f t="shared" ca="1" si="80"/>
        <v>1940308.6895400202</v>
      </c>
      <c r="BJ10" s="40">
        <f t="shared" ca="1" si="80"/>
        <v>2134339.5584940226</v>
      </c>
      <c r="BK10" s="40">
        <f t="shared" ca="1" si="80"/>
        <v>2347773.5143434252</v>
      </c>
      <c r="BL10" s="40">
        <f t="shared" ca="1" si="80"/>
        <v>2582550.8657777677</v>
      </c>
      <c r="BM10" s="40">
        <f t="shared" ca="1" si="80"/>
        <v>2840805.9523555445</v>
      </c>
      <c r="BN10" s="40">
        <f t="shared" ca="1" si="80"/>
        <v>3124886.547591099</v>
      </c>
      <c r="BO10" s="40">
        <f t="shared" ca="1" si="80"/>
        <v>3437375.202350209</v>
      </c>
      <c r="BP10" s="40">
        <f t="shared" ca="1" si="80"/>
        <v>3781112.7225852301</v>
      </c>
      <c r="BQ10" s="40">
        <f t="shared" ca="1" si="80"/>
        <v>4159223.9948437535</v>
      </c>
      <c r="BR10" s="40">
        <f t="shared" ca="1" si="80"/>
        <v>4575146.3943281295</v>
      </c>
      <c r="BS10" s="40">
        <f t="shared" ca="1" si="80"/>
        <v>5032661.0337609425</v>
      </c>
      <c r="BT10" s="40">
        <f t="shared" ca="1" si="80"/>
        <v>5535927.1371370368</v>
      </c>
      <c r="BU10" s="40">
        <f t="shared" ref="BU10:EF10" ca="1" si="81">IF(IF(AND(ISNA(BU$8),ISNA(BT$8)),BT10*(1+$E$10),IF(AND(BT$8&gt;0,ISNA(BU$8)),BT10*(1+$E$10),BU$8))&gt;$C$21,$C$21,IF(AND(ISNA(BU$8),ISNA(BT$8)),BT10*(1+$E$10),IF(AND(BT$8&gt;0,ISNA(BU$8)),BT10*(1+$E$10),BU$8)))</f>
        <v>6089519.8508507414</v>
      </c>
      <c r="BV10" s="40">
        <f t="shared" ca="1" si="81"/>
        <v>6698471.8359358162</v>
      </c>
      <c r="BW10" s="40">
        <f t="shared" ca="1" si="81"/>
        <v>7368319.0195293985</v>
      </c>
      <c r="BX10" s="40">
        <f t="shared" ca="1" si="81"/>
        <v>8105150.9214823395</v>
      </c>
      <c r="BY10" s="40">
        <f t="shared" ca="1" si="81"/>
        <v>8915666.0136305746</v>
      </c>
      <c r="BZ10" s="40">
        <f t="shared" ca="1" si="81"/>
        <v>9807232.6149936337</v>
      </c>
      <c r="CA10" s="40">
        <f t="shared" ca="1" si="81"/>
        <v>10787955.876492998</v>
      </c>
      <c r="CB10" s="40">
        <f t="shared" ca="1" si="81"/>
        <v>11866751.464142298</v>
      </c>
      <c r="CC10" s="40">
        <f t="shared" ca="1" si="81"/>
        <v>13053426.61055653</v>
      </c>
      <c r="CD10" s="40">
        <f t="shared" ca="1" si="81"/>
        <v>14358769.271612184</v>
      </c>
      <c r="CE10" s="40">
        <f t="shared" ca="1" si="81"/>
        <v>15794646.198773405</v>
      </c>
      <c r="CF10" s="40">
        <f t="shared" ca="1" si="81"/>
        <v>17374110.818650745</v>
      </c>
      <c r="CG10" s="40">
        <f t="shared" ca="1" si="81"/>
        <v>19111521.900515821</v>
      </c>
      <c r="CH10" s="40">
        <f t="shared" ca="1" si="81"/>
        <v>21022674.090567406</v>
      </c>
      <c r="CI10" s="40">
        <f t="shared" ca="1" si="81"/>
        <v>23124941.499624148</v>
      </c>
      <c r="CJ10" s="40">
        <f t="shared" ca="1" si="81"/>
        <v>25437435.649586566</v>
      </c>
      <c r="CK10" s="40">
        <f t="shared" ca="1" si="81"/>
        <v>27981179.214545224</v>
      </c>
      <c r="CL10" s="40">
        <f t="shared" ca="1" si="81"/>
        <v>30779297.13599975</v>
      </c>
      <c r="CM10" s="40">
        <f t="shared" ca="1" si="81"/>
        <v>33857226.849599726</v>
      </c>
      <c r="CN10" s="40">
        <f t="shared" ca="1" si="81"/>
        <v>37242949.534559704</v>
      </c>
      <c r="CO10" s="40">
        <f t="shared" ca="1" si="81"/>
        <v>40967244.488015682</v>
      </c>
      <c r="CP10" s="40">
        <f t="shared" ca="1" si="81"/>
        <v>45063968.936817251</v>
      </c>
      <c r="CQ10" s="40">
        <f t="shared" ca="1" si="81"/>
        <v>49570365.830498978</v>
      </c>
      <c r="CR10" s="40">
        <f t="shared" ca="1" si="81"/>
        <v>54527402.413548879</v>
      </c>
      <c r="CS10" s="40">
        <f t="shared" ca="1" si="81"/>
        <v>59980142.654903769</v>
      </c>
      <c r="CT10" s="40">
        <f t="shared" ca="1" si="81"/>
        <v>65978156.920394152</v>
      </c>
      <c r="CU10" s="40">
        <f t="shared" ca="1" si="81"/>
        <v>72575972.612433568</v>
      </c>
      <c r="CV10" s="40">
        <f t="shared" ca="1" si="81"/>
        <v>79833569.873676926</v>
      </c>
      <c r="CW10" s="40">
        <f t="shared" ca="1" si="81"/>
        <v>87816926.86104463</v>
      </c>
      <c r="CX10" s="40">
        <f t="shared" ca="1" si="81"/>
        <v>96598619.547149107</v>
      </c>
      <c r="CY10" s="40">
        <f t="shared" ca="1" si="81"/>
        <v>106258481.50186403</v>
      </c>
      <c r="CZ10" s="40">
        <f t="shared" ca="1" si="81"/>
        <v>116884329.65205045</v>
      </c>
      <c r="DA10" s="40">
        <f t="shared" ca="1" si="81"/>
        <v>128572762.61725551</v>
      </c>
      <c r="DB10" s="40">
        <f t="shared" ca="1" si="81"/>
        <v>132401060.40000001</v>
      </c>
      <c r="DC10" s="40">
        <f t="shared" ca="1" si="81"/>
        <v>132401060.40000001</v>
      </c>
      <c r="DD10" s="40">
        <f t="shared" ca="1" si="81"/>
        <v>132401060.40000001</v>
      </c>
      <c r="DE10" s="40">
        <f t="shared" ca="1" si="81"/>
        <v>132401060.40000001</v>
      </c>
      <c r="DF10" s="40">
        <f t="shared" ca="1" si="81"/>
        <v>132401060.40000001</v>
      </c>
      <c r="DG10" s="40">
        <f t="shared" ca="1" si="81"/>
        <v>132401060.40000001</v>
      </c>
      <c r="DH10" s="40">
        <f t="shared" ca="1" si="81"/>
        <v>132401060.40000001</v>
      </c>
      <c r="DI10" s="40">
        <f t="shared" ca="1" si="81"/>
        <v>132401060.40000001</v>
      </c>
      <c r="DJ10" s="40">
        <f t="shared" ca="1" si="81"/>
        <v>132401060.40000001</v>
      </c>
      <c r="DK10" s="40">
        <f t="shared" ca="1" si="81"/>
        <v>132401060.40000001</v>
      </c>
      <c r="DL10" s="40">
        <f t="shared" ca="1" si="81"/>
        <v>132401060.40000001</v>
      </c>
      <c r="DM10" s="40">
        <f t="shared" ca="1" si="81"/>
        <v>132401060.40000001</v>
      </c>
      <c r="DN10" s="40">
        <f t="shared" ca="1" si="81"/>
        <v>132401060.40000001</v>
      </c>
      <c r="DO10" s="40">
        <f t="shared" ca="1" si="81"/>
        <v>132401060.40000001</v>
      </c>
      <c r="DP10" s="40">
        <f t="shared" ca="1" si="81"/>
        <v>132401060.40000001</v>
      </c>
      <c r="DQ10" s="40">
        <f t="shared" ca="1" si="81"/>
        <v>132401060.40000001</v>
      </c>
      <c r="DR10" s="40">
        <f t="shared" ca="1" si="81"/>
        <v>132401060.40000001</v>
      </c>
      <c r="DS10" s="40">
        <f t="shared" ca="1" si="81"/>
        <v>132401060.40000001</v>
      </c>
      <c r="DT10" s="40">
        <f t="shared" ca="1" si="81"/>
        <v>132401060.40000001</v>
      </c>
      <c r="DU10" s="40">
        <f t="shared" ca="1" si="81"/>
        <v>132401060.40000001</v>
      </c>
      <c r="DV10" s="40">
        <f t="shared" ca="1" si="81"/>
        <v>132401060.40000001</v>
      </c>
      <c r="DW10" s="40">
        <f t="shared" ca="1" si="81"/>
        <v>132401060.40000001</v>
      </c>
      <c r="DX10" s="40">
        <f t="shared" ca="1" si="81"/>
        <v>132401060.40000001</v>
      </c>
      <c r="DY10" s="40">
        <f t="shared" ca="1" si="81"/>
        <v>132401060.40000001</v>
      </c>
      <c r="DZ10" s="40">
        <f t="shared" ca="1" si="81"/>
        <v>132401060.40000001</v>
      </c>
      <c r="EA10" s="40">
        <f t="shared" ca="1" si="81"/>
        <v>132401060.40000001</v>
      </c>
      <c r="EB10" s="40">
        <f t="shared" ca="1" si="81"/>
        <v>132401060.40000001</v>
      </c>
      <c r="EC10" s="40">
        <f t="shared" ca="1" si="81"/>
        <v>132401060.40000001</v>
      </c>
      <c r="ED10" s="40">
        <f t="shared" ca="1" si="81"/>
        <v>132401060.40000001</v>
      </c>
      <c r="EE10" s="40">
        <f t="shared" ca="1" si="81"/>
        <v>132401060.40000001</v>
      </c>
      <c r="EF10" s="40">
        <f t="shared" ca="1" si="81"/>
        <v>132401060.40000001</v>
      </c>
      <c r="EG10" s="40">
        <f t="shared" ref="EG10:GR10" ca="1" si="82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2"/>
        <v>132401060.40000001</v>
      </c>
      <c r="EI10" s="40">
        <f t="shared" ca="1" si="82"/>
        <v>132401060.40000001</v>
      </c>
      <c r="EJ10" s="40">
        <f t="shared" ca="1" si="82"/>
        <v>132401060.40000001</v>
      </c>
      <c r="EK10" s="40">
        <f t="shared" ca="1" si="82"/>
        <v>132401060.40000001</v>
      </c>
      <c r="EL10" s="40">
        <f t="shared" ca="1" si="82"/>
        <v>132401060.40000001</v>
      </c>
      <c r="EM10" s="40">
        <f t="shared" ca="1" si="82"/>
        <v>132401060.40000001</v>
      </c>
      <c r="EN10" s="40">
        <f t="shared" ca="1" si="82"/>
        <v>132401060.40000001</v>
      </c>
      <c r="EO10" s="40">
        <f t="shared" ca="1" si="82"/>
        <v>132401060.40000001</v>
      </c>
      <c r="EP10" s="40">
        <f t="shared" ca="1" si="82"/>
        <v>132401060.40000001</v>
      </c>
      <c r="EQ10" s="40">
        <f t="shared" ca="1" si="82"/>
        <v>132401060.40000001</v>
      </c>
      <c r="ER10" s="40">
        <f t="shared" ca="1" si="82"/>
        <v>132401060.40000001</v>
      </c>
      <c r="ES10" s="40">
        <f t="shared" ca="1" si="82"/>
        <v>132401060.40000001</v>
      </c>
      <c r="ET10" s="40">
        <f t="shared" ca="1" si="82"/>
        <v>132401060.40000001</v>
      </c>
      <c r="EU10" s="40">
        <f t="shared" ca="1" si="82"/>
        <v>132401060.40000001</v>
      </c>
      <c r="EV10" s="40">
        <f t="shared" ca="1" si="82"/>
        <v>132401060.40000001</v>
      </c>
      <c r="EW10" s="40">
        <f t="shared" ca="1" si="82"/>
        <v>132401060.40000001</v>
      </c>
      <c r="EX10" s="40">
        <f t="shared" ca="1" si="82"/>
        <v>132401060.40000001</v>
      </c>
      <c r="EY10" s="40">
        <f t="shared" ca="1" si="82"/>
        <v>132401060.40000001</v>
      </c>
      <c r="EZ10" s="40">
        <f t="shared" ca="1" si="82"/>
        <v>132401060.40000001</v>
      </c>
      <c r="FA10" s="40">
        <f t="shared" ca="1" si="82"/>
        <v>132401060.40000001</v>
      </c>
      <c r="FB10" s="40">
        <f t="shared" ca="1" si="82"/>
        <v>132401060.40000001</v>
      </c>
      <c r="FC10" s="40">
        <f t="shared" ca="1" si="82"/>
        <v>132401060.40000001</v>
      </c>
      <c r="FD10" s="40">
        <f t="shared" ca="1" si="82"/>
        <v>132401060.40000001</v>
      </c>
      <c r="FE10" s="40">
        <f t="shared" ca="1" si="82"/>
        <v>132401060.40000001</v>
      </c>
      <c r="FF10" s="40">
        <f t="shared" ca="1" si="82"/>
        <v>132401060.40000001</v>
      </c>
      <c r="FG10" s="40">
        <f t="shared" ca="1" si="82"/>
        <v>132401060.40000001</v>
      </c>
      <c r="FH10" s="40">
        <f t="shared" ca="1" si="82"/>
        <v>132401060.40000001</v>
      </c>
      <c r="FI10" s="40">
        <f t="shared" ca="1" si="82"/>
        <v>132401060.40000001</v>
      </c>
      <c r="FJ10" s="40">
        <f t="shared" ca="1" si="82"/>
        <v>132401060.40000001</v>
      </c>
      <c r="FK10" s="40">
        <f t="shared" ca="1" si="82"/>
        <v>132401060.40000001</v>
      </c>
      <c r="FL10" s="40">
        <f t="shared" ca="1" si="82"/>
        <v>132401060.40000001</v>
      </c>
      <c r="FM10" s="40">
        <f t="shared" ca="1" si="82"/>
        <v>132401060.40000001</v>
      </c>
      <c r="FN10" s="40">
        <f t="shared" ca="1" si="82"/>
        <v>132401060.40000001</v>
      </c>
      <c r="FO10" s="40">
        <f t="shared" ca="1" si="82"/>
        <v>132401060.40000001</v>
      </c>
      <c r="FP10" s="40">
        <f t="shared" ca="1" si="82"/>
        <v>132401060.40000001</v>
      </c>
      <c r="FQ10" s="40">
        <f t="shared" ca="1" si="82"/>
        <v>132401060.40000001</v>
      </c>
      <c r="FR10" s="40">
        <f t="shared" ca="1" si="82"/>
        <v>132401060.40000001</v>
      </c>
      <c r="FS10" s="40">
        <f t="shared" ca="1" si="82"/>
        <v>132401060.40000001</v>
      </c>
      <c r="FT10" s="40">
        <f t="shared" ca="1" si="82"/>
        <v>132401060.40000001</v>
      </c>
      <c r="FU10" s="40">
        <f t="shared" ca="1" si="82"/>
        <v>132401060.40000001</v>
      </c>
      <c r="FV10" s="40">
        <f t="shared" ca="1" si="82"/>
        <v>132401060.40000001</v>
      </c>
      <c r="FW10" s="40">
        <f t="shared" ca="1" si="82"/>
        <v>132401060.40000001</v>
      </c>
      <c r="FX10" s="40">
        <f t="shared" ca="1" si="82"/>
        <v>132401060.40000001</v>
      </c>
      <c r="FY10" s="40">
        <f t="shared" ca="1" si="82"/>
        <v>132401060.40000001</v>
      </c>
      <c r="FZ10" s="40">
        <f t="shared" ca="1" si="82"/>
        <v>132401060.40000001</v>
      </c>
      <c r="GA10" s="40">
        <f t="shared" ca="1" si="82"/>
        <v>132401060.40000001</v>
      </c>
      <c r="GB10" s="40">
        <f t="shared" ca="1" si="82"/>
        <v>132401060.40000001</v>
      </c>
      <c r="GC10" s="40">
        <f t="shared" ca="1" si="82"/>
        <v>132401060.40000001</v>
      </c>
      <c r="GD10" s="40">
        <f t="shared" ca="1" si="82"/>
        <v>132401060.40000001</v>
      </c>
      <c r="GE10" s="40">
        <f t="shared" ca="1" si="82"/>
        <v>132401060.40000001</v>
      </c>
      <c r="GF10" s="40">
        <f t="shared" ca="1" si="82"/>
        <v>132401060.40000001</v>
      </c>
      <c r="GG10" s="40">
        <f t="shared" ca="1" si="82"/>
        <v>132401060.40000001</v>
      </c>
      <c r="GH10" s="40">
        <f t="shared" ca="1" si="82"/>
        <v>132401060.40000001</v>
      </c>
      <c r="GI10" s="40">
        <f t="shared" ca="1" si="82"/>
        <v>132401060.40000001</v>
      </c>
      <c r="GJ10" s="40">
        <f t="shared" ca="1" si="82"/>
        <v>132401060.40000001</v>
      </c>
      <c r="GK10" s="40">
        <f t="shared" ca="1" si="82"/>
        <v>132401060.40000001</v>
      </c>
      <c r="GL10" s="40">
        <f t="shared" ca="1" si="82"/>
        <v>132401060.40000001</v>
      </c>
      <c r="GM10" s="40">
        <f t="shared" ca="1" si="82"/>
        <v>132401060.40000001</v>
      </c>
      <c r="GN10" s="40">
        <f t="shared" ca="1" si="82"/>
        <v>132401060.40000001</v>
      </c>
      <c r="GO10" s="40">
        <f t="shared" ca="1" si="82"/>
        <v>132401060.40000001</v>
      </c>
      <c r="GP10" s="40">
        <f t="shared" ca="1" si="82"/>
        <v>132401060.40000001</v>
      </c>
      <c r="GQ10" s="40">
        <f t="shared" ca="1" si="82"/>
        <v>132401060.40000001</v>
      </c>
      <c r="GR10" s="40">
        <f t="shared" ca="1" si="82"/>
        <v>132401060.40000001</v>
      </c>
      <c r="GS10" s="40">
        <f t="shared" ref="GS10:IN10" ca="1" si="83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3"/>
        <v>132401060.40000001</v>
      </c>
      <c r="GU10" s="40">
        <f t="shared" ca="1" si="83"/>
        <v>132401060.40000001</v>
      </c>
      <c r="GV10" s="40">
        <f t="shared" ca="1" si="83"/>
        <v>132401060.40000001</v>
      </c>
      <c r="GW10" s="40">
        <f t="shared" ca="1" si="83"/>
        <v>132401060.40000001</v>
      </c>
      <c r="GX10" s="40">
        <f t="shared" ca="1" si="83"/>
        <v>132401060.40000001</v>
      </c>
      <c r="GY10" s="40">
        <f t="shared" ca="1" si="83"/>
        <v>132401060.40000001</v>
      </c>
      <c r="GZ10" s="40">
        <f t="shared" ca="1" si="83"/>
        <v>132401060.40000001</v>
      </c>
      <c r="HA10" s="40">
        <f t="shared" ca="1" si="83"/>
        <v>132401060.40000001</v>
      </c>
      <c r="HB10" s="40">
        <f t="shared" ca="1" si="83"/>
        <v>132401060.40000001</v>
      </c>
      <c r="HC10" s="40">
        <f t="shared" ca="1" si="83"/>
        <v>132401060.40000001</v>
      </c>
      <c r="HD10" s="40">
        <f t="shared" ca="1" si="83"/>
        <v>132401060.40000001</v>
      </c>
      <c r="HE10" s="40">
        <f t="shared" ca="1" si="83"/>
        <v>132401060.40000001</v>
      </c>
      <c r="HF10" s="40">
        <f t="shared" ca="1" si="83"/>
        <v>132401060.40000001</v>
      </c>
      <c r="HG10" s="40">
        <f t="shared" ca="1" si="83"/>
        <v>132401060.40000001</v>
      </c>
      <c r="HH10" s="40">
        <f t="shared" ca="1" si="83"/>
        <v>132401060.40000001</v>
      </c>
      <c r="HI10" s="40">
        <f t="shared" ca="1" si="83"/>
        <v>132401060.40000001</v>
      </c>
      <c r="HJ10" s="40">
        <f t="shared" ca="1" si="83"/>
        <v>132401060.40000001</v>
      </c>
      <c r="HK10" s="40">
        <f t="shared" ca="1" si="83"/>
        <v>132401060.40000001</v>
      </c>
      <c r="HL10" s="40">
        <f t="shared" ca="1" si="83"/>
        <v>132401060.40000001</v>
      </c>
      <c r="HM10" s="40">
        <f t="shared" ca="1" si="83"/>
        <v>132401060.40000001</v>
      </c>
      <c r="HN10" s="40">
        <f t="shared" ca="1" si="83"/>
        <v>132401060.40000001</v>
      </c>
      <c r="HO10" s="40">
        <f t="shared" ca="1" si="83"/>
        <v>132401060.40000001</v>
      </c>
      <c r="HP10" s="40">
        <f t="shared" ca="1" si="83"/>
        <v>132401060.40000001</v>
      </c>
      <c r="HQ10" s="40">
        <f t="shared" ca="1" si="83"/>
        <v>132401060.40000001</v>
      </c>
      <c r="HR10" s="40">
        <f t="shared" ca="1" si="83"/>
        <v>132401060.40000001</v>
      </c>
      <c r="HS10" s="40">
        <f t="shared" ca="1" si="83"/>
        <v>132401060.40000001</v>
      </c>
      <c r="HT10" s="40">
        <f t="shared" ca="1" si="83"/>
        <v>132401060.40000001</v>
      </c>
      <c r="HU10" s="40">
        <f t="shared" ca="1" si="83"/>
        <v>132401060.40000001</v>
      </c>
      <c r="HV10" s="40">
        <f t="shared" ca="1" si="83"/>
        <v>132401060.40000001</v>
      </c>
      <c r="HW10" s="40">
        <f t="shared" ca="1" si="83"/>
        <v>132401060.40000001</v>
      </c>
      <c r="HX10" s="40">
        <f t="shared" ca="1" si="83"/>
        <v>132401060.40000001</v>
      </c>
      <c r="HY10" s="40">
        <f t="shared" ca="1" si="83"/>
        <v>132401060.40000001</v>
      </c>
      <c r="HZ10" s="40">
        <f t="shared" ca="1" si="83"/>
        <v>132401060.40000001</v>
      </c>
      <c r="IA10" s="40">
        <f t="shared" ca="1" si="83"/>
        <v>132401060.40000001</v>
      </c>
      <c r="IB10" s="40">
        <f t="shared" ca="1" si="83"/>
        <v>132401060.40000001</v>
      </c>
      <c r="IC10" s="40">
        <f t="shared" ca="1" si="83"/>
        <v>132401060.40000001</v>
      </c>
      <c r="ID10" s="40">
        <f t="shared" ca="1" si="83"/>
        <v>132401060.40000001</v>
      </c>
      <c r="IE10" s="40">
        <f t="shared" ca="1" si="83"/>
        <v>132401060.40000001</v>
      </c>
      <c r="IF10" s="40">
        <f t="shared" ca="1" si="83"/>
        <v>132401060.40000001</v>
      </c>
      <c r="IG10" s="40">
        <f t="shared" ca="1" si="83"/>
        <v>132401060.40000001</v>
      </c>
      <c r="IH10" s="40">
        <f t="shared" ca="1" si="83"/>
        <v>132401060.40000001</v>
      </c>
      <c r="II10" s="40">
        <f t="shared" ca="1" si="83"/>
        <v>132401060.40000001</v>
      </c>
      <c r="IJ10" s="40">
        <f t="shared" ca="1" si="83"/>
        <v>132401060.40000001</v>
      </c>
      <c r="IK10" s="40">
        <f t="shared" ca="1" si="83"/>
        <v>132401060.40000001</v>
      </c>
      <c r="IL10" s="40">
        <f t="shared" ca="1" si="83"/>
        <v>132401060.40000001</v>
      </c>
      <c r="IM10" s="40">
        <f t="shared" ca="1" si="83"/>
        <v>132401060.40000001</v>
      </c>
      <c r="IN10" s="40">
        <f t="shared" ca="1" si="83"/>
        <v>132401060.40000001</v>
      </c>
    </row>
    <row r="11" spans="2:248" x14ac:dyDescent="0.3">
      <c r="B11" s="19" t="s">
        <v>526</v>
      </c>
      <c r="C11" s="53">
        <f ca="1">HLOOKUP($C$5-1,G4:IN16,13,FALSE)</f>
        <v>0.13607757863580838</v>
      </c>
      <c r="E11" s="19">
        <v>0.25</v>
      </c>
      <c r="F11" s="19" t="s">
        <v>494</v>
      </c>
      <c r="G11" s="40">
        <f t="shared" ref="G11" si="84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5">IF(IF(AND(ISNA(H$8),ISNA(G$8)),G11*(1+$E$11),IF(AND(G$8&gt;0,ISNA(H$8)),G11*(1+$E$11),H$8))&gt;$C$21,$C$21,IF(AND(ISNA(H$8),ISNA(G$8)),G11*(1+$E$11),IF(AND(G$8&gt;0,ISNA(H$8)),G11*(1+$E$11),H$8)))</f>
        <v>128</v>
      </c>
      <c r="I11" s="40">
        <f t="shared" ref="I11:BT11" ca="1" si="86">IF(IF(AND(ISNA(I$8),ISNA(H$8)),H11*(1+$E$11),IF(AND(H$8&gt;0,ISNA(I$8)),H11*(1+$E$11),I$8))&gt;$C$21,$C$21,IF(AND(ISNA(I$8),ISNA(H$8)),H11*(1+$E$11),IF(AND(H$8&gt;0,ISNA(I$8)),H11*(1+$E$11),I$8)))</f>
        <v>157</v>
      </c>
      <c r="J11" s="40">
        <f t="shared" ca="1" si="86"/>
        <v>219.66666666666666</v>
      </c>
      <c r="K11" s="40">
        <f t="shared" ca="1" si="86"/>
        <v>366.5</v>
      </c>
      <c r="L11" s="40">
        <f t="shared" ca="1" si="86"/>
        <v>484.4</v>
      </c>
      <c r="M11" s="40">
        <f t="shared" ca="1" si="86"/>
        <v>552.33333333333337</v>
      </c>
      <c r="N11" s="40">
        <f t="shared" ca="1" si="86"/>
        <v>925.14285714285711</v>
      </c>
      <c r="O11" s="40">
        <f t="shared" ca="1" si="86"/>
        <v>1241.25</v>
      </c>
      <c r="P11" s="40">
        <f t="shared" ca="1" si="86"/>
        <v>1620.8888888888889</v>
      </c>
      <c r="Q11" s="40">
        <f t="shared" ca="1" si="86"/>
        <v>2131.1999999999998</v>
      </c>
      <c r="R11" s="40">
        <f t="shared" ca="1" si="86"/>
        <v>2673.2727272727275</v>
      </c>
      <c r="S11" s="40">
        <f t="shared" ca="1" si="86"/>
        <v>3267</v>
      </c>
      <c r="T11" s="40">
        <f t="shared" ca="1" si="86"/>
        <v>4275</v>
      </c>
      <c r="U11" s="40">
        <f t="shared" ca="1" si="86"/>
        <v>6022</v>
      </c>
      <c r="V11" s="40">
        <f t="shared" ca="1" si="86"/>
        <v>7143</v>
      </c>
      <c r="W11" s="40">
        <f t="shared" ca="1" si="86"/>
        <v>12868</v>
      </c>
      <c r="X11" s="40">
        <f t="shared" ca="1" si="86"/>
        <v>18231</v>
      </c>
      <c r="Y11" s="40">
        <f t="shared" ca="1" si="86"/>
        <v>23881</v>
      </c>
      <c r="Z11" s="40">
        <f t="shared" ca="1" si="86"/>
        <v>31300</v>
      </c>
      <c r="AA11" s="40">
        <f t="shared" ca="1" si="86"/>
        <v>41289</v>
      </c>
      <c r="AB11" s="40">
        <f t="shared" ca="1" si="86"/>
        <v>50393</v>
      </c>
      <c r="AC11" s="40">
        <f t="shared" ca="1" si="86"/>
        <v>61622</v>
      </c>
      <c r="AD11" s="40">
        <f t="shared" ca="1" si="86"/>
        <v>78428</v>
      </c>
      <c r="AE11" s="40">
        <f t="shared" ca="1" si="86"/>
        <v>94418</v>
      </c>
      <c r="AF11" s="40">
        <f t="shared" ca="1" si="86"/>
        <v>111373</v>
      </c>
      <c r="AG11" s="40">
        <f t="shared" ca="1" si="86"/>
        <v>129402</v>
      </c>
      <c r="AH11" s="40">
        <f t="shared" ca="1" si="86"/>
        <v>139540</v>
      </c>
      <c r="AI11" s="40">
        <f t="shared" ca="1" si="86"/>
        <v>160064</v>
      </c>
      <c r="AJ11" s="40">
        <f t="shared" ca="1" si="86"/>
        <v>177107</v>
      </c>
      <c r="AK11" s="40">
        <f t="shared" ca="1" si="86"/>
        <v>196991</v>
      </c>
      <c r="AL11" s="40">
        <f t="shared" ca="1" si="86"/>
        <v>246238.75</v>
      </c>
      <c r="AM11" s="40">
        <f t="shared" ca="1" si="86"/>
        <v>307798.4375</v>
      </c>
      <c r="AN11" s="40">
        <f t="shared" ca="1" si="86"/>
        <v>384748.046875</v>
      </c>
      <c r="AO11" s="40">
        <f t="shared" ca="1" si="86"/>
        <v>480935.05859375</v>
      </c>
      <c r="AP11" s="40">
        <f t="shared" ca="1" si="86"/>
        <v>601168.8232421875</v>
      </c>
      <c r="AQ11" s="40">
        <f t="shared" ca="1" si="86"/>
        <v>751461.02905273438</v>
      </c>
      <c r="AR11" s="40">
        <f t="shared" ca="1" si="86"/>
        <v>939326.28631591797</v>
      </c>
      <c r="AS11" s="40">
        <f t="shared" ca="1" si="86"/>
        <v>1174157.8578948975</v>
      </c>
      <c r="AT11" s="40">
        <f t="shared" ca="1" si="86"/>
        <v>1467697.3223686218</v>
      </c>
      <c r="AU11" s="40">
        <f t="shared" ca="1" si="86"/>
        <v>1834621.6529607773</v>
      </c>
      <c r="AV11" s="40">
        <f t="shared" ca="1" si="86"/>
        <v>2293277.0662009716</v>
      </c>
      <c r="AW11" s="40">
        <f t="shared" ca="1" si="86"/>
        <v>2866596.3327512145</v>
      </c>
      <c r="AX11" s="40">
        <f t="shared" ca="1" si="86"/>
        <v>3583245.4159390181</v>
      </c>
      <c r="AY11" s="40">
        <f t="shared" ca="1" si="86"/>
        <v>4479056.7699237727</v>
      </c>
      <c r="AZ11" s="40">
        <f t="shared" ca="1" si="86"/>
        <v>5598820.9624047158</v>
      </c>
      <c r="BA11" s="40">
        <f t="shared" ca="1" si="86"/>
        <v>6998526.203005895</v>
      </c>
      <c r="BB11" s="40">
        <f t="shared" ca="1" si="86"/>
        <v>8748157.7537573688</v>
      </c>
      <c r="BC11" s="40">
        <f t="shared" ca="1" si="86"/>
        <v>10935197.192196712</v>
      </c>
      <c r="BD11" s="40">
        <f t="shared" ca="1" si="86"/>
        <v>13668996.49024589</v>
      </c>
      <c r="BE11" s="40">
        <f t="shared" ca="1" si="86"/>
        <v>17086245.612807363</v>
      </c>
      <c r="BF11" s="40">
        <f t="shared" ca="1" si="86"/>
        <v>21357807.016009204</v>
      </c>
      <c r="BG11" s="40">
        <f t="shared" ca="1" si="86"/>
        <v>26697258.770011507</v>
      </c>
      <c r="BH11" s="40">
        <f t="shared" ca="1" si="86"/>
        <v>33371573.462514386</v>
      </c>
      <c r="BI11" s="40">
        <f t="shared" ca="1" si="86"/>
        <v>41714466.828142986</v>
      </c>
      <c r="BJ11" s="40">
        <f t="shared" ca="1" si="86"/>
        <v>52143083.535178736</v>
      </c>
      <c r="BK11" s="40">
        <f t="shared" ca="1" si="86"/>
        <v>65178854.418973416</v>
      </c>
      <c r="BL11" s="40">
        <f t="shared" ca="1" si="86"/>
        <v>81473568.023716778</v>
      </c>
      <c r="BM11" s="40">
        <f t="shared" ca="1" si="86"/>
        <v>101841960.02964598</v>
      </c>
      <c r="BN11" s="40">
        <f t="shared" ca="1" si="86"/>
        <v>127302450.03705747</v>
      </c>
      <c r="BO11" s="40">
        <f t="shared" ca="1" si="86"/>
        <v>132401060.40000001</v>
      </c>
      <c r="BP11" s="40">
        <f t="shared" ca="1" si="86"/>
        <v>132401060.40000001</v>
      </c>
      <c r="BQ11" s="40">
        <f t="shared" ca="1" si="86"/>
        <v>132401060.40000001</v>
      </c>
      <c r="BR11" s="40">
        <f t="shared" ca="1" si="86"/>
        <v>132401060.40000001</v>
      </c>
      <c r="BS11" s="40">
        <f t="shared" ca="1" si="86"/>
        <v>132401060.40000001</v>
      </c>
      <c r="BT11" s="40">
        <f t="shared" ca="1" si="86"/>
        <v>132401060.40000001</v>
      </c>
      <c r="BU11" s="40">
        <f t="shared" ref="BU11:EF11" ca="1" si="87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7"/>
        <v>132401060.40000001</v>
      </c>
      <c r="BW11" s="40">
        <f t="shared" ca="1" si="87"/>
        <v>132401060.40000001</v>
      </c>
      <c r="BX11" s="40">
        <f t="shared" ca="1" si="87"/>
        <v>132401060.40000001</v>
      </c>
      <c r="BY11" s="40">
        <f t="shared" ca="1" si="87"/>
        <v>132401060.40000001</v>
      </c>
      <c r="BZ11" s="40">
        <f t="shared" ca="1" si="87"/>
        <v>132401060.40000001</v>
      </c>
      <c r="CA11" s="40">
        <f t="shared" ca="1" si="87"/>
        <v>132401060.40000001</v>
      </c>
      <c r="CB11" s="40">
        <f t="shared" ca="1" si="87"/>
        <v>132401060.40000001</v>
      </c>
      <c r="CC11" s="40">
        <f t="shared" ca="1" si="87"/>
        <v>132401060.40000001</v>
      </c>
      <c r="CD11" s="40">
        <f t="shared" ca="1" si="87"/>
        <v>132401060.40000001</v>
      </c>
      <c r="CE11" s="40">
        <f t="shared" ca="1" si="87"/>
        <v>132401060.40000001</v>
      </c>
      <c r="CF11" s="40">
        <f t="shared" ca="1" si="87"/>
        <v>132401060.40000001</v>
      </c>
      <c r="CG11" s="40">
        <f t="shared" ca="1" si="87"/>
        <v>132401060.40000001</v>
      </c>
      <c r="CH11" s="40">
        <f t="shared" ca="1" si="87"/>
        <v>132401060.40000001</v>
      </c>
      <c r="CI11" s="40">
        <f t="shared" ca="1" si="87"/>
        <v>132401060.40000001</v>
      </c>
      <c r="CJ11" s="40">
        <f t="shared" ca="1" si="87"/>
        <v>132401060.40000001</v>
      </c>
      <c r="CK11" s="40">
        <f t="shared" ca="1" si="87"/>
        <v>132401060.40000001</v>
      </c>
      <c r="CL11" s="40">
        <f t="shared" ca="1" si="87"/>
        <v>132401060.40000001</v>
      </c>
      <c r="CM11" s="40">
        <f t="shared" ca="1" si="87"/>
        <v>132401060.40000001</v>
      </c>
      <c r="CN11" s="40">
        <f t="shared" ca="1" si="87"/>
        <v>132401060.40000001</v>
      </c>
      <c r="CO11" s="40">
        <f t="shared" ca="1" si="87"/>
        <v>132401060.40000001</v>
      </c>
      <c r="CP11" s="40">
        <f t="shared" ca="1" si="87"/>
        <v>132401060.40000001</v>
      </c>
      <c r="CQ11" s="40">
        <f t="shared" ca="1" si="87"/>
        <v>132401060.40000001</v>
      </c>
      <c r="CR11" s="40">
        <f t="shared" ca="1" si="87"/>
        <v>132401060.40000001</v>
      </c>
      <c r="CS11" s="40">
        <f t="shared" ca="1" si="87"/>
        <v>132401060.40000001</v>
      </c>
      <c r="CT11" s="40">
        <f t="shared" ca="1" si="87"/>
        <v>132401060.40000001</v>
      </c>
      <c r="CU11" s="40">
        <f t="shared" ca="1" si="87"/>
        <v>132401060.40000001</v>
      </c>
      <c r="CV11" s="40">
        <f t="shared" ca="1" si="87"/>
        <v>132401060.40000001</v>
      </c>
      <c r="CW11" s="40">
        <f t="shared" ca="1" si="87"/>
        <v>132401060.40000001</v>
      </c>
      <c r="CX11" s="40">
        <f t="shared" ca="1" si="87"/>
        <v>132401060.40000001</v>
      </c>
      <c r="CY11" s="40">
        <f t="shared" ca="1" si="87"/>
        <v>132401060.40000001</v>
      </c>
      <c r="CZ11" s="40">
        <f t="shared" ca="1" si="87"/>
        <v>132401060.40000001</v>
      </c>
      <c r="DA11" s="40">
        <f t="shared" ca="1" si="87"/>
        <v>132401060.40000001</v>
      </c>
      <c r="DB11" s="40">
        <f t="shared" ca="1" si="87"/>
        <v>132401060.40000001</v>
      </c>
      <c r="DC11" s="40">
        <f t="shared" ca="1" si="87"/>
        <v>132401060.40000001</v>
      </c>
      <c r="DD11" s="40">
        <f t="shared" ca="1" si="87"/>
        <v>132401060.40000001</v>
      </c>
      <c r="DE11" s="40">
        <f t="shared" ca="1" si="87"/>
        <v>132401060.40000001</v>
      </c>
      <c r="DF11" s="40">
        <f t="shared" ca="1" si="87"/>
        <v>132401060.40000001</v>
      </c>
      <c r="DG11" s="40">
        <f t="shared" ca="1" si="87"/>
        <v>132401060.40000001</v>
      </c>
      <c r="DH11" s="40">
        <f t="shared" ca="1" si="87"/>
        <v>132401060.40000001</v>
      </c>
      <c r="DI11" s="40">
        <f t="shared" ca="1" si="87"/>
        <v>132401060.40000001</v>
      </c>
      <c r="DJ11" s="40">
        <f t="shared" ca="1" si="87"/>
        <v>132401060.40000001</v>
      </c>
      <c r="DK11" s="40">
        <f t="shared" ca="1" si="87"/>
        <v>132401060.40000001</v>
      </c>
      <c r="DL11" s="40">
        <f t="shared" ca="1" si="87"/>
        <v>132401060.40000001</v>
      </c>
      <c r="DM11" s="40">
        <f t="shared" ca="1" si="87"/>
        <v>132401060.40000001</v>
      </c>
      <c r="DN11" s="40">
        <f t="shared" ca="1" si="87"/>
        <v>132401060.40000001</v>
      </c>
      <c r="DO11" s="40">
        <f t="shared" ca="1" si="87"/>
        <v>132401060.40000001</v>
      </c>
      <c r="DP11" s="40">
        <f t="shared" ca="1" si="87"/>
        <v>132401060.40000001</v>
      </c>
      <c r="DQ11" s="40">
        <f t="shared" ca="1" si="87"/>
        <v>132401060.40000001</v>
      </c>
      <c r="DR11" s="40">
        <f t="shared" ca="1" si="87"/>
        <v>132401060.40000001</v>
      </c>
      <c r="DS11" s="40">
        <f t="shared" ca="1" si="87"/>
        <v>132401060.40000001</v>
      </c>
      <c r="DT11" s="40">
        <f t="shared" ca="1" si="87"/>
        <v>132401060.40000001</v>
      </c>
      <c r="DU11" s="40">
        <f t="shared" ca="1" si="87"/>
        <v>132401060.40000001</v>
      </c>
      <c r="DV11" s="40">
        <f t="shared" ca="1" si="87"/>
        <v>132401060.40000001</v>
      </c>
      <c r="DW11" s="40">
        <f t="shared" ca="1" si="87"/>
        <v>132401060.40000001</v>
      </c>
      <c r="DX11" s="40">
        <f t="shared" ca="1" si="87"/>
        <v>132401060.40000001</v>
      </c>
      <c r="DY11" s="40">
        <f t="shared" ca="1" si="87"/>
        <v>132401060.40000001</v>
      </c>
      <c r="DZ11" s="40">
        <f t="shared" ca="1" si="87"/>
        <v>132401060.40000001</v>
      </c>
      <c r="EA11" s="40">
        <f t="shared" ca="1" si="87"/>
        <v>132401060.40000001</v>
      </c>
      <c r="EB11" s="40">
        <f t="shared" ca="1" si="87"/>
        <v>132401060.40000001</v>
      </c>
      <c r="EC11" s="40">
        <f t="shared" ca="1" si="87"/>
        <v>132401060.40000001</v>
      </c>
      <c r="ED11" s="40">
        <f t="shared" ca="1" si="87"/>
        <v>132401060.40000001</v>
      </c>
      <c r="EE11" s="40">
        <f t="shared" ca="1" si="87"/>
        <v>132401060.40000001</v>
      </c>
      <c r="EF11" s="40">
        <f t="shared" ca="1" si="87"/>
        <v>132401060.40000001</v>
      </c>
      <c r="EG11" s="40">
        <f t="shared" ref="EG11:GR11" ca="1" si="88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8"/>
        <v>132401060.40000001</v>
      </c>
      <c r="EI11" s="40">
        <f t="shared" ca="1" si="88"/>
        <v>132401060.40000001</v>
      </c>
      <c r="EJ11" s="40">
        <f t="shared" ca="1" si="88"/>
        <v>132401060.40000001</v>
      </c>
      <c r="EK11" s="40">
        <f t="shared" ca="1" si="88"/>
        <v>132401060.40000001</v>
      </c>
      <c r="EL11" s="40">
        <f t="shared" ca="1" si="88"/>
        <v>132401060.40000001</v>
      </c>
      <c r="EM11" s="40">
        <f t="shared" ca="1" si="88"/>
        <v>132401060.40000001</v>
      </c>
      <c r="EN11" s="40">
        <f t="shared" ca="1" si="88"/>
        <v>132401060.40000001</v>
      </c>
      <c r="EO11" s="40">
        <f t="shared" ca="1" si="88"/>
        <v>132401060.40000001</v>
      </c>
      <c r="EP11" s="40">
        <f t="shared" ca="1" si="88"/>
        <v>132401060.40000001</v>
      </c>
      <c r="EQ11" s="40">
        <f t="shared" ca="1" si="88"/>
        <v>132401060.40000001</v>
      </c>
      <c r="ER11" s="40">
        <f t="shared" ca="1" si="88"/>
        <v>132401060.40000001</v>
      </c>
      <c r="ES11" s="40">
        <f t="shared" ca="1" si="88"/>
        <v>132401060.40000001</v>
      </c>
      <c r="ET11" s="40">
        <f t="shared" ca="1" si="88"/>
        <v>132401060.40000001</v>
      </c>
      <c r="EU11" s="40">
        <f t="shared" ca="1" si="88"/>
        <v>132401060.40000001</v>
      </c>
      <c r="EV11" s="40">
        <f t="shared" ca="1" si="88"/>
        <v>132401060.40000001</v>
      </c>
      <c r="EW11" s="40">
        <f t="shared" ca="1" si="88"/>
        <v>132401060.40000001</v>
      </c>
      <c r="EX11" s="40">
        <f t="shared" ca="1" si="88"/>
        <v>132401060.40000001</v>
      </c>
      <c r="EY11" s="40">
        <f t="shared" ca="1" si="88"/>
        <v>132401060.40000001</v>
      </c>
      <c r="EZ11" s="40">
        <f t="shared" ca="1" si="88"/>
        <v>132401060.40000001</v>
      </c>
      <c r="FA11" s="40">
        <f t="shared" ca="1" si="88"/>
        <v>132401060.40000001</v>
      </c>
      <c r="FB11" s="40">
        <f t="shared" ca="1" si="88"/>
        <v>132401060.40000001</v>
      </c>
      <c r="FC11" s="40">
        <f t="shared" ca="1" si="88"/>
        <v>132401060.40000001</v>
      </c>
      <c r="FD11" s="40">
        <f t="shared" ca="1" si="88"/>
        <v>132401060.40000001</v>
      </c>
      <c r="FE11" s="40">
        <f t="shared" ca="1" si="88"/>
        <v>132401060.40000001</v>
      </c>
      <c r="FF11" s="40">
        <f t="shared" ca="1" si="88"/>
        <v>132401060.40000001</v>
      </c>
      <c r="FG11" s="40">
        <f t="shared" ca="1" si="88"/>
        <v>132401060.40000001</v>
      </c>
      <c r="FH11" s="40">
        <f t="shared" ca="1" si="88"/>
        <v>132401060.40000001</v>
      </c>
      <c r="FI11" s="40">
        <f t="shared" ca="1" si="88"/>
        <v>132401060.40000001</v>
      </c>
      <c r="FJ11" s="40">
        <f t="shared" ca="1" si="88"/>
        <v>132401060.40000001</v>
      </c>
      <c r="FK11" s="40">
        <f t="shared" ca="1" si="88"/>
        <v>132401060.40000001</v>
      </c>
      <c r="FL11" s="40">
        <f t="shared" ca="1" si="88"/>
        <v>132401060.40000001</v>
      </c>
      <c r="FM11" s="40">
        <f t="shared" ca="1" si="88"/>
        <v>132401060.40000001</v>
      </c>
      <c r="FN11" s="40">
        <f t="shared" ca="1" si="88"/>
        <v>132401060.40000001</v>
      </c>
      <c r="FO11" s="40">
        <f t="shared" ca="1" si="88"/>
        <v>132401060.40000001</v>
      </c>
      <c r="FP11" s="40">
        <f t="shared" ca="1" si="88"/>
        <v>132401060.40000001</v>
      </c>
      <c r="FQ11" s="40">
        <f t="shared" ca="1" si="88"/>
        <v>132401060.40000001</v>
      </c>
      <c r="FR11" s="40">
        <f t="shared" ca="1" si="88"/>
        <v>132401060.40000001</v>
      </c>
      <c r="FS11" s="40">
        <f t="shared" ca="1" si="88"/>
        <v>132401060.40000001</v>
      </c>
      <c r="FT11" s="40">
        <f t="shared" ca="1" si="88"/>
        <v>132401060.40000001</v>
      </c>
      <c r="FU11" s="40">
        <f t="shared" ca="1" si="88"/>
        <v>132401060.40000001</v>
      </c>
      <c r="FV11" s="40">
        <f t="shared" ca="1" si="88"/>
        <v>132401060.40000001</v>
      </c>
      <c r="FW11" s="40">
        <f t="shared" ca="1" si="88"/>
        <v>132401060.40000001</v>
      </c>
      <c r="FX11" s="40">
        <f t="shared" ca="1" si="88"/>
        <v>132401060.40000001</v>
      </c>
      <c r="FY11" s="40">
        <f t="shared" ca="1" si="88"/>
        <v>132401060.40000001</v>
      </c>
      <c r="FZ11" s="40">
        <f t="shared" ca="1" si="88"/>
        <v>132401060.40000001</v>
      </c>
      <c r="GA11" s="40">
        <f t="shared" ca="1" si="88"/>
        <v>132401060.40000001</v>
      </c>
      <c r="GB11" s="40">
        <f t="shared" ca="1" si="88"/>
        <v>132401060.40000001</v>
      </c>
      <c r="GC11" s="40">
        <f t="shared" ca="1" si="88"/>
        <v>132401060.40000001</v>
      </c>
      <c r="GD11" s="40">
        <f t="shared" ca="1" si="88"/>
        <v>132401060.40000001</v>
      </c>
      <c r="GE11" s="40">
        <f t="shared" ca="1" si="88"/>
        <v>132401060.40000001</v>
      </c>
      <c r="GF11" s="40">
        <f t="shared" ca="1" si="88"/>
        <v>132401060.40000001</v>
      </c>
      <c r="GG11" s="40">
        <f t="shared" ca="1" si="88"/>
        <v>132401060.40000001</v>
      </c>
      <c r="GH11" s="40">
        <f t="shared" ca="1" si="88"/>
        <v>132401060.40000001</v>
      </c>
      <c r="GI11" s="40">
        <f t="shared" ca="1" si="88"/>
        <v>132401060.40000001</v>
      </c>
      <c r="GJ11" s="40">
        <f t="shared" ca="1" si="88"/>
        <v>132401060.40000001</v>
      </c>
      <c r="GK11" s="40">
        <f t="shared" ca="1" si="88"/>
        <v>132401060.40000001</v>
      </c>
      <c r="GL11" s="40">
        <f t="shared" ca="1" si="88"/>
        <v>132401060.40000001</v>
      </c>
      <c r="GM11" s="40">
        <f t="shared" ca="1" si="88"/>
        <v>132401060.40000001</v>
      </c>
      <c r="GN11" s="40">
        <f t="shared" ca="1" si="88"/>
        <v>132401060.40000001</v>
      </c>
      <c r="GO11" s="40">
        <f t="shared" ca="1" si="88"/>
        <v>132401060.40000001</v>
      </c>
      <c r="GP11" s="40">
        <f t="shared" ca="1" si="88"/>
        <v>132401060.40000001</v>
      </c>
      <c r="GQ11" s="40">
        <f t="shared" ca="1" si="88"/>
        <v>132401060.40000001</v>
      </c>
      <c r="GR11" s="40">
        <f t="shared" ca="1" si="88"/>
        <v>132401060.40000001</v>
      </c>
      <c r="GS11" s="40">
        <f t="shared" ref="GS11:IN11" ca="1" si="89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9"/>
        <v>132401060.40000001</v>
      </c>
      <c r="GU11" s="40">
        <f t="shared" ca="1" si="89"/>
        <v>132401060.40000001</v>
      </c>
      <c r="GV11" s="40">
        <f t="shared" ca="1" si="89"/>
        <v>132401060.40000001</v>
      </c>
      <c r="GW11" s="40">
        <f t="shared" ca="1" si="89"/>
        <v>132401060.40000001</v>
      </c>
      <c r="GX11" s="40">
        <f t="shared" ca="1" si="89"/>
        <v>132401060.40000001</v>
      </c>
      <c r="GY11" s="40">
        <f t="shared" ca="1" si="89"/>
        <v>132401060.40000001</v>
      </c>
      <c r="GZ11" s="40">
        <f t="shared" ca="1" si="89"/>
        <v>132401060.40000001</v>
      </c>
      <c r="HA11" s="40">
        <f t="shared" ca="1" si="89"/>
        <v>132401060.40000001</v>
      </c>
      <c r="HB11" s="40">
        <f t="shared" ca="1" si="89"/>
        <v>132401060.40000001</v>
      </c>
      <c r="HC11" s="40">
        <f t="shared" ca="1" si="89"/>
        <v>132401060.40000001</v>
      </c>
      <c r="HD11" s="40">
        <f t="shared" ca="1" si="89"/>
        <v>132401060.40000001</v>
      </c>
      <c r="HE11" s="40">
        <f t="shared" ca="1" si="89"/>
        <v>132401060.40000001</v>
      </c>
      <c r="HF11" s="40">
        <f t="shared" ca="1" si="89"/>
        <v>132401060.40000001</v>
      </c>
      <c r="HG11" s="40">
        <f t="shared" ca="1" si="89"/>
        <v>132401060.40000001</v>
      </c>
      <c r="HH11" s="40">
        <f t="shared" ca="1" si="89"/>
        <v>132401060.40000001</v>
      </c>
      <c r="HI11" s="40">
        <f t="shared" ca="1" si="89"/>
        <v>132401060.40000001</v>
      </c>
      <c r="HJ11" s="40">
        <f t="shared" ca="1" si="89"/>
        <v>132401060.40000001</v>
      </c>
      <c r="HK11" s="40">
        <f t="shared" ca="1" si="89"/>
        <v>132401060.40000001</v>
      </c>
      <c r="HL11" s="40">
        <f t="shared" ca="1" si="89"/>
        <v>132401060.40000001</v>
      </c>
      <c r="HM11" s="40">
        <f t="shared" ca="1" si="89"/>
        <v>132401060.40000001</v>
      </c>
      <c r="HN11" s="40">
        <f t="shared" ca="1" si="89"/>
        <v>132401060.40000001</v>
      </c>
      <c r="HO11" s="40">
        <f t="shared" ca="1" si="89"/>
        <v>132401060.40000001</v>
      </c>
      <c r="HP11" s="40">
        <f t="shared" ca="1" si="89"/>
        <v>132401060.40000001</v>
      </c>
      <c r="HQ11" s="40">
        <f t="shared" ca="1" si="89"/>
        <v>132401060.40000001</v>
      </c>
      <c r="HR11" s="40">
        <f t="shared" ca="1" si="89"/>
        <v>132401060.40000001</v>
      </c>
      <c r="HS11" s="40">
        <f t="shared" ca="1" si="89"/>
        <v>132401060.40000001</v>
      </c>
      <c r="HT11" s="40">
        <f t="shared" ca="1" si="89"/>
        <v>132401060.40000001</v>
      </c>
      <c r="HU11" s="40">
        <f t="shared" ca="1" si="89"/>
        <v>132401060.40000001</v>
      </c>
      <c r="HV11" s="40">
        <f t="shared" ca="1" si="89"/>
        <v>132401060.40000001</v>
      </c>
      <c r="HW11" s="40">
        <f t="shared" ca="1" si="89"/>
        <v>132401060.40000001</v>
      </c>
      <c r="HX11" s="40">
        <f t="shared" ca="1" si="89"/>
        <v>132401060.40000001</v>
      </c>
      <c r="HY11" s="40">
        <f t="shared" ca="1" si="89"/>
        <v>132401060.40000001</v>
      </c>
      <c r="HZ11" s="40">
        <f t="shared" ca="1" si="89"/>
        <v>132401060.40000001</v>
      </c>
      <c r="IA11" s="40">
        <f t="shared" ca="1" si="89"/>
        <v>132401060.40000001</v>
      </c>
      <c r="IB11" s="40">
        <f t="shared" ca="1" si="89"/>
        <v>132401060.40000001</v>
      </c>
      <c r="IC11" s="40">
        <f t="shared" ca="1" si="89"/>
        <v>132401060.40000001</v>
      </c>
      <c r="ID11" s="40">
        <f t="shared" ca="1" si="89"/>
        <v>132401060.40000001</v>
      </c>
      <c r="IE11" s="40">
        <f t="shared" ca="1" si="89"/>
        <v>132401060.40000001</v>
      </c>
      <c r="IF11" s="40">
        <f t="shared" ca="1" si="89"/>
        <v>132401060.40000001</v>
      </c>
      <c r="IG11" s="40">
        <f t="shared" ca="1" si="89"/>
        <v>132401060.40000001</v>
      </c>
      <c r="IH11" s="40">
        <f t="shared" ca="1" si="89"/>
        <v>132401060.40000001</v>
      </c>
      <c r="II11" s="40">
        <f t="shared" ca="1" si="89"/>
        <v>132401060.40000001</v>
      </c>
      <c r="IJ11" s="40">
        <f t="shared" ca="1" si="89"/>
        <v>132401060.40000001</v>
      </c>
      <c r="IK11" s="40">
        <f t="shared" ca="1" si="89"/>
        <v>132401060.40000001</v>
      </c>
      <c r="IL11" s="40">
        <f t="shared" ca="1" si="89"/>
        <v>132401060.40000001</v>
      </c>
      <c r="IM11" s="40">
        <f t="shared" ca="1" si="89"/>
        <v>132401060.40000001</v>
      </c>
      <c r="IN11" s="40">
        <f t="shared" ca="1" si="89"/>
        <v>132401060.40000001</v>
      </c>
    </row>
    <row r="12" spans="2:248" x14ac:dyDescent="0.3">
      <c r="B12" s="19" t="s">
        <v>527</v>
      </c>
      <c r="C12" s="74">
        <f>VLOOKUP(B2,Days_Since_100!C:G,5,FALSE)-1</f>
        <v>0.14916793509432602</v>
      </c>
      <c r="E12" s="19">
        <v>0.4</v>
      </c>
      <c r="F12" s="19" t="s">
        <v>452</v>
      </c>
      <c r="G12" s="40">
        <f t="shared" ref="G12" si="90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1">IF(IF(AND(ISNA(H$8),ISNA(G$8)),G12*(1+$E$12),IF(AND(G$8&gt;0,ISNA(H$8)),G12*(1+$E$12),H$8))&gt;$C$21,$C$21,IF(AND(ISNA(H$8),ISNA(G$8)),G12*(1+$E$12),IF(AND(G$8&gt;0,ISNA(H$8)),G12*(1+$E$12),H$8)))</f>
        <v>128</v>
      </c>
      <c r="I12" s="40">
        <f t="shared" ref="I12:BT12" ca="1" si="92">IF(IF(AND(ISNA(I$8),ISNA(H$8)),H12*(1+$E$12),IF(AND(H$8&gt;0,ISNA(I$8)),H12*(1+$E$12),I$8))&gt;$C$21,$C$21,IF(AND(ISNA(I$8),ISNA(H$8)),H12*(1+$E$12),IF(AND(H$8&gt;0,ISNA(I$8)),H12*(1+$E$12),I$8)))</f>
        <v>157</v>
      </c>
      <c r="J12" s="40">
        <f t="shared" ca="1" si="92"/>
        <v>219.66666666666666</v>
      </c>
      <c r="K12" s="40">
        <f t="shared" ca="1" si="92"/>
        <v>366.5</v>
      </c>
      <c r="L12" s="40">
        <f t="shared" ca="1" si="92"/>
        <v>484.4</v>
      </c>
      <c r="M12" s="40">
        <f t="shared" ca="1" si="92"/>
        <v>552.33333333333337</v>
      </c>
      <c r="N12" s="40">
        <f t="shared" ca="1" si="92"/>
        <v>925.14285714285711</v>
      </c>
      <c r="O12" s="40">
        <f t="shared" ca="1" si="92"/>
        <v>1241.25</v>
      </c>
      <c r="P12" s="40">
        <f t="shared" ca="1" si="92"/>
        <v>1620.8888888888889</v>
      </c>
      <c r="Q12" s="40">
        <f t="shared" ca="1" si="92"/>
        <v>2131.1999999999998</v>
      </c>
      <c r="R12" s="40">
        <f t="shared" ca="1" si="92"/>
        <v>2673.2727272727275</v>
      </c>
      <c r="S12" s="40">
        <f t="shared" ca="1" si="92"/>
        <v>3267</v>
      </c>
      <c r="T12" s="40">
        <f t="shared" ca="1" si="92"/>
        <v>4275</v>
      </c>
      <c r="U12" s="40">
        <f t="shared" ca="1" si="92"/>
        <v>6022</v>
      </c>
      <c r="V12" s="40">
        <f t="shared" ca="1" si="92"/>
        <v>7143</v>
      </c>
      <c r="W12" s="40">
        <f t="shared" ca="1" si="92"/>
        <v>12868</v>
      </c>
      <c r="X12" s="40">
        <f t="shared" ca="1" si="92"/>
        <v>18231</v>
      </c>
      <c r="Y12" s="40">
        <f t="shared" ca="1" si="92"/>
        <v>23881</v>
      </c>
      <c r="Z12" s="40">
        <f t="shared" ca="1" si="92"/>
        <v>31300</v>
      </c>
      <c r="AA12" s="40">
        <f t="shared" ca="1" si="92"/>
        <v>41289</v>
      </c>
      <c r="AB12" s="40">
        <f t="shared" ca="1" si="92"/>
        <v>50393</v>
      </c>
      <c r="AC12" s="40">
        <f t="shared" ca="1" si="92"/>
        <v>61622</v>
      </c>
      <c r="AD12" s="40">
        <f t="shared" ca="1" si="92"/>
        <v>78428</v>
      </c>
      <c r="AE12" s="40">
        <f t="shared" ca="1" si="92"/>
        <v>94418</v>
      </c>
      <c r="AF12" s="40">
        <f t="shared" ca="1" si="92"/>
        <v>111373</v>
      </c>
      <c r="AG12" s="40">
        <f t="shared" ca="1" si="92"/>
        <v>129402</v>
      </c>
      <c r="AH12" s="40">
        <f t="shared" ca="1" si="92"/>
        <v>139540</v>
      </c>
      <c r="AI12" s="40">
        <f t="shared" ca="1" si="92"/>
        <v>160064</v>
      </c>
      <c r="AJ12" s="40">
        <f t="shared" ca="1" si="92"/>
        <v>177107</v>
      </c>
      <c r="AK12" s="40">
        <f t="shared" ca="1" si="92"/>
        <v>196991</v>
      </c>
      <c r="AL12" s="40">
        <f t="shared" ca="1" si="92"/>
        <v>275787.39999999997</v>
      </c>
      <c r="AM12" s="40">
        <f t="shared" ca="1" si="92"/>
        <v>386102.35999999993</v>
      </c>
      <c r="AN12" s="40">
        <f t="shared" ca="1" si="92"/>
        <v>540543.30399999989</v>
      </c>
      <c r="AO12" s="40">
        <f t="shared" ca="1" si="92"/>
        <v>756760.6255999998</v>
      </c>
      <c r="AP12" s="40">
        <f t="shared" ca="1" si="92"/>
        <v>1059464.8758399996</v>
      </c>
      <c r="AQ12" s="40">
        <f t="shared" ca="1" si="92"/>
        <v>1483250.8261759994</v>
      </c>
      <c r="AR12" s="40">
        <f t="shared" ca="1" si="92"/>
        <v>2076551.1566463991</v>
      </c>
      <c r="AS12" s="40">
        <f t="shared" ca="1" si="92"/>
        <v>2907171.6193049587</v>
      </c>
      <c r="AT12" s="40">
        <f t="shared" ca="1" si="92"/>
        <v>4070040.2670269418</v>
      </c>
      <c r="AU12" s="40">
        <f t="shared" ca="1" si="92"/>
        <v>5698056.3738377178</v>
      </c>
      <c r="AV12" s="40">
        <f t="shared" ca="1" si="92"/>
        <v>7977278.9233728042</v>
      </c>
      <c r="AW12" s="40">
        <f t="shared" ca="1" si="92"/>
        <v>11168190.492721925</v>
      </c>
      <c r="AX12" s="40">
        <f t="shared" ca="1" si="92"/>
        <v>15635466.689810693</v>
      </c>
      <c r="AY12" s="40">
        <f t="shared" ca="1" si="92"/>
        <v>21889653.365734968</v>
      </c>
      <c r="AZ12" s="40">
        <f t="shared" ca="1" si="92"/>
        <v>30645514.712028954</v>
      </c>
      <c r="BA12" s="40">
        <f t="shared" ca="1" si="92"/>
        <v>42903720.596840531</v>
      </c>
      <c r="BB12" s="40">
        <f t="shared" ca="1" si="92"/>
        <v>60065208.835576735</v>
      </c>
      <c r="BC12" s="40">
        <f t="shared" ca="1" si="92"/>
        <v>84091292.369807422</v>
      </c>
      <c r="BD12" s="40">
        <f t="shared" ca="1" si="92"/>
        <v>117727809.31773038</v>
      </c>
      <c r="BE12" s="40">
        <f t="shared" ca="1" si="92"/>
        <v>132401060.40000001</v>
      </c>
      <c r="BF12" s="40">
        <f t="shared" ca="1" si="92"/>
        <v>132401060.40000001</v>
      </c>
      <c r="BG12" s="40">
        <f t="shared" ca="1" si="92"/>
        <v>132401060.40000001</v>
      </c>
      <c r="BH12" s="40">
        <f t="shared" ca="1" si="92"/>
        <v>132401060.40000001</v>
      </c>
      <c r="BI12" s="40">
        <f t="shared" ca="1" si="92"/>
        <v>132401060.40000001</v>
      </c>
      <c r="BJ12" s="40">
        <f t="shared" ca="1" si="92"/>
        <v>132401060.40000001</v>
      </c>
      <c r="BK12" s="40">
        <f t="shared" ca="1" si="92"/>
        <v>132401060.40000001</v>
      </c>
      <c r="BL12" s="40">
        <f t="shared" ca="1" si="92"/>
        <v>132401060.40000001</v>
      </c>
      <c r="BM12" s="40">
        <f t="shared" ca="1" si="92"/>
        <v>132401060.40000001</v>
      </c>
      <c r="BN12" s="40">
        <f t="shared" ca="1" si="92"/>
        <v>132401060.40000001</v>
      </c>
      <c r="BO12" s="40">
        <f t="shared" ca="1" si="92"/>
        <v>132401060.40000001</v>
      </c>
      <c r="BP12" s="40">
        <f t="shared" ca="1" si="92"/>
        <v>132401060.40000001</v>
      </c>
      <c r="BQ12" s="40">
        <f t="shared" ca="1" si="92"/>
        <v>132401060.40000001</v>
      </c>
      <c r="BR12" s="40">
        <f t="shared" ca="1" si="92"/>
        <v>132401060.40000001</v>
      </c>
      <c r="BS12" s="40">
        <f t="shared" ca="1" si="92"/>
        <v>132401060.40000001</v>
      </c>
      <c r="BT12" s="40">
        <f t="shared" ca="1" si="92"/>
        <v>132401060.40000001</v>
      </c>
      <c r="BU12" s="40">
        <f t="shared" ref="BU12:EF12" ca="1" si="93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3"/>
        <v>132401060.40000001</v>
      </c>
      <c r="BW12" s="40">
        <f t="shared" ca="1" si="93"/>
        <v>132401060.40000001</v>
      </c>
      <c r="BX12" s="40">
        <f t="shared" ca="1" si="93"/>
        <v>132401060.40000001</v>
      </c>
      <c r="BY12" s="40">
        <f t="shared" ca="1" si="93"/>
        <v>132401060.40000001</v>
      </c>
      <c r="BZ12" s="40">
        <f t="shared" ca="1" si="93"/>
        <v>132401060.40000001</v>
      </c>
      <c r="CA12" s="40">
        <f t="shared" ca="1" si="93"/>
        <v>132401060.40000001</v>
      </c>
      <c r="CB12" s="40">
        <f t="shared" ca="1" si="93"/>
        <v>132401060.40000001</v>
      </c>
      <c r="CC12" s="40">
        <f t="shared" ca="1" si="93"/>
        <v>132401060.40000001</v>
      </c>
      <c r="CD12" s="40">
        <f t="shared" ca="1" si="93"/>
        <v>132401060.40000001</v>
      </c>
      <c r="CE12" s="40">
        <f t="shared" ca="1" si="93"/>
        <v>132401060.40000001</v>
      </c>
      <c r="CF12" s="40">
        <f t="shared" ca="1" si="93"/>
        <v>132401060.40000001</v>
      </c>
      <c r="CG12" s="40">
        <f t="shared" ca="1" si="93"/>
        <v>132401060.40000001</v>
      </c>
      <c r="CH12" s="40">
        <f t="shared" ca="1" si="93"/>
        <v>132401060.40000001</v>
      </c>
      <c r="CI12" s="40">
        <f t="shared" ca="1" si="93"/>
        <v>132401060.40000001</v>
      </c>
      <c r="CJ12" s="40">
        <f t="shared" ca="1" si="93"/>
        <v>132401060.40000001</v>
      </c>
      <c r="CK12" s="40">
        <f t="shared" ca="1" si="93"/>
        <v>132401060.40000001</v>
      </c>
      <c r="CL12" s="40">
        <f t="shared" ca="1" si="93"/>
        <v>132401060.40000001</v>
      </c>
      <c r="CM12" s="40">
        <f t="shared" ca="1" si="93"/>
        <v>132401060.40000001</v>
      </c>
      <c r="CN12" s="40">
        <f t="shared" ca="1" si="93"/>
        <v>132401060.40000001</v>
      </c>
      <c r="CO12" s="40">
        <f t="shared" ca="1" si="93"/>
        <v>132401060.40000001</v>
      </c>
      <c r="CP12" s="40">
        <f t="shared" ca="1" si="93"/>
        <v>132401060.40000001</v>
      </c>
      <c r="CQ12" s="40">
        <f t="shared" ca="1" si="93"/>
        <v>132401060.40000001</v>
      </c>
      <c r="CR12" s="40">
        <f t="shared" ca="1" si="93"/>
        <v>132401060.40000001</v>
      </c>
      <c r="CS12" s="40">
        <f t="shared" ca="1" si="93"/>
        <v>132401060.40000001</v>
      </c>
      <c r="CT12" s="40">
        <f t="shared" ca="1" si="93"/>
        <v>132401060.40000001</v>
      </c>
      <c r="CU12" s="40">
        <f t="shared" ca="1" si="93"/>
        <v>132401060.40000001</v>
      </c>
      <c r="CV12" s="40">
        <f t="shared" ca="1" si="93"/>
        <v>132401060.40000001</v>
      </c>
      <c r="CW12" s="40">
        <f t="shared" ca="1" si="93"/>
        <v>132401060.40000001</v>
      </c>
      <c r="CX12" s="40">
        <f t="shared" ca="1" si="93"/>
        <v>132401060.40000001</v>
      </c>
      <c r="CY12" s="40">
        <f t="shared" ca="1" si="93"/>
        <v>132401060.40000001</v>
      </c>
      <c r="CZ12" s="40">
        <f t="shared" ca="1" si="93"/>
        <v>132401060.40000001</v>
      </c>
      <c r="DA12" s="40">
        <f t="shared" ca="1" si="93"/>
        <v>132401060.40000001</v>
      </c>
      <c r="DB12" s="40">
        <f t="shared" ca="1" si="93"/>
        <v>132401060.40000001</v>
      </c>
      <c r="DC12" s="40">
        <f t="shared" ca="1" si="93"/>
        <v>132401060.40000001</v>
      </c>
      <c r="DD12" s="40">
        <f t="shared" ca="1" si="93"/>
        <v>132401060.40000001</v>
      </c>
      <c r="DE12" s="40">
        <f t="shared" ca="1" si="93"/>
        <v>132401060.40000001</v>
      </c>
      <c r="DF12" s="40">
        <f t="shared" ca="1" si="93"/>
        <v>132401060.40000001</v>
      </c>
      <c r="DG12" s="40">
        <f t="shared" ca="1" si="93"/>
        <v>132401060.40000001</v>
      </c>
      <c r="DH12" s="40">
        <f t="shared" ca="1" si="93"/>
        <v>132401060.40000001</v>
      </c>
      <c r="DI12" s="40">
        <f t="shared" ca="1" si="93"/>
        <v>132401060.40000001</v>
      </c>
      <c r="DJ12" s="40">
        <f t="shared" ca="1" si="93"/>
        <v>132401060.40000001</v>
      </c>
      <c r="DK12" s="40">
        <f t="shared" ca="1" si="93"/>
        <v>132401060.40000001</v>
      </c>
      <c r="DL12" s="40">
        <f t="shared" ca="1" si="93"/>
        <v>132401060.40000001</v>
      </c>
      <c r="DM12" s="40">
        <f t="shared" ca="1" si="93"/>
        <v>132401060.40000001</v>
      </c>
      <c r="DN12" s="40">
        <f t="shared" ca="1" si="93"/>
        <v>132401060.40000001</v>
      </c>
      <c r="DO12" s="40">
        <f t="shared" ca="1" si="93"/>
        <v>132401060.40000001</v>
      </c>
      <c r="DP12" s="40">
        <f t="shared" ca="1" si="93"/>
        <v>132401060.40000001</v>
      </c>
      <c r="DQ12" s="40">
        <f t="shared" ca="1" si="93"/>
        <v>132401060.40000001</v>
      </c>
      <c r="DR12" s="40">
        <f t="shared" ca="1" si="93"/>
        <v>132401060.40000001</v>
      </c>
      <c r="DS12" s="40">
        <f t="shared" ca="1" si="93"/>
        <v>132401060.40000001</v>
      </c>
      <c r="DT12" s="40">
        <f t="shared" ca="1" si="93"/>
        <v>132401060.40000001</v>
      </c>
      <c r="DU12" s="40">
        <f t="shared" ca="1" si="93"/>
        <v>132401060.40000001</v>
      </c>
      <c r="DV12" s="40">
        <f t="shared" ca="1" si="93"/>
        <v>132401060.40000001</v>
      </c>
      <c r="DW12" s="40">
        <f t="shared" ca="1" si="93"/>
        <v>132401060.40000001</v>
      </c>
      <c r="DX12" s="40">
        <f t="shared" ca="1" si="93"/>
        <v>132401060.40000001</v>
      </c>
      <c r="DY12" s="40">
        <f t="shared" ca="1" si="93"/>
        <v>132401060.40000001</v>
      </c>
      <c r="DZ12" s="40">
        <f t="shared" ca="1" si="93"/>
        <v>132401060.40000001</v>
      </c>
      <c r="EA12" s="40">
        <f t="shared" ca="1" si="93"/>
        <v>132401060.40000001</v>
      </c>
      <c r="EB12" s="40">
        <f t="shared" ca="1" si="93"/>
        <v>132401060.40000001</v>
      </c>
      <c r="EC12" s="40">
        <f t="shared" ca="1" si="93"/>
        <v>132401060.40000001</v>
      </c>
      <c r="ED12" s="40">
        <f t="shared" ca="1" si="93"/>
        <v>132401060.40000001</v>
      </c>
      <c r="EE12" s="40">
        <f t="shared" ca="1" si="93"/>
        <v>132401060.40000001</v>
      </c>
      <c r="EF12" s="40">
        <f t="shared" ca="1" si="93"/>
        <v>132401060.40000001</v>
      </c>
      <c r="EG12" s="40">
        <f t="shared" ref="EG12:GR12" ca="1" si="94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4"/>
        <v>132401060.40000001</v>
      </c>
      <c r="EI12" s="40">
        <f t="shared" ca="1" si="94"/>
        <v>132401060.40000001</v>
      </c>
      <c r="EJ12" s="40">
        <f t="shared" ca="1" si="94"/>
        <v>132401060.40000001</v>
      </c>
      <c r="EK12" s="40">
        <f t="shared" ca="1" si="94"/>
        <v>132401060.40000001</v>
      </c>
      <c r="EL12" s="40">
        <f t="shared" ca="1" si="94"/>
        <v>132401060.40000001</v>
      </c>
      <c r="EM12" s="40">
        <f t="shared" ca="1" si="94"/>
        <v>132401060.40000001</v>
      </c>
      <c r="EN12" s="40">
        <f t="shared" ca="1" si="94"/>
        <v>132401060.40000001</v>
      </c>
      <c r="EO12" s="40">
        <f t="shared" ca="1" si="94"/>
        <v>132401060.40000001</v>
      </c>
      <c r="EP12" s="40">
        <f t="shared" ca="1" si="94"/>
        <v>132401060.40000001</v>
      </c>
      <c r="EQ12" s="40">
        <f t="shared" ca="1" si="94"/>
        <v>132401060.40000001</v>
      </c>
      <c r="ER12" s="40">
        <f t="shared" ca="1" si="94"/>
        <v>132401060.40000001</v>
      </c>
      <c r="ES12" s="40">
        <f t="shared" ca="1" si="94"/>
        <v>132401060.40000001</v>
      </c>
      <c r="ET12" s="40">
        <f t="shared" ca="1" si="94"/>
        <v>132401060.40000001</v>
      </c>
      <c r="EU12" s="40">
        <f t="shared" ca="1" si="94"/>
        <v>132401060.40000001</v>
      </c>
      <c r="EV12" s="40">
        <f t="shared" ca="1" si="94"/>
        <v>132401060.40000001</v>
      </c>
      <c r="EW12" s="40">
        <f t="shared" ca="1" si="94"/>
        <v>132401060.40000001</v>
      </c>
      <c r="EX12" s="40">
        <f t="shared" ca="1" si="94"/>
        <v>132401060.40000001</v>
      </c>
      <c r="EY12" s="40">
        <f t="shared" ca="1" si="94"/>
        <v>132401060.40000001</v>
      </c>
      <c r="EZ12" s="40">
        <f t="shared" ca="1" si="94"/>
        <v>132401060.40000001</v>
      </c>
      <c r="FA12" s="40">
        <f t="shared" ca="1" si="94"/>
        <v>132401060.40000001</v>
      </c>
      <c r="FB12" s="40">
        <f t="shared" ca="1" si="94"/>
        <v>132401060.40000001</v>
      </c>
      <c r="FC12" s="40">
        <f t="shared" ca="1" si="94"/>
        <v>132401060.40000001</v>
      </c>
      <c r="FD12" s="40">
        <f t="shared" ca="1" si="94"/>
        <v>132401060.40000001</v>
      </c>
      <c r="FE12" s="40">
        <f t="shared" ca="1" si="94"/>
        <v>132401060.40000001</v>
      </c>
      <c r="FF12" s="40">
        <f t="shared" ca="1" si="94"/>
        <v>132401060.40000001</v>
      </c>
      <c r="FG12" s="40">
        <f t="shared" ca="1" si="94"/>
        <v>132401060.40000001</v>
      </c>
      <c r="FH12" s="40">
        <f t="shared" ca="1" si="94"/>
        <v>132401060.40000001</v>
      </c>
      <c r="FI12" s="40">
        <f t="shared" ca="1" si="94"/>
        <v>132401060.40000001</v>
      </c>
      <c r="FJ12" s="40">
        <f t="shared" ca="1" si="94"/>
        <v>132401060.40000001</v>
      </c>
      <c r="FK12" s="40">
        <f t="shared" ca="1" si="94"/>
        <v>132401060.40000001</v>
      </c>
      <c r="FL12" s="40">
        <f t="shared" ca="1" si="94"/>
        <v>132401060.40000001</v>
      </c>
      <c r="FM12" s="40">
        <f t="shared" ca="1" si="94"/>
        <v>132401060.40000001</v>
      </c>
      <c r="FN12" s="40">
        <f t="shared" ca="1" si="94"/>
        <v>132401060.40000001</v>
      </c>
      <c r="FO12" s="40">
        <f t="shared" ca="1" si="94"/>
        <v>132401060.40000001</v>
      </c>
      <c r="FP12" s="40">
        <f t="shared" ca="1" si="94"/>
        <v>132401060.40000001</v>
      </c>
      <c r="FQ12" s="40">
        <f t="shared" ca="1" si="94"/>
        <v>132401060.40000001</v>
      </c>
      <c r="FR12" s="40">
        <f t="shared" ca="1" si="94"/>
        <v>132401060.40000001</v>
      </c>
      <c r="FS12" s="40">
        <f t="shared" ca="1" si="94"/>
        <v>132401060.40000001</v>
      </c>
      <c r="FT12" s="40">
        <f t="shared" ca="1" si="94"/>
        <v>132401060.40000001</v>
      </c>
      <c r="FU12" s="40">
        <f t="shared" ca="1" si="94"/>
        <v>132401060.40000001</v>
      </c>
      <c r="FV12" s="40">
        <f t="shared" ca="1" si="94"/>
        <v>132401060.40000001</v>
      </c>
      <c r="FW12" s="40">
        <f t="shared" ca="1" si="94"/>
        <v>132401060.40000001</v>
      </c>
      <c r="FX12" s="40">
        <f t="shared" ca="1" si="94"/>
        <v>132401060.40000001</v>
      </c>
      <c r="FY12" s="40">
        <f t="shared" ca="1" si="94"/>
        <v>132401060.40000001</v>
      </c>
      <c r="FZ12" s="40">
        <f t="shared" ca="1" si="94"/>
        <v>132401060.40000001</v>
      </c>
      <c r="GA12" s="40">
        <f t="shared" ca="1" si="94"/>
        <v>132401060.40000001</v>
      </c>
      <c r="GB12" s="40">
        <f t="shared" ca="1" si="94"/>
        <v>132401060.40000001</v>
      </c>
      <c r="GC12" s="40">
        <f t="shared" ca="1" si="94"/>
        <v>132401060.40000001</v>
      </c>
      <c r="GD12" s="40">
        <f t="shared" ca="1" si="94"/>
        <v>132401060.40000001</v>
      </c>
      <c r="GE12" s="40">
        <f t="shared" ca="1" si="94"/>
        <v>132401060.40000001</v>
      </c>
      <c r="GF12" s="40">
        <f t="shared" ca="1" si="94"/>
        <v>132401060.40000001</v>
      </c>
      <c r="GG12" s="40">
        <f t="shared" ca="1" si="94"/>
        <v>132401060.40000001</v>
      </c>
      <c r="GH12" s="40">
        <f t="shared" ca="1" si="94"/>
        <v>132401060.40000001</v>
      </c>
      <c r="GI12" s="40">
        <f t="shared" ca="1" si="94"/>
        <v>132401060.40000001</v>
      </c>
      <c r="GJ12" s="40">
        <f t="shared" ca="1" si="94"/>
        <v>132401060.40000001</v>
      </c>
      <c r="GK12" s="40">
        <f t="shared" ca="1" si="94"/>
        <v>132401060.40000001</v>
      </c>
      <c r="GL12" s="40">
        <f t="shared" ca="1" si="94"/>
        <v>132401060.40000001</v>
      </c>
      <c r="GM12" s="40">
        <f t="shared" ca="1" si="94"/>
        <v>132401060.40000001</v>
      </c>
      <c r="GN12" s="40">
        <f t="shared" ca="1" si="94"/>
        <v>132401060.40000001</v>
      </c>
      <c r="GO12" s="40">
        <f t="shared" ca="1" si="94"/>
        <v>132401060.40000001</v>
      </c>
      <c r="GP12" s="40">
        <f t="shared" ca="1" si="94"/>
        <v>132401060.40000001</v>
      </c>
      <c r="GQ12" s="40">
        <f t="shared" ca="1" si="94"/>
        <v>132401060.40000001</v>
      </c>
      <c r="GR12" s="40">
        <f t="shared" ca="1" si="94"/>
        <v>132401060.40000001</v>
      </c>
      <c r="GS12" s="40">
        <f t="shared" ref="GS12:IN12" ca="1" si="95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5"/>
        <v>132401060.40000001</v>
      </c>
      <c r="GU12" s="40">
        <f t="shared" ca="1" si="95"/>
        <v>132401060.40000001</v>
      </c>
      <c r="GV12" s="40">
        <f t="shared" ca="1" si="95"/>
        <v>132401060.40000001</v>
      </c>
      <c r="GW12" s="40">
        <f t="shared" ca="1" si="95"/>
        <v>132401060.40000001</v>
      </c>
      <c r="GX12" s="40">
        <f t="shared" ca="1" si="95"/>
        <v>132401060.40000001</v>
      </c>
      <c r="GY12" s="40">
        <f t="shared" ca="1" si="95"/>
        <v>132401060.40000001</v>
      </c>
      <c r="GZ12" s="40">
        <f t="shared" ca="1" si="95"/>
        <v>132401060.40000001</v>
      </c>
      <c r="HA12" s="40">
        <f t="shared" ca="1" si="95"/>
        <v>132401060.40000001</v>
      </c>
      <c r="HB12" s="40">
        <f t="shared" ca="1" si="95"/>
        <v>132401060.40000001</v>
      </c>
      <c r="HC12" s="40">
        <f t="shared" ca="1" si="95"/>
        <v>132401060.40000001</v>
      </c>
      <c r="HD12" s="40">
        <f t="shared" ca="1" si="95"/>
        <v>132401060.40000001</v>
      </c>
      <c r="HE12" s="40">
        <f t="shared" ca="1" si="95"/>
        <v>132401060.40000001</v>
      </c>
      <c r="HF12" s="40">
        <f t="shared" ca="1" si="95"/>
        <v>132401060.40000001</v>
      </c>
      <c r="HG12" s="40">
        <f t="shared" ca="1" si="95"/>
        <v>132401060.40000001</v>
      </c>
      <c r="HH12" s="40">
        <f t="shared" ca="1" si="95"/>
        <v>132401060.40000001</v>
      </c>
      <c r="HI12" s="40">
        <f t="shared" ca="1" si="95"/>
        <v>132401060.40000001</v>
      </c>
      <c r="HJ12" s="40">
        <f t="shared" ca="1" si="95"/>
        <v>132401060.40000001</v>
      </c>
      <c r="HK12" s="40">
        <f t="shared" ca="1" si="95"/>
        <v>132401060.40000001</v>
      </c>
      <c r="HL12" s="40">
        <f t="shared" ca="1" si="95"/>
        <v>132401060.40000001</v>
      </c>
      <c r="HM12" s="40">
        <f t="shared" ca="1" si="95"/>
        <v>132401060.40000001</v>
      </c>
      <c r="HN12" s="40">
        <f t="shared" ca="1" si="95"/>
        <v>132401060.40000001</v>
      </c>
      <c r="HO12" s="40">
        <f t="shared" ca="1" si="95"/>
        <v>132401060.40000001</v>
      </c>
      <c r="HP12" s="40">
        <f t="shared" ca="1" si="95"/>
        <v>132401060.40000001</v>
      </c>
      <c r="HQ12" s="40">
        <f t="shared" ca="1" si="95"/>
        <v>132401060.40000001</v>
      </c>
      <c r="HR12" s="40">
        <f t="shared" ca="1" si="95"/>
        <v>132401060.40000001</v>
      </c>
      <c r="HS12" s="40">
        <f t="shared" ca="1" si="95"/>
        <v>132401060.40000001</v>
      </c>
      <c r="HT12" s="40">
        <f t="shared" ca="1" si="95"/>
        <v>132401060.40000001</v>
      </c>
      <c r="HU12" s="40">
        <f t="shared" ca="1" si="95"/>
        <v>132401060.40000001</v>
      </c>
      <c r="HV12" s="40">
        <f t="shared" ca="1" si="95"/>
        <v>132401060.40000001</v>
      </c>
      <c r="HW12" s="40">
        <f t="shared" ca="1" si="95"/>
        <v>132401060.40000001</v>
      </c>
      <c r="HX12" s="40">
        <f t="shared" ca="1" si="95"/>
        <v>132401060.40000001</v>
      </c>
      <c r="HY12" s="40">
        <f t="shared" ca="1" si="95"/>
        <v>132401060.40000001</v>
      </c>
      <c r="HZ12" s="40">
        <f t="shared" ca="1" si="95"/>
        <v>132401060.40000001</v>
      </c>
      <c r="IA12" s="40">
        <f t="shared" ca="1" si="95"/>
        <v>132401060.40000001</v>
      </c>
      <c r="IB12" s="40">
        <f t="shared" ca="1" si="95"/>
        <v>132401060.40000001</v>
      </c>
      <c r="IC12" s="40">
        <f t="shared" ca="1" si="95"/>
        <v>132401060.40000001</v>
      </c>
      <c r="ID12" s="40">
        <f t="shared" ca="1" si="95"/>
        <v>132401060.40000001</v>
      </c>
      <c r="IE12" s="40">
        <f t="shared" ca="1" si="95"/>
        <v>132401060.40000001</v>
      </c>
      <c r="IF12" s="40">
        <f t="shared" ca="1" si="95"/>
        <v>132401060.40000001</v>
      </c>
      <c r="IG12" s="40">
        <f t="shared" ca="1" si="95"/>
        <v>132401060.40000001</v>
      </c>
      <c r="IH12" s="40">
        <f t="shared" ca="1" si="95"/>
        <v>132401060.40000001</v>
      </c>
      <c r="II12" s="40">
        <f t="shared" ca="1" si="95"/>
        <v>132401060.40000001</v>
      </c>
      <c r="IJ12" s="40">
        <f t="shared" ca="1" si="95"/>
        <v>132401060.40000001</v>
      </c>
      <c r="IK12" s="40">
        <f t="shared" ca="1" si="95"/>
        <v>132401060.40000001</v>
      </c>
      <c r="IL12" s="40">
        <f t="shared" ca="1" si="95"/>
        <v>132401060.40000001</v>
      </c>
      <c r="IM12" s="40">
        <f t="shared" ca="1" si="95"/>
        <v>132401060.40000001</v>
      </c>
      <c r="IN12" s="40">
        <f t="shared" ca="1" si="95"/>
        <v>132401060.40000001</v>
      </c>
    </row>
    <row r="13" spans="2:248" x14ac:dyDescent="0.3">
      <c r="B13" s="19" t="s">
        <v>585</v>
      </c>
      <c r="C13" s="74">
        <f ca="1">HLOOKUP($C$5-1,G4:IN17,14,FALSE)</f>
        <v>0.2493636656996526</v>
      </c>
      <c r="F13" s="19" t="s">
        <v>586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6">IF(ISNA(I5),NA(),IF(J4&lt;$C$10,(J5/OFFSET(J5,0,-J4))^(1/(J4)),(J5/OFFSET(J5,0,-$C$10))^(1/$C$10))-1)</f>
        <v>0.30458714460271508</v>
      </c>
      <c r="K13" s="53">
        <f t="shared" ca="1" si="96"/>
        <v>0.35858248539938176</v>
      </c>
      <c r="L13" s="53">
        <f ca="1">IF(ISNA(K5),NA(),IF(L4&lt;$C$10,(L5/OFFSET(L5,0,-L4))^(1/(L4)),(L5/OFFSET(L5,0,-$C$10))^(1/$C$10))-1)</f>
        <v>0.34427942172158232</v>
      </c>
      <c r="M13" s="53">
        <f t="shared" ca="1" si="96"/>
        <v>0.31370077848266753</v>
      </c>
      <c r="N13" s="53">
        <f t="shared" ca="1" si="96"/>
        <v>0.34608279910658291</v>
      </c>
      <c r="O13" s="53">
        <f t="shared" ca="1" si="96"/>
        <v>0.37356611236813397</v>
      </c>
      <c r="P13" s="53">
        <f t="shared" ca="1" si="96"/>
        <v>0.32841337385962488</v>
      </c>
      <c r="Q13" s="53">
        <f t="shared" ca="1" si="96"/>
        <v>0.33286294444115683</v>
      </c>
      <c r="R13" s="53">
        <f t="shared" ca="1" si="96"/>
        <v>0.3614550796378877</v>
      </c>
      <c r="S13" s="53">
        <f t="shared" ca="1" si="96"/>
        <v>0.29546315971254922</v>
      </c>
      <c r="T13" s="53">
        <f ca="1">IF(ISNA(S5),NA(),IF(T4&lt;$C$10,(T5/OFFSET(T5,0,-T4))^(1/(T4)),(T5/OFFSET(T5,0,-$C$10))^(1/$C$10))-1)</f>
        <v>0.29313505273275764</v>
      </c>
      <c r="U13" s="53">
        <f t="shared" ca="1" si="96"/>
        <v>0.31021354282727942</v>
      </c>
      <c r="V13" s="53">
        <f t="shared" ca="1" si="96"/>
        <v>0.28996509827004324</v>
      </c>
      <c r="W13" s="53">
        <f t="shared" ca="1" si="96"/>
        <v>0.38057861456112052</v>
      </c>
      <c r="X13" s="53">
        <f t="shared" ca="1" si="96"/>
        <v>0.40416416349332795</v>
      </c>
      <c r="Y13" s="53">
        <f t="shared" ca="1" si="96"/>
        <v>0.40642587983568079</v>
      </c>
      <c r="Z13" s="53">
        <f t="shared" ca="1" si="96"/>
        <v>0.38965082357225467</v>
      </c>
      <c r="AA13" s="53">
        <f t="shared" ca="1" si="96"/>
        <v>0.41305338836984995</v>
      </c>
      <c r="AB13" s="53">
        <f t="shared" ca="1" si="96"/>
        <v>0.31480504864402459</v>
      </c>
      <c r="AC13" s="53">
        <f ca="1">IF(ISNA(AB5),NA(),IF(AC4&lt;$C$10,(AC5/OFFSET(AC5,0,-AC4))^(1/(AC4)),(AC5/OFFSET(AC5,0,-$C$10))^(1/$C$10))-1)</f>
        <v>0.28058809312749022</v>
      </c>
      <c r="AD13" s="53">
        <f t="shared" ca="1" si="96"/>
        <v>0.26886538636721102</v>
      </c>
      <c r="AE13" s="53">
        <f t="shared" ca="1" si="96"/>
        <v>0.25026258469113172</v>
      </c>
      <c r="AF13" s="53">
        <f t="shared" ca="1" si="96"/>
        <v>0.22605950840203026</v>
      </c>
      <c r="AG13" s="53">
        <f ca="1">IF(ISNA(AF5),NA(),IF(AG4&lt;$C$10,(AG5/OFFSET(AG5,0,-AG4))^(1/(AG4)),(AG5/OFFSET(AG5,0,-$C$10))^(1/$C$10))-1)</f>
        <v>0.21259014796915587</v>
      </c>
      <c r="AH13" s="53">
        <f t="shared" ca="1" si="96"/>
        <v>0.19724581678065833</v>
      </c>
      <c r="AI13" s="53">
        <f t="shared" ca="1" si="96"/>
        <v>0.17550610878046213</v>
      </c>
      <c r="AJ13" s="53">
        <f t="shared" ca="1" si="96"/>
        <v>0.15984519538922326</v>
      </c>
      <c r="AK13" s="53">
        <f t="shared" ca="1" si="96"/>
        <v>0.14916793509432602</v>
      </c>
      <c r="AL13" s="53" t="e">
        <f t="shared" ca="1" si="96"/>
        <v>#N/A</v>
      </c>
      <c r="AM13" s="53" t="e">
        <f t="shared" ca="1" si="96"/>
        <v>#N/A</v>
      </c>
      <c r="AN13" s="53" t="e">
        <f t="shared" ca="1" si="96"/>
        <v>#N/A</v>
      </c>
      <c r="AO13" s="53" t="e">
        <f t="shared" ca="1" si="96"/>
        <v>#N/A</v>
      </c>
      <c r="AP13" s="53" t="e">
        <f t="shared" ca="1" si="96"/>
        <v>#N/A</v>
      </c>
      <c r="AQ13" s="53" t="e">
        <f t="shared" ca="1" si="96"/>
        <v>#N/A</v>
      </c>
      <c r="AR13" s="53" t="e">
        <f t="shared" ca="1" si="96"/>
        <v>#N/A</v>
      </c>
      <c r="AS13" s="53" t="e">
        <f t="shared" ca="1" si="96"/>
        <v>#N/A</v>
      </c>
      <c r="AT13" s="53" t="e">
        <f t="shared" ca="1" si="96"/>
        <v>#N/A</v>
      </c>
      <c r="AU13" s="53" t="e">
        <f t="shared" ca="1" si="96"/>
        <v>#N/A</v>
      </c>
      <c r="AV13" s="53" t="e">
        <f t="shared" ca="1" si="96"/>
        <v>#N/A</v>
      </c>
      <c r="AW13" s="53" t="e">
        <f t="shared" ca="1" si="96"/>
        <v>#N/A</v>
      </c>
      <c r="AX13" s="53" t="e">
        <f t="shared" ca="1" si="96"/>
        <v>#N/A</v>
      </c>
      <c r="AY13" s="53" t="e">
        <f t="shared" ca="1" si="96"/>
        <v>#N/A</v>
      </c>
      <c r="AZ13" s="53" t="e">
        <f t="shared" ca="1" si="96"/>
        <v>#N/A</v>
      </c>
      <c r="BA13" s="53" t="e">
        <f t="shared" ca="1" si="96"/>
        <v>#N/A</v>
      </c>
      <c r="BB13" s="53" t="e">
        <f t="shared" ca="1" si="96"/>
        <v>#N/A</v>
      </c>
      <c r="BC13" s="53" t="e">
        <f t="shared" ca="1" si="96"/>
        <v>#N/A</v>
      </c>
      <c r="BD13" s="53" t="e">
        <f t="shared" ca="1" si="96"/>
        <v>#N/A</v>
      </c>
      <c r="BE13" s="53" t="e">
        <f t="shared" ca="1" si="96"/>
        <v>#N/A</v>
      </c>
      <c r="BF13" s="53" t="e">
        <f t="shared" ca="1" si="96"/>
        <v>#N/A</v>
      </c>
      <c r="BG13" s="53" t="e">
        <f t="shared" ca="1" si="96"/>
        <v>#N/A</v>
      </c>
      <c r="BH13" s="53" t="e">
        <f t="shared" ca="1" si="96"/>
        <v>#N/A</v>
      </c>
      <c r="BI13" s="53" t="e">
        <f t="shared" ca="1" si="96"/>
        <v>#N/A</v>
      </c>
      <c r="BJ13" s="53" t="e">
        <f t="shared" ca="1" si="96"/>
        <v>#N/A</v>
      </c>
      <c r="BK13" s="53" t="e">
        <f t="shared" ca="1" si="96"/>
        <v>#N/A</v>
      </c>
      <c r="BL13" s="53" t="e">
        <f t="shared" ca="1" si="96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6"/>
        <v>#N/A</v>
      </c>
      <c r="BO13" s="53" t="e">
        <f t="shared" ca="1" si="96"/>
        <v>#N/A</v>
      </c>
      <c r="BP13" s="53" t="e">
        <f t="shared" ca="1" si="96"/>
        <v>#N/A</v>
      </c>
      <c r="BQ13" s="53" t="e">
        <f t="shared" ca="1" si="96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6"/>
        <v>#N/A</v>
      </c>
      <c r="BT13" s="53" t="e">
        <f t="shared" ca="1" si="96"/>
        <v>#N/A</v>
      </c>
      <c r="BU13" s="53" t="e">
        <f t="shared" ref="BU13:EF13" ca="1" si="97">IF(ISNA(BT5),NA(),IF(BU4&lt;$C$10,(BU5/OFFSET(BU5,0,-BU4))^(1/(BU4)),(BU5/OFFSET(BU5,0,-$C$10))^(1/$C$10))-1)</f>
        <v>#N/A</v>
      </c>
      <c r="BV13" s="53" t="e">
        <f t="shared" ca="1" si="97"/>
        <v>#N/A</v>
      </c>
      <c r="BW13" s="53" t="e">
        <f t="shared" ca="1" si="97"/>
        <v>#N/A</v>
      </c>
      <c r="BX13" s="53" t="e">
        <f t="shared" ca="1" si="97"/>
        <v>#N/A</v>
      </c>
      <c r="BY13" s="53" t="e">
        <f t="shared" ca="1" si="97"/>
        <v>#N/A</v>
      </c>
      <c r="BZ13" s="53" t="e">
        <f t="shared" ca="1" si="97"/>
        <v>#N/A</v>
      </c>
      <c r="CA13" s="53" t="e">
        <f t="shared" ca="1" si="97"/>
        <v>#N/A</v>
      </c>
      <c r="CB13" s="53" t="e">
        <f t="shared" ca="1" si="97"/>
        <v>#N/A</v>
      </c>
      <c r="CC13" s="53" t="e">
        <f t="shared" ca="1" si="97"/>
        <v>#N/A</v>
      </c>
      <c r="CD13" s="53" t="e">
        <f t="shared" ca="1" si="97"/>
        <v>#N/A</v>
      </c>
      <c r="CE13" s="53" t="e">
        <f t="shared" ca="1" si="97"/>
        <v>#N/A</v>
      </c>
      <c r="CF13" s="53" t="e">
        <f t="shared" ca="1" si="97"/>
        <v>#N/A</v>
      </c>
      <c r="CG13" s="53" t="e">
        <f t="shared" ca="1" si="97"/>
        <v>#N/A</v>
      </c>
      <c r="CH13" s="53" t="e">
        <f t="shared" ca="1" si="97"/>
        <v>#N/A</v>
      </c>
      <c r="CI13" s="53" t="e">
        <f t="shared" ca="1" si="97"/>
        <v>#N/A</v>
      </c>
      <c r="CJ13" s="53" t="e">
        <f t="shared" ca="1" si="97"/>
        <v>#N/A</v>
      </c>
      <c r="CK13" s="53" t="e">
        <f t="shared" ca="1" si="97"/>
        <v>#N/A</v>
      </c>
      <c r="CL13" s="53" t="e">
        <f t="shared" ca="1" si="97"/>
        <v>#N/A</v>
      </c>
      <c r="CM13" s="53" t="e">
        <f t="shared" ca="1" si="97"/>
        <v>#N/A</v>
      </c>
      <c r="CN13" s="53" t="e">
        <f t="shared" ca="1" si="97"/>
        <v>#N/A</v>
      </c>
      <c r="CO13" s="53" t="e">
        <f t="shared" ca="1" si="97"/>
        <v>#N/A</v>
      </c>
      <c r="CP13" s="53" t="e">
        <f t="shared" ca="1" si="97"/>
        <v>#N/A</v>
      </c>
      <c r="CQ13" s="53" t="e">
        <f t="shared" ca="1" si="97"/>
        <v>#N/A</v>
      </c>
      <c r="CR13" s="53" t="e">
        <f t="shared" ca="1" si="97"/>
        <v>#N/A</v>
      </c>
      <c r="CS13" s="53" t="e">
        <f t="shared" ca="1" si="97"/>
        <v>#N/A</v>
      </c>
      <c r="CT13" s="53" t="e">
        <f t="shared" ca="1" si="97"/>
        <v>#N/A</v>
      </c>
      <c r="CU13" s="53" t="e">
        <f t="shared" ca="1" si="97"/>
        <v>#N/A</v>
      </c>
      <c r="CV13" s="53" t="e">
        <f t="shared" ca="1" si="97"/>
        <v>#N/A</v>
      </c>
      <c r="CW13" s="53" t="e">
        <f t="shared" ca="1" si="97"/>
        <v>#N/A</v>
      </c>
      <c r="CX13" s="53" t="e">
        <f t="shared" ca="1" si="97"/>
        <v>#N/A</v>
      </c>
      <c r="CY13" s="53" t="e">
        <f t="shared" ca="1" si="97"/>
        <v>#N/A</v>
      </c>
      <c r="CZ13" s="53" t="e">
        <f t="shared" ca="1" si="97"/>
        <v>#N/A</v>
      </c>
      <c r="DA13" s="53" t="e">
        <f t="shared" ca="1" si="97"/>
        <v>#N/A</v>
      </c>
      <c r="DB13" s="53" t="e">
        <f t="shared" ca="1" si="97"/>
        <v>#N/A</v>
      </c>
      <c r="DC13" s="53" t="e">
        <f t="shared" ca="1" si="97"/>
        <v>#N/A</v>
      </c>
      <c r="DD13" s="53" t="e">
        <f t="shared" ca="1" si="97"/>
        <v>#N/A</v>
      </c>
      <c r="DE13" s="53" t="e">
        <f t="shared" ca="1" si="97"/>
        <v>#N/A</v>
      </c>
      <c r="DF13" s="53" t="e">
        <f t="shared" ca="1" si="97"/>
        <v>#N/A</v>
      </c>
      <c r="DG13" s="53" t="e">
        <f t="shared" ca="1" si="97"/>
        <v>#N/A</v>
      </c>
      <c r="DH13" s="53" t="e">
        <f t="shared" ca="1" si="97"/>
        <v>#N/A</v>
      </c>
      <c r="DI13" s="53" t="e">
        <f t="shared" ca="1" si="97"/>
        <v>#N/A</v>
      </c>
      <c r="DJ13" s="53" t="e">
        <f t="shared" ca="1" si="97"/>
        <v>#N/A</v>
      </c>
      <c r="DK13" s="53" t="e">
        <f t="shared" ca="1" si="97"/>
        <v>#N/A</v>
      </c>
      <c r="DL13" s="53" t="e">
        <f t="shared" ca="1" si="97"/>
        <v>#N/A</v>
      </c>
      <c r="DM13" s="53" t="e">
        <f t="shared" ca="1" si="97"/>
        <v>#N/A</v>
      </c>
      <c r="DN13" s="53" t="e">
        <f t="shared" ca="1" si="97"/>
        <v>#N/A</v>
      </c>
      <c r="DO13" s="53" t="e">
        <f t="shared" ca="1" si="97"/>
        <v>#N/A</v>
      </c>
      <c r="DP13" s="53" t="e">
        <f t="shared" ca="1" si="97"/>
        <v>#N/A</v>
      </c>
      <c r="DQ13" s="53" t="e">
        <f t="shared" ca="1" si="97"/>
        <v>#N/A</v>
      </c>
      <c r="DR13" s="53" t="e">
        <f t="shared" ca="1" si="97"/>
        <v>#N/A</v>
      </c>
      <c r="DS13" s="53" t="e">
        <f t="shared" ca="1" si="97"/>
        <v>#N/A</v>
      </c>
      <c r="DT13" s="53" t="e">
        <f t="shared" ca="1" si="97"/>
        <v>#N/A</v>
      </c>
      <c r="DU13" s="53" t="e">
        <f t="shared" ca="1" si="97"/>
        <v>#N/A</v>
      </c>
      <c r="DV13" s="53" t="e">
        <f t="shared" ca="1" si="97"/>
        <v>#N/A</v>
      </c>
      <c r="DW13" s="53" t="e">
        <f t="shared" ca="1" si="97"/>
        <v>#N/A</v>
      </c>
      <c r="DX13" s="53" t="e">
        <f t="shared" ca="1" si="97"/>
        <v>#N/A</v>
      </c>
      <c r="DY13" s="53" t="e">
        <f t="shared" ca="1" si="97"/>
        <v>#N/A</v>
      </c>
      <c r="DZ13" s="53" t="e">
        <f t="shared" ca="1" si="97"/>
        <v>#N/A</v>
      </c>
      <c r="EA13" s="53" t="e">
        <f t="shared" ca="1" si="97"/>
        <v>#N/A</v>
      </c>
      <c r="EB13" s="53" t="e">
        <f t="shared" ca="1" si="97"/>
        <v>#N/A</v>
      </c>
      <c r="EC13" s="53" t="e">
        <f t="shared" ca="1" si="97"/>
        <v>#N/A</v>
      </c>
      <c r="ED13" s="53" t="e">
        <f t="shared" ca="1" si="97"/>
        <v>#N/A</v>
      </c>
      <c r="EE13" s="53" t="e">
        <f t="shared" ca="1" si="97"/>
        <v>#N/A</v>
      </c>
      <c r="EF13" s="53" t="e">
        <f t="shared" ca="1" si="97"/>
        <v>#N/A</v>
      </c>
      <c r="EG13" s="53" t="e">
        <f t="shared" ref="EG13:GR13" ca="1" si="98">IF(ISNA(EF5),NA(),IF(EG4&lt;$C$10,(EG5/OFFSET(EG5,0,-EG4))^(1/(EG4)),(EG5/OFFSET(EG5,0,-$C$10))^(1/$C$10))-1)</f>
        <v>#N/A</v>
      </c>
      <c r="EH13" s="53" t="e">
        <f t="shared" ca="1" si="98"/>
        <v>#N/A</v>
      </c>
      <c r="EI13" s="53" t="e">
        <f t="shared" ca="1" si="98"/>
        <v>#N/A</v>
      </c>
      <c r="EJ13" s="53" t="e">
        <f t="shared" ca="1" si="98"/>
        <v>#N/A</v>
      </c>
      <c r="EK13" s="53" t="e">
        <f t="shared" ca="1" si="98"/>
        <v>#N/A</v>
      </c>
      <c r="EL13" s="53" t="e">
        <f t="shared" ca="1" si="98"/>
        <v>#N/A</v>
      </c>
      <c r="EM13" s="53" t="e">
        <f t="shared" ca="1" si="98"/>
        <v>#N/A</v>
      </c>
      <c r="EN13" s="53" t="e">
        <f t="shared" ca="1" si="98"/>
        <v>#N/A</v>
      </c>
      <c r="EO13" s="53" t="e">
        <f t="shared" ca="1" si="98"/>
        <v>#N/A</v>
      </c>
      <c r="EP13" s="53" t="e">
        <f t="shared" ca="1" si="98"/>
        <v>#N/A</v>
      </c>
      <c r="EQ13" s="53" t="e">
        <f t="shared" ca="1" si="98"/>
        <v>#N/A</v>
      </c>
      <c r="ER13" s="53" t="e">
        <f t="shared" ca="1" si="98"/>
        <v>#N/A</v>
      </c>
      <c r="ES13" s="53" t="e">
        <f t="shared" ca="1" si="98"/>
        <v>#N/A</v>
      </c>
      <c r="ET13" s="53" t="e">
        <f t="shared" ca="1" si="98"/>
        <v>#N/A</v>
      </c>
      <c r="EU13" s="53" t="e">
        <f t="shared" ca="1" si="98"/>
        <v>#N/A</v>
      </c>
      <c r="EV13" s="53" t="e">
        <f t="shared" ca="1" si="98"/>
        <v>#N/A</v>
      </c>
      <c r="EW13" s="53" t="e">
        <f t="shared" ca="1" si="98"/>
        <v>#N/A</v>
      </c>
      <c r="EX13" s="53" t="e">
        <f t="shared" ca="1" si="98"/>
        <v>#N/A</v>
      </c>
      <c r="EY13" s="53" t="e">
        <f t="shared" ca="1" si="98"/>
        <v>#N/A</v>
      </c>
      <c r="EZ13" s="53" t="e">
        <f t="shared" ca="1" si="98"/>
        <v>#N/A</v>
      </c>
      <c r="FA13" s="53" t="e">
        <f t="shared" ca="1" si="98"/>
        <v>#N/A</v>
      </c>
      <c r="FB13" s="53" t="e">
        <f t="shared" ca="1" si="98"/>
        <v>#N/A</v>
      </c>
      <c r="FC13" s="53" t="e">
        <f t="shared" ca="1" si="98"/>
        <v>#N/A</v>
      </c>
      <c r="FD13" s="53" t="e">
        <f t="shared" ca="1" si="98"/>
        <v>#N/A</v>
      </c>
      <c r="FE13" s="53" t="e">
        <f t="shared" ca="1" si="98"/>
        <v>#N/A</v>
      </c>
      <c r="FF13" s="53" t="e">
        <f t="shared" ca="1" si="98"/>
        <v>#N/A</v>
      </c>
      <c r="FG13" s="53" t="e">
        <f t="shared" ca="1" si="98"/>
        <v>#N/A</v>
      </c>
      <c r="FH13" s="53" t="e">
        <f t="shared" ca="1" si="98"/>
        <v>#N/A</v>
      </c>
      <c r="FI13" s="53" t="e">
        <f t="shared" ca="1" si="98"/>
        <v>#N/A</v>
      </c>
      <c r="FJ13" s="53" t="e">
        <f t="shared" ca="1" si="98"/>
        <v>#N/A</v>
      </c>
      <c r="FK13" s="53" t="e">
        <f t="shared" ca="1" si="98"/>
        <v>#N/A</v>
      </c>
      <c r="FL13" s="53" t="e">
        <f t="shared" ca="1" si="98"/>
        <v>#N/A</v>
      </c>
      <c r="FM13" s="53" t="e">
        <f t="shared" ca="1" si="98"/>
        <v>#N/A</v>
      </c>
      <c r="FN13" s="53" t="e">
        <f t="shared" ca="1" si="98"/>
        <v>#N/A</v>
      </c>
      <c r="FO13" s="53" t="e">
        <f t="shared" ca="1" si="98"/>
        <v>#N/A</v>
      </c>
      <c r="FP13" s="53" t="e">
        <f t="shared" ca="1" si="98"/>
        <v>#N/A</v>
      </c>
      <c r="FQ13" s="53" t="e">
        <f t="shared" ca="1" si="98"/>
        <v>#N/A</v>
      </c>
      <c r="FR13" s="53" t="e">
        <f t="shared" ca="1" si="98"/>
        <v>#N/A</v>
      </c>
      <c r="FS13" s="53" t="e">
        <f t="shared" ca="1" si="98"/>
        <v>#N/A</v>
      </c>
      <c r="FT13" s="53" t="e">
        <f t="shared" ca="1" si="98"/>
        <v>#N/A</v>
      </c>
      <c r="FU13" s="53" t="e">
        <f t="shared" ca="1" si="98"/>
        <v>#N/A</v>
      </c>
      <c r="FV13" s="53" t="e">
        <f t="shared" ca="1" si="98"/>
        <v>#N/A</v>
      </c>
      <c r="FW13" s="53" t="e">
        <f t="shared" ca="1" si="98"/>
        <v>#N/A</v>
      </c>
      <c r="FX13" s="53" t="e">
        <f t="shared" ca="1" si="98"/>
        <v>#N/A</v>
      </c>
      <c r="FY13" s="53" t="e">
        <f t="shared" ca="1" si="98"/>
        <v>#N/A</v>
      </c>
      <c r="FZ13" s="53" t="e">
        <f t="shared" ca="1" si="98"/>
        <v>#N/A</v>
      </c>
      <c r="GA13" s="53" t="e">
        <f t="shared" ca="1" si="98"/>
        <v>#N/A</v>
      </c>
      <c r="GB13" s="53" t="e">
        <f t="shared" ca="1" si="98"/>
        <v>#N/A</v>
      </c>
      <c r="GC13" s="53" t="e">
        <f t="shared" ca="1" si="98"/>
        <v>#N/A</v>
      </c>
      <c r="GD13" s="53" t="e">
        <f t="shared" ca="1" si="98"/>
        <v>#N/A</v>
      </c>
      <c r="GE13" s="53" t="e">
        <f t="shared" ca="1" si="98"/>
        <v>#N/A</v>
      </c>
      <c r="GF13" s="53" t="e">
        <f t="shared" ca="1" si="98"/>
        <v>#N/A</v>
      </c>
      <c r="GG13" s="53" t="e">
        <f t="shared" ca="1" si="98"/>
        <v>#N/A</v>
      </c>
      <c r="GH13" s="53" t="e">
        <f t="shared" ca="1" si="98"/>
        <v>#N/A</v>
      </c>
      <c r="GI13" s="53" t="e">
        <f t="shared" ca="1" si="98"/>
        <v>#N/A</v>
      </c>
      <c r="GJ13" s="53" t="e">
        <f t="shared" ca="1" si="98"/>
        <v>#N/A</v>
      </c>
      <c r="GK13" s="53" t="e">
        <f t="shared" ca="1" si="98"/>
        <v>#N/A</v>
      </c>
      <c r="GL13" s="53" t="e">
        <f t="shared" ca="1" si="98"/>
        <v>#N/A</v>
      </c>
      <c r="GM13" s="53" t="e">
        <f t="shared" ca="1" si="98"/>
        <v>#N/A</v>
      </c>
      <c r="GN13" s="53" t="e">
        <f t="shared" ca="1" si="98"/>
        <v>#N/A</v>
      </c>
      <c r="GO13" s="53" t="e">
        <f t="shared" ca="1" si="98"/>
        <v>#N/A</v>
      </c>
      <c r="GP13" s="53" t="e">
        <f t="shared" ca="1" si="98"/>
        <v>#N/A</v>
      </c>
      <c r="GQ13" s="53" t="e">
        <f t="shared" ca="1" si="98"/>
        <v>#N/A</v>
      </c>
      <c r="GR13" s="53" t="e">
        <f t="shared" ca="1" si="98"/>
        <v>#N/A</v>
      </c>
      <c r="GS13" s="53" t="e">
        <f t="shared" ref="GS13:IN13" ca="1" si="99">IF(ISNA(GR5),NA(),IF(GS4&lt;$C$10,(GS5/OFFSET(GS5,0,-GS4))^(1/(GS4)),(GS5/OFFSET(GS5,0,-$C$10))^(1/$C$10))-1)</f>
        <v>#N/A</v>
      </c>
      <c r="GT13" s="53" t="e">
        <f t="shared" ca="1" si="99"/>
        <v>#N/A</v>
      </c>
      <c r="GU13" s="53" t="e">
        <f t="shared" ca="1" si="99"/>
        <v>#N/A</v>
      </c>
      <c r="GV13" s="53" t="e">
        <f t="shared" ca="1" si="99"/>
        <v>#N/A</v>
      </c>
      <c r="GW13" s="53" t="e">
        <f t="shared" ca="1" si="99"/>
        <v>#N/A</v>
      </c>
      <c r="GX13" s="53" t="e">
        <f t="shared" ca="1" si="99"/>
        <v>#N/A</v>
      </c>
      <c r="GY13" s="53" t="e">
        <f t="shared" ca="1" si="99"/>
        <v>#N/A</v>
      </c>
      <c r="GZ13" s="53" t="e">
        <f t="shared" ca="1" si="99"/>
        <v>#N/A</v>
      </c>
      <c r="HA13" s="53" t="e">
        <f t="shared" ca="1" si="99"/>
        <v>#N/A</v>
      </c>
      <c r="HB13" s="53" t="e">
        <f t="shared" ca="1" si="99"/>
        <v>#N/A</v>
      </c>
      <c r="HC13" s="53" t="e">
        <f t="shared" ca="1" si="99"/>
        <v>#N/A</v>
      </c>
      <c r="HD13" s="53" t="e">
        <f t="shared" ca="1" si="99"/>
        <v>#N/A</v>
      </c>
      <c r="HE13" s="53" t="e">
        <f t="shared" ca="1" si="99"/>
        <v>#N/A</v>
      </c>
      <c r="HF13" s="53" t="e">
        <f t="shared" ca="1" si="99"/>
        <v>#N/A</v>
      </c>
      <c r="HG13" s="53" t="e">
        <f t="shared" ca="1" si="99"/>
        <v>#N/A</v>
      </c>
      <c r="HH13" s="53" t="e">
        <f t="shared" ca="1" si="99"/>
        <v>#N/A</v>
      </c>
      <c r="HI13" s="53" t="e">
        <f t="shared" ca="1" si="99"/>
        <v>#N/A</v>
      </c>
      <c r="HJ13" s="53" t="e">
        <f t="shared" ca="1" si="99"/>
        <v>#N/A</v>
      </c>
      <c r="HK13" s="53" t="e">
        <f t="shared" ca="1" si="99"/>
        <v>#N/A</v>
      </c>
      <c r="HL13" s="53" t="e">
        <f t="shared" ca="1" si="99"/>
        <v>#N/A</v>
      </c>
      <c r="HM13" s="53" t="e">
        <f t="shared" ca="1" si="99"/>
        <v>#N/A</v>
      </c>
      <c r="HN13" s="53" t="e">
        <f t="shared" ca="1" si="99"/>
        <v>#N/A</v>
      </c>
      <c r="HO13" s="53" t="e">
        <f t="shared" ca="1" si="99"/>
        <v>#N/A</v>
      </c>
      <c r="HP13" s="53" t="e">
        <f t="shared" ca="1" si="99"/>
        <v>#N/A</v>
      </c>
      <c r="HQ13" s="53" t="e">
        <f t="shared" ca="1" si="99"/>
        <v>#N/A</v>
      </c>
      <c r="HR13" s="53" t="e">
        <f t="shared" ca="1" si="99"/>
        <v>#N/A</v>
      </c>
      <c r="HS13" s="53" t="e">
        <f t="shared" ca="1" si="99"/>
        <v>#N/A</v>
      </c>
      <c r="HT13" s="53" t="e">
        <f t="shared" ca="1" si="99"/>
        <v>#N/A</v>
      </c>
      <c r="HU13" s="53" t="e">
        <f t="shared" ca="1" si="99"/>
        <v>#N/A</v>
      </c>
      <c r="HV13" s="53" t="e">
        <f t="shared" ca="1" si="99"/>
        <v>#N/A</v>
      </c>
      <c r="HW13" s="53" t="e">
        <f t="shared" ca="1" si="99"/>
        <v>#N/A</v>
      </c>
      <c r="HX13" s="53" t="e">
        <f t="shared" ca="1" si="99"/>
        <v>#N/A</v>
      </c>
      <c r="HY13" s="53" t="e">
        <f t="shared" ca="1" si="99"/>
        <v>#N/A</v>
      </c>
      <c r="HZ13" s="53" t="e">
        <f t="shared" ca="1" si="99"/>
        <v>#N/A</v>
      </c>
      <c r="IA13" s="53" t="e">
        <f t="shared" ca="1" si="99"/>
        <v>#N/A</v>
      </c>
      <c r="IB13" s="53" t="e">
        <f t="shared" ca="1" si="99"/>
        <v>#N/A</v>
      </c>
      <c r="IC13" s="53" t="e">
        <f t="shared" ca="1" si="99"/>
        <v>#N/A</v>
      </c>
      <c r="ID13" s="53" t="e">
        <f t="shared" ca="1" si="99"/>
        <v>#N/A</v>
      </c>
      <c r="IE13" s="53" t="e">
        <f t="shared" ca="1" si="99"/>
        <v>#N/A</v>
      </c>
      <c r="IF13" s="53" t="e">
        <f t="shared" ca="1" si="99"/>
        <v>#N/A</v>
      </c>
      <c r="IG13" s="53" t="e">
        <f t="shared" ca="1" si="99"/>
        <v>#N/A</v>
      </c>
      <c r="IH13" s="53" t="e">
        <f t="shared" ca="1" si="99"/>
        <v>#N/A</v>
      </c>
      <c r="II13" s="53" t="e">
        <f t="shared" ca="1" si="99"/>
        <v>#N/A</v>
      </c>
      <c r="IJ13" s="53" t="e">
        <f t="shared" ca="1" si="99"/>
        <v>#N/A</v>
      </c>
      <c r="IK13" s="53" t="e">
        <f t="shared" ca="1" si="99"/>
        <v>#N/A</v>
      </c>
      <c r="IL13" s="53" t="e">
        <f t="shared" ca="1" si="99"/>
        <v>#N/A</v>
      </c>
      <c r="IM13" s="53" t="e">
        <f t="shared" ca="1" si="99"/>
        <v>#N/A</v>
      </c>
      <c r="IN13" s="53" t="e">
        <f t="shared" ca="1" si="99"/>
        <v>#N/A</v>
      </c>
    </row>
    <row r="14" spans="2:248" x14ac:dyDescent="0.3">
      <c r="B14" s="19" t="s">
        <v>451</v>
      </c>
      <c r="C14" s="21">
        <f>C4*(1+C12)</f>
        <v>279768.38130251894</v>
      </c>
      <c r="F14" s="19" t="s">
        <v>600</v>
      </c>
      <c r="G14" s="53">
        <f ca="1">H14</f>
        <v>8.4745762711864403E-2</v>
      </c>
      <c r="H14" s="53">
        <f ca="1">IF(ISNA(G8),NA(),IF(H4&lt;$C$10,(H8/OFFSET(H8,0,-H4))^(1/(H4)),(H8/OFFSET(H8,0,-$C$10))^(1/$C$10))-1)</f>
        <v>8.4745762711864403E-2</v>
      </c>
      <c r="I14" s="53">
        <f t="shared" ref="I14:BT14" ca="1" si="100">IF(ISNA(H8),NA(),IF(I4&lt;$C$10,(I8/OFFSET(I8,0,-I4))^(1/(I4)),(I8/OFFSET(I8,0,-$C$10))^(1/$C$10))-1)</f>
        <v>0.15347669008795806</v>
      </c>
      <c r="J14" s="53">
        <f t="shared" ca="1" si="100"/>
        <v>0.23015749650099204</v>
      </c>
      <c r="K14" s="53">
        <f t="shared" ca="1" si="100"/>
        <v>0.32754115324580413</v>
      </c>
      <c r="L14" s="53">
        <f t="shared" ca="1" si="100"/>
        <v>0.32636919079666327</v>
      </c>
      <c r="M14" s="53">
        <f t="shared" ca="1" si="100"/>
        <v>0.33967131018553398</v>
      </c>
      <c r="N14" s="53">
        <f t="shared" ca="1" si="100"/>
        <v>0.42581056860685162</v>
      </c>
      <c r="O14" s="53">
        <f t="shared" ca="1" si="100"/>
        <v>0.41390106083449463</v>
      </c>
      <c r="P14" s="53">
        <f t="shared" ca="1" si="100"/>
        <v>0.34628142340966206</v>
      </c>
      <c r="Q14" s="53">
        <f t="shared" ca="1" si="100"/>
        <v>0.3448814847359134</v>
      </c>
      <c r="R14" s="53">
        <f t="shared" ca="1" si="100"/>
        <v>0.37078203098301143</v>
      </c>
      <c r="S14" s="53">
        <f t="shared" ca="1" si="100"/>
        <v>0.2870282120670764</v>
      </c>
      <c r="T14" s="53">
        <f t="shared" ca="1" si="100"/>
        <v>0.28060552592863774</v>
      </c>
      <c r="U14" s="53">
        <f t="shared" ca="1" si="100"/>
        <v>0.30016209725421605</v>
      </c>
      <c r="V14" s="53">
        <f t="shared" ca="1" si="100"/>
        <v>0.27365348576885418</v>
      </c>
      <c r="W14" s="53">
        <f t="shared" ca="1" si="100"/>
        <v>0.36928407382988881</v>
      </c>
      <c r="X14" s="53">
        <f t="shared" ca="1" si="100"/>
        <v>0.41036743387180463</v>
      </c>
      <c r="Y14" s="53">
        <f t="shared" ca="1" si="100"/>
        <v>0.41066300792864019</v>
      </c>
      <c r="Z14" s="53">
        <f t="shared" ca="1" si="100"/>
        <v>0.39046709949818537</v>
      </c>
      <c r="AA14" s="53">
        <f t="shared" ca="1" si="100"/>
        <v>0.42033484889921846</v>
      </c>
      <c r="AB14" s="53">
        <f t="shared" ca="1" si="100"/>
        <v>0.31392880069816997</v>
      </c>
      <c r="AC14" s="53">
        <f t="shared" ca="1" si="100"/>
        <v>0.27580723219551295</v>
      </c>
      <c r="AD14" s="53">
        <f t="shared" ca="1" si="100"/>
        <v>0.26848029843830989</v>
      </c>
      <c r="AE14" s="53">
        <f t="shared" ca="1" si="100"/>
        <v>0.24710233349386712</v>
      </c>
      <c r="AF14" s="53">
        <f t="shared" ca="1" si="100"/>
        <v>0.21952051563661645</v>
      </c>
      <c r="AG14" s="53">
        <f t="shared" ca="1" si="100"/>
        <v>0.20757511575103149</v>
      </c>
      <c r="AH14" s="53">
        <f t="shared" ca="1" si="100"/>
        <v>0.17758586980623114</v>
      </c>
      <c r="AI14" s="53">
        <f t="shared" ca="1" si="100"/>
        <v>0.153358989932602</v>
      </c>
      <c r="AJ14" s="53">
        <f t="shared" ca="1" si="100"/>
        <v>0.13406040076885239</v>
      </c>
      <c r="AK14" s="53">
        <f ca="1">IF(ISNA(AJ8),NA(),IF(AK4&lt;$C$10,(AK8/OFFSET(AK8,0,-AK4))^(1/(AK4)),(AK8/OFFSET(AK8,0,-$C$10))^(1/$C$10))-1)</f>
        <v>0.12081334520597076</v>
      </c>
      <c r="AL14" s="53" t="e">
        <f t="shared" ca="1" si="100"/>
        <v>#N/A</v>
      </c>
      <c r="AM14" s="53" t="e">
        <f t="shared" ca="1" si="100"/>
        <v>#N/A</v>
      </c>
      <c r="AN14" s="53" t="e">
        <f t="shared" ca="1" si="100"/>
        <v>#N/A</v>
      </c>
      <c r="AO14" s="53" t="e">
        <f t="shared" ca="1" si="100"/>
        <v>#N/A</v>
      </c>
      <c r="AP14" s="53" t="e">
        <f t="shared" ca="1" si="100"/>
        <v>#N/A</v>
      </c>
      <c r="AQ14" s="53" t="e">
        <f t="shared" ca="1" si="100"/>
        <v>#N/A</v>
      </c>
      <c r="AR14" s="53" t="e">
        <f t="shared" ca="1" si="100"/>
        <v>#N/A</v>
      </c>
      <c r="AS14" s="53" t="e">
        <f t="shared" ca="1" si="100"/>
        <v>#N/A</v>
      </c>
      <c r="AT14" s="53" t="e">
        <f t="shared" ca="1" si="100"/>
        <v>#N/A</v>
      </c>
      <c r="AU14" s="53" t="e">
        <f t="shared" ca="1" si="100"/>
        <v>#N/A</v>
      </c>
      <c r="AV14" s="53" t="e">
        <f t="shared" ca="1" si="100"/>
        <v>#N/A</v>
      </c>
      <c r="AW14" s="53" t="e">
        <f t="shared" ca="1" si="100"/>
        <v>#N/A</v>
      </c>
      <c r="AX14" s="53" t="e">
        <f t="shared" ca="1" si="100"/>
        <v>#N/A</v>
      </c>
      <c r="AY14" s="53" t="e">
        <f t="shared" ca="1" si="100"/>
        <v>#N/A</v>
      </c>
      <c r="AZ14" s="53" t="e">
        <f t="shared" ca="1" si="100"/>
        <v>#N/A</v>
      </c>
      <c r="BA14" s="53" t="e">
        <f t="shared" ca="1" si="100"/>
        <v>#N/A</v>
      </c>
      <c r="BB14" s="53" t="e">
        <f t="shared" ca="1" si="100"/>
        <v>#N/A</v>
      </c>
      <c r="BC14" s="53" t="e">
        <f t="shared" ca="1" si="100"/>
        <v>#N/A</v>
      </c>
      <c r="BD14" s="53" t="e">
        <f t="shared" ca="1" si="100"/>
        <v>#N/A</v>
      </c>
      <c r="BE14" s="53" t="e">
        <f t="shared" ca="1" si="100"/>
        <v>#N/A</v>
      </c>
      <c r="BF14" s="53" t="e">
        <f t="shared" ca="1" si="100"/>
        <v>#N/A</v>
      </c>
      <c r="BG14" s="53" t="e">
        <f t="shared" ca="1" si="100"/>
        <v>#N/A</v>
      </c>
      <c r="BH14" s="53" t="e">
        <f t="shared" ca="1" si="100"/>
        <v>#N/A</v>
      </c>
      <c r="BI14" s="53" t="e">
        <f t="shared" ca="1" si="100"/>
        <v>#N/A</v>
      </c>
      <c r="BJ14" s="53" t="e">
        <f t="shared" ca="1" si="100"/>
        <v>#N/A</v>
      </c>
      <c r="BK14" s="53" t="e">
        <f t="shared" ca="1" si="100"/>
        <v>#N/A</v>
      </c>
      <c r="BL14" s="53" t="e">
        <f t="shared" ca="1" si="100"/>
        <v>#N/A</v>
      </c>
      <c r="BM14" s="53" t="e">
        <f t="shared" ca="1" si="100"/>
        <v>#N/A</v>
      </c>
      <c r="BN14" s="53" t="e">
        <f t="shared" ca="1" si="100"/>
        <v>#N/A</v>
      </c>
      <c r="BO14" s="53" t="e">
        <f t="shared" ca="1" si="100"/>
        <v>#N/A</v>
      </c>
      <c r="BP14" s="53" t="e">
        <f t="shared" ca="1" si="100"/>
        <v>#N/A</v>
      </c>
      <c r="BQ14" s="53" t="e">
        <f t="shared" ca="1" si="100"/>
        <v>#N/A</v>
      </c>
      <c r="BR14" s="53" t="e">
        <f t="shared" ca="1" si="100"/>
        <v>#N/A</v>
      </c>
      <c r="BS14" s="53" t="e">
        <f t="shared" ca="1" si="100"/>
        <v>#N/A</v>
      </c>
      <c r="BT14" s="53" t="e">
        <f t="shared" ca="1" si="100"/>
        <v>#N/A</v>
      </c>
      <c r="BU14" s="53" t="e">
        <f t="shared" ref="BU14:EF14" ca="1" si="101">IF(ISNA(BT8),NA(),IF(BU4&lt;$C$10,(BU8/OFFSET(BU8,0,-BU4))^(1/(BU4)),(BU8/OFFSET(BU8,0,-$C$10))^(1/$C$10))-1)</f>
        <v>#N/A</v>
      </c>
      <c r="BV14" s="53" t="e">
        <f t="shared" ca="1" si="101"/>
        <v>#N/A</v>
      </c>
      <c r="BW14" s="53" t="e">
        <f t="shared" ca="1" si="101"/>
        <v>#N/A</v>
      </c>
      <c r="BX14" s="53" t="e">
        <f t="shared" ca="1" si="101"/>
        <v>#N/A</v>
      </c>
      <c r="BY14" s="53" t="e">
        <f t="shared" ca="1" si="101"/>
        <v>#N/A</v>
      </c>
      <c r="BZ14" s="53" t="e">
        <f t="shared" ca="1" si="101"/>
        <v>#N/A</v>
      </c>
      <c r="CA14" s="53" t="e">
        <f t="shared" ca="1" si="101"/>
        <v>#N/A</v>
      </c>
      <c r="CB14" s="53" t="e">
        <f t="shared" ca="1" si="101"/>
        <v>#N/A</v>
      </c>
      <c r="CC14" s="53" t="e">
        <f t="shared" ca="1" si="101"/>
        <v>#N/A</v>
      </c>
      <c r="CD14" s="53" t="e">
        <f t="shared" ca="1" si="101"/>
        <v>#N/A</v>
      </c>
      <c r="CE14" s="53" t="e">
        <f t="shared" ca="1" si="101"/>
        <v>#N/A</v>
      </c>
      <c r="CF14" s="53" t="e">
        <f t="shared" ca="1" si="101"/>
        <v>#N/A</v>
      </c>
      <c r="CG14" s="53" t="e">
        <f t="shared" ca="1" si="101"/>
        <v>#N/A</v>
      </c>
      <c r="CH14" s="53" t="e">
        <f t="shared" ca="1" si="101"/>
        <v>#N/A</v>
      </c>
      <c r="CI14" s="53" t="e">
        <f t="shared" ca="1" si="101"/>
        <v>#N/A</v>
      </c>
      <c r="CJ14" s="53" t="e">
        <f t="shared" ca="1" si="101"/>
        <v>#N/A</v>
      </c>
      <c r="CK14" s="53" t="e">
        <f t="shared" ca="1" si="101"/>
        <v>#N/A</v>
      </c>
      <c r="CL14" s="53" t="e">
        <f t="shared" ca="1" si="101"/>
        <v>#N/A</v>
      </c>
      <c r="CM14" s="53" t="e">
        <f t="shared" ca="1" si="101"/>
        <v>#N/A</v>
      </c>
      <c r="CN14" s="53" t="e">
        <f t="shared" ca="1" si="101"/>
        <v>#N/A</v>
      </c>
      <c r="CO14" s="53" t="e">
        <f t="shared" ca="1" si="101"/>
        <v>#N/A</v>
      </c>
      <c r="CP14" s="53" t="e">
        <f t="shared" ca="1" si="101"/>
        <v>#N/A</v>
      </c>
      <c r="CQ14" s="53" t="e">
        <f t="shared" ca="1" si="101"/>
        <v>#N/A</v>
      </c>
      <c r="CR14" s="53" t="e">
        <f t="shared" ca="1" si="101"/>
        <v>#N/A</v>
      </c>
      <c r="CS14" s="53" t="e">
        <f t="shared" ca="1" si="101"/>
        <v>#N/A</v>
      </c>
      <c r="CT14" s="53" t="e">
        <f t="shared" ca="1" si="101"/>
        <v>#N/A</v>
      </c>
      <c r="CU14" s="53" t="e">
        <f t="shared" ca="1" si="101"/>
        <v>#N/A</v>
      </c>
      <c r="CV14" s="53" t="e">
        <f t="shared" ca="1" si="101"/>
        <v>#N/A</v>
      </c>
      <c r="CW14" s="53" t="e">
        <f t="shared" ca="1" si="101"/>
        <v>#N/A</v>
      </c>
      <c r="CX14" s="53" t="e">
        <f t="shared" ca="1" si="101"/>
        <v>#N/A</v>
      </c>
      <c r="CY14" s="53" t="e">
        <f t="shared" ca="1" si="101"/>
        <v>#N/A</v>
      </c>
      <c r="CZ14" s="53" t="e">
        <f t="shared" ca="1" si="101"/>
        <v>#N/A</v>
      </c>
      <c r="DA14" s="53" t="e">
        <f t="shared" ca="1" si="101"/>
        <v>#N/A</v>
      </c>
      <c r="DB14" s="53" t="e">
        <f t="shared" ca="1" si="101"/>
        <v>#N/A</v>
      </c>
      <c r="DC14" s="53" t="e">
        <f t="shared" ca="1" si="101"/>
        <v>#N/A</v>
      </c>
      <c r="DD14" s="53" t="e">
        <f t="shared" ca="1" si="101"/>
        <v>#N/A</v>
      </c>
      <c r="DE14" s="53" t="e">
        <f t="shared" ca="1" si="101"/>
        <v>#N/A</v>
      </c>
      <c r="DF14" s="53" t="e">
        <f t="shared" ca="1" si="101"/>
        <v>#N/A</v>
      </c>
      <c r="DG14" s="53" t="e">
        <f t="shared" ca="1" si="101"/>
        <v>#N/A</v>
      </c>
      <c r="DH14" s="53" t="e">
        <f t="shared" ca="1" si="101"/>
        <v>#N/A</v>
      </c>
      <c r="DI14" s="53" t="e">
        <f t="shared" ca="1" si="101"/>
        <v>#N/A</v>
      </c>
      <c r="DJ14" s="53" t="e">
        <f t="shared" ca="1" si="101"/>
        <v>#N/A</v>
      </c>
      <c r="DK14" s="53" t="e">
        <f t="shared" ca="1" si="101"/>
        <v>#N/A</v>
      </c>
      <c r="DL14" s="53" t="e">
        <f t="shared" ca="1" si="101"/>
        <v>#N/A</v>
      </c>
      <c r="DM14" s="53" t="e">
        <f t="shared" ca="1" si="101"/>
        <v>#N/A</v>
      </c>
      <c r="DN14" s="53" t="e">
        <f t="shared" ca="1" si="101"/>
        <v>#N/A</v>
      </c>
      <c r="DO14" s="53" t="e">
        <f t="shared" ca="1" si="101"/>
        <v>#N/A</v>
      </c>
      <c r="DP14" s="53" t="e">
        <f t="shared" ca="1" si="101"/>
        <v>#N/A</v>
      </c>
      <c r="DQ14" s="53" t="e">
        <f t="shared" ca="1" si="101"/>
        <v>#N/A</v>
      </c>
      <c r="DR14" s="53" t="e">
        <f t="shared" ca="1" si="101"/>
        <v>#N/A</v>
      </c>
      <c r="DS14" s="53" t="e">
        <f t="shared" ca="1" si="101"/>
        <v>#N/A</v>
      </c>
      <c r="DT14" s="53" t="e">
        <f t="shared" ca="1" si="101"/>
        <v>#N/A</v>
      </c>
      <c r="DU14" s="53" t="e">
        <f t="shared" ca="1" si="101"/>
        <v>#N/A</v>
      </c>
      <c r="DV14" s="53" t="e">
        <f t="shared" ca="1" si="101"/>
        <v>#N/A</v>
      </c>
      <c r="DW14" s="53" t="e">
        <f t="shared" ca="1" si="101"/>
        <v>#N/A</v>
      </c>
      <c r="DX14" s="53" t="e">
        <f t="shared" ca="1" si="101"/>
        <v>#N/A</v>
      </c>
      <c r="DY14" s="53" t="e">
        <f t="shared" ca="1" si="101"/>
        <v>#N/A</v>
      </c>
      <c r="DZ14" s="53" t="e">
        <f t="shared" ca="1" si="101"/>
        <v>#N/A</v>
      </c>
      <c r="EA14" s="53" t="e">
        <f t="shared" ca="1" si="101"/>
        <v>#N/A</v>
      </c>
      <c r="EB14" s="53" t="e">
        <f t="shared" ca="1" si="101"/>
        <v>#N/A</v>
      </c>
      <c r="EC14" s="53" t="e">
        <f t="shared" ca="1" si="101"/>
        <v>#N/A</v>
      </c>
      <c r="ED14" s="53" t="e">
        <f t="shared" ca="1" si="101"/>
        <v>#N/A</v>
      </c>
      <c r="EE14" s="53" t="e">
        <f t="shared" ca="1" si="101"/>
        <v>#N/A</v>
      </c>
      <c r="EF14" s="53" t="e">
        <f t="shared" ca="1" si="101"/>
        <v>#N/A</v>
      </c>
      <c r="EG14" s="53" t="e">
        <f t="shared" ref="EG14:GR14" ca="1" si="102">IF(ISNA(EF8),NA(),IF(EG4&lt;$C$10,(EG8/OFFSET(EG8,0,-EG4))^(1/(EG4)),(EG8/OFFSET(EG8,0,-$C$10))^(1/$C$10))-1)</f>
        <v>#N/A</v>
      </c>
      <c r="EH14" s="53" t="e">
        <f t="shared" ca="1" si="102"/>
        <v>#N/A</v>
      </c>
      <c r="EI14" s="53" t="e">
        <f t="shared" ca="1" si="102"/>
        <v>#N/A</v>
      </c>
      <c r="EJ14" s="53" t="e">
        <f t="shared" ca="1" si="102"/>
        <v>#N/A</v>
      </c>
      <c r="EK14" s="53" t="e">
        <f t="shared" ca="1" si="102"/>
        <v>#N/A</v>
      </c>
      <c r="EL14" s="53" t="e">
        <f t="shared" ca="1" si="102"/>
        <v>#N/A</v>
      </c>
      <c r="EM14" s="53" t="e">
        <f t="shared" ca="1" si="102"/>
        <v>#N/A</v>
      </c>
      <c r="EN14" s="53" t="e">
        <f t="shared" ca="1" si="102"/>
        <v>#N/A</v>
      </c>
      <c r="EO14" s="53" t="e">
        <f t="shared" ca="1" si="102"/>
        <v>#N/A</v>
      </c>
      <c r="EP14" s="53" t="e">
        <f t="shared" ca="1" si="102"/>
        <v>#N/A</v>
      </c>
      <c r="EQ14" s="53" t="e">
        <f t="shared" ca="1" si="102"/>
        <v>#N/A</v>
      </c>
      <c r="ER14" s="53" t="e">
        <f t="shared" ca="1" si="102"/>
        <v>#N/A</v>
      </c>
      <c r="ES14" s="53" t="e">
        <f t="shared" ca="1" si="102"/>
        <v>#N/A</v>
      </c>
      <c r="ET14" s="53" t="e">
        <f t="shared" ca="1" si="102"/>
        <v>#N/A</v>
      </c>
      <c r="EU14" s="53" t="e">
        <f t="shared" ca="1" si="102"/>
        <v>#N/A</v>
      </c>
      <c r="EV14" s="53" t="e">
        <f t="shared" ca="1" si="102"/>
        <v>#N/A</v>
      </c>
      <c r="EW14" s="53" t="e">
        <f t="shared" ca="1" si="102"/>
        <v>#N/A</v>
      </c>
      <c r="EX14" s="53" t="e">
        <f t="shared" ca="1" si="102"/>
        <v>#N/A</v>
      </c>
      <c r="EY14" s="53" t="e">
        <f t="shared" ca="1" si="102"/>
        <v>#N/A</v>
      </c>
      <c r="EZ14" s="53" t="e">
        <f t="shared" ca="1" si="102"/>
        <v>#N/A</v>
      </c>
      <c r="FA14" s="53" t="e">
        <f t="shared" ca="1" si="102"/>
        <v>#N/A</v>
      </c>
      <c r="FB14" s="53" t="e">
        <f t="shared" ca="1" si="102"/>
        <v>#N/A</v>
      </c>
      <c r="FC14" s="53" t="e">
        <f t="shared" ca="1" si="102"/>
        <v>#N/A</v>
      </c>
      <c r="FD14" s="53" t="e">
        <f t="shared" ca="1" si="102"/>
        <v>#N/A</v>
      </c>
      <c r="FE14" s="53" t="e">
        <f t="shared" ca="1" si="102"/>
        <v>#N/A</v>
      </c>
      <c r="FF14" s="53" t="e">
        <f t="shared" ca="1" si="102"/>
        <v>#N/A</v>
      </c>
      <c r="FG14" s="53" t="e">
        <f t="shared" ca="1" si="102"/>
        <v>#N/A</v>
      </c>
      <c r="FH14" s="53" t="e">
        <f t="shared" ca="1" si="102"/>
        <v>#N/A</v>
      </c>
      <c r="FI14" s="53" t="e">
        <f t="shared" ca="1" si="102"/>
        <v>#N/A</v>
      </c>
      <c r="FJ14" s="53" t="e">
        <f t="shared" ca="1" si="102"/>
        <v>#N/A</v>
      </c>
      <c r="FK14" s="53" t="e">
        <f t="shared" ca="1" si="102"/>
        <v>#N/A</v>
      </c>
      <c r="FL14" s="53" t="e">
        <f t="shared" ca="1" si="102"/>
        <v>#N/A</v>
      </c>
      <c r="FM14" s="53" t="e">
        <f t="shared" ca="1" si="102"/>
        <v>#N/A</v>
      </c>
      <c r="FN14" s="53" t="e">
        <f t="shared" ca="1" si="102"/>
        <v>#N/A</v>
      </c>
      <c r="FO14" s="53" t="e">
        <f t="shared" ca="1" si="102"/>
        <v>#N/A</v>
      </c>
      <c r="FP14" s="53" t="e">
        <f t="shared" ca="1" si="102"/>
        <v>#N/A</v>
      </c>
      <c r="FQ14" s="53" t="e">
        <f t="shared" ca="1" si="102"/>
        <v>#N/A</v>
      </c>
      <c r="FR14" s="53" t="e">
        <f t="shared" ca="1" si="102"/>
        <v>#N/A</v>
      </c>
      <c r="FS14" s="53" t="e">
        <f t="shared" ca="1" si="102"/>
        <v>#N/A</v>
      </c>
      <c r="FT14" s="53" t="e">
        <f t="shared" ca="1" si="102"/>
        <v>#N/A</v>
      </c>
      <c r="FU14" s="53" t="e">
        <f t="shared" ca="1" si="102"/>
        <v>#N/A</v>
      </c>
      <c r="FV14" s="53" t="e">
        <f t="shared" ca="1" si="102"/>
        <v>#N/A</v>
      </c>
      <c r="FW14" s="53" t="e">
        <f t="shared" ca="1" si="102"/>
        <v>#N/A</v>
      </c>
      <c r="FX14" s="53" t="e">
        <f t="shared" ca="1" si="102"/>
        <v>#N/A</v>
      </c>
      <c r="FY14" s="53" t="e">
        <f t="shared" ca="1" si="102"/>
        <v>#N/A</v>
      </c>
      <c r="FZ14" s="53" t="e">
        <f t="shared" ca="1" si="102"/>
        <v>#N/A</v>
      </c>
      <c r="GA14" s="53" t="e">
        <f t="shared" ca="1" si="102"/>
        <v>#N/A</v>
      </c>
      <c r="GB14" s="53" t="e">
        <f t="shared" ca="1" si="102"/>
        <v>#N/A</v>
      </c>
      <c r="GC14" s="53" t="e">
        <f t="shared" ca="1" si="102"/>
        <v>#N/A</v>
      </c>
      <c r="GD14" s="53" t="e">
        <f t="shared" ca="1" si="102"/>
        <v>#N/A</v>
      </c>
      <c r="GE14" s="53" t="e">
        <f t="shared" ca="1" si="102"/>
        <v>#N/A</v>
      </c>
      <c r="GF14" s="53" t="e">
        <f t="shared" ca="1" si="102"/>
        <v>#N/A</v>
      </c>
      <c r="GG14" s="53" t="e">
        <f t="shared" ca="1" si="102"/>
        <v>#N/A</v>
      </c>
      <c r="GH14" s="53" t="e">
        <f t="shared" ca="1" si="102"/>
        <v>#N/A</v>
      </c>
      <c r="GI14" s="53" t="e">
        <f t="shared" ca="1" si="102"/>
        <v>#N/A</v>
      </c>
      <c r="GJ14" s="53" t="e">
        <f t="shared" ca="1" si="102"/>
        <v>#N/A</v>
      </c>
      <c r="GK14" s="53" t="e">
        <f t="shared" ca="1" si="102"/>
        <v>#N/A</v>
      </c>
      <c r="GL14" s="53" t="e">
        <f t="shared" ca="1" si="102"/>
        <v>#N/A</v>
      </c>
      <c r="GM14" s="53" t="e">
        <f t="shared" ca="1" si="102"/>
        <v>#N/A</v>
      </c>
      <c r="GN14" s="53" t="e">
        <f t="shared" ca="1" si="102"/>
        <v>#N/A</v>
      </c>
      <c r="GO14" s="53" t="e">
        <f t="shared" ca="1" si="102"/>
        <v>#N/A</v>
      </c>
      <c r="GP14" s="53" t="e">
        <f t="shared" ca="1" si="102"/>
        <v>#N/A</v>
      </c>
      <c r="GQ14" s="53" t="e">
        <f t="shared" ca="1" si="102"/>
        <v>#N/A</v>
      </c>
      <c r="GR14" s="53" t="e">
        <f t="shared" ca="1" si="102"/>
        <v>#N/A</v>
      </c>
      <c r="GS14" s="53" t="e">
        <f t="shared" ref="GS14:IN14" ca="1" si="103">IF(ISNA(GR8),NA(),IF(GS4&lt;$C$10,(GS8/OFFSET(GS8,0,-GS4))^(1/(GS4)),(GS8/OFFSET(GS8,0,-$C$10))^(1/$C$10))-1)</f>
        <v>#N/A</v>
      </c>
      <c r="GT14" s="53" t="e">
        <f t="shared" ca="1" si="103"/>
        <v>#N/A</v>
      </c>
      <c r="GU14" s="53" t="e">
        <f t="shared" ca="1" si="103"/>
        <v>#N/A</v>
      </c>
      <c r="GV14" s="53" t="e">
        <f t="shared" ca="1" si="103"/>
        <v>#N/A</v>
      </c>
      <c r="GW14" s="53" t="e">
        <f t="shared" ca="1" si="103"/>
        <v>#N/A</v>
      </c>
      <c r="GX14" s="53" t="e">
        <f t="shared" ca="1" si="103"/>
        <v>#N/A</v>
      </c>
      <c r="GY14" s="53" t="e">
        <f t="shared" ca="1" si="103"/>
        <v>#N/A</v>
      </c>
      <c r="GZ14" s="53" t="e">
        <f t="shared" ca="1" si="103"/>
        <v>#N/A</v>
      </c>
      <c r="HA14" s="53" t="e">
        <f t="shared" ca="1" si="103"/>
        <v>#N/A</v>
      </c>
      <c r="HB14" s="53" t="e">
        <f t="shared" ca="1" si="103"/>
        <v>#N/A</v>
      </c>
      <c r="HC14" s="53" t="e">
        <f t="shared" ca="1" si="103"/>
        <v>#N/A</v>
      </c>
      <c r="HD14" s="53" t="e">
        <f t="shared" ca="1" si="103"/>
        <v>#N/A</v>
      </c>
      <c r="HE14" s="53" t="e">
        <f t="shared" ca="1" si="103"/>
        <v>#N/A</v>
      </c>
      <c r="HF14" s="53" t="e">
        <f t="shared" ca="1" si="103"/>
        <v>#N/A</v>
      </c>
      <c r="HG14" s="53" t="e">
        <f t="shared" ca="1" si="103"/>
        <v>#N/A</v>
      </c>
      <c r="HH14" s="53" t="e">
        <f t="shared" ca="1" si="103"/>
        <v>#N/A</v>
      </c>
      <c r="HI14" s="53" t="e">
        <f t="shared" ca="1" si="103"/>
        <v>#N/A</v>
      </c>
      <c r="HJ14" s="53" t="e">
        <f t="shared" ca="1" si="103"/>
        <v>#N/A</v>
      </c>
      <c r="HK14" s="53" t="e">
        <f t="shared" ca="1" si="103"/>
        <v>#N/A</v>
      </c>
      <c r="HL14" s="53" t="e">
        <f t="shared" ca="1" si="103"/>
        <v>#N/A</v>
      </c>
      <c r="HM14" s="53" t="e">
        <f t="shared" ca="1" si="103"/>
        <v>#N/A</v>
      </c>
      <c r="HN14" s="53" t="e">
        <f t="shared" ca="1" si="103"/>
        <v>#N/A</v>
      </c>
      <c r="HO14" s="53" t="e">
        <f t="shared" ca="1" si="103"/>
        <v>#N/A</v>
      </c>
      <c r="HP14" s="53" t="e">
        <f t="shared" ca="1" si="103"/>
        <v>#N/A</v>
      </c>
      <c r="HQ14" s="53" t="e">
        <f t="shared" ca="1" si="103"/>
        <v>#N/A</v>
      </c>
      <c r="HR14" s="53" t="e">
        <f t="shared" ca="1" si="103"/>
        <v>#N/A</v>
      </c>
      <c r="HS14" s="53" t="e">
        <f t="shared" ca="1" si="103"/>
        <v>#N/A</v>
      </c>
      <c r="HT14" s="53" t="e">
        <f t="shared" ca="1" si="103"/>
        <v>#N/A</v>
      </c>
      <c r="HU14" s="53" t="e">
        <f t="shared" ca="1" si="103"/>
        <v>#N/A</v>
      </c>
      <c r="HV14" s="53" t="e">
        <f t="shared" ca="1" si="103"/>
        <v>#N/A</v>
      </c>
      <c r="HW14" s="53" t="e">
        <f t="shared" ca="1" si="103"/>
        <v>#N/A</v>
      </c>
      <c r="HX14" s="53" t="e">
        <f t="shared" ca="1" si="103"/>
        <v>#N/A</v>
      </c>
      <c r="HY14" s="53" t="e">
        <f t="shared" ca="1" si="103"/>
        <v>#N/A</v>
      </c>
      <c r="HZ14" s="53" t="e">
        <f t="shared" ca="1" si="103"/>
        <v>#N/A</v>
      </c>
      <c r="IA14" s="53" t="e">
        <f t="shared" ca="1" si="103"/>
        <v>#N/A</v>
      </c>
      <c r="IB14" s="53" t="e">
        <f t="shared" ca="1" si="103"/>
        <v>#N/A</v>
      </c>
      <c r="IC14" s="53" t="e">
        <f t="shared" ca="1" si="103"/>
        <v>#N/A</v>
      </c>
      <c r="ID14" s="53" t="e">
        <f t="shared" ca="1" si="103"/>
        <v>#N/A</v>
      </c>
      <c r="IE14" s="53" t="e">
        <f t="shared" ca="1" si="103"/>
        <v>#N/A</v>
      </c>
      <c r="IF14" s="53" t="e">
        <f t="shared" ca="1" si="103"/>
        <v>#N/A</v>
      </c>
      <c r="IG14" s="53" t="e">
        <f t="shared" ca="1" si="103"/>
        <v>#N/A</v>
      </c>
      <c r="IH14" s="53" t="e">
        <f t="shared" ca="1" si="103"/>
        <v>#N/A</v>
      </c>
      <c r="II14" s="53" t="e">
        <f t="shared" ca="1" si="103"/>
        <v>#N/A</v>
      </c>
      <c r="IJ14" s="53" t="e">
        <f t="shared" ca="1" si="103"/>
        <v>#N/A</v>
      </c>
      <c r="IK14" s="53" t="e">
        <f t="shared" ca="1" si="103"/>
        <v>#N/A</v>
      </c>
      <c r="IL14" s="53" t="e">
        <f t="shared" ca="1" si="103"/>
        <v>#N/A</v>
      </c>
      <c r="IM14" s="53" t="e">
        <f t="shared" ca="1" si="103"/>
        <v>#N/A</v>
      </c>
      <c r="IN14" s="53" t="e">
        <f t="shared" ca="1" si="103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6.0853634993201969E-2</v>
      </c>
      <c r="E15" s="93"/>
      <c r="F15" s="19" t="s">
        <v>567</v>
      </c>
      <c r="G15" s="53" t="e">
        <f ca="1">H15</f>
        <v>#N/A</v>
      </c>
      <c r="H15" s="53" t="e">
        <f t="shared" ref="H15:BS15" ca="1" si="104">IF(ISNA(G6),NA(),IF(H4-$C$9&lt;$C$10,(H6/OFFSET(H6,0,-H4+$C$9))^(1/(H4-$C$9)),(H6/OFFSET(H6,0,-$C$10))^(1/$C$10))-1)</f>
        <v>#N/A</v>
      </c>
      <c r="I15" s="53">
        <f t="shared" ca="1" si="104"/>
        <v>9.0909090909090828E-2</v>
      </c>
      <c r="J15" s="53">
        <f t="shared" ca="1" si="104"/>
        <v>0.12815214963553245</v>
      </c>
      <c r="K15" s="53">
        <f t="shared" ca="1" si="104"/>
        <v>0.15616214441920406</v>
      </c>
      <c r="L15" s="53">
        <f t="shared" ca="1" si="104"/>
        <v>0.17545674502106401</v>
      </c>
      <c r="M15" s="53">
        <f t="shared" ca="1" si="104"/>
        <v>0.1486983549970351</v>
      </c>
      <c r="N15" s="53">
        <f t="shared" ca="1" si="104"/>
        <v>0.18466445254224406</v>
      </c>
      <c r="O15" s="53">
        <f t="shared" ca="1" si="104"/>
        <v>0.20791087977228595</v>
      </c>
      <c r="P15" s="53">
        <f t="shared" ca="1" si="104"/>
        <v>0.18664882623542334</v>
      </c>
      <c r="Q15" s="53">
        <f t="shared" ca="1" si="104"/>
        <v>0.17483185214392605</v>
      </c>
      <c r="R15" s="53">
        <f t="shared" ca="1" si="104"/>
        <v>0.1967245924901726</v>
      </c>
      <c r="S15" s="53">
        <f t="shared" ca="1" si="104"/>
        <v>0.17607902252467356</v>
      </c>
      <c r="T15" s="53">
        <f t="shared" ca="1" si="104"/>
        <v>0.18747174576884862</v>
      </c>
      <c r="U15" s="53">
        <f t="shared" ca="1" si="104"/>
        <v>0.21975540946693473</v>
      </c>
      <c r="V15" s="53">
        <f t="shared" ca="1" si="104"/>
        <v>0.20214493199953942</v>
      </c>
      <c r="W15" s="53">
        <f t="shared" ca="1" si="104"/>
        <v>0.29935328030539643</v>
      </c>
      <c r="X15" s="53">
        <f t="shared" ca="1" si="104"/>
        <v>0.31102162512174147</v>
      </c>
      <c r="Y15" s="53">
        <f t="shared" ca="1" si="104"/>
        <v>0.29283734880064749</v>
      </c>
      <c r="Z15" s="53">
        <f t="shared" ca="1" si="104"/>
        <v>0.3102146764437772</v>
      </c>
      <c r="AA15" s="53">
        <f t="shared" ca="1" si="104"/>
        <v>0.3639380262552574</v>
      </c>
      <c r="AB15" s="53">
        <f t="shared" ca="1" si="104"/>
        <v>0.28693004775621556</v>
      </c>
      <c r="AC15" s="53">
        <f t="shared" ca="1" si="104"/>
        <v>0.31018377005173359</v>
      </c>
      <c r="AD15" s="53">
        <f t="shared" ca="1" si="104"/>
        <v>0.31539923538504366</v>
      </c>
      <c r="AE15" s="53">
        <f t="shared" ca="1" si="104"/>
        <v>0.30544675486503925</v>
      </c>
      <c r="AF15" s="53">
        <f t="shared" ca="1" si="104"/>
        <v>0.29466333577236004</v>
      </c>
      <c r="AG15" s="53">
        <f t="shared" ca="1" si="104"/>
        <v>0.28431894737958507</v>
      </c>
      <c r="AH15" s="53">
        <f t="shared" ca="1" si="104"/>
        <v>0.25885224320425682</v>
      </c>
      <c r="AI15" s="53">
        <f t="shared" ca="1" si="104"/>
        <v>0.26218855898130644</v>
      </c>
      <c r="AJ15" s="53">
        <f t="shared" ca="1" si="104"/>
        <v>0.24646548222927467</v>
      </c>
      <c r="AK15" s="53">
        <f t="shared" ca="1" si="104"/>
        <v>0.23943695588837666</v>
      </c>
      <c r="AL15" s="53" t="e">
        <f t="shared" ca="1" si="104"/>
        <v>#N/A</v>
      </c>
      <c r="AM15" s="53" t="e">
        <f t="shared" ca="1" si="104"/>
        <v>#N/A</v>
      </c>
      <c r="AN15" s="53" t="e">
        <f t="shared" ca="1" si="104"/>
        <v>#N/A</v>
      </c>
      <c r="AO15" s="53" t="e">
        <f t="shared" ca="1" si="104"/>
        <v>#N/A</v>
      </c>
      <c r="AP15" s="53" t="e">
        <f t="shared" ca="1" si="104"/>
        <v>#N/A</v>
      </c>
      <c r="AQ15" s="53" t="e">
        <f t="shared" ca="1" si="104"/>
        <v>#N/A</v>
      </c>
      <c r="AR15" s="53" t="e">
        <f t="shared" ca="1" si="104"/>
        <v>#N/A</v>
      </c>
      <c r="AS15" s="53" t="e">
        <f t="shared" ca="1" si="104"/>
        <v>#N/A</v>
      </c>
      <c r="AT15" s="53" t="e">
        <f t="shared" ca="1" si="104"/>
        <v>#N/A</v>
      </c>
      <c r="AU15" s="53" t="e">
        <f t="shared" ca="1" si="104"/>
        <v>#N/A</v>
      </c>
      <c r="AV15" s="53" t="e">
        <f t="shared" ca="1" si="104"/>
        <v>#N/A</v>
      </c>
      <c r="AW15" s="53" t="e">
        <f t="shared" ca="1" si="104"/>
        <v>#N/A</v>
      </c>
      <c r="AX15" s="53" t="e">
        <f t="shared" ca="1" si="104"/>
        <v>#N/A</v>
      </c>
      <c r="AY15" s="53" t="e">
        <f t="shared" ca="1" si="104"/>
        <v>#N/A</v>
      </c>
      <c r="AZ15" s="53" t="e">
        <f t="shared" ca="1" si="104"/>
        <v>#N/A</v>
      </c>
      <c r="BA15" s="53" t="e">
        <f t="shared" ca="1" si="104"/>
        <v>#N/A</v>
      </c>
      <c r="BB15" s="53" t="e">
        <f t="shared" ca="1" si="104"/>
        <v>#N/A</v>
      </c>
      <c r="BC15" s="53" t="e">
        <f t="shared" ca="1" si="104"/>
        <v>#N/A</v>
      </c>
      <c r="BD15" s="53" t="e">
        <f t="shared" ca="1" si="104"/>
        <v>#N/A</v>
      </c>
      <c r="BE15" s="53" t="e">
        <f t="shared" ca="1" si="104"/>
        <v>#N/A</v>
      </c>
      <c r="BF15" s="53" t="e">
        <f t="shared" ca="1" si="104"/>
        <v>#N/A</v>
      </c>
      <c r="BG15" s="53" t="e">
        <f t="shared" ca="1" si="104"/>
        <v>#N/A</v>
      </c>
      <c r="BH15" s="53" t="e">
        <f t="shared" ca="1" si="104"/>
        <v>#N/A</v>
      </c>
      <c r="BI15" s="53" t="e">
        <f t="shared" ca="1" si="104"/>
        <v>#N/A</v>
      </c>
      <c r="BJ15" s="53" t="e">
        <f t="shared" ca="1" si="104"/>
        <v>#N/A</v>
      </c>
      <c r="BK15" s="53" t="e">
        <f t="shared" ca="1" si="104"/>
        <v>#N/A</v>
      </c>
      <c r="BL15" s="53" t="e">
        <f t="shared" ca="1" si="104"/>
        <v>#N/A</v>
      </c>
      <c r="BM15" s="53" t="e">
        <f t="shared" ca="1" si="104"/>
        <v>#N/A</v>
      </c>
      <c r="BN15" s="53" t="e">
        <f t="shared" ca="1" si="104"/>
        <v>#N/A</v>
      </c>
      <c r="BO15" s="53" t="e">
        <f t="shared" ca="1" si="104"/>
        <v>#N/A</v>
      </c>
      <c r="BP15" s="53" t="e">
        <f t="shared" ca="1" si="104"/>
        <v>#N/A</v>
      </c>
      <c r="BQ15" s="53" t="e">
        <f t="shared" ca="1" si="104"/>
        <v>#N/A</v>
      </c>
      <c r="BR15" s="53" t="e">
        <f t="shared" ca="1" si="104"/>
        <v>#N/A</v>
      </c>
      <c r="BS15" s="53" t="e">
        <f t="shared" ca="1" si="104"/>
        <v>#N/A</v>
      </c>
      <c r="BT15" s="53" t="e">
        <f t="shared" ref="BT15:EE15" ca="1" si="105">IF(ISNA(BS6),NA(),IF(BT4-$C$9&lt;$C$10,(BT6/OFFSET(BT6,0,-BT4+$C$9))^(1/(BT4-$C$9)),(BT6/OFFSET(BT6,0,-$C$10))^(1/$C$10))-1)</f>
        <v>#N/A</v>
      </c>
      <c r="BU15" s="53" t="e">
        <f t="shared" ca="1" si="105"/>
        <v>#N/A</v>
      </c>
      <c r="BV15" s="53" t="e">
        <f t="shared" ca="1" si="105"/>
        <v>#N/A</v>
      </c>
      <c r="BW15" s="53" t="e">
        <f t="shared" ca="1" si="105"/>
        <v>#N/A</v>
      </c>
      <c r="BX15" s="53" t="e">
        <f t="shared" ca="1" si="105"/>
        <v>#N/A</v>
      </c>
      <c r="BY15" s="53" t="e">
        <f t="shared" ca="1" si="105"/>
        <v>#N/A</v>
      </c>
      <c r="BZ15" s="53" t="e">
        <f t="shared" ca="1" si="105"/>
        <v>#N/A</v>
      </c>
      <c r="CA15" s="53" t="e">
        <f t="shared" ca="1" si="105"/>
        <v>#N/A</v>
      </c>
      <c r="CB15" s="53" t="e">
        <f t="shared" ca="1" si="105"/>
        <v>#N/A</v>
      </c>
      <c r="CC15" s="53" t="e">
        <f t="shared" ca="1" si="105"/>
        <v>#N/A</v>
      </c>
      <c r="CD15" s="53" t="e">
        <f t="shared" ca="1" si="105"/>
        <v>#N/A</v>
      </c>
      <c r="CE15" s="53" t="e">
        <f t="shared" ca="1" si="105"/>
        <v>#N/A</v>
      </c>
      <c r="CF15" s="53" t="e">
        <f t="shared" ca="1" si="105"/>
        <v>#N/A</v>
      </c>
      <c r="CG15" s="53" t="e">
        <f t="shared" ca="1" si="105"/>
        <v>#N/A</v>
      </c>
      <c r="CH15" s="53" t="e">
        <f t="shared" ca="1" si="105"/>
        <v>#N/A</v>
      </c>
      <c r="CI15" s="53" t="e">
        <f t="shared" ca="1" si="105"/>
        <v>#N/A</v>
      </c>
      <c r="CJ15" s="53" t="e">
        <f t="shared" ca="1" si="105"/>
        <v>#N/A</v>
      </c>
      <c r="CK15" s="53" t="e">
        <f t="shared" ca="1" si="105"/>
        <v>#N/A</v>
      </c>
      <c r="CL15" s="53" t="e">
        <f t="shared" ca="1" si="105"/>
        <v>#N/A</v>
      </c>
      <c r="CM15" s="53" t="e">
        <f t="shared" ca="1" si="105"/>
        <v>#N/A</v>
      </c>
      <c r="CN15" s="53" t="e">
        <f t="shared" ca="1" si="105"/>
        <v>#N/A</v>
      </c>
      <c r="CO15" s="53" t="e">
        <f t="shared" ca="1" si="105"/>
        <v>#N/A</v>
      </c>
      <c r="CP15" s="53" t="e">
        <f t="shared" ca="1" si="105"/>
        <v>#N/A</v>
      </c>
      <c r="CQ15" s="53" t="e">
        <f t="shared" ca="1" si="105"/>
        <v>#N/A</v>
      </c>
      <c r="CR15" s="53" t="e">
        <f t="shared" ca="1" si="105"/>
        <v>#N/A</v>
      </c>
      <c r="CS15" s="53" t="e">
        <f t="shared" ca="1" si="105"/>
        <v>#N/A</v>
      </c>
      <c r="CT15" s="53" t="e">
        <f t="shared" ca="1" si="105"/>
        <v>#N/A</v>
      </c>
      <c r="CU15" s="53" t="e">
        <f t="shared" ca="1" si="105"/>
        <v>#N/A</v>
      </c>
      <c r="CV15" s="53" t="e">
        <f t="shared" ca="1" si="105"/>
        <v>#N/A</v>
      </c>
      <c r="CW15" s="53" t="e">
        <f t="shared" ca="1" si="105"/>
        <v>#N/A</v>
      </c>
      <c r="CX15" s="53" t="e">
        <f t="shared" ca="1" si="105"/>
        <v>#N/A</v>
      </c>
      <c r="CY15" s="53" t="e">
        <f t="shared" ca="1" si="105"/>
        <v>#N/A</v>
      </c>
      <c r="CZ15" s="53" t="e">
        <f t="shared" ca="1" si="105"/>
        <v>#N/A</v>
      </c>
      <c r="DA15" s="53" t="e">
        <f t="shared" ca="1" si="105"/>
        <v>#N/A</v>
      </c>
      <c r="DB15" s="53" t="e">
        <f t="shared" ca="1" si="105"/>
        <v>#N/A</v>
      </c>
      <c r="DC15" s="53" t="e">
        <f t="shared" ca="1" si="105"/>
        <v>#N/A</v>
      </c>
      <c r="DD15" s="53" t="e">
        <f t="shared" ca="1" si="105"/>
        <v>#N/A</v>
      </c>
      <c r="DE15" s="53" t="e">
        <f t="shared" ca="1" si="105"/>
        <v>#N/A</v>
      </c>
      <c r="DF15" s="53" t="e">
        <f t="shared" ca="1" si="105"/>
        <v>#N/A</v>
      </c>
      <c r="DG15" s="53" t="e">
        <f t="shared" ca="1" si="105"/>
        <v>#N/A</v>
      </c>
      <c r="DH15" s="53" t="e">
        <f t="shared" ca="1" si="105"/>
        <v>#N/A</v>
      </c>
      <c r="DI15" s="53" t="e">
        <f t="shared" ca="1" si="105"/>
        <v>#N/A</v>
      </c>
      <c r="DJ15" s="53" t="e">
        <f t="shared" ca="1" si="105"/>
        <v>#N/A</v>
      </c>
      <c r="DK15" s="53" t="e">
        <f t="shared" ca="1" si="105"/>
        <v>#N/A</v>
      </c>
      <c r="DL15" s="53" t="e">
        <f t="shared" ca="1" si="105"/>
        <v>#N/A</v>
      </c>
      <c r="DM15" s="53" t="e">
        <f t="shared" ca="1" si="105"/>
        <v>#N/A</v>
      </c>
      <c r="DN15" s="53" t="e">
        <f t="shared" ca="1" si="105"/>
        <v>#N/A</v>
      </c>
      <c r="DO15" s="53" t="e">
        <f t="shared" ca="1" si="105"/>
        <v>#N/A</v>
      </c>
      <c r="DP15" s="53" t="e">
        <f t="shared" ca="1" si="105"/>
        <v>#N/A</v>
      </c>
      <c r="DQ15" s="53" t="e">
        <f t="shared" ca="1" si="105"/>
        <v>#N/A</v>
      </c>
      <c r="DR15" s="53" t="e">
        <f t="shared" ca="1" si="105"/>
        <v>#N/A</v>
      </c>
      <c r="DS15" s="53" t="e">
        <f t="shared" ca="1" si="105"/>
        <v>#N/A</v>
      </c>
      <c r="DT15" s="53" t="e">
        <f t="shared" ca="1" si="105"/>
        <v>#N/A</v>
      </c>
      <c r="DU15" s="53" t="e">
        <f t="shared" ca="1" si="105"/>
        <v>#N/A</v>
      </c>
      <c r="DV15" s="53" t="e">
        <f t="shared" ca="1" si="105"/>
        <v>#N/A</v>
      </c>
      <c r="DW15" s="53" t="e">
        <f t="shared" ca="1" si="105"/>
        <v>#N/A</v>
      </c>
      <c r="DX15" s="53" t="e">
        <f t="shared" ca="1" si="105"/>
        <v>#N/A</v>
      </c>
      <c r="DY15" s="53" t="e">
        <f t="shared" ca="1" si="105"/>
        <v>#N/A</v>
      </c>
      <c r="DZ15" s="53" t="e">
        <f t="shared" ca="1" si="105"/>
        <v>#N/A</v>
      </c>
      <c r="EA15" s="53" t="e">
        <f t="shared" ca="1" si="105"/>
        <v>#N/A</v>
      </c>
      <c r="EB15" s="53" t="e">
        <f t="shared" ca="1" si="105"/>
        <v>#N/A</v>
      </c>
      <c r="EC15" s="53" t="e">
        <f t="shared" ca="1" si="105"/>
        <v>#N/A</v>
      </c>
      <c r="ED15" s="53" t="e">
        <f t="shared" ca="1" si="105"/>
        <v>#N/A</v>
      </c>
      <c r="EE15" s="53" t="e">
        <f t="shared" ca="1" si="105"/>
        <v>#N/A</v>
      </c>
      <c r="EF15" s="53" t="e">
        <f t="shared" ref="EF15:GQ15" ca="1" si="106">IF(ISNA(EE6),NA(),IF(EF4-$C$9&lt;$C$10,(EF6/OFFSET(EF6,0,-EF4+$C$9))^(1/(EF4-$C$9)),(EF6/OFFSET(EF6,0,-$C$10))^(1/$C$10))-1)</f>
        <v>#N/A</v>
      </c>
      <c r="EG15" s="53" t="e">
        <f t="shared" ca="1" si="106"/>
        <v>#N/A</v>
      </c>
      <c r="EH15" s="53" t="e">
        <f t="shared" ca="1" si="106"/>
        <v>#N/A</v>
      </c>
      <c r="EI15" s="53" t="e">
        <f t="shared" ca="1" si="106"/>
        <v>#N/A</v>
      </c>
      <c r="EJ15" s="53" t="e">
        <f t="shared" ca="1" si="106"/>
        <v>#N/A</v>
      </c>
      <c r="EK15" s="53" t="e">
        <f t="shared" ca="1" si="106"/>
        <v>#N/A</v>
      </c>
      <c r="EL15" s="53" t="e">
        <f t="shared" ca="1" si="106"/>
        <v>#N/A</v>
      </c>
      <c r="EM15" s="53" t="e">
        <f t="shared" ca="1" si="106"/>
        <v>#N/A</v>
      </c>
      <c r="EN15" s="53" t="e">
        <f t="shared" ca="1" si="106"/>
        <v>#N/A</v>
      </c>
      <c r="EO15" s="53" t="e">
        <f t="shared" ca="1" si="106"/>
        <v>#N/A</v>
      </c>
      <c r="EP15" s="53" t="e">
        <f t="shared" ca="1" si="106"/>
        <v>#N/A</v>
      </c>
      <c r="EQ15" s="53" t="e">
        <f t="shared" ca="1" si="106"/>
        <v>#N/A</v>
      </c>
      <c r="ER15" s="53" t="e">
        <f t="shared" ca="1" si="106"/>
        <v>#N/A</v>
      </c>
      <c r="ES15" s="53" t="e">
        <f t="shared" ca="1" si="106"/>
        <v>#N/A</v>
      </c>
      <c r="ET15" s="53" t="e">
        <f t="shared" ca="1" si="106"/>
        <v>#N/A</v>
      </c>
      <c r="EU15" s="53" t="e">
        <f t="shared" ca="1" si="106"/>
        <v>#N/A</v>
      </c>
      <c r="EV15" s="53" t="e">
        <f t="shared" ca="1" si="106"/>
        <v>#N/A</v>
      </c>
      <c r="EW15" s="53" t="e">
        <f t="shared" ca="1" si="106"/>
        <v>#N/A</v>
      </c>
      <c r="EX15" s="53" t="e">
        <f t="shared" ca="1" si="106"/>
        <v>#N/A</v>
      </c>
      <c r="EY15" s="53" t="e">
        <f t="shared" ca="1" si="106"/>
        <v>#N/A</v>
      </c>
      <c r="EZ15" s="53" t="e">
        <f t="shared" ca="1" si="106"/>
        <v>#N/A</v>
      </c>
      <c r="FA15" s="53" t="e">
        <f t="shared" ca="1" si="106"/>
        <v>#N/A</v>
      </c>
      <c r="FB15" s="53" t="e">
        <f t="shared" ca="1" si="106"/>
        <v>#N/A</v>
      </c>
      <c r="FC15" s="53" t="e">
        <f t="shared" ca="1" si="106"/>
        <v>#N/A</v>
      </c>
      <c r="FD15" s="53" t="e">
        <f t="shared" ca="1" si="106"/>
        <v>#N/A</v>
      </c>
      <c r="FE15" s="53" t="e">
        <f t="shared" ca="1" si="106"/>
        <v>#N/A</v>
      </c>
      <c r="FF15" s="53" t="e">
        <f t="shared" ca="1" si="106"/>
        <v>#N/A</v>
      </c>
      <c r="FG15" s="53" t="e">
        <f t="shared" ca="1" si="106"/>
        <v>#N/A</v>
      </c>
      <c r="FH15" s="53" t="e">
        <f t="shared" ca="1" si="106"/>
        <v>#N/A</v>
      </c>
      <c r="FI15" s="53" t="e">
        <f t="shared" ca="1" si="106"/>
        <v>#N/A</v>
      </c>
      <c r="FJ15" s="53" t="e">
        <f t="shared" ca="1" si="106"/>
        <v>#N/A</v>
      </c>
      <c r="FK15" s="53" t="e">
        <f t="shared" ca="1" si="106"/>
        <v>#N/A</v>
      </c>
      <c r="FL15" s="53" t="e">
        <f t="shared" ca="1" si="106"/>
        <v>#N/A</v>
      </c>
      <c r="FM15" s="53" t="e">
        <f t="shared" ca="1" si="106"/>
        <v>#N/A</v>
      </c>
      <c r="FN15" s="53" t="e">
        <f t="shared" ca="1" si="106"/>
        <v>#N/A</v>
      </c>
      <c r="FO15" s="53" t="e">
        <f t="shared" ca="1" si="106"/>
        <v>#N/A</v>
      </c>
      <c r="FP15" s="53" t="e">
        <f t="shared" ca="1" si="106"/>
        <v>#N/A</v>
      </c>
      <c r="FQ15" s="53" t="e">
        <f t="shared" ca="1" si="106"/>
        <v>#N/A</v>
      </c>
      <c r="FR15" s="53" t="e">
        <f t="shared" ca="1" si="106"/>
        <v>#N/A</v>
      </c>
      <c r="FS15" s="53" t="e">
        <f t="shared" ca="1" si="106"/>
        <v>#N/A</v>
      </c>
      <c r="FT15" s="53" t="e">
        <f t="shared" ca="1" si="106"/>
        <v>#N/A</v>
      </c>
      <c r="FU15" s="53" t="e">
        <f t="shared" ca="1" si="106"/>
        <v>#N/A</v>
      </c>
      <c r="FV15" s="53" t="e">
        <f t="shared" ca="1" si="106"/>
        <v>#N/A</v>
      </c>
      <c r="FW15" s="53" t="e">
        <f t="shared" ca="1" si="106"/>
        <v>#N/A</v>
      </c>
      <c r="FX15" s="53" t="e">
        <f t="shared" ca="1" si="106"/>
        <v>#N/A</v>
      </c>
      <c r="FY15" s="53" t="e">
        <f t="shared" ca="1" si="106"/>
        <v>#N/A</v>
      </c>
      <c r="FZ15" s="53" t="e">
        <f t="shared" ca="1" si="106"/>
        <v>#N/A</v>
      </c>
      <c r="GA15" s="53" t="e">
        <f t="shared" ca="1" si="106"/>
        <v>#N/A</v>
      </c>
      <c r="GB15" s="53" t="e">
        <f t="shared" ca="1" si="106"/>
        <v>#N/A</v>
      </c>
      <c r="GC15" s="53" t="e">
        <f t="shared" ca="1" si="106"/>
        <v>#N/A</v>
      </c>
      <c r="GD15" s="53" t="e">
        <f t="shared" ca="1" si="106"/>
        <v>#N/A</v>
      </c>
      <c r="GE15" s="53" t="e">
        <f t="shared" ca="1" si="106"/>
        <v>#N/A</v>
      </c>
      <c r="GF15" s="53" t="e">
        <f t="shared" ca="1" si="106"/>
        <v>#N/A</v>
      </c>
      <c r="GG15" s="53" t="e">
        <f t="shared" ca="1" si="106"/>
        <v>#N/A</v>
      </c>
      <c r="GH15" s="53" t="e">
        <f t="shared" ca="1" si="106"/>
        <v>#N/A</v>
      </c>
      <c r="GI15" s="53" t="e">
        <f t="shared" ca="1" si="106"/>
        <v>#N/A</v>
      </c>
      <c r="GJ15" s="53" t="e">
        <f t="shared" ca="1" si="106"/>
        <v>#N/A</v>
      </c>
      <c r="GK15" s="53" t="e">
        <f t="shared" ca="1" si="106"/>
        <v>#N/A</v>
      </c>
      <c r="GL15" s="53" t="e">
        <f t="shared" ca="1" si="106"/>
        <v>#N/A</v>
      </c>
      <c r="GM15" s="53" t="e">
        <f t="shared" ca="1" si="106"/>
        <v>#N/A</v>
      </c>
      <c r="GN15" s="53" t="e">
        <f t="shared" ca="1" si="106"/>
        <v>#N/A</v>
      </c>
      <c r="GO15" s="53" t="e">
        <f t="shared" ca="1" si="106"/>
        <v>#N/A</v>
      </c>
      <c r="GP15" s="53" t="e">
        <f t="shared" ca="1" si="106"/>
        <v>#N/A</v>
      </c>
      <c r="GQ15" s="53" t="e">
        <f t="shared" ca="1" si="106"/>
        <v>#N/A</v>
      </c>
      <c r="GR15" s="53" t="e">
        <f t="shared" ref="GR15:IN15" ca="1" si="107">IF(ISNA(GQ6),NA(),IF(GR4-$C$9&lt;$C$10,(GR6/OFFSET(GR6,0,-GR4+$C$9))^(1/(GR4-$C$9)),(GR6/OFFSET(GR6,0,-$C$10))^(1/$C$10))-1)</f>
        <v>#N/A</v>
      </c>
      <c r="GS15" s="53" t="e">
        <f t="shared" ca="1" si="107"/>
        <v>#N/A</v>
      </c>
      <c r="GT15" s="53" t="e">
        <f t="shared" ca="1" si="107"/>
        <v>#N/A</v>
      </c>
      <c r="GU15" s="53" t="e">
        <f t="shared" ca="1" si="107"/>
        <v>#N/A</v>
      </c>
      <c r="GV15" s="53" t="e">
        <f t="shared" ca="1" si="107"/>
        <v>#N/A</v>
      </c>
      <c r="GW15" s="53" t="e">
        <f t="shared" ca="1" si="107"/>
        <v>#N/A</v>
      </c>
      <c r="GX15" s="53" t="e">
        <f t="shared" ca="1" si="107"/>
        <v>#N/A</v>
      </c>
      <c r="GY15" s="53" t="e">
        <f t="shared" ca="1" si="107"/>
        <v>#N/A</v>
      </c>
      <c r="GZ15" s="53" t="e">
        <f t="shared" ca="1" si="107"/>
        <v>#N/A</v>
      </c>
      <c r="HA15" s="53" t="e">
        <f t="shared" ca="1" si="107"/>
        <v>#N/A</v>
      </c>
      <c r="HB15" s="53" t="e">
        <f t="shared" ca="1" si="107"/>
        <v>#N/A</v>
      </c>
      <c r="HC15" s="53" t="e">
        <f t="shared" ca="1" si="107"/>
        <v>#N/A</v>
      </c>
      <c r="HD15" s="53" t="e">
        <f t="shared" ca="1" si="107"/>
        <v>#N/A</v>
      </c>
      <c r="HE15" s="53" t="e">
        <f t="shared" ca="1" si="107"/>
        <v>#N/A</v>
      </c>
      <c r="HF15" s="53" t="e">
        <f t="shared" ca="1" si="107"/>
        <v>#N/A</v>
      </c>
      <c r="HG15" s="53" t="e">
        <f t="shared" ca="1" si="107"/>
        <v>#N/A</v>
      </c>
      <c r="HH15" s="53" t="e">
        <f t="shared" ca="1" si="107"/>
        <v>#N/A</v>
      </c>
      <c r="HI15" s="53" t="e">
        <f t="shared" ca="1" si="107"/>
        <v>#N/A</v>
      </c>
      <c r="HJ15" s="53" t="e">
        <f t="shared" ca="1" si="107"/>
        <v>#N/A</v>
      </c>
      <c r="HK15" s="53" t="e">
        <f t="shared" ca="1" si="107"/>
        <v>#N/A</v>
      </c>
      <c r="HL15" s="53" t="e">
        <f t="shared" ca="1" si="107"/>
        <v>#N/A</v>
      </c>
      <c r="HM15" s="53" t="e">
        <f t="shared" ca="1" si="107"/>
        <v>#N/A</v>
      </c>
      <c r="HN15" s="53" t="e">
        <f t="shared" ca="1" si="107"/>
        <v>#N/A</v>
      </c>
      <c r="HO15" s="53" t="e">
        <f t="shared" ca="1" si="107"/>
        <v>#N/A</v>
      </c>
      <c r="HP15" s="53" t="e">
        <f t="shared" ca="1" si="107"/>
        <v>#N/A</v>
      </c>
      <c r="HQ15" s="53" t="e">
        <f t="shared" ca="1" si="107"/>
        <v>#N/A</v>
      </c>
      <c r="HR15" s="53" t="e">
        <f t="shared" ca="1" si="107"/>
        <v>#N/A</v>
      </c>
      <c r="HS15" s="53" t="e">
        <f t="shared" ca="1" si="107"/>
        <v>#N/A</v>
      </c>
      <c r="HT15" s="53" t="e">
        <f t="shared" ca="1" si="107"/>
        <v>#N/A</v>
      </c>
      <c r="HU15" s="53" t="e">
        <f t="shared" ca="1" si="107"/>
        <v>#N/A</v>
      </c>
      <c r="HV15" s="53" t="e">
        <f t="shared" ca="1" si="107"/>
        <v>#N/A</v>
      </c>
      <c r="HW15" s="53" t="e">
        <f t="shared" ca="1" si="107"/>
        <v>#N/A</v>
      </c>
      <c r="HX15" s="53" t="e">
        <f t="shared" ca="1" si="107"/>
        <v>#N/A</v>
      </c>
      <c r="HY15" s="53" t="e">
        <f t="shared" ca="1" si="107"/>
        <v>#N/A</v>
      </c>
      <c r="HZ15" s="53" t="e">
        <f t="shared" ca="1" si="107"/>
        <v>#N/A</v>
      </c>
      <c r="IA15" s="53" t="e">
        <f t="shared" ca="1" si="107"/>
        <v>#N/A</v>
      </c>
      <c r="IB15" s="53" t="e">
        <f t="shared" ca="1" si="107"/>
        <v>#N/A</v>
      </c>
      <c r="IC15" s="53" t="e">
        <f t="shared" ca="1" si="107"/>
        <v>#N/A</v>
      </c>
      <c r="ID15" s="53" t="e">
        <f t="shared" ca="1" si="107"/>
        <v>#N/A</v>
      </c>
      <c r="IE15" s="53" t="e">
        <f t="shared" ca="1" si="107"/>
        <v>#N/A</v>
      </c>
      <c r="IF15" s="53" t="e">
        <f t="shared" ca="1" si="107"/>
        <v>#N/A</v>
      </c>
      <c r="IG15" s="53" t="e">
        <f t="shared" ca="1" si="107"/>
        <v>#N/A</v>
      </c>
      <c r="IH15" s="53" t="e">
        <f t="shared" ca="1" si="107"/>
        <v>#N/A</v>
      </c>
      <c r="II15" s="53" t="e">
        <f t="shared" ca="1" si="107"/>
        <v>#N/A</v>
      </c>
      <c r="IJ15" s="53" t="e">
        <f t="shared" ca="1" si="107"/>
        <v>#N/A</v>
      </c>
      <c r="IK15" s="53" t="e">
        <f t="shared" ca="1" si="107"/>
        <v>#N/A</v>
      </c>
      <c r="IL15" s="53" t="e">
        <f t="shared" ca="1" si="107"/>
        <v>#N/A</v>
      </c>
      <c r="IM15" s="53" t="e">
        <f t="shared" ca="1" si="107"/>
        <v>#N/A</v>
      </c>
      <c r="IN15" s="53" t="e">
        <f t="shared" ca="1" si="107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96983.776743000009</v>
      </c>
      <c r="E16" s="93" t="s">
        <v>584</v>
      </c>
      <c r="F16" s="19" t="s">
        <v>568</v>
      </c>
      <c r="G16" s="94">
        <f ca="1">IFERROR(AVERAGE(E14:G14),NA())</f>
        <v>8.4745762711864403E-2</v>
      </c>
      <c r="H16" s="94">
        <f t="shared" ref="H16:O16" ca="1" si="108">IFERROR(AVERAGE(F14:H14),NA())</f>
        <v>8.4745762711864403E-2</v>
      </c>
      <c r="I16" s="94">
        <f t="shared" ca="1" si="108"/>
        <v>0.10765607183722896</v>
      </c>
      <c r="J16" s="94">
        <f t="shared" ca="1" si="108"/>
        <v>0.15612664976693816</v>
      </c>
      <c r="K16" s="94">
        <f t="shared" ca="1" si="108"/>
        <v>0.23705844661158473</v>
      </c>
      <c r="L16" s="94">
        <f t="shared" ca="1" si="108"/>
        <v>0.29468928018115315</v>
      </c>
      <c r="M16" s="94">
        <f ca="1">IFERROR(AVERAGE(K14:M14),NA())</f>
        <v>0.33119388474266714</v>
      </c>
      <c r="N16" s="94">
        <f t="shared" ca="1" si="108"/>
        <v>0.36395035652968294</v>
      </c>
      <c r="O16" s="94">
        <f t="shared" ca="1" si="108"/>
        <v>0.39312764654229343</v>
      </c>
      <c r="P16" s="94">
        <f ca="1">IFERROR(AVERAGE(N14:P14),NA())</f>
        <v>0.39533101761700279</v>
      </c>
      <c r="Q16" s="94">
        <f t="shared" ref="Q16:AC16" ca="1" si="109">IFERROR(AVERAGE(O14:Q14),NA())</f>
        <v>0.36835465632669001</v>
      </c>
      <c r="R16" s="94">
        <f t="shared" ca="1" si="109"/>
        <v>0.35398164637619561</v>
      </c>
      <c r="S16" s="94">
        <f t="shared" ca="1" si="109"/>
        <v>0.33423057592866706</v>
      </c>
      <c r="T16" s="94">
        <f t="shared" ca="1" si="109"/>
        <v>0.31280525632624184</v>
      </c>
      <c r="U16" s="94">
        <f t="shared" ca="1" si="109"/>
        <v>0.2892652784166434</v>
      </c>
      <c r="V16" s="94">
        <f t="shared" ca="1" si="109"/>
        <v>0.28480703631723597</v>
      </c>
      <c r="W16" s="94">
        <f t="shared" ca="1" si="109"/>
        <v>0.3143665522843197</v>
      </c>
      <c r="X16" s="94">
        <f t="shared" ca="1" si="109"/>
        <v>0.35110166449018254</v>
      </c>
      <c r="Y16" s="94">
        <f t="shared" ca="1" si="109"/>
        <v>0.39677150521011123</v>
      </c>
      <c r="Z16" s="94">
        <f t="shared" ca="1" si="109"/>
        <v>0.40383251376621004</v>
      </c>
      <c r="AA16" s="94">
        <f t="shared" ca="1" si="109"/>
        <v>0.40715498544201467</v>
      </c>
      <c r="AB16" s="94">
        <f t="shared" ca="1" si="109"/>
        <v>0.3749102496985246</v>
      </c>
      <c r="AC16" s="94">
        <f t="shared" ca="1" si="109"/>
        <v>0.33669029393096711</v>
      </c>
      <c r="AD16" s="94">
        <f ca="1">IFERROR(AVERAGE(AB14:AD14),NA())</f>
        <v>0.28607211044399761</v>
      </c>
      <c r="AE16" s="94">
        <f ca="1">IFERROR(AVERAGE(AC14:AE14),NA())</f>
        <v>0.26379662137589666</v>
      </c>
      <c r="AF16" s="94">
        <f t="shared" ref="AF16:CP16" ca="1" si="110">IFERROR(AVERAGE(AD14:AF14),NA())</f>
        <v>0.24503438252293117</v>
      </c>
      <c r="AG16" s="94">
        <f t="shared" ca="1" si="110"/>
        <v>0.22473265496050501</v>
      </c>
      <c r="AH16" s="94">
        <f t="shared" ca="1" si="110"/>
        <v>0.2015605003979597</v>
      </c>
      <c r="AI16" s="94">
        <f t="shared" ca="1" si="110"/>
        <v>0.17950665849662154</v>
      </c>
      <c r="AJ16" s="94">
        <f t="shared" ca="1" si="110"/>
        <v>0.15500175350256185</v>
      </c>
      <c r="AK16" s="94">
        <f t="shared" ca="1" si="110"/>
        <v>0.13607757863580838</v>
      </c>
      <c r="AL16" s="94" t="e">
        <f t="shared" ca="1" si="110"/>
        <v>#N/A</v>
      </c>
      <c r="AM16" s="94" t="e">
        <f t="shared" ca="1" si="110"/>
        <v>#N/A</v>
      </c>
      <c r="AN16" s="94" t="e">
        <f t="shared" ca="1" si="110"/>
        <v>#N/A</v>
      </c>
      <c r="AO16" s="94" t="e">
        <f t="shared" ca="1" si="110"/>
        <v>#N/A</v>
      </c>
      <c r="AP16" s="94" t="e">
        <f t="shared" ca="1" si="110"/>
        <v>#N/A</v>
      </c>
      <c r="AQ16" s="94" t="e">
        <f t="shared" ca="1" si="110"/>
        <v>#N/A</v>
      </c>
      <c r="AR16" s="94" t="e">
        <f t="shared" ca="1" si="110"/>
        <v>#N/A</v>
      </c>
      <c r="AS16" s="94" t="e">
        <f t="shared" ca="1" si="110"/>
        <v>#N/A</v>
      </c>
      <c r="AT16" s="94" t="e">
        <f t="shared" ca="1" si="110"/>
        <v>#N/A</v>
      </c>
      <c r="AU16" s="94" t="e">
        <f t="shared" ca="1" si="110"/>
        <v>#N/A</v>
      </c>
      <c r="AV16" s="94" t="e">
        <f t="shared" ca="1" si="110"/>
        <v>#N/A</v>
      </c>
      <c r="AW16" s="94" t="e">
        <f t="shared" ca="1" si="110"/>
        <v>#N/A</v>
      </c>
      <c r="AX16" s="94" t="e">
        <f t="shared" ca="1" si="110"/>
        <v>#N/A</v>
      </c>
      <c r="AY16" s="94" t="e">
        <f t="shared" ca="1" si="110"/>
        <v>#N/A</v>
      </c>
      <c r="AZ16" s="94" t="e">
        <f t="shared" ca="1" si="110"/>
        <v>#N/A</v>
      </c>
      <c r="BA16" s="94" t="e">
        <f t="shared" ca="1" si="110"/>
        <v>#N/A</v>
      </c>
      <c r="BB16" s="94" t="e">
        <f t="shared" ca="1" si="110"/>
        <v>#N/A</v>
      </c>
      <c r="BC16" s="94" t="e">
        <f t="shared" ca="1" si="110"/>
        <v>#N/A</v>
      </c>
      <c r="BD16" s="94" t="e">
        <f t="shared" ca="1" si="110"/>
        <v>#N/A</v>
      </c>
      <c r="BE16" s="94" t="e">
        <f t="shared" ca="1" si="110"/>
        <v>#N/A</v>
      </c>
      <c r="BF16" s="94" t="e">
        <f t="shared" ca="1" si="110"/>
        <v>#N/A</v>
      </c>
      <c r="BG16" s="94" t="e">
        <f t="shared" ca="1" si="110"/>
        <v>#N/A</v>
      </c>
      <c r="BH16" s="94" t="e">
        <f t="shared" ca="1" si="110"/>
        <v>#N/A</v>
      </c>
      <c r="BI16" s="94" t="e">
        <f t="shared" ca="1" si="110"/>
        <v>#N/A</v>
      </c>
      <c r="BJ16" s="94" t="e">
        <f t="shared" ca="1" si="110"/>
        <v>#N/A</v>
      </c>
      <c r="BK16" s="94" t="e">
        <f t="shared" ca="1" si="110"/>
        <v>#N/A</v>
      </c>
      <c r="BL16" s="94" t="e">
        <f t="shared" ca="1" si="110"/>
        <v>#N/A</v>
      </c>
      <c r="BM16" s="94" t="e">
        <f t="shared" ca="1" si="110"/>
        <v>#N/A</v>
      </c>
      <c r="BN16" s="94" t="e">
        <f t="shared" ca="1" si="110"/>
        <v>#N/A</v>
      </c>
      <c r="BO16" s="94" t="e">
        <f t="shared" ca="1" si="110"/>
        <v>#N/A</v>
      </c>
      <c r="BP16" s="94" t="e">
        <f t="shared" ca="1" si="110"/>
        <v>#N/A</v>
      </c>
      <c r="BQ16" s="94" t="e">
        <f t="shared" ca="1" si="110"/>
        <v>#N/A</v>
      </c>
      <c r="BR16" s="94" t="e">
        <f t="shared" ca="1" si="110"/>
        <v>#N/A</v>
      </c>
      <c r="BS16" s="94" t="e">
        <f t="shared" ca="1" si="110"/>
        <v>#N/A</v>
      </c>
      <c r="BT16" s="94" t="e">
        <f t="shared" ca="1" si="110"/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ref="CQ16:FB16" ca="1" si="111">IFERROR(AVERAGE(CO14:CQ14),NA())</f>
        <v>#N/A</v>
      </c>
      <c r="CR16" s="94" t="e">
        <f t="shared" ca="1" si="111"/>
        <v>#N/A</v>
      </c>
      <c r="CS16" s="94" t="e">
        <f t="shared" ca="1" si="111"/>
        <v>#N/A</v>
      </c>
      <c r="CT16" s="94" t="e">
        <f t="shared" ca="1" si="111"/>
        <v>#N/A</v>
      </c>
      <c r="CU16" s="94" t="e">
        <f t="shared" ca="1" si="111"/>
        <v>#N/A</v>
      </c>
      <c r="CV16" s="94" t="e">
        <f t="shared" ca="1" si="111"/>
        <v>#N/A</v>
      </c>
      <c r="CW16" s="94" t="e">
        <f t="shared" ca="1" si="111"/>
        <v>#N/A</v>
      </c>
      <c r="CX16" s="94" t="e">
        <f t="shared" ca="1" si="111"/>
        <v>#N/A</v>
      </c>
      <c r="CY16" s="94" t="e">
        <f t="shared" ca="1" si="111"/>
        <v>#N/A</v>
      </c>
      <c r="CZ16" s="94" t="e">
        <f t="shared" ca="1" si="111"/>
        <v>#N/A</v>
      </c>
      <c r="DA16" s="94" t="e">
        <f t="shared" ca="1" si="111"/>
        <v>#N/A</v>
      </c>
      <c r="DB16" s="94" t="e">
        <f t="shared" ca="1" si="111"/>
        <v>#N/A</v>
      </c>
      <c r="DC16" s="94" t="e">
        <f t="shared" ca="1" si="111"/>
        <v>#N/A</v>
      </c>
      <c r="DD16" s="94" t="e">
        <f t="shared" ca="1" si="111"/>
        <v>#N/A</v>
      </c>
      <c r="DE16" s="94" t="e">
        <f t="shared" ca="1" si="111"/>
        <v>#N/A</v>
      </c>
      <c r="DF16" s="94" t="e">
        <f t="shared" ca="1" si="111"/>
        <v>#N/A</v>
      </c>
      <c r="DG16" s="94" t="e">
        <f t="shared" ca="1" si="111"/>
        <v>#N/A</v>
      </c>
      <c r="DH16" s="94" t="e">
        <f t="shared" ca="1" si="111"/>
        <v>#N/A</v>
      </c>
      <c r="DI16" s="94" t="e">
        <f t="shared" ca="1" si="111"/>
        <v>#N/A</v>
      </c>
      <c r="DJ16" s="94" t="e">
        <f t="shared" ca="1" si="111"/>
        <v>#N/A</v>
      </c>
      <c r="DK16" s="94" t="e">
        <f t="shared" ca="1" si="111"/>
        <v>#N/A</v>
      </c>
      <c r="DL16" s="94" t="e">
        <f t="shared" ca="1" si="111"/>
        <v>#N/A</v>
      </c>
      <c r="DM16" s="94" t="e">
        <f t="shared" ca="1" si="111"/>
        <v>#N/A</v>
      </c>
      <c r="DN16" s="94" t="e">
        <f t="shared" ca="1" si="111"/>
        <v>#N/A</v>
      </c>
      <c r="DO16" s="94" t="e">
        <f t="shared" ca="1" si="111"/>
        <v>#N/A</v>
      </c>
      <c r="DP16" s="94" t="e">
        <f t="shared" ca="1" si="111"/>
        <v>#N/A</v>
      </c>
      <c r="DQ16" s="94" t="e">
        <f t="shared" ca="1" si="111"/>
        <v>#N/A</v>
      </c>
      <c r="DR16" s="94" t="e">
        <f t="shared" ca="1" si="111"/>
        <v>#N/A</v>
      </c>
      <c r="DS16" s="94" t="e">
        <f t="shared" ca="1" si="111"/>
        <v>#N/A</v>
      </c>
      <c r="DT16" s="94" t="e">
        <f t="shared" ca="1" si="111"/>
        <v>#N/A</v>
      </c>
      <c r="DU16" s="94" t="e">
        <f t="shared" ca="1" si="111"/>
        <v>#N/A</v>
      </c>
      <c r="DV16" s="94" t="e">
        <f t="shared" ca="1" si="111"/>
        <v>#N/A</v>
      </c>
      <c r="DW16" s="94" t="e">
        <f t="shared" ca="1" si="111"/>
        <v>#N/A</v>
      </c>
      <c r="DX16" s="94" t="e">
        <f t="shared" ca="1" si="111"/>
        <v>#N/A</v>
      </c>
      <c r="DY16" s="94" t="e">
        <f t="shared" ca="1" si="111"/>
        <v>#N/A</v>
      </c>
      <c r="DZ16" s="94" t="e">
        <f t="shared" ca="1" si="111"/>
        <v>#N/A</v>
      </c>
      <c r="EA16" s="94" t="e">
        <f t="shared" ca="1" si="111"/>
        <v>#N/A</v>
      </c>
      <c r="EB16" s="94" t="e">
        <f t="shared" ca="1" si="111"/>
        <v>#N/A</v>
      </c>
      <c r="EC16" s="94" t="e">
        <f t="shared" ca="1" si="111"/>
        <v>#N/A</v>
      </c>
      <c r="ED16" s="94" t="e">
        <f t="shared" ca="1" si="111"/>
        <v>#N/A</v>
      </c>
      <c r="EE16" s="94" t="e">
        <f t="shared" ca="1" si="111"/>
        <v>#N/A</v>
      </c>
      <c r="EF16" s="94" t="e">
        <f t="shared" ca="1" si="111"/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ref="FC16:HN16" ca="1" si="112">IFERROR(AVERAGE(FA14:FC14),NA())</f>
        <v>#N/A</v>
      </c>
      <c r="FD16" s="94" t="e">
        <f t="shared" ca="1" si="112"/>
        <v>#N/A</v>
      </c>
      <c r="FE16" s="94" t="e">
        <f t="shared" ca="1" si="112"/>
        <v>#N/A</v>
      </c>
      <c r="FF16" s="94" t="e">
        <f t="shared" ca="1" si="112"/>
        <v>#N/A</v>
      </c>
      <c r="FG16" s="94" t="e">
        <f t="shared" ca="1" si="112"/>
        <v>#N/A</v>
      </c>
      <c r="FH16" s="94" t="e">
        <f t="shared" ca="1" si="112"/>
        <v>#N/A</v>
      </c>
      <c r="FI16" s="94" t="e">
        <f t="shared" ca="1" si="112"/>
        <v>#N/A</v>
      </c>
      <c r="FJ16" s="94" t="e">
        <f t="shared" ca="1" si="112"/>
        <v>#N/A</v>
      </c>
      <c r="FK16" s="94" t="e">
        <f t="shared" ca="1" si="112"/>
        <v>#N/A</v>
      </c>
      <c r="FL16" s="94" t="e">
        <f t="shared" ca="1" si="112"/>
        <v>#N/A</v>
      </c>
      <c r="FM16" s="94" t="e">
        <f t="shared" ca="1" si="112"/>
        <v>#N/A</v>
      </c>
      <c r="FN16" s="94" t="e">
        <f t="shared" ca="1" si="112"/>
        <v>#N/A</v>
      </c>
      <c r="FO16" s="94" t="e">
        <f t="shared" ca="1" si="112"/>
        <v>#N/A</v>
      </c>
      <c r="FP16" s="94" t="e">
        <f t="shared" ca="1" si="112"/>
        <v>#N/A</v>
      </c>
      <c r="FQ16" s="94" t="e">
        <f t="shared" ca="1" si="112"/>
        <v>#N/A</v>
      </c>
      <c r="FR16" s="94" t="e">
        <f t="shared" ca="1" si="112"/>
        <v>#N/A</v>
      </c>
      <c r="FS16" s="94" t="e">
        <f t="shared" ca="1" si="112"/>
        <v>#N/A</v>
      </c>
      <c r="FT16" s="94" t="e">
        <f t="shared" ca="1" si="112"/>
        <v>#N/A</v>
      </c>
      <c r="FU16" s="94" t="e">
        <f t="shared" ca="1" si="112"/>
        <v>#N/A</v>
      </c>
      <c r="FV16" s="94" t="e">
        <f t="shared" ca="1" si="112"/>
        <v>#N/A</v>
      </c>
      <c r="FW16" s="94" t="e">
        <f t="shared" ca="1" si="112"/>
        <v>#N/A</v>
      </c>
      <c r="FX16" s="94" t="e">
        <f t="shared" ca="1" si="112"/>
        <v>#N/A</v>
      </c>
      <c r="FY16" s="94" t="e">
        <f t="shared" ca="1" si="112"/>
        <v>#N/A</v>
      </c>
      <c r="FZ16" s="94" t="e">
        <f t="shared" ca="1" si="112"/>
        <v>#N/A</v>
      </c>
      <c r="GA16" s="94" t="e">
        <f t="shared" ca="1" si="112"/>
        <v>#N/A</v>
      </c>
      <c r="GB16" s="94" t="e">
        <f t="shared" ca="1" si="112"/>
        <v>#N/A</v>
      </c>
      <c r="GC16" s="94" t="e">
        <f t="shared" ca="1" si="112"/>
        <v>#N/A</v>
      </c>
      <c r="GD16" s="94" t="e">
        <f t="shared" ca="1" si="112"/>
        <v>#N/A</v>
      </c>
      <c r="GE16" s="94" t="e">
        <f t="shared" ca="1" si="112"/>
        <v>#N/A</v>
      </c>
      <c r="GF16" s="94" t="e">
        <f t="shared" ca="1" si="112"/>
        <v>#N/A</v>
      </c>
      <c r="GG16" s="94" t="e">
        <f t="shared" ca="1" si="112"/>
        <v>#N/A</v>
      </c>
      <c r="GH16" s="94" t="e">
        <f t="shared" ca="1" si="112"/>
        <v>#N/A</v>
      </c>
      <c r="GI16" s="94" t="e">
        <f t="shared" ca="1" si="112"/>
        <v>#N/A</v>
      </c>
      <c r="GJ16" s="94" t="e">
        <f t="shared" ca="1" si="112"/>
        <v>#N/A</v>
      </c>
      <c r="GK16" s="94" t="e">
        <f t="shared" ca="1" si="112"/>
        <v>#N/A</v>
      </c>
      <c r="GL16" s="94" t="e">
        <f t="shared" ca="1" si="112"/>
        <v>#N/A</v>
      </c>
      <c r="GM16" s="94" t="e">
        <f t="shared" ca="1" si="112"/>
        <v>#N/A</v>
      </c>
      <c r="GN16" s="94" t="e">
        <f t="shared" ca="1" si="112"/>
        <v>#N/A</v>
      </c>
      <c r="GO16" s="94" t="e">
        <f t="shared" ca="1" si="112"/>
        <v>#N/A</v>
      </c>
      <c r="GP16" s="94" t="e">
        <f t="shared" ca="1" si="112"/>
        <v>#N/A</v>
      </c>
      <c r="GQ16" s="94" t="e">
        <f t="shared" ca="1" si="112"/>
        <v>#N/A</v>
      </c>
      <c r="GR16" s="94" t="e">
        <f t="shared" ca="1" si="112"/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ref="HO16:IN16" ca="1" si="113">IFERROR(AVERAGE(HM14:HO14),NA())</f>
        <v>#N/A</v>
      </c>
      <c r="HP16" s="94" t="e">
        <f t="shared" ca="1" si="113"/>
        <v>#N/A</v>
      </c>
      <c r="HQ16" s="94" t="e">
        <f t="shared" ca="1" si="113"/>
        <v>#N/A</v>
      </c>
      <c r="HR16" s="94" t="e">
        <f t="shared" ca="1" si="113"/>
        <v>#N/A</v>
      </c>
      <c r="HS16" s="94" t="e">
        <f t="shared" ca="1" si="113"/>
        <v>#N/A</v>
      </c>
      <c r="HT16" s="94" t="e">
        <f t="shared" ca="1" si="113"/>
        <v>#N/A</v>
      </c>
      <c r="HU16" s="94" t="e">
        <f t="shared" ca="1" si="113"/>
        <v>#N/A</v>
      </c>
      <c r="HV16" s="94" t="e">
        <f t="shared" ca="1" si="113"/>
        <v>#N/A</v>
      </c>
      <c r="HW16" s="94" t="e">
        <f t="shared" ca="1" si="113"/>
        <v>#N/A</v>
      </c>
      <c r="HX16" s="94" t="e">
        <f t="shared" ca="1" si="113"/>
        <v>#N/A</v>
      </c>
      <c r="HY16" s="94" t="e">
        <f t="shared" ca="1" si="113"/>
        <v>#N/A</v>
      </c>
      <c r="HZ16" s="94" t="e">
        <f t="shared" ca="1" si="113"/>
        <v>#N/A</v>
      </c>
      <c r="IA16" s="94" t="e">
        <f t="shared" ca="1" si="113"/>
        <v>#N/A</v>
      </c>
      <c r="IB16" s="94" t="e">
        <f t="shared" ca="1" si="113"/>
        <v>#N/A</v>
      </c>
      <c r="IC16" s="94" t="e">
        <f t="shared" ca="1" si="113"/>
        <v>#N/A</v>
      </c>
      <c r="ID16" s="94" t="e">
        <f t="shared" ca="1" si="113"/>
        <v>#N/A</v>
      </c>
      <c r="IE16" s="94" t="e">
        <f t="shared" ca="1" si="113"/>
        <v>#N/A</v>
      </c>
      <c r="IF16" s="94" t="e">
        <f t="shared" ca="1" si="113"/>
        <v>#N/A</v>
      </c>
      <c r="IG16" s="94" t="e">
        <f t="shared" ca="1" si="113"/>
        <v>#N/A</v>
      </c>
      <c r="IH16" s="94" t="e">
        <f t="shared" ca="1" si="113"/>
        <v>#N/A</v>
      </c>
      <c r="II16" s="94" t="e">
        <f t="shared" ca="1" si="113"/>
        <v>#N/A</v>
      </c>
      <c r="IJ16" s="94" t="e">
        <f t="shared" ca="1" si="113"/>
        <v>#N/A</v>
      </c>
      <c r="IK16" s="94" t="e">
        <f t="shared" ca="1" si="113"/>
        <v>#N/A</v>
      </c>
      <c r="IL16" s="94" t="e">
        <f t="shared" ca="1" si="113"/>
        <v>#N/A</v>
      </c>
      <c r="IM16" s="94" t="e">
        <f t="shared" ca="1" si="113"/>
        <v>#N/A</v>
      </c>
      <c r="IN16" s="94" t="e">
        <f t="shared" ca="1" si="113"/>
        <v>#N/A</v>
      </c>
    </row>
    <row r="17" spans="2:248" x14ac:dyDescent="0.3">
      <c r="B17" s="19" t="s">
        <v>496</v>
      </c>
      <c r="C17" s="23">
        <v>2.5000000000000001E-2</v>
      </c>
      <c r="E17" s="93" t="s">
        <v>584</v>
      </c>
      <c r="F17" s="19" t="s">
        <v>567</v>
      </c>
      <c r="G17" s="94" t="e">
        <f t="shared" ref="G17:AC17" ca="1" si="114">IFERROR(AVERAGE(E15:G15),NA())</f>
        <v>#N/A</v>
      </c>
      <c r="H17" s="94" t="e">
        <f t="shared" ca="1" si="114"/>
        <v>#N/A</v>
      </c>
      <c r="I17" s="94" t="e">
        <f t="shared" ca="1" si="114"/>
        <v>#N/A</v>
      </c>
      <c r="J17" s="94" t="e">
        <f t="shared" ca="1" si="114"/>
        <v>#N/A</v>
      </c>
      <c r="K17" s="94">
        <f t="shared" ca="1" si="114"/>
        <v>0.12507446165460911</v>
      </c>
      <c r="L17" s="94">
        <f t="shared" ca="1" si="114"/>
        <v>0.15325701302526684</v>
      </c>
      <c r="M17" s="94">
        <f t="shared" ca="1" si="114"/>
        <v>0.16010574814576772</v>
      </c>
      <c r="N17" s="94">
        <f t="shared" ca="1" si="114"/>
        <v>0.16960651752011438</v>
      </c>
      <c r="O17" s="94">
        <f t="shared" ca="1" si="114"/>
        <v>0.18042456243718838</v>
      </c>
      <c r="P17" s="94">
        <f t="shared" ca="1" si="114"/>
        <v>0.19307471951665112</v>
      </c>
      <c r="Q17" s="94">
        <f t="shared" ca="1" si="114"/>
        <v>0.1897971860505451</v>
      </c>
      <c r="R17" s="94">
        <f t="shared" ca="1" si="114"/>
        <v>0.186068423623174</v>
      </c>
      <c r="S17" s="94">
        <f t="shared" ca="1" si="114"/>
        <v>0.18254515571959073</v>
      </c>
      <c r="T17" s="94">
        <f t="shared" ca="1" si="114"/>
        <v>0.18675845359456492</v>
      </c>
      <c r="U17" s="94">
        <f t="shared" ca="1" si="114"/>
        <v>0.19443539258681897</v>
      </c>
      <c r="V17" s="94">
        <f t="shared" ca="1" si="114"/>
        <v>0.20312402907844093</v>
      </c>
      <c r="W17" s="94">
        <f t="shared" ca="1" si="114"/>
        <v>0.24041787392395686</v>
      </c>
      <c r="X17" s="94">
        <f t="shared" ca="1" si="114"/>
        <v>0.27083994580889242</v>
      </c>
      <c r="Y17" s="94">
        <f t="shared" ca="1" si="114"/>
        <v>0.30107075140926182</v>
      </c>
      <c r="Z17" s="94">
        <f t="shared" ca="1" si="114"/>
        <v>0.30469121678872207</v>
      </c>
      <c r="AA17" s="94">
        <f t="shared" ca="1" si="114"/>
        <v>0.32233001716656068</v>
      </c>
      <c r="AB17" s="94">
        <f t="shared" ca="1" si="114"/>
        <v>0.32036091681841672</v>
      </c>
      <c r="AC17" s="94">
        <f t="shared" ca="1" si="114"/>
        <v>0.32035061468773551</v>
      </c>
      <c r="AD17" s="94">
        <f ca="1">IFERROR(AVERAGE(AB15:AD15),NA())</f>
        <v>0.30417101773099758</v>
      </c>
      <c r="AE17" s="94">
        <f t="shared" ref="AE17:CP17" ca="1" si="115">IFERROR(AVERAGE(AC15:AE15),NA())</f>
        <v>0.31034325343393881</v>
      </c>
      <c r="AF17" s="94">
        <f t="shared" ca="1" si="115"/>
        <v>0.3051697753408143</v>
      </c>
      <c r="AG17" s="94">
        <f t="shared" ca="1" si="115"/>
        <v>0.29480967933899477</v>
      </c>
      <c r="AH17" s="94">
        <f t="shared" ca="1" si="115"/>
        <v>0.27927817545206729</v>
      </c>
      <c r="AI17" s="94">
        <f t="shared" ca="1" si="115"/>
        <v>0.26845324985504943</v>
      </c>
      <c r="AJ17" s="94">
        <f t="shared" ca="1" si="115"/>
        <v>0.25583542813827931</v>
      </c>
      <c r="AK17" s="94">
        <f t="shared" ca="1" si="115"/>
        <v>0.2493636656996526</v>
      </c>
      <c r="AL17" s="94" t="e">
        <f t="shared" ca="1" si="115"/>
        <v>#N/A</v>
      </c>
      <c r="AM17" s="94" t="e">
        <f t="shared" ca="1" si="115"/>
        <v>#N/A</v>
      </c>
      <c r="AN17" s="94" t="e">
        <f t="shared" ca="1" si="115"/>
        <v>#N/A</v>
      </c>
      <c r="AO17" s="94" t="e">
        <f t="shared" ca="1" si="115"/>
        <v>#N/A</v>
      </c>
      <c r="AP17" s="94" t="e">
        <f t="shared" ca="1" si="115"/>
        <v>#N/A</v>
      </c>
      <c r="AQ17" s="94" t="e">
        <f t="shared" ca="1" si="115"/>
        <v>#N/A</v>
      </c>
      <c r="AR17" s="94" t="e">
        <f t="shared" ca="1" si="115"/>
        <v>#N/A</v>
      </c>
      <c r="AS17" s="94" t="e">
        <f t="shared" ca="1" si="115"/>
        <v>#N/A</v>
      </c>
      <c r="AT17" s="94" t="e">
        <f t="shared" ca="1" si="115"/>
        <v>#N/A</v>
      </c>
      <c r="AU17" s="94" t="e">
        <f t="shared" ca="1" si="115"/>
        <v>#N/A</v>
      </c>
      <c r="AV17" s="94" t="e">
        <f t="shared" ca="1" si="115"/>
        <v>#N/A</v>
      </c>
      <c r="AW17" s="94" t="e">
        <f t="shared" ca="1" si="115"/>
        <v>#N/A</v>
      </c>
      <c r="AX17" s="94" t="e">
        <f t="shared" ca="1" si="115"/>
        <v>#N/A</v>
      </c>
      <c r="AY17" s="94" t="e">
        <f t="shared" ca="1" si="115"/>
        <v>#N/A</v>
      </c>
      <c r="AZ17" s="94" t="e">
        <f t="shared" ca="1" si="115"/>
        <v>#N/A</v>
      </c>
      <c r="BA17" s="94" t="e">
        <f t="shared" ca="1" si="115"/>
        <v>#N/A</v>
      </c>
      <c r="BB17" s="94" t="e">
        <f t="shared" ca="1" si="115"/>
        <v>#N/A</v>
      </c>
      <c r="BC17" s="94" t="e">
        <f t="shared" ca="1" si="115"/>
        <v>#N/A</v>
      </c>
      <c r="BD17" s="94" t="e">
        <f t="shared" ca="1" si="115"/>
        <v>#N/A</v>
      </c>
      <c r="BE17" s="94" t="e">
        <f t="shared" ca="1" si="115"/>
        <v>#N/A</v>
      </c>
      <c r="BF17" s="94" t="e">
        <f t="shared" ca="1" si="115"/>
        <v>#N/A</v>
      </c>
      <c r="BG17" s="94" t="e">
        <f t="shared" ca="1" si="115"/>
        <v>#N/A</v>
      </c>
      <c r="BH17" s="94" t="e">
        <f t="shared" ca="1" si="115"/>
        <v>#N/A</v>
      </c>
      <c r="BI17" s="94" t="e">
        <f t="shared" ca="1" si="115"/>
        <v>#N/A</v>
      </c>
      <c r="BJ17" s="94" t="e">
        <f t="shared" ca="1" si="115"/>
        <v>#N/A</v>
      </c>
      <c r="BK17" s="94" t="e">
        <f t="shared" ca="1" si="115"/>
        <v>#N/A</v>
      </c>
      <c r="BL17" s="94" t="e">
        <f t="shared" ca="1" si="115"/>
        <v>#N/A</v>
      </c>
      <c r="BM17" s="94" t="e">
        <f t="shared" ca="1" si="115"/>
        <v>#N/A</v>
      </c>
      <c r="BN17" s="94" t="e">
        <f t="shared" ca="1" si="115"/>
        <v>#N/A</v>
      </c>
      <c r="BO17" s="94" t="e">
        <f t="shared" ca="1" si="115"/>
        <v>#N/A</v>
      </c>
      <c r="BP17" s="94" t="e">
        <f t="shared" ca="1" si="115"/>
        <v>#N/A</v>
      </c>
      <c r="BQ17" s="94" t="e">
        <f t="shared" ca="1" si="115"/>
        <v>#N/A</v>
      </c>
      <c r="BR17" s="94" t="e">
        <f t="shared" ca="1" si="115"/>
        <v>#N/A</v>
      </c>
      <c r="BS17" s="94" t="e">
        <f t="shared" ca="1" si="115"/>
        <v>#N/A</v>
      </c>
      <c r="BT17" s="94" t="e">
        <f t="shared" ca="1" si="115"/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ref="CQ17:FB17" ca="1" si="116">IFERROR(AVERAGE(CO15:CQ15),NA())</f>
        <v>#N/A</v>
      </c>
      <c r="CR17" s="94" t="e">
        <f t="shared" ca="1" si="116"/>
        <v>#N/A</v>
      </c>
      <c r="CS17" s="94" t="e">
        <f t="shared" ca="1" si="116"/>
        <v>#N/A</v>
      </c>
      <c r="CT17" s="94" t="e">
        <f t="shared" ca="1" si="116"/>
        <v>#N/A</v>
      </c>
      <c r="CU17" s="94" t="e">
        <f t="shared" ca="1" si="116"/>
        <v>#N/A</v>
      </c>
      <c r="CV17" s="94" t="e">
        <f t="shared" ca="1" si="116"/>
        <v>#N/A</v>
      </c>
      <c r="CW17" s="94" t="e">
        <f t="shared" ca="1" si="116"/>
        <v>#N/A</v>
      </c>
      <c r="CX17" s="94" t="e">
        <f t="shared" ca="1" si="116"/>
        <v>#N/A</v>
      </c>
      <c r="CY17" s="94" t="e">
        <f t="shared" ca="1" si="116"/>
        <v>#N/A</v>
      </c>
      <c r="CZ17" s="94" t="e">
        <f t="shared" ca="1" si="116"/>
        <v>#N/A</v>
      </c>
      <c r="DA17" s="94" t="e">
        <f t="shared" ca="1" si="116"/>
        <v>#N/A</v>
      </c>
      <c r="DB17" s="94" t="e">
        <f t="shared" ca="1" si="116"/>
        <v>#N/A</v>
      </c>
      <c r="DC17" s="94" t="e">
        <f t="shared" ca="1" si="116"/>
        <v>#N/A</v>
      </c>
      <c r="DD17" s="94" t="e">
        <f t="shared" ca="1" si="116"/>
        <v>#N/A</v>
      </c>
      <c r="DE17" s="94" t="e">
        <f t="shared" ca="1" si="116"/>
        <v>#N/A</v>
      </c>
      <c r="DF17" s="94" t="e">
        <f t="shared" ca="1" si="116"/>
        <v>#N/A</v>
      </c>
      <c r="DG17" s="94" t="e">
        <f t="shared" ca="1" si="116"/>
        <v>#N/A</v>
      </c>
      <c r="DH17" s="94" t="e">
        <f t="shared" ca="1" si="116"/>
        <v>#N/A</v>
      </c>
      <c r="DI17" s="94" t="e">
        <f t="shared" ca="1" si="116"/>
        <v>#N/A</v>
      </c>
      <c r="DJ17" s="94" t="e">
        <f t="shared" ca="1" si="116"/>
        <v>#N/A</v>
      </c>
      <c r="DK17" s="94" t="e">
        <f t="shared" ca="1" si="116"/>
        <v>#N/A</v>
      </c>
      <c r="DL17" s="94" t="e">
        <f t="shared" ca="1" si="116"/>
        <v>#N/A</v>
      </c>
      <c r="DM17" s="94" t="e">
        <f t="shared" ca="1" si="116"/>
        <v>#N/A</v>
      </c>
      <c r="DN17" s="94" t="e">
        <f t="shared" ca="1" si="116"/>
        <v>#N/A</v>
      </c>
      <c r="DO17" s="94" t="e">
        <f t="shared" ca="1" si="116"/>
        <v>#N/A</v>
      </c>
      <c r="DP17" s="94" t="e">
        <f t="shared" ca="1" si="116"/>
        <v>#N/A</v>
      </c>
      <c r="DQ17" s="94" t="e">
        <f t="shared" ca="1" si="116"/>
        <v>#N/A</v>
      </c>
      <c r="DR17" s="94" t="e">
        <f t="shared" ca="1" si="116"/>
        <v>#N/A</v>
      </c>
      <c r="DS17" s="94" t="e">
        <f t="shared" ca="1" si="116"/>
        <v>#N/A</v>
      </c>
      <c r="DT17" s="94" t="e">
        <f t="shared" ca="1" si="116"/>
        <v>#N/A</v>
      </c>
      <c r="DU17" s="94" t="e">
        <f t="shared" ca="1" si="116"/>
        <v>#N/A</v>
      </c>
      <c r="DV17" s="94" t="e">
        <f t="shared" ca="1" si="116"/>
        <v>#N/A</v>
      </c>
      <c r="DW17" s="94" t="e">
        <f t="shared" ca="1" si="116"/>
        <v>#N/A</v>
      </c>
      <c r="DX17" s="94" t="e">
        <f t="shared" ca="1" si="116"/>
        <v>#N/A</v>
      </c>
      <c r="DY17" s="94" t="e">
        <f t="shared" ca="1" si="116"/>
        <v>#N/A</v>
      </c>
      <c r="DZ17" s="94" t="e">
        <f t="shared" ca="1" si="116"/>
        <v>#N/A</v>
      </c>
      <c r="EA17" s="94" t="e">
        <f t="shared" ca="1" si="116"/>
        <v>#N/A</v>
      </c>
      <c r="EB17" s="94" t="e">
        <f t="shared" ca="1" si="116"/>
        <v>#N/A</v>
      </c>
      <c r="EC17" s="94" t="e">
        <f t="shared" ca="1" si="116"/>
        <v>#N/A</v>
      </c>
      <c r="ED17" s="94" t="e">
        <f t="shared" ca="1" si="116"/>
        <v>#N/A</v>
      </c>
      <c r="EE17" s="94" t="e">
        <f t="shared" ca="1" si="116"/>
        <v>#N/A</v>
      </c>
      <c r="EF17" s="94" t="e">
        <f t="shared" ca="1" si="116"/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ref="FC17:HN17" ca="1" si="117">IFERROR(AVERAGE(FA15:FC15),NA())</f>
        <v>#N/A</v>
      </c>
      <c r="FD17" s="94" t="e">
        <f t="shared" ca="1" si="117"/>
        <v>#N/A</v>
      </c>
      <c r="FE17" s="94" t="e">
        <f t="shared" ca="1" si="117"/>
        <v>#N/A</v>
      </c>
      <c r="FF17" s="94" t="e">
        <f t="shared" ca="1" si="117"/>
        <v>#N/A</v>
      </c>
      <c r="FG17" s="94" t="e">
        <f t="shared" ca="1" si="117"/>
        <v>#N/A</v>
      </c>
      <c r="FH17" s="94" t="e">
        <f t="shared" ca="1" si="117"/>
        <v>#N/A</v>
      </c>
      <c r="FI17" s="94" t="e">
        <f t="shared" ca="1" si="117"/>
        <v>#N/A</v>
      </c>
      <c r="FJ17" s="94" t="e">
        <f t="shared" ca="1" si="117"/>
        <v>#N/A</v>
      </c>
      <c r="FK17" s="94" t="e">
        <f t="shared" ca="1" si="117"/>
        <v>#N/A</v>
      </c>
      <c r="FL17" s="94" t="e">
        <f t="shared" ca="1" si="117"/>
        <v>#N/A</v>
      </c>
      <c r="FM17" s="94" t="e">
        <f t="shared" ca="1" si="117"/>
        <v>#N/A</v>
      </c>
      <c r="FN17" s="94" t="e">
        <f t="shared" ca="1" si="117"/>
        <v>#N/A</v>
      </c>
      <c r="FO17" s="94" t="e">
        <f t="shared" ca="1" si="117"/>
        <v>#N/A</v>
      </c>
      <c r="FP17" s="94" t="e">
        <f t="shared" ca="1" si="117"/>
        <v>#N/A</v>
      </c>
      <c r="FQ17" s="94" t="e">
        <f t="shared" ca="1" si="117"/>
        <v>#N/A</v>
      </c>
      <c r="FR17" s="94" t="e">
        <f t="shared" ca="1" si="117"/>
        <v>#N/A</v>
      </c>
      <c r="FS17" s="94" t="e">
        <f t="shared" ca="1" si="117"/>
        <v>#N/A</v>
      </c>
      <c r="FT17" s="94" t="e">
        <f t="shared" ca="1" si="117"/>
        <v>#N/A</v>
      </c>
      <c r="FU17" s="94" t="e">
        <f t="shared" ca="1" si="117"/>
        <v>#N/A</v>
      </c>
      <c r="FV17" s="94" t="e">
        <f t="shared" ca="1" si="117"/>
        <v>#N/A</v>
      </c>
      <c r="FW17" s="94" t="e">
        <f t="shared" ca="1" si="117"/>
        <v>#N/A</v>
      </c>
      <c r="FX17" s="94" t="e">
        <f t="shared" ca="1" si="117"/>
        <v>#N/A</v>
      </c>
      <c r="FY17" s="94" t="e">
        <f t="shared" ca="1" si="117"/>
        <v>#N/A</v>
      </c>
      <c r="FZ17" s="94" t="e">
        <f t="shared" ca="1" si="117"/>
        <v>#N/A</v>
      </c>
      <c r="GA17" s="94" t="e">
        <f t="shared" ca="1" si="117"/>
        <v>#N/A</v>
      </c>
      <c r="GB17" s="94" t="e">
        <f t="shared" ca="1" si="117"/>
        <v>#N/A</v>
      </c>
      <c r="GC17" s="94" t="e">
        <f t="shared" ca="1" si="117"/>
        <v>#N/A</v>
      </c>
      <c r="GD17" s="94" t="e">
        <f t="shared" ca="1" si="117"/>
        <v>#N/A</v>
      </c>
      <c r="GE17" s="94" t="e">
        <f t="shared" ca="1" si="117"/>
        <v>#N/A</v>
      </c>
      <c r="GF17" s="94" t="e">
        <f t="shared" ca="1" si="117"/>
        <v>#N/A</v>
      </c>
      <c r="GG17" s="94" t="e">
        <f t="shared" ca="1" si="117"/>
        <v>#N/A</v>
      </c>
      <c r="GH17" s="94" t="e">
        <f t="shared" ca="1" si="117"/>
        <v>#N/A</v>
      </c>
      <c r="GI17" s="94" t="e">
        <f t="shared" ca="1" si="117"/>
        <v>#N/A</v>
      </c>
      <c r="GJ17" s="94" t="e">
        <f t="shared" ca="1" si="117"/>
        <v>#N/A</v>
      </c>
      <c r="GK17" s="94" t="e">
        <f t="shared" ca="1" si="117"/>
        <v>#N/A</v>
      </c>
      <c r="GL17" s="94" t="e">
        <f t="shared" ca="1" si="117"/>
        <v>#N/A</v>
      </c>
      <c r="GM17" s="94" t="e">
        <f t="shared" ca="1" si="117"/>
        <v>#N/A</v>
      </c>
      <c r="GN17" s="94" t="e">
        <f t="shared" ca="1" si="117"/>
        <v>#N/A</v>
      </c>
      <c r="GO17" s="94" t="e">
        <f t="shared" ca="1" si="117"/>
        <v>#N/A</v>
      </c>
      <c r="GP17" s="94" t="e">
        <f t="shared" ca="1" si="117"/>
        <v>#N/A</v>
      </c>
      <c r="GQ17" s="94" t="e">
        <f t="shared" ca="1" si="117"/>
        <v>#N/A</v>
      </c>
      <c r="GR17" s="94" t="e">
        <f t="shared" ca="1" si="117"/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ref="HO17:IN17" ca="1" si="118">IFERROR(AVERAGE(HM15:HO15),NA())</f>
        <v>#N/A</v>
      </c>
      <c r="HP17" s="94" t="e">
        <f t="shared" ca="1" si="118"/>
        <v>#N/A</v>
      </c>
      <c r="HQ17" s="94" t="e">
        <f t="shared" ca="1" si="118"/>
        <v>#N/A</v>
      </c>
      <c r="HR17" s="94" t="e">
        <f t="shared" ca="1" si="118"/>
        <v>#N/A</v>
      </c>
      <c r="HS17" s="94" t="e">
        <f t="shared" ca="1" si="118"/>
        <v>#N/A</v>
      </c>
      <c r="HT17" s="94" t="e">
        <f t="shared" ca="1" si="118"/>
        <v>#N/A</v>
      </c>
      <c r="HU17" s="94" t="e">
        <f t="shared" ca="1" si="118"/>
        <v>#N/A</v>
      </c>
      <c r="HV17" s="94" t="e">
        <f t="shared" ca="1" si="118"/>
        <v>#N/A</v>
      </c>
      <c r="HW17" s="94" t="e">
        <f t="shared" ca="1" si="118"/>
        <v>#N/A</v>
      </c>
      <c r="HX17" s="94" t="e">
        <f t="shared" ca="1" si="118"/>
        <v>#N/A</v>
      </c>
      <c r="HY17" s="94" t="e">
        <f t="shared" ca="1" si="118"/>
        <v>#N/A</v>
      </c>
      <c r="HZ17" s="94" t="e">
        <f t="shared" ca="1" si="118"/>
        <v>#N/A</v>
      </c>
      <c r="IA17" s="94" t="e">
        <f t="shared" ca="1" si="118"/>
        <v>#N/A</v>
      </c>
      <c r="IB17" s="94" t="e">
        <f t="shared" ca="1" si="118"/>
        <v>#N/A</v>
      </c>
      <c r="IC17" s="94" t="e">
        <f t="shared" ca="1" si="118"/>
        <v>#N/A</v>
      </c>
      <c r="ID17" s="94" t="e">
        <f t="shared" ca="1" si="118"/>
        <v>#N/A</v>
      </c>
      <c r="IE17" s="94" t="e">
        <f t="shared" ca="1" si="118"/>
        <v>#N/A</v>
      </c>
      <c r="IF17" s="94" t="e">
        <f t="shared" ca="1" si="118"/>
        <v>#N/A</v>
      </c>
      <c r="IG17" s="94" t="e">
        <f t="shared" ca="1" si="118"/>
        <v>#N/A</v>
      </c>
      <c r="IH17" s="94" t="e">
        <f t="shared" ca="1" si="118"/>
        <v>#N/A</v>
      </c>
      <c r="II17" s="94" t="e">
        <f t="shared" ca="1" si="118"/>
        <v>#N/A</v>
      </c>
      <c r="IJ17" s="94" t="e">
        <f t="shared" ca="1" si="118"/>
        <v>#N/A</v>
      </c>
      <c r="IK17" s="94" t="e">
        <f t="shared" ca="1" si="118"/>
        <v>#N/A</v>
      </c>
      <c r="IL17" s="94" t="e">
        <f t="shared" ca="1" si="118"/>
        <v>#N/A</v>
      </c>
      <c r="IM17" s="94" t="e">
        <f t="shared" ca="1" si="118"/>
        <v>#N/A</v>
      </c>
      <c r="IN17" s="94" t="e">
        <f t="shared" ca="1" si="118"/>
        <v>#N/A</v>
      </c>
    </row>
    <row r="19" spans="2:248" x14ac:dyDescent="0.3">
      <c r="B19" s="19" t="s">
        <v>477</v>
      </c>
      <c r="C19" s="40">
        <f>VLOOKUP(B2,Country_Data!B:J,9,FALSE)</f>
        <v>331002651</v>
      </c>
      <c r="F19" s="19" t="s">
        <v>464</v>
      </c>
      <c r="G19" s="40">
        <f>$C$16</f>
        <v>96983.776743000009</v>
      </c>
      <c r="H19" s="40">
        <f t="shared" ref="H19:BS19" si="119">$C$16</f>
        <v>96983.776743000009</v>
      </c>
      <c r="I19" s="40">
        <f t="shared" si="119"/>
        <v>96983.776743000009</v>
      </c>
      <c r="J19" s="40">
        <f t="shared" si="119"/>
        <v>96983.776743000009</v>
      </c>
      <c r="K19" s="40">
        <f t="shared" si="119"/>
        <v>96983.776743000009</v>
      </c>
      <c r="L19" s="40">
        <f t="shared" si="119"/>
        <v>96983.776743000009</v>
      </c>
      <c r="M19" s="40">
        <f t="shared" si="119"/>
        <v>96983.776743000009</v>
      </c>
      <c r="N19" s="40">
        <f t="shared" si="119"/>
        <v>96983.776743000009</v>
      </c>
      <c r="O19" s="40">
        <f t="shared" si="119"/>
        <v>96983.776743000009</v>
      </c>
      <c r="P19" s="40">
        <f t="shared" si="119"/>
        <v>96983.776743000009</v>
      </c>
      <c r="Q19" s="40">
        <f t="shared" si="119"/>
        <v>96983.776743000009</v>
      </c>
      <c r="R19" s="40">
        <f t="shared" si="119"/>
        <v>96983.776743000009</v>
      </c>
      <c r="S19" s="40">
        <f t="shared" si="119"/>
        <v>96983.776743000009</v>
      </c>
      <c r="T19" s="40">
        <f t="shared" si="119"/>
        <v>96983.776743000009</v>
      </c>
      <c r="U19" s="40">
        <f t="shared" si="119"/>
        <v>96983.776743000009</v>
      </c>
      <c r="V19" s="40">
        <f t="shared" si="119"/>
        <v>96983.776743000009</v>
      </c>
      <c r="W19" s="40">
        <f t="shared" si="119"/>
        <v>96983.776743000009</v>
      </c>
      <c r="X19" s="40">
        <f t="shared" si="119"/>
        <v>96983.776743000009</v>
      </c>
      <c r="Y19" s="40">
        <f t="shared" si="119"/>
        <v>96983.776743000009</v>
      </c>
      <c r="Z19" s="40">
        <f t="shared" si="119"/>
        <v>96983.776743000009</v>
      </c>
      <c r="AA19" s="40">
        <f t="shared" si="119"/>
        <v>96983.776743000009</v>
      </c>
      <c r="AB19" s="40">
        <f t="shared" si="119"/>
        <v>96983.776743000009</v>
      </c>
      <c r="AC19" s="40">
        <f t="shared" si="119"/>
        <v>96983.776743000009</v>
      </c>
      <c r="AD19" s="40">
        <f t="shared" si="119"/>
        <v>96983.776743000009</v>
      </c>
      <c r="AE19" s="40">
        <f t="shared" si="119"/>
        <v>96983.776743000009</v>
      </c>
      <c r="AF19" s="40">
        <f t="shared" si="119"/>
        <v>96983.776743000009</v>
      </c>
      <c r="AG19" s="40">
        <f t="shared" si="119"/>
        <v>96983.776743000009</v>
      </c>
      <c r="AH19" s="40">
        <f t="shared" si="119"/>
        <v>96983.776743000009</v>
      </c>
      <c r="AI19" s="40">
        <f t="shared" si="119"/>
        <v>96983.776743000009</v>
      </c>
      <c r="AJ19" s="40">
        <f t="shared" si="119"/>
        <v>96983.776743000009</v>
      </c>
      <c r="AK19" s="40">
        <f t="shared" si="119"/>
        <v>96983.776743000009</v>
      </c>
      <c r="AL19" s="40">
        <f t="shared" si="119"/>
        <v>96983.776743000009</v>
      </c>
      <c r="AM19" s="40">
        <f t="shared" si="119"/>
        <v>96983.776743000009</v>
      </c>
      <c r="AN19" s="40">
        <f t="shared" si="119"/>
        <v>96983.776743000009</v>
      </c>
      <c r="AO19" s="40">
        <f t="shared" si="119"/>
        <v>96983.776743000009</v>
      </c>
      <c r="AP19" s="40">
        <f t="shared" si="119"/>
        <v>96983.776743000009</v>
      </c>
      <c r="AQ19" s="40">
        <f t="shared" si="119"/>
        <v>96983.776743000009</v>
      </c>
      <c r="AR19" s="40">
        <f t="shared" si="119"/>
        <v>96983.776743000009</v>
      </c>
      <c r="AS19" s="40">
        <f t="shared" si="119"/>
        <v>96983.776743000009</v>
      </c>
      <c r="AT19" s="40">
        <f t="shared" si="119"/>
        <v>96983.776743000009</v>
      </c>
      <c r="AU19" s="40">
        <f t="shared" si="119"/>
        <v>96983.776743000009</v>
      </c>
      <c r="AV19" s="40">
        <f t="shared" si="119"/>
        <v>96983.776743000009</v>
      </c>
      <c r="AW19" s="40">
        <f t="shared" si="119"/>
        <v>96983.776743000009</v>
      </c>
      <c r="AX19" s="40">
        <f t="shared" si="119"/>
        <v>96983.776743000009</v>
      </c>
      <c r="AY19" s="40">
        <f t="shared" si="119"/>
        <v>96983.776743000009</v>
      </c>
      <c r="AZ19" s="40">
        <f t="shared" si="119"/>
        <v>96983.776743000009</v>
      </c>
      <c r="BA19" s="40">
        <f t="shared" si="119"/>
        <v>96983.776743000009</v>
      </c>
      <c r="BB19" s="40">
        <f t="shared" si="119"/>
        <v>96983.776743000009</v>
      </c>
      <c r="BC19" s="40">
        <f t="shared" si="119"/>
        <v>96983.776743000009</v>
      </c>
      <c r="BD19" s="40">
        <f t="shared" si="119"/>
        <v>96983.776743000009</v>
      </c>
      <c r="BE19" s="40">
        <f t="shared" si="119"/>
        <v>96983.776743000009</v>
      </c>
      <c r="BF19" s="40">
        <f t="shared" si="119"/>
        <v>96983.776743000009</v>
      </c>
      <c r="BG19" s="40">
        <f t="shared" si="119"/>
        <v>96983.776743000009</v>
      </c>
      <c r="BH19" s="40">
        <f t="shared" si="119"/>
        <v>96983.776743000009</v>
      </c>
      <c r="BI19" s="40">
        <f t="shared" si="119"/>
        <v>96983.776743000009</v>
      </c>
      <c r="BJ19" s="40">
        <f t="shared" si="119"/>
        <v>96983.776743000009</v>
      </c>
      <c r="BK19" s="40">
        <f t="shared" si="119"/>
        <v>96983.776743000009</v>
      </c>
      <c r="BL19" s="40">
        <f t="shared" si="119"/>
        <v>96983.776743000009</v>
      </c>
      <c r="BM19" s="40">
        <f t="shared" si="119"/>
        <v>96983.776743000009</v>
      </c>
      <c r="BN19" s="40">
        <f t="shared" si="119"/>
        <v>96983.776743000009</v>
      </c>
      <c r="BO19" s="40">
        <f t="shared" si="119"/>
        <v>96983.776743000009</v>
      </c>
      <c r="BP19" s="40">
        <f t="shared" si="119"/>
        <v>96983.776743000009</v>
      </c>
      <c r="BQ19" s="40">
        <f t="shared" si="119"/>
        <v>96983.776743000009</v>
      </c>
      <c r="BR19" s="40">
        <f t="shared" si="119"/>
        <v>96983.776743000009</v>
      </c>
      <c r="BS19" s="40">
        <f t="shared" si="119"/>
        <v>96983.776743000009</v>
      </c>
      <c r="BT19" s="40">
        <f t="shared" ref="BT19:EE19" si="120">$C$16</f>
        <v>96983.776743000009</v>
      </c>
      <c r="BU19" s="40">
        <f t="shared" si="120"/>
        <v>96983.776743000009</v>
      </c>
      <c r="BV19" s="40">
        <f t="shared" si="120"/>
        <v>96983.776743000009</v>
      </c>
      <c r="BW19" s="40">
        <f t="shared" si="120"/>
        <v>96983.776743000009</v>
      </c>
      <c r="BX19" s="40">
        <f t="shared" si="120"/>
        <v>96983.776743000009</v>
      </c>
      <c r="BY19" s="40">
        <f t="shared" si="120"/>
        <v>96983.776743000009</v>
      </c>
      <c r="BZ19" s="40">
        <f t="shared" si="120"/>
        <v>96983.776743000009</v>
      </c>
      <c r="CA19" s="40">
        <f t="shared" si="120"/>
        <v>96983.776743000009</v>
      </c>
      <c r="CB19" s="40">
        <f t="shared" si="120"/>
        <v>96983.776743000009</v>
      </c>
      <c r="CC19" s="40">
        <f t="shared" si="120"/>
        <v>96983.776743000009</v>
      </c>
      <c r="CD19" s="40">
        <f t="shared" si="120"/>
        <v>96983.776743000009</v>
      </c>
      <c r="CE19" s="40">
        <f t="shared" si="120"/>
        <v>96983.776743000009</v>
      </c>
      <c r="CF19" s="40">
        <f t="shared" si="120"/>
        <v>96983.776743000009</v>
      </c>
      <c r="CG19" s="40">
        <f t="shared" si="120"/>
        <v>96983.776743000009</v>
      </c>
      <c r="CH19" s="40">
        <f t="shared" si="120"/>
        <v>96983.776743000009</v>
      </c>
      <c r="CI19" s="40">
        <f t="shared" si="120"/>
        <v>96983.776743000009</v>
      </c>
      <c r="CJ19" s="40">
        <f t="shared" si="120"/>
        <v>96983.776743000009</v>
      </c>
      <c r="CK19" s="40">
        <f t="shared" si="120"/>
        <v>96983.776743000009</v>
      </c>
      <c r="CL19" s="40">
        <f t="shared" si="120"/>
        <v>96983.776743000009</v>
      </c>
      <c r="CM19" s="40">
        <f t="shared" si="120"/>
        <v>96983.776743000009</v>
      </c>
      <c r="CN19" s="40">
        <f t="shared" si="120"/>
        <v>96983.776743000009</v>
      </c>
      <c r="CO19" s="40">
        <f t="shared" si="120"/>
        <v>96983.776743000009</v>
      </c>
      <c r="CP19" s="40">
        <f t="shared" si="120"/>
        <v>96983.776743000009</v>
      </c>
      <c r="CQ19" s="40">
        <f t="shared" si="120"/>
        <v>96983.776743000009</v>
      </c>
      <c r="CR19" s="40">
        <f t="shared" si="120"/>
        <v>96983.776743000009</v>
      </c>
      <c r="CS19" s="40">
        <f t="shared" si="120"/>
        <v>96983.776743000009</v>
      </c>
      <c r="CT19" s="40">
        <f t="shared" si="120"/>
        <v>96983.776743000009</v>
      </c>
      <c r="CU19" s="40">
        <f t="shared" si="120"/>
        <v>96983.776743000009</v>
      </c>
      <c r="CV19" s="40">
        <f t="shared" si="120"/>
        <v>96983.776743000009</v>
      </c>
      <c r="CW19" s="40">
        <f t="shared" si="120"/>
        <v>96983.776743000009</v>
      </c>
      <c r="CX19" s="40">
        <f t="shared" si="120"/>
        <v>96983.776743000009</v>
      </c>
      <c r="CY19" s="40">
        <f t="shared" si="120"/>
        <v>96983.776743000009</v>
      </c>
      <c r="CZ19" s="40">
        <f t="shared" si="120"/>
        <v>96983.776743000009</v>
      </c>
      <c r="DA19" s="40">
        <f t="shared" si="120"/>
        <v>96983.776743000009</v>
      </c>
      <c r="DB19" s="40">
        <f t="shared" si="120"/>
        <v>96983.776743000009</v>
      </c>
      <c r="DC19" s="40">
        <f t="shared" si="120"/>
        <v>96983.776743000009</v>
      </c>
      <c r="DD19" s="40">
        <f t="shared" si="120"/>
        <v>96983.776743000009</v>
      </c>
      <c r="DE19" s="40">
        <f t="shared" si="120"/>
        <v>96983.776743000009</v>
      </c>
      <c r="DF19" s="40">
        <f t="shared" si="120"/>
        <v>96983.776743000009</v>
      </c>
      <c r="DG19" s="40">
        <f t="shared" si="120"/>
        <v>96983.776743000009</v>
      </c>
      <c r="DH19" s="40">
        <f t="shared" si="120"/>
        <v>96983.776743000009</v>
      </c>
      <c r="DI19" s="40">
        <f t="shared" si="120"/>
        <v>96983.776743000009</v>
      </c>
      <c r="DJ19" s="40">
        <f t="shared" si="120"/>
        <v>96983.776743000009</v>
      </c>
      <c r="DK19" s="40">
        <f t="shared" si="120"/>
        <v>96983.776743000009</v>
      </c>
      <c r="DL19" s="40">
        <f t="shared" si="120"/>
        <v>96983.776743000009</v>
      </c>
      <c r="DM19" s="40">
        <f t="shared" si="120"/>
        <v>96983.776743000009</v>
      </c>
      <c r="DN19" s="40">
        <f t="shared" si="120"/>
        <v>96983.776743000009</v>
      </c>
      <c r="DO19" s="40">
        <f t="shared" si="120"/>
        <v>96983.776743000009</v>
      </c>
      <c r="DP19" s="40">
        <f t="shared" si="120"/>
        <v>96983.776743000009</v>
      </c>
      <c r="DQ19" s="40">
        <f t="shared" si="120"/>
        <v>96983.776743000009</v>
      </c>
      <c r="DR19" s="40">
        <f t="shared" si="120"/>
        <v>96983.776743000009</v>
      </c>
      <c r="DS19" s="40">
        <f t="shared" si="120"/>
        <v>96983.776743000009</v>
      </c>
      <c r="DT19" s="40">
        <f t="shared" si="120"/>
        <v>96983.776743000009</v>
      </c>
      <c r="DU19" s="40">
        <f t="shared" si="120"/>
        <v>96983.776743000009</v>
      </c>
      <c r="DV19" s="40">
        <f t="shared" si="120"/>
        <v>96983.776743000009</v>
      </c>
      <c r="DW19" s="40">
        <f t="shared" si="120"/>
        <v>96983.776743000009</v>
      </c>
      <c r="DX19" s="40">
        <f t="shared" si="120"/>
        <v>96983.776743000009</v>
      </c>
      <c r="DY19" s="40">
        <f t="shared" si="120"/>
        <v>96983.776743000009</v>
      </c>
      <c r="DZ19" s="40">
        <f t="shared" si="120"/>
        <v>96983.776743000009</v>
      </c>
      <c r="EA19" s="40">
        <f t="shared" si="120"/>
        <v>96983.776743000009</v>
      </c>
      <c r="EB19" s="40">
        <f t="shared" si="120"/>
        <v>96983.776743000009</v>
      </c>
      <c r="EC19" s="40">
        <f t="shared" si="120"/>
        <v>96983.776743000009</v>
      </c>
      <c r="ED19" s="40">
        <f t="shared" si="120"/>
        <v>96983.776743000009</v>
      </c>
      <c r="EE19" s="40">
        <f t="shared" si="120"/>
        <v>96983.776743000009</v>
      </c>
      <c r="EF19" s="40">
        <f t="shared" ref="EF19:GQ19" si="121">$C$16</f>
        <v>96983.776743000009</v>
      </c>
      <c r="EG19" s="40">
        <f t="shared" si="121"/>
        <v>96983.776743000009</v>
      </c>
      <c r="EH19" s="40">
        <f t="shared" si="121"/>
        <v>96983.776743000009</v>
      </c>
      <c r="EI19" s="40">
        <f t="shared" si="121"/>
        <v>96983.776743000009</v>
      </c>
      <c r="EJ19" s="40">
        <f t="shared" si="121"/>
        <v>96983.776743000009</v>
      </c>
      <c r="EK19" s="40">
        <f t="shared" si="121"/>
        <v>96983.776743000009</v>
      </c>
      <c r="EL19" s="40">
        <f t="shared" si="121"/>
        <v>96983.776743000009</v>
      </c>
      <c r="EM19" s="40">
        <f t="shared" si="121"/>
        <v>96983.776743000009</v>
      </c>
      <c r="EN19" s="40">
        <f t="shared" si="121"/>
        <v>96983.776743000009</v>
      </c>
      <c r="EO19" s="40">
        <f t="shared" si="121"/>
        <v>96983.776743000009</v>
      </c>
      <c r="EP19" s="40">
        <f t="shared" si="121"/>
        <v>96983.776743000009</v>
      </c>
      <c r="EQ19" s="40">
        <f t="shared" si="121"/>
        <v>96983.776743000009</v>
      </c>
      <c r="ER19" s="40">
        <f t="shared" si="121"/>
        <v>96983.776743000009</v>
      </c>
      <c r="ES19" s="40">
        <f t="shared" si="121"/>
        <v>96983.776743000009</v>
      </c>
      <c r="ET19" s="40">
        <f t="shared" si="121"/>
        <v>96983.776743000009</v>
      </c>
      <c r="EU19" s="40">
        <f t="shared" si="121"/>
        <v>96983.776743000009</v>
      </c>
      <c r="EV19" s="40">
        <f t="shared" si="121"/>
        <v>96983.776743000009</v>
      </c>
      <c r="EW19" s="40">
        <f t="shared" si="121"/>
        <v>96983.776743000009</v>
      </c>
      <c r="EX19" s="40">
        <f t="shared" si="121"/>
        <v>96983.776743000009</v>
      </c>
      <c r="EY19" s="40">
        <f t="shared" si="121"/>
        <v>96983.776743000009</v>
      </c>
      <c r="EZ19" s="40">
        <f t="shared" si="121"/>
        <v>96983.776743000009</v>
      </c>
      <c r="FA19" s="40">
        <f t="shared" si="121"/>
        <v>96983.776743000009</v>
      </c>
      <c r="FB19" s="40">
        <f t="shared" si="121"/>
        <v>96983.776743000009</v>
      </c>
      <c r="FC19" s="40">
        <f t="shared" si="121"/>
        <v>96983.776743000009</v>
      </c>
      <c r="FD19" s="40">
        <f t="shared" si="121"/>
        <v>96983.776743000009</v>
      </c>
      <c r="FE19" s="40">
        <f t="shared" si="121"/>
        <v>96983.776743000009</v>
      </c>
      <c r="FF19" s="40">
        <f t="shared" si="121"/>
        <v>96983.776743000009</v>
      </c>
      <c r="FG19" s="40">
        <f t="shared" si="121"/>
        <v>96983.776743000009</v>
      </c>
      <c r="FH19" s="40">
        <f t="shared" si="121"/>
        <v>96983.776743000009</v>
      </c>
      <c r="FI19" s="40">
        <f t="shared" si="121"/>
        <v>96983.776743000009</v>
      </c>
      <c r="FJ19" s="40">
        <f t="shared" si="121"/>
        <v>96983.776743000009</v>
      </c>
      <c r="FK19" s="40">
        <f t="shared" si="121"/>
        <v>96983.776743000009</v>
      </c>
      <c r="FL19" s="40">
        <f t="shared" si="121"/>
        <v>96983.776743000009</v>
      </c>
      <c r="FM19" s="40">
        <f t="shared" si="121"/>
        <v>96983.776743000009</v>
      </c>
      <c r="FN19" s="40">
        <f t="shared" si="121"/>
        <v>96983.776743000009</v>
      </c>
      <c r="FO19" s="40">
        <f t="shared" si="121"/>
        <v>96983.776743000009</v>
      </c>
      <c r="FP19" s="40">
        <f t="shared" si="121"/>
        <v>96983.776743000009</v>
      </c>
      <c r="FQ19" s="40">
        <f t="shared" si="121"/>
        <v>96983.776743000009</v>
      </c>
      <c r="FR19" s="40">
        <f t="shared" si="121"/>
        <v>96983.776743000009</v>
      </c>
      <c r="FS19" s="40">
        <f t="shared" si="121"/>
        <v>96983.776743000009</v>
      </c>
      <c r="FT19" s="40">
        <f t="shared" si="121"/>
        <v>96983.776743000009</v>
      </c>
      <c r="FU19" s="40">
        <f t="shared" si="121"/>
        <v>96983.776743000009</v>
      </c>
      <c r="FV19" s="40">
        <f t="shared" si="121"/>
        <v>96983.776743000009</v>
      </c>
      <c r="FW19" s="40">
        <f t="shared" si="121"/>
        <v>96983.776743000009</v>
      </c>
      <c r="FX19" s="40">
        <f t="shared" si="121"/>
        <v>96983.776743000009</v>
      </c>
      <c r="FY19" s="40">
        <f t="shared" si="121"/>
        <v>96983.776743000009</v>
      </c>
      <c r="FZ19" s="40">
        <f t="shared" si="121"/>
        <v>96983.776743000009</v>
      </c>
      <c r="GA19" s="40">
        <f t="shared" si="121"/>
        <v>96983.776743000009</v>
      </c>
      <c r="GB19" s="40">
        <f t="shared" si="121"/>
        <v>96983.776743000009</v>
      </c>
      <c r="GC19" s="40">
        <f t="shared" si="121"/>
        <v>96983.776743000009</v>
      </c>
      <c r="GD19" s="40">
        <f t="shared" si="121"/>
        <v>96983.776743000009</v>
      </c>
      <c r="GE19" s="40">
        <f t="shared" si="121"/>
        <v>96983.776743000009</v>
      </c>
      <c r="GF19" s="40">
        <f t="shared" si="121"/>
        <v>96983.776743000009</v>
      </c>
      <c r="GG19" s="40">
        <f t="shared" si="121"/>
        <v>96983.776743000009</v>
      </c>
      <c r="GH19" s="40">
        <f t="shared" si="121"/>
        <v>96983.776743000009</v>
      </c>
      <c r="GI19" s="40">
        <f t="shared" si="121"/>
        <v>96983.776743000009</v>
      </c>
      <c r="GJ19" s="40">
        <f t="shared" si="121"/>
        <v>96983.776743000009</v>
      </c>
      <c r="GK19" s="40">
        <f t="shared" si="121"/>
        <v>96983.776743000009</v>
      </c>
      <c r="GL19" s="40">
        <f t="shared" si="121"/>
        <v>96983.776743000009</v>
      </c>
      <c r="GM19" s="40">
        <f t="shared" si="121"/>
        <v>96983.776743000009</v>
      </c>
      <c r="GN19" s="40">
        <f t="shared" si="121"/>
        <v>96983.776743000009</v>
      </c>
      <c r="GO19" s="40">
        <f t="shared" si="121"/>
        <v>96983.776743000009</v>
      </c>
      <c r="GP19" s="40">
        <f t="shared" si="121"/>
        <v>96983.776743000009</v>
      </c>
      <c r="GQ19" s="40">
        <f t="shared" si="121"/>
        <v>96983.776743000009</v>
      </c>
      <c r="GR19" s="40">
        <f t="shared" ref="GR19:IN19" si="122">$C$16</f>
        <v>96983.776743000009</v>
      </c>
      <c r="GS19" s="40">
        <f t="shared" si="122"/>
        <v>96983.776743000009</v>
      </c>
      <c r="GT19" s="40">
        <f t="shared" si="122"/>
        <v>96983.776743000009</v>
      </c>
      <c r="GU19" s="40">
        <f t="shared" si="122"/>
        <v>96983.776743000009</v>
      </c>
      <c r="GV19" s="40">
        <f t="shared" si="122"/>
        <v>96983.776743000009</v>
      </c>
      <c r="GW19" s="40">
        <f t="shared" si="122"/>
        <v>96983.776743000009</v>
      </c>
      <c r="GX19" s="40">
        <f t="shared" si="122"/>
        <v>96983.776743000009</v>
      </c>
      <c r="GY19" s="40">
        <f t="shared" si="122"/>
        <v>96983.776743000009</v>
      </c>
      <c r="GZ19" s="40">
        <f t="shared" si="122"/>
        <v>96983.776743000009</v>
      </c>
      <c r="HA19" s="40">
        <f t="shared" si="122"/>
        <v>96983.776743000009</v>
      </c>
      <c r="HB19" s="40">
        <f t="shared" si="122"/>
        <v>96983.776743000009</v>
      </c>
      <c r="HC19" s="40">
        <f t="shared" si="122"/>
        <v>96983.776743000009</v>
      </c>
      <c r="HD19" s="40">
        <f t="shared" si="122"/>
        <v>96983.776743000009</v>
      </c>
      <c r="HE19" s="40">
        <f t="shared" si="122"/>
        <v>96983.776743000009</v>
      </c>
      <c r="HF19" s="40">
        <f t="shared" si="122"/>
        <v>96983.776743000009</v>
      </c>
      <c r="HG19" s="40">
        <f t="shared" si="122"/>
        <v>96983.776743000009</v>
      </c>
      <c r="HH19" s="40">
        <f t="shared" si="122"/>
        <v>96983.776743000009</v>
      </c>
      <c r="HI19" s="40">
        <f t="shared" si="122"/>
        <v>96983.776743000009</v>
      </c>
      <c r="HJ19" s="40">
        <f t="shared" si="122"/>
        <v>96983.776743000009</v>
      </c>
      <c r="HK19" s="40">
        <f t="shared" si="122"/>
        <v>96983.776743000009</v>
      </c>
      <c r="HL19" s="40">
        <f t="shared" si="122"/>
        <v>96983.776743000009</v>
      </c>
      <c r="HM19" s="40">
        <f t="shared" si="122"/>
        <v>96983.776743000009</v>
      </c>
      <c r="HN19" s="40">
        <f t="shared" si="122"/>
        <v>96983.776743000009</v>
      </c>
      <c r="HO19" s="40">
        <f t="shared" si="122"/>
        <v>96983.776743000009</v>
      </c>
      <c r="HP19" s="40">
        <f t="shared" si="122"/>
        <v>96983.776743000009</v>
      </c>
      <c r="HQ19" s="40">
        <f t="shared" si="122"/>
        <v>96983.776743000009</v>
      </c>
      <c r="HR19" s="40">
        <f t="shared" si="122"/>
        <v>96983.776743000009</v>
      </c>
      <c r="HS19" s="40">
        <f t="shared" si="122"/>
        <v>96983.776743000009</v>
      </c>
      <c r="HT19" s="40">
        <f t="shared" si="122"/>
        <v>96983.776743000009</v>
      </c>
      <c r="HU19" s="40">
        <f t="shared" si="122"/>
        <v>96983.776743000009</v>
      </c>
      <c r="HV19" s="40">
        <f t="shared" si="122"/>
        <v>96983.776743000009</v>
      </c>
      <c r="HW19" s="40">
        <f t="shared" si="122"/>
        <v>96983.776743000009</v>
      </c>
      <c r="HX19" s="40">
        <f t="shared" si="122"/>
        <v>96983.776743000009</v>
      </c>
      <c r="HY19" s="40">
        <f t="shared" si="122"/>
        <v>96983.776743000009</v>
      </c>
      <c r="HZ19" s="40">
        <f t="shared" si="122"/>
        <v>96983.776743000009</v>
      </c>
      <c r="IA19" s="40">
        <f t="shared" si="122"/>
        <v>96983.776743000009</v>
      </c>
      <c r="IB19" s="40">
        <f t="shared" si="122"/>
        <v>96983.776743000009</v>
      </c>
      <c r="IC19" s="40">
        <f t="shared" si="122"/>
        <v>96983.776743000009</v>
      </c>
      <c r="ID19" s="40">
        <f t="shared" si="122"/>
        <v>96983.776743000009</v>
      </c>
      <c r="IE19" s="40">
        <f t="shared" si="122"/>
        <v>96983.776743000009</v>
      </c>
      <c r="IF19" s="40">
        <f t="shared" si="122"/>
        <v>96983.776743000009</v>
      </c>
      <c r="IG19" s="40">
        <f t="shared" si="122"/>
        <v>96983.776743000009</v>
      </c>
      <c r="IH19" s="40">
        <f t="shared" si="122"/>
        <v>96983.776743000009</v>
      </c>
      <c r="II19" s="40">
        <f t="shared" si="122"/>
        <v>96983.776743000009</v>
      </c>
      <c r="IJ19" s="40">
        <f t="shared" si="122"/>
        <v>96983.776743000009</v>
      </c>
      <c r="IK19" s="40">
        <f t="shared" si="122"/>
        <v>96983.776743000009</v>
      </c>
      <c r="IL19" s="40">
        <f t="shared" si="122"/>
        <v>96983.776743000009</v>
      </c>
      <c r="IM19" s="40">
        <f t="shared" si="122"/>
        <v>96983.776743000009</v>
      </c>
      <c r="IN19" s="40">
        <f t="shared" si="122"/>
        <v>96983.776743000009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7.1807289291978327</v>
      </c>
      <c r="H20" s="40">
        <f t="shared" ref="H20:BS20" ca="1" si="123">H9*$C$15</f>
        <v>7.789265279129852</v>
      </c>
      <c r="I20" s="40">
        <f t="shared" ca="1" si="123"/>
        <v>9.5540206939327099</v>
      </c>
      <c r="J20" s="40">
        <f t="shared" ca="1" si="123"/>
        <v>13.367515153506698</v>
      </c>
      <c r="K20" s="40">
        <f t="shared" ca="1" si="123"/>
        <v>22.302857225008523</v>
      </c>
      <c r="L20" s="40">
        <f t="shared" ca="1" si="123"/>
        <v>29.477500790707033</v>
      </c>
      <c r="M20" s="40">
        <f t="shared" ca="1" si="123"/>
        <v>33.611491061245225</v>
      </c>
      <c r="N20" s="40">
        <f t="shared" ca="1" si="123"/>
        <v>56.298305745139416</v>
      </c>
      <c r="O20" s="40">
        <f t="shared" ca="1" si="123"/>
        <v>75.534574435311939</v>
      </c>
      <c r="P20" s="40">
        <f t="shared" ca="1" si="123"/>
        <v>98.63698080898115</v>
      </c>
      <c r="Q20" s="40">
        <f t="shared" ca="1" si="123"/>
        <v>129.69126689751204</v>
      </c>
      <c r="R20" s="40">
        <f t="shared" ca="1" si="123"/>
        <v>162.67836278273612</v>
      </c>
      <c r="S20" s="40">
        <f t="shared" ca="1" si="123"/>
        <v>198.80882552279084</v>
      </c>
      <c r="T20" s="40">
        <f t="shared" ca="1" si="123"/>
        <v>260.1492895959384</v>
      </c>
      <c r="U20" s="40">
        <f t="shared" ca="1" si="123"/>
        <v>366.46058992906228</v>
      </c>
      <c r="V20" s="40">
        <f t="shared" ca="1" si="123"/>
        <v>434.67751475644167</v>
      </c>
      <c r="W20" s="40">
        <f t="shared" ca="1" si="123"/>
        <v>783.06457509252289</v>
      </c>
      <c r="X20" s="40">
        <f t="shared" ca="1" si="123"/>
        <v>1109.4226195610652</v>
      </c>
      <c r="Y20" s="40">
        <f t="shared" ca="1" si="123"/>
        <v>1453.2456572726562</v>
      </c>
      <c r="Z20" s="40">
        <f t="shared" ca="1" si="123"/>
        <v>1904.7187752872217</v>
      </c>
      <c r="AA20" s="40">
        <f t="shared" ca="1" si="123"/>
        <v>2512.585735234316</v>
      </c>
      <c r="AB20" s="40">
        <f t="shared" ca="1" si="123"/>
        <v>3066.5972282124267</v>
      </c>
      <c r="AC20" s="40">
        <f t="shared" ca="1" si="123"/>
        <v>3749.9226955510917</v>
      </c>
      <c r="AD20" s="40">
        <f t="shared" ca="1" si="123"/>
        <v>4772.6288852468442</v>
      </c>
      <c r="AE20" s="40">
        <f t="shared" ca="1" si="123"/>
        <v>5745.6785087881435</v>
      </c>
      <c r="AF20" s="40">
        <f t="shared" ca="1" si="123"/>
        <v>6777.4518900978828</v>
      </c>
      <c r="AG20" s="40">
        <f t="shared" ca="1" si="123"/>
        <v>7874.5820753903208</v>
      </c>
      <c r="AH20" s="40">
        <f t="shared" ca="1" si="123"/>
        <v>8491.5162269514021</v>
      </c>
      <c r="AI20" s="40">
        <f t="shared" ca="1" si="123"/>
        <v>9740.4762315518801</v>
      </c>
      <c r="AJ20" s="40">
        <f t="shared" ca="1" si="123"/>
        <v>10777.604732741022</v>
      </c>
      <c r="AK20" s="40">
        <f t="shared" ca="1" si="123"/>
        <v>11987.618410945848</v>
      </c>
      <c r="AL20" s="40">
        <f t="shared" ca="1" si="123"/>
        <v>13618.864497917397</v>
      </c>
      <c r="AM20" s="40">
        <f t="shared" ca="1" si="123"/>
        <v>15472.086602563169</v>
      </c>
      <c r="AN20" s="40">
        <f t="shared" ca="1" si="123"/>
        <v>17577.490683883498</v>
      </c>
      <c r="AO20" s="40">
        <f t="shared" ca="1" si="123"/>
        <v>19969.393054639841</v>
      </c>
      <c r="AP20" s="40">
        <f t="shared" ca="1" si="123"/>
        <v>22686.779708341957</v>
      </c>
      <c r="AQ20" s="40">
        <f t="shared" ca="1" si="123"/>
        <v>25773.941758097124</v>
      </c>
      <c r="AR20" s="40">
        <f t="shared" ca="1" si="123"/>
        <v>29281.19734443933</v>
      </c>
      <c r="AS20" s="40">
        <f t="shared" ca="1" si="123"/>
        <v>33265.711778627898</v>
      </c>
      <c r="AT20" s="40">
        <f t="shared" ca="1" si="123"/>
        <v>37792.429289060274</v>
      </c>
      <c r="AU20" s="40">
        <f t="shared" ca="1" si="123"/>
        <v>42935.131557480599</v>
      </c>
      <c r="AV20" s="40">
        <f t="shared" ca="1" si="123"/>
        <v>48777.640298232443</v>
      </c>
      <c r="AW20" s="40">
        <f t="shared" ca="1" si="123"/>
        <v>55415.183481584339</v>
      </c>
      <c r="AX20" s="40">
        <f t="shared" ca="1" si="123"/>
        <v>62955.947469417377</v>
      </c>
      <c r="AY20" s="40">
        <f t="shared" ca="1" si="123"/>
        <v>71522.840361778843</v>
      </c>
      <c r="AZ20" s="40">
        <f t="shared" ca="1" si="123"/>
        <v>81255.495295365166</v>
      </c>
      <c r="BA20" s="40">
        <f t="shared" ca="1" si="123"/>
        <v>92312.54634601179</v>
      </c>
      <c r="BB20" s="40">
        <f t="shared" ca="1" si="123"/>
        <v>104874.21413048291</v>
      </c>
      <c r="BC20" s="40">
        <f t="shared" ca="1" si="123"/>
        <v>119145.24325069232</v>
      </c>
      <c r="BD20" s="40">
        <f t="shared" ca="1" si="123"/>
        <v>135358.23945822092</v>
      </c>
      <c r="BE20" s="40">
        <f t="shared" ca="1" si="123"/>
        <v>153777.46093210153</v>
      </c>
      <c r="BF20" s="40">
        <f t="shared" ca="1" si="123"/>
        <v>174703.12546450456</v>
      </c>
      <c r="BG20" s="40">
        <f t="shared" ca="1" si="123"/>
        <v>198476.30375782217</v>
      </c>
      <c r="BH20" s="40">
        <f t="shared" ca="1" si="123"/>
        <v>225484.47858977178</v>
      </c>
      <c r="BI20" s="40">
        <f t="shared" ca="1" si="123"/>
        <v>256167.86045622572</v>
      </c>
      <c r="BJ20" s="40">
        <f t="shared" ca="1" si="123"/>
        <v>291026.56263142457</v>
      </c>
      <c r="BK20" s="40">
        <f t="shared" ca="1" si="123"/>
        <v>330628.75259301125</v>
      </c>
      <c r="BL20" s="40">
        <f t="shared" ca="1" si="123"/>
        <v>375619.912673246</v>
      </c>
      <c r="BM20" s="40">
        <f t="shared" ca="1" si="123"/>
        <v>426733.36087721511</v>
      </c>
      <c r="BN20" s="40">
        <f t="shared" ca="1" si="123"/>
        <v>484802.20334850712</v>
      </c>
      <c r="BO20" s="40">
        <f t="shared" ca="1" si="123"/>
        <v>550772.91329747671</v>
      </c>
      <c r="BP20" s="40">
        <f t="shared" ca="1" si="123"/>
        <v>625720.7577171874</v>
      </c>
      <c r="BQ20" s="40">
        <f t="shared" ca="1" si="123"/>
        <v>710867.32332950551</v>
      </c>
      <c r="BR20" s="40">
        <f t="shared" ca="1" si="123"/>
        <v>807600.42741950299</v>
      </c>
      <c r="BS20" s="40">
        <f t="shared" ca="1" si="123"/>
        <v>917496.73808799288</v>
      </c>
      <c r="BT20" s="40">
        <f t="shared" ref="BT20:EE20" ca="1" si="124">BT9*$C$15</f>
        <v>1042347.4726132595</v>
      </c>
      <c r="BU20" s="40">
        <f t="shared" ca="1" si="124"/>
        <v>1184187.5927836262</v>
      </c>
      <c r="BV20" s="40">
        <f t="shared" ca="1" si="124"/>
        <v>1345328.9730601888</v>
      </c>
      <c r="BW20" s="40">
        <f t="shared" ca="1" si="124"/>
        <v>1528398.0821828179</v>
      </c>
      <c r="BX20" s="40">
        <f t="shared" ca="1" si="124"/>
        <v>1736378.7923978688</v>
      </c>
      <c r="BY20" s="40">
        <f t="shared" ca="1" si="124"/>
        <v>1972661.0140619397</v>
      </c>
      <c r="BZ20" s="40">
        <f t="shared" ca="1" si="124"/>
        <v>2241095.9483247469</v>
      </c>
      <c r="CA20" s="40">
        <f t="shared" ca="1" si="124"/>
        <v>2546058.8584632995</v>
      </c>
      <c r="CB20" s="40">
        <f t="shared" ca="1" si="124"/>
        <v>2892520.3829872357</v>
      </c>
      <c r="CC20" s="40">
        <f t="shared" ca="1" si="124"/>
        <v>3286127.5528588593</v>
      </c>
      <c r="CD20" s="40">
        <f t="shared" ca="1" si="124"/>
        <v>3733295.8333403072</v>
      </c>
      <c r="CE20" s="40">
        <f t="shared" ca="1" si="124"/>
        <v>4241313.6906724088</v>
      </c>
      <c r="CF20" s="40">
        <f t="shared" ca="1" si="124"/>
        <v>4818461.3879340142</v>
      </c>
      <c r="CG20" s="40">
        <f t="shared" ca="1" si="124"/>
        <v>5474145.9463542113</v>
      </c>
      <c r="CH20" s="40">
        <f t="shared" ca="1" si="124"/>
        <v>6219054.4718331192</v>
      </c>
      <c r="CI20" s="40">
        <f t="shared" ca="1" si="124"/>
        <v>7065328.345764365</v>
      </c>
      <c r="CJ20" s="40">
        <f t="shared" ca="1" si="124"/>
        <v>8026761.1193229221</v>
      </c>
      <c r="CK20" s="40">
        <f t="shared" ca="1" si="124"/>
        <v>8057085.8022944881</v>
      </c>
      <c r="CL20" s="40">
        <f t="shared" ca="1" si="124"/>
        <v>8057085.8022944881</v>
      </c>
      <c r="CM20" s="40">
        <f t="shared" ca="1" si="124"/>
        <v>8057085.8022944881</v>
      </c>
      <c r="CN20" s="40">
        <f t="shared" ca="1" si="124"/>
        <v>8057085.8022944881</v>
      </c>
      <c r="CO20" s="40">
        <f t="shared" ca="1" si="124"/>
        <v>8057085.8022944881</v>
      </c>
      <c r="CP20" s="40">
        <f t="shared" ca="1" si="124"/>
        <v>8057085.8022944881</v>
      </c>
      <c r="CQ20" s="40">
        <f t="shared" ca="1" si="124"/>
        <v>8057085.8022944881</v>
      </c>
      <c r="CR20" s="40">
        <f t="shared" ca="1" si="124"/>
        <v>8057085.8022944881</v>
      </c>
      <c r="CS20" s="40">
        <f t="shared" ca="1" si="124"/>
        <v>8057085.8022944881</v>
      </c>
      <c r="CT20" s="40">
        <f t="shared" ca="1" si="124"/>
        <v>8057085.8022944881</v>
      </c>
      <c r="CU20" s="40">
        <f t="shared" ca="1" si="124"/>
        <v>8057085.8022944881</v>
      </c>
      <c r="CV20" s="40">
        <f t="shared" ca="1" si="124"/>
        <v>8057085.8022944881</v>
      </c>
      <c r="CW20" s="40">
        <f t="shared" ca="1" si="124"/>
        <v>8057085.8022944881</v>
      </c>
      <c r="CX20" s="40">
        <f t="shared" ca="1" si="124"/>
        <v>8057085.8022944881</v>
      </c>
      <c r="CY20" s="40">
        <f t="shared" ca="1" si="124"/>
        <v>8057085.8022944881</v>
      </c>
      <c r="CZ20" s="40">
        <f t="shared" ca="1" si="124"/>
        <v>8057085.8022944881</v>
      </c>
      <c r="DA20" s="40">
        <f t="shared" ca="1" si="124"/>
        <v>8057085.8022944881</v>
      </c>
      <c r="DB20" s="40">
        <f t="shared" ca="1" si="124"/>
        <v>8057085.8022944881</v>
      </c>
      <c r="DC20" s="40">
        <f t="shared" ca="1" si="124"/>
        <v>8057085.8022944881</v>
      </c>
      <c r="DD20" s="40">
        <f t="shared" ca="1" si="124"/>
        <v>8057085.8022944881</v>
      </c>
      <c r="DE20" s="40">
        <f t="shared" ca="1" si="124"/>
        <v>8057085.8022944881</v>
      </c>
      <c r="DF20" s="40">
        <f t="shared" ca="1" si="124"/>
        <v>8057085.8022944881</v>
      </c>
      <c r="DG20" s="40">
        <f t="shared" ca="1" si="124"/>
        <v>8057085.8022944881</v>
      </c>
      <c r="DH20" s="40">
        <f t="shared" ca="1" si="124"/>
        <v>8057085.8022944881</v>
      </c>
      <c r="DI20" s="40">
        <f t="shared" ca="1" si="124"/>
        <v>8057085.8022944881</v>
      </c>
      <c r="DJ20" s="40">
        <f t="shared" ca="1" si="124"/>
        <v>8057085.8022944881</v>
      </c>
      <c r="DK20" s="40">
        <f t="shared" ca="1" si="124"/>
        <v>8057085.8022944881</v>
      </c>
      <c r="DL20" s="40">
        <f t="shared" ca="1" si="124"/>
        <v>8057085.8022944881</v>
      </c>
      <c r="DM20" s="40">
        <f t="shared" ca="1" si="124"/>
        <v>8057085.8022944881</v>
      </c>
      <c r="DN20" s="40">
        <f t="shared" ca="1" si="124"/>
        <v>8057085.8022944881</v>
      </c>
      <c r="DO20" s="40">
        <f t="shared" ca="1" si="124"/>
        <v>8057085.8022944881</v>
      </c>
      <c r="DP20" s="40">
        <f t="shared" ca="1" si="124"/>
        <v>8057085.8022944881</v>
      </c>
      <c r="DQ20" s="40">
        <f t="shared" ca="1" si="124"/>
        <v>8057085.8022944881</v>
      </c>
      <c r="DR20" s="40">
        <f t="shared" ca="1" si="124"/>
        <v>8057085.8022944881</v>
      </c>
      <c r="DS20" s="40">
        <f t="shared" ca="1" si="124"/>
        <v>8057085.8022944881</v>
      </c>
      <c r="DT20" s="40">
        <f t="shared" ca="1" si="124"/>
        <v>8057085.8022944881</v>
      </c>
      <c r="DU20" s="40">
        <f t="shared" ca="1" si="124"/>
        <v>8057085.8022944881</v>
      </c>
      <c r="DV20" s="40">
        <f t="shared" ca="1" si="124"/>
        <v>8057085.8022944881</v>
      </c>
      <c r="DW20" s="40">
        <f t="shared" ca="1" si="124"/>
        <v>8057085.8022944881</v>
      </c>
      <c r="DX20" s="40">
        <f t="shared" ca="1" si="124"/>
        <v>8057085.8022944881</v>
      </c>
      <c r="DY20" s="40">
        <f t="shared" ca="1" si="124"/>
        <v>8057085.8022944881</v>
      </c>
      <c r="DZ20" s="40">
        <f t="shared" ca="1" si="124"/>
        <v>8057085.8022944881</v>
      </c>
      <c r="EA20" s="40">
        <f t="shared" ca="1" si="124"/>
        <v>8057085.8022944881</v>
      </c>
      <c r="EB20" s="40">
        <f t="shared" ca="1" si="124"/>
        <v>8057085.8022944881</v>
      </c>
      <c r="EC20" s="40">
        <f t="shared" ca="1" si="124"/>
        <v>8057085.8022944881</v>
      </c>
      <c r="ED20" s="40">
        <f t="shared" ca="1" si="124"/>
        <v>8057085.8022944881</v>
      </c>
      <c r="EE20" s="40">
        <f t="shared" ca="1" si="124"/>
        <v>8057085.8022944881</v>
      </c>
      <c r="EF20" s="40">
        <f t="shared" ref="EF20:GQ20" ca="1" si="125">EF9*$C$15</f>
        <v>8057085.8022944881</v>
      </c>
      <c r="EG20" s="40">
        <f t="shared" ca="1" si="125"/>
        <v>8057085.8022944881</v>
      </c>
      <c r="EH20" s="40">
        <f t="shared" ca="1" si="125"/>
        <v>8057085.8022944881</v>
      </c>
      <c r="EI20" s="40">
        <f t="shared" ca="1" si="125"/>
        <v>8057085.8022944881</v>
      </c>
      <c r="EJ20" s="40">
        <f t="shared" ca="1" si="125"/>
        <v>8057085.8022944881</v>
      </c>
      <c r="EK20" s="40">
        <f t="shared" ca="1" si="125"/>
        <v>8057085.8022944881</v>
      </c>
      <c r="EL20" s="40">
        <f t="shared" ca="1" si="125"/>
        <v>8057085.8022944881</v>
      </c>
      <c r="EM20" s="40">
        <f t="shared" ca="1" si="125"/>
        <v>8057085.8022944881</v>
      </c>
      <c r="EN20" s="40">
        <f t="shared" ca="1" si="125"/>
        <v>8057085.8022944881</v>
      </c>
      <c r="EO20" s="40">
        <f t="shared" ca="1" si="125"/>
        <v>8057085.8022944881</v>
      </c>
      <c r="EP20" s="40">
        <f t="shared" ca="1" si="125"/>
        <v>8057085.8022944881</v>
      </c>
      <c r="EQ20" s="40">
        <f t="shared" ca="1" si="125"/>
        <v>8057085.8022944881</v>
      </c>
      <c r="ER20" s="40">
        <f t="shared" ca="1" si="125"/>
        <v>8057085.8022944881</v>
      </c>
      <c r="ES20" s="40">
        <f t="shared" ca="1" si="125"/>
        <v>8057085.8022944881</v>
      </c>
      <c r="ET20" s="40">
        <f t="shared" ca="1" si="125"/>
        <v>8057085.8022944881</v>
      </c>
      <c r="EU20" s="40">
        <f t="shared" ca="1" si="125"/>
        <v>8057085.8022944881</v>
      </c>
      <c r="EV20" s="40">
        <f t="shared" ca="1" si="125"/>
        <v>8057085.8022944881</v>
      </c>
      <c r="EW20" s="40">
        <f t="shared" ca="1" si="125"/>
        <v>8057085.8022944881</v>
      </c>
      <c r="EX20" s="40">
        <f t="shared" ca="1" si="125"/>
        <v>8057085.8022944881</v>
      </c>
      <c r="EY20" s="40">
        <f t="shared" ca="1" si="125"/>
        <v>8057085.8022944881</v>
      </c>
      <c r="EZ20" s="40">
        <f t="shared" ca="1" si="125"/>
        <v>8057085.8022944881</v>
      </c>
      <c r="FA20" s="40">
        <f t="shared" ca="1" si="125"/>
        <v>8057085.8022944881</v>
      </c>
      <c r="FB20" s="40">
        <f t="shared" ca="1" si="125"/>
        <v>8057085.8022944881</v>
      </c>
      <c r="FC20" s="40">
        <f t="shared" ca="1" si="125"/>
        <v>8057085.8022944881</v>
      </c>
      <c r="FD20" s="40">
        <f t="shared" ca="1" si="125"/>
        <v>8057085.8022944881</v>
      </c>
      <c r="FE20" s="40">
        <f t="shared" ca="1" si="125"/>
        <v>8057085.8022944881</v>
      </c>
      <c r="FF20" s="40">
        <f t="shared" ca="1" si="125"/>
        <v>8057085.8022944881</v>
      </c>
      <c r="FG20" s="40">
        <f t="shared" ca="1" si="125"/>
        <v>8057085.8022944881</v>
      </c>
      <c r="FH20" s="40">
        <f t="shared" ca="1" si="125"/>
        <v>8057085.8022944881</v>
      </c>
      <c r="FI20" s="40">
        <f t="shared" ca="1" si="125"/>
        <v>8057085.8022944881</v>
      </c>
      <c r="FJ20" s="40">
        <f t="shared" ca="1" si="125"/>
        <v>8057085.8022944881</v>
      </c>
      <c r="FK20" s="40">
        <f t="shared" ca="1" si="125"/>
        <v>8057085.8022944881</v>
      </c>
      <c r="FL20" s="40">
        <f t="shared" ca="1" si="125"/>
        <v>8057085.8022944881</v>
      </c>
      <c r="FM20" s="40">
        <f t="shared" ca="1" si="125"/>
        <v>8057085.8022944881</v>
      </c>
      <c r="FN20" s="40">
        <f t="shared" ca="1" si="125"/>
        <v>8057085.8022944881</v>
      </c>
      <c r="FO20" s="40">
        <f t="shared" ca="1" si="125"/>
        <v>8057085.8022944881</v>
      </c>
      <c r="FP20" s="40">
        <f t="shared" ca="1" si="125"/>
        <v>8057085.8022944881</v>
      </c>
      <c r="FQ20" s="40">
        <f t="shared" ca="1" si="125"/>
        <v>8057085.8022944881</v>
      </c>
      <c r="FR20" s="40">
        <f t="shared" ca="1" si="125"/>
        <v>8057085.8022944881</v>
      </c>
      <c r="FS20" s="40">
        <f t="shared" ca="1" si="125"/>
        <v>8057085.8022944881</v>
      </c>
      <c r="FT20" s="40">
        <f t="shared" ca="1" si="125"/>
        <v>8057085.8022944881</v>
      </c>
      <c r="FU20" s="40">
        <f t="shared" ca="1" si="125"/>
        <v>8057085.8022944881</v>
      </c>
      <c r="FV20" s="40">
        <f t="shared" ca="1" si="125"/>
        <v>8057085.8022944881</v>
      </c>
      <c r="FW20" s="40">
        <f t="shared" ca="1" si="125"/>
        <v>8057085.8022944881</v>
      </c>
      <c r="FX20" s="40">
        <f t="shared" ca="1" si="125"/>
        <v>8057085.8022944881</v>
      </c>
      <c r="FY20" s="40">
        <f t="shared" ca="1" si="125"/>
        <v>8057085.8022944881</v>
      </c>
      <c r="FZ20" s="40">
        <f t="shared" ca="1" si="125"/>
        <v>8057085.8022944881</v>
      </c>
      <c r="GA20" s="40">
        <f t="shared" ca="1" si="125"/>
        <v>8057085.8022944881</v>
      </c>
      <c r="GB20" s="40">
        <f t="shared" ca="1" si="125"/>
        <v>8057085.8022944881</v>
      </c>
      <c r="GC20" s="40">
        <f t="shared" ca="1" si="125"/>
        <v>8057085.8022944881</v>
      </c>
      <c r="GD20" s="40">
        <f t="shared" ca="1" si="125"/>
        <v>8057085.8022944881</v>
      </c>
      <c r="GE20" s="40">
        <f t="shared" ca="1" si="125"/>
        <v>8057085.8022944881</v>
      </c>
      <c r="GF20" s="40">
        <f t="shared" ca="1" si="125"/>
        <v>8057085.8022944881</v>
      </c>
      <c r="GG20" s="40">
        <f t="shared" ca="1" si="125"/>
        <v>8057085.8022944881</v>
      </c>
      <c r="GH20" s="40">
        <f t="shared" ca="1" si="125"/>
        <v>8057085.8022944881</v>
      </c>
      <c r="GI20" s="40">
        <f t="shared" ca="1" si="125"/>
        <v>8057085.8022944881</v>
      </c>
      <c r="GJ20" s="40">
        <f t="shared" ca="1" si="125"/>
        <v>8057085.8022944881</v>
      </c>
      <c r="GK20" s="40">
        <f t="shared" ca="1" si="125"/>
        <v>8057085.8022944881</v>
      </c>
      <c r="GL20" s="40">
        <f t="shared" ca="1" si="125"/>
        <v>8057085.8022944881</v>
      </c>
      <c r="GM20" s="40">
        <f t="shared" ca="1" si="125"/>
        <v>8057085.8022944881</v>
      </c>
      <c r="GN20" s="40">
        <f t="shared" ca="1" si="125"/>
        <v>8057085.8022944881</v>
      </c>
      <c r="GO20" s="40">
        <f t="shared" ca="1" si="125"/>
        <v>8057085.8022944881</v>
      </c>
      <c r="GP20" s="40">
        <f t="shared" ca="1" si="125"/>
        <v>8057085.8022944881</v>
      </c>
      <c r="GQ20" s="40">
        <f t="shared" ca="1" si="125"/>
        <v>8057085.8022944881</v>
      </c>
      <c r="GR20" s="40">
        <f t="shared" ref="GR20:IN20" ca="1" si="126">GR9*$C$15</f>
        <v>8057085.8022944881</v>
      </c>
      <c r="GS20" s="40">
        <f t="shared" ca="1" si="126"/>
        <v>8057085.8022944881</v>
      </c>
      <c r="GT20" s="40">
        <f t="shared" ca="1" si="126"/>
        <v>8057085.8022944881</v>
      </c>
      <c r="GU20" s="40">
        <f t="shared" ca="1" si="126"/>
        <v>8057085.8022944881</v>
      </c>
      <c r="GV20" s="40">
        <f t="shared" ca="1" si="126"/>
        <v>8057085.8022944881</v>
      </c>
      <c r="GW20" s="40">
        <f t="shared" ca="1" si="126"/>
        <v>8057085.8022944881</v>
      </c>
      <c r="GX20" s="40">
        <f t="shared" ca="1" si="126"/>
        <v>8057085.8022944881</v>
      </c>
      <c r="GY20" s="40">
        <f t="shared" ca="1" si="126"/>
        <v>8057085.8022944881</v>
      </c>
      <c r="GZ20" s="40">
        <f t="shared" ca="1" si="126"/>
        <v>8057085.8022944881</v>
      </c>
      <c r="HA20" s="40">
        <f t="shared" ca="1" si="126"/>
        <v>8057085.8022944881</v>
      </c>
      <c r="HB20" s="40">
        <f t="shared" ca="1" si="126"/>
        <v>8057085.8022944881</v>
      </c>
      <c r="HC20" s="40">
        <f t="shared" ca="1" si="126"/>
        <v>8057085.8022944881</v>
      </c>
      <c r="HD20" s="40">
        <f t="shared" ca="1" si="126"/>
        <v>8057085.8022944881</v>
      </c>
      <c r="HE20" s="40">
        <f t="shared" ca="1" si="126"/>
        <v>8057085.8022944881</v>
      </c>
      <c r="HF20" s="40">
        <f t="shared" ca="1" si="126"/>
        <v>8057085.8022944881</v>
      </c>
      <c r="HG20" s="40">
        <f t="shared" ca="1" si="126"/>
        <v>8057085.8022944881</v>
      </c>
      <c r="HH20" s="40">
        <f t="shared" ca="1" si="126"/>
        <v>8057085.8022944881</v>
      </c>
      <c r="HI20" s="40">
        <f t="shared" ca="1" si="126"/>
        <v>8057085.8022944881</v>
      </c>
      <c r="HJ20" s="40">
        <f t="shared" ca="1" si="126"/>
        <v>8057085.8022944881</v>
      </c>
      <c r="HK20" s="40">
        <f t="shared" ca="1" si="126"/>
        <v>8057085.8022944881</v>
      </c>
      <c r="HL20" s="40">
        <f t="shared" ca="1" si="126"/>
        <v>8057085.8022944881</v>
      </c>
      <c r="HM20" s="40">
        <f t="shared" ca="1" si="126"/>
        <v>8057085.8022944881</v>
      </c>
      <c r="HN20" s="40">
        <f t="shared" ca="1" si="126"/>
        <v>8057085.8022944881</v>
      </c>
      <c r="HO20" s="40">
        <f t="shared" ca="1" si="126"/>
        <v>8057085.8022944881</v>
      </c>
      <c r="HP20" s="40">
        <f t="shared" ca="1" si="126"/>
        <v>8057085.8022944881</v>
      </c>
      <c r="HQ20" s="40">
        <f t="shared" ca="1" si="126"/>
        <v>8057085.8022944881</v>
      </c>
      <c r="HR20" s="40">
        <f t="shared" ca="1" si="126"/>
        <v>8057085.8022944881</v>
      </c>
      <c r="HS20" s="40">
        <f t="shared" ca="1" si="126"/>
        <v>8057085.8022944881</v>
      </c>
      <c r="HT20" s="40">
        <f t="shared" ca="1" si="126"/>
        <v>8057085.8022944881</v>
      </c>
      <c r="HU20" s="40">
        <f t="shared" ca="1" si="126"/>
        <v>8057085.8022944881</v>
      </c>
      <c r="HV20" s="40">
        <f t="shared" ca="1" si="126"/>
        <v>8057085.8022944881</v>
      </c>
      <c r="HW20" s="40">
        <f t="shared" ca="1" si="126"/>
        <v>8057085.8022944881</v>
      </c>
      <c r="HX20" s="40">
        <f t="shared" ca="1" si="126"/>
        <v>8057085.8022944881</v>
      </c>
      <c r="HY20" s="40">
        <f t="shared" ca="1" si="126"/>
        <v>8057085.8022944881</v>
      </c>
      <c r="HZ20" s="40">
        <f t="shared" ca="1" si="126"/>
        <v>8057085.8022944881</v>
      </c>
      <c r="IA20" s="40">
        <f t="shared" ca="1" si="126"/>
        <v>8057085.8022944881</v>
      </c>
      <c r="IB20" s="40">
        <f t="shared" ca="1" si="126"/>
        <v>8057085.8022944881</v>
      </c>
      <c r="IC20" s="40">
        <f t="shared" ca="1" si="126"/>
        <v>8057085.8022944881</v>
      </c>
      <c r="ID20" s="40">
        <f t="shared" ca="1" si="126"/>
        <v>8057085.8022944881</v>
      </c>
      <c r="IE20" s="40">
        <f t="shared" ca="1" si="126"/>
        <v>8057085.8022944881</v>
      </c>
      <c r="IF20" s="40">
        <f t="shared" ca="1" si="126"/>
        <v>8057085.8022944881</v>
      </c>
      <c r="IG20" s="40">
        <f t="shared" ca="1" si="126"/>
        <v>8057085.8022944881</v>
      </c>
      <c r="IH20" s="40">
        <f t="shared" ca="1" si="126"/>
        <v>8057085.8022944881</v>
      </c>
      <c r="II20" s="40">
        <f t="shared" ca="1" si="126"/>
        <v>8057085.8022944881</v>
      </c>
      <c r="IJ20" s="40">
        <f t="shared" ca="1" si="126"/>
        <v>8057085.8022944881</v>
      </c>
      <c r="IK20" s="40">
        <f t="shared" ca="1" si="126"/>
        <v>8057085.8022944881</v>
      </c>
      <c r="IL20" s="40">
        <f t="shared" ca="1" si="126"/>
        <v>8057085.8022944881</v>
      </c>
      <c r="IM20" s="40">
        <f t="shared" ca="1" si="126"/>
        <v>8057085.8022944881</v>
      </c>
      <c r="IN20" s="40">
        <f t="shared" ca="1" si="126"/>
        <v>8057085.8022944881</v>
      </c>
    </row>
    <row r="21" spans="2:248" x14ac:dyDescent="0.3">
      <c r="B21" s="19" t="s">
        <v>490</v>
      </c>
      <c r="C21" s="40">
        <f>C20*C19</f>
        <v>132401060.40000001</v>
      </c>
      <c r="F21" s="19" t="s">
        <v>492</v>
      </c>
      <c r="G21" s="40">
        <f>G10*$C$15</f>
        <v>7.1807289291978327</v>
      </c>
      <c r="H21" s="40">
        <f t="shared" ref="H21:BS22" ca="1" si="127">H10*$C$15</f>
        <v>7.789265279129852</v>
      </c>
      <c r="I21" s="40">
        <f t="shared" ca="1" si="127"/>
        <v>9.5540206939327099</v>
      </c>
      <c r="J21" s="40">
        <f t="shared" ca="1" si="127"/>
        <v>13.367515153506698</v>
      </c>
      <c r="K21" s="40">
        <f t="shared" ca="1" si="127"/>
        <v>22.302857225008523</v>
      </c>
      <c r="L21" s="40">
        <f t="shared" ca="1" si="127"/>
        <v>29.477500790707033</v>
      </c>
      <c r="M21" s="40">
        <f t="shared" ca="1" si="127"/>
        <v>33.611491061245225</v>
      </c>
      <c r="N21" s="40">
        <f t="shared" ca="1" si="127"/>
        <v>56.298305745139416</v>
      </c>
      <c r="O21" s="40">
        <f t="shared" ca="1" si="127"/>
        <v>75.534574435311939</v>
      </c>
      <c r="P21" s="40">
        <f t="shared" ca="1" si="127"/>
        <v>98.63698080898115</v>
      </c>
      <c r="Q21" s="40">
        <f t="shared" ca="1" si="127"/>
        <v>129.69126689751204</v>
      </c>
      <c r="R21" s="40">
        <f t="shared" ca="1" si="127"/>
        <v>162.67836278273612</v>
      </c>
      <c r="S21" s="40">
        <f t="shared" ca="1" si="127"/>
        <v>198.80882552279084</v>
      </c>
      <c r="T21" s="40">
        <f t="shared" ca="1" si="127"/>
        <v>260.1492895959384</v>
      </c>
      <c r="U21" s="40">
        <f t="shared" ca="1" si="127"/>
        <v>366.46058992906228</v>
      </c>
      <c r="V21" s="40">
        <f t="shared" ca="1" si="127"/>
        <v>434.67751475644167</v>
      </c>
      <c r="W21" s="40">
        <f t="shared" ca="1" si="127"/>
        <v>783.06457509252289</v>
      </c>
      <c r="X21" s="40">
        <f t="shared" ca="1" si="127"/>
        <v>1109.4226195610652</v>
      </c>
      <c r="Y21" s="40">
        <f t="shared" ca="1" si="127"/>
        <v>1453.2456572726562</v>
      </c>
      <c r="Z21" s="40">
        <f t="shared" ca="1" si="127"/>
        <v>1904.7187752872217</v>
      </c>
      <c r="AA21" s="40">
        <f t="shared" ca="1" si="127"/>
        <v>2512.585735234316</v>
      </c>
      <c r="AB21" s="40">
        <f t="shared" ca="1" si="127"/>
        <v>3066.5972282124267</v>
      </c>
      <c r="AC21" s="40">
        <f t="shared" ca="1" si="127"/>
        <v>3749.9226955510917</v>
      </c>
      <c r="AD21" s="40">
        <f t="shared" ca="1" si="127"/>
        <v>4772.6288852468442</v>
      </c>
      <c r="AE21" s="40">
        <f t="shared" ca="1" si="127"/>
        <v>5745.6785087881435</v>
      </c>
      <c r="AF21" s="40">
        <f t="shared" ca="1" si="127"/>
        <v>6777.4518900978828</v>
      </c>
      <c r="AG21" s="40">
        <f t="shared" ca="1" si="127"/>
        <v>7874.5820753903208</v>
      </c>
      <c r="AH21" s="40">
        <f t="shared" ca="1" si="127"/>
        <v>8491.5162269514021</v>
      </c>
      <c r="AI21" s="40">
        <f t="shared" ca="1" si="127"/>
        <v>9740.4762315518801</v>
      </c>
      <c r="AJ21" s="40">
        <f t="shared" ca="1" si="127"/>
        <v>10777.604732741022</v>
      </c>
      <c r="AK21" s="40">
        <f t="shared" ca="1" si="127"/>
        <v>11987.618410945848</v>
      </c>
      <c r="AL21" s="40">
        <f t="shared" ca="1" si="127"/>
        <v>13186.380252040435</v>
      </c>
      <c r="AM21" s="40">
        <f t="shared" ca="1" si="127"/>
        <v>14505.018277244479</v>
      </c>
      <c r="AN21" s="40">
        <f t="shared" ca="1" si="127"/>
        <v>15955.520104968929</v>
      </c>
      <c r="AO21" s="40">
        <f t="shared" ca="1" si="127"/>
        <v>17551.072115465824</v>
      </c>
      <c r="AP21" s="40">
        <f t="shared" ca="1" si="127"/>
        <v>19306.179327012407</v>
      </c>
      <c r="AQ21" s="40">
        <f t="shared" ca="1" si="127"/>
        <v>21236.79725971365</v>
      </c>
      <c r="AR21" s="40">
        <f t="shared" ca="1" si="127"/>
        <v>23360.476985685018</v>
      </c>
      <c r="AS21" s="40">
        <f t="shared" ca="1" si="127"/>
        <v>25696.524684253523</v>
      </c>
      <c r="AT21" s="40">
        <f t="shared" ca="1" si="127"/>
        <v>28266.177152678876</v>
      </c>
      <c r="AU21" s="40">
        <f t="shared" ca="1" si="127"/>
        <v>31092.794867946766</v>
      </c>
      <c r="AV21" s="40">
        <f t="shared" ca="1" si="127"/>
        <v>34202.074354741446</v>
      </c>
      <c r="AW21" s="40">
        <f t="shared" ca="1" si="127"/>
        <v>37622.281790215588</v>
      </c>
      <c r="AX21" s="40">
        <f t="shared" ca="1" si="127"/>
        <v>41384.509969237144</v>
      </c>
      <c r="AY21" s="40">
        <f t="shared" ca="1" si="127"/>
        <v>45522.96096616087</v>
      </c>
      <c r="AZ21" s="40">
        <f t="shared" ca="1" si="127"/>
        <v>50075.25706277696</v>
      </c>
      <c r="BA21" s="40">
        <f t="shared" ca="1" si="127"/>
        <v>55082.782769054655</v>
      </c>
      <c r="BB21" s="40">
        <f t="shared" ca="1" si="127"/>
        <v>60591.061045960123</v>
      </c>
      <c r="BC21" s="40">
        <f t="shared" ca="1" si="127"/>
        <v>66650.167150556139</v>
      </c>
      <c r="BD21" s="40">
        <f t="shared" ca="1" si="127"/>
        <v>73315.183865611747</v>
      </c>
      <c r="BE21" s="40">
        <f t="shared" ca="1" si="127"/>
        <v>80646.702252172938</v>
      </c>
      <c r="BF21" s="40">
        <f t="shared" ca="1" si="127"/>
        <v>88711.372477390221</v>
      </c>
      <c r="BG21" s="40">
        <f t="shared" ca="1" si="127"/>
        <v>97582.509725129261</v>
      </c>
      <c r="BH21" s="40">
        <f t="shared" ca="1" si="127"/>
        <v>107340.7606976422</v>
      </c>
      <c r="BI21" s="40">
        <f t="shared" ca="1" si="127"/>
        <v>118074.83676740642</v>
      </c>
      <c r="BJ21" s="40">
        <f t="shared" ca="1" si="127"/>
        <v>129882.32044414709</v>
      </c>
      <c r="BK21" s="40">
        <f t="shared" ca="1" si="127"/>
        <v>142870.55248856184</v>
      </c>
      <c r="BL21" s="40">
        <f t="shared" ca="1" si="127"/>
        <v>157157.607737418</v>
      </c>
      <c r="BM21" s="40">
        <f t="shared" ca="1" si="127"/>
        <v>172873.36851115982</v>
      </c>
      <c r="BN21" s="40">
        <f t="shared" ca="1" si="127"/>
        <v>190160.7053622758</v>
      </c>
      <c r="BO21" s="40">
        <f t="shared" ca="1" si="127"/>
        <v>209176.77589850337</v>
      </c>
      <c r="BP21" s="40">
        <f t="shared" ca="1" si="127"/>
        <v>230094.45348835373</v>
      </c>
      <c r="BQ21" s="40">
        <f t="shared" ca="1" si="127"/>
        <v>253103.89883718913</v>
      </c>
      <c r="BR21" s="40">
        <f t="shared" ca="1" si="127"/>
        <v>278414.28872090805</v>
      </c>
      <c r="BS21" s="40">
        <f t="shared" ca="1" si="127"/>
        <v>306255.71759299887</v>
      </c>
      <c r="BT21" s="40">
        <f t="shared" ref="BT21:EE23" ca="1" si="128">BT10*$C$15</f>
        <v>336881.28935229877</v>
      </c>
      <c r="BU21" s="40">
        <f t="shared" ca="1" si="128"/>
        <v>370569.41828752874</v>
      </c>
      <c r="BV21" s="40">
        <f t="shared" ca="1" si="128"/>
        <v>407626.3601162816</v>
      </c>
      <c r="BW21" s="40">
        <f t="shared" ca="1" si="128"/>
        <v>448388.99612790981</v>
      </c>
      <c r="BX21" s="40">
        <f t="shared" ca="1" si="128"/>
        <v>493227.89574070089</v>
      </c>
      <c r="BY21" s="40">
        <f t="shared" ca="1" si="128"/>
        <v>542550.68531477102</v>
      </c>
      <c r="BZ21" s="40">
        <f t="shared" ca="1" si="128"/>
        <v>596805.75384624826</v>
      </c>
      <c r="CA21" s="40">
        <f t="shared" ca="1" si="128"/>
        <v>656486.32923087315</v>
      </c>
      <c r="CB21" s="40">
        <f t="shared" ca="1" si="128"/>
        <v>722134.96215396049</v>
      </c>
      <c r="CC21" s="40">
        <f t="shared" ca="1" si="128"/>
        <v>794348.45836935658</v>
      </c>
      <c r="CD21" s="40">
        <f t="shared" ca="1" si="128"/>
        <v>873783.30420629238</v>
      </c>
      <c r="CE21" s="40">
        <f t="shared" ca="1" si="128"/>
        <v>961161.63462692173</v>
      </c>
      <c r="CF21" s="40">
        <f t="shared" ca="1" si="128"/>
        <v>1057277.7980896139</v>
      </c>
      <c r="CG21" s="40">
        <f t="shared" ca="1" si="128"/>
        <v>1163005.5778985755</v>
      </c>
      <c r="CH21" s="40">
        <f t="shared" ca="1" si="128"/>
        <v>1279306.1356884332</v>
      </c>
      <c r="CI21" s="40">
        <f t="shared" ca="1" si="128"/>
        <v>1407236.7492572765</v>
      </c>
      <c r="CJ21" s="40">
        <f t="shared" ca="1" si="128"/>
        <v>1547960.4241830043</v>
      </c>
      <c r="CK21" s="40">
        <f t="shared" ca="1" si="128"/>
        <v>1702756.4666013047</v>
      </c>
      <c r="CL21" s="40">
        <f t="shared" ca="1" si="128"/>
        <v>1873032.1132614356</v>
      </c>
      <c r="CM21" s="40">
        <f t="shared" ca="1" si="128"/>
        <v>2060335.3245875791</v>
      </c>
      <c r="CN21" s="40">
        <f t="shared" ca="1" si="128"/>
        <v>2266368.8570463373</v>
      </c>
      <c r="CO21" s="40">
        <f t="shared" ca="1" si="128"/>
        <v>2493005.7427509716</v>
      </c>
      <c r="CP21" s="40">
        <f t="shared" ca="1" si="128"/>
        <v>2742306.3170260689</v>
      </c>
      <c r="CQ21" s="40">
        <f t="shared" ca="1" si="128"/>
        <v>3016536.948728676</v>
      </c>
      <c r="CR21" s="40">
        <f t="shared" ca="1" si="128"/>
        <v>3318190.6436015437</v>
      </c>
      <c r="CS21" s="40">
        <f t="shared" ca="1" si="128"/>
        <v>3650009.7079616981</v>
      </c>
      <c r="CT21" s="40">
        <f t="shared" ca="1" si="128"/>
        <v>4015010.6787578682</v>
      </c>
      <c r="CU21" s="40">
        <f t="shared" ca="1" si="128"/>
        <v>4416511.7466336554</v>
      </c>
      <c r="CV21" s="40">
        <f t="shared" ca="1" si="128"/>
        <v>4858162.9212970203</v>
      </c>
      <c r="CW21" s="40">
        <f t="shared" ca="1" si="128"/>
        <v>5343979.2134267231</v>
      </c>
      <c r="CX21" s="40">
        <f t="shared" ca="1" si="128"/>
        <v>5878377.1347693969</v>
      </c>
      <c r="CY21" s="40">
        <f t="shared" ca="1" si="128"/>
        <v>6466214.8482463369</v>
      </c>
      <c r="CZ21" s="40">
        <f t="shared" ca="1" si="128"/>
        <v>7112836.333070972</v>
      </c>
      <c r="DA21" s="40">
        <f t="shared" ca="1" si="128"/>
        <v>7824119.9663780695</v>
      </c>
      <c r="DB21" s="40">
        <f t="shared" ca="1" si="128"/>
        <v>8057085.8022944881</v>
      </c>
      <c r="DC21" s="40">
        <f t="shared" ca="1" si="128"/>
        <v>8057085.8022944881</v>
      </c>
      <c r="DD21" s="40">
        <f t="shared" ca="1" si="128"/>
        <v>8057085.8022944881</v>
      </c>
      <c r="DE21" s="40">
        <f t="shared" ca="1" si="128"/>
        <v>8057085.8022944881</v>
      </c>
      <c r="DF21" s="40">
        <f t="shared" ca="1" si="128"/>
        <v>8057085.8022944881</v>
      </c>
      <c r="DG21" s="40">
        <f t="shared" ca="1" si="128"/>
        <v>8057085.8022944881</v>
      </c>
      <c r="DH21" s="40">
        <f t="shared" ca="1" si="128"/>
        <v>8057085.8022944881</v>
      </c>
      <c r="DI21" s="40">
        <f t="shared" ca="1" si="128"/>
        <v>8057085.8022944881</v>
      </c>
      <c r="DJ21" s="40">
        <f t="shared" ca="1" si="128"/>
        <v>8057085.8022944881</v>
      </c>
      <c r="DK21" s="40">
        <f t="shared" ca="1" si="128"/>
        <v>8057085.8022944881</v>
      </c>
      <c r="DL21" s="40">
        <f t="shared" ca="1" si="128"/>
        <v>8057085.8022944881</v>
      </c>
      <c r="DM21" s="40">
        <f t="shared" ca="1" si="128"/>
        <v>8057085.8022944881</v>
      </c>
      <c r="DN21" s="40">
        <f t="shared" ca="1" si="128"/>
        <v>8057085.8022944881</v>
      </c>
      <c r="DO21" s="40">
        <f t="shared" ca="1" si="128"/>
        <v>8057085.8022944881</v>
      </c>
      <c r="DP21" s="40">
        <f t="shared" ca="1" si="128"/>
        <v>8057085.8022944881</v>
      </c>
      <c r="DQ21" s="40">
        <f t="shared" ca="1" si="128"/>
        <v>8057085.8022944881</v>
      </c>
      <c r="DR21" s="40">
        <f t="shared" ca="1" si="128"/>
        <v>8057085.8022944881</v>
      </c>
      <c r="DS21" s="40">
        <f t="shared" ca="1" si="128"/>
        <v>8057085.8022944881</v>
      </c>
      <c r="DT21" s="40">
        <f t="shared" ca="1" si="128"/>
        <v>8057085.8022944881</v>
      </c>
      <c r="DU21" s="40">
        <f t="shared" ca="1" si="128"/>
        <v>8057085.8022944881</v>
      </c>
      <c r="DV21" s="40">
        <f t="shared" ca="1" si="128"/>
        <v>8057085.8022944881</v>
      </c>
      <c r="DW21" s="40">
        <f t="shared" ca="1" si="128"/>
        <v>8057085.8022944881</v>
      </c>
      <c r="DX21" s="40">
        <f t="shared" ca="1" si="128"/>
        <v>8057085.8022944881</v>
      </c>
      <c r="DY21" s="40">
        <f t="shared" ca="1" si="128"/>
        <v>8057085.8022944881</v>
      </c>
      <c r="DZ21" s="40">
        <f t="shared" ca="1" si="128"/>
        <v>8057085.8022944881</v>
      </c>
      <c r="EA21" s="40">
        <f t="shared" ca="1" si="128"/>
        <v>8057085.8022944881</v>
      </c>
      <c r="EB21" s="40">
        <f t="shared" ca="1" si="128"/>
        <v>8057085.8022944881</v>
      </c>
      <c r="EC21" s="40">
        <f t="shared" ca="1" si="128"/>
        <v>8057085.8022944881</v>
      </c>
      <c r="ED21" s="40">
        <f t="shared" ca="1" si="128"/>
        <v>8057085.8022944881</v>
      </c>
      <c r="EE21" s="40">
        <f t="shared" ca="1" si="128"/>
        <v>8057085.8022944881</v>
      </c>
      <c r="EF21" s="40">
        <f t="shared" ref="EF21:GQ23" ca="1" si="129">EF10*$C$15</f>
        <v>8057085.8022944881</v>
      </c>
      <c r="EG21" s="40">
        <f t="shared" ca="1" si="129"/>
        <v>8057085.8022944881</v>
      </c>
      <c r="EH21" s="40">
        <f t="shared" ca="1" si="129"/>
        <v>8057085.8022944881</v>
      </c>
      <c r="EI21" s="40">
        <f t="shared" ca="1" si="129"/>
        <v>8057085.8022944881</v>
      </c>
      <c r="EJ21" s="40">
        <f t="shared" ca="1" si="129"/>
        <v>8057085.8022944881</v>
      </c>
      <c r="EK21" s="40">
        <f t="shared" ca="1" si="129"/>
        <v>8057085.8022944881</v>
      </c>
      <c r="EL21" s="40">
        <f t="shared" ca="1" si="129"/>
        <v>8057085.8022944881</v>
      </c>
      <c r="EM21" s="40">
        <f t="shared" ca="1" si="129"/>
        <v>8057085.8022944881</v>
      </c>
      <c r="EN21" s="40">
        <f t="shared" ca="1" si="129"/>
        <v>8057085.8022944881</v>
      </c>
      <c r="EO21" s="40">
        <f t="shared" ca="1" si="129"/>
        <v>8057085.8022944881</v>
      </c>
      <c r="EP21" s="40">
        <f t="shared" ca="1" si="129"/>
        <v>8057085.8022944881</v>
      </c>
      <c r="EQ21" s="40">
        <f t="shared" ca="1" si="129"/>
        <v>8057085.8022944881</v>
      </c>
      <c r="ER21" s="40">
        <f t="shared" ca="1" si="129"/>
        <v>8057085.8022944881</v>
      </c>
      <c r="ES21" s="40">
        <f t="shared" ca="1" si="129"/>
        <v>8057085.8022944881</v>
      </c>
      <c r="ET21" s="40">
        <f t="shared" ca="1" si="129"/>
        <v>8057085.8022944881</v>
      </c>
      <c r="EU21" s="40">
        <f t="shared" ca="1" si="129"/>
        <v>8057085.8022944881</v>
      </c>
      <c r="EV21" s="40">
        <f t="shared" ca="1" si="129"/>
        <v>8057085.8022944881</v>
      </c>
      <c r="EW21" s="40">
        <f t="shared" ca="1" si="129"/>
        <v>8057085.8022944881</v>
      </c>
      <c r="EX21" s="40">
        <f t="shared" ca="1" si="129"/>
        <v>8057085.8022944881</v>
      </c>
      <c r="EY21" s="40">
        <f t="shared" ca="1" si="129"/>
        <v>8057085.8022944881</v>
      </c>
      <c r="EZ21" s="40">
        <f t="shared" ca="1" si="129"/>
        <v>8057085.8022944881</v>
      </c>
      <c r="FA21" s="40">
        <f t="shared" ca="1" si="129"/>
        <v>8057085.8022944881</v>
      </c>
      <c r="FB21" s="40">
        <f t="shared" ca="1" si="129"/>
        <v>8057085.8022944881</v>
      </c>
      <c r="FC21" s="40">
        <f t="shared" ca="1" si="129"/>
        <v>8057085.8022944881</v>
      </c>
      <c r="FD21" s="40">
        <f t="shared" ca="1" si="129"/>
        <v>8057085.8022944881</v>
      </c>
      <c r="FE21" s="40">
        <f t="shared" ca="1" si="129"/>
        <v>8057085.8022944881</v>
      </c>
      <c r="FF21" s="40">
        <f t="shared" ca="1" si="129"/>
        <v>8057085.8022944881</v>
      </c>
      <c r="FG21" s="40">
        <f t="shared" ca="1" si="129"/>
        <v>8057085.8022944881</v>
      </c>
      <c r="FH21" s="40">
        <f t="shared" ca="1" si="129"/>
        <v>8057085.8022944881</v>
      </c>
      <c r="FI21" s="40">
        <f t="shared" ca="1" si="129"/>
        <v>8057085.8022944881</v>
      </c>
      <c r="FJ21" s="40">
        <f t="shared" ca="1" si="129"/>
        <v>8057085.8022944881</v>
      </c>
      <c r="FK21" s="40">
        <f t="shared" ca="1" si="129"/>
        <v>8057085.8022944881</v>
      </c>
      <c r="FL21" s="40">
        <f t="shared" ca="1" si="129"/>
        <v>8057085.8022944881</v>
      </c>
      <c r="FM21" s="40">
        <f t="shared" ca="1" si="129"/>
        <v>8057085.8022944881</v>
      </c>
      <c r="FN21" s="40">
        <f t="shared" ca="1" si="129"/>
        <v>8057085.8022944881</v>
      </c>
      <c r="FO21" s="40">
        <f t="shared" ca="1" si="129"/>
        <v>8057085.8022944881</v>
      </c>
      <c r="FP21" s="40">
        <f t="shared" ca="1" si="129"/>
        <v>8057085.8022944881</v>
      </c>
      <c r="FQ21" s="40">
        <f t="shared" ca="1" si="129"/>
        <v>8057085.8022944881</v>
      </c>
      <c r="FR21" s="40">
        <f t="shared" ca="1" si="129"/>
        <v>8057085.8022944881</v>
      </c>
      <c r="FS21" s="40">
        <f t="shared" ca="1" si="129"/>
        <v>8057085.8022944881</v>
      </c>
      <c r="FT21" s="40">
        <f t="shared" ca="1" si="129"/>
        <v>8057085.8022944881</v>
      </c>
      <c r="FU21" s="40">
        <f t="shared" ca="1" si="129"/>
        <v>8057085.8022944881</v>
      </c>
      <c r="FV21" s="40">
        <f t="shared" ca="1" si="129"/>
        <v>8057085.8022944881</v>
      </c>
      <c r="FW21" s="40">
        <f t="shared" ca="1" si="129"/>
        <v>8057085.8022944881</v>
      </c>
      <c r="FX21" s="40">
        <f t="shared" ca="1" si="129"/>
        <v>8057085.8022944881</v>
      </c>
      <c r="FY21" s="40">
        <f t="shared" ca="1" si="129"/>
        <v>8057085.8022944881</v>
      </c>
      <c r="FZ21" s="40">
        <f t="shared" ca="1" si="129"/>
        <v>8057085.8022944881</v>
      </c>
      <c r="GA21" s="40">
        <f t="shared" ca="1" si="129"/>
        <v>8057085.8022944881</v>
      </c>
      <c r="GB21" s="40">
        <f t="shared" ca="1" si="129"/>
        <v>8057085.8022944881</v>
      </c>
      <c r="GC21" s="40">
        <f t="shared" ca="1" si="129"/>
        <v>8057085.8022944881</v>
      </c>
      <c r="GD21" s="40">
        <f t="shared" ca="1" si="129"/>
        <v>8057085.8022944881</v>
      </c>
      <c r="GE21" s="40">
        <f t="shared" ca="1" si="129"/>
        <v>8057085.8022944881</v>
      </c>
      <c r="GF21" s="40">
        <f t="shared" ca="1" si="129"/>
        <v>8057085.8022944881</v>
      </c>
      <c r="GG21" s="40">
        <f t="shared" ca="1" si="129"/>
        <v>8057085.8022944881</v>
      </c>
      <c r="GH21" s="40">
        <f t="shared" ca="1" si="129"/>
        <v>8057085.8022944881</v>
      </c>
      <c r="GI21" s="40">
        <f t="shared" ca="1" si="129"/>
        <v>8057085.8022944881</v>
      </c>
      <c r="GJ21" s="40">
        <f t="shared" ca="1" si="129"/>
        <v>8057085.8022944881</v>
      </c>
      <c r="GK21" s="40">
        <f t="shared" ca="1" si="129"/>
        <v>8057085.8022944881</v>
      </c>
      <c r="GL21" s="40">
        <f t="shared" ca="1" si="129"/>
        <v>8057085.8022944881</v>
      </c>
      <c r="GM21" s="40">
        <f t="shared" ca="1" si="129"/>
        <v>8057085.8022944881</v>
      </c>
      <c r="GN21" s="40">
        <f t="shared" ca="1" si="129"/>
        <v>8057085.8022944881</v>
      </c>
      <c r="GO21" s="40">
        <f t="shared" ca="1" si="129"/>
        <v>8057085.8022944881</v>
      </c>
      <c r="GP21" s="40">
        <f t="shared" ca="1" si="129"/>
        <v>8057085.8022944881</v>
      </c>
      <c r="GQ21" s="40">
        <f t="shared" ca="1" si="129"/>
        <v>8057085.8022944881</v>
      </c>
      <c r="GR21" s="40">
        <f t="shared" ref="GR21:IN23" ca="1" si="130">GR10*$C$15</f>
        <v>8057085.8022944881</v>
      </c>
      <c r="GS21" s="40">
        <f t="shared" ca="1" si="130"/>
        <v>8057085.8022944881</v>
      </c>
      <c r="GT21" s="40">
        <f t="shared" ca="1" si="130"/>
        <v>8057085.8022944881</v>
      </c>
      <c r="GU21" s="40">
        <f t="shared" ca="1" si="130"/>
        <v>8057085.8022944881</v>
      </c>
      <c r="GV21" s="40">
        <f t="shared" ca="1" si="130"/>
        <v>8057085.8022944881</v>
      </c>
      <c r="GW21" s="40">
        <f t="shared" ca="1" si="130"/>
        <v>8057085.8022944881</v>
      </c>
      <c r="GX21" s="40">
        <f t="shared" ca="1" si="130"/>
        <v>8057085.8022944881</v>
      </c>
      <c r="GY21" s="40">
        <f t="shared" ca="1" si="130"/>
        <v>8057085.8022944881</v>
      </c>
      <c r="GZ21" s="40">
        <f t="shared" ca="1" si="130"/>
        <v>8057085.8022944881</v>
      </c>
      <c r="HA21" s="40">
        <f t="shared" ca="1" si="130"/>
        <v>8057085.8022944881</v>
      </c>
      <c r="HB21" s="40">
        <f t="shared" ca="1" si="130"/>
        <v>8057085.8022944881</v>
      </c>
      <c r="HC21" s="40">
        <f t="shared" ca="1" si="130"/>
        <v>8057085.8022944881</v>
      </c>
      <c r="HD21" s="40">
        <f t="shared" ca="1" si="130"/>
        <v>8057085.8022944881</v>
      </c>
      <c r="HE21" s="40">
        <f t="shared" ca="1" si="130"/>
        <v>8057085.8022944881</v>
      </c>
      <c r="HF21" s="40">
        <f t="shared" ca="1" si="130"/>
        <v>8057085.8022944881</v>
      </c>
      <c r="HG21" s="40">
        <f t="shared" ca="1" si="130"/>
        <v>8057085.8022944881</v>
      </c>
      <c r="HH21" s="40">
        <f t="shared" ca="1" si="130"/>
        <v>8057085.8022944881</v>
      </c>
      <c r="HI21" s="40">
        <f t="shared" ca="1" si="130"/>
        <v>8057085.8022944881</v>
      </c>
      <c r="HJ21" s="40">
        <f t="shared" ca="1" si="130"/>
        <v>8057085.8022944881</v>
      </c>
      <c r="HK21" s="40">
        <f t="shared" ca="1" si="130"/>
        <v>8057085.8022944881</v>
      </c>
      <c r="HL21" s="40">
        <f t="shared" ca="1" si="130"/>
        <v>8057085.8022944881</v>
      </c>
      <c r="HM21" s="40">
        <f t="shared" ca="1" si="130"/>
        <v>8057085.8022944881</v>
      </c>
      <c r="HN21" s="40">
        <f t="shared" ca="1" si="130"/>
        <v>8057085.8022944881</v>
      </c>
      <c r="HO21" s="40">
        <f t="shared" ca="1" si="130"/>
        <v>8057085.8022944881</v>
      </c>
      <c r="HP21" s="40">
        <f t="shared" ca="1" si="130"/>
        <v>8057085.8022944881</v>
      </c>
      <c r="HQ21" s="40">
        <f t="shared" ca="1" si="130"/>
        <v>8057085.8022944881</v>
      </c>
      <c r="HR21" s="40">
        <f t="shared" ca="1" si="130"/>
        <v>8057085.8022944881</v>
      </c>
      <c r="HS21" s="40">
        <f t="shared" ca="1" si="130"/>
        <v>8057085.8022944881</v>
      </c>
      <c r="HT21" s="40">
        <f t="shared" ca="1" si="130"/>
        <v>8057085.8022944881</v>
      </c>
      <c r="HU21" s="40">
        <f t="shared" ca="1" si="130"/>
        <v>8057085.8022944881</v>
      </c>
      <c r="HV21" s="40">
        <f t="shared" ca="1" si="130"/>
        <v>8057085.8022944881</v>
      </c>
      <c r="HW21" s="40">
        <f t="shared" ca="1" si="130"/>
        <v>8057085.8022944881</v>
      </c>
      <c r="HX21" s="40">
        <f t="shared" ca="1" si="130"/>
        <v>8057085.8022944881</v>
      </c>
      <c r="HY21" s="40">
        <f t="shared" ca="1" si="130"/>
        <v>8057085.8022944881</v>
      </c>
      <c r="HZ21" s="40">
        <f t="shared" ca="1" si="130"/>
        <v>8057085.8022944881</v>
      </c>
      <c r="IA21" s="40">
        <f t="shared" ca="1" si="130"/>
        <v>8057085.8022944881</v>
      </c>
      <c r="IB21" s="40">
        <f t="shared" ca="1" si="130"/>
        <v>8057085.8022944881</v>
      </c>
      <c r="IC21" s="40">
        <f t="shared" ca="1" si="130"/>
        <v>8057085.8022944881</v>
      </c>
      <c r="ID21" s="40">
        <f t="shared" ca="1" si="130"/>
        <v>8057085.8022944881</v>
      </c>
      <c r="IE21" s="40">
        <f t="shared" ca="1" si="130"/>
        <v>8057085.8022944881</v>
      </c>
      <c r="IF21" s="40">
        <f t="shared" ca="1" si="130"/>
        <v>8057085.8022944881</v>
      </c>
      <c r="IG21" s="40">
        <f t="shared" ca="1" si="130"/>
        <v>8057085.8022944881</v>
      </c>
      <c r="IH21" s="40">
        <f t="shared" ca="1" si="130"/>
        <v>8057085.8022944881</v>
      </c>
      <c r="II21" s="40">
        <f t="shared" ca="1" si="130"/>
        <v>8057085.8022944881</v>
      </c>
      <c r="IJ21" s="40">
        <f t="shared" ca="1" si="130"/>
        <v>8057085.8022944881</v>
      </c>
      <c r="IK21" s="40">
        <f t="shared" ca="1" si="130"/>
        <v>8057085.8022944881</v>
      </c>
      <c r="IL21" s="40">
        <f t="shared" ca="1" si="130"/>
        <v>8057085.8022944881</v>
      </c>
      <c r="IM21" s="40">
        <f t="shared" ca="1" si="130"/>
        <v>8057085.8022944881</v>
      </c>
      <c r="IN21" s="40">
        <f t="shared" ca="1" si="130"/>
        <v>8057085.8022944881</v>
      </c>
    </row>
    <row r="22" spans="2:248" x14ac:dyDescent="0.3">
      <c r="C22" s="40"/>
      <c r="F22" s="19" t="s">
        <v>495</v>
      </c>
      <c r="G22" s="40">
        <f t="shared" ref="G22:V23" si="131">G11*$C$15</f>
        <v>7.1807289291978327</v>
      </c>
      <c r="H22" s="40">
        <f t="shared" ca="1" si="131"/>
        <v>7.789265279129852</v>
      </c>
      <c r="I22" s="40">
        <f t="shared" ca="1" si="131"/>
        <v>9.5540206939327099</v>
      </c>
      <c r="J22" s="40">
        <f t="shared" ca="1" si="131"/>
        <v>13.367515153506698</v>
      </c>
      <c r="K22" s="40">
        <f t="shared" ca="1" si="131"/>
        <v>22.302857225008523</v>
      </c>
      <c r="L22" s="40">
        <f t="shared" ca="1" si="131"/>
        <v>29.477500790707033</v>
      </c>
      <c r="M22" s="40">
        <f t="shared" ca="1" si="131"/>
        <v>33.611491061245225</v>
      </c>
      <c r="N22" s="40">
        <f t="shared" ca="1" si="131"/>
        <v>56.298305745139416</v>
      </c>
      <c r="O22" s="40">
        <f t="shared" ca="1" si="131"/>
        <v>75.534574435311939</v>
      </c>
      <c r="P22" s="40">
        <f t="shared" ca="1" si="131"/>
        <v>98.63698080898115</v>
      </c>
      <c r="Q22" s="40">
        <f t="shared" ca="1" si="131"/>
        <v>129.69126689751204</v>
      </c>
      <c r="R22" s="40">
        <f t="shared" ca="1" si="131"/>
        <v>162.67836278273612</v>
      </c>
      <c r="S22" s="40">
        <f t="shared" ca="1" si="131"/>
        <v>198.80882552279084</v>
      </c>
      <c r="T22" s="40">
        <f t="shared" ca="1" si="131"/>
        <v>260.1492895959384</v>
      </c>
      <c r="U22" s="40">
        <f t="shared" ca="1" si="131"/>
        <v>366.46058992906228</v>
      </c>
      <c r="V22" s="40">
        <f t="shared" ca="1" si="131"/>
        <v>434.67751475644167</v>
      </c>
      <c r="W22" s="40">
        <f t="shared" ca="1" si="127"/>
        <v>783.06457509252289</v>
      </c>
      <c r="X22" s="40">
        <f t="shared" ca="1" si="127"/>
        <v>1109.4226195610652</v>
      </c>
      <c r="Y22" s="40">
        <f t="shared" ca="1" si="127"/>
        <v>1453.2456572726562</v>
      </c>
      <c r="Z22" s="40">
        <f t="shared" ca="1" si="127"/>
        <v>1904.7187752872217</v>
      </c>
      <c r="AA22" s="40">
        <f t="shared" ca="1" si="127"/>
        <v>2512.585735234316</v>
      </c>
      <c r="AB22" s="40">
        <f t="shared" ca="1" si="127"/>
        <v>3066.5972282124267</v>
      </c>
      <c r="AC22" s="40">
        <f t="shared" ca="1" si="127"/>
        <v>3749.9226955510917</v>
      </c>
      <c r="AD22" s="40">
        <f t="shared" ca="1" si="127"/>
        <v>4772.6288852468442</v>
      </c>
      <c r="AE22" s="40">
        <f t="shared" ca="1" si="127"/>
        <v>5745.6785087881435</v>
      </c>
      <c r="AF22" s="40">
        <f t="shared" ca="1" si="127"/>
        <v>6777.4518900978828</v>
      </c>
      <c r="AG22" s="40">
        <f t="shared" ca="1" si="127"/>
        <v>7874.5820753903208</v>
      </c>
      <c r="AH22" s="40">
        <f t="shared" ca="1" si="127"/>
        <v>8491.5162269514021</v>
      </c>
      <c r="AI22" s="40">
        <f t="shared" ca="1" si="127"/>
        <v>9740.4762315518801</v>
      </c>
      <c r="AJ22" s="40">
        <f t="shared" ca="1" si="127"/>
        <v>10777.604732741022</v>
      </c>
      <c r="AK22" s="40">
        <f t="shared" ca="1" si="127"/>
        <v>11987.618410945848</v>
      </c>
      <c r="AL22" s="40">
        <f t="shared" ca="1" si="127"/>
        <v>14984.523013682312</v>
      </c>
      <c r="AM22" s="40">
        <f t="shared" ca="1" si="127"/>
        <v>18730.653767102889</v>
      </c>
      <c r="AN22" s="40">
        <f t="shared" ca="1" si="127"/>
        <v>23413.317208878612</v>
      </c>
      <c r="AO22" s="40">
        <f t="shared" ca="1" si="127"/>
        <v>29266.646511098264</v>
      </c>
      <c r="AP22" s="40">
        <f t="shared" ca="1" si="127"/>
        <v>36583.308138872831</v>
      </c>
      <c r="AQ22" s="40">
        <f t="shared" ca="1" si="127"/>
        <v>45729.135173591036</v>
      </c>
      <c r="AR22" s="40">
        <f t="shared" ca="1" si="127"/>
        <v>57161.4189669888</v>
      </c>
      <c r="AS22" s="40">
        <f t="shared" ca="1" si="127"/>
        <v>71451.773708736</v>
      </c>
      <c r="AT22" s="40">
        <f t="shared" ca="1" si="127"/>
        <v>89314.71713592</v>
      </c>
      <c r="AU22" s="40">
        <f t="shared" ca="1" si="127"/>
        <v>111643.39641989999</v>
      </c>
      <c r="AV22" s="40">
        <f t="shared" ca="1" si="127"/>
        <v>139554.245524875</v>
      </c>
      <c r="AW22" s="40">
        <f t="shared" ca="1" si="127"/>
        <v>174442.80690609376</v>
      </c>
      <c r="AX22" s="40">
        <f t="shared" ca="1" si="127"/>
        <v>218053.50863261719</v>
      </c>
      <c r="AY22" s="40">
        <f t="shared" ca="1" si="127"/>
        <v>272566.88579077146</v>
      </c>
      <c r="AZ22" s="40">
        <f t="shared" ca="1" si="127"/>
        <v>340708.60723846435</v>
      </c>
      <c r="BA22" s="40">
        <f t="shared" ca="1" si="127"/>
        <v>425885.75904808042</v>
      </c>
      <c r="BB22" s="40">
        <f t="shared" ca="1" si="127"/>
        <v>532357.19881010056</v>
      </c>
      <c r="BC22" s="40">
        <f t="shared" ca="1" si="127"/>
        <v>665446.49851262569</v>
      </c>
      <c r="BD22" s="40">
        <f t="shared" ca="1" si="127"/>
        <v>831808.12314078223</v>
      </c>
      <c r="BE22" s="40">
        <f t="shared" ca="1" si="127"/>
        <v>1039760.1539259778</v>
      </c>
      <c r="BF22" s="40">
        <f t="shared" ca="1" si="127"/>
        <v>1299700.1924074723</v>
      </c>
      <c r="BG22" s="40">
        <f t="shared" ca="1" si="127"/>
        <v>1624625.2405093403</v>
      </c>
      <c r="BH22" s="40">
        <f t="shared" ca="1" si="127"/>
        <v>2030781.5506366757</v>
      </c>
      <c r="BI22" s="40">
        <f t="shared" ca="1" si="127"/>
        <v>2538476.9382958449</v>
      </c>
      <c r="BJ22" s="40">
        <f t="shared" ca="1" si="127"/>
        <v>3173096.1728698062</v>
      </c>
      <c r="BK22" s="40">
        <f t="shared" ca="1" si="127"/>
        <v>3966370.2160872575</v>
      </c>
      <c r="BL22" s="40">
        <f t="shared" ca="1" si="127"/>
        <v>4957962.7701090723</v>
      </c>
      <c r="BM22" s="40">
        <f t="shared" ca="1" si="127"/>
        <v>6197453.4626363404</v>
      </c>
      <c r="BN22" s="40">
        <f t="shared" ca="1" si="127"/>
        <v>7746816.8282954264</v>
      </c>
      <c r="BO22" s="40">
        <f t="shared" ca="1" si="127"/>
        <v>8057085.8022944881</v>
      </c>
      <c r="BP22" s="40">
        <f t="shared" ca="1" si="127"/>
        <v>8057085.8022944881</v>
      </c>
      <c r="BQ22" s="40">
        <f t="shared" ca="1" si="127"/>
        <v>8057085.8022944881</v>
      </c>
      <c r="BR22" s="40">
        <f t="shared" ca="1" si="127"/>
        <v>8057085.8022944881</v>
      </c>
      <c r="BS22" s="40">
        <f t="shared" ca="1" si="127"/>
        <v>8057085.8022944881</v>
      </c>
      <c r="BT22" s="40">
        <f t="shared" ca="1" si="128"/>
        <v>8057085.8022944881</v>
      </c>
      <c r="BU22" s="40">
        <f t="shared" ca="1" si="128"/>
        <v>8057085.8022944881</v>
      </c>
      <c r="BV22" s="40">
        <f t="shared" ca="1" si="128"/>
        <v>8057085.8022944881</v>
      </c>
      <c r="BW22" s="40">
        <f t="shared" ca="1" si="128"/>
        <v>8057085.8022944881</v>
      </c>
      <c r="BX22" s="40">
        <f t="shared" ca="1" si="128"/>
        <v>8057085.8022944881</v>
      </c>
      <c r="BY22" s="40">
        <f t="shared" ca="1" si="128"/>
        <v>8057085.8022944881</v>
      </c>
      <c r="BZ22" s="40">
        <f t="shared" ca="1" si="128"/>
        <v>8057085.8022944881</v>
      </c>
      <c r="CA22" s="40">
        <f t="shared" ca="1" si="128"/>
        <v>8057085.8022944881</v>
      </c>
      <c r="CB22" s="40">
        <f t="shared" ca="1" si="128"/>
        <v>8057085.8022944881</v>
      </c>
      <c r="CC22" s="40">
        <f t="shared" ca="1" si="128"/>
        <v>8057085.8022944881</v>
      </c>
      <c r="CD22" s="40">
        <f t="shared" ca="1" si="128"/>
        <v>8057085.8022944881</v>
      </c>
      <c r="CE22" s="40">
        <f t="shared" ca="1" si="128"/>
        <v>8057085.8022944881</v>
      </c>
      <c r="CF22" s="40">
        <f t="shared" ca="1" si="128"/>
        <v>8057085.8022944881</v>
      </c>
      <c r="CG22" s="40">
        <f t="shared" ca="1" si="128"/>
        <v>8057085.8022944881</v>
      </c>
      <c r="CH22" s="40">
        <f t="shared" ca="1" si="128"/>
        <v>8057085.8022944881</v>
      </c>
      <c r="CI22" s="40">
        <f t="shared" ca="1" si="128"/>
        <v>8057085.8022944881</v>
      </c>
      <c r="CJ22" s="40">
        <f t="shared" ca="1" si="128"/>
        <v>8057085.8022944881</v>
      </c>
      <c r="CK22" s="40">
        <f t="shared" ca="1" si="128"/>
        <v>8057085.8022944881</v>
      </c>
      <c r="CL22" s="40">
        <f t="shared" ca="1" si="128"/>
        <v>8057085.8022944881</v>
      </c>
      <c r="CM22" s="40">
        <f t="shared" ca="1" si="128"/>
        <v>8057085.8022944881</v>
      </c>
      <c r="CN22" s="40">
        <f t="shared" ca="1" si="128"/>
        <v>8057085.8022944881</v>
      </c>
      <c r="CO22" s="40">
        <f t="shared" ca="1" si="128"/>
        <v>8057085.8022944881</v>
      </c>
      <c r="CP22" s="40">
        <f t="shared" ca="1" si="128"/>
        <v>8057085.8022944881</v>
      </c>
      <c r="CQ22" s="40">
        <f t="shared" ca="1" si="128"/>
        <v>8057085.8022944881</v>
      </c>
      <c r="CR22" s="40">
        <f t="shared" ca="1" si="128"/>
        <v>8057085.8022944881</v>
      </c>
      <c r="CS22" s="40">
        <f t="shared" ca="1" si="128"/>
        <v>8057085.8022944881</v>
      </c>
      <c r="CT22" s="40">
        <f t="shared" ca="1" si="128"/>
        <v>8057085.8022944881</v>
      </c>
      <c r="CU22" s="40">
        <f t="shared" ca="1" si="128"/>
        <v>8057085.8022944881</v>
      </c>
      <c r="CV22" s="40">
        <f t="shared" ca="1" si="128"/>
        <v>8057085.8022944881</v>
      </c>
      <c r="CW22" s="40">
        <f t="shared" ca="1" si="128"/>
        <v>8057085.8022944881</v>
      </c>
      <c r="CX22" s="40">
        <f t="shared" ca="1" si="128"/>
        <v>8057085.8022944881</v>
      </c>
      <c r="CY22" s="40">
        <f t="shared" ca="1" si="128"/>
        <v>8057085.8022944881</v>
      </c>
      <c r="CZ22" s="40">
        <f t="shared" ca="1" si="128"/>
        <v>8057085.8022944881</v>
      </c>
      <c r="DA22" s="40">
        <f t="shared" ca="1" si="128"/>
        <v>8057085.8022944881</v>
      </c>
      <c r="DB22" s="40">
        <f t="shared" ca="1" si="128"/>
        <v>8057085.8022944881</v>
      </c>
      <c r="DC22" s="40">
        <f t="shared" ca="1" si="128"/>
        <v>8057085.8022944881</v>
      </c>
      <c r="DD22" s="40">
        <f t="shared" ca="1" si="128"/>
        <v>8057085.8022944881</v>
      </c>
      <c r="DE22" s="40">
        <f t="shared" ca="1" si="128"/>
        <v>8057085.8022944881</v>
      </c>
      <c r="DF22" s="40">
        <f t="shared" ca="1" si="128"/>
        <v>8057085.8022944881</v>
      </c>
      <c r="DG22" s="40">
        <f t="shared" ca="1" si="128"/>
        <v>8057085.8022944881</v>
      </c>
      <c r="DH22" s="40">
        <f t="shared" ca="1" si="128"/>
        <v>8057085.8022944881</v>
      </c>
      <c r="DI22" s="40">
        <f t="shared" ca="1" si="128"/>
        <v>8057085.8022944881</v>
      </c>
      <c r="DJ22" s="40">
        <f t="shared" ca="1" si="128"/>
        <v>8057085.8022944881</v>
      </c>
      <c r="DK22" s="40">
        <f t="shared" ca="1" si="128"/>
        <v>8057085.8022944881</v>
      </c>
      <c r="DL22" s="40">
        <f t="shared" ca="1" si="128"/>
        <v>8057085.8022944881</v>
      </c>
      <c r="DM22" s="40">
        <f t="shared" ca="1" si="128"/>
        <v>8057085.8022944881</v>
      </c>
      <c r="DN22" s="40">
        <f t="shared" ca="1" si="128"/>
        <v>8057085.8022944881</v>
      </c>
      <c r="DO22" s="40">
        <f t="shared" ca="1" si="128"/>
        <v>8057085.8022944881</v>
      </c>
      <c r="DP22" s="40">
        <f t="shared" ca="1" si="128"/>
        <v>8057085.8022944881</v>
      </c>
      <c r="DQ22" s="40">
        <f t="shared" ca="1" si="128"/>
        <v>8057085.8022944881</v>
      </c>
      <c r="DR22" s="40">
        <f t="shared" ca="1" si="128"/>
        <v>8057085.8022944881</v>
      </c>
      <c r="DS22" s="40">
        <f t="shared" ca="1" si="128"/>
        <v>8057085.8022944881</v>
      </c>
      <c r="DT22" s="40">
        <f t="shared" ca="1" si="128"/>
        <v>8057085.8022944881</v>
      </c>
      <c r="DU22" s="40">
        <f t="shared" ca="1" si="128"/>
        <v>8057085.8022944881</v>
      </c>
      <c r="DV22" s="40">
        <f t="shared" ca="1" si="128"/>
        <v>8057085.8022944881</v>
      </c>
      <c r="DW22" s="40">
        <f t="shared" ca="1" si="128"/>
        <v>8057085.8022944881</v>
      </c>
      <c r="DX22" s="40">
        <f t="shared" ca="1" si="128"/>
        <v>8057085.8022944881</v>
      </c>
      <c r="DY22" s="40">
        <f t="shared" ca="1" si="128"/>
        <v>8057085.8022944881</v>
      </c>
      <c r="DZ22" s="40">
        <f t="shared" ca="1" si="128"/>
        <v>8057085.8022944881</v>
      </c>
      <c r="EA22" s="40">
        <f t="shared" ca="1" si="128"/>
        <v>8057085.8022944881</v>
      </c>
      <c r="EB22" s="40">
        <f t="shared" ca="1" si="128"/>
        <v>8057085.8022944881</v>
      </c>
      <c r="EC22" s="40">
        <f t="shared" ca="1" si="128"/>
        <v>8057085.8022944881</v>
      </c>
      <c r="ED22" s="40">
        <f t="shared" ca="1" si="128"/>
        <v>8057085.8022944881</v>
      </c>
      <c r="EE22" s="40">
        <f t="shared" ca="1" si="128"/>
        <v>8057085.8022944881</v>
      </c>
      <c r="EF22" s="40">
        <f t="shared" ca="1" si="129"/>
        <v>8057085.8022944881</v>
      </c>
      <c r="EG22" s="40">
        <f t="shared" ca="1" si="129"/>
        <v>8057085.8022944881</v>
      </c>
      <c r="EH22" s="40">
        <f t="shared" ca="1" si="129"/>
        <v>8057085.8022944881</v>
      </c>
      <c r="EI22" s="40">
        <f t="shared" ca="1" si="129"/>
        <v>8057085.8022944881</v>
      </c>
      <c r="EJ22" s="40">
        <f t="shared" ca="1" si="129"/>
        <v>8057085.8022944881</v>
      </c>
      <c r="EK22" s="40">
        <f t="shared" ca="1" si="129"/>
        <v>8057085.8022944881</v>
      </c>
      <c r="EL22" s="40">
        <f t="shared" ca="1" si="129"/>
        <v>8057085.8022944881</v>
      </c>
      <c r="EM22" s="40">
        <f t="shared" ca="1" si="129"/>
        <v>8057085.8022944881</v>
      </c>
      <c r="EN22" s="40">
        <f t="shared" ca="1" si="129"/>
        <v>8057085.8022944881</v>
      </c>
      <c r="EO22" s="40">
        <f t="shared" ca="1" si="129"/>
        <v>8057085.8022944881</v>
      </c>
      <c r="EP22" s="40">
        <f t="shared" ca="1" si="129"/>
        <v>8057085.8022944881</v>
      </c>
      <c r="EQ22" s="40">
        <f t="shared" ca="1" si="129"/>
        <v>8057085.8022944881</v>
      </c>
      <c r="ER22" s="40">
        <f t="shared" ca="1" si="129"/>
        <v>8057085.8022944881</v>
      </c>
      <c r="ES22" s="40">
        <f t="shared" ca="1" si="129"/>
        <v>8057085.8022944881</v>
      </c>
      <c r="ET22" s="40">
        <f t="shared" ca="1" si="129"/>
        <v>8057085.8022944881</v>
      </c>
      <c r="EU22" s="40">
        <f t="shared" ca="1" si="129"/>
        <v>8057085.8022944881</v>
      </c>
      <c r="EV22" s="40">
        <f t="shared" ca="1" si="129"/>
        <v>8057085.8022944881</v>
      </c>
      <c r="EW22" s="40">
        <f t="shared" ca="1" si="129"/>
        <v>8057085.8022944881</v>
      </c>
      <c r="EX22" s="40">
        <f t="shared" ca="1" si="129"/>
        <v>8057085.8022944881</v>
      </c>
      <c r="EY22" s="40">
        <f t="shared" ca="1" si="129"/>
        <v>8057085.8022944881</v>
      </c>
      <c r="EZ22" s="40">
        <f t="shared" ca="1" si="129"/>
        <v>8057085.8022944881</v>
      </c>
      <c r="FA22" s="40">
        <f t="shared" ca="1" si="129"/>
        <v>8057085.8022944881</v>
      </c>
      <c r="FB22" s="40">
        <f t="shared" ca="1" si="129"/>
        <v>8057085.8022944881</v>
      </c>
      <c r="FC22" s="40">
        <f t="shared" ca="1" si="129"/>
        <v>8057085.8022944881</v>
      </c>
      <c r="FD22" s="40">
        <f t="shared" ca="1" si="129"/>
        <v>8057085.8022944881</v>
      </c>
      <c r="FE22" s="40">
        <f t="shared" ca="1" si="129"/>
        <v>8057085.8022944881</v>
      </c>
      <c r="FF22" s="40">
        <f t="shared" ca="1" si="129"/>
        <v>8057085.8022944881</v>
      </c>
      <c r="FG22" s="40">
        <f t="shared" ca="1" si="129"/>
        <v>8057085.8022944881</v>
      </c>
      <c r="FH22" s="40">
        <f t="shared" ca="1" si="129"/>
        <v>8057085.8022944881</v>
      </c>
      <c r="FI22" s="40">
        <f t="shared" ca="1" si="129"/>
        <v>8057085.8022944881</v>
      </c>
      <c r="FJ22" s="40">
        <f t="shared" ca="1" si="129"/>
        <v>8057085.8022944881</v>
      </c>
      <c r="FK22" s="40">
        <f t="shared" ca="1" si="129"/>
        <v>8057085.8022944881</v>
      </c>
      <c r="FL22" s="40">
        <f t="shared" ca="1" si="129"/>
        <v>8057085.8022944881</v>
      </c>
      <c r="FM22" s="40">
        <f t="shared" ca="1" si="129"/>
        <v>8057085.8022944881</v>
      </c>
      <c r="FN22" s="40">
        <f t="shared" ca="1" si="129"/>
        <v>8057085.8022944881</v>
      </c>
      <c r="FO22" s="40">
        <f t="shared" ca="1" si="129"/>
        <v>8057085.8022944881</v>
      </c>
      <c r="FP22" s="40">
        <f t="shared" ca="1" si="129"/>
        <v>8057085.8022944881</v>
      </c>
      <c r="FQ22" s="40">
        <f t="shared" ca="1" si="129"/>
        <v>8057085.8022944881</v>
      </c>
      <c r="FR22" s="40">
        <f t="shared" ca="1" si="129"/>
        <v>8057085.8022944881</v>
      </c>
      <c r="FS22" s="40">
        <f t="shared" ca="1" si="129"/>
        <v>8057085.8022944881</v>
      </c>
      <c r="FT22" s="40">
        <f t="shared" ca="1" si="129"/>
        <v>8057085.8022944881</v>
      </c>
      <c r="FU22" s="40">
        <f t="shared" ca="1" si="129"/>
        <v>8057085.8022944881</v>
      </c>
      <c r="FV22" s="40">
        <f t="shared" ca="1" si="129"/>
        <v>8057085.8022944881</v>
      </c>
      <c r="FW22" s="40">
        <f t="shared" ca="1" si="129"/>
        <v>8057085.8022944881</v>
      </c>
      <c r="FX22" s="40">
        <f t="shared" ca="1" si="129"/>
        <v>8057085.8022944881</v>
      </c>
      <c r="FY22" s="40">
        <f t="shared" ca="1" si="129"/>
        <v>8057085.8022944881</v>
      </c>
      <c r="FZ22" s="40">
        <f t="shared" ca="1" si="129"/>
        <v>8057085.8022944881</v>
      </c>
      <c r="GA22" s="40">
        <f t="shared" ca="1" si="129"/>
        <v>8057085.8022944881</v>
      </c>
      <c r="GB22" s="40">
        <f t="shared" ca="1" si="129"/>
        <v>8057085.8022944881</v>
      </c>
      <c r="GC22" s="40">
        <f t="shared" ca="1" si="129"/>
        <v>8057085.8022944881</v>
      </c>
      <c r="GD22" s="40">
        <f t="shared" ca="1" si="129"/>
        <v>8057085.8022944881</v>
      </c>
      <c r="GE22" s="40">
        <f t="shared" ca="1" si="129"/>
        <v>8057085.8022944881</v>
      </c>
      <c r="GF22" s="40">
        <f t="shared" ca="1" si="129"/>
        <v>8057085.8022944881</v>
      </c>
      <c r="GG22" s="40">
        <f t="shared" ca="1" si="129"/>
        <v>8057085.8022944881</v>
      </c>
      <c r="GH22" s="40">
        <f t="shared" ca="1" si="129"/>
        <v>8057085.8022944881</v>
      </c>
      <c r="GI22" s="40">
        <f t="shared" ca="1" si="129"/>
        <v>8057085.8022944881</v>
      </c>
      <c r="GJ22" s="40">
        <f t="shared" ca="1" si="129"/>
        <v>8057085.8022944881</v>
      </c>
      <c r="GK22" s="40">
        <f t="shared" ca="1" si="129"/>
        <v>8057085.8022944881</v>
      </c>
      <c r="GL22" s="40">
        <f t="shared" ca="1" si="129"/>
        <v>8057085.8022944881</v>
      </c>
      <c r="GM22" s="40">
        <f t="shared" ca="1" si="129"/>
        <v>8057085.8022944881</v>
      </c>
      <c r="GN22" s="40">
        <f t="shared" ca="1" si="129"/>
        <v>8057085.8022944881</v>
      </c>
      <c r="GO22" s="40">
        <f t="shared" ca="1" si="129"/>
        <v>8057085.8022944881</v>
      </c>
      <c r="GP22" s="40">
        <f t="shared" ca="1" si="129"/>
        <v>8057085.8022944881</v>
      </c>
      <c r="GQ22" s="40">
        <f t="shared" ca="1" si="129"/>
        <v>8057085.8022944881</v>
      </c>
      <c r="GR22" s="40">
        <f t="shared" ca="1" si="130"/>
        <v>8057085.8022944881</v>
      </c>
      <c r="GS22" s="40">
        <f t="shared" ca="1" si="130"/>
        <v>8057085.8022944881</v>
      </c>
      <c r="GT22" s="40">
        <f t="shared" ca="1" si="130"/>
        <v>8057085.8022944881</v>
      </c>
      <c r="GU22" s="40">
        <f t="shared" ca="1" si="130"/>
        <v>8057085.8022944881</v>
      </c>
      <c r="GV22" s="40">
        <f t="shared" ca="1" si="130"/>
        <v>8057085.8022944881</v>
      </c>
      <c r="GW22" s="40">
        <f t="shared" ca="1" si="130"/>
        <v>8057085.8022944881</v>
      </c>
      <c r="GX22" s="40">
        <f t="shared" ca="1" si="130"/>
        <v>8057085.8022944881</v>
      </c>
      <c r="GY22" s="40">
        <f t="shared" ca="1" si="130"/>
        <v>8057085.8022944881</v>
      </c>
      <c r="GZ22" s="40">
        <f t="shared" ca="1" si="130"/>
        <v>8057085.8022944881</v>
      </c>
      <c r="HA22" s="40">
        <f t="shared" ca="1" si="130"/>
        <v>8057085.8022944881</v>
      </c>
      <c r="HB22" s="40">
        <f t="shared" ca="1" si="130"/>
        <v>8057085.8022944881</v>
      </c>
      <c r="HC22" s="40">
        <f t="shared" ca="1" si="130"/>
        <v>8057085.8022944881</v>
      </c>
      <c r="HD22" s="40">
        <f t="shared" ca="1" si="130"/>
        <v>8057085.8022944881</v>
      </c>
      <c r="HE22" s="40">
        <f t="shared" ca="1" si="130"/>
        <v>8057085.8022944881</v>
      </c>
      <c r="HF22" s="40">
        <f t="shared" ca="1" si="130"/>
        <v>8057085.8022944881</v>
      </c>
      <c r="HG22" s="40">
        <f t="shared" ca="1" si="130"/>
        <v>8057085.8022944881</v>
      </c>
      <c r="HH22" s="40">
        <f t="shared" ca="1" si="130"/>
        <v>8057085.8022944881</v>
      </c>
      <c r="HI22" s="40">
        <f t="shared" ca="1" si="130"/>
        <v>8057085.8022944881</v>
      </c>
      <c r="HJ22" s="40">
        <f t="shared" ca="1" si="130"/>
        <v>8057085.8022944881</v>
      </c>
      <c r="HK22" s="40">
        <f t="shared" ca="1" si="130"/>
        <v>8057085.8022944881</v>
      </c>
      <c r="HL22" s="40">
        <f t="shared" ca="1" si="130"/>
        <v>8057085.8022944881</v>
      </c>
      <c r="HM22" s="40">
        <f t="shared" ca="1" si="130"/>
        <v>8057085.8022944881</v>
      </c>
      <c r="HN22" s="40">
        <f t="shared" ca="1" si="130"/>
        <v>8057085.8022944881</v>
      </c>
      <c r="HO22" s="40">
        <f t="shared" ca="1" si="130"/>
        <v>8057085.8022944881</v>
      </c>
      <c r="HP22" s="40">
        <f t="shared" ca="1" si="130"/>
        <v>8057085.8022944881</v>
      </c>
      <c r="HQ22" s="40">
        <f t="shared" ca="1" si="130"/>
        <v>8057085.8022944881</v>
      </c>
      <c r="HR22" s="40">
        <f t="shared" ca="1" si="130"/>
        <v>8057085.8022944881</v>
      </c>
      <c r="HS22" s="40">
        <f t="shared" ca="1" si="130"/>
        <v>8057085.8022944881</v>
      </c>
      <c r="HT22" s="40">
        <f t="shared" ca="1" si="130"/>
        <v>8057085.8022944881</v>
      </c>
      <c r="HU22" s="40">
        <f t="shared" ca="1" si="130"/>
        <v>8057085.8022944881</v>
      </c>
      <c r="HV22" s="40">
        <f t="shared" ca="1" si="130"/>
        <v>8057085.8022944881</v>
      </c>
      <c r="HW22" s="40">
        <f t="shared" ca="1" si="130"/>
        <v>8057085.8022944881</v>
      </c>
      <c r="HX22" s="40">
        <f t="shared" ca="1" si="130"/>
        <v>8057085.8022944881</v>
      </c>
      <c r="HY22" s="40">
        <f t="shared" ca="1" si="130"/>
        <v>8057085.8022944881</v>
      </c>
      <c r="HZ22" s="40">
        <f t="shared" ca="1" si="130"/>
        <v>8057085.8022944881</v>
      </c>
      <c r="IA22" s="40">
        <f t="shared" ca="1" si="130"/>
        <v>8057085.8022944881</v>
      </c>
      <c r="IB22" s="40">
        <f t="shared" ca="1" si="130"/>
        <v>8057085.8022944881</v>
      </c>
      <c r="IC22" s="40">
        <f t="shared" ca="1" si="130"/>
        <v>8057085.8022944881</v>
      </c>
      <c r="ID22" s="40">
        <f t="shared" ca="1" si="130"/>
        <v>8057085.8022944881</v>
      </c>
      <c r="IE22" s="40">
        <f t="shared" ca="1" si="130"/>
        <v>8057085.8022944881</v>
      </c>
      <c r="IF22" s="40">
        <f t="shared" ca="1" si="130"/>
        <v>8057085.8022944881</v>
      </c>
      <c r="IG22" s="40">
        <f t="shared" ca="1" si="130"/>
        <v>8057085.8022944881</v>
      </c>
      <c r="IH22" s="40">
        <f t="shared" ca="1" si="130"/>
        <v>8057085.8022944881</v>
      </c>
      <c r="II22" s="40">
        <f t="shared" ca="1" si="130"/>
        <v>8057085.8022944881</v>
      </c>
      <c r="IJ22" s="40">
        <f t="shared" ca="1" si="130"/>
        <v>8057085.8022944881</v>
      </c>
      <c r="IK22" s="40">
        <f t="shared" ca="1" si="130"/>
        <v>8057085.8022944881</v>
      </c>
      <c r="IL22" s="40">
        <f t="shared" ca="1" si="130"/>
        <v>8057085.8022944881</v>
      </c>
      <c r="IM22" s="40">
        <f t="shared" ca="1" si="130"/>
        <v>8057085.8022944881</v>
      </c>
      <c r="IN22" s="40">
        <f t="shared" ca="1" si="130"/>
        <v>8057085.8022944881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31"/>
        <v>7.1807289291978327</v>
      </c>
      <c r="H23" s="40">
        <f t="shared" ref="H23:BS23" ca="1" si="132">H12*$C$15</f>
        <v>7.789265279129852</v>
      </c>
      <c r="I23" s="40">
        <f t="shared" ca="1" si="132"/>
        <v>9.5540206939327099</v>
      </c>
      <c r="J23" s="40">
        <f t="shared" ca="1" si="132"/>
        <v>13.367515153506698</v>
      </c>
      <c r="K23" s="40">
        <f t="shared" ca="1" si="132"/>
        <v>22.302857225008523</v>
      </c>
      <c r="L23" s="40">
        <f t="shared" ca="1" si="132"/>
        <v>29.477500790707033</v>
      </c>
      <c r="M23" s="40">
        <f t="shared" ca="1" si="132"/>
        <v>33.611491061245225</v>
      </c>
      <c r="N23" s="40">
        <f t="shared" ca="1" si="132"/>
        <v>56.298305745139416</v>
      </c>
      <c r="O23" s="40">
        <f t="shared" ca="1" si="132"/>
        <v>75.534574435311939</v>
      </c>
      <c r="P23" s="40">
        <f t="shared" ca="1" si="132"/>
        <v>98.63698080898115</v>
      </c>
      <c r="Q23" s="40">
        <f t="shared" ca="1" si="132"/>
        <v>129.69126689751204</v>
      </c>
      <c r="R23" s="40">
        <f t="shared" ca="1" si="132"/>
        <v>162.67836278273612</v>
      </c>
      <c r="S23" s="40">
        <f t="shared" ca="1" si="132"/>
        <v>198.80882552279084</v>
      </c>
      <c r="T23" s="40">
        <f t="shared" ca="1" si="132"/>
        <v>260.1492895959384</v>
      </c>
      <c r="U23" s="40">
        <f t="shared" ca="1" si="132"/>
        <v>366.46058992906228</v>
      </c>
      <c r="V23" s="40">
        <f t="shared" ca="1" si="132"/>
        <v>434.67751475644167</v>
      </c>
      <c r="W23" s="40">
        <f t="shared" ca="1" si="132"/>
        <v>783.06457509252289</v>
      </c>
      <c r="X23" s="40">
        <f t="shared" ca="1" si="132"/>
        <v>1109.4226195610652</v>
      </c>
      <c r="Y23" s="40">
        <f t="shared" ca="1" si="132"/>
        <v>1453.2456572726562</v>
      </c>
      <c r="Z23" s="40">
        <f t="shared" ca="1" si="132"/>
        <v>1904.7187752872217</v>
      </c>
      <c r="AA23" s="40">
        <f t="shared" ca="1" si="132"/>
        <v>2512.585735234316</v>
      </c>
      <c r="AB23" s="40">
        <f t="shared" ca="1" si="132"/>
        <v>3066.5972282124267</v>
      </c>
      <c r="AC23" s="40">
        <f t="shared" ca="1" si="132"/>
        <v>3749.9226955510917</v>
      </c>
      <c r="AD23" s="40">
        <f t="shared" ca="1" si="132"/>
        <v>4772.6288852468442</v>
      </c>
      <c r="AE23" s="40">
        <f t="shared" ca="1" si="132"/>
        <v>5745.6785087881435</v>
      </c>
      <c r="AF23" s="40">
        <f t="shared" ca="1" si="132"/>
        <v>6777.4518900978828</v>
      </c>
      <c r="AG23" s="40">
        <f t="shared" ca="1" si="132"/>
        <v>7874.5820753903208</v>
      </c>
      <c r="AH23" s="40">
        <f t="shared" ca="1" si="132"/>
        <v>8491.5162269514021</v>
      </c>
      <c r="AI23" s="40">
        <f t="shared" ca="1" si="132"/>
        <v>9740.4762315518801</v>
      </c>
      <c r="AJ23" s="40">
        <f t="shared" ca="1" si="132"/>
        <v>10777.604732741022</v>
      </c>
      <c r="AK23" s="40">
        <f t="shared" ca="1" si="132"/>
        <v>11987.618410945848</v>
      </c>
      <c r="AL23" s="40">
        <f t="shared" ca="1" si="132"/>
        <v>16782.665775324185</v>
      </c>
      <c r="AM23" s="40">
        <f t="shared" ca="1" si="132"/>
        <v>23495.732085453859</v>
      </c>
      <c r="AN23" s="40">
        <f t="shared" ca="1" si="132"/>
        <v>32894.024919635405</v>
      </c>
      <c r="AO23" s="40">
        <f t="shared" ca="1" si="132"/>
        <v>46051.634887489563</v>
      </c>
      <c r="AP23" s="40">
        <f t="shared" ca="1" si="132"/>
        <v>64472.288842485381</v>
      </c>
      <c r="AQ23" s="40">
        <f t="shared" ca="1" si="132"/>
        <v>90261.204379479532</v>
      </c>
      <c r="AR23" s="40">
        <f t="shared" ca="1" si="132"/>
        <v>126365.68613127133</v>
      </c>
      <c r="AS23" s="40">
        <f t="shared" ca="1" si="132"/>
        <v>176911.96058377987</v>
      </c>
      <c r="AT23" s="40">
        <f t="shared" ca="1" si="132"/>
        <v>247676.74481729179</v>
      </c>
      <c r="AU23" s="40">
        <f t="shared" ca="1" si="132"/>
        <v>346747.44274420844</v>
      </c>
      <c r="AV23" s="40">
        <f t="shared" ca="1" si="132"/>
        <v>485446.41984189179</v>
      </c>
      <c r="AW23" s="40">
        <f t="shared" ca="1" si="132"/>
        <v>679624.9877786485</v>
      </c>
      <c r="AX23" s="40">
        <f t="shared" ca="1" si="132"/>
        <v>951474.98289010779</v>
      </c>
      <c r="AY23" s="40">
        <f t="shared" ca="1" si="132"/>
        <v>1332064.9760461508</v>
      </c>
      <c r="AZ23" s="40">
        <f t="shared" ca="1" si="132"/>
        <v>1864890.966464611</v>
      </c>
      <c r="BA23" s="40">
        <f t="shared" ca="1" si="132"/>
        <v>2610847.353050455</v>
      </c>
      <c r="BB23" s="40">
        <f t="shared" ca="1" si="132"/>
        <v>3655186.2942706365</v>
      </c>
      <c r="BC23" s="40">
        <f t="shared" ca="1" si="132"/>
        <v>5117260.8119788906</v>
      </c>
      <c r="BD23" s="40">
        <f t="shared" ca="1" si="132"/>
        <v>7164165.1367704468</v>
      </c>
      <c r="BE23" s="40">
        <f t="shared" ca="1" si="132"/>
        <v>8057085.8022944881</v>
      </c>
      <c r="BF23" s="40">
        <f t="shared" ca="1" si="132"/>
        <v>8057085.8022944881</v>
      </c>
      <c r="BG23" s="40">
        <f t="shared" ca="1" si="132"/>
        <v>8057085.8022944881</v>
      </c>
      <c r="BH23" s="40">
        <f t="shared" ca="1" si="132"/>
        <v>8057085.8022944881</v>
      </c>
      <c r="BI23" s="40">
        <f t="shared" ca="1" si="132"/>
        <v>8057085.8022944881</v>
      </c>
      <c r="BJ23" s="40">
        <f t="shared" ca="1" si="132"/>
        <v>8057085.8022944881</v>
      </c>
      <c r="BK23" s="40">
        <f t="shared" ca="1" si="132"/>
        <v>8057085.8022944881</v>
      </c>
      <c r="BL23" s="40">
        <f t="shared" ca="1" si="132"/>
        <v>8057085.8022944881</v>
      </c>
      <c r="BM23" s="40">
        <f t="shared" ca="1" si="132"/>
        <v>8057085.8022944881</v>
      </c>
      <c r="BN23" s="40">
        <f t="shared" ca="1" si="132"/>
        <v>8057085.8022944881</v>
      </c>
      <c r="BO23" s="40">
        <f t="shared" ca="1" si="132"/>
        <v>8057085.8022944881</v>
      </c>
      <c r="BP23" s="40">
        <f t="shared" ca="1" si="132"/>
        <v>8057085.8022944881</v>
      </c>
      <c r="BQ23" s="40">
        <f t="shared" ca="1" si="132"/>
        <v>8057085.8022944881</v>
      </c>
      <c r="BR23" s="40">
        <f t="shared" ca="1" si="132"/>
        <v>8057085.8022944881</v>
      </c>
      <c r="BS23" s="40">
        <f t="shared" ca="1" si="132"/>
        <v>8057085.8022944881</v>
      </c>
      <c r="BT23" s="40">
        <f t="shared" ca="1" si="128"/>
        <v>8057085.8022944881</v>
      </c>
      <c r="BU23" s="40">
        <f t="shared" ca="1" si="128"/>
        <v>8057085.8022944881</v>
      </c>
      <c r="BV23" s="40">
        <f t="shared" ca="1" si="128"/>
        <v>8057085.8022944881</v>
      </c>
      <c r="BW23" s="40">
        <f t="shared" ca="1" si="128"/>
        <v>8057085.8022944881</v>
      </c>
      <c r="BX23" s="40">
        <f t="shared" ca="1" si="128"/>
        <v>8057085.8022944881</v>
      </c>
      <c r="BY23" s="40">
        <f t="shared" ca="1" si="128"/>
        <v>8057085.8022944881</v>
      </c>
      <c r="BZ23" s="40">
        <f t="shared" ca="1" si="128"/>
        <v>8057085.8022944881</v>
      </c>
      <c r="CA23" s="40">
        <f t="shared" ca="1" si="128"/>
        <v>8057085.8022944881</v>
      </c>
      <c r="CB23" s="40">
        <f t="shared" ca="1" si="128"/>
        <v>8057085.8022944881</v>
      </c>
      <c r="CC23" s="40">
        <f t="shared" ca="1" si="128"/>
        <v>8057085.8022944881</v>
      </c>
      <c r="CD23" s="40">
        <f t="shared" ca="1" si="128"/>
        <v>8057085.8022944881</v>
      </c>
      <c r="CE23" s="40">
        <f t="shared" ca="1" si="128"/>
        <v>8057085.8022944881</v>
      </c>
      <c r="CF23" s="40">
        <f t="shared" ca="1" si="128"/>
        <v>8057085.8022944881</v>
      </c>
      <c r="CG23" s="40">
        <f t="shared" ca="1" si="128"/>
        <v>8057085.8022944881</v>
      </c>
      <c r="CH23" s="40">
        <f t="shared" ca="1" si="128"/>
        <v>8057085.8022944881</v>
      </c>
      <c r="CI23" s="40">
        <f t="shared" ca="1" si="128"/>
        <v>8057085.8022944881</v>
      </c>
      <c r="CJ23" s="40">
        <f t="shared" ca="1" si="128"/>
        <v>8057085.8022944881</v>
      </c>
      <c r="CK23" s="40">
        <f t="shared" ca="1" si="128"/>
        <v>8057085.8022944881</v>
      </c>
      <c r="CL23" s="40">
        <f t="shared" ca="1" si="128"/>
        <v>8057085.8022944881</v>
      </c>
      <c r="CM23" s="40">
        <f t="shared" ca="1" si="128"/>
        <v>8057085.8022944881</v>
      </c>
      <c r="CN23" s="40">
        <f t="shared" ca="1" si="128"/>
        <v>8057085.8022944881</v>
      </c>
      <c r="CO23" s="40">
        <f t="shared" ca="1" si="128"/>
        <v>8057085.8022944881</v>
      </c>
      <c r="CP23" s="40">
        <f t="shared" ca="1" si="128"/>
        <v>8057085.8022944881</v>
      </c>
      <c r="CQ23" s="40">
        <f t="shared" ca="1" si="128"/>
        <v>8057085.8022944881</v>
      </c>
      <c r="CR23" s="40">
        <f t="shared" ca="1" si="128"/>
        <v>8057085.8022944881</v>
      </c>
      <c r="CS23" s="40">
        <f t="shared" ca="1" si="128"/>
        <v>8057085.8022944881</v>
      </c>
      <c r="CT23" s="40">
        <f t="shared" ca="1" si="128"/>
        <v>8057085.8022944881</v>
      </c>
      <c r="CU23" s="40">
        <f t="shared" ca="1" si="128"/>
        <v>8057085.8022944881</v>
      </c>
      <c r="CV23" s="40">
        <f t="shared" ca="1" si="128"/>
        <v>8057085.8022944881</v>
      </c>
      <c r="CW23" s="40">
        <f t="shared" ca="1" si="128"/>
        <v>8057085.8022944881</v>
      </c>
      <c r="CX23" s="40">
        <f t="shared" ca="1" si="128"/>
        <v>8057085.8022944881</v>
      </c>
      <c r="CY23" s="40">
        <f t="shared" ca="1" si="128"/>
        <v>8057085.8022944881</v>
      </c>
      <c r="CZ23" s="40">
        <f t="shared" ca="1" si="128"/>
        <v>8057085.8022944881</v>
      </c>
      <c r="DA23" s="40">
        <f t="shared" ca="1" si="128"/>
        <v>8057085.8022944881</v>
      </c>
      <c r="DB23" s="40">
        <f t="shared" ca="1" si="128"/>
        <v>8057085.8022944881</v>
      </c>
      <c r="DC23" s="40">
        <f t="shared" ca="1" si="128"/>
        <v>8057085.8022944881</v>
      </c>
      <c r="DD23" s="40">
        <f t="shared" ca="1" si="128"/>
        <v>8057085.8022944881</v>
      </c>
      <c r="DE23" s="40">
        <f t="shared" ca="1" si="128"/>
        <v>8057085.8022944881</v>
      </c>
      <c r="DF23" s="40">
        <f t="shared" ca="1" si="128"/>
        <v>8057085.8022944881</v>
      </c>
      <c r="DG23" s="40">
        <f t="shared" ca="1" si="128"/>
        <v>8057085.8022944881</v>
      </c>
      <c r="DH23" s="40">
        <f t="shared" ca="1" si="128"/>
        <v>8057085.8022944881</v>
      </c>
      <c r="DI23" s="40">
        <f t="shared" ca="1" si="128"/>
        <v>8057085.8022944881</v>
      </c>
      <c r="DJ23" s="40">
        <f t="shared" ca="1" si="128"/>
        <v>8057085.8022944881</v>
      </c>
      <c r="DK23" s="40">
        <f t="shared" ca="1" si="128"/>
        <v>8057085.8022944881</v>
      </c>
      <c r="DL23" s="40">
        <f t="shared" ca="1" si="128"/>
        <v>8057085.8022944881</v>
      </c>
      <c r="DM23" s="40">
        <f t="shared" ca="1" si="128"/>
        <v>8057085.8022944881</v>
      </c>
      <c r="DN23" s="40">
        <f t="shared" ca="1" si="128"/>
        <v>8057085.8022944881</v>
      </c>
      <c r="DO23" s="40">
        <f t="shared" ca="1" si="128"/>
        <v>8057085.8022944881</v>
      </c>
      <c r="DP23" s="40">
        <f t="shared" ca="1" si="128"/>
        <v>8057085.8022944881</v>
      </c>
      <c r="DQ23" s="40">
        <f t="shared" ca="1" si="128"/>
        <v>8057085.8022944881</v>
      </c>
      <c r="DR23" s="40">
        <f t="shared" ca="1" si="128"/>
        <v>8057085.8022944881</v>
      </c>
      <c r="DS23" s="40">
        <f t="shared" ca="1" si="128"/>
        <v>8057085.8022944881</v>
      </c>
      <c r="DT23" s="40">
        <f t="shared" ca="1" si="128"/>
        <v>8057085.8022944881</v>
      </c>
      <c r="DU23" s="40">
        <f t="shared" ca="1" si="128"/>
        <v>8057085.8022944881</v>
      </c>
      <c r="DV23" s="40">
        <f t="shared" ca="1" si="128"/>
        <v>8057085.8022944881</v>
      </c>
      <c r="DW23" s="40">
        <f t="shared" ca="1" si="128"/>
        <v>8057085.8022944881</v>
      </c>
      <c r="DX23" s="40">
        <f t="shared" ca="1" si="128"/>
        <v>8057085.8022944881</v>
      </c>
      <c r="DY23" s="40">
        <f t="shared" ca="1" si="128"/>
        <v>8057085.8022944881</v>
      </c>
      <c r="DZ23" s="40">
        <f t="shared" ca="1" si="128"/>
        <v>8057085.8022944881</v>
      </c>
      <c r="EA23" s="40">
        <f t="shared" ca="1" si="128"/>
        <v>8057085.8022944881</v>
      </c>
      <c r="EB23" s="40">
        <f t="shared" ca="1" si="128"/>
        <v>8057085.8022944881</v>
      </c>
      <c r="EC23" s="40">
        <f t="shared" ca="1" si="128"/>
        <v>8057085.8022944881</v>
      </c>
      <c r="ED23" s="40">
        <f t="shared" ca="1" si="128"/>
        <v>8057085.8022944881</v>
      </c>
      <c r="EE23" s="40">
        <f t="shared" ca="1" si="128"/>
        <v>8057085.8022944881</v>
      </c>
      <c r="EF23" s="40">
        <f t="shared" ca="1" si="129"/>
        <v>8057085.8022944881</v>
      </c>
      <c r="EG23" s="40">
        <f t="shared" ca="1" si="129"/>
        <v>8057085.8022944881</v>
      </c>
      <c r="EH23" s="40">
        <f t="shared" ca="1" si="129"/>
        <v>8057085.8022944881</v>
      </c>
      <c r="EI23" s="40">
        <f t="shared" ca="1" si="129"/>
        <v>8057085.8022944881</v>
      </c>
      <c r="EJ23" s="40">
        <f t="shared" ca="1" si="129"/>
        <v>8057085.8022944881</v>
      </c>
      <c r="EK23" s="40">
        <f t="shared" ca="1" si="129"/>
        <v>8057085.8022944881</v>
      </c>
      <c r="EL23" s="40">
        <f t="shared" ca="1" si="129"/>
        <v>8057085.8022944881</v>
      </c>
      <c r="EM23" s="40">
        <f t="shared" ca="1" si="129"/>
        <v>8057085.8022944881</v>
      </c>
      <c r="EN23" s="40">
        <f t="shared" ca="1" si="129"/>
        <v>8057085.8022944881</v>
      </c>
      <c r="EO23" s="40">
        <f t="shared" ca="1" si="129"/>
        <v>8057085.8022944881</v>
      </c>
      <c r="EP23" s="40">
        <f t="shared" ca="1" si="129"/>
        <v>8057085.8022944881</v>
      </c>
      <c r="EQ23" s="40">
        <f t="shared" ca="1" si="129"/>
        <v>8057085.8022944881</v>
      </c>
      <c r="ER23" s="40">
        <f t="shared" ca="1" si="129"/>
        <v>8057085.8022944881</v>
      </c>
      <c r="ES23" s="40">
        <f t="shared" ca="1" si="129"/>
        <v>8057085.8022944881</v>
      </c>
      <c r="ET23" s="40">
        <f t="shared" ca="1" si="129"/>
        <v>8057085.8022944881</v>
      </c>
      <c r="EU23" s="40">
        <f t="shared" ca="1" si="129"/>
        <v>8057085.8022944881</v>
      </c>
      <c r="EV23" s="40">
        <f t="shared" ca="1" si="129"/>
        <v>8057085.8022944881</v>
      </c>
      <c r="EW23" s="40">
        <f t="shared" ca="1" si="129"/>
        <v>8057085.8022944881</v>
      </c>
      <c r="EX23" s="40">
        <f t="shared" ca="1" si="129"/>
        <v>8057085.8022944881</v>
      </c>
      <c r="EY23" s="40">
        <f t="shared" ca="1" si="129"/>
        <v>8057085.8022944881</v>
      </c>
      <c r="EZ23" s="40">
        <f t="shared" ca="1" si="129"/>
        <v>8057085.8022944881</v>
      </c>
      <c r="FA23" s="40">
        <f t="shared" ca="1" si="129"/>
        <v>8057085.8022944881</v>
      </c>
      <c r="FB23" s="40">
        <f t="shared" ca="1" si="129"/>
        <v>8057085.8022944881</v>
      </c>
      <c r="FC23" s="40">
        <f t="shared" ca="1" si="129"/>
        <v>8057085.8022944881</v>
      </c>
      <c r="FD23" s="40">
        <f t="shared" ca="1" si="129"/>
        <v>8057085.8022944881</v>
      </c>
      <c r="FE23" s="40">
        <f t="shared" ca="1" si="129"/>
        <v>8057085.8022944881</v>
      </c>
      <c r="FF23" s="40">
        <f t="shared" ca="1" si="129"/>
        <v>8057085.8022944881</v>
      </c>
      <c r="FG23" s="40">
        <f t="shared" ca="1" si="129"/>
        <v>8057085.8022944881</v>
      </c>
      <c r="FH23" s="40">
        <f t="shared" ca="1" si="129"/>
        <v>8057085.8022944881</v>
      </c>
      <c r="FI23" s="40">
        <f t="shared" ca="1" si="129"/>
        <v>8057085.8022944881</v>
      </c>
      <c r="FJ23" s="40">
        <f t="shared" ca="1" si="129"/>
        <v>8057085.8022944881</v>
      </c>
      <c r="FK23" s="40">
        <f t="shared" ca="1" si="129"/>
        <v>8057085.8022944881</v>
      </c>
      <c r="FL23" s="40">
        <f t="shared" ca="1" si="129"/>
        <v>8057085.8022944881</v>
      </c>
      <c r="FM23" s="40">
        <f t="shared" ca="1" si="129"/>
        <v>8057085.8022944881</v>
      </c>
      <c r="FN23" s="40">
        <f t="shared" ca="1" si="129"/>
        <v>8057085.8022944881</v>
      </c>
      <c r="FO23" s="40">
        <f t="shared" ca="1" si="129"/>
        <v>8057085.8022944881</v>
      </c>
      <c r="FP23" s="40">
        <f t="shared" ca="1" si="129"/>
        <v>8057085.8022944881</v>
      </c>
      <c r="FQ23" s="40">
        <f t="shared" ca="1" si="129"/>
        <v>8057085.8022944881</v>
      </c>
      <c r="FR23" s="40">
        <f t="shared" ca="1" si="129"/>
        <v>8057085.8022944881</v>
      </c>
      <c r="FS23" s="40">
        <f t="shared" ca="1" si="129"/>
        <v>8057085.8022944881</v>
      </c>
      <c r="FT23" s="40">
        <f t="shared" ca="1" si="129"/>
        <v>8057085.8022944881</v>
      </c>
      <c r="FU23" s="40">
        <f t="shared" ca="1" si="129"/>
        <v>8057085.8022944881</v>
      </c>
      <c r="FV23" s="40">
        <f t="shared" ca="1" si="129"/>
        <v>8057085.8022944881</v>
      </c>
      <c r="FW23" s="40">
        <f t="shared" ca="1" si="129"/>
        <v>8057085.8022944881</v>
      </c>
      <c r="FX23" s="40">
        <f t="shared" ca="1" si="129"/>
        <v>8057085.8022944881</v>
      </c>
      <c r="FY23" s="40">
        <f t="shared" ca="1" si="129"/>
        <v>8057085.8022944881</v>
      </c>
      <c r="FZ23" s="40">
        <f t="shared" ca="1" si="129"/>
        <v>8057085.8022944881</v>
      </c>
      <c r="GA23" s="40">
        <f t="shared" ca="1" si="129"/>
        <v>8057085.8022944881</v>
      </c>
      <c r="GB23" s="40">
        <f t="shared" ca="1" si="129"/>
        <v>8057085.8022944881</v>
      </c>
      <c r="GC23" s="40">
        <f t="shared" ca="1" si="129"/>
        <v>8057085.8022944881</v>
      </c>
      <c r="GD23" s="40">
        <f t="shared" ca="1" si="129"/>
        <v>8057085.8022944881</v>
      </c>
      <c r="GE23" s="40">
        <f t="shared" ca="1" si="129"/>
        <v>8057085.8022944881</v>
      </c>
      <c r="GF23" s="40">
        <f t="shared" ca="1" si="129"/>
        <v>8057085.8022944881</v>
      </c>
      <c r="GG23" s="40">
        <f t="shared" ca="1" si="129"/>
        <v>8057085.8022944881</v>
      </c>
      <c r="GH23" s="40">
        <f t="shared" ca="1" si="129"/>
        <v>8057085.8022944881</v>
      </c>
      <c r="GI23" s="40">
        <f t="shared" ca="1" si="129"/>
        <v>8057085.8022944881</v>
      </c>
      <c r="GJ23" s="40">
        <f t="shared" ca="1" si="129"/>
        <v>8057085.8022944881</v>
      </c>
      <c r="GK23" s="40">
        <f t="shared" ca="1" si="129"/>
        <v>8057085.8022944881</v>
      </c>
      <c r="GL23" s="40">
        <f t="shared" ca="1" si="129"/>
        <v>8057085.8022944881</v>
      </c>
      <c r="GM23" s="40">
        <f t="shared" ca="1" si="129"/>
        <v>8057085.8022944881</v>
      </c>
      <c r="GN23" s="40">
        <f t="shared" ca="1" si="129"/>
        <v>8057085.8022944881</v>
      </c>
      <c r="GO23" s="40">
        <f t="shared" ca="1" si="129"/>
        <v>8057085.8022944881</v>
      </c>
      <c r="GP23" s="40">
        <f t="shared" ca="1" si="129"/>
        <v>8057085.8022944881</v>
      </c>
      <c r="GQ23" s="40">
        <f t="shared" ca="1" si="129"/>
        <v>8057085.8022944881</v>
      </c>
      <c r="GR23" s="40">
        <f t="shared" ca="1" si="130"/>
        <v>8057085.8022944881</v>
      </c>
      <c r="GS23" s="40">
        <f t="shared" ca="1" si="130"/>
        <v>8057085.8022944881</v>
      </c>
      <c r="GT23" s="40">
        <f t="shared" ca="1" si="130"/>
        <v>8057085.8022944881</v>
      </c>
      <c r="GU23" s="40">
        <f t="shared" ca="1" si="130"/>
        <v>8057085.8022944881</v>
      </c>
      <c r="GV23" s="40">
        <f t="shared" ca="1" si="130"/>
        <v>8057085.8022944881</v>
      </c>
      <c r="GW23" s="40">
        <f t="shared" ca="1" si="130"/>
        <v>8057085.8022944881</v>
      </c>
      <c r="GX23" s="40">
        <f t="shared" ca="1" si="130"/>
        <v>8057085.8022944881</v>
      </c>
      <c r="GY23" s="40">
        <f t="shared" ca="1" si="130"/>
        <v>8057085.8022944881</v>
      </c>
      <c r="GZ23" s="40">
        <f t="shared" ca="1" si="130"/>
        <v>8057085.8022944881</v>
      </c>
      <c r="HA23" s="40">
        <f t="shared" ca="1" si="130"/>
        <v>8057085.8022944881</v>
      </c>
      <c r="HB23" s="40">
        <f t="shared" ca="1" si="130"/>
        <v>8057085.8022944881</v>
      </c>
      <c r="HC23" s="40">
        <f t="shared" ca="1" si="130"/>
        <v>8057085.8022944881</v>
      </c>
      <c r="HD23" s="40">
        <f t="shared" ca="1" si="130"/>
        <v>8057085.8022944881</v>
      </c>
      <c r="HE23" s="40">
        <f t="shared" ca="1" si="130"/>
        <v>8057085.8022944881</v>
      </c>
      <c r="HF23" s="40">
        <f t="shared" ca="1" si="130"/>
        <v>8057085.8022944881</v>
      </c>
      <c r="HG23" s="40">
        <f t="shared" ca="1" si="130"/>
        <v>8057085.8022944881</v>
      </c>
      <c r="HH23" s="40">
        <f t="shared" ca="1" si="130"/>
        <v>8057085.8022944881</v>
      </c>
      <c r="HI23" s="40">
        <f t="shared" ca="1" si="130"/>
        <v>8057085.8022944881</v>
      </c>
      <c r="HJ23" s="40">
        <f t="shared" ca="1" si="130"/>
        <v>8057085.8022944881</v>
      </c>
      <c r="HK23" s="40">
        <f t="shared" ca="1" si="130"/>
        <v>8057085.8022944881</v>
      </c>
      <c r="HL23" s="40">
        <f t="shared" ca="1" si="130"/>
        <v>8057085.8022944881</v>
      </c>
      <c r="HM23" s="40">
        <f t="shared" ca="1" si="130"/>
        <v>8057085.8022944881</v>
      </c>
      <c r="HN23" s="40">
        <f t="shared" ca="1" si="130"/>
        <v>8057085.8022944881</v>
      </c>
      <c r="HO23" s="40">
        <f t="shared" ca="1" si="130"/>
        <v>8057085.8022944881</v>
      </c>
      <c r="HP23" s="40">
        <f t="shared" ca="1" si="130"/>
        <v>8057085.8022944881</v>
      </c>
      <c r="HQ23" s="40">
        <f t="shared" ca="1" si="130"/>
        <v>8057085.8022944881</v>
      </c>
      <c r="HR23" s="40">
        <f t="shared" ca="1" si="130"/>
        <v>8057085.8022944881</v>
      </c>
      <c r="HS23" s="40">
        <f t="shared" ca="1" si="130"/>
        <v>8057085.8022944881</v>
      </c>
      <c r="HT23" s="40">
        <f t="shared" ca="1" si="130"/>
        <v>8057085.8022944881</v>
      </c>
      <c r="HU23" s="40">
        <f t="shared" ca="1" si="130"/>
        <v>8057085.8022944881</v>
      </c>
      <c r="HV23" s="40">
        <f t="shared" ca="1" si="130"/>
        <v>8057085.8022944881</v>
      </c>
      <c r="HW23" s="40">
        <f t="shared" ca="1" si="130"/>
        <v>8057085.8022944881</v>
      </c>
      <c r="HX23" s="40">
        <f t="shared" ca="1" si="130"/>
        <v>8057085.8022944881</v>
      </c>
      <c r="HY23" s="40">
        <f t="shared" ca="1" si="130"/>
        <v>8057085.8022944881</v>
      </c>
      <c r="HZ23" s="40">
        <f t="shared" ca="1" si="130"/>
        <v>8057085.8022944881</v>
      </c>
      <c r="IA23" s="40">
        <f t="shared" ca="1" si="130"/>
        <v>8057085.8022944881</v>
      </c>
      <c r="IB23" s="40">
        <f t="shared" ca="1" si="130"/>
        <v>8057085.8022944881</v>
      </c>
      <c r="IC23" s="40">
        <f t="shared" ca="1" si="130"/>
        <v>8057085.8022944881</v>
      </c>
      <c r="ID23" s="40">
        <f t="shared" ca="1" si="130"/>
        <v>8057085.8022944881</v>
      </c>
      <c r="IE23" s="40">
        <f t="shared" ca="1" si="130"/>
        <v>8057085.8022944881</v>
      </c>
      <c r="IF23" s="40">
        <f t="shared" ca="1" si="130"/>
        <v>8057085.8022944881</v>
      </c>
      <c r="IG23" s="40">
        <f t="shared" ca="1" si="130"/>
        <v>8057085.8022944881</v>
      </c>
      <c r="IH23" s="40">
        <f t="shared" ca="1" si="130"/>
        <v>8057085.8022944881</v>
      </c>
      <c r="II23" s="40">
        <f t="shared" ca="1" si="130"/>
        <v>8057085.8022944881</v>
      </c>
      <c r="IJ23" s="40">
        <f t="shared" ca="1" si="130"/>
        <v>8057085.8022944881</v>
      </c>
      <c r="IK23" s="40">
        <f t="shared" ca="1" si="130"/>
        <v>8057085.8022944881</v>
      </c>
      <c r="IL23" s="40">
        <f t="shared" ca="1" si="130"/>
        <v>8057085.8022944881</v>
      </c>
      <c r="IM23" s="40">
        <f t="shared" ca="1" si="130"/>
        <v>8057085.8022944881</v>
      </c>
      <c r="IN23" s="40">
        <f t="shared" ca="1" si="130"/>
        <v>8057085.8022944881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1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1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393982</v>
      </c>
      <c r="D27" s="24">
        <f ca="1">IF(D31&lt;TODAY(),_xlfn.MAXIFS(G20:IN20,G4:IN4,"&lt;"&amp;C5+5),IF(D31="N/A",C16*1.5,_xlfn.MAXIFS(G20:IN20,G3:IN3,"&lt;"&amp;$D$31)*1.5))</f>
        <v>138468.81951901768</v>
      </c>
      <c r="F27" s="22" t="s">
        <v>503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501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1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43928</v>
      </c>
      <c r="D30" s="20">
        <f ca="1">IF(D31&lt;TODAY(),TODAY()+3+Projections!Z45,IFERROR(OFFSET(G26,-23,MATCH(1,G26:IN26,0))+3+Projections!Z45,xMax2+3+Projections!Z45))</f>
        <v>43944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43940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620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243453</v>
      </c>
      <c r="E5" s="6">
        <f>IF(COUNTIF(I5:XFD5,"&gt;"&amp;0)=0,,HLOOKUP(COUNTIF(I5:XFD5,"&gt;"&amp;0)-1,I$1:XFD5,A5+1,FALSE))</f>
        <v>243453</v>
      </c>
      <c r="F5" s="7">
        <f>IF(COUNTIF(I5:XFD5,"&gt;"&amp;0)=0,,HLOOKUP(COUNTIF(I5:XFD5,"&gt;"&amp;0)-MIN($F$1+1,COUNTIF(I5:XFD5,"&gt;"&amp;0)),I$1:XFD5,A5+1,FALSE))</f>
        <v>121478</v>
      </c>
      <c r="G5" s="8">
        <f>IF(COUNTIF(I5:XFD5,"&gt;"&amp;0)=0,,(E5/F5)^(1/MIN(COUNTIF(I5:XFD5,"&gt;"&amp;0)-1,$F$1)))</f>
        <v>1.149167935094326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  <c r="AL5" s="9">
        <v>213372</v>
      </c>
      <c r="AM5" s="9">
        <v>243453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MAX(I6:JF6)</f>
        <v>115242</v>
      </c>
      <c r="E6" s="6">
        <f>IF(COUNTIF(I6:XFD6,"&gt;"&amp;0)=0,,HLOOKUP(COUNTIF(I6:XFD6,"&gt;"&amp;0)-1,I$1:XFD6,A6+1,FALSE))</f>
        <v>115242</v>
      </c>
      <c r="F6" s="7">
        <f>IF(COUNTIF(I6:XFD6,"&gt;"&amp;0)=0,,HLOOKUP(COUNTIF(I6:XFD6,"&gt;"&amp;0)-MIN($F$1+1,COUNTIF(I6:XFD6,"&gt;"&amp;0)),I$1:XFD6,A6+1,FALSE))</f>
        <v>92472</v>
      </c>
      <c r="G6" s="8">
        <f t="shared" ref="G6:G69" si="8">IF(COUNTIF(I6:XFD6,"&gt;"&amp;0)=0,,(E6/F6)^(1/MIN(COUNTIF(I6:XFD6,"&gt;"&amp;0)-1,$F$1)))</f>
        <v>1.0450091839340168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  <c r="AU6" s="9">
        <v>110574</v>
      </c>
      <c r="AV6" s="9">
        <v>115242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Spain</v>
      </c>
      <c r="D7" s="6">
        <f t="shared" si="7"/>
        <v>112065</v>
      </c>
      <c r="E7" s="6">
        <f>IF(COUNTIF(I7:XFD7,"&gt;"&amp;0)=0,,HLOOKUP(COUNTIF(I7:XFD7,"&gt;"&amp;0)-1,I$1:XFD7,A7+1,FALSE))</f>
        <v>112065</v>
      </c>
      <c r="F7" s="7">
        <f>IF(COUNTIF(I7:XFD7,"&gt;"&amp;0)=0,,HLOOKUP(COUNTIF(I7:XFD7,"&gt;"&amp;0)-MIN($F$1+1,COUNTIF(I7:XFD7,"&gt;"&amp;0)),I$1:XFD7,A7+1,FALSE))</f>
        <v>73235</v>
      </c>
      <c r="G7" s="8">
        <f t="shared" si="8"/>
        <v>1.0888053894753484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  <c r="AM7" s="9">
        <v>104118</v>
      </c>
      <c r="AN7" s="9">
        <v>112065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Germany</v>
      </c>
      <c r="D8" s="6">
        <f t="shared" si="7"/>
        <v>84794</v>
      </c>
      <c r="E8" s="6">
        <f>IF(COUNTIF(I8:XFD8,"&gt;"&amp;0)=0,,HLOOKUP(COUNTIF(I8:XFD8,"&gt;"&amp;0)-1,I$1:XFD8,A8+1,FALSE))</f>
        <v>84794</v>
      </c>
      <c r="F8" s="7">
        <f>IF(COUNTIF(I8:XFD8,"&gt;"&amp;0)=0,,HLOOKUP(COUNTIF(I8:XFD8,"&gt;"&amp;0)-MIN($F$1+1,COUNTIF(I8:XFD8,"&gt;"&amp;0)),I$1:XFD8,A8+1,FALSE))</f>
        <v>57695</v>
      </c>
      <c r="G8" s="8">
        <f t="shared" si="8"/>
        <v>1.0800537994340258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2745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  <c r="AD8" s="9">
        <v>24873</v>
      </c>
      <c r="AE8" s="9">
        <v>29056</v>
      </c>
      <c r="AF8" s="9">
        <v>32986</v>
      </c>
      <c r="AG8" s="9">
        <v>37323</v>
      </c>
      <c r="AH8" s="9">
        <v>43938</v>
      </c>
      <c r="AI8" s="9">
        <v>50871</v>
      </c>
      <c r="AJ8" s="9">
        <v>57695</v>
      </c>
      <c r="AK8" s="9">
        <v>62095</v>
      </c>
      <c r="AL8" s="9">
        <v>66885</v>
      </c>
      <c r="AM8" s="9">
        <v>71808</v>
      </c>
      <c r="AN8" s="9">
        <v>77872</v>
      </c>
      <c r="AO8" s="9">
        <v>84794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China</v>
      </c>
      <c r="D9" s="6">
        <f t="shared" si="7"/>
        <v>82432</v>
      </c>
      <c r="E9" s="6">
        <f>IF(COUNTIF(I9:XFD9,"&gt;"&amp;0)=0,,HLOOKUP(COUNTIF(I9:XFD9,"&gt;"&amp;0)-1,I$1:XFD9,A9+1,FALSE))</f>
        <v>82432</v>
      </c>
      <c r="F9" s="7">
        <f>IF(COUNTIF(I9:XFD9,"&gt;"&amp;0)=0,,HLOOKUP(COUNTIF(I9:XFD9,"&gt;"&amp;0)-MIN($F$1+1,COUNTIF(I9:XFD9,"&gt;"&amp;0)),I$1:XFD9,A9+1,FALSE))</f>
        <v>81999</v>
      </c>
      <c r="G9" s="8">
        <f t="shared" si="8"/>
        <v>1.0010538867435448</v>
      </c>
      <c r="H9" s="13" t="s">
        <v>337</v>
      </c>
      <c r="I9" s="9">
        <v>548</v>
      </c>
      <c r="J9" s="9">
        <v>643</v>
      </c>
      <c r="K9" s="9">
        <v>920</v>
      </c>
      <c r="L9" s="9">
        <v>1406</v>
      </c>
      <c r="M9" s="9">
        <v>2075</v>
      </c>
      <c r="N9" s="9">
        <v>2877</v>
      </c>
      <c r="O9" s="9">
        <v>5509</v>
      </c>
      <c r="P9" s="9">
        <v>6087</v>
      </c>
      <c r="Q9" s="9">
        <v>8141</v>
      </c>
      <c r="R9" s="9">
        <v>9802</v>
      </c>
      <c r="S9" s="9">
        <v>11891</v>
      </c>
      <c r="T9" s="9">
        <v>16630</v>
      </c>
      <c r="U9" s="9">
        <v>19716</v>
      </c>
      <c r="V9" s="9">
        <v>23707</v>
      </c>
      <c r="W9" s="9">
        <v>27440</v>
      </c>
      <c r="X9" s="9">
        <v>30587</v>
      </c>
      <c r="Y9" s="9">
        <v>34110</v>
      </c>
      <c r="Z9" s="9">
        <v>36814</v>
      </c>
      <c r="AA9" s="9">
        <v>39829</v>
      </c>
      <c r="AB9" s="9">
        <v>42354</v>
      </c>
      <c r="AC9" s="9">
        <v>44386</v>
      </c>
      <c r="AD9" s="9">
        <v>50000</v>
      </c>
      <c r="AE9" s="9">
        <v>59895</v>
      </c>
      <c r="AF9" s="9">
        <v>66358</v>
      </c>
      <c r="AG9" s="9">
        <v>68413</v>
      </c>
      <c r="AH9" s="9">
        <v>70513</v>
      </c>
      <c r="AI9" s="9">
        <v>72434</v>
      </c>
      <c r="AJ9" s="9">
        <v>74211</v>
      </c>
      <c r="AK9" s="9">
        <v>74619</v>
      </c>
      <c r="AL9" s="9">
        <v>75077</v>
      </c>
      <c r="AM9" s="9">
        <v>75550</v>
      </c>
      <c r="AN9" s="9">
        <v>77001</v>
      </c>
      <c r="AO9" s="9">
        <v>77022</v>
      </c>
      <c r="AP9" s="9">
        <v>77241</v>
      </c>
      <c r="AQ9" s="9">
        <v>77754</v>
      </c>
      <c r="AR9" s="9">
        <v>78166</v>
      </c>
      <c r="AS9" s="9">
        <v>78600</v>
      </c>
      <c r="AT9" s="9">
        <v>78928</v>
      </c>
      <c r="AU9" s="9">
        <v>79356</v>
      </c>
      <c r="AV9" s="9">
        <v>79932</v>
      </c>
      <c r="AW9" s="9">
        <v>80136</v>
      </c>
      <c r="AX9" s="9">
        <v>80261</v>
      </c>
      <c r="AY9" s="9">
        <v>80386</v>
      </c>
      <c r="AZ9" s="9">
        <v>80537</v>
      </c>
      <c r="BA9" s="9">
        <v>80690</v>
      </c>
      <c r="BB9" s="9">
        <v>80770</v>
      </c>
      <c r="BC9" s="9">
        <v>80823</v>
      </c>
      <c r="BD9" s="9">
        <v>80860</v>
      </c>
      <c r="BE9" s="9">
        <v>80887</v>
      </c>
      <c r="BF9" s="9">
        <v>80921</v>
      </c>
      <c r="BG9" s="9">
        <v>80932</v>
      </c>
      <c r="BH9" s="9">
        <v>80945</v>
      </c>
      <c r="BI9" s="9">
        <v>80977</v>
      </c>
      <c r="BJ9" s="9">
        <v>81003</v>
      </c>
      <c r="BK9" s="9">
        <v>81033</v>
      </c>
      <c r="BL9" s="9">
        <v>81058</v>
      </c>
      <c r="BM9" s="9">
        <v>81102</v>
      </c>
      <c r="BN9" s="9">
        <v>81156</v>
      </c>
      <c r="BO9" s="9">
        <v>81250</v>
      </c>
      <c r="BP9" s="9">
        <v>81305</v>
      </c>
      <c r="BQ9" s="9">
        <v>81435</v>
      </c>
      <c r="BR9" s="9">
        <v>81498</v>
      </c>
      <c r="BS9" s="9">
        <v>81591</v>
      </c>
      <c r="BT9" s="9">
        <v>81661</v>
      </c>
      <c r="BU9" s="9">
        <v>81782</v>
      </c>
      <c r="BV9" s="9">
        <v>81897</v>
      </c>
      <c r="BW9" s="9">
        <v>81999</v>
      </c>
      <c r="BX9" s="9">
        <v>82122</v>
      </c>
      <c r="BY9" s="9">
        <v>82198</v>
      </c>
      <c r="BZ9" s="9">
        <v>82279</v>
      </c>
      <c r="CA9" s="9">
        <v>82361</v>
      </c>
      <c r="CB9" s="9">
        <v>82432</v>
      </c>
      <c r="CD9" s="9">
        <v>0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France</v>
      </c>
      <c r="D10" s="6">
        <f t="shared" si="7"/>
        <v>59929</v>
      </c>
      <c r="E10" s="6">
        <f>IF(COUNTIF(I10:XFD10,"&gt;"&amp;0)=0,,HLOOKUP(COUNTIF(I10:XFD10,"&gt;"&amp;0)-1,I$1:XFD10,A10+1,FALSE))</f>
        <v>59929</v>
      </c>
      <c r="F10" s="7">
        <f>IF(COUNTIF(I10:XFD10,"&gt;"&amp;0)=0,,HLOOKUP(COUNTIF(I10:XFD10,"&gt;"&amp;0)-MIN($F$1+1,COUNTIF(I10:XFD10,"&gt;"&amp;0)),I$1:XFD10,A10+1,FALSE))</f>
        <v>38105</v>
      </c>
      <c r="G10" s="8">
        <f t="shared" si="8"/>
        <v>1.0947904818845609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  <c r="AO10" s="9">
        <v>57749</v>
      </c>
      <c r="AP10" s="9">
        <v>59929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34173</v>
      </c>
      <c r="E11" s="6">
        <f>IF(COUNTIF(I11:XFD11,"&gt;"&amp;0)=0,,HLOOKUP(COUNTIF(I11:XFD11,"&gt;"&amp;0)-1,I$1:XFD11,A11+1,FALSE))</f>
        <v>34173</v>
      </c>
      <c r="F11" s="7">
        <f>IF(COUNTIF(I11:XFD11,"&gt;"&amp;0)=0,,HLOOKUP(COUNTIF(I11:XFD11,"&gt;"&amp;0)-MIN($F$1+1,COUNTIF(I11:XFD11,"&gt;"&amp;0)),I$1:XFD11,A11+1,FALSE))</f>
        <v>17312</v>
      </c>
      <c r="G11" s="8">
        <f t="shared" si="8"/>
        <v>1.1456901324342033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  <c r="AJ11" s="9">
        <v>29865</v>
      </c>
      <c r="AK11" s="9">
        <v>34173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World</v>
      </c>
      <c r="D12" s="6">
        <f t="shared" si="7"/>
        <v>1009785</v>
      </c>
      <c r="E12" s="6">
        <f>IF(COUNTIF(I12:XFD12,"&gt;"&amp;0)=0,,HLOOKUP(COUNTIF(I12:XFD12,"&gt;"&amp;0)-1,I$1:XFD12,A12+1,FALSE))</f>
        <v>1009785</v>
      </c>
      <c r="F12" s="7">
        <f>IF(COUNTIF(I12:XFD12,"&gt;"&amp;0)=0,,HLOOKUP(COUNTIF(I12:XFD12,"&gt;"&amp;0)-MIN($F$1+1,COUNTIF(I12:XFD12,"&gt;"&amp;0)),I$1:XFD12,A12+1,FALSE))</f>
        <v>658374</v>
      </c>
      <c r="G12" s="8">
        <f t="shared" si="8"/>
        <v>1.0893093933892879</v>
      </c>
      <c r="H12" s="13" t="s">
        <v>604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242053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  <c r="CA12" s="9">
        <v>929458</v>
      </c>
      <c r="CB12" s="9">
        <v>1009785</v>
      </c>
      <c r="CD12" s="9">
        <v>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Europe</v>
      </c>
      <c r="D13" s="6">
        <f t="shared" si="7"/>
        <v>539587</v>
      </c>
      <c r="E13" s="6">
        <f>IF(COUNTIF(I13:XFD13,"&gt;"&amp;0)=0,,HLOOKUP(COUNTIF(I13:XFD13,"&gt;"&amp;0)-1,I$1:XFD13,A13+1,FALSE))</f>
        <v>539587</v>
      </c>
      <c r="F13" s="7">
        <f>IF(COUNTIF(I13:XFD13,"&gt;"&amp;0)=0,,HLOOKUP(COUNTIF(I13:XFD13,"&gt;"&amp;0)-MIN($F$1+1,COUNTIF(I13:XFD13,"&gt;"&amp;0)),I$1:XFD13,A13+1,FALSE))</f>
        <v>362825</v>
      </c>
      <c r="G13" s="8">
        <f t="shared" si="8"/>
        <v>1.082612045261534</v>
      </c>
      <c r="H13" s="13" t="s">
        <v>607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109607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  <c r="AV13" s="9">
        <v>502136</v>
      </c>
      <c r="AW13" s="9">
        <v>539587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North America</v>
      </c>
      <c r="D14" s="6">
        <f t="shared" si="7"/>
        <v>258117</v>
      </c>
      <c r="E14" s="6">
        <f>IF(COUNTIF(I14:XFD14,"&gt;"&amp;0)=0,,HLOOKUP(COUNTIF(I14:XFD14,"&gt;"&amp;0)-1,I$1:XFD14,A14+1,FALSE))</f>
        <v>258117</v>
      </c>
      <c r="F14" s="7">
        <f>IF(COUNTIF(I14:XFD14,"&gt;"&amp;0)=0,,HLOOKUP(COUNTIF(I14:XFD14,"&gt;"&amp;0)-MIN($F$1+1,COUNTIF(I14:XFD14,"&gt;"&amp;0)),I$1:XFD14,A14+1,FALSE))</f>
        <v>129008</v>
      </c>
      <c r="G14" s="8">
        <f t="shared" si="8"/>
        <v>1.14878827218977</v>
      </c>
      <c r="H14" s="13" t="s">
        <v>609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  <c r="AN14" s="9">
        <v>225966</v>
      </c>
      <c r="AO14" s="9">
        <v>258117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Asia</v>
      </c>
      <c r="D15" s="6">
        <f t="shared" si="7"/>
        <v>115669</v>
      </c>
      <c r="E15" s="6">
        <f>IF(COUNTIF(I15:XFD15,"&gt;"&amp;0)=0,,HLOOKUP(COUNTIF(I15:XFD15,"&gt;"&amp;0)-1,I$1:XFD15,A15+1,FALSE))</f>
        <v>115669</v>
      </c>
      <c r="F15" s="7">
        <f>IF(COUNTIF(I15:XFD15,"&gt;"&amp;0)=0,,HLOOKUP(COUNTIF(I15:XFD15,"&gt;"&amp;0)-MIN($F$1+1,COUNTIF(I15:XFD15,"&gt;"&amp;0)),I$1:XFD15,A15+1,FALSE))</f>
        <v>104697</v>
      </c>
      <c r="G15" s="8">
        <f t="shared" si="8"/>
        <v>1.0201324175147251</v>
      </c>
      <c r="H15" s="13" t="s">
        <v>606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  <c r="CA15" s="9">
        <v>112645</v>
      </c>
      <c r="CB15" s="9">
        <v>115669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Middle East</v>
      </c>
      <c r="D16" s="6">
        <f t="shared" si="7"/>
        <v>64237</v>
      </c>
      <c r="E16" s="6">
        <f>IF(COUNTIF(I16:XFD16,"&gt;"&amp;0)=0,,HLOOKUP(COUNTIF(I16:XFD16,"&gt;"&amp;0)-1,I$1:XFD16,A16+1,FALSE))</f>
        <v>64237</v>
      </c>
      <c r="F16" s="7">
        <f>IF(COUNTIF(I16:XFD16,"&gt;"&amp;0)=0,,HLOOKUP(COUNTIF(I16:XFD16,"&gt;"&amp;0)-MIN($F$1+1,COUNTIF(I16:XFD16,"&gt;"&amp;0)),I$1:XFD16,A16+1,FALSE))</f>
        <v>43425</v>
      </c>
      <c r="G16" s="8">
        <f t="shared" si="8"/>
        <v>1.0814565731292096</v>
      </c>
      <c r="H16" s="13" t="s">
        <v>608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  <c r="AS16" s="9">
        <v>59872</v>
      </c>
      <c r="AT16" s="9">
        <v>64237</v>
      </c>
    </row>
    <row r="17" spans="1:51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Iran</v>
      </c>
      <c r="D17" s="6">
        <f t="shared" si="7"/>
        <v>50468</v>
      </c>
      <c r="E17" s="6">
        <f>IF(COUNTIF(I17:XFD17,"&gt;"&amp;0)=0,,HLOOKUP(COUNTIF(I17:XFD17,"&gt;"&amp;0)-1,I$1:XFD17,A17+1,FALSE))</f>
        <v>50468</v>
      </c>
      <c r="F17" s="7">
        <f>IF(COUNTIF(I17:XFD17,"&gt;"&amp;0)=0,,HLOOKUP(COUNTIF(I17:XFD17,"&gt;"&amp;0)-MIN($F$1+1,COUNTIF(I17:XFD17,"&gt;"&amp;0)),I$1:XFD17,A17+1,FALSE))</f>
        <v>35408</v>
      </c>
      <c r="G17" s="8">
        <f t="shared" si="8"/>
        <v>1.0734527664107996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</row>
    <row r="18" spans="1:51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South America</v>
      </c>
      <c r="D18" s="6">
        <f t="shared" si="7"/>
        <v>20247</v>
      </c>
      <c r="E18" s="6">
        <f>IF(COUNTIF(I18:XFD18,"&gt;"&amp;0)=0,,HLOOKUP(COUNTIF(I18:XFD18,"&gt;"&amp;0)-1,I$1:XFD18,A18+1,FALSE))</f>
        <v>20247</v>
      </c>
      <c r="F18" s="7">
        <f>IF(COUNTIF(I18:XFD18,"&gt;"&amp;0)=0,,HLOOKUP(COUNTIF(I18:XFD18,"&gt;"&amp;0)-MIN($F$1+1,COUNTIF(I18:XFD18,"&gt;"&amp;0)),I$1:XFD18,A18+1,FALSE))</f>
        <v>10656</v>
      </c>
      <c r="G18" s="8">
        <f t="shared" si="8"/>
        <v>1.1369812275548714</v>
      </c>
      <c r="H18" s="13" t="s">
        <v>610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</row>
    <row r="19" spans="1:51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Switzerland</v>
      </c>
      <c r="D19" s="6">
        <f t="shared" si="7"/>
        <v>18827</v>
      </c>
      <c r="E19" s="6">
        <f>IF(COUNTIF(I19:XFD19,"&gt;"&amp;0)=0,,HLOOKUP(COUNTIF(I19:XFD19,"&gt;"&amp;0)-1,I$1:XFD19,A19+1,FALSE))</f>
        <v>18827</v>
      </c>
      <c r="F19" s="7">
        <f>IF(COUNTIF(I19:XFD19,"&gt;"&amp;0)=0,,HLOOKUP(COUNTIF(I19:XFD19,"&gt;"&amp;0)-MIN($F$1+1,COUNTIF(I19:XFD19,"&gt;"&amp;0)),I$1:XFD19,A19+1,FALSE))</f>
        <v>14076</v>
      </c>
      <c r="G19" s="8">
        <f t="shared" si="8"/>
        <v>1.0598889707438943</v>
      </c>
      <c r="H19" s="13" t="s">
        <v>77</v>
      </c>
      <c r="I19" s="9">
        <v>114</v>
      </c>
      <c r="J19" s="9">
        <v>214</v>
      </c>
      <c r="K19" s="9">
        <v>268</v>
      </c>
      <c r="L19" s="9">
        <v>337</v>
      </c>
      <c r="M19" s="9">
        <v>374</v>
      </c>
      <c r="N19" s="9">
        <v>491</v>
      </c>
      <c r="O19" s="9">
        <v>652</v>
      </c>
      <c r="P19" s="9">
        <v>652</v>
      </c>
      <c r="Q19" s="9">
        <v>1139</v>
      </c>
      <c r="R19" s="9">
        <v>1359</v>
      </c>
      <c r="S19" s="9">
        <v>2200</v>
      </c>
      <c r="T19" s="9">
        <v>2200</v>
      </c>
      <c r="U19" s="9">
        <v>2700</v>
      </c>
      <c r="V19" s="9">
        <v>3028</v>
      </c>
      <c r="W19" s="9">
        <v>4075</v>
      </c>
      <c r="X19" s="9">
        <v>5294</v>
      </c>
      <c r="Y19" s="9">
        <v>6575</v>
      </c>
      <c r="Z19" s="9">
        <v>7474</v>
      </c>
      <c r="AA19" s="9">
        <v>8795</v>
      </c>
      <c r="AB19" s="9">
        <v>9877</v>
      </c>
      <c r="AC19" s="9">
        <v>10897</v>
      </c>
      <c r="AD19" s="9">
        <v>11811</v>
      </c>
      <c r="AE19" s="9">
        <v>12928</v>
      </c>
      <c r="AF19" s="9">
        <v>14076</v>
      </c>
      <c r="AG19" s="9">
        <v>14829</v>
      </c>
      <c r="AH19" s="9">
        <v>15922</v>
      </c>
      <c r="AI19" s="9">
        <v>16605</v>
      </c>
      <c r="AJ19" s="9">
        <v>17768</v>
      </c>
      <c r="AK19" s="9">
        <v>18827</v>
      </c>
    </row>
    <row r="20" spans="1:51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Turkey</v>
      </c>
      <c r="D20" s="6">
        <f t="shared" si="7"/>
        <v>18135</v>
      </c>
      <c r="E20" s="6">
        <f>IF(COUNTIF(I20:XFD20,"&gt;"&amp;0)=0,,HLOOKUP(COUNTIF(I20:XFD20,"&gt;"&amp;0)-1,I$1:XFD20,A20+1,FALSE))</f>
        <v>18135</v>
      </c>
      <c r="F20" s="7">
        <f>IF(COUNTIF(I20:XFD20,"&gt;"&amp;0)=0,,HLOOKUP(COUNTIF(I20:XFD20,"&gt;"&amp;0)-MIN($F$1+1,COUNTIF(I20:XFD20,"&gt;"&amp;0)),I$1:XFD20,A20+1,FALSE))</f>
        <v>7402</v>
      </c>
      <c r="G20" s="8">
        <f t="shared" si="8"/>
        <v>1.1962823517855581</v>
      </c>
      <c r="H20" s="13" t="s">
        <v>355</v>
      </c>
      <c r="I20" s="9">
        <v>192</v>
      </c>
      <c r="J20" s="9">
        <v>359</v>
      </c>
      <c r="K20" s="9">
        <v>670</v>
      </c>
      <c r="L20" s="9">
        <v>1236</v>
      </c>
      <c r="M20" s="9">
        <v>1529</v>
      </c>
      <c r="N20" s="9">
        <v>1872</v>
      </c>
      <c r="O20" s="9">
        <v>2433</v>
      </c>
      <c r="P20" s="9">
        <v>3629</v>
      </c>
      <c r="Q20" s="9">
        <v>5698</v>
      </c>
      <c r="R20" s="9">
        <v>7402</v>
      </c>
      <c r="S20" s="9">
        <v>9217</v>
      </c>
      <c r="T20" s="9">
        <v>10827</v>
      </c>
      <c r="U20" s="9">
        <v>13531</v>
      </c>
      <c r="V20" s="9">
        <v>15679</v>
      </c>
      <c r="W20" s="9">
        <v>18135</v>
      </c>
    </row>
    <row r="21" spans="1:51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Belgium</v>
      </c>
      <c r="D21" s="6">
        <f t="shared" si="7"/>
        <v>15348</v>
      </c>
      <c r="E21" s="6">
        <f>IF(COUNTIF(I21:XFD21,"&gt;"&amp;0)=0,,HLOOKUP(COUNTIF(I21:XFD21,"&gt;"&amp;0)-1,I$1:XFD21,A21+1,FALSE))</f>
        <v>15348</v>
      </c>
      <c r="F21" s="7">
        <f>IF(COUNTIF(I21:XFD21,"&gt;"&amp;0)=0,,HLOOKUP(COUNTIF(I21:XFD21,"&gt;"&amp;0)-MIN($F$1+1,COUNTIF(I21:XFD21,"&gt;"&amp;0)),I$1:XFD21,A21+1,FALSE))</f>
        <v>9134</v>
      </c>
      <c r="G21" s="8">
        <f t="shared" si="8"/>
        <v>1.1093744429194252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</row>
    <row r="22" spans="1:51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Netherlands</v>
      </c>
      <c r="D22" s="6">
        <f t="shared" si="7"/>
        <v>14788</v>
      </c>
      <c r="E22" s="6">
        <f>IF(COUNTIF(I22:XFD22,"&gt;"&amp;0)=0,,HLOOKUP(COUNTIF(I22:XFD22,"&gt;"&amp;0)-1,I$1:XFD22,A22+1,FALSE))</f>
        <v>14788</v>
      </c>
      <c r="F22" s="7">
        <f>IF(COUNTIF(I22:XFD22,"&gt;"&amp;0)=0,,HLOOKUP(COUNTIF(I22:XFD22,"&gt;"&amp;0)-MIN($F$1+1,COUNTIF(I22:XFD22,"&gt;"&amp;0)),I$1:XFD22,A22+1,FALSE))</f>
        <v>9819</v>
      </c>
      <c r="G22" s="8">
        <f t="shared" si="8"/>
        <v>1.0853465656951751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</row>
    <row r="23" spans="1:51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Canada</v>
      </c>
      <c r="D23" s="6">
        <f t="shared" si="7"/>
        <v>11284</v>
      </c>
      <c r="E23" s="6">
        <f>IF(COUNTIF(I23:XFD23,"&gt;"&amp;0)=0,,HLOOKUP(COUNTIF(I23:XFD23,"&gt;"&amp;0)-1,I$1:XFD23,A23+1,FALSE))</f>
        <v>11284</v>
      </c>
      <c r="F23" s="7">
        <f>IF(COUNTIF(I23:XFD23,"&gt;"&amp;0)=0,,HLOOKUP(COUNTIF(I23:XFD23,"&gt;"&amp;0)-MIN($F$1+1,COUNTIF(I23:XFD23,"&gt;"&amp;0)),I$1:XFD23,A23+1,FALSE))</f>
        <v>5576</v>
      </c>
      <c r="G23" s="8">
        <f t="shared" si="8"/>
        <v>1.1514048712114948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</row>
    <row r="24" spans="1:51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Austria</v>
      </c>
      <c r="D24" s="6">
        <f t="shared" si="7"/>
        <v>11129</v>
      </c>
      <c r="E24" s="6">
        <f>IF(COUNTIF(I24:XFD24,"&gt;"&amp;0)=0,,HLOOKUP(COUNTIF(I24:XFD24,"&gt;"&amp;0)-1,I$1:XFD24,A24+1,FALSE))</f>
        <v>11129</v>
      </c>
      <c r="F24" s="7">
        <f>IF(COUNTIF(I24:XFD24,"&gt;"&amp;0)=0,,HLOOKUP(COUNTIF(I24:XFD24,"&gt;"&amp;0)-MIN($F$1+1,COUNTIF(I24:XFD24,"&gt;"&amp;0)),I$1:XFD24,A24+1,FALSE))</f>
        <v>8271</v>
      </c>
      <c r="G24" s="8">
        <f t="shared" si="8"/>
        <v>1.061156953692882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  <c r="AF24" s="9">
        <v>10180</v>
      </c>
      <c r="AG24" s="9">
        <v>10711</v>
      </c>
      <c r="AH24" s="9">
        <v>11129</v>
      </c>
    </row>
    <row r="25" spans="1:51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Korea, South</v>
      </c>
      <c r="D25" s="6">
        <f t="shared" si="7"/>
        <v>9976</v>
      </c>
      <c r="E25" s="6">
        <f>IF(COUNTIF(I25:XFD25,"&gt;"&amp;0)=0,,HLOOKUP(COUNTIF(I25:XFD25,"&gt;"&amp;0)-1,I$1:XFD25,A25+1,FALSE))</f>
        <v>9976</v>
      </c>
      <c r="F25" s="7">
        <f>IF(COUNTIF(I25:XFD25,"&gt;"&amp;0)=0,,HLOOKUP(COUNTIF(I25:XFD25,"&gt;"&amp;0)-MIN($F$1+1,COUNTIF(I25:XFD25,"&gt;"&amp;0)),I$1:XFD25,A25+1,FALSE))</f>
        <v>9478</v>
      </c>
      <c r="G25" s="8">
        <f t="shared" si="8"/>
        <v>1.0102944034737229</v>
      </c>
      <c r="H25" s="13" t="s">
        <v>339</v>
      </c>
      <c r="I25" s="9">
        <v>104</v>
      </c>
      <c r="J25" s="9">
        <v>204</v>
      </c>
      <c r="K25" s="9">
        <v>433</v>
      </c>
      <c r="L25" s="9">
        <v>602</v>
      </c>
      <c r="M25" s="9">
        <v>833</v>
      </c>
      <c r="N25" s="9">
        <v>977</v>
      </c>
      <c r="O25" s="9">
        <v>1261</v>
      </c>
      <c r="P25" s="9">
        <v>1766</v>
      </c>
      <c r="Q25" s="9">
        <v>2337</v>
      </c>
      <c r="R25" s="9">
        <v>3150</v>
      </c>
      <c r="S25" s="9">
        <v>3736</v>
      </c>
      <c r="T25" s="9">
        <v>4335</v>
      </c>
      <c r="U25" s="9">
        <v>5186</v>
      </c>
      <c r="V25" s="9">
        <v>5621</v>
      </c>
      <c r="W25" s="9">
        <v>6088</v>
      </c>
      <c r="X25" s="9">
        <v>6593</v>
      </c>
      <c r="Y25" s="9">
        <v>7041</v>
      </c>
      <c r="Z25" s="9">
        <v>7314</v>
      </c>
      <c r="AA25" s="9">
        <v>7478</v>
      </c>
      <c r="AB25" s="9">
        <v>7513</v>
      </c>
      <c r="AC25" s="9">
        <v>7755</v>
      </c>
      <c r="AD25" s="9">
        <v>7869</v>
      </c>
      <c r="AE25" s="9">
        <v>7979</v>
      </c>
      <c r="AF25" s="9">
        <v>8086</v>
      </c>
      <c r="AG25" s="9">
        <v>8162</v>
      </c>
      <c r="AH25" s="9">
        <v>8236</v>
      </c>
      <c r="AI25" s="9">
        <v>8320</v>
      </c>
      <c r="AJ25" s="9">
        <v>8413</v>
      </c>
      <c r="AK25" s="9">
        <v>8565</v>
      </c>
      <c r="AL25" s="9">
        <v>8652</v>
      </c>
      <c r="AM25" s="9">
        <v>8799</v>
      </c>
      <c r="AN25" s="9">
        <v>8961</v>
      </c>
      <c r="AO25" s="9">
        <v>8961</v>
      </c>
      <c r="AP25" s="9">
        <v>9037</v>
      </c>
      <c r="AQ25" s="9">
        <v>9137</v>
      </c>
      <c r="AR25" s="9">
        <v>9241</v>
      </c>
      <c r="AS25" s="9">
        <v>9332</v>
      </c>
      <c r="AT25" s="9">
        <v>9478</v>
      </c>
      <c r="AU25" s="9">
        <v>9583</v>
      </c>
      <c r="AV25" s="9">
        <v>9661</v>
      </c>
      <c r="AW25" s="9">
        <v>9786</v>
      </c>
      <c r="AX25" s="9">
        <v>9887</v>
      </c>
      <c r="AY25" s="9">
        <v>9976</v>
      </c>
    </row>
    <row r="26" spans="1:51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Portugal</v>
      </c>
      <c r="D26" s="6">
        <f t="shared" si="7"/>
        <v>9034</v>
      </c>
      <c r="E26" s="6">
        <f>IF(COUNTIF(I26:XFD26,"&gt;"&amp;0)=0,,HLOOKUP(COUNTIF(I26:XFD26,"&gt;"&amp;0)-1,I$1:XFD26,A26+1,FALSE))</f>
        <v>9034</v>
      </c>
      <c r="F26" s="7">
        <f>IF(COUNTIF(I26:XFD26,"&gt;"&amp;0)=0,,HLOOKUP(COUNTIF(I26:XFD26,"&gt;"&amp;0)-MIN($F$1+1,COUNTIF(I26:XFD26,"&gt;"&amp;0)),I$1:XFD26,A26+1,FALSE))</f>
        <v>5170</v>
      </c>
      <c r="G26" s="8">
        <f t="shared" si="8"/>
        <v>1.1180929488042257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</row>
    <row r="27" spans="1:51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Brazil</v>
      </c>
      <c r="D27" s="6">
        <f t="shared" si="7"/>
        <v>8044</v>
      </c>
      <c r="E27" s="6">
        <f>IF(COUNTIF(I27:XFD27,"&gt;"&amp;0)=0,,HLOOKUP(COUNTIF(I27:XFD27,"&gt;"&amp;0)-1,I$1:XFD27,A27+1,FALSE))</f>
        <v>8044</v>
      </c>
      <c r="F27" s="7">
        <f>IF(COUNTIF(I27:XFD27,"&gt;"&amp;0)=0,,HLOOKUP(COUNTIF(I27:XFD27,"&gt;"&amp;0)-MIN($F$1+1,COUNTIF(I27:XFD27,"&gt;"&amp;0)),I$1:XFD27,A27+1,FALSE))</f>
        <v>3904</v>
      </c>
      <c r="G27" s="8">
        <f t="shared" si="8"/>
        <v>1.1555598679360872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  <c r="AB27" s="9">
        <v>6836</v>
      </c>
      <c r="AC27" s="9">
        <v>8044</v>
      </c>
    </row>
    <row r="28" spans="1:51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Israel</v>
      </c>
      <c r="D28" s="6">
        <f t="shared" si="7"/>
        <v>6857</v>
      </c>
      <c r="E28" s="6">
        <f>IF(COUNTIF(I28:XFD28,"&gt;"&amp;0)=0,,HLOOKUP(COUNTIF(I28:XFD28,"&gt;"&amp;0)-1,I$1:XFD28,A28+1,FALSE))</f>
        <v>6857</v>
      </c>
      <c r="F28" s="7">
        <f>IF(COUNTIF(I28:XFD28,"&gt;"&amp;0)=0,,HLOOKUP(COUNTIF(I28:XFD28,"&gt;"&amp;0)-MIN($F$1+1,COUNTIF(I28:XFD28,"&gt;"&amp;0)),I$1:XFD28,A28+1,FALSE))</f>
        <v>3619</v>
      </c>
      <c r="G28" s="8">
        <f t="shared" si="8"/>
        <v>1.1363421425149121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</row>
    <row r="29" spans="1:51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Africa</v>
      </c>
      <c r="D29" s="6">
        <f t="shared" si="7"/>
        <v>6015</v>
      </c>
      <c r="E29" s="6">
        <f>IF(COUNTIF(I29:XFD29,"&gt;"&amp;0)=0,,HLOOKUP(COUNTIF(I29:XFD29,"&gt;"&amp;0)-1,I$1:XFD29,A29+1,FALSE))</f>
        <v>6015</v>
      </c>
      <c r="F29" s="7">
        <f>IF(COUNTIF(I29:XFD29,"&gt;"&amp;0)=0,,HLOOKUP(COUNTIF(I29:XFD29,"&gt;"&amp;0)-MIN($F$1+1,COUNTIF(I29:XFD29,"&gt;"&amp;0)),I$1:XFD29,A29+1,FALSE))</f>
        <v>3672</v>
      </c>
      <c r="G29" s="8">
        <f t="shared" si="8"/>
        <v>1.1037395170711841</v>
      </c>
      <c r="H29" s="13" t="s">
        <v>611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</row>
    <row r="30" spans="1:51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Sweden</v>
      </c>
      <c r="D30" s="6">
        <f t="shared" si="7"/>
        <v>5568</v>
      </c>
      <c r="E30" s="6">
        <f>IF(COUNTIF(I30:XFD30,"&gt;"&amp;0)=0,,HLOOKUP(COUNTIF(I30:XFD30,"&gt;"&amp;0)-1,I$1:XFD30,A30+1,FALSE))</f>
        <v>5568</v>
      </c>
      <c r="F30" s="7">
        <f>IF(COUNTIF(I30:XFD30,"&gt;"&amp;0)=0,,HLOOKUP(COUNTIF(I30:XFD30,"&gt;"&amp;0)-MIN($F$1+1,COUNTIF(I30:XFD30,"&gt;"&amp;0)),I$1:XFD30,A30+1,FALSE))</f>
        <v>3447</v>
      </c>
      <c r="G30" s="8">
        <f t="shared" si="8"/>
        <v>1.100655957528895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</row>
    <row r="31" spans="1:51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Norway</v>
      </c>
      <c r="D31" s="6">
        <f t="shared" si="7"/>
        <v>5147</v>
      </c>
      <c r="E31" s="6">
        <f>IF(COUNTIF(I31:XFD31,"&gt;"&amp;0)=0,,HLOOKUP(COUNTIF(I31:XFD31,"&gt;"&amp;0)-1,I$1:XFD31,A31+1,FALSE))</f>
        <v>5147</v>
      </c>
      <c r="F31" s="7">
        <f>IF(COUNTIF(I31:XFD31,"&gt;"&amp;0)=0,,HLOOKUP(COUNTIF(I31:XFD31,"&gt;"&amp;0)-MIN($F$1+1,COUNTIF(I31:XFD31,"&gt;"&amp;0)),I$1:XFD31,A31+1,FALSE))</f>
        <v>4015</v>
      </c>
      <c r="G31" s="8">
        <f t="shared" si="8"/>
        <v>1.0509298404821561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  <c r="AJ31" s="9">
        <v>5147</v>
      </c>
    </row>
    <row r="32" spans="1:51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Australia</v>
      </c>
      <c r="D32" s="6">
        <f t="shared" si="7"/>
        <v>5116</v>
      </c>
      <c r="E32" s="6">
        <f>IF(COUNTIF(I32:XFD32,"&gt;"&amp;0)=0,,HLOOKUP(COUNTIF(I32:XFD32,"&gt;"&amp;0)-1,I$1:XFD32,A32+1,FALSE))</f>
        <v>5116</v>
      </c>
      <c r="F32" s="7">
        <f>IF(COUNTIF(I32:XFD32,"&gt;"&amp;0)=0,,HLOOKUP(COUNTIF(I32:XFD32,"&gt;"&amp;0)-MIN($F$1+1,COUNTIF(I32:XFD32,"&gt;"&amp;0)),I$1:XFD32,A32+1,FALSE))</f>
        <v>3640</v>
      </c>
      <c r="G32" s="8">
        <f t="shared" si="8"/>
        <v>1.0704486293999034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  <c r="AF32" s="9">
        <v>5116</v>
      </c>
    </row>
    <row r="33" spans="1:5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Czechia</v>
      </c>
      <c r="D33" s="6">
        <f t="shared" si="7"/>
        <v>3858</v>
      </c>
      <c r="E33" s="6">
        <f>IF(COUNTIF(I33:XFD33,"&gt;"&amp;0)=0,,HLOOKUP(COUNTIF(I33:XFD33,"&gt;"&amp;0)-1,I$1:XFD33,A33+1,FALSE))</f>
        <v>3858</v>
      </c>
      <c r="F33" s="7">
        <f>IF(COUNTIF(I33:XFD33,"&gt;"&amp;0)=0,,HLOOKUP(COUNTIF(I33:XFD33,"&gt;"&amp;0)-MIN($F$1+1,COUNTIF(I33:XFD33,"&gt;"&amp;0)),I$1:XFD33,A33+1,FALSE))</f>
        <v>2631</v>
      </c>
      <c r="G33" s="8">
        <f t="shared" si="8"/>
        <v>1.0795637048072233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  <c r="AA33" s="9">
        <v>3308</v>
      </c>
      <c r="AB33" s="9">
        <v>3508</v>
      </c>
      <c r="AC33" s="9">
        <v>3858</v>
      </c>
    </row>
    <row r="34" spans="1:5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Ireland</v>
      </c>
      <c r="D34" s="6">
        <f t="shared" si="7"/>
        <v>3849</v>
      </c>
      <c r="E34" s="6">
        <f>IF(COUNTIF(I34:XFD34,"&gt;"&amp;0)=0,,HLOOKUP(COUNTIF(I34:XFD34,"&gt;"&amp;0)-1,I$1:XFD34,A34+1,FALSE))</f>
        <v>3849</v>
      </c>
      <c r="F34" s="7">
        <f>IF(COUNTIF(I34:XFD34,"&gt;"&amp;0)=0,,HLOOKUP(COUNTIF(I34:XFD34,"&gt;"&amp;0)-MIN($F$1+1,COUNTIF(I34:XFD34,"&gt;"&amp;0)),I$1:XFD34,A34+1,FALSE))</f>
        <v>2415</v>
      </c>
      <c r="G34" s="8">
        <f t="shared" si="8"/>
        <v>1.0977062961269903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  <c r="AA34" s="9">
        <v>3447</v>
      </c>
      <c r="AB34" s="9">
        <v>3849</v>
      </c>
    </row>
    <row r="35" spans="1:5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Denmark</v>
      </c>
      <c r="D35" s="6">
        <f t="shared" si="7"/>
        <v>3573</v>
      </c>
      <c r="E35" s="6">
        <f>IF(COUNTIF(I35:XFD35,"&gt;"&amp;0)=0,,HLOOKUP(COUNTIF(I35:XFD35,"&gt;"&amp;0)-1,I$1:XFD35,A35+1,FALSE))</f>
        <v>3573</v>
      </c>
      <c r="F35" s="7">
        <f>IF(COUNTIF(I35:XFD35,"&gt;"&amp;0)=0,,HLOOKUP(COUNTIF(I35:XFD35,"&gt;"&amp;0)-MIN($F$1+1,COUNTIF(I35:XFD35,"&gt;"&amp;0)),I$1:XFD35,A35+1,FALSE))</f>
        <v>2366</v>
      </c>
      <c r="G35" s="8">
        <f t="shared" si="8"/>
        <v>1.0859345608988664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  <c r="AD35" s="9">
        <v>3039</v>
      </c>
      <c r="AE35" s="9">
        <v>3290</v>
      </c>
      <c r="AF35" s="9">
        <v>3573</v>
      </c>
    </row>
    <row r="36" spans="1:5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Russia</v>
      </c>
      <c r="D36" s="6">
        <f t="shared" si="7"/>
        <v>3548</v>
      </c>
      <c r="E36" s="6">
        <f>IF(COUNTIF(I36:XFD36,"&gt;"&amp;0)=0,,HLOOKUP(COUNTIF(I36:XFD36,"&gt;"&amp;0)-1,I$1:XFD36,A36+1,FALSE))</f>
        <v>3548</v>
      </c>
      <c r="F36" s="7">
        <f>IF(COUNTIF(I36:XFD36,"&gt;"&amp;0)=0,,HLOOKUP(COUNTIF(I36:XFD36,"&gt;"&amp;0)-MIN($F$1+1,COUNTIF(I36:XFD36,"&gt;"&amp;0)),I$1:XFD36,A36+1,FALSE))</f>
        <v>1264</v>
      </c>
      <c r="G36" s="8">
        <f t="shared" si="8"/>
        <v>1.2292700694335896</v>
      </c>
      <c r="H36" s="13" t="s">
        <v>344</v>
      </c>
      <c r="I36" s="9">
        <v>114</v>
      </c>
      <c r="J36" s="9">
        <v>147</v>
      </c>
      <c r="K36" s="9">
        <v>199</v>
      </c>
      <c r="L36" s="9">
        <v>253</v>
      </c>
      <c r="M36" s="9">
        <v>306</v>
      </c>
      <c r="N36" s="9">
        <v>367</v>
      </c>
      <c r="O36" s="9">
        <v>438</v>
      </c>
      <c r="P36" s="9">
        <v>495</v>
      </c>
      <c r="Q36" s="9">
        <v>658</v>
      </c>
      <c r="R36" s="9">
        <v>840</v>
      </c>
      <c r="S36" s="9">
        <v>1036</v>
      </c>
      <c r="T36" s="9">
        <v>1264</v>
      </c>
      <c r="U36" s="9">
        <v>1534</v>
      </c>
      <c r="V36" s="9">
        <v>1836</v>
      </c>
      <c r="W36" s="9">
        <v>2337</v>
      </c>
      <c r="X36" s="9">
        <v>2777</v>
      </c>
      <c r="Y36" s="9">
        <v>3548</v>
      </c>
    </row>
    <row r="37" spans="1:5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Chile</v>
      </c>
      <c r="D37" s="6">
        <f t="shared" si="7"/>
        <v>3404</v>
      </c>
      <c r="E37" s="6">
        <f>IF(COUNTIF(I37:XFD37,"&gt;"&amp;0)=0,,HLOOKUP(COUNTIF(I37:XFD37,"&gt;"&amp;0)-1,I$1:XFD37,A37+1,FALSE))</f>
        <v>3404</v>
      </c>
      <c r="F37" s="7">
        <f>IF(COUNTIF(I37:XFD37,"&gt;"&amp;0)=0,,HLOOKUP(COUNTIF(I37:XFD37,"&gt;"&amp;0)-MIN($F$1+1,COUNTIF(I37:XFD37,"&gt;"&amp;0)),I$1:XFD37,A37+1,FALSE))</f>
        <v>1909</v>
      </c>
      <c r="G37" s="8">
        <f t="shared" si="8"/>
        <v>1.1226302091992402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</row>
    <row r="38" spans="1:5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Ecuador</v>
      </c>
      <c r="D38" s="6">
        <f t="shared" si="7"/>
        <v>3163</v>
      </c>
      <c r="E38" s="6">
        <f>IF(COUNTIF(I38:XFD38,"&gt;"&amp;0)=0,,HLOOKUP(COUNTIF(I38:XFD38,"&gt;"&amp;0)-1,I$1:XFD38,A38+1,FALSE))</f>
        <v>3163</v>
      </c>
      <c r="F38" s="7">
        <f>IF(COUNTIF(I38:XFD38,"&gt;"&amp;0)=0,,HLOOKUP(COUNTIF(I38:XFD38,"&gt;"&amp;0)-MIN($F$1+1,COUNTIF(I38:XFD38,"&gt;"&amp;0)),I$1:XFD38,A38+1,FALSE))</f>
        <v>1823</v>
      </c>
      <c r="G38" s="8">
        <f t="shared" si="8"/>
        <v>1.1165097107198336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  <c r="R38" s="9">
        <v>1595</v>
      </c>
      <c r="S38" s="9">
        <v>1823</v>
      </c>
      <c r="T38" s="9">
        <v>1924</v>
      </c>
      <c r="U38" s="9">
        <v>1962</v>
      </c>
      <c r="V38" s="9">
        <v>2240</v>
      </c>
      <c r="W38" s="9">
        <v>2748</v>
      </c>
      <c r="X38" s="9">
        <v>3163</v>
      </c>
    </row>
    <row r="39" spans="1:5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Malaysia</v>
      </c>
      <c r="D39" s="6">
        <f t="shared" si="7"/>
        <v>3116</v>
      </c>
      <c r="E39" s="6">
        <f>IF(COUNTIF(I39:XFD39,"&gt;"&amp;0)=0,,HLOOKUP(COUNTIF(I39:XFD39,"&gt;"&amp;0)-1,I$1:XFD39,A39+1,FALSE))</f>
        <v>3116</v>
      </c>
      <c r="F39" s="7">
        <f>IF(COUNTIF(I39:XFD39,"&gt;"&amp;0)=0,,HLOOKUP(COUNTIF(I39:XFD39,"&gt;"&amp;0)-MIN($F$1+1,COUNTIF(I39:XFD39,"&gt;"&amp;0)),I$1:XFD39,A39+1,FALSE))</f>
        <v>2320</v>
      </c>
      <c r="G39" s="8">
        <f t="shared" si="8"/>
        <v>1.0607716218755918</v>
      </c>
      <c r="H39" s="13" t="s">
        <v>43</v>
      </c>
      <c r="I39" s="9">
        <v>117</v>
      </c>
      <c r="J39" s="9">
        <v>129</v>
      </c>
      <c r="K39" s="9">
        <v>149</v>
      </c>
      <c r="L39" s="9">
        <v>149</v>
      </c>
      <c r="M39" s="9">
        <v>197</v>
      </c>
      <c r="N39" s="9">
        <v>238</v>
      </c>
      <c r="O39" s="9">
        <v>428</v>
      </c>
      <c r="P39" s="9">
        <v>566</v>
      </c>
      <c r="Q39" s="9">
        <v>673</v>
      </c>
      <c r="R39" s="9">
        <v>790</v>
      </c>
      <c r="S39" s="9">
        <v>900</v>
      </c>
      <c r="T39" s="9">
        <v>1030</v>
      </c>
      <c r="U39" s="9">
        <v>1183</v>
      </c>
      <c r="V39" s="9">
        <v>1306</v>
      </c>
      <c r="W39" s="9">
        <v>1518</v>
      </c>
      <c r="X39" s="9">
        <v>1624</v>
      </c>
      <c r="Y39" s="9">
        <v>1796</v>
      </c>
      <c r="Z39" s="9">
        <v>2031</v>
      </c>
      <c r="AA39" s="9">
        <v>2161</v>
      </c>
      <c r="AB39" s="9">
        <v>2320</v>
      </c>
      <c r="AC39" s="9">
        <v>2470</v>
      </c>
      <c r="AD39" s="9">
        <v>2626</v>
      </c>
      <c r="AE39" s="9">
        <v>2766</v>
      </c>
      <c r="AF39" s="9">
        <v>2908</v>
      </c>
      <c r="AG39" s="9">
        <v>3116</v>
      </c>
    </row>
    <row r="40" spans="1:5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Poland</v>
      </c>
      <c r="D40" s="6">
        <f t="shared" si="7"/>
        <v>2946</v>
      </c>
      <c r="E40" s="6">
        <f>IF(COUNTIF(I40:XFD40,"&gt;"&amp;0)=0,,HLOOKUP(COUNTIF(I40:XFD40,"&gt;"&amp;0)-1,I$1:XFD40,A40+1,FALSE))</f>
        <v>2946</v>
      </c>
      <c r="F40" s="7">
        <f>IF(COUNTIF(I40:XFD40,"&gt;"&amp;0)=0,,HLOOKUP(COUNTIF(I40:XFD40,"&gt;"&amp;0)-MIN($F$1+1,COUNTIF(I40:XFD40,"&gt;"&amp;0)),I$1:XFD40,A40+1,FALSE))</f>
        <v>1638</v>
      </c>
      <c r="G40" s="8">
        <f t="shared" si="8"/>
        <v>1.12456294464233</v>
      </c>
      <c r="H40" s="13" t="s">
        <v>137</v>
      </c>
      <c r="I40" s="9">
        <v>103</v>
      </c>
      <c r="J40" s="9">
        <v>119</v>
      </c>
      <c r="K40" s="9">
        <v>177</v>
      </c>
      <c r="L40" s="9">
        <v>238</v>
      </c>
      <c r="M40" s="9">
        <v>251</v>
      </c>
      <c r="N40" s="9">
        <v>355</v>
      </c>
      <c r="O40" s="9">
        <v>425</v>
      </c>
      <c r="P40" s="9">
        <v>536</v>
      </c>
      <c r="Q40" s="9">
        <v>634</v>
      </c>
      <c r="R40" s="9">
        <v>749</v>
      </c>
      <c r="S40" s="9">
        <v>901</v>
      </c>
      <c r="T40" s="9">
        <v>1051</v>
      </c>
      <c r="U40" s="9">
        <v>1221</v>
      </c>
      <c r="V40" s="9">
        <v>1389</v>
      </c>
      <c r="W40" s="9">
        <v>1638</v>
      </c>
      <c r="X40" s="9">
        <v>1862</v>
      </c>
      <c r="Y40" s="9">
        <v>2055</v>
      </c>
      <c r="Z40" s="9">
        <v>2311</v>
      </c>
      <c r="AA40" s="9">
        <v>2554</v>
      </c>
      <c r="AB40" s="9">
        <v>2946</v>
      </c>
    </row>
    <row r="41" spans="1:5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Romania</v>
      </c>
      <c r="D41" s="6">
        <f t="shared" si="7"/>
        <v>2738</v>
      </c>
      <c r="E41" s="6">
        <f>IF(COUNTIF(I41:XFD41,"&gt;"&amp;0)=0,,HLOOKUP(COUNTIF(I41:XFD41,"&gt;"&amp;0)-1,I$1:XFD41,A41+1,FALSE))</f>
        <v>2738</v>
      </c>
      <c r="F41" s="7">
        <f>IF(COUNTIF(I41:XFD41,"&gt;"&amp;0)=0,,HLOOKUP(COUNTIF(I41:XFD41,"&gt;"&amp;0)-MIN($F$1+1,COUNTIF(I41:XFD41,"&gt;"&amp;0)),I$1:XFD41,A41+1,FALSE))</f>
        <v>1452</v>
      </c>
      <c r="G41" s="8">
        <f t="shared" si="8"/>
        <v>1.135254848773005</v>
      </c>
      <c r="H41" s="13" t="s">
        <v>86</v>
      </c>
      <c r="I41" s="9">
        <v>123</v>
      </c>
      <c r="J41" s="9">
        <v>131</v>
      </c>
      <c r="K41" s="9">
        <v>158</v>
      </c>
      <c r="L41" s="9">
        <v>184</v>
      </c>
      <c r="M41" s="9">
        <v>260</v>
      </c>
      <c r="N41" s="9">
        <v>277</v>
      </c>
      <c r="O41" s="9">
        <v>308</v>
      </c>
      <c r="P41" s="9">
        <v>367</v>
      </c>
      <c r="Q41" s="9">
        <v>433</v>
      </c>
      <c r="R41" s="9">
        <v>576</v>
      </c>
      <c r="S41" s="9">
        <v>794</v>
      </c>
      <c r="T41" s="9">
        <v>906</v>
      </c>
      <c r="U41" s="9">
        <v>1029</v>
      </c>
      <c r="V41" s="9">
        <v>1292</v>
      </c>
      <c r="W41" s="9">
        <v>1452</v>
      </c>
      <c r="X41" s="9">
        <v>1815</v>
      </c>
      <c r="Y41" s="9">
        <v>2109</v>
      </c>
      <c r="Z41" s="9">
        <v>2245</v>
      </c>
      <c r="AA41" s="9">
        <v>2460</v>
      </c>
      <c r="AB41" s="9">
        <v>2738</v>
      </c>
    </row>
    <row r="42" spans="1:5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Philippines</v>
      </c>
      <c r="D42" s="6">
        <f t="shared" si="7"/>
        <v>2633</v>
      </c>
      <c r="E42" s="6">
        <f>IF(COUNTIF(I42:XFD42,"&gt;"&amp;0)=0,,HLOOKUP(COUNTIF(I42:XFD42,"&gt;"&amp;0)-1,I$1:XFD42,A42+1,FALSE))</f>
        <v>2633</v>
      </c>
      <c r="F42" s="7">
        <f>IF(COUNTIF(I42:XFD42,"&gt;"&amp;0)=0,,HLOOKUP(COUNTIF(I42:XFD42,"&gt;"&amp;0)-MIN($F$1+1,COUNTIF(I42:XFD42,"&gt;"&amp;0)),I$1:XFD42,A42+1,FALSE))</f>
        <v>1075</v>
      </c>
      <c r="G42" s="8">
        <f t="shared" si="8"/>
        <v>1.1962128929027858</v>
      </c>
      <c r="H42" s="13" t="s">
        <v>56</v>
      </c>
      <c r="I42" s="9">
        <v>111</v>
      </c>
      <c r="J42" s="9">
        <v>140</v>
      </c>
      <c r="K42" s="9">
        <v>142</v>
      </c>
      <c r="L42" s="9">
        <v>187</v>
      </c>
      <c r="M42" s="9">
        <v>202</v>
      </c>
      <c r="N42" s="9">
        <v>217</v>
      </c>
      <c r="O42" s="9">
        <v>230</v>
      </c>
      <c r="P42" s="9">
        <v>307</v>
      </c>
      <c r="Q42" s="9">
        <v>380</v>
      </c>
      <c r="R42" s="9">
        <v>462</v>
      </c>
      <c r="S42" s="9">
        <v>552</v>
      </c>
      <c r="T42" s="9">
        <v>636</v>
      </c>
      <c r="U42" s="9">
        <v>707</v>
      </c>
      <c r="V42" s="9">
        <v>803</v>
      </c>
      <c r="W42" s="9">
        <v>1075</v>
      </c>
      <c r="X42" s="9">
        <v>1418</v>
      </c>
      <c r="Y42" s="9">
        <v>1546</v>
      </c>
      <c r="Z42" s="9">
        <v>2084</v>
      </c>
      <c r="AA42" s="9">
        <v>2311</v>
      </c>
      <c r="AB42" s="9">
        <v>2633</v>
      </c>
    </row>
    <row r="43" spans="1:5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India</v>
      </c>
      <c r="D43" s="6">
        <f t="shared" si="7"/>
        <v>2543</v>
      </c>
      <c r="E43" s="6">
        <f>IF(COUNTIF(I43:XFD43,"&gt;"&amp;0)=0,,HLOOKUP(COUNTIF(I43:XFD43,"&gt;"&amp;0)-1,I$1:XFD43,A43+1,FALSE))</f>
        <v>2543</v>
      </c>
      <c r="F43" s="7">
        <f>IF(COUNTIF(I43:XFD43,"&gt;"&amp;0)=0,,HLOOKUP(COUNTIF(I43:XFD43,"&gt;"&amp;0)-MIN($F$1+1,COUNTIF(I43:XFD43,"&gt;"&amp;0)),I$1:XFD43,A43+1,FALSE))</f>
        <v>987</v>
      </c>
      <c r="G43" s="8">
        <f t="shared" si="8"/>
        <v>1.2083864353841569</v>
      </c>
      <c r="H43" s="13" t="s">
        <v>57</v>
      </c>
      <c r="I43" s="9">
        <v>102</v>
      </c>
      <c r="J43" s="9">
        <v>113</v>
      </c>
      <c r="K43" s="9">
        <v>119</v>
      </c>
      <c r="L43" s="9">
        <v>142</v>
      </c>
      <c r="M43" s="9">
        <v>156</v>
      </c>
      <c r="N43" s="9">
        <v>194</v>
      </c>
      <c r="O43" s="9">
        <v>244</v>
      </c>
      <c r="P43" s="9">
        <v>330</v>
      </c>
      <c r="Q43" s="9">
        <v>396</v>
      </c>
      <c r="R43" s="9">
        <v>499</v>
      </c>
      <c r="S43" s="9">
        <v>536</v>
      </c>
      <c r="T43" s="9">
        <v>657</v>
      </c>
      <c r="U43" s="9">
        <v>727</v>
      </c>
      <c r="V43" s="9">
        <v>887</v>
      </c>
      <c r="W43" s="9">
        <v>987</v>
      </c>
      <c r="X43" s="9">
        <v>1024</v>
      </c>
      <c r="Y43" s="9">
        <v>1251</v>
      </c>
      <c r="Z43" s="9">
        <v>1397</v>
      </c>
      <c r="AA43" s="9">
        <v>1998</v>
      </c>
      <c r="AB43" s="9">
        <v>2543</v>
      </c>
    </row>
    <row r="44" spans="1:5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Japan</v>
      </c>
      <c r="D44" s="6">
        <f t="shared" si="7"/>
        <v>2495</v>
      </c>
      <c r="E44" s="6">
        <f>IF(COUNTIF(I44:XFD44,"&gt;"&amp;0)=0,,HLOOKUP(COUNTIF(I44:XFD44,"&gt;"&amp;0)-1,I$1:XFD44,A44+1,FALSE))</f>
        <v>2495</v>
      </c>
      <c r="F44" s="7">
        <f>IF(COUNTIF(I44:XFD44,"&gt;"&amp;0)=0,,HLOOKUP(COUNTIF(I44:XFD44,"&gt;"&amp;0)-MIN($F$1+1,COUNTIF(I44:XFD44,"&gt;"&amp;0)),I$1:XFD44,A44+1,FALSE))</f>
        <v>1693</v>
      </c>
      <c r="G44" s="8">
        <f t="shared" si="8"/>
        <v>1.0806441788380223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  <c r="AW44" s="9">
        <v>2178</v>
      </c>
      <c r="AX44" s="9">
        <v>2495</v>
      </c>
    </row>
    <row r="45" spans="1:5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Luxembourg</v>
      </c>
      <c r="D45" s="6">
        <f t="shared" si="7"/>
        <v>2487</v>
      </c>
      <c r="E45" s="6">
        <f>IF(COUNTIF(I45:XFD45,"&gt;"&amp;0)=0,,HLOOKUP(COUNTIF(I45:XFD45,"&gt;"&amp;0)-1,I$1:XFD45,A45+1,FALSE))</f>
        <v>2487</v>
      </c>
      <c r="F45" s="7">
        <f>IF(COUNTIF(I45:XFD45,"&gt;"&amp;0)=0,,HLOOKUP(COUNTIF(I45:XFD45,"&gt;"&amp;0)-MIN($F$1+1,COUNTIF(I45:XFD45,"&gt;"&amp;0)),I$1:XFD45,A45+1,FALSE))</f>
        <v>1831</v>
      </c>
      <c r="G45" s="8">
        <f t="shared" si="8"/>
        <v>1.0631572085590748</v>
      </c>
      <c r="H45" s="13" t="s">
        <v>99</v>
      </c>
      <c r="I45" s="9">
        <v>140</v>
      </c>
      <c r="J45" s="9">
        <v>203</v>
      </c>
      <c r="K45" s="9">
        <v>335</v>
      </c>
      <c r="L45" s="9">
        <v>484</v>
      </c>
      <c r="M45" s="9">
        <v>670</v>
      </c>
      <c r="N45" s="9">
        <v>798</v>
      </c>
      <c r="O45" s="9">
        <v>875</v>
      </c>
      <c r="P45" s="9">
        <v>1099</v>
      </c>
      <c r="Q45" s="9">
        <v>1333</v>
      </c>
      <c r="R45" s="9">
        <v>1453</v>
      </c>
      <c r="S45" s="9">
        <v>1605</v>
      </c>
      <c r="T45" s="9">
        <v>1831</v>
      </c>
      <c r="U45" s="9">
        <v>1950</v>
      </c>
      <c r="V45" s="9">
        <v>1988</v>
      </c>
      <c r="W45" s="9">
        <v>2178</v>
      </c>
      <c r="X45" s="9">
        <v>2319</v>
      </c>
      <c r="Y45" s="9">
        <v>2487</v>
      </c>
    </row>
    <row r="46" spans="1:5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Pakistan</v>
      </c>
      <c r="D46" s="6">
        <f t="shared" si="7"/>
        <v>2421</v>
      </c>
      <c r="E46" s="6">
        <f>IF(COUNTIF(I46:XFD46,"&gt;"&amp;0)=0,,HLOOKUP(COUNTIF(I46:XFD46,"&gt;"&amp;0)-1,I$1:XFD46,A46+1,FALSE))</f>
        <v>2421</v>
      </c>
      <c r="F46" s="7">
        <f>IF(COUNTIF(I46:XFD46,"&gt;"&amp;0)=0,,HLOOKUP(COUNTIF(I46:XFD46,"&gt;"&amp;0)-MIN($F$1+1,COUNTIF(I46:XFD46,"&gt;"&amp;0)),I$1:XFD46,A46+1,FALSE))</f>
        <v>1495</v>
      </c>
      <c r="G46" s="8">
        <f t="shared" si="8"/>
        <v>1.101211452469449</v>
      </c>
      <c r="H46" s="13" t="s">
        <v>80</v>
      </c>
      <c r="I46" s="9">
        <v>136</v>
      </c>
      <c r="J46" s="9">
        <v>236</v>
      </c>
      <c r="K46" s="9">
        <v>299</v>
      </c>
      <c r="L46" s="9">
        <v>454</v>
      </c>
      <c r="M46" s="9">
        <v>501</v>
      </c>
      <c r="N46" s="9">
        <v>730</v>
      </c>
      <c r="O46" s="9">
        <v>776</v>
      </c>
      <c r="P46" s="9">
        <v>875</v>
      </c>
      <c r="Q46" s="9">
        <v>972</v>
      </c>
      <c r="R46" s="9">
        <v>1063</v>
      </c>
      <c r="S46" s="9">
        <v>1201</v>
      </c>
      <c r="T46" s="9">
        <v>1373</v>
      </c>
      <c r="U46" s="9">
        <v>1495</v>
      </c>
      <c r="V46" s="9">
        <v>1597</v>
      </c>
      <c r="W46" s="9">
        <v>1717</v>
      </c>
      <c r="X46" s="9">
        <v>1938</v>
      </c>
      <c r="Y46" s="9">
        <v>2118</v>
      </c>
      <c r="Z46" s="9">
        <v>2421</v>
      </c>
    </row>
    <row r="47" spans="1:5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Saudi Arabia</v>
      </c>
      <c r="D47" s="6">
        <f t="shared" si="7"/>
        <v>1885</v>
      </c>
      <c r="E47" s="6">
        <f>IF(COUNTIF(I47:XFD47,"&gt;"&amp;0)=0,,HLOOKUP(COUNTIF(I47:XFD47,"&gt;"&amp;0)-1,I$1:XFD47,A47+1,FALSE))</f>
        <v>1885</v>
      </c>
      <c r="F47" s="7">
        <f>IF(COUNTIF(I47:XFD47,"&gt;"&amp;0)=0,,HLOOKUP(COUNTIF(I47:XFD47,"&gt;"&amp;0)-MIN($F$1+1,COUNTIF(I47:XFD47,"&gt;"&amp;0)),I$1:XFD47,A47+1,FALSE))</f>
        <v>1203</v>
      </c>
      <c r="G47" s="8">
        <f t="shared" si="8"/>
        <v>1.0939794032170671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</row>
    <row r="48" spans="1:5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Thailand</v>
      </c>
      <c r="D48" s="6">
        <f t="shared" si="7"/>
        <v>1875</v>
      </c>
      <c r="E48" s="6">
        <f>IF(COUNTIF(I48:XFD48,"&gt;"&amp;0)=0,,HLOOKUP(COUNTIF(I48:XFD48,"&gt;"&amp;0)-1,I$1:XFD48,A48+1,FALSE))</f>
        <v>1875</v>
      </c>
      <c r="F48" s="7">
        <f>IF(COUNTIF(I48:XFD48,"&gt;"&amp;0)=0,,HLOOKUP(COUNTIF(I48:XFD48,"&gt;"&amp;0)-MIN($F$1+1,COUNTIF(I48:XFD48,"&gt;"&amp;0)),I$1:XFD48,A48+1,FALSE))</f>
        <v>1245</v>
      </c>
      <c r="G48" s="8">
        <f t="shared" si="8"/>
        <v>1.0853414369278132</v>
      </c>
      <c r="H48" s="13" t="s">
        <v>35</v>
      </c>
      <c r="I48" s="9">
        <v>114</v>
      </c>
      <c r="J48" s="9">
        <v>147</v>
      </c>
      <c r="K48" s="9">
        <v>177</v>
      </c>
      <c r="L48" s="9">
        <v>212</v>
      </c>
      <c r="M48" s="9">
        <v>272</v>
      </c>
      <c r="N48" s="9">
        <v>322</v>
      </c>
      <c r="O48" s="9">
        <v>411</v>
      </c>
      <c r="P48" s="9">
        <v>599</v>
      </c>
      <c r="Q48" s="9">
        <v>721</v>
      </c>
      <c r="R48" s="9">
        <v>827</v>
      </c>
      <c r="S48" s="9">
        <v>934</v>
      </c>
      <c r="T48" s="9">
        <v>1045</v>
      </c>
      <c r="U48" s="9">
        <v>1136</v>
      </c>
      <c r="V48" s="9">
        <v>1245</v>
      </c>
      <c r="W48" s="9">
        <v>1388</v>
      </c>
      <c r="X48" s="9">
        <v>1524</v>
      </c>
      <c r="Y48" s="9">
        <v>1651</v>
      </c>
      <c r="Z48" s="9">
        <v>1771</v>
      </c>
      <c r="AA48" s="9">
        <v>1875</v>
      </c>
    </row>
    <row r="49" spans="1:42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Indonesia</v>
      </c>
      <c r="D49" s="6">
        <f t="shared" si="7"/>
        <v>1790</v>
      </c>
      <c r="E49" s="6">
        <f>IF(COUNTIF(I49:XFD49,"&gt;"&amp;0)=0,,HLOOKUP(COUNTIF(I49:XFD49,"&gt;"&amp;0)-1,I$1:XFD49,A49+1,FALSE))</f>
        <v>1790</v>
      </c>
      <c r="F49" s="7">
        <f>IF(COUNTIF(I49:XFD49,"&gt;"&amp;0)=0,,HLOOKUP(COUNTIF(I49:XFD49,"&gt;"&amp;0)-MIN($F$1+1,COUNTIF(I49:XFD49,"&gt;"&amp;0)),I$1:XFD49,A49+1,FALSE))</f>
        <v>1155</v>
      </c>
      <c r="G49" s="8">
        <f t="shared" si="8"/>
        <v>1.0915765803266209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</row>
    <row r="50" spans="1:42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Greece</v>
      </c>
      <c r="D50" s="6">
        <f t="shared" si="7"/>
        <v>1544</v>
      </c>
      <c r="E50" s="6">
        <f>IF(COUNTIF(I50:XFD50,"&gt;"&amp;0)=0,,HLOOKUP(COUNTIF(I50:XFD50,"&gt;"&amp;0)-1,I$1:XFD50,A50+1,FALSE))</f>
        <v>1544</v>
      </c>
      <c r="F50" s="7">
        <f>IF(COUNTIF(I50:XFD50,"&gt;"&amp;0)=0,,HLOOKUP(COUNTIF(I50:XFD50,"&gt;"&amp;0)-MIN($F$1+1,COUNTIF(I50:XFD50,"&gt;"&amp;0)),I$1:XFD50,A50+1,FALSE))</f>
        <v>1061</v>
      </c>
      <c r="G50" s="8">
        <f t="shared" si="8"/>
        <v>1.0779196336839711</v>
      </c>
      <c r="H50" s="13" t="s">
        <v>83</v>
      </c>
      <c r="I50" s="9">
        <v>190</v>
      </c>
      <c r="J50" s="9">
        <v>228</v>
      </c>
      <c r="K50" s="9">
        <v>331</v>
      </c>
      <c r="L50" s="9">
        <v>331</v>
      </c>
      <c r="M50" s="9">
        <v>387</v>
      </c>
      <c r="N50" s="9">
        <v>418</v>
      </c>
      <c r="O50" s="9">
        <v>418</v>
      </c>
      <c r="P50" s="9">
        <v>495</v>
      </c>
      <c r="Q50" s="9">
        <v>530</v>
      </c>
      <c r="R50" s="9">
        <v>624</v>
      </c>
      <c r="S50" s="9">
        <v>695</v>
      </c>
      <c r="T50" s="9">
        <v>743</v>
      </c>
      <c r="U50" s="9">
        <v>821</v>
      </c>
      <c r="V50" s="9">
        <v>892</v>
      </c>
      <c r="W50" s="9">
        <v>966</v>
      </c>
      <c r="X50" s="9">
        <v>1061</v>
      </c>
      <c r="Y50" s="9">
        <v>1156</v>
      </c>
      <c r="Z50" s="9">
        <v>1212</v>
      </c>
      <c r="AA50" s="9">
        <v>1314</v>
      </c>
      <c r="AB50" s="9">
        <v>1415</v>
      </c>
      <c r="AC50" s="9">
        <v>1544</v>
      </c>
    </row>
    <row r="51" spans="1:42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Finland</v>
      </c>
      <c r="D51" s="6">
        <f t="shared" si="7"/>
        <v>1518</v>
      </c>
      <c r="E51" s="6">
        <f>IF(COUNTIF(I51:XFD51,"&gt;"&amp;0)=0,,HLOOKUP(COUNTIF(I51:XFD51,"&gt;"&amp;0)-1,I$1:XFD51,A51+1,FALSE))</f>
        <v>1518</v>
      </c>
      <c r="F51" s="7">
        <f>IF(COUNTIF(I51:XFD51,"&gt;"&amp;0)=0,,HLOOKUP(COUNTIF(I51:XFD51,"&gt;"&amp;0)-MIN($F$1+1,COUNTIF(I51:XFD51,"&gt;"&amp;0)),I$1:XFD51,A51+1,FALSE))</f>
        <v>1167</v>
      </c>
      <c r="G51" s="8">
        <f t="shared" si="8"/>
        <v>1.0539989618259347</v>
      </c>
      <c r="H51" s="13" t="s">
        <v>54</v>
      </c>
      <c r="I51" s="9">
        <v>155</v>
      </c>
      <c r="J51" s="9">
        <v>225</v>
      </c>
      <c r="K51" s="9">
        <v>244</v>
      </c>
      <c r="L51" s="9">
        <v>277</v>
      </c>
      <c r="M51" s="9">
        <v>321</v>
      </c>
      <c r="N51" s="9">
        <v>336</v>
      </c>
      <c r="O51" s="9">
        <v>400</v>
      </c>
      <c r="P51" s="9">
        <v>450</v>
      </c>
      <c r="Q51" s="9">
        <v>523</v>
      </c>
      <c r="R51" s="9">
        <v>626</v>
      </c>
      <c r="S51" s="9">
        <v>700</v>
      </c>
      <c r="T51" s="9">
        <v>792</v>
      </c>
      <c r="U51" s="9">
        <v>880</v>
      </c>
      <c r="V51" s="9">
        <v>958</v>
      </c>
      <c r="W51" s="9">
        <v>1041</v>
      </c>
      <c r="X51" s="9">
        <v>1167</v>
      </c>
      <c r="Y51" s="9">
        <v>1240</v>
      </c>
      <c r="Z51" s="9">
        <v>1352</v>
      </c>
      <c r="AA51" s="9">
        <v>1418</v>
      </c>
      <c r="AB51" s="9">
        <v>1446</v>
      </c>
      <c r="AC51" s="9">
        <v>1518</v>
      </c>
    </row>
    <row r="52" spans="1:42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South Africa</v>
      </c>
      <c r="D52" s="6">
        <f t="shared" si="7"/>
        <v>1462</v>
      </c>
      <c r="E52" s="6">
        <f>IF(COUNTIF(I52:XFD52,"&gt;"&amp;0)=0,,HLOOKUP(COUNTIF(I52:XFD52,"&gt;"&amp;0)-1,I$1:XFD52,A52+1,FALSE))</f>
        <v>1462</v>
      </c>
      <c r="F52" s="7">
        <f>IF(COUNTIF(I52:XFD52,"&gt;"&amp;0)=0,,HLOOKUP(COUNTIF(I52:XFD52,"&gt;"&amp;0)-MIN($F$1+1,COUNTIF(I52:XFD52,"&gt;"&amp;0)),I$1:XFD52,A52+1,FALSE))</f>
        <v>1187</v>
      </c>
      <c r="G52" s="8">
        <f t="shared" si="8"/>
        <v>1.0425558528594121</v>
      </c>
      <c r="H52" s="13" t="s">
        <v>145</v>
      </c>
      <c r="I52" s="9">
        <v>116</v>
      </c>
      <c r="J52" s="9">
        <v>150</v>
      </c>
      <c r="K52" s="9">
        <v>202</v>
      </c>
      <c r="L52" s="9">
        <v>240</v>
      </c>
      <c r="M52" s="9">
        <v>274</v>
      </c>
      <c r="N52" s="9">
        <v>402</v>
      </c>
      <c r="O52" s="9">
        <v>554</v>
      </c>
      <c r="P52" s="9">
        <v>709</v>
      </c>
      <c r="Q52" s="9">
        <v>927</v>
      </c>
      <c r="R52" s="9">
        <v>1170</v>
      </c>
      <c r="S52" s="9">
        <v>1187</v>
      </c>
      <c r="T52" s="9">
        <v>1280</v>
      </c>
      <c r="U52" s="9">
        <v>1326</v>
      </c>
      <c r="V52" s="9">
        <v>1353</v>
      </c>
      <c r="W52" s="9">
        <v>1380</v>
      </c>
      <c r="X52" s="9">
        <v>1462</v>
      </c>
    </row>
    <row r="53" spans="1:42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Peru</v>
      </c>
      <c r="D53" s="6">
        <f t="shared" si="7"/>
        <v>1414</v>
      </c>
      <c r="E53" s="6">
        <f>IF(COUNTIF(I53:XFD53,"&gt;"&amp;0)=0,,HLOOKUP(COUNTIF(I53:XFD53,"&gt;"&amp;0)-1,I$1:XFD53,A53+1,FALSE))</f>
        <v>1414</v>
      </c>
      <c r="F53" s="7">
        <f>IF(COUNTIF(I53:XFD53,"&gt;"&amp;0)=0,,HLOOKUP(COUNTIF(I53:XFD53,"&gt;"&amp;0)-MIN($F$1+1,COUNTIF(I53:XFD53,"&gt;"&amp;0)),I$1:XFD53,A53+1,FALSE))</f>
        <v>671</v>
      </c>
      <c r="G53" s="8">
        <f t="shared" si="8"/>
        <v>1.1607678686987442</v>
      </c>
      <c r="H53" s="13" t="s">
        <v>160</v>
      </c>
      <c r="I53" s="9">
        <v>117</v>
      </c>
      <c r="J53" s="9">
        <v>145</v>
      </c>
      <c r="K53" s="9">
        <v>234</v>
      </c>
      <c r="L53" s="9">
        <v>234</v>
      </c>
      <c r="M53" s="9">
        <v>318</v>
      </c>
      <c r="N53" s="9">
        <v>363</v>
      </c>
      <c r="O53" s="9">
        <v>395</v>
      </c>
      <c r="P53" s="9">
        <v>416</v>
      </c>
      <c r="Q53" s="9">
        <v>480</v>
      </c>
      <c r="R53" s="9">
        <v>580</v>
      </c>
      <c r="S53" s="9">
        <v>635</v>
      </c>
      <c r="T53" s="9">
        <v>671</v>
      </c>
      <c r="U53" s="9">
        <v>852</v>
      </c>
      <c r="V53" s="9">
        <v>950</v>
      </c>
      <c r="W53" s="9">
        <v>1065</v>
      </c>
      <c r="X53" s="9">
        <v>1323</v>
      </c>
      <c r="Y53" s="9">
        <v>1414</v>
      </c>
    </row>
    <row r="54" spans="1:42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Dominican Republic</v>
      </c>
      <c r="D54" s="6">
        <f t="shared" si="7"/>
        <v>1380</v>
      </c>
      <c r="E54" s="6">
        <f>IF(COUNTIF(I54:XFD54,"&gt;"&amp;0)=0,,HLOOKUP(COUNTIF(I54:XFD54,"&gt;"&amp;0)-1,I$1:XFD54,A54+1,FALSE))</f>
        <v>1380</v>
      </c>
      <c r="F54" s="7">
        <f>IF(COUNTIF(I54:XFD54,"&gt;"&amp;0)=0,,HLOOKUP(COUNTIF(I54:XFD54,"&gt;"&amp;0)-MIN($F$1+1,COUNTIF(I54:XFD54,"&gt;"&amp;0)),I$1:XFD54,A54+1,FALSE))</f>
        <v>719</v>
      </c>
      <c r="G54" s="8">
        <f t="shared" si="8"/>
        <v>1.1392788608994426</v>
      </c>
      <c r="H54" s="13" t="s">
        <v>106</v>
      </c>
      <c r="I54" s="9">
        <v>112</v>
      </c>
      <c r="J54" s="9">
        <v>202</v>
      </c>
      <c r="K54" s="9">
        <v>245</v>
      </c>
      <c r="L54" s="9">
        <v>312</v>
      </c>
      <c r="M54" s="9">
        <v>392</v>
      </c>
      <c r="N54" s="9">
        <v>488</v>
      </c>
      <c r="O54" s="9">
        <v>581</v>
      </c>
      <c r="P54" s="9">
        <v>719</v>
      </c>
      <c r="Q54" s="9">
        <v>859</v>
      </c>
      <c r="R54" s="9">
        <v>901</v>
      </c>
      <c r="S54" s="9">
        <v>1109</v>
      </c>
      <c r="T54" s="9">
        <v>1284</v>
      </c>
      <c r="U54" s="9">
        <v>1380</v>
      </c>
    </row>
    <row r="55" spans="1:42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Mexico</v>
      </c>
      <c r="D55" s="6">
        <f t="shared" si="7"/>
        <v>1378</v>
      </c>
      <c r="E55" s="6">
        <f>IF(COUNTIF(I55:XFD55,"&gt;"&amp;0)=0,,HLOOKUP(COUNTIF(I55:XFD55,"&gt;"&amp;0)-1,I$1:XFD55,A55+1,FALSE))</f>
        <v>1378</v>
      </c>
      <c r="F55" s="7">
        <f>IF(COUNTIF(I55:XFD55,"&gt;"&amp;0)=0,,HLOOKUP(COUNTIF(I55:XFD55,"&gt;"&amp;0)-MIN($F$1+1,COUNTIF(I55:XFD55,"&gt;"&amp;0)),I$1:XFD55,A55+1,FALSE))</f>
        <v>717</v>
      </c>
      <c r="G55" s="8">
        <f t="shared" si="8"/>
        <v>1.1395831323960373</v>
      </c>
      <c r="H55" s="13" t="s">
        <v>94</v>
      </c>
      <c r="I55" s="9">
        <v>118</v>
      </c>
      <c r="J55" s="9">
        <v>164</v>
      </c>
      <c r="K55" s="9">
        <v>203</v>
      </c>
      <c r="L55" s="9">
        <v>251</v>
      </c>
      <c r="M55" s="9">
        <v>316</v>
      </c>
      <c r="N55" s="9">
        <v>367</v>
      </c>
      <c r="O55" s="9">
        <v>405</v>
      </c>
      <c r="P55" s="9">
        <v>475</v>
      </c>
      <c r="Q55" s="9">
        <v>585</v>
      </c>
      <c r="R55" s="9">
        <v>717</v>
      </c>
      <c r="S55" s="9">
        <v>848</v>
      </c>
      <c r="T55" s="9">
        <v>993</v>
      </c>
      <c r="U55" s="9">
        <v>1094</v>
      </c>
      <c r="V55" s="9">
        <v>1215</v>
      </c>
      <c r="W55" s="9">
        <v>1378</v>
      </c>
    </row>
    <row r="56" spans="1:42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Iceland</v>
      </c>
      <c r="D56" s="6">
        <f t="shared" si="7"/>
        <v>1319</v>
      </c>
      <c r="E56" s="6">
        <f>IF(COUNTIF(I56:XFD56,"&gt;"&amp;0)=0,,HLOOKUP(COUNTIF(I56:XFD56,"&gt;"&amp;0)-1,I$1:XFD56,A56+1,FALSE))</f>
        <v>1319</v>
      </c>
      <c r="F56" s="7">
        <f>IF(COUNTIF(I56:XFD56,"&gt;"&amp;0)=0,,HLOOKUP(COUNTIF(I56:XFD56,"&gt;"&amp;0)-MIN($F$1+1,COUNTIF(I56:XFD56,"&gt;"&amp;0)),I$1:XFD56,A56+1,FALSE))</f>
        <v>963</v>
      </c>
      <c r="G56" s="8">
        <f t="shared" si="8"/>
        <v>1.0649364736036333</v>
      </c>
      <c r="H56" s="13" t="s">
        <v>92</v>
      </c>
      <c r="I56" s="9">
        <v>103</v>
      </c>
      <c r="J56" s="9">
        <v>134</v>
      </c>
      <c r="K56" s="9">
        <v>156</v>
      </c>
      <c r="L56" s="9">
        <v>171</v>
      </c>
      <c r="M56" s="9">
        <v>180</v>
      </c>
      <c r="N56" s="9">
        <v>220</v>
      </c>
      <c r="O56" s="9">
        <v>250</v>
      </c>
      <c r="P56" s="9">
        <v>330</v>
      </c>
      <c r="Q56" s="9">
        <v>409</v>
      </c>
      <c r="R56" s="9">
        <v>473</v>
      </c>
      <c r="S56" s="9">
        <v>568</v>
      </c>
      <c r="T56" s="9">
        <v>588</v>
      </c>
      <c r="U56" s="9">
        <v>648</v>
      </c>
      <c r="V56" s="9">
        <v>737</v>
      </c>
      <c r="W56" s="9">
        <v>802</v>
      </c>
      <c r="X56" s="9">
        <v>890</v>
      </c>
      <c r="Y56" s="9">
        <v>963</v>
      </c>
      <c r="Z56" s="9">
        <v>1020</v>
      </c>
      <c r="AA56" s="9">
        <v>1086</v>
      </c>
      <c r="AB56" s="9">
        <v>1135</v>
      </c>
      <c r="AC56" s="9">
        <v>1220</v>
      </c>
      <c r="AD56" s="9">
        <v>1319</v>
      </c>
    </row>
    <row r="57" spans="1:42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Panama</v>
      </c>
      <c r="D57" s="6">
        <f t="shared" si="7"/>
        <v>1317</v>
      </c>
      <c r="E57" s="6">
        <f>IF(COUNTIF(I57:XFD57,"&gt;"&amp;0)=0,,HLOOKUP(COUNTIF(I57:XFD57,"&gt;"&amp;0)-1,I$1:XFD57,A57+1,FALSE))</f>
        <v>1317</v>
      </c>
      <c r="F57" s="7">
        <f>IF(COUNTIF(I57:XFD57,"&gt;"&amp;0)=0,,HLOOKUP(COUNTIF(I57:XFD57,"&gt;"&amp;0)-MIN($F$1+1,COUNTIF(I57:XFD57,"&gt;"&amp;0)),I$1:XFD57,A57+1,FALSE))</f>
        <v>786</v>
      </c>
      <c r="G57" s="8">
        <f t="shared" si="8"/>
        <v>1.1087474800593278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</row>
    <row r="58" spans="1:42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Serbia</v>
      </c>
      <c r="D58" s="6">
        <f t="shared" si="7"/>
        <v>1171</v>
      </c>
      <c r="E58" s="6">
        <f>IF(COUNTIF(I58:XFD58,"&gt;"&amp;0)=0,,HLOOKUP(COUNTIF(I58:XFD58,"&gt;"&amp;0)-1,I$1:XFD58,A58+1,FALSE))</f>
        <v>1171</v>
      </c>
      <c r="F58" s="7">
        <f>IF(COUNTIF(I58:XFD58,"&gt;"&amp;0)=0,,HLOOKUP(COUNTIF(I58:XFD58,"&gt;"&amp;0)-MIN($F$1+1,COUNTIF(I58:XFD58,"&gt;"&amp;0)),I$1:XFD58,A58+1,FALSE))</f>
        <v>659</v>
      </c>
      <c r="G58" s="8">
        <f t="shared" si="8"/>
        <v>1.1218487182819386</v>
      </c>
      <c r="H58" s="13" t="s">
        <v>161</v>
      </c>
      <c r="I58" s="9">
        <v>103</v>
      </c>
      <c r="J58" s="9">
        <v>135</v>
      </c>
      <c r="K58" s="9">
        <v>171</v>
      </c>
      <c r="L58" s="9">
        <v>222</v>
      </c>
      <c r="M58" s="9">
        <v>249</v>
      </c>
      <c r="N58" s="9">
        <v>303</v>
      </c>
      <c r="O58" s="9">
        <v>384</v>
      </c>
      <c r="P58" s="9">
        <v>384</v>
      </c>
      <c r="Q58" s="9">
        <v>457</v>
      </c>
      <c r="R58" s="9">
        <v>659</v>
      </c>
      <c r="S58" s="9">
        <v>741</v>
      </c>
      <c r="T58" s="9">
        <v>785</v>
      </c>
      <c r="U58" s="9">
        <v>900</v>
      </c>
      <c r="V58" s="9">
        <v>1060</v>
      </c>
      <c r="W58" s="9">
        <v>1171</v>
      </c>
    </row>
    <row r="59" spans="1:42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Colombia</v>
      </c>
      <c r="D59" s="6">
        <f t="shared" si="7"/>
        <v>1161</v>
      </c>
      <c r="E59" s="6">
        <f>IF(COUNTIF(I59:XFD59,"&gt;"&amp;0)=0,,HLOOKUP(COUNTIF(I59:XFD59,"&gt;"&amp;0)-1,I$1:XFD59,A59+1,FALSE))</f>
        <v>1161</v>
      </c>
      <c r="F59" s="7">
        <f>IF(COUNTIF(I59:XFD59,"&gt;"&amp;0)=0,,HLOOKUP(COUNTIF(I59:XFD59,"&gt;"&amp;0)-MIN($F$1+1,COUNTIF(I59:XFD59,"&gt;"&amp;0)),I$1:XFD59,A59+1,FALSE))</f>
        <v>608</v>
      </c>
      <c r="G59" s="8">
        <f t="shared" si="8"/>
        <v>1.1381139015674111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  <c r="N59" s="9">
        <v>378</v>
      </c>
      <c r="O59" s="9">
        <v>470</v>
      </c>
      <c r="P59" s="9">
        <v>491</v>
      </c>
      <c r="Q59" s="9">
        <v>539</v>
      </c>
      <c r="R59" s="9">
        <v>608</v>
      </c>
      <c r="S59" s="9">
        <v>702</v>
      </c>
      <c r="T59" s="9">
        <v>798</v>
      </c>
      <c r="U59" s="9">
        <v>906</v>
      </c>
      <c r="V59" s="9">
        <v>1065</v>
      </c>
      <c r="W59" s="9">
        <v>1161</v>
      </c>
    </row>
    <row r="60" spans="1:42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Argentina</v>
      </c>
      <c r="D60" s="6">
        <f t="shared" si="7"/>
        <v>1133</v>
      </c>
      <c r="E60" s="6">
        <f>IF(COUNTIF(I60:XFD60,"&gt;"&amp;0)=0,,HLOOKUP(COUNTIF(I60:XFD60,"&gt;"&amp;0)-1,I$1:XFD60,A60+1,FALSE))</f>
        <v>1133</v>
      </c>
      <c r="F60" s="7">
        <f>IF(COUNTIF(I60:XFD60,"&gt;"&amp;0)=0,,HLOOKUP(COUNTIF(I60:XFD60,"&gt;"&amp;0)-MIN($F$1+1,COUNTIF(I60:XFD60,"&gt;"&amp;0)),I$1:XFD60,A60+1,FALSE))</f>
        <v>690</v>
      </c>
      <c r="G60" s="8">
        <f t="shared" si="8"/>
        <v>1.1042722632216211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  <c r="P60" s="9">
        <v>589</v>
      </c>
      <c r="Q60" s="9">
        <v>690</v>
      </c>
      <c r="R60" s="9">
        <v>745</v>
      </c>
      <c r="S60" s="9">
        <v>820</v>
      </c>
      <c r="T60" s="9">
        <v>1054</v>
      </c>
      <c r="U60" s="9">
        <v>1054</v>
      </c>
      <c r="V60" s="9">
        <v>1133</v>
      </c>
    </row>
    <row r="61" spans="1:42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Singapore</v>
      </c>
      <c r="D61" s="6">
        <f t="shared" si="7"/>
        <v>1049</v>
      </c>
      <c r="E61" s="6">
        <f>IF(COUNTIF(I61:XFD61,"&gt;"&amp;0)=0,,HLOOKUP(COUNTIF(I61:XFD61,"&gt;"&amp;0)-1,I$1:XFD61,A61+1,FALSE))</f>
        <v>1049</v>
      </c>
      <c r="F61" s="7">
        <f>IF(COUNTIF(I61:XFD61,"&gt;"&amp;0)=0,,HLOOKUP(COUNTIF(I61:XFD61,"&gt;"&amp;0)-MIN($F$1+1,COUNTIF(I61:XFD61,"&gt;"&amp;0)),I$1:XFD61,A61+1,FALSE))</f>
        <v>802</v>
      </c>
      <c r="G61" s="8">
        <f t="shared" si="8"/>
        <v>1.0551646278460818</v>
      </c>
      <c r="H61" s="13" t="s">
        <v>40</v>
      </c>
      <c r="I61" s="9">
        <v>102</v>
      </c>
      <c r="J61" s="9">
        <v>106</v>
      </c>
      <c r="K61" s="9">
        <v>108</v>
      </c>
      <c r="L61" s="9">
        <v>110</v>
      </c>
      <c r="M61" s="9">
        <v>110</v>
      </c>
      <c r="N61" s="9">
        <v>117</v>
      </c>
      <c r="O61" s="9">
        <v>130</v>
      </c>
      <c r="P61" s="9">
        <v>138</v>
      </c>
      <c r="Q61" s="9">
        <v>150</v>
      </c>
      <c r="R61" s="9">
        <v>150</v>
      </c>
      <c r="S61" s="9">
        <v>160</v>
      </c>
      <c r="T61" s="9">
        <v>178</v>
      </c>
      <c r="U61" s="9">
        <v>178</v>
      </c>
      <c r="V61" s="9">
        <v>200</v>
      </c>
      <c r="W61" s="9">
        <v>212</v>
      </c>
      <c r="X61" s="9">
        <v>226</v>
      </c>
      <c r="Y61" s="9">
        <v>243</v>
      </c>
      <c r="Z61" s="9">
        <v>266</v>
      </c>
      <c r="AA61" s="9">
        <v>313</v>
      </c>
      <c r="AB61" s="9">
        <v>345</v>
      </c>
      <c r="AC61" s="9">
        <v>385</v>
      </c>
      <c r="AD61" s="9">
        <v>432</v>
      </c>
      <c r="AE61" s="9">
        <v>455</v>
      </c>
      <c r="AF61" s="9">
        <v>509</v>
      </c>
      <c r="AG61" s="9">
        <v>558</v>
      </c>
      <c r="AH61" s="9">
        <v>631</v>
      </c>
      <c r="AI61" s="9">
        <v>683</v>
      </c>
      <c r="AJ61" s="9">
        <v>732</v>
      </c>
      <c r="AK61" s="9">
        <v>802</v>
      </c>
      <c r="AL61" s="9">
        <v>844</v>
      </c>
      <c r="AM61" s="9">
        <v>879</v>
      </c>
      <c r="AN61" s="9">
        <v>926</v>
      </c>
      <c r="AO61" s="9">
        <v>1000</v>
      </c>
      <c r="AP61" s="9">
        <v>1049</v>
      </c>
    </row>
    <row r="62" spans="1:42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United Arab Emirates</v>
      </c>
      <c r="D62" s="6">
        <f t="shared" si="7"/>
        <v>1024</v>
      </c>
      <c r="E62" s="6">
        <f>IF(COUNTIF(I62:XFD62,"&gt;"&amp;0)=0,,HLOOKUP(COUNTIF(I62:XFD62,"&gt;"&amp;0)-1,I$1:XFD62,A62+1,FALSE))</f>
        <v>1024</v>
      </c>
      <c r="F62" s="7">
        <f>IF(COUNTIF(I62:XFD62,"&gt;"&amp;0)=0,,HLOOKUP(COUNTIF(I62:XFD62,"&gt;"&amp;0)-MIN($F$1+1,COUNTIF(I62:XFD62,"&gt;"&amp;0)),I$1:XFD62,A62+1,FALSE))</f>
        <v>468</v>
      </c>
      <c r="G62" s="8">
        <f t="shared" si="8"/>
        <v>1.1695285301768363</v>
      </c>
      <c r="H62" s="13" t="s">
        <v>55</v>
      </c>
      <c r="I62" s="9">
        <v>113</v>
      </c>
      <c r="J62" s="9">
        <v>140</v>
      </c>
      <c r="K62" s="9">
        <v>140</v>
      </c>
      <c r="L62" s="9">
        <v>153</v>
      </c>
      <c r="M62" s="9">
        <v>153</v>
      </c>
      <c r="N62" s="9">
        <v>198</v>
      </c>
      <c r="O62" s="9">
        <v>248</v>
      </c>
      <c r="P62" s="9">
        <v>333</v>
      </c>
      <c r="Q62" s="9">
        <v>333</v>
      </c>
      <c r="R62" s="9">
        <v>405</v>
      </c>
      <c r="S62" s="9">
        <v>468</v>
      </c>
      <c r="T62" s="9">
        <v>570</v>
      </c>
      <c r="U62" s="9">
        <v>611</v>
      </c>
      <c r="V62" s="9">
        <v>664</v>
      </c>
      <c r="W62" s="9">
        <v>814</v>
      </c>
      <c r="X62" s="9">
        <v>1024</v>
      </c>
    </row>
    <row r="63" spans="1:42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Croatia</v>
      </c>
      <c r="D63" s="6">
        <f t="shared" si="7"/>
        <v>1011</v>
      </c>
      <c r="E63" s="6">
        <f>IF(COUNTIF(I63:XFD63,"&gt;"&amp;0)=0,,HLOOKUP(COUNTIF(I63:XFD63,"&gt;"&amp;0)-1,I$1:XFD63,A63+1,FALSE))</f>
        <v>1011</v>
      </c>
      <c r="F63" s="7">
        <f>IF(COUNTIF(I63:XFD63,"&gt;"&amp;0)=0,,HLOOKUP(COUNTIF(I63:XFD63,"&gt;"&amp;0)-MIN($F$1+1,COUNTIF(I63:XFD63,"&gt;"&amp;0)),I$1:XFD63,A63+1,FALSE))</f>
        <v>657</v>
      </c>
      <c r="G63" s="8">
        <f t="shared" si="8"/>
        <v>1.0900267531423822</v>
      </c>
      <c r="H63" s="13" t="s">
        <v>76</v>
      </c>
      <c r="I63" s="9">
        <v>105</v>
      </c>
      <c r="J63" s="9">
        <v>128</v>
      </c>
      <c r="K63" s="9">
        <v>206</v>
      </c>
      <c r="L63" s="9">
        <v>254</v>
      </c>
      <c r="M63" s="9">
        <v>315</v>
      </c>
      <c r="N63" s="9">
        <v>382</v>
      </c>
      <c r="O63" s="9">
        <v>442</v>
      </c>
      <c r="P63" s="9">
        <v>495</v>
      </c>
      <c r="Q63" s="9">
        <v>586</v>
      </c>
      <c r="R63" s="9">
        <v>657</v>
      </c>
      <c r="S63" s="9">
        <v>713</v>
      </c>
      <c r="T63" s="9">
        <v>790</v>
      </c>
      <c r="U63" s="9">
        <v>867</v>
      </c>
      <c r="V63" s="9">
        <v>963</v>
      </c>
      <c r="W63" s="9">
        <v>1011</v>
      </c>
    </row>
    <row r="64" spans="1:42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Algeria</v>
      </c>
      <c r="D64" s="6">
        <f t="shared" si="7"/>
        <v>986</v>
      </c>
      <c r="E64" s="6">
        <f>IF(COUNTIF(I64:XFD64,"&gt;"&amp;0)=0,,HLOOKUP(COUNTIF(I64:XFD64,"&gt;"&amp;0)-1,I$1:XFD64,A64+1,FALSE))</f>
        <v>986</v>
      </c>
      <c r="F64" s="7">
        <f>IF(COUNTIF(I64:XFD64,"&gt;"&amp;0)=0,,HLOOKUP(COUNTIF(I64:XFD64,"&gt;"&amp;0)-MIN($F$1+1,COUNTIF(I64:XFD64,"&gt;"&amp;0)),I$1:XFD64,A64+1,FALSE))</f>
        <v>454</v>
      </c>
      <c r="G64" s="8">
        <f t="shared" si="8"/>
        <v>1.1677885491289623</v>
      </c>
      <c r="H64" s="13" t="s">
        <v>75</v>
      </c>
      <c r="I64" s="9">
        <v>139</v>
      </c>
      <c r="J64" s="9">
        <v>201</v>
      </c>
      <c r="K64" s="9">
        <v>230</v>
      </c>
      <c r="L64" s="9">
        <v>264</v>
      </c>
      <c r="M64" s="9">
        <v>302</v>
      </c>
      <c r="N64" s="9">
        <v>367</v>
      </c>
      <c r="O64" s="9">
        <v>409</v>
      </c>
      <c r="P64" s="9">
        <v>454</v>
      </c>
      <c r="Q64" s="9">
        <v>511</v>
      </c>
      <c r="R64" s="9">
        <v>584</v>
      </c>
      <c r="S64" s="9">
        <v>716</v>
      </c>
      <c r="T64" s="9">
        <v>847</v>
      </c>
      <c r="U64" s="9">
        <v>986</v>
      </c>
    </row>
    <row r="65" spans="1:32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Qatar</v>
      </c>
      <c r="D65" s="6">
        <f t="shared" si="7"/>
        <v>949</v>
      </c>
      <c r="E65" s="6">
        <f>IF(COUNTIF(I65:XFD65,"&gt;"&amp;0)=0,,HLOOKUP(COUNTIF(I65:XFD65,"&gt;"&amp;0)-1,I$1:XFD65,A65+1,FALSE))</f>
        <v>949</v>
      </c>
      <c r="F65" s="7">
        <f>IF(COUNTIF(I65:XFD65,"&gt;"&amp;0)=0,,HLOOKUP(COUNTIF(I65:XFD65,"&gt;"&amp;0)-MIN($F$1+1,COUNTIF(I65:XFD65,"&gt;"&amp;0)),I$1:XFD65,A65+1,FALSE))</f>
        <v>590</v>
      </c>
      <c r="G65" s="8">
        <f t="shared" si="8"/>
        <v>1.0997218149732779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  <c r="AB65" s="9">
        <v>693</v>
      </c>
      <c r="AC65" s="9">
        <v>781</v>
      </c>
      <c r="AD65" s="9">
        <v>835</v>
      </c>
      <c r="AE65" s="9">
        <v>949</v>
      </c>
    </row>
    <row r="66" spans="1:32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Slovenia</v>
      </c>
      <c r="D66" s="6">
        <f t="shared" si="7"/>
        <v>897</v>
      </c>
      <c r="E66" s="6">
        <f>IF(COUNTIF(I66:XFD66,"&gt;"&amp;0)=0,,HLOOKUP(COUNTIF(I66:XFD66,"&gt;"&amp;0)-1,I$1:XFD66,A66+1,FALSE))</f>
        <v>897</v>
      </c>
      <c r="F66" s="7">
        <f>IF(COUNTIF(I66:XFD66,"&gt;"&amp;0)=0,,HLOOKUP(COUNTIF(I66:XFD66,"&gt;"&amp;0)-MIN($F$1+1,COUNTIF(I66:XFD66,"&gt;"&amp;0)),I$1:XFD66,A66+1,FALSE))</f>
        <v>684</v>
      </c>
      <c r="G66" s="8">
        <f t="shared" si="8"/>
        <v>1.0557164002935921</v>
      </c>
      <c r="H66" s="13" t="s">
        <v>141</v>
      </c>
      <c r="I66" s="9">
        <v>141</v>
      </c>
      <c r="J66" s="9">
        <v>181</v>
      </c>
      <c r="K66" s="9">
        <v>219</v>
      </c>
      <c r="L66" s="9">
        <v>253</v>
      </c>
      <c r="M66" s="9">
        <v>275</v>
      </c>
      <c r="N66" s="9">
        <v>275</v>
      </c>
      <c r="O66" s="9">
        <v>286</v>
      </c>
      <c r="P66" s="9">
        <v>341</v>
      </c>
      <c r="Q66" s="9">
        <v>383</v>
      </c>
      <c r="R66" s="9">
        <v>414</v>
      </c>
      <c r="S66" s="9">
        <v>442</v>
      </c>
      <c r="T66" s="9">
        <v>480</v>
      </c>
      <c r="U66" s="9">
        <v>528</v>
      </c>
      <c r="V66" s="9">
        <v>562</v>
      </c>
      <c r="W66" s="9">
        <v>632</v>
      </c>
      <c r="X66" s="9">
        <v>684</v>
      </c>
      <c r="Y66" s="9">
        <v>730</v>
      </c>
      <c r="Z66" s="9">
        <v>756</v>
      </c>
      <c r="AA66" s="9">
        <v>802</v>
      </c>
      <c r="AB66" s="9">
        <v>841</v>
      </c>
      <c r="AC66" s="9">
        <v>897</v>
      </c>
    </row>
    <row r="67" spans="1:32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Ukraine</v>
      </c>
      <c r="D67" s="6">
        <f t="shared" si="7"/>
        <v>897</v>
      </c>
      <c r="E67" s="6">
        <f>IF(COUNTIF(I67:XFD67,"&gt;"&amp;0)=0,,HLOOKUP(COUNTIF(I67:XFD67,"&gt;"&amp;0)-1,I$1:XFD67,A67+1,FALSE))</f>
        <v>897</v>
      </c>
      <c r="F67" s="7">
        <f>IF(COUNTIF(I67:XFD67,"&gt;"&amp;0)=0,,HLOOKUP(COUNTIF(I67:XFD67,"&gt;"&amp;0)-MIN($F$1+1,COUNTIF(I67:XFD67,"&gt;"&amp;0)),I$1:XFD67,A67+1,FALSE))</f>
        <v>356</v>
      </c>
      <c r="G67" s="8">
        <f t="shared" si="8"/>
        <v>1.2030079268924361</v>
      </c>
      <c r="H67" s="13" t="s">
        <v>129</v>
      </c>
      <c r="I67" s="9">
        <v>145</v>
      </c>
      <c r="J67" s="9">
        <v>196</v>
      </c>
      <c r="K67" s="9">
        <v>310</v>
      </c>
      <c r="L67" s="9">
        <v>356</v>
      </c>
      <c r="M67" s="9">
        <v>475</v>
      </c>
      <c r="N67" s="9">
        <v>548</v>
      </c>
      <c r="O67" s="9">
        <v>645</v>
      </c>
      <c r="P67" s="9">
        <v>794</v>
      </c>
      <c r="Q67" s="9">
        <v>897</v>
      </c>
    </row>
    <row r="68" spans="1:32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Egypt</v>
      </c>
      <c r="D68" s="6">
        <f t="shared" si="7"/>
        <v>865</v>
      </c>
      <c r="E68" s="6">
        <f>IF(COUNTIF(I68:XFD68,"&gt;"&amp;0)=0,,HLOOKUP(COUNTIF(I68:XFD68,"&gt;"&amp;0)-1,I$1:XFD68,A68+1,FALSE))</f>
        <v>865</v>
      </c>
      <c r="F68" s="7">
        <f>IF(COUNTIF(I68:XFD68,"&gt;"&amp;0)=0,,HLOOKUP(COUNTIF(I68:XFD68,"&gt;"&amp;0)-MIN($F$1+1,COUNTIF(I68:XFD68,"&gt;"&amp;0)),I$1:XFD68,A68+1,FALSE))</f>
        <v>576</v>
      </c>
      <c r="G68" s="8">
        <f t="shared" si="8"/>
        <v>1.0847226901905946</v>
      </c>
      <c r="H68" s="13" t="s">
        <v>65</v>
      </c>
      <c r="I68" s="9">
        <v>109</v>
      </c>
      <c r="J68" s="9">
        <v>110</v>
      </c>
      <c r="K68" s="9">
        <v>150</v>
      </c>
      <c r="L68" s="9">
        <v>196</v>
      </c>
      <c r="M68" s="9">
        <v>196</v>
      </c>
      <c r="N68" s="9">
        <v>256</v>
      </c>
      <c r="O68" s="9">
        <v>285</v>
      </c>
      <c r="P68" s="9">
        <v>294</v>
      </c>
      <c r="Q68" s="9">
        <v>327</v>
      </c>
      <c r="R68" s="9">
        <v>366</v>
      </c>
      <c r="S68" s="9">
        <v>402</v>
      </c>
      <c r="T68" s="9">
        <v>456</v>
      </c>
      <c r="U68" s="9">
        <v>495</v>
      </c>
      <c r="V68" s="9">
        <v>536</v>
      </c>
      <c r="W68" s="9">
        <v>576</v>
      </c>
      <c r="X68" s="9">
        <v>609</v>
      </c>
      <c r="Y68" s="9">
        <v>656</v>
      </c>
      <c r="Z68" s="9">
        <v>710</v>
      </c>
      <c r="AA68" s="9">
        <v>779</v>
      </c>
      <c r="AB68" s="9">
        <v>865</v>
      </c>
    </row>
    <row r="69" spans="1:32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Estonia</v>
      </c>
      <c r="D69" s="6">
        <f t="shared" si="7"/>
        <v>858</v>
      </c>
      <c r="E69" s="6">
        <f>IF(COUNTIF(I69:XFD69,"&gt;"&amp;0)=0,,HLOOKUP(COUNTIF(I69:XFD69,"&gt;"&amp;0)-1,I$1:XFD69,A69+1,FALSE))</f>
        <v>858</v>
      </c>
      <c r="F69" s="7">
        <f>IF(COUNTIF(I69:XFD69,"&gt;"&amp;0)=0,,HLOOKUP(COUNTIF(I69:XFD69,"&gt;"&amp;0)-MIN($F$1+1,COUNTIF(I69:XFD69,"&gt;"&amp;0)),I$1:XFD69,A69+1,FALSE))</f>
        <v>645</v>
      </c>
      <c r="G69" s="8">
        <f t="shared" si="8"/>
        <v>1.0587307198661771</v>
      </c>
      <c r="H69" s="13" t="s">
        <v>88</v>
      </c>
      <c r="I69" s="9">
        <v>115</v>
      </c>
      <c r="J69" s="9">
        <v>171</v>
      </c>
      <c r="K69" s="9">
        <v>205</v>
      </c>
      <c r="L69" s="9">
        <v>225</v>
      </c>
      <c r="M69" s="9">
        <v>258</v>
      </c>
      <c r="N69" s="9">
        <v>267</v>
      </c>
      <c r="O69" s="9">
        <v>283</v>
      </c>
      <c r="P69" s="9">
        <v>306</v>
      </c>
      <c r="Q69" s="9">
        <v>326</v>
      </c>
      <c r="R69" s="9">
        <v>352</v>
      </c>
      <c r="S69" s="9">
        <v>369</v>
      </c>
      <c r="T69" s="9">
        <v>404</v>
      </c>
      <c r="U69" s="9">
        <v>538</v>
      </c>
      <c r="V69" s="9">
        <v>575</v>
      </c>
      <c r="W69" s="9">
        <v>645</v>
      </c>
      <c r="X69" s="9">
        <v>679</v>
      </c>
      <c r="Y69" s="9">
        <v>715</v>
      </c>
      <c r="Z69" s="9">
        <v>745</v>
      </c>
      <c r="AA69" s="9">
        <v>779</v>
      </c>
      <c r="AB69" s="9">
        <v>858</v>
      </c>
    </row>
    <row r="70" spans="1:32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New Zealand</v>
      </c>
      <c r="D70" s="6">
        <f t="shared" ref="D70:D133" si="10">MAX(I70:JF70)</f>
        <v>797</v>
      </c>
      <c r="E70" s="6">
        <f>IF(COUNTIF(I70:XFD70,"&gt;"&amp;0)=0,,HLOOKUP(COUNTIF(I70:XFD70,"&gt;"&amp;0)-1,I$1:XFD70,A70+1,FALSE))</f>
        <v>797</v>
      </c>
      <c r="F70" s="7">
        <f>IF(COUNTIF(I70:XFD70,"&gt;"&amp;0)=0,,HLOOKUP(COUNTIF(I70:XFD70,"&gt;"&amp;0)-MIN($F$1+1,COUNTIF(I70:XFD70,"&gt;"&amp;0)),I$1:XFD70,A70+1,FALSE))</f>
        <v>451</v>
      </c>
      <c r="G70" s="8">
        <f t="shared" ref="G70:G133" si="11">IF(COUNTIF(I70:XFD70,"&gt;"&amp;0)=0,,(E70/F70)^(1/MIN(COUNTIF(I70:XFD70,"&gt;"&amp;0)-1,$F$1)))</f>
        <v>1.1206148051383009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  <c r="S70" s="9">
        <v>708</v>
      </c>
      <c r="T70" s="9">
        <v>797</v>
      </c>
    </row>
    <row r="71" spans="1:32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>Iraq</v>
      </c>
      <c r="D71" s="6">
        <f t="shared" si="10"/>
        <v>772</v>
      </c>
      <c r="E71" s="6">
        <f>IF(COUNTIF(I71:XFD71,"&gt;"&amp;0)=0,,HLOOKUP(COUNTIF(I71:XFD71,"&gt;"&amp;0)-1,I$1:XFD71,A71+1,FALSE))</f>
        <v>772</v>
      </c>
      <c r="F71" s="7">
        <f>IF(COUNTIF(I71:XFD71,"&gt;"&amp;0)=0,,HLOOKUP(COUNTIF(I71:XFD71,"&gt;"&amp;0)-MIN($F$1+1,COUNTIF(I71:XFD71,"&gt;"&amp;0)),I$1:XFD71,A71+1,FALSE))</f>
        <v>506</v>
      </c>
      <c r="G71" s="8">
        <f t="shared" si="11"/>
        <v>1.0881615013378585</v>
      </c>
      <c r="H71" s="13" t="s">
        <v>70</v>
      </c>
      <c r="I71" s="9">
        <v>101</v>
      </c>
      <c r="J71" s="9">
        <v>110</v>
      </c>
      <c r="K71" s="9">
        <v>116</v>
      </c>
      <c r="L71" s="9">
        <v>124</v>
      </c>
      <c r="M71" s="9">
        <v>154</v>
      </c>
      <c r="N71" s="9">
        <v>164</v>
      </c>
      <c r="O71" s="9">
        <v>192</v>
      </c>
      <c r="P71" s="9">
        <v>208</v>
      </c>
      <c r="Q71" s="9">
        <v>214</v>
      </c>
      <c r="R71" s="9">
        <v>233</v>
      </c>
      <c r="S71" s="9">
        <v>266</v>
      </c>
      <c r="T71" s="9">
        <v>316</v>
      </c>
      <c r="U71" s="9">
        <v>346</v>
      </c>
      <c r="V71" s="9">
        <v>382</v>
      </c>
      <c r="W71" s="9">
        <v>458</v>
      </c>
      <c r="X71" s="9">
        <v>506</v>
      </c>
      <c r="Y71" s="9">
        <v>547</v>
      </c>
      <c r="Z71" s="9">
        <v>630</v>
      </c>
      <c r="AA71" s="9">
        <v>694</v>
      </c>
      <c r="AB71" s="9">
        <v>728</v>
      </c>
      <c r="AC71" s="9">
        <v>772</v>
      </c>
    </row>
    <row r="72" spans="1:32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>Morocco</v>
      </c>
      <c r="D72" s="6">
        <f t="shared" si="10"/>
        <v>708</v>
      </c>
      <c r="E72" s="6">
        <f>IF(COUNTIF(I72:XFD72,"&gt;"&amp;0)=0,,HLOOKUP(COUNTIF(I72:XFD72,"&gt;"&amp;0)-1,I$1:XFD72,A72+1,FALSE))</f>
        <v>708</v>
      </c>
      <c r="F72" s="7">
        <f>IF(COUNTIF(I72:XFD72,"&gt;"&amp;0)=0,,HLOOKUP(COUNTIF(I72:XFD72,"&gt;"&amp;0)-MIN($F$1+1,COUNTIF(I72:XFD72,"&gt;"&amp;0)),I$1:XFD72,A72+1,FALSE))</f>
        <v>402</v>
      </c>
      <c r="G72" s="8">
        <f t="shared" si="11"/>
        <v>1.1198540910979145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  <c r="S72" s="9">
        <v>654</v>
      </c>
      <c r="T72" s="9">
        <v>708</v>
      </c>
    </row>
    <row r="73" spans="1:32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>Armenia</v>
      </c>
      <c r="D73" s="6">
        <f t="shared" si="10"/>
        <v>663</v>
      </c>
      <c r="E73" s="6">
        <f>IF(COUNTIF(I73:XFD73,"&gt;"&amp;0)=0,,HLOOKUP(COUNTIF(I73:XFD73,"&gt;"&amp;0)-1,I$1:XFD73,A73+1,FALSE))</f>
        <v>663</v>
      </c>
      <c r="F73" s="7">
        <f>IF(COUNTIF(I73:XFD73,"&gt;"&amp;0)=0,,HLOOKUP(COUNTIF(I73:XFD73,"&gt;"&amp;0)-MIN($F$1+1,COUNTIF(I73:XFD73,"&gt;"&amp;0)),I$1:XFD73,A73+1,FALSE))</f>
        <v>407</v>
      </c>
      <c r="G73" s="8">
        <f t="shared" si="11"/>
        <v>1.1025132660321053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  <c r="Q73" s="9">
        <v>329</v>
      </c>
      <c r="R73" s="9">
        <v>407</v>
      </c>
      <c r="S73" s="9">
        <v>424</v>
      </c>
      <c r="T73" s="9">
        <v>482</v>
      </c>
      <c r="U73" s="9">
        <v>532</v>
      </c>
      <c r="V73" s="9">
        <v>571</v>
      </c>
      <c r="W73" s="9">
        <v>663</v>
      </c>
    </row>
    <row r="74" spans="1:32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>Lithuania</v>
      </c>
      <c r="D74" s="6">
        <f t="shared" si="10"/>
        <v>649</v>
      </c>
      <c r="E74" s="6">
        <f>IF(COUNTIF(I74:XFD74,"&gt;"&amp;0)=0,,HLOOKUP(COUNTIF(I74:XFD74,"&gt;"&amp;0)-1,I$1:XFD74,A74+1,FALSE))</f>
        <v>649</v>
      </c>
      <c r="F74" s="7">
        <f>IF(COUNTIF(I74:XFD74,"&gt;"&amp;0)=0,,HLOOKUP(COUNTIF(I74:XFD74,"&gt;"&amp;0)-MIN($F$1+1,COUNTIF(I74:XFD74,"&gt;"&amp;0)),I$1:XFD74,A74+1,FALSE))</f>
        <v>394</v>
      </c>
      <c r="G74" s="8">
        <f t="shared" si="11"/>
        <v>1.104967984759023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  <c r="S74" s="9">
        <v>581</v>
      </c>
      <c r="T74" s="9">
        <v>649</v>
      </c>
    </row>
    <row r="75" spans="1:32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>Bahrain</v>
      </c>
      <c r="D75" s="6">
        <f t="shared" si="10"/>
        <v>643</v>
      </c>
      <c r="E75" s="6">
        <f>IF(COUNTIF(I75:XFD75,"&gt;"&amp;0)=0,,HLOOKUP(COUNTIF(I75:XFD75,"&gt;"&amp;0)-1,I$1:XFD75,A75+1,FALSE))</f>
        <v>643</v>
      </c>
      <c r="F75" s="7">
        <f>IF(COUNTIF(I75:XFD75,"&gt;"&amp;0)=0,,HLOOKUP(COUNTIF(I75:XFD75,"&gt;"&amp;0)-MIN($F$1+1,COUNTIF(I75:XFD75,"&gt;"&amp;0)),I$1:XFD75,A75+1,FALSE))</f>
        <v>476</v>
      </c>
      <c r="G75" s="8">
        <f t="shared" si="11"/>
        <v>1.0619909211935519</v>
      </c>
      <c r="H75" s="13" t="s">
        <v>73</v>
      </c>
      <c r="I75" s="9">
        <v>110</v>
      </c>
      <c r="J75" s="9">
        <v>195</v>
      </c>
      <c r="K75" s="9">
        <v>195</v>
      </c>
      <c r="L75" s="9">
        <v>195</v>
      </c>
      <c r="M75" s="9">
        <v>210</v>
      </c>
      <c r="N75" s="9">
        <v>214</v>
      </c>
      <c r="O75" s="9">
        <v>214</v>
      </c>
      <c r="P75" s="9">
        <v>228</v>
      </c>
      <c r="Q75" s="9">
        <v>256</v>
      </c>
      <c r="R75" s="9">
        <v>278</v>
      </c>
      <c r="S75" s="9">
        <v>285</v>
      </c>
      <c r="T75" s="9">
        <v>305</v>
      </c>
      <c r="U75" s="9">
        <v>334</v>
      </c>
      <c r="V75" s="9">
        <v>377</v>
      </c>
      <c r="W75" s="9">
        <v>392</v>
      </c>
      <c r="X75" s="9">
        <v>419</v>
      </c>
      <c r="Y75" s="9">
        <v>458</v>
      </c>
      <c r="Z75" s="9">
        <v>466</v>
      </c>
      <c r="AA75" s="9">
        <v>476</v>
      </c>
      <c r="AB75" s="9">
        <v>499</v>
      </c>
      <c r="AC75" s="9">
        <v>515</v>
      </c>
      <c r="AD75" s="9">
        <v>567</v>
      </c>
      <c r="AE75" s="9">
        <v>569</v>
      </c>
      <c r="AF75" s="9">
        <v>643</v>
      </c>
    </row>
    <row r="76" spans="1:32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>Hungary</v>
      </c>
      <c r="D76" s="6">
        <f t="shared" si="10"/>
        <v>585</v>
      </c>
      <c r="E76" s="6">
        <f>IF(COUNTIF(I76:XFD76,"&gt;"&amp;0)=0,,HLOOKUP(COUNTIF(I76:XFD76,"&gt;"&amp;0)-1,I$1:XFD76,A76+1,FALSE))</f>
        <v>585</v>
      </c>
      <c r="F76" s="7">
        <f>IF(COUNTIF(I76:XFD76,"&gt;"&amp;0)=0,,HLOOKUP(COUNTIF(I76:XFD76,"&gt;"&amp;0)-MIN($F$1+1,COUNTIF(I76:XFD76,"&gt;"&amp;0)),I$1:XFD76,A76+1,FALSE))</f>
        <v>343</v>
      </c>
      <c r="G76" s="8">
        <f t="shared" si="11"/>
        <v>1.1126852966920404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  <c r="U76" s="9">
        <v>585</v>
      </c>
    </row>
    <row r="77" spans="1:32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>Bosnia and Herzegovina</v>
      </c>
      <c r="D77" s="6">
        <f t="shared" si="10"/>
        <v>533</v>
      </c>
      <c r="E77" s="6">
        <f>IF(COUNTIF(I77:XFD77,"&gt;"&amp;0)=0,,HLOOKUP(COUNTIF(I77:XFD77,"&gt;"&amp;0)-1,I$1:XFD77,A77+1,FALSE))</f>
        <v>533</v>
      </c>
      <c r="F77" s="7">
        <f>IF(COUNTIF(I77:XFD77,"&gt;"&amp;0)=0,,HLOOKUP(COUNTIF(I77:XFD77,"&gt;"&amp;0)-MIN($F$1+1,COUNTIF(I77:XFD77,"&gt;"&amp;0)),I$1:XFD77,A77+1,FALSE))</f>
        <v>258</v>
      </c>
      <c r="G77" s="8">
        <f t="shared" si="11"/>
        <v>1.1561694792463724</v>
      </c>
      <c r="H77" s="13" t="s">
        <v>140</v>
      </c>
      <c r="I77" s="9">
        <v>126</v>
      </c>
      <c r="J77" s="9">
        <v>136</v>
      </c>
      <c r="K77" s="9">
        <v>166</v>
      </c>
      <c r="L77" s="9">
        <v>176</v>
      </c>
      <c r="M77" s="9">
        <v>191</v>
      </c>
      <c r="N77" s="9">
        <v>237</v>
      </c>
      <c r="O77" s="9">
        <v>258</v>
      </c>
      <c r="P77" s="9">
        <v>323</v>
      </c>
      <c r="Q77" s="9">
        <v>368</v>
      </c>
      <c r="R77" s="9">
        <v>420</v>
      </c>
      <c r="S77" s="9">
        <v>459</v>
      </c>
      <c r="T77" s="9">
        <v>533</v>
      </c>
    </row>
    <row r="78" spans="1:32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>Moldova</v>
      </c>
      <c r="D78" s="6">
        <f t="shared" si="10"/>
        <v>505</v>
      </c>
      <c r="E78" s="6">
        <f>IF(COUNTIF(I78:XFD78,"&gt;"&amp;0)=0,,HLOOKUP(COUNTIF(I78:XFD78,"&gt;"&amp;0)-1,I$1:XFD78,A78+1,FALSE))</f>
        <v>505</v>
      </c>
      <c r="F78" s="7">
        <f>IF(COUNTIF(I78:XFD78,"&gt;"&amp;0)=0,,HLOOKUP(COUNTIF(I78:XFD78,"&gt;"&amp;0)-MIN($F$1+1,COUNTIF(I78:XFD78,"&gt;"&amp;0)),I$1:XFD78,A78+1,FALSE))</f>
        <v>231</v>
      </c>
      <c r="G78" s="8">
        <f t="shared" si="11"/>
        <v>1.1693267358667363</v>
      </c>
      <c r="H78" s="13" t="s">
        <v>345</v>
      </c>
      <c r="I78" s="9">
        <v>109</v>
      </c>
      <c r="J78" s="9">
        <v>125</v>
      </c>
      <c r="K78" s="9">
        <v>149</v>
      </c>
      <c r="L78" s="9">
        <v>177</v>
      </c>
      <c r="M78" s="9">
        <v>199</v>
      </c>
      <c r="N78" s="9">
        <v>231</v>
      </c>
      <c r="O78" s="9">
        <v>263</v>
      </c>
      <c r="P78" s="9">
        <v>298</v>
      </c>
      <c r="Q78" s="9">
        <v>353</v>
      </c>
      <c r="R78" s="9">
        <v>423</v>
      </c>
      <c r="S78" s="9">
        <v>505</v>
      </c>
    </row>
    <row r="79" spans="1:32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>Lebanon</v>
      </c>
      <c r="D79" s="6">
        <f t="shared" si="10"/>
        <v>494</v>
      </c>
      <c r="E79" s="6">
        <f>IF(COUNTIF(I79:XFD79,"&gt;"&amp;0)=0,,HLOOKUP(COUNTIF(I79:XFD79,"&gt;"&amp;0)-1,I$1:XFD79,A79+1,FALSE))</f>
        <v>494</v>
      </c>
      <c r="F79" s="7">
        <f>IF(COUNTIF(I79:XFD79,"&gt;"&amp;0)=0,,HLOOKUP(COUNTIF(I79:XFD79,"&gt;"&amp;0)-MIN($F$1+1,COUNTIF(I79:XFD79,"&gt;"&amp;0)),I$1:XFD79,A79+1,FALSE))</f>
        <v>412</v>
      </c>
      <c r="G79" s="8">
        <f t="shared" si="11"/>
        <v>1.0369694134312277</v>
      </c>
      <c r="H79" s="13" t="s">
        <v>67</v>
      </c>
      <c r="I79" s="9">
        <v>110</v>
      </c>
      <c r="J79" s="9">
        <v>110</v>
      </c>
      <c r="K79" s="9">
        <v>120</v>
      </c>
      <c r="L79" s="9">
        <v>133</v>
      </c>
      <c r="M79" s="9">
        <v>157</v>
      </c>
      <c r="N79" s="9">
        <v>163</v>
      </c>
      <c r="O79" s="9">
        <v>187</v>
      </c>
      <c r="P79" s="9">
        <v>248</v>
      </c>
      <c r="Q79" s="9">
        <v>267</v>
      </c>
      <c r="R79" s="9">
        <v>318</v>
      </c>
      <c r="S79" s="9">
        <v>333</v>
      </c>
      <c r="T79" s="9">
        <v>368</v>
      </c>
      <c r="U79" s="9">
        <v>391</v>
      </c>
      <c r="V79" s="9">
        <v>412</v>
      </c>
      <c r="W79" s="9">
        <v>438</v>
      </c>
      <c r="X79" s="9">
        <v>446</v>
      </c>
      <c r="Y79" s="9">
        <v>470</v>
      </c>
      <c r="Z79" s="9">
        <v>479</v>
      </c>
      <c r="AA79" s="9">
        <v>494</v>
      </c>
    </row>
    <row r="80" spans="1:32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>Latvia</v>
      </c>
      <c r="D80" s="6">
        <f t="shared" si="10"/>
        <v>458</v>
      </c>
      <c r="E80" s="6">
        <f>IF(COUNTIF(I80:XFD80,"&gt;"&amp;0)=0,,HLOOKUP(COUNTIF(I80:XFD80,"&gt;"&amp;0)-1,I$1:XFD80,A80+1,FALSE))</f>
        <v>458</v>
      </c>
      <c r="F80" s="7">
        <f>IF(COUNTIF(I80:XFD80,"&gt;"&amp;0)=0,,HLOOKUP(COUNTIF(I80:XFD80,"&gt;"&amp;0)-MIN($F$1+1,COUNTIF(I80:XFD80,"&gt;"&amp;0)),I$1:XFD80,A80+1,FALSE))</f>
        <v>305</v>
      </c>
      <c r="G80" s="8">
        <f t="shared" si="11"/>
        <v>1.0847087106503359</v>
      </c>
      <c r="H80" s="13" t="s">
        <v>111</v>
      </c>
      <c r="I80" s="9">
        <v>111</v>
      </c>
      <c r="J80" s="9">
        <v>124</v>
      </c>
      <c r="K80" s="9">
        <v>139</v>
      </c>
      <c r="L80" s="9">
        <v>180</v>
      </c>
      <c r="M80" s="9">
        <v>197</v>
      </c>
      <c r="N80" s="9">
        <v>221</v>
      </c>
      <c r="O80" s="9">
        <v>244</v>
      </c>
      <c r="P80" s="9">
        <v>280</v>
      </c>
      <c r="Q80" s="9">
        <v>305</v>
      </c>
      <c r="R80" s="9">
        <v>347</v>
      </c>
      <c r="S80" s="9">
        <v>376</v>
      </c>
      <c r="T80" s="9">
        <v>398</v>
      </c>
      <c r="U80" s="9">
        <v>446</v>
      </c>
      <c r="V80" s="9">
        <v>458</v>
      </c>
    </row>
    <row r="81" spans="1:28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>Bulgaria</v>
      </c>
      <c r="D81" s="6">
        <f t="shared" si="10"/>
        <v>457</v>
      </c>
      <c r="E81" s="6">
        <f>IF(COUNTIF(I81:XFD81,"&gt;"&amp;0)=0,,HLOOKUP(COUNTIF(I81:XFD81,"&gt;"&amp;0)-1,I$1:XFD81,A81+1,FALSE))</f>
        <v>457</v>
      </c>
      <c r="F81" s="7">
        <f>IF(COUNTIF(I81:XFD81,"&gt;"&amp;0)=0,,HLOOKUP(COUNTIF(I81:XFD81,"&gt;"&amp;0)-MIN($F$1+1,COUNTIF(I81:XFD81,"&gt;"&amp;0)),I$1:XFD81,A81+1,FALSE))</f>
        <v>331</v>
      </c>
      <c r="G81" s="8">
        <f t="shared" si="11"/>
        <v>1.0666394477775354</v>
      </c>
      <c r="H81" s="13" t="s">
        <v>199</v>
      </c>
      <c r="I81" s="9">
        <v>127</v>
      </c>
      <c r="J81" s="9">
        <v>163</v>
      </c>
      <c r="K81" s="9">
        <v>187</v>
      </c>
      <c r="L81" s="9">
        <v>201</v>
      </c>
      <c r="M81" s="9">
        <v>218</v>
      </c>
      <c r="N81" s="9">
        <v>242</v>
      </c>
      <c r="O81" s="9">
        <v>264</v>
      </c>
      <c r="P81" s="9">
        <v>293</v>
      </c>
      <c r="Q81" s="9">
        <v>331</v>
      </c>
      <c r="R81" s="9">
        <v>346</v>
      </c>
      <c r="S81" s="9">
        <v>359</v>
      </c>
      <c r="T81" s="9">
        <v>399</v>
      </c>
      <c r="U81" s="9">
        <v>422</v>
      </c>
      <c r="V81" s="9">
        <v>457</v>
      </c>
    </row>
    <row r="82" spans="1:28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>Tunisia</v>
      </c>
      <c r="D82" s="6">
        <f t="shared" si="10"/>
        <v>455</v>
      </c>
      <c r="E82" s="6">
        <f>IF(COUNTIF(I82:XFD82,"&gt;"&amp;0)=0,,HLOOKUP(COUNTIF(I82:XFD82,"&gt;"&amp;0)-1,I$1:XFD82,A82+1,FALSE))</f>
        <v>455</v>
      </c>
      <c r="F82" s="7">
        <f>IF(COUNTIF(I82:XFD82,"&gt;"&amp;0)=0,,HLOOKUP(COUNTIF(I82:XFD82,"&gt;"&amp;0)-MIN($F$1+1,COUNTIF(I82:XFD82,"&gt;"&amp;0)),I$1:XFD82,A82+1,FALSE))</f>
        <v>278</v>
      </c>
      <c r="G82" s="8">
        <f t="shared" si="11"/>
        <v>1.1035533161592874</v>
      </c>
      <c r="H82" s="13" t="s">
        <v>138</v>
      </c>
      <c r="I82" s="9">
        <v>114</v>
      </c>
      <c r="J82" s="9">
        <v>173</v>
      </c>
      <c r="K82" s="9">
        <v>197</v>
      </c>
      <c r="L82" s="9">
        <v>227</v>
      </c>
      <c r="M82" s="9">
        <v>278</v>
      </c>
      <c r="N82" s="9">
        <v>312</v>
      </c>
      <c r="O82" s="9">
        <v>312</v>
      </c>
      <c r="P82" s="9">
        <v>394</v>
      </c>
      <c r="Q82" s="9">
        <v>423</v>
      </c>
      <c r="R82" s="9">
        <v>455</v>
      </c>
    </row>
    <row r="83" spans="1:28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>Kazakhstan</v>
      </c>
      <c r="D83" s="6">
        <f t="shared" si="10"/>
        <v>435</v>
      </c>
      <c r="E83" s="6">
        <f>IF(COUNTIF(I83:XFD83,"&gt;"&amp;0)=0,,HLOOKUP(COUNTIF(I83:XFD83,"&gt;"&amp;0)-1,I$1:XFD83,A83+1,FALSE))</f>
        <v>435</v>
      </c>
      <c r="F83" s="7">
        <f>IF(COUNTIF(I83:XFD83,"&gt;"&amp;0)=0,,HLOOKUP(COUNTIF(I83:XFD83,"&gt;"&amp;0)-MIN($F$1+1,COUNTIF(I83:XFD83,"&gt;"&amp;0)),I$1:XFD83,A83+1,FALSE))</f>
        <v>228</v>
      </c>
      <c r="G83" s="8">
        <f t="shared" si="11"/>
        <v>1.1379177764650215</v>
      </c>
      <c r="H83" s="13" t="s">
        <v>413</v>
      </c>
      <c r="I83" s="9">
        <v>111</v>
      </c>
      <c r="J83" s="9">
        <v>150</v>
      </c>
      <c r="K83" s="9">
        <v>228</v>
      </c>
      <c r="L83" s="9">
        <v>284</v>
      </c>
      <c r="M83" s="9">
        <v>302</v>
      </c>
      <c r="N83" s="9">
        <v>343</v>
      </c>
      <c r="O83" s="9">
        <v>380</v>
      </c>
      <c r="P83" s="9">
        <v>435</v>
      </c>
    </row>
    <row r="84" spans="1:28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>Andorra</v>
      </c>
      <c r="D84" s="6">
        <f t="shared" si="10"/>
        <v>428</v>
      </c>
      <c r="E84" s="6">
        <f>IF(COUNTIF(I84:XFD84,"&gt;"&amp;0)=0,,HLOOKUP(COUNTIF(I84:XFD84,"&gt;"&amp;0)-1,I$1:XFD84,A84+1,FALSE))</f>
        <v>428</v>
      </c>
      <c r="F84" s="7">
        <f>IF(COUNTIF(I84:XFD84,"&gt;"&amp;0)=0,,HLOOKUP(COUNTIF(I84:XFD84,"&gt;"&amp;0)-MIN($F$1+1,COUNTIF(I84:XFD84,"&gt;"&amp;0)),I$1:XFD84,A84+1,FALSE))</f>
        <v>308</v>
      </c>
      <c r="G84" s="8">
        <f t="shared" si="11"/>
        <v>1.0680180941918043</v>
      </c>
      <c r="H84" s="13" t="s">
        <v>109</v>
      </c>
      <c r="I84" s="9">
        <v>113</v>
      </c>
      <c r="J84" s="9">
        <v>133</v>
      </c>
      <c r="K84" s="9">
        <v>164</v>
      </c>
      <c r="L84" s="9">
        <v>188</v>
      </c>
      <c r="M84" s="9">
        <v>224</v>
      </c>
      <c r="N84" s="9">
        <v>267</v>
      </c>
      <c r="O84" s="9">
        <v>308</v>
      </c>
      <c r="P84" s="9">
        <v>334</v>
      </c>
      <c r="Q84" s="9">
        <v>370</v>
      </c>
      <c r="R84" s="9">
        <v>376</v>
      </c>
      <c r="S84" s="9">
        <v>390</v>
      </c>
      <c r="T84" s="9">
        <v>428</v>
      </c>
    </row>
    <row r="85" spans="1:28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>Slovakia</v>
      </c>
      <c r="D85" s="6">
        <f t="shared" si="10"/>
        <v>426</v>
      </c>
      <c r="E85" s="6">
        <f>IF(COUNTIF(I85:XFD85,"&gt;"&amp;0)=0,,HLOOKUP(COUNTIF(I85:XFD85,"&gt;"&amp;0)-1,I$1:XFD85,A85+1,FALSE))</f>
        <v>426</v>
      </c>
      <c r="F85" s="7">
        <f>IF(COUNTIF(I85:XFD85,"&gt;"&amp;0)=0,,HLOOKUP(COUNTIF(I85:XFD85,"&gt;"&amp;0)-MIN($F$1+1,COUNTIF(I85:XFD85,"&gt;"&amp;0)),I$1:XFD85,A85+1,FALSE))</f>
        <v>292</v>
      </c>
      <c r="G85" s="8">
        <f t="shared" si="11"/>
        <v>1.0784632474526965</v>
      </c>
      <c r="H85" s="13" t="s">
        <v>162</v>
      </c>
      <c r="I85" s="9">
        <v>105</v>
      </c>
      <c r="J85" s="9">
        <v>123</v>
      </c>
      <c r="K85" s="9">
        <v>137</v>
      </c>
      <c r="L85" s="9">
        <v>178</v>
      </c>
      <c r="M85" s="9">
        <v>185</v>
      </c>
      <c r="N85" s="9">
        <v>186</v>
      </c>
      <c r="O85" s="9">
        <v>204</v>
      </c>
      <c r="P85" s="9">
        <v>216</v>
      </c>
      <c r="Q85" s="9">
        <v>226</v>
      </c>
      <c r="R85" s="9">
        <v>269</v>
      </c>
      <c r="S85" s="9">
        <v>292</v>
      </c>
      <c r="T85" s="9">
        <v>314</v>
      </c>
      <c r="U85" s="9">
        <v>336</v>
      </c>
      <c r="V85" s="9">
        <v>363</v>
      </c>
      <c r="W85" s="9">
        <v>400</v>
      </c>
      <c r="X85" s="9">
        <v>426</v>
      </c>
    </row>
    <row r="86" spans="1:28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>Azerbaijan</v>
      </c>
      <c r="D86" s="6">
        <f t="shared" si="10"/>
        <v>400</v>
      </c>
      <c r="E86" s="6">
        <f>IF(COUNTIF(I86:XFD86,"&gt;"&amp;0)=0,,HLOOKUP(COUNTIF(I86:XFD86,"&gt;"&amp;0)-1,I$1:XFD86,A86+1,FALSE))</f>
        <v>400</v>
      </c>
      <c r="F86" s="7">
        <f>IF(COUNTIF(I86:XFD86,"&gt;"&amp;0)=0,,HLOOKUP(COUNTIF(I86:XFD86,"&gt;"&amp;0)-MIN($F$1+1,COUNTIF(I86:XFD86,"&gt;"&amp;0)),I$1:XFD86,A86+1,FALSE))</f>
        <v>182</v>
      </c>
      <c r="G86" s="8">
        <f t="shared" si="11"/>
        <v>1.1705708923759404</v>
      </c>
      <c r="H86" s="13" t="s">
        <v>104</v>
      </c>
      <c r="I86" s="9">
        <v>122</v>
      </c>
      <c r="J86" s="9">
        <v>165</v>
      </c>
      <c r="K86" s="9">
        <v>182</v>
      </c>
      <c r="L86" s="9">
        <v>209</v>
      </c>
      <c r="M86" s="9">
        <v>273</v>
      </c>
      <c r="N86" s="9">
        <v>298</v>
      </c>
      <c r="O86" s="9">
        <v>359</v>
      </c>
      <c r="P86" s="9">
        <v>400</v>
      </c>
    </row>
    <row r="87" spans="1:28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>Costa Rica</v>
      </c>
      <c r="D87" s="6">
        <f t="shared" si="10"/>
        <v>396</v>
      </c>
      <c r="E87" s="6">
        <f>IF(COUNTIF(I87:XFD87,"&gt;"&amp;0)=0,,HLOOKUP(COUNTIF(I87:XFD87,"&gt;"&amp;0)-1,I$1:XFD87,A87+1,FALSE))</f>
        <v>396</v>
      </c>
      <c r="F87" s="7">
        <f>IF(COUNTIF(I87:XFD87,"&gt;"&amp;0)=0,,HLOOKUP(COUNTIF(I87:XFD87,"&gt;"&amp;0)-MIN($F$1+1,COUNTIF(I87:XFD87,"&gt;"&amp;0)),I$1:XFD87,A87+1,FALSE))</f>
        <v>295</v>
      </c>
      <c r="G87" s="8">
        <f t="shared" si="11"/>
        <v>1.0606561976577298</v>
      </c>
      <c r="H87" s="13" t="s">
        <v>159</v>
      </c>
      <c r="I87" s="9">
        <v>117</v>
      </c>
      <c r="J87" s="9">
        <v>134</v>
      </c>
      <c r="K87" s="9">
        <v>158</v>
      </c>
      <c r="L87" s="9">
        <v>177</v>
      </c>
      <c r="M87" s="9">
        <v>201</v>
      </c>
      <c r="N87" s="9">
        <v>231</v>
      </c>
      <c r="O87" s="9">
        <v>263</v>
      </c>
      <c r="P87" s="9">
        <v>295</v>
      </c>
      <c r="Q87" s="9">
        <v>314</v>
      </c>
      <c r="R87" s="9">
        <v>330</v>
      </c>
      <c r="S87" s="9">
        <v>347</v>
      </c>
      <c r="T87" s="9">
        <v>375</v>
      </c>
      <c r="U87" s="9">
        <v>396</v>
      </c>
    </row>
    <row r="88" spans="1:28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>North Macedonia</v>
      </c>
      <c r="D88" s="6">
        <f t="shared" si="10"/>
        <v>384</v>
      </c>
      <c r="E88" s="6">
        <f>IF(COUNTIF(I88:XFD88,"&gt;"&amp;0)=0,,HLOOKUP(COUNTIF(I88:XFD88,"&gt;"&amp;0)-1,I$1:XFD88,A88+1,FALSE))</f>
        <v>384</v>
      </c>
      <c r="F88" s="7">
        <f>IF(COUNTIF(I88:XFD88,"&gt;"&amp;0)=0,,HLOOKUP(COUNTIF(I88:XFD88,"&gt;"&amp;0)-MIN($F$1+1,COUNTIF(I88:XFD88,"&gt;"&amp;0)),I$1:XFD88,A88+1,FALSE))</f>
        <v>241</v>
      </c>
      <c r="G88" s="8">
        <f t="shared" si="11"/>
        <v>1.0976473578845722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  <c r="T88" s="9">
        <v>384</v>
      </c>
    </row>
    <row r="89" spans="1:28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>Cyprus</v>
      </c>
      <c r="D89" s="6">
        <f t="shared" si="10"/>
        <v>356</v>
      </c>
      <c r="E89" s="6">
        <f>IF(COUNTIF(I89:XFD89,"&gt;"&amp;0)=0,,HLOOKUP(COUNTIF(I89:XFD89,"&gt;"&amp;0)-1,I$1:XFD89,A89+1,FALSE))</f>
        <v>356</v>
      </c>
      <c r="F89" s="7">
        <f>IF(COUNTIF(I89:XFD89,"&gt;"&amp;0)=0,,HLOOKUP(COUNTIF(I89:XFD89,"&gt;"&amp;0)-MIN($F$1+1,COUNTIF(I89:XFD89,"&gt;"&amp;0)),I$1:XFD89,A89+1,FALSE))</f>
        <v>179</v>
      </c>
      <c r="G89" s="8">
        <f t="shared" si="11"/>
        <v>1.1474120154253029</v>
      </c>
      <c r="H89" s="13" t="s">
        <v>231</v>
      </c>
      <c r="I89" s="9">
        <v>116</v>
      </c>
      <c r="J89" s="9">
        <v>124</v>
      </c>
      <c r="K89" s="9">
        <v>132</v>
      </c>
      <c r="L89" s="9">
        <v>146</v>
      </c>
      <c r="M89" s="9">
        <v>162</v>
      </c>
      <c r="N89" s="9">
        <v>179</v>
      </c>
      <c r="O89" s="9">
        <v>214</v>
      </c>
      <c r="P89" s="9">
        <v>230</v>
      </c>
      <c r="Q89" s="9">
        <v>262</v>
      </c>
      <c r="R89" s="9">
        <v>320</v>
      </c>
      <c r="S89" s="9">
        <v>356</v>
      </c>
    </row>
    <row r="90" spans="1:28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>Kuwait</v>
      </c>
      <c r="D90" s="6">
        <f t="shared" si="10"/>
        <v>342</v>
      </c>
      <c r="E90" s="6">
        <f>IF(COUNTIF(I90:XFD90,"&gt;"&amp;0)=0,,HLOOKUP(COUNTIF(I90:XFD90,"&gt;"&amp;0)-1,I$1:XFD90,A90+1,FALSE))</f>
        <v>342</v>
      </c>
      <c r="F90" s="7">
        <f>IF(COUNTIF(I90:XFD90,"&gt;"&amp;0)=0,,HLOOKUP(COUNTIF(I90:XFD90,"&gt;"&amp;0)-MIN($F$1+1,COUNTIF(I90:XFD90,"&gt;"&amp;0)),I$1:XFD90,A90+1,FALSE))</f>
        <v>235</v>
      </c>
      <c r="G90" s="8">
        <f t="shared" si="11"/>
        <v>1.077932704821011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  <c r="Y90" s="9">
        <v>266</v>
      </c>
      <c r="Z90" s="9">
        <v>289</v>
      </c>
      <c r="AA90" s="9">
        <v>317</v>
      </c>
      <c r="AB90" s="9">
        <v>342</v>
      </c>
    </row>
    <row r="91" spans="1:28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>Taiwan*</v>
      </c>
      <c r="D91" s="6">
        <f t="shared" si="10"/>
        <v>339</v>
      </c>
      <c r="E91" s="6">
        <f>IF(COUNTIF(I91:XFD91,"&gt;"&amp;0)=0,,HLOOKUP(COUNTIF(I91:XFD91,"&gt;"&amp;0)-1,I$1:XFD91,A91+1,FALSE))</f>
        <v>339</v>
      </c>
      <c r="F91" s="7">
        <f>IF(COUNTIF(I91:XFD91,"&gt;"&amp;0)=0,,HLOOKUP(COUNTIF(I91:XFD91,"&gt;"&amp;0)-MIN($F$1+1,COUNTIF(I91:XFD91,"&gt;"&amp;0)),I$1:XFD91,A91+1,FALSE))</f>
        <v>283</v>
      </c>
      <c r="G91" s="8">
        <f t="shared" si="11"/>
        <v>1.0367705504580254</v>
      </c>
      <c r="H91" s="13" t="s">
        <v>342</v>
      </c>
      <c r="I91" s="9">
        <v>100</v>
      </c>
      <c r="J91" s="9">
        <v>108</v>
      </c>
      <c r="K91" s="9">
        <v>135</v>
      </c>
      <c r="L91" s="9">
        <v>153</v>
      </c>
      <c r="M91" s="9">
        <v>169</v>
      </c>
      <c r="N91" s="9">
        <v>195</v>
      </c>
      <c r="O91" s="9">
        <v>215</v>
      </c>
      <c r="P91" s="9">
        <v>235</v>
      </c>
      <c r="Q91" s="9">
        <v>252</v>
      </c>
      <c r="R91" s="9">
        <v>267</v>
      </c>
      <c r="S91" s="9">
        <v>283</v>
      </c>
      <c r="T91" s="9">
        <v>298</v>
      </c>
      <c r="U91" s="9">
        <v>306</v>
      </c>
      <c r="V91" s="9">
        <v>322</v>
      </c>
      <c r="W91" s="9">
        <v>329</v>
      </c>
      <c r="X91" s="9">
        <v>339</v>
      </c>
    </row>
    <row r="92" spans="1:28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>Cameroon</v>
      </c>
      <c r="D92" s="6">
        <f t="shared" si="10"/>
        <v>306</v>
      </c>
      <c r="E92" s="6">
        <f>IF(COUNTIF(I92:XFD92,"&gt;"&amp;0)=0,,HLOOKUP(COUNTIF(I92:XFD92,"&gt;"&amp;0)-1,I$1:XFD92,A92+1,FALSE))</f>
        <v>306</v>
      </c>
      <c r="F92" s="7">
        <f>IF(COUNTIF(I92:XFD92,"&gt;"&amp;0)=0,,HLOOKUP(COUNTIF(I92:XFD92,"&gt;"&amp;0)-MIN($F$1+1,COUNTIF(I92:XFD92,"&gt;"&amp;0)),I$1:XFD92,A92+1,FALSE))</f>
        <v>139</v>
      </c>
      <c r="G92" s="8">
        <f t="shared" si="11"/>
        <v>1.2180823674987131</v>
      </c>
      <c r="H92" s="13" t="s">
        <v>157</v>
      </c>
      <c r="I92" s="9">
        <v>139</v>
      </c>
      <c r="J92" s="9">
        <v>139</v>
      </c>
      <c r="K92" s="9">
        <v>193</v>
      </c>
      <c r="L92" s="9">
        <v>233</v>
      </c>
      <c r="M92" s="9">
        <v>306</v>
      </c>
    </row>
    <row r="93" spans="1:28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>Belarus</v>
      </c>
      <c r="D93" s="6">
        <f t="shared" si="10"/>
        <v>304</v>
      </c>
      <c r="E93" s="6">
        <f>IF(COUNTIF(I93:XFD93,"&gt;"&amp;0)=0,,HLOOKUP(COUNTIF(I93:XFD93,"&gt;"&amp;0)-1,I$1:XFD93,A93+1,FALSE))</f>
        <v>304</v>
      </c>
      <c r="F93" s="7">
        <f>IF(COUNTIF(I93:XFD93,"&gt;"&amp;0)=0,,HLOOKUP(COUNTIF(I93:XFD93,"&gt;"&amp;0)-MIN($F$1+1,COUNTIF(I93:XFD93,"&gt;"&amp;0)),I$1:XFD93,A93+1,FALSE))</f>
        <v>152</v>
      </c>
      <c r="G93" s="8">
        <f t="shared" si="11"/>
        <v>1.2599210498948732</v>
      </c>
      <c r="H93" s="13" t="s">
        <v>91</v>
      </c>
      <c r="I93" s="9">
        <v>152</v>
      </c>
      <c r="J93" s="9">
        <v>152</v>
      </c>
      <c r="K93" s="9">
        <v>163</v>
      </c>
      <c r="L93" s="9">
        <v>304</v>
      </c>
    </row>
    <row r="94" spans="1:28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>Jordan</v>
      </c>
      <c r="D94" s="6">
        <f t="shared" si="10"/>
        <v>299</v>
      </c>
      <c r="E94" s="6">
        <f>IF(COUNTIF(I94:XFD94,"&gt;"&amp;0)=0,,HLOOKUP(COUNTIF(I94:XFD94,"&gt;"&amp;0)-1,I$1:XFD94,A94+1,FALSE))</f>
        <v>299</v>
      </c>
      <c r="F94" s="7">
        <f>IF(COUNTIF(I94:XFD94,"&gt;"&amp;0)=0,,HLOOKUP(COUNTIF(I94:XFD94,"&gt;"&amp;0)-MIN($F$1+1,COUNTIF(I94:XFD94,"&gt;"&amp;0)),I$1:XFD94,A94+1,FALSE))</f>
        <v>246</v>
      </c>
      <c r="G94" s="8">
        <f t="shared" si="11"/>
        <v>1.0397937825596375</v>
      </c>
      <c r="H94" s="13" t="s">
        <v>125</v>
      </c>
      <c r="I94" s="9">
        <v>112</v>
      </c>
      <c r="J94" s="9">
        <v>127</v>
      </c>
      <c r="K94" s="9">
        <v>154</v>
      </c>
      <c r="L94" s="9">
        <v>172</v>
      </c>
      <c r="M94" s="9">
        <v>212</v>
      </c>
      <c r="N94" s="9">
        <v>235</v>
      </c>
      <c r="O94" s="9">
        <v>246</v>
      </c>
      <c r="P94" s="9">
        <v>259</v>
      </c>
      <c r="Q94" s="9">
        <v>268</v>
      </c>
      <c r="R94" s="9">
        <v>274</v>
      </c>
      <c r="S94" s="9">
        <v>278</v>
      </c>
      <c r="T94" s="9">
        <v>299</v>
      </c>
    </row>
    <row r="95" spans="1:28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>Burkina Faso</v>
      </c>
      <c r="D95" s="6">
        <f t="shared" si="10"/>
        <v>288</v>
      </c>
      <c r="E95" s="6">
        <f>IF(COUNTIF(I95:XFD95,"&gt;"&amp;0)=0,,HLOOKUP(COUNTIF(I95:XFD95,"&gt;"&amp;0)-1,I$1:XFD95,A95+1,FALSE))</f>
        <v>288</v>
      </c>
      <c r="F95" s="7">
        <f>IF(COUNTIF(I95:XFD95,"&gt;"&amp;0)=0,,HLOOKUP(COUNTIF(I95:XFD95,"&gt;"&amp;0)-MIN($F$1+1,COUNTIF(I95:XFD95,"&gt;"&amp;0)),I$1:XFD95,A95+1,FALSE))</f>
        <v>207</v>
      </c>
      <c r="G95" s="8">
        <f t="shared" si="11"/>
        <v>1.0682783536884379</v>
      </c>
      <c r="H95" s="13" t="s">
        <v>279</v>
      </c>
      <c r="I95" s="9">
        <v>114</v>
      </c>
      <c r="J95" s="9">
        <v>146</v>
      </c>
      <c r="K95" s="9">
        <v>152</v>
      </c>
      <c r="L95" s="9">
        <v>180</v>
      </c>
      <c r="M95" s="9">
        <v>207</v>
      </c>
      <c r="N95" s="9">
        <v>222</v>
      </c>
      <c r="O95" s="9">
        <v>246</v>
      </c>
      <c r="P95" s="9">
        <v>261</v>
      </c>
      <c r="Q95" s="9">
        <v>282</v>
      </c>
      <c r="R95" s="9">
        <v>288</v>
      </c>
    </row>
    <row r="96" spans="1:28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>Albania</v>
      </c>
      <c r="D96" s="6">
        <f t="shared" si="10"/>
        <v>277</v>
      </c>
      <c r="E96" s="6">
        <f>IF(COUNTIF(I96:XFD96,"&gt;"&amp;0)=0,,HLOOKUP(COUNTIF(I96:XFD96,"&gt;"&amp;0)-1,I$1:XFD96,A96+1,FALSE))</f>
        <v>277</v>
      </c>
      <c r="F96" s="7">
        <f>IF(COUNTIF(I96:XFD96,"&gt;"&amp;0)=0,,HLOOKUP(COUNTIF(I96:XFD96,"&gt;"&amp;0)-MIN($F$1+1,COUNTIF(I96:XFD96,"&gt;"&amp;0)),I$1:XFD96,A96+1,FALSE))</f>
        <v>197</v>
      </c>
      <c r="G96" s="8">
        <f t="shared" si="11"/>
        <v>1.0705395304863052</v>
      </c>
      <c r="H96" s="13" t="s">
        <v>230</v>
      </c>
      <c r="I96" s="9">
        <v>104</v>
      </c>
      <c r="J96" s="9">
        <v>123</v>
      </c>
      <c r="K96" s="9">
        <v>146</v>
      </c>
      <c r="L96" s="9">
        <v>174</v>
      </c>
      <c r="M96" s="9">
        <v>186</v>
      </c>
      <c r="N96" s="9">
        <v>197</v>
      </c>
      <c r="O96" s="9">
        <v>212</v>
      </c>
      <c r="P96" s="9">
        <v>223</v>
      </c>
      <c r="Q96" s="9">
        <v>243</v>
      </c>
      <c r="R96" s="9">
        <v>259</v>
      </c>
      <c r="S96" s="9">
        <v>277</v>
      </c>
    </row>
    <row r="97" spans="1:2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>Afghanistan</v>
      </c>
      <c r="D97" s="6">
        <f t="shared" si="10"/>
        <v>273</v>
      </c>
      <c r="E97" s="6">
        <f>IF(COUNTIF(I97:XFD97,"&gt;"&amp;0)=0,,HLOOKUP(COUNTIF(I97:XFD97,"&gt;"&amp;0)-1,I$1:XFD97,A97+1,FALSE))</f>
        <v>273</v>
      </c>
      <c r="F97" s="7">
        <f>IF(COUNTIF(I97:XFD97,"&gt;"&amp;0)=0,,HLOOKUP(COUNTIF(I97:XFD97,"&gt;"&amp;0)-MIN($F$1+1,COUNTIF(I97:XFD97,"&gt;"&amp;0)),I$1:XFD97,A97+1,FALSE))</f>
        <v>110</v>
      </c>
      <c r="G97" s="8">
        <f t="shared" si="11"/>
        <v>1.1993722391602837</v>
      </c>
      <c r="H97" s="13" t="s">
        <v>72</v>
      </c>
      <c r="I97" s="9">
        <v>110</v>
      </c>
      <c r="J97" s="9">
        <v>110</v>
      </c>
      <c r="K97" s="9">
        <v>120</v>
      </c>
      <c r="L97" s="9">
        <v>170</v>
      </c>
      <c r="M97" s="9">
        <v>174</v>
      </c>
      <c r="N97" s="9">
        <v>237</v>
      </c>
      <c r="O97" s="9">
        <v>273</v>
      </c>
    </row>
    <row r="98" spans="1:2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>San Marino</v>
      </c>
      <c r="D98" s="6">
        <f t="shared" si="10"/>
        <v>245</v>
      </c>
      <c r="E98" s="6">
        <f>IF(COUNTIF(I98:XFD98,"&gt;"&amp;0)=0,,HLOOKUP(COUNTIF(I98:XFD98,"&gt;"&amp;0)-1,I$1:XFD98,A98+1,FALSE))</f>
        <v>245</v>
      </c>
      <c r="F98" s="7">
        <f>IF(COUNTIF(I98:XFD98,"&gt;"&amp;0)=0,,HLOOKUP(COUNTIF(I98:XFD98,"&gt;"&amp;0)-MIN($F$1+1,COUNTIF(I98:XFD98,"&gt;"&amp;0)),I$1:XFD98,A98+1,FALSE))</f>
        <v>224</v>
      </c>
      <c r="G98" s="8">
        <f t="shared" si="11"/>
        <v>1.0180840023201989</v>
      </c>
      <c r="H98" s="13" t="s">
        <v>90</v>
      </c>
      <c r="I98" s="9">
        <v>101</v>
      </c>
      <c r="J98" s="9">
        <v>109</v>
      </c>
      <c r="K98" s="9">
        <v>109</v>
      </c>
      <c r="L98" s="9">
        <v>119</v>
      </c>
      <c r="M98" s="9">
        <v>119</v>
      </c>
      <c r="N98" s="9">
        <v>144</v>
      </c>
      <c r="O98" s="9">
        <v>144</v>
      </c>
      <c r="P98" s="9">
        <v>175</v>
      </c>
      <c r="Q98" s="9">
        <v>187</v>
      </c>
      <c r="R98" s="9">
        <v>187</v>
      </c>
      <c r="S98" s="9">
        <v>208</v>
      </c>
      <c r="T98" s="9">
        <v>208</v>
      </c>
      <c r="U98" s="9">
        <v>223</v>
      </c>
      <c r="V98" s="9">
        <v>224</v>
      </c>
      <c r="W98" s="9">
        <v>224</v>
      </c>
      <c r="X98" s="9">
        <v>230</v>
      </c>
      <c r="Y98" s="9">
        <v>236</v>
      </c>
      <c r="Z98" s="9">
        <v>236</v>
      </c>
      <c r="AA98" s="9">
        <v>245</v>
      </c>
    </row>
    <row r="99" spans="1:2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>Vietnam</v>
      </c>
      <c r="D99" s="6">
        <f t="shared" si="10"/>
        <v>233</v>
      </c>
      <c r="E99" s="6">
        <f>IF(COUNTIF(I99:XFD99,"&gt;"&amp;0)=0,,HLOOKUP(COUNTIF(I99:XFD99,"&gt;"&amp;0)-1,I$1:XFD99,A99+1,FALSE))</f>
        <v>233</v>
      </c>
      <c r="F99" s="7">
        <f>IF(COUNTIF(I99:XFD99,"&gt;"&amp;0)=0,,HLOOKUP(COUNTIF(I99:XFD99,"&gt;"&amp;0)-MIN($F$1+1,COUNTIF(I99:XFD99,"&gt;"&amp;0)),I$1:XFD99,A99+1,FALSE))</f>
        <v>174</v>
      </c>
      <c r="G99" s="8">
        <f t="shared" si="11"/>
        <v>1.0601353947573451</v>
      </c>
      <c r="H99" s="13" t="s">
        <v>343</v>
      </c>
      <c r="I99" s="9">
        <v>113</v>
      </c>
      <c r="J99" s="9">
        <v>123</v>
      </c>
      <c r="K99" s="9">
        <v>134</v>
      </c>
      <c r="L99" s="9">
        <v>141</v>
      </c>
      <c r="M99" s="9">
        <v>153</v>
      </c>
      <c r="N99" s="9">
        <v>163</v>
      </c>
      <c r="O99" s="9">
        <v>174</v>
      </c>
      <c r="P99" s="9">
        <v>188</v>
      </c>
      <c r="Q99" s="9">
        <v>203</v>
      </c>
      <c r="R99" s="9">
        <v>212</v>
      </c>
      <c r="S99" s="9">
        <v>218</v>
      </c>
      <c r="T99" s="9">
        <v>233</v>
      </c>
    </row>
    <row r="100" spans="1:2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>Cuba</v>
      </c>
      <c r="D100" s="6">
        <f t="shared" si="10"/>
        <v>233</v>
      </c>
      <c r="E100" s="6">
        <f>IF(COUNTIF(I100:XFD100,"&gt;"&amp;0)=0,,HLOOKUP(COUNTIF(I100:XFD100,"&gt;"&amp;0)-1,I$1:XFD100,A100+1,FALSE))</f>
        <v>233</v>
      </c>
      <c r="F100" s="7">
        <f>IF(COUNTIF(I100:XFD100,"&gt;"&amp;0)=0,,HLOOKUP(COUNTIF(I100:XFD100,"&gt;"&amp;0)-MIN($F$1+1,COUNTIF(I100:XFD100,"&gt;"&amp;0)),I$1:XFD100,A100+1,FALSE))</f>
        <v>119</v>
      </c>
      <c r="G100" s="8">
        <f t="shared" si="11"/>
        <v>1.1438308139201052</v>
      </c>
      <c r="H100" s="13" t="s">
        <v>410</v>
      </c>
      <c r="I100" s="9">
        <v>119</v>
      </c>
      <c r="J100" s="9">
        <v>139</v>
      </c>
      <c r="K100" s="9">
        <v>170</v>
      </c>
      <c r="L100" s="9">
        <v>186</v>
      </c>
      <c r="M100" s="9">
        <v>212</v>
      </c>
      <c r="N100" s="9">
        <v>233</v>
      </c>
    </row>
    <row r="101" spans="1:2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>Oman</v>
      </c>
      <c r="D101" s="6">
        <f t="shared" si="10"/>
        <v>231</v>
      </c>
      <c r="E101" s="6">
        <f>IF(COUNTIF(I101:XFD101,"&gt;"&amp;0)=0,,HLOOKUP(COUNTIF(I101:XFD101,"&gt;"&amp;0)-1,I$1:XFD101,A101+1,FALSE))</f>
        <v>231</v>
      </c>
      <c r="F101" s="7">
        <f>IF(COUNTIF(I101:XFD101,"&gt;"&amp;0)=0,,HLOOKUP(COUNTIF(I101:XFD101,"&gt;"&amp;0)-MIN($F$1+1,COUNTIF(I101:XFD101,"&gt;"&amp;0)),I$1:XFD101,A101+1,FALSE))</f>
        <v>152</v>
      </c>
      <c r="G101" s="8">
        <f t="shared" si="11"/>
        <v>1.087310741395745</v>
      </c>
      <c r="H101" s="13" t="s">
        <v>71</v>
      </c>
      <c r="I101" s="9">
        <v>109</v>
      </c>
      <c r="J101" s="9">
        <v>131</v>
      </c>
      <c r="K101" s="9">
        <v>152</v>
      </c>
      <c r="L101" s="9">
        <v>167</v>
      </c>
      <c r="M101" s="9">
        <v>179</v>
      </c>
      <c r="N101" s="9">
        <v>192</v>
      </c>
      <c r="O101" s="9">
        <v>210</v>
      </c>
      <c r="P101" s="9">
        <v>231</v>
      </c>
    </row>
    <row r="102" spans="1:2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>Honduras</v>
      </c>
      <c r="D102" s="6">
        <f t="shared" si="10"/>
        <v>219</v>
      </c>
      <c r="E102" s="6">
        <f>IF(COUNTIF(I102:XFD102,"&gt;"&amp;0)=0,,HLOOKUP(COUNTIF(I102:XFD102,"&gt;"&amp;0)-1,I$1:XFD102,A102+1,FALSE))</f>
        <v>219</v>
      </c>
      <c r="F102" s="7">
        <f>IF(COUNTIF(I102:XFD102,"&gt;"&amp;0)=0,,HLOOKUP(COUNTIF(I102:XFD102,"&gt;"&amp;0)-MIN($F$1+1,COUNTIF(I102:XFD102,"&gt;"&amp;0)),I$1:XFD102,A102+1,FALSE))</f>
        <v>110</v>
      </c>
      <c r="G102" s="8">
        <f t="shared" si="11"/>
        <v>1.1878534336797522</v>
      </c>
      <c r="H102" s="13" t="s">
        <v>348</v>
      </c>
      <c r="I102" s="9">
        <v>110</v>
      </c>
      <c r="J102" s="9">
        <v>139</v>
      </c>
      <c r="K102" s="9">
        <v>141</v>
      </c>
      <c r="L102" s="9">
        <v>172</v>
      </c>
      <c r="M102" s="9">
        <v>219</v>
      </c>
    </row>
    <row r="103" spans="1:2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>Malta</v>
      </c>
      <c r="D103" s="6">
        <f t="shared" si="10"/>
        <v>196</v>
      </c>
      <c r="E103" s="6">
        <f>IF(COUNTIF(I103:XFD103,"&gt;"&amp;0)=0,,HLOOKUP(COUNTIF(I103:XFD103,"&gt;"&amp;0)-1,I$1:XFD103,A103+1,FALSE))</f>
        <v>196</v>
      </c>
      <c r="F103" s="7">
        <f>IF(COUNTIF(I103:XFD103,"&gt;"&amp;0)=0,,HLOOKUP(COUNTIF(I103:XFD103,"&gt;"&amp;0)-MIN($F$1+1,COUNTIF(I103:XFD103,"&gt;"&amp;0)),I$1:XFD103,A103+1,FALSE))</f>
        <v>149</v>
      </c>
      <c r="G103" s="8">
        <f t="shared" si="11"/>
        <v>1.0563648955832405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  <c r="R103" s="9">
        <v>188</v>
      </c>
      <c r="S103" s="9">
        <v>196</v>
      </c>
    </row>
    <row r="104" spans="1:2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>Senegal</v>
      </c>
      <c r="D104" s="6">
        <f t="shared" si="10"/>
        <v>195</v>
      </c>
      <c r="E104" s="6">
        <f>IF(COUNTIF(I104:XFD104,"&gt;"&amp;0)=0,,HLOOKUP(COUNTIF(I104:XFD104,"&gt;"&amp;0)-1,I$1:XFD104,A104+1,FALSE))</f>
        <v>195</v>
      </c>
      <c r="F104" s="7">
        <f>IF(COUNTIF(I104:XFD104,"&gt;"&amp;0)=0,,HLOOKUP(COUNTIF(I104:XFD104,"&gt;"&amp;0)-MIN($F$1+1,COUNTIF(I104:XFD104,"&gt;"&amp;0)),I$1:XFD104,A104+1,FALSE))</f>
        <v>130</v>
      </c>
      <c r="G104" s="8">
        <f t="shared" si="11"/>
        <v>1.0844717711976986</v>
      </c>
      <c r="H104" s="13" t="s">
        <v>114</v>
      </c>
      <c r="I104" s="9">
        <v>105</v>
      </c>
      <c r="J104" s="9">
        <v>119</v>
      </c>
      <c r="K104" s="9">
        <v>130</v>
      </c>
      <c r="L104" s="9">
        <v>142</v>
      </c>
      <c r="M104" s="9">
        <v>162</v>
      </c>
      <c r="N104" s="9">
        <v>175</v>
      </c>
      <c r="O104" s="9">
        <v>190</v>
      </c>
      <c r="P104" s="9">
        <v>195</v>
      </c>
    </row>
    <row r="105" spans="1:2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>Cote d'Ivoire</v>
      </c>
      <c r="D105" s="6">
        <f t="shared" si="10"/>
        <v>194</v>
      </c>
      <c r="E105" s="6">
        <f>IF(COUNTIF(I105:XFD105,"&gt;"&amp;0)=0,,HLOOKUP(COUNTIF(I105:XFD105,"&gt;"&amp;0)-1,I$1:XFD105,A105+1,FALSE))</f>
        <v>194</v>
      </c>
      <c r="F105" s="7">
        <f>IF(COUNTIF(I105:XFD105,"&gt;"&amp;0)=0,,HLOOKUP(COUNTIF(I105:XFD105,"&gt;"&amp;0)-MIN($F$1+1,COUNTIF(I105:XFD105,"&gt;"&amp;0)),I$1:XFD105,A105+1,FALSE))</f>
        <v>101</v>
      </c>
      <c r="G105" s="8">
        <f t="shared" si="11"/>
        <v>1.1394520949921556</v>
      </c>
      <c r="H105" s="13" t="s">
        <v>352</v>
      </c>
      <c r="I105" s="9">
        <v>101</v>
      </c>
      <c r="J105" s="9">
        <v>101</v>
      </c>
      <c r="K105" s="9">
        <v>165</v>
      </c>
      <c r="L105" s="9">
        <v>168</v>
      </c>
      <c r="M105" s="9">
        <v>179</v>
      </c>
      <c r="N105" s="9">
        <v>190</v>
      </c>
      <c r="O105" s="9">
        <v>194</v>
      </c>
    </row>
    <row r="106" spans="1:2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>Nigeria</v>
      </c>
      <c r="D106" s="6">
        <f t="shared" si="10"/>
        <v>184</v>
      </c>
      <c r="E106" s="6">
        <f>IF(COUNTIF(I106:XFD106,"&gt;"&amp;0)=0,,HLOOKUP(COUNTIF(I106:XFD106,"&gt;"&amp;0)-1,I$1:XFD106,A106+1,FALSE))</f>
        <v>184</v>
      </c>
      <c r="F106" s="7">
        <f>IF(COUNTIF(I106:XFD106,"&gt;"&amp;0)=0,,HLOOKUP(COUNTIF(I106:XFD106,"&gt;"&amp;0)-MIN($F$1+1,COUNTIF(I106:XFD106,"&gt;"&amp;0)),I$1:XFD106,A106+1,FALSE))</f>
        <v>111</v>
      </c>
      <c r="G106" s="8">
        <f t="shared" si="11"/>
        <v>1.1346808126795183</v>
      </c>
      <c r="H106" s="13" t="s">
        <v>96</v>
      </c>
      <c r="I106" s="9">
        <v>111</v>
      </c>
      <c r="J106" s="9">
        <v>131</v>
      </c>
      <c r="K106" s="9">
        <v>135</v>
      </c>
      <c r="L106" s="9">
        <v>174</v>
      </c>
      <c r="M106" s="9">
        <v>184</v>
      </c>
    </row>
    <row r="107" spans="1:2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>Sri Lanka</v>
      </c>
      <c r="D107" s="6">
        <f t="shared" si="10"/>
        <v>151</v>
      </c>
      <c r="E107" s="6">
        <f>IF(COUNTIF(I107:XFD107,"&gt;"&amp;0)=0,,HLOOKUP(COUNTIF(I107:XFD107,"&gt;"&amp;0)-1,I$1:XFD107,A107+1,FALSE))</f>
        <v>151</v>
      </c>
      <c r="F107" s="7">
        <f>IF(COUNTIF(I107:XFD107,"&gt;"&amp;0)=0,,HLOOKUP(COUNTIF(I107:XFD107,"&gt;"&amp;0)-MIN($F$1+1,COUNTIF(I107:XFD107,"&gt;"&amp;0)),I$1:XFD107,A107+1,FALSE))</f>
        <v>113</v>
      </c>
      <c r="G107" s="8">
        <f t="shared" si="11"/>
        <v>1.0596921099502217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  <c r="R107" s="9">
        <v>151</v>
      </c>
    </row>
    <row r="108" spans="1:2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>Georgia</v>
      </c>
      <c r="D108" s="6">
        <f t="shared" si="10"/>
        <v>134</v>
      </c>
      <c r="E108" s="6">
        <f>IF(COUNTIF(I108:XFD108,"&gt;"&amp;0)=0,,HLOOKUP(COUNTIF(I108:XFD108,"&gt;"&amp;0)-1,I$1:XFD108,A108+1,FALSE))</f>
        <v>134</v>
      </c>
      <c r="F108" s="7">
        <f>IF(COUNTIF(I108:XFD108,"&gt;"&amp;0)=0,,HLOOKUP(COUNTIF(I108:XFD108,"&gt;"&amp;0)-MIN($F$1+1,COUNTIF(I108:XFD108,"&gt;"&amp;0)),I$1:XFD108,A108+1,FALSE))</f>
        <v>103</v>
      </c>
      <c r="G108" s="8">
        <f t="shared" si="11"/>
        <v>1.0916645089765173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</row>
    <row r="109" spans="1:2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>Congo (Kinshasa)</v>
      </c>
      <c r="D109" s="6">
        <f t="shared" si="10"/>
        <v>134</v>
      </c>
      <c r="E109" s="6">
        <f>IF(COUNTIF(I109:XFD109,"&gt;"&amp;0)=0,,HLOOKUP(COUNTIF(I109:XFD109,"&gt;"&amp;0)-1,I$1:XFD109,A109+1,FALSE))</f>
        <v>134</v>
      </c>
      <c r="F109" s="7">
        <f>IF(COUNTIF(I109:XFD109,"&gt;"&amp;0)=0,,HLOOKUP(COUNTIF(I109:XFD109,"&gt;"&amp;0)-MIN($F$1+1,COUNTIF(I109:XFD109,"&gt;"&amp;0)),I$1:XFD109,A109+1,FALSE))</f>
        <v>109</v>
      </c>
      <c r="G109" s="8">
        <f t="shared" si="11"/>
        <v>1.2293577981651376</v>
      </c>
      <c r="H109" s="13" t="s">
        <v>351</v>
      </c>
      <c r="I109" s="9">
        <v>109</v>
      </c>
      <c r="J109" s="9">
        <v>134</v>
      </c>
    </row>
    <row r="110" spans="1:2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>Brunei</v>
      </c>
      <c r="D110" s="6">
        <f t="shared" si="10"/>
        <v>133</v>
      </c>
      <c r="E110" s="6">
        <f>IF(COUNTIF(I110:XFD110,"&gt;"&amp;0)=0,,HLOOKUP(COUNTIF(I110:XFD110,"&gt;"&amp;0)-1,I$1:XFD110,A110+1,FALSE))</f>
        <v>133</v>
      </c>
      <c r="F110" s="7">
        <f>IF(COUNTIF(I110:XFD110,"&gt;"&amp;0)=0,,HLOOKUP(COUNTIF(I110:XFD110,"&gt;"&amp;0)-MIN($F$1+1,COUNTIF(I110:XFD110,"&gt;"&amp;0)),I$1:XFD110,A110+1,FALSE))</f>
        <v>120</v>
      </c>
      <c r="G110" s="8">
        <f t="shared" si="11"/>
        <v>1.0207845283411765</v>
      </c>
      <c r="H110" s="13" t="s">
        <v>233</v>
      </c>
      <c r="I110" s="9">
        <v>104</v>
      </c>
      <c r="J110" s="9">
        <v>109</v>
      </c>
      <c r="K110" s="9">
        <v>114</v>
      </c>
      <c r="L110" s="9">
        <v>115</v>
      </c>
      <c r="M110" s="9">
        <v>120</v>
      </c>
      <c r="N110" s="9">
        <v>126</v>
      </c>
      <c r="O110" s="9">
        <v>127</v>
      </c>
      <c r="P110" s="9">
        <v>129</v>
      </c>
      <c r="Q110" s="9">
        <v>131</v>
      </c>
      <c r="R110" s="9">
        <v>133</v>
      </c>
    </row>
    <row r="111" spans="1:2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>Bolivia</v>
      </c>
      <c r="D111" s="6">
        <f t="shared" si="10"/>
        <v>123</v>
      </c>
      <c r="E111" s="6">
        <f>IF(COUNTIF(I111:XFD111,"&gt;"&amp;0)=0,,HLOOKUP(COUNTIF(I111:XFD111,"&gt;"&amp;0)-1,I$1:XFD111,A111+1,FALSE))</f>
        <v>123</v>
      </c>
      <c r="F111" s="7">
        <f>IF(COUNTIF(I111:XFD111,"&gt;"&amp;0)=0,,HLOOKUP(COUNTIF(I111:XFD111,"&gt;"&amp;0)-MIN($F$1+1,COUNTIF(I111:XFD111,"&gt;"&amp;0)),I$1:XFD111,A111+1,FALSE))</f>
        <v>107</v>
      </c>
      <c r="G111" s="8">
        <f t="shared" si="11"/>
        <v>1.0721626323839</v>
      </c>
      <c r="H111" s="13" t="s">
        <v>346</v>
      </c>
      <c r="I111" s="9">
        <v>107</v>
      </c>
      <c r="J111" s="9">
        <v>115</v>
      </c>
      <c r="K111" s="9">
        <v>123</v>
      </c>
    </row>
    <row r="112" spans="1:2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>Cambodia</v>
      </c>
      <c r="D112" s="6">
        <f t="shared" si="10"/>
        <v>110</v>
      </c>
      <c r="E112" s="6">
        <f>IF(COUNTIF(I112:XFD112,"&gt;"&amp;0)=0,,HLOOKUP(COUNTIF(I112:XFD112,"&gt;"&amp;0)-1,I$1:XFD112,A112+1,FALSE))</f>
        <v>110</v>
      </c>
      <c r="F112" s="7">
        <f>IF(COUNTIF(I112:XFD112,"&gt;"&amp;0)=0,,HLOOKUP(COUNTIF(I112:XFD112,"&gt;"&amp;0)-MIN($F$1+1,COUNTIF(I112:XFD112,"&gt;"&amp;0)),I$1:XFD112,A112+1,FALSE))</f>
        <v>103</v>
      </c>
      <c r="G112" s="8">
        <f t="shared" si="11"/>
        <v>1.016573689065293</v>
      </c>
      <c r="H112" s="13" t="s">
        <v>51</v>
      </c>
      <c r="I112" s="9">
        <v>103</v>
      </c>
      <c r="J112" s="9">
        <v>107</v>
      </c>
      <c r="K112" s="9">
        <v>109</v>
      </c>
      <c r="L112" s="9">
        <v>109</v>
      </c>
      <c r="M112" s="9">
        <v>110</v>
      </c>
    </row>
    <row r="113" spans="1:9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>Kenya</v>
      </c>
      <c r="D113" s="6">
        <f t="shared" si="10"/>
        <v>110</v>
      </c>
      <c r="E113" s="6">
        <f>IF(COUNTIF(I113:XFD113,"&gt;"&amp;0)=0,,HLOOKUP(COUNTIF(I113:XFD113,"&gt;"&amp;0)-1,I$1:XFD113,A113+1,FALSE))</f>
        <v>110</v>
      </c>
      <c r="F113" s="7">
        <f>IF(COUNTIF(I113:XFD113,"&gt;"&amp;0)=0,,HLOOKUP(COUNTIF(I113:XFD113,"&gt;"&amp;0)-MIN($F$1+1,COUNTIF(I113:XFD113,"&gt;"&amp;0)),I$1:XFD113,A113+1,FALSE))</f>
        <v>110</v>
      </c>
      <c r="G113" s="8" t="e">
        <f t="shared" si="11"/>
        <v>#DIV/0!</v>
      </c>
      <c r="H113" s="13" t="s">
        <v>423</v>
      </c>
      <c r="I113" s="9">
        <v>110</v>
      </c>
    </row>
    <row r="114" spans="1:9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9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9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9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9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9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9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9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9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9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9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9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9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9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9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77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5" sqref="A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620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13915</v>
      </c>
      <c r="E5" s="6">
        <f>IF(COUNTIF(I5:XFD5,"&gt;"&amp;0)=0,,HLOOKUP(COUNTIF(I5:XFD5,"&gt;"&amp;0)-1,I$1:XFD5,A5+1,FALSE))</f>
        <v>13915</v>
      </c>
      <c r="F5" s="7">
        <f>IF(COUNTIF(I5:XFD5,"&gt;"&amp;0)=0,,HLOOKUP(COUNTIF(I5:XFD5,"&gt;"&amp;0)-MIN($F$1+1,COUNTIF(I5:XFD5,"&gt;"&amp;0)),I$1:XFD5,A5+1,FALSE))</f>
        <v>10023</v>
      </c>
      <c r="G5" s="8">
        <f>IF(COUNTIF(I5:XFD5,"&gt;"&amp;0)=0,,(E5/F5)^(1/MIN(COUNTIF(I5:XFD5,"&gt;"&amp;0)-1,$F$1)))</f>
        <v>1.0678176524848955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  <c r="AS5" s="9">
        <v>13155</v>
      </c>
      <c r="AT5" s="9">
        <v>13915</v>
      </c>
    </row>
    <row r="6" spans="1:307" x14ac:dyDescent="0.25">
      <c r="A6" s="9">
        <f t="shared" ref="A6:A69" si="5">A5+1</f>
        <v>5</v>
      </c>
      <c r="B6" s="9">
        <f t="array" ref="B6">IF(C6="",0,IF(OR(C6=Country_Comparison!$S$10:$S$29),1,0))</f>
        <v>1</v>
      </c>
      <c r="C6" s="9" t="str">
        <f t="shared" ref="C6:C69" si="6">IF(H6="","",H6)</f>
        <v>Spain</v>
      </c>
      <c r="D6" s="6">
        <f t="shared" ref="D6:D69" si="7">MAX(I6:BD6)</f>
        <v>10348</v>
      </c>
      <c r="E6" s="6">
        <f>IF(COUNTIF(I6:XFD6,"&gt;"&amp;0)=0,,HLOOKUP(COUNTIF(I6:XFD6,"&gt;"&amp;0)-1,I$1:XFD6,A6+1,FALSE))</f>
        <v>10348</v>
      </c>
      <c r="F6" s="7">
        <f>IF(COUNTIF(I6:XFD6,"&gt;"&amp;0)=0,,HLOOKUP(COUNTIF(I6:XFD6,"&gt;"&amp;0)-MIN($F$1+1,COUNTIF(I6:XFD6,"&gt;"&amp;0)),I$1:XFD6,A6+1,FALSE))</f>
        <v>5982</v>
      </c>
      <c r="G6" s="8">
        <f t="shared" ref="G6:G69" si="8">IF(COUNTIF(I6:XFD6,"&gt;"&amp;0)=0,,(E6/F6)^(1/MIN(COUNTIF(I6:XFD6,"&gt;"&amp;0)-1,$F$1)))</f>
        <v>1.1158401967427569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  <c r="AH6" s="9">
        <v>9387</v>
      </c>
      <c r="AI6" s="9">
        <v>10348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US</v>
      </c>
      <c r="D7" s="6">
        <f t="shared" si="7"/>
        <v>5926</v>
      </c>
      <c r="E7" s="6">
        <f>IF(COUNTIF(I7:XFD7,"&gt;"&amp;0)=0,,HLOOKUP(COUNTIF(I7:XFD7,"&gt;"&amp;0)-1,I$1:XFD7,A7+1,FALSE))</f>
        <v>5926</v>
      </c>
      <c r="F7" s="7">
        <f>IF(COUNTIF(I7:XFD7,"&gt;"&amp;0)=0,,HLOOKUP(COUNTIF(I7:XFD7,"&gt;"&amp;0)-MIN($F$1+1,COUNTIF(I7:XFD7,"&gt;"&amp;0)),I$1:XFD7,A7+1,FALSE))</f>
        <v>2026</v>
      </c>
      <c r="G7" s="8">
        <f t="shared" si="8"/>
        <v>1.2394369558883767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  <c r="AK7" s="9">
        <v>4757</v>
      </c>
      <c r="AL7" s="9">
        <v>5926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France</v>
      </c>
      <c r="D8" s="6">
        <f t="shared" si="7"/>
        <v>5398</v>
      </c>
      <c r="E8" s="6">
        <f>IF(COUNTIF(I8:XFD8,"&gt;"&amp;0)=0,,HLOOKUP(COUNTIF(I8:XFD8,"&gt;"&amp;0)-1,I$1:XFD8,A8+1,FALSE))</f>
        <v>5398</v>
      </c>
      <c r="F8" s="7">
        <f>IF(COUNTIF(I8:XFD8,"&gt;"&amp;0)=0,,HLOOKUP(COUNTIF(I8:XFD8,"&gt;"&amp;0)-MIN($F$1+1,COUNTIF(I8:XFD8,"&gt;"&amp;0)),I$1:XFD8,A8+1,FALSE))</f>
        <v>2317</v>
      </c>
      <c r="G8" s="8">
        <f t="shared" si="8"/>
        <v>1.1842990183149542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  <c r="AI8" s="9">
        <v>4043</v>
      </c>
      <c r="AJ8" s="9">
        <v>5398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China</v>
      </c>
      <c r="D9" s="6">
        <f t="shared" si="7"/>
        <v>3123</v>
      </c>
      <c r="E9" s="6">
        <f>IF(COUNTIF(I9:XFD9,"&gt;"&amp;0)=0,,HLOOKUP(COUNTIF(I9:XFD9,"&gt;"&amp;0)-1,I$1:XFD9,A9+1,FALSE))</f>
        <v>3322</v>
      </c>
      <c r="F9" s="7">
        <f>IF(COUNTIF(I9:XFD9,"&gt;"&amp;0)=0,,HLOOKUP(COUNTIF(I9:XFD9,"&gt;"&amp;0)-MIN($F$1+1,COUNTIF(I9:XFD9,"&gt;"&amp;0)),I$1:XFD9,A9+1,FALSE))</f>
        <v>3299</v>
      </c>
      <c r="G9" s="8">
        <f t="shared" si="8"/>
        <v>1.0013904896244104</v>
      </c>
      <c r="H9" s="13" t="s">
        <v>337</v>
      </c>
      <c r="I9" s="9">
        <v>17</v>
      </c>
      <c r="J9" s="9">
        <v>18</v>
      </c>
      <c r="K9" s="9">
        <v>26</v>
      </c>
      <c r="L9" s="9">
        <v>42</v>
      </c>
      <c r="M9" s="9">
        <v>56</v>
      </c>
      <c r="N9" s="9">
        <v>82</v>
      </c>
      <c r="O9" s="9">
        <v>131</v>
      </c>
      <c r="P9" s="9">
        <v>133</v>
      </c>
      <c r="Q9" s="9">
        <v>171</v>
      </c>
      <c r="R9" s="9">
        <v>213</v>
      </c>
      <c r="S9" s="9">
        <v>259</v>
      </c>
      <c r="T9" s="9">
        <v>361</v>
      </c>
      <c r="U9" s="9">
        <v>425</v>
      </c>
      <c r="V9" s="9">
        <v>491</v>
      </c>
      <c r="W9" s="9">
        <v>563</v>
      </c>
      <c r="X9" s="9">
        <v>633</v>
      </c>
      <c r="Y9" s="9">
        <v>718</v>
      </c>
      <c r="Z9" s="9">
        <v>805</v>
      </c>
      <c r="AA9" s="9">
        <v>905</v>
      </c>
      <c r="AB9" s="9">
        <v>1012</v>
      </c>
      <c r="AC9" s="9">
        <v>1112</v>
      </c>
      <c r="AD9" s="9">
        <v>1117</v>
      </c>
      <c r="AE9" s="9">
        <v>1369</v>
      </c>
      <c r="AF9" s="9">
        <v>1521</v>
      </c>
      <c r="AG9" s="9">
        <v>1663</v>
      </c>
      <c r="AH9" s="9">
        <v>1766</v>
      </c>
      <c r="AI9" s="9">
        <v>1864</v>
      </c>
      <c r="AJ9" s="9">
        <v>2003</v>
      </c>
      <c r="AK9" s="9">
        <v>2116</v>
      </c>
      <c r="AL9" s="9">
        <v>2238</v>
      </c>
      <c r="AM9" s="9">
        <v>2238</v>
      </c>
      <c r="AN9" s="9">
        <v>2443</v>
      </c>
      <c r="AO9" s="9">
        <v>2445</v>
      </c>
      <c r="AP9" s="9">
        <v>2595</v>
      </c>
      <c r="AQ9" s="9">
        <v>2665</v>
      </c>
      <c r="AR9" s="9">
        <v>2717</v>
      </c>
      <c r="AS9" s="9">
        <v>2746</v>
      </c>
      <c r="AT9" s="9">
        <v>2790</v>
      </c>
      <c r="AU9" s="9">
        <v>2837</v>
      </c>
      <c r="AV9" s="9">
        <v>2872</v>
      </c>
      <c r="AW9" s="9">
        <v>2914</v>
      </c>
      <c r="AX9" s="9">
        <v>2947</v>
      </c>
      <c r="AY9" s="9">
        <v>2983</v>
      </c>
      <c r="AZ9" s="9">
        <v>3015</v>
      </c>
      <c r="BA9" s="9">
        <v>3044</v>
      </c>
      <c r="BB9" s="9">
        <v>3072</v>
      </c>
      <c r="BC9" s="9">
        <v>3100</v>
      </c>
      <c r="BD9" s="9">
        <v>3123</v>
      </c>
      <c r="BE9" s="9">
        <v>3139</v>
      </c>
      <c r="BF9" s="9">
        <v>3161</v>
      </c>
      <c r="BG9" s="9">
        <v>3172</v>
      </c>
      <c r="BH9" s="9">
        <v>3180</v>
      </c>
      <c r="BI9" s="9">
        <v>3193</v>
      </c>
      <c r="BJ9" s="9">
        <v>3203</v>
      </c>
      <c r="BK9" s="9">
        <v>3217</v>
      </c>
      <c r="BL9" s="9">
        <v>3230</v>
      </c>
      <c r="BM9" s="9">
        <v>3241</v>
      </c>
      <c r="BN9" s="9">
        <v>3249</v>
      </c>
      <c r="BO9" s="9">
        <v>3253</v>
      </c>
      <c r="BP9" s="9">
        <v>3259</v>
      </c>
      <c r="BQ9" s="9">
        <v>3274</v>
      </c>
      <c r="BR9" s="9">
        <v>3274</v>
      </c>
      <c r="BS9" s="9">
        <v>3281</v>
      </c>
      <c r="BT9" s="9">
        <v>3285</v>
      </c>
      <c r="BU9" s="9">
        <v>3291</v>
      </c>
      <c r="BV9" s="9">
        <v>3296</v>
      </c>
      <c r="BW9" s="9">
        <v>3299</v>
      </c>
      <c r="BX9" s="9">
        <v>3304</v>
      </c>
      <c r="BY9" s="9">
        <v>3308</v>
      </c>
      <c r="BZ9" s="9">
        <v>3309</v>
      </c>
      <c r="CA9" s="9">
        <v>3316</v>
      </c>
      <c r="CB9" s="9">
        <v>3322</v>
      </c>
      <c r="CD9" s="9">
        <v>0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United Kingdom</v>
      </c>
      <c r="D10" s="6">
        <f t="shared" si="7"/>
        <v>2926</v>
      </c>
      <c r="E10" s="6">
        <f>IF(COUNTIF(I10:XFD10,"&gt;"&amp;0)=0,,HLOOKUP(COUNTIF(I10:XFD10,"&gt;"&amp;0)-1,I$1:XFD10,A10+1,FALSE))</f>
        <v>2926</v>
      </c>
      <c r="F10" s="7">
        <f>IF(COUNTIF(I10:XFD10,"&gt;"&amp;0)=0,,HLOOKUP(COUNTIF(I10:XFD10,"&gt;"&amp;0)-MIN($F$1+1,COUNTIF(I10:XFD10,"&gt;"&amp;0)),I$1:XFD10,A10+1,FALSE))</f>
        <v>1021</v>
      </c>
      <c r="G10" s="8">
        <f t="shared" si="8"/>
        <v>1.2343823859983905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  <c r="AC10" s="9">
        <v>1793</v>
      </c>
      <c r="AD10" s="9">
        <v>2357</v>
      </c>
      <c r="AE10" s="9">
        <v>2926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Germany</v>
      </c>
      <c r="D11" s="6">
        <f t="shared" si="7"/>
        <v>1107</v>
      </c>
      <c r="E11" s="6">
        <f>IF(COUNTIF(I11:XFD11,"&gt;"&amp;0)=0,,HLOOKUP(COUNTIF(I11:XFD11,"&gt;"&amp;0)-1,I$1:XFD11,A11+1,FALSE))</f>
        <v>1107</v>
      </c>
      <c r="F11" s="7">
        <f>IF(COUNTIF(I11:XFD11,"&gt;"&amp;0)=0,,HLOOKUP(COUNTIF(I11:XFD11,"&gt;"&amp;0)-MIN($F$1+1,COUNTIF(I11:XFD11,"&gt;"&amp;0)),I$1:XFD11,A11+1,FALSE))</f>
        <v>433</v>
      </c>
      <c r="G11" s="8">
        <f t="shared" si="8"/>
        <v>1.2065128310247428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  <c r="AA11" s="9">
        <v>920</v>
      </c>
      <c r="AB11" s="9">
        <v>1107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World</v>
      </c>
      <c r="D12" s="6">
        <f t="shared" si="7"/>
        <v>3982</v>
      </c>
      <c r="E12" s="6">
        <f>IF(COUNTIF(I12:XFD12,"&gt;"&amp;0)=0,,HLOOKUP(COUNTIF(I12:XFD12,"&gt;"&amp;0)-1,I$1:XFD12,A12+1,FALSE))</f>
        <v>52909</v>
      </c>
      <c r="F12" s="7">
        <f>IF(COUNTIF(I12:XFD12,"&gt;"&amp;0)=0,,HLOOKUP(COUNTIF(I12:XFD12,"&gt;"&amp;0)-MIN($F$1+1,COUNTIF(I12:XFD12,"&gt;"&amp;0)),I$1:XFD12,A12+1,FALSE))</f>
        <v>30618</v>
      </c>
      <c r="G12" s="8">
        <f t="shared" si="8"/>
        <v>1.1156052436787527</v>
      </c>
      <c r="H12" s="13" t="s">
        <v>604</v>
      </c>
      <c r="I12" s="9">
        <v>17</v>
      </c>
      <c r="J12" s="9">
        <v>18</v>
      </c>
      <c r="K12" s="9">
        <v>26</v>
      </c>
      <c r="L12" s="9">
        <v>42</v>
      </c>
      <c r="M12" s="9">
        <v>56</v>
      </c>
      <c r="N12" s="9">
        <v>82</v>
      </c>
      <c r="O12" s="9">
        <v>131</v>
      </c>
      <c r="P12" s="9">
        <v>133</v>
      </c>
      <c r="Q12" s="9">
        <v>171</v>
      </c>
      <c r="R12" s="9">
        <v>213</v>
      </c>
      <c r="S12" s="9">
        <v>259</v>
      </c>
      <c r="T12" s="9">
        <v>362</v>
      </c>
      <c r="U12" s="9">
        <v>426</v>
      </c>
      <c r="V12" s="9">
        <v>492</v>
      </c>
      <c r="W12" s="9">
        <v>564</v>
      </c>
      <c r="X12" s="9">
        <v>634</v>
      </c>
      <c r="Y12" s="9">
        <v>719</v>
      </c>
      <c r="Z12" s="9">
        <v>806</v>
      </c>
      <c r="AA12" s="9">
        <v>906</v>
      </c>
      <c r="AB12" s="9">
        <v>1013</v>
      </c>
      <c r="AC12" s="9">
        <v>1113</v>
      </c>
      <c r="AD12" s="9">
        <v>1118</v>
      </c>
      <c r="AE12" s="9">
        <v>1371</v>
      </c>
      <c r="AF12" s="9">
        <v>1523</v>
      </c>
      <c r="AG12" s="9">
        <v>1666</v>
      </c>
      <c r="AH12" s="9">
        <v>1770</v>
      </c>
      <c r="AI12" s="9">
        <v>1868</v>
      </c>
      <c r="AJ12" s="9">
        <v>2007</v>
      </c>
      <c r="AK12" s="9">
        <v>2122</v>
      </c>
      <c r="AL12" s="9">
        <v>2245</v>
      </c>
      <c r="AM12" s="9">
        <v>2249</v>
      </c>
      <c r="AN12" s="9">
        <v>2456</v>
      </c>
      <c r="AO12" s="9">
        <v>2466</v>
      </c>
      <c r="AP12" s="9">
        <v>2626</v>
      </c>
      <c r="AQ12" s="9">
        <v>2705</v>
      </c>
      <c r="AR12" s="9">
        <v>2766</v>
      </c>
      <c r="AS12" s="9">
        <v>2810</v>
      </c>
      <c r="AT12" s="9">
        <v>2866</v>
      </c>
      <c r="AU12" s="9">
        <v>2935</v>
      </c>
      <c r="AV12" s="9">
        <v>2990</v>
      </c>
      <c r="AW12" s="9">
        <v>3079</v>
      </c>
      <c r="AX12" s="9">
        <v>3154</v>
      </c>
      <c r="AY12" s="9">
        <v>3248</v>
      </c>
      <c r="AZ12" s="9">
        <v>3342</v>
      </c>
      <c r="BA12" s="9">
        <v>3454</v>
      </c>
      <c r="BB12" s="9">
        <v>3552</v>
      </c>
      <c r="BC12" s="9">
        <v>3796</v>
      </c>
      <c r="BD12" s="9">
        <v>3982</v>
      </c>
      <c r="BE12" s="9">
        <v>4256</v>
      </c>
      <c r="BF12" s="9">
        <v>4608</v>
      </c>
      <c r="BG12" s="9">
        <v>4948</v>
      </c>
      <c r="BH12" s="9">
        <v>5400</v>
      </c>
      <c r="BI12" s="9">
        <v>5812</v>
      </c>
      <c r="BJ12" s="9">
        <v>6483</v>
      </c>
      <c r="BK12" s="9">
        <v>7118</v>
      </c>
      <c r="BL12" s="9">
        <v>7938</v>
      </c>
      <c r="BM12" s="9">
        <v>8872</v>
      </c>
      <c r="BN12" s="9">
        <v>9987</v>
      </c>
      <c r="BO12" s="9">
        <v>11290</v>
      </c>
      <c r="BP12" s="9">
        <v>12961</v>
      </c>
      <c r="BQ12" s="9">
        <v>14638</v>
      </c>
      <c r="BR12" s="9">
        <v>16488</v>
      </c>
      <c r="BS12" s="9">
        <v>18605</v>
      </c>
      <c r="BT12" s="9">
        <v>21157</v>
      </c>
      <c r="BU12" s="9">
        <v>23944</v>
      </c>
      <c r="BV12" s="9">
        <v>27168</v>
      </c>
      <c r="BW12" s="9">
        <v>30618</v>
      </c>
      <c r="BX12" s="9">
        <v>33885</v>
      </c>
      <c r="BY12" s="9">
        <v>37536</v>
      </c>
      <c r="BZ12" s="9">
        <v>42054</v>
      </c>
      <c r="CA12" s="9">
        <v>46745</v>
      </c>
      <c r="CB12" s="9">
        <v>52909</v>
      </c>
      <c r="CD12" s="9">
        <v>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Europe</v>
      </c>
      <c r="D13" s="6">
        <f t="shared" si="7"/>
        <v>38451</v>
      </c>
      <c r="E13" s="6">
        <f>IF(COUNTIF(I13:XFD13,"&gt;"&amp;0)=0,,HLOOKUP(COUNTIF(I13:XFD13,"&gt;"&amp;0)-1,I$1:XFD13,A13+1,FALSE))</f>
        <v>38451</v>
      </c>
      <c r="F13" s="7">
        <f>IF(COUNTIF(I13:XFD13,"&gt;"&amp;0)=0,,HLOOKUP(COUNTIF(I13:XFD13,"&gt;"&amp;0)-MIN($F$1+1,COUNTIF(I13:XFD13,"&gt;"&amp;0)),I$1:XFD13,A13+1,FALSE))</f>
        <v>21776</v>
      </c>
      <c r="G13" s="8">
        <f t="shared" si="8"/>
        <v>1.1204330378311549</v>
      </c>
      <c r="H13" s="13" t="s">
        <v>607</v>
      </c>
      <c r="I13" s="9">
        <v>8</v>
      </c>
      <c r="J13" s="9">
        <v>11</v>
      </c>
      <c r="K13" s="9">
        <v>14</v>
      </c>
      <c r="L13" s="9">
        <v>19</v>
      </c>
      <c r="M13" s="9">
        <v>23</v>
      </c>
      <c r="N13" s="9">
        <v>31</v>
      </c>
      <c r="O13" s="9">
        <v>36</v>
      </c>
      <c r="P13" s="9">
        <v>55</v>
      </c>
      <c r="Q13" s="9">
        <v>85</v>
      </c>
      <c r="R13" s="9">
        <v>114</v>
      </c>
      <c r="S13" s="9">
        <v>160</v>
      </c>
      <c r="T13" s="9">
        <v>216</v>
      </c>
      <c r="U13" s="9">
        <v>259</v>
      </c>
      <c r="V13" s="9">
        <v>411</v>
      </c>
      <c r="W13" s="9">
        <v>522</v>
      </c>
      <c r="X13" s="9">
        <v>716</v>
      </c>
      <c r="Y13" s="9">
        <v>959</v>
      </c>
      <c r="Z13" s="9">
        <v>1198</v>
      </c>
      <c r="AA13" s="9">
        <v>1534</v>
      </c>
      <c r="AB13" s="9">
        <v>1812</v>
      </c>
      <c r="AC13" s="9">
        <v>2344</v>
      </c>
      <c r="AD13" s="9">
        <v>2804</v>
      </c>
      <c r="AE13" s="9">
        <v>3433</v>
      </c>
      <c r="AF13" s="9">
        <v>4160</v>
      </c>
      <c r="AG13" s="9">
        <v>5006</v>
      </c>
      <c r="AH13" s="9">
        <v>6065</v>
      </c>
      <c r="AI13" s="9">
        <v>7499</v>
      </c>
      <c r="AJ13" s="9">
        <v>8839</v>
      </c>
      <c r="AK13" s="9">
        <v>10371</v>
      </c>
      <c r="AL13" s="9">
        <v>12139</v>
      </c>
      <c r="AM13" s="9">
        <v>14236</v>
      </c>
      <c r="AN13" s="9">
        <v>16470</v>
      </c>
      <c r="AO13" s="9">
        <v>19050</v>
      </c>
      <c r="AP13" s="9">
        <v>21776</v>
      </c>
      <c r="AQ13" s="9">
        <v>24334</v>
      </c>
      <c r="AR13" s="9">
        <v>27207</v>
      </c>
      <c r="AS13" s="9">
        <v>30471</v>
      </c>
      <c r="AT13" s="9">
        <v>33920</v>
      </c>
      <c r="AU13" s="9">
        <v>38451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North America</v>
      </c>
      <c r="D14" s="6">
        <f t="shared" si="7"/>
        <v>6145</v>
      </c>
      <c r="E14" s="6">
        <f>IF(COUNTIF(I14:XFD14,"&gt;"&amp;0)=0,,HLOOKUP(COUNTIF(I14:XFD14,"&gt;"&amp;0)-1,I$1:XFD14,A14+1,FALSE))</f>
        <v>6145</v>
      </c>
      <c r="F14" s="7">
        <f>IF(COUNTIF(I14:XFD14,"&gt;"&amp;0)=0,,HLOOKUP(COUNTIF(I14:XFD14,"&gt;"&amp;0)-MIN($F$1+1,COUNTIF(I14:XFD14,"&gt;"&amp;0)),I$1:XFD14,A14+1,FALSE))</f>
        <v>2119</v>
      </c>
      <c r="G14" s="8">
        <f t="shared" si="8"/>
        <v>1.2373090403760856</v>
      </c>
      <c r="H14" s="13" t="s">
        <v>609</v>
      </c>
      <c r="I14" s="9">
        <v>11</v>
      </c>
      <c r="J14" s="9">
        <v>12</v>
      </c>
      <c r="K14" s="9">
        <v>14</v>
      </c>
      <c r="L14" s="9">
        <v>17</v>
      </c>
      <c r="M14" s="9">
        <v>21</v>
      </c>
      <c r="N14" s="9">
        <v>23</v>
      </c>
      <c r="O14" s="9">
        <v>29</v>
      </c>
      <c r="P14" s="9">
        <v>38</v>
      </c>
      <c r="Q14" s="9">
        <v>42</v>
      </c>
      <c r="R14" s="9">
        <v>49</v>
      </c>
      <c r="S14" s="9">
        <v>56</v>
      </c>
      <c r="T14" s="9">
        <v>65</v>
      </c>
      <c r="U14" s="9">
        <v>90</v>
      </c>
      <c r="V14" s="9">
        <v>114</v>
      </c>
      <c r="W14" s="9">
        <v>128</v>
      </c>
      <c r="X14" s="9">
        <v>214</v>
      </c>
      <c r="Y14" s="9">
        <v>261</v>
      </c>
      <c r="Z14" s="9">
        <v>333</v>
      </c>
      <c r="AA14" s="9">
        <v>447</v>
      </c>
      <c r="AB14" s="9">
        <v>595</v>
      </c>
      <c r="AC14" s="9">
        <v>746</v>
      </c>
      <c r="AD14" s="9">
        <v>989</v>
      </c>
      <c r="AE14" s="9">
        <v>1266</v>
      </c>
      <c r="AF14" s="9">
        <v>1657</v>
      </c>
      <c r="AG14" s="9">
        <v>2119</v>
      </c>
      <c r="AH14" s="9">
        <v>2570</v>
      </c>
      <c r="AI14" s="9">
        <v>3109</v>
      </c>
      <c r="AJ14" s="9">
        <v>4041</v>
      </c>
      <c r="AK14" s="9">
        <v>4936</v>
      </c>
      <c r="AL14" s="9">
        <v>6145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Asia</v>
      </c>
      <c r="D15" s="6">
        <f t="shared" si="7"/>
        <v>3189</v>
      </c>
      <c r="E15" s="6">
        <f>IF(COUNTIF(I15:XFD15,"&gt;"&amp;0)=0,,HLOOKUP(COUNTIF(I15:XFD15,"&gt;"&amp;0)-1,I$1:XFD15,A15+1,FALSE))</f>
        <v>4059</v>
      </c>
      <c r="F15" s="7">
        <f>IF(COUNTIF(I15:XFD15,"&gt;"&amp;0)=0,,HLOOKUP(COUNTIF(I15:XFD15,"&gt;"&amp;0)-MIN($F$1+1,COUNTIF(I15:XFD15,"&gt;"&amp;0)),I$1:XFD15,A15+1,FALSE))</f>
        <v>3754</v>
      </c>
      <c r="G15" s="8">
        <f t="shared" si="8"/>
        <v>1.0157456160860814</v>
      </c>
      <c r="H15" s="13" t="s">
        <v>606</v>
      </c>
      <c r="I15" s="9">
        <v>17</v>
      </c>
      <c r="J15" s="9">
        <v>18</v>
      </c>
      <c r="K15" s="9">
        <v>26</v>
      </c>
      <c r="L15" s="9">
        <v>42</v>
      </c>
      <c r="M15" s="9">
        <v>56</v>
      </c>
      <c r="N15" s="9">
        <v>82</v>
      </c>
      <c r="O15" s="9">
        <v>131</v>
      </c>
      <c r="P15" s="9">
        <v>133</v>
      </c>
      <c r="Q15" s="9">
        <v>171</v>
      </c>
      <c r="R15" s="9">
        <v>213</v>
      </c>
      <c r="S15" s="9">
        <v>259</v>
      </c>
      <c r="T15" s="9">
        <v>362</v>
      </c>
      <c r="U15" s="9">
        <v>426</v>
      </c>
      <c r="V15" s="9">
        <v>492</v>
      </c>
      <c r="W15" s="9">
        <v>564</v>
      </c>
      <c r="X15" s="9">
        <v>634</v>
      </c>
      <c r="Y15" s="9">
        <v>719</v>
      </c>
      <c r="Z15" s="9">
        <v>806</v>
      </c>
      <c r="AA15" s="9">
        <v>906</v>
      </c>
      <c r="AB15" s="9">
        <v>1013</v>
      </c>
      <c r="AC15" s="9">
        <v>1113</v>
      </c>
      <c r="AD15" s="9">
        <v>1118</v>
      </c>
      <c r="AE15" s="9">
        <v>1371</v>
      </c>
      <c r="AF15" s="9">
        <v>1523</v>
      </c>
      <c r="AG15" s="9">
        <v>1665</v>
      </c>
      <c r="AH15" s="9">
        <v>1769</v>
      </c>
      <c r="AI15" s="9">
        <v>1867</v>
      </c>
      <c r="AJ15" s="9">
        <v>2006</v>
      </c>
      <c r="AK15" s="9">
        <v>2119</v>
      </c>
      <c r="AL15" s="9">
        <v>2242</v>
      </c>
      <c r="AM15" s="9">
        <v>2243</v>
      </c>
      <c r="AN15" s="9">
        <v>2448</v>
      </c>
      <c r="AO15" s="9">
        <v>2454</v>
      </c>
      <c r="AP15" s="9">
        <v>2606</v>
      </c>
      <c r="AQ15" s="9">
        <v>2678</v>
      </c>
      <c r="AR15" s="9">
        <v>2733</v>
      </c>
      <c r="AS15" s="9">
        <v>2765</v>
      </c>
      <c r="AT15" s="9">
        <v>2809</v>
      </c>
      <c r="AU15" s="9">
        <v>2860</v>
      </c>
      <c r="AV15" s="9">
        <v>2898</v>
      </c>
      <c r="AW15" s="9">
        <v>2951</v>
      </c>
      <c r="AX15" s="9">
        <v>2984</v>
      </c>
      <c r="AY15" s="9">
        <v>3027</v>
      </c>
      <c r="AZ15" s="9">
        <v>3059</v>
      </c>
      <c r="BA15" s="9">
        <v>3095</v>
      </c>
      <c r="BB15" s="9">
        <v>3125</v>
      </c>
      <c r="BC15" s="9">
        <v>3159</v>
      </c>
      <c r="BD15" s="9">
        <v>3189</v>
      </c>
      <c r="BE15" s="9">
        <v>3206</v>
      </c>
      <c r="BF15" s="9">
        <v>3241</v>
      </c>
      <c r="BG15" s="9">
        <v>3260</v>
      </c>
      <c r="BH15" s="9">
        <v>3279</v>
      </c>
      <c r="BI15" s="9">
        <v>3305</v>
      </c>
      <c r="BJ15" s="9">
        <v>3321</v>
      </c>
      <c r="BK15" s="9">
        <v>3341</v>
      </c>
      <c r="BL15" s="9">
        <v>3365</v>
      </c>
      <c r="BM15" s="9">
        <v>3401</v>
      </c>
      <c r="BN15" s="9">
        <v>3424</v>
      </c>
      <c r="BO15" s="9">
        <v>3450</v>
      </c>
      <c r="BP15" s="9">
        <v>3473</v>
      </c>
      <c r="BQ15" s="9">
        <v>3530</v>
      </c>
      <c r="BR15" s="9">
        <v>3549</v>
      </c>
      <c r="BS15" s="9">
        <v>3581</v>
      </c>
      <c r="BT15" s="9">
        <v>3610</v>
      </c>
      <c r="BU15" s="9">
        <v>3664</v>
      </c>
      <c r="BV15" s="9">
        <v>3704</v>
      </c>
      <c r="BW15" s="9">
        <v>3754</v>
      </c>
      <c r="BX15" s="9">
        <v>3803</v>
      </c>
      <c r="BY15" s="9">
        <v>3849</v>
      </c>
      <c r="BZ15" s="9">
        <v>3905</v>
      </c>
      <c r="CA15" s="9">
        <v>3983</v>
      </c>
      <c r="CB15" s="9">
        <v>4059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Middle East</v>
      </c>
      <c r="D16" s="6">
        <f t="shared" si="7"/>
        <v>3314</v>
      </c>
      <c r="E16" s="6">
        <f>IF(COUNTIF(I16:XFD16,"&gt;"&amp;0)=0,,HLOOKUP(COUNTIF(I16:XFD16,"&gt;"&amp;0)-1,I$1:XFD16,A16+1,FALSE))</f>
        <v>3314</v>
      </c>
      <c r="F16" s="7">
        <f>IF(COUNTIF(I16:XFD16,"&gt;"&amp;0)=0,,HLOOKUP(COUNTIF(I16:XFD16,"&gt;"&amp;0)-MIN($F$1+1,COUNTIF(I16:XFD16,"&gt;"&amp;0)),I$1:XFD16,A16+1,FALSE))</f>
        <v>2595</v>
      </c>
      <c r="G16" s="8">
        <f t="shared" si="8"/>
        <v>1.0501299101591024</v>
      </c>
      <c r="H16" s="13" t="s">
        <v>608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  <c r="AT16" s="9">
        <v>3012</v>
      </c>
      <c r="AU16" s="9">
        <v>3168</v>
      </c>
      <c r="AV16" s="9">
        <v>3314</v>
      </c>
    </row>
    <row r="17" spans="1:48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Iran</v>
      </c>
      <c r="D17" s="6">
        <f t="shared" si="7"/>
        <v>3160</v>
      </c>
      <c r="E17" s="6">
        <f>IF(COUNTIF(I17:XFD17,"&gt;"&amp;0)=0,,HLOOKUP(COUNTIF(I17:XFD17,"&gt;"&amp;0)-1,I$1:XFD17,A17+1,FALSE))</f>
        <v>3160</v>
      </c>
      <c r="F17" s="7">
        <f>IF(COUNTIF(I17:XFD17,"&gt;"&amp;0)=0,,HLOOKUP(COUNTIF(I17:XFD17,"&gt;"&amp;0)-MIN($F$1+1,COUNTIF(I17:XFD17,"&gt;"&amp;0)),I$1:XFD17,A17+1,FALSE))</f>
        <v>2517</v>
      </c>
      <c r="G17" s="8">
        <f t="shared" si="8"/>
        <v>1.0465519070438913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  <c r="AT17" s="9">
        <v>2898</v>
      </c>
      <c r="AU17" s="9">
        <v>3036</v>
      </c>
      <c r="AV17" s="9">
        <v>3160</v>
      </c>
    </row>
    <row r="18" spans="1:48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Netherlands</v>
      </c>
      <c r="D18" s="6">
        <f t="shared" si="7"/>
        <v>1341</v>
      </c>
      <c r="E18" s="6">
        <f>IF(COUNTIF(I18:XFD18,"&gt;"&amp;0)=0,,HLOOKUP(COUNTIF(I18:XFD18,"&gt;"&amp;0)-1,I$1:XFD18,A18+1,FALSE))</f>
        <v>1341</v>
      </c>
      <c r="F18" s="7">
        <f>IF(COUNTIF(I18:XFD18,"&gt;"&amp;0)=0,,HLOOKUP(COUNTIF(I18:XFD18,"&gt;"&amp;0)-MIN($F$1+1,COUNTIF(I18:XFD18,"&gt;"&amp;0)),I$1:XFD18,A18+1,FALSE))</f>
        <v>640</v>
      </c>
      <c r="G18" s="8">
        <f t="shared" si="8"/>
        <v>1.1594439553823561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  <c r="AB18" s="9">
        <v>1175</v>
      </c>
      <c r="AC18" s="9">
        <v>1341</v>
      </c>
    </row>
    <row r="19" spans="1:48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Belgium</v>
      </c>
      <c r="D19" s="6">
        <f t="shared" si="7"/>
        <v>1011</v>
      </c>
      <c r="E19" s="6">
        <f>IF(COUNTIF(I19:XFD19,"&gt;"&amp;0)=0,,HLOOKUP(COUNTIF(I19:XFD19,"&gt;"&amp;0)-1,I$1:XFD19,A19+1,FALSE))</f>
        <v>1011</v>
      </c>
      <c r="F19" s="7">
        <f>IF(COUNTIF(I19:XFD19,"&gt;"&amp;0)=0,,HLOOKUP(COUNTIF(I19:XFD19,"&gt;"&amp;0)-MIN($F$1+1,COUNTIF(I19:XFD19,"&gt;"&amp;0)),I$1:XFD19,A19+1,FALSE))</f>
        <v>353</v>
      </c>
      <c r="G19" s="8">
        <f t="shared" si="8"/>
        <v>1.2342277025625557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</row>
    <row r="20" spans="1:48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South America</v>
      </c>
      <c r="D20" s="6">
        <f t="shared" si="7"/>
        <v>661</v>
      </c>
      <c r="E20" s="6">
        <f>IF(COUNTIF(I20:XFD20,"&gt;"&amp;0)=0,,HLOOKUP(COUNTIF(I20:XFD20,"&gt;"&amp;0)-1,I$1:XFD20,A20+1,FALSE))</f>
        <v>661</v>
      </c>
      <c r="F20" s="7">
        <f>IF(COUNTIF(I20:XFD20,"&gt;"&amp;0)=0,,HLOOKUP(COUNTIF(I20:XFD20,"&gt;"&amp;0)-MIN($F$1+1,COUNTIF(I20:XFD20,"&gt;"&amp;0)),I$1:XFD20,A20+1,FALSE))</f>
        <v>238</v>
      </c>
      <c r="G20" s="8">
        <f t="shared" si="8"/>
        <v>1.2266619682029281</v>
      </c>
      <c r="H20" s="13" t="s">
        <v>610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</row>
    <row r="21" spans="1:48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Switzerland</v>
      </c>
      <c r="D21" s="6">
        <f t="shared" si="7"/>
        <v>536</v>
      </c>
      <c r="E21" s="6">
        <f>IF(COUNTIF(I21:XFD21,"&gt;"&amp;0)=0,,HLOOKUP(COUNTIF(I21:XFD21,"&gt;"&amp;0)-1,I$1:XFD21,A21+1,FALSE))</f>
        <v>536</v>
      </c>
      <c r="F21" s="7">
        <f>IF(COUNTIF(I21:XFD21,"&gt;"&amp;0)=0,,HLOOKUP(COUNTIF(I21:XFD21,"&gt;"&amp;0)-MIN($F$1+1,COUNTIF(I21:XFD21,"&gt;"&amp;0)),I$1:XFD21,A21+1,FALSE))</f>
        <v>264</v>
      </c>
      <c r="G21" s="8">
        <f t="shared" si="8"/>
        <v>1.1521583524889707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</row>
    <row r="22" spans="1:48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Turkey</v>
      </c>
      <c r="D22" s="6">
        <f t="shared" si="7"/>
        <v>356</v>
      </c>
      <c r="E22" s="6">
        <f>IF(COUNTIF(I22:XFD22,"&gt;"&amp;0)=0,,HLOOKUP(COUNTIF(I22:XFD22,"&gt;"&amp;0)-1,I$1:XFD22,A22+1,FALSE))</f>
        <v>356</v>
      </c>
      <c r="F22" s="7">
        <f>IF(COUNTIF(I22:XFD22,"&gt;"&amp;0)=0,,HLOOKUP(COUNTIF(I22:XFD22,"&gt;"&amp;0)-MIN($F$1+1,COUNTIF(I22:XFD22,"&gt;"&amp;0)),I$1:XFD22,A22+1,FALSE))</f>
        <v>108</v>
      </c>
      <c r="G22" s="8">
        <f t="shared" si="8"/>
        <v>1.2694197429480845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</row>
    <row r="23" spans="1:48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Brazil</v>
      </c>
      <c r="D23" s="6">
        <f t="shared" si="7"/>
        <v>324</v>
      </c>
      <c r="E23" s="6">
        <f>IF(COUNTIF(I23:XFD23,"&gt;"&amp;0)=0,,HLOOKUP(COUNTIF(I23:XFD23,"&gt;"&amp;0)-1,I$1:XFD23,A23+1,FALSE))</f>
        <v>324</v>
      </c>
      <c r="F23" s="7">
        <f>IF(COUNTIF(I23:XFD23,"&gt;"&amp;0)=0,,HLOOKUP(COUNTIF(I23:XFD23,"&gt;"&amp;0)-MIN($F$1+1,COUNTIF(I23:XFD23,"&gt;"&amp;0)),I$1:XFD23,A23+1,FALSE))</f>
        <v>111</v>
      </c>
      <c r="G23" s="8">
        <f t="shared" si="8"/>
        <v>1.2389232590251862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</row>
    <row r="24" spans="1:48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Sweden</v>
      </c>
      <c r="D24" s="6">
        <f t="shared" si="7"/>
        <v>308</v>
      </c>
      <c r="E24" s="6">
        <f>IF(COUNTIF(I24:XFD24,"&gt;"&amp;0)=0,,HLOOKUP(COUNTIF(I24:XFD24,"&gt;"&amp;0)-1,I$1:XFD24,A24+1,FALSE))</f>
        <v>308</v>
      </c>
      <c r="F24" s="7">
        <f>IF(COUNTIF(I24:XFD24,"&gt;"&amp;0)=0,,HLOOKUP(COUNTIF(I24:XFD24,"&gt;"&amp;0)-MIN($F$1+1,COUNTIF(I24:XFD24,"&gt;"&amp;0)),I$1:XFD24,A24+1,FALSE))</f>
        <v>105</v>
      </c>
      <c r="G24" s="8">
        <f t="shared" si="8"/>
        <v>1.2401444770294936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</row>
    <row r="25" spans="1:48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Africa</v>
      </c>
      <c r="D25" s="6">
        <f t="shared" si="7"/>
        <v>254</v>
      </c>
      <c r="E25" s="6">
        <f>IF(COUNTIF(I25:XFD25,"&gt;"&amp;0)=0,,HLOOKUP(COUNTIF(I25:XFD25,"&gt;"&amp;0)-1,I$1:XFD25,A25+1,FALSE))</f>
        <v>254</v>
      </c>
      <c r="F25" s="7">
        <f>IF(COUNTIF(I25:XFD25,"&gt;"&amp;0)=0,,HLOOKUP(COUNTIF(I25:XFD25,"&gt;"&amp;0)-MIN($F$1+1,COUNTIF(I25:XFD25,"&gt;"&amp;0)),I$1:XFD25,A25+1,FALSE))</f>
        <v>122</v>
      </c>
      <c r="G25" s="8">
        <f t="shared" si="8"/>
        <v>1.1579632518077398</v>
      </c>
      <c r="H25" s="13" t="s">
        <v>611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</row>
    <row r="26" spans="1:48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Portugal</v>
      </c>
      <c r="D26" s="6">
        <f t="shared" si="7"/>
        <v>209</v>
      </c>
      <c r="E26" s="6">
        <f>IF(COUNTIF(I26:XFD26,"&gt;"&amp;0)=0,,HLOOKUP(COUNTIF(I26:XFD26,"&gt;"&amp;0)-1,I$1:XFD26,A26+1,FALSE))</f>
        <v>209</v>
      </c>
      <c r="F26" s="7">
        <f>IF(COUNTIF(I26:XFD26,"&gt;"&amp;0)=0,,HLOOKUP(COUNTIF(I26:XFD26,"&gt;"&amp;0)-MIN($F$1+1,COUNTIF(I26:XFD26,"&gt;"&amp;0)),I$1:XFD26,A26+1,FALSE))</f>
        <v>100</v>
      </c>
      <c r="G26" s="8">
        <f t="shared" si="8"/>
        <v>1.1588554224212262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  <c r="U26" s="9">
        <v>209</v>
      </c>
    </row>
    <row r="27" spans="1:48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Indonesia</v>
      </c>
      <c r="D27" s="6">
        <f t="shared" si="7"/>
        <v>170</v>
      </c>
      <c r="E27" s="6">
        <f>IF(COUNTIF(I27:XFD27,"&gt;"&amp;0)=0,,HLOOKUP(COUNTIF(I27:XFD27,"&gt;"&amp;0)-1,I$1:XFD27,A27+1,FALSE))</f>
        <v>170</v>
      </c>
      <c r="F27" s="7">
        <f>IF(COUNTIF(I27:XFD27,"&gt;"&amp;0)=0,,HLOOKUP(COUNTIF(I27:XFD27,"&gt;"&amp;0)-MIN($F$1+1,COUNTIF(I27:XFD27,"&gt;"&amp;0)),I$1:XFD27,A27+1,FALSE))</f>
        <v>102</v>
      </c>
      <c r="G27" s="8">
        <f t="shared" si="8"/>
        <v>1.1075663432482901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  <c r="T27" s="9">
        <v>114</v>
      </c>
      <c r="U27" s="9">
        <v>122</v>
      </c>
      <c r="V27" s="9">
        <v>136</v>
      </c>
      <c r="W27" s="9">
        <v>157</v>
      </c>
      <c r="X27" s="9">
        <v>170</v>
      </c>
    </row>
    <row r="28" spans="1:48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Korea, South</v>
      </c>
      <c r="D28" s="6">
        <f t="shared" si="7"/>
        <v>169</v>
      </c>
      <c r="E28" s="6">
        <f>IF(COUNTIF(I28:XFD28,"&gt;"&amp;0)=0,,HLOOKUP(COUNTIF(I28:XFD28,"&gt;"&amp;0)-1,I$1:XFD28,A28+1,FALSE))</f>
        <v>169</v>
      </c>
      <c r="F28" s="7">
        <f>IF(COUNTIF(I28:XFD28,"&gt;"&amp;0)=0,,HLOOKUP(COUNTIF(I28:XFD28,"&gt;"&amp;0)-MIN($F$1+1,COUNTIF(I28:XFD28,"&gt;"&amp;0)),I$1:XFD28,A28+1,FALSE))</f>
        <v>144</v>
      </c>
      <c r="G28" s="8">
        <f t="shared" si="8"/>
        <v>1.0325351440239947</v>
      </c>
      <c r="H28" s="13" t="s">
        <v>339</v>
      </c>
      <c r="I28" s="9">
        <v>8</v>
      </c>
      <c r="J28" s="9">
        <v>10</v>
      </c>
      <c r="K28" s="9">
        <v>12</v>
      </c>
      <c r="L28" s="9">
        <v>13</v>
      </c>
      <c r="M28" s="9">
        <v>13</v>
      </c>
      <c r="N28" s="9">
        <v>16</v>
      </c>
      <c r="O28" s="9">
        <v>17</v>
      </c>
      <c r="P28" s="9">
        <v>28</v>
      </c>
      <c r="Q28" s="9">
        <v>28</v>
      </c>
      <c r="R28" s="9">
        <v>35</v>
      </c>
      <c r="S28" s="9">
        <v>35</v>
      </c>
      <c r="T28" s="9">
        <v>42</v>
      </c>
      <c r="U28" s="9">
        <v>44</v>
      </c>
      <c r="V28" s="9">
        <v>50</v>
      </c>
      <c r="W28" s="9">
        <v>53</v>
      </c>
      <c r="X28" s="9">
        <v>54</v>
      </c>
      <c r="Y28" s="9">
        <v>60</v>
      </c>
      <c r="Z28" s="9">
        <v>66</v>
      </c>
      <c r="AA28" s="9">
        <v>66</v>
      </c>
      <c r="AB28" s="9">
        <v>72</v>
      </c>
      <c r="AC28" s="9">
        <v>75</v>
      </c>
      <c r="AD28" s="9">
        <v>75</v>
      </c>
      <c r="AE28" s="9">
        <v>81</v>
      </c>
      <c r="AF28" s="9">
        <v>84</v>
      </c>
      <c r="AG28" s="9">
        <v>91</v>
      </c>
      <c r="AH28" s="9">
        <v>94</v>
      </c>
      <c r="AI28" s="9">
        <v>102</v>
      </c>
      <c r="AJ28" s="9">
        <v>111</v>
      </c>
      <c r="AK28" s="9">
        <v>111</v>
      </c>
      <c r="AL28" s="9">
        <v>120</v>
      </c>
      <c r="AM28" s="9">
        <v>126</v>
      </c>
      <c r="AN28" s="9">
        <v>131</v>
      </c>
      <c r="AO28" s="9">
        <v>139</v>
      </c>
      <c r="AP28" s="9">
        <v>144</v>
      </c>
      <c r="AQ28" s="9">
        <v>152</v>
      </c>
      <c r="AR28" s="9">
        <v>158</v>
      </c>
      <c r="AS28" s="9">
        <v>162</v>
      </c>
      <c r="AT28" s="9">
        <v>165</v>
      </c>
      <c r="AU28" s="9">
        <v>169</v>
      </c>
    </row>
    <row r="29" spans="1:48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Austria</v>
      </c>
      <c r="D29" s="6">
        <f t="shared" si="7"/>
        <v>158</v>
      </c>
      <c r="E29" s="6">
        <f>IF(COUNTIF(I29:XFD29,"&gt;"&amp;0)=0,,HLOOKUP(COUNTIF(I29:XFD29,"&gt;"&amp;0)-1,I$1:XFD29,A29+1,FALSE))</f>
        <v>158</v>
      </c>
      <c r="F29" s="7">
        <f>IF(COUNTIF(I29:XFD29,"&gt;"&amp;0)=0,,HLOOKUP(COUNTIF(I29:XFD29,"&gt;"&amp;0)-MIN($F$1+1,COUNTIF(I29:XFD29,"&gt;"&amp;0)),I$1:XFD29,A29+1,FALSE))</f>
        <v>68</v>
      </c>
      <c r="G29" s="8">
        <f t="shared" si="8"/>
        <v>1.1836672588284154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</row>
    <row r="30" spans="1:48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Canada</v>
      </c>
      <c r="D30" s="6">
        <f t="shared" si="7"/>
        <v>139</v>
      </c>
      <c r="E30" s="6">
        <f>IF(COUNTIF(I30:XFD30,"&gt;"&amp;0)=0,,HLOOKUP(COUNTIF(I30:XFD30,"&gt;"&amp;0)-1,I$1:XFD30,A30+1,FALSE))</f>
        <v>139</v>
      </c>
      <c r="F30" s="7">
        <f>IF(COUNTIF(I30:XFD30,"&gt;"&amp;0)=0,,HLOOKUP(COUNTIF(I30:XFD30,"&gt;"&amp;0)-MIN($F$1+1,COUNTIF(I30:XFD30,"&gt;"&amp;0)),I$1:XFD30,A30+1,FALSE))</f>
        <v>61</v>
      </c>
      <c r="G30" s="8">
        <f t="shared" si="8"/>
        <v>1.1790629511270654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  <c r="V30" s="9">
        <v>101</v>
      </c>
      <c r="W30" s="9">
        <v>109</v>
      </c>
      <c r="X30" s="9">
        <v>139</v>
      </c>
    </row>
    <row r="31" spans="1:48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Denmark</v>
      </c>
      <c r="D31" s="6">
        <f t="shared" si="7"/>
        <v>123</v>
      </c>
      <c r="E31" s="6">
        <f>IF(COUNTIF(I31:XFD31,"&gt;"&amp;0)=0,,HLOOKUP(COUNTIF(I31:XFD31,"&gt;"&amp;0)-1,I$1:XFD31,A31+1,FALSE))</f>
        <v>123</v>
      </c>
      <c r="F31" s="7">
        <f>IF(COUNTIF(I31:XFD31,"&gt;"&amp;0)=0,,HLOOKUP(COUNTIF(I31:XFD31,"&gt;"&amp;0)-MIN($F$1+1,COUNTIF(I31:XFD31,"&gt;"&amp;0)),I$1:XFD31,A31+1,FALSE))</f>
        <v>65</v>
      </c>
      <c r="G31" s="8">
        <f t="shared" si="8"/>
        <v>1.1360523671676765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  <c r="U31" s="9">
        <v>104</v>
      </c>
      <c r="V31" s="9">
        <v>123</v>
      </c>
    </row>
    <row r="32" spans="1:48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Ecuador</v>
      </c>
      <c r="D32" s="6">
        <f t="shared" si="7"/>
        <v>120</v>
      </c>
      <c r="E32" s="6">
        <f>IF(COUNTIF(I32:XFD32,"&gt;"&amp;0)=0,,HLOOKUP(COUNTIF(I32:XFD32,"&gt;"&amp;0)-1,I$1:XFD32,A32+1,FALSE))</f>
        <v>120</v>
      </c>
      <c r="F32" s="7">
        <f>IF(COUNTIF(I32:XFD32,"&gt;"&amp;0)=0,,HLOOKUP(COUNTIF(I32:XFD32,"&gt;"&amp;0)-MIN($F$1+1,COUNTIF(I32:XFD32,"&gt;"&amp;0)),I$1:XFD32,A32+1,FALSE))</f>
        <v>48</v>
      </c>
      <c r="G32" s="8">
        <f t="shared" si="8"/>
        <v>1.2011244339814313</v>
      </c>
      <c r="H32" s="13" t="s">
        <v>103</v>
      </c>
      <c r="I32" s="9">
        <v>14</v>
      </c>
      <c r="J32" s="9">
        <v>18</v>
      </c>
      <c r="K32" s="9">
        <v>27</v>
      </c>
      <c r="L32" s="9">
        <v>28</v>
      </c>
      <c r="M32" s="9">
        <v>34</v>
      </c>
      <c r="N32" s="9">
        <v>36</v>
      </c>
      <c r="O32" s="9">
        <v>48</v>
      </c>
      <c r="P32" s="9">
        <v>58</v>
      </c>
      <c r="Q32" s="9">
        <v>60</v>
      </c>
      <c r="R32" s="9">
        <v>75</v>
      </c>
      <c r="S32" s="9">
        <v>93</v>
      </c>
      <c r="T32" s="9">
        <v>120</v>
      </c>
    </row>
    <row r="33" spans="1:33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Romania</v>
      </c>
      <c r="D33" s="6">
        <f t="shared" si="7"/>
        <v>115</v>
      </c>
      <c r="E33" s="6">
        <f>IF(COUNTIF(I33:XFD33,"&gt;"&amp;0)=0,,HLOOKUP(COUNTIF(I33:XFD33,"&gt;"&amp;0)-1,I$1:XFD33,A33+1,FALSE))</f>
        <v>115</v>
      </c>
      <c r="F33" s="7">
        <f>IF(COUNTIF(I33:XFD33,"&gt;"&amp;0)=0,,HLOOKUP(COUNTIF(I33:XFD33,"&gt;"&amp;0)-MIN($F$1+1,COUNTIF(I33:XFD33,"&gt;"&amp;0)),I$1:XFD33,A33+1,FALSE))</f>
        <v>37</v>
      </c>
      <c r="G33" s="8">
        <f t="shared" si="8"/>
        <v>1.2545824940149908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</row>
    <row r="34" spans="1:33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Philippines</v>
      </c>
      <c r="D34" s="6">
        <f t="shared" si="7"/>
        <v>107</v>
      </c>
      <c r="E34" s="6">
        <f>IF(COUNTIF(I34:XFD34,"&gt;"&amp;0)=0,,HLOOKUP(COUNTIF(I34:XFD34,"&gt;"&amp;0)-1,I$1:XFD34,A34+1,FALSE))</f>
        <v>107</v>
      </c>
      <c r="F34" s="7">
        <f>IF(COUNTIF(I34:XFD34,"&gt;"&amp;0)=0,,HLOOKUP(COUNTIF(I34:XFD34,"&gt;"&amp;0)-MIN($F$1+1,COUNTIF(I34:XFD34,"&gt;"&amp;0)),I$1:XFD34,A34+1,FALSE))</f>
        <v>68</v>
      </c>
      <c r="G34" s="8">
        <f t="shared" si="8"/>
        <v>1.0949013039827904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</row>
    <row r="35" spans="1:33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Ireland</v>
      </c>
      <c r="D35" s="6">
        <f t="shared" si="7"/>
        <v>98</v>
      </c>
      <c r="E35" s="6">
        <f>IF(COUNTIF(I35:XFD35,"&gt;"&amp;0)=0,,HLOOKUP(COUNTIF(I35:XFD35,"&gt;"&amp;0)-1,I$1:XFD35,A35+1,FALSE))</f>
        <v>98</v>
      </c>
      <c r="F35" s="7">
        <f>IF(COUNTIF(I35:XFD35,"&gt;"&amp;0)=0,,HLOOKUP(COUNTIF(I35:XFD35,"&gt;"&amp;0)-MIN($F$1+1,COUNTIF(I35:XFD35,"&gt;"&amp;0)),I$1:XFD35,A35+1,FALSE))</f>
        <v>36</v>
      </c>
      <c r="G35" s="8">
        <f t="shared" si="8"/>
        <v>1.2217566596243947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  <c r="P35" s="9">
        <v>85</v>
      </c>
      <c r="Q35" s="9">
        <v>98</v>
      </c>
    </row>
    <row r="36" spans="1:33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Algeria</v>
      </c>
      <c r="D36" s="6">
        <f t="shared" si="7"/>
        <v>86</v>
      </c>
      <c r="E36" s="6">
        <f>IF(COUNTIF(I36:XFD36,"&gt;"&amp;0)=0,,HLOOKUP(COUNTIF(I36:XFD36,"&gt;"&amp;0)-1,I$1:XFD36,A36+1,FALSE))</f>
        <v>86</v>
      </c>
      <c r="F36" s="7">
        <f>IF(COUNTIF(I36:XFD36,"&gt;"&amp;0)=0,,HLOOKUP(COUNTIF(I36:XFD36,"&gt;"&amp;0)-MIN($F$1+1,COUNTIF(I36:XFD36,"&gt;"&amp;0)),I$1:XFD36,A36+1,FALSE))</f>
        <v>29</v>
      </c>
      <c r="G36" s="8">
        <f t="shared" si="8"/>
        <v>1.2428539321240306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</row>
    <row r="37" spans="1:33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India</v>
      </c>
      <c r="D37" s="6">
        <f t="shared" si="7"/>
        <v>72</v>
      </c>
      <c r="E37" s="6">
        <f>IF(COUNTIF(I37:XFD37,"&gt;"&amp;0)=0,,HLOOKUP(COUNTIF(I37:XFD37,"&gt;"&amp;0)-1,I$1:XFD37,A37+1,FALSE))</f>
        <v>72</v>
      </c>
      <c r="F37" s="7">
        <f>IF(COUNTIF(I37:XFD37,"&gt;"&amp;0)=0,,HLOOKUP(COUNTIF(I37:XFD37,"&gt;"&amp;0)-MIN($F$1+1,COUNTIF(I37:XFD37,"&gt;"&amp;0)),I$1:XFD37,A37+1,FALSE))</f>
        <v>24</v>
      </c>
      <c r="G37" s="8">
        <f t="shared" si="8"/>
        <v>1.2457309396155174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</row>
    <row r="38" spans="1:33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Japan</v>
      </c>
      <c r="D38" s="6">
        <f t="shared" si="7"/>
        <v>62</v>
      </c>
      <c r="E38" s="6">
        <f>IF(COUNTIF(I38:XFD38,"&gt;"&amp;0)=0,,HLOOKUP(COUNTIF(I38:XFD38,"&gt;"&amp;0)-1,I$1:XFD38,A38+1,FALSE))</f>
        <v>62</v>
      </c>
      <c r="F38" s="7">
        <f>IF(COUNTIF(I38:XFD38,"&gt;"&amp;0)=0,,HLOOKUP(COUNTIF(I38:XFD38,"&gt;"&amp;0)-MIN($F$1+1,COUNTIF(I38:XFD38,"&gt;"&amp;0)),I$1:XFD38,A38+1,FALSE))</f>
        <v>52</v>
      </c>
      <c r="G38" s="8">
        <f t="shared" si="8"/>
        <v>1.0358042035802142</v>
      </c>
      <c r="H38" s="13" t="s">
        <v>36</v>
      </c>
      <c r="I38" s="9">
        <v>10</v>
      </c>
      <c r="J38" s="9">
        <v>10</v>
      </c>
      <c r="K38" s="9">
        <v>15</v>
      </c>
      <c r="L38" s="9">
        <v>16</v>
      </c>
      <c r="M38" s="9">
        <v>19</v>
      </c>
      <c r="N38" s="9">
        <v>22</v>
      </c>
      <c r="O38" s="9">
        <v>22</v>
      </c>
      <c r="P38" s="9">
        <v>27</v>
      </c>
      <c r="Q38" s="9">
        <v>29</v>
      </c>
      <c r="R38" s="9">
        <v>29</v>
      </c>
      <c r="S38" s="9">
        <v>29</v>
      </c>
      <c r="T38" s="9">
        <v>33</v>
      </c>
      <c r="U38" s="9">
        <v>35</v>
      </c>
      <c r="V38" s="9">
        <v>41</v>
      </c>
      <c r="W38" s="9">
        <v>42</v>
      </c>
      <c r="X38" s="9">
        <v>43</v>
      </c>
      <c r="Y38" s="9">
        <v>45</v>
      </c>
      <c r="Z38" s="9">
        <v>47</v>
      </c>
      <c r="AA38" s="9">
        <v>49</v>
      </c>
      <c r="AB38" s="9">
        <v>52</v>
      </c>
      <c r="AC38" s="9">
        <v>54</v>
      </c>
      <c r="AD38" s="9">
        <v>54</v>
      </c>
      <c r="AE38" s="9">
        <v>56</v>
      </c>
      <c r="AF38" s="9">
        <v>57</v>
      </c>
      <c r="AG38" s="9">
        <v>62</v>
      </c>
    </row>
    <row r="39" spans="1:33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Dominican Republic</v>
      </c>
      <c r="D39" s="6">
        <f t="shared" si="7"/>
        <v>60</v>
      </c>
      <c r="E39" s="6">
        <f>IF(COUNTIF(I39:XFD39,"&gt;"&amp;0)=0,,HLOOKUP(COUNTIF(I39:XFD39,"&gt;"&amp;0)-1,I$1:XFD39,A39+1,FALSE))</f>
        <v>60</v>
      </c>
      <c r="F39" s="7">
        <f>IF(COUNTIF(I39:XFD39,"&gt;"&amp;0)=0,,HLOOKUP(COUNTIF(I39:XFD39,"&gt;"&amp;0)-MIN($F$1+1,COUNTIF(I39:XFD39,"&gt;"&amp;0)),I$1:XFD39,A39+1,FALSE))</f>
        <v>28</v>
      </c>
      <c r="G39" s="8">
        <f t="shared" si="8"/>
        <v>1.1646586157796568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  <c r="N39" s="9">
        <v>42</v>
      </c>
      <c r="O39" s="9">
        <v>51</v>
      </c>
      <c r="P39" s="9">
        <v>57</v>
      </c>
      <c r="Q39" s="9">
        <v>60</v>
      </c>
    </row>
    <row r="40" spans="1:33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Egypt</v>
      </c>
      <c r="D40" s="6">
        <f t="shared" si="7"/>
        <v>58</v>
      </c>
      <c r="E40" s="6">
        <f>IF(COUNTIF(I40:XFD40,"&gt;"&amp;0)=0,,HLOOKUP(COUNTIF(I40:XFD40,"&gt;"&amp;0)-1,I$1:XFD40,A40+1,FALSE))</f>
        <v>58</v>
      </c>
      <c r="F40" s="7">
        <f>IF(COUNTIF(I40:XFD40,"&gt;"&amp;0)=0,,HLOOKUP(COUNTIF(I40:XFD40,"&gt;"&amp;0)-MIN($F$1+1,COUNTIF(I40:XFD40,"&gt;"&amp;0)),I$1:XFD40,A40+1,FALSE))</f>
        <v>36</v>
      </c>
      <c r="G40" s="8">
        <f t="shared" si="8"/>
        <v>1.100082101138866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  <c r="U40" s="9">
        <v>52</v>
      </c>
      <c r="V40" s="9">
        <v>58</v>
      </c>
    </row>
    <row r="41" spans="1:33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Poland</v>
      </c>
      <c r="D41" s="6">
        <f t="shared" si="7"/>
        <v>57</v>
      </c>
      <c r="E41" s="6">
        <f>IF(COUNTIF(I41:XFD41,"&gt;"&amp;0)=0,,HLOOKUP(COUNTIF(I41:XFD41,"&gt;"&amp;0)-1,I$1:XFD41,A41+1,FALSE))</f>
        <v>57</v>
      </c>
      <c r="F41" s="7">
        <f>IF(COUNTIF(I41:XFD41,"&gt;"&amp;0)=0,,HLOOKUP(COUNTIF(I41:XFD41,"&gt;"&amp;0)-MIN($F$1+1,COUNTIF(I41:XFD41,"&gt;"&amp;0)),I$1:XFD41,A41+1,FALSE))</f>
        <v>18</v>
      </c>
      <c r="G41" s="8">
        <f t="shared" si="8"/>
        <v>1.2592746769380383</v>
      </c>
      <c r="H41" s="13" t="s">
        <v>137</v>
      </c>
      <c r="I41" s="9">
        <v>8</v>
      </c>
      <c r="J41" s="9">
        <v>10</v>
      </c>
      <c r="K41" s="9">
        <v>14</v>
      </c>
      <c r="L41" s="9">
        <v>16</v>
      </c>
      <c r="M41" s="9">
        <v>16</v>
      </c>
      <c r="N41" s="9">
        <v>18</v>
      </c>
      <c r="O41" s="9">
        <v>22</v>
      </c>
      <c r="P41" s="9">
        <v>31</v>
      </c>
      <c r="Q41" s="9">
        <v>33</v>
      </c>
      <c r="R41" s="9">
        <v>43</v>
      </c>
      <c r="S41" s="9">
        <v>57</v>
      </c>
    </row>
    <row r="42" spans="1:33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Peru</v>
      </c>
      <c r="D42" s="6">
        <f t="shared" si="7"/>
        <v>55</v>
      </c>
      <c r="E42" s="6">
        <f>IF(COUNTIF(I42:XFD42,"&gt;"&amp;0)=0,,HLOOKUP(COUNTIF(I42:XFD42,"&gt;"&amp;0)-1,I$1:XFD42,A42+1,FALSE))</f>
        <v>55</v>
      </c>
      <c r="F42" s="7">
        <f>IF(COUNTIF(I42:XFD42,"&gt;"&amp;0)=0,,HLOOKUP(COUNTIF(I42:XFD42,"&gt;"&amp;0)-MIN($F$1+1,COUNTIF(I42:XFD42,"&gt;"&amp;0)),I$1:XFD42,A42+1,FALSE))</f>
        <v>16</v>
      </c>
      <c r="G42" s="8">
        <f t="shared" si="8"/>
        <v>1.2801136878222739</v>
      </c>
      <c r="H42" s="13" t="s">
        <v>160</v>
      </c>
      <c r="I42" s="9">
        <v>9</v>
      </c>
      <c r="J42" s="9">
        <v>9</v>
      </c>
      <c r="K42" s="9">
        <v>11</v>
      </c>
      <c r="L42" s="9">
        <v>16</v>
      </c>
      <c r="M42" s="9">
        <v>18</v>
      </c>
      <c r="N42" s="9">
        <v>24</v>
      </c>
      <c r="O42" s="9">
        <v>30</v>
      </c>
      <c r="P42" s="9">
        <v>38</v>
      </c>
      <c r="Q42" s="9">
        <v>55</v>
      </c>
    </row>
    <row r="43" spans="1:33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Iraq</v>
      </c>
      <c r="D43" s="6">
        <f t="shared" si="7"/>
        <v>54</v>
      </c>
      <c r="E43" s="6">
        <f>IF(COUNTIF(I43:XFD43,"&gt;"&amp;0)=0,,HLOOKUP(COUNTIF(I43:XFD43,"&gt;"&amp;0)-1,I$1:XFD43,A43+1,FALSE))</f>
        <v>54</v>
      </c>
      <c r="F43" s="7">
        <f>IF(COUNTIF(I43:XFD43,"&gt;"&amp;0)=0,,HLOOKUP(COUNTIF(I43:XFD43,"&gt;"&amp;0)-MIN($F$1+1,COUNTIF(I43:XFD43,"&gt;"&amp;0)),I$1:XFD43,A43+1,FALSE))</f>
        <v>42</v>
      </c>
      <c r="G43" s="8">
        <f t="shared" si="8"/>
        <v>1.0515474967972804</v>
      </c>
      <c r="H43" s="13" t="s">
        <v>70</v>
      </c>
      <c r="I43" s="9">
        <v>8</v>
      </c>
      <c r="J43" s="9">
        <v>9</v>
      </c>
      <c r="K43" s="9">
        <v>10</v>
      </c>
      <c r="L43" s="9">
        <v>10</v>
      </c>
      <c r="M43" s="9">
        <v>10</v>
      </c>
      <c r="N43" s="9">
        <v>11</v>
      </c>
      <c r="O43" s="9">
        <v>12</v>
      </c>
      <c r="P43" s="9">
        <v>13</v>
      </c>
      <c r="Q43" s="9">
        <v>17</v>
      </c>
      <c r="R43" s="9">
        <v>17</v>
      </c>
      <c r="S43" s="9">
        <v>20</v>
      </c>
      <c r="T43" s="9">
        <v>23</v>
      </c>
      <c r="U43" s="9">
        <v>27</v>
      </c>
      <c r="V43" s="9">
        <v>29</v>
      </c>
      <c r="W43" s="9">
        <v>36</v>
      </c>
      <c r="X43" s="9">
        <v>40</v>
      </c>
      <c r="Y43" s="9">
        <v>42</v>
      </c>
      <c r="Z43" s="9">
        <v>42</v>
      </c>
      <c r="AA43" s="9">
        <v>46</v>
      </c>
      <c r="AB43" s="9">
        <v>50</v>
      </c>
      <c r="AC43" s="9">
        <v>52</v>
      </c>
      <c r="AD43" s="9">
        <v>54</v>
      </c>
    </row>
    <row r="44" spans="1:33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Greece</v>
      </c>
      <c r="D44" s="6">
        <f t="shared" si="7"/>
        <v>53</v>
      </c>
      <c r="E44" s="6">
        <f>IF(COUNTIF(I44:XFD44,"&gt;"&amp;0)=0,,HLOOKUP(COUNTIF(I44:XFD44,"&gt;"&amp;0)-1,I$1:XFD44,A44+1,FALSE))</f>
        <v>53</v>
      </c>
      <c r="F44" s="7">
        <f>IF(COUNTIF(I44:XFD44,"&gt;"&amp;0)=0,,HLOOKUP(COUNTIF(I44:XFD44,"&gt;"&amp;0)-MIN($F$1+1,COUNTIF(I44:XFD44,"&gt;"&amp;0)),I$1:XFD44,A44+1,FALSE))</f>
        <v>32</v>
      </c>
      <c r="G44" s="8">
        <f t="shared" si="8"/>
        <v>1.1061784111380584</v>
      </c>
      <c r="H44" s="13" t="s">
        <v>83</v>
      </c>
      <c r="I44" s="9">
        <v>13</v>
      </c>
      <c r="J44" s="9">
        <v>15</v>
      </c>
      <c r="K44" s="9">
        <v>17</v>
      </c>
      <c r="L44" s="9">
        <v>20</v>
      </c>
      <c r="M44" s="9">
        <v>22</v>
      </c>
      <c r="N44" s="9">
        <v>26</v>
      </c>
      <c r="O44" s="9">
        <v>28</v>
      </c>
      <c r="P44" s="9">
        <v>32</v>
      </c>
      <c r="Q44" s="9">
        <v>38</v>
      </c>
      <c r="R44" s="9">
        <v>43</v>
      </c>
      <c r="S44" s="9">
        <v>49</v>
      </c>
      <c r="T44" s="9">
        <v>50</v>
      </c>
      <c r="U44" s="9">
        <v>53</v>
      </c>
    </row>
    <row r="45" spans="1:33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Norway</v>
      </c>
      <c r="D45" s="6">
        <f t="shared" si="7"/>
        <v>50</v>
      </c>
      <c r="E45" s="6">
        <f>IF(COUNTIF(I45:XFD45,"&gt;"&amp;0)=0,,HLOOKUP(COUNTIF(I45:XFD45,"&gt;"&amp;0)-1,I$1:XFD45,A45+1,FALSE))</f>
        <v>50</v>
      </c>
      <c r="F45" s="7">
        <f>IF(COUNTIF(I45:XFD45,"&gt;"&amp;0)=0,,HLOOKUP(COUNTIF(I45:XFD45,"&gt;"&amp;0)-MIN($F$1+1,COUNTIF(I45:XFD45,"&gt;"&amp;0)),I$1:XFD45,A45+1,FALSE))</f>
        <v>23</v>
      </c>
      <c r="G45" s="8">
        <f t="shared" si="8"/>
        <v>1.1680150363375013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</row>
    <row r="46" spans="1:33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Malaysia</v>
      </c>
      <c r="D46" s="6">
        <f t="shared" si="7"/>
        <v>50</v>
      </c>
      <c r="E46" s="6">
        <f>IF(COUNTIF(I46:XFD46,"&gt;"&amp;0)=0,,HLOOKUP(COUNTIF(I46:XFD46,"&gt;"&amp;0)-1,I$1:XFD46,A46+1,FALSE))</f>
        <v>50</v>
      </c>
      <c r="F46" s="7">
        <f>IF(COUNTIF(I46:XFD46,"&gt;"&amp;0)=0,,HLOOKUP(COUNTIF(I46:XFD46,"&gt;"&amp;0)-MIN($F$1+1,COUNTIF(I46:XFD46,"&gt;"&amp;0)),I$1:XFD46,A46+1,FALSE))</f>
        <v>27</v>
      </c>
      <c r="G46" s="8">
        <f t="shared" si="8"/>
        <v>1.1311527300905295</v>
      </c>
      <c r="H46" s="13" t="s">
        <v>43</v>
      </c>
      <c r="I46" s="9">
        <v>10</v>
      </c>
      <c r="J46" s="9">
        <v>14</v>
      </c>
      <c r="K46" s="9">
        <v>16</v>
      </c>
      <c r="L46" s="9">
        <v>20</v>
      </c>
      <c r="M46" s="9">
        <v>23</v>
      </c>
      <c r="N46" s="9">
        <v>26</v>
      </c>
      <c r="O46" s="9">
        <v>27</v>
      </c>
      <c r="P46" s="9">
        <v>35</v>
      </c>
      <c r="Q46" s="9">
        <v>37</v>
      </c>
      <c r="R46" s="9">
        <v>43</v>
      </c>
      <c r="S46" s="9">
        <v>45</v>
      </c>
      <c r="T46" s="9">
        <v>50</v>
      </c>
    </row>
    <row r="47" spans="1:33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Czechia</v>
      </c>
      <c r="D47" s="6">
        <f t="shared" si="7"/>
        <v>44</v>
      </c>
      <c r="E47" s="6">
        <f>IF(COUNTIF(I47:XFD47,"&gt;"&amp;0)=0,,HLOOKUP(COUNTIF(I47:XFD47,"&gt;"&amp;0)-1,I$1:XFD47,A47+1,FALSE))</f>
        <v>44</v>
      </c>
      <c r="F47" s="7">
        <f>IF(COUNTIF(I47:XFD47,"&gt;"&amp;0)=0,,HLOOKUP(COUNTIF(I47:XFD47,"&gt;"&amp;0)-MIN($F$1+1,COUNTIF(I47:XFD47,"&gt;"&amp;0)),I$1:XFD47,A47+1,FALSE))</f>
        <v>11</v>
      </c>
      <c r="G47" s="8">
        <f t="shared" si="8"/>
        <v>1.3195079107728942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  <c r="O47" s="9">
        <v>39</v>
      </c>
      <c r="P47" s="9">
        <v>44</v>
      </c>
    </row>
    <row r="48" spans="1:33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Morocco</v>
      </c>
      <c r="D48" s="6">
        <f t="shared" si="7"/>
        <v>44</v>
      </c>
      <c r="E48" s="6">
        <f>IF(COUNTIF(I48:XFD48,"&gt;"&amp;0)=0,,HLOOKUP(COUNTIF(I48:XFD48,"&gt;"&amp;0)-1,I$1:XFD48,A48+1,FALSE))</f>
        <v>44</v>
      </c>
      <c r="F48" s="7">
        <f>IF(COUNTIF(I48:XFD48,"&gt;"&amp;0)=0,,HLOOKUP(COUNTIF(I48:XFD48,"&gt;"&amp;0)-MIN($F$1+1,COUNTIF(I48:XFD48,"&gt;"&amp;0)),I$1:XFD48,A48+1,FALSE))</f>
        <v>25</v>
      </c>
      <c r="G48" s="8">
        <f t="shared" si="8"/>
        <v>1.1197022052804315</v>
      </c>
      <c r="H48" s="13" t="s">
        <v>112</v>
      </c>
      <c r="I48" s="9">
        <v>11</v>
      </c>
      <c r="J48" s="9">
        <v>23</v>
      </c>
      <c r="K48" s="9">
        <v>25</v>
      </c>
      <c r="L48" s="9">
        <v>26</v>
      </c>
      <c r="M48" s="9">
        <v>33</v>
      </c>
      <c r="N48" s="9">
        <v>36</v>
      </c>
      <c r="O48" s="9">
        <v>39</v>
      </c>
      <c r="P48" s="9">
        <v>44</v>
      </c>
    </row>
    <row r="49" spans="1:24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Mexico</v>
      </c>
      <c r="D49" s="6">
        <f t="shared" si="7"/>
        <v>37</v>
      </c>
      <c r="E49" s="6">
        <f>IF(COUNTIF(I49:XFD49,"&gt;"&amp;0)=0,,HLOOKUP(COUNTIF(I49:XFD49,"&gt;"&amp;0)-1,I$1:XFD49,A49+1,FALSE))</f>
        <v>37</v>
      </c>
      <c r="F49" s="7">
        <f>IF(COUNTIF(I49:XFD49,"&gt;"&amp;0)=0,,HLOOKUP(COUNTIF(I49:XFD49,"&gt;"&amp;0)-MIN($F$1+1,COUNTIF(I49:XFD49,"&gt;"&amp;0)),I$1:XFD49,A49+1,FALSE))</f>
        <v>12</v>
      </c>
      <c r="G49" s="8">
        <f t="shared" si="8"/>
        <v>1.2525760272967901</v>
      </c>
      <c r="H49" s="13" t="s">
        <v>94</v>
      </c>
      <c r="I49" s="9">
        <v>8</v>
      </c>
      <c r="J49" s="9">
        <v>12</v>
      </c>
      <c r="K49" s="9">
        <v>16</v>
      </c>
      <c r="L49" s="9">
        <v>20</v>
      </c>
      <c r="M49" s="9">
        <v>28</v>
      </c>
      <c r="N49" s="9">
        <v>29</v>
      </c>
      <c r="O49" s="9">
        <v>37</v>
      </c>
    </row>
    <row r="50" spans="1:24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Israel</v>
      </c>
      <c r="D50" s="6">
        <f t="shared" si="7"/>
        <v>36</v>
      </c>
      <c r="E50" s="6">
        <f>IF(COUNTIF(I50:XFD50,"&gt;"&amp;0)=0,,HLOOKUP(COUNTIF(I50:XFD50,"&gt;"&amp;0)-1,I$1:XFD50,A50+1,FALSE))</f>
        <v>36</v>
      </c>
      <c r="F50" s="7">
        <f>IF(COUNTIF(I50:XFD50,"&gt;"&amp;0)=0,,HLOOKUP(COUNTIF(I50:XFD50,"&gt;"&amp;0)-MIN($F$1+1,COUNTIF(I50:XFD50,"&gt;"&amp;0)),I$1:XFD50,A50+1,FALSE))</f>
        <v>12</v>
      </c>
      <c r="G50" s="8">
        <f t="shared" si="8"/>
        <v>1.2457309396155174</v>
      </c>
      <c r="H50" s="13" t="s">
        <v>79</v>
      </c>
      <c r="I50" s="9">
        <v>8</v>
      </c>
      <c r="J50" s="9">
        <v>12</v>
      </c>
      <c r="K50" s="9">
        <v>12</v>
      </c>
      <c r="L50" s="9">
        <v>15</v>
      </c>
      <c r="M50" s="9">
        <v>16</v>
      </c>
      <c r="N50" s="9">
        <v>20</v>
      </c>
      <c r="O50" s="9">
        <v>26</v>
      </c>
      <c r="P50" s="9">
        <v>36</v>
      </c>
    </row>
    <row r="51" spans="1:24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Argentina</v>
      </c>
      <c r="D51" s="6">
        <f t="shared" si="7"/>
        <v>36</v>
      </c>
      <c r="E51" s="6">
        <f>IF(COUNTIF(I51:XFD51,"&gt;"&amp;0)=0,,HLOOKUP(COUNTIF(I51:XFD51,"&gt;"&amp;0)-1,I$1:XFD51,A51+1,FALSE))</f>
        <v>36</v>
      </c>
      <c r="F51" s="7">
        <f>IF(COUNTIF(I51:XFD51,"&gt;"&amp;0)=0,,HLOOKUP(COUNTIF(I51:XFD51,"&gt;"&amp;0)-MIN($F$1+1,COUNTIF(I51:XFD51,"&gt;"&amp;0)),I$1:XFD51,A51+1,FALSE))</f>
        <v>18</v>
      </c>
      <c r="G51" s="8">
        <f t="shared" si="8"/>
        <v>1.1486983549970351</v>
      </c>
      <c r="H51" s="13" t="s">
        <v>123</v>
      </c>
      <c r="I51" s="9">
        <v>8</v>
      </c>
      <c r="J51" s="9">
        <v>9</v>
      </c>
      <c r="K51" s="9">
        <v>13</v>
      </c>
      <c r="L51" s="9">
        <v>18</v>
      </c>
      <c r="M51" s="9">
        <v>19</v>
      </c>
      <c r="N51" s="9">
        <v>23</v>
      </c>
      <c r="O51" s="9">
        <v>27</v>
      </c>
      <c r="P51" s="9">
        <v>28</v>
      </c>
      <c r="Q51" s="9">
        <v>36</v>
      </c>
    </row>
    <row r="52" spans="1:24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Pakistan</v>
      </c>
      <c r="D52" s="6">
        <f t="shared" si="7"/>
        <v>34</v>
      </c>
      <c r="E52" s="6">
        <f>IF(COUNTIF(I52:XFD52,"&gt;"&amp;0)=0,,HLOOKUP(COUNTIF(I52:XFD52,"&gt;"&amp;0)-1,I$1:XFD52,A52+1,FALSE))</f>
        <v>34</v>
      </c>
      <c r="F52" s="7">
        <f>IF(COUNTIF(I52:XFD52,"&gt;"&amp;0)=0,,HLOOKUP(COUNTIF(I52:XFD52,"&gt;"&amp;0)-MIN($F$1+1,COUNTIF(I52:XFD52,"&gt;"&amp;0)),I$1:XFD52,A52+1,FALSE))</f>
        <v>12</v>
      </c>
      <c r="G52" s="8">
        <f t="shared" si="8"/>
        <v>1.231571227570561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</row>
    <row r="53" spans="1:24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Panama</v>
      </c>
      <c r="D53" s="6">
        <f t="shared" si="7"/>
        <v>32</v>
      </c>
      <c r="E53" s="6">
        <f>IF(COUNTIF(I53:XFD53,"&gt;"&amp;0)=0,,HLOOKUP(COUNTIF(I53:XFD53,"&gt;"&amp;0)-1,I$1:XFD53,A53+1,FALSE))</f>
        <v>32</v>
      </c>
      <c r="F53" s="7">
        <f>IF(COUNTIF(I53:XFD53,"&gt;"&amp;0)=0,,HLOOKUP(COUNTIF(I53:XFD53,"&gt;"&amp;0)-MIN($F$1+1,COUNTIF(I53:XFD53,"&gt;"&amp;0)),I$1:XFD53,A53+1,FALSE))</f>
        <v>14</v>
      </c>
      <c r="G53" s="8">
        <f t="shared" si="8"/>
        <v>1.1797891247127799</v>
      </c>
      <c r="H53" s="13" t="s">
        <v>283</v>
      </c>
      <c r="I53" s="9">
        <v>8</v>
      </c>
      <c r="J53" s="9">
        <v>8</v>
      </c>
      <c r="K53" s="9">
        <v>9</v>
      </c>
      <c r="L53" s="9">
        <v>14</v>
      </c>
      <c r="M53" s="9">
        <v>17</v>
      </c>
      <c r="N53" s="9">
        <v>24</v>
      </c>
      <c r="O53" s="9">
        <v>30</v>
      </c>
      <c r="P53" s="9">
        <v>30</v>
      </c>
      <c r="Q53" s="9">
        <v>32</v>
      </c>
    </row>
    <row r="54" spans="1:24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Serbia</v>
      </c>
      <c r="D54" s="6">
        <f t="shared" si="7"/>
        <v>31</v>
      </c>
      <c r="E54" s="6">
        <f>IF(COUNTIF(I54:XFD54,"&gt;"&amp;0)=0,,HLOOKUP(COUNTIF(I54:XFD54,"&gt;"&amp;0)-1,I$1:XFD54,A54+1,FALSE))</f>
        <v>31</v>
      </c>
      <c r="F54" s="7">
        <f>IF(COUNTIF(I54:XFD54,"&gt;"&amp;0)=0,,HLOOKUP(COUNTIF(I54:XFD54,"&gt;"&amp;0)-MIN($F$1+1,COUNTIF(I54:XFD54,"&gt;"&amp;0)),I$1:XFD54,A54+1,FALSE))</f>
        <v>10</v>
      </c>
      <c r="G54" s="8">
        <f t="shared" si="8"/>
        <v>1.2539272451403496</v>
      </c>
      <c r="H54" s="13" t="s">
        <v>161</v>
      </c>
      <c r="I54" s="9">
        <v>10</v>
      </c>
      <c r="J54" s="9">
        <v>13</v>
      </c>
      <c r="K54" s="9">
        <v>16</v>
      </c>
      <c r="L54" s="9">
        <v>16</v>
      </c>
      <c r="M54" s="9">
        <v>28</v>
      </c>
      <c r="N54" s="9">
        <v>31</v>
      </c>
    </row>
    <row r="55" spans="1:24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San Marino</v>
      </c>
      <c r="D55" s="6">
        <f t="shared" si="7"/>
        <v>30</v>
      </c>
      <c r="E55" s="6">
        <f>IF(COUNTIF(I55:XFD55,"&gt;"&amp;0)=0,,HLOOKUP(COUNTIF(I55:XFD55,"&gt;"&amp;0)-1,I$1:XFD55,A55+1,FALSE))</f>
        <v>30</v>
      </c>
      <c r="F55" s="7">
        <f>IF(COUNTIF(I55:XFD55,"&gt;"&amp;0)=0,,HLOOKUP(COUNTIF(I55:XFD55,"&gt;"&amp;0)-MIN($F$1+1,COUNTIF(I55:XFD55,"&gt;"&amp;0)),I$1:XFD55,A55+1,FALSE))</f>
        <v>22</v>
      </c>
      <c r="G55" s="8">
        <f t="shared" si="8"/>
        <v>1.0639953128150836</v>
      </c>
      <c r="H55" s="13" t="s">
        <v>90</v>
      </c>
      <c r="I55" s="9">
        <v>11</v>
      </c>
      <c r="J55" s="9">
        <v>11</v>
      </c>
      <c r="K55" s="9">
        <v>14</v>
      </c>
      <c r="L55" s="9">
        <v>20</v>
      </c>
      <c r="M55" s="9">
        <v>20</v>
      </c>
      <c r="N55" s="9">
        <v>20</v>
      </c>
      <c r="O55" s="9">
        <v>21</v>
      </c>
      <c r="P55" s="9">
        <v>21</v>
      </c>
      <c r="Q55" s="9">
        <v>21</v>
      </c>
      <c r="R55" s="9">
        <v>21</v>
      </c>
      <c r="S55" s="9">
        <v>22</v>
      </c>
      <c r="T55" s="9">
        <v>22</v>
      </c>
      <c r="U55" s="9">
        <v>25</v>
      </c>
      <c r="V55" s="9">
        <v>26</v>
      </c>
      <c r="W55" s="9">
        <v>26</v>
      </c>
      <c r="X55" s="9">
        <v>30</v>
      </c>
    </row>
    <row r="56" spans="1:24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Russia</v>
      </c>
      <c r="D56" s="6">
        <f t="shared" si="7"/>
        <v>30</v>
      </c>
      <c r="E56" s="6">
        <f>IF(COUNTIF(I56:XFD56,"&gt;"&amp;0)=0,,HLOOKUP(COUNTIF(I56:XFD56,"&gt;"&amp;0)-1,I$1:XFD56,A56+1,FALSE))</f>
        <v>30</v>
      </c>
      <c r="F56" s="7">
        <f>IF(COUNTIF(I56:XFD56,"&gt;"&amp;0)=0,,HLOOKUP(COUNTIF(I56:XFD56,"&gt;"&amp;0)-MIN($F$1+1,COUNTIF(I56:XFD56,"&gt;"&amp;0)),I$1:XFD56,A56+1,FALSE))</f>
        <v>8</v>
      </c>
      <c r="G56" s="8">
        <f t="shared" si="8"/>
        <v>1.3915788418568704</v>
      </c>
      <c r="H56" s="13" t="s">
        <v>344</v>
      </c>
      <c r="I56" s="9">
        <v>8</v>
      </c>
      <c r="J56" s="9">
        <v>9</v>
      </c>
      <c r="K56" s="9">
        <v>17</v>
      </c>
      <c r="L56" s="9">
        <v>24</v>
      </c>
      <c r="M56" s="9">
        <v>30</v>
      </c>
    </row>
    <row r="57" spans="1:24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Luxembourg</v>
      </c>
      <c r="D57" s="6">
        <f t="shared" si="7"/>
        <v>30</v>
      </c>
      <c r="E57" s="6">
        <f>IF(COUNTIF(I57:XFD57,"&gt;"&amp;0)=0,,HLOOKUP(COUNTIF(I57:XFD57,"&gt;"&amp;0)-1,I$1:XFD57,A57+1,FALSE))</f>
        <v>30</v>
      </c>
      <c r="F57" s="7">
        <f>IF(COUNTIF(I57:XFD57,"&gt;"&amp;0)=0,,HLOOKUP(COUNTIF(I57:XFD57,"&gt;"&amp;0)-MIN($F$1+1,COUNTIF(I57:XFD57,"&gt;"&amp;0)),I$1:XFD57,A57+1,FALSE))</f>
        <v>18</v>
      </c>
      <c r="G57" s="8">
        <f t="shared" si="8"/>
        <v>1.1075663432482901</v>
      </c>
      <c r="H57" s="13" t="s">
        <v>99</v>
      </c>
      <c r="I57" s="9">
        <v>8</v>
      </c>
      <c r="J57" s="9">
        <v>8</v>
      </c>
      <c r="K57" s="9">
        <v>8</v>
      </c>
      <c r="L57" s="9">
        <v>8</v>
      </c>
      <c r="M57" s="9">
        <v>8</v>
      </c>
      <c r="N57" s="9">
        <v>9</v>
      </c>
      <c r="O57" s="9">
        <v>15</v>
      </c>
      <c r="P57" s="9">
        <v>18</v>
      </c>
      <c r="Q57" s="9">
        <v>21</v>
      </c>
      <c r="R57" s="9">
        <v>22</v>
      </c>
      <c r="S57" s="9">
        <v>23</v>
      </c>
      <c r="T57" s="9">
        <v>29</v>
      </c>
      <c r="U57" s="9">
        <v>30</v>
      </c>
    </row>
    <row r="58" spans="1:24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Australia</v>
      </c>
      <c r="D58" s="6">
        <f t="shared" si="7"/>
        <v>24</v>
      </c>
      <c r="E58" s="6">
        <f>IF(COUNTIF(I58:XFD58,"&gt;"&amp;0)=0,,HLOOKUP(COUNTIF(I58:XFD58,"&gt;"&amp;0)-1,I$1:XFD58,A58+1,FALSE))</f>
        <v>24</v>
      </c>
      <c r="F58" s="7">
        <f>IF(COUNTIF(I58:XFD58,"&gt;"&amp;0)=0,,HLOOKUP(COUNTIF(I58:XFD58,"&gt;"&amp;0)-MIN($F$1+1,COUNTIF(I58:XFD58,"&gt;"&amp;0)),I$1:XFD58,A58+1,FALSE))</f>
        <v>14</v>
      </c>
      <c r="G58" s="8">
        <f t="shared" si="8"/>
        <v>1.1138241786028791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  <c r="R58" s="9">
        <v>24</v>
      </c>
    </row>
    <row r="59" spans="1:24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Ukraine</v>
      </c>
      <c r="D59" s="6">
        <f t="shared" si="7"/>
        <v>22</v>
      </c>
      <c r="E59" s="6">
        <f>IF(COUNTIF(I59:XFD59,"&gt;"&amp;0)=0,,HLOOKUP(COUNTIF(I59:XFD59,"&gt;"&amp;0)-1,I$1:XFD59,A59+1,FALSE))</f>
        <v>22</v>
      </c>
      <c r="F59" s="7">
        <f>IF(COUNTIF(I59:XFD59,"&gt;"&amp;0)=0,,HLOOKUP(COUNTIF(I59:XFD59,"&gt;"&amp;0)-MIN($F$1+1,COUNTIF(I59:XFD59,"&gt;"&amp;0)),I$1:XFD59,A59+1,FALSE))</f>
        <v>9</v>
      </c>
      <c r="G59" s="8">
        <f t="shared" si="8"/>
        <v>1.1957380086320961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  <c r="M59" s="9">
        <v>20</v>
      </c>
      <c r="N59" s="9">
        <v>22</v>
      </c>
    </row>
    <row r="60" spans="1:24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Saudi Arabia</v>
      </c>
      <c r="D60" s="6">
        <f t="shared" si="7"/>
        <v>21</v>
      </c>
      <c r="E60" s="6">
        <f>IF(COUNTIF(I60:XFD60,"&gt;"&amp;0)=0,,HLOOKUP(COUNTIF(I60:XFD60,"&gt;"&amp;0)-1,I$1:XFD60,A60+1,FALSE))</f>
        <v>21</v>
      </c>
      <c r="F60" s="7">
        <f>IF(COUNTIF(I60:XFD60,"&gt;"&amp;0)=0,,HLOOKUP(COUNTIF(I60:XFD60,"&gt;"&amp;0)-MIN($F$1+1,COUNTIF(I60:XFD60,"&gt;"&amp;0)),I$1:XFD60,A60+1,FALSE))</f>
        <v>8</v>
      </c>
      <c r="G60" s="8">
        <f t="shared" si="8"/>
        <v>1.2728649475109153</v>
      </c>
      <c r="H60" s="13" t="s">
        <v>113</v>
      </c>
      <c r="I60" s="9">
        <v>8</v>
      </c>
      <c r="J60" s="9">
        <v>8</v>
      </c>
      <c r="K60" s="9">
        <v>10</v>
      </c>
      <c r="L60" s="9">
        <v>16</v>
      </c>
      <c r="M60" s="9">
        <v>21</v>
      </c>
    </row>
    <row r="61" spans="1:24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Hungary</v>
      </c>
      <c r="D61" s="6">
        <f t="shared" si="7"/>
        <v>21</v>
      </c>
      <c r="E61" s="6">
        <f>IF(COUNTIF(I61:XFD61,"&gt;"&amp;0)=0,,HLOOKUP(COUNTIF(I61:XFD61,"&gt;"&amp;0)-1,I$1:XFD61,A61+1,FALSE))</f>
        <v>21</v>
      </c>
      <c r="F61" s="7">
        <f>IF(COUNTIF(I61:XFD61,"&gt;"&amp;0)=0,,HLOOKUP(COUNTIF(I61:XFD61,"&gt;"&amp;0)-MIN($F$1+1,COUNTIF(I61:XFD61,"&gt;"&amp;0)),I$1:XFD61,A61+1,FALSE))</f>
        <v>11</v>
      </c>
      <c r="G61" s="8">
        <f t="shared" si="8"/>
        <v>1.1380604263098537</v>
      </c>
      <c r="H61" s="13" t="s">
        <v>132</v>
      </c>
      <c r="I61" s="9">
        <v>9</v>
      </c>
      <c r="J61" s="9">
        <v>10</v>
      </c>
      <c r="K61" s="9">
        <v>10</v>
      </c>
      <c r="L61" s="9">
        <v>10</v>
      </c>
      <c r="M61" s="9">
        <v>11</v>
      </c>
      <c r="N61" s="9">
        <v>13</v>
      </c>
      <c r="O61" s="9">
        <v>15</v>
      </c>
      <c r="P61" s="9">
        <v>16</v>
      </c>
      <c r="Q61" s="9">
        <v>20</v>
      </c>
      <c r="R61" s="9">
        <v>21</v>
      </c>
    </row>
    <row r="62" spans="1:24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Finland</v>
      </c>
      <c r="D62" s="6">
        <f t="shared" si="7"/>
        <v>19</v>
      </c>
      <c r="E62" s="6">
        <f>IF(COUNTIF(I62:XFD62,"&gt;"&amp;0)=0,,HLOOKUP(COUNTIF(I62:XFD62,"&gt;"&amp;0)-1,I$1:XFD62,A62+1,FALSE))</f>
        <v>19</v>
      </c>
      <c r="F62" s="7">
        <f>IF(COUNTIF(I62:XFD62,"&gt;"&amp;0)=0,,HLOOKUP(COUNTIF(I62:XFD62,"&gt;"&amp;0)-MIN($F$1+1,COUNTIF(I62:XFD62,"&gt;"&amp;0)),I$1:XFD62,A62+1,FALSE))</f>
        <v>9</v>
      </c>
      <c r="G62" s="8">
        <f t="shared" si="8"/>
        <v>1.1611871423331621</v>
      </c>
      <c r="H62" s="13" t="s">
        <v>54</v>
      </c>
      <c r="I62" s="9">
        <v>9</v>
      </c>
      <c r="J62" s="9">
        <v>11</v>
      </c>
      <c r="K62" s="9">
        <v>13</v>
      </c>
      <c r="L62" s="9">
        <v>17</v>
      </c>
      <c r="M62" s="9">
        <v>17</v>
      </c>
      <c r="N62" s="9">
        <v>19</v>
      </c>
    </row>
    <row r="63" spans="1:24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Colombia</v>
      </c>
      <c r="D63" s="6">
        <f t="shared" si="7"/>
        <v>19</v>
      </c>
      <c r="E63" s="6">
        <f>IF(COUNTIF(I63:XFD63,"&gt;"&amp;0)=0,,HLOOKUP(COUNTIF(I63:XFD63,"&gt;"&amp;0)-1,I$1:XFD63,A63+1,FALSE))</f>
        <v>19</v>
      </c>
      <c r="F63" s="7">
        <f>IF(COUNTIF(I63:XFD63,"&gt;"&amp;0)=0,,HLOOKUP(COUNTIF(I63:XFD63,"&gt;"&amp;0)-MIN($F$1+1,COUNTIF(I63:XFD63,"&gt;"&amp;0)),I$1:XFD63,A63+1,FALSE))</f>
        <v>10</v>
      </c>
      <c r="G63" s="8">
        <f t="shared" si="8"/>
        <v>1.1740548859440185</v>
      </c>
      <c r="H63" s="13" t="s">
        <v>158</v>
      </c>
      <c r="I63" s="9">
        <v>10</v>
      </c>
      <c r="J63" s="9">
        <v>12</v>
      </c>
      <c r="K63" s="9">
        <v>16</v>
      </c>
      <c r="L63" s="9">
        <v>17</v>
      </c>
      <c r="M63" s="9">
        <v>19</v>
      </c>
    </row>
    <row r="64" spans="1:24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Chile</v>
      </c>
      <c r="D64" s="6">
        <f t="shared" si="7"/>
        <v>18</v>
      </c>
      <c r="E64" s="6">
        <f>IF(COUNTIF(I64:XFD64,"&gt;"&amp;0)=0,,HLOOKUP(COUNTIF(I64:XFD64,"&gt;"&amp;0)-1,I$1:XFD64,A64+1,FALSE))</f>
        <v>18</v>
      </c>
      <c r="F64" s="7">
        <f>IF(COUNTIF(I64:XFD64,"&gt;"&amp;0)=0,,HLOOKUP(COUNTIF(I64:XFD64,"&gt;"&amp;0)-MIN($F$1+1,COUNTIF(I64:XFD64,"&gt;"&amp;0)),I$1:XFD64,A64+1,FALSE))</f>
        <v>8</v>
      </c>
      <c r="G64" s="8">
        <f t="shared" si="8"/>
        <v>1.3103706971044482</v>
      </c>
      <c r="H64" s="13" t="s">
        <v>124</v>
      </c>
      <c r="I64" s="9">
        <v>8</v>
      </c>
      <c r="J64" s="9">
        <v>12</v>
      </c>
      <c r="K64" s="9">
        <v>16</v>
      </c>
      <c r="L64" s="9">
        <v>18</v>
      </c>
    </row>
    <row r="65" spans="1:15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Slovenia</v>
      </c>
      <c r="D65" s="6">
        <f t="shared" si="7"/>
        <v>17</v>
      </c>
      <c r="E65" s="6">
        <f>IF(COUNTIF(I65:XFD65,"&gt;"&amp;0)=0,,HLOOKUP(COUNTIF(I65:XFD65,"&gt;"&amp;0)-1,I$1:XFD65,A65+1,FALSE))</f>
        <v>17</v>
      </c>
      <c r="F65" s="7">
        <f>IF(COUNTIF(I65:XFD65,"&gt;"&amp;0)=0,,HLOOKUP(COUNTIF(I65:XFD65,"&gt;"&amp;0)-MIN($F$1+1,COUNTIF(I65:XFD65,"&gt;"&amp;0)),I$1:XFD65,A65+1,FALSE))</f>
        <v>9</v>
      </c>
      <c r="G65" s="8">
        <f t="shared" si="8"/>
        <v>1.1356415724960776</v>
      </c>
      <c r="H65" s="13" t="s">
        <v>141</v>
      </c>
      <c r="I65" s="9">
        <v>9</v>
      </c>
      <c r="J65" s="9">
        <v>9</v>
      </c>
      <c r="K65" s="9">
        <v>11</v>
      </c>
      <c r="L65" s="9">
        <v>11</v>
      </c>
      <c r="M65" s="9">
        <v>15</v>
      </c>
      <c r="N65" s="9">
        <v>15</v>
      </c>
      <c r="O65" s="9">
        <v>17</v>
      </c>
    </row>
    <row r="66" spans="1:15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Lebanon</v>
      </c>
      <c r="D66" s="6">
        <f t="shared" si="7"/>
        <v>16</v>
      </c>
      <c r="E66" s="6">
        <f>IF(COUNTIF(I66:XFD66,"&gt;"&amp;0)=0,,HLOOKUP(COUNTIF(I66:XFD66,"&gt;"&amp;0)-1,I$1:XFD66,A66+1,FALSE))</f>
        <v>16</v>
      </c>
      <c r="F66" s="7">
        <f>IF(COUNTIF(I66:XFD66,"&gt;"&amp;0)=0,,HLOOKUP(COUNTIF(I66:XFD66,"&gt;"&amp;0)-MIN($F$1+1,COUNTIF(I66:XFD66,"&gt;"&amp;0)),I$1:XFD66,A66+1,FALSE))</f>
        <v>8</v>
      </c>
      <c r="G66" s="8">
        <f t="shared" si="8"/>
        <v>1.1486983549970351</v>
      </c>
      <c r="H66" s="13" t="s">
        <v>67</v>
      </c>
      <c r="I66" s="9">
        <v>8</v>
      </c>
      <c r="J66" s="9">
        <v>8</v>
      </c>
      <c r="K66" s="9">
        <v>10</v>
      </c>
      <c r="L66" s="9">
        <v>11</v>
      </c>
      <c r="M66" s="9">
        <v>12</v>
      </c>
      <c r="N66" s="9">
        <v>14</v>
      </c>
      <c r="O66" s="9">
        <v>16</v>
      </c>
    </row>
    <row r="67" spans="1:15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Albania</v>
      </c>
      <c r="D67" s="6">
        <f t="shared" si="7"/>
        <v>16</v>
      </c>
      <c r="E67" s="6">
        <f>IF(COUNTIF(I67:XFD67,"&gt;"&amp;0)=0,,HLOOKUP(COUNTIF(I67:XFD67,"&gt;"&amp;0)-1,I$1:XFD67,A67+1,FALSE))</f>
        <v>16</v>
      </c>
      <c r="F67" s="7">
        <f>IF(COUNTIF(I67:XFD67,"&gt;"&amp;0)=0,,HLOOKUP(COUNTIF(I67:XFD67,"&gt;"&amp;0)-MIN($F$1+1,COUNTIF(I67:XFD67,"&gt;"&amp;0)),I$1:XFD67,A67+1,FALSE))</f>
        <v>10</v>
      </c>
      <c r="G67" s="8">
        <f t="shared" si="8"/>
        <v>1.0985605433061179</v>
      </c>
      <c r="H67" s="13" t="s">
        <v>230</v>
      </c>
      <c r="I67" s="9">
        <v>8</v>
      </c>
      <c r="J67" s="9">
        <v>10</v>
      </c>
      <c r="K67" s="9">
        <v>10</v>
      </c>
      <c r="L67" s="9">
        <v>11</v>
      </c>
      <c r="M67" s="9">
        <v>15</v>
      </c>
      <c r="N67" s="9">
        <v>15</v>
      </c>
      <c r="O67" s="9">
        <v>16</v>
      </c>
    </row>
    <row r="68" spans="1:15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Bosnia and Herzegovina</v>
      </c>
      <c r="D68" s="6">
        <f t="shared" si="7"/>
        <v>16</v>
      </c>
      <c r="E68" s="6">
        <f>IF(COUNTIF(I68:XFD68,"&gt;"&amp;0)=0,,HLOOKUP(COUNTIF(I68:XFD68,"&gt;"&amp;0)-1,I$1:XFD68,A68+1,FALSE))</f>
        <v>16</v>
      </c>
      <c r="F68" s="7">
        <f>IF(COUNTIF(I68:XFD68,"&gt;"&amp;0)=0,,HLOOKUP(COUNTIF(I68:XFD68,"&gt;"&amp;0)-MIN($F$1+1,COUNTIF(I68:XFD68,"&gt;"&amp;0)),I$1:XFD68,A68+1,FALSE))</f>
        <v>10</v>
      </c>
      <c r="G68" s="8">
        <f t="shared" si="8"/>
        <v>1.1696070952851465</v>
      </c>
      <c r="H68" s="13" t="s">
        <v>140</v>
      </c>
      <c r="I68" s="9">
        <v>10</v>
      </c>
      <c r="J68" s="9">
        <v>13</v>
      </c>
      <c r="K68" s="9">
        <v>13</v>
      </c>
      <c r="L68" s="9">
        <v>16</v>
      </c>
    </row>
    <row r="69" spans="1:15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Burkina Faso</v>
      </c>
      <c r="D69" s="6">
        <f t="shared" si="7"/>
        <v>16</v>
      </c>
      <c r="E69" s="6">
        <f>IF(COUNTIF(I69:XFD69,"&gt;"&amp;0)=0,,HLOOKUP(COUNTIF(I69:XFD69,"&gt;"&amp;0)-1,I$1:XFD69,A69+1,FALSE))</f>
        <v>16</v>
      </c>
      <c r="F69" s="7">
        <f>IF(COUNTIF(I69:XFD69,"&gt;"&amp;0)=0,,HLOOKUP(COUNTIF(I69:XFD69,"&gt;"&amp;0)-MIN($F$1+1,COUNTIF(I69:XFD69,"&gt;"&amp;0)),I$1:XFD69,A69+1,FALSE))</f>
        <v>11</v>
      </c>
      <c r="G69" s="8">
        <f t="shared" si="8"/>
        <v>1.0778180677127258</v>
      </c>
      <c r="H69" s="13" t="s">
        <v>279</v>
      </c>
      <c r="I69" s="9">
        <v>9</v>
      </c>
      <c r="J69" s="9">
        <v>11</v>
      </c>
      <c r="K69" s="9">
        <v>12</v>
      </c>
      <c r="L69" s="9">
        <v>12</v>
      </c>
      <c r="M69" s="9">
        <v>14</v>
      </c>
      <c r="N69" s="9">
        <v>16</v>
      </c>
      <c r="O69" s="9">
        <v>16</v>
      </c>
    </row>
    <row r="70" spans="1:15" x14ac:dyDescent="0.25">
      <c r="A70" s="9">
        <f t="shared" ref="A70:A133" si="9">A69+1</f>
        <v>69</v>
      </c>
      <c r="B70" s="9">
        <f t="array" ref="B70">IF(C70="",0,IF(OR(C70=Country_Comparison!$S$10:$S$29),1,0))</f>
        <v>0</v>
      </c>
      <c r="C70" s="9" t="str">
        <f t="shared" ref="C70:C133" si="10">IF(H70="","",H70)</f>
        <v>Thailand</v>
      </c>
      <c r="D70" s="6">
        <f t="shared" ref="D70:D133" si="11">MAX(I70:BD70)</f>
        <v>15</v>
      </c>
      <c r="E70" s="6">
        <f>IF(COUNTIF(I70:XFD70,"&gt;"&amp;0)=0,,HLOOKUP(COUNTIF(I70:XFD70,"&gt;"&amp;0)-1,I$1:XFD70,A70+1,FALSE))</f>
        <v>15</v>
      </c>
      <c r="F70" s="7">
        <f>IF(COUNTIF(I70:XFD70,"&gt;"&amp;0)=0,,HLOOKUP(COUNTIF(I70:XFD70,"&gt;"&amp;0)-MIN($F$1+1,COUNTIF(I70:XFD70,"&gt;"&amp;0)),I$1:XFD70,A70+1,FALSE))</f>
        <v>9</v>
      </c>
      <c r="G70" s="8">
        <f t="shared" ref="G70:G133" si="12">IF(COUNTIF(I70:XFD70,"&gt;"&amp;0)=0,,(E70/F70)^(1/MIN(COUNTIF(I70:XFD70,"&gt;"&amp;0)-1,$F$1)))</f>
        <v>1.1856311014966876</v>
      </c>
      <c r="H70" s="13" t="s">
        <v>35</v>
      </c>
      <c r="I70" s="9">
        <v>9</v>
      </c>
      <c r="J70" s="9">
        <v>10</v>
      </c>
      <c r="K70" s="9">
        <v>12</v>
      </c>
      <c r="L70" s="9">
        <v>15</v>
      </c>
    </row>
    <row r="71" spans="1:15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10"/>
        <v>Andorra</v>
      </c>
      <c r="D71" s="6">
        <f t="shared" si="11"/>
        <v>15</v>
      </c>
      <c r="E71" s="6">
        <f>IF(COUNTIF(I71:XFD71,"&gt;"&amp;0)=0,,HLOOKUP(COUNTIF(I71:XFD71,"&gt;"&amp;0)-1,I$1:XFD71,A71+1,FALSE))</f>
        <v>15</v>
      </c>
      <c r="F71" s="7">
        <f>IF(COUNTIF(I71:XFD71,"&gt;"&amp;0)=0,,HLOOKUP(COUNTIF(I71:XFD71,"&gt;"&amp;0)-MIN($F$1+1,COUNTIF(I71:XFD71,"&gt;"&amp;0)),I$1:XFD71,A71+1,FALSE))</f>
        <v>8</v>
      </c>
      <c r="G71" s="8">
        <f t="shared" si="12"/>
        <v>1.2331060371652349</v>
      </c>
      <c r="H71" s="13" t="s">
        <v>109</v>
      </c>
      <c r="I71" s="9">
        <v>8</v>
      </c>
      <c r="J71" s="9">
        <v>12</v>
      </c>
      <c r="K71" s="9">
        <v>14</v>
      </c>
      <c r="L71" s="9">
        <v>15</v>
      </c>
    </row>
    <row r="72" spans="1:15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10"/>
        <v>Tunisia</v>
      </c>
      <c r="D72" s="6">
        <f t="shared" si="11"/>
        <v>14</v>
      </c>
      <c r="E72" s="6">
        <f>IF(COUNTIF(I72:XFD72,"&gt;"&amp;0)=0,,HLOOKUP(COUNTIF(I72:XFD72,"&gt;"&amp;0)-1,I$1:XFD72,A72+1,FALSE))</f>
        <v>14</v>
      </c>
      <c r="F72" s="7">
        <f>IF(COUNTIF(I72:XFD72,"&gt;"&amp;0)=0,,HLOOKUP(COUNTIF(I72:XFD72,"&gt;"&amp;0)-MIN($F$1+1,COUNTIF(I72:XFD72,"&gt;"&amp;0)),I$1:XFD72,A72+1,FALSE))</f>
        <v>8</v>
      </c>
      <c r="G72" s="8">
        <f t="shared" si="12"/>
        <v>1.1184269147201447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  <c r="M72" s="9">
        <v>12</v>
      </c>
      <c r="N72" s="9">
        <v>14</v>
      </c>
    </row>
    <row r="73" spans="1:15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10"/>
        <v>Honduras</v>
      </c>
      <c r="D73" s="6">
        <f t="shared" si="11"/>
        <v>14</v>
      </c>
      <c r="E73" s="6">
        <f>IF(COUNTIF(I73:XFD73,"&gt;"&amp;0)=0,,HLOOKUP(COUNTIF(I73:XFD73,"&gt;"&amp;0)-1,I$1:XFD73,A73+1,FALSE))</f>
        <v>14</v>
      </c>
      <c r="F73" s="7">
        <f>IF(COUNTIF(I73:XFD73,"&gt;"&amp;0)=0,,HLOOKUP(COUNTIF(I73:XFD73,"&gt;"&amp;0)-MIN($F$1+1,COUNTIF(I73:XFD73,"&gt;"&amp;0)),I$1:XFD73,A73+1,FALSE))</f>
        <v>10</v>
      </c>
      <c r="G73" s="8">
        <f t="shared" si="12"/>
        <v>1.4</v>
      </c>
      <c r="H73" s="13" t="s">
        <v>348</v>
      </c>
      <c r="I73" s="9">
        <v>10</v>
      </c>
      <c r="J73" s="9">
        <v>14</v>
      </c>
    </row>
    <row r="74" spans="1:15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10"/>
        <v>Congo (Kinshasa)</v>
      </c>
      <c r="D74" s="6">
        <f t="shared" si="11"/>
        <v>13</v>
      </c>
      <c r="E74" s="6">
        <f>IF(COUNTIF(I74:XFD74,"&gt;"&amp;0)=0,,HLOOKUP(COUNTIF(I74:XFD74,"&gt;"&amp;0)-1,I$1:XFD74,A74+1,FALSE))</f>
        <v>13</v>
      </c>
      <c r="F74" s="7">
        <f>IF(COUNTIF(I74:XFD74,"&gt;"&amp;0)=0,,HLOOKUP(COUNTIF(I74:XFD74,"&gt;"&amp;0)-MIN($F$1+1,COUNTIF(I74:XFD74,"&gt;"&amp;0)),I$1:XFD74,A74+1,FALSE))</f>
        <v>8</v>
      </c>
      <c r="G74" s="8">
        <f t="shared" si="12"/>
        <v>1.1756673438603789</v>
      </c>
      <c r="H74" s="13" t="s">
        <v>351</v>
      </c>
      <c r="I74" s="9">
        <v>8</v>
      </c>
      <c r="J74" s="9">
        <v>8</v>
      </c>
      <c r="K74" s="9">
        <v>9</v>
      </c>
      <c r="L74" s="9">
        <v>13</v>
      </c>
    </row>
    <row r="75" spans="1:15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10"/>
        <v>Estonia</v>
      </c>
      <c r="D75" s="6">
        <f t="shared" si="11"/>
        <v>11</v>
      </c>
      <c r="E75" s="6">
        <f>IF(COUNTIF(I75:XFD75,"&gt;"&amp;0)=0,,HLOOKUP(COUNTIF(I75:XFD75,"&gt;"&amp;0)-1,I$1:XFD75,A75+1,FALSE))</f>
        <v>11</v>
      </c>
      <c r="F75" s="7">
        <f>IF(COUNTIF(I75:XFD75,"&gt;"&amp;0)=0,,HLOOKUP(COUNTIF(I75:XFD75,"&gt;"&amp;0)-MIN($F$1+1,COUNTIF(I75:XFD75,"&gt;"&amp;0)),I$1:XFD75,A75+1,FALSE))</f>
        <v>11</v>
      </c>
      <c r="G75" s="8" t="e">
        <f t="shared" si="12"/>
        <v>#DIV/0!</v>
      </c>
      <c r="H75" s="13" t="s">
        <v>88</v>
      </c>
      <c r="I75" s="9">
        <v>11</v>
      </c>
    </row>
    <row r="76" spans="1:15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10"/>
        <v>North Macedonia</v>
      </c>
      <c r="D76" s="6">
        <f t="shared" si="11"/>
        <v>11</v>
      </c>
      <c r="E76" s="6">
        <f>IF(COUNTIF(I76:XFD76,"&gt;"&amp;0)=0,,HLOOKUP(COUNTIF(I76:XFD76,"&gt;"&amp;0)-1,I$1:XFD76,A76+1,FALSE))</f>
        <v>11</v>
      </c>
      <c r="F76" s="7">
        <f>IF(COUNTIF(I76:XFD76,"&gt;"&amp;0)=0,,HLOOKUP(COUNTIF(I76:XFD76,"&gt;"&amp;0)-MIN($F$1+1,COUNTIF(I76:XFD76,"&gt;"&amp;0)),I$1:XFD76,A76+1,FALSE))</f>
        <v>9</v>
      </c>
      <c r="G76" s="8">
        <f t="shared" si="12"/>
        <v>1.1055415967851334</v>
      </c>
      <c r="H76" s="13" t="s">
        <v>84</v>
      </c>
      <c r="I76" s="9">
        <v>9</v>
      </c>
      <c r="J76" s="9">
        <v>11</v>
      </c>
      <c r="K76" s="9">
        <v>11</v>
      </c>
    </row>
    <row r="77" spans="1:15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10"/>
        <v>Bulgaria</v>
      </c>
      <c r="D77" s="6">
        <f t="shared" si="11"/>
        <v>10</v>
      </c>
      <c r="E77" s="6">
        <f>IF(COUNTIF(I77:XFD77,"&gt;"&amp;0)=0,,HLOOKUP(COUNTIF(I77:XFD77,"&gt;"&amp;0)-1,I$1:XFD77,A77+1,FALSE))</f>
        <v>10</v>
      </c>
      <c r="F77" s="7">
        <f>IF(COUNTIF(I77:XFD77,"&gt;"&amp;0)=0,,HLOOKUP(COUNTIF(I77:XFD77,"&gt;"&amp;0)-MIN($F$1+1,COUNTIF(I77:XFD77,"&gt;"&amp;0)),I$1:XFD77,A77+1,FALSE))</f>
        <v>8</v>
      </c>
      <c r="G77" s="8">
        <f t="shared" si="12"/>
        <v>1.0573712634405641</v>
      </c>
      <c r="H77" s="13" t="s">
        <v>199</v>
      </c>
      <c r="I77" s="9">
        <v>8</v>
      </c>
      <c r="J77" s="9">
        <v>8</v>
      </c>
      <c r="K77" s="9">
        <v>8</v>
      </c>
      <c r="L77" s="9">
        <v>10</v>
      </c>
      <c r="M77" s="9">
        <v>10</v>
      </c>
    </row>
    <row r="78" spans="1:15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10"/>
        <v>Cyprus</v>
      </c>
      <c r="D78" s="6">
        <f t="shared" si="11"/>
        <v>10</v>
      </c>
      <c r="E78" s="6">
        <f>IF(COUNTIF(I78:XFD78,"&gt;"&amp;0)=0,,HLOOKUP(COUNTIF(I78:XFD78,"&gt;"&amp;0)-1,I$1:XFD78,A78+1,FALSE))</f>
        <v>10</v>
      </c>
      <c r="F78" s="7">
        <f>IF(COUNTIF(I78:XFD78,"&gt;"&amp;0)=0,,HLOOKUP(COUNTIF(I78:XFD78,"&gt;"&amp;0)-MIN($F$1+1,COUNTIF(I78:XFD78,"&gt;"&amp;0)),I$1:XFD78,A78+1,FALSE))</f>
        <v>8</v>
      </c>
      <c r="G78" s="8">
        <f t="shared" si="12"/>
        <v>1.1180339887498949</v>
      </c>
      <c r="H78" s="13" t="s">
        <v>231</v>
      </c>
      <c r="I78" s="9">
        <v>8</v>
      </c>
      <c r="J78" s="9">
        <v>9</v>
      </c>
      <c r="K78" s="9">
        <v>10</v>
      </c>
    </row>
    <row r="79" spans="1:15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10"/>
        <v>Lithuania</v>
      </c>
      <c r="D79" s="6">
        <f t="shared" si="11"/>
        <v>9</v>
      </c>
      <c r="E79" s="6">
        <f>IF(COUNTIF(I79:XFD79,"&gt;"&amp;0)=0,,HLOOKUP(COUNTIF(I79:XFD79,"&gt;"&amp;0)-1,I$1:XFD79,A79+1,FALSE))</f>
        <v>9</v>
      </c>
      <c r="F79" s="7">
        <f>IF(COUNTIF(I79:XFD79,"&gt;"&amp;0)=0,,HLOOKUP(COUNTIF(I79:XFD79,"&gt;"&amp;0)-MIN($F$1+1,COUNTIF(I79:XFD79,"&gt;"&amp;0)),I$1:XFD79,A79+1,FALSE))</f>
        <v>8</v>
      </c>
      <c r="G79" s="8">
        <f t="shared" si="12"/>
        <v>1.0606601717798212</v>
      </c>
      <c r="H79" s="13" t="s">
        <v>93</v>
      </c>
      <c r="I79" s="9">
        <v>8</v>
      </c>
      <c r="J79" s="9">
        <v>8</v>
      </c>
      <c r="K79" s="9">
        <v>9</v>
      </c>
    </row>
    <row r="80" spans="1:15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10"/>
        <v>United Arab Emirates</v>
      </c>
      <c r="D80" s="6">
        <f t="shared" si="11"/>
        <v>8</v>
      </c>
      <c r="E80" s="6">
        <f>IF(COUNTIF(I80:XFD80,"&gt;"&amp;0)=0,,HLOOKUP(COUNTIF(I80:XFD80,"&gt;"&amp;0)-1,I$1:XFD80,A80+1,FALSE))</f>
        <v>8</v>
      </c>
      <c r="F80" s="7">
        <f>IF(COUNTIF(I80:XFD80,"&gt;"&amp;0)=0,,HLOOKUP(COUNTIF(I80:XFD80,"&gt;"&amp;0)-MIN($F$1+1,COUNTIF(I80:XFD80,"&gt;"&amp;0)),I$1:XFD80,A80+1,FALSE))</f>
        <v>8</v>
      </c>
      <c r="G80" s="8">
        <f t="shared" si="12"/>
        <v>1</v>
      </c>
      <c r="H80" s="13" t="s">
        <v>55</v>
      </c>
      <c r="I80" s="9">
        <v>8</v>
      </c>
      <c r="J80" s="9">
        <v>8</v>
      </c>
    </row>
    <row r="81" spans="1:9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10"/>
        <v>Bolivia</v>
      </c>
      <c r="D81" s="6">
        <f t="shared" si="11"/>
        <v>8</v>
      </c>
      <c r="E81" s="6">
        <f>IF(COUNTIF(I81:XFD81,"&gt;"&amp;0)=0,,HLOOKUP(COUNTIF(I81:XFD81,"&gt;"&amp;0)-1,I$1:XFD81,A81+1,FALSE))</f>
        <v>8</v>
      </c>
      <c r="F81" s="7">
        <f>IF(COUNTIF(I81:XFD81,"&gt;"&amp;0)=0,,HLOOKUP(COUNTIF(I81:XFD81,"&gt;"&amp;0)-MIN($F$1+1,COUNTIF(I81:XFD81,"&gt;"&amp;0)),I$1:XFD81,A81+1,FALSE))</f>
        <v>8</v>
      </c>
      <c r="G81" s="8" t="e">
        <f t="shared" si="12"/>
        <v>#DIV/0!</v>
      </c>
      <c r="H81" s="13" t="s">
        <v>346</v>
      </c>
      <c r="I81" s="9">
        <v>8</v>
      </c>
    </row>
    <row r="82" spans="1:9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10"/>
        <v/>
      </c>
      <c r="D82" s="6">
        <f t="shared" si="11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2"/>
        <v>0</v>
      </c>
    </row>
    <row r="83" spans="1:9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10"/>
        <v/>
      </c>
      <c r="D83" s="6">
        <f t="shared" si="11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2"/>
        <v>0</v>
      </c>
    </row>
    <row r="84" spans="1:9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10"/>
        <v/>
      </c>
      <c r="D84" s="6">
        <f t="shared" si="11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2"/>
        <v>0</v>
      </c>
    </row>
    <row r="85" spans="1:9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10"/>
        <v/>
      </c>
      <c r="D85" s="6">
        <f t="shared" si="11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2"/>
        <v>0</v>
      </c>
    </row>
    <row r="86" spans="1:9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10"/>
        <v/>
      </c>
      <c r="D86" s="6">
        <f t="shared" si="11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2"/>
        <v>0</v>
      </c>
    </row>
    <row r="87" spans="1:9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10"/>
        <v/>
      </c>
      <c r="D87" s="6">
        <f t="shared" si="11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2"/>
        <v>0</v>
      </c>
    </row>
    <row r="88" spans="1:9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10"/>
        <v/>
      </c>
      <c r="D88" s="6">
        <f t="shared" si="11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2"/>
        <v>0</v>
      </c>
    </row>
    <row r="89" spans="1:9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9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9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9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9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9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9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9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ref="A134:A197" si="13">A133+1</f>
        <v>133</v>
      </c>
      <c r="B134" s="9">
        <f t="array" ref="B134">IF(C134="",0,IF(OR(C134=Country_Comparison!$S$10:$S$29),1,0))</f>
        <v>0</v>
      </c>
      <c r="C134" s="9" t="str">
        <f t="shared" ref="C134:C197" si="14">IF(H134="","",H134)</f>
        <v/>
      </c>
      <c r="D134" s="6">
        <f t="shared" ref="D134:D197" si="15"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IF(C135="",0,IF(OR(C135=Country_Comparison!$S$10:$S$29),1,0))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IF(C136="",0,IF(OR(C136=Country_Comparison!$S$10:$S$29),1,0))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IF(C137="",0,IF(OR(C137=Country_Comparison!$S$10:$S$29),1,0))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IF(C138="",0,IF(OR(C138=Country_Comparison!$S$10:$S$29),1,0))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IF(C139="",0,IF(OR(C139=Country_Comparison!$S$10:$S$29),1,0))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IF(C140="",0,IF(OR(C140=Country_Comparison!$S$10:$S$29),1,0))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IF(C141="",0,IF(OR(C141=Country_Comparison!$S$10:$S$29),1,0))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IF(C142="",0,IF(OR(C142=Country_Comparison!$S$10:$S$29),1,0))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IF(C143="",0,IF(OR(C143=Country_Comparison!$S$10:$S$29),1,0))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IF(C144="",0,IF(OR(C144=Country_Comparison!$S$10:$S$29),1,0))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IF(C145="",0,IF(OR(C145=Country_Comparison!$S$10:$S$29),1,0))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IF(C146="",0,IF(OR(C146=Country_Comparison!$S$10:$S$29),1,0))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IF(C147="",0,IF(OR(C147=Country_Comparison!$S$10:$S$29),1,0))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IF(C148="",0,IF(OR(C148=Country_Comparison!$S$10:$S$29),1,0))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IF(C149="",0,IF(OR(C149=Country_Comparison!$S$10:$S$29),1,0))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IF(C150="",0,IF(OR(C150=Country_Comparison!$S$10:$S$29),1,0))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IF(C151="",0,IF(OR(C151=Country_Comparison!$S$10:$S$29),1,0))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IF(C152="",0,IF(OR(C152=Country_Comparison!$S$10:$S$29),1,0))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IF(C153="",0,IF(OR(C153=Country_Comparison!$S$10:$S$29),1,0))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IF(C154="",0,IF(OR(C154=Country_Comparison!$S$10:$S$29),1,0))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IF(C155="",0,IF(OR(C155=Country_Comparison!$S$10:$S$29),1,0))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IF(C156="",0,IF(OR(C156=Country_Comparison!$S$10:$S$29),1,0))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IF(C157="",0,IF(OR(C157=Country_Comparison!$S$10:$S$29),1,0))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IF(C158="",0,IF(OR(C158=Country_Comparison!$S$10:$S$29),1,0))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IF(C159="",0,IF(OR(C159=Country_Comparison!$S$10:$S$29),1,0))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IF(C160="",0,IF(OR(C160=Country_Comparison!$S$10:$S$29),1,0))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IF(C161="",0,IF(OR(C161=Country_Comparison!$S$10:$S$29),1,0))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IF(C162="",0,IF(OR(C162=Country_Comparison!$S$10:$S$29),1,0))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IF(C163="",0,IF(OR(C163=Country_Comparison!$S$10:$S$29),1,0))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IF(C164="",0,IF(OR(C164=Country_Comparison!$S$10:$S$29),1,0))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IF(C165="",0,IF(OR(C165=Country_Comparison!$S$10:$S$29),1,0))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IF(C166="",0,IF(OR(C166=Country_Comparison!$S$10:$S$29),1,0))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IF(C167="",0,IF(OR(C167=Country_Comparison!$S$10:$S$29),1,0))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IF(C168="",0,IF(OR(C168=Country_Comparison!$S$10:$S$29),1,0))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IF(C169="",0,IF(OR(C169=Country_Comparison!$S$10:$S$29),1,0))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IF(C170="",0,IF(OR(C170=Country_Comparison!$S$10:$S$29),1,0))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IF(C171="",0,IF(OR(C171=Country_Comparison!$S$10:$S$29),1,0))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IF(C172="",0,IF(OR(C172=Country_Comparison!$S$10:$S$29),1,0))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IF(C173="",0,IF(OR(C173=Country_Comparison!$S$10:$S$29),1,0))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IF(C174="",0,IF(OR(C174=Country_Comparison!$S$10:$S$29),1,0))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IF(C175="",0,IF(OR(C175=Country_Comparison!$S$10:$S$29),1,0))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IF(C176="",0,IF(OR(C176=Country_Comparison!$S$10:$S$29),1,0))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IF(C177="",0,IF(OR(C177=Country_Comparison!$S$10:$S$29),1,0))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IF(C178="",0,IF(OR(C178=Country_Comparison!$S$10:$S$29),1,0))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IF(C179="",0,IF(OR(C179=Country_Comparison!$S$10:$S$29),1,0))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IF(C180="",0,IF(OR(C180=Country_Comparison!$S$10:$S$29),1,0))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IF(C181="",0,IF(OR(C181=Country_Comparison!$S$10:$S$29),1,0))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IF(C182="",0,IF(OR(C182=Country_Comparison!$S$10:$S$29),1,0))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IF(C183="",0,IF(OR(C183=Country_Comparison!$S$10:$S$29),1,0))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IF(C184="",0,IF(OR(C184=Country_Comparison!$S$10:$S$29),1,0))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IF(C185="",0,IF(OR(C185=Country_Comparison!$S$10:$S$29),1,0))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IF(C186="",0,IF(OR(C186=Country_Comparison!$S$10:$S$29),1,0))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IF(C187="",0,IF(OR(C187=Country_Comparison!$S$10:$S$29),1,0))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IF(C188="",0,IF(OR(C188=Country_Comparison!$S$10:$S$29),1,0))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IF(C189="",0,IF(OR(C189=Country_Comparison!$S$10:$S$29),1,0))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IF(C190="",0,IF(OR(C190=Country_Comparison!$S$10:$S$29),1,0))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IF(C191="",0,IF(OR(C191=Country_Comparison!$S$10:$S$29),1,0))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IF(C192="",0,IF(OR(C192=Country_Comparison!$S$10:$S$29),1,0))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IF(C193="",0,IF(OR(C193=Country_Comparison!$S$10:$S$29),1,0))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IF(C194="",0,IF(OR(C194=Country_Comparison!$S$10:$S$29),1,0))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IF(C195="",0,IF(OR(C195=Country_Comparison!$S$10:$S$29),1,0))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IF(C196="",0,IF(OR(C196=Country_Comparison!$S$10:$S$29),1,0))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si="13"/>
        <v>196</v>
      </c>
      <c r="B197" s="9">
        <f t="array" ref="B197">IF(C197="",0,IF(OR(C197=Country_Comparison!$S$10:$S$29),1,0))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ref="A198:A200" si="17">A197+1</f>
        <v>197</v>
      </c>
      <c r="B198" s="9">
        <f t="array" ref="B198">IF(C198="",0,IF(OR(C198=Country_Comparison!$S$10:$S$29),1,0))</f>
        <v>0</v>
      </c>
      <c r="C198" s="9" t="str">
        <f t="shared" ref="C198:C200" si="18">IF(H198="","",H198)</f>
        <v/>
      </c>
      <c r="D198" s="6">
        <f t="shared" ref="D198:D200" si="19"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IF(C199="",0,IF(OR(C199=Country_Comparison!$S$10:$S$29),1,0))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IF(C200="",0,IF(OR(C200=Country_Comparison!$S$10:$S$29),1,0))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45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569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570</v>
      </c>
      <c r="P1" s="52" t="s">
        <v>571</v>
      </c>
      <c r="Q1" s="52" t="s">
        <v>605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82432</v>
      </c>
      <c r="G2" s="41">
        <f>MAX(CumulativeDead!2:2)</f>
        <v>3322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4.0299883540372672E-2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606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115242</v>
      </c>
      <c r="G3" s="41">
        <f>MAX(CumulativeDead!3:3)</f>
        <v>13915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0.12074590860970827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607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50468</v>
      </c>
      <c r="G4" s="41">
        <f>MAX(CumulativeDead!4:4)</f>
        <v>3160</v>
      </c>
      <c r="J4" s="41">
        <v>83992949</v>
      </c>
      <c r="K4" s="52">
        <v>0</v>
      </c>
      <c r="L4" s="41">
        <v>0</v>
      </c>
      <c r="M4" s="69">
        <f t="shared" si="0"/>
        <v>6.2613933581675524E-2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608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9976</v>
      </c>
      <c r="G5" s="41">
        <f>MAX(CumulativeDead!5:5)</f>
        <v>169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1.6940657578187652E-2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606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112065</v>
      </c>
      <c r="G6" s="41">
        <f>MAX(CumulativeDead!6:6)</f>
        <v>10348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9.233926738946148E-2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607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84794</v>
      </c>
      <c r="G7" s="41">
        <f>MAX(CumulativeDead!7:7)</f>
        <v>1107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1.3055168997806449E-2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607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59929</v>
      </c>
      <c r="G8" s="41">
        <f>MAX(CumulativeDead!8:8)</f>
        <v>5398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9.0073253349797266E-2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607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243453</v>
      </c>
      <c r="G9" s="41">
        <f>MAX(CumulativeDead!9:9)</f>
        <v>5926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2.4341453997280788E-2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609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18827</v>
      </c>
      <c r="G10" s="41">
        <f>MAX(CumulativeDead!10:10)</f>
        <v>536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2.8469750889679714E-2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607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5147</v>
      </c>
      <c r="G11" s="41">
        <f>MAX(CumulativeDead!11:11)</f>
        <v>50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9.7143967359626972E-3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607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5568</v>
      </c>
      <c r="G12" s="41">
        <f>MAX(CumulativeDead!12:12)</f>
        <v>308</v>
      </c>
      <c r="J12" s="41">
        <v>10099265</v>
      </c>
      <c r="K12" s="52">
        <v>5.8</v>
      </c>
      <c r="L12" s="41">
        <v>585.75736999999992</v>
      </c>
      <c r="M12" s="69">
        <f t="shared" si="0"/>
        <v>5.531609195402299E-2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607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3573</v>
      </c>
      <c r="G13" s="41">
        <f>MAX(CumulativeDead!13:13)</f>
        <v>123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3.4424853064651553E-2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607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14788</v>
      </c>
      <c r="G14" s="41">
        <f>MAX(CumulativeDead!14:14)</f>
        <v>1341</v>
      </c>
      <c r="J14" s="41">
        <v>17134872</v>
      </c>
      <c r="K14" s="52">
        <v>0</v>
      </c>
      <c r="L14" s="41">
        <v>0</v>
      </c>
      <c r="M14" s="69">
        <f t="shared" si="0"/>
        <v>9.0681633757100352E-2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607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34173</v>
      </c>
      <c r="G15" s="41">
        <f>MAX(CumulativeDead!15:15)</f>
        <v>2926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8.5623152781435632E-2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607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2495</v>
      </c>
      <c r="G16" s="41">
        <f>MAX(CumulativeDead!16:16)</f>
        <v>62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2.4849699398797595E-2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606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15348</v>
      </c>
      <c r="G18" s="41">
        <f>MAX(CumulativeDead!18:18)</f>
        <v>1011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6.5871774824081311E-2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607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11129</v>
      </c>
      <c r="G19" s="41">
        <f>MAX(CumulativeDead!19:19)</f>
        <v>158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1.4197142600413335E-2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607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949</v>
      </c>
      <c r="G20" s="41">
        <f>MAX(CumulativeDead!20:20)</f>
        <v>3</v>
      </c>
      <c r="J20" s="41">
        <v>2881053</v>
      </c>
      <c r="K20" s="52">
        <v>0</v>
      </c>
      <c r="L20" s="41">
        <v>0</v>
      </c>
      <c r="M20" s="69">
        <f t="shared" si="0"/>
        <v>3.1612223393045311E-3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608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5116</v>
      </c>
      <c r="G21" s="41">
        <f>MAX(CumulativeDead!21:21)</f>
        <v>24</v>
      </c>
      <c r="J21" s="41">
        <v>25499884</v>
      </c>
      <c r="K21" s="52">
        <v>0</v>
      </c>
      <c r="L21" s="41">
        <v>0</v>
      </c>
      <c r="M21" s="69">
        <f t="shared" si="0"/>
        <v>4.6911649726348714E-3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612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1049</v>
      </c>
      <c r="G22" s="41">
        <f>MAX(CumulativeDead!22:22)</f>
        <v>4</v>
      </c>
      <c r="J22" s="41">
        <v>5850342</v>
      </c>
      <c r="K22" s="52">
        <v>0</v>
      </c>
      <c r="L22" s="41">
        <v>0</v>
      </c>
      <c r="M22" s="69">
        <f t="shared" si="0"/>
        <v>3.8131553860819827E-3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606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3116</v>
      </c>
      <c r="G23" s="41">
        <f>MAX(CumulativeDead!23:23)</f>
        <v>50</v>
      </c>
      <c r="J23" s="41">
        <v>32365999</v>
      </c>
      <c r="K23" s="52">
        <v>0</v>
      </c>
      <c r="L23" s="41">
        <v>0</v>
      </c>
      <c r="M23" s="69">
        <f t="shared" si="0"/>
        <v>1.6046213093709884E-2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606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11284</v>
      </c>
      <c r="G24" s="41">
        <f>MAX(CumulativeDead!24:24)</f>
        <v>139</v>
      </c>
      <c r="J24" s="41">
        <v>37742154</v>
      </c>
      <c r="K24" s="52">
        <v>0</v>
      </c>
      <c r="L24" s="41">
        <v>0</v>
      </c>
      <c r="M24" s="69">
        <f t="shared" si="0"/>
        <v>1.2318326834455866E-2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609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1544</v>
      </c>
      <c r="G25" s="41">
        <f>MAX(CumulativeDead!25:25)</f>
        <v>53</v>
      </c>
      <c r="J25" s="41">
        <v>10423054</v>
      </c>
      <c r="K25" s="52">
        <v>6</v>
      </c>
      <c r="L25" s="41">
        <v>625.38324</v>
      </c>
      <c r="M25" s="69">
        <f t="shared" si="0"/>
        <v>3.4326424870466318E-2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607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643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6.2208398133748056E-3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608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6857</v>
      </c>
      <c r="G27" s="41">
        <f>MAX(CumulativeDead!27:27)</f>
        <v>36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5.2501093772786937E-3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608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1518</v>
      </c>
      <c r="G28" s="41">
        <f>MAX(CumulativeDead!28:28)</f>
        <v>19</v>
      </c>
      <c r="J28" s="41">
        <v>5540720</v>
      </c>
      <c r="K28" s="52">
        <v>6.1</v>
      </c>
      <c r="L28" s="41">
        <v>337.98392000000001</v>
      </c>
      <c r="M28" s="69">
        <f t="shared" si="0"/>
        <v>1.2516469038208168E-2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607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8044</v>
      </c>
      <c r="G29" s="41">
        <f>MAX(CumulativeDead!29:29)</f>
        <v>324</v>
      </c>
      <c r="J29" s="41">
        <v>212559417</v>
      </c>
      <c r="K29" s="52">
        <v>0</v>
      </c>
      <c r="L29" s="41">
        <v>0</v>
      </c>
      <c r="M29" s="69">
        <f t="shared" si="0"/>
        <v>4.0278468423669819E-2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610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3858</v>
      </c>
      <c r="G30" s="41">
        <f>MAX(CumulativeDead!30:30)</f>
        <v>44</v>
      </c>
      <c r="J30" s="41">
        <v>10708981</v>
      </c>
      <c r="K30" s="52">
        <v>11.6</v>
      </c>
      <c r="L30" s="41">
        <v>1242.241796</v>
      </c>
      <c r="M30" s="69">
        <f t="shared" si="0"/>
        <v>1.1404872991187144E-2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607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897</v>
      </c>
      <c r="G31" s="41">
        <f>MAX(CumulativeDead!31:31)</f>
        <v>17</v>
      </c>
      <c r="J31" s="41">
        <v>2078938</v>
      </c>
      <c r="K31" s="52">
        <v>6.4</v>
      </c>
      <c r="L31" s="41">
        <v>133.05203200000003</v>
      </c>
      <c r="M31" s="69">
        <f t="shared" si="0"/>
        <v>1.89520624303233E-2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607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1319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3.7907505686125853E-3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607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9034</v>
      </c>
      <c r="G33" s="41">
        <f>MAX(CumulativeDead!33:33)</f>
        <v>209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2.3134823998228912E-2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607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772</v>
      </c>
      <c r="G34" s="41">
        <f>MAX(CumulativeDead!34:34)</f>
        <v>54</v>
      </c>
      <c r="J34" s="41">
        <v>40222493</v>
      </c>
      <c r="K34" s="52">
        <v>0</v>
      </c>
      <c r="L34" s="41">
        <v>0</v>
      </c>
      <c r="M34" s="69">
        <f t="shared" ref="M34:M65" si="2">G34/F34</f>
        <v>6.9948186528497408E-2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608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3849</v>
      </c>
      <c r="G35" s="41">
        <f>MAX(CumulativeDead!35:35)</f>
        <v>98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2.5461158742530528E-2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607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2738</v>
      </c>
      <c r="G36" s="41">
        <f>MAX(CumulativeDead!36:36)</f>
        <v>115</v>
      </c>
      <c r="J36" s="41">
        <v>19237691</v>
      </c>
      <c r="K36" s="52">
        <v>21.4</v>
      </c>
      <c r="L36" s="41">
        <v>4116.8658740000001</v>
      </c>
      <c r="M36" s="69">
        <f t="shared" si="2"/>
        <v>4.2001460920379839E-2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607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1885</v>
      </c>
      <c r="G37" s="41">
        <f>MAX(CumulativeDead!37:37)</f>
        <v>21</v>
      </c>
      <c r="J37" s="41">
        <v>34813871</v>
      </c>
      <c r="K37" s="52">
        <v>0</v>
      </c>
      <c r="L37" s="41">
        <v>0</v>
      </c>
      <c r="M37" s="69">
        <f t="shared" si="2"/>
        <v>1.1140583554376658E-2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608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1024</v>
      </c>
      <c r="G38" s="41">
        <f>MAX(CumulativeDead!38:38)</f>
        <v>8</v>
      </c>
      <c r="J38" s="41">
        <v>9890402</v>
      </c>
      <c r="K38" s="52">
        <v>0</v>
      </c>
      <c r="L38" s="41">
        <v>0</v>
      </c>
      <c r="M38" s="69">
        <f t="shared" si="2"/>
        <v>7.8125E-3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608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2543</v>
      </c>
      <c r="G39" s="41">
        <f>MAX(CumulativeDead!39:39)</f>
        <v>72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2.8313016122689737E-2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606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865</v>
      </c>
      <c r="G40" s="41">
        <f>MAX(CumulativeDead!40:40)</f>
        <v>58</v>
      </c>
      <c r="J40" s="41">
        <v>102334404</v>
      </c>
      <c r="K40" s="52">
        <v>0</v>
      </c>
      <c r="L40" s="41">
        <v>0</v>
      </c>
      <c r="M40" s="69">
        <f t="shared" si="2"/>
        <v>6.7052023121387277E-2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611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342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608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245</v>
      </c>
      <c r="G42" s="41">
        <f>MAX(CumulativeDead!42:42)</f>
        <v>30</v>
      </c>
      <c r="J42" s="41">
        <v>33931</v>
      </c>
      <c r="K42" s="52">
        <v>0</v>
      </c>
      <c r="L42" s="41">
        <v>0</v>
      </c>
      <c r="M42" s="69">
        <f t="shared" si="2"/>
        <v>0.12244897959183673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607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858</v>
      </c>
      <c r="G43" s="41">
        <f>MAX(CumulativeDead!43:43)</f>
        <v>11</v>
      </c>
      <c r="J43" s="41">
        <v>1326535</v>
      </c>
      <c r="K43" s="52">
        <v>14.6</v>
      </c>
      <c r="L43" s="41">
        <v>193.67410999999998</v>
      </c>
      <c r="M43" s="69">
        <f t="shared" si="2"/>
        <v>1.282051282051282E-2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607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494</v>
      </c>
      <c r="G44" s="41">
        <f>MAX(CumulativeDead!44:44)</f>
        <v>16</v>
      </c>
      <c r="J44" s="41">
        <v>6825445</v>
      </c>
      <c r="K44" s="52">
        <v>0</v>
      </c>
      <c r="L44" s="41">
        <v>0</v>
      </c>
      <c r="M44" s="69">
        <f t="shared" si="2"/>
        <v>3.2388663967611336E-2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608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1875</v>
      </c>
      <c r="G45" s="41">
        <f>MAX(CumulativeDead!45:45)</f>
        <v>15</v>
      </c>
      <c r="J45" s="41">
        <v>69799978</v>
      </c>
      <c r="K45" s="52">
        <v>0</v>
      </c>
      <c r="L45" s="41">
        <v>0</v>
      </c>
      <c r="M45" s="69">
        <f t="shared" si="2"/>
        <v>8.0000000000000002E-3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606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1790</v>
      </c>
      <c r="G46" s="41">
        <f>MAX(CumulativeDead!46:46)</f>
        <v>170</v>
      </c>
      <c r="J46" s="41">
        <v>273523615</v>
      </c>
      <c r="K46" s="52">
        <v>0</v>
      </c>
      <c r="L46" s="41">
        <v>0</v>
      </c>
      <c r="M46" s="69">
        <f t="shared" si="2"/>
        <v>9.4972067039106142E-2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606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2946</v>
      </c>
      <c r="G47" s="41">
        <f>MAX(CumulativeDead!47:47)</f>
        <v>57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1.9348268839103868E-2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607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2633</v>
      </c>
      <c r="G48" s="41">
        <f>MAX(CumulativeDead!48:48)</f>
        <v>107</v>
      </c>
      <c r="J48" s="41">
        <v>109581078</v>
      </c>
      <c r="K48" s="52">
        <v>0</v>
      </c>
      <c r="L48" s="41">
        <v>0</v>
      </c>
      <c r="M48" s="69">
        <f t="shared" si="2"/>
        <v>4.063805545005697E-2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606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339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1.4749262536873156E-2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606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233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606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3548</v>
      </c>
      <c r="G51" s="41">
        <f>MAX(CumulativeDead!51:51)</f>
        <v>30</v>
      </c>
      <c r="J51" s="41">
        <v>145934462</v>
      </c>
      <c r="K51" s="52">
        <v>0</v>
      </c>
      <c r="L51" s="41">
        <v>0</v>
      </c>
      <c r="M51" s="69">
        <f t="shared" si="2"/>
        <v>8.4554678692220966E-3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606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3404</v>
      </c>
      <c r="G52" s="41">
        <f>MAX(CumulativeDead!52:52)</f>
        <v>18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5.2878965922444187E-3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610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133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7.5187969924812026E-3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606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1171</v>
      </c>
      <c r="G54" s="41">
        <f>MAX(CumulativeDead!54:54)</f>
        <v>31</v>
      </c>
      <c r="J54" s="41">
        <v>8737371</v>
      </c>
      <c r="K54" s="52" t="s">
        <v>511</v>
      </c>
      <c r="L54" s="41" t="e">
        <v>#VALUE!</v>
      </c>
      <c r="M54" s="69">
        <f t="shared" si="2"/>
        <v>2.6473099914602904E-2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607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2487</v>
      </c>
      <c r="G55" s="41">
        <f>MAX(CumulativeDead!55:55)</f>
        <v>30</v>
      </c>
      <c r="J55" s="41">
        <v>625978</v>
      </c>
      <c r="K55" s="52">
        <v>24.8</v>
      </c>
      <c r="L55" s="41">
        <v>155.24254400000001</v>
      </c>
      <c r="M55" s="69">
        <f t="shared" si="2"/>
        <v>1.2062726176115802E-2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607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277</v>
      </c>
      <c r="G56" s="41">
        <f>MAX(CumulativeDead!56:56)</f>
        <v>16</v>
      </c>
      <c r="J56" s="41">
        <v>2877797</v>
      </c>
      <c r="K56" s="52" t="s">
        <v>511</v>
      </c>
      <c r="L56" s="41" t="e">
        <v>#VALUE!</v>
      </c>
      <c r="M56" s="69">
        <f t="shared" si="2"/>
        <v>5.7761732851985562E-2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607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1011</v>
      </c>
      <c r="G57" s="41">
        <f>MAX(CumulativeDead!57:57)</f>
        <v>7</v>
      </c>
      <c r="J57" s="41">
        <v>4105267</v>
      </c>
      <c r="K57" s="52">
        <v>14.7</v>
      </c>
      <c r="L57" s="41">
        <v>603.47424899999999</v>
      </c>
      <c r="M57" s="69">
        <f t="shared" si="2"/>
        <v>6.923837784371909E-3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607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426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2.3474178403755869E-3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607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1133</v>
      </c>
      <c r="G59" s="41">
        <f>MAX(CumulativeDead!59:59)</f>
        <v>36</v>
      </c>
      <c r="J59" s="41">
        <v>45195774</v>
      </c>
      <c r="K59" s="52" t="s">
        <v>511</v>
      </c>
      <c r="L59" s="41" t="e">
        <v>#VALUE!</v>
      </c>
      <c r="M59" s="69">
        <f t="shared" si="2"/>
        <v>3.1774051191526917E-2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610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2421</v>
      </c>
      <c r="G60" s="41">
        <f>MAX(CumulativeDead!60:60)</f>
        <v>34</v>
      </c>
      <c r="J60" s="41">
        <v>220892340</v>
      </c>
      <c r="K60" s="52">
        <v>0</v>
      </c>
      <c r="L60" s="41">
        <v>0</v>
      </c>
      <c r="M60" s="69">
        <f t="shared" si="2"/>
        <v>1.4043783560512184E-2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606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1414</v>
      </c>
      <c r="G61" s="41">
        <f>MAX(CumulativeDead!61:61)</f>
        <v>55</v>
      </c>
      <c r="J61" s="41">
        <v>32971854</v>
      </c>
      <c r="K61" s="52">
        <v>0</v>
      </c>
      <c r="L61" s="41">
        <v>0</v>
      </c>
      <c r="M61" s="69">
        <f t="shared" si="2"/>
        <v>3.8896746817538894E-2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610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304</v>
      </c>
      <c r="G62" s="41">
        <f>MAX(CumulativeDead!62:62)</f>
        <v>4</v>
      </c>
      <c r="J62" s="41">
        <v>9449323</v>
      </c>
      <c r="K62" s="52" t="s">
        <v>511</v>
      </c>
      <c r="L62" s="41" t="e">
        <v>#VALUE!</v>
      </c>
      <c r="M62" s="69">
        <f t="shared" si="2"/>
        <v>1.3157894736842105E-2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607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1317</v>
      </c>
      <c r="G63" s="41">
        <f>MAX(CumulativeDead!63:63)</f>
        <v>32</v>
      </c>
      <c r="J63" s="41">
        <v>4314767</v>
      </c>
      <c r="K63" s="52" t="s">
        <v>511</v>
      </c>
      <c r="L63" s="41" t="e">
        <v>#VALUE!</v>
      </c>
      <c r="M63" s="69">
        <f t="shared" si="2"/>
        <v>2.4297646165527716E-2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609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986</v>
      </c>
      <c r="G64" s="41">
        <f>MAX(CumulativeDead!64:64)</f>
        <v>86</v>
      </c>
      <c r="J64" s="41">
        <v>43851044</v>
      </c>
      <c r="K64" s="52" t="s">
        <v>511</v>
      </c>
      <c r="L64" s="41" t="e">
        <v>#VALUE!</v>
      </c>
      <c r="M64" s="69">
        <f t="shared" si="2"/>
        <v>8.7221095334685597E-2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611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134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607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1462</v>
      </c>
      <c r="G66" s="41">
        <f>MAX(CumulativeDead!66:66)</f>
        <v>5</v>
      </c>
      <c r="J66" s="41">
        <v>59308690</v>
      </c>
      <c r="K66" s="52">
        <v>0</v>
      </c>
      <c r="L66" s="41">
        <v>0</v>
      </c>
      <c r="M66" s="69">
        <f t="shared" ref="M66:M97" si="4">G66/F66</f>
        <v>3.4199726402188782E-3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611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457</v>
      </c>
      <c r="G67" s="41">
        <f>MAX(CumulativeDead!67:67)</f>
        <v>10</v>
      </c>
      <c r="J67" s="41">
        <v>6948445</v>
      </c>
      <c r="K67" s="52">
        <v>12.2</v>
      </c>
      <c r="L67" s="41">
        <v>847.71028999999987</v>
      </c>
      <c r="M67" s="69">
        <f t="shared" si="4"/>
        <v>2.1881838074398249E-2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607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396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5.0505050505050509E-3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609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585</v>
      </c>
      <c r="G69" s="41">
        <f>MAX(CumulativeDead!69:69)</f>
        <v>21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3.5897435897435895E-2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607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231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4.329004329004329E-3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608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3163</v>
      </c>
      <c r="G71" s="41">
        <f>MAX(CumulativeDead!71:71)</f>
        <v>120</v>
      </c>
      <c r="J71" s="41">
        <v>17643054</v>
      </c>
      <c r="K71" s="52">
        <v>0</v>
      </c>
      <c r="L71" s="41">
        <v>0</v>
      </c>
      <c r="M71" s="69">
        <f t="shared" si="4"/>
        <v>3.7938665823585203E-2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610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458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607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455</v>
      </c>
      <c r="G73" s="41">
        <f>MAX(CumulativeDead!73:73)</f>
        <v>14</v>
      </c>
      <c r="J73" s="41">
        <v>11818619</v>
      </c>
      <c r="K73" s="52" t="s">
        <v>511</v>
      </c>
      <c r="L73" s="41" t="e">
        <v>#VALUE!</v>
      </c>
      <c r="M73" s="69">
        <f t="shared" si="4"/>
        <v>3.0769230769230771E-2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611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400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1.2500000000000001E-2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606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356</v>
      </c>
      <c r="G75" s="41">
        <f>MAX(CumulativeDead!75:75)</f>
        <v>10</v>
      </c>
      <c r="J75" s="41">
        <v>1207359</v>
      </c>
      <c r="K75" s="52">
        <v>11.4</v>
      </c>
      <c r="L75" s="41">
        <v>137.638926</v>
      </c>
      <c r="M75" s="69">
        <f t="shared" si="4"/>
        <v>2.8089887640449437E-2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607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384</v>
      </c>
      <c r="G76" s="41">
        <f>MAX(CumulativeDead!76:76)</f>
        <v>11</v>
      </c>
      <c r="J76" s="41">
        <v>2083374</v>
      </c>
      <c r="K76" s="52" t="s">
        <v>511</v>
      </c>
      <c r="L76" s="41" t="e">
        <v>#VALUE!</v>
      </c>
      <c r="M76" s="69">
        <f t="shared" si="4"/>
        <v>2.8645833333333332E-2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607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533</v>
      </c>
      <c r="G77" s="41">
        <f>MAX(CumulativeDead!77:77)</f>
        <v>16</v>
      </c>
      <c r="J77" s="41">
        <v>3280819</v>
      </c>
      <c r="K77" s="52" t="s">
        <v>511</v>
      </c>
      <c r="L77" s="41" t="e">
        <v>#VALUE!</v>
      </c>
      <c r="M77" s="69">
        <f t="shared" si="4"/>
        <v>3.0018761726078799E-2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607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1161</v>
      </c>
      <c r="G78" s="41">
        <f>MAX(CumulativeDead!78:78)</f>
        <v>19</v>
      </c>
      <c r="J78" s="41">
        <v>50882891</v>
      </c>
      <c r="K78" s="52" t="s">
        <v>511</v>
      </c>
      <c r="L78" s="41" t="e">
        <v>#VALUE!</v>
      </c>
      <c r="M78" s="69">
        <f t="shared" si="4"/>
        <v>1.636520241171404E-2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610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196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607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1378</v>
      </c>
      <c r="G80" s="41">
        <f>MAX(CumulativeDead!80:80)</f>
        <v>37</v>
      </c>
      <c r="J80" s="41">
        <v>128932753</v>
      </c>
      <c r="K80" s="52" t="s">
        <v>511</v>
      </c>
      <c r="L80" s="41" t="e">
        <v>#VALUE!</v>
      </c>
      <c r="M80" s="69">
        <f t="shared" si="4"/>
        <v>2.6850507982583455E-2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609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195</v>
      </c>
      <c r="G81" s="41">
        <f>MAX(CumulativeDead!81:81)</f>
        <v>1</v>
      </c>
      <c r="J81" s="41">
        <v>16743927</v>
      </c>
      <c r="K81" s="52" t="s">
        <v>511</v>
      </c>
      <c r="L81" s="41" t="e">
        <v>#VALUE!</v>
      </c>
      <c r="M81" s="69">
        <f t="shared" si="4"/>
        <v>5.1282051282051282E-3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611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606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663</v>
      </c>
      <c r="G83" s="41">
        <f>MAX(CumulativeDead!83:83)</f>
        <v>7</v>
      </c>
      <c r="J83" s="41">
        <v>2963243</v>
      </c>
      <c r="K83" s="52" t="s">
        <v>511</v>
      </c>
      <c r="L83" s="41" t="e">
        <v>#VALUE!</v>
      </c>
      <c r="M83" s="69">
        <f t="shared" si="4"/>
        <v>1.0558069381598794E-2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607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47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6.3829787234042548E-2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609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273</v>
      </c>
      <c r="G85" s="41">
        <f>MAX(CumulativeDead!85:85)</f>
        <v>6</v>
      </c>
      <c r="J85" s="41">
        <v>38928346</v>
      </c>
      <c r="K85" s="52" t="s">
        <v>511</v>
      </c>
      <c r="L85" s="41" t="e">
        <v>#VALUE!</v>
      </c>
      <c r="M85" s="69">
        <f t="shared" si="4"/>
        <v>2.197802197802198E-2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608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708</v>
      </c>
      <c r="G86" s="41">
        <f>MAX(CumulativeDead!86:86)</f>
        <v>44</v>
      </c>
      <c r="J86" s="41">
        <v>36910560</v>
      </c>
      <c r="K86" s="52" t="s">
        <v>511</v>
      </c>
      <c r="L86" s="41" t="e">
        <v>#VALUE!</v>
      </c>
      <c r="M86" s="69">
        <f t="shared" si="4"/>
        <v>6.2146892655367235E-2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611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649</v>
      </c>
      <c r="G87" s="41">
        <f>MAX(CumulativeDead!87:87)</f>
        <v>9</v>
      </c>
      <c r="J87" s="41">
        <v>2722289</v>
      </c>
      <c r="K87" s="52">
        <v>15.5</v>
      </c>
      <c r="L87" s="41">
        <v>421.95479499999999</v>
      </c>
      <c r="M87" s="69">
        <f t="shared" si="4"/>
        <v>1.386748844375963E-2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607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505</v>
      </c>
      <c r="G88" s="41">
        <f>MAX(CumulativeDead!88:88)</f>
        <v>6</v>
      </c>
      <c r="J88" s="41">
        <v>4033963</v>
      </c>
      <c r="K88" s="52" t="s">
        <v>511</v>
      </c>
      <c r="L88" s="41" t="e">
        <v>#VALUE!</v>
      </c>
      <c r="M88" s="69">
        <f t="shared" si="4"/>
        <v>1.1881188118811881E-2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607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77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3.896103896103896E-2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610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151</v>
      </c>
      <c r="G90" s="41">
        <f>MAX(CumulativeDead!90:90)</f>
        <v>4</v>
      </c>
      <c r="J90" s="41">
        <v>21413249</v>
      </c>
      <c r="K90" s="52" t="s">
        <v>511</v>
      </c>
      <c r="L90" s="41" t="e">
        <v>#VALUE!</v>
      </c>
      <c r="M90" s="69">
        <f t="shared" si="4"/>
        <v>2.6490066225165563E-2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606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110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610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1380</v>
      </c>
      <c r="G92" s="41">
        <f>MAX(CumulativeDead!92:92)</f>
        <v>60</v>
      </c>
      <c r="J92" s="41">
        <v>10847910</v>
      </c>
      <c r="K92" s="52" t="s">
        <v>511</v>
      </c>
      <c r="L92" s="41" t="e">
        <v>#VALUE!</v>
      </c>
      <c r="M92" s="69">
        <f t="shared" si="4"/>
        <v>4.3478260869565216E-2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610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611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797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1.2547051442910915E-3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612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611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18135</v>
      </c>
      <c r="G96" s="41">
        <f>MAX(CumulativeDead!96:96)</f>
        <v>356</v>
      </c>
      <c r="J96" s="41">
        <v>84339067</v>
      </c>
      <c r="K96" s="52" t="s">
        <v>511</v>
      </c>
      <c r="L96" s="41" t="e">
        <v>#VALUE!</v>
      </c>
      <c r="M96" s="69">
        <f t="shared" si="4"/>
        <v>1.9630548662806727E-2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607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233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2.575107296137339E-2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609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435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6.8965517241379309E-3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606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56</v>
      </c>
      <c r="G99" s="41">
        <f>MAX(CumulativeDead!99:99)</f>
        <v>6</v>
      </c>
      <c r="J99" s="41">
        <v>164689383</v>
      </c>
      <c r="K99" s="52" t="s">
        <v>511</v>
      </c>
      <c r="L99" s="41" t="e">
        <v>#VALUE!</v>
      </c>
      <c r="M99" s="69">
        <f t="shared" si="6"/>
        <v>0.10714285714285714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606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123</v>
      </c>
      <c r="G100" s="41">
        <f>MAX(CumulativeDead!100:100)</f>
        <v>8</v>
      </c>
      <c r="J100" s="41">
        <v>11673021</v>
      </c>
      <c r="K100" s="52" t="s">
        <v>511</v>
      </c>
      <c r="L100" s="41" t="e">
        <v>#VALUE!</v>
      </c>
      <c r="M100" s="69">
        <f t="shared" si="6"/>
        <v>6.5040650406504072E-2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610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611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897</v>
      </c>
      <c r="G102" s="41">
        <f>MAX(CumulativeDead!102:102)</f>
        <v>22</v>
      </c>
      <c r="J102" s="41">
        <v>43733762</v>
      </c>
      <c r="K102" s="52" t="s">
        <v>511</v>
      </c>
      <c r="L102" s="41" t="e">
        <v>#VALUE!</v>
      </c>
      <c r="M102" s="69">
        <f t="shared" si="6"/>
        <v>2.4526198439241916E-2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607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611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288</v>
      </c>
      <c r="G104" s="41">
        <f>MAX(CumulativeDead!104:104)</f>
        <v>16</v>
      </c>
      <c r="J104" s="41">
        <v>20903273</v>
      </c>
      <c r="K104" s="52" t="s">
        <v>511</v>
      </c>
      <c r="L104" s="41" t="e">
        <v>#VALUE!</v>
      </c>
      <c r="M104" s="69">
        <f t="shared" si="6"/>
        <v>5.5555555555555552E-2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611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306</v>
      </c>
      <c r="G105" s="41">
        <f>MAX(CumulativeDead!105:105)</f>
        <v>7</v>
      </c>
      <c r="J105" s="41">
        <v>26545863</v>
      </c>
      <c r="K105" s="52" t="s">
        <v>511</v>
      </c>
      <c r="L105" s="41" t="e">
        <v>#VALUE!</v>
      </c>
      <c r="M105" s="69">
        <f t="shared" si="6"/>
        <v>2.2875816993464051E-2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611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134</v>
      </c>
      <c r="G106" s="41">
        <f>MAX(CumulativeDead!106:106)</f>
        <v>13</v>
      </c>
      <c r="K106" s="52" t="s">
        <v>511</v>
      </c>
      <c r="L106" s="41" t="e">
        <v>#N/A</v>
      </c>
      <c r="M106" s="69">
        <f t="shared" si="6"/>
        <v>9.7014925373134331E-2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611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219</v>
      </c>
      <c r="G107" s="41">
        <f>MAX(CumulativeDead!107:107)</f>
        <v>14</v>
      </c>
      <c r="J107" s="41">
        <v>9904607</v>
      </c>
      <c r="K107" s="52" t="s">
        <v>511</v>
      </c>
      <c r="L107" s="41" t="e">
        <v>#VALUE!</v>
      </c>
      <c r="M107" s="69">
        <f t="shared" si="6"/>
        <v>6.3926940639269403E-2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610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60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1.6666666666666666E-2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607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184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1.0869565217391304E-2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611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428</v>
      </c>
      <c r="G110" s="41">
        <f>MAX(CumulativeDead!110:110)</f>
        <v>15</v>
      </c>
      <c r="J110" s="41">
        <v>77265</v>
      </c>
      <c r="K110" s="52" t="s">
        <v>511</v>
      </c>
      <c r="L110" s="41" t="e">
        <v>#VALUE!</v>
      </c>
      <c r="M110" s="69">
        <f t="shared" si="6"/>
        <v>3.5046728971962614E-2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607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9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609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606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609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194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5.1546391752577319E-3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611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29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611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610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52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611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4</v>
      </c>
      <c r="J118" s="41">
        <v>786552</v>
      </c>
      <c r="K118" s="52" t="s">
        <v>511</v>
      </c>
      <c r="L118" s="41" t="e">
        <v>#VALUE!</v>
      </c>
      <c r="M118" s="69">
        <f t="shared" si="6"/>
        <v>0.2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610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607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299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1.6722408026755852E-2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608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110</v>
      </c>
      <c r="G121" s="41">
        <f>MAX(CumulativeDead!121:121)</f>
        <v>3</v>
      </c>
      <c r="J121" s="41">
        <v>53771296</v>
      </c>
      <c r="K121" s="52" t="s">
        <v>511</v>
      </c>
      <c r="L121" s="41" t="e">
        <v>#VALUE!</v>
      </c>
      <c r="M121" s="69">
        <f t="shared" si="6"/>
        <v>2.7272727272727271E-2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611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75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607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606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6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606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8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611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2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611</v>
      </c>
    </row>
    <row r="127" spans="1:17" x14ac:dyDescent="0.3">
      <c r="A127" s="52">
        <v>126</v>
      </c>
      <c r="B127" s="2" t="s">
        <v>604</v>
      </c>
      <c r="C127" s="2" t="s">
        <v>604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52909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606</v>
      </c>
      <c r="C128" s="2" t="s">
        <v>606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4059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607</v>
      </c>
      <c r="C129" s="2" t="s">
        <v>607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38451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609</v>
      </c>
      <c r="C130" s="2" t="s">
        <v>609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6145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610</v>
      </c>
      <c r="C131" s="2" t="s">
        <v>610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661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611</v>
      </c>
      <c r="C132" s="2" t="s">
        <v>611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254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608</v>
      </c>
      <c r="C133" s="2" t="s">
        <v>608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3314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52909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605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0</v>
      </c>
      <c r="BX2">
        <f>SUMIF(ConfirmedRaw!$B:$B,$B2,ConfirmedRaw!BZ:BZ)</f>
        <v>0</v>
      </c>
      <c r="BY2">
        <f>SUMIF(ConfirmedRaw!$B:$B,$B2,ConfirmedRaw!CA:CA)</f>
        <v>0</v>
      </c>
      <c r="BZ2">
        <f>SUMIF(ConfirmedRaw!$B:$B,$B2,ConfirmedRaw!CB:CB)</f>
        <v>0</v>
      </c>
      <c r="CA2">
        <f>SUMIF(ConfirmedRaw!$B:$B,$B2,ConfirmedRaw!CC:CC)</f>
        <v>0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0</v>
      </c>
      <c r="BX3">
        <f>SUMIF(ConfirmedRaw!$B:$B,$B3,ConfirmedRaw!BZ:BZ)</f>
        <v>0</v>
      </c>
      <c r="BY3">
        <f>SUMIF(ConfirmedRaw!$B:$B,$B3,ConfirmedRaw!CA:CA)</f>
        <v>0</v>
      </c>
      <c r="BZ3">
        <f>SUMIF(ConfirmedRaw!$B:$B,$B3,ConfirmedRaw!CB:CB)</f>
        <v>0</v>
      </c>
      <c r="CA3">
        <f>SUMIF(ConfirmedRaw!$B:$B,$B3,ConfirmedRaw!CC:CC)</f>
        <v>0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0</v>
      </c>
      <c r="BX4">
        <f>SUMIF(ConfirmedRaw!$B:$B,$B4,ConfirmedRaw!BZ:BZ)</f>
        <v>0</v>
      </c>
      <c r="BY4">
        <f>SUMIF(ConfirmedRaw!$B:$B,$B4,ConfirmedRaw!CA:CA)</f>
        <v>0</v>
      </c>
      <c r="BZ4">
        <f>SUMIF(ConfirmedRaw!$B:$B,$B4,ConfirmedRaw!CB:CB)</f>
        <v>0</v>
      </c>
      <c r="CA4">
        <f>SUMIF(ConfirmedRaw!$B:$B,$B4,ConfirmedRaw!CC:CC)</f>
        <v>0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0</v>
      </c>
      <c r="BX5">
        <f>SUMIF(ConfirmedRaw!$B:$B,$B5,ConfirmedRaw!BZ:BZ)</f>
        <v>0</v>
      </c>
      <c r="BY5">
        <f>SUMIF(ConfirmedRaw!$B:$B,$B5,ConfirmedRaw!CA:CA)</f>
        <v>0</v>
      </c>
      <c r="BZ5">
        <f>SUMIF(ConfirmedRaw!$B:$B,$B5,ConfirmedRaw!CB:CB)</f>
        <v>0</v>
      </c>
      <c r="CA5">
        <f>SUMIF(ConfirmedRaw!$B:$B,$B5,ConfirmedRaw!CC:CC)</f>
        <v>0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0</v>
      </c>
      <c r="BX6">
        <f>SUMIF(ConfirmedRaw!$B:$B,$B6,ConfirmedRaw!BZ:BZ)</f>
        <v>0</v>
      </c>
      <c r="BY6">
        <f>SUMIF(ConfirmedRaw!$B:$B,$B6,ConfirmedRaw!CA:CA)</f>
        <v>0</v>
      </c>
      <c r="BZ6">
        <f>SUMIF(ConfirmedRaw!$B:$B,$B6,ConfirmedRaw!CB:CB)</f>
        <v>0</v>
      </c>
      <c r="CA6">
        <f>SUMIF(ConfirmedRaw!$B:$B,$B6,ConfirmedRaw!CC:CC)</f>
        <v>0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0</v>
      </c>
      <c r="BX7">
        <f>SUMIF(ConfirmedRaw!$B:$B,$B7,ConfirmedRaw!BZ:BZ)</f>
        <v>0</v>
      </c>
      <c r="BY7">
        <f>SUMIF(ConfirmedRaw!$B:$B,$B7,ConfirmedRaw!CA:CA)</f>
        <v>0</v>
      </c>
      <c r="BZ7">
        <f>SUMIF(ConfirmedRaw!$B:$B,$B7,ConfirmedRaw!CB:CB)</f>
        <v>0</v>
      </c>
      <c r="CA7">
        <f>SUMIF(ConfirmedRaw!$B:$B,$B7,ConfirmedRaw!CC:CC)</f>
        <v>0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0</v>
      </c>
      <c r="BX8">
        <f>SUMIF(ConfirmedRaw!$B:$B,$B8,ConfirmedRaw!BZ:BZ)</f>
        <v>0</v>
      </c>
      <c r="BY8">
        <f>SUMIF(ConfirmedRaw!$B:$B,$B8,ConfirmedRaw!CA:CA)</f>
        <v>0</v>
      </c>
      <c r="BZ8">
        <f>SUMIF(ConfirmedRaw!$B:$B,$B8,ConfirmedRaw!CB:CB)</f>
        <v>0</v>
      </c>
      <c r="CA8">
        <f>SUMIF(ConfirmedRaw!$B:$B,$B8,ConfirmedRaw!CC:CC)</f>
        <v>0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243453</v>
      </c>
      <c r="BW9">
        <f>SUMIF(ConfirmedRaw!$B:$B,$B9,ConfirmedRaw!BY:BY)</f>
        <v>0</v>
      </c>
      <c r="BX9">
        <f>SUMIF(ConfirmedRaw!$B:$B,$B9,ConfirmedRaw!BZ:BZ)</f>
        <v>0</v>
      </c>
      <c r="BY9">
        <f>SUMIF(ConfirmedRaw!$B:$B,$B9,ConfirmedRaw!CA:CA)</f>
        <v>0</v>
      </c>
      <c r="BZ9">
        <f>SUMIF(ConfirmedRaw!$B:$B,$B9,ConfirmedRaw!CB:CB)</f>
        <v>0</v>
      </c>
      <c r="CA9">
        <f>SUMIF(ConfirmedRaw!$B:$B,$B9,ConfirmedRaw!CC:CC)</f>
        <v>0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0</v>
      </c>
      <c r="BX10">
        <f>SUMIF(ConfirmedRaw!$B:$B,$B10,ConfirmedRaw!BZ:BZ)</f>
        <v>0</v>
      </c>
      <c r="BY10">
        <f>SUMIF(ConfirmedRaw!$B:$B,$B10,ConfirmedRaw!CA:CA)</f>
        <v>0</v>
      </c>
      <c r="BZ10">
        <f>SUMIF(ConfirmedRaw!$B:$B,$B10,ConfirmedRaw!CB:CB)</f>
        <v>0</v>
      </c>
      <c r="CA10">
        <f>SUMIF(ConfirmedRaw!$B:$B,$B10,ConfirmedRaw!CC:CC)</f>
        <v>0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0</v>
      </c>
      <c r="BX11">
        <f>SUMIF(ConfirmedRaw!$B:$B,$B11,ConfirmedRaw!BZ:BZ)</f>
        <v>0</v>
      </c>
      <c r="BY11">
        <f>SUMIF(ConfirmedRaw!$B:$B,$B11,ConfirmedRaw!CA:CA)</f>
        <v>0</v>
      </c>
      <c r="BZ11">
        <f>SUMIF(ConfirmedRaw!$B:$B,$B11,ConfirmedRaw!CB:CB)</f>
        <v>0</v>
      </c>
      <c r="CA11">
        <f>SUMIF(ConfirmedRaw!$B:$B,$B11,ConfirmedRaw!CC:CC)</f>
        <v>0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0</v>
      </c>
      <c r="BX12">
        <f>SUMIF(ConfirmedRaw!$B:$B,$B12,ConfirmedRaw!BZ:BZ)</f>
        <v>0</v>
      </c>
      <c r="BY12">
        <f>SUMIF(ConfirmedRaw!$B:$B,$B12,ConfirmedRaw!CA:CA)</f>
        <v>0</v>
      </c>
      <c r="BZ12">
        <f>SUMIF(ConfirmedRaw!$B:$B,$B12,ConfirmedRaw!CB:CB)</f>
        <v>0</v>
      </c>
      <c r="CA12">
        <f>SUMIF(ConfirmedRaw!$B:$B,$B12,ConfirmedRaw!CC:CC)</f>
        <v>0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0</v>
      </c>
      <c r="BX13">
        <f>SUMIF(ConfirmedRaw!$B:$B,$B13,ConfirmedRaw!BZ:BZ)</f>
        <v>0</v>
      </c>
      <c r="BY13">
        <f>SUMIF(ConfirmedRaw!$B:$B,$B13,ConfirmedRaw!CA:CA)</f>
        <v>0</v>
      </c>
      <c r="BZ13">
        <f>SUMIF(ConfirmedRaw!$B:$B,$B13,ConfirmedRaw!CB:CB)</f>
        <v>0</v>
      </c>
      <c r="CA13">
        <f>SUMIF(ConfirmedRaw!$B:$B,$B13,ConfirmedRaw!CC:CC)</f>
        <v>0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0</v>
      </c>
      <c r="BX14">
        <f>SUMIF(ConfirmedRaw!$B:$B,$B14,ConfirmedRaw!BZ:BZ)</f>
        <v>0</v>
      </c>
      <c r="BY14">
        <f>SUMIF(ConfirmedRaw!$B:$B,$B14,ConfirmedRaw!CA:CA)</f>
        <v>0</v>
      </c>
      <c r="BZ14">
        <f>SUMIF(ConfirmedRaw!$B:$B,$B14,ConfirmedRaw!CB:CB)</f>
        <v>0</v>
      </c>
      <c r="CA14">
        <f>SUMIF(ConfirmedRaw!$B:$B,$B14,ConfirmedRaw!CC:CC)</f>
        <v>0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0</v>
      </c>
      <c r="BX15">
        <f>SUMIF(ConfirmedRaw!$B:$B,$B15,ConfirmedRaw!BZ:BZ)</f>
        <v>0</v>
      </c>
      <c r="BY15">
        <f>SUMIF(ConfirmedRaw!$B:$B,$B15,ConfirmedRaw!CA:CA)</f>
        <v>0</v>
      </c>
      <c r="BZ15">
        <f>SUMIF(ConfirmedRaw!$B:$B,$B15,ConfirmedRaw!CB:CB)</f>
        <v>0</v>
      </c>
      <c r="CA15">
        <f>SUMIF(ConfirmedRaw!$B:$B,$B15,ConfirmedRaw!CC:CC)</f>
        <v>0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0</v>
      </c>
      <c r="BX16">
        <f>SUMIF(ConfirmedRaw!$B:$B,$B16,ConfirmedRaw!BZ:BZ)</f>
        <v>0</v>
      </c>
      <c r="BY16">
        <f>SUMIF(ConfirmedRaw!$B:$B,$B16,ConfirmedRaw!CA:CA)</f>
        <v>0</v>
      </c>
      <c r="BZ16">
        <f>SUMIF(ConfirmedRaw!$B:$B,$B16,ConfirmedRaw!CB:CB)</f>
        <v>0</v>
      </c>
      <c r="CA16">
        <f>SUMIF(ConfirmedRaw!$B:$B,$B16,ConfirmedRaw!CC:CC)</f>
        <v>0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0</v>
      </c>
      <c r="BX18">
        <f>SUMIF(ConfirmedRaw!$B:$B,$B18,ConfirmedRaw!BZ:BZ)</f>
        <v>0</v>
      </c>
      <c r="BY18">
        <f>SUMIF(ConfirmedRaw!$B:$B,$B18,ConfirmedRaw!CA:CA)</f>
        <v>0</v>
      </c>
      <c r="BZ18">
        <f>SUMIF(ConfirmedRaw!$B:$B,$B18,ConfirmedRaw!CB:CB)</f>
        <v>0</v>
      </c>
      <c r="CA18">
        <f>SUMIF(ConfirmedRaw!$B:$B,$B18,ConfirmedRaw!CC:CC)</f>
        <v>0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0</v>
      </c>
      <c r="BX19">
        <f>SUMIF(ConfirmedRaw!$B:$B,$B19,ConfirmedRaw!BZ:BZ)</f>
        <v>0</v>
      </c>
      <c r="BY19">
        <f>SUMIF(ConfirmedRaw!$B:$B,$B19,ConfirmedRaw!CA:CA)</f>
        <v>0</v>
      </c>
      <c r="BZ19">
        <f>SUMIF(ConfirmedRaw!$B:$B,$B19,ConfirmedRaw!CB:CB)</f>
        <v>0</v>
      </c>
      <c r="CA19">
        <f>SUMIF(ConfirmedRaw!$B:$B,$B19,ConfirmedRaw!CC:CC)</f>
        <v>0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0</v>
      </c>
      <c r="BX20">
        <f>SUMIF(ConfirmedRaw!$B:$B,$B20,ConfirmedRaw!BZ:BZ)</f>
        <v>0</v>
      </c>
      <c r="BY20">
        <f>SUMIF(ConfirmedRaw!$B:$B,$B20,ConfirmedRaw!CA:CA)</f>
        <v>0</v>
      </c>
      <c r="BZ20">
        <f>SUMIF(ConfirmedRaw!$B:$B,$B20,ConfirmedRaw!CB:CB)</f>
        <v>0</v>
      </c>
      <c r="CA20">
        <f>SUMIF(ConfirmedRaw!$B:$B,$B20,ConfirmedRaw!CC:CC)</f>
        <v>0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0</v>
      </c>
      <c r="BX21">
        <f>SUMIF(ConfirmedRaw!$B:$B,$B21,ConfirmedRaw!BZ:BZ)</f>
        <v>0</v>
      </c>
      <c r="BY21">
        <f>SUMIF(ConfirmedRaw!$B:$B,$B21,ConfirmedRaw!CA:CA)</f>
        <v>0</v>
      </c>
      <c r="BZ21">
        <f>SUMIF(ConfirmedRaw!$B:$B,$B21,ConfirmedRaw!CB:CB)</f>
        <v>0</v>
      </c>
      <c r="CA21">
        <f>SUMIF(ConfirmedRaw!$B:$B,$B21,ConfirmedRaw!CC:CC)</f>
        <v>0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0</v>
      </c>
      <c r="BX22">
        <f>SUMIF(ConfirmedRaw!$B:$B,$B22,ConfirmedRaw!BZ:BZ)</f>
        <v>0</v>
      </c>
      <c r="BY22">
        <f>SUMIF(ConfirmedRaw!$B:$B,$B22,ConfirmedRaw!CA:CA)</f>
        <v>0</v>
      </c>
      <c r="BZ22">
        <f>SUMIF(ConfirmedRaw!$B:$B,$B22,ConfirmedRaw!CB:CB)</f>
        <v>0</v>
      </c>
      <c r="CA22">
        <f>SUMIF(ConfirmedRaw!$B:$B,$B22,ConfirmedRaw!CC:CC)</f>
        <v>0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0</v>
      </c>
      <c r="BX23">
        <f>SUMIF(ConfirmedRaw!$B:$B,$B23,ConfirmedRaw!BZ:BZ)</f>
        <v>0</v>
      </c>
      <c r="BY23">
        <f>SUMIF(ConfirmedRaw!$B:$B,$B23,ConfirmedRaw!CA:CA)</f>
        <v>0</v>
      </c>
      <c r="BZ23">
        <f>SUMIF(ConfirmedRaw!$B:$B,$B23,ConfirmedRaw!CB:CB)</f>
        <v>0</v>
      </c>
      <c r="CA23">
        <f>SUMIF(ConfirmedRaw!$B:$B,$B23,ConfirmedRaw!CC:CC)</f>
        <v>0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0</v>
      </c>
      <c r="BX24">
        <f>SUMIF(ConfirmedRaw!$B:$B,$B24,ConfirmedRaw!BZ:BZ)</f>
        <v>0</v>
      </c>
      <c r="BY24">
        <f>SUMIF(ConfirmedRaw!$B:$B,$B24,ConfirmedRaw!CA:CA)</f>
        <v>0</v>
      </c>
      <c r="BZ24">
        <f>SUMIF(ConfirmedRaw!$B:$B,$B24,ConfirmedRaw!CB:CB)</f>
        <v>0</v>
      </c>
      <c r="CA24">
        <f>SUMIF(ConfirmedRaw!$B:$B,$B24,ConfirmedRaw!CC:CC)</f>
        <v>0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0</v>
      </c>
      <c r="BX25">
        <f>SUMIF(ConfirmedRaw!$B:$B,$B25,ConfirmedRaw!BZ:BZ)</f>
        <v>0</v>
      </c>
      <c r="BY25">
        <f>SUMIF(ConfirmedRaw!$B:$B,$B25,ConfirmedRaw!CA:CA)</f>
        <v>0</v>
      </c>
      <c r="BZ25">
        <f>SUMIF(ConfirmedRaw!$B:$B,$B25,ConfirmedRaw!CB:CB)</f>
        <v>0</v>
      </c>
      <c r="CA25">
        <f>SUMIF(ConfirmedRaw!$B:$B,$B25,ConfirmedRaw!CC:CC)</f>
        <v>0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0</v>
      </c>
      <c r="BX26">
        <f>SUMIF(ConfirmedRaw!$B:$B,$B26,ConfirmedRaw!BZ:BZ)</f>
        <v>0</v>
      </c>
      <c r="BY26">
        <f>SUMIF(ConfirmedRaw!$B:$B,$B26,ConfirmedRaw!CA:CA)</f>
        <v>0</v>
      </c>
      <c r="BZ26">
        <f>SUMIF(ConfirmedRaw!$B:$B,$B26,ConfirmedRaw!CB:CB)</f>
        <v>0</v>
      </c>
      <c r="CA26">
        <f>SUMIF(ConfirmedRaw!$B:$B,$B26,ConfirmedRaw!CC:CC)</f>
        <v>0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0</v>
      </c>
      <c r="BX27">
        <f>SUMIF(ConfirmedRaw!$B:$B,$B27,ConfirmedRaw!BZ:BZ)</f>
        <v>0</v>
      </c>
      <c r="BY27">
        <f>SUMIF(ConfirmedRaw!$B:$B,$B27,ConfirmedRaw!CA:CA)</f>
        <v>0</v>
      </c>
      <c r="BZ27">
        <f>SUMIF(ConfirmedRaw!$B:$B,$B27,ConfirmedRaw!CB:CB)</f>
        <v>0</v>
      </c>
      <c r="CA27">
        <f>SUMIF(ConfirmedRaw!$B:$B,$B27,ConfirmedRaw!CC:CC)</f>
        <v>0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0</v>
      </c>
      <c r="BX28">
        <f>SUMIF(ConfirmedRaw!$B:$B,$B28,ConfirmedRaw!BZ:BZ)</f>
        <v>0</v>
      </c>
      <c r="BY28">
        <f>SUMIF(ConfirmedRaw!$B:$B,$B28,ConfirmedRaw!CA:CA)</f>
        <v>0</v>
      </c>
      <c r="BZ28">
        <f>SUMIF(ConfirmedRaw!$B:$B,$B28,ConfirmedRaw!CB:CB)</f>
        <v>0</v>
      </c>
      <c r="CA28">
        <f>SUMIF(ConfirmedRaw!$B:$B,$B28,ConfirmedRaw!CC:CC)</f>
        <v>0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0</v>
      </c>
      <c r="BX29">
        <f>SUMIF(ConfirmedRaw!$B:$B,$B29,ConfirmedRaw!BZ:BZ)</f>
        <v>0</v>
      </c>
      <c r="BY29">
        <f>SUMIF(ConfirmedRaw!$B:$B,$B29,ConfirmedRaw!CA:CA)</f>
        <v>0</v>
      </c>
      <c r="BZ29">
        <f>SUMIF(ConfirmedRaw!$B:$B,$B29,ConfirmedRaw!CB:CB)</f>
        <v>0</v>
      </c>
      <c r="CA29">
        <f>SUMIF(ConfirmedRaw!$B:$B,$B29,ConfirmedRaw!CC:CC)</f>
        <v>0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0</v>
      </c>
      <c r="BX30">
        <f>SUMIF(ConfirmedRaw!$B:$B,$B30,ConfirmedRaw!BZ:BZ)</f>
        <v>0</v>
      </c>
      <c r="BY30">
        <f>SUMIF(ConfirmedRaw!$B:$B,$B30,ConfirmedRaw!CA:CA)</f>
        <v>0</v>
      </c>
      <c r="BZ30">
        <f>SUMIF(ConfirmedRaw!$B:$B,$B30,ConfirmedRaw!CB:CB)</f>
        <v>0</v>
      </c>
      <c r="CA30">
        <f>SUMIF(ConfirmedRaw!$B:$B,$B30,ConfirmedRaw!CC:CC)</f>
        <v>0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0</v>
      </c>
      <c r="BX31">
        <f>SUMIF(ConfirmedRaw!$B:$B,$B31,ConfirmedRaw!BZ:BZ)</f>
        <v>0</v>
      </c>
      <c r="BY31">
        <f>SUMIF(ConfirmedRaw!$B:$B,$B31,ConfirmedRaw!CA:CA)</f>
        <v>0</v>
      </c>
      <c r="BZ31">
        <f>SUMIF(ConfirmedRaw!$B:$B,$B31,ConfirmedRaw!CB:CB)</f>
        <v>0</v>
      </c>
      <c r="CA31">
        <f>SUMIF(ConfirmedRaw!$B:$B,$B31,ConfirmedRaw!CC:CC)</f>
        <v>0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0</v>
      </c>
      <c r="BX32">
        <f>SUMIF(ConfirmedRaw!$B:$B,$B32,ConfirmedRaw!BZ:BZ)</f>
        <v>0</v>
      </c>
      <c r="BY32">
        <f>SUMIF(ConfirmedRaw!$B:$B,$B32,ConfirmedRaw!CA:CA)</f>
        <v>0</v>
      </c>
      <c r="BZ32">
        <f>SUMIF(ConfirmedRaw!$B:$B,$B32,ConfirmedRaw!CB:CB)</f>
        <v>0</v>
      </c>
      <c r="CA32">
        <f>SUMIF(ConfirmedRaw!$B:$B,$B32,ConfirmedRaw!CC:CC)</f>
        <v>0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0</v>
      </c>
      <c r="BX33">
        <f>SUMIF(ConfirmedRaw!$B:$B,$B33,ConfirmedRaw!BZ:BZ)</f>
        <v>0</v>
      </c>
      <c r="BY33">
        <f>SUMIF(ConfirmedRaw!$B:$B,$B33,ConfirmedRaw!CA:CA)</f>
        <v>0</v>
      </c>
      <c r="BZ33">
        <f>SUMIF(ConfirmedRaw!$B:$B,$B33,ConfirmedRaw!CB:CB)</f>
        <v>0</v>
      </c>
      <c r="CA33">
        <f>SUMIF(ConfirmedRaw!$B:$B,$B33,ConfirmedRaw!CC:CC)</f>
        <v>0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0</v>
      </c>
      <c r="BX34">
        <f>SUMIF(ConfirmedRaw!$B:$B,$B34,ConfirmedRaw!BZ:BZ)</f>
        <v>0</v>
      </c>
      <c r="BY34">
        <f>SUMIF(ConfirmedRaw!$B:$B,$B34,ConfirmedRaw!CA:CA)</f>
        <v>0</v>
      </c>
      <c r="BZ34">
        <f>SUMIF(ConfirmedRaw!$B:$B,$B34,ConfirmedRaw!CB:CB)</f>
        <v>0</v>
      </c>
      <c r="CA34">
        <f>SUMIF(ConfirmedRaw!$B:$B,$B34,ConfirmedRaw!CC:CC)</f>
        <v>0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0</v>
      </c>
      <c r="BX35">
        <f>SUMIF(ConfirmedRaw!$B:$B,$B35,ConfirmedRaw!BZ:BZ)</f>
        <v>0</v>
      </c>
      <c r="BY35">
        <f>SUMIF(ConfirmedRaw!$B:$B,$B35,ConfirmedRaw!CA:CA)</f>
        <v>0</v>
      </c>
      <c r="BZ35">
        <f>SUMIF(ConfirmedRaw!$B:$B,$B35,ConfirmedRaw!CB:CB)</f>
        <v>0</v>
      </c>
      <c r="CA35">
        <f>SUMIF(ConfirmedRaw!$B:$B,$B35,ConfirmedRaw!CC:CC)</f>
        <v>0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0</v>
      </c>
      <c r="BX36">
        <f>SUMIF(ConfirmedRaw!$B:$B,$B36,ConfirmedRaw!BZ:BZ)</f>
        <v>0</v>
      </c>
      <c r="BY36">
        <f>SUMIF(ConfirmedRaw!$B:$B,$B36,ConfirmedRaw!CA:CA)</f>
        <v>0</v>
      </c>
      <c r="BZ36">
        <f>SUMIF(ConfirmedRaw!$B:$B,$B36,ConfirmedRaw!CB:CB)</f>
        <v>0</v>
      </c>
      <c r="CA36">
        <f>SUMIF(ConfirmedRaw!$B:$B,$B36,ConfirmedRaw!CC:CC)</f>
        <v>0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0</v>
      </c>
      <c r="BX37">
        <f>SUMIF(ConfirmedRaw!$B:$B,$B37,ConfirmedRaw!BZ:BZ)</f>
        <v>0</v>
      </c>
      <c r="BY37">
        <f>SUMIF(ConfirmedRaw!$B:$B,$B37,ConfirmedRaw!CA:CA)</f>
        <v>0</v>
      </c>
      <c r="BZ37">
        <f>SUMIF(ConfirmedRaw!$B:$B,$B37,ConfirmedRaw!CB:CB)</f>
        <v>0</v>
      </c>
      <c r="CA37">
        <f>SUMIF(ConfirmedRaw!$B:$B,$B37,ConfirmedRaw!CC:CC)</f>
        <v>0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0</v>
      </c>
      <c r="BX38">
        <f>SUMIF(ConfirmedRaw!$B:$B,$B38,ConfirmedRaw!BZ:BZ)</f>
        <v>0</v>
      </c>
      <c r="BY38">
        <f>SUMIF(ConfirmedRaw!$B:$B,$B38,ConfirmedRaw!CA:CA)</f>
        <v>0</v>
      </c>
      <c r="BZ38">
        <f>SUMIF(ConfirmedRaw!$B:$B,$B38,ConfirmedRaw!CB:CB)</f>
        <v>0</v>
      </c>
      <c r="CA38">
        <f>SUMIF(ConfirmedRaw!$B:$B,$B38,ConfirmedRaw!CC:CC)</f>
        <v>0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0</v>
      </c>
      <c r="BX39">
        <f>SUMIF(ConfirmedRaw!$B:$B,$B39,ConfirmedRaw!BZ:BZ)</f>
        <v>0</v>
      </c>
      <c r="BY39">
        <f>SUMIF(ConfirmedRaw!$B:$B,$B39,ConfirmedRaw!CA:CA)</f>
        <v>0</v>
      </c>
      <c r="BZ39">
        <f>SUMIF(ConfirmedRaw!$B:$B,$B39,ConfirmedRaw!CB:CB)</f>
        <v>0</v>
      </c>
      <c r="CA39">
        <f>SUMIF(ConfirmedRaw!$B:$B,$B39,ConfirmedRaw!CC:CC)</f>
        <v>0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0</v>
      </c>
      <c r="BX40">
        <f>SUMIF(ConfirmedRaw!$B:$B,$B40,ConfirmedRaw!BZ:BZ)</f>
        <v>0</v>
      </c>
      <c r="BY40">
        <f>SUMIF(ConfirmedRaw!$B:$B,$B40,ConfirmedRaw!CA:CA)</f>
        <v>0</v>
      </c>
      <c r="BZ40">
        <f>SUMIF(ConfirmedRaw!$B:$B,$B40,ConfirmedRaw!CB:CB)</f>
        <v>0</v>
      </c>
      <c r="CA40">
        <f>SUMIF(ConfirmedRaw!$B:$B,$B40,ConfirmedRaw!CC:CC)</f>
        <v>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0</v>
      </c>
      <c r="BX41">
        <f>SUMIF(ConfirmedRaw!$B:$B,$B41,ConfirmedRaw!BZ:BZ)</f>
        <v>0</v>
      </c>
      <c r="BY41">
        <f>SUMIF(ConfirmedRaw!$B:$B,$B41,ConfirmedRaw!CA:CA)</f>
        <v>0</v>
      </c>
      <c r="BZ41">
        <f>SUMIF(ConfirmedRaw!$B:$B,$B41,ConfirmedRaw!CB:CB)</f>
        <v>0</v>
      </c>
      <c r="CA41">
        <f>SUMIF(ConfirmedRaw!$B:$B,$B41,ConfirmedRaw!CC:CC)</f>
        <v>0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0</v>
      </c>
      <c r="BX42">
        <f>SUMIF(ConfirmedRaw!$B:$B,$B42,ConfirmedRaw!BZ:BZ)</f>
        <v>0</v>
      </c>
      <c r="BY42">
        <f>SUMIF(ConfirmedRaw!$B:$B,$B42,ConfirmedRaw!CA:CA)</f>
        <v>0</v>
      </c>
      <c r="BZ42">
        <f>SUMIF(ConfirmedRaw!$B:$B,$B42,ConfirmedRaw!CB:CB)</f>
        <v>0</v>
      </c>
      <c r="CA42">
        <f>SUMIF(ConfirmedRaw!$B:$B,$B42,ConfirmedRaw!CC:CC)</f>
        <v>0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0</v>
      </c>
      <c r="BX43">
        <f>SUMIF(ConfirmedRaw!$B:$B,$B43,ConfirmedRaw!BZ:BZ)</f>
        <v>0</v>
      </c>
      <c r="BY43">
        <f>SUMIF(ConfirmedRaw!$B:$B,$B43,ConfirmedRaw!CA:CA)</f>
        <v>0</v>
      </c>
      <c r="BZ43">
        <f>SUMIF(ConfirmedRaw!$B:$B,$B43,ConfirmedRaw!CB:CB)</f>
        <v>0</v>
      </c>
      <c r="CA43">
        <f>SUMIF(ConfirmedRaw!$B:$B,$B43,ConfirmedRaw!CC:CC)</f>
        <v>0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0</v>
      </c>
      <c r="BX44">
        <f>SUMIF(ConfirmedRaw!$B:$B,$B44,ConfirmedRaw!BZ:BZ)</f>
        <v>0</v>
      </c>
      <c r="BY44">
        <f>SUMIF(ConfirmedRaw!$B:$B,$B44,ConfirmedRaw!CA:CA)</f>
        <v>0</v>
      </c>
      <c r="BZ44">
        <f>SUMIF(ConfirmedRaw!$B:$B,$B44,ConfirmedRaw!CB:CB)</f>
        <v>0</v>
      </c>
      <c r="CA44">
        <f>SUMIF(ConfirmedRaw!$B:$B,$B44,ConfirmedRaw!CC:CC)</f>
        <v>0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0</v>
      </c>
      <c r="BX45">
        <f>SUMIF(ConfirmedRaw!$B:$B,$B45,ConfirmedRaw!BZ:BZ)</f>
        <v>0</v>
      </c>
      <c r="BY45">
        <f>SUMIF(ConfirmedRaw!$B:$B,$B45,ConfirmedRaw!CA:CA)</f>
        <v>0</v>
      </c>
      <c r="BZ45">
        <f>SUMIF(ConfirmedRaw!$B:$B,$B45,ConfirmedRaw!CB:CB)</f>
        <v>0</v>
      </c>
      <c r="CA45">
        <f>SUMIF(ConfirmedRaw!$B:$B,$B45,ConfirmedRaw!CC:CC)</f>
        <v>0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0</v>
      </c>
      <c r="BX46">
        <f>SUMIF(ConfirmedRaw!$B:$B,$B46,ConfirmedRaw!BZ:BZ)</f>
        <v>0</v>
      </c>
      <c r="BY46">
        <f>SUMIF(ConfirmedRaw!$B:$B,$B46,ConfirmedRaw!CA:CA)</f>
        <v>0</v>
      </c>
      <c r="BZ46">
        <f>SUMIF(ConfirmedRaw!$B:$B,$B46,ConfirmedRaw!CB:CB)</f>
        <v>0</v>
      </c>
      <c r="CA46">
        <f>SUMIF(ConfirmedRaw!$B:$B,$B46,ConfirmedRaw!CC:CC)</f>
        <v>0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0</v>
      </c>
      <c r="BX47">
        <f>SUMIF(ConfirmedRaw!$B:$B,$B47,ConfirmedRaw!BZ:BZ)</f>
        <v>0</v>
      </c>
      <c r="BY47">
        <f>SUMIF(ConfirmedRaw!$B:$B,$B47,ConfirmedRaw!CA:CA)</f>
        <v>0</v>
      </c>
      <c r="BZ47">
        <f>SUMIF(ConfirmedRaw!$B:$B,$B47,ConfirmedRaw!CB:CB)</f>
        <v>0</v>
      </c>
      <c r="CA47">
        <f>SUMIF(ConfirmedRaw!$B:$B,$B47,ConfirmedRaw!CC:CC)</f>
        <v>0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0</v>
      </c>
      <c r="BX48">
        <f>SUMIF(ConfirmedRaw!$B:$B,$B48,ConfirmedRaw!BZ:BZ)</f>
        <v>0</v>
      </c>
      <c r="BY48">
        <f>SUMIF(ConfirmedRaw!$B:$B,$B48,ConfirmedRaw!CA:CA)</f>
        <v>0</v>
      </c>
      <c r="BZ48">
        <f>SUMIF(ConfirmedRaw!$B:$B,$B48,ConfirmedRaw!CB:CB)</f>
        <v>0</v>
      </c>
      <c r="CA48">
        <f>SUMIF(ConfirmedRaw!$B:$B,$B48,ConfirmedRaw!CC:CC)</f>
        <v>0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0</v>
      </c>
      <c r="BX49">
        <f>SUMIF(ConfirmedRaw!$B:$B,$B49,ConfirmedRaw!BZ:BZ)</f>
        <v>0</v>
      </c>
      <c r="BY49">
        <f>SUMIF(ConfirmedRaw!$B:$B,$B49,ConfirmedRaw!CA:CA)</f>
        <v>0</v>
      </c>
      <c r="BZ49">
        <f>SUMIF(ConfirmedRaw!$B:$B,$B49,ConfirmedRaw!CB:CB)</f>
        <v>0</v>
      </c>
      <c r="CA49">
        <f>SUMIF(ConfirmedRaw!$B:$B,$B49,ConfirmedRaw!CC:CC)</f>
        <v>0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0</v>
      </c>
      <c r="BX50">
        <f>SUMIF(ConfirmedRaw!$B:$B,$B50,ConfirmedRaw!BZ:BZ)</f>
        <v>0</v>
      </c>
      <c r="BY50">
        <f>SUMIF(ConfirmedRaw!$B:$B,$B50,ConfirmedRaw!CA:CA)</f>
        <v>0</v>
      </c>
      <c r="BZ50">
        <f>SUMIF(ConfirmedRaw!$B:$B,$B50,ConfirmedRaw!CB:CB)</f>
        <v>0</v>
      </c>
      <c r="CA50">
        <f>SUMIF(ConfirmedRaw!$B:$B,$B50,ConfirmedRaw!CC:CC)</f>
        <v>0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0</v>
      </c>
      <c r="BX51">
        <f>SUMIF(ConfirmedRaw!$B:$B,$B51,ConfirmedRaw!BZ:BZ)</f>
        <v>0</v>
      </c>
      <c r="BY51">
        <f>SUMIF(ConfirmedRaw!$B:$B,$B51,ConfirmedRaw!CA:CA)</f>
        <v>0</v>
      </c>
      <c r="BZ51">
        <f>SUMIF(ConfirmedRaw!$B:$B,$B51,ConfirmedRaw!CB:CB)</f>
        <v>0</v>
      </c>
      <c r="CA51">
        <f>SUMIF(ConfirmedRaw!$B:$B,$B51,ConfirmedRaw!CC:CC)</f>
        <v>0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0</v>
      </c>
      <c r="BX52">
        <f>SUMIF(ConfirmedRaw!$B:$B,$B52,ConfirmedRaw!BZ:BZ)</f>
        <v>0</v>
      </c>
      <c r="BY52">
        <f>SUMIF(ConfirmedRaw!$B:$B,$B52,ConfirmedRaw!CA:CA)</f>
        <v>0</v>
      </c>
      <c r="BZ52">
        <f>SUMIF(ConfirmedRaw!$B:$B,$B52,ConfirmedRaw!CB:CB)</f>
        <v>0</v>
      </c>
      <c r="CA52">
        <f>SUMIF(ConfirmedRaw!$B:$B,$B52,ConfirmedRaw!CC:CC)</f>
        <v>0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0</v>
      </c>
      <c r="BX53">
        <f>SUMIF(ConfirmedRaw!$B:$B,$B53,ConfirmedRaw!BZ:BZ)</f>
        <v>0</v>
      </c>
      <c r="BY53">
        <f>SUMIF(ConfirmedRaw!$B:$B,$B53,ConfirmedRaw!CA:CA)</f>
        <v>0</v>
      </c>
      <c r="BZ53">
        <f>SUMIF(ConfirmedRaw!$B:$B,$B53,ConfirmedRaw!CB:CB)</f>
        <v>0</v>
      </c>
      <c r="CA53">
        <f>SUMIF(ConfirmedRaw!$B:$B,$B53,ConfirmedRaw!CC:CC)</f>
        <v>0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0</v>
      </c>
      <c r="BX54">
        <f>SUMIF(ConfirmedRaw!$B:$B,$B54,ConfirmedRaw!BZ:BZ)</f>
        <v>0</v>
      </c>
      <c r="BY54">
        <f>SUMIF(ConfirmedRaw!$B:$B,$B54,ConfirmedRaw!CA:CA)</f>
        <v>0</v>
      </c>
      <c r="BZ54">
        <f>SUMIF(ConfirmedRaw!$B:$B,$B54,ConfirmedRaw!CB:CB)</f>
        <v>0</v>
      </c>
      <c r="CA54">
        <f>SUMIF(ConfirmedRaw!$B:$B,$B54,ConfirmedRaw!CC:CC)</f>
        <v>0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0</v>
      </c>
      <c r="BX55">
        <f>SUMIF(ConfirmedRaw!$B:$B,$B55,ConfirmedRaw!BZ:BZ)</f>
        <v>0</v>
      </c>
      <c r="BY55">
        <f>SUMIF(ConfirmedRaw!$B:$B,$B55,ConfirmedRaw!CA:CA)</f>
        <v>0</v>
      </c>
      <c r="BZ55">
        <f>SUMIF(ConfirmedRaw!$B:$B,$B55,ConfirmedRaw!CB:CB)</f>
        <v>0</v>
      </c>
      <c r="CA55">
        <f>SUMIF(ConfirmedRaw!$B:$B,$B55,ConfirmedRaw!CC:CC)</f>
        <v>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0</v>
      </c>
      <c r="BX56">
        <f>SUMIF(ConfirmedRaw!$B:$B,$B56,ConfirmedRaw!BZ:BZ)</f>
        <v>0</v>
      </c>
      <c r="BY56">
        <f>SUMIF(ConfirmedRaw!$B:$B,$B56,ConfirmedRaw!CA:CA)</f>
        <v>0</v>
      </c>
      <c r="BZ56">
        <f>SUMIF(ConfirmedRaw!$B:$B,$B56,ConfirmedRaw!CB:CB)</f>
        <v>0</v>
      </c>
      <c r="CA56">
        <f>SUMIF(ConfirmedRaw!$B:$B,$B56,ConfirmedRaw!CC:CC)</f>
        <v>0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0</v>
      </c>
      <c r="BX57">
        <f>SUMIF(ConfirmedRaw!$B:$B,$B57,ConfirmedRaw!BZ:BZ)</f>
        <v>0</v>
      </c>
      <c r="BY57">
        <f>SUMIF(ConfirmedRaw!$B:$B,$B57,ConfirmedRaw!CA:CA)</f>
        <v>0</v>
      </c>
      <c r="BZ57">
        <f>SUMIF(ConfirmedRaw!$B:$B,$B57,ConfirmedRaw!CB:CB)</f>
        <v>0</v>
      </c>
      <c r="CA57">
        <f>SUMIF(ConfirmedRaw!$B:$B,$B57,ConfirmedRaw!CC:CC)</f>
        <v>0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0</v>
      </c>
      <c r="BX58">
        <f>SUMIF(ConfirmedRaw!$B:$B,$B58,ConfirmedRaw!BZ:BZ)</f>
        <v>0</v>
      </c>
      <c r="BY58">
        <f>SUMIF(ConfirmedRaw!$B:$B,$B58,ConfirmedRaw!CA:CA)</f>
        <v>0</v>
      </c>
      <c r="BZ58">
        <f>SUMIF(ConfirmedRaw!$B:$B,$B58,ConfirmedRaw!CB:CB)</f>
        <v>0</v>
      </c>
      <c r="CA58">
        <f>SUMIF(ConfirmedRaw!$B:$B,$B58,ConfirmedRaw!CC:CC)</f>
        <v>0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0</v>
      </c>
      <c r="BX59">
        <f>SUMIF(ConfirmedRaw!$B:$B,$B59,ConfirmedRaw!BZ:BZ)</f>
        <v>0</v>
      </c>
      <c r="BY59">
        <f>SUMIF(ConfirmedRaw!$B:$B,$B59,ConfirmedRaw!CA:CA)</f>
        <v>0</v>
      </c>
      <c r="BZ59">
        <f>SUMIF(ConfirmedRaw!$B:$B,$B59,ConfirmedRaw!CB:CB)</f>
        <v>0</v>
      </c>
      <c r="CA59">
        <f>SUMIF(ConfirmedRaw!$B:$B,$B59,ConfirmedRaw!CC:CC)</f>
        <v>0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0</v>
      </c>
      <c r="BX60">
        <f>SUMIF(ConfirmedRaw!$B:$B,$B60,ConfirmedRaw!BZ:BZ)</f>
        <v>0</v>
      </c>
      <c r="BY60">
        <f>SUMIF(ConfirmedRaw!$B:$B,$B60,ConfirmedRaw!CA:CA)</f>
        <v>0</v>
      </c>
      <c r="BZ60">
        <f>SUMIF(ConfirmedRaw!$B:$B,$B60,ConfirmedRaw!CB:CB)</f>
        <v>0</v>
      </c>
      <c r="CA60">
        <f>SUMIF(ConfirmedRaw!$B:$B,$B60,ConfirmedRaw!CC:CC)</f>
        <v>0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0</v>
      </c>
      <c r="BX61">
        <f>SUMIF(ConfirmedRaw!$B:$B,$B61,ConfirmedRaw!BZ:BZ)</f>
        <v>0</v>
      </c>
      <c r="BY61">
        <f>SUMIF(ConfirmedRaw!$B:$B,$B61,ConfirmedRaw!CA:CA)</f>
        <v>0</v>
      </c>
      <c r="BZ61">
        <f>SUMIF(ConfirmedRaw!$B:$B,$B61,ConfirmedRaw!CB:CB)</f>
        <v>0</v>
      </c>
      <c r="CA61">
        <f>SUMIF(ConfirmedRaw!$B:$B,$B61,ConfirmedRaw!CC:CC)</f>
        <v>0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0</v>
      </c>
      <c r="BX62">
        <f>SUMIF(ConfirmedRaw!$B:$B,$B62,ConfirmedRaw!BZ:BZ)</f>
        <v>0</v>
      </c>
      <c r="BY62">
        <f>SUMIF(ConfirmedRaw!$B:$B,$B62,ConfirmedRaw!CA:CA)</f>
        <v>0</v>
      </c>
      <c r="BZ62">
        <f>SUMIF(ConfirmedRaw!$B:$B,$B62,ConfirmedRaw!CB:CB)</f>
        <v>0</v>
      </c>
      <c r="CA62">
        <f>SUMIF(ConfirmedRaw!$B:$B,$B62,ConfirmedRaw!CC:CC)</f>
        <v>0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0</v>
      </c>
      <c r="BX63">
        <f>SUMIF(ConfirmedRaw!$B:$B,$B63,ConfirmedRaw!BZ:BZ)</f>
        <v>0</v>
      </c>
      <c r="BY63">
        <f>SUMIF(ConfirmedRaw!$B:$B,$B63,ConfirmedRaw!CA:CA)</f>
        <v>0</v>
      </c>
      <c r="BZ63">
        <f>SUMIF(ConfirmedRaw!$B:$B,$B63,ConfirmedRaw!CB:CB)</f>
        <v>0</v>
      </c>
      <c r="CA63">
        <f>SUMIF(ConfirmedRaw!$B:$B,$B63,ConfirmedRaw!CC:CC)</f>
        <v>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0</v>
      </c>
      <c r="BX64">
        <f>SUMIF(ConfirmedRaw!$B:$B,$B64,ConfirmedRaw!BZ:BZ)</f>
        <v>0</v>
      </c>
      <c r="BY64">
        <f>SUMIF(ConfirmedRaw!$B:$B,$B64,ConfirmedRaw!CA:CA)</f>
        <v>0</v>
      </c>
      <c r="BZ64">
        <f>SUMIF(ConfirmedRaw!$B:$B,$B64,ConfirmedRaw!CB:CB)</f>
        <v>0</v>
      </c>
      <c r="CA64">
        <f>SUMIF(ConfirmedRaw!$B:$B,$B64,ConfirmedRaw!CC:CC)</f>
        <v>0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0</v>
      </c>
      <c r="BX65">
        <f>SUMIF(ConfirmedRaw!$B:$B,$B65,ConfirmedRaw!BZ:BZ)</f>
        <v>0</v>
      </c>
      <c r="BY65">
        <f>SUMIF(ConfirmedRaw!$B:$B,$B65,ConfirmedRaw!CA:CA)</f>
        <v>0</v>
      </c>
      <c r="BZ65">
        <f>SUMIF(ConfirmedRaw!$B:$B,$B65,ConfirmedRaw!CB:CB)</f>
        <v>0</v>
      </c>
      <c r="CA65">
        <f>SUMIF(ConfirmedRaw!$B:$B,$B65,ConfirmedRaw!CC:CC)</f>
        <v>0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0</v>
      </c>
      <c r="BX66">
        <f>SUMIF(ConfirmedRaw!$B:$B,$B66,ConfirmedRaw!BZ:BZ)</f>
        <v>0</v>
      </c>
      <c r="BY66">
        <f>SUMIF(ConfirmedRaw!$B:$B,$B66,ConfirmedRaw!CA:CA)</f>
        <v>0</v>
      </c>
      <c r="BZ66">
        <f>SUMIF(ConfirmedRaw!$B:$B,$B66,ConfirmedRaw!CB:CB)</f>
        <v>0</v>
      </c>
      <c r="CA66">
        <f>SUMIF(ConfirmedRaw!$B:$B,$B66,ConfirmedRaw!CC:CC)</f>
        <v>0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0</v>
      </c>
      <c r="BX67">
        <f>SUMIF(ConfirmedRaw!$B:$B,$B67,ConfirmedRaw!BZ:BZ)</f>
        <v>0</v>
      </c>
      <c r="BY67">
        <f>SUMIF(ConfirmedRaw!$B:$B,$B67,ConfirmedRaw!CA:CA)</f>
        <v>0</v>
      </c>
      <c r="BZ67">
        <f>SUMIF(ConfirmedRaw!$B:$B,$B67,ConfirmedRaw!CB:CB)</f>
        <v>0</v>
      </c>
      <c r="CA67">
        <f>SUMIF(ConfirmedRaw!$B:$B,$B67,ConfirmedRaw!CC:CC)</f>
        <v>0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0</v>
      </c>
      <c r="BX68">
        <f>SUMIF(ConfirmedRaw!$B:$B,$B68,ConfirmedRaw!BZ:BZ)</f>
        <v>0</v>
      </c>
      <c r="BY68">
        <f>SUMIF(ConfirmedRaw!$B:$B,$B68,ConfirmedRaw!CA:CA)</f>
        <v>0</v>
      </c>
      <c r="BZ68">
        <f>SUMIF(ConfirmedRaw!$B:$B,$B68,ConfirmedRaw!CB:CB)</f>
        <v>0</v>
      </c>
      <c r="CA68">
        <f>SUMIF(ConfirmedRaw!$B:$B,$B68,ConfirmedRaw!CC:CC)</f>
        <v>0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0</v>
      </c>
      <c r="BX69">
        <f>SUMIF(ConfirmedRaw!$B:$B,$B69,ConfirmedRaw!BZ:BZ)</f>
        <v>0</v>
      </c>
      <c r="BY69">
        <f>SUMIF(ConfirmedRaw!$B:$B,$B69,ConfirmedRaw!CA:CA)</f>
        <v>0</v>
      </c>
      <c r="BZ69">
        <f>SUMIF(ConfirmedRaw!$B:$B,$B69,ConfirmedRaw!CB:CB)</f>
        <v>0</v>
      </c>
      <c r="CA69">
        <f>SUMIF(ConfirmedRaw!$B:$B,$B69,ConfirmedRaw!CC:CC)</f>
        <v>0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0</v>
      </c>
      <c r="BX70">
        <f>SUMIF(ConfirmedRaw!$B:$B,$B70,ConfirmedRaw!BZ:BZ)</f>
        <v>0</v>
      </c>
      <c r="BY70">
        <f>SUMIF(ConfirmedRaw!$B:$B,$B70,ConfirmedRaw!CA:CA)</f>
        <v>0</v>
      </c>
      <c r="BZ70">
        <f>SUMIF(ConfirmedRaw!$B:$B,$B70,ConfirmedRaw!CB:CB)</f>
        <v>0</v>
      </c>
      <c r="CA70">
        <f>SUMIF(ConfirmedRaw!$B:$B,$B70,ConfirmedRaw!CC:CC)</f>
        <v>0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0</v>
      </c>
      <c r="BX71">
        <f>SUMIF(ConfirmedRaw!$B:$B,$B71,ConfirmedRaw!BZ:BZ)</f>
        <v>0</v>
      </c>
      <c r="BY71">
        <f>SUMIF(ConfirmedRaw!$B:$B,$B71,ConfirmedRaw!CA:CA)</f>
        <v>0</v>
      </c>
      <c r="BZ71">
        <f>SUMIF(ConfirmedRaw!$B:$B,$B71,ConfirmedRaw!CB:CB)</f>
        <v>0</v>
      </c>
      <c r="CA71">
        <f>SUMIF(ConfirmedRaw!$B:$B,$B71,ConfirmedRaw!CC:CC)</f>
        <v>0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0</v>
      </c>
      <c r="BX72">
        <f>SUMIF(ConfirmedRaw!$B:$B,$B72,ConfirmedRaw!BZ:BZ)</f>
        <v>0</v>
      </c>
      <c r="BY72">
        <f>SUMIF(ConfirmedRaw!$B:$B,$B72,ConfirmedRaw!CA:CA)</f>
        <v>0</v>
      </c>
      <c r="BZ72">
        <f>SUMIF(ConfirmedRaw!$B:$B,$B72,ConfirmedRaw!CB:CB)</f>
        <v>0</v>
      </c>
      <c r="CA72">
        <f>SUMIF(ConfirmedRaw!$B:$B,$B72,ConfirmedRaw!CC:CC)</f>
        <v>0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0</v>
      </c>
      <c r="BX73">
        <f>SUMIF(ConfirmedRaw!$B:$B,$B73,ConfirmedRaw!BZ:BZ)</f>
        <v>0</v>
      </c>
      <c r="BY73">
        <f>SUMIF(ConfirmedRaw!$B:$B,$B73,ConfirmedRaw!CA:CA)</f>
        <v>0</v>
      </c>
      <c r="BZ73">
        <f>SUMIF(ConfirmedRaw!$B:$B,$B73,ConfirmedRaw!CB:CB)</f>
        <v>0</v>
      </c>
      <c r="CA73">
        <f>SUMIF(ConfirmedRaw!$B:$B,$B73,ConfirmedRaw!CC:CC)</f>
        <v>0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0</v>
      </c>
      <c r="BX74">
        <f>SUMIF(ConfirmedRaw!$B:$B,$B74,ConfirmedRaw!BZ:BZ)</f>
        <v>0</v>
      </c>
      <c r="BY74">
        <f>SUMIF(ConfirmedRaw!$B:$B,$B74,ConfirmedRaw!CA:CA)</f>
        <v>0</v>
      </c>
      <c r="BZ74">
        <f>SUMIF(ConfirmedRaw!$B:$B,$B74,ConfirmedRaw!CB:CB)</f>
        <v>0</v>
      </c>
      <c r="CA74">
        <f>SUMIF(ConfirmedRaw!$B:$B,$B74,ConfirmedRaw!CC:CC)</f>
        <v>0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0</v>
      </c>
      <c r="BX75">
        <f>SUMIF(ConfirmedRaw!$B:$B,$B75,ConfirmedRaw!BZ:BZ)</f>
        <v>0</v>
      </c>
      <c r="BY75">
        <f>SUMIF(ConfirmedRaw!$B:$B,$B75,ConfirmedRaw!CA:CA)</f>
        <v>0</v>
      </c>
      <c r="BZ75">
        <f>SUMIF(ConfirmedRaw!$B:$B,$B75,ConfirmedRaw!CB:CB)</f>
        <v>0</v>
      </c>
      <c r="CA75">
        <f>SUMIF(ConfirmedRaw!$B:$B,$B75,ConfirmedRaw!CC:CC)</f>
        <v>0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0</v>
      </c>
      <c r="BX76">
        <f>SUMIF(ConfirmedRaw!$B:$B,$B76,ConfirmedRaw!BZ:BZ)</f>
        <v>0</v>
      </c>
      <c r="BY76">
        <f>SUMIF(ConfirmedRaw!$B:$B,$B76,ConfirmedRaw!CA:CA)</f>
        <v>0</v>
      </c>
      <c r="BZ76">
        <f>SUMIF(ConfirmedRaw!$B:$B,$B76,ConfirmedRaw!CB:CB)</f>
        <v>0</v>
      </c>
      <c r="CA76">
        <f>SUMIF(ConfirmedRaw!$B:$B,$B76,ConfirmedRaw!CC:CC)</f>
        <v>0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0</v>
      </c>
      <c r="BX77">
        <f>SUMIF(ConfirmedRaw!$B:$B,$B77,ConfirmedRaw!BZ:BZ)</f>
        <v>0</v>
      </c>
      <c r="BY77">
        <f>SUMIF(ConfirmedRaw!$B:$B,$B77,ConfirmedRaw!CA:CA)</f>
        <v>0</v>
      </c>
      <c r="BZ77">
        <f>SUMIF(ConfirmedRaw!$B:$B,$B77,ConfirmedRaw!CB:CB)</f>
        <v>0</v>
      </c>
      <c r="CA77">
        <f>SUMIF(ConfirmedRaw!$B:$B,$B77,ConfirmedRaw!CC:CC)</f>
        <v>0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0</v>
      </c>
      <c r="BX78">
        <f>SUMIF(ConfirmedRaw!$B:$B,$B78,ConfirmedRaw!BZ:BZ)</f>
        <v>0</v>
      </c>
      <c r="BY78">
        <f>SUMIF(ConfirmedRaw!$B:$B,$B78,ConfirmedRaw!CA:CA)</f>
        <v>0</v>
      </c>
      <c r="BZ78">
        <f>SUMIF(ConfirmedRaw!$B:$B,$B78,ConfirmedRaw!CB:CB)</f>
        <v>0</v>
      </c>
      <c r="CA78">
        <f>SUMIF(ConfirmedRaw!$B:$B,$B78,ConfirmedRaw!CC:CC)</f>
        <v>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0</v>
      </c>
      <c r="BX79">
        <f>SUMIF(ConfirmedRaw!$B:$B,$B79,ConfirmedRaw!BZ:BZ)</f>
        <v>0</v>
      </c>
      <c r="BY79">
        <f>SUMIF(ConfirmedRaw!$B:$B,$B79,ConfirmedRaw!CA:CA)</f>
        <v>0</v>
      </c>
      <c r="BZ79">
        <f>SUMIF(ConfirmedRaw!$B:$B,$B79,ConfirmedRaw!CB:CB)</f>
        <v>0</v>
      </c>
      <c r="CA79">
        <f>SUMIF(ConfirmedRaw!$B:$B,$B79,ConfirmedRaw!CC:CC)</f>
        <v>0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0</v>
      </c>
      <c r="BX80">
        <f>SUMIF(ConfirmedRaw!$B:$B,$B80,ConfirmedRaw!BZ:BZ)</f>
        <v>0</v>
      </c>
      <c r="BY80">
        <f>SUMIF(ConfirmedRaw!$B:$B,$B80,ConfirmedRaw!CA:CA)</f>
        <v>0</v>
      </c>
      <c r="BZ80">
        <f>SUMIF(ConfirmedRaw!$B:$B,$B80,ConfirmedRaw!CB:CB)</f>
        <v>0</v>
      </c>
      <c r="CA80">
        <f>SUMIF(ConfirmedRaw!$B:$B,$B80,ConfirmedRaw!CC:CC)</f>
        <v>0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0</v>
      </c>
      <c r="BX81">
        <f>SUMIF(ConfirmedRaw!$B:$B,$B81,ConfirmedRaw!BZ:BZ)</f>
        <v>0</v>
      </c>
      <c r="BY81">
        <f>SUMIF(ConfirmedRaw!$B:$B,$B81,ConfirmedRaw!CA:CA)</f>
        <v>0</v>
      </c>
      <c r="BZ81">
        <f>SUMIF(ConfirmedRaw!$B:$B,$B81,ConfirmedRaw!CB:CB)</f>
        <v>0</v>
      </c>
      <c r="CA81">
        <f>SUMIF(ConfirmedRaw!$B:$B,$B81,ConfirmedRaw!CC:CC)</f>
        <v>0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0</v>
      </c>
      <c r="BX82">
        <f>SUMIF(ConfirmedRaw!$B:$B,$B82,ConfirmedRaw!BZ:BZ)</f>
        <v>0</v>
      </c>
      <c r="BY82">
        <f>SUMIF(ConfirmedRaw!$B:$B,$B82,ConfirmedRaw!CA:CA)</f>
        <v>0</v>
      </c>
      <c r="BZ82">
        <f>SUMIF(ConfirmedRaw!$B:$B,$B82,ConfirmedRaw!CB:CB)</f>
        <v>0</v>
      </c>
      <c r="CA82">
        <f>SUMIF(ConfirmedRaw!$B:$B,$B82,ConfirmedRaw!CC:CC)</f>
        <v>0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0</v>
      </c>
      <c r="BX83">
        <f>SUMIF(ConfirmedRaw!$B:$B,$B83,ConfirmedRaw!BZ:BZ)</f>
        <v>0</v>
      </c>
      <c r="BY83">
        <f>SUMIF(ConfirmedRaw!$B:$B,$B83,ConfirmedRaw!CA:CA)</f>
        <v>0</v>
      </c>
      <c r="BZ83">
        <f>SUMIF(ConfirmedRaw!$B:$B,$B83,ConfirmedRaw!CB:CB)</f>
        <v>0</v>
      </c>
      <c r="CA83">
        <f>SUMIF(ConfirmedRaw!$B:$B,$B83,ConfirmedRaw!CC:CC)</f>
        <v>0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0</v>
      </c>
      <c r="BX84">
        <f>SUMIF(ConfirmedRaw!$B:$B,$B84,ConfirmedRaw!BZ:BZ)</f>
        <v>0</v>
      </c>
      <c r="BY84">
        <f>SUMIF(ConfirmedRaw!$B:$B,$B84,ConfirmedRaw!CA:CA)</f>
        <v>0</v>
      </c>
      <c r="BZ84">
        <f>SUMIF(ConfirmedRaw!$B:$B,$B84,ConfirmedRaw!CB:CB)</f>
        <v>0</v>
      </c>
      <c r="CA84">
        <f>SUMIF(ConfirmedRaw!$B:$B,$B84,ConfirmedRaw!CC:CC)</f>
        <v>0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0</v>
      </c>
      <c r="BX85">
        <f>SUMIF(ConfirmedRaw!$B:$B,$B85,ConfirmedRaw!BZ:BZ)</f>
        <v>0</v>
      </c>
      <c r="BY85">
        <f>SUMIF(ConfirmedRaw!$B:$B,$B85,ConfirmedRaw!CA:CA)</f>
        <v>0</v>
      </c>
      <c r="BZ85">
        <f>SUMIF(ConfirmedRaw!$B:$B,$B85,ConfirmedRaw!CB:CB)</f>
        <v>0</v>
      </c>
      <c r="CA85">
        <f>SUMIF(ConfirmedRaw!$B:$B,$B85,ConfirmedRaw!CC:CC)</f>
        <v>0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0</v>
      </c>
      <c r="BX86">
        <f>SUMIF(ConfirmedRaw!$B:$B,$B86,ConfirmedRaw!BZ:BZ)</f>
        <v>0</v>
      </c>
      <c r="BY86">
        <f>SUMIF(ConfirmedRaw!$B:$B,$B86,ConfirmedRaw!CA:CA)</f>
        <v>0</v>
      </c>
      <c r="BZ86">
        <f>SUMIF(ConfirmedRaw!$B:$B,$B86,ConfirmedRaw!CB:CB)</f>
        <v>0</v>
      </c>
      <c r="CA86">
        <f>SUMIF(ConfirmedRaw!$B:$B,$B86,ConfirmedRaw!CC:CC)</f>
        <v>0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0</v>
      </c>
      <c r="BX87">
        <f>SUMIF(ConfirmedRaw!$B:$B,$B87,ConfirmedRaw!BZ:BZ)</f>
        <v>0</v>
      </c>
      <c r="BY87">
        <f>SUMIF(ConfirmedRaw!$B:$B,$B87,ConfirmedRaw!CA:CA)</f>
        <v>0</v>
      </c>
      <c r="BZ87">
        <f>SUMIF(ConfirmedRaw!$B:$B,$B87,ConfirmedRaw!CB:CB)</f>
        <v>0</v>
      </c>
      <c r="CA87">
        <f>SUMIF(ConfirmedRaw!$B:$B,$B87,ConfirmedRaw!CC:CC)</f>
        <v>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0</v>
      </c>
      <c r="BX88">
        <f>SUMIF(ConfirmedRaw!$B:$B,$B88,ConfirmedRaw!BZ:BZ)</f>
        <v>0</v>
      </c>
      <c r="BY88">
        <f>SUMIF(ConfirmedRaw!$B:$B,$B88,ConfirmedRaw!CA:CA)</f>
        <v>0</v>
      </c>
      <c r="BZ88">
        <f>SUMIF(ConfirmedRaw!$B:$B,$B88,ConfirmedRaw!CB:CB)</f>
        <v>0</v>
      </c>
      <c r="CA88">
        <f>SUMIF(ConfirmedRaw!$B:$B,$B88,ConfirmedRaw!CC:CC)</f>
        <v>0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0</v>
      </c>
      <c r="BX89">
        <f>SUMIF(ConfirmedRaw!$B:$B,$B89,ConfirmedRaw!BZ:BZ)</f>
        <v>0</v>
      </c>
      <c r="BY89">
        <f>SUMIF(ConfirmedRaw!$B:$B,$B89,ConfirmedRaw!CA:CA)</f>
        <v>0</v>
      </c>
      <c r="BZ89">
        <f>SUMIF(ConfirmedRaw!$B:$B,$B89,ConfirmedRaw!CB:CB)</f>
        <v>0</v>
      </c>
      <c r="CA89">
        <f>SUMIF(ConfirmedRaw!$B:$B,$B89,ConfirmedRaw!CC:CC)</f>
        <v>0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0</v>
      </c>
      <c r="BX90">
        <f>SUMIF(ConfirmedRaw!$B:$B,$B90,ConfirmedRaw!BZ:BZ)</f>
        <v>0</v>
      </c>
      <c r="BY90">
        <f>SUMIF(ConfirmedRaw!$B:$B,$B90,ConfirmedRaw!CA:CA)</f>
        <v>0</v>
      </c>
      <c r="BZ90">
        <f>SUMIF(ConfirmedRaw!$B:$B,$B90,ConfirmedRaw!CB:CB)</f>
        <v>0</v>
      </c>
      <c r="CA90">
        <f>SUMIF(ConfirmedRaw!$B:$B,$B90,ConfirmedRaw!CC:CC)</f>
        <v>0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0</v>
      </c>
      <c r="BX91">
        <f>SUMIF(ConfirmedRaw!$B:$B,$B91,ConfirmedRaw!BZ:BZ)</f>
        <v>0</v>
      </c>
      <c r="BY91">
        <f>SUMIF(ConfirmedRaw!$B:$B,$B91,ConfirmedRaw!CA:CA)</f>
        <v>0</v>
      </c>
      <c r="BZ91">
        <f>SUMIF(ConfirmedRaw!$B:$B,$B91,ConfirmedRaw!CB:CB)</f>
        <v>0</v>
      </c>
      <c r="CA91">
        <f>SUMIF(ConfirmedRaw!$B:$B,$B91,ConfirmedRaw!CC:CC)</f>
        <v>0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0</v>
      </c>
      <c r="BX92">
        <f>SUMIF(ConfirmedRaw!$B:$B,$B92,ConfirmedRaw!BZ:BZ)</f>
        <v>0</v>
      </c>
      <c r="BY92">
        <f>SUMIF(ConfirmedRaw!$B:$B,$B92,ConfirmedRaw!CA:CA)</f>
        <v>0</v>
      </c>
      <c r="BZ92">
        <f>SUMIF(ConfirmedRaw!$B:$B,$B92,ConfirmedRaw!CB:CB)</f>
        <v>0</v>
      </c>
      <c r="CA92">
        <f>SUMIF(ConfirmedRaw!$B:$B,$B92,ConfirmedRaw!CC:CC)</f>
        <v>0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0</v>
      </c>
      <c r="BX94">
        <f>SUMIF(ConfirmedRaw!$B:$B,$B94,ConfirmedRaw!BZ:BZ)</f>
        <v>0</v>
      </c>
      <c r="BY94">
        <f>SUMIF(ConfirmedRaw!$B:$B,$B94,ConfirmedRaw!CA:CA)</f>
        <v>0</v>
      </c>
      <c r="BZ94">
        <f>SUMIF(ConfirmedRaw!$B:$B,$B94,ConfirmedRaw!CB:CB)</f>
        <v>0</v>
      </c>
      <c r="CA94">
        <f>SUMIF(ConfirmedRaw!$B:$B,$B94,ConfirmedRaw!CC:CC)</f>
        <v>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0</v>
      </c>
      <c r="BX96">
        <f>SUMIF(ConfirmedRaw!$B:$B,$B96,ConfirmedRaw!BZ:BZ)</f>
        <v>0</v>
      </c>
      <c r="BY96">
        <f>SUMIF(ConfirmedRaw!$B:$B,$B96,ConfirmedRaw!CA:CA)</f>
        <v>0</v>
      </c>
      <c r="BZ96">
        <f>SUMIF(ConfirmedRaw!$B:$B,$B96,ConfirmedRaw!CB:CB)</f>
        <v>0</v>
      </c>
      <c r="CA96">
        <f>SUMIF(ConfirmedRaw!$B:$B,$B96,ConfirmedRaw!CC:CC)</f>
        <v>0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0</v>
      </c>
      <c r="BX97">
        <f>SUMIF(ConfirmedRaw!$B:$B,$B97,ConfirmedRaw!BZ:BZ)</f>
        <v>0</v>
      </c>
      <c r="BY97">
        <f>SUMIF(ConfirmedRaw!$B:$B,$B97,ConfirmedRaw!CA:CA)</f>
        <v>0</v>
      </c>
      <c r="BZ97">
        <f>SUMIF(ConfirmedRaw!$B:$B,$B97,ConfirmedRaw!CB:CB)</f>
        <v>0</v>
      </c>
      <c r="CA97">
        <f>SUMIF(ConfirmedRaw!$B:$B,$B97,ConfirmedRaw!CC:CC)</f>
        <v>0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0</v>
      </c>
      <c r="BX98">
        <f>SUMIF(ConfirmedRaw!$B:$B,$B98,ConfirmedRaw!BZ:BZ)</f>
        <v>0</v>
      </c>
      <c r="BY98">
        <f>SUMIF(ConfirmedRaw!$B:$B,$B98,ConfirmedRaw!CA:CA)</f>
        <v>0</v>
      </c>
      <c r="BZ98">
        <f>SUMIF(ConfirmedRaw!$B:$B,$B98,ConfirmedRaw!CB:CB)</f>
        <v>0</v>
      </c>
      <c r="CA98">
        <f>SUMIF(ConfirmedRaw!$B:$B,$B98,ConfirmedRaw!CC:CC)</f>
        <v>0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0</v>
      </c>
      <c r="BX99">
        <f>SUMIF(ConfirmedRaw!$B:$B,$B99,ConfirmedRaw!BZ:BZ)</f>
        <v>0</v>
      </c>
      <c r="BY99">
        <f>SUMIF(ConfirmedRaw!$B:$B,$B99,ConfirmedRaw!CA:CA)</f>
        <v>0</v>
      </c>
      <c r="BZ99">
        <f>SUMIF(ConfirmedRaw!$B:$B,$B99,ConfirmedRaw!CB:CB)</f>
        <v>0</v>
      </c>
      <c r="CA99">
        <f>SUMIF(ConfirmedRaw!$B:$B,$B99,ConfirmedRaw!CC:CC)</f>
        <v>0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0</v>
      </c>
      <c r="BX100">
        <f>SUMIF(ConfirmedRaw!$B:$B,$B100,ConfirmedRaw!BZ:BZ)</f>
        <v>0</v>
      </c>
      <c r="BY100">
        <f>SUMIF(ConfirmedRaw!$B:$B,$B100,ConfirmedRaw!CA:CA)</f>
        <v>0</v>
      </c>
      <c r="BZ100">
        <f>SUMIF(ConfirmedRaw!$B:$B,$B100,ConfirmedRaw!CB:CB)</f>
        <v>0</v>
      </c>
      <c r="CA100">
        <f>SUMIF(ConfirmedRaw!$B:$B,$B100,ConfirmedRaw!CC:CC)</f>
        <v>0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0</v>
      </c>
      <c r="BX102">
        <f>SUMIF(ConfirmedRaw!$B:$B,$B102,ConfirmedRaw!BZ:BZ)</f>
        <v>0</v>
      </c>
      <c r="BY102">
        <f>SUMIF(ConfirmedRaw!$B:$B,$B102,ConfirmedRaw!CA:CA)</f>
        <v>0</v>
      </c>
      <c r="BZ102">
        <f>SUMIF(ConfirmedRaw!$B:$B,$B102,ConfirmedRaw!CB:CB)</f>
        <v>0</v>
      </c>
      <c r="CA102">
        <f>SUMIF(ConfirmedRaw!$B:$B,$B102,ConfirmedRaw!CC:CC)</f>
        <v>0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0</v>
      </c>
      <c r="BX104">
        <f>SUMIF(ConfirmedRaw!$B:$B,$B104,ConfirmedRaw!BZ:BZ)</f>
        <v>0</v>
      </c>
      <c r="BY104">
        <f>SUMIF(ConfirmedRaw!$B:$B,$B104,ConfirmedRaw!CA:CA)</f>
        <v>0</v>
      </c>
      <c r="BZ104">
        <f>SUMIF(ConfirmedRaw!$B:$B,$B104,ConfirmedRaw!CB:CB)</f>
        <v>0</v>
      </c>
      <c r="CA104">
        <f>SUMIF(ConfirmedRaw!$B:$B,$B104,ConfirmedRaw!CC:CC)</f>
        <v>0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0</v>
      </c>
      <c r="BX105">
        <f>SUMIF(ConfirmedRaw!$B:$B,$B105,ConfirmedRaw!BZ:BZ)</f>
        <v>0</v>
      </c>
      <c r="BY105">
        <f>SUMIF(ConfirmedRaw!$B:$B,$B105,ConfirmedRaw!CA:CA)</f>
        <v>0</v>
      </c>
      <c r="BZ105">
        <f>SUMIF(ConfirmedRaw!$B:$B,$B105,ConfirmedRaw!CB:CB)</f>
        <v>0</v>
      </c>
      <c r="CA105">
        <f>SUMIF(ConfirmedRaw!$B:$B,$B105,ConfirmedRaw!CC:CC)</f>
        <v>0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0</v>
      </c>
      <c r="BX106">
        <f>SUMIF(ConfirmedRaw!$B:$B,$B106,ConfirmedRaw!BZ:BZ)</f>
        <v>0</v>
      </c>
      <c r="BY106">
        <f>SUMIF(ConfirmedRaw!$B:$B,$B106,ConfirmedRaw!CA:CA)</f>
        <v>0</v>
      </c>
      <c r="BZ106">
        <f>SUMIF(ConfirmedRaw!$B:$B,$B106,ConfirmedRaw!CB:CB)</f>
        <v>0</v>
      </c>
      <c r="CA106">
        <f>SUMIF(ConfirmedRaw!$B:$B,$B106,ConfirmedRaw!CC:CC)</f>
        <v>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0</v>
      </c>
      <c r="BX107">
        <f>SUMIF(ConfirmedRaw!$B:$B,$B107,ConfirmedRaw!BZ:BZ)</f>
        <v>0</v>
      </c>
      <c r="BY107">
        <f>SUMIF(ConfirmedRaw!$B:$B,$B107,ConfirmedRaw!CA:CA)</f>
        <v>0</v>
      </c>
      <c r="BZ107">
        <f>SUMIF(ConfirmedRaw!$B:$B,$B107,ConfirmedRaw!CB:CB)</f>
        <v>0</v>
      </c>
      <c r="CA107">
        <f>SUMIF(ConfirmedRaw!$B:$B,$B107,ConfirmedRaw!CC:CC)</f>
        <v>0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0</v>
      </c>
      <c r="BX108">
        <f>SUMIF(ConfirmedRaw!$B:$B,$B108,ConfirmedRaw!BZ:BZ)</f>
        <v>0</v>
      </c>
      <c r="BY108">
        <f>SUMIF(ConfirmedRaw!$B:$B,$B108,ConfirmedRaw!CA:CA)</f>
        <v>0</v>
      </c>
      <c r="BZ108">
        <f>SUMIF(ConfirmedRaw!$B:$B,$B108,ConfirmedRaw!CB:CB)</f>
        <v>0</v>
      </c>
      <c r="CA108">
        <f>SUMIF(ConfirmedRaw!$B:$B,$B108,ConfirmedRaw!CC:CC)</f>
        <v>0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0</v>
      </c>
      <c r="BX109">
        <f>SUMIF(ConfirmedRaw!$B:$B,$B109,ConfirmedRaw!BZ:BZ)</f>
        <v>0</v>
      </c>
      <c r="BY109">
        <f>SUMIF(ConfirmedRaw!$B:$B,$B109,ConfirmedRaw!CA:CA)</f>
        <v>0</v>
      </c>
      <c r="BZ109">
        <f>SUMIF(ConfirmedRaw!$B:$B,$B109,ConfirmedRaw!CB:CB)</f>
        <v>0</v>
      </c>
      <c r="CA109">
        <f>SUMIF(ConfirmedRaw!$B:$B,$B109,ConfirmedRaw!CC:CC)</f>
        <v>0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0</v>
      </c>
      <c r="BX110">
        <f>SUMIF(ConfirmedRaw!$B:$B,$B110,ConfirmedRaw!BZ:BZ)</f>
        <v>0</v>
      </c>
      <c r="BY110">
        <f>SUMIF(ConfirmedRaw!$B:$B,$B110,ConfirmedRaw!CA:CA)</f>
        <v>0</v>
      </c>
      <c r="BZ110">
        <f>SUMIF(ConfirmedRaw!$B:$B,$B110,ConfirmedRaw!CB:CB)</f>
        <v>0</v>
      </c>
      <c r="CA110">
        <f>SUMIF(ConfirmedRaw!$B:$B,$B110,ConfirmedRaw!CC:CC)</f>
        <v>0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0</v>
      </c>
      <c r="BX111">
        <f>SUMIF(ConfirmedRaw!$B:$B,$B111,ConfirmedRaw!BZ:BZ)</f>
        <v>0</v>
      </c>
      <c r="BY111">
        <f>SUMIF(ConfirmedRaw!$B:$B,$B111,ConfirmedRaw!CA:CA)</f>
        <v>0</v>
      </c>
      <c r="BZ111">
        <f>SUMIF(ConfirmedRaw!$B:$B,$B111,ConfirmedRaw!CB:CB)</f>
        <v>0</v>
      </c>
      <c r="CA111">
        <f>SUMIF(ConfirmedRaw!$B:$B,$B111,ConfirmedRaw!CC:CC)</f>
        <v>0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0</v>
      </c>
      <c r="BX112">
        <f>SUMIF(ConfirmedRaw!$B:$B,$B112,ConfirmedRaw!BZ:BZ)</f>
        <v>0</v>
      </c>
      <c r="BY112">
        <f>SUMIF(ConfirmedRaw!$B:$B,$B112,ConfirmedRaw!CA:CA)</f>
        <v>0</v>
      </c>
      <c r="BZ112">
        <f>SUMIF(ConfirmedRaw!$B:$B,$B112,ConfirmedRaw!CB:CB)</f>
        <v>0</v>
      </c>
      <c r="CA112">
        <f>SUMIF(ConfirmedRaw!$B:$B,$B112,ConfirmedRaw!CC:CC)</f>
        <v>0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0</v>
      </c>
      <c r="BX114">
        <f>SUMIF(ConfirmedRaw!$B:$B,$B114,ConfirmedRaw!BZ:BZ)</f>
        <v>0</v>
      </c>
      <c r="BY114">
        <f>SUMIF(ConfirmedRaw!$B:$B,$B114,ConfirmedRaw!CA:CA)</f>
        <v>0</v>
      </c>
      <c r="BZ114">
        <f>SUMIF(ConfirmedRaw!$B:$B,$B114,ConfirmedRaw!CB:CB)</f>
        <v>0</v>
      </c>
      <c r="CA114">
        <f>SUMIF(ConfirmedRaw!$B:$B,$B114,ConfirmedRaw!CC:CC)</f>
        <v>0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0</v>
      </c>
      <c r="BX115">
        <f>SUMIF(ConfirmedRaw!$B:$B,$B115,ConfirmedRaw!BZ:BZ)</f>
        <v>0</v>
      </c>
      <c r="BY115">
        <f>SUMIF(ConfirmedRaw!$B:$B,$B115,ConfirmedRaw!CA:CA)</f>
        <v>0</v>
      </c>
      <c r="BZ115">
        <f>SUMIF(ConfirmedRaw!$B:$B,$B115,ConfirmedRaw!CB:CB)</f>
        <v>0</v>
      </c>
      <c r="CA115">
        <f>SUMIF(ConfirmedRaw!$B:$B,$B115,ConfirmedRaw!CC:CC)</f>
        <v>0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0</v>
      </c>
      <c r="BX117">
        <f>SUMIF(ConfirmedRaw!$B:$B,$B117,ConfirmedRaw!BZ:BZ)</f>
        <v>0</v>
      </c>
      <c r="BY117">
        <f>SUMIF(ConfirmedRaw!$B:$B,$B117,ConfirmedRaw!CA:CA)</f>
        <v>0</v>
      </c>
      <c r="BZ117">
        <f>SUMIF(ConfirmedRaw!$B:$B,$B117,ConfirmedRaw!CB:CB)</f>
        <v>0</v>
      </c>
      <c r="CA117">
        <f>SUMIF(ConfirmedRaw!$B:$B,$B117,ConfirmedRaw!CC:CC)</f>
        <v>0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0</v>
      </c>
      <c r="BX118">
        <f>SUMIF(ConfirmedRaw!$B:$B,$B118,ConfirmedRaw!BZ:BZ)</f>
        <v>0</v>
      </c>
      <c r="BY118">
        <f>SUMIF(ConfirmedRaw!$B:$B,$B118,ConfirmedRaw!CA:CA)</f>
        <v>0</v>
      </c>
      <c r="BZ118">
        <f>SUMIF(ConfirmedRaw!$B:$B,$B118,ConfirmedRaw!CB:CB)</f>
        <v>0</v>
      </c>
      <c r="CA118">
        <f>SUMIF(ConfirmedRaw!$B:$B,$B118,ConfirmedRaw!CC:CC)</f>
        <v>0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0</v>
      </c>
      <c r="BX119">
        <f>SUMIF(ConfirmedRaw!$B:$B,$B119,ConfirmedRaw!BZ:BZ)</f>
        <v>0</v>
      </c>
      <c r="BY119">
        <f>SUMIF(ConfirmedRaw!$B:$B,$B119,ConfirmedRaw!CA:CA)</f>
        <v>0</v>
      </c>
      <c r="BZ119">
        <f>SUMIF(ConfirmedRaw!$B:$B,$B119,ConfirmedRaw!CB:CB)</f>
        <v>0</v>
      </c>
      <c r="CA119">
        <f>SUMIF(ConfirmedRaw!$B:$B,$B119,ConfirmedRaw!CC:CC)</f>
        <v>0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0</v>
      </c>
      <c r="BX120">
        <f>SUMIF(ConfirmedRaw!$B:$B,$B120,ConfirmedRaw!BZ:BZ)</f>
        <v>0</v>
      </c>
      <c r="BY120">
        <f>SUMIF(ConfirmedRaw!$B:$B,$B120,ConfirmedRaw!CA:CA)</f>
        <v>0</v>
      </c>
      <c r="BZ120">
        <f>SUMIF(ConfirmedRaw!$B:$B,$B120,ConfirmedRaw!CB:CB)</f>
        <v>0</v>
      </c>
      <c r="CA120">
        <f>SUMIF(ConfirmedRaw!$B:$B,$B120,ConfirmedRaw!CC:CC)</f>
        <v>0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0</v>
      </c>
      <c r="BX121">
        <f>SUMIF(ConfirmedRaw!$B:$B,$B121,ConfirmedRaw!BZ:BZ)</f>
        <v>0</v>
      </c>
      <c r="BY121">
        <f>SUMIF(ConfirmedRaw!$B:$B,$B121,ConfirmedRaw!CA:CA)</f>
        <v>0</v>
      </c>
      <c r="BZ121">
        <f>SUMIF(ConfirmedRaw!$B:$B,$B121,ConfirmedRaw!CB:CB)</f>
        <v>0</v>
      </c>
      <c r="CA121">
        <f>SUMIF(ConfirmedRaw!$B:$B,$B121,ConfirmedRaw!CC:CC)</f>
        <v>0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0</v>
      </c>
      <c r="BX122">
        <f>SUMIF(ConfirmedRaw!$B:$B,$B122,ConfirmedRaw!BZ:BZ)</f>
        <v>0</v>
      </c>
      <c r="BY122">
        <f>SUMIF(ConfirmedRaw!$B:$B,$B122,ConfirmedRaw!CA:CA)</f>
        <v>0</v>
      </c>
      <c r="BZ122">
        <f>SUMIF(ConfirmedRaw!$B:$B,$B122,ConfirmedRaw!CB:CB)</f>
        <v>0</v>
      </c>
      <c r="CA122">
        <f>SUMIF(ConfirmedRaw!$B:$B,$B122,ConfirmedRaw!CC:CC)</f>
        <v>0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0</v>
      </c>
      <c r="BX123">
        <f>SUMIF(ConfirmedRaw!$B:$B,$B123,ConfirmedRaw!BZ:BZ)</f>
        <v>0</v>
      </c>
      <c r="BY123">
        <f>SUMIF(ConfirmedRaw!$B:$B,$B123,ConfirmedRaw!CA:CA)</f>
        <v>0</v>
      </c>
      <c r="BZ123">
        <f>SUMIF(ConfirmedRaw!$B:$B,$B123,ConfirmedRaw!CB:CB)</f>
        <v>0</v>
      </c>
      <c r="CA123">
        <f>SUMIF(ConfirmedRaw!$B:$B,$B123,ConfirmedRaw!CC:CC)</f>
        <v>0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0</v>
      </c>
      <c r="BX124">
        <f>SUMIF(ConfirmedRaw!$B:$B,$B124,ConfirmedRaw!BZ:BZ)</f>
        <v>0</v>
      </c>
      <c r="BY124">
        <f>SUMIF(ConfirmedRaw!$B:$B,$B124,ConfirmedRaw!CA:CA)</f>
        <v>0</v>
      </c>
      <c r="BZ124">
        <f>SUMIF(ConfirmedRaw!$B:$B,$B124,ConfirmedRaw!CB:CB)</f>
        <v>0</v>
      </c>
      <c r="CA124">
        <f>SUMIF(ConfirmedRaw!$B:$B,$B124,ConfirmedRaw!CC:CC)</f>
        <v>0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0</v>
      </c>
      <c r="BX125">
        <f>SUMIF(ConfirmedRaw!$B:$B,$B125,ConfirmedRaw!BZ:BZ)</f>
        <v>0</v>
      </c>
      <c r="BY125">
        <f>SUMIF(ConfirmedRaw!$B:$B,$B125,ConfirmedRaw!CA:CA)</f>
        <v>0</v>
      </c>
      <c r="BZ125">
        <f>SUMIF(ConfirmedRaw!$B:$B,$B125,ConfirmedRaw!CB:CB)</f>
        <v>0</v>
      </c>
      <c r="CA125">
        <f>SUMIF(ConfirmedRaw!$B:$B,$B125,ConfirmedRaw!CC:CC)</f>
        <v>0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0</v>
      </c>
      <c r="BX126">
        <f>SUMIF(ConfirmedRaw!$B:$B,$B126,ConfirmedRaw!BZ:BZ)</f>
        <v>0</v>
      </c>
      <c r="BY126">
        <f>SUMIF(ConfirmedRaw!$B:$B,$B126,ConfirmedRaw!CA:CA)</f>
        <v>0</v>
      </c>
      <c r="BZ126">
        <f>SUMIF(ConfirmedRaw!$B:$B,$B126,ConfirmedRaw!CB:CB)</f>
        <v>0</v>
      </c>
      <c r="CA126">
        <f>SUMIF(ConfirmedRaw!$B:$B,$B126,ConfirmedRaw!CC:CC)</f>
        <v>0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1009785</v>
      </c>
      <c r="BW127">
        <f t="shared" si="3"/>
        <v>0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0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0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14800</v>
      </c>
      <c r="BI130">
        <f t="shared" si="9"/>
        <v>20466</v>
      </c>
      <c r="BJ130">
        <f t="shared" si="9"/>
        <v>27324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149407</v>
      </c>
      <c r="BS130">
        <f t="shared" si="10"/>
        <v>171730</v>
      </c>
      <c r="BT130">
        <f t="shared" si="10"/>
        <v>199550</v>
      </c>
      <c r="BU130">
        <f t="shared" si="10"/>
        <v>225966</v>
      </c>
      <c r="BV130">
        <f t="shared" si="11"/>
        <v>258117</v>
      </c>
      <c r="BW130">
        <f t="shared" si="11"/>
        <v>0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0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0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0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0</v>
      </c>
      <c r="BX2">
        <f>SUMIF(DeadRaw!$B:$B,$B2,DeadRaw!BZ:BZ)</f>
        <v>0</v>
      </c>
      <c r="BY2">
        <f>SUMIF(DeadRaw!$B:$B,$B2,DeadRaw!CA:CA)</f>
        <v>0</v>
      </c>
      <c r="BZ2">
        <f>SUMIF(DeadRaw!$B:$B,$B2,DeadRaw!CB:CB)</f>
        <v>0</v>
      </c>
      <c r="CA2">
        <f>SUMIF(DeadRaw!$B:$B,$B2,DeadRaw!CC:CC)</f>
        <v>0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0</v>
      </c>
      <c r="BX3">
        <f>SUMIF(DeadRaw!$B:$B,$B3,DeadRaw!BZ:BZ)</f>
        <v>0</v>
      </c>
      <c r="BY3">
        <f>SUMIF(DeadRaw!$B:$B,$B3,DeadRaw!CA:CA)</f>
        <v>0</v>
      </c>
      <c r="BZ3">
        <f>SUMIF(DeadRaw!$B:$B,$B3,DeadRaw!CB:CB)</f>
        <v>0</v>
      </c>
      <c r="CA3">
        <f>SUMIF(DeadRaw!$B:$B,$B3,DeadRaw!CC:CC)</f>
        <v>0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0</v>
      </c>
      <c r="BX4">
        <f>SUMIF(DeadRaw!$B:$B,$B4,DeadRaw!BZ:BZ)</f>
        <v>0</v>
      </c>
      <c r="BY4">
        <f>SUMIF(DeadRaw!$B:$B,$B4,DeadRaw!CA:CA)</f>
        <v>0</v>
      </c>
      <c r="BZ4">
        <f>SUMIF(DeadRaw!$B:$B,$B4,DeadRaw!CB:CB)</f>
        <v>0</v>
      </c>
      <c r="CA4">
        <f>SUMIF(DeadRaw!$B:$B,$B4,DeadRaw!CC:CC)</f>
        <v>0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0</v>
      </c>
      <c r="BX5">
        <f>SUMIF(DeadRaw!$B:$B,$B5,DeadRaw!BZ:BZ)</f>
        <v>0</v>
      </c>
      <c r="BY5">
        <f>SUMIF(DeadRaw!$B:$B,$B5,DeadRaw!CA:CA)</f>
        <v>0</v>
      </c>
      <c r="BZ5">
        <f>SUMIF(DeadRaw!$B:$B,$B5,DeadRaw!CB:CB)</f>
        <v>0</v>
      </c>
      <c r="CA5">
        <f>SUMIF(DeadRaw!$B:$B,$B5,DeadRaw!CC:CC)</f>
        <v>0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0</v>
      </c>
      <c r="BX6">
        <f>SUMIF(DeadRaw!$B:$B,$B6,DeadRaw!BZ:BZ)</f>
        <v>0</v>
      </c>
      <c r="BY6">
        <f>SUMIF(DeadRaw!$B:$B,$B6,DeadRaw!CA:CA)</f>
        <v>0</v>
      </c>
      <c r="BZ6">
        <f>SUMIF(DeadRaw!$B:$B,$B6,DeadRaw!CB:CB)</f>
        <v>0</v>
      </c>
      <c r="CA6">
        <f>SUMIF(DeadRaw!$B:$B,$B6,DeadRaw!CC:CC)</f>
        <v>0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0</v>
      </c>
      <c r="BX7">
        <f>SUMIF(DeadRaw!$B:$B,$B7,DeadRaw!BZ:BZ)</f>
        <v>0</v>
      </c>
      <c r="BY7">
        <f>SUMIF(DeadRaw!$B:$B,$B7,DeadRaw!CA:CA)</f>
        <v>0</v>
      </c>
      <c r="BZ7">
        <f>SUMIF(DeadRaw!$B:$B,$B7,DeadRaw!CB:CB)</f>
        <v>0</v>
      </c>
      <c r="CA7">
        <f>SUMIF(DeadRaw!$B:$B,$B7,DeadRaw!CC:CC)</f>
        <v>0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0</v>
      </c>
      <c r="BX8">
        <f>SUMIF(DeadRaw!$B:$B,$B8,DeadRaw!BZ:BZ)</f>
        <v>0</v>
      </c>
      <c r="BY8">
        <f>SUMIF(DeadRaw!$B:$B,$B8,DeadRaw!CA:CA)</f>
        <v>0</v>
      </c>
      <c r="BZ8">
        <f>SUMIF(DeadRaw!$B:$B,$B8,DeadRaw!CB:CB)</f>
        <v>0</v>
      </c>
      <c r="CA8">
        <f>SUMIF(DeadRaw!$B:$B,$B8,DeadRaw!CC:CC)</f>
        <v>0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0</v>
      </c>
      <c r="BX9">
        <f>SUMIF(DeadRaw!$B:$B,$B9,DeadRaw!BZ:BZ)</f>
        <v>0</v>
      </c>
      <c r="BY9">
        <f>SUMIF(DeadRaw!$B:$B,$B9,DeadRaw!CA:CA)</f>
        <v>0</v>
      </c>
      <c r="BZ9">
        <f>SUMIF(DeadRaw!$B:$B,$B9,DeadRaw!CB:CB)</f>
        <v>0</v>
      </c>
      <c r="CA9">
        <f>SUMIF(DeadRaw!$B:$B,$B9,DeadRaw!CC:CC)</f>
        <v>0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0</v>
      </c>
      <c r="BX10">
        <f>SUMIF(DeadRaw!$B:$B,$B10,DeadRaw!BZ:BZ)</f>
        <v>0</v>
      </c>
      <c r="BY10">
        <f>SUMIF(DeadRaw!$B:$B,$B10,DeadRaw!CA:CA)</f>
        <v>0</v>
      </c>
      <c r="BZ10">
        <f>SUMIF(DeadRaw!$B:$B,$B10,DeadRaw!CB:CB)</f>
        <v>0</v>
      </c>
      <c r="CA10">
        <f>SUMIF(DeadRaw!$B:$B,$B10,DeadRaw!CC:CC)</f>
        <v>0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0</v>
      </c>
      <c r="BX11">
        <f>SUMIF(DeadRaw!$B:$B,$B11,DeadRaw!BZ:BZ)</f>
        <v>0</v>
      </c>
      <c r="BY11">
        <f>SUMIF(DeadRaw!$B:$B,$B11,DeadRaw!CA:CA)</f>
        <v>0</v>
      </c>
      <c r="BZ11">
        <f>SUMIF(DeadRaw!$B:$B,$B11,DeadRaw!CB:CB)</f>
        <v>0</v>
      </c>
      <c r="CA11">
        <f>SUMIF(DeadRaw!$B:$B,$B11,DeadRaw!CC:CC)</f>
        <v>0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0</v>
      </c>
      <c r="BX12">
        <f>SUMIF(DeadRaw!$B:$B,$B12,DeadRaw!BZ:BZ)</f>
        <v>0</v>
      </c>
      <c r="BY12">
        <f>SUMIF(DeadRaw!$B:$B,$B12,DeadRaw!CA:CA)</f>
        <v>0</v>
      </c>
      <c r="BZ12">
        <f>SUMIF(DeadRaw!$B:$B,$B12,DeadRaw!CB:CB)</f>
        <v>0</v>
      </c>
      <c r="CA12">
        <f>SUMIF(DeadRaw!$B:$B,$B12,DeadRaw!CC:CC)</f>
        <v>0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0</v>
      </c>
      <c r="BX13">
        <f>SUMIF(DeadRaw!$B:$B,$B13,DeadRaw!BZ:BZ)</f>
        <v>0</v>
      </c>
      <c r="BY13">
        <f>SUMIF(DeadRaw!$B:$B,$B13,DeadRaw!CA:CA)</f>
        <v>0</v>
      </c>
      <c r="BZ13">
        <f>SUMIF(DeadRaw!$B:$B,$B13,DeadRaw!CB:CB)</f>
        <v>0</v>
      </c>
      <c r="CA13">
        <f>SUMIF(DeadRaw!$B:$B,$B13,DeadRaw!CC:CC)</f>
        <v>0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0</v>
      </c>
      <c r="BX14">
        <f>SUMIF(DeadRaw!$B:$B,$B14,DeadRaw!BZ:BZ)</f>
        <v>0</v>
      </c>
      <c r="BY14">
        <f>SUMIF(DeadRaw!$B:$B,$B14,DeadRaw!CA:CA)</f>
        <v>0</v>
      </c>
      <c r="BZ14">
        <f>SUMIF(DeadRaw!$B:$B,$B14,DeadRaw!CB:CB)</f>
        <v>0</v>
      </c>
      <c r="CA14">
        <f>SUMIF(DeadRaw!$B:$B,$B14,DeadRaw!CC:CC)</f>
        <v>0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0</v>
      </c>
      <c r="BX15">
        <f>SUMIF(DeadRaw!$B:$B,$B15,DeadRaw!BZ:BZ)</f>
        <v>0</v>
      </c>
      <c r="BY15">
        <f>SUMIF(DeadRaw!$B:$B,$B15,DeadRaw!CA:CA)</f>
        <v>0</v>
      </c>
      <c r="BZ15">
        <f>SUMIF(DeadRaw!$B:$B,$B15,DeadRaw!CB:CB)</f>
        <v>0</v>
      </c>
      <c r="CA15">
        <f>SUMIF(DeadRaw!$B:$B,$B15,DeadRaw!CC:CC)</f>
        <v>0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0</v>
      </c>
      <c r="BX16">
        <f>SUMIF(DeadRaw!$B:$B,$B16,DeadRaw!BZ:BZ)</f>
        <v>0</v>
      </c>
      <c r="BY16">
        <f>SUMIF(DeadRaw!$B:$B,$B16,DeadRaw!CA:CA)</f>
        <v>0</v>
      </c>
      <c r="BZ16">
        <f>SUMIF(DeadRaw!$B:$B,$B16,DeadRaw!CB:CB)</f>
        <v>0</v>
      </c>
      <c r="CA16">
        <f>SUMIF(DeadRaw!$B:$B,$B16,DeadRaw!CC:CC)</f>
        <v>0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0</v>
      </c>
      <c r="BX18">
        <f>SUMIF(DeadRaw!$B:$B,$B18,DeadRaw!BZ:BZ)</f>
        <v>0</v>
      </c>
      <c r="BY18">
        <f>SUMIF(DeadRaw!$B:$B,$B18,DeadRaw!CA:CA)</f>
        <v>0</v>
      </c>
      <c r="BZ18">
        <f>SUMIF(DeadRaw!$B:$B,$B18,DeadRaw!CB:CB)</f>
        <v>0</v>
      </c>
      <c r="CA18">
        <f>SUMIF(DeadRaw!$B:$B,$B18,DeadRaw!CC:CC)</f>
        <v>0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0</v>
      </c>
      <c r="BX19">
        <f>SUMIF(DeadRaw!$B:$B,$B19,DeadRaw!BZ:BZ)</f>
        <v>0</v>
      </c>
      <c r="BY19">
        <f>SUMIF(DeadRaw!$B:$B,$B19,DeadRaw!CA:CA)</f>
        <v>0</v>
      </c>
      <c r="BZ19">
        <f>SUMIF(DeadRaw!$B:$B,$B19,DeadRaw!CB:CB)</f>
        <v>0</v>
      </c>
      <c r="CA19">
        <f>SUMIF(DeadRaw!$B:$B,$B19,DeadRaw!CC:CC)</f>
        <v>0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0</v>
      </c>
      <c r="BX20">
        <f>SUMIF(DeadRaw!$B:$B,$B20,DeadRaw!BZ:BZ)</f>
        <v>0</v>
      </c>
      <c r="BY20">
        <f>SUMIF(DeadRaw!$B:$B,$B20,DeadRaw!CA:CA)</f>
        <v>0</v>
      </c>
      <c r="BZ20">
        <f>SUMIF(DeadRaw!$B:$B,$B20,DeadRaw!CB:CB)</f>
        <v>0</v>
      </c>
      <c r="CA20">
        <f>SUMIF(DeadRaw!$B:$B,$B20,DeadRaw!CC:CC)</f>
        <v>0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0</v>
      </c>
      <c r="BX21">
        <f>SUMIF(DeadRaw!$B:$B,$B21,DeadRaw!BZ:BZ)</f>
        <v>0</v>
      </c>
      <c r="BY21">
        <f>SUMIF(DeadRaw!$B:$B,$B21,DeadRaw!CA:CA)</f>
        <v>0</v>
      </c>
      <c r="BZ21">
        <f>SUMIF(DeadRaw!$B:$B,$B21,DeadRaw!CB:CB)</f>
        <v>0</v>
      </c>
      <c r="CA21">
        <f>SUMIF(DeadRaw!$B:$B,$B21,DeadRaw!CC:CC)</f>
        <v>0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0</v>
      </c>
      <c r="BX22">
        <f>SUMIF(DeadRaw!$B:$B,$B22,DeadRaw!BZ:BZ)</f>
        <v>0</v>
      </c>
      <c r="BY22">
        <f>SUMIF(DeadRaw!$B:$B,$B22,DeadRaw!CA:CA)</f>
        <v>0</v>
      </c>
      <c r="BZ22">
        <f>SUMIF(DeadRaw!$B:$B,$B22,DeadRaw!CB:CB)</f>
        <v>0</v>
      </c>
      <c r="CA22">
        <f>SUMIF(DeadRaw!$B:$B,$B22,DeadRaw!CC:CC)</f>
        <v>0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0</v>
      </c>
      <c r="BX23">
        <f>SUMIF(DeadRaw!$B:$B,$B23,DeadRaw!BZ:BZ)</f>
        <v>0</v>
      </c>
      <c r="BY23">
        <f>SUMIF(DeadRaw!$B:$B,$B23,DeadRaw!CA:CA)</f>
        <v>0</v>
      </c>
      <c r="BZ23">
        <f>SUMIF(DeadRaw!$B:$B,$B23,DeadRaw!CB:CB)</f>
        <v>0</v>
      </c>
      <c r="CA23">
        <f>SUMIF(DeadRaw!$B:$B,$B23,DeadRaw!CC:CC)</f>
        <v>0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0</v>
      </c>
      <c r="BX24">
        <f>SUMIF(DeadRaw!$B:$B,$B24,DeadRaw!BZ:BZ)</f>
        <v>0</v>
      </c>
      <c r="BY24">
        <f>SUMIF(DeadRaw!$B:$B,$B24,DeadRaw!CA:CA)</f>
        <v>0</v>
      </c>
      <c r="BZ24">
        <f>SUMIF(DeadRaw!$B:$B,$B24,DeadRaw!CB:CB)</f>
        <v>0</v>
      </c>
      <c r="CA24">
        <f>SUMIF(DeadRaw!$B:$B,$B24,DeadRaw!CC:CC)</f>
        <v>0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0</v>
      </c>
      <c r="BX25">
        <f>SUMIF(DeadRaw!$B:$B,$B25,DeadRaw!BZ:BZ)</f>
        <v>0</v>
      </c>
      <c r="BY25">
        <f>SUMIF(DeadRaw!$B:$B,$B25,DeadRaw!CA:CA)</f>
        <v>0</v>
      </c>
      <c r="BZ25">
        <f>SUMIF(DeadRaw!$B:$B,$B25,DeadRaw!CB:CB)</f>
        <v>0</v>
      </c>
      <c r="CA25">
        <f>SUMIF(DeadRaw!$B:$B,$B25,DeadRaw!CC:CC)</f>
        <v>0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0</v>
      </c>
      <c r="BX26">
        <f>SUMIF(DeadRaw!$B:$B,$B26,DeadRaw!BZ:BZ)</f>
        <v>0</v>
      </c>
      <c r="BY26">
        <f>SUMIF(DeadRaw!$B:$B,$B26,DeadRaw!CA:CA)</f>
        <v>0</v>
      </c>
      <c r="BZ26">
        <f>SUMIF(DeadRaw!$B:$B,$B26,DeadRaw!CB:CB)</f>
        <v>0</v>
      </c>
      <c r="CA26">
        <f>SUMIF(DeadRaw!$B:$B,$B26,DeadRaw!CC:CC)</f>
        <v>0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0</v>
      </c>
      <c r="BX27">
        <f>SUMIF(DeadRaw!$B:$B,$B27,DeadRaw!BZ:BZ)</f>
        <v>0</v>
      </c>
      <c r="BY27">
        <f>SUMIF(DeadRaw!$B:$B,$B27,DeadRaw!CA:CA)</f>
        <v>0</v>
      </c>
      <c r="BZ27">
        <f>SUMIF(DeadRaw!$B:$B,$B27,DeadRaw!CB:CB)</f>
        <v>0</v>
      </c>
      <c r="CA27">
        <f>SUMIF(DeadRaw!$B:$B,$B27,DeadRaw!CC:CC)</f>
        <v>0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0</v>
      </c>
      <c r="BX28">
        <f>SUMIF(DeadRaw!$B:$B,$B28,DeadRaw!BZ:BZ)</f>
        <v>0</v>
      </c>
      <c r="BY28">
        <f>SUMIF(DeadRaw!$B:$B,$B28,DeadRaw!CA:CA)</f>
        <v>0</v>
      </c>
      <c r="BZ28">
        <f>SUMIF(DeadRaw!$B:$B,$B28,DeadRaw!CB:CB)</f>
        <v>0</v>
      </c>
      <c r="CA28">
        <f>SUMIF(DeadRaw!$B:$B,$B28,DeadRaw!CC:CC)</f>
        <v>0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0</v>
      </c>
      <c r="BX29">
        <f>SUMIF(DeadRaw!$B:$B,$B29,DeadRaw!BZ:BZ)</f>
        <v>0</v>
      </c>
      <c r="BY29">
        <f>SUMIF(DeadRaw!$B:$B,$B29,DeadRaw!CA:CA)</f>
        <v>0</v>
      </c>
      <c r="BZ29">
        <f>SUMIF(DeadRaw!$B:$B,$B29,DeadRaw!CB:CB)</f>
        <v>0</v>
      </c>
      <c r="CA29">
        <f>SUMIF(DeadRaw!$B:$B,$B29,DeadRaw!CC:CC)</f>
        <v>0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0</v>
      </c>
      <c r="BX30">
        <f>SUMIF(DeadRaw!$B:$B,$B30,DeadRaw!BZ:BZ)</f>
        <v>0</v>
      </c>
      <c r="BY30">
        <f>SUMIF(DeadRaw!$B:$B,$B30,DeadRaw!CA:CA)</f>
        <v>0</v>
      </c>
      <c r="BZ30">
        <f>SUMIF(DeadRaw!$B:$B,$B30,DeadRaw!CB:CB)</f>
        <v>0</v>
      </c>
      <c r="CA30">
        <f>SUMIF(DeadRaw!$B:$B,$B30,DeadRaw!CC:CC)</f>
        <v>0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0</v>
      </c>
      <c r="BX31">
        <f>SUMIF(DeadRaw!$B:$B,$B31,DeadRaw!BZ:BZ)</f>
        <v>0</v>
      </c>
      <c r="BY31">
        <f>SUMIF(DeadRaw!$B:$B,$B31,DeadRaw!CA:CA)</f>
        <v>0</v>
      </c>
      <c r="BZ31">
        <f>SUMIF(DeadRaw!$B:$B,$B31,DeadRaw!CB:CB)</f>
        <v>0</v>
      </c>
      <c r="CA31">
        <f>SUMIF(DeadRaw!$B:$B,$B31,DeadRaw!CC:CC)</f>
        <v>0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0</v>
      </c>
      <c r="BX32">
        <f>SUMIF(DeadRaw!$B:$B,$B32,DeadRaw!BZ:BZ)</f>
        <v>0</v>
      </c>
      <c r="BY32">
        <f>SUMIF(DeadRaw!$B:$B,$B32,DeadRaw!CA:CA)</f>
        <v>0</v>
      </c>
      <c r="BZ32">
        <f>SUMIF(DeadRaw!$B:$B,$B32,DeadRaw!CB:CB)</f>
        <v>0</v>
      </c>
      <c r="CA32">
        <f>SUMIF(DeadRaw!$B:$B,$B32,DeadRaw!CC:CC)</f>
        <v>0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0</v>
      </c>
      <c r="BX33">
        <f>SUMIF(DeadRaw!$B:$B,$B33,DeadRaw!BZ:BZ)</f>
        <v>0</v>
      </c>
      <c r="BY33">
        <f>SUMIF(DeadRaw!$B:$B,$B33,DeadRaw!CA:CA)</f>
        <v>0</v>
      </c>
      <c r="BZ33">
        <f>SUMIF(DeadRaw!$B:$B,$B33,DeadRaw!CB:CB)</f>
        <v>0</v>
      </c>
      <c r="CA33">
        <f>SUMIF(DeadRaw!$B:$B,$B33,DeadRaw!CC:CC)</f>
        <v>0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0</v>
      </c>
      <c r="BX34">
        <f>SUMIF(DeadRaw!$B:$B,$B34,DeadRaw!BZ:BZ)</f>
        <v>0</v>
      </c>
      <c r="BY34">
        <f>SUMIF(DeadRaw!$B:$B,$B34,DeadRaw!CA:CA)</f>
        <v>0</v>
      </c>
      <c r="BZ34">
        <f>SUMIF(DeadRaw!$B:$B,$B34,DeadRaw!CB:CB)</f>
        <v>0</v>
      </c>
      <c r="CA34">
        <f>SUMIF(DeadRaw!$B:$B,$B34,DeadRaw!CC:CC)</f>
        <v>0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0</v>
      </c>
      <c r="BX35">
        <f>SUMIF(DeadRaw!$B:$B,$B35,DeadRaw!BZ:BZ)</f>
        <v>0</v>
      </c>
      <c r="BY35">
        <f>SUMIF(DeadRaw!$B:$B,$B35,DeadRaw!CA:CA)</f>
        <v>0</v>
      </c>
      <c r="BZ35">
        <f>SUMIF(DeadRaw!$B:$B,$B35,DeadRaw!CB:CB)</f>
        <v>0</v>
      </c>
      <c r="CA35">
        <f>SUMIF(DeadRaw!$B:$B,$B35,DeadRaw!CC:CC)</f>
        <v>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0</v>
      </c>
      <c r="BX36">
        <f>SUMIF(DeadRaw!$B:$B,$B36,DeadRaw!BZ:BZ)</f>
        <v>0</v>
      </c>
      <c r="BY36">
        <f>SUMIF(DeadRaw!$B:$B,$B36,DeadRaw!CA:CA)</f>
        <v>0</v>
      </c>
      <c r="BZ36">
        <f>SUMIF(DeadRaw!$B:$B,$B36,DeadRaw!CB:CB)</f>
        <v>0</v>
      </c>
      <c r="CA36">
        <f>SUMIF(DeadRaw!$B:$B,$B36,DeadRaw!CC:CC)</f>
        <v>0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0</v>
      </c>
      <c r="BX37">
        <f>SUMIF(DeadRaw!$B:$B,$B37,DeadRaw!BZ:BZ)</f>
        <v>0</v>
      </c>
      <c r="BY37">
        <f>SUMIF(DeadRaw!$B:$B,$B37,DeadRaw!CA:CA)</f>
        <v>0</v>
      </c>
      <c r="BZ37">
        <f>SUMIF(DeadRaw!$B:$B,$B37,DeadRaw!CB:CB)</f>
        <v>0</v>
      </c>
      <c r="CA37">
        <f>SUMIF(DeadRaw!$B:$B,$B37,DeadRaw!CC:CC)</f>
        <v>0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0</v>
      </c>
      <c r="BX38">
        <f>SUMIF(DeadRaw!$B:$B,$B38,DeadRaw!BZ:BZ)</f>
        <v>0</v>
      </c>
      <c r="BY38">
        <f>SUMIF(DeadRaw!$B:$B,$B38,DeadRaw!CA:CA)</f>
        <v>0</v>
      </c>
      <c r="BZ38">
        <f>SUMIF(DeadRaw!$B:$B,$B38,DeadRaw!CB:CB)</f>
        <v>0</v>
      </c>
      <c r="CA38">
        <f>SUMIF(DeadRaw!$B:$B,$B38,DeadRaw!CC:CC)</f>
        <v>0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0</v>
      </c>
      <c r="BX39">
        <f>SUMIF(DeadRaw!$B:$B,$B39,DeadRaw!BZ:BZ)</f>
        <v>0</v>
      </c>
      <c r="BY39">
        <f>SUMIF(DeadRaw!$B:$B,$B39,DeadRaw!CA:CA)</f>
        <v>0</v>
      </c>
      <c r="BZ39">
        <f>SUMIF(DeadRaw!$B:$B,$B39,DeadRaw!CB:CB)</f>
        <v>0</v>
      </c>
      <c r="CA39">
        <f>SUMIF(DeadRaw!$B:$B,$B39,DeadRaw!CC:CC)</f>
        <v>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0</v>
      </c>
      <c r="BX40">
        <f>SUMIF(DeadRaw!$B:$B,$B40,DeadRaw!BZ:BZ)</f>
        <v>0</v>
      </c>
      <c r="BY40">
        <f>SUMIF(DeadRaw!$B:$B,$B40,DeadRaw!CA:CA)</f>
        <v>0</v>
      </c>
      <c r="BZ40">
        <f>SUMIF(DeadRaw!$B:$B,$B40,DeadRaw!CB:CB)</f>
        <v>0</v>
      </c>
      <c r="CA40">
        <f>SUMIF(DeadRaw!$B:$B,$B40,DeadRaw!CC:CC)</f>
        <v>0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0</v>
      </c>
      <c r="BY41">
        <f>SUMIF(DeadRaw!$B:$B,$B41,DeadRaw!CA:CA)</f>
        <v>0</v>
      </c>
      <c r="BZ41">
        <f>SUMIF(DeadRaw!$B:$B,$B41,DeadRaw!CB:CB)</f>
        <v>0</v>
      </c>
      <c r="CA41">
        <f>SUMIF(DeadRaw!$B:$B,$B41,DeadRaw!CC:CC)</f>
        <v>0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0</v>
      </c>
      <c r="BX42">
        <f>SUMIF(DeadRaw!$B:$B,$B42,DeadRaw!BZ:BZ)</f>
        <v>0</v>
      </c>
      <c r="BY42">
        <f>SUMIF(DeadRaw!$B:$B,$B42,DeadRaw!CA:CA)</f>
        <v>0</v>
      </c>
      <c r="BZ42">
        <f>SUMIF(DeadRaw!$B:$B,$B42,DeadRaw!CB:CB)</f>
        <v>0</v>
      </c>
      <c r="CA42">
        <f>SUMIF(DeadRaw!$B:$B,$B42,DeadRaw!CC:CC)</f>
        <v>0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0</v>
      </c>
      <c r="BX43">
        <f>SUMIF(DeadRaw!$B:$B,$B43,DeadRaw!BZ:BZ)</f>
        <v>0</v>
      </c>
      <c r="BY43">
        <f>SUMIF(DeadRaw!$B:$B,$B43,DeadRaw!CA:CA)</f>
        <v>0</v>
      </c>
      <c r="BZ43">
        <f>SUMIF(DeadRaw!$B:$B,$B43,DeadRaw!CB:CB)</f>
        <v>0</v>
      </c>
      <c r="CA43">
        <f>SUMIF(DeadRaw!$B:$B,$B43,DeadRaw!CC:CC)</f>
        <v>0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0</v>
      </c>
      <c r="BX44">
        <f>SUMIF(DeadRaw!$B:$B,$B44,DeadRaw!BZ:BZ)</f>
        <v>0</v>
      </c>
      <c r="BY44">
        <f>SUMIF(DeadRaw!$B:$B,$B44,DeadRaw!CA:CA)</f>
        <v>0</v>
      </c>
      <c r="BZ44">
        <f>SUMIF(DeadRaw!$B:$B,$B44,DeadRaw!CB:CB)</f>
        <v>0</v>
      </c>
      <c r="CA44">
        <f>SUMIF(DeadRaw!$B:$B,$B44,DeadRaw!CC:CC)</f>
        <v>0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0</v>
      </c>
      <c r="BX45">
        <f>SUMIF(DeadRaw!$B:$B,$B45,DeadRaw!BZ:BZ)</f>
        <v>0</v>
      </c>
      <c r="BY45">
        <f>SUMIF(DeadRaw!$B:$B,$B45,DeadRaw!CA:CA)</f>
        <v>0</v>
      </c>
      <c r="BZ45">
        <f>SUMIF(DeadRaw!$B:$B,$B45,DeadRaw!CB:CB)</f>
        <v>0</v>
      </c>
      <c r="CA45">
        <f>SUMIF(DeadRaw!$B:$B,$B45,DeadRaw!CC:CC)</f>
        <v>0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0</v>
      </c>
      <c r="BX46">
        <f>SUMIF(DeadRaw!$B:$B,$B46,DeadRaw!BZ:BZ)</f>
        <v>0</v>
      </c>
      <c r="BY46">
        <f>SUMIF(DeadRaw!$B:$B,$B46,DeadRaw!CA:CA)</f>
        <v>0</v>
      </c>
      <c r="BZ46">
        <f>SUMIF(DeadRaw!$B:$B,$B46,DeadRaw!CB:CB)</f>
        <v>0</v>
      </c>
      <c r="CA46">
        <f>SUMIF(DeadRaw!$B:$B,$B46,DeadRaw!CC:CC)</f>
        <v>0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0</v>
      </c>
      <c r="BX47">
        <f>SUMIF(DeadRaw!$B:$B,$B47,DeadRaw!BZ:BZ)</f>
        <v>0</v>
      </c>
      <c r="BY47">
        <f>SUMIF(DeadRaw!$B:$B,$B47,DeadRaw!CA:CA)</f>
        <v>0</v>
      </c>
      <c r="BZ47">
        <f>SUMIF(DeadRaw!$B:$B,$B47,DeadRaw!CB:CB)</f>
        <v>0</v>
      </c>
      <c r="CA47">
        <f>SUMIF(DeadRaw!$B:$B,$B47,DeadRaw!CC:CC)</f>
        <v>0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0</v>
      </c>
      <c r="BX48">
        <f>SUMIF(DeadRaw!$B:$B,$B48,DeadRaw!BZ:BZ)</f>
        <v>0</v>
      </c>
      <c r="BY48">
        <f>SUMIF(DeadRaw!$B:$B,$B48,DeadRaw!CA:CA)</f>
        <v>0</v>
      </c>
      <c r="BZ48">
        <f>SUMIF(DeadRaw!$B:$B,$B48,DeadRaw!CB:CB)</f>
        <v>0</v>
      </c>
      <c r="CA48">
        <f>SUMIF(DeadRaw!$B:$B,$B48,DeadRaw!CC:CC)</f>
        <v>0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0</v>
      </c>
      <c r="BX49">
        <f>SUMIF(DeadRaw!$B:$B,$B49,DeadRaw!BZ:BZ)</f>
        <v>0</v>
      </c>
      <c r="BY49">
        <f>SUMIF(DeadRaw!$B:$B,$B49,DeadRaw!CA:CA)</f>
        <v>0</v>
      </c>
      <c r="BZ49">
        <f>SUMIF(DeadRaw!$B:$B,$B49,DeadRaw!CB:CB)</f>
        <v>0</v>
      </c>
      <c r="CA49">
        <f>SUMIF(DeadRaw!$B:$B,$B49,DeadRaw!CC:CC)</f>
        <v>0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0</v>
      </c>
      <c r="BX51">
        <f>SUMIF(DeadRaw!$B:$B,$B51,DeadRaw!BZ:BZ)</f>
        <v>0</v>
      </c>
      <c r="BY51">
        <f>SUMIF(DeadRaw!$B:$B,$B51,DeadRaw!CA:CA)</f>
        <v>0</v>
      </c>
      <c r="BZ51">
        <f>SUMIF(DeadRaw!$B:$B,$B51,DeadRaw!CB:CB)</f>
        <v>0</v>
      </c>
      <c r="CA51">
        <f>SUMIF(DeadRaw!$B:$B,$B51,DeadRaw!CC:CC)</f>
        <v>0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0</v>
      </c>
      <c r="BX52">
        <f>SUMIF(DeadRaw!$B:$B,$B52,DeadRaw!BZ:BZ)</f>
        <v>0</v>
      </c>
      <c r="BY52">
        <f>SUMIF(DeadRaw!$B:$B,$B52,DeadRaw!CA:CA)</f>
        <v>0</v>
      </c>
      <c r="BZ52">
        <f>SUMIF(DeadRaw!$B:$B,$B52,DeadRaw!CB:CB)</f>
        <v>0</v>
      </c>
      <c r="CA52">
        <f>SUMIF(DeadRaw!$B:$B,$B52,DeadRaw!CC:CC)</f>
        <v>0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0</v>
      </c>
      <c r="BX53">
        <f>SUMIF(DeadRaw!$B:$B,$B53,DeadRaw!BZ:BZ)</f>
        <v>0</v>
      </c>
      <c r="BY53">
        <f>SUMIF(DeadRaw!$B:$B,$B53,DeadRaw!CA:CA)</f>
        <v>0</v>
      </c>
      <c r="BZ53">
        <f>SUMIF(DeadRaw!$B:$B,$B53,DeadRaw!CB:CB)</f>
        <v>0</v>
      </c>
      <c r="CA53">
        <f>SUMIF(DeadRaw!$B:$B,$B53,DeadRaw!CC:CC)</f>
        <v>0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0</v>
      </c>
      <c r="BX54">
        <f>SUMIF(DeadRaw!$B:$B,$B54,DeadRaw!BZ:BZ)</f>
        <v>0</v>
      </c>
      <c r="BY54">
        <f>SUMIF(DeadRaw!$B:$B,$B54,DeadRaw!CA:CA)</f>
        <v>0</v>
      </c>
      <c r="BZ54">
        <f>SUMIF(DeadRaw!$B:$B,$B54,DeadRaw!CB:CB)</f>
        <v>0</v>
      </c>
      <c r="CA54">
        <f>SUMIF(DeadRaw!$B:$B,$B54,DeadRaw!CC:CC)</f>
        <v>0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0</v>
      </c>
      <c r="BX55">
        <f>SUMIF(DeadRaw!$B:$B,$B55,DeadRaw!BZ:BZ)</f>
        <v>0</v>
      </c>
      <c r="BY55">
        <f>SUMIF(DeadRaw!$B:$B,$B55,DeadRaw!CA:CA)</f>
        <v>0</v>
      </c>
      <c r="BZ55">
        <f>SUMIF(DeadRaw!$B:$B,$B55,DeadRaw!CB:CB)</f>
        <v>0</v>
      </c>
      <c r="CA55">
        <f>SUMIF(DeadRaw!$B:$B,$B55,DeadRaw!CC:CC)</f>
        <v>0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0</v>
      </c>
      <c r="BX56">
        <f>SUMIF(DeadRaw!$B:$B,$B56,DeadRaw!BZ:BZ)</f>
        <v>0</v>
      </c>
      <c r="BY56">
        <f>SUMIF(DeadRaw!$B:$B,$B56,DeadRaw!CA:CA)</f>
        <v>0</v>
      </c>
      <c r="BZ56">
        <f>SUMIF(DeadRaw!$B:$B,$B56,DeadRaw!CB:CB)</f>
        <v>0</v>
      </c>
      <c r="CA56">
        <f>SUMIF(DeadRaw!$B:$B,$B56,DeadRaw!CC:CC)</f>
        <v>0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0</v>
      </c>
      <c r="BX57">
        <f>SUMIF(DeadRaw!$B:$B,$B57,DeadRaw!BZ:BZ)</f>
        <v>0</v>
      </c>
      <c r="BY57">
        <f>SUMIF(DeadRaw!$B:$B,$B57,DeadRaw!CA:CA)</f>
        <v>0</v>
      </c>
      <c r="BZ57">
        <f>SUMIF(DeadRaw!$B:$B,$B57,DeadRaw!CB:CB)</f>
        <v>0</v>
      </c>
      <c r="CA57">
        <f>SUMIF(DeadRaw!$B:$B,$B57,DeadRaw!CC:CC)</f>
        <v>0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0</v>
      </c>
      <c r="BX58">
        <f>SUMIF(DeadRaw!$B:$B,$B58,DeadRaw!BZ:BZ)</f>
        <v>0</v>
      </c>
      <c r="BY58">
        <f>SUMIF(DeadRaw!$B:$B,$B58,DeadRaw!CA:CA)</f>
        <v>0</v>
      </c>
      <c r="BZ58">
        <f>SUMIF(DeadRaw!$B:$B,$B58,DeadRaw!CB:CB)</f>
        <v>0</v>
      </c>
      <c r="CA58">
        <f>SUMIF(DeadRaw!$B:$B,$B58,DeadRaw!CC:CC)</f>
        <v>0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0</v>
      </c>
      <c r="BX59">
        <f>SUMIF(DeadRaw!$B:$B,$B59,DeadRaw!BZ:BZ)</f>
        <v>0</v>
      </c>
      <c r="BY59">
        <f>SUMIF(DeadRaw!$B:$B,$B59,DeadRaw!CA:CA)</f>
        <v>0</v>
      </c>
      <c r="BZ59">
        <f>SUMIF(DeadRaw!$B:$B,$B59,DeadRaw!CB:CB)</f>
        <v>0</v>
      </c>
      <c r="CA59">
        <f>SUMIF(DeadRaw!$B:$B,$B59,DeadRaw!CC:CC)</f>
        <v>0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0</v>
      </c>
      <c r="BX60">
        <f>SUMIF(DeadRaw!$B:$B,$B60,DeadRaw!BZ:BZ)</f>
        <v>0</v>
      </c>
      <c r="BY60">
        <f>SUMIF(DeadRaw!$B:$B,$B60,DeadRaw!CA:CA)</f>
        <v>0</v>
      </c>
      <c r="BZ60">
        <f>SUMIF(DeadRaw!$B:$B,$B60,DeadRaw!CB:CB)</f>
        <v>0</v>
      </c>
      <c r="CA60">
        <f>SUMIF(DeadRaw!$B:$B,$B60,DeadRaw!CC:CC)</f>
        <v>0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0</v>
      </c>
      <c r="BX61">
        <f>SUMIF(DeadRaw!$B:$B,$B61,DeadRaw!BZ:BZ)</f>
        <v>0</v>
      </c>
      <c r="BY61">
        <f>SUMIF(DeadRaw!$B:$B,$B61,DeadRaw!CA:CA)</f>
        <v>0</v>
      </c>
      <c r="BZ61">
        <f>SUMIF(DeadRaw!$B:$B,$B61,DeadRaw!CB:CB)</f>
        <v>0</v>
      </c>
      <c r="CA61">
        <f>SUMIF(DeadRaw!$B:$B,$B61,DeadRaw!CC:CC)</f>
        <v>0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0</v>
      </c>
      <c r="BX62">
        <f>SUMIF(DeadRaw!$B:$B,$B62,DeadRaw!BZ:BZ)</f>
        <v>0</v>
      </c>
      <c r="BY62">
        <f>SUMIF(DeadRaw!$B:$B,$B62,DeadRaw!CA:CA)</f>
        <v>0</v>
      </c>
      <c r="BZ62">
        <f>SUMIF(DeadRaw!$B:$B,$B62,DeadRaw!CB:CB)</f>
        <v>0</v>
      </c>
      <c r="CA62">
        <f>SUMIF(DeadRaw!$B:$B,$B62,DeadRaw!CC:CC)</f>
        <v>0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0</v>
      </c>
      <c r="BX63">
        <f>SUMIF(DeadRaw!$B:$B,$B63,DeadRaw!BZ:BZ)</f>
        <v>0</v>
      </c>
      <c r="BY63">
        <f>SUMIF(DeadRaw!$B:$B,$B63,DeadRaw!CA:CA)</f>
        <v>0</v>
      </c>
      <c r="BZ63">
        <f>SUMIF(DeadRaw!$B:$B,$B63,DeadRaw!CB:CB)</f>
        <v>0</v>
      </c>
      <c r="CA63">
        <f>SUMIF(DeadRaw!$B:$B,$B63,DeadRaw!CC:CC)</f>
        <v>0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0</v>
      </c>
      <c r="BX64">
        <f>SUMIF(DeadRaw!$B:$B,$B64,DeadRaw!BZ:BZ)</f>
        <v>0</v>
      </c>
      <c r="BY64">
        <f>SUMIF(DeadRaw!$B:$B,$B64,DeadRaw!CA:CA)</f>
        <v>0</v>
      </c>
      <c r="BZ64">
        <f>SUMIF(DeadRaw!$B:$B,$B64,DeadRaw!CB:CB)</f>
        <v>0</v>
      </c>
      <c r="CA64">
        <f>SUMIF(DeadRaw!$B:$B,$B64,DeadRaw!CC:CC)</f>
        <v>0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0</v>
      </c>
      <c r="BY65">
        <f>SUMIF(DeadRaw!$B:$B,$B65,DeadRaw!CA:CA)</f>
        <v>0</v>
      </c>
      <c r="BZ65">
        <f>SUMIF(DeadRaw!$B:$B,$B65,DeadRaw!CB:CB)</f>
        <v>0</v>
      </c>
      <c r="CA65">
        <f>SUMIF(DeadRaw!$B:$B,$B65,DeadRaw!CC:CC)</f>
        <v>0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0</v>
      </c>
      <c r="BX66">
        <f>SUMIF(DeadRaw!$B:$B,$B66,DeadRaw!BZ:BZ)</f>
        <v>0</v>
      </c>
      <c r="BY66">
        <f>SUMIF(DeadRaw!$B:$B,$B66,DeadRaw!CA:CA)</f>
        <v>0</v>
      </c>
      <c r="BZ66">
        <f>SUMIF(DeadRaw!$B:$B,$B66,DeadRaw!CB:CB)</f>
        <v>0</v>
      </c>
      <c r="CA66">
        <f>SUMIF(DeadRaw!$B:$B,$B66,DeadRaw!CC:CC)</f>
        <v>0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0</v>
      </c>
      <c r="BX67">
        <f>SUMIF(DeadRaw!$B:$B,$B67,DeadRaw!BZ:BZ)</f>
        <v>0</v>
      </c>
      <c r="BY67">
        <f>SUMIF(DeadRaw!$B:$B,$B67,DeadRaw!CA:CA)</f>
        <v>0</v>
      </c>
      <c r="BZ67">
        <f>SUMIF(DeadRaw!$B:$B,$B67,DeadRaw!CB:CB)</f>
        <v>0</v>
      </c>
      <c r="CA67">
        <f>SUMIF(DeadRaw!$B:$B,$B67,DeadRaw!CC:CC)</f>
        <v>0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0</v>
      </c>
      <c r="BX68">
        <f>SUMIF(DeadRaw!$B:$B,$B68,DeadRaw!BZ:BZ)</f>
        <v>0</v>
      </c>
      <c r="BY68">
        <f>SUMIF(DeadRaw!$B:$B,$B68,DeadRaw!CA:CA)</f>
        <v>0</v>
      </c>
      <c r="BZ68">
        <f>SUMIF(DeadRaw!$B:$B,$B68,DeadRaw!CB:CB)</f>
        <v>0</v>
      </c>
      <c r="CA68">
        <f>SUMIF(DeadRaw!$B:$B,$B68,DeadRaw!CC:CC)</f>
        <v>0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0</v>
      </c>
      <c r="BX69">
        <f>SUMIF(DeadRaw!$B:$B,$B69,DeadRaw!BZ:BZ)</f>
        <v>0</v>
      </c>
      <c r="BY69">
        <f>SUMIF(DeadRaw!$B:$B,$B69,DeadRaw!CA:CA)</f>
        <v>0</v>
      </c>
      <c r="BZ69">
        <f>SUMIF(DeadRaw!$B:$B,$B69,DeadRaw!CB:CB)</f>
        <v>0</v>
      </c>
      <c r="CA69">
        <f>SUMIF(DeadRaw!$B:$B,$B69,DeadRaw!CC:CC)</f>
        <v>0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0</v>
      </c>
      <c r="BX70">
        <f>SUMIF(DeadRaw!$B:$B,$B70,DeadRaw!BZ:BZ)</f>
        <v>0</v>
      </c>
      <c r="BY70">
        <f>SUMIF(DeadRaw!$B:$B,$B70,DeadRaw!CA:CA)</f>
        <v>0</v>
      </c>
      <c r="BZ70">
        <f>SUMIF(DeadRaw!$B:$B,$B70,DeadRaw!CB:CB)</f>
        <v>0</v>
      </c>
      <c r="CA70">
        <f>SUMIF(DeadRaw!$B:$B,$B70,DeadRaw!CC:CC)</f>
        <v>0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0</v>
      </c>
      <c r="BX71">
        <f>SUMIF(DeadRaw!$B:$B,$B71,DeadRaw!BZ:BZ)</f>
        <v>0</v>
      </c>
      <c r="BY71">
        <f>SUMIF(DeadRaw!$B:$B,$B71,DeadRaw!CA:CA)</f>
        <v>0</v>
      </c>
      <c r="BZ71">
        <f>SUMIF(DeadRaw!$B:$B,$B71,DeadRaw!CB:CB)</f>
        <v>0</v>
      </c>
      <c r="CA71">
        <f>SUMIF(DeadRaw!$B:$B,$B71,DeadRaw!CC:CC)</f>
        <v>0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0</v>
      </c>
      <c r="BX72">
        <f>SUMIF(DeadRaw!$B:$B,$B72,DeadRaw!BZ:BZ)</f>
        <v>0</v>
      </c>
      <c r="BY72">
        <f>SUMIF(DeadRaw!$B:$B,$B72,DeadRaw!CA:CA)</f>
        <v>0</v>
      </c>
      <c r="BZ72">
        <f>SUMIF(DeadRaw!$B:$B,$B72,DeadRaw!CB:CB)</f>
        <v>0</v>
      </c>
      <c r="CA72">
        <f>SUMIF(DeadRaw!$B:$B,$B72,DeadRaw!CC:CC)</f>
        <v>0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0</v>
      </c>
      <c r="BX73">
        <f>SUMIF(DeadRaw!$B:$B,$B73,DeadRaw!BZ:BZ)</f>
        <v>0</v>
      </c>
      <c r="BY73">
        <f>SUMIF(DeadRaw!$B:$B,$B73,DeadRaw!CA:CA)</f>
        <v>0</v>
      </c>
      <c r="BZ73">
        <f>SUMIF(DeadRaw!$B:$B,$B73,DeadRaw!CB:CB)</f>
        <v>0</v>
      </c>
      <c r="CA73">
        <f>SUMIF(DeadRaw!$B:$B,$B73,DeadRaw!CC:CC)</f>
        <v>0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0</v>
      </c>
      <c r="BX74">
        <f>SUMIF(DeadRaw!$B:$B,$B74,DeadRaw!BZ:BZ)</f>
        <v>0</v>
      </c>
      <c r="BY74">
        <f>SUMIF(DeadRaw!$B:$B,$B74,DeadRaw!CA:CA)</f>
        <v>0</v>
      </c>
      <c r="BZ74">
        <f>SUMIF(DeadRaw!$B:$B,$B74,DeadRaw!CB:CB)</f>
        <v>0</v>
      </c>
      <c r="CA74">
        <f>SUMIF(DeadRaw!$B:$B,$B74,DeadRaw!CC:CC)</f>
        <v>0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0</v>
      </c>
      <c r="BX75">
        <f>SUMIF(DeadRaw!$B:$B,$B75,DeadRaw!BZ:BZ)</f>
        <v>0</v>
      </c>
      <c r="BY75">
        <f>SUMIF(DeadRaw!$B:$B,$B75,DeadRaw!CA:CA)</f>
        <v>0</v>
      </c>
      <c r="BZ75">
        <f>SUMIF(DeadRaw!$B:$B,$B75,DeadRaw!CB:CB)</f>
        <v>0</v>
      </c>
      <c r="CA75">
        <f>SUMIF(DeadRaw!$B:$B,$B75,DeadRaw!CC:CC)</f>
        <v>0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0</v>
      </c>
      <c r="BX76">
        <f>SUMIF(DeadRaw!$B:$B,$B76,DeadRaw!BZ:BZ)</f>
        <v>0</v>
      </c>
      <c r="BY76">
        <f>SUMIF(DeadRaw!$B:$B,$B76,DeadRaw!CA:CA)</f>
        <v>0</v>
      </c>
      <c r="BZ76">
        <f>SUMIF(DeadRaw!$B:$B,$B76,DeadRaw!CB:CB)</f>
        <v>0</v>
      </c>
      <c r="CA76">
        <f>SUMIF(DeadRaw!$B:$B,$B76,DeadRaw!CC:CC)</f>
        <v>0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0</v>
      </c>
      <c r="BX77">
        <f>SUMIF(DeadRaw!$B:$B,$B77,DeadRaw!BZ:BZ)</f>
        <v>0</v>
      </c>
      <c r="BY77">
        <f>SUMIF(DeadRaw!$B:$B,$B77,DeadRaw!CA:CA)</f>
        <v>0</v>
      </c>
      <c r="BZ77">
        <f>SUMIF(DeadRaw!$B:$B,$B77,DeadRaw!CB:CB)</f>
        <v>0</v>
      </c>
      <c r="CA77">
        <f>SUMIF(DeadRaw!$B:$B,$B77,DeadRaw!CC:CC)</f>
        <v>0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0</v>
      </c>
      <c r="BX78">
        <f>SUMIF(DeadRaw!$B:$B,$B78,DeadRaw!BZ:BZ)</f>
        <v>0</v>
      </c>
      <c r="BY78">
        <f>SUMIF(DeadRaw!$B:$B,$B78,DeadRaw!CA:CA)</f>
        <v>0</v>
      </c>
      <c r="BZ78">
        <f>SUMIF(DeadRaw!$B:$B,$B78,DeadRaw!CB:CB)</f>
        <v>0</v>
      </c>
      <c r="CA78">
        <f>SUMIF(DeadRaw!$B:$B,$B78,DeadRaw!CC:CC)</f>
        <v>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0</v>
      </c>
      <c r="BX80">
        <f>SUMIF(DeadRaw!$B:$B,$B80,DeadRaw!BZ:BZ)</f>
        <v>0</v>
      </c>
      <c r="BY80">
        <f>SUMIF(DeadRaw!$B:$B,$B80,DeadRaw!CA:CA)</f>
        <v>0</v>
      </c>
      <c r="BZ80">
        <f>SUMIF(DeadRaw!$B:$B,$B80,DeadRaw!CB:CB)</f>
        <v>0</v>
      </c>
      <c r="CA80">
        <f>SUMIF(DeadRaw!$B:$B,$B80,DeadRaw!CC:CC)</f>
        <v>0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0</v>
      </c>
      <c r="BX81">
        <f>SUMIF(DeadRaw!$B:$B,$B81,DeadRaw!BZ:BZ)</f>
        <v>0</v>
      </c>
      <c r="BY81">
        <f>SUMIF(DeadRaw!$B:$B,$B81,DeadRaw!CA:CA)</f>
        <v>0</v>
      </c>
      <c r="BZ81">
        <f>SUMIF(DeadRaw!$B:$B,$B81,DeadRaw!CB:CB)</f>
        <v>0</v>
      </c>
      <c r="CA81">
        <f>SUMIF(DeadRaw!$B:$B,$B81,DeadRaw!CC:CC)</f>
        <v>0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0</v>
      </c>
      <c r="BX83">
        <f>SUMIF(DeadRaw!$B:$B,$B83,DeadRaw!BZ:BZ)</f>
        <v>0</v>
      </c>
      <c r="BY83">
        <f>SUMIF(DeadRaw!$B:$B,$B83,DeadRaw!CA:CA)</f>
        <v>0</v>
      </c>
      <c r="BZ83">
        <f>SUMIF(DeadRaw!$B:$B,$B83,DeadRaw!CB:CB)</f>
        <v>0</v>
      </c>
      <c r="CA83">
        <f>SUMIF(DeadRaw!$B:$B,$B83,DeadRaw!CC:CC)</f>
        <v>0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0</v>
      </c>
      <c r="BX84">
        <f>SUMIF(DeadRaw!$B:$B,$B84,DeadRaw!BZ:BZ)</f>
        <v>0</v>
      </c>
      <c r="BY84">
        <f>SUMIF(DeadRaw!$B:$B,$B84,DeadRaw!CA:CA)</f>
        <v>0</v>
      </c>
      <c r="BZ84">
        <f>SUMIF(DeadRaw!$B:$B,$B84,DeadRaw!CB:CB)</f>
        <v>0</v>
      </c>
      <c r="CA84">
        <f>SUMIF(DeadRaw!$B:$B,$B84,DeadRaw!CC:CC)</f>
        <v>0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0</v>
      </c>
      <c r="BX85">
        <f>SUMIF(DeadRaw!$B:$B,$B85,DeadRaw!BZ:BZ)</f>
        <v>0</v>
      </c>
      <c r="BY85">
        <f>SUMIF(DeadRaw!$B:$B,$B85,DeadRaw!CA:CA)</f>
        <v>0</v>
      </c>
      <c r="BZ85">
        <f>SUMIF(DeadRaw!$B:$B,$B85,DeadRaw!CB:CB)</f>
        <v>0</v>
      </c>
      <c r="CA85">
        <f>SUMIF(DeadRaw!$B:$B,$B85,DeadRaw!CC:CC)</f>
        <v>0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0</v>
      </c>
      <c r="BX86">
        <f>SUMIF(DeadRaw!$B:$B,$B86,DeadRaw!BZ:BZ)</f>
        <v>0</v>
      </c>
      <c r="BY86">
        <f>SUMIF(DeadRaw!$B:$B,$B86,DeadRaw!CA:CA)</f>
        <v>0</v>
      </c>
      <c r="BZ86">
        <f>SUMIF(DeadRaw!$B:$B,$B86,DeadRaw!CB:CB)</f>
        <v>0</v>
      </c>
      <c r="CA86">
        <f>SUMIF(DeadRaw!$B:$B,$B86,DeadRaw!CC:CC)</f>
        <v>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0</v>
      </c>
      <c r="BX87">
        <f>SUMIF(DeadRaw!$B:$B,$B87,DeadRaw!BZ:BZ)</f>
        <v>0</v>
      </c>
      <c r="BY87">
        <f>SUMIF(DeadRaw!$B:$B,$B87,DeadRaw!CA:CA)</f>
        <v>0</v>
      </c>
      <c r="BZ87">
        <f>SUMIF(DeadRaw!$B:$B,$B87,DeadRaw!CB:CB)</f>
        <v>0</v>
      </c>
      <c r="CA87">
        <f>SUMIF(DeadRaw!$B:$B,$B87,DeadRaw!CC:CC)</f>
        <v>0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0</v>
      </c>
      <c r="BX88">
        <f>SUMIF(DeadRaw!$B:$B,$B88,DeadRaw!BZ:BZ)</f>
        <v>0</v>
      </c>
      <c r="BY88">
        <f>SUMIF(DeadRaw!$B:$B,$B88,DeadRaw!CA:CA)</f>
        <v>0</v>
      </c>
      <c r="BZ88">
        <f>SUMIF(DeadRaw!$B:$B,$B88,DeadRaw!CB:CB)</f>
        <v>0</v>
      </c>
      <c r="CA88">
        <f>SUMIF(DeadRaw!$B:$B,$B88,DeadRaw!CC:CC)</f>
        <v>0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0</v>
      </c>
      <c r="BX89">
        <f>SUMIF(DeadRaw!$B:$B,$B89,DeadRaw!BZ:BZ)</f>
        <v>0</v>
      </c>
      <c r="BY89">
        <f>SUMIF(DeadRaw!$B:$B,$B89,DeadRaw!CA:CA)</f>
        <v>0</v>
      </c>
      <c r="BZ89">
        <f>SUMIF(DeadRaw!$B:$B,$B89,DeadRaw!CB:CB)</f>
        <v>0</v>
      </c>
      <c r="CA89">
        <f>SUMIF(DeadRaw!$B:$B,$B89,DeadRaw!CC:CC)</f>
        <v>0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0</v>
      </c>
      <c r="BX90">
        <f>SUMIF(DeadRaw!$B:$B,$B90,DeadRaw!BZ:BZ)</f>
        <v>0</v>
      </c>
      <c r="BY90">
        <f>SUMIF(DeadRaw!$B:$B,$B90,DeadRaw!CA:CA)</f>
        <v>0</v>
      </c>
      <c r="BZ90">
        <f>SUMIF(DeadRaw!$B:$B,$B90,DeadRaw!CB:CB)</f>
        <v>0</v>
      </c>
      <c r="CA90">
        <f>SUMIF(DeadRaw!$B:$B,$B90,DeadRaw!CC:CC)</f>
        <v>0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0</v>
      </c>
      <c r="BX92">
        <f>SUMIF(DeadRaw!$B:$B,$B92,DeadRaw!BZ:BZ)</f>
        <v>0</v>
      </c>
      <c r="BY92">
        <f>SUMIF(DeadRaw!$B:$B,$B92,DeadRaw!CA:CA)</f>
        <v>0</v>
      </c>
      <c r="BZ92">
        <f>SUMIF(DeadRaw!$B:$B,$B92,DeadRaw!CB:CB)</f>
        <v>0</v>
      </c>
      <c r="CA92">
        <f>SUMIF(DeadRaw!$B:$B,$B92,DeadRaw!CC:CC)</f>
        <v>0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0</v>
      </c>
      <c r="BX94">
        <f>SUMIF(DeadRaw!$B:$B,$B94,DeadRaw!BZ:BZ)</f>
        <v>0</v>
      </c>
      <c r="BY94">
        <f>SUMIF(DeadRaw!$B:$B,$B94,DeadRaw!CA:CA)</f>
        <v>0</v>
      </c>
      <c r="BZ94">
        <f>SUMIF(DeadRaw!$B:$B,$B94,DeadRaw!CB:CB)</f>
        <v>0</v>
      </c>
      <c r="CA94">
        <f>SUMIF(DeadRaw!$B:$B,$B94,DeadRaw!CC:CC)</f>
        <v>0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0</v>
      </c>
      <c r="BX96">
        <f>SUMIF(DeadRaw!$B:$B,$B96,DeadRaw!BZ:BZ)</f>
        <v>0</v>
      </c>
      <c r="BY96">
        <f>SUMIF(DeadRaw!$B:$B,$B96,DeadRaw!CA:CA)</f>
        <v>0</v>
      </c>
      <c r="BZ96">
        <f>SUMIF(DeadRaw!$B:$B,$B96,DeadRaw!CB:CB)</f>
        <v>0</v>
      </c>
      <c r="CA96">
        <f>SUMIF(DeadRaw!$B:$B,$B96,DeadRaw!CC:CC)</f>
        <v>0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0</v>
      </c>
      <c r="BX97">
        <f>SUMIF(DeadRaw!$B:$B,$B97,DeadRaw!BZ:BZ)</f>
        <v>0</v>
      </c>
      <c r="BY97">
        <f>SUMIF(DeadRaw!$B:$B,$B97,DeadRaw!CA:CA)</f>
        <v>0</v>
      </c>
      <c r="BZ97">
        <f>SUMIF(DeadRaw!$B:$B,$B97,DeadRaw!CB:CB)</f>
        <v>0</v>
      </c>
      <c r="CA97">
        <f>SUMIF(DeadRaw!$B:$B,$B97,DeadRaw!CC:CC)</f>
        <v>0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0</v>
      </c>
      <c r="BX98">
        <f>SUMIF(DeadRaw!$B:$B,$B98,DeadRaw!BZ:BZ)</f>
        <v>0</v>
      </c>
      <c r="BY98">
        <f>SUMIF(DeadRaw!$B:$B,$B98,DeadRaw!CA:CA)</f>
        <v>0</v>
      </c>
      <c r="BZ98">
        <f>SUMIF(DeadRaw!$B:$B,$B98,DeadRaw!CB:CB)</f>
        <v>0</v>
      </c>
      <c r="CA98">
        <f>SUMIF(DeadRaw!$B:$B,$B98,DeadRaw!CC:CC)</f>
        <v>0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0</v>
      </c>
      <c r="BX99">
        <f>SUMIF(DeadRaw!$B:$B,$B99,DeadRaw!BZ:BZ)</f>
        <v>0</v>
      </c>
      <c r="BY99">
        <f>SUMIF(DeadRaw!$B:$B,$B99,DeadRaw!CA:CA)</f>
        <v>0</v>
      </c>
      <c r="BZ99">
        <f>SUMIF(DeadRaw!$B:$B,$B99,DeadRaw!CB:CB)</f>
        <v>0</v>
      </c>
      <c r="CA99">
        <f>SUMIF(DeadRaw!$B:$B,$B99,DeadRaw!CC:CC)</f>
        <v>0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0</v>
      </c>
      <c r="BX100">
        <f>SUMIF(DeadRaw!$B:$B,$B100,DeadRaw!BZ:BZ)</f>
        <v>0</v>
      </c>
      <c r="BY100">
        <f>SUMIF(DeadRaw!$B:$B,$B100,DeadRaw!CA:CA)</f>
        <v>0</v>
      </c>
      <c r="BZ100">
        <f>SUMIF(DeadRaw!$B:$B,$B100,DeadRaw!CB:CB)</f>
        <v>0</v>
      </c>
      <c r="CA100">
        <f>SUMIF(DeadRaw!$B:$B,$B100,DeadRaw!CC:CC)</f>
        <v>0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0</v>
      </c>
      <c r="BX102">
        <f>SUMIF(DeadRaw!$B:$B,$B102,DeadRaw!BZ:BZ)</f>
        <v>0</v>
      </c>
      <c r="BY102">
        <f>SUMIF(DeadRaw!$B:$B,$B102,DeadRaw!CA:CA)</f>
        <v>0</v>
      </c>
      <c r="BZ102">
        <f>SUMIF(DeadRaw!$B:$B,$B102,DeadRaw!CB:CB)</f>
        <v>0</v>
      </c>
      <c r="CA102">
        <f>SUMIF(DeadRaw!$B:$B,$B102,DeadRaw!CC:CC)</f>
        <v>0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0</v>
      </c>
      <c r="BX104">
        <f>SUMIF(DeadRaw!$B:$B,$B104,DeadRaw!BZ:BZ)</f>
        <v>0</v>
      </c>
      <c r="BY104">
        <f>SUMIF(DeadRaw!$B:$B,$B104,DeadRaw!CA:CA)</f>
        <v>0</v>
      </c>
      <c r="BZ104">
        <f>SUMIF(DeadRaw!$B:$B,$B104,DeadRaw!CB:CB)</f>
        <v>0</v>
      </c>
      <c r="CA104">
        <f>SUMIF(DeadRaw!$B:$B,$B104,DeadRaw!CC:CC)</f>
        <v>0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0</v>
      </c>
      <c r="BX105">
        <f>SUMIF(DeadRaw!$B:$B,$B105,DeadRaw!BZ:BZ)</f>
        <v>0</v>
      </c>
      <c r="BY105">
        <f>SUMIF(DeadRaw!$B:$B,$B105,DeadRaw!CA:CA)</f>
        <v>0</v>
      </c>
      <c r="BZ105">
        <f>SUMIF(DeadRaw!$B:$B,$B105,DeadRaw!CB:CB)</f>
        <v>0</v>
      </c>
      <c r="CA105">
        <f>SUMIF(DeadRaw!$B:$B,$B105,DeadRaw!CC:CC)</f>
        <v>0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0</v>
      </c>
      <c r="BX106">
        <f>SUMIF(DeadRaw!$B:$B,$B106,DeadRaw!BZ:BZ)</f>
        <v>0</v>
      </c>
      <c r="BY106">
        <f>SUMIF(DeadRaw!$B:$B,$B106,DeadRaw!CA:CA)</f>
        <v>0</v>
      </c>
      <c r="BZ106">
        <f>SUMIF(DeadRaw!$B:$B,$B106,DeadRaw!CB:CB)</f>
        <v>0</v>
      </c>
      <c r="CA106">
        <f>SUMIF(DeadRaw!$B:$B,$B106,DeadRaw!CC:CC)</f>
        <v>0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0</v>
      </c>
      <c r="BX107">
        <f>SUMIF(DeadRaw!$B:$B,$B107,DeadRaw!BZ:BZ)</f>
        <v>0</v>
      </c>
      <c r="BY107">
        <f>SUMIF(DeadRaw!$B:$B,$B107,DeadRaw!CA:CA)</f>
        <v>0</v>
      </c>
      <c r="BZ107">
        <f>SUMIF(DeadRaw!$B:$B,$B107,DeadRaw!CB:CB)</f>
        <v>0</v>
      </c>
      <c r="CA107">
        <f>SUMIF(DeadRaw!$B:$B,$B107,DeadRaw!CC:CC)</f>
        <v>0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0</v>
      </c>
      <c r="BX108">
        <f>SUMIF(DeadRaw!$B:$B,$B108,DeadRaw!BZ:BZ)</f>
        <v>0</v>
      </c>
      <c r="BY108">
        <f>SUMIF(DeadRaw!$B:$B,$B108,DeadRaw!CA:CA)</f>
        <v>0</v>
      </c>
      <c r="BZ108">
        <f>SUMIF(DeadRaw!$B:$B,$B108,DeadRaw!CB:CB)</f>
        <v>0</v>
      </c>
      <c r="CA108">
        <f>SUMIF(DeadRaw!$B:$B,$B108,DeadRaw!CC:CC)</f>
        <v>0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0</v>
      </c>
      <c r="BX109">
        <f>SUMIF(DeadRaw!$B:$B,$B109,DeadRaw!BZ:BZ)</f>
        <v>0</v>
      </c>
      <c r="BY109">
        <f>SUMIF(DeadRaw!$B:$B,$B109,DeadRaw!CA:CA)</f>
        <v>0</v>
      </c>
      <c r="BZ109">
        <f>SUMIF(DeadRaw!$B:$B,$B109,DeadRaw!CB:CB)</f>
        <v>0</v>
      </c>
      <c r="CA109">
        <f>SUMIF(DeadRaw!$B:$B,$B109,DeadRaw!CC:CC)</f>
        <v>0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0</v>
      </c>
      <c r="BX110">
        <f>SUMIF(DeadRaw!$B:$B,$B110,DeadRaw!BZ:BZ)</f>
        <v>0</v>
      </c>
      <c r="BY110">
        <f>SUMIF(DeadRaw!$B:$B,$B110,DeadRaw!CA:CA)</f>
        <v>0</v>
      </c>
      <c r="BZ110">
        <f>SUMIF(DeadRaw!$B:$B,$B110,DeadRaw!CB:CB)</f>
        <v>0</v>
      </c>
      <c r="CA110">
        <f>SUMIF(DeadRaw!$B:$B,$B110,DeadRaw!CC:CC)</f>
        <v>0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0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0</v>
      </c>
      <c r="BX114">
        <f>SUMIF(DeadRaw!$B:$B,$B114,DeadRaw!BZ:BZ)</f>
        <v>0</v>
      </c>
      <c r="BY114">
        <f>SUMIF(DeadRaw!$B:$B,$B114,DeadRaw!CA:CA)</f>
        <v>0</v>
      </c>
      <c r="BZ114">
        <f>SUMIF(DeadRaw!$B:$B,$B114,DeadRaw!CB:CB)</f>
        <v>0</v>
      </c>
      <c r="CA114">
        <f>SUMIF(DeadRaw!$B:$B,$B114,DeadRaw!CC:CC)</f>
        <v>0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0</v>
      </c>
      <c r="BZ115">
        <f>SUMIF(DeadRaw!$B:$B,$B115,DeadRaw!CB:CB)</f>
        <v>0</v>
      </c>
      <c r="CA115">
        <f>SUMIF(DeadRaw!$B:$B,$B115,DeadRaw!CC:CC)</f>
        <v>0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0</v>
      </c>
      <c r="BX118">
        <f>SUMIF(DeadRaw!$B:$B,$B118,DeadRaw!BZ:BZ)</f>
        <v>0</v>
      </c>
      <c r="BY118">
        <f>SUMIF(DeadRaw!$B:$B,$B118,DeadRaw!CA:CA)</f>
        <v>0</v>
      </c>
      <c r="BZ118">
        <f>SUMIF(DeadRaw!$B:$B,$B118,DeadRaw!CB:CB)</f>
        <v>0</v>
      </c>
      <c r="CA118">
        <f>SUMIF(DeadRaw!$B:$B,$B118,DeadRaw!CC:CC)</f>
        <v>0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0</v>
      </c>
      <c r="BX120">
        <f>SUMIF(DeadRaw!$B:$B,$B120,DeadRaw!BZ:BZ)</f>
        <v>0</v>
      </c>
      <c r="BY120">
        <f>SUMIF(DeadRaw!$B:$B,$B120,DeadRaw!CA:CA)</f>
        <v>0</v>
      </c>
      <c r="BZ120">
        <f>SUMIF(DeadRaw!$B:$B,$B120,DeadRaw!CB:CB)</f>
        <v>0</v>
      </c>
      <c r="CA120">
        <f>SUMIF(DeadRaw!$B:$B,$B120,DeadRaw!CC:CC)</f>
        <v>0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0</v>
      </c>
      <c r="BX121">
        <f>SUMIF(DeadRaw!$B:$B,$B121,DeadRaw!BZ:BZ)</f>
        <v>0</v>
      </c>
      <c r="BY121">
        <f>SUMIF(DeadRaw!$B:$B,$B121,DeadRaw!CA:CA)</f>
        <v>0</v>
      </c>
      <c r="BZ121">
        <f>SUMIF(DeadRaw!$B:$B,$B121,DeadRaw!CB:CB)</f>
        <v>0</v>
      </c>
      <c r="CA121">
        <f>SUMIF(DeadRaw!$B:$B,$B121,DeadRaw!CC:CC)</f>
        <v>0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0</v>
      </c>
      <c r="BY122">
        <f>SUMIF(DeadRaw!$B:$B,$B122,DeadRaw!CA:CA)</f>
        <v>0</v>
      </c>
      <c r="BZ122">
        <f>SUMIF(DeadRaw!$B:$B,$B122,DeadRaw!CB:CB)</f>
        <v>0</v>
      </c>
      <c r="CA122">
        <f>SUMIF(DeadRaw!$B:$B,$B122,DeadRaw!CC:CC)</f>
        <v>0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0</v>
      </c>
      <c r="BX125">
        <f>SUMIF(DeadRaw!$B:$B,$B125,DeadRaw!BZ:BZ)</f>
        <v>0</v>
      </c>
      <c r="BY125">
        <f>SUMIF(DeadRaw!$B:$B,$B125,DeadRaw!CA:CA)</f>
        <v>0</v>
      </c>
      <c r="BZ125">
        <f>SUMIF(DeadRaw!$B:$B,$B125,DeadRaw!CB:CB)</f>
        <v>0</v>
      </c>
      <c r="CA125">
        <f>SUMIF(DeadRaw!$B:$B,$B125,DeadRaw!CC:CC)</f>
        <v>0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0</v>
      </c>
      <c r="BX126">
        <f>SUMIF(DeadRaw!$B:$B,$B126,DeadRaw!BZ:BZ)</f>
        <v>0</v>
      </c>
      <c r="BY126">
        <f>SUMIF(DeadRaw!$B:$B,$B126,DeadRaw!CA:CA)</f>
        <v>0</v>
      </c>
      <c r="BZ126">
        <f>SUMIF(DeadRaw!$B:$B,$B126,DeadRaw!CB:CB)</f>
        <v>0</v>
      </c>
      <c r="CA126">
        <f>SUMIF(DeadRaw!$B:$B,$B126,DeadRaw!CC:CC)</f>
        <v>0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0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0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0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0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0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0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0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573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574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575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576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577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578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X259"/>
  <sheetViews>
    <sheetView workbookViewId="0">
      <selection sqref="A1:CA1000"/>
    </sheetView>
  </sheetViews>
  <sheetFormatPr defaultRowHeight="14.4" x14ac:dyDescent="0.3"/>
  <sheetData>
    <row r="1" spans="1:76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</row>
    <row r="2" spans="1:7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</row>
    <row r="3" spans="1:7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</row>
    <row r="4" spans="1:7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</row>
    <row r="5" spans="1:7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</row>
    <row r="6" spans="1:76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</row>
    <row r="7" spans="1:7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</row>
    <row r="8" spans="1:7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</row>
    <row r="9" spans="1:7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</row>
    <row r="10" spans="1:7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</row>
    <row r="11" spans="1:7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</row>
    <row r="12" spans="1:7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</row>
    <row r="13" spans="1:7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</row>
    <row r="14" spans="1:7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</row>
    <row r="15" spans="1:7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</row>
    <row r="16" spans="1:7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</row>
    <row r="17" spans="1:7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</row>
    <row r="18" spans="1:7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</row>
    <row r="19" spans="1:7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</row>
    <row r="20" spans="1:76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</row>
    <row r="21" spans="1:7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</row>
    <row r="22" spans="1:7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</row>
    <row r="23" spans="1:76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</row>
    <row r="24" spans="1:7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</row>
    <row r="25" spans="1:7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</row>
    <row r="26" spans="1:76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</row>
    <row r="27" spans="1:7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</row>
    <row r="28" spans="1:7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</row>
    <row r="29" spans="1:7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</row>
    <row r="30" spans="1:7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</row>
    <row r="31" spans="1:7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</row>
    <row r="32" spans="1:7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</row>
    <row r="33" spans="1:7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</row>
    <row r="34" spans="1:76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</row>
    <row r="35" spans="1:7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</row>
    <row r="36" spans="1:7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</row>
    <row r="37" spans="1:7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</row>
    <row r="38" spans="1:7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</row>
    <row r="39" spans="1:7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</row>
    <row r="40" spans="1:7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</row>
    <row r="41" spans="1:7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</row>
    <row r="42" spans="1:76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</row>
    <row r="43" spans="1:76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</row>
    <row r="44" spans="1:7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</row>
    <row r="45" spans="1:76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</row>
    <row r="46" spans="1:7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</row>
    <row r="47" spans="1:7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</row>
    <row r="48" spans="1:76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</row>
    <row r="49" spans="1:76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</row>
    <row r="50" spans="1:7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</row>
    <row r="51" spans="1:76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</row>
    <row r="52" spans="1:7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</row>
    <row r="53" spans="1:76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</row>
    <row r="54" spans="1:7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</row>
    <row r="55" spans="1:7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</row>
    <row r="56" spans="1:7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</row>
    <row r="57" spans="1:76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</row>
    <row r="58" spans="1:76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</row>
    <row r="59" spans="1:76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</row>
    <row r="60" spans="1:76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</row>
    <row r="61" spans="1:76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</row>
    <row r="62" spans="1:76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</row>
    <row r="63" spans="1:7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</row>
    <row r="64" spans="1:76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</row>
    <row r="65" spans="1:76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</row>
    <row r="66" spans="1:7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</row>
    <row r="67" spans="1:76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</row>
    <row r="68" spans="1:76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</row>
    <row r="69" spans="1:7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</row>
    <row r="70" spans="1:76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</row>
    <row r="71" spans="1:76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</row>
    <row r="73" spans="1:7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</row>
    <row r="74" spans="1:7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</row>
    <row r="75" spans="1:76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</row>
    <row r="76" spans="1:76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</row>
    <row r="77" spans="1:76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</row>
    <row r="78" spans="1:76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</row>
    <row r="79" spans="1:7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</row>
    <row r="80" spans="1:7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</row>
    <row r="81" spans="1:7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</row>
    <row r="82" spans="1:76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</row>
    <row r="83" spans="1:76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</row>
    <row r="84" spans="1:7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</row>
    <row r="85" spans="1:76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</row>
    <row r="86" spans="1:7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</row>
    <row r="87" spans="1:7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</row>
    <row r="88" spans="1:7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</row>
    <row r="89" spans="1:7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</row>
    <row r="90" spans="1:76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</row>
    <row r="91" spans="1:7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</row>
    <row r="92" spans="1:7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</row>
    <row r="93" spans="1:76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</row>
    <row r="94" spans="1:7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</row>
    <row r="95" spans="1:76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</row>
    <row r="96" spans="1:7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</row>
    <row r="97" spans="1:76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</row>
    <row r="98" spans="1:7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</row>
    <row r="99" spans="1:7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</row>
    <row r="100" spans="1:7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</row>
    <row r="101" spans="1:76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</row>
    <row r="102" spans="1:76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</row>
    <row r="103" spans="1:76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</row>
    <row r="104" spans="1:7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</row>
    <row r="105" spans="1:76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</row>
    <row r="106" spans="1:7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</row>
    <row r="107" spans="1:76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</row>
    <row r="108" spans="1:7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</row>
    <row r="109" spans="1:7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</row>
    <row r="110" spans="1:7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</row>
    <row r="111" spans="1:7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</row>
    <row r="112" spans="1:76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</row>
    <row r="113" spans="1:76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</row>
    <row r="114" spans="1:7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</row>
    <row r="115" spans="1:7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</row>
    <row r="116" spans="1:7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</row>
    <row r="117" spans="1:7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</row>
    <row r="118" spans="1:7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</row>
    <row r="119" spans="1:76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</row>
    <row r="120" spans="1:76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</row>
    <row r="121" spans="1:7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</row>
    <row r="122" spans="1:7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</row>
    <row r="123" spans="1:76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</row>
    <row r="124" spans="1:7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</row>
    <row r="125" spans="1:76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</row>
    <row r="126" spans="1:7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</row>
    <row r="127" spans="1:7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</row>
    <row r="128" spans="1:76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</row>
    <row r="129" spans="2:7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</row>
    <row r="130" spans="2:7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</row>
    <row r="131" spans="2:7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</row>
    <row r="132" spans="2:7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</row>
    <row r="133" spans="2:7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</row>
    <row r="134" spans="2:7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</row>
    <row r="135" spans="2:7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</row>
    <row r="136" spans="2:7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</row>
    <row r="137" spans="2:7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</row>
    <row r="138" spans="2:7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</row>
    <row r="139" spans="2:7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</row>
    <row r="140" spans="2:7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</row>
    <row r="141" spans="2:76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</row>
    <row r="142" spans="2:7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</row>
    <row r="143" spans="2:7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</row>
    <row r="144" spans="2:7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</row>
    <row r="145" spans="2:76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</row>
    <row r="146" spans="2:7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</row>
    <row r="147" spans="2:76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</row>
    <row r="148" spans="2:7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</row>
    <row r="149" spans="2:7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</row>
    <row r="150" spans="2:76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</row>
    <row r="151" spans="2:7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</row>
    <row r="152" spans="2:7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</row>
    <row r="153" spans="2:7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</row>
    <row r="154" spans="2:76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</row>
    <row r="155" spans="2:7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</row>
    <row r="156" spans="2:7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</row>
    <row r="157" spans="2:7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</row>
    <row r="158" spans="2:76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</row>
    <row r="159" spans="2:76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</row>
    <row r="160" spans="2:7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</row>
    <row r="161" spans="1:7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</row>
    <row r="162" spans="1:7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</row>
    <row r="163" spans="1:7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</row>
    <row r="164" spans="1:76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</row>
    <row r="165" spans="1:7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</row>
    <row r="166" spans="1:76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</row>
    <row r="167" spans="1:7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</row>
    <row r="168" spans="1:7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</row>
    <row r="169" spans="1:76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</row>
    <row r="170" spans="1:76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</row>
    <row r="171" spans="1:7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</row>
    <row r="172" spans="1:7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</row>
    <row r="173" spans="1:76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</row>
    <row r="174" spans="1:76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</row>
    <row r="175" spans="1:7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</row>
    <row r="176" spans="1:7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</row>
    <row r="177" spans="2:7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</row>
    <row r="178" spans="2:7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</row>
    <row r="179" spans="2:7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</row>
    <row r="180" spans="2:7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</row>
    <row r="181" spans="2:76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</row>
    <row r="182" spans="2:7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</row>
    <row r="183" spans="2:7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</row>
    <row r="184" spans="2:7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</row>
    <row r="185" spans="2:7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</row>
    <row r="186" spans="2:7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</row>
    <row r="187" spans="2:7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</row>
    <row r="188" spans="2:7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</row>
    <row r="189" spans="2:7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</row>
    <row r="190" spans="2:76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</row>
    <row r="191" spans="2:76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</row>
    <row r="192" spans="2:76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</row>
    <row r="193" spans="2:7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</row>
    <row r="194" spans="2:7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</row>
    <row r="195" spans="2:7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</row>
    <row r="196" spans="2:7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</row>
    <row r="197" spans="2:76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</row>
    <row r="198" spans="2:7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</row>
    <row r="199" spans="2:7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</row>
    <row r="200" spans="2:7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</row>
    <row r="201" spans="2:76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</row>
    <row r="202" spans="2:7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</row>
    <row r="203" spans="2:7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</row>
    <row r="204" spans="2:7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</row>
    <row r="205" spans="2:7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</row>
    <row r="206" spans="2:76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</row>
    <row r="207" spans="2:7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</row>
    <row r="208" spans="2:7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</row>
    <row r="209" spans="1:76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</row>
    <row r="210" spans="1:76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</row>
    <row r="211" spans="1:76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</row>
    <row r="212" spans="1:7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</row>
    <row r="213" spans="1:76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</row>
    <row r="214" spans="1:7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</row>
    <row r="215" spans="1:7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</row>
    <row r="216" spans="1:76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</row>
    <row r="217" spans="1:7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</row>
    <row r="218" spans="1:7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</row>
    <row r="219" spans="1:76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</row>
    <row r="220" spans="1:7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</row>
    <row r="221" spans="1:7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</row>
    <row r="222" spans="1:7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</row>
    <row r="223" spans="1:76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</row>
    <row r="224" spans="1:76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</row>
    <row r="225" spans="1:7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</row>
    <row r="226" spans="1:76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</row>
    <row r="227" spans="1:76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</row>
    <row r="228" spans="1:76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</row>
    <row r="229" spans="1:76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</row>
    <row r="230" spans="1:76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</row>
    <row r="231" spans="1:76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</row>
    <row r="232" spans="1:76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</row>
    <row r="233" spans="1:7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</row>
    <row r="234" spans="1:76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</row>
    <row r="235" spans="1:76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</row>
    <row r="236" spans="1:76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</row>
    <row r="237" spans="1:76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</row>
    <row r="238" spans="1:76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</row>
    <row r="239" spans="1:76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</row>
    <row r="240" spans="1:76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</row>
    <row r="241" spans="1:76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</row>
    <row r="242" spans="1:76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</row>
    <row r="243" spans="1:76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</row>
    <row r="244" spans="1:76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</row>
    <row r="245" spans="1:76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</row>
    <row r="246" spans="1:76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</row>
    <row r="247" spans="1:76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</row>
    <row r="248" spans="1:76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</row>
    <row r="249" spans="1:76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</row>
    <row r="250" spans="1:76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</row>
    <row r="251" spans="1:76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</row>
    <row r="252" spans="1:76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</row>
    <row r="253" spans="1:76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</row>
    <row r="254" spans="1:76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</row>
    <row r="255" spans="1:76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</row>
    <row r="256" spans="1:76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</row>
    <row r="257" spans="1:76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</row>
    <row r="258" spans="1:76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</row>
    <row r="259" spans="1:76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X25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</row>
    <row r="2" spans="1:7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</row>
    <row r="3" spans="1:7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</row>
    <row r="4" spans="1:7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</row>
    <row r="5" spans="1:7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</row>
    <row r="6" spans="1:76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</row>
    <row r="7" spans="1:7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</row>
    <row r="8" spans="1:7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</row>
    <row r="9" spans="1:7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</row>
    <row r="10" spans="1:7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</row>
    <row r="11" spans="1:7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</row>
    <row r="12" spans="1:7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</row>
    <row r="13" spans="1:7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</row>
    <row r="14" spans="1:7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</row>
    <row r="15" spans="1:7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</row>
    <row r="16" spans="1:7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</row>
    <row r="17" spans="1:7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</row>
    <row r="18" spans="1:7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</row>
    <row r="19" spans="1:7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</row>
    <row r="20" spans="1:76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</row>
    <row r="21" spans="1:7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</row>
    <row r="22" spans="1:7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</row>
    <row r="23" spans="1:76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</row>
    <row r="24" spans="1:7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</row>
    <row r="25" spans="1:7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</row>
    <row r="26" spans="1:76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</row>
    <row r="27" spans="1:7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</row>
    <row r="28" spans="1:7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</row>
    <row r="29" spans="1:7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</row>
    <row r="30" spans="1:7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</row>
    <row r="31" spans="1:7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</row>
    <row r="32" spans="1:7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</row>
    <row r="33" spans="1:7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</row>
    <row r="34" spans="1:76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</row>
    <row r="35" spans="1:7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</row>
    <row r="36" spans="1:7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</row>
    <row r="37" spans="1:7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</row>
    <row r="38" spans="1:7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</row>
    <row r="39" spans="1:7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</row>
    <row r="40" spans="1:7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</row>
    <row r="41" spans="1:7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</row>
    <row r="42" spans="1:76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</row>
    <row r="43" spans="1:76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</row>
    <row r="44" spans="1:7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</row>
    <row r="45" spans="1:76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</row>
    <row r="46" spans="1:7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</row>
    <row r="47" spans="1:7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</row>
    <row r="48" spans="1:76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</row>
    <row r="49" spans="1:76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</row>
    <row r="50" spans="1:7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</row>
    <row r="51" spans="1:76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</row>
    <row r="52" spans="1:7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</row>
    <row r="53" spans="1:76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</row>
    <row r="54" spans="1:7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</row>
    <row r="55" spans="1:7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</row>
    <row r="56" spans="1:7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</row>
    <row r="57" spans="1:76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</row>
    <row r="58" spans="1:76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</row>
    <row r="59" spans="1:76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</row>
    <row r="60" spans="1:76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</row>
    <row r="61" spans="1:76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</row>
    <row r="62" spans="1:76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</row>
    <row r="63" spans="1:7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</row>
    <row r="64" spans="1:76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</row>
    <row r="65" spans="1:76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</row>
    <row r="66" spans="1:7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</row>
    <row r="67" spans="1:76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</row>
    <row r="68" spans="1:76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</row>
    <row r="69" spans="1:7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</row>
    <row r="70" spans="1:76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</row>
    <row r="71" spans="1:76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</row>
    <row r="72" spans="1:7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</row>
    <row r="73" spans="1:7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</row>
    <row r="74" spans="1:7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</row>
    <row r="75" spans="1:76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</row>
    <row r="76" spans="1:76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</row>
    <row r="77" spans="1:76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</row>
    <row r="78" spans="1:76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</row>
    <row r="79" spans="1:7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</row>
    <row r="80" spans="1:7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</row>
    <row r="81" spans="1:7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</row>
    <row r="82" spans="1:76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</row>
    <row r="83" spans="1:76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</row>
    <row r="84" spans="1:7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</row>
    <row r="85" spans="1:76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</row>
    <row r="86" spans="1:7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</row>
    <row r="87" spans="1:7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</row>
    <row r="88" spans="1:7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</row>
    <row r="89" spans="1:7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</row>
    <row r="90" spans="1:76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</row>
    <row r="91" spans="1:7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</row>
    <row r="92" spans="1:7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</row>
    <row r="93" spans="1:76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</row>
    <row r="94" spans="1:7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</row>
    <row r="95" spans="1:76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</row>
    <row r="96" spans="1:7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</row>
    <row r="97" spans="1:76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</row>
    <row r="98" spans="1:7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</row>
    <row r="99" spans="1:7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</row>
    <row r="100" spans="1:7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</row>
    <row r="101" spans="1:76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</row>
    <row r="102" spans="1:76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</row>
    <row r="103" spans="1:76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</row>
    <row r="104" spans="1:7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</row>
    <row r="105" spans="1:76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</row>
    <row r="106" spans="1:7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</row>
    <row r="107" spans="1:76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</row>
    <row r="108" spans="1:7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</row>
    <row r="109" spans="1:7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</row>
    <row r="110" spans="1:7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</row>
    <row r="111" spans="1:7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</row>
    <row r="112" spans="1:76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</row>
    <row r="113" spans="1:76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</row>
    <row r="114" spans="1:7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</row>
    <row r="115" spans="1:7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</row>
    <row r="116" spans="1:7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</row>
    <row r="117" spans="1:7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</row>
    <row r="118" spans="1:7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</row>
    <row r="119" spans="1:76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</row>
    <row r="120" spans="1:76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</row>
    <row r="121" spans="1:7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</row>
    <row r="122" spans="1:7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</row>
    <row r="123" spans="1:76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</row>
    <row r="124" spans="1:7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</row>
    <row r="125" spans="1:76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</row>
    <row r="126" spans="1:7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</row>
    <row r="127" spans="1:7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</row>
    <row r="128" spans="1:76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</row>
    <row r="129" spans="2:7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</row>
    <row r="130" spans="2:7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</row>
    <row r="131" spans="2:7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</row>
    <row r="132" spans="2:7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</row>
    <row r="133" spans="2:7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</row>
    <row r="134" spans="2:7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</row>
    <row r="135" spans="2:7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</row>
    <row r="136" spans="2:7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</row>
    <row r="137" spans="2:7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</row>
    <row r="138" spans="2:7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</row>
    <row r="139" spans="2:7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</row>
    <row r="140" spans="2:7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</row>
    <row r="141" spans="2:76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</row>
    <row r="142" spans="2:7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</row>
    <row r="143" spans="2:7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</row>
    <row r="144" spans="2:7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</row>
    <row r="145" spans="2:76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</row>
    <row r="146" spans="2:7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</row>
    <row r="147" spans="2:76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</row>
    <row r="148" spans="2:7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</row>
    <row r="149" spans="2:7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</row>
    <row r="150" spans="2:76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</row>
    <row r="151" spans="2:7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</row>
    <row r="152" spans="2:7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</row>
    <row r="153" spans="2:7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</row>
    <row r="154" spans="2:76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</row>
    <row r="155" spans="2:7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</row>
    <row r="156" spans="2:7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</row>
    <row r="157" spans="2:7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</row>
    <row r="158" spans="2:76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</row>
    <row r="159" spans="2:76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</row>
    <row r="160" spans="2:7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</row>
    <row r="161" spans="1:7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</row>
    <row r="162" spans="1:7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</row>
    <row r="163" spans="1:7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</row>
    <row r="164" spans="1:76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</row>
    <row r="165" spans="1:7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</row>
    <row r="166" spans="1:76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</row>
    <row r="167" spans="1:7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</row>
    <row r="168" spans="1:7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</row>
    <row r="169" spans="1:76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</row>
    <row r="170" spans="1:76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</row>
    <row r="171" spans="1:7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</row>
    <row r="172" spans="1:7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</row>
    <row r="173" spans="1:76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</row>
    <row r="174" spans="1:76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</row>
    <row r="175" spans="1:7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</row>
    <row r="176" spans="1:7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</row>
    <row r="177" spans="2:7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</row>
    <row r="178" spans="2:7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</row>
    <row r="179" spans="2:7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</row>
    <row r="180" spans="2:7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</row>
    <row r="181" spans="2:76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</row>
    <row r="182" spans="2:7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</row>
    <row r="183" spans="2:7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</row>
    <row r="184" spans="2:7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</row>
    <row r="185" spans="2:7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</row>
    <row r="186" spans="2:7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</row>
    <row r="187" spans="2:7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</row>
    <row r="188" spans="2:7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</row>
    <row r="189" spans="2:7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</row>
    <row r="190" spans="2:76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</row>
    <row r="191" spans="2:76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</row>
    <row r="192" spans="2:76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</row>
    <row r="193" spans="2:7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</row>
    <row r="194" spans="2:7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</row>
    <row r="195" spans="2:7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</row>
    <row r="196" spans="2:7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</row>
    <row r="197" spans="2:76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</row>
    <row r="198" spans="2:7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</row>
    <row r="199" spans="2:7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</row>
    <row r="200" spans="2:7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</row>
    <row r="201" spans="2:76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</row>
    <row r="202" spans="2:7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</row>
    <row r="203" spans="2:7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</row>
    <row r="204" spans="2:7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</row>
    <row r="205" spans="2:7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</row>
    <row r="206" spans="2:76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</row>
    <row r="207" spans="2:7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</row>
    <row r="208" spans="2:7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</row>
    <row r="209" spans="1:76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</row>
    <row r="210" spans="1:76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</row>
    <row r="211" spans="1:76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</row>
    <row r="212" spans="1:7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</row>
    <row r="213" spans="1:76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</row>
    <row r="214" spans="1:7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</row>
    <row r="215" spans="1:7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</row>
    <row r="216" spans="1:76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</row>
    <row r="217" spans="1:7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</row>
    <row r="218" spans="1:7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</row>
    <row r="219" spans="1:76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</row>
    <row r="220" spans="1:7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</row>
    <row r="221" spans="1:7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</row>
    <row r="222" spans="1:7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</row>
    <row r="223" spans="1:76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</row>
    <row r="224" spans="1:76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</row>
    <row r="225" spans="1:7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</row>
    <row r="226" spans="1:76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</row>
    <row r="227" spans="1:76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  <c r="BX227">
        <v>243453</v>
      </c>
    </row>
    <row r="228" spans="1:76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</row>
    <row r="229" spans="1:76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</row>
    <row r="230" spans="1:76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</row>
    <row r="231" spans="1:76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</row>
    <row r="232" spans="1:76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</row>
    <row r="233" spans="1:7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</row>
    <row r="234" spans="1:76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</row>
    <row r="235" spans="1:76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</row>
    <row r="236" spans="1:76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</row>
    <row r="237" spans="1:76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</row>
    <row r="238" spans="1:76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</row>
    <row r="239" spans="1:76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</row>
    <row r="240" spans="1:76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</row>
    <row r="241" spans="1:76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</row>
    <row r="242" spans="1:76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</row>
    <row r="243" spans="1:76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</row>
    <row r="244" spans="1:76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</row>
    <row r="245" spans="1:76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</row>
    <row r="246" spans="1:76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</row>
    <row r="247" spans="1:76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</row>
    <row r="248" spans="1:76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</row>
    <row r="249" spans="1:76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</row>
    <row r="250" spans="1:76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</row>
    <row r="251" spans="1:76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</row>
    <row r="252" spans="1:76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</row>
    <row r="253" spans="1:76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</row>
    <row r="254" spans="1:76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</row>
    <row r="255" spans="1:76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</row>
    <row r="256" spans="1:76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</row>
    <row r="257" spans="1:76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</row>
    <row r="258" spans="1:76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</row>
    <row r="259" spans="1:76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2020-04-03T10:27:53Z</dcterms:modified>
</cp:coreProperties>
</file>