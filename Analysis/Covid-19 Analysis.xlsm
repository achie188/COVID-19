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92851A2C-04D6-410B-8507-56846600CC64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eaths_since_10" sheetId="23" r:id="rId6"/>
    <sheet name="Country_Data" sheetId="14" r:id="rId7"/>
    <sheet name="CumulativeConfirmed" sheetId="3" state="hidden" r:id="rId8"/>
    <sheet name="CumulativeDead" sheetId="19" state="hidden" r:id="rId9"/>
    <sheet name="RecoveredRaw" sheetId="17" state="hidden" r:id="rId10"/>
    <sheet name="DeadRaw" sheetId="16" state="hidden" r:id="rId11"/>
    <sheet name="ConfirmedRaw" sheetId="2" state="hidden" r:id="rId12"/>
  </sheets>
  <definedNames>
    <definedName name="_xlnm._FilterDatabase" localSheetId="1" hidden="1">Country_Rates!$C$3:$M$3</definedName>
    <definedName name="_xlnm._FilterDatabase" localSheetId="7" hidden="1">CumulativeConfirmed!$B$1:$BB$1</definedName>
    <definedName name="_xlnm._FilterDatabase" localSheetId="4" hidden="1">Days_Since_100!$B$1:$CU$1</definedName>
    <definedName name="_xlnm._FilterDatabase" localSheetId="5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hoice_range">Projections!$AE$25</definedName>
    <definedName name="country">Projections!$C$7</definedName>
    <definedName name="country_by_day_jpg">Country_Comparison!$B$2:$P$29</definedName>
    <definedName name="country_jpg">Country_Rates!$A$1:$I$68</definedName>
    <definedName name="criticalcare">Projections!$C$34</definedName>
    <definedName name="death_by_day_jpg">Country_Comparison!$B$31:$P$56</definedName>
    <definedName name="graph_range">Country_Comparison!$X$15</definedName>
    <definedName name="image_jpg">Projections!$A$1:$U$53</definedName>
    <definedName name="image2_jpg">Projections!$A$1:$U$28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23" l="1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3" i="23"/>
  <c r="B13" i="23" s="1" a="1"/>
  <c r="B13" i="23" s="1"/>
  <c r="D13" i="23"/>
  <c r="C12" i="23"/>
  <c r="B12" i="23" s="1" a="1"/>
  <c r="B12" i="23" s="1"/>
  <c r="D12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C65" i="23"/>
  <c r="B65" i="23" s="1" a="1"/>
  <c r="B65" i="23" s="1"/>
  <c r="D65" i="23"/>
  <c r="C66" i="23"/>
  <c r="B66" i="23" s="1" a="1"/>
  <c r="B66" i="23" s="1"/>
  <c r="D66" i="23"/>
  <c r="C67" i="23"/>
  <c r="B67" i="23" s="1" a="1"/>
  <c r="B67" i="23" s="1"/>
  <c r="D67" i="23"/>
  <c r="C68" i="23"/>
  <c r="B68" i="23" s="1" a="1"/>
  <c r="B68" i="23" s="1"/>
  <c r="D68" i="23"/>
  <c r="C69" i="23"/>
  <c r="B69" i="23" s="1" a="1"/>
  <c r="B69" i="23" s="1"/>
  <c r="D69" i="23"/>
  <c r="C70" i="23"/>
  <c r="B70" i="23" s="1" a="1"/>
  <c r="B70" i="23" s="1"/>
  <c r="D70" i="23"/>
  <c r="E70" i="23"/>
  <c r="F70" i="23"/>
  <c r="G70" i="23"/>
  <c r="C71" i="23"/>
  <c r="B71" i="23" s="1" a="1"/>
  <c r="B71" i="23" s="1"/>
  <c r="D71" i="23"/>
  <c r="E71" i="23"/>
  <c r="F71" i="23"/>
  <c r="G71" i="23"/>
  <c r="C72" i="23"/>
  <c r="B72" i="23" s="1" a="1"/>
  <c r="B72" i="23" s="1"/>
  <c r="D72" i="23"/>
  <c r="E72" i="23"/>
  <c r="F72" i="23"/>
  <c r="G72" i="23"/>
  <c r="C73" i="23"/>
  <c r="B73" i="23" s="1" a="1"/>
  <c r="B73" i="23" s="1"/>
  <c r="D73" i="23"/>
  <c r="E73" i="23"/>
  <c r="F73" i="23"/>
  <c r="G73" i="23"/>
  <c r="C74" i="23"/>
  <c r="B74" i="23" s="1" a="1"/>
  <c r="B74" i="23" s="1"/>
  <c r="D74" i="23"/>
  <c r="E74" i="23"/>
  <c r="F74" i="23"/>
  <c r="G74" i="23"/>
  <c r="C75" i="23"/>
  <c r="B75" i="23" s="1" a="1"/>
  <c r="B75" i="23" s="1"/>
  <c r="D75" i="23"/>
  <c r="E75" i="23"/>
  <c r="F75" i="23"/>
  <c r="G75" i="23"/>
  <c r="C76" i="23"/>
  <c r="B76" i="23" s="1" a="1"/>
  <c r="B76" i="23" s="1"/>
  <c r="D76" i="23"/>
  <c r="E76" i="23"/>
  <c r="F76" i="23"/>
  <c r="G76" i="23"/>
  <c r="C77" i="23"/>
  <c r="B77" i="23" s="1" a="1"/>
  <c r="B77" i="23" s="1"/>
  <c r="D77" i="23"/>
  <c r="E77" i="23"/>
  <c r="F77" i="23"/>
  <c r="G77" i="23"/>
  <c r="C78" i="23"/>
  <c r="B78" i="23" s="1" a="1"/>
  <c r="B78" i="23" s="1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C89" i="23"/>
  <c r="B89" i="23" s="1" a="1"/>
  <c r="B89" i="23" s="1"/>
  <c r="D89" i="23"/>
  <c r="E89" i="23"/>
  <c r="F89" i="23"/>
  <c r="G89" i="23"/>
  <c r="C90" i="23"/>
  <c r="B90" i="23" s="1" a="1"/>
  <c r="B90" i="23" s="1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B33" i="8" a="1"/>
  <c r="B33" i="8" s="1"/>
  <c r="C33" i="8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C87" i="8"/>
  <c r="B87" i="8" s="1" a="1"/>
  <c r="B87" i="8" s="1"/>
  <c r="D87" i="8"/>
  <c r="C88" i="8"/>
  <c r="B88" i="8" s="1" a="1"/>
  <c r="B88" i="8" s="1"/>
  <c r="D88" i="8"/>
  <c r="C89" i="8"/>
  <c r="B89" i="8" s="1" a="1"/>
  <c r="B89" i="8" s="1"/>
  <c r="D89" i="8"/>
  <c r="C90" i="8"/>
  <c r="B90" i="8" s="1" a="1"/>
  <c r="B90" i="8" s="1"/>
  <c r="D90" i="8"/>
  <c r="C91" i="8"/>
  <c r="B91" i="8" s="1" a="1"/>
  <c r="B91" i="8" s="1"/>
  <c r="D91" i="8"/>
  <c r="C92" i="8"/>
  <c r="B92" i="8" s="1" a="1"/>
  <c r="B92" i="8" s="1"/>
  <c r="D92" i="8"/>
  <c r="C93" i="8"/>
  <c r="B93" i="8" s="1" a="1"/>
  <c r="B93" i="8" s="1"/>
  <c r="D93" i="8"/>
  <c r="C94" i="8"/>
  <c r="B94" i="8" s="1" a="1"/>
  <c r="B94" i="8" s="1"/>
  <c r="D94" i="8"/>
  <c r="C95" i="8"/>
  <c r="B95" i="8" s="1" a="1"/>
  <c r="B95" i="8" s="1"/>
  <c r="D95" i="8"/>
  <c r="C96" i="8"/>
  <c r="B96" i="8" s="1" a="1"/>
  <c r="B96" i="8" s="1"/>
  <c r="D96" i="8"/>
  <c r="C97" i="8"/>
  <c r="B97" i="8" s="1" a="1"/>
  <c r="B97" i="8" s="1"/>
  <c r="D97" i="8"/>
  <c r="B98" i="8" a="1"/>
  <c r="B98" i="8" s="1"/>
  <c r="C98" i="8"/>
  <c r="D98" i="8"/>
  <c r="C99" i="8"/>
  <c r="B99" i="8" s="1" a="1"/>
  <c r="B99" i="8" s="1"/>
  <c r="D99" i="8"/>
  <c r="C100" i="8"/>
  <c r="B100" i="8" s="1" a="1"/>
  <c r="B100" i="8" s="1"/>
  <c r="D100" i="8"/>
  <c r="C101" i="8"/>
  <c r="B101" i="8" s="1" a="1"/>
  <c r="B101" i="8" s="1"/>
  <c r="D101" i="8"/>
  <c r="C102" i="8"/>
  <c r="B102" i="8" s="1" a="1"/>
  <c r="B102" i="8" s="1"/>
  <c r="D102" i="8"/>
  <c r="C103" i="8"/>
  <c r="B103" i="8" s="1" a="1"/>
  <c r="B103" i="8" s="1"/>
  <c r="D103" i="8"/>
  <c r="C104" i="8"/>
  <c r="B104" i="8" s="1" a="1"/>
  <c r="B104" i="8" s="1"/>
  <c r="D104" i="8"/>
  <c r="C105" i="8"/>
  <c r="B105" i="8" s="1" a="1"/>
  <c r="B105" i="8" s="1"/>
  <c r="D105" i="8"/>
  <c r="C106" i="8"/>
  <c r="B106" i="8" s="1" a="1"/>
  <c r="B106" i="8" s="1"/>
  <c r="D106" i="8"/>
  <c r="C107" i="8"/>
  <c r="B107" i="8" s="1" a="1"/>
  <c r="B107" i="8" s="1"/>
  <c r="D107" i="8"/>
  <c r="C108" i="8"/>
  <c r="B108" i="8" s="1" a="1"/>
  <c r="B108" i="8" s="1"/>
  <c r="D108" i="8"/>
  <c r="C109" i="8"/>
  <c r="B109" i="8" s="1" a="1"/>
  <c r="B109" i="8" s="1"/>
  <c r="D109" i="8"/>
  <c r="E109" i="8"/>
  <c r="F109" i="8"/>
  <c r="G109" i="8"/>
  <c r="C110" i="8"/>
  <c r="B110" i="8" s="1" a="1"/>
  <c r="B110" i="8" s="1"/>
  <c r="D110" i="8"/>
  <c r="E110" i="8"/>
  <c r="F110" i="8"/>
  <c r="G110" i="8"/>
  <c r="C111" i="8"/>
  <c r="B111" i="8" s="1" a="1"/>
  <c r="B111" i="8" s="1"/>
  <c r="D111" i="8"/>
  <c r="E111" i="8"/>
  <c r="F111" i="8"/>
  <c r="G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C5" i="23" l="1"/>
  <c r="B5" i="23" s="1" a="1"/>
  <c r="B5" i="23" s="1"/>
  <c r="C5" i="8"/>
  <c r="B5" i="8" s="1" a="1"/>
  <c r="B5" i="8" s="1"/>
  <c r="X15" i="12" l="1"/>
  <c r="BB5" i="3"/>
  <c r="C7" i="15" l="1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L15" i="20" l="1"/>
  <c r="L17" i="20"/>
  <c r="L7" i="20"/>
  <c r="L6" i="20"/>
  <c r="L20" i="20"/>
  <c r="L18" i="20"/>
  <c r="L11" i="20"/>
  <c r="L14" i="20"/>
  <c r="L8" i="20"/>
  <c r="L16" i="20"/>
  <c r="L4" i="20"/>
  <c r="L22" i="20"/>
  <c r="L13" i="20"/>
  <c r="L30" i="20"/>
  <c r="L23" i="20"/>
  <c r="L5" i="20"/>
  <c r="L26" i="20"/>
  <c r="L12" i="20"/>
  <c r="L24" i="20"/>
  <c r="L32" i="20"/>
  <c r="L25" i="20"/>
  <c r="L33" i="20"/>
  <c r="L31" i="20"/>
  <c r="L28" i="20"/>
  <c r="L9" i="20"/>
  <c r="L41" i="20"/>
  <c r="L29" i="20"/>
  <c r="L10" i="20"/>
  <c r="L38" i="20"/>
  <c r="L27" i="20"/>
  <c r="L35" i="20"/>
  <c r="L42" i="20"/>
  <c r="L37" i="20"/>
  <c r="L21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9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O37" i="14" s="1"/>
  <c r="N38" i="14"/>
  <c r="O38" i="14" s="1"/>
  <c r="N39" i="14"/>
  <c r="N40" i="14"/>
  <c r="N41" i="14"/>
  <c r="O41" i="14" s="1"/>
  <c r="N42" i="14"/>
  <c r="N43" i="14"/>
  <c r="O43" i="14" s="1"/>
  <c r="N44" i="14"/>
  <c r="N45" i="14"/>
  <c r="O45" i="14" s="1"/>
  <c r="N46" i="14"/>
  <c r="N47" i="14"/>
  <c r="N48" i="14"/>
  <c r="N49" i="14"/>
  <c r="O49" i="14" s="1"/>
  <c r="N50" i="14"/>
  <c r="O50" i="14" s="1"/>
  <c r="N51" i="14"/>
  <c r="O51" i="14" s="1"/>
  <c r="N52" i="14"/>
  <c r="O52" i="14" s="1"/>
  <c r="N53" i="14"/>
  <c r="O53" i="14" s="1"/>
  <c r="N54" i="14"/>
  <c r="N55" i="14"/>
  <c r="N56" i="14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O67" i="14" s="1"/>
  <c r="N68" i="14"/>
  <c r="O68" i="14" s="1"/>
  <c r="N69" i="14"/>
  <c r="N70" i="14"/>
  <c r="O70" i="14" s="1"/>
  <c r="N71" i="14"/>
  <c r="N72" i="14"/>
  <c r="O72" i="14" s="1"/>
  <c r="N73" i="14"/>
  <c r="N74" i="14"/>
  <c r="O74" i="14" s="1"/>
  <c r="N75" i="14"/>
  <c r="O75" i="14" s="1"/>
  <c r="N76" i="14"/>
  <c r="O76" i="14" s="1"/>
  <c r="N77" i="14"/>
  <c r="O77" i="14" s="1"/>
  <c r="N78" i="14"/>
  <c r="O78" i="14" s="1"/>
  <c r="N79" i="14"/>
  <c r="O79" i="14" s="1"/>
  <c r="N80" i="14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N103" i="14"/>
  <c r="O103" i="14" s="1"/>
  <c r="N104" i="14"/>
  <c r="N105" i="14"/>
  <c r="O105" i="14" s="1"/>
  <c r="N106" i="14"/>
  <c r="O106" i="14" s="1"/>
  <c r="N107" i="14"/>
  <c r="O107" i="14" s="1"/>
  <c r="N108" i="14"/>
  <c r="O108" i="14" s="1"/>
  <c r="N109" i="14"/>
  <c r="O109" i="14" s="1"/>
  <c r="N110" i="14"/>
  <c r="O110" i="14" s="1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J4" i="23" l="1"/>
  <c r="C4" i="23"/>
  <c r="J3" i="23"/>
  <c r="C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C2" i="23"/>
  <c r="A2" i="23"/>
  <c r="A3" i="23" s="1"/>
  <c r="A4" i="23" s="1"/>
  <c r="J1" i="23"/>
  <c r="F1" i="23"/>
  <c r="H62" i="20" l="1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10" i="20"/>
  <c r="H58" i="20"/>
  <c r="H61" i="20"/>
  <c r="D2" i="23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4" i="23"/>
  <c r="F3" i="23" l="1"/>
  <c r="E3" i="23"/>
  <c r="G3" i="23" s="1"/>
  <c r="D3" i="23"/>
  <c r="F2" i="23"/>
  <c r="E2" i="23"/>
  <c r="L4" i="23"/>
  <c r="C32" i="13"/>
  <c r="G2" i="23" l="1"/>
  <c r="M4" i="23"/>
  <c r="B44" i="15"/>
  <c r="N4" i="23" l="1"/>
  <c r="O4" i="23" l="1"/>
  <c r="P4" i="23" l="1"/>
  <c r="J4" i="8"/>
  <c r="J3" i="8"/>
  <c r="J64" i="20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6" i="20"/>
  <c r="H5" i="13" l="1"/>
  <c r="C24" i="13"/>
  <c r="C23" i="13"/>
  <c r="C16" i="13"/>
  <c r="C19" i="13"/>
  <c r="G5" i="13"/>
  <c r="Q4" i="23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M33" i="20"/>
  <c r="M51" i="20"/>
  <c r="M50" i="20"/>
  <c r="M56" i="20"/>
  <c r="M17" i="20"/>
  <c r="M10" i="20"/>
  <c r="M12" i="20"/>
  <c r="M30" i="20"/>
  <c r="M22" i="20"/>
  <c r="M43" i="20"/>
  <c r="M24" i="20"/>
  <c r="M25" i="20"/>
  <c r="M26" i="20"/>
  <c r="M53" i="20"/>
  <c r="M11" i="20"/>
  <c r="M55" i="20"/>
  <c r="C2" i="13"/>
  <c r="C3" i="8"/>
  <c r="C4" i="8"/>
  <c r="D4" i="8" l="1"/>
  <c r="D3" i="8"/>
  <c r="B27" i="15"/>
  <c r="B49" i="15"/>
  <c r="G8" i="13"/>
  <c r="H13" i="13"/>
  <c r="R4" i="23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F4" i="23" l="1"/>
  <c r="D4" i="23"/>
  <c r="E4" i="23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9" i="20" s="1"/>
  <c r="G63" i="14"/>
  <c r="G55" i="14"/>
  <c r="F24" i="20" s="1"/>
  <c r="G47" i="14"/>
  <c r="F12" i="20" s="1"/>
  <c r="G39" i="14"/>
  <c r="F30" i="20" s="1"/>
  <c r="G31" i="14"/>
  <c r="F49" i="20" s="1"/>
  <c r="G23" i="14"/>
  <c r="F21" i="20" s="1"/>
  <c r="G15" i="14"/>
  <c r="F8" i="20" s="1"/>
  <c r="G7" i="14"/>
  <c r="F16" i="20" s="1"/>
  <c r="G120" i="14"/>
  <c r="G112" i="14"/>
  <c r="G104" i="14"/>
  <c r="G96" i="14"/>
  <c r="G88" i="14"/>
  <c r="G80" i="14"/>
  <c r="G72" i="14"/>
  <c r="F34" i="20" s="1"/>
  <c r="G64" i="14"/>
  <c r="G56" i="14"/>
  <c r="G48" i="14"/>
  <c r="F5" i="20" s="1"/>
  <c r="G40" i="14"/>
  <c r="F44" i="20" s="1"/>
  <c r="G32" i="14"/>
  <c r="G24" i="14"/>
  <c r="F11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7" i="20" s="1"/>
  <c r="G25" i="14"/>
  <c r="F47" i="20" s="1"/>
  <c r="G17" i="14"/>
  <c r="F59" i="20" s="1"/>
  <c r="G9" i="14"/>
  <c r="F4" i="20" s="1"/>
  <c r="G122" i="14"/>
  <c r="G114" i="14"/>
  <c r="G106" i="14"/>
  <c r="G98" i="14"/>
  <c r="G90" i="14"/>
  <c r="G82" i="14"/>
  <c r="G74" i="14"/>
  <c r="G66" i="14"/>
  <c r="F10" i="20" s="1"/>
  <c r="G58" i="14"/>
  <c r="F42" i="20" s="1"/>
  <c r="G50" i="14"/>
  <c r="G42" i="14"/>
  <c r="F51" i="20" s="1"/>
  <c r="G34" i="14"/>
  <c r="F48" i="20" s="1"/>
  <c r="G26" i="14"/>
  <c r="F53" i="20" s="1"/>
  <c r="G18" i="14"/>
  <c r="F6" i="20" s="1"/>
  <c r="G10" i="14"/>
  <c r="F22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20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9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15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17" i="20" s="1"/>
  <c r="G38" i="14"/>
  <c r="F52" i="20" s="1"/>
  <c r="G30" i="14"/>
  <c r="G22" i="14"/>
  <c r="F43" i="20" s="1"/>
  <c r="G14" i="14"/>
  <c r="F14" i="20" s="1"/>
  <c r="G6" i="14"/>
  <c r="F13" i="20" s="1"/>
  <c r="G2" i="14"/>
  <c r="F60" i="20" s="1"/>
  <c r="G3" i="14"/>
  <c r="F23" i="20" s="1"/>
  <c r="A2" i="8"/>
  <c r="A3" i="8" s="1"/>
  <c r="G4" i="23" l="1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F40" i="20"/>
  <c r="F39" i="20"/>
  <c r="F18" i="20"/>
  <c r="C8" i="13"/>
  <c r="A4" i="8"/>
  <c r="F61" i="20" l="1"/>
  <c r="L61" i="20"/>
  <c r="F62" i="20"/>
  <c r="L62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1" i="20"/>
  <c r="G62" i="20"/>
  <c r="I4" i="13"/>
  <c r="J2" i="8"/>
  <c r="R21" i="12"/>
  <c r="R22" i="12" s="1"/>
  <c r="R23" i="12" s="1"/>
  <c r="R24" i="12" s="1"/>
  <c r="R25" i="12" s="1"/>
  <c r="R26" i="12" s="1"/>
  <c r="R27" i="12" s="1"/>
  <c r="R28" i="12" s="1"/>
  <c r="R29" i="12" s="1"/>
  <c r="A7" i="8" l="1"/>
  <c r="I5" i="13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E62" i="14" s="1"/>
  <c r="P62" i="14" s="1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E100" i="14" s="1"/>
  <c r="P100" i="14" s="1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E91" i="14" s="1"/>
  <c r="P91" i="14" s="1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E105" i="14" s="1"/>
  <c r="P105" i="14" s="1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E106" i="14" s="1"/>
  <c r="P106" i="14" s="1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E65" i="14" s="1"/>
  <c r="P65" i="14" s="1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E117" i="14" s="1"/>
  <c r="P117" i="14" s="1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E107" i="14" s="1"/>
  <c r="P107" i="14" s="1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E121" i="14" s="1"/>
  <c r="P121" i="14" s="1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E109" i="14" s="1"/>
  <c r="P109" i="14" s="1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E89" i="14" s="1"/>
  <c r="P89" i="14" s="1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A9" i="8" l="1"/>
  <c r="E127" i="14"/>
  <c r="P127" i="14" s="1"/>
  <c r="C15" i="13"/>
  <c r="C36" i="15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D33" i="20"/>
  <c r="M66" i="14"/>
  <c r="D25" i="20"/>
  <c r="M45" i="14"/>
  <c r="D63" i="20"/>
  <c r="M75" i="14"/>
  <c r="D20" i="20"/>
  <c r="M67" i="14"/>
  <c r="D56" i="20"/>
  <c r="M41" i="14"/>
  <c r="D19" i="20"/>
  <c r="M71" i="14"/>
  <c r="D44" i="20"/>
  <c r="M52" i="14"/>
  <c r="D24" i="20"/>
  <c r="M55" i="14"/>
  <c r="D11" i="20"/>
  <c r="M47" i="14"/>
  <c r="D39" i="20"/>
  <c r="M49" i="14"/>
  <c r="D37" i="20"/>
  <c r="M72" i="14"/>
  <c r="D43" i="20"/>
  <c r="M48" i="14"/>
  <c r="D6" i="20"/>
  <c r="M39" i="14"/>
  <c r="D26" i="20"/>
  <c r="M46" i="14"/>
  <c r="D55" i="20"/>
  <c r="M26" i="14"/>
  <c r="D12" i="20"/>
  <c r="M34" i="14"/>
  <c r="D30" i="20"/>
  <c r="M37" i="14"/>
  <c r="D28" i="20"/>
  <c r="M58" i="14"/>
  <c r="D17" i="20"/>
  <c r="M61" i="14"/>
  <c r="D47" i="20"/>
  <c r="M38" i="14"/>
  <c r="D10" i="20"/>
  <c r="M51" i="14"/>
  <c r="D51" i="20"/>
  <c r="M42" i="14"/>
  <c r="D50" i="20"/>
  <c r="M44" i="14"/>
  <c r="D22" i="20"/>
  <c r="M40" i="14"/>
  <c r="D53" i="20"/>
  <c r="D42" i="20"/>
  <c r="L1" i="8"/>
  <c r="L4" i="13"/>
  <c r="A10" i="8" l="1"/>
  <c r="C9" i="13"/>
  <c r="X6" i="13" s="1"/>
  <c r="E10" i="20"/>
  <c r="G3" i="13"/>
  <c r="G25" i="13" s="1"/>
  <c r="K13" i="13"/>
  <c r="L5" i="13"/>
  <c r="E22" i="20"/>
  <c r="E47" i="20"/>
  <c r="E12" i="20"/>
  <c r="E53" i="20"/>
  <c r="E30" i="20"/>
  <c r="E11" i="20"/>
  <c r="E6" i="20"/>
  <c r="E56" i="20"/>
  <c r="E33" i="20"/>
  <c r="E20" i="20"/>
  <c r="E24" i="20"/>
  <c r="E43" i="20"/>
  <c r="E17" i="20"/>
  <c r="E55" i="20"/>
  <c r="E37" i="20"/>
  <c r="E44" i="20"/>
  <c r="E63" i="20"/>
  <c r="E50" i="20"/>
  <c r="E42" i="20"/>
  <c r="E51" i="20"/>
  <c r="E28" i="20"/>
  <c r="E26" i="20"/>
  <c r="E39" i="20"/>
  <c r="E19" i="20"/>
  <c r="E25" i="20"/>
  <c r="M1" i="8"/>
  <c r="M4" i="13"/>
  <c r="A11" i="8" l="1"/>
  <c r="J6" i="13"/>
  <c r="K6" i="13"/>
  <c r="I6" i="13"/>
  <c r="L6" i="13"/>
  <c r="H6" i="13"/>
  <c r="G6" i="13"/>
  <c r="G7" i="13" s="1"/>
  <c r="L13" i="13"/>
  <c r="M5" i="13"/>
  <c r="M6" i="13"/>
  <c r="N1" i="8"/>
  <c r="N4" i="13"/>
  <c r="A12" i="8" l="1"/>
  <c r="L7" i="13"/>
  <c r="J7" i="13"/>
  <c r="H7" i="13"/>
  <c r="H8" i="13" s="1"/>
  <c r="K7" i="13"/>
  <c r="L15" i="13"/>
  <c r="K15" i="13"/>
  <c r="I15" i="13"/>
  <c r="J15" i="13"/>
  <c r="I7" i="13"/>
  <c r="M7" i="13"/>
  <c r="M13" i="13"/>
  <c r="M15" i="13"/>
  <c r="N5" i="13"/>
  <c r="N6" i="13"/>
  <c r="O1" i="8"/>
  <c r="O4" i="13"/>
  <c r="L17" i="13" l="1"/>
  <c r="A13" i="8"/>
  <c r="M17" i="13"/>
  <c r="K8" i="13"/>
  <c r="L8" i="13"/>
  <c r="I8" i="13"/>
  <c r="I14" i="13" s="1"/>
  <c r="J8" i="13"/>
  <c r="K17" i="13"/>
  <c r="M8" i="13"/>
  <c r="H14" i="13"/>
  <c r="N7" i="13"/>
  <c r="N8" i="13" s="1"/>
  <c r="N13" i="13"/>
  <c r="N15" i="13"/>
  <c r="O5" i="13"/>
  <c r="O6" i="13"/>
  <c r="P1" i="8"/>
  <c r="P4" i="13"/>
  <c r="A14" i="8" l="1"/>
  <c r="J14" i="13"/>
  <c r="J16" i="13" s="1"/>
  <c r="L14" i="13"/>
  <c r="M14" i="13"/>
  <c r="K14" i="13"/>
  <c r="N14" i="13"/>
  <c r="G14" i="13"/>
  <c r="N17" i="13"/>
  <c r="O7" i="13"/>
  <c r="O8" i="13" s="1"/>
  <c r="O13" i="13"/>
  <c r="O15" i="13"/>
  <c r="P5" i="13"/>
  <c r="P6" i="13"/>
  <c r="Q1" i="8"/>
  <c r="Q4" i="13"/>
  <c r="H16" i="13" l="1"/>
  <c r="G16" i="13"/>
  <c r="A15" i="8"/>
  <c r="L16" i="13"/>
  <c r="N16" i="13"/>
  <c r="M16" i="13"/>
  <c r="K16" i="13"/>
  <c r="I16" i="13"/>
  <c r="O14" i="13"/>
  <c r="O16" i="13" s="1"/>
  <c r="O17" i="13"/>
  <c r="P7" i="13"/>
  <c r="P13" i="13"/>
  <c r="P15" i="13"/>
  <c r="Q5" i="13"/>
  <c r="Q6" i="13"/>
  <c r="R1" i="8"/>
  <c r="R4" i="13"/>
  <c r="A16" i="8" l="1"/>
  <c r="P17" i="13"/>
  <c r="Q7" i="13"/>
  <c r="Q8" i="13" s="1"/>
  <c r="P8" i="13"/>
  <c r="Q13" i="13"/>
  <c r="Q15" i="13"/>
  <c r="R5" i="13"/>
  <c r="R6" i="13"/>
  <c r="S1" i="8"/>
  <c r="S4" i="13"/>
  <c r="A17" i="8" l="1"/>
  <c r="Q14" i="13"/>
  <c r="P14" i="13"/>
  <c r="P16" i="13" s="1"/>
  <c r="Q17" i="13"/>
  <c r="R7" i="13"/>
  <c r="R8" i="13" s="1"/>
  <c r="R13" i="13"/>
  <c r="R15" i="13"/>
  <c r="S5" i="13"/>
  <c r="S6" i="13"/>
  <c r="T1" i="8"/>
  <c r="T4" i="13"/>
  <c r="A18" i="8" l="1"/>
  <c r="Q16" i="13"/>
  <c r="R14" i="13"/>
  <c r="R16" i="13" s="1"/>
  <c r="R17" i="13"/>
  <c r="S7" i="13"/>
  <c r="S8" i="13" s="1"/>
  <c r="S13" i="13"/>
  <c r="S15" i="13"/>
  <c r="T5" i="13"/>
  <c r="T6" i="13"/>
  <c r="U1" i="8"/>
  <c r="U4" i="13"/>
  <c r="A19" i="8" l="1"/>
  <c r="S14" i="13"/>
  <c r="S16" i="13" s="1"/>
  <c r="S17" i="13"/>
  <c r="T7" i="13"/>
  <c r="T8" i="13" s="1"/>
  <c r="T13" i="13"/>
  <c r="T15" i="13"/>
  <c r="U5" i="13"/>
  <c r="U6" i="13"/>
  <c r="V1" i="8"/>
  <c r="V4" i="13"/>
  <c r="A20" i="8" l="1"/>
  <c r="F19" i="8"/>
  <c r="T14" i="13"/>
  <c r="T16" i="13" s="1"/>
  <c r="T17" i="13"/>
  <c r="U7" i="13"/>
  <c r="U8" i="13" s="1"/>
  <c r="U13" i="13"/>
  <c r="U15" i="13"/>
  <c r="V5" i="13"/>
  <c r="V6" i="13"/>
  <c r="W1" i="8"/>
  <c r="W4" i="13"/>
  <c r="A21" i="8" l="1"/>
  <c r="U14" i="13"/>
  <c r="U16" i="13" s="1"/>
  <c r="U17" i="13"/>
  <c r="V7" i="13"/>
  <c r="V13" i="13"/>
  <c r="V15" i="13"/>
  <c r="W5" i="13"/>
  <c r="W6" i="13"/>
  <c r="X1" i="8"/>
  <c r="X4" i="13"/>
  <c r="A22" i="8" l="1"/>
  <c r="V17" i="13"/>
  <c r="V8" i="13"/>
  <c r="W7" i="13"/>
  <c r="W13" i="13"/>
  <c r="W15" i="13"/>
  <c r="X5" i="13"/>
  <c r="Y1" i="8"/>
  <c r="Y4" i="13"/>
  <c r="A23" i="8" l="1"/>
  <c r="V14" i="13"/>
  <c r="W17" i="13"/>
  <c r="X7" i="13"/>
  <c r="W8" i="13"/>
  <c r="X13" i="13"/>
  <c r="X15" i="13"/>
  <c r="Y5" i="13"/>
  <c r="Y6" i="13"/>
  <c r="Z1" i="8"/>
  <c r="Z4" i="13"/>
  <c r="X8" i="13" l="1"/>
  <c r="X14" i="13" s="1"/>
  <c r="F21" i="8"/>
  <c r="E19" i="8"/>
  <c r="G19" i="8" s="1"/>
  <c r="A24" i="8"/>
  <c r="E23" i="8"/>
  <c r="F23" i="8"/>
  <c r="V16" i="13"/>
  <c r="W14" i="13"/>
  <c r="W16" i="13" s="1"/>
  <c r="X17" i="13"/>
  <c r="Y7" i="13"/>
  <c r="Y8" i="13" s="1"/>
  <c r="Y13" i="13"/>
  <c r="Y15" i="13"/>
  <c r="Z5" i="13"/>
  <c r="Z6" i="13"/>
  <c r="AA1" i="8"/>
  <c r="AA4" i="13"/>
  <c r="F20" i="8" l="1"/>
  <c r="G23" i="8"/>
  <c r="A25" i="8"/>
  <c r="F24" i="8"/>
  <c r="X16" i="13"/>
  <c r="Y14" i="13"/>
  <c r="Y17" i="13"/>
  <c r="Z7" i="13"/>
  <c r="Z13" i="13"/>
  <c r="Z15" i="13"/>
  <c r="AA5" i="13"/>
  <c r="AA6" i="13"/>
  <c r="AB1" i="8"/>
  <c r="AB4" i="13"/>
  <c r="A26" i="8" l="1"/>
  <c r="E25" i="8"/>
  <c r="F25" i="8"/>
  <c r="Y16" i="13"/>
  <c r="Z17" i="13"/>
  <c r="Z8" i="13"/>
  <c r="AA7" i="13"/>
  <c r="AA13" i="13"/>
  <c r="AA15" i="13"/>
  <c r="AB5" i="13"/>
  <c r="AB6" i="13"/>
  <c r="AC1" i="8"/>
  <c r="AC4" i="13"/>
  <c r="G25" i="8" l="1"/>
  <c r="E24" i="8"/>
  <c r="G24" i="8" s="1"/>
  <c r="A27" i="8"/>
  <c r="E26" i="8"/>
  <c r="F26" i="8"/>
  <c r="AA8" i="13"/>
  <c r="AA14" i="13" s="1"/>
  <c r="AB13" i="13"/>
  <c r="Z14" i="13"/>
  <c r="Z16" i="13" s="1"/>
  <c r="AA17" i="13"/>
  <c r="AB7" i="13"/>
  <c r="AB15" i="13"/>
  <c r="AC5" i="13"/>
  <c r="AC13" i="13" s="1"/>
  <c r="AC6" i="13"/>
  <c r="AD1" i="8"/>
  <c r="AD4" i="13"/>
  <c r="G26" i="8" l="1"/>
  <c r="A28" i="8"/>
  <c r="F27" i="8"/>
  <c r="AB17" i="13"/>
  <c r="AA16" i="13"/>
  <c r="AB8" i="13"/>
  <c r="AC7" i="13"/>
  <c r="AC15" i="13"/>
  <c r="AD5" i="13"/>
  <c r="AD13" i="13" s="1"/>
  <c r="AD6" i="13"/>
  <c r="AE1" i="8"/>
  <c r="AE4" i="13"/>
  <c r="A29" i="8" l="1"/>
  <c r="E28" i="8"/>
  <c r="F28" i="8"/>
  <c r="AC17" i="13"/>
  <c r="AB14" i="13"/>
  <c r="AC8" i="13"/>
  <c r="AD7" i="13"/>
  <c r="AD15" i="13"/>
  <c r="AE5" i="13"/>
  <c r="AE13" i="13" s="1"/>
  <c r="AE6" i="13"/>
  <c r="AF1" i="8"/>
  <c r="E27" i="8" s="1"/>
  <c r="G27" i="8" s="1"/>
  <c r="AF4" i="13"/>
  <c r="G28" i="8" l="1"/>
  <c r="A30" i="8"/>
  <c r="E29" i="8"/>
  <c r="F29" i="8"/>
  <c r="AD17" i="13"/>
  <c r="AB16" i="13"/>
  <c r="AC14" i="13"/>
  <c r="AD8" i="13"/>
  <c r="AE7" i="13"/>
  <c r="AE15" i="13"/>
  <c r="AF5" i="13"/>
  <c r="AF13" i="13" s="1"/>
  <c r="AF6" i="13"/>
  <c r="AG1" i="8"/>
  <c r="AG4" i="13"/>
  <c r="G29" i="8" l="1"/>
  <c r="A31" i="8"/>
  <c r="E30" i="8"/>
  <c r="F30" i="8"/>
  <c r="AC16" i="13"/>
  <c r="AE17" i="13"/>
  <c r="AD14" i="13"/>
  <c r="AF7" i="13"/>
  <c r="AF8" i="13" s="1"/>
  <c r="AE8" i="13"/>
  <c r="AF15" i="13"/>
  <c r="AG5" i="13"/>
  <c r="AG6" i="13"/>
  <c r="AH1" i="8"/>
  <c r="AH4" i="13"/>
  <c r="G30" i="8" l="1"/>
  <c r="A32" i="8"/>
  <c r="E31" i="8"/>
  <c r="F31" i="8"/>
  <c r="AD16" i="13"/>
  <c r="AF17" i="13"/>
  <c r="AF14" i="13"/>
  <c r="AE14" i="13"/>
  <c r="AE16" i="13" s="1"/>
  <c r="AG7" i="13"/>
  <c r="AG13" i="13"/>
  <c r="AG15" i="13"/>
  <c r="AH5" i="13"/>
  <c r="AH13" i="13" s="1"/>
  <c r="AH6" i="13"/>
  <c r="AI1" i="8"/>
  <c r="AI4" i="13"/>
  <c r="G31" i="8" l="1"/>
  <c r="A33" i="8"/>
  <c r="E32" i="8"/>
  <c r="F32" i="8"/>
  <c r="AG17" i="13"/>
  <c r="AF16" i="13"/>
  <c r="AH7" i="13"/>
  <c r="AH8" i="13" s="1"/>
  <c r="AG8" i="13"/>
  <c r="AH15" i="13"/>
  <c r="AI5" i="13"/>
  <c r="AI13" i="13" s="1"/>
  <c r="AI6" i="13"/>
  <c r="AJ1" i="8"/>
  <c r="AJ4" i="13"/>
  <c r="AI7" i="13" l="1"/>
  <c r="AI8" i="13" s="1"/>
  <c r="G32" i="8"/>
  <c r="A34" i="8"/>
  <c r="E33" i="8"/>
  <c r="F33" i="8"/>
  <c r="AH17" i="13"/>
  <c r="AH14" i="13"/>
  <c r="AG14" i="13"/>
  <c r="AI15" i="13"/>
  <c r="AI17" i="13" s="1"/>
  <c r="AJ5" i="13"/>
  <c r="AJ13" i="13" s="1"/>
  <c r="AJ6" i="13"/>
  <c r="AK1" i="8"/>
  <c r="AK4" i="13"/>
  <c r="G33" i="8" l="1"/>
  <c r="A35" i="8"/>
  <c r="E34" i="8"/>
  <c r="F34" i="8"/>
  <c r="AG16" i="13"/>
  <c r="AH16" i="13"/>
  <c r="AJ7" i="13"/>
  <c r="AJ15" i="13"/>
  <c r="AJ17" i="13" s="1"/>
  <c r="AK5" i="13"/>
  <c r="AK13" i="13" s="1"/>
  <c r="AK6" i="13"/>
  <c r="AL1" i="8"/>
  <c r="AL4" i="13"/>
  <c r="G34" i="8" l="1"/>
  <c r="A36" i="8"/>
  <c r="E35" i="8"/>
  <c r="F35" i="8"/>
  <c r="AI14" i="13"/>
  <c r="AJ8" i="13"/>
  <c r="AK7" i="13"/>
  <c r="AK8" i="13" s="1"/>
  <c r="AL6" i="13"/>
  <c r="AK15" i="13"/>
  <c r="AL5" i="13"/>
  <c r="AM1" i="8"/>
  <c r="AM4" i="13"/>
  <c r="G35" i="8" l="1"/>
  <c r="A37" i="8"/>
  <c r="E36" i="8"/>
  <c r="F36" i="8"/>
  <c r="AK17" i="13"/>
  <c r="AI16" i="13"/>
  <c r="G15" i="20"/>
  <c r="AK14" i="13"/>
  <c r="AJ14" i="13"/>
  <c r="AL7" i="13"/>
  <c r="AL8" i="13" s="1"/>
  <c r="AL13" i="13"/>
  <c r="AL15" i="13"/>
  <c r="AL17" i="13" s="1"/>
  <c r="AM5" i="13"/>
  <c r="AM13" i="13" s="1"/>
  <c r="AM6" i="13"/>
  <c r="AN1" i="8"/>
  <c r="AN4" i="13"/>
  <c r="G36" i="8" l="1"/>
  <c r="A38" i="8"/>
  <c r="E37" i="8"/>
  <c r="F37" i="8"/>
  <c r="AJ16" i="13"/>
  <c r="AK16" i="13"/>
  <c r="AM7" i="13"/>
  <c r="AM8" i="13" s="1"/>
  <c r="AM15" i="13"/>
  <c r="AN5" i="13"/>
  <c r="AN6" i="13"/>
  <c r="AO1" i="8"/>
  <c r="AO4" i="13"/>
  <c r="G37" i="8" l="1"/>
  <c r="E38" i="8"/>
  <c r="A39" i="8"/>
  <c r="F38" i="8"/>
  <c r="AM17" i="13"/>
  <c r="G32" i="20"/>
  <c r="AM14" i="13"/>
  <c r="AL14" i="13"/>
  <c r="AN7" i="13"/>
  <c r="AN8" i="13" s="1"/>
  <c r="AN13" i="13"/>
  <c r="AN15" i="13"/>
  <c r="AO5" i="13"/>
  <c r="AO13" i="13" s="1"/>
  <c r="AO6" i="13"/>
  <c r="AP1" i="8"/>
  <c r="AP4" i="13"/>
  <c r="A40" i="8" l="1"/>
  <c r="E39" i="8"/>
  <c r="F39" i="8"/>
  <c r="G38" i="8"/>
  <c r="AL16" i="13"/>
  <c r="AM16" i="13"/>
  <c r="AN17" i="13"/>
  <c r="AN14" i="13"/>
  <c r="AO7" i="13"/>
  <c r="AO15" i="13"/>
  <c r="AP5" i="13"/>
  <c r="AP6" i="13"/>
  <c r="AQ1" i="8"/>
  <c r="AQ4" i="13"/>
  <c r="G39" i="8" l="1"/>
  <c r="A41" i="8"/>
  <c r="F40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A42" i="8" l="1"/>
  <c r="E41" i="8"/>
  <c r="F41" i="8"/>
  <c r="AP17" i="13"/>
  <c r="AP14" i="13"/>
  <c r="AO14" i="13"/>
  <c r="AQ7" i="13"/>
  <c r="AQ8" i="13" s="1"/>
  <c r="AQ15" i="13"/>
  <c r="AR5" i="13"/>
  <c r="AR6" i="13"/>
  <c r="AS1" i="8"/>
  <c r="AS4" i="13"/>
  <c r="E40" i="8" l="1"/>
  <c r="G40" i="8" s="1"/>
  <c r="G41" i="8"/>
  <c r="E42" i="8"/>
  <c r="G42" i="8" s="1"/>
  <c r="A43" i="8"/>
  <c r="F42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E43" i="8" l="1"/>
  <c r="A44" i="8"/>
  <c r="F43" i="8"/>
  <c r="AQ16" i="13"/>
  <c r="AR14" i="13"/>
  <c r="AS7" i="13"/>
  <c r="AS8" i="13" s="1"/>
  <c r="AS15" i="13"/>
  <c r="AS17" i="13" s="1"/>
  <c r="AT5" i="13"/>
  <c r="AT6" i="13"/>
  <c r="AU1" i="8"/>
  <c r="AU4" i="13"/>
  <c r="G43" i="8" l="1"/>
  <c r="E44" i="8"/>
  <c r="A45" i="8"/>
  <c r="F44" i="8"/>
  <c r="AR16" i="13"/>
  <c r="AS14" i="13"/>
  <c r="AS16" i="13" s="1"/>
  <c r="AT7" i="13"/>
  <c r="AT13" i="13"/>
  <c r="AT15" i="13"/>
  <c r="AU5" i="13"/>
  <c r="AU6" i="13"/>
  <c r="AV1" i="8"/>
  <c r="AV4" i="13"/>
  <c r="E45" i="8" l="1"/>
  <c r="A46" i="8"/>
  <c r="F45" i="8"/>
  <c r="G44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E46" i="8" l="1"/>
  <c r="A47" i="8"/>
  <c r="F46" i="8"/>
  <c r="G45" i="8"/>
  <c r="AU14" i="13"/>
  <c r="AT14" i="13"/>
  <c r="AV7" i="13"/>
  <c r="AV8" i="13" s="1"/>
  <c r="AV15" i="13"/>
  <c r="AW5" i="13"/>
  <c r="AW6" i="13"/>
  <c r="AX1" i="8"/>
  <c r="G27" i="20"/>
  <c r="AX4" i="13"/>
  <c r="A48" i="8" l="1"/>
  <c r="E47" i="8"/>
  <c r="F47" i="8"/>
  <c r="G46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G47" i="8" l="1"/>
  <c r="G29" i="20" s="1"/>
  <c r="A49" i="8"/>
  <c r="E48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G48" i="8" l="1"/>
  <c r="A50" i="8"/>
  <c r="E49" i="8"/>
  <c r="F49" i="8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G7" i="20"/>
  <c r="BA4" i="13"/>
  <c r="G49" i="8" l="1"/>
  <c r="E50" i="8"/>
  <c r="A51" i="8"/>
  <c r="F50" i="8"/>
  <c r="AY14" i="13"/>
  <c r="AZ7" i="13"/>
  <c r="AZ8" i="13" s="1"/>
  <c r="AZ15" i="13"/>
  <c r="AZ17" i="13" s="1"/>
  <c r="BA5" i="13"/>
  <c r="BA6" i="13"/>
  <c r="BB1" i="8"/>
  <c r="BB4" i="13"/>
  <c r="E51" i="8" l="1"/>
  <c r="A52" i="8"/>
  <c r="F51" i="8"/>
  <c r="G50" i="8"/>
  <c r="AY16" i="13"/>
  <c r="AZ14" i="13"/>
  <c r="BA7" i="13"/>
  <c r="BA8" i="13" s="1"/>
  <c r="BA13" i="13"/>
  <c r="BA15" i="13"/>
  <c r="BB5" i="13"/>
  <c r="BB13" i="13" s="1"/>
  <c r="BB6" i="13"/>
  <c r="BC1" i="8"/>
  <c r="BC4" i="13"/>
  <c r="E52" i="8" l="1"/>
  <c r="A53" i="8"/>
  <c r="F52" i="8"/>
  <c r="G51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E53" i="8" l="1"/>
  <c r="A54" i="8"/>
  <c r="F53" i="8"/>
  <c r="G52" i="8"/>
  <c r="BA16" i="13"/>
  <c r="BB17" i="13"/>
  <c r="BE1" i="8"/>
  <c r="BB14" i="13"/>
  <c r="BB16" i="13" s="1"/>
  <c r="G59" i="20"/>
  <c r="BC7" i="13"/>
  <c r="BC8" i="13" s="1"/>
  <c r="BC15" i="13"/>
  <c r="BD5" i="13"/>
  <c r="BD6" i="13"/>
  <c r="C29" i="13"/>
  <c r="BE4" i="13"/>
  <c r="E54" i="8" l="1"/>
  <c r="A55" i="8"/>
  <c r="F54" i="8"/>
  <c r="G53" i="8"/>
  <c r="G40" i="20" s="1"/>
  <c r="BC17" i="13"/>
  <c r="BF1" i="8"/>
  <c r="G9" i="20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G10" i="13" l="1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A56" i="8"/>
  <c r="E55" i="8"/>
  <c r="F55" i="8"/>
  <c r="G54" i="8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G12" i="20"/>
  <c r="J12" i="20" s="1"/>
  <c r="C16" i="15"/>
  <c r="C34" i="15"/>
  <c r="I3" i="13"/>
  <c r="C10" i="15"/>
  <c r="BG4" i="13"/>
  <c r="G55" i="8" l="1"/>
  <c r="A57" i="8"/>
  <c r="E56" i="8"/>
  <c r="F56" i="8"/>
  <c r="BE17" i="13"/>
  <c r="BH1" i="8"/>
  <c r="E2" i="8"/>
  <c r="G2" i="8" s="1"/>
  <c r="BE14" i="13"/>
  <c r="BE16" i="13" s="1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56" i="8" l="1"/>
  <c r="A58" i="8"/>
  <c r="E57" i="8"/>
  <c r="F57" i="8"/>
  <c r="BI1" i="8"/>
  <c r="BF14" i="13"/>
  <c r="BG7" i="13"/>
  <c r="BG8" i="13" s="1"/>
  <c r="BF12" i="13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G57" i="8" l="1"/>
  <c r="E58" i="8"/>
  <c r="A59" i="8"/>
  <c r="F58" i="8"/>
  <c r="BG17" i="13"/>
  <c r="BF16" i="13"/>
  <c r="BJ1" i="8"/>
  <c r="G24" i="20"/>
  <c r="BG14" i="13"/>
  <c r="BH7" i="13"/>
  <c r="BH8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E59" i="8" l="1"/>
  <c r="A60" i="8"/>
  <c r="F59" i="8"/>
  <c r="G58" i="8"/>
  <c r="BG16" i="13"/>
  <c r="BH14" i="13"/>
  <c r="BK1" i="8"/>
  <c r="BH12" i="13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E60" i="8" l="1"/>
  <c r="A61" i="8"/>
  <c r="F60" i="8"/>
  <c r="G59" i="8"/>
  <c r="BH16" i="13"/>
  <c r="BI17" i="13"/>
  <c r="BI14" i="13"/>
  <c r="BL1" i="8"/>
  <c r="BJ7" i="13"/>
  <c r="BI12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E61" i="8" l="1"/>
  <c r="A62" i="8"/>
  <c r="F61" i="8"/>
  <c r="G60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G47" i="20"/>
  <c r="J47" i="20" s="1"/>
  <c r="O3" i="13"/>
  <c r="BM4" i="13"/>
  <c r="G61" i="8" l="1"/>
  <c r="E3" i="8"/>
  <c r="E4" i="8"/>
  <c r="F3" i="8"/>
  <c r="F4" i="8"/>
  <c r="E6" i="8"/>
  <c r="E5" i="8"/>
  <c r="F7" i="8"/>
  <c r="F5" i="8"/>
  <c r="F6" i="8"/>
  <c r="E7" i="8"/>
  <c r="F8" i="8"/>
  <c r="E9" i="8"/>
  <c r="E8" i="8"/>
  <c r="E10" i="8"/>
  <c r="F9" i="8"/>
  <c r="F10" i="8"/>
  <c r="E13" i="8"/>
  <c r="F11" i="8"/>
  <c r="E11" i="8"/>
  <c r="E15" i="8"/>
  <c r="E12" i="8"/>
  <c r="F12" i="8"/>
  <c r="F13" i="8"/>
  <c r="F14" i="8"/>
  <c r="F18" i="8"/>
  <c r="F16" i="8"/>
  <c r="F15" i="8"/>
  <c r="E14" i="8"/>
  <c r="E17" i="8"/>
  <c r="F17" i="8"/>
  <c r="E16" i="8"/>
  <c r="E18" i="8"/>
  <c r="G18" i="8" s="1"/>
  <c r="E21" i="8"/>
  <c r="G21" i="8" s="1"/>
  <c r="E20" i="8"/>
  <c r="G20" i="8" s="1"/>
  <c r="G14" i="20" s="1"/>
  <c r="E22" i="8"/>
  <c r="F22" i="8"/>
  <c r="E62" i="8"/>
  <c r="A63" i="8"/>
  <c r="F62" i="8"/>
  <c r="BK17" i="13"/>
  <c r="BJ14" i="13"/>
  <c r="G45" i="20"/>
  <c r="G57" i="20"/>
  <c r="G26" i="20"/>
  <c r="J26" i="20" s="1"/>
  <c r="G43" i="20"/>
  <c r="J43" i="20" s="1"/>
  <c r="G30" i="20"/>
  <c r="J30" i="20" s="1"/>
  <c r="G25" i="20"/>
  <c r="J25" i="20" s="1"/>
  <c r="G5" i="20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22" i="8" l="1"/>
  <c r="G7" i="8"/>
  <c r="G4" i="8"/>
  <c r="G62" i="8"/>
  <c r="G17" i="8"/>
  <c r="G16" i="8"/>
  <c r="A64" i="8"/>
  <c r="E63" i="8"/>
  <c r="F63" i="8"/>
  <c r="G10" i="8"/>
  <c r="G5" i="8"/>
  <c r="G12" i="8"/>
  <c r="G8" i="8"/>
  <c r="G13" i="20" s="1"/>
  <c r="G6" i="8"/>
  <c r="G14" i="8"/>
  <c r="G15" i="8"/>
  <c r="G9" i="8"/>
  <c r="G16" i="20" s="1"/>
  <c r="G11" i="8"/>
  <c r="G8" i="20" s="1"/>
  <c r="G13" i="8"/>
  <c r="G3" i="8"/>
  <c r="G18" i="20"/>
  <c r="BK16" i="13"/>
  <c r="BJ16" i="13"/>
  <c r="BL17" i="13"/>
  <c r="G22" i="20"/>
  <c r="J22" i="20" s="1"/>
  <c r="G50" i="20"/>
  <c r="J50" i="20" s="1"/>
  <c r="G6" i="20"/>
  <c r="J6" i="20" s="1"/>
  <c r="G60" i="20"/>
  <c r="G46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24" i="20"/>
  <c r="Q3" i="13"/>
  <c r="BO4" i="13"/>
  <c r="G63" i="8" l="1"/>
  <c r="A65" i="8"/>
  <c r="E64" i="8"/>
  <c r="F64" i="8"/>
  <c r="C12" i="13"/>
  <c r="C14" i="13" s="1"/>
  <c r="C20" i="15" s="1"/>
  <c r="BL14" i="13"/>
  <c r="H54" i="20"/>
  <c r="BL12" i="13"/>
  <c r="BM12" i="13" s="1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G64" i="8" l="1"/>
  <c r="A66" i="8"/>
  <c r="E65" i="8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G65" i="8" l="1"/>
  <c r="G58" i="20" s="1"/>
  <c r="E66" i="8"/>
  <c r="A67" i="8"/>
  <c r="F66" i="8"/>
  <c r="BO17" i="13"/>
  <c r="BN14" i="13"/>
  <c r="BN11" i="13"/>
  <c r="BN12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E67" i="8" l="1"/>
  <c r="A68" i="8"/>
  <c r="F67" i="8"/>
  <c r="G66" i="8"/>
  <c r="G44" i="20" s="1"/>
  <c r="J44" i="20" s="1"/>
  <c r="BN16" i="13"/>
  <c r="BP17" i="13"/>
  <c r="BO14" i="13"/>
  <c r="BO10" i="13"/>
  <c r="BO12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E68" i="8" l="1"/>
  <c r="A69" i="8"/>
  <c r="F68" i="8"/>
  <c r="G67" i="8"/>
  <c r="BO16" i="13"/>
  <c r="BR15" i="13"/>
  <c r="BP14" i="13"/>
  <c r="BP16" i="13" s="1"/>
  <c r="BR13" i="13"/>
  <c r="BP10" i="13"/>
  <c r="BP12" i="13"/>
  <c r="BP11" i="13"/>
  <c r="BQ8" i="13"/>
  <c r="BR7" i="13"/>
  <c r="BR8" i="13" s="1"/>
  <c r="U27" i="13"/>
  <c r="U28" i="13" s="1"/>
  <c r="U25" i="13"/>
  <c r="BS5" i="13"/>
  <c r="BS6" i="13"/>
  <c r="G56" i="20"/>
  <c r="J56" i="20" s="1"/>
  <c r="G28" i="20"/>
  <c r="J28" i="20" s="1"/>
  <c r="V3" i="13"/>
  <c r="BT4" i="13"/>
  <c r="E69" i="8" l="1"/>
  <c r="A70" i="8"/>
  <c r="F69" i="8"/>
  <c r="G68" i="8"/>
  <c r="G48" i="20" s="1"/>
  <c r="BR17" i="13"/>
  <c r="BS15" i="13"/>
  <c r="G10" i="20"/>
  <c r="J10" i="20" s="1"/>
  <c r="BR14" i="13"/>
  <c r="BQ14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E70" i="8" l="1"/>
  <c r="A71" i="8"/>
  <c r="F70" i="8"/>
  <c r="G69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G21" i="20"/>
  <c r="G11" i="20"/>
  <c r="J11" i="20" s="1"/>
  <c r="X3" i="13"/>
  <c r="BV4" i="13"/>
  <c r="A72" i="8" l="1"/>
  <c r="E71" i="8"/>
  <c r="F71" i="8"/>
  <c r="G70" i="8"/>
  <c r="BU15" i="13"/>
  <c r="BS14" i="13"/>
  <c r="BS12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G23" i="20"/>
  <c r="Y3" i="13"/>
  <c r="BW4" i="13"/>
  <c r="G71" i="8" l="1"/>
  <c r="G53" i="20" s="1"/>
  <c r="J53" i="20" s="1"/>
  <c r="A73" i="8"/>
  <c r="E72" i="8"/>
  <c r="F72" i="8"/>
  <c r="BS16" i="13"/>
  <c r="BU17" i="13"/>
  <c r="BU8" i="13"/>
  <c r="BU14" i="13" s="1"/>
  <c r="BV17" i="13"/>
  <c r="BT14" i="13"/>
  <c r="BT12" i="13"/>
  <c r="BT11" i="13"/>
  <c r="BT10" i="13"/>
  <c r="BV7" i="13"/>
  <c r="Y27" i="13"/>
  <c r="Y28" i="13" s="1"/>
  <c r="Y25" i="13"/>
  <c r="BW5" i="13"/>
  <c r="BW13" i="13" s="1"/>
  <c r="BW6" i="13"/>
  <c r="BW15" i="13" s="1"/>
  <c r="G49" i="20"/>
  <c r="Z3" i="13"/>
  <c r="BX4" i="13"/>
  <c r="G72" i="8" l="1"/>
  <c r="BY17" i="13"/>
  <c r="BX17" i="13"/>
  <c r="BW17" i="13"/>
  <c r="A74" i="8"/>
  <c r="E73" i="8"/>
  <c r="F73" i="8"/>
  <c r="BV8" i="13"/>
  <c r="BU12" i="13"/>
  <c r="BU10" i="13"/>
  <c r="BU11" i="13"/>
  <c r="BT16" i="13"/>
  <c r="BU16" i="13"/>
  <c r="BW7" i="13"/>
  <c r="CG8" i="13" s="1"/>
  <c r="BX15" i="13"/>
  <c r="BZ17" i="13" s="1"/>
  <c r="BX13" i="13"/>
  <c r="Z25" i="13"/>
  <c r="Z27" i="13"/>
  <c r="Z28" i="13" s="1"/>
  <c r="BX5" i="13"/>
  <c r="BX6" i="13"/>
  <c r="G54" i="20"/>
  <c r="G52" i="20"/>
  <c r="AA3" i="13"/>
  <c r="BY4" i="13"/>
  <c r="G73" i="8" l="1"/>
  <c r="E74" i="8"/>
  <c r="A75" i="8"/>
  <c r="F74" i="8"/>
  <c r="CE8" i="13"/>
  <c r="CF14" i="13" s="1"/>
  <c r="CH16" i="13" s="1"/>
  <c r="BX8" i="13"/>
  <c r="BY14" i="13" s="1"/>
  <c r="CA16" i="13" s="1"/>
  <c r="CC8" i="13"/>
  <c r="CD14" i="13" s="1"/>
  <c r="CF16" i="13" s="1"/>
  <c r="BY8" i="13"/>
  <c r="BZ14" i="13" s="1"/>
  <c r="CB16" i="13" s="1"/>
  <c r="BW8" i="13"/>
  <c r="BX14" i="13" s="1"/>
  <c r="BZ16" i="13" s="1"/>
  <c r="CD8" i="13"/>
  <c r="CE14" i="13" s="1"/>
  <c r="CG16" i="13" s="1"/>
  <c r="CA8" i="13"/>
  <c r="CB14" i="13" s="1"/>
  <c r="CD16" i="13" s="1"/>
  <c r="CB8" i="13"/>
  <c r="CC14" i="13" s="1"/>
  <c r="CE16" i="13" s="1"/>
  <c r="BZ8" i="13"/>
  <c r="CA14" i="13" s="1"/>
  <c r="CC16" i="13" s="1"/>
  <c r="CF8" i="13"/>
  <c r="CG14" i="13" s="1"/>
  <c r="CI16" i="13" s="1"/>
  <c r="BV10" i="13"/>
  <c r="BV12" i="13"/>
  <c r="BV14" i="13"/>
  <c r="BV11" i="13"/>
  <c r="CH14" i="13"/>
  <c r="CJ16" i="13" s="1"/>
  <c r="BX7" i="13"/>
  <c r="CH8" i="13" s="1"/>
  <c r="BY13" i="13"/>
  <c r="BY15" i="13"/>
  <c r="CA17" i="13" s="1"/>
  <c r="AA27" i="13"/>
  <c r="AA28" i="13" s="1"/>
  <c r="AA25" i="13"/>
  <c r="BY5" i="13"/>
  <c r="BY6" i="13"/>
  <c r="AB3" i="13"/>
  <c r="BZ4" i="13"/>
  <c r="BW11" i="13" l="1"/>
  <c r="BX11" i="13" s="1"/>
  <c r="BY11" i="13" s="1"/>
  <c r="BZ11" i="13" s="1"/>
  <c r="CA11" i="13" s="1"/>
  <c r="CB11" i="13" s="1"/>
  <c r="CC11" i="13" s="1"/>
  <c r="CD11" i="13" s="1"/>
  <c r="CE11" i="13" s="1"/>
  <c r="CF11" i="13" s="1"/>
  <c r="CG11" i="13" s="1"/>
  <c r="CH11" i="13" s="1"/>
  <c r="E75" i="8"/>
  <c r="A76" i="8"/>
  <c r="F75" i="8"/>
  <c r="G74" i="8"/>
  <c r="BW12" i="13"/>
  <c r="BX12" i="13" s="1"/>
  <c r="BY12" i="13" s="1"/>
  <c r="BZ12" i="13" s="1"/>
  <c r="CA12" i="13" s="1"/>
  <c r="CB12" i="13" s="1"/>
  <c r="CC12" i="13" s="1"/>
  <c r="CD12" i="13" s="1"/>
  <c r="CE12" i="13" s="1"/>
  <c r="CF12" i="13" s="1"/>
  <c r="CG12" i="13" s="1"/>
  <c r="BW10" i="13"/>
  <c r="BX10" i="13" s="1"/>
  <c r="BY10" i="13" s="1"/>
  <c r="BZ10" i="13" s="1"/>
  <c r="CA10" i="13" s="1"/>
  <c r="CB10" i="13" s="1"/>
  <c r="CC10" i="13" s="1"/>
  <c r="CD10" i="13" s="1"/>
  <c r="CE10" i="13" s="1"/>
  <c r="CF10" i="13" s="1"/>
  <c r="CG10" i="13" s="1"/>
  <c r="BW14" i="13"/>
  <c r="BY16" i="13" s="1"/>
  <c r="BV16" i="13"/>
  <c r="CI14" i="13"/>
  <c r="CK16" i="13" s="1"/>
  <c r="BY7" i="13"/>
  <c r="CI8" i="13" s="1"/>
  <c r="BZ13" i="13"/>
  <c r="AB27" i="13"/>
  <c r="AB28" i="13" s="1"/>
  <c r="AB25" i="13"/>
  <c r="BZ15" i="13"/>
  <c r="CB17" i="13" s="1"/>
  <c r="BZ5" i="13"/>
  <c r="BZ6" i="13"/>
  <c r="AC3" i="13"/>
  <c r="CA4" i="13"/>
  <c r="E76" i="8" l="1"/>
  <c r="A77" i="8"/>
  <c r="F76" i="8"/>
  <c r="G75" i="8"/>
  <c r="G35" i="20" s="1"/>
  <c r="BW16" i="13"/>
  <c r="BX16" i="13"/>
  <c r="CJ14" i="13"/>
  <c r="CL16" i="13" s="1"/>
  <c r="CH10" i="13"/>
  <c r="CH12" i="13"/>
  <c r="CI12" i="13" s="1"/>
  <c r="BZ7" i="13"/>
  <c r="CJ8" i="13" s="1"/>
  <c r="CA15" i="13"/>
  <c r="CC17" i="13" s="1"/>
  <c r="CA13" i="13"/>
  <c r="AC27" i="13"/>
  <c r="AC28" i="13" s="1"/>
  <c r="AC25" i="13"/>
  <c r="CA5" i="13"/>
  <c r="CA6" i="13"/>
  <c r="G4" i="20"/>
  <c r="AD3" i="13"/>
  <c r="CB4" i="13"/>
  <c r="G76" i="8" l="1"/>
  <c r="E77" i="8"/>
  <c r="A78" i="8"/>
  <c r="F77" i="8"/>
  <c r="CK14" i="13"/>
  <c r="CM16" i="13" s="1"/>
  <c r="CI10" i="13"/>
  <c r="CI11" i="13"/>
  <c r="CA7" i="13"/>
  <c r="CK8" i="13" s="1"/>
  <c r="CB13" i="13"/>
  <c r="CB15" i="13"/>
  <c r="CD17" i="13" s="1"/>
  <c r="AD27" i="13"/>
  <c r="AD28" i="13" s="1"/>
  <c r="AD25" i="13"/>
  <c r="CB5" i="13"/>
  <c r="CB6" i="13"/>
  <c r="AE3" i="13"/>
  <c r="CC4" i="13"/>
  <c r="E78" i="8" l="1"/>
  <c r="A79" i="8"/>
  <c r="F78" i="8"/>
  <c r="G77" i="8"/>
  <c r="CL14" i="13"/>
  <c r="CN16" i="13" s="1"/>
  <c r="CJ10" i="13"/>
  <c r="CJ11" i="13"/>
  <c r="CJ12" i="13"/>
  <c r="CK12" i="13" s="1"/>
  <c r="CB7" i="13"/>
  <c r="CL8" i="13" s="1"/>
  <c r="CC13" i="13"/>
  <c r="AE27" i="13"/>
  <c r="AE28" i="13" s="1"/>
  <c r="AE25" i="13"/>
  <c r="CC15" i="13"/>
  <c r="CE17" i="13" s="1"/>
  <c r="CC5" i="13"/>
  <c r="CC6" i="13"/>
  <c r="AF3" i="13"/>
  <c r="CD4" i="13"/>
  <c r="A80" i="8" l="1"/>
  <c r="E79" i="8"/>
  <c r="F79" i="8"/>
  <c r="G78" i="8"/>
  <c r="CM14" i="13"/>
  <c r="CO16" i="13" s="1"/>
  <c r="CK10" i="13"/>
  <c r="CK11" i="13"/>
  <c r="CC7" i="13"/>
  <c r="CM8" i="13" s="1"/>
  <c r="CD13" i="13"/>
  <c r="AF27" i="13"/>
  <c r="AF28" i="13" s="1"/>
  <c r="AF25" i="13"/>
  <c r="CD15" i="13"/>
  <c r="CF17" i="13" s="1"/>
  <c r="CD5" i="13"/>
  <c r="CD6" i="13"/>
  <c r="AG3" i="13"/>
  <c r="CE4" i="13"/>
  <c r="G79" i="8" l="1"/>
  <c r="G38" i="20" s="1"/>
  <c r="A81" i="8"/>
  <c r="E80" i="8"/>
  <c r="F80" i="8"/>
  <c r="CN14" i="13"/>
  <c r="CP16" i="13" s="1"/>
  <c r="CL10" i="13"/>
  <c r="CL11" i="13"/>
  <c r="CL12" i="13"/>
  <c r="CD7" i="13"/>
  <c r="CN8" i="13" s="1"/>
  <c r="CE13" i="13"/>
  <c r="AG27" i="13"/>
  <c r="AG28" i="13" s="1"/>
  <c r="AG25" i="13"/>
  <c r="CE15" i="13"/>
  <c r="CG17" i="13" s="1"/>
  <c r="CE5" i="13"/>
  <c r="CE6" i="13"/>
  <c r="AH3" i="13"/>
  <c r="CF4" i="13"/>
  <c r="G80" i="8" l="1"/>
  <c r="A82" i="8"/>
  <c r="E81" i="8"/>
  <c r="F81" i="8"/>
  <c r="G34" i="20"/>
  <c r="CO14" i="13"/>
  <c r="CQ16" i="13" s="1"/>
  <c r="CM10" i="13"/>
  <c r="CM11" i="13"/>
  <c r="CM12" i="13"/>
  <c r="CN12" i="13" s="1"/>
  <c r="CE7" i="13"/>
  <c r="CF13" i="13"/>
  <c r="CF15" i="13"/>
  <c r="CH17" i="13" s="1"/>
  <c r="AH27" i="13"/>
  <c r="AH28" i="13" s="1"/>
  <c r="AH25" i="13"/>
  <c r="CF5" i="13"/>
  <c r="CF6" i="13"/>
  <c r="AI3" i="13"/>
  <c r="CG4" i="13"/>
  <c r="G81" i="8" l="1"/>
  <c r="E82" i="8"/>
  <c r="A83" i="8"/>
  <c r="F82" i="8"/>
  <c r="CN10" i="13"/>
  <c r="CO8" i="13"/>
  <c r="CN11" i="13"/>
  <c r="CF7" i="13"/>
  <c r="CG13" i="13"/>
  <c r="CG15" i="13"/>
  <c r="CI17" i="13" s="1"/>
  <c r="AI27" i="13"/>
  <c r="AI28" i="13" s="1"/>
  <c r="AI25" i="13"/>
  <c r="CG5" i="13"/>
  <c r="CG6" i="13"/>
  <c r="G17" i="20"/>
  <c r="J17" i="20" s="1"/>
  <c r="AJ3" i="13"/>
  <c r="CH4" i="13"/>
  <c r="E83" i="8" l="1"/>
  <c r="A84" i="8"/>
  <c r="F83" i="8"/>
  <c r="G82" i="8"/>
  <c r="G42" i="20" s="1"/>
  <c r="J42" i="20" s="1"/>
  <c r="CP14" i="13"/>
  <c r="CR16" i="13" s="1"/>
  <c r="CO10" i="13"/>
  <c r="CP8" i="13"/>
  <c r="CO11" i="13"/>
  <c r="CO12" i="13"/>
  <c r="CG7" i="13"/>
  <c r="CH13" i="13"/>
  <c r="CH15" i="13"/>
  <c r="CJ17" i="13" s="1"/>
  <c r="AJ27" i="13"/>
  <c r="AJ28" i="13" s="1"/>
  <c r="AJ25" i="13"/>
  <c r="CH5" i="13"/>
  <c r="CH6" i="13"/>
  <c r="AK3" i="13"/>
  <c r="CI4" i="13"/>
  <c r="E84" i="8" l="1"/>
  <c r="A85" i="8"/>
  <c r="F84" i="8"/>
  <c r="G83" i="8"/>
  <c r="CQ14" i="13"/>
  <c r="CS16" i="13" s="1"/>
  <c r="CP12" i="13"/>
  <c r="CP10" i="13"/>
  <c r="CQ8" i="13"/>
  <c r="CP11" i="13"/>
  <c r="CH7" i="13"/>
  <c r="CI15" i="13"/>
  <c r="CK17" i="13" s="1"/>
  <c r="CI13" i="13"/>
  <c r="AK27" i="13"/>
  <c r="AK28" i="13" s="1"/>
  <c r="AK25" i="13"/>
  <c r="CI5" i="13"/>
  <c r="CI6" i="13"/>
  <c r="AL3" i="13"/>
  <c r="CJ4" i="13"/>
  <c r="E85" i="8" l="1"/>
  <c r="A86" i="8"/>
  <c r="F85" i="8"/>
  <c r="G84" i="8"/>
  <c r="CR14" i="13"/>
  <c r="CT16" i="13" s="1"/>
  <c r="CQ11" i="13"/>
  <c r="CQ10" i="13"/>
  <c r="CR8" i="13"/>
  <c r="CQ12" i="13"/>
  <c r="CI7" i="13"/>
  <c r="CJ15" i="13"/>
  <c r="CL17" i="13" s="1"/>
  <c r="CJ13" i="13"/>
  <c r="AL25" i="13"/>
  <c r="AL27" i="13"/>
  <c r="AL28" i="13" s="1"/>
  <c r="CJ5" i="13"/>
  <c r="CJ6" i="13"/>
  <c r="AM3" i="13"/>
  <c r="CK4" i="13"/>
  <c r="E86" i="8" l="1"/>
  <c r="A87" i="8"/>
  <c r="F86" i="8"/>
  <c r="G85" i="8"/>
  <c r="G36" i="20" s="1"/>
  <c r="CS14" i="13"/>
  <c r="CU16" i="13" s="1"/>
  <c r="CR10" i="13"/>
  <c r="CS8" i="13"/>
  <c r="CR11" i="13"/>
  <c r="CR12" i="13"/>
  <c r="CJ7" i="13"/>
  <c r="CK13" i="13"/>
  <c r="CK15" i="13"/>
  <c r="CM17" i="13" s="1"/>
  <c r="AM27" i="13"/>
  <c r="AM28" i="13" s="1"/>
  <c r="AM25" i="13"/>
  <c r="CK5" i="13"/>
  <c r="CK6" i="13"/>
  <c r="AN3" i="13"/>
  <c r="CL4" i="13"/>
  <c r="A88" i="8" l="1"/>
  <c r="E87" i="8"/>
  <c r="F87" i="8"/>
  <c r="G86" i="8"/>
  <c r="CT14" i="13"/>
  <c r="CV16" i="13" s="1"/>
  <c r="CS10" i="13"/>
  <c r="CT8" i="13"/>
  <c r="CS12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G87" i="8" l="1"/>
  <c r="A89" i="8"/>
  <c r="E88" i="8"/>
  <c r="G88" i="8" s="1"/>
  <c r="F88" i="8"/>
  <c r="CU14" i="13"/>
  <c r="CW16" i="13" s="1"/>
  <c r="CT10" i="13"/>
  <c r="CU8" i="13"/>
  <c r="CT11" i="13"/>
  <c r="CT12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A90" i="8" l="1"/>
  <c r="E89" i="8"/>
  <c r="F89" i="8"/>
  <c r="CV14" i="13"/>
  <c r="CX16" i="13" s="1"/>
  <c r="CW14" i="13"/>
  <c r="CY16" i="13" s="1"/>
  <c r="CU12" i="13"/>
  <c r="CV12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G89" i="8" l="1"/>
  <c r="E90" i="8"/>
  <c r="A91" i="8"/>
  <c r="F90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E91" i="8" l="1"/>
  <c r="A92" i="8"/>
  <c r="F91" i="8"/>
  <c r="G90" i="8"/>
  <c r="G55" i="20" s="1"/>
  <c r="J55" i="20" s="1"/>
  <c r="CX14" i="13"/>
  <c r="CZ16" i="13" s="1"/>
  <c r="CW10" i="13"/>
  <c r="CX8" i="13"/>
  <c r="CW12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E92" i="8" l="1"/>
  <c r="A93" i="8"/>
  <c r="F92" i="8"/>
  <c r="G91" i="8"/>
  <c r="G51" i="20" s="1"/>
  <c r="J51" i="20" s="1"/>
  <c r="CY14" i="13"/>
  <c r="DA16" i="13" s="1"/>
  <c r="CX11" i="13"/>
  <c r="CX10" i="13"/>
  <c r="CY8" i="13"/>
  <c r="CX12" i="13"/>
  <c r="CP7" i="13"/>
  <c r="CQ13" i="13"/>
  <c r="CQ15" i="13"/>
  <c r="CS17" i="13" s="1"/>
  <c r="AS27" i="13"/>
  <c r="AS28" i="13" s="1"/>
  <c r="AS25" i="13"/>
  <c r="CQ5" i="13"/>
  <c r="CQ6" i="13"/>
  <c r="AT3" i="13"/>
  <c r="CR4" i="13"/>
  <c r="E93" i="8" l="1"/>
  <c r="A94" i="8"/>
  <c r="F93" i="8"/>
  <c r="G92" i="8"/>
  <c r="CZ14" i="13"/>
  <c r="DB16" i="13" s="1"/>
  <c r="CY10" i="13"/>
  <c r="CZ8" i="13"/>
  <c r="CY12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E94" i="8" l="1"/>
  <c r="A95" i="8"/>
  <c r="F94" i="8"/>
  <c r="G93" i="8"/>
  <c r="DA14" i="13"/>
  <c r="DC16" i="13" s="1"/>
  <c r="CZ10" i="13"/>
  <c r="DA8" i="13"/>
  <c r="CZ11" i="13"/>
  <c r="CZ12" i="13"/>
  <c r="CR7" i="13"/>
  <c r="CS13" i="13"/>
  <c r="CS15" i="13"/>
  <c r="CU17" i="13" s="1"/>
  <c r="AU27" i="13"/>
  <c r="AU28" i="13" s="1"/>
  <c r="AU25" i="13"/>
  <c r="CS5" i="13"/>
  <c r="CS6" i="13"/>
  <c r="AV3" i="13"/>
  <c r="CT4" i="13"/>
  <c r="E95" i="8" l="1"/>
  <c r="A96" i="8"/>
  <c r="F95" i="8"/>
  <c r="G94" i="8"/>
  <c r="DB14" i="13"/>
  <c r="DD16" i="13" s="1"/>
  <c r="DA12" i="13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E96" i="8" l="1"/>
  <c r="A97" i="8"/>
  <c r="F96" i="8"/>
  <c r="G95" i="8"/>
  <c r="DC14" i="13"/>
  <c r="DE16" i="13" s="1"/>
  <c r="DB10" i="13"/>
  <c r="DC8" i="13"/>
  <c r="DB11" i="13"/>
  <c r="DB12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E97" i="8" l="1"/>
  <c r="A98" i="8"/>
  <c r="F97" i="8"/>
  <c r="G96" i="8"/>
  <c r="DD14" i="13"/>
  <c r="DF16" i="13" s="1"/>
  <c r="DE14" i="13"/>
  <c r="DG16" i="13" s="1"/>
  <c r="DC12" i="13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E98" i="8" l="1"/>
  <c r="A99" i="8"/>
  <c r="F98" i="8"/>
  <c r="G97" i="8"/>
  <c r="DD12" i="13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E99" i="8" l="1"/>
  <c r="A100" i="8"/>
  <c r="F99" i="8"/>
  <c r="G98" i="8"/>
  <c r="DF14" i="13"/>
  <c r="DH16" i="13" s="1"/>
  <c r="DG14" i="13"/>
  <c r="DI16" i="13" s="1"/>
  <c r="DE11" i="13"/>
  <c r="DE12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E100" i="8" l="1"/>
  <c r="A101" i="8"/>
  <c r="F100" i="8"/>
  <c r="G99" i="8"/>
  <c r="DF12" i="13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A102" i="8" l="1"/>
  <c r="E101" i="8"/>
  <c r="F101" i="8"/>
  <c r="G100" i="8"/>
  <c r="DH14" i="13"/>
  <c r="DJ16" i="13" s="1"/>
  <c r="DG11" i="13"/>
  <c r="DG12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G101" i="8" l="1"/>
  <c r="E102" i="8"/>
  <c r="A103" i="8"/>
  <c r="F102" i="8"/>
  <c r="DI14" i="13"/>
  <c r="DK16" i="13" s="1"/>
  <c r="DH10" i="13"/>
  <c r="DH12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E103" i="8" l="1"/>
  <c r="A104" i="8"/>
  <c r="F103" i="8"/>
  <c r="G102" i="8"/>
  <c r="DJ14" i="13"/>
  <c r="DL16" i="13" s="1"/>
  <c r="DI12" i="13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E104" i="8" l="1"/>
  <c r="A105" i="8"/>
  <c r="F104" i="8"/>
  <c r="G103" i="8"/>
  <c r="DK14" i="13"/>
  <c r="DM16" i="13" s="1"/>
  <c r="DJ11" i="13"/>
  <c r="DJ12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A106" i="8" l="1"/>
  <c r="E105" i="8"/>
  <c r="F105" i="8"/>
  <c r="G104" i="8"/>
  <c r="DL14" i="13"/>
  <c r="DN16" i="13" s="1"/>
  <c r="DK12" i="13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G105" i="8" l="1"/>
  <c r="A107" i="8"/>
  <c r="E106" i="8"/>
  <c r="F106" i="8"/>
  <c r="DM14" i="13"/>
  <c r="DO16" i="13" s="1"/>
  <c r="DL11" i="13"/>
  <c r="DL10" i="13"/>
  <c r="DL12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A108" i="8"/>
  <c r="E107" i="8"/>
  <c r="F107" i="8"/>
  <c r="DN14" i="13"/>
  <c r="DP16" i="13" s="1"/>
  <c r="DM12" i="13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G107" i="8" l="1"/>
  <c r="E108" i="8"/>
  <c r="A109" i="8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108" i="8"/>
  <c r="DO14" i="13"/>
  <c r="DQ16" i="13" s="1"/>
  <c r="DN11" i="13"/>
  <c r="DN12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G108" i="8" l="1"/>
  <c r="DP14" i="13"/>
  <c r="DR16" i="13" s="1"/>
  <c r="DO12" i="13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DR14" i="13" l="1"/>
  <c r="DT16" i="13" s="1"/>
  <c r="DQ14" i="13"/>
  <c r="DS16" i="13" s="1"/>
  <c r="DP12" i="13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DQ11" i="13" l="1"/>
  <c r="DR8" i="13"/>
  <c r="DQ12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DS14" i="13" l="1"/>
  <c r="DU16" i="13" s="1"/>
  <c r="DR11" i="13"/>
  <c r="DS8" i="13"/>
  <c r="DR10" i="13"/>
  <c r="DR12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DT14" i="13" l="1"/>
  <c r="DV16" i="13" s="1"/>
  <c r="DU14" i="13"/>
  <c r="DW16" i="13" s="1"/>
  <c r="DS12" i="13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DT11" i="13" l="1"/>
  <c r="DU8" i="13"/>
  <c r="DT12" i="13"/>
  <c r="DL7" i="13"/>
  <c r="DM13" i="13"/>
  <c r="DM15" i="13"/>
  <c r="DO17" i="13" s="1"/>
  <c r="BO27" i="13"/>
  <c r="BO28" i="13" s="1"/>
  <c r="BO25" i="13"/>
  <c r="DM5" i="13"/>
  <c r="DM6" i="13"/>
  <c r="BP3" i="13"/>
  <c r="DN4" i="13"/>
  <c r="DV14" i="13" l="1"/>
  <c r="DX16" i="13" s="1"/>
  <c r="DU11" i="13"/>
  <c r="DV8" i="13"/>
  <c r="DU12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V12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2" i="13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X12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2" i="13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Z12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2" i="13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EB12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2" i="13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ED12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2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EF12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2" i="13"/>
  <c r="EG10" i="13"/>
  <c r="DY7" i="13"/>
  <c r="DZ15" i="13"/>
  <c r="EB17" i="13" s="1"/>
  <c r="DZ13" i="13"/>
  <c r="CB27" i="13"/>
  <c r="CB28" i="13" s="1"/>
  <c r="CB25" i="13"/>
  <c r="DZ5" i="13"/>
  <c r="DZ6" i="13"/>
  <c r="G33" i="20"/>
  <c r="J33" i="20" s="1"/>
  <c r="CC3" i="13"/>
  <c r="EA4" i="13"/>
  <c r="EI14" i="13" l="1"/>
  <c r="EK16" i="13" s="1"/>
  <c r="EH11" i="13"/>
  <c r="EI8" i="13"/>
  <c r="EH10" i="13"/>
  <c r="EH12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2" i="13"/>
  <c r="EI10" i="13"/>
  <c r="EA7" i="13"/>
  <c r="EB15" i="13"/>
  <c r="ED17" i="13" s="1"/>
  <c r="EB13" i="13"/>
  <c r="CD27" i="13"/>
  <c r="CD28" i="13" s="1"/>
  <c r="CD25" i="13"/>
  <c r="EB5" i="13"/>
  <c r="EB6" i="13"/>
  <c r="G20" i="20"/>
  <c r="J20" i="20" s="1"/>
  <c r="CE3" i="13"/>
  <c r="EC4" i="13"/>
  <c r="EK14" i="13" l="1"/>
  <c r="EM16" i="13" s="1"/>
  <c r="EJ11" i="13"/>
  <c r="EK8" i="13"/>
  <c r="EJ10" i="13"/>
  <c r="EJ12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2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L12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2" i="13"/>
  <c r="EM10" i="13"/>
  <c r="EE7" i="13"/>
  <c r="EF15" i="13"/>
  <c r="EH17" i="13" s="1"/>
  <c r="EF13" i="13"/>
  <c r="CH25" i="13"/>
  <c r="CH27" i="13"/>
  <c r="CH28" i="13" s="1"/>
  <c r="EF5" i="13"/>
  <c r="EF6" i="13"/>
  <c r="G19" i="20"/>
  <c r="J19" i="20" s="1"/>
  <c r="G37" i="20"/>
  <c r="J37" i="20" s="1"/>
  <c r="CI3" i="13"/>
  <c r="EG4" i="13"/>
  <c r="EO14" i="13" l="1"/>
  <c r="EQ16" i="13" s="1"/>
  <c r="EN11" i="13"/>
  <c r="EO8" i="13"/>
  <c r="EN10" i="13"/>
  <c r="EN12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2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P12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2" i="13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3" i="20"/>
  <c r="J63" i="20" s="1"/>
  <c r="CM3" i="13"/>
  <c r="EK4" i="13"/>
  <c r="ES14" i="13" l="1"/>
  <c r="EU16" i="13" s="1"/>
  <c r="ER11" i="13"/>
  <c r="ES8" i="13"/>
  <c r="ER12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S12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2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U12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2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W12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2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Y12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2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FA12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2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FC12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2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FE12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2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FG12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2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I12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2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K12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2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M12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2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O12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2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Q12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2" i="13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S12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2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U12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2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W12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2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Y12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2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GA12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2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GC12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2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GE12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2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GG12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2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I12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2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2" i="13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2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M12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2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O12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2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Q12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2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S12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2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U12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2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W12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2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Y12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2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HA12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2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HC12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2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HE12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2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2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2" i="13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2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J12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2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L12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2" i="13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N12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2" i="13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P12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2" i="13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2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S12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2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U12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2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W12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2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Y12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2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IA12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2" i="13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IC12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2" i="13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E12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F12" i="13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G12" i="13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H12" i="13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I12" i="13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J12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K12" i="13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2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M12" i="13" l="1"/>
  <c r="IN8" i="13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2" i="13" l="1"/>
  <c r="IN11" i="13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C27" i="13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3" i="13"/>
  <c r="AL22" i="13"/>
  <c r="AL21" i="13"/>
  <c r="GU27" i="13"/>
  <c r="GU28" i="13" s="1"/>
  <c r="GU25" i="13"/>
  <c r="GV3" i="13"/>
  <c r="I20" i="13" l="1"/>
  <c r="I26" i="13" s="1"/>
  <c r="AM22" i="13"/>
  <c r="AM21" i="13"/>
  <c r="AM23" i="13"/>
  <c r="K9" i="13"/>
  <c r="J22" i="13"/>
  <c r="J23" i="13"/>
  <c r="J21" i="13"/>
  <c r="J20" i="13"/>
  <c r="J26" i="13" s="1"/>
  <c r="GV27" i="13"/>
  <c r="GV28" i="13" s="1"/>
  <c r="GV25" i="13"/>
  <c r="GW3" i="13"/>
  <c r="L9" i="13" l="1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I9" i="13" s="1"/>
  <c r="AG20" i="13"/>
  <c r="AG26" i="13" s="1"/>
  <c r="BG23" i="13"/>
  <c r="BG22" i="13"/>
  <c r="BG21" i="13"/>
  <c r="HP25" i="13"/>
  <c r="HP27" i="13"/>
  <c r="HP28" i="13" s="1"/>
  <c r="HQ3" i="13"/>
  <c r="AH20" i="13" l="1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4" i="20"/>
  <c r="D4" i="20"/>
  <c r="E4" i="20" s="1"/>
  <c r="M60" i="20"/>
  <c r="D60" i="20"/>
  <c r="E60" i="20" s="1"/>
  <c r="D14" i="20"/>
  <c r="E14" i="20" s="1"/>
  <c r="M14" i="20"/>
  <c r="D36" i="20"/>
  <c r="E36" i="20" s="1"/>
  <c r="M36" i="20"/>
  <c r="D52" i="20"/>
  <c r="E52" i="20" s="1"/>
  <c r="M52" i="20"/>
  <c r="M21" i="20"/>
  <c r="D21" i="20"/>
  <c r="E21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8" i="20"/>
  <c r="E18" i="20" s="1"/>
  <c r="M18" i="20"/>
  <c r="D9" i="20"/>
  <c r="E9" i="20" s="1"/>
  <c r="M9" i="20"/>
  <c r="M13" i="20"/>
  <c r="D13" i="20"/>
  <c r="E13" i="20" s="1"/>
  <c r="D45" i="20"/>
  <c r="E45" i="20" s="1"/>
  <c r="M45" i="20"/>
  <c r="D23" i="20"/>
  <c r="E23" i="20" s="1"/>
  <c r="M23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15" i="20"/>
  <c r="E15" i="20" s="1"/>
  <c r="M15" i="20"/>
  <c r="M34" i="20"/>
  <c r="D34" i="20"/>
  <c r="E34" i="20" s="1"/>
  <c r="D5" i="20"/>
  <c r="E5" i="20" s="1"/>
  <c r="M5" i="20"/>
  <c r="M49" i="20"/>
  <c r="D49" i="20"/>
  <c r="E49" i="20" s="1"/>
  <c r="M7" i="20"/>
  <c r="D7" i="20"/>
  <c r="E7" i="20" s="1"/>
  <c r="D48" i="20"/>
  <c r="E48" i="20" s="1"/>
  <c r="M48" i="20"/>
  <c r="M29" i="20"/>
  <c r="D29" i="20"/>
  <c r="E29" i="20" s="1"/>
  <c r="M61" i="20"/>
  <c r="D61" i="20"/>
  <c r="E61" i="20" s="1"/>
  <c r="D8" i="20"/>
  <c r="E8" i="20" s="1"/>
  <c r="M8" i="20"/>
  <c r="D54" i="20"/>
  <c r="E54" i="20" s="1"/>
  <c r="M54" i="20"/>
  <c r="M40" i="20"/>
  <c r="D40" i="20"/>
  <c r="E40" i="20" s="1"/>
  <c r="D16" i="20"/>
  <c r="E16" i="20" s="1"/>
  <c r="M16" i="20"/>
  <c r="BG20" i="13" l="1"/>
  <c r="BG26" i="13" s="1"/>
  <c r="BH9" i="13"/>
  <c r="CG22" i="13"/>
  <c r="CG21" i="13"/>
  <c r="CG23" i="13"/>
  <c r="J4" i="20"/>
  <c r="J32" i="20"/>
  <c r="J16" i="20"/>
  <c r="J59" i="20"/>
  <c r="J40" i="20"/>
  <c r="J35" i="20"/>
  <c r="J36" i="20"/>
  <c r="J58" i="20"/>
  <c r="J54" i="20"/>
  <c r="J21" i="20"/>
  <c r="J60" i="20"/>
  <c r="J9" i="20"/>
  <c r="J15" i="20"/>
  <c r="J57" i="20"/>
  <c r="J8" i="20"/>
  <c r="J23" i="20"/>
  <c r="J48" i="20"/>
  <c r="J18" i="20"/>
  <c r="J5" i="20"/>
  <c r="J38" i="20"/>
  <c r="J45" i="20"/>
  <c r="J7" i="20"/>
  <c r="J46" i="20"/>
  <c r="J61" i="20"/>
  <c r="J49" i="20"/>
  <c r="J52" i="20"/>
  <c r="J29" i="20"/>
  <c r="J41" i="20"/>
  <c r="J34" i="20"/>
  <c r="J31" i="20"/>
  <c r="J13" i="20"/>
  <c r="J27" i="20"/>
  <c r="J14" i="20"/>
  <c r="E62" i="20"/>
  <c r="J62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BN20" i="13" l="1"/>
  <c r="BN26" i="13" s="1"/>
  <c r="BO9" i="13"/>
  <c r="CN22" i="13"/>
  <c r="CN21" i="13"/>
  <c r="CN23" i="13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BU9" i="13" l="1"/>
  <c r="BT20" i="13"/>
  <c r="BT26" i="13" s="1"/>
  <c r="CT23" i="13"/>
  <c r="CT21" i="13"/>
  <c r="CT22" i="13"/>
  <c r="H25" i="20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H9" i="20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H63" i="20"/>
  <c r="CE9" i="13" l="1"/>
  <c r="CD20" i="13"/>
  <c r="CD26" i="13" s="1"/>
  <c r="DD23" i="13"/>
  <c r="DD21" i="13"/>
  <c r="DD22" i="13"/>
  <c r="H66" i="20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l="1"/>
  <c r="D31" i="13" s="1"/>
  <c r="D27" i="13" s="1"/>
  <c r="D30" i="13" l="1"/>
  <c r="C40" i="15"/>
  <c r="C42" i="15" s="1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E68" i="23"/>
  <c r="F68" i="23"/>
  <c r="G68" i="23"/>
  <c r="H38" i="20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F69" i="23"/>
  <c r="E69" i="23"/>
  <c r="G69" i="23"/>
  <c r="E67" i="23"/>
  <c r="F67" i="23"/>
  <c r="G67" i="23"/>
  <c r="H31" i="20"/>
  <c r="F66" i="23"/>
  <c r="E66" i="23"/>
  <c r="G66" i="23"/>
  <c r="H29" i="20"/>
  <c r="E64" i="23"/>
  <c r="F64" i="23"/>
  <c r="G64" i="23"/>
  <c r="F65" i="23"/>
  <c r="E65" i="23"/>
  <c r="G65" i="23"/>
  <c r="E62" i="23"/>
  <c r="F62" i="23"/>
  <c r="G62" i="23"/>
  <c r="H35" i="20"/>
  <c r="E63" i="23"/>
  <c r="F63" i="23"/>
  <c r="G63" i="23"/>
  <c r="F61" i="23"/>
  <c r="E61" i="23"/>
  <c r="G61" i="23"/>
  <c r="H49" i="20"/>
  <c r="F60" i="23"/>
  <c r="E60" i="23"/>
  <c r="G60" i="23"/>
  <c r="H37" i="20"/>
  <c r="E59" i="23"/>
  <c r="F59" i="23"/>
  <c r="G59" i="23"/>
  <c r="E57" i="23"/>
  <c r="F57" i="23"/>
  <c r="G57" i="23"/>
  <c r="F58" i="23"/>
  <c r="E58" i="23"/>
  <c r="G58" i="23"/>
  <c r="H65" i="20"/>
  <c r="E55" i="23"/>
  <c r="F55" i="23"/>
  <c r="G55" i="23"/>
  <c r="H28" i="20"/>
  <c r="F56" i="23"/>
  <c r="E56" i="23"/>
  <c r="G56" i="23"/>
  <c r="H33" i="20"/>
  <c r="E54" i="23"/>
  <c r="F54" i="23"/>
  <c r="G54" i="23"/>
  <c r="E53" i="23"/>
  <c r="F53" i="23"/>
  <c r="G53" i="23"/>
  <c r="E52" i="23"/>
  <c r="F52" i="23"/>
  <c r="G52" i="23"/>
  <c r="H26" i="20"/>
  <c r="E51" i="23"/>
  <c r="F51" i="23"/>
  <c r="G51" i="23"/>
  <c r="E50" i="23"/>
  <c r="F50" i="23"/>
  <c r="G50" i="23"/>
  <c r="H41" i="20"/>
  <c r="E49" i="23"/>
  <c r="F49" i="23"/>
  <c r="G49" i="23"/>
  <c r="E47" i="23"/>
  <c r="F47" i="23"/>
  <c r="G47" i="23"/>
  <c r="H12" i="20"/>
  <c r="F48" i="23"/>
  <c r="E48" i="23"/>
  <c r="G48" i="23"/>
  <c r="H24" i="20"/>
  <c r="E46" i="23"/>
  <c r="F46" i="23"/>
  <c r="G46" i="23"/>
  <c r="H51" i="20"/>
  <c r="E45" i="23"/>
  <c r="F45" i="23"/>
  <c r="G45" i="23"/>
  <c r="H45" i="20"/>
  <c r="E44" i="23"/>
  <c r="F44" i="23"/>
  <c r="G44" i="23"/>
  <c r="F43" i="23"/>
  <c r="E43" i="23"/>
  <c r="G43" i="23"/>
  <c r="H30" i="20"/>
  <c r="E42" i="23"/>
  <c r="F42" i="23"/>
  <c r="G42" i="23"/>
  <c r="F41" i="23"/>
  <c r="E41" i="23"/>
  <c r="G41" i="23"/>
  <c r="H21" i="20"/>
  <c r="F40" i="23"/>
  <c r="E40" i="23"/>
  <c r="G40" i="23"/>
  <c r="H47" i="20"/>
  <c r="E39" i="23"/>
  <c r="F39" i="23"/>
  <c r="G39" i="23"/>
  <c r="F38" i="23"/>
  <c r="E38" i="23"/>
  <c r="G38" i="23"/>
  <c r="H44" i="20"/>
  <c r="F37" i="23"/>
  <c r="E37" i="23"/>
  <c r="G37" i="23"/>
  <c r="H48" i="20"/>
  <c r="F36" i="23"/>
  <c r="E36" i="23"/>
  <c r="G36" i="23"/>
  <c r="H27" i="20"/>
  <c r="F35" i="23"/>
  <c r="E35" i="23"/>
  <c r="G35" i="23"/>
  <c r="H32" i="20"/>
  <c r="F34" i="23"/>
  <c r="E34" i="23"/>
  <c r="G34" i="23"/>
  <c r="H57" i="20"/>
  <c r="F33" i="23"/>
  <c r="E33" i="23"/>
  <c r="G33" i="23"/>
  <c r="H19" i="20"/>
  <c r="F32" i="23"/>
  <c r="E32" i="23"/>
  <c r="G32" i="23"/>
  <c r="H11" i="20"/>
  <c r="E30" i="23"/>
  <c r="F30" i="23"/>
  <c r="G30" i="23"/>
  <c r="H50" i="20"/>
  <c r="F31" i="23"/>
  <c r="E31" i="23"/>
  <c r="G31" i="23"/>
  <c r="H5" i="20"/>
  <c r="E29" i="23"/>
  <c r="F29" i="23"/>
  <c r="G29" i="23"/>
  <c r="H20" i="20"/>
  <c r="F28" i="23"/>
  <c r="E28" i="23"/>
  <c r="G28" i="23"/>
  <c r="H46" i="20"/>
  <c r="E27" i="23"/>
  <c r="F27" i="23"/>
  <c r="G27" i="23"/>
  <c r="H17" i="20"/>
  <c r="F26" i="23"/>
  <c r="E26" i="23"/>
  <c r="G26" i="23"/>
  <c r="H7" i="20"/>
  <c r="F25" i="23"/>
  <c r="E25" i="23"/>
  <c r="G25" i="23"/>
  <c r="F24" i="23"/>
  <c r="E24" i="23"/>
  <c r="G24" i="23"/>
  <c r="E23" i="23"/>
  <c r="F23" i="23"/>
  <c r="G23" i="23"/>
  <c r="H15" i="20"/>
  <c r="E22" i="23"/>
  <c r="F22" i="23"/>
  <c r="G22" i="23"/>
  <c r="E21" i="23"/>
  <c r="F21" i="23"/>
  <c r="G21" i="23"/>
  <c r="E20" i="23"/>
  <c r="F20" i="23"/>
  <c r="G20" i="23"/>
  <c r="H22" i="20"/>
  <c r="E19" i="23"/>
  <c r="F19" i="23"/>
  <c r="G19" i="23"/>
  <c r="H6" i="20"/>
  <c r="E11" i="23"/>
  <c r="F11" i="23"/>
  <c r="G11" i="23"/>
  <c r="H16" i="20"/>
  <c r="E10" i="23"/>
  <c r="F10" i="23"/>
  <c r="G10" i="23"/>
  <c r="H8" i="20"/>
  <c r="E18" i="23"/>
  <c r="F18" i="23"/>
  <c r="G18" i="23"/>
  <c r="H14" i="20"/>
  <c r="E17" i="23"/>
  <c r="F17" i="23"/>
  <c r="G17" i="23"/>
  <c r="E9" i="23"/>
  <c r="F9" i="23"/>
  <c r="G9" i="23"/>
  <c r="H4" i="20"/>
  <c r="E8" i="23"/>
  <c r="F8" i="23"/>
  <c r="G8" i="23"/>
  <c r="H18" i="20"/>
  <c r="E16" i="23"/>
  <c r="F16" i="23"/>
  <c r="G16" i="23"/>
  <c r="H56" i="20"/>
  <c r="F15" i="23"/>
  <c r="E15" i="23"/>
  <c r="G15" i="23"/>
  <c r="E14" i="23"/>
  <c r="F14" i="23"/>
  <c r="G14" i="23"/>
  <c r="F7" i="23"/>
  <c r="E7" i="23"/>
  <c r="G7" i="23"/>
  <c r="H60" i="20"/>
  <c r="E6" i="23"/>
  <c r="F6" i="23"/>
  <c r="G6" i="23"/>
  <c r="H13" i="20"/>
  <c r="E13" i="23"/>
  <c r="F13" i="23"/>
  <c r="G13" i="23"/>
  <c r="C22" i="15"/>
  <c r="C24" i="15" s="1"/>
  <c r="E5" i="23"/>
  <c r="F5" i="23"/>
  <c r="G5" i="23"/>
  <c r="H23" i="20"/>
  <c r="E12" i="23"/>
  <c r="F12" i="23"/>
  <c r="G12" i="23"/>
</calcChain>
</file>

<file path=xl/sharedStrings.xml><?xml version="1.0" encoding="utf-8"?>
<sst xmlns="http://schemas.openxmlformats.org/spreadsheetml/2006/main" count="2595" uniqueCount="621">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</sst>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0" fontId="23" fillId="4" borderId="17" xfId="0" applyFont="1" applyFill="1" applyBorder="1" applyAlignment="1">
      <alignment horizontal="center" vertical="center" wrapText="1"/>
    </xf>
    <xf numFmtId="0" fontId="24" fillId="5" borderId="17" xfId="0" applyFont="1" applyFill="1" applyBorder="1" applyAlignment="1">
      <alignment horizontal="center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3" fillId="4" borderId="17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1300</c:v>
                </c:pt>
                <c:pt idx="12">
                  <c:v>1662</c:v>
                </c:pt>
                <c:pt idx="13">
                  <c:v>1864</c:v>
                </c:pt>
                <c:pt idx="14">
                  <c:v>2162.305429214221</c:v>
                </c:pt>
                <c:pt idx="15">
                  <c:v>2508.3501980736569</c:v>
                </c:pt>
                <c:pt idx="16">
                  <c:v>2909.7742766444394</c:v>
                </c:pt>
                <c:pt idx="17">
                  <c:v>3375.440298377765</c:v>
                </c:pt>
                <c:pt idx="18">
                  <c:v>3915.6292291688364</c:v>
                </c:pt>
                <c:pt idx="19">
                  <c:v>4542.2673503335136</c:v>
                </c:pt>
                <c:pt idx="20">
                  <c:v>5269.1895668286752</c:v>
                </c:pt>
                <c:pt idx="21">
                  <c:v>6112.4448540303501</c:v>
                </c:pt>
                <c:pt idx="22">
                  <c:v>7090.6505867180003</c:v>
                </c:pt>
                <c:pt idx="23">
                  <c:v>8225.4035731337626</c:v>
                </c:pt>
                <c:pt idx="24">
                  <c:v>9541.7568689190921</c:v>
                </c:pt>
                <c:pt idx="25">
                  <c:v>11068.772898018153</c:v>
                </c:pt>
                <c:pt idx="26">
                  <c:v>12840.165092341136</c:v>
                </c:pt>
                <c:pt idx="27">
                  <c:v>14895.042216296222</c:v>
                </c:pt>
                <c:pt idx="28">
                  <c:v>17278.771809373575</c:v>
                </c:pt>
                <c:pt idx="29">
                  <c:v>20043.981809850917</c:v>
                </c:pt>
                <c:pt idx="30">
                  <c:v>23251.722473450496</c:v>
                </c:pt>
                <c:pt idx="31">
                  <c:v>26972.814239766267</c:v>
                </c:pt>
                <c:pt idx="32">
                  <c:v>31289.411304631572</c:v>
                </c:pt>
                <c:pt idx="33">
                  <c:v>36296.815418949394</c:v>
                </c:pt>
                <c:pt idx="34">
                  <c:v>42105.579959002534</c:v>
                </c:pt>
                <c:pt idx="35">
                  <c:v>48843.950721869463</c:v>
                </c:pt>
                <c:pt idx="36">
                  <c:v>56660.6973337823</c:v>
                </c:pt>
                <c:pt idx="37">
                  <c:v>65728.397783208799</c:v>
                </c:pt>
                <c:pt idx="38">
                  <c:v>76247.248594519508</c:v>
                </c:pt>
                <c:pt idx="39">
                  <c:v>88449.484763184504</c:v>
                </c:pt>
                <c:pt idx="40">
                  <c:v>102604.50703574804</c:v>
                </c:pt>
                <c:pt idx="41">
                  <c:v>119024.82973457442</c:v>
                </c:pt>
                <c:pt idx="42">
                  <c:v>138072.98044333074</c:v>
                </c:pt>
                <c:pt idx="43">
                  <c:v>160169.50388433639</c:v>
                </c:pt>
                <c:pt idx="44">
                  <c:v>185802.24669723649</c:v>
                </c:pt>
                <c:pt idx="45">
                  <c:v>215537.12810817303</c:v>
                </c:pt>
                <c:pt idx="46">
                  <c:v>250030.6342840899</c:v>
                </c:pt>
                <c:pt idx="47">
                  <c:v>290044.31222229771</c:v>
                </c:pt>
                <c:pt idx="48">
                  <c:v>336461.58317112603</c:v>
                </c:pt>
                <c:pt idx="49">
                  <c:v>390307.24678805686</c:v>
                </c:pt>
                <c:pt idx="50">
                  <c:v>452770.10664778441</c:v>
                </c:pt>
                <c:pt idx="51">
                  <c:v>525229.21662575437</c:v>
                </c:pt>
                <c:pt idx="52">
                  <c:v>609284.32762435672</c:v>
                </c:pt>
                <c:pt idx="53">
                  <c:v>706791.20684403577</c:v>
                </c:pt>
                <c:pt idx="54">
                  <c:v>819902.6093775375</c:v>
                </c:pt>
                <c:pt idx="55">
                  <c:v>951115.80669740122</c:v>
                </c:pt>
                <c:pt idx="56">
                  <c:v>1103327.7213697715</c:v>
                </c:pt>
                <c:pt idx="57">
                  <c:v>1279898.8852577319</c:v>
                </c:pt>
                <c:pt idx="58">
                  <c:v>1484727.6332822011</c:v>
                </c:pt>
                <c:pt idx="59">
                  <c:v>1722336.1707888865</c:v>
                </c:pt>
                <c:pt idx="60">
                  <c:v>1997970.4147150435</c:v>
                </c:pt>
                <c:pt idx="61">
                  <c:v>2317715.8128474932</c:v>
                </c:pt>
                <c:pt idx="62">
                  <c:v>2688631.6982273529</c:v>
                </c:pt>
                <c:pt idx="63">
                  <c:v>3118907.1449755668</c:v>
                </c:pt>
                <c:pt idx="64">
                  <c:v>3618041.7665212946</c:v>
                </c:pt>
                <c:pt idx="65">
                  <c:v>4197055.4478931362</c:v>
                </c:pt>
                <c:pt idx="66">
                  <c:v>4868731.6425388688</c:v>
                </c:pt>
                <c:pt idx="67">
                  <c:v>5647899.6051764311</c:v>
                </c:pt>
                <c:pt idx="68">
                  <c:v>6551761.7918078601</c:v>
                </c:pt>
                <c:pt idx="69">
                  <c:v>7600273.6552276975</c:v>
                </c:pt>
                <c:pt idx="70">
                  <c:v>7646480.4000000004</c:v>
                </c:pt>
                <c:pt idx="71">
                  <c:v>7646480.4000000004</c:v>
                </c:pt>
                <c:pt idx="72">
                  <c:v>7646480.4000000004</c:v>
                </c:pt>
                <c:pt idx="73">
                  <c:v>7646480.4000000004</c:v>
                </c:pt>
                <c:pt idx="74">
                  <c:v>7646480.4000000004</c:v>
                </c:pt>
                <c:pt idx="75">
                  <c:v>7646480.4000000004</c:v>
                </c:pt>
                <c:pt idx="76">
                  <c:v>7646480.4000000004</c:v>
                </c:pt>
                <c:pt idx="77">
                  <c:v>7646480.4000000004</c:v>
                </c:pt>
                <c:pt idx="78">
                  <c:v>7646480.4000000004</c:v>
                </c:pt>
                <c:pt idx="79">
                  <c:v>7646480.4000000004</c:v>
                </c:pt>
                <c:pt idx="80">
                  <c:v>7646480.4000000004</c:v>
                </c:pt>
                <c:pt idx="81">
                  <c:v>7646480.4000000004</c:v>
                </c:pt>
                <c:pt idx="82">
                  <c:v>7646480.4000000004</c:v>
                </c:pt>
                <c:pt idx="83">
                  <c:v>7646480.4000000004</c:v>
                </c:pt>
                <c:pt idx="84">
                  <c:v>7646480.4000000004</c:v>
                </c:pt>
                <c:pt idx="85">
                  <c:v>7646480.4000000004</c:v>
                </c:pt>
                <c:pt idx="86">
                  <c:v>7646480.4000000004</c:v>
                </c:pt>
                <c:pt idx="87">
                  <c:v>7646480.4000000004</c:v>
                </c:pt>
                <c:pt idx="88">
                  <c:v>7646480.4000000004</c:v>
                </c:pt>
                <c:pt idx="89">
                  <c:v>7646480.4000000004</c:v>
                </c:pt>
                <c:pt idx="90">
                  <c:v>7646480.4000000004</c:v>
                </c:pt>
                <c:pt idx="91">
                  <c:v>7646480.4000000004</c:v>
                </c:pt>
                <c:pt idx="92">
                  <c:v>7646480.4000000004</c:v>
                </c:pt>
                <c:pt idx="93">
                  <c:v>7646480.4000000004</c:v>
                </c:pt>
                <c:pt idx="94">
                  <c:v>7646480.4000000004</c:v>
                </c:pt>
                <c:pt idx="95">
                  <c:v>7646480.4000000004</c:v>
                </c:pt>
                <c:pt idx="96">
                  <c:v>7646480.4000000004</c:v>
                </c:pt>
                <c:pt idx="97">
                  <c:v>7646480.4000000004</c:v>
                </c:pt>
                <c:pt idx="98">
                  <c:v>7646480.4000000004</c:v>
                </c:pt>
                <c:pt idx="99">
                  <c:v>7646480.4000000004</c:v>
                </c:pt>
                <c:pt idx="100">
                  <c:v>7646480.4000000004</c:v>
                </c:pt>
                <c:pt idx="101">
                  <c:v>7646480.4000000004</c:v>
                </c:pt>
                <c:pt idx="102">
                  <c:v>7646480.4000000004</c:v>
                </c:pt>
                <c:pt idx="103">
                  <c:v>7646480.4000000004</c:v>
                </c:pt>
                <c:pt idx="104">
                  <c:v>7646480.4000000004</c:v>
                </c:pt>
                <c:pt idx="105">
                  <c:v>7646480.4000000004</c:v>
                </c:pt>
                <c:pt idx="106">
                  <c:v>7646480.4000000004</c:v>
                </c:pt>
                <c:pt idx="107">
                  <c:v>7646480.4000000004</c:v>
                </c:pt>
                <c:pt idx="108">
                  <c:v>7646480.4000000004</c:v>
                </c:pt>
                <c:pt idx="109">
                  <c:v>7646480.4000000004</c:v>
                </c:pt>
                <c:pt idx="110">
                  <c:v>7646480.4000000004</c:v>
                </c:pt>
                <c:pt idx="111">
                  <c:v>7646480.4000000004</c:v>
                </c:pt>
                <c:pt idx="112">
                  <c:v>7646480.4000000004</c:v>
                </c:pt>
                <c:pt idx="113">
                  <c:v>7646480.4000000004</c:v>
                </c:pt>
                <c:pt idx="114">
                  <c:v>7646480.4000000004</c:v>
                </c:pt>
                <c:pt idx="115">
                  <c:v>7646480.4000000004</c:v>
                </c:pt>
                <c:pt idx="116">
                  <c:v>7646480.4000000004</c:v>
                </c:pt>
                <c:pt idx="117">
                  <c:v>7646480.4000000004</c:v>
                </c:pt>
                <c:pt idx="118">
                  <c:v>7646480.4000000004</c:v>
                </c:pt>
                <c:pt idx="119">
                  <c:v>7646480.4000000004</c:v>
                </c:pt>
                <c:pt idx="120">
                  <c:v>7646480.4000000004</c:v>
                </c:pt>
                <c:pt idx="121">
                  <c:v>7646480.4000000004</c:v>
                </c:pt>
                <c:pt idx="122">
                  <c:v>7646480.4000000004</c:v>
                </c:pt>
                <c:pt idx="123">
                  <c:v>7646480.4000000004</c:v>
                </c:pt>
                <c:pt idx="124">
                  <c:v>7646480.4000000004</c:v>
                </c:pt>
                <c:pt idx="125">
                  <c:v>7646480.4000000004</c:v>
                </c:pt>
                <c:pt idx="126">
                  <c:v>7646480.4000000004</c:v>
                </c:pt>
                <c:pt idx="127">
                  <c:v>7646480.4000000004</c:v>
                </c:pt>
                <c:pt idx="128">
                  <c:v>7646480.4000000004</c:v>
                </c:pt>
                <c:pt idx="129">
                  <c:v>7646480.4000000004</c:v>
                </c:pt>
                <c:pt idx="130">
                  <c:v>7646480.4000000004</c:v>
                </c:pt>
                <c:pt idx="131">
                  <c:v>7646480.4000000004</c:v>
                </c:pt>
                <c:pt idx="132">
                  <c:v>7646480.4000000004</c:v>
                </c:pt>
                <c:pt idx="133">
                  <c:v>7646480.4000000004</c:v>
                </c:pt>
                <c:pt idx="134">
                  <c:v>7646480.4000000004</c:v>
                </c:pt>
                <c:pt idx="135">
                  <c:v>7646480.4000000004</c:v>
                </c:pt>
                <c:pt idx="136">
                  <c:v>7646480.4000000004</c:v>
                </c:pt>
                <c:pt idx="137">
                  <c:v>7646480.4000000004</c:v>
                </c:pt>
                <c:pt idx="138">
                  <c:v>7646480.4000000004</c:v>
                </c:pt>
                <c:pt idx="139">
                  <c:v>7646480.4000000004</c:v>
                </c:pt>
                <c:pt idx="140">
                  <c:v>7646480.4000000004</c:v>
                </c:pt>
                <c:pt idx="141">
                  <c:v>7646480.4000000004</c:v>
                </c:pt>
                <c:pt idx="142">
                  <c:v>7646480.4000000004</c:v>
                </c:pt>
                <c:pt idx="143">
                  <c:v>7646480.4000000004</c:v>
                </c:pt>
                <c:pt idx="144">
                  <c:v>7646480.4000000004</c:v>
                </c:pt>
                <c:pt idx="145">
                  <c:v>7646480.4000000004</c:v>
                </c:pt>
                <c:pt idx="146">
                  <c:v>7646480.4000000004</c:v>
                </c:pt>
                <c:pt idx="147">
                  <c:v>7646480.4000000004</c:v>
                </c:pt>
                <c:pt idx="148">
                  <c:v>7646480.4000000004</c:v>
                </c:pt>
                <c:pt idx="149">
                  <c:v>7646480.4000000004</c:v>
                </c:pt>
                <c:pt idx="150">
                  <c:v>7646480.4000000004</c:v>
                </c:pt>
                <c:pt idx="151">
                  <c:v>7646480.4000000004</c:v>
                </c:pt>
                <c:pt idx="152">
                  <c:v>7646480.4000000004</c:v>
                </c:pt>
                <c:pt idx="153">
                  <c:v>7646480.4000000004</c:v>
                </c:pt>
                <c:pt idx="154">
                  <c:v>7646480.4000000004</c:v>
                </c:pt>
                <c:pt idx="155">
                  <c:v>7646480.4000000004</c:v>
                </c:pt>
                <c:pt idx="156">
                  <c:v>7646480.4000000004</c:v>
                </c:pt>
                <c:pt idx="157">
                  <c:v>7646480.4000000004</c:v>
                </c:pt>
                <c:pt idx="158">
                  <c:v>7646480.4000000004</c:v>
                </c:pt>
                <c:pt idx="159">
                  <c:v>7646480.4000000004</c:v>
                </c:pt>
                <c:pt idx="160">
                  <c:v>7646480.4000000004</c:v>
                </c:pt>
                <c:pt idx="161">
                  <c:v>7646480.4000000004</c:v>
                </c:pt>
                <c:pt idx="162">
                  <c:v>7646480.4000000004</c:v>
                </c:pt>
                <c:pt idx="163">
                  <c:v>7646480.4000000004</c:v>
                </c:pt>
                <c:pt idx="164">
                  <c:v>7646480.4000000004</c:v>
                </c:pt>
                <c:pt idx="165">
                  <c:v>7646480.4000000004</c:v>
                </c:pt>
                <c:pt idx="166">
                  <c:v>7646480.4000000004</c:v>
                </c:pt>
                <c:pt idx="167">
                  <c:v>7646480.4000000004</c:v>
                </c:pt>
                <c:pt idx="168">
                  <c:v>7646480.4000000004</c:v>
                </c:pt>
                <c:pt idx="169">
                  <c:v>7646480.4000000004</c:v>
                </c:pt>
                <c:pt idx="170">
                  <c:v>7646480.4000000004</c:v>
                </c:pt>
                <c:pt idx="171">
                  <c:v>7646480.4000000004</c:v>
                </c:pt>
                <c:pt idx="172">
                  <c:v>7646480.4000000004</c:v>
                </c:pt>
                <c:pt idx="173">
                  <c:v>7646480.4000000004</c:v>
                </c:pt>
                <c:pt idx="174">
                  <c:v>7646480.4000000004</c:v>
                </c:pt>
                <c:pt idx="175">
                  <c:v>7646480.4000000004</c:v>
                </c:pt>
                <c:pt idx="176">
                  <c:v>7646480.4000000004</c:v>
                </c:pt>
                <c:pt idx="177">
                  <c:v>7646480.4000000004</c:v>
                </c:pt>
                <c:pt idx="178">
                  <c:v>7646480.4000000004</c:v>
                </c:pt>
                <c:pt idx="179">
                  <c:v>7646480.4000000004</c:v>
                </c:pt>
                <c:pt idx="180">
                  <c:v>7646480.4000000004</c:v>
                </c:pt>
                <c:pt idx="181">
                  <c:v>7646480.4000000004</c:v>
                </c:pt>
                <c:pt idx="182">
                  <c:v>7646480.4000000004</c:v>
                </c:pt>
                <c:pt idx="183">
                  <c:v>7646480.4000000004</c:v>
                </c:pt>
                <c:pt idx="184">
                  <c:v>7646480.4000000004</c:v>
                </c:pt>
                <c:pt idx="185">
                  <c:v>7646480.4000000004</c:v>
                </c:pt>
                <c:pt idx="186">
                  <c:v>7646480.4000000004</c:v>
                </c:pt>
                <c:pt idx="187">
                  <c:v>7646480.4000000004</c:v>
                </c:pt>
                <c:pt idx="188">
                  <c:v>7646480.4000000004</c:v>
                </c:pt>
                <c:pt idx="189">
                  <c:v>7646480.4000000004</c:v>
                </c:pt>
                <c:pt idx="190">
                  <c:v>7646480.4000000004</c:v>
                </c:pt>
                <c:pt idx="191">
                  <c:v>7646480.4000000004</c:v>
                </c:pt>
                <c:pt idx="192">
                  <c:v>7646480.4000000004</c:v>
                </c:pt>
                <c:pt idx="193">
                  <c:v>7646480.4000000004</c:v>
                </c:pt>
                <c:pt idx="194">
                  <c:v>7646480.4000000004</c:v>
                </c:pt>
                <c:pt idx="195">
                  <c:v>7646480.4000000004</c:v>
                </c:pt>
                <c:pt idx="196">
                  <c:v>7646480.4000000004</c:v>
                </c:pt>
                <c:pt idx="197">
                  <c:v>7646480.4000000004</c:v>
                </c:pt>
                <c:pt idx="198">
                  <c:v>7646480.4000000004</c:v>
                </c:pt>
                <c:pt idx="199">
                  <c:v>7646480.4000000004</c:v>
                </c:pt>
                <c:pt idx="200">
                  <c:v>7646480.4000000004</c:v>
                </c:pt>
                <c:pt idx="201">
                  <c:v>7646480.4000000004</c:v>
                </c:pt>
                <c:pt idx="202">
                  <c:v>7646480.4000000004</c:v>
                </c:pt>
                <c:pt idx="203">
                  <c:v>7646480.4000000004</c:v>
                </c:pt>
                <c:pt idx="204">
                  <c:v>7646480.4000000004</c:v>
                </c:pt>
                <c:pt idx="205">
                  <c:v>7646480.4000000004</c:v>
                </c:pt>
                <c:pt idx="206">
                  <c:v>7646480.4000000004</c:v>
                </c:pt>
                <c:pt idx="207">
                  <c:v>7646480.4000000004</c:v>
                </c:pt>
                <c:pt idx="208">
                  <c:v>7646480.4000000004</c:v>
                </c:pt>
                <c:pt idx="209">
                  <c:v>7646480.4000000004</c:v>
                </c:pt>
                <c:pt idx="210">
                  <c:v>7646480.4000000004</c:v>
                </c:pt>
                <c:pt idx="211">
                  <c:v>7646480.4000000004</c:v>
                </c:pt>
                <c:pt idx="212">
                  <c:v>7646480.4000000004</c:v>
                </c:pt>
                <c:pt idx="213">
                  <c:v>7646480.4000000004</c:v>
                </c:pt>
                <c:pt idx="214">
                  <c:v>7646480.4000000004</c:v>
                </c:pt>
                <c:pt idx="215">
                  <c:v>7646480.4000000004</c:v>
                </c:pt>
                <c:pt idx="216">
                  <c:v>7646480.4000000004</c:v>
                </c:pt>
                <c:pt idx="217">
                  <c:v>7646480.4000000004</c:v>
                </c:pt>
                <c:pt idx="218">
                  <c:v>7646480.4000000004</c:v>
                </c:pt>
                <c:pt idx="219">
                  <c:v>7646480.4000000004</c:v>
                </c:pt>
                <c:pt idx="220">
                  <c:v>7646480.4000000004</c:v>
                </c:pt>
                <c:pt idx="221">
                  <c:v>7646480.4000000004</c:v>
                </c:pt>
                <c:pt idx="222">
                  <c:v>7646480.4000000004</c:v>
                </c:pt>
                <c:pt idx="223">
                  <c:v>7646480.4000000004</c:v>
                </c:pt>
                <c:pt idx="224">
                  <c:v>7646480.4000000004</c:v>
                </c:pt>
                <c:pt idx="225">
                  <c:v>7646480.4000000004</c:v>
                </c:pt>
                <c:pt idx="226">
                  <c:v>7646480.4000000004</c:v>
                </c:pt>
                <c:pt idx="227">
                  <c:v>7646480.4000000004</c:v>
                </c:pt>
                <c:pt idx="228">
                  <c:v>7646480.4000000004</c:v>
                </c:pt>
                <c:pt idx="229">
                  <c:v>7646480.4000000004</c:v>
                </c:pt>
                <c:pt idx="230">
                  <c:v>7646480.4000000004</c:v>
                </c:pt>
                <c:pt idx="231">
                  <c:v>7646480.4000000004</c:v>
                </c:pt>
                <c:pt idx="232">
                  <c:v>7646480.4000000004</c:v>
                </c:pt>
                <c:pt idx="233">
                  <c:v>7646480.4000000004</c:v>
                </c:pt>
                <c:pt idx="234">
                  <c:v>7646480.4000000004</c:v>
                </c:pt>
                <c:pt idx="235">
                  <c:v>7646480.4000000004</c:v>
                </c:pt>
                <c:pt idx="236">
                  <c:v>7646480.4000000004</c:v>
                </c:pt>
                <c:pt idx="237">
                  <c:v>7646480.4000000004</c:v>
                </c:pt>
                <c:pt idx="238">
                  <c:v>7646480.4000000004</c:v>
                </c:pt>
                <c:pt idx="239">
                  <c:v>7646480.4000000004</c:v>
                </c:pt>
                <c:pt idx="240">
                  <c:v>7646480.4000000004</c:v>
                </c:pt>
                <c:pt idx="241">
                  <c:v>7646480.4000000004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7-41EE-A5F2-80C01F3CAFDE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1300</c:v>
                </c:pt>
                <c:pt idx="12">
                  <c:v>1662</c:v>
                </c:pt>
                <c:pt idx="13">
                  <c:v>1864</c:v>
                </c:pt>
                <c:pt idx="14">
                  <c:v>2050.4</c:v>
                </c:pt>
                <c:pt idx="15">
                  <c:v>2255.4400000000005</c:v>
                </c:pt>
                <c:pt idx="16">
                  <c:v>2480.9840000000008</c:v>
                </c:pt>
                <c:pt idx="17">
                  <c:v>2729.0824000000011</c:v>
                </c:pt>
                <c:pt idx="18">
                  <c:v>3001.9906400000013</c:v>
                </c:pt>
                <c:pt idx="19">
                  <c:v>3302.1897040000017</c:v>
                </c:pt>
                <c:pt idx="20">
                  <c:v>3632.4086744000024</c:v>
                </c:pt>
                <c:pt idx="21">
                  <c:v>3995.6495418400032</c:v>
                </c:pt>
                <c:pt idx="22">
                  <c:v>4395.2144960240039</c:v>
                </c:pt>
                <c:pt idx="23">
                  <c:v>4834.7359456264048</c:v>
                </c:pt>
                <c:pt idx="24">
                  <c:v>5318.2095401890456</c:v>
                </c:pt>
                <c:pt idx="25">
                  <c:v>5850.0304942079511</c:v>
                </c:pt>
                <c:pt idx="26">
                  <c:v>6435.0335436287469</c:v>
                </c:pt>
                <c:pt idx="27">
                  <c:v>7078.536897991622</c:v>
                </c:pt>
                <c:pt idx="28">
                  <c:v>7786.3905877907846</c:v>
                </c:pt>
                <c:pt idx="29">
                  <c:v>8565.029646569863</c:v>
                </c:pt>
                <c:pt idx="30">
                  <c:v>9421.5326112268503</c:v>
                </c:pt>
                <c:pt idx="31">
                  <c:v>10363.685872349537</c:v>
                </c:pt>
                <c:pt idx="32">
                  <c:v>11400.054459584491</c:v>
                </c:pt>
                <c:pt idx="33">
                  <c:v>12540.059905542941</c:v>
                </c:pt>
                <c:pt idx="34">
                  <c:v>13794.065896097236</c:v>
                </c:pt>
                <c:pt idx="35">
                  <c:v>15173.472485706961</c:v>
                </c:pt>
                <c:pt idx="36">
                  <c:v>16690.819734277658</c:v>
                </c:pt>
                <c:pt idx="37">
                  <c:v>18359.901707705427</c:v>
                </c:pt>
                <c:pt idx="38">
                  <c:v>20195.89187847597</c:v>
                </c:pt>
                <c:pt idx="39">
                  <c:v>22215.481066323569</c:v>
                </c:pt>
                <c:pt idx="40">
                  <c:v>24437.029172955929</c:v>
                </c:pt>
                <c:pt idx="41">
                  <c:v>26880.732090251524</c:v>
                </c:pt>
                <c:pt idx="42">
                  <c:v>29568.805299276679</c:v>
                </c:pt>
                <c:pt idx="43">
                  <c:v>32525.685829204351</c:v>
                </c:pt>
                <c:pt idx="44">
                  <c:v>35778.254412124792</c:v>
                </c:pt>
                <c:pt idx="45">
                  <c:v>39356.079853337273</c:v>
                </c:pt>
                <c:pt idx="46">
                  <c:v>43291.687838671001</c:v>
                </c:pt>
                <c:pt idx="47">
                  <c:v>47620.856622538107</c:v>
                </c:pt>
                <c:pt idx="48">
                  <c:v>52382.94228479192</c:v>
                </c:pt>
                <c:pt idx="49">
                  <c:v>57621.236513271113</c:v>
                </c:pt>
                <c:pt idx="50">
                  <c:v>63383.360164598227</c:v>
                </c:pt>
                <c:pt idx="51">
                  <c:v>69721.696181058054</c:v>
                </c:pt>
                <c:pt idx="52">
                  <c:v>76693.865799163861</c:v>
                </c:pt>
                <c:pt idx="53">
                  <c:v>84363.252379080252</c:v>
                </c:pt>
                <c:pt idx="54">
                  <c:v>92799.577616988288</c:v>
                </c:pt>
                <c:pt idx="55">
                  <c:v>102079.53537868713</c:v>
                </c:pt>
                <c:pt idx="56">
                  <c:v>112287.48891655586</c:v>
                </c:pt>
                <c:pt idx="57">
                  <c:v>123516.23780821144</c:v>
                </c:pt>
                <c:pt idx="58">
                  <c:v>135867.8615890326</c:v>
                </c:pt>
                <c:pt idx="59">
                  <c:v>149454.64774793587</c:v>
                </c:pt>
                <c:pt idx="60">
                  <c:v>164400.11252272947</c:v>
                </c:pt>
                <c:pt idx="61">
                  <c:v>180840.12377500243</c:v>
                </c:pt>
                <c:pt idx="62">
                  <c:v>198924.1361525027</c:v>
                </c:pt>
                <c:pt idx="63">
                  <c:v>218816.54976775299</c:v>
                </c:pt>
                <c:pt idx="64">
                  <c:v>240698.20474452831</c:v>
                </c:pt>
                <c:pt idx="65">
                  <c:v>264768.02521898114</c:v>
                </c:pt>
                <c:pt idx="66">
                  <c:v>291244.82774087926</c:v>
                </c:pt>
                <c:pt idx="67">
                  <c:v>320369.31051496719</c:v>
                </c:pt>
                <c:pt idx="68">
                  <c:v>352406.24156646396</c:v>
                </c:pt>
                <c:pt idx="69">
                  <c:v>387646.86572311039</c:v>
                </c:pt>
                <c:pt idx="70">
                  <c:v>426411.55229542148</c:v>
                </c:pt>
                <c:pt idx="71">
                  <c:v>469052.70752496365</c:v>
                </c:pt>
                <c:pt idx="72">
                  <c:v>515957.97827746009</c:v>
                </c:pt>
                <c:pt idx="73">
                  <c:v>567553.77610520611</c:v>
                </c:pt>
                <c:pt idx="74">
                  <c:v>624309.1537157268</c:v>
                </c:pt>
                <c:pt idx="75">
                  <c:v>686740.06908729952</c:v>
                </c:pt>
                <c:pt idx="76">
                  <c:v>755414.07599602954</c:v>
                </c:pt>
                <c:pt idx="77">
                  <c:v>830955.4835956326</c:v>
                </c:pt>
                <c:pt idx="78">
                  <c:v>914051.03195519594</c:v>
                </c:pt>
                <c:pt idx="79">
                  <c:v>1005456.1351507156</c:v>
                </c:pt>
                <c:pt idx="80">
                  <c:v>1106001.7486657873</c:v>
                </c:pt>
                <c:pt idx="81">
                  <c:v>1216601.9235323661</c:v>
                </c:pt>
                <c:pt idx="82">
                  <c:v>1338262.1158856028</c:v>
                </c:pt>
                <c:pt idx="83">
                  <c:v>1472088.3274741631</c:v>
                </c:pt>
                <c:pt idx="84">
                  <c:v>1619297.1602215795</c:v>
                </c:pt>
                <c:pt idx="85">
                  <c:v>1781226.8762437375</c:v>
                </c:pt>
                <c:pt idx="86">
                  <c:v>1959349.5638681115</c:v>
                </c:pt>
                <c:pt idx="87">
                  <c:v>2155284.5202549226</c:v>
                </c:pt>
                <c:pt idx="88">
                  <c:v>2370812.9722804152</c:v>
                </c:pt>
                <c:pt idx="89">
                  <c:v>2607894.2695084568</c:v>
                </c:pt>
                <c:pt idx="90">
                  <c:v>2868683.6964593027</c:v>
                </c:pt>
                <c:pt idx="91">
                  <c:v>3155552.066105233</c:v>
                </c:pt>
                <c:pt idx="92">
                  <c:v>3471107.2727157567</c:v>
                </c:pt>
                <c:pt idx="93">
                  <c:v>3818217.9999873326</c:v>
                </c:pt>
                <c:pt idx="94">
                  <c:v>4200039.7999860663</c:v>
                </c:pt>
                <c:pt idx="95">
                  <c:v>4620043.7799846735</c:v>
                </c:pt>
                <c:pt idx="96">
                  <c:v>5082048.157983141</c:v>
                </c:pt>
                <c:pt idx="97">
                  <c:v>5590252.9737814553</c:v>
                </c:pt>
                <c:pt idx="98">
                  <c:v>6149278.2711596014</c:v>
                </c:pt>
                <c:pt idx="99">
                  <c:v>6764206.0982755618</c:v>
                </c:pt>
                <c:pt idx="100">
                  <c:v>7440626.7081031185</c:v>
                </c:pt>
                <c:pt idx="101">
                  <c:v>7646480.4000000004</c:v>
                </c:pt>
                <c:pt idx="102">
                  <c:v>7646480.4000000004</c:v>
                </c:pt>
                <c:pt idx="103">
                  <c:v>7646480.4000000004</c:v>
                </c:pt>
                <c:pt idx="104">
                  <c:v>7646480.4000000004</c:v>
                </c:pt>
                <c:pt idx="105">
                  <c:v>7646480.4000000004</c:v>
                </c:pt>
                <c:pt idx="106">
                  <c:v>7646480.4000000004</c:v>
                </c:pt>
                <c:pt idx="107">
                  <c:v>7646480.4000000004</c:v>
                </c:pt>
                <c:pt idx="108">
                  <c:v>7646480.4000000004</c:v>
                </c:pt>
                <c:pt idx="109">
                  <c:v>7646480.4000000004</c:v>
                </c:pt>
                <c:pt idx="110">
                  <c:v>7646480.4000000004</c:v>
                </c:pt>
                <c:pt idx="111">
                  <c:v>7646480.4000000004</c:v>
                </c:pt>
                <c:pt idx="112">
                  <c:v>7646480.4000000004</c:v>
                </c:pt>
                <c:pt idx="113">
                  <c:v>7646480.4000000004</c:v>
                </c:pt>
                <c:pt idx="114">
                  <c:v>7646480.4000000004</c:v>
                </c:pt>
                <c:pt idx="115">
                  <c:v>7646480.4000000004</c:v>
                </c:pt>
                <c:pt idx="116">
                  <c:v>7646480.4000000004</c:v>
                </c:pt>
                <c:pt idx="117">
                  <c:v>7646480.4000000004</c:v>
                </c:pt>
                <c:pt idx="118">
                  <c:v>7646480.4000000004</c:v>
                </c:pt>
                <c:pt idx="119">
                  <c:v>7646480.4000000004</c:v>
                </c:pt>
                <c:pt idx="120">
                  <c:v>7646480.4000000004</c:v>
                </c:pt>
                <c:pt idx="121">
                  <c:v>7646480.4000000004</c:v>
                </c:pt>
                <c:pt idx="122">
                  <c:v>7646480.4000000004</c:v>
                </c:pt>
                <c:pt idx="123">
                  <c:v>7646480.4000000004</c:v>
                </c:pt>
                <c:pt idx="124">
                  <c:v>7646480.4000000004</c:v>
                </c:pt>
                <c:pt idx="125">
                  <c:v>7646480.4000000004</c:v>
                </c:pt>
                <c:pt idx="126">
                  <c:v>7646480.4000000004</c:v>
                </c:pt>
                <c:pt idx="127">
                  <c:v>7646480.4000000004</c:v>
                </c:pt>
                <c:pt idx="128">
                  <c:v>7646480.4000000004</c:v>
                </c:pt>
                <c:pt idx="129">
                  <c:v>7646480.4000000004</c:v>
                </c:pt>
                <c:pt idx="130">
                  <c:v>7646480.4000000004</c:v>
                </c:pt>
                <c:pt idx="131">
                  <c:v>7646480.4000000004</c:v>
                </c:pt>
                <c:pt idx="132">
                  <c:v>7646480.4000000004</c:v>
                </c:pt>
                <c:pt idx="133">
                  <c:v>7646480.4000000004</c:v>
                </c:pt>
                <c:pt idx="134">
                  <c:v>7646480.4000000004</c:v>
                </c:pt>
                <c:pt idx="135">
                  <c:v>7646480.4000000004</c:v>
                </c:pt>
                <c:pt idx="136">
                  <c:v>7646480.4000000004</c:v>
                </c:pt>
                <c:pt idx="137">
                  <c:v>7646480.4000000004</c:v>
                </c:pt>
                <c:pt idx="138">
                  <c:v>7646480.4000000004</c:v>
                </c:pt>
                <c:pt idx="139">
                  <c:v>7646480.4000000004</c:v>
                </c:pt>
                <c:pt idx="140">
                  <c:v>7646480.4000000004</c:v>
                </c:pt>
                <c:pt idx="141">
                  <c:v>7646480.4000000004</c:v>
                </c:pt>
                <c:pt idx="142">
                  <c:v>7646480.4000000004</c:v>
                </c:pt>
                <c:pt idx="143">
                  <c:v>7646480.4000000004</c:v>
                </c:pt>
                <c:pt idx="144">
                  <c:v>7646480.4000000004</c:v>
                </c:pt>
                <c:pt idx="145">
                  <c:v>7646480.4000000004</c:v>
                </c:pt>
                <c:pt idx="146">
                  <c:v>7646480.4000000004</c:v>
                </c:pt>
                <c:pt idx="147">
                  <c:v>7646480.4000000004</c:v>
                </c:pt>
                <c:pt idx="148">
                  <c:v>7646480.4000000004</c:v>
                </c:pt>
                <c:pt idx="149">
                  <c:v>7646480.4000000004</c:v>
                </c:pt>
                <c:pt idx="150">
                  <c:v>7646480.4000000004</c:v>
                </c:pt>
                <c:pt idx="151">
                  <c:v>7646480.4000000004</c:v>
                </c:pt>
                <c:pt idx="152">
                  <c:v>7646480.4000000004</c:v>
                </c:pt>
                <c:pt idx="153">
                  <c:v>7646480.4000000004</c:v>
                </c:pt>
                <c:pt idx="154">
                  <c:v>7646480.4000000004</c:v>
                </c:pt>
                <c:pt idx="155">
                  <c:v>7646480.4000000004</c:v>
                </c:pt>
                <c:pt idx="156">
                  <c:v>7646480.4000000004</c:v>
                </c:pt>
                <c:pt idx="157">
                  <c:v>7646480.4000000004</c:v>
                </c:pt>
                <c:pt idx="158">
                  <c:v>7646480.4000000004</c:v>
                </c:pt>
                <c:pt idx="159">
                  <c:v>7646480.4000000004</c:v>
                </c:pt>
                <c:pt idx="160">
                  <c:v>7646480.4000000004</c:v>
                </c:pt>
                <c:pt idx="161">
                  <c:v>7646480.4000000004</c:v>
                </c:pt>
                <c:pt idx="162">
                  <c:v>7646480.4000000004</c:v>
                </c:pt>
                <c:pt idx="163">
                  <c:v>7646480.4000000004</c:v>
                </c:pt>
                <c:pt idx="164">
                  <c:v>7646480.4000000004</c:v>
                </c:pt>
                <c:pt idx="165">
                  <c:v>7646480.4000000004</c:v>
                </c:pt>
                <c:pt idx="166">
                  <c:v>7646480.4000000004</c:v>
                </c:pt>
                <c:pt idx="167">
                  <c:v>7646480.4000000004</c:v>
                </c:pt>
                <c:pt idx="168">
                  <c:v>7646480.4000000004</c:v>
                </c:pt>
                <c:pt idx="169">
                  <c:v>7646480.4000000004</c:v>
                </c:pt>
                <c:pt idx="170">
                  <c:v>7646480.4000000004</c:v>
                </c:pt>
                <c:pt idx="171">
                  <c:v>7646480.4000000004</c:v>
                </c:pt>
                <c:pt idx="172">
                  <c:v>7646480.4000000004</c:v>
                </c:pt>
                <c:pt idx="173">
                  <c:v>7646480.4000000004</c:v>
                </c:pt>
                <c:pt idx="174">
                  <c:v>7646480.4000000004</c:v>
                </c:pt>
                <c:pt idx="175">
                  <c:v>7646480.4000000004</c:v>
                </c:pt>
                <c:pt idx="176">
                  <c:v>7646480.4000000004</c:v>
                </c:pt>
                <c:pt idx="177">
                  <c:v>7646480.4000000004</c:v>
                </c:pt>
                <c:pt idx="178">
                  <c:v>7646480.4000000004</c:v>
                </c:pt>
                <c:pt idx="179">
                  <c:v>7646480.4000000004</c:v>
                </c:pt>
                <c:pt idx="180">
                  <c:v>7646480.4000000004</c:v>
                </c:pt>
                <c:pt idx="181">
                  <c:v>7646480.4000000004</c:v>
                </c:pt>
                <c:pt idx="182">
                  <c:v>7646480.4000000004</c:v>
                </c:pt>
                <c:pt idx="183">
                  <c:v>7646480.4000000004</c:v>
                </c:pt>
                <c:pt idx="184">
                  <c:v>7646480.4000000004</c:v>
                </c:pt>
                <c:pt idx="185">
                  <c:v>7646480.4000000004</c:v>
                </c:pt>
                <c:pt idx="186">
                  <c:v>7646480.4000000004</c:v>
                </c:pt>
                <c:pt idx="187">
                  <c:v>7646480.4000000004</c:v>
                </c:pt>
                <c:pt idx="188">
                  <c:v>7646480.4000000004</c:v>
                </c:pt>
                <c:pt idx="189">
                  <c:v>7646480.4000000004</c:v>
                </c:pt>
                <c:pt idx="190">
                  <c:v>7646480.4000000004</c:v>
                </c:pt>
                <c:pt idx="191">
                  <c:v>7646480.4000000004</c:v>
                </c:pt>
                <c:pt idx="192">
                  <c:v>7646480.4000000004</c:v>
                </c:pt>
                <c:pt idx="193">
                  <c:v>7646480.4000000004</c:v>
                </c:pt>
                <c:pt idx="194">
                  <c:v>7646480.4000000004</c:v>
                </c:pt>
                <c:pt idx="195">
                  <c:v>7646480.4000000004</c:v>
                </c:pt>
                <c:pt idx="196">
                  <c:v>7646480.4000000004</c:v>
                </c:pt>
                <c:pt idx="197">
                  <c:v>7646480.4000000004</c:v>
                </c:pt>
                <c:pt idx="198">
                  <c:v>7646480.4000000004</c:v>
                </c:pt>
                <c:pt idx="199">
                  <c:v>7646480.4000000004</c:v>
                </c:pt>
                <c:pt idx="200">
                  <c:v>7646480.4000000004</c:v>
                </c:pt>
                <c:pt idx="201">
                  <c:v>7646480.4000000004</c:v>
                </c:pt>
                <c:pt idx="202">
                  <c:v>7646480.4000000004</c:v>
                </c:pt>
                <c:pt idx="203">
                  <c:v>7646480.4000000004</c:v>
                </c:pt>
                <c:pt idx="204">
                  <c:v>7646480.4000000004</c:v>
                </c:pt>
                <c:pt idx="205">
                  <c:v>7646480.4000000004</c:v>
                </c:pt>
                <c:pt idx="206">
                  <c:v>7646480.4000000004</c:v>
                </c:pt>
                <c:pt idx="207">
                  <c:v>7646480.4000000004</c:v>
                </c:pt>
                <c:pt idx="208">
                  <c:v>7646480.4000000004</c:v>
                </c:pt>
                <c:pt idx="209">
                  <c:v>7646480.4000000004</c:v>
                </c:pt>
                <c:pt idx="210">
                  <c:v>7646480.4000000004</c:v>
                </c:pt>
                <c:pt idx="211">
                  <c:v>7646480.4000000004</c:v>
                </c:pt>
                <c:pt idx="212">
                  <c:v>7646480.4000000004</c:v>
                </c:pt>
                <c:pt idx="213">
                  <c:v>7646480.4000000004</c:v>
                </c:pt>
                <c:pt idx="214">
                  <c:v>7646480.4000000004</c:v>
                </c:pt>
                <c:pt idx="215">
                  <c:v>7646480.4000000004</c:v>
                </c:pt>
                <c:pt idx="216">
                  <c:v>7646480.4000000004</c:v>
                </c:pt>
                <c:pt idx="217">
                  <c:v>7646480.4000000004</c:v>
                </c:pt>
                <c:pt idx="218">
                  <c:v>7646480.4000000004</c:v>
                </c:pt>
                <c:pt idx="219">
                  <c:v>7646480.4000000004</c:v>
                </c:pt>
                <c:pt idx="220">
                  <c:v>7646480.4000000004</c:v>
                </c:pt>
                <c:pt idx="221">
                  <c:v>7646480.4000000004</c:v>
                </c:pt>
                <c:pt idx="222">
                  <c:v>7646480.4000000004</c:v>
                </c:pt>
                <c:pt idx="223">
                  <c:v>7646480.4000000004</c:v>
                </c:pt>
                <c:pt idx="224">
                  <c:v>7646480.4000000004</c:v>
                </c:pt>
                <c:pt idx="225">
                  <c:v>7646480.4000000004</c:v>
                </c:pt>
                <c:pt idx="226">
                  <c:v>7646480.4000000004</c:v>
                </c:pt>
                <c:pt idx="227">
                  <c:v>7646480.4000000004</c:v>
                </c:pt>
                <c:pt idx="228">
                  <c:v>7646480.4000000004</c:v>
                </c:pt>
                <c:pt idx="229">
                  <c:v>7646480.4000000004</c:v>
                </c:pt>
                <c:pt idx="230">
                  <c:v>7646480.4000000004</c:v>
                </c:pt>
                <c:pt idx="231">
                  <c:v>7646480.4000000004</c:v>
                </c:pt>
                <c:pt idx="232">
                  <c:v>7646480.4000000004</c:v>
                </c:pt>
                <c:pt idx="233">
                  <c:v>7646480.4000000004</c:v>
                </c:pt>
                <c:pt idx="234">
                  <c:v>7646480.4000000004</c:v>
                </c:pt>
                <c:pt idx="235">
                  <c:v>7646480.4000000004</c:v>
                </c:pt>
                <c:pt idx="236">
                  <c:v>7646480.4000000004</c:v>
                </c:pt>
                <c:pt idx="237">
                  <c:v>7646480.4000000004</c:v>
                </c:pt>
                <c:pt idx="238">
                  <c:v>7646480.4000000004</c:v>
                </c:pt>
                <c:pt idx="239">
                  <c:v>7646480.4000000004</c:v>
                </c:pt>
                <c:pt idx="240">
                  <c:v>7646480.4000000004</c:v>
                </c:pt>
                <c:pt idx="241">
                  <c:v>7646480.4000000004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7-41EE-A5F2-80C01F3CAFDE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1300</c:v>
                </c:pt>
                <c:pt idx="12">
                  <c:v>1662</c:v>
                </c:pt>
                <c:pt idx="13">
                  <c:v>1864</c:v>
                </c:pt>
                <c:pt idx="14">
                  <c:v>2330</c:v>
                </c:pt>
                <c:pt idx="15">
                  <c:v>2912.5</c:v>
                </c:pt>
                <c:pt idx="16">
                  <c:v>3640.625</c:v>
                </c:pt>
                <c:pt idx="17">
                  <c:v>4550.78125</c:v>
                </c:pt>
                <c:pt idx="18">
                  <c:v>5688.4765625</c:v>
                </c:pt>
                <c:pt idx="19">
                  <c:v>7110.595703125</c:v>
                </c:pt>
                <c:pt idx="20">
                  <c:v>8888.24462890625</c:v>
                </c:pt>
                <c:pt idx="21">
                  <c:v>11110.305786132813</c:v>
                </c:pt>
                <c:pt idx="22">
                  <c:v>13887.882232666016</c:v>
                </c:pt>
                <c:pt idx="23">
                  <c:v>17359.85279083252</c:v>
                </c:pt>
                <c:pt idx="24">
                  <c:v>21699.815988540649</c:v>
                </c:pt>
                <c:pt idx="25">
                  <c:v>27124.769985675812</c:v>
                </c:pt>
                <c:pt idx="26">
                  <c:v>33905.962482094765</c:v>
                </c:pt>
                <c:pt idx="27">
                  <c:v>42382.453102618456</c:v>
                </c:pt>
                <c:pt idx="28">
                  <c:v>52978.06637827307</c:v>
                </c:pt>
                <c:pt idx="29">
                  <c:v>66222.582972841337</c:v>
                </c:pt>
                <c:pt idx="30">
                  <c:v>82778.228716051672</c:v>
                </c:pt>
                <c:pt idx="31">
                  <c:v>103472.78589506459</c:v>
                </c:pt>
                <c:pt idx="32">
                  <c:v>129340.98236883074</c:v>
                </c:pt>
                <c:pt idx="33">
                  <c:v>161676.22796103841</c:v>
                </c:pt>
                <c:pt idx="34">
                  <c:v>202095.28495129803</c:v>
                </c:pt>
                <c:pt idx="35">
                  <c:v>252619.10618912254</c:v>
                </c:pt>
                <c:pt idx="36">
                  <c:v>315773.88273640315</c:v>
                </c:pt>
                <c:pt idx="37">
                  <c:v>394717.3534205039</c:v>
                </c:pt>
                <c:pt idx="38">
                  <c:v>493396.69177562988</c:v>
                </c:pt>
                <c:pt idx="39">
                  <c:v>616745.86471953732</c:v>
                </c:pt>
                <c:pt idx="40">
                  <c:v>770932.33089942159</c:v>
                </c:pt>
                <c:pt idx="41">
                  <c:v>963665.41362427699</c:v>
                </c:pt>
                <c:pt idx="42">
                  <c:v>1204581.7670303462</c:v>
                </c:pt>
                <c:pt idx="43">
                  <c:v>1505727.2087879328</c:v>
                </c:pt>
                <c:pt idx="44">
                  <c:v>1882159.010984916</c:v>
                </c:pt>
                <c:pt idx="45">
                  <c:v>2352698.7637311448</c:v>
                </c:pt>
                <c:pt idx="46">
                  <c:v>2940873.4546639309</c:v>
                </c:pt>
                <c:pt idx="47">
                  <c:v>3676091.8183299135</c:v>
                </c:pt>
                <c:pt idx="48">
                  <c:v>4595114.7729123924</c:v>
                </c:pt>
                <c:pt idx="49">
                  <c:v>5743893.46614049</c:v>
                </c:pt>
                <c:pt idx="50">
                  <c:v>7179866.8326756125</c:v>
                </c:pt>
                <c:pt idx="51">
                  <c:v>7646480.4000000004</c:v>
                </c:pt>
                <c:pt idx="52">
                  <c:v>7646480.4000000004</c:v>
                </c:pt>
                <c:pt idx="53">
                  <c:v>7646480.4000000004</c:v>
                </c:pt>
                <c:pt idx="54">
                  <c:v>7646480.4000000004</c:v>
                </c:pt>
                <c:pt idx="55">
                  <c:v>7646480.4000000004</c:v>
                </c:pt>
                <c:pt idx="56">
                  <c:v>7646480.4000000004</c:v>
                </c:pt>
                <c:pt idx="57">
                  <c:v>7646480.4000000004</c:v>
                </c:pt>
                <c:pt idx="58">
                  <c:v>7646480.4000000004</c:v>
                </c:pt>
                <c:pt idx="59">
                  <c:v>7646480.4000000004</c:v>
                </c:pt>
                <c:pt idx="60">
                  <c:v>7646480.4000000004</c:v>
                </c:pt>
                <c:pt idx="61">
                  <c:v>7646480.4000000004</c:v>
                </c:pt>
                <c:pt idx="62">
                  <c:v>7646480.4000000004</c:v>
                </c:pt>
                <c:pt idx="63">
                  <c:v>7646480.4000000004</c:v>
                </c:pt>
                <c:pt idx="64">
                  <c:v>7646480.4000000004</c:v>
                </c:pt>
                <c:pt idx="65">
                  <c:v>7646480.4000000004</c:v>
                </c:pt>
                <c:pt idx="66">
                  <c:v>7646480.4000000004</c:v>
                </c:pt>
                <c:pt idx="67">
                  <c:v>7646480.4000000004</c:v>
                </c:pt>
                <c:pt idx="68">
                  <c:v>7646480.4000000004</c:v>
                </c:pt>
                <c:pt idx="69">
                  <c:v>7646480.4000000004</c:v>
                </c:pt>
                <c:pt idx="70">
                  <c:v>7646480.4000000004</c:v>
                </c:pt>
                <c:pt idx="71">
                  <c:v>7646480.4000000004</c:v>
                </c:pt>
                <c:pt idx="72">
                  <c:v>7646480.4000000004</c:v>
                </c:pt>
                <c:pt idx="73">
                  <c:v>7646480.4000000004</c:v>
                </c:pt>
                <c:pt idx="74">
                  <c:v>7646480.4000000004</c:v>
                </c:pt>
                <c:pt idx="75">
                  <c:v>7646480.4000000004</c:v>
                </c:pt>
                <c:pt idx="76">
                  <c:v>7646480.4000000004</c:v>
                </c:pt>
                <c:pt idx="77">
                  <c:v>7646480.4000000004</c:v>
                </c:pt>
                <c:pt idx="78">
                  <c:v>7646480.4000000004</c:v>
                </c:pt>
                <c:pt idx="79">
                  <c:v>7646480.4000000004</c:v>
                </c:pt>
                <c:pt idx="80">
                  <c:v>7646480.4000000004</c:v>
                </c:pt>
                <c:pt idx="81">
                  <c:v>7646480.4000000004</c:v>
                </c:pt>
                <c:pt idx="82">
                  <c:v>7646480.4000000004</c:v>
                </c:pt>
                <c:pt idx="83">
                  <c:v>7646480.4000000004</c:v>
                </c:pt>
                <c:pt idx="84">
                  <c:v>7646480.4000000004</c:v>
                </c:pt>
                <c:pt idx="85">
                  <c:v>7646480.4000000004</c:v>
                </c:pt>
                <c:pt idx="86">
                  <c:v>7646480.4000000004</c:v>
                </c:pt>
                <c:pt idx="87">
                  <c:v>7646480.4000000004</c:v>
                </c:pt>
                <c:pt idx="88">
                  <c:v>7646480.4000000004</c:v>
                </c:pt>
                <c:pt idx="89">
                  <c:v>7646480.4000000004</c:v>
                </c:pt>
                <c:pt idx="90">
                  <c:v>7646480.4000000004</c:v>
                </c:pt>
                <c:pt idx="91">
                  <c:v>7646480.4000000004</c:v>
                </c:pt>
                <c:pt idx="92">
                  <c:v>7646480.4000000004</c:v>
                </c:pt>
                <c:pt idx="93">
                  <c:v>7646480.4000000004</c:v>
                </c:pt>
                <c:pt idx="94">
                  <c:v>7646480.4000000004</c:v>
                </c:pt>
                <c:pt idx="95">
                  <c:v>7646480.4000000004</c:v>
                </c:pt>
                <c:pt idx="96">
                  <c:v>7646480.4000000004</c:v>
                </c:pt>
                <c:pt idx="97">
                  <c:v>7646480.4000000004</c:v>
                </c:pt>
                <c:pt idx="98">
                  <c:v>7646480.4000000004</c:v>
                </c:pt>
                <c:pt idx="99">
                  <c:v>7646480.4000000004</c:v>
                </c:pt>
                <c:pt idx="100">
                  <c:v>7646480.4000000004</c:v>
                </c:pt>
                <c:pt idx="101">
                  <c:v>7646480.4000000004</c:v>
                </c:pt>
                <c:pt idx="102">
                  <c:v>7646480.4000000004</c:v>
                </c:pt>
                <c:pt idx="103">
                  <c:v>7646480.4000000004</c:v>
                </c:pt>
                <c:pt idx="104">
                  <c:v>7646480.4000000004</c:v>
                </c:pt>
                <c:pt idx="105">
                  <c:v>7646480.4000000004</c:v>
                </c:pt>
                <c:pt idx="106">
                  <c:v>7646480.4000000004</c:v>
                </c:pt>
                <c:pt idx="107">
                  <c:v>7646480.4000000004</c:v>
                </c:pt>
                <c:pt idx="108">
                  <c:v>7646480.4000000004</c:v>
                </c:pt>
                <c:pt idx="109">
                  <c:v>7646480.4000000004</c:v>
                </c:pt>
                <c:pt idx="110">
                  <c:v>7646480.4000000004</c:v>
                </c:pt>
                <c:pt idx="111">
                  <c:v>7646480.4000000004</c:v>
                </c:pt>
                <c:pt idx="112">
                  <c:v>7646480.4000000004</c:v>
                </c:pt>
                <c:pt idx="113">
                  <c:v>7646480.4000000004</c:v>
                </c:pt>
                <c:pt idx="114">
                  <c:v>7646480.4000000004</c:v>
                </c:pt>
                <c:pt idx="115">
                  <c:v>7646480.4000000004</c:v>
                </c:pt>
                <c:pt idx="116">
                  <c:v>7646480.4000000004</c:v>
                </c:pt>
                <c:pt idx="117">
                  <c:v>7646480.4000000004</c:v>
                </c:pt>
                <c:pt idx="118">
                  <c:v>7646480.4000000004</c:v>
                </c:pt>
                <c:pt idx="119">
                  <c:v>7646480.4000000004</c:v>
                </c:pt>
                <c:pt idx="120">
                  <c:v>7646480.4000000004</c:v>
                </c:pt>
                <c:pt idx="121">
                  <c:v>7646480.4000000004</c:v>
                </c:pt>
                <c:pt idx="122">
                  <c:v>7646480.4000000004</c:v>
                </c:pt>
                <c:pt idx="123">
                  <c:v>7646480.4000000004</c:v>
                </c:pt>
                <c:pt idx="124">
                  <c:v>7646480.4000000004</c:v>
                </c:pt>
                <c:pt idx="125">
                  <c:v>7646480.4000000004</c:v>
                </c:pt>
                <c:pt idx="126">
                  <c:v>7646480.4000000004</c:v>
                </c:pt>
                <c:pt idx="127">
                  <c:v>7646480.4000000004</c:v>
                </c:pt>
                <c:pt idx="128">
                  <c:v>7646480.4000000004</c:v>
                </c:pt>
                <c:pt idx="129">
                  <c:v>7646480.4000000004</c:v>
                </c:pt>
                <c:pt idx="130">
                  <c:v>7646480.4000000004</c:v>
                </c:pt>
                <c:pt idx="131">
                  <c:v>7646480.4000000004</c:v>
                </c:pt>
                <c:pt idx="132">
                  <c:v>7646480.4000000004</c:v>
                </c:pt>
                <c:pt idx="133">
                  <c:v>7646480.4000000004</c:v>
                </c:pt>
                <c:pt idx="134">
                  <c:v>7646480.4000000004</c:v>
                </c:pt>
                <c:pt idx="135">
                  <c:v>7646480.4000000004</c:v>
                </c:pt>
                <c:pt idx="136">
                  <c:v>7646480.4000000004</c:v>
                </c:pt>
                <c:pt idx="137">
                  <c:v>7646480.4000000004</c:v>
                </c:pt>
                <c:pt idx="138">
                  <c:v>7646480.4000000004</c:v>
                </c:pt>
                <c:pt idx="139">
                  <c:v>7646480.4000000004</c:v>
                </c:pt>
                <c:pt idx="140">
                  <c:v>7646480.4000000004</c:v>
                </c:pt>
                <c:pt idx="141">
                  <c:v>7646480.4000000004</c:v>
                </c:pt>
                <c:pt idx="142">
                  <c:v>7646480.4000000004</c:v>
                </c:pt>
                <c:pt idx="143">
                  <c:v>7646480.4000000004</c:v>
                </c:pt>
                <c:pt idx="144">
                  <c:v>7646480.4000000004</c:v>
                </c:pt>
                <c:pt idx="145">
                  <c:v>7646480.4000000004</c:v>
                </c:pt>
                <c:pt idx="146">
                  <c:v>7646480.4000000004</c:v>
                </c:pt>
                <c:pt idx="147">
                  <c:v>7646480.4000000004</c:v>
                </c:pt>
                <c:pt idx="148">
                  <c:v>7646480.4000000004</c:v>
                </c:pt>
                <c:pt idx="149">
                  <c:v>7646480.4000000004</c:v>
                </c:pt>
                <c:pt idx="150">
                  <c:v>7646480.4000000004</c:v>
                </c:pt>
                <c:pt idx="151">
                  <c:v>7646480.4000000004</c:v>
                </c:pt>
                <c:pt idx="152">
                  <c:v>7646480.4000000004</c:v>
                </c:pt>
                <c:pt idx="153">
                  <c:v>7646480.4000000004</c:v>
                </c:pt>
                <c:pt idx="154">
                  <c:v>7646480.4000000004</c:v>
                </c:pt>
                <c:pt idx="155">
                  <c:v>7646480.4000000004</c:v>
                </c:pt>
                <c:pt idx="156">
                  <c:v>7646480.4000000004</c:v>
                </c:pt>
                <c:pt idx="157">
                  <c:v>7646480.4000000004</c:v>
                </c:pt>
                <c:pt idx="158">
                  <c:v>7646480.4000000004</c:v>
                </c:pt>
                <c:pt idx="159">
                  <c:v>7646480.4000000004</c:v>
                </c:pt>
                <c:pt idx="160">
                  <c:v>7646480.4000000004</c:v>
                </c:pt>
                <c:pt idx="161">
                  <c:v>7646480.4000000004</c:v>
                </c:pt>
                <c:pt idx="162">
                  <c:v>7646480.4000000004</c:v>
                </c:pt>
                <c:pt idx="163">
                  <c:v>7646480.4000000004</c:v>
                </c:pt>
                <c:pt idx="164">
                  <c:v>7646480.4000000004</c:v>
                </c:pt>
                <c:pt idx="165">
                  <c:v>7646480.4000000004</c:v>
                </c:pt>
                <c:pt idx="166">
                  <c:v>7646480.4000000004</c:v>
                </c:pt>
                <c:pt idx="167">
                  <c:v>7646480.4000000004</c:v>
                </c:pt>
                <c:pt idx="168">
                  <c:v>7646480.4000000004</c:v>
                </c:pt>
                <c:pt idx="169">
                  <c:v>7646480.4000000004</c:v>
                </c:pt>
                <c:pt idx="170">
                  <c:v>7646480.4000000004</c:v>
                </c:pt>
                <c:pt idx="171">
                  <c:v>7646480.4000000004</c:v>
                </c:pt>
                <c:pt idx="172">
                  <c:v>7646480.4000000004</c:v>
                </c:pt>
                <c:pt idx="173">
                  <c:v>7646480.4000000004</c:v>
                </c:pt>
                <c:pt idx="174">
                  <c:v>7646480.4000000004</c:v>
                </c:pt>
                <c:pt idx="175">
                  <c:v>7646480.4000000004</c:v>
                </c:pt>
                <c:pt idx="176">
                  <c:v>7646480.4000000004</c:v>
                </c:pt>
                <c:pt idx="177">
                  <c:v>7646480.4000000004</c:v>
                </c:pt>
                <c:pt idx="178">
                  <c:v>7646480.4000000004</c:v>
                </c:pt>
                <c:pt idx="179">
                  <c:v>7646480.4000000004</c:v>
                </c:pt>
                <c:pt idx="180">
                  <c:v>7646480.4000000004</c:v>
                </c:pt>
                <c:pt idx="181">
                  <c:v>7646480.4000000004</c:v>
                </c:pt>
                <c:pt idx="182">
                  <c:v>7646480.4000000004</c:v>
                </c:pt>
                <c:pt idx="183">
                  <c:v>7646480.4000000004</c:v>
                </c:pt>
                <c:pt idx="184">
                  <c:v>7646480.4000000004</c:v>
                </c:pt>
                <c:pt idx="185">
                  <c:v>7646480.4000000004</c:v>
                </c:pt>
                <c:pt idx="186">
                  <c:v>7646480.4000000004</c:v>
                </c:pt>
                <c:pt idx="187">
                  <c:v>7646480.4000000004</c:v>
                </c:pt>
                <c:pt idx="188">
                  <c:v>7646480.4000000004</c:v>
                </c:pt>
                <c:pt idx="189">
                  <c:v>7646480.4000000004</c:v>
                </c:pt>
                <c:pt idx="190">
                  <c:v>7646480.4000000004</c:v>
                </c:pt>
                <c:pt idx="191">
                  <c:v>7646480.4000000004</c:v>
                </c:pt>
                <c:pt idx="192">
                  <c:v>7646480.4000000004</c:v>
                </c:pt>
                <c:pt idx="193">
                  <c:v>7646480.4000000004</c:v>
                </c:pt>
                <c:pt idx="194">
                  <c:v>7646480.4000000004</c:v>
                </c:pt>
                <c:pt idx="195">
                  <c:v>7646480.4000000004</c:v>
                </c:pt>
                <c:pt idx="196">
                  <c:v>7646480.4000000004</c:v>
                </c:pt>
                <c:pt idx="197">
                  <c:v>7646480.4000000004</c:v>
                </c:pt>
                <c:pt idx="198">
                  <c:v>7646480.4000000004</c:v>
                </c:pt>
                <c:pt idx="199">
                  <c:v>7646480.4000000004</c:v>
                </c:pt>
                <c:pt idx="200">
                  <c:v>7646480.4000000004</c:v>
                </c:pt>
                <c:pt idx="201">
                  <c:v>7646480.4000000004</c:v>
                </c:pt>
                <c:pt idx="202">
                  <c:v>7646480.4000000004</c:v>
                </c:pt>
                <c:pt idx="203">
                  <c:v>7646480.4000000004</c:v>
                </c:pt>
                <c:pt idx="204">
                  <c:v>7646480.4000000004</c:v>
                </c:pt>
                <c:pt idx="205">
                  <c:v>7646480.4000000004</c:v>
                </c:pt>
                <c:pt idx="206">
                  <c:v>7646480.4000000004</c:v>
                </c:pt>
                <c:pt idx="207">
                  <c:v>7646480.4000000004</c:v>
                </c:pt>
                <c:pt idx="208">
                  <c:v>7646480.4000000004</c:v>
                </c:pt>
                <c:pt idx="209">
                  <c:v>7646480.4000000004</c:v>
                </c:pt>
                <c:pt idx="210">
                  <c:v>7646480.4000000004</c:v>
                </c:pt>
                <c:pt idx="211">
                  <c:v>7646480.4000000004</c:v>
                </c:pt>
                <c:pt idx="212">
                  <c:v>7646480.4000000004</c:v>
                </c:pt>
                <c:pt idx="213">
                  <c:v>7646480.4000000004</c:v>
                </c:pt>
                <c:pt idx="214">
                  <c:v>7646480.4000000004</c:v>
                </c:pt>
                <c:pt idx="215">
                  <c:v>7646480.4000000004</c:v>
                </c:pt>
                <c:pt idx="216">
                  <c:v>7646480.4000000004</c:v>
                </c:pt>
                <c:pt idx="217">
                  <c:v>7646480.4000000004</c:v>
                </c:pt>
                <c:pt idx="218">
                  <c:v>7646480.4000000004</c:v>
                </c:pt>
                <c:pt idx="219">
                  <c:v>7646480.4000000004</c:v>
                </c:pt>
                <c:pt idx="220">
                  <c:v>7646480.4000000004</c:v>
                </c:pt>
                <c:pt idx="221">
                  <c:v>7646480.4000000004</c:v>
                </c:pt>
                <c:pt idx="222">
                  <c:v>7646480.4000000004</c:v>
                </c:pt>
                <c:pt idx="223">
                  <c:v>7646480.4000000004</c:v>
                </c:pt>
                <c:pt idx="224">
                  <c:v>7646480.4000000004</c:v>
                </c:pt>
                <c:pt idx="225">
                  <c:v>7646480.4000000004</c:v>
                </c:pt>
                <c:pt idx="226">
                  <c:v>7646480.4000000004</c:v>
                </c:pt>
                <c:pt idx="227">
                  <c:v>7646480.4000000004</c:v>
                </c:pt>
                <c:pt idx="228">
                  <c:v>7646480.4000000004</c:v>
                </c:pt>
                <c:pt idx="229">
                  <c:v>7646480.4000000004</c:v>
                </c:pt>
                <c:pt idx="230">
                  <c:v>7646480.4000000004</c:v>
                </c:pt>
                <c:pt idx="231">
                  <c:v>7646480.4000000004</c:v>
                </c:pt>
                <c:pt idx="232">
                  <c:v>7646480.4000000004</c:v>
                </c:pt>
                <c:pt idx="233">
                  <c:v>7646480.4000000004</c:v>
                </c:pt>
                <c:pt idx="234">
                  <c:v>7646480.4000000004</c:v>
                </c:pt>
                <c:pt idx="235">
                  <c:v>7646480.4000000004</c:v>
                </c:pt>
                <c:pt idx="236">
                  <c:v>7646480.4000000004</c:v>
                </c:pt>
                <c:pt idx="237">
                  <c:v>7646480.4000000004</c:v>
                </c:pt>
                <c:pt idx="238">
                  <c:v>7646480.4000000004</c:v>
                </c:pt>
                <c:pt idx="239">
                  <c:v>7646480.4000000004</c:v>
                </c:pt>
                <c:pt idx="240">
                  <c:v>7646480.4000000004</c:v>
                </c:pt>
                <c:pt idx="241">
                  <c:v>7646480.4000000004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77-41EE-A5F2-80C01F3CAFDE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1300</c:v>
                </c:pt>
                <c:pt idx="12">
                  <c:v>1662</c:v>
                </c:pt>
                <c:pt idx="13">
                  <c:v>1864</c:v>
                </c:pt>
                <c:pt idx="14">
                  <c:v>2609.6</c:v>
                </c:pt>
                <c:pt idx="15">
                  <c:v>3653.4399999999996</c:v>
                </c:pt>
                <c:pt idx="16">
                  <c:v>5114.8159999999989</c:v>
                </c:pt>
                <c:pt idx="17">
                  <c:v>7160.7423999999983</c:v>
                </c:pt>
                <c:pt idx="18">
                  <c:v>10025.039359999997</c:v>
                </c:pt>
                <c:pt idx="19">
                  <c:v>14035.055103999995</c:v>
                </c:pt>
                <c:pt idx="20">
                  <c:v>19649.077145599993</c:v>
                </c:pt>
                <c:pt idx="21">
                  <c:v>27508.708003839987</c:v>
                </c:pt>
                <c:pt idx="22">
                  <c:v>38512.191205375981</c:v>
                </c:pt>
                <c:pt idx="23">
                  <c:v>53917.067687526367</c:v>
                </c:pt>
                <c:pt idx="24">
                  <c:v>75483.894762536904</c:v>
                </c:pt>
                <c:pt idx="25">
                  <c:v>105677.45266755165</c:v>
                </c:pt>
                <c:pt idx="26">
                  <c:v>147948.43373457232</c:v>
                </c:pt>
                <c:pt idx="27">
                  <c:v>207127.80722840125</c:v>
                </c:pt>
                <c:pt idx="28">
                  <c:v>289978.93011976173</c:v>
                </c:pt>
                <c:pt idx="29">
                  <c:v>405970.50216766639</c:v>
                </c:pt>
                <c:pt idx="30">
                  <c:v>568358.70303473296</c:v>
                </c:pt>
                <c:pt idx="31">
                  <c:v>795702.18424862612</c:v>
                </c:pt>
                <c:pt idx="32">
                  <c:v>1113983.0579480764</c:v>
                </c:pt>
                <c:pt idx="33">
                  <c:v>1559576.2811273069</c:v>
                </c:pt>
                <c:pt idx="34">
                  <c:v>2183406.7935782294</c:v>
                </c:pt>
                <c:pt idx="35">
                  <c:v>3056769.5110095209</c:v>
                </c:pt>
                <c:pt idx="36">
                  <c:v>4279477.3154133288</c:v>
                </c:pt>
                <c:pt idx="37">
                  <c:v>5991268.24157866</c:v>
                </c:pt>
                <c:pt idx="38">
                  <c:v>7646480.4000000004</c:v>
                </c:pt>
                <c:pt idx="39">
                  <c:v>7646480.4000000004</c:v>
                </c:pt>
                <c:pt idx="40">
                  <c:v>7646480.4000000004</c:v>
                </c:pt>
                <c:pt idx="41">
                  <c:v>7646480.4000000004</c:v>
                </c:pt>
                <c:pt idx="42">
                  <c:v>7646480.4000000004</c:v>
                </c:pt>
                <c:pt idx="43">
                  <c:v>7646480.4000000004</c:v>
                </c:pt>
                <c:pt idx="44">
                  <c:v>7646480.4000000004</c:v>
                </c:pt>
                <c:pt idx="45">
                  <c:v>7646480.4000000004</c:v>
                </c:pt>
                <c:pt idx="46">
                  <c:v>7646480.4000000004</c:v>
                </c:pt>
                <c:pt idx="47">
                  <c:v>7646480.4000000004</c:v>
                </c:pt>
                <c:pt idx="48">
                  <c:v>7646480.4000000004</c:v>
                </c:pt>
                <c:pt idx="49">
                  <c:v>7646480.4000000004</c:v>
                </c:pt>
                <c:pt idx="50">
                  <c:v>7646480.4000000004</c:v>
                </c:pt>
                <c:pt idx="51">
                  <c:v>7646480.4000000004</c:v>
                </c:pt>
                <c:pt idx="52">
                  <c:v>7646480.4000000004</c:v>
                </c:pt>
                <c:pt idx="53">
                  <c:v>7646480.4000000004</c:v>
                </c:pt>
                <c:pt idx="54">
                  <c:v>7646480.4000000004</c:v>
                </c:pt>
                <c:pt idx="55">
                  <c:v>7646480.4000000004</c:v>
                </c:pt>
                <c:pt idx="56">
                  <c:v>7646480.4000000004</c:v>
                </c:pt>
                <c:pt idx="57">
                  <c:v>7646480.4000000004</c:v>
                </c:pt>
                <c:pt idx="58">
                  <c:v>7646480.4000000004</c:v>
                </c:pt>
                <c:pt idx="59">
                  <c:v>7646480.4000000004</c:v>
                </c:pt>
                <c:pt idx="60">
                  <c:v>7646480.4000000004</c:v>
                </c:pt>
                <c:pt idx="61">
                  <c:v>7646480.4000000004</c:v>
                </c:pt>
                <c:pt idx="62">
                  <c:v>7646480.4000000004</c:v>
                </c:pt>
                <c:pt idx="63">
                  <c:v>7646480.4000000004</c:v>
                </c:pt>
                <c:pt idx="64">
                  <c:v>7646480.4000000004</c:v>
                </c:pt>
                <c:pt idx="65">
                  <c:v>7646480.4000000004</c:v>
                </c:pt>
                <c:pt idx="66">
                  <c:v>7646480.4000000004</c:v>
                </c:pt>
                <c:pt idx="67">
                  <c:v>7646480.4000000004</c:v>
                </c:pt>
                <c:pt idx="68">
                  <c:v>7646480.4000000004</c:v>
                </c:pt>
                <c:pt idx="69">
                  <c:v>7646480.4000000004</c:v>
                </c:pt>
                <c:pt idx="70">
                  <c:v>7646480.4000000004</c:v>
                </c:pt>
                <c:pt idx="71">
                  <c:v>7646480.4000000004</c:v>
                </c:pt>
                <c:pt idx="72">
                  <c:v>7646480.4000000004</c:v>
                </c:pt>
                <c:pt idx="73">
                  <c:v>7646480.4000000004</c:v>
                </c:pt>
                <c:pt idx="74">
                  <c:v>7646480.4000000004</c:v>
                </c:pt>
                <c:pt idx="75">
                  <c:v>7646480.4000000004</c:v>
                </c:pt>
                <c:pt idx="76">
                  <c:v>7646480.4000000004</c:v>
                </c:pt>
                <c:pt idx="77">
                  <c:v>7646480.4000000004</c:v>
                </c:pt>
                <c:pt idx="78">
                  <c:v>7646480.4000000004</c:v>
                </c:pt>
                <c:pt idx="79">
                  <c:v>7646480.4000000004</c:v>
                </c:pt>
                <c:pt idx="80">
                  <c:v>7646480.4000000004</c:v>
                </c:pt>
                <c:pt idx="81">
                  <c:v>7646480.4000000004</c:v>
                </c:pt>
                <c:pt idx="82">
                  <c:v>7646480.4000000004</c:v>
                </c:pt>
                <c:pt idx="83">
                  <c:v>7646480.4000000004</c:v>
                </c:pt>
                <c:pt idx="84">
                  <c:v>7646480.4000000004</c:v>
                </c:pt>
                <c:pt idx="85">
                  <c:v>7646480.4000000004</c:v>
                </c:pt>
                <c:pt idx="86">
                  <c:v>7646480.4000000004</c:v>
                </c:pt>
                <c:pt idx="87">
                  <c:v>7646480.4000000004</c:v>
                </c:pt>
                <c:pt idx="88">
                  <c:v>7646480.4000000004</c:v>
                </c:pt>
                <c:pt idx="89">
                  <c:v>7646480.4000000004</c:v>
                </c:pt>
                <c:pt idx="90">
                  <c:v>7646480.4000000004</c:v>
                </c:pt>
                <c:pt idx="91">
                  <c:v>7646480.4000000004</c:v>
                </c:pt>
                <c:pt idx="92">
                  <c:v>7646480.4000000004</c:v>
                </c:pt>
                <c:pt idx="93">
                  <c:v>7646480.4000000004</c:v>
                </c:pt>
                <c:pt idx="94">
                  <c:v>7646480.4000000004</c:v>
                </c:pt>
                <c:pt idx="95">
                  <c:v>7646480.4000000004</c:v>
                </c:pt>
                <c:pt idx="96">
                  <c:v>7646480.4000000004</c:v>
                </c:pt>
                <c:pt idx="97">
                  <c:v>7646480.4000000004</c:v>
                </c:pt>
                <c:pt idx="98">
                  <c:v>7646480.4000000004</c:v>
                </c:pt>
                <c:pt idx="99">
                  <c:v>7646480.4000000004</c:v>
                </c:pt>
                <c:pt idx="100">
                  <c:v>7646480.4000000004</c:v>
                </c:pt>
                <c:pt idx="101">
                  <c:v>7646480.4000000004</c:v>
                </c:pt>
                <c:pt idx="102">
                  <c:v>7646480.4000000004</c:v>
                </c:pt>
                <c:pt idx="103">
                  <c:v>7646480.4000000004</c:v>
                </c:pt>
                <c:pt idx="104">
                  <c:v>7646480.4000000004</c:v>
                </c:pt>
                <c:pt idx="105">
                  <c:v>7646480.4000000004</c:v>
                </c:pt>
                <c:pt idx="106">
                  <c:v>7646480.4000000004</c:v>
                </c:pt>
                <c:pt idx="107">
                  <c:v>7646480.4000000004</c:v>
                </c:pt>
                <c:pt idx="108">
                  <c:v>7646480.4000000004</c:v>
                </c:pt>
                <c:pt idx="109">
                  <c:v>7646480.4000000004</c:v>
                </c:pt>
                <c:pt idx="110">
                  <c:v>7646480.4000000004</c:v>
                </c:pt>
                <c:pt idx="111">
                  <c:v>7646480.4000000004</c:v>
                </c:pt>
                <c:pt idx="112">
                  <c:v>7646480.4000000004</c:v>
                </c:pt>
                <c:pt idx="113">
                  <c:v>7646480.4000000004</c:v>
                </c:pt>
                <c:pt idx="114">
                  <c:v>7646480.4000000004</c:v>
                </c:pt>
                <c:pt idx="115">
                  <c:v>7646480.4000000004</c:v>
                </c:pt>
                <c:pt idx="116">
                  <c:v>7646480.4000000004</c:v>
                </c:pt>
                <c:pt idx="117">
                  <c:v>7646480.4000000004</c:v>
                </c:pt>
                <c:pt idx="118">
                  <c:v>7646480.4000000004</c:v>
                </c:pt>
                <c:pt idx="119">
                  <c:v>7646480.4000000004</c:v>
                </c:pt>
                <c:pt idx="120">
                  <c:v>7646480.4000000004</c:v>
                </c:pt>
                <c:pt idx="121">
                  <c:v>7646480.4000000004</c:v>
                </c:pt>
                <c:pt idx="122">
                  <c:v>7646480.4000000004</c:v>
                </c:pt>
                <c:pt idx="123">
                  <c:v>7646480.4000000004</c:v>
                </c:pt>
                <c:pt idx="124">
                  <c:v>7646480.4000000004</c:v>
                </c:pt>
                <c:pt idx="125">
                  <c:v>7646480.4000000004</c:v>
                </c:pt>
                <c:pt idx="126">
                  <c:v>7646480.4000000004</c:v>
                </c:pt>
                <c:pt idx="127">
                  <c:v>7646480.4000000004</c:v>
                </c:pt>
                <c:pt idx="128">
                  <c:v>7646480.4000000004</c:v>
                </c:pt>
                <c:pt idx="129">
                  <c:v>7646480.4000000004</c:v>
                </c:pt>
                <c:pt idx="130">
                  <c:v>7646480.4000000004</c:v>
                </c:pt>
                <c:pt idx="131">
                  <c:v>7646480.4000000004</c:v>
                </c:pt>
                <c:pt idx="132">
                  <c:v>7646480.4000000004</c:v>
                </c:pt>
                <c:pt idx="133">
                  <c:v>7646480.4000000004</c:v>
                </c:pt>
                <c:pt idx="134">
                  <c:v>7646480.4000000004</c:v>
                </c:pt>
                <c:pt idx="135">
                  <c:v>7646480.4000000004</c:v>
                </c:pt>
                <c:pt idx="136">
                  <c:v>7646480.4000000004</c:v>
                </c:pt>
                <c:pt idx="137">
                  <c:v>7646480.4000000004</c:v>
                </c:pt>
                <c:pt idx="138">
                  <c:v>7646480.4000000004</c:v>
                </c:pt>
                <c:pt idx="139">
                  <c:v>7646480.4000000004</c:v>
                </c:pt>
                <c:pt idx="140">
                  <c:v>7646480.4000000004</c:v>
                </c:pt>
                <c:pt idx="141">
                  <c:v>7646480.4000000004</c:v>
                </c:pt>
                <c:pt idx="142">
                  <c:v>7646480.4000000004</c:v>
                </c:pt>
                <c:pt idx="143">
                  <c:v>7646480.4000000004</c:v>
                </c:pt>
                <c:pt idx="144">
                  <c:v>7646480.4000000004</c:v>
                </c:pt>
                <c:pt idx="145">
                  <c:v>7646480.4000000004</c:v>
                </c:pt>
                <c:pt idx="146">
                  <c:v>7646480.4000000004</c:v>
                </c:pt>
                <c:pt idx="147">
                  <c:v>7646480.4000000004</c:v>
                </c:pt>
                <c:pt idx="148">
                  <c:v>7646480.4000000004</c:v>
                </c:pt>
                <c:pt idx="149">
                  <c:v>7646480.4000000004</c:v>
                </c:pt>
                <c:pt idx="150">
                  <c:v>7646480.4000000004</c:v>
                </c:pt>
                <c:pt idx="151">
                  <c:v>7646480.4000000004</c:v>
                </c:pt>
                <c:pt idx="152">
                  <c:v>7646480.4000000004</c:v>
                </c:pt>
                <c:pt idx="153">
                  <c:v>7646480.4000000004</c:v>
                </c:pt>
                <c:pt idx="154">
                  <c:v>7646480.4000000004</c:v>
                </c:pt>
                <c:pt idx="155">
                  <c:v>7646480.4000000004</c:v>
                </c:pt>
                <c:pt idx="156">
                  <c:v>7646480.4000000004</c:v>
                </c:pt>
                <c:pt idx="157">
                  <c:v>7646480.4000000004</c:v>
                </c:pt>
                <c:pt idx="158">
                  <c:v>7646480.4000000004</c:v>
                </c:pt>
                <c:pt idx="159">
                  <c:v>7646480.4000000004</c:v>
                </c:pt>
                <c:pt idx="160">
                  <c:v>7646480.4000000004</c:v>
                </c:pt>
                <c:pt idx="161">
                  <c:v>7646480.4000000004</c:v>
                </c:pt>
                <c:pt idx="162">
                  <c:v>7646480.4000000004</c:v>
                </c:pt>
                <c:pt idx="163">
                  <c:v>7646480.4000000004</c:v>
                </c:pt>
                <c:pt idx="164">
                  <c:v>7646480.4000000004</c:v>
                </c:pt>
                <c:pt idx="165">
                  <c:v>7646480.4000000004</c:v>
                </c:pt>
                <c:pt idx="166">
                  <c:v>7646480.4000000004</c:v>
                </c:pt>
                <c:pt idx="167">
                  <c:v>7646480.4000000004</c:v>
                </c:pt>
                <c:pt idx="168">
                  <c:v>7646480.4000000004</c:v>
                </c:pt>
                <c:pt idx="169">
                  <c:v>7646480.4000000004</c:v>
                </c:pt>
                <c:pt idx="170">
                  <c:v>7646480.4000000004</c:v>
                </c:pt>
                <c:pt idx="171">
                  <c:v>7646480.4000000004</c:v>
                </c:pt>
                <c:pt idx="172">
                  <c:v>7646480.4000000004</c:v>
                </c:pt>
                <c:pt idx="173">
                  <c:v>7646480.4000000004</c:v>
                </c:pt>
                <c:pt idx="174">
                  <c:v>7646480.4000000004</c:v>
                </c:pt>
                <c:pt idx="175">
                  <c:v>7646480.4000000004</c:v>
                </c:pt>
                <c:pt idx="176">
                  <c:v>7646480.4000000004</c:v>
                </c:pt>
                <c:pt idx="177">
                  <c:v>7646480.4000000004</c:v>
                </c:pt>
                <c:pt idx="178">
                  <c:v>7646480.4000000004</c:v>
                </c:pt>
                <c:pt idx="179">
                  <c:v>7646480.4000000004</c:v>
                </c:pt>
                <c:pt idx="180">
                  <c:v>7646480.4000000004</c:v>
                </c:pt>
                <c:pt idx="181">
                  <c:v>7646480.4000000004</c:v>
                </c:pt>
                <c:pt idx="182">
                  <c:v>7646480.4000000004</c:v>
                </c:pt>
                <c:pt idx="183">
                  <c:v>7646480.4000000004</c:v>
                </c:pt>
                <c:pt idx="184">
                  <c:v>7646480.4000000004</c:v>
                </c:pt>
                <c:pt idx="185">
                  <c:v>7646480.4000000004</c:v>
                </c:pt>
                <c:pt idx="186">
                  <c:v>7646480.4000000004</c:v>
                </c:pt>
                <c:pt idx="187">
                  <c:v>7646480.4000000004</c:v>
                </c:pt>
                <c:pt idx="188">
                  <c:v>7646480.4000000004</c:v>
                </c:pt>
                <c:pt idx="189">
                  <c:v>7646480.4000000004</c:v>
                </c:pt>
                <c:pt idx="190">
                  <c:v>7646480.4000000004</c:v>
                </c:pt>
                <c:pt idx="191">
                  <c:v>7646480.4000000004</c:v>
                </c:pt>
                <c:pt idx="192">
                  <c:v>7646480.4000000004</c:v>
                </c:pt>
                <c:pt idx="193">
                  <c:v>7646480.4000000004</c:v>
                </c:pt>
                <c:pt idx="194">
                  <c:v>7646480.4000000004</c:v>
                </c:pt>
                <c:pt idx="195">
                  <c:v>7646480.4000000004</c:v>
                </c:pt>
                <c:pt idx="196">
                  <c:v>7646480.4000000004</c:v>
                </c:pt>
                <c:pt idx="197">
                  <c:v>7646480.4000000004</c:v>
                </c:pt>
                <c:pt idx="198">
                  <c:v>7646480.4000000004</c:v>
                </c:pt>
                <c:pt idx="199">
                  <c:v>7646480.4000000004</c:v>
                </c:pt>
                <c:pt idx="200">
                  <c:v>7646480.4000000004</c:v>
                </c:pt>
                <c:pt idx="201">
                  <c:v>7646480.4000000004</c:v>
                </c:pt>
                <c:pt idx="202">
                  <c:v>7646480.4000000004</c:v>
                </c:pt>
                <c:pt idx="203">
                  <c:v>7646480.4000000004</c:v>
                </c:pt>
                <c:pt idx="204">
                  <c:v>7646480.4000000004</c:v>
                </c:pt>
                <c:pt idx="205">
                  <c:v>7646480.4000000004</c:v>
                </c:pt>
                <c:pt idx="206">
                  <c:v>7646480.4000000004</c:v>
                </c:pt>
                <c:pt idx="207">
                  <c:v>7646480.4000000004</c:v>
                </c:pt>
                <c:pt idx="208">
                  <c:v>7646480.4000000004</c:v>
                </c:pt>
                <c:pt idx="209">
                  <c:v>7646480.4000000004</c:v>
                </c:pt>
                <c:pt idx="210">
                  <c:v>7646480.4000000004</c:v>
                </c:pt>
                <c:pt idx="211">
                  <c:v>7646480.4000000004</c:v>
                </c:pt>
                <c:pt idx="212">
                  <c:v>7646480.4000000004</c:v>
                </c:pt>
                <c:pt idx="213">
                  <c:v>7646480.4000000004</c:v>
                </c:pt>
                <c:pt idx="214">
                  <c:v>7646480.4000000004</c:v>
                </c:pt>
                <c:pt idx="215">
                  <c:v>7646480.4000000004</c:v>
                </c:pt>
                <c:pt idx="216">
                  <c:v>7646480.4000000004</c:v>
                </c:pt>
                <c:pt idx="217">
                  <c:v>7646480.4000000004</c:v>
                </c:pt>
                <c:pt idx="218">
                  <c:v>7646480.4000000004</c:v>
                </c:pt>
                <c:pt idx="219">
                  <c:v>7646480.4000000004</c:v>
                </c:pt>
                <c:pt idx="220">
                  <c:v>7646480.4000000004</c:v>
                </c:pt>
                <c:pt idx="221">
                  <c:v>7646480.4000000004</c:v>
                </c:pt>
                <c:pt idx="222">
                  <c:v>7646480.4000000004</c:v>
                </c:pt>
                <c:pt idx="223">
                  <c:v>7646480.4000000004</c:v>
                </c:pt>
                <c:pt idx="224">
                  <c:v>7646480.4000000004</c:v>
                </c:pt>
                <c:pt idx="225">
                  <c:v>7646480.4000000004</c:v>
                </c:pt>
                <c:pt idx="226">
                  <c:v>7646480.4000000004</c:v>
                </c:pt>
                <c:pt idx="227">
                  <c:v>7646480.4000000004</c:v>
                </c:pt>
                <c:pt idx="228">
                  <c:v>7646480.4000000004</c:v>
                </c:pt>
                <c:pt idx="229">
                  <c:v>7646480.4000000004</c:v>
                </c:pt>
                <c:pt idx="230">
                  <c:v>7646480.4000000004</c:v>
                </c:pt>
                <c:pt idx="231">
                  <c:v>7646480.4000000004</c:v>
                </c:pt>
                <c:pt idx="232">
                  <c:v>7646480.4000000004</c:v>
                </c:pt>
                <c:pt idx="233">
                  <c:v>7646480.4000000004</c:v>
                </c:pt>
                <c:pt idx="234">
                  <c:v>7646480.4000000004</c:v>
                </c:pt>
                <c:pt idx="235">
                  <c:v>7646480.4000000004</c:v>
                </c:pt>
                <c:pt idx="236">
                  <c:v>7646480.4000000004</c:v>
                </c:pt>
                <c:pt idx="237">
                  <c:v>7646480.4000000004</c:v>
                </c:pt>
                <c:pt idx="238">
                  <c:v>7646480.4000000004</c:v>
                </c:pt>
                <c:pt idx="239">
                  <c:v>7646480.4000000004</c:v>
                </c:pt>
                <c:pt idx="240">
                  <c:v>7646480.4000000004</c:v>
                </c:pt>
                <c:pt idx="241">
                  <c:v>7646480.4000000004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77-41EE-A5F2-80C01F3CAFDE}"/>
            </c:ext>
          </c:extLst>
        </c:ser>
        <c:ser>
          <c:idx val="9"/>
          <c:order val="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B77-41EE-A5F2-80C01F3CAFDE}"/>
            </c:ext>
          </c:extLst>
        </c:ser>
        <c:ser>
          <c:idx val="10"/>
          <c:order val="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B77-41EE-A5F2-80C01F3CAFDE}"/>
            </c:ext>
          </c:extLst>
        </c:ser>
        <c:ser>
          <c:idx val="7"/>
          <c:order val="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1300</c:v>
                </c:pt>
                <c:pt idx="12">
                  <c:v>1662</c:v>
                </c:pt>
                <c:pt idx="13">
                  <c:v>1864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2B-4CE8-970A-B2E080C52B48}"/>
            </c:ext>
          </c:extLst>
        </c:ser>
        <c:ser>
          <c:idx val="1"/>
          <c:order val="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20-4808-8A8C-44C61EFFD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0.29677419354838719</c:v>
                </c:pt>
                <c:pt idx="1">
                  <c:v>0.29677419354838719</c:v>
                </c:pt>
                <c:pt idx="2">
                  <c:v>0.27756493849236996</c:v>
                </c:pt>
                <c:pt idx="3">
                  <c:v>0.22986367662145538</c:v>
                </c:pt>
                <c:pt idx="4">
                  <c:v>0.22879518797759349</c:v>
                </c:pt>
                <c:pt idx="5">
                  <c:v>0.24311955699461696</c:v>
                </c:pt>
                <c:pt idx="6">
                  <c:v>0.27772576347834071</c:v>
                </c:pt>
                <c:pt idx="7">
                  <c:v>0.26543691970462707</c:v>
                </c:pt>
                <c:pt idx="8">
                  <c:v>0.2750920183127355</c:v>
                </c:pt>
                <c:pt idx="9">
                  <c:v>0.26042481253367744</c:v>
                </c:pt>
                <c:pt idx="10">
                  <c:v>0.23969773709117281</c:v>
                </c:pt>
                <c:pt idx="11">
                  <c:v>0.18772555315823714</c:v>
                </c:pt>
                <c:pt idx="12">
                  <c:v>0.17448230213683602</c:v>
                </c:pt>
                <c:pt idx="13">
                  <c:v>0.16003510150977526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77-41EE-A5F2-80C01F3CAFDE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4"/>
          <c:min val="439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372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  <c:pt idx="16">
                  <c:v>1500</c:v>
                </c:pt>
                <c:pt idx="17">
                  <c:v>1500</c:v>
                </c:pt>
                <c:pt idx="18">
                  <c:v>1500</c:v>
                </c:pt>
                <c:pt idx="19">
                  <c:v>1500</c:v>
                </c:pt>
                <c:pt idx="20">
                  <c:v>1500</c:v>
                </c:pt>
                <c:pt idx="21">
                  <c:v>1500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  <c:pt idx="31">
                  <c:v>1500</c:v>
                </c:pt>
                <c:pt idx="32">
                  <c:v>1500</c:v>
                </c:pt>
                <c:pt idx="33">
                  <c:v>1500</c:v>
                </c:pt>
                <c:pt idx="34">
                  <c:v>1500</c:v>
                </c:pt>
                <c:pt idx="35">
                  <c:v>1500</c:v>
                </c:pt>
                <c:pt idx="36">
                  <c:v>1500</c:v>
                </c:pt>
                <c:pt idx="37">
                  <c:v>1500</c:v>
                </c:pt>
                <c:pt idx="38">
                  <c:v>1500</c:v>
                </c:pt>
                <c:pt idx="39">
                  <c:v>1500</c:v>
                </c:pt>
                <c:pt idx="40">
                  <c:v>1500</c:v>
                </c:pt>
                <c:pt idx="41">
                  <c:v>1500</c:v>
                </c:pt>
                <c:pt idx="42">
                  <c:v>1500</c:v>
                </c:pt>
                <c:pt idx="43">
                  <c:v>1500</c:v>
                </c:pt>
                <c:pt idx="44">
                  <c:v>1500</c:v>
                </c:pt>
                <c:pt idx="45">
                  <c:v>1500</c:v>
                </c:pt>
                <c:pt idx="46">
                  <c:v>1500</c:v>
                </c:pt>
                <c:pt idx="47">
                  <c:v>1500</c:v>
                </c:pt>
                <c:pt idx="48">
                  <c:v>1500</c:v>
                </c:pt>
                <c:pt idx="49">
                  <c:v>1500</c:v>
                </c:pt>
                <c:pt idx="50">
                  <c:v>1500</c:v>
                </c:pt>
                <c:pt idx="51">
                  <c:v>1500</c:v>
                </c:pt>
                <c:pt idx="52">
                  <c:v>1500</c:v>
                </c:pt>
                <c:pt idx="53">
                  <c:v>1500</c:v>
                </c:pt>
                <c:pt idx="54">
                  <c:v>1500</c:v>
                </c:pt>
                <c:pt idx="55">
                  <c:v>1500</c:v>
                </c:pt>
                <c:pt idx="56">
                  <c:v>1500</c:v>
                </c:pt>
                <c:pt idx="57">
                  <c:v>1500</c:v>
                </c:pt>
                <c:pt idx="58">
                  <c:v>1500</c:v>
                </c:pt>
                <c:pt idx="59">
                  <c:v>1500</c:v>
                </c:pt>
                <c:pt idx="60">
                  <c:v>1500</c:v>
                </c:pt>
                <c:pt idx="61">
                  <c:v>1500</c:v>
                </c:pt>
                <c:pt idx="62">
                  <c:v>1500</c:v>
                </c:pt>
                <c:pt idx="63">
                  <c:v>1500</c:v>
                </c:pt>
                <c:pt idx="64">
                  <c:v>1500</c:v>
                </c:pt>
                <c:pt idx="65">
                  <c:v>1500</c:v>
                </c:pt>
                <c:pt idx="66">
                  <c:v>1500</c:v>
                </c:pt>
                <c:pt idx="67">
                  <c:v>1500</c:v>
                </c:pt>
                <c:pt idx="68">
                  <c:v>1500</c:v>
                </c:pt>
                <c:pt idx="69">
                  <c:v>1500</c:v>
                </c:pt>
                <c:pt idx="70">
                  <c:v>1500</c:v>
                </c:pt>
                <c:pt idx="71">
                  <c:v>1500</c:v>
                </c:pt>
                <c:pt idx="72">
                  <c:v>1500</c:v>
                </c:pt>
                <c:pt idx="73">
                  <c:v>1500</c:v>
                </c:pt>
                <c:pt idx="74">
                  <c:v>1500</c:v>
                </c:pt>
                <c:pt idx="75">
                  <c:v>1500</c:v>
                </c:pt>
                <c:pt idx="76">
                  <c:v>1500</c:v>
                </c:pt>
                <c:pt idx="77">
                  <c:v>1500</c:v>
                </c:pt>
                <c:pt idx="78">
                  <c:v>1500</c:v>
                </c:pt>
                <c:pt idx="79">
                  <c:v>1500</c:v>
                </c:pt>
                <c:pt idx="80">
                  <c:v>1500</c:v>
                </c:pt>
                <c:pt idx="81">
                  <c:v>1500</c:v>
                </c:pt>
                <c:pt idx="82">
                  <c:v>1500</c:v>
                </c:pt>
                <c:pt idx="83">
                  <c:v>1500</c:v>
                </c:pt>
                <c:pt idx="84">
                  <c:v>1500</c:v>
                </c:pt>
                <c:pt idx="85">
                  <c:v>1500</c:v>
                </c:pt>
                <c:pt idx="86">
                  <c:v>1500</c:v>
                </c:pt>
                <c:pt idx="87">
                  <c:v>1500</c:v>
                </c:pt>
                <c:pt idx="88">
                  <c:v>1500</c:v>
                </c:pt>
                <c:pt idx="89">
                  <c:v>1500</c:v>
                </c:pt>
                <c:pt idx="90">
                  <c:v>1500</c:v>
                </c:pt>
                <c:pt idx="91">
                  <c:v>1500</c:v>
                </c:pt>
                <c:pt idx="92">
                  <c:v>1500</c:v>
                </c:pt>
                <c:pt idx="93">
                  <c:v>1500</c:v>
                </c:pt>
                <c:pt idx="94">
                  <c:v>1500</c:v>
                </c:pt>
                <c:pt idx="95">
                  <c:v>1500</c:v>
                </c:pt>
                <c:pt idx="96">
                  <c:v>1500</c:v>
                </c:pt>
                <c:pt idx="97">
                  <c:v>1500</c:v>
                </c:pt>
                <c:pt idx="98">
                  <c:v>1500</c:v>
                </c:pt>
                <c:pt idx="99">
                  <c:v>1500</c:v>
                </c:pt>
                <c:pt idx="100">
                  <c:v>1500</c:v>
                </c:pt>
                <c:pt idx="101">
                  <c:v>1500</c:v>
                </c:pt>
                <c:pt idx="102">
                  <c:v>1500</c:v>
                </c:pt>
                <c:pt idx="103">
                  <c:v>1500</c:v>
                </c:pt>
                <c:pt idx="104">
                  <c:v>1500</c:v>
                </c:pt>
                <c:pt idx="105">
                  <c:v>1500</c:v>
                </c:pt>
                <c:pt idx="106">
                  <c:v>1500</c:v>
                </c:pt>
                <c:pt idx="107">
                  <c:v>1500</c:v>
                </c:pt>
                <c:pt idx="108">
                  <c:v>1500</c:v>
                </c:pt>
                <c:pt idx="109">
                  <c:v>1500</c:v>
                </c:pt>
                <c:pt idx="110">
                  <c:v>1500</c:v>
                </c:pt>
                <c:pt idx="111">
                  <c:v>1500</c:v>
                </c:pt>
                <c:pt idx="112">
                  <c:v>1500</c:v>
                </c:pt>
                <c:pt idx="113">
                  <c:v>1500</c:v>
                </c:pt>
                <c:pt idx="114">
                  <c:v>1500</c:v>
                </c:pt>
                <c:pt idx="115">
                  <c:v>1500</c:v>
                </c:pt>
                <c:pt idx="116">
                  <c:v>1500</c:v>
                </c:pt>
                <c:pt idx="117">
                  <c:v>1500</c:v>
                </c:pt>
                <c:pt idx="118">
                  <c:v>1500</c:v>
                </c:pt>
                <c:pt idx="119">
                  <c:v>1500</c:v>
                </c:pt>
                <c:pt idx="120">
                  <c:v>1500</c:v>
                </c:pt>
                <c:pt idx="121">
                  <c:v>1500</c:v>
                </c:pt>
                <c:pt idx="122">
                  <c:v>1500</c:v>
                </c:pt>
                <c:pt idx="123">
                  <c:v>1500</c:v>
                </c:pt>
                <c:pt idx="124">
                  <c:v>1500</c:v>
                </c:pt>
                <c:pt idx="125">
                  <c:v>1500</c:v>
                </c:pt>
                <c:pt idx="126">
                  <c:v>1500</c:v>
                </c:pt>
                <c:pt idx="127">
                  <c:v>1500</c:v>
                </c:pt>
                <c:pt idx="128">
                  <c:v>1500</c:v>
                </c:pt>
                <c:pt idx="129">
                  <c:v>1500</c:v>
                </c:pt>
                <c:pt idx="130">
                  <c:v>1500</c:v>
                </c:pt>
                <c:pt idx="131">
                  <c:v>1500</c:v>
                </c:pt>
                <c:pt idx="132">
                  <c:v>1500</c:v>
                </c:pt>
                <c:pt idx="133">
                  <c:v>1500</c:v>
                </c:pt>
                <c:pt idx="134">
                  <c:v>1500</c:v>
                </c:pt>
                <c:pt idx="135">
                  <c:v>1500</c:v>
                </c:pt>
                <c:pt idx="136">
                  <c:v>1500</c:v>
                </c:pt>
                <c:pt idx="137">
                  <c:v>1500</c:v>
                </c:pt>
                <c:pt idx="138">
                  <c:v>1500</c:v>
                </c:pt>
                <c:pt idx="139">
                  <c:v>1500</c:v>
                </c:pt>
                <c:pt idx="140">
                  <c:v>1500</c:v>
                </c:pt>
                <c:pt idx="141">
                  <c:v>1500</c:v>
                </c:pt>
                <c:pt idx="142">
                  <c:v>1500</c:v>
                </c:pt>
                <c:pt idx="143">
                  <c:v>1500</c:v>
                </c:pt>
                <c:pt idx="144">
                  <c:v>1500</c:v>
                </c:pt>
                <c:pt idx="145">
                  <c:v>1500</c:v>
                </c:pt>
                <c:pt idx="146">
                  <c:v>1500</c:v>
                </c:pt>
                <c:pt idx="147">
                  <c:v>1500</c:v>
                </c:pt>
                <c:pt idx="148">
                  <c:v>1500</c:v>
                </c:pt>
                <c:pt idx="149">
                  <c:v>1500</c:v>
                </c:pt>
                <c:pt idx="150">
                  <c:v>1500</c:v>
                </c:pt>
                <c:pt idx="151">
                  <c:v>1500</c:v>
                </c:pt>
                <c:pt idx="152">
                  <c:v>1500</c:v>
                </c:pt>
                <c:pt idx="153">
                  <c:v>1500</c:v>
                </c:pt>
                <c:pt idx="154">
                  <c:v>1500</c:v>
                </c:pt>
                <c:pt idx="155">
                  <c:v>1500</c:v>
                </c:pt>
                <c:pt idx="156">
                  <c:v>1500</c:v>
                </c:pt>
                <c:pt idx="157">
                  <c:v>1500</c:v>
                </c:pt>
                <c:pt idx="158">
                  <c:v>1500</c:v>
                </c:pt>
                <c:pt idx="159">
                  <c:v>1500</c:v>
                </c:pt>
                <c:pt idx="160">
                  <c:v>1500</c:v>
                </c:pt>
                <c:pt idx="161">
                  <c:v>1500</c:v>
                </c:pt>
                <c:pt idx="162">
                  <c:v>1500</c:v>
                </c:pt>
                <c:pt idx="163">
                  <c:v>1500</c:v>
                </c:pt>
                <c:pt idx="164">
                  <c:v>1500</c:v>
                </c:pt>
                <c:pt idx="165">
                  <c:v>1500</c:v>
                </c:pt>
                <c:pt idx="166">
                  <c:v>1500</c:v>
                </c:pt>
                <c:pt idx="167">
                  <c:v>1500</c:v>
                </c:pt>
                <c:pt idx="168">
                  <c:v>1500</c:v>
                </c:pt>
                <c:pt idx="169">
                  <c:v>1500</c:v>
                </c:pt>
                <c:pt idx="170">
                  <c:v>1500</c:v>
                </c:pt>
                <c:pt idx="171">
                  <c:v>1500</c:v>
                </c:pt>
                <c:pt idx="172">
                  <c:v>1500</c:v>
                </c:pt>
                <c:pt idx="173">
                  <c:v>1500</c:v>
                </c:pt>
                <c:pt idx="174">
                  <c:v>1500</c:v>
                </c:pt>
                <c:pt idx="175">
                  <c:v>1500</c:v>
                </c:pt>
                <c:pt idx="176">
                  <c:v>1500</c:v>
                </c:pt>
                <c:pt idx="177">
                  <c:v>1500</c:v>
                </c:pt>
                <c:pt idx="178">
                  <c:v>1500</c:v>
                </c:pt>
                <c:pt idx="179">
                  <c:v>1500</c:v>
                </c:pt>
                <c:pt idx="180">
                  <c:v>1500</c:v>
                </c:pt>
                <c:pt idx="181">
                  <c:v>1500</c:v>
                </c:pt>
                <c:pt idx="182">
                  <c:v>1500</c:v>
                </c:pt>
                <c:pt idx="183">
                  <c:v>1500</c:v>
                </c:pt>
                <c:pt idx="184">
                  <c:v>1500</c:v>
                </c:pt>
                <c:pt idx="185">
                  <c:v>1500</c:v>
                </c:pt>
                <c:pt idx="186">
                  <c:v>1500</c:v>
                </c:pt>
                <c:pt idx="187">
                  <c:v>1500</c:v>
                </c:pt>
                <c:pt idx="188">
                  <c:v>1500</c:v>
                </c:pt>
                <c:pt idx="189">
                  <c:v>1500</c:v>
                </c:pt>
                <c:pt idx="190">
                  <c:v>1500</c:v>
                </c:pt>
                <c:pt idx="191">
                  <c:v>1500</c:v>
                </c:pt>
                <c:pt idx="192">
                  <c:v>1500</c:v>
                </c:pt>
                <c:pt idx="193">
                  <c:v>1500</c:v>
                </c:pt>
                <c:pt idx="194">
                  <c:v>1500</c:v>
                </c:pt>
                <c:pt idx="195">
                  <c:v>1500</c:v>
                </c:pt>
                <c:pt idx="196">
                  <c:v>1500</c:v>
                </c:pt>
                <c:pt idx="197">
                  <c:v>1500</c:v>
                </c:pt>
                <c:pt idx="198">
                  <c:v>1500</c:v>
                </c:pt>
                <c:pt idx="199">
                  <c:v>1500</c:v>
                </c:pt>
                <c:pt idx="200">
                  <c:v>1500</c:v>
                </c:pt>
                <c:pt idx="201">
                  <c:v>1500</c:v>
                </c:pt>
                <c:pt idx="202">
                  <c:v>1500</c:v>
                </c:pt>
                <c:pt idx="203">
                  <c:v>1500</c:v>
                </c:pt>
                <c:pt idx="204">
                  <c:v>1500</c:v>
                </c:pt>
                <c:pt idx="205">
                  <c:v>1500</c:v>
                </c:pt>
                <c:pt idx="206">
                  <c:v>1500</c:v>
                </c:pt>
                <c:pt idx="207">
                  <c:v>1500</c:v>
                </c:pt>
                <c:pt idx="208">
                  <c:v>1500</c:v>
                </c:pt>
                <c:pt idx="209">
                  <c:v>1500</c:v>
                </c:pt>
                <c:pt idx="210">
                  <c:v>1500</c:v>
                </c:pt>
                <c:pt idx="211">
                  <c:v>1500</c:v>
                </c:pt>
                <c:pt idx="212">
                  <c:v>1500</c:v>
                </c:pt>
                <c:pt idx="213">
                  <c:v>1500</c:v>
                </c:pt>
                <c:pt idx="214">
                  <c:v>1500</c:v>
                </c:pt>
                <c:pt idx="215">
                  <c:v>1500</c:v>
                </c:pt>
                <c:pt idx="216">
                  <c:v>1500</c:v>
                </c:pt>
                <c:pt idx="217">
                  <c:v>1500</c:v>
                </c:pt>
                <c:pt idx="218">
                  <c:v>1500</c:v>
                </c:pt>
                <c:pt idx="219">
                  <c:v>1500</c:v>
                </c:pt>
                <c:pt idx="220">
                  <c:v>1500</c:v>
                </c:pt>
                <c:pt idx="221">
                  <c:v>1500</c:v>
                </c:pt>
                <c:pt idx="222">
                  <c:v>1500</c:v>
                </c:pt>
                <c:pt idx="223">
                  <c:v>1500</c:v>
                </c:pt>
                <c:pt idx="224">
                  <c:v>1500</c:v>
                </c:pt>
                <c:pt idx="225">
                  <c:v>1500</c:v>
                </c:pt>
                <c:pt idx="226">
                  <c:v>1500</c:v>
                </c:pt>
                <c:pt idx="227">
                  <c:v>1500</c:v>
                </c:pt>
                <c:pt idx="228">
                  <c:v>1500</c:v>
                </c:pt>
                <c:pt idx="229">
                  <c:v>1500</c:v>
                </c:pt>
                <c:pt idx="230">
                  <c:v>1500</c:v>
                </c:pt>
                <c:pt idx="231">
                  <c:v>1500</c:v>
                </c:pt>
                <c:pt idx="232">
                  <c:v>1500</c:v>
                </c:pt>
                <c:pt idx="233">
                  <c:v>1500</c:v>
                </c:pt>
                <c:pt idx="234">
                  <c:v>1500</c:v>
                </c:pt>
                <c:pt idx="235">
                  <c:v>1500</c:v>
                </c:pt>
                <c:pt idx="236">
                  <c:v>1500</c:v>
                </c:pt>
                <c:pt idx="237">
                  <c:v>1500</c:v>
                </c:pt>
                <c:pt idx="238">
                  <c:v>1500</c:v>
                </c:pt>
                <c:pt idx="239">
                  <c:v>1500</c:v>
                </c:pt>
                <c:pt idx="240">
                  <c:v>1500</c:v>
                </c:pt>
                <c:pt idx="241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1.2681159420289856</c:v>
                </c:pt>
                <c:pt idx="1">
                  <c:v>1.6444600280504909</c:v>
                </c:pt>
                <c:pt idx="2">
                  <c:v>1.9471715755025714</c:v>
                </c:pt>
                <c:pt idx="3">
                  <c:v>1.9471715755025714</c:v>
                </c:pt>
                <c:pt idx="4">
                  <c:v>3.5507246376811596</c:v>
                </c:pt>
                <c:pt idx="5">
                  <c:v>4.3934081346423568</c:v>
                </c:pt>
                <c:pt idx="6">
                  <c:v>5.1706404862085087</c:v>
                </c:pt>
                <c:pt idx="7">
                  <c:v>6.103319308087892</c:v>
                </c:pt>
                <c:pt idx="8">
                  <c:v>7.5432445067788692</c:v>
                </c:pt>
                <c:pt idx="9">
                  <c:v>9.343151005142591</c:v>
                </c:pt>
                <c:pt idx="10">
                  <c:v>10.684899485741001</c:v>
                </c:pt>
                <c:pt idx="11">
                  <c:v>10.635811126694717</c:v>
                </c:pt>
                <c:pt idx="12">
                  <c:v>13.597475455820478</c:v>
                </c:pt>
                <c:pt idx="13">
                  <c:v>15.250116877045349</c:v>
                </c:pt>
                <c:pt idx="14">
                  <c:v>16.775128564749885</c:v>
                </c:pt>
                <c:pt idx="15">
                  <c:v>18.452641421224875</c:v>
                </c:pt>
                <c:pt idx="16">
                  <c:v>20.297905563347367</c:v>
                </c:pt>
                <c:pt idx="17">
                  <c:v>22.327696119682106</c:v>
                </c:pt>
                <c:pt idx="18">
                  <c:v>24.560465731650314</c:v>
                </c:pt>
                <c:pt idx="19">
                  <c:v>27.01651230481535</c:v>
                </c:pt>
                <c:pt idx="20">
                  <c:v>29.718163535296888</c:v>
                </c:pt>
                <c:pt idx="21">
                  <c:v>32.689979888826585</c:v>
                </c:pt>
                <c:pt idx="22">
                  <c:v>35.958977877709245</c:v>
                </c:pt>
                <c:pt idx="23">
                  <c:v>39.554875665480175</c:v>
                </c:pt>
                <c:pt idx="24">
                  <c:v>43.51036323202819</c:v>
                </c:pt>
                <c:pt idx="25">
                  <c:v>47.861399555231017</c:v>
                </c:pt>
                <c:pt idx="26">
                  <c:v>52.647539510754129</c:v>
                </c:pt>
                <c:pt idx="27">
                  <c:v>57.912293461829542</c:v>
                </c:pt>
                <c:pt idx="28">
                  <c:v>63.703522808012501</c:v>
                </c:pt>
                <c:pt idx="29">
                  <c:v>70.07387508881375</c:v>
                </c:pt>
                <c:pt idx="30">
                  <c:v>77.08126259769513</c:v>
                </c:pt>
                <c:pt idx="31">
                  <c:v>84.789388857464658</c:v>
                </c:pt>
                <c:pt idx="32">
                  <c:v>93.268327743211131</c:v>
                </c:pt>
                <c:pt idx="33">
                  <c:v>102.59516051753225</c:v>
                </c:pt>
                <c:pt idx="34">
                  <c:v>112.85467656928547</c:v>
                </c:pt>
                <c:pt idx="35">
                  <c:v>124.14014422621405</c:v>
                </c:pt>
                <c:pt idx="36">
                  <c:v>136.55415864883545</c:v>
                </c:pt>
                <c:pt idx="37">
                  <c:v>150.20957451371902</c:v>
                </c:pt>
                <c:pt idx="38">
                  <c:v>165.23053196509093</c:v>
                </c:pt>
                <c:pt idx="39">
                  <c:v>181.75358516160003</c:v>
                </c:pt>
                <c:pt idx="40">
                  <c:v>199.92894367776006</c:v>
                </c:pt>
                <c:pt idx="41">
                  <c:v>219.92183804553608</c:v>
                </c:pt>
                <c:pt idx="42">
                  <c:v>241.91402185008971</c:v>
                </c:pt>
                <c:pt idx="43">
                  <c:v>266.10542403509874</c:v>
                </c:pt>
                <c:pt idx="44">
                  <c:v>292.71596643860863</c:v>
                </c:pt>
                <c:pt idx="45">
                  <c:v>321.98756308246953</c:v>
                </c:pt>
                <c:pt idx="46">
                  <c:v>354.18631939071651</c:v>
                </c:pt>
                <c:pt idx="47">
                  <c:v>389.60495132978815</c:v>
                </c:pt>
                <c:pt idx="48">
                  <c:v>428.565446462767</c:v>
                </c:pt>
                <c:pt idx="49">
                  <c:v>471.42199110904374</c:v>
                </c:pt>
                <c:pt idx="50">
                  <c:v>518.56419021994816</c:v>
                </c:pt>
                <c:pt idx="51">
                  <c:v>570.420609241943</c:v>
                </c:pt>
                <c:pt idx="52">
                  <c:v>627.46267016613729</c:v>
                </c:pt>
                <c:pt idx="53">
                  <c:v>690.20893718275101</c:v>
                </c:pt>
                <c:pt idx="54">
                  <c:v>759.22983090102628</c:v>
                </c:pt>
                <c:pt idx="55">
                  <c:v>835.15281399112894</c:v>
                </c:pt>
                <c:pt idx="56">
                  <c:v>918.668095390242</c:v>
                </c:pt>
                <c:pt idx="57">
                  <c:v>1010.5349049292662</c:v>
                </c:pt>
                <c:pt idx="58">
                  <c:v>1111.5883954221929</c:v>
                </c:pt>
                <c:pt idx="59">
                  <c:v>1222.7472349644122</c:v>
                </c:pt>
                <c:pt idx="60">
                  <c:v>1345.0219584608535</c:v>
                </c:pt>
                <c:pt idx="61">
                  <c:v>1479.524154306939</c:v>
                </c:pt>
                <c:pt idx="62">
                  <c:v>1627.4765697376331</c:v>
                </c:pt>
                <c:pt idx="63">
                  <c:v>1790.2242267113968</c:v>
                </c:pt>
                <c:pt idx="64">
                  <c:v>1969.2466493825366</c:v>
                </c:pt>
                <c:pt idx="65">
                  <c:v>2166.1713143207903</c:v>
                </c:pt>
                <c:pt idx="66">
                  <c:v>2382.7884457528694</c:v>
                </c:pt>
                <c:pt idx="67">
                  <c:v>2621.0672903281561</c:v>
                </c:pt>
                <c:pt idx="68">
                  <c:v>2883.1740193609721</c:v>
                </c:pt>
                <c:pt idx="69">
                  <c:v>3171.4914212970698</c:v>
                </c:pt>
                <c:pt idx="70">
                  <c:v>3488.6405634267771</c:v>
                </c:pt>
                <c:pt idx="71">
                  <c:v>3837.5046197694551</c:v>
                </c:pt>
                <c:pt idx="72">
                  <c:v>4221.2550817464007</c:v>
                </c:pt>
                <c:pt idx="73">
                  <c:v>4643.3805899210411</c:v>
                </c:pt>
                <c:pt idx="74">
                  <c:v>5107.7186489131464</c:v>
                </c:pt>
                <c:pt idx="75">
                  <c:v>5618.4905138044614</c:v>
                </c:pt>
                <c:pt idx="76">
                  <c:v>6180.3395651849078</c:v>
                </c:pt>
                <c:pt idx="77">
                  <c:v>6798.3735217033991</c:v>
                </c:pt>
                <c:pt idx="78">
                  <c:v>7478.2108738737397</c:v>
                </c:pt>
                <c:pt idx="79">
                  <c:v>8226.0319612611147</c:v>
                </c:pt>
                <c:pt idx="80">
                  <c:v>9048.6351573872271</c:v>
                </c:pt>
                <c:pt idx="81">
                  <c:v>9953.4986731259505</c:v>
                </c:pt>
                <c:pt idx="82">
                  <c:v>10948.848540438546</c:v>
                </c:pt>
                <c:pt idx="83">
                  <c:v>12043.7333944824</c:v>
                </c:pt>
                <c:pt idx="84">
                  <c:v>13248.106733930641</c:v>
                </c:pt>
                <c:pt idx="85">
                  <c:v>14572.917407323706</c:v>
                </c:pt>
                <c:pt idx="86">
                  <c:v>16030.209148056079</c:v>
                </c:pt>
                <c:pt idx="87">
                  <c:v>17633.230062861687</c:v>
                </c:pt>
                <c:pt idx="88">
                  <c:v>19396.55306914786</c:v>
                </c:pt>
                <c:pt idx="89">
                  <c:v>21336.208376062645</c:v>
                </c:pt>
                <c:pt idx="90">
                  <c:v>23469.829213668909</c:v>
                </c:pt>
                <c:pt idx="91">
                  <c:v>25816.812135035801</c:v>
                </c:pt>
                <c:pt idx="92">
                  <c:v>28398.493348539385</c:v>
                </c:pt>
                <c:pt idx="93">
                  <c:v>31238.342683393326</c:v>
                </c:pt>
                <c:pt idx="94">
                  <c:v>34362.176951732661</c:v>
                </c:pt>
                <c:pt idx="95">
                  <c:v>37798.39464690593</c:v>
                </c:pt>
                <c:pt idx="96">
                  <c:v>41578.234111596525</c:v>
                </c:pt>
                <c:pt idx="97">
                  <c:v>45736.057522756179</c:v>
                </c:pt>
                <c:pt idx="98">
                  <c:v>50309.663275031802</c:v>
                </c:pt>
                <c:pt idx="99">
                  <c:v>55340.629602534987</c:v>
                </c:pt>
                <c:pt idx="100">
                  <c:v>60874.692562788492</c:v>
                </c:pt>
                <c:pt idx="101">
                  <c:v>62558.862552594677</c:v>
                </c:pt>
                <c:pt idx="102">
                  <c:v>62558.862552594677</c:v>
                </c:pt>
                <c:pt idx="103">
                  <c:v>62558.862552594677</c:v>
                </c:pt>
                <c:pt idx="104">
                  <c:v>62558.862552594677</c:v>
                </c:pt>
                <c:pt idx="105">
                  <c:v>62558.862552594677</c:v>
                </c:pt>
                <c:pt idx="106">
                  <c:v>62558.862552594677</c:v>
                </c:pt>
                <c:pt idx="107">
                  <c:v>62558.862552594677</c:v>
                </c:pt>
                <c:pt idx="108">
                  <c:v>62558.862552594677</c:v>
                </c:pt>
                <c:pt idx="109">
                  <c:v>62558.862552594677</c:v>
                </c:pt>
                <c:pt idx="110">
                  <c:v>62558.862552594677</c:v>
                </c:pt>
                <c:pt idx="111">
                  <c:v>62558.862552594677</c:v>
                </c:pt>
                <c:pt idx="112">
                  <c:v>62558.862552594677</c:v>
                </c:pt>
                <c:pt idx="113">
                  <c:v>62558.862552594677</c:v>
                </c:pt>
                <c:pt idx="114">
                  <c:v>62558.862552594677</c:v>
                </c:pt>
                <c:pt idx="115">
                  <c:v>62558.862552594677</c:v>
                </c:pt>
                <c:pt idx="116">
                  <c:v>62558.862552594677</c:v>
                </c:pt>
                <c:pt idx="117">
                  <c:v>62558.862552594677</c:v>
                </c:pt>
                <c:pt idx="118">
                  <c:v>62558.862552594677</c:v>
                </c:pt>
                <c:pt idx="119">
                  <c:v>62558.862552594677</c:v>
                </c:pt>
                <c:pt idx="120">
                  <c:v>62558.862552594677</c:v>
                </c:pt>
                <c:pt idx="121">
                  <c:v>62558.862552594677</c:v>
                </c:pt>
                <c:pt idx="122">
                  <c:v>62558.862552594677</c:v>
                </c:pt>
                <c:pt idx="123">
                  <c:v>62558.862552594677</c:v>
                </c:pt>
                <c:pt idx="124">
                  <c:v>62558.862552594677</c:v>
                </c:pt>
                <c:pt idx="125">
                  <c:v>62558.862552594677</c:v>
                </c:pt>
                <c:pt idx="126">
                  <c:v>62558.862552594677</c:v>
                </c:pt>
                <c:pt idx="127">
                  <c:v>62558.862552594677</c:v>
                </c:pt>
                <c:pt idx="128">
                  <c:v>62558.862552594677</c:v>
                </c:pt>
                <c:pt idx="129">
                  <c:v>62558.862552594677</c:v>
                </c:pt>
                <c:pt idx="130">
                  <c:v>62558.862552594677</c:v>
                </c:pt>
                <c:pt idx="131">
                  <c:v>62558.862552594677</c:v>
                </c:pt>
                <c:pt idx="132">
                  <c:v>62558.862552594677</c:v>
                </c:pt>
                <c:pt idx="133">
                  <c:v>62558.862552594677</c:v>
                </c:pt>
                <c:pt idx="134">
                  <c:v>62558.862552594677</c:v>
                </c:pt>
                <c:pt idx="135">
                  <c:v>62558.862552594677</c:v>
                </c:pt>
                <c:pt idx="136">
                  <c:v>62558.862552594677</c:v>
                </c:pt>
                <c:pt idx="137">
                  <c:v>62558.862552594677</c:v>
                </c:pt>
                <c:pt idx="138">
                  <c:v>62558.862552594677</c:v>
                </c:pt>
                <c:pt idx="139">
                  <c:v>62558.862552594677</c:v>
                </c:pt>
                <c:pt idx="140">
                  <c:v>62558.862552594677</c:v>
                </c:pt>
                <c:pt idx="141">
                  <c:v>62558.862552594677</c:v>
                </c:pt>
                <c:pt idx="142">
                  <c:v>62558.862552594677</c:v>
                </c:pt>
                <c:pt idx="143">
                  <c:v>62558.862552594677</c:v>
                </c:pt>
                <c:pt idx="144">
                  <c:v>62558.862552594677</c:v>
                </c:pt>
                <c:pt idx="145">
                  <c:v>62558.862552594677</c:v>
                </c:pt>
                <c:pt idx="146">
                  <c:v>62558.862552594677</c:v>
                </c:pt>
                <c:pt idx="147">
                  <c:v>62558.862552594677</c:v>
                </c:pt>
                <c:pt idx="148">
                  <c:v>62558.862552594677</c:v>
                </c:pt>
                <c:pt idx="149">
                  <c:v>62558.862552594677</c:v>
                </c:pt>
                <c:pt idx="150">
                  <c:v>62558.862552594677</c:v>
                </c:pt>
                <c:pt idx="151">
                  <c:v>62558.862552594677</c:v>
                </c:pt>
                <c:pt idx="152">
                  <c:v>62558.862552594677</c:v>
                </c:pt>
                <c:pt idx="153">
                  <c:v>62558.862552594677</c:v>
                </c:pt>
                <c:pt idx="154">
                  <c:v>62558.862552594677</c:v>
                </c:pt>
                <c:pt idx="155">
                  <c:v>62558.862552594677</c:v>
                </c:pt>
                <c:pt idx="156">
                  <c:v>62558.862552594677</c:v>
                </c:pt>
                <c:pt idx="157">
                  <c:v>62558.862552594677</c:v>
                </c:pt>
                <c:pt idx="158">
                  <c:v>62558.862552594677</c:v>
                </c:pt>
                <c:pt idx="159">
                  <c:v>62558.862552594677</c:v>
                </c:pt>
                <c:pt idx="160">
                  <c:v>62558.862552594677</c:v>
                </c:pt>
                <c:pt idx="161">
                  <c:v>62558.862552594677</c:v>
                </c:pt>
                <c:pt idx="162">
                  <c:v>62558.862552594677</c:v>
                </c:pt>
                <c:pt idx="163">
                  <c:v>62558.862552594677</c:v>
                </c:pt>
                <c:pt idx="164">
                  <c:v>62558.862552594677</c:v>
                </c:pt>
                <c:pt idx="165">
                  <c:v>62558.862552594677</c:v>
                </c:pt>
                <c:pt idx="166">
                  <c:v>62558.862552594677</c:v>
                </c:pt>
                <c:pt idx="167">
                  <c:v>62558.862552594677</c:v>
                </c:pt>
                <c:pt idx="168">
                  <c:v>62558.862552594677</c:v>
                </c:pt>
                <c:pt idx="169">
                  <c:v>62558.862552594677</c:v>
                </c:pt>
                <c:pt idx="170">
                  <c:v>62558.862552594677</c:v>
                </c:pt>
                <c:pt idx="171">
                  <c:v>62558.862552594677</c:v>
                </c:pt>
                <c:pt idx="172">
                  <c:v>62558.862552594677</c:v>
                </c:pt>
                <c:pt idx="173">
                  <c:v>62558.862552594677</c:v>
                </c:pt>
                <c:pt idx="174">
                  <c:v>62558.862552594677</c:v>
                </c:pt>
                <c:pt idx="175">
                  <c:v>62558.862552594677</c:v>
                </c:pt>
                <c:pt idx="176">
                  <c:v>62558.862552594677</c:v>
                </c:pt>
                <c:pt idx="177">
                  <c:v>62558.862552594677</c:v>
                </c:pt>
                <c:pt idx="178">
                  <c:v>62558.862552594677</c:v>
                </c:pt>
                <c:pt idx="179">
                  <c:v>62558.862552594677</c:v>
                </c:pt>
                <c:pt idx="180">
                  <c:v>62558.862552594677</c:v>
                </c:pt>
                <c:pt idx="181">
                  <c:v>62558.862552594677</c:v>
                </c:pt>
                <c:pt idx="182">
                  <c:v>62558.862552594677</c:v>
                </c:pt>
                <c:pt idx="183">
                  <c:v>62558.862552594677</c:v>
                </c:pt>
                <c:pt idx="184">
                  <c:v>62558.862552594677</c:v>
                </c:pt>
                <c:pt idx="185">
                  <c:v>62558.862552594677</c:v>
                </c:pt>
                <c:pt idx="186">
                  <c:v>62558.862552594677</c:v>
                </c:pt>
                <c:pt idx="187">
                  <c:v>62558.862552594677</c:v>
                </c:pt>
                <c:pt idx="188">
                  <c:v>62558.862552594677</c:v>
                </c:pt>
                <c:pt idx="189">
                  <c:v>62558.862552594677</c:v>
                </c:pt>
                <c:pt idx="190">
                  <c:v>62558.862552594677</c:v>
                </c:pt>
                <c:pt idx="191">
                  <c:v>62558.862552594677</c:v>
                </c:pt>
                <c:pt idx="192">
                  <c:v>62558.862552594677</c:v>
                </c:pt>
                <c:pt idx="193">
                  <c:v>62558.862552594677</c:v>
                </c:pt>
                <c:pt idx="194">
                  <c:v>62558.862552594677</c:v>
                </c:pt>
                <c:pt idx="195">
                  <c:v>62558.862552594677</c:v>
                </c:pt>
                <c:pt idx="196">
                  <c:v>62558.862552594677</c:v>
                </c:pt>
                <c:pt idx="197">
                  <c:v>62558.862552594677</c:v>
                </c:pt>
                <c:pt idx="198">
                  <c:v>62558.862552594677</c:v>
                </c:pt>
                <c:pt idx="199">
                  <c:v>62558.862552594677</c:v>
                </c:pt>
                <c:pt idx="200">
                  <c:v>62558.862552594677</c:v>
                </c:pt>
                <c:pt idx="201">
                  <c:v>62558.862552594677</c:v>
                </c:pt>
                <c:pt idx="202">
                  <c:v>62558.862552594677</c:v>
                </c:pt>
                <c:pt idx="203">
                  <c:v>62558.862552594677</c:v>
                </c:pt>
                <c:pt idx="204">
                  <c:v>62558.862552594677</c:v>
                </c:pt>
                <c:pt idx="205">
                  <c:v>62558.862552594677</c:v>
                </c:pt>
                <c:pt idx="206">
                  <c:v>62558.862552594677</c:v>
                </c:pt>
                <c:pt idx="207">
                  <c:v>62558.862552594677</c:v>
                </c:pt>
                <c:pt idx="208">
                  <c:v>62558.862552594677</c:v>
                </c:pt>
                <c:pt idx="209">
                  <c:v>62558.862552594677</c:v>
                </c:pt>
                <c:pt idx="210">
                  <c:v>62558.862552594677</c:v>
                </c:pt>
                <c:pt idx="211">
                  <c:v>62558.862552594677</c:v>
                </c:pt>
                <c:pt idx="212">
                  <c:v>62558.862552594677</c:v>
                </c:pt>
                <c:pt idx="213">
                  <c:v>62558.862552594677</c:v>
                </c:pt>
                <c:pt idx="214">
                  <c:v>62558.862552594677</c:v>
                </c:pt>
                <c:pt idx="215">
                  <c:v>62558.862552594677</c:v>
                </c:pt>
                <c:pt idx="216">
                  <c:v>62558.862552594677</c:v>
                </c:pt>
                <c:pt idx="217">
                  <c:v>62558.862552594677</c:v>
                </c:pt>
                <c:pt idx="218">
                  <c:v>62558.862552594677</c:v>
                </c:pt>
                <c:pt idx="219">
                  <c:v>62558.862552594677</c:v>
                </c:pt>
                <c:pt idx="220">
                  <c:v>62558.862552594677</c:v>
                </c:pt>
                <c:pt idx="221">
                  <c:v>62558.862552594677</c:v>
                </c:pt>
                <c:pt idx="222">
                  <c:v>62558.862552594677</c:v>
                </c:pt>
                <c:pt idx="223">
                  <c:v>62558.862552594677</c:v>
                </c:pt>
                <c:pt idx="224">
                  <c:v>62558.862552594677</c:v>
                </c:pt>
                <c:pt idx="225">
                  <c:v>62558.862552594677</c:v>
                </c:pt>
                <c:pt idx="226">
                  <c:v>62558.862552594677</c:v>
                </c:pt>
                <c:pt idx="227">
                  <c:v>62558.862552594677</c:v>
                </c:pt>
                <c:pt idx="228">
                  <c:v>62558.862552594677</c:v>
                </c:pt>
                <c:pt idx="229">
                  <c:v>62558.862552594677</c:v>
                </c:pt>
                <c:pt idx="230">
                  <c:v>62558.862552594677</c:v>
                </c:pt>
                <c:pt idx="231">
                  <c:v>62558.862552594677</c:v>
                </c:pt>
                <c:pt idx="232">
                  <c:v>62558.862552594677</c:v>
                </c:pt>
                <c:pt idx="233">
                  <c:v>62558.862552594677</c:v>
                </c:pt>
                <c:pt idx="234">
                  <c:v>62558.862552594677</c:v>
                </c:pt>
                <c:pt idx="235">
                  <c:v>62558.862552594677</c:v>
                </c:pt>
                <c:pt idx="236">
                  <c:v>62558.862552594677</c:v>
                </c:pt>
                <c:pt idx="237">
                  <c:v>62558.862552594677</c:v>
                </c:pt>
                <c:pt idx="238">
                  <c:v>62558.862552594677</c:v>
                </c:pt>
                <c:pt idx="239">
                  <c:v>62558.862552594677</c:v>
                </c:pt>
                <c:pt idx="240">
                  <c:v>62558.862552594677</c:v>
                </c:pt>
                <c:pt idx="241">
                  <c:v>62558.862552594677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1.2681159420289856</c:v>
                </c:pt>
                <c:pt idx="1">
                  <c:v>1.6444600280504909</c:v>
                </c:pt>
                <c:pt idx="2">
                  <c:v>1.9471715755025714</c:v>
                </c:pt>
                <c:pt idx="3">
                  <c:v>1.9471715755025714</c:v>
                </c:pt>
                <c:pt idx="4">
                  <c:v>3.5507246376811596</c:v>
                </c:pt>
                <c:pt idx="5">
                  <c:v>4.3934081346423568</c:v>
                </c:pt>
                <c:pt idx="6">
                  <c:v>5.1706404862085087</c:v>
                </c:pt>
                <c:pt idx="7">
                  <c:v>6.103319308087892</c:v>
                </c:pt>
                <c:pt idx="8">
                  <c:v>7.5432445067788692</c:v>
                </c:pt>
                <c:pt idx="9">
                  <c:v>9.343151005142591</c:v>
                </c:pt>
                <c:pt idx="10">
                  <c:v>10.684899485741001</c:v>
                </c:pt>
                <c:pt idx="11">
                  <c:v>10.635811126694717</c:v>
                </c:pt>
                <c:pt idx="12">
                  <c:v>13.597475455820478</c:v>
                </c:pt>
                <c:pt idx="13">
                  <c:v>15.250116877045349</c:v>
                </c:pt>
                <c:pt idx="14">
                  <c:v>19.062646096306686</c:v>
                </c:pt>
                <c:pt idx="15">
                  <c:v>23.828307620383359</c:v>
                </c:pt>
                <c:pt idx="16">
                  <c:v>29.785384525479198</c:v>
                </c:pt>
                <c:pt idx="17">
                  <c:v>37.231730656848995</c:v>
                </c:pt>
                <c:pt idx="18">
                  <c:v>46.539663321061248</c:v>
                </c:pt>
                <c:pt idx="19">
                  <c:v>58.174579151326554</c:v>
                </c:pt>
                <c:pt idx="20">
                  <c:v>72.718223939158193</c:v>
                </c:pt>
                <c:pt idx="21">
                  <c:v>90.897779923947752</c:v>
                </c:pt>
                <c:pt idx="22">
                  <c:v>113.62222490493468</c:v>
                </c:pt>
                <c:pt idx="23">
                  <c:v>142.02778113116835</c:v>
                </c:pt>
                <c:pt idx="24">
                  <c:v>177.53472641396044</c:v>
                </c:pt>
                <c:pt idx="25">
                  <c:v>221.91840801745056</c:v>
                </c:pt>
                <c:pt idx="26">
                  <c:v>277.39801002181321</c:v>
                </c:pt>
                <c:pt idx="27">
                  <c:v>346.74751252726651</c:v>
                </c:pt>
                <c:pt idx="28">
                  <c:v>433.43439065908308</c:v>
                </c:pt>
                <c:pt idx="29">
                  <c:v>541.79298832385393</c:v>
                </c:pt>
                <c:pt idx="30">
                  <c:v>677.2412354048173</c:v>
                </c:pt>
                <c:pt idx="31">
                  <c:v>846.55154425602166</c:v>
                </c:pt>
                <c:pt idx="32">
                  <c:v>1058.1894303200272</c:v>
                </c:pt>
                <c:pt idx="33">
                  <c:v>1322.7367879000337</c:v>
                </c:pt>
                <c:pt idx="34">
                  <c:v>1653.4209848750424</c:v>
                </c:pt>
                <c:pt idx="35">
                  <c:v>2066.7762310938028</c:v>
                </c:pt>
                <c:pt idx="36">
                  <c:v>2583.4702888672537</c:v>
                </c:pt>
                <c:pt idx="37">
                  <c:v>3229.3378610840668</c:v>
                </c:pt>
                <c:pt idx="38">
                  <c:v>4036.6723263550834</c:v>
                </c:pt>
                <c:pt idx="39">
                  <c:v>5045.8404079438542</c:v>
                </c:pt>
                <c:pt idx="40">
                  <c:v>6307.3005099298171</c:v>
                </c:pt>
                <c:pt idx="41">
                  <c:v>7884.1256374122713</c:v>
                </c:pt>
                <c:pt idx="42">
                  <c:v>9855.1570467653382</c:v>
                </c:pt>
                <c:pt idx="43">
                  <c:v>12318.946308456674</c:v>
                </c:pt>
                <c:pt idx="44">
                  <c:v>15398.682885570843</c:v>
                </c:pt>
                <c:pt idx="45">
                  <c:v>19248.353606963552</c:v>
                </c:pt>
                <c:pt idx="46">
                  <c:v>24060.442008704438</c:v>
                </c:pt>
                <c:pt idx="47">
                  <c:v>30075.552510880549</c:v>
                </c:pt>
                <c:pt idx="48">
                  <c:v>37594.440638600689</c:v>
                </c:pt>
                <c:pt idx="49">
                  <c:v>46993.050798250857</c:v>
                </c:pt>
                <c:pt idx="50">
                  <c:v>58741.313497813571</c:v>
                </c:pt>
                <c:pt idx="51">
                  <c:v>62558.862552594677</c:v>
                </c:pt>
                <c:pt idx="52">
                  <c:v>62558.862552594677</c:v>
                </c:pt>
                <c:pt idx="53">
                  <c:v>62558.862552594677</c:v>
                </c:pt>
                <c:pt idx="54">
                  <c:v>62558.862552594677</c:v>
                </c:pt>
                <c:pt idx="55">
                  <c:v>62558.862552594677</c:v>
                </c:pt>
                <c:pt idx="56">
                  <c:v>62558.862552594677</c:v>
                </c:pt>
                <c:pt idx="57">
                  <c:v>62558.862552594677</c:v>
                </c:pt>
                <c:pt idx="58">
                  <c:v>62558.862552594677</c:v>
                </c:pt>
                <c:pt idx="59">
                  <c:v>62558.862552594677</c:v>
                </c:pt>
                <c:pt idx="60">
                  <c:v>62558.862552594677</c:v>
                </c:pt>
                <c:pt idx="61">
                  <c:v>62558.862552594677</c:v>
                </c:pt>
                <c:pt idx="62">
                  <c:v>62558.862552594677</c:v>
                </c:pt>
                <c:pt idx="63">
                  <c:v>62558.862552594677</c:v>
                </c:pt>
                <c:pt idx="64">
                  <c:v>62558.862552594677</c:v>
                </c:pt>
                <c:pt idx="65">
                  <c:v>62558.862552594677</c:v>
                </c:pt>
                <c:pt idx="66">
                  <c:v>62558.862552594677</c:v>
                </c:pt>
                <c:pt idx="67">
                  <c:v>62558.862552594677</c:v>
                </c:pt>
                <c:pt idx="68">
                  <c:v>62558.862552594677</c:v>
                </c:pt>
                <c:pt idx="69">
                  <c:v>62558.862552594677</c:v>
                </c:pt>
                <c:pt idx="70">
                  <c:v>62558.862552594677</c:v>
                </c:pt>
                <c:pt idx="71">
                  <c:v>62558.862552594677</c:v>
                </c:pt>
                <c:pt idx="72">
                  <c:v>62558.862552594677</c:v>
                </c:pt>
                <c:pt idx="73">
                  <c:v>62558.862552594677</c:v>
                </c:pt>
                <c:pt idx="74">
                  <c:v>62558.862552594677</c:v>
                </c:pt>
                <c:pt idx="75">
                  <c:v>62558.862552594677</c:v>
                </c:pt>
                <c:pt idx="76">
                  <c:v>62558.862552594677</c:v>
                </c:pt>
                <c:pt idx="77">
                  <c:v>62558.862552594677</c:v>
                </c:pt>
                <c:pt idx="78">
                  <c:v>62558.862552594677</c:v>
                </c:pt>
                <c:pt idx="79">
                  <c:v>62558.862552594677</c:v>
                </c:pt>
                <c:pt idx="80">
                  <c:v>62558.862552594677</c:v>
                </c:pt>
                <c:pt idx="81">
                  <c:v>62558.862552594677</c:v>
                </c:pt>
                <c:pt idx="82">
                  <c:v>62558.862552594677</c:v>
                </c:pt>
                <c:pt idx="83">
                  <c:v>62558.862552594677</c:v>
                </c:pt>
                <c:pt idx="84">
                  <c:v>62558.862552594677</c:v>
                </c:pt>
                <c:pt idx="85">
                  <c:v>62558.862552594677</c:v>
                </c:pt>
                <c:pt idx="86">
                  <c:v>62558.862552594677</c:v>
                </c:pt>
                <c:pt idx="87">
                  <c:v>62558.862552594677</c:v>
                </c:pt>
                <c:pt idx="88">
                  <c:v>62558.862552594677</c:v>
                </c:pt>
                <c:pt idx="89">
                  <c:v>62558.862552594677</c:v>
                </c:pt>
                <c:pt idx="90">
                  <c:v>62558.862552594677</c:v>
                </c:pt>
                <c:pt idx="91">
                  <c:v>62558.862552594677</c:v>
                </c:pt>
                <c:pt idx="92">
                  <c:v>62558.862552594677</c:v>
                </c:pt>
                <c:pt idx="93">
                  <c:v>62558.862552594677</c:v>
                </c:pt>
                <c:pt idx="94">
                  <c:v>62558.862552594677</c:v>
                </c:pt>
                <c:pt idx="95">
                  <c:v>62558.862552594677</c:v>
                </c:pt>
                <c:pt idx="96">
                  <c:v>62558.862552594677</c:v>
                </c:pt>
                <c:pt idx="97">
                  <c:v>62558.862552594677</c:v>
                </c:pt>
                <c:pt idx="98">
                  <c:v>62558.862552594677</c:v>
                </c:pt>
                <c:pt idx="99">
                  <c:v>62558.862552594677</c:v>
                </c:pt>
                <c:pt idx="100">
                  <c:v>62558.862552594677</c:v>
                </c:pt>
                <c:pt idx="101">
                  <c:v>62558.862552594677</c:v>
                </c:pt>
                <c:pt idx="102">
                  <c:v>62558.862552594677</c:v>
                </c:pt>
                <c:pt idx="103">
                  <c:v>62558.862552594677</c:v>
                </c:pt>
                <c:pt idx="104">
                  <c:v>62558.862552594677</c:v>
                </c:pt>
                <c:pt idx="105">
                  <c:v>62558.862552594677</c:v>
                </c:pt>
                <c:pt idx="106">
                  <c:v>62558.862552594677</c:v>
                </c:pt>
                <c:pt idx="107">
                  <c:v>62558.862552594677</c:v>
                </c:pt>
                <c:pt idx="108">
                  <c:v>62558.862552594677</c:v>
                </c:pt>
                <c:pt idx="109">
                  <c:v>62558.862552594677</c:v>
                </c:pt>
                <c:pt idx="110">
                  <c:v>62558.862552594677</c:v>
                </c:pt>
                <c:pt idx="111">
                  <c:v>62558.862552594677</c:v>
                </c:pt>
                <c:pt idx="112">
                  <c:v>62558.862552594677</c:v>
                </c:pt>
                <c:pt idx="113">
                  <c:v>62558.862552594677</c:v>
                </c:pt>
                <c:pt idx="114">
                  <c:v>62558.862552594677</c:v>
                </c:pt>
                <c:pt idx="115">
                  <c:v>62558.862552594677</c:v>
                </c:pt>
                <c:pt idx="116">
                  <c:v>62558.862552594677</c:v>
                </c:pt>
                <c:pt idx="117">
                  <c:v>62558.862552594677</c:v>
                </c:pt>
                <c:pt idx="118">
                  <c:v>62558.862552594677</c:v>
                </c:pt>
                <c:pt idx="119">
                  <c:v>62558.862552594677</c:v>
                </c:pt>
                <c:pt idx="120">
                  <c:v>62558.862552594677</c:v>
                </c:pt>
                <c:pt idx="121">
                  <c:v>62558.862552594677</c:v>
                </c:pt>
                <c:pt idx="122">
                  <c:v>62558.862552594677</c:v>
                </c:pt>
                <c:pt idx="123">
                  <c:v>62558.862552594677</c:v>
                </c:pt>
                <c:pt idx="124">
                  <c:v>62558.862552594677</c:v>
                </c:pt>
                <c:pt idx="125">
                  <c:v>62558.862552594677</c:v>
                </c:pt>
                <c:pt idx="126">
                  <c:v>62558.862552594677</c:v>
                </c:pt>
                <c:pt idx="127">
                  <c:v>62558.862552594677</c:v>
                </c:pt>
                <c:pt idx="128">
                  <c:v>62558.862552594677</c:v>
                </c:pt>
                <c:pt idx="129">
                  <c:v>62558.862552594677</c:v>
                </c:pt>
                <c:pt idx="130">
                  <c:v>62558.862552594677</c:v>
                </c:pt>
                <c:pt idx="131">
                  <c:v>62558.862552594677</c:v>
                </c:pt>
                <c:pt idx="132">
                  <c:v>62558.862552594677</c:v>
                </c:pt>
                <c:pt idx="133">
                  <c:v>62558.862552594677</c:v>
                </c:pt>
                <c:pt idx="134">
                  <c:v>62558.862552594677</c:v>
                </c:pt>
                <c:pt idx="135">
                  <c:v>62558.862552594677</c:v>
                </c:pt>
                <c:pt idx="136">
                  <c:v>62558.862552594677</c:v>
                </c:pt>
                <c:pt idx="137">
                  <c:v>62558.862552594677</c:v>
                </c:pt>
                <c:pt idx="138">
                  <c:v>62558.862552594677</c:v>
                </c:pt>
                <c:pt idx="139">
                  <c:v>62558.862552594677</c:v>
                </c:pt>
                <c:pt idx="140">
                  <c:v>62558.862552594677</c:v>
                </c:pt>
                <c:pt idx="141">
                  <c:v>62558.862552594677</c:v>
                </c:pt>
                <c:pt idx="142">
                  <c:v>62558.862552594677</c:v>
                </c:pt>
                <c:pt idx="143">
                  <c:v>62558.862552594677</c:v>
                </c:pt>
                <c:pt idx="144">
                  <c:v>62558.862552594677</c:v>
                </c:pt>
                <c:pt idx="145">
                  <c:v>62558.862552594677</c:v>
                </c:pt>
                <c:pt idx="146">
                  <c:v>62558.862552594677</c:v>
                </c:pt>
                <c:pt idx="147">
                  <c:v>62558.862552594677</c:v>
                </c:pt>
                <c:pt idx="148">
                  <c:v>62558.862552594677</c:v>
                </c:pt>
                <c:pt idx="149">
                  <c:v>62558.862552594677</c:v>
                </c:pt>
                <c:pt idx="150">
                  <c:v>62558.862552594677</c:v>
                </c:pt>
                <c:pt idx="151">
                  <c:v>62558.862552594677</c:v>
                </c:pt>
                <c:pt idx="152">
                  <c:v>62558.862552594677</c:v>
                </c:pt>
                <c:pt idx="153">
                  <c:v>62558.862552594677</c:v>
                </c:pt>
                <c:pt idx="154">
                  <c:v>62558.862552594677</c:v>
                </c:pt>
                <c:pt idx="155">
                  <c:v>62558.862552594677</c:v>
                </c:pt>
                <c:pt idx="156">
                  <c:v>62558.862552594677</c:v>
                </c:pt>
                <c:pt idx="157">
                  <c:v>62558.862552594677</c:v>
                </c:pt>
                <c:pt idx="158">
                  <c:v>62558.862552594677</c:v>
                </c:pt>
                <c:pt idx="159">
                  <c:v>62558.862552594677</c:v>
                </c:pt>
                <c:pt idx="160">
                  <c:v>62558.862552594677</c:v>
                </c:pt>
                <c:pt idx="161">
                  <c:v>62558.862552594677</c:v>
                </c:pt>
                <c:pt idx="162">
                  <c:v>62558.862552594677</c:v>
                </c:pt>
                <c:pt idx="163">
                  <c:v>62558.862552594677</c:v>
                </c:pt>
                <c:pt idx="164">
                  <c:v>62558.862552594677</c:v>
                </c:pt>
                <c:pt idx="165">
                  <c:v>62558.862552594677</c:v>
                </c:pt>
                <c:pt idx="166">
                  <c:v>62558.862552594677</c:v>
                </c:pt>
                <c:pt idx="167">
                  <c:v>62558.862552594677</c:v>
                </c:pt>
                <c:pt idx="168">
                  <c:v>62558.862552594677</c:v>
                </c:pt>
                <c:pt idx="169">
                  <c:v>62558.862552594677</c:v>
                </c:pt>
                <c:pt idx="170">
                  <c:v>62558.862552594677</c:v>
                </c:pt>
                <c:pt idx="171">
                  <c:v>62558.862552594677</c:v>
                </c:pt>
                <c:pt idx="172">
                  <c:v>62558.862552594677</c:v>
                </c:pt>
                <c:pt idx="173">
                  <c:v>62558.862552594677</c:v>
                </c:pt>
                <c:pt idx="174">
                  <c:v>62558.862552594677</c:v>
                </c:pt>
                <c:pt idx="175">
                  <c:v>62558.862552594677</c:v>
                </c:pt>
                <c:pt idx="176">
                  <c:v>62558.862552594677</c:v>
                </c:pt>
                <c:pt idx="177">
                  <c:v>62558.862552594677</c:v>
                </c:pt>
                <c:pt idx="178">
                  <c:v>62558.862552594677</c:v>
                </c:pt>
                <c:pt idx="179">
                  <c:v>62558.862552594677</c:v>
                </c:pt>
                <c:pt idx="180">
                  <c:v>62558.862552594677</c:v>
                </c:pt>
                <c:pt idx="181">
                  <c:v>62558.862552594677</c:v>
                </c:pt>
                <c:pt idx="182">
                  <c:v>62558.862552594677</c:v>
                </c:pt>
                <c:pt idx="183">
                  <c:v>62558.862552594677</c:v>
                </c:pt>
                <c:pt idx="184">
                  <c:v>62558.862552594677</c:v>
                </c:pt>
                <c:pt idx="185">
                  <c:v>62558.862552594677</c:v>
                </c:pt>
                <c:pt idx="186">
                  <c:v>62558.862552594677</c:v>
                </c:pt>
                <c:pt idx="187">
                  <c:v>62558.862552594677</c:v>
                </c:pt>
                <c:pt idx="188">
                  <c:v>62558.862552594677</c:v>
                </c:pt>
                <c:pt idx="189">
                  <c:v>62558.862552594677</c:v>
                </c:pt>
                <c:pt idx="190">
                  <c:v>62558.862552594677</c:v>
                </c:pt>
                <c:pt idx="191">
                  <c:v>62558.862552594677</c:v>
                </c:pt>
                <c:pt idx="192">
                  <c:v>62558.862552594677</c:v>
                </c:pt>
                <c:pt idx="193">
                  <c:v>62558.862552594677</c:v>
                </c:pt>
                <c:pt idx="194">
                  <c:v>62558.862552594677</c:v>
                </c:pt>
                <c:pt idx="195">
                  <c:v>62558.862552594677</c:v>
                </c:pt>
                <c:pt idx="196">
                  <c:v>62558.862552594677</c:v>
                </c:pt>
                <c:pt idx="197">
                  <c:v>62558.862552594677</c:v>
                </c:pt>
                <c:pt idx="198">
                  <c:v>62558.862552594677</c:v>
                </c:pt>
                <c:pt idx="199">
                  <c:v>62558.862552594677</c:v>
                </c:pt>
                <c:pt idx="200">
                  <c:v>62558.862552594677</c:v>
                </c:pt>
                <c:pt idx="201">
                  <c:v>62558.862552594677</c:v>
                </c:pt>
                <c:pt idx="202">
                  <c:v>62558.862552594677</c:v>
                </c:pt>
                <c:pt idx="203">
                  <c:v>62558.862552594677</c:v>
                </c:pt>
                <c:pt idx="204">
                  <c:v>62558.862552594677</c:v>
                </c:pt>
                <c:pt idx="205">
                  <c:v>62558.862552594677</c:v>
                </c:pt>
                <c:pt idx="206">
                  <c:v>62558.862552594677</c:v>
                </c:pt>
                <c:pt idx="207">
                  <c:v>62558.862552594677</c:v>
                </c:pt>
                <c:pt idx="208">
                  <c:v>62558.862552594677</c:v>
                </c:pt>
                <c:pt idx="209">
                  <c:v>62558.862552594677</c:v>
                </c:pt>
                <c:pt idx="210">
                  <c:v>62558.862552594677</c:v>
                </c:pt>
                <c:pt idx="211">
                  <c:v>62558.862552594677</c:v>
                </c:pt>
                <c:pt idx="212">
                  <c:v>62558.862552594677</c:v>
                </c:pt>
                <c:pt idx="213">
                  <c:v>62558.862552594677</c:v>
                </c:pt>
                <c:pt idx="214">
                  <c:v>62558.862552594677</c:v>
                </c:pt>
                <c:pt idx="215">
                  <c:v>62558.862552594677</c:v>
                </c:pt>
                <c:pt idx="216">
                  <c:v>62558.862552594677</c:v>
                </c:pt>
                <c:pt idx="217">
                  <c:v>62558.862552594677</c:v>
                </c:pt>
                <c:pt idx="218">
                  <c:v>62558.862552594677</c:v>
                </c:pt>
                <c:pt idx="219">
                  <c:v>62558.862552594677</c:v>
                </c:pt>
                <c:pt idx="220">
                  <c:v>62558.862552594677</c:v>
                </c:pt>
                <c:pt idx="221">
                  <c:v>62558.862552594677</c:v>
                </c:pt>
                <c:pt idx="222">
                  <c:v>62558.862552594677</c:v>
                </c:pt>
                <c:pt idx="223">
                  <c:v>62558.862552594677</c:v>
                </c:pt>
                <c:pt idx="224">
                  <c:v>62558.862552594677</c:v>
                </c:pt>
                <c:pt idx="225">
                  <c:v>62558.862552594677</c:v>
                </c:pt>
                <c:pt idx="226">
                  <c:v>62558.862552594677</c:v>
                </c:pt>
                <c:pt idx="227">
                  <c:v>62558.862552594677</c:v>
                </c:pt>
                <c:pt idx="228">
                  <c:v>62558.862552594677</c:v>
                </c:pt>
                <c:pt idx="229">
                  <c:v>62558.862552594677</c:v>
                </c:pt>
                <c:pt idx="230">
                  <c:v>62558.862552594677</c:v>
                </c:pt>
                <c:pt idx="231">
                  <c:v>62558.862552594677</c:v>
                </c:pt>
                <c:pt idx="232">
                  <c:v>62558.862552594677</c:v>
                </c:pt>
                <c:pt idx="233">
                  <c:v>62558.862552594677</c:v>
                </c:pt>
                <c:pt idx="234">
                  <c:v>62558.862552594677</c:v>
                </c:pt>
                <c:pt idx="235">
                  <c:v>62558.862552594677</c:v>
                </c:pt>
                <c:pt idx="236">
                  <c:v>62558.862552594677</c:v>
                </c:pt>
                <c:pt idx="237">
                  <c:v>62558.862552594677</c:v>
                </c:pt>
                <c:pt idx="238">
                  <c:v>62558.862552594677</c:v>
                </c:pt>
                <c:pt idx="239">
                  <c:v>62558.862552594677</c:v>
                </c:pt>
                <c:pt idx="240">
                  <c:v>62558.862552594677</c:v>
                </c:pt>
                <c:pt idx="241">
                  <c:v>62558.862552594677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1.2681159420289856</c:v>
                </c:pt>
                <c:pt idx="1">
                  <c:v>1.6444600280504909</c:v>
                </c:pt>
                <c:pt idx="2">
                  <c:v>1.9471715755025714</c:v>
                </c:pt>
                <c:pt idx="3">
                  <c:v>1.9471715755025714</c:v>
                </c:pt>
                <c:pt idx="4">
                  <c:v>3.5507246376811596</c:v>
                </c:pt>
                <c:pt idx="5">
                  <c:v>4.3934081346423568</c:v>
                </c:pt>
                <c:pt idx="6">
                  <c:v>5.1706404862085087</c:v>
                </c:pt>
                <c:pt idx="7">
                  <c:v>6.103319308087892</c:v>
                </c:pt>
                <c:pt idx="8">
                  <c:v>7.5432445067788692</c:v>
                </c:pt>
                <c:pt idx="9">
                  <c:v>9.343151005142591</c:v>
                </c:pt>
                <c:pt idx="10">
                  <c:v>10.684899485741001</c:v>
                </c:pt>
                <c:pt idx="11">
                  <c:v>10.635811126694717</c:v>
                </c:pt>
                <c:pt idx="12">
                  <c:v>13.597475455820478</c:v>
                </c:pt>
                <c:pt idx="13">
                  <c:v>15.250116877045349</c:v>
                </c:pt>
                <c:pt idx="14">
                  <c:v>21.350163627863488</c:v>
                </c:pt>
                <c:pt idx="15">
                  <c:v>29.890229079008879</c:v>
                </c:pt>
                <c:pt idx="16">
                  <c:v>41.846320710612432</c:v>
                </c:pt>
                <c:pt idx="17">
                  <c:v>58.584848994857396</c:v>
                </c:pt>
                <c:pt idx="18">
                  <c:v>82.018788592800348</c:v>
                </c:pt>
                <c:pt idx="19">
                  <c:v>114.82630402992049</c:v>
                </c:pt>
                <c:pt idx="20">
                  <c:v>160.7568256418887</c:v>
                </c:pt>
                <c:pt idx="21">
                  <c:v>225.05955589864413</c:v>
                </c:pt>
                <c:pt idx="22">
                  <c:v>315.08337825810179</c:v>
                </c:pt>
                <c:pt idx="23">
                  <c:v>441.11672956134242</c:v>
                </c:pt>
                <c:pt idx="24">
                  <c:v>617.56342138587934</c:v>
                </c:pt>
                <c:pt idx="25">
                  <c:v>864.58878994023098</c:v>
                </c:pt>
                <c:pt idx="26">
                  <c:v>1210.4243059163234</c:v>
                </c:pt>
                <c:pt idx="27">
                  <c:v>1694.5940282828526</c:v>
                </c:pt>
                <c:pt idx="28">
                  <c:v>2372.4316395959936</c:v>
                </c:pt>
                <c:pt idx="29">
                  <c:v>3321.4042954343909</c:v>
                </c:pt>
                <c:pt idx="30">
                  <c:v>4649.9660136081475</c:v>
                </c:pt>
                <c:pt idx="31">
                  <c:v>6509.9524190514057</c:v>
                </c:pt>
                <c:pt idx="32">
                  <c:v>9113.933386671968</c:v>
                </c:pt>
                <c:pt idx="33">
                  <c:v>12759.506741340754</c:v>
                </c:pt>
                <c:pt idx="34">
                  <c:v>17863.309437877051</c:v>
                </c:pt>
                <c:pt idx="35">
                  <c:v>25008.633213027872</c:v>
                </c:pt>
                <c:pt idx="36">
                  <c:v>35012.086498239019</c:v>
                </c:pt>
                <c:pt idx="37">
                  <c:v>49016.921097534621</c:v>
                </c:pt>
                <c:pt idx="38">
                  <c:v>62558.862552594677</c:v>
                </c:pt>
                <c:pt idx="39">
                  <c:v>62558.862552594677</c:v>
                </c:pt>
                <c:pt idx="40">
                  <c:v>62558.862552594677</c:v>
                </c:pt>
                <c:pt idx="41">
                  <c:v>62558.862552594677</c:v>
                </c:pt>
                <c:pt idx="42">
                  <c:v>62558.862552594677</c:v>
                </c:pt>
                <c:pt idx="43">
                  <c:v>62558.862552594677</c:v>
                </c:pt>
                <c:pt idx="44">
                  <c:v>62558.862552594677</c:v>
                </c:pt>
                <c:pt idx="45">
                  <c:v>62558.862552594677</c:v>
                </c:pt>
                <c:pt idx="46">
                  <c:v>62558.862552594677</c:v>
                </c:pt>
                <c:pt idx="47">
                  <c:v>62558.862552594677</c:v>
                </c:pt>
                <c:pt idx="48">
                  <c:v>62558.862552594677</c:v>
                </c:pt>
                <c:pt idx="49">
                  <c:v>62558.862552594677</c:v>
                </c:pt>
                <c:pt idx="50">
                  <c:v>62558.862552594677</c:v>
                </c:pt>
                <c:pt idx="51">
                  <c:v>62558.862552594677</c:v>
                </c:pt>
                <c:pt idx="52">
                  <c:v>62558.862552594677</c:v>
                </c:pt>
                <c:pt idx="53">
                  <c:v>62558.862552594677</c:v>
                </c:pt>
                <c:pt idx="54">
                  <c:v>62558.862552594677</c:v>
                </c:pt>
                <c:pt idx="55">
                  <c:v>62558.862552594677</c:v>
                </c:pt>
                <c:pt idx="56">
                  <c:v>62558.862552594677</c:v>
                </c:pt>
                <c:pt idx="57">
                  <c:v>62558.862552594677</c:v>
                </c:pt>
                <c:pt idx="58">
                  <c:v>62558.862552594677</c:v>
                </c:pt>
                <c:pt idx="59">
                  <c:v>62558.862552594677</c:v>
                </c:pt>
                <c:pt idx="60">
                  <c:v>62558.862552594677</c:v>
                </c:pt>
                <c:pt idx="61">
                  <c:v>62558.862552594677</c:v>
                </c:pt>
                <c:pt idx="62">
                  <c:v>62558.862552594677</c:v>
                </c:pt>
                <c:pt idx="63">
                  <c:v>62558.862552594677</c:v>
                </c:pt>
                <c:pt idx="64">
                  <c:v>62558.862552594677</c:v>
                </c:pt>
                <c:pt idx="65">
                  <c:v>62558.862552594677</c:v>
                </c:pt>
                <c:pt idx="66">
                  <c:v>62558.862552594677</c:v>
                </c:pt>
                <c:pt idx="67">
                  <c:v>62558.862552594677</c:v>
                </c:pt>
                <c:pt idx="68">
                  <c:v>62558.862552594677</c:v>
                </c:pt>
                <c:pt idx="69">
                  <c:v>62558.862552594677</c:v>
                </c:pt>
                <c:pt idx="70">
                  <c:v>62558.862552594677</c:v>
                </c:pt>
                <c:pt idx="71">
                  <c:v>62558.862552594677</c:v>
                </c:pt>
                <c:pt idx="72">
                  <c:v>62558.862552594677</c:v>
                </c:pt>
                <c:pt idx="73">
                  <c:v>62558.862552594677</c:v>
                </c:pt>
                <c:pt idx="74">
                  <c:v>62558.862552594677</c:v>
                </c:pt>
                <c:pt idx="75">
                  <c:v>62558.862552594677</c:v>
                </c:pt>
                <c:pt idx="76">
                  <c:v>62558.862552594677</c:v>
                </c:pt>
                <c:pt idx="77">
                  <c:v>62558.862552594677</c:v>
                </c:pt>
                <c:pt idx="78">
                  <c:v>62558.862552594677</c:v>
                </c:pt>
                <c:pt idx="79">
                  <c:v>62558.862552594677</c:v>
                </c:pt>
                <c:pt idx="80">
                  <c:v>62558.862552594677</c:v>
                </c:pt>
                <c:pt idx="81">
                  <c:v>62558.862552594677</c:v>
                </c:pt>
                <c:pt idx="82">
                  <c:v>62558.862552594677</c:v>
                </c:pt>
                <c:pt idx="83">
                  <c:v>62558.862552594677</c:v>
                </c:pt>
                <c:pt idx="84">
                  <c:v>62558.862552594677</c:v>
                </c:pt>
                <c:pt idx="85">
                  <c:v>62558.862552594677</c:v>
                </c:pt>
                <c:pt idx="86">
                  <c:v>62558.862552594677</c:v>
                </c:pt>
                <c:pt idx="87">
                  <c:v>62558.862552594677</c:v>
                </c:pt>
                <c:pt idx="88">
                  <c:v>62558.862552594677</c:v>
                </c:pt>
                <c:pt idx="89">
                  <c:v>62558.862552594677</c:v>
                </c:pt>
                <c:pt idx="90">
                  <c:v>62558.862552594677</c:v>
                </c:pt>
                <c:pt idx="91">
                  <c:v>62558.862552594677</c:v>
                </c:pt>
                <c:pt idx="92">
                  <c:v>62558.862552594677</c:v>
                </c:pt>
                <c:pt idx="93">
                  <c:v>62558.862552594677</c:v>
                </c:pt>
                <c:pt idx="94">
                  <c:v>62558.862552594677</c:v>
                </c:pt>
                <c:pt idx="95">
                  <c:v>62558.862552594677</c:v>
                </c:pt>
                <c:pt idx="96">
                  <c:v>62558.862552594677</c:v>
                </c:pt>
                <c:pt idx="97">
                  <c:v>62558.862552594677</c:v>
                </c:pt>
                <c:pt idx="98">
                  <c:v>62558.862552594677</c:v>
                </c:pt>
                <c:pt idx="99">
                  <c:v>62558.862552594677</c:v>
                </c:pt>
                <c:pt idx="100">
                  <c:v>62558.862552594677</c:v>
                </c:pt>
                <c:pt idx="101">
                  <c:v>62558.862552594677</c:v>
                </c:pt>
                <c:pt idx="102">
                  <c:v>62558.862552594677</c:v>
                </c:pt>
                <c:pt idx="103">
                  <c:v>62558.862552594677</c:v>
                </c:pt>
                <c:pt idx="104">
                  <c:v>62558.862552594677</c:v>
                </c:pt>
                <c:pt idx="105">
                  <c:v>62558.862552594677</c:v>
                </c:pt>
                <c:pt idx="106">
                  <c:v>62558.862552594677</c:v>
                </c:pt>
                <c:pt idx="107">
                  <c:v>62558.862552594677</c:v>
                </c:pt>
                <c:pt idx="108">
                  <c:v>62558.862552594677</c:v>
                </c:pt>
                <c:pt idx="109">
                  <c:v>62558.862552594677</c:v>
                </c:pt>
                <c:pt idx="110">
                  <c:v>62558.862552594677</c:v>
                </c:pt>
                <c:pt idx="111">
                  <c:v>62558.862552594677</c:v>
                </c:pt>
                <c:pt idx="112">
                  <c:v>62558.862552594677</c:v>
                </c:pt>
                <c:pt idx="113">
                  <c:v>62558.862552594677</c:v>
                </c:pt>
                <c:pt idx="114">
                  <c:v>62558.862552594677</c:v>
                </c:pt>
                <c:pt idx="115">
                  <c:v>62558.862552594677</c:v>
                </c:pt>
                <c:pt idx="116">
                  <c:v>62558.862552594677</c:v>
                </c:pt>
                <c:pt idx="117">
                  <c:v>62558.862552594677</c:v>
                </c:pt>
                <c:pt idx="118">
                  <c:v>62558.862552594677</c:v>
                </c:pt>
                <c:pt idx="119">
                  <c:v>62558.862552594677</c:v>
                </c:pt>
                <c:pt idx="120">
                  <c:v>62558.862552594677</c:v>
                </c:pt>
                <c:pt idx="121">
                  <c:v>62558.862552594677</c:v>
                </c:pt>
                <c:pt idx="122">
                  <c:v>62558.862552594677</c:v>
                </c:pt>
                <c:pt idx="123">
                  <c:v>62558.862552594677</c:v>
                </c:pt>
                <c:pt idx="124">
                  <c:v>62558.862552594677</c:v>
                </c:pt>
                <c:pt idx="125">
                  <c:v>62558.862552594677</c:v>
                </c:pt>
                <c:pt idx="126">
                  <c:v>62558.862552594677</c:v>
                </c:pt>
                <c:pt idx="127">
                  <c:v>62558.862552594677</c:v>
                </c:pt>
                <c:pt idx="128">
                  <c:v>62558.862552594677</c:v>
                </c:pt>
                <c:pt idx="129">
                  <c:v>62558.862552594677</c:v>
                </c:pt>
                <c:pt idx="130">
                  <c:v>62558.862552594677</c:v>
                </c:pt>
                <c:pt idx="131">
                  <c:v>62558.862552594677</c:v>
                </c:pt>
                <c:pt idx="132">
                  <c:v>62558.862552594677</c:v>
                </c:pt>
                <c:pt idx="133">
                  <c:v>62558.862552594677</c:v>
                </c:pt>
                <c:pt idx="134">
                  <c:v>62558.862552594677</c:v>
                </c:pt>
                <c:pt idx="135">
                  <c:v>62558.862552594677</c:v>
                </c:pt>
                <c:pt idx="136">
                  <c:v>62558.862552594677</c:v>
                </c:pt>
                <c:pt idx="137">
                  <c:v>62558.862552594677</c:v>
                </c:pt>
                <c:pt idx="138">
                  <c:v>62558.862552594677</c:v>
                </c:pt>
                <c:pt idx="139">
                  <c:v>62558.862552594677</c:v>
                </c:pt>
                <c:pt idx="140">
                  <c:v>62558.862552594677</c:v>
                </c:pt>
                <c:pt idx="141">
                  <c:v>62558.862552594677</c:v>
                </c:pt>
                <c:pt idx="142">
                  <c:v>62558.862552594677</c:v>
                </c:pt>
                <c:pt idx="143">
                  <c:v>62558.862552594677</c:v>
                </c:pt>
                <c:pt idx="144">
                  <c:v>62558.862552594677</c:v>
                </c:pt>
                <c:pt idx="145">
                  <c:v>62558.862552594677</c:v>
                </c:pt>
                <c:pt idx="146">
                  <c:v>62558.862552594677</c:v>
                </c:pt>
                <c:pt idx="147">
                  <c:v>62558.862552594677</c:v>
                </c:pt>
                <c:pt idx="148">
                  <c:v>62558.862552594677</c:v>
                </c:pt>
                <c:pt idx="149">
                  <c:v>62558.862552594677</c:v>
                </c:pt>
                <c:pt idx="150">
                  <c:v>62558.862552594677</c:v>
                </c:pt>
                <c:pt idx="151">
                  <c:v>62558.862552594677</c:v>
                </c:pt>
                <c:pt idx="152">
                  <c:v>62558.862552594677</c:v>
                </c:pt>
                <c:pt idx="153">
                  <c:v>62558.862552594677</c:v>
                </c:pt>
                <c:pt idx="154">
                  <c:v>62558.862552594677</c:v>
                </c:pt>
                <c:pt idx="155">
                  <c:v>62558.862552594677</c:v>
                </c:pt>
                <c:pt idx="156">
                  <c:v>62558.862552594677</c:v>
                </c:pt>
                <c:pt idx="157">
                  <c:v>62558.862552594677</c:v>
                </c:pt>
                <c:pt idx="158">
                  <c:v>62558.862552594677</c:v>
                </c:pt>
                <c:pt idx="159">
                  <c:v>62558.862552594677</c:v>
                </c:pt>
                <c:pt idx="160">
                  <c:v>62558.862552594677</c:v>
                </c:pt>
                <c:pt idx="161">
                  <c:v>62558.862552594677</c:v>
                </c:pt>
                <c:pt idx="162">
                  <c:v>62558.862552594677</c:v>
                </c:pt>
                <c:pt idx="163">
                  <c:v>62558.862552594677</c:v>
                </c:pt>
                <c:pt idx="164">
                  <c:v>62558.862552594677</c:v>
                </c:pt>
                <c:pt idx="165">
                  <c:v>62558.862552594677</c:v>
                </c:pt>
                <c:pt idx="166">
                  <c:v>62558.862552594677</c:v>
                </c:pt>
                <c:pt idx="167">
                  <c:v>62558.862552594677</c:v>
                </c:pt>
                <c:pt idx="168">
                  <c:v>62558.862552594677</c:v>
                </c:pt>
                <c:pt idx="169">
                  <c:v>62558.862552594677</c:v>
                </c:pt>
                <c:pt idx="170">
                  <c:v>62558.862552594677</c:v>
                </c:pt>
                <c:pt idx="171">
                  <c:v>62558.862552594677</c:v>
                </c:pt>
                <c:pt idx="172">
                  <c:v>62558.862552594677</c:v>
                </c:pt>
                <c:pt idx="173">
                  <c:v>62558.862552594677</c:v>
                </c:pt>
                <c:pt idx="174">
                  <c:v>62558.862552594677</c:v>
                </c:pt>
                <c:pt idx="175">
                  <c:v>62558.862552594677</c:v>
                </c:pt>
                <c:pt idx="176">
                  <c:v>62558.862552594677</c:v>
                </c:pt>
                <c:pt idx="177">
                  <c:v>62558.862552594677</c:v>
                </c:pt>
                <c:pt idx="178">
                  <c:v>62558.862552594677</c:v>
                </c:pt>
                <c:pt idx="179">
                  <c:v>62558.862552594677</c:v>
                </c:pt>
                <c:pt idx="180">
                  <c:v>62558.862552594677</c:v>
                </c:pt>
                <c:pt idx="181">
                  <c:v>62558.862552594677</c:v>
                </c:pt>
                <c:pt idx="182">
                  <c:v>62558.862552594677</c:v>
                </c:pt>
                <c:pt idx="183">
                  <c:v>62558.862552594677</c:v>
                </c:pt>
                <c:pt idx="184">
                  <c:v>62558.862552594677</c:v>
                </c:pt>
                <c:pt idx="185">
                  <c:v>62558.862552594677</c:v>
                </c:pt>
                <c:pt idx="186">
                  <c:v>62558.862552594677</c:v>
                </c:pt>
                <c:pt idx="187">
                  <c:v>62558.862552594677</c:v>
                </c:pt>
                <c:pt idx="188">
                  <c:v>62558.862552594677</c:v>
                </c:pt>
                <c:pt idx="189">
                  <c:v>62558.862552594677</c:v>
                </c:pt>
                <c:pt idx="190">
                  <c:v>62558.862552594677</c:v>
                </c:pt>
                <c:pt idx="191">
                  <c:v>62558.862552594677</c:v>
                </c:pt>
                <c:pt idx="192">
                  <c:v>62558.862552594677</c:v>
                </c:pt>
                <c:pt idx="193">
                  <c:v>62558.862552594677</c:v>
                </c:pt>
                <c:pt idx="194">
                  <c:v>62558.862552594677</c:v>
                </c:pt>
                <c:pt idx="195">
                  <c:v>62558.862552594677</c:v>
                </c:pt>
                <c:pt idx="196">
                  <c:v>62558.862552594677</c:v>
                </c:pt>
                <c:pt idx="197">
                  <c:v>62558.862552594677</c:v>
                </c:pt>
                <c:pt idx="198">
                  <c:v>62558.862552594677</c:v>
                </c:pt>
                <c:pt idx="199">
                  <c:v>62558.862552594677</c:v>
                </c:pt>
                <c:pt idx="200">
                  <c:v>62558.862552594677</c:v>
                </c:pt>
                <c:pt idx="201">
                  <c:v>62558.862552594677</c:v>
                </c:pt>
                <c:pt idx="202">
                  <c:v>62558.862552594677</c:v>
                </c:pt>
                <c:pt idx="203">
                  <c:v>62558.862552594677</c:v>
                </c:pt>
                <c:pt idx="204">
                  <c:v>62558.862552594677</c:v>
                </c:pt>
                <c:pt idx="205">
                  <c:v>62558.862552594677</c:v>
                </c:pt>
                <c:pt idx="206">
                  <c:v>62558.862552594677</c:v>
                </c:pt>
                <c:pt idx="207">
                  <c:v>62558.862552594677</c:v>
                </c:pt>
                <c:pt idx="208">
                  <c:v>62558.862552594677</c:v>
                </c:pt>
                <c:pt idx="209">
                  <c:v>62558.862552594677</c:v>
                </c:pt>
                <c:pt idx="210">
                  <c:v>62558.862552594677</c:v>
                </c:pt>
                <c:pt idx="211">
                  <c:v>62558.862552594677</c:v>
                </c:pt>
                <c:pt idx="212">
                  <c:v>62558.862552594677</c:v>
                </c:pt>
                <c:pt idx="213">
                  <c:v>62558.862552594677</c:v>
                </c:pt>
                <c:pt idx="214">
                  <c:v>62558.862552594677</c:v>
                </c:pt>
                <c:pt idx="215">
                  <c:v>62558.862552594677</c:v>
                </c:pt>
                <c:pt idx="216">
                  <c:v>62558.862552594677</c:v>
                </c:pt>
                <c:pt idx="217">
                  <c:v>62558.862552594677</c:v>
                </c:pt>
                <c:pt idx="218">
                  <c:v>62558.862552594677</c:v>
                </c:pt>
                <c:pt idx="219">
                  <c:v>62558.862552594677</c:v>
                </c:pt>
                <c:pt idx="220">
                  <c:v>62558.862552594677</c:v>
                </c:pt>
                <c:pt idx="221">
                  <c:v>62558.862552594677</c:v>
                </c:pt>
                <c:pt idx="222">
                  <c:v>62558.862552594677</c:v>
                </c:pt>
                <c:pt idx="223">
                  <c:v>62558.862552594677</c:v>
                </c:pt>
                <c:pt idx="224">
                  <c:v>62558.862552594677</c:v>
                </c:pt>
                <c:pt idx="225">
                  <c:v>62558.862552594677</c:v>
                </c:pt>
                <c:pt idx="226">
                  <c:v>62558.862552594677</c:v>
                </c:pt>
                <c:pt idx="227">
                  <c:v>62558.862552594677</c:v>
                </c:pt>
                <c:pt idx="228">
                  <c:v>62558.862552594677</c:v>
                </c:pt>
                <c:pt idx="229">
                  <c:v>62558.862552594677</c:v>
                </c:pt>
                <c:pt idx="230">
                  <c:v>62558.862552594677</c:v>
                </c:pt>
                <c:pt idx="231">
                  <c:v>62558.862552594677</c:v>
                </c:pt>
                <c:pt idx="232">
                  <c:v>62558.862552594677</c:v>
                </c:pt>
                <c:pt idx="233">
                  <c:v>62558.862552594677</c:v>
                </c:pt>
                <c:pt idx="234">
                  <c:v>62558.862552594677</c:v>
                </c:pt>
                <c:pt idx="235">
                  <c:v>62558.862552594677</c:v>
                </c:pt>
                <c:pt idx="236">
                  <c:v>62558.862552594677</c:v>
                </c:pt>
                <c:pt idx="237">
                  <c:v>62558.862552594677</c:v>
                </c:pt>
                <c:pt idx="238">
                  <c:v>62558.862552594677</c:v>
                </c:pt>
                <c:pt idx="239">
                  <c:v>62558.862552594677</c:v>
                </c:pt>
                <c:pt idx="240">
                  <c:v>62558.862552594677</c:v>
                </c:pt>
                <c:pt idx="241">
                  <c:v>62558.862552594677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1.2681159420289856</c:v>
                </c:pt>
                <c:pt idx="1">
                  <c:v>1.6444600280504909</c:v>
                </c:pt>
                <c:pt idx="2">
                  <c:v>1.9471715755025714</c:v>
                </c:pt>
                <c:pt idx="3">
                  <c:v>1.9471715755025714</c:v>
                </c:pt>
                <c:pt idx="4">
                  <c:v>3.5507246376811596</c:v>
                </c:pt>
                <c:pt idx="5">
                  <c:v>4.3934081346423568</c:v>
                </c:pt>
                <c:pt idx="6">
                  <c:v>5.1706404862085087</c:v>
                </c:pt>
                <c:pt idx="7">
                  <c:v>6.103319308087892</c:v>
                </c:pt>
                <c:pt idx="8">
                  <c:v>7.5432445067788692</c:v>
                </c:pt>
                <c:pt idx="9">
                  <c:v>9.343151005142591</c:v>
                </c:pt>
                <c:pt idx="10">
                  <c:v>10.684899485741001</c:v>
                </c:pt>
                <c:pt idx="11">
                  <c:v>10.635811126694717</c:v>
                </c:pt>
                <c:pt idx="12">
                  <c:v>13.597475455820478</c:v>
                </c:pt>
                <c:pt idx="13">
                  <c:v>15.250116877045349</c:v>
                </c:pt>
                <c:pt idx="14">
                  <c:v>17.690670879499237</c:v>
                </c:pt>
                <c:pt idx="15">
                  <c:v>20.521799189475921</c:v>
                </c:pt>
                <c:pt idx="16">
                  <c:v>23.806007405926923</c:v>
                </c:pt>
                <c:pt idx="17">
                  <c:v>27.615804217676899</c:v>
                </c:pt>
                <c:pt idx="18">
                  <c:v>32.035302248926904</c:v>
                </c:pt>
                <c:pt idx="19">
                  <c:v>37.162075096230247</c:v>
                </c:pt>
                <c:pt idx="20">
                  <c:v>43.109311556569338</c:v>
                </c:pt>
                <c:pt idx="21">
                  <c:v>50.008314607541436</c:v>
                </c:pt>
                <c:pt idx="22">
                  <c:v>58.011400312092107</c:v>
                </c:pt>
                <c:pt idx="23">
                  <c:v>67.295260649761971</c:v>
                </c:pt>
                <c:pt idx="24">
                  <c:v>78.064864518973408</c:v>
                </c:pt>
                <c:pt idx="25">
                  <c:v>90.557983036614161</c:v>
                </c:pt>
                <c:pt idx="26">
                  <c:v>105.0504390443992</c:v>
                </c:pt>
                <c:pt idx="27">
                  <c:v>121.86219672051608</c:v>
                </c:pt>
                <c:pt idx="28">
                  <c:v>141.36442574288807</c:v>
                </c:pt>
                <c:pt idx="29">
                  <c:v>163.98769596652224</c:v>
                </c:pt>
                <c:pt idx="30">
                  <c:v>190.23148353687878</c:v>
                </c:pt>
                <c:pt idx="31">
                  <c:v>220.67519831505828</c:v>
                </c:pt>
                <c:pt idx="32">
                  <c:v>255.99097607809844</c:v>
                </c:pt>
                <c:pt idx="33">
                  <c:v>296.95851792034335</c:v>
                </c:pt>
                <c:pt idx="34">
                  <c:v>344.4823044799179</c:v>
                </c:pt>
                <c:pt idx="35">
                  <c:v>399.61156504568288</c:v>
                </c:pt>
                <c:pt idx="36">
                  <c:v>463.56344242224884</c:v>
                </c:pt>
                <c:pt idx="37">
                  <c:v>537.74986498651424</c:v>
                </c:pt>
                <c:pt idx="38">
                  <c:v>623.80871921649907</c:v>
                </c:pt>
                <c:pt idx="39">
                  <c:v>723.64001091899434</c:v>
                </c:pt>
                <c:pt idx="40">
                  <c:v>839.44781352295036</c:v>
                </c:pt>
                <c:pt idx="41">
                  <c:v>973.78892957225457</c:v>
                </c:pt>
                <c:pt idx="42">
                  <c:v>1129.6293397654456</c:v>
                </c:pt>
                <c:pt idx="43">
                  <c:v>1310.409685823229</c:v>
                </c:pt>
                <c:pt idx="44">
                  <c:v>1520.1212329133421</c:v>
                </c:pt>
                <c:pt idx="45">
                  <c:v>1763.3939887297934</c:v>
                </c:pt>
                <c:pt idx="46">
                  <c:v>2045.5989247178932</c:v>
                </c:pt>
                <c:pt idx="47">
                  <c:v>2372.9665562834084</c:v>
                </c:pt>
                <c:pt idx="48">
                  <c:v>2752.7244999975251</c:v>
                </c:pt>
                <c:pt idx="49">
                  <c:v>3193.257044783074</c:v>
                </c:pt>
                <c:pt idx="50">
                  <c:v>3704.2902600917382</c:v>
                </c:pt>
                <c:pt idx="51">
                  <c:v>4297.1067278871915</c:v>
                </c:pt>
                <c:pt idx="52">
                  <c:v>4984.7946392829563</c:v>
                </c:pt>
                <c:pt idx="53">
                  <c:v>5782.5367553859869</c:v>
                </c:pt>
                <c:pt idx="54">
                  <c:v>6707.9456120181894</c:v>
                </c:pt>
                <c:pt idx="55">
                  <c:v>7781.4523689595708</c:v>
                </c:pt>
                <c:pt idx="56">
                  <c:v>9026.7578887194959</c:v>
                </c:pt>
                <c:pt idx="57">
                  <c:v>10471.356003744884</c:v>
                </c:pt>
                <c:pt idx="58">
                  <c:v>12147.140524749191</c:v>
                </c:pt>
                <c:pt idx="59">
                  <c:v>14091.109391680933</c:v>
                </c:pt>
                <c:pt idx="60">
                  <c:v>16346.181513563937</c:v>
                </c:pt>
                <c:pt idx="61">
                  <c:v>18962.144331384356</c:v>
                </c:pt>
                <c:pt idx="62">
                  <c:v>21996.753024300458</c:v>
                </c:pt>
                <c:pt idx="63">
                  <c:v>25517.005627429837</c:v>
                </c:pt>
                <c:pt idx="64">
                  <c:v>29600.622213241073</c:v>
                </c:pt>
                <c:pt idx="65">
                  <c:v>34337.760793889618</c:v>
                </c:pt>
                <c:pt idx="66">
                  <c:v>39833.007828158115</c:v>
                </c:pt>
                <c:pt idx="67">
                  <c:v>46207.687279377067</c:v>
                </c:pt>
                <c:pt idx="68">
                  <c:v>53602.539203664121</c:v>
                </c:pt>
                <c:pt idx="69">
                  <c:v>62180.827006304215</c:v>
                </c:pt>
                <c:pt idx="70">
                  <c:v>62558.862552594677</c:v>
                </c:pt>
                <c:pt idx="71">
                  <c:v>62558.862552594677</c:v>
                </c:pt>
                <c:pt idx="72">
                  <c:v>62558.862552594677</c:v>
                </c:pt>
                <c:pt idx="73">
                  <c:v>62558.862552594677</c:v>
                </c:pt>
                <c:pt idx="74">
                  <c:v>62558.862552594677</c:v>
                </c:pt>
                <c:pt idx="75">
                  <c:v>62558.862552594677</c:v>
                </c:pt>
                <c:pt idx="76">
                  <c:v>62558.862552594677</c:v>
                </c:pt>
                <c:pt idx="77">
                  <c:v>62558.862552594677</c:v>
                </c:pt>
                <c:pt idx="78">
                  <c:v>62558.862552594677</c:v>
                </c:pt>
                <c:pt idx="79">
                  <c:v>62558.862552594677</c:v>
                </c:pt>
                <c:pt idx="80">
                  <c:v>62558.862552594677</c:v>
                </c:pt>
                <c:pt idx="81">
                  <c:v>62558.862552594677</c:v>
                </c:pt>
                <c:pt idx="82">
                  <c:v>62558.862552594677</c:v>
                </c:pt>
                <c:pt idx="83">
                  <c:v>62558.862552594677</c:v>
                </c:pt>
                <c:pt idx="84">
                  <c:v>62558.862552594677</c:v>
                </c:pt>
                <c:pt idx="85">
                  <c:v>62558.862552594677</c:v>
                </c:pt>
                <c:pt idx="86">
                  <c:v>62558.862552594677</c:v>
                </c:pt>
                <c:pt idx="87">
                  <c:v>62558.862552594677</c:v>
                </c:pt>
                <c:pt idx="88">
                  <c:v>62558.862552594677</c:v>
                </c:pt>
                <c:pt idx="89">
                  <c:v>62558.862552594677</c:v>
                </c:pt>
                <c:pt idx="90">
                  <c:v>62558.862552594677</c:v>
                </c:pt>
                <c:pt idx="91">
                  <c:v>62558.862552594677</c:v>
                </c:pt>
                <c:pt idx="92">
                  <c:v>62558.862552594677</c:v>
                </c:pt>
                <c:pt idx="93">
                  <c:v>62558.862552594677</c:v>
                </c:pt>
                <c:pt idx="94">
                  <c:v>62558.862552594677</c:v>
                </c:pt>
                <c:pt idx="95">
                  <c:v>62558.862552594677</c:v>
                </c:pt>
                <c:pt idx="96">
                  <c:v>62558.862552594677</c:v>
                </c:pt>
                <c:pt idx="97">
                  <c:v>62558.862552594677</c:v>
                </c:pt>
                <c:pt idx="98">
                  <c:v>62558.862552594677</c:v>
                </c:pt>
                <c:pt idx="99">
                  <c:v>62558.862552594677</c:v>
                </c:pt>
                <c:pt idx="100">
                  <c:v>62558.862552594677</c:v>
                </c:pt>
                <c:pt idx="101">
                  <c:v>62558.862552594677</c:v>
                </c:pt>
                <c:pt idx="102">
                  <c:v>62558.862552594677</c:v>
                </c:pt>
                <c:pt idx="103">
                  <c:v>62558.862552594677</c:v>
                </c:pt>
                <c:pt idx="104">
                  <c:v>62558.862552594677</c:v>
                </c:pt>
                <c:pt idx="105">
                  <c:v>62558.862552594677</c:v>
                </c:pt>
                <c:pt idx="106">
                  <c:v>62558.862552594677</c:v>
                </c:pt>
                <c:pt idx="107">
                  <c:v>62558.862552594677</c:v>
                </c:pt>
                <c:pt idx="108">
                  <c:v>62558.862552594677</c:v>
                </c:pt>
                <c:pt idx="109">
                  <c:v>62558.862552594677</c:v>
                </c:pt>
                <c:pt idx="110">
                  <c:v>62558.862552594677</c:v>
                </c:pt>
                <c:pt idx="111">
                  <c:v>62558.862552594677</c:v>
                </c:pt>
                <c:pt idx="112">
                  <c:v>62558.862552594677</c:v>
                </c:pt>
                <c:pt idx="113">
                  <c:v>62558.862552594677</c:v>
                </c:pt>
                <c:pt idx="114">
                  <c:v>62558.862552594677</c:v>
                </c:pt>
                <c:pt idx="115">
                  <c:v>62558.862552594677</c:v>
                </c:pt>
                <c:pt idx="116">
                  <c:v>62558.862552594677</c:v>
                </c:pt>
                <c:pt idx="117">
                  <c:v>62558.862552594677</c:v>
                </c:pt>
                <c:pt idx="118">
                  <c:v>62558.862552594677</c:v>
                </c:pt>
                <c:pt idx="119">
                  <c:v>62558.862552594677</c:v>
                </c:pt>
                <c:pt idx="120">
                  <c:v>62558.862552594677</c:v>
                </c:pt>
                <c:pt idx="121">
                  <c:v>62558.862552594677</c:v>
                </c:pt>
                <c:pt idx="122">
                  <c:v>62558.862552594677</c:v>
                </c:pt>
                <c:pt idx="123">
                  <c:v>62558.862552594677</c:v>
                </c:pt>
                <c:pt idx="124">
                  <c:v>62558.862552594677</c:v>
                </c:pt>
                <c:pt idx="125">
                  <c:v>62558.862552594677</c:v>
                </c:pt>
                <c:pt idx="126">
                  <c:v>62558.862552594677</c:v>
                </c:pt>
                <c:pt idx="127">
                  <c:v>62558.862552594677</c:v>
                </c:pt>
                <c:pt idx="128">
                  <c:v>62558.862552594677</c:v>
                </c:pt>
                <c:pt idx="129">
                  <c:v>62558.862552594677</c:v>
                </c:pt>
                <c:pt idx="130">
                  <c:v>62558.862552594677</c:v>
                </c:pt>
                <c:pt idx="131">
                  <c:v>62558.862552594677</c:v>
                </c:pt>
                <c:pt idx="132">
                  <c:v>62558.862552594677</c:v>
                </c:pt>
                <c:pt idx="133">
                  <c:v>62558.862552594677</c:v>
                </c:pt>
                <c:pt idx="134">
                  <c:v>62558.862552594677</c:v>
                </c:pt>
                <c:pt idx="135">
                  <c:v>62558.862552594677</c:v>
                </c:pt>
                <c:pt idx="136">
                  <c:v>62558.862552594677</c:v>
                </c:pt>
                <c:pt idx="137">
                  <c:v>62558.862552594677</c:v>
                </c:pt>
                <c:pt idx="138">
                  <c:v>62558.862552594677</c:v>
                </c:pt>
                <c:pt idx="139">
                  <c:v>62558.862552594677</c:v>
                </c:pt>
                <c:pt idx="140">
                  <c:v>62558.862552594677</c:v>
                </c:pt>
                <c:pt idx="141">
                  <c:v>62558.862552594677</c:v>
                </c:pt>
                <c:pt idx="142">
                  <c:v>62558.862552594677</c:v>
                </c:pt>
                <c:pt idx="143">
                  <c:v>62558.862552594677</c:v>
                </c:pt>
                <c:pt idx="144">
                  <c:v>62558.862552594677</c:v>
                </c:pt>
                <c:pt idx="145">
                  <c:v>62558.862552594677</c:v>
                </c:pt>
                <c:pt idx="146">
                  <c:v>62558.862552594677</c:v>
                </c:pt>
                <c:pt idx="147">
                  <c:v>62558.862552594677</c:v>
                </c:pt>
                <c:pt idx="148">
                  <c:v>62558.862552594677</c:v>
                </c:pt>
                <c:pt idx="149">
                  <c:v>62558.862552594677</c:v>
                </c:pt>
                <c:pt idx="150">
                  <c:v>62558.862552594677</c:v>
                </c:pt>
                <c:pt idx="151">
                  <c:v>62558.862552594677</c:v>
                </c:pt>
                <c:pt idx="152">
                  <c:v>62558.862552594677</c:v>
                </c:pt>
                <c:pt idx="153">
                  <c:v>62558.862552594677</c:v>
                </c:pt>
                <c:pt idx="154">
                  <c:v>62558.862552594677</c:v>
                </c:pt>
                <c:pt idx="155">
                  <c:v>62558.862552594677</c:v>
                </c:pt>
                <c:pt idx="156">
                  <c:v>62558.862552594677</c:v>
                </c:pt>
                <c:pt idx="157">
                  <c:v>62558.862552594677</c:v>
                </c:pt>
                <c:pt idx="158">
                  <c:v>62558.862552594677</c:v>
                </c:pt>
                <c:pt idx="159">
                  <c:v>62558.862552594677</c:v>
                </c:pt>
                <c:pt idx="160">
                  <c:v>62558.862552594677</c:v>
                </c:pt>
                <c:pt idx="161">
                  <c:v>62558.862552594677</c:v>
                </c:pt>
                <c:pt idx="162">
                  <c:v>62558.862552594677</c:v>
                </c:pt>
                <c:pt idx="163">
                  <c:v>62558.862552594677</c:v>
                </c:pt>
                <c:pt idx="164">
                  <c:v>62558.862552594677</c:v>
                </c:pt>
                <c:pt idx="165">
                  <c:v>62558.862552594677</c:v>
                </c:pt>
                <c:pt idx="166">
                  <c:v>62558.862552594677</c:v>
                </c:pt>
                <c:pt idx="167">
                  <c:v>62558.862552594677</c:v>
                </c:pt>
                <c:pt idx="168">
                  <c:v>62558.862552594677</c:v>
                </c:pt>
                <c:pt idx="169">
                  <c:v>62558.862552594677</c:v>
                </c:pt>
                <c:pt idx="170">
                  <c:v>62558.862552594677</c:v>
                </c:pt>
                <c:pt idx="171">
                  <c:v>62558.862552594677</c:v>
                </c:pt>
                <c:pt idx="172">
                  <c:v>62558.862552594677</c:v>
                </c:pt>
                <c:pt idx="173">
                  <c:v>62558.862552594677</c:v>
                </c:pt>
                <c:pt idx="174">
                  <c:v>62558.862552594677</c:v>
                </c:pt>
                <c:pt idx="175">
                  <c:v>62558.862552594677</c:v>
                </c:pt>
                <c:pt idx="176">
                  <c:v>62558.862552594677</c:v>
                </c:pt>
                <c:pt idx="177">
                  <c:v>62558.862552594677</c:v>
                </c:pt>
                <c:pt idx="178">
                  <c:v>62558.862552594677</c:v>
                </c:pt>
                <c:pt idx="179">
                  <c:v>62558.862552594677</c:v>
                </c:pt>
                <c:pt idx="180">
                  <c:v>62558.862552594677</c:v>
                </c:pt>
                <c:pt idx="181">
                  <c:v>62558.862552594677</c:v>
                </c:pt>
                <c:pt idx="182">
                  <c:v>62558.862552594677</c:v>
                </c:pt>
                <c:pt idx="183">
                  <c:v>62558.862552594677</c:v>
                </c:pt>
                <c:pt idx="184">
                  <c:v>62558.862552594677</c:v>
                </c:pt>
                <c:pt idx="185">
                  <c:v>62558.862552594677</c:v>
                </c:pt>
                <c:pt idx="186">
                  <c:v>62558.862552594677</c:v>
                </c:pt>
                <c:pt idx="187">
                  <c:v>62558.862552594677</c:v>
                </c:pt>
                <c:pt idx="188">
                  <c:v>62558.862552594677</c:v>
                </c:pt>
                <c:pt idx="189">
                  <c:v>62558.862552594677</c:v>
                </c:pt>
                <c:pt idx="190">
                  <c:v>62558.862552594677</c:v>
                </c:pt>
                <c:pt idx="191">
                  <c:v>62558.862552594677</c:v>
                </c:pt>
                <c:pt idx="192">
                  <c:v>62558.862552594677</c:v>
                </c:pt>
                <c:pt idx="193">
                  <c:v>62558.862552594677</c:v>
                </c:pt>
                <c:pt idx="194">
                  <c:v>62558.862552594677</c:v>
                </c:pt>
                <c:pt idx="195">
                  <c:v>62558.862552594677</c:v>
                </c:pt>
                <c:pt idx="196">
                  <c:v>62558.862552594677</c:v>
                </c:pt>
                <c:pt idx="197">
                  <c:v>62558.862552594677</c:v>
                </c:pt>
                <c:pt idx="198">
                  <c:v>62558.862552594677</c:v>
                </c:pt>
                <c:pt idx="199">
                  <c:v>62558.862552594677</c:v>
                </c:pt>
                <c:pt idx="200">
                  <c:v>62558.862552594677</c:v>
                </c:pt>
                <c:pt idx="201">
                  <c:v>62558.862552594677</c:v>
                </c:pt>
                <c:pt idx="202">
                  <c:v>62558.862552594677</c:v>
                </c:pt>
                <c:pt idx="203">
                  <c:v>62558.862552594677</c:v>
                </c:pt>
                <c:pt idx="204">
                  <c:v>62558.862552594677</c:v>
                </c:pt>
                <c:pt idx="205">
                  <c:v>62558.862552594677</c:v>
                </c:pt>
                <c:pt idx="206">
                  <c:v>62558.862552594677</c:v>
                </c:pt>
                <c:pt idx="207">
                  <c:v>62558.862552594677</c:v>
                </c:pt>
                <c:pt idx="208">
                  <c:v>62558.862552594677</c:v>
                </c:pt>
                <c:pt idx="209">
                  <c:v>62558.862552594677</c:v>
                </c:pt>
                <c:pt idx="210">
                  <c:v>62558.862552594677</c:v>
                </c:pt>
                <c:pt idx="211">
                  <c:v>62558.862552594677</c:v>
                </c:pt>
                <c:pt idx="212">
                  <c:v>62558.862552594677</c:v>
                </c:pt>
                <c:pt idx="213">
                  <c:v>62558.862552594677</c:v>
                </c:pt>
                <c:pt idx="214">
                  <c:v>62558.862552594677</c:v>
                </c:pt>
                <c:pt idx="215">
                  <c:v>62558.862552594677</c:v>
                </c:pt>
                <c:pt idx="216">
                  <c:v>62558.862552594677</c:v>
                </c:pt>
                <c:pt idx="217">
                  <c:v>62558.862552594677</c:v>
                </c:pt>
                <c:pt idx="218">
                  <c:v>62558.862552594677</c:v>
                </c:pt>
                <c:pt idx="219">
                  <c:v>62558.862552594677</c:v>
                </c:pt>
                <c:pt idx="220">
                  <c:v>62558.862552594677</c:v>
                </c:pt>
                <c:pt idx="221">
                  <c:v>62558.862552594677</c:v>
                </c:pt>
                <c:pt idx="222">
                  <c:v>62558.862552594677</c:v>
                </c:pt>
                <c:pt idx="223">
                  <c:v>62558.862552594677</c:v>
                </c:pt>
                <c:pt idx="224">
                  <c:v>62558.862552594677</c:v>
                </c:pt>
                <c:pt idx="225">
                  <c:v>62558.862552594677</c:v>
                </c:pt>
                <c:pt idx="226">
                  <c:v>62558.862552594677</c:v>
                </c:pt>
                <c:pt idx="227">
                  <c:v>62558.862552594677</c:v>
                </c:pt>
                <c:pt idx="228">
                  <c:v>62558.862552594677</c:v>
                </c:pt>
                <c:pt idx="229">
                  <c:v>62558.862552594677</c:v>
                </c:pt>
                <c:pt idx="230">
                  <c:v>62558.862552594677</c:v>
                </c:pt>
                <c:pt idx="231">
                  <c:v>62558.862552594677</c:v>
                </c:pt>
                <c:pt idx="232">
                  <c:v>62558.862552594677</c:v>
                </c:pt>
                <c:pt idx="233">
                  <c:v>62558.862552594677</c:v>
                </c:pt>
                <c:pt idx="234">
                  <c:v>62558.862552594677</c:v>
                </c:pt>
                <c:pt idx="235">
                  <c:v>62558.862552594677</c:v>
                </c:pt>
                <c:pt idx="236">
                  <c:v>62558.862552594677</c:v>
                </c:pt>
                <c:pt idx="237">
                  <c:v>62558.862552594677</c:v>
                </c:pt>
                <c:pt idx="238">
                  <c:v>62558.862552594677</c:v>
                </c:pt>
                <c:pt idx="239">
                  <c:v>62558.862552594677</c:v>
                </c:pt>
                <c:pt idx="240">
                  <c:v>62558.862552594677</c:v>
                </c:pt>
                <c:pt idx="241">
                  <c:v>62558.862552594677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43906</c:v>
                </c:pt>
                <c:pt idx="1">
                  <c:v>43907</c:v>
                </c:pt>
                <c:pt idx="2">
                  <c:v>43908</c:v>
                </c:pt>
                <c:pt idx="3">
                  <c:v>43909</c:v>
                </c:pt>
                <c:pt idx="4">
                  <c:v>43910</c:v>
                </c:pt>
                <c:pt idx="5">
                  <c:v>43911</c:v>
                </c:pt>
                <c:pt idx="6">
                  <c:v>43912</c:v>
                </c:pt>
                <c:pt idx="7">
                  <c:v>43913</c:v>
                </c:pt>
                <c:pt idx="8">
                  <c:v>43914</c:v>
                </c:pt>
                <c:pt idx="9">
                  <c:v>43915</c:v>
                </c:pt>
                <c:pt idx="10">
                  <c:v>43916</c:v>
                </c:pt>
                <c:pt idx="11">
                  <c:v>43917</c:v>
                </c:pt>
                <c:pt idx="12">
                  <c:v>43918</c:v>
                </c:pt>
                <c:pt idx="13">
                  <c:v>43919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43925</c:v>
                </c:pt>
                <c:pt idx="20">
                  <c:v>43926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43931</c:v>
                </c:pt>
                <c:pt idx="26">
                  <c:v>43932</c:v>
                </c:pt>
                <c:pt idx="27">
                  <c:v>43933</c:v>
                </c:pt>
                <c:pt idx="28">
                  <c:v>43934</c:v>
                </c:pt>
                <c:pt idx="29">
                  <c:v>43935</c:v>
                </c:pt>
                <c:pt idx="30">
                  <c:v>43936</c:v>
                </c:pt>
                <c:pt idx="31">
                  <c:v>43937</c:v>
                </c:pt>
                <c:pt idx="32">
                  <c:v>43938</c:v>
                </c:pt>
                <c:pt idx="33">
                  <c:v>43939</c:v>
                </c:pt>
                <c:pt idx="34">
                  <c:v>43940</c:v>
                </c:pt>
                <c:pt idx="35">
                  <c:v>43941</c:v>
                </c:pt>
                <c:pt idx="36">
                  <c:v>43942</c:v>
                </c:pt>
                <c:pt idx="37">
                  <c:v>43943</c:v>
                </c:pt>
                <c:pt idx="38">
                  <c:v>43944</c:v>
                </c:pt>
                <c:pt idx="39">
                  <c:v>43945</c:v>
                </c:pt>
                <c:pt idx="40">
                  <c:v>43946</c:v>
                </c:pt>
                <c:pt idx="41">
                  <c:v>43947</c:v>
                </c:pt>
                <c:pt idx="42">
                  <c:v>43948</c:v>
                </c:pt>
                <c:pt idx="43">
                  <c:v>43949</c:v>
                </c:pt>
                <c:pt idx="44">
                  <c:v>43950</c:v>
                </c:pt>
                <c:pt idx="45">
                  <c:v>43951</c:v>
                </c:pt>
                <c:pt idx="46">
                  <c:v>43952</c:v>
                </c:pt>
                <c:pt idx="47">
                  <c:v>43953</c:v>
                </c:pt>
                <c:pt idx="48">
                  <c:v>43954</c:v>
                </c:pt>
                <c:pt idx="49">
                  <c:v>43955</c:v>
                </c:pt>
                <c:pt idx="50">
                  <c:v>43956</c:v>
                </c:pt>
                <c:pt idx="51">
                  <c:v>43957</c:v>
                </c:pt>
                <c:pt idx="52">
                  <c:v>43958</c:v>
                </c:pt>
                <c:pt idx="53">
                  <c:v>43959</c:v>
                </c:pt>
                <c:pt idx="54">
                  <c:v>43960</c:v>
                </c:pt>
                <c:pt idx="55">
                  <c:v>43961</c:v>
                </c:pt>
                <c:pt idx="56">
                  <c:v>43962</c:v>
                </c:pt>
                <c:pt idx="57">
                  <c:v>43963</c:v>
                </c:pt>
                <c:pt idx="58">
                  <c:v>43964</c:v>
                </c:pt>
                <c:pt idx="59">
                  <c:v>43965</c:v>
                </c:pt>
                <c:pt idx="60">
                  <c:v>43966</c:v>
                </c:pt>
                <c:pt idx="61">
                  <c:v>43967</c:v>
                </c:pt>
                <c:pt idx="62">
                  <c:v>43968</c:v>
                </c:pt>
                <c:pt idx="63">
                  <c:v>43969</c:v>
                </c:pt>
                <c:pt idx="64">
                  <c:v>43970</c:v>
                </c:pt>
                <c:pt idx="65">
                  <c:v>43971</c:v>
                </c:pt>
                <c:pt idx="66">
                  <c:v>43972</c:v>
                </c:pt>
                <c:pt idx="67">
                  <c:v>43973</c:v>
                </c:pt>
                <c:pt idx="68">
                  <c:v>43974</c:v>
                </c:pt>
                <c:pt idx="69">
                  <c:v>43975</c:v>
                </c:pt>
                <c:pt idx="70">
                  <c:v>43976</c:v>
                </c:pt>
                <c:pt idx="71">
                  <c:v>43977</c:v>
                </c:pt>
                <c:pt idx="72">
                  <c:v>43978</c:v>
                </c:pt>
                <c:pt idx="73">
                  <c:v>43979</c:v>
                </c:pt>
                <c:pt idx="74">
                  <c:v>43980</c:v>
                </c:pt>
                <c:pt idx="75">
                  <c:v>43981</c:v>
                </c:pt>
                <c:pt idx="76">
                  <c:v>43982</c:v>
                </c:pt>
                <c:pt idx="77">
                  <c:v>43983</c:v>
                </c:pt>
                <c:pt idx="78">
                  <c:v>43984</c:v>
                </c:pt>
                <c:pt idx="79">
                  <c:v>43985</c:v>
                </c:pt>
                <c:pt idx="80">
                  <c:v>43986</c:v>
                </c:pt>
                <c:pt idx="81">
                  <c:v>43987</c:v>
                </c:pt>
                <c:pt idx="82">
                  <c:v>43988</c:v>
                </c:pt>
                <c:pt idx="83">
                  <c:v>43989</c:v>
                </c:pt>
                <c:pt idx="84">
                  <c:v>43990</c:v>
                </c:pt>
                <c:pt idx="85">
                  <c:v>43991</c:v>
                </c:pt>
                <c:pt idx="86">
                  <c:v>43992</c:v>
                </c:pt>
                <c:pt idx="87">
                  <c:v>43993</c:v>
                </c:pt>
                <c:pt idx="88">
                  <c:v>43994</c:v>
                </c:pt>
                <c:pt idx="89">
                  <c:v>43995</c:v>
                </c:pt>
                <c:pt idx="90">
                  <c:v>43996</c:v>
                </c:pt>
                <c:pt idx="91">
                  <c:v>43997</c:v>
                </c:pt>
                <c:pt idx="92">
                  <c:v>43998</c:v>
                </c:pt>
                <c:pt idx="93">
                  <c:v>43999</c:v>
                </c:pt>
                <c:pt idx="94">
                  <c:v>44000</c:v>
                </c:pt>
                <c:pt idx="95">
                  <c:v>44001</c:v>
                </c:pt>
                <c:pt idx="96">
                  <c:v>44002</c:v>
                </c:pt>
                <c:pt idx="97">
                  <c:v>44003</c:v>
                </c:pt>
                <c:pt idx="98">
                  <c:v>44004</c:v>
                </c:pt>
                <c:pt idx="99">
                  <c:v>44005</c:v>
                </c:pt>
                <c:pt idx="100">
                  <c:v>44006</c:v>
                </c:pt>
                <c:pt idx="101">
                  <c:v>44007</c:v>
                </c:pt>
                <c:pt idx="102">
                  <c:v>44008</c:v>
                </c:pt>
                <c:pt idx="103">
                  <c:v>44009</c:v>
                </c:pt>
                <c:pt idx="104">
                  <c:v>44010</c:v>
                </c:pt>
                <c:pt idx="105">
                  <c:v>44011</c:v>
                </c:pt>
                <c:pt idx="106">
                  <c:v>44012</c:v>
                </c:pt>
                <c:pt idx="107">
                  <c:v>44013</c:v>
                </c:pt>
                <c:pt idx="108">
                  <c:v>44014</c:v>
                </c:pt>
                <c:pt idx="109">
                  <c:v>44015</c:v>
                </c:pt>
                <c:pt idx="110">
                  <c:v>44016</c:v>
                </c:pt>
                <c:pt idx="111">
                  <c:v>44017</c:v>
                </c:pt>
                <c:pt idx="112">
                  <c:v>44018</c:v>
                </c:pt>
                <c:pt idx="113">
                  <c:v>44019</c:v>
                </c:pt>
                <c:pt idx="114">
                  <c:v>44020</c:v>
                </c:pt>
                <c:pt idx="115">
                  <c:v>44021</c:v>
                </c:pt>
                <c:pt idx="116">
                  <c:v>44022</c:v>
                </c:pt>
                <c:pt idx="117">
                  <c:v>44023</c:v>
                </c:pt>
                <c:pt idx="118">
                  <c:v>44024</c:v>
                </c:pt>
                <c:pt idx="119">
                  <c:v>44025</c:v>
                </c:pt>
                <c:pt idx="120">
                  <c:v>44026</c:v>
                </c:pt>
                <c:pt idx="121">
                  <c:v>44027</c:v>
                </c:pt>
                <c:pt idx="122">
                  <c:v>44028</c:v>
                </c:pt>
                <c:pt idx="123">
                  <c:v>44029</c:v>
                </c:pt>
                <c:pt idx="124">
                  <c:v>44030</c:v>
                </c:pt>
                <c:pt idx="125">
                  <c:v>44031</c:v>
                </c:pt>
                <c:pt idx="126">
                  <c:v>44032</c:v>
                </c:pt>
                <c:pt idx="127">
                  <c:v>44033</c:v>
                </c:pt>
                <c:pt idx="128">
                  <c:v>44034</c:v>
                </c:pt>
                <c:pt idx="129">
                  <c:v>44035</c:v>
                </c:pt>
                <c:pt idx="130">
                  <c:v>44036</c:v>
                </c:pt>
                <c:pt idx="131">
                  <c:v>44037</c:v>
                </c:pt>
                <c:pt idx="132">
                  <c:v>44038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44044</c:v>
                </c:pt>
                <c:pt idx="139">
                  <c:v>44045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44051</c:v>
                </c:pt>
                <c:pt idx="146">
                  <c:v>44052</c:v>
                </c:pt>
                <c:pt idx="147">
                  <c:v>44053</c:v>
                </c:pt>
                <c:pt idx="148">
                  <c:v>44054</c:v>
                </c:pt>
                <c:pt idx="149">
                  <c:v>44055</c:v>
                </c:pt>
                <c:pt idx="150">
                  <c:v>44056</c:v>
                </c:pt>
                <c:pt idx="151">
                  <c:v>44057</c:v>
                </c:pt>
                <c:pt idx="152">
                  <c:v>44058</c:v>
                </c:pt>
                <c:pt idx="153">
                  <c:v>44059</c:v>
                </c:pt>
                <c:pt idx="154">
                  <c:v>44060</c:v>
                </c:pt>
                <c:pt idx="155">
                  <c:v>44061</c:v>
                </c:pt>
                <c:pt idx="156">
                  <c:v>44062</c:v>
                </c:pt>
                <c:pt idx="157">
                  <c:v>44063</c:v>
                </c:pt>
                <c:pt idx="158">
                  <c:v>44064</c:v>
                </c:pt>
                <c:pt idx="159">
                  <c:v>44065</c:v>
                </c:pt>
                <c:pt idx="160">
                  <c:v>44066</c:v>
                </c:pt>
                <c:pt idx="161">
                  <c:v>44067</c:v>
                </c:pt>
                <c:pt idx="162">
                  <c:v>44068</c:v>
                </c:pt>
                <c:pt idx="163">
                  <c:v>44069</c:v>
                </c:pt>
                <c:pt idx="164">
                  <c:v>44070</c:v>
                </c:pt>
                <c:pt idx="165">
                  <c:v>44071</c:v>
                </c:pt>
                <c:pt idx="166">
                  <c:v>44072</c:v>
                </c:pt>
                <c:pt idx="167">
                  <c:v>44073</c:v>
                </c:pt>
                <c:pt idx="168">
                  <c:v>44074</c:v>
                </c:pt>
                <c:pt idx="169">
                  <c:v>44075</c:v>
                </c:pt>
                <c:pt idx="170">
                  <c:v>44076</c:v>
                </c:pt>
                <c:pt idx="171">
                  <c:v>44077</c:v>
                </c:pt>
                <c:pt idx="172">
                  <c:v>44078</c:v>
                </c:pt>
                <c:pt idx="173">
                  <c:v>44079</c:v>
                </c:pt>
                <c:pt idx="174">
                  <c:v>44080</c:v>
                </c:pt>
                <c:pt idx="175">
                  <c:v>44081</c:v>
                </c:pt>
                <c:pt idx="176">
                  <c:v>44082</c:v>
                </c:pt>
                <c:pt idx="177">
                  <c:v>44083</c:v>
                </c:pt>
                <c:pt idx="178">
                  <c:v>44084</c:v>
                </c:pt>
                <c:pt idx="179">
                  <c:v>44085</c:v>
                </c:pt>
                <c:pt idx="180">
                  <c:v>44086</c:v>
                </c:pt>
                <c:pt idx="181">
                  <c:v>44087</c:v>
                </c:pt>
                <c:pt idx="182">
                  <c:v>44088</c:v>
                </c:pt>
                <c:pt idx="183">
                  <c:v>44089</c:v>
                </c:pt>
                <c:pt idx="184">
                  <c:v>44090</c:v>
                </c:pt>
                <c:pt idx="185">
                  <c:v>44091</c:v>
                </c:pt>
                <c:pt idx="186">
                  <c:v>44092</c:v>
                </c:pt>
                <c:pt idx="187">
                  <c:v>44093</c:v>
                </c:pt>
                <c:pt idx="188">
                  <c:v>44094</c:v>
                </c:pt>
                <c:pt idx="189">
                  <c:v>44095</c:v>
                </c:pt>
                <c:pt idx="190">
                  <c:v>44096</c:v>
                </c:pt>
                <c:pt idx="191">
                  <c:v>44097</c:v>
                </c:pt>
                <c:pt idx="192">
                  <c:v>44098</c:v>
                </c:pt>
                <c:pt idx="193">
                  <c:v>44099</c:v>
                </c:pt>
                <c:pt idx="194">
                  <c:v>44100</c:v>
                </c:pt>
                <c:pt idx="195">
                  <c:v>44101</c:v>
                </c:pt>
                <c:pt idx="196">
                  <c:v>44102</c:v>
                </c:pt>
                <c:pt idx="197">
                  <c:v>44103</c:v>
                </c:pt>
                <c:pt idx="198">
                  <c:v>44104</c:v>
                </c:pt>
                <c:pt idx="199">
                  <c:v>44105</c:v>
                </c:pt>
                <c:pt idx="200">
                  <c:v>44106</c:v>
                </c:pt>
                <c:pt idx="201">
                  <c:v>44107</c:v>
                </c:pt>
                <c:pt idx="202">
                  <c:v>44108</c:v>
                </c:pt>
                <c:pt idx="203">
                  <c:v>44109</c:v>
                </c:pt>
                <c:pt idx="204">
                  <c:v>44110</c:v>
                </c:pt>
                <c:pt idx="205">
                  <c:v>44111</c:v>
                </c:pt>
                <c:pt idx="206">
                  <c:v>44112</c:v>
                </c:pt>
                <c:pt idx="207">
                  <c:v>44113</c:v>
                </c:pt>
                <c:pt idx="208">
                  <c:v>44114</c:v>
                </c:pt>
                <c:pt idx="209">
                  <c:v>44115</c:v>
                </c:pt>
                <c:pt idx="210">
                  <c:v>44116</c:v>
                </c:pt>
                <c:pt idx="211">
                  <c:v>44117</c:v>
                </c:pt>
                <c:pt idx="212">
                  <c:v>44118</c:v>
                </c:pt>
                <c:pt idx="213">
                  <c:v>44119</c:v>
                </c:pt>
                <c:pt idx="214">
                  <c:v>44120</c:v>
                </c:pt>
                <c:pt idx="215">
                  <c:v>44121</c:v>
                </c:pt>
                <c:pt idx="216">
                  <c:v>44122</c:v>
                </c:pt>
                <c:pt idx="217">
                  <c:v>44123</c:v>
                </c:pt>
                <c:pt idx="218">
                  <c:v>44124</c:v>
                </c:pt>
                <c:pt idx="219">
                  <c:v>44125</c:v>
                </c:pt>
                <c:pt idx="220">
                  <c:v>44126</c:v>
                </c:pt>
                <c:pt idx="221">
                  <c:v>44127</c:v>
                </c:pt>
                <c:pt idx="222">
                  <c:v>44128</c:v>
                </c:pt>
                <c:pt idx="223">
                  <c:v>44129</c:v>
                </c:pt>
                <c:pt idx="224">
                  <c:v>44130</c:v>
                </c:pt>
                <c:pt idx="225">
                  <c:v>44131</c:v>
                </c:pt>
                <c:pt idx="226">
                  <c:v>44132</c:v>
                </c:pt>
                <c:pt idx="227">
                  <c:v>44133</c:v>
                </c:pt>
                <c:pt idx="228">
                  <c:v>44134</c:v>
                </c:pt>
                <c:pt idx="229">
                  <c:v>44135</c:v>
                </c:pt>
                <c:pt idx="230">
                  <c:v>44136</c:v>
                </c:pt>
                <c:pt idx="231">
                  <c:v>44137</c:v>
                </c:pt>
                <c:pt idx="232">
                  <c:v>44138</c:v>
                </c:pt>
                <c:pt idx="233">
                  <c:v>44139</c:v>
                </c:pt>
                <c:pt idx="234">
                  <c:v>44140</c:v>
                </c:pt>
                <c:pt idx="235">
                  <c:v>44141</c:v>
                </c:pt>
                <c:pt idx="236">
                  <c:v>44142</c:v>
                </c:pt>
                <c:pt idx="237">
                  <c:v>44143</c:v>
                </c:pt>
                <c:pt idx="238">
                  <c:v>44144</c:v>
                </c:pt>
                <c:pt idx="239">
                  <c:v>44145</c:v>
                </c:pt>
                <c:pt idx="240">
                  <c:v>44146</c:v>
                </c:pt>
                <c:pt idx="241">
                  <c:v>44147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1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54"/>
          <c:min val="439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965.614528734843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4472C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27"/>
          <c:order val="10"/>
          <c:tx>
            <c:strRef>
              <c:f>Days_Since_100!$H$19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134</c:v>
                </c:pt>
                <c:pt idx="1">
                  <c:v>153</c:v>
                </c:pt>
                <c:pt idx="2">
                  <c:v>305</c:v>
                </c:pt>
                <c:pt idx="3">
                  <c:v>371</c:v>
                </c:pt>
                <c:pt idx="4">
                  <c:v>427</c:v>
                </c:pt>
                <c:pt idx="5">
                  <c:v>635</c:v>
                </c:pt>
                <c:pt idx="6">
                  <c:v>919</c:v>
                </c:pt>
                <c:pt idx="7">
                  <c:v>1133</c:v>
                </c:pt>
                <c:pt idx="8">
                  <c:v>1604</c:v>
                </c:pt>
                <c:pt idx="9">
                  <c:v>2266</c:v>
                </c:pt>
                <c:pt idx="10">
                  <c:v>2969</c:v>
                </c:pt>
                <c:pt idx="11">
                  <c:v>4204</c:v>
                </c:pt>
                <c:pt idx="12">
                  <c:v>5055</c:v>
                </c:pt>
                <c:pt idx="13">
                  <c:v>5926</c:v>
                </c:pt>
                <c:pt idx="14">
                  <c:v>6804</c:v>
                </c:pt>
                <c:pt idx="15">
                  <c:v>7992</c:v>
                </c:pt>
                <c:pt idx="16">
                  <c:v>9251</c:v>
                </c:pt>
                <c:pt idx="17">
                  <c:v>10656</c:v>
                </c:pt>
                <c:pt idx="18">
                  <c:v>11838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32"/>
          <c:order val="11"/>
          <c:tx>
            <c:strRef>
              <c:f>Days_Since_100!$H$23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  <c:pt idx="7">
                  <c:v>3629</c:v>
                </c:pt>
                <c:pt idx="8">
                  <c:v>5698</c:v>
                </c:pt>
                <c:pt idx="9">
                  <c:v>7402</c:v>
                </c:pt>
                <c:pt idx="10">
                  <c:v>9217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15"/>
          <c:order val="12"/>
          <c:tx>
            <c:strRef>
              <c:f>Days_Since_100!$H$25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  <c:pt idx="16">
                  <c:v>4682</c:v>
                </c:pt>
                <c:pt idx="17">
                  <c:v>5576</c:v>
                </c:pt>
                <c:pt idx="18">
                  <c:v>6280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13"/>
          <c:tx>
            <c:strRef>
              <c:f>Days_Since_100!$H$26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  <c:pt idx="12">
                  <c:v>2995</c:v>
                </c:pt>
                <c:pt idx="13">
                  <c:v>3544</c:v>
                </c:pt>
                <c:pt idx="14">
                  <c:v>4268</c:v>
                </c:pt>
                <c:pt idx="15">
                  <c:v>5170</c:v>
                </c:pt>
                <c:pt idx="16">
                  <c:v>5962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14"/>
          <c:tx>
            <c:strRef>
              <c:f>Days_Since_100!$H$27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  <c:pt idx="20">
                  <c:v>3369</c:v>
                </c:pt>
                <c:pt idx="21">
                  <c:v>3755</c:v>
                </c:pt>
                <c:pt idx="22">
                  <c:v>4015</c:v>
                </c:pt>
                <c:pt idx="23">
                  <c:v>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15"/>
          <c:tx>
            <c:strRef>
              <c:f>Days_Since_100!$H$28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  <c:pt idx="12">
                  <c:v>2554</c:v>
                </c:pt>
                <c:pt idx="13">
                  <c:v>2985</c:v>
                </c:pt>
                <c:pt idx="14">
                  <c:v>3417</c:v>
                </c:pt>
                <c:pt idx="15">
                  <c:v>3904</c:v>
                </c:pt>
                <c:pt idx="16">
                  <c:v>4256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16"/>
          <c:tx>
            <c:strRef>
              <c:f>Days_Since_100!$H$29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100</c:v>
                </c:pt>
                <c:pt idx="1">
                  <c:v>126</c:v>
                </c:pt>
                <c:pt idx="2">
                  <c:v>155</c:v>
                </c:pt>
                <c:pt idx="3">
                  <c:v>213</c:v>
                </c:pt>
                <c:pt idx="4">
                  <c:v>218</c:v>
                </c:pt>
                <c:pt idx="5">
                  <c:v>250</c:v>
                </c:pt>
                <c:pt idx="6">
                  <c:v>304</c:v>
                </c:pt>
                <c:pt idx="7">
                  <c:v>427</c:v>
                </c:pt>
                <c:pt idx="8">
                  <c:v>529</c:v>
                </c:pt>
                <c:pt idx="9">
                  <c:v>712</c:v>
                </c:pt>
                <c:pt idx="10">
                  <c:v>883</c:v>
                </c:pt>
                <c:pt idx="11">
                  <c:v>1071</c:v>
                </c:pt>
                <c:pt idx="12">
                  <c:v>1238</c:v>
                </c:pt>
                <c:pt idx="13">
                  <c:v>2369</c:v>
                </c:pt>
                <c:pt idx="14">
                  <c:v>2693</c:v>
                </c:pt>
                <c:pt idx="15">
                  <c:v>3035</c:v>
                </c:pt>
                <c:pt idx="16">
                  <c:v>3619</c:v>
                </c:pt>
                <c:pt idx="17">
                  <c:v>4247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17"/>
          <c:tx>
            <c:strRef>
              <c:f>Days_Since_100!$H$30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104</c:v>
                </c:pt>
                <c:pt idx="1">
                  <c:v>118</c:v>
                </c:pt>
                <c:pt idx="2">
                  <c:v>134</c:v>
                </c:pt>
                <c:pt idx="3">
                  <c:v>177</c:v>
                </c:pt>
                <c:pt idx="4">
                  <c:v>243</c:v>
                </c:pt>
                <c:pt idx="5">
                  <c:v>296</c:v>
                </c:pt>
                <c:pt idx="6">
                  <c:v>374</c:v>
                </c:pt>
                <c:pt idx="7">
                  <c:v>453</c:v>
                </c:pt>
                <c:pt idx="8">
                  <c:v>556</c:v>
                </c:pt>
                <c:pt idx="9">
                  <c:v>720</c:v>
                </c:pt>
                <c:pt idx="10">
                  <c:v>873</c:v>
                </c:pt>
                <c:pt idx="11">
                  <c:v>1062</c:v>
                </c:pt>
                <c:pt idx="12">
                  <c:v>1294</c:v>
                </c:pt>
                <c:pt idx="13">
                  <c:v>1616</c:v>
                </c:pt>
                <c:pt idx="14">
                  <c:v>1996</c:v>
                </c:pt>
                <c:pt idx="15">
                  <c:v>2434</c:v>
                </c:pt>
                <c:pt idx="16">
                  <c:v>2878</c:v>
                </c:pt>
                <c:pt idx="17">
                  <c:v>3382</c:v>
                </c:pt>
                <c:pt idx="18">
                  <c:v>3672</c:v>
                </c:pt>
                <c:pt idx="19">
                  <c:v>4145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18"/>
          <c:tx>
            <c:strRef>
              <c:f>Days_Since_100!$H$31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  <c:pt idx="16">
                  <c:v>2810</c:v>
                </c:pt>
                <c:pt idx="17">
                  <c:v>3143</c:v>
                </c:pt>
                <c:pt idx="18">
                  <c:v>3640</c:v>
                </c:pt>
                <c:pt idx="19">
                  <c:v>3984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19"/>
          <c:tx>
            <c:strRef>
              <c:f>Days_Since_100!$H$32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  <c:pt idx="20">
                  <c:v>2840</c:v>
                </c:pt>
                <c:pt idx="21">
                  <c:v>3069</c:v>
                </c:pt>
                <c:pt idx="22">
                  <c:v>3447</c:v>
                </c:pt>
                <c:pt idx="23">
                  <c:v>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20"/>
          <c:tx>
            <c:strRef>
              <c:f>Days_Since_100!$H$33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  <c:pt idx="13">
                  <c:v>1925</c:v>
                </c:pt>
                <c:pt idx="14">
                  <c:v>2279</c:v>
                </c:pt>
                <c:pt idx="15">
                  <c:v>2631</c:v>
                </c:pt>
                <c:pt idx="16">
                  <c:v>2817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21"/>
          <c:tx>
            <c:strRef>
              <c:f>Days_Since_100!$H$34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  <c:pt idx="12">
                  <c:v>1819</c:v>
                </c:pt>
                <c:pt idx="13">
                  <c:v>2121</c:v>
                </c:pt>
                <c:pt idx="14">
                  <c:v>2415</c:v>
                </c:pt>
                <c:pt idx="15">
                  <c:v>2615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22"/>
          <c:tx>
            <c:strRef>
              <c:f>Days_Since_100!$H$35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  <c:pt idx="17">
                  <c:v>2200</c:v>
                </c:pt>
                <c:pt idx="18">
                  <c:v>2366</c:v>
                </c:pt>
                <c:pt idx="19">
                  <c:v>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23"/>
          <c:tx>
            <c:strRef>
              <c:f>Days_Since_100!$H$36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  <c:pt idx="16">
                  <c:v>1796</c:v>
                </c:pt>
                <c:pt idx="17">
                  <c:v>2031</c:v>
                </c:pt>
                <c:pt idx="18">
                  <c:v>2161</c:v>
                </c:pt>
                <c:pt idx="19">
                  <c:v>2320</c:v>
                </c:pt>
                <c:pt idx="20">
                  <c:v>2470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24"/>
          <c:tx>
            <c:strRef>
              <c:f>Days_Since_100!$H$37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1610</c:v>
                </c:pt>
                <c:pt idx="12">
                  <c:v>1909</c:v>
                </c:pt>
                <c:pt idx="13">
                  <c:v>2139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25"/>
          <c:tx>
            <c:strRef>
              <c:f>Days_Since_100!$H$38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  <c:pt idx="9">
                  <c:v>1453</c:v>
                </c:pt>
                <c:pt idx="10">
                  <c:v>1605</c:v>
                </c:pt>
                <c:pt idx="11">
                  <c:v>1831</c:v>
                </c:pt>
                <c:pt idx="12">
                  <c:v>1950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26"/>
          <c:tx>
            <c:strRef>
              <c:f>Days_Since_100!$H$39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  <c:pt idx="8">
                  <c:v>1403</c:v>
                </c:pt>
                <c:pt idx="9">
                  <c:v>1595</c:v>
                </c:pt>
                <c:pt idx="10">
                  <c:v>1823</c:v>
                </c:pt>
                <c:pt idx="11">
                  <c:v>1924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27"/>
          <c:tx>
            <c:strRef>
              <c:f>Days_Since_100!$H$40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  <c:pt idx="35">
                  <c:v>1468</c:v>
                </c:pt>
                <c:pt idx="36">
                  <c:v>1693</c:v>
                </c:pt>
                <c:pt idx="37">
                  <c:v>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28"/>
          <c:tx>
            <c:strRef>
              <c:f>Days_Since_100!$H$41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  <c:pt idx="12">
                  <c:v>1221</c:v>
                </c:pt>
                <c:pt idx="13">
                  <c:v>1389</c:v>
                </c:pt>
                <c:pt idx="14">
                  <c:v>1638</c:v>
                </c:pt>
                <c:pt idx="15">
                  <c:v>1862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29"/>
          <c:tx>
            <c:strRef>
              <c:f>Days_Since_100!$H$42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  <c:pt idx="12">
                  <c:v>1029</c:v>
                </c:pt>
                <c:pt idx="13">
                  <c:v>1292</c:v>
                </c:pt>
                <c:pt idx="14">
                  <c:v>1452</c:v>
                </c:pt>
                <c:pt idx="15">
                  <c:v>1815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30"/>
          <c:tx>
            <c:strRef>
              <c:f>Days_Since_100!$H$43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  <c:pt idx="10">
                  <c:v>1201</c:v>
                </c:pt>
                <c:pt idx="11">
                  <c:v>1373</c:v>
                </c:pt>
                <c:pt idx="12">
                  <c:v>1495</c:v>
                </c:pt>
                <c:pt idx="13">
                  <c:v>1597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31"/>
          <c:tx>
            <c:strRef>
              <c:f>Days_Since_100!$H$44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  <c:pt idx="9">
                  <c:v>840</c:v>
                </c:pt>
                <c:pt idx="10">
                  <c:v>1036</c:v>
                </c:pt>
                <c:pt idx="11">
                  <c:v>1264</c:v>
                </c:pt>
                <c:pt idx="12">
                  <c:v>1534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32"/>
          <c:tx>
            <c:strRef>
              <c:f>Days_Since_100!$H$45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  <c:pt idx="12">
                  <c:v>707</c:v>
                </c:pt>
                <c:pt idx="13">
                  <c:v>803</c:v>
                </c:pt>
                <c:pt idx="14">
                  <c:v>1075</c:v>
                </c:pt>
                <c:pt idx="15">
                  <c:v>1418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33"/>
          <c:tx>
            <c:strRef>
              <c:f>Days_Since_100!$H$46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  <c:pt idx="11">
                  <c:v>1045</c:v>
                </c:pt>
                <c:pt idx="12">
                  <c:v>1136</c:v>
                </c:pt>
                <c:pt idx="13">
                  <c:v>1245</c:v>
                </c:pt>
                <c:pt idx="14">
                  <c:v>1388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34"/>
          <c:tx>
            <c:strRef>
              <c:f>Days_Since_100!$H$47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  <c:pt idx="12">
                  <c:v>1012</c:v>
                </c:pt>
                <c:pt idx="13">
                  <c:v>1104</c:v>
                </c:pt>
                <c:pt idx="14">
                  <c:v>1203</c:v>
                </c:pt>
                <c:pt idx="15">
                  <c:v>1299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35"/>
          <c:tx>
            <c:strRef>
              <c:f>Days_Since_100!$H$48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  <c:pt idx="11">
                  <c:v>893</c:v>
                </c:pt>
                <c:pt idx="12">
                  <c:v>1046</c:v>
                </c:pt>
                <c:pt idx="13">
                  <c:v>1155</c:v>
                </c:pt>
                <c:pt idx="14">
                  <c:v>1285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36"/>
          <c:tx>
            <c:strRef>
              <c:f>Days_Since_100!$H$49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  <c:pt idx="8">
                  <c:v>927</c:v>
                </c:pt>
                <c:pt idx="9">
                  <c:v>1170</c:v>
                </c:pt>
                <c:pt idx="10">
                  <c:v>1187</c:v>
                </c:pt>
                <c:pt idx="11">
                  <c:v>1280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37"/>
          <c:tx>
            <c:strRef>
              <c:f>Days_Since_100!$H$50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  <c:pt idx="12">
                  <c:v>880</c:v>
                </c:pt>
                <c:pt idx="13">
                  <c:v>958</c:v>
                </c:pt>
                <c:pt idx="14">
                  <c:v>1041</c:v>
                </c:pt>
                <c:pt idx="15">
                  <c:v>1167</c:v>
                </c:pt>
                <c:pt idx="16">
                  <c:v>1240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38"/>
          <c:tx>
            <c:strRef>
              <c:f>Days_Since_100!$H$51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  <c:pt idx="12">
                  <c:v>821</c:v>
                </c:pt>
                <c:pt idx="13">
                  <c:v>892</c:v>
                </c:pt>
                <c:pt idx="14">
                  <c:v>966</c:v>
                </c:pt>
                <c:pt idx="15">
                  <c:v>1061</c:v>
                </c:pt>
                <c:pt idx="16">
                  <c:v>1156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39"/>
          <c:tx>
            <c:strRef>
              <c:f>Days_Since_100!$H$52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  <c:pt idx="12">
                  <c:v>727</c:v>
                </c:pt>
                <c:pt idx="13">
                  <c:v>887</c:v>
                </c:pt>
                <c:pt idx="14">
                  <c:v>987</c:v>
                </c:pt>
                <c:pt idx="15">
                  <c:v>1024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40"/>
          <c:tx>
            <c:strRef>
              <c:f>Days_Since_100!$H$53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  <c:pt idx="14">
                  <c:v>802</c:v>
                </c:pt>
                <c:pt idx="15">
                  <c:v>890</c:v>
                </c:pt>
                <c:pt idx="16">
                  <c:v>963</c:v>
                </c:pt>
                <c:pt idx="17">
                  <c:v>1020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41"/>
          <c:tx>
            <c:strRef>
              <c:f>Days_Since_100!$H$54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  <c:pt idx="7">
                  <c:v>558</c:v>
                </c:pt>
                <c:pt idx="8">
                  <c:v>674</c:v>
                </c:pt>
                <c:pt idx="9">
                  <c:v>786</c:v>
                </c:pt>
                <c:pt idx="10">
                  <c:v>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42"/>
          <c:tx>
            <c:strRef>
              <c:f>Days_Since_100!$H$55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  <c:pt idx="5">
                  <c:v>488</c:v>
                </c:pt>
                <c:pt idx="6">
                  <c:v>581</c:v>
                </c:pt>
                <c:pt idx="7">
                  <c:v>719</c:v>
                </c:pt>
                <c:pt idx="8">
                  <c:v>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43"/>
          <c:tx>
            <c:strRef>
              <c:f>Days_Since_100!$H$56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  <c:pt idx="9">
                  <c:v>580</c:v>
                </c:pt>
                <c:pt idx="10">
                  <c:v>635</c:v>
                </c:pt>
                <c:pt idx="11">
                  <c:v>671</c:v>
                </c:pt>
                <c:pt idx="12">
                  <c:v>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44"/>
          <c:tx>
            <c:strRef>
              <c:f>Days_Since_100!$H$57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  <c:pt idx="7">
                  <c:v>475</c:v>
                </c:pt>
                <c:pt idx="8">
                  <c:v>585</c:v>
                </c:pt>
                <c:pt idx="9">
                  <c:v>717</c:v>
                </c:pt>
                <c:pt idx="10">
                  <c:v>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45"/>
          <c:tx>
            <c:strRef>
              <c:f>Days_Since_100!$H$58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  <c:pt idx="26">
                  <c:v>683</c:v>
                </c:pt>
                <c:pt idx="27">
                  <c:v>732</c:v>
                </c:pt>
                <c:pt idx="28">
                  <c:v>802</c:v>
                </c:pt>
                <c:pt idx="29">
                  <c:v>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46"/>
          <c:tx>
            <c:strRef>
              <c:f>Days_Since_100!$H$59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  <c:pt idx="6">
                  <c:v>502</c:v>
                </c:pt>
                <c:pt idx="7">
                  <c:v>589</c:v>
                </c:pt>
                <c:pt idx="8">
                  <c:v>690</c:v>
                </c:pt>
                <c:pt idx="9">
                  <c:v>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47"/>
          <c:tx>
            <c:strRef>
              <c:f>Days_Since_100!$H$60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  <c:pt idx="7">
                  <c:v>384</c:v>
                </c:pt>
                <c:pt idx="8">
                  <c:v>457</c:v>
                </c:pt>
                <c:pt idx="9">
                  <c:v>659</c:v>
                </c:pt>
                <c:pt idx="10">
                  <c:v>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48"/>
          <c:tx>
            <c:strRef>
              <c:f>Days_Since_100!$H$61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  <c:pt idx="13">
                  <c:v>562</c:v>
                </c:pt>
                <c:pt idx="14">
                  <c:v>632</c:v>
                </c:pt>
                <c:pt idx="15">
                  <c:v>684</c:v>
                </c:pt>
                <c:pt idx="16">
                  <c:v>730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49"/>
          <c:tx>
            <c:strRef>
              <c:f>Days_Since_100!$H$62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  <c:pt idx="7">
                  <c:v>495</c:v>
                </c:pt>
                <c:pt idx="8">
                  <c:v>586</c:v>
                </c:pt>
                <c:pt idx="9">
                  <c:v>657</c:v>
                </c:pt>
                <c:pt idx="10">
                  <c:v>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50"/>
          <c:tx>
            <c:strRef>
              <c:f>Days_Since_100!$H$63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  <c:pt idx="7">
                  <c:v>491</c:v>
                </c:pt>
                <c:pt idx="8">
                  <c:v>539</c:v>
                </c:pt>
                <c:pt idx="9">
                  <c:v>608</c:v>
                </c:pt>
                <c:pt idx="10">
                  <c:v>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51"/>
          <c:tx>
            <c:strRef>
              <c:f>Days_Since_100!$H$64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  <c:pt idx="12">
                  <c:v>538</c:v>
                </c:pt>
                <c:pt idx="13">
                  <c:v>575</c:v>
                </c:pt>
                <c:pt idx="14">
                  <c:v>645</c:v>
                </c:pt>
                <c:pt idx="15">
                  <c:v>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52"/>
          <c:tx>
            <c:strRef>
              <c:f>Days_Since_100!$H$65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  <c:pt idx="15">
                  <c:v>549</c:v>
                </c:pt>
                <c:pt idx="16">
                  <c:v>562</c:v>
                </c:pt>
                <c:pt idx="17">
                  <c:v>590</c:v>
                </c:pt>
                <c:pt idx="18">
                  <c:v>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53"/>
          <c:tx>
            <c:strRef>
              <c:f>Days_Since_100!$H$66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  <c:pt idx="12">
                  <c:v>495</c:v>
                </c:pt>
                <c:pt idx="13">
                  <c:v>536</c:v>
                </c:pt>
                <c:pt idx="14">
                  <c:v>576</c:v>
                </c:pt>
                <c:pt idx="15">
                  <c:v>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54"/>
          <c:tx>
            <c:strRef>
              <c:f>Days_Since_100!$H$67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  <c:pt idx="8">
                  <c:v>333</c:v>
                </c:pt>
                <c:pt idx="9">
                  <c:v>405</c:v>
                </c:pt>
                <c:pt idx="10">
                  <c:v>468</c:v>
                </c:pt>
                <c:pt idx="11">
                  <c:v>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55"/>
          <c:tx>
            <c:strRef>
              <c:f>Days_Since_100!$H$68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  <c:pt idx="12">
                  <c:v>346</c:v>
                </c:pt>
                <c:pt idx="13">
                  <c:v>382</c:v>
                </c:pt>
                <c:pt idx="14">
                  <c:v>458</c:v>
                </c:pt>
                <c:pt idx="15">
                  <c:v>506</c:v>
                </c:pt>
                <c:pt idx="16">
                  <c:v>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ser>
          <c:idx val="69"/>
          <c:order val="56"/>
          <c:tx>
            <c:strRef>
              <c:f>Days_Since_100!$H$69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  <c:pt idx="4">
                  <c:v>283</c:v>
                </c:pt>
                <c:pt idx="5">
                  <c:v>368</c:v>
                </c:pt>
                <c:pt idx="6">
                  <c:v>451</c:v>
                </c:pt>
                <c:pt idx="7">
                  <c:v>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57"/>
          <c:tx>
            <c:strRef>
              <c:f>Days_Since_100!$H$70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  <c:pt idx="5">
                  <c:v>367</c:v>
                </c:pt>
                <c:pt idx="6">
                  <c:v>409</c:v>
                </c:pt>
                <c:pt idx="7">
                  <c:v>454</c:v>
                </c:pt>
                <c:pt idx="8">
                  <c:v>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58"/>
          <c:tx>
            <c:strRef>
              <c:f>Days_Since_100!$H$71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  <c:pt idx="15">
                  <c:v>419</c:v>
                </c:pt>
                <c:pt idx="16">
                  <c:v>458</c:v>
                </c:pt>
                <c:pt idx="17">
                  <c:v>466</c:v>
                </c:pt>
                <c:pt idx="18">
                  <c:v>476</c:v>
                </c:pt>
                <c:pt idx="19">
                  <c:v>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59"/>
          <c:tx>
            <c:strRef>
              <c:f>Days_Since_100!$H$72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  <c:pt idx="4">
                  <c:v>275</c:v>
                </c:pt>
                <c:pt idx="5">
                  <c:v>345</c:v>
                </c:pt>
                <c:pt idx="6">
                  <c:v>402</c:v>
                </c:pt>
                <c:pt idx="7">
                  <c:v>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60"/>
          <c:tx>
            <c:strRef>
              <c:f>Days_Since_100!$H$73</c:f>
              <c:strCache>
                <c:ptCount val="1"/>
                <c:pt idx="0">
                  <c:v>Ukraine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145</c:v>
                </c:pt>
                <c:pt idx="1">
                  <c:v>196</c:v>
                </c:pt>
                <c:pt idx="2">
                  <c:v>310</c:v>
                </c:pt>
                <c:pt idx="3">
                  <c:v>356</c:v>
                </c:pt>
                <c:pt idx="4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61"/>
          <c:tx>
            <c:strRef>
              <c:f>Days_Since_100!$H$74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  <c:pt idx="4">
                  <c:v>299</c:v>
                </c:pt>
                <c:pt idx="5">
                  <c:v>358</c:v>
                </c:pt>
                <c:pt idx="6">
                  <c:v>394</c:v>
                </c:pt>
                <c:pt idx="7">
                  <c:v>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62"/>
          <c:tx>
            <c:strRef>
              <c:f>Days_Since_100!$H$75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  <c:pt idx="10">
                  <c:v>333</c:v>
                </c:pt>
                <c:pt idx="11">
                  <c:v>368</c:v>
                </c:pt>
                <c:pt idx="12">
                  <c:v>391</c:v>
                </c:pt>
                <c:pt idx="13">
                  <c:v>412</c:v>
                </c:pt>
                <c:pt idx="14">
                  <c:v>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63"/>
          <c:tx>
            <c:strRef>
              <c:f>Days_Since_100!$H$76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  <c:pt idx="7">
                  <c:v>290</c:v>
                </c:pt>
                <c:pt idx="8">
                  <c:v>329</c:v>
                </c:pt>
                <c:pt idx="9">
                  <c:v>407</c:v>
                </c:pt>
                <c:pt idx="10">
                  <c:v>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64"/>
          <c:tx>
            <c:strRef>
              <c:f>Days_Since_100!$H$77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  <c:pt idx="5">
                  <c:v>261</c:v>
                </c:pt>
                <c:pt idx="6">
                  <c:v>300</c:v>
                </c:pt>
                <c:pt idx="7">
                  <c:v>343</c:v>
                </c:pt>
                <c:pt idx="8">
                  <c:v>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65"/>
          <c:tx>
            <c:strRef>
              <c:f>Days_Since_100!$H$78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  <c:pt idx="6">
                  <c:v>244</c:v>
                </c:pt>
                <c:pt idx="7">
                  <c:v>280</c:v>
                </c:pt>
                <c:pt idx="8">
                  <c:v>305</c:v>
                </c:pt>
                <c:pt idx="9">
                  <c:v>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66"/>
          <c:tx>
            <c:strRef>
              <c:f>Days_Since_100!$H$79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  <c:pt idx="6">
                  <c:v>264</c:v>
                </c:pt>
                <c:pt idx="7">
                  <c:v>293</c:v>
                </c:pt>
                <c:pt idx="8">
                  <c:v>331</c:v>
                </c:pt>
                <c:pt idx="9">
                  <c:v>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67"/>
          <c:tx>
            <c:strRef>
              <c:f>Days_Since_100!$H$80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  <c:pt idx="4">
                  <c:v>224</c:v>
                </c:pt>
                <c:pt idx="5">
                  <c:v>267</c:v>
                </c:pt>
                <c:pt idx="6">
                  <c:v>308</c:v>
                </c:pt>
                <c:pt idx="7">
                  <c:v>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68"/>
          <c:tx>
            <c:strRef>
              <c:f>Days_Since_100!$H$81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  <c:pt idx="4">
                  <c:v>191</c:v>
                </c:pt>
                <c:pt idx="5">
                  <c:v>237</c:v>
                </c:pt>
                <c:pt idx="6">
                  <c:v>258</c:v>
                </c:pt>
                <c:pt idx="7">
                  <c:v>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69"/>
          <c:tx>
            <c:strRef>
              <c:f>Days_Since_100!$H$82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  <c:pt idx="8">
                  <c:v>226</c:v>
                </c:pt>
                <c:pt idx="9">
                  <c:v>269</c:v>
                </c:pt>
                <c:pt idx="10">
                  <c:v>292</c:v>
                </c:pt>
                <c:pt idx="11">
                  <c:v>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70"/>
          <c:tx>
            <c:strRef>
              <c:f>Days_Since_100!$H$83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  <c:pt idx="4">
                  <c:v>201</c:v>
                </c:pt>
                <c:pt idx="5">
                  <c:v>231</c:v>
                </c:pt>
                <c:pt idx="6">
                  <c:v>263</c:v>
                </c:pt>
                <c:pt idx="7">
                  <c:v>295</c:v>
                </c:pt>
                <c:pt idx="8">
                  <c:v>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71"/>
          <c:tx>
            <c:strRef>
              <c:f>Days_Since_100!$H$84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  <c:pt idx="2">
                  <c:v>197</c:v>
                </c:pt>
                <c:pt idx="3">
                  <c:v>227</c:v>
                </c:pt>
                <c:pt idx="4">
                  <c:v>278</c:v>
                </c:pt>
                <c:pt idx="5">
                  <c:v>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72"/>
          <c:tx>
            <c:strRef>
              <c:f>Days_Since_100!$H$85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  <c:pt idx="8">
                  <c:v>252</c:v>
                </c:pt>
                <c:pt idx="9">
                  <c:v>267</c:v>
                </c:pt>
                <c:pt idx="10">
                  <c:v>283</c:v>
                </c:pt>
                <c:pt idx="11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73"/>
          <c:tx>
            <c:strRef>
              <c:f>Days_Since_100!$H$86</c:f>
              <c:strCache>
                <c:ptCount val="1"/>
                <c:pt idx="0">
                  <c:v>Kazakhstan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111</c:v>
                </c:pt>
                <c:pt idx="1">
                  <c:v>150</c:v>
                </c:pt>
                <c:pt idx="2">
                  <c:v>228</c:v>
                </c:pt>
                <c:pt idx="3">
                  <c:v>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74"/>
          <c:tx>
            <c:strRef>
              <c:f>Days_Since_100!$H$87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  <c:pt idx="3">
                  <c:v>177</c:v>
                </c:pt>
                <c:pt idx="4">
                  <c:v>199</c:v>
                </c:pt>
                <c:pt idx="5">
                  <c:v>231</c:v>
                </c:pt>
                <c:pt idx="6">
                  <c:v>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75"/>
          <c:tx>
            <c:strRef>
              <c:f>Days_Since_100!$H$88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  <c:pt idx="4">
                  <c:v>201</c:v>
                </c:pt>
                <c:pt idx="5">
                  <c:v>219</c:v>
                </c:pt>
                <c:pt idx="6">
                  <c:v>241</c:v>
                </c:pt>
                <c:pt idx="7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ser>
          <c:idx val="89"/>
          <c:order val="76"/>
          <c:tx>
            <c:strRef>
              <c:f>Days_Since_100!$H$89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  <c:pt idx="4">
                  <c:v>212</c:v>
                </c:pt>
                <c:pt idx="5">
                  <c:v>235</c:v>
                </c:pt>
                <c:pt idx="6">
                  <c:v>246</c:v>
                </c:pt>
                <c:pt idx="7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3-4FF3-A082-A52D1F741C41}"/>
            </c:ext>
          </c:extLst>
        </c:ser>
        <c:ser>
          <c:idx val="90"/>
          <c:order val="77"/>
          <c:tx>
            <c:strRef>
              <c:f>Days_Since_100!$H$90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Days_Since_100!$I$90:$KU$90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  <c:pt idx="11">
                  <c:v>195</c:v>
                </c:pt>
                <c:pt idx="12">
                  <c:v>208</c:v>
                </c:pt>
                <c:pt idx="13">
                  <c:v>225</c:v>
                </c:pt>
                <c:pt idx="14">
                  <c:v>235</c:v>
                </c:pt>
                <c:pt idx="15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3-4FF3-A082-A52D1F741C41}"/>
            </c:ext>
          </c:extLst>
        </c:ser>
        <c:ser>
          <c:idx val="91"/>
          <c:order val="78"/>
          <c:tx>
            <c:strRef>
              <c:f>Days_Since_100!$H$91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Days_Since_100!$I$91:$KU$91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  <c:pt idx="10">
                  <c:v>208</c:v>
                </c:pt>
                <c:pt idx="11">
                  <c:v>208</c:v>
                </c:pt>
                <c:pt idx="12">
                  <c:v>223</c:v>
                </c:pt>
                <c:pt idx="13">
                  <c:v>224</c:v>
                </c:pt>
                <c:pt idx="14">
                  <c:v>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3-4FF3-A082-A52D1F741C41}"/>
            </c:ext>
          </c:extLst>
        </c:ser>
        <c:ser>
          <c:idx val="92"/>
          <c:order val="79"/>
          <c:tx>
            <c:strRef>
              <c:f>Days_Since_100!$H$92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Days_Since_100!$I$92:$KU$92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  <c:pt idx="2">
                  <c:v>152</c:v>
                </c:pt>
                <c:pt idx="3">
                  <c:v>180</c:v>
                </c:pt>
                <c:pt idx="4">
                  <c:v>207</c:v>
                </c:pt>
                <c:pt idx="5">
                  <c:v>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3-4FF3-A082-A52D1F741C41}"/>
            </c:ext>
          </c:extLst>
        </c:ser>
        <c:ser>
          <c:idx val="93"/>
          <c:order val="80"/>
          <c:tx>
            <c:strRef>
              <c:f>Days_Since_100!$H$93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Days_Since_100!$I$93:$KU$93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  <c:pt idx="3">
                  <c:v>146</c:v>
                </c:pt>
                <c:pt idx="4">
                  <c:v>162</c:v>
                </c:pt>
                <c:pt idx="5">
                  <c:v>179</c:v>
                </c:pt>
                <c:pt idx="6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3-4FF3-A082-A52D1F741C41}"/>
            </c:ext>
          </c:extLst>
        </c:ser>
        <c:ser>
          <c:idx val="94"/>
          <c:order val="81"/>
          <c:tx>
            <c:strRef>
              <c:f>Days_Since_100!$H$94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Days_Since_100!$I$94:$KU$94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  <c:pt idx="3">
                  <c:v>174</c:v>
                </c:pt>
                <c:pt idx="4">
                  <c:v>186</c:v>
                </c:pt>
                <c:pt idx="5">
                  <c:v>197</c:v>
                </c:pt>
                <c:pt idx="6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3-4FF3-A082-A52D1F741C41}"/>
            </c:ext>
          </c:extLst>
        </c:ser>
        <c:ser>
          <c:idx val="95"/>
          <c:order val="82"/>
          <c:tx>
            <c:strRef>
              <c:f>Days_Since_100!$H$95</c:f>
              <c:strCache>
                <c:ptCount val="1"/>
                <c:pt idx="0">
                  <c:v>Azerbaijan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Days_Since_100!$I$95:$KU$95</c:f>
              <c:numCache>
                <c:formatCode>General</c:formatCode>
                <c:ptCount val="299"/>
                <c:pt idx="0">
                  <c:v>122</c:v>
                </c:pt>
                <c:pt idx="1">
                  <c:v>165</c:v>
                </c:pt>
                <c:pt idx="2">
                  <c:v>182</c:v>
                </c:pt>
                <c:pt idx="3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3-4FF3-A082-A52D1F741C41}"/>
            </c:ext>
          </c:extLst>
        </c:ser>
        <c:ser>
          <c:idx val="96"/>
          <c:order val="83"/>
          <c:tx>
            <c:strRef>
              <c:f>Days_Since_100!$H$96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Days_Since_100!$I$96:$KU$96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  <c:pt idx="4">
                  <c:v>153</c:v>
                </c:pt>
                <c:pt idx="5">
                  <c:v>163</c:v>
                </c:pt>
                <c:pt idx="6">
                  <c:v>174</c:v>
                </c:pt>
                <c:pt idx="7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3-4FF3-A082-A52D1F741C41}"/>
            </c:ext>
          </c:extLst>
        </c:ser>
        <c:ser>
          <c:idx val="97"/>
          <c:order val="84"/>
          <c:tx>
            <c:strRef>
              <c:f>Days_Since_100!$H$97</c:f>
              <c:strCache>
                <c:ptCount val="1"/>
                <c:pt idx="0">
                  <c:v>Oman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Days_Since_100!$I$97:$KU$97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  <c:pt idx="2">
                  <c:v>152</c:v>
                </c:pt>
                <c:pt idx="3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33-4FF3-A082-A52D1F741C41}"/>
            </c:ext>
          </c:extLst>
        </c:ser>
        <c:ser>
          <c:idx val="98"/>
          <c:order val="85"/>
          <c:tx>
            <c:strRef>
              <c:f>Days_Since_100!$H$98</c:f>
              <c:strCache>
                <c:ptCount val="1"/>
                <c:pt idx="0">
                  <c:v>Cote d'Ivoire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Days_Since_100!$I$98:$KU$98</c:f>
              <c:numCache>
                <c:formatCode>General</c:formatCode>
                <c:ptCount val="299"/>
                <c:pt idx="0">
                  <c:v>101</c:v>
                </c:pt>
                <c:pt idx="1">
                  <c:v>101</c:v>
                </c:pt>
                <c:pt idx="2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33-4FF3-A082-A52D1F741C41}"/>
            </c:ext>
          </c:extLst>
        </c:ser>
        <c:ser>
          <c:idx val="99"/>
          <c:order val="86"/>
          <c:tx>
            <c:strRef>
              <c:f>Days_Since_100!$H$99</c:f>
              <c:strCache>
                <c:ptCount val="1"/>
                <c:pt idx="0">
                  <c:v>Malta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Days_Since_100!$I$99:$KU$99</c:f>
              <c:numCache>
                <c:formatCode>General</c:formatCode>
                <c:ptCount val="299"/>
                <c:pt idx="0">
                  <c:v>107</c:v>
                </c:pt>
                <c:pt idx="1">
                  <c:v>110</c:v>
                </c:pt>
                <c:pt idx="2">
                  <c:v>129</c:v>
                </c:pt>
                <c:pt idx="3">
                  <c:v>134</c:v>
                </c:pt>
                <c:pt idx="4">
                  <c:v>139</c:v>
                </c:pt>
                <c:pt idx="5">
                  <c:v>149</c:v>
                </c:pt>
                <c:pt idx="6">
                  <c:v>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3-4FF3-A082-A52D1F741C41}"/>
            </c:ext>
          </c:extLst>
        </c:ser>
        <c:ser>
          <c:idx val="11"/>
          <c:order val="87"/>
          <c:tx>
            <c:strRef>
              <c:f>Days_Since_100!$H$100</c:f>
              <c:strCache>
                <c:ptCount val="1"/>
                <c:pt idx="0">
                  <c:v>Senegal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Days_Since_100!$I$100:$KU$100</c:f>
              <c:numCache>
                <c:formatCode>General</c:formatCode>
                <c:ptCount val="299"/>
                <c:pt idx="0">
                  <c:v>105</c:v>
                </c:pt>
                <c:pt idx="1">
                  <c:v>119</c:v>
                </c:pt>
                <c:pt idx="2">
                  <c:v>130</c:v>
                </c:pt>
                <c:pt idx="3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1-45FC-9D2D-BEB13ED155B7}"/>
            </c:ext>
          </c:extLst>
        </c:ser>
        <c:ser>
          <c:idx val="13"/>
          <c:order val="88"/>
          <c:tx>
            <c:strRef>
              <c:f>Days_Since_100!$H$101</c:f>
              <c:strCache>
                <c:ptCount val="1"/>
                <c:pt idx="0">
                  <c:v>Cuba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Days_Since_100!$I$101:$KU$101</c:f>
              <c:numCache>
                <c:formatCode>General</c:formatCode>
                <c:ptCount val="299"/>
                <c:pt idx="0">
                  <c:v>119</c:v>
                </c:pt>
                <c:pt idx="1">
                  <c:v>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41-45FC-9D2D-BEB13ED15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1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352132024111191"/>
          <c:y val="7.8034561373258995E-2"/>
          <c:w val="0.1764786797588882"/>
          <c:h val="0.810187305422091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15</c:v>
                </c:pt>
                <c:pt idx="2">
                  <c:v>22.5</c:v>
                </c:pt>
                <c:pt idx="3">
                  <c:v>33.75</c:v>
                </c:pt>
                <c:pt idx="4">
                  <c:v>50.625</c:v>
                </c:pt>
                <c:pt idx="5">
                  <c:v>75.9375</c:v>
                </c:pt>
                <c:pt idx="6">
                  <c:v>113.90625</c:v>
                </c:pt>
                <c:pt idx="7">
                  <c:v>170.859375</c:v>
                </c:pt>
                <c:pt idx="8">
                  <c:v>256.2890625</c:v>
                </c:pt>
                <c:pt idx="9">
                  <c:v>384.43359375</c:v>
                </c:pt>
                <c:pt idx="10">
                  <c:v>576.650390625</c:v>
                </c:pt>
                <c:pt idx="11">
                  <c:v>864.9755859375</c:v>
                </c:pt>
                <c:pt idx="12">
                  <c:v>1297.46337890625</c:v>
                </c:pt>
                <c:pt idx="13">
                  <c:v>1946.195068359375</c:v>
                </c:pt>
                <c:pt idx="14">
                  <c:v>2919.2926025390625</c:v>
                </c:pt>
                <c:pt idx="15">
                  <c:v>4378.9389038085938</c:v>
                </c:pt>
                <c:pt idx="16">
                  <c:v>6568.4083557128906</c:v>
                </c:pt>
                <c:pt idx="17">
                  <c:v>9852.6125335693359</c:v>
                </c:pt>
                <c:pt idx="18">
                  <c:v>14778.918800354004</c:v>
                </c:pt>
                <c:pt idx="19">
                  <c:v>22168.378200531006</c:v>
                </c:pt>
                <c:pt idx="20">
                  <c:v>33252.567300796509</c:v>
                </c:pt>
                <c:pt idx="21">
                  <c:v>49878.850951194763</c:v>
                </c:pt>
                <c:pt idx="22">
                  <c:v>74818.276426792145</c:v>
                </c:pt>
                <c:pt idx="23">
                  <c:v>112227.41464018822</c:v>
                </c:pt>
                <c:pt idx="24">
                  <c:v>168341.12196028233</c:v>
                </c:pt>
                <c:pt idx="25">
                  <c:v>252511.68294042349</c:v>
                </c:pt>
                <c:pt idx="26">
                  <c:v>378767.52441063523</c:v>
                </c:pt>
                <c:pt idx="27">
                  <c:v>568151.28661595285</c:v>
                </c:pt>
                <c:pt idx="28">
                  <c:v>852226.92992392927</c:v>
                </c:pt>
                <c:pt idx="29">
                  <c:v>1278340.3948858939</c:v>
                </c:pt>
                <c:pt idx="30">
                  <c:v>1917510.5923288409</c:v>
                </c:pt>
                <c:pt idx="31">
                  <c:v>2876265.8884932613</c:v>
                </c:pt>
                <c:pt idx="32">
                  <c:v>4314398.8327398915</c:v>
                </c:pt>
                <c:pt idx="33">
                  <c:v>6471598.2491098372</c:v>
                </c:pt>
                <c:pt idx="34">
                  <c:v>9707397.3736647554</c:v>
                </c:pt>
                <c:pt idx="35">
                  <c:v>14561096.060497133</c:v>
                </c:pt>
                <c:pt idx="36">
                  <c:v>21841644.090745699</c:v>
                </c:pt>
                <c:pt idx="37">
                  <c:v>32762466.136118546</c:v>
                </c:pt>
                <c:pt idx="38">
                  <c:v>49143699.204177819</c:v>
                </c:pt>
                <c:pt idx="39">
                  <c:v>73715548.806266725</c:v>
                </c:pt>
                <c:pt idx="40">
                  <c:v>110573323.20940009</c:v>
                </c:pt>
                <c:pt idx="41">
                  <c:v>165859984.81410015</c:v>
                </c:pt>
                <c:pt idx="42">
                  <c:v>248789977.22115022</c:v>
                </c:pt>
                <c:pt idx="43">
                  <c:v>373184965.83172536</c:v>
                </c:pt>
                <c:pt idx="44">
                  <c:v>559777448.74758804</c:v>
                </c:pt>
                <c:pt idx="45">
                  <c:v>839666173.121382</c:v>
                </c:pt>
                <c:pt idx="46">
                  <c:v>1259499259.6820731</c:v>
                </c:pt>
                <c:pt idx="47">
                  <c:v>1889248889.5231097</c:v>
                </c:pt>
                <c:pt idx="48">
                  <c:v>2833873334.2846646</c:v>
                </c:pt>
                <c:pt idx="49">
                  <c:v>4250810001.4269972</c:v>
                </c:pt>
                <c:pt idx="50">
                  <c:v>6376215002.1404953</c:v>
                </c:pt>
                <c:pt idx="51">
                  <c:v>9564322503.210743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65000"/>
                  <a:lumOff val="35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1"/>
          <c:order val="10"/>
          <c:tx>
            <c:strRef>
              <c:f>Deaths_since_10!$H$13</c:f>
              <c:strCache>
                <c:ptCount val="1"/>
                <c:pt idx="0">
                  <c:v>World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Deaths_since_10!$I$13:$KU$13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  <c:pt idx="65">
                  <c:v>27168</c:v>
                </c:pt>
                <c:pt idx="66">
                  <c:v>30618</c:v>
                </c:pt>
                <c:pt idx="67">
                  <c:v>33885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12"/>
          <c:order val="11"/>
          <c:tx>
            <c:strRef>
              <c:f>Deaths_since_10!$H$14</c:f>
              <c:strCache>
                <c:ptCount val="1"/>
                <c:pt idx="0">
                  <c:v>Asia</c:v>
                </c:pt>
              </c:strCache>
            </c:strRef>
          </c:tx>
          <c:spPr>
            <a:ln w="31750" cap="rnd" cmpd="sng" algn="ctr">
              <a:solidFill>
                <a:srgbClr val="FF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Deaths_since_10!$I$14:$KU$14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1665</c:v>
                </c:pt>
                <c:pt idx="25">
                  <c:v>1769</c:v>
                </c:pt>
                <c:pt idx="26">
                  <c:v>1867</c:v>
                </c:pt>
                <c:pt idx="27">
                  <c:v>2006</c:v>
                </c:pt>
                <c:pt idx="28">
                  <c:v>2119</c:v>
                </c:pt>
                <c:pt idx="29">
                  <c:v>2242</c:v>
                </c:pt>
                <c:pt idx="30">
                  <c:v>2243</c:v>
                </c:pt>
                <c:pt idx="31">
                  <c:v>2448</c:v>
                </c:pt>
                <c:pt idx="32">
                  <c:v>2454</c:v>
                </c:pt>
                <c:pt idx="33">
                  <c:v>2606</c:v>
                </c:pt>
                <c:pt idx="34">
                  <c:v>2678</c:v>
                </c:pt>
                <c:pt idx="35">
                  <c:v>2733</c:v>
                </c:pt>
                <c:pt idx="36">
                  <c:v>2765</c:v>
                </c:pt>
                <c:pt idx="37">
                  <c:v>2809</c:v>
                </c:pt>
                <c:pt idx="38">
                  <c:v>2860</c:v>
                </c:pt>
                <c:pt idx="39">
                  <c:v>2898</c:v>
                </c:pt>
                <c:pt idx="40">
                  <c:v>2951</c:v>
                </c:pt>
                <c:pt idx="41">
                  <c:v>2984</c:v>
                </c:pt>
                <c:pt idx="42">
                  <c:v>3027</c:v>
                </c:pt>
                <c:pt idx="43">
                  <c:v>3059</c:v>
                </c:pt>
                <c:pt idx="44">
                  <c:v>3095</c:v>
                </c:pt>
                <c:pt idx="45">
                  <c:v>3125</c:v>
                </c:pt>
                <c:pt idx="46">
                  <c:v>3159</c:v>
                </c:pt>
                <c:pt idx="47">
                  <c:v>3189</c:v>
                </c:pt>
                <c:pt idx="48">
                  <c:v>3206</c:v>
                </c:pt>
                <c:pt idx="49">
                  <c:v>3241</c:v>
                </c:pt>
                <c:pt idx="50">
                  <c:v>3260</c:v>
                </c:pt>
                <c:pt idx="51">
                  <c:v>3279</c:v>
                </c:pt>
                <c:pt idx="52">
                  <c:v>3305</c:v>
                </c:pt>
                <c:pt idx="53">
                  <c:v>3321</c:v>
                </c:pt>
                <c:pt idx="54">
                  <c:v>3341</c:v>
                </c:pt>
                <c:pt idx="55">
                  <c:v>3365</c:v>
                </c:pt>
                <c:pt idx="56">
                  <c:v>3401</c:v>
                </c:pt>
                <c:pt idx="57">
                  <c:v>3424</c:v>
                </c:pt>
                <c:pt idx="58">
                  <c:v>3450</c:v>
                </c:pt>
                <c:pt idx="59">
                  <c:v>3473</c:v>
                </c:pt>
                <c:pt idx="60">
                  <c:v>3530</c:v>
                </c:pt>
                <c:pt idx="61">
                  <c:v>3549</c:v>
                </c:pt>
                <c:pt idx="62">
                  <c:v>3581</c:v>
                </c:pt>
                <c:pt idx="63">
                  <c:v>3610</c:v>
                </c:pt>
                <c:pt idx="64">
                  <c:v>3664</c:v>
                </c:pt>
                <c:pt idx="65">
                  <c:v>3704</c:v>
                </c:pt>
                <c:pt idx="66">
                  <c:v>3754</c:v>
                </c:pt>
                <c:pt idx="67">
                  <c:v>3803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A4-4F6C-8D83-87B5EFF491BA}"/>
            </c:ext>
          </c:extLst>
        </c:ser>
        <c:ser>
          <c:idx val="19"/>
          <c:order val="12"/>
          <c:tx>
            <c:strRef>
              <c:f>Deaths_since_10!$H$21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9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56</c:v>
                </c:pt>
                <c:pt idx="5">
                  <c:v>71</c:v>
                </c:pt>
                <c:pt idx="6">
                  <c:v>100</c:v>
                </c:pt>
                <c:pt idx="7">
                  <c:v>125</c:v>
                </c:pt>
                <c:pt idx="8">
                  <c:v>154</c:v>
                </c:pt>
                <c:pt idx="9">
                  <c:v>188</c:v>
                </c:pt>
                <c:pt idx="10">
                  <c:v>238</c:v>
                </c:pt>
                <c:pt idx="11">
                  <c:v>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A4-4F6C-8D83-87B5EFF491BA}"/>
            </c:ext>
          </c:extLst>
        </c:ser>
        <c:ser>
          <c:idx val="20"/>
          <c:order val="13"/>
          <c:tx>
            <c:strRef>
              <c:f>Deaths_since_10!$H$22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  <c:pt idx="31">
                  <c:v>131</c:v>
                </c:pt>
                <c:pt idx="32">
                  <c:v>139</c:v>
                </c:pt>
                <c:pt idx="33">
                  <c:v>144</c:v>
                </c:pt>
                <c:pt idx="34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A4-4F6C-8D83-87B5EFF491BA}"/>
            </c:ext>
          </c:extLst>
        </c:ser>
        <c:ser>
          <c:idx val="21"/>
          <c:order val="14"/>
          <c:tx>
            <c:strRef>
              <c:f>Deaths_since_10!$H$23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  <c:pt idx="6">
                  <c:v>77</c:v>
                </c:pt>
                <c:pt idx="7">
                  <c:v>92</c:v>
                </c:pt>
                <c:pt idx="8">
                  <c:v>111</c:v>
                </c:pt>
                <c:pt idx="9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A4-4F6C-8D83-87B5EFF491BA}"/>
            </c:ext>
          </c:extLst>
        </c:ser>
        <c:ser>
          <c:idx val="22"/>
          <c:order val="15"/>
          <c:tx>
            <c:strRef>
              <c:f>Deaths_since_10!$H$24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44</c:v>
                </c:pt>
                <c:pt idx="8">
                  <c:v>50</c:v>
                </c:pt>
                <c:pt idx="9">
                  <c:v>56</c:v>
                </c:pt>
                <c:pt idx="10">
                  <c:v>62</c:v>
                </c:pt>
                <c:pt idx="11">
                  <c:v>80</c:v>
                </c:pt>
                <c:pt idx="12">
                  <c:v>104</c:v>
                </c:pt>
                <c:pt idx="13">
                  <c:v>122</c:v>
                </c:pt>
                <c:pt idx="14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A4-4F6C-8D83-87B5EFF491BA}"/>
            </c:ext>
          </c:extLst>
        </c:ser>
        <c:ser>
          <c:idx val="23"/>
          <c:order val="16"/>
          <c:tx>
            <c:strRef>
              <c:f>Deaths_since_10!$H$25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  <c:pt idx="5">
                  <c:v>75</c:v>
                </c:pt>
                <c:pt idx="6">
                  <c:v>92</c:v>
                </c:pt>
                <c:pt idx="7">
                  <c:v>108</c:v>
                </c:pt>
                <c:pt idx="8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A4-4F6C-8D83-87B5EFF491BA}"/>
            </c:ext>
          </c:extLst>
        </c:ser>
        <c:ser>
          <c:idx val="24"/>
          <c:order val="17"/>
          <c:tx>
            <c:strRef>
              <c:f>Deaths_since_10!$H$26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60</c:v>
                </c:pt>
                <c:pt idx="6">
                  <c:v>76</c:v>
                </c:pt>
                <c:pt idx="7">
                  <c:v>100</c:v>
                </c:pt>
                <c:pt idx="8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18"/>
          <c:tx>
            <c:strRef>
              <c:f>Deaths_since_10!$H$27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  <c:pt idx="8">
                  <c:v>78</c:v>
                </c:pt>
                <c:pt idx="9">
                  <c:v>87</c:v>
                </c:pt>
                <c:pt idx="10">
                  <c:v>102</c:v>
                </c:pt>
                <c:pt idx="11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19"/>
          <c:tx>
            <c:strRef>
              <c:f>Deaths_since_10!$H$28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  <c:pt idx="8">
                  <c:v>77</c:v>
                </c:pt>
                <c:pt idx="9">
                  <c:v>105</c:v>
                </c:pt>
                <c:pt idx="10">
                  <c:v>105</c:v>
                </c:pt>
                <c:pt idx="11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20"/>
          <c:tx>
            <c:strRef>
              <c:f>Deaths_since_10!$H$29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  <c:pt idx="5">
                  <c:v>49</c:v>
                </c:pt>
                <c:pt idx="6">
                  <c:v>58</c:v>
                </c:pt>
                <c:pt idx="7">
                  <c:v>68</c:v>
                </c:pt>
                <c:pt idx="8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21"/>
          <c:tx>
            <c:strRef>
              <c:f>Deaths_since_10!$H$30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  <c:pt idx="6">
                  <c:v>41</c:v>
                </c:pt>
                <c:pt idx="7">
                  <c:v>52</c:v>
                </c:pt>
                <c:pt idx="8">
                  <c:v>65</c:v>
                </c:pt>
                <c:pt idx="9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22"/>
          <c:tx>
            <c:strRef>
              <c:f>Deaths_since_10!$H$31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  <c:pt idx="12">
                  <c:v>45</c:v>
                </c:pt>
                <c:pt idx="13">
                  <c:v>54</c:v>
                </c:pt>
                <c:pt idx="14">
                  <c:v>68</c:v>
                </c:pt>
                <c:pt idx="15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23"/>
          <c:tx>
            <c:strRef>
              <c:f>Deaths_since_10!$H$32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  <c:pt idx="8">
                  <c:v>38</c:v>
                </c:pt>
                <c:pt idx="9">
                  <c:v>54</c:v>
                </c:pt>
                <c:pt idx="10">
                  <c:v>61</c:v>
                </c:pt>
                <c:pt idx="11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24"/>
          <c:tx>
            <c:strRef>
              <c:f>Deaths_since_10!$H$33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  <c:pt idx="6">
                  <c:v>48</c:v>
                </c:pt>
                <c:pt idx="7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ser>
          <c:idx val="32"/>
          <c:order val="25"/>
          <c:tx>
            <c:strRef>
              <c:f>Deaths_since_10!$H$34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  <c:pt idx="17">
                  <c:v>47</c:v>
                </c:pt>
                <c:pt idx="18">
                  <c:v>49</c:v>
                </c:pt>
                <c:pt idx="19">
                  <c:v>52</c:v>
                </c:pt>
                <c:pt idx="2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26"/>
          <c:tx>
            <c:strRef>
              <c:f>Deaths_since_10!$H$35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36</c:v>
                </c:pt>
                <c:pt idx="4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27"/>
          <c:tx>
            <c:strRef>
              <c:f>Deaths_since_10!$H$36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11</c:v>
                </c:pt>
                <c:pt idx="1">
                  <c:v>17</c:v>
                </c:pt>
                <c:pt idx="2">
                  <c:v>23</c:v>
                </c:pt>
                <c:pt idx="3">
                  <c:v>26</c:v>
                </c:pt>
                <c:pt idx="4">
                  <c:v>37</c:v>
                </c:pt>
                <c:pt idx="5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28"/>
          <c:tx>
            <c:strRef>
              <c:f>Deaths_since_10!$H$37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  <c:pt idx="14">
                  <c:v>36</c:v>
                </c:pt>
                <c:pt idx="15">
                  <c:v>40</c:v>
                </c:pt>
                <c:pt idx="16">
                  <c:v>42</c:v>
                </c:pt>
                <c:pt idx="17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29"/>
          <c:tx>
            <c:strRef>
              <c:f>Deaths_since_10!$H$38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24</c:v>
                </c:pt>
                <c:pt idx="7">
                  <c:v>30</c:v>
                </c:pt>
                <c:pt idx="8">
                  <c:v>36</c:v>
                </c:pt>
                <c:pt idx="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30"/>
          <c:tx>
            <c:strRef>
              <c:f>Deaths_since_10!$H$39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28</c:v>
                </c:pt>
                <c:pt idx="4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31"/>
          <c:tx>
            <c:strRef>
              <c:f>Deaths_since_10!$H$40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  <c:pt idx="5">
                  <c:v>26</c:v>
                </c:pt>
                <c:pt idx="6">
                  <c:v>28</c:v>
                </c:pt>
                <c:pt idx="7">
                  <c:v>32</c:v>
                </c:pt>
                <c:pt idx="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ser>
          <c:idx val="39"/>
          <c:order val="32"/>
          <c:tx>
            <c:strRef>
              <c:f>Deaths_since_10!$H$41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Deaths_since_10!$I$41:$KU$41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27</c:v>
                </c:pt>
                <c:pt idx="7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A6B-AEFC-45FA8BEDA010}"/>
            </c:ext>
          </c:extLst>
        </c:ser>
        <c:ser>
          <c:idx val="40"/>
          <c:order val="33"/>
          <c:tx>
            <c:strRef>
              <c:f>Deaths_since_10!$H$42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Deaths_since_10!$I$42:$KU$42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21</c:v>
                </c:pt>
                <c:pt idx="7">
                  <c:v>25</c:v>
                </c:pt>
                <c:pt idx="8">
                  <c:v>26</c:v>
                </c:pt>
                <c:pt idx="9">
                  <c:v>29</c:v>
                </c:pt>
                <c:pt idx="10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A6B-AEFC-45FA8BEDA010}"/>
            </c:ext>
          </c:extLst>
        </c:ser>
        <c:ser>
          <c:idx val="41"/>
          <c:order val="34"/>
          <c:tx>
            <c:strRef>
              <c:f>Deaths_since_10!$H$43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Deaths_since_10!$I$43:$KU$43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  <c:pt idx="5">
                  <c:v>24</c:v>
                </c:pt>
                <c:pt idx="6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A6B-AEFC-45FA8BEDA010}"/>
            </c:ext>
          </c:extLst>
        </c:ser>
        <c:ser>
          <c:idx val="42"/>
          <c:order val="35"/>
          <c:tx>
            <c:strRef>
              <c:f>Deaths_since_10!$H$44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Deaths_since_10!$I$44:$KU$44</c:f>
              <c:numCache>
                <c:formatCode>General</c:formatCode>
                <c:ptCount val="299"/>
                <c:pt idx="0">
                  <c:v>11</c:v>
                </c:pt>
                <c:pt idx="1">
                  <c:v>23</c:v>
                </c:pt>
                <c:pt idx="2">
                  <c:v>25</c:v>
                </c:pt>
                <c:pt idx="3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A-4A6B-AEFC-45FA8BEDA010}"/>
            </c:ext>
          </c:extLst>
        </c:ser>
        <c:ser>
          <c:idx val="43"/>
          <c:order val="36"/>
          <c:tx>
            <c:strRef>
              <c:f>Deaths_since_10!$H$45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Deaths_since_10!$I$45:$KU$45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  <c:pt idx="4">
                  <c:v>19</c:v>
                </c:pt>
                <c:pt idx="5">
                  <c:v>23</c:v>
                </c:pt>
                <c:pt idx="6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8A-4A6B-AEFC-45FA8BEDA010}"/>
            </c:ext>
          </c:extLst>
        </c:ser>
        <c:ser>
          <c:idx val="44"/>
          <c:order val="37"/>
          <c:tx>
            <c:strRef>
              <c:f>Deaths_since_10!$H$46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Deaths_since_10!$I$46:$KU$46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22</c:v>
                </c:pt>
                <c:pt idx="11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8A-4A6B-AEFC-45FA8BEDA010}"/>
            </c:ext>
          </c:extLst>
        </c:ser>
        <c:ser>
          <c:idx val="45"/>
          <c:order val="38"/>
          <c:tx>
            <c:strRef>
              <c:f>Deaths_since_10!$H$47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Deaths_since_10!$I$47:$KU$47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16</c:v>
                </c:pt>
                <c:pt idx="5">
                  <c:v>18</c:v>
                </c:pt>
                <c:pt idx="6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8A-4A6B-AEFC-45FA8BEDA010}"/>
            </c:ext>
          </c:extLst>
        </c:ser>
        <c:ser>
          <c:idx val="46"/>
          <c:order val="39"/>
          <c:tx>
            <c:strRef>
              <c:f>Deaths_since_10!$H$48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Deaths_since_10!$I$48:$KU$48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  <c:pt idx="6">
                  <c:v>15</c:v>
                </c:pt>
                <c:pt idx="7">
                  <c:v>18</c:v>
                </c:pt>
                <c:pt idx="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8A-4A6B-AEFC-45FA8BEDA010}"/>
            </c:ext>
          </c:extLst>
        </c:ser>
        <c:ser>
          <c:idx val="47"/>
          <c:order val="40"/>
          <c:tx>
            <c:strRef>
              <c:f>Deaths_since_10!$H$49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Deaths_since_10!$I$49:$KU$49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13</c:v>
                </c:pt>
                <c:pt idx="3">
                  <c:v>18</c:v>
                </c:pt>
                <c:pt idx="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8A-4A6B-AEFC-45FA8BEDA010}"/>
            </c:ext>
          </c:extLst>
        </c:ser>
        <c:ser>
          <c:idx val="48"/>
          <c:order val="41"/>
          <c:tx>
            <c:strRef>
              <c:f>Deaths_since_10!$H$50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Deaths_since_10!$I$50:$KU$50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8A-4A6B-AEFC-45FA8BEDA010}"/>
            </c:ext>
          </c:extLst>
        </c:ser>
        <c:ser>
          <c:idx val="49"/>
          <c:order val="42"/>
          <c:tx>
            <c:strRef>
              <c:f>Deaths_since_10!$H$51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Deaths_since_10!$I$51:$KU$51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8A-4A6B-AEFC-45FA8BEDA010}"/>
            </c:ext>
          </c:extLst>
        </c:ser>
        <c:ser>
          <c:idx val="50"/>
          <c:order val="43"/>
          <c:tx>
            <c:strRef>
              <c:f>Deaths_since_10!$H$52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Deaths_since_10!$I$52:$KU$52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13</c:v>
                </c:pt>
                <c:pt idx="3">
                  <c:v>13</c:v>
                </c:pt>
                <c:pt idx="4">
                  <c:v>14</c:v>
                </c:pt>
                <c:pt idx="5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8A-4A6B-AEFC-45FA8BEDA010}"/>
            </c:ext>
          </c:extLst>
        </c:ser>
        <c:ser>
          <c:idx val="51"/>
          <c:order val="44"/>
          <c:tx>
            <c:strRef>
              <c:f>Deaths_since_10!$H$53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Deaths_since_10!$I$53:$KU$53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8A-4A6B-AEFC-45FA8BEDA010}"/>
            </c:ext>
          </c:extLst>
        </c:ser>
        <c:ser>
          <c:idx val="52"/>
          <c:order val="45"/>
          <c:tx>
            <c:strRef>
              <c:f>Deaths_since_10!$H$54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Deaths_since_10!$I$54:$KU$54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8A-4A6B-AEFC-45FA8BEDA010}"/>
            </c:ext>
          </c:extLst>
        </c:ser>
        <c:ser>
          <c:idx val="53"/>
          <c:order val="46"/>
          <c:tx>
            <c:strRef>
              <c:f>Deaths_since_10!$H$55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Deaths_since_10!$I$55:$KU$55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12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8A-4A6B-AEFC-45FA8BEDA010}"/>
            </c:ext>
          </c:extLst>
        </c:ser>
        <c:ser>
          <c:idx val="54"/>
          <c:order val="47"/>
          <c:tx>
            <c:strRef>
              <c:f>Deaths_since_10!$H$56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Deaths_since_10!$I$56:$KU$56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8A-4A6B-AEFC-45FA8BEDA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197765338162144"/>
          <c:y val="0.10493380998229521"/>
          <c:w val="0.16802234661837859"/>
          <c:h val="0.80913000777878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 by continent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65407376407576"/>
          <c:y val="0.11593664709392842"/>
          <c:w val="0.73680298543050571"/>
          <c:h val="0.77835724342872403"/>
        </c:manualLayout>
      </c:layout>
      <c:lineChart>
        <c:grouping val="standard"/>
        <c:varyColors val="0"/>
        <c:ser>
          <c:idx val="7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CumulativeConfirmed!$C$127:$BR$127</c:f>
              <c:numCache>
                <c:formatCode>General</c:formatCode>
                <c:ptCount val="68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537-457A-B9F5-6C785DCF197D}"/>
            </c:ext>
          </c:extLst>
        </c:ser>
        <c:ser>
          <c:idx val="8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CumulativeConfirmed!$C$128:$BR$128</c:f>
              <c:numCache>
                <c:formatCode>General</c:formatCode>
                <c:ptCount val="68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37-457A-B9F5-6C785DCF197D}"/>
            </c:ext>
          </c:extLst>
        </c:ser>
        <c:ser>
          <c:idx val="9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CumulativeConfirmed!$C$129:$BR$129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37-457A-B9F5-6C785DCF197D}"/>
            </c:ext>
          </c:extLst>
        </c:ser>
        <c:ser>
          <c:idx val="10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CumulativeConfirmed!$C$130:$BR$130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37-457A-B9F5-6C785DCF197D}"/>
            </c:ext>
          </c:extLst>
        </c:ser>
        <c:ser>
          <c:idx val="11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CumulativeConfirmed!$C$131:$BR$131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37-457A-B9F5-6C785DCF197D}"/>
            </c:ext>
          </c:extLst>
        </c:ser>
        <c:ser>
          <c:idx val="12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CumulativeConfirmed!$C$132:$BR$132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37-457A-B9F5-6C785DCF197D}"/>
            </c:ext>
          </c:extLst>
        </c:ser>
        <c:ser>
          <c:idx val="13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CumulativeConfirmed!$C$133:$BR$133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37-457A-B9F5-6C785DCF1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48288"/>
        <c:axId val="173379392"/>
      </c:lineChart>
      <c:dateAx>
        <c:axId val="56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73379392"/>
        <c:crosses val="autoZero"/>
        <c:auto val="0"/>
        <c:lblOffset val="100"/>
        <c:baseTimeUnit val="days"/>
        <c:majorUnit val="7"/>
      </c:dateAx>
      <c:valAx>
        <c:axId val="1733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6248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67685684258022"/>
          <c:y val="0.25052392990357153"/>
          <c:w val="0.13667918362782"/>
          <c:h val="0.53890235046268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3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val>
            <c:numRef>
              <c:f>CumulativeConfirmed!$C$127:$BR$127</c:f>
              <c:numCache>
                <c:formatCode>General</c:formatCode>
                <c:ptCount val="68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D-47B5-ADE8-BE9B8864125A}"/>
            </c:ext>
          </c:extLst>
        </c:ser>
        <c:ser>
          <c:idx val="4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CumulativeConfirmed!$C$128:$BR$128</c:f>
              <c:numCache>
                <c:formatCode>General</c:formatCode>
                <c:ptCount val="68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D-47B5-ADE8-BE9B8864125A}"/>
            </c:ext>
          </c:extLst>
        </c:ser>
        <c:ser>
          <c:idx val="5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CumulativeConfirmed!$C$129:$BR$129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D-47B5-ADE8-BE9B8864125A}"/>
            </c:ext>
          </c:extLst>
        </c:ser>
        <c:ser>
          <c:idx val="6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CumulativeConfirmed!$C$130:$BR$130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CumulativeConfirmed!$C$131:$BR$131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CumulativeConfirmed!$C$132:$BR$132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CumulativeConfirmed!$C$133:$BR$133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cat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1"/>
        <c:lblAlgn val="ctr"/>
        <c:lblOffset val="100"/>
        <c:noMultiLvlLbl val="1"/>
      </c:cat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185876</xdr:colOff>
      <xdr:row>1</xdr:row>
      <xdr:rowOff>2511</xdr:rowOff>
    </xdr:from>
    <xdr:to>
      <xdr:col>20</xdr:col>
      <xdr:colOff>398863</xdr:colOff>
      <xdr:row>27</xdr:row>
      <xdr:rowOff>151849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202D732A-948E-42DF-B7CC-266CE6954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0.27695</cdr:x>
      <cdr:y>0.70406</cdr:y>
    </cdr:from>
    <cdr:to>
      <cdr:x>0.38829</cdr:x>
      <cdr:y>0.76407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2907918" y="4597226"/>
          <a:ext cx="116903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0.10754</cdr:x>
      <cdr:y>0.31901</cdr:y>
    </cdr:from>
    <cdr:to>
      <cdr:x>0.3458</cdr:x>
      <cdr:y>0.38684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143377" y="2061022"/>
          <a:ext cx="2533301" cy="4382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0.53561</cdr:x>
      <cdr:y>0.18575</cdr:y>
    </cdr:from>
    <cdr:to>
      <cdr:x>0.73452</cdr:x>
      <cdr:y>0.25358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694859" y="1200071"/>
          <a:ext cx="2114913" cy="4382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0.57528</cdr:x>
      <cdr:y>0.73169</cdr:y>
    </cdr:from>
    <cdr:to>
      <cdr:x>0.68662</cdr:x>
      <cdr:y>0.7917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116617" y="4727245"/>
          <a:ext cx="1183824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17</xdr:col>
      <xdr:colOff>0</xdr:colOff>
      <xdr:row>30</xdr:row>
      <xdr:rowOff>-1</xdr:rowOff>
    </xdr:from>
    <xdr:to>
      <xdr:col>29</xdr:col>
      <xdr:colOff>261937</xdr:colOff>
      <xdr:row>56</xdr:row>
      <xdr:rowOff>83343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3DC105-6903-4CC4-9D4E-76314994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11905</xdr:colOff>
      <xdr:row>57</xdr:row>
      <xdr:rowOff>15714</xdr:rowOff>
    </xdr:from>
    <xdr:to>
      <xdr:col>29</xdr:col>
      <xdr:colOff>273843</xdr:colOff>
      <xdr:row>81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51" t="str">
        <f>C7&amp;" Covid-19 Active Case Projections"</f>
        <v>Chile Covid-19 Active Case Projections</v>
      </c>
      <c r="C2" s="15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37"/>
      <c r="C3" s="138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01" t="s">
        <v>543</v>
      </c>
      <c r="X3" s="102"/>
      <c r="Y3" s="103"/>
      <c r="Z3" s="110" t="s">
        <v>124</v>
      </c>
      <c r="AA3" s="116"/>
      <c r="AB3" s="116"/>
      <c r="AC3" s="111"/>
    </row>
    <row r="4" spans="1:32" x14ac:dyDescent="0.25">
      <c r="A4" s="46"/>
      <c r="B4" s="137"/>
      <c r="C4" s="138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4"/>
      <c r="X4" s="105"/>
      <c r="Y4" s="106"/>
      <c r="Z4" s="112"/>
      <c r="AA4" s="117"/>
      <c r="AB4" s="117"/>
      <c r="AC4" s="113"/>
    </row>
    <row r="5" spans="1:32" x14ac:dyDescent="0.25">
      <c r="A5" s="46"/>
      <c r="B5" s="139"/>
      <c r="C5" s="140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7"/>
      <c r="X5" s="108"/>
      <c r="Y5" s="109"/>
      <c r="Z5" s="114"/>
      <c r="AA5" s="118"/>
      <c r="AB5" s="118"/>
      <c r="AC5" s="115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55" t="s">
        <v>477</v>
      </c>
      <c r="C7" s="153" t="str">
        <f>Z3</f>
        <v>Chile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56"/>
      <c r="C8" s="154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01" t="s">
        <v>542</v>
      </c>
      <c r="X8" s="102"/>
      <c r="Y8" s="103"/>
      <c r="Z8" s="110">
        <v>4</v>
      </c>
      <c r="AA8" s="111"/>
      <c r="AB8" s="119" t="s">
        <v>551</v>
      </c>
      <c r="AC8" s="120"/>
      <c r="AD8" s="120"/>
      <c r="AE8" s="120"/>
      <c r="AF8" s="120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4"/>
      <c r="X9" s="105"/>
      <c r="Y9" s="106"/>
      <c r="Z9" s="112"/>
      <c r="AA9" s="113"/>
      <c r="AB9" s="119"/>
      <c r="AC9" s="120"/>
      <c r="AD9" s="120"/>
      <c r="AE9" s="120"/>
      <c r="AF9" s="120"/>
    </row>
    <row r="10" spans="1:32" ht="18.600000000000001" customHeight="1" x14ac:dyDescent="0.25">
      <c r="A10" s="46"/>
      <c r="B10" s="155" t="s">
        <v>505</v>
      </c>
      <c r="C10" s="163">
        <f>Projections_Data!C4</f>
        <v>2139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7"/>
      <c r="X10" s="108"/>
      <c r="Y10" s="109"/>
      <c r="Z10" s="114"/>
      <c r="AA10" s="115"/>
      <c r="AB10" s="119"/>
      <c r="AC10" s="120"/>
      <c r="AD10" s="120"/>
      <c r="AE10" s="120"/>
      <c r="AF10" s="120"/>
    </row>
    <row r="11" spans="1:32" ht="18.600000000000001" customHeight="1" x14ac:dyDescent="0.25">
      <c r="A11" s="46"/>
      <c r="B11" s="156"/>
      <c r="C11" s="164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55" t="s">
        <v>590</v>
      </c>
      <c r="C12" s="161">
        <f ca="1">Projections_Data!C6</f>
        <v>1864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56"/>
      <c r="C13" s="162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99" t="s">
        <v>544</v>
      </c>
      <c r="X13" s="99"/>
      <c r="Y13" s="99"/>
      <c r="Z13" s="99"/>
      <c r="AA13" s="99"/>
    </row>
    <row r="14" spans="1:32" ht="18.600000000000001" customHeight="1" x14ac:dyDescent="0.25">
      <c r="A14" s="46"/>
      <c r="B14" s="155" t="s">
        <v>591</v>
      </c>
      <c r="C14" s="159">
        <f ca="1">Projections_Data!C7</f>
        <v>268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99"/>
      <c r="X14" s="99"/>
      <c r="Y14" s="99"/>
      <c r="Z14" s="99"/>
      <c r="AA14" s="99"/>
    </row>
    <row r="15" spans="1:32" ht="18.600000000000001" customHeight="1" x14ac:dyDescent="0.25">
      <c r="A15" s="46"/>
      <c r="B15" s="156"/>
      <c r="C15" s="160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21" t="s">
        <v>545</v>
      </c>
      <c r="X15" s="121"/>
      <c r="Y15" s="121"/>
      <c r="Z15" s="122">
        <v>0.4</v>
      </c>
      <c r="AA15" s="123"/>
    </row>
    <row r="16" spans="1:32" ht="18.600000000000001" customHeight="1" x14ac:dyDescent="0.25">
      <c r="A16" s="46"/>
      <c r="B16" s="155" t="s">
        <v>514</v>
      </c>
      <c r="C16" s="157">
        <f>Projections_Data!C8</f>
        <v>7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21"/>
      <c r="X16" s="121"/>
      <c r="Y16" s="121"/>
      <c r="Z16" s="123"/>
      <c r="AA16" s="123"/>
    </row>
    <row r="17" spans="1:42" ht="18.600000000000001" customHeight="1" x14ac:dyDescent="0.25">
      <c r="A17" s="46"/>
      <c r="B17" s="156"/>
      <c r="C17" s="158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21" t="s">
        <v>546</v>
      </c>
      <c r="X17" s="121"/>
      <c r="Y17" s="121"/>
      <c r="Z17" s="122">
        <v>0.25</v>
      </c>
      <c r="AA17" s="123"/>
    </row>
    <row r="18" spans="1:42" ht="18.600000000000001" customHeight="1" x14ac:dyDescent="0.25">
      <c r="A18" s="46"/>
      <c r="B18" s="132" t="s">
        <v>603</v>
      </c>
      <c r="C18" s="134">
        <f ca="1">Projections_Data!C11</f>
        <v>0.16003510150977526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21"/>
      <c r="X18" s="121"/>
      <c r="Y18" s="121"/>
      <c r="Z18" s="123"/>
      <c r="AA18" s="123"/>
    </row>
    <row r="19" spans="1:42" ht="18.600000000000001" customHeight="1" x14ac:dyDescent="0.25">
      <c r="A19" s="46"/>
      <c r="B19" s="133"/>
      <c r="C19" s="135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21" t="s">
        <v>547</v>
      </c>
      <c r="X19" s="121"/>
      <c r="Y19" s="121"/>
      <c r="Z19" s="122">
        <v>0.1</v>
      </c>
      <c r="AA19" s="123"/>
    </row>
    <row r="20" spans="1:42" ht="18.600000000000001" customHeight="1" x14ac:dyDescent="0.25">
      <c r="A20" s="46"/>
      <c r="B20" s="128" t="s">
        <v>507</v>
      </c>
      <c r="C20" s="130">
        <f>Projections_Data!C14</f>
        <v>2531.0851585536248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21"/>
      <c r="X20" s="121"/>
      <c r="Y20" s="121"/>
      <c r="Z20" s="123"/>
      <c r="AA20" s="123"/>
    </row>
    <row r="21" spans="1:42" ht="18.600000000000001" customHeight="1" x14ac:dyDescent="0.25">
      <c r="A21" s="46"/>
      <c r="B21" s="129"/>
      <c r="C21" s="131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32" t="s">
        <v>604</v>
      </c>
      <c r="C22" s="165" t="e">
        <f ca="1">Projections_Data!C13</f>
        <v>#N/A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498</v>
      </c>
    </row>
    <row r="23" spans="1:42" ht="18.600000000000001" customHeight="1" x14ac:dyDescent="0.25">
      <c r="A23" s="46"/>
      <c r="B23" s="133"/>
      <c r="C23" s="166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55" t="s">
        <v>605</v>
      </c>
      <c r="C24" s="157" t="e">
        <f ca="1">C16*(1+C22)</f>
        <v>#N/A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56"/>
      <c r="C25" s="158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615</v>
      </c>
    </row>
    <row r="26" spans="1:42" ht="18.600000000000001" customHeight="1" x14ac:dyDescent="0.25">
      <c r="A26" s="46"/>
      <c r="B26" s="147" t="s">
        <v>529</v>
      </c>
      <c r="C26" s="1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48" t="str">
        <f>"Source: Analysis of John Hopkins University and WHO data.
Data updated: "&amp;TEXT(Projections_Data!C2,"DD/MM/YYYY")&amp;"."</f>
        <v>Source: Analysis of John Hopkins University and WHO data.
Data updated: 29/03/2020.</v>
      </c>
      <c r="C27" s="148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37" t="str">
        <f>Projections_Data!B35</f>
        <v xml:space="preserve">Chile critically ill projections </v>
      </c>
      <c r="C29" s="138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37"/>
      <c r="C30" s="138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37"/>
      <c r="C31" s="138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39"/>
      <c r="C32" s="140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99" t="s">
        <v>548</v>
      </c>
      <c r="X32" s="99"/>
      <c r="Y32" s="99"/>
      <c r="Z32" s="100"/>
      <c r="AA32" s="100"/>
      <c r="AB32" s="124" t="s">
        <v>549</v>
      </c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25"/>
      <c r="AO32" s="125"/>
      <c r="AP32" s="125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99"/>
      <c r="X33" s="99"/>
      <c r="Y33" s="99"/>
      <c r="Z33" s="100"/>
      <c r="AA33" s="100"/>
      <c r="AB33" s="124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25"/>
      <c r="AO33" s="125"/>
      <c r="AP33" s="125"/>
    </row>
    <row r="34" spans="1:43" ht="15.6" customHeight="1" x14ac:dyDescent="0.25">
      <c r="A34" s="46"/>
      <c r="B34" s="144" t="s">
        <v>465</v>
      </c>
      <c r="C34" s="146">
        <f>Projections_Data!C16</f>
        <v>1500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99"/>
      <c r="X34" s="99"/>
      <c r="Y34" s="99"/>
      <c r="Z34" s="100"/>
      <c r="AA34" s="100"/>
      <c r="AB34" s="124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25"/>
      <c r="AO34" s="125"/>
      <c r="AP34" s="125"/>
    </row>
    <row r="35" spans="1:43" ht="18" customHeight="1" x14ac:dyDescent="0.25">
      <c r="A35" s="46"/>
      <c r="B35" s="144"/>
      <c r="C35" s="146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99"/>
      <c r="X35" s="99"/>
      <c r="Y35" s="99"/>
      <c r="Z35" s="100"/>
      <c r="AA35" s="100"/>
      <c r="AB35" s="124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25"/>
      <c r="AO35" s="125"/>
      <c r="AP35" s="125"/>
    </row>
    <row r="36" spans="1:43" ht="18" customHeight="1" x14ac:dyDescent="0.25">
      <c r="A36" s="46"/>
      <c r="B36" s="136" t="s">
        <v>519</v>
      </c>
      <c r="C36" s="167">
        <f>Projections_Data!C15</f>
        <v>8.181393174380552E-3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99"/>
      <c r="X36" s="99"/>
      <c r="Y36" s="99"/>
      <c r="Z36" s="100"/>
      <c r="AA36" s="100"/>
      <c r="AB36" s="124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</row>
    <row r="37" spans="1:43" ht="20.399999999999999" customHeight="1" x14ac:dyDescent="0.25">
      <c r="A37" s="46"/>
      <c r="B37" s="136"/>
      <c r="C37" s="16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6" t="s">
        <v>518</v>
      </c>
      <c r="C38" s="146">
        <f ca="1">Projections!C12*Projections!C36</f>
        <v>15.250116877045349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6"/>
      <c r="C39" s="146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99" t="s">
        <v>465</v>
      </c>
      <c r="X39" s="99"/>
      <c r="Y39" s="99"/>
      <c r="Z39" s="127"/>
      <c r="AA39" s="127"/>
      <c r="AB39" s="126" t="s">
        <v>550</v>
      </c>
      <c r="AC39" s="126"/>
      <c r="AD39" s="126"/>
      <c r="AE39" s="126"/>
      <c r="AF39" s="126"/>
      <c r="AG39" s="126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</row>
    <row r="40" spans="1:43" ht="20.399999999999999" customHeight="1" x14ac:dyDescent="0.25">
      <c r="A40" s="46"/>
      <c r="B40" s="136" t="s">
        <v>488</v>
      </c>
      <c r="C40" s="145">
        <f ca="1">Projections_Data!D31</f>
        <v>43950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99"/>
      <c r="X40" s="99"/>
      <c r="Y40" s="99"/>
      <c r="Z40" s="127"/>
      <c r="AA40" s="127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</row>
    <row r="41" spans="1:43" ht="20.399999999999999" customHeight="1" x14ac:dyDescent="0.25">
      <c r="A41" s="46"/>
      <c r="B41" s="136"/>
      <c r="C41" s="145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99"/>
      <c r="X41" s="99"/>
      <c r="Y41" s="99"/>
      <c r="Z41" s="127"/>
      <c r="AA41" s="127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</row>
    <row r="42" spans="1:43" ht="20.399999999999999" customHeight="1" x14ac:dyDescent="0.25">
      <c r="A42" s="46"/>
      <c r="B42" s="144" t="s">
        <v>489</v>
      </c>
      <c r="C42" s="143">
        <f ca="1">IFERROR(C40-TODAY(),"N/A")</f>
        <v>30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99"/>
      <c r="X42" s="99"/>
      <c r="Y42" s="99"/>
      <c r="Z42" s="127"/>
      <c r="AA42" s="127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</row>
    <row r="43" spans="1:43" ht="18" customHeight="1" x14ac:dyDescent="0.25">
      <c r="A43" s="46"/>
      <c r="B43" s="144"/>
      <c r="C43" s="143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41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41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42"/>
      <c r="C45" s="142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01" t="s">
        <v>542</v>
      </c>
      <c r="X45" s="102"/>
      <c r="Y45" s="103"/>
      <c r="Z45" s="110"/>
      <c r="AA45" s="111"/>
    </row>
    <row r="46" spans="1:43" ht="15.6" customHeight="1" x14ac:dyDescent="0.25">
      <c r="A46" s="46"/>
      <c r="B46" s="142"/>
      <c r="C46" s="142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4"/>
      <c r="X46" s="105"/>
      <c r="Y46" s="106"/>
      <c r="Z46" s="112"/>
      <c r="AA46" s="113"/>
    </row>
    <row r="47" spans="1:43" ht="13.8" customHeight="1" x14ac:dyDescent="0.25">
      <c r="A47" s="46"/>
      <c r="B47" s="142"/>
      <c r="C47" s="142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7"/>
      <c r="X47" s="108"/>
      <c r="Y47" s="109"/>
      <c r="Z47" s="114"/>
      <c r="AA47" s="115"/>
    </row>
    <row r="48" spans="1:43" ht="14.4" customHeight="1" x14ac:dyDescent="0.25">
      <c r="A48" s="46"/>
      <c r="B48" s="142"/>
      <c r="C48" s="142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9" t="str">
        <f>"Source: Analysis of John Hopkins University and WHO data.
Data updated: "&amp;TEXT(Projections_Data!C2,"DD/MM/YYYY")&amp;"."</f>
        <v>Source: Analysis of John Hopkins University and WHO data.
Data updated: 29/03/2020.</v>
      </c>
      <c r="C49" s="149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48"/>
      <c r="C50" s="148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48"/>
      <c r="C51" s="148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48"/>
      <c r="C52" s="148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50"/>
      <c r="C53" s="1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44:C48"/>
    <mergeCell ref="B40:B41"/>
    <mergeCell ref="C42:C43"/>
    <mergeCell ref="B42:B43"/>
    <mergeCell ref="C40:C41"/>
    <mergeCell ref="Z8:AA10"/>
    <mergeCell ref="W8:Y10"/>
    <mergeCell ref="B36:B37"/>
    <mergeCell ref="B22:B23"/>
    <mergeCell ref="B29:C32"/>
    <mergeCell ref="B26:C26"/>
    <mergeCell ref="B27:C27"/>
    <mergeCell ref="C34:C35"/>
    <mergeCell ref="B34:B35"/>
    <mergeCell ref="Z39:AA42"/>
    <mergeCell ref="W39:Y42"/>
    <mergeCell ref="B20:B21"/>
    <mergeCell ref="C20:C21"/>
    <mergeCell ref="B18:B19"/>
    <mergeCell ref="C18:C19"/>
    <mergeCell ref="C38:C39"/>
    <mergeCell ref="B38:B39"/>
    <mergeCell ref="W32:Y36"/>
    <mergeCell ref="Z32:AA36"/>
    <mergeCell ref="W45:Y47"/>
    <mergeCell ref="Z45:AA47"/>
    <mergeCell ref="W3:Y5"/>
    <mergeCell ref="Z3:AC5"/>
    <mergeCell ref="AB8:AF10"/>
    <mergeCell ref="W13:AA14"/>
    <mergeCell ref="W15:Y16"/>
    <mergeCell ref="Z15:AA16"/>
    <mergeCell ref="W17:Y18"/>
    <mergeCell ref="Z17:AA18"/>
    <mergeCell ref="W19:Y20"/>
    <mergeCell ref="Z19:AA20"/>
    <mergeCell ref="AB32:AP36"/>
    <mergeCell ref="AB39:AQ42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Days_Since_100!$C$5:$C$140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/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8" t="s">
        <v>559</v>
      </c>
      <c r="C2" s="168"/>
      <c r="D2" s="168"/>
      <c r="E2" s="168"/>
      <c r="F2" s="168"/>
      <c r="G2" s="168"/>
      <c r="H2" s="168"/>
    </row>
    <row r="3" spans="2:18" ht="34.799999999999997" thickBot="1" x14ac:dyDescent="0.25">
      <c r="B3" s="63" t="s">
        <v>511</v>
      </c>
      <c r="C3" s="64" t="s">
        <v>477</v>
      </c>
      <c r="D3" s="64" t="s">
        <v>558</v>
      </c>
      <c r="E3" s="64" t="s">
        <v>503</v>
      </c>
      <c r="F3" s="64" t="s">
        <v>565</v>
      </c>
      <c r="G3" s="64" t="s">
        <v>567</v>
      </c>
      <c r="H3" s="65" t="s">
        <v>568</v>
      </c>
      <c r="J3" s="72" t="s">
        <v>540</v>
      </c>
      <c r="K3" s="64" t="s">
        <v>515</v>
      </c>
      <c r="L3" s="64" t="s">
        <v>478</v>
      </c>
      <c r="M3" s="65" t="s">
        <v>516</v>
      </c>
      <c r="Q3" s="73" t="s">
        <v>541</v>
      </c>
    </row>
    <row r="4" spans="2:18" s="59" customFormat="1" ht="13.8" customHeight="1" x14ac:dyDescent="0.3">
      <c r="B4" s="83">
        <v>1</v>
      </c>
      <c r="C4" s="78" t="s">
        <v>38</v>
      </c>
      <c r="D4" s="79">
        <f>VLOOKUP(C4,Country_Data!B:F,5,FALSE)</f>
        <v>140886</v>
      </c>
      <c r="E4" s="75">
        <f>D4*Projections_Data!$C$15</f>
        <v>1152.6437587657786</v>
      </c>
      <c r="F4" s="79">
        <f>VLOOKUP(C4,Country_Data!C:G,5,FALSE)</f>
        <v>2467</v>
      </c>
      <c r="G4" s="80">
        <f>IFERROR(VLOOKUP(C4,Days_Since_100!C:G,5,FALSE)-1,0)</f>
        <v>0.21259014796915587</v>
      </c>
      <c r="H4" s="84">
        <f>IFERROR(VLOOKUP(C4,Deaths_since_10!C:G,5,FALSE)-1,0)</f>
        <v>0.28431894737958507</v>
      </c>
      <c r="J4" s="68" t="str">
        <f t="shared" ref="J4:J23" si="0">IFERROR(LOG((M4/E4),1+G4),"")</f>
        <v/>
      </c>
      <c r="K4" s="67"/>
      <c r="L4" s="61">
        <f>VLOOKUP(C4,Country_Data!C:J,8,FALSE)</f>
        <v>331002651</v>
      </c>
      <c r="M4" s="60">
        <f t="shared" ref="M4:M18" si="1">(L4/100000)*K4</f>
        <v>0</v>
      </c>
      <c r="O4" s="59">
        <f t="array" ref="O4">IF(OR(C4=$Q$4:$Q$22),1,0)</f>
        <v>1</v>
      </c>
      <c r="Q4" s="59" t="s">
        <v>41</v>
      </c>
    </row>
    <row r="5" spans="2:18" s="59" customFormat="1" ht="13.8" customHeight="1" x14ac:dyDescent="0.3">
      <c r="B5" s="66">
        <f t="shared" ref="B5:B36" si="2">B4+1</f>
        <v>2</v>
      </c>
      <c r="C5" s="62" t="s">
        <v>56</v>
      </c>
      <c r="D5" s="75">
        <f>VLOOKUP(C5,Country_Data!B:F,5,FALSE)</f>
        <v>1418</v>
      </c>
      <c r="E5" s="75">
        <f>D5*Projections_Data!$C$15</f>
        <v>11.601215521271623</v>
      </c>
      <c r="F5" s="75">
        <f>VLOOKUP(C5,Country_Data!C:G,5,FALSE)</f>
        <v>71</v>
      </c>
      <c r="G5" s="76">
        <f>IFERROR(VLOOKUP(C5,Days_Since_100!C:G,5,FALSE)-1,0)</f>
        <v>0.20766764357056577</v>
      </c>
      <c r="H5" s="77">
        <f>IFERROR(VLOOKUP(C5,Deaths_since_10!C:G,5,FALSE)-1,0)</f>
        <v>0.15196175519870758</v>
      </c>
      <c r="J5" s="68">
        <f t="shared" si="0"/>
        <v>37.489181334247036</v>
      </c>
      <c r="K5" s="67">
        <v>12.5</v>
      </c>
      <c r="L5" s="61">
        <f>VLOOKUP(C5,Country_Data!C:J,8,FALSE)</f>
        <v>109581078</v>
      </c>
      <c r="M5" s="60">
        <f t="shared" si="1"/>
        <v>13697.634750000001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2"/>
        <v>3</v>
      </c>
      <c r="C6" s="62" t="s">
        <v>63</v>
      </c>
      <c r="D6" s="75">
        <f>VLOOKUP(C6,Country_Data!B:F,5,FALSE)</f>
        <v>10836</v>
      </c>
      <c r="E6" s="75">
        <f>D6*Projections_Data!$C$15</f>
        <v>88.65357643758766</v>
      </c>
      <c r="F6" s="75">
        <f>VLOOKUP(C6,Country_Data!C:G,5,FALSE)</f>
        <v>431</v>
      </c>
      <c r="G6" s="76">
        <f>IFERROR(VLOOKUP(C6,Days_Since_100!C:G,5,FALSE)-1,0)</f>
        <v>0.20478227177061337</v>
      </c>
      <c r="H6" s="77">
        <f>IFERROR(VLOOKUP(C6,Deaths_since_10!C:G,5,FALSE)-1,0)</f>
        <v>0.28713318624312789</v>
      </c>
      <c r="J6" s="68">
        <f t="shared" si="0"/>
        <v>5.9091502235746987</v>
      </c>
      <c r="K6" s="67">
        <v>2.2999999999999998</v>
      </c>
      <c r="L6" s="61">
        <f>VLOOKUP(C6,Country_Data!C:J,8,FALSE)</f>
        <v>11589623</v>
      </c>
      <c r="M6" s="60">
        <f t="shared" si="1"/>
        <v>266.561329</v>
      </c>
      <c r="O6" s="59">
        <f t="array" ref="O6">IF(OR(C6=$Q$4:$Q$22),1,0)</f>
        <v>0</v>
      </c>
      <c r="Q6" s="59" t="s">
        <v>349</v>
      </c>
    </row>
    <row r="7" spans="2:18" s="59" customFormat="1" ht="13.8" customHeight="1" x14ac:dyDescent="0.3">
      <c r="B7" s="66">
        <f t="shared" si="2"/>
        <v>4</v>
      </c>
      <c r="C7" s="62" t="s">
        <v>108</v>
      </c>
      <c r="D7" s="75">
        <f>VLOOKUP(C7,Country_Data!B:F,5,FALSE)</f>
        <v>5962</v>
      </c>
      <c r="E7" s="75">
        <f>D7*Projections_Data!$C$15</f>
        <v>48.777466105656849</v>
      </c>
      <c r="F7" s="75">
        <f>VLOOKUP(C7,Country_Data!C:G,5,FALSE)</f>
        <v>119</v>
      </c>
      <c r="G7" s="76">
        <f>IFERROR(VLOOKUP(C7,Days_Since_100!C:G,5,FALSE)-1,0)</f>
        <v>0.20343438366538336</v>
      </c>
      <c r="H7" s="77">
        <f>IFERROR(VLOOKUP(C7,Deaths_since_10!C:G,5,FALSE)-1,0)</f>
        <v>0.29242873213007869</v>
      </c>
      <c r="J7" s="68">
        <f t="shared" si="0"/>
        <v>17.21782126234492</v>
      </c>
      <c r="K7" s="67">
        <v>11.6</v>
      </c>
      <c r="L7" s="61">
        <f>VLOOKUP(C7,Country_Data!C:J,8,FALSE)</f>
        <v>10196709</v>
      </c>
      <c r="M7" s="60">
        <f t="shared" si="1"/>
        <v>1182.818244</v>
      </c>
      <c r="O7" s="59">
        <f t="array" ref="O7">IF(OR(C7=$Q$4:$Q$22),1,0)</f>
        <v>0</v>
      </c>
      <c r="Q7" s="59" t="s">
        <v>58</v>
      </c>
    </row>
    <row r="8" spans="2:18" s="59" customFormat="1" ht="13.8" customHeight="1" x14ac:dyDescent="0.3">
      <c r="B8" s="66">
        <f t="shared" si="2"/>
        <v>5</v>
      </c>
      <c r="C8" s="62" t="s">
        <v>349</v>
      </c>
      <c r="D8" s="75">
        <f>VLOOKUP(C8,Country_Data!B:F,5,FALSE)</f>
        <v>19780</v>
      </c>
      <c r="E8" s="75">
        <f>D8*Projections_Data!$C$15</f>
        <v>161.82795698924733</v>
      </c>
      <c r="F8" s="75">
        <f>VLOOKUP(C8,Country_Data!C:G,5,FALSE)</f>
        <v>1231</v>
      </c>
      <c r="G8" s="76">
        <f>IFERROR(VLOOKUP(C8,Days_Since_100!C:G,5,FALSE)-1,0)</f>
        <v>0.19361607286565263</v>
      </c>
      <c r="H8" s="77">
        <f>IFERROR(VLOOKUP(C8,Deaths_since_10!C:G,5,FALSE)-1,0)</f>
        <v>0.23817929415649886</v>
      </c>
      <c r="J8" s="68">
        <f t="shared" si="0"/>
        <v>25.514759022059071</v>
      </c>
      <c r="K8" s="67">
        <v>21.8</v>
      </c>
      <c r="L8" s="61">
        <f>VLOOKUP(C8,Country_Data!C:J,8,FALSE)</f>
        <v>67886011</v>
      </c>
      <c r="M8" s="60">
        <f t="shared" si="1"/>
        <v>14799.150398</v>
      </c>
      <c r="O8" s="59">
        <f t="array" ref="O8">IF(OR(C8=$Q$4:$Q$22),1,0)</f>
        <v>1</v>
      </c>
      <c r="Q8" s="59" t="s">
        <v>60</v>
      </c>
    </row>
    <row r="9" spans="2:18" s="59" customFormat="1" ht="13.8" customHeight="1" x14ac:dyDescent="0.3">
      <c r="B9" s="66">
        <f t="shared" si="2"/>
        <v>6</v>
      </c>
      <c r="C9" s="62" t="s">
        <v>124</v>
      </c>
      <c r="D9" s="75">
        <f>VLOOKUP(C9,Country_Data!B:F,5,FALSE)</f>
        <v>2139</v>
      </c>
      <c r="E9" s="75">
        <f>D9*Projections_Data!$C$15</f>
        <v>17.5</v>
      </c>
      <c r="F9" s="75">
        <f>VLOOKUP(C9,Country_Data!C:G,5,FALSE)</f>
        <v>7</v>
      </c>
      <c r="G9" s="76">
        <f>IFERROR(VLOOKUP(C9,Days_Since_100!C:G,5,FALSE)-1,0)</f>
        <v>0.18330301942665961</v>
      </c>
      <c r="H9" s="77">
        <f>IFERROR(VLOOKUP(C9,Deaths_since_10!C:G,5,FALSE)-1,0)</f>
        <v>0</v>
      </c>
      <c r="J9" s="68">
        <f t="shared" si="0"/>
        <v>34.252863714378684</v>
      </c>
      <c r="K9" s="67">
        <v>29.2</v>
      </c>
      <c r="L9" s="61">
        <f>VLOOKUP(C9,Country_Data!C:J,8,FALSE)</f>
        <v>19116201</v>
      </c>
      <c r="M9" s="60">
        <f t="shared" si="1"/>
        <v>5581.9306919999999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2"/>
        <v>7</v>
      </c>
      <c r="C10" s="62" t="s">
        <v>145</v>
      </c>
      <c r="D10" s="75">
        <f>VLOOKUP(C10,Country_Data!B:F,5,FALSE)</f>
        <v>1280</v>
      </c>
      <c r="E10" s="75">
        <f>D10*Projections_Data!$C$15</f>
        <v>10.472183263207107</v>
      </c>
      <c r="F10" s="75">
        <f>VLOOKUP(C10,Country_Data!C:G,5,FALSE)</f>
        <v>2</v>
      </c>
      <c r="G10" s="76">
        <f>IFERROR(VLOOKUP(C10,Days_Since_100!C:G,5,FALSE)-1,0)</f>
        <v>0.18233362526317531</v>
      </c>
      <c r="H10" s="77">
        <f>IFERROR(VLOOKUP(C10,Deaths_since_10!C:G,5,FALSE)-1,0)</f>
        <v>0</v>
      </c>
      <c r="J10" s="68" t="str">
        <f t="shared" si="0"/>
        <v/>
      </c>
      <c r="K10" s="67"/>
      <c r="L10" s="61">
        <f>VLOOKUP(C10,Country_Data!C:J,8,FALSE)</f>
        <v>59308690</v>
      </c>
      <c r="M10" s="60">
        <f t="shared" si="1"/>
        <v>0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2"/>
        <v>8</v>
      </c>
      <c r="C11" s="62" t="s">
        <v>45</v>
      </c>
      <c r="D11" s="75">
        <f>VLOOKUP(C11,Country_Data!B:F,5,FALSE)</f>
        <v>6280</v>
      </c>
      <c r="E11" s="75">
        <f>D11*Projections_Data!$C$15</f>
        <v>51.37914913510987</v>
      </c>
      <c r="F11" s="75">
        <f>VLOOKUP(C11,Country_Data!C:G,5,FALSE)</f>
        <v>64</v>
      </c>
      <c r="G11" s="76">
        <f>IFERROR(VLOOKUP(C11,Days_Since_100!C:G,5,FALSE)-1,0)</f>
        <v>0.17617268176154877</v>
      </c>
      <c r="H11" s="77">
        <f>IFERROR(VLOOKUP(C11,Deaths_since_10!C:G,5,FALSE)-1,0)</f>
        <v>0.19740571108299565</v>
      </c>
      <c r="J11" s="68">
        <f t="shared" si="0"/>
        <v>24.192742178188748</v>
      </c>
      <c r="K11" s="67">
        <v>6.9</v>
      </c>
      <c r="L11" s="61">
        <f>VLOOKUP(C11,Country_Data!C:J,8,FALSE)</f>
        <v>37742154</v>
      </c>
      <c r="M11" s="60">
        <f t="shared" si="1"/>
        <v>2604.2086260000001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2"/>
        <v>9</v>
      </c>
      <c r="C12" s="62" t="s">
        <v>137</v>
      </c>
      <c r="D12" s="75">
        <f>VLOOKUP(C12,Country_Data!B:F,5,FALSE)</f>
        <v>1862</v>
      </c>
      <c r="E12" s="75">
        <f>D12*Projections_Data!$C$15</f>
        <v>15.233754090696587</v>
      </c>
      <c r="F12" s="75">
        <f>VLOOKUP(C12,Country_Data!C:G,5,FALSE)</f>
        <v>22</v>
      </c>
      <c r="G12" s="76">
        <f>IFERROR(VLOOKUP(C12,Days_Since_100!C:G,5,FALSE)-1,0)</f>
        <v>0.15624795367199118</v>
      </c>
      <c r="H12" s="77">
        <f>IFERROR(VLOOKUP(C12,Deaths_since_10!C:G,5,FALSE)-1,0)</f>
        <v>0.17080491296489231</v>
      </c>
      <c r="J12" s="68" t="str">
        <f t="shared" si="0"/>
        <v/>
      </c>
      <c r="K12" s="67"/>
      <c r="L12" s="61">
        <f>VLOOKUP(C12,Country_Data!C:J,8,FALSE)</f>
        <v>37846611</v>
      </c>
      <c r="M12" s="60">
        <f t="shared" si="1"/>
        <v>0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2"/>
        <v>10</v>
      </c>
      <c r="C13" s="62" t="s">
        <v>60</v>
      </c>
      <c r="D13" s="75">
        <f>VLOOKUP(C13,Country_Data!B:F,5,FALSE)</f>
        <v>80110</v>
      </c>
      <c r="E13" s="75">
        <f>D13*Projections_Data!$C$15</f>
        <v>655.41140719962607</v>
      </c>
      <c r="F13" s="75">
        <f>VLOOKUP(C13,Country_Data!C:G,5,FALSE)</f>
        <v>6803</v>
      </c>
      <c r="G13" s="76">
        <f>IFERROR(VLOOKUP(C13,Days_Since_100!C:G,5,FALSE)-1,0)</f>
        <v>0.14967589862615926</v>
      </c>
      <c r="H13" s="77">
        <f>IFERROR(VLOOKUP(C13,Deaths_since_10!C:G,5,FALSE)-1,0)</f>
        <v>0.1936051212383374</v>
      </c>
      <c r="J13" s="68">
        <f t="shared" si="0"/>
        <v>11.107737435259082</v>
      </c>
      <c r="K13" s="67">
        <v>6.6</v>
      </c>
      <c r="L13" s="61">
        <f>VLOOKUP(C13,Country_Data!C:J,8,FALSE)</f>
        <v>46754778</v>
      </c>
      <c r="M13" s="60">
        <f t="shared" si="1"/>
        <v>3085.8153479999996</v>
      </c>
      <c r="O13" s="59">
        <f t="array" ref="O13">IF(OR(C13=$Q$4:$Q$22),1,0)</f>
        <v>1</v>
      </c>
    </row>
    <row r="14" spans="2:18" s="59" customFormat="1" ht="13.8" customHeight="1" x14ac:dyDescent="0.3">
      <c r="B14" s="66">
        <f t="shared" si="2"/>
        <v>11</v>
      </c>
      <c r="C14" s="62" t="s">
        <v>89</v>
      </c>
      <c r="D14" s="75">
        <f>VLOOKUP(C14,Country_Data!B:F,5,FALSE)</f>
        <v>10930</v>
      </c>
      <c r="E14" s="75">
        <f>D14*Projections_Data!$C$15</f>
        <v>89.422627395979433</v>
      </c>
      <c r="F14" s="75">
        <f>VLOOKUP(C14,Country_Data!C:G,5,FALSE)</f>
        <v>772</v>
      </c>
      <c r="G14" s="76">
        <f>IFERROR(VLOOKUP(C14,Days_Since_100!C:G,5,FALSE)-1,0)</f>
        <v>0.1439240548793892</v>
      </c>
      <c r="H14" s="77">
        <f>IFERROR(VLOOKUP(C14,Deaths_since_10!C:G,5,FALSE)-1,0)</f>
        <v>0.227516974086724</v>
      </c>
      <c r="J14" s="68" t="str">
        <f t="shared" si="0"/>
        <v/>
      </c>
      <c r="K14" s="67"/>
      <c r="L14" s="61">
        <f>VLOOKUP(C14,Country_Data!C:J,8,FALSE)</f>
        <v>17134872</v>
      </c>
      <c r="M14" s="60">
        <f t="shared" si="1"/>
        <v>0</v>
      </c>
      <c r="O14" s="59">
        <f t="array" ref="O14">IF(OR(C14=$Q$4:$Q$22),1,0)</f>
        <v>0</v>
      </c>
      <c r="P14" s="95" t="s">
        <v>594</v>
      </c>
      <c r="Q14" s="96">
        <v>20</v>
      </c>
      <c r="R14" s="95" t="s">
        <v>595</v>
      </c>
    </row>
    <row r="15" spans="2:18" s="59" customFormat="1" ht="13.8" customHeight="1" x14ac:dyDescent="0.3">
      <c r="B15" s="66">
        <f t="shared" si="2"/>
        <v>12</v>
      </c>
      <c r="C15" s="62" t="s">
        <v>81</v>
      </c>
      <c r="D15" s="75">
        <f>VLOOKUP(C15,Country_Data!B:F,5,FALSE)</f>
        <v>4256</v>
      </c>
      <c r="E15" s="75">
        <f>D15*Projections_Data!$C$15</f>
        <v>34.82000935016363</v>
      </c>
      <c r="F15" s="75">
        <f>VLOOKUP(C15,Country_Data!C:G,5,FALSE)</f>
        <v>136</v>
      </c>
      <c r="G15" s="76">
        <f>IFERROR(VLOOKUP(C15,Days_Since_100!C:G,5,FALSE)-1,0)</f>
        <v>0.13626520910082607</v>
      </c>
      <c r="H15" s="77">
        <f>IFERROR(VLOOKUP(C15,Deaths_since_10!C:G,5,FALSE)-1,0)</f>
        <v>0.24209900915409777</v>
      </c>
      <c r="J15" s="68">
        <f t="shared" si="0"/>
        <v>43.419491277667703</v>
      </c>
      <c r="K15" s="67">
        <v>4.2</v>
      </c>
      <c r="L15" s="61">
        <f>VLOOKUP(C15,Country_Data!C:J,8,FALSE)</f>
        <v>212559417</v>
      </c>
      <c r="M15" s="60">
        <f t="shared" si="1"/>
        <v>8927.4955140000002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2"/>
        <v>13</v>
      </c>
      <c r="C16" s="62" t="s">
        <v>53</v>
      </c>
      <c r="D16" s="75">
        <f>VLOOKUP(C16,Country_Data!B:F,5,FALSE)</f>
        <v>62095</v>
      </c>
      <c r="E16" s="75">
        <f>D16*Projections_Data!$C$15</f>
        <v>508.02360916316036</v>
      </c>
      <c r="F16" s="75">
        <f>VLOOKUP(C16,Country_Data!C:G,5,FALSE)</f>
        <v>533</v>
      </c>
      <c r="G16" s="76">
        <f>IFERROR(VLOOKUP(C16,Days_Since_100!C:G,5,FALSE)-1,0)</f>
        <v>0.13486811764522422</v>
      </c>
      <c r="H16" s="77">
        <f>IFERROR(VLOOKUP(C16,Deaths_since_10!C:G,5,FALSE)-1,0)</f>
        <v>0.27692535733421098</v>
      </c>
      <c r="J16" s="68" t="str">
        <f t="shared" si="0"/>
        <v/>
      </c>
      <c r="K16" s="67"/>
      <c r="L16" s="61">
        <f>VLOOKUP(C16,Country_Data!C:J,8,FALSE)</f>
        <v>83783942</v>
      </c>
      <c r="M16" s="60">
        <f t="shared" si="1"/>
        <v>0</v>
      </c>
      <c r="O16" s="59">
        <f t="array" ref="O16">IF(OR(C16=$Q$4:$Q$22),1,0)</f>
        <v>1</v>
      </c>
    </row>
    <row r="17" spans="2:15" s="59" customFormat="1" ht="13.8" customHeight="1" x14ac:dyDescent="0.3">
      <c r="B17" s="66">
        <f t="shared" si="2"/>
        <v>14</v>
      </c>
      <c r="C17" s="62" t="s">
        <v>107</v>
      </c>
      <c r="D17" s="75">
        <f>VLOOKUP(C17,Country_Data!B:F,5,FALSE)</f>
        <v>1285</v>
      </c>
      <c r="E17" s="75">
        <f>D17*Projections_Data!$C$15</f>
        <v>10.51309022907901</v>
      </c>
      <c r="F17" s="75">
        <f>VLOOKUP(C17,Country_Data!C:G,5,FALSE)</f>
        <v>114</v>
      </c>
      <c r="G17" s="76">
        <f>IFERROR(VLOOKUP(C17,Days_Since_100!C:G,5,FALSE)-1,0)</f>
        <v>0.13374609023979689</v>
      </c>
      <c r="H17" s="77">
        <f>IFERROR(VLOOKUP(C17,Deaths_since_10!C:G,5,FALSE)-1,0)</f>
        <v>0.15693359522062988</v>
      </c>
      <c r="J17" s="68" t="str">
        <f t="shared" si="0"/>
        <v/>
      </c>
      <c r="K17" s="67"/>
      <c r="L17" s="61">
        <f>VLOOKUP(C17,Country_Data!C:J,8,FALSE)</f>
        <v>273523615</v>
      </c>
      <c r="M17" s="60">
        <f t="shared" si="1"/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2"/>
        <v>15</v>
      </c>
      <c r="C18" s="62" t="s">
        <v>41</v>
      </c>
      <c r="D18" s="75">
        <f>VLOOKUP(C18,Country_Data!B:F,5,FALSE)</f>
        <v>40708</v>
      </c>
      <c r="E18" s="75">
        <f>D18*Projections_Data!$C$15</f>
        <v>333.04815334268352</v>
      </c>
      <c r="F18" s="75">
        <f>VLOOKUP(C18,Country_Data!C:G,5,FALSE)</f>
        <v>2611</v>
      </c>
      <c r="G18" s="76">
        <f>IFERROR(VLOOKUP(C18,Days_Since_100!C:G,5,FALSE)-1,0)</f>
        <v>0.12468202340703338</v>
      </c>
      <c r="H18" s="77">
        <f>IFERROR(VLOOKUP(C18,Deaths_since_10!C:G,5,FALSE)-1,0)</f>
        <v>0.18829714984615453</v>
      </c>
      <c r="J18" s="68">
        <f t="shared" si="0"/>
        <v>21.524891676476667</v>
      </c>
      <c r="K18" s="67">
        <v>6.4</v>
      </c>
      <c r="L18" s="61">
        <f>VLOOKUP(C18,Country_Data!C:J,8,FALSE)</f>
        <v>65273511</v>
      </c>
      <c r="M18" s="60">
        <f t="shared" si="1"/>
        <v>4177.5047039999999</v>
      </c>
      <c r="O18" s="59">
        <f t="array" ref="O18">IF(OR(C18=$Q$4:$Q$22),1,0)</f>
        <v>1</v>
      </c>
    </row>
    <row r="19" spans="2:15" s="59" customFormat="1" ht="13.8" customHeight="1" x14ac:dyDescent="0.3">
      <c r="B19" s="66">
        <f t="shared" si="2"/>
        <v>16</v>
      </c>
      <c r="C19" s="62" t="s">
        <v>103</v>
      </c>
      <c r="D19" s="75">
        <f>VLOOKUP(C19,Country_Data!B:F,5,FALSE)</f>
        <v>1924</v>
      </c>
      <c r="E19" s="75">
        <f>D19*Projections_Data!$C$15</f>
        <v>15.741000467508183</v>
      </c>
      <c r="F19" s="75">
        <f>VLOOKUP(C19,Country_Data!C:G,5,FALSE)</f>
        <v>58</v>
      </c>
      <c r="G19" s="76">
        <f>IFERROR(VLOOKUP(C19,Days_Since_100!C:G,5,FALSE)-1,0)</f>
        <v>0.12200698701122303</v>
      </c>
      <c r="H19" s="77">
        <f>IFERROR(VLOOKUP(C19,Deaths_since_10!C:G,5,FALSE)-1,0)</f>
        <v>0.1652331886373577</v>
      </c>
      <c r="J19" s="68" t="str">
        <f t="shared" si="0"/>
        <v/>
      </c>
      <c r="K19" s="67"/>
      <c r="L19" s="61">
        <f>VLOOKUP(C19,Country_Data!C:J,8,FALSE)</f>
        <v>17643054</v>
      </c>
      <c r="M19" s="60"/>
      <c r="O19" s="59">
        <f t="array" ref="O19">IF(OR(C19=$Q$4:$Q$22),1,0)</f>
        <v>0</v>
      </c>
    </row>
    <row r="20" spans="2:15" s="59" customFormat="1" ht="13.8" customHeight="1" x14ac:dyDescent="0.2">
      <c r="B20" s="66">
        <f t="shared" si="2"/>
        <v>17</v>
      </c>
      <c r="C20" s="62" t="s">
        <v>78</v>
      </c>
      <c r="D20" s="75">
        <f>VLOOKUP(C20,Country_Data!B:F,5,FALSE)</f>
        <v>8788</v>
      </c>
      <c r="E20" s="75">
        <f>D20*Projections_Data!$C$15</f>
        <v>71.898083216456286</v>
      </c>
      <c r="F20" s="75">
        <f>VLOOKUP(C20,Country_Data!C:G,5,FALSE)</f>
        <v>86</v>
      </c>
      <c r="G20" s="76">
        <f>IFERROR(VLOOKUP(C20,Days_Since_100!C:G,5,FALSE)-1,0)</f>
        <v>0.10713833221285163</v>
      </c>
      <c r="H20" s="77">
        <f>IFERROR(VLOOKUP(C20,Deaths_since_10!C:G,5,FALSE)-1,0)</f>
        <v>0.25160728984411285</v>
      </c>
      <c r="I20" s="58"/>
      <c r="J20" s="68" t="str">
        <f t="shared" si="0"/>
        <v/>
      </c>
      <c r="K20" s="67">
        <v>12.2</v>
      </c>
      <c r="L20" s="61">
        <f>VLOOKUP(C20,Country_Data!C:J,8,FALSE)</f>
        <v>9006398</v>
      </c>
      <c r="M20" s="60"/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2"/>
        <v>18</v>
      </c>
      <c r="C21" s="62" t="s">
        <v>43</v>
      </c>
      <c r="D21" s="75">
        <f>VLOOKUP(C21,Country_Data!B:F,5,FALSE)</f>
        <v>2470</v>
      </c>
      <c r="E21" s="75">
        <f>D21*Projections_Data!$C$15</f>
        <v>20.208041140719963</v>
      </c>
      <c r="F21" s="75">
        <f>VLOOKUP(C21,Country_Data!C:G,5,FALSE)</f>
        <v>35</v>
      </c>
      <c r="G21" s="76">
        <f>IFERROR(VLOOKUP(C21,Days_Since_100!C:G,5,FALSE)-1,0)</f>
        <v>8.7482271501330588E-2</v>
      </c>
      <c r="H21" s="77">
        <f>IFERROR(VLOOKUP(C21,Deaths_since_10!C:G,5,FALSE)-1,0)</f>
        <v>0.16947141871401028</v>
      </c>
      <c r="J21" s="68">
        <f t="shared" si="0"/>
        <v>69.599847610862383</v>
      </c>
      <c r="K21" s="67">
        <v>21.4</v>
      </c>
      <c r="L21" s="61">
        <f>VLOOKUP(C21,Country_Data!C:J,8,FALSE)</f>
        <v>32365999</v>
      </c>
      <c r="M21" s="60">
        <f>(L21/100000)*K21</f>
        <v>6926.323785999999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2"/>
        <v>19</v>
      </c>
      <c r="C22" s="62" t="s">
        <v>77</v>
      </c>
      <c r="D22" s="75">
        <f>VLOOKUP(C22,Country_Data!B:F,5,FALSE)</f>
        <v>14829</v>
      </c>
      <c r="E22" s="75">
        <f>D22*Projections_Data!$C$15</f>
        <v>121.32187938288921</v>
      </c>
      <c r="F22" s="75">
        <f>VLOOKUP(C22,Country_Data!C:G,5,FALSE)</f>
        <v>300</v>
      </c>
      <c r="G22" s="76">
        <f>IFERROR(VLOOKUP(C22,Days_Since_100!C:G,5,FALSE)-1,0)</f>
        <v>8.466933504176799E-2</v>
      </c>
      <c r="H22" s="77">
        <f>IFERROR(VLOOKUP(C22,Deaths_since_10!C:G,5,FALSE)-1,0)</f>
        <v>0.19716024043688285</v>
      </c>
      <c r="J22" s="68" t="str">
        <f t="shared" si="0"/>
        <v/>
      </c>
      <c r="K22" s="67"/>
      <c r="L22" s="61">
        <f>VLOOKUP(C22,Country_Data!C:J,8,FALSE)</f>
        <v>8654622</v>
      </c>
      <c r="M22" s="60">
        <f>(L22/100000)*K22</f>
        <v>0</v>
      </c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2"/>
        <v>20</v>
      </c>
      <c r="C23" s="62" t="s">
        <v>58</v>
      </c>
      <c r="D23" s="75">
        <f>VLOOKUP(C23,Country_Data!B:F,5,FALSE)</f>
        <v>97689</v>
      </c>
      <c r="E23" s="75">
        <f>D23*Projections_Data!$C$15</f>
        <v>799.2321178120618</v>
      </c>
      <c r="F23" s="75">
        <f>VLOOKUP(C23,Country_Data!C:G,5,FALSE)</f>
        <v>10779</v>
      </c>
      <c r="G23" s="76">
        <f>IFERROR(VLOOKUP(C23,Days_Since_100!C:G,5,FALSE)-1,0)</f>
        <v>7.1465134350410686E-2</v>
      </c>
      <c r="H23" s="77">
        <f>IFERROR(VLOOKUP(C23,Deaths_since_10!C:G,5,FALSE)-1,0)</f>
        <v>9.5869448379488187E-2</v>
      </c>
      <c r="J23" s="68">
        <f t="shared" si="0"/>
        <v>21.914691643030622</v>
      </c>
      <c r="K23" s="67">
        <v>6</v>
      </c>
      <c r="L23" s="61">
        <f>VLOOKUP(C23,Country_Data!C:J,8,FALSE)</f>
        <v>60461826</v>
      </c>
      <c r="M23" s="60">
        <f>(L23/100000)*K23</f>
        <v>3627.7095599999998</v>
      </c>
      <c r="O23" s="59">
        <f t="array" ref="O23">IF(OR(C23=$Q$4:$Q$22),1,0)</f>
        <v>1</v>
      </c>
    </row>
    <row r="24" spans="2:15" s="59" customFormat="1" ht="13.8" hidden="1" customHeight="1" x14ac:dyDescent="0.3">
      <c r="B24" s="66">
        <f t="shared" si="2"/>
        <v>21</v>
      </c>
      <c r="C24" s="62" t="s">
        <v>99</v>
      </c>
      <c r="D24" s="75">
        <f>VLOOKUP(C24,Country_Data!B:F,5,FALSE)</f>
        <v>1950</v>
      </c>
      <c r="E24" s="75">
        <f>D24*Projections_Data!$C$15</f>
        <v>15.953716690042077</v>
      </c>
      <c r="F24" s="75">
        <f>VLOOKUP(C24,Country_Data!C:G,5,FALSE)</f>
        <v>21</v>
      </c>
      <c r="G24" s="76">
        <f>IFERROR(VLOOKUP(C24,Days_Since_100!C:G,5,FALSE)-1,0)</f>
        <v>0.12152093237905737</v>
      </c>
      <c r="H24" s="77">
        <f>IFERROR(VLOOKUP(C24,Deaths_since_10!C:G,5,FALSE)-1,0)</f>
        <v>0.21290241716173264</v>
      </c>
      <c r="J24" s="68">
        <f t="shared" ref="J24:J43" si="3">IFERROR(LOG((M24/E24),1+G24),"")</f>
        <v>19.839405333064729</v>
      </c>
      <c r="K24" s="67">
        <v>24.8</v>
      </c>
      <c r="L24" s="61">
        <f>VLOOKUP(C24,Country_Data!C:J,8,FALSE)</f>
        <v>625978</v>
      </c>
      <c r="M24" s="60">
        <f t="shared" ref="M24:M27" si="4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2"/>
        <v>22</v>
      </c>
      <c r="C25" s="62" t="s">
        <v>35</v>
      </c>
      <c r="D25" s="75">
        <f>VLOOKUP(C25,Country_Data!B:F,5,FALSE)</f>
        <v>1388</v>
      </c>
      <c r="E25" s="75">
        <f>D25*Projections_Data!$C$15</f>
        <v>11.355773726040207</v>
      </c>
      <c r="F25" s="75">
        <f>VLOOKUP(C25,Country_Data!C:G,5,FALSE)</f>
        <v>7</v>
      </c>
      <c r="G25" s="76">
        <f>IFERROR(VLOOKUP(C25,Days_Since_100!C:G,5,FALSE)-1,0)</f>
        <v>0.1091155425705399</v>
      </c>
      <c r="H25" s="77">
        <f>IFERROR(VLOOKUP(C25,Deaths_since_10!C:G,5,FALSE)-1,0)</f>
        <v>0</v>
      </c>
      <c r="J25" s="68" t="str">
        <f t="shared" si="3"/>
        <v/>
      </c>
      <c r="K25" s="67"/>
      <c r="L25" s="61">
        <f>VLOOKUP(C25,Country_Data!C:J,8,FALSE)</f>
        <v>69799978</v>
      </c>
      <c r="M25" s="60">
        <f t="shared" si="4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2"/>
        <v>23</v>
      </c>
      <c r="C26" s="62" t="s">
        <v>48</v>
      </c>
      <c r="D26" s="75">
        <f>VLOOKUP(C26,Country_Data!B:F,5,FALSE)</f>
        <v>3984</v>
      </c>
      <c r="E26" s="75">
        <f>D26*Projections_Data!$C$15</f>
        <v>32.594670406732121</v>
      </c>
      <c r="F26" s="75">
        <f>VLOOKUP(C26,Country_Data!C:G,5,FALSE)</f>
        <v>16</v>
      </c>
      <c r="G26" s="76">
        <f>IFERROR(VLOOKUP(C26,Days_Since_100!C:G,5,FALSE)-1,0)</f>
        <v>0.14279330561342785</v>
      </c>
      <c r="H26" s="77">
        <f>IFERROR(VLOOKUP(C26,Deaths_since_10!C:G,5,FALSE)-1,0)</f>
        <v>0.1486983549970351</v>
      </c>
      <c r="J26" s="68" t="str">
        <f t="shared" si="3"/>
        <v/>
      </c>
      <c r="K26" s="67"/>
      <c r="L26" s="61">
        <f>VLOOKUP(C26,Country_Data!C:J,8,FALSE)</f>
        <v>25499884</v>
      </c>
      <c r="M26" s="60">
        <f t="shared" si="4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2"/>
        <v>24</v>
      </c>
      <c r="C27" s="62" t="s">
        <v>86</v>
      </c>
      <c r="D27" s="75">
        <f>VLOOKUP(C27,Country_Data!B:F,5,FALSE)</f>
        <v>1815</v>
      </c>
      <c r="E27" s="75">
        <f>D27*Projections_Data!$C$15</f>
        <v>14.849228611500703</v>
      </c>
      <c r="F27" s="75">
        <f>VLOOKUP(C27,Country_Data!C:G,5,FALSE)</f>
        <v>43</v>
      </c>
      <c r="G27" s="76">
        <f>IFERROR(VLOOKUP(C27,Days_Since_100!C:G,5,FALSE)-1,0)</f>
        <v>0.17980769763437077</v>
      </c>
      <c r="H27" s="77">
        <f>IFERROR(VLOOKUP(C27,Deaths_since_10!C:G,5,FALSE)-1,0)</f>
        <v>0.31345486686056256</v>
      </c>
      <c r="J27" s="68" t="str">
        <f t="shared" si="3"/>
        <v/>
      </c>
      <c r="K27" s="67"/>
      <c r="L27" s="61">
        <f>VLOOKUP(C27,Country_Data!C:J,8,FALSE)</f>
        <v>19237691</v>
      </c>
      <c r="M27" s="60">
        <f t="shared" si="4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2"/>
        <v>25</v>
      </c>
      <c r="C28" s="62" t="s">
        <v>79</v>
      </c>
      <c r="D28" s="75">
        <f>VLOOKUP(C28,Country_Data!B:F,5,FALSE)</f>
        <v>4247</v>
      </c>
      <c r="E28" s="75">
        <f>D28*Projections_Data!$C$15</f>
        <v>34.746376811594203</v>
      </c>
      <c r="F28" s="75">
        <f>VLOOKUP(C28,Country_Data!C:G,5,FALSE)</f>
        <v>15</v>
      </c>
      <c r="G28" s="76">
        <f>IFERROR(VLOOKUP(C28,Days_Since_100!C:G,5,FALSE)-1,0)</f>
        <v>0.27959437786008845</v>
      </c>
      <c r="H28" s="77">
        <f>IFERROR(VLOOKUP(C28,Deaths_since_10!C:G,5,FALSE)-1,0)</f>
        <v>0.23310603716523493</v>
      </c>
      <c r="J28" s="68" t="str">
        <f t="shared" si="3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2"/>
        <v>26</v>
      </c>
      <c r="C29" s="62" t="s">
        <v>113</v>
      </c>
      <c r="D29" s="75">
        <f>VLOOKUP(C29,Country_Data!B:F,5,FALSE)</f>
        <v>1299</v>
      </c>
      <c r="E29" s="75">
        <f>D29*Projections_Data!$C$15</f>
        <v>10.627629733520337</v>
      </c>
      <c r="F29" s="75">
        <f>VLOOKUP(C29,Country_Data!C:G,5,FALSE)</f>
        <v>8</v>
      </c>
      <c r="G29" s="76">
        <f>IFERROR(VLOOKUP(C29,Days_Since_100!C:G,5,FALSE)-1,0)</f>
        <v>0.11112458608486619</v>
      </c>
      <c r="H29" s="77">
        <f>IFERROR(VLOOKUP(C29,Deaths_since_10!C:G,5,FALSE)-1,0)</f>
        <v>0</v>
      </c>
      <c r="J29" s="68">
        <f t="shared" si="3"/>
        <v>54.675193882974284</v>
      </c>
      <c r="K29" s="67">
        <v>9.6999999999999993</v>
      </c>
      <c r="L29" s="61">
        <f>VLOOKUP(C29,Country_Data!C:J,8,FALSE)</f>
        <v>34813871</v>
      </c>
      <c r="M29" s="60">
        <f t="shared" ref="M29:M36" si="5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2"/>
        <v>27</v>
      </c>
      <c r="C30" s="62" t="s">
        <v>57</v>
      </c>
      <c r="D30" s="75">
        <f>VLOOKUP(C30,Country_Data!B:F,5,FALSE)</f>
        <v>1024</v>
      </c>
      <c r="E30" s="75">
        <f>D30*Projections_Data!$C$15</f>
        <v>8.3777466105656853</v>
      </c>
      <c r="F30" s="75">
        <f>VLOOKUP(C30,Country_Data!C:G,5,FALSE)</f>
        <v>27</v>
      </c>
      <c r="G30" s="76">
        <f>IFERROR(VLOOKUP(C30,Days_Since_100!C:G,5,FALSE)-1,0)</f>
        <v>0.1382221515439408</v>
      </c>
      <c r="H30" s="77">
        <f>IFERROR(VLOOKUP(C30,Deaths_since_10!C:G,5,FALSE)-1,0)</f>
        <v>0.21975540946693473</v>
      </c>
      <c r="J30" s="68" t="str">
        <f t="shared" si="3"/>
        <v/>
      </c>
      <c r="K30" s="67"/>
      <c r="L30" s="61">
        <f>VLOOKUP(C30,Country_Data!C:J,8,FALSE)</f>
        <v>1380004385</v>
      </c>
      <c r="M30" s="60">
        <f t="shared" si="5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2"/>
        <v>28</v>
      </c>
      <c r="C31" s="62" t="s">
        <v>344</v>
      </c>
      <c r="D31" s="75">
        <f>VLOOKUP(C31,Country_Data!B:F,5,FALSE)</f>
        <v>1534</v>
      </c>
      <c r="E31" s="75">
        <f>D31*Projections_Data!$C$15</f>
        <v>12.550257129499768</v>
      </c>
      <c r="F31" s="75">
        <f>VLOOKUP(C31,Country_Data!C:G,5,FALSE)</f>
        <v>8</v>
      </c>
      <c r="G31" s="76">
        <f>IFERROR(VLOOKUP(C31,Days_Since_100!C:G,5,FALSE)-1,0)</f>
        <v>0.25384551879896966</v>
      </c>
      <c r="H31" s="77">
        <f>IFERROR(VLOOKUP(C31,Deaths_since_10!C:G,5,FALSE)-1,0)</f>
        <v>0</v>
      </c>
      <c r="J31" s="68">
        <f t="shared" si="3"/>
        <v>29.2986610150651</v>
      </c>
      <c r="K31" s="67">
        <v>6.5</v>
      </c>
      <c r="L31" s="61">
        <f>VLOOKUP(C31,Country_Data!C:J,8,FALSE)</f>
        <v>145934462</v>
      </c>
      <c r="M31" s="60">
        <f t="shared" si="5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2"/>
        <v>29</v>
      </c>
      <c r="C32" s="62" t="s">
        <v>98</v>
      </c>
      <c r="D32" s="75">
        <f>VLOOKUP(C32,Country_Data!B:F,5,FALSE)</f>
        <v>2615</v>
      </c>
      <c r="E32" s="75">
        <f>D32*Projections_Data!$C$15</f>
        <v>21.394343151005142</v>
      </c>
      <c r="F32" s="75">
        <f>VLOOKUP(C32,Country_Data!C:G,5,FALSE)</f>
        <v>46</v>
      </c>
      <c r="G32" s="76">
        <f>IFERROR(VLOOKUP(C32,Days_Since_100!C:G,5,FALSE)-1,0)</f>
        <v>0.14495743719194887</v>
      </c>
      <c r="H32" s="77">
        <f>IFERROR(VLOOKUP(C32,Deaths_since_10!C:G,5,FALSE)-1,0)</f>
        <v>0.5035879292684402</v>
      </c>
      <c r="J32" s="68" t="str">
        <f t="shared" si="3"/>
        <v/>
      </c>
      <c r="K32" s="67"/>
      <c r="L32" s="61">
        <f>VLOOKUP(C32,Country_Data!C:J,8,FALSE)</f>
        <v>4937786</v>
      </c>
      <c r="M32" s="60">
        <f t="shared" si="5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2"/>
        <v>30</v>
      </c>
      <c r="C33" s="62" t="s">
        <v>80</v>
      </c>
      <c r="D33" s="75">
        <f>VLOOKUP(C33,Country_Data!B:F,5,FALSE)</f>
        <v>1597</v>
      </c>
      <c r="E33" s="75">
        <f>D33*Projections_Data!$C$15</f>
        <v>13.065684899485742</v>
      </c>
      <c r="F33" s="75">
        <f>VLOOKUP(C33,Country_Data!C:G,5,FALSE)</f>
        <v>14</v>
      </c>
      <c r="G33" s="76">
        <f>IFERROR(VLOOKUP(C33,Days_Since_100!C:G,5,FALSE)-1,0)</f>
        <v>0.10440338794773329</v>
      </c>
      <c r="H33" s="77">
        <f>IFERROR(VLOOKUP(C33,Deaths_since_10!C:G,5,FALSE)-1,0)</f>
        <v>0.15016331689560292</v>
      </c>
      <c r="J33" s="68" t="str">
        <f t="shared" si="3"/>
        <v/>
      </c>
      <c r="K33" s="67"/>
      <c r="L33" s="61">
        <f>VLOOKUP(C33,Country_Data!C:J,8,FALSE)</f>
        <v>220892340</v>
      </c>
      <c r="M33" s="60">
        <f t="shared" si="5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2"/>
        <v>31</v>
      </c>
      <c r="C34" s="62" t="s">
        <v>111</v>
      </c>
      <c r="D34" s="75">
        <f>VLOOKUP(C34,Country_Data!B:F,5,FALSE)</f>
        <v>347</v>
      </c>
      <c r="E34" s="75">
        <f>D34*Projections_Data!$C$15</f>
        <v>2.8389434315100517</v>
      </c>
      <c r="F34" s="75">
        <f>VLOOKUP(C34,Country_Data!C:G,5,FALSE)</f>
        <v>0</v>
      </c>
      <c r="G34" s="76">
        <f>IFERROR(VLOOKUP(C34,Days_Since_100!C:G,5,FALSE)-1,0)</f>
        <v>0.11988299403915259</v>
      </c>
      <c r="H34" s="77">
        <f>IFERROR(VLOOKUP(C34,Deaths_since_10!C:G,5,FALSE)-1,0)</f>
        <v>0</v>
      </c>
      <c r="J34" s="68">
        <f t="shared" si="3"/>
        <v>37.903656538018772</v>
      </c>
      <c r="K34" s="67">
        <v>11</v>
      </c>
      <c r="L34" s="61">
        <f>VLOOKUP(C34,Country_Data!C:J,8,FALSE)</f>
        <v>1886198</v>
      </c>
      <c r="M34" s="60">
        <f t="shared" si="5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2"/>
        <v>32</v>
      </c>
      <c r="C35" s="62" t="s">
        <v>67</v>
      </c>
      <c r="D35" s="75">
        <f>VLOOKUP(C35,Country_Data!B:F,5,FALSE)</f>
        <v>438</v>
      </c>
      <c r="E35" s="75">
        <f>D35*Projections_Data!$C$15</f>
        <v>3.5834502103786816</v>
      </c>
      <c r="F35" s="75">
        <f>VLOOKUP(C35,Country_Data!C:G,5,FALSE)</f>
        <v>10</v>
      </c>
      <c r="G35" s="76">
        <f>IFERROR(VLOOKUP(C35,Days_Since_100!C:G,5,FALSE)-1,0)</f>
        <v>6.6128119339313285E-2</v>
      </c>
      <c r="H35" s="77">
        <f>IFERROR(VLOOKUP(C35,Deaths_since_10!C:G,5,FALSE)-1,0)</f>
        <v>0.1180339887498949</v>
      </c>
      <c r="J35" s="68">
        <f t="shared" si="3"/>
        <v>74.261205657883082</v>
      </c>
      <c r="K35" s="67">
        <v>6.1</v>
      </c>
      <c r="L35" s="61">
        <f>VLOOKUP(C35,Country_Data!C:J,8,FALSE)</f>
        <v>6825445</v>
      </c>
      <c r="M35" s="60">
        <f t="shared" si="5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2"/>
        <v>33</v>
      </c>
      <c r="C36" s="62" t="s">
        <v>342</v>
      </c>
      <c r="D36" s="75">
        <f>VLOOKUP(C36,Country_Data!B:F,5,FALSE)</f>
        <v>298</v>
      </c>
      <c r="E36" s="75">
        <f>D36*Projections_Data!$C$15</f>
        <v>2.4380551659654044</v>
      </c>
      <c r="F36" s="75">
        <f>VLOOKUP(C36,Country_Data!C:G,5,FALSE)</f>
        <v>2</v>
      </c>
      <c r="G36" s="76">
        <f>IFERROR(VLOOKUP(C36,Days_Since_100!C:G,5,FALSE)-1,0)</f>
        <v>6.7469710709584962E-2</v>
      </c>
      <c r="H36" s="77">
        <f>IFERROR(VLOOKUP(C36,Deaths_since_10!C:G,5,FALSE)-1,0)</f>
        <v>0</v>
      </c>
      <c r="J36" s="68" t="str">
        <f t="shared" si="3"/>
        <v/>
      </c>
      <c r="K36" s="67"/>
      <c r="L36" s="61">
        <f>VLOOKUP(C36,Country_Data!C:J,8,FALSE)</f>
        <v>23816775</v>
      </c>
      <c r="M36" s="60">
        <f t="shared" si="5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6">B36+1</f>
        <v>34</v>
      </c>
      <c r="C37" s="62" t="s">
        <v>54</v>
      </c>
      <c r="D37" s="75">
        <f>VLOOKUP(C37,Country_Data!B:F,5,FALSE)</f>
        <v>1240</v>
      </c>
      <c r="E37" s="75">
        <f>D37*Projections_Data!$C$15</f>
        <v>10.144927536231885</v>
      </c>
      <c r="F37" s="75">
        <f>VLOOKUP(C37,Country_Data!C:G,5,FALSE)</f>
        <v>11</v>
      </c>
      <c r="G37" s="76">
        <f>IFERROR(VLOOKUP(C37,Days_Since_100!C:G,5,FALSE)-1,0)</f>
        <v>9.3803479849727367E-2</v>
      </c>
      <c r="H37" s="77">
        <f>IFERROR(VLOOKUP(C37,Deaths_since_10!C:G,5,FALSE)-1,0)</f>
        <v>0.22222222222222232</v>
      </c>
      <c r="I37" s="58"/>
      <c r="J37" s="68" t="str">
        <f t="shared" si="3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6"/>
        <v>35</v>
      </c>
      <c r="C38" s="62" t="s">
        <v>199</v>
      </c>
      <c r="D38" s="75">
        <f>VLOOKUP(C38,Country_Data!B:F,5,FALSE)</f>
        <v>346</v>
      </c>
      <c r="E38" s="75">
        <f>D38*Projections_Data!$C$15</f>
        <v>2.8307620383356711</v>
      </c>
      <c r="F38" s="75">
        <f>VLOOKUP(C38,Country_Data!C:G,5,FALSE)</f>
        <v>8</v>
      </c>
      <c r="G38" s="76">
        <f>IFERROR(VLOOKUP(C38,Days_Since_100!C:G,5,FALSE)-1,0)</f>
        <v>9.6791108484375554E-2</v>
      </c>
      <c r="H38" s="77">
        <f>IFERROR(VLOOKUP(C38,Deaths_since_10!C:G,5,FALSE)-1,0)</f>
        <v>0</v>
      </c>
      <c r="J38" s="68" t="str">
        <f t="shared" si="3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6"/>
        <v>36</v>
      </c>
      <c r="C39" s="62" t="s">
        <v>92</v>
      </c>
      <c r="D39" s="75">
        <f>VLOOKUP(C39,Country_Data!B:F,5,FALSE)</f>
        <v>1020</v>
      </c>
      <c r="E39" s="75">
        <f>D39*Projections_Data!$C$15</f>
        <v>8.3450210378681628</v>
      </c>
      <c r="F39" s="75">
        <f>VLOOKUP(C39,Country_Data!C:G,5,FALSE)</f>
        <v>5</v>
      </c>
      <c r="G39" s="76">
        <f>IFERROR(VLOOKUP(C39,Days_Since_100!C:G,5,FALSE)-1,0)</f>
        <v>9.4977091434474081E-2</v>
      </c>
      <c r="H39" s="77">
        <f>IFERROR(VLOOKUP(C39,Deaths_since_10!C:G,5,FALSE)-1,0)</f>
        <v>0</v>
      </c>
      <c r="J39" s="68" t="str">
        <f t="shared" si="3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6"/>
        <v>37</v>
      </c>
      <c r="C40" s="62" t="s">
        <v>92</v>
      </c>
      <c r="D40" s="75">
        <f>VLOOKUP(C40,Country_Data!B:F,5,FALSE)</f>
        <v>1020</v>
      </c>
      <c r="E40" s="75">
        <f>D40*Projections_Data!$C$15</f>
        <v>8.3450210378681628</v>
      </c>
      <c r="F40" s="75">
        <f>VLOOKUP(C40,Country_Data!C:G,5,FALSE)</f>
        <v>5</v>
      </c>
      <c r="G40" s="76">
        <f>IFERROR(VLOOKUP(C40,Days_Since_100!C:G,5,FALSE)-1,0)</f>
        <v>9.4977091434474081E-2</v>
      </c>
      <c r="H40" s="77">
        <f>IFERROR(VLOOKUP(C40,Deaths_since_10!C:G,5,FALSE)-1,0)</f>
        <v>0</v>
      </c>
      <c r="J40" s="68">
        <f t="shared" si="3"/>
        <v>20.632730750875432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6"/>
        <v>38</v>
      </c>
      <c r="C41" s="62" t="s">
        <v>160</v>
      </c>
      <c r="D41" s="75">
        <f>VLOOKUP(C41,Country_Data!B:F,5,FALSE)</f>
        <v>852</v>
      </c>
      <c r="E41" s="75">
        <f>D41*Projections_Data!$C$15</f>
        <v>6.9705469845722305</v>
      </c>
      <c r="F41" s="75">
        <f>VLOOKUP(C41,Country_Data!C:G,5,FALSE)</f>
        <v>18</v>
      </c>
      <c r="G41" s="76">
        <f>IFERROR(VLOOKUP(C41,Days_Since_100!C:G,5,FALSE)-1,0)</f>
        <v>0.15416859466706412</v>
      </c>
      <c r="H41" s="77">
        <f>IFERROR(VLOOKUP(C41,Deaths_since_10!C:G,5,FALSE)-1,0)</f>
        <v>0.18920711500272103</v>
      </c>
      <c r="J41" s="68">
        <f t="shared" si="3"/>
        <v>50.454180625273381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6"/>
        <v>39</v>
      </c>
      <c r="C42" s="62" t="s">
        <v>162</v>
      </c>
      <c r="D42" s="75">
        <f>VLOOKUP(C42,Country_Data!B:F,5,FALSE)</f>
        <v>314</v>
      </c>
      <c r="E42" s="75">
        <f>D42*Projections_Data!$C$15</f>
        <v>2.5689574567554931</v>
      </c>
      <c r="F42" s="75">
        <f>VLOOKUP(C42,Country_Data!C:G,5,FALSE)</f>
        <v>1</v>
      </c>
      <c r="G42" s="76">
        <f>IFERROR(VLOOKUP(C42,Days_Since_100!C:G,5,FALSE)-1,0)</f>
        <v>9.0083826590395155E-2</v>
      </c>
      <c r="H42" s="77">
        <f>IFERROR(VLOOKUP(C42,Deaths_since_10!C:G,5,FALSE)-1,0)</f>
        <v>0</v>
      </c>
      <c r="I42" s="58"/>
      <c r="J42" s="68" t="str">
        <f t="shared" si="3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6"/>
        <v>40</v>
      </c>
      <c r="C43" s="62" t="s">
        <v>40</v>
      </c>
      <c r="D43" s="75">
        <f>VLOOKUP(C43,Country_Data!B:F,5,FALSE)</f>
        <v>844</v>
      </c>
      <c r="E43" s="75">
        <f>D43*Projections_Data!$C$15</f>
        <v>6.9050958391771857</v>
      </c>
      <c r="F43" s="75">
        <f>VLOOKUP(C43,Country_Data!C:G,5,FALSE)</f>
        <v>3</v>
      </c>
      <c r="G43" s="76">
        <f>IFERROR(VLOOKUP(C43,Days_Since_100!C:G,5,FALSE)-1,0)</f>
        <v>8.6279664638437392E-2</v>
      </c>
      <c r="H43" s="77">
        <f>IFERROR(VLOOKUP(C43,Deaths_since_10!C:G,5,FALSE)-1,0)</f>
        <v>0</v>
      </c>
      <c r="J43" s="68" t="str">
        <f t="shared" si="3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6"/>
        <v>41</v>
      </c>
      <c r="C44" s="62" t="s">
        <v>65</v>
      </c>
      <c r="D44" s="75">
        <f>VLOOKUP(C44,Country_Data!B:F,5,FALSE)</f>
        <v>609</v>
      </c>
      <c r="E44" s="75">
        <f>D44*Projections_Data!$C$15</f>
        <v>4.9824684431977566</v>
      </c>
      <c r="F44" s="75">
        <f>VLOOKUP(C44,Country_Data!C:G,5,FALSE)</f>
        <v>40</v>
      </c>
      <c r="G44" s="76">
        <f>IFERROR(VLOOKUP(C44,Days_Since_100!C:G,5,FALSE)-1,0)</f>
        <v>8.6621385240465143E-2</v>
      </c>
      <c r="H44" s="77">
        <f>IFERROR(VLOOKUP(C44,Deaths_since_10!C:G,5,FALSE)-1,0)</f>
        <v>0.1486983549970351</v>
      </c>
      <c r="J44" s="68">
        <f t="shared" ref="J44:J66" si="7">IFERROR(LOG((M44/E44),1+G44),"")</f>
        <v>68.701969910321836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6"/>
        <v>42</v>
      </c>
      <c r="C45" s="62" t="s">
        <v>85</v>
      </c>
      <c r="D45" s="75">
        <f>VLOOKUP(C45,Country_Data!B:F,5,FALSE)</f>
        <v>4284</v>
      </c>
      <c r="E45" s="75">
        <f>D45*Projections_Data!$C$15</f>
        <v>35.049088359046287</v>
      </c>
      <c r="F45" s="75">
        <f>VLOOKUP(C45,Country_Data!C:G,5,FALSE)</f>
        <v>25</v>
      </c>
      <c r="G45" s="76">
        <f>IFERROR(VLOOKUP(C45,Days_Since_100!C:G,5,FALSE)-1,0)</f>
        <v>8.3940947756202755E-2</v>
      </c>
      <c r="H45" s="77">
        <f>IFERROR(VLOOKUP(C45,Deaths_since_10!C:G,5,FALSE)-1,0)</f>
        <v>0.15811517561929445</v>
      </c>
      <c r="J45" s="68">
        <f t="shared" si="7"/>
        <v>31.209613960186548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6"/>
        <v>43</v>
      </c>
      <c r="C46" s="62" t="s">
        <v>59</v>
      </c>
      <c r="D46" s="75">
        <f>VLOOKUP(C46,Country_Data!B:F,5,FALSE)</f>
        <v>3700</v>
      </c>
      <c r="E46" s="75">
        <f>D46*Projections_Data!$C$15</f>
        <v>30.271154745208044</v>
      </c>
      <c r="F46" s="75">
        <f>VLOOKUP(C46,Country_Data!C:G,5,FALSE)</f>
        <v>110</v>
      </c>
      <c r="G46" s="76">
        <f>IFERROR(VLOOKUP(C46,Days_Since_100!C:G,5,FALSE)-1,0)</f>
        <v>0.10109578358577687</v>
      </c>
      <c r="H46" s="77">
        <f>IFERROR(VLOOKUP(C46,Deaths_since_10!C:G,5,FALSE)-1,0)</f>
        <v>0.25031095636244483</v>
      </c>
      <c r="J46" s="68">
        <f t="shared" si="7"/>
        <v>40.349303449703193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6"/>
        <v>44</v>
      </c>
      <c r="C47" s="62" t="s">
        <v>83</v>
      </c>
      <c r="D47" s="75">
        <f>VLOOKUP(C47,Country_Data!B:F,5,FALSE)</f>
        <v>1156</v>
      </c>
      <c r="E47" s="75">
        <f>D47*Projections_Data!$C$15</f>
        <v>9.4576905095839177</v>
      </c>
      <c r="F47" s="75">
        <f>VLOOKUP(C47,Country_Data!C:G,5,FALSE)</f>
        <v>38</v>
      </c>
      <c r="G47" s="76">
        <f>IFERROR(VLOOKUP(C47,Days_Since_100!C:G,5,FALSE)-1,0)</f>
        <v>9.2430467772755431E-2</v>
      </c>
      <c r="H47" s="77">
        <f>IFERROR(VLOOKUP(C47,Deaths_since_10!C:G,5,FALSE)-1,0)</f>
        <v>0.13697448881013807</v>
      </c>
      <c r="J47" s="68" t="str">
        <f t="shared" si="7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6"/>
        <v>45</v>
      </c>
      <c r="C48" s="62" t="s">
        <v>70</v>
      </c>
      <c r="D48" s="75">
        <f>VLOOKUP(C48,Country_Data!B:F,5,FALSE)</f>
        <v>547</v>
      </c>
      <c r="E48" s="75">
        <f>D48*Projections_Data!$C$15</f>
        <v>4.4752220663861619</v>
      </c>
      <c r="F48" s="75">
        <f>VLOOKUP(C48,Country_Data!C:G,5,FALSE)</f>
        <v>42</v>
      </c>
      <c r="G48" s="76">
        <f>IFERROR(VLOOKUP(C48,Days_Since_100!C:G,5,FALSE)-1,0)</f>
        <v>0.11598934650046067</v>
      </c>
      <c r="H48" s="77">
        <f>IFERROR(VLOOKUP(C48,Deaths_since_10!C:G,5,FALSE)-1,0)</f>
        <v>9.2388464140372939E-2</v>
      </c>
      <c r="J48" s="68">
        <f t="shared" si="7"/>
        <v>57.009643497000134</v>
      </c>
      <c r="K48" s="67">
        <v>5.8</v>
      </c>
      <c r="L48" s="61">
        <f>VLOOKUP(C48,Country_Data!C:J,8,FALSE)</f>
        <v>40222493</v>
      </c>
      <c r="M48" s="60">
        <f t="shared" ref="M48:M61" si="8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6"/>
        <v>46</v>
      </c>
      <c r="C49" s="62" t="s">
        <v>141</v>
      </c>
      <c r="D49" s="75">
        <f>VLOOKUP(C49,Country_Data!B:F,5,FALSE)</f>
        <v>730</v>
      </c>
      <c r="E49" s="75">
        <f>D49*Projections_Data!$C$15</f>
        <v>5.9724170172978033</v>
      </c>
      <c r="F49" s="75">
        <f>VLOOKUP(C49,Country_Data!C:G,5,FALSE)</f>
        <v>11</v>
      </c>
      <c r="G49" s="76">
        <f>IFERROR(VLOOKUP(C49,Days_Since_100!C:G,5,FALSE)-1,0)</f>
        <v>8.7467595231095263E-2</v>
      </c>
      <c r="H49" s="77">
        <f>IFERROR(VLOOKUP(C49,Deaths_since_10!C:G,5,FALSE)-1,0)</f>
        <v>0.10554159678513342</v>
      </c>
      <c r="J49" s="68" t="str">
        <f t="shared" si="7"/>
        <v/>
      </c>
      <c r="K49" s="67"/>
      <c r="L49" s="61">
        <f>VLOOKUP(C49,Country_Data!C:J,8,FALSE)</f>
        <v>2078938</v>
      </c>
      <c r="M49" s="60">
        <f t="shared" si="8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6"/>
        <v>47</v>
      </c>
      <c r="C50" s="62" t="s">
        <v>87</v>
      </c>
      <c r="D50" s="75">
        <f>VLOOKUP(C50,Country_Data!B:F,5,FALSE)</f>
        <v>2564</v>
      </c>
      <c r="E50" s="75">
        <f>D50*Projections_Data!$C$15</f>
        <v>20.977092099111736</v>
      </c>
      <c r="F50" s="75">
        <f>VLOOKUP(C50,Country_Data!C:G,5,FALSE)</f>
        <v>72</v>
      </c>
      <c r="G50" s="76">
        <f>IFERROR(VLOOKUP(C50,Days_Since_100!C:G,5,FALSE)-1,0)</f>
        <v>8.3375405861493945E-2</v>
      </c>
      <c r="H50" s="77">
        <f>IFERROR(VLOOKUP(C50,Deaths_since_10!C:G,5,FALSE)-1,0)</f>
        <v>0.17607902252467356</v>
      </c>
      <c r="J50" s="68" t="str">
        <f t="shared" si="7"/>
        <v/>
      </c>
      <c r="K50" s="67"/>
      <c r="L50" s="61">
        <f>VLOOKUP(C50,Country_Data!C:J,8,FALSE)</f>
        <v>5792202</v>
      </c>
      <c r="M50" s="60">
        <f t="shared" si="8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6"/>
        <v>48</v>
      </c>
      <c r="C51" s="62" t="s">
        <v>90</v>
      </c>
      <c r="D51" s="75">
        <f>VLOOKUP(C51,Country_Data!B:F,5,FALSE)</f>
        <v>224</v>
      </c>
      <c r="E51" s="75">
        <f>D51*Projections_Data!$C$15</f>
        <v>1.8326320710612436</v>
      </c>
      <c r="F51" s="75">
        <f>VLOOKUP(C51,Country_Data!C:G,5,FALSE)</f>
        <v>22</v>
      </c>
      <c r="G51" s="76">
        <f>IFERROR(VLOOKUP(C51,Days_Since_100!C:G,5,FALSE)-1,0)</f>
        <v>3.676727950668246E-2</v>
      </c>
      <c r="H51" s="77">
        <f>IFERROR(VLOOKUP(C51,Deaths_since_10!C:G,5,FALSE)-1,0)</f>
        <v>9.3474199095688881E-3</v>
      </c>
      <c r="J51" s="68" t="str">
        <f t="shared" si="7"/>
        <v/>
      </c>
      <c r="K51" s="67"/>
      <c r="L51" s="61">
        <f>VLOOKUP(C51,Country_Data!C:J,8,FALSE)</f>
        <v>33931</v>
      </c>
      <c r="M51" s="60">
        <f t="shared" si="8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6"/>
        <v>49</v>
      </c>
      <c r="C52" s="62" t="s">
        <v>55</v>
      </c>
      <c r="D52" s="75">
        <f>VLOOKUP(C52,Country_Data!B:F,5,FALSE)</f>
        <v>570</v>
      </c>
      <c r="E52" s="75">
        <f>D52*Projections_Data!$C$15</f>
        <v>4.6633941093969149</v>
      </c>
      <c r="F52" s="75">
        <f>VLOOKUP(C52,Country_Data!C:G,5,FALSE)</f>
        <v>3</v>
      </c>
      <c r="G52" s="76">
        <f>IFERROR(VLOOKUP(C52,Days_Since_100!C:G,5,FALSE)-1,0)</f>
        <v>0.18109446691031605</v>
      </c>
      <c r="H52" s="77">
        <f>IFERROR(VLOOKUP(C52,Deaths_since_10!C:G,5,FALSE)-1,0)</f>
        <v>0</v>
      </c>
      <c r="J52" s="68">
        <f t="shared" si="7"/>
        <v>29.779311023521615</v>
      </c>
      <c r="K52" s="67">
        <v>6.7</v>
      </c>
      <c r="L52" s="61">
        <f>VLOOKUP(C52,Country_Data!C:J,8,FALSE)</f>
        <v>9890402</v>
      </c>
      <c r="M52" s="60">
        <f t="shared" si="8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6"/>
        <v>50</v>
      </c>
      <c r="C53" s="62" t="s">
        <v>73</v>
      </c>
      <c r="D53" s="75">
        <f>VLOOKUP(C53,Country_Data!B:F,5,FALSE)</f>
        <v>499</v>
      </c>
      <c r="E53" s="75">
        <f>D53*Projections_Data!$C$15</f>
        <v>4.0825151940158957</v>
      </c>
      <c r="F53" s="75">
        <f>VLOOKUP(C53,Country_Data!C:G,5,FALSE)</f>
        <v>4</v>
      </c>
      <c r="G53" s="76">
        <f>IFERROR(VLOOKUP(C53,Days_Since_100!C:G,5,FALSE)-1,0)</f>
        <v>4.9452764026918894E-2</v>
      </c>
      <c r="H53" s="77">
        <f>IFERROR(VLOOKUP(C53,Deaths_since_10!C:G,5,FALSE)-1,0)</f>
        <v>0</v>
      </c>
      <c r="J53" s="68" t="str">
        <f t="shared" si="7"/>
        <v/>
      </c>
      <c r="K53" s="67"/>
      <c r="L53" s="61">
        <f>VLOOKUP(C53,Country_Data!C:J,8,FALSE)</f>
        <v>1701575</v>
      </c>
      <c r="M53" s="60">
        <f t="shared" si="8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6"/>
        <v>51</v>
      </c>
      <c r="C54" s="62" t="s">
        <v>88</v>
      </c>
      <c r="D54" s="75">
        <f>VLOOKUP(C54,Country_Data!B:F,5,FALSE)</f>
        <v>679</v>
      </c>
      <c r="E54" s="75">
        <f>D54*Projections_Data!$C$15</f>
        <v>5.5551659654043952</v>
      </c>
      <c r="F54" s="75">
        <f>VLOOKUP(C54,Country_Data!C:G,5,FALSE)</f>
        <v>3</v>
      </c>
      <c r="G54" s="76">
        <f>IFERROR(VLOOKUP(C54,Days_Since_100!C:G,5,FALSE)-1,0)</f>
        <v>0.12971444438331958</v>
      </c>
      <c r="H54" s="77">
        <f>IFERROR(VLOOKUP(C54,Deaths_since_10!C:G,5,FALSE)-1,0)</f>
        <v>0</v>
      </c>
      <c r="J54" s="68" t="str">
        <f t="shared" si="7"/>
        <v/>
      </c>
      <c r="K54" s="67"/>
      <c r="L54" s="61">
        <f>VLOOKUP(C54,Country_Data!C:J,8,FALSE)</f>
        <v>1326535</v>
      </c>
      <c r="M54" s="60">
        <f t="shared" si="8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6"/>
        <v>52</v>
      </c>
      <c r="C55" s="62" t="s">
        <v>74</v>
      </c>
      <c r="D55" s="75">
        <f>VLOOKUP(C55,Country_Data!B:F,5,FALSE)</f>
        <v>255</v>
      </c>
      <c r="E55" s="75">
        <f>D55*Projections_Data!$C$15</f>
        <v>2.0862552594670407</v>
      </c>
      <c r="F55" s="75">
        <f>VLOOKUP(C55,Country_Data!C:G,5,FALSE)</f>
        <v>0</v>
      </c>
      <c r="G55" s="76">
        <f>IFERROR(VLOOKUP(C55,Days_Since_100!C:G,5,FALSE)-1,0)</f>
        <v>5.9500979716015978E-2</v>
      </c>
      <c r="H55" s="77">
        <f>IFERROR(VLOOKUP(C55,Deaths_since_10!C:G,5,FALSE)-1,0)</f>
        <v>0</v>
      </c>
      <c r="J55" s="68" t="str">
        <f t="shared" si="7"/>
        <v/>
      </c>
      <c r="K55" s="67"/>
      <c r="L55" s="61">
        <f>VLOOKUP(C55,Country_Data!C:J,8,FALSE)</f>
        <v>4270571</v>
      </c>
      <c r="M55" s="60">
        <f t="shared" si="8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6"/>
        <v>53</v>
      </c>
      <c r="C56" s="62" t="s">
        <v>338</v>
      </c>
      <c r="D56" s="75">
        <f>VLOOKUP(C56,Country_Data!B:F,5,FALSE)</f>
        <v>38309</v>
      </c>
      <c r="E56" s="75">
        <f>D56*Projections_Data!$C$15</f>
        <v>313.42099111734456</v>
      </c>
      <c r="F56" s="75">
        <f>VLOOKUP(C56,Country_Data!C:G,5,FALSE)</f>
        <v>2640</v>
      </c>
      <c r="G56" s="76">
        <f>IFERROR(VLOOKUP(C56,Days_Since_100!C:G,5,FALSE)-1,0)</f>
        <v>9.0765289629672008E-2</v>
      </c>
      <c r="H56" s="77">
        <f>IFERROR(VLOOKUP(C56,Deaths_since_10!C:G,5,FALSE)-1,0)</f>
        <v>6.4215282921297856E-2</v>
      </c>
      <c r="J56" s="68" t="str">
        <f t="shared" si="7"/>
        <v/>
      </c>
      <c r="K56" s="67"/>
      <c r="L56" s="61">
        <f>VLOOKUP(C56,Country_Data!C:J,8,FALSE)</f>
        <v>83992949</v>
      </c>
      <c r="M56" s="60">
        <f t="shared" si="8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6"/>
        <v>54</v>
      </c>
      <c r="C57" s="62" t="s">
        <v>36</v>
      </c>
      <c r="D57" s="75">
        <f>VLOOKUP(C57,Country_Data!B:F,5,FALSE)</f>
        <v>1866</v>
      </c>
      <c r="E57" s="75">
        <f>D57*Projections_Data!$C$15</f>
        <v>15.26647966339411</v>
      </c>
      <c r="F57" s="75">
        <f>VLOOKUP(C57,Country_Data!C:G,5,FALSE)</f>
        <v>54</v>
      </c>
      <c r="G57" s="76">
        <f>IFERROR(VLOOKUP(C57,Days_Since_100!C:G,5,FALSE)-1,0)</f>
        <v>9.358926684359048E-2</v>
      </c>
      <c r="H57" s="77">
        <f>IFERROR(VLOOKUP(C57,Deaths_since_10!C:G,5,FALSE)-1,0)</f>
        <v>4.6610435928968297E-2</v>
      </c>
      <c r="J57" s="68">
        <f t="shared" si="7"/>
        <v>71.590480793735239</v>
      </c>
      <c r="K57" s="67">
        <v>7.3</v>
      </c>
      <c r="L57" s="61">
        <f>VLOOKUP(C57,Country_Data!C:J,8,FALSE)</f>
        <v>126476461</v>
      </c>
      <c r="M57" s="60">
        <f t="shared" si="8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6"/>
        <v>55</v>
      </c>
      <c r="C58" s="62" t="s">
        <v>101</v>
      </c>
      <c r="D58" s="75">
        <f>VLOOKUP(C58,Country_Data!B:F,5,FALSE)</f>
        <v>634</v>
      </c>
      <c r="E58" s="75">
        <f>D58*Projections_Data!$C$15</f>
        <v>5.1870032725572699</v>
      </c>
      <c r="F58" s="75">
        <f>VLOOKUP(C58,Country_Data!C:G,5,FALSE)</f>
        <v>1</v>
      </c>
      <c r="G58" s="76">
        <f>IFERROR(VLOOKUP(C58,Days_Since_100!C:G,5,FALSE)-1,0)</f>
        <v>3.8055808113071077E-2</v>
      </c>
      <c r="H58" s="77">
        <f>IFERROR(VLOOKUP(C58,Deaths_since_10!C:G,5,FALSE)-1,0)</f>
        <v>0</v>
      </c>
      <c r="J58" s="68" t="str">
        <f t="shared" si="7"/>
        <v/>
      </c>
      <c r="K58" s="67"/>
      <c r="L58" s="61">
        <f>VLOOKUP(C58,Country_Data!C:J,8,FALSE)</f>
        <v>2881053</v>
      </c>
      <c r="M58" s="60">
        <f t="shared" si="8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6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7"/>
        <v/>
      </c>
      <c r="K59" s="67"/>
      <c r="L59" s="61">
        <f>VLOOKUP(C59,Country_Data!C:J,8,FALSE)</f>
        <v>0</v>
      </c>
      <c r="M59" s="60">
        <f t="shared" si="8"/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9">B59+1</f>
        <v>57</v>
      </c>
      <c r="C60" s="62" t="s">
        <v>337</v>
      </c>
      <c r="D60" s="75">
        <f>VLOOKUP(C60,Country_Data!B:F,5,FALSE)</f>
        <v>82122</v>
      </c>
      <c r="E60" s="75">
        <f>D60*Projections_Data!$C$15</f>
        <v>671.87237026647972</v>
      </c>
      <c r="F60" s="75">
        <f>VLOOKUP(C60,Country_Data!C:G,5,FALSE)</f>
        <v>3304</v>
      </c>
      <c r="G60" s="76">
        <f>IFERROR(VLOOKUP(C60,Days_Since_100!C:G,5,FALSE)-1,0)</f>
        <v>1.2982389210189904E-3</v>
      </c>
      <c r="H60" s="77">
        <f>IFERROR(VLOOKUP(C60,Deaths_since_10!C:G,5,FALSE)-1,0)</f>
        <v>1.3980967632458707E-3</v>
      </c>
      <c r="I60" s="59"/>
      <c r="J60" s="68">
        <f t="shared" si="7"/>
        <v>3349.3059045911323</v>
      </c>
      <c r="K60" s="67">
        <v>3.6</v>
      </c>
      <c r="L60" s="61">
        <f>VLOOKUP(C60,Country_Data!C:J,8,FALSE)</f>
        <v>1439323776</v>
      </c>
      <c r="M60" s="60">
        <f t="shared" si="8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9"/>
        <v>58</v>
      </c>
      <c r="C61" s="62" t="s">
        <v>479</v>
      </c>
      <c r="D61" s="75">
        <f>VLOOKUP(C61,Country_Data!B:F,5,FALSE)</f>
        <v>2817</v>
      </c>
      <c r="E61" s="75">
        <f>D61*Projections_Data!$C$15</f>
        <v>23.046984572230016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7"/>
        <v/>
      </c>
      <c r="K61" s="67">
        <v>11.6</v>
      </c>
      <c r="L61" s="61" t="e">
        <f>VLOOKUP(C61,Country_Data!C:J,8,FALSE)</f>
        <v>#N/A</v>
      </c>
      <c r="M61" s="60" t="e">
        <f t="shared" si="8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9"/>
        <v>59</v>
      </c>
      <c r="C62" s="62" t="s">
        <v>476</v>
      </c>
      <c r="D62" s="75">
        <f>VLOOKUP(C62,Country_Data!B:F,5,FALSE)</f>
        <v>9583</v>
      </c>
      <c r="E62" s="75">
        <f>D62*Projections_Data!$C$15</f>
        <v>78.402290790088827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7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9"/>
        <v>60</v>
      </c>
      <c r="C63" s="62" t="s">
        <v>231</v>
      </c>
      <c r="D63" s="75">
        <f>VLOOKUP(C63,Country_Data!B:F,5,FALSE)</f>
        <v>214</v>
      </c>
      <c r="E63" s="75">
        <f>D63*Projections_Data!$C$15</f>
        <v>1.7508181393174382</v>
      </c>
      <c r="F63" s="75">
        <f>VLOOKUP(C63,Country_Data!C:G,5,FALSE)</f>
        <v>5</v>
      </c>
      <c r="G63" s="76">
        <f>IFERROR(VLOOKUP(C63,Days_Since_100!C:G,5,FALSE)-1,0)</f>
        <v>0.11531724586667913</v>
      </c>
      <c r="H63" s="77">
        <f>IFERROR(VLOOKUP(C63,Deaths_since_10!C:G,5,FALSE)-1,0)</f>
        <v>0</v>
      </c>
      <c r="J63" s="68" t="str">
        <f t="shared" si="7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9"/>
        <v>61</v>
      </c>
      <c r="C64" s="62" t="s">
        <v>76</v>
      </c>
      <c r="D64" s="75"/>
      <c r="E64" s="75"/>
      <c r="F64" s="75">
        <f>VLOOKUP(C64,Country_Data!C:G,5,FALSE)</f>
        <v>6</v>
      </c>
      <c r="G64" s="75"/>
      <c r="H64" s="77">
        <f>IFERROR(VLOOKUP(C64,Deaths_since_10!C:G,5,FALSE)-1,0)</f>
        <v>0</v>
      </c>
      <c r="J64" s="68" t="str">
        <f t="shared" si="7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9"/>
        <v>62</v>
      </c>
      <c r="C65" s="62" t="s">
        <v>132</v>
      </c>
      <c r="D65" s="75"/>
      <c r="E65" s="75"/>
      <c r="F65" s="75">
        <f>VLOOKUP(C65,Country_Data!C:G,5,FALSE)</f>
        <v>13</v>
      </c>
      <c r="G65" s="75"/>
      <c r="H65" s="77">
        <f>IFERROR(VLOOKUP(C65,Deaths_since_10!C:G,5,FALSE)-1,0)</f>
        <v>7.6316922514810814E-2</v>
      </c>
      <c r="J65" s="68" t="str">
        <f t="shared" si="7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9"/>
        <v>63</v>
      </c>
      <c r="C66" s="62" t="s">
        <v>93</v>
      </c>
      <c r="D66" s="75"/>
      <c r="E66" s="75"/>
      <c r="F66" s="75">
        <f>VLOOKUP(C66,Country_Data!C:G,5,FALSE)</f>
        <v>7</v>
      </c>
      <c r="G66" s="75"/>
      <c r="H66" s="77">
        <f>IFERROR(VLOOKUP(C66,Deaths_since_10!C:G,5,FALSE)-1,0)</f>
        <v>0</v>
      </c>
      <c r="I66" s="92"/>
      <c r="J66" s="68" t="str">
        <f t="shared" si="7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566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23">
      <sortCondition descending="1" ref="G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X29"/>
  <sheetViews>
    <sheetView topLeftCell="A4" zoomScale="80" zoomScaleNormal="80" workbookViewId="0">
      <selection activeCell="S22" sqref="S22"/>
    </sheetView>
  </sheetViews>
  <sheetFormatPr defaultRowHeight="14.4" x14ac:dyDescent="0.3"/>
  <cols>
    <col min="16" max="16" width="10.33203125" customWidth="1"/>
    <col min="19" max="19" width="11.33203125" bestFit="1" customWidth="1"/>
    <col min="24" max="24" width="11.21875" bestFit="1" customWidth="1"/>
  </cols>
  <sheetData>
    <row r="3" spans="12:24" x14ac:dyDescent="0.3">
      <c r="S3" t="s">
        <v>596</v>
      </c>
      <c r="T3" t="s">
        <v>514</v>
      </c>
    </row>
    <row r="4" spans="12:24" x14ac:dyDescent="0.3">
      <c r="R4" t="s">
        <v>426</v>
      </c>
      <c r="S4" s="5">
        <v>0</v>
      </c>
      <c r="T4">
        <v>0</v>
      </c>
    </row>
    <row r="5" spans="12:24" x14ac:dyDescent="0.3">
      <c r="R5" t="s">
        <v>427</v>
      </c>
      <c r="S5" s="5">
        <v>150000</v>
      </c>
      <c r="T5">
        <v>10000</v>
      </c>
    </row>
    <row r="6" spans="12:24" x14ac:dyDescent="0.3">
      <c r="L6" s="5"/>
    </row>
    <row r="7" spans="12:24" x14ac:dyDescent="0.3">
      <c r="R7" t="s">
        <v>428</v>
      </c>
      <c r="S7" s="5">
        <v>1</v>
      </c>
      <c r="T7">
        <v>1</v>
      </c>
    </row>
    <row r="8" spans="12:24" x14ac:dyDescent="0.3">
      <c r="R8" t="s">
        <v>429</v>
      </c>
      <c r="S8" s="5">
        <v>35</v>
      </c>
      <c r="T8">
        <v>30</v>
      </c>
    </row>
    <row r="10" spans="12:24" x14ac:dyDescent="0.3">
      <c r="R10">
        <v>1</v>
      </c>
      <c r="S10" t="s">
        <v>349</v>
      </c>
    </row>
    <row r="11" spans="12:24" x14ac:dyDescent="0.3">
      <c r="R11">
        <v>2</v>
      </c>
      <c r="S11" t="s">
        <v>38</v>
      </c>
    </row>
    <row r="12" spans="12:24" x14ac:dyDescent="0.3">
      <c r="R12">
        <v>3</v>
      </c>
      <c r="S12" s="17" t="s">
        <v>58</v>
      </c>
    </row>
    <row r="13" spans="12:24" x14ac:dyDescent="0.3">
      <c r="R13">
        <v>4</v>
      </c>
      <c r="S13" s="17" t="s">
        <v>337</v>
      </c>
    </row>
    <row r="14" spans="12:24" x14ac:dyDescent="0.3">
      <c r="R14">
        <v>5</v>
      </c>
      <c r="S14" s="17" t="s">
        <v>41</v>
      </c>
      <c r="X14" s="16">
        <v>43917</v>
      </c>
    </row>
    <row r="15" spans="12:24" x14ac:dyDescent="0.3">
      <c r="R15">
        <v>6</v>
      </c>
      <c r="S15" s="17" t="s">
        <v>53</v>
      </c>
      <c r="X15" s="98">
        <f ca="1">TODAY()-X14</f>
        <v>3</v>
      </c>
    </row>
    <row r="16" spans="12:24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Z4" activePane="bottomRight" state="frozen"/>
      <selection pane="topRight" activeCell="G1" sqref="G1"/>
      <selection pane="bottomLeft" activeCell="A4" sqref="A4"/>
      <selection pane="bottomRight" activeCell="C13" sqref="C13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3.44140625" style="19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Chile</v>
      </c>
      <c r="C2" s="20">
        <f>MAX(ConfirmedRaw!1:1)</f>
        <v>43919</v>
      </c>
    </row>
    <row r="3" spans="2:248" x14ac:dyDescent="0.3">
      <c r="G3" s="20">
        <f ca="1">VLOOKUP(B2,Country_Data!B:E,4,FALSE)</f>
        <v>43906</v>
      </c>
      <c r="H3" s="20">
        <f t="shared" ref="H3:BS3" ca="1" si="0">G3+1</f>
        <v>43907</v>
      </c>
      <c r="I3" s="20">
        <f t="shared" ca="1" si="0"/>
        <v>43908</v>
      </c>
      <c r="J3" s="20">
        <f t="shared" ca="1" si="0"/>
        <v>43909</v>
      </c>
      <c r="K3" s="20">
        <f t="shared" ca="1" si="0"/>
        <v>43910</v>
      </c>
      <c r="L3" s="20">
        <f t="shared" ca="1" si="0"/>
        <v>43911</v>
      </c>
      <c r="M3" s="20">
        <f t="shared" ca="1" si="0"/>
        <v>43912</v>
      </c>
      <c r="N3" s="20">
        <f t="shared" ca="1" si="0"/>
        <v>43913</v>
      </c>
      <c r="O3" s="20">
        <f t="shared" ca="1" si="0"/>
        <v>43914</v>
      </c>
      <c r="P3" s="20">
        <f t="shared" ca="1" si="0"/>
        <v>43915</v>
      </c>
      <c r="Q3" s="20">
        <f t="shared" ca="1" si="0"/>
        <v>43916</v>
      </c>
      <c r="R3" s="20">
        <f t="shared" ca="1" si="0"/>
        <v>43917</v>
      </c>
      <c r="S3" s="20">
        <f t="shared" ca="1" si="0"/>
        <v>43918</v>
      </c>
      <c r="T3" s="20">
        <f t="shared" ca="1" si="0"/>
        <v>43919</v>
      </c>
      <c r="U3" s="20">
        <f t="shared" ca="1" si="0"/>
        <v>43920</v>
      </c>
      <c r="V3" s="20">
        <f t="shared" ca="1" si="0"/>
        <v>43921</v>
      </c>
      <c r="W3" s="20">
        <f t="shared" ca="1" si="0"/>
        <v>43922</v>
      </c>
      <c r="X3" s="20">
        <f t="shared" ca="1" si="0"/>
        <v>43923</v>
      </c>
      <c r="Y3" s="20">
        <f t="shared" ca="1" si="0"/>
        <v>43924</v>
      </c>
      <c r="Z3" s="20">
        <f t="shared" ca="1" si="0"/>
        <v>43925</v>
      </c>
      <c r="AA3" s="20">
        <f t="shared" ca="1" si="0"/>
        <v>43926</v>
      </c>
      <c r="AB3" s="20">
        <f t="shared" ca="1" si="0"/>
        <v>43927</v>
      </c>
      <c r="AC3" s="20">
        <f t="shared" ca="1" si="0"/>
        <v>43928</v>
      </c>
      <c r="AD3" s="20">
        <f t="shared" ca="1" si="0"/>
        <v>43929</v>
      </c>
      <c r="AE3" s="20">
        <f t="shared" ca="1" si="0"/>
        <v>43930</v>
      </c>
      <c r="AF3" s="20">
        <f t="shared" ca="1" si="0"/>
        <v>43931</v>
      </c>
      <c r="AG3" s="20">
        <f t="shared" ca="1" si="0"/>
        <v>43932</v>
      </c>
      <c r="AH3" s="20">
        <f t="shared" ca="1" si="0"/>
        <v>43933</v>
      </c>
      <c r="AI3" s="20">
        <f t="shared" ca="1" si="0"/>
        <v>43934</v>
      </c>
      <c r="AJ3" s="20">
        <f t="shared" ca="1" si="0"/>
        <v>43935</v>
      </c>
      <c r="AK3" s="20">
        <f t="shared" ca="1" si="0"/>
        <v>43936</v>
      </c>
      <c r="AL3" s="20">
        <f t="shared" ca="1" si="0"/>
        <v>43937</v>
      </c>
      <c r="AM3" s="20">
        <f t="shared" ca="1" si="0"/>
        <v>43938</v>
      </c>
      <c r="AN3" s="20">
        <f t="shared" ca="1" si="0"/>
        <v>43939</v>
      </c>
      <c r="AO3" s="20">
        <f t="shared" ca="1" si="0"/>
        <v>43940</v>
      </c>
      <c r="AP3" s="20">
        <f t="shared" ca="1" si="0"/>
        <v>43941</v>
      </c>
      <c r="AQ3" s="20">
        <f t="shared" ca="1" si="0"/>
        <v>43942</v>
      </c>
      <c r="AR3" s="20">
        <f t="shared" ca="1" si="0"/>
        <v>43943</v>
      </c>
      <c r="AS3" s="20">
        <f t="shared" ca="1" si="0"/>
        <v>43944</v>
      </c>
      <c r="AT3" s="20">
        <f t="shared" ca="1" si="0"/>
        <v>43945</v>
      </c>
      <c r="AU3" s="20">
        <f t="shared" ca="1" si="0"/>
        <v>43946</v>
      </c>
      <c r="AV3" s="20">
        <f t="shared" ca="1" si="0"/>
        <v>43947</v>
      </c>
      <c r="AW3" s="20">
        <f t="shared" ca="1" si="0"/>
        <v>43948</v>
      </c>
      <c r="AX3" s="20">
        <f t="shared" ca="1" si="0"/>
        <v>43949</v>
      </c>
      <c r="AY3" s="20">
        <f t="shared" ca="1" si="0"/>
        <v>43950</v>
      </c>
      <c r="AZ3" s="20">
        <f t="shared" ca="1" si="0"/>
        <v>43951</v>
      </c>
      <c r="BA3" s="20">
        <f t="shared" ca="1" si="0"/>
        <v>43952</v>
      </c>
      <c r="BB3" s="20">
        <f t="shared" ca="1" si="0"/>
        <v>43953</v>
      </c>
      <c r="BC3" s="20">
        <f t="shared" ca="1" si="0"/>
        <v>43954</v>
      </c>
      <c r="BD3" s="20">
        <f t="shared" ca="1" si="0"/>
        <v>43955</v>
      </c>
      <c r="BE3" s="20">
        <f t="shared" ca="1" si="0"/>
        <v>43956</v>
      </c>
      <c r="BF3" s="20">
        <f t="shared" ca="1" si="0"/>
        <v>43957</v>
      </c>
      <c r="BG3" s="20">
        <f t="shared" ca="1" si="0"/>
        <v>43958</v>
      </c>
      <c r="BH3" s="20">
        <f t="shared" ca="1" si="0"/>
        <v>43959</v>
      </c>
      <c r="BI3" s="20">
        <f t="shared" ca="1" si="0"/>
        <v>43960</v>
      </c>
      <c r="BJ3" s="20">
        <f t="shared" ca="1" si="0"/>
        <v>43961</v>
      </c>
      <c r="BK3" s="20">
        <f t="shared" ca="1" si="0"/>
        <v>43962</v>
      </c>
      <c r="BL3" s="20">
        <f t="shared" ca="1" si="0"/>
        <v>43963</v>
      </c>
      <c r="BM3" s="20">
        <f t="shared" ca="1" si="0"/>
        <v>43964</v>
      </c>
      <c r="BN3" s="20">
        <f t="shared" ca="1" si="0"/>
        <v>43965</v>
      </c>
      <c r="BO3" s="20">
        <f t="shared" ca="1" si="0"/>
        <v>43966</v>
      </c>
      <c r="BP3" s="20">
        <f t="shared" ca="1" si="0"/>
        <v>43967</v>
      </c>
      <c r="BQ3" s="20">
        <f t="shared" ca="1" si="0"/>
        <v>43968</v>
      </c>
      <c r="BR3" s="20">
        <f t="shared" ca="1" si="0"/>
        <v>43969</v>
      </c>
      <c r="BS3" s="20">
        <f t="shared" ca="1" si="0"/>
        <v>43970</v>
      </c>
      <c r="BT3" s="20">
        <f t="shared" ref="BT3:EE3" ca="1" si="1">BS3+1</f>
        <v>43971</v>
      </c>
      <c r="BU3" s="20">
        <f t="shared" ca="1" si="1"/>
        <v>43972</v>
      </c>
      <c r="BV3" s="20">
        <f t="shared" ca="1" si="1"/>
        <v>43973</v>
      </c>
      <c r="BW3" s="20">
        <f t="shared" ca="1" si="1"/>
        <v>43974</v>
      </c>
      <c r="BX3" s="20">
        <f t="shared" ca="1" si="1"/>
        <v>43975</v>
      </c>
      <c r="BY3" s="20">
        <f t="shared" ca="1" si="1"/>
        <v>43976</v>
      </c>
      <c r="BZ3" s="20">
        <f t="shared" ca="1" si="1"/>
        <v>43977</v>
      </c>
      <c r="CA3" s="20">
        <f t="shared" ca="1" si="1"/>
        <v>43978</v>
      </c>
      <c r="CB3" s="20">
        <f t="shared" ca="1" si="1"/>
        <v>43979</v>
      </c>
      <c r="CC3" s="20">
        <f t="shared" ca="1" si="1"/>
        <v>43980</v>
      </c>
      <c r="CD3" s="20">
        <f t="shared" ca="1" si="1"/>
        <v>43981</v>
      </c>
      <c r="CE3" s="20">
        <f t="shared" ca="1" si="1"/>
        <v>43982</v>
      </c>
      <c r="CF3" s="20">
        <f t="shared" ca="1" si="1"/>
        <v>43983</v>
      </c>
      <c r="CG3" s="20">
        <f t="shared" ca="1" si="1"/>
        <v>43984</v>
      </c>
      <c r="CH3" s="20">
        <f t="shared" ca="1" si="1"/>
        <v>43985</v>
      </c>
      <c r="CI3" s="20">
        <f t="shared" ca="1" si="1"/>
        <v>43986</v>
      </c>
      <c r="CJ3" s="20">
        <f t="shared" ca="1" si="1"/>
        <v>43987</v>
      </c>
      <c r="CK3" s="20">
        <f t="shared" ca="1" si="1"/>
        <v>43988</v>
      </c>
      <c r="CL3" s="20">
        <f t="shared" ca="1" si="1"/>
        <v>43989</v>
      </c>
      <c r="CM3" s="20">
        <f t="shared" ca="1" si="1"/>
        <v>43990</v>
      </c>
      <c r="CN3" s="20">
        <f t="shared" ca="1" si="1"/>
        <v>43991</v>
      </c>
      <c r="CO3" s="20">
        <f t="shared" ca="1" si="1"/>
        <v>43992</v>
      </c>
      <c r="CP3" s="20">
        <f t="shared" ca="1" si="1"/>
        <v>43993</v>
      </c>
      <c r="CQ3" s="20">
        <f t="shared" ca="1" si="1"/>
        <v>43994</v>
      </c>
      <c r="CR3" s="20">
        <f t="shared" ca="1" si="1"/>
        <v>43995</v>
      </c>
      <c r="CS3" s="20">
        <f t="shared" ca="1" si="1"/>
        <v>43996</v>
      </c>
      <c r="CT3" s="20">
        <f t="shared" ca="1" si="1"/>
        <v>43997</v>
      </c>
      <c r="CU3" s="20">
        <f t="shared" ca="1" si="1"/>
        <v>43998</v>
      </c>
      <c r="CV3" s="20">
        <f t="shared" ca="1" si="1"/>
        <v>43999</v>
      </c>
      <c r="CW3" s="20">
        <f t="shared" ca="1" si="1"/>
        <v>44000</v>
      </c>
      <c r="CX3" s="20">
        <f t="shared" ca="1" si="1"/>
        <v>44001</v>
      </c>
      <c r="CY3" s="20">
        <f t="shared" ca="1" si="1"/>
        <v>44002</v>
      </c>
      <c r="CZ3" s="20">
        <f t="shared" ca="1" si="1"/>
        <v>44003</v>
      </c>
      <c r="DA3" s="20">
        <f t="shared" ca="1" si="1"/>
        <v>44004</v>
      </c>
      <c r="DB3" s="20">
        <f t="shared" ca="1" si="1"/>
        <v>44005</v>
      </c>
      <c r="DC3" s="20">
        <f t="shared" ca="1" si="1"/>
        <v>44006</v>
      </c>
      <c r="DD3" s="20">
        <f t="shared" ca="1" si="1"/>
        <v>44007</v>
      </c>
      <c r="DE3" s="20">
        <f t="shared" ca="1" si="1"/>
        <v>44008</v>
      </c>
      <c r="DF3" s="20">
        <f t="shared" ca="1" si="1"/>
        <v>44009</v>
      </c>
      <c r="DG3" s="20">
        <f t="shared" ca="1" si="1"/>
        <v>44010</v>
      </c>
      <c r="DH3" s="20">
        <f t="shared" ca="1" si="1"/>
        <v>44011</v>
      </c>
      <c r="DI3" s="20">
        <f t="shared" ca="1" si="1"/>
        <v>44012</v>
      </c>
      <c r="DJ3" s="20">
        <f t="shared" ca="1" si="1"/>
        <v>44013</v>
      </c>
      <c r="DK3" s="20">
        <f t="shared" ca="1" si="1"/>
        <v>44014</v>
      </c>
      <c r="DL3" s="20">
        <f t="shared" ca="1" si="1"/>
        <v>44015</v>
      </c>
      <c r="DM3" s="20">
        <f t="shared" ca="1" si="1"/>
        <v>44016</v>
      </c>
      <c r="DN3" s="20">
        <f t="shared" ca="1" si="1"/>
        <v>44017</v>
      </c>
      <c r="DO3" s="20">
        <f t="shared" ca="1" si="1"/>
        <v>44018</v>
      </c>
      <c r="DP3" s="20">
        <f t="shared" ca="1" si="1"/>
        <v>44019</v>
      </c>
      <c r="DQ3" s="20">
        <f t="shared" ca="1" si="1"/>
        <v>44020</v>
      </c>
      <c r="DR3" s="20">
        <f t="shared" ca="1" si="1"/>
        <v>44021</v>
      </c>
      <c r="DS3" s="20">
        <f t="shared" ca="1" si="1"/>
        <v>44022</v>
      </c>
      <c r="DT3" s="20">
        <f t="shared" ca="1" si="1"/>
        <v>44023</v>
      </c>
      <c r="DU3" s="20">
        <f t="shared" ca="1" si="1"/>
        <v>44024</v>
      </c>
      <c r="DV3" s="20">
        <f t="shared" ca="1" si="1"/>
        <v>44025</v>
      </c>
      <c r="DW3" s="20">
        <f t="shared" ca="1" si="1"/>
        <v>44026</v>
      </c>
      <c r="DX3" s="20">
        <f t="shared" ca="1" si="1"/>
        <v>44027</v>
      </c>
      <c r="DY3" s="20">
        <f t="shared" ca="1" si="1"/>
        <v>44028</v>
      </c>
      <c r="DZ3" s="20">
        <f t="shared" ca="1" si="1"/>
        <v>44029</v>
      </c>
      <c r="EA3" s="20">
        <f t="shared" ca="1" si="1"/>
        <v>44030</v>
      </c>
      <c r="EB3" s="20">
        <f t="shared" ca="1" si="1"/>
        <v>44031</v>
      </c>
      <c r="EC3" s="20">
        <f t="shared" ca="1" si="1"/>
        <v>44032</v>
      </c>
      <c r="ED3" s="20">
        <f t="shared" ca="1" si="1"/>
        <v>44033</v>
      </c>
      <c r="EE3" s="20">
        <f t="shared" ca="1" si="1"/>
        <v>44034</v>
      </c>
      <c r="EF3" s="20">
        <f t="shared" ref="EF3:GQ3" ca="1" si="2">EE3+1</f>
        <v>44035</v>
      </c>
      <c r="EG3" s="20">
        <f t="shared" ca="1" si="2"/>
        <v>44036</v>
      </c>
      <c r="EH3" s="20">
        <f t="shared" ca="1" si="2"/>
        <v>44037</v>
      </c>
      <c r="EI3" s="20">
        <f t="shared" ca="1" si="2"/>
        <v>44038</v>
      </c>
      <c r="EJ3" s="20">
        <f t="shared" ca="1" si="2"/>
        <v>44039</v>
      </c>
      <c r="EK3" s="20">
        <f t="shared" ca="1" si="2"/>
        <v>44040</v>
      </c>
      <c r="EL3" s="20">
        <f t="shared" ca="1" si="2"/>
        <v>44041</v>
      </c>
      <c r="EM3" s="20">
        <f t="shared" ca="1" si="2"/>
        <v>44042</v>
      </c>
      <c r="EN3" s="20">
        <f t="shared" ca="1" si="2"/>
        <v>44043</v>
      </c>
      <c r="EO3" s="20">
        <f t="shared" ca="1" si="2"/>
        <v>44044</v>
      </c>
      <c r="EP3" s="20">
        <f t="shared" ca="1" si="2"/>
        <v>44045</v>
      </c>
      <c r="EQ3" s="20">
        <f t="shared" ca="1" si="2"/>
        <v>44046</v>
      </c>
      <c r="ER3" s="20">
        <f t="shared" ca="1" si="2"/>
        <v>44047</v>
      </c>
      <c r="ES3" s="20">
        <f t="shared" ca="1" si="2"/>
        <v>44048</v>
      </c>
      <c r="ET3" s="20">
        <f t="shared" ca="1" si="2"/>
        <v>44049</v>
      </c>
      <c r="EU3" s="20">
        <f t="shared" ca="1" si="2"/>
        <v>44050</v>
      </c>
      <c r="EV3" s="20">
        <f t="shared" ca="1" si="2"/>
        <v>44051</v>
      </c>
      <c r="EW3" s="20">
        <f t="shared" ca="1" si="2"/>
        <v>44052</v>
      </c>
      <c r="EX3" s="20">
        <f t="shared" ca="1" si="2"/>
        <v>44053</v>
      </c>
      <c r="EY3" s="20">
        <f t="shared" ca="1" si="2"/>
        <v>44054</v>
      </c>
      <c r="EZ3" s="20">
        <f t="shared" ca="1" si="2"/>
        <v>44055</v>
      </c>
      <c r="FA3" s="20">
        <f t="shared" ca="1" si="2"/>
        <v>44056</v>
      </c>
      <c r="FB3" s="20">
        <f t="shared" ca="1" si="2"/>
        <v>44057</v>
      </c>
      <c r="FC3" s="20">
        <f t="shared" ca="1" si="2"/>
        <v>44058</v>
      </c>
      <c r="FD3" s="20">
        <f t="shared" ca="1" si="2"/>
        <v>44059</v>
      </c>
      <c r="FE3" s="20">
        <f t="shared" ca="1" si="2"/>
        <v>44060</v>
      </c>
      <c r="FF3" s="20">
        <f t="shared" ca="1" si="2"/>
        <v>44061</v>
      </c>
      <c r="FG3" s="20">
        <f t="shared" ca="1" si="2"/>
        <v>44062</v>
      </c>
      <c r="FH3" s="20">
        <f t="shared" ca="1" si="2"/>
        <v>44063</v>
      </c>
      <c r="FI3" s="20">
        <f t="shared" ca="1" si="2"/>
        <v>44064</v>
      </c>
      <c r="FJ3" s="20">
        <f t="shared" ca="1" si="2"/>
        <v>44065</v>
      </c>
      <c r="FK3" s="20">
        <f t="shared" ca="1" si="2"/>
        <v>44066</v>
      </c>
      <c r="FL3" s="20">
        <f t="shared" ca="1" si="2"/>
        <v>44067</v>
      </c>
      <c r="FM3" s="20">
        <f t="shared" ca="1" si="2"/>
        <v>44068</v>
      </c>
      <c r="FN3" s="20">
        <f t="shared" ca="1" si="2"/>
        <v>44069</v>
      </c>
      <c r="FO3" s="20">
        <f t="shared" ca="1" si="2"/>
        <v>44070</v>
      </c>
      <c r="FP3" s="20">
        <f t="shared" ca="1" si="2"/>
        <v>44071</v>
      </c>
      <c r="FQ3" s="20">
        <f t="shared" ca="1" si="2"/>
        <v>44072</v>
      </c>
      <c r="FR3" s="20">
        <f t="shared" ca="1" si="2"/>
        <v>44073</v>
      </c>
      <c r="FS3" s="20">
        <f t="shared" ca="1" si="2"/>
        <v>44074</v>
      </c>
      <c r="FT3" s="20">
        <f t="shared" ca="1" si="2"/>
        <v>44075</v>
      </c>
      <c r="FU3" s="20">
        <f t="shared" ca="1" si="2"/>
        <v>44076</v>
      </c>
      <c r="FV3" s="20">
        <f t="shared" ca="1" si="2"/>
        <v>44077</v>
      </c>
      <c r="FW3" s="20">
        <f t="shared" ca="1" si="2"/>
        <v>44078</v>
      </c>
      <c r="FX3" s="20">
        <f t="shared" ca="1" si="2"/>
        <v>44079</v>
      </c>
      <c r="FY3" s="20">
        <f t="shared" ca="1" si="2"/>
        <v>44080</v>
      </c>
      <c r="FZ3" s="20">
        <f t="shared" ca="1" si="2"/>
        <v>44081</v>
      </c>
      <c r="GA3" s="20">
        <f t="shared" ca="1" si="2"/>
        <v>44082</v>
      </c>
      <c r="GB3" s="20">
        <f t="shared" ca="1" si="2"/>
        <v>44083</v>
      </c>
      <c r="GC3" s="20">
        <f t="shared" ca="1" si="2"/>
        <v>44084</v>
      </c>
      <c r="GD3" s="20">
        <f t="shared" ca="1" si="2"/>
        <v>44085</v>
      </c>
      <c r="GE3" s="20">
        <f t="shared" ca="1" si="2"/>
        <v>44086</v>
      </c>
      <c r="GF3" s="20">
        <f t="shared" ca="1" si="2"/>
        <v>44087</v>
      </c>
      <c r="GG3" s="20">
        <f t="shared" ca="1" si="2"/>
        <v>44088</v>
      </c>
      <c r="GH3" s="20">
        <f t="shared" ca="1" si="2"/>
        <v>44089</v>
      </c>
      <c r="GI3" s="20">
        <f t="shared" ca="1" si="2"/>
        <v>44090</v>
      </c>
      <c r="GJ3" s="20">
        <f t="shared" ca="1" si="2"/>
        <v>44091</v>
      </c>
      <c r="GK3" s="20">
        <f t="shared" ca="1" si="2"/>
        <v>44092</v>
      </c>
      <c r="GL3" s="20">
        <f t="shared" ca="1" si="2"/>
        <v>44093</v>
      </c>
      <c r="GM3" s="20">
        <f t="shared" ca="1" si="2"/>
        <v>44094</v>
      </c>
      <c r="GN3" s="20">
        <f t="shared" ca="1" si="2"/>
        <v>44095</v>
      </c>
      <c r="GO3" s="20">
        <f t="shared" ca="1" si="2"/>
        <v>44096</v>
      </c>
      <c r="GP3" s="20">
        <f t="shared" ca="1" si="2"/>
        <v>44097</v>
      </c>
      <c r="GQ3" s="20">
        <f t="shared" ca="1" si="2"/>
        <v>44098</v>
      </c>
      <c r="GR3" s="20">
        <f t="shared" ref="GR3:IN3" ca="1" si="3">GQ3+1</f>
        <v>44099</v>
      </c>
      <c r="GS3" s="20">
        <f t="shared" ca="1" si="3"/>
        <v>44100</v>
      </c>
      <c r="GT3" s="20">
        <f t="shared" ca="1" si="3"/>
        <v>44101</v>
      </c>
      <c r="GU3" s="20">
        <f t="shared" ca="1" si="3"/>
        <v>44102</v>
      </c>
      <c r="GV3" s="20">
        <f t="shared" ca="1" si="3"/>
        <v>44103</v>
      </c>
      <c r="GW3" s="20">
        <f t="shared" ca="1" si="3"/>
        <v>44104</v>
      </c>
      <c r="GX3" s="20">
        <f t="shared" ca="1" si="3"/>
        <v>44105</v>
      </c>
      <c r="GY3" s="20">
        <f t="shared" ca="1" si="3"/>
        <v>44106</v>
      </c>
      <c r="GZ3" s="20">
        <f t="shared" ca="1" si="3"/>
        <v>44107</v>
      </c>
      <c r="HA3" s="20">
        <f t="shared" ca="1" si="3"/>
        <v>44108</v>
      </c>
      <c r="HB3" s="20">
        <f t="shared" ca="1" si="3"/>
        <v>44109</v>
      </c>
      <c r="HC3" s="20">
        <f t="shared" ca="1" si="3"/>
        <v>44110</v>
      </c>
      <c r="HD3" s="20">
        <f t="shared" ca="1" si="3"/>
        <v>44111</v>
      </c>
      <c r="HE3" s="20">
        <f t="shared" ca="1" si="3"/>
        <v>44112</v>
      </c>
      <c r="HF3" s="20">
        <f t="shared" ca="1" si="3"/>
        <v>44113</v>
      </c>
      <c r="HG3" s="20">
        <f t="shared" ca="1" si="3"/>
        <v>44114</v>
      </c>
      <c r="HH3" s="20">
        <f t="shared" ca="1" si="3"/>
        <v>44115</v>
      </c>
      <c r="HI3" s="20">
        <f t="shared" ca="1" si="3"/>
        <v>44116</v>
      </c>
      <c r="HJ3" s="20">
        <f t="shared" ca="1" si="3"/>
        <v>44117</v>
      </c>
      <c r="HK3" s="20">
        <f t="shared" ca="1" si="3"/>
        <v>44118</v>
      </c>
      <c r="HL3" s="20">
        <f t="shared" ca="1" si="3"/>
        <v>44119</v>
      </c>
      <c r="HM3" s="20">
        <f t="shared" ca="1" si="3"/>
        <v>44120</v>
      </c>
      <c r="HN3" s="20">
        <f t="shared" ca="1" si="3"/>
        <v>44121</v>
      </c>
      <c r="HO3" s="20">
        <f t="shared" ca="1" si="3"/>
        <v>44122</v>
      </c>
      <c r="HP3" s="20">
        <f t="shared" ca="1" si="3"/>
        <v>44123</v>
      </c>
      <c r="HQ3" s="20">
        <f t="shared" ca="1" si="3"/>
        <v>44124</v>
      </c>
      <c r="HR3" s="20">
        <f t="shared" ca="1" si="3"/>
        <v>44125</v>
      </c>
      <c r="HS3" s="20">
        <f t="shared" ca="1" si="3"/>
        <v>44126</v>
      </c>
      <c r="HT3" s="20">
        <f t="shared" ca="1" si="3"/>
        <v>44127</v>
      </c>
      <c r="HU3" s="20">
        <f t="shared" ca="1" si="3"/>
        <v>44128</v>
      </c>
      <c r="HV3" s="20">
        <f t="shared" ca="1" si="3"/>
        <v>44129</v>
      </c>
      <c r="HW3" s="20">
        <f t="shared" ca="1" si="3"/>
        <v>44130</v>
      </c>
      <c r="HX3" s="20">
        <f t="shared" ca="1" si="3"/>
        <v>44131</v>
      </c>
      <c r="HY3" s="20">
        <f t="shared" ca="1" si="3"/>
        <v>44132</v>
      </c>
      <c r="HZ3" s="20">
        <f t="shared" ca="1" si="3"/>
        <v>44133</v>
      </c>
      <c r="IA3" s="20">
        <f t="shared" ca="1" si="3"/>
        <v>44134</v>
      </c>
      <c r="IB3" s="20">
        <f t="shared" ca="1" si="3"/>
        <v>44135</v>
      </c>
      <c r="IC3" s="20">
        <f t="shared" ca="1" si="3"/>
        <v>44136</v>
      </c>
      <c r="ID3" s="20">
        <f t="shared" ca="1" si="3"/>
        <v>44137</v>
      </c>
      <c r="IE3" s="20">
        <f t="shared" ca="1" si="3"/>
        <v>44138</v>
      </c>
      <c r="IF3" s="20">
        <f t="shared" ca="1" si="3"/>
        <v>44139</v>
      </c>
      <c r="IG3" s="20">
        <f t="shared" ca="1" si="3"/>
        <v>44140</v>
      </c>
      <c r="IH3" s="20">
        <f t="shared" ca="1" si="3"/>
        <v>44141</v>
      </c>
      <c r="II3" s="20">
        <f t="shared" ca="1" si="3"/>
        <v>44142</v>
      </c>
      <c r="IJ3" s="20">
        <f t="shared" ca="1" si="3"/>
        <v>44143</v>
      </c>
      <c r="IK3" s="20">
        <f t="shared" ca="1" si="3"/>
        <v>44144</v>
      </c>
      <c r="IL3" s="20">
        <f t="shared" ca="1" si="3"/>
        <v>44145</v>
      </c>
      <c r="IM3" s="20">
        <f t="shared" ca="1" si="3"/>
        <v>44146</v>
      </c>
      <c r="IN3" s="20">
        <f t="shared" ca="1" si="3"/>
        <v>44147</v>
      </c>
    </row>
    <row r="4" spans="2:248" x14ac:dyDescent="0.3">
      <c r="B4" s="19" t="s">
        <v>450</v>
      </c>
      <c r="C4" s="21">
        <f>VLOOKUP(B2,Days_Since_100!C:D,2,FALSE)</f>
        <v>2139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454</v>
      </c>
      <c r="C5" s="21">
        <f>COUNTIF(G5:IN5,"&gt;"&amp;0)</f>
        <v>14</v>
      </c>
      <c r="F5" s="19" t="s">
        <v>505</v>
      </c>
      <c r="G5" s="40">
        <f>IF(VLOOKUP($B$2,Days_Since_100!$H:$KU,Projections_Data!G$4+2,FALSE)=0,#N/A,VLOOKUP($B$2,Days_Since_100!$H:$KU,Projections_Data!G$4+2,FALSE))</f>
        <v>155</v>
      </c>
      <c r="H5" s="40">
        <f>IF(VLOOKUP($B$2,Days_Since_100!$H:$KU,Projections_Data!H$4+2,FALSE)=0,#N/A,VLOOKUP($B$2,Days_Since_100!$H:$KU,Projections_Data!H$4+2,FALSE))</f>
        <v>201</v>
      </c>
      <c r="I5" s="40">
        <f>IF(VLOOKUP($B$2,Days_Since_100!$H:$KU,Projections_Data!I$4+2,FALSE)=0,#N/A,VLOOKUP($B$2,Days_Since_100!$H:$KU,Projections_Data!I$4+2,FALSE))</f>
        <v>238</v>
      </c>
      <c r="J5" s="40">
        <f>IF(VLOOKUP($B$2,Days_Since_100!$H:$KU,Projections_Data!J$4+2,FALSE)=0,#N/A,VLOOKUP($B$2,Days_Since_100!$H:$KU,Projections_Data!J$4+2,FALSE))</f>
        <v>238</v>
      </c>
      <c r="K5" s="40">
        <f>IF(VLOOKUP($B$2,Days_Since_100!$H:$KU,Projections_Data!K$4+2,FALSE)=0,#N/A,VLOOKUP($B$2,Days_Since_100!$H:$KU,Projections_Data!K$4+2,FALSE))</f>
        <v>434</v>
      </c>
      <c r="L5" s="40">
        <f>IF(VLOOKUP($B$2,Days_Since_100!$H:$KU,Projections_Data!L$4+2,FALSE)=0,#N/A,VLOOKUP($B$2,Days_Since_100!$H:$KU,Projections_Data!L$4+2,FALSE))</f>
        <v>537</v>
      </c>
      <c r="M5" s="40">
        <f>IF(VLOOKUP($B$2,Days_Since_100!$H:$KU,Projections_Data!M$4+2,FALSE)=0,#N/A,VLOOKUP($B$2,Days_Since_100!$H:$KU,Projections_Data!M$4+2,FALSE))</f>
        <v>632</v>
      </c>
      <c r="N5" s="40">
        <f>IF(VLOOKUP($B$2,Days_Since_100!$H:$KU,Projections_Data!N$4+2,FALSE)=0,#N/A,VLOOKUP($B$2,Days_Since_100!$H:$KU,Projections_Data!N$4+2,FALSE))</f>
        <v>746</v>
      </c>
      <c r="O5" s="40">
        <f>IF(VLOOKUP($B$2,Days_Since_100!$H:$KU,Projections_Data!O$4+2,FALSE)=0,#N/A,VLOOKUP($B$2,Days_Since_100!$H:$KU,Projections_Data!O$4+2,FALSE))</f>
        <v>922</v>
      </c>
      <c r="P5" s="40">
        <f>IF(VLOOKUP($B$2,Days_Since_100!$H:$KU,Projections_Data!P$4+2,FALSE)=0,#N/A,VLOOKUP($B$2,Days_Since_100!$H:$KU,Projections_Data!P$4+2,FALSE))</f>
        <v>1142</v>
      </c>
      <c r="Q5" s="40">
        <f>IF(VLOOKUP($B$2,Days_Since_100!$H:$KU,Projections_Data!Q$4+2,FALSE)=0,#N/A,VLOOKUP($B$2,Days_Since_100!$H:$KU,Projections_Data!Q$4+2,FALSE))</f>
        <v>1306</v>
      </c>
      <c r="R5" s="40">
        <f>IF(VLOOKUP($B$2,Days_Since_100!$H:$KU,Projections_Data!R$4+2,FALSE)=0,#N/A,VLOOKUP($B$2,Days_Since_100!$H:$KU,Projections_Data!R$4+2,FALSE))</f>
        <v>1610</v>
      </c>
      <c r="S5" s="40">
        <f>IF(VLOOKUP($B$2,Days_Since_100!$H:$KU,Projections_Data!S$4+2,FALSE)=0,#N/A,VLOOKUP($B$2,Days_Since_100!$H:$KU,Projections_Data!S$4+2,FALSE))</f>
        <v>1909</v>
      </c>
      <c r="T5" s="40">
        <f>IF(VLOOKUP($B$2,Days_Since_100!$H:$KU,Projections_Data!T$4+2,FALSE)=0,#N/A,VLOOKUP($B$2,Days_Since_100!$H:$KU,Projections_Data!T$4+2,FALSE))</f>
        <v>2139</v>
      </c>
      <c r="U5" s="40" t="e">
        <f>IF(VLOOKUP($B$2,Days_Since_100!$H:$KU,Projections_Data!U$4+2,FALSE)=0,#N/A,VLOOKUP($B$2,Days_Since_100!$H:$KU,Projections_Data!U$4+2,FALSE))</f>
        <v>#N/A</v>
      </c>
      <c r="V5" s="40" t="e">
        <f>IF(VLOOKUP($B$2,Days_Since_100!$H:$KU,Projections_Data!V$4+2,FALSE)=0,#N/A,VLOOKUP($B$2,Days_Since_100!$H:$KU,Projections_Data!V$4+2,FALSE))</f>
        <v>#N/A</v>
      </c>
      <c r="W5" s="40" t="e">
        <f>IF(VLOOKUP($B$2,Days_Since_100!$H:$KU,Projections_Data!W$4+2,FALSE)=0,#N/A,VLOOKUP($B$2,Days_Since_100!$H:$KU,Projections_Data!W$4+2,FALSE))</f>
        <v>#N/A</v>
      </c>
      <c r="X5" s="40" t="e">
        <f>IF(VLOOKUP($B$2,Days_Since_100!$H:$KU,Projections_Data!X$4+2,FALSE)=0,#N/A,VLOOKUP($B$2,Days_Since_100!$H:$KU,Projections_Data!X$4+2,FALSE))</f>
        <v>#N/A</v>
      </c>
      <c r="Y5" s="40" t="e">
        <f>IF(VLOOKUP($B$2,Days_Since_100!$H:$KU,Projections_Data!Y$4+2,FALSE)=0,#N/A,VLOOKUP($B$2,Days_Since_100!$H:$KU,Projections_Data!Y$4+2,FALSE))</f>
        <v>#N/A</v>
      </c>
      <c r="Z5" s="40" t="e">
        <f>IF(VLOOKUP($B$2,Days_Since_100!$H:$KU,Projections_Data!Z$4+2,FALSE)=0,#N/A,VLOOKUP($B$2,Days_Since_100!$H:$KU,Projections_Data!Z$4+2,FALSE))</f>
        <v>#N/A</v>
      </c>
      <c r="AA5" s="40" t="e">
        <f>IF(VLOOKUP($B$2,Days_Since_100!$H:$KU,Projections_Data!AA$4+2,FALSE)=0,#N/A,VLOOKUP($B$2,Days_Since_100!$H:$KU,Projections_Data!AA$4+2,FALSE))</f>
        <v>#N/A</v>
      </c>
      <c r="AB5" s="40" t="e">
        <f>IF(VLOOKUP($B$2,Days_Since_100!$H:$KU,Projections_Data!AB$4+2,FALSE)=0,#N/A,VLOOKUP($B$2,Days_Since_100!$H:$KU,Projections_Data!AB$4+2,FALSE))</f>
        <v>#N/A</v>
      </c>
      <c r="AC5" s="40" t="e">
        <f>IF(VLOOKUP($B$2,Days_Since_100!$H:$KU,Projections_Data!AC$4+2,FALSE)=0,#N/A,VLOOKUP($B$2,Days_Since_100!$H:$KU,Projections_Data!AC$4+2,FALSE))</f>
        <v>#N/A</v>
      </c>
      <c r="AD5" s="40" t="e">
        <f>IF(VLOOKUP($B$2,Days_Since_100!$H:$KU,Projections_Data!AD$4+2,FALSE)=0,#N/A,VLOOKUP($B$2,Days_Since_100!$H:$KU,Projections_Data!AD$4+2,FALSE))</f>
        <v>#N/A</v>
      </c>
      <c r="AE5" s="40" t="e">
        <f>IF(VLOOKUP($B$2,Days_Since_100!$H:$KU,Projections_Data!AE$4+2,FALSE)=0,#N/A,VLOOKUP($B$2,Days_Since_100!$H:$KU,Projections_Data!AE$4+2,FALSE))</f>
        <v>#N/A</v>
      </c>
      <c r="AF5" s="40" t="e">
        <f>IF(VLOOKUP($B$2,Days_Since_100!$H:$KU,Projections_Data!AF$4+2,FALSE)=0,#N/A,VLOOKUP($B$2,Days_Since_100!$H:$KU,Projections_Data!AF$4+2,FALSE))</f>
        <v>#N/A</v>
      </c>
      <c r="AG5" s="40" t="e">
        <f>IF(VLOOKUP($B$2,Days_Since_100!$H:$KU,Projections_Data!AG$4+2,FALSE)=0,#N/A,VLOOKUP($B$2,Days_Since_100!$H:$KU,Projections_Data!AG$4+2,FALSE))</f>
        <v>#N/A</v>
      </c>
      <c r="AH5" s="40" t="e">
        <f>IF(VLOOKUP($B$2,Days_Since_100!$H:$KU,Projections_Data!AH$4+2,FALSE)=0,#N/A,VLOOKUP($B$2,Days_Since_100!$H:$KU,Projections_Data!AH$4+2,FALSE))</f>
        <v>#N/A</v>
      </c>
      <c r="AI5" s="40" t="e">
        <f>IF(VLOOKUP($B$2,Days_Since_100!$H:$KU,Projections_Data!AI$4+2,FALSE)=0,#N/A,VLOOKUP($B$2,Days_Since_100!$H:$KU,Projections_Data!AI$4+2,FALSE))</f>
        <v>#N/A</v>
      </c>
      <c r="AJ5" s="40" t="e">
        <f>IF(VLOOKUP($B$2,Days_Since_100!$H:$KU,Projections_Data!AJ$4+2,FALSE)=0,#N/A,VLOOKUP($B$2,Days_Since_100!$H:$KU,Projections_Data!AJ$4+2,FALSE))</f>
        <v>#N/A</v>
      </c>
      <c r="AK5" s="40" t="e">
        <f>IF(VLOOKUP($B$2,Days_Since_100!$H:$KU,Projections_Data!AK$4+2,FALSE)=0,#N/A,VLOOKUP($B$2,Days_Since_100!$H:$KU,Projections_Data!AK$4+2,FALSE))</f>
        <v>#N/A</v>
      </c>
      <c r="AL5" s="40" t="e">
        <f>IF(VLOOKUP($B$2,Days_Since_100!$H:$KU,Projections_Data!AL$4+2,FALSE)=0,#N/A,VLOOKUP($B$2,Days_Since_100!$H:$KU,Projections_Data!AL$4+2,FALSE))</f>
        <v>#N/A</v>
      </c>
      <c r="AM5" s="40" t="e">
        <f>IF(VLOOKUP($B$2,Days_Since_100!$H:$KU,Projections_Data!AM$4+2,FALSE)=0,#N/A,VLOOKUP($B$2,Days_Since_100!$H:$KU,Projections_Data!AM$4+2,FALSE))</f>
        <v>#N/A</v>
      </c>
      <c r="AN5" s="40" t="e">
        <f>IF(VLOOKUP($B$2,Days_Since_100!$H:$KU,Projections_Data!AN$4+2,FALSE)=0,#N/A,VLOOKUP($B$2,Days_Since_100!$H:$KU,Projections_Data!AN$4+2,FALSE))</f>
        <v>#N/A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506</v>
      </c>
      <c r="C6" s="21">
        <f ca="1">HLOOKUP(C5-1,G4:IN8,5,FALSE)</f>
        <v>1864</v>
      </c>
      <c r="D6" s="42">
        <v>0.02</v>
      </c>
      <c r="F6" s="19" t="s">
        <v>584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 t="e">
        <f ca="1">IF(Projections_Data!M$4+2-$C$9&lt;2,#N/A,IF(VLOOKUP($B$2,Deaths_since_10!$H:$KU,Projections_Data!M$4+2-$C$9,FALSE)=0,#N/A,VLOOKUP($B$2,Deaths_since_10!$H:$KU,Projections_Data!M$4+2-$C$9,FALSE)))</f>
        <v>#N/A</v>
      </c>
      <c r="N6" s="40" t="e">
        <f ca="1">IF(Projections_Data!N$4+2-$C$9&lt;2,#N/A,IF(VLOOKUP($B$2,Deaths_since_10!$H:$KU,Projections_Data!N$4+2-$C$9,FALSE)=0,#N/A,VLOOKUP($B$2,Deaths_since_10!$H:$KU,Projections_Data!N$4+2-$C$9,FALSE)))</f>
        <v>#N/A</v>
      </c>
      <c r="O6" s="40" t="e">
        <f ca="1">IF(Projections_Data!O$4+2-$C$9&lt;2,#N/A,IF(VLOOKUP($B$2,Deaths_since_10!$H:$KU,Projections_Data!O$4+2-$C$9,FALSE)=0,#N/A,VLOOKUP($B$2,Deaths_since_10!$H:$KU,Projections_Data!O$4+2-$C$9,FALSE)))</f>
        <v>#N/A</v>
      </c>
      <c r="P6" s="40" t="e">
        <f ca="1">IF(Projections_Data!P$4+2-$C$9&lt;2,#N/A,IF(VLOOKUP($B$2,Deaths_since_10!$H:$KU,Projections_Data!P$4+2-$C$9,FALSE)=0,#N/A,VLOOKUP($B$2,Deaths_since_10!$H:$KU,Projections_Data!P$4+2-$C$9,FALSE)))</f>
        <v>#N/A</v>
      </c>
      <c r="Q6" s="40" t="e">
        <f ca="1">IF(Projections_Data!Q$4+2-$C$9&lt;2,#N/A,IF(VLOOKUP($B$2,Deaths_since_10!$H:$KU,Projections_Data!Q$4+2-$C$9,FALSE)=0,#N/A,VLOOKUP($B$2,Deaths_since_10!$H:$KU,Projections_Data!Q$4+2-$C$9,FALSE)))</f>
        <v>#N/A</v>
      </c>
      <c r="R6" s="40" t="e">
        <f ca="1">IF(Projections_Data!R$4+2-$C$9&lt;2,#N/A,IF(VLOOKUP($B$2,Deaths_since_10!$H:$KU,Projections_Data!R$4+2-$C$9,FALSE)=0,#N/A,VLOOKUP($B$2,Deaths_since_10!$H:$KU,Projections_Data!R$4+2-$C$9,FALSE)))</f>
        <v>#N/A</v>
      </c>
      <c r="S6" s="40" t="e">
        <f ca="1">IF(Projections_Data!S$4+2-$C$9&lt;2,#N/A,IF(VLOOKUP($B$2,Deaths_since_10!$H:$KU,Projections_Data!S$4+2-$C$9,FALSE)=0,#N/A,VLOOKUP($B$2,Deaths_since_10!$H:$KU,Projections_Data!S$4+2-$C$9,FALSE)))</f>
        <v>#N/A</v>
      </c>
      <c r="T6" s="40" t="e">
        <f ca="1">IF(Projections_Data!T$4+2-$C$9&lt;2,#N/A,IF(VLOOKUP($B$2,Deaths_since_10!$H:$KU,Projections_Data!T$4+2-$C$9,FALSE)=0,#N/A,VLOOKUP($B$2,Deaths_since_10!$H:$KU,Projections_Data!T$4+2-$C$9,FALSE)))</f>
        <v>#N/A</v>
      </c>
      <c r="U6" s="40" t="e">
        <f ca="1">IF(Projections_Data!U$4+2-$C$9&lt;2,#N/A,IF(VLOOKUP($B$2,Deaths_since_10!$H:$KU,Projections_Data!U$4+2-$C$9,FALSE)=0,#N/A,VLOOKUP($B$2,Deaths_since_10!$H:$KU,Projections_Data!U$4+2-$C$9,FALSE)))</f>
        <v>#N/A</v>
      </c>
      <c r="V6" s="40" t="e">
        <f ca="1">IF(Projections_Data!V$4+2-$C$9&lt;2,#N/A,IF(VLOOKUP($B$2,Deaths_since_10!$H:$KU,Projections_Data!V$4+2-$C$9,FALSE)=0,#N/A,VLOOKUP($B$2,Deaths_since_10!$H:$KU,Projections_Data!V$4+2-$C$9,FALSE)))</f>
        <v>#N/A</v>
      </c>
      <c r="W6" s="40" t="e">
        <f ca="1">IF(Projections_Data!W$4+2-$C$9&lt;2,#N/A,IF(VLOOKUP($B$2,Deaths_since_10!$H:$KU,Projections_Data!W$4+2-$C$9,FALSE)=0,#N/A,VLOOKUP($B$2,Deaths_since_10!$H:$KU,Projections_Data!W$4+2-$C$9,FALSE)))</f>
        <v>#N/A</v>
      </c>
      <c r="X6" s="40" t="e">
        <f ca="1">IF(Projections_Data!X$4+2-$C$9&lt;2,#N/A,IF(VLOOKUP($B$2,Deaths_since_10!$H:$KU,Projections_Data!X$4+2-$C$9,FALSE)=0,#N/A,VLOOKUP($B$2,Deaths_since_10!$H:$KU,Projections_Data!X$4+2-$C$9,FALSE)))</f>
        <v>#N/A</v>
      </c>
      <c r="Y6" s="40" t="e">
        <f ca="1">IF(Projections_Data!Y$4+2-$C$9&lt;2,#N/A,IF(VLOOKUP($B$2,Deaths_since_10!$H:$KU,Projections_Data!Y$4+2-$C$9,FALSE)=0,#N/A,VLOOKUP($B$2,Deaths_since_10!$H:$KU,Projections_Data!Y$4+2-$C$9,FALSE)))</f>
        <v>#N/A</v>
      </c>
      <c r="Z6" s="40" t="e">
        <f ca="1">IF(Projections_Data!Z$4+2-$C$9&lt;2,#N/A,IF(VLOOKUP($B$2,Deaths_since_10!$H:$KU,Projections_Data!Z$4+2-$C$9,FALSE)=0,#N/A,VLOOKUP($B$2,Deaths_since_10!$H:$KU,Projections_Data!Z$4+2-$C$9,FALSE)))</f>
        <v>#N/A</v>
      </c>
      <c r="AA6" s="40" t="e">
        <f ca="1">IF(Projections_Data!AA$4+2-$C$9&lt;2,#N/A,IF(VLOOKUP($B$2,Deaths_since_10!$H:$KU,Projections_Data!AA$4+2-$C$9,FALSE)=0,#N/A,VLOOKUP($B$2,Deaths_since_10!$H:$KU,Projections_Data!AA$4+2-$C$9,FALSE)))</f>
        <v>#N/A</v>
      </c>
      <c r="AB6" s="40" t="e">
        <f ca="1">IF(Projections_Data!AB$4+2-$C$9&lt;2,#N/A,IF(VLOOKUP($B$2,Deaths_since_10!$H:$KU,Projections_Data!AB$4+2-$C$9,FALSE)=0,#N/A,VLOOKUP($B$2,Deaths_since_10!$H:$KU,Projections_Data!AB$4+2-$C$9,FALSE)))</f>
        <v>#N/A</v>
      </c>
      <c r="AC6" s="40" t="e">
        <f ca="1">IF(Projections_Data!AC$4+2-$C$9&lt;2,#N/A,IF(VLOOKUP($B$2,Deaths_since_10!$H:$KU,Projections_Data!AC$4+2-$C$9,FALSE)=0,#N/A,VLOOKUP($B$2,Deaths_since_10!$H:$KU,Projections_Data!AC$4+2-$C$9,FALSE)))</f>
        <v>#N/A</v>
      </c>
      <c r="AD6" s="40" t="e">
        <f ca="1">IF(Projections_Data!AD$4+2-$C$9&lt;2,#N/A,IF(VLOOKUP($B$2,Deaths_since_10!$H:$KU,Projections_Data!AD$4+2-$C$9,FALSE)=0,#N/A,VLOOKUP($B$2,Deaths_since_10!$H:$KU,Projections_Data!AD$4+2-$C$9,FALSE)))</f>
        <v>#N/A</v>
      </c>
      <c r="AE6" s="40" t="e">
        <f ca="1">IF(Projections_Data!AE$4+2-$C$9&lt;2,#N/A,IF(VLOOKUP($B$2,Deaths_since_10!$H:$KU,Projections_Data!AE$4+2-$C$9,FALSE)=0,#N/A,VLOOKUP($B$2,Deaths_since_10!$H:$KU,Projections_Data!AE$4+2-$C$9,FALSE)))</f>
        <v>#N/A</v>
      </c>
      <c r="AF6" s="40" t="e">
        <f ca="1">IF(Projections_Data!AF$4+2-$C$9&lt;2,#N/A,IF(VLOOKUP($B$2,Deaths_since_10!$H:$KU,Projections_Data!AF$4+2-$C$9,FALSE)=0,#N/A,VLOOKUP($B$2,Deaths_since_10!$H:$KU,Projections_Data!AF$4+2-$C$9,FALSE)))</f>
        <v>#N/A</v>
      </c>
      <c r="AG6" s="40" t="e">
        <f ca="1">IF(Projections_Data!AG$4+2-$C$9&lt;2,#N/A,IF(VLOOKUP($B$2,Deaths_since_10!$H:$KU,Projections_Data!AG$4+2-$C$9,FALSE)=0,#N/A,VLOOKUP($B$2,Deaths_since_10!$H:$KU,Projections_Data!AG$4+2-$C$9,FALSE)))</f>
        <v>#N/A</v>
      </c>
      <c r="AH6" s="40" t="e">
        <f ca="1">IF(Projections_Data!AH$4+2-$C$9&lt;2,#N/A,IF(VLOOKUP($B$2,Deaths_since_10!$H:$KU,Projections_Data!AH$4+2-$C$9,FALSE)=0,#N/A,VLOOKUP($B$2,Deaths_since_10!$H:$KU,Projections_Data!AH$4+2-$C$9,FALSE)))</f>
        <v>#N/A</v>
      </c>
      <c r="AI6" s="40" t="e">
        <f ca="1">IF(Projections_Data!AI$4+2-$C$9&lt;2,#N/A,IF(VLOOKUP($B$2,Deaths_since_10!$H:$KU,Projections_Data!AI$4+2-$C$9,FALSE)=0,#N/A,VLOOKUP($B$2,Deaths_since_10!$H:$KU,Projections_Data!AI$4+2-$C$9,FALSE)))</f>
        <v>#N/A</v>
      </c>
      <c r="AJ6" s="40" t="e">
        <f ca="1">IF(Projections_Data!AJ$4+2-$C$9&lt;2,#N/A,IF(VLOOKUP($B$2,Deaths_since_10!$H:$KU,Projections_Data!AJ$4+2-$C$9,FALSE)=0,#N/A,VLOOKUP($B$2,Deaths_since_10!$H:$KU,Projections_Data!AJ$4+2-$C$9,FALSE)))</f>
        <v>#N/A</v>
      </c>
      <c r="AK6" s="40" t="e">
        <f ca="1">IF(Projections_Data!AK$4+2-$C$9&lt;2,#N/A,IF(VLOOKUP($B$2,Deaths_since_10!$H:$KU,Projections_Data!AK$4+2-$C$9,FALSE)=0,#N/A,VLOOKUP($B$2,Deaths_since_10!$H:$KU,Projections_Data!AK$4+2-$C$9,FALSE)))</f>
        <v>#N/A</v>
      </c>
      <c r="AL6" s="40" t="e">
        <f ca="1">IF(Projections_Data!AL$4+2-$C$9&lt;2,#N/A,IF(VLOOKUP($B$2,Deaths_since_10!$H:$KU,Projections_Data!AL$4+2-$C$9,FALSE)=0,#N/A,VLOOKUP($B$2,Deaths_since_10!$H:$KU,Projections_Data!AL$4+2-$C$9,FALSE)))</f>
        <v>#N/A</v>
      </c>
      <c r="AM6" s="40" t="e">
        <f ca="1">IF(Projections_Data!AM$4+2-$C$9&lt;2,#N/A,IF(VLOOKUP($B$2,Deaths_since_10!$H:$KU,Projections_Data!AM$4+2-$C$9,FALSE)=0,#N/A,VLOOKUP($B$2,Deaths_since_10!$H:$KU,Projections_Data!AM$4+2-$C$9,FALSE)))</f>
        <v>#N/A</v>
      </c>
      <c r="AN6" s="40" t="e">
        <f ca="1">IF(Projections_Data!AN$4+2-$C$9&lt;2,#N/A,IF(VLOOKUP($B$2,Deaths_since_10!$H:$KU,Projections_Data!AN$4+2-$C$9,FALSE)=0,#N/A,VLOOKUP($B$2,Deaths_since_10!$H:$KU,Projections_Data!AN$4+2-$C$9,FALSE)))</f>
        <v>#N/A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508</v>
      </c>
      <c r="C7" s="21">
        <f ca="1">C4-C6-C8</f>
        <v>268</v>
      </c>
      <c r="F7" s="19" t="s">
        <v>589</v>
      </c>
      <c r="G7" s="40">
        <f ca="1">IFERROR((G5-F5)-(G6-F6),G5)</f>
        <v>155</v>
      </c>
      <c r="H7" s="40">
        <f ca="1">IFERROR((H5-G5)-(H6-G6),H5-G5)</f>
        <v>46</v>
      </c>
      <c r="I7" s="40">
        <f t="shared" ref="I7:O7" ca="1" si="11">IFERROR((I5-H5)-(I6-H6),I5-H5)</f>
        <v>37</v>
      </c>
      <c r="J7" s="40">
        <f t="shared" ca="1" si="11"/>
        <v>0</v>
      </c>
      <c r="K7" s="40">
        <f t="shared" ca="1" si="11"/>
        <v>196</v>
      </c>
      <c r="L7" s="40">
        <f t="shared" ca="1" si="11"/>
        <v>103</v>
      </c>
      <c r="M7" s="40">
        <f t="shared" ca="1" si="11"/>
        <v>95</v>
      </c>
      <c r="N7" s="40">
        <f t="shared" ca="1" si="11"/>
        <v>114</v>
      </c>
      <c r="O7" s="40">
        <f t="shared" ca="1" si="11"/>
        <v>176</v>
      </c>
      <c r="P7" s="40">
        <f t="shared" ref="P7" ca="1" si="12">IFERROR((P5-O5)-(P6-O6),P5-O5)</f>
        <v>220</v>
      </c>
      <c r="Q7" s="40">
        <f ca="1">IFERROR((Q5-P5)-(Q6-P6),Q5-P5)</f>
        <v>164</v>
      </c>
      <c r="R7" s="40">
        <f t="shared" ref="R7:T7" ca="1" si="13">IFERROR((R5-Q5)-(R6-Q6),R5-Q5)</f>
        <v>304</v>
      </c>
      <c r="S7" s="40">
        <f t="shared" ca="1" si="13"/>
        <v>299</v>
      </c>
      <c r="T7" s="40">
        <f t="shared" ca="1" si="13"/>
        <v>230</v>
      </c>
      <c r="U7" s="40" t="e">
        <f t="shared" ref="U7" ca="1" si="14">(U5-T5)-(U6-T6)</f>
        <v>#N/A</v>
      </c>
      <c r="V7" s="40" t="e">
        <f t="shared" ref="V7" ca="1" si="15">(V5-U5)-(V6-U6)</f>
        <v>#N/A</v>
      </c>
      <c r="W7" s="40" t="e">
        <f t="shared" ref="W7" ca="1" si="16">(W5-V5)-(W6-V6)</f>
        <v>#N/A</v>
      </c>
      <c r="X7" s="40" t="e">
        <f t="shared" ref="X7" ca="1" si="17">(X5-W5)-(X6-W6)</f>
        <v>#N/A</v>
      </c>
      <c r="Y7" s="40" t="e">
        <f ca="1">(Y5-X5)-(Y6-X6)</f>
        <v>#N/A</v>
      </c>
      <c r="Z7" s="40" t="e">
        <f t="shared" ref="Z7" ca="1" si="18">(Z5-Y5)-(Z6-Y6)</f>
        <v>#N/A</v>
      </c>
      <c r="AA7" s="40" t="e">
        <f t="shared" ref="AA7" ca="1" si="19">(AA5-Z5)-(AA6-Z6)</f>
        <v>#N/A</v>
      </c>
      <c r="AB7" s="40" t="e">
        <f t="shared" ref="AB7" ca="1" si="20">(AB5-AA5)-(AB6-AA6)</f>
        <v>#N/A</v>
      </c>
      <c r="AC7" s="40" t="e">
        <f t="shared" ref="AC7" ca="1" si="21">(AC5-AB5)-(AC6-AB6)</f>
        <v>#N/A</v>
      </c>
      <c r="AD7" s="40" t="e">
        <f t="shared" ref="AD7" ca="1" si="22">(AD5-AC5)-(AD6-AC6)</f>
        <v>#N/A</v>
      </c>
      <c r="AE7" s="40" t="e">
        <f t="shared" ref="AE7" ca="1" si="23">(AE5-AD5)-(AE6-AD6)</f>
        <v>#N/A</v>
      </c>
      <c r="AF7" s="40" t="e">
        <f t="shared" ref="AF7" ca="1" si="24">(AF5-AE5)-(AF6-AE6)</f>
        <v>#N/A</v>
      </c>
      <c r="AG7" s="40" t="e">
        <f t="shared" ref="AG7" ca="1" si="25">(AG5-AF5)-(AG6-AF6)</f>
        <v>#N/A</v>
      </c>
      <c r="AH7" s="40" t="e">
        <f t="shared" ref="AH7" ca="1" si="26">(AH5-AG5)-(AH6-AG6)</f>
        <v>#N/A</v>
      </c>
      <c r="AI7" s="40" t="e">
        <f ca="1">(AI5-AH5)-(AI6-AH6)</f>
        <v>#N/A</v>
      </c>
      <c r="AJ7" s="40" t="e">
        <f t="shared" ref="AJ7" ca="1" si="27">(AJ5-AI5)-(AJ6-AI6)</f>
        <v>#N/A</v>
      </c>
      <c r="AK7" s="40" t="e">
        <f t="shared" ref="AK7" ca="1" si="28">(AK5-AJ5)-(AK6-AJ6)</f>
        <v>#N/A</v>
      </c>
      <c r="AL7" s="40" t="e">
        <f t="shared" ref="AL7" ca="1" si="29">(AL5-AK5)-(AL6-AK6)</f>
        <v>#N/A</v>
      </c>
      <c r="AM7" s="40" t="e">
        <f t="shared" ref="AM7" ca="1" si="30">(AM5-AL5)-(AM6-AL6)</f>
        <v>#N/A</v>
      </c>
      <c r="AN7" s="40" t="e">
        <f t="shared" ref="AN7" ca="1" si="31">(AN5-AM5)-(AN6-AM6)</f>
        <v>#N/A</v>
      </c>
      <c r="AO7" s="40" t="e">
        <f t="shared" ref="AO7" ca="1" si="32">(AO5-AN5)-(AO6-AN6)</f>
        <v>#N/A</v>
      </c>
      <c r="AP7" s="40" t="e">
        <f t="shared" ref="AP7" ca="1" si="33">(AP5-AO5)-(AP6-AO6)</f>
        <v>#N/A</v>
      </c>
      <c r="AQ7" s="40" t="e">
        <f t="shared" ref="AQ7" ca="1" si="34">(AQ5-AP5)-(AQ6-AP6)</f>
        <v>#N/A</v>
      </c>
      <c r="AR7" s="40" t="e">
        <f t="shared" ref="AR7" ca="1" si="35">(AR5-AQ5)-(AR6-AQ6)</f>
        <v>#N/A</v>
      </c>
      <c r="AS7" s="40" t="e">
        <f t="shared" ref="AS7" ca="1" si="36">(AS5-AR5)-(AS6-AR6)</f>
        <v>#N/A</v>
      </c>
      <c r="AT7" s="40" t="e">
        <f t="shared" ref="AT7" ca="1" si="37">(AT5-AS5)-(AT6-AS6)</f>
        <v>#N/A</v>
      </c>
      <c r="AU7" s="40" t="e">
        <f t="shared" ref="AU7" ca="1" si="38">(AU5-AT5)-(AU6-AT6)</f>
        <v>#N/A</v>
      </c>
      <c r="AV7" s="40" t="e">
        <f t="shared" ref="AV7" ca="1" si="39">(AV5-AU5)-(AV6-AU6)</f>
        <v>#N/A</v>
      </c>
      <c r="AW7" s="40" t="e">
        <f t="shared" ref="AW7" ca="1" si="40">(AW5-AV5)-(AW6-AV6)</f>
        <v>#N/A</v>
      </c>
      <c r="AX7" s="40" t="e">
        <f t="shared" ref="AX7" ca="1" si="41">(AX5-AW5)-(AX6-AW6)</f>
        <v>#N/A</v>
      </c>
      <c r="AY7" s="40" t="e">
        <f t="shared" ref="AY7" ca="1" si="42">(AY5-AX5)-(AY6-AX6)</f>
        <v>#N/A</v>
      </c>
      <c r="AZ7" s="40" t="e">
        <f t="shared" ref="AZ7" ca="1" si="43">(AZ5-AY5)-(AZ6-AY6)</f>
        <v>#N/A</v>
      </c>
      <c r="BA7" s="40" t="e">
        <f t="shared" ref="BA7" ca="1" si="44">(BA5-AZ5)-(BA6-AZ6)</f>
        <v>#N/A</v>
      </c>
      <c r="BB7" s="40" t="e">
        <f t="shared" ref="BB7" ca="1" si="45">(BB5-BA5)-(BB6-BA6)</f>
        <v>#N/A</v>
      </c>
      <c r="BC7" s="40" t="e">
        <f t="shared" ref="BC7" ca="1" si="46">(BC5-BB5)-(BC6-BB6)</f>
        <v>#N/A</v>
      </c>
      <c r="BD7" s="40" t="e">
        <f t="shared" ref="BD7" ca="1" si="47">(BD5-BC5)-(BD6-BC6)</f>
        <v>#N/A</v>
      </c>
      <c r="BE7" s="40" t="e">
        <f t="shared" ref="BE7" ca="1" si="48">(BE5-BD5)-(BE6-BD6)</f>
        <v>#N/A</v>
      </c>
      <c r="BF7" s="40" t="e">
        <f t="shared" ref="BF7" ca="1" si="49">(BF5-BE5)-(BF6-BE6)</f>
        <v>#N/A</v>
      </c>
      <c r="BG7" s="40" t="e">
        <f t="shared" ref="BG7" ca="1" si="50">(BG5-BF5)-(BG6-BF6)</f>
        <v>#N/A</v>
      </c>
      <c r="BH7" s="40" t="e">
        <f t="shared" ref="BH7" ca="1" si="51">(BH5-BG5)-(BH6-BG6)</f>
        <v>#N/A</v>
      </c>
      <c r="BI7" s="40" t="e">
        <f t="shared" ref="BI7" ca="1" si="52">(BI5-BH5)-(BI6-BH6)</f>
        <v>#N/A</v>
      </c>
      <c r="BJ7" s="40" t="e">
        <f t="shared" ref="BJ7" ca="1" si="53">(BJ5-BI5)-(BJ6-BI6)</f>
        <v>#N/A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509</v>
      </c>
      <c r="C8" s="21">
        <f>VLOOKUP(B2,Country_Data!C:G,5,FALSE)</f>
        <v>7</v>
      </c>
      <c r="F8" s="19" t="s">
        <v>506</v>
      </c>
      <c r="G8" s="40">
        <f>G5</f>
        <v>155</v>
      </c>
      <c r="H8" s="40">
        <f ca="1">SUM($G$7:H7)</f>
        <v>201</v>
      </c>
      <c r="I8" s="40">
        <f ca="1">SUM($G$7:I7)</f>
        <v>238</v>
      </c>
      <c r="J8" s="40">
        <f ca="1">SUM($G$7:J7)</f>
        <v>238</v>
      </c>
      <c r="K8" s="40">
        <f ca="1">SUM($G$7:K7)</f>
        <v>434</v>
      </c>
      <c r="L8" s="40">
        <f ca="1">SUM($G$7:L7)</f>
        <v>537</v>
      </c>
      <c r="M8" s="40">
        <f ca="1">SUM($G$7:M7)</f>
        <v>632</v>
      </c>
      <c r="N8" s="40">
        <f ca="1">SUM($G$7:N7)</f>
        <v>746</v>
      </c>
      <c r="O8" s="40">
        <f ca="1">SUM($G$7:O7)</f>
        <v>922</v>
      </c>
      <c r="P8" s="40">
        <f ca="1">SUM($G$7:P7)</f>
        <v>1142</v>
      </c>
      <c r="Q8" s="40">
        <f ca="1">SUM($G$7:Q7)</f>
        <v>1306</v>
      </c>
      <c r="R8" s="40">
        <f ca="1">SUM(H7:R7)-G7</f>
        <v>1300</v>
      </c>
      <c r="S8" s="40">
        <f t="shared" ref="S8:CD8" ca="1" si="68">SUM(I7:S7)-H7</f>
        <v>1662</v>
      </c>
      <c r="T8" s="40">
        <f t="shared" ca="1" si="68"/>
        <v>1864</v>
      </c>
      <c r="U8" s="40" t="e">
        <f t="shared" ca="1" si="68"/>
        <v>#N/A</v>
      </c>
      <c r="V8" s="40" t="e">
        <f t="shared" ca="1" si="68"/>
        <v>#N/A</v>
      </c>
      <c r="W8" s="40" t="e">
        <f t="shared" ca="1" si="68"/>
        <v>#N/A</v>
      </c>
      <c r="X8" s="40" t="e">
        <f t="shared" ca="1" si="68"/>
        <v>#N/A</v>
      </c>
      <c r="Y8" s="40" t="e">
        <f t="shared" ca="1" si="68"/>
        <v>#N/A</v>
      </c>
      <c r="Z8" s="40" t="e">
        <f t="shared" ca="1" si="68"/>
        <v>#N/A</v>
      </c>
      <c r="AA8" s="40" t="e">
        <f t="shared" ca="1" si="68"/>
        <v>#N/A</v>
      </c>
      <c r="AB8" s="40" t="e">
        <f t="shared" ca="1" si="68"/>
        <v>#N/A</v>
      </c>
      <c r="AC8" s="40" t="e">
        <f t="shared" ca="1" si="68"/>
        <v>#N/A</v>
      </c>
      <c r="AD8" s="40" t="e">
        <f t="shared" ca="1" si="68"/>
        <v>#N/A</v>
      </c>
      <c r="AE8" s="40" t="e">
        <f t="shared" ca="1" si="68"/>
        <v>#N/A</v>
      </c>
      <c r="AF8" s="40" t="e">
        <f t="shared" ca="1" si="68"/>
        <v>#N/A</v>
      </c>
      <c r="AG8" s="40" t="e">
        <f t="shared" ca="1" si="68"/>
        <v>#N/A</v>
      </c>
      <c r="AH8" s="40" t="e">
        <f t="shared" ca="1" si="68"/>
        <v>#N/A</v>
      </c>
      <c r="AI8" s="40" t="e">
        <f ca="1">SUM(Y7:AI7)-X7</f>
        <v>#N/A</v>
      </c>
      <c r="AJ8" s="40" t="e">
        <f t="shared" ca="1" si="68"/>
        <v>#N/A</v>
      </c>
      <c r="AK8" s="40" t="e">
        <f ca="1">SUM(AA7:AK7)-Z7</f>
        <v>#N/A</v>
      </c>
      <c r="AL8" s="40" t="e">
        <f ca="1">SUM(AB7:AL7)-AA7</f>
        <v>#N/A</v>
      </c>
      <c r="AM8" s="40" t="e">
        <f ca="1">SUM(AC7:AM7)-AB7</f>
        <v>#N/A</v>
      </c>
      <c r="AN8" s="40" t="e">
        <f ca="1">SUM(AD7:AN7)-AC7</f>
        <v>#N/A</v>
      </c>
      <c r="AO8" s="40" t="e">
        <f t="shared" ca="1" si="68"/>
        <v>#N/A</v>
      </c>
      <c r="AP8" s="40" t="e">
        <f t="shared" ca="1" si="68"/>
        <v>#N/A</v>
      </c>
      <c r="AQ8" s="40" t="e">
        <f t="shared" ca="1" si="68"/>
        <v>#N/A</v>
      </c>
      <c r="AR8" s="40" t="e">
        <f t="shared" ca="1" si="68"/>
        <v>#N/A</v>
      </c>
      <c r="AS8" s="40" t="e">
        <f t="shared" ca="1" si="68"/>
        <v>#N/A</v>
      </c>
      <c r="AT8" s="40" t="e">
        <f t="shared" ca="1" si="68"/>
        <v>#N/A</v>
      </c>
      <c r="AU8" s="40" t="e">
        <f t="shared" ca="1" si="68"/>
        <v>#N/A</v>
      </c>
      <c r="AV8" s="40" t="e">
        <f t="shared" ca="1" si="68"/>
        <v>#N/A</v>
      </c>
      <c r="AW8" s="40" t="e">
        <f t="shared" ca="1" si="68"/>
        <v>#N/A</v>
      </c>
      <c r="AX8" s="40" t="e">
        <f t="shared" ca="1" si="68"/>
        <v>#N/A</v>
      </c>
      <c r="AY8" s="40" t="e">
        <f t="shared" ca="1" si="68"/>
        <v>#N/A</v>
      </c>
      <c r="AZ8" s="40" t="e">
        <f t="shared" ca="1" si="68"/>
        <v>#N/A</v>
      </c>
      <c r="BA8" s="40" t="e">
        <f t="shared" ca="1" si="68"/>
        <v>#N/A</v>
      </c>
      <c r="BB8" s="40" t="e">
        <f t="shared" ca="1" si="68"/>
        <v>#N/A</v>
      </c>
      <c r="BC8" s="40" t="e">
        <f t="shared" ca="1" si="68"/>
        <v>#N/A</v>
      </c>
      <c r="BD8" s="40" t="e">
        <f t="shared" ca="1" si="68"/>
        <v>#N/A</v>
      </c>
      <c r="BE8" s="40" t="e">
        <f t="shared" ca="1" si="68"/>
        <v>#N/A</v>
      </c>
      <c r="BF8" s="40" t="e">
        <f t="shared" ca="1" si="68"/>
        <v>#N/A</v>
      </c>
      <c r="BG8" s="40" t="e">
        <f t="shared" ca="1" si="68"/>
        <v>#N/A</v>
      </c>
      <c r="BH8" s="40" t="e">
        <f t="shared" ca="1" si="68"/>
        <v>#N/A</v>
      </c>
      <c r="BI8" s="40" t="e">
        <f t="shared" ca="1" si="68"/>
        <v>#N/A</v>
      </c>
      <c r="BJ8" s="40" t="e">
        <f t="shared" ca="1" si="68"/>
        <v>#N/A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574</v>
      </c>
      <c r="C9" s="85" t="e">
        <f ca="1">VLOOKUP(B2,Country_Data!C:P,14,FALSE)</f>
        <v>#N/A</v>
      </c>
      <c r="F9" s="19" t="s">
        <v>585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155</v>
      </c>
      <c r="H9" s="40">
        <f t="shared" ca="1" si="72"/>
        <v>201</v>
      </c>
      <c r="I9" s="40">
        <f t="shared" ca="1" si="72"/>
        <v>238</v>
      </c>
      <c r="J9" s="40">
        <f t="shared" ca="1" si="72"/>
        <v>238</v>
      </c>
      <c r="K9" s="40">
        <f t="shared" ca="1" si="72"/>
        <v>434</v>
      </c>
      <c r="L9" s="40">
        <f t="shared" ca="1" si="72"/>
        <v>537</v>
      </c>
      <c r="M9" s="40">
        <f t="shared" ca="1" si="72"/>
        <v>632</v>
      </c>
      <c r="N9" s="40">
        <f t="shared" ca="1" si="72"/>
        <v>746</v>
      </c>
      <c r="O9" s="40">
        <f t="shared" ca="1" si="72"/>
        <v>922</v>
      </c>
      <c r="P9" s="40">
        <f t="shared" ca="1" si="72"/>
        <v>1142</v>
      </c>
      <c r="Q9" s="40">
        <f t="shared" ca="1" si="72"/>
        <v>1306</v>
      </c>
      <c r="R9" s="40">
        <f t="shared" ca="1" si="72"/>
        <v>1300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1662</v>
      </c>
      <c r="T9" s="40">
        <f ca="1">IF(IF(AND(ISNA(S8),ISNA(S$8)),S9*(1+$C$11),IF(AND(S$8&gt;0,ISNA(T$8)),S9*(1+$C$11),T$8))&gt;$C$21,$C$21,IF(AND(ISNA(T$8),ISNA(S$8)),S9*(1+$C$11),IF(AND(S$8&gt;0,ISNA(T$8)),S9*(1+$C$11),T$8)))</f>
        <v>1864</v>
      </c>
      <c r="U9" s="40">
        <f ca="1">IF(IF(AND(ISNA(T8),ISNA(T$8)),T9*(1+$C$11),IF(AND(T$8&gt;0,ISNA(U$8)),T9*(1+$C$11),U$8))&gt;$C$21,$C$21,IF(AND(ISNA(U$8),ISNA(T$8)),T9*(1+$C$11),IF(AND(T$8&gt;0,ISNA(U$8)),T9*(1+$C$11),U$8)))</f>
        <v>2162.305429214221</v>
      </c>
      <c r="V9" s="40">
        <f t="shared" ca="1" si="72"/>
        <v>2508.3501980736569</v>
      </c>
      <c r="W9" s="40">
        <f t="shared" ca="1" si="72"/>
        <v>2909.7742766444394</v>
      </c>
      <c r="X9" s="40">
        <f t="shared" ca="1" si="72"/>
        <v>3375.440298377765</v>
      </c>
      <c r="Y9" s="40">
        <f ca="1">IF(IF(AND(ISNA(Y$8),ISNA(X$8)),X9*(1+$C$11),IF(AND(X$8&gt;0,ISNA(Y$8)),X9*(1+$C$11),Y$8))&gt;$C$21,$C$21,IF(AND(ISNA(Y$8),ISNA(X$8)),X9*(1+$C$11),IF(AND(X$8&gt;0,ISNA(Y$8)),X9*(1+$C$11),Y$8)))</f>
        <v>3915.6292291688364</v>
      </c>
      <c r="Z9" s="40">
        <f t="shared" ca="1" si="72"/>
        <v>4542.2673503335136</v>
      </c>
      <c r="AA9" s="40">
        <f t="shared" ca="1" si="72"/>
        <v>5269.1895668286752</v>
      </c>
      <c r="AB9" s="40">
        <f t="shared" ca="1" si="72"/>
        <v>6112.4448540303501</v>
      </c>
      <c r="AC9" s="40">
        <f t="shared" ca="1" si="72"/>
        <v>7090.6505867180003</v>
      </c>
      <c r="AD9" s="40">
        <f t="shared" ca="1" si="72"/>
        <v>8225.4035731337626</v>
      </c>
      <c r="AE9" s="40">
        <f t="shared" ca="1" si="72"/>
        <v>9541.7568689190921</v>
      </c>
      <c r="AF9" s="40">
        <f t="shared" ca="1" si="72"/>
        <v>11068.772898018153</v>
      </c>
      <c r="AG9" s="40">
        <f t="shared" ca="1" si="72"/>
        <v>12840.165092341136</v>
      </c>
      <c r="AH9" s="40">
        <f t="shared" ca="1" si="72"/>
        <v>14895.042216296222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17278.771809373575</v>
      </c>
      <c r="AJ9" s="40">
        <f t="shared" ca="1" si="72"/>
        <v>20043.981809850917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23251.722473450496</v>
      </c>
      <c r="AL9" s="40">
        <f t="shared" ca="1" si="72"/>
        <v>26972.814239766267</v>
      </c>
      <c r="AM9" s="40">
        <f t="shared" ca="1" si="72"/>
        <v>31289.411304631572</v>
      </c>
      <c r="AN9" s="40">
        <f t="shared" ca="1" si="72"/>
        <v>36296.815418949394</v>
      </c>
      <c r="AO9" s="40">
        <f t="shared" ca="1" si="72"/>
        <v>42105.579959002534</v>
      </c>
      <c r="AP9" s="40">
        <f t="shared" ca="1" si="72"/>
        <v>48843.950721869463</v>
      </c>
      <c r="AQ9" s="40">
        <f t="shared" ca="1" si="72"/>
        <v>56660.6973337823</v>
      </c>
      <c r="AR9" s="40">
        <f t="shared" ca="1" si="72"/>
        <v>65728.397783208799</v>
      </c>
      <c r="AS9" s="40">
        <f t="shared" ca="1" si="72"/>
        <v>76247.248594519508</v>
      </c>
      <c r="AT9" s="40">
        <f t="shared" ca="1" si="72"/>
        <v>88449.484763184504</v>
      </c>
      <c r="AU9" s="40">
        <f t="shared" ca="1" si="72"/>
        <v>102604.50703574804</v>
      </c>
      <c r="AV9" s="40">
        <f t="shared" ca="1" si="72"/>
        <v>119024.82973457442</v>
      </c>
      <c r="AW9" s="40">
        <f t="shared" ca="1" si="72"/>
        <v>138072.98044333074</v>
      </c>
      <c r="AX9" s="40">
        <f t="shared" ca="1" si="72"/>
        <v>160169.50388433639</v>
      </c>
      <c r="AY9" s="40">
        <f t="shared" ca="1" si="72"/>
        <v>185802.24669723649</v>
      </c>
      <c r="AZ9" s="40">
        <f t="shared" ca="1" si="72"/>
        <v>215537.12810817303</v>
      </c>
      <c r="BA9" s="40">
        <f t="shared" ca="1" si="72"/>
        <v>250030.6342840899</v>
      </c>
      <c r="BB9" s="40">
        <f t="shared" ca="1" si="72"/>
        <v>290044.31222229771</v>
      </c>
      <c r="BC9" s="40">
        <f t="shared" ca="1" si="72"/>
        <v>336461.58317112603</v>
      </c>
      <c r="BD9" s="40">
        <f t="shared" ca="1" si="72"/>
        <v>390307.24678805686</v>
      </c>
      <c r="BE9" s="40">
        <f t="shared" ca="1" si="72"/>
        <v>452770.10664778441</v>
      </c>
      <c r="BF9" s="40">
        <f t="shared" ca="1" si="72"/>
        <v>525229.21662575437</v>
      </c>
      <c r="BG9" s="40">
        <f t="shared" ca="1" si="72"/>
        <v>609284.32762435672</v>
      </c>
      <c r="BH9" s="40">
        <f t="shared" ca="1" si="72"/>
        <v>706791.20684403577</v>
      </c>
      <c r="BI9" s="40">
        <f t="shared" ca="1" si="72"/>
        <v>819902.6093775375</v>
      </c>
      <c r="BJ9" s="40">
        <f t="shared" ca="1" si="72"/>
        <v>951115.80669740122</v>
      </c>
      <c r="BK9" s="40">
        <f t="shared" ca="1" si="72"/>
        <v>1103327.7213697715</v>
      </c>
      <c r="BL9" s="40">
        <f t="shared" ca="1" si="72"/>
        <v>1279898.8852577319</v>
      </c>
      <c r="BM9" s="40">
        <f t="shared" ca="1" si="72"/>
        <v>1484727.6332822011</v>
      </c>
      <c r="BN9" s="40">
        <f t="shared" ca="1" si="72"/>
        <v>1722336.1707888865</v>
      </c>
      <c r="BO9" s="40">
        <f t="shared" ca="1" si="72"/>
        <v>1997970.4147150435</v>
      </c>
      <c r="BP9" s="40">
        <f t="shared" ca="1" si="72"/>
        <v>2317715.8128474932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2688631.6982273529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3118907.1449755668</v>
      </c>
      <c r="BS9" s="40">
        <f t="shared" ca="1" si="74"/>
        <v>3618041.7665212946</v>
      </c>
      <c r="BT9" s="40">
        <f t="shared" ca="1" si="74"/>
        <v>4197055.4478931362</v>
      </c>
      <c r="BU9" s="40">
        <f t="shared" ca="1" si="74"/>
        <v>4868731.6425388688</v>
      </c>
      <c r="BV9" s="40">
        <f t="shared" ca="1" si="74"/>
        <v>5647899.6051764311</v>
      </c>
      <c r="BW9" s="40">
        <f t="shared" ca="1" si="74"/>
        <v>6551761.7918078601</v>
      </c>
      <c r="BX9" s="40">
        <f t="shared" ca="1" si="74"/>
        <v>7600273.6552276975</v>
      </c>
      <c r="BY9" s="40">
        <f t="shared" ca="1" si="74"/>
        <v>7646480.4000000004</v>
      </c>
      <c r="BZ9" s="40">
        <f t="shared" ca="1" si="74"/>
        <v>7646480.4000000004</v>
      </c>
      <c r="CA9" s="40">
        <f t="shared" ca="1" si="74"/>
        <v>7646480.4000000004</v>
      </c>
      <c r="CB9" s="40">
        <f t="shared" ca="1" si="74"/>
        <v>7646480.4000000004</v>
      </c>
      <c r="CC9" s="40">
        <f t="shared" ca="1" si="74"/>
        <v>7646480.4000000004</v>
      </c>
      <c r="CD9" s="40">
        <f t="shared" ca="1" si="74"/>
        <v>7646480.4000000004</v>
      </c>
      <c r="CE9" s="40">
        <f t="shared" ca="1" si="74"/>
        <v>7646480.4000000004</v>
      </c>
      <c r="CF9" s="40">
        <f t="shared" ca="1" si="74"/>
        <v>7646480.4000000004</v>
      </c>
      <c r="CG9" s="40">
        <f t="shared" ca="1" si="74"/>
        <v>7646480.4000000004</v>
      </c>
      <c r="CH9" s="40">
        <f t="shared" ca="1" si="74"/>
        <v>7646480.4000000004</v>
      </c>
      <c r="CI9" s="40">
        <f t="shared" ca="1" si="74"/>
        <v>7646480.4000000004</v>
      </c>
      <c r="CJ9" s="40">
        <f t="shared" ca="1" si="74"/>
        <v>7646480.4000000004</v>
      </c>
      <c r="CK9" s="40">
        <f t="shared" ca="1" si="74"/>
        <v>7646480.4000000004</v>
      </c>
      <c r="CL9" s="40">
        <f t="shared" ca="1" si="74"/>
        <v>7646480.4000000004</v>
      </c>
      <c r="CM9" s="40">
        <f t="shared" ca="1" si="74"/>
        <v>7646480.4000000004</v>
      </c>
      <c r="CN9" s="40">
        <f t="shared" ca="1" si="74"/>
        <v>7646480.4000000004</v>
      </c>
      <c r="CO9" s="40">
        <f t="shared" ca="1" si="74"/>
        <v>7646480.4000000004</v>
      </c>
      <c r="CP9" s="40">
        <f t="shared" ca="1" si="74"/>
        <v>7646480.4000000004</v>
      </c>
      <c r="CQ9" s="40">
        <f t="shared" ca="1" si="74"/>
        <v>7646480.4000000004</v>
      </c>
      <c r="CR9" s="40">
        <f t="shared" ca="1" si="74"/>
        <v>7646480.4000000004</v>
      </c>
      <c r="CS9" s="40">
        <f t="shared" ca="1" si="74"/>
        <v>7646480.4000000004</v>
      </c>
      <c r="CT9" s="40">
        <f t="shared" ca="1" si="74"/>
        <v>7646480.4000000004</v>
      </c>
      <c r="CU9" s="40">
        <f t="shared" ca="1" si="74"/>
        <v>7646480.4000000004</v>
      </c>
      <c r="CV9" s="40">
        <f t="shared" ca="1" si="74"/>
        <v>7646480.4000000004</v>
      </c>
      <c r="CW9" s="40">
        <f t="shared" ca="1" si="74"/>
        <v>7646480.4000000004</v>
      </c>
      <c r="CX9" s="40">
        <f t="shared" ca="1" si="74"/>
        <v>7646480.4000000004</v>
      </c>
      <c r="CY9" s="40">
        <f t="shared" ca="1" si="74"/>
        <v>7646480.4000000004</v>
      </c>
      <c r="CZ9" s="40">
        <f t="shared" ca="1" si="74"/>
        <v>7646480.4000000004</v>
      </c>
      <c r="DA9" s="40">
        <f t="shared" ca="1" si="74"/>
        <v>7646480.4000000004</v>
      </c>
      <c r="DB9" s="40">
        <f t="shared" ca="1" si="74"/>
        <v>7646480.4000000004</v>
      </c>
      <c r="DC9" s="40">
        <f t="shared" ca="1" si="74"/>
        <v>7646480.4000000004</v>
      </c>
      <c r="DD9" s="40">
        <f t="shared" ca="1" si="74"/>
        <v>7646480.4000000004</v>
      </c>
      <c r="DE9" s="40">
        <f t="shared" ca="1" si="74"/>
        <v>7646480.4000000004</v>
      </c>
      <c r="DF9" s="40">
        <f t="shared" ca="1" si="74"/>
        <v>7646480.4000000004</v>
      </c>
      <c r="DG9" s="40">
        <f t="shared" ca="1" si="74"/>
        <v>7646480.4000000004</v>
      </c>
      <c r="DH9" s="40">
        <f t="shared" ca="1" si="74"/>
        <v>7646480.4000000004</v>
      </c>
      <c r="DI9" s="40">
        <f t="shared" ca="1" si="74"/>
        <v>7646480.4000000004</v>
      </c>
      <c r="DJ9" s="40">
        <f t="shared" ca="1" si="74"/>
        <v>7646480.4000000004</v>
      </c>
      <c r="DK9" s="40">
        <f t="shared" ca="1" si="74"/>
        <v>7646480.4000000004</v>
      </c>
      <c r="DL9" s="40">
        <f t="shared" ca="1" si="74"/>
        <v>7646480.4000000004</v>
      </c>
      <c r="DM9" s="40">
        <f t="shared" ca="1" si="74"/>
        <v>7646480.4000000004</v>
      </c>
      <c r="DN9" s="40">
        <f t="shared" ca="1" si="74"/>
        <v>7646480.4000000004</v>
      </c>
      <c r="DO9" s="40">
        <f t="shared" ca="1" si="74"/>
        <v>7646480.4000000004</v>
      </c>
      <c r="DP9" s="40">
        <f t="shared" ca="1" si="74"/>
        <v>7646480.4000000004</v>
      </c>
      <c r="DQ9" s="40">
        <f t="shared" ca="1" si="74"/>
        <v>7646480.4000000004</v>
      </c>
      <c r="DR9" s="40">
        <f t="shared" ca="1" si="74"/>
        <v>7646480.4000000004</v>
      </c>
      <c r="DS9" s="40">
        <f t="shared" ca="1" si="74"/>
        <v>7646480.4000000004</v>
      </c>
      <c r="DT9" s="40">
        <f t="shared" ca="1" si="74"/>
        <v>7646480.4000000004</v>
      </c>
      <c r="DU9" s="40">
        <f t="shared" ca="1" si="74"/>
        <v>7646480.4000000004</v>
      </c>
      <c r="DV9" s="40">
        <f t="shared" ca="1" si="74"/>
        <v>7646480.4000000004</v>
      </c>
      <c r="DW9" s="40">
        <f t="shared" ca="1" si="74"/>
        <v>7646480.4000000004</v>
      </c>
      <c r="DX9" s="40">
        <f t="shared" ca="1" si="74"/>
        <v>7646480.4000000004</v>
      </c>
      <c r="DY9" s="40">
        <f t="shared" ca="1" si="74"/>
        <v>7646480.4000000004</v>
      </c>
      <c r="DZ9" s="40">
        <f t="shared" ca="1" si="74"/>
        <v>7646480.4000000004</v>
      </c>
      <c r="EA9" s="40">
        <f t="shared" ca="1" si="74"/>
        <v>7646480.4000000004</v>
      </c>
      <c r="EB9" s="40">
        <f t="shared" ca="1" si="74"/>
        <v>7646480.4000000004</v>
      </c>
      <c r="EC9" s="40">
        <f t="shared" ca="1" si="74"/>
        <v>7646480.4000000004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7646480.4000000004</v>
      </c>
      <c r="EE9" s="40">
        <f t="shared" ca="1" si="75"/>
        <v>7646480.4000000004</v>
      </c>
      <c r="EF9" s="40">
        <f t="shared" ca="1" si="75"/>
        <v>7646480.4000000004</v>
      </c>
      <c r="EG9" s="40">
        <f t="shared" ca="1" si="75"/>
        <v>7646480.4000000004</v>
      </c>
      <c r="EH9" s="40">
        <f t="shared" ca="1" si="75"/>
        <v>7646480.4000000004</v>
      </c>
      <c r="EI9" s="40">
        <f t="shared" ca="1" si="75"/>
        <v>7646480.4000000004</v>
      </c>
      <c r="EJ9" s="40">
        <f t="shared" ca="1" si="75"/>
        <v>7646480.4000000004</v>
      </c>
      <c r="EK9" s="40">
        <f t="shared" ca="1" si="75"/>
        <v>7646480.4000000004</v>
      </c>
      <c r="EL9" s="40">
        <f t="shared" ca="1" si="75"/>
        <v>7646480.4000000004</v>
      </c>
      <c r="EM9" s="40">
        <f t="shared" ca="1" si="75"/>
        <v>7646480.4000000004</v>
      </c>
      <c r="EN9" s="40">
        <f t="shared" ca="1" si="75"/>
        <v>7646480.4000000004</v>
      </c>
      <c r="EO9" s="40">
        <f t="shared" ca="1" si="75"/>
        <v>7646480.4000000004</v>
      </c>
      <c r="EP9" s="40">
        <f t="shared" ca="1" si="75"/>
        <v>7646480.4000000004</v>
      </c>
      <c r="EQ9" s="40">
        <f t="shared" ca="1" si="75"/>
        <v>7646480.4000000004</v>
      </c>
      <c r="ER9" s="40">
        <f t="shared" ca="1" si="75"/>
        <v>7646480.4000000004</v>
      </c>
      <c r="ES9" s="40">
        <f t="shared" ca="1" si="75"/>
        <v>7646480.4000000004</v>
      </c>
      <c r="ET9" s="40">
        <f t="shared" ca="1" si="75"/>
        <v>7646480.4000000004</v>
      </c>
      <c r="EU9" s="40">
        <f t="shared" ca="1" si="75"/>
        <v>7646480.4000000004</v>
      </c>
      <c r="EV9" s="40">
        <f t="shared" ca="1" si="75"/>
        <v>7646480.4000000004</v>
      </c>
      <c r="EW9" s="40">
        <f t="shared" ca="1" si="75"/>
        <v>7646480.4000000004</v>
      </c>
      <c r="EX9" s="40">
        <f t="shared" ca="1" si="75"/>
        <v>7646480.4000000004</v>
      </c>
      <c r="EY9" s="40">
        <f t="shared" ca="1" si="75"/>
        <v>7646480.4000000004</v>
      </c>
      <c r="EZ9" s="40">
        <f t="shared" ca="1" si="75"/>
        <v>7646480.4000000004</v>
      </c>
      <c r="FA9" s="40">
        <f t="shared" ca="1" si="75"/>
        <v>7646480.4000000004</v>
      </c>
      <c r="FB9" s="40">
        <f t="shared" ca="1" si="75"/>
        <v>7646480.4000000004</v>
      </c>
      <c r="FC9" s="40">
        <f t="shared" ca="1" si="75"/>
        <v>7646480.4000000004</v>
      </c>
      <c r="FD9" s="40">
        <f t="shared" ca="1" si="75"/>
        <v>7646480.4000000004</v>
      </c>
      <c r="FE9" s="40">
        <f t="shared" ca="1" si="75"/>
        <v>7646480.4000000004</v>
      </c>
      <c r="FF9" s="40">
        <f t="shared" ca="1" si="75"/>
        <v>7646480.4000000004</v>
      </c>
      <c r="FG9" s="40">
        <f t="shared" ca="1" si="75"/>
        <v>7646480.4000000004</v>
      </c>
      <c r="FH9" s="40">
        <f t="shared" ca="1" si="75"/>
        <v>7646480.4000000004</v>
      </c>
      <c r="FI9" s="40">
        <f t="shared" ca="1" si="75"/>
        <v>7646480.4000000004</v>
      </c>
      <c r="FJ9" s="40">
        <f t="shared" ca="1" si="75"/>
        <v>7646480.4000000004</v>
      </c>
      <c r="FK9" s="40">
        <f t="shared" ca="1" si="75"/>
        <v>7646480.4000000004</v>
      </c>
      <c r="FL9" s="40">
        <f t="shared" ca="1" si="75"/>
        <v>7646480.4000000004</v>
      </c>
      <c r="FM9" s="40">
        <f t="shared" ca="1" si="75"/>
        <v>7646480.4000000004</v>
      </c>
      <c r="FN9" s="40">
        <f t="shared" ca="1" si="75"/>
        <v>7646480.4000000004</v>
      </c>
      <c r="FO9" s="40">
        <f t="shared" ca="1" si="75"/>
        <v>7646480.4000000004</v>
      </c>
      <c r="FP9" s="40">
        <f t="shared" ca="1" si="75"/>
        <v>7646480.4000000004</v>
      </c>
      <c r="FQ9" s="40">
        <f t="shared" ca="1" si="75"/>
        <v>7646480.4000000004</v>
      </c>
      <c r="FR9" s="40">
        <f t="shared" ca="1" si="75"/>
        <v>7646480.4000000004</v>
      </c>
      <c r="FS9" s="40">
        <f t="shared" ca="1" si="75"/>
        <v>7646480.4000000004</v>
      </c>
      <c r="FT9" s="40">
        <f t="shared" ca="1" si="75"/>
        <v>7646480.4000000004</v>
      </c>
      <c r="FU9" s="40">
        <f t="shared" ca="1" si="75"/>
        <v>7646480.4000000004</v>
      </c>
      <c r="FV9" s="40">
        <f t="shared" ca="1" si="75"/>
        <v>7646480.4000000004</v>
      </c>
      <c r="FW9" s="40">
        <f t="shared" ca="1" si="75"/>
        <v>7646480.4000000004</v>
      </c>
      <c r="FX9" s="40">
        <f t="shared" ca="1" si="75"/>
        <v>7646480.4000000004</v>
      </c>
      <c r="FY9" s="40">
        <f t="shared" ca="1" si="75"/>
        <v>7646480.4000000004</v>
      </c>
      <c r="FZ9" s="40">
        <f t="shared" ca="1" si="75"/>
        <v>7646480.4000000004</v>
      </c>
      <c r="GA9" s="40">
        <f t="shared" ca="1" si="75"/>
        <v>7646480.4000000004</v>
      </c>
      <c r="GB9" s="40">
        <f t="shared" ca="1" si="75"/>
        <v>7646480.4000000004</v>
      </c>
      <c r="GC9" s="40">
        <f t="shared" ca="1" si="75"/>
        <v>7646480.4000000004</v>
      </c>
      <c r="GD9" s="40">
        <f t="shared" ca="1" si="75"/>
        <v>7646480.4000000004</v>
      </c>
      <c r="GE9" s="40">
        <f t="shared" ca="1" si="75"/>
        <v>7646480.4000000004</v>
      </c>
      <c r="GF9" s="40">
        <f t="shared" ca="1" si="75"/>
        <v>7646480.4000000004</v>
      </c>
      <c r="GG9" s="40">
        <f t="shared" ca="1" si="75"/>
        <v>7646480.4000000004</v>
      </c>
      <c r="GH9" s="40">
        <f t="shared" ca="1" si="75"/>
        <v>7646480.4000000004</v>
      </c>
      <c r="GI9" s="40">
        <f t="shared" ca="1" si="75"/>
        <v>7646480.4000000004</v>
      </c>
      <c r="GJ9" s="40">
        <f t="shared" ca="1" si="75"/>
        <v>7646480.4000000004</v>
      </c>
      <c r="GK9" s="40">
        <f t="shared" ca="1" si="75"/>
        <v>7646480.4000000004</v>
      </c>
      <c r="GL9" s="40">
        <f t="shared" ca="1" si="75"/>
        <v>7646480.4000000004</v>
      </c>
      <c r="GM9" s="40">
        <f t="shared" ca="1" si="75"/>
        <v>7646480.4000000004</v>
      </c>
      <c r="GN9" s="40">
        <f t="shared" ca="1" si="75"/>
        <v>7646480.4000000004</v>
      </c>
      <c r="GO9" s="40">
        <f t="shared" ca="1" si="75"/>
        <v>7646480.4000000004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7646480.4000000004</v>
      </c>
      <c r="GQ9" s="40">
        <f t="shared" ca="1" si="76"/>
        <v>7646480.4000000004</v>
      </c>
      <c r="GR9" s="40">
        <f t="shared" ca="1" si="76"/>
        <v>7646480.4000000004</v>
      </c>
      <c r="GS9" s="40">
        <f t="shared" ca="1" si="76"/>
        <v>7646480.4000000004</v>
      </c>
      <c r="GT9" s="40">
        <f t="shared" ca="1" si="76"/>
        <v>7646480.4000000004</v>
      </c>
      <c r="GU9" s="40">
        <f t="shared" ca="1" si="76"/>
        <v>7646480.4000000004</v>
      </c>
      <c r="GV9" s="40">
        <f t="shared" ca="1" si="76"/>
        <v>7646480.4000000004</v>
      </c>
      <c r="GW9" s="40">
        <f t="shared" ca="1" si="76"/>
        <v>7646480.4000000004</v>
      </c>
      <c r="GX9" s="40">
        <f t="shared" ca="1" si="76"/>
        <v>7646480.4000000004</v>
      </c>
      <c r="GY9" s="40">
        <f t="shared" ca="1" si="76"/>
        <v>7646480.4000000004</v>
      </c>
      <c r="GZ9" s="40">
        <f t="shared" ca="1" si="76"/>
        <v>7646480.4000000004</v>
      </c>
      <c r="HA9" s="40">
        <f t="shared" ca="1" si="76"/>
        <v>7646480.4000000004</v>
      </c>
      <c r="HB9" s="40">
        <f t="shared" ca="1" si="76"/>
        <v>7646480.4000000004</v>
      </c>
      <c r="HC9" s="40">
        <f t="shared" ca="1" si="76"/>
        <v>7646480.4000000004</v>
      </c>
      <c r="HD9" s="40">
        <f t="shared" ca="1" si="76"/>
        <v>7646480.4000000004</v>
      </c>
      <c r="HE9" s="40">
        <f t="shared" ca="1" si="76"/>
        <v>7646480.4000000004</v>
      </c>
      <c r="HF9" s="40">
        <f t="shared" ca="1" si="76"/>
        <v>7646480.4000000004</v>
      </c>
      <c r="HG9" s="40">
        <f t="shared" ca="1" si="76"/>
        <v>7646480.4000000004</v>
      </c>
      <c r="HH9" s="40">
        <f t="shared" ca="1" si="76"/>
        <v>7646480.4000000004</v>
      </c>
      <c r="HI9" s="40">
        <f t="shared" ca="1" si="76"/>
        <v>7646480.4000000004</v>
      </c>
      <c r="HJ9" s="40">
        <f t="shared" ca="1" si="76"/>
        <v>7646480.4000000004</v>
      </c>
      <c r="HK9" s="40">
        <f t="shared" ca="1" si="76"/>
        <v>7646480.4000000004</v>
      </c>
      <c r="HL9" s="40">
        <f t="shared" ca="1" si="76"/>
        <v>7646480.4000000004</v>
      </c>
      <c r="HM9" s="40">
        <f t="shared" ca="1" si="76"/>
        <v>7646480.4000000004</v>
      </c>
      <c r="HN9" s="40">
        <f t="shared" ca="1" si="76"/>
        <v>7646480.4000000004</v>
      </c>
      <c r="HO9" s="40">
        <f t="shared" ca="1" si="76"/>
        <v>7646480.4000000004</v>
      </c>
      <c r="HP9" s="40">
        <f t="shared" ca="1" si="76"/>
        <v>7646480.4000000004</v>
      </c>
      <c r="HQ9" s="40">
        <f t="shared" ca="1" si="76"/>
        <v>7646480.4000000004</v>
      </c>
      <c r="HR9" s="40">
        <f t="shared" ca="1" si="76"/>
        <v>7646480.4000000004</v>
      </c>
      <c r="HS9" s="40">
        <f t="shared" ca="1" si="76"/>
        <v>7646480.4000000004</v>
      </c>
      <c r="HT9" s="40">
        <f t="shared" ca="1" si="76"/>
        <v>7646480.4000000004</v>
      </c>
      <c r="HU9" s="40">
        <f t="shared" ca="1" si="76"/>
        <v>7646480.4000000004</v>
      </c>
      <c r="HV9" s="40">
        <f t="shared" ca="1" si="76"/>
        <v>7646480.4000000004</v>
      </c>
      <c r="HW9" s="40">
        <f t="shared" ca="1" si="76"/>
        <v>7646480.4000000004</v>
      </c>
      <c r="HX9" s="40">
        <f t="shared" ca="1" si="76"/>
        <v>7646480.4000000004</v>
      </c>
      <c r="HY9" s="40">
        <f t="shared" ca="1" si="76"/>
        <v>7646480.4000000004</v>
      </c>
      <c r="HZ9" s="40">
        <f t="shared" ca="1" si="76"/>
        <v>7646480.4000000004</v>
      </c>
      <c r="IA9" s="40">
        <f t="shared" ca="1" si="76"/>
        <v>7646480.4000000004</v>
      </c>
      <c r="IB9" s="40">
        <f t="shared" ca="1" si="76"/>
        <v>7646480.4000000004</v>
      </c>
      <c r="IC9" s="40">
        <f t="shared" ca="1" si="76"/>
        <v>7646480.4000000004</v>
      </c>
      <c r="ID9" s="40">
        <f t="shared" ca="1" si="76"/>
        <v>7646480.4000000004</v>
      </c>
      <c r="IE9" s="40">
        <f t="shared" ca="1" si="76"/>
        <v>7646480.4000000004</v>
      </c>
      <c r="IF9" s="40">
        <f t="shared" ca="1" si="76"/>
        <v>7646480.4000000004</v>
      </c>
      <c r="IG9" s="40">
        <f t="shared" ca="1" si="76"/>
        <v>7646480.4000000004</v>
      </c>
      <c r="IH9" s="40">
        <f t="shared" ca="1" si="76"/>
        <v>7646480.4000000004</v>
      </c>
      <c r="II9" s="40">
        <f t="shared" ca="1" si="76"/>
        <v>7646480.4000000004</v>
      </c>
      <c r="IJ9" s="40">
        <f t="shared" ca="1" si="76"/>
        <v>7646480.4000000004</v>
      </c>
      <c r="IK9" s="40">
        <f t="shared" ca="1" si="76"/>
        <v>7646480.4000000004</v>
      </c>
      <c r="IL9" s="40">
        <f t="shared" ca="1" si="76"/>
        <v>7646480.4000000004</v>
      </c>
      <c r="IM9" s="40">
        <f t="shared" ca="1" si="76"/>
        <v>7646480.4000000004</v>
      </c>
      <c r="IN9" s="40">
        <f t="shared" ca="1" si="76"/>
        <v>7646480.4000000004</v>
      </c>
    </row>
    <row r="10" spans="2:248" x14ac:dyDescent="0.3">
      <c r="B10" s="19" t="s">
        <v>451</v>
      </c>
      <c r="C10" s="19">
        <v>5</v>
      </c>
      <c r="E10" s="19">
        <v>0.1</v>
      </c>
      <c r="F10" s="19" t="s">
        <v>492</v>
      </c>
      <c r="G10" s="40">
        <f>IF(IF(AND(ISNA(G$8),ISNA(F$8)),F10*(1+$E$10),IF(AND(F$8&gt;0,ISNA(G$8)),F10*(1+$E$10),G$8))&gt;$C$21,$C$21,IF(AND(ISNA(G$8),ISNA(F$8)),F10*(1+$E$10),IF(AND(F$8&gt;0,ISNA(G$8)),F10*(1+$E$10),G$8)))</f>
        <v>155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201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238</v>
      </c>
      <c r="J10" s="40">
        <f t="shared" ca="1" si="78"/>
        <v>238</v>
      </c>
      <c r="K10" s="40">
        <f t="shared" ca="1" si="78"/>
        <v>434</v>
      </c>
      <c r="L10" s="40">
        <f t="shared" ca="1" si="78"/>
        <v>537</v>
      </c>
      <c r="M10" s="40">
        <f t="shared" ca="1" si="78"/>
        <v>632</v>
      </c>
      <c r="N10" s="40">
        <f t="shared" ca="1" si="78"/>
        <v>746</v>
      </c>
      <c r="O10" s="40">
        <f t="shared" ca="1" si="78"/>
        <v>922</v>
      </c>
      <c r="P10" s="40">
        <f t="shared" ca="1" si="78"/>
        <v>1142</v>
      </c>
      <c r="Q10" s="40">
        <f t="shared" ca="1" si="78"/>
        <v>1306</v>
      </c>
      <c r="R10" s="40">
        <f t="shared" ca="1" si="78"/>
        <v>1300</v>
      </c>
      <c r="S10" s="40">
        <f t="shared" ca="1" si="78"/>
        <v>1662</v>
      </c>
      <c r="T10" s="40">
        <f t="shared" ca="1" si="78"/>
        <v>1864</v>
      </c>
      <c r="U10" s="40">
        <f t="shared" ca="1" si="78"/>
        <v>2050.4</v>
      </c>
      <c r="V10" s="40">
        <f t="shared" ca="1" si="78"/>
        <v>2255.4400000000005</v>
      </c>
      <c r="W10" s="40">
        <f t="shared" ca="1" si="78"/>
        <v>2480.9840000000008</v>
      </c>
      <c r="X10" s="40">
        <f t="shared" ca="1" si="78"/>
        <v>2729.0824000000011</v>
      </c>
      <c r="Y10" s="40">
        <f t="shared" ca="1" si="78"/>
        <v>3001.9906400000013</v>
      </c>
      <c r="Z10" s="40">
        <f t="shared" ca="1" si="78"/>
        <v>3302.1897040000017</v>
      </c>
      <c r="AA10" s="40">
        <f t="shared" ca="1" si="78"/>
        <v>3632.4086744000024</v>
      </c>
      <c r="AB10" s="40">
        <f t="shared" ca="1" si="78"/>
        <v>3995.6495418400032</v>
      </c>
      <c r="AC10" s="40">
        <f t="shared" ca="1" si="78"/>
        <v>4395.2144960240039</v>
      </c>
      <c r="AD10" s="40">
        <f t="shared" ca="1" si="78"/>
        <v>4834.7359456264048</v>
      </c>
      <c r="AE10" s="40">
        <f t="shared" ca="1" si="78"/>
        <v>5318.2095401890456</v>
      </c>
      <c r="AF10" s="40">
        <f t="shared" ca="1" si="78"/>
        <v>5850.0304942079511</v>
      </c>
      <c r="AG10" s="40">
        <f t="shared" ca="1" si="78"/>
        <v>6435.0335436287469</v>
      </c>
      <c r="AH10" s="40">
        <f t="shared" ca="1" si="78"/>
        <v>7078.536897991622</v>
      </c>
      <c r="AI10" s="40">
        <f t="shared" ca="1" si="78"/>
        <v>7786.3905877907846</v>
      </c>
      <c r="AJ10" s="40">
        <f t="shared" ca="1" si="78"/>
        <v>8565.029646569863</v>
      </c>
      <c r="AK10" s="40">
        <f t="shared" ca="1" si="78"/>
        <v>9421.5326112268503</v>
      </c>
      <c r="AL10" s="40">
        <f t="shared" ca="1" si="78"/>
        <v>10363.685872349537</v>
      </c>
      <c r="AM10" s="40">
        <f t="shared" ca="1" si="78"/>
        <v>11400.054459584491</v>
      </c>
      <c r="AN10" s="40">
        <f t="shared" ca="1" si="78"/>
        <v>12540.059905542941</v>
      </c>
      <c r="AO10" s="40">
        <f t="shared" ca="1" si="78"/>
        <v>13794.065896097236</v>
      </c>
      <c r="AP10" s="40">
        <f t="shared" ca="1" si="78"/>
        <v>15173.472485706961</v>
      </c>
      <c r="AQ10" s="40">
        <f t="shared" ca="1" si="78"/>
        <v>16690.819734277658</v>
      </c>
      <c r="AR10" s="40">
        <f t="shared" ca="1" si="78"/>
        <v>18359.901707705427</v>
      </c>
      <c r="AS10" s="40">
        <f t="shared" ca="1" si="78"/>
        <v>20195.89187847597</v>
      </c>
      <c r="AT10" s="40">
        <f t="shared" ca="1" si="78"/>
        <v>22215.481066323569</v>
      </c>
      <c r="AU10" s="40">
        <f t="shared" ca="1" si="78"/>
        <v>24437.029172955929</v>
      </c>
      <c r="AV10" s="40">
        <f t="shared" ca="1" si="78"/>
        <v>26880.732090251524</v>
      </c>
      <c r="AW10" s="40">
        <f t="shared" ca="1" si="78"/>
        <v>29568.805299276679</v>
      </c>
      <c r="AX10" s="40">
        <f t="shared" ca="1" si="78"/>
        <v>32525.685829204351</v>
      </c>
      <c r="AY10" s="40">
        <f t="shared" ca="1" si="78"/>
        <v>35778.254412124792</v>
      </c>
      <c r="AZ10" s="40">
        <f t="shared" ca="1" si="78"/>
        <v>39356.079853337273</v>
      </c>
      <c r="BA10" s="40">
        <f t="shared" ca="1" si="78"/>
        <v>43291.687838671001</v>
      </c>
      <c r="BB10" s="40">
        <f t="shared" ca="1" si="78"/>
        <v>47620.856622538107</v>
      </c>
      <c r="BC10" s="40">
        <f t="shared" ca="1" si="78"/>
        <v>52382.94228479192</v>
      </c>
      <c r="BD10" s="40">
        <f t="shared" ca="1" si="78"/>
        <v>57621.236513271113</v>
      </c>
      <c r="BE10" s="40">
        <f t="shared" ca="1" si="78"/>
        <v>63383.360164598227</v>
      </c>
      <c r="BF10" s="40">
        <f t="shared" ca="1" si="78"/>
        <v>69721.696181058054</v>
      </c>
      <c r="BG10" s="40">
        <f t="shared" ca="1" si="78"/>
        <v>76693.865799163861</v>
      </c>
      <c r="BH10" s="40">
        <f t="shared" ca="1" si="78"/>
        <v>84363.252379080252</v>
      </c>
      <c r="BI10" s="40">
        <f t="shared" ca="1" si="78"/>
        <v>92799.577616988288</v>
      </c>
      <c r="BJ10" s="40">
        <f t="shared" ca="1" si="78"/>
        <v>102079.53537868713</v>
      </c>
      <c r="BK10" s="40">
        <f t="shared" ca="1" si="78"/>
        <v>112287.48891655586</v>
      </c>
      <c r="BL10" s="40">
        <f t="shared" ca="1" si="78"/>
        <v>123516.23780821144</v>
      </c>
      <c r="BM10" s="40">
        <f t="shared" ca="1" si="78"/>
        <v>135867.8615890326</v>
      </c>
      <c r="BN10" s="40">
        <f t="shared" ca="1" si="78"/>
        <v>149454.64774793587</v>
      </c>
      <c r="BO10" s="40">
        <f t="shared" ca="1" si="78"/>
        <v>164400.11252272947</v>
      </c>
      <c r="BP10" s="40">
        <f t="shared" ca="1" si="78"/>
        <v>180840.12377500243</v>
      </c>
      <c r="BQ10" s="40">
        <f t="shared" ca="1" si="78"/>
        <v>198924.1361525027</v>
      </c>
      <c r="BR10" s="40">
        <f t="shared" ca="1" si="78"/>
        <v>218816.54976775299</v>
      </c>
      <c r="BS10" s="40">
        <f t="shared" ca="1" si="78"/>
        <v>240698.20474452831</v>
      </c>
      <c r="BT10" s="40">
        <f t="shared" ca="1" si="78"/>
        <v>264768.02521898114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291244.82774087926</v>
      </c>
      <c r="BV10" s="40">
        <f t="shared" ca="1" si="79"/>
        <v>320369.31051496719</v>
      </c>
      <c r="BW10" s="40">
        <f t="shared" ca="1" si="79"/>
        <v>352406.24156646396</v>
      </c>
      <c r="BX10" s="40">
        <f t="shared" ca="1" si="79"/>
        <v>387646.86572311039</v>
      </c>
      <c r="BY10" s="40">
        <f t="shared" ca="1" si="79"/>
        <v>426411.55229542148</v>
      </c>
      <c r="BZ10" s="40">
        <f t="shared" ca="1" si="79"/>
        <v>469052.70752496365</v>
      </c>
      <c r="CA10" s="40">
        <f t="shared" ca="1" si="79"/>
        <v>515957.97827746009</v>
      </c>
      <c r="CB10" s="40">
        <f t="shared" ca="1" si="79"/>
        <v>567553.77610520611</v>
      </c>
      <c r="CC10" s="40">
        <f t="shared" ca="1" si="79"/>
        <v>624309.1537157268</v>
      </c>
      <c r="CD10" s="40">
        <f t="shared" ca="1" si="79"/>
        <v>686740.06908729952</v>
      </c>
      <c r="CE10" s="40">
        <f t="shared" ca="1" si="79"/>
        <v>755414.07599602954</v>
      </c>
      <c r="CF10" s="40">
        <f t="shared" ca="1" si="79"/>
        <v>830955.4835956326</v>
      </c>
      <c r="CG10" s="40">
        <f t="shared" ca="1" si="79"/>
        <v>914051.03195519594</v>
      </c>
      <c r="CH10" s="40">
        <f t="shared" ca="1" si="79"/>
        <v>1005456.1351507156</v>
      </c>
      <c r="CI10" s="40">
        <f t="shared" ca="1" si="79"/>
        <v>1106001.7486657873</v>
      </c>
      <c r="CJ10" s="40">
        <f t="shared" ca="1" si="79"/>
        <v>1216601.9235323661</v>
      </c>
      <c r="CK10" s="40">
        <f t="shared" ca="1" si="79"/>
        <v>1338262.1158856028</v>
      </c>
      <c r="CL10" s="40">
        <f t="shared" ca="1" si="79"/>
        <v>1472088.3274741631</v>
      </c>
      <c r="CM10" s="40">
        <f t="shared" ca="1" si="79"/>
        <v>1619297.1602215795</v>
      </c>
      <c r="CN10" s="40">
        <f t="shared" ca="1" si="79"/>
        <v>1781226.8762437375</v>
      </c>
      <c r="CO10" s="40">
        <f t="shared" ca="1" si="79"/>
        <v>1959349.5638681115</v>
      </c>
      <c r="CP10" s="40">
        <f t="shared" ca="1" si="79"/>
        <v>2155284.5202549226</v>
      </c>
      <c r="CQ10" s="40">
        <f t="shared" ca="1" si="79"/>
        <v>2370812.9722804152</v>
      </c>
      <c r="CR10" s="40">
        <f t="shared" ca="1" si="79"/>
        <v>2607894.2695084568</v>
      </c>
      <c r="CS10" s="40">
        <f t="shared" ca="1" si="79"/>
        <v>2868683.6964593027</v>
      </c>
      <c r="CT10" s="40">
        <f t="shared" ca="1" si="79"/>
        <v>3155552.066105233</v>
      </c>
      <c r="CU10" s="40">
        <f t="shared" ca="1" si="79"/>
        <v>3471107.2727157567</v>
      </c>
      <c r="CV10" s="40">
        <f t="shared" ca="1" si="79"/>
        <v>3818217.9999873326</v>
      </c>
      <c r="CW10" s="40">
        <f t="shared" ca="1" si="79"/>
        <v>4200039.7999860663</v>
      </c>
      <c r="CX10" s="40">
        <f t="shared" ca="1" si="79"/>
        <v>4620043.7799846735</v>
      </c>
      <c r="CY10" s="40">
        <f t="shared" ca="1" si="79"/>
        <v>5082048.157983141</v>
      </c>
      <c r="CZ10" s="40">
        <f t="shared" ca="1" si="79"/>
        <v>5590252.9737814553</v>
      </c>
      <c r="DA10" s="40">
        <f t="shared" ca="1" si="79"/>
        <v>6149278.2711596014</v>
      </c>
      <c r="DB10" s="40">
        <f t="shared" ca="1" si="79"/>
        <v>6764206.0982755618</v>
      </c>
      <c r="DC10" s="40">
        <f t="shared" ca="1" si="79"/>
        <v>7440626.7081031185</v>
      </c>
      <c r="DD10" s="40">
        <f t="shared" ca="1" si="79"/>
        <v>7646480.4000000004</v>
      </c>
      <c r="DE10" s="40">
        <f t="shared" ca="1" si="79"/>
        <v>7646480.4000000004</v>
      </c>
      <c r="DF10" s="40">
        <f t="shared" ca="1" si="79"/>
        <v>7646480.4000000004</v>
      </c>
      <c r="DG10" s="40">
        <f t="shared" ca="1" si="79"/>
        <v>7646480.4000000004</v>
      </c>
      <c r="DH10" s="40">
        <f t="shared" ca="1" si="79"/>
        <v>7646480.4000000004</v>
      </c>
      <c r="DI10" s="40">
        <f t="shared" ca="1" si="79"/>
        <v>7646480.4000000004</v>
      </c>
      <c r="DJ10" s="40">
        <f t="shared" ca="1" si="79"/>
        <v>7646480.4000000004</v>
      </c>
      <c r="DK10" s="40">
        <f t="shared" ca="1" si="79"/>
        <v>7646480.4000000004</v>
      </c>
      <c r="DL10" s="40">
        <f t="shared" ca="1" si="79"/>
        <v>7646480.4000000004</v>
      </c>
      <c r="DM10" s="40">
        <f t="shared" ca="1" si="79"/>
        <v>7646480.4000000004</v>
      </c>
      <c r="DN10" s="40">
        <f t="shared" ca="1" si="79"/>
        <v>7646480.4000000004</v>
      </c>
      <c r="DO10" s="40">
        <f t="shared" ca="1" si="79"/>
        <v>7646480.4000000004</v>
      </c>
      <c r="DP10" s="40">
        <f t="shared" ca="1" si="79"/>
        <v>7646480.4000000004</v>
      </c>
      <c r="DQ10" s="40">
        <f t="shared" ca="1" si="79"/>
        <v>7646480.4000000004</v>
      </c>
      <c r="DR10" s="40">
        <f t="shared" ca="1" si="79"/>
        <v>7646480.4000000004</v>
      </c>
      <c r="DS10" s="40">
        <f t="shared" ca="1" si="79"/>
        <v>7646480.4000000004</v>
      </c>
      <c r="DT10" s="40">
        <f t="shared" ca="1" si="79"/>
        <v>7646480.4000000004</v>
      </c>
      <c r="DU10" s="40">
        <f t="shared" ca="1" si="79"/>
        <v>7646480.4000000004</v>
      </c>
      <c r="DV10" s="40">
        <f t="shared" ca="1" si="79"/>
        <v>7646480.4000000004</v>
      </c>
      <c r="DW10" s="40">
        <f t="shared" ca="1" si="79"/>
        <v>7646480.4000000004</v>
      </c>
      <c r="DX10" s="40">
        <f t="shared" ca="1" si="79"/>
        <v>7646480.4000000004</v>
      </c>
      <c r="DY10" s="40">
        <f t="shared" ca="1" si="79"/>
        <v>7646480.4000000004</v>
      </c>
      <c r="DZ10" s="40">
        <f t="shared" ca="1" si="79"/>
        <v>7646480.4000000004</v>
      </c>
      <c r="EA10" s="40">
        <f t="shared" ca="1" si="79"/>
        <v>7646480.4000000004</v>
      </c>
      <c r="EB10" s="40">
        <f t="shared" ca="1" si="79"/>
        <v>7646480.4000000004</v>
      </c>
      <c r="EC10" s="40">
        <f t="shared" ca="1" si="79"/>
        <v>7646480.4000000004</v>
      </c>
      <c r="ED10" s="40">
        <f t="shared" ca="1" si="79"/>
        <v>7646480.4000000004</v>
      </c>
      <c r="EE10" s="40">
        <f t="shared" ca="1" si="79"/>
        <v>7646480.4000000004</v>
      </c>
      <c r="EF10" s="40">
        <f t="shared" ca="1" si="79"/>
        <v>7646480.4000000004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7646480.4000000004</v>
      </c>
      <c r="EH10" s="40">
        <f t="shared" ca="1" si="80"/>
        <v>7646480.4000000004</v>
      </c>
      <c r="EI10" s="40">
        <f t="shared" ca="1" si="80"/>
        <v>7646480.4000000004</v>
      </c>
      <c r="EJ10" s="40">
        <f t="shared" ca="1" si="80"/>
        <v>7646480.4000000004</v>
      </c>
      <c r="EK10" s="40">
        <f t="shared" ca="1" si="80"/>
        <v>7646480.4000000004</v>
      </c>
      <c r="EL10" s="40">
        <f t="shared" ca="1" si="80"/>
        <v>7646480.4000000004</v>
      </c>
      <c r="EM10" s="40">
        <f t="shared" ca="1" si="80"/>
        <v>7646480.4000000004</v>
      </c>
      <c r="EN10" s="40">
        <f t="shared" ca="1" si="80"/>
        <v>7646480.4000000004</v>
      </c>
      <c r="EO10" s="40">
        <f t="shared" ca="1" si="80"/>
        <v>7646480.4000000004</v>
      </c>
      <c r="EP10" s="40">
        <f t="shared" ca="1" si="80"/>
        <v>7646480.4000000004</v>
      </c>
      <c r="EQ10" s="40">
        <f t="shared" ca="1" si="80"/>
        <v>7646480.4000000004</v>
      </c>
      <c r="ER10" s="40">
        <f t="shared" ca="1" si="80"/>
        <v>7646480.4000000004</v>
      </c>
      <c r="ES10" s="40">
        <f t="shared" ca="1" si="80"/>
        <v>7646480.4000000004</v>
      </c>
      <c r="ET10" s="40">
        <f t="shared" ca="1" si="80"/>
        <v>7646480.4000000004</v>
      </c>
      <c r="EU10" s="40">
        <f t="shared" ca="1" si="80"/>
        <v>7646480.4000000004</v>
      </c>
      <c r="EV10" s="40">
        <f t="shared" ca="1" si="80"/>
        <v>7646480.4000000004</v>
      </c>
      <c r="EW10" s="40">
        <f t="shared" ca="1" si="80"/>
        <v>7646480.4000000004</v>
      </c>
      <c r="EX10" s="40">
        <f t="shared" ca="1" si="80"/>
        <v>7646480.4000000004</v>
      </c>
      <c r="EY10" s="40">
        <f t="shared" ca="1" si="80"/>
        <v>7646480.4000000004</v>
      </c>
      <c r="EZ10" s="40">
        <f t="shared" ca="1" si="80"/>
        <v>7646480.4000000004</v>
      </c>
      <c r="FA10" s="40">
        <f t="shared" ca="1" si="80"/>
        <v>7646480.4000000004</v>
      </c>
      <c r="FB10" s="40">
        <f t="shared" ca="1" si="80"/>
        <v>7646480.4000000004</v>
      </c>
      <c r="FC10" s="40">
        <f t="shared" ca="1" si="80"/>
        <v>7646480.4000000004</v>
      </c>
      <c r="FD10" s="40">
        <f t="shared" ca="1" si="80"/>
        <v>7646480.4000000004</v>
      </c>
      <c r="FE10" s="40">
        <f t="shared" ca="1" si="80"/>
        <v>7646480.4000000004</v>
      </c>
      <c r="FF10" s="40">
        <f t="shared" ca="1" si="80"/>
        <v>7646480.4000000004</v>
      </c>
      <c r="FG10" s="40">
        <f t="shared" ca="1" si="80"/>
        <v>7646480.4000000004</v>
      </c>
      <c r="FH10" s="40">
        <f t="shared" ca="1" si="80"/>
        <v>7646480.4000000004</v>
      </c>
      <c r="FI10" s="40">
        <f t="shared" ca="1" si="80"/>
        <v>7646480.4000000004</v>
      </c>
      <c r="FJ10" s="40">
        <f t="shared" ca="1" si="80"/>
        <v>7646480.4000000004</v>
      </c>
      <c r="FK10" s="40">
        <f t="shared" ca="1" si="80"/>
        <v>7646480.4000000004</v>
      </c>
      <c r="FL10" s="40">
        <f t="shared" ca="1" si="80"/>
        <v>7646480.4000000004</v>
      </c>
      <c r="FM10" s="40">
        <f t="shared" ca="1" si="80"/>
        <v>7646480.4000000004</v>
      </c>
      <c r="FN10" s="40">
        <f t="shared" ca="1" si="80"/>
        <v>7646480.4000000004</v>
      </c>
      <c r="FO10" s="40">
        <f t="shared" ca="1" si="80"/>
        <v>7646480.4000000004</v>
      </c>
      <c r="FP10" s="40">
        <f t="shared" ca="1" si="80"/>
        <v>7646480.4000000004</v>
      </c>
      <c r="FQ10" s="40">
        <f t="shared" ca="1" si="80"/>
        <v>7646480.4000000004</v>
      </c>
      <c r="FR10" s="40">
        <f t="shared" ca="1" si="80"/>
        <v>7646480.4000000004</v>
      </c>
      <c r="FS10" s="40">
        <f t="shared" ca="1" si="80"/>
        <v>7646480.4000000004</v>
      </c>
      <c r="FT10" s="40">
        <f t="shared" ca="1" si="80"/>
        <v>7646480.4000000004</v>
      </c>
      <c r="FU10" s="40">
        <f t="shared" ca="1" si="80"/>
        <v>7646480.4000000004</v>
      </c>
      <c r="FV10" s="40">
        <f t="shared" ca="1" si="80"/>
        <v>7646480.4000000004</v>
      </c>
      <c r="FW10" s="40">
        <f t="shared" ca="1" si="80"/>
        <v>7646480.4000000004</v>
      </c>
      <c r="FX10" s="40">
        <f t="shared" ca="1" si="80"/>
        <v>7646480.4000000004</v>
      </c>
      <c r="FY10" s="40">
        <f t="shared" ca="1" si="80"/>
        <v>7646480.4000000004</v>
      </c>
      <c r="FZ10" s="40">
        <f t="shared" ca="1" si="80"/>
        <v>7646480.4000000004</v>
      </c>
      <c r="GA10" s="40">
        <f t="shared" ca="1" si="80"/>
        <v>7646480.4000000004</v>
      </c>
      <c r="GB10" s="40">
        <f t="shared" ca="1" si="80"/>
        <v>7646480.4000000004</v>
      </c>
      <c r="GC10" s="40">
        <f t="shared" ca="1" si="80"/>
        <v>7646480.4000000004</v>
      </c>
      <c r="GD10" s="40">
        <f t="shared" ca="1" si="80"/>
        <v>7646480.4000000004</v>
      </c>
      <c r="GE10" s="40">
        <f t="shared" ca="1" si="80"/>
        <v>7646480.4000000004</v>
      </c>
      <c r="GF10" s="40">
        <f t="shared" ca="1" si="80"/>
        <v>7646480.4000000004</v>
      </c>
      <c r="GG10" s="40">
        <f t="shared" ca="1" si="80"/>
        <v>7646480.4000000004</v>
      </c>
      <c r="GH10" s="40">
        <f t="shared" ca="1" si="80"/>
        <v>7646480.4000000004</v>
      </c>
      <c r="GI10" s="40">
        <f t="shared" ca="1" si="80"/>
        <v>7646480.4000000004</v>
      </c>
      <c r="GJ10" s="40">
        <f t="shared" ca="1" si="80"/>
        <v>7646480.4000000004</v>
      </c>
      <c r="GK10" s="40">
        <f t="shared" ca="1" si="80"/>
        <v>7646480.4000000004</v>
      </c>
      <c r="GL10" s="40">
        <f t="shared" ca="1" si="80"/>
        <v>7646480.4000000004</v>
      </c>
      <c r="GM10" s="40">
        <f t="shared" ca="1" si="80"/>
        <v>7646480.4000000004</v>
      </c>
      <c r="GN10" s="40">
        <f t="shared" ca="1" si="80"/>
        <v>7646480.4000000004</v>
      </c>
      <c r="GO10" s="40">
        <f t="shared" ca="1" si="80"/>
        <v>7646480.4000000004</v>
      </c>
      <c r="GP10" s="40">
        <f t="shared" ca="1" si="80"/>
        <v>7646480.4000000004</v>
      </c>
      <c r="GQ10" s="40">
        <f t="shared" ca="1" si="80"/>
        <v>7646480.4000000004</v>
      </c>
      <c r="GR10" s="40">
        <f t="shared" ca="1" si="80"/>
        <v>7646480.4000000004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7646480.4000000004</v>
      </c>
      <c r="GT10" s="40">
        <f t="shared" ca="1" si="81"/>
        <v>7646480.4000000004</v>
      </c>
      <c r="GU10" s="40">
        <f t="shared" ca="1" si="81"/>
        <v>7646480.4000000004</v>
      </c>
      <c r="GV10" s="40">
        <f t="shared" ca="1" si="81"/>
        <v>7646480.4000000004</v>
      </c>
      <c r="GW10" s="40">
        <f t="shared" ca="1" si="81"/>
        <v>7646480.4000000004</v>
      </c>
      <c r="GX10" s="40">
        <f t="shared" ca="1" si="81"/>
        <v>7646480.4000000004</v>
      </c>
      <c r="GY10" s="40">
        <f t="shared" ca="1" si="81"/>
        <v>7646480.4000000004</v>
      </c>
      <c r="GZ10" s="40">
        <f t="shared" ca="1" si="81"/>
        <v>7646480.4000000004</v>
      </c>
      <c r="HA10" s="40">
        <f t="shared" ca="1" si="81"/>
        <v>7646480.4000000004</v>
      </c>
      <c r="HB10" s="40">
        <f t="shared" ca="1" si="81"/>
        <v>7646480.4000000004</v>
      </c>
      <c r="HC10" s="40">
        <f t="shared" ca="1" si="81"/>
        <v>7646480.4000000004</v>
      </c>
      <c r="HD10" s="40">
        <f t="shared" ca="1" si="81"/>
        <v>7646480.4000000004</v>
      </c>
      <c r="HE10" s="40">
        <f t="shared" ca="1" si="81"/>
        <v>7646480.4000000004</v>
      </c>
      <c r="HF10" s="40">
        <f t="shared" ca="1" si="81"/>
        <v>7646480.4000000004</v>
      </c>
      <c r="HG10" s="40">
        <f t="shared" ca="1" si="81"/>
        <v>7646480.4000000004</v>
      </c>
      <c r="HH10" s="40">
        <f t="shared" ca="1" si="81"/>
        <v>7646480.4000000004</v>
      </c>
      <c r="HI10" s="40">
        <f t="shared" ca="1" si="81"/>
        <v>7646480.4000000004</v>
      </c>
      <c r="HJ10" s="40">
        <f t="shared" ca="1" si="81"/>
        <v>7646480.4000000004</v>
      </c>
      <c r="HK10" s="40">
        <f t="shared" ca="1" si="81"/>
        <v>7646480.4000000004</v>
      </c>
      <c r="HL10" s="40">
        <f t="shared" ca="1" si="81"/>
        <v>7646480.4000000004</v>
      </c>
      <c r="HM10" s="40">
        <f t="shared" ca="1" si="81"/>
        <v>7646480.4000000004</v>
      </c>
      <c r="HN10" s="40">
        <f t="shared" ca="1" si="81"/>
        <v>7646480.4000000004</v>
      </c>
      <c r="HO10" s="40">
        <f t="shared" ca="1" si="81"/>
        <v>7646480.4000000004</v>
      </c>
      <c r="HP10" s="40">
        <f t="shared" ca="1" si="81"/>
        <v>7646480.4000000004</v>
      </c>
      <c r="HQ10" s="40">
        <f t="shared" ca="1" si="81"/>
        <v>7646480.4000000004</v>
      </c>
      <c r="HR10" s="40">
        <f t="shared" ca="1" si="81"/>
        <v>7646480.4000000004</v>
      </c>
      <c r="HS10" s="40">
        <f t="shared" ca="1" si="81"/>
        <v>7646480.4000000004</v>
      </c>
      <c r="HT10" s="40">
        <f t="shared" ca="1" si="81"/>
        <v>7646480.4000000004</v>
      </c>
      <c r="HU10" s="40">
        <f t="shared" ca="1" si="81"/>
        <v>7646480.4000000004</v>
      </c>
      <c r="HV10" s="40">
        <f t="shared" ca="1" si="81"/>
        <v>7646480.4000000004</v>
      </c>
      <c r="HW10" s="40">
        <f t="shared" ca="1" si="81"/>
        <v>7646480.4000000004</v>
      </c>
      <c r="HX10" s="40">
        <f t="shared" ca="1" si="81"/>
        <v>7646480.4000000004</v>
      </c>
      <c r="HY10" s="40">
        <f t="shared" ca="1" si="81"/>
        <v>7646480.4000000004</v>
      </c>
      <c r="HZ10" s="40">
        <f t="shared" ca="1" si="81"/>
        <v>7646480.4000000004</v>
      </c>
      <c r="IA10" s="40">
        <f t="shared" ca="1" si="81"/>
        <v>7646480.4000000004</v>
      </c>
      <c r="IB10" s="40">
        <f t="shared" ca="1" si="81"/>
        <v>7646480.4000000004</v>
      </c>
      <c r="IC10" s="40">
        <f t="shared" ca="1" si="81"/>
        <v>7646480.4000000004</v>
      </c>
      <c r="ID10" s="40">
        <f t="shared" ca="1" si="81"/>
        <v>7646480.4000000004</v>
      </c>
      <c r="IE10" s="40">
        <f t="shared" ca="1" si="81"/>
        <v>7646480.4000000004</v>
      </c>
      <c r="IF10" s="40">
        <f t="shared" ca="1" si="81"/>
        <v>7646480.4000000004</v>
      </c>
      <c r="IG10" s="40">
        <f t="shared" ca="1" si="81"/>
        <v>7646480.4000000004</v>
      </c>
      <c r="IH10" s="40">
        <f t="shared" ca="1" si="81"/>
        <v>7646480.4000000004</v>
      </c>
      <c r="II10" s="40">
        <f t="shared" ca="1" si="81"/>
        <v>7646480.4000000004</v>
      </c>
      <c r="IJ10" s="40">
        <f t="shared" ca="1" si="81"/>
        <v>7646480.4000000004</v>
      </c>
      <c r="IK10" s="40">
        <f t="shared" ca="1" si="81"/>
        <v>7646480.4000000004</v>
      </c>
      <c r="IL10" s="40">
        <f t="shared" ca="1" si="81"/>
        <v>7646480.4000000004</v>
      </c>
      <c r="IM10" s="40">
        <f t="shared" ca="1" si="81"/>
        <v>7646480.4000000004</v>
      </c>
      <c r="IN10" s="40">
        <f t="shared" ca="1" si="81"/>
        <v>7646480.4000000004</v>
      </c>
    </row>
    <row r="11" spans="2:248" x14ac:dyDescent="0.3">
      <c r="B11" s="19" t="s">
        <v>527</v>
      </c>
      <c r="C11" s="53">
        <f ca="1">HLOOKUP($C$5-1,G4:IN16,13,FALSE)</f>
        <v>0.16003510150977526</v>
      </c>
      <c r="E11" s="19">
        <v>0.25</v>
      </c>
      <c r="F11" s="19" t="s">
        <v>495</v>
      </c>
      <c r="G11" s="40">
        <f t="shared" ref="G11" si="82">IF(IF(AND(ISNA(G$8),ISNA(F$8)),F11*(1+$E$11),IF(AND(F$8&gt;0,ISNA(G$8)),F11*(1+$E$11),G$8))&gt;$C$21,$C$21,IF(AND(ISNA(G$8),ISNA(F$8)),F11*(1+$E$11),IF(AND(F$8&gt;0,ISNA(G$8)),F11*(1+$E$11),G$8)))</f>
        <v>155</v>
      </c>
      <c r="H11" s="40">
        <f t="shared" ref="H11" ca="1" si="83">IF(IF(AND(ISNA(H$8),ISNA(G$8)),G11*(1+$E$11),IF(AND(G$8&gt;0,ISNA(H$8)),G11*(1+$E$11),H$8))&gt;$C$21,$C$21,IF(AND(ISNA(H$8),ISNA(G$8)),G11*(1+$E$11),IF(AND(G$8&gt;0,ISNA(H$8)),G11*(1+$E$11),H$8)))</f>
        <v>201</v>
      </c>
      <c r="I11" s="40">
        <f t="shared" ref="I11:BT11" ca="1" si="84">IF(IF(AND(ISNA(I$8),ISNA(H$8)),H11*(1+$E$11),IF(AND(H$8&gt;0,ISNA(I$8)),H11*(1+$E$11),I$8))&gt;$C$21,$C$21,IF(AND(ISNA(I$8),ISNA(H$8)),H11*(1+$E$11),IF(AND(H$8&gt;0,ISNA(I$8)),H11*(1+$E$11),I$8)))</f>
        <v>238</v>
      </c>
      <c r="J11" s="40">
        <f t="shared" ca="1" si="84"/>
        <v>238</v>
      </c>
      <c r="K11" s="40">
        <f t="shared" ca="1" si="84"/>
        <v>434</v>
      </c>
      <c r="L11" s="40">
        <f t="shared" ca="1" si="84"/>
        <v>537</v>
      </c>
      <c r="M11" s="40">
        <f t="shared" ca="1" si="84"/>
        <v>632</v>
      </c>
      <c r="N11" s="40">
        <f t="shared" ca="1" si="84"/>
        <v>746</v>
      </c>
      <c r="O11" s="40">
        <f t="shared" ca="1" si="84"/>
        <v>922</v>
      </c>
      <c r="P11" s="40">
        <f t="shared" ca="1" si="84"/>
        <v>1142</v>
      </c>
      <c r="Q11" s="40">
        <f t="shared" ca="1" si="84"/>
        <v>1306</v>
      </c>
      <c r="R11" s="40">
        <f t="shared" ca="1" si="84"/>
        <v>1300</v>
      </c>
      <c r="S11" s="40">
        <f t="shared" ca="1" si="84"/>
        <v>1662</v>
      </c>
      <c r="T11" s="40">
        <f t="shared" ca="1" si="84"/>
        <v>1864</v>
      </c>
      <c r="U11" s="40">
        <f t="shared" ca="1" si="84"/>
        <v>2330</v>
      </c>
      <c r="V11" s="40">
        <f t="shared" ca="1" si="84"/>
        <v>2912.5</v>
      </c>
      <c r="W11" s="40">
        <f t="shared" ca="1" si="84"/>
        <v>3640.625</v>
      </c>
      <c r="X11" s="40">
        <f t="shared" ca="1" si="84"/>
        <v>4550.78125</v>
      </c>
      <c r="Y11" s="40">
        <f t="shared" ca="1" si="84"/>
        <v>5688.4765625</v>
      </c>
      <c r="Z11" s="40">
        <f t="shared" ca="1" si="84"/>
        <v>7110.595703125</v>
      </c>
      <c r="AA11" s="40">
        <f t="shared" ca="1" si="84"/>
        <v>8888.24462890625</v>
      </c>
      <c r="AB11" s="40">
        <f t="shared" ca="1" si="84"/>
        <v>11110.305786132813</v>
      </c>
      <c r="AC11" s="40">
        <f t="shared" ca="1" si="84"/>
        <v>13887.882232666016</v>
      </c>
      <c r="AD11" s="40">
        <f t="shared" ca="1" si="84"/>
        <v>17359.85279083252</v>
      </c>
      <c r="AE11" s="40">
        <f t="shared" ca="1" si="84"/>
        <v>21699.815988540649</v>
      </c>
      <c r="AF11" s="40">
        <f t="shared" ca="1" si="84"/>
        <v>27124.769985675812</v>
      </c>
      <c r="AG11" s="40">
        <f t="shared" ca="1" si="84"/>
        <v>33905.962482094765</v>
      </c>
      <c r="AH11" s="40">
        <f t="shared" ca="1" si="84"/>
        <v>42382.453102618456</v>
      </c>
      <c r="AI11" s="40">
        <f t="shared" ca="1" si="84"/>
        <v>52978.06637827307</v>
      </c>
      <c r="AJ11" s="40">
        <f t="shared" ca="1" si="84"/>
        <v>66222.582972841337</v>
      </c>
      <c r="AK11" s="40">
        <f t="shared" ca="1" si="84"/>
        <v>82778.228716051672</v>
      </c>
      <c r="AL11" s="40">
        <f t="shared" ca="1" si="84"/>
        <v>103472.78589506459</v>
      </c>
      <c r="AM11" s="40">
        <f t="shared" ca="1" si="84"/>
        <v>129340.98236883074</v>
      </c>
      <c r="AN11" s="40">
        <f t="shared" ca="1" si="84"/>
        <v>161676.22796103841</v>
      </c>
      <c r="AO11" s="40">
        <f t="shared" ca="1" si="84"/>
        <v>202095.28495129803</v>
      </c>
      <c r="AP11" s="40">
        <f t="shared" ca="1" si="84"/>
        <v>252619.10618912254</v>
      </c>
      <c r="AQ11" s="40">
        <f t="shared" ca="1" si="84"/>
        <v>315773.88273640315</v>
      </c>
      <c r="AR11" s="40">
        <f t="shared" ca="1" si="84"/>
        <v>394717.3534205039</v>
      </c>
      <c r="AS11" s="40">
        <f t="shared" ca="1" si="84"/>
        <v>493396.69177562988</v>
      </c>
      <c r="AT11" s="40">
        <f t="shared" ca="1" si="84"/>
        <v>616745.86471953732</v>
      </c>
      <c r="AU11" s="40">
        <f t="shared" ca="1" si="84"/>
        <v>770932.33089942159</v>
      </c>
      <c r="AV11" s="40">
        <f t="shared" ca="1" si="84"/>
        <v>963665.41362427699</v>
      </c>
      <c r="AW11" s="40">
        <f t="shared" ca="1" si="84"/>
        <v>1204581.7670303462</v>
      </c>
      <c r="AX11" s="40">
        <f t="shared" ca="1" si="84"/>
        <v>1505727.2087879328</v>
      </c>
      <c r="AY11" s="40">
        <f t="shared" ca="1" si="84"/>
        <v>1882159.010984916</v>
      </c>
      <c r="AZ11" s="40">
        <f t="shared" ca="1" si="84"/>
        <v>2352698.7637311448</v>
      </c>
      <c r="BA11" s="40">
        <f t="shared" ca="1" si="84"/>
        <v>2940873.4546639309</v>
      </c>
      <c r="BB11" s="40">
        <f t="shared" ca="1" si="84"/>
        <v>3676091.8183299135</v>
      </c>
      <c r="BC11" s="40">
        <f t="shared" ca="1" si="84"/>
        <v>4595114.7729123924</v>
      </c>
      <c r="BD11" s="40">
        <f t="shared" ca="1" si="84"/>
        <v>5743893.46614049</v>
      </c>
      <c r="BE11" s="40">
        <f t="shared" ca="1" si="84"/>
        <v>7179866.8326756125</v>
      </c>
      <c r="BF11" s="40">
        <f t="shared" ca="1" si="84"/>
        <v>7646480.4000000004</v>
      </c>
      <c r="BG11" s="40">
        <f t="shared" ca="1" si="84"/>
        <v>7646480.4000000004</v>
      </c>
      <c r="BH11" s="40">
        <f t="shared" ca="1" si="84"/>
        <v>7646480.4000000004</v>
      </c>
      <c r="BI11" s="40">
        <f t="shared" ca="1" si="84"/>
        <v>7646480.4000000004</v>
      </c>
      <c r="BJ11" s="40">
        <f t="shared" ca="1" si="84"/>
        <v>7646480.4000000004</v>
      </c>
      <c r="BK11" s="40">
        <f t="shared" ca="1" si="84"/>
        <v>7646480.4000000004</v>
      </c>
      <c r="BL11" s="40">
        <f t="shared" ca="1" si="84"/>
        <v>7646480.4000000004</v>
      </c>
      <c r="BM11" s="40">
        <f t="shared" ca="1" si="84"/>
        <v>7646480.4000000004</v>
      </c>
      <c r="BN11" s="40">
        <f t="shared" ca="1" si="84"/>
        <v>7646480.4000000004</v>
      </c>
      <c r="BO11" s="40">
        <f t="shared" ca="1" si="84"/>
        <v>7646480.4000000004</v>
      </c>
      <c r="BP11" s="40">
        <f t="shared" ca="1" si="84"/>
        <v>7646480.4000000004</v>
      </c>
      <c r="BQ11" s="40">
        <f t="shared" ca="1" si="84"/>
        <v>7646480.4000000004</v>
      </c>
      <c r="BR11" s="40">
        <f t="shared" ca="1" si="84"/>
        <v>7646480.4000000004</v>
      </c>
      <c r="BS11" s="40">
        <f t="shared" ca="1" si="84"/>
        <v>7646480.4000000004</v>
      </c>
      <c r="BT11" s="40">
        <f t="shared" ca="1" si="84"/>
        <v>7646480.4000000004</v>
      </c>
      <c r="BU11" s="40">
        <f t="shared" ref="BU11:EF11" ca="1" si="85">IF(IF(AND(ISNA(BU$8),ISNA(BT$8)),BT11*(1+$E$11),IF(AND(BT$8&gt;0,ISNA(BU$8)),BT11*(1+$E$11),BU$8))&gt;$C$21,$C$21,IF(AND(ISNA(BU$8),ISNA(BT$8)),BT11*(1+$E$11),IF(AND(BT$8&gt;0,ISNA(BU$8)),BT11*(1+$E$11),BU$8)))</f>
        <v>7646480.4000000004</v>
      </c>
      <c r="BV11" s="40">
        <f t="shared" ca="1" si="85"/>
        <v>7646480.4000000004</v>
      </c>
      <c r="BW11" s="40">
        <f t="shared" ca="1" si="85"/>
        <v>7646480.4000000004</v>
      </c>
      <c r="BX11" s="40">
        <f t="shared" ca="1" si="85"/>
        <v>7646480.4000000004</v>
      </c>
      <c r="BY11" s="40">
        <f t="shared" ca="1" si="85"/>
        <v>7646480.4000000004</v>
      </c>
      <c r="BZ11" s="40">
        <f t="shared" ca="1" si="85"/>
        <v>7646480.4000000004</v>
      </c>
      <c r="CA11" s="40">
        <f t="shared" ca="1" si="85"/>
        <v>7646480.4000000004</v>
      </c>
      <c r="CB11" s="40">
        <f t="shared" ca="1" si="85"/>
        <v>7646480.4000000004</v>
      </c>
      <c r="CC11" s="40">
        <f t="shared" ca="1" si="85"/>
        <v>7646480.4000000004</v>
      </c>
      <c r="CD11" s="40">
        <f t="shared" ca="1" si="85"/>
        <v>7646480.4000000004</v>
      </c>
      <c r="CE11" s="40">
        <f t="shared" ca="1" si="85"/>
        <v>7646480.4000000004</v>
      </c>
      <c r="CF11" s="40">
        <f t="shared" ca="1" si="85"/>
        <v>7646480.4000000004</v>
      </c>
      <c r="CG11" s="40">
        <f t="shared" ca="1" si="85"/>
        <v>7646480.4000000004</v>
      </c>
      <c r="CH11" s="40">
        <f t="shared" ca="1" si="85"/>
        <v>7646480.4000000004</v>
      </c>
      <c r="CI11" s="40">
        <f t="shared" ca="1" si="85"/>
        <v>7646480.4000000004</v>
      </c>
      <c r="CJ11" s="40">
        <f t="shared" ca="1" si="85"/>
        <v>7646480.4000000004</v>
      </c>
      <c r="CK11" s="40">
        <f t="shared" ca="1" si="85"/>
        <v>7646480.4000000004</v>
      </c>
      <c r="CL11" s="40">
        <f t="shared" ca="1" si="85"/>
        <v>7646480.4000000004</v>
      </c>
      <c r="CM11" s="40">
        <f t="shared" ca="1" si="85"/>
        <v>7646480.4000000004</v>
      </c>
      <c r="CN11" s="40">
        <f t="shared" ca="1" si="85"/>
        <v>7646480.4000000004</v>
      </c>
      <c r="CO11" s="40">
        <f t="shared" ca="1" si="85"/>
        <v>7646480.4000000004</v>
      </c>
      <c r="CP11" s="40">
        <f t="shared" ca="1" si="85"/>
        <v>7646480.4000000004</v>
      </c>
      <c r="CQ11" s="40">
        <f t="shared" ca="1" si="85"/>
        <v>7646480.4000000004</v>
      </c>
      <c r="CR11" s="40">
        <f t="shared" ca="1" si="85"/>
        <v>7646480.4000000004</v>
      </c>
      <c r="CS11" s="40">
        <f t="shared" ca="1" si="85"/>
        <v>7646480.4000000004</v>
      </c>
      <c r="CT11" s="40">
        <f t="shared" ca="1" si="85"/>
        <v>7646480.4000000004</v>
      </c>
      <c r="CU11" s="40">
        <f t="shared" ca="1" si="85"/>
        <v>7646480.4000000004</v>
      </c>
      <c r="CV11" s="40">
        <f t="shared" ca="1" si="85"/>
        <v>7646480.4000000004</v>
      </c>
      <c r="CW11" s="40">
        <f t="shared" ca="1" si="85"/>
        <v>7646480.4000000004</v>
      </c>
      <c r="CX11" s="40">
        <f t="shared" ca="1" si="85"/>
        <v>7646480.4000000004</v>
      </c>
      <c r="CY11" s="40">
        <f t="shared" ca="1" si="85"/>
        <v>7646480.4000000004</v>
      </c>
      <c r="CZ11" s="40">
        <f t="shared" ca="1" si="85"/>
        <v>7646480.4000000004</v>
      </c>
      <c r="DA11" s="40">
        <f t="shared" ca="1" si="85"/>
        <v>7646480.4000000004</v>
      </c>
      <c r="DB11" s="40">
        <f t="shared" ca="1" si="85"/>
        <v>7646480.4000000004</v>
      </c>
      <c r="DC11" s="40">
        <f t="shared" ca="1" si="85"/>
        <v>7646480.4000000004</v>
      </c>
      <c r="DD11" s="40">
        <f t="shared" ca="1" si="85"/>
        <v>7646480.4000000004</v>
      </c>
      <c r="DE11" s="40">
        <f t="shared" ca="1" si="85"/>
        <v>7646480.4000000004</v>
      </c>
      <c r="DF11" s="40">
        <f t="shared" ca="1" si="85"/>
        <v>7646480.4000000004</v>
      </c>
      <c r="DG11" s="40">
        <f t="shared" ca="1" si="85"/>
        <v>7646480.4000000004</v>
      </c>
      <c r="DH11" s="40">
        <f t="shared" ca="1" si="85"/>
        <v>7646480.4000000004</v>
      </c>
      <c r="DI11" s="40">
        <f t="shared" ca="1" si="85"/>
        <v>7646480.4000000004</v>
      </c>
      <c r="DJ11" s="40">
        <f t="shared" ca="1" si="85"/>
        <v>7646480.4000000004</v>
      </c>
      <c r="DK11" s="40">
        <f t="shared" ca="1" si="85"/>
        <v>7646480.4000000004</v>
      </c>
      <c r="DL11" s="40">
        <f t="shared" ca="1" si="85"/>
        <v>7646480.4000000004</v>
      </c>
      <c r="DM11" s="40">
        <f t="shared" ca="1" si="85"/>
        <v>7646480.4000000004</v>
      </c>
      <c r="DN11" s="40">
        <f t="shared" ca="1" si="85"/>
        <v>7646480.4000000004</v>
      </c>
      <c r="DO11" s="40">
        <f t="shared" ca="1" si="85"/>
        <v>7646480.4000000004</v>
      </c>
      <c r="DP11" s="40">
        <f t="shared" ca="1" si="85"/>
        <v>7646480.4000000004</v>
      </c>
      <c r="DQ11" s="40">
        <f t="shared" ca="1" si="85"/>
        <v>7646480.4000000004</v>
      </c>
      <c r="DR11" s="40">
        <f t="shared" ca="1" si="85"/>
        <v>7646480.4000000004</v>
      </c>
      <c r="DS11" s="40">
        <f t="shared" ca="1" si="85"/>
        <v>7646480.4000000004</v>
      </c>
      <c r="DT11" s="40">
        <f t="shared" ca="1" si="85"/>
        <v>7646480.4000000004</v>
      </c>
      <c r="DU11" s="40">
        <f t="shared" ca="1" si="85"/>
        <v>7646480.4000000004</v>
      </c>
      <c r="DV11" s="40">
        <f t="shared" ca="1" si="85"/>
        <v>7646480.4000000004</v>
      </c>
      <c r="DW11" s="40">
        <f t="shared" ca="1" si="85"/>
        <v>7646480.4000000004</v>
      </c>
      <c r="DX11" s="40">
        <f t="shared" ca="1" si="85"/>
        <v>7646480.4000000004</v>
      </c>
      <c r="DY11" s="40">
        <f t="shared" ca="1" si="85"/>
        <v>7646480.4000000004</v>
      </c>
      <c r="DZ11" s="40">
        <f t="shared" ca="1" si="85"/>
        <v>7646480.4000000004</v>
      </c>
      <c r="EA11" s="40">
        <f t="shared" ca="1" si="85"/>
        <v>7646480.4000000004</v>
      </c>
      <c r="EB11" s="40">
        <f t="shared" ca="1" si="85"/>
        <v>7646480.4000000004</v>
      </c>
      <c r="EC11" s="40">
        <f t="shared" ca="1" si="85"/>
        <v>7646480.4000000004</v>
      </c>
      <c r="ED11" s="40">
        <f t="shared" ca="1" si="85"/>
        <v>7646480.4000000004</v>
      </c>
      <c r="EE11" s="40">
        <f t="shared" ca="1" si="85"/>
        <v>7646480.4000000004</v>
      </c>
      <c r="EF11" s="40">
        <f t="shared" ca="1" si="85"/>
        <v>7646480.4000000004</v>
      </c>
      <c r="EG11" s="40">
        <f t="shared" ref="EG11:GR11" ca="1" si="86">IF(IF(AND(ISNA(EG$8),ISNA(EF$8)),EF11*(1+$E$11),IF(AND(EF$8&gt;0,ISNA(EG$8)),EF11*(1+$E$11),EG$8))&gt;$C$21,$C$21,IF(AND(ISNA(EG$8),ISNA(EF$8)),EF11*(1+$E$11),IF(AND(EF$8&gt;0,ISNA(EG$8)),EF11*(1+$E$11),EG$8)))</f>
        <v>7646480.4000000004</v>
      </c>
      <c r="EH11" s="40">
        <f t="shared" ca="1" si="86"/>
        <v>7646480.4000000004</v>
      </c>
      <c r="EI11" s="40">
        <f t="shared" ca="1" si="86"/>
        <v>7646480.4000000004</v>
      </c>
      <c r="EJ11" s="40">
        <f t="shared" ca="1" si="86"/>
        <v>7646480.4000000004</v>
      </c>
      <c r="EK11" s="40">
        <f t="shared" ca="1" si="86"/>
        <v>7646480.4000000004</v>
      </c>
      <c r="EL11" s="40">
        <f t="shared" ca="1" si="86"/>
        <v>7646480.4000000004</v>
      </c>
      <c r="EM11" s="40">
        <f t="shared" ca="1" si="86"/>
        <v>7646480.4000000004</v>
      </c>
      <c r="EN11" s="40">
        <f t="shared" ca="1" si="86"/>
        <v>7646480.4000000004</v>
      </c>
      <c r="EO11" s="40">
        <f t="shared" ca="1" si="86"/>
        <v>7646480.4000000004</v>
      </c>
      <c r="EP11" s="40">
        <f t="shared" ca="1" si="86"/>
        <v>7646480.4000000004</v>
      </c>
      <c r="EQ11" s="40">
        <f t="shared" ca="1" si="86"/>
        <v>7646480.4000000004</v>
      </c>
      <c r="ER11" s="40">
        <f t="shared" ca="1" si="86"/>
        <v>7646480.4000000004</v>
      </c>
      <c r="ES11" s="40">
        <f t="shared" ca="1" si="86"/>
        <v>7646480.4000000004</v>
      </c>
      <c r="ET11" s="40">
        <f t="shared" ca="1" si="86"/>
        <v>7646480.4000000004</v>
      </c>
      <c r="EU11" s="40">
        <f t="shared" ca="1" si="86"/>
        <v>7646480.4000000004</v>
      </c>
      <c r="EV11" s="40">
        <f t="shared" ca="1" si="86"/>
        <v>7646480.4000000004</v>
      </c>
      <c r="EW11" s="40">
        <f t="shared" ca="1" si="86"/>
        <v>7646480.4000000004</v>
      </c>
      <c r="EX11" s="40">
        <f t="shared" ca="1" si="86"/>
        <v>7646480.4000000004</v>
      </c>
      <c r="EY11" s="40">
        <f t="shared" ca="1" si="86"/>
        <v>7646480.4000000004</v>
      </c>
      <c r="EZ11" s="40">
        <f t="shared" ca="1" si="86"/>
        <v>7646480.4000000004</v>
      </c>
      <c r="FA11" s="40">
        <f t="shared" ca="1" si="86"/>
        <v>7646480.4000000004</v>
      </c>
      <c r="FB11" s="40">
        <f t="shared" ca="1" si="86"/>
        <v>7646480.4000000004</v>
      </c>
      <c r="FC11" s="40">
        <f t="shared" ca="1" si="86"/>
        <v>7646480.4000000004</v>
      </c>
      <c r="FD11" s="40">
        <f t="shared" ca="1" si="86"/>
        <v>7646480.4000000004</v>
      </c>
      <c r="FE11" s="40">
        <f t="shared" ca="1" si="86"/>
        <v>7646480.4000000004</v>
      </c>
      <c r="FF11" s="40">
        <f t="shared" ca="1" si="86"/>
        <v>7646480.4000000004</v>
      </c>
      <c r="FG11" s="40">
        <f t="shared" ca="1" si="86"/>
        <v>7646480.4000000004</v>
      </c>
      <c r="FH11" s="40">
        <f t="shared" ca="1" si="86"/>
        <v>7646480.4000000004</v>
      </c>
      <c r="FI11" s="40">
        <f t="shared" ca="1" si="86"/>
        <v>7646480.4000000004</v>
      </c>
      <c r="FJ11" s="40">
        <f t="shared" ca="1" si="86"/>
        <v>7646480.4000000004</v>
      </c>
      <c r="FK11" s="40">
        <f t="shared" ca="1" si="86"/>
        <v>7646480.4000000004</v>
      </c>
      <c r="FL11" s="40">
        <f t="shared" ca="1" si="86"/>
        <v>7646480.4000000004</v>
      </c>
      <c r="FM11" s="40">
        <f t="shared" ca="1" si="86"/>
        <v>7646480.4000000004</v>
      </c>
      <c r="FN11" s="40">
        <f t="shared" ca="1" si="86"/>
        <v>7646480.4000000004</v>
      </c>
      <c r="FO11" s="40">
        <f t="shared" ca="1" si="86"/>
        <v>7646480.4000000004</v>
      </c>
      <c r="FP11" s="40">
        <f t="shared" ca="1" si="86"/>
        <v>7646480.4000000004</v>
      </c>
      <c r="FQ11" s="40">
        <f t="shared" ca="1" si="86"/>
        <v>7646480.4000000004</v>
      </c>
      <c r="FR11" s="40">
        <f t="shared" ca="1" si="86"/>
        <v>7646480.4000000004</v>
      </c>
      <c r="FS11" s="40">
        <f t="shared" ca="1" si="86"/>
        <v>7646480.4000000004</v>
      </c>
      <c r="FT11" s="40">
        <f t="shared" ca="1" si="86"/>
        <v>7646480.4000000004</v>
      </c>
      <c r="FU11" s="40">
        <f t="shared" ca="1" si="86"/>
        <v>7646480.4000000004</v>
      </c>
      <c r="FV11" s="40">
        <f t="shared" ca="1" si="86"/>
        <v>7646480.4000000004</v>
      </c>
      <c r="FW11" s="40">
        <f t="shared" ca="1" si="86"/>
        <v>7646480.4000000004</v>
      </c>
      <c r="FX11" s="40">
        <f t="shared" ca="1" si="86"/>
        <v>7646480.4000000004</v>
      </c>
      <c r="FY11" s="40">
        <f t="shared" ca="1" si="86"/>
        <v>7646480.4000000004</v>
      </c>
      <c r="FZ11" s="40">
        <f t="shared" ca="1" si="86"/>
        <v>7646480.4000000004</v>
      </c>
      <c r="GA11" s="40">
        <f t="shared" ca="1" si="86"/>
        <v>7646480.4000000004</v>
      </c>
      <c r="GB11" s="40">
        <f t="shared" ca="1" si="86"/>
        <v>7646480.4000000004</v>
      </c>
      <c r="GC11" s="40">
        <f t="shared" ca="1" si="86"/>
        <v>7646480.4000000004</v>
      </c>
      <c r="GD11" s="40">
        <f t="shared" ca="1" si="86"/>
        <v>7646480.4000000004</v>
      </c>
      <c r="GE11" s="40">
        <f t="shared" ca="1" si="86"/>
        <v>7646480.4000000004</v>
      </c>
      <c r="GF11" s="40">
        <f t="shared" ca="1" si="86"/>
        <v>7646480.4000000004</v>
      </c>
      <c r="GG11" s="40">
        <f t="shared" ca="1" si="86"/>
        <v>7646480.4000000004</v>
      </c>
      <c r="GH11" s="40">
        <f t="shared" ca="1" si="86"/>
        <v>7646480.4000000004</v>
      </c>
      <c r="GI11" s="40">
        <f t="shared" ca="1" si="86"/>
        <v>7646480.4000000004</v>
      </c>
      <c r="GJ11" s="40">
        <f t="shared" ca="1" si="86"/>
        <v>7646480.4000000004</v>
      </c>
      <c r="GK11" s="40">
        <f t="shared" ca="1" si="86"/>
        <v>7646480.4000000004</v>
      </c>
      <c r="GL11" s="40">
        <f t="shared" ca="1" si="86"/>
        <v>7646480.4000000004</v>
      </c>
      <c r="GM11" s="40">
        <f t="shared" ca="1" si="86"/>
        <v>7646480.4000000004</v>
      </c>
      <c r="GN11" s="40">
        <f t="shared" ca="1" si="86"/>
        <v>7646480.4000000004</v>
      </c>
      <c r="GO11" s="40">
        <f t="shared" ca="1" si="86"/>
        <v>7646480.4000000004</v>
      </c>
      <c r="GP11" s="40">
        <f t="shared" ca="1" si="86"/>
        <v>7646480.4000000004</v>
      </c>
      <c r="GQ11" s="40">
        <f t="shared" ca="1" si="86"/>
        <v>7646480.4000000004</v>
      </c>
      <c r="GR11" s="40">
        <f t="shared" ca="1" si="86"/>
        <v>7646480.4000000004</v>
      </c>
      <c r="GS11" s="40">
        <f t="shared" ref="GS11:IN11" ca="1" si="87">IF(IF(AND(ISNA(GS$8),ISNA(GR$8)),GR11*(1+$E$11),IF(AND(GR$8&gt;0,ISNA(GS$8)),GR11*(1+$E$11),GS$8))&gt;$C$21,$C$21,IF(AND(ISNA(GS$8),ISNA(GR$8)),GR11*(1+$E$11),IF(AND(GR$8&gt;0,ISNA(GS$8)),GR11*(1+$E$11),GS$8)))</f>
        <v>7646480.4000000004</v>
      </c>
      <c r="GT11" s="40">
        <f t="shared" ca="1" si="87"/>
        <v>7646480.4000000004</v>
      </c>
      <c r="GU11" s="40">
        <f t="shared" ca="1" si="87"/>
        <v>7646480.4000000004</v>
      </c>
      <c r="GV11" s="40">
        <f t="shared" ca="1" si="87"/>
        <v>7646480.4000000004</v>
      </c>
      <c r="GW11" s="40">
        <f t="shared" ca="1" si="87"/>
        <v>7646480.4000000004</v>
      </c>
      <c r="GX11" s="40">
        <f t="shared" ca="1" si="87"/>
        <v>7646480.4000000004</v>
      </c>
      <c r="GY11" s="40">
        <f t="shared" ca="1" si="87"/>
        <v>7646480.4000000004</v>
      </c>
      <c r="GZ11" s="40">
        <f t="shared" ca="1" si="87"/>
        <v>7646480.4000000004</v>
      </c>
      <c r="HA11" s="40">
        <f t="shared" ca="1" si="87"/>
        <v>7646480.4000000004</v>
      </c>
      <c r="HB11" s="40">
        <f t="shared" ca="1" si="87"/>
        <v>7646480.4000000004</v>
      </c>
      <c r="HC11" s="40">
        <f t="shared" ca="1" si="87"/>
        <v>7646480.4000000004</v>
      </c>
      <c r="HD11" s="40">
        <f t="shared" ca="1" si="87"/>
        <v>7646480.4000000004</v>
      </c>
      <c r="HE11" s="40">
        <f t="shared" ca="1" si="87"/>
        <v>7646480.4000000004</v>
      </c>
      <c r="HF11" s="40">
        <f t="shared" ca="1" si="87"/>
        <v>7646480.4000000004</v>
      </c>
      <c r="HG11" s="40">
        <f t="shared" ca="1" si="87"/>
        <v>7646480.4000000004</v>
      </c>
      <c r="HH11" s="40">
        <f t="shared" ca="1" si="87"/>
        <v>7646480.4000000004</v>
      </c>
      <c r="HI11" s="40">
        <f t="shared" ca="1" si="87"/>
        <v>7646480.4000000004</v>
      </c>
      <c r="HJ11" s="40">
        <f t="shared" ca="1" si="87"/>
        <v>7646480.4000000004</v>
      </c>
      <c r="HK11" s="40">
        <f t="shared" ca="1" si="87"/>
        <v>7646480.4000000004</v>
      </c>
      <c r="HL11" s="40">
        <f t="shared" ca="1" si="87"/>
        <v>7646480.4000000004</v>
      </c>
      <c r="HM11" s="40">
        <f t="shared" ca="1" si="87"/>
        <v>7646480.4000000004</v>
      </c>
      <c r="HN11" s="40">
        <f t="shared" ca="1" si="87"/>
        <v>7646480.4000000004</v>
      </c>
      <c r="HO11" s="40">
        <f t="shared" ca="1" si="87"/>
        <v>7646480.4000000004</v>
      </c>
      <c r="HP11" s="40">
        <f t="shared" ca="1" si="87"/>
        <v>7646480.4000000004</v>
      </c>
      <c r="HQ11" s="40">
        <f t="shared" ca="1" si="87"/>
        <v>7646480.4000000004</v>
      </c>
      <c r="HR11" s="40">
        <f t="shared" ca="1" si="87"/>
        <v>7646480.4000000004</v>
      </c>
      <c r="HS11" s="40">
        <f t="shared" ca="1" si="87"/>
        <v>7646480.4000000004</v>
      </c>
      <c r="HT11" s="40">
        <f t="shared" ca="1" si="87"/>
        <v>7646480.4000000004</v>
      </c>
      <c r="HU11" s="40">
        <f t="shared" ca="1" si="87"/>
        <v>7646480.4000000004</v>
      </c>
      <c r="HV11" s="40">
        <f t="shared" ca="1" si="87"/>
        <v>7646480.4000000004</v>
      </c>
      <c r="HW11" s="40">
        <f t="shared" ca="1" si="87"/>
        <v>7646480.4000000004</v>
      </c>
      <c r="HX11" s="40">
        <f t="shared" ca="1" si="87"/>
        <v>7646480.4000000004</v>
      </c>
      <c r="HY11" s="40">
        <f t="shared" ca="1" si="87"/>
        <v>7646480.4000000004</v>
      </c>
      <c r="HZ11" s="40">
        <f t="shared" ca="1" si="87"/>
        <v>7646480.4000000004</v>
      </c>
      <c r="IA11" s="40">
        <f t="shared" ca="1" si="87"/>
        <v>7646480.4000000004</v>
      </c>
      <c r="IB11" s="40">
        <f t="shared" ca="1" si="87"/>
        <v>7646480.4000000004</v>
      </c>
      <c r="IC11" s="40">
        <f t="shared" ca="1" si="87"/>
        <v>7646480.4000000004</v>
      </c>
      <c r="ID11" s="40">
        <f t="shared" ca="1" si="87"/>
        <v>7646480.4000000004</v>
      </c>
      <c r="IE11" s="40">
        <f t="shared" ca="1" si="87"/>
        <v>7646480.4000000004</v>
      </c>
      <c r="IF11" s="40">
        <f t="shared" ca="1" si="87"/>
        <v>7646480.4000000004</v>
      </c>
      <c r="IG11" s="40">
        <f t="shared" ca="1" si="87"/>
        <v>7646480.4000000004</v>
      </c>
      <c r="IH11" s="40">
        <f t="shared" ca="1" si="87"/>
        <v>7646480.4000000004</v>
      </c>
      <c r="II11" s="40">
        <f t="shared" ca="1" si="87"/>
        <v>7646480.4000000004</v>
      </c>
      <c r="IJ11" s="40">
        <f t="shared" ca="1" si="87"/>
        <v>7646480.4000000004</v>
      </c>
      <c r="IK11" s="40">
        <f t="shared" ca="1" si="87"/>
        <v>7646480.4000000004</v>
      </c>
      <c r="IL11" s="40">
        <f t="shared" ca="1" si="87"/>
        <v>7646480.4000000004</v>
      </c>
      <c r="IM11" s="40">
        <f t="shared" ca="1" si="87"/>
        <v>7646480.4000000004</v>
      </c>
      <c r="IN11" s="40">
        <f t="shared" ca="1" si="87"/>
        <v>7646480.4000000004</v>
      </c>
    </row>
    <row r="12" spans="2:248" x14ac:dyDescent="0.3">
      <c r="B12" s="19" t="s">
        <v>528</v>
      </c>
      <c r="C12" s="74">
        <f>VLOOKUP(B2,Days_Since_100!C:G,5,FALSE)-1</f>
        <v>0.18330301942665961</v>
      </c>
      <c r="E12" s="19">
        <v>0.4</v>
      </c>
      <c r="F12" s="19" t="s">
        <v>453</v>
      </c>
      <c r="G12" s="40">
        <f t="shared" ref="G12" si="88">IF(IF(AND(ISNA(G$8),ISNA(F$8)),F12*(1+$E$12),IF(AND(F$8&gt;0,ISNA(G$8)),F12*(1+$E$12),G$8))&gt;$C$21,$C$21,IF(AND(ISNA(G$8),ISNA(F$8)),F12*(1+$E$12),IF(AND(F$8&gt;0,ISNA(G$8)),F12*(1+$E$12),G$8)))</f>
        <v>155</v>
      </c>
      <c r="H12" s="40">
        <f t="shared" ref="H12" ca="1" si="89">IF(IF(AND(ISNA(H$8),ISNA(G$8)),G12*(1+$E$12),IF(AND(G$8&gt;0,ISNA(H$8)),G12*(1+$E$12),H$8))&gt;$C$21,$C$21,IF(AND(ISNA(H$8),ISNA(G$8)),G12*(1+$E$12),IF(AND(G$8&gt;0,ISNA(H$8)),G12*(1+$E$12),H$8)))</f>
        <v>201</v>
      </c>
      <c r="I12" s="40">
        <f t="shared" ref="I12:BT12" ca="1" si="90">IF(IF(AND(ISNA(I$8),ISNA(H$8)),H12*(1+$E$12),IF(AND(H$8&gt;0,ISNA(I$8)),H12*(1+$E$12),I$8))&gt;$C$21,$C$21,IF(AND(ISNA(I$8),ISNA(H$8)),H12*(1+$E$12),IF(AND(H$8&gt;0,ISNA(I$8)),H12*(1+$E$12),I$8)))</f>
        <v>238</v>
      </c>
      <c r="J12" s="40">
        <f t="shared" ca="1" si="90"/>
        <v>238</v>
      </c>
      <c r="K12" s="40">
        <f t="shared" ca="1" si="90"/>
        <v>434</v>
      </c>
      <c r="L12" s="40">
        <f t="shared" ca="1" si="90"/>
        <v>537</v>
      </c>
      <c r="M12" s="40">
        <f t="shared" ca="1" si="90"/>
        <v>632</v>
      </c>
      <c r="N12" s="40">
        <f t="shared" ca="1" si="90"/>
        <v>746</v>
      </c>
      <c r="O12" s="40">
        <f t="shared" ca="1" si="90"/>
        <v>922</v>
      </c>
      <c r="P12" s="40">
        <f t="shared" ca="1" si="90"/>
        <v>1142</v>
      </c>
      <c r="Q12" s="40">
        <f t="shared" ca="1" si="90"/>
        <v>1306</v>
      </c>
      <c r="R12" s="40">
        <f t="shared" ca="1" si="90"/>
        <v>1300</v>
      </c>
      <c r="S12" s="40">
        <f t="shared" ca="1" si="90"/>
        <v>1662</v>
      </c>
      <c r="T12" s="40">
        <f t="shared" ca="1" si="90"/>
        <v>1864</v>
      </c>
      <c r="U12" s="40">
        <f t="shared" ca="1" si="90"/>
        <v>2609.6</v>
      </c>
      <c r="V12" s="40">
        <f t="shared" ca="1" si="90"/>
        <v>3653.4399999999996</v>
      </c>
      <c r="W12" s="40">
        <f t="shared" ca="1" si="90"/>
        <v>5114.8159999999989</v>
      </c>
      <c r="X12" s="40">
        <f t="shared" ca="1" si="90"/>
        <v>7160.7423999999983</v>
      </c>
      <c r="Y12" s="40">
        <f t="shared" ca="1" si="90"/>
        <v>10025.039359999997</v>
      </c>
      <c r="Z12" s="40">
        <f t="shared" ca="1" si="90"/>
        <v>14035.055103999995</v>
      </c>
      <c r="AA12" s="40">
        <f t="shared" ca="1" si="90"/>
        <v>19649.077145599993</v>
      </c>
      <c r="AB12" s="40">
        <f t="shared" ca="1" si="90"/>
        <v>27508.708003839987</v>
      </c>
      <c r="AC12" s="40">
        <f t="shared" ca="1" si="90"/>
        <v>38512.191205375981</v>
      </c>
      <c r="AD12" s="40">
        <f t="shared" ca="1" si="90"/>
        <v>53917.067687526367</v>
      </c>
      <c r="AE12" s="40">
        <f t="shared" ca="1" si="90"/>
        <v>75483.894762536904</v>
      </c>
      <c r="AF12" s="40">
        <f t="shared" ca="1" si="90"/>
        <v>105677.45266755165</v>
      </c>
      <c r="AG12" s="40">
        <f t="shared" ca="1" si="90"/>
        <v>147948.43373457232</v>
      </c>
      <c r="AH12" s="40">
        <f t="shared" ca="1" si="90"/>
        <v>207127.80722840125</v>
      </c>
      <c r="AI12" s="40">
        <f t="shared" ca="1" si="90"/>
        <v>289978.93011976173</v>
      </c>
      <c r="AJ12" s="40">
        <f t="shared" ca="1" si="90"/>
        <v>405970.50216766639</v>
      </c>
      <c r="AK12" s="40">
        <f t="shared" ca="1" si="90"/>
        <v>568358.70303473296</v>
      </c>
      <c r="AL12" s="40">
        <f t="shared" ca="1" si="90"/>
        <v>795702.18424862612</v>
      </c>
      <c r="AM12" s="40">
        <f t="shared" ca="1" si="90"/>
        <v>1113983.0579480764</v>
      </c>
      <c r="AN12" s="40">
        <f t="shared" ca="1" si="90"/>
        <v>1559576.2811273069</v>
      </c>
      <c r="AO12" s="40">
        <f t="shared" ca="1" si="90"/>
        <v>2183406.7935782294</v>
      </c>
      <c r="AP12" s="40">
        <f t="shared" ca="1" si="90"/>
        <v>3056769.5110095209</v>
      </c>
      <c r="AQ12" s="40">
        <f t="shared" ca="1" si="90"/>
        <v>4279477.3154133288</v>
      </c>
      <c r="AR12" s="40">
        <f t="shared" ca="1" si="90"/>
        <v>5991268.24157866</v>
      </c>
      <c r="AS12" s="40">
        <f t="shared" ca="1" si="90"/>
        <v>7646480.4000000004</v>
      </c>
      <c r="AT12" s="40">
        <f t="shared" ca="1" si="90"/>
        <v>7646480.4000000004</v>
      </c>
      <c r="AU12" s="40">
        <f t="shared" ca="1" si="90"/>
        <v>7646480.4000000004</v>
      </c>
      <c r="AV12" s="40">
        <f t="shared" ca="1" si="90"/>
        <v>7646480.4000000004</v>
      </c>
      <c r="AW12" s="40">
        <f t="shared" ca="1" si="90"/>
        <v>7646480.4000000004</v>
      </c>
      <c r="AX12" s="40">
        <f t="shared" ca="1" si="90"/>
        <v>7646480.4000000004</v>
      </c>
      <c r="AY12" s="40">
        <f t="shared" ca="1" si="90"/>
        <v>7646480.4000000004</v>
      </c>
      <c r="AZ12" s="40">
        <f t="shared" ca="1" si="90"/>
        <v>7646480.4000000004</v>
      </c>
      <c r="BA12" s="40">
        <f t="shared" ca="1" si="90"/>
        <v>7646480.4000000004</v>
      </c>
      <c r="BB12" s="40">
        <f t="shared" ca="1" si="90"/>
        <v>7646480.4000000004</v>
      </c>
      <c r="BC12" s="40">
        <f t="shared" ca="1" si="90"/>
        <v>7646480.4000000004</v>
      </c>
      <c r="BD12" s="40">
        <f t="shared" ca="1" si="90"/>
        <v>7646480.4000000004</v>
      </c>
      <c r="BE12" s="40">
        <f t="shared" ca="1" si="90"/>
        <v>7646480.4000000004</v>
      </c>
      <c r="BF12" s="40">
        <f t="shared" ca="1" si="90"/>
        <v>7646480.4000000004</v>
      </c>
      <c r="BG12" s="40">
        <f t="shared" ca="1" si="90"/>
        <v>7646480.4000000004</v>
      </c>
      <c r="BH12" s="40">
        <f t="shared" ca="1" si="90"/>
        <v>7646480.4000000004</v>
      </c>
      <c r="BI12" s="40">
        <f t="shared" ca="1" si="90"/>
        <v>7646480.4000000004</v>
      </c>
      <c r="BJ12" s="40">
        <f t="shared" ca="1" si="90"/>
        <v>7646480.4000000004</v>
      </c>
      <c r="BK12" s="40">
        <f t="shared" ca="1" si="90"/>
        <v>7646480.4000000004</v>
      </c>
      <c r="BL12" s="40">
        <f t="shared" ca="1" si="90"/>
        <v>7646480.4000000004</v>
      </c>
      <c r="BM12" s="40">
        <f t="shared" ca="1" si="90"/>
        <v>7646480.4000000004</v>
      </c>
      <c r="BN12" s="40">
        <f t="shared" ca="1" si="90"/>
        <v>7646480.4000000004</v>
      </c>
      <c r="BO12" s="40">
        <f t="shared" ca="1" si="90"/>
        <v>7646480.4000000004</v>
      </c>
      <c r="BP12" s="40">
        <f t="shared" ca="1" si="90"/>
        <v>7646480.4000000004</v>
      </c>
      <c r="BQ12" s="40">
        <f t="shared" ca="1" si="90"/>
        <v>7646480.4000000004</v>
      </c>
      <c r="BR12" s="40">
        <f t="shared" ca="1" si="90"/>
        <v>7646480.4000000004</v>
      </c>
      <c r="BS12" s="40">
        <f t="shared" ca="1" si="90"/>
        <v>7646480.4000000004</v>
      </c>
      <c r="BT12" s="40">
        <f t="shared" ca="1" si="90"/>
        <v>7646480.4000000004</v>
      </c>
      <c r="BU12" s="40">
        <f t="shared" ref="BU12:EF12" ca="1" si="91">IF(IF(AND(ISNA(BU$8),ISNA(BT$8)),BT12*(1+$E$12),IF(AND(BT$8&gt;0,ISNA(BU$8)),BT12*(1+$E$12),BU$8))&gt;$C$21,$C$21,IF(AND(ISNA(BU$8),ISNA(BT$8)),BT12*(1+$E$12),IF(AND(BT$8&gt;0,ISNA(BU$8)),BT12*(1+$E$12),BU$8)))</f>
        <v>7646480.4000000004</v>
      </c>
      <c r="BV12" s="40">
        <f t="shared" ca="1" si="91"/>
        <v>7646480.4000000004</v>
      </c>
      <c r="BW12" s="40">
        <f t="shared" ca="1" si="91"/>
        <v>7646480.4000000004</v>
      </c>
      <c r="BX12" s="40">
        <f t="shared" ca="1" si="91"/>
        <v>7646480.4000000004</v>
      </c>
      <c r="BY12" s="40">
        <f t="shared" ca="1" si="91"/>
        <v>7646480.4000000004</v>
      </c>
      <c r="BZ12" s="40">
        <f t="shared" ca="1" si="91"/>
        <v>7646480.4000000004</v>
      </c>
      <c r="CA12" s="40">
        <f t="shared" ca="1" si="91"/>
        <v>7646480.4000000004</v>
      </c>
      <c r="CB12" s="40">
        <f t="shared" ca="1" si="91"/>
        <v>7646480.4000000004</v>
      </c>
      <c r="CC12" s="40">
        <f t="shared" ca="1" si="91"/>
        <v>7646480.4000000004</v>
      </c>
      <c r="CD12" s="40">
        <f t="shared" ca="1" si="91"/>
        <v>7646480.4000000004</v>
      </c>
      <c r="CE12" s="40">
        <f t="shared" ca="1" si="91"/>
        <v>7646480.4000000004</v>
      </c>
      <c r="CF12" s="40">
        <f t="shared" ca="1" si="91"/>
        <v>7646480.4000000004</v>
      </c>
      <c r="CG12" s="40">
        <f t="shared" ca="1" si="91"/>
        <v>7646480.4000000004</v>
      </c>
      <c r="CH12" s="40">
        <f t="shared" ca="1" si="91"/>
        <v>7646480.4000000004</v>
      </c>
      <c r="CI12" s="40">
        <f t="shared" ca="1" si="91"/>
        <v>7646480.4000000004</v>
      </c>
      <c r="CJ12" s="40">
        <f t="shared" ca="1" si="91"/>
        <v>7646480.4000000004</v>
      </c>
      <c r="CK12" s="40">
        <f t="shared" ca="1" si="91"/>
        <v>7646480.4000000004</v>
      </c>
      <c r="CL12" s="40">
        <f t="shared" ca="1" si="91"/>
        <v>7646480.4000000004</v>
      </c>
      <c r="CM12" s="40">
        <f t="shared" ca="1" si="91"/>
        <v>7646480.4000000004</v>
      </c>
      <c r="CN12" s="40">
        <f t="shared" ca="1" si="91"/>
        <v>7646480.4000000004</v>
      </c>
      <c r="CO12" s="40">
        <f t="shared" ca="1" si="91"/>
        <v>7646480.4000000004</v>
      </c>
      <c r="CP12" s="40">
        <f t="shared" ca="1" si="91"/>
        <v>7646480.4000000004</v>
      </c>
      <c r="CQ12" s="40">
        <f t="shared" ca="1" si="91"/>
        <v>7646480.4000000004</v>
      </c>
      <c r="CR12" s="40">
        <f t="shared" ca="1" si="91"/>
        <v>7646480.4000000004</v>
      </c>
      <c r="CS12" s="40">
        <f t="shared" ca="1" si="91"/>
        <v>7646480.4000000004</v>
      </c>
      <c r="CT12" s="40">
        <f t="shared" ca="1" si="91"/>
        <v>7646480.4000000004</v>
      </c>
      <c r="CU12" s="40">
        <f t="shared" ca="1" si="91"/>
        <v>7646480.4000000004</v>
      </c>
      <c r="CV12" s="40">
        <f t="shared" ca="1" si="91"/>
        <v>7646480.4000000004</v>
      </c>
      <c r="CW12" s="40">
        <f t="shared" ca="1" si="91"/>
        <v>7646480.4000000004</v>
      </c>
      <c r="CX12" s="40">
        <f t="shared" ca="1" si="91"/>
        <v>7646480.4000000004</v>
      </c>
      <c r="CY12" s="40">
        <f t="shared" ca="1" si="91"/>
        <v>7646480.4000000004</v>
      </c>
      <c r="CZ12" s="40">
        <f t="shared" ca="1" si="91"/>
        <v>7646480.4000000004</v>
      </c>
      <c r="DA12" s="40">
        <f t="shared" ca="1" si="91"/>
        <v>7646480.4000000004</v>
      </c>
      <c r="DB12" s="40">
        <f t="shared" ca="1" si="91"/>
        <v>7646480.4000000004</v>
      </c>
      <c r="DC12" s="40">
        <f t="shared" ca="1" si="91"/>
        <v>7646480.4000000004</v>
      </c>
      <c r="DD12" s="40">
        <f t="shared" ca="1" si="91"/>
        <v>7646480.4000000004</v>
      </c>
      <c r="DE12" s="40">
        <f t="shared" ca="1" si="91"/>
        <v>7646480.4000000004</v>
      </c>
      <c r="DF12" s="40">
        <f t="shared" ca="1" si="91"/>
        <v>7646480.4000000004</v>
      </c>
      <c r="DG12" s="40">
        <f t="shared" ca="1" si="91"/>
        <v>7646480.4000000004</v>
      </c>
      <c r="DH12" s="40">
        <f t="shared" ca="1" si="91"/>
        <v>7646480.4000000004</v>
      </c>
      <c r="DI12" s="40">
        <f t="shared" ca="1" si="91"/>
        <v>7646480.4000000004</v>
      </c>
      <c r="DJ12" s="40">
        <f t="shared" ca="1" si="91"/>
        <v>7646480.4000000004</v>
      </c>
      <c r="DK12" s="40">
        <f t="shared" ca="1" si="91"/>
        <v>7646480.4000000004</v>
      </c>
      <c r="DL12" s="40">
        <f t="shared" ca="1" si="91"/>
        <v>7646480.4000000004</v>
      </c>
      <c r="DM12" s="40">
        <f t="shared" ca="1" si="91"/>
        <v>7646480.4000000004</v>
      </c>
      <c r="DN12" s="40">
        <f t="shared" ca="1" si="91"/>
        <v>7646480.4000000004</v>
      </c>
      <c r="DO12" s="40">
        <f t="shared" ca="1" si="91"/>
        <v>7646480.4000000004</v>
      </c>
      <c r="DP12" s="40">
        <f t="shared" ca="1" si="91"/>
        <v>7646480.4000000004</v>
      </c>
      <c r="DQ12" s="40">
        <f t="shared" ca="1" si="91"/>
        <v>7646480.4000000004</v>
      </c>
      <c r="DR12" s="40">
        <f t="shared" ca="1" si="91"/>
        <v>7646480.4000000004</v>
      </c>
      <c r="DS12" s="40">
        <f t="shared" ca="1" si="91"/>
        <v>7646480.4000000004</v>
      </c>
      <c r="DT12" s="40">
        <f t="shared" ca="1" si="91"/>
        <v>7646480.4000000004</v>
      </c>
      <c r="DU12" s="40">
        <f t="shared" ca="1" si="91"/>
        <v>7646480.4000000004</v>
      </c>
      <c r="DV12" s="40">
        <f t="shared" ca="1" si="91"/>
        <v>7646480.4000000004</v>
      </c>
      <c r="DW12" s="40">
        <f t="shared" ca="1" si="91"/>
        <v>7646480.4000000004</v>
      </c>
      <c r="DX12" s="40">
        <f t="shared" ca="1" si="91"/>
        <v>7646480.4000000004</v>
      </c>
      <c r="DY12" s="40">
        <f t="shared" ca="1" si="91"/>
        <v>7646480.4000000004</v>
      </c>
      <c r="DZ12" s="40">
        <f t="shared" ca="1" si="91"/>
        <v>7646480.4000000004</v>
      </c>
      <c r="EA12" s="40">
        <f t="shared" ca="1" si="91"/>
        <v>7646480.4000000004</v>
      </c>
      <c r="EB12" s="40">
        <f t="shared" ca="1" si="91"/>
        <v>7646480.4000000004</v>
      </c>
      <c r="EC12" s="40">
        <f t="shared" ca="1" si="91"/>
        <v>7646480.4000000004</v>
      </c>
      <c r="ED12" s="40">
        <f t="shared" ca="1" si="91"/>
        <v>7646480.4000000004</v>
      </c>
      <c r="EE12" s="40">
        <f t="shared" ca="1" si="91"/>
        <v>7646480.4000000004</v>
      </c>
      <c r="EF12" s="40">
        <f t="shared" ca="1" si="91"/>
        <v>7646480.4000000004</v>
      </c>
      <c r="EG12" s="40">
        <f t="shared" ref="EG12:GR12" ca="1" si="92">IF(IF(AND(ISNA(EG$8),ISNA(EF$8)),EF12*(1+$E$12),IF(AND(EF$8&gt;0,ISNA(EG$8)),EF12*(1+$E$12),EG$8))&gt;$C$21,$C$21,IF(AND(ISNA(EG$8),ISNA(EF$8)),EF12*(1+$E$12),IF(AND(EF$8&gt;0,ISNA(EG$8)),EF12*(1+$E$12),EG$8)))</f>
        <v>7646480.4000000004</v>
      </c>
      <c r="EH12" s="40">
        <f t="shared" ca="1" si="92"/>
        <v>7646480.4000000004</v>
      </c>
      <c r="EI12" s="40">
        <f t="shared" ca="1" si="92"/>
        <v>7646480.4000000004</v>
      </c>
      <c r="EJ12" s="40">
        <f t="shared" ca="1" si="92"/>
        <v>7646480.4000000004</v>
      </c>
      <c r="EK12" s="40">
        <f t="shared" ca="1" si="92"/>
        <v>7646480.4000000004</v>
      </c>
      <c r="EL12" s="40">
        <f t="shared" ca="1" si="92"/>
        <v>7646480.4000000004</v>
      </c>
      <c r="EM12" s="40">
        <f t="shared" ca="1" si="92"/>
        <v>7646480.4000000004</v>
      </c>
      <c r="EN12" s="40">
        <f t="shared" ca="1" si="92"/>
        <v>7646480.4000000004</v>
      </c>
      <c r="EO12" s="40">
        <f t="shared" ca="1" si="92"/>
        <v>7646480.4000000004</v>
      </c>
      <c r="EP12" s="40">
        <f t="shared" ca="1" si="92"/>
        <v>7646480.4000000004</v>
      </c>
      <c r="EQ12" s="40">
        <f t="shared" ca="1" si="92"/>
        <v>7646480.4000000004</v>
      </c>
      <c r="ER12" s="40">
        <f t="shared" ca="1" si="92"/>
        <v>7646480.4000000004</v>
      </c>
      <c r="ES12" s="40">
        <f t="shared" ca="1" si="92"/>
        <v>7646480.4000000004</v>
      </c>
      <c r="ET12" s="40">
        <f t="shared" ca="1" si="92"/>
        <v>7646480.4000000004</v>
      </c>
      <c r="EU12" s="40">
        <f t="shared" ca="1" si="92"/>
        <v>7646480.4000000004</v>
      </c>
      <c r="EV12" s="40">
        <f t="shared" ca="1" si="92"/>
        <v>7646480.4000000004</v>
      </c>
      <c r="EW12" s="40">
        <f t="shared" ca="1" si="92"/>
        <v>7646480.4000000004</v>
      </c>
      <c r="EX12" s="40">
        <f t="shared" ca="1" si="92"/>
        <v>7646480.4000000004</v>
      </c>
      <c r="EY12" s="40">
        <f t="shared" ca="1" si="92"/>
        <v>7646480.4000000004</v>
      </c>
      <c r="EZ12" s="40">
        <f t="shared" ca="1" si="92"/>
        <v>7646480.4000000004</v>
      </c>
      <c r="FA12" s="40">
        <f t="shared" ca="1" si="92"/>
        <v>7646480.4000000004</v>
      </c>
      <c r="FB12" s="40">
        <f t="shared" ca="1" si="92"/>
        <v>7646480.4000000004</v>
      </c>
      <c r="FC12" s="40">
        <f t="shared" ca="1" si="92"/>
        <v>7646480.4000000004</v>
      </c>
      <c r="FD12" s="40">
        <f t="shared" ca="1" si="92"/>
        <v>7646480.4000000004</v>
      </c>
      <c r="FE12" s="40">
        <f t="shared" ca="1" si="92"/>
        <v>7646480.4000000004</v>
      </c>
      <c r="FF12" s="40">
        <f t="shared" ca="1" si="92"/>
        <v>7646480.4000000004</v>
      </c>
      <c r="FG12" s="40">
        <f t="shared" ca="1" si="92"/>
        <v>7646480.4000000004</v>
      </c>
      <c r="FH12" s="40">
        <f t="shared" ca="1" si="92"/>
        <v>7646480.4000000004</v>
      </c>
      <c r="FI12" s="40">
        <f t="shared" ca="1" si="92"/>
        <v>7646480.4000000004</v>
      </c>
      <c r="FJ12" s="40">
        <f t="shared" ca="1" si="92"/>
        <v>7646480.4000000004</v>
      </c>
      <c r="FK12" s="40">
        <f t="shared" ca="1" si="92"/>
        <v>7646480.4000000004</v>
      </c>
      <c r="FL12" s="40">
        <f t="shared" ca="1" si="92"/>
        <v>7646480.4000000004</v>
      </c>
      <c r="FM12" s="40">
        <f t="shared" ca="1" si="92"/>
        <v>7646480.4000000004</v>
      </c>
      <c r="FN12" s="40">
        <f t="shared" ca="1" si="92"/>
        <v>7646480.4000000004</v>
      </c>
      <c r="FO12" s="40">
        <f t="shared" ca="1" si="92"/>
        <v>7646480.4000000004</v>
      </c>
      <c r="FP12" s="40">
        <f t="shared" ca="1" si="92"/>
        <v>7646480.4000000004</v>
      </c>
      <c r="FQ12" s="40">
        <f t="shared" ca="1" si="92"/>
        <v>7646480.4000000004</v>
      </c>
      <c r="FR12" s="40">
        <f t="shared" ca="1" si="92"/>
        <v>7646480.4000000004</v>
      </c>
      <c r="FS12" s="40">
        <f t="shared" ca="1" si="92"/>
        <v>7646480.4000000004</v>
      </c>
      <c r="FT12" s="40">
        <f t="shared" ca="1" si="92"/>
        <v>7646480.4000000004</v>
      </c>
      <c r="FU12" s="40">
        <f t="shared" ca="1" si="92"/>
        <v>7646480.4000000004</v>
      </c>
      <c r="FV12" s="40">
        <f t="shared" ca="1" si="92"/>
        <v>7646480.4000000004</v>
      </c>
      <c r="FW12" s="40">
        <f t="shared" ca="1" si="92"/>
        <v>7646480.4000000004</v>
      </c>
      <c r="FX12" s="40">
        <f t="shared" ca="1" si="92"/>
        <v>7646480.4000000004</v>
      </c>
      <c r="FY12" s="40">
        <f t="shared" ca="1" si="92"/>
        <v>7646480.4000000004</v>
      </c>
      <c r="FZ12" s="40">
        <f t="shared" ca="1" si="92"/>
        <v>7646480.4000000004</v>
      </c>
      <c r="GA12" s="40">
        <f t="shared" ca="1" si="92"/>
        <v>7646480.4000000004</v>
      </c>
      <c r="GB12" s="40">
        <f t="shared" ca="1" si="92"/>
        <v>7646480.4000000004</v>
      </c>
      <c r="GC12" s="40">
        <f t="shared" ca="1" si="92"/>
        <v>7646480.4000000004</v>
      </c>
      <c r="GD12" s="40">
        <f t="shared" ca="1" si="92"/>
        <v>7646480.4000000004</v>
      </c>
      <c r="GE12" s="40">
        <f t="shared" ca="1" si="92"/>
        <v>7646480.4000000004</v>
      </c>
      <c r="GF12" s="40">
        <f t="shared" ca="1" si="92"/>
        <v>7646480.4000000004</v>
      </c>
      <c r="GG12" s="40">
        <f t="shared" ca="1" si="92"/>
        <v>7646480.4000000004</v>
      </c>
      <c r="GH12" s="40">
        <f t="shared" ca="1" si="92"/>
        <v>7646480.4000000004</v>
      </c>
      <c r="GI12" s="40">
        <f t="shared" ca="1" si="92"/>
        <v>7646480.4000000004</v>
      </c>
      <c r="GJ12" s="40">
        <f t="shared" ca="1" si="92"/>
        <v>7646480.4000000004</v>
      </c>
      <c r="GK12" s="40">
        <f t="shared" ca="1" si="92"/>
        <v>7646480.4000000004</v>
      </c>
      <c r="GL12" s="40">
        <f t="shared" ca="1" si="92"/>
        <v>7646480.4000000004</v>
      </c>
      <c r="GM12" s="40">
        <f t="shared" ca="1" si="92"/>
        <v>7646480.4000000004</v>
      </c>
      <c r="GN12" s="40">
        <f t="shared" ca="1" si="92"/>
        <v>7646480.4000000004</v>
      </c>
      <c r="GO12" s="40">
        <f t="shared" ca="1" si="92"/>
        <v>7646480.4000000004</v>
      </c>
      <c r="GP12" s="40">
        <f t="shared" ca="1" si="92"/>
        <v>7646480.4000000004</v>
      </c>
      <c r="GQ12" s="40">
        <f t="shared" ca="1" si="92"/>
        <v>7646480.4000000004</v>
      </c>
      <c r="GR12" s="40">
        <f t="shared" ca="1" si="92"/>
        <v>7646480.4000000004</v>
      </c>
      <c r="GS12" s="40">
        <f t="shared" ref="GS12:IN12" ca="1" si="93">IF(IF(AND(ISNA(GS$8),ISNA(GR$8)),GR12*(1+$E$12),IF(AND(GR$8&gt;0,ISNA(GS$8)),GR12*(1+$E$12),GS$8))&gt;$C$21,$C$21,IF(AND(ISNA(GS$8),ISNA(GR$8)),GR12*(1+$E$12),IF(AND(GR$8&gt;0,ISNA(GS$8)),GR12*(1+$E$12),GS$8)))</f>
        <v>7646480.4000000004</v>
      </c>
      <c r="GT12" s="40">
        <f t="shared" ca="1" si="93"/>
        <v>7646480.4000000004</v>
      </c>
      <c r="GU12" s="40">
        <f t="shared" ca="1" si="93"/>
        <v>7646480.4000000004</v>
      </c>
      <c r="GV12" s="40">
        <f t="shared" ca="1" si="93"/>
        <v>7646480.4000000004</v>
      </c>
      <c r="GW12" s="40">
        <f t="shared" ca="1" si="93"/>
        <v>7646480.4000000004</v>
      </c>
      <c r="GX12" s="40">
        <f t="shared" ca="1" si="93"/>
        <v>7646480.4000000004</v>
      </c>
      <c r="GY12" s="40">
        <f t="shared" ca="1" si="93"/>
        <v>7646480.4000000004</v>
      </c>
      <c r="GZ12" s="40">
        <f t="shared" ca="1" si="93"/>
        <v>7646480.4000000004</v>
      </c>
      <c r="HA12" s="40">
        <f t="shared" ca="1" si="93"/>
        <v>7646480.4000000004</v>
      </c>
      <c r="HB12" s="40">
        <f t="shared" ca="1" si="93"/>
        <v>7646480.4000000004</v>
      </c>
      <c r="HC12" s="40">
        <f t="shared" ca="1" si="93"/>
        <v>7646480.4000000004</v>
      </c>
      <c r="HD12" s="40">
        <f t="shared" ca="1" si="93"/>
        <v>7646480.4000000004</v>
      </c>
      <c r="HE12" s="40">
        <f t="shared" ca="1" si="93"/>
        <v>7646480.4000000004</v>
      </c>
      <c r="HF12" s="40">
        <f t="shared" ca="1" si="93"/>
        <v>7646480.4000000004</v>
      </c>
      <c r="HG12" s="40">
        <f t="shared" ca="1" si="93"/>
        <v>7646480.4000000004</v>
      </c>
      <c r="HH12" s="40">
        <f t="shared" ca="1" si="93"/>
        <v>7646480.4000000004</v>
      </c>
      <c r="HI12" s="40">
        <f t="shared" ca="1" si="93"/>
        <v>7646480.4000000004</v>
      </c>
      <c r="HJ12" s="40">
        <f t="shared" ca="1" si="93"/>
        <v>7646480.4000000004</v>
      </c>
      <c r="HK12" s="40">
        <f t="shared" ca="1" si="93"/>
        <v>7646480.4000000004</v>
      </c>
      <c r="HL12" s="40">
        <f t="shared" ca="1" si="93"/>
        <v>7646480.4000000004</v>
      </c>
      <c r="HM12" s="40">
        <f t="shared" ca="1" si="93"/>
        <v>7646480.4000000004</v>
      </c>
      <c r="HN12" s="40">
        <f t="shared" ca="1" si="93"/>
        <v>7646480.4000000004</v>
      </c>
      <c r="HO12" s="40">
        <f t="shared" ca="1" si="93"/>
        <v>7646480.4000000004</v>
      </c>
      <c r="HP12" s="40">
        <f t="shared" ca="1" si="93"/>
        <v>7646480.4000000004</v>
      </c>
      <c r="HQ12" s="40">
        <f t="shared" ca="1" si="93"/>
        <v>7646480.4000000004</v>
      </c>
      <c r="HR12" s="40">
        <f t="shared" ca="1" si="93"/>
        <v>7646480.4000000004</v>
      </c>
      <c r="HS12" s="40">
        <f t="shared" ca="1" si="93"/>
        <v>7646480.4000000004</v>
      </c>
      <c r="HT12" s="40">
        <f t="shared" ca="1" si="93"/>
        <v>7646480.4000000004</v>
      </c>
      <c r="HU12" s="40">
        <f t="shared" ca="1" si="93"/>
        <v>7646480.4000000004</v>
      </c>
      <c r="HV12" s="40">
        <f t="shared" ca="1" si="93"/>
        <v>7646480.4000000004</v>
      </c>
      <c r="HW12" s="40">
        <f t="shared" ca="1" si="93"/>
        <v>7646480.4000000004</v>
      </c>
      <c r="HX12" s="40">
        <f t="shared" ca="1" si="93"/>
        <v>7646480.4000000004</v>
      </c>
      <c r="HY12" s="40">
        <f t="shared" ca="1" si="93"/>
        <v>7646480.4000000004</v>
      </c>
      <c r="HZ12" s="40">
        <f t="shared" ca="1" si="93"/>
        <v>7646480.4000000004</v>
      </c>
      <c r="IA12" s="40">
        <f t="shared" ca="1" si="93"/>
        <v>7646480.4000000004</v>
      </c>
      <c r="IB12" s="40">
        <f t="shared" ca="1" si="93"/>
        <v>7646480.4000000004</v>
      </c>
      <c r="IC12" s="40">
        <f t="shared" ca="1" si="93"/>
        <v>7646480.4000000004</v>
      </c>
      <c r="ID12" s="40">
        <f t="shared" ca="1" si="93"/>
        <v>7646480.4000000004</v>
      </c>
      <c r="IE12" s="40">
        <f t="shared" ca="1" si="93"/>
        <v>7646480.4000000004</v>
      </c>
      <c r="IF12" s="40">
        <f t="shared" ca="1" si="93"/>
        <v>7646480.4000000004</v>
      </c>
      <c r="IG12" s="40">
        <f t="shared" ca="1" si="93"/>
        <v>7646480.4000000004</v>
      </c>
      <c r="IH12" s="40">
        <f t="shared" ca="1" si="93"/>
        <v>7646480.4000000004</v>
      </c>
      <c r="II12" s="40">
        <f t="shared" ca="1" si="93"/>
        <v>7646480.4000000004</v>
      </c>
      <c r="IJ12" s="40">
        <f t="shared" ca="1" si="93"/>
        <v>7646480.4000000004</v>
      </c>
      <c r="IK12" s="40">
        <f t="shared" ca="1" si="93"/>
        <v>7646480.4000000004</v>
      </c>
      <c r="IL12" s="40">
        <f t="shared" ca="1" si="93"/>
        <v>7646480.4000000004</v>
      </c>
      <c r="IM12" s="40">
        <f t="shared" ca="1" si="93"/>
        <v>7646480.4000000004</v>
      </c>
      <c r="IN12" s="40">
        <f t="shared" ca="1" si="93"/>
        <v>7646480.4000000004</v>
      </c>
    </row>
    <row r="13" spans="2:248" x14ac:dyDescent="0.3">
      <c r="B13" s="19" t="s">
        <v>587</v>
      </c>
      <c r="C13" s="74" t="e">
        <f ca="1">HLOOKUP($C$5-1,G4:IN17,14,FALSE)</f>
        <v>#N/A</v>
      </c>
      <c r="F13" s="19" t="s">
        <v>588</v>
      </c>
      <c r="G13" s="74"/>
      <c r="H13" s="53">
        <f ca="1">IF(ISNA(G5),NA(),IF(H4&lt;$C$10,(H5/OFFSET(H5,0,-H4))^(1/(H4)),(H5/OFFSET(H5,0,-$C$10))^(1/$C$10))-1)</f>
        <v>0.29677419354838719</v>
      </c>
      <c r="I13" s="53">
        <f ca="1">IF(ISNA(H5),NA(),IF(I4&lt;$C$10,(I5/OFFSET(I5,0,-I4))^(1/(I4)),(I5/OFFSET(I5,0,-$C$10))^(1/$C$10))-1)</f>
        <v>0.23914642838033551</v>
      </c>
      <c r="J13" s="53">
        <f t="shared" ref="J13:BT13" ca="1" si="94">IF(ISNA(I5),NA(),IF(J4&lt;$C$10,(J5/OFFSET(J5,0,-J4))^(1/(J4)),(J5/OFFSET(J5,0,-$C$10))^(1/$C$10))-1)</f>
        <v>0.15367040793564346</v>
      </c>
      <c r="K13" s="53">
        <f t="shared" ca="1" si="94"/>
        <v>0.29356872761680153</v>
      </c>
      <c r="L13" s="53">
        <f t="shared" ca="1" si="94"/>
        <v>0.28211953543140589</v>
      </c>
      <c r="M13" s="53">
        <f t="shared" ca="1" si="94"/>
        <v>0.25748902738681467</v>
      </c>
      <c r="N13" s="53">
        <f t="shared" ca="1" si="94"/>
        <v>0.2567021962956606</v>
      </c>
      <c r="O13" s="53">
        <f t="shared" ca="1" si="94"/>
        <v>0.31108483125573128</v>
      </c>
      <c r="P13" s="53">
        <f t="shared" ca="1" si="94"/>
        <v>0.21348741004964045</v>
      </c>
      <c r="Q13" s="53">
        <f t="shared" ca="1" si="94"/>
        <v>0.19452096996814672</v>
      </c>
      <c r="R13" s="53">
        <f t="shared" ca="1" si="94"/>
        <v>0.20565141322849678</v>
      </c>
      <c r="S13" s="53">
        <f t="shared" ca="1" si="94"/>
        <v>0.20673919860519452</v>
      </c>
      <c r="T13" s="53">
        <f t="shared" ca="1" si="94"/>
        <v>0.18330301942665961</v>
      </c>
      <c r="U13" s="53" t="e">
        <f t="shared" ca="1" si="94"/>
        <v>#N/A</v>
      </c>
      <c r="V13" s="53" t="e">
        <f t="shared" ca="1" si="94"/>
        <v>#N/A</v>
      </c>
      <c r="W13" s="53" t="e">
        <f t="shared" ca="1" si="94"/>
        <v>#N/A</v>
      </c>
      <c r="X13" s="53" t="e">
        <f t="shared" ca="1" si="94"/>
        <v>#N/A</v>
      </c>
      <c r="Y13" s="53" t="e">
        <f t="shared" ca="1" si="94"/>
        <v>#N/A</v>
      </c>
      <c r="Z13" s="53" t="e">
        <f t="shared" ca="1" si="94"/>
        <v>#N/A</v>
      </c>
      <c r="AA13" s="53" t="e">
        <f t="shared" ca="1" si="94"/>
        <v>#N/A</v>
      </c>
      <c r="AB13" s="53" t="e">
        <f t="shared" ca="1" si="94"/>
        <v>#N/A</v>
      </c>
      <c r="AC13" s="53" t="e">
        <f ca="1">IF(ISNA(AB5),NA(),IF(AC4&lt;$C$10,(AC5/OFFSET(AC5,0,-AC4))^(1/(AC4)),(AC5/OFFSET(AC5,0,-$C$10))^(1/$C$10))-1)</f>
        <v>#N/A</v>
      </c>
      <c r="AD13" s="53" t="e">
        <f t="shared" ca="1" si="94"/>
        <v>#N/A</v>
      </c>
      <c r="AE13" s="53" t="e">
        <f t="shared" ca="1" si="94"/>
        <v>#N/A</v>
      </c>
      <c r="AF13" s="53" t="e">
        <f t="shared" ca="1" si="94"/>
        <v>#N/A</v>
      </c>
      <c r="AG13" s="53" t="e">
        <f t="shared" ca="1" si="94"/>
        <v>#N/A</v>
      </c>
      <c r="AH13" s="53" t="e">
        <f t="shared" ca="1" si="94"/>
        <v>#N/A</v>
      </c>
      <c r="AI13" s="53" t="e">
        <f t="shared" ca="1" si="94"/>
        <v>#N/A</v>
      </c>
      <c r="AJ13" s="53" t="e">
        <f t="shared" ca="1" si="94"/>
        <v>#N/A</v>
      </c>
      <c r="AK13" s="53" t="e">
        <f t="shared" ca="1" si="94"/>
        <v>#N/A</v>
      </c>
      <c r="AL13" s="53" t="e">
        <f t="shared" ca="1" si="94"/>
        <v>#N/A</v>
      </c>
      <c r="AM13" s="53" t="e">
        <f t="shared" ca="1" si="94"/>
        <v>#N/A</v>
      </c>
      <c r="AN13" s="53" t="e">
        <f t="shared" ca="1" si="94"/>
        <v>#N/A</v>
      </c>
      <c r="AO13" s="53" t="e">
        <f t="shared" ca="1" si="94"/>
        <v>#N/A</v>
      </c>
      <c r="AP13" s="53" t="e">
        <f t="shared" ca="1" si="94"/>
        <v>#N/A</v>
      </c>
      <c r="AQ13" s="53" t="e">
        <f t="shared" ca="1" si="94"/>
        <v>#N/A</v>
      </c>
      <c r="AR13" s="53" t="e">
        <f t="shared" ca="1" si="94"/>
        <v>#N/A</v>
      </c>
      <c r="AS13" s="53" t="e">
        <f t="shared" ca="1" si="94"/>
        <v>#N/A</v>
      </c>
      <c r="AT13" s="53" t="e">
        <f t="shared" ca="1" si="94"/>
        <v>#N/A</v>
      </c>
      <c r="AU13" s="53" t="e">
        <f t="shared" ca="1" si="94"/>
        <v>#N/A</v>
      </c>
      <c r="AV13" s="53" t="e">
        <f t="shared" ca="1" si="94"/>
        <v>#N/A</v>
      </c>
      <c r="AW13" s="53" t="e">
        <f t="shared" ca="1" si="94"/>
        <v>#N/A</v>
      </c>
      <c r="AX13" s="53" t="e">
        <f t="shared" ca="1" si="94"/>
        <v>#N/A</v>
      </c>
      <c r="AY13" s="53" t="e">
        <f t="shared" ca="1" si="94"/>
        <v>#N/A</v>
      </c>
      <c r="AZ13" s="53" t="e">
        <f t="shared" ca="1" si="94"/>
        <v>#N/A</v>
      </c>
      <c r="BA13" s="53" t="e">
        <f t="shared" ca="1" si="94"/>
        <v>#N/A</v>
      </c>
      <c r="BB13" s="53" t="e">
        <f t="shared" ca="1" si="94"/>
        <v>#N/A</v>
      </c>
      <c r="BC13" s="53" t="e">
        <f t="shared" ca="1" si="94"/>
        <v>#N/A</v>
      </c>
      <c r="BD13" s="53" t="e">
        <f t="shared" ca="1" si="94"/>
        <v>#N/A</v>
      </c>
      <c r="BE13" s="53" t="e">
        <f t="shared" ca="1" si="94"/>
        <v>#N/A</v>
      </c>
      <c r="BF13" s="53" t="e">
        <f t="shared" ca="1" si="94"/>
        <v>#N/A</v>
      </c>
      <c r="BG13" s="53" t="e">
        <f t="shared" ca="1" si="94"/>
        <v>#N/A</v>
      </c>
      <c r="BH13" s="53" t="e">
        <f t="shared" ca="1" si="94"/>
        <v>#N/A</v>
      </c>
      <c r="BI13" s="53" t="e">
        <f t="shared" ca="1" si="94"/>
        <v>#N/A</v>
      </c>
      <c r="BJ13" s="53" t="e">
        <f t="shared" ca="1" si="94"/>
        <v>#N/A</v>
      </c>
      <c r="BK13" s="53" t="e">
        <f t="shared" ca="1" si="94"/>
        <v>#N/A</v>
      </c>
      <c r="BL13" s="53" t="e">
        <f t="shared" ca="1" si="94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4"/>
        <v>#N/A</v>
      </c>
      <c r="BO13" s="53" t="e">
        <f t="shared" ca="1" si="94"/>
        <v>#N/A</v>
      </c>
      <c r="BP13" s="53" t="e">
        <f t="shared" ca="1" si="94"/>
        <v>#N/A</v>
      </c>
      <c r="BQ13" s="53" t="e">
        <f t="shared" ca="1" si="94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4"/>
        <v>#N/A</v>
      </c>
      <c r="BT13" s="53" t="e">
        <f t="shared" ca="1" si="94"/>
        <v>#N/A</v>
      </c>
      <c r="BU13" s="53" t="e">
        <f t="shared" ref="BU13:EF13" ca="1" si="95">IF(ISNA(BT5),NA(),IF(BU4&lt;$C$10,(BU5/OFFSET(BU5,0,-BU4))^(1/(BU4)),(BU5/OFFSET(BU5,0,-$C$10))^(1/$C$10))-1)</f>
        <v>#N/A</v>
      </c>
      <c r="BV13" s="53" t="e">
        <f t="shared" ca="1" si="95"/>
        <v>#N/A</v>
      </c>
      <c r="BW13" s="53" t="e">
        <f t="shared" ca="1" si="95"/>
        <v>#N/A</v>
      </c>
      <c r="BX13" s="53" t="e">
        <f t="shared" ca="1" si="95"/>
        <v>#N/A</v>
      </c>
      <c r="BY13" s="53" t="e">
        <f t="shared" ca="1" si="95"/>
        <v>#N/A</v>
      </c>
      <c r="BZ13" s="53" t="e">
        <f t="shared" ca="1" si="95"/>
        <v>#N/A</v>
      </c>
      <c r="CA13" s="53" t="e">
        <f t="shared" ca="1" si="95"/>
        <v>#N/A</v>
      </c>
      <c r="CB13" s="53" t="e">
        <f t="shared" ca="1" si="95"/>
        <v>#N/A</v>
      </c>
      <c r="CC13" s="53" t="e">
        <f t="shared" ca="1" si="95"/>
        <v>#N/A</v>
      </c>
      <c r="CD13" s="53" t="e">
        <f t="shared" ca="1" si="95"/>
        <v>#N/A</v>
      </c>
      <c r="CE13" s="53" t="e">
        <f t="shared" ca="1" si="95"/>
        <v>#N/A</v>
      </c>
      <c r="CF13" s="53" t="e">
        <f t="shared" ca="1" si="95"/>
        <v>#N/A</v>
      </c>
      <c r="CG13" s="53" t="e">
        <f t="shared" ca="1" si="95"/>
        <v>#N/A</v>
      </c>
      <c r="CH13" s="53" t="e">
        <f t="shared" ca="1" si="95"/>
        <v>#N/A</v>
      </c>
      <c r="CI13" s="53" t="e">
        <f t="shared" ca="1" si="95"/>
        <v>#N/A</v>
      </c>
      <c r="CJ13" s="53" t="e">
        <f t="shared" ca="1" si="95"/>
        <v>#N/A</v>
      </c>
      <c r="CK13" s="53" t="e">
        <f t="shared" ca="1" si="95"/>
        <v>#N/A</v>
      </c>
      <c r="CL13" s="53" t="e">
        <f t="shared" ca="1" si="95"/>
        <v>#N/A</v>
      </c>
      <c r="CM13" s="53" t="e">
        <f t="shared" ca="1" si="95"/>
        <v>#N/A</v>
      </c>
      <c r="CN13" s="53" t="e">
        <f t="shared" ca="1" si="95"/>
        <v>#N/A</v>
      </c>
      <c r="CO13" s="53" t="e">
        <f t="shared" ca="1" si="95"/>
        <v>#N/A</v>
      </c>
      <c r="CP13" s="53" t="e">
        <f t="shared" ca="1" si="95"/>
        <v>#N/A</v>
      </c>
      <c r="CQ13" s="53" t="e">
        <f t="shared" ca="1" si="95"/>
        <v>#N/A</v>
      </c>
      <c r="CR13" s="53" t="e">
        <f t="shared" ca="1" si="95"/>
        <v>#N/A</v>
      </c>
      <c r="CS13" s="53" t="e">
        <f t="shared" ca="1" si="95"/>
        <v>#N/A</v>
      </c>
      <c r="CT13" s="53" t="e">
        <f t="shared" ca="1" si="95"/>
        <v>#N/A</v>
      </c>
      <c r="CU13" s="53" t="e">
        <f t="shared" ca="1" si="95"/>
        <v>#N/A</v>
      </c>
      <c r="CV13" s="53" t="e">
        <f t="shared" ca="1" si="95"/>
        <v>#N/A</v>
      </c>
      <c r="CW13" s="53" t="e">
        <f t="shared" ca="1" si="95"/>
        <v>#N/A</v>
      </c>
      <c r="CX13" s="53" t="e">
        <f t="shared" ca="1" si="95"/>
        <v>#N/A</v>
      </c>
      <c r="CY13" s="53" t="e">
        <f t="shared" ca="1" si="95"/>
        <v>#N/A</v>
      </c>
      <c r="CZ13" s="53" t="e">
        <f t="shared" ca="1" si="95"/>
        <v>#N/A</v>
      </c>
      <c r="DA13" s="53" t="e">
        <f t="shared" ca="1" si="95"/>
        <v>#N/A</v>
      </c>
      <c r="DB13" s="53" t="e">
        <f t="shared" ca="1" si="95"/>
        <v>#N/A</v>
      </c>
      <c r="DC13" s="53" t="e">
        <f t="shared" ca="1" si="95"/>
        <v>#N/A</v>
      </c>
      <c r="DD13" s="53" t="e">
        <f t="shared" ca="1" si="95"/>
        <v>#N/A</v>
      </c>
      <c r="DE13" s="53" t="e">
        <f t="shared" ca="1" si="95"/>
        <v>#N/A</v>
      </c>
      <c r="DF13" s="53" t="e">
        <f t="shared" ca="1" si="95"/>
        <v>#N/A</v>
      </c>
      <c r="DG13" s="53" t="e">
        <f t="shared" ca="1" si="95"/>
        <v>#N/A</v>
      </c>
      <c r="DH13" s="53" t="e">
        <f t="shared" ca="1" si="95"/>
        <v>#N/A</v>
      </c>
      <c r="DI13" s="53" t="e">
        <f t="shared" ca="1" si="95"/>
        <v>#N/A</v>
      </c>
      <c r="DJ13" s="53" t="e">
        <f t="shared" ca="1" si="95"/>
        <v>#N/A</v>
      </c>
      <c r="DK13" s="53" t="e">
        <f t="shared" ca="1" si="95"/>
        <v>#N/A</v>
      </c>
      <c r="DL13" s="53" t="e">
        <f t="shared" ca="1" si="95"/>
        <v>#N/A</v>
      </c>
      <c r="DM13" s="53" t="e">
        <f t="shared" ca="1" si="95"/>
        <v>#N/A</v>
      </c>
      <c r="DN13" s="53" t="e">
        <f t="shared" ca="1" si="95"/>
        <v>#N/A</v>
      </c>
      <c r="DO13" s="53" t="e">
        <f t="shared" ca="1" si="95"/>
        <v>#N/A</v>
      </c>
      <c r="DP13" s="53" t="e">
        <f t="shared" ca="1" si="95"/>
        <v>#N/A</v>
      </c>
      <c r="DQ13" s="53" t="e">
        <f t="shared" ca="1" si="95"/>
        <v>#N/A</v>
      </c>
      <c r="DR13" s="53" t="e">
        <f t="shared" ca="1" si="95"/>
        <v>#N/A</v>
      </c>
      <c r="DS13" s="53" t="e">
        <f t="shared" ca="1" si="95"/>
        <v>#N/A</v>
      </c>
      <c r="DT13" s="53" t="e">
        <f t="shared" ca="1" si="95"/>
        <v>#N/A</v>
      </c>
      <c r="DU13" s="53" t="e">
        <f t="shared" ca="1" si="95"/>
        <v>#N/A</v>
      </c>
      <c r="DV13" s="53" t="e">
        <f t="shared" ca="1" si="95"/>
        <v>#N/A</v>
      </c>
      <c r="DW13" s="53" t="e">
        <f t="shared" ca="1" si="95"/>
        <v>#N/A</v>
      </c>
      <c r="DX13" s="53" t="e">
        <f t="shared" ca="1" si="95"/>
        <v>#N/A</v>
      </c>
      <c r="DY13" s="53" t="e">
        <f t="shared" ca="1" si="95"/>
        <v>#N/A</v>
      </c>
      <c r="DZ13" s="53" t="e">
        <f t="shared" ca="1" si="95"/>
        <v>#N/A</v>
      </c>
      <c r="EA13" s="53" t="e">
        <f t="shared" ca="1" si="95"/>
        <v>#N/A</v>
      </c>
      <c r="EB13" s="53" t="e">
        <f t="shared" ca="1" si="95"/>
        <v>#N/A</v>
      </c>
      <c r="EC13" s="53" t="e">
        <f t="shared" ca="1" si="95"/>
        <v>#N/A</v>
      </c>
      <c r="ED13" s="53" t="e">
        <f t="shared" ca="1" si="95"/>
        <v>#N/A</v>
      </c>
      <c r="EE13" s="53" t="e">
        <f t="shared" ca="1" si="95"/>
        <v>#N/A</v>
      </c>
      <c r="EF13" s="53" t="e">
        <f t="shared" ca="1" si="95"/>
        <v>#N/A</v>
      </c>
      <c r="EG13" s="53" t="e">
        <f t="shared" ref="EG13:GR13" ca="1" si="96">IF(ISNA(EF5),NA(),IF(EG4&lt;$C$10,(EG5/OFFSET(EG5,0,-EG4))^(1/(EG4)),(EG5/OFFSET(EG5,0,-$C$10))^(1/$C$10))-1)</f>
        <v>#N/A</v>
      </c>
      <c r="EH13" s="53" t="e">
        <f t="shared" ca="1" si="96"/>
        <v>#N/A</v>
      </c>
      <c r="EI13" s="53" t="e">
        <f t="shared" ca="1" si="96"/>
        <v>#N/A</v>
      </c>
      <c r="EJ13" s="53" t="e">
        <f t="shared" ca="1" si="96"/>
        <v>#N/A</v>
      </c>
      <c r="EK13" s="53" t="e">
        <f t="shared" ca="1" si="96"/>
        <v>#N/A</v>
      </c>
      <c r="EL13" s="53" t="e">
        <f t="shared" ca="1" si="96"/>
        <v>#N/A</v>
      </c>
      <c r="EM13" s="53" t="e">
        <f t="shared" ca="1" si="96"/>
        <v>#N/A</v>
      </c>
      <c r="EN13" s="53" t="e">
        <f t="shared" ca="1" si="96"/>
        <v>#N/A</v>
      </c>
      <c r="EO13" s="53" t="e">
        <f t="shared" ca="1" si="96"/>
        <v>#N/A</v>
      </c>
      <c r="EP13" s="53" t="e">
        <f t="shared" ca="1" si="96"/>
        <v>#N/A</v>
      </c>
      <c r="EQ13" s="53" t="e">
        <f t="shared" ca="1" si="96"/>
        <v>#N/A</v>
      </c>
      <c r="ER13" s="53" t="e">
        <f t="shared" ca="1" si="96"/>
        <v>#N/A</v>
      </c>
      <c r="ES13" s="53" t="e">
        <f t="shared" ca="1" si="96"/>
        <v>#N/A</v>
      </c>
      <c r="ET13" s="53" t="e">
        <f t="shared" ca="1" si="96"/>
        <v>#N/A</v>
      </c>
      <c r="EU13" s="53" t="e">
        <f t="shared" ca="1" si="96"/>
        <v>#N/A</v>
      </c>
      <c r="EV13" s="53" t="e">
        <f t="shared" ca="1" si="96"/>
        <v>#N/A</v>
      </c>
      <c r="EW13" s="53" t="e">
        <f t="shared" ca="1" si="96"/>
        <v>#N/A</v>
      </c>
      <c r="EX13" s="53" t="e">
        <f t="shared" ca="1" si="96"/>
        <v>#N/A</v>
      </c>
      <c r="EY13" s="53" t="e">
        <f t="shared" ca="1" si="96"/>
        <v>#N/A</v>
      </c>
      <c r="EZ13" s="53" t="e">
        <f t="shared" ca="1" si="96"/>
        <v>#N/A</v>
      </c>
      <c r="FA13" s="53" t="e">
        <f t="shared" ca="1" si="96"/>
        <v>#N/A</v>
      </c>
      <c r="FB13" s="53" t="e">
        <f t="shared" ca="1" si="96"/>
        <v>#N/A</v>
      </c>
      <c r="FC13" s="53" t="e">
        <f t="shared" ca="1" si="96"/>
        <v>#N/A</v>
      </c>
      <c r="FD13" s="53" t="e">
        <f t="shared" ca="1" si="96"/>
        <v>#N/A</v>
      </c>
      <c r="FE13" s="53" t="e">
        <f t="shared" ca="1" si="96"/>
        <v>#N/A</v>
      </c>
      <c r="FF13" s="53" t="e">
        <f t="shared" ca="1" si="96"/>
        <v>#N/A</v>
      </c>
      <c r="FG13" s="53" t="e">
        <f t="shared" ca="1" si="96"/>
        <v>#N/A</v>
      </c>
      <c r="FH13" s="53" t="e">
        <f t="shared" ca="1" si="96"/>
        <v>#N/A</v>
      </c>
      <c r="FI13" s="53" t="e">
        <f t="shared" ca="1" si="96"/>
        <v>#N/A</v>
      </c>
      <c r="FJ13" s="53" t="e">
        <f t="shared" ca="1" si="96"/>
        <v>#N/A</v>
      </c>
      <c r="FK13" s="53" t="e">
        <f t="shared" ca="1" si="96"/>
        <v>#N/A</v>
      </c>
      <c r="FL13" s="53" t="e">
        <f t="shared" ca="1" si="96"/>
        <v>#N/A</v>
      </c>
      <c r="FM13" s="53" t="e">
        <f t="shared" ca="1" si="96"/>
        <v>#N/A</v>
      </c>
      <c r="FN13" s="53" t="e">
        <f t="shared" ca="1" si="96"/>
        <v>#N/A</v>
      </c>
      <c r="FO13" s="53" t="e">
        <f t="shared" ca="1" si="96"/>
        <v>#N/A</v>
      </c>
      <c r="FP13" s="53" t="e">
        <f t="shared" ca="1" si="96"/>
        <v>#N/A</v>
      </c>
      <c r="FQ13" s="53" t="e">
        <f t="shared" ca="1" si="96"/>
        <v>#N/A</v>
      </c>
      <c r="FR13" s="53" t="e">
        <f t="shared" ca="1" si="96"/>
        <v>#N/A</v>
      </c>
      <c r="FS13" s="53" t="e">
        <f t="shared" ca="1" si="96"/>
        <v>#N/A</v>
      </c>
      <c r="FT13" s="53" t="e">
        <f t="shared" ca="1" si="96"/>
        <v>#N/A</v>
      </c>
      <c r="FU13" s="53" t="e">
        <f t="shared" ca="1" si="96"/>
        <v>#N/A</v>
      </c>
      <c r="FV13" s="53" t="e">
        <f t="shared" ca="1" si="96"/>
        <v>#N/A</v>
      </c>
      <c r="FW13" s="53" t="e">
        <f t="shared" ca="1" si="96"/>
        <v>#N/A</v>
      </c>
      <c r="FX13" s="53" t="e">
        <f t="shared" ca="1" si="96"/>
        <v>#N/A</v>
      </c>
      <c r="FY13" s="53" t="e">
        <f t="shared" ca="1" si="96"/>
        <v>#N/A</v>
      </c>
      <c r="FZ13" s="53" t="e">
        <f t="shared" ca="1" si="96"/>
        <v>#N/A</v>
      </c>
      <c r="GA13" s="53" t="e">
        <f t="shared" ca="1" si="96"/>
        <v>#N/A</v>
      </c>
      <c r="GB13" s="53" t="e">
        <f t="shared" ca="1" si="96"/>
        <v>#N/A</v>
      </c>
      <c r="GC13" s="53" t="e">
        <f t="shared" ca="1" si="96"/>
        <v>#N/A</v>
      </c>
      <c r="GD13" s="53" t="e">
        <f t="shared" ca="1" si="96"/>
        <v>#N/A</v>
      </c>
      <c r="GE13" s="53" t="e">
        <f t="shared" ca="1" si="96"/>
        <v>#N/A</v>
      </c>
      <c r="GF13" s="53" t="e">
        <f t="shared" ca="1" si="96"/>
        <v>#N/A</v>
      </c>
      <c r="GG13" s="53" t="e">
        <f t="shared" ca="1" si="96"/>
        <v>#N/A</v>
      </c>
      <c r="GH13" s="53" t="e">
        <f t="shared" ca="1" si="96"/>
        <v>#N/A</v>
      </c>
      <c r="GI13" s="53" t="e">
        <f t="shared" ca="1" si="96"/>
        <v>#N/A</v>
      </c>
      <c r="GJ13" s="53" t="e">
        <f t="shared" ca="1" si="96"/>
        <v>#N/A</v>
      </c>
      <c r="GK13" s="53" t="e">
        <f t="shared" ca="1" si="96"/>
        <v>#N/A</v>
      </c>
      <c r="GL13" s="53" t="e">
        <f t="shared" ca="1" si="96"/>
        <v>#N/A</v>
      </c>
      <c r="GM13" s="53" t="e">
        <f t="shared" ca="1" si="96"/>
        <v>#N/A</v>
      </c>
      <c r="GN13" s="53" t="e">
        <f t="shared" ca="1" si="96"/>
        <v>#N/A</v>
      </c>
      <c r="GO13" s="53" t="e">
        <f t="shared" ca="1" si="96"/>
        <v>#N/A</v>
      </c>
      <c r="GP13" s="53" t="e">
        <f t="shared" ca="1" si="96"/>
        <v>#N/A</v>
      </c>
      <c r="GQ13" s="53" t="e">
        <f t="shared" ca="1" si="96"/>
        <v>#N/A</v>
      </c>
      <c r="GR13" s="53" t="e">
        <f t="shared" ca="1" si="96"/>
        <v>#N/A</v>
      </c>
      <c r="GS13" s="53" t="e">
        <f t="shared" ref="GS13:IN13" ca="1" si="97">IF(ISNA(GR5),NA(),IF(GS4&lt;$C$10,(GS5/OFFSET(GS5,0,-GS4))^(1/(GS4)),(GS5/OFFSET(GS5,0,-$C$10))^(1/$C$10))-1)</f>
        <v>#N/A</v>
      </c>
      <c r="GT13" s="53" t="e">
        <f t="shared" ca="1" si="97"/>
        <v>#N/A</v>
      </c>
      <c r="GU13" s="53" t="e">
        <f t="shared" ca="1" si="97"/>
        <v>#N/A</v>
      </c>
      <c r="GV13" s="53" t="e">
        <f t="shared" ca="1" si="97"/>
        <v>#N/A</v>
      </c>
      <c r="GW13" s="53" t="e">
        <f t="shared" ca="1" si="97"/>
        <v>#N/A</v>
      </c>
      <c r="GX13" s="53" t="e">
        <f t="shared" ca="1" si="97"/>
        <v>#N/A</v>
      </c>
      <c r="GY13" s="53" t="e">
        <f t="shared" ca="1" si="97"/>
        <v>#N/A</v>
      </c>
      <c r="GZ13" s="53" t="e">
        <f t="shared" ca="1" si="97"/>
        <v>#N/A</v>
      </c>
      <c r="HA13" s="53" t="e">
        <f t="shared" ca="1" si="97"/>
        <v>#N/A</v>
      </c>
      <c r="HB13" s="53" t="e">
        <f t="shared" ca="1" si="97"/>
        <v>#N/A</v>
      </c>
      <c r="HC13" s="53" t="e">
        <f t="shared" ca="1" si="97"/>
        <v>#N/A</v>
      </c>
      <c r="HD13" s="53" t="e">
        <f t="shared" ca="1" si="97"/>
        <v>#N/A</v>
      </c>
      <c r="HE13" s="53" t="e">
        <f t="shared" ca="1" si="97"/>
        <v>#N/A</v>
      </c>
      <c r="HF13" s="53" t="e">
        <f t="shared" ca="1" si="97"/>
        <v>#N/A</v>
      </c>
      <c r="HG13" s="53" t="e">
        <f t="shared" ca="1" si="97"/>
        <v>#N/A</v>
      </c>
      <c r="HH13" s="53" t="e">
        <f t="shared" ca="1" si="97"/>
        <v>#N/A</v>
      </c>
      <c r="HI13" s="53" t="e">
        <f t="shared" ca="1" si="97"/>
        <v>#N/A</v>
      </c>
      <c r="HJ13" s="53" t="e">
        <f t="shared" ca="1" si="97"/>
        <v>#N/A</v>
      </c>
      <c r="HK13" s="53" t="e">
        <f t="shared" ca="1" si="97"/>
        <v>#N/A</v>
      </c>
      <c r="HL13" s="53" t="e">
        <f t="shared" ca="1" si="97"/>
        <v>#N/A</v>
      </c>
      <c r="HM13" s="53" t="e">
        <f t="shared" ca="1" si="97"/>
        <v>#N/A</v>
      </c>
      <c r="HN13" s="53" t="e">
        <f t="shared" ca="1" si="97"/>
        <v>#N/A</v>
      </c>
      <c r="HO13" s="53" t="e">
        <f t="shared" ca="1" si="97"/>
        <v>#N/A</v>
      </c>
      <c r="HP13" s="53" t="e">
        <f t="shared" ca="1" si="97"/>
        <v>#N/A</v>
      </c>
      <c r="HQ13" s="53" t="e">
        <f t="shared" ca="1" si="97"/>
        <v>#N/A</v>
      </c>
      <c r="HR13" s="53" t="e">
        <f t="shared" ca="1" si="97"/>
        <v>#N/A</v>
      </c>
      <c r="HS13" s="53" t="e">
        <f t="shared" ca="1" si="97"/>
        <v>#N/A</v>
      </c>
      <c r="HT13" s="53" t="e">
        <f t="shared" ca="1" si="97"/>
        <v>#N/A</v>
      </c>
      <c r="HU13" s="53" t="e">
        <f t="shared" ca="1" si="97"/>
        <v>#N/A</v>
      </c>
      <c r="HV13" s="53" t="e">
        <f t="shared" ca="1" si="97"/>
        <v>#N/A</v>
      </c>
      <c r="HW13" s="53" t="e">
        <f t="shared" ca="1" si="97"/>
        <v>#N/A</v>
      </c>
      <c r="HX13" s="53" t="e">
        <f t="shared" ca="1" si="97"/>
        <v>#N/A</v>
      </c>
      <c r="HY13" s="53" t="e">
        <f t="shared" ca="1" si="97"/>
        <v>#N/A</v>
      </c>
      <c r="HZ13" s="53" t="e">
        <f t="shared" ca="1" si="97"/>
        <v>#N/A</v>
      </c>
      <c r="IA13" s="53" t="e">
        <f t="shared" ca="1" si="97"/>
        <v>#N/A</v>
      </c>
      <c r="IB13" s="53" t="e">
        <f t="shared" ca="1" si="97"/>
        <v>#N/A</v>
      </c>
      <c r="IC13" s="53" t="e">
        <f t="shared" ca="1" si="97"/>
        <v>#N/A</v>
      </c>
      <c r="ID13" s="53" t="e">
        <f t="shared" ca="1" si="97"/>
        <v>#N/A</v>
      </c>
      <c r="IE13" s="53" t="e">
        <f t="shared" ca="1" si="97"/>
        <v>#N/A</v>
      </c>
      <c r="IF13" s="53" t="e">
        <f t="shared" ca="1" si="97"/>
        <v>#N/A</v>
      </c>
      <c r="IG13" s="53" t="e">
        <f t="shared" ca="1" si="97"/>
        <v>#N/A</v>
      </c>
      <c r="IH13" s="53" t="e">
        <f t="shared" ca="1" si="97"/>
        <v>#N/A</v>
      </c>
      <c r="II13" s="53" t="e">
        <f t="shared" ca="1" si="97"/>
        <v>#N/A</v>
      </c>
      <c r="IJ13" s="53" t="e">
        <f t="shared" ca="1" si="97"/>
        <v>#N/A</v>
      </c>
      <c r="IK13" s="53" t="e">
        <f t="shared" ca="1" si="97"/>
        <v>#N/A</v>
      </c>
      <c r="IL13" s="53" t="e">
        <f t="shared" ca="1" si="97"/>
        <v>#N/A</v>
      </c>
      <c r="IM13" s="53" t="e">
        <f t="shared" ca="1" si="97"/>
        <v>#N/A</v>
      </c>
      <c r="IN13" s="53" t="e">
        <f t="shared" ca="1" si="97"/>
        <v>#N/A</v>
      </c>
    </row>
    <row r="14" spans="2:248" x14ac:dyDescent="0.3">
      <c r="B14" s="19" t="s">
        <v>452</v>
      </c>
      <c r="C14" s="21">
        <f>C4*(1+C12)</f>
        <v>2531.0851585536248</v>
      </c>
      <c r="F14" s="19" t="s">
        <v>602</v>
      </c>
      <c r="G14" s="53">
        <f ca="1">H14</f>
        <v>0.29677419354838719</v>
      </c>
      <c r="H14" s="53">
        <f ca="1">IF(ISNA(G8),NA(),IF(H4&lt;$C$10,(H8/OFFSET(H8,0,-H4))^(1/(H4)),(H8/OFFSET(H8,0,-$C$10))^(1/$C$10))-1)</f>
        <v>0.29677419354838719</v>
      </c>
      <c r="I14" s="53">
        <f t="shared" ref="I14:BT14" ca="1" si="98">IF(ISNA(H8),NA(),IF(I4&lt;$C$10,(I8/OFFSET(I8,0,-I4))^(1/(I4)),(I8/OFFSET(I8,0,-$C$10))^(1/$C$10))-1)</f>
        <v>0.23914642838033551</v>
      </c>
      <c r="J14" s="53">
        <f t="shared" ca="1" si="98"/>
        <v>0.15367040793564346</v>
      </c>
      <c r="K14" s="53">
        <f t="shared" ca="1" si="98"/>
        <v>0.29356872761680153</v>
      </c>
      <c r="L14" s="53">
        <f t="shared" ca="1" si="98"/>
        <v>0.28211953543140589</v>
      </c>
      <c r="M14" s="53">
        <f t="shared" ca="1" si="98"/>
        <v>0.25748902738681467</v>
      </c>
      <c r="N14" s="53">
        <f t="shared" ca="1" si="98"/>
        <v>0.2567021962956606</v>
      </c>
      <c r="O14" s="53">
        <f t="shared" ca="1" si="98"/>
        <v>0.31108483125573128</v>
      </c>
      <c r="P14" s="53">
        <f t="shared" ca="1" si="98"/>
        <v>0.21348741004964045</v>
      </c>
      <c r="Q14" s="53">
        <f t="shared" ca="1" si="98"/>
        <v>0.19452096996814672</v>
      </c>
      <c r="R14" s="53">
        <f t="shared" ca="1" si="98"/>
        <v>0.15516827945692424</v>
      </c>
      <c r="S14" s="53">
        <f t="shared" ca="1" si="98"/>
        <v>0.1737576569854371</v>
      </c>
      <c r="T14" s="53">
        <f t="shared" ca="1" si="98"/>
        <v>0.15117936808696442</v>
      </c>
      <c r="U14" s="53" t="e">
        <f t="shared" ca="1" si="98"/>
        <v>#N/A</v>
      </c>
      <c r="V14" s="53" t="e">
        <f t="shared" ca="1" si="98"/>
        <v>#N/A</v>
      </c>
      <c r="W14" s="53" t="e">
        <f t="shared" ca="1" si="98"/>
        <v>#N/A</v>
      </c>
      <c r="X14" s="53" t="e">
        <f t="shared" ca="1" si="98"/>
        <v>#N/A</v>
      </c>
      <c r="Y14" s="53" t="e">
        <f t="shared" ca="1" si="98"/>
        <v>#N/A</v>
      </c>
      <c r="Z14" s="53" t="e">
        <f t="shared" ca="1" si="98"/>
        <v>#N/A</v>
      </c>
      <c r="AA14" s="53" t="e">
        <f t="shared" ca="1" si="98"/>
        <v>#N/A</v>
      </c>
      <c r="AB14" s="53" t="e">
        <f t="shared" ca="1" si="98"/>
        <v>#N/A</v>
      </c>
      <c r="AC14" s="53" t="e">
        <f t="shared" ca="1" si="98"/>
        <v>#N/A</v>
      </c>
      <c r="AD14" s="53" t="e">
        <f t="shared" ca="1" si="98"/>
        <v>#N/A</v>
      </c>
      <c r="AE14" s="53" t="e">
        <f t="shared" ca="1" si="98"/>
        <v>#N/A</v>
      </c>
      <c r="AF14" s="53" t="e">
        <f t="shared" ca="1" si="98"/>
        <v>#N/A</v>
      </c>
      <c r="AG14" s="53" t="e">
        <f t="shared" ca="1" si="98"/>
        <v>#N/A</v>
      </c>
      <c r="AH14" s="53" t="e">
        <f t="shared" ca="1" si="98"/>
        <v>#N/A</v>
      </c>
      <c r="AI14" s="53" t="e">
        <f t="shared" ca="1" si="98"/>
        <v>#N/A</v>
      </c>
      <c r="AJ14" s="53" t="e">
        <f t="shared" ca="1" si="98"/>
        <v>#N/A</v>
      </c>
      <c r="AK14" s="53" t="e">
        <f t="shared" ca="1" si="98"/>
        <v>#N/A</v>
      </c>
      <c r="AL14" s="53" t="e">
        <f t="shared" ca="1" si="98"/>
        <v>#N/A</v>
      </c>
      <c r="AM14" s="53" t="e">
        <f t="shared" ca="1" si="98"/>
        <v>#N/A</v>
      </c>
      <c r="AN14" s="53" t="e">
        <f t="shared" ca="1" si="98"/>
        <v>#N/A</v>
      </c>
      <c r="AO14" s="53" t="e">
        <f t="shared" ca="1" si="98"/>
        <v>#N/A</v>
      </c>
      <c r="AP14" s="53" t="e">
        <f t="shared" ca="1" si="98"/>
        <v>#N/A</v>
      </c>
      <c r="AQ14" s="53" t="e">
        <f t="shared" ca="1" si="98"/>
        <v>#N/A</v>
      </c>
      <c r="AR14" s="53" t="e">
        <f t="shared" ca="1" si="98"/>
        <v>#N/A</v>
      </c>
      <c r="AS14" s="53" t="e">
        <f t="shared" ca="1" si="98"/>
        <v>#N/A</v>
      </c>
      <c r="AT14" s="53" t="e">
        <f t="shared" ca="1" si="98"/>
        <v>#N/A</v>
      </c>
      <c r="AU14" s="53" t="e">
        <f t="shared" ca="1" si="98"/>
        <v>#N/A</v>
      </c>
      <c r="AV14" s="53" t="e">
        <f t="shared" ca="1" si="98"/>
        <v>#N/A</v>
      </c>
      <c r="AW14" s="53" t="e">
        <f t="shared" ca="1" si="98"/>
        <v>#N/A</v>
      </c>
      <c r="AX14" s="53" t="e">
        <f t="shared" ca="1" si="98"/>
        <v>#N/A</v>
      </c>
      <c r="AY14" s="53" t="e">
        <f t="shared" ca="1" si="98"/>
        <v>#N/A</v>
      </c>
      <c r="AZ14" s="53" t="e">
        <f t="shared" ca="1" si="98"/>
        <v>#N/A</v>
      </c>
      <c r="BA14" s="53" t="e">
        <f t="shared" ca="1" si="98"/>
        <v>#N/A</v>
      </c>
      <c r="BB14" s="53" t="e">
        <f t="shared" ca="1" si="98"/>
        <v>#N/A</v>
      </c>
      <c r="BC14" s="53" t="e">
        <f t="shared" ca="1" si="98"/>
        <v>#N/A</v>
      </c>
      <c r="BD14" s="53" t="e">
        <f t="shared" ca="1" si="98"/>
        <v>#N/A</v>
      </c>
      <c r="BE14" s="53" t="e">
        <f t="shared" ca="1" si="98"/>
        <v>#N/A</v>
      </c>
      <c r="BF14" s="53" t="e">
        <f t="shared" ca="1" si="98"/>
        <v>#N/A</v>
      </c>
      <c r="BG14" s="53" t="e">
        <f t="shared" ca="1" si="98"/>
        <v>#N/A</v>
      </c>
      <c r="BH14" s="53" t="e">
        <f t="shared" ca="1" si="98"/>
        <v>#N/A</v>
      </c>
      <c r="BI14" s="53" t="e">
        <f t="shared" ca="1" si="98"/>
        <v>#N/A</v>
      </c>
      <c r="BJ14" s="53" t="e">
        <f t="shared" ca="1" si="98"/>
        <v>#N/A</v>
      </c>
      <c r="BK14" s="53" t="e">
        <f t="shared" ca="1" si="98"/>
        <v>#N/A</v>
      </c>
      <c r="BL14" s="53" t="e">
        <f t="shared" ca="1" si="98"/>
        <v>#N/A</v>
      </c>
      <c r="BM14" s="53" t="e">
        <f t="shared" ca="1" si="98"/>
        <v>#N/A</v>
      </c>
      <c r="BN14" s="53" t="e">
        <f t="shared" ca="1" si="98"/>
        <v>#N/A</v>
      </c>
      <c r="BO14" s="53" t="e">
        <f t="shared" ca="1" si="98"/>
        <v>#N/A</v>
      </c>
      <c r="BP14" s="53" t="e">
        <f t="shared" ca="1" si="98"/>
        <v>#N/A</v>
      </c>
      <c r="BQ14" s="53" t="e">
        <f t="shared" ca="1" si="98"/>
        <v>#N/A</v>
      </c>
      <c r="BR14" s="53" t="e">
        <f t="shared" ca="1" si="98"/>
        <v>#N/A</v>
      </c>
      <c r="BS14" s="53" t="e">
        <f t="shared" ca="1" si="98"/>
        <v>#N/A</v>
      </c>
      <c r="BT14" s="53" t="e">
        <f t="shared" ca="1" si="98"/>
        <v>#N/A</v>
      </c>
      <c r="BU14" s="53" t="e">
        <f t="shared" ref="BU14:EF14" ca="1" si="99">IF(ISNA(BT8),NA(),IF(BU4&lt;$C$10,(BU8/OFFSET(BU8,0,-BU4))^(1/(BU4)),(BU8/OFFSET(BU8,0,-$C$10))^(1/$C$10))-1)</f>
        <v>#N/A</v>
      </c>
      <c r="BV14" s="53" t="e">
        <f t="shared" ca="1" si="99"/>
        <v>#N/A</v>
      </c>
      <c r="BW14" s="53" t="e">
        <f t="shared" ca="1" si="99"/>
        <v>#N/A</v>
      </c>
      <c r="BX14" s="53" t="e">
        <f t="shared" ca="1" si="99"/>
        <v>#N/A</v>
      </c>
      <c r="BY14" s="53" t="e">
        <f t="shared" ca="1" si="99"/>
        <v>#N/A</v>
      </c>
      <c r="BZ14" s="53" t="e">
        <f t="shared" ca="1" si="99"/>
        <v>#N/A</v>
      </c>
      <c r="CA14" s="53" t="e">
        <f t="shared" ca="1" si="99"/>
        <v>#N/A</v>
      </c>
      <c r="CB14" s="53" t="e">
        <f t="shared" ca="1" si="99"/>
        <v>#N/A</v>
      </c>
      <c r="CC14" s="53" t="e">
        <f t="shared" ca="1" si="99"/>
        <v>#N/A</v>
      </c>
      <c r="CD14" s="53" t="e">
        <f t="shared" ca="1" si="99"/>
        <v>#N/A</v>
      </c>
      <c r="CE14" s="53" t="e">
        <f t="shared" ca="1" si="99"/>
        <v>#N/A</v>
      </c>
      <c r="CF14" s="53" t="e">
        <f t="shared" ca="1" si="99"/>
        <v>#N/A</v>
      </c>
      <c r="CG14" s="53" t="e">
        <f t="shared" ca="1" si="99"/>
        <v>#N/A</v>
      </c>
      <c r="CH14" s="53" t="e">
        <f t="shared" ca="1" si="99"/>
        <v>#N/A</v>
      </c>
      <c r="CI14" s="53" t="e">
        <f t="shared" ca="1" si="99"/>
        <v>#N/A</v>
      </c>
      <c r="CJ14" s="53" t="e">
        <f t="shared" ca="1" si="99"/>
        <v>#N/A</v>
      </c>
      <c r="CK14" s="53" t="e">
        <f t="shared" ca="1" si="99"/>
        <v>#N/A</v>
      </c>
      <c r="CL14" s="53" t="e">
        <f t="shared" ca="1" si="99"/>
        <v>#N/A</v>
      </c>
      <c r="CM14" s="53" t="e">
        <f t="shared" ca="1" si="99"/>
        <v>#N/A</v>
      </c>
      <c r="CN14" s="53" t="e">
        <f t="shared" ca="1" si="99"/>
        <v>#N/A</v>
      </c>
      <c r="CO14" s="53" t="e">
        <f t="shared" ca="1" si="99"/>
        <v>#N/A</v>
      </c>
      <c r="CP14" s="53" t="e">
        <f t="shared" ca="1" si="99"/>
        <v>#N/A</v>
      </c>
      <c r="CQ14" s="53" t="e">
        <f t="shared" ca="1" si="99"/>
        <v>#N/A</v>
      </c>
      <c r="CR14" s="53" t="e">
        <f t="shared" ca="1" si="99"/>
        <v>#N/A</v>
      </c>
      <c r="CS14" s="53" t="e">
        <f t="shared" ca="1" si="99"/>
        <v>#N/A</v>
      </c>
      <c r="CT14" s="53" t="e">
        <f t="shared" ca="1" si="99"/>
        <v>#N/A</v>
      </c>
      <c r="CU14" s="53" t="e">
        <f t="shared" ca="1" si="99"/>
        <v>#N/A</v>
      </c>
      <c r="CV14" s="53" t="e">
        <f t="shared" ca="1" si="99"/>
        <v>#N/A</v>
      </c>
      <c r="CW14" s="53" t="e">
        <f t="shared" ca="1" si="99"/>
        <v>#N/A</v>
      </c>
      <c r="CX14" s="53" t="e">
        <f t="shared" ca="1" si="99"/>
        <v>#N/A</v>
      </c>
      <c r="CY14" s="53" t="e">
        <f t="shared" ca="1" si="99"/>
        <v>#N/A</v>
      </c>
      <c r="CZ14" s="53" t="e">
        <f t="shared" ca="1" si="99"/>
        <v>#N/A</v>
      </c>
      <c r="DA14" s="53" t="e">
        <f t="shared" ca="1" si="99"/>
        <v>#N/A</v>
      </c>
      <c r="DB14" s="53" t="e">
        <f t="shared" ca="1" si="99"/>
        <v>#N/A</v>
      </c>
      <c r="DC14" s="53" t="e">
        <f t="shared" ca="1" si="99"/>
        <v>#N/A</v>
      </c>
      <c r="DD14" s="53" t="e">
        <f t="shared" ca="1" si="99"/>
        <v>#N/A</v>
      </c>
      <c r="DE14" s="53" t="e">
        <f t="shared" ca="1" si="99"/>
        <v>#N/A</v>
      </c>
      <c r="DF14" s="53" t="e">
        <f t="shared" ca="1" si="99"/>
        <v>#N/A</v>
      </c>
      <c r="DG14" s="53" t="e">
        <f t="shared" ca="1" si="99"/>
        <v>#N/A</v>
      </c>
      <c r="DH14" s="53" t="e">
        <f t="shared" ca="1" si="99"/>
        <v>#N/A</v>
      </c>
      <c r="DI14" s="53" t="e">
        <f t="shared" ca="1" si="99"/>
        <v>#N/A</v>
      </c>
      <c r="DJ14" s="53" t="e">
        <f t="shared" ca="1" si="99"/>
        <v>#N/A</v>
      </c>
      <c r="DK14" s="53" t="e">
        <f t="shared" ca="1" si="99"/>
        <v>#N/A</v>
      </c>
      <c r="DL14" s="53" t="e">
        <f t="shared" ca="1" si="99"/>
        <v>#N/A</v>
      </c>
      <c r="DM14" s="53" t="e">
        <f t="shared" ca="1" si="99"/>
        <v>#N/A</v>
      </c>
      <c r="DN14" s="53" t="e">
        <f t="shared" ca="1" si="99"/>
        <v>#N/A</v>
      </c>
      <c r="DO14" s="53" t="e">
        <f t="shared" ca="1" si="99"/>
        <v>#N/A</v>
      </c>
      <c r="DP14" s="53" t="e">
        <f t="shared" ca="1" si="99"/>
        <v>#N/A</v>
      </c>
      <c r="DQ14" s="53" t="e">
        <f t="shared" ca="1" si="99"/>
        <v>#N/A</v>
      </c>
      <c r="DR14" s="53" t="e">
        <f t="shared" ca="1" si="99"/>
        <v>#N/A</v>
      </c>
      <c r="DS14" s="53" t="e">
        <f t="shared" ca="1" si="99"/>
        <v>#N/A</v>
      </c>
      <c r="DT14" s="53" t="e">
        <f t="shared" ca="1" si="99"/>
        <v>#N/A</v>
      </c>
      <c r="DU14" s="53" t="e">
        <f t="shared" ca="1" si="99"/>
        <v>#N/A</v>
      </c>
      <c r="DV14" s="53" t="e">
        <f t="shared" ca="1" si="99"/>
        <v>#N/A</v>
      </c>
      <c r="DW14" s="53" t="e">
        <f t="shared" ca="1" si="99"/>
        <v>#N/A</v>
      </c>
      <c r="DX14" s="53" t="e">
        <f t="shared" ca="1" si="99"/>
        <v>#N/A</v>
      </c>
      <c r="DY14" s="53" t="e">
        <f t="shared" ca="1" si="99"/>
        <v>#N/A</v>
      </c>
      <c r="DZ14" s="53" t="e">
        <f t="shared" ca="1" si="99"/>
        <v>#N/A</v>
      </c>
      <c r="EA14" s="53" t="e">
        <f t="shared" ca="1" si="99"/>
        <v>#N/A</v>
      </c>
      <c r="EB14" s="53" t="e">
        <f t="shared" ca="1" si="99"/>
        <v>#N/A</v>
      </c>
      <c r="EC14" s="53" t="e">
        <f t="shared" ca="1" si="99"/>
        <v>#N/A</v>
      </c>
      <c r="ED14" s="53" t="e">
        <f t="shared" ca="1" si="99"/>
        <v>#N/A</v>
      </c>
      <c r="EE14" s="53" t="e">
        <f t="shared" ca="1" si="99"/>
        <v>#N/A</v>
      </c>
      <c r="EF14" s="53" t="e">
        <f t="shared" ca="1" si="99"/>
        <v>#N/A</v>
      </c>
      <c r="EG14" s="53" t="e">
        <f t="shared" ref="EG14:GR14" ca="1" si="100">IF(ISNA(EF8),NA(),IF(EG4&lt;$C$10,(EG8/OFFSET(EG8,0,-EG4))^(1/(EG4)),(EG8/OFFSET(EG8,0,-$C$10))^(1/$C$10))-1)</f>
        <v>#N/A</v>
      </c>
      <c r="EH14" s="53" t="e">
        <f t="shared" ca="1" si="100"/>
        <v>#N/A</v>
      </c>
      <c r="EI14" s="53" t="e">
        <f t="shared" ca="1" si="100"/>
        <v>#N/A</v>
      </c>
      <c r="EJ14" s="53" t="e">
        <f t="shared" ca="1" si="100"/>
        <v>#N/A</v>
      </c>
      <c r="EK14" s="53" t="e">
        <f t="shared" ca="1" si="100"/>
        <v>#N/A</v>
      </c>
      <c r="EL14" s="53" t="e">
        <f t="shared" ca="1" si="100"/>
        <v>#N/A</v>
      </c>
      <c r="EM14" s="53" t="e">
        <f t="shared" ca="1" si="100"/>
        <v>#N/A</v>
      </c>
      <c r="EN14" s="53" t="e">
        <f t="shared" ca="1" si="100"/>
        <v>#N/A</v>
      </c>
      <c r="EO14" s="53" t="e">
        <f t="shared" ca="1" si="100"/>
        <v>#N/A</v>
      </c>
      <c r="EP14" s="53" t="e">
        <f t="shared" ca="1" si="100"/>
        <v>#N/A</v>
      </c>
      <c r="EQ14" s="53" t="e">
        <f t="shared" ca="1" si="100"/>
        <v>#N/A</v>
      </c>
      <c r="ER14" s="53" t="e">
        <f t="shared" ca="1" si="100"/>
        <v>#N/A</v>
      </c>
      <c r="ES14" s="53" t="e">
        <f t="shared" ca="1" si="100"/>
        <v>#N/A</v>
      </c>
      <c r="ET14" s="53" t="e">
        <f t="shared" ca="1" si="100"/>
        <v>#N/A</v>
      </c>
      <c r="EU14" s="53" t="e">
        <f t="shared" ca="1" si="100"/>
        <v>#N/A</v>
      </c>
      <c r="EV14" s="53" t="e">
        <f t="shared" ca="1" si="100"/>
        <v>#N/A</v>
      </c>
      <c r="EW14" s="53" t="e">
        <f t="shared" ca="1" si="100"/>
        <v>#N/A</v>
      </c>
      <c r="EX14" s="53" t="e">
        <f t="shared" ca="1" si="100"/>
        <v>#N/A</v>
      </c>
      <c r="EY14" s="53" t="e">
        <f t="shared" ca="1" si="100"/>
        <v>#N/A</v>
      </c>
      <c r="EZ14" s="53" t="e">
        <f t="shared" ca="1" si="100"/>
        <v>#N/A</v>
      </c>
      <c r="FA14" s="53" t="e">
        <f t="shared" ca="1" si="100"/>
        <v>#N/A</v>
      </c>
      <c r="FB14" s="53" t="e">
        <f t="shared" ca="1" si="100"/>
        <v>#N/A</v>
      </c>
      <c r="FC14" s="53" t="e">
        <f t="shared" ca="1" si="100"/>
        <v>#N/A</v>
      </c>
      <c r="FD14" s="53" t="e">
        <f t="shared" ca="1" si="100"/>
        <v>#N/A</v>
      </c>
      <c r="FE14" s="53" t="e">
        <f t="shared" ca="1" si="100"/>
        <v>#N/A</v>
      </c>
      <c r="FF14" s="53" t="e">
        <f t="shared" ca="1" si="100"/>
        <v>#N/A</v>
      </c>
      <c r="FG14" s="53" t="e">
        <f t="shared" ca="1" si="100"/>
        <v>#N/A</v>
      </c>
      <c r="FH14" s="53" t="e">
        <f t="shared" ca="1" si="100"/>
        <v>#N/A</v>
      </c>
      <c r="FI14" s="53" t="e">
        <f t="shared" ca="1" si="100"/>
        <v>#N/A</v>
      </c>
      <c r="FJ14" s="53" t="e">
        <f t="shared" ca="1" si="100"/>
        <v>#N/A</v>
      </c>
      <c r="FK14" s="53" t="e">
        <f t="shared" ca="1" si="100"/>
        <v>#N/A</v>
      </c>
      <c r="FL14" s="53" t="e">
        <f t="shared" ca="1" si="100"/>
        <v>#N/A</v>
      </c>
      <c r="FM14" s="53" t="e">
        <f t="shared" ca="1" si="100"/>
        <v>#N/A</v>
      </c>
      <c r="FN14" s="53" t="e">
        <f t="shared" ca="1" si="100"/>
        <v>#N/A</v>
      </c>
      <c r="FO14" s="53" t="e">
        <f t="shared" ca="1" si="100"/>
        <v>#N/A</v>
      </c>
      <c r="FP14" s="53" t="e">
        <f t="shared" ca="1" si="100"/>
        <v>#N/A</v>
      </c>
      <c r="FQ14" s="53" t="e">
        <f t="shared" ca="1" si="100"/>
        <v>#N/A</v>
      </c>
      <c r="FR14" s="53" t="e">
        <f t="shared" ca="1" si="100"/>
        <v>#N/A</v>
      </c>
      <c r="FS14" s="53" t="e">
        <f t="shared" ca="1" si="100"/>
        <v>#N/A</v>
      </c>
      <c r="FT14" s="53" t="e">
        <f t="shared" ca="1" si="100"/>
        <v>#N/A</v>
      </c>
      <c r="FU14" s="53" t="e">
        <f t="shared" ca="1" si="100"/>
        <v>#N/A</v>
      </c>
      <c r="FV14" s="53" t="e">
        <f t="shared" ca="1" si="100"/>
        <v>#N/A</v>
      </c>
      <c r="FW14" s="53" t="e">
        <f t="shared" ca="1" si="100"/>
        <v>#N/A</v>
      </c>
      <c r="FX14" s="53" t="e">
        <f t="shared" ca="1" si="100"/>
        <v>#N/A</v>
      </c>
      <c r="FY14" s="53" t="e">
        <f t="shared" ca="1" si="100"/>
        <v>#N/A</v>
      </c>
      <c r="FZ14" s="53" t="e">
        <f t="shared" ca="1" si="100"/>
        <v>#N/A</v>
      </c>
      <c r="GA14" s="53" t="e">
        <f t="shared" ca="1" si="100"/>
        <v>#N/A</v>
      </c>
      <c r="GB14" s="53" t="e">
        <f t="shared" ca="1" si="100"/>
        <v>#N/A</v>
      </c>
      <c r="GC14" s="53" t="e">
        <f t="shared" ca="1" si="100"/>
        <v>#N/A</v>
      </c>
      <c r="GD14" s="53" t="e">
        <f t="shared" ca="1" si="100"/>
        <v>#N/A</v>
      </c>
      <c r="GE14" s="53" t="e">
        <f t="shared" ca="1" si="100"/>
        <v>#N/A</v>
      </c>
      <c r="GF14" s="53" t="e">
        <f t="shared" ca="1" si="100"/>
        <v>#N/A</v>
      </c>
      <c r="GG14" s="53" t="e">
        <f t="shared" ca="1" si="100"/>
        <v>#N/A</v>
      </c>
      <c r="GH14" s="53" t="e">
        <f t="shared" ca="1" si="100"/>
        <v>#N/A</v>
      </c>
      <c r="GI14" s="53" t="e">
        <f t="shared" ca="1" si="100"/>
        <v>#N/A</v>
      </c>
      <c r="GJ14" s="53" t="e">
        <f t="shared" ca="1" si="100"/>
        <v>#N/A</v>
      </c>
      <c r="GK14" s="53" t="e">
        <f t="shared" ca="1" si="100"/>
        <v>#N/A</v>
      </c>
      <c r="GL14" s="53" t="e">
        <f t="shared" ca="1" si="100"/>
        <v>#N/A</v>
      </c>
      <c r="GM14" s="53" t="e">
        <f t="shared" ca="1" si="100"/>
        <v>#N/A</v>
      </c>
      <c r="GN14" s="53" t="e">
        <f t="shared" ca="1" si="100"/>
        <v>#N/A</v>
      </c>
      <c r="GO14" s="53" t="e">
        <f t="shared" ca="1" si="100"/>
        <v>#N/A</v>
      </c>
      <c r="GP14" s="53" t="e">
        <f t="shared" ca="1" si="100"/>
        <v>#N/A</v>
      </c>
      <c r="GQ14" s="53" t="e">
        <f t="shared" ca="1" si="100"/>
        <v>#N/A</v>
      </c>
      <c r="GR14" s="53" t="e">
        <f t="shared" ca="1" si="100"/>
        <v>#N/A</v>
      </c>
      <c r="GS14" s="53" t="e">
        <f t="shared" ref="GS14:IN14" ca="1" si="101">IF(ISNA(GR8),NA(),IF(GS4&lt;$C$10,(GS8/OFFSET(GS8,0,-GS4))^(1/(GS4)),(GS8/OFFSET(GS8,0,-$C$10))^(1/$C$10))-1)</f>
        <v>#N/A</v>
      </c>
      <c r="GT14" s="53" t="e">
        <f t="shared" ca="1" si="101"/>
        <v>#N/A</v>
      </c>
      <c r="GU14" s="53" t="e">
        <f t="shared" ca="1" si="101"/>
        <v>#N/A</v>
      </c>
      <c r="GV14" s="53" t="e">
        <f t="shared" ca="1" si="101"/>
        <v>#N/A</v>
      </c>
      <c r="GW14" s="53" t="e">
        <f t="shared" ca="1" si="101"/>
        <v>#N/A</v>
      </c>
      <c r="GX14" s="53" t="e">
        <f t="shared" ca="1" si="101"/>
        <v>#N/A</v>
      </c>
      <c r="GY14" s="53" t="e">
        <f t="shared" ca="1" si="101"/>
        <v>#N/A</v>
      </c>
      <c r="GZ14" s="53" t="e">
        <f t="shared" ca="1" si="101"/>
        <v>#N/A</v>
      </c>
      <c r="HA14" s="53" t="e">
        <f t="shared" ca="1" si="101"/>
        <v>#N/A</v>
      </c>
      <c r="HB14" s="53" t="e">
        <f t="shared" ca="1" si="101"/>
        <v>#N/A</v>
      </c>
      <c r="HC14" s="53" t="e">
        <f t="shared" ca="1" si="101"/>
        <v>#N/A</v>
      </c>
      <c r="HD14" s="53" t="e">
        <f t="shared" ca="1" si="101"/>
        <v>#N/A</v>
      </c>
      <c r="HE14" s="53" t="e">
        <f t="shared" ca="1" si="101"/>
        <v>#N/A</v>
      </c>
      <c r="HF14" s="53" t="e">
        <f t="shared" ca="1" si="101"/>
        <v>#N/A</v>
      </c>
      <c r="HG14" s="53" t="e">
        <f t="shared" ca="1" si="101"/>
        <v>#N/A</v>
      </c>
      <c r="HH14" s="53" t="e">
        <f t="shared" ca="1" si="101"/>
        <v>#N/A</v>
      </c>
      <c r="HI14" s="53" t="e">
        <f t="shared" ca="1" si="101"/>
        <v>#N/A</v>
      </c>
      <c r="HJ14" s="53" t="e">
        <f t="shared" ca="1" si="101"/>
        <v>#N/A</v>
      </c>
      <c r="HK14" s="53" t="e">
        <f t="shared" ca="1" si="101"/>
        <v>#N/A</v>
      </c>
      <c r="HL14" s="53" t="e">
        <f t="shared" ca="1" si="101"/>
        <v>#N/A</v>
      </c>
      <c r="HM14" s="53" t="e">
        <f t="shared" ca="1" si="101"/>
        <v>#N/A</v>
      </c>
      <c r="HN14" s="53" t="e">
        <f t="shared" ca="1" si="101"/>
        <v>#N/A</v>
      </c>
      <c r="HO14" s="53" t="e">
        <f t="shared" ca="1" si="101"/>
        <v>#N/A</v>
      </c>
      <c r="HP14" s="53" t="e">
        <f t="shared" ca="1" si="101"/>
        <v>#N/A</v>
      </c>
      <c r="HQ14" s="53" t="e">
        <f t="shared" ca="1" si="101"/>
        <v>#N/A</v>
      </c>
      <c r="HR14" s="53" t="e">
        <f t="shared" ca="1" si="101"/>
        <v>#N/A</v>
      </c>
      <c r="HS14" s="53" t="e">
        <f t="shared" ca="1" si="101"/>
        <v>#N/A</v>
      </c>
      <c r="HT14" s="53" t="e">
        <f t="shared" ca="1" si="101"/>
        <v>#N/A</v>
      </c>
      <c r="HU14" s="53" t="e">
        <f t="shared" ca="1" si="101"/>
        <v>#N/A</v>
      </c>
      <c r="HV14" s="53" t="e">
        <f t="shared" ca="1" si="101"/>
        <v>#N/A</v>
      </c>
      <c r="HW14" s="53" t="e">
        <f t="shared" ca="1" si="101"/>
        <v>#N/A</v>
      </c>
      <c r="HX14" s="53" t="e">
        <f t="shared" ca="1" si="101"/>
        <v>#N/A</v>
      </c>
      <c r="HY14" s="53" t="e">
        <f t="shared" ca="1" si="101"/>
        <v>#N/A</v>
      </c>
      <c r="HZ14" s="53" t="e">
        <f t="shared" ca="1" si="101"/>
        <v>#N/A</v>
      </c>
      <c r="IA14" s="53" t="e">
        <f t="shared" ca="1" si="101"/>
        <v>#N/A</v>
      </c>
      <c r="IB14" s="53" t="e">
        <f t="shared" ca="1" si="101"/>
        <v>#N/A</v>
      </c>
      <c r="IC14" s="53" t="e">
        <f t="shared" ca="1" si="101"/>
        <v>#N/A</v>
      </c>
      <c r="ID14" s="53" t="e">
        <f t="shared" ca="1" si="101"/>
        <v>#N/A</v>
      </c>
      <c r="IE14" s="53" t="e">
        <f t="shared" ca="1" si="101"/>
        <v>#N/A</v>
      </c>
      <c r="IF14" s="53" t="e">
        <f t="shared" ca="1" si="101"/>
        <v>#N/A</v>
      </c>
      <c r="IG14" s="53" t="e">
        <f t="shared" ca="1" si="101"/>
        <v>#N/A</v>
      </c>
      <c r="IH14" s="53" t="e">
        <f t="shared" ca="1" si="101"/>
        <v>#N/A</v>
      </c>
      <c r="II14" s="53" t="e">
        <f t="shared" ca="1" si="101"/>
        <v>#N/A</v>
      </c>
      <c r="IJ14" s="53" t="e">
        <f t="shared" ca="1" si="101"/>
        <v>#N/A</v>
      </c>
      <c r="IK14" s="53" t="e">
        <f t="shared" ca="1" si="101"/>
        <v>#N/A</v>
      </c>
      <c r="IL14" s="53" t="e">
        <f t="shared" ca="1" si="101"/>
        <v>#N/A</v>
      </c>
      <c r="IM14" s="53" t="e">
        <f t="shared" ca="1" si="101"/>
        <v>#N/A</v>
      </c>
      <c r="IN14" s="53" t="e">
        <f t="shared" ca="1" si="101"/>
        <v>#N/A</v>
      </c>
    </row>
    <row r="15" spans="2:248" x14ac:dyDescent="0.3">
      <c r="B15" s="19" t="s">
        <v>466</v>
      </c>
      <c r="C15" s="25">
        <f>IFERROR(IF(VLOOKUP(B2,Country_Data!C:M,11,FALSE)=0,0.047,VLOOKUP(B2,Country_Data!C:M,11,FALSE)*$C$32),0.047)</f>
        <v>8.181393174380552E-3</v>
      </c>
      <c r="E15" s="93"/>
      <c r="F15" s="19" t="s">
        <v>569</v>
      </c>
      <c r="G15" s="53" t="e">
        <f ca="1">H15</f>
        <v>#N/A</v>
      </c>
      <c r="H15" s="53" t="e">
        <f t="shared" ref="H15:BS15" ca="1" si="102">IF(ISNA(G6),NA(),IF(H4-$C$9&lt;$C$10,(H6/OFFSET(H6,0,-H4+$C$9))^(1/(H4-$C$9)),(H6/OFFSET(H6,0,-$C$10))^(1/$C$10))-1)</f>
        <v>#N/A</v>
      </c>
      <c r="I15" s="53" t="e">
        <f t="shared" ca="1" si="102"/>
        <v>#N/A</v>
      </c>
      <c r="J15" s="53" t="e">
        <f t="shared" ca="1" si="102"/>
        <v>#N/A</v>
      </c>
      <c r="K15" s="53" t="e">
        <f t="shared" ca="1" si="102"/>
        <v>#N/A</v>
      </c>
      <c r="L15" s="53" t="e">
        <f t="shared" ca="1" si="102"/>
        <v>#N/A</v>
      </c>
      <c r="M15" s="53" t="e">
        <f t="shared" ca="1" si="102"/>
        <v>#N/A</v>
      </c>
      <c r="N15" s="53" t="e">
        <f t="shared" ca="1" si="102"/>
        <v>#N/A</v>
      </c>
      <c r="O15" s="53" t="e">
        <f t="shared" ca="1" si="102"/>
        <v>#N/A</v>
      </c>
      <c r="P15" s="53" t="e">
        <f t="shared" ca="1" si="102"/>
        <v>#N/A</v>
      </c>
      <c r="Q15" s="53" t="e">
        <f t="shared" ca="1" si="102"/>
        <v>#N/A</v>
      </c>
      <c r="R15" s="53" t="e">
        <f t="shared" ca="1" si="102"/>
        <v>#N/A</v>
      </c>
      <c r="S15" s="53" t="e">
        <f t="shared" ca="1" si="102"/>
        <v>#N/A</v>
      </c>
      <c r="T15" s="53" t="e">
        <f t="shared" ca="1" si="102"/>
        <v>#N/A</v>
      </c>
      <c r="U15" s="53" t="e">
        <f t="shared" ca="1" si="102"/>
        <v>#N/A</v>
      </c>
      <c r="V15" s="53" t="e">
        <f t="shared" ca="1" si="102"/>
        <v>#N/A</v>
      </c>
      <c r="W15" s="53" t="e">
        <f t="shared" ca="1" si="102"/>
        <v>#N/A</v>
      </c>
      <c r="X15" s="53" t="e">
        <f t="shared" ca="1" si="102"/>
        <v>#N/A</v>
      </c>
      <c r="Y15" s="53" t="e">
        <f t="shared" ca="1" si="102"/>
        <v>#N/A</v>
      </c>
      <c r="Z15" s="53" t="e">
        <f t="shared" ca="1" si="102"/>
        <v>#N/A</v>
      </c>
      <c r="AA15" s="53" t="e">
        <f t="shared" ca="1" si="102"/>
        <v>#N/A</v>
      </c>
      <c r="AB15" s="53" t="e">
        <f t="shared" ca="1" si="102"/>
        <v>#N/A</v>
      </c>
      <c r="AC15" s="53" t="e">
        <f t="shared" ca="1" si="102"/>
        <v>#N/A</v>
      </c>
      <c r="AD15" s="53" t="e">
        <f t="shared" ca="1" si="102"/>
        <v>#N/A</v>
      </c>
      <c r="AE15" s="53" t="e">
        <f t="shared" ca="1" si="102"/>
        <v>#N/A</v>
      </c>
      <c r="AF15" s="53" t="e">
        <f t="shared" ca="1" si="102"/>
        <v>#N/A</v>
      </c>
      <c r="AG15" s="53" t="e">
        <f t="shared" ca="1" si="102"/>
        <v>#N/A</v>
      </c>
      <c r="AH15" s="53" t="e">
        <f t="shared" ca="1" si="102"/>
        <v>#N/A</v>
      </c>
      <c r="AI15" s="53" t="e">
        <f t="shared" ca="1" si="102"/>
        <v>#N/A</v>
      </c>
      <c r="AJ15" s="53" t="e">
        <f t="shared" ca="1" si="102"/>
        <v>#N/A</v>
      </c>
      <c r="AK15" s="53" t="e">
        <f t="shared" ca="1" si="102"/>
        <v>#N/A</v>
      </c>
      <c r="AL15" s="53" t="e">
        <f t="shared" ca="1" si="102"/>
        <v>#N/A</v>
      </c>
      <c r="AM15" s="53" t="e">
        <f t="shared" ca="1" si="102"/>
        <v>#N/A</v>
      </c>
      <c r="AN15" s="53" t="e">
        <f t="shared" ca="1" si="102"/>
        <v>#N/A</v>
      </c>
      <c r="AO15" s="53" t="e">
        <f t="shared" ca="1" si="102"/>
        <v>#N/A</v>
      </c>
      <c r="AP15" s="53" t="e">
        <f t="shared" ca="1" si="102"/>
        <v>#N/A</v>
      </c>
      <c r="AQ15" s="53" t="e">
        <f t="shared" ca="1" si="102"/>
        <v>#N/A</v>
      </c>
      <c r="AR15" s="53" t="e">
        <f t="shared" ca="1" si="102"/>
        <v>#N/A</v>
      </c>
      <c r="AS15" s="53" t="e">
        <f t="shared" ca="1" si="102"/>
        <v>#N/A</v>
      </c>
      <c r="AT15" s="53" t="e">
        <f t="shared" ca="1" si="102"/>
        <v>#N/A</v>
      </c>
      <c r="AU15" s="53" t="e">
        <f t="shared" ca="1" si="102"/>
        <v>#N/A</v>
      </c>
      <c r="AV15" s="53" t="e">
        <f t="shared" ca="1" si="102"/>
        <v>#N/A</v>
      </c>
      <c r="AW15" s="53" t="e">
        <f t="shared" ca="1" si="102"/>
        <v>#N/A</v>
      </c>
      <c r="AX15" s="53" t="e">
        <f t="shared" ca="1" si="102"/>
        <v>#N/A</v>
      </c>
      <c r="AY15" s="53" t="e">
        <f t="shared" ca="1" si="102"/>
        <v>#N/A</v>
      </c>
      <c r="AZ15" s="53" t="e">
        <f t="shared" ca="1" si="102"/>
        <v>#N/A</v>
      </c>
      <c r="BA15" s="53" t="e">
        <f t="shared" ca="1" si="102"/>
        <v>#N/A</v>
      </c>
      <c r="BB15" s="53" t="e">
        <f t="shared" ca="1" si="102"/>
        <v>#N/A</v>
      </c>
      <c r="BC15" s="53" t="e">
        <f t="shared" ca="1" si="102"/>
        <v>#N/A</v>
      </c>
      <c r="BD15" s="53" t="e">
        <f t="shared" ca="1" si="102"/>
        <v>#N/A</v>
      </c>
      <c r="BE15" s="53" t="e">
        <f t="shared" ca="1" si="102"/>
        <v>#N/A</v>
      </c>
      <c r="BF15" s="53" t="e">
        <f t="shared" ca="1" si="102"/>
        <v>#N/A</v>
      </c>
      <c r="BG15" s="53" t="e">
        <f t="shared" ca="1" si="102"/>
        <v>#N/A</v>
      </c>
      <c r="BH15" s="53" t="e">
        <f t="shared" ca="1" si="102"/>
        <v>#N/A</v>
      </c>
      <c r="BI15" s="53" t="e">
        <f t="shared" ca="1" si="102"/>
        <v>#N/A</v>
      </c>
      <c r="BJ15" s="53" t="e">
        <f t="shared" ca="1" si="102"/>
        <v>#N/A</v>
      </c>
      <c r="BK15" s="53" t="e">
        <f t="shared" ca="1" si="102"/>
        <v>#N/A</v>
      </c>
      <c r="BL15" s="53" t="e">
        <f t="shared" ca="1" si="102"/>
        <v>#N/A</v>
      </c>
      <c r="BM15" s="53" t="e">
        <f t="shared" ca="1" si="102"/>
        <v>#N/A</v>
      </c>
      <c r="BN15" s="53" t="e">
        <f t="shared" ca="1" si="102"/>
        <v>#N/A</v>
      </c>
      <c r="BO15" s="53" t="e">
        <f t="shared" ca="1" si="102"/>
        <v>#N/A</v>
      </c>
      <c r="BP15" s="53" t="e">
        <f t="shared" ca="1" si="102"/>
        <v>#N/A</v>
      </c>
      <c r="BQ15" s="53" t="e">
        <f t="shared" ca="1" si="102"/>
        <v>#N/A</v>
      </c>
      <c r="BR15" s="53" t="e">
        <f t="shared" ca="1" si="102"/>
        <v>#N/A</v>
      </c>
      <c r="BS15" s="53" t="e">
        <f t="shared" ca="1" si="102"/>
        <v>#N/A</v>
      </c>
      <c r="BT15" s="53" t="e">
        <f t="shared" ref="BT15:EE15" ca="1" si="103">IF(ISNA(BS6),NA(),IF(BT4-$C$9&lt;$C$10,(BT6/OFFSET(BT6,0,-BT4+$C$9))^(1/(BT4-$C$9)),(BT6/OFFSET(BT6,0,-$C$10))^(1/$C$10))-1)</f>
        <v>#N/A</v>
      </c>
      <c r="BU15" s="53" t="e">
        <f t="shared" ca="1" si="103"/>
        <v>#N/A</v>
      </c>
      <c r="BV15" s="53" t="e">
        <f t="shared" ca="1" si="103"/>
        <v>#N/A</v>
      </c>
      <c r="BW15" s="53" t="e">
        <f t="shared" ca="1" si="103"/>
        <v>#N/A</v>
      </c>
      <c r="BX15" s="53" t="e">
        <f t="shared" ca="1" si="103"/>
        <v>#N/A</v>
      </c>
      <c r="BY15" s="53" t="e">
        <f t="shared" ca="1" si="103"/>
        <v>#N/A</v>
      </c>
      <c r="BZ15" s="53" t="e">
        <f t="shared" ca="1" si="103"/>
        <v>#N/A</v>
      </c>
      <c r="CA15" s="53" t="e">
        <f t="shared" ca="1" si="103"/>
        <v>#N/A</v>
      </c>
      <c r="CB15" s="53" t="e">
        <f t="shared" ca="1" si="103"/>
        <v>#N/A</v>
      </c>
      <c r="CC15" s="53" t="e">
        <f t="shared" ca="1" si="103"/>
        <v>#N/A</v>
      </c>
      <c r="CD15" s="53" t="e">
        <f t="shared" ca="1" si="103"/>
        <v>#N/A</v>
      </c>
      <c r="CE15" s="53" t="e">
        <f t="shared" ca="1" si="103"/>
        <v>#N/A</v>
      </c>
      <c r="CF15" s="53" t="e">
        <f t="shared" ca="1" si="103"/>
        <v>#N/A</v>
      </c>
      <c r="CG15" s="53" t="e">
        <f t="shared" ca="1" si="103"/>
        <v>#N/A</v>
      </c>
      <c r="CH15" s="53" t="e">
        <f t="shared" ca="1" si="103"/>
        <v>#N/A</v>
      </c>
      <c r="CI15" s="53" t="e">
        <f t="shared" ca="1" si="103"/>
        <v>#N/A</v>
      </c>
      <c r="CJ15" s="53" t="e">
        <f t="shared" ca="1" si="103"/>
        <v>#N/A</v>
      </c>
      <c r="CK15" s="53" t="e">
        <f t="shared" ca="1" si="103"/>
        <v>#N/A</v>
      </c>
      <c r="CL15" s="53" t="e">
        <f t="shared" ca="1" si="103"/>
        <v>#N/A</v>
      </c>
      <c r="CM15" s="53" t="e">
        <f t="shared" ca="1" si="103"/>
        <v>#N/A</v>
      </c>
      <c r="CN15" s="53" t="e">
        <f t="shared" ca="1" si="103"/>
        <v>#N/A</v>
      </c>
      <c r="CO15" s="53" t="e">
        <f t="shared" ca="1" si="103"/>
        <v>#N/A</v>
      </c>
      <c r="CP15" s="53" t="e">
        <f t="shared" ca="1" si="103"/>
        <v>#N/A</v>
      </c>
      <c r="CQ15" s="53" t="e">
        <f t="shared" ca="1" si="103"/>
        <v>#N/A</v>
      </c>
      <c r="CR15" s="53" t="e">
        <f t="shared" ca="1" si="103"/>
        <v>#N/A</v>
      </c>
      <c r="CS15" s="53" t="e">
        <f t="shared" ca="1" si="103"/>
        <v>#N/A</v>
      </c>
      <c r="CT15" s="53" t="e">
        <f t="shared" ca="1" si="103"/>
        <v>#N/A</v>
      </c>
      <c r="CU15" s="53" t="e">
        <f t="shared" ca="1" si="103"/>
        <v>#N/A</v>
      </c>
      <c r="CV15" s="53" t="e">
        <f t="shared" ca="1" si="103"/>
        <v>#N/A</v>
      </c>
      <c r="CW15" s="53" t="e">
        <f t="shared" ca="1" si="103"/>
        <v>#N/A</v>
      </c>
      <c r="CX15" s="53" t="e">
        <f t="shared" ca="1" si="103"/>
        <v>#N/A</v>
      </c>
      <c r="CY15" s="53" t="e">
        <f t="shared" ca="1" si="103"/>
        <v>#N/A</v>
      </c>
      <c r="CZ15" s="53" t="e">
        <f t="shared" ca="1" si="103"/>
        <v>#N/A</v>
      </c>
      <c r="DA15" s="53" t="e">
        <f t="shared" ca="1" si="103"/>
        <v>#N/A</v>
      </c>
      <c r="DB15" s="53" t="e">
        <f t="shared" ca="1" si="103"/>
        <v>#N/A</v>
      </c>
      <c r="DC15" s="53" t="e">
        <f t="shared" ca="1" si="103"/>
        <v>#N/A</v>
      </c>
      <c r="DD15" s="53" t="e">
        <f t="shared" ca="1" si="103"/>
        <v>#N/A</v>
      </c>
      <c r="DE15" s="53" t="e">
        <f t="shared" ca="1" si="103"/>
        <v>#N/A</v>
      </c>
      <c r="DF15" s="53" t="e">
        <f t="shared" ca="1" si="103"/>
        <v>#N/A</v>
      </c>
      <c r="DG15" s="53" t="e">
        <f t="shared" ca="1" si="103"/>
        <v>#N/A</v>
      </c>
      <c r="DH15" s="53" t="e">
        <f t="shared" ca="1" si="103"/>
        <v>#N/A</v>
      </c>
      <c r="DI15" s="53" t="e">
        <f t="shared" ca="1" si="103"/>
        <v>#N/A</v>
      </c>
      <c r="DJ15" s="53" t="e">
        <f t="shared" ca="1" si="103"/>
        <v>#N/A</v>
      </c>
      <c r="DK15" s="53" t="e">
        <f t="shared" ca="1" si="103"/>
        <v>#N/A</v>
      </c>
      <c r="DL15" s="53" t="e">
        <f t="shared" ca="1" si="103"/>
        <v>#N/A</v>
      </c>
      <c r="DM15" s="53" t="e">
        <f t="shared" ca="1" si="103"/>
        <v>#N/A</v>
      </c>
      <c r="DN15" s="53" t="e">
        <f t="shared" ca="1" si="103"/>
        <v>#N/A</v>
      </c>
      <c r="DO15" s="53" t="e">
        <f t="shared" ca="1" si="103"/>
        <v>#N/A</v>
      </c>
      <c r="DP15" s="53" t="e">
        <f t="shared" ca="1" si="103"/>
        <v>#N/A</v>
      </c>
      <c r="DQ15" s="53" t="e">
        <f t="shared" ca="1" si="103"/>
        <v>#N/A</v>
      </c>
      <c r="DR15" s="53" t="e">
        <f t="shared" ca="1" si="103"/>
        <v>#N/A</v>
      </c>
      <c r="DS15" s="53" t="e">
        <f t="shared" ca="1" si="103"/>
        <v>#N/A</v>
      </c>
      <c r="DT15" s="53" t="e">
        <f t="shared" ca="1" si="103"/>
        <v>#N/A</v>
      </c>
      <c r="DU15" s="53" t="e">
        <f t="shared" ca="1" si="103"/>
        <v>#N/A</v>
      </c>
      <c r="DV15" s="53" t="e">
        <f t="shared" ca="1" si="103"/>
        <v>#N/A</v>
      </c>
      <c r="DW15" s="53" t="e">
        <f t="shared" ca="1" si="103"/>
        <v>#N/A</v>
      </c>
      <c r="DX15" s="53" t="e">
        <f t="shared" ca="1" si="103"/>
        <v>#N/A</v>
      </c>
      <c r="DY15" s="53" t="e">
        <f t="shared" ca="1" si="103"/>
        <v>#N/A</v>
      </c>
      <c r="DZ15" s="53" t="e">
        <f t="shared" ca="1" si="103"/>
        <v>#N/A</v>
      </c>
      <c r="EA15" s="53" t="e">
        <f t="shared" ca="1" si="103"/>
        <v>#N/A</v>
      </c>
      <c r="EB15" s="53" t="e">
        <f t="shared" ca="1" si="103"/>
        <v>#N/A</v>
      </c>
      <c r="EC15" s="53" t="e">
        <f t="shared" ca="1" si="103"/>
        <v>#N/A</v>
      </c>
      <c r="ED15" s="53" t="e">
        <f t="shared" ca="1" si="103"/>
        <v>#N/A</v>
      </c>
      <c r="EE15" s="53" t="e">
        <f t="shared" ca="1" si="103"/>
        <v>#N/A</v>
      </c>
      <c r="EF15" s="53" t="e">
        <f t="shared" ref="EF15:GQ15" ca="1" si="104">IF(ISNA(EE6),NA(),IF(EF4-$C$9&lt;$C$10,(EF6/OFFSET(EF6,0,-EF4+$C$9))^(1/(EF4-$C$9)),(EF6/OFFSET(EF6,0,-$C$10))^(1/$C$10))-1)</f>
        <v>#N/A</v>
      </c>
      <c r="EG15" s="53" t="e">
        <f t="shared" ca="1" si="104"/>
        <v>#N/A</v>
      </c>
      <c r="EH15" s="53" t="e">
        <f t="shared" ca="1" si="104"/>
        <v>#N/A</v>
      </c>
      <c r="EI15" s="53" t="e">
        <f t="shared" ca="1" si="104"/>
        <v>#N/A</v>
      </c>
      <c r="EJ15" s="53" t="e">
        <f t="shared" ca="1" si="104"/>
        <v>#N/A</v>
      </c>
      <c r="EK15" s="53" t="e">
        <f t="shared" ca="1" si="104"/>
        <v>#N/A</v>
      </c>
      <c r="EL15" s="53" t="e">
        <f t="shared" ca="1" si="104"/>
        <v>#N/A</v>
      </c>
      <c r="EM15" s="53" t="e">
        <f t="shared" ca="1" si="104"/>
        <v>#N/A</v>
      </c>
      <c r="EN15" s="53" t="e">
        <f t="shared" ca="1" si="104"/>
        <v>#N/A</v>
      </c>
      <c r="EO15" s="53" t="e">
        <f t="shared" ca="1" si="104"/>
        <v>#N/A</v>
      </c>
      <c r="EP15" s="53" t="e">
        <f t="shared" ca="1" si="104"/>
        <v>#N/A</v>
      </c>
      <c r="EQ15" s="53" t="e">
        <f t="shared" ca="1" si="104"/>
        <v>#N/A</v>
      </c>
      <c r="ER15" s="53" t="e">
        <f t="shared" ca="1" si="104"/>
        <v>#N/A</v>
      </c>
      <c r="ES15" s="53" t="e">
        <f t="shared" ca="1" si="104"/>
        <v>#N/A</v>
      </c>
      <c r="ET15" s="53" t="e">
        <f t="shared" ca="1" si="104"/>
        <v>#N/A</v>
      </c>
      <c r="EU15" s="53" t="e">
        <f t="shared" ca="1" si="104"/>
        <v>#N/A</v>
      </c>
      <c r="EV15" s="53" t="e">
        <f t="shared" ca="1" si="104"/>
        <v>#N/A</v>
      </c>
      <c r="EW15" s="53" t="e">
        <f t="shared" ca="1" si="104"/>
        <v>#N/A</v>
      </c>
      <c r="EX15" s="53" t="e">
        <f t="shared" ca="1" si="104"/>
        <v>#N/A</v>
      </c>
      <c r="EY15" s="53" t="e">
        <f t="shared" ca="1" si="104"/>
        <v>#N/A</v>
      </c>
      <c r="EZ15" s="53" t="e">
        <f t="shared" ca="1" si="104"/>
        <v>#N/A</v>
      </c>
      <c r="FA15" s="53" t="e">
        <f t="shared" ca="1" si="104"/>
        <v>#N/A</v>
      </c>
      <c r="FB15" s="53" t="e">
        <f t="shared" ca="1" si="104"/>
        <v>#N/A</v>
      </c>
      <c r="FC15" s="53" t="e">
        <f t="shared" ca="1" si="104"/>
        <v>#N/A</v>
      </c>
      <c r="FD15" s="53" t="e">
        <f t="shared" ca="1" si="104"/>
        <v>#N/A</v>
      </c>
      <c r="FE15" s="53" t="e">
        <f t="shared" ca="1" si="104"/>
        <v>#N/A</v>
      </c>
      <c r="FF15" s="53" t="e">
        <f t="shared" ca="1" si="104"/>
        <v>#N/A</v>
      </c>
      <c r="FG15" s="53" t="e">
        <f t="shared" ca="1" si="104"/>
        <v>#N/A</v>
      </c>
      <c r="FH15" s="53" t="e">
        <f t="shared" ca="1" si="104"/>
        <v>#N/A</v>
      </c>
      <c r="FI15" s="53" t="e">
        <f t="shared" ca="1" si="104"/>
        <v>#N/A</v>
      </c>
      <c r="FJ15" s="53" t="e">
        <f t="shared" ca="1" si="104"/>
        <v>#N/A</v>
      </c>
      <c r="FK15" s="53" t="e">
        <f t="shared" ca="1" si="104"/>
        <v>#N/A</v>
      </c>
      <c r="FL15" s="53" t="e">
        <f t="shared" ca="1" si="104"/>
        <v>#N/A</v>
      </c>
      <c r="FM15" s="53" t="e">
        <f t="shared" ca="1" si="104"/>
        <v>#N/A</v>
      </c>
      <c r="FN15" s="53" t="e">
        <f t="shared" ca="1" si="104"/>
        <v>#N/A</v>
      </c>
      <c r="FO15" s="53" t="e">
        <f t="shared" ca="1" si="104"/>
        <v>#N/A</v>
      </c>
      <c r="FP15" s="53" t="e">
        <f t="shared" ca="1" si="104"/>
        <v>#N/A</v>
      </c>
      <c r="FQ15" s="53" t="e">
        <f t="shared" ca="1" si="104"/>
        <v>#N/A</v>
      </c>
      <c r="FR15" s="53" t="e">
        <f t="shared" ca="1" si="104"/>
        <v>#N/A</v>
      </c>
      <c r="FS15" s="53" t="e">
        <f t="shared" ca="1" si="104"/>
        <v>#N/A</v>
      </c>
      <c r="FT15" s="53" t="e">
        <f t="shared" ca="1" si="104"/>
        <v>#N/A</v>
      </c>
      <c r="FU15" s="53" t="e">
        <f t="shared" ca="1" si="104"/>
        <v>#N/A</v>
      </c>
      <c r="FV15" s="53" t="e">
        <f t="shared" ca="1" si="104"/>
        <v>#N/A</v>
      </c>
      <c r="FW15" s="53" t="e">
        <f t="shared" ca="1" si="104"/>
        <v>#N/A</v>
      </c>
      <c r="FX15" s="53" t="e">
        <f t="shared" ca="1" si="104"/>
        <v>#N/A</v>
      </c>
      <c r="FY15" s="53" t="e">
        <f t="shared" ca="1" si="104"/>
        <v>#N/A</v>
      </c>
      <c r="FZ15" s="53" t="e">
        <f t="shared" ca="1" si="104"/>
        <v>#N/A</v>
      </c>
      <c r="GA15" s="53" t="e">
        <f t="shared" ca="1" si="104"/>
        <v>#N/A</v>
      </c>
      <c r="GB15" s="53" t="e">
        <f t="shared" ca="1" si="104"/>
        <v>#N/A</v>
      </c>
      <c r="GC15" s="53" t="e">
        <f t="shared" ca="1" si="104"/>
        <v>#N/A</v>
      </c>
      <c r="GD15" s="53" t="e">
        <f t="shared" ca="1" si="104"/>
        <v>#N/A</v>
      </c>
      <c r="GE15" s="53" t="e">
        <f t="shared" ca="1" si="104"/>
        <v>#N/A</v>
      </c>
      <c r="GF15" s="53" t="e">
        <f t="shared" ca="1" si="104"/>
        <v>#N/A</v>
      </c>
      <c r="GG15" s="53" t="e">
        <f t="shared" ca="1" si="104"/>
        <v>#N/A</v>
      </c>
      <c r="GH15" s="53" t="e">
        <f t="shared" ca="1" si="104"/>
        <v>#N/A</v>
      </c>
      <c r="GI15" s="53" t="e">
        <f t="shared" ca="1" si="104"/>
        <v>#N/A</v>
      </c>
      <c r="GJ15" s="53" t="e">
        <f t="shared" ca="1" si="104"/>
        <v>#N/A</v>
      </c>
      <c r="GK15" s="53" t="e">
        <f t="shared" ca="1" si="104"/>
        <v>#N/A</v>
      </c>
      <c r="GL15" s="53" t="e">
        <f t="shared" ca="1" si="104"/>
        <v>#N/A</v>
      </c>
      <c r="GM15" s="53" t="e">
        <f t="shared" ca="1" si="104"/>
        <v>#N/A</v>
      </c>
      <c r="GN15" s="53" t="e">
        <f t="shared" ca="1" si="104"/>
        <v>#N/A</v>
      </c>
      <c r="GO15" s="53" t="e">
        <f t="shared" ca="1" si="104"/>
        <v>#N/A</v>
      </c>
      <c r="GP15" s="53" t="e">
        <f t="shared" ca="1" si="104"/>
        <v>#N/A</v>
      </c>
      <c r="GQ15" s="53" t="e">
        <f t="shared" ca="1" si="104"/>
        <v>#N/A</v>
      </c>
      <c r="GR15" s="53" t="e">
        <f t="shared" ref="GR15:IN15" ca="1" si="105">IF(ISNA(GQ6),NA(),IF(GR4-$C$9&lt;$C$10,(GR6/OFFSET(GR6,0,-GR4+$C$9))^(1/(GR4-$C$9)),(GR6/OFFSET(GR6,0,-$C$10))^(1/$C$10))-1)</f>
        <v>#N/A</v>
      </c>
      <c r="GS15" s="53" t="e">
        <f t="shared" ca="1" si="105"/>
        <v>#N/A</v>
      </c>
      <c r="GT15" s="53" t="e">
        <f t="shared" ca="1" si="105"/>
        <v>#N/A</v>
      </c>
      <c r="GU15" s="53" t="e">
        <f t="shared" ca="1" si="105"/>
        <v>#N/A</v>
      </c>
      <c r="GV15" s="53" t="e">
        <f t="shared" ca="1" si="105"/>
        <v>#N/A</v>
      </c>
      <c r="GW15" s="53" t="e">
        <f t="shared" ca="1" si="105"/>
        <v>#N/A</v>
      </c>
      <c r="GX15" s="53" t="e">
        <f t="shared" ca="1" si="105"/>
        <v>#N/A</v>
      </c>
      <c r="GY15" s="53" t="e">
        <f t="shared" ca="1" si="105"/>
        <v>#N/A</v>
      </c>
      <c r="GZ15" s="53" t="e">
        <f t="shared" ca="1" si="105"/>
        <v>#N/A</v>
      </c>
      <c r="HA15" s="53" t="e">
        <f t="shared" ca="1" si="105"/>
        <v>#N/A</v>
      </c>
      <c r="HB15" s="53" t="e">
        <f t="shared" ca="1" si="105"/>
        <v>#N/A</v>
      </c>
      <c r="HC15" s="53" t="e">
        <f t="shared" ca="1" si="105"/>
        <v>#N/A</v>
      </c>
      <c r="HD15" s="53" t="e">
        <f t="shared" ca="1" si="105"/>
        <v>#N/A</v>
      </c>
      <c r="HE15" s="53" t="e">
        <f t="shared" ca="1" si="105"/>
        <v>#N/A</v>
      </c>
      <c r="HF15" s="53" t="e">
        <f t="shared" ca="1" si="105"/>
        <v>#N/A</v>
      </c>
      <c r="HG15" s="53" t="e">
        <f t="shared" ca="1" si="105"/>
        <v>#N/A</v>
      </c>
      <c r="HH15" s="53" t="e">
        <f t="shared" ca="1" si="105"/>
        <v>#N/A</v>
      </c>
      <c r="HI15" s="53" t="e">
        <f t="shared" ca="1" si="105"/>
        <v>#N/A</v>
      </c>
      <c r="HJ15" s="53" t="e">
        <f t="shared" ca="1" si="105"/>
        <v>#N/A</v>
      </c>
      <c r="HK15" s="53" t="e">
        <f t="shared" ca="1" si="105"/>
        <v>#N/A</v>
      </c>
      <c r="HL15" s="53" t="e">
        <f t="shared" ca="1" si="105"/>
        <v>#N/A</v>
      </c>
      <c r="HM15" s="53" t="e">
        <f t="shared" ca="1" si="105"/>
        <v>#N/A</v>
      </c>
      <c r="HN15" s="53" t="e">
        <f t="shared" ca="1" si="105"/>
        <v>#N/A</v>
      </c>
      <c r="HO15" s="53" t="e">
        <f t="shared" ca="1" si="105"/>
        <v>#N/A</v>
      </c>
      <c r="HP15" s="53" t="e">
        <f t="shared" ca="1" si="105"/>
        <v>#N/A</v>
      </c>
      <c r="HQ15" s="53" t="e">
        <f t="shared" ca="1" si="105"/>
        <v>#N/A</v>
      </c>
      <c r="HR15" s="53" t="e">
        <f t="shared" ca="1" si="105"/>
        <v>#N/A</v>
      </c>
      <c r="HS15" s="53" t="e">
        <f t="shared" ca="1" si="105"/>
        <v>#N/A</v>
      </c>
      <c r="HT15" s="53" t="e">
        <f t="shared" ca="1" si="105"/>
        <v>#N/A</v>
      </c>
      <c r="HU15" s="53" t="e">
        <f t="shared" ca="1" si="105"/>
        <v>#N/A</v>
      </c>
      <c r="HV15" s="53" t="e">
        <f t="shared" ca="1" si="105"/>
        <v>#N/A</v>
      </c>
      <c r="HW15" s="53" t="e">
        <f t="shared" ca="1" si="105"/>
        <v>#N/A</v>
      </c>
      <c r="HX15" s="53" t="e">
        <f t="shared" ca="1" si="105"/>
        <v>#N/A</v>
      </c>
      <c r="HY15" s="53" t="e">
        <f t="shared" ca="1" si="105"/>
        <v>#N/A</v>
      </c>
      <c r="HZ15" s="53" t="e">
        <f t="shared" ca="1" si="105"/>
        <v>#N/A</v>
      </c>
      <c r="IA15" s="53" t="e">
        <f t="shared" ca="1" si="105"/>
        <v>#N/A</v>
      </c>
      <c r="IB15" s="53" t="e">
        <f t="shared" ca="1" si="105"/>
        <v>#N/A</v>
      </c>
      <c r="IC15" s="53" t="e">
        <f t="shared" ca="1" si="105"/>
        <v>#N/A</v>
      </c>
      <c r="ID15" s="53" t="e">
        <f t="shared" ca="1" si="105"/>
        <v>#N/A</v>
      </c>
      <c r="IE15" s="53" t="e">
        <f t="shared" ca="1" si="105"/>
        <v>#N/A</v>
      </c>
      <c r="IF15" s="53" t="e">
        <f t="shared" ca="1" si="105"/>
        <v>#N/A</v>
      </c>
      <c r="IG15" s="53" t="e">
        <f t="shared" ca="1" si="105"/>
        <v>#N/A</v>
      </c>
      <c r="IH15" s="53" t="e">
        <f t="shared" ca="1" si="105"/>
        <v>#N/A</v>
      </c>
      <c r="II15" s="53" t="e">
        <f t="shared" ca="1" si="105"/>
        <v>#N/A</v>
      </c>
      <c r="IJ15" s="53" t="e">
        <f t="shared" ca="1" si="105"/>
        <v>#N/A</v>
      </c>
      <c r="IK15" s="53" t="e">
        <f t="shared" ca="1" si="105"/>
        <v>#N/A</v>
      </c>
      <c r="IL15" s="53" t="e">
        <f t="shared" ca="1" si="105"/>
        <v>#N/A</v>
      </c>
      <c r="IM15" s="53" t="e">
        <f t="shared" ca="1" si="105"/>
        <v>#N/A</v>
      </c>
      <c r="IN15" s="53" t="e">
        <f t="shared" ca="1" si="105"/>
        <v>#N/A</v>
      </c>
    </row>
    <row r="16" spans="2:248" x14ac:dyDescent="0.3">
      <c r="B16" s="19" t="s">
        <v>465</v>
      </c>
      <c r="C16" s="21">
        <f>IF(Projections!Z39="",VLOOKUP(B2,Country_Data!C:L,10,FALSE),Projections!Z39)</f>
        <v>1500</v>
      </c>
      <c r="E16" s="93" t="s">
        <v>586</v>
      </c>
      <c r="F16" s="19" t="s">
        <v>570</v>
      </c>
      <c r="G16" s="94">
        <f ca="1">IFERROR(AVERAGE(E14:G14),NA())</f>
        <v>0.29677419354838719</v>
      </c>
      <c r="H16" s="94">
        <f t="shared" ref="H16:O16" ca="1" si="106">IFERROR(AVERAGE(F14:H14),NA())</f>
        <v>0.29677419354838719</v>
      </c>
      <c r="I16" s="94">
        <f t="shared" ca="1" si="106"/>
        <v>0.27756493849236996</v>
      </c>
      <c r="J16" s="94">
        <f t="shared" ca="1" si="106"/>
        <v>0.22986367662145538</v>
      </c>
      <c r="K16" s="94">
        <f t="shared" ca="1" si="106"/>
        <v>0.22879518797759349</v>
      </c>
      <c r="L16" s="94">
        <f t="shared" ca="1" si="106"/>
        <v>0.24311955699461696</v>
      </c>
      <c r="M16" s="94">
        <f ca="1">IFERROR(AVERAGE(K14:M14),NA())</f>
        <v>0.27772576347834071</v>
      </c>
      <c r="N16" s="94">
        <f t="shared" ca="1" si="106"/>
        <v>0.26543691970462707</v>
      </c>
      <c r="O16" s="94">
        <f t="shared" ca="1" si="106"/>
        <v>0.2750920183127355</v>
      </c>
      <c r="P16" s="94">
        <f ca="1">IFERROR(AVERAGE(N14:P14),NA())</f>
        <v>0.26042481253367744</v>
      </c>
      <c r="Q16" s="94">
        <f t="shared" ref="Q16:AC16" ca="1" si="107">IFERROR(AVERAGE(O14:Q14),NA())</f>
        <v>0.23969773709117281</v>
      </c>
      <c r="R16" s="94">
        <f t="shared" ca="1" si="107"/>
        <v>0.18772555315823714</v>
      </c>
      <c r="S16" s="94">
        <f t="shared" ca="1" si="107"/>
        <v>0.17448230213683602</v>
      </c>
      <c r="T16" s="94">
        <f t="shared" ca="1" si="107"/>
        <v>0.16003510150977526</v>
      </c>
      <c r="U16" s="94" t="e">
        <f t="shared" ca="1" si="107"/>
        <v>#N/A</v>
      </c>
      <c r="V16" s="94" t="e">
        <f t="shared" ca="1" si="107"/>
        <v>#N/A</v>
      </c>
      <c r="W16" s="94" t="e">
        <f t="shared" ca="1" si="107"/>
        <v>#N/A</v>
      </c>
      <c r="X16" s="94" t="e">
        <f t="shared" ca="1" si="107"/>
        <v>#N/A</v>
      </c>
      <c r="Y16" s="94" t="e">
        <f t="shared" ca="1" si="107"/>
        <v>#N/A</v>
      </c>
      <c r="Z16" s="94" t="e">
        <f t="shared" ca="1" si="107"/>
        <v>#N/A</v>
      </c>
      <c r="AA16" s="94" t="e">
        <f t="shared" ca="1" si="107"/>
        <v>#N/A</v>
      </c>
      <c r="AB16" s="94" t="e">
        <f t="shared" ca="1" si="107"/>
        <v>#N/A</v>
      </c>
      <c r="AC16" s="94" t="e">
        <f t="shared" ca="1" si="107"/>
        <v>#N/A</v>
      </c>
      <c r="AD16" s="94" t="e">
        <f ca="1">IFERROR(AVERAGE(AB14:AD14),NA())</f>
        <v>#N/A</v>
      </c>
      <c r="AE16" s="94" t="e">
        <f ca="1">IFERROR(AVERAGE(AC14:AE14),NA())</f>
        <v>#N/A</v>
      </c>
      <c r="AF16" s="94" t="e">
        <f t="shared" ref="AF16:CP16" ca="1" si="108">IFERROR(AVERAGE(AD14:AF14),NA())</f>
        <v>#N/A</v>
      </c>
      <c r="AG16" s="94" t="e">
        <f t="shared" ca="1" si="108"/>
        <v>#N/A</v>
      </c>
      <c r="AH16" s="94" t="e">
        <f t="shared" ca="1" si="108"/>
        <v>#N/A</v>
      </c>
      <c r="AI16" s="94" t="e">
        <f t="shared" ca="1" si="108"/>
        <v>#N/A</v>
      </c>
      <c r="AJ16" s="94" t="e">
        <f t="shared" ca="1" si="108"/>
        <v>#N/A</v>
      </c>
      <c r="AK16" s="94" t="e">
        <f t="shared" ca="1" si="108"/>
        <v>#N/A</v>
      </c>
      <c r="AL16" s="94" t="e">
        <f t="shared" ca="1" si="108"/>
        <v>#N/A</v>
      </c>
      <c r="AM16" s="94" t="e">
        <f t="shared" ca="1" si="108"/>
        <v>#N/A</v>
      </c>
      <c r="AN16" s="94" t="e">
        <f t="shared" ca="1" si="108"/>
        <v>#N/A</v>
      </c>
      <c r="AO16" s="94" t="e">
        <f t="shared" ca="1" si="108"/>
        <v>#N/A</v>
      </c>
      <c r="AP16" s="94" t="e">
        <f t="shared" ca="1" si="108"/>
        <v>#N/A</v>
      </c>
      <c r="AQ16" s="94" t="e">
        <f t="shared" ca="1" si="108"/>
        <v>#N/A</v>
      </c>
      <c r="AR16" s="94" t="e">
        <f t="shared" ca="1" si="108"/>
        <v>#N/A</v>
      </c>
      <c r="AS16" s="94" t="e">
        <f t="shared" ca="1" si="108"/>
        <v>#N/A</v>
      </c>
      <c r="AT16" s="94" t="e">
        <f t="shared" ca="1" si="108"/>
        <v>#N/A</v>
      </c>
      <c r="AU16" s="94" t="e">
        <f t="shared" ca="1" si="108"/>
        <v>#N/A</v>
      </c>
      <c r="AV16" s="94" t="e">
        <f t="shared" ca="1" si="108"/>
        <v>#N/A</v>
      </c>
      <c r="AW16" s="94" t="e">
        <f t="shared" ca="1" si="108"/>
        <v>#N/A</v>
      </c>
      <c r="AX16" s="94" t="e">
        <f t="shared" ca="1" si="108"/>
        <v>#N/A</v>
      </c>
      <c r="AY16" s="94" t="e">
        <f t="shared" ca="1" si="108"/>
        <v>#N/A</v>
      </c>
      <c r="AZ16" s="94" t="e">
        <f t="shared" ca="1" si="108"/>
        <v>#N/A</v>
      </c>
      <c r="BA16" s="94" t="e">
        <f t="shared" ca="1" si="108"/>
        <v>#N/A</v>
      </c>
      <c r="BB16" s="94" t="e">
        <f t="shared" ca="1" si="108"/>
        <v>#N/A</v>
      </c>
      <c r="BC16" s="94" t="e">
        <f t="shared" ca="1" si="108"/>
        <v>#N/A</v>
      </c>
      <c r="BD16" s="94" t="e">
        <f t="shared" ca="1" si="108"/>
        <v>#N/A</v>
      </c>
      <c r="BE16" s="94" t="e">
        <f t="shared" ca="1" si="108"/>
        <v>#N/A</v>
      </c>
      <c r="BF16" s="94" t="e">
        <f t="shared" ca="1" si="108"/>
        <v>#N/A</v>
      </c>
      <c r="BG16" s="94" t="e">
        <f t="shared" ca="1" si="108"/>
        <v>#N/A</v>
      </c>
      <c r="BH16" s="94" t="e">
        <f t="shared" ca="1" si="108"/>
        <v>#N/A</v>
      </c>
      <c r="BI16" s="94" t="e">
        <f t="shared" ca="1" si="108"/>
        <v>#N/A</v>
      </c>
      <c r="BJ16" s="94" t="e">
        <f t="shared" ca="1" si="108"/>
        <v>#N/A</v>
      </c>
      <c r="BK16" s="94" t="e">
        <f t="shared" ca="1" si="108"/>
        <v>#N/A</v>
      </c>
      <c r="BL16" s="94" t="e">
        <f t="shared" ca="1" si="108"/>
        <v>#N/A</v>
      </c>
      <c r="BM16" s="94" t="e">
        <f t="shared" ca="1" si="108"/>
        <v>#N/A</v>
      </c>
      <c r="BN16" s="94" t="e">
        <f t="shared" ca="1" si="108"/>
        <v>#N/A</v>
      </c>
      <c r="BO16" s="94" t="e">
        <f t="shared" ca="1" si="108"/>
        <v>#N/A</v>
      </c>
      <c r="BP16" s="94" t="e">
        <f t="shared" ca="1" si="108"/>
        <v>#N/A</v>
      </c>
      <c r="BQ16" s="94" t="e">
        <f t="shared" ca="1" si="108"/>
        <v>#N/A</v>
      </c>
      <c r="BR16" s="94" t="e">
        <f t="shared" ca="1" si="108"/>
        <v>#N/A</v>
      </c>
      <c r="BS16" s="94" t="e">
        <f t="shared" ca="1" si="108"/>
        <v>#N/A</v>
      </c>
      <c r="BT16" s="94" t="e">
        <f t="shared" ca="1" si="108"/>
        <v>#N/A</v>
      </c>
      <c r="BU16" s="94" t="e">
        <f t="shared" ca="1" si="108"/>
        <v>#N/A</v>
      </c>
      <c r="BV16" s="94" t="e">
        <f t="shared" ca="1" si="108"/>
        <v>#N/A</v>
      </c>
      <c r="BW16" s="94" t="e">
        <f t="shared" ca="1" si="108"/>
        <v>#N/A</v>
      </c>
      <c r="BX16" s="94" t="e">
        <f t="shared" ca="1" si="108"/>
        <v>#N/A</v>
      </c>
      <c r="BY16" s="94" t="e">
        <f t="shared" ca="1" si="108"/>
        <v>#N/A</v>
      </c>
      <c r="BZ16" s="94" t="e">
        <f t="shared" ca="1" si="108"/>
        <v>#N/A</v>
      </c>
      <c r="CA16" s="94" t="e">
        <f t="shared" ca="1" si="108"/>
        <v>#N/A</v>
      </c>
      <c r="CB16" s="94" t="e">
        <f t="shared" ca="1" si="108"/>
        <v>#N/A</v>
      </c>
      <c r="CC16" s="94" t="e">
        <f t="shared" ca="1" si="108"/>
        <v>#N/A</v>
      </c>
      <c r="CD16" s="94" t="e">
        <f t="shared" ca="1" si="108"/>
        <v>#N/A</v>
      </c>
      <c r="CE16" s="94" t="e">
        <f t="shared" ca="1" si="108"/>
        <v>#N/A</v>
      </c>
      <c r="CF16" s="94" t="e">
        <f t="shared" ca="1" si="108"/>
        <v>#N/A</v>
      </c>
      <c r="CG16" s="94" t="e">
        <f t="shared" ca="1" si="108"/>
        <v>#N/A</v>
      </c>
      <c r="CH16" s="94" t="e">
        <f t="shared" ca="1" si="108"/>
        <v>#N/A</v>
      </c>
      <c r="CI16" s="94" t="e">
        <f t="shared" ca="1" si="108"/>
        <v>#N/A</v>
      </c>
      <c r="CJ16" s="94" t="e">
        <f t="shared" ca="1" si="108"/>
        <v>#N/A</v>
      </c>
      <c r="CK16" s="94" t="e">
        <f t="shared" ca="1" si="108"/>
        <v>#N/A</v>
      </c>
      <c r="CL16" s="94" t="e">
        <f t="shared" ca="1" si="108"/>
        <v>#N/A</v>
      </c>
      <c r="CM16" s="94" t="e">
        <f t="shared" ca="1" si="108"/>
        <v>#N/A</v>
      </c>
      <c r="CN16" s="94" t="e">
        <f t="shared" ca="1" si="108"/>
        <v>#N/A</v>
      </c>
      <c r="CO16" s="94" t="e">
        <f t="shared" ca="1" si="108"/>
        <v>#N/A</v>
      </c>
      <c r="CP16" s="94" t="e">
        <f t="shared" ca="1" si="108"/>
        <v>#N/A</v>
      </c>
      <c r="CQ16" s="94" t="e">
        <f t="shared" ref="CQ16:FB16" ca="1" si="109">IFERROR(AVERAGE(CO14:CQ14),NA())</f>
        <v>#N/A</v>
      </c>
      <c r="CR16" s="94" t="e">
        <f t="shared" ca="1" si="109"/>
        <v>#N/A</v>
      </c>
      <c r="CS16" s="94" t="e">
        <f t="shared" ca="1" si="109"/>
        <v>#N/A</v>
      </c>
      <c r="CT16" s="94" t="e">
        <f t="shared" ca="1" si="109"/>
        <v>#N/A</v>
      </c>
      <c r="CU16" s="94" t="e">
        <f t="shared" ca="1" si="109"/>
        <v>#N/A</v>
      </c>
      <c r="CV16" s="94" t="e">
        <f t="shared" ca="1" si="109"/>
        <v>#N/A</v>
      </c>
      <c r="CW16" s="94" t="e">
        <f t="shared" ca="1" si="109"/>
        <v>#N/A</v>
      </c>
      <c r="CX16" s="94" t="e">
        <f t="shared" ca="1" si="109"/>
        <v>#N/A</v>
      </c>
      <c r="CY16" s="94" t="e">
        <f t="shared" ca="1" si="109"/>
        <v>#N/A</v>
      </c>
      <c r="CZ16" s="94" t="e">
        <f t="shared" ca="1" si="109"/>
        <v>#N/A</v>
      </c>
      <c r="DA16" s="94" t="e">
        <f t="shared" ca="1" si="109"/>
        <v>#N/A</v>
      </c>
      <c r="DB16" s="94" t="e">
        <f t="shared" ca="1" si="109"/>
        <v>#N/A</v>
      </c>
      <c r="DC16" s="94" t="e">
        <f t="shared" ca="1" si="109"/>
        <v>#N/A</v>
      </c>
      <c r="DD16" s="94" t="e">
        <f t="shared" ca="1" si="109"/>
        <v>#N/A</v>
      </c>
      <c r="DE16" s="94" t="e">
        <f t="shared" ca="1" si="109"/>
        <v>#N/A</v>
      </c>
      <c r="DF16" s="94" t="e">
        <f t="shared" ca="1" si="109"/>
        <v>#N/A</v>
      </c>
      <c r="DG16" s="94" t="e">
        <f t="shared" ca="1" si="109"/>
        <v>#N/A</v>
      </c>
      <c r="DH16" s="94" t="e">
        <f t="shared" ca="1" si="109"/>
        <v>#N/A</v>
      </c>
      <c r="DI16" s="94" t="e">
        <f t="shared" ca="1" si="109"/>
        <v>#N/A</v>
      </c>
      <c r="DJ16" s="94" t="e">
        <f t="shared" ca="1" si="109"/>
        <v>#N/A</v>
      </c>
      <c r="DK16" s="94" t="e">
        <f t="shared" ca="1" si="109"/>
        <v>#N/A</v>
      </c>
      <c r="DL16" s="94" t="e">
        <f t="shared" ca="1" si="109"/>
        <v>#N/A</v>
      </c>
      <c r="DM16" s="94" t="e">
        <f t="shared" ca="1" si="109"/>
        <v>#N/A</v>
      </c>
      <c r="DN16" s="94" t="e">
        <f t="shared" ca="1" si="109"/>
        <v>#N/A</v>
      </c>
      <c r="DO16" s="94" t="e">
        <f t="shared" ca="1" si="109"/>
        <v>#N/A</v>
      </c>
      <c r="DP16" s="94" t="e">
        <f t="shared" ca="1" si="109"/>
        <v>#N/A</v>
      </c>
      <c r="DQ16" s="94" t="e">
        <f t="shared" ca="1" si="109"/>
        <v>#N/A</v>
      </c>
      <c r="DR16" s="94" t="e">
        <f t="shared" ca="1" si="109"/>
        <v>#N/A</v>
      </c>
      <c r="DS16" s="94" t="e">
        <f t="shared" ca="1" si="109"/>
        <v>#N/A</v>
      </c>
      <c r="DT16" s="94" t="e">
        <f t="shared" ca="1" si="109"/>
        <v>#N/A</v>
      </c>
      <c r="DU16" s="94" t="e">
        <f t="shared" ca="1" si="109"/>
        <v>#N/A</v>
      </c>
      <c r="DV16" s="94" t="e">
        <f t="shared" ca="1" si="109"/>
        <v>#N/A</v>
      </c>
      <c r="DW16" s="94" t="e">
        <f t="shared" ca="1" si="109"/>
        <v>#N/A</v>
      </c>
      <c r="DX16" s="94" t="e">
        <f t="shared" ca="1" si="109"/>
        <v>#N/A</v>
      </c>
      <c r="DY16" s="94" t="e">
        <f t="shared" ca="1" si="109"/>
        <v>#N/A</v>
      </c>
      <c r="DZ16" s="94" t="e">
        <f t="shared" ca="1" si="109"/>
        <v>#N/A</v>
      </c>
      <c r="EA16" s="94" t="e">
        <f t="shared" ca="1" si="109"/>
        <v>#N/A</v>
      </c>
      <c r="EB16" s="94" t="e">
        <f t="shared" ca="1" si="109"/>
        <v>#N/A</v>
      </c>
      <c r="EC16" s="94" t="e">
        <f t="shared" ca="1" si="109"/>
        <v>#N/A</v>
      </c>
      <c r="ED16" s="94" t="e">
        <f t="shared" ca="1" si="109"/>
        <v>#N/A</v>
      </c>
      <c r="EE16" s="94" t="e">
        <f t="shared" ca="1" si="109"/>
        <v>#N/A</v>
      </c>
      <c r="EF16" s="94" t="e">
        <f t="shared" ca="1" si="109"/>
        <v>#N/A</v>
      </c>
      <c r="EG16" s="94" t="e">
        <f t="shared" ca="1" si="109"/>
        <v>#N/A</v>
      </c>
      <c r="EH16" s="94" t="e">
        <f t="shared" ca="1" si="109"/>
        <v>#N/A</v>
      </c>
      <c r="EI16" s="94" t="e">
        <f t="shared" ca="1" si="109"/>
        <v>#N/A</v>
      </c>
      <c r="EJ16" s="94" t="e">
        <f t="shared" ca="1" si="109"/>
        <v>#N/A</v>
      </c>
      <c r="EK16" s="94" t="e">
        <f t="shared" ca="1" si="109"/>
        <v>#N/A</v>
      </c>
      <c r="EL16" s="94" t="e">
        <f t="shared" ca="1" si="109"/>
        <v>#N/A</v>
      </c>
      <c r="EM16" s="94" t="e">
        <f t="shared" ca="1" si="109"/>
        <v>#N/A</v>
      </c>
      <c r="EN16" s="94" t="e">
        <f t="shared" ca="1" si="109"/>
        <v>#N/A</v>
      </c>
      <c r="EO16" s="94" t="e">
        <f t="shared" ca="1" si="109"/>
        <v>#N/A</v>
      </c>
      <c r="EP16" s="94" t="e">
        <f t="shared" ca="1" si="109"/>
        <v>#N/A</v>
      </c>
      <c r="EQ16" s="94" t="e">
        <f t="shared" ca="1" si="109"/>
        <v>#N/A</v>
      </c>
      <c r="ER16" s="94" t="e">
        <f t="shared" ca="1" si="109"/>
        <v>#N/A</v>
      </c>
      <c r="ES16" s="94" t="e">
        <f t="shared" ca="1" si="109"/>
        <v>#N/A</v>
      </c>
      <c r="ET16" s="94" t="e">
        <f t="shared" ca="1" si="109"/>
        <v>#N/A</v>
      </c>
      <c r="EU16" s="94" t="e">
        <f t="shared" ca="1" si="109"/>
        <v>#N/A</v>
      </c>
      <c r="EV16" s="94" t="e">
        <f t="shared" ca="1" si="109"/>
        <v>#N/A</v>
      </c>
      <c r="EW16" s="94" t="e">
        <f t="shared" ca="1" si="109"/>
        <v>#N/A</v>
      </c>
      <c r="EX16" s="94" t="e">
        <f t="shared" ca="1" si="109"/>
        <v>#N/A</v>
      </c>
      <c r="EY16" s="94" t="e">
        <f t="shared" ca="1" si="109"/>
        <v>#N/A</v>
      </c>
      <c r="EZ16" s="94" t="e">
        <f t="shared" ca="1" si="109"/>
        <v>#N/A</v>
      </c>
      <c r="FA16" s="94" t="e">
        <f t="shared" ca="1" si="109"/>
        <v>#N/A</v>
      </c>
      <c r="FB16" s="94" t="e">
        <f t="shared" ca="1" si="109"/>
        <v>#N/A</v>
      </c>
      <c r="FC16" s="94" t="e">
        <f t="shared" ref="FC16:HN16" ca="1" si="110">IFERROR(AVERAGE(FA14:FC14),NA())</f>
        <v>#N/A</v>
      </c>
      <c r="FD16" s="94" t="e">
        <f t="shared" ca="1" si="110"/>
        <v>#N/A</v>
      </c>
      <c r="FE16" s="94" t="e">
        <f t="shared" ca="1" si="110"/>
        <v>#N/A</v>
      </c>
      <c r="FF16" s="94" t="e">
        <f t="shared" ca="1" si="110"/>
        <v>#N/A</v>
      </c>
      <c r="FG16" s="94" t="e">
        <f t="shared" ca="1" si="110"/>
        <v>#N/A</v>
      </c>
      <c r="FH16" s="94" t="e">
        <f t="shared" ca="1" si="110"/>
        <v>#N/A</v>
      </c>
      <c r="FI16" s="94" t="e">
        <f t="shared" ca="1" si="110"/>
        <v>#N/A</v>
      </c>
      <c r="FJ16" s="94" t="e">
        <f t="shared" ca="1" si="110"/>
        <v>#N/A</v>
      </c>
      <c r="FK16" s="94" t="e">
        <f t="shared" ca="1" si="110"/>
        <v>#N/A</v>
      </c>
      <c r="FL16" s="94" t="e">
        <f t="shared" ca="1" si="110"/>
        <v>#N/A</v>
      </c>
      <c r="FM16" s="94" t="e">
        <f t="shared" ca="1" si="110"/>
        <v>#N/A</v>
      </c>
      <c r="FN16" s="94" t="e">
        <f t="shared" ca="1" si="110"/>
        <v>#N/A</v>
      </c>
      <c r="FO16" s="94" t="e">
        <f t="shared" ca="1" si="110"/>
        <v>#N/A</v>
      </c>
      <c r="FP16" s="94" t="e">
        <f t="shared" ca="1" si="110"/>
        <v>#N/A</v>
      </c>
      <c r="FQ16" s="94" t="e">
        <f t="shared" ca="1" si="110"/>
        <v>#N/A</v>
      </c>
      <c r="FR16" s="94" t="e">
        <f t="shared" ca="1" si="110"/>
        <v>#N/A</v>
      </c>
      <c r="FS16" s="94" t="e">
        <f t="shared" ca="1" si="110"/>
        <v>#N/A</v>
      </c>
      <c r="FT16" s="94" t="e">
        <f t="shared" ca="1" si="110"/>
        <v>#N/A</v>
      </c>
      <c r="FU16" s="94" t="e">
        <f t="shared" ca="1" si="110"/>
        <v>#N/A</v>
      </c>
      <c r="FV16" s="94" t="e">
        <f t="shared" ca="1" si="110"/>
        <v>#N/A</v>
      </c>
      <c r="FW16" s="94" t="e">
        <f t="shared" ca="1" si="110"/>
        <v>#N/A</v>
      </c>
      <c r="FX16" s="94" t="e">
        <f t="shared" ca="1" si="110"/>
        <v>#N/A</v>
      </c>
      <c r="FY16" s="94" t="e">
        <f t="shared" ca="1" si="110"/>
        <v>#N/A</v>
      </c>
      <c r="FZ16" s="94" t="e">
        <f t="shared" ca="1" si="110"/>
        <v>#N/A</v>
      </c>
      <c r="GA16" s="94" t="e">
        <f t="shared" ca="1" si="110"/>
        <v>#N/A</v>
      </c>
      <c r="GB16" s="94" t="e">
        <f t="shared" ca="1" si="110"/>
        <v>#N/A</v>
      </c>
      <c r="GC16" s="94" t="e">
        <f t="shared" ca="1" si="110"/>
        <v>#N/A</v>
      </c>
      <c r="GD16" s="94" t="e">
        <f t="shared" ca="1" si="110"/>
        <v>#N/A</v>
      </c>
      <c r="GE16" s="94" t="e">
        <f t="shared" ca="1" si="110"/>
        <v>#N/A</v>
      </c>
      <c r="GF16" s="94" t="e">
        <f t="shared" ca="1" si="110"/>
        <v>#N/A</v>
      </c>
      <c r="GG16" s="94" t="e">
        <f t="shared" ca="1" si="110"/>
        <v>#N/A</v>
      </c>
      <c r="GH16" s="94" t="e">
        <f t="shared" ca="1" si="110"/>
        <v>#N/A</v>
      </c>
      <c r="GI16" s="94" t="e">
        <f t="shared" ca="1" si="110"/>
        <v>#N/A</v>
      </c>
      <c r="GJ16" s="94" t="e">
        <f t="shared" ca="1" si="110"/>
        <v>#N/A</v>
      </c>
      <c r="GK16" s="94" t="e">
        <f t="shared" ca="1" si="110"/>
        <v>#N/A</v>
      </c>
      <c r="GL16" s="94" t="e">
        <f t="shared" ca="1" si="110"/>
        <v>#N/A</v>
      </c>
      <c r="GM16" s="94" t="e">
        <f t="shared" ca="1" si="110"/>
        <v>#N/A</v>
      </c>
      <c r="GN16" s="94" t="e">
        <f t="shared" ca="1" si="110"/>
        <v>#N/A</v>
      </c>
      <c r="GO16" s="94" t="e">
        <f t="shared" ca="1" si="110"/>
        <v>#N/A</v>
      </c>
      <c r="GP16" s="94" t="e">
        <f t="shared" ca="1" si="110"/>
        <v>#N/A</v>
      </c>
      <c r="GQ16" s="94" t="e">
        <f t="shared" ca="1" si="110"/>
        <v>#N/A</v>
      </c>
      <c r="GR16" s="94" t="e">
        <f t="shared" ca="1" si="110"/>
        <v>#N/A</v>
      </c>
      <c r="GS16" s="94" t="e">
        <f t="shared" ca="1" si="110"/>
        <v>#N/A</v>
      </c>
      <c r="GT16" s="94" t="e">
        <f t="shared" ca="1" si="110"/>
        <v>#N/A</v>
      </c>
      <c r="GU16" s="94" t="e">
        <f t="shared" ca="1" si="110"/>
        <v>#N/A</v>
      </c>
      <c r="GV16" s="94" t="e">
        <f t="shared" ca="1" si="110"/>
        <v>#N/A</v>
      </c>
      <c r="GW16" s="94" t="e">
        <f t="shared" ca="1" si="110"/>
        <v>#N/A</v>
      </c>
      <c r="GX16" s="94" t="e">
        <f t="shared" ca="1" si="110"/>
        <v>#N/A</v>
      </c>
      <c r="GY16" s="94" t="e">
        <f t="shared" ca="1" si="110"/>
        <v>#N/A</v>
      </c>
      <c r="GZ16" s="94" t="e">
        <f t="shared" ca="1" si="110"/>
        <v>#N/A</v>
      </c>
      <c r="HA16" s="94" t="e">
        <f t="shared" ca="1" si="110"/>
        <v>#N/A</v>
      </c>
      <c r="HB16" s="94" t="e">
        <f t="shared" ca="1" si="110"/>
        <v>#N/A</v>
      </c>
      <c r="HC16" s="94" t="e">
        <f t="shared" ca="1" si="110"/>
        <v>#N/A</v>
      </c>
      <c r="HD16" s="94" t="e">
        <f t="shared" ca="1" si="110"/>
        <v>#N/A</v>
      </c>
      <c r="HE16" s="94" t="e">
        <f t="shared" ca="1" si="110"/>
        <v>#N/A</v>
      </c>
      <c r="HF16" s="94" t="e">
        <f t="shared" ca="1" si="110"/>
        <v>#N/A</v>
      </c>
      <c r="HG16" s="94" t="e">
        <f t="shared" ca="1" si="110"/>
        <v>#N/A</v>
      </c>
      <c r="HH16" s="94" t="e">
        <f t="shared" ca="1" si="110"/>
        <v>#N/A</v>
      </c>
      <c r="HI16" s="94" t="e">
        <f t="shared" ca="1" si="110"/>
        <v>#N/A</v>
      </c>
      <c r="HJ16" s="94" t="e">
        <f t="shared" ca="1" si="110"/>
        <v>#N/A</v>
      </c>
      <c r="HK16" s="94" t="e">
        <f t="shared" ca="1" si="110"/>
        <v>#N/A</v>
      </c>
      <c r="HL16" s="94" t="e">
        <f t="shared" ca="1" si="110"/>
        <v>#N/A</v>
      </c>
      <c r="HM16" s="94" t="e">
        <f t="shared" ca="1" si="110"/>
        <v>#N/A</v>
      </c>
      <c r="HN16" s="94" t="e">
        <f t="shared" ca="1" si="110"/>
        <v>#N/A</v>
      </c>
      <c r="HO16" s="94" t="e">
        <f t="shared" ref="HO16:IN16" ca="1" si="111">IFERROR(AVERAGE(HM14:HO14),NA())</f>
        <v>#N/A</v>
      </c>
      <c r="HP16" s="94" t="e">
        <f t="shared" ca="1" si="111"/>
        <v>#N/A</v>
      </c>
      <c r="HQ16" s="94" t="e">
        <f t="shared" ca="1" si="111"/>
        <v>#N/A</v>
      </c>
      <c r="HR16" s="94" t="e">
        <f t="shared" ca="1" si="111"/>
        <v>#N/A</v>
      </c>
      <c r="HS16" s="94" t="e">
        <f t="shared" ca="1" si="111"/>
        <v>#N/A</v>
      </c>
      <c r="HT16" s="94" t="e">
        <f t="shared" ca="1" si="111"/>
        <v>#N/A</v>
      </c>
      <c r="HU16" s="94" t="e">
        <f t="shared" ca="1" si="111"/>
        <v>#N/A</v>
      </c>
      <c r="HV16" s="94" t="e">
        <f t="shared" ca="1" si="111"/>
        <v>#N/A</v>
      </c>
      <c r="HW16" s="94" t="e">
        <f t="shared" ca="1" si="111"/>
        <v>#N/A</v>
      </c>
      <c r="HX16" s="94" t="e">
        <f t="shared" ca="1" si="111"/>
        <v>#N/A</v>
      </c>
      <c r="HY16" s="94" t="e">
        <f t="shared" ca="1" si="111"/>
        <v>#N/A</v>
      </c>
      <c r="HZ16" s="94" t="e">
        <f t="shared" ca="1" si="111"/>
        <v>#N/A</v>
      </c>
      <c r="IA16" s="94" t="e">
        <f t="shared" ca="1" si="111"/>
        <v>#N/A</v>
      </c>
      <c r="IB16" s="94" t="e">
        <f t="shared" ca="1" si="111"/>
        <v>#N/A</v>
      </c>
      <c r="IC16" s="94" t="e">
        <f t="shared" ca="1" si="111"/>
        <v>#N/A</v>
      </c>
      <c r="ID16" s="94" t="e">
        <f t="shared" ca="1" si="111"/>
        <v>#N/A</v>
      </c>
      <c r="IE16" s="94" t="e">
        <f t="shared" ca="1" si="111"/>
        <v>#N/A</v>
      </c>
      <c r="IF16" s="94" t="e">
        <f t="shared" ca="1" si="111"/>
        <v>#N/A</v>
      </c>
      <c r="IG16" s="94" t="e">
        <f t="shared" ca="1" si="111"/>
        <v>#N/A</v>
      </c>
      <c r="IH16" s="94" t="e">
        <f t="shared" ca="1" si="111"/>
        <v>#N/A</v>
      </c>
      <c r="II16" s="94" t="e">
        <f t="shared" ca="1" si="111"/>
        <v>#N/A</v>
      </c>
      <c r="IJ16" s="94" t="e">
        <f t="shared" ca="1" si="111"/>
        <v>#N/A</v>
      </c>
      <c r="IK16" s="94" t="e">
        <f t="shared" ca="1" si="111"/>
        <v>#N/A</v>
      </c>
      <c r="IL16" s="94" t="e">
        <f t="shared" ca="1" si="111"/>
        <v>#N/A</v>
      </c>
      <c r="IM16" s="94" t="e">
        <f t="shared" ca="1" si="111"/>
        <v>#N/A</v>
      </c>
      <c r="IN16" s="94" t="e">
        <f t="shared" ca="1" si="111"/>
        <v>#N/A</v>
      </c>
    </row>
    <row r="17" spans="2:248" x14ac:dyDescent="0.3">
      <c r="B17" s="19" t="s">
        <v>497</v>
      </c>
      <c r="C17" s="23">
        <v>2.5000000000000001E-2</v>
      </c>
      <c r="E17" s="93" t="s">
        <v>586</v>
      </c>
      <c r="F17" s="19" t="s">
        <v>569</v>
      </c>
      <c r="G17" s="94" t="e">
        <f t="shared" ref="G17:AC17" ca="1" si="112">IFERROR(AVERAGE(E15:G15),NA())</f>
        <v>#N/A</v>
      </c>
      <c r="H17" s="94" t="e">
        <f t="shared" ca="1" si="112"/>
        <v>#N/A</v>
      </c>
      <c r="I17" s="94" t="e">
        <f t="shared" ca="1" si="112"/>
        <v>#N/A</v>
      </c>
      <c r="J17" s="94" t="e">
        <f t="shared" ca="1" si="112"/>
        <v>#N/A</v>
      </c>
      <c r="K17" s="94" t="e">
        <f t="shared" ca="1" si="112"/>
        <v>#N/A</v>
      </c>
      <c r="L17" s="94" t="e">
        <f t="shared" ca="1" si="112"/>
        <v>#N/A</v>
      </c>
      <c r="M17" s="94" t="e">
        <f t="shared" ca="1" si="112"/>
        <v>#N/A</v>
      </c>
      <c r="N17" s="94" t="e">
        <f t="shared" ca="1" si="112"/>
        <v>#N/A</v>
      </c>
      <c r="O17" s="94" t="e">
        <f t="shared" ca="1" si="112"/>
        <v>#N/A</v>
      </c>
      <c r="P17" s="94" t="e">
        <f t="shared" ca="1" si="112"/>
        <v>#N/A</v>
      </c>
      <c r="Q17" s="94" t="e">
        <f t="shared" ca="1" si="112"/>
        <v>#N/A</v>
      </c>
      <c r="R17" s="94" t="e">
        <f t="shared" ca="1" si="112"/>
        <v>#N/A</v>
      </c>
      <c r="S17" s="94" t="e">
        <f t="shared" ca="1" si="112"/>
        <v>#N/A</v>
      </c>
      <c r="T17" s="94" t="e">
        <f t="shared" ca="1" si="112"/>
        <v>#N/A</v>
      </c>
      <c r="U17" s="94" t="e">
        <f t="shared" ca="1" si="112"/>
        <v>#N/A</v>
      </c>
      <c r="V17" s="94" t="e">
        <f t="shared" ca="1" si="112"/>
        <v>#N/A</v>
      </c>
      <c r="W17" s="94" t="e">
        <f t="shared" ca="1" si="112"/>
        <v>#N/A</v>
      </c>
      <c r="X17" s="94" t="e">
        <f t="shared" ca="1" si="112"/>
        <v>#N/A</v>
      </c>
      <c r="Y17" s="94" t="e">
        <f t="shared" ca="1" si="112"/>
        <v>#N/A</v>
      </c>
      <c r="Z17" s="94" t="e">
        <f t="shared" ca="1" si="112"/>
        <v>#N/A</v>
      </c>
      <c r="AA17" s="94" t="e">
        <f t="shared" ca="1" si="112"/>
        <v>#N/A</v>
      </c>
      <c r="AB17" s="94" t="e">
        <f t="shared" ca="1" si="112"/>
        <v>#N/A</v>
      </c>
      <c r="AC17" s="94" t="e">
        <f t="shared" ca="1" si="112"/>
        <v>#N/A</v>
      </c>
      <c r="AD17" s="94" t="e">
        <f ca="1">IFERROR(AVERAGE(AB15:AD15),NA())</f>
        <v>#N/A</v>
      </c>
      <c r="AE17" s="94" t="e">
        <f t="shared" ref="AE17:CP17" ca="1" si="113">IFERROR(AVERAGE(AC15:AE15),NA())</f>
        <v>#N/A</v>
      </c>
      <c r="AF17" s="94" t="e">
        <f t="shared" ca="1" si="113"/>
        <v>#N/A</v>
      </c>
      <c r="AG17" s="94" t="e">
        <f t="shared" ca="1" si="113"/>
        <v>#N/A</v>
      </c>
      <c r="AH17" s="94" t="e">
        <f t="shared" ca="1" si="113"/>
        <v>#N/A</v>
      </c>
      <c r="AI17" s="94" t="e">
        <f t="shared" ca="1" si="113"/>
        <v>#N/A</v>
      </c>
      <c r="AJ17" s="94" t="e">
        <f t="shared" ca="1" si="113"/>
        <v>#N/A</v>
      </c>
      <c r="AK17" s="94" t="e">
        <f t="shared" ca="1" si="113"/>
        <v>#N/A</v>
      </c>
      <c r="AL17" s="94" t="e">
        <f t="shared" ca="1" si="113"/>
        <v>#N/A</v>
      </c>
      <c r="AM17" s="94" t="e">
        <f t="shared" ca="1" si="113"/>
        <v>#N/A</v>
      </c>
      <c r="AN17" s="94" t="e">
        <f t="shared" ca="1" si="113"/>
        <v>#N/A</v>
      </c>
      <c r="AO17" s="94" t="e">
        <f t="shared" ca="1" si="113"/>
        <v>#N/A</v>
      </c>
      <c r="AP17" s="94" t="e">
        <f t="shared" ca="1" si="113"/>
        <v>#N/A</v>
      </c>
      <c r="AQ17" s="94" t="e">
        <f t="shared" ca="1" si="113"/>
        <v>#N/A</v>
      </c>
      <c r="AR17" s="94" t="e">
        <f t="shared" ca="1" si="113"/>
        <v>#N/A</v>
      </c>
      <c r="AS17" s="94" t="e">
        <f t="shared" ca="1" si="113"/>
        <v>#N/A</v>
      </c>
      <c r="AT17" s="94" t="e">
        <f t="shared" ca="1" si="113"/>
        <v>#N/A</v>
      </c>
      <c r="AU17" s="94" t="e">
        <f t="shared" ca="1" si="113"/>
        <v>#N/A</v>
      </c>
      <c r="AV17" s="94" t="e">
        <f t="shared" ca="1" si="113"/>
        <v>#N/A</v>
      </c>
      <c r="AW17" s="94" t="e">
        <f t="shared" ca="1" si="113"/>
        <v>#N/A</v>
      </c>
      <c r="AX17" s="94" t="e">
        <f t="shared" ca="1" si="113"/>
        <v>#N/A</v>
      </c>
      <c r="AY17" s="94" t="e">
        <f t="shared" ca="1" si="113"/>
        <v>#N/A</v>
      </c>
      <c r="AZ17" s="94" t="e">
        <f t="shared" ca="1" si="113"/>
        <v>#N/A</v>
      </c>
      <c r="BA17" s="94" t="e">
        <f t="shared" ca="1" si="113"/>
        <v>#N/A</v>
      </c>
      <c r="BB17" s="94" t="e">
        <f t="shared" ca="1" si="113"/>
        <v>#N/A</v>
      </c>
      <c r="BC17" s="94" t="e">
        <f t="shared" ca="1" si="113"/>
        <v>#N/A</v>
      </c>
      <c r="BD17" s="94" t="e">
        <f t="shared" ca="1" si="113"/>
        <v>#N/A</v>
      </c>
      <c r="BE17" s="94" t="e">
        <f t="shared" ca="1" si="113"/>
        <v>#N/A</v>
      </c>
      <c r="BF17" s="94" t="e">
        <f t="shared" ca="1" si="113"/>
        <v>#N/A</v>
      </c>
      <c r="BG17" s="94" t="e">
        <f t="shared" ca="1" si="113"/>
        <v>#N/A</v>
      </c>
      <c r="BH17" s="94" t="e">
        <f t="shared" ca="1" si="113"/>
        <v>#N/A</v>
      </c>
      <c r="BI17" s="94" t="e">
        <f t="shared" ca="1" si="113"/>
        <v>#N/A</v>
      </c>
      <c r="BJ17" s="94" t="e">
        <f t="shared" ca="1" si="113"/>
        <v>#N/A</v>
      </c>
      <c r="BK17" s="94" t="e">
        <f t="shared" ca="1" si="113"/>
        <v>#N/A</v>
      </c>
      <c r="BL17" s="94" t="e">
        <f t="shared" ca="1" si="113"/>
        <v>#N/A</v>
      </c>
      <c r="BM17" s="94" t="e">
        <f t="shared" ca="1" si="113"/>
        <v>#N/A</v>
      </c>
      <c r="BN17" s="94" t="e">
        <f t="shared" ca="1" si="113"/>
        <v>#N/A</v>
      </c>
      <c r="BO17" s="94" t="e">
        <f t="shared" ca="1" si="113"/>
        <v>#N/A</v>
      </c>
      <c r="BP17" s="94" t="e">
        <f t="shared" ca="1" si="113"/>
        <v>#N/A</v>
      </c>
      <c r="BQ17" s="94" t="e">
        <f t="shared" ca="1" si="113"/>
        <v>#N/A</v>
      </c>
      <c r="BR17" s="94" t="e">
        <f t="shared" ca="1" si="113"/>
        <v>#N/A</v>
      </c>
      <c r="BS17" s="94" t="e">
        <f t="shared" ca="1" si="113"/>
        <v>#N/A</v>
      </c>
      <c r="BT17" s="94" t="e">
        <f t="shared" ca="1" si="113"/>
        <v>#N/A</v>
      </c>
      <c r="BU17" s="94" t="e">
        <f t="shared" ca="1" si="113"/>
        <v>#N/A</v>
      </c>
      <c r="BV17" s="94" t="e">
        <f t="shared" ca="1" si="113"/>
        <v>#N/A</v>
      </c>
      <c r="BW17" s="94" t="e">
        <f t="shared" ca="1" si="113"/>
        <v>#N/A</v>
      </c>
      <c r="BX17" s="94" t="e">
        <f t="shared" ca="1" si="113"/>
        <v>#N/A</v>
      </c>
      <c r="BY17" s="94" t="e">
        <f t="shared" ca="1" si="113"/>
        <v>#N/A</v>
      </c>
      <c r="BZ17" s="94" t="e">
        <f t="shared" ca="1" si="113"/>
        <v>#N/A</v>
      </c>
      <c r="CA17" s="94" t="e">
        <f t="shared" ca="1" si="113"/>
        <v>#N/A</v>
      </c>
      <c r="CB17" s="94" t="e">
        <f t="shared" ca="1" si="113"/>
        <v>#N/A</v>
      </c>
      <c r="CC17" s="94" t="e">
        <f t="shared" ca="1" si="113"/>
        <v>#N/A</v>
      </c>
      <c r="CD17" s="94" t="e">
        <f t="shared" ca="1" si="113"/>
        <v>#N/A</v>
      </c>
      <c r="CE17" s="94" t="e">
        <f t="shared" ca="1" si="113"/>
        <v>#N/A</v>
      </c>
      <c r="CF17" s="94" t="e">
        <f t="shared" ca="1" si="113"/>
        <v>#N/A</v>
      </c>
      <c r="CG17" s="94" t="e">
        <f t="shared" ca="1" si="113"/>
        <v>#N/A</v>
      </c>
      <c r="CH17" s="94" t="e">
        <f t="shared" ca="1" si="113"/>
        <v>#N/A</v>
      </c>
      <c r="CI17" s="94" t="e">
        <f t="shared" ca="1" si="113"/>
        <v>#N/A</v>
      </c>
      <c r="CJ17" s="94" t="e">
        <f t="shared" ca="1" si="113"/>
        <v>#N/A</v>
      </c>
      <c r="CK17" s="94" t="e">
        <f t="shared" ca="1" si="113"/>
        <v>#N/A</v>
      </c>
      <c r="CL17" s="94" t="e">
        <f t="shared" ca="1" si="113"/>
        <v>#N/A</v>
      </c>
      <c r="CM17" s="94" t="e">
        <f t="shared" ca="1" si="113"/>
        <v>#N/A</v>
      </c>
      <c r="CN17" s="94" t="e">
        <f t="shared" ca="1" si="113"/>
        <v>#N/A</v>
      </c>
      <c r="CO17" s="94" t="e">
        <f t="shared" ca="1" si="113"/>
        <v>#N/A</v>
      </c>
      <c r="CP17" s="94" t="e">
        <f t="shared" ca="1" si="113"/>
        <v>#N/A</v>
      </c>
      <c r="CQ17" s="94" t="e">
        <f t="shared" ref="CQ17:FB17" ca="1" si="114">IFERROR(AVERAGE(CO15:CQ15),NA())</f>
        <v>#N/A</v>
      </c>
      <c r="CR17" s="94" t="e">
        <f t="shared" ca="1" si="114"/>
        <v>#N/A</v>
      </c>
      <c r="CS17" s="94" t="e">
        <f t="shared" ca="1" si="114"/>
        <v>#N/A</v>
      </c>
      <c r="CT17" s="94" t="e">
        <f t="shared" ca="1" si="114"/>
        <v>#N/A</v>
      </c>
      <c r="CU17" s="94" t="e">
        <f t="shared" ca="1" si="114"/>
        <v>#N/A</v>
      </c>
      <c r="CV17" s="94" t="e">
        <f t="shared" ca="1" si="114"/>
        <v>#N/A</v>
      </c>
      <c r="CW17" s="94" t="e">
        <f t="shared" ca="1" si="114"/>
        <v>#N/A</v>
      </c>
      <c r="CX17" s="94" t="e">
        <f t="shared" ca="1" si="114"/>
        <v>#N/A</v>
      </c>
      <c r="CY17" s="94" t="e">
        <f t="shared" ca="1" si="114"/>
        <v>#N/A</v>
      </c>
      <c r="CZ17" s="94" t="e">
        <f t="shared" ca="1" si="114"/>
        <v>#N/A</v>
      </c>
      <c r="DA17" s="94" t="e">
        <f t="shared" ca="1" si="114"/>
        <v>#N/A</v>
      </c>
      <c r="DB17" s="94" t="e">
        <f t="shared" ca="1" si="114"/>
        <v>#N/A</v>
      </c>
      <c r="DC17" s="94" t="e">
        <f t="shared" ca="1" si="114"/>
        <v>#N/A</v>
      </c>
      <c r="DD17" s="94" t="e">
        <f t="shared" ca="1" si="114"/>
        <v>#N/A</v>
      </c>
      <c r="DE17" s="94" t="e">
        <f t="shared" ca="1" si="114"/>
        <v>#N/A</v>
      </c>
      <c r="DF17" s="94" t="e">
        <f t="shared" ca="1" si="114"/>
        <v>#N/A</v>
      </c>
      <c r="DG17" s="94" t="e">
        <f t="shared" ca="1" si="114"/>
        <v>#N/A</v>
      </c>
      <c r="DH17" s="94" t="e">
        <f t="shared" ca="1" si="114"/>
        <v>#N/A</v>
      </c>
      <c r="DI17" s="94" t="e">
        <f t="shared" ca="1" si="114"/>
        <v>#N/A</v>
      </c>
      <c r="DJ17" s="94" t="e">
        <f t="shared" ca="1" si="114"/>
        <v>#N/A</v>
      </c>
      <c r="DK17" s="94" t="e">
        <f t="shared" ca="1" si="114"/>
        <v>#N/A</v>
      </c>
      <c r="DL17" s="94" t="e">
        <f t="shared" ca="1" si="114"/>
        <v>#N/A</v>
      </c>
      <c r="DM17" s="94" t="e">
        <f t="shared" ca="1" si="114"/>
        <v>#N/A</v>
      </c>
      <c r="DN17" s="94" t="e">
        <f t="shared" ca="1" si="114"/>
        <v>#N/A</v>
      </c>
      <c r="DO17" s="94" t="e">
        <f t="shared" ca="1" si="114"/>
        <v>#N/A</v>
      </c>
      <c r="DP17" s="94" t="e">
        <f t="shared" ca="1" si="114"/>
        <v>#N/A</v>
      </c>
      <c r="DQ17" s="94" t="e">
        <f t="shared" ca="1" si="114"/>
        <v>#N/A</v>
      </c>
      <c r="DR17" s="94" t="e">
        <f t="shared" ca="1" si="114"/>
        <v>#N/A</v>
      </c>
      <c r="DS17" s="94" t="e">
        <f t="shared" ca="1" si="114"/>
        <v>#N/A</v>
      </c>
      <c r="DT17" s="94" t="e">
        <f t="shared" ca="1" si="114"/>
        <v>#N/A</v>
      </c>
      <c r="DU17" s="94" t="e">
        <f t="shared" ca="1" si="114"/>
        <v>#N/A</v>
      </c>
      <c r="DV17" s="94" t="e">
        <f t="shared" ca="1" si="114"/>
        <v>#N/A</v>
      </c>
      <c r="DW17" s="94" t="e">
        <f t="shared" ca="1" si="114"/>
        <v>#N/A</v>
      </c>
      <c r="DX17" s="94" t="e">
        <f t="shared" ca="1" si="114"/>
        <v>#N/A</v>
      </c>
      <c r="DY17" s="94" t="e">
        <f t="shared" ca="1" si="114"/>
        <v>#N/A</v>
      </c>
      <c r="DZ17" s="94" t="e">
        <f t="shared" ca="1" si="114"/>
        <v>#N/A</v>
      </c>
      <c r="EA17" s="94" t="e">
        <f t="shared" ca="1" si="114"/>
        <v>#N/A</v>
      </c>
      <c r="EB17" s="94" t="e">
        <f t="shared" ca="1" si="114"/>
        <v>#N/A</v>
      </c>
      <c r="EC17" s="94" t="e">
        <f t="shared" ca="1" si="114"/>
        <v>#N/A</v>
      </c>
      <c r="ED17" s="94" t="e">
        <f t="shared" ca="1" si="114"/>
        <v>#N/A</v>
      </c>
      <c r="EE17" s="94" t="e">
        <f t="shared" ca="1" si="114"/>
        <v>#N/A</v>
      </c>
      <c r="EF17" s="94" t="e">
        <f t="shared" ca="1" si="114"/>
        <v>#N/A</v>
      </c>
      <c r="EG17" s="94" t="e">
        <f t="shared" ca="1" si="114"/>
        <v>#N/A</v>
      </c>
      <c r="EH17" s="94" t="e">
        <f t="shared" ca="1" si="114"/>
        <v>#N/A</v>
      </c>
      <c r="EI17" s="94" t="e">
        <f t="shared" ca="1" si="114"/>
        <v>#N/A</v>
      </c>
      <c r="EJ17" s="94" t="e">
        <f t="shared" ca="1" si="114"/>
        <v>#N/A</v>
      </c>
      <c r="EK17" s="94" t="e">
        <f t="shared" ca="1" si="114"/>
        <v>#N/A</v>
      </c>
      <c r="EL17" s="94" t="e">
        <f t="shared" ca="1" si="114"/>
        <v>#N/A</v>
      </c>
      <c r="EM17" s="94" t="e">
        <f t="shared" ca="1" si="114"/>
        <v>#N/A</v>
      </c>
      <c r="EN17" s="94" t="e">
        <f t="shared" ca="1" si="114"/>
        <v>#N/A</v>
      </c>
      <c r="EO17" s="94" t="e">
        <f t="shared" ca="1" si="114"/>
        <v>#N/A</v>
      </c>
      <c r="EP17" s="94" t="e">
        <f t="shared" ca="1" si="114"/>
        <v>#N/A</v>
      </c>
      <c r="EQ17" s="94" t="e">
        <f t="shared" ca="1" si="114"/>
        <v>#N/A</v>
      </c>
      <c r="ER17" s="94" t="e">
        <f t="shared" ca="1" si="114"/>
        <v>#N/A</v>
      </c>
      <c r="ES17" s="94" t="e">
        <f t="shared" ca="1" si="114"/>
        <v>#N/A</v>
      </c>
      <c r="ET17" s="94" t="e">
        <f t="shared" ca="1" si="114"/>
        <v>#N/A</v>
      </c>
      <c r="EU17" s="94" t="e">
        <f t="shared" ca="1" si="114"/>
        <v>#N/A</v>
      </c>
      <c r="EV17" s="94" t="e">
        <f t="shared" ca="1" si="114"/>
        <v>#N/A</v>
      </c>
      <c r="EW17" s="94" t="e">
        <f t="shared" ca="1" si="114"/>
        <v>#N/A</v>
      </c>
      <c r="EX17" s="94" t="e">
        <f t="shared" ca="1" si="114"/>
        <v>#N/A</v>
      </c>
      <c r="EY17" s="94" t="e">
        <f t="shared" ca="1" si="114"/>
        <v>#N/A</v>
      </c>
      <c r="EZ17" s="94" t="e">
        <f t="shared" ca="1" si="114"/>
        <v>#N/A</v>
      </c>
      <c r="FA17" s="94" t="e">
        <f t="shared" ca="1" si="114"/>
        <v>#N/A</v>
      </c>
      <c r="FB17" s="94" t="e">
        <f t="shared" ca="1" si="114"/>
        <v>#N/A</v>
      </c>
      <c r="FC17" s="94" t="e">
        <f t="shared" ref="FC17:HN17" ca="1" si="115">IFERROR(AVERAGE(FA15:FC15),NA())</f>
        <v>#N/A</v>
      </c>
      <c r="FD17" s="94" t="e">
        <f t="shared" ca="1" si="115"/>
        <v>#N/A</v>
      </c>
      <c r="FE17" s="94" t="e">
        <f t="shared" ca="1" si="115"/>
        <v>#N/A</v>
      </c>
      <c r="FF17" s="94" t="e">
        <f t="shared" ca="1" si="115"/>
        <v>#N/A</v>
      </c>
      <c r="FG17" s="94" t="e">
        <f t="shared" ca="1" si="115"/>
        <v>#N/A</v>
      </c>
      <c r="FH17" s="94" t="e">
        <f t="shared" ca="1" si="115"/>
        <v>#N/A</v>
      </c>
      <c r="FI17" s="94" t="e">
        <f t="shared" ca="1" si="115"/>
        <v>#N/A</v>
      </c>
      <c r="FJ17" s="94" t="e">
        <f t="shared" ca="1" si="115"/>
        <v>#N/A</v>
      </c>
      <c r="FK17" s="94" t="e">
        <f t="shared" ca="1" si="115"/>
        <v>#N/A</v>
      </c>
      <c r="FL17" s="94" t="e">
        <f t="shared" ca="1" si="115"/>
        <v>#N/A</v>
      </c>
      <c r="FM17" s="94" t="e">
        <f t="shared" ca="1" si="115"/>
        <v>#N/A</v>
      </c>
      <c r="FN17" s="94" t="e">
        <f t="shared" ca="1" si="115"/>
        <v>#N/A</v>
      </c>
      <c r="FO17" s="94" t="e">
        <f t="shared" ca="1" si="115"/>
        <v>#N/A</v>
      </c>
      <c r="FP17" s="94" t="e">
        <f t="shared" ca="1" si="115"/>
        <v>#N/A</v>
      </c>
      <c r="FQ17" s="94" t="e">
        <f t="shared" ca="1" si="115"/>
        <v>#N/A</v>
      </c>
      <c r="FR17" s="94" t="e">
        <f t="shared" ca="1" si="115"/>
        <v>#N/A</v>
      </c>
      <c r="FS17" s="94" t="e">
        <f t="shared" ca="1" si="115"/>
        <v>#N/A</v>
      </c>
      <c r="FT17" s="94" t="e">
        <f t="shared" ca="1" si="115"/>
        <v>#N/A</v>
      </c>
      <c r="FU17" s="94" t="e">
        <f t="shared" ca="1" si="115"/>
        <v>#N/A</v>
      </c>
      <c r="FV17" s="94" t="e">
        <f t="shared" ca="1" si="115"/>
        <v>#N/A</v>
      </c>
      <c r="FW17" s="94" t="e">
        <f t="shared" ca="1" si="115"/>
        <v>#N/A</v>
      </c>
      <c r="FX17" s="94" t="e">
        <f t="shared" ca="1" si="115"/>
        <v>#N/A</v>
      </c>
      <c r="FY17" s="94" t="e">
        <f t="shared" ca="1" si="115"/>
        <v>#N/A</v>
      </c>
      <c r="FZ17" s="94" t="e">
        <f t="shared" ca="1" si="115"/>
        <v>#N/A</v>
      </c>
      <c r="GA17" s="94" t="e">
        <f t="shared" ca="1" si="115"/>
        <v>#N/A</v>
      </c>
      <c r="GB17" s="94" t="e">
        <f t="shared" ca="1" si="115"/>
        <v>#N/A</v>
      </c>
      <c r="GC17" s="94" t="e">
        <f t="shared" ca="1" si="115"/>
        <v>#N/A</v>
      </c>
      <c r="GD17" s="94" t="e">
        <f t="shared" ca="1" si="115"/>
        <v>#N/A</v>
      </c>
      <c r="GE17" s="94" t="e">
        <f t="shared" ca="1" si="115"/>
        <v>#N/A</v>
      </c>
      <c r="GF17" s="94" t="e">
        <f t="shared" ca="1" si="115"/>
        <v>#N/A</v>
      </c>
      <c r="GG17" s="94" t="e">
        <f t="shared" ca="1" si="115"/>
        <v>#N/A</v>
      </c>
      <c r="GH17" s="94" t="e">
        <f t="shared" ca="1" si="115"/>
        <v>#N/A</v>
      </c>
      <c r="GI17" s="94" t="e">
        <f t="shared" ca="1" si="115"/>
        <v>#N/A</v>
      </c>
      <c r="GJ17" s="94" t="e">
        <f t="shared" ca="1" si="115"/>
        <v>#N/A</v>
      </c>
      <c r="GK17" s="94" t="e">
        <f t="shared" ca="1" si="115"/>
        <v>#N/A</v>
      </c>
      <c r="GL17" s="94" t="e">
        <f t="shared" ca="1" si="115"/>
        <v>#N/A</v>
      </c>
      <c r="GM17" s="94" t="e">
        <f t="shared" ca="1" si="115"/>
        <v>#N/A</v>
      </c>
      <c r="GN17" s="94" t="e">
        <f t="shared" ca="1" si="115"/>
        <v>#N/A</v>
      </c>
      <c r="GO17" s="94" t="e">
        <f t="shared" ca="1" si="115"/>
        <v>#N/A</v>
      </c>
      <c r="GP17" s="94" t="e">
        <f t="shared" ca="1" si="115"/>
        <v>#N/A</v>
      </c>
      <c r="GQ17" s="94" t="e">
        <f t="shared" ca="1" si="115"/>
        <v>#N/A</v>
      </c>
      <c r="GR17" s="94" t="e">
        <f t="shared" ca="1" si="115"/>
        <v>#N/A</v>
      </c>
      <c r="GS17" s="94" t="e">
        <f t="shared" ca="1" si="115"/>
        <v>#N/A</v>
      </c>
      <c r="GT17" s="94" t="e">
        <f t="shared" ca="1" si="115"/>
        <v>#N/A</v>
      </c>
      <c r="GU17" s="94" t="e">
        <f t="shared" ca="1" si="115"/>
        <v>#N/A</v>
      </c>
      <c r="GV17" s="94" t="e">
        <f t="shared" ca="1" si="115"/>
        <v>#N/A</v>
      </c>
      <c r="GW17" s="94" t="e">
        <f t="shared" ca="1" si="115"/>
        <v>#N/A</v>
      </c>
      <c r="GX17" s="94" t="e">
        <f t="shared" ca="1" si="115"/>
        <v>#N/A</v>
      </c>
      <c r="GY17" s="94" t="e">
        <f t="shared" ca="1" si="115"/>
        <v>#N/A</v>
      </c>
      <c r="GZ17" s="94" t="e">
        <f t="shared" ca="1" si="115"/>
        <v>#N/A</v>
      </c>
      <c r="HA17" s="94" t="e">
        <f t="shared" ca="1" si="115"/>
        <v>#N/A</v>
      </c>
      <c r="HB17" s="94" t="e">
        <f t="shared" ca="1" si="115"/>
        <v>#N/A</v>
      </c>
      <c r="HC17" s="94" t="e">
        <f t="shared" ca="1" si="115"/>
        <v>#N/A</v>
      </c>
      <c r="HD17" s="94" t="e">
        <f t="shared" ca="1" si="115"/>
        <v>#N/A</v>
      </c>
      <c r="HE17" s="94" t="e">
        <f t="shared" ca="1" si="115"/>
        <v>#N/A</v>
      </c>
      <c r="HF17" s="94" t="e">
        <f t="shared" ca="1" si="115"/>
        <v>#N/A</v>
      </c>
      <c r="HG17" s="94" t="e">
        <f t="shared" ca="1" si="115"/>
        <v>#N/A</v>
      </c>
      <c r="HH17" s="94" t="e">
        <f t="shared" ca="1" si="115"/>
        <v>#N/A</v>
      </c>
      <c r="HI17" s="94" t="e">
        <f t="shared" ca="1" si="115"/>
        <v>#N/A</v>
      </c>
      <c r="HJ17" s="94" t="e">
        <f t="shared" ca="1" si="115"/>
        <v>#N/A</v>
      </c>
      <c r="HK17" s="94" t="e">
        <f t="shared" ca="1" si="115"/>
        <v>#N/A</v>
      </c>
      <c r="HL17" s="94" t="e">
        <f t="shared" ca="1" si="115"/>
        <v>#N/A</v>
      </c>
      <c r="HM17" s="94" t="e">
        <f t="shared" ca="1" si="115"/>
        <v>#N/A</v>
      </c>
      <c r="HN17" s="94" t="e">
        <f t="shared" ca="1" si="115"/>
        <v>#N/A</v>
      </c>
      <c r="HO17" s="94" t="e">
        <f t="shared" ref="HO17:IN17" ca="1" si="116">IFERROR(AVERAGE(HM15:HO15),NA())</f>
        <v>#N/A</v>
      </c>
      <c r="HP17" s="94" t="e">
        <f t="shared" ca="1" si="116"/>
        <v>#N/A</v>
      </c>
      <c r="HQ17" s="94" t="e">
        <f t="shared" ca="1" si="116"/>
        <v>#N/A</v>
      </c>
      <c r="HR17" s="94" t="e">
        <f t="shared" ca="1" si="116"/>
        <v>#N/A</v>
      </c>
      <c r="HS17" s="94" t="e">
        <f t="shared" ca="1" si="116"/>
        <v>#N/A</v>
      </c>
      <c r="HT17" s="94" t="e">
        <f t="shared" ca="1" si="116"/>
        <v>#N/A</v>
      </c>
      <c r="HU17" s="94" t="e">
        <f t="shared" ca="1" si="116"/>
        <v>#N/A</v>
      </c>
      <c r="HV17" s="94" t="e">
        <f t="shared" ca="1" si="116"/>
        <v>#N/A</v>
      </c>
      <c r="HW17" s="94" t="e">
        <f t="shared" ca="1" si="116"/>
        <v>#N/A</v>
      </c>
      <c r="HX17" s="94" t="e">
        <f t="shared" ca="1" si="116"/>
        <v>#N/A</v>
      </c>
      <c r="HY17" s="94" t="e">
        <f t="shared" ca="1" si="116"/>
        <v>#N/A</v>
      </c>
      <c r="HZ17" s="94" t="e">
        <f t="shared" ca="1" si="116"/>
        <v>#N/A</v>
      </c>
      <c r="IA17" s="94" t="e">
        <f t="shared" ca="1" si="116"/>
        <v>#N/A</v>
      </c>
      <c r="IB17" s="94" t="e">
        <f t="shared" ca="1" si="116"/>
        <v>#N/A</v>
      </c>
      <c r="IC17" s="94" t="e">
        <f t="shared" ca="1" si="116"/>
        <v>#N/A</v>
      </c>
      <c r="ID17" s="94" t="e">
        <f t="shared" ca="1" si="116"/>
        <v>#N/A</v>
      </c>
      <c r="IE17" s="94" t="e">
        <f t="shared" ca="1" si="116"/>
        <v>#N/A</v>
      </c>
      <c r="IF17" s="94" t="e">
        <f t="shared" ca="1" si="116"/>
        <v>#N/A</v>
      </c>
      <c r="IG17" s="94" t="e">
        <f t="shared" ca="1" si="116"/>
        <v>#N/A</v>
      </c>
      <c r="IH17" s="94" t="e">
        <f t="shared" ca="1" si="116"/>
        <v>#N/A</v>
      </c>
      <c r="II17" s="94" t="e">
        <f t="shared" ca="1" si="116"/>
        <v>#N/A</v>
      </c>
      <c r="IJ17" s="94" t="e">
        <f t="shared" ca="1" si="116"/>
        <v>#N/A</v>
      </c>
      <c r="IK17" s="94" t="e">
        <f t="shared" ca="1" si="116"/>
        <v>#N/A</v>
      </c>
      <c r="IL17" s="94" t="e">
        <f t="shared" ca="1" si="116"/>
        <v>#N/A</v>
      </c>
      <c r="IM17" s="94" t="e">
        <f t="shared" ca="1" si="116"/>
        <v>#N/A</v>
      </c>
      <c r="IN17" s="94" t="e">
        <f t="shared" ca="1" si="116"/>
        <v>#N/A</v>
      </c>
    </row>
    <row r="19" spans="2:248" x14ac:dyDescent="0.3">
      <c r="B19" s="19" t="s">
        <v>478</v>
      </c>
      <c r="C19" s="40">
        <f>VLOOKUP(B2,Country_Data!B:J,9,FALSE)</f>
        <v>19116201</v>
      </c>
      <c r="F19" s="19" t="s">
        <v>465</v>
      </c>
      <c r="G19" s="40">
        <f>$C$16</f>
        <v>1500</v>
      </c>
      <c r="H19" s="40">
        <f t="shared" ref="H19:BS19" si="117">$C$16</f>
        <v>1500</v>
      </c>
      <c r="I19" s="40">
        <f t="shared" si="117"/>
        <v>1500</v>
      </c>
      <c r="J19" s="40">
        <f t="shared" si="117"/>
        <v>1500</v>
      </c>
      <c r="K19" s="40">
        <f t="shared" si="117"/>
        <v>1500</v>
      </c>
      <c r="L19" s="40">
        <f t="shared" si="117"/>
        <v>1500</v>
      </c>
      <c r="M19" s="40">
        <f t="shared" si="117"/>
        <v>1500</v>
      </c>
      <c r="N19" s="40">
        <f t="shared" si="117"/>
        <v>1500</v>
      </c>
      <c r="O19" s="40">
        <f t="shared" si="117"/>
        <v>1500</v>
      </c>
      <c r="P19" s="40">
        <f t="shared" si="117"/>
        <v>1500</v>
      </c>
      <c r="Q19" s="40">
        <f t="shared" si="117"/>
        <v>1500</v>
      </c>
      <c r="R19" s="40">
        <f t="shared" si="117"/>
        <v>1500</v>
      </c>
      <c r="S19" s="40">
        <f t="shared" si="117"/>
        <v>1500</v>
      </c>
      <c r="T19" s="40">
        <f t="shared" si="117"/>
        <v>1500</v>
      </c>
      <c r="U19" s="40">
        <f t="shared" si="117"/>
        <v>1500</v>
      </c>
      <c r="V19" s="40">
        <f t="shared" si="117"/>
        <v>1500</v>
      </c>
      <c r="W19" s="40">
        <f t="shared" si="117"/>
        <v>1500</v>
      </c>
      <c r="X19" s="40">
        <f t="shared" si="117"/>
        <v>1500</v>
      </c>
      <c r="Y19" s="40">
        <f t="shared" si="117"/>
        <v>1500</v>
      </c>
      <c r="Z19" s="40">
        <f t="shared" si="117"/>
        <v>1500</v>
      </c>
      <c r="AA19" s="40">
        <f t="shared" si="117"/>
        <v>1500</v>
      </c>
      <c r="AB19" s="40">
        <f t="shared" si="117"/>
        <v>1500</v>
      </c>
      <c r="AC19" s="40">
        <f t="shared" si="117"/>
        <v>1500</v>
      </c>
      <c r="AD19" s="40">
        <f t="shared" si="117"/>
        <v>1500</v>
      </c>
      <c r="AE19" s="40">
        <f t="shared" si="117"/>
        <v>1500</v>
      </c>
      <c r="AF19" s="40">
        <f t="shared" si="117"/>
        <v>1500</v>
      </c>
      <c r="AG19" s="40">
        <f t="shared" si="117"/>
        <v>1500</v>
      </c>
      <c r="AH19" s="40">
        <f t="shared" si="117"/>
        <v>1500</v>
      </c>
      <c r="AI19" s="40">
        <f t="shared" si="117"/>
        <v>1500</v>
      </c>
      <c r="AJ19" s="40">
        <f t="shared" si="117"/>
        <v>1500</v>
      </c>
      <c r="AK19" s="40">
        <f t="shared" si="117"/>
        <v>1500</v>
      </c>
      <c r="AL19" s="40">
        <f t="shared" si="117"/>
        <v>1500</v>
      </c>
      <c r="AM19" s="40">
        <f t="shared" si="117"/>
        <v>1500</v>
      </c>
      <c r="AN19" s="40">
        <f t="shared" si="117"/>
        <v>1500</v>
      </c>
      <c r="AO19" s="40">
        <f t="shared" si="117"/>
        <v>1500</v>
      </c>
      <c r="AP19" s="40">
        <f t="shared" si="117"/>
        <v>1500</v>
      </c>
      <c r="AQ19" s="40">
        <f t="shared" si="117"/>
        <v>1500</v>
      </c>
      <c r="AR19" s="40">
        <f t="shared" si="117"/>
        <v>1500</v>
      </c>
      <c r="AS19" s="40">
        <f t="shared" si="117"/>
        <v>1500</v>
      </c>
      <c r="AT19" s="40">
        <f t="shared" si="117"/>
        <v>1500</v>
      </c>
      <c r="AU19" s="40">
        <f t="shared" si="117"/>
        <v>1500</v>
      </c>
      <c r="AV19" s="40">
        <f t="shared" si="117"/>
        <v>1500</v>
      </c>
      <c r="AW19" s="40">
        <f t="shared" si="117"/>
        <v>1500</v>
      </c>
      <c r="AX19" s="40">
        <f t="shared" si="117"/>
        <v>1500</v>
      </c>
      <c r="AY19" s="40">
        <f t="shared" si="117"/>
        <v>1500</v>
      </c>
      <c r="AZ19" s="40">
        <f t="shared" si="117"/>
        <v>1500</v>
      </c>
      <c r="BA19" s="40">
        <f t="shared" si="117"/>
        <v>1500</v>
      </c>
      <c r="BB19" s="40">
        <f t="shared" si="117"/>
        <v>1500</v>
      </c>
      <c r="BC19" s="40">
        <f t="shared" si="117"/>
        <v>1500</v>
      </c>
      <c r="BD19" s="40">
        <f t="shared" si="117"/>
        <v>1500</v>
      </c>
      <c r="BE19" s="40">
        <f t="shared" si="117"/>
        <v>1500</v>
      </c>
      <c r="BF19" s="40">
        <f t="shared" si="117"/>
        <v>1500</v>
      </c>
      <c r="BG19" s="40">
        <f t="shared" si="117"/>
        <v>1500</v>
      </c>
      <c r="BH19" s="40">
        <f t="shared" si="117"/>
        <v>1500</v>
      </c>
      <c r="BI19" s="40">
        <f t="shared" si="117"/>
        <v>1500</v>
      </c>
      <c r="BJ19" s="40">
        <f t="shared" si="117"/>
        <v>1500</v>
      </c>
      <c r="BK19" s="40">
        <f t="shared" si="117"/>
        <v>1500</v>
      </c>
      <c r="BL19" s="40">
        <f t="shared" si="117"/>
        <v>1500</v>
      </c>
      <c r="BM19" s="40">
        <f t="shared" si="117"/>
        <v>1500</v>
      </c>
      <c r="BN19" s="40">
        <f t="shared" si="117"/>
        <v>1500</v>
      </c>
      <c r="BO19" s="40">
        <f t="shared" si="117"/>
        <v>1500</v>
      </c>
      <c r="BP19" s="40">
        <f t="shared" si="117"/>
        <v>1500</v>
      </c>
      <c r="BQ19" s="40">
        <f t="shared" si="117"/>
        <v>1500</v>
      </c>
      <c r="BR19" s="40">
        <f t="shared" si="117"/>
        <v>1500</v>
      </c>
      <c r="BS19" s="40">
        <f t="shared" si="117"/>
        <v>1500</v>
      </c>
      <c r="BT19" s="40">
        <f t="shared" ref="BT19:EE19" si="118">$C$16</f>
        <v>1500</v>
      </c>
      <c r="BU19" s="40">
        <f t="shared" si="118"/>
        <v>1500</v>
      </c>
      <c r="BV19" s="40">
        <f t="shared" si="118"/>
        <v>1500</v>
      </c>
      <c r="BW19" s="40">
        <f t="shared" si="118"/>
        <v>1500</v>
      </c>
      <c r="BX19" s="40">
        <f t="shared" si="118"/>
        <v>1500</v>
      </c>
      <c r="BY19" s="40">
        <f t="shared" si="118"/>
        <v>1500</v>
      </c>
      <c r="BZ19" s="40">
        <f t="shared" si="118"/>
        <v>1500</v>
      </c>
      <c r="CA19" s="40">
        <f t="shared" si="118"/>
        <v>1500</v>
      </c>
      <c r="CB19" s="40">
        <f t="shared" si="118"/>
        <v>1500</v>
      </c>
      <c r="CC19" s="40">
        <f t="shared" si="118"/>
        <v>1500</v>
      </c>
      <c r="CD19" s="40">
        <f t="shared" si="118"/>
        <v>1500</v>
      </c>
      <c r="CE19" s="40">
        <f t="shared" si="118"/>
        <v>1500</v>
      </c>
      <c r="CF19" s="40">
        <f t="shared" si="118"/>
        <v>1500</v>
      </c>
      <c r="CG19" s="40">
        <f t="shared" si="118"/>
        <v>1500</v>
      </c>
      <c r="CH19" s="40">
        <f t="shared" si="118"/>
        <v>1500</v>
      </c>
      <c r="CI19" s="40">
        <f t="shared" si="118"/>
        <v>1500</v>
      </c>
      <c r="CJ19" s="40">
        <f t="shared" si="118"/>
        <v>1500</v>
      </c>
      <c r="CK19" s="40">
        <f t="shared" si="118"/>
        <v>1500</v>
      </c>
      <c r="CL19" s="40">
        <f t="shared" si="118"/>
        <v>1500</v>
      </c>
      <c r="CM19" s="40">
        <f t="shared" si="118"/>
        <v>1500</v>
      </c>
      <c r="CN19" s="40">
        <f t="shared" si="118"/>
        <v>1500</v>
      </c>
      <c r="CO19" s="40">
        <f t="shared" si="118"/>
        <v>1500</v>
      </c>
      <c r="CP19" s="40">
        <f t="shared" si="118"/>
        <v>1500</v>
      </c>
      <c r="CQ19" s="40">
        <f t="shared" si="118"/>
        <v>1500</v>
      </c>
      <c r="CR19" s="40">
        <f t="shared" si="118"/>
        <v>1500</v>
      </c>
      <c r="CS19" s="40">
        <f t="shared" si="118"/>
        <v>1500</v>
      </c>
      <c r="CT19" s="40">
        <f t="shared" si="118"/>
        <v>1500</v>
      </c>
      <c r="CU19" s="40">
        <f t="shared" si="118"/>
        <v>1500</v>
      </c>
      <c r="CV19" s="40">
        <f t="shared" si="118"/>
        <v>1500</v>
      </c>
      <c r="CW19" s="40">
        <f t="shared" si="118"/>
        <v>1500</v>
      </c>
      <c r="CX19" s="40">
        <f t="shared" si="118"/>
        <v>1500</v>
      </c>
      <c r="CY19" s="40">
        <f t="shared" si="118"/>
        <v>1500</v>
      </c>
      <c r="CZ19" s="40">
        <f t="shared" si="118"/>
        <v>1500</v>
      </c>
      <c r="DA19" s="40">
        <f t="shared" si="118"/>
        <v>1500</v>
      </c>
      <c r="DB19" s="40">
        <f t="shared" si="118"/>
        <v>1500</v>
      </c>
      <c r="DC19" s="40">
        <f t="shared" si="118"/>
        <v>1500</v>
      </c>
      <c r="DD19" s="40">
        <f t="shared" si="118"/>
        <v>1500</v>
      </c>
      <c r="DE19" s="40">
        <f t="shared" si="118"/>
        <v>1500</v>
      </c>
      <c r="DF19" s="40">
        <f t="shared" si="118"/>
        <v>1500</v>
      </c>
      <c r="DG19" s="40">
        <f t="shared" si="118"/>
        <v>1500</v>
      </c>
      <c r="DH19" s="40">
        <f t="shared" si="118"/>
        <v>1500</v>
      </c>
      <c r="DI19" s="40">
        <f t="shared" si="118"/>
        <v>1500</v>
      </c>
      <c r="DJ19" s="40">
        <f t="shared" si="118"/>
        <v>1500</v>
      </c>
      <c r="DK19" s="40">
        <f t="shared" si="118"/>
        <v>1500</v>
      </c>
      <c r="DL19" s="40">
        <f t="shared" si="118"/>
        <v>1500</v>
      </c>
      <c r="DM19" s="40">
        <f t="shared" si="118"/>
        <v>1500</v>
      </c>
      <c r="DN19" s="40">
        <f t="shared" si="118"/>
        <v>1500</v>
      </c>
      <c r="DO19" s="40">
        <f t="shared" si="118"/>
        <v>1500</v>
      </c>
      <c r="DP19" s="40">
        <f t="shared" si="118"/>
        <v>1500</v>
      </c>
      <c r="DQ19" s="40">
        <f t="shared" si="118"/>
        <v>1500</v>
      </c>
      <c r="DR19" s="40">
        <f t="shared" si="118"/>
        <v>1500</v>
      </c>
      <c r="DS19" s="40">
        <f t="shared" si="118"/>
        <v>1500</v>
      </c>
      <c r="DT19" s="40">
        <f t="shared" si="118"/>
        <v>1500</v>
      </c>
      <c r="DU19" s="40">
        <f t="shared" si="118"/>
        <v>1500</v>
      </c>
      <c r="DV19" s="40">
        <f t="shared" si="118"/>
        <v>1500</v>
      </c>
      <c r="DW19" s="40">
        <f t="shared" si="118"/>
        <v>1500</v>
      </c>
      <c r="DX19" s="40">
        <f t="shared" si="118"/>
        <v>1500</v>
      </c>
      <c r="DY19" s="40">
        <f t="shared" si="118"/>
        <v>1500</v>
      </c>
      <c r="DZ19" s="40">
        <f t="shared" si="118"/>
        <v>1500</v>
      </c>
      <c r="EA19" s="40">
        <f t="shared" si="118"/>
        <v>1500</v>
      </c>
      <c r="EB19" s="40">
        <f t="shared" si="118"/>
        <v>1500</v>
      </c>
      <c r="EC19" s="40">
        <f t="shared" si="118"/>
        <v>1500</v>
      </c>
      <c r="ED19" s="40">
        <f t="shared" si="118"/>
        <v>1500</v>
      </c>
      <c r="EE19" s="40">
        <f t="shared" si="118"/>
        <v>1500</v>
      </c>
      <c r="EF19" s="40">
        <f t="shared" ref="EF19:GQ19" si="119">$C$16</f>
        <v>1500</v>
      </c>
      <c r="EG19" s="40">
        <f t="shared" si="119"/>
        <v>1500</v>
      </c>
      <c r="EH19" s="40">
        <f t="shared" si="119"/>
        <v>1500</v>
      </c>
      <c r="EI19" s="40">
        <f t="shared" si="119"/>
        <v>1500</v>
      </c>
      <c r="EJ19" s="40">
        <f t="shared" si="119"/>
        <v>1500</v>
      </c>
      <c r="EK19" s="40">
        <f t="shared" si="119"/>
        <v>1500</v>
      </c>
      <c r="EL19" s="40">
        <f t="shared" si="119"/>
        <v>1500</v>
      </c>
      <c r="EM19" s="40">
        <f t="shared" si="119"/>
        <v>1500</v>
      </c>
      <c r="EN19" s="40">
        <f t="shared" si="119"/>
        <v>1500</v>
      </c>
      <c r="EO19" s="40">
        <f t="shared" si="119"/>
        <v>1500</v>
      </c>
      <c r="EP19" s="40">
        <f t="shared" si="119"/>
        <v>1500</v>
      </c>
      <c r="EQ19" s="40">
        <f t="shared" si="119"/>
        <v>1500</v>
      </c>
      <c r="ER19" s="40">
        <f t="shared" si="119"/>
        <v>1500</v>
      </c>
      <c r="ES19" s="40">
        <f t="shared" si="119"/>
        <v>1500</v>
      </c>
      <c r="ET19" s="40">
        <f t="shared" si="119"/>
        <v>1500</v>
      </c>
      <c r="EU19" s="40">
        <f t="shared" si="119"/>
        <v>1500</v>
      </c>
      <c r="EV19" s="40">
        <f t="shared" si="119"/>
        <v>1500</v>
      </c>
      <c r="EW19" s="40">
        <f t="shared" si="119"/>
        <v>1500</v>
      </c>
      <c r="EX19" s="40">
        <f t="shared" si="119"/>
        <v>1500</v>
      </c>
      <c r="EY19" s="40">
        <f t="shared" si="119"/>
        <v>1500</v>
      </c>
      <c r="EZ19" s="40">
        <f t="shared" si="119"/>
        <v>1500</v>
      </c>
      <c r="FA19" s="40">
        <f t="shared" si="119"/>
        <v>1500</v>
      </c>
      <c r="FB19" s="40">
        <f t="shared" si="119"/>
        <v>1500</v>
      </c>
      <c r="FC19" s="40">
        <f t="shared" si="119"/>
        <v>1500</v>
      </c>
      <c r="FD19" s="40">
        <f t="shared" si="119"/>
        <v>1500</v>
      </c>
      <c r="FE19" s="40">
        <f t="shared" si="119"/>
        <v>1500</v>
      </c>
      <c r="FF19" s="40">
        <f t="shared" si="119"/>
        <v>1500</v>
      </c>
      <c r="FG19" s="40">
        <f t="shared" si="119"/>
        <v>1500</v>
      </c>
      <c r="FH19" s="40">
        <f t="shared" si="119"/>
        <v>1500</v>
      </c>
      <c r="FI19" s="40">
        <f t="shared" si="119"/>
        <v>1500</v>
      </c>
      <c r="FJ19" s="40">
        <f t="shared" si="119"/>
        <v>1500</v>
      </c>
      <c r="FK19" s="40">
        <f t="shared" si="119"/>
        <v>1500</v>
      </c>
      <c r="FL19" s="40">
        <f t="shared" si="119"/>
        <v>1500</v>
      </c>
      <c r="FM19" s="40">
        <f t="shared" si="119"/>
        <v>1500</v>
      </c>
      <c r="FN19" s="40">
        <f t="shared" si="119"/>
        <v>1500</v>
      </c>
      <c r="FO19" s="40">
        <f t="shared" si="119"/>
        <v>1500</v>
      </c>
      <c r="FP19" s="40">
        <f t="shared" si="119"/>
        <v>1500</v>
      </c>
      <c r="FQ19" s="40">
        <f t="shared" si="119"/>
        <v>1500</v>
      </c>
      <c r="FR19" s="40">
        <f t="shared" si="119"/>
        <v>1500</v>
      </c>
      <c r="FS19" s="40">
        <f t="shared" si="119"/>
        <v>1500</v>
      </c>
      <c r="FT19" s="40">
        <f t="shared" si="119"/>
        <v>1500</v>
      </c>
      <c r="FU19" s="40">
        <f t="shared" si="119"/>
        <v>1500</v>
      </c>
      <c r="FV19" s="40">
        <f t="shared" si="119"/>
        <v>1500</v>
      </c>
      <c r="FW19" s="40">
        <f t="shared" si="119"/>
        <v>1500</v>
      </c>
      <c r="FX19" s="40">
        <f t="shared" si="119"/>
        <v>1500</v>
      </c>
      <c r="FY19" s="40">
        <f t="shared" si="119"/>
        <v>1500</v>
      </c>
      <c r="FZ19" s="40">
        <f t="shared" si="119"/>
        <v>1500</v>
      </c>
      <c r="GA19" s="40">
        <f t="shared" si="119"/>
        <v>1500</v>
      </c>
      <c r="GB19" s="40">
        <f t="shared" si="119"/>
        <v>1500</v>
      </c>
      <c r="GC19" s="40">
        <f t="shared" si="119"/>
        <v>1500</v>
      </c>
      <c r="GD19" s="40">
        <f t="shared" si="119"/>
        <v>1500</v>
      </c>
      <c r="GE19" s="40">
        <f t="shared" si="119"/>
        <v>1500</v>
      </c>
      <c r="GF19" s="40">
        <f t="shared" si="119"/>
        <v>1500</v>
      </c>
      <c r="GG19" s="40">
        <f t="shared" si="119"/>
        <v>1500</v>
      </c>
      <c r="GH19" s="40">
        <f t="shared" si="119"/>
        <v>1500</v>
      </c>
      <c r="GI19" s="40">
        <f t="shared" si="119"/>
        <v>1500</v>
      </c>
      <c r="GJ19" s="40">
        <f t="shared" si="119"/>
        <v>1500</v>
      </c>
      <c r="GK19" s="40">
        <f t="shared" si="119"/>
        <v>1500</v>
      </c>
      <c r="GL19" s="40">
        <f t="shared" si="119"/>
        <v>1500</v>
      </c>
      <c r="GM19" s="40">
        <f t="shared" si="119"/>
        <v>1500</v>
      </c>
      <c r="GN19" s="40">
        <f t="shared" si="119"/>
        <v>1500</v>
      </c>
      <c r="GO19" s="40">
        <f t="shared" si="119"/>
        <v>1500</v>
      </c>
      <c r="GP19" s="40">
        <f t="shared" si="119"/>
        <v>1500</v>
      </c>
      <c r="GQ19" s="40">
        <f t="shared" si="119"/>
        <v>1500</v>
      </c>
      <c r="GR19" s="40">
        <f t="shared" ref="GR19:IN19" si="120">$C$16</f>
        <v>1500</v>
      </c>
      <c r="GS19" s="40">
        <f t="shared" si="120"/>
        <v>1500</v>
      </c>
      <c r="GT19" s="40">
        <f t="shared" si="120"/>
        <v>1500</v>
      </c>
      <c r="GU19" s="40">
        <f t="shared" si="120"/>
        <v>1500</v>
      </c>
      <c r="GV19" s="40">
        <f t="shared" si="120"/>
        <v>1500</v>
      </c>
      <c r="GW19" s="40">
        <f t="shared" si="120"/>
        <v>1500</v>
      </c>
      <c r="GX19" s="40">
        <f t="shared" si="120"/>
        <v>1500</v>
      </c>
      <c r="GY19" s="40">
        <f t="shared" si="120"/>
        <v>1500</v>
      </c>
      <c r="GZ19" s="40">
        <f t="shared" si="120"/>
        <v>1500</v>
      </c>
      <c r="HA19" s="40">
        <f t="shared" si="120"/>
        <v>1500</v>
      </c>
      <c r="HB19" s="40">
        <f t="shared" si="120"/>
        <v>1500</v>
      </c>
      <c r="HC19" s="40">
        <f t="shared" si="120"/>
        <v>1500</v>
      </c>
      <c r="HD19" s="40">
        <f t="shared" si="120"/>
        <v>1500</v>
      </c>
      <c r="HE19" s="40">
        <f t="shared" si="120"/>
        <v>1500</v>
      </c>
      <c r="HF19" s="40">
        <f t="shared" si="120"/>
        <v>1500</v>
      </c>
      <c r="HG19" s="40">
        <f t="shared" si="120"/>
        <v>1500</v>
      </c>
      <c r="HH19" s="40">
        <f t="shared" si="120"/>
        <v>1500</v>
      </c>
      <c r="HI19" s="40">
        <f t="shared" si="120"/>
        <v>1500</v>
      </c>
      <c r="HJ19" s="40">
        <f t="shared" si="120"/>
        <v>1500</v>
      </c>
      <c r="HK19" s="40">
        <f t="shared" si="120"/>
        <v>1500</v>
      </c>
      <c r="HL19" s="40">
        <f t="shared" si="120"/>
        <v>1500</v>
      </c>
      <c r="HM19" s="40">
        <f t="shared" si="120"/>
        <v>1500</v>
      </c>
      <c r="HN19" s="40">
        <f t="shared" si="120"/>
        <v>1500</v>
      </c>
      <c r="HO19" s="40">
        <f t="shared" si="120"/>
        <v>1500</v>
      </c>
      <c r="HP19" s="40">
        <f t="shared" si="120"/>
        <v>1500</v>
      </c>
      <c r="HQ19" s="40">
        <f t="shared" si="120"/>
        <v>1500</v>
      </c>
      <c r="HR19" s="40">
        <f t="shared" si="120"/>
        <v>1500</v>
      </c>
      <c r="HS19" s="40">
        <f t="shared" si="120"/>
        <v>1500</v>
      </c>
      <c r="HT19" s="40">
        <f t="shared" si="120"/>
        <v>1500</v>
      </c>
      <c r="HU19" s="40">
        <f t="shared" si="120"/>
        <v>1500</v>
      </c>
      <c r="HV19" s="40">
        <f t="shared" si="120"/>
        <v>1500</v>
      </c>
      <c r="HW19" s="40">
        <f t="shared" si="120"/>
        <v>1500</v>
      </c>
      <c r="HX19" s="40">
        <f t="shared" si="120"/>
        <v>1500</v>
      </c>
      <c r="HY19" s="40">
        <f t="shared" si="120"/>
        <v>1500</v>
      </c>
      <c r="HZ19" s="40">
        <f t="shared" si="120"/>
        <v>1500</v>
      </c>
      <c r="IA19" s="40">
        <f t="shared" si="120"/>
        <v>1500</v>
      </c>
      <c r="IB19" s="40">
        <f t="shared" si="120"/>
        <v>1500</v>
      </c>
      <c r="IC19" s="40">
        <f t="shared" si="120"/>
        <v>1500</v>
      </c>
      <c r="ID19" s="40">
        <f t="shared" si="120"/>
        <v>1500</v>
      </c>
      <c r="IE19" s="40">
        <f t="shared" si="120"/>
        <v>1500</v>
      </c>
      <c r="IF19" s="40">
        <f t="shared" si="120"/>
        <v>1500</v>
      </c>
      <c r="IG19" s="40">
        <f t="shared" si="120"/>
        <v>1500</v>
      </c>
      <c r="IH19" s="40">
        <f t="shared" si="120"/>
        <v>1500</v>
      </c>
      <c r="II19" s="40">
        <f t="shared" si="120"/>
        <v>1500</v>
      </c>
      <c r="IJ19" s="40">
        <f t="shared" si="120"/>
        <v>1500</v>
      </c>
      <c r="IK19" s="40">
        <f t="shared" si="120"/>
        <v>1500</v>
      </c>
      <c r="IL19" s="40">
        <f t="shared" si="120"/>
        <v>1500</v>
      </c>
      <c r="IM19" s="40">
        <f t="shared" si="120"/>
        <v>1500</v>
      </c>
      <c r="IN19" s="40">
        <f t="shared" si="120"/>
        <v>1500</v>
      </c>
    </row>
    <row r="20" spans="2:248" x14ac:dyDescent="0.3">
      <c r="B20" s="19" t="s">
        <v>490</v>
      </c>
      <c r="C20" s="42">
        <v>0.4</v>
      </c>
      <c r="F20" s="19" t="s">
        <v>552</v>
      </c>
      <c r="G20" s="40">
        <f>G9*$C$15</f>
        <v>1.2681159420289856</v>
      </c>
      <c r="H20" s="40">
        <f t="shared" ref="H20:BS20" ca="1" si="121">H9*$C$15</f>
        <v>1.6444600280504909</v>
      </c>
      <c r="I20" s="40">
        <f t="shared" ca="1" si="121"/>
        <v>1.9471715755025714</v>
      </c>
      <c r="J20" s="40">
        <f t="shared" ca="1" si="121"/>
        <v>1.9471715755025714</v>
      </c>
      <c r="K20" s="40">
        <f t="shared" ca="1" si="121"/>
        <v>3.5507246376811596</v>
      </c>
      <c r="L20" s="40">
        <f t="shared" ca="1" si="121"/>
        <v>4.3934081346423568</v>
      </c>
      <c r="M20" s="40">
        <f t="shared" ca="1" si="121"/>
        <v>5.1706404862085087</v>
      </c>
      <c r="N20" s="40">
        <f t="shared" ca="1" si="121"/>
        <v>6.103319308087892</v>
      </c>
      <c r="O20" s="40">
        <f t="shared" ca="1" si="121"/>
        <v>7.5432445067788692</v>
      </c>
      <c r="P20" s="40">
        <f t="shared" ca="1" si="121"/>
        <v>9.343151005142591</v>
      </c>
      <c r="Q20" s="40">
        <f t="shared" ca="1" si="121"/>
        <v>10.684899485741001</v>
      </c>
      <c r="R20" s="40">
        <f t="shared" ca="1" si="121"/>
        <v>10.635811126694717</v>
      </c>
      <c r="S20" s="40">
        <f t="shared" ca="1" si="121"/>
        <v>13.597475455820478</v>
      </c>
      <c r="T20" s="40">
        <f t="shared" ca="1" si="121"/>
        <v>15.250116877045349</v>
      </c>
      <c r="U20" s="40">
        <f t="shared" ca="1" si="121"/>
        <v>17.690670879499237</v>
      </c>
      <c r="V20" s="40">
        <f t="shared" ca="1" si="121"/>
        <v>20.521799189475921</v>
      </c>
      <c r="W20" s="40">
        <f t="shared" ca="1" si="121"/>
        <v>23.806007405926923</v>
      </c>
      <c r="X20" s="40">
        <f t="shared" ca="1" si="121"/>
        <v>27.615804217676899</v>
      </c>
      <c r="Y20" s="40">
        <f t="shared" ca="1" si="121"/>
        <v>32.035302248926904</v>
      </c>
      <c r="Z20" s="40">
        <f t="shared" ca="1" si="121"/>
        <v>37.162075096230247</v>
      </c>
      <c r="AA20" s="40">
        <f t="shared" ca="1" si="121"/>
        <v>43.109311556569338</v>
      </c>
      <c r="AB20" s="40">
        <f t="shared" ca="1" si="121"/>
        <v>50.008314607541436</v>
      </c>
      <c r="AC20" s="40">
        <f t="shared" ca="1" si="121"/>
        <v>58.011400312092107</v>
      </c>
      <c r="AD20" s="40">
        <f t="shared" ca="1" si="121"/>
        <v>67.295260649761971</v>
      </c>
      <c r="AE20" s="40">
        <f t="shared" ca="1" si="121"/>
        <v>78.064864518973408</v>
      </c>
      <c r="AF20" s="40">
        <f t="shared" ca="1" si="121"/>
        <v>90.557983036614161</v>
      </c>
      <c r="AG20" s="40">
        <f t="shared" ca="1" si="121"/>
        <v>105.0504390443992</v>
      </c>
      <c r="AH20" s="40">
        <f t="shared" ca="1" si="121"/>
        <v>121.86219672051608</v>
      </c>
      <c r="AI20" s="40">
        <f t="shared" ca="1" si="121"/>
        <v>141.36442574288807</v>
      </c>
      <c r="AJ20" s="40">
        <f t="shared" ca="1" si="121"/>
        <v>163.98769596652224</v>
      </c>
      <c r="AK20" s="40">
        <f t="shared" ca="1" si="121"/>
        <v>190.23148353687878</v>
      </c>
      <c r="AL20" s="40">
        <f t="shared" ca="1" si="121"/>
        <v>220.67519831505828</v>
      </c>
      <c r="AM20" s="40">
        <f t="shared" ca="1" si="121"/>
        <v>255.99097607809844</v>
      </c>
      <c r="AN20" s="40">
        <f t="shared" ca="1" si="121"/>
        <v>296.95851792034335</v>
      </c>
      <c r="AO20" s="40">
        <f t="shared" ca="1" si="121"/>
        <v>344.4823044799179</v>
      </c>
      <c r="AP20" s="40">
        <f t="shared" ca="1" si="121"/>
        <v>399.61156504568288</v>
      </c>
      <c r="AQ20" s="40">
        <f t="shared" ca="1" si="121"/>
        <v>463.56344242224884</v>
      </c>
      <c r="AR20" s="40">
        <f t="shared" ca="1" si="121"/>
        <v>537.74986498651424</v>
      </c>
      <c r="AS20" s="40">
        <f t="shared" ca="1" si="121"/>
        <v>623.80871921649907</v>
      </c>
      <c r="AT20" s="40">
        <f t="shared" ca="1" si="121"/>
        <v>723.64001091899434</v>
      </c>
      <c r="AU20" s="40">
        <f t="shared" ca="1" si="121"/>
        <v>839.44781352295036</v>
      </c>
      <c r="AV20" s="40">
        <f t="shared" ca="1" si="121"/>
        <v>973.78892957225457</v>
      </c>
      <c r="AW20" s="40">
        <f t="shared" ca="1" si="121"/>
        <v>1129.6293397654456</v>
      </c>
      <c r="AX20" s="40">
        <f t="shared" ca="1" si="121"/>
        <v>1310.409685823229</v>
      </c>
      <c r="AY20" s="40">
        <f t="shared" ca="1" si="121"/>
        <v>1520.1212329133421</v>
      </c>
      <c r="AZ20" s="40">
        <f t="shared" ca="1" si="121"/>
        <v>1763.3939887297934</v>
      </c>
      <c r="BA20" s="40">
        <f t="shared" ca="1" si="121"/>
        <v>2045.5989247178932</v>
      </c>
      <c r="BB20" s="40">
        <f t="shared" ca="1" si="121"/>
        <v>2372.9665562834084</v>
      </c>
      <c r="BC20" s="40">
        <f t="shared" ca="1" si="121"/>
        <v>2752.7244999975251</v>
      </c>
      <c r="BD20" s="40">
        <f t="shared" ca="1" si="121"/>
        <v>3193.257044783074</v>
      </c>
      <c r="BE20" s="40">
        <f t="shared" ca="1" si="121"/>
        <v>3704.2902600917382</v>
      </c>
      <c r="BF20" s="40">
        <f t="shared" ca="1" si="121"/>
        <v>4297.1067278871915</v>
      </c>
      <c r="BG20" s="40">
        <f t="shared" ca="1" si="121"/>
        <v>4984.7946392829563</v>
      </c>
      <c r="BH20" s="40">
        <f t="shared" ca="1" si="121"/>
        <v>5782.5367553859869</v>
      </c>
      <c r="BI20" s="40">
        <f t="shared" ca="1" si="121"/>
        <v>6707.9456120181894</v>
      </c>
      <c r="BJ20" s="40">
        <f t="shared" ca="1" si="121"/>
        <v>7781.4523689595708</v>
      </c>
      <c r="BK20" s="40">
        <f t="shared" ca="1" si="121"/>
        <v>9026.7578887194959</v>
      </c>
      <c r="BL20" s="40">
        <f t="shared" ca="1" si="121"/>
        <v>10471.356003744884</v>
      </c>
      <c r="BM20" s="40">
        <f t="shared" ca="1" si="121"/>
        <v>12147.140524749191</v>
      </c>
      <c r="BN20" s="40">
        <f t="shared" ca="1" si="121"/>
        <v>14091.109391680933</v>
      </c>
      <c r="BO20" s="40">
        <f t="shared" ca="1" si="121"/>
        <v>16346.181513563937</v>
      </c>
      <c r="BP20" s="40">
        <f t="shared" ca="1" si="121"/>
        <v>18962.144331384356</v>
      </c>
      <c r="BQ20" s="40">
        <f t="shared" ca="1" si="121"/>
        <v>21996.753024300458</v>
      </c>
      <c r="BR20" s="40">
        <f t="shared" ca="1" si="121"/>
        <v>25517.005627429837</v>
      </c>
      <c r="BS20" s="40">
        <f t="shared" ca="1" si="121"/>
        <v>29600.622213241073</v>
      </c>
      <c r="BT20" s="40">
        <f t="shared" ref="BT20:EE20" ca="1" si="122">BT9*$C$15</f>
        <v>34337.760793889618</v>
      </c>
      <c r="BU20" s="40">
        <f t="shared" ca="1" si="122"/>
        <v>39833.007828158115</v>
      </c>
      <c r="BV20" s="40">
        <f t="shared" ca="1" si="122"/>
        <v>46207.687279377067</v>
      </c>
      <c r="BW20" s="40">
        <f t="shared" ca="1" si="122"/>
        <v>53602.539203664121</v>
      </c>
      <c r="BX20" s="40">
        <f t="shared" ca="1" si="122"/>
        <v>62180.827006304215</v>
      </c>
      <c r="BY20" s="40">
        <f t="shared" ca="1" si="122"/>
        <v>62558.862552594677</v>
      </c>
      <c r="BZ20" s="40">
        <f t="shared" ca="1" si="122"/>
        <v>62558.862552594677</v>
      </c>
      <c r="CA20" s="40">
        <f t="shared" ca="1" si="122"/>
        <v>62558.862552594677</v>
      </c>
      <c r="CB20" s="40">
        <f t="shared" ca="1" si="122"/>
        <v>62558.862552594677</v>
      </c>
      <c r="CC20" s="40">
        <f t="shared" ca="1" si="122"/>
        <v>62558.862552594677</v>
      </c>
      <c r="CD20" s="40">
        <f t="shared" ca="1" si="122"/>
        <v>62558.862552594677</v>
      </c>
      <c r="CE20" s="40">
        <f t="shared" ca="1" si="122"/>
        <v>62558.862552594677</v>
      </c>
      <c r="CF20" s="40">
        <f t="shared" ca="1" si="122"/>
        <v>62558.862552594677</v>
      </c>
      <c r="CG20" s="40">
        <f t="shared" ca="1" si="122"/>
        <v>62558.862552594677</v>
      </c>
      <c r="CH20" s="40">
        <f t="shared" ca="1" si="122"/>
        <v>62558.862552594677</v>
      </c>
      <c r="CI20" s="40">
        <f t="shared" ca="1" si="122"/>
        <v>62558.862552594677</v>
      </c>
      <c r="CJ20" s="40">
        <f t="shared" ca="1" si="122"/>
        <v>62558.862552594677</v>
      </c>
      <c r="CK20" s="40">
        <f t="shared" ca="1" si="122"/>
        <v>62558.862552594677</v>
      </c>
      <c r="CL20" s="40">
        <f t="shared" ca="1" si="122"/>
        <v>62558.862552594677</v>
      </c>
      <c r="CM20" s="40">
        <f t="shared" ca="1" si="122"/>
        <v>62558.862552594677</v>
      </c>
      <c r="CN20" s="40">
        <f t="shared" ca="1" si="122"/>
        <v>62558.862552594677</v>
      </c>
      <c r="CO20" s="40">
        <f t="shared" ca="1" si="122"/>
        <v>62558.862552594677</v>
      </c>
      <c r="CP20" s="40">
        <f t="shared" ca="1" si="122"/>
        <v>62558.862552594677</v>
      </c>
      <c r="CQ20" s="40">
        <f t="shared" ca="1" si="122"/>
        <v>62558.862552594677</v>
      </c>
      <c r="CR20" s="40">
        <f t="shared" ca="1" si="122"/>
        <v>62558.862552594677</v>
      </c>
      <c r="CS20" s="40">
        <f t="shared" ca="1" si="122"/>
        <v>62558.862552594677</v>
      </c>
      <c r="CT20" s="40">
        <f t="shared" ca="1" si="122"/>
        <v>62558.862552594677</v>
      </c>
      <c r="CU20" s="40">
        <f t="shared" ca="1" si="122"/>
        <v>62558.862552594677</v>
      </c>
      <c r="CV20" s="40">
        <f t="shared" ca="1" si="122"/>
        <v>62558.862552594677</v>
      </c>
      <c r="CW20" s="40">
        <f t="shared" ca="1" si="122"/>
        <v>62558.862552594677</v>
      </c>
      <c r="CX20" s="40">
        <f t="shared" ca="1" si="122"/>
        <v>62558.862552594677</v>
      </c>
      <c r="CY20" s="40">
        <f t="shared" ca="1" si="122"/>
        <v>62558.862552594677</v>
      </c>
      <c r="CZ20" s="40">
        <f t="shared" ca="1" si="122"/>
        <v>62558.862552594677</v>
      </c>
      <c r="DA20" s="40">
        <f t="shared" ca="1" si="122"/>
        <v>62558.862552594677</v>
      </c>
      <c r="DB20" s="40">
        <f t="shared" ca="1" si="122"/>
        <v>62558.862552594677</v>
      </c>
      <c r="DC20" s="40">
        <f t="shared" ca="1" si="122"/>
        <v>62558.862552594677</v>
      </c>
      <c r="DD20" s="40">
        <f t="shared" ca="1" si="122"/>
        <v>62558.862552594677</v>
      </c>
      <c r="DE20" s="40">
        <f t="shared" ca="1" si="122"/>
        <v>62558.862552594677</v>
      </c>
      <c r="DF20" s="40">
        <f t="shared" ca="1" si="122"/>
        <v>62558.862552594677</v>
      </c>
      <c r="DG20" s="40">
        <f t="shared" ca="1" si="122"/>
        <v>62558.862552594677</v>
      </c>
      <c r="DH20" s="40">
        <f t="shared" ca="1" si="122"/>
        <v>62558.862552594677</v>
      </c>
      <c r="DI20" s="40">
        <f t="shared" ca="1" si="122"/>
        <v>62558.862552594677</v>
      </c>
      <c r="DJ20" s="40">
        <f t="shared" ca="1" si="122"/>
        <v>62558.862552594677</v>
      </c>
      <c r="DK20" s="40">
        <f t="shared" ca="1" si="122"/>
        <v>62558.862552594677</v>
      </c>
      <c r="DL20" s="40">
        <f t="shared" ca="1" si="122"/>
        <v>62558.862552594677</v>
      </c>
      <c r="DM20" s="40">
        <f t="shared" ca="1" si="122"/>
        <v>62558.862552594677</v>
      </c>
      <c r="DN20" s="40">
        <f t="shared" ca="1" si="122"/>
        <v>62558.862552594677</v>
      </c>
      <c r="DO20" s="40">
        <f t="shared" ca="1" si="122"/>
        <v>62558.862552594677</v>
      </c>
      <c r="DP20" s="40">
        <f t="shared" ca="1" si="122"/>
        <v>62558.862552594677</v>
      </c>
      <c r="DQ20" s="40">
        <f t="shared" ca="1" si="122"/>
        <v>62558.862552594677</v>
      </c>
      <c r="DR20" s="40">
        <f t="shared" ca="1" si="122"/>
        <v>62558.862552594677</v>
      </c>
      <c r="DS20" s="40">
        <f t="shared" ca="1" si="122"/>
        <v>62558.862552594677</v>
      </c>
      <c r="DT20" s="40">
        <f t="shared" ca="1" si="122"/>
        <v>62558.862552594677</v>
      </c>
      <c r="DU20" s="40">
        <f t="shared" ca="1" si="122"/>
        <v>62558.862552594677</v>
      </c>
      <c r="DV20" s="40">
        <f t="shared" ca="1" si="122"/>
        <v>62558.862552594677</v>
      </c>
      <c r="DW20" s="40">
        <f t="shared" ca="1" si="122"/>
        <v>62558.862552594677</v>
      </c>
      <c r="DX20" s="40">
        <f t="shared" ca="1" si="122"/>
        <v>62558.862552594677</v>
      </c>
      <c r="DY20" s="40">
        <f t="shared" ca="1" si="122"/>
        <v>62558.862552594677</v>
      </c>
      <c r="DZ20" s="40">
        <f t="shared" ca="1" si="122"/>
        <v>62558.862552594677</v>
      </c>
      <c r="EA20" s="40">
        <f t="shared" ca="1" si="122"/>
        <v>62558.862552594677</v>
      </c>
      <c r="EB20" s="40">
        <f t="shared" ca="1" si="122"/>
        <v>62558.862552594677</v>
      </c>
      <c r="EC20" s="40">
        <f t="shared" ca="1" si="122"/>
        <v>62558.862552594677</v>
      </c>
      <c r="ED20" s="40">
        <f t="shared" ca="1" si="122"/>
        <v>62558.862552594677</v>
      </c>
      <c r="EE20" s="40">
        <f t="shared" ca="1" si="122"/>
        <v>62558.862552594677</v>
      </c>
      <c r="EF20" s="40">
        <f t="shared" ref="EF20:GQ20" ca="1" si="123">EF9*$C$15</f>
        <v>62558.862552594677</v>
      </c>
      <c r="EG20" s="40">
        <f t="shared" ca="1" si="123"/>
        <v>62558.862552594677</v>
      </c>
      <c r="EH20" s="40">
        <f t="shared" ca="1" si="123"/>
        <v>62558.862552594677</v>
      </c>
      <c r="EI20" s="40">
        <f t="shared" ca="1" si="123"/>
        <v>62558.862552594677</v>
      </c>
      <c r="EJ20" s="40">
        <f t="shared" ca="1" si="123"/>
        <v>62558.862552594677</v>
      </c>
      <c r="EK20" s="40">
        <f t="shared" ca="1" si="123"/>
        <v>62558.862552594677</v>
      </c>
      <c r="EL20" s="40">
        <f t="shared" ca="1" si="123"/>
        <v>62558.862552594677</v>
      </c>
      <c r="EM20" s="40">
        <f t="shared" ca="1" si="123"/>
        <v>62558.862552594677</v>
      </c>
      <c r="EN20" s="40">
        <f t="shared" ca="1" si="123"/>
        <v>62558.862552594677</v>
      </c>
      <c r="EO20" s="40">
        <f t="shared" ca="1" si="123"/>
        <v>62558.862552594677</v>
      </c>
      <c r="EP20" s="40">
        <f t="shared" ca="1" si="123"/>
        <v>62558.862552594677</v>
      </c>
      <c r="EQ20" s="40">
        <f t="shared" ca="1" si="123"/>
        <v>62558.862552594677</v>
      </c>
      <c r="ER20" s="40">
        <f t="shared" ca="1" si="123"/>
        <v>62558.862552594677</v>
      </c>
      <c r="ES20" s="40">
        <f t="shared" ca="1" si="123"/>
        <v>62558.862552594677</v>
      </c>
      <c r="ET20" s="40">
        <f t="shared" ca="1" si="123"/>
        <v>62558.862552594677</v>
      </c>
      <c r="EU20" s="40">
        <f t="shared" ca="1" si="123"/>
        <v>62558.862552594677</v>
      </c>
      <c r="EV20" s="40">
        <f t="shared" ca="1" si="123"/>
        <v>62558.862552594677</v>
      </c>
      <c r="EW20" s="40">
        <f t="shared" ca="1" si="123"/>
        <v>62558.862552594677</v>
      </c>
      <c r="EX20" s="40">
        <f t="shared" ca="1" si="123"/>
        <v>62558.862552594677</v>
      </c>
      <c r="EY20" s="40">
        <f t="shared" ca="1" si="123"/>
        <v>62558.862552594677</v>
      </c>
      <c r="EZ20" s="40">
        <f t="shared" ca="1" si="123"/>
        <v>62558.862552594677</v>
      </c>
      <c r="FA20" s="40">
        <f t="shared" ca="1" si="123"/>
        <v>62558.862552594677</v>
      </c>
      <c r="FB20" s="40">
        <f t="shared" ca="1" si="123"/>
        <v>62558.862552594677</v>
      </c>
      <c r="FC20" s="40">
        <f t="shared" ca="1" si="123"/>
        <v>62558.862552594677</v>
      </c>
      <c r="FD20" s="40">
        <f t="shared" ca="1" si="123"/>
        <v>62558.862552594677</v>
      </c>
      <c r="FE20" s="40">
        <f t="shared" ca="1" si="123"/>
        <v>62558.862552594677</v>
      </c>
      <c r="FF20" s="40">
        <f t="shared" ca="1" si="123"/>
        <v>62558.862552594677</v>
      </c>
      <c r="FG20" s="40">
        <f t="shared" ca="1" si="123"/>
        <v>62558.862552594677</v>
      </c>
      <c r="FH20" s="40">
        <f t="shared" ca="1" si="123"/>
        <v>62558.862552594677</v>
      </c>
      <c r="FI20" s="40">
        <f t="shared" ca="1" si="123"/>
        <v>62558.862552594677</v>
      </c>
      <c r="FJ20" s="40">
        <f t="shared" ca="1" si="123"/>
        <v>62558.862552594677</v>
      </c>
      <c r="FK20" s="40">
        <f t="shared" ca="1" si="123"/>
        <v>62558.862552594677</v>
      </c>
      <c r="FL20" s="40">
        <f t="shared" ca="1" si="123"/>
        <v>62558.862552594677</v>
      </c>
      <c r="FM20" s="40">
        <f t="shared" ca="1" si="123"/>
        <v>62558.862552594677</v>
      </c>
      <c r="FN20" s="40">
        <f t="shared" ca="1" si="123"/>
        <v>62558.862552594677</v>
      </c>
      <c r="FO20" s="40">
        <f t="shared" ca="1" si="123"/>
        <v>62558.862552594677</v>
      </c>
      <c r="FP20" s="40">
        <f t="shared" ca="1" si="123"/>
        <v>62558.862552594677</v>
      </c>
      <c r="FQ20" s="40">
        <f t="shared" ca="1" si="123"/>
        <v>62558.862552594677</v>
      </c>
      <c r="FR20" s="40">
        <f t="shared" ca="1" si="123"/>
        <v>62558.862552594677</v>
      </c>
      <c r="FS20" s="40">
        <f t="shared" ca="1" si="123"/>
        <v>62558.862552594677</v>
      </c>
      <c r="FT20" s="40">
        <f t="shared" ca="1" si="123"/>
        <v>62558.862552594677</v>
      </c>
      <c r="FU20" s="40">
        <f t="shared" ca="1" si="123"/>
        <v>62558.862552594677</v>
      </c>
      <c r="FV20" s="40">
        <f t="shared" ca="1" si="123"/>
        <v>62558.862552594677</v>
      </c>
      <c r="FW20" s="40">
        <f t="shared" ca="1" si="123"/>
        <v>62558.862552594677</v>
      </c>
      <c r="FX20" s="40">
        <f t="shared" ca="1" si="123"/>
        <v>62558.862552594677</v>
      </c>
      <c r="FY20" s="40">
        <f t="shared" ca="1" si="123"/>
        <v>62558.862552594677</v>
      </c>
      <c r="FZ20" s="40">
        <f t="shared" ca="1" si="123"/>
        <v>62558.862552594677</v>
      </c>
      <c r="GA20" s="40">
        <f t="shared" ca="1" si="123"/>
        <v>62558.862552594677</v>
      </c>
      <c r="GB20" s="40">
        <f t="shared" ca="1" si="123"/>
        <v>62558.862552594677</v>
      </c>
      <c r="GC20" s="40">
        <f t="shared" ca="1" si="123"/>
        <v>62558.862552594677</v>
      </c>
      <c r="GD20" s="40">
        <f t="shared" ca="1" si="123"/>
        <v>62558.862552594677</v>
      </c>
      <c r="GE20" s="40">
        <f t="shared" ca="1" si="123"/>
        <v>62558.862552594677</v>
      </c>
      <c r="GF20" s="40">
        <f t="shared" ca="1" si="123"/>
        <v>62558.862552594677</v>
      </c>
      <c r="GG20" s="40">
        <f t="shared" ca="1" si="123"/>
        <v>62558.862552594677</v>
      </c>
      <c r="GH20" s="40">
        <f t="shared" ca="1" si="123"/>
        <v>62558.862552594677</v>
      </c>
      <c r="GI20" s="40">
        <f t="shared" ca="1" si="123"/>
        <v>62558.862552594677</v>
      </c>
      <c r="GJ20" s="40">
        <f t="shared" ca="1" si="123"/>
        <v>62558.862552594677</v>
      </c>
      <c r="GK20" s="40">
        <f t="shared" ca="1" si="123"/>
        <v>62558.862552594677</v>
      </c>
      <c r="GL20" s="40">
        <f t="shared" ca="1" si="123"/>
        <v>62558.862552594677</v>
      </c>
      <c r="GM20" s="40">
        <f t="shared" ca="1" si="123"/>
        <v>62558.862552594677</v>
      </c>
      <c r="GN20" s="40">
        <f t="shared" ca="1" si="123"/>
        <v>62558.862552594677</v>
      </c>
      <c r="GO20" s="40">
        <f t="shared" ca="1" si="123"/>
        <v>62558.862552594677</v>
      </c>
      <c r="GP20" s="40">
        <f t="shared" ca="1" si="123"/>
        <v>62558.862552594677</v>
      </c>
      <c r="GQ20" s="40">
        <f t="shared" ca="1" si="123"/>
        <v>62558.862552594677</v>
      </c>
      <c r="GR20" s="40">
        <f t="shared" ref="GR20:IN20" ca="1" si="124">GR9*$C$15</f>
        <v>62558.862552594677</v>
      </c>
      <c r="GS20" s="40">
        <f t="shared" ca="1" si="124"/>
        <v>62558.862552594677</v>
      </c>
      <c r="GT20" s="40">
        <f t="shared" ca="1" si="124"/>
        <v>62558.862552594677</v>
      </c>
      <c r="GU20" s="40">
        <f t="shared" ca="1" si="124"/>
        <v>62558.862552594677</v>
      </c>
      <c r="GV20" s="40">
        <f t="shared" ca="1" si="124"/>
        <v>62558.862552594677</v>
      </c>
      <c r="GW20" s="40">
        <f t="shared" ca="1" si="124"/>
        <v>62558.862552594677</v>
      </c>
      <c r="GX20" s="40">
        <f t="shared" ca="1" si="124"/>
        <v>62558.862552594677</v>
      </c>
      <c r="GY20" s="40">
        <f t="shared" ca="1" si="124"/>
        <v>62558.862552594677</v>
      </c>
      <c r="GZ20" s="40">
        <f t="shared" ca="1" si="124"/>
        <v>62558.862552594677</v>
      </c>
      <c r="HA20" s="40">
        <f t="shared" ca="1" si="124"/>
        <v>62558.862552594677</v>
      </c>
      <c r="HB20" s="40">
        <f t="shared" ca="1" si="124"/>
        <v>62558.862552594677</v>
      </c>
      <c r="HC20" s="40">
        <f t="shared" ca="1" si="124"/>
        <v>62558.862552594677</v>
      </c>
      <c r="HD20" s="40">
        <f t="shared" ca="1" si="124"/>
        <v>62558.862552594677</v>
      </c>
      <c r="HE20" s="40">
        <f t="shared" ca="1" si="124"/>
        <v>62558.862552594677</v>
      </c>
      <c r="HF20" s="40">
        <f t="shared" ca="1" si="124"/>
        <v>62558.862552594677</v>
      </c>
      <c r="HG20" s="40">
        <f t="shared" ca="1" si="124"/>
        <v>62558.862552594677</v>
      </c>
      <c r="HH20" s="40">
        <f t="shared" ca="1" si="124"/>
        <v>62558.862552594677</v>
      </c>
      <c r="HI20" s="40">
        <f t="shared" ca="1" si="124"/>
        <v>62558.862552594677</v>
      </c>
      <c r="HJ20" s="40">
        <f t="shared" ca="1" si="124"/>
        <v>62558.862552594677</v>
      </c>
      <c r="HK20" s="40">
        <f t="shared" ca="1" si="124"/>
        <v>62558.862552594677</v>
      </c>
      <c r="HL20" s="40">
        <f t="shared" ca="1" si="124"/>
        <v>62558.862552594677</v>
      </c>
      <c r="HM20" s="40">
        <f t="shared" ca="1" si="124"/>
        <v>62558.862552594677</v>
      </c>
      <c r="HN20" s="40">
        <f t="shared" ca="1" si="124"/>
        <v>62558.862552594677</v>
      </c>
      <c r="HO20" s="40">
        <f t="shared" ca="1" si="124"/>
        <v>62558.862552594677</v>
      </c>
      <c r="HP20" s="40">
        <f t="shared" ca="1" si="124"/>
        <v>62558.862552594677</v>
      </c>
      <c r="HQ20" s="40">
        <f t="shared" ca="1" si="124"/>
        <v>62558.862552594677</v>
      </c>
      <c r="HR20" s="40">
        <f t="shared" ca="1" si="124"/>
        <v>62558.862552594677</v>
      </c>
      <c r="HS20" s="40">
        <f t="shared" ca="1" si="124"/>
        <v>62558.862552594677</v>
      </c>
      <c r="HT20" s="40">
        <f t="shared" ca="1" si="124"/>
        <v>62558.862552594677</v>
      </c>
      <c r="HU20" s="40">
        <f t="shared" ca="1" si="124"/>
        <v>62558.862552594677</v>
      </c>
      <c r="HV20" s="40">
        <f t="shared" ca="1" si="124"/>
        <v>62558.862552594677</v>
      </c>
      <c r="HW20" s="40">
        <f t="shared" ca="1" si="124"/>
        <v>62558.862552594677</v>
      </c>
      <c r="HX20" s="40">
        <f t="shared" ca="1" si="124"/>
        <v>62558.862552594677</v>
      </c>
      <c r="HY20" s="40">
        <f t="shared" ca="1" si="124"/>
        <v>62558.862552594677</v>
      </c>
      <c r="HZ20" s="40">
        <f t="shared" ca="1" si="124"/>
        <v>62558.862552594677</v>
      </c>
      <c r="IA20" s="40">
        <f t="shared" ca="1" si="124"/>
        <v>62558.862552594677</v>
      </c>
      <c r="IB20" s="40">
        <f t="shared" ca="1" si="124"/>
        <v>62558.862552594677</v>
      </c>
      <c r="IC20" s="40">
        <f t="shared" ca="1" si="124"/>
        <v>62558.862552594677</v>
      </c>
      <c r="ID20" s="40">
        <f t="shared" ca="1" si="124"/>
        <v>62558.862552594677</v>
      </c>
      <c r="IE20" s="40">
        <f t="shared" ca="1" si="124"/>
        <v>62558.862552594677</v>
      </c>
      <c r="IF20" s="40">
        <f t="shared" ca="1" si="124"/>
        <v>62558.862552594677</v>
      </c>
      <c r="IG20" s="40">
        <f t="shared" ca="1" si="124"/>
        <v>62558.862552594677</v>
      </c>
      <c r="IH20" s="40">
        <f t="shared" ca="1" si="124"/>
        <v>62558.862552594677</v>
      </c>
      <c r="II20" s="40">
        <f t="shared" ca="1" si="124"/>
        <v>62558.862552594677</v>
      </c>
      <c r="IJ20" s="40">
        <f t="shared" ca="1" si="124"/>
        <v>62558.862552594677</v>
      </c>
      <c r="IK20" s="40">
        <f t="shared" ca="1" si="124"/>
        <v>62558.862552594677</v>
      </c>
      <c r="IL20" s="40">
        <f t="shared" ca="1" si="124"/>
        <v>62558.862552594677</v>
      </c>
      <c r="IM20" s="40">
        <f t="shared" ca="1" si="124"/>
        <v>62558.862552594677</v>
      </c>
      <c r="IN20" s="40">
        <f t="shared" ca="1" si="124"/>
        <v>62558.862552594677</v>
      </c>
    </row>
    <row r="21" spans="2:248" x14ac:dyDescent="0.3">
      <c r="B21" s="19" t="s">
        <v>491</v>
      </c>
      <c r="C21" s="40">
        <f>C20*C19</f>
        <v>7646480.4000000004</v>
      </c>
      <c r="F21" s="19" t="s">
        <v>493</v>
      </c>
      <c r="G21" s="40">
        <f>G10*$C$15</f>
        <v>1.2681159420289856</v>
      </c>
      <c r="H21" s="40">
        <f t="shared" ref="H21:BS22" ca="1" si="125">H10*$C$15</f>
        <v>1.6444600280504909</v>
      </c>
      <c r="I21" s="40">
        <f t="shared" ca="1" si="125"/>
        <v>1.9471715755025714</v>
      </c>
      <c r="J21" s="40">
        <f t="shared" ca="1" si="125"/>
        <v>1.9471715755025714</v>
      </c>
      <c r="K21" s="40">
        <f t="shared" ca="1" si="125"/>
        <v>3.5507246376811596</v>
      </c>
      <c r="L21" s="40">
        <f t="shared" ca="1" si="125"/>
        <v>4.3934081346423568</v>
      </c>
      <c r="M21" s="40">
        <f t="shared" ca="1" si="125"/>
        <v>5.1706404862085087</v>
      </c>
      <c r="N21" s="40">
        <f t="shared" ca="1" si="125"/>
        <v>6.103319308087892</v>
      </c>
      <c r="O21" s="40">
        <f t="shared" ca="1" si="125"/>
        <v>7.5432445067788692</v>
      </c>
      <c r="P21" s="40">
        <f t="shared" ca="1" si="125"/>
        <v>9.343151005142591</v>
      </c>
      <c r="Q21" s="40">
        <f t="shared" ca="1" si="125"/>
        <v>10.684899485741001</v>
      </c>
      <c r="R21" s="40">
        <f t="shared" ca="1" si="125"/>
        <v>10.635811126694717</v>
      </c>
      <c r="S21" s="40">
        <f t="shared" ca="1" si="125"/>
        <v>13.597475455820478</v>
      </c>
      <c r="T21" s="40">
        <f t="shared" ca="1" si="125"/>
        <v>15.250116877045349</v>
      </c>
      <c r="U21" s="40">
        <f t="shared" ca="1" si="125"/>
        <v>16.775128564749885</v>
      </c>
      <c r="V21" s="40">
        <f t="shared" ca="1" si="125"/>
        <v>18.452641421224875</v>
      </c>
      <c r="W21" s="40">
        <f t="shared" ca="1" si="125"/>
        <v>20.297905563347367</v>
      </c>
      <c r="X21" s="40">
        <f t="shared" ca="1" si="125"/>
        <v>22.327696119682106</v>
      </c>
      <c r="Y21" s="40">
        <f t="shared" ca="1" si="125"/>
        <v>24.560465731650314</v>
      </c>
      <c r="Z21" s="40">
        <f t="shared" ca="1" si="125"/>
        <v>27.01651230481535</v>
      </c>
      <c r="AA21" s="40">
        <f t="shared" ca="1" si="125"/>
        <v>29.718163535296888</v>
      </c>
      <c r="AB21" s="40">
        <f t="shared" ca="1" si="125"/>
        <v>32.689979888826585</v>
      </c>
      <c r="AC21" s="40">
        <f t="shared" ca="1" si="125"/>
        <v>35.958977877709245</v>
      </c>
      <c r="AD21" s="40">
        <f t="shared" ca="1" si="125"/>
        <v>39.554875665480175</v>
      </c>
      <c r="AE21" s="40">
        <f t="shared" ca="1" si="125"/>
        <v>43.51036323202819</v>
      </c>
      <c r="AF21" s="40">
        <f t="shared" ca="1" si="125"/>
        <v>47.861399555231017</v>
      </c>
      <c r="AG21" s="40">
        <f t="shared" ca="1" si="125"/>
        <v>52.647539510754129</v>
      </c>
      <c r="AH21" s="40">
        <f t="shared" ca="1" si="125"/>
        <v>57.912293461829542</v>
      </c>
      <c r="AI21" s="40">
        <f t="shared" ca="1" si="125"/>
        <v>63.703522808012501</v>
      </c>
      <c r="AJ21" s="40">
        <f t="shared" ca="1" si="125"/>
        <v>70.07387508881375</v>
      </c>
      <c r="AK21" s="40">
        <f t="shared" ca="1" si="125"/>
        <v>77.08126259769513</v>
      </c>
      <c r="AL21" s="40">
        <f t="shared" ca="1" si="125"/>
        <v>84.789388857464658</v>
      </c>
      <c r="AM21" s="40">
        <f t="shared" ca="1" si="125"/>
        <v>93.268327743211131</v>
      </c>
      <c r="AN21" s="40">
        <f t="shared" ca="1" si="125"/>
        <v>102.59516051753225</v>
      </c>
      <c r="AO21" s="40">
        <f t="shared" ca="1" si="125"/>
        <v>112.85467656928547</v>
      </c>
      <c r="AP21" s="40">
        <f t="shared" ca="1" si="125"/>
        <v>124.14014422621405</v>
      </c>
      <c r="AQ21" s="40">
        <f t="shared" ca="1" si="125"/>
        <v>136.55415864883545</v>
      </c>
      <c r="AR21" s="40">
        <f t="shared" ca="1" si="125"/>
        <v>150.20957451371902</v>
      </c>
      <c r="AS21" s="40">
        <f t="shared" ca="1" si="125"/>
        <v>165.23053196509093</v>
      </c>
      <c r="AT21" s="40">
        <f t="shared" ca="1" si="125"/>
        <v>181.75358516160003</v>
      </c>
      <c r="AU21" s="40">
        <f t="shared" ca="1" si="125"/>
        <v>199.92894367776006</v>
      </c>
      <c r="AV21" s="40">
        <f t="shared" ca="1" si="125"/>
        <v>219.92183804553608</v>
      </c>
      <c r="AW21" s="40">
        <f t="shared" ca="1" si="125"/>
        <v>241.91402185008971</v>
      </c>
      <c r="AX21" s="40">
        <f t="shared" ca="1" si="125"/>
        <v>266.10542403509874</v>
      </c>
      <c r="AY21" s="40">
        <f t="shared" ca="1" si="125"/>
        <v>292.71596643860863</v>
      </c>
      <c r="AZ21" s="40">
        <f t="shared" ca="1" si="125"/>
        <v>321.98756308246953</v>
      </c>
      <c r="BA21" s="40">
        <f t="shared" ca="1" si="125"/>
        <v>354.18631939071651</v>
      </c>
      <c r="BB21" s="40">
        <f t="shared" ca="1" si="125"/>
        <v>389.60495132978815</v>
      </c>
      <c r="BC21" s="40">
        <f t="shared" ca="1" si="125"/>
        <v>428.565446462767</v>
      </c>
      <c r="BD21" s="40">
        <f t="shared" ca="1" si="125"/>
        <v>471.42199110904374</v>
      </c>
      <c r="BE21" s="40">
        <f t="shared" ca="1" si="125"/>
        <v>518.56419021994816</v>
      </c>
      <c r="BF21" s="40">
        <f t="shared" ca="1" si="125"/>
        <v>570.420609241943</v>
      </c>
      <c r="BG21" s="40">
        <f t="shared" ca="1" si="125"/>
        <v>627.46267016613729</v>
      </c>
      <c r="BH21" s="40">
        <f t="shared" ca="1" si="125"/>
        <v>690.20893718275101</v>
      </c>
      <c r="BI21" s="40">
        <f t="shared" ca="1" si="125"/>
        <v>759.22983090102628</v>
      </c>
      <c r="BJ21" s="40">
        <f t="shared" ca="1" si="125"/>
        <v>835.15281399112894</v>
      </c>
      <c r="BK21" s="40">
        <f t="shared" ca="1" si="125"/>
        <v>918.668095390242</v>
      </c>
      <c r="BL21" s="40">
        <f t="shared" ca="1" si="125"/>
        <v>1010.5349049292662</v>
      </c>
      <c r="BM21" s="40">
        <f t="shared" ca="1" si="125"/>
        <v>1111.5883954221929</v>
      </c>
      <c r="BN21" s="40">
        <f t="shared" ca="1" si="125"/>
        <v>1222.7472349644122</v>
      </c>
      <c r="BO21" s="40">
        <f t="shared" ca="1" si="125"/>
        <v>1345.0219584608535</v>
      </c>
      <c r="BP21" s="40">
        <f t="shared" ca="1" si="125"/>
        <v>1479.524154306939</v>
      </c>
      <c r="BQ21" s="40">
        <f t="shared" ca="1" si="125"/>
        <v>1627.4765697376331</v>
      </c>
      <c r="BR21" s="40">
        <f t="shared" ca="1" si="125"/>
        <v>1790.2242267113968</v>
      </c>
      <c r="BS21" s="40">
        <f t="shared" ca="1" si="125"/>
        <v>1969.2466493825366</v>
      </c>
      <c r="BT21" s="40">
        <f t="shared" ref="BT21:EE23" ca="1" si="126">BT10*$C$15</f>
        <v>2166.1713143207903</v>
      </c>
      <c r="BU21" s="40">
        <f t="shared" ca="1" si="126"/>
        <v>2382.7884457528694</v>
      </c>
      <c r="BV21" s="40">
        <f t="shared" ca="1" si="126"/>
        <v>2621.0672903281561</v>
      </c>
      <c r="BW21" s="40">
        <f t="shared" ca="1" si="126"/>
        <v>2883.1740193609721</v>
      </c>
      <c r="BX21" s="40">
        <f t="shared" ca="1" si="126"/>
        <v>3171.4914212970698</v>
      </c>
      <c r="BY21" s="40">
        <f t="shared" ca="1" si="126"/>
        <v>3488.6405634267771</v>
      </c>
      <c r="BZ21" s="40">
        <f t="shared" ca="1" si="126"/>
        <v>3837.5046197694551</v>
      </c>
      <c r="CA21" s="40">
        <f t="shared" ca="1" si="126"/>
        <v>4221.2550817464007</v>
      </c>
      <c r="CB21" s="40">
        <f t="shared" ca="1" si="126"/>
        <v>4643.3805899210411</v>
      </c>
      <c r="CC21" s="40">
        <f t="shared" ca="1" si="126"/>
        <v>5107.7186489131464</v>
      </c>
      <c r="CD21" s="40">
        <f t="shared" ca="1" si="126"/>
        <v>5618.4905138044614</v>
      </c>
      <c r="CE21" s="40">
        <f t="shared" ca="1" si="126"/>
        <v>6180.3395651849078</v>
      </c>
      <c r="CF21" s="40">
        <f t="shared" ca="1" si="126"/>
        <v>6798.3735217033991</v>
      </c>
      <c r="CG21" s="40">
        <f t="shared" ca="1" si="126"/>
        <v>7478.2108738737397</v>
      </c>
      <c r="CH21" s="40">
        <f t="shared" ca="1" si="126"/>
        <v>8226.0319612611147</v>
      </c>
      <c r="CI21" s="40">
        <f t="shared" ca="1" si="126"/>
        <v>9048.6351573872271</v>
      </c>
      <c r="CJ21" s="40">
        <f t="shared" ca="1" si="126"/>
        <v>9953.4986731259505</v>
      </c>
      <c r="CK21" s="40">
        <f t="shared" ca="1" si="126"/>
        <v>10948.848540438546</v>
      </c>
      <c r="CL21" s="40">
        <f t="shared" ca="1" si="126"/>
        <v>12043.7333944824</v>
      </c>
      <c r="CM21" s="40">
        <f t="shared" ca="1" si="126"/>
        <v>13248.106733930641</v>
      </c>
      <c r="CN21" s="40">
        <f t="shared" ca="1" si="126"/>
        <v>14572.917407323706</v>
      </c>
      <c r="CO21" s="40">
        <f t="shared" ca="1" si="126"/>
        <v>16030.209148056079</v>
      </c>
      <c r="CP21" s="40">
        <f t="shared" ca="1" si="126"/>
        <v>17633.230062861687</v>
      </c>
      <c r="CQ21" s="40">
        <f t="shared" ca="1" si="126"/>
        <v>19396.55306914786</v>
      </c>
      <c r="CR21" s="40">
        <f t="shared" ca="1" si="126"/>
        <v>21336.208376062645</v>
      </c>
      <c r="CS21" s="40">
        <f t="shared" ca="1" si="126"/>
        <v>23469.829213668909</v>
      </c>
      <c r="CT21" s="40">
        <f t="shared" ca="1" si="126"/>
        <v>25816.812135035801</v>
      </c>
      <c r="CU21" s="40">
        <f t="shared" ca="1" si="126"/>
        <v>28398.493348539385</v>
      </c>
      <c r="CV21" s="40">
        <f t="shared" ca="1" si="126"/>
        <v>31238.342683393326</v>
      </c>
      <c r="CW21" s="40">
        <f t="shared" ca="1" si="126"/>
        <v>34362.176951732661</v>
      </c>
      <c r="CX21" s="40">
        <f t="shared" ca="1" si="126"/>
        <v>37798.39464690593</v>
      </c>
      <c r="CY21" s="40">
        <f t="shared" ca="1" si="126"/>
        <v>41578.234111596525</v>
      </c>
      <c r="CZ21" s="40">
        <f t="shared" ca="1" si="126"/>
        <v>45736.057522756179</v>
      </c>
      <c r="DA21" s="40">
        <f t="shared" ca="1" si="126"/>
        <v>50309.663275031802</v>
      </c>
      <c r="DB21" s="40">
        <f t="shared" ca="1" si="126"/>
        <v>55340.629602534987</v>
      </c>
      <c r="DC21" s="40">
        <f t="shared" ca="1" si="126"/>
        <v>60874.692562788492</v>
      </c>
      <c r="DD21" s="40">
        <f t="shared" ca="1" si="126"/>
        <v>62558.862552594677</v>
      </c>
      <c r="DE21" s="40">
        <f t="shared" ca="1" si="126"/>
        <v>62558.862552594677</v>
      </c>
      <c r="DF21" s="40">
        <f t="shared" ca="1" si="126"/>
        <v>62558.862552594677</v>
      </c>
      <c r="DG21" s="40">
        <f t="shared" ca="1" si="126"/>
        <v>62558.862552594677</v>
      </c>
      <c r="DH21" s="40">
        <f t="shared" ca="1" si="126"/>
        <v>62558.862552594677</v>
      </c>
      <c r="DI21" s="40">
        <f t="shared" ca="1" si="126"/>
        <v>62558.862552594677</v>
      </c>
      <c r="DJ21" s="40">
        <f t="shared" ca="1" si="126"/>
        <v>62558.862552594677</v>
      </c>
      <c r="DK21" s="40">
        <f t="shared" ca="1" si="126"/>
        <v>62558.862552594677</v>
      </c>
      <c r="DL21" s="40">
        <f t="shared" ca="1" si="126"/>
        <v>62558.862552594677</v>
      </c>
      <c r="DM21" s="40">
        <f t="shared" ca="1" si="126"/>
        <v>62558.862552594677</v>
      </c>
      <c r="DN21" s="40">
        <f t="shared" ca="1" si="126"/>
        <v>62558.862552594677</v>
      </c>
      <c r="DO21" s="40">
        <f t="shared" ca="1" si="126"/>
        <v>62558.862552594677</v>
      </c>
      <c r="DP21" s="40">
        <f t="shared" ca="1" si="126"/>
        <v>62558.862552594677</v>
      </c>
      <c r="DQ21" s="40">
        <f t="shared" ca="1" si="126"/>
        <v>62558.862552594677</v>
      </c>
      <c r="DR21" s="40">
        <f t="shared" ca="1" si="126"/>
        <v>62558.862552594677</v>
      </c>
      <c r="DS21" s="40">
        <f t="shared" ca="1" si="126"/>
        <v>62558.862552594677</v>
      </c>
      <c r="DT21" s="40">
        <f t="shared" ca="1" si="126"/>
        <v>62558.862552594677</v>
      </c>
      <c r="DU21" s="40">
        <f t="shared" ca="1" si="126"/>
        <v>62558.862552594677</v>
      </c>
      <c r="DV21" s="40">
        <f t="shared" ca="1" si="126"/>
        <v>62558.862552594677</v>
      </c>
      <c r="DW21" s="40">
        <f t="shared" ca="1" si="126"/>
        <v>62558.862552594677</v>
      </c>
      <c r="DX21" s="40">
        <f t="shared" ca="1" si="126"/>
        <v>62558.862552594677</v>
      </c>
      <c r="DY21" s="40">
        <f t="shared" ca="1" si="126"/>
        <v>62558.862552594677</v>
      </c>
      <c r="DZ21" s="40">
        <f t="shared" ca="1" si="126"/>
        <v>62558.862552594677</v>
      </c>
      <c r="EA21" s="40">
        <f t="shared" ca="1" si="126"/>
        <v>62558.862552594677</v>
      </c>
      <c r="EB21" s="40">
        <f t="shared" ca="1" si="126"/>
        <v>62558.862552594677</v>
      </c>
      <c r="EC21" s="40">
        <f t="shared" ca="1" si="126"/>
        <v>62558.862552594677</v>
      </c>
      <c r="ED21" s="40">
        <f t="shared" ca="1" si="126"/>
        <v>62558.862552594677</v>
      </c>
      <c r="EE21" s="40">
        <f t="shared" ca="1" si="126"/>
        <v>62558.862552594677</v>
      </c>
      <c r="EF21" s="40">
        <f t="shared" ref="EF21:GQ23" ca="1" si="127">EF10*$C$15</f>
        <v>62558.862552594677</v>
      </c>
      <c r="EG21" s="40">
        <f t="shared" ca="1" si="127"/>
        <v>62558.862552594677</v>
      </c>
      <c r="EH21" s="40">
        <f t="shared" ca="1" si="127"/>
        <v>62558.862552594677</v>
      </c>
      <c r="EI21" s="40">
        <f t="shared" ca="1" si="127"/>
        <v>62558.862552594677</v>
      </c>
      <c r="EJ21" s="40">
        <f t="shared" ca="1" si="127"/>
        <v>62558.862552594677</v>
      </c>
      <c r="EK21" s="40">
        <f t="shared" ca="1" si="127"/>
        <v>62558.862552594677</v>
      </c>
      <c r="EL21" s="40">
        <f t="shared" ca="1" si="127"/>
        <v>62558.862552594677</v>
      </c>
      <c r="EM21" s="40">
        <f t="shared" ca="1" si="127"/>
        <v>62558.862552594677</v>
      </c>
      <c r="EN21" s="40">
        <f t="shared" ca="1" si="127"/>
        <v>62558.862552594677</v>
      </c>
      <c r="EO21" s="40">
        <f t="shared" ca="1" si="127"/>
        <v>62558.862552594677</v>
      </c>
      <c r="EP21" s="40">
        <f t="shared" ca="1" si="127"/>
        <v>62558.862552594677</v>
      </c>
      <c r="EQ21" s="40">
        <f t="shared" ca="1" si="127"/>
        <v>62558.862552594677</v>
      </c>
      <c r="ER21" s="40">
        <f t="shared" ca="1" si="127"/>
        <v>62558.862552594677</v>
      </c>
      <c r="ES21" s="40">
        <f t="shared" ca="1" si="127"/>
        <v>62558.862552594677</v>
      </c>
      <c r="ET21" s="40">
        <f t="shared" ca="1" si="127"/>
        <v>62558.862552594677</v>
      </c>
      <c r="EU21" s="40">
        <f t="shared" ca="1" si="127"/>
        <v>62558.862552594677</v>
      </c>
      <c r="EV21" s="40">
        <f t="shared" ca="1" si="127"/>
        <v>62558.862552594677</v>
      </c>
      <c r="EW21" s="40">
        <f t="shared" ca="1" si="127"/>
        <v>62558.862552594677</v>
      </c>
      <c r="EX21" s="40">
        <f t="shared" ca="1" si="127"/>
        <v>62558.862552594677</v>
      </c>
      <c r="EY21" s="40">
        <f t="shared" ca="1" si="127"/>
        <v>62558.862552594677</v>
      </c>
      <c r="EZ21" s="40">
        <f t="shared" ca="1" si="127"/>
        <v>62558.862552594677</v>
      </c>
      <c r="FA21" s="40">
        <f t="shared" ca="1" si="127"/>
        <v>62558.862552594677</v>
      </c>
      <c r="FB21" s="40">
        <f t="shared" ca="1" si="127"/>
        <v>62558.862552594677</v>
      </c>
      <c r="FC21" s="40">
        <f t="shared" ca="1" si="127"/>
        <v>62558.862552594677</v>
      </c>
      <c r="FD21" s="40">
        <f t="shared" ca="1" si="127"/>
        <v>62558.862552594677</v>
      </c>
      <c r="FE21" s="40">
        <f t="shared" ca="1" si="127"/>
        <v>62558.862552594677</v>
      </c>
      <c r="FF21" s="40">
        <f t="shared" ca="1" si="127"/>
        <v>62558.862552594677</v>
      </c>
      <c r="FG21" s="40">
        <f t="shared" ca="1" si="127"/>
        <v>62558.862552594677</v>
      </c>
      <c r="FH21" s="40">
        <f t="shared" ca="1" si="127"/>
        <v>62558.862552594677</v>
      </c>
      <c r="FI21" s="40">
        <f t="shared" ca="1" si="127"/>
        <v>62558.862552594677</v>
      </c>
      <c r="FJ21" s="40">
        <f t="shared" ca="1" si="127"/>
        <v>62558.862552594677</v>
      </c>
      <c r="FK21" s="40">
        <f t="shared" ca="1" si="127"/>
        <v>62558.862552594677</v>
      </c>
      <c r="FL21" s="40">
        <f t="shared" ca="1" si="127"/>
        <v>62558.862552594677</v>
      </c>
      <c r="FM21" s="40">
        <f t="shared" ca="1" si="127"/>
        <v>62558.862552594677</v>
      </c>
      <c r="FN21" s="40">
        <f t="shared" ca="1" si="127"/>
        <v>62558.862552594677</v>
      </c>
      <c r="FO21" s="40">
        <f t="shared" ca="1" si="127"/>
        <v>62558.862552594677</v>
      </c>
      <c r="FP21" s="40">
        <f t="shared" ca="1" si="127"/>
        <v>62558.862552594677</v>
      </c>
      <c r="FQ21" s="40">
        <f t="shared" ca="1" si="127"/>
        <v>62558.862552594677</v>
      </c>
      <c r="FR21" s="40">
        <f t="shared" ca="1" si="127"/>
        <v>62558.862552594677</v>
      </c>
      <c r="FS21" s="40">
        <f t="shared" ca="1" si="127"/>
        <v>62558.862552594677</v>
      </c>
      <c r="FT21" s="40">
        <f t="shared" ca="1" si="127"/>
        <v>62558.862552594677</v>
      </c>
      <c r="FU21" s="40">
        <f t="shared" ca="1" si="127"/>
        <v>62558.862552594677</v>
      </c>
      <c r="FV21" s="40">
        <f t="shared" ca="1" si="127"/>
        <v>62558.862552594677</v>
      </c>
      <c r="FW21" s="40">
        <f t="shared" ca="1" si="127"/>
        <v>62558.862552594677</v>
      </c>
      <c r="FX21" s="40">
        <f t="shared" ca="1" si="127"/>
        <v>62558.862552594677</v>
      </c>
      <c r="FY21" s="40">
        <f t="shared" ca="1" si="127"/>
        <v>62558.862552594677</v>
      </c>
      <c r="FZ21" s="40">
        <f t="shared" ca="1" si="127"/>
        <v>62558.862552594677</v>
      </c>
      <c r="GA21" s="40">
        <f t="shared" ca="1" si="127"/>
        <v>62558.862552594677</v>
      </c>
      <c r="GB21" s="40">
        <f t="shared" ca="1" si="127"/>
        <v>62558.862552594677</v>
      </c>
      <c r="GC21" s="40">
        <f t="shared" ca="1" si="127"/>
        <v>62558.862552594677</v>
      </c>
      <c r="GD21" s="40">
        <f t="shared" ca="1" si="127"/>
        <v>62558.862552594677</v>
      </c>
      <c r="GE21" s="40">
        <f t="shared" ca="1" si="127"/>
        <v>62558.862552594677</v>
      </c>
      <c r="GF21" s="40">
        <f t="shared" ca="1" si="127"/>
        <v>62558.862552594677</v>
      </c>
      <c r="GG21" s="40">
        <f t="shared" ca="1" si="127"/>
        <v>62558.862552594677</v>
      </c>
      <c r="GH21" s="40">
        <f t="shared" ca="1" si="127"/>
        <v>62558.862552594677</v>
      </c>
      <c r="GI21" s="40">
        <f t="shared" ca="1" si="127"/>
        <v>62558.862552594677</v>
      </c>
      <c r="GJ21" s="40">
        <f t="shared" ca="1" si="127"/>
        <v>62558.862552594677</v>
      </c>
      <c r="GK21" s="40">
        <f t="shared" ca="1" si="127"/>
        <v>62558.862552594677</v>
      </c>
      <c r="GL21" s="40">
        <f t="shared" ca="1" si="127"/>
        <v>62558.862552594677</v>
      </c>
      <c r="GM21" s="40">
        <f t="shared" ca="1" si="127"/>
        <v>62558.862552594677</v>
      </c>
      <c r="GN21" s="40">
        <f t="shared" ca="1" si="127"/>
        <v>62558.862552594677</v>
      </c>
      <c r="GO21" s="40">
        <f t="shared" ca="1" si="127"/>
        <v>62558.862552594677</v>
      </c>
      <c r="GP21" s="40">
        <f t="shared" ca="1" si="127"/>
        <v>62558.862552594677</v>
      </c>
      <c r="GQ21" s="40">
        <f t="shared" ca="1" si="127"/>
        <v>62558.862552594677</v>
      </c>
      <c r="GR21" s="40">
        <f t="shared" ref="GR21:IN23" ca="1" si="128">GR10*$C$15</f>
        <v>62558.862552594677</v>
      </c>
      <c r="GS21" s="40">
        <f t="shared" ca="1" si="128"/>
        <v>62558.862552594677</v>
      </c>
      <c r="GT21" s="40">
        <f t="shared" ca="1" si="128"/>
        <v>62558.862552594677</v>
      </c>
      <c r="GU21" s="40">
        <f t="shared" ca="1" si="128"/>
        <v>62558.862552594677</v>
      </c>
      <c r="GV21" s="40">
        <f t="shared" ca="1" si="128"/>
        <v>62558.862552594677</v>
      </c>
      <c r="GW21" s="40">
        <f t="shared" ca="1" si="128"/>
        <v>62558.862552594677</v>
      </c>
      <c r="GX21" s="40">
        <f t="shared" ca="1" si="128"/>
        <v>62558.862552594677</v>
      </c>
      <c r="GY21" s="40">
        <f t="shared" ca="1" si="128"/>
        <v>62558.862552594677</v>
      </c>
      <c r="GZ21" s="40">
        <f t="shared" ca="1" si="128"/>
        <v>62558.862552594677</v>
      </c>
      <c r="HA21" s="40">
        <f t="shared" ca="1" si="128"/>
        <v>62558.862552594677</v>
      </c>
      <c r="HB21" s="40">
        <f t="shared" ca="1" si="128"/>
        <v>62558.862552594677</v>
      </c>
      <c r="HC21" s="40">
        <f t="shared" ca="1" si="128"/>
        <v>62558.862552594677</v>
      </c>
      <c r="HD21" s="40">
        <f t="shared" ca="1" si="128"/>
        <v>62558.862552594677</v>
      </c>
      <c r="HE21" s="40">
        <f t="shared" ca="1" si="128"/>
        <v>62558.862552594677</v>
      </c>
      <c r="HF21" s="40">
        <f t="shared" ca="1" si="128"/>
        <v>62558.862552594677</v>
      </c>
      <c r="HG21" s="40">
        <f t="shared" ca="1" si="128"/>
        <v>62558.862552594677</v>
      </c>
      <c r="HH21" s="40">
        <f t="shared" ca="1" si="128"/>
        <v>62558.862552594677</v>
      </c>
      <c r="HI21" s="40">
        <f t="shared" ca="1" si="128"/>
        <v>62558.862552594677</v>
      </c>
      <c r="HJ21" s="40">
        <f t="shared" ca="1" si="128"/>
        <v>62558.862552594677</v>
      </c>
      <c r="HK21" s="40">
        <f t="shared" ca="1" si="128"/>
        <v>62558.862552594677</v>
      </c>
      <c r="HL21" s="40">
        <f t="shared" ca="1" si="128"/>
        <v>62558.862552594677</v>
      </c>
      <c r="HM21" s="40">
        <f t="shared" ca="1" si="128"/>
        <v>62558.862552594677</v>
      </c>
      <c r="HN21" s="40">
        <f t="shared" ca="1" si="128"/>
        <v>62558.862552594677</v>
      </c>
      <c r="HO21" s="40">
        <f t="shared" ca="1" si="128"/>
        <v>62558.862552594677</v>
      </c>
      <c r="HP21" s="40">
        <f t="shared" ca="1" si="128"/>
        <v>62558.862552594677</v>
      </c>
      <c r="HQ21" s="40">
        <f t="shared" ca="1" si="128"/>
        <v>62558.862552594677</v>
      </c>
      <c r="HR21" s="40">
        <f t="shared" ca="1" si="128"/>
        <v>62558.862552594677</v>
      </c>
      <c r="HS21" s="40">
        <f t="shared" ca="1" si="128"/>
        <v>62558.862552594677</v>
      </c>
      <c r="HT21" s="40">
        <f t="shared" ca="1" si="128"/>
        <v>62558.862552594677</v>
      </c>
      <c r="HU21" s="40">
        <f t="shared" ca="1" si="128"/>
        <v>62558.862552594677</v>
      </c>
      <c r="HV21" s="40">
        <f t="shared" ca="1" si="128"/>
        <v>62558.862552594677</v>
      </c>
      <c r="HW21" s="40">
        <f t="shared" ca="1" si="128"/>
        <v>62558.862552594677</v>
      </c>
      <c r="HX21" s="40">
        <f t="shared" ca="1" si="128"/>
        <v>62558.862552594677</v>
      </c>
      <c r="HY21" s="40">
        <f t="shared" ca="1" si="128"/>
        <v>62558.862552594677</v>
      </c>
      <c r="HZ21" s="40">
        <f t="shared" ca="1" si="128"/>
        <v>62558.862552594677</v>
      </c>
      <c r="IA21" s="40">
        <f t="shared" ca="1" si="128"/>
        <v>62558.862552594677</v>
      </c>
      <c r="IB21" s="40">
        <f t="shared" ca="1" si="128"/>
        <v>62558.862552594677</v>
      </c>
      <c r="IC21" s="40">
        <f t="shared" ca="1" si="128"/>
        <v>62558.862552594677</v>
      </c>
      <c r="ID21" s="40">
        <f t="shared" ca="1" si="128"/>
        <v>62558.862552594677</v>
      </c>
      <c r="IE21" s="40">
        <f t="shared" ca="1" si="128"/>
        <v>62558.862552594677</v>
      </c>
      <c r="IF21" s="40">
        <f t="shared" ca="1" si="128"/>
        <v>62558.862552594677</v>
      </c>
      <c r="IG21" s="40">
        <f t="shared" ca="1" si="128"/>
        <v>62558.862552594677</v>
      </c>
      <c r="IH21" s="40">
        <f t="shared" ca="1" si="128"/>
        <v>62558.862552594677</v>
      </c>
      <c r="II21" s="40">
        <f t="shared" ca="1" si="128"/>
        <v>62558.862552594677</v>
      </c>
      <c r="IJ21" s="40">
        <f t="shared" ca="1" si="128"/>
        <v>62558.862552594677</v>
      </c>
      <c r="IK21" s="40">
        <f t="shared" ca="1" si="128"/>
        <v>62558.862552594677</v>
      </c>
      <c r="IL21" s="40">
        <f t="shared" ca="1" si="128"/>
        <v>62558.862552594677</v>
      </c>
      <c r="IM21" s="40">
        <f t="shared" ca="1" si="128"/>
        <v>62558.862552594677</v>
      </c>
      <c r="IN21" s="40">
        <f t="shared" ca="1" si="128"/>
        <v>62558.862552594677</v>
      </c>
    </row>
    <row r="22" spans="2:248" x14ac:dyDescent="0.3">
      <c r="C22" s="40"/>
      <c r="F22" s="19" t="s">
        <v>496</v>
      </c>
      <c r="G22" s="40">
        <f t="shared" ref="G22:V23" si="129">G11*$C$15</f>
        <v>1.2681159420289856</v>
      </c>
      <c r="H22" s="40">
        <f t="shared" ca="1" si="129"/>
        <v>1.6444600280504909</v>
      </c>
      <c r="I22" s="40">
        <f t="shared" ca="1" si="129"/>
        <v>1.9471715755025714</v>
      </c>
      <c r="J22" s="40">
        <f t="shared" ca="1" si="129"/>
        <v>1.9471715755025714</v>
      </c>
      <c r="K22" s="40">
        <f t="shared" ca="1" si="129"/>
        <v>3.5507246376811596</v>
      </c>
      <c r="L22" s="40">
        <f t="shared" ca="1" si="129"/>
        <v>4.3934081346423568</v>
      </c>
      <c r="M22" s="40">
        <f t="shared" ca="1" si="129"/>
        <v>5.1706404862085087</v>
      </c>
      <c r="N22" s="40">
        <f t="shared" ca="1" si="129"/>
        <v>6.103319308087892</v>
      </c>
      <c r="O22" s="40">
        <f t="shared" ca="1" si="129"/>
        <v>7.5432445067788692</v>
      </c>
      <c r="P22" s="40">
        <f t="shared" ca="1" si="129"/>
        <v>9.343151005142591</v>
      </c>
      <c r="Q22" s="40">
        <f t="shared" ca="1" si="129"/>
        <v>10.684899485741001</v>
      </c>
      <c r="R22" s="40">
        <f t="shared" ca="1" si="129"/>
        <v>10.635811126694717</v>
      </c>
      <c r="S22" s="40">
        <f t="shared" ca="1" si="129"/>
        <v>13.597475455820478</v>
      </c>
      <c r="T22" s="40">
        <f t="shared" ca="1" si="129"/>
        <v>15.250116877045349</v>
      </c>
      <c r="U22" s="40">
        <f t="shared" ca="1" si="129"/>
        <v>19.062646096306686</v>
      </c>
      <c r="V22" s="40">
        <f t="shared" ca="1" si="129"/>
        <v>23.828307620383359</v>
      </c>
      <c r="W22" s="40">
        <f t="shared" ca="1" si="125"/>
        <v>29.785384525479198</v>
      </c>
      <c r="X22" s="40">
        <f t="shared" ca="1" si="125"/>
        <v>37.231730656848995</v>
      </c>
      <c r="Y22" s="40">
        <f t="shared" ca="1" si="125"/>
        <v>46.539663321061248</v>
      </c>
      <c r="Z22" s="40">
        <f t="shared" ca="1" si="125"/>
        <v>58.174579151326554</v>
      </c>
      <c r="AA22" s="40">
        <f t="shared" ca="1" si="125"/>
        <v>72.718223939158193</v>
      </c>
      <c r="AB22" s="40">
        <f t="shared" ca="1" si="125"/>
        <v>90.897779923947752</v>
      </c>
      <c r="AC22" s="40">
        <f t="shared" ca="1" si="125"/>
        <v>113.62222490493468</v>
      </c>
      <c r="AD22" s="40">
        <f t="shared" ca="1" si="125"/>
        <v>142.02778113116835</v>
      </c>
      <c r="AE22" s="40">
        <f t="shared" ca="1" si="125"/>
        <v>177.53472641396044</v>
      </c>
      <c r="AF22" s="40">
        <f t="shared" ca="1" si="125"/>
        <v>221.91840801745056</v>
      </c>
      <c r="AG22" s="40">
        <f t="shared" ca="1" si="125"/>
        <v>277.39801002181321</v>
      </c>
      <c r="AH22" s="40">
        <f t="shared" ca="1" si="125"/>
        <v>346.74751252726651</v>
      </c>
      <c r="AI22" s="40">
        <f t="shared" ca="1" si="125"/>
        <v>433.43439065908308</v>
      </c>
      <c r="AJ22" s="40">
        <f t="shared" ca="1" si="125"/>
        <v>541.79298832385393</v>
      </c>
      <c r="AK22" s="40">
        <f t="shared" ca="1" si="125"/>
        <v>677.2412354048173</v>
      </c>
      <c r="AL22" s="40">
        <f t="shared" ca="1" si="125"/>
        <v>846.55154425602166</v>
      </c>
      <c r="AM22" s="40">
        <f t="shared" ca="1" si="125"/>
        <v>1058.1894303200272</v>
      </c>
      <c r="AN22" s="40">
        <f t="shared" ca="1" si="125"/>
        <v>1322.7367879000337</v>
      </c>
      <c r="AO22" s="40">
        <f t="shared" ca="1" si="125"/>
        <v>1653.4209848750424</v>
      </c>
      <c r="AP22" s="40">
        <f t="shared" ca="1" si="125"/>
        <v>2066.7762310938028</v>
      </c>
      <c r="AQ22" s="40">
        <f t="shared" ca="1" si="125"/>
        <v>2583.4702888672537</v>
      </c>
      <c r="AR22" s="40">
        <f t="shared" ca="1" si="125"/>
        <v>3229.3378610840668</v>
      </c>
      <c r="AS22" s="40">
        <f t="shared" ca="1" si="125"/>
        <v>4036.6723263550834</v>
      </c>
      <c r="AT22" s="40">
        <f t="shared" ca="1" si="125"/>
        <v>5045.8404079438542</v>
      </c>
      <c r="AU22" s="40">
        <f t="shared" ca="1" si="125"/>
        <v>6307.3005099298171</v>
      </c>
      <c r="AV22" s="40">
        <f t="shared" ca="1" si="125"/>
        <v>7884.1256374122713</v>
      </c>
      <c r="AW22" s="40">
        <f t="shared" ca="1" si="125"/>
        <v>9855.1570467653382</v>
      </c>
      <c r="AX22" s="40">
        <f t="shared" ca="1" si="125"/>
        <v>12318.946308456674</v>
      </c>
      <c r="AY22" s="40">
        <f t="shared" ca="1" si="125"/>
        <v>15398.682885570843</v>
      </c>
      <c r="AZ22" s="40">
        <f t="shared" ca="1" si="125"/>
        <v>19248.353606963552</v>
      </c>
      <c r="BA22" s="40">
        <f t="shared" ca="1" si="125"/>
        <v>24060.442008704438</v>
      </c>
      <c r="BB22" s="40">
        <f t="shared" ca="1" si="125"/>
        <v>30075.552510880549</v>
      </c>
      <c r="BC22" s="40">
        <f t="shared" ca="1" si="125"/>
        <v>37594.440638600689</v>
      </c>
      <c r="BD22" s="40">
        <f t="shared" ca="1" si="125"/>
        <v>46993.050798250857</v>
      </c>
      <c r="BE22" s="40">
        <f t="shared" ca="1" si="125"/>
        <v>58741.313497813571</v>
      </c>
      <c r="BF22" s="40">
        <f t="shared" ca="1" si="125"/>
        <v>62558.862552594677</v>
      </c>
      <c r="BG22" s="40">
        <f t="shared" ca="1" si="125"/>
        <v>62558.862552594677</v>
      </c>
      <c r="BH22" s="40">
        <f t="shared" ca="1" si="125"/>
        <v>62558.862552594677</v>
      </c>
      <c r="BI22" s="40">
        <f t="shared" ca="1" si="125"/>
        <v>62558.862552594677</v>
      </c>
      <c r="BJ22" s="40">
        <f t="shared" ca="1" si="125"/>
        <v>62558.862552594677</v>
      </c>
      <c r="BK22" s="40">
        <f t="shared" ca="1" si="125"/>
        <v>62558.862552594677</v>
      </c>
      <c r="BL22" s="40">
        <f t="shared" ca="1" si="125"/>
        <v>62558.862552594677</v>
      </c>
      <c r="BM22" s="40">
        <f t="shared" ca="1" si="125"/>
        <v>62558.862552594677</v>
      </c>
      <c r="BN22" s="40">
        <f t="shared" ca="1" si="125"/>
        <v>62558.862552594677</v>
      </c>
      <c r="BO22" s="40">
        <f t="shared" ca="1" si="125"/>
        <v>62558.862552594677</v>
      </c>
      <c r="BP22" s="40">
        <f t="shared" ca="1" si="125"/>
        <v>62558.862552594677</v>
      </c>
      <c r="BQ22" s="40">
        <f t="shared" ca="1" si="125"/>
        <v>62558.862552594677</v>
      </c>
      <c r="BR22" s="40">
        <f t="shared" ca="1" si="125"/>
        <v>62558.862552594677</v>
      </c>
      <c r="BS22" s="40">
        <f t="shared" ca="1" si="125"/>
        <v>62558.862552594677</v>
      </c>
      <c r="BT22" s="40">
        <f t="shared" ca="1" si="126"/>
        <v>62558.862552594677</v>
      </c>
      <c r="BU22" s="40">
        <f t="shared" ca="1" si="126"/>
        <v>62558.862552594677</v>
      </c>
      <c r="BV22" s="40">
        <f t="shared" ca="1" si="126"/>
        <v>62558.862552594677</v>
      </c>
      <c r="BW22" s="40">
        <f t="shared" ca="1" si="126"/>
        <v>62558.862552594677</v>
      </c>
      <c r="BX22" s="40">
        <f t="shared" ca="1" si="126"/>
        <v>62558.862552594677</v>
      </c>
      <c r="BY22" s="40">
        <f t="shared" ca="1" si="126"/>
        <v>62558.862552594677</v>
      </c>
      <c r="BZ22" s="40">
        <f t="shared" ca="1" si="126"/>
        <v>62558.862552594677</v>
      </c>
      <c r="CA22" s="40">
        <f t="shared" ca="1" si="126"/>
        <v>62558.862552594677</v>
      </c>
      <c r="CB22" s="40">
        <f t="shared" ca="1" si="126"/>
        <v>62558.862552594677</v>
      </c>
      <c r="CC22" s="40">
        <f t="shared" ca="1" si="126"/>
        <v>62558.862552594677</v>
      </c>
      <c r="CD22" s="40">
        <f t="shared" ca="1" si="126"/>
        <v>62558.862552594677</v>
      </c>
      <c r="CE22" s="40">
        <f t="shared" ca="1" si="126"/>
        <v>62558.862552594677</v>
      </c>
      <c r="CF22" s="40">
        <f t="shared" ca="1" si="126"/>
        <v>62558.862552594677</v>
      </c>
      <c r="CG22" s="40">
        <f t="shared" ca="1" si="126"/>
        <v>62558.862552594677</v>
      </c>
      <c r="CH22" s="40">
        <f t="shared" ca="1" si="126"/>
        <v>62558.862552594677</v>
      </c>
      <c r="CI22" s="40">
        <f t="shared" ca="1" si="126"/>
        <v>62558.862552594677</v>
      </c>
      <c r="CJ22" s="40">
        <f t="shared" ca="1" si="126"/>
        <v>62558.862552594677</v>
      </c>
      <c r="CK22" s="40">
        <f t="shared" ca="1" si="126"/>
        <v>62558.862552594677</v>
      </c>
      <c r="CL22" s="40">
        <f t="shared" ca="1" si="126"/>
        <v>62558.862552594677</v>
      </c>
      <c r="CM22" s="40">
        <f t="shared" ca="1" si="126"/>
        <v>62558.862552594677</v>
      </c>
      <c r="CN22" s="40">
        <f t="shared" ca="1" si="126"/>
        <v>62558.862552594677</v>
      </c>
      <c r="CO22" s="40">
        <f t="shared" ca="1" si="126"/>
        <v>62558.862552594677</v>
      </c>
      <c r="CP22" s="40">
        <f t="shared" ca="1" si="126"/>
        <v>62558.862552594677</v>
      </c>
      <c r="CQ22" s="40">
        <f t="shared" ca="1" si="126"/>
        <v>62558.862552594677</v>
      </c>
      <c r="CR22" s="40">
        <f t="shared" ca="1" si="126"/>
        <v>62558.862552594677</v>
      </c>
      <c r="CS22" s="40">
        <f t="shared" ca="1" si="126"/>
        <v>62558.862552594677</v>
      </c>
      <c r="CT22" s="40">
        <f t="shared" ca="1" si="126"/>
        <v>62558.862552594677</v>
      </c>
      <c r="CU22" s="40">
        <f t="shared" ca="1" si="126"/>
        <v>62558.862552594677</v>
      </c>
      <c r="CV22" s="40">
        <f t="shared" ca="1" si="126"/>
        <v>62558.862552594677</v>
      </c>
      <c r="CW22" s="40">
        <f t="shared" ca="1" si="126"/>
        <v>62558.862552594677</v>
      </c>
      <c r="CX22" s="40">
        <f t="shared" ca="1" si="126"/>
        <v>62558.862552594677</v>
      </c>
      <c r="CY22" s="40">
        <f t="shared" ca="1" si="126"/>
        <v>62558.862552594677</v>
      </c>
      <c r="CZ22" s="40">
        <f t="shared" ca="1" si="126"/>
        <v>62558.862552594677</v>
      </c>
      <c r="DA22" s="40">
        <f t="shared" ca="1" si="126"/>
        <v>62558.862552594677</v>
      </c>
      <c r="DB22" s="40">
        <f t="shared" ca="1" si="126"/>
        <v>62558.862552594677</v>
      </c>
      <c r="DC22" s="40">
        <f t="shared" ca="1" si="126"/>
        <v>62558.862552594677</v>
      </c>
      <c r="DD22" s="40">
        <f t="shared" ca="1" si="126"/>
        <v>62558.862552594677</v>
      </c>
      <c r="DE22" s="40">
        <f t="shared" ca="1" si="126"/>
        <v>62558.862552594677</v>
      </c>
      <c r="DF22" s="40">
        <f t="shared" ca="1" si="126"/>
        <v>62558.862552594677</v>
      </c>
      <c r="DG22" s="40">
        <f t="shared" ca="1" si="126"/>
        <v>62558.862552594677</v>
      </c>
      <c r="DH22" s="40">
        <f t="shared" ca="1" si="126"/>
        <v>62558.862552594677</v>
      </c>
      <c r="DI22" s="40">
        <f t="shared" ca="1" si="126"/>
        <v>62558.862552594677</v>
      </c>
      <c r="DJ22" s="40">
        <f t="shared" ca="1" si="126"/>
        <v>62558.862552594677</v>
      </c>
      <c r="DK22" s="40">
        <f t="shared" ca="1" si="126"/>
        <v>62558.862552594677</v>
      </c>
      <c r="DL22" s="40">
        <f t="shared" ca="1" si="126"/>
        <v>62558.862552594677</v>
      </c>
      <c r="DM22" s="40">
        <f t="shared" ca="1" si="126"/>
        <v>62558.862552594677</v>
      </c>
      <c r="DN22" s="40">
        <f t="shared" ca="1" si="126"/>
        <v>62558.862552594677</v>
      </c>
      <c r="DO22" s="40">
        <f t="shared" ca="1" si="126"/>
        <v>62558.862552594677</v>
      </c>
      <c r="DP22" s="40">
        <f t="shared" ca="1" si="126"/>
        <v>62558.862552594677</v>
      </c>
      <c r="DQ22" s="40">
        <f t="shared" ca="1" si="126"/>
        <v>62558.862552594677</v>
      </c>
      <c r="DR22" s="40">
        <f t="shared" ca="1" si="126"/>
        <v>62558.862552594677</v>
      </c>
      <c r="DS22" s="40">
        <f t="shared" ca="1" si="126"/>
        <v>62558.862552594677</v>
      </c>
      <c r="DT22" s="40">
        <f t="shared" ca="1" si="126"/>
        <v>62558.862552594677</v>
      </c>
      <c r="DU22" s="40">
        <f t="shared" ca="1" si="126"/>
        <v>62558.862552594677</v>
      </c>
      <c r="DV22" s="40">
        <f t="shared" ca="1" si="126"/>
        <v>62558.862552594677</v>
      </c>
      <c r="DW22" s="40">
        <f t="shared" ca="1" si="126"/>
        <v>62558.862552594677</v>
      </c>
      <c r="DX22" s="40">
        <f t="shared" ca="1" si="126"/>
        <v>62558.862552594677</v>
      </c>
      <c r="DY22" s="40">
        <f t="shared" ca="1" si="126"/>
        <v>62558.862552594677</v>
      </c>
      <c r="DZ22" s="40">
        <f t="shared" ca="1" si="126"/>
        <v>62558.862552594677</v>
      </c>
      <c r="EA22" s="40">
        <f t="shared" ca="1" si="126"/>
        <v>62558.862552594677</v>
      </c>
      <c r="EB22" s="40">
        <f t="shared" ca="1" si="126"/>
        <v>62558.862552594677</v>
      </c>
      <c r="EC22" s="40">
        <f t="shared" ca="1" si="126"/>
        <v>62558.862552594677</v>
      </c>
      <c r="ED22" s="40">
        <f t="shared" ca="1" si="126"/>
        <v>62558.862552594677</v>
      </c>
      <c r="EE22" s="40">
        <f t="shared" ca="1" si="126"/>
        <v>62558.862552594677</v>
      </c>
      <c r="EF22" s="40">
        <f t="shared" ca="1" si="127"/>
        <v>62558.862552594677</v>
      </c>
      <c r="EG22" s="40">
        <f t="shared" ca="1" si="127"/>
        <v>62558.862552594677</v>
      </c>
      <c r="EH22" s="40">
        <f t="shared" ca="1" si="127"/>
        <v>62558.862552594677</v>
      </c>
      <c r="EI22" s="40">
        <f t="shared" ca="1" si="127"/>
        <v>62558.862552594677</v>
      </c>
      <c r="EJ22" s="40">
        <f t="shared" ca="1" si="127"/>
        <v>62558.862552594677</v>
      </c>
      <c r="EK22" s="40">
        <f t="shared" ca="1" si="127"/>
        <v>62558.862552594677</v>
      </c>
      <c r="EL22" s="40">
        <f t="shared" ca="1" si="127"/>
        <v>62558.862552594677</v>
      </c>
      <c r="EM22" s="40">
        <f t="shared" ca="1" si="127"/>
        <v>62558.862552594677</v>
      </c>
      <c r="EN22" s="40">
        <f t="shared" ca="1" si="127"/>
        <v>62558.862552594677</v>
      </c>
      <c r="EO22" s="40">
        <f t="shared" ca="1" si="127"/>
        <v>62558.862552594677</v>
      </c>
      <c r="EP22" s="40">
        <f t="shared" ca="1" si="127"/>
        <v>62558.862552594677</v>
      </c>
      <c r="EQ22" s="40">
        <f t="shared" ca="1" si="127"/>
        <v>62558.862552594677</v>
      </c>
      <c r="ER22" s="40">
        <f t="shared" ca="1" si="127"/>
        <v>62558.862552594677</v>
      </c>
      <c r="ES22" s="40">
        <f t="shared" ca="1" si="127"/>
        <v>62558.862552594677</v>
      </c>
      <c r="ET22" s="40">
        <f t="shared" ca="1" si="127"/>
        <v>62558.862552594677</v>
      </c>
      <c r="EU22" s="40">
        <f t="shared" ca="1" si="127"/>
        <v>62558.862552594677</v>
      </c>
      <c r="EV22" s="40">
        <f t="shared" ca="1" si="127"/>
        <v>62558.862552594677</v>
      </c>
      <c r="EW22" s="40">
        <f t="shared" ca="1" si="127"/>
        <v>62558.862552594677</v>
      </c>
      <c r="EX22" s="40">
        <f t="shared" ca="1" si="127"/>
        <v>62558.862552594677</v>
      </c>
      <c r="EY22" s="40">
        <f t="shared" ca="1" si="127"/>
        <v>62558.862552594677</v>
      </c>
      <c r="EZ22" s="40">
        <f t="shared" ca="1" si="127"/>
        <v>62558.862552594677</v>
      </c>
      <c r="FA22" s="40">
        <f t="shared" ca="1" si="127"/>
        <v>62558.862552594677</v>
      </c>
      <c r="FB22" s="40">
        <f t="shared" ca="1" si="127"/>
        <v>62558.862552594677</v>
      </c>
      <c r="FC22" s="40">
        <f t="shared" ca="1" si="127"/>
        <v>62558.862552594677</v>
      </c>
      <c r="FD22" s="40">
        <f t="shared" ca="1" si="127"/>
        <v>62558.862552594677</v>
      </c>
      <c r="FE22" s="40">
        <f t="shared" ca="1" si="127"/>
        <v>62558.862552594677</v>
      </c>
      <c r="FF22" s="40">
        <f t="shared" ca="1" si="127"/>
        <v>62558.862552594677</v>
      </c>
      <c r="FG22" s="40">
        <f t="shared" ca="1" si="127"/>
        <v>62558.862552594677</v>
      </c>
      <c r="FH22" s="40">
        <f t="shared" ca="1" si="127"/>
        <v>62558.862552594677</v>
      </c>
      <c r="FI22" s="40">
        <f t="shared" ca="1" si="127"/>
        <v>62558.862552594677</v>
      </c>
      <c r="FJ22" s="40">
        <f t="shared" ca="1" si="127"/>
        <v>62558.862552594677</v>
      </c>
      <c r="FK22" s="40">
        <f t="shared" ca="1" si="127"/>
        <v>62558.862552594677</v>
      </c>
      <c r="FL22" s="40">
        <f t="shared" ca="1" si="127"/>
        <v>62558.862552594677</v>
      </c>
      <c r="FM22" s="40">
        <f t="shared" ca="1" si="127"/>
        <v>62558.862552594677</v>
      </c>
      <c r="FN22" s="40">
        <f t="shared" ca="1" si="127"/>
        <v>62558.862552594677</v>
      </c>
      <c r="FO22" s="40">
        <f t="shared" ca="1" si="127"/>
        <v>62558.862552594677</v>
      </c>
      <c r="FP22" s="40">
        <f t="shared" ca="1" si="127"/>
        <v>62558.862552594677</v>
      </c>
      <c r="FQ22" s="40">
        <f t="shared" ca="1" si="127"/>
        <v>62558.862552594677</v>
      </c>
      <c r="FR22" s="40">
        <f t="shared" ca="1" si="127"/>
        <v>62558.862552594677</v>
      </c>
      <c r="FS22" s="40">
        <f t="shared" ca="1" si="127"/>
        <v>62558.862552594677</v>
      </c>
      <c r="FT22" s="40">
        <f t="shared" ca="1" si="127"/>
        <v>62558.862552594677</v>
      </c>
      <c r="FU22" s="40">
        <f t="shared" ca="1" si="127"/>
        <v>62558.862552594677</v>
      </c>
      <c r="FV22" s="40">
        <f t="shared" ca="1" si="127"/>
        <v>62558.862552594677</v>
      </c>
      <c r="FW22" s="40">
        <f t="shared" ca="1" si="127"/>
        <v>62558.862552594677</v>
      </c>
      <c r="FX22" s="40">
        <f t="shared" ca="1" si="127"/>
        <v>62558.862552594677</v>
      </c>
      <c r="FY22" s="40">
        <f t="shared" ca="1" si="127"/>
        <v>62558.862552594677</v>
      </c>
      <c r="FZ22" s="40">
        <f t="shared" ca="1" si="127"/>
        <v>62558.862552594677</v>
      </c>
      <c r="GA22" s="40">
        <f t="shared" ca="1" si="127"/>
        <v>62558.862552594677</v>
      </c>
      <c r="GB22" s="40">
        <f t="shared" ca="1" si="127"/>
        <v>62558.862552594677</v>
      </c>
      <c r="GC22" s="40">
        <f t="shared" ca="1" si="127"/>
        <v>62558.862552594677</v>
      </c>
      <c r="GD22" s="40">
        <f t="shared" ca="1" si="127"/>
        <v>62558.862552594677</v>
      </c>
      <c r="GE22" s="40">
        <f t="shared" ca="1" si="127"/>
        <v>62558.862552594677</v>
      </c>
      <c r="GF22" s="40">
        <f t="shared" ca="1" si="127"/>
        <v>62558.862552594677</v>
      </c>
      <c r="GG22" s="40">
        <f t="shared" ca="1" si="127"/>
        <v>62558.862552594677</v>
      </c>
      <c r="GH22" s="40">
        <f t="shared" ca="1" si="127"/>
        <v>62558.862552594677</v>
      </c>
      <c r="GI22" s="40">
        <f t="shared" ca="1" si="127"/>
        <v>62558.862552594677</v>
      </c>
      <c r="GJ22" s="40">
        <f t="shared" ca="1" si="127"/>
        <v>62558.862552594677</v>
      </c>
      <c r="GK22" s="40">
        <f t="shared" ca="1" si="127"/>
        <v>62558.862552594677</v>
      </c>
      <c r="GL22" s="40">
        <f t="shared" ca="1" si="127"/>
        <v>62558.862552594677</v>
      </c>
      <c r="GM22" s="40">
        <f t="shared" ca="1" si="127"/>
        <v>62558.862552594677</v>
      </c>
      <c r="GN22" s="40">
        <f t="shared" ca="1" si="127"/>
        <v>62558.862552594677</v>
      </c>
      <c r="GO22" s="40">
        <f t="shared" ca="1" si="127"/>
        <v>62558.862552594677</v>
      </c>
      <c r="GP22" s="40">
        <f t="shared" ca="1" si="127"/>
        <v>62558.862552594677</v>
      </c>
      <c r="GQ22" s="40">
        <f t="shared" ca="1" si="127"/>
        <v>62558.862552594677</v>
      </c>
      <c r="GR22" s="40">
        <f t="shared" ca="1" si="128"/>
        <v>62558.862552594677</v>
      </c>
      <c r="GS22" s="40">
        <f t="shared" ca="1" si="128"/>
        <v>62558.862552594677</v>
      </c>
      <c r="GT22" s="40">
        <f t="shared" ca="1" si="128"/>
        <v>62558.862552594677</v>
      </c>
      <c r="GU22" s="40">
        <f t="shared" ca="1" si="128"/>
        <v>62558.862552594677</v>
      </c>
      <c r="GV22" s="40">
        <f t="shared" ca="1" si="128"/>
        <v>62558.862552594677</v>
      </c>
      <c r="GW22" s="40">
        <f t="shared" ca="1" si="128"/>
        <v>62558.862552594677</v>
      </c>
      <c r="GX22" s="40">
        <f t="shared" ca="1" si="128"/>
        <v>62558.862552594677</v>
      </c>
      <c r="GY22" s="40">
        <f t="shared" ca="1" si="128"/>
        <v>62558.862552594677</v>
      </c>
      <c r="GZ22" s="40">
        <f t="shared" ca="1" si="128"/>
        <v>62558.862552594677</v>
      </c>
      <c r="HA22" s="40">
        <f t="shared" ca="1" si="128"/>
        <v>62558.862552594677</v>
      </c>
      <c r="HB22" s="40">
        <f t="shared" ca="1" si="128"/>
        <v>62558.862552594677</v>
      </c>
      <c r="HC22" s="40">
        <f t="shared" ca="1" si="128"/>
        <v>62558.862552594677</v>
      </c>
      <c r="HD22" s="40">
        <f t="shared" ca="1" si="128"/>
        <v>62558.862552594677</v>
      </c>
      <c r="HE22" s="40">
        <f t="shared" ca="1" si="128"/>
        <v>62558.862552594677</v>
      </c>
      <c r="HF22" s="40">
        <f t="shared" ca="1" si="128"/>
        <v>62558.862552594677</v>
      </c>
      <c r="HG22" s="40">
        <f t="shared" ca="1" si="128"/>
        <v>62558.862552594677</v>
      </c>
      <c r="HH22" s="40">
        <f t="shared" ca="1" si="128"/>
        <v>62558.862552594677</v>
      </c>
      <c r="HI22" s="40">
        <f t="shared" ca="1" si="128"/>
        <v>62558.862552594677</v>
      </c>
      <c r="HJ22" s="40">
        <f t="shared" ca="1" si="128"/>
        <v>62558.862552594677</v>
      </c>
      <c r="HK22" s="40">
        <f t="shared" ca="1" si="128"/>
        <v>62558.862552594677</v>
      </c>
      <c r="HL22" s="40">
        <f t="shared" ca="1" si="128"/>
        <v>62558.862552594677</v>
      </c>
      <c r="HM22" s="40">
        <f t="shared" ca="1" si="128"/>
        <v>62558.862552594677</v>
      </c>
      <c r="HN22" s="40">
        <f t="shared" ca="1" si="128"/>
        <v>62558.862552594677</v>
      </c>
      <c r="HO22" s="40">
        <f t="shared" ca="1" si="128"/>
        <v>62558.862552594677</v>
      </c>
      <c r="HP22" s="40">
        <f t="shared" ca="1" si="128"/>
        <v>62558.862552594677</v>
      </c>
      <c r="HQ22" s="40">
        <f t="shared" ca="1" si="128"/>
        <v>62558.862552594677</v>
      </c>
      <c r="HR22" s="40">
        <f t="shared" ca="1" si="128"/>
        <v>62558.862552594677</v>
      </c>
      <c r="HS22" s="40">
        <f t="shared" ca="1" si="128"/>
        <v>62558.862552594677</v>
      </c>
      <c r="HT22" s="40">
        <f t="shared" ca="1" si="128"/>
        <v>62558.862552594677</v>
      </c>
      <c r="HU22" s="40">
        <f t="shared" ca="1" si="128"/>
        <v>62558.862552594677</v>
      </c>
      <c r="HV22" s="40">
        <f t="shared" ca="1" si="128"/>
        <v>62558.862552594677</v>
      </c>
      <c r="HW22" s="40">
        <f t="shared" ca="1" si="128"/>
        <v>62558.862552594677</v>
      </c>
      <c r="HX22" s="40">
        <f t="shared" ca="1" si="128"/>
        <v>62558.862552594677</v>
      </c>
      <c r="HY22" s="40">
        <f t="shared" ca="1" si="128"/>
        <v>62558.862552594677</v>
      </c>
      <c r="HZ22" s="40">
        <f t="shared" ca="1" si="128"/>
        <v>62558.862552594677</v>
      </c>
      <c r="IA22" s="40">
        <f t="shared" ca="1" si="128"/>
        <v>62558.862552594677</v>
      </c>
      <c r="IB22" s="40">
        <f t="shared" ca="1" si="128"/>
        <v>62558.862552594677</v>
      </c>
      <c r="IC22" s="40">
        <f t="shared" ca="1" si="128"/>
        <v>62558.862552594677</v>
      </c>
      <c r="ID22" s="40">
        <f t="shared" ca="1" si="128"/>
        <v>62558.862552594677</v>
      </c>
      <c r="IE22" s="40">
        <f t="shared" ca="1" si="128"/>
        <v>62558.862552594677</v>
      </c>
      <c r="IF22" s="40">
        <f t="shared" ca="1" si="128"/>
        <v>62558.862552594677</v>
      </c>
      <c r="IG22" s="40">
        <f t="shared" ca="1" si="128"/>
        <v>62558.862552594677</v>
      </c>
      <c r="IH22" s="40">
        <f t="shared" ca="1" si="128"/>
        <v>62558.862552594677</v>
      </c>
      <c r="II22" s="40">
        <f t="shared" ca="1" si="128"/>
        <v>62558.862552594677</v>
      </c>
      <c r="IJ22" s="40">
        <f t="shared" ca="1" si="128"/>
        <v>62558.862552594677</v>
      </c>
      <c r="IK22" s="40">
        <f t="shared" ca="1" si="128"/>
        <v>62558.862552594677</v>
      </c>
      <c r="IL22" s="40">
        <f t="shared" ca="1" si="128"/>
        <v>62558.862552594677</v>
      </c>
      <c r="IM22" s="40">
        <f t="shared" ca="1" si="128"/>
        <v>62558.862552594677</v>
      </c>
      <c r="IN22" s="40">
        <f t="shared" ca="1" si="128"/>
        <v>62558.862552594677</v>
      </c>
    </row>
    <row r="23" spans="2:248" x14ac:dyDescent="0.3">
      <c r="B23" s="19" t="s">
        <v>500</v>
      </c>
      <c r="C23" s="54">
        <f>IF(VLOOKUP(B2,Country_Data!C:I,7,FALSE)="","Not initiated",VLOOKUP(B2,Country_Data!C:I,7,FALSE))</f>
        <v>43905</v>
      </c>
      <c r="F23" s="19" t="s">
        <v>494</v>
      </c>
      <c r="G23" s="40">
        <f t="shared" si="129"/>
        <v>1.2681159420289856</v>
      </c>
      <c r="H23" s="40">
        <f t="shared" ref="H23:BS23" ca="1" si="130">H12*$C$15</f>
        <v>1.6444600280504909</v>
      </c>
      <c r="I23" s="40">
        <f t="shared" ca="1" si="130"/>
        <v>1.9471715755025714</v>
      </c>
      <c r="J23" s="40">
        <f t="shared" ca="1" si="130"/>
        <v>1.9471715755025714</v>
      </c>
      <c r="K23" s="40">
        <f t="shared" ca="1" si="130"/>
        <v>3.5507246376811596</v>
      </c>
      <c r="L23" s="40">
        <f t="shared" ca="1" si="130"/>
        <v>4.3934081346423568</v>
      </c>
      <c r="M23" s="40">
        <f t="shared" ca="1" si="130"/>
        <v>5.1706404862085087</v>
      </c>
      <c r="N23" s="40">
        <f t="shared" ca="1" si="130"/>
        <v>6.103319308087892</v>
      </c>
      <c r="O23" s="40">
        <f t="shared" ca="1" si="130"/>
        <v>7.5432445067788692</v>
      </c>
      <c r="P23" s="40">
        <f t="shared" ca="1" si="130"/>
        <v>9.343151005142591</v>
      </c>
      <c r="Q23" s="40">
        <f t="shared" ca="1" si="130"/>
        <v>10.684899485741001</v>
      </c>
      <c r="R23" s="40">
        <f t="shared" ca="1" si="130"/>
        <v>10.635811126694717</v>
      </c>
      <c r="S23" s="40">
        <f t="shared" ca="1" si="130"/>
        <v>13.597475455820478</v>
      </c>
      <c r="T23" s="40">
        <f t="shared" ca="1" si="130"/>
        <v>15.250116877045349</v>
      </c>
      <c r="U23" s="40">
        <f t="shared" ca="1" si="130"/>
        <v>21.350163627863488</v>
      </c>
      <c r="V23" s="40">
        <f t="shared" ca="1" si="130"/>
        <v>29.890229079008879</v>
      </c>
      <c r="W23" s="40">
        <f t="shared" ca="1" si="130"/>
        <v>41.846320710612432</v>
      </c>
      <c r="X23" s="40">
        <f t="shared" ca="1" si="130"/>
        <v>58.584848994857396</v>
      </c>
      <c r="Y23" s="40">
        <f t="shared" ca="1" si="130"/>
        <v>82.018788592800348</v>
      </c>
      <c r="Z23" s="40">
        <f t="shared" ca="1" si="130"/>
        <v>114.82630402992049</v>
      </c>
      <c r="AA23" s="40">
        <f t="shared" ca="1" si="130"/>
        <v>160.7568256418887</v>
      </c>
      <c r="AB23" s="40">
        <f t="shared" ca="1" si="130"/>
        <v>225.05955589864413</v>
      </c>
      <c r="AC23" s="40">
        <f t="shared" ca="1" si="130"/>
        <v>315.08337825810179</v>
      </c>
      <c r="AD23" s="40">
        <f t="shared" ca="1" si="130"/>
        <v>441.11672956134242</v>
      </c>
      <c r="AE23" s="40">
        <f t="shared" ca="1" si="130"/>
        <v>617.56342138587934</v>
      </c>
      <c r="AF23" s="40">
        <f t="shared" ca="1" si="130"/>
        <v>864.58878994023098</v>
      </c>
      <c r="AG23" s="40">
        <f t="shared" ca="1" si="130"/>
        <v>1210.4243059163234</v>
      </c>
      <c r="AH23" s="40">
        <f t="shared" ca="1" si="130"/>
        <v>1694.5940282828526</v>
      </c>
      <c r="AI23" s="40">
        <f t="shared" ca="1" si="130"/>
        <v>2372.4316395959936</v>
      </c>
      <c r="AJ23" s="40">
        <f t="shared" ca="1" si="130"/>
        <v>3321.4042954343909</v>
      </c>
      <c r="AK23" s="40">
        <f t="shared" ca="1" si="130"/>
        <v>4649.9660136081475</v>
      </c>
      <c r="AL23" s="40">
        <f t="shared" ca="1" si="130"/>
        <v>6509.9524190514057</v>
      </c>
      <c r="AM23" s="40">
        <f t="shared" ca="1" si="130"/>
        <v>9113.933386671968</v>
      </c>
      <c r="AN23" s="40">
        <f t="shared" ca="1" si="130"/>
        <v>12759.506741340754</v>
      </c>
      <c r="AO23" s="40">
        <f t="shared" ca="1" si="130"/>
        <v>17863.309437877051</v>
      </c>
      <c r="AP23" s="40">
        <f t="shared" ca="1" si="130"/>
        <v>25008.633213027872</v>
      </c>
      <c r="AQ23" s="40">
        <f t="shared" ca="1" si="130"/>
        <v>35012.086498239019</v>
      </c>
      <c r="AR23" s="40">
        <f t="shared" ca="1" si="130"/>
        <v>49016.921097534621</v>
      </c>
      <c r="AS23" s="40">
        <f t="shared" ca="1" si="130"/>
        <v>62558.862552594677</v>
      </c>
      <c r="AT23" s="40">
        <f t="shared" ca="1" si="130"/>
        <v>62558.862552594677</v>
      </c>
      <c r="AU23" s="40">
        <f t="shared" ca="1" si="130"/>
        <v>62558.862552594677</v>
      </c>
      <c r="AV23" s="40">
        <f t="shared" ca="1" si="130"/>
        <v>62558.862552594677</v>
      </c>
      <c r="AW23" s="40">
        <f t="shared" ca="1" si="130"/>
        <v>62558.862552594677</v>
      </c>
      <c r="AX23" s="40">
        <f t="shared" ca="1" si="130"/>
        <v>62558.862552594677</v>
      </c>
      <c r="AY23" s="40">
        <f t="shared" ca="1" si="130"/>
        <v>62558.862552594677</v>
      </c>
      <c r="AZ23" s="40">
        <f t="shared" ca="1" si="130"/>
        <v>62558.862552594677</v>
      </c>
      <c r="BA23" s="40">
        <f t="shared" ca="1" si="130"/>
        <v>62558.862552594677</v>
      </c>
      <c r="BB23" s="40">
        <f t="shared" ca="1" si="130"/>
        <v>62558.862552594677</v>
      </c>
      <c r="BC23" s="40">
        <f t="shared" ca="1" si="130"/>
        <v>62558.862552594677</v>
      </c>
      <c r="BD23" s="40">
        <f t="shared" ca="1" si="130"/>
        <v>62558.862552594677</v>
      </c>
      <c r="BE23" s="40">
        <f t="shared" ca="1" si="130"/>
        <v>62558.862552594677</v>
      </c>
      <c r="BF23" s="40">
        <f t="shared" ca="1" si="130"/>
        <v>62558.862552594677</v>
      </c>
      <c r="BG23" s="40">
        <f t="shared" ca="1" si="130"/>
        <v>62558.862552594677</v>
      </c>
      <c r="BH23" s="40">
        <f t="shared" ca="1" si="130"/>
        <v>62558.862552594677</v>
      </c>
      <c r="BI23" s="40">
        <f t="shared" ca="1" si="130"/>
        <v>62558.862552594677</v>
      </c>
      <c r="BJ23" s="40">
        <f t="shared" ca="1" si="130"/>
        <v>62558.862552594677</v>
      </c>
      <c r="BK23" s="40">
        <f t="shared" ca="1" si="130"/>
        <v>62558.862552594677</v>
      </c>
      <c r="BL23" s="40">
        <f t="shared" ca="1" si="130"/>
        <v>62558.862552594677</v>
      </c>
      <c r="BM23" s="40">
        <f t="shared" ca="1" si="130"/>
        <v>62558.862552594677</v>
      </c>
      <c r="BN23" s="40">
        <f t="shared" ca="1" si="130"/>
        <v>62558.862552594677</v>
      </c>
      <c r="BO23" s="40">
        <f t="shared" ca="1" si="130"/>
        <v>62558.862552594677</v>
      </c>
      <c r="BP23" s="40">
        <f t="shared" ca="1" si="130"/>
        <v>62558.862552594677</v>
      </c>
      <c r="BQ23" s="40">
        <f t="shared" ca="1" si="130"/>
        <v>62558.862552594677</v>
      </c>
      <c r="BR23" s="40">
        <f t="shared" ca="1" si="130"/>
        <v>62558.862552594677</v>
      </c>
      <c r="BS23" s="40">
        <f t="shared" ca="1" si="130"/>
        <v>62558.862552594677</v>
      </c>
      <c r="BT23" s="40">
        <f t="shared" ca="1" si="126"/>
        <v>62558.862552594677</v>
      </c>
      <c r="BU23" s="40">
        <f t="shared" ca="1" si="126"/>
        <v>62558.862552594677</v>
      </c>
      <c r="BV23" s="40">
        <f t="shared" ca="1" si="126"/>
        <v>62558.862552594677</v>
      </c>
      <c r="BW23" s="40">
        <f t="shared" ca="1" si="126"/>
        <v>62558.862552594677</v>
      </c>
      <c r="BX23" s="40">
        <f t="shared" ca="1" si="126"/>
        <v>62558.862552594677</v>
      </c>
      <c r="BY23" s="40">
        <f t="shared" ca="1" si="126"/>
        <v>62558.862552594677</v>
      </c>
      <c r="BZ23" s="40">
        <f t="shared" ca="1" si="126"/>
        <v>62558.862552594677</v>
      </c>
      <c r="CA23" s="40">
        <f t="shared" ca="1" si="126"/>
        <v>62558.862552594677</v>
      </c>
      <c r="CB23" s="40">
        <f t="shared" ca="1" si="126"/>
        <v>62558.862552594677</v>
      </c>
      <c r="CC23" s="40">
        <f t="shared" ca="1" si="126"/>
        <v>62558.862552594677</v>
      </c>
      <c r="CD23" s="40">
        <f t="shared" ca="1" si="126"/>
        <v>62558.862552594677</v>
      </c>
      <c r="CE23" s="40">
        <f t="shared" ca="1" si="126"/>
        <v>62558.862552594677</v>
      </c>
      <c r="CF23" s="40">
        <f t="shared" ca="1" si="126"/>
        <v>62558.862552594677</v>
      </c>
      <c r="CG23" s="40">
        <f t="shared" ca="1" si="126"/>
        <v>62558.862552594677</v>
      </c>
      <c r="CH23" s="40">
        <f t="shared" ca="1" si="126"/>
        <v>62558.862552594677</v>
      </c>
      <c r="CI23" s="40">
        <f t="shared" ca="1" si="126"/>
        <v>62558.862552594677</v>
      </c>
      <c r="CJ23" s="40">
        <f t="shared" ca="1" si="126"/>
        <v>62558.862552594677</v>
      </c>
      <c r="CK23" s="40">
        <f t="shared" ca="1" si="126"/>
        <v>62558.862552594677</v>
      </c>
      <c r="CL23" s="40">
        <f t="shared" ca="1" si="126"/>
        <v>62558.862552594677</v>
      </c>
      <c r="CM23" s="40">
        <f t="shared" ca="1" si="126"/>
        <v>62558.862552594677</v>
      </c>
      <c r="CN23" s="40">
        <f t="shared" ca="1" si="126"/>
        <v>62558.862552594677</v>
      </c>
      <c r="CO23" s="40">
        <f t="shared" ca="1" si="126"/>
        <v>62558.862552594677</v>
      </c>
      <c r="CP23" s="40">
        <f t="shared" ca="1" si="126"/>
        <v>62558.862552594677</v>
      </c>
      <c r="CQ23" s="40">
        <f t="shared" ca="1" si="126"/>
        <v>62558.862552594677</v>
      </c>
      <c r="CR23" s="40">
        <f t="shared" ca="1" si="126"/>
        <v>62558.862552594677</v>
      </c>
      <c r="CS23" s="40">
        <f t="shared" ca="1" si="126"/>
        <v>62558.862552594677</v>
      </c>
      <c r="CT23" s="40">
        <f t="shared" ca="1" si="126"/>
        <v>62558.862552594677</v>
      </c>
      <c r="CU23" s="40">
        <f t="shared" ca="1" si="126"/>
        <v>62558.862552594677</v>
      </c>
      <c r="CV23" s="40">
        <f t="shared" ca="1" si="126"/>
        <v>62558.862552594677</v>
      </c>
      <c r="CW23" s="40">
        <f t="shared" ca="1" si="126"/>
        <v>62558.862552594677</v>
      </c>
      <c r="CX23" s="40">
        <f t="shared" ca="1" si="126"/>
        <v>62558.862552594677</v>
      </c>
      <c r="CY23" s="40">
        <f t="shared" ca="1" si="126"/>
        <v>62558.862552594677</v>
      </c>
      <c r="CZ23" s="40">
        <f t="shared" ca="1" si="126"/>
        <v>62558.862552594677</v>
      </c>
      <c r="DA23" s="40">
        <f t="shared" ca="1" si="126"/>
        <v>62558.862552594677</v>
      </c>
      <c r="DB23" s="40">
        <f t="shared" ca="1" si="126"/>
        <v>62558.862552594677</v>
      </c>
      <c r="DC23" s="40">
        <f t="shared" ca="1" si="126"/>
        <v>62558.862552594677</v>
      </c>
      <c r="DD23" s="40">
        <f t="shared" ca="1" si="126"/>
        <v>62558.862552594677</v>
      </c>
      <c r="DE23" s="40">
        <f t="shared" ca="1" si="126"/>
        <v>62558.862552594677</v>
      </c>
      <c r="DF23" s="40">
        <f t="shared" ca="1" si="126"/>
        <v>62558.862552594677</v>
      </c>
      <c r="DG23" s="40">
        <f t="shared" ca="1" si="126"/>
        <v>62558.862552594677</v>
      </c>
      <c r="DH23" s="40">
        <f t="shared" ca="1" si="126"/>
        <v>62558.862552594677</v>
      </c>
      <c r="DI23" s="40">
        <f t="shared" ca="1" si="126"/>
        <v>62558.862552594677</v>
      </c>
      <c r="DJ23" s="40">
        <f t="shared" ca="1" si="126"/>
        <v>62558.862552594677</v>
      </c>
      <c r="DK23" s="40">
        <f t="shared" ca="1" si="126"/>
        <v>62558.862552594677</v>
      </c>
      <c r="DL23" s="40">
        <f t="shared" ca="1" si="126"/>
        <v>62558.862552594677</v>
      </c>
      <c r="DM23" s="40">
        <f t="shared" ca="1" si="126"/>
        <v>62558.862552594677</v>
      </c>
      <c r="DN23" s="40">
        <f t="shared" ca="1" si="126"/>
        <v>62558.862552594677</v>
      </c>
      <c r="DO23" s="40">
        <f t="shared" ca="1" si="126"/>
        <v>62558.862552594677</v>
      </c>
      <c r="DP23" s="40">
        <f t="shared" ca="1" si="126"/>
        <v>62558.862552594677</v>
      </c>
      <c r="DQ23" s="40">
        <f t="shared" ca="1" si="126"/>
        <v>62558.862552594677</v>
      </c>
      <c r="DR23" s="40">
        <f t="shared" ca="1" si="126"/>
        <v>62558.862552594677</v>
      </c>
      <c r="DS23" s="40">
        <f t="shared" ca="1" si="126"/>
        <v>62558.862552594677</v>
      </c>
      <c r="DT23" s="40">
        <f t="shared" ca="1" si="126"/>
        <v>62558.862552594677</v>
      </c>
      <c r="DU23" s="40">
        <f t="shared" ca="1" si="126"/>
        <v>62558.862552594677</v>
      </c>
      <c r="DV23" s="40">
        <f t="shared" ca="1" si="126"/>
        <v>62558.862552594677</v>
      </c>
      <c r="DW23" s="40">
        <f t="shared" ca="1" si="126"/>
        <v>62558.862552594677</v>
      </c>
      <c r="DX23" s="40">
        <f t="shared" ca="1" si="126"/>
        <v>62558.862552594677</v>
      </c>
      <c r="DY23" s="40">
        <f t="shared" ca="1" si="126"/>
        <v>62558.862552594677</v>
      </c>
      <c r="DZ23" s="40">
        <f t="shared" ca="1" si="126"/>
        <v>62558.862552594677</v>
      </c>
      <c r="EA23" s="40">
        <f t="shared" ca="1" si="126"/>
        <v>62558.862552594677</v>
      </c>
      <c r="EB23" s="40">
        <f t="shared" ca="1" si="126"/>
        <v>62558.862552594677</v>
      </c>
      <c r="EC23" s="40">
        <f t="shared" ca="1" si="126"/>
        <v>62558.862552594677</v>
      </c>
      <c r="ED23" s="40">
        <f t="shared" ca="1" si="126"/>
        <v>62558.862552594677</v>
      </c>
      <c r="EE23" s="40">
        <f t="shared" ca="1" si="126"/>
        <v>62558.862552594677</v>
      </c>
      <c r="EF23" s="40">
        <f t="shared" ca="1" si="127"/>
        <v>62558.862552594677</v>
      </c>
      <c r="EG23" s="40">
        <f t="shared" ca="1" si="127"/>
        <v>62558.862552594677</v>
      </c>
      <c r="EH23" s="40">
        <f t="shared" ca="1" si="127"/>
        <v>62558.862552594677</v>
      </c>
      <c r="EI23" s="40">
        <f t="shared" ca="1" si="127"/>
        <v>62558.862552594677</v>
      </c>
      <c r="EJ23" s="40">
        <f t="shared" ca="1" si="127"/>
        <v>62558.862552594677</v>
      </c>
      <c r="EK23" s="40">
        <f t="shared" ca="1" si="127"/>
        <v>62558.862552594677</v>
      </c>
      <c r="EL23" s="40">
        <f t="shared" ca="1" si="127"/>
        <v>62558.862552594677</v>
      </c>
      <c r="EM23" s="40">
        <f t="shared" ca="1" si="127"/>
        <v>62558.862552594677</v>
      </c>
      <c r="EN23" s="40">
        <f t="shared" ca="1" si="127"/>
        <v>62558.862552594677</v>
      </c>
      <c r="EO23" s="40">
        <f t="shared" ca="1" si="127"/>
        <v>62558.862552594677</v>
      </c>
      <c r="EP23" s="40">
        <f t="shared" ca="1" si="127"/>
        <v>62558.862552594677</v>
      </c>
      <c r="EQ23" s="40">
        <f t="shared" ca="1" si="127"/>
        <v>62558.862552594677</v>
      </c>
      <c r="ER23" s="40">
        <f t="shared" ca="1" si="127"/>
        <v>62558.862552594677</v>
      </c>
      <c r="ES23" s="40">
        <f t="shared" ca="1" si="127"/>
        <v>62558.862552594677</v>
      </c>
      <c r="ET23" s="40">
        <f t="shared" ca="1" si="127"/>
        <v>62558.862552594677</v>
      </c>
      <c r="EU23" s="40">
        <f t="shared" ca="1" si="127"/>
        <v>62558.862552594677</v>
      </c>
      <c r="EV23" s="40">
        <f t="shared" ca="1" si="127"/>
        <v>62558.862552594677</v>
      </c>
      <c r="EW23" s="40">
        <f t="shared" ca="1" si="127"/>
        <v>62558.862552594677</v>
      </c>
      <c r="EX23" s="40">
        <f t="shared" ca="1" si="127"/>
        <v>62558.862552594677</v>
      </c>
      <c r="EY23" s="40">
        <f t="shared" ca="1" si="127"/>
        <v>62558.862552594677</v>
      </c>
      <c r="EZ23" s="40">
        <f t="shared" ca="1" si="127"/>
        <v>62558.862552594677</v>
      </c>
      <c r="FA23" s="40">
        <f t="shared" ca="1" si="127"/>
        <v>62558.862552594677</v>
      </c>
      <c r="FB23" s="40">
        <f t="shared" ca="1" si="127"/>
        <v>62558.862552594677</v>
      </c>
      <c r="FC23" s="40">
        <f t="shared" ca="1" si="127"/>
        <v>62558.862552594677</v>
      </c>
      <c r="FD23" s="40">
        <f t="shared" ca="1" si="127"/>
        <v>62558.862552594677</v>
      </c>
      <c r="FE23" s="40">
        <f t="shared" ca="1" si="127"/>
        <v>62558.862552594677</v>
      </c>
      <c r="FF23" s="40">
        <f t="shared" ca="1" si="127"/>
        <v>62558.862552594677</v>
      </c>
      <c r="FG23" s="40">
        <f t="shared" ca="1" si="127"/>
        <v>62558.862552594677</v>
      </c>
      <c r="FH23" s="40">
        <f t="shared" ca="1" si="127"/>
        <v>62558.862552594677</v>
      </c>
      <c r="FI23" s="40">
        <f t="shared" ca="1" si="127"/>
        <v>62558.862552594677</v>
      </c>
      <c r="FJ23" s="40">
        <f t="shared" ca="1" si="127"/>
        <v>62558.862552594677</v>
      </c>
      <c r="FK23" s="40">
        <f t="shared" ca="1" si="127"/>
        <v>62558.862552594677</v>
      </c>
      <c r="FL23" s="40">
        <f t="shared" ca="1" si="127"/>
        <v>62558.862552594677</v>
      </c>
      <c r="FM23" s="40">
        <f t="shared" ca="1" si="127"/>
        <v>62558.862552594677</v>
      </c>
      <c r="FN23" s="40">
        <f t="shared" ca="1" si="127"/>
        <v>62558.862552594677</v>
      </c>
      <c r="FO23" s="40">
        <f t="shared" ca="1" si="127"/>
        <v>62558.862552594677</v>
      </c>
      <c r="FP23" s="40">
        <f t="shared" ca="1" si="127"/>
        <v>62558.862552594677</v>
      </c>
      <c r="FQ23" s="40">
        <f t="shared" ca="1" si="127"/>
        <v>62558.862552594677</v>
      </c>
      <c r="FR23" s="40">
        <f t="shared" ca="1" si="127"/>
        <v>62558.862552594677</v>
      </c>
      <c r="FS23" s="40">
        <f t="shared" ca="1" si="127"/>
        <v>62558.862552594677</v>
      </c>
      <c r="FT23" s="40">
        <f t="shared" ca="1" si="127"/>
        <v>62558.862552594677</v>
      </c>
      <c r="FU23" s="40">
        <f t="shared" ca="1" si="127"/>
        <v>62558.862552594677</v>
      </c>
      <c r="FV23" s="40">
        <f t="shared" ca="1" si="127"/>
        <v>62558.862552594677</v>
      </c>
      <c r="FW23" s="40">
        <f t="shared" ca="1" si="127"/>
        <v>62558.862552594677</v>
      </c>
      <c r="FX23" s="40">
        <f t="shared" ca="1" si="127"/>
        <v>62558.862552594677</v>
      </c>
      <c r="FY23" s="40">
        <f t="shared" ca="1" si="127"/>
        <v>62558.862552594677</v>
      </c>
      <c r="FZ23" s="40">
        <f t="shared" ca="1" si="127"/>
        <v>62558.862552594677</v>
      </c>
      <c r="GA23" s="40">
        <f t="shared" ca="1" si="127"/>
        <v>62558.862552594677</v>
      </c>
      <c r="GB23" s="40">
        <f t="shared" ca="1" si="127"/>
        <v>62558.862552594677</v>
      </c>
      <c r="GC23" s="40">
        <f t="shared" ca="1" si="127"/>
        <v>62558.862552594677</v>
      </c>
      <c r="GD23" s="40">
        <f t="shared" ca="1" si="127"/>
        <v>62558.862552594677</v>
      </c>
      <c r="GE23" s="40">
        <f t="shared" ca="1" si="127"/>
        <v>62558.862552594677</v>
      </c>
      <c r="GF23" s="40">
        <f t="shared" ca="1" si="127"/>
        <v>62558.862552594677</v>
      </c>
      <c r="GG23" s="40">
        <f t="shared" ca="1" si="127"/>
        <v>62558.862552594677</v>
      </c>
      <c r="GH23" s="40">
        <f t="shared" ca="1" si="127"/>
        <v>62558.862552594677</v>
      </c>
      <c r="GI23" s="40">
        <f t="shared" ca="1" si="127"/>
        <v>62558.862552594677</v>
      </c>
      <c r="GJ23" s="40">
        <f t="shared" ca="1" si="127"/>
        <v>62558.862552594677</v>
      </c>
      <c r="GK23" s="40">
        <f t="shared" ca="1" si="127"/>
        <v>62558.862552594677</v>
      </c>
      <c r="GL23" s="40">
        <f t="shared" ca="1" si="127"/>
        <v>62558.862552594677</v>
      </c>
      <c r="GM23" s="40">
        <f t="shared" ca="1" si="127"/>
        <v>62558.862552594677</v>
      </c>
      <c r="GN23" s="40">
        <f t="shared" ca="1" si="127"/>
        <v>62558.862552594677</v>
      </c>
      <c r="GO23" s="40">
        <f t="shared" ca="1" si="127"/>
        <v>62558.862552594677</v>
      </c>
      <c r="GP23" s="40">
        <f t="shared" ca="1" si="127"/>
        <v>62558.862552594677</v>
      </c>
      <c r="GQ23" s="40">
        <f t="shared" ca="1" si="127"/>
        <v>62558.862552594677</v>
      </c>
      <c r="GR23" s="40">
        <f t="shared" ca="1" si="128"/>
        <v>62558.862552594677</v>
      </c>
      <c r="GS23" s="40">
        <f t="shared" ca="1" si="128"/>
        <v>62558.862552594677</v>
      </c>
      <c r="GT23" s="40">
        <f t="shared" ca="1" si="128"/>
        <v>62558.862552594677</v>
      </c>
      <c r="GU23" s="40">
        <f t="shared" ca="1" si="128"/>
        <v>62558.862552594677</v>
      </c>
      <c r="GV23" s="40">
        <f t="shared" ca="1" si="128"/>
        <v>62558.862552594677</v>
      </c>
      <c r="GW23" s="40">
        <f t="shared" ca="1" si="128"/>
        <v>62558.862552594677</v>
      </c>
      <c r="GX23" s="40">
        <f t="shared" ca="1" si="128"/>
        <v>62558.862552594677</v>
      </c>
      <c r="GY23" s="40">
        <f t="shared" ca="1" si="128"/>
        <v>62558.862552594677</v>
      </c>
      <c r="GZ23" s="40">
        <f t="shared" ca="1" si="128"/>
        <v>62558.862552594677</v>
      </c>
      <c r="HA23" s="40">
        <f t="shared" ca="1" si="128"/>
        <v>62558.862552594677</v>
      </c>
      <c r="HB23" s="40">
        <f t="shared" ca="1" si="128"/>
        <v>62558.862552594677</v>
      </c>
      <c r="HC23" s="40">
        <f t="shared" ca="1" si="128"/>
        <v>62558.862552594677</v>
      </c>
      <c r="HD23" s="40">
        <f t="shared" ca="1" si="128"/>
        <v>62558.862552594677</v>
      </c>
      <c r="HE23" s="40">
        <f t="shared" ca="1" si="128"/>
        <v>62558.862552594677</v>
      </c>
      <c r="HF23" s="40">
        <f t="shared" ca="1" si="128"/>
        <v>62558.862552594677</v>
      </c>
      <c r="HG23" s="40">
        <f t="shared" ca="1" si="128"/>
        <v>62558.862552594677</v>
      </c>
      <c r="HH23" s="40">
        <f t="shared" ca="1" si="128"/>
        <v>62558.862552594677</v>
      </c>
      <c r="HI23" s="40">
        <f t="shared" ca="1" si="128"/>
        <v>62558.862552594677</v>
      </c>
      <c r="HJ23" s="40">
        <f t="shared" ca="1" si="128"/>
        <v>62558.862552594677</v>
      </c>
      <c r="HK23" s="40">
        <f t="shared" ca="1" si="128"/>
        <v>62558.862552594677</v>
      </c>
      <c r="HL23" s="40">
        <f t="shared" ca="1" si="128"/>
        <v>62558.862552594677</v>
      </c>
      <c r="HM23" s="40">
        <f t="shared" ca="1" si="128"/>
        <v>62558.862552594677</v>
      </c>
      <c r="HN23" s="40">
        <f t="shared" ca="1" si="128"/>
        <v>62558.862552594677</v>
      </c>
      <c r="HO23" s="40">
        <f t="shared" ca="1" si="128"/>
        <v>62558.862552594677</v>
      </c>
      <c r="HP23" s="40">
        <f t="shared" ca="1" si="128"/>
        <v>62558.862552594677</v>
      </c>
      <c r="HQ23" s="40">
        <f t="shared" ca="1" si="128"/>
        <v>62558.862552594677</v>
      </c>
      <c r="HR23" s="40">
        <f t="shared" ca="1" si="128"/>
        <v>62558.862552594677</v>
      </c>
      <c r="HS23" s="40">
        <f t="shared" ca="1" si="128"/>
        <v>62558.862552594677</v>
      </c>
      <c r="HT23" s="40">
        <f t="shared" ca="1" si="128"/>
        <v>62558.862552594677</v>
      </c>
      <c r="HU23" s="40">
        <f t="shared" ca="1" si="128"/>
        <v>62558.862552594677</v>
      </c>
      <c r="HV23" s="40">
        <f t="shared" ca="1" si="128"/>
        <v>62558.862552594677</v>
      </c>
      <c r="HW23" s="40">
        <f t="shared" ca="1" si="128"/>
        <v>62558.862552594677</v>
      </c>
      <c r="HX23" s="40">
        <f t="shared" ca="1" si="128"/>
        <v>62558.862552594677</v>
      </c>
      <c r="HY23" s="40">
        <f t="shared" ca="1" si="128"/>
        <v>62558.862552594677</v>
      </c>
      <c r="HZ23" s="40">
        <f t="shared" ca="1" si="128"/>
        <v>62558.862552594677</v>
      </c>
      <c r="IA23" s="40">
        <f t="shared" ca="1" si="128"/>
        <v>62558.862552594677</v>
      </c>
      <c r="IB23" s="40">
        <f t="shared" ca="1" si="128"/>
        <v>62558.862552594677</v>
      </c>
      <c r="IC23" s="40">
        <f t="shared" ca="1" si="128"/>
        <v>62558.862552594677</v>
      </c>
      <c r="ID23" s="40">
        <f t="shared" ca="1" si="128"/>
        <v>62558.862552594677</v>
      </c>
      <c r="IE23" s="40">
        <f t="shared" ca="1" si="128"/>
        <v>62558.862552594677</v>
      </c>
      <c r="IF23" s="40">
        <f t="shared" ca="1" si="128"/>
        <v>62558.862552594677</v>
      </c>
      <c r="IG23" s="40">
        <f t="shared" ca="1" si="128"/>
        <v>62558.862552594677</v>
      </c>
      <c r="IH23" s="40">
        <f t="shared" ca="1" si="128"/>
        <v>62558.862552594677</v>
      </c>
      <c r="II23" s="40">
        <f t="shared" ca="1" si="128"/>
        <v>62558.862552594677</v>
      </c>
      <c r="IJ23" s="40">
        <f t="shared" ca="1" si="128"/>
        <v>62558.862552594677</v>
      </c>
      <c r="IK23" s="40">
        <f t="shared" ca="1" si="128"/>
        <v>62558.862552594677</v>
      </c>
      <c r="IL23" s="40">
        <f t="shared" ca="1" si="128"/>
        <v>62558.862552594677</v>
      </c>
      <c r="IM23" s="40">
        <f t="shared" ca="1" si="128"/>
        <v>62558.862552594677</v>
      </c>
      <c r="IN23" s="40">
        <f t="shared" ca="1" si="128"/>
        <v>62558.862552594677</v>
      </c>
    </row>
    <row r="24" spans="2:248" x14ac:dyDescent="0.3">
      <c r="B24" s="19" t="s">
        <v>499</v>
      </c>
      <c r="C24" s="54">
        <f>IF(VLOOKUP(B2,Country_Data!C:H,6,FALSE)="","Not initiated",VLOOKUP(B2,Country_Data!C:H,6,FALSE))</f>
        <v>43905</v>
      </c>
    </row>
    <row r="25" spans="2:248" x14ac:dyDescent="0.3">
      <c r="F25" s="19" t="s">
        <v>474</v>
      </c>
      <c r="G25" s="27">
        <f t="shared" ref="G25:BR25" ca="1" si="131">IF(G3=TODAY(),1,-1000)</f>
        <v>-1000</v>
      </c>
      <c r="H25" s="27">
        <f t="shared" ca="1" si="131"/>
        <v>-1000</v>
      </c>
      <c r="I25" s="27">
        <f t="shared" ca="1" si="131"/>
        <v>-1000</v>
      </c>
      <c r="J25" s="27">
        <f t="shared" ca="1" si="131"/>
        <v>-1000</v>
      </c>
      <c r="K25" s="27">
        <f t="shared" ca="1" si="131"/>
        <v>-1000</v>
      </c>
      <c r="L25" s="27">
        <f t="shared" ca="1" si="131"/>
        <v>-1000</v>
      </c>
      <c r="M25" s="27">
        <f t="shared" ca="1" si="131"/>
        <v>-1000</v>
      </c>
      <c r="N25" s="27">
        <f t="shared" ca="1" si="131"/>
        <v>-1000</v>
      </c>
      <c r="O25" s="27">
        <f t="shared" ca="1" si="131"/>
        <v>-1000</v>
      </c>
      <c r="P25" s="27">
        <f t="shared" ca="1" si="131"/>
        <v>-1000</v>
      </c>
      <c r="Q25" s="27">
        <f t="shared" ca="1" si="131"/>
        <v>-1000</v>
      </c>
      <c r="R25" s="27">
        <f t="shared" ca="1" si="131"/>
        <v>-1000</v>
      </c>
      <c r="S25" s="27">
        <f t="shared" ca="1" si="131"/>
        <v>-1000</v>
      </c>
      <c r="T25" s="27">
        <f t="shared" ca="1" si="131"/>
        <v>-1000</v>
      </c>
      <c r="U25" s="27">
        <f t="shared" ca="1" si="131"/>
        <v>1</v>
      </c>
      <c r="V25" s="27">
        <f t="shared" ca="1" si="131"/>
        <v>-1000</v>
      </c>
      <c r="W25" s="27">
        <f t="shared" ca="1" si="131"/>
        <v>-1000</v>
      </c>
      <c r="X25" s="27">
        <f t="shared" ca="1" si="131"/>
        <v>-1000</v>
      </c>
      <c r="Y25" s="27">
        <f t="shared" ca="1" si="131"/>
        <v>-1000</v>
      </c>
      <c r="Z25" s="27">
        <f t="shared" ca="1" si="131"/>
        <v>-1000</v>
      </c>
      <c r="AA25" s="27">
        <f t="shared" ca="1" si="131"/>
        <v>-1000</v>
      </c>
      <c r="AB25" s="27">
        <f t="shared" ca="1" si="131"/>
        <v>-1000</v>
      </c>
      <c r="AC25" s="27">
        <f t="shared" ca="1" si="131"/>
        <v>-1000</v>
      </c>
      <c r="AD25" s="27">
        <f t="shared" ca="1" si="131"/>
        <v>-1000</v>
      </c>
      <c r="AE25" s="27">
        <f t="shared" ca="1" si="131"/>
        <v>-1000</v>
      </c>
      <c r="AF25" s="27">
        <f t="shared" ca="1" si="131"/>
        <v>-1000</v>
      </c>
      <c r="AG25" s="27">
        <f t="shared" ca="1" si="131"/>
        <v>-1000</v>
      </c>
      <c r="AH25" s="27">
        <f t="shared" ca="1" si="131"/>
        <v>-1000</v>
      </c>
      <c r="AI25" s="27">
        <f t="shared" ca="1" si="131"/>
        <v>-1000</v>
      </c>
      <c r="AJ25" s="27">
        <f t="shared" ca="1" si="131"/>
        <v>-1000</v>
      </c>
      <c r="AK25" s="27">
        <f t="shared" ca="1" si="131"/>
        <v>-1000</v>
      </c>
      <c r="AL25" s="27">
        <f t="shared" ca="1" si="131"/>
        <v>-1000</v>
      </c>
      <c r="AM25" s="27">
        <f t="shared" ca="1" si="131"/>
        <v>-1000</v>
      </c>
      <c r="AN25" s="27">
        <f t="shared" ca="1" si="131"/>
        <v>-1000</v>
      </c>
      <c r="AO25" s="27">
        <f t="shared" ca="1" si="131"/>
        <v>-1000</v>
      </c>
      <c r="AP25" s="27">
        <f t="shared" ca="1" si="131"/>
        <v>-1000</v>
      </c>
      <c r="AQ25" s="27">
        <f t="shared" ca="1" si="131"/>
        <v>-1000</v>
      </c>
      <c r="AR25" s="27">
        <f t="shared" ca="1" si="131"/>
        <v>-1000</v>
      </c>
      <c r="AS25" s="27">
        <f t="shared" ca="1" si="131"/>
        <v>-1000</v>
      </c>
      <c r="AT25" s="27">
        <f t="shared" ca="1" si="131"/>
        <v>-1000</v>
      </c>
      <c r="AU25" s="27">
        <f t="shared" ca="1" si="131"/>
        <v>-1000</v>
      </c>
      <c r="AV25" s="27">
        <f t="shared" ca="1" si="131"/>
        <v>-1000</v>
      </c>
      <c r="AW25" s="27">
        <f t="shared" ca="1" si="131"/>
        <v>-1000</v>
      </c>
      <c r="AX25" s="27">
        <f t="shared" ca="1" si="131"/>
        <v>-1000</v>
      </c>
      <c r="AY25" s="27">
        <f t="shared" ca="1" si="131"/>
        <v>-1000</v>
      </c>
      <c r="AZ25" s="27">
        <f t="shared" ca="1" si="131"/>
        <v>-1000</v>
      </c>
      <c r="BA25" s="27">
        <f t="shared" ca="1" si="131"/>
        <v>-1000</v>
      </c>
      <c r="BB25" s="27">
        <f t="shared" ca="1" si="131"/>
        <v>-1000</v>
      </c>
      <c r="BC25" s="27">
        <f t="shared" ca="1" si="131"/>
        <v>-1000</v>
      </c>
      <c r="BD25" s="27">
        <f t="shared" ca="1" si="131"/>
        <v>-1000</v>
      </c>
      <c r="BE25" s="27">
        <f t="shared" ca="1" si="131"/>
        <v>-1000</v>
      </c>
      <c r="BF25" s="27">
        <f t="shared" ca="1" si="131"/>
        <v>-1000</v>
      </c>
      <c r="BG25" s="27">
        <f t="shared" ca="1" si="131"/>
        <v>-1000</v>
      </c>
      <c r="BH25" s="27">
        <f t="shared" ca="1" si="131"/>
        <v>-1000</v>
      </c>
      <c r="BI25" s="27">
        <f t="shared" ca="1" si="131"/>
        <v>-1000</v>
      </c>
      <c r="BJ25" s="27">
        <f t="shared" ca="1" si="131"/>
        <v>-1000</v>
      </c>
      <c r="BK25" s="27">
        <f t="shared" ca="1" si="131"/>
        <v>-1000</v>
      </c>
      <c r="BL25" s="27">
        <f t="shared" ca="1" si="131"/>
        <v>-1000</v>
      </c>
      <c r="BM25" s="27">
        <f t="shared" ca="1" si="131"/>
        <v>-1000</v>
      </c>
      <c r="BN25" s="27">
        <f t="shared" ca="1" si="131"/>
        <v>-1000</v>
      </c>
      <c r="BO25" s="27">
        <f t="shared" ca="1" si="131"/>
        <v>-1000</v>
      </c>
      <c r="BP25" s="27">
        <f t="shared" ca="1" si="131"/>
        <v>-1000</v>
      </c>
      <c r="BQ25" s="27">
        <f t="shared" ca="1" si="131"/>
        <v>-1000</v>
      </c>
      <c r="BR25" s="27">
        <f t="shared" ca="1" si="131"/>
        <v>-1000</v>
      </c>
      <c r="BS25" s="27">
        <f t="shared" ref="BS25:ED25" ca="1" si="132">IF(BS3=TODAY(),1,-1000)</f>
        <v>-1000</v>
      </c>
      <c r="BT25" s="27">
        <f t="shared" ca="1" si="132"/>
        <v>-1000</v>
      </c>
      <c r="BU25" s="27">
        <f t="shared" ca="1" si="132"/>
        <v>-1000</v>
      </c>
      <c r="BV25" s="27">
        <f t="shared" ca="1" si="132"/>
        <v>-1000</v>
      </c>
      <c r="BW25" s="27">
        <f t="shared" ca="1" si="132"/>
        <v>-1000</v>
      </c>
      <c r="BX25" s="27">
        <f t="shared" ca="1" si="132"/>
        <v>-1000</v>
      </c>
      <c r="BY25" s="27">
        <f t="shared" ca="1" si="132"/>
        <v>-1000</v>
      </c>
      <c r="BZ25" s="27">
        <f t="shared" ca="1" si="132"/>
        <v>-1000</v>
      </c>
      <c r="CA25" s="27">
        <f t="shared" ca="1" si="132"/>
        <v>-1000</v>
      </c>
      <c r="CB25" s="27">
        <f t="shared" ca="1" si="132"/>
        <v>-1000</v>
      </c>
      <c r="CC25" s="27">
        <f t="shared" ca="1" si="132"/>
        <v>-1000</v>
      </c>
      <c r="CD25" s="27">
        <f t="shared" ca="1" si="132"/>
        <v>-1000</v>
      </c>
      <c r="CE25" s="27">
        <f t="shared" ca="1" si="132"/>
        <v>-1000</v>
      </c>
      <c r="CF25" s="27">
        <f t="shared" ca="1" si="132"/>
        <v>-1000</v>
      </c>
      <c r="CG25" s="27">
        <f t="shared" ca="1" si="132"/>
        <v>-1000</v>
      </c>
      <c r="CH25" s="27">
        <f t="shared" ca="1" si="132"/>
        <v>-1000</v>
      </c>
      <c r="CI25" s="27">
        <f t="shared" ca="1" si="132"/>
        <v>-1000</v>
      </c>
      <c r="CJ25" s="27">
        <f t="shared" ca="1" si="132"/>
        <v>-1000</v>
      </c>
      <c r="CK25" s="27">
        <f t="shared" ca="1" si="132"/>
        <v>-1000</v>
      </c>
      <c r="CL25" s="27">
        <f t="shared" ca="1" si="132"/>
        <v>-1000</v>
      </c>
      <c r="CM25" s="27">
        <f t="shared" ca="1" si="132"/>
        <v>-1000</v>
      </c>
      <c r="CN25" s="27">
        <f t="shared" ca="1" si="132"/>
        <v>-1000</v>
      </c>
      <c r="CO25" s="27">
        <f t="shared" ca="1" si="132"/>
        <v>-1000</v>
      </c>
      <c r="CP25" s="27">
        <f t="shared" ca="1" si="132"/>
        <v>-1000</v>
      </c>
      <c r="CQ25" s="27">
        <f t="shared" ca="1" si="132"/>
        <v>-1000</v>
      </c>
      <c r="CR25" s="27">
        <f t="shared" ca="1" si="132"/>
        <v>-1000</v>
      </c>
      <c r="CS25" s="27">
        <f t="shared" ca="1" si="132"/>
        <v>-1000</v>
      </c>
      <c r="CT25" s="27">
        <f t="shared" ca="1" si="132"/>
        <v>-1000</v>
      </c>
      <c r="CU25" s="27">
        <f t="shared" ca="1" si="132"/>
        <v>-1000</v>
      </c>
      <c r="CV25" s="27">
        <f t="shared" ca="1" si="132"/>
        <v>-1000</v>
      </c>
      <c r="CW25" s="27">
        <f t="shared" ca="1" si="132"/>
        <v>-1000</v>
      </c>
      <c r="CX25" s="27">
        <f t="shared" ca="1" si="132"/>
        <v>-1000</v>
      </c>
      <c r="CY25" s="27">
        <f t="shared" ca="1" si="132"/>
        <v>-1000</v>
      </c>
      <c r="CZ25" s="27">
        <f t="shared" ca="1" si="132"/>
        <v>-1000</v>
      </c>
      <c r="DA25" s="27">
        <f t="shared" ca="1" si="132"/>
        <v>-1000</v>
      </c>
      <c r="DB25" s="27">
        <f t="shared" ca="1" si="132"/>
        <v>-1000</v>
      </c>
      <c r="DC25" s="27">
        <f t="shared" ca="1" si="132"/>
        <v>-1000</v>
      </c>
      <c r="DD25" s="27">
        <f t="shared" ca="1" si="132"/>
        <v>-1000</v>
      </c>
      <c r="DE25" s="27">
        <f t="shared" ca="1" si="132"/>
        <v>-1000</v>
      </c>
      <c r="DF25" s="27">
        <f t="shared" ca="1" si="132"/>
        <v>-1000</v>
      </c>
      <c r="DG25" s="27">
        <f t="shared" ca="1" si="132"/>
        <v>-1000</v>
      </c>
      <c r="DH25" s="27">
        <f t="shared" ca="1" si="132"/>
        <v>-1000</v>
      </c>
      <c r="DI25" s="27">
        <f t="shared" ca="1" si="132"/>
        <v>-1000</v>
      </c>
      <c r="DJ25" s="27">
        <f t="shared" ca="1" si="132"/>
        <v>-1000</v>
      </c>
      <c r="DK25" s="27">
        <f t="shared" ca="1" si="132"/>
        <v>-1000</v>
      </c>
      <c r="DL25" s="27">
        <f t="shared" ca="1" si="132"/>
        <v>-1000</v>
      </c>
      <c r="DM25" s="27">
        <f t="shared" ca="1" si="132"/>
        <v>-1000</v>
      </c>
      <c r="DN25" s="27">
        <f t="shared" ca="1" si="132"/>
        <v>-1000</v>
      </c>
      <c r="DO25" s="27">
        <f t="shared" ca="1" si="132"/>
        <v>-1000</v>
      </c>
      <c r="DP25" s="27">
        <f t="shared" ca="1" si="132"/>
        <v>-1000</v>
      </c>
      <c r="DQ25" s="27">
        <f t="shared" ca="1" si="132"/>
        <v>-1000</v>
      </c>
      <c r="DR25" s="27">
        <f t="shared" ca="1" si="132"/>
        <v>-1000</v>
      </c>
      <c r="DS25" s="27">
        <f t="shared" ca="1" si="132"/>
        <v>-1000</v>
      </c>
      <c r="DT25" s="27">
        <f t="shared" ca="1" si="132"/>
        <v>-1000</v>
      </c>
      <c r="DU25" s="27">
        <f t="shared" ca="1" si="132"/>
        <v>-1000</v>
      </c>
      <c r="DV25" s="27">
        <f t="shared" ca="1" si="132"/>
        <v>-1000</v>
      </c>
      <c r="DW25" s="27">
        <f t="shared" ca="1" si="132"/>
        <v>-1000</v>
      </c>
      <c r="DX25" s="27">
        <f t="shared" ca="1" si="132"/>
        <v>-1000</v>
      </c>
      <c r="DY25" s="27">
        <f t="shared" ca="1" si="132"/>
        <v>-1000</v>
      </c>
      <c r="DZ25" s="27">
        <f t="shared" ca="1" si="132"/>
        <v>-1000</v>
      </c>
      <c r="EA25" s="27">
        <f t="shared" ca="1" si="132"/>
        <v>-1000</v>
      </c>
      <c r="EB25" s="27">
        <f t="shared" ca="1" si="132"/>
        <v>-1000</v>
      </c>
      <c r="EC25" s="27">
        <f t="shared" ca="1" si="132"/>
        <v>-1000</v>
      </c>
      <c r="ED25" s="27">
        <f t="shared" ca="1" si="132"/>
        <v>-1000</v>
      </c>
      <c r="EE25" s="27">
        <f t="shared" ref="EE25:GP25" ca="1" si="133">IF(EE3=TODAY(),1,-1000)</f>
        <v>-1000</v>
      </c>
      <c r="EF25" s="27">
        <f t="shared" ca="1" si="133"/>
        <v>-1000</v>
      </c>
      <c r="EG25" s="27">
        <f t="shared" ca="1" si="133"/>
        <v>-1000</v>
      </c>
      <c r="EH25" s="27">
        <f t="shared" ca="1" si="133"/>
        <v>-1000</v>
      </c>
      <c r="EI25" s="27">
        <f t="shared" ca="1" si="133"/>
        <v>-1000</v>
      </c>
      <c r="EJ25" s="27">
        <f t="shared" ca="1" si="133"/>
        <v>-1000</v>
      </c>
      <c r="EK25" s="27">
        <f t="shared" ca="1" si="133"/>
        <v>-1000</v>
      </c>
      <c r="EL25" s="27">
        <f t="shared" ca="1" si="133"/>
        <v>-1000</v>
      </c>
      <c r="EM25" s="27">
        <f t="shared" ca="1" si="133"/>
        <v>-1000</v>
      </c>
      <c r="EN25" s="27">
        <f t="shared" ca="1" si="133"/>
        <v>-1000</v>
      </c>
      <c r="EO25" s="27">
        <f t="shared" ca="1" si="133"/>
        <v>-1000</v>
      </c>
      <c r="EP25" s="27">
        <f t="shared" ca="1" si="133"/>
        <v>-1000</v>
      </c>
      <c r="EQ25" s="27">
        <f t="shared" ca="1" si="133"/>
        <v>-1000</v>
      </c>
      <c r="ER25" s="27">
        <f t="shared" ca="1" si="133"/>
        <v>-1000</v>
      </c>
      <c r="ES25" s="27">
        <f t="shared" ca="1" si="133"/>
        <v>-1000</v>
      </c>
      <c r="ET25" s="27">
        <f t="shared" ca="1" si="133"/>
        <v>-1000</v>
      </c>
      <c r="EU25" s="27">
        <f t="shared" ca="1" si="133"/>
        <v>-1000</v>
      </c>
      <c r="EV25" s="27">
        <f t="shared" ca="1" si="133"/>
        <v>-1000</v>
      </c>
      <c r="EW25" s="27">
        <f t="shared" ca="1" si="133"/>
        <v>-1000</v>
      </c>
      <c r="EX25" s="27">
        <f t="shared" ca="1" si="133"/>
        <v>-1000</v>
      </c>
      <c r="EY25" s="27">
        <f t="shared" ca="1" si="133"/>
        <v>-1000</v>
      </c>
      <c r="EZ25" s="27">
        <f t="shared" ca="1" si="133"/>
        <v>-1000</v>
      </c>
      <c r="FA25" s="27">
        <f t="shared" ca="1" si="133"/>
        <v>-1000</v>
      </c>
      <c r="FB25" s="27">
        <f t="shared" ca="1" si="133"/>
        <v>-1000</v>
      </c>
      <c r="FC25" s="27">
        <f t="shared" ca="1" si="133"/>
        <v>-1000</v>
      </c>
      <c r="FD25" s="27">
        <f t="shared" ca="1" si="133"/>
        <v>-1000</v>
      </c>
      <c r="FE25" s="27">
        <f t="shared" ca="1" si="133"/>
        <v>-1000</v>
      </c>
      <c r="FF25" s="27">
        <f t="shared" ca="1" si="133"/>
        <v>-1000</v>
      </c>
      <c r="FG25" s="27">
        <f t="shared" ca="1" si="133"/>
        <v>-1000</v>
      </c>
      <c r="FH25" s="27">
        <f t="shared" ca="1" si="133"/>
        <v>-1000</v>
      </c>
      <c r="FI25" s="27">
        <f t="shared" ca="1" si="133"/>
        <v>-1000</v>
      </c>
      <c r="FJ25" s="27">
        <f t="shared" ca="1" si="133"/>
        <v>-1000</v>
      </c>
      <c r="FK25" s="27">
        <f t="shared" ca="1" si="133"/>
        <v>-1000</v>
      </c>
      <c r="FL25" s="27">
        <f t="shared" ca="1" si="133"/>
        <v>-1000</v>
      </c>
      <c r="FM25" s="27">
        <f t="shared" ca="1" si="133"/>
        <v>-1000</v>
      </c>
      <c r="FN25" s="27">
        <f t="shared" ca="1" si="133"/>
        <v>-1000</v>
      </c>
      <c r="FO25" s="27">
        <f t="shared" ca="1" si="133"/>
        <v>-1000</v>
      </c>
      <c r="FP25" s="27">
        <f t="shared" ca="1" si="133"/>
        <v>-1000</v>
      </c>
      <c r="FQ25" s="27">
        <f t="shared" ca="1" si="133"/>
        <v>-1000</v>
      </c>
      <c r="FR25" s="27">
        <f t="shared" ca="1" si="133"/>
        <v>-1000</v>
      </c>
      <c r="FS25" s="27">
        <f t="shared" ca="1" si="133"/>
        <v>-1000</v>
      </c>
      <c r="FT25" s="27">
        <f t="shared" ca="1" si="133"/>
        <v>-1000</v>
      </c>
      <c r="FU25" s="27">
        <f t="shared" ca="1" si="133"/>
        <v>-1000</v>
      </c>
      <c r="FV25" s="27">
        <f t="shared" ca="1" si="133"/>
        <v>-1000</v>
      </c>
      <c r="FW25" s="27">
        <f t="shared" ca="1" si="133"/>
        <v>-1000</v>
      </c>
      <c r="FX25" s="27">
        <f t="shared" ca="1" si="133"/>
        <v>-1000</v>
      </c>
      <c r="FY25" s="27">
        <f t="shared" ca="1" si="133"/>
        <v>-1000</v>
      </c>
      <c r="FZ25" s="27">
        <f t="shared" ca="1" si="133"/>
        <v>-1000</v>
      </c>
      <c r="GA25" s="27">
        <f t="shared" ca="1" si="133"/>
        <v>-1000</v>
      </c>
      <c r="GB25" s="27">
        <f t="shared" ca="1" si="133"/>
        <v>-1000</v>
      </c>
      <c r="GC25" s="27">
        <f t="shared" ca="1" si="133"/>
        <v>-1000</v>
      </c>
      <c r="GD25" s="27">
        <f t="shared" ca="1" si="133"/>
        <v>-1000</v>
      </c>
      <c r="GE25" s="27">
        <f t="shared" ca="1" si="133"/>
        <v>-1000</v>
      </c>
      <c r="GF25" s="27">
        <f t="shared" ca="1" si="133"/>
        <v>-1000</v>
      </c>
      <c r="GG25" s="27">
        <f t="shared" ca="1" si="133"/>
        <v>-1000</v>
      </c>
      <c r="GH25" s="27">
        <f t="shared" ca="1" si="133"/>
        <v>-1000</v>
      </c>
      <c r="GI25" s="27">
        <f t="shared" ca="1" si="133"/>
        <v>-1000</v>
      </c>
      <c r="GJ25" s="27">
        <f t="shared" ca="1" si="133"/>
        <v>-1000</v>
      </c>
      <c r="GK25" s="27">
        <f t="shared" ca="1" si="133"/>
        <v>-1000</v>
      </c>
      <c r="GL25" s="27">
        <f t="shared" ca="1" si="133"/>
        <v>-1000</v>
      </c>
      <c r="GM25" s="27">
        <f t="shared" ca="1" si="133"/>
        <v>-1000</v>
      </c>
      <c r="GN25" s="27">
        <f t="shared" ca="1" si="133"/>
        <v>-1000</v>
      </c>
      <c r="GO25" s="27">
        <f t="shared" ca="1" si="133"/>
        <v>-1000</v>
      </c>
      <c r="GP25" s="27">
        <f t="shared" ca="1" si="133"/>
        <v>-1000</v>
      </c>
      <c r="GQ25" s="27">
        <f t="shared" ref="GQ25:IN25" ca="1" si="134">IF(GQ3=TODAY(),1,-1000)</f>
        <v>-1000</v>
      </c>
      <c r="GR25" s="27">
        <f t="shared" ca="1" si="134"/>
        <v>-1000</v>
      </c>
      <c r="GS25" s="27">
        <f t="shared" ca="1" si="134"/>
        <v>-1000</v>
      </c>
      <c r="GT25" s="27">
        <f t="shared" ca="1" si="134"/>
        <v>-1000</v>
      </c>
      <c r="GU25" s="27">
        <f t="shared" ca="1" si="134"/>
        <v>-1000</v>
      </c>
      <c r="GV25" s="27">
        <f t="shared" ca="1" si="134"/>
        <v>-1000</v>
      </c>
      <c r="GW25" s="27">
        <f t="shared" ca="1" si="134"/>
        <v>-1000</v>
      </c>
      <c r="GX25" s="27">
        <f t="shared" ca="1" si="134"/>
        <v>-1000</v>
      </c>
      <c r="GY25" s="27">
        <f t="shared" ca="1" si="134"/>
        <v>-1000</v>
      </c>
      <c r="GZ25" s="27">
        <f t="shared" ca="1" si="134"/>
        <v>-1000</v>
      </c>
      <c r="HA25" s="27">
        <f t="shared" ca="1" si="134"/>
        <v>-1000</v>
      </c>
      <c r="HB25" s="27">
        <f t="shared" ca="1" si="134"/>
        <v>-1000</v>
      </c>
      <c r="HC25" s="27">
        <f t="shared" ca="1" si="134"/>
        <v>-1000</v>
      </c>
      <c r="HD25" s="27">
        <f t="shared" ca="1" si="134"/>
        <v>-1000</v>
      </c>
      <c r="HE25" s="27">
        <f t="shared" ca="1" si="134"/>
        <v>-1000</v>
      </c>
      <c r="HF25" s="27">
        <f t="shared" ca="1" si="134"/>
        <v>-1000</v>
      </c>
      <c r="HG25" s="27">
        <f t="shared" ca="1" si="134"/>
        <v>-1000</v>
      </c>
      <c r="HH25" s="27">
        <f t="shared" ca="1" si="134"/>
        <v>-1000</v>
      </c>
      <c r="HI25" s="27">
        <f t="shared" ca="1" si="134"/>
        <v>-1000</v>
      </c>
      <c r="HJ25" s="27">
        <f t="shared" ca="1" si="134"/>
        <v>-1000</v>
      </c>
      <c r="HK25" s="27">
        <f t="shared" ca="1" si="134"/>
        <v>-1000</v>
      </c>
      <c r="HL25" s="27">
        <f t="shared" ca="1" si="134"/>
        <v>-1000</v>
      </c>
      <c r="HM25" s="27">
        <f t="shared" ca="1" si="134"/>
        <v>-1000</v>
      </c>
      <c r="HN25" s="27">
        <f t="shared" ca="1" si="134"/>
        <v>-1000</v>
      </c>
      <c r="HO25" s="27">
        <f t="shared" ca="1" si="134"/>
        <v>-1000</v>
      </c>
      <c r="HP25" s="27">
        <f t="shared" ca="1" si="134"/>
        <v>-1000</v>
      </c>
      <c r="HQ25" s="27">
        <f t="shared" ca="1" si="134"/>
        <v>-1000</v>
      </c>
      <c r="HR25" s="27">
        <f t="shared" ca="1" si="134"/>
        <v>-1000</v>
      </c>
      <c r="HS25" s="27">
        <f t="shared" ca="1" si="134"/>
        <v>-1000</v>
      </c>
      <c r="HT25" s="27">
        <f t="shared" ca="1" si="134"/>
        <v>-1000</v>
      </c>
      <c r="HU25" s="27">
        <f t="shared" ca="1" si="134"/>
        <v>-1000</v>
      </c>
      <c r="HV25" s="27">
        <f t="shared" ca="1" si="134"/>
        <v>-1000</v>
      </c>
      <c r="HW25" s="27">
        <f t="shared" ca="1" si="134"/>
        <v>-1000</v>
      </c>
      <c r="HX25" s="27">
        <f t="shared" ca="1" si="134"/>
        <v>-1000</v>
      </c>
      <c r="HY25" s="27">
        <f t="shared" ca="1" si="134"/>
        <v>-1000</v>
      </c>
      <c r="HZ25" s="27">
        <f t="shared" ca="1" si="134"/>
        <v>-1000</v>
      </c>
      <c r="IA25" s="27">
        <f t="shared" ca="1" si="134"/>
        <v>-1000</v>
      </c>
      <c r="IB25" s="27">
        <f t="shared" ca="1" si="134"/>
        <v>-1000</v>
      </c>
      <c r="IC25" s="27">
        <f t="shared" ca="1" si="134"/>
        <v>-1000</v>
      </c>
      <c r="ID25" s="27">
        <f t="shared" ca="1" si="134"/>
        <v>-1000</v>
      </c>
      <c r="IE25" s="27">
        <f t="shared" ca="1" si="134"/>
        <v>-1000</v>
      </c>
      <c r="IF25" s="27">
        <f t="shared" ca="1" si="134"/>
        <v>-1000</v>
      </c>
      <c r="IG25" s="27">
        <f t="shared" ca="1" si="134"/>
        <v>-1000</v>
      </c>
      <c r="IH25" s="27">
        <f t="shared" ca="1" si="134"/>
        <v>-1000</v>
      </c>
      <c r="II25" s="27">
        <f t="shared" ca="1" si="134"/>
        <v>-1000</v>
      </c>
      <c r="IJ25" s="27">
        <f t="shared" ca="1" si="134"/>
        <v>-1000</v>
      </c>
      <c r="IK25" s="27">
        <f t="shared" ca="1" si="134"/>
        <v>-1000</v>
      </c>
      <c r="IL25" s="27">
        <f t="shared" ca="1" si="134"/>
        <v>-1000</v>
      </c>
      <c r="IM25" s="27">
        <f t="shared" ca="1" si="134"/>
        <v>-1000</v>
      </c>
      <c r="IN25" s="27">
        <f t="shared" ca="1" si="134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475</v>
      </c>
      <c r="G26" s="26">
        <f>IF(AND(G20&gt;G19,F20&lt;F19),1,0)</f>
        <v>0</v>
      </c>
      <c r="H26" s="26">
        <f t="shared" ref="H26:BS26" ca="1" si="135">IF(AND(H20&gt;H19,G20&lt;G19),1,0)</f>
        <v>0</v>
      </c>
      <c r="I26" s="26">
        <f t="shared" ca="1" si="135"/>
        <v>0</v>
      </c>
      <c r="J26" s="26">
        <f t="shared" ca="1" si="135"/>
        <v>0</v>
      </c>
      <c r="K26" s="26">
        <f t="shared" ca="1" si="135"/>
        <v>0</v>
      </c>
      <c r="L26" s="26">
        <f t="shared" ca="1" si="135"/>
        <v>0</v>
      </c>
      <c r="M26" s="26">
        <f t="shared" ca="1" si="135"/>
        <v>0</v>
      </c>
      <c r="N26" s="26">
        <f t="shared" ca="1" si="135"/>
        <v>0</v>
      </c>
      <c r="O26" s="26">
        <f t="shared" ca="1" si="135"/>
        <v>0</v>
      </c>
      <c r="P26" s="26">
        <f t="shared" ca="1" si="135"/>
        <v>0</v>
      </c>
      <c r="Q26" s="26">
        <f t="shared" ca="1" si="135"/>
        <v>0</v>
      </c>
      <c r="R26" s="26">
        <f t="shared" ca="1" si="135"/>
        <v>0</v>
      </c>
      <c r="S26" s="26">
        <f t="shared" ca="1" si="135"/>
        <v>0</v>
      </c>
      <c r="T26" s="26">
        <f t="shared" ca="1" si="135"/>
        <v>0</v>
      </c>
      <c r="U26" s="26">
        <f t="shared" ca="1" si="135"/>
        <v>0</v>
      </c>
      <c r="V26" s="26">
        <f t="shared" ca="1" si="135"/>
        <v>0</v>
      </c>
      <c r="W26" s="26">
        <f t="shared" ca="1" si="135"/>
        <v>0</v>
      </c>
      <c r="X26" s="26">
        <f t="shared" ca="1" si="135"/>
        <v>0</v>
      </c>
      <c r="Y26" s="26">
        <f t="shared" ca="1" si="135"/>
        <v>0</v>
      </c>
      <c r="Z26" s="26">
        <f t="shared" ca="1" si="135"/>
        <v>0</v>
      </c>
      <c r="AA26" s="26">
        <f t="shared" ca="1" si="135"/>
        <v>0</v>
      </c>
      <c r="AB26" s="26">
        <f t="shared" ca="1" si="135"/>
        <v>0</v>
      </c>
      <c r="AC26" s="26">
        <f t="shared" ca="1" si="135"/>
        <v>0</v>
      </c>
      <c r="AD26" s="26">
        <f t="shared" ca="1" si="135"/>
        <v>0</v>
      </c>
      <c r="AE26" s="26">
        <f t="shared" ca="1" si="135"/>
        <v>0</v>
      </c>
      <c r="AF26" s="26">
        <f t="shared" ca="1" si="135"/>
        <v>0</v>
      </c>
      <c r="AG26" s="26">
        <f t="shared" ca="1" si="135"/>
        <v>0</v>
      </c>
      <c r="AH26" s="26">
        <f t="shared" ca="1" si="135"/>
        <v>0</v>
      </c>
      <c r="AI26" s="26">
        <f t="shared" ca="1" si="135"/>
        <v>0</v>
      </c>
      <c r="AJ26" s="26">
        <f t="shared" ca="1" si="135"/>
        <v>0</v>
      </c>
      <c r="AK26" s="26">
        <f t="shared" ca="1" si="135"/>
        <v>0</v>
      </c>
      <c r="AL26" s="26">
        <f t="shared" ca="1" si="135"/>
        <v>0</v>
      </c>
      <c r="AM26" s="26">
        <f t="shared" ca="1" si="135"/>
        <v>0</v>
      </c>
      <c r="AN26" s="26">
        <f t="shared" ca="1" si="135"/>
        <v>0</v>
      </c>
      <c r="AO26" s="26">
        <f t="shared" ca="1" si="135"/>
        <v>0</v>
      </c>
      <c r="AP26" s="26">
        <f t="shared" ca="1" si="135"/>
        <v>0</v>
      </c>
      <c r="AQ26" s="26">
        <f t="shared" ca="1" si="135"/>
        <v>0</v>
      </c>
      <c r="AR26" s="26">
        <f t="shared" ca="1" si="135"/>
        <v>0</v>
      </c>
      <c r="AS26" s="26">
        <f t="shared" ca="1" si="135"/>
        <v>0</v>
      </c>
      <c r="AT26" s="26">
        <f t="shared" ca="1" si="135"/>
        <v>0</v>
      </c>
      <c r="AU26" s="26">
        <f t="shared" ca="1" si="135"/>
        <v>0</v>
      </c>
      <c r="AV26" s="26">
        <f t="shared" ca="1" si="135"/>
        <v>0</v>
      </c>
      <c r="AW26" s="26">
        <f t="shared" ca="1" si="135"/>
        <v>0</v>
      </c>
      <c r="AX26" s="26">
        <f t="shared" ca="1" si="135"/>
        <v>0</v>
      </c>
      <c r="AY26" s="26">
        <f t="shared" ca="1" si="135"/>
        <v>1</v>
      </c>
      <c r="AZ26" s="26">
        <f t="shared" ca="1" si="135"/>
        <v>0</v>
      </c>
      <c r="BA26" s="26">
        <f t="shared" ca="1" si="135"/>
        <v>0</v>
      </c>
      <c r="BB26" s="26">
        <f t="shared" ca="1" si="135"/>
        <v>0</v>
      </c>
      <c r="BC26" s="26">
        <f t="shared" ca="1" si="135"/>
        <v>0</v>
      </c>
      <c r="BD26" s="26">
        <f t="shared" ca="1" si="135"/>
        <v>0</v>
      </c>
      <c r="BE26" s="26">
        <f t="shared" ca="1" si="135"/>
        <v>0</v>
      </c>
      <c r="BF26" s="26">
        <f t="shared" ca="1" si="135"/>
        <v>0</v>
      </c>
      <c r="BG26" s="26">
        <f t="shared" ca="1" si="135"/>
        <v>0</v>
      </c>
      <c r="BH26" s="26">
        <f t="shared" ca="1" si="135"/>
        <v>0</v>
      </c>
      <c r="BI26" s="26">
        <f t="shared" ca="1" si="135"/>
        <v>0</v>
      </c>
      <c r="BJ26" s="26">
        <f t="shared" ca="1" si="135"/>
        <v>0</v>
      </c>
      <c r="BK26" s="26">
        <f t="shared" ca="1" si="135"/>
        <v>0</v>
      </c>
      <c r="BL26" s="26">
        <f t="shared" ca="1" si="135"/>
        <v>0</v>
      </c>
      <c r="BM26" s="26">
        <f t="shared" ca="1" si="135"/>
        <v>0</v>
      </c>
      <c r="BN26" s="26">
        <f t="shared" ca="1" si="135"/>
        <v>0</v>
      </c>
      <c r="BO26" s="26">
        <f t="shared" ca="1" si="135"/>
        <v>0</v>
      </c>
      <c r="BP26" s="26">
        <f t="shared" ca="1" si="135"/>
        <v>0</v>
      </c>
      <c r="BQ26" s="26">
        <f t="shared" ca="1" si="135"/>
        <v>0</v>
      </c>
      <c r="BR26" s="26">
        <f t="shared" ca="1" si="135"/>
        <v>0</v>
      </c>
      <c r="BS26" s="26">
        <f t="shared" ca="1" si="135"/>
        <v>0</v>
      </c>
      <c r="BT26" s="26">
        <f t="shared" ref="BT26:EE26" ca="1" si="136">IF(AND(BT20&gt;BT19,BS20&lt;BS19),1,0)</f>
        <v>0</v>
      </c>
      <c r="BU26" s="26">
        <f t="shared" ca="1" si="136"/>
        <v>0</v>
      </c>
      <c r="BV26" s="26">
        <f t="shared" ca="1" si="136"/>
        <v>0</v>
      </c>
      <c r="BW26" s="26">
        <f t="shared" ca="1" si="136"/>
        <v>0</v>
      </c>
      <c r="BX26" s="26">
        <f t="shared" ca="1" si="136"/>
        <v>0</v>
      </c>
      <c r="BY26" s="26">
        <f t="shared" ca="1" si="136"/>
        <v>0</v>
      </c>
      <c r="BZ26" s="26">
        <f t="shared" ca="1" si="136"/>
        <v>0</v>
      </c>
      <c r="CA26" s="26">
        <f t="shared" ca="1" si="136"/>
        <v>0</v>
      </c>
      <c r="CB26" s="26">
        <f t="shared" ca="1" si="136"/>
        <v>0</v>
      </c>
      <c r="CC26" s="26">
        <f t="shared" ca="1" si="136"/>
        <v>0</v>
      </c>
      <c r="CD26" s="26">
        <f t="shared" ca="1" si="136"/>
        <v>0</v>
      </c>
      <c r="CE26" s="26">
        <f t="shared" ca="1" si="136"/>
        <v>0</v>
      </c>
      <c r="CF26" s="26">
        <f t="shared" ca="1" si="136"/>
        <v>0</v>
      </c>
      <c r="CG26" s="26">
        <f t="shared" ca="1" si="136"/>
        <v>0</v>
      </c>
      <c r="CH26" s="26">
        <f t="shared" ca="1" si="136"/>
        <v>0</v>
      </c>
      <c r="CI26" s="26">
        <f t="shared" ca="1" si="136"/>
        <v>0</v>
      </c>
      <c r="CJ26" s="26">
        <f t="shared" ca="1" si="136"/>
        <v>0</v>
      </c>
      <c r="CK26" s="26">
        <f t="shared" ca="1" si="136"/>
        <v>0</v>
      </c>
      <c r="CL26" s="26">
        <f t="shared" ca="1" si="136"/>
        <v>0</v>
      </c>
      <c r="CM26" s="26">
        <f t="shared" ca="1" si="136"/>
        <v>0</v>
      </c>
      <c r="CN26" s="26">
        <f t="shared" ca="1" si="136"/>
        <v>0</v>
      </c>
      <c r="CO26" s="26">
        <f t="shared" ca="1" si="136"/>
        <v>0</v>
      </c>
      <c r="CP26" s="26">
        <f t="shared" ca="1" si="136"/>
        <v>0</v>
      </c>
      <c r="CQ26" s="26">
        <f t="shared" ca="1" si="136"/>
        <v>0</v>
      </c>
      <c r="CR26" s="26">
        <f t="shared" ca="1" si="136"/>
        <v>0</v>
      </c>
      <c r="CS26" s="26">
        <f t="shared" ca="1" si="136"/>
        <v>0</v>
      </c>
      <c r="CT26" s="26">
        <f t="shared" ca="1" si="136"/>
        <v>0</v>
      </c>
      <c r="CU26" s="26">
        <f t="shared" ca="1" si="136"/>
        <v>0</v>
      </c>
      <c r="CV26" s="26">
        <f t="shared" ca="1" si="136"/>
        <v>0</v>
      </c>
      <c r="CW26" s="26">
        <f t="shared" ca="1" si="136"/>
        <v>0</v>
      </c>
      <c r="CX26" s="26">
        <f t="shared" ca="1" si="136"/>
        <v>0</v>
      </c>
      <c r="CY26" s="26">
        <f t="shared" ca="1" si="136"/>
        <v>0</v>
      </c>
      <c r="CZ26" s="26">
        <f t="shared" ca="1" si="136"/>
        <v>0</v>
      </c>
      <c r="DA26" s="26">
        <f t="shared" ca="1" si="136"/>
        <v>0</v>
      </c>
      <c r="DB26" s="26">
        <f t="shared" ca="1" si="136"/>
        <v>0</v>
      </c>
      <c r="DC26" s="26">
        <f t="shared" ca="1" si="136"/>
        <v>0</v>
      </c>
      <c r="DD26" s="26">
        <f t="shared" ca="1" si="136"/>
        <v>0</v>
      </c>
      <c r="DE26" s="26">
        <f t="shared" ca="1" si="136"/>
        <v>0</v>
      </c>
      <c r="DF26" s="26">
        <f t="shared" ca="1" si="136"/>
        <v>0</v>
      </c>
      <c r="DG26" s="26">
        <f t="shared" ca="1" si="136"/>
        <v>0</v>
      </c>
      <c r="DH26" s="26">
        <f t="shared" ca="1" si="136"/>
        <v>0</v>
      </c>
      <c r="DI26" s="26">
        <f t="shared" ca="1" si="136"/>
        <v>0</v>
      </c>
      <c r="DJ26" s="26">
        <f t="shared" ca="1" si="136"/>
        <v>0</v>
      </c>
      <c r="DK26" s="26">
        <f t="shared" ca="1" si="136"/>
        <v>0</v>
      </c>
      <c r="DL26" s="26">
        <f t="shared" ca="1" si="136"/>
        <v>0</v>
      </c>
      <c r="DM26" s="26">
        <f t="shared" ca="1" si="136"/>
        <v>0</v>
      </c>
      <c r="DN26" s="26">
        <f t="shared" ca="1" si="136"/>
        <v>0</v>
      </c>
      <c r="DO26" s="26">
        <f t="shared" ca="1" si="136"/>
        <v>0</v>
      </c>
      <c r="DP26" s="26">
        <f t="shared" ca="1" si="136"/>
        <v>0</v>
      </c>
      <c r="DQ26" s="26">
        <f t="shared" ca="1" si="136"/>
        <v>0</v>
      </c>
      <c r="DR26" s="26">
        <f t="shared" ca="1" si="136"/>
        <v>0</v>
      </c>
      <c r="DS26" s="26">
        <f t="shared" ca="1" si="136"/>
        <v>0</v>
      </c>
      <c r="DT26" s="26">
        <f t="shared" ca="1" si="136"/>
        <v>0</v>
      </c>
      <c r="DU26" s="26">
        <f t="shared" ca="1" si="136"/>
        <v>0</v>
      </c>
      <c r="DV26" s="26">
        <f t="shared" ca="1" si="136"/>
        <v>0</v>
      </c>
      <c r="DW26" s="26">
        <f t="shared" ca="1" si="136"/>
        <v>0</v>
      </c>
      <c r="DX26" s="26">
        <f t="shared" ca="1" si="136"/>
        <v>0</v>
      </c>
      <c r="DY26" s="26">
        <f t="shared" ca="1" si="136"/>
        <v>0</v>
      </c>
      <c r="DZ26" s="26">
        <f t="shared" ca="1" si="136"/>
        <v>0</v>
      </c>
      <c r="EA26" s="26">
        <f t="shared" ca="1" si="136"/>
        <v>0</v>
      </c>
      <c r="EB26" s="26">
        <f t="shared" ca="1" si="136"/>
        <v>0</v>
      </c>
      <c r="EC26" s="26">
        <f t="shared" ca="1" si="136"/>
        <v>0</v>
      </c>
      <c r="ED26" s="26">
        <f t="shared" ca="1" si="136"/>
        <v>0</v>
      </c>
      <c r="EE26" s="26">
        <f t="shared" ca="1" si="136"/>
        <v>0</v>
      </c>
      <c r="EF26" s="26">
        <f t="shared" ref="EF26:GQ26" ca="1" si="137">IF(AND(EF20&gt;EF19,EE20&lt;EE19),1,0)</f>
        <v>0</v>
      </c>
      <c r="EG26" s="26">
        <f t="shared" ca="1" si="137"/>
        <v>0</v>
      </c>
      <c r="EH26" s="26">
        <f t="shared" ca="1" si="137"/>
        <v>0</v>
      </c>
      <c r="EI26" s="26">
        <f t="shared" ca="1" si="137"/>
        <v>0</v>
      </c>
      <c r="EJ26" s="26">
        <f t="shared" ca="1" si="137"/>
        <v>0</v>
      </c>
      <c r="EK26" s="26">
        <f t="shared" ca="1" si="137"/>
        <v>0</v>
      </c>
      <c r="EL26" s="26">
        <f t="shared" ca="1" si="137"/>
        <v>0</v>
      </c>
      <c r="EM26" s="26">
        <f t="shared" ca="1" si="137"/>
        <v>0</v>
      </c>
      <c r="EN26" s="26">
        <f t="shared" ca="1" si="137"/>
        <v>0</v>
      </c>
      <c r="EO26" s="26">
        <f t="shared" ca="1" si="137"/>
        <v>0</v>
      </c>
      <c r="EP26" s="26">
        <f t="shared" ca="1" si="137"/>
        <v>0</v>
      </c>
      <c r="EQ26" s="26">
        <f t="shared" ca="1" si="137"/>
        <v>0</v>
      </c>
      <c r="ER26" s="26">
        <f t="shared" ca="1" si="137"/>
        <v>0</v>
      </c>
      <c r="ES26" s="26">
        <f t="shared" ca="1" si="137"/>
        <v>0</v>
      </c>
      <c r="ET26" s="26">
        <f t="shared" ca="1" si="137"/>
        <v>0</v>
      </c>
      <c r="EU26" s="26">
        <f t="shared" ca="1" si="137"/>
        <v>0</v>
      </c>
      <c r="EV26" s="26">
        <f t="shared" ca="1" si="137"/>
        <v>0</v>
      </c>
      <c r="EW26" s="26">
        <f t="shared" ca="1" si="137"/>
        <v>0</v>
      </c>
      <c r="EX26" s="26">
        <f t="shared" ca="1" si="137"/>
        <v>0</v>
      </c>
      <c r="EY26" s="26">
        <f t="shared" ca="1" si="137"/>
        <v>0</v>
      </c>
      <c r="EZ26" s="26">
        <f t="shared" ca="1" si="137"/>
        <v>0</v>
      </c>
      <c r="FA26" s="26">
        <f t="shared" ca="1" si="137"/>
        <v>0</v>
      </c>
      <c r="FB26" s="26">
        <f t="shared" ca="1" si="137"/>
        <v>0</v>
      </c>
      <c r="FC26" s="26">
        <f t="shared" ca="1" si="137"/>
        <v>0</v>
      </c>
      <c r="FD26" s="26">
        <f t="shared" ca="1" si="137"/>
        <v>0</v>
      </c>
      <c r="FE26" s="26">
        <f t="shared" ca="1" si="137"/>
        <v>0</v>
      </c>
      <c r="FF26" s="26">
        <f t="shared" ca="1" si="137"/>
        <v>0</v>
      </c>
      <c r="FG26" s="26">
        <f t="shared" ca="1" si="137"/>
        <v>0</v>
      </c>
      <c r="FH26" s="26">
        <f t="shared" ca="1" si="137"/>
        <v>0</v>
      </c>
      <c r="FI26" s="26">
        <f t="shared" ca="1" si="137"/>
        <v>0</v>
      </c>
      <c r="FJ26" s="26">
        <f t="shared" ca="1" si="137"/>
        <v>0</v>
      </c>
      <c r="FK26" s="26">
        <f t="shared" ca="1" si="137"/>
        <v>0</v>
      </c>
      <c r="FL26" s="26">
        <f t="shared" ca="1" si="137"/>
        <v>0</v>
      </c>
      <c r="FM26" s="26">
        <f t="shared" ca="1" si="137"/>
        <v>0</v>
      </c>
      <c r="FN26" s="26">
        <f t="shared" ca="1" si="137"/>
        <v>0</v>
      </c>
      <c r="FO26" s="26">
        <f t="shared" ca="1" si="137"/>
        <v>0</v>
      </c>
      <c r="FP26" s="26">
        <f t="shared" ca="1" si="137"/>
        <v>0</v>
      </c>
      <c r="FQ26" s="26">
        <f t="shared" ca="1" si="137"/>
        <v>0</v>
      </c>
      <c r="FR26" s="26">
        <f t="shared" ca="1" si="137"/>
        <v>0</v>
      </c>
      <c r="FS26" s="26">
        <f t="shared" ca="1" si="137"/>
        <v>0</v>
      </c>
      <c r="FT26" s="26">
        <f t="shared" ca="1" si="137"/>
        <v>0</v>
      </c>
      <c r="FU26" s="26">
        <f t="shared" ca="1" si="137"/>
        <v>0</v>
      </c>
      <c r="FV26" s="26">
        <f t="shared" ca="1" si="137"/>
        <v>0</v>
      </c>
      <c r="FW26" s="26">
        <f t="shared" ca="1" si="137"/>
        <v>0</v>
      </c>
      <c r="FX26" s="26">
        <f t="shared" ca="1" si="137"/>
        <v>0</v>
      </c>
      <c r="FY26" s="26">
        <f t="shared" ca="1" si="137"/>
        <v>0</v>
      </c>
      <c r="FZ26" s="26">
        <f t="shared" ca="1" si="137"/>
        <v>0</v>
      </c>
      <c r="GA26" s="26">
        <f t="shared" ca="1" si="137"/>
        <v>0</v>
      </c>
      <c r="GB26" s="26">
        <f t="shared" ca="1" si="137"/>
        <v>0</v>
      </c>
      <c r="GC26" s="26">
        <f t="shared" ca="1" si="137"/>
        <v>0</v>
      </c>
      <c r="GD26" s="26">
        <f t="shared" ca="1" si="137"/>
        <v>0</v>
      </c>
      <c r="GE26" s="26">
        <f t="shared" ca="1" si="137"/>
        <v>0</v>
      </c>
      <c r="GF26" s="26">
        <f t="shared" ca="1" si="137"/>
        <v>0</v>
      </c>
      <c r="GG26" s="26">
        <f t="shared" ca="1" si="137"/>
        <v>0</v>
      </c>
      <c r="GH26" s="26">
        <f t="shared" ca="1" si="137"/>
        <v>0</v>
      </c>
      <c r="GI26" s="26">
        <f t="shared" ca="1" si="137"/>
        <v>0</v>
      </c>
      <c r="GJ26" s="26">
        <f t="shared" ca="1" si="137"/>
        <v>0</v>
      </c>
      <c r="GK26" s="26">
        <f t="shared" ca="1" si="137"/>
        <v>0</v>
      </c>
      <c r="GL26" s="26">
        <f t="shared" ca="1" si="137"/>
        <v>0</v>
      </c>
      <c r="GM26" s="26">
        <f t="shared" ca="1" si="137"/>
        <v>0</v>
      </c>
      <c r="GN26" s="26">
        <f t="shared" ca="1" si="137"/>
        <v>0</v>
      </c>
      <c r="GO26" s="26">
        <f t="shared" ca="1" si="137"/>
        <v>0</v>
      </c>
      <c r="GP26" s="26">
        <f t="shared" ca="1" si="137"/>
        <v>0</v>
      </c>
      <c r="GQ26" s="26">
        <f t="shared" ca="1" si="137"/>
        <v>0</v>
      </c>
      <c r="GR26" s="26">
        <f t="shared" ref="GR26:IN26" ca="1" si="138">IF(AND(GR20&gt;GR19,GQ20&lt;GQ19),1,0)</f>
        <v>0</v>
      </c>
      <c r="GS26" s="26">
        <f t="shared" ca="1" si="138"/>
        <v>0</v>
      </c>
      <c r="GT26" s="26">
        <f t="shared" ca="1" si="138"/>
        <v>0</v>
      </c>
      <c r="GU26" s="26">
        <f t="shared" ca="1" si="138"/>
        <v>0</v>
      </c>
      <c r="GV26" s="26">
        <f t="shared" ca="1" si="138"/>
        <v>0</v>
      </c>
      <c r="GW26" s="26">
        <f t="shared" ca="1" si="138"/>
        <v>0</v>
      </c>
      <c r="GX26" s="26">
        <f t="shared" ca="1" si="138"/>
        <v>0</v>
      </c>
      <c r="GY26" s="26">
        <f t="shared" ca="1" si="138"/>
        <v>0</v>
      </c>
      <c r="GZ26" s="26">
        <f t="shared" ca="1" si="138"/>
        <v>0</v>
      </c>
      <c r="HA26" s="26">
        <f t="shared" ca="1" si="138"/>
        <v>0</v>
      </c>
      <c r="HB26" s="26">
        <f t="shared" ca="1" si="138"/>
        <v>0</v>
      </c>
      <c r="HC26" s="26">
        <f t="shared" ca="1" si="138"/>
        <v>0</v>
      </c>
      <c r="HD26" s="26">
        <f t="shared" ca="1" si="138"/>
        <v>0</v>
      </c>
      <c r="HE26" s="26">
        <f t="shared" ca="1" si="138"/>
        <v>0</v>
      </c>
      <c r="HF26" s="26">
        <f t="shared" ca="1" si="138"/>
        <v>0</v>
      </c>
      <c r="HG26" s="26">
        <f t="shared" ca="1" si="138"/>
        <v>0</v>
      </c>
      <c r="HH26" s="26">
        <f t="shared" ca="1" si="138"/>
        <v>0</v>
      </c>
      <c r="HI26" s="26">
        <f t="shared" ca="1" si="138"/>
        <v>0</v>
      </c>
      <c r="HJ26" s="26">
        <f t="shared" ca="1" si="138"/>
        <v>0</v>
      </c>
      <c r="HK26" s="26">
        <f t="shared" ca="1" si="138"/>
        <v>0</v>
      </c>
      <c r="HL26" s="26">
        <f t="shared" ca="1" si="138"/>
        <v>0</v>
      </c>
      <c r="HM26" s="26">
        <f t="shared" ca="1" si="138"/>
        <v>0</v>
      </c>
      <c r="HN26" s="26">
        <f t="shared" ca="1" si="138"/>
        <v>0</v>
      </c>
      <c r="HO26" s="26">
        <f t="shared" ca="1" si="138"/>
        <v>0</v>
      </c>
      <c r="HP26" s="26">
        <f t="shared" ca="1" si="138"/>
        <v>0</v>
      </c>
      <c r="HQ26" s="26">
        <f t="shared" ca="1" si="138"/>
        <v>0</v>
      </c>
      <c r="HR26" s="26">
        <f t="shared" ca="1" si="138"/>
        <v>0</v>
      </c>
      <c r="HS26" s="26">
        <f t="shared" ca="1" si="138"/>
        <v>0</v>
      </c>
      <c r="HT26" s="26">
        <f t="shared" ca="1" si="138"/>
        <v>0</v>
      </c>
      <c r="HU26" s="26">
        <f t="shared" ca="1" si="138"/>
        <v>0</v>
      </c>
      <c r="HV26" s="26">
        <f t="shared" ca="1" si="138"/>
        <v>0</v>
      </c>
      <c r="HW26" s="26">
        <f t="shared" ca="1" si="138"/>
        <v>0</v>
      </c>
      <c r="HX26" s="26">
        <f t="shared" ca="1" si="138"/>
        <v>0</v>
      </c>
      <c r="HY26" s="26">
        <f t="shared" ca="1" si="138"/>
        <v>0</v>
      </c>
      <c r="HZ26" s="26">
        <f t="shared" ca="1" si="138"/>
        <v>0</v>
      </c>
      <c r="IA26" s="26">
        <f t="shared" ca="1" si="138"/>
        <v>0</v>
      </c>
      <c r="IB26" s="26">
        <f t="shared" ca="1" si="138"/>
        <v>0</v>
      </c>
      <c r="IC26" s="26">
        <f t="shared" ca="1" si="138"/>
        <v>0</v>
      </c>
      <c r="ID26" s="26">
        <f t="shared" ca="1" si="138"/>
        <v>0</v>
      </c>
      <c r="IE26" s="26">
        <f t="shared" ca="1" si="138"/>
        <v>0</v>
      </c>
      <c r="IF26" s="26">
        <f t="shared" ca="1" si="138"/>
        <v>0</v>
      </c>
      <c r="IG26" s="26">
        <f t="shared" ca="1" si="138"/>
        <v>0</v>
      </c>
      <c r="IH26" s="26">
        <f t="shared" ca="1" si="138"/>
        <v>0</v>
      </c>
      <c r="II26" s="26">
        <f t="shared" ca="1" si="138"/>
        <v>0</v>
      </c>
      <c r="IJ26" s="26">
        <f t="shared" ca="1" si="138"/>
        <v>0</v>
      </c>
      <c r="IK26" s="26">
        <f t="shared" ca="1" si="138"/>
        <v>0</v>
      </c>
      <c r="IL26" s="26">
        <f t="shared" ca="1" si="138"/>
        <v>0</v>
      </c>
      <c r="IM26" s="26">
        <f t="shared" ca="1" si="138"/>
        <v>0</v>
      </c>
      <c r="IN26" s="26">
        <f t="shared" ca="1" si="138"/>
        <v>0</v>
      </c>
    </row>
    <row r="27" spans="2:248" x14ac:dyDescent="0.3">
      <c r="B27" s="19" t="s">
        <v>427</v>
      </c>
      <c r="C27" s="21">
        <f ca="1">IF(C11&lt;0,MAX(G9:IN9)*1.1,_xlfn.MAXIFS(G8:IN8,G8:IN8,"&gt;"&amp;0)*2)</f>
        <v>3728</v>
      </c>
      <c r="D27" s="24">
        <f ca="1">IF(D31&lt;TODAY(),_xlfn.MAXIFS(G20:IN20,G4:IN4,"&lt;"&amp;C5+5),IF(D31="N/A",C16*1.5,_xlfn.MAXIFS(G20:IN20,G3:IN3,"&lt;"&amp;$D$31)*1.5))</f>
        <v>1965.6145287348436</v>
      </c>
      <c r="F27" s="22" t="s">
        <v>504</v>
      </c>
      <c r="G27" s="27">
        <f t="shared" ref="G27:BR27" ca="1" si="139">IF(G3=$C$24,1,-1000)</f>
        <v>-1000</v>
      </c>
      <c r="H27" s="27">
        <f t="shared" ca="1" si="139"/>
        <v>-1000</v>
      </c>
      <c r="I27" s="27">
        <f t="shared" ca="1" si="139"/>
        <v>-1000</v>
      </c>
      <c r="J27" s="27">
        <f t="shared" ca="1" si="139"/>
        <v>-1000</v>
      </c>
      <c r="K27" s="27">
        <f t="shared" ca="1" si="139"/>
        <v>-1000</v>
      </c>
      <c r="L27" s="27">
        <f t="shared" ca="1" si="139"/>
        <v>-1000</v>
      </c>
      <c r="M27" s="27">
        <f t="shared" ca="1" si="139"/>
        <v>-1000</v>
      </c>
      <c r="N27" s="27">
        <f t="shared" ca="1" si="139"/>
        <v>-1000</v>
      </c>
      <c r="O27" s="27">
        <f t="shared" ca="1" si="139"/>
        <v>-1000</v>
      </c>
      <c r="P27" s="27">
        <f t="shared" ca="1" si="139"/>
        <v>-1000</v>
      </c>
      <c r="Q27" s="27">
        <f t="shared" ca="1" si="139"/>
        <v>-1000</v>
      </c>
      <c r="R27" s="27">
        <f t="shared" ca="1" si="139"/>
        <v>-1000</v>
      </c>
      <c r="S27" s="27">
        <f t="shared" ca="1" si="139"/>
        <v>-1000</v>
      </c>
      <c r="T27" s="27">
        <f t="shared" ca="1" si="139"/>
        <v>-1000</v>
      </c>
      <c r="U27" s="27">
        <f t="shared" ca="1" si="139"/>
        <v>-1000</v>
      </c>
      <c r="V27" s="27">
        <f t="shared" ca="1" si="139"/>
        <v>-1000</v>
      </c>
      <c r="W27" s="27">
        <f t="shared" ca="1" si="139"/>
        <v>-1000</v>
      </c>
      <c r="X27" s="27">
        <f t="shared" ca="1" si="139"/>
        <v>-1000</v>
      </c>
      <c r="Y27" s="27">
        <f t="shared" ca="1" si="139"/>
        <v>-1000</v>
      </c>
      <c r="Z27" s="27">
        <f t="shared" ca="1" si="139"/>
        <v>-1000</v>
      </c>
      <c r="AA27" s="27">
        <f t="shared" ca="1" si="139"/>
        <v>-1000</v>
      </c>
      <c r="AB27" s="27">
        <f t="shared" ca="1" si="139"/>
        <v>-1000</v>
      </c>
      <c r="AC27" s="27">
        <f t="shared" ca="1" si="139"/>
        <v>-1000</v>
      </c>
      <c r="AD27" s="27">
        <f t="shared" ca="1" si="139"/>
        <v>-1000</v>
      </c>
      <c r="AE27" s="27">
        <f t="shared" ca="1" si="139"/>
        <v>-1000</v>
      </c>
      <c r="AF27" s="27">
        <f t="shared" ca="1" si="139"/>
        <v>-1000</v>
      </c>
      <c r="AG27" s="27">
        <f t="shared" ca="1" si="139"/>
        <v>-1000</v>
      </c>
      <c r="AH27" s="27">
        <f t="shared" ca="1" si="139"/>
        <v>-1000</v>
      </c>
      <c r="AI27" s="27">
        <f t="shared" ca="1" si="139"/>
        <v>-1000</v>
      </c>
      <c r="AJ27" s="27">
        <f t="shared" ca="1" si="139"/>
        <v>-1000</v>
      </c>
      <c r="AK27" s="27">
        <f t="shared" ca="1" si="139"/>
        <v>-1000</v>
      </c>
      <c r="AL27" s="27">
        <f t="shared" ca="1" si="139"/>
        <v>-1000</v>
      </c>
      <c r="AM27" s="27">
        <f t="shared" ca="1" si="139"/>
        <v>-1000</v>
      </c>
      <c r="AN27" s="27">
        <f t="shared" ca="1" si="139"/>
        <v>-1000</v>
      </c>
      <c r="AO27" s="27">
        <f t="shared" ca="1" si="139"/>
        <v>-1000</v>
      </c>
      <c r="AP27" s="27">
        <f t="shared" ca="1" si="139"/>
        <v>-1000</v>
      </c>
      <c r="AQ27" s="27">
        <f t="shared" ca="1" si="139"/>
        <v>-1000</v>
      </c>
      <c r="AR27" s="27">
        <f t="shared" ca="1" si="139"/>
        <v>-1000</v>
      </c>
      <c r="AS27" s="27">
        <f t="shared" ca="1" si="139"/>
        <v>-1000</v>
      </c>
      <c r="AT27" s="27">
        <f t="shared" ca="1" si="139"/>
        <v>-1000</v>
      </c>
      <c r="AU27" s="27">
        <f t="shared" ca="1" si="139"/>
        <v>-1000</v>
      </c>
      <c r="AV27" s="27">
        <f t="shared" ca="1" si="139"/>
        <v>-1000</v>
      </c>
      <c r="AW27" s="27">
        <f t="shared" ca="1" si="139"/>
        <v>-1000</v>
      </c>
      <c r="AX27" s="27">
        <f t="shared" ca="1" si="139"/>
        <v>-1000</v>
      </c>
      <c r="AY27" s="27">
        <f t="shared" ca="1" si="139"/>
        <v>-1000</v>
      </c>
      <c r="AZ27" s="27">
        <f t="shared" ca="1" si="139"/>
        <v>-1000</v>
      </c>
      <c r="BA27" s="27">
        <f t="shared" ca="1" si="139"/>
        <v>-1000</v>
      </c>
      <c r="BB27" s="27">
        <f t="shared" ca="1" si="139"/>
        <v>-1000</v>
      </c>
      <c r="BC27" s="27">
        <f t="shared" ca="1" si="139"/>
        <v>-1000</v>
      </c>
      <c r="BD27" s="27">
        <f t="shared" ca="1" si="139"/>
        <v>-1000</v>
      </c>
      <c r="BE27" s="27">
        <f t="shared" ca="1" si="139"/>
        <v>-1000</v>
      </c>
      <c r="BF27" s="27">
        <f t="shared" ca="1" si="139"/>
        <v>-1000</v>
      </c>
      <c r="BG27" s="27">
        <f t="shared" ca="1" si="139"/>
        <v>-1000</v>
      </c>
      <c r="BH27" s="27">
        <f t="shared" ca="1" si="139"/>
        <v>-1000</v>
      </c>
      <c r="BI27" s="27">
        <f t="shared" ca="1" si="139"/>
        <v>-1000</v>
      </c>
      <c r="BJ27" s="27">
        <f t="shared" ca="1" si="139"/>
        <v>-1000</v>
      </c>
      <c r="BK27" s="27">
        <f t="shared" ca="1" si="139"/>
        <v>-1000</v>
      </c>
      <c r="BL27" s="27">
        <f t="shared" ca="1" si="139"/>
        <v>-1000</v>
      </c>
      <c r="BM27" s="27">
        <f t="shared" ca="1" si="139"/>
        <v>-1000</v>
      </c>
      <c r="BN27" s="27">
        <f t="shared" ca="1" si="139"/>
        <v>-1000</v>
      </c>
      <c r="BO27" s="27">
        <f t="shared" ca="1" si="139"/>
        <v>-1000</v>
      </c>
      <c r="BP27" s="27">
        <f t="shared" ca="1" si="139"/>
        <v>-1000</v>
      </c>
      <c r="BQ27" s="27">
        <f t="shared" ca="1" si="139"/>
        <v>-1000</v>
      </c>
      <c r="BR27" s="27">
        <f t="shared" ca="1" si="139"/>
        <v>-1000</v>
      </c>
      <c r="BS27" s="27">
        <f t="shared" ref="BS27:ED27" ca="1" si="140">IF(BS3=$C$24,1,-1000)</f>
        <v>-1000</v>
      </c>
      <c r="BT27" s="27">
        <f t="shared" ca="1" si="140"/>
        <v>-1000</v>
      </c>
      <c r="BU27" s="27">
        <f t="shared" ca="1" si="140"/>
        <v>-1000</v>
      </c>
      <c r="BV27" s="27">
        <f t="shared" ca="1" si="140"/>
        <v>-1000</v>
      </c>
      <c r="BW27" s="27">
        <f t="shared" ca="1" si="140"/>
        <v>-1000</v>
      </c>
      <c r="BX27" s="27">
        <f t="shared" ca="1" si="140"/>
        <v>-1000</v>
      </c>
      <c r="BY27" s="27">
        <f t="shared" ca="1" si="140"/>
        <v>-1000</v>
      </c>
      <c r="BZ27" s="27">
        <f t="shared" ca="1" si="140"/>
        <v>-1000</v>
      </c>
      <c r="CA27" s="27">
        <f t="shared" ca="1" si="140"/>
        <v>-1000</v>
      </c>
      <c r="CB27" s="27">
        <f t="shared" ca="1" si="140"/>
        <v>-1000</v>
      </c>
      <c r="CC27" s="27">
        <f t="shared" ca="1" si="140"/>
        <v>-1000</v>
      </c>
      <c r="CD27" s="27">
        <f t="shared" ca="1" si="140"/>
        <v>-1000</v>
      </c>
      <c r="CE27" s="27">
        <f t="shared" ca="1" si="140"/>
        <v>-1000</v>
      </c>
      <c r="CF27" s="27">
        <f t="shared" ca="1" si="140"/>
        <v>-1000</v>
      </c>
      <c r="CG27" s="27">
        <f t="shared" ca="1" si="140"/>
        <v>-1000</v>
      </c>
      <c r="CH27" s="27">
        <f t="shared" ca="1" si="140"/>
        <v>-1000</v>
      </c>
      <c r="CI27" s="27">
        <f t="shared" ca="1" si="140"/>
        <v>-1000</v>
      </c>
      <c r="CJ27" s="27">
        <f t="shared" ca="1" si="140"/>
        <v>-1000</v>
      </c>
      <c r="CK27" s="27">
        <f t="shared" ca="1" si="140"/>
        <v>-1000</v>
      </c>
      <c r="CL27" s="27">
        <f t="shared" ca="1" si="140"/>
        <v>-1000</v>
      </c>
      <c r="CM27" s="27">
        <f t="shared" ca="1" si="140"/>
        <v>-1000</v>
      </c>
      <c r="CN27" s="27">
        <f t="shared" ca="1" si="140"/>
        <v>-1000</v>
      </c>
      <c r="CO27" s="27">
        <f t="shared" ca="1" si="140"/>
        <v>-1000</v>
      </c>
      <c r="CP27" s="27">
        <f t="shared" ca="1" si="140"/>
        <v>-1000</v>
      </c>
      <c r="CQ27" s="27">
        <f t="shared" ca="1" si="140"/>
        <v>-1000</v>
      </c>
      <c r="CR27" s="27">
        <f t="shared" ca="1" si="140"/>
        <v>-1000</v>
      </c>
      <c r="CS27" s="27">
        <f t="shared" ca="1" si="140"/>
        <v>-1000</v>
      </c>
      <c r="CT27" s="27">
        <f t="shared" ca="1" si="140"/>
        <v>-1000</v>
      </c>
      <c r="CU27" s="27">
        <f t="shared" ca="1" si="140"/>
        <v>-1000</v>
      </c>
      <c r="CV27" s="27">
        <f t="shared" ca="1" si="140"/>
        <v>-1000</v>
      </c>
      <c r="CW27" s="27">
        <f t="shared" ca="1" si="140"/>
        <v>-1000</v>
      </c>
      <c r="CX27" s="27">
        <f t="shared" ca="1" si="140"/>
        <v>-1000</v>
      </c>
      <c r="CY27" s="27">
        <f t="shared" ca="1" si="140"/>
        <v>-1000</v>
      </c>
      <c r="CZ27" s="27">
        <f t="shared" ca="1" si="140"/>
        <v>-1000</v>
      </c>
      <c r="DA27" s="27">
        <f t="shared" ca="1" si="140"/>
        <v>-1000</v>
      </c>
      <c r="DB27" s="27">
        <f t="shared" ca="1" si="140"/>
        <v>-1000</v>
      </c>
      <c r="DC27" s="27">
        <f t="shared" ca="1" si="140"/>
        <v>-1000</v>
      </c>
      <c r="DD27" s="27">
        <f t="shared" ca="1" si="140"/>
        <v>-1000</v>
      </c>
      <c r="DE27" s="27">
        <f t="shared" ca="1" si="140"/>
        <v>-1000</v>
      </c>
      <c r="DF27" s="27">
        <f t="shared" ca="1" si="140"/>
        <v>-1000</v>
      </c>
      <c r="DG27" s="27">
        <f t="shared" ca="1" si="140"/>
        <v>-1000</v>
      </c>
      <c r="DH27" s="27">
        <f t="shared" ca="1" si="140"/>
        <v>-1000</v>
      </c>
      <c r="DI27" s="27">
        <f t="shared" ca="1" si="140"/>
        <v>-1000</v>
      </c>
      <c r="DJ27" s="27">
        <f t="shared" ca="1" si="140"/>
        <v>-1000</v>
      </c>
      <c r="DK27" s="27">
        <f t="shared" ca="1" si="140"/>
        <v>-1000</v>
      </c>
      <c r="DL27" s="27">
        <f t="shared" ca="1" si="140"/>
        <v>-1000</v>
      </c>
      <c r="DM27" s="27">
        <f t="shared" ca="1" si="140"/>
        <v>-1000</v>
      </c>
      <c r="DN27" s="27">
        <f t="shared" ca="1" si="140"/>
        <v>-1000</v>
      </c>
      <c r="DO27" s="27">
        <f t="shared" ca="1" si="140"/>
        <v>-1000</v>
      </c>
      <c r="DP27" s="27">
        <f t="shared" ca="1" si="140"/>
        <v>-1000</v>
      </c>
      <c r="DQ27" s="27">
        <f t="shared" ca="1" si="140"/>
        <v>-1000</v>
      </c>
      <c r="DR27" s="27">
        <f t="shared" ca="1" si="140"/>
        <v>-1000</v>
      </c>
      <c r="DS27" s="27">
        <f t="shared" ca="1" si="140"/>
        <v>-1000</v>
      </c>
      <c r="DT27" s="27">
        <f t="shared" ca="1" si="140"/>
        <v>-1000</v>
      </c>
      <c r="DU27" s="27">
        <f t="shared" ca="1" si="140"/>
        <v>-1000</v>
      </c>
      <c r="DV27" s="27">
        <f t="shared" ca="1" si="140"/>
        <v>-1000</v>
      </c>
      <c r="DW27" s="27">
        <f t="shared" ca="1" si="140"/>
        <v>-1000</v>
      </c>
      <c r="DX27" s="27">
        <f t="shared" ca="1" si="140"/>
        <v>-1000</v>
      </c>
      <c r="DY27" s="27">
        <f t="shared" ca="1" si="140"/>
        <v>-1000</v>
      </c>
      <c r="DZ27" s="27">
        <f t="shared" ca="1" si="140"/>
        <v>-1000</v>
      </c>
      <c r="EA27" s="27">
        <f t="shared" ca="1" si="140"/>
        <v>-1000</v>
      </c>
      <c r="EB27" s="27">
        <f t="shared" ca="1" si="140"/>
        <v>-1000</v>
      </c>
      <c r="EC27" s="27">
        <f t="shared" ca="1" si="140"/>
        <v>-1000</v>
      </c>
      <c r="ED27" s="27">
        <f t="shared" ca="1" si="140"/>
        <v>-1000</v>
      </c>
      <c r="EE27" s="27">
        <f t="shared" ref="EE27:GP27" ca="1" si="141">IF(EE3=$C$24,1,-1000)</f>
        <v>-1000</v>
      </c>
      <c r="EF27" s="27">
        <f t="shared" ca="1" si="141"/>
        <v>-1000</v>
      </c>
      <c r="EG27" s="27">
        <f t="shared" ca="1" si="141"/>
        <v>-1000</v>
      </c>
      <c r="EH27" s="27">
        <f t="shared" ca="1" si="141"/>
        <v>-1000</v>
      </c>
      <c r="EI27" s="27">
        <f t="shared" ca="1" si="141"/>
        <v>-1000</v>
      </c>
      <c r="EJ27" s="27">
        <f t="shared" ca="1" si="141"/>
        <v>-1000</v>
      </c>
      <c r="EK27" s="27">
        <f t="shared" ca="1" si="141"/>
        <v>-1000</v>
      </c>
      <c r="EL27" s="27">
        <f t="shared" ca="1" si="141"/>
        <v>-1000</v>
      </c>
      <c r="EM27" s="27">
        <f t="shared" ca="1" si="141"/>
        <v>-1000</v>
      </c>
      <c r="EN27" s="27">
        <f t="shared" ca="1" si="141"/>
        <v>-1000</v>
      </c>
      <c r="EO27" s="27">
        <f t="shared" ca="1" si="141"/>
        <v>-1000</v>
      </c>
      <c r="EP27" s="27">
        <f t="shared" ca="1" si="141"/>
        <v>-1000</v>
      </c>
      <c r="EQ27" s="27">
        <f t="shared" ca="1" si="141"/>
        <v>-1000</v>
      </c>
      <c r="ER27" s="27">
        <f t="shared" ca="1" si="141"/>
        <v>-1000</v>
      </c>
      <c r="ES27" s="27">
        <f t="shared" ca="1" si="141"/>
        <v>-1000</v>
      </c>
      <c r="ET27" s="27">
        <f t="shared" ca="1" si="141"/>
        <v>-1000</v>
      </c>
      <c r="EU27" s="27">
        <f t="shared" ca="1" si="141"/>
        <v>-1000</v>
      </c>
      <c r="EV27" s="27">
        <f t="shared" ca="1" si="141"/>
        <v>-1000</v>
      </c>
      <c r="EW27" s="27">
        <f t="shared" ca="1" si="141"/>
        <v>-1000</v>
      </c>
      <c r="EX27" s="27">
        <f t="shared" ca="1" si="141"/>
        <v>-1000</v>
      </c>
      <c r="EY27" s="27">
        <f t="shared" ca="1" si="141"/>
        <v>-1000</v>
      </c>
      <c r="EZ27" s="27">
        <f t="shared" ca="1" si="141"/>
        <v>-1000</v>
      </c>
      <c r="FA27" s="27">
        <f t="shared" ca="1" si="141"/>
        <v>-1000</v>
      </c>
      <c r="FB27" s="27">
        <f t="shared" ca="1" si="141"/>
        <v>-1000</v>
      </c>
      <c r="FC27" s="27">
        <f t="shared" ca="1" si="141"/>
        <v>-1000</v>
      </c>
      <c r="FD27" s="27">
        <f t="shared" ca="1" si="141"/>
        <v>-1000</v>
      </c>
      <c r="FE27" s="27">
        <f t="shared" ca="1" si="141"/>
        <v>-1000</v>
      </c>
      <c r="FF27" s="27">
        <f t="shared" ca="1" si="141"/>
        <v>-1000</v>
      </c>
      <c r="FG27" s="27">
        <f t="shared" ca="1" si="141"/>
        <v>-1000</v>
      </c>
      <c r="FH27" s="27">
        <f t="shared" ca="1" si="141"/>
        <v>-1000</v>
      </c>
      <c r="FI27" s="27">
        <f t="shared" ca="1" si="141"/>
        <v>-1000</v>
      </c>
      <c r="FJ27" s="27">
        <f t="shared" ca="1" si="141"/>
        <v>-1000</v>
      </c>
      <c r="FK27" s="27">
        <f t="shared" ca="1" si="141"/>
        <v>-1000</v>
      </c>
      <c r="FL27" s="27">
        <f t="shared" ca="1" si="141"/>
        <v>-1000</v>
      </c>
      <c r="FM27" s="27">
        <f t="shared" ca="1" si="141"/>
        <v>-1000</v>
      </c>
      <c r="FN27" s="27">
        <f t="shared" ca="1" si="141"/>
        <v>-1000</v>
      </c>
      <c r="FO27" s="27">
        <f t="shared" ca="1" si="141"/>
        <v>-1000</v>
      </c>
      <c r="FP27" s="27">
        <f t="shared" ca="1" si="141"/>
        <v>-1000</v>
      </c>
      <c r="FQ27" s="27">
        <f t="shared" ca="1" si="141"/>
        <v>-1000</v>
      </c>
      <c r="FR27" s="27">
        <f t="shared" ca="1" si="141"/>
        <v>-1000</v>
      </c>
      <c r="FS27" s="27">
        <f t="shared" ca="1" si="141"/>
        <v>-1000</v>
      </c>
      <c r="FT27" s="27">
        <f t="shared" ca="1" si="141"/>
        <v>-1000</v>
      </c>
      <c r="FU27" s="27">
        <f t="shared" ca="1" si="141"/>
        <v>-1000</v>
      </c>
      <c r="FV27" s="27">
        <f t="shared" ca="1" si="141"/>
        <v>-1000</v>
      </c>
      <c r="FW27" s="27">
        <f t="shared" ca="1" si="141"/>
        <v>-1000</v>
      </c>
      <c r="FX27" s="27">
        <f t="shared" ca="1" si="141"/>
        <v>-1000</v>
      </c>
      <c r="FY27" s="27">
        <f t="shared" ca="1" si="141"/>
        <v>-1000</v>
      </c>
      <c r="FZ27" s="27">
        <f t="shared" ca="1" si="141"/>
        <v>-1000</v>
      </c>
      <c r="GA27" s="27">
        <f t="shared" ca="1" si="141"/>
        <v>-1000</v>
      </c>
      <c r="GB27" s="27">
        <f t="shared" ca="1" si="141"/>
        <v>-1000</v>
      </c>
      <c r="GC27" s="27">
        <f t="shared" ca="1" si="141"/>
        <v>-1000</v>
      </c>
      <c r="GD27" s="27">
        <f t="shared" ca="1" si="141"/>
        <v>-1000</v>
      </c>
      <c r="GE27" s="27">
        <f t="shared" ca="1" si="141"/>
        <v>-1000</v>
      </c>
      <c r="GF27" s="27">
        <f t="shared" ca="1" si="141"/>
        <v>-1000</v>
      </c>
      <c r="GG27" s="27">
        <f t="shared" ca="1" si="141"/>
        <v>-1000</v>
      </c>
      <c r="GH27" s="27">
        <f t="shared" ca="1" si="141"/>
        <v>-1000</v>
      </c>
      <c r="GI27" s="27">
        <f t="shared" ca="1" si="141"/>
        <v>-1000</v>
      </c>
      <c r="GJ27" s="27">
        <f t="shared" ca="1" si="141"/>
        <v>-1000</v>
      </c>
      <c r="GK27" s="27">
        <f t="shared" ca="1" si="141"/>
        <v>-1000</v>
      </c>
      <c r="GL27" s="27">
        <f t="shared" ca="1" si="141"/>
        <v>-1000</v>
      </c>
      <c r="GM27" s="27">
        <f t="shared" ca="1" si="141"/>
        <v>-1000</v>
      </c>
      <c r="GN27" s="27">
        <f t="shared" ca="1" si="141"/>
        <v>-1000</v>
      </c>
      <c r="GO27" s="27">
        <f t="shared" ca="1" si="141"/>
        <v>-1000</v>
      </c>
      <c r="GP27" s="27">
        <f t="shared" ca="1" si="141"/>
        <v>-1000</v>
      </c>
      <c r="GQ27" s="27">
        <f t="shared" ref="GQ27:IN27" ca="1" si="142">IF(GQ3=$C$24,1,-1000)</f>
        <v>-1000</v>
      </c>
      <c r="GR27" s="27">
        <f t="shared" ca="1" si="142"/>
        <v>-1000</v>
      </c>
      <c r="GS27" s="27">
        <f t="shared" ca="1" si="142"/>
        <v>-1000</v>
      </c>
      <c r="GT27" s="27">
        <f t="shared" ca="1" si="142"/>
        <v>-1000</v>
      </c>
      <c r="GU27" s="27">
        <f t="shared" ca="1" si="142"/>
        <v>-1000</v>
      </c>
      <c r="GV27" s="27">
        <f t="shared" ca="1" si="142"/>
        <v>-1000</v>
      </c>
      <c r="GW27" s="27">
        <f t="shared" ca="1" si="142"/>
        <v>-1000</v>
      </c>
      <c r="GX27" s="27">
        <f t="shared" ca="1" si="142"/>
        <v>-1000</v>
      </c>
      <c r="GY27" s="27">
        <f t="shared" ca="1" si="142"/>
        <v>-1000</v>
      </c>
      <c r="GZ27" s="27">
        <f t="shared" ca="1" si="142"/>
        <v>-1000</v>
      </c>
      <c r="HA27" s="27">
        <f t="shared" ca="1" si="142"/>
        <v>-1000</v>
      </c>
      <c r="HB27" s="27">
        <f t="shared" ca="1" si="142"/>
        <v>-1000</v>
      </c>
      <c r="HC27" s="27">
        <f t="shared" ca="1" si="142"/>
        <v>-1000</v>
      </c>
      <c r="HD27" s="27">
        <f t="shared" ca="1" si="142"/>
        <v>-1000</v>
      </c>
      <c r="HE27" s="27">
        <f t="shared" ca="1" si="142"/>
        <v>-1000</v>
      </c>
      <c r="HF27" s="27">
        <f t="shared" ca="1" si="142"/>
        <v>-1000</v>
      </c>
      <c r="HG27" s="27">
        <f t="shared" ca="1" si="142"/>
        <v>-1000</v>
      </c>
      <c r="HH27" s="27">
        <f t="shared" ca="1" si="142"/>
        <v>-1000</v>
      </c>
      <c r="HI27" s="27">
        <f t="shared" ca="1" si="142"/>
        <v>-1000</v>
      </c>
      <c r="HJ27" s="27">
        <f t="shared" ca="1" si="142"/>
        <v>-1000</v>
      </c>
      <c r="HK27" s="27">
        <f t="shared" ca="1" si="142"/>
        <v>-1000</v>
      </c>
      <c r="HL27" s="27">
        <f t="shared" ca="1" si="142"/>
        <v>-1000</v>
      </c>
      <c r="HM27" s="27">
        <f t="shared" ca="1" si="142"/>
        <v>-1000</v>
      </c>
      <c r="HN27" s="27">
        <f t="shared" ca="1" si="142"/>
        <v>-1000</v>
      </c>
      <c r="HO27" s="27">
        <f t="shared" ca="1" si="142"/>
        <v>-1000</v>
      </c>
      <c r="HP27" s="27">
        <f t="shared" ca="1" si="142"/>
        <v>-1000</v>
      </c>
      <c r="HQ27" s="27">
        <f t="shared" ca="1" si="142"/>
        <v>-1000</v>
      </c>
      <c r="HR27" s="27">
        <f t="shared" ca="1" si="142"/>
        <v>-1000</v>
      </c>
      <c r="HS27" s="27">
        <f t="shared" ca="1" si="142"/>
        <v>-1000</v>
      </c>
      <c r="HT27" s="27">
        <f t="shared" ca="1" si="142"/>
        <v>-1000</v>
      </c>
      <c r="HU27" s="27">
        <f t="shared" ca="1" si="142"/>
        <v>-1000</v>
      </c>
      <c r="HV27" s="27">
        <f t="shared" ca="1" si="142"/>
        <v>-1000</v>
      </c>
      <c r="HW27" s="27">
        <f t="shared" ca="1" si="142"/>
        <v>-1000</v>
      </c>
      <c r="HX27" s="27">
        <f t="shared" ca="1" si="142"/>
        <v>-1000</v>
      </c>
      <c r="HY27" s="27">
        <f t="shared" ca="1" si="142"/>
        <v>-1000</v>
      </c>
      <c r="HZ27" s="27">
        <f t="shared" ca="1" si="142"/>
        <v>-1000</v>
      </c>
      <c r="IA27" s="27">
        <f t="shared" ca="1" si="142"/>
        <v>-1000</v>
      </c>
      <c r="IB27" s="27">
        <f t="shared" ca="1" si="142"/>
        <v>-1000</v>
      </c>
      <c r="IC27" s="27">
        <f t="shared" ca="1" si="142"/>
        <v>-1000</v>
      </c>
      <c r="ID27" s="27">
        <f t="shared" ca="1" si="142"/>
        <v>-1000</v>
      </c>
      <c r="IE27" s="27">
        <f t="shared" ca="1" si="142"/>
        <v>-1000</v>
      </c>
      <c r="IF27" s="27">
        <f t="shared" ca="1" si="142"/>
        <v>-1000</v>
      </c>
      <c r="IG27" s="27">
        <f t="shared" ca="1" si="142"/>
        <v>-1000</v>
      </c>
      <c r="IH27" s="27">
        <f t="shared" ca="1" si="142"/>
        <v>-1000</v>
      </c>
      <c r="II27" s="27">
        <f t="shared" ca="1" si="142"/>
        <v>-1000</v>
      </c>
      <c r="IJ27" s="27">
        <f t="shared" ca="1" si="142"/>
        <v>-1000</v>
      </c>
      <c r="IK27" s="27">
        <f t="shared" ca="1" si="142"/>
        <v>-1000</v>
      </c>
      <c r="IL27" s="27">
        <f t="shared" ca="1" si="142"/>
        <v>-1000</v>
      </c>
      <c r="IM27" s="27">
        <f t="shared" ca="1" si="142"/>
        <v>-1000</v>
      </c>
      <c r="IN27" s="27">
        <f t="shared" ca="1" si="142"/>
        <v>-1000</v>
      </c>
    </row>
    <row r="28" spans="2:248" ht="15" thickBot="1" x14ac:dyDescent="0.35">
      <c r="F28" s="22" t="s">
        <v>502</v>
      </c>
      <c r="G28" s="27">
        <f t="shared" ref="G28:BR28" ca="1" si="143">IF(G27=1,-1000,IF(G3=$C$23,1,-1000))</f>
        <v>-1000</v>
      </c>
      <c r="H28" s="27">
        <f t="shared" ca="1" si="143"/>
        <v>-1000</v>
      </c>
      <c r="I28" s="27">
        <f t="shared" ca="1" si="143"/>
        <v>-1000</v>
      </c>
      <c r="J28" s="27">
        <f t="shared" ca="1" si="143"/>
        <v>-1000</v>
      </c>
      <c r="K28" s="27">
        <f t="shared" ca="1" si="143"/>
        <v>-1000</v>
      </c>
      <c r="L28" s="27">
        <f t="shared" ca="1" si="143"/>
        <v>-1000</v>
      </c>
      <c r="M28" s="27">
        <f t="shared" ca="1" si="143"/>
        <v>-1000</v>
      </c>
      <c r="N28" s="27">
        <f t="shared" ca="1" si="143"/>
        <v>-1000</v>
      </c>
      <c r="O28" s="27">
        <f t="shared" ca="1" si="143"/>
        <v>-1000</v>
      </c>
      <c r="P28" s="27">
        <f t="shared" ca="1" si="143"/>
        <v>-1000</v>
      </c>
      <c r="Q28" s="27">
        <f t="shared" ca="1" si="143"/>
        <v>-1000</v>
      </c>
      <c r="R28" s="27">
        <f t="shared" ca="1" si="143"/>
        <v>-1000</v>
      </c>
      <c r="S28" s="27">
        <f t="shared" ca="1" si="143"/>
        <v>-1000</v>
      </c>
      <c r="T28" s="27">
        <f t="shared" ca="1" si="143"/>
        <v>-1000</v>
      </c>
      <c r="U28" s="27">
        <f t="shared" ca="1" si="143"/>
        <v>-1000</v>
      </c>
      <c r="V28" s="27">
        <f t="shared" ca="1" si="143"/>
        <v>-1000</v>
      </c>
      <c r="W28" s="27">
        <f t="shared" ca="1" si="143"/>
        <v>-1000</v>
      </c>
      <c r="X28" s="27">
        <f t="shared" ca="1" si="143"/>
        <v>-1000</v>
      </c>
      <c r="Y28" s="27">
        <f t="shared" ca="1" si="143"/>
        <v>-1000</v>
      </c>
      <c r="Z28" s="27">
        <f t="shared" ca="1" si="143"/>
        <v>-1000</v>
      </c>
      <c r="AA28" s="27">
        <f t="shared" ca="1" si="143"/>
        <v>-1000</v>
      </c>
      <c r="AB28" s="27">
        <f t="shared" ca="1" si="143"/>
        <v>-1000</v>
      </c>
      <c r="AC28" s="27">
        <f t="shared" ca="1" si="143"/>
        <v>-1000</v>
      </c>
      <c r="AD28" s="27">
        <f t="shared" ca="1" si="143"/>
        <v>-1000</v>
      </c>
      <c r="AE28" s="27">
        <f t="shared" ca="1" si="143"/>
        <v>-1000</v>
      </c>
      <c r="AF28" s="27">
        <f t="shared" ca="1" si="143"/>
        <v>-1000</v>
      </c>
      <c r="AG28" s="27">
        <f t="shared" ca="1" si="143"/>
        <v>-1000</v>
      </c>
      <c r="AH28" s="27">
        <f t="shared" ca="1" si="143"/>
        <v>-1000</v>
      </c>
      <c r="AI28" s="27">
        <f t="shared" ca="1" si="143"/>
        <v>-1000</v>
      </c>
      <c r="AJ28" s="27">
        <f t="shared" ca="1" si="143"/>
        <v>-1000</v>
      </c>
      <c r="AK28" s="27">
        <f t="shared" ca="1" si="143"/>
        <v>-1000</v>
      </c>
      <c r="AL28" s="27">
        <f t="shared" ca="1" si="143"/>
        <v>-1000</v>
      </c>
      <c r="AM28" s="27">
        <f t="shared" ca="1" si="143"/>
        <v>-1000</v>
      </c>
      <c r="AN28" s="27">
        <f t="shared" ca="1" si="143"/>
        <v>-1000</v>
      </c>
      <c r="AO28" s="27">
        <f t="shared" ca="1" si="143"/>
        <v>-1000</v>
      </c>
      <c r="AP28" s="27">
        <f t="shared" ca="1" si="143"/>
        <v>-1000</v>
      </c>
      <c r="AQ28" s="27">
        <f t="shared" ca="1" si="143"/>
        <v>-1000</v>
      </c>
      <c r="AR28" s="27">
        <f t="shared" ca="1" si="143"/>
        <v>-1000</v>
      </c>
      <c r="AS28" s="27">
        <f t="shared" ca="1" si="143"/>
        <v>-1000</v>
      </c>
      <c r="AT28" s="27">
        <f t="shared" ca="1" si="143"/>
        <v>-1000</v>
      </c>
      <c r="AU28" s="27">
        <f t="shared" ca="1" si="143"/>
        <v>-1000</v>
      </c>
      <c r="AV28" s="27">
        <f t="shared" ca="1" si="143"/>
        <v>-1000</v>
      </c>
      <c r="AW28" s="27">
        <f t="shared" ca="1" si="143"/>
        <v>-1000</v>
      </c>
      <c r="AX28" s="27">
        <f t="shared" ca="1" si="143"/>
        <v>-1000</v>
      </c>
      <c r="AY28" s="27">
        <f t="shared" ca="1" si="143"/>
        <v>-1000</v>
      </c>
      <c r="AZ28" s="27">
        <f t="shared" ca="1" si="143"/>
        <v>-1000</v>
      </c>
      <c r="BA28" s="27">
        <f t="shared" ca="1" si="143"/>
        <v>-1000</v>
      </c>
      <c r="BB28" s="27">
        <f t="shared" ca="1" si="143"/>
        <v>-1000</v>
      </c>
      <c r="BC28" s="27">
        <f t="shared" ca="1" si="143"/>
        <v>-1000</v>
      </c>
      <c r="BD28" s="27">
        <f t="shared" ca="1" si="143"/>
        <v>-1000</v>
      </c>
      <c r="BE28" s="27">
        <f t="shared" ca="1" si="143"/>
        <v>-1000</v>
      </c>
      <c r="BF28" s="27">
        <f t="shared" ca="1" si="143"/>
        <v>-1000</v>
      </c>
      <c r="BG28" s="27">
        <f t="shared" ca="1" si="143"/>
        <v>-1000</v>
      </c>
      <c r="BH28" s="27">
        <f t="shared" ca="1" si="143"/>
        <v>-1000</v>
      </c>
      <c r="BI28" s="27">
        <f t="shared" ca="1" si="143"/>
        <v>-1000</v>
      </c>
      <c r="BJ28" s="27">
        <f t="shared" ca="1" si="143"/>
        <v>-1000</v>
      </c>
      <c r="BK28" s="27">
        <f t="shared" ca="1" si="143"/>
        <v>-1000</v>
      </c>
      <c r="BL28" s="27">
        <f t="shared" ca="1" si="143"/>
        <v>-1000</v>
      </c>
      <c r="BM28" s="27">
        <f t="shared" ca="1" si="143"/>
        <v>-1000</v>
      </c>
      <c r="BN28" s="27">
        <f t="shared" ca="1" si="143"/>
        <v>-1000</v>
      </c>
      <c r="BO28" s="27">
        <f t="shared" ca="1" si="143"/>
        <v>-1000</v>
      </c>
      <c r="BP28" s="27">
        <f t="shared" ca="1" si="143"/>
        <v>-1000</v>
      </c>
      <c r="BQ28" s="27">
        <f t="shared" ca="1" si="143"/>
        <v>-1000</v>
      </c>
      <c r="BR28" s="27">
        <f t="shared" ca="1" si="143"/>
        <v>-1000</v>
      </c>
      <c r="BS28" s="27">
        <f t="shared" ref="BS28:ED28" ca="1" si="144">IF(BS27=1,-1000,IF(BS3=$C$23,1,-1000))</f>
        <v>-1000</v>
      </c>
      <c r="BT28" s="27">
        <f t="shared" ca="1" si="144"/>
        <v>-1000</v>
      </c>
      <c r="BU28" s="27">
        <f t="shared" ca="1" si="144"/>
        <v>-1000</v>
      </c>
      <c r="BV28" s="27">
        <f t="shared" ca="1" si="144"/>
        <v>-1000</v>
      </c>
      <c r="BW28" s="27">
        <f t="shared" ca="1" si="144"/>
        <v>-1000</v>
      </c>
      <c r="BX28" s="27">
        <f t="shared" ca="1" si="144"/>
        <v>-1000</v>
      </c>
      <c r="BY28" s="27">
        <f t="shared" ca="1" si="144"/>
        <v>-1000</v>
      </c>
      <c r="BZ28" s="27">
        <f t="shared" ca="1" si="144"/>
        <v>-1000</v>
      </c>
      <c r="CA28" s="27">
        <f t="shared" ca="1" si="144"/>
        <v>-1000</v>
      </c>
      <c r="CB28" s="27">
        <f t="shared" ca="1" si="144"/>
        <v>-1000</v>
      </c>
      <c r="CC28" s="27">
        <f t="shared" ca="1" si="144"/>
        <v>-1000</v>
      </c>
      <c r="CD28" s="27">
        <f t="shared" ca="1" si="144"/>
        <v>-1000</v>
      </c>
      <c r="CE28" s="27">
        <f t="shared" ca="1" si="144"/>
        <v>-1000</v>
      </c>
      <c r="CF28" s="27">
        <f t="shared" ca="1" si="144"/>
        <v>-1000</v>
      </c>
      <c r="CG28" s="27">
        <f t="shared" ca="1" si="144"/>
        <v>-1000</v>
      </c>
      <c r="CH28" s="27">
        <f t="shared" ca="1" si="144"/>
        <v>-1000</v>
      </c>
      <c r="CI28" s="27">
        <f t="shared" ca="1" si="144"/>
        <v>-1000</v>
      </c>
      <c r="CJ28" s="27">
        <f t="shared" ca="1" si="144"/>
        <v>-1000</v>
      </c>
      <c r="CK28" s="27">
        <f t="shared" ca="1" si="144"/>
        <v>-1000</v>
      </c>
      <c r="CL28" s="27">
        <f t="shared" ca="1" si="144"/>
        <v>-1000</v>
      </c>
      <c r="CM28" s="27">
        <f t="shared" ca="1" si="144"/>
        <v>-1000</v>
      </c>
      <c r="CN28" s="27">
        <f t="shared" ca="1" si="144"/>
        <v>-1000</v>
      </c>
      <c r="CO28" s="27">
        <f t="shared" ca="1" si="144"/>
        <v>-1000</v>
      </c>
      <c r="CP28" s="27">
        <f t="shared" ca="1" si="144"/>
        <v>-1000</v>
      </c>
      <c r="CQ28" s="27">
        <f t="shared" ca="1" si="144"/>
        <v>-1000</v>
      </c>
      <c r="CR28" s="27">
        <f t="shared" ca="1" si="144"/>
        <v>-1000</v>
      </c>
      <c r="CS28" s="27">
        <f t="shared" ca="1" si="144"/>
        <v>-1000</v>
      </c>
      <c r="CT28" s="27">
        <f t="shared" ca="1" si="144"/>
        <v>-1000</v>
      </c>
      <c r="CU28" s="27">
        <f t="shared" ca="1" si="144"/>
        <v>-1000</v>
      </c>
      <c r="CV28" s="27">
        <f t="shared" ca="1" si="144"/>
        <v>-1000</v>
      </c>
      <c r="CW28" s="27">
        <f t="shared" ca="1" si="144"/>
        <v>-1000</v>
      </c>
      <c r="CX28" s="27">
        <f t="shared" ca="1" si="144"/>
        <v>-1000</v>
      </c>
      <c r="CY28" s="27">
        <f t="shared" ca="1" si="144"/>
        <v>-1000</v>
      </c>
      <c r="CZ28" s="27">
        <f t="shared" ca="1" si="144"/>
        <v>-1000</v>
      </c>
      <c r="DA28" s="27">
        <f t="shared" ca="1" si="144"/>
        <v>-1000</v>
      </c>
      <c r="DB28" s="27">
        <f t="shared" ca="1" si="144"/>
        <v>-1000</v>
      </c>
      <c r="DC28" s="27">
        <f t="shared" ca="1" si="144"/>
        <v>-1000</v>
      </c>
      <c r="DD28" s="27">
        <f t="shared" ca="1" si="144"/>
        <v>-1000</v>
      </c>
      <c r="DE28" s="27">
        <f t="shared" ca="1" si="144"/>
        <v>-1000</v>
      </c>
      <c r="DF28" s="27">
        <f t="shared" ca="1" si="144"/>
        <v>-1000</v>
      </c>
      <c r="DG28" s="27">
        <f t="shared" ca="1" si="144"/>
        <v>-1000</v>
      </c>
      <c r="DH28" s="27">
        <f t="shared" ca="1" si="144"/>
        <v>-1000</v>
      </c>
      <c r="DI28" s="27">
        <f t="shared" ca="1" si="144"/>
        <v>-1000</v>
      </c>
      <c r="DJ28" s="27">
        <f t="shared" ca="1" si="144"/>
        <v>-1000</v>
      </c>
      <c r="DK28" s="27">
        <f t="shared" ca="1" si="144"/>
        <v>-1000</v>
      </c>
      <c r="DL28" s="27">
        <f t="shared" ca="1" si="144"/>
        <v>-1000</v>
      </c>
      <c r="DM28" s="27">
        <f t="shared" ca="1" si="144"/>
        <v>-1000</v>
      </c>
      <c r="DN28" s="27">
        <f t="shared" ca="1" si="144"/>
        <v>-1000</v>
      </c>
      <c r="DO28" s="27">
        <f t="shared" ca="1" si="144"/>
        <v>-1000</v>
      </c>
      <c r="DP28" s="27">
        <f t="shared" ca="1" si="144"/>
        <v>-1000</v>
      </c>
      <c r="DQ28" s="27">
        <f t="shared" ca="1" si="144"/>
        <v>-1000</v>
      </c>
      <c r="DR28" s="27">
        <f t="shared" ca="1" si="144"/>
        <v>-1000</v>
      </c>
      <c r="DS28" s="27">
        <f t="shared" ca="1" si="144"/>
        <v>-1000</v>
      </c>
      <c r="DT28" s="27">
        <f t="shared" ca="1" si="144"/>
        <v>-1000</v>
      </c>
      <c r="DU28" s="27">
        <f t="shared" ca="1" si="144"/>
        <v>-1000</v>
      </c>
      <c r="DV28" s="27">
        <f t="shared" ca="1" si="144"/>
        <v>-1000</v>
      </c>
      <c r="DW28" s="27">
        <f t="shared" ca="1" si="144"/>
        <v>-1000</v>
      </c>
      <c r="DX28" s="27">
        <f t="shared" ca="1" si="144"/>
        <v>-1000</v>
      </c>
      <c r="DY28" s="27">
        <f t="shared" ca="1" si="144"/>
        <v>-1000</v>
      </c>
      <c r="DZ28" s="27">
        <f t="shared" ca="1" si="144"/>
        <v>-1000</v>
      </c>
      <c r="EA28" s="27">
        <f t="shared" ca="1" si="144"/>
        <v>-1000</v>
      </c>
      <c r="EB28" s="27">
        <f t="shared" ca="1" si="144"/>
        <v>-1000</v>
      </c>
      <c r="EC28" s="27">
        <f t="shared" ca="1" si="144"/>
        <v>-1000</v>
      </c>
      <c r="ED28" s="27">
        <f t="shared" ca="1" si="144"/>
        <v>-1000</v>
      </c>
      <c r="EE28" s="27">
        <f t="shared" ref="EE28:GP28" ca="1" si="145">IF(EE27=1,-1000,IF(EE3=$C$23,1,-1000))</f>
        <v>-1000</v>
      </c>
      <c r="EF28" s="27">
        <f t="shared" ca="1" si="145"/>
        <v>-1000</v>
      </c>
      <c r="EG28" s="27">
        <f t="shared" ca="1" si="145"/>
        <v>-1000</v>
      </c>
      <c r="EH28" s="27">
        <f t="shared" ca="1" si="145"/>
        <v>-1000</v>
      </c>
      <c r="EI28" s="27">
        <f t="shared" ca="1" si="145"/>
        <v>-1000</v>
      </c>
      <c r="EJ28" s="27">
        <f t="shared" ca="1" si="145"/>
        <v>-1000</v>
      </c>
      <c r="EK28" s="27">
        <f t="shared" ca="1" si="145"/>
        <v>-1000</v>
      </c>
      <c r="EL28" s="27">
        <f t="shared" ca="1" si="145"/>
        <v>-1000</v>
      </c>
      <c r="EM28" s="27">
        <f t="shared" ca="1" si="145"/>
        <v>-1000</v>
      </c>
      <c r="EN28" s="27">
        <f t="shared" ca="1" si="145"/>
        <v>-1000</v>
      </c>
      <c r="EO28" s="27">
        <f t="shared" ca="1" si="145"/>
        <v>-1000</v>
      </c>
      <c r="EP28" s="27">
        <f t="shared" ca="1" si="145"/>
        <v>-1000</v>
      </c>
      <c r="EQ28" s="27">
        <f t="shared" ca="1" si="145"/>
        <v>-1000</v>
      </c>
      <c r="ER28" s="27">
        <f t="shared" ca="1" si="145"/>
        <v>-1000</v>
      </c>
      <c r="ES28" s="27">
        <f t="shared" ca="1" si="145"/>
        <v>-1000</v>
      </c>
      <c r="ET28" s="27">
        <f t="shared" ca="1" si="145"/>
        <v>-1000</v>
      </c>
      <c r="EU28" s="27">
        <f t="shared" ca="1" si="145"/>
        <v>-1000</v>
      </c>
      <c r="EV28" s="27">
        <f t="shared" ca="1" si="145"/>
        <v>-1000</v>
      </c>
      <c r="EW28" s="27">
        <f t="shared" ca="1" si="145"/>
        <v>-1000</v>
      </c>
      <c r="EX28" s="27">
        <f t="shared" ca="1" si="145"/>
        <v>-1000</v>
      </c>
      <c r="EY28" s="27">
        <f t="shared" ca="1" si="145"/>
        <v>-1000</v>
      </c>
      <c r="EZ28" s="27">
        <f t="shared" ca="1" si="145"/>
        <v>-1000</v>
      </c>
      <c r="FA28" s="27">
        <f t="shared" ca="1" si="145"/>
        <v>-1000</v>
      </c>
      <c r="FB28" s="27">
        <f t="shared" ca="1" si="145"/>
        <v>-1000</v>
      </c>
      <c r="FC28" s="27">
        <f t="shared" ca="1" si="145"/>
        <v>-1000</v>
      </c>
      <c r="FD28" s="27">
        <f t="shared" ca="1" si="145"/>
        <v>-1000</v>
      </c>
      <c r="FE28" s="27">
        <f t="shared" ca="1" si="145"/>
        <v>-1000</v>
      </c>
      <c r="FF28" s="27">
        <f t="shared" ca="1" si="145"/>
        <v>-1000</v>
      </c>
      <c r="FG28" s="27">
        <f t="shared" ca="1" si="145"/>
        <v>-1000</v>
      </c>
      <c r="FH28" s="27">
        <f t="shared" ca="1" si="145"/>
        <v>-1000</v>
      </c>
      <c r="FI28" s="27">
        <f t="shared" ca="1" si="145"/>
        <v>-1000</v>
      </c>
      <c r="FJ28" s="27">
        <f t="shared" ca="1" si="145"/>
        <v>-1000</v>
      </c>
      <c r="FK28" s="27">
        <f t="shared" ca="1" si="145"/>
        <v>-1000</v>
      </c>
      <c r="FL28" s="27">
        <f t="shared" ca="1" si="145"/>
        <v>-1000</v>
      </c>
      <c r="FM28" s="27">
        <f t="shared" ca="1" si="145"/>
        <v>-1000</v>
      </c>
      <c r="FN28" s="27">
        <f t="shared" ca="1" si="145"/>
        <v>-1000</v>
      </c>
      <c r="FO28" s="27">
        <f t="shared" ca="1" si="145"/>
        <v>-1000</v>
      </c>
      <c r="FP28" s="27">
        <f t="shared" ca="1" si="145"/>
        <v>-1000</v>
      </c>
      <c r="FQ28" s="27">
        <f t="shared" ca="1" si="145"/>
        <v>-1000</v>
      </c>
      <c r="FR28" s="27">
        <f t="shared" ca="1" si="145"/>
        <v>-1000</v>
      </c>
      <c r="FS28" s="27">
        <f t="shared" ca="1" si="145"/>
        <v>-1000</v>
      </c>
      <c r="FT28" s="27">
        <f t="shared" ca="1" si="145"/>
        <v>-1000</v>
      </c>
      <c r="FU28" s="27">
        <f t="shared" ca="1" si="145"/>
        <v>-1000</v>
      </c>
      <c r="FV28" s="27">
        <f t="shared" ca="1" si="145"/>
        <v>-1000</v>
      </c>
      <c r="FW28" s="27">
        <f t="shared" ca="1" si="145"/>
        <v>-1000</v>
      </c>
      <c r="FX28" s="27">
        <f t="shared" ca="1" si="145"/>
        <v>-1000</v>
      </c>
      <c r="FY28" s="27">
        <f t="shared" ca="1" si="145"/>
        <v>-1000</v>
      </c>
      <c r="FZ28" s="27">
        <f t="shared" ca="1" si="145"/>
        <v>-1000</v>
      </c>
      <c r="GA28" s="27">
        <f t="shared" ca="1" si="145"/>
        <v>-1000</v>
      </c>
      <c r="GB28" s="27">
        <f t="shared" ca="1" si="145"/>
        <v>-1000</v>
      </c>
      <c r="GC28" s="27">
        <f t="shared" ca="1" si="145"/>
        <v>-1000</v>
      </c>
      <c r="GD28" s="27">
        <f t="shared" ca="1" si="145"/>
        <v>-1000</v>
      </c>
      <c r="GE28" s="27">
        <f t="shared" ca="1" si="145"/>
        <v>-1000</v>
      </c>
      <c r="GF28" s="27">
        <f t="shared" ca="1" si="145"/>
        <v>-1000</v>
      </c>
      <c r="GG28" s="27">
        <f t="shared" ca="1" si="145"/>
        <v>-1000</v>
      </c>
      <c r="GH28" s="27">
        <f t="shared" ca="1" si="145"/>
        <v>-1000</v>
      </c>
      <c r="GI28" s="27">
        <f t="shared" ca="1" si="145"/>
        <v>-1000</v>
      </c>
      <c r="GJ28" s="27">
        <f t="shared" ca="1" si="145"/>
        <v>-1000</v>
      </c>
      <c r="GK28" s="27">
        <f t="shared" ca="1" si="145"/>
        <v>-1000</v>
      </c>
      <c r="GL28" s="27">
        <f t="shared" ca="1" si="145"/>
        <v>-1000</v>
      </c>
      <c r="GM28" s="27">
        <f t="shared" ca="1" si="145"/>
        <v>-1000</v>
      </c>
      <c r="GN28" s="27">
        <f t="shared" ca="1" si="145"/>
        <v>-1000</v>
      </c>
      <c r="GO28" s="27">
        <f t="shared" ca="1" si="145"/>
        <v>-1000</v>
      </c>
      <c r="GP28" s="27">
        <f t="shared" ca="1" si="145"/>
        <v>-1000</v>
      </c>
      <c r="GQ28" s="27">
        <f t="shared" ref="GQ28:IN28" ca="1" si="146">IF(GQ27=1,-1000,IF(GQ3=$C$23,1,-1000))</f>
        <v>-1000</v>
      </c>
      <c r="GR28" s="27">
        <f t="shared" ca="1" si="146"/>
        <v>-1000</v>
      </c>
      <c r="GS28" s="27">
        <f t="shared" ca="1" si="146"/>
        <v>-1000</v>
      </c>
      <c r="GT28" s="27">
        <f t="shared" ca="1" si="146"/>
        <v>-1000</v>
      </c>
      <c r="GU28" s="27">
        <f t="shared" ca="1" si="146"/>
        <v>-1000</v>
      </c>
      <c r="GV28" s="27">
        <f t="shared" ca="1" si="146"/>
        <v>-1000</v>
      </c>
      <c r="GW28" s="27">
        <f t="shared" ca="1" si="146"/>
        <v>-1000</v>
      </c>
      <c r="GX28" s="27">
        <f t="shared" ca="1" si="146"/>
        <v>-1000</v>
      </c>
      <c r="GY28" s="27">
        <f t="shared" ca="1" si="146"/>
        <v>-1000</v>
      </c>
      <c r="GZ28" s="27">
        <f t="shared" ca="1" si="146"/>
        <v>-1000</v>
      </c>
      <c r="HA28" s="27">
        <f t="shared" ca="1" si="146"/>
        <v>-1000</v>
      </c>
      <c r="HB28" s="27">
        <f t="shared" ca="1" si="146"/>
        <v>-1000</v>
      </c>
      <c r="HC28" s="27">
        <f t="shared" ca="1" si="146"/>
        <v>-1000</v>
      </c>
      <c r="HD28" s="27">
        <f t="shared" ca="1" si="146"/>
        <v>-1000</v>
      </c>
      <c r="HE28" s="27">
        <f t="shared" ca="1" si="146"/>
        <v>-1000</v>
      </c>
      <c r="HF28" s="27">
        <f t="shared" ca="1" si="146"/>
        <v>-1000</v>
      </c>
      <c r="HG28" s="27">
        <f t="shared" ca="1" si="146"/>
        <v>-1000</v>
      </c>
      <c r="HH28" s="27">
        <f t="shared" ca="1" si="146"/>
        <v>-1000</v>
      </c>
      <c r="HI28" s="27">
        <f t="shared" ca="1" si="146"/>
        <v>-1000</v>
      </c>
      <c r="HJ28" s="27">
        <f t="shared" ca="1" si="146"/>
        <v>-1000</v>
      </c>
      <c r="HK28" s="27">
        <f t="shared" ca="1" si="146"/>
        <v>-1000</v>
      </c>
      <c r="HL28" s="27">
        <f t="shared" ca="1" si="146"/>
        <v>-1000</v>
      </c>
      <c r="HM28" s="27">
        <f t="shared" ca="1" si="146"/>
        <v>-1000</v>
      </c>
      <c r="HN28" s="27">
        <f t="shared" ca="1" si="146"/>
        <v>-1000</v>
      </c>
      <c r="HO28" s="27">
        <f t="shared" ca="1" si="146"/>
        <v>-1000</v>
      </c>
      <c r="HP28" s="27">
        <f t="shared" ca="1" si="146"/>
        <v>-1000</v>
      </c>
      <c r="HQ28" s="27">
        <f t="shared" ca="1" si="146"/>
        <v>-1000</v>
      </c>
      <c r="HR28" s="27">
        <f t="shared" ca="1" si="146"/>
        <v>-1000</v>
      </c>
      <c r="HS28" s="27">
        <f t="shared" ca="1" si="146"/>
        <v>-1000</v>
      </c>
      <c r="HT28" s="27">
        <f t="shared" ca="1" si="146"/>
        <v>-1000</v>
      </c>
      <c r="HU28" s="27">
        <f t="shared" ca="1" si="146"/>
        <v>-1000</v>
      </c>
      <c r="HV28" s="27">
        <f t="shared" ca="1" si="146"/>
        <v>-1000</v>
      </c>
      <c r="HW28" s="27">
        <f t="shared" ca="1" si="146"/>
        <v>-1000</v>
      </c>
      <c r="HX28" s="27">
        <f t="shared" ca="1" si="146"/>
        <v>-1000</v>
      </c>
      <c r="HY28" s="27">
        <f t="shared" ca="1" si="146"/>
        <v>-1000</v>
      </c>
      <c r="HZ28" s="27">
        <f t="shared" ca="1" si="146"/>
        <v>-1000</v>
      </c>
      <c r="IA28" s="27">
        <f t="shared" ca="1" si="146"/>
        <v>-1000</v>
      </c>
      <c r="IB28" s="27">
        <f t="shared" ca="1" si="146"/>
        <v>-1000</v>
      </c>
      <c r="IC28" s="27">
        <f t="shared" ca="1" si="146"/>
        <v>-1000</v>
      </c>
      <c r="ID28" s="27">
        <f t="shared" ca="1" si="146"/>
        <v>-1000</v>
      </c>
      <c r="IE28" s="27">
        <f t="shared" ca="1" si="146"/>
        <v>-1000</v>
      </c>
      <c r="IF28" s="27">
        <f t="shared" ca="1" si="146"/>
        <v>-1000</v>
      </c>
      <c r="IG28" s="27">
        <f t="shared" ca="1" si="146"/>
        <v>-1000</v>
      </c>
      <c r="IH28" s="27">
        <f t="shared" ca="1" si="146"/>
        <v>-1000</v>
      </c>
      <c r="II28" s="27">
        <f t="shared" ca="1" si="146"/>
        <v>-1000</v>
      </c>
      <c r="IJ28" s="27">
        <f t="shared" ca="1" si="146"/>
        <v>-1000</v>
      </c>
      <c r="IK28" s="27">
        <f t="shared" ca="1" si="146"/>
        <v>-1000</v>
      </c>
      <c r="IL28" s="27">
        <f t="shared" ca="1" si="146"/>
        <v>-1000</v>
      </c>
      <c r="IM28" s="27">
        <f t="shared" ca="1" si="146"/>
        <v>-1000</v>
      </c>
      <c r="IN28" s="27">
        <f t="shared" ca="1" si="146"/>
        <v>-1000</v>
      </c>
    </row>
    <row r="29" spans="2:248" x14ac:dyDescent="0.3">
      <c r="B29" s="19" t="s">
        <v>428</v>
      </c>
      <c r="C29" s="20">
        <f ca="1">G3</f>
        <v>43906</v>
      </c>
      <c r="D29" s="20">
        <f ca="1">G3</f>
        <v>43906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455</v>
      </c>
      <c r="C30" s="20">
        <f ca="1">MIN(IF(Projections!$Z$8="",xMin2+C5+5,xMin2+Projections!$Z$8+C5),MAX(3:3))</f>
        <v>43924</v>
      </c>
      <c r="D30" s="20">
        <f ca="1">IF(D31&lt;TODAY(),TODAY()+3+Projections!Z45,IFERROR(OFFSET(G26,-23,MATCH(1,G26:IN26,0))+3+Projections!Z45,xMax2+3+Projections!Z45))</f>
        <v>43954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43950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539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Chile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Chile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MAX(I2:KU2)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 t="shared" ref="G2:G33" si="5"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AO2" si="6">I2*1.5</f>
        <v>150</v>
      </c>
      <c r="K2" s="10">
        <f t="shared" si="6"/>
        <v>225</v>
      </c>
      <c r="L2" s="10">
        <f t="shared" si="6"/>
        <v>337.5</v>
      </c>
      <c r="M2" s="10">
        <f t="shared" si="6"/>
        <v>506.25</v>
      </c>
      <c r="N2" s="10">
        <f t="shared" si="6"/>
        <v>759.375</v>
      </c>
      <c r="O2" s="10">
        <f t="shared" si="6"/>
        <v>1139.0625</v>
      </c>
      <c r="P2" s="10">
        <f t="shared" si="6"/>
        <v>1708.59375</v>
      </c>
      <c r="Q2" s="10">
        <f t="shared" si="6"/>
        <v>2562.890625</v>
      </c>
      <c r="R2" s="10">
        <f t="shared" si="6"/>
        <v>3844.3359375</v>
      </c>
      <c r="S2" s="10">
        <f t="shared" si="6"/>
        <v>5766.50390625</v>
      </c>
      <c r="T2" s="10">
        <f t="shared" si="6"/>
        <v>8649.755859375</v>
      </c>
      <c r="U2" s="10">
        <f t="shared" si="6"/>
        <v>12974.6337890625</v>
      </c>
      <c r="V2" s="10">
        <f t="shared" si="6"/>
        <v>19461.95068359375</v>
      </c>
      <c r="W2" s="10">
        <f t="shared" si="6"/>
        <v>29192.926025390625</v>
      </c>
      <c r="X2" s="10">
        <f t="shared" si="6"/>
        <v>43789.389038085938</v>
      </c>
      <c r="Y2" s="10">
        <f t="shared" si="6"/>
        <v>65684.083557128906</v>
      </c>
      <c r="Z2" s="10">
        <f t="shared" si="6"/>
        <v>98526.125335693359</v>
      </c>
      <c r="AA2" s="10">
        <f t="shared" si="6"/>
        <v>147789.18800354004</v>
      </c>
      <c r="AB2" s="10">
        <f t="shared" si="6"/>
        <v>221683.78200531006</v>
      </c>
      <c r="AC2" s="10">
        <f t="shared" si="6"/>
        <v>332525.67300796509</v>
      </c>
      <c r="AD2" s="10">
        <f t="shared" si="6"/>
        <v>498788.50951194763</v>
      </c>
      <c r="AE2" s="10">
        <f t="shared" si="6"/>
        <v>748182.76426792145</v>
      </c>
      <c r="AF2" s="10">
        <f t="shared" si="6"/>
        <v>1122274.1464018822</v>
      </c>
      <c r="AG2" s="10">
        <f t="shared" si="6"/>
        <v>1683411.2196028233</v>
      </c>
      <c r="AH2" s="10">
        <f t="shared" si="6"/>
        <v>2525116.8294042349</v>
      </c>
      <c r="AI2" s="10">
        <f t="shared" si="6"/>
        <v>3787675.2441063523</v>
      </c>
      <c r="AJ2" s="10">
        <f t="shared" si="6"/>
        <v>5681512.8661595285</v>
      </c>
      <c r="AK2" s="10">
        <f t="shared" si="6"/>
        <v>8522269.2992392927</v>
      </c>
      <c r="AL2" s="10">
        <f t="shared" si="6"/>
        <v>12783403.948858939</v>
      </c>
      <c r="AM2" s="10">
        <f t="shared" si="6"/>
        <v>19175105.923288409</v>
      </c>
      <c r="AN2" s="10">
        <f t="shared" si="6"/>
        <v>28762658.884932615</v>
      </c>
      <c r="AO2" s="10">
        <f t="shared" si="6"/>
        <v>43143988.327398926</v>
      </c>
      <c r="AP2" s="10">
        <f t="shared" ref="AP2:BH2" si="7">AO2*1.5</f>
        <v>64715982.491098389</v>
      </c>
      <c r="AQ2" s="10">
        <f t="shared" si="7"/>
        <v>97073973.736647576</v>
      </c>
      <c r="AR2" s="10">
        <f t="shared" si="7"/>
        <v>145610960.60497135</v>
      </c>
      <c r="AS2" s="10">
        <f t="shared" si="7"/>
        <v>218416440.90745702</v>
      </c>
      <c r="AT2" s="10">
        <f t="shared" si="7"/>
        <v>327624661.36118555</v>
      </c>
      <c r="AU2" s="10">
        <f t="shared" si="7"/>
        <v>491436992.04177833</v>
      </c>
      <c r="AV2" s="10">
        <f t="shared" si="7"/>
        <v>737155488.06266749</v>
      </c>
      <c r="AW2" s="10">
        <f t="shared" si="7"/>
        <v>1105733232.0940013</v>
      </c>
      <c r="AX2" s="10">
        <f t="shared" si="7"/>
        <v>1658599848.1410019</v>
      </c>
      <c r="AY2" s="10">
        <f t="shared" si="7"/>
        <v>2487899772.211503</v>
      </c>
      <c r="AZ2" s="10">
        <f t="shared" si="7"/>
        <v>3731849658.3172545</v>
      </c>
      <c r="BA2" s="10">
        <f t="shared" si="7"/>
        <v>5597774487.4758816</v>
      </c>
      <c r="BB2" s="10">
        <f t="shared" si="7"/>
        <v>8396661731.2138224</v>
      </c>
      <c r="BC2" s="10">
        <f t="shared" si="7"/>
        <v>12594992596.820734</v>
      </c>
      <c r="BD2" s="10">
        <f t="shared" si="7"/>
        <v>18892488895.231102</v>
      </c>
      <c r="BE2" s="10">
        <f t="shared" si="7"/>
        <v>28338733342.846653</v>
      </c>
      <c r="BF2" s="10">
        <f t="shared" si="7"/>
        <v>42508100014.269981</v>
      </c>
      <c r="BG2" s="10">
        <f t="shared" si="7"/>
        <v>63762150021.404968</v>
      </c>
      <c r="BH2" s="10">
        <f t="shared" si="7"/>
        <v>95643225032.107452</v>
      </c>
    </row>
    <row r="3" spans="1:307" x14ac:dyDescent="0.25">
      <c r="A3" s="9">
        <f t="shared" ref="A3:A200" si="8">A2+1</f>
        <v>2</v>
      </c>
      <c r="B3" s="9">
        <v>1</v>
      </c>
      <c r="C3" s="9" t="str">
        <f>H3</f>
        <v>40% Daily Increase</v>
      </c>
      <c r="D3" s="6">
        <f>MAX(I3:KU3)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si="5"/>
        <v>1.4000000000000001</v>
      </c>
      <c r="H3" s="15" t="s">
        <v>431</v>
      </c>
      <c r="I3" s="9">
        <v>100</v>
      </c>
      <c r="J3" s="10">
        <f t="shared" ref="J3:AO3" si="9">I3*1.4</f>
        <v>140</v>
      </c>
      <c r="K3" s="10">
        <f t="shared" si="9"/>
        <v>196</v>
      </c>
      <c r="L3" s="10">
        <f t="shared" si="9"/>
        <v>274.39999999999998</v>
      </c>
      <c r="M3" s="10">
        <f t="shared" si="9"/>
        <v>384.15999999999997</v>
      </c>
      <c r="N3" s="10">
        <f t="shared" si="9"/>
        <v>537.82399999999996</v>
      </c>
      <c r="O3" s="10">
        <f t="shared" si="9"/>
        <v>752.95359999999994</v>
      </c>
      <c r="P3" s="10">
        <f t="shared" si="9"/>
        <v>1054.1350399999999</v>
      </c>
      <c r="Q3" s="10">
        <f t="shared" si="9"/>
        <v>1475.7890559999998</v>
      </c>
      <c r="R3" s="10">
        <f t="shared" si="9"/>
        <v>2066.1046783999996</v>
      </c>
      <c r="S3" s="10">
        <f t="shared" si="9"/>
        <v>2892.5465497599994</v>
      </c>
      <c r="T3" s="10">
        <f t="shared" si="9"/>
        <v>4049.5651696639989</v>
      </c>
      <c r="U3" s="10">
        <f t="shared" si="9"/>
        <v>5669.3912375295977</v>
      </c>
      <c r="V3" s="10">
        <f t="shared" si="9"/>
        <v>7937.1477325414362</v>
      </c>
      <c r="W3" s="10">
        <f t="shared" si="9"/>
        <v>11112.00682555801</v>
      </c>
      <c r="X3" s="10">
        <f t="shared" si="9"/>
        <v>15556.809555781212</v>
      </c>
      <c r="Y3" s="10">
        <f t="shared" si="9"/>
        <v>21779.533378093696</v>
      </c>
      <c r="Z3" s="10">
        <f t="shared" si="9"/>
        <v>30491.346729331173</v>
      </c>
      <c r="AA3" s="10">
        <f t="shared" si="9"/>
        <v>42687.885421063642</v>
      </c>
      <c r="AB3" s="10">
        <f t="shared" si="9"/>
        <v>59763.039589489097</v>
      </c>
      <c r="AC3" s="10">
        <f t="shared" si="9"/>
        <v>83668.255425284733</v>
      </c>
      <c r="AD3" s="10">
        <f t="shared" si="9"/>
        <v>117135.55759539861</v>
      </c>
      <c r="AE3" s="10">
        <f t="shared" si="9"/>
        <v>163989.78063355805</v>
      </c>
      <c r="AF3" s="10">
        <f t="shared" si="9"/>
        <v>229585.69288698127</v>
      </c>
      <c r="AG3" s="10">
        <f t="shared" si="9"/>
        <v>321419.97004177375</v>
      </c>
      <c r="AH3" s="10">
        <f t="shared" si="9"/>
        <v>449987.9580584832</v>
      </c>
      <c r="AI3" s="10">
        <f t="shared" si="9"/>
        <v>629983.14128187648</v>
      </c>
      <c r="AJ3" s="10">
        <f t="shared" si="9"/>
        <v>881976.397794627</v>
      </c>
      <c r="AK3" s="10">
        <f t="shared" si="9"/>
        <v>1234766.9569124777</v>
      </c>
      <c r="AL3" s="10">
        <f t="shared" si="9"/>
        <v>1728673.7396774688</v>
      </c>
      <c r="AM3" s="10">
        <f t="shared" si="9"/>
        <v>2420143.2355484562</v>
      </c>
      <c r="AN3" s="10">
        <f t="shared" si="9"/>
        <v>3388200.5297678383</v>
      </c>
      <c r="AO3" s="10">
        <f t="shared" si="9"/>
        <v>4743480.7416749736</v>
      </c>
      <c r="AP3" s="10">
        <f t="shared" ref="AP3:BH3" si="10">AO3*1.4</f>
        <v>6640873.0383449625</v>
      </c>
      <c r="AQ3" s="10">
        <f t="shared" si="10"/>
        <v>9297222.2536829468</v>
      </c>
      <c r="AR3" s="10">
        <f t="shared" si="10"/>
        <v>13016111.155156124</v>
      </c>
      <c r="AS3" s="10">
        <f t="shared" si="10"/>
        <v>18222555.617218573</v>
      </c>
      <c r="AT3" s="10">
        <f t="shared" si="10"/>
        <v>25511577.864105999</v>
      </c>
      <c r="AU3" s="10">
        <f t="shared" si="10"/>
        <v>35716209.009748399</v>
      </c>
      <c r="AV3" s="10">
        <f t="shared" si="10"/>
        <v>50002692.613647759</v>
      </c>
      <c r="AW3" s="10">
        <f t="shared" si="10"/>
        <v>70003769.659106866</v>
      </c>
      <c r="AX3" s="10">
        <f t="shared" si="10"/>
        <v>98005277.522749603</v>
      </c>
      <c r="AY3" s="10">
        <f t="shared" si="10"/>
        <v>137207388.53184944</v>
      </c>
      <c r="AZ3" s="10">
        <f t="shared" si="10"/>
        <v>192090343.9445892</v>
      </c>
      <c r="BA3" s="10">
        <f t="shared" si="10"/>
        <v>268926481.52242488</v>
      </c>
      <c r="BB3" s="10">
        <f t="shared" si="10"/>
        <v>376497074.1313948</v>
      </c>
      <c r="BC3" s="10">
        <f t="shared" si="10"/>
        <v>527095903.78395271</v>
      </c>
      <c r="BD3" s="10">
        <f t="shared" si="10"/>
        <v>737934265.29753375</v>
      </c>
      <c r="BE3" s="10">
        <f t="shared" si="10"/>
        <v>1033107971.4165472</v>
      </c>
      <c r="BF3" s="10">
        <f t="shared" si="10"/>
        <v>1446351159.983166</v>
      </c>
      <c r="BG3" s="10">
        <f t="shared" si="10"/>
        <v>2024891623.9764323</v>
      </c>
      <c r="BH3" s="10">
        <f t="shared" si="10"/>
        <v>2834848273.5670052</v>
      </c>
    </row>
    <row r="4" spans="1:307" x14ac:dyDescent="0.25">
      <c r="A4" s="9">
        <f t="shared" si="8"/>
        <v>3</v>
      </c>
      <c r="B4" s="9">
        <v>1</v>
      </c>
      <c r="C4" s="9" t="str">
        <f>H4</f>
        <v>30% Daily Increase</v>
      </c>
      <c r="D4" s="6">
        <f>MAX(I4:KU4)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5"/>
        <v>1.3</v>
      </c>
      <c r="H4" s="15" t="s">
        <v>432</v>
      </c>
      <c r="I4" s="9">
        <v>100</v>
      </c>
      <c r="J4" s="10">
        <f t="shared" ref="J4:AO4" si="11">I4*1.3</f>
        <v>130</v>
      </c>
      <c r="K4" s="10">
        <f t="shared" si="11"/>
        <v>169</v>
      </c>
      <c r="L4" s="10">
        <f t="shared" si="11"/>
        <v>219.70000000000002</v>
      </c>
      <c r="M4" s="10">
        <f t="shared" si="11"/>
        <v>285.61</v>
      </c>
      <c r="N4" s="10">
        <f t="shared" si="11"/>
        <v>371.29300000000001</v>
      </c>
      <c r="O4" s="10">
        <f t="shared" si="11"/>
        <v>482.68090000000001</v>
      </c>
      <c r="P4" s="10">
        <f t="shared" si="11"/>
        <v>627.48517000000004</v>
      </c>
      <c r="Q4" s="10">
        <f t="shared" si="11"/>
        <v>815.73072100000013</v>
      </c>
      <c r="R4" s="10">
        <f t="shared" si="11"/>
        <v>1060.4499373000001</v>
      </c>
      <c r="S4" s="10">
        <f t="shared" si="11"/>
        <v>1378.5849184900003</v>
      </c>
      <c r="T4" s="10">
        <f t="shared" si="11"/>
        <v>1792.1603940370005</v>
      </c>
      <c r="U4" s="10">
        <f t="shared" si="11"/>
        <v>2329.8085122481007</v>
      </c>
      <c r="V4" s="10">
        <f t="shared" si="11"/>
        <v>3028.7510659225309</v>
      </c>
      <c r="W4" s="10">
        <f t="shared" si="11"/>
        <v>3937.37638569929</v>
      </c>
      <c r="X4" s="10">
        <f t="shared" si="11"/>
        <v>5118.5893014090771</v>
      </c>
      <c r="Y4" s="10">
        <f t="shared" si="11"/>
        <v>6654.1660918318003</v>
      </c>
      <c r="Z4" s="10">
        <f t="shared" si="11"/>
        <v>8650.4159193813412</v>
      </c>
      <c r="AA4" s="10">
        <f t="shared" si="11"/>
        <v>11245.540695195745</v>
      </c>
      <c r="AB4" s="10">
        <f t="shared" si="11"/>
        <v>14619.202903754469</v>
      </c>
      <c r="AC4" s="10">
        <f t="shared" si="11"/>
        <v>19004.963774880809</v>
      </c>
      <c r="AD4" s="10">
        <f t="shared" si="11"/>
        <v>24706.452907345054</v>
      </c>
      <c r="AE4" s="10">
        <f t="shared" si="11"/>
        <v>32118.388779548572</v>
      </c>
      <c r="AF4" s="10">
        <f t="shared" si="11"/>
        <v>41753.905413413144</v>
      </c>
      <c r="AG4" s="10">
        <f t="shared" si="11"/>
        <v>54280.077037437091</v>
      </c>
      <c r="AH4" s="10">
        <f t="shared" si="11"/>
        <v>70564.100148668222</v>
      </c>
      <c r="AI4" s="10">
        <f t="shared" si="11"/>
        <v>91733.330193268688</v>
      </c>
      <c r="AJ4" s="10">
        <f t="shared" si="11"/>
        <v>119253.32925124929</v>
      </c>
      <c r="AK4" s="10">
        <f t="shared" si="11"/>
        <v>155029.32802662408</v>
      </c>
      <c r="AL4" s="10">
        <f t="shared" si="11"/>
        <v>201538.1264346113</v>
      </c>
      <c r="AM4" s="10">
        <f t="shared" si="11"/>
        <v>261999.5643649947</v>
      </c>
      <c r="AN4" s="10">
        <f t="shared" si="11"/>
        <v>340599.43367449311</v>
      </c>
      <c r="AO4" s="10">
        <f t="shared" si="11"/>
        <v>442779.26377684105</v>
      </c>
      <c r="AP4" s="10">
        <f t="shared" ref="AP4:BH4" si="12">AO4*1.3</f>
        <v>575613.04290989344</v>
      </c>
      <c r="AQ4" s="10">
        <f t="shared" si="12"/>
        <v>748296.95578286145</v>
      </c>
      <c r="AR4" s="10">
        <f t="shared" si="12"/>
        <v>972786.04251771991</v>
      </c>
      <c r="AS4" s="10">
        <f t="shared" si="12"/>
        <v>1264621.8552730358</v>
      </c>
      <c r="AT4" s="10">
        <f t="shared" si="12"/>
        <v>1644008.4118549465</v>
      </c>
      <c r="AU4" s="10">
        <f t="shared" si="12"/>
        <v>2137210.9354114304</v>
      </c>
      <c r="AV4" s="10">
        <f t="shared" si="12"/>
        <v>2778374.2160348599</v>
      </c>
      <c r="AW4" s="10">
        <f t="shared" si="12"/>
        <v>3611886.4808453182</v>
      </c>
      <c r="AX4" s="10">
        <f t="shared" si="12"/>
        <v>4695452.4250989137</v>
      </c>
      <c r="AY4" s="10">
        <f t="shared" si="12"/>
        <v>6104088.1526285885</v>
      </c>
      <c r="AZ4" s="10">
        <f t="shared" si="12"/>
        <v>7935314.5984171657</v>
      </c>
      <c r="BA4" s="10">
        <f t="shared" si="12"/>
        <v>10315908.977942316</v>
      </c>
      <c r="BB4" s="10">
        <f t="shared" si="12"/>
        <v>13410681.671325011</v>
      </c>
      <c r="BC4" s="10">
        <f t="shared" si="12"/>
        <v>17433886.172722515</v>
      </c>
      <c r="BD4" s="10">
        <f t="shared" si="12"/>
        <v>22664052.02453927</v>
      </c>
      <c r="BE4" s="10">
        <f t="shared" si="12"/>
        <v>29463267.631901052</v>
      </c>
      <c r="BF4" s="10">
        <f t="shared" si="12"/>
        <v>38302247.921471372</v>
      </c>
      <c r="BG4" s="10">
        <f t="shared" si="12"/>
        <v>49792922.297912784</v>
      </c>
      <c r="BH4" s="10">
        <f t="shared" si="12"/>
        <v>64730798.98728662</v>
      </c>
    </row>
    <row r="5" spans="1:307" x14ac:dyDescent="0.25">
      <c r="A5" s="9">
        <f t="shared" si="8"/>
        <v>4</v>
      </c>
      <c r="B5" s="9">
        <f t="array" ref="B5">IF(C5="",0,IF(OR(C5=Country_Comparison!$S$10:$S$29),1,0))</f>
        <v>1</v>
      </c>
      <c r="C5" s="9" t="str">
        <f t="shared" ref="C5:C36" si="13">IF(H5="","",H5)</f>
        <v>US</v>
      </c>
      <c r="D5" s="6">
        <f t="shared" ref="D5:D36" si="14">MAX(I5:JF5)</f>
        <v>140886</v>
      </c>
      <c r="E5" s="6">
        <f>IF(COUNTIF(I5:XFD5,"&gt;"&amp;0)=0,,HLOOKUP(COUNTIF(I5:XFD5,"&gt;"&amp;0)-1,I$1:XFD5,A5+1,FALSE))</f>
        <v>140886</v>
      </c>
      <c r="F5" s="7">
        <f>IF(COUNTIF(I5:XFD5,"&gt;"&amp;0)=0,,HLOOKUP(COUNTIF(I5:XFD5,"&gt;"&amp;0)-MIN($F$1+1,COUNTIF(I5:XFD5,"&gt;"&amp;0)),I$1:XFD5,A5+1,FALSE))</f>
        <v>53740</v>
      </c>
      <c r="G5" s="8">
        <f t="shared" si="5"/>
        <v>1.2125901479691559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  <c r="AG5" s="9">
        <v>101657</v>
      </c>
      <c r="AH5" s="9">
        <v>121478</v>
      </c>
      <c r="AI5" s="9">
        <v>140886</v>
      </c>
    </row>
    <row r="6" spans="1:307" x14ac:dyDescent="0.25">
      <c r="A6" s="9">
        <f t="shared" si="8"/>
        <v>5</v>
      </c>
      <c r="B6" s="9">
        <f t="array" ref="B6">IF(C6="",0,IF(OR(C6=Country_Comparison!$S$10:$S$29),1,0))</f>
        <v>1</v>
      </c>
      <c r="C6" s="9" t="str">
        <f t="shared" si="13"/>
        <v>Italy</v>
      </c>
      <c r="D6" s="6">
        <f t="shared" si="14"/>
        <v>97689</v>
      </c>
      <c r="E6" s="6">
        <f>IF(COUNTIF(I6:XFD6,"&gt;"&amp;0)=0,,HLOOKUP(COUNTIF(I6:XFD6,"&gt;"&amp;0)-1,I$1:XFD6,A6+1,FALSE))</f>
        <v>97689</v>
      </c>
      <c r="F6" s="7">
        <f>IF(COUNTIF(I6:XFD6,"&gt;"&amp;0)=0,,HLOOKUP(COUNTIF(I6:XFD6,"&gt;"&amp;0)-MIN($F$1+1,COUNTIF(I6:XFD6,"&gt;"&amp;0)),I$1:XFD6,A6+1,FALSE))</f>
        <v>69176</v>
      </c>
      <c r="G6" s="8">
        <f t="shared" si="5"/>
        <v>1.0714651343504107</v>
      </c>
      <c r="H6" s="13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  <c r="AN6" s="9">
        <v>74386</v>
      </c>
      <c r="AO6" s="9">
        <v>80589</v>
      </c>
      <c r="AP6" s="9">
        <v>86498</v>
      </c>
      <c r="AQ6" s="9">
        <v>92472</v>
      </c>
      <c r="AR6" s="9">
        <v>97689</v>
      </c>
    </row>
    <row r="7" spans="1:307" x14ac:dyDescent="0.25">
      <c r="A7" s="9">
        <f t="shared" si="8"/>
        <v>6</v>
      </c>
      <c r="B7" s="9">
        <f t="array" ref="B7">IF(C7="",0,IF(OR(C7=Country_Comparison!$S$10:$S$29),1,0))</f>
        <v>1</v>
      </c>
      <c r="C7" s="9" t="str">
        <f t="shared" si="13"/>
        <v>China</v>
      </c>
      <c r="D7" s="6">
        <f t="shared" si="14"/>
        <v>82122</v>
      </c>
      <c r="E7" s="6">
        <f>IF(COUNTIF(I7:XFD7,"&gt;"&amp;0)=0,,HLOOKUP(COUNTIF(I7:XFD7,"&gt;"&amp;0)-1,I$1:XFD7,A7+1,FALSE))</f>
        <v>82122</v>
      </c>
      <c r="F7" s="7">
        <f>IF(COUNTIF(I7:XFD7,"&gt;"&amp;0)=0,,HLOOKUP(COUNTIF(I7:XFD7,"&gt;"&amp;0)-MIN($F$1+1,COUNTIF(I7:XFD7,"&gt;"&amp;0)),I$1:XFD7,A7+1,FALSE))</f>
        <v>81591</v>
      </c>
      <c r="G7" s="8">
        <f t="shared" si="5"/>
        <v>1.001298238921019</v>
      </c>
      <c r="H7" s="13" t="s">
        <v>337</v>
      </c>
      <c r="I7" s="9">
        <v>548</v>
      </c>
      <c r="J7" s="9">
        <v>643</v>
      </c>
      <c r="K7" s="9">
        <v>920</v>
      </c>
      <c r="L7" s="9">
        <v>1406</v>
      </c>
      <c r="M7" s="9">
        <v>2075</v>
      </c>
      <c r="N7" s="9">
        <v>2877</v>
      </c>
      <c r="O7" s="9">
        <v>5509</v>
      </c>
      <c r="P7" s="9">
        <v>6087</v>
      </c>
      <c r="Q7" s="9">
        <v>8141</v>
      </c>
      <c r="R7" s="9">
        <v>9802</v>
      </c>
      <c r="S7" s="9">
        <v>11891</v>
      </c>
      <c r="T7" s="9">
        <v>16630</v>
      </c>
      <c r="U7" s="9">
        <v>19716</v>
      </c>
      <c r="V7" s="9">
        <v>23707</v>
      </c>
      <c r="W7" s="9">
        <v>27440</v>
      </c>
      <c r="X7" s="9">
        <v>30587</v>
      </c>
      <c r="Y7" s="9">
        <v>34110</v>
      </c>
      <c r="Z7" s="9">
        <v>36814</v>
      </c>
      <c r="AA7" s="9">
        <v>39829</v>
      </c>
      <c r="AB7" s="9">
        <v>42354</v>
      </c>
      <c r="AC7" s="9">
        <v>44386</v>
      </c>
      <c r="AD7" s="9">
        <v>50000</v>
      </c>
      <c r="AE7" s="9">
        <v>59895</v>
      </c>
      <c r="AF7" s="9">
        <v>66358</v>
      </c>
      <c r="AG7" s="9">
        <v>68413</v>
      </c>
      <c r="AH7" s="9">
        <v>70513</v>
      </c>
      <c r="AI7" s="9">
        <v>72434</v>
      </c>
      <c r="AJ7" s="9">
        <v>74211</v>
      </c>
      <c r="AK7" s="9">
        <v>74619</v>
      </c>
      <c r="AL7" s="9">
        <v>75077</v>
      </c>
      <c r="AM7" s="9">
        <v>75550</v>
      </c>
      <c r="AN7" s="9">
        <v>77001</v>
      </c>
      <c r="AO7" s="9">
        <v>77022</v>
      </c>
      <c r="AP7" s="9">
        <v>77241</v>
      </c>
      <c r="AQ7" s="9">
        <v>77754</v>
      </c>
      <c r="AR7" s="9">
        <v>78166</v>
      </c>
      <c r="AS7" s="9">
        <v>78600</v>
      </c>
      <c r="AT7" s="9">
        <v>78928</v>
      </c>
      <c r="AU7" s="9">
        <v>79356</v>
      </c>
      <c r="AV7" s="9">
        <v>79932</v>
      </c>
      <c r="AW7" s="9">
        <v>80136</v>
      </c>
      <c r="AX7" s="9">
        <v>80261</v>
      </c>
      <c r="AY7" s="9">
        <v>80386</v>
      </c>
      <c r="AZ7" s="9">
        <v>80537</v>
      </c>
      <c r="BA7" s="9">
        <v>80690</v>
      </c>
      <c r="BB7" s="9">
        <v>80770</v>
      </c>
      <c r="BC7" s="9">
        <v>80823</v>
      </c>
      <c r="BD7" s="9">
        <v>80860</v>
      </c>
      <c r="BE7" s="9">
        <v>80887</v>
      </c>
      <c r="BF7" s="9">
        <v>80921</v>
      </c>
      <c r="BG7" s="9">
        <v>80932</v>
      </c>
      <c r="BH7" s="9">
        <v>80945</v>
      </c>
      <c r="BI7" s="9">
        <v>80977</v>
      </c>
      <c r="BJ7" s="9">
        <v>81003</v>
      </c>
      <c r="BK7" s="9">
        <v>81033</v>
      </c>
      <c r="BL7" s="9">
        <v>81058</v>
      </c>
      <c r="BM7" s="9">
        <v>81102</v>
      </c>
      <c r="BN7" s="9">
        <v>81156</v>
      </c>
      <c r="BO7" s="9">
        <v>81250</v>
      </c>
      <c r="BP7" s="9">
        <v>81305</v>
      </c>
      <c r="BQ7" s="9">
        <v>81435</v>
      </c>
      <c r="BR7" s="9">
        <v>81498</v>
      </c>
      <c r="BS7" s="9">
        <v>81591</v>
      </c>
      <c r="BT7" s="9">
        <v>81661</v>
      </c>
      <c r="BU7" s="9">
        <v>81782</v>
      </c>
      <c r="BV7" s="9">
        <v>81897</v>
      </c>
      <c r="BW7" s="9">
        <v>81999</v>
      </c>
      <c r="BX7" s="9">
        <v>82122</v>
      </c>
    </row>
    <row r="8" spans="1:307" x14ac:dyDescent="0.25">
      <c r="A8" s="9">
        <f t="shared" si="8"/>
        <v>7</v>
      </c>
      <c r="B8" s="9">
        <f t="array" ref="B8">IF(C8="",0,IF(OR(C8=Country_Comparison!$S$10:$S$29),1,0))</f>
        <v>1</v>
      </c>
      <c r="C8" s="9" t="str">
        <f t="shared" si="13"/>
        <v>Spain</v>
      </c>
      <c r="D8" s="6">
        <f t="shared" si="14"/>
        <v>80110</v>
      </c>
      <c r="E8" s="6">
        <f>IF(COUNTIF(I8:XFD8,"&gt;"&amp;0)=0,,HLOOKUP(COUNTIF(I8:XFD8,"&gt;"&amp;0)-1,I$1:XFD8,A8+1,FALSE))</f>
        <v>80110</v>
      </c>
      <c r="F8" s="7">
        <f>IF(COUNTIF(I8:XFD8,"&gt;"&amp;0)=0,,HLOOKUP(COUNTIF(I8:XFD8,"&gt;"&amp;0)-MIN($F$1+1,COUNTIF(I8:XFD8,"&gt;"&amp;0)),I$1:XFD8,A8+1,FALSE))</f>
        <v>39885</v>
      </c>
      <c r="G8" s="8">
        <f t="shared" si="5"/>
        <v>1.1496758986261593</v>
      </c>
      <c r="H8" s="13" t="s">
        <v>60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3146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13910</v>
      </c>
      <c r="Z8" s="9">
        <v>17963</v>
      </c>
      <c r="AA8" s="9">
        <v>20410</v>
      </c>
      <c r="AB8" s="9">
        <v>25374</v>
      </c>
      <c r="AC8" s="9">
        <v>28768</v>
      </c>
      <c r="AD8" s="9">
        <v>35136</v>
      </c>
      <c r="AE8" s="9">
        <v>39885</v>
      </c>
      <c r="AF8" s="9">
        <v>49515</v>
      </c>
      <c r="AG8" s="9">
        <v>57786</v>
      </c>
      <c r="AH8" s="9">
        <v>65719</v>
      </c>
      <c r="AI8" s="9">
        <v>73235</v>
      </c>
      <c r="AJ8" s="9">
        <v>80110</v>
      </c>
    </row>
    <row r="9" spans="1:307" x14ac:dyDescent="0.25">
      <c r="A9" s="9">
        <f t="shared" si="8"/>
        <v>8</v>
      </c>
      <c r="B9" s="9">
        <f t="array" ref="B9">IF(C9="",0,IF(OR(C9=Country_Comparison!$S$10:$S$29),1,0))</f>
        <v>1</v>
      </c>
      <c r="C9" s="9" t="str">
        <f t="shared" si="13"/>
        <v>Germany</v>
      </c>
      <c r="D9" s="6">
        <f t="shared" si="14"/>
        <v>62095</v>
      </c>
      <c r="E9" s="6">
        <f>IF(COUNTIF(I9:XFD9,"&gt;"&amp;0)=0,,HLOOKUP(COUNTIF(I9:XFD9,"&gt;"&amp;0)-1,I$1:XFD9,A9+1,FALSE))</f>
        <v>62095</v>
      </c>
      <c r="F9" s="7">
        <f>IF(COUNTIF(I9:XFD9,"&gt;"&amp;0)=0,,HLOOKUP(COUNTIF(I9:XFD9,"&gt;"&amp;0)-MIN($F$1+1,COUNTIF(I9:XFD9,"&gt;"&amp;0)),I$1:XFD9,A9+1,FALSE))</f>
        <v>32986</v>
      </c>
      <c r="G9" s="8">
        <f t="shared" si="5"/>
        <v>1.1348681176452242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2745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  <c r="AG9" s="9">
        <v>37323</v>
      </c>
      <c r="AH9" s="9">
        <v>43938</v>
      </c>
      <c r="AI9" s="9">
        <v>50871</v>
      </c>
      <c r="AJ9" s="9">
        <v>57695</v>
      </c>
      <c r="AK9" s="9">
        <v>62095</v>
      </c>
    </row>
    <row r="10" spans="1:307" x14ac:dyDescent="0.25">
      <c r="A10" s="9">
        <f t="shared" si="8"/>
        <v>9</v>
      </c>
      <c r="B10" s="9">
        <f t="array" ref="B10">IF(C10="",0,IF(OR(C10=Country_Comparison!$S$10:$S$29),1,0))</f>
        <v>1</v>
      </c>
      <c r="C10" s="9" t="str">
        <f t="shared" si="13"/>
        <v>France</v>
      </c>
      <c r="D10" s="6">
        <f t="shared" si="14"/>
        <v>40708</v>
      </c>
      <c r="E10" s="6">
        <f>IF(COUNTIF(I10:XFD10,"&gt;"&amp;0)=0,,HLOOKUP(COUNTIF(I10:XFD10,"&gt;"&amp;0)-1,I$1:XFD10,A10+1,FALSE))</f>
        <v>40708</v>
      </c>
      <c r="F10" s="7">
        <f>IF(COUNTIF(I10:XFD10,"&gt;"&amp;0)=0,,HLOOKUP(COUNTIF(I10:XFD10,"&gt;"&amp;0)-MIN($F$1+1,COUNTIF(I10:XFD10,"&gt;"&amp;0)),I$1:XFD10,A10+1,FALSE))</f>
        <v>22622</v>
      </c>
      <c r="G10" s="8">
        <f t="shared" si="5"/>
        <v>1.1246820234070334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  <c r="AJ10" s="9">
        <v>33402</v>
      </c>
      <c r="AK10" s="9">
        <v>38105</v>
      </c>
      <c r="AL10" s="9">
        <v>40708</v>
      </c>
    </row>
    <row r="11" spans="1:307" x14ac:dyDescent="0.25">
      <c r="A11" s="9">
        <f t="shared" si="8"/>
        <v>10</v>
      </c>
      <c r="B11" s="9">
        <f t="array" ref="B11">IF(C11="",0,IF(OR(C11=Country_Comparison!$S$10:$S$29),1,0))</f>
        <v>1</v>
      </c>
      <c r="C11" s="9" t="str">
        <f t="shared" si="13"/>
        <v>United Kingdom</v>
      </c>
      <c r="D11" s="6">
        <f t="shared" si="14"/>
        <v>19780</v>
      </c>
      <c r="E11" s="6">
        <f>IF(COUNTIF(I11:XFD11,"&gt;"&amp;0)=0,,HLOOKUP(COUNTIF(I11:XFD11,"&gt;"&amp;0)-1,I$1:XFD11,A11+1,FALSE))</f>
        <v>19780</v>
      </c>
      <c r="F11" s="7">
        <f>IF(COUNTIF(I11:XFD11,"&gt;"&amp;0)=0,,HLOOKUP(COUNTIF(I11:XFD11,"&gt;"&amp;0)-MIN($F$1+1,COUNTIF(I11:XFD11,"&gt;"&amp;0)),I$1:XFD11,A11+1,FALSE))</f>
        <v>8164</v>
      </c>
      <c r="G11" s="8">
        <f t="shared" si="5"/>
        <v>1.1936160728656526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  <c r="AE11" s="9">
        <v>14745</v>
      </c>
      <c r="AF11" s="9">
        <v>17312</v>
      </c>
      <c r="AG11" s="9">
        <v>19780</v>
      </c>
    </row>
    <row r="12" spans="1:307" x14ac:dyDescent="0.25">
      <c r="A12" s="9">
        <f t="shared" si="8"/>
        <v>11</v>
      </c>
      <c r="B12" s="9">
        <f t="array" ref="B12">IF(C12="",0,IF(OR(C12=Country_Comparison!$S$10:$S$29),1,0))</f>
        <v>0</v>
      </c>
      <c r="C12" s="9" t="str">
        <f t="shared" si="13"/>
        <v>World</v>
      </c>
      <c r="D12" s="6">
        <f t="shared" si="14"/>
        <v>717548</v>
      </c>
      <c r="E12" s="6">
        <f>IF(COUNTIF(I12:XFD12,"&gt;"&amp;0)=0,,HLOOKUP(COUNTIF(I12:XFD12,"&gt;"&amp;0)-1,I$1:XFD12,A12+1,FALSE))</f>
        <v>717548</v>
      </c>
      <c r="F12" s="7">
        <f>IF(COUNTIF(I12:XFD12,"&gt;"&amp;0)=0,,HLOOKUP(COUNTIF(I12:XFD12,"&gt;"&amp;0)-MIN($F$1+1,COUNTIF(I12:XFD12,"&gt;"&amp;0)),I$1:XFD12,A12+1,FALSE))</f>
        <v>416496</v>
      </c>
      <c r="G12" s="8">
        <f t="shared" si="5"/>
        <v>1.1149310866715807</v>
      </c>
      <c r="H12" s="13" t="s">
        <v>606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50287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241500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  <c r="BV12" s="9">
        <v>591115</v>
      </c>
      <c r="BW12" s="9">
        <v>658374</v>
      </c>
      <c r="BX12" s="9">
        <v>717548</v>
      </c>
    </row>
    <row r="13" spans="1:307" x14ac:dyDescent="0.25">
      <c r="A13" s="9">
        <f t="shared" si="8"/>
        <v>12</v>
      </c>
      <c r="B13" s="9">
        <f t="array" ref="B13">IF(C13="",0,IF(OR(C13=Country_Comparison!$S$10:$S$29),1,0))</f>
        <v>0</v>
      </c>
      <c r="C13" s="9" t="str">
        <f t="shared" si="13"/>
        <v>Europe</v>
      </c>
      <c r="D13" s="6">
        <f t="shared" si="14"/>
        <v>393877</v>
      </c>
      <c r="E13" s="6">
        <f>IF(COUNTIF(I13:XFD13,"&gt;"&amp;0)=0,,HLOOKUP(COUNTIF(I13:XFD13,"&gt;"&amp;0)-1,I$1:XFD13,A13+1,FALSE))</f>
        <v>393877</v>
      </c>
      <c r="F13" s="7">
        <f>IF(COUNTIF(I13:XFD13,"&gt;"&amp;0)=0,,HLOOKUP(COUNTIF(I13:XFD13,"&gt;"&amp;0)-MIN($F$1+1,COUNTIF(I13:XFD13,"&gt;"&amp;0)),I$1:XFD13,A13+1,FALSE))</f>
        <v>220914</v>
      </c>
      <c r="G13" s="8">
        <f t="shared" si="5"/>
        <v>1.1226063033440183</v>
      </c>
      <c r="H13" s="13" t="s">
        <v>609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109054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  <c r="AQ13" s="9">
        <v>324624</v>
      </c>
      <c r="AR13" s="9">
        <v>362825</v>
      </c>
      <c r="AS13" s="9">
        <v>393877</v>
      </c>
    </row>
    <row r="14" spans="1:307" x14ac:dyDescent="0.25">
      <c r="A14" s="9">
        <f t="shared" si="8"/>
        <v>13</v>
      </c>
      <c r="B14" s="9">
        <f t="array" ref="B14">IF(C14="",0,IF(OR(C14=Country_Comparison!$S$10:$S$29),1,0))</f>
        <v>0</v>
      </c>
      <c r="C14" s="9" t="str">
        <f t="shared" si="13"/>
        <v>North America</v>
      </c>
      <c r="D14" s="6">
        <f t="shared" si="14"/>
        <v>149407</v>
      </c>
      <c r="E14" s="6">
        <f>IF(COUNTIF(I14:XFD14,"&gt;"&amp;0)=0,,HLOOKUP(COUNTIF(I14:XFD14,"&gt;"&amp;0)-1,I$1:XFD14,A14+1,FALSE))</f>
        <v>149407</v>
      </c>
      <c r="F14" s="7">
        <f>IF(COUNTIF(I14:XFD14,"&gt;"&amp;0)=0,,HLOOKUP(COUNTIF(I14:XFD14,"&gt;"&amp;0)-MIN($F$1+1,COUNTIF(I14:XFD14,"&gt;"&amp;0)),I$1:XFD14,A14+1,FALSE))</f>
        <v>57491</v>
      </c>
      <c r="G14" s="8">
        <f t="shared" si="5"/>
        <v>1.2104705186050859</v>
      </c>
      <c r="H14" s="13" t="s">
        <v>611</v>
      </c>
      <c r="I14" s="9">
        <v>103</v>
      </c>
      <c r="J14" s="9">
        <v>130</v>
      </c>
      <c r="K14" s="9">
        <v>153</v>
      </c>
      <c r="L14" s="9">
        <v>187</v>
      </c>
      <c r="M14" s="9">
        <v>259</v>
      </c>
      <c r="N14" s="9">
        <v>318</v>
      </c>
      <c r="O14" s="9">
        <v>463</v>
      </c>
      <c r="P14" s="9">
        <v>594</v>
      </c>
      <c r="Q14" s="9">
        <v>676</v>
      </c>
      <c r="R14" s="9">
        <v>1055</v>
      </c>
      <c r="S14" s="9">
        <v>1419</v>
      </c>
      <c r="T14" s="9">
        <v>1830</v>
      </c>
      <c r="U14" s="9">
        <v>2447</v>
      </c>
      <c r="V14" s="9">
        <v>3026</v>
      </c>
      <c r="W14" s="9">
        <v>3877</v>
      </c>
      <c r="X14" s="9">
        <v>5205</v>
      </c>
      <c r="Y14" s="9">
        <v>7109</v>
      </c>
      <c r="Z14" s="9">
        <v>8690</v>
      </c>
      <c r="AA14" s="9">
        <v>14800</v>
      </c>
      <c r="AB14" s="9">
        <v>20466</v>
      </c>
      <c r="AC14" s="9">
        <v>27324</v>
      </c>
      <c r="AD14" s="9">
        <v>35498</v>
      </c>
      <c r="AE14" s="9">
        <v>46816</v>
      </c>
      <c r="AF14" s="9">
        <v>57491</v>
      </c>
      <c r="AG14" s="9">
        <v>70164</v>
      </c>
      <c r="AH14" s="9">
        <v>89242</v>
      </c>
      <c r="AI14" s="9">
        <v>107974</v>
      </c>
      <c r="AJ14" s="9">
        <v>129008</v>
      </c>
      <c r="AK14" s="9">
        <v>149407</v>
      </c>
    </row>
    <row r="15" spans="1:307" x14ac:dyDescent="0.25">
      <c r="A15" s="9">
        <f t="shared" si="8"/>
        <v>14</v>
      </c>
      <c r="B15" s="9">
        <f t="array" ref="B15">IF(C15="",0,IF(OR(C15=Country_Comparison!$S$10:$S$29),1,0))</f>
        <v>0</v>
      </c>
      <c r="C15" s="9" t="str">
        <f t="shared" si="13"/>
        <v>Asia</v>
      </c>
      <c r="D15" s="6">
        <f t="shared" si="14"/>
        <v>106439</v>
      </c>
      <c r="E15" s="6">
        <f>IF(COUNTIF(I15:XFD15,"&gt;"&amp;0)=0,,HLOOKUP(COUNTIF(I15:XFD15,"&gt;"&amp;0)-1,I$1:XFD15,A15+1,FALSE))</f>
        <v>106439</v>
      </c>
      <c r="F15" s="7">
        <f>IF(COUNTIF(I15:XFD15,"&gt;"&amp;0)=0,,HLOOKUP(COUNTIF(I15:XFD15,"&gt;"&amp;0)-MIN($F$1+1,COUNTIF(I15:XFD15,"&gt;"&amp;0)),I$1:XFD15,A15+1,FALSE))</f>
        <v>98851</v>
      </c>
      <c r="G15" s="8">
        <f t="shared" si="5"/>
        <v>1.0149016152825399</v>
      </c>
      <c r="H15" s="13" t="s">
        <v>608</v>
      </c>
      <c r="I15" s="9">
        <v>554</v>
      </c>
      <c r="J15" s="9">
        <v>653</v>
      </c>
      <c r="K15" s="9">
        <v>937</v>
      </c>
      <c r="L15" s="9">
        <v>1429</v>
      </c>
      <c r="M15" s="9">
        <v>2105</v>
      </c>
      <c r="N15" s="9">
        <v>2911</v>
      </c>
      <c r="O15" s="9">
        <v>5557</v>
      </c>
      <c r="P15" s="9">
        <v>6138</v>
      </c>
      <c r="Q15" s="9">
        <v>8203</v>
      </c>
      <c r="R15" s="9">
        <v>9886</v>
      </c>
      <c r="S15" s="9">
        <v>11988</v>
      </c>
      <c r="T15" s="9">
        <v>16734</v>
      </c>
      <c r="U15" s="9">
        <v>19823</v>
      </c>
      <c r="V15" s="9">
        <v>23832</v>
      </c>
      <c r="W15" s="9">
        <v>27574</v>
      </c>
      <c r="X15" s="9">
        <v>30732</v>
      </c>
      <c r="Y15" s="9">
        <v>34262</v>
      </c>
      <c r="Z15" s="9">
        <v>36984</v>
      </c>
      <c r="AA15" s="9">
        <v>40009</v>
      </c>
      <c r="AB15" s="9">
        <v>42544</v>
      </c>
      <c r="AC15" s="9">
        <v>44581</v>
      </c>
      <c r="AD15" s="9">
        <v>50200</v>
      </c>
      <c r="AE15" s="9">
        <v>60105</v>
      </c>
      <c r="AF15" s="9">
        <v>66578</v>
      </c>
      <c r="AG15" s="9">
        <v>68655</v>
      </c>
      <c r="AH15" s="9">
        <v>70778</v>
      </c>
      <c r="AI15" s="9">
        <v>72712</v>
      </c>
      <c r="AJ15" s="9">
        <v>74502</v>
      </c>
      <c r="AK15" s="9">
        <v>74924</v>
      </c>
      <c r="AL15" s="9">
        <v>75466</v>
      </c>
      <c r="AM15" s="9">
        <v>76053</v>
      </c>
      <c r="AN15" s="9">
        <v>77750</v>
      </c>
      <c r="AO15" s="9">
        <v>77971</v>
      </c>
      <c r="AP15" s="9">
        <v>78435</v>
      </c>
      <c r="AQ15" s="9">
        <v>79108</v>
      </c>
      <c r="AR15" s="9">
        <v>79831</v>
      </c>
      <c r="AS15" s="9">
        <v>80796</v>
      </c>
      <c r="AT15" s="9">
        <v>81712</v>
      </c>
      <c r="AU15" s="9">
        <v>82985</v>
      </c>
      <c r="AV15" s="9">
        <v>84174</v>
      </c>
      <c r="AW15" s="9">
        <v>85004</v>
      </c>
      <c r="AX15" s="9">
        <v>86010</v>
      </c>
      <c r="AY15" s="9">
        <v>86645</v>
      </c>
      <c r="AZ15" s="9">
        <v>87311</v>
      </c>
      <c r="BA15" s="9">
        <v>88093</v>
      </c>
      <c r="BB15" s="9">
        <v>88691</v>
      </c>
      <c r="BC15" s="9">
        <v>89110</v>
      </c>
      <c r="BD15" s="9">
        <v>89366</v>
      </c>
      <c r="BE15" s="9">
        <v>89578</v>
      </c>
      <c r="BF15" s="9">
        <v>90009</v>
      </c>
      <c r="BG15" s="9">
        <v>90170</v>
      </c>
      <c r="BH15" s="9">
        <v>90559</v>
      </c>
      <c r="BI15" s="9">
        <v>90960</v>
      </c>
      <c r="BJ15" s="9">
        <v>91494</v>
      </c>
      <c r="BK15" s="9">
        <v>91957</v>
      </c>
      <c r="BL15" s="9">
        <v>92557</v>
      </c>
      <c r="BM15" s="9">
        <v>93142</v>
      </c>
      <c r="BN15" s="9">
        <v>93991</v>
      </c>
      <c r="BO15" s="9">
        <v>94711</v>
      </c>
      <c r="BP15" s="9">
        <v>95824</v>
      </c>
      <c r="BQ15" s="9">
        <v>96920</v>
      </c>
      <c r="BR15" s="9">
        <v>97888</v>
      </c>
      <c r="BS15" s="9">
        <v>98851</v>
      </c>
      <c r="BT15" s="9">
        <v>100098</v>
      </c>
      <c r="BU15" s="9">
        <v>101468</v>
      </c>
      <c r="BV15" s="9">
        <v>102919</v>
      </c>
      <c r="BW15" s="9">
        <v>104697</v>
      </c>
      <c r="BX15" s="9">
        <v>106439</v>
      </c>
    </row>
    <row r="16" spans="1:307" x14ac:dyDescent="0.25">
      <c r="A16" s="9">
        <f t="shared" si="8"/>
        <v>15</v>
      </c>
      <c r="B16" s="9">
        <f t="array" ref="B16">IF(C16="",0,IF(OR(C16=Country_Comparison!$S$10:$S$29),1,0))</f>
        <v>0</v>
      </c>
      <c r="C16" s="9" t="str">
        <f t="shared" si="13"/>
        <v>Middle East</v>
      </c>
      <c r="D16" s="6">
        <f t="shared" si="14"/>
        <v>47344</v>
      </c>
      <c r="E16" s="6">
        <f>IF(COUNTIF(I16:XFD16,"&gt;"&amp;0)=0,,HLOOKUP(COUNTIF(I16:XFD16,"&gt;"&amp;0)-1,I$1:XFD16,A16+1,FALSE))</f>
        <v>47344</v>
      </c>
      <c r="F16" s="7">
        <f>IF(COUNTIF(I16:XFD16,"&gt;"&amp;0)=0,,HLOOKUP(COUNTIF(I16:XFD16,"&gt;"&amp;0)-MIN($F$1+1,COUNTIF(I16:XFD16,"&gt;"&amp;0)),I$1:XFD16,A16+1,FALSE))</f>
        <v>29119</v>
      </c>
      <c r="G16" s="8">
        <f t="shared" si="5"/>
        <v>1.102091615255441</v>
      </c>
      <c r="H16" s="13" t="s">
        <v>610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  <c r="AN16" s="9">
        <v>39454</v>
      </c>
      <c r="AO16" s="9">
        <v>43425</v>
      </c>
      <c r="AP16" s="9">
        <v>47344</v>
      </c>
    </row>
    <row r="17" spans="1:47" x14ac:dyDescent="0.25">
      <c r="A17" s="9">
        <f t="shared" si="8"/>
        <v>16</v>
      </c>
      <c r="B17" s="9">
        <f t="array" ref="B17">IF(C17="",0,IF(OR(C17=Country_Comparison!$S$10:$S$29),1,0))</f>
        <v>0</v>
      </c>
      <c r="C17" s="9" t="str">
        <f t="shared" si="13"/>
        <v>Iran</v>
      </c>
      <c r="D17" s="6">
        <f t="shared" si="14"/>
        <v>38309</v>
      </c>
      <c r="E17" s="6">
        <f>IF(COUNTIF(I17:XFD17,"&gt;"&amp;0)=0,,HLOOKUP(COUNTIF(I17:XFD17,"&gt;"&amp;0)-1,I$1:XFD17,A17+1,FALSE))</f>
        <v>38309</v>
      </c>
      <c r="F17" s="7">
        <f>IF(COUNTIF(I17:XFD17,"&gt;"&amp;0)=0,,HLOOKUP(COUNTIF(I17:XFD17,"&gt;"&amp;0)-MIN($F$1+1,COUNTIF(I17:XFD17,"&gt;"&amp;0)),I$1:XFD17,A17+1,FALSE))</f>
        <v>24811</v>
      </c>
      <c r="G17" s="8">
        <f t="shared" si="5"/>
        <v>1.090765289629672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</row>
    <row r="18" spans="1:47" x14ac:dyDescent="0.25">
      <c r="A18" s="9">
        <f t="shared" si="8"/>
        <v>17</v>
      </c>
      <c r="B18" s="9">
        <f t="array" ref="B18">IF(C18="",0,IF(OR(C18=Country_Comparison!$S$10:$S$29),1,0))</f>
        <v>0</v>
      </c>
      <c r="C18" s="9" t="str">
        <f t="shared" si="13"/>
        <v>Switzerland</v>
      </c>
      <c r="D18" s="6">
        <f t="shared" si="14"/>
        <v>14829</v>
      </c>
      <c r="E18" s="6">
        <f>IF(COUNTIF(I18:XFD18,"&gt;"&amp;0)=0,,HLOOKUP(COUNTIF(I18:XFD18,"&gt;"&amp;0)-1,I$1:XFD18,A18+1,FALSE))</f>
        <v>14829</v>
      </c>
      <c r="F18" s="7">
        <f>IF(COUNTIF(I18:XFD18,"&gt;"&amp;0)=0,,HLOOKUP(COUNTIF(I18:XFD18,"&gt;"&amp;0)-MIN($F$1+1,COUNTIF(I18:XFD18,"&gt;"&amp;0)),I$1:XFD18,A18+1,FALSE))</f>
        <v>9877</v>
      </c>
      <c r="G18" s="8">
        <f t="shared" si="5"/>
        <v>1.084669335041768</v>
      </c>
      <c r="H18" s="13" t="s">
        <v>77</v>
      </c>
      <c r="I18" s="9">
        <v>114</v>
      </c>
      <c r="J18" s="9">
        <v>214</v>
      </c>
      <c r="K18" s="9">
        <v>268</v>
      </c>
      <c r="L18" s="9">
        <v>337</v>
      </c>
      <c r="M18" s="9">
        <v>374</v>
      </c>
      <c r="N18" s="9">
        <v>491</v>
      </c>
      <c r="O18" s="9">
        <v>652</v>
      </c>
      <c r="P18" s="9">
        <v>652</v>
      </c>
      <c r="Q18" s="9">
        <v>1139</v>
      </c>
      <c r="R18" s="9">
        <v>1359</v>
      </c>
      <c r="S18" s="9">
        <v>2200</v>
      </c>
      <c r="T18" s="9">
        <v>2200</v>
      </c>
      <c r="U18" s="9">
        <v>2700</v>
      </c>
      <c r="V18" s="9">
        <v>3028</v>
      </c>
      <c r="W18" s="9">
        <v>4075</v>
      </c>
      <c r="X18" s="9">
        <v>5294</v>
      </c>
      <c r="Y18" s="9">
        <v>6575</v>
      </c>
      <c r="Z18" s="9">
        <v>7474</v>
      </c>
      <c r="AA18" s="9">
        <v>8795</v>
      </c>
      <c r="AB18" s="9">
        <v>9877</v>
      </c>
      <c r="AC18" s="9">
        <v>10897</v>
      </c>
      <c r="AD18" s="9">
        <v>11811</v>
      </c>
      <c r="AE18" s="9">
        <v>12928</v>
      </c>
      <c r="AF18" s="9">
        <v>14076</v>
      </c>
      <c r="AG18" s="9">
        <v>14829</v>
      </c>
    </row>
    <row r="19" spans="1:47" x14ac:dyDescent="0.25">
      <c r="A19" s="9">
        <f t="shared" si="8"/>
        <v>18</v>
      </c>
      <c r="B19" s="9">
        <f t="array" ref="B19">IF(C19="",0,IF(OR(C19=Country_Comparison!$S$10:$S$29),1,0))</f>
        <v>0</v>
      </c>
      <c r="C19" s="9" t="str">
        <f t="shared" si="13"/>
        <v>South America</v>
      </c>
      <c r="D19" s="6">
        <f t="shared" si="14"/>
        <v>11838</v>
      </c>
      <c r="E19" s="6">
        <f>IF(COUNTIF(I19:XFD19,"&gt;"&amp;0)=0,,HLOOKUP(COUNTIF(I19:XFD19,"&gt;"&amp;0)-1,I$1:XFD19,A19+1,FALSE))</f>
        <v>11838</v>
      </c>
      <c r="F19" s="7">
        <f>IF(COUNTIF(I19:XFD19,"&gt;"&amp;0)=0,,HLOOKUP(COUNTIF(I19:XFD19,"&gt;"&amp;0)-MIN($F$1+1,COUNTIF(I19:XFD19,"&gt;"&amp;0)),I$1:XFD19,A19+1,FALSE))</f>
        <v>5926</v>
      </c>
      <c r="G19" s="8">
        <f t="shared" si="5"/>
        <v>1.1484268500880837</v>
      </c>
      <c r="H19" s="13" t="s">
        <v>612</v>
      </c>
      <c r="I19" s="9">
        <v>134</v>
      </c>
      <c r="J19" s="9">
        <v>153</v>
      </c>
      <c r="K19" s="9">
        <v>305</v>
      </c>
      <c r="L19" s="9">
        <v>371</v>
      </c>
      <c r="M19" s="9">
        <v>427</v>
      </c>
      <c r="N19" s="9">
        <v>635</v>
      </c>
      <c r="O19" s="9">
        <v>919</v>
      </c>
      <c r="P19" s="9">
        <v>1133</v>
      </c>
      <c r="Q19" s="9">
        <v>1604</v>
      </c>
      <c r="R19" s="9">
        <v>2266</v>
      </c>
      <c r="S19" s="9">
        <v>2969</v>
      </c>
      <c r="T19" s="9">
        <v>4204</v>
      </c>
      <c r="U19" s="9">
        <v>5055</v>
      </c>
      <c r="V19" s="9">
        <v>5926</v>
      </c>
      <c r="W19" s="9">
        <v>6804</v>
      </c>
      <c r="X19" s="9">
        <v>7992</v>
      </c>
      <c r="Y19" s="9">
        <v>9251</v>
      </c>
      <c r="Z19" s="9">
        <v>10656</v>
      </c>
      <c r="AA19" s="9">
        <v>11838</v>
      </c>
    </row>
    <row r="20" spans="1:47" x14ac:dyDescent="0.25">
      <c r="A20" s="9">
        <f t="shared" si="8"/>
        <v>19</v>
      </c>
      <c r="B20" s="9">
        <f t="array" ref="B20">IF(C20="",0,IF(OR(C20=Country_Comparison!$S$10:$S$29),1,0))</f>
        <v>0</v>
      </c>
      <c r="C20" s="9" t="str">
        <f t="shared" si="13"/>
        <v>Netherlands</v>
      </c>
      <c r="D20" s="6">
        <f t="shared" si="14"/>
        <v>10930</v>
      </c>
      <c r="E20" s="6">
        <f>IF(COUNTIF(I20:XFD20,"&gt;"&amp;0)=0,,HLOOKUP(COUNTIF(I20:XFD20,"&gt;"&amp;0)-1,I$1:XFD20,A20+1,FALSE))</f>
        <v>10930</v>
      </c>
      <c r="F20" s="7">
        <f>IF(COUNTIF(I20:XFD20,"&gt;"&amp;0)=0,,HLOOKUP(COUNTIF(I20:XFD20,"&gt;"&amp;0)-MIN($F$1+1,COUNTIF(I20:XFD20,"&gt;"&amp;0)),I$1:XFD20,A20+1,FALSE))</f>
        <v>5580</v>
      </c>
      <c r="G20" s="8">
        <f t="shared" si="5"/>
        <v>1.1439240548793892</v>
      </c>
      <c r="H20" s="13" t="s">
        <v>89</v>
      </c>
      <c r="I20" s="9">
        <v>128</v>
      </c>
      <c r="J20" s="9">
        <v>188</v>
      </c>
      <c r="K20" s="9">
        <v>265</v>
      </c>
      <c r="L20" s="9">
        <v>321</v>
      </c>
      <c r="M20" s="9">
        <v>382</v>
      </c>
      <c r="N20" s="9">
        <v>503</v>
      </c>
      <c r="O20" s="9">
        <v>503</v>
      </c>
      <c r="P20" s="9">
        <v>806</v>
      </c>
      <c r="Q20" s="9">
        <v>962</v>
      </c>
      <c r="R20" s="9">
        <v>1138</v>
      </c>
      <c r="S20" s="9">
        <v>1416</v>
      </c>
      <c r="T20" s="9">
        <v>1711</v>
      </c>
      <c r="U20" s="9">
        <v>2058</v>
      </c>
      <c r="V20" s="9">
        <v>2467</v>
      </c>
      <c r="W20" s="9">
        <v>3003</v>
      </c>
      <c r="X20" s="9">
        <v>3640</v>
      </c>
      <c r="Y20" s="9">
        <v>4217</v>
      </c>
      <c r="Z20" s="9">
        <v>4764</v>
      </c>
      <c r="AA20" s="9">
        <v>5580</v>
      </c>
      <c r="AB20" s="9">
        <v>6438</v>
      </c>
      <c r="AC20" s="9">
        <v>7468</v>
      </c>
      <c r="AD20" s="9">
        <v>8647</v>
      </c>
      <c r="AE20" s="9">
        <v>9819</v>
      </c>
      <c r="AF20" s="9">
        <v>10930</v>
      </c>
    </row>
    <row r="21" spans="1:47" x14ac:dyDescent="0.25">
      <c r="A21" s="9">
        <f t="shared" si="8"/>
        <v>20</v>
      </c>
      <c r="B21" s="9">
        <f t="array" ref="B21">IF(C21="",0,IF(OR(C21=Country_Comparison!$S$10:$S$29),1,0))</f>
        <v>0</v>
      </c>
      <c r="C21" s="9" t="str">
        <f t="shared" si="13"/>
        <v>Belgium</v>
      </c>
      <c r="D21" s="6">
        <f t="shared" si="14"/>
        <v>10836</v>
      </c>
      <c r="E21" s="6">
        <f>IF(COUNTIF(I21:XFD21,"&gt;"&amp;0)=0,,HLOOKUP(COUNTIF(I21:XFD21,"&gt;"&amp;0)-1,I$1:XFD21,A21+1,FALSE))</f>
        <v>10836</v>
      </c>
      <c r="F21" s="7">
        <f>IF(COUNTIF(I21:XFD21,"&gt;"&amp;0)=0,,HLOOKUP(COUNTIF(I21:XFD21,"&gt;"&amp;0)-MIN($F$1+1,COUNTIF(I21:XFD21,"&gt;"&amp;0)),I$1:XFD21,A21+1,FALSE))</f>
        <v>4269</v>
      </c>
      <c r="G21" s="8">
        <f t="shared" si="5"/>
        <v>1.2047822717706134</v>
      </c>
      <c r="H21" s="13" t="s">
        <v>63</v>
      </c>
      <c r="I21" s="9">
        <v>109</v>
      </c>
      <c r="J21" s="9">
        <v>169</v>
      </c>
      <c r="K21" s="9">
        <v>200</v>
      </c>
      <c r="L21" s="9">
        <v>239</v>
      </c>
      <c r="M21" s="9">
        <v>267</v>
      </c>
      <c r="N21" s="9">
        <v>314</v>
      </c>
      <c r="O21" s="9">
        <v>314</v>
      </c>
      <c r="P21" s="9">
        <v>559</v>
      </c>
      <c r="Q21" s="9">
        <v>689</v>
      </c>
      <c r="R21" s="9">
        <v>886</v>
      </c>
      <c r="S21" s="9">
        <v>1058</v>
      </c>
      <c r="T21" s="9">
        <v>1243</v>
      </c>
      <c r="U21" s="9">
        <v>1486</v>
      </c>
      <c r="V21" s="9">
        <v>1795</v>
      </c>
      <c r="W21" s="9">
        <v>2257</v>
      </c>
      <c r="X21" s="9">
        <v>2815</v>
      </c>
      <c r="Y21" s="9">
        <v>3401</v>
      </c>
      <c r="Z21" s="9">
        <v>3743</v>
      </c>
      <c r="AA21" s="9">
        <v>4269</v>
      </c>
      <c r="AB21" s="9">
        <v>4937</v>
      </c>
      <c r="AC21" s="9">
        <v>6235</v>
      </c>
      <c r="AD21" s="9">
        <v>7284</v>
      </c>
      <c r="AE21" s="9">
        <v>9134</v>
      </c>
      <c r="AF21" s="9">
        <v>10836</v>
      </c>
    </row>
    <row r="22" spans="1:47" x14ac:dyDescent="0.25">
      <c r="A22" s="9">
        <f t="shared" si="8"/>
        <v>21</v>
      </c>
      <c r="B22" s="9">
        <f t="array" ref="B22">IF(C22="",0,IF(OR(C22=Country_Comparison!$S$10:$S$29),1,0))</f>
        <v>0</v>
      </c>
      <c r="C22" s="9" t="str">
        <f t="shared" si="13"/>
        <v>Korea, South</v>
      </c>
      <c r="D22" s="6">
        <f t="shared" si="14"/>
        <v>9583</v>
      </c>
      <c r="E22" s="6">
        <f>IF(COUNTIF(I22:XFD22,"&gt;"&amp;0)=0,,HLOOKUP(COUNTIF(I22:XFD22,"&gt;"&amp;0)-1,I$1:XFD22,A22+1,FALSE))</f>
        <v>9583</v>
      </c>
      <c r="F22" s="7">
        <f>IF(COUNTIF(I22:XFD22,"&gt;"&amp;0)=0,,HLOOKUP(COUNTIF(I22:XFD22,"&gt;"&amp;0)-MIN($F$1+1,COUNTIF(I22:XFD22,"&gt;"&amp;0)),I$1:XFD22,A22+1,FALSE))</f>
        <v>9037</v>
      </c>
      <c r="G22" s="8">
        <f t="shared" si="5"/>
        <v>1.0118017848295864</v>
      </c>
      <c r="H22" s="13" t="s">
        <v>339</v>
      </c>
      <c r="I22" s="9">
        <v>104</v>
      </c>
      <c r="J22" s="9">
        <v>204</v>
      </c>
      <c r="K22" s="9">
        <v>433</v>
      </c>
      <c r="L22" s="9">
        <v>602</v>
      </c>
      <c r="M22" s="9">
        <v>833</v>
      </c>
      <c r="N22" s="9">
        <v>977</v>
      </c>
      <c r="O22" s="9">
        <v>1261</v>
      </c>
      <c r="P22" s="9">
        <v>1766</v>
      </c>
      <c r="Q22" s="9">
        <v>2337</v>
      </c>
      <c r="R22" s="9">
        <v>3150</v>
      </c>
      <c r="S22" s="9">
        <v>3736</v>
      </c>
      <c r="T22" s="9">
        <v>4335</v>
      </c>
      <c r="U22" s="9">
        <v>5186</v>
      </c>
      <c r="V22" s="9">
        <v>5621</v>
      </c>
      <c r="W22" s="9">
        <v>6088</v>
      </c>
      <c r="X22" s="9">
        <v>6593</v>
      </c>
      <c r="Y22" s="9">
        <v>7041</v>
      </c>
      <c r="Z22" s="9">
        <v>7314</v>
      </c>
      <c r="AA22" s="9">
        <v>7478</v>
      </c>
      <c r="AB22" s="9">
        <v>7513</v>
      </c>
      <c r="AC22" s="9">
        <v>7755</v>
      </c>
      <c r="AD22" s="9">
        <v>7869</v>
      </c>
      <c r="AE22" s="9">
        <v>7979</v>
      </c>
      <c r="AF22" s="9">
        <v>8086</v>
      </c>
      <c r="AG22" s="9">
        <v>8162</v>
      </c>
      <c r="AH22" s="9">
        <v>8236</v>
      </c>
      <c r="AI22" s="9">
        <v>8320</v>
      </c>
      <c r="AJ22" s="9">
        <v>8413</v>
      </c>
      <c r="AK22" s="9">
        <v>8565</v>
      </c>
      <c r="AL22" s="9">
        <v>8652</v>
      </c>
      <c r="AM22" s="9">
        <v>8799</v>
      </c>
      <c r="AN22" s="9">
        <v>8961</v>
      </c>
      <c r="AO22" s="9">
        <v>8961</v>
      </c>
      <c r="AP22" s="9">
        <v>9037</v>
      </c>
      <c r="AQ22" s="9">
        <v>9137</v>
      </c>
      <c r="AR22" s="9">
        <v>9241</v>
      </c>
      <c r="AS22" s="9">
        <v>9332</v>
      </c>
      <c r="AT22" s="9">
        <v>9478</v>
      </c>
      <c r="AU22" s="9">
        <v>9583</v>
      </c>
    </row>
    <row r="23" spans="1:47" x14ac:dyDescent="0.25">
      <c r="A23" s="9">
        <f t="shared" si="8"/>
        <v>22</v>
      </c>
      <c r="B23" s="9">
        <f t="array" ref="B23">IF(C23="",0,IF(OR(C23=Country_Comparison!$S$10:$S$29),1,0))</f>
        <v>0</v>
      </c>
      <c r="C23" s="9" t="str">
        <f t="shared" si="13"/>
        <v>Turkey</v>
      </c>
      <c r="D23" s="6">
        <f t="shared" si="14"/>
        <v>9217</v>
      </c>
      <c r="E23" s="6">
        <f>IF(COUNTIF(I23:XFD23,"&gt;"&amp;0)=0,,HLOOKUP(COUNTIF(I23:XFD23,"&gt;"&amp;0)-1,I$1:XFD23,A23+1,FALSE))</f>
        <v>9217</v>
      </c>
      <c r="F23" s="7">
        <f>IF(COUNTIF(I23:XFD23,"&gt;"&amp;0)=0,,HLOOKUP(COUNTIF(I23:XFD23,"&gt;"&amp;0)-MIN($F$1+1,COUNTIF(I23:XFD23,"&gt;"&amp;0)),I$1:XFD23,A23+1,FALSE))</f>
        <v>1872</v>
      </c>
      <c r="G23" s="8">
        <f t="shared" si="5"/>
        <v>1.3754878186379516</v>
      </c>
      <c r="H23" s="13" t="s">
        <v>355</v>
      </c>
      <c r="I23" s="9">
        <v>192</v>
      </c>
      <c r="J23" s="9">
        <v>359</v>
      </c>
      <c r="K23" s="9">
        <v>670</v>
      </c>
      <c r="L23" s="9">
        <v>1236</v>
      </c>
      <c r="M23" s="9">
        <v>1529</v>
      </c>
      <c r="N23" s="9">
        <v>1872</v>
      </c>
      <c r="O23" s="9">
        <v>2433</v>
      </c>
      <c r="P23" s="9">
        <v>3629</v>
      </c>
      <c r="Q23" s="9">
        <v>5698</v>
      </c>
      <c r="R23" s="9">
        <v>7402</v>
      </c>
      <c r="S23" s="9">
        <v>9217</v>
      </c>
    </row>
    <row r="24" spans="1:47" x14ac:dyDescent="0.25">
      <c r="A24" s="9">
        <f t="shared" si="8"/>
        <v>23</v>
      </c>
      <c r="B24" s="9">
        <f t="array" ref="B24">IF(C24="",0,IF(OR(C24=Country_Comparison!$S$10:$S$29),1,0))</f>
        <v>0</v>
      </c>
      <c r="C24" s="9" t="str">
        <f t="shared" si="13"/>
        <v>Austria</v>
      </c>
      <c r="D24" s="6">
        <f t="shared" si="14"/>
        <v>8788</v>
      </c>
      <c r="E24" s="6">
        <f>IF(COUNTIF(I24:XFD24,"&gt;"&amp;0)=0,,HLOOKUP(COUNTIF(I24:XFD24,"&gt;"&amp;0)-1,I$1:XFD24,A24+1,FALSE))</f>
        <v>8788</v>
      </c>
      <c r="F24" s="7">
        <f>IF(COUNTIF(I24:XFD24,"&gt;"&amp;0)=0,,HLOOKUP(COUNTIF(I24:XFD24,"&gt;"&amp;0)-MIN($F$1+1,COUNTIF(I24:XFD24,"&gt;"&amp;0)),I$1:XFD24,A24+1,FALSE))</f>
        <v>5283</v>
      </c>
      <c r="G24" s="8">
        <f t="shared" si="5"/>
        <v>1.1071383322128516</v>
      </c>
      <c r="H24" s="13" t="s">
        <v>78</v>
      </c>
      <c r="I24" s="9">
        <v>104</v>
      </c>
      <c r="J24" s="9">
        <v>131</v>
      </c>
      <c r="K24" s="9">
        <v>182</v>
      </c>
      <c r="L24" s="9">
        <v>246</v>
      </c>
      <c r="M24" s="9">
        <v>302</v>
      </c>
      <c r="N24" s="9">
        <v>504</v>
      </c>
      <c r="O24" s="9">
        <v>655</v>
      </c>
      <c r="P24" s="9">
        <v>860</v>
      </c>
      <c r="Q24" s="9">
        <v>1018</v>
      </c>
      <c r="R24" s="9">
        <v>1332</v>
      </c>
      <c r="S24" s="9">
        <v>1646</v>
      </c>
      <c r="T24" s="9">
        <v>2013</v>
      </c>
      <c r="U24" s="9">
        <v>2388</v>
      </c>
      <c r="V24" s="9">
        <v>2814</v>
      </c>
      <c r="W24" s="9">
        <v>3582</v>
      </c>
      <c r="X24" s="9">
        <v>4474</v>
      </c>
      <c r="Y24" s="9">
        <v>5283</v>
      </c>
      <c r="Z24" s="9">
        <v>5588</v>
      </c>
      <c r="AA24" s="9">
        <v>6909</v>
      </c>
      <c r="AB24" s="9">
        <v>7657</v>
      </c>
      <c r="AC24" s="9">
        <v>8271</v>
      </c>
      <c r="AD24" s="9">
        <v>8788</v>
      </c>
    </row>
    <row r="25" spans="1:47" x14ac:dyDescent="0.25">
      <c r="A25" s="9">
        <f t="shared" si="8"/>
        <v>24</v>
      </c>
      <c r="B25" s="9">
        <f t="array" ref="B25">IF(C25="",0,IF(OR(C25=Country_Comparison!$S$10:$S$29),1,0))</f>
        <v>0</v>
      </c>
      <c r="C25" s="9" t="str">
        <f t="shared" si="13"/>
        <v>Canada</v>
      </c>
      <c r="D25" s="6">
        <f t="shared" si="14"/>
        <v>6280</v>
      </c>
      <c r="E25" s="6">
        <f>IF(COUNTIF(I25:XFD25,"&gt;"&amp;0)=0,,HLOOKUP(COUNTIF(I25:XFD25,"&gt;"&amp;0)-1,I$1:XFD25,A25+1,FALSE))</f>
        <v>6280</v>
      </c>
      <c r="F25" s="7">
        <f>IF(COUNTIF(I25:XFD25,"&gt;"&amp;0)=0,,HLOOKUP(COUNTIF(I25:XFD25,"&gt;"&amp;0)-MIN($F$1+1,COUNTIF(I25:XFD25,"&gt;"&amp;0)),I$1:XFD25,A25+1,FALSE))</f>
        <v>2790</v>
      </c>
      <c r="G25" s="8">
        <f t="shared" si="5"/>
        <v>1.1761726817615488</v>
      </c>
      <c r="H25" s="13" t="s">
        <v>45</v>
      </c>
      <c r="I25" s="9">
        <v>108</v>
      </c>
      <c r="J25" s="9">
        <v>117</v>
      </c>
      <c r="K25" s="9">
        <v>193</v>
      </c>
      <c r="L25" s="9">
        <v>198</v>
      </c>
      <c r="M25" s="9">
        <v>252</v>
      </c>
      <c r="N25" s="9">
        <v>415</v>
      </c>
      <c r="O25" s="9">
        <v>478</v>
      </c>
      <c r="P25" s="9">
        <v>657</v>
      </c>
      <c r="Q25" s="9">
        <v>800</v>
      </c>
      <c r="R25" s="9">
        <v>943</v>
      </c>
      <c r="S25" s="9">
        <v>1277</v>
      </c>
      <c r="T25" s="9">
        <v>1469</v>
      </c>
      <c r="U25" s="9">
        <v>2088</v>
      </c>
      <c r="V25" s="9">
        <v>2790</v>
      </c>
      <c r="W25" s="9">
        <v>3251</v>
      </c>
      <c r="X25" s="9">
        <v>4042</v>
      </c>
      <c r="Y25" s="9">
        <v>4682</v>
      </c>
      <c r="Z25" s="9">
        <v>5576</v>
      </c>
      <c r="AA25" s="9">
        <v>6280</v>
      </c>
    </row>
    <row r="26" spans="1:47" x14ac:dyDescent="0.25">
      <c r="A26" s="9">
        <f t="shared" si="8"/>
        <v>25</v>
      </c>
      <c r="B26" s="9">
        <f t="array" ref="B26">IF(C26="",0,IF(OR(C26=Country_Comparison!$S$10:$S$29),1,0))</f>
        <v>0</v>
      </c>
      <c r="C26" s="9" t="str">
        <f t="shared" si="13"/>
        <v>Portugal</v>
      </c>
      <c r="D26" s="6">
        <f t="shared" si="14"/>
        <v>5962</v>
      </c>
      <c r="E26" s="6">
        <f>IF(COUNTIF(I26:XFD26,"&gt;"&amp;0)=0,,HLOOKUP(COUNTIF(I26:XFD26,"&gt;"&amp;0)-1,I$1:XFD26,A26+1,FALSE))</f>
        <v>5962</v>
      </c>
      <c r="F26" s="7">
        <f>IF(COUNTIF(I26:XFD26,"&gt;"&amp;0)=0,,HLOOKUP(COUNTIF(I26:XFD26,"&gt;"&amp;0)-MIN($F$1+1,COUNTIF(I26:XFD26,"&gt;"&amp;0)),I$1:XFD26,A26+1,FALSE))</f>
        <v>2362</v>
      </c>
      <c r="G26" s="8">
        <f t="shared" si="5"/>
        <v>1.2034343836653834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</row>
    <row r="27" spans="1:47" x14ac:dyDescent="0.25">
      <c r="A27" s="9">
        <f t="shared" si="8"/>
        <v>26</v>
      </c>
      <c r="B27" s="9">
        <f t="array" ref="B27">IF(C27="",0,IF(OR(C27=Country_Comparison!$S$10:$S$29),1,0))</f>
        <v>0</v>
      </c>
      <c r="C27" s="9" t="str">
        <f t="shared" si="13"/>
        <v>Norway</v>
      </c>
      <c r="D27" s="6">
        <f t="shared" si="14"/>
        <v>4284</v>
      </c>
      <c r="E27" s="6">
        <f>IF(COUNTIF(I27:XFD27,"&gt;"&amp;0)=0,,HLOOKUP(COUNTIF(I27:XFD27,"&gt;"&amp;0)-1,I$1:XFD27,A27+1,FALSE))</f>
        <v>4284</v>
      </c>
      <c r="F27" s="7">
        <f>IF(COUNTIF(I27:XFD27,"&gt;"&amp;0)=0,,HLOOKUP(COUNTIF(I27:XFD27,"&gt;"&amp;0)-MIN($F$1+1,COUNTIF(I27:XFD27,"&gt;"&amp;0)),I$1:XFD27,A27+1,FALSE))</f>
        <v>2863</v>
      </c>
      <c r="G27" s="8">
        <f t="shared" si="5"/>
        <v>1.0839409477562028</v>
      </c>
      <c r="H27" s="13" t="s">
        <v>85</v>
      </c>
      <c r="I27" s="9">
        <v>108</v>
      </c>
      <c r="J27" s="9">
        <v>147</v>
      </c>
      <c r="K27" s="9">
        <v>176</v>
      </c>
      <c r="L27" s="9">
        <v>205</v>
      </c>
      <c r="M27" s="9">
        <v>400</v>
      </c>
      <c r="N27" s="9">
        <v>598</v>
      </c>
      <c r="O27" s="9">
        <v>702</v>
      </c>
      <c r="P27" s="9">
        <v>996</v>
      </c>
      <c r="Q27" s="9">
        <v>1090</v>
      </c>
      <c r="R27" s="9">
        <v>1221</v>
      </c>
      <c r="S27" s="9">
        <v>1333</v>
      </c>
      <c r="T27" s="9">
        <v>1463</v>
      </c>
      <c r="U27" s="9">
        <v>1550</v>
      </c>
      <c r="V27" s="9">
        <v>1746</v>
      </c>
      <c r="W27" s="9">
        <v>1914</v>
      </c>
      <c r="X27" s="9">
        <v>2118</v>
      </c>
      <c r="Y27" s="9">
        <v>2385</v>
      </c>
      <c r="Z27" s="9">
        <v>2621</v>
      </c>
      <c r="AA27" s="9">
        <v>2863</v>
      </c>
      <c r="AB27" s="9">
        <v>3084</v>
      </c>
      <c r="AC27" s="9">
        <v>3369</v>
      </c>
      <c r="AD27" s="9">
        <v>3755</v>
      </c>
      <c r="AE27" s="9">
        <v>4015</v>
      </c>
      <c r="AF27" s="9">
        <v>4284</v>
      </c>
    </row>
    <row r="28" spans="1:47" x14ac:dyDescent="0.25">
      <c r="A28" s="9">
        <f t="shared" si="8"/>
        <v>27</v>
      </c>
      <c r="B28" s="9">
        <f t="array" ref="B28">IF(C28="",0,IF(OR(C28=Country_Comparison!$S$10:$S$29),1,0))</f>
        <v>0</v>
      </c>
      <c r="C28" s="9" t="str">
        <f t="shared" si="13"/>
        <v>Brazil</v>
      </c>
      <c r="D28" s="6">
        <f t="shared" si="14"/>
        <v>4256</v>
      </c>
      <c r="E28" s="6">
        <f>IF(COUNTIF(I28:XFD28,"&gt;"&amp;0)=0,,HLOOKUP(COUNTIF(I28:XFD28,"&gt;"&amp;0)-1,I$1:XFD28,A28+1,FALSE))</f>
        <v>4256</v>
      </c>
      <c r="F28" s="7">
        <f>IF(COUNTIF(I28:XFD28,"&gt;"&amp;0)=0,,HLOOKUP(COUNTIF(I28:XFD28,"&gt;"&amp;0)-MIN($F$1+1,COUNTIF(I28:XFD28,"&gt;"&amp;0)),I$1:XFD28,A28+1,FALSE))</f>
        <v>2247</v>
      </c>
      <c r="G28" s="8">
        <f t="shared" si="5"/>
        <v>1.1362652091008261</v>
      </c>
      <c r="H28" s="13" t="s">
        <v>81</v>
      </c>
      <c r="I28" s="9">
        <v>151</v>
      </c>
      <c r="J28" s="9">
        <v>151</v>
      </c>
      <c r="K28" s="9">
        <v>162</v>
      </c>
      <c r="L28" s="9">
        <v>200</v>
      </c>
      <c r="M28" s="9">
        <v>321</v>
      </c>
      <c r="N28" s="9">
        <v>372</v>
      </c>
      <c r="O28" s="9">
        <v>621</v>
      </c>
      <c r="P28" s="9">
        <v>793</v>
      </c>
      <c r="Q28" s="9">
        <v>1021</v>
      </c>
      <c r="R28" s="9">
        <v>1546</v>
      </c>
      <c r="S28" s="9">
        <v>1924</v>
      </c>
      <c r="T28" s="9">
        <v>2247</v>
      </c>
      <c r="U28" s="9">
        <v>2554</v>
      </c>
      <c r="V28" s="9">
        <v>2985</v>
      </c>
      <c r="W28" s="9">
        <v>3417</v>
      </c>
      <c r="X28" s="9">
        <v>3904</v>
      </c>
      <c r="Y28" s="9">
        <v>4256</v>
      </c>
    </row>
    <row r="29" spans="1:47" x14ac:dyDescent="0.25">
      <c r="A29" s="9">
        <f t="shared" si="8"/>
        <v>28</v>
      </c>
      <c r="B29" s="9">
        <f t="array" ref="B29">IF(C29="",0,IF(OR(C29=Country_Comparison!$S$10:$S$29),1,0))</f>
        <v>0</v>
      </c>
      <c r="C29" s="9" t="str">
        <f t="shared" si="13"/>
        <v>Israel</v>
      </c>
      <c r="D29" s="6">
        <f t="shared" si="14"/>
        <v>4247</v>
      </c>
      <c r="E29" s="6">
        <f>IF(COUNTIF(I29:XFD29,"&gt;"&amp;0)=0,,HLOOKUP(COUNTIF(I29:XFD29,"&gt;"&amp;0)-1,I$1:XFD29,A29+1,FALSE))</f>
        <v>4247</v>
      </c>
      <c r="F29" s="7">
        <f>IF(COUNTIF(I29:XFD29,"&gt;"&amp;0)=0,,HLOOKUP(COUNTIF(I29:XFD29,"&gt;"&amp;0)-MIN($F$1+1,COUNTIF(I29:XFD29,"&gt;"&amp;0)),I$1:XFD29,A29+1,FALSE))</f>
        <v>1238</v>
      </c>
      <c r="G29" s="8">
        <f t="shared" si="5"/>
        <v>1.2795943778600884</v>
      </c>
      <c r="H29" s="13" t="s">
        <v>79</v>
      </c>
      <c r="I29" s="9">
        <v>100</v>
      </c>
      <c r="J29" s="9">
        <v>126</v>
      </c>
      <c r="K29" s="9">
        <v>155</v>
      </c>
      <c r="L29" s="9">
        <v>213</v>
      </c>
      <c r="M29" s="9">
        <v>218</v>
      </c>
      <c r="N29" s="9">
        <v>250</v>
      </c>
      <c r="O29" s="9">
        <v>304</v>
      </c>
      <c r="P29" s="9">
        <v>427</v>
      </c>
      <c r="Q29" s="9">
        <v>529</v>
      </c>
      <c r="R29" s="9">
        <v>712</v>
      </c>
      <c r="S29" s="9">
        <v>883</v>
      </c>
      <c r="T29" s="9">
        <v>1071</v>
      </c>
      <c r="U29" s="9">
        <v>1238</v>
      </c>
      <c r="V29" s="9">
        <v>2369</v>
      </c>
      <c r="W29" s="9">
        <v>2693</v>
      </c>
      <c r="X29" s="9">
        <v>3035</v>
      </c>
      <c r="Y29" s="9">
        <v>3619</v>
      </c>
      <c r="Z29" s="9">
        <v>4247</v>
      </c>
    </row>
    <row r="30" spans="1:47" x14ac:dyDescent="0.25">
      <c r="A30" s="9">
        <f t="shared" si="8"/>
        <v>29</v>
      </c>
      <c r="B30" s="9">
        <f t="array" ref="B30">IF(C30="",0,IF(OR(C30=Country_Comparison!$S$10:$S$29),1,0))</f>
        <v>0</v>
      </c>
      <c r="C30" s="9" t="str">
        <f t="shared" si="13"/>
        <v>Africa</v>
      </c>
      <c r="D30" s="6">
        <f t="shared" si="14"/>
        <v>4145</v>
      </c>
      <c r="E30" s="6">
        <f>IF(COUNTIF(I30:XFD30,"&gt;"&amp;0)=0,,HLOOKUP(COUNTIF(I30:XFD30,"&gt;"&amp;0)-1,I$1:XFD30,A30+1,FALSE))</f>
        <v>4145</v>
      </c>
      <c r="F30" s="7">
        <f>IF(COUNTIF(I30:XFD30,"&gt;"&amp;0)=0,,HLOOKUP(COUNTIF(I30:XFD30,"&gt;"&amp;0)-MIN($F$1+1,COUNTIF(I30:XFD30,"&gt;"&amp;0)),I$1:XFD30,A30+1,FALSE))</f>
        <v>1996</v>
      </c>
      <c r="G30" s="8">
        <f t="shared" si="5"/>
        <v>1.1573715421778241</v>
      </c>
      <c r="H30" s="13" t="s">
        <v>613</v>
      </c>
      <c r="I30" s="9">
        <v>104</v>
      </c>
      <c r="J30" s="9">
        <v>118</v>
      </c>
      <c r="K30" s="9">
        <v>134</v>
      </c>
      <c r="L30" s="9">
        <v>177</v>
      </c>
      <c r="M30" s="9">
        <v>243</v>
      </c>
      <c r="N30" s="9">
        <v>296</v>
      </c>
      <c r="O30" s="9">
        <v>374</v>
      </c>
      <c r="P30" s="9">
        <v>453</v>
      </c>
      <c r="Q30" s="9">
        <v>556</v>
      </c>
      <c r="R30" s="9">
        <v>720</v>
      </c>
      <c r="S30" s="9">
        <v>873</v>
      </c>
      <c r="T30" s="9">
        <v>1062</v>
      </c>
      <c r="U30" s="9">
        <v>1294</v>
      </c>
      <c r="V30" s="9">
        <v>1616</v>
      </c>
      <c r="W30" s="9">
        <v>1996</v>
      </c>
      <c r="X30" s="9">
        <v>2434</v>
      </c>
      <c r="Y30" s="9">
        <v>2878</v>
      </c>
      <c r="Z30" s="9">
        <v>3382</v>
      </c>
      <c r="AA30" s="9">
        <v>3672</v>
      </c>
      <c r="AB30" s="9">
        <v>4145</v>
      </c>
    </row>
    <row r="31" spans="1:47" x14ac:dyDescent="0.25">
      <c r="A31" s="9">
        <f t="shared" si="8"/>
        <v>30</v>
      </c>
      <c r="B31" s="9">
        <f t="array" ref="B31">IF(C31="",0,IF(OR(C31=Country_Comparison!$S$10:$S$29),1,0))</f>
        <v>0</v>
      </c>
      <c r="C31" s="9" t="str">
        <f t="shared" si="13"/>
        <v>Australia</v>
      </c>
      <c r="D31" s="6">
        <f t="shared" si="14"/>
        <v>3984</v>
      </c>
      <c r="E31" s="6">
        <f>IF(COUNTIF(I31:XFD31,"&gt;"&amp;0)=0,,HLOOKUP(COUNTIF(I31:XFD31,"&gt;"&amp;0)-1,I$1:XFD31,A31+1,FALSE))</f>
        <v>3984</v>
      </c>
      <c r="F31" s="7">
        <f>IF(COUNTIF(I31:XFD31,"&gt;"&amp;0)=0,,HLOOKUP(COUNTIF(I31:XFD31,"&gt;"&amp;0)-MIN($F$1+1,COUNTIF(I31:XFD31,"&gt;"&amp;0)),I$1:XFD31,A31+1,FALSE))</f>
        <v>2044</v>
      </c>
      <c r="G31" s="8">
        <f t="shared" si="5"/>
        <v>1.1427933056134278</v>
      </c>
      <c r="H31" s="13" t="s">
        <v>48</v>
      </c>
      <c r="I31" s="9">
        <v>107</v>
      </c>
      <c r="J31" s="9">
        <v>128</v>
      </c>
      <c r="K31" s="9">
        <v>128</v>
      </c>
      <c r="L31" s="9">
        <v>200</v>
      </c>
      <c r="M31" s="9">
        <v>250</v>
      </c>
      <c r="N31" s="9">
        <v>297</v>
      </c>
      <c r="O31" s="9">
        <v>377</v>
      </c>
      <c r="P31" s="9">
        <v>452</v>
      </c>
      <c r="Q31" s="9">
        <v>568</v>
      </c>
      <c r="R31" s="9">
        <v>681</v>
      </c>
      <c r="S31" s="9">
        <v>791</v>
      </c>
      <c r="T31" s="9">
        <v>1071</v>
      </c>
      <c r="U31" s="9">
        <v>1549</v>
      </c>
      <c r="V31" s="9">
        <v>1682</v>
      </c>
      <c r="W31" s="9">
        <v>2044</v>
      </c>
      <c r="X31" s="9">
        <v>2364</v>
      </c>
      <c r="Y31" s="9">
        <v>2810</v>
      </c>
      <c r="Z31" s="9">
        <v>3143</v>
      </c>
      <c r="AA31" s="9">
        <v>3640</v>
      </c>
      <c r="AB31" s="9">
        <v>3984</v>
      </c>
    </row>
    <row r="32" spans="1:47" x14ac:dyDescent="0.25">
      <c r="A32" s="9">
        <f t="shared" si="8"/>
        <v>31</v>
      </c>
      <c r="B32" s="9">
        <f t="array" ref="B32">IF(C32="",0,IF(OR(C32=Country_Comparison!$S$10:$S$29),1,0))</f>
        <v>0</v>
      </c>
      <c r="C32" s="9" t="str">
        <f t="shared" si="13"/>
        <v>Sweden</v>
      </c>
      <c r="D32" s="6">
        <f t="shared" si="14"/>
        <v>3700</v>
      </c>
      <c r="E32" s="6">
        <f>IF(COUNTIF(I32:XFD32,"&gt;"&amp;0)=0,,HLOOKUP(COUNTIF(I32:XFD32,"&gt;"&amp;0)-1,I$1:XFD32,A32+1,FALSE))</f>
        <v>3700</v>
      </c>
      <c r="F32" s="7">
        <f>IF(COUNTIF(I32:XFD32,"&gt;"&amp;0)=0,,HLOOKUP(COUNTIF(I32:XFD32,"&gt;"&amp;0)-MIN($F$1+1,COUNTIF(I32:XFD32,"&gt;"&amp;0)),I$1:XFD32,A32+1,FALSE))</f>
        <v>2286</v>
      </c>
      <c r="G32" s="8">
        <f t="shared" si="5"/>
        <v>1.1010957835857769</v>
      </c>
      <c r="H32" s="13" t="s">
        <v>59</v>
      </c>
      <c r="I32" s="9">
        <v>101</v>
      </c>
      <c r="J32" s="9">
        <v>161</v>
      </c>
      <c r="K32" s="9">
        <v>203</v>
      </c>
      <c r="L32" s="9">
        <v>248</v>
      </c>
      <c r="M32" s="9">
        <v>355</v>
      </c>
      <c r="N32" s="9">
        <v>500</v>
      </c>
      <c r="O32" s="9">
        <v>599</v>
      </c>
      <c r="P32" s="9">
        <v>814</v>
      </c>
      <c r="Q32" s="9">
        <v>961</v>
      </c>
      <c r="R32" s="9">
        <v>1022</v>
      </c>
      <c r="S32" s="9">
        <v>1103</v>
      </c>
      <c r="T32" s="9">
        <v>1190</v>
      </c>
      <c r="U32" s="9">
        <v>1279</v>
      </c>
      <c r="V32" s="9">
        <v>1439</v>
      </c>
      <c r="W32" s="9">
        <v>1639</v>
      </c>
      <c r="X32" s="9">
        <v>1763</v>
      </c>
      <c r="Y32" s="9">
        <v>1934</v>
      </c>
      <c r="Z32" s="9">
        <v>2046</v>
      </c>
      <c r="AA32" s="9">
        <v>2286</v>
      </c>
      <c r="AB32" s="9">
        <v>2526</v>
      </c>
      <c r="AC32" s="9">
        <v>2840</v>
      </c>
      <c r="AD32" s="9">
        <v>3069</v>
      </c>
      <c r="AE32" s="9">
        <v>3447</v>
      </c>
      <c r="AF32" s="9">
        <v>3700</v>
      </c>
    </row>
    <row r="33" spans="1:46" x14ac:dyDescent="0.25">
      <c r="A33" s="9">
        <f t="shared" si="8"/>
        <v>32</v>
      </c>
      <c r="B33" s="9">
        <f t="array" ref="B33">IF(C33="",0,IF(OR(C33=Country_Comparison!$S$10:$S$29),1,0))</f>
        <v>0</v>
      </c>
      <c r="C33" s="9" t="str">
        <f t="shared" si="13"/>
        <v>Czechia</v>
      </c>
      <c r="D33" s="6">
        <f t="shared" si="14"/>
        <v>2817</v>
      </c>
      <c r="E33" s="6">
        <f>IF(COUNTIF(I33:XFD33,"&gt;"&amp;0)=0,,HLOOKUP(COUNTIF(I33:XFD33,"&gt;"&amp;0)-1,I$1:XFD33,A33+1,FALSE))</f>
        <v>2817</v>
      </c>
      <c r="F33" s="7">
        <f>IF(COUNTIF(I33:XFD33,"&gt;"&amp;0)=0,,HLOOKUP(COUNTIF(I33:XFD33,"&gt;"&amp;0)-MIN($F$1+1,COUNTIF(I33:XFD33,"&gt;"&amp;0)),I$1:XFD33,A33+1,FALSE))</f>
        <v>1394</v>
      </c>
      <c r="G33" s="8">
        <f t="shared" si="5"/>
        <v>1.1510781619665083</v>
      </c>
      <c r="H33" s="13" t="s">
        <v>341</v>
      </c>
      <c r="I33" s="9">
        <v>141</v>
      </c>
      <c r="J33" s="9">
        <v>189</v>
      </c>
      <c r="K33" s="9">
        <v>253</v>
      </c>
      <c r="L33" s="9">
        <v>298</v>
      </c>
      <c r="M33" s="9">
        <v>396</v>
      </c>
      <c r="N33" s="9">
        <v>464</v>
      </c>
      <c r="O33" s="9">
        <v>694</v>
      </c>
      <c r="P33" s="9">
        <v>833</v>
      </c>
      <c r="Q33" s="9">
        <v>995</v>
      </c>
      <c r="R33" s="9">
        <v>1120</v>
      </c>
      <c r="S33" s="9">
        <v>1236</v>
      </c>
      <c r="T33" s="9">
        <v>1394</v>
      </c>
      <c r="U33" s="9">
        <v>1654</v>
      </c>
      <c r="V33" s="9">
        <v>1925</v>
      </c>
      <c r="W33" s="9">
        <v>2279</v>
      </c>
      <c r="X33" s="9">
        <v>2631</v>
      </c>
      <c r="Y33" s="9">
        <v>2817</v>
      </c>
    </row>
    <row r="34" spans="1:46" x14ac:dyDescent="0.25">
      <c r="A34" s="9">
        <f t="shared" si="8"/>
        <v>33</v>
      </c>
      <c r="B34" s="9">
        <f t="array" ref="B34">IF(C34="",0,IF(OR(C34=Country_Comparison!$S$10:$S$29),1,0))</f>
        <v>0</v>
      </c>
      <c r="C34" s="9" t="str">
        <f t="shared" si="13"/>
        <v>Ireland</v>
      </c>
      <c r="D34" s="6">
        <f t="shared" si="14"/>
        <v>2615</v>
      </c>
      <c r="E34" s="6">
        <f>IF(COUNTIF(I34:XFD34,"&gt;"&amp;0)=0,,HLOOKUP(COUNTIF(I34:XFD34,"&gt;"&amp;0)-1,I$1:XFD34,A34+1,FALSE))</f>
        <v>2615</v>
      </c>
      <c r="F34" s="7">
        <f>IF(COUNTIF(I34:XFD34,"&gt;"&amp;0)=0,,HLOOKUP(COUNTIF(I34:XFD34,"&gt;"&amp;0)-MIN($F$1+1,COUNTIF(I34:XFD34,"&gt;"&amp;0)),I$1:XFD34,A34+1,FALSE))</f>
        <v>1329</v>
      </c>
      <c r="G34" s="8">
        <f t="shared" ref="G34:G65" si="15">IF(COUNTIF(I34:XFD34,"&gt;"&amp;0)=0,,(E34/F34)^(1/MIN(COUNTIF(I34:XFD34,"&gt;"&amp;0)-1,$F$1)))</f>
        <v>1.1449574371919489</v>
      </c>
      <c r="H34" s="13" t="s">
        <v>98</v>
      </c>
      <c r="I34" s="9">
        <v>129</v>
      </c>
      <c r="J34" s="9">
        <v>129</v>
      </c>
      <c r="K34" s="9">
        <v>169</v>
      </c>
      <c r="L34" s="9">
        <v>223</v>
      </c>
      <c r="M34" s="9">
        <v>292</v>
      </c>
      <c r="N34" s="9">
        <v>557</v>
      </c>
      <c r="O34" s="9">
        <v>683</v>
      </c>
      <c r="P34" s="9">
        <v>785</v>
      </c>
      <c r="Q34" s="9">
        <v>906</v>
      </c>
      <c r="R34" s="9">
        <v>1125</v>
      </c>
      <c r="S34" s="9">
        <v>1329</v>
      </c>
      <c r="T34" s="9">
        <v>1564</v>
      </c>
      <c r="U34" s="9">
        <v>1819</v>
      </c>
      <c r="V34" s="9">
        <v>2121</v>
      </c>
      <c r="W34" s="9">
        <v>2415</v>
      </c>
      <c r="X34" s="9">
        <v>2615</v>
      </c>
    </row>
    <row r="35" spans="1:46" x14ac:dyDescent="0.25">
      <c r="A35" s="9">
        <f t="shared" si="8"/>
        <v>34</v>
      </c>
      <c r="B35" s="9">
        <f t="array" ref="B35">IF(C35="",0,IF(OR(C35=Country_Comparison!$S$10:$S$29),1,0))</f>
        <v>0</v>
      </c>
      <c r="C35" s="9" t="str">
        <f t="shared" si="13"/>
        <v>Denmark</v>
      </c>
      <c r="D35" s="6">
        <f t="shared" si="14"/>
        <v>2564</v>
      </c>
      <c r="E35" s="6">
        <f>IF(COUNTIF(I35:XFD35,"&gt;"&amp;0)=0,,HLOOKUP(COUNTIF(I35:XFD35,"&gt;"&amp;0)-1,I$1:XFD35,A35+1,FALSE))</f>
        <v>2564</v>
      </c>
      <c r="F35" s="7">
        <f>IF(COUNTIF(I35:XFD35,"&gt;"&amp;0)=0,,HLOOKUP(COUNTIF(I35:XFD35,"&gt;"&amp;0)-MIN($F$1+1,COUNTIF(I35:XFD35,"&gt;"&amp;0)),I$1:XFD35,A35+1,FALSE))</f>
        <v>1718</v>
      </c>
      <c r="G35" s="8">
        <f t="shared" si="15"/>
        <v>1.0833754058614939</v>
      </c>
      <c r="H35" s="13" t="s">
        <v>87</v>
      </c>
      <c r="I35" s="9">
        <v>264</v>
      </c>
      <c r="J35" s="9">
        <v>444</v>
      </c>
      <c r="K35" s="9">
        <v>617</v>
      </c>
      <c r="L35" s="9">
        <v>804</v>
      </c>
      <c r="M35" s="9">
        <v>836</v>
      </c>
      <c r="N35" s="9">
        <v>875</v>
      </c>
      <c r="O35" s="9">
        <v>933</v>
      </c>
      <c r="P35" s="9">
        <v>1025</v>
      </c>
      <c r="Q35" s="9">
        <v>1116</v>
      </c>
      <c r="R35" s="9">
        <v>1225</v>
      </c>
      <c r="S35" s="9">
        <v>1337</v>
      </c>
      <c r="T35" s="9">
        <v>1420</v>
      </c>
      <c r="U35" s="9">
        <v>1514</v>
      </c>
      <c r="V35" s="9">
        <v>1572</v>
      </c>
      <c r="W35" s="9">
        <v>1718</v>
      </c>
      <c r="X35" s="9">
        <v>1862</v>
      </c>
      <c r="Y35" s="9">
        <v>2023</v>
      </c>
      <c r="Z35" s="9">
        <v>2200</v>
      </c>
      <c r="AA35" s="9">
        <v>2366</v>
      </c>
      <c r="AB35" s="9">
        <v>2564</v>
      </c>
    </row>
    <row r="36" spans="1:46" x14ac:dyDescent="0.25">
      <c r="A36" s="9">
        <f t="shared" si="8"/>
        <v>35</v>
      </c>
      <c r="B36" s="9">
        <f t="array" ref="B36">IF(C36="",0,IF(OR(C36=Country_Comparison!$S$10:$S$29),1,0))</f>
        <v>0</v>
      </c>
      <c r="C36" s="9" t="str">
        <f t="shared" si="13"/>
        <v>Malaysia</v>
      </c>
      <c r="D36" s="6">
        <f t="shared" si="14"/>
        <v>2470</v>
      </c>
      <c r="E36" s="6">
        <f>IF(COUNTIF(I36:XFD36,"&gt;"&amp;0)=0,,HLOOKUP(COUNTIF(I36:XFD36,"&gt;"&amp;0)-1,I$1:XFD36,A36+1,FALSE))</f>
        <v>2470</v>
      </c>
      <c r="F36" s="7">
        <f>IF(COUNTIF(I36:XFD36,"&gt;"&amp;0)=0,,HLOOKUP(COUNTIF(I36:XFD36,"&gt;"&amp;0)-MIN($F$1+1,COUNTIF(I36:XFD36,"&gt;"&amp;0)),I$1:XFD36,A36+1,FALSE))</f>
        <v>1624</v>
      </c>
      <c r="G36" s="8">
        <f t="shared" si="15"/>
        <v>1.0874822715013306</v>
      </c>
      <c r="H36" s="13" t="s">
        <v>43</v>
      </c>
      <c r="I36" s="9">
        <v>117</v>
      </c>
      <c r="J36" s="9">
        <v>129</v>
      </c>
      <c r="K36" s="9">
        <v>149</v>
      </c>
      <c r="L36" s="9">
        <v>149</v>
      </c>
      <c r="M36" s="9">
        <v>197</v>
      </c>
      <c r="N36" s="9">
        <v>238</v>
      </c>
      <c r="O36" s="9">
        <v>428</v>
      </c>
      <c r="P36" s="9">
        <v>566</v>
      </c>
      <c r="Q36" s="9">
        <v>673</v>
      </c>
      <c r="R36" s="9">
        <v>790</v>
      </c>
      <c r="S36" s="9">
        <v>900</v>
      </c>
      <c r="T36" s="9">
        <v>1030</v>
      </c>
      <c r="U36" s="9">
        <v>1183</v>
      </c>
      <c r="V36" s="9">
        <v>1306</v>
      </c>
      <c r="W36" s="9">
        <v>1518</v>
      </c>
      <c r="X36" s="9">
        <v>1624</v>
      </c>
      <c r="Y36" s="9">
        <v>1796</v>
      </c>
      <c r="Z36" s="9">
        <v>2031</v>
      </c>
      <c r="AA36" s="9">
        <v>2161</v>
      </c>
      <c r="AB36" s="9">
        <v>2320</v>
      </c>
      <c r="AC36" s="9">
        <v>2470</v>
      </c>
    </row>
    <row r="37" spans="1:46" x14ac:dyDescent="0.25">
      <c r="A37" s="9">
        <f t="shared" si="8"/>
        <v>36</v>
      </c>
      <c r="B37" s="9">
        <f t="array" ref="B37">IF(C37="",0,IF(OR(C37=Country_Comparison!$S$10:$S$29),1,0))</f>
        <v>0</v>
      </c>
      <c r="C37" s="9" t="str">
        <f t="shared" ref="C37:C68" si="16">IF(H37="","",H37)</f>
        <v>Chile</v>
      </c>
      <c r="D37" s="6">
        <f t="shared" ref="D37:D68" si="17">MAX(I37:JF37)</f>
        <v>2139</v>
      </c>
      <c r="E37" s="6">
        <f>IF(COUNTIF(I37:XFD37,"&gt;"&amp;0)=0,,HLOOKUP(COUNTIF(I37:XFD37,"&gt;"&amp;0)-1,I$1:XFD37,A37+1,FALSE))</f>
        <v>2139</v>
      </c>
      <c r="F37" s="7">
        <f>IF(COUNTIF(I37:XFD37,"&gt;"&amp;0)=0,,HLOOKUP(COUNTIF(I37:XFD37,"&gt;"&amp;0)-MIN($F$1+1,COUNTIF(I37:XFD37,"&gt;"&amp;0)),I$1:XFD37,A37+1,FALSE))</f>
        <v>922</v>
      </c>
      <c r="G37" s="8">
        <f t="shared" si="15"/>
        <v>1.1833030194266596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  <c r="U37" s="9">
        <v>1909</v>
      </c>
      <c r="V37" s="9">
        <v>2139</v>
      </c>
    </row>
    <row r="38" spans="1:46" x14ac:dyDescent="0.25">
      <c r="A38" s="9">
        <f t="shared" si="8"/>
        <v>37</v>
      </c>
      <c r="B38" s="9">
        <f t="array" ref="B38">IF(C38="",0,IF(OR(C38=Country_Comparison!$S$10:$S$29),1,0))</f>
        <v>0</v>
      </c>
      <c r="C38" s="9" t="str">
        <f t="shared" si="16"/>
        <v>Luxembourg</v>
      </c>
      <c r="D38" s="6">
        <f t="shared" si="17"/>
        <v>1950</v>
      </c>
      <c r="E38" s="6">
        <f>IF(COUNTIF(I38:XFD38,"&gt;"&amp;0)=0,,HLOOKUP(COUNTIF(I38:XFD38,"&gt;"&amp;0)-1,I$1:XFD38,A38+1,FALSE))</f>
        <v>1950</v>
      </c>
      <c r="F38" s="7">
        <f>IF(COUNTIF(I38:XFD38,"&gt;"&amp;0)=0,,HLOOKUP(COUNTIF(I38:XFD38,"&gt;"&amp;0)-MIN($F$1+1,COUNTIF(I38:XFD38,"&gt;"&amp;0)),I$1:XFD38,A38+1,FALSE))</f>
        <v>1099</v>
      </c>
      <c r="G38" s="8">
        <f t="shared" si="15"/>
        <v>1.1215209323790574</v>
      </c>
      <c r="H38" s="13" t="s">
        <v>99</v>
      </c>
      <c r="I38" s="9">
        <v>140</v>
      </c>
      <c r="J38" s="9">
        <v>203</v>
      </c>
      <c r="K38" s="9">
        <v>335</v>
      </c>
      <c r="L38" s="9">
        <v>484</v>
      </c>
      <c r="M38" s="9">
        <v>670</v>
      </c>
      <c r="N38" s="9">
        <v>798</v>
      </c>
      <c r="O38" s="9">
        <v>875</v>
      </c>
      <c r="P38" s="9">
        <v>1099</v>
      </c>
      <c r="Q38" s="9">
        <v>1333</v>
      </c>
      <c r="R38" s="9">
        <v>1453</v>
      </c>
      <c r="S38" s="9">
        <v>1605</v>
      </c>
      <c r="T38" s="9">
        <v>1831</v>
      </c>
      <c r="U38" s="9">
        <v>1950</v>
      </c>
    </row>
    <row r="39" spans="1:46" x14ac:dyDescent="0.25">
      <c r="A39" s="9">
        <f t="shared" si="8"/>
        <v>38</v>
      </c>
      <c r="B39" s="9">
        <f t="array" ref="B39">IF(C39="",0,IF(OR(C39=Country_Comparison!$S$10:$S$29),1,0))</f>
        <v>0</v>
      </c>
      <c r="C39" s="9" t="str">
        <f t="shared" si="16"/>
        <v>Ecuador</v>
      </c>
      <c r="D39" s="6">
        <f t="shared" si="17"/>
        <v>1924</v>
      </c>
      <c r="E39" s="6">
        <f>IF(COUNTIF(I39:XFD39,"&gt;"&amp;0)=0,,HLOOKUP(COUNTIF(I39:XFD39,"&gt;"&amp;0)-1,I$1:XFD39,A39+1,FALSE))</f>
        <v>1924</v>
      </c>
      <c r="F39" s="7">
        <f>IF(COUNTIF(I39:XFD39,"&gt;"&amp;0)=0,,HLOOKUP(COUNTIF(I39:XFD39,"&gt;"&amp;0)-MIN($F$1+1,COUNTIF(I39:XFD39,"&gt;"&amp;0)),I$1:XFD39,A39+1,FALSE))</f>
        <v>1082</v>
      </c>
      <c r="G39" s="8">
        <f t="shared" si="15"/>
        <v>1.122006987011223</v>
      </c>
      <c r="H39" s="13" t="s">
        <v>103</v>
      </c>
      <c r="I39" s="9">
        <v>111</v>
      </c>
      <c r="J39" s="9">
        <v>199</v>
      </c>
      <c r="K39" s="9">
        <v>367</v>
      </c>
      <c r="L39" s="9">
        <v>506</v>
      </c>
      <c r="M39" s="9">
        <v>789</v>
      </c>
      <c r="N39" s="9">
        <v>981</v>
      </c>
      <c r="O39" s="9">
        <v>1082</v>
      </c>
      <c r="P39" s="9">
        <v>1173</v>
      </c>
      <c r="Q39" s="9">
        <v>1403</v>
      </c>
      <c r="R39" s="9">
        <v>1595</v>
      </c>
      <c r="S39" s="9">
        <v>1823</v>
      </c>
      <c r="T39" s="9">
        <v>1924</v>
      </c>
    </row>
    <row r="40" spans="1:46" x14ac:dyDescent="0.25">
      <c r="A40" s="9">
        <f t="shared" si="8"/>
        <v>39</v>
      </c>
      <c r="B40" s="9">
        <f t="array" ref="B40">IF(C40="",0,IF(OR(C40=Country_Comparison!$S$10:$S$29),1,0))</f>
        <v>0</v>
      </c>
      <c r="C40" s="9" t="str">
        <f t="shared" si="16"/>
        <v>Japan</v>
      </c>
      <c r="D40" s="6">
        <f t="shared" si="17"/>
        <v>1866</v>
      </c>
      <c r="E40" s="6">
        <f>IF(COUNTIF(I40:XFD40,"&gt;"&amp;0)=0,,HLOOKUP(COUNTIF(I40:XFD40,"&gt;"&amp;0)-1,I$1:XFD40,A40+1,FALSE))</f>
        <v>1866</v>
      </c>
      <c r="F40" s="7">
        <f>IF(COUNTIF(I40:XFD40,"&gt;"&amp;0)=0,,HLOOKUP(COUNTIF(I40:XFD40,"&gt;"&amp;0)-MIN($F$1+1,COUNTIF(I40:XFD40,"&gt;"&amp;0)),I$1:XFD40,A40+1,FALSE))</f>
        <v>1193</v>
      </c>
      <c r="G40" s="8">
        <f t="shared" si="15"/>
        <v>1.0935892668435905</v>
      </c>
      <c r="H40" s="13" t="s">
        <v>36</v>
      </c>
      <c r="I40" s="9">
        <v>105</v>
      </c>
      <c r="J40" s="9">
        <v>122</v>
      </c>
      <c r="K40" s="9">
        <v>147</v>
      </c>
      <c r="L40" s="9">
        <v>159</v>
      </c>
      <c r="M40" s="9">
        <v>170</v>
      </c>
      <c r="N40" s="9">
        <v>189</v>
      </c>
      <c r="O40" s="9">
        <v>214</v>
      </c>
      <c r="P40" s="9">
        <v>228</v>
      </c>
      <c r="Q40" s="9">
        <v>241</v>
      </c>
      <c r="R40" s="9">
        <v>256</v>
      </c>
      <c r="S40" s="9">
        <v>274</v>
      </c>
      <c r="T40" s="9">
        <v>293</v>
      </c>
      <c r="U40" s="9">
        <v>331</v>
      </c>
      <c r="V40" s="9">
        <v>360</v>
      </c>
      <c r="W40" s="9">
        <v>420</v>
      </c>
      <c r="X40" s="9">
        <v>461</v>
      </c>
      <c r="Y40" s="9">
        <v>502</v>
      </c>
      <c r="Z40" s="9">
        <v>511</v>
      </c>
      <c r="AA40" s="9">
        <v>581</v>
      </c>
      <c r="AB40" s="9">
        <v>639</v>
      </c>
      <c r="AC40" s="9">
        <v>639</v>
      </c>
      <c r="AD40" s="9">
        <v>701</v>
      </c>
      <c r="AE40" s="9">
        <v>773</v>
      </c>
      <c r="AF40" s="9">
        <v>839</v>
      </c>
      <c r="AG40" s="9">
        <v>839</v>
      </c>
      <c r="AH40" s="9">
        <v>878</v>
      </c>
      <c r="AI40" s="9">
        <v>889</v>
      </c>
      <c r="AJ40" s="9">
        <v>924</v>
      </c>
      <c r="AK40" s="9">
        <v>963</v>
      </c>
      <c r="AL40" s="9">
        <v>1007</v>
      </c>
      <c r="AM40" s="9">
        <v>1101</v>
      </c>
      <c r="AN40" s="9">
        <v>1128</v>
      </c>
      <c r="AO40" s="9">
        <v>1193</v>
      </c>
      <c r="AP40" s="9">
        <v>1307</v>
      </c>
      <c r="AQ40" s="9">
        <v>1387</v>
      </c>
      <c r="AR40" s="9">
        <v>1468</v>
      </c>
      <c r="AS40" s="9">
        <v>1693</v>
      </c>
      <c r="AT40" s="9">
        <v>1866</v>
      </c>
    </row>
    <row r="41" spans="1:46" x14ac:dyDescent="0.25">
      <c r="A41" s="9">
        <f t="shared" si="8"/>
        <v>40</v>
      </c>
      <c r="B41" s="9">
        <f t="array" ref="B41">IF(C41="",0,IF(OR(C41=Country_Comparison!$S$10:$S$29),1,0))</f>
        <v>0</v>
      </c>
      <c r="C41" s="9" t="str">
        <f t="shared" si="16"/>
        <v>Poland</v>
      </c>
      <c r="D41" s="6">
        <f t="shared" si="17"/>
        <v>1862</v>
      </c>
      <c r="E41" s="6">
        <f>IF(COUNTIF(I41:XFD41,"&gt;"&amp;0)=0,,HLOOKUP(COUNTIF(I41:XFD41,"&gt;"&amp;0)-1,I$1:XFD41,A41+1,FALSE))</f>
        <v>1862</v>
      </c>
      <c r="F41" s="7">
        <f>IF(COUNTIF(I41:XFD41,"&gt;"&amp;0)=0,,HLOOKUP(COUNTIF(I41:XFD41,"&gt;"&amp;0)-MIN($F$1+1,COUNTIF(I41:XFD41,"&gt;"&amp;0)),I$1:XFD41,A41+1,FALSE))</f>
        <v>901</v>
      </c>
      <c r="G41" s="8">
        <f t="shared" si="15"/>
        <v>1.1562479536719912</v>
      </c>
      <c r="H41" s="13" t="s">
        <v>137</v>
      </c>
      <c r="I41" s="9">
        <v>103</v>
      </c>
      <c r="J41" s="9">
        <v>119</v>
      </c>
      <c r="K41" s="9">
        <v>177</v>
      </c>
      <c r="L41" s="9">
        <v>238</v>
      </c>
      <c r="M41" s="9">
        <v>251</v>
      </c>
      <c r="N41" s="9">
        <v>355</v>
      </c>
      <c r="O41" s="9">
        <v>425</v>
      </c>
      <c r="P41" s="9">
        <v>536</v>
      </c>
      <c r="Q41" s="9">
        <v>634</v>
      </c>
      <c r="R41" s="9">
        <v>749</v>
      </c>
      <c r="S41" s="9">
        <v>901</v>
      </c>
      <c r="T41" s="9">
        <v>1051</v>
      </c>
      <c r="U41" s="9">
        <v>1221</v>
      </c>
      <c r="V41" s="9">
        <v>1389</v>
      </c>
      <c r="W41" s="9">
        <v>1638</v>
      </c>
      <c r="X41" s="9">
        <v>1862</v>
      </c>
    </row>
    <row r="42" spans="1:46" x14ac:dyDescent="0.25">
      <c r="A42" s="9">
        <f t="shared" si="8"/>
        <v>41</v>
      </c>
      <c r="B42" s="9">
        <f t="array" ref="B42">IF(C42="",0,IF(OR(C42=Country_Comparison!$S$10:$S$29),1,0))</f>
        <v>0</v>
      </c>
      <c r="C42" s="9" t="str">
        <f t="shared" si="16"/>
        <v>Romania</v>
      </c>
      <c r="D42" s="6">
        <f t="shared" si="17"/>
        <v>1815</v>
      </c>
      <c r="E42" s="6">
        <f>IF(COUNTIF(I42:XFD42,"&gt;"&amp;0)=0,,HLOOKUP(COUNTIF(I42:XFD42,"&gt;"&amp;0)-1,I$1:XFD42,A42+1,FALSE))</f>
        <v>1815</v>
      </c>
      <c r="F42" s="7">
        <f>IF(COUNTIF(I42:XFD42,"&gt;"&amp;0)=0,,HLOOKUP(COUNTIF(I42:XFD42,"&gt;"&amp;0)-MIN($F$1+1,COUNTIF(I42:XFD42,"&gt;"&amp;0)),I$1:XFD42,A42+1,FALSE))</f>
        <v>794</v>
      </c>
      <c r="G42" s="8">
        <f t="shared" si="15"/>
        <v>1.1798076976343708</v>
      </c>
      <c r="H42" s="13" t="s">
        <v>86</v>
      </c>
      <c r="I42" s="9">
        <v>123</v>
      </c>
      <c r="J42" s="9">
        <v>131</v>
      </c>
      <c r="K42" s="9">
        <v>158</v>
      </c>
      <c r="L42" s="9">
        <v>184</v>
      </c>
      <c r="M42" s="9">
        <v>260</v>
      </c>
      <c r="N42" s="9">
        <v>277</v>
      </c>
      <c r="O42" s="9">
        <v>308</v>
      </c>
      <c r="P42" s="9">
        <v>367</v>
      </c>
      <c r="Q42" s="9">
        <v>433</v>
      </c>
      <c r="R42" s="9">
        <v>576</v>
      </c>
      <c r="S42" s="9">
        <v>794</v>
      </c>
      <c r="T42" s="9">
        <v>906</v>
      </c>
      <c r="U42" s="9">
        <v>1029</v>
      </c>
      <c r="V42" s="9">
        <v>1292</v>
      </c>
      <c r="W42" s="9">
        <v>1452</v>
      </c>
      <c r="X42" s="9">
        <v>1815</v>
      </c>
    </row>
    <row r="43" spans="1:46" x14ac:dyDescent="0.25">
      <c r="A43" s="9">
        <f t="shared" si="8"/>
        <v>42</v>
      </c>
      <c r="B43" s="9">
        <f t="array" ref="B43">IF(C43="",0,IF(OR(C43=Country_Comparison!$S$10:$S$29),1,0))</f>
        <v>0</v>
      </c>
      <c r="C43" s="9" t="str">
        <f t="shared" si="16"/>
        <v>Pakistan</v>
      </c>
      <c r="D43" s="6">
        <f t="shared" si="17"/>
        <v>1597</v>
      </c>
      <c r="E43" s="6">
        <f>IF(COUNTIF(I43:XFD43,"&gt;"&amp;0)=0,,HLOOKUP(COUNTIF(I43:XFD43,"&gt;"&amp;0)-1,I$1:XFD43,A43+1,FALSE))</f>
        <v>1597</v>
      </c>
      <c r="F43" s="7">
        <f>IF(COUNTIF(I43:XFD43,"&gt;"&amp;0)=0,,HLOOKUP(COUNTIF(I43:XFD43,"&gt;"&amp;0)-MIN($F$1+1,COUNTIF(I43:XFD43,"&gt;"&amp;0)),I$1:XFD43,A43+1,FALSE))</f>
        <v>972</v>
      </c>
      <c r="G43" s="8">
        <f t="shared" si="15"/>
        <v>1.1044033879477333</v>
      </c>
      <c r="H43" s="13" t="s">
        <v>80</v>
      </c>
      <c r="I43" s="9">
        <v>136</v>
      </c>
      <c r="J43" s="9">
        <v>236</v>
      </c>
      <c r="K43" s="9">
        <v>299</v>
      </c>
      <c r="L43" s="9">
        <v>454</v>
      </c>
      <c r="M43" s="9">
        <v>501</v>
      </c>
      <c r="N43" s="9">
        <v>730</v>
      </c>
      <c r="O43" s="9">
        <v>776</v>
      </c>
      <c r="P43" s="9">
        <v>875</v>
      </c>
      <c r="Q43" s="9">
        <v>972</v>
      </c>
      <c r="R43" s="9">
        <v>1063</v>
      </c>
      <c r="S43" s="9">
        <v>1201</v>
      </c>
      <c r="T43" s="9">
        <v>1373</v>
      </c>
      <c r="U43" s="9">
        <v>1495</v>
      </c>
      <c r="V43" s="9">
        <v>1597</v>
      </c>
    </row>
    <row r="44" spans="1:46" x14ac:dyDescent="0.25">
      <c r="A44" s="9">
        <f t="shared" si="8"/>
        <v>43</v>
      </c>
      <c r="B44" s="9">
        <f t="array" ref="B44">IF(C44="",0,IF(OR(C44=Country_Comparison!$S$10:$S$29),1,0))</f>
        <v>0</v>
      </c>
      <c r="C44" s="9" t="str">
        <f t="shared" si="16"/>
        <v>Russia</v>
      </c>
      <c r="D44" s="6">
        <f t="shared" si="17"/>
        <v>1534</v>
      </c>
      <c r="E44" s="6">
        <f>IF(COUNTIF(I44:XFD44,"&gt;"&amp;0)=0,,HLOOKUP(COUNTIF(I44:XFD44,"&gt;"&amp;0)-1,I$1:XFD44,A44+1,FALSE))</f>
        <v>1534</v>
      </c>
      <c r="F44" s="7">
        <f>IF(COUNTIF(I44:XFD44,"&gt;"&amp;0)=0,,HLOOKUP(COUNTIF(I44:XFD44,"&gt;"&amp;0)-MIN($F$1+1,COUNTIF(I44:XFD44,"&gt;"&amp;0)),I$1:XFD44,A44+1,FALSE))</f>
        <v>495</v>
      </c>
      <c r="G44" s="8">
        <f t="shared" si="15"/>
        <v>1.2538455187989697</v>
      </c>
      <c r="H44" s="13" t="s">
        <v>344</v>
      </c>
      <c r="I44" s="9">
        <v>114</v>
      </c>
      <c r="J44" s="9">
        <v>147</v>
      </c>
      <c r="K44" s="9">
        <v>199</v>
      </c>
      <c r="L44" s="9">
        <v>253</v>
      </c>
      <c r="M44" s="9">
        <v>306</v>
      </c>
      <c r="N44" s="9">
        <v>367</v>
      </c>
      <c r="O44" s="9">
        <v>438</v>
      </c>
      <c r="P44" s="9">
        <v>495</v>
      </c>
      <c r="Q44" s="9">
        <v>658</v>
      </c>
      <c r="R44" s="9">
        <v>840</v>
      </c>
      <c r="S44" s="9">
        <v>1036</v>
      </c>
      <c r="T44" s="9">
        <v>1264</v>
      </c>
      <c r="U44" s="9">
        <v>1534</v>
      </c>
    </row>
    <row r="45" spans="1:46" x14ac:dyDescent="0.25">
      <c r="A45" s="9">
        <f t="shared" si="8"/>
        <v>44</v>
      </c>
      <c r="B45" s="9">
        <f t="array" ref="B45">IF(C45="",0,IF(OR(C45=Country_Comparison!$S$10:$S$29),1,0))</f>
        <v>0</v>
      </c>
      <c r="C45" s="9" t="str">
        <f t="shared" si="16"/>
        <v>Philippines</v>
      </c>
      <c r="D45" s="6">
        <f t="shared" si="17"/>
        <v>1418</v>
      </c>
      <c r="E45" s="6">
        <f>IF(COUNTIF(I45:XFD45,"&gt;"&amp;0)=0,,HLOOKUP(COUNTIF(I45:XFD45,"&gt;"&amp;0)-1,I$1:XFD45,A45+1,FALSE))</f>
        <v>1418</v>
      </c>
      <c r="F45" s="7">
        <f>IF(COUNTIF(I45:XFD45,"&gt;"&amp;0)=0,,HLOOKUP(COUNTIF(I45:XFD45,"&gt;"&amp;0)-MIN($F$1+1,COUNTIF(I45:XFD45,"&gt;"&amp;0)),I$1:XFD45,A45+1,FALSE))</f>
        <v>552</v>
      </c>
      <c r="G45" s="8">
        <f t="shared" si="15"/>
        <v>1.2076676435705658</v>
      </c>
      <c r="H45" s="13" t="s">
        <v>56</v>
      </c>
      <c r="I45" s="9">
        <v>111</v>
      </c>
      <c r="J45" s="9">
        <v>140</v>
      </c>
      <c r="K45" s="9">
        <v>142</v>
      </c>
      <c r="L45" s="9">
        <v>187</v>
      </c>
      <c r="M45" s="9">
        <v>202</v>
      </c>
      <c r="N45" s="9">
        <v>217</v>
      </c>
      <c r="O45" s="9">
        <v>230</v>
      </c>
      <c r="P45" s="9">
        <v>307</v>
      </c>
      <c r="Q45" s="9">
        <v>380</v>
      </c>
      <c r="R45" s="9">
        <v>462</v>
      </c>
      <c r="S45" s="9">
        <v>552</v>
      </c>
      <c r="T45" s="9">
        <v>636</v>
      </c>
      <c r="U45" s="9">
        <v>707</v>
      </c>
      <c r="V45" s="9">
        <v>803</v>
      </c>
      <c r="W45" s="9">
        <v>1075</v>
      </c>
      <c r="X45" s="9">
        <v>1418</v>
      </c>
    </row>
    <row r="46" spans="1:46" x14ac:dyDescent="0.25">
      <c r="A46" s="9">
        <f t="shared" si="8"/>
        <v>45</v>
      </c>
      <c r="B46" s="9">
        <f t="array" ref="B46">IF(C46="",0,IF(OR(C46=Country_Comparison!$S$10:$S$29),1,0))</f>
        <v>0</v>
      </c>
      <c r="C46" s="9" t="str">
        <f t="shared" si="16"/>
        <v>Thailand</v>
      </c>
      <c r="D46" s="6">
        <f t="shared" si="17"/>
        <v>1388</v>
      </c>
      <c r="E46" s="6">
        <f>IF(COUNTIF(I46:XFD46,"&gt;"&amp;0)=0,,HLOOKUP(COUNTIF(I46:XFD46,"&gt;"&amp;0)-1,I$1:XFD46,A46+1,FALSE))</f>
        <v>1388</v>
      </c>
      <c r="F46" s="7">
        <f>IF(COUNTIF(I46:XFD46,"&gt;"&amp;0)=0,,HLOOKUP(COUNTIF(I46:XFD46,"&gt;"&amp;0)-MIN($F$1+1,COUNTIF(I46:XFD46,"&gt;"&amp;0)),I$1:XFD46,A46+1,FALSE))</f>
        <v>827</v>
      </c>
      <c r="G46" s="8">
        <f t="shared" si="15"/>
        <v>1.1091155425705399</v>
      </c>
      <c r="H46" s="13" t="s">
        <v>35</v>
      </c>
      <c r="I46" s="9">
        <v>114</v>
      </c>
      <c r="J46" s="9">
        <v>147</v>
      </c>
      <c r="K46" s="9">
        <v>177</v>
      </c>
      <c r="L46" s="9">
        <v>212</v>
      </c>
      <c r="M46" s="9">
        <v>272</v>
      </c>
      <c r="N46" s="9">
        <v>322</v>
      </c>
      <c r="O46" s="9">
        <v>411</v>
      </c>
      <c r="P46" s="9">
        <v>599</v>
      </c>
      <c r="Q46" s="9">
        <v>721</v>
      </c>
      <c r="R46" s="9">
        <v>827</v>
      </c>
      <c r="S46" s="9">
        <v>934</v>
      </c>
      <c r="T46" s="9">
        <v>1045</v>
      </c>
      <c r="U46" s="9">
        <v>1136</v>
      </c>
      <c r="V46" s="9">
        <v>1245</v>
      </c>
      <c r="W46" s="9">
        <v>1388</v>
      </c>
    </row>
    <row r="47" spans="1:46" x14ac:dyDescent="0.25">
      <c r="A47" s="9">
        <f t="shared" si="8"/>
        <v>46</v>
      </c>
      <c r="B47" s="9">
        <f t="array" ref="B47">IF(C47="",0,IF(OR(C47=Country_Comparison!$S$10:$S$29),1,0))</f>
        <v>0</v>
      </c>
      <c r="C47" s="9" t="str">
        <f t="shared" si="16"/>
        <v>Saudi Arabia</v>
      </c>
      <c r="D47" s="6">
        <f t="shared" si="17"/>
        <v>1299</v>
      </c>
      <c r="E47" s="6">
        <f>IF(COUNTIF(I47:XFD47,"&gt;"&amp;0)=0,,HLOOKUP(COUNTIF(I47:XFD47,"&gt;"&amp;0)-1,I$1:XFD47,A47+1,FALSE))</f>
        <v>1299</v>
      </c>
      <c r="F47" s="7">
        <f>IF(COUNTIF(I47:XFD47,"&gt;"&amp;0)=0,,HLOOKUP(COUNTIF(I47:XFD47,"&gt;"&amp;0)-MIN($F$1+1,COUNTIF(I47:XFD47,"&gt;"&amp;0)),I$1:XFD47,A47+1,FALSE))</f>
        <v>767</v>
      </c>
      <c r="G47" s="8">
        <f t="shared" si="15"/>
        <v>1.1111245860848662</v>
      </c>
      <c r="H47" s="13" t="s">
        <v>113</v>
      </c>
      <c r="I47" s="9">
        <v>103</v>
      </c>
      <c r="J47" s="9">
        <v>103</v>
      </c>
      <c r="K47" s="9">
        <v>118</v>
      </c>
      <c r="L47" s="9">
        <v>171</v>
      </c>
      <c r="M47" s="9">
        <v>171</v>
      </c>
      <c r="N47" s="9">
        <v>274</v>
      </c>
      <c r="O47" s="9">
        <v>344</v>
      </c>
      <c r="P47" s="9">
        <v>392</v>
      </c>
      <c r="Q47" s="9">
        <v>511</v>
      </c>
      <c r="R47" s="9">
        <v>562</v>
      </c>
      <c r="S47" s="9">
        <v>767</v>
      </c>
      <c r="T47" s="9">
        <v>900</v>
      </c>
      <c r="U47" s="9">
        <v>1012</v>
      </c>
      <c r="V47" s="9">
        <v>1104</v>
      </c>
      <c r="W47" s="9">
        <v>1203</v>
      </c>
      <c r="X47" s="9">
        <v>1299</v>
      </c>
    </row>
    <row r="48" spans="1:46" x14ac:dyDescent="0.25">
      <c r="A48" s="9">
        <f t="shared" si="8"/>
        <v>47</v>
      </c>
      <c r="B48" s="9">
        <f t="array" ref="B48">IF(C48="",0,IF(OR(C48=Country_Comparison!$S$10:$S$29),1,0))</f>
        <v>0</v>
      </c>
      <c r="C48" s="9" t="str">
        <f t="shared" si="16"/>
        <v>Indonesia</v>
      </c>
      <c r="D48" s="6">
        <f t="shared" si="17"/>
        <v>1285</v>
      </c>
      <c r="E48" s="6">
        <f>IF(COUNTIF(I48:XFD48,"&gt;"&amp;0)=0,,HLOOKUP(COUNTIF(I48:XFD48,"&gt;"&amp;0)-1,I$1:XFD48,A48+1,FALSE))</f>
        <v>1285</v>
      </c>
      <c r="F48" s="7">
        <f>IF(COUNTIF(I48:XFD48,"&gt;"&amp;0)=0,,HLOOKUP(COUNTIF(I48:XFD48,"&gt;"&amp;0)-MIN($F$1+1,COUNTIF(I48:XFD48,"&gt;"&amp;0)),I$1:XFD48,A48+1,FALSE))</f>
        <v>686</v>
      </c>
      <c r="G48" s="8">
        <f t="shared" si="15"/>
        <v>1.1337460902397969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  <c r="U48" s="9">
        <v>1046</v>
      </c>
      <c r="V48" s="9">
        <v>1155</v>
      </c>
      <c r="W48" s="9">
        <v>1285</v>
      </c>
    </row>
    <row r="49" spans="1:38" x14ac:dyDescent="0.25">
      <c r="A49" s="9">
        <f t="shared" si="8"/>
        <v>48</v>
      </c>
      <c r="B49" s="9">
        <f t="array" ref="B49">IF(C49="",0,IF(OR(C49=Country_Comparison!$S$10:$S$29),1,0))</f>
        <v>0</v>
      </c>
      <c r="C49" s="9" t="str">
        <f t="shared" si="16"/>
        <v>South Africa</v>
      </c>
      <c r="D49" s="6">
        <f t="shared" si="17"/>
        <v>1280</v>
      </c>
      <c r="E49" s="6">
        <f>IF(COUNTIF(I49:XFD49,"&gt;"&amp;0)=0,,HLOOKUP(COUNTIF(I49:XFD49,"&gt;"&amp;0)-1,I$1:XFD49,A49+1,FALSE))</f>
        <v>1280</v>
      </c>
      <c r="F49" s="7">
        <f>IF(COUNTIF(I49:XFD49,"&gt;"&amp;0)=0,,HLOOKUP(COUNTIF(I49:XFD49,"&gt;"&amp;0)-MIN($F$1+1,COUNTIF(I49:XFD49,"&gt;"&amp;0)),I$1:XFD49,A49+1,FALSE))</f>
        <v>554</v>
      </c>
      <c r="G49" s="8">
        <f t="shared" si="15"/>
        <v>1.1823336252631753</v>
      </c>
      <c r="H49" s="13" t="s">
        <v>145</v>
      </c>
      <c r="I49" s="9">
        <v>116</v>
      </c>
      <c r="J49" s="9">
        <v>150</v>
      </c>
      <c r="K49" s="9">
        <v>202</v>
      </c>
      <c r="L49" s="9">
        <v>240</v>
      </c>
      <c r="M49" s="9">
        <v>274</v>
      </c>
      <c r="N49" s="9">
        <v>402</v>
      </c>
      <c r="O49" s="9">
        <v>554</v>
      </c>
      <c r="P49" s="9">
        <v>709</v>
      </c>
      <c r="Q49" s="9">
        <v>927</v>
      </c>
      <c r="R49" s="9">
        <v>1170</v>
      </c>
      <c r="S49" s="9">
        <v>1187</v>
      </c>
      <c r="T49" s="9">
        <v>1280</v>
      </c>
    </row>
    <row r="50" spans="1:38" x14ac:dyDescent="0.25">
      <c r="A50" s="9">
        <f t="shared" si="8"/>
        <v>49</v>
      </c>
      <c r="B50" s="9">
        <f t="array" ref="B50">IF(C50="",0,IF(OR(C50=Country_Comparison!$S$10:$S$29),1,0))</f>
        <v>0</v>
      </c>
      <c r="C50" s="9" t="str">
        <f t="shared" si="16"/>
        <v>Finland</v>
      </c>
      <c r="D50" s="6">
        <f t="shared" si="17"/>
        <v>1240</v>
      </c>
      <c r="E50" s="6">
        <f>IF(COUNTIF(I50:XFD50,"&gt;"&amp;0)=0,,HLOOKUP(COUNTIF(I50:XFD50,"&gt;"&amp;0)-1,I$1:XFD50,A50+1,FALSE))</f>
        <v>1240</v>
      </c>
      <c r="F50" s="7">
        <f>IF(COUNTIF(I50:XFD50,"&gt;"&amp;0)=0,,HLOOKUP(COUNTIF(I50:XFD50,"&gt;"&amp;0)-MIN($F$1+1,COUNTIF(I50:XFD50,"&gt;"&amp;0)),I$1:XFD50,A50+1,FALSE))</f>
        <v>792</v>
      </c>
      <c r="G50" s="8">
        <f t="shared" si="15"/>
        <v>1.0938034798497274</v>
      </c>
      <c r="H50" s="13" t="s">
        <v>54</v>
      </c>
      <c r="I50" s="9">
        <v>155</v>
      </c>
      <c r="J50" s="9">
        <v>225</v>
      </c>
      <c r="K50" s="9">
        <v>244</v>
      </c>
      <c r="L50" s="9">
        <v>277</v>
      </c>
      <c r="M50" s="9">
        <v>321</v>
      </c>
      <c r="N50" s="9">
        <v>336</v>
      </c>
      <c r="O50" s="9">
        <v>400</v>
      </c>
      <c r="P50" s="9">
        <v>450</v>
      </c>
      <c r="Q50" s="9">
        <v>523</v>
      </c>
      <c r="R50" s="9">
        <v>626</v>
      </c>
      <c r="S50" s="9">
        <v>700</v>
      </c>
      <c r="T50" s="9">
        <v>792</v>
      </c>
      <c r="U50" s="9">
        <v>880</v>
      </c>
      <c r="V50" s="9">
        <v>958</v>
      </c>
      <c r="W50" s="9">
        <v>1041</v>
      </c>
      <c r="X50" s="9">
        <v>1167</v>
      </c>
      <c r="Y50" s="9">
        <v>1240</v>
      </c>
    </row>
    <row r="51" spans="1:38" x14ac:dyDescent="0.25">
      <c r="A51" s="9">
        <f t="shared" si="8"/>
        <v>50</v>
      </c>
      <c r="B51" s="9">
        <f t="array" ref="B51">IF(C51="",0,IF(OR(C51=Country_Comparison!$S$10:$S$29),1,0))</f>
        <v>0</v>
      </c>
      <c r="C51" s="9" t="str">
        <f t="shared" si="16"/>
        <v>Greece</v>
      </c>
      <c r="D51" s="6">
        <f t="shared" si="17"/>
        <v>1156</v>
      </c>
      <c r="E51" s="6">
        <f>IF(COUNTIF(I51:XFD51,"&gt;"&amp;0)=0,,HLOOKUP(COUNTIF(I51:XFD51,"&gt;"&amp;0)-1,I$1:XFD51,A51+1,FALSE))</f>
        <v>1156</v>
      </c>
      <c r="F51" s="7">
        <f>IF(COUNTIF(I51:XFD51,"&gt;"&amp;0)=0,,HLOOKUP(COUNTIF(I51:XFD51,"&gt;"&amp;0)-MIN($F$1+1,COUNTIF(I51:XFD51,"&gt;"&amp;0)),I$1:XFD51,A51+1,FALSE))</f>
        <v>743</v>
      </c>
      <c r="G51" s="8">
        <f t="shared" si="15"/>
        <v>1.0924304677727554</v>
      </c>
      <c r="H51" s="13" t="s">
        <v>83</v>
      </c>
      <c r="I51" s="9">
        <v>190</v>
      </c>
      <c r="J51" s="9">
        <v>228</v>
      </c>
      <c r="K51" s="9">
        <v>331</v>
      </c>
      <c r="L51" s="9">
        <v>331</v>
      </c>
      <c r="M51" s="9">
        <v>387</v>
      </c>
      <c r="N51" s="9">
        <v>418</v>
      </c>
      <c r="O51" s="9">
        <v>418</v>
      </c>
      <c r="P51" s="9">
        <v>495</v>
      </c>
      <c r="Q51" s="9">
        <v>530</v>
      </c>
      <c r="R51" s="9">
        <v>624</v>
      </c>
      <c r="S51" s="9">
        <v>695</v>
      </c>
      <c r="T51" s="9">
        <v>743</v>
      </c>
      <c r="U51" s="9">
        <v>821</v>
      </c>
      <c r="V51" s="9">
        <v>892</v>
      </c>
      <c r="W51" s="9">
        <v>966</v>
      </c>
      <c r="X51" s="9">
        <v>1061</v>
      </c>
      <c r="Y51" s="9">
        <v>1156</v>
      </c>
    </row>
    <row r="52" spans="1:38" x14ac:dyDescent="0.25">
      <c r="A52" s="9">
        <f t="shared" si="8"/>
        <v>51</v>
      </c>
      <c r="B52" s="9">
        <f t="array" ref="B52">IF(C52="",0,IF(OR(C52=Country_Comparison!$S$10:$S$29),1,0))</f>
        <v>0</v>
      </c>
      <c r="C52" s="9" t="str">
        <f t="shared" si="16"/>
        <v>India</v>
      </c>
      <c r="D52" s="6">
        <f t="shared" si="17"/>
        <v>1024</v>
      </c>
      <c r="E52" s="6">
        <f>IF(COUNTIF(I52:XFD52,"&gt;"&amp;0)=0,,HLOOKUP(COUNTIF(I52:XFD52,"&gt;"&amp;0)-1,I$1:XFD52,A52+1,FALSE))</f>
        <v>1024</v>
      </c>
      <c r="F52" s="7">
        <f>IF(COUNTIF(I52:XFD52,"&gt;"&amp;0)=0,,HLOOKUP(COUNTIF(I52:XFD52,"&gt;"&amp;0)-MIN($F$1+1,COUNTIF(I52:XFD52,"&gt;"&amp;0)),I$1:XFD52,A52+1,FALSE))</f>
        <v>536</v>
      </c>
      <c r="G52" s="8">
        <f t="shared" si="15"/>
        <v>1.1382221515439408</v>
      </c>
      <c r="H52" s="13" t="s">
        <v>57</v>
      </c>
      <c r="I52" s="9">
        <v>102</v>
      </c>
      <c r="J52" s="9">
        <v>113</v>
      </c>
      <c r="K52" s="9">
        <v>119</v>
      </c>
      <c r="L52" s="9">
        <v>142</v>
      </c>
      <c r="M52" s="9">
        <v>156</v>
      </c>
      <c r="N52" s="9">
        <v>194</v>
      </c>
      <c r="O52" s="9">
        <v>244</v>
      </c>
      <c r="P52" s="9">
        <v>330</v>
      </c>
      <c r="Q52" s="9">
        <v>396</v>
      </c>
      <c r="R52" s="9">
        <v>499</v>
      </c>
      <c r="S52" s="9">
        <v>536</v>
      </c>
      <c r="T52" s="9">
        <v>657</v>
      </c>
      <c r="U52" s="9">
        <v>727</v>
      </c>
      <c r="V52" s="9">
        <v>887</v>
      </c>
      <c r="W52" s="9">
        <v>987</v>
      </c>
      <c r="X52" s="9">
        <v>1024</v>
      </c>
    </row>
    <row r="53" spans="1:38" x14ac:dyDescent="0.25">
      <c r="A53" s="9">
        <f t="shared" si="8"/>
        <v>52</v>
      </c>
      <c r="B53" s="9">
        <f t="array" ref="B53">IF(C53="",0,IF(OR(C53=Country_Comparison!$S$10:$S$29),1,0))</f>
        <v>0</v>
      </c>
      <c r="C53" s="9" t="str">
        <f t="shared" si="16"/>
        <v>Iceland</v>
      </c>
      <c r="D53" s="6">
        <f t="shared" si="17"/>
        <v>1020</v>
      </c>
      <c r="E53" s="6">
        <f>IF(COUNTIF(I53:XFD53,"&gt;"&amp;0)=0,,HLOOKUP(COUNTIF(I53:XFD53,"&gt;"&amp;0)-1,I$1:XFD53,A53+1,FALSE))</f>
        <v>1020</v>
      </c>
      <c r="F53" s="7">
        <f>IF(COUNTIF(I53:XFD53,"&gt;"&amp;0)=0,,HLOOKUP(COUNTIF(I53:XFD53,"&gt;"&amp;0)-MIN($F$1+1,COUNTIF(I53:XFD53,"&gt;"&amp;0)),I$1:XFD53,A53+1,FALSE))</f>
        <v>648</v>
      </c>
      <c r="G53" s="8">
        <f t="shared" si="15"/>
        <v>1.0949770914344741</v>
      </c>
      <c r="H53" s="13" t="s">
        <v>92</v>
      </c>
      <c r="I53" s="9">
        <v>103</v>
      </c>
      <c r="J53" s="9">
        <v>134</v>
      </c>
      <c r="K53" s="9">
        <v>156</v>
      </c>
      <c r="L53" s="9">
        <v>171</v>
      </c>
      <c r="M53" s="9">
        <v>180</v>
      </c>
      <c r="N53" s="9">
        <v>220</v>
      </c>
      <c r="O53" s="9">
        <v>250</v>
      </c>
      <c r="P53" s="9">
        <v>330</v>
      </c>
      <c r="Q53" s="9">
        <v>409</v>
      </c>
      <c r="R53" s="9">
        <v>473</v>
      </c>
      <c r="S53" s="9">
        <v>568</v>
      </c>
      <c r="T53" s="9">
        <v>588</v>
      </c>
      <c r="U53" s="9">
        <v>648</v>
      </c>
      <c r="V53" s="9">
        <v>737</v>
      </c>
      <c r="W53" s="9">
        <v>802</v>
      </c>
      <c r="X53" s="9">
        <v>890</v>
      </c>
      <c r="Y53" s="9">
        <v>963</v>
      </c>
      <c r="Z53" s="9">
        <v>1020</v>
      </c>
    </row>
    <row r="54" spans="1:38" x14ac:dyDescent="0.25">
      <c r="A54" s="9">
        <f t="shared" si="8"/>
        <v>53</v>
      </c>
      <c r="B54" s="9">
        <f t="array" ref="B54">IF(C54="",0,IF(OR(C54=Country_Comparison!$S$10:$S$29),1,0))</f>
        <v>0</v>
      </c>
      <c r="C54" s="9" t="str">
        <f t="shared" si="16"/>
        <v>Panama</v>
      </c>
      <c r="D54" s="6">
        <f t="shared" si="17"/>
        <v>901</v>
      </c>
      <c r="E54" s="6">
        <f>IF(COUNTIF(I54:XFD54,"&gt;"&amp;0)=0,,HLOOKUP(COUNTIF(I54:XFD54,"&gt;"&amp;0)-1,I$1:XFD54,A54+1,FALSE))</f>
        <v>901</v>
      </c>
      <c r="F54" s="7">
        <f>IF(COUNTIF(I54:XFD54,"&gt;"&amp;0)=0,,HLOOKUP(COUNTIF(I54:XFD54,"&gt;"&amp;0)-MIN($F$1+1,COUNTIF(I54:XFD54,"&gt;"&amp;0)),I$1:XFD54,A54+1,FALSE))</f>
        <v>345</v>
      </c>
      <c r="G54" s="8">
        <f t="shared" si="15"/>
        <v>1.2116610273383941</v>
      </c>
      <c r="H54" s="13" t="s">
        <v>283</v>
      </c>
      <c r="I54" s="9">
        <v>109</v>
      </c>
      <c r="J54" s="9">
        <v>137</v>
      </c>
      <c r="K54" s="9">
        <v>200</v>
      </c>
      <c r="L54" s="9">
        <v>313</v>
      </c>
      <c r="M54" s="9">
        <v>345</v>
      </c>
      <c r="N54" s="9">
        <v>345</v>
      </c>
      <c r="O54" s="9">
        <v>443</v>
      </c>
      <c r="P54" s="9">
        <v>558</v>
      </c>
      <c r="Q54" s="9">
        <v>674</v>
      </c>
      <c r="R54" s="9">
        <v>786</v>
      </c>
      <c r="S54" s="9">
        <v>901</v>
      </c>
    </row>
    <row r="55" spans="1:38" x14ac:dyDescent="0.25">
      <c r="A55" s="9">
        <f t="shared" si="8"/>
        <v>54</v>
      </c>
      <c r="B55" s="9">
        <f t="array" ref="B55">IF(C55="",0,IF(OR(C55=Country_Comparison!$S$10:$S$29),1,0))</f>
        <v>0</v>
      </c>
      <c r="C55" s="9" t="str">
        <f t="shared" si="16"/>
        <v>Dominican Republic</v>
      </c>
      <c r="D55" s="6">
        <f t="shared" si="17"/>
        <v>859</v>
      </c>
      <c r="E55" s="6">
        <f>IF(COUNTIF(I55:XFD55,"&gt;"&amp;0)=0,,HLOOKUP(COUNTIF(I55:XFD55,"&gt;"&amp;0)-1,I$1:XFD55,A55+1,FALSE))</f>
        <v>859</v>
      </c>
      <c r="F55" s="7">
        <f>IF(COUNTIF(I55:XFD55,"&gt;"&amp;0)=0,,HLOOKUP(COUNTIF(I55:XFD55,"&gt;"&amp;0)-MIN($F$1+1,COUNTIF(I55:XFD55,"&gt;"&amp;0)),I$1:XFD55,A55+1,FALSE))</f>
        <v>312</v>
      </c>
      <c r="G55" s="8">
        <f t="shared" si="15"/>
        <v>1.2245251630292944</v>
      </c>
      <c r="H55" s="13" t="s">
        <v>106</v>
      </c>
      <c r="I55" s="9">
        <v>112</v>
      </c>
      <c r="J55" s="9">
        <v>202</v>
      </c>
      <c r="K55" s="9">
        <v>245</v>
      </c>
      <c r="L55" s="9">
        <v>312</v>
      </c>
      <c r="M55" s="9">
        <v>392</v>
      </c>
      <c r="N55" s="9">
        <v>488</v>
      </c>
      <c r="O55" s="9">
        <v>581</v>
      </c>
      <c r="P55" s="9">
        <v>719</v>
      </c>
      <c r="Q55" s="9">
        <v>859</v>
      </c>
    </row>
    <row r="56" spans="1:38" x14ac:dyDescent="0.25">
      <c r="A56" s="9">
        <f t="shared" si="8"/>
        <v>55</v>
      </c>
      <c r="B56" s="9">
        <f t="array" ref="B56">IF(C56="",0,IF(OR(C56=Country_Comparison!$S$10:$S$29),1,0))</f>
        <v>0</v>
      </c>
      <c r="C56" s="9" t="str">
        <f t="shared" si="16"/>
        <v>Peru</v>
      </c>
      <c r="D56" s="6">
        <f t="shared" si="17"/>
        <v>852</v>
      </c>
      <c r="E56" s="6">
        <f>IF(COUNTIF(I56:XFD56,"&gt;"&amp;0)=0,,HLOOKUP(COUNTIF(I56:XFD56,"&gt;"&amp;0)-1,I$1:XFD56,A56+1,FALSE))</f>
        <v>852</v>
      </c>
      <c r="F56" s="7">
        <f>IF(COUNTIF(I56:XFD56,"&gt;"&amp;0)=0,,HLOOKUP(COUNTIF(I56:XFD56,"&gt;"&amp;0)-MIN($F$1+1,COUNTIF(I56:XFD56,"&gt;"&amp;0)),I$1:XFD56,A56+1,FALSE))</f>
        <v>416</v>
      </c>
      <c r="G56" s="8">
        <f t="shared" si="15"/>
        <v>1.1541685946670641</v>
      </c>
      <c r="H56" s="13" t="s">
        <v>160</v>
      </c>
      <c r="I56" s="9">
        <v>117</v>
      </c>
      <c r="J56" s="9">
        <v>145</v>
      </c>
      <c r="K56" s="9">
        <v>234</v>
      </c>
      <c r="L56" s="9">
        <v>234</v>
      </c>
      <c r="M56" s="9">
        <v>318</v>
      </c>
      <c r="N56" s="9">
        <v>363</v>
      </c>
      <c r="O56" s="9">
        <v>395</v>
      </c>
      <c r="P56" s="9">
        <v>416</v>
      </c>
      <c r="Q56" s="9">
        <v>480</v>
      </c>
      <c r="R56" s="9">
        <v>580</v>
      </c>
      <c r="S56" s="9">
        <v>635</v>
      </c>
      <c r="T56" s="9">
        <v>671</v>
      </c>
      <c r="U56" s="9">
        <v>852</v>
      </c>
    </row>
    <row r="57" spans="1:38" x14ac:dyDescent="0.25">
      <c r="A57" s="9">
        <f t="shared" si="8"/>
        <v>56</v>
      </c>
      <c r="B57" s="9">
        <f t="array" ref="B57">IF(C57="",0,IF(OR(C57=Country_Comparison!$S$10:$S$29),1,0))</f>
        <v>0</v>
      </c>
      <c r="C57" s="9" t="str">
        <f t="shared" si="16"/>
        <v>Mexico</v>
      </c>
      <c r="D57" s="6">
        <f t="shared" si="17"/>
        <v>848</v>
      </c>
      <c r="E57" s="6">
        <f>IF(COUNTIF(I57:XFD57,"&gt;"&amp;0)=0,,HLOOKUP(COUNTIF(I57:XFD57,"&gt;"&amp;0)-1,I$1:XFD57,A57+1,FALSE))</f>
        <v>848</v>
      </c>
      <c r="F57" s="7">
        <f>IF(COUNTIF(I57:XFD57,"&gt;"&amp;0)=0,,HLOOKUP(COUNTIF(I57:XFD57,"&gt;"&amp;0)-MIN($F$1+1,COUNTIF(I57:XFD57,"&gt;"&amp;0)),I$1:XFD57,A57+1,FALSE))</f>
        <v>367</v>
      </c>
      <c r="G57" s="8">
        <f t="shared" si="15"/>
        <v>1.1823497329118184</v>
      </c>
      <c r="H57" s="13" t="s">
        <v>94</v>
      </c>
      <c r="I57" s="9">
        <v>118</v>
      </c>
      <c r="J57" s="9">
        <v>164</v>
      </c>
      <c r="K57" s="9">
        <v>203</v>
      </c>
      <c r="L57" s="9">
        <v>251</v>
      </c>
      <c r="M57" s="9">
        <v>316</v>
      </c>
      <c r="N57" s="9">
        <v>367</v>
      </c>
      <c r="O57" s="9">
        <v>405</v>
      </c>
      <c r="P57" s="9">
        <v>475</v>
      </c>
      <c r="Q57" s="9">
        <v>585</v>
      </c>
      <c r="R57" s="9">
        <v>717</v>
      </c>
      <c r="S57" s="9">
        <v>848</v>
      </c>
    </row>
    <row r="58" spans="1:38" x14ac:dyDescent="0.25">
      <c r="A58" s="9">
        <f t="shared" si="8"/>
        <v>57</v>
      </c>
      <c r="B58" s="9">
        <f t="array" ref="B58">IF(C58="",0,IF(OR(C58=Country_Comparison!$S$10:$S$29),1,0))</f>
        <v>0</v>
      </c>
      <c r="C58" s="9" t="str">
        <f t="shared" si="16"/>
        <v>Singapore</v>
      </c>
      <c r="D58" s="6">
        <f t="shared" si="17"/>
        <v>844</v>
      </c>
      <c r="E58" s="6">
        <f>IF(COUNTIF(I58:XFD58,"&gt;"&amp;0)=0,,HLOOKUP(COUNTIF(I58:XFD58,"&gt;"&amp;0)-1,I$1:XFD58,A58+1,FALSE))</f>
        <v>844</v>
      </c>
      <c r="F58" s="7">
        <f>IF(COUNTIF(I58:XFD58,"&gt;"&amp;0)=0,,HLOOKUP(COUNTIF(I58:XFD58,"&gt;"&amp;0)-MIN($F$1+1,COUNTIF(I58:XFD58,"&gt;"&amp;0)),I$1:XFD58,A58+1,FALSE))</f>
        <v>558</v>
      </c>
      <c r="G58" s="8">
        <f t="shared" si="15"/>
        <v>1.0862796646384374</v>
      </c>
      <c r="H58" s="13" t="s">
        <v>40</v>
      </c>
      <c r="I58" s="9">
        <v>102</v>
      </c>
      <c r="J58" s="9">
        <v>106</v>
      </c>
      <c r="K58" s="9">
        <v>108</v>
      </c>
      <c r="L58" s="9">
        <v>110</v>
      </c>
      <c r="M58" s="9">
        <v>110</v>
      </c>
      <c r="N58" s="9">
        <v>117</v>
      </c>
      <c r="O58" s="9">
        <v>130</v>
      </c>
      <c r="P58" s="9">
        <v>138</v>
      </c>
      <c r="Q58" s="9">
        <v>150</v>
      </c>
      <c r="R58" s="9">
        <v>150</v>
      </c>
      <c r="S58" s="9">
        <v>160</v>
      </c>
      <c r="T58" s="9">
        <v>178</v>
      </c>
      <c r="U58" s="9">
        <v>178</v>
      </c>
      <c r="V58" s="9">
        <v>200</v>
      </c>
      <c r="W58" s="9">
        <v>212</v>
      </c>
      <c r="X58" s="9">
        <v>226</v>
      </c>
      <c r="Y58" s="9">
        <v>243</v>
      </c>
      <c r="Z58" s="9">
        <v>266</v>
      </c>
      <c r="AA58" s="9">
        <v>313</v>
      </c>
      <c r="AB58" s="9">
        <v>345</v>
      </c>
      <c r="AC58" s="9">
        <v>385</v>
      </c>
      <c r="AD58" s="9">
        <v>432</v>
      </c>
      <c r="AE58" s="9">
        <v>455</v>
      </c>
      <c r="AF58" s="9">
        <v>509</v>
      </c>
      <c r="AG58" s="9">
        <v>558</v>
      </c>
      <c r="AH58" s="9">
        <v>631</v>
      </c>
      <c r="AI58" s="9">
        <v>683</v>
      </c>
      <c r="AJ58" s="9">
        <v>732</v>
      </c>
      <c r="AK58" s="9">
        <v>802</v>
      </c>
      <c r="AL58" s="9">
        <v>844</v>
      </c>
    </row>
    <row r="59" spans="1:38" x14ac:dyDescent="0.25">
      <c r="A59" s="9">
        <f t="shared" si="8"/>
        <v>58</v>
      </c>
      <c r="B59" s="9">
        <f t="array" ref="B59">IF(C59="",0,IF(OR(C59=Country_Comparison!$S$10:$S$29),1,0))</f>
        <v>0</v>
      </c>
      <c r="C59" s="9" t="str">
        <f t="shared" si="16"/>
        <v>Argentina</v>
      </c>
      <c r="D59" s="6">
        <f t="shared" si="17"/>
        <v>745</v>
      </c>
      <c r="E59" s="6">
        <f>IF(COUNTIF(I59:XFD59,"&gt;"&amp;0)=0,,HLOOKUP(COUNTIF(I59:XFD59,"&gt;"&amp;0)-1,I$1:XFD59,A59+1,FALSE))</f>
        <v>745</v>
      </c>
      <c r="F59" s="7">
        <f>IF(COUNTIF(I59:XFD59,"&gt;"&amp;0)=0,,HLOOKUP(COUNTIF(I59:XFD59,"&gt;"&amp;0)-MIN($F$1+1,COUNTIF(I59:XFD59,"&gt;"&amp;0)),I$1:XFD59,A59+1,FALSE))</f>
        <v>387</v>
      </c>
      <c r="G59" s="8">
        <f t="shared" si="15"/>
        <v>1.1399585533898975</v>
      </c>
      <c r="H59" s="13" t="s">
        <v>123</v>
      </c>
      <c r="I59" s="9">
        <v>128</v>
      </c>
      <c r="J59" s="9">
        <v>158</v>
      </c>
      <c r="K59" s="9">
        <v>266</v>
      </c>
      <c r="L59" s="9">
        <v>301</v>
      </c>
      <c r="M59" s="9">
        <v>387</v>
      </c>
      <c r="N59" s="9">
        <v>387</v>
      </c>
      <c r="O59" s="9">
        <v>502</v>
      </c>
      <c r="P59" s="9">
        <v>589</v>
      </c>
      <c r="Q59" s="9">
        <v>690</v>
      </c>
      <c r="R59" s="9">
        <v>745</v>
      </c>
    </row>
    <row r="60" spans="1:38" x14ac:dyDescent="0.25">
      <c r="A60" s="9">
        <f t="shared" si="8"/>
        <v>59</v>
      </c>
      <c r="B60" s="9">
        <f t="array" ref="B60">IF(C60="",0,IF(OR(C60=Country_Comparison!$S$10:$S$29),1,0))</f>
        <v>0</v>
      </c>
      <c r="C60" s="9" t="str">
        <f t="shared" si="16"/>
        <v>Serbia</v>
      </c>
      <c r="D60" s="6">
        <f t="shared" si="17"/>
        <v>741</v>
      </c>
      <c r="E60" s="6">
        <f>IF(COUNTIF(I60:XFD60,"&gt;"&amp;0)=0,,HLOOKUP(COUNTIF(I60:XFD60,"&gt;"&amp;0)-1,I$1:XFD60,A60+1,FALSE))</f>
        <v>741</v>
      </c>
      <c r="F60" s="7">
        <f>IF(COUNTIF(I60:XFD60,"&gt;"&amp;0)=0,,HLOOKUP(COUNTIF(I60:XFD60,"&gt;"&amp;0)-MIN($F$1+1,COUNTIF(I60:XFD60,"&gt;"&amp;0)),I$1:XFD60,A60+1,FALSE))</f>
        <v>303</v>
      </c>
      <c r="G60" s="8">
        <f t="shared" si="15"/>
        <v>1.1958456164459907</v>
      </c>
      <c r="H60" s="13" t="s">
        <v>161</v>
      </c>
      <c r="I60" s="9">
        <v>103</v>
      </c>
      <c r="J60" s="9">
        <v>135</v>
      </c>
      <c r="K60" s="9">
        <v>171</v>
      </c>
      <c r="L60" s="9">
        <v>222</v>
      </c>
      <c r="M60" s="9">
        <v>249</v>
      </c>
      <c r="N60" s="9">
        <v>303</v>
      </c>
      <c r="O60" s="9">
        <v>384</v>
      </c>
      <c r="P60" s="9">
        <v>384</v>
      </c>
      <c r="Q60" s="9">
        <v>457</v>
      </c>
      <c r="R60" s="9">
        <v>659</v>
      </c>
      <c r="S60" s="9">
        <v>741</v>
      </c>
    </row>
    <row r="61" spans="1:38" x14ac:dyDescent="0.25">
      <c r="A61" s="9">
        <f t="shared" si="8"/>
        <v>60</v>
      </c>
      <c r="B61" s="9">
        <f t="array" ref="B61">IF(C61="",0,IF(OR(C61=Country_Comparison!$S$10:$S$29),1,0))</f>
        <v>0</v>
      </c>
      <c r="C61" s="9" t="str">
        <f t="shared" si="16"/>
        <v>Slovenia</v>
      </c>
      <c r="D61" s="6">
        <f t="shared" si="17"/>
        <v>730</v>
      </c>
      <c r="E61" s="6">
        <f>IF(COUNTIF(I61:XFD61,"&gt;"&amp;0)=0,,HLOOKUP(COUNTIF(I61:XFD61,"&gt;"&amp;0)-1,I$1:XFD61,A61+1,FALSE))</f>
        <v>730</v>
      </c>
      <c r="F61" s="7">
        <f>IF(COUNTIF(I61:XFD61,"&gt;"&amp;0)=0,,HLOOKUP(COUNTIF(I61:XFD61,"&gt;"&amp;0)-MIN($F$1+1,COUNTIF(I61:XFD61,"&gt;"&amp;0)),I$1:XFD61,A61+1,FALSE))</f>
        <v>480</v>
      </c>
      <c r="G61" s="8">
        <f t="shared" si="15"/>
        <v>1.0874675952310953</v>
      </c>
      <c r="H61" s="13" t="s">
        <v>141</v>
      </c>
      <c r="I61" s="9">
        <v>141</v>
      </c>
      <c r="J61" s="9">
        <v>181</v>
      </c>
      <c r="K61" s="9">
        <v>219</v>
      </c>
      <c r="L61" s="9">
        <v>253</v>
      </c>
      <c r="M61" s="9">
        <v>275</v>
      </c>
      <c r="N61" s="9">
        <v>275</v>
      </c>
      <c r="O61" s="9">
        <v>286</v>
      </c>
      <c r="P61" s="9">
        <v>341</v>
      </c>
      <c r="Q61" s="9">
        <v>383</v>
      </c>
      <c r="R61" s="9">
        <v>414</v>
      </c>
      <c r="S61" s="9">
        <v>442</v>
      </c>
      <c r="T61" s="9">
        <v>480</v>
      </c>
      <c r="U61" s="9">
        <v>528</v>
      </c>
      <c r="V61" s="9">
        <v>562</v>
      </c>
      <c r="W61" s="9">
        <v>632</v>
      </c>
      <c r="X61" s="9">
        <v>684</v>
      </c>
      <c r="Y61" s="9">
        <v>730</v>
      </c>
    </row>
    <row r="62" spans="1:38" x14ac:dyDescent="0.25">
      <c r="A62" s="9">
        <f t="shared" si="8"/>
        <v>61</v>
      </c>
      <c r="B62" s="9">
        <f t="array" ref="B62">IF(C62="",0,IF(OR(C62=Country_Comparison!$S$10:$S$29),1,0))</f>
        <v>0</v>
      </c>
      <c r="C62" s="9" t="str">
        <f t="shared" si="16"/>
        <v>Croatia</v>
      </c>
      <c r="D62" s="6">
        <f t="shared" si="17"/>
        <v>713</v>
      </c>
      <c r="E62" s="6">
        <f>IF(COUNTIF(I62:XFD62,"&gt;"&amp;0)=0,,HLOOKUP(COUNTIF(I62:XFD62,"&gt;"&amp;0)-1,I$1:XFD62,A62+1,FALSE))</f>
        <v>713</v>
      </c>
      <c r="F62" s="7">
        <f>IF(COUNTIF(I62:XFD62,"&gt;"&amp;0)=0,,HLOOKUP(COUNTIF(I62:XFD62,"&gt;"&amp;0)-MIN($F$1+1,COUNTIF(I62:XFD62,"&gt;"&amp;0)),I$1:XFD62,A62+1,FALSE))</f>
        <v>382</v>
      </c>
      <c r="G62" s="8">
        <f t="shared" si="15"/>
        <v>1.132935625126557</v>
      </c>
      <c r="H62" s="13" t="s">
        <v>76</v>
      </c>
      <c r="I62" s="9">
        <v>105</v>
      </c>
      <c r="J62" s="9">
        <v>128</v>
      </c>
      <c r="K62" s="9">
        <v>206</v>
      </c>
      <c r="L62" s="9">
        <v>254</v>
      </c>
      <c r="M62" s="9">
        <v>315</v>
      </c>
      <c r="N62" s="9">
        <v>382</v>
      </c>
      <c r="O62" s="9">
        <v>442</v>
      </c>
      <c r="P62" s="9">
        <v>495</v>
      </c>
      <c r="Q62" s="9">
        <v>586</v>
      </c>
      <c r="R62" s="9">
        <v>657</v>
      </c>
      <c r="S62" s="9">
        <v>713</v>
      </c>
    </row>
    <row r="63" spans="1:38" x14ac:dyDescent="0.25">
      <c r="A63" s="9">
        <f t="shared" si="8"/>
        <v>62</v>
      </c>
      <c r="B63" s="9">
        <f t="array" ref="B63">IF(C63="",0,IF(OR(C63=Country_Comparison!$S$10:$S$29),1,0))</f>
        <v>0</v>
      </c>
      <c r="C63" s="9" t="str">
        <f t="shared" si="16"/>
        <v>Colombia</v>
      </c>
      <c r="D63" s="6">
        <f t="shared" si="17"/>
        <v>702</v>
      </c>
      <c r="E63" s="6">
        <f>IF(COUNTIF(I63:XFD63,"&gt;"&amp;0)=0,,HLOOKUP(COUNTIF(I63:XFD63,"&gt;"&amp;0)-1,I$1:XFD63,A63+1,FALSE))</f>
        <v>702</v>
      </c>
      <c r="F63" s="7">
        <f>IF(COUNTIF(I63:XFD63,"&gt;"&amp;0)=0,,HLOOKUP(COUNTIF(I63:XFD63,"&gt;"&amp;0)-MIN($F$1+1,COUNTIF(I63:XFD63,"&gt;"&amp;0)),I$1:XFD63,A63+1,FALSE))</f>
        <v>378</v>
      </c>
      <c r="G63" s="8">
        <f t="shared" si="15"/>
        <v>1.1317983656310018</v>
      </c>
      <c r="H63" s="13" t="s">
        <v>158</v>
      </c>
      <c r="I63" s="9">
        <v>102</v>
      </c>
      <c r="J63" s="9">
        <v>128</v>
      </c>
      <c r="K63" s="9">
        <v>196</v>
      </c>
      <c r="L63" s="9">
        <v>231</v>
      </c>
      <c r="M63" s="9">
        <v>277</v>
      </c>
      <c r="N63" s="9">
        <v>378</v>
      </c>
      <c r="O63" s="9">
        <v>470</v>
      </c>
      <c r="P63" s="9">
        <v>491</v>
      </c>
      <c r="Q63" s="9">
        <v>539</v>
      </c>
      <c r="R63" s="9">
        <v>608</v>
      </c>
      <c r="S63" s="9">
        <v>702</v>
      </c>
    </row>
    <row r="64" spans="1:38" x14ac:dyDescent="0.25">
      <c r="A64" s="9">
        <f t="shared" si="8"/>
        <v>63</v>
      </c>
      <c r="B64" s="9">
        <f t="array" ref="B64">IF(C64="",0,IF(OR(C64=Country_Comparison!$S$10:$S$29),1,0))</f>
        <v>0</v>
      </c>
      <c r="C64" s="9" t="str">
        <f t="shared" si="16"/>
        <v>Estonia</v>
      </c>
      <c r="D64" s="6">
        <f t="shared" si="17"/>
        <v>679</v>
      </c>
      <c r="E64" s="6">
        <f>IF(COUNTIF(I64:XFD64,"&gt;"&amp;0)=0,,HLOOKUP(COUNTIF(I64:XFD64,"&gt;"&amp;0)-1,I$1:XFD64,A64+1,FALSE))</f>
        <v>679</v>
      </c>
      <c r="F64" s="7">
        <f>IF(COUNTIF(I64:XFD64,"&gt;"&amp;0)=0,,HLOOKUP(COUNTIF(I64:XFD64,"&gt;"&amp;0)-MIN($F$1+1,COUNTIF(I64:XFD64,"&gt;"&amp;0)),I$1:XFD64,A64+1,FALSE))</f>
        <v>369</v>
      </c>
      <c r="G64" s="8">
        <f t="shared" si="15"/>
        <v>1.1297144443833196</v>
      </c>
      <c r="H64" s="13" t="s">
        <v>88</v>
      </c>
      <c r="I64" s="9">
        <v>115</v>
      </c>
      <c r="J64" s="9">
        <v>171</v>
      </c>
      <c r="K64" s="9">
        <v>205</v>
      </c>
      <c r="L64" s="9">
        <v>225</v>
      </c>
      <c r="M64" s="9">
        <v>258</v>
      </c>
      <c r="N64" s="9">
        <v>267</v>
      </c>
      <c r="O64" s="9">
        <v>283</v>
      </c>
      <c r="P64" s="9">
        <v>306</v>
      </c>
      <c r="Q64" s="9">
        <v>326</v>
      </c>
      <c r="R64" s="9">
        <v>352</v>
      </c>
      <c r="S64" s="9">
        <v>369</v>
      </c>
      <c r="T64" s="9">
        <v>404</v>
      </c>
      <c r="U64" s="9">
        <v>538</v>
      </c>
      <c r="V64" s="9">
        <v>575</v>
      </c>
      <c r="W64" s="9">
        <v>645</v>
      </c>
      <c r="X64" s="9">
        <v>679</v>
      </c>
    </row>
    <row r="65" spans="1:28" x14ac:dyDescent="0.25">
      <c r="A65" s="9">
        <f t="shared" si="8"/>
        <v>64</v>
      </c>
      <c r="B65" s="9">
        <f t="array" ref="B65">IF(C65="",0,IF(OR(C65=Country_Comparison!$S$10:$S$29),1,0))</f>
        <v>0</v>
      </c>
      <c r="C65" s="9" t="str">
        <f t="shared" si="16"/>
        <v>Qatar</v>
      </c>
      <c r="D65" s="6">
        <f t="shared" si="17"/>
        <v>634</v>
      </c>
      <c r="E65" s="6">
        <f>IF(COUNTIF(I65:XFD65,"&gt;"&amp;0)=0,,HLOOKUP(COUNTIF(I65:XFD65,"&gt;"&amp;0)-1,I$1:XFD65,A65+1,FALSE))</f>
        <v>634</v>
      </c>
      <c r="F65" s="7">
        <f>IF(COUNTIF(I65:XFD65,"&gt;"&amp;0)=0,,HLOOKUP(COUNTIF(I65:XFD65,"&gt;"&amp;0)-MIN($F$1+1,COUNTIF(I65:XFD65,"&gt;"&amp;0)),I$1:XFD65,A65+1,FALSE))</f>
        <v>526</v>
      </c>
      <c r="G65" s="8">
        <f t="shared" si="15"/>
        <v>1.0380558081130711</v>
      </c>
      <c r="H65" s="13" t="s">
        <v>101</v>
      </c>
      <c r="I65" s="9">
        <v>262</v>
      </c>
      <c r="J65" s="9">
        <v>262</v>
      </c>
      <c r="K65" s="9">
        <v>320</v>
      </c>
      <c r="L65" s="9">
        <v>337</v>
      </c>
      <c r="M65" s="9">
        <v>401</v>
      </c>
      <c r="N65" s="9">
        <v>439</v>
      </c>
      <c r="O65" s="9">
        <v>439</v>
      </c>
      <c r="P65" s="9">
        <v>452</v>
      </c>
      <c r="Q65" s="9">
        <v>460</v>
      </c>
      <c r="R65" s="9">
        <v>470</v>
      </c>
      <c r="S65" s="9">
        <v>481</v>
      </c>
      <c r="T65" s="9">
        <v>494</v>
      </c>
      <c r="U65" s="9">
        <v>501</v>
      </c>
      <c r="V65" s="9">
        <v>526</v>
      </c>
      <c r="W65" s="9">
        <v>537</v>
      </c>
      <c r="X65" s="9">
        <v>549</v>
      </c>
      <c r="Y65" s="9">
        <v>562</v>
      </c>
      <c r="Z65" s="9">
        <v>590</v>
      </c>
      <c r="AA65" s="9">
        <v>634</v>
      </c>
    </row>
    <row r="66" spans="1:28" x14ac:dyDescent="0.25">
      <c r="A66" s="9">
        <f t="shared" si="8"/>
        <v>65</v>
      </c>
      <c r="B66" s="9">
        <f t="array" ref="B66">IF(C66="",0,IF(OR(C66=Country_Comparison!$S$10:$S$29),1,0))</f>
        <v>0</v>
      </c>
      <c r="C66" s="9" t="str">
        <f t="shared" si="16"/>
        <v>Egypt</v>
      </c>
      <c r="D66" s="6">
        <f t="shared" si="17"/>
        <v>609</v>
      </c>
      <c r="E66" s="6">
        <f>IF(COUNTIF(I66:XFD66,"&gt;"&amp;0)=0,,HLOOKUP(COUNTIF(I66:XFD66,"&gt;"&amp;0)-1,I$1:XFD66,A66+1,FALSE))</f>
        <v>609</v>
      </c>
      <c r="F66" s="7">
        <f>IF(COUNTIF(I66:XFD66,"&gt;"&amp;0)=0,,HLOOKUP(COUNTIF(I66:XFD66,"&gt;"&amp;0)-MIN($F$1+1,COUNTIF(I66:XFD66,"&gt;"&amp;0)),I$1:XFD66,A66+1,FALSE))</f>
        <v>402</v>
      </c>
      <c r="G66" s="8">
        <f t="shared" ref="G66:G97" si="18">IF(COUNTIF(I66:XFD66,"&gt;"&amp;0)=0,,(E66/F66)^(1/MIN(COUNTIF(I66:XFD66,"&gt;"&amp;0)-1,$F$1)))</f>
        <v>1.0866213852404651</v>
      </c>
      <c r="H66" s="13" t="s">
        <v>65</v>
      </c>
      <c r="I66" s="9">
        <v>109</v>
      </c>
      <c r="J66" s="9">
        <v>110</v>
      </c>
      <c r="K66" s="9">
        <v>150</v>
      </c>
      <c r="L66" s="9">
        <v>196</v>
      </c>
      <c r="M66" s="9">
        <v>196</v>
      </c>
      <c r="N66" s="9">
        <v>256</v>
      </c>
      <c r="O66" s="9">
        <v>285</v>
      </c>
      <c r="P66" s="9">
        <v>294</v>
      </c>
      <c r="Q66" s="9">
        <v>327</v>
      </c>
      <c r="R66" s="9">
        <v>366</v>
      </c>
      <c r="S66" s="9">
        <v>402</v>
      </c>
      <c r="T66" s="9">
        <v>456</v>
      </c>
      <c r="U66" s="9">
        <v>495</v>
      </c>
      <c r="V66" s="9">
        <v>536</v>
      </c>
      <c r="W66" s="9">
        <v>576</v>
      </c>
      <c r="X66" s="9">
        <v>609</v>
      </c>
    </row>
    <row r="67" spans="1:28" x14ac:dyDescent="0.25">
      <c r="A67" s="9">
        <f t="shared" si="8"/>
        <v>66</v>
      </c>
      <c r="B67" s="9">
        <f t="array" ref="B67">IF(C67="",0,IF(OR(C67=Country_Comparison!$S$10:$S$29),1,0))</f>
        <v>0</v>
      </c>
      <c r="C67" s="9" t="str">
        <f t="shared" si="16"/>
        <v>United Arab Emirates</v>
      </c>
      <c r="D67" s="6">
        <f t="shared" si="17"/>
        <v>570</v>
      </c>
      <c r="E67" s="6">
        <f>IF(COUNTIF(I67:XFD67,"&gt;"&amp;0)=0,,HLOOKUP(COUNTIF(I67:XFD67,"&gt;"&amp;0)-1,I$1:XFD67,A67+1,FALSE))</f>
        <v>570</v>
      </c>
      <c r="F67" s="7">
        <f>IF(COUNTIF(I67:XFD67,"&gt;"&amp;0)=0,,HLOOKUP(COUNTIF(I67:XFD67,"&gt;"&amp;0)-MIN($F$1+1,COUNTIF(I67:XFD67,"&gt;"&amp;0)),I$1:XFD67,A67+1,FALSE))</f>
        <v>248</v>
      </c>
      <c r="G67" s="8">
        <f t="shared" si="18"/>
        <v>1.1810944669103161</v>
      </c>
      <c r="H67" s="13" t="s">
        <v>55</v>
      </c>
      <c r="I67" s="9">
        <v>113</v>
      </c>
      <c r="J67" s="9">
        <v>140</v>
      </c>
      <c r="K67" s="9">
        <v>140</v>
      </c>
      <c r="L67" s="9">
        <v>153</v>
      </c>
      <c r="M67" s="9">
        <v>153</v>
      </c>
      <c r="N67" s="9">
        <v>198</v>
      </c>
      <c r="O67" s="9">
        <v>248</v>
      </c>
      <c r="P67" s="9">
        <v>333</v>
      </c>
      <c r="Q67" s="9">
        <v>333</v>
      </c>
      <c r="R67" s="9">
        <v>405</v>
      </c>
      <c r="S67" s="9">
        <v>468</v>
      </c>
      <c r="T67" s="9">
        <v>570</v>
      </c>
    </row>
    <row r="68" spans="1:28" x14ac:dyDescent="0.25">
      <c r="A68" s="9">
        <f t="shared" si="8"/>
        <v>67</v>
      </c>
      <c r="B68" s="9">
        <f t="array" ref="B68">IF(C68="",0,IF(OR(C68=Country_Comparison!$S$10:$S$29),1,0))</f>
        <v>0</v>
      </c>
      <c r="C68" s="9" t="str">
        <f t="shared" si="16"/>
        <v>Iraq</v>
      </c>
      <c r="D68" s="6">
        <f t="shared" si="17"/>
        <v>547</v>
      </c>
      <c r="E68" s="6">
        <f>IF(COUNTIF(I68:XFD68,"&gt;"&amp;0)=0,,HLOOKUP(COUNTIF(I68:XFD68,"&gt;"&amp;0)-1,I$1:XFD68,A68+1,FALSE))</f>
        <v>547</v>
      </c>
      <c r="F68" s="7">
        <f>IF(COUNTIF(I68:XFD68,"&gt;"&amp;0)=0,,HLOOKUP(COUNTIF(I68:XFD68,"&gt;"&amp;0)-MIN($F$1+1,COUNTIF(I68:XFD68,"&gt;"&amp;0)),I$1:XFD68,A68+1,FALSE))</f>
        <v>316</v>
      </c>
      <c r="G68" s="8">
        <f t="shared" si="18"/>
        <v>1.1159893465004607</v>
      </c>
      <c r="H68" s="13" t="s">
        <v>70</v>
      </c>
      <c r="I68" s="9">
        <v>101</v>
      </c>
      <c r="J68" s="9">
        <v>110</v>
      </c>
      <c r="K68" s="9">
        <v>116</v>
      </c>
      <c r="L68" s="9">
        <v>124</v>
      </c>
      <c r="M68" s="9">
        <v>154</v>
      </c>
      <c r="N68" s="9">
        <v>164</v>
      </c>
      <c r="O68" s="9">
        <v>192</v>
      </c>
      <c r="P68" s="9">
        <v>208</v>
      </c>
      <c r="Q68" s="9">
        <v>214</v>
      </c>
      <c r="R68" s="9">
        <v>233</v>
      </c>
      <c r="S68" s="9">
        <v>266</v>
      </c>
      <c r="T68" s="9">
        <v>316</v>
      </c>
      <c r="U68" s="9">
        <v>346</v>
      </c>
      <c r="V68" s="9">
        <v>382</v>
      </c>
      <c r="W68" s="9">
        <v>458</v>
      </c>
      <c r="X68" s="9">
        <v>506</v>
      </c>
      <c r="Y68" s="9">
        <v>547</v>
      </c>
    </row>
    <row r="69" spans="1:28" x14ac:dyDescent="0.25">
      <c r="A69" s="9">
        <f t="shared" si="8"/>
        <v>68</v>
      </c>
      <c r="B69" s="9">
        <f t="array" ref="B69">IF(C69="",0,IF(OR(C69=Country_Comparison!$S$10:$S$29),1,0))</f>
        <v>0</v>
      </c>
      <c r="C69" s="9" t="str">
        <f t="shared" ref="C69:C100" si="19">IF(H69="","",H69)</f>
        <v>New Zealand</v>
      </c>
      <c r="D69" s="6">
        <f t="shared" ref="D69:D100" si="20">MAX(I69:JF69)</f>
        <v>514</v>
      </c>
      <c r="E69" s="6">
        <f>IF(COUNTIF(I69:XFD69,"&gt;"&amp;0)=0,,HLOOKUP(COUNTIF(I69:XFD69,"&gt;"&amp;0)-1,I$1:XFD69,A69+1,FALSE))</f>
        <v>514</v>
      </c>
      <c r="F69" s="7">
        <f>IF(COUNTIF(I69:XFD69,"&gt;"&amp;0)=0,,HLOOKUP(COUNTIF(I69:XFD69,"&gt;"&amp;0)-MIN($F$1+1,COUNTIF(I69:XFD69,"&gt;"&amp;0)),I$1:XFD69,A69+1,FALSE))</f>
        <v>155</v>
      </c>
      <c r="G69" s="8">
        <f t="shared" si="18"/>
        <v>1.2709436165129961</v>
      </c>
      <c r="H69" s="13" t="s">
        <v>95</v>
      </c>
      <c r="I69" s="9">
        <v>102</v>
      </c>
      <c r="J69" s="9">
        <v>102</v>
      </c>
      <c r="K69" s="9">
        <v>155</v>
      </c>
      <c r="L69" s="9">
        <v>205</v>
      </c>
      <c r="M69" s="9">
        <v>283</v>
      </c>
      <c r="N69" s="9">
        <v>368</v>
      </c>
      <c r="O69" s="9">
        <v>451</v>
      </c>
      <c r="P69" s="9">
        <v>514</v>
      </c>
    </row>
    <row r="70" spans="1:28" x14ac:dyDescent="0.25">
      <c r="A70" s="9">
        <f t="shared" si="8"/>
        <v>69</v>
      </c>
      <c r="B70" s="9">
        <f t="array" ref="B70">IF(C70="",0,IF(OR(C70=Country_Comparison!$S$10:$S$29),1,0))</f>
        <v>0</v>
      </c>
      <c r="C70" s="9" t="str">
        <f t="shared" si="19"/>
        <v>Algeria</v>
      </c>
      <c r="D70" s="6">
        <f t="shared" si="20"/>
        <v>511</v>
      </c>
      <c r="E70" s="6">
        <f>IF(COUNTIF(I70:XFD70,"&gt;"&amp;0)=0,,HLOOKUP(COUNTIF(I70:XFD70,"&gt;"&amp;0)-1,I$1:XFD70,A70+1,FALSE))</f>
        <v>511</v>
      </c>
      <c r="F70" s="7">
        <f>IF(COUNTIF(I70:XFD70,"&gt;"&amp;0)=0,,HLOOKUP(COUNTIF(I70:XFD70,"&gt;"&amp;0)-MIN($F$1+1,COUNTIF(I70:XFD70,"&gt;"&amp;0)),I$1:XFD70,A70+1,FALSE))</f>
        <v>264</v>
      </c>
      <c r="G70" s="8">
        <f t="shared" si="18"/>
        <v>1.141204287558387</v>
      </c>
      <c r="H70" s="13" t="s">
        <v>75</v>
      </c>
      <c r="I70" s="9">
        <v>139</v>
      </c>
      <c r="J70" s="9">
        <v>201</v>
      </c>
      <c r="K70" s="9">
        <v>230</v>
      </c>
      <c r="L70" s="9">
        <v>264</v>
      </c>
      <c r="M70" s="9">
        <v>302</v>
      </c>
      <c r="N70" s="9">
        <v>367</v>
      </c>
      <c r="O70" s="9">
        <v>409</v>
      </c>
      <c r="P70" s="9">
        <v>454</v>
      </c>
      <c r="Q70" s="9">
        <v>511</v>
      </c>
    </row>
    <row r="71" spans="1:28" x14ac:dyDescent="0.25">
      <c r="A71" s="9">
        <f t="shared" si="8"/>
        <v>70</v>
      </c>
      <c r="B71" s="9">
        <f t="array" ref="B71">IF(C71="",0,IF(OR(C71=Country_Comparison!$S$10:$S$29),1,0))</f>
        <v>0</v>
      </c>
      <c r="C71" s="9" t="str">
        <f t="shared" si="19"/>
        <v>Bahrain</v>
      </c>
      <c r="D71" s="6">
        <f t="shared" si="20"/>
        <v>499</v>
      </c>
      <c r="E71" s="6">
        <f>IF(COUNTIF(I71:XFD71,"&gt;"&amp;0)=0,,HLOOKUP(COUNTIF(I71:XFD71,"&gt;"&amp;0)-1,I$1:XFD71,A71+1,FALSE))</f>
        <v>499</v>
      </c>
      <c r="F71" s="7">
        <f>IF(COUNTIF(I71:XFD71,"&gt;"&amp;0)=0,,HLOOKUP(COUNTIF(I71:XFD71,"&gt;"&amp;0)-MIN($F$1+1,COUNTIF(I71:XFD71,"&gt;"&amp;0)),I$1:XFD71,A71+1,FALSE))</f>
        <v>392</v>
      </c>
      <c r="G71" s="8">
        <f t="shared" si="18"/>
        <v>1.0494527640269189</v>
      </c>
      <c r="H71" s="13" t="s">
        <v>73</v>
      </c>
      <c r="I71" s="9">
        <v>110</v>
      </c>
      <c r="J71" s="9">
        <v>195</v>
      </c>
      <c r="K71" s="9">
        <v>195</v>
      </c>
      <c r="L71" s="9">
        <v>195</v>
      </c>
      <c r="M71" s="9">
        <v>210</v>
      </c>
      <c r="N71" s="9">
        <v>214</v>
      </c>
      <c r="O71" s="9">
        <v>214</v>
      </c>
      <c r="P71" s="9">
        <v>228</v>
      </c>
      <c r="Q71" s="9">
        <v>256</v>
      </c>
      <c r="R71" s="9">
        <v>278</v>
      </c>
      <c r="S71" s="9">
        <v>285</v>
      </c>
      <c r="T71" s="9">
        <v>305</v>
      </c>
      <c r="U71" s="9">
        <v>334</v>
      </c>
      <c r="V71" s="9">
        <v>377</v>
      </c>
      <c r="W71" s="9">
        <v>392</v>
      </c>
      <c r="X71" s="9">
        <v>419</v>
      </c>
      <c r="Y71" s="9">
        <v>458</v>
      </c>
      <c r="Z71" s="9">
        <v>466</v>
      </c>
      <c r="AA71" s="9">
        <v>476</v>
      </c>
      <c r="AB71" s="9">
        <v>499</v>
      </c>
    </row>
    <row r="72" spans="1:28" x14ac:dyDescent="0.25">
      <c r="A72" s="9">
        <f t="shared" si="8"/>
        <v>71</v>
      </c>
      <c r="B72" s="9">
        <f t="array" ref="B72">IF(C72="",0,IF(OR(C72=Country_Comparison!$S$10:$S$29),1,0))</f>
        <v>0</v>
      </c>
      <c r="C72" s="9" t="str">
        <f t="shared" si="19"/>
        <v>Morocco</v>
      </c>
      <c r="D72" s="6">
        <f t="shared" si="20"/>
        <v>479</v>
      </c>
      <c r="E72" s="6">
        <f>IF(COUNTIF(I72:XFD72,"&gt;"&amp;0)=0,,HLOOKUP(COUNTIF(I72:XFD72,"&gt;"&amp;0)-1,I$1:XFD72,A72+1,FALSE))</f>
        <v>479</v>
      </c>
      <c r="F72" s="7">
        <f>IF(COUNTIF(I72:XFD72,"&gt;"&amp;0)=0,,HLOOKUP(COUNTIF(I72:XFD72,"&gt;"&amp;0)-MIN($F$1+1,COUNTIF(I72:XFD72,"&gt;"&amp;0)),I$1:XFD72,A72+1,FALSE))</f>
        <v>170</v>
      </c>
      <c r="G72" s="8">
        <f t="shared" si="18"/>
        <v>1.23020452010756</v>
      </c>
      <c r="H72" s="13" t="s">
        <v>112</v>
      </c>
      <c r="I72" s="9">
        <v>115</v>
      </c>
      <c r="J72" s="9">
        <v>143</v>
      </c>
      <c r="K72" s="9">
        <v>170</v>
      </c>
      <c r="L72" s="9">
        <v>225</v>
      </c>
      <c r="M72" s="9">
        <v>275</v>
      </c>
      <c r="N72" s="9">
        <v>345</v>
      </c>
      <c r="O72" s="9">
        <v>402</v>
      </c>
      <c r="P72" s="9">
        <v>479</v>
      </c>
    </row>
    <row r="73" spans="1:28" x14ac:dyDescent="0.25">
      <c r="A73" s="9">
        <f t="shared" si="8"/>
        <v>72</v>
      </c>
      <c r="B73" s="9">
        <f t="array" ref="B73">IF(C73="",0,IF(OR(C73=Country_Comparison!$S$10:$S$29),1,0))</f>
        <v>0</v>
      </c>
      <c r="C73" s="9" t="str">
        <f t="shared" si="19"/>
        <v>Ukraine</v>
      </c>
      <c r="D73" s="6">
        <f t="shared" si="20"/>
        <v>475</v>
      </c>
      <c r="E73" s="6">
        <f>IF(COUNTIF(I73:XFD73,"&gt;"&amp;0)=0,,HLOOKUP(COUNTIF(I73:XFD73,"&gt;"&amp;0)-1,I$1:XFD73,A73+1,FALSE))</f>
        <v>475</v>
      </c>
      <c r="F73" s="7">
        <f>IF(COUNTIF(I73:XFD73,"&gt;"&amp;0)=0,,HLOOKUP(COUNTIF(I73:XFD73,"&gt;"&amp;0)-MIN($F$1+1,COUNTIF(I73:XFD73,"&gt;"&amp;0)),I$1:XFD73,A73+1,FALSE))</f>
        <v>145</v>
      </c>
      <c r="G73" s="8">
        <f t="shared" si="18"/>
        <v>1.3453379768673288</v>
      </c>
      <c r="H73" s="13" t="s">
        <v>129</v>
      </c>
      <c r="I73" s="9">
        <v>145</v>
      </c>
      <c r="J73" s="9">
        <v>196</v>
      </c>
      <c r="K73" s="9">
        <v>310</v>
      </c>
      <c r="L73" s="9">
        <v>356</v>
      </c>
      <c r="M73" s="9">
        <v>475</v>
      </c>
    </row>
    <row r="74" spans="1:28" x14ac:dyDescent="0.25">
      <c r="A74" s="9">
        <f t="shared" si="8"/>
        <v>73</v>
      </c>
      <c r="B74" s="9">
        <f t="array" ref="B74">IF(C74="",0,IF(OR(C74=Country_Comparison!$S$10:$S$29),1,0))</f>
        <v>0</v>
      </c>
      <c r="C74" s="9" t="str">
        <f t="shared" si="19"/>
        <v>Lithuania</v>
      </c>
      <c r="D74" s="6">
        <f t="shared" si="20"/>
        <v>460</v>
      </c>
      <c r="E74" s="6">
        <f>IF(COUNTIF(I74:XFD74,"&gt;"&amp;0)=0,,HLOOKUP(COUNTIF(I74:XFD74,"&gt;"&amp;0)-1,I$1:XFD74,A74+1,FALSE))</f>
        <v>460</v>
      </c>
      <c r="F74" s="7">
        <f>IF(COUNTIF(I74:XFD74,"&gt;"&amp;0)=0,,HLOOKUP(COUNTIF(I74:XFD74,"&gt;"&amp;0)-MIN($F$1+1,COUNTIF(I74:XFD74,"&gt;"&amp;0)),I$1:XFD74,A74+1,FALSE))</f>
        <v>209</v>
      </c>
      <c r="G74" s="8">
        <f t="shared" si="18"/>
        <v>1.1709067486551314</v>
      </c>
      <c r="H74" s="13" t="s">
        <v>93</v>
      </c>
      <c r="I74" s="9">
        <v>143</v>
      </c>
      <c r="J74" s="9">
        <v>179</v>
      </c>
      <c r="K74" s="9">
        <v>209</v>
      </c>
      <c r="L74" s="9">
        <v>274</v>
      </c>
      <c r="M74" s="9">
        <v>299</v>
      </c>
      <c r="N74" s="9">
        <v>358</v>
      </c>
      <c r="O74" s="9">
        <v>394</v>
      </c>
      <c r="P74" s="9">
        <v>460</v>
      </c>
    </row>
    <row r="75" spans="1:28" x14ac:dyDescent="0.25">
      <c r="A75" s="9">
        <f t="shared" si="8"/>
        <v>74</v>
      </c>
      <c r="B75" s="9">
        <f t="array" ref="B75">IF(C75="",0,IF(OR(C75=Country_Comparison!$S$10:$S$29),1,0))</f>
        <v>0</v>
      </c>
      <c r="C75" s="9" t="str">
        <f t="shared" si="19"/>
        <v>Lebanon</v>
      </c>
      <c r="D75" s="6">
        <f t="shared" si="20"/>
        <v>438</v>
      </c>
      <c r="E75" s="6">
        <f>IF(COUNTIF(I75:XFD75,"&gt;"&amp;0)=0,,HLOOKUP(COUNTIF(I75:XFD75,"&gt;"&amp;0)-1,I$1:XFD75,A75+1,FALSE))</f>
        <v>438</v>
      </c>
      <c r="F75" s="7">
        <f>IF(COUNTIF(I75:XFD75,"&gt;"&amp;0)=0,,HLOOKUP(COUNTIF(I75:XFD75,"&gt;"&amp;0)-MIN($F$1+1,COUNTIF(I75:XFD75,"&gt;"&amp;0)),I$1:XFD75,A75+1,FALSE))</f>
        <v>318</v>
      </c>
      <c r="G75" s="8">
        <f t="shared" si="18"/>
        <v>1.0661281193393133</v>
      </c>
      <c r="H75" s="13" t="s">
        <v>67</v>
      </c>
      <c r="I75" s="9">
        <v>110</v>
      </c>
      <c r="J75" s="9">
        <v>110</v>
      </c>
      <c r="K75" s="9">
        <v>120</v>
      </c>
      <c r="L75" s="9">
        <v>133</v>
      </c>
      <c r="M75" s="9">
        <v>157</v>
      </c>
      <c r="N75" s="9">
        <v>163</v>
      </c>
      <c r="O75" s="9">
        <v>187</v>
      </c>
      <c r="P75" s="9">
        <v>248</v>
      </c>
      <c r="Q75" s="9">
        <v>267</v>
      </c>
      <c r="R75" s="9">
        <v>318</v>
      </c>
      <c r="S75" s="9">
        <v>333</v>
      </c>
      <c r="T75" s="9">
        <v>368</v>
      </c>
      <c r="U75" s="9">
        <v>391</v>
      </c>
      <c r="V75" s="9">
        <v>412</v>
      </c>
      <c r="W75" s="9">
        <v>438</v>
      </c>
    </row>
    <row r="76" spans="1:28" x14ac:dyDescent="0.25">
      <c r="A76" s="9">
        <f t="shared" si="8"/>
        <v>75</v>
      </c>
      <c r="B76" s="9">
        <f t="array" ref="B76">IF(C76="",0,IF(OR(C76=Country_Comparison!$S$10:$S$29),1,0))</f>
        <v>0</v>
      </c>
      <c r="C76" s="9" t="str">
        <f t="shared" si="19"/>
        <v>Armenia</v>
      </c>
      <c r="D76" s="6">
        <f t="shared" si="20"/>
        <v>424</v>
      </c>
      <c r="E76" s="6">
        <f>IF(COUNTIF(I76:XFD76,"&gt;"&amp;0)=0,,HLOOKUP(COUNTIF(I76:XFD76,"&gt;"&amp;0)-1,I$1:XFD76,A76+1,FALSE))</f>
        <v>424</v>
      </c>
      <c r="F76" s="7">
        <f>IF(COUNTIF(I76:XFD76,"&gt;"&amp;0)=0,,HLOOKUP(COUNTIF(I76:XFD76,"&gt;"&amp;0)-MIN($F$1+1,COUNTIF(I76:XFD76,"&gt;"&amp;0)),I$1:XFD76,A76+1,FALSE))</f>
        <v>249</v>
      </c>
      <c r="G76" s="8">
        <f t="shared" si="18"/>
        <v>1.1123291072002952</v>
      </c>
      <c r="H76" s="13" t="s">
        <v>105</v>
      </c>
      <c r="I76" s="9">
        <v>115</v>
      </c>
      <c r="J76" s="9">
        <v>136</v>
      </c>
      <c r="K76" s="9">
        <v>160</v>
      </c>
      <c r="L76" s="9">
        <v>194</v>
      </c>
      <c r="M76" s="9">
        <v>235</v>
      </c>
      <c r="N76" s="9">
        <v>249</v>
      </c>
      <c r="O76" s="9">
        <v>265</v>
      </c>
      <c r="P76" s="9">
        <v>290</v>
      </c>
      <c r="Q76" s="9">
        <v>329</v>
      </c>
      <c r="R76" s="9">
        <v>407</v>
      </c>
      <c r="S76" s="9">
        <v>424</v>
      </c>
    </row>
    <row r="77" spans="1:28" x14ac:dyDescent="0.25">
      <c r="A77" s="9">
        <f t="shared" si="8"/>
        <v>76</v>
      </c>
      <c r="B77" s="9">
        <f t="array" ref="B77">IF(C77="",0,IF(OR(C77=Country_Comparison!$S$10:$S$29),1,0))</f>
        <v>0</v>
      </c>
      <c r="C77" s="9" t="str">
        <f t="shared" si="19"/>
        <v>Hungary</v>
      </c>
      <c r="D77" s="6">
        <f t="shared" si="20"/>
        <v>408</v>
      </c>
      <c r="E77" s="6">
        <f>IF(COUNTIF(I77:XFD77,"&gt;"&amp;0)=0,,HLOOKUP(COUNTIF(I77:XFD77,"&gt;"&amp;0)-1,I$1:XFD77,A77+1,FALSE))</f>
        <v>408</v>
      </c>
      <c r="F77" s="7">
        <f>IF(COUNTIF(I77:XFD77,"&gt;"&amp;0)=0,,HLOOKUP(COUNTIF(I77:XFD77,"&gt;"&amp;0)-MIN($F$1+1,COUNTIF(I77:XFD77,"&gt;"&amp;0)),I$1:XFD77,A77+1,FALSE))</f>
        <v>187</v>
      </c>
      <c r="G77" s="8">
        <f t="shared" si="18"/>
        <v>1.168863268921301</v>
      </c>
      <c r="H77" s="13" t="s">
        <v>132</v>
      </c>
      <c r="I77" s="9">
        <v>103</v>
      </c>
      <c r="J77" s="9">
        <v>131</v>
      </c>
      <c r="K77" s="9">
        <v>167</v>
      </c>
      <c r="L77" s="9">
        <v>187</v>
      </c>
      <c r="M77" s="9">
        <v>226</v>
      </c>
      <c r="N77" s="9">
        <v>261</v>
      </c>
      <c r="O77" s="9">
        <v>300</v>
      </c>
      <c r="P77" s="9">
        <v>343</v>
      </c>
      <c r="Q77" s="9">
        <v>408</v>
      </c>
    </row>
    <row r="78" spans="1:28" x14ac:dyDescent="0.25">
      <c r="A78" s="9">
        <f t="shared" si="8"/>
        <v>77</v>
      </c>
      <c r="B78" s="9">
        <f t="array" ref="B78">IF(C78="",0,IF(OR(C78=Country_Comparison!$S$10:$S$29),1,0))</f>
        <v>0</v>
      </c>
      <c r="C78" s="9" t="str">
        <f t="shared" si="19"/>
        <v>Latvia</v>
      </c>
      <c r="D78" s="6">
        <f t="shared" si="20"/>
        <v>347</v>
      </c>
      <c r="E78" s="6">
        <f>IF(COUNTIF(I78:XFD78,"&gt;"&amp;0)=0,,HLOOKUP(COUNTIF(I78:XFD78,"&gt;"&amp;0)-1,I$1:XFD78,A78+1,FALSE))</f>
        <v>347</v>
      </c>
      <c r="F78" s="7">
        <f>IF(COUNTIF(I78:XFD78,"&gt;"&amp;0)=0,,HLOOKUP(COUNTIF(I78:XFD78,"&gt;"&amp;0)-MIN($F$1+1,COUNTIF(I78:XFD78,"&gt;"&amp;0)),I$1:XFD78,A78+1,FALSE))</f>
        <v>197</v>
      </c>
      <c r="G78" s="8">
        <f t="shared" si="18"/>
        <v>1.1198829940391526</v>
      </c>
      <c r="H78" s="13" t="s">
        <v>111</v>
      </c>
      <c r="I78" s="9">
        <v>111</v>
      </c>
      <c r="J78" s="9">
        <v>124</v>
      </c>
      <c r="K78" s="9">
        <v>139</v>
      </c>
      <c r="L78" s="9">
        <v>180</v>
      </c>
      <c r="M78" s="9">
        <v>197</v>
      </c>
      <c r="N78" s="9">
        <v>221</v>
      </c>
      <c r="O78" s="9">
        <v>244</v>
      </c>
      <c r="P78" s="9">
        <v>280</v>
      </c>
      <c r="Q78" s="9">
        <v>305</v>
      </c>
      <c r="R78" s="9">
        <v>347</v>
      </c>
    </row>
    <row r="79" spans="1:28" x14ac:dyDescent="0.25">
      <c r="A79" s="9">
        <f t="shared" si="8"/>
        <v>78</v>
      </c>
      <c r="B79" s="9">
        <f t="array" ref="B79">IF(C79="",0,IF(OR(C79=Country_Comparison!$S$10:$S$29),1,0))</f>
        <v>0</v>
      </c>
      <c r="C79" s="9" t="str">
        <f t="shared" si="19"/>
        <v>Bulgaria</v>
      </c>
      <c r="D79" s="6">
        <f t="shared" si="20"/>
        <v>346</v>
      </c>
      <c r="E79" s="6">
        <f>IF(COUNTIF(I79:XFD79,"&gt;"&amp;0)=0,,HLOOKUP(COUNTIF(I79:XFD79,"&gt;"&amp;0)-1,I$1:XFD79,A79+1,FALSE))</f>
        <v>346</v>
      </c>
      <c r="F79" s="7">
        <f>IF(COUNTIF(I79:XFD79,"&gt;"&amp;0)=0,,HLOOKUP(COUNTIF(I79:XFD79,"&gt;"&amp;0)-MIN($F$1+1,COUNTIF(I79:XFD79,"&gt;"&amp;0)),I$1:XFD79,A79+1,FALSE))</f>
        <v>218</v>
      </c>
      <c r="G79" s="8">
        <f t="shared" si="18"/>
        <v>1.0967911084843756</v>
      </c>
      <c r="H79" s="13" t="s">
        <v>199</v>
      </c>
      <c r="I79" s="9">
        <v>127</v>
      </c>
      <c r="J79" s="9">
        <v>163</v>
      </c>
      <c r="K79" s="9">
        <v>187</v>
      </c>
      <c r="L79" s="9">
        <v>201</v>
      </c>
      <c r="M79" s="9">
        <v>218</v>
      </c>
      <c r="N79" s="9">
        <v>242</v>
      </c>
      <c r="O79" s="9">
        <v>264</v>
      </c>
      <c r="P79" s="9">
        <v>293</v>
      </c>
      <c r="Q79" s="9">
        <v>331</v>
      </c>
      <c r="R79" s="9">
        <v>346</v>
      </c>
    </row>
    <row r="80" spans="1:28" x14ac:dyDescent="0.25">
      <c r="A80" s="9">
        <f t="shared" si="8"/>
        <v>79</v>
      </c>
      <c r="B80" s="9">
        <f t="array" ref="B80">IF(C80="",0,IF(OR(C80=Country_Comparison!$S$10:$S$29),1,0))</f>
        <v>0</v>
      </c>
      <c r="C80" s="9" t="str">
        <f t="shared" si="19"/>
        <v>Andorra</v>
      </c>
      <c r="D80" s="6">
        <f t="shared" si="20"/>
        <v>334</v>
      </c>
      <c r="E80" s="6">
        <f>IF(COUNTIF(I80:XFD80,"&gt;"&amp;0)=0,,HLOOKUP(COUNTIF(I80:XFD80,"&gt;"&amp;0)-1,I$1:XFD80,A80+1,FALSE))</f>
        <v>334</v>
      </c>
      <c r="F80" s="7">
        <f>IF(COUNTIF(I80:XFD80,"&gt;"&amp;0)=0,,HLOOKUP(COUNTIF(I80:XFD80,"&gt;"&amp;0)-MIN($F$1+1,COUNTIF(I80:XFD80,"&gt;"&amp;0)),I$1:XFD80,A80+1,FALSE))</f>
        <v>164</v>
      </c>
      <c r="G80" s="8">
        <f t="shared" si="18"/>
        <v>1.1528704927941413</v>
      </c>
      <c r="H80" s="13" t="s">
        <v>109</v>
      </c>
      <c r="I80" s="9">
        <v>113</v>
      </c>
      <c r="J80" s="9">
        <v>133</v>
      </c>
      <c r="K80" s="9">
        <v>164</v>
      </c>
      <c r="L80" s="9">
        <v>188</v>
      </c>
      <c r="M80" s="9">
        <v>224</v>
      </c>
      <c r="N80" s="9">
        <v>267</v>
      </c>
      <c r="O80" s="9">
        <v>308</v>
      </c>
      <c r="P80" s="9">
        <v>334</v>
      </c>
    </row>
    <row r="81" spans="1:24" x14ac:dyDescent="0.25">
      <c r="A81" s="9">
        <f t="shared" si="8"/>
        <v>80</v>
      </c>
      <c r="B81" s="9">
        <f t="array" ref="B81">IF(C81="",0,IF(OR(C81=Country_Comparison!$S$10:$S$29),1,0))</f>
        <v>0</v>
      </c>
      <c r="C81" s="9" t="str">
        <f t="shared" si="19"/>
        <v>Bosnia and Herzegovina</v>
      </c>
      <c r="D81" s="6">
        <f t="shared" si="20"/>
        <v>323</v>
      </c>
      <c r="E81" s="6">
        <f>IF(COUNTIF(I81:XFD81,"&gt;"&amp;0)=0,,HLOOKUP(COUNTIF(I81:XFD81,"&gt;"&amp;0)-1,I$1:XFD81,A81+1,FALSE))</f>
        <v>323</v>
      </c>
      <c r="F81" s="7">
        <f>IF(COUNTIF(I81:XFD81,"&gt;"&amp;0)=0,,HLOOKUP(COUNTIF(I81:XFD81,"&gt;"&amp;0)-MIN($F$1+1,COUNTIF(I81:XFD81,"&gt;"&amp;0)),I$1:XFD81,A81+1,FALSE))</f>
        <v>166</v>
      </c>
      <c r="G81" s="8">
        <f t="shared" si="18"/>
        <v>1.1424018214097855</v>
      </c>
      <c r="H81" s="13" t="s">
        <v>140</v>
      </c>
      <c r="I81" s="9">
        <v>126</v>
      </c>
      <c r="J81" s="9">
        <v>136</v>
      </c>
      <c r="K81" s="9">
        <v>166</v>
      </c>
      <c r="L81" s="9">
        <v>176</v>
      </c>
      <c r="M81" s="9">
        <v>191</v>
      </c>
      <c r="N81" s="9">
        <v>237</v>
      </c>
      <c r="O81" s="9">
        <v>258</v>
      </c>
      <c r="P81" s="9">
        <v>323</v>
      </c>
    </row>
    <row r="82" spans="1:24" x14ac:dyDescent="0.25">
      <c r="A82" s="9">
        <f t="shared" si="8"/>
        <v>81</v>
      </c>
      <c r="B82" s="9">
        <f t="array" ref="B82">IF(C82="",0,IF(OR(C82=Country_Comparison!$S$10:$S$29),1,0))</f>
        <v>0</v>
      </c>
      <c r="C82" s="9" t="str">
        <f t="shared" si="19"/>
        <v>Slovakia</v>
      </c>
      <c r="D82" s="6">
        <f t="shared" si="20"/>
        <v>314</v>
      </c>
      <c r="E82" s="6">
        <f>IF(COUNTIF(I82:XFD82,"&gt;"&amp;0)=0,,HLOOKUP(COUNTIF(I82:XFD82,"&gt;"&amp;0)-1,I$1:XFD82,A82+1,FALSE))</f>
        <v>314</v>
      </c>
      <c r="F82" s="7">
        <f>IF(COUNTIF(I82:XFD82,"&gt;"&amp;0)=0,,HLOOKUP(COUNTIF(I82:XFD82,"&gt;"&amp;0)-MIN($F$1+1,COUNTIF(I82:XFD82,"&gt;"&amp;0)),I$1:XFD82,A82+1,FALSE))</f>
        <v>204</v>
      </c>
      <c r="G82" s="8">
        <f t="shared" si="18"/>
        <v>1.0900838265903952</v>
      </c>
      <c r="H82" s="13" t="s">
        <v>162</v>
      </c>
      <c r="I82" s="9">
        <v>105</v>
      </c>
      <c r="J82" s="9">
        <v>123</v>
      </c>
      <c r="K82" s="9">
        <v>137</v>
      </c>
      <c r="L82" s="9">
        <v>178</v>
      </c>
      <c r="M82" s="9">
        <v>185</v>
      </c>
      <c r="N82" s="9">
        <v>186</v>
      </c>
      <c r="O82" s="9">
        <v>204</v>
      </c>
      <c r="P82" s="9">
        <v>216</v>
      </c>
      <c r="Q82" s="9">
        <v>226</v>
      </c>
      <c r="R82" s="9">
        <v>269</v>
      </c>
      <c r="S82" s="9">
        <v>292</v>
      </c>
      <c r="T82" s="9">
        <v>314</v>
      </c>
    </row>
    <row r="83" spans="1:24" x14ac:dyDescent="0.25">
      <c r="A83" s="9">
        <f t="shared" si="8"/>
        <v>82</v>
      </c>
      <c r="B83" s="9">
        <f t="array" ref="B83">IF(C83="",0,IF(OR(C83=Country_Comparison!$S$10:$S$29),1,0))</f>
        <v>0</v>
      </c>
      <c r="C83" s="9" t="str">
        <f t="shared" si="19"/>
        <v>Costa Rica</v>
      </c>
      <c r="D83" s="6">
        <f t="shared" si="20"/>
        <v>314</v>
      </c>
      <c r="E83" s="6">
        <f>IF(COUNTIF(I83:XFD83,"&gt;"&amp;0)=0,,HLOOKUP(COUNTIF(I83:XFD83,"&gt;"&amp;0)-1,I$1:XFD83,A83+1,FALSE))</f>
        <v>314</v>
      </c>
      <c r="F83" s="7">
        <f>IF(COUNTIF(I83:XFD83,"&gt;"&amp;0)=0,,HLOOKUP(COUNTIF(I83:XFD83,"&gt;"&amp;0)-MIN($F$1+1,COUNTIF(I83:XFD83,"&gt;"&amp;0)),I$1:XFD83,A83+1,FALSE))</f>
        <v>177</v>
      </c>
      <c r="G83" s="8">
        <f t="shared" si="18"/>
        <v>1.1214793373252914</v>
      </c>
      <c r="H83" s="13" t="s">
        <v>159</v>
      </c>
      <c r="I83" s="9">
        <v>117</v>
      </c>
      <c r="J83" s="9">
        <v>134</v>
      </c>
      <c r="K83" s="9">
        <v>158</v>
      </c>
      <c r="L83" s="9">
        <v>177</v>
      </c>
      <c r="M83" s="9">
        <v>201</v>
      </c>
      <c r="N83" s="9">
        <v>231</v>
      </c>
      <c r="O83" s="9">
        <v>263</v>
      </c>
      <c r="P83" s="9">
        <v>295</v>
      </c>
      <c r="Q83" s="9">
        <v>314</v>
      </c>
    </row>
    <row r="84" spans="1:24" x14ac:dyDescent="0.25">
      <c r="A84" s="9">
        <f t="shared" si="8"/>
        <v>83</v>
      </c>
      <c r="B84" s="9">
        <f t="array" ref="B84">IF(C84="",0,IF(OR(C84=Country_Comparison!$S$10:$S$29),1,0))</f>
        <v>0</v>
      </c>
      <c r="C84" s="9" t="str">
        <f t="shared" si="19"/>
        <v>Tunisia</v>
      </c>
      <c r="D84" s="6">
        <f t="shared" si="20"/>
        <v>312</v>
      </c>
      <c r="E84" s="6">
        <f>IF(COUNTIF(I84:XFD84,"&gt;"&amp;0)=0,,HLOOKUP(COUNTIF(I84:XFD84,"&gt;"&amp;0)-1,I$1:XFD84,A84+1,FALSE))</f>
        <v>312</v>
      </c>
      <c r="F84" s="7">
        <f>IF(COUNTIF(I84:XFD84,"&gt;"&amp;0)=0,,HLOOKUP(COUNTIF(I84:XFD84,"&gt;"&amp;0)-MIN($F$1+1,COUNTIF(I84:XFD84,"&gt;"&amp;0)),I$1:XFD84,A84+1,FALSE))</f>
        <v>114</v>
      </c>
      <c r="G84" s="8">
        <f t="shared" si="18"/>
        <v>1.2230661552998405</v>
      </c>
      <c r="H84" s="13" t="s">
        <v>138</v>
      </c>
      <c r="I84" s="9">
        <v>114</v>
      </c>
      <c r="J84" s="9">
        <v>173</v>
      </c>
      <c r="K84" s="9">
        <v>197</v>
      </c>
      <c r="L84" s="9">
        <v>227</v>
      </c>
      <c r="M84" s="9">
        <v>278</v>
      </c>
      <c r="N84" s="9">
        <v>312</v>
      </c>
    </row>
    <row r="85" spans="1:24" x14ac:dyDescent="0.25">
      <c r="A85" s="9">
        <f t="shared" si="8"/>
        <v>84</v>
      </c>
      <c r="B85" s="9">
        <f t="array" ref="B85">IF(C85="",0,IF(OR(C85=Country_Comparison!$S$10:$S$29),1,0))</f>
        <v>0</v>
      </c>
      <c r="C85" s="9" t="str">
        <f t="shared" si="19"/>
        <v>Taiwan*</v>
      </c>
      <c r="D85" s="6">
        <f t="shared" si="20"/>
        <v>298</v>
      </c>
      <c r="E85" s="6">
        <f>IF(COUNTIF(I85:XFD85,"&gt;"&amp;0)=0,,HLOOKUP(COUNTIF(I85:XFD85,"&gt;"&amp;0)-1,I$1:XFD85,A85+1,FALSE))</f>
        <v>298</v>
      </c>
      <c r="F85" s="7">
        <f>IF(COUNTIF(I85:XFD85,"&gt;"&amp;0)=0,,HLOOKUP(COUNTIF(I85:XFD85,"&gt;"&amp;0)-MIN($F$1+1,COUNTIF(I85:XFD85,"&gt;"&amp;0)),I$1:XFD85,A85+1,FALSE))</f>
        <v>215</v>
      </c>
      <c r="G85" s="8">
        <f t="shared" si="18"/>
        <v>1.067469710709585</v>
      </c>
      <c r="H85" s="13" t="s">
        <v>342</v>
      </c>
      <c r="I85" s="9">
        <v>100</v>
      </c>
      <c r="J85" s="9">
        <v>108</v>
      </c>
      <c r="K85" s="9">
        <v>135</v>
      </c>
      <c r="L85" s="9">
        <v>153</v>
      </c>
      <c r="M85" s="9">
        <v>169</v>
      </c>
      <c r="N85" s="9">
        <v>195</v>
      </c>
      <c r="O85" s="9">
        <v>215</v>
      </c>
      <c r="P85" s="9">
        <v>235</v>
      </c>
      <c r="Q85" s="9">
        <v>252</v>
      </c>
      <c r="R85" s="9">
        <v>267</v>
      </c>
      <c r="S85" s="9">
        <v>283</v>
      </c>
      <c r="T85" s="9">
        <v>298</v>
      </c>
    </row>
    <row r="86" spans="1:24" x14ac:dyDescent="0.25">
      <c r="A86" s="9">
        <f t="shared" si="8"/>
        <v>85</v>
      </c>
      <c r="B86" s="9">
        <f t="array" ref="B86">IF(C86="",0,IF(OR(C86=Country_Comparison!$S$10:$S$29),1,0))</f>
        <v>0</v>
      </c>
      <c r="C86" s="9" t="str">
        <f t="shared" si="19"/>
        <v>Kazakhstan</v>
      </c>
      <c r="D86" s="6">
        <f t="shared" si="20"/>
        <v>284</v>
      </c>
      <c r="E86" s="6">
        <f>IF(COUNTIF(I86:XFD86,"&gt;"&amp;0)=0,,HLOOKUP(COUNTIF(I86:XFD86,"&gt;"&amp;0)-1,I$1:XFD86,A86+1,FALSE))</f>
        <v>284</v>
      </c>
      <c r="F86" s="7">
        <f>IF(COUNTIF(I86:XFD86,"&gt;"&amp;0)=0,,HLOOKUP(COUNTIF(I86:XFD86,"&gt;"&amp;0)-MIN($F$1+1,COUNTIF(I86:XFD86,"&gt;"&amp;0)),I$1:XFD86,A86+1,FALSE))</f>
        <v>111</v>
      </c>
      <c r="G86" s="8">
        <f t="shared" si="18"/>
        <v>1.3677239559917269</v>
      </c>
      <c r="H86" s="13" t="s">
        <v>413</v>
      </c>
      <c r="I86" s="9">
        <v>111</v>
      </c>
      <c r="J86" s="9">
        <v>150</v>
      </c>
      <c r="K86" s="9">
        <v>228</v>
      </c>
      <c r="L86" s="9">
        <v>284</v>
      </c>
    </row>
    <row r="87" spans="1:24" x14ac:dyDescent="0.25">
      <c r="A87" s="9">
        <f t="shared" si="8"/>
        <v>86</v>
      </c>
      <c r="B87" s="9">
        <f t="array" ref="B87">IF(C87="",0,IF(OR(C87=Country_Comparison!$S$10:$S$29),1,0))</f>
        <v>0</v>
      </c>
      <c r="C87" s="9" t="str">
        <f t="shared" si="19"/>
        <v>Moldova</v>
      </c>
      <c r="D87" s="6">
        <f t="shared" si="20"/>
        <v>263</v>
      </c>
      <c r="E87" s="6">
        <f>IF(COUNTIF(I87:XFD87,"&gt;"&amp;0)=0,,HLOOKUP(COUNTIF(I87:XFD87,"&gt;"&amp;0)-1,I$1:XFD87,A87+1,FALSE))</f>
        <v>263</v>
      </c>
      <c r="F87" s="7">
        <f>IF(COUNTIF(I87:XFD87,"&gt;"&amp;0)=0,,HLOOKUP(COUNTIF(I87:XFD87,"&gt;"&amp;0)-MIN($F$1+1,COUNTIF(I87:XFD87,"&gt;"&amp;0)),I$1:XFD87,A87+1,FALSE))</f>
        <v>125</v>
      </c>
      <c r="G87" s="8">
        <f t="shared" si="18"/>
        <v>1.1604038127441254</v>
      </c>
      <c r="H87" s="13" t="s">
        <v>345</v>
      </c>
      <c r="I87" s="9">
        <v>109</v>
      </c>
      <c r="J87" s="9">
        <v>125</v>
      </c>
      <c r="K87" s="9">
        <v>149</v>
      </c>
      <c r="L87" s="9">
        <v>177</v>
      </c>
      <c r="M87" s="9">
        <v>199</v>
      </c>
      <c r="N87" s="9">
        <v>231</v>
      </c>
      <c r="O87" s="9">
        <v>263</v>
      </c>
    </row>
    <row r="88" spans="1:24" x14ac:dyDescent="0.25">
      <c r="A88" s="9">
        <f t="shared" si="8"/>
        <v>87</v>
      </c>
      <c r="B88" s="9">
        <f t="array" ref="B88">IF(C88="",0,IF(OR(C88=Country_Comparison!$S$10:$S$29),1,0))</f>
        <v>0</v>
      </c>
      <c r="C88" s="9" t="str">
        <f t="shared" si="19"/>
        <v>North Macedonia</v>
      </c>
      <c r="D88" s="6">
        <f t="shared" si="20"/>
        <v>259</v>
      </c>
      <c r="E88" s="6">
        <f>IF(COUNTIF(I88:XFD88,"&gt;"&amp;0)=0,,HLOOKUP(COUNTIF(I88:XFD88,"&gt;"&amp;0)-1,I$1:XFD88,A88+1,FALSE))</f>
        <v>259</v>
      </c>
      <c r="F88" s="7">
        <f>IF(COUNTIF(I88:XFD88,"&gt;"&amp;0)=0,,HLOOKUP(COUNTIF(I88:XFD88,"&gt;"&amp;0)-MIN($F$1+1,COUNTIF(I88:XFD88,"&gt;"&amp;0)),I$1:XFD88,A88+1,FALSE))</f>
        <v>148</v>
      </c>
      <c r="G88" s="8">
        <f t="shared" si="18"/>
        <v>1.1184269147201447</v>
      </c>
      <c r="H88" s="13" t="s">
        <v>84</v>
      </c>
      <c r="I88" s="9">
        <v>115</v>
      </c>
      <c r="J88" s="9">
        <v>136</v>
      </c>
      <c r="K88" s="9">
        <v>148</v>
      </c>
      <c r="L88" s="9">
        <v>177</v>
      </c>
      <c r="M88" s="9">
        <v>201</v>
      </c>
      <c r="N88" s="9">
        <v>219</v>
      </c>
      <c r="O88" s="9">
        <v>241</v>
      </c>
      <c r="P88" s="9">
        <v>259</v>
      </c>
    </row>
    <row r="89" spans="1:24" x14ac:dyDescent="0.25">
      <c r="A89" s="9">
        <f t="shared" si="8"/>
        <v>88</v>
      </c>
      <c r="B89" s="9">
        <f t="array" ref="B89">IF(C89="",0,IF(OR(C89=Country_Comparison!$S$10:$S$29),1,0))</f>
        <v>0</v>
      </c>
      <c r="C89" s="9" t="str">
        <f t="shared" si="19"/>
        <v>Jordan</v>
      </c>
      <c r="D89" s="6">
        <f t="shared" si="20"/>
        <v>259</v>
      </c>
      <c r="E89" s="6">
        <f>IF(COUNTIF(I89:XFD89,"&gt;"&amp;0)=0,,HLOOKUP(COUNTIF(I89:XFD89,"&gt;"&amp;0)-1,I$1:XFD89,A89+1,FALSE))</f>
        <v>259</v>
      </c>
      <c r="F89" s="7">
        <f>IF(COUNTIF(I89:XFD89,"&gt;"&amp;0)=0,,HLOOKUP(COUNTIF(I89:XFD89,"&gt;"&amp;0)-MIN($F$1+1,COUNTIF(I89:XFD89,"&gt;"&amp;0)),I$1:XFD89,A89+1,FALSE))</f>
        <v>154</v>
      </c>
      <c r="G89" s="8">
        <f t="shared" si="18"/>
        <v>1.1095728171731842</v>
      </c>
      <c r="H89" s="13" t="s">
        <v>125</v>
      </c>
      <c r="I89" s="9">
        <v>112</v>
      </c>
      <c r="J89" s="9">
        <v>127</v>
      </c>
      <c r="K89" s="9">
        <v>154</v>
      </c>
      <c r="L89" s="9">
        <v>172</v>
      </c>
      <c r="M89" s="9">
        <v>212</v>
      </c>
      <c r="N89" s="9">
        <v>235</v>
      </c>
      <c r="O89" s="9">
        <v>246</v>
      </c>
      <c r="P89" s="9">
        <v>259</v>
      </c>
    </row>
    <row r="90" spans="1:24" x14ac:dyDescent="0.25">
      <c r="A90" s="9">
        <f t="shared" si="8"/>
        <v>89</v>
      </c>
      <c r="B90" s="9">
        <f t="array" ref="B90">IF(C90="",0,IF(OR(C90=Country_Comparison!$S$10:$S$29),1,0))</f>
        <v>0</v>
      </c>
      <c r="C90" s="9" t="str">
        <f t="shared" si="19"/>
        <v>Kuwait</v>
      </c>
      <c r="D90" s="6">
        <f t="shared" si="20"/>
        <v>255</v>
      </c>
      <c r="E90" s="6">
        <f>IF(COUNTIF(I90:XFD90,"&gt;"&amp;0)=0,,HLOOKUP(COUNTIF(I90:XFD90,"&gt;"&amp;0)-1,I$1:XFD90,A90+1,FALSE))</f>
        <v>255</v>
      </c>
      <c r="F90" s="7">
        <f>IF(COUNTIF(I90:XFD90,"&gt;"&amp;0)=0,,HLOOKUP(COUNTIF(I90:XFD90,"&gt;"&amp;0)-MIN($F$1+1,COUNTIF(I90:XFD90,"&gt;"&amp;0)),I$1:XFD90,A90+1,FALSE))</f>
        <v>191</v>
      </c>
      <c r="G90" s="8">
        <f t="shared" si="18"/>
        <v>1.059500979716016</v>
      </c>
      <c r="H90" s="13" t="s">
        <v>74</v>
      </c>
      <c r="I90" s="9">
        <v>104</v>
      </c>
      <c r="J90" s="9">
        <v>112</v>
      </c>
      <c r="K90" s="9">
        <v>123</v>
      </c>
      <c r="L90" s="9">
        <v>130</v>
      </c>
      <c r="M90" s="9">
        <v>142</v>
      </c>
      <c r="N90" s="9">
        <v>148</v>
      </c>
      <c r="O90" s="9">
        <v>159</v>
      </c>
      <c r="P90" s="9">
        <v>176</v>
      </c>
      <c r="Q90" s="9">
        <v>188</v>
      </c>
      <c r="R90" s="9">
        <v>189</v>
      </c>
      <c r="S90" s="9">
        <v>191</v>
      </c>
      <c r="T90" s="9">
        <v>195</v>
      </c>
      <c r="U90" s="9">
        <v>208</v>
      </c>
      <c r="V90" s="9">
        <v>225</v>
      </c>
      <c r="W90" s="9">
        <v>235</v>
      </c>
      <c r="X90" s="9">
        <v>255</v>
      </c>
    </row>
    <row r="91" spans="1:24" x14ac:dyDescent="0.25">
      <c r="A91" s="9">
        <f t="shared" si="8"/>
        <v>90</v>
      </c>
      <c r="B91" s="9">
        <f t="array" ref="B91">IF(C91="",0,IF(OR(C91=Country_Comparison!$S$10:$S$29),1,0))</f>
        <v>0</v>
      </c>
      <c r="C91" s="9" t="str">
        <f t="shared" si="19"/>
        <v>San Marino</v>
      </c>
      <c r="D91" s="6">
        <f t="shared" si="20"/>
        <v>224</v>
      </c>
      <c r="E91" s="6">
        <f>IF(COUNTIF(I91:XFD91,"&gt;"&amp;0)=0,,HLOOKUP(COUNTIF(I91:XFD91,"&gt;"&amp;0)-1,I$1:XFD91,A91+1,FALSE))</f>
        <v>224</v>
      </c>
      <c r="F91" s="7">
        <f>IF(COUNTIF(I91:XFD91,"&gt;"&amp;0)=0,,HLOOKUP(COUNTIF(I91:XFD91,"&gt;"&amp;0)-MIN($F$1+1,COUNTIF(I91:XFD91,"&gt;"&amp;0)),I$1:XFD91,A91+1,FALSE))</f>
        <v>187</v>
      </c>
      <c r="G91" s="8">
        <f t="shared" si="18"/>
        <v>1.0367672795066825</v>
      </c>
      <c r="H91" s="13" t="s">
        <v>90</v>
      </c>
      <c r="I91" s="9">
        <v>101</v>
      </c>
      <c r="J91" s="9">
        <v>109</v>
      </c>
      <c r="K91" s="9">
        <v>109</v>
      </c>
      <c r="L91" s="9">
        <v>119</v>
      </c>
      <c r="M91" s="9">
        <v>119</v>
      </c>
      <c r="N91" s="9">
        <v>144</v>
      </c>
      <c r="O91" s="9">
        <v>144</v>
      </c>
      <c r="P91" s="9">
        <v>175</v>
      </c>
      <c r="Q91" s="9">
        <v>187</v>
      </c>
      <c r="R91" s="9">
        <v>187</v>
      </c>
      <c r="S91" s="9">
        <v>208</v>
      </c>
      <c r="T91" s="9">
        <v>208</v>
      </c>
      <c r="U91" s="9">
        <v>223</v>
      </c>
      <c r="V91" s="9">
        <v>224</v>
      </c>
      <c r="W91" s="9">
        <v>224</v>
      </c>
    </row>
    <row r="92" spans="1:24" x14ac:dyDescent="0.25">
      <c r="A92" s="9">
        <f t="shared" si="8"/>
        <v>91</v>
      </c>
      <c r="B92" s="9">
        <f t="array" ref="B92">IF(C92="",0,IF(OR(C92=Country_Comparison!$S$10:$S$29),1,0))</f>
        <v>0</v>
      </c>
      <c r="C92" s="9" t="str">
        <f t="shared" si="19"/>
        <v>Burkina Faso</v>
      </c>
      <c r="D92" s="6">
        <f t="shared" si="20"/>
        <v>222</v>
      </c>
      <c r="E92" s="6">
        <f>IF(COUNTIF(I92:XFD92,"&gt;"&amp;0)=0,,HLOOKUP(COUNTIF(I92:XFD92,"&gt;"&amp;0)-1,I$1:XFD92,A92+1,FALSE))</f>
        <v>222</v>
      </c>
      <c r="F92" s="7">
        <f>IF(COUNTIF(I92:XFD92,"&gt;"&amp;0)=0,,HLOOKUP(COUNTIF(I92:XFD92,"&gt;"&amp;0)-MIN($F$1+1,COUNTIF(I92:XFD92,"&gt;"&amp;0)),I$1:XFD92,A92+1,FALSE))</f>
        <v>114</v>
      </c>
      <c r="G92" s="8">
        <f t="shared" si="18"/>
        <v>1.1425879106559216</v>
      </c>
      <c r="H92" s="13" t="s">
        <v>279</v>
      </c>
      <c r="I92" s="9">
        <v>114</v>
      </c>
      <c r="J92" s="9">
        <v>146</v>
      </c>
      <c r="K92" s="9">
        <v>152</v>
      </c>
      <c r="L92" s="9">
        <v>180</v>
      </c>
      <c r="M92" s="9">
        <v>207</v>
      </c>
      <c r="N92" s="9">
        <v>222</v>
      </c>
    </row>
    <row r="93" spans="1:24" x14ac:dyDescent="0.25">
      <c r="A93" s="9">
        <f t="shared" si="8"/>
        <v>92</v>
      </c>
      <c r="B93" s="9">
        <f t="array" ref="B93">IF(C93="",0,IF(OR(C93=Country_Comparison!$S$10:$S$29),1,0))</f>
        <v>0</v>
      </c>
      <c r="C93" s="9" t="str">
        <f t="shared" si="19"/>
        <v>Cyprus</v>
      </c>
      <c r="D93" s="6">
        <f t="shared" si="20"/>
        <v>214</v>
      </c>
      <c r="E93" s="6">
        <f>IF(COUNTIF(I93:XFD93,"&gt;"&amp;0)=0,,HLOOKUP(COUNTIF(I93:XFD93,"&gt;"&amp;0)-1,I$1:XFD93,A93+1,FALSE))</f>
        <v>214</v>
      </c>
      <c r="F93" s="7">
        <f>IF(COUNTIF(I93:XFD93,"&gt;"&amp;0)=0,,HLOOKUP(COUNTIF(I93:XFD93,"&gt;"&amp;0)-MIN($F$1+1,COUNTIF(I93:XFD93,"&gt;"&amp;0)),I$1:XFD93,A93+1,FALSE))</f>
        <v>124</v>
      </c>
      <c r="G93" s="8">
        <f t="shared" si="18"/>
        <v>1.1153172458666791</v>
      </c>
      <c r="H93" s="13" t="s">
        <v>231</v>
      </c>
      <c r="I93" s="9">
        <v>116</v>
      </c>
      <c r="J93" s="9">
        <v>124</v>
      </c>
      <c r="K93" s="9">
        <v>132</v>
      </c>
      <c r="L93" s="9">
        <v>146</v>
      </c>
      <c r="M93" s="9">
        <v>162</v>
      </c>
      <c r="N93" s="9">
        <v>179</v>
      </c>
      <c r="O93" s="9">
        <v>214</v>
      </c>
    </row>
    <row r="94" spans="1:24" x14ac:dyDescent="0.25">
      <c r="A94" s="9">
        <f t="shared" si="8"/>
        <v>93</v>
      </c>
      <c r="B94" s="9">
        <f t="array" ref="B94">IF(C94="",0,IF(OR(C94=Country_Comparison!$S$10:$S$29),1,0))</f>
        <v>0</v>
      </c>
      <c r="C94" s="9" t="str">
        <f t="shared" si="19"/>
        <v>Albania</v>
      </c>
      <c r="D94" s="6">
        <f t="shared" si="20"/>
        <v>212</v>
      </c>
      <c r="E94" s="6">
        <f>IF(COUNTIF(I94:XFD94,"&gt;"&amp;0)=0,,HLOOKUP(COUNTIF(I94:XFD94,"&gt;"&amp;0)-1,I$1:XFD94,A94+1,FALSE))</f>
        <v>212</v>
      </c>
      <c r="F94" s="7">
        <f>IF(COUNTIF(I94:XFD94,"&gt;"&amp;0)=0,,HLOOKUP(COUNTIF(I94:XFD94,"&gt;"&amp;0)-MIN($F$1+1,COUNTIF(I94:XFD94,"&gt;"&amp;0)),I$1:XFD94,A94+1,FALSE))</f>
        <v>123</v>
      </c>
      <c r="G94" s="8">
        <f t="shared" si="18"/>
        <v>1.1150289669031013</v>
      </c>
      <c r="H94" s="13" t="s">
        <v>230</v>
      </c>
      <c r="I94" s="9">
        <v>104</v>
      </c>
      <c r="J94" s="9">
        <v>123</v>
      </c>
      <c r="K94" s="9">
        <v>146</v>
      </c>
      <c r="L94" s="9">
        <v>174</v>
      </c>
      <c r="M94" s="9">
        <v>186</v>
      </c>
      <c r="N94" s="9">
        <v>197</v>
      </c>
      <c r="O94" s="9">
        <v>212</v>
      </c>
    </row>
    <row r="95" spans="1:24" x14ac:dyDescent="0.25">
      <c r="A95" s="9">
        <f t="shared" si="8"/>
        <v>94</v>
      </c>
      <c r="B95" s="9">
        <f t="array" ref="B95">IF(C95="",0,IF(OR(C95=Country_Comparison!$S$10:$S$29),1,0))</f>
        <v>0</v>
      </c>
      <c r="C95" s="9" t="str">
        <f t="shared" si="19"/>
        <v>Azerbaijan</v>
      </c>
      <c r="D95" s="6">
        <f t="shared" si="20"/>
        <v>209</v>
      </c>
      <c r="E95" s="6">
        <f>IF(COUNTIF(I95:XFD95,"&gt;"&amp;0)=0,,HLOOKUP(COUNTIF(I95:XFD95,"&gt;"&amp;0)-1,I$1:XFD95,A95+1,FALSE))</f>
        <v>209</v>
      </c>
      <c r="F95" s="7">
        <f>IF(COUNTIF(I95:XFD95,"&gt;"&amp;0)=0,,HLOOKUP(COUNTIF(I95:XFD95,"&gt;"&amp;0)-MIN($F$1+1,COUNTIF(I95:XFD95,"&gt;"&amp;0)),I$1:XFD95,A95+1,FALSE))</f>
        <v>122</v>
      </c>
      <c r="G95" s="8">
        <f t="shared" si="18"/>
        <v>1.1965443998010261</v>
      </c>
      <c r="H95" s="13" t="s">
        <v>104</v>
      </c>
      <c r="I95" s="9">
        <v>122</v>
      </c>
      <c r="J95" s="9">
        <v>165</v>
      </c>
      <c r="K95" s="9">
        <v>182</v>
      </c>
      <c r="L95" s="9">
        <v>209</v>
      </c>
    </row>
    <row r="96" spans="1:24" x14ac:dyDescent="0.25">
      <c r="A96" s="9">
        <f t="shared" si="8"/>
        <v>95</v>
      </c>
      <c r="B96" s="9">
        <f t="array" ref="B96">IF(C96="",0,IF(OR(C96=Country_Comparison!$S$10:$S$29),1,0))</f>
        <v>0</v>
      </c>
      <c r="C96" s="9" t="str">
        <f t="shared" si="19"/>
        <v>Vietnam</v>
      </c>
      <c r="D96" s="6">
        <f t="shared" si="20"/>
        <v>188</v>
      </c>
      <c r="E96" s="6">
        <f>IF(COUNTIF(I96:XFD96,"&gt;"&amp;0)=0,,HLOOKUP(COUNTIF(I96:XFD96,"&gt;"&amp;0)-1,I$1:XFD96,A96+1,FALSE))</f>
        <v>188</v>
      </c>
      <c r="F96" s="7">
        <f>IF(COUNTIF(I96:XFD96,"&gt;"&amp;0)=0,,HLOOKUP(COUNTIF(I96:XFD96,"&gt;"&amp;0)-MIN($F$1+1,COUNTIF(I96:XFD96,"&gt;"&amp;0)),I$1:XFD96,A96+1,FALSE))</f>
        <v>134</v>
      </c>
      <c r="G96" s="8">
        <f t="shared" si="18"/>
        <v>1.0700661110314167</v>
      </c>
      <c r="H96" s="13" t="s">
        <v>343</v>
      </c>
      <c r="I96" s="9">
        <v>113</v>
      </c>
      <c r="J96" s="9">
        <v>123</v>
      </c>
      <c r="K96" s="9">
        <v>134</v>
      </c>
      <c r="L96" s="9">
        <v>141</v>
      </c>
      <c r="M96" s="9">
        <v>153</v>
      </c>
      <c r="N96" s="9">
        <v>163</v>
      </c>
      <c r="O96" s="9">
        <v>174</v>
      </c>
      <c r="P96" s="9">
        <v>188</v>
      </c>
    </row>
    <row r="97" spans="1:15" x14ac:dyDescent="0.25">
      <c r="A97" s="9">
        <f t="shared" si="8"/>
        <v>96</v>
      </c>
      <c r="B97" s="9">
        <f t="array" ref="B97">IF(C97="",0,IF(OR(C97=Country_Comparison!$S$10:$S$29),1,0))</f>
        <v>0</v>
      </c>
      <c r="C97" s="9" t="str">
        <f t="shared" si="19"/>
        <v>Oman</v>
      </c>
      <c r="D97" s="6">
        <f t="shared" si="20"/>
        <v>167</v>
      </c>
      <c r="E97" s="6">
        <f>IF(COUNTIF(I97:XFD97,"&gt;"&amp;0)=0,,HLOOKUP(COUNTIF(I97:XFD97,"&gt;"&amp;0)-1,I$1:XFD97,A97+1,FALSE))</f>
        <v>167</v>
      </c>
      <c r="F97" s="7">
        <f>IF(COUNTIF(I97:XFD97,"&gt;"&amp;0)=0,,HLOOKUP(COUNTIF(I97:XFD97,"&gt;"&amp;0)-MIN($F$1+1,COUNTIF(I97:XFD97,"&gt;"&amp;0)),I$1:XFD97,A97+1,FALSE))</f>
        <v>109</v>
      </c>
      <c r="G97" s="8">
        <f t="shared" si="18"/>
        <v>1.1528248366050158</v>
      </c>
      <c r="H97" s="13" t="s">
        <v>71</v>
      </c>
      <c r="I97" s="9">
        <v>109</v>
      </c>
      <c r="J97" s="9">
        <v>131</v>
      </c>
      <c r="K97" s="9">
        <v>152</v>
      </c>
      <c r="L97" s="9">
        <v>167</v>
      </c>
    </row>
    <row r="98" spans="1:15" x14ac:dyDescent="0.25">
      <c r="A98" s="9">
        <f t="shared" si="8"/>
        <v>97</v>
      </c>
      <c r="B98" s="9">
        <f t="array" ref="B98">IF(C98="",0,IF(OR(C98=Country_Comparison!$S$10:$S$29),1,0))</f>
        <v>0</v>
      </c>
      <c r="C98" s="9" t="str">
        <f t="shared" si="19"/>
        <v>Cote d'Ivoire</v>
      </c>
      <c r="D98" s="6">
        <f t="shared" si="20"/>
        <v>165</v>
      </c>
      <c r="E98" s="6">
        <f>IF(COUNTIF(I98:XFD98,"&gt;"&amp;0)=0,,HLOOKUP(COUNTIF(I98:XFD98,"&gt;"&amp;0)-1,I$1:XFD98,A98+1,FALSE))</f>
        <v>165</v>
      </c>
      <c r="F98" s="7">
        <f>IF(COUNTIF(I98:XFD98,"&gt;"&amp;0)=0,,HLOOKUP(COUNTIF(I98:XFD98,"&gt;"&amp;0)-MIN($F$1+1,COUNTIF(I98:XFD98,"&gt;"&amp;0)),I$1:XFD98,A98+1,FALSE))</f>
        <v>101</v>
      </c>
      <c r="G98" s="8">
        <f t="shared" ref="G98:G129" si="21">IF(COUNTIF(I98:XFD98,"&gt;"&amp;0)=0,,(E98/F98)^(1/MIN(COUNTIF(I98:XFD98,"&gt;"&amp;0)-1,$F$1)))</f>
        <v>1.2781484132668763</v>
      </c>
      <c r="H98" s="13" t="s">
        <v>352</v>
      </c>
      <c r="I98" s="9">
        <v>101</v>
      </c>
      <c r="J98" s="9">
        <v>101</v>
      </c>
      <c r="K98" s="9">
        <v>165</v>
      </c>
    </row>
    <row r="99" spans="1:15" x14ac:dyDescent="0.25">
      <c r="A99" s="9">
        <f t="shared" si="8"/>
        <v>98</v>
      </c>
      <c r="B99" s="9">
        <f t="array" ref="B99">IF(C99="",0,IF(OR(C99=Country_Comparison!$S$10:$S$29),1,0))</f>
        <v>0</v>
      </c>
      <c r="C99" s="9" t="str">
        <f t="shared" si="19"/>
        <v>Malta</v>
      </c>
      <c r="D99" s="6">
        <f t="shared" si="20"/>
        <v>151</v>
      </c>
      <c r="E99" s="6">
        <f>IF(COUNTIF(I99:XFD99,"&gt;"&amp;0)=0,,HLOOKUP(COUNTIF(I99:XFD99,"&gt;"&amp;0)-1,I$1:XFD99,A99+1,FALSE))</f>
        <v>151</v>
      </c>
      <c r="F99" s="7">
        <f>IF(COUNTIF(I99:XFD99,"&gt;"&amp;0)=0,,HLOOKUP(COUNTIF(I99:XFD99,"&gt;"&amp;0)-MIN($F$1+1,COUNTIF(I99:XFD99,"&gt;"&amp;0)),I$1:XFD99,A99+1,FALSE))</f>
        <v>110</v>
      </c>
      <c r="G99" s="8">
        <f t="shared" si="21"/>
        <v>1.0654102051998406</v>
      </c>
      <c r="H99" s="13" t="s">
        <v>177</v>
      </c>
      <c r="I99" s="9">
        <v>107</v>
      </c>
      <c r="J99" s="9">
        <v>110</v>
      </c>
      <c r="K99" s="9">
        <v>129</v>
      </c>
      <c r="L99" s="9">
        <v>134</v>
      </c>
      <c r="M99" s="9">
        <v>139</v>
      </c>
      <c r="N99" s="9">
        <v>149</v>
      </c>
      <c r="O99" s="9">
        <v>151</v>
      </c>
    </row>
    <row r="100" spans="1:15" x14ac:dyDescent="0.25">
      <c r="A100" s="9">
        <f t="shared" si="8"/>
        <v>99</v>
      </c>
      <c r="B100" s="9">
        <f t="array" ref="B100">IF(C100="",0,IF(OR(C100=Country_Comparison!$S$10:$S$29),1,0))</f>
        <v>0</v>
      </c>
      <c r="C100" s="9" t="str">
        <f t="shared" si="19"/>
        <v>Senegal</v>
      </c>
      <c r="D100" s="6">
        <f t="shared" si="20"/>
        <v>142</v>
      </c>
      <c r="E100" s="6">
        <f>IF(COUNTIF(I100:XFD100,"&gt;"&amp;0)=0,,HLOOKUP(COUNTIF(I100:XFD100,"&gt;"&amp;0)-1,I$1:XFD100,A100+1,FALSE))</f>
        <v>142</v>
      </c>
      <c r="F100" s="7">
        <f>IF(COUNTIF(I100:XFD100,"&gt;"&amp;0)=0,,HLOOKUP(COUNTIF(I100:XFD100,"&gt;"&amp;0)-MIN($F$1+1,COUNTIF(I100:XFD100,"&gt;"&amp;0)),I$1:XFD100,A100+1,FALSE))</f>
        <v>105</v>
      </c>
      <c r="G100" s="8">
        <f t="shared" si="21"/>
        <v>1.1058588089950943</v>
      </c>
      <c r="H100" s="13" t="s">
        <v>114</v>
      </c>
      <c r="I100" s="9">
        <v>105</v>
      </c>
      <c r="J100" s="9">
        <v>119</v>
      </c>
      <c r="K100" s="9">
        <v>130</v>
      </c>
      <c r="L100" s="9">
        <v>142</v>
      </c>
    </row>
    <row r="101" spans="1:15" x14ac:dyDescent="0.25">
      <c r="A101" s="9">
        <f t="shared" si="8"/>
        <v>100</v>
      </c>
      <c r="B101" s="9">
        <f t="array" ref="B101">IF(C101="",0,IF(OR(C101=Country_Comparison!$S$10:$S$29),1,0))</f>
        <v>0</v>
      </c>
      <c r="C101" s="9" t="str">
        <f t="shared" ref="C101:C132" si="22">IF(H101="","",H101)</f>
        <v>Cuba</v>
      </c>
      <c r="D101" s="6">
        <f t="shared" ref="D101:D132" si="23">MAX(I101:JF101)</f>
        <v>139</v>
      </c>
      <c r="E101" s="6">
        <f>IF(COUNTIF(I101:XFD101,"&gt;"&amp;0)=0,,HLOOKUP(COUNTIF(I101:XFD101,"&gt;"&amp;0)-1,I$1:XFD101,A101+1,FALSE))</f>
        <v>139</v>
      </c>
      <c r="F101" s="7">
        <f>IF(COUNTIF(I101:XFD101,"&gt;"&amp;0)=0,,HLOOKUP(COUNTIF(I101:XFD101,"&gt;"&amp;0)-MIN($F$1+1,COUNTIF(I101:XFD101,"&gt;"&amp;0)),I$1:XFD101,A101+1,FALSE))</f>
        <v>119</v>
      </c>
      <c r="G101" s="8">
        <f t="shared" si="21"/>
        <v>1.1680672268907564</v>
      </c>
      <c r="H101" s="13" t="s">
        <v>410</v>
      </c>
      <c r="I101" s="9">
        <v>119</v>
      </c>
      <c r="J101" s="9">
        <v>139</v>
      </c>
    </row>
    <row r="102" spans="1:15" x14ac:dyDescent="0.25">
      <c r="A102" s="9">
        <f t="shared" si="8"/>
        <v>101</v>
      </c>
      <c r="B102" s="9">
        <f t="array" ref="B102">IF(C102="",0,IF(OR(C102=Country_Comparison!$S$10:$S$29),1,0))</f>
        <v>0</v>
      </c>
      <c r="C102" s="9" t="str">
        <f t="shared" si="22"/>
        <v>Cameroon</v>
      </c>
      <c r="D102" s="6">
        <f t="shared" si="23"/>
        <v>139</v>
      </c>
      <c r="E102" s="6">
        <f>IF(COUNTIF(I102:XFD102,"&gt;"&amp;0)=0,,HLOOKUP(COUNTIF(I102:XFD102,"&gt;"&amp;0)-1,I$1:XFD102,A102+1,FALSE))</f>
        <v>139</v>
      </c>
      <c r="F102" s="7">
        <f>IF(COUNTIF(I102:XFD102,"&gt;"&amp;0)=0,,HLOOKUP(COUNTIF(I102:XFD102,"&gt;"&amp;0)-MIN($F$1+1,COUNTIF(I102:XFD102,"&gt;"&amp;0)),I$1:XFD102,A102+1,FALSE))</f>
        <v>139</v>
      </c>
      <c r="G102" s="8" t="e">
        <f t="shared" si="21"/>
        <v>#DIV/0!</v>
      </c>
      <c r="H102" s="13" t="s">
        <v>157</v>
      </c>
      <c r="I102" s="9">
        <v>139</v>
      </c>
    </row>
    <row r="103" spans="1:15" x14ac:dyDescent="0.25">
      <c r="A103" s="9">
        <f t="shared" si="8"/>
        <v>102</v>
      </c>
      <c r="B103" s="9">
        <f t="array" ref="B103">IF(C103="",0,IF(OR(C103=Country_Comparison!$S$10:$S$29),1,0))</f>
        <v>0</v>
      </c>
      <c r="C103" s="9" t="str">
        <f t="shared" si="22"/>
        <v>Brunei</v>
      </c>
      <c r="D103" s="6">
        <f t="shared" si="23"/>
        <v>126</v>
      </c>
      <c r="E103" s="6">
        <f>IF(COUNTIF(I103:XFD103,"&gt;"&amp;0)=0,,HLOOKUP(COUNTIF(I103:XFD103,"&gt;"&amp;0)-1,I$1:XFD103,A103+1,FALSE))</f>
        <v>126</v>
      </c>
      <c r="F103" s="7">
        <f>IF(COUNTIF(I103:XFD103,"&gt;"&amp;0)=0,,HLOOKUP(COUNTIF(I103:XFD103,"&gt;"&amp;0)-MIN($F$1+1,COUNTIF(I103:XFD103,"&gt;"&amp;0)),I$1:XFD103,A103+1,FALSE))</f>
        <v>104</v>
      </c>
      <c r="G103" s="8">
        <f t="shared" si="21"/>
        <v>1.0391241569508578</v>
      </c>
      <c r="H103" s="13" t="s">
        <v>233</v>
      </c>
      <c r="I103" s="9">
        <v>104</v>
      </c>
      <c r="J103" s="9">
        <v>109</v>
      </c>
      <c r="K103" s="9">
        <v>114</v>
      </c>
      <c r="L103" s="9">
        <v>115</v>
      </c>
      <c r="M103" s="9">
        <v>120</v>
      </c>
      <c r="N103" s="9">
        <v>126</v>
      </c>
    </row>
    <row r="104" spans="1:15" x14ac:dyDescent="0.25">
      <c r="A104" s="9">
        <f t="shared" si="8"/>
        <v>103</v>
      </c>
      <c r="B104" s="9">
        <f t="array" ref="B104">IF(C104="",0,IF(OR(C104=Country_Comparison!$S$10:$S$29),1,0))</f>
        <v>0</v>
      </c>
      <c r="C104" s="9" t="str">
        <f t="shared" si="22"/>
        <v>Afghanistan</v>
      </c>
      <c r="D104" s="6">
        <f t="shared" si="23"/>
        <v>120</v>
      </c>
      <c r="E104" s="6">
        <f>IF(COUNTIF(I104:XFD104,"&gt;"&amp;0)=0,,HLOOKUP(COUNTIF(I104:XFD104,"&gt;"&amp;0)-1,I$1:XFD104,A104+1,FALSE))</f>
        <v>120</v>
      </c>
      <c r="F104" s="7">
        <f>IF(COUNTIF(I104:XFD104,"&gt;"&amp;0)=0,,HLOOKUP(COUNTIF(I104:XFD104,"&gt;"&amp;0)-MIN($F$1+1,COUNTIF(I104:XFD104,"&gt;"&amp;0)),I$1:XFD104,A104+1,FALSE))</f>
        <v>110</v>
      </c>
      <c r="G104" s="8">
        <f t="shared" si="21"/>
        <v>1.044465935734187</v>
      </c>
      <c r="H104" s="13" t="s">
        <v>72</v>
      </c>
      <c r="I104" s="9">
        <v>110</v>
      </c>
      <c r="J104" s="9">
        <v>110</v>
      </c>
      <c r="K104" s="9">
        <v>120</v>
      </c>
    </row>
    <row r="105" spans="1:15" x14ac:dyDescent="0.25">
      <c r="A105" s="9">
        <f t="shared" si="8"/>
        <v>104</v>
      </c>
      <c r="B105" s="9">
        <f t="array" ref="B105">IF(C105="",0,IF(OR(C105=Country_Comparison!$S$10:$S$29),1,0))</f>
        <v>0</v>
      </c>
      <c r="C105" s="9" t="str">
        <f t="shared" si="22"/>
        <v>Sri Lanka</v>
      </c>
      <c r="D105" s="6">
        <f t="shared" si="23"/>
        <v>117</v>
      </c>
      <c r="E105" s="6">
        <f>IF(COUNTIF(I105:XFD105,"&gt;"&amp;0)=0,,HLOOKUP(COUNTIF(I105:XFD105,"&gt;"&amp;0)-1,I$1:XFD105,A105+1,FALSE))</f>
        <v>117</v>
      </c>
      <c r="F105" s="7">
        <f>IF(COUNTIF(I105:XFD105,"&gt;"&amp;0)=0,,HLOOKUP(COUNTIF(I105:XFD105,"&gt;"&amp;0)-MIN($F$1+1,COUNTIF(I105:XFD105,"&gt;"&amp;0)),I$1:XFD105,A105+1,FALSE))</f>
        <v>102</v>
      </c>
      <c r="G105" s="8">
        <f t="shared" si="21"/>
        <v>1.0278201746033075</v>
      </c>
      <c r="H105" s="13" t="s">
        <v>52</v>
      </c>
      <c r="I105" s="9">
        <v>102</v>
      </c>
      <c r="J105" s="9">
        <v>102</v>
      </c>
      <c r="K105" s="9">
        <v>106</v>
      </c>
      <c r="L105" s="9">
        <v>106</v>
      </c>
      <c r="M105" s="9">
        <v>113</v>
      </c>
      <c r="N105" s="9">
        <v>117</v>
      </c>
    </row>
    <row r="106" spans="1:15" x14ac:dyDescent="0.25">
      <c r="A106" s="9">
        <f t="shared" si="8"/>
        <v>105</v>
      </c>
      <c r="B106" s="9">
        <f t="array" ref="B106">IF(C106="",0,IF(OR(C106=Country_Comparison!$S$10:$S$29),1,0))</f>
        <v>0</v>
      </c>
      <c r="C106" s="9" t="str">
        <f t="shared" si="22"/>
        <v>Nigeria</v>
      </c>
      <c r="D106" s="6">
        <f t="shared" si="23"/>
        <v>111</v>
      </c>
      <c r="E106" s="6">
        <f>IF(COUNTIF(I106:XFD106,"&gt;"&amp;0)=0,,HLOOKUP(COUNTIF(I106:XFD106,"&gt;"&amp;0)-1,I$1:XFD106,A106+1,FALSE))</f>
        <v>111</v>
      </c>
      <c r="F106" s="7">
        <f>IF(COUNTIF(I106:XFD106,"&gt;"&amp;0)=0,,HLOOKUP(COUNTIF(I106:XFD106,"&gt;"&amp;0)-MIN($F$1+1,COUNTIF(I106:XFD106,"&gt;"&amp;0)),I$1:XFD106,A106+1,FALSE))</f>
        <v>111</v>
      </c>
      <c r="G106" s="8" t="e">
        <f t="shared" si="21"/>
        <v>#DIV/0!</v>
      </c>
      <c r="H106" s="13" t="s">
        <v>96</v>
      </c>
      <c r="I106" s="9">
        <v>111</v>
      </c>
    </row>
    <row r="107" spans="1:15" x14ac:dyDescent="0.25">
      <c r="A107" s="9">
        <f t="shared" si="8"/>
        <v>106</v>
      </c>
      <c r="B107" s="9">
        <f t="array" ref="B107">IF(C107="",0,IF(OR(C107=Country_Comparison!$S$10:$S$29),1,0))</f>
        <v>0</v>
      </c>
      <c r="C107" s="9" t="str">
        <f t="shared" si="22"/>
        <v>Honduras</v>
      </c>
      <c r="D107" s="6">
        <f t="shared" si="23"/>
        <v>110</v>
      </c>
      <c r="E107" s="6">
        <f>IF(COUNTIF(I107:XFD107,"&gt;"&amp;0)=0,,HLOOKUP(COUNTIF(I107:XFD107,"&gt;"&amp;0)-1,I$1:XFD107,A107+1,FALSE))</f>
        <v>110</v>
      </c>
      <c r="F107" s="7">
        <f>IF(COUNTIF(I107:XFD107,"&gt;"&amp;0)=0,,HLOOKUP(COUNTIF(I107:XFD107,"&gt;"&amp;0)-MIN($F$1+1,COUNTIF(I107:XFD107,"&gt;"&amp;0)),I$1:XFD107,A107+1,FALSE))</f>
        <v>110</v>
      </c>
      <c r="G107" s="8" t="e">
        <f t="shared" si="21"/>
        <v>#DIV/0!</v>
      </c>
      <c r="H107" s="13" t="s">
        <v>348</v>
      </c>
      <c r="I107" s="9">
        <v>110</v>
      </c>
    </row>
    <row r="108" spans="1:15" x14ac:dyDescent="0.25">
      <c r="A108" s="9">
        <f t="shared" si="8"/>
        <v>107</v>
      </c>
      <c r="B108" s="9">
        <f t="array" ref="B108">IF(C108="",0,IF(OR(C108=Country_Comparison!$S$10:$S$29),1,0))</f>
        <v>0</v>
      </c>
      <c r="C108" s="9" t="str">
        <f t="shared" si="22"/>
        <v>Cambodia</v>
      </c>
      <c r="D108" s="6">
        <f t="shared" si="23"/>
        <v>103</v>
      </c>
      <c r="E108" s="6">
        <f>IF(COUNTIF(I108:XFD108,"&gt;"&amp;0)=0,,HLOOKUP(COUNTIF(I108:XFD108,"&gt;"&amp;0)-1,I$1:XFD108,A108+1,FALSE))</f>
        <v>103</v>
      </c>
      <c r="F108" s="7">
        <f>IF(COUNTIF(I108:XFD108,"&gt;"&amp;0)=0,,HLOOKUP(COUNTIF(I108:XFD108,"&gt;"&amp;0)-MIN($F$1+1,COUNTIF(I108:XFD108,"&gt;"&amp;0)),I$1:XFD108,A108+1,FALSE))</f>
        <v>103</v>
      </c>
      <c r="G108" s="8" t="e">
        <f t="shared" si="21"/>
        <v>#DIV/0!</v>
      </c>
      <c r="H108" s="13" t="s">
        <v>51</v>
      </c>
      <c r="I108" s="9">
        <v>103</v>
      </c>
    </row>
    <row r="109" spans="1:15" x14ac:dyDescent="0.25">
      <c r="A109" s="9">
        <f t="shared" si="8"/>
        <v>108</v>
      </c>
      <c r="B109" s="9">
        <f t="array" ref="B109">IF(C109="",0,IF(OR(C109=Country_Comparison!$S$10:$S$29),1,0))</f>
        <v>0</v>
      </c>
      <c r="C109" s="9" t="str">
        <f t="shared" si="22"/>
        <v/>
      </c>
      <c r="D109" s="6">
        <f t="shared" si="23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21"/>
        <v>0</v>
      </c>
    </row>
    <row r="110" spans="1:15" x14ac:dyDescent="0.25">
      <c r="A110" s="9">
        <f t="shared" si="8"/>
        <v>109</v>
      </c>
      <c r="B110" s="9">
        <f t="array" ref="B110">IF(C110="",0,IF(OR(C110=Country_Comparison!$S$10:$S$29),1,0))</f>
        <v>0</v>
      </c>
      <c r="C110" s="9" t="str">
        <f t="shared" si="22"/>
        <v/>
      </c>
      <c r="D110" s="6">
        <f t="shared" si="23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21"/>
        <v>0</v>
      </c>
    </row>
    <row r="111" spans="1:15" x14ac:dyDescent="0.25">
      <c r="A111" s="9">
        <f t="shared" si="8"/>
        <v>110</v>
      </c>
      <c r="B111" s="9">
        <f t="array" ref="B111">IF(C111="",0,IF(OR(C111=Country_Comparison!$S$10:$S$29),1,0))</f>
        <v>0</v>
      </c>
      <c r="C111" s="9" t="str">
        <f t="shared" si="22"/>
        <v/>
      </c>
      <c r="D111" s="6">
        <f t="shared" si="23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21"/>
        <v>0</v>
      </c>
    </row>
    <row r="112" spans="1:15" x14ac:dyDescent="0.25">
      <c r="A112" s="9">
        <f t="shared" si="8"/>
        <v>111</v>
      </c>
      <c r="B112" s="9">
        <f t="array" ref="B112">IF(C112="",0,IF(OR(C112=Country_Comparison!$S$10:$S$29),1,0))</f>
        <v>0</v>
      </c>
      <c r="C112" s="9" t="str">
        <f t="shared" si="22"/>
        <v/>
      </c>
      <c r="D112" s="6">
        <f t="shared" si="23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21"/>
        <v>0</v>
      </c>
    </row>
    <row r="113" spans="1:7" x14ac:dyDescent="0.25">
      <c r="A113" s="9">
        <f t="shared" si="8"/>
        <v>112</v>
      </c>
      <c r="B113" s="9">
        <f t="array" ref="B113">IF(C113="",0,IF(OR(C113=Country_Comparison!$S$10:$S$29),1,0))</f>
        <v>0</v>
      </c>
      <c r="C113" s="9" t="str">
        <f t="shared" si="22"/>
        <v/>
      </c>
      <c r="D113" s="6">
        <f t="shared" si="23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21"/>
        <v>0</v>
      </c>
    </row>
    <row r="114" spans="1:7" x14ac:dyDescent="0.25">
      <c r="A114" s="9">
        <f t="shared" si="8"/>
        <v>113</v>
      </c>
      <c r="B114" s="9">
        <f t="array" ref="B114">IF(C114="",0,IF(OR(C114=Country_Comparison!$S$10:$S$29),1,0))</f>
        <v>0</v>
      </c>
      <c r="C114" s="9" t="str">
        <f t="shared" si="22"/>
        <v/>
      </c>
      <c r="D114" s="6">
        <f t="shared" si="23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1"/>
        <v>0</v>
      </c>
    </row>
    <row r="115" spans="1:7" x14ac:dyDescent="0.25">
      <c r="A115" s="9">
        <f t="shared" si="8"/>
        <v>114</v>
      </c>
      <c r="B115" s="9">
        <f t="array" ref="B115">IF(C115="",0,IF(OR(C115=Country_Comparison!$S$10:$S$29),1,0))</f>
        <v>0</v>
      </c>
      <c r="C115" s="9" t="str">
        <f t="shared" si="22"/>
        <v/>
      </c>
      <c r="D115" s="6">
        <f t="shared" si="23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1"/>
        <v>0</v>
      </c>
    </row>
    <row r="116" spans="1:7" x14ac:dyDescent="0.25">
      <c r="A116" s="9">
        <f t="shared" si="8"/>
        <v>115</v>
      </c>
      <c r="B116" s="9">
        <f t="array" ref="B116">IF(C116="",0,IF(OR(C116=Country_Comparison!$S$10:$S$29),1,0))</f>
        <v>0</v>
      </c>
      <c r="C116" s="9" t="str">
        <f t="shared" si="22"/>
        <v/>
      </c>
      <c r="D116" s="6">
        <f t="shared" si="23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1"/>
        <v>0</v>
      </c>
    </row>
    <row r="117" spans="1:7" x14ac:dyDescent="0.25">
      <c r="A117" s="9">
        <f t="shared" si="8"/>
        <v>116</v>
      </c>
      <c r="B117" s="9">
        <f t="array" ref="B117">IF(C117="",0,IF(OR(C117=Country_Comparison!$S$10:$S$29),1,0))</f>
        <v>0</v>
      </c>
      <c r="C117" s="9" t="str">
        <f t="shared" si="22"/>
        <v/>
      </c>
      <c r="D117" s="6">
        <f t="shared" si="23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1"/>
        <v>0</v>
      </c>
    </row>
    <row r="118" spans="1:7" x14ac:dyDescent="0.25">
      <c r="A118" s="9">
        <f t="shared" si="8"/>
        <v>117</v>
      </c>
      <c r="B118" s="9">
        <f t="array" ref="B118">IF(C118="",0,IF(OR(C118=Country_Comparison!$S$10:$S$29),1,0))</f>
        <v>0</v>
      </c>
      <c r="C118" s="9" t="str">
        <f t="shared" si="22"/>
        <v/>
      </c>
      <c r="D118" s="6">
        <f t="shared" si="23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1"/>
        <v>0</v>
      </c>
    </row>
    <row r="119" spans="1:7" x14ac:dyDescent="0.25">
      <c r="A119" s="9">
        <f t="shared" si="8"/>
        <v>118</v>
      </c>
      <c r="B119" s="9">
        <f t="array" ref="B119">IF(C119="",0,IF(OR(C119=Country_Comparison!$S$10:$S$29),1,0))</f>
        <v>0</v>
      </c>
      <c r="C119" s="9" t="str">
        <f t="shared" si="22"/>
        <v/>
      </c>
      <c r="D119" s="6">
        <f t="shared" si="23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1"/>
        <v>0</v>
      </c>
    </row>
    <row r="120" spans="1:7" x14ac:dyDescent="0.25">
      <c r="A120" s="9">
        <f t="shared" si="8"/>
        <v>119</v>
      </c>
      <c r="B120" s="9">
        <f t="array" ref="B120">IF(C120="",0,IF(OR(C120=Country_Comparison!$S$10:$S$29),1,0))</f>
        <v>0</v>
      </c>
      <c r="C120" s="9" t="str">
        <f t="shared" si="22"/>
        <v/>
      </c>
      <c r="D120" s="6">
        <f t="shared" si="23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1"/>
        <v>0</v>
      </c>
    </row>
    <row r="121" spans="1:7" x14ac:dyDescent="0.25">
      <c r="A121" s="9">
        <f t="shared" si="8"/>
        <v>120</v>
      </c>
      <c r="B121" s="9">
        <f t="array" ref="B121">IF(C121="",0,IF(OR(C121=Country_Comparison!$S$10:$S$29),1,0))</f>
        <v>0</v>
      </c>
      <c r="C121" s="9" t="str">
        <f t="shared" si="22"/>
        <v/>
      </c>
      <c r="D121" s="6">
        <f t="shared" si="23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1"/>
        <v>0</v>
      </c>
    </row>
    <row r="122" spans="1:7" x14ac:dyDescent="0.25">
      <c r="A122" s="9">
        <f t="shared" si="8"/>
        <v>121</v>
      </c>
      <c r="B122" s="9">
        <f t="array" ref="B122">IF(C122="",0,IF(OR(C122=Country_Comparison!$S$10:$S$29),1,0))</f>
        <v>0</v>
      </c>
      <c r="C122" s="9" t="str">
        <f t="shared" si="22"/>
        <v/>
      </c>
      <c r="D122" s="6">
        <f t="shared" si="23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1"/>
        <v>0</v>
      </c>
    </row>
    <row r="123" spans="1:7" x14ac:dyDescent="0.25">
      <c r="A123" s="9">
        <f t="shared" si="8"/>
        <v>122</v>
      </c>
      <c r="B123" s="9">
        <f t="array" ref="B123">IF(C123="",0,IF(OR(C123=Country_Comparison!$S$10:$S$29),1,0))</f>
        <v>0</v>
      </c>
      <c r="C123" s="9" t="str">
        <f t="shared" si="22"/>
        <v/>
      </c>
      <c r="D123" s="6">
        <f t="shared" si="23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1"/>
        <v>0</v>
      </c>
    </row>
    <row r="124" spans="1:7" x14ac:dyDescent="0.25">
      <c r="A124" s="9">
        <f t="shared" si="8"/>
        <v>123</v>
      </c>
      <c r="B124" s="9">
        <f t="array" ref="B124">IF(C124="",0,IF(OR(C124=Country_Comparison!$S$10:$S$29),1,0))</f>
        <v>0</v>
      </c>
      <c r="C124" s="9" t="str">
        <f t="shared" si="22"/>
        <v/>
      </c>
      <c r="D124" s="6">
        <f t="shared" si="23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1"/>
        <v>0</v>
      </c>
    </row>
    <row r="125" spans="1:7" x14ac:dyDescent="0.25">
      <c r="A125" s="9">
        <f t="shared" si="8"/>
        <v>124</v>
      </c>
      <c r="B125" s="9">
        <f t="array" ref="B125">IF(C125="",0,IF(OR(C125=Country_Comparison!$S$10:$S$29),1,0))</f>
        <v>0</v>
      </c>
      <c r="C125" s="9" t="str">
        <f t="shared" si="22"/>
        <v/>
      </c>
      <c r="D125" s="6">
        <f t="shared" si="23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1"/>
        <v>0</v>
      </c>
    </row>
    <row r="126" spans="1:7" x14ac:dyDescent="0.25">
      <c r="A126" s="9">
        <f t="shared" si="8"/>
        <v>125</v>
      </c>
      <c r="B126" s="9">
        <f t="array" ref="B126">IF(C126="",0,IF(OR(C126=Country_Comparison!$S$10:$S$29),1,0))</f>
        <v>0</v>
      </c>
      <c r="C126" s="9" t="str">
        <f t="shared" si="22"/>
        <v/>
      </c>
      <c r="D126" s="6">
        <f t="shared" si="23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1"/>
        <v>0</v>
      </c>
    </row>
    <row r="127" spans="1:7" x14ac:dyDescent="0.25">
      <c r="A127" s="9">
        <f t="shared" si="8"/>
        <v>126</v>
      </c>
      <c r="B127" s="9">
        <f t="array" ref="B127">IF(C127="",0,IF(OR(C127=Country_Comparison!$S$10:$S$29),1,0))</f>
        <v>0</v>
      </c>
      <c r="C127" s="9" t="str">
        <f t="shared" si="22"/>
        <v/>
      </c>
      <c r="D127" s="6">
        <f t="shared" si="23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1"/>
        <v>0</v>
      </c>
    </row>
    <row r="128" spans="1:7" x14ac:dyDescent="0.25">
      <c r="A128" s="9">
        <f t="shared" si="8"/>
        <v>127</v>
      </c>
      <c r="B128" s="9">
        <f t="array" ref="B128">IF(C128="",0,IF(OR(C128=Country_Comparison!$S$10:$S$29),1,0))</f>
        <v>0</v>
      </c>
      <c r="C128" s="9" t="str">
        <f t="shared" si="22"/>
        <v/>
      </c>
      <c r="D128" s="6">
        <f t="shared" si="23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1"/>
        <v>0</v>
      </c>
    </row>
    <row r="129" spans="1:7" x14ac:dyDescent="0.25">
      <c r="A129" s="9">
        <f t="shared" si="8"/>
        <v>128</v>
      </c>
      <c r="B129" s="9">
        <f t="array" ref="B129">IF(C129="",0,IF(OR(C129=Country_Comparison!$S$10:$S$29),1,0))</f>
        <v>0</v>
      </c>
      <c r="C129" s="9" t="str">
        <f t="shared" si="22"/>
        <v/>
      </c>
      <c r="D129" s="6">
        <f t="shared" si="23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1"/>
        <v>0</v>
      </c>
    </row>
    <row r="130" spans="1:7" x14ac:dyDescent="0.25">
      <c r="A130" s="9">
        <f t="shared" si="8"/>
        <v>129</v>
      </c>
      <c r="B130" s="9">
        <f t="array" ref="B130">IF(C130="",0,IF(OR(C130=Country_Comparison!$S$10:$S$29),1,0))</f>
        <v>0</v>
      </c>
      <c r="C130" s="9" t="str">
        <f t="shared" si="22"/>
        <v/>
      </c>
      <c r="D130" s="6">
        <f t="shared" si="23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4">IF(COUNTIF(I130:XFD130,"&gt;"&amp;0)=0,,(E130/F130)^(1/MIN(COUNTIF(I130:XFD130,"&gt;"&amp;0)-1,$F$1)))</f>
        <v>0</v>
      </c>
    </row>
    <row r="131" spans="1:7" x14ac:dyDescent="0.25">
      <c r="A131" s="9">
        <f t="shared" si="8"/>
        <v>130</v>
      </c>
      <c r="B131" s="9">
        <f t="array" ref="B131">IF(C131="",0,IF(OR(C131=Country_Comparison!$S$10:$S$29),1,0))</f>
        <v>0</v>
      </c>
      <c r="C131" s="9" t="str">
        <f t="shared" si="22"/>
        <v/>
      </c>
      <c r="D131" s="6">
        <f t="shared" si="23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4"/>
        <v>0</v>
      </c>
    </row>
    <row r="132" spans="1:7" x14ac:dyDescent="0.25">
      <c r="A132" s="9">
        <f t="shared" si="8"/>
        <v>131</v>
      </c>
      <c r="B132" s="9">
        <f t="array" ref="B132">IF(C132="",0,IF(OR(C132=Country_Comparison!$S$10:$S$29),1,0))</f>
        <v>0</v>
      </c>
      <c r="C132" s="9" t="str">
        <f t="shared" si="22"/>
        <v/>
      </c>
      <c r="D132" s="6">
        <f t="shared" si="23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4"/>
        <v>0</v>
      </c>
    </row>
    <row r="133" spans="1:7" x14ac:dyDescent="0.25">
      <c r="A133" s="9">
        <f t="shared" si="8"/>
        <v>132</v>
      </c>
      <c r="B133" s="9">
        <f t="array" ref="B133">IF(C133="",0,IF(OR(C133=Country_Comparison!$S$10:$S$29),1,0))</f>
        <v>0</v>
      </c>
      <c r="C133" s="9" t="str">
        <f t="shared" ref="C133:C164" si="25">IF(H133="","",H133)</f>
        <v/>
      </c>
      <c r="D133" s="6">
        <f t="shared" ref="D133:D164" si="26">MAX(I133:JF133)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4"/>
        <v>0</v>
      </c>
    </row>
    <row r="134" spans="1:7" x14ac:dyDescent="0.25">
      <c r="A134" s="9">
        <f t="shared" si="8"/>
        <v>133</v>
      </c>
      <c r="B134" s="9">
        <f t="array" ref="B134">IF(C134="",0,IF(OR(C134=Country_Comparison!$S$10:$S$29),1,0))</f>
        <v>0</v>
      </c>
      <c r="C134" s="9" t="str">
        <f t="shared" si="25"/>
        <v/>
      </c>
      <c r="D134" s="6">
        <f t="shared" si="26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4"/>
        <v>0</v>
      </c>
    </row>
    <row r="135" spans="1:7" x14ac:dyDescent="0.25">
      <c r="A135" s="9">
        <f t="shared" si="8"/>
        <v>134</v>
      </c>
      <c r="B135" s="9">
        <f t="array" ref="B135">IF(C135="",0,IF(OR(C135=Country_Comparison!$S$10:$S$29),1,0))</f>
        <v>0</v>
      </c>
      <c r="C135" s="9" t="str">
        <f t="shared" si="25"/>
        <v/>
      </c>
      <c r="D135" s="6">
        <f t="shared" si="26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4"/>
        <v>0</v>
      </c>
    </row>
    <row r="136" spans="1:7" x14ac:dyDescent="0.25">
      <c r="A136" s="9">
        <f t="shared" si="8"/>
        <v>135</v>
      </c>
      <c r="B136" s="9">
        <f t="array" ref="B136">IF(C136="",0,IF(OR(C136=Country_Comparison!$S$10:$S$29),1,0))</f>
        <v>0</v>
      </c>
      <c r="C136" s="9" t="str">
        <f t="shared" si="25"/>
        <v/>
      </c>
      <c r="D136" s="6">
        <f t="shared" si="26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4"/>
        <v>0</v>
      </c>
    </row>
    <row r="137" spans="1:7" x14ac:dyDescent="0.25">
      <c r="A137" s="9">
        <f t="shared" si="8"/>
        <v>136</v>
      </c>
      <c r="B137" s="9">
        <f t="array" ref="B137">IF(C137="",0,IF(OR(C137=Country_Comparison!$S$10:$S$29),1,0))</f>
        <v>0</v>
      </c>
      <c r="C137" s="9" t="str">
        <f t="shared" si="25"/>
        <v/>
      </c>
      <c r="D137" s="6">
        <f t="shared" si="26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4"/>
        <v>0</v>
      </c>
    </row>
    <row r="138" spans="1:7" x14ac:dyDescent="0.25">
      <c r="A138" s="9">
        <f t="shared" si="8"/>
        <v>137</v>
      </c>
      <c r="B138" s="9">
        <f t="array" ref="B138">IF(C138="",0,IF(OR(C138=Country_Comparison!$S$10:$S$29),1,0))</f>
        <v>0</v>
      </c>
      <c r="C138" s="9" t="str">
        <f t="shared" si="25"/>
        <v/>
      </c>
      <c r="D138" s="6">
        <f t="shared" si="26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4"/>
        <v>0</v>
      </c>
    </row>
    <row r="139" spans="1:7" x14ac:dyDescent="0.25">
      <c r="A139" s="9">
        <f t="shared" si="8"/>
        <v>138</v>
      </c>
      <c r="B139" s="9">
        <f t="array" ref="B139">IF(C139="",0,IF(OR(C139=Country_Comparison!$S$10:$S$29),1,0))</f>
        <v>0</v>
      </c>
      <c r="C139" s="9" t="str">
        <f t="shared" si="25"/>
        <v/>
      </c>
      <c r="D139" s="6">
        <f t="shared" si="26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4"/>
        <v>0</v>
      </c>
    </row>
    <row r="140" spans="1:7" x14ac:dyDescent="0.25">
      <c r="A140" s="9">
        <f t="shared" si="8"/>
        <v>139</v>
      </c>
      <c r="B140" s="9">
        <f t="array" ref="B140">IF(C140="",0,IF(OR(C140=Country_Comparison!$S$10:$S$29),1,0))</f>
        <v>0</v>
      </c>
      <c r="C140" s="9" t="str">
        <f t="shared" si="25"/>
        <v/>
      </c>
      <c r="D140" s="6">
        <f t="shared" si="26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4"/>
        <v>0</v>
      </c>
    </row>
    <row r="141" spans="1:7" x14ac:dyDescent="0.25">
      <c r="A141" s="9">
        <f t="shared" si="8"/>
        <v>140</v>
      </c>
      <c r="B141" s="9">
        <f t="array" ref="B141">IF(C141="",0,IF(OR(C141=Country_Comparison!$S$10:$S$29),1,0))</f>
        <v>0</v>
      </c>
      <c r="C141" s="9" t="str">
        <f t="shared" si="25"/>
        <v/>
      </c>
      <c r="D141" s="6">
        <f t="shared" si="26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4"/>
        <v>0</v>
      </c>
    </row>
    <row r="142" spans="1:7" x14ac:dyDescent="0.25">
      <c r="A142" s="9">
        <f t="shared" si="8"/>
        <v>141</v>
      </c>
      <c r="B142" s="9">
        <f t="array" ref="B142">IF(C142="",0,IF(OR(C142=Country_Comparison!$S$10:$S$29),1,0))</f>
        <v>0</v>
      </c>
      <c r="C142" s="9" t="str">
        <f t="shared" si="25"/>
        <v/>
      </c>
      <c r="D142" s="6">
        <f t="shared" si="26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4"/>
        <v>0</v>
      </c>
    </row>
    <row r="143" spans="1:7" x14ac:dyDescent="0.25">
      <c r="A143" s="9">
        <f t="shared" si="8"/>
        <v>142</v>
      </c>
      <c r="B143" s="9">
        <f t="array" ref="B143">IF(C143="",0,IF(OR(C143=Country_Comparison!$S$10:$S$29),1,0))</f>
        <v>0</v>
      </c>
      <c r="C143" s="9" t="str">
        <f t="shared" si="25"/>
        <v/>
      </c>
      <c r="D143" s="6">
        <f t="shared" si="26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4"/>
        <v>0</v>
      </c>
    </row>
    <row r="144" spans="1:7" x14ac:dyDescent="0.25">
      <c r="A144" s="9">
        <f t="shared" si="8"/>
        <v>143</v>
      </c>
      <c r="B144" s="9">
        <f t="array" ref="B144">IF(C144="",0,IF(OR(C144=Country_Comparison!$S$10:$S$29),1,0))</f>
        <v>0</v>
      </c>
      <c r="C144" s="9" t="str">
        <f t="shared" si="25"/>
        <v/>
      </c>
      <c r="D144" s="6">
        <f t="shared" si="26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4"/>
        <v>0</v>
      </c>
    </row>
    <row r="145" spans="1:7" x14ac:dyDescent="0.25">
      <c r="A145" s="9">
        <f t="shared" si="8"/>
        <v>144</v>
      </c>
      <c r="B145" s="9">
        <f t="array" ref="B145">IF(C145="",0,IF(OR(C145=Country_Comparison!$S$10:$S$29),1,0))</f>
        <v>0</v>
      </c>
      <c r="C145" s="9" t="str">
        <f t="shared" si="25"/>
        <v/>
      </c>
      <c r="D145" s="6">
        <f t="shared" si="26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4"/>
        <v>0</v>
      </c>
    </row>
    <row r="146" spans="1:7" x14ac:dyDescent="0.25">
      <c r="A146" s="9">
        <f t="shared" si="8"/>
        <v>145</v>
      </c>
      <c r="B146" s="9">
        <f t="array" ref="B146">IF(C146="",0,IF(OR(C146=Country_Comparison!$S$10:$S$29),1,0))</f>
        <v>0</v>
      </c>
      <c r="C146" s="9" t="str">
        <f t="shared" si="25"/>
        <v/>
      </c>
      <c r="D146" s="6">
        <f t="shared" si="26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4"/>
        <v>0</v>
      </c>
    </row>
    <row r="147" spans="1:7" x14ac:dyDescent="0.25">
      <c r="A147" s="9">
        <f t="shared" si="8"/>
        <v>146</v>
      </c>
      <c r="B147" s="9">
        <f t="array" ref="B147">IF(C147="",0,IF(OR(C147=Country_Comparison!$S$10:$S$29),1,0))</f>
        <v>0</v>
      </c>
      <c r="C147" s="9" t="str">
        <f t="shared" si="25"/>
        <v/>
      </c>
      <c r="D147" s="6">
        <f t="shared" si="26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4"/>
        <v>0</v>
      </c>
    </row>
    <row r="148" spans="1:7" x14ac:dyDescent="0.25">
      <c r="A148" s="9">
        <f t="shared" si="8"/>
        <v>147</v>
      </c>
      <c r="B148" s="9">
        <f t="array" ref="B148">IF(C148="",0,IF(OR(C148=Country_Comparison!$S$10:$S$29),1,0))</f>
        <v>0</v>
      </c>
      <c r="C148" s="9" t="str">
        <f t="shared" si="25"/>
        <v/>
      </c>
      <c r="D148" s="6">
        <f t="shared" si="26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4"/>
        <v>0</v>
      </c>
    </row>
    <row r="149" spans="1:7" x14ac:dyDescent="0.25">
      <c r="A149" s="9">
        <f t="shared" si="8"/>
        <v>148</v>
      </c>
      <c r="B149" s="9">
        <f t="array" ref="B149">IF(C149="",0,IF(OR(C149=Country_Comparison!$S$10:$S$29),1,0))</f>
        <v>0</v>
      </c>
      <c r="C149" s="9" t="str">
        <f t="shared" si="25"/>
        <v/>
      </c>
      <c r="D149" s="6">
        <f t="shared" si="26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4"/>
        <v>0</v>
      </c>
    </row>
    <row r="150" spans="1:7" x14ac:dyDescent="0.25">
      <c r="A150" s="9">
        <f t="shared" si="8"/>
        <v>149</v>
      </c>
      <c r="B150" s="9">
        <f t="array" ref="B150">IF(C150="",0,IF(OR(C150=Country_Comparison!$S$10:$S$29),1,0))</f>
        <v>0</v>
      </c>
      <c r="C150" s="9" t="str">
        <f t="shared" si="25"/>
        <v/>
      </c>
      <c r="D150" s="6">
        <f t="shared" si="26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4"/>
        <v>0</v>
      </c>
    </row>
    <row r="151" spans="1:7" x14ac:dyDescent="0.25">
      <c r="A151" s="9">
        <f t="shared" si="8"/>
        <v>150</v>
      </c>
      <c r="B151" s="9">
        <f t="array" ref="B151">IF(C151="",0,IF(OR(C151=Country_Comparison!$S$10:$S$29),1,0))</f>
        <v>0</v>
      </c>
      <c r="C151" s="9" t="str">
        <f t="shared" si="25"/>
        <v/>
      </c>
      <c r="D151" s="6">
        <f t="shared" si="26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4"/>
        <v>0</v>
      </c>
    </row>
    <row r="152" spans="1:7" x14ac:dyDescent="0.25">
      <c r="A152" s="9">
        <f t="shared" si="8"/>
        <v>151</v>
      </c>
      <c r="B152" s="9">
        <f t="array" ref="B152">IF(C152="",0,IF(OR(C152=Country_Comparison!$S$10:$S$29),1,0))</f>
        <v>0</v>
      </c>
      <c r="C152" s="9" t="str">
        <f t="shared" si="25"/>
        <v/>
      </c>
      <c r="D152" s="6">
        <f t="shared" si="26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4"/>
        <v>0</v>
      </c>
    </row>
    <row r="153" spans="1:7" x14ac:dyDescent="0.25">
      <c r="A153" s="9">
        <f t="shared" si="8"/>
        <v>152</v>
      </c>
      <c r="B153" s="9">
        <f t="array" ref="B153">IF(C153="",0,IF(OR(C153=Country_Comparison!$S$10:$S$29),1,0))</f>
        <v>0</v>
      </c>
      <c r="C153" s="9" t="str">
        <f t="shared" si="25"/>
        <v/>
      </c>
      <c r="D153" s="6">
        <f t="shared" si="26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4"/>
        <v>0</v>
      </c>
    </row>
    <row r="154" spans="1:7" x14ac:dyDescent="0.25">
      <c r="A154" s="9">
        <f t="shared" si="8"/>
        <v>153</v>
      </c>
      <c r="B154" s="9">
        <f t="array" ref="B154">IF(C154="",0,IF(OR(C154=Country_Comparison!$S$10:$S$29),1,0))</f>
        <v>0</v>
      </c>
      <c r="C154" s="9" t="str">
        <f t="shared" si="25"/>
        <v/>
      </c>
      <c r="D154" s="6">
        <f t="shared" si="26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4"/>
        <v>0</v>
      </c>
    </row>
    <row r="155" spans="1:7" x14ac:dyDescent="0.25">
      <c r="A155" s="9">
        <f t="shared" si="8"/>
        <v>154</v>
      </c>
      <c r="B155" s="9">
        <f t="array" ref="B155">IF(C155="",0,IF(OR(C155=Country_Comparison!$S$10:$S$29),1,0))</f>
        <v>0</v>
      </c>
      <c r="C155" s="9" t="str">
        <f t="shared" si="25"/>
        <v/>
      </c>
      <c r="D155" s="6">
        <f t="shared" si="26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4"/>
        <v>0</v>
      </c>
    </row>
    <row r="156" spans="1:7" x14ac:dyDescent="0.25">
      <c r="A156" s="9">
        <f t="shared" si="8"/>
        <v>155</v>
      </c>
      <c r="B156" s="9">
        <f t="array" ref="B156">IF(C156="",0,IF(OR(C156=Country_Comparison!$S$10:$S$29),1,0))</f>
        <v>0</v>
      </c>
      <c r="C156" s="9" t="str">
        <f t="shared" si="25"/>
        <v/>
      </c>
      <c r="D156" s="6">
        <f t="shared" si="26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4"/>
        <v>0</v>
      </c>
    </row>
    <row r="157" spans="1:7" x14ac:dyDescent="0.25">
      <c r="A157" s="9">
        <f t="shared" si="8"/>
        <v>156</v>
      </c>
      <c r="B157" s="9">
        <f t="array" ref="B157">IF(C157="",0,IF(OR(C157=Country_Comparison!$S$10:$S$29),1,0))</f>
        <v>0</v>
      </c>
      <c r="C157" s="9" t="str">
        <f t="shared" si="25"/>
        <v/>
      </c>
      <c r="D157" s="6">
        <f t="shared" si="26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4"/>
        <v>0</v>
      </c>
    </row>
    <row r="158" spans="1:7" x14ac:dyDescent="0.25">
      <c r="A158" s="9">
        <f t="shared" si="8"/>
        <v>157</v>
      </c>
      <c r="B158" s="9">
        <f t="array" ref="B158">IF(C158="",0,IF(OR(C158=Country_Comparison!$S$10:$S$29),1,0))</f>
        <v>0</v>
      </c>
      <c r="C158" s="9" t="str">
        <f t="shared" si="25"/>
        <v/>
      </c>
      <c r="D158" s="6">
        <f t="shared" si="26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4"/>
        <v>0</v>
      </c>
    </row>
    <row r="159" spans="1:7" x14ac:dyDescent="0.25">
      <c r="A159" s="9">
        <f t="shared" si="8"/>
        <v>158</v>
      </c>
      <c r="B159" s="9">
        <f t="array" ref="B159">IF(C159="",0,IF(OR(C159=Country_Comparison!$S$10:$S$29),1,0))</f>
        <v>0</v>
      </c>
      <c r="C159" s="9" t="str">
        <f t="shared" si="25"/>
        <v/>
      </c>
      <c r="D159" s="6">
        <f t="shared" si="26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4"/>
        <v>0</v>
      </c>
    </row>
    <row r="160" spans="1:7" x14ac:dyDescent="0.25">
      <c r="A160" s="9">
        <f t="shared" si="8"/>
        <v>159</v>
      </c>
      <c r="B160" s="9">
        <f t="array" ref="B160">IF(C160="",0,IF(OR(C160=Country_Comparison!$S$10:$S$29),1,0))</f>
        <v>0</v>
      </c>
      <c r="C160" s="9" t="str">
        <f t="shared" si="25"/>
        <v/>
      </c>
      <c r="D160" s="6">
        <f t="shared" si="26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4"/>
        <v>0</v>
      </c>
    </row>
    <row r="161" spans="1:7" x14ac:dyDescent="0.25">
      <c r="A161" s="9">
        <f t="shared" si="8"/>
        <v>160</v>
      </c>
      <c r="B161" s="9">
        <f t="array" ref="B161">IF(C161="",0,IF(OR(C161=Country_Comparison!$S$10:$S$29),1,0))</f>
        <v>0</v>
      </c>
      <c r="C161" s="9" t="str">
        <f t="shared" si="25"/>
        <v/>
      </c>
      <c r="D161" s="6">
        <f t="shared" si="26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4"/>
        <v>0</v>
      </c>
    </row>
    <row r="162" spans="1:7" x14ac:dyDescent="0.25">
      <c r="A162" s="9">
        <f t="shared" si="8"/>
        <v>161</v>
      </c>
      <c r="B162" s="9">
        <f t="array" ref="B162">IF(C162="",0,IF(OR(C162=Country_Comparison!$S$10:$S$29),1,0))</f>
        <v>0</v>
      </c>
      <c r="C162" s="9" t="str">
        <f t="shared" si="25"/>
        <v/>
      </c>
      <c r="D162" s="6">
        <f t="shared" si="26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27">IF(COUNTIF(I162:XFD162,"&gt;"&amp;0)=0,,(E162/F162)^(1/MIN(COUNTIF(I162:XFD162,"&gt;"&amp;0)-1,$F$1)))</f>
        <v>0</v>
      </c>
    </row>
    <row r="163" spans="1:7" x14ac:dyDescent="0.25">
      <c r="A163" s="9">
        <f t="shared" si="8"/>
        <v>162</v>
      </c>
      <c r="B163" s="9">
        <f t="array" ref="B163">IF(C163="",0,IF(OR(C163=Country_Comparison!$S$10:$S$29),1,0))</f>
        <v>0</v>
      </c>
      <c r="C163" s="9" t="str">
        <f t="shared" si="25"/>
        <v/>
      </c>
      <c r="D163" s="6">
        <f t="shared" si="26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7"/>
        <v>0</v>
      </c>
    </row>
    <row r="164" spans="1:7" x14ac:dyDescent="0.25">
      <c r="A164" s="9">
        <f t="shared" si="8"/>
        <v>163</v>
      </c>
      <c r="B164" s="9">
        <f t="array" ref="B164">IF(C164="",0,IF(OR(C164=Country_Comparison!$S$10:$S$29),1,0))</f>
        <v>0</v>
      </c>
      <c r="C164" s="9" t="str">
        <f t="shared" si="25"/>
        <v/>
      </c>
      <c r="D164" s="6">
        <f t="shared" si="26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7"/>
        <v>0</v>
      </c>
    </row>
    <row r="165" spans="1:7" x14ac:dyDescent="0.25">
      <c r="A165" s="9">
        <f t="shared" si="8"/>
        <v>164</v>
      </c>
      <c r="B165" s="9">
        <f t="array" ref="B165">IF(C165="",0,IF(OR(C165=Country_Comparison!$S$10:$S$29),1,0))</f>
        <v>0</v>
      </c>
      <c r="C165" s="9" t="str">
        <f t="shared" ref="C165:C200" si="28">IF(H165="","",H165)</f>
        <v/>
      </c>
      <c r="D165" s="6">
        <f t="shared" ref="D165:D200" si="29">MAX(I165:JF165)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7"/>
        <v>0</v>
      </c>
    </row>
    <row r="166" spans="1:7" x14ac:dyDescent="0.25">
      <c r="A166" s="9">
        <f t="shared" si="8"/>
        <v>165</v>
      </c>
      <c r="B166" s="9">
        <f t="array" ref="B166">IF(C166="",0,IF(OR(C166=Country_Comparison!$S$10:$S$29),1,0))</f>
        <v>0</v>
      </c>
      <c r="C166" s="9" t="str">
        <f t="shared" si="28"/>
        <v/>
      </c>
      <c r="D166" s="6">
        <f t="shared" si="29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7"/>
        <v>0</v>
      </c>
    </row>
    <row r="167" spans="1:7" x14ac:dyDescent="0.25">
      <c r="A167" s="9">
        <f t="shared" si="8"/>
        <v>166</v>
      </c>
      <c r="B167" s="9">
        <f t="array" ref="B167">IF(C167="",0,IF(OR(C167=Country_Comparison!$S$10:$S$29),1,0))</f>
        <v>0</v>
      </c>
      <c r="C167" s="9" t="str">
        <f t="shared" si="28"/>
        <v/>
      </c>
      <c r="D167" s="6">
        <f t="shared" si="29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7"/>
        <v>0</v>
      </c>
    </row>
    <row r="168" spans="1:7" x14ac:dyDescent="0.25">
      <c r="A168" s="9">
        <f t="shared" si="8"/>
        <v>167</v>
      </c>
      <c r="B168" s="9">
        <f t="array" ref="B168">IF(C168="",0,IF(OR(C168=Country_Comparison!$S$10:$S$29),1,0))</f>
        <v>0</v>
      </c>
      <c r="C168" s="9" t="str">
        <f t="shared" si="28"/>
        <v/>
      </c>
      <c r="D168" s="6">
        <f t="shared" si="29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7"/>
        <v>0</v>
      </c>
    </row>
    <row r="169" spans="1:7" x14ac:dyDescent="0.25">
      <c r="A169" s="9">
        <f t="shared" si="8"/>
        <v>168</v>
      </c>
      <c r="B169" s="9">
        <f t="array" ref="B169">IF(C169="",0,IF(OR(C169=Country_Comparison!$S$10:$S$29),1,0))</f>
        <v>0</v>
      </c>
      <c r="C169" s="9" t="str">
        <f t="shared" si="28"/>
        <v/>
      </c>
      <c r="D169" s="6">
        <f t="shared" si="29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7"/>
        <v>0</v>
      </c>
    </row>
    <row r="170" spans="1:7" x14ac:dyDescent="0.25">
      <c r="A170" s="9">
        <f t="shared" si="8"/>
        <v>169</v>
      </c>
      <c r="B170" s="9">
        <f t="array" ref="B170">IF(C170="",0,IF(OR(C170=Country_Comparison!$S$10:$S$29),1,0))</f>
        <v>0</v>
      </c>
      <c r="C170" s="9" t="str">
        <f t="shared" si="28"/>
        <v/>
      </c>
      <c r="D170" s="6">
        <f t="shared" si="29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7"/>
        <v>0</v>
      </c>
    </row>
    <row r="171" spans="1:7" x14ac:dyDescent="0.25">
      <c r="A171" s="9">
        <f t="shared" si="8"/>
        <v>170</v>
      </c>
      <c r="B171" s="9">
        <f t="array" ref="B171">IF(C171="",0,IF(OR(C171=Country_Comparison!$S$10:$S$29),1,0))</f>
        <v>0</v>
      </c>
      <c r="C171" s="9" t="str">
        <f t="shared" si="28"/>
        <v/>
      </c>
      <c r="D171" s="6">
        <f t="shared" si="29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7"/>
        <v>0</v>
      </c>
    </row>
    <row r="172" spans="1:7" x14ac:dyDescent="0.25">
      <c r="A172" s="9">
        <f t="shared" si="8"/>
        <v>171</v>
      </c>
      <c r="B172" s="9">
        <f t="array" ref="B172">IF(C172="",0,IF(OR(C172=Country_Comparison!$S$10:$S$29),1,0))</f>
        <v>0</v>
      </c>
      <c r="C172" s="9" t="str">
        <f t="shared" si="28"/>
        <v/>
      </c>
      <c r="D172" s="6">
        <f t="shared" si="29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7"/>
        <v>0</v>
      </c>
    </row>
    <row r="173" spans="1:7" x14ac:dyDescent="0.25">
      <c r="A173" s="9">
        <f t="shared" si="8"/>
        <v>172</v>
      </c>
      <c r="B173" s="9">
        <f t="array" ref="B173">IF(C173="",0,IF(OR(C173=Country_Comparison!$S$10:$S$29),1,0))</f>
        <v>0</v>
      </c>
      <c r="C173" s="9" t="str">
        <f t="shared" si="28"/>
        <v/>
      </c>
      <c r="D173" s="6">
        <f t="shared" si="29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7"/>
        <v>0</v>
      </c>
    </row>
    <row r="174" spans="1:7" x14ac:dyDescent="0.25">
      <c r="A174" s="9">
        <f t="shared" si="8"/>
        <v>173</v>
      </c>
      <c r="B174" s="9">
        <f t="array" ref="B174">IF(C174="",0,IF(OR(C174=Country_Comparison!$S$10:$S$29),1,0))</f>
        <v>0</v>
      </c>
      <c r="C174" s="9" t="str">
        <f t="shared" si="28"/>
        <v/>
      </c>
      <c r="D174" s="6">
        <f t="shared" si="29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7"/>
        <v>0</v>
      </c>
    </row>
    <row r="175" spans="1:7" x14ac:dyDescent="0.25">
      <c r="A175" s="9">
        <f t="shared" si="8"/>
        <v>174</v>
      </c>
      <c r="B175" s="9">
        <f t="array" ref="B175">IF(C175="",0,IF(OR(C175=Country_Comparison!$S$10:$S$29),1,0))</f>
        <v>0</v>
      </c>
      <c r="C175" s="9" t="str">
        <f t="shared" si="28"/>
        <v/>
      </c>
      <c r="D175" s="6">
        <f t="shared" si="29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7"/>
        <v>0</v>
      </c>
    </row>
    <row r="176" spans="1:7" x14ac:dyDescent="0.25">
      <c r="A176" s="9">
        <f t="shared" si="8"/>
        <v>175</v>
      </c>
      <c r="B176" s="9">
        <f t="array" ref="B176">IF(C176="",0,IF(OR(C176=Country_Comparison!$S$10:$S$29),1,0))</f>
        <v>0</v>
      </c>
      <c r="C176" s="9" t="str">
        <f t="shared" si="28"/>
        <v/>
      </c>
      <c r="D176" s="6">
        <f t="shared" si="29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7"/>
        <v>0</v>
      </c>
    </row>
    <row r="177" spans="1:7" x14ac:dyDescent="0.25">
      <c r="A177" s="9">
        <f t="shared" si="8"/>
        <v>176</v>
      </c>
      <c r="B177" s="9">
        <f t="array" ref="B177">IF(C177="",0,IF(OR(C177=Country_Comparison!$S$10:$S$29),1,0))</f>
        <v>0</v>
      </c>
      <c r="C177" s="9" t="str">
        <f t="shared" si="28"/>
        <v/>
      </c>
      <c r="D177" s="6">
        <f t="shared" si="29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7"/>
        <v>0</v>
      </c>
    </row>
    <row r="178" spans="1:7" x14ac:dyDescent="0.25">
      <c r="A178" s="9">
        <f t="shared" si="8"/>
        <v>177</v>
      </c>
      <c r="B178" s="9">
        <f t="array" ref="B178">IF(C178="",0,IF(OR(C178=Country_Comparison!$S$10:$S$29),1,0))</f>
        <v>0</v>
      </c>
      <c r="C178" s="9" t="str">
        <f t="shared" si="28"/>
        <v/>
      </c>
      <c r="D178" s="6">
        <f t="shared" si="29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7"/>
        <v>0</v>
      </c>
    </row>
    <row r="179" spans="1:7" x14ac:dyDescent="0.25">
      <c r="A179" s="9">
        <f t="shared" si="8"/>
        <v>178</v>
      </c>
      <c r="B179" s="9">
        <f t="array" ref="B179">IF(C179="",0,IF(OR(C179=Country_Comparison!$S$10:$S$29),1,0))</f>
        <v>0</v>
      </c>
      <c r="C179" s="9" t="str">
        <f t="shared" si="28"/>
        <v/>
      </c>
      <c r="D179" s="6">
        <f t="shared" si="29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7"/>
        <v>0</v>
      </c>
    </row>
    <row r="180" spans="1:7" x14ac:dyDescent="0.25">
      <c r="A180" s="9">
        <f t="shared" si="8"/>
        <v>179</v>
      </c>
      <c r="B180" s="9">
        <f t="array" ref="B180">IF(C180="",0,IF(OR(C180=Country_Comparison!$S$10:$S$29),1,0))</f>
        <v>0</v>
      </c>
      <c r="C180" s="9" t="str">
        <f t="shared" si="28"/>
        <v/>
      </c>
      <c r="D180" s="6">
        <f t="shared" si="29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7"/>
        <v>0</v>
      </c>
    </row>
    <row r="181" spans="1:7" x14ac:dyDescent="0.25">
      <c r="A181" s="9">
        <f t="shared" si="8"/>
        <v>180</v>
      </c>
      <c r="B181" s="9">
        <f t="array" ref="B181">IF(C181="",0,IF(OR(C181=Country_Comparison!$S$10:$S$29),1,0))</f>
        <v>0</v>
      </c>
      <c r="C181" s="9" t="str">
        <f t="shared" si="28"/>
        <v/>
      </c>
      <c r="D181" s="6">
        <f t="shared" si="29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7"/>
        <v>0</v>
      </c>
    </row>
    <row r="182" spans="1:7" x14ac:dyDescent="0.25">
      <c r="A182" s="9">
        <f t="shared" si="8"/>
        <v>181</v>
      </c>
      <c r="B182" s="9">
        <f t="array" ref="B182">IF(C182="",0,IF(OR(C182=Country_Comparison!$S$10:$S$29),1,0))</f>
        <v>0</v>
      </c>
      <c r="C182" s="9" t="str">
        <f t="shared" si="28"/>
        <v/>
      </c>
      <c r="D182" s="6">
        <f t="shared" si="29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7"/>
        <v>0</v>
      </c>
    </row>
    <row r="183" spans="1:7" x14ac:dyDescent="0.25">
      <c r="A183" s="9">
        <f t="shared" si="8"/>
        <v>182</v>
      </c>
      <c r="B183" s="9">
        <f t="array" ref="B183">IF(C183="",0,IF(OR(C183=Country_Comparison!$S$10:$S$29),1,0))</f>
        <v>0</v>
      </c>
      <c r="C183" s="9" t="str">
        <f t="shared" si="28"/>
        <v/>
      </c>
      <c r="D183" s="6">
        <f t="shared" si="29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7"/>
        <v>0</v>
      </c>
    </row>
    <row r="184" spans="1:7" x14ac:dyDescent="0.25">
      <c r="A184" s="9">
        <f t="shared" si="8"/>
        <v>183</v>
      </c>
      <c r="B184" s="9">
        <f t="array" ref="B184">IF(C184="",0,IF(OR(C184=Country_Comparison!$S$10:$S$29),1,0))</f>
        <v>0</v>
      </c>
      <c r="C184" s="9" t="str">
        <f t="shared" si="28"/>
        <v/>
      </c>
      <c r="D184" s="6">
        <f t="shared" si="29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7"/>
        <v>0</v>
      </c>
    </row>
    <row r="185" spans="1:7" x14ac:dyDescent="0.25">
      <c r="A185" s="9">
        <f t="shared" si="8"/>
        <v>184</v>
      </c>
      <c r="B185" s="9">
        <f t="array" ref="B185">IF(C185="",0,IF(OR(C185=Country_Comparison!$S$10:$S$29),1,0))</f>
        <v>0</v>
      </c>
      <c r="C185" s="9" t="str">
        <f t="shared" si="28"/>
        <v/>
      </c>
      <c r="D185" s="6">
        <f t="shared" si="29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7"/>
        <v>0</v>
      </c>
    </row>
    <row r="186" spans="1:7" x14ac:dyDescent="0.25">
      <c r="A186" s="9">
        <f t="shared" si="8"/>
        <v>185</v>
      </c>
      <c r="B186" s="9">
        <f t="array" ref="B186">IF(C186="",0,IF(OR(C186=Country_Comparison!$S$10:$S$29),1,0))</f>
        <v>0</v>
      </c>
      <c r="C186" s="9" t="str">
        <f t="shared" si="28"/>
        <v/>
      </c>
      <c r="D186" s="6">
        <f t="shared" si="29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7"/>
        <v>0</v>
      </c>
    </row>
    <row r="187" spans="1:7" x14ac:dyDescent="0.25">
      <c r="A187" s="9">
        <f t="shared" si="8"/>
        <v>186</v>
      </c>
      <c r="B187" s="9">
        <f t="array" ref="B187">IF(C187="",0,IF(OR(C187=Country_Comparison!$S$10:$S$29),1,0))</f>
        <v>0</v>
      </c>
      <c r="C187" s="9" t="str">
        <f t="shared" si="28"/>
        <v/>
      </c>
      <c r="D187" s="6">
        <f t="shared" si="29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7"/>
        <v>0</v>
      </c>
    </row>
    <row r="188" spans="1:7" x14ac:dyDescent="0.25">
      <c r="A188" s="9">
        <f t="shared" si="8"/>
        <v>187</v>
      </c>
      <c r="B188" s="9">
        <f t="array" ref="B188">IF(C188="",0,IF(OR(C188=Country_Comparison!$S$10:$S$29),1,0))</f>
        <v>0</v>
      </c>
      <c r="C188" s="9" t="str">
        <f t="shared" si="28"/>
        <v/>
      </c>
      <c r="D188" s="6">
        <f t="shared" si="29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7"/>
        <v>0</v>
      </c>
    </row>
    <row r="189" spans="1:7" x14ac:dyDescent="0.25">
      <c r="A189" s="9">
        <f t="shared" si="8"/>
        <v>188</v>
      </c>
      <c r="B189" s="9">
        <f t="array" ref="B189">IF(C189="",0,IF(OR(C189=Country_Comparison!$S$10:$S$29),1,0))</f>
        <v>0</v>
      </c>
      <c r="C189" s="9" t="str">
        <f t="shared" si="28"/>
        <v/>
      </c>
      <c r="D189" s="6">
        <f t="shared" si="29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7"/>
        <v>0</v>
      </c>
    </row>
    <row r="190" spans="1:7" x14ac:dyDescent="0.25">
      <c r="A190" s="9">
        <f t="shared" si="8"/>
        <v>189</v>
      </c>
      <c r="B190" s="9">
        <f t="array" ref="B190">IF(C190="",0,IF(OR(C190=Country_Comparison!$S$10:$S$29),1,0))</f>
        <v>0</v>
      </c>
      <c r="C190" s="9" t="str">
        <f t="shared" si="28"/>
        <v/>
      </c>
      <c r="D190" s="6">
        <f t="shared" si="29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7"/>
        <v>0</v>
      </c>
    </row>
    <row r="191" spans="1:7" x14ac:dyDescent="0.25">
      <c r="A191" s="9">
        <f t="shared" si="8"/>
        <v>190</v>
      </c>
      <c r="B191" s="9">
        <f t="array" ref="B191">IF(C191="",0,IF(OR(C191=Country_Comparison!$S$10:$S$29),1,0))</f>
        <v>0</v>
      </c>
      <c r="C191" s="9" t="str">
        <f t="shared" si="28"/>
        <v/>
      </c>
      <c r="D191" s="6">
        <f t="shared" si="29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7"/>
        <v>0</v>
      </c>
    </row>
    <row r="192" spans="1:7" x14ac:dyDescent="0.25">
      <c r="A192" s="9">
        <f t="shared" si="8"/>
        <v>191</v>
      </c>
      <c r="B192" s="9">
        <f t="array" ref="B192">IF(C192="",0,IF(OR(C192=Country_Comparison!$S$10:$S$29),1,0))</f>
        <v>0</v>
      </c>
      <c r="C192" s="9" t="str">
        <f t="shared" si="28"/>
        <v/>
      </c>
      <c r="D192" s="6">
        <f t="shared" si="29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7"/>
        <v>0</v>
      </c>
    </row>
    <row r="193" spans="1:7" x14ac:dyDescent="0.25">
      <c r="A193" s="9">
        <f t="shared" si="8"/>
        <v>192</v>
      </c>
      <c r="B193" s="9">
        <f t="array" ref="B193">IF(C193="",0,IF(OR(C193=Country_Comparison!$S$10:$S$29),1,0))</f>
        <v>0</v>
      </c>
      <c r="C193" s="9" t="str">
        <f t="shared" si="28"/>
        <v/>
      </c>
      <c r="D193" s="6">
        <f t="shared" si="29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7"/>
        <v>0</v>
      </c>
    </row>
    <row r="194" spans="1:7" x14ac:dyDescent="0.25">
      <c r="A194" s="9">
        <f t="shared" si="8"/>
        <v>193</v>
      </c>
      <c r="B194" s="9">
        <f t="array" ref="B194">IF(C194="",0,IF(OR(C194=Country_Comparison!$S$10:$S$29),1,0))</f>
        <v>0</v>
      </c>
      <c r="C194" s="9" t="str">
        <f t="shared" si="28"/>
        <v/>
      </c>
      <c r="D194" s="6">
        <f t="shared" si="29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25" si="30">IF(COUNTIF(I194:XFD194,"&gt;"&amp;0)=0,,(E194/F194)^(1/MIN(COUNTIF(I194:XFD194,"&gt;"&amp;0)-1,$F$1)))</f>
        <v>0</v>
      </c>
    </row>
    <row r="195" spans="1:7" x14ac:dyDescent="0.25">
      <c r="A195" s="9">
        <f t="shared" si="8"/>
        <v>194</v>
      </c>
      <c r="B195" s="9">
        <f t="array" ref="B195">IF(C195="",0,IF(OR(C195=Country_Comparison!$S$10:$S$29),1,0))</f>
        <v>0</v>
      </c>
      <c r="C195" s="9" t="str">
        <f t="shared" si="28"/>
        <v/>
      </c>
      <c r="D195" s="6">
        <f t="shared" si="29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0"/>
        <v>0</v>
      </c>
    </row>
    <row r="196" spans="1:7" x14ac:dyDescent="0.25">
      <c r="A196" s="9">
        <f t="shared" si="8"/>
        <v>195</v>
      </c>
      <c r="B196" s="9">
        <f t="array" ref="B196">IF(C196="",0,IF(OR(C196=Country_Comparison!$S$10:$S$29),1,0))</f>
        <v>0</v>
      </c>
      <c r="C196" s="9" t="str">
        <f t="shared" si="28"/>
        <v/>
      </c>
      <c r="D196" s="6">
        <f t="shared" si="29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0"/>
        <v>0</v>
      </c>
    </row>
    <row r="197" spans="1:7" x14ac:dyDescent="0.25">
      <c r="A197" s="9">
        <f t="shared" si="8"/>
        <v>196</v>
      </c>
      <c r="B197" s="9">
        <f t="array" ref="B197">IF(C197="",0,IF(OR(C197=Country_Comparison!$S$10:$S$29),1,0))</f>
        <v>0</v>
      </c>
      <c r="C197" s="9" t="str">
        <f t="shared" si="28"/>
        <v/>
      </c>
      <c r="D197" s="6">
        <f t="shared" si="29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0"/>
        <v>0</v>
      </c>
    </row>
    <row r="198" spans="1:7" x14ac:dyDescent="0.25">
      <c r="A198" s="9">
        <f t="shared" si="8"/>
        <v>197</v>
      </c>
      <c r="B198" s="9">
        <f t="array" ref="B198">IF(C198="",0,IF(OR(C198=Country_Comparison!$S$10:$S$29),1,0))</f>
        <v>0</v>
      </c>
      <c r="C198" s="9" t="str">
        <f t="shared" si="28"/>
        <v/>
      </c>
      <c r="D198" s="6">
        <f t="shared" si="29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0"/>
        <v>0</v>
      </c>
    </row>
    <row r="199" spans="1:7" x14ac:dyDescent="0.25">
      <c r="A199" s="9">
        <f t="shared" si="8"/>
        <v>198</v>
      </c>
      <c r="B199" s="9">
        <f t="array" ref="B199">IF(C199="",0,IF(OR(C199=Country_Comparison!$S$10:$S$29),1,0))</f>
        <v>0</v>
      </c>
      <c r="C199" s="9" t="str">
        <f t="shared" si="28"/>
        <v/>
      </c>
      <c r="D199" s="6">
        <f t="shared" si="2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0"/>
        <v>0</v>
      </c>
    </row>
    <row r="200" spans="1:7" x14ac:dyDescent="0.25">
      <c r="A200" s="9">
        <f t="shared" si="8"/>
        <v>199</v>
      </c>
      <c r="B200" s="9">
        <f t="array" ref="B200">IF(C200="",0,IF(OR(C200=Country_Comparison!$S$10:$S$29),1,0))</f>
        <v>0</v>
      </c>
      <c r="C200" s="9" t="str">
        <f t="shared" si="28"/>
        <v/>
      </c>
      <c r="D200" s="6">
        <f t="shared" si="2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0"/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topLeftCell="AQ1"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 t="shared" ref="A2:A33" si="5">A1+1</f>
        <v>1</v>
      </c>
      <c r="B2" s="9">
        <v>1</v>
      </c>
      <c r="C2" s="9" t="str">
        <f>H2</f>
        <v>50% Daily Increase</v>
      </c>
      <c r="D2" s="6">
        <f>MAX(I2:CL2)</f>
        <v>9564322503.210743</v>
      </c>
      <c r="E2" s="6">
        <f>IF(COUNTIF(I2:XFD2,"&gt;"&amp;0)=0,,HLOOKUP(COUNTIF(I2:XFD2,"&gt;"&amp;0)-1,I$1:XFD2,A2+1,FALSE))</f>
        <v>9564322503.210743</v>
      </c>
      <c r="F2" s="7">
        <f>IF(COUNTIF(I2:XFD2,"&gt;"&amp;0)=0,,HLOOKUP(COUNTIF(I2:XFD2,"&gt;"&amp;0)-MIN($F$1+1,COUNTIF(I2:XFD2,"&gt;"&amp;0)),I$1:XFD2,A2+1,FALSE))</f>
        <v>1259499259.6820731</v>
      </c>
      <c r="G2" s="8">
        <f t="shared" ref="G2:G33" si="6">IF(COUNTIF(I2:XFD2,"&gt;"&amp;0)=0,,(E2/F2)^(1/MIN(COUNTIF(I2:XFD2,"&gt;"&amp;0)-1,$F$1)))</f>
        <v>1.5</v>
      </c>
      <c r="H2" s="15" t="s">
        <v>430</v>
      </c>
      <c r="I2" s="9">
        <v>10</v>
      </c>
      <c r="J2" s="10">
        <f t="shared" ref="J2:AO2" si="7">I2*1.5</f>
        <v>15</v>
      </c>
      <c r="K2" s="10">
        <f t="shared" si="7"/>
        <v>22.5</v>
      </c>
      <c r="L2" s="10">
        <f t="shared" si="7"/>
        <v>33.75</v>
      </c>
      <c r="M2" s="10">
        <f t="shared" si="7"/>
        <v>50.625</v>
      </c>
      <c r="N2" s="10">
        <f t="shared" si="7"/>
        <v>75.9375</v>
      </c>
      <c r="O2" s="10">
        <f t="shared" si="7"/>
        <v>113.90625</v>
      </c>
      <c r="P2" s="10">
        <f t="shared" si="7"/>
        <v>170.859375</v>
      </c>
      <c r="Q2" s="10">
        <f t="shared" si="7"/>
        <v>256.2890625</v>
      </c>
      <c r="R2" s="10">
        <f t="shared" si="7"/>
        <v>384.43359375</v>
      </c>
      <c r="S2" s="10">
        <f t="shared" si="7"/>
        <v>576.650390625</v>
      </c>
      <c r="T2" s="10">
        <f t="shared" si="7"/>
        <v>864.9755859375</v>
      </c>
      <c r="U2" s="10">
        <f t="shared" si="7"/>
        <v>1297.46337890625</v>
      </c>
      <c r="V2" s="10">
        <f t="shared" si="7"/>
        <v>1946.195068359375</v>
      </c>
      <c r="W2" s="10">
        <f t="shared" si="7"/>
        <v>2919.2926025390625</v>
      </c>
      <c r="X2" s="10">
        <f t="shared" si="7"/>
        <v>4378.9389038085938</v>
      </c>
      <c r="Y2" s="10">
        <f t="shared" si="7"/>
        <v>6568.4083557128906</v>
      </c>
      <c r="Z2" s="10">
        <f t="shared" si="7"/>
        <v>9852.6125335693359</v>
      </c>
      <c r="AA2" s="10">
        <f t="shared" si="7"/>
        <v>14778.918800354004</v>
      </c>
      <c r="AB2" s="10">
        <f t="shared" si="7"/>
        <v>22168.378200531006</v>
      </c>
      <c r="AC2" s="10">
        <f t="shared" si="7"/>
        <v>33252.567300796509</v>
      </c>
      <c r="AD2" s="10">
        <f t="shared" si="7"/>
        <v>49878.850951194763</v>
      </c>
      <c r="AE2" s="10">
        <f t="shared" si="7"/>
        <v>74818.276426792145</v>
      </c>
      <c r="AF2" s="10">
        <f t="shared" si="7"/>
        <v>112227.41464018822</v>
      </c>
      <c r="AG2" s="10">
        <f t="shared" si="7"/>
        <v>168341.12196028233</v>
      </c>
      <c r="AH2" s="10">
        <f t="shared" si="7"/>
        <v>252511.68294042349</v>
      </c>
      <c r="AI2" s="10">
        <f t="shared" si="7"/>
        <v>378767.52441063523</v>
      </c>
      <c r="AJ2" s="10">
        <f t="shared" si="7"/>
        <v>568151.28661595285</v>
      </c>
      <c r="AK2" s="10">
        <f t="shared" si="7"/>
        <v>852226.92992392927</v>
      </c>
      <c r="AL2" s="10">
        <f t="shared" si="7"/>
        <v>1278340.3948858939</v>
      </c>
      <c r="AM2" s="10">
        <f t="shared" si="7"/>
        <v>1917510.5923288409</v>
      </c>
      <c r="AN2" s="10">
        <f t="shared" si="7"/>
        <v>2876265.8884932613</v>
      </c>
      <c r="AO2" s="10">
        <f t="shared" si="7"/>
        <v>4314398.8327398915</v>
      </c>
      <c r="AP2" s="10">
        <f t="shared" ref="AP2:BH2" si="8">AO2*1.5</f>
        <v>6471598.2491098372</v>
      </c>
      <c r="AQ2" s="10">
        <f t="shared" si="8"/>
        <v>9707397.3736647554</v>
      </c>
      <c r="AR2" s="10">
        <f t="shared" si="8"/>
        <v>14561096.060497133</v>
      </c>
      <c r="AS2" s="10">
        <f t="shared" si="8"/>
        <v>21841644.090745699</v>
      </c>
      <c r="AT2" s="10">
        <f t="shared" si="8"/>
        <v>32762466.136118546</v>
      </c>
      <c r="AU2" s="10">
        <f t="shared" si="8"/>
        <v>49143699.204177819</v>
      </c>
      <c r="AV2" s="10">
        <f t="shared" si="8"/>
        <v>73715548.806266725</v>
      </c>
      <c r="AW2" s="10">
        <f t="shared" si="8"/>
        <v>110573323.20940009</v>
      </c>
      <c r="AX2" s="10">
        <f t="shared" si="8"/>
        <v>165859984.81410015</v>
      </c>
      <c r="AY2" s="10">
        <f t="shared" si="8"/>
        <v>248789977.22115022</v>
      </c>
      <c r="AZ2" s="10">
        <f t="shared" si="8"/>
        <v>373184965.83172536</v>
      </c>
      <c r="BA2" s="10">
        <f t="shared" si="8"/>
        <v>559777448.74758804</v>
      </c>
      <c r="BB2" s="10">
        <f t="shared" si="8"/>
        <v>839666173.121382</v>
      </c>
      <c r="BC2" s="10">
        <f t="shared" si="8"/>
        <v>1259499259.6820731</v>
      </c>
      <c r="BD2" s="10">
        <f t="shared" si="8"/>
        <v>1889248889.5231097</v>
      </c>
      <c r="BE2" s="10">
        <f t="shared" si="8"/>
        <v>2833873334.2846646</v>
      </c>
      <c r="BF2" s="10">
        <f t="shared" si="8"/>
        <v>4250810001.4269972</v>
      </c>
      <c r="BG2" s="10">
        <f t="shared" si="8"/>
        <v>6376215002.1404953</v>
      </c>
      <c r="BH2" s="10">
        <f t="shared" si="8"/>
        <v>9564322503.210743</v>
      </c>
    </row>
    <row r="3" spans="1:307" x14ac:dyDescent="0.25">
      <c r="A3" s="9">
        <f t="shared" si="5"/>
        <v>2</v>
      </c>
      <c r="B3" s="9">
        <v>1</v>
      </c>
      <c r="C3" s="9" t="str">
        <f>H3</f>
        <v>40% Daily Increase</v>
      </c>
      <c r="D3" s="6">
        <f>MAX(I3:CL3)</f>
        <v>283484827.35670036</v>
      </c>
      <c r="E3" s="6">
        <f>IF(COUNTIF(I3:XFD3,"&gt;"&amp;0)=0,,HLOOKUP(COUNTIF(I3:XFD3,"&gt;"&amp;0)-1,I$1:XFD3,A3+1,FALSE))</f>
        <v>283484827.35670036</v>
      </c>
      <c r="F3" s="7">
        <f>IF(COUNTIF(I3:XFD3,"&gt;"&amp;0)=0,,HLOOKUP(COUNTIF(I3:XFD3,"&gt;"&amp;0)-MIN($F$1+1,COUNTIF(I3:XFD3,"&gt;"&amp;0)),I$1:XFD3,A3+1,FALSE))</f>
        <v>52709590.378395244</v>
      </c>
      <c r="G3" s="8">
        <f t="shared" si="6"/>
        <v>1.4</v>
      </c>
      <c r="H3" s="15" t="s">
        <v>431</v>
      </c>
      <c r="I3" s="9">
        <v>10</v>
      </c>
      <c r="J3" s="10">
        <f t="shared" ref="J3:AO3" si="9">I3*1.4</f>
        <v>14</v>
      </c>
      <c r="K3" s="10">
        <f t="shared" si="9"/>
        <v>19.599999999999998</v>
      </c>
      <c r="L3" s="10">
        <f t="shared" si="9"/>
        <v>27.439999999999994</v>
      </c>
      <c r="M3" s="10">
        <f t="shared" si="9"/>
        <v>38.41599999999999</v>
      </c>
      <c r="N3" s="10">
        <f t="shared" si="9"/>
        <v>53.782399999999981</v>
      </c>
      <c r="O3" s="10">
        <f t="shared" si="9"/>
        <v>75.295359999999974</v>
      </c>
      <c r="P3" s="10">
        <f t="shared" si="9"/>
        <v>105.41350399999996</v>
      </c>
      <c r="Q3" s="10">
        <f t="shared" si="9"/>
        <v>147.57890559999993</v>
      </c>
      <c r="R3" s="10">
        <f t="shared" si="9"/>
        <v>206.6104678399999</v>
      </c>
      <c r="S3" s="10">
        <f t="shared" si="9"/>
        <v>289.25465497599981</v>
      </c>
      <c r="T3" s="10">
        <f t="shared" si="9"/>
        <v>404.9565169663997</v>
      </c>
      <c r="U3" s="10">
        <f t="shared" si="9"/>
        <v>566.93912375295952</v>
      </c>
      <c r="V3" s="10">
        <f t="shared" si="9"/>
        <v>793.71477325414332</v>
      </c>
      <c r="W3" s="10">
        <f t="shared" si="9"/>
        <v>1111.2006825558005</v>
      </c>
      <c r="X3" s="10">
        <f t="shared" si="9"/>
        <v>1555.6809555781206</v>
      </c>
      <c r="Y3" s="10">
        <f t="shared" si="9"/>
        <v>2177.9533378093688</v>
      </c>
      <c r="Z3" s="10">
        <f t="shared" si="9"/>
        <v>3049.1346729331162</v>
      </c>
      <c r="AA3" s="10">
        <f t="shared" si="9"/>
        <v>4268.7885421063629</v>
      </c>
      <c r="AB3" s="10">
        <f t="shared" si="9"/>
        <v>5976.3039589489081</v>
      </c>
      <c r="AC3" s="10">
        <f t="shared" si="9"/>
        <v>8366.8255425284715</v>
      </c>
      <c r="AD3" s="10">
        <f t="shared" si="9"/>
        <v>11713.555759539859</v>
      </c>
      <c r="AE3" s="10">
        <f t="shared" si="9"/>
        <v>16398.9780633558</v>
      </c>
      <c r="AF3" s="10">
        <f t="shared" si="9"/>
        <v>22958.56928869812</v>
      </c>
      <c r="AG3" s="10">
        <f t="shared" si="9"/>
        <v>32141.997004177367</v>
      </c>
      <c r="AH3" s="10">
        <f t="shared" si="9"/>
        <v>44998.795805848313</v>
      </c>
      <c r="AI3" s="10">
        <f t="shared" si="9"/>
        <v>62998.314128187631</v>
      </c>
      <c r="AJ3" s="10">
        <f t="shared" si="9"/>
        <v>88197.639779462683</v>
      </c>
      <c r="AK3" s="10">
        <f t="shared" si="9"/>
        <v>123476.69569124775</v>
      </c>
      <c r="AL3" s="10">
        <f t="shared" si="9"/>
        <v>172867.37396774683</v>
      </c>
      <c r="AM3" s="10">
        <f t="shared" si="9"/>
        <v>242014.32355484553</v>
      </c>
      <c r="AN3" s="10">
        <f t="shared" si="9"/>
        <v>338820.05297678371</v>
      </c>
      <c r="AO3" s="10">
        <f t="shared" si="9"/>
        <v>474348.07416749717</v>
      </c>
      <c r="AP3" s="10">
        <f t="shared" ref="AP3:BH3" si="10">AO3*1.4</f>
        <v>664087.30383449595</v>
      </c>
      <c r="AQ3" s="10">
        <f t="shared" si="10"/>
        <v>929722.22536829428</v>
      </c>
      <c r="AR3" s="10">
        <f t="shared" si="10"/>
        <v>1301611.1155156118</v>
      </c>
      <c r="AS3" s="10">
        <f t="shared" si="10"/>
        <v>1822255.5617218565</v>
      </c>
      <c r="AT3" s="10">
        <f t="shared" si="10"/>
        <v>2551157.786410599</v>
      </c>
      <c r="AU3" s="10">
        <f t="shared" si="10"/>
        <v>3571620.9009748385</v>
      </c>
      <c r="AV3" s="10">
        <f t="shared" si="10"/>
        <v>5000269.2613647738</v>
      </c>
      <c r="AW3" s="10">
        <f t="shared" si="10"/>
        <v>7000376.9659106834</v>
      </c>
      <c r="AX3" s="10">
        <f t="shared" si="10"/>
        <v>9800527.7522749566</v>
      </c>
      <c r="AY3" s="10">
        <f t="shared" si="10"/>
        <v>13720738.853184938</v>
      </c>
      <c r="AZ3" s="10">
        <f t="shared" si="10"/>
        <v>19209034.394458912</v>
      </c>
      <c r="BA3" s="10">
        <f t="shared" si="10"/>
        <v>26892648.152242474</v>
      </c>
      <c r="BB3" s="10">
        <f t="shared" si="10"/>
        <v>37649707.413139462</v>
      </c>
      <c r="BC3" s="10">
        <f t="shared" si="10"/>
        <v>52709590.378395244</v>
      </c>
      <c r="BD3" s="10">
        <f t="shared" si="10"/>
        <v>73793426.529753342</v>
      </c>
      <c r="BE3" s="10">
        <f t="shared" si="10"/>
        <v>103310797.14165467</v>
      </c>
      <c r="BF3" s="10">
        <f t="shared" si="10"/>
        <v>144635115.99831653</v>
      </c>
      <c r="BG3" s="10">
        <f t="shared" si="10"/>
        <v>202489162.39764312</v>
      </c>
      <c r="BH3" s="10">
        <f t="shared" si="10"/>
        <v>283484827.35670036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6473079.8987286668</v>
      </c>
      <c r="E4" s="6">
        <f>IF(COUNTIF(I4:XFD4,"&gt;"&amp;0)=0,,HLOOKUP(COUNTIF(I4:XFD4,"&gt;"&amp;0)-1,I$1:XFD4,A4+1,FALSE))</f>
        <v>6473079.8987286668</v>
      </c>
      <c r="F4" s="7">
        <f>IF(COUNTIF(I4:XFD4,"&gt;"&amp;0)=0,,HLOOKUP(COUNTIF(I4:XFD4,"&gt;"&amp;0)-MIN($F$1+1,COUNTIF(I4:XFD4,"&gt;"&amp;0)),I$1:XFD4,A4+1,FALSE))</f>
        <v>1743388.6172722527</v>
      </c>
      <c r="G4" s="8">
        <f t="shared" si="6"/>
        <v>1.3</v>
      </c>
      <c r="H4" s="15" t="s">
        <v>432</v>
      </c>
      <c r="I4" s="9">
        <v>10</v>
      </c>
      <c r="J4" s="10">
        <f t="shared" ref="J4:AO4" si="11">I4*1.3</f>
        <v>13</v>
      </c>
      <c r="K4" s="10">
        <f t="shared" si="11"/>
        <v>16.900000000000002</v>
      </c>
      <c r="L4" s="10">
        <f t="shared" si="11"/>
        <v>21.970000000000002</v>
      </c>
      <c r="M4" s="10">
        <f t="shared" si="11"/>
        <v>28.561000000000003</v>
      </c>
      <c r="N4" s="10">
        <f t="shared" si="11"/>
        <v>37.129300000000008</v>
      </c>
      <c r="O4" s="10">
        <f t="shared" si="11"/>
        <v>48.268090000000015</v>
      </c>
      <c r="P4" s="10">
        <f t="shared" si="11"/>
        <v>62.748517000000021</v>
      </c>
      <c r="Q4" s="10">
        <f t="shared" si="11"/>
        <v>81.573072100000033</v>
      </c>
      <c r="R4" s="10">
        <f t="shared" si="11"/>
        <v>106.04499373000004</v>
      </c>
      <c r="S4" s="10">
        <f t="shared" si="11"/>
        <v>137.85849184900007</v>
      </c>
      <c r="T4" s="10">
        <f t="shared" si="11"/>
        <v>179.21603940370011</v>
      </c>
      <c r="U4" s="10">
        <f t="shared" si="11"/>
        <v>232.98085122481015</v>
      </c>
      <c r="V4" s="10">
        <f t="shared" si="11"/>
        <v>302.87510659225319</v>
      </c>
      <c r="W4" s="10">
        <f t="shared" si="11"/>
        <v>393.73763856992917</v>
      </c>
      <c r="X4" s="10">
        <f t="shared" si="11"/>
        <v>511.85893014090794</v>
      </c>
      <c r="Y4" s="10">
        <f t="shared" si="11"/>
        <v>665.4166091831803</v>
      </c>
      <c r="Z4" s="10">
        <f t="shared" si="11"/>
        <v>865.04159193813439</v>
      </c>
      <c r="AA4" s="10">
        <f t="shared" si="11"/>
        <v>1124.5540695195748</v>
      </c>
      <c r="AB4" s="10">
        <f t="shared" si="11"/>
        <v>1461.9202903754474</v>
      </c>
      <c r="AC4" s="10">
        <f t="shared" si="11"/>
        <v>1900.4963774880816</v>
      </c>
      <c r="AD4" s="10">
        <f t="shared" si="11"/>
        <v>2470.645290734506</v>
      </c>
      <c r="AE4" s="10">
        <f t="shared" si="11"/>
        <v>3211.8388779548582</v>
      </c>
      <c r="AF4" s="10">
        <f t="shared" si="11"/>
        <v>4175.3905413413158</v>
      </c>
      <c r="AG4" s="10">
        <f t="shared" si="11"/>
        <v>5428.0077037437104</v>
      </c>
      <c r="AH4" s="10">
        <f t="shared" si="11"/>
        <v>7056.410014866824</v>
      </c>
      <c r="AI4" s="10">
        <f t="shared" si="11"/>
        <v>9173.3330193268721</v>
      </c>
      <c r="AJ4" s="10">
        <f t="shared" si="11"/>
        <v>11925.332925124934</v>
      </c>
      <c r="AK4" s="10">
        <f t="shared" si="11"/>
        <v>15502.932802662415</v>
      </c>
      <c r="AL4" s="10">
        <f t="shared" si="11"/>
        <v>20153.81264346114</v>
      </c>
      <c r="AM4" s="10">
        <f t="shared" si="11"/>
        <v>26199.956436499484</v>
      </c>
      <c r="AN4" s="10">
        <f t="shared" si="11"/>
        <v>34059.943367449334</v>
      </c>
      <c r="AO4" s="10">
        <f t="shared" si="11"/>
        <v>44277.926377684133</v>
      </c>
      <c r="AP4" s="10">
        <f t="shared" ref="AP4:BH4" si="12">AO4*1.3</f>
        <v>57561.304290989377</v>
      </c>
      <c r="AQ4" s="10">
        <f t="shared" si="12"/>
        <v>74829.695578286191</v>
      </c>
      <c r="AR4" s="10">
        <f t="shared" si="12"/>
        <v>97278.604251772049</v>
      </c>
      <c r="AS4" s="10">
        <f t="shared" si="12"/>
        <v>126462.18552730366</v>
      </c>
      <c r="AT4" s="10">
        <f t="shared" si="12"/>
        <v>164400.84118549476</v>
      </c>
      <c r="AU4" s="10">
        <f t="shared" si="12"/>
        <v>213721.0935411432</v>
      </c>
      <c r="AV4" s="10">
        <f t="shared" si="12"/>
        <v>277837.42160348617</v>
      </c>
      <c r="AW4" s="10">
        <f t="shared" si="12"/>
        <v>361188.64808453206</v>
      </c>
      <c r="AX4" s="10">
        <f t="shared" si="12"/>
        <v>469545.24250989169</v>
      </c>
      <c r="AY4" s="10">
        <f t="shared" si="12"/>
        <v>610408.81526285922</v>
      </c>
      <c r="AZ4" s="10">
        <f t="shared" si="12"/>
        <v>793531.45984171703</v>
      </c>
      <c r="BA4" s="10">
        <f t="shared" si="12"/>
        <v>1031590.8977942322</v>
      </c>
      <c r="BB4" s="10">
        <f t="shared" si="12"/>
        <v>1341068.167132502</v>
      </c>
      <c r="BC4" s="10">
        <f t="shared" si="12"/>
        <v>1743388.6172722527</v>
      </c>
      <c r="BD4" s="10">
        <f t="shared" si="12"/>
        <v>2266405.2024539285</v>
      </c>
      <c r="BE4" s="10">
        <f t="shared" si="12"/>
        <v>2946326.7631901074</v>
      </c>
      <c r="BF4" s="10">
        <f t="shared" si="12"/>
        <v>3830224.7921471396</v>
      </c>
      <c r="BG4" s="10">
        <f t="shared" si="12"/>
        <v>4979292.2297912817</v>
      </c>
      <c r="BH4" s="10">
        <f t="shared" si="12"/>
        <v>6473079.8987286668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 t="shared" ref="C5:C36" si="13">IF(H5="","",H5)</f>
        <v>Italy</v>
      </c>
      <c r="D5" s="6">
        <f t="shared" ref="D5:D36" si="14">MAX(I5:BD5)</f>
        <v>10779</v>
      </c>
      <c r="E5" s="6">
        <f>IF(COUNTIF(I5:XFD5,"&gt;"&amp;0)=0,,HLOOKUP(COUNTIF(I5:XFD5,"&gt;"&amp;0)-1,I$1:XFD5,A5+1,FALSE))</f>
        <v>10779</v>
      </c>
      <c r="F5" s="7">
        <f>IF(COUNTIF(I5:XFD5,"&gt;"&amp;0)=0,,HLOOKUP(COUNTIF(I5:XFD5,"&gt;"&amp;0)-MIN($F$1+1,COUNTIF(I5:XFD5,"&gt;"&amp;0)),I$1:XFD5,A5+1,FALSE))</f>
        <v>6820</v>
      </c>
      <c r="G5" s="8">
        <f t="shared" si="6"/>
        <v>1.0958694483794882</v>
      </c>
      <c r="H5" s="13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  <c r="AN5" s="9">
        <v>9134</v>
      </c>
      <c r="AO5" s="9">
        <v>10023</v>
      </c>
      <c r="AP5" s="9">
        <v>10779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 t="shared" si="13"/>
        <v>Spain</v>
      </c>
      <c r="D6" s="6">
        <f t="shared" si="14"/>
        <v>6803</v>
      </c>
      <c r="E6" s="6">
        <f>IF(COUNTIF(I6:XFD6,"&gt;"&amp;0)=0,,HLOOKUP(COUNTIF(I6:XFD6,"&gt;"&amp;0)-1,I$1:XFD6,A6+1,FALSE))</f>
        <v>6803</v>
      </c>
      <c r="F6" s="7">
        <f>IF(COUNTIF(I6:XFD6,"&gt;"&amp;0)=0,,HLOOKUP(COUNTIF(I6:XFD6,"&gt;"&amp;0)-MIN($F$1+1,COUNTIF(I6:XFD6,"&gt;"&amp;0)),I$1:XFD6,A6+1,FALSE))</f>
        <v>2808</v>
      </c>
      <c r="G6" s="8">
        <f t="shared" si="6"/>
        <v>1.1936051212383374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  <c r="AC6" s="9">
        <v>5138</v>
      </c>
      <c r="AD6" s="9">
        <v>5982</v>
      </c>
      <c r="AE6" s="9">
        <v>6803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13"/>
        <v>China</v>
      </c>
      <c r="D7" s="6">
        <f t="shared" si="14"/>
        <v>3123</v>
      </c>
      <c r="E7" s="6">
        <f>IF(COUNTIF(I7:XFD7,"&gt;"&amp;0)=0,,HLOOKUP(COUNTIF(I7:XFD7,"&gt;"&amp;0)-1,I$1:XFD7,A7+1,FALSE))</f>
        <v>3304</v>
      </c>
      <c r="F7" s="7">
        <f>IF(COUNTIF(I7:XFD7,"&gt;"&amp;0)=0,,HLOOKUP(COUNTIF(I7:XFD7,"&gt;"&amp;0)-MIN($F$1+1,COUNTIF(I7:XFD7,"&gt;"&amp;0)),I$1:XFD7,A7+1,FALSE))</f>
        <v>3281</v>
      </c>
      <c r="G7" s="8">
        <f t="shared" si="6"/>
        <v>1.0013980967632459</v>
      </c>
      <c r="H7" s="13" t="s">
        <v>337</v>
      </c>
      <c r="I7" s="9">
        <v>17</v>
      </c>
      <c r="J7" s="9">
        <v>18</v>
      </c>
      <c r="K7" s="9">
        <v>26</v>
      </c>
      <c r="L7" s="9">
        <v>42</v>
      </c>
      <c r="M7" s="9">
        <v>56</v>
      </c>
      <c r="N7" s="9">
        <v>82</v>
      </c>
      <c r="O7" s="9">
        <v>131</v>
      </c>
      <c r="P7" s="9">
        <v>133</v>
      </c>
      <c r="Q7" s="9">
        <v>171</v>
      </c>
      <c r="R7" s="9">
        <v>213</v>
      </c>
      <c r="S7" s="9">
        <v>259</v>
      </c>
      <c r="T7" s="9">
        <v>361</v>
      </c>
      <c r="U7" s="9">
        <v>425</v>
      </c>
      <c r="V7" s="9">
        <v>491</v>
      </c>
      <c r="W7" s="9">
        <v>563</v>
      </c>
      <c r="X7" s="9">
        <v>633</v>
      </c>
      <c r="Y7" s="9">
        <v>718</v>
      </c>
      <c r="Z7" s="9">
        <v>805</v>
      </c>
      <c r="AA7" s="9">
        <v>905</v>
      </c>
      <c r="AB7" s="9">
        <v>1012</v>
      </c>
      <c r="AC7" s="9">
        <v>1112</v>
      </c>
      <c r="AD7" s="9">
        <v>1117</v>
      </c>
      <c r="AE7" s="9">
        <v>1369</v>
      </c>
      <c r="AF7" s="9">
        <v>1521</v>
      </c>
      <c r="AG7" s="9">
        <v>1663</v>
      </c>
      <c r="AH7" s="9">
        <v>1766</v>
      </c>
      <c r="AI7" s="9">
        <v>1864</v>
      </c>
      <c r="AJ7" s="9">
        <v>2003</v>
      </c>
      <c r="AK7" s="9">
        <v>2116</v>
      </c>
      <c r="AL7" s="9">
        <v>2238</v>
      </c>
      <c r="AM7" s="9">
        <v>2238</v>
      </c>
      <c r="AN7" s="9">
        <v>2443</v>
      </c>
      <c r="AO7" s="9">
        <v>2445</v>
      </c>
      <c r="AP7" s="9">
        <v>2595</v>
      </c>
      <c r="AQ7" s="9">
        <v>2665</v>
      </c>
      <c r="AR7" s="9">
        <v>2717</v>
      </c>
      <c r="AS7" s="9">
        <v>2746</v>
      </c>
      <c r="AT7" s="9">
        <v>2790</v>
      </c>
      <c r="AU7" s="9">
        <v>2837</v>
      </c>
      <c r="AV7" s="9">
        <v>2872</v>
      </c>
      <c r="AW7" s="9">
        <v>2914</v>
      </c>
      <c r="AX7" s="9">
        <v>2947</v>
      </c>
      <c r="AY7" s="9">
        <v>2983</v>
      </c>
      <c r="AZ7" s="9">
        <v>3015</v>
      </c>
      <c r="BA7" s="9">
        <v>3044</v>
      </c>
      <c r="BB7" s="9">
        <v>3072</v>
      </c>
      <c r="BC7" s="9">
        <v>3100</v>
      </c>
      <c r="BD7" s="9">
        <v>3123</v>
      </c>
      <c r="BE7" s="9">
        <v>3139</v>
      </c>
      <c r="BF7" s="9">
        <v>3161</v>
      </c>
      <c r="BG7" s="9">
        <v>3172</v>
      </c>
      <c r="BH7" s="9">
        <v>3180</v>
      </c>
      <c r="BI7" s="9">
        <v>3193</v>
      </c>
      <c r="BJ7" s="9">
        <v>3203</v>
      </c>
      <c r="BK7" s="9">
        <v>3217</v>
      </c>
      <c r="BL7" s="9">
        <v>3230</v>
      </c>
      <c r="BM7" s="9">
        <v>3241</v>
      </c>
      <c r="BN7" s="9">
        <v>3249</v>
      </c>
      <c r="BO7" s="9">
        <v>3253</v>
      </c>
      <c r="BP7" s="9">
        <v>3259</v>
      </c>
      <c r="BQ7" s="9">
        <v>3274</v>
      </c>
      <c r="BR7" s="9">
        <v>3274</v>
      </c>
      <c r="BS7" s="9">
        <v>3281</v>
      </c>
      <c r="BT7" s="9">
        <v>3285</v>
      </c>
      <c r="BU7" s="9">
        <v>3291</v>
      </c>
      <c r="BV7" s="9">
        <v>3296</v>
      </c>
      <c r="BW7" s="9">
        <v>3299</v>
      </c>
      <c r="BX7" s="9">
        <v>3304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13"/>
        <v>France</v>
      </c>
      <c r="D8" s="6">
        <f t="shared" si="14"/>
        <v>2611</v>
      </c>
      <c r="E8" s="6">
        <f>IF(COUNTIF(I8:XFD8,"&gt;"&amp;0)=0,,HLOOKUP(COUNTIF(I8:XFD8,"&gt;"&amp;0)-1,I$1:XFD8,A8+1,FALSE))</f>
        <v>2611</v>
      </c>
      <c r="F8" s="7">
        <f>IF(COUNTIF(I8:XFD8,"&gt;"&amp;0)=0,,HLOOKUP(COUNTIF(I8:XFD8,"&gt;"&amp;0)-MIN($F$1+1,COUNTIF(I8:XFD8,"&gt;"&amp;0)),I$1:XFD8,A8+1,FALSE))</f>
        <v>1102</v>
      </c>
      <c r="G8" s="8">
        <f t="shared" si="6"/>
        <v>1.1882971498461545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  <c r="AD8" s="9">
        <v>1997</v>
      </c>
      <c r="AE8" s="9">
        <v>2317</v>
      </c>
      <c r="AF8" s="9">
        <v>2611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13"/>
        <v>US</v>
      </c>
      <c r="D9" s="6">
        <f t="shared" si="14"/>
        <v>2467</v>
      </c>
      <c r="E9" s="6">
        <f>IF(COUNTIF(I9:XFD9,"&gt;"&amp;0)=0,,HLOOKUP(COUNTIF(I9:XFD9,"&gt;"&amp;0)-1,I$1:XFD9,A9+1,FALSE))</f>
        <v>2467</v>
      </c>
      <c r="F9" s="7">
        <f>IF(COUNTIF(I9:XFD9,"&gt;"&amp;0)=0,,HLOOKUP(COUNTIF(I9:XFD9,"&gt;"&amp;0)-MIN($F$1+1,COUNTIF(I9:XFD9,"&gt;"&amp;0)),I$1:XFD9,A9+1,FALSE))</f>
        <v>706</v>
      </c>
      <c r="G9" s="8">
        <f t="shared" si="6"/>
        <v>1.2843189473795851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  <c r="AB9" s="9">
        <v>557</v>
      </c>
      <c r="AC9" s="9">
        <v>706</v>
      </c>
      <c r="AD9" s="9">
        <v>942</v>
      </c>
      <c r="AE9" s="9">
        <v>1209</v>
      </c>
      <c r="AF9" s="9">
        <v>1581</v>
      </c>
      <c r="AG9" s="9">
        <v>2026</v>
      </c>
      <c r="AH9" s="9">
        <v>2467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13"/>
        <v>United Kingdom</v>
      </c>
      <c r="D10" s="6">
        <f t="shared" si="14"/>
        <v>1231</v>
      </c>
      <c r="E10" s="6">
        <f>IF(COUNTIF(I10:XFD10,"&gt;"&amp;0)=0,,HLOOKUP(COUNTIF(I10:XFD10,"&gt;"&amp;0)-1,I$1:XFD10,A10+1,FALSE))</f>
        <v>1231</v>
      </c>
      <c r="F10" s="7">
        <f>IF(COUNTIF(I10:XFD10,"&gt;"&amp;0)=0,,HLOOKUP(COUNTIF(I10:XFD10,"&gt;"&amp;0)-MIN($F$1+1,COUNTIF(I10:XFD10,"&gt;"&amp;0)),I$1:XFD10,A10+1,FALSE))</f>
        <v>423</v>
      </c>
      <c r="G10" s="8">
        <f t="shared" si="6"/>
        <v>1.2381792941564989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  <c r="W10" s="9">
        <v>466</v>
      </c>
      <c r="X10" s="9">
        <v>580</v>
      </c>
      <c r="Y10" s="9">
        <v>761</v>
      </c>
      <c r="Z10" s="9">
        <v>1021</v>
      </c>
      <c r="AA10" s="9">
        <v>1231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13"/>
        <v>Germany</v>
      </c>
      <c r="D11" s="6">
        <f t="shared" si="14"/>
        <v>533</v>
      </c>
      <c r="E11" s="6">
        <f>IF(COUNTIF(I11:XFD11,"&gt;"&amp;0)=0,,HLOOKUP(COUNTIF(I11:XFD11,"&gt;"&amp;0)-1,I$1:XFD11,A11+1,FALSE))</f>
        <v>533</v>
      </c>
      <c r="F11" s="7">
        <f>IF(COUNTIF(I11:XFD11,"&gt;"&amp;0)=0,,HLOOKUP(COUNTIF(I11:XFD11,"&gt;"&amp;0)-MIN($F$1+1,COUNTIF(I11:XFD11,"&gt;"&amp;0)),I$1:XFD11,A11+1,FALSE))</f>
        <v>157</v>
      </c>
      <c r="G11" s="8">
        <f t="shared" si="6"/>
        <v>1.276925357334211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  <c r="V11" s="9">
        <v>342</v>
      </c>
      <c r="W11" s="9">
        <v>433</v>
      </c>
      <c r="X11" s="9">
        <v>533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 t="shared" si="13"/>
        <v>Europe</v>
      </c>
      <c r="D12" s="6">
        <f t="shared" si="14"/>
        <v>24334</v>
      </c>
      <c r="E12" s="6">
        <f>IF(COUNTIF(I12:XFD12,"&gt;"&amp;0)=0,,HLOOKUP(COUNTIF(I12:XFD12,"&gt;"&amp;0)-1,I$1:XFD12,A12+1,FALSE))</f>
        <v>24334</v>
      </c>
      <c r="F12" s="7">
        <f>IF(COUNTIF(I12:XFD12,"&gt;"&amp;0)=0,,HLOOKUP(COUNTIF(I12:XFD12,"&gt;"&amp;0)-MIN($F$1+1,COUNTIF(I12:XFD12,"&gt;"&amp;0)),I$1:XFD12,A12+1,FALSE))</f>
        <v>12139</v>
      </c>
      <c r="G12" s="8">
        <f t="shared" si="6"/>
        <v>1.1492277877240942</v>
      </c>
      <c r="H12" s="13" t="s">
        <v>609</v>
      </c>
      <c r="I12" s="9">
        <v>8</v>
      </c>
      <c r="J12" s="9">
        <v>11</v>
      </c>
      <c r="K12" s="9">
        <v>14</v>
      </c>
      <c r="L12" s="9">
        <v>19</v>
      </c>
      <c r="M12" s="9">
        <v>23</v>
      </c>
      <c r="N12" s="9">
        <v>31</v>
      </c>
      <c r="O12" s="9">
        <v>36</v>
      </c>
      <c r="P12" s="9">
        <v>55</v>
      </c>
      <c r="Q12" s="9">
        <v>85</v>
      </c>
      <c r="R12" s="9">
        <v>114</v>
      </c>
      <c r="S12" s="9">
        <v>160</v>
      </c>
      <c r="T12" s="9">
        <v>216</v>
      </c>
      <c r="U12" s="9">
        <v>259</v>
      </c>
      <c r="V12" s="9">
        <v>411</v>
      </c>
      <c r="W12" s="9">
        <v>522</v>
      </c>
      <c r="X12" s="9">
        <v>716</v>
      </c>
      <c r="Y12" s="9">
        <v>959</v>
      </c>
      <c r="Z12" s="9">
        <v>1198</v>
      </c>
      <c r="AA12" s="9">
        <v>1534</v>
      </c>
      <c r="AB12" s="9">
        <v>1812</v>
      </c>
      <c r="AC12" s="9">
        <v>2344</v>
      </c>
      <c r="AD12" s="9">
        <v>2804</v>
      </c>
      <c r="AE12" s="9">
        <v>3433</v>
      </c>
      <c r="AF12" s="9">
        <v>4160</v>
      </c>
      <c r="AG12" s="9">
        <v>5006</v>
      </c>
      <c r="AH12" s="9">
        <v>6065</v>
      </c>
      <c r="AI12" s="9">
        <v>7499</v>
      </c>
      <c r="AJ12" s="9">
        <v>8839</v>
      </c>
      <c r="AK12" s="9">
        <v>10371</v>
      </c>
      <c r="AL12" s="9">
        <v>12139</v>
      </c>
      <c r="AM12" s="9">
        <v>14236</v>
      </c>
      <c r="AN12" s="9">
        <v>16470</v>
      </c>
      <c r="AO12" s="9">
        <v>19050</v>
      </c>
      <c r="AP12" s="9">
        <v>21776</v>
      </c>
      <c r="AQ12" s="9">
        <v>24334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13"/>
        <v>World</v>
      </c>
      <c r="D13" s="6">
        <f t="shared" si="14"/>
        <v>3982</v>
      </c>
      <c r="E13" s="6">
        <f>IF(COUNTIF(I13:XFD13,"&gt;"&amp;0)=0,,HLOOKUP(COUNTIF(I13:XFD13,"&gt;"&amp;0)-1,I$1:XFD13,A13+1,FALSE))</f>
        <v>33885</v>
      </c>
      <c r="F13" s="7">
        <f>IF(COUNTIF(I13:XFD13,"&gt;"&amp;0)=0,,HLOOKUP(COUNTIF(I13:XFD13,"&gt;"&amp;0)-MIN($F$1+1,COUNTIF(I13:XFD13,"&gt;"&amp;0)),I$1:XFD13,A13+1,FALSE))</f>
        <v>18605</v>
      </c>
      <c r="G13" s="8">
        <f t="shared" si="6"/>
        <v>1.1273935949121874</v>
      </c>
      <c r="H13" s="13" t="s">
        <v>606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1666</v>
      </c>
      <c r="AH13" s="9">
        <v>1770</v>
      </c>
      <c r="AI13" s="9">
        <v>1868</v>
      </c>
      <c r="AJ13" s="9">
        <v>2007</v>
      </c>
      <c r="AK13" s="9">
        <v>2122</v>
      </c>
      <c r="AL13" s="9">
        <v>2245</v>
      </c>
      <c r="AM13" s="9">
        <v>2249</v>
      </c>
      <c r="AN13" s="9">
        <v>2456</v>
      </c>
      <c r="AO13" s="9">
        <v>2466</v>
      </c>
      <c r="AP13" s="9">
        <v>2626</v>
      </c>
      <c r="AQ13" s="9">
        <v>2705</v>
      </c>
      <c r="AR13" s="9">
        <v>2766</v>
      </c>
      <c r="AS13" s="9">
        <v>2810</v>
      </c>
      <c r="AT13" s="9">
        <v>2866</v>
      </c>
      <c r="AU13" s="9">
        <v>2935</v>
      </c>
      <c r="AV13" s="9">
        <v>2990</v>
      </c>
      <c r="AW13" s="9">
        <v>3079</v>
      </c>
      <c r="AX13" s="9">
        <v>3154</v>
      </c>
      <c r="AY13" s="9">
        <v>3248</v>
      </c>
      <c r="AZ13" s="9">
        <v>3342</v>
      </c>
      <c r="BA13" s="9">
        <v>3454</v>
      </c>
      <c r="BB13" s="9">
        <v>3552</v>
      </c>
      <c r="BC13" s="9">
        <v>3796</v>
      </c>
      <c r="BD13" s="9">
        <v>3982</v>
      </c>
      <c r="BE13" s="9">
        <v>4256</v>
      </c>
      <c r="BF13" s="9">
        <v>4608</v>
      </c>
      <c r="BG13" s="9">
        <v>4948</v>
      </c>
      <c r="BH13" s="9">
        <v>5400</v>
      </c>
      <c r="BI13" s="9">
        <v>5812</v>
      </c>
      <c r="BJ13" s="9">
        <v>6483</v>
      </c>
      <c r="BK13" s="9">
        <v>7118</v>
      </c>
      <c r="BL13" s="9">
        <v>7938</v>
      </c>
      <c r="BM13" s="9">
        <v>8872</v>
      </c>
      <c r="BN13" s="9">
        <v>9987</v>
      </c>
      <c r="BO13" s="9">
        <v>11290</v>
      </c>
      <c r="BP13" s="9">
        <v>12961</v>
      </c>
      <c r="BQ13" s="9">
        <v>14638</v>
      </c>
      <c r="BR13" s="9">
        <v>16488</v>
      </c>
      <c r="BS13" s="9">
        <v>18605</v>
      </c>
      <c r="BT13" s="9">
        <v>21157</v>
      </c>
      <c r="BU13" s="9">
        <v>23944</v>
      </c>
      <c r="BV13" s="9">
        <v>27168</v>
      </c>
      <c r="BW13" s="9">
        <v>30618</v>
      </c>
      <c r="BX13" s="9">
        <v>33885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13"/>
        <v>Asia</v>
      </c>
      <c r="D14" s="6">
        <f t="shared" si="14"/>
        <v>3189</v>
      </c>
      <c r="E14" s="6">
        <f>IF(COUNTIF(I14:XFD14,"&gt;"&amp;0)=0,,HLOOKUP(COUNTIF(I14:XFD14,"&gt;"&amp;0)-1,I$1:XFD14,A14+1,FALSE))</f>
        <v>3803</v>
      </c>
      <c r="F14" s="7">
        <f>IF(COUNTIF(I14:XFD14,"&gt;"&amp;0)=0,,HLOOKUP(COUNTIF(I14:XFD14,"&gt;"&amp;0)-MIN($F$1+1,COUNTIF(I14:XFD14,"&gt;"&amp;0)),I$1:XFD14,A14+1,FALSE))</f>
        <v>3581</v>
      </c>
      <c r="G14" s="8">
        <f t="shared" si="6"/>
        <v>1.0121022745690191</v>
      </c>
      <c r="H14" s="13" t="s">
        <v>608</v>
      </c>
      <c r="I14" s="9">
        <v>17</v>
      </c>
      <c r="J14" s="9">
        <v>18</v>
      </c>
      <c r="K14" s="9">
        <v>26</v>
      </c>
      <c r="L14" s="9">
        <v>42</v>
      </c>
      <c r="M14" s="9">
        <v>56</v>
      </c>
      <c r="N14" s="9">
        <v>82</v>
      </c>
      <c r="O14" s="9">
        <v>131</v>
      </c>
      <c r="P14" s="9">
        <v>133</v>
      </c>
      <c r="Q14" s="9">
        <v>171</v>
      </c>
      <c r="R14" s="9">
        <v>213</v>
      </c>
      <c r="S14" s="9">
        <v>259</v>
      </c>
      <c r="T14" s="9">
        <v>362</v>
      </c>
      <c r="U14" s="9">
        <v>426</v>
      </c>
      <c r="V14" s="9">
        <v>492</v>
      </c>
      <c r="W14" s="9">
        <v>564</v>
      </c>
      <c r="X14" s="9">
        <v>634</v>
      </c>
      <c r="Y14" s="9">
        <v>719</v>
      </c>
      <c r="Z14" s="9">
        <v>806</v>
      </c>
      <c r="AA14" s="9">
        <v>906</v>
      </c>
      <c r="AB14" s="9">
        <v>1013</v>
      </c>
      <c r="AC14" s="9">
        <v>1113</v>
      </c>
      <c r="AD14" s="9">
        <v>1118</v>
      </c>
      <c r="AE14" s="9">
        <v>1371</v>
      </c>
      <c r="AF14" s="9">
        <v>1523</v>
      </c>
      <c r="AG14" s="9">
        <v>1665</v>
      </c>
      <c r="AH14" s="9">
        <v>1769</v>
      </c>
      <c r="AI14" s="9">
        <v>1867</v>
      </c>
      <c r="AJ14" s="9">
        <v>2006</v>
      </c>
      <c r="AK14" s="9">
        <v>2119</v>
      </c>
      <c r="AL14" s="9">
        <v>2242</v>
      </c>
      <c r="AM14" s="9">
        <v>2243</v>
      </c>
      <c r="AN14" s="9">
        <v>2448</v>
      </c>
      <c r="AO14" s="9">
        <v>2454</v>
      </c>
      <c r="AP14" s="9">
        <v>2606</v>
      </c>
      <c r="AQ14" s="9">
        <v>2678</v>
      </c>
      <c r="AR14" s="9">
        <v>2733</v>
      </c>
      <c r="AS14" s="9">
        <v>2765</v>
      </c>
      <c r="AT14" s="9">
        <v>2809</v>
      </c>
      <c r="AU14" s="9">
        <v>2860</v>
      </c>
      <c r="AV14" s="9">
        <v>2898</v>
      </c>
      <c r="AW14" s="9">
        <v>2951</v>
      </c>
      <c r="AX14" s="9">
        <v>2984</v>
      </c>
      <c r="AY14" s="9">
        <v>3027</v>
      </c>
      <c r="AZ14" s="9">
        <v>3059</v>
      </c>
      <c r="BA14" s="9">
        <v>3095</v>
      </c>
      <c r="BB14" s="9">
        <v>3125</v>
      </c>
      <c r="BC14" s="9">
        <v>3159</v>
      </c>
      <c r="BD14" s="9">
        <v>3189</v>
      </c>
      <c r="BE14" s="9">
        <v>3206</v>
      </c>
      <c r="BF14" s="9">
        <v>3241</v>
      </c>
      <c r="BG14" s="9">
        <v>3260</v>
      </c>
      <c r="BH14" s="9">
        <v>3279</v>
      </c>
      <c r="BI14" s="9">
        <v>3305</v>
      </c>
      <c r="BJ14" s="9">
        <v>3321</v>
      </c>
      <c r="BK14" s="9">
        <v>3341</v>
      </c>
      <c r="BL14" s="9">
        <v>3365</v>
      </c>
      <c r="BM14" s="9">
        <v>3401</v>
      </c>
      <c r="BN14" s="9">
        <v>3424</v>
      </c>
      <c r="BO14" s="9">
        <v>3450</v>
      </c>
      <c r="BP14" s="9">
        <v>3473</v>
      </c>
      <c r="BQ14" s="9">
        <v>3530</v>
      </c>
      <c r="BR14" s="9">
        <v>3549</v>
      </c>
      <c r="BS14" s="9">
        <v>3581</v>
      </c>
      <c r="BT14" s="9">
        <v>3610</v>
      </c>
      <c r="BU14" s="9">
        <v>3664</v>
      </c>
      <c r="BV14" s="9">
        <v>3704</v>
      </c>
      <c r="BW14" s="9">
        <v>3754</v>
      </c>
      <c r="BX14" s="9">
        <v>3803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13"/>
        <v>Middle East</v>
      </c>
      <c r="D15" s="6">
        <f t="shared" si="14"/>
        <v>2730</v>
      </c>
      <c r="E15" s="6">
        <f>IF(COUNTIF(I15:XFD15,"&gt;"&amp;0)=0,,HLOOKUP(COUNTIF(I15:XFD15,"&gt;"&amp;0)-1,I$1:XFD15,A15+1,FALSE))</f>
        <v>2730</v>
      </c>
      <c r="F15" s="7">
        <f>IF(COUNTIF(I15:XFD15,"&gt;"&amp;0)=0,,HLOOKUP(COUNTIF(I15:XFD15,"&gt;"&amp;0)-MIN($F$1+1,COUNTIF(I15:XFD15,"&gt;"&amp;0)),I$1:XFD15,A15+1,FALSE))</f>
        <v>1975</v>
      </c>
      <c r="G15" s="8">
        <f t="shared" si="6"/>
        <v>1.066888685535861</v>
      </c>
      <c r="H15" s="13" t="s">
        <v>610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94</v>
      </c>
      <c r="T15" s="9">
        <v>109</v>
      </c>
      <c r="U15" s="9">
        <v>127</v>
      </c>
      <c r="V15" s="9">
        <v>149</v>
      </c>
      <c r="W15" s="9">
        <v>200</v>
      </c>
      <c r="X15" s="9">
        <v>243</v>
      </c>
      <c r="Y15" s="9">
        <v>299</v>
      </c>
      <c r="Z15" s="9">
        <v>364</v>
      </c>
      <c r="AA15" s="9">
        <v>440</v>
      </c>
      <c r="AB15" s="9">
        <v>526</v>
      </c>
      <c r="AC15" s="9">
        <v>624</v>
      </c>
      <c r="AD15" s="9">
        <v>737</v>
      </c>
      <c r="AE15" s="9">
        <v>867</v>
      </c>
      <c r="AF15" s="9">
        <v>1003</v>
      </c>
      <c r="AG15" s="9">
        <v>1151</v>
      </c>
      <c r="AH15" s="9">
        <v>1302</v>
      </c>
      <c r="AI15" s="9">
        <v>1457</v>
      </c>
      <c r="AJ15" s="9">
        <v>1581</v>
      </c>
      <c r="AK15" s="9">
        <v>1715</v>
      </c>
      <c r="AL15" s="9">
        <v>1845</v>
      </c>
      <c r="AM15" s="9">
        <v>1975</v>
      </c>
      <c r="AN15" s="9">
        <v>2127</v>
      </c>
      <c r="AO15" s="9">
        <v>2297</v>
      </c>
      <c r="AP15" s="9">
        <v>2452</v>
      </c>
      <c r="AQ15" s="9">
        <v>2595</v>
      </c>
      <c r="AR15" s="9">
        <v>2730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13"/>
        <v>Iran</v>
      </c>
      <c r="D16" s="6">
        <f t="shared" si="14"/>
        <v>2640</v>
      </c>
      <c r="E16" s="6">
        <f>IF(COUNTIF(I16:XFD16,"&gt;"&amp;0)=0,,HLOOKUP(COUNTIF(I16:XFD16,"&gt;"&amp;0)-1,I$1:XFD16,A16+1,FALSE))</f>
        <v>2640</v>
      </c>
      <c r="F16" s="7">
        <f>IF(COUNTIF(I16:XFD16,"&gt;"&amp;0)=0,,HLOOKUP(COUNTIF(I16:XFD16,"&gt;"&amp;0)-MIN($F$1+1,COUNTIF(I16:XFD16,"&gt;"&amp;0)),I$1:XFD16,A16+1,FALSE))</f>
        <v>1934</v>
      </c>
      <c r="G16" s="8">
        <f t="shared" si="6"/>
        <v>1.0642152829212979</v>
      </c>
      <c r="H16" s="15" t="s">
        <v>338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92</v>
      </c>
      <c r="T16" s="9">
        <v>107</v>
      </c>
      <c r="U16" s="9">
        <v>124</v>
      </c>
      <c r="V16" s="9">
        <v>145</v>
      </c>
      <c r="W16" s="9">
        <v>194</v>
      </c>
      <c r="X16" s="9">
        <v>237</v>
      </c>
      <c r="Y16" s="9">
        <v>291</v>
      </c>
      <c r="Z16" s="9">
        <v>354</v>
      </c>
      <c r="AA16" s="9">
        <v>429</v>
      </c>
      <c r="AB16" s="9">
        <v>514</v>
      </c>
      <c r="AC16" s="9">
        <v>611</v>
      </c>
      <c r="AD16" s="9">
        <v>724</v>
      </c>
      <c r="AE16" s="9">
        <v>853</v>
      </c>
      <c r="AF16" s="9">
        <v>988</v>
      </c>
      <c r="AG16" s="9">
        <v>1135</v>
      </c>
      <c r="AH16" s="9">
        <v>1284</v>
      </c>
      <c r="AI16" s="9">
        <v>1433</v>
      </c>
      <c r="AJ16" s="9">
        <v>1556</v>
      </c>
      <c r="AK16" s="9">
        <v>1685</v>
      </c>
      <c r="AL16" s="9">
        <v>1812</v>
      </c>
      <c r="AM16" s="9">
        <v>1934</v>
      </c>
      <c r="AN16" s="9">
        <v>2077</v>
      </c>
      <c r="AO16" s="9">
        <v>2234</v>
      </c>
      <c r="AP16" s="9">
        <v>2378</v>
      </c>
      <c r="AQ16" s="9">
        <v>2517</v>
      </c>
      <c r="AR16" s="9">
        <v>2640</v>
      </c>
    </row>
    <row r="17" spans="1:43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13"/>
        <v>North America</v>
      </c>
      <c r="D17" s="6">
        <f t="shared" si="14"/>
        <v>2570</v>
      </c>
      <c r="E17" s="6">
        <f>IF(COUNTIF(I17:XFD17,"&gt;"&amp;0)=0,,HLOOKUP(COUNTIF(I17:XFD17,"&gt;"&amp;0)-1,I$1:XFD17,A17+1,FALSE))</f>
        <v>2570</v>
      </c>
      <c r="F17" s="7">
        <f>IF(COUNTIF(I17:XFD17,"&gt;"&amp;0)=0,,HLOOKUP(COUNTIF(I17:XFD17,"&gt;"&amp;0)-MIN($F$1+1,COUNTIF(I17:XFD17,"&gt;"&amp;0)),I$1:XFD17,A17+1,FALSE))</f>
        <v>746</v>
      </c>
      <c r="G17" s="8">
        <f t="shared" si="6"/>
        <v>1.2806747859382992</v>
      </c>
      <c r="H17" s="13" t="s">
        <v>611</v>
      </c>
      <c r="I17" s="9">
        <v>11</v>
      </c>
      <c r="J17" s="9">
        <v>12</v>
      </c>
      <c r="K17" s="9">
        <v>14</v>
      </c>
      <c r="L17" s="9">
        <v>17</v>
      </c>
      <c r="M17" s="9">
        <v>21</v>
      </c>
      <c r="N17" s="9">
        <v>23</v>
      </c>
      <c r="O17" s="9">
        <v>29</v>
      </c>
      <c r="P17" s="9">
        <v>38</v>
      </c>
      <c r="Q17" s="9">
        <v>42</v>
      </c>
      <c r="R17" s="9">
        <v>49</v>
      </c>
      <c r="S17" s="9">
        <v>56</v>
      </c>
      <c r="T17" s="9">
        <v>65</v>
      </c>
      <c r="U17" s="9">
        <v>90</v>
      </c>
      <c r="V17" s="9">
        <v>114</v>
      </c>
      <c r="W17" s="9">
        <v>128</v>
      </c>
      <c r="X17" s="9">
        <v>214</v>
      </c>
      <c r="Y17" s="9">
        <v>261</v>
      </c>
      <c r="Z17" s="9">
        <v>333</v>
      </c>
      <c r="AA17" s="9">
        <v>447</v>
      </c>
      <c r="AB17" s="9">
        <v>595</v>
      </c>
      <c r="AC17" s="9">
        <v>746</v>
      </c>
      <c r="AD17" s="9">
        <v>989</v>
      </c>
      <c r="AE17" s="9">
        <v>1266</v>
      </c>
      <c r="AF17" s="9">
        <v>1657</v>
      </c>
      <c r="AG17" s="9">
        <v>2119</v>
      </c>
      <c r="AH17" s="9">
        <v>2570</v>
      </c>
    </row>
    <row r="18" spans="1:43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13"/>
        <v>Netherlands</v>
      </c>
      <c r="D18" s="6">
        <f t="shared" si="14"/>
        <v>772</v>
      </c>
      <c r="E18" s="6">
        <f>IF(COUNTIF(I18:XFD18,"&gt;"&amp;0)=0,,HLOOKUP(COUNTIF(I18:XFD18,"&gt;"&amp;0)-1,I$1:XFD18,A18+1,FALSE))</f>
        <v>772</v>
      </c>
      <c r="F18" s="7">
        <f>IF(COUNTIF(I18:XFD18,"&gt;"&amp;0)=0,,HLOOKUP(COUNTIF(I18:XFD18,"&gt;"&amp;0)-MIN($F$1+1,COUNTIF(I18:XFD18,"&gt;"&amp;0)),I$1:XFD18,A18+1,FALSE))</f>
        <v>277</v>
      </c>
      <c r="G18" s="8">
        <f t="shared" si="6"/>
        <v>1.227516974086724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  <c r="W18" s="9">
        <v>547</v>
      </c>
      <c r="X18" s="9">
        <v>640</v>
      </c>
      <c r="Y18" s="9">
        <v>772</v>
      </c>
    </row>
    <row r="19" spans="1:43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13"/>
        <v>Belgium</v>
      </c>
      <c r="D19" s="6">
        <f t="shared" si="14"/>
        <v>431</v>
      </c>
      <c r="E19" s="6">
        <f>IF(COUNTIF(I19:XFD19,"&gt;"&amp;0)=0,,HLOOKUP(COUNTIF(I19:XFD19,"&gt;"&amp;0)-1,I$1:XFD19,A19+1,FALSE))</f>
        <v>431</v>
      </c>
      <c r="F19" s="7">
        <f>IF(COUNTIF(I19:XFD19,"&gt;"&amp;0)=0,,HLOOKUP(COUNTIF(I19:XFD19,"&gt;"&amp;0)-MIN($F$1+1,COUNTIF(I19:XFD19,"&gt;"&amp;0)),I$1:XFD19,A19+1,FALSE))</f>
        <v>122</v>
      </c>
      <c r="G19" s="8">
        <f t="shared" si="6"/>
        <v>1.2871331862431279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  <c r="T19" s="9">
        <v>353</v>
      </c>
      <c r="U19" s="9">
        <v>431</v>
      </c>
    </row>
    <row r="20" spans="1:43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13"/>
        <v>Switzerland</v>
      </c>
      <c r="D20" s="6">
        <f t="shared" si="14"/>
        <v>300</v>
      </c>
      <c r="E20" s="6">
        <f>IF(COUNTIF(I20:XFD20,"&gt;"&amp;0)=0,,HLOOKUP(COUNTIF(I20:XFD20,"&gt;"&amp;0)-1,I$1:XFD20,A20+1,FALSE))</f>
        <v>300</v>
      </c>
      <c r="F20" s="7">
        <f>IF(COUNTIF(I20:XFD20,"&gt;"&amp;0)=0,,HLOOKUP(COUNTIF(I20:XFD20,"&gt;"&amp;0)-MIN($F$1+1,COUNTIF(I20:XFD20,"&gt;"&amp;0)),I$1:XFD20,A20+1,FALSE))</f>
        <v>122</v>
      </c>
      <c r="G20" s="8">
        <f t="shared" si="6"/>
        <v>1.1971602404368828</v>
      </c>
      <c r="H20" s="13" t="s">
        <v>77</v>
      </c>
      <c r="I20" s="9">
        <v>11</v>
      </c>
      <c r="J20" s="9">
        <v>13</v>
      </c>
      <c r="K20" s="9">
        <v>14</v>
      </c>
      <c r="L20" s="9">
        <v>14</v>
      </c>
      <c r="M20" s="9">
        <v>27</v>
      </c>
      <c r="N20" s="9">
        <v>28</v>
      </c>
      <c r="O20" s="9">
        <v>41</v>
      </c>
      <c r="P20" s="9">
        <v>54</v>
      </c>
      <c r="Q20" s="9">
        <v>75</v>
      </c>
      <c r="R20" s="9">
        <v>98</v>
      </c>
      <c r="S20" s="9">
        <v>120</v>
      </c>
      <c r="T20" s="9">
        <v>122</v>
      </c>
      <c r="U20" s="9">
        <v>153</v>
      </c>
      <c r="V20" s="9">
        <v>191</v>
      </c>
      <c r="W20" s="9">
        <v>231</v>
      </c>
      <c r="X20" s="9">
        <v>264</v>
      </c>
      <c r="Y20" s="9">
        <v>300</v>
      </c>
    </row>
    <row r="21" spans="1:43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13"/>
        <v>South America</v>
      </c>
      <c r="D21" s="6">
        <f t="shared" si="14"/>
        <v>295</v>
      </c>
      <c r="E21" s="6">
        <f>IF(COUNTIF(I21:XFD21,"&gt;"&amp;0)=0,,HLOOKUP(COUNTIF(I21:XFD21,"&gt;"&amp;0)-1,I$1:XFD21,A21+1,FALSE))</f>
        <v>295</v>
      </c>
      <c r="F21" s="7">
        <f>IF(COUNTIF(I21:XFD21,"&gt;"&amp;0)=0,,HLOOKUP(COUNTIF(I21:XFD21,"&gt;"&amp;0)-MIN($F$1+1,COUNTIF(I21:XFD21,"&gt;"&amp;0)),I$1:XFD21,A21+1,FALSE))</f>
        <v>100</v>
      </c>
      <c r="G21" s="8">
        <f t="shared" si="6"/>
        <v>1.2415505401401303</v>
      </c>
      <c r="H21" s="13" t="s">
        <v>612</v>
      </c>
      <c r="I21" s="9">
        <v>9</v>
      </c>
      <c r="J21" s="9">
        <v>15</v>
      </c>
      <c r="K21" s="9">
        <v>25</v>
      </c>
      <c r="L21" s="9">
        <v>35</v>
      </c>
      <c r="M21" s="9">
        <v>56</v>
      </c>
      <c r="N21" s="9">
        <v>71</v>
      </c>
      <c r="O21" s="9">
        <v>100</v>
      </c>
      <c r="P21" s="9">
        <v>125</v>
      </c>
      <c r="Q21" s="9">
        <v>154</v>
      </c>
      <c r="R21" s="9">
        <v>188</v>
      </c>
      <c r="S21" s="9">
        <v>238</v>
      </c>
      <c r="T21" s="9">
        <v>295</v>
      </c>
    </row>
    <row r="22" spans="1:43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13"/>
        <v>Korea, South</v>
      </c>
      <c r="D22" s="6">
        <f t="shared" si="14"/>
        <v>152</v>
      </c>
      <c r="E22" s="6">
        <f>IF(COUNTIF(I22:XFD22,"&gt;"&amp;0)=0,,HLOOKUP(COUNTIF(I22:XFD22,"&gt;"&amp;0)-1,I$1:XFD22,A22+1,FALSE))</f>
        <v>152</v>
      </c>
      <c r="F22" s="7">
        <f>IF(COUNTIF(I22:XFD22,"&gt;"&amp;0)=0,,HLOOKUP(COUNTIF(I22:XFD22,"&gt;"&amp;0)-MIN($F$1+1,COUNTIF(I22:XFD22,"&gt;"&amp;0)),I$1:XFD22,A22+1,FALSE))</f>
        <v>120</v>
      </c>
      <c r="G22" s="8">
        <f t="shared" si="6"/>
        <v>1.0484131712847216</v>
      </c>
      <c r="H22" s="13" t="s">
        <v>339</v>
      </c>
      <c r="I22" s="9">
        <v>8</v>
      </c>
      <c r="J22" s="9">
        <v>10</v>
      </c>
      <c r="K22" s="9">
        <v>12</v>
      </c>
      <c r="L22" s="9">
        <v>13</v>
      </c>
      <c r="M22" s="9">
        <v>13</v>
      </c>
      <c r="N22" s="9">
        <v>16</v>
      </c>
      <c r="O22" s="9">
        <v>17</v>
      </c>
      <c r="P22" s="9">
        <v>28</v>
      </c>
      <c r="Q22" s="9">
        <v>28</v>
      </c>
      <c r="R22" s="9">
        <v>35</v>
      </c>
      <c r="S22" s="9">
        <v>35</v>
      </c>
      <c r="T22" s="9">
        <v>42</v>
      </c>
      <c r="U22" s="9">
        <v>44</v>
      </c>
      <c r="V22" s="9">
        <v>50</v>
      </c>
      <c r="W22" s="9">
        <v>53</v>
      </c>
      <c r="X22" s="9">
        <v>54</v>
      </c>
      <c r="Y22" s="9">
        <v>60</v>
      </c>
      <c r="Z22" s="9">
        <v>66</v>
      </c>
      <c r="AA22" s="9">
        <v>66</v>
      </c>
      <c r="AB22" s="9">
        <v>72</v>
      </c>
      <c r="AC22" s="9">
        <v>75</v>
      </c>
      <c r="AD22" s="9">
        <v>75</v>
      </c>
      <c r="AE22" s="9">
        <v>81</v>
      </c>
      <c r="AF22" s="9">
        <v>84</v>
      </c>
      <c r="AG22" s="9">
        <v>91</v>
      </c>
      <c r="AH22" s="9">
        <v>94</v>
      </c>
      <c r="AI22" s="9">
        <v>102</v>
      </c>
      <c r="AJ22" s="9">
        <v>111</v>
      </c>
      <c r="AK22" s="9">
        <v>111</v>
      </c>
      <c r="AL22" s="9">
        <v>120</v>
      </c>
      <c r="AM22" s="9">
        <v>126</v>
      </c>
      <c r="AN22" s="9">
        <v>131</v>
      </c>
      <c r="AO22" s="9">
        <v>139</v>
      </c>
      <c r="AP22" s="9">
        <v>144</v>
      </c>
      <c r="AQ22" s="9">
        <v>152</v>
      </c>
    </row>
    <row r="23" spans="1:43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13"/>
        <v>Brazil</v>
      </c>
      <c r="D23" s="6">
        <f t="shared" si="14"/>
        <v>136</v>
      </c>
      <c r="E23" s="6">
        <f>IF(COUNTIF(I23:XFD23,"&gt;"&amp;0)=0,,HLOOKUP(COUNTIF(I23:XFD23,"&gt;"&amp;0)-1,I$1:XFD23,A23+1,FALSE))</f>
        <v>136</v>
      </c>
      <c r="F23" s="7">
        <f>IF(COUNTIF(I23:XFD23,"&gt;"&amp;0)=0,,HLOOKUP(COUNTIF(I23:XFD23,"&gt;"&amp;0)-MIN($F$1+1,COUNTIF(I23:XFD23,"&gt;"&amp;0)),I$1:XFD23,A23+1,FALSE))</f>
        <v>46</v>
      </c>
      <c r="G23" s="8">
        <f t="shared" si="6"/>
        <v>1.2420990091540978</v>
      </c>
      <c r="H23" s="13" t="s">
        <v>81</v>
      </c>
      <c r="I23" s="9">
        <v>11</v>
      </c>
      <c r="J23" s="9">
        <v>15</v>
      </c>
      <c r="K23" s="9">
        <v>25</v>
      </c>
      <c r="L23" s="9">
        <v>34</v>
      </c>
      <c r="M23" s="9">
        <v>46</v>
      </c>
      <c r="N23" s="9">
        <v>59</v>
      </c>
      <c r="O23" s="9">
        <v>77</v>
      </c>
      <c r="P23" s="9">
        <v>92</v>
      </c>
      <c r="Q23" s="9">
        <v>111</v>
      </c>
      <c r="R23" s="9">
        <v>136</v>
      </c>
    </row>
    <row r="24" spans="1:43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13"/>
        <v>Africa</v>
      </c>
      <c r="D24" s="6">
        <f t="shared" si="14"/>
        <v>136</v>
      </c>
      <c r="E24" s="6">
        <f>IF(COUNTIF(I24:XFD24,"&gt;"&amp;0)=0,,HLOOKUP(COUNTIF(I24:XFD24,"&gt;"&amp;0)-1,I$1:XFD24,A24+1,FALSE))</f>
        <v>136</v>
      </c>
      <c r="F24" s="7">
        <f>IF(COUNTIF(I24:XFD24,"&gt;"&amp;0)=0,,HLOOKUP(COUNTIF(I24:XFD24,"&gt;"&amp;0)-MIN($F$1+1,COUNTIF(I24:XFD24,"&gt;"&amp;0)),I$1:XFD24,A24+1,FALSE))</f>
        <v>56</v>
      </c>
      <c r="G24" s="8">
        <f t="shared" si="6"/>
        <v>1.1941810528171777</v>
      </c>
      <c r="H24" s="13" t="s">
        <v>613</v>
      </c>
      <c r="I24" s="9">
        <v>8</v>
      </c>
      <c r="J24" s="9">
        <v>8</v>
      </c>
      <c r="K24" s="9">
        <v>11</v>
      </c>
      <c r="L24" s="9">
        <v>17</v>
      </c>
      <c r="M24" s="9">
        <v>20</v>
      </c>
      <c r="N24" s="9">
        <v>25</v>
      </c>
      <c r="O24" s="9">
        <v>33</v>
      </c>
      <c r="P24" s="9">
        <v>44</v>
      </c>
      <c r="Q24" s="9">
        <v>50</v>
      </c>
      <c r="R24" s="9">
        <v>56</v>
      </c>
      <c r="S24" s="9">
        <v>62</v>
      </c>
      <c r="T24" s="9">
        <v>80</v>
      </c>
      <c r="U24" s="9">
        <v>104</v>
      </c>
      <c r="V24" s="9">
        <v>122</v>
      </c>
      <c r="W24" s="9">
        <v>136</v>
      </c>
    </row>
    <row r="25" spans="1:43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13"/>
        <v>Turkey</v>
      </c>
      <c r="D25" s="6">
        <f t="shared" si="14"/>
        <v>131</v>
      </c>
      <c r="E25" s="6">
        <f>IF(COUNTIF(I25:XFD25,"&gt;"&amp;0)=0,,HLOOKUP(COUNTIF(I25:XFD25,"&gt;"&amp;0)-1,I$1:XFD25,A25+1,FALSE))</f>
        <v>131</v>
      </c>
      <c r="F25" s="7">
        <f>IF(COUNTIF(I25:XFD25,"&gt;"&amp;0)=0,,HLOOKUP(COUNTIF(I25:XFD25,"&gt;"&amp;0)-MIN($F$1+1,COUNTIF(I25:XFD25,"&gt;"&amp;0)),I$1:XFD25,A25+1,FALSE))</f>
        <v>44</v>
      </c>
      <c r="G25" s="8">
        <f t="shared" si="6"/>
        <v>1.2438377227485384</v>
      </c>
      <c r="H25" s="13" t="s">
        <v>355</v>
      </c>
      <c r="I25" s="9">
        <v>9</v>
      </c>
      <c r="J25" s="9">
        <v>30</v>
      </c>
      <c r="K25" s="9">
        <v>37</v>
      </c>
      <c r="L25" s="9">
        <v>44</v>
      </c>
      <c r="M25" s="9">
        <v>59</v>
      </c>
      <c r="N25" s="9">
        <v>75</v>
      </c>
      <c r="O25" s="9">
        <v>92</v>
      </c>
      <c r="P25" s="9">
        <v>108</v>
      </c>
      <c r="Q25" s="9">
        <v>131</v>
      </c>
    </row>
    <row r="26" spans="1:43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13"/>
        <v>Portugal</v>
      </c>
      <c r="D26" s="6">
        <f t="shared" si="14"/>
        <v>119</v>
      </c>
      <c r="E26" s="6">
        <f>IF(COUNTIF(I26:XFD26,"&gt;"&amp;0)=0,,HLOOKUP(COUNTIF(I26:XFD26,"&gt;"&amp;0)-1,I$1:XFD26,A26+1,FALSE))</f>
        <v>119</v>
      </c>
      <c r="F26" s="7">
        <f>IF(COUNTIF(I26:XFD26,"&gt;"&amp;0)=0,,HLOOKUP(COUNTIF(I26:XFD26,"&gt;"&amp;0)-MIN($F$1+1,COUNTIF(I26:XFD26,"&gt;"&amp;0)),I$1:XFD26,A26+1,FALSE))</f>
        <v>33</v>
      </c>
      <c r="G26" s="8">
        <f t="shared" si="6"/>
        <v>1.2924287321300787</v>
      </c>
      <c r="H26" s="13" t="s">
        <v>108</v>
      </c>
      <c r="I26" s="9">
        <v>12</v>
      </c>
      <c r="J26" s="9">
        <v>14</v>
      </c>
      <c r="K26" s="9">
        <v>23</v>
      </c>
      <c r="L26" s="9">
        <v>33</v>
      </c>
      <c r="M26" s="9">
        <v>43</v>
      </c>
      <c r="N26" s="9">
        <v>60</v>
      </c>
      <c r="O26" s="9">
        <v>76</v>
      </c>
      <c r="P26" s="9">
        <v>100</v>
      </c>
      <c r="Q26" s="9">
        <v>119</v>
      </c>
    </row>
    <row r="27" spans="1:43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13"/>
        <v>Indonesia</v>
      </c>
      <c r="D27" s="6">
        <f t="shared" si="14"/>
        <v>114</v>
      </c>
      <c r="E27" s="6">
        <f>IF(COUNTIF(I27:XFD27,"&gt;"&amp;0)=0,,HLOOKUP(COUNTIF(I27:XFD27,"&gt;"&amp;0)-1,I$1:XFD27,A27+1,FALSE))</f>
        <v>114</v>
      </c>
      <c r="F27" s="7">
        <f>IF(COUNTIF(I27:XFD27,"&gt;"&amp;0)=0,,HLOOKUP(COUNTIF(I27:XFD27,"&gt;"&amp;0)-MIN($F$1+1,COUNTIF(I27:XFD27,"&gt;"&amp;0)),I$1:XFD27,A27+1,FALSE))</f>
        <v>55</v>
      </c>
      <c r="G27" s="8">
        <f t="shared" si="6"/>
        <v>1.1569335952206299</v>
      </c>
      <c r="H27" s="13" t="s">
        <v>107</v>
      </c>
      <c r="I27" s="9">
        <v>19</v>
      </c>
      <c r="J27" s="9">
        <v>25</v>
      </c>
      <c r="K27" s="9">
        <v>32</v>
      </c>
      <c r="L27" s="9">
        <v>38</v>
      </c>
      <c r="M27" s="9">
        <v>48</v>
      </c>
      <c r="N27" s="9">
        <v>49</v>
      </c>
      <c r="O27" s="9">
        <v>55</v>
      </c>
      <c r="P27" s="9">
        <v>58</v>
      </c>
      <c r="Q27" s="9">
        <v>78</v>
      </c>
      <c r="R27" s="9">
        <v>87</v>
      </c>
      <c r="S27" s="9">
        <v>102</v>
      </c>
      <c r="T27" s="9">
        <v>114</v>
      </c>
    </row>
    <row r="28" spans="1:43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13"/>
        <v>Sweden</v>
      </c>
      <c r="D28" s="6">
        <f t="shared" si="14"/>
        <v>110</v>
      </c>
      <c r="E28" s="6">
        <f>IF(COUNTIF(I28:XFD28,"&gt;"&amp;0)=0,,HLOOKUP(COUNTIF(I28:XFD28,"&gt;"&amp;0)-1,I$1:XFD28,A28+1,FALSE))</f>
        <v>110</v>
      </c>
      <c r="F28" s="7">
        <f>IF(COUNTIF(I28:XFD28,"&gt;"&amp;0)=0,,HLOOKUP(COUNTIF(I28:XFD28,"&gt;"&amp;0)-MIN($F$1+1,COUNTIF(I28:XFD28,"&gt;"&amp;0)),I$1:XFD28,A28+1,FALSE))</f>
        <v>36</v>
      </c>
      <c r="G28" s="8">
        <f t="shared" si="6"/>
        <v>1.2503109563624448</v>
      </c>
      <c r="H28" s="13" t="s">
        <v>59</v>
      </c>
      <c r="I28" s="9">
        <v>10</v>
      </c>
      <c r="J28" s="9">
        <v>11</v>
      </c>
      <c r="K28" s="9">
        <v>16</v>
      </c>
      <c r="L28" s="9">
        <v>20</v>
      </c>
      <c r="M28" s="9">
        <v>21</v>
      </c>
      <c r="N28" s="9">
        <v>25</v>
      </c>
      <c r="O28" s="9">
        <v>36</v>
      </c>
      <c r="P28" s="9">
        <v>62</v>
      </c>
      <c r="Q28" s="9">
        <v>77</v>
      </c>
      <c r="R28" s="9">
        <v>105</v>
      </c>
      <c r="S28" s="9">
        <v>105</v>
      </c>
      <c r="T28" s="9">
        <v>110</v>
      </c>
    </row>
    <row r="29" spans="1:43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13"/>
        <v>Austria</v>
      </c>
      <c r="D29" s="6">
        <f t="shared" si="14"/>
        <v>86</v>
      </c>
      <c r="E29" s="6">
        <f>IF(COUNTIF(I29:XFD29,"&gt;"&amp;0)=0,,HLOOKUP(COUNTIF(I29:XFD29,"&gt;"&amp;0)-1,I$1:XFD29,A29+1,FALSE))</f>
        <v>86</v>
      </c>
      <c r="F29" s="7">
        <f>IF(COUNTIF(I29:XFD29,"&gt;"&amp;0)=0,,HLOOKUP(COUNTIF(I29:XFD29,"&gt;"&amp;0)-MIN($F$1+1,COUNTIF(I29:XFD29,"&gt;"&amp;0)),I$1:XFD29,A29+1,FALSE))</f>
        <v>28</v>
      </c>
      <c r="G29" s="8">
        <f t="shared" si="6"/>
        <v>1.2516072898441128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</row>
    <row r="30" spans="1:43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13"/>
        <v>Denmark</v>
      </c>
      <c r="D30" s="6">
        <f t="shared" si="14"/>
        <v>72</v>
      </c>
      <c r="E30" s="6">
        <f>IF(COUNTIF(I30:XFD30,"&gt;"&amp;0)=0,,HLOOKUP(COUNTIF(I30:XFD30,"&gt;"&amp;0)-1,I$1:XFD30,A30+1,FALSE))</f>
        <v>72</v>
      </c>
      <c r="F30" s="7">
        <f>IF(COUNTIF(I30:XFD30,"&gt;"&amp;0)=0,,HLOOKUP(COUNTIF(I30:XFD30,"&gt;"&amp;0)-MIN($F$1+1,COUNTIF(I30:XFD30,"&gt;"&amp;0)),I$1:XFD30,A30+1,FALSE))</f>
        <v>32</v>
      </c>
      <c r="G30" s="8">
        <f t="shared" si="6"/>
        <v>1.1760790225246736</v>
      </c>
      <c r="H30" s="13" t="s">
        <v>87</v>
      </c>
      <c r="I30" s="9">
        <v>9</v>
      </c>
      <c r="J30" s="9">
        <v>13</v>
      </c>
      <c r="K30" s="9">
        <v>13</v>
      </c>
      <c r="L30" s="9">
        <v>24</v>
      </c>
      <c r="M30" s="9">
        <v>32</v>
      </c>
      <c r="N30" s="9">
        <v>34</v>
      </c>
      <c r="O30" s="9">
        <v>41</v>
      </c>
      <c r="P30" s="9">
        <v>52</v>
      </c>
      <c r="Q30" s="9">
        <v>65</v>
      </c>
      <c r="R30" s="9">
        <v>72</v>
      </c>
    </row>
    <row r="31" spans="1:43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13"/>
        <v>Philippines</v>
      </c>
      <c r="D31" s="6">
        <f t="shared" si="14"/>
        <v>71</v>
      </c>
      <c r="E31" s="6">
        <f>IF(COUNTIF(I31:XFD31,"&gt;"&amp;0)=0,,HLOOKUP(COUNTIF(I31:XFD31,"&gt;"&amp;0)-1,I$1:XFD31,A31+1,FALSE))</f>
        <v>71</v>
      </c>
      <c r="F31" s="7">
        <f>IF(COUNTIF(I31:XFD31,"&gt;"&amp;0)=0,,HLOOKUP(COUNTIF(I31:XFD31,"&gt;"&amp;0)-MIN($F$1+1,COUNTIF(I31:XFD31,"&gt;"&amp;0)),I$1:XFD31,A31+1,FALSE))</f>
        <v>35</v>
      </c>
      <c r="G31" s="8">
        <f t="shared" si="6"/>
        <v>1.1519617551987076</v>
      </c>
      <c r="H31" s="13" t="s">
        <v>56</v>
      </c>
      <c r="I31" s="9">
        <v>8</v>
      </c>
      <c r="J31" s="9">
        <v>11</v>
      </c>
      <c r="K31" s="9">
        <v>12</v>
      </c>
      <c r="L31" s="9">
        <v>12</v>
      </c>
      <c r="M31" s="9">
        <v>19</v>
      </c>
      <c r="N31" s="9">
        <v>17</v>
      </c>
      <c r="O31" s="9">
        <v>18</v>
      </c>
      <c r="P31" s="9">
        <v>19</v>
      </c>
      <c r="Q31" s="9">
        <v>25</v>
      </c>
      <c r="R31" s="9">
        <v>33</v>
      </c>
      <c r="S31" s="9">
        <v>35</v>
      </c>
      <c r="T31" s="9">
        <v>38</v>
      </c>
      <c r="U31" s="9">
        <v>45</v>
      </c>
      <c r="V31" s="9">
        <v>54</v>
      </c>
      <c r="W31" s="9">
        <v>68</v>
      </c>
      <c r="X31" s="9">
        <v>71</v>
      </c>
    </row>
    <row r="32" spans="1:43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13"/>
        <v>Canada</v>
      </c>
      <c r="D32" s="6">
        <f t="shared" si="14"/>
        <v>64</v>
      </c>
      <c r="E32" s="6">
        <f>IF(COUNTIF(I32:XFD32,"&gt;"&amp;0)=0,,HLOOKUP(COUNTIF(I32:XFD32,"&gt;"&amp;0)-1,I$1:XFD32,A32+1,FALSE))</f>
        <v>64</v>
      </c>
      <c r="F32" s="7">
        <f>IF(COUNTIF(I32:XFD32,"&gt;"&amp;0)=0,,HLOOKUP(COUNTIF(I32:XFD32,"&gt;"&amp;0)-MIN($F$1+1,COUNTIF(I32:XFD32,"&gt;"&amp;0)),I$1:XFD32,A32+1,FALSE))</f>
        <v>26</v>
      </c>
      <c r="G32" s="8">
        <f t="shared" si="6"/>
        <v>1.1974057110829956</v>
      </c>
      <c r="H32" s="13" t="s">
        <v>45</v>
      </c>
      <c r="I32" s="9">
        <v>8</v>
      </c>
      <c r="J32" s="9">
        <v>9</v>
      </c>
      <c r="K32" s="9">
        <v>12</v>
      </c>
      <c r="L32" s="9">
        <v>19</v>
      </c>
      <c r="M32" s="9">
        <v>21</v>
      </c>
      <c r="N32" s="9">
        <v>25</v>
      </c>
      <c r="O32" s="9">
        <v>26</v>
      </c>
      <c r="P32" s="9">
        <v>30</v>
      </c>
      <c r="Q32" s="9">
        <v>38</v>
      </c>
      <c r="R32" s="9">
        <v>54</v>
      </c>
      <c r="S32" s="9">
        <v>61</v>
      </c>
      <c r="T32" s="9">
        <v>64</v>
      </c>
    </row>
    <row r="33" spans="1:29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13"/>
        <v>Ecuador</v>
      </c>
      <c r="D33" s="6">
        <f t="shared" si="14"/>
        <v>58</v>
      </c>
      <c r="E33" s="6">
        <f>IF(COUNTIF(I33:XFD33,"&gt;"&amp;0)=0,,HLOOKUP(COUNTIF(I33:XFD33,"&gt;"&amp;0)-1,I$1:XFD33,A33+1,FALSE))</f>
        <v>58</v>
      </c>
      <c r="F33" s="7">
        <f>IF(COUNTIF(I33:XFD33,"&gt;"&amp;0)=0,,HLOOKUP(COUNTIF(I33:XFD33,"&gt;"&amp;0)-MIN($F$1+1,COUNTIF(I33:XFD33,"&gt;"&amp;0)),I$1:XFD33,A33+1,FALSE))</f>
        <v>27</v>
      </c>
      <c r="G33" s="8">
        <f t="shared" si="6"/>
        <v>1.1652331886373577</v>
      </c>
      <c r="H33" s="13" t="s">
        <v>103</v>
      </c>
      <c r="I33" s="9">
        <v>14</v>
      </c>
      <c r="J33" s="9">
        <v>18</v>
      </c>
      <c r="K33" s="9">
        <v>27</v>
      </c>
      <c r="L33" s="9">
        <v>28</v>
      </c>
      <c r="M33" s="9">
        <v>34</v>
      </c>
      <c r="N33" s="9">
        <v>36</v>
      </c>
      <c r="O33" s="9">
        <v>48</v>
      </c>
      <c r="P33" s="9">
        <v>58</v>
      </c>
    </row>
    <row r="34" spans="1:29" x14ac:dyDescent="0.25">
      <c r="A34" s="9">
        <f t="shared" ref="A34:A65" si="15">A33+1</f>
        <v>33</v>
      </c>
      <c r="B34" s="9">
        <f t="array" ref="B34">IF(C34="",0,IF(OR(C34=Country_Comparison!$S$10:$S$29),1,0))</f>
        <v>0</v>
      </c>
      <c r="C34" s="9" t="str">
        <f t="shared" si="13"/>
        <v>Japan</v>
      </c>
      <c r="D34" s="6">
        <f t="shared" si="14"/>
        <v>54</v>
      </c>
      <c r="E34" s="6">
        <f>IF(COUNTIF(I34:XFD34,"&gt;"&amp;0)=0,,HLOOKUP(COUNTIF(I34:XFD34,"&gt;"&amp;0)-1,I$1:XFD34,A34+1,FALSE))</f>
        <v>54</v>
      </c>
      <c r="F34" s="7">
        <f>IF(COUNTIF(I34:XFD34,"&gt;"&amp;0)=0,,HLOOKUP(COUNTIF(I34:XFD34,"&gt;"&amp;0)-MIN($F$1+1,COUNTIF(I34:XFD34,"&gt;"&amp;0)),I$1:XFD34,A34+1,FALSE))</f>
        <v>43</v>
      </c>
      <c r="G34" s="8">
        <f t="shared" ref="G34:G65" si="16">IF(COUNTIF(I34:XFD34,"&gt;"&amp;0)=0,,(E34/F34)^(1/MIN(COUNTIF(I34:XFD34,"&gt;"&amp;0)-1,$F$1)))</f>
        <v>1.0466104359289683</v>
      </c>
      <c r="H34" s="13" t="s">
        <v>36</v>
      </c>
      <c r="I34" s="9">
        <v>10</v>
      </c>
      <c r="J34" s="9">
        <v>10</v>
      </c>
      <c r="K34" s="9">
        <v>15</v>
      </c>
      <c r="L34" s="9">
        <v>16</v>
      </c>
      <c r="M34" s="9">
        <v>19</v>
      </c>
      <c r="N34" s="9">
        <v>22</v>
      </c>
      <c r="O34" s="9">
        <v>22</v>
      </c>
      <c r="P34" s="9">
        <v>27</v>
      </c>
      <c r="Q34" s="9">
        <v>29</v>
      </c>
      <c r="R34" s="9">
        <v>29</v>
      </c>
      <c r="S34" s="9">
        <v>29</v>
      </c>
      <c r="T34" s="9">
        <v>33</v>
      </c>
      <c r="U34" s="9">
        <v>35</v>
      </c>
      <c r="V34" s="9">
        <v>41</v>
      </c>
      <c r="W34" s="9">
        <v>42</v>
      </c>
      <c r="X34" s="9">
        <v>43</v>
      </c>
      <c r="Y34" s="9">
        <v>45</v>
      </c>
      <c r="Z34" s="9">
        <v>47</v>
      </c>
      <c r="AA34" s="9">
        <v>49</v>
      </c>
      <c r="AB34" s="9">
        <v>52</v>
      </c>
      <c r="AC34" s="9">
        <v>54</v>
      </c>
    </row>
    <row r="35" spans="1:29" x14ac:dyDescent="0.25">
      <c r="A35" s="9">
        <f t="shared" si="15"/>
        <v>34</v>
      </c>
      <c r="B35" s="9">
        <f t="array" ref="B35">IF(C35="",0,IF(OR(C35=Country_Comparison!$S$10:$S$29),1,0))</f>
        <v>0</v>
      </c>
      <c r="C35" s="9" t="str">
        <f t="shared" si="13"/>
        <v>Ireland</v>
      </c>
      <c r="D35" s="6">
        <f t="shared" si="14"/>
        <v>46</v>
      </c>
      <c r="E35" s="6">
        <f>IF(COUNTIF(I35:XFD35,"&gt;"&amp;0)=0,,HLOOKUP(COUNTIF(I35:XFD35,"&gt;"&amp;0)-1,I$1:XFD35,A35+1,FALSE))</f>
        <v>46</v>
      </c>
      <c r="F35" s="7">
        <f>IF(COUNTIF(I35:XFD35,"&gt;"&amp;0)=0,,HLOOKUP(COUNTIF(I35:XFD35,"&gt;"&amp;0)-MIN($F$1+1,COUNTIF(I35:XFD35,"&gt;"&amp;0)),I$1:XFD35,A35+1,FALSE))</f>
        <v>9</v>
      </c>
      <c r="G35" s="8">
        <f t="shared" si="16"/>
        <v>1.5035879292684402</v>
      </c>
      <c r="H35" s="13" t="s">
        <v>98</v>
      </c>
      <c r="I35" s="9">
        <v>9</v>
      </c>
      <c r="J35" s="9">
        <v>19</v>
      </c>
      <c r="K35" s="9">
        <v>22</v>
      </c>
      <c r="L35" s="9">
        <v>36</v>
      </c>
      <c r="M35" s="9">
        <v>46</v>
      </c>
    </row>
    <row r="36" spans="1:29" x14ac:dyDescent="0.25">
      <c r="A36" s="9">
        <f t="shared" si="15"/>
        <v>35</v>
      </c>
      <c r="B36" s="9">
        <f t="array" ref="B36">IF(C36="",0,IF(OR(C36=Country_Comparison!$S$10:$S$29),1,0))</f>
        <v>0</v>
      </c>
      <c r="C36" s="9" t="str">
        <f t="shared" si="13"/>
        <v>Romania</v>
      </c>
      <c r="D36" s="6">
        <f t="shared" si="14"/>
        <v>43</v>
      </c>
      <c r="E36" s="6">
        <f>IF(COUNTIF(I36:XFD36,"&gt;"&amp;0)=0,,HLOOKUP(COUNTIF(I36:XFD36,"&gt;"&amp;0)-1,I$1:XFD36,A36+1,FALSE))</f>
        <v>43</v>
      </c>
      <c r="F36" s="7">
        <f>IF(COUNTIF(I36:XFD36,"&gt;"&amp;0)=0,,HLOOKUP(COUNTIF(I36:XFD36,"&gt;"&amp;0)-MIN($F$1+1,COUNTIF(I36:XFD36,"&gt;"&amp;0)),I$1:XFD36,A36+1,FALSE))</f>
        <v>11</v>
      </c>
      <c r="G36" s="8">
        <f t="shared" si="16"/>
        <v>1.3134548668605626</v>
      </c>
      <c r="H36" s="13" t="s">
        <v>86</v>
      </c>
      <c r="I36" s="9">
        <v>11</v>
      </c>
      <c r="J36" s="9">
        <v>17</v>
      </c>
      <c r="K36" s="9">
        <v>23</v>
      </c>
      <c r="L36" s="9">
        <v>26</v>
      </c>
      <c r="M36" s="9">
        <v>37</v>
      </c>
      <c r="N36" s="9">
        <v>43</v>
      </c>
    </row>
    <row r="37" spans="1:29" x14ac:dyDescent="0.25">
      <c r="A37" s="9">
        <f t="shared" si="15"/>
        <v>36</v>
      </c>
      <c r="B37" s="9">
        <f t="array" ref="B37">IF(C37="",0,IF(OR(C37=Country_Comparison!$S$10:$S$29),1,0))</f>
        <v>0</v>
      </c>
      <c r="C37" s="9" t="str">
        <f t="shared" ref="C37:C68" si="17">IF(H37="","",H37)</f>
        <v>Iraq</v>
      </c>
      <c r="D37" s="6">
        <f t="shared" ref="D37:D68" si="18">MAX(I37:BD37)</f>
        <v>42</v>
      </c>
      <c r="E37" s="6">
        <f>IF(COUNTIF(I37:XFD37,"&gt;"&amp;0)=0,,HLOOKUP(COUNTIF(I37:XFD37,"&gt;"&amp;0)-1,I$1:XFD37,A37+1,FALSE))</f>
        <v>42</v>
      </c>
      <c r="F37" s="7">
        <f>IF(COUNTIF(I37:XFD37,"&gt;"&amp;0)=0,,HLOOKUP(COUNTIF(I37:XFD37,"&gt;"&amp;0)-MIN($F$1+1,COUNTIF(I37:XFD37,"&gt;"&amp;0)),I$1:XFD37,A37+1,FALSE))</f>
        <v>27</v>
      </c>
      <c r="G37" s="8">
        <f t="shared" si="16"/>
        <v>1.0923884641403729</v>
      </c>
      <c r="H37" s="13" t="s">
        <v>70</v>
      </c>
      <c r="I37" s="9">
        <v>8</v>
      </c>
      <c r="J37" s="9">
        <v>9</v>
      </c>
      <c r="K37" s="9">
        <v>10</v>
      </c>
      <c r="L37" s="9">
        <v>10</v>
      </c>
      <c r="M37" s="9">
        <v>10</v>
      </c>
      <c r="N37" s="9">
        <v>11</v>
      </c>
      <c r="O37" s="9">
        <v>12</v>
      </c>
      <c r="P37" s="9">
        <v>13</v>
      </c>
      <c r="Q37" s="9">
        <v>17</v>
      </c>
      <c r="R37" s="9">
        <v>17</v>
      </c>
      <c r="S37" s="9">
        <v>20</v>
      </c>
      <c r="T37" s="9">
        <v>23</v>
      </c>
      <c r="U37" s="9">
        <v>27</v>
      </c>
      <c r="V37" s="9">
        <v>29</v>
      </c>
      <c r="W37" s="9">
        <v>36</v>
      </c>
      <c r="X37" s="9">
        <v>40</v>
      </c>
      <c r="Y37" s="9">
        <v>42</v>
      </c>
      <c r="Z37" s="9">
        <v>42</v>
      </c>
    </row>
    <row r="38" spans="1:29" x14ac:dyDescent="0.25">
      <c r="A38" s="9">
        <f t="shared" si="15"/>
        <v>37</v>
      </c>
      <c r="B38" s="9">
        <f t="array" ref="B38">IF(C38="",0,IF(OR(C38=Country_Comparison!$S$10:$S$29),1,0))</f>
        <v>0</v>
      </c>
      <c r="C38" s="9" t="str">
        <f t="shared" si="17"/>
        <v>Egypt</v>
      </c>
      <c r="D38" s="6">
        <f t="shared" si="18"/>
        <v>40</v>
      </c>
      <c r="E38" s="6">
        <f>IF(COUNTIF(I38:XFD38,"&gt;"&amp;0)=0,,HLOOKUP(COUNTIF(I38:XFD38,"&gt;"&amp;0)-1,I$1:XFD38,A38+1,FALSE))</f>
        <v>40</v>
      </c>
      <c r="F38" s="7">
        <f>IF(COUNTIF(I38:XFD38,"&gt;"&amp;0)=0,,HLOOKUP(COUNTIF(I38:XFD38,"&gt;"&amp;0)-MIN($F$1+1,COUNTIF(I38:XFD38,"&gt;"&amp;0)),I$1:XFD38,A38+1,FALSE))</f>
        <v>20</v>
      </c>
      <c r="G38" s="8">
        <f t="shared" si="16"/>
        <v>1.1486983549970351</v>
      </c>
      <c r="H38" s="13" t="s">
        <v>65</v>
      </c>
      <c r="I38" s="9">
        <v>8</v>
      </c>
      <c r="J38" s="9">
        <v>10</v>
      </c>
      <c r="K38" s="9">
        <v>14</v>
      </c>
      <c r="L38" s="9">
        <v>19</v>
      </c>
      <c r="M38" s="9">
        <v>20</v>
      </c>
      <c r="N38" s="9">
        <v>21</v>
      </c>
      <c r="O38" s="9">
        <v>24</v>
      </c>
      <c r="P38" s="9">
        <v>30</v>
      </c>
      <c r="Q38" s="9">
        <v>36</v>
      </c>
      <c r="R38" s="9">
        <v>40</v>
      </c>
    </row>
    <row r="39" spans="1:29" x14ac:dyDescent="0.25">
      <c r="A39" s="9">
        <f t="shared" si="15"/>
        <v>38</v>
      </c>
      <c r="B39" s="9">
        <f t="array" ref="B39">IF(C39="",0,IF(OR(C39=Country_Comparison!$S$10:$S$29),1,0))</f>
        <v>0</v>
      </c>
      <c r="C39" s="9" t="str">
        <f t="shared" si="17"/>
        <v>Dominican Republic</v>
      </c>
      <c r="D39" s="6">
        <f t="shared" si="18"/>
        <v>39</v>
      </c>
      <c r="E39" s="6">
        <f>IF(COUNTIF(I39:XFD39,"&gt;"&amp;0)=0,,HLOOKUP(COUNTIF(I39:XFD39,"&gt;"&amp;0)-1,I$1:XFD39,A39+1,FALSE))</f>
        <v>39</v>
      </c>
      <c r="F39" s="7">
        <f>IF(COUNTIF(I39:XFD39,"&gt;"&amp;0)=0,,HLOOKUP(COUNTIF(I39:XFD39,"&gt;"&amp;0)-MIN($F$1+1,COUNTIF(I39:XFD39,"&gt;"&amp;0)),I$1:XFD39,A39+1,FALSE))</f>
        <v>10</v>
      </c>
      <c r="G39" s="8">
        <f t="shared" si="16"/>
        <v>1.4052906339306293</v>
      </c>
      <c r="H39" s="13" t="s">
        <v>106</v>
      </c>
      <c r="I39" s="9">
        <v>10</v>
      </c>
      <c r="J39" s="9">
        <v>10</v>
      </c>
      <c r="K39" s="9">
        <v>20</v>
      </c>
      <c r="L39" s="9">
        <v>28</v>
      </c>
      <c r="M39" s="9">
        <v>39</v>
      </c>
    </row>
    <row r="40" spans="1:29" x14ac:dyDescent="0.25">
      <c r="A40" s="9">
        <f t="shared" si="15"/>
        <v>39</v>
      </c>
      <c r="B40" s="9">
        <f t="array" ref="B40">IF(C40="",0,IF(OR(C40=Country_Comparison!$S$10:$S$29),1,0))</f>
        <v>0</v>
      </c>
      <c r="C40" s="9" t="str">
        <f t="shared" si="17"/>
        <v>Greece</v>
      </c>
      <c r="D40" s="6">
        <f t="shared" si="18"/>
        <v>38</v>
      </c>
      <c r="E40" s="6">
        <f>IF(COUNTIF(I40:XFD40,"&gt;"&amp;0)=0,,HLOOKUP(COUNTIF(I40:XFD40,"&gt;"&amp;0)-1,I$1:XFD40,A40+1,FALSE))</f>
        <v>38</v>
      </c>
      <c r="F40" s="7">
        <f>IF(COUNTIF(I40:XFD40,"&gt;"&amp;0)=0,,HLOOKUP(COUNTIF(I40:XFD40,"&gt;"&amp;0)-MIN($F$1+1,COUNTIF(I40:XFD40,"&gt;"&amp;0)),I$1:XFD40,A40+1,FALSE))</f>
        <v>20</v>
      </c>
      <c r="G40" s="8">
        <f t="shared" si="16"/>
        <v>1.1369744888101381</v>
      </c>
      <c r="H40" s="13" t="s">
        <v>83</v>
      </c>
      <c r="I40" s="9">
        <v>13</v>
      </c>
      <c r="J40" s="9">
        <v>15</v>
      </c>
      <c r="K40" s="9">
        <v>17</v>
      </c>
      <c r="L40" s="9">
        <v>20</v>
      </c>
      <c r="M40" s="9">
        <v>22</v>
      </c>
      <c r="N40" s="9">
        <v>26</v>
      </c>
      <c r="O40" s="9">
        <v>28</v>
      </c>
      <c r="P40" s="9">
        <v>32</v>
      </c>
      <c r="Q40" s="9">
        <v>38</v>
      </c>
    </row>
    <row r="41" spans="1:29" x14ac:dyDescent="0.25">
      <c r="A41" s="9">
        <f t="shared" si="15"/>
        <v>40</v>
      </c>
      <c r="B41" s="9">
        <f t="array" ref="B41">IF(C41="",0,IF(OR(C41=Country_Comparison!$S$10:$S$29),1,0))</f>
        <v>0</v>
      </c>
      <c r="C41" s="9" t="str">
        <f t="shared" si="17"/>
        <v>Malaysia</v>
      </c>
      <c r="D41" s="6">
        <f t="shared" si="18"/>
        <v>35</v>
      </c>
      <c r="E41" s="6">
        <f>IF(COUNTIF(I41:XFD41,"&gt;"&amp;0)=0,,HLOOKUP(COUNTIF(I41:XFD41,"&gt;"&amp;0)-1,I$1:XFD41,A41+1,FALSE))</f>
        <v>35</v>
      </c>
      <c r="F41" s="7">
        <f>IF(COUNTIF(I41:XFD41,"&gt;"&amp;0)=0,,HLOOKUP(COUNTIF(I41:XFD41,"&gt;"&amp;0)-MIN($F$1+1,COUNTIF(I41:XFD41,"&gt;"&amp;0)),I$1:XFD41,A41+1,FALSE))</f>
        <v>16</v>
      </c>
      <c r="G41" s="8">
        <f t="shared" si="16"/>
        <v>1.1694714187140103</v>
      </c>
      <c r="H41" s="13" t="s">
        <v>43</v>
      </c>
      <c r="I41" s="9">
        <v>10</v>
      </c>
      <c r="J41" s="9">
        <v>14</v>
      </c>
      <c r="K41" s="9">
        <v>16</v>
      </c>
      <c r="L41" s="9">
        <v>20</v>
      </c>
      <c r="M41" s="9">
        <v>23</v>
      </c>
      <c r="N41" s="9">
        <v>26</v>
      </c>
      <c r="O41" s="9">
        <v>27</v>
      </c>
      <c r="P41" s="9">
        <v>35</v>
      </c>
    </row>
    <row r="42" spans="1:29" x14ac:dyDescent="0.25">
      <c r="A42" s="9">
        <f t="shared" si="15"/>
        <v>41</v>
      </c>
      <c r="B42" s="9">
        <f t="array" ref="B42">IF(C42="",0,IF(OR(C42=Country_Comparison!$S$10:$S$29),1,0))</f>
        <v>0</v>
      </c>
      <c r="C42" s="9" t="str">
        <f t="shared" si="17"/>
        <v>Algeria</v>
      </c>
      <c r="D42" s="6">
        <f t="shared" si="18"/>
        <v>31</v>
      </c>
      <c r="E42" s="6">
        <f>IF(COUNTIF(I42:XFD42,"&gt;"&amp;0)=0,,HLOOKUP(COUNTIF(I42:XFD42,"&gt;"&amp;0)-1,I$1:XFD42,A42+1,FALSE))</f>
        <v>31</v>
      </c>
      <c r="F42" s="7">
        <f>IF(COUNTIF(I42:XFD42,"&gt;"&amp;0)=0,,HLOOKUP(COUNTIF(I42:XFD42,"&gt;"&amp;0)-MIN($F$1+1,COUNTIF(I42:XFD42,"&gt;"&amp;0)),I$1:XFD42,A42+1,FALSE))</f>
        <v>19</v>
      </c>
      <c r="G42" s="8">
        <f t="shared" si="16"/>
        <v>1.10286313147853</v>
      </c>
      <c r="H42" s="13" t="s">
        <v>75</v>
      </c>
      <c r="I42" s="9">
        <v>9</v>
      </c>
      <c r="J42" s="9">
        <v>11</v>
      </c>
      <c r="K42" s="9">
        <v>15</v>
      </c>
      <c r="L42" s="9">
        <v>17</v>
      </c>
      <c r="M42" s="9">
        <v>17</v>
      </c>
      <c r="N42" s="9">
        <v>19</v>
      </c>
      <c r="O42" s="9">
        <v>21</v>
      </c>
      <c r="P42" s="9">
        <v>25</v>
      </c>
      <c r="Q42" s="9">
        <v>26</v>
      </c>
      <c r="R42" s="9">
        <v>29</v>
      </c>
      <c r="S42" s="9">
        <v>31</v>
      </c>
    </row>
    <row r="43" spans="1:29" x14ac:dyDescent="0.25">
      <c r="A43" s="9">
        <f t="shared" si="15"/>
        <v>42</v>
      </c>
      <c r="B43" s="9">
        <f t="array" ref="B43">IF(C43="",0,IF(OR(C43=Country_Comparison!$S$10:$S$29),1,0))</f>
        <v>0</v>
      </c>
      <c r="C43" s="9" t="str">
        <f t="shared" si="17"/>
        <v>India</v>
      </c>
      <c r="D43" s="6">
        <f t="shared" si="18"/>
        <v>27</v>
      </c>
      <c r="E43" s="6">
        <f>IF(COUNTIF(I43:XFD43,"&gt;"&amp;0)=0,,HLOOKUP(COUNTIF(I43:XFD43,"&gt;"&amp;0)-1,I$1:XFD43,A43+1,FALSE))</f>
        <v>27</v>
      </c>
      <c r="F43" s="7">
        <f>IF(COUNTIF(I43:XFD43,"&gt;"&amp;0)=0,,HLOOKUP(COUNTIF(I43:XFD43,"&gt;"&amp;0)-MIN($F$1+1,COUNTIF(I43:XFD43,"&gt;"&amp;0)),I$1:XFD43,A43+1,FALSE))</f>
        <v>10</v>
      </c>
      <c r="G43" s="8">
        <f t="shared" si="16"/>
        <v>1.2197554094669347</v>
      </c>
      <c r="H43" s="13" t="s">
        <v>57</v>
      </c>
      <c r="I43" s="9">
        <v>10</v>
      </c>
      <c r="J43" s="9">
        <v>10</v>
      </c>
      <c r="K43" s="9">
        <v>12</v>
      </c>
      <c r="L43" s="9">
        <v>20</v>
      </c>
      <c r="M43" s="9">
        <v>20</v>
      </c>
      <c r="N43" s="9">
        <v>24</v>
      </c>
      <c r="O43" s="9">
        <v>27</v>
      </c>
    </row>
    <row r="44" spans="1:29" x14ac:dyDescent="0.25">
      <c r="A44" s="9">
        <f t="shared" si="15"/>
        <v>43</v>
      </c>
      <c r="B44" s="9">
        <f t="array" ref="B44">IF(C44="",0,IF(OR(C44=Country_Comparison!$S$10:$S$29),1,0))</f>
        <v>0</v>
      </c>
      <c r="C44" s="9" t="str">
        <f t="shared" si="17"/>
        <v>Morocco</v>
      </c>
      <c r="D44" s="6">
        <f t="shared" si="18"/>
        <v>26</v>
      </c>
      <c r="E44" s="6">
        <f>IF(COUNTIF(I44:XFD44,"&gt;"&amp;0)=0,,HLOOKUP(COUNTIF(I44:XFD44,"&gt;"&amp;0)-1,I$1:XFD44,A44+1,FALSE))</f>
        <v>26</v>
      </c>
      <c r="F44" s="7">
        <f>IF(COUNTIF(I44:XFD44,"&gt;"&amp;0)=0,,HLOOKUP(COUNTIF(I44:XFD44,"&gt;"&amp;0)-MIN($F$1+1,COUNTIF(I44:XFD44,"&gt;"&amp;0)),I$1:XFD44,A44+1,FALSE))</f>
        <v>11</v>
      </c>
      <c r="G44" s="8">
        <f t="shared" si="16"/>
        <v>1.3320695095112127</v>
      </c>
      <c r="H44" s="13" t="s">
        <v>112</v>
      </c>
      <c r="I44" s="9">
        <v>11</v>
      </c>
      <c r="J44" s="9">
        <v>23</v>
      </c>
      <c r="K44" s="9">
        <v>25</v>
      </c>
      <c r="L44" s="9">
        <v>26</v>
      </c>
    </row>
    <row r="45" spans="1:29" x14ac:dyDescent="0.25">
      <c r="A45" s="9">
        <f t="shared" si="15"/>
        <v>44</v>
      </c>
      <c r="B45" s="9">
        <f t="array" ref="B45">IF(C45="",0,IF(OR(C45=Country_Comparison!$S$10:$S$29),1,0))</f>
        <v>0</v>
      </c>
      <c r="C45" s="9" t="str">
        <f t="shared" si="17"/>
        <v>Norway</v>
      </c>
      <c r="D45" s="6">
        <f t="shared" si="18"/>
        <v>25</v>
      </c>
      <c r="E45" s="6">
        <f>IF(COUNTIF(I45:XFD45,"&gt;"&amp;0)=0,,HLOOKUP(COUNTIF(I45:XFD45,"&gt;"&amp;0)-1,I$1:XFD45,A45+1,FALSE))</f>
        <v>25</v>
      </c>
      <c r="F45" s="7">
        <f>IF(COUNTIF(I45:XFD45,"&gt;"&amp;0)=0,,HLOOKUP(COUNTIF(I45:XFD45,"&gt;"&amp;0)-MIN($F$1+1,COUNTIF(I45:XFD45,"&gt;"&amp;0)),I$1:XFD45,A45+1,FALSE))</f>
        <v>12</v>
      </c>
      <c r="G45" s="8">
        <f t="shared" si="16"/>
        <v>1.1581151756192944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</row>
    <row r="46" spans="1:29" x14ac:dyDescent="0.25">
      <c r="A46" s="9">
        <f t="shared" si="15"/>
        <v>45</v>
      </c>
      <c r="B46" s="9">
        <f t="array" ref="B46">IF(C46="",0,IF(OR(C46=Country_Comparison!$S$10:$S$29),1,0))</f>
        <v>0</v>
      </c>
      <c r="C46" s="9" t="str">
        <f t="shared" si="17"/>
        <v>San Marino</v>
      </c>
      <c r="D46" s="6">
        <f t="shared" si="18"/>
        <v>22</v>
      </c>
      <c r="E46" s="6">
        <f>IF(COUNTIF(I46:XFD46,"&gt;"&amp;0)=0,,HLOOKUP(COUNTIF(I46:XFD46,"&gt;"&amp;0)-1,I$1:XFD46,A46+1,FALSE))</f>
        <v>22</v>
      </c>
      <c r="F46" s="7">
        <f>IF(COUNTIF(I46:XFD46,"&gt;"&amp;0)=0,,HLOOKUP(COUNTIF(I46:XFD46,"&gt;"&amp;0)-MIN($F$1+1,COUNTIF(I46:XFD46,"&gt;"&amp;0)),I$1:XFD46,A46+1,FALSE))</f>
        <v>21</v>
      </c>
      <c r="G46" s="8">
        <f t="shared" si="16"/>
        <v>1.0093474199095689</v>
      </c>
      <c r="H46" s="13" t="s">
        <v>90</v>
      </c>
      <c r="I46" s="9">
        <v>11</v>
      </c>
      <c r="J46" s="9">
        <v>11</v>
      </c>
      <c r="K46" s="9">
        <v>14</v>
      </c>
      <c r="L46" s="9">
        <v>20</v>
      </c>
      <c r="M46" s="9">
        <v>20</v>
      </c>
      <c r="N46" s="9">
        <v>20</v>
      </c>
      <c r="O46" s="9">
        <v>21</v>
      </c>
      <c r="P46" s="9">
        <v>21</v>
      </c>
      <c r="Q46" s="9">
        <v>21</v>
      </c>
      <c r="R46" s="9">
        <v>21</v>
      </c>
      <c r="S46" s="9">
        <v>22</v>
      </c>
      <c r="T46" s="9">
        <v>22</v>
      </c>
    </row>
    <row r="47" spans="1:29" x14ac:dyDescent="0.25">
      <c r="A47" s="9">
        <f t="shared" si="15"/>
        <v>46</v>
      </c>
      <c r="B47" s="9">
        <f t="array" ref="B47">IF(C47="",0,IF(OR(C47=Country_Comparison!$S$10:$S$29),1,0))</f>
        <v>0</v>
      </c>
      <c r="C47" s="9" t="str">
        <f t="shared" si="17"/>
        <v>Poland</v>
      </c>
      <c r="D47" s="6">
        <f t="shared" si="18"/>
        <v>22</v>
      </c>
      <c r="E47" s="6">
        <f>IF(COUNTIF(I47:XFD47,"&gt;"&amp;0)=0,,HLOOKUP(COUNTIF(I47:XFD47,"&gt;"&amp;0)-1,I$1:XFD47,A47+1,FALSE))</f>
        <v>22</v>
      </c>
      <c r="F47" s="7">
        <f>IF(COUNTIF(I47:XFD47,"&gt;"&amp;0)=0,,HLOOKUP(COUNTIF(I47:XFD47,"&gt;"&amp;0)-MIN($F$1+1,COUNTIF(I47:XFD47,"&gt;"&amp;0)),I$1:XFD47,A47+1,FALSE))</f>
        <v>10</v>
      </c>
      <c r="G47" s="8">
        <f t="shared" si="16"/>
        <v>1.1708049129648923</v>
      </c>
      <c r="H47" s="13" t="s">
        <v>137</v>
      </c>
      <c r="I47" s="9">
        <v>8</v>
      </c>
      <c r="J47" s="9">
        <v>10</v>
      </c>
      <c r="K47" s="9">
        <v>14</v>
      </c>
      <c r="L47" s="9">
        <v>16</v>
      </c>
      <c r="M47" s="9">
        <v>16</v>
      </c>
      <c r="N47" s="9">
        <v>18</v>
      </c>
      <c r="O47" s="9">
        <v>22</v>
      </c>
    </row>
    <row r="48" spans="1:29" x14ac:dyDescent="0.25">
      <c r="A48" s="9">
        <f t="shared" si="15"/>
        <v>47</v>
      </c>
      <c r="B48" s="9">
        <f t="array" ref="B48">IF(C48="",0,IF(OR(C48=Country_Comparison!$S$10:$S$29),1,0))</f>
        <v>0</v>
      </c>
      <c r="C48" s="9" t="str">
        <f t="shared" si="17"/>
        <v>Luxembourg</v>
      </c>
      <c r="D48" s="6">
        <f t="shared" si="18"/>
        <v>21</v>
      </c>
      <c r="E48" s="6">
        <f>IF(COUNTIF(I48:XFD48,"&gt;"&amp;0)=0,,HLOOKUP(COUNTIF(I48:XFD48,"&gt;"&amp;0)-1,I$1:XFD48,A48+1,FALSE))</f>
        <v>21</v>
      </c>
      <c r="F48" s="7">
        <f>IF(COUNTIF(I48:XFD48,"&gt;"&amp;0)=0,,HLOOKUP(COUNTIF(I48:XFD48,"&gt;"&amp;0)-MIN($F$1+1,COUNTIF(I48:XFD48,"&gt;"&amp;0)),I$1:XFD48,A48+1,FALSE))</f>
        <v>8</v>
      </c>
      <c r="G48" s="8">
        <f t="shared" si="16"/>
        <v>1.2129024171617326</v>
      </c>
      <c r="H48" s="13" t="s">
        <v>99</v>
      </c>
      <c r="I48" s="9">
        <v>8</v>
      </c>
      <c r="J48" s="9">
        <v>8</v>
      </c>
      <c r="K48" s="9">
        <v>8</v>
      </c>
      <c r="L48" s="9">
        <v>8</v>
      </c>
      <c r="M48" s="9">
        <v>8</v>
      </c>
      <c r="N48" s="9">
        <v>9</v>
      </c>
      <c r="O48" s="9">
        <v>15</v>
      </c>
      <c r="P48" s="9">
        <v>18</v>
      </c>
      <c r="Q48" s="9">
        <v>21</v>
      </c>
    </row>
    <row r="49" spans="1:14" x14ac:dyDescent="0.25">
      <c r="A49" s="9">
        <f t="shared" si="15"/>
        <v>48</v>
      </c>
      <c r="B49" s="9">
        <f t="array" ref="B49">IF(C49="",0,IF(OR(C49=Country_Comparison!$S$10:$S$29),1,0))</f>
        <v>0</v>
      </c>
      <c r="C49" s="9" t="str">
        <f t="shared" si="17"/>
        <v>Argentina</v>
      </c>
      <c r="D49" s="6">
        <f t="shared" si="18"/>
        <v>19</v>
      </c>
      <c r="E49" s="6">
        <f>IF(COUNTIF(I49:XFD49,"&gt;"&amp;0)=0,,HLOOKUP(COUNTIF(I49:XFD49,"&gt;"&amp;0)-1,I$1:XFD49,A49+1,FALSE))</f>
        <v>19</v>
      </c>
      <c r="F49" s="7">
        <f>IF(COUNTIF(I49:XFD49,"&gt;"&amp;0)=0,,HLOOKUP(COUNTIF(I49:XFD49,"&gt;"&amp;0)-MIN($F$1+1,COUNTIF(I49:XFD49,"&gt;"&amp;0)),I$1:XFD49,A49+1,FALSE))</f>
        <v>8</v>
      </c>
      <c r="G49" s="8">
        <f t="shared" si="16"/>
        <v>1.2414118980991942</v>
      </c>
      <c r="H49" s="13" t="s">
        <v>123</v>
      </c>
      <c r="I49" s="9">
        <v>8</v>
      </c>
      <c r="J49" s="9">
        <v>9</v>
      </c>
      <c r="K49" s="9">
        <v>13</v>
      </c>
      <c r="L49" s="9">
        <v>18</v>
      </c>
      <c r="M49" s="9">
        <v>19</v>
      </c>
    </row>
    <row r="50" spans="1:14" x14ac:dyDescent="0.25">
      <c r="A50" s="9">
        <f t="shared" si="15"/>
        <v>49</v>
      </c>
      <c r="B50" s="9">
        <f t="array" ref="B50">IF(C50="",0,IF(OR(C50=Country_Comparison!$S$10:$S$29),1,0))</f>
        <v>0</v>
      </c>
      <c r="C50" s="9" t="str">
        <f t="shared" si="17"/>
        <v>Peru</v>
      </c>
      <c r="D50" s="6">
        <f t="shared" si="18"/>
        <v>18</v>
      </c>
      <c r="E50" s="6">
        <f>IF(COUNTIF(I50:XFD50,"&gt;"&amp;0)=0,,HLOOKUP(COUNTIF(I50:XFD50,"&gt;"&amp;0)-1,I$1:XFD50,A50+1,FALSE))</f>
        <v>18</v>
      </c>
      <c r="F50" s="7">
        <f>IF(COUNTIF(I50:XFD50,"&gt;"&amp;0)=0,,HLOOKUP(COUNTIF(I50:XFD50,"&gt;"&amp;0)-MIN($F$1+1,COUNTIF(I50:XFD50,"&gt;"&amp;0)),I$1:XFD50,A50+1,FALSE))</f>
        <v>9</v>
      </c>
      <c r="G50" s="8">
        <f t="shared" si="16"/>
        <v>1.189207115002721</v>
      </c>
      <c r="H50" s="13" t="s">
        <v>160</v>
      </c>
      <c r="I50" s="9">
        <v>9</v>
      </c>
      <c r="J50" s="9">
        <v>9</v>
      </c>
      <c r="K50" s="9">
        <v>11</v>
      </c>
      <c r="L50" s="9">
        <v>16</v>
      </c>
      <c r="M50" s="9">
        <v>18</v>
      </c>
    </row>
    <row r="51" spans="1:14" x14ac:dyDescent="0.25">
      <c r="A51" s="9">
        <f t="shared" si="15"/>
        <v>50</v>
      </c>
      <c r="B51" s="9">
        <f t="array" ref="B51">IF(C51="",0,IF(OR(C51=Country_Comparison!$S$10:$S$29),1,0))</f>
        <v>0</v>
      </c>
      <c r="C51" s="9" t="str">
        <f t="shared" si="17"/>
        <v>Panama</v>
      </c>
      <c r="D51" s="6">
        <f t="shared" si="18"/>
        <v>17</v>
      </c>
      <c r="E51" s="6">
        <f>IF(COUNTIF(I51:XFD51,"&gt;"&amp;0)=0,,HLOOKUP(COUNTIF(I51:XFD51,"&gt;"&amp;0)-1,I$1:XFD51,A51+1,FALSE))</f>
        <v>17</v>
      </c>
      <c r="F51" s="7">
        <f>IF(COUNTIF(I51:XFD51,"&gt;"&amp;0)=0,,HLOOKUP(COUNTIF(I51:XFD51,"&gt;"&amp;0)-MIN($F$1+1,COUNTIF(I51:XFD51,"&gt;"&amp;0)),I$1:XFD51,A51+1,FALSE))</f>
        <v>8</v>
      </c>
      <c r="G51" s="8">
        <f t="shared" si="16"/>
        <v>1.207368201383209</v>
      </c>
      <c r="H51" s="13" t="s">
        <v>283</v>
      </c>
      <c r="I51" s="9">
        <v>8</v>
      </c>
      <c r="J51" s="9">
        <v>8</v>
      </c>
      <c r="K51" s="9">
        <v>9</v>
      </c>
      <c r="L51" s="9">
        <v>14</v>
      </c>
      <c r="M51" s="9">
        <v>17</v>
      </c>
    </row>
    <row r="52" spans="1:14" x14ac:dyDescent="0.25">
      <c r="A52" s="9">
        <f t="shared" si="15"/>
        <v>51</v>
      </c>
      <c r="B52" s="9">
        <f t="array" ref="B52">IF(C52="",0,IF(OR(C52=Country_Comparison!$S$10:$S$29),1,0))</f>
        <v>0</v>
      </c>
      <c r="C52" s="9" t="str">
        <f t="shared" si="17"/>
        <v>Australia</v>
      </c>
      <c r="D52" s="6">
        <f t="shared" si="18"/>
        <v>16</v>
      </c>
      <c r="E52" s="6">
        <f>IF(COUNTIF(I52:XFD52,"&gt;"&amp;0)=0,,HLOOKUP(COUNTIF(I52:XFD52,"&gt;"&amp;0)-1,I$1:XFD52,A52+1,FALSE))</f>
        <v>16</v>
      </c>
      <c r="F52" s="7">
        <f>IF(COUNTIF(I52:XFD52,"&gt;"&amp;0)=0,,HLOOKUP(COUNTIF(I52:XFD52,"&gt;"&amp;0)-MIN($F$1+1,COUNTIF(I52:XFD52,"&gt;"&amp;0)),I$1:XFD52,A52+1,FALSE))</f>
        <v>8</v>
      </c>
      <c r="G52" s="8">
        <f t="shared" si="16"/>
        <v>1.1486983549970351</v>
      </c>
      <c r="H52" s="13" t="s">
        <v>48</v>
      </c>
      <c r="I52" s="9">
        <v>8</v>
      </c>
      <c r="J52" s="9">
        <v>8</v>
      </c>
      <c r="K52" s="9">
        <v>13</v>
      </c>
      <c r="L52" s="9">
        <v>13</v>
      </c>
      <c r="M52" s="9">
        <v>14</v>
      </c>
      <c r="N52" s="9">
        <v>16</v>
      </c>
    </row>
    <row r="53" spans="1:14" x14ac:dyDescent="0.25">
      <c r="A53" s="9">
        <f t="shared" si="15"/>
        <v>52</v>
      </c>
      <c r="B53" s="9">
        <f t="array" ref="B53">IF(C53="",0,IF(OR(C53=Country_Comparison!$S$10:$S$29),1,0))</f>
        <v>0</v>
      </c>
      <c r="C53" s="9" t="str">
        <f t="shared" si="17"/>
        <v>Czechia</v>
      </c>
      <c r="D53" s="6">
        <f t="shared" si="18"/>
        <v>16</v>
      </c>
      <c r="E53" s="6">
        <f>IF(COUNTIF(I53:XFD53,"&gt;"&amp;0)=0,,HLOOKUP(COUNTIF(I53:XFD53,"&gt;"&amp;0)-1,I$1:XFD53,A53+1,FALSE))</f>
        <v>16</v>
      </c>
      <c r="F53" s="7">
        <f>IF(COUNTIF(I53:XFD53,"&gt;"&amp;0)=0,,HLOOKUP(COUNTIF(I53:XFD53,"&gt;"&amp;0)-MIN($F$1+1,COUNTIF(I53:XFD53,"&gt;"&amp;0)),I$1:XFD53,A53+1,FALSE))</f>
        <v>9</v>
      </c>
      <c r="G53" s="8">
        <f t="shared" si="16"/>
        <v>1.2114137285547597</v>
      </c>
      <c r="H53" s="13" t="s">
        <v>341</v>
      </c>
      <c r="I53" s="9">
        <v>9</v>
      </c>
      <c r="J53" s="9">
        <v>9</v>
      </c>
      <c r="K53" s="9">
        <v>11</v>
      </c>
      <c r="L53" s="9">
        <v>16</v>
      </c>
    </row>
    <row r="54" spans="1:14" x14ac:dyDescent="0.25">
      <c r="A54" s="9">
        <f t="shared" si="15"/>
        <v>53</v>
      </c>
      <c r="B54" s="9">
        <f t="array" ref="B54">IF(C54="",0,IF(OR(C54=Country_Comparison!$S$10:$S$29),1,0))</f>
        <v>0</v>
      </c>
      <c r="C54" s="9" t="str">
        <f t="shared" si="17"/>
        <v>Mexico</v>
      </c>
      <c r="D54" s="6">
        <f t="shared" si="18"/>
        <v>16</v>
      </c>
      <c r="E54" s="6">
        <f>IF(COUNTIF(I54:XFD54,"&gt;"&amp;0)=0,,HLOOKUP(COUNTIF(I54:XFD54,"&gt;"&amp;0)-1,I$1:XFD54,A54+1,FALSE))</f>
        <v>16</v>
      </c>
      <c r="F54" s="7">
        <f>IF(COUNTIF(I54:XFD54,"&gt;"&amp;0)=0,,HLOOKUP(COUNTIF(I54:XFD54,"&gt;"&amp;0)-MIN($F$1+1,COUNTIF(I54:XFD54,"&gt;"&amp;0)),I$1:XFD54,A54+1,FALSE))</f>
        <v>8</v>
      </c>
      <c r="G54" s="8">
        <f t="shared" si="16"/>
        <v>1.4142135623730951</v>
      </c>
      <c r="H54" s="13" t="s">
        <v>94</v>
      </c>
      <c r="I54" s="9">
        <v>8</v>
      </c>
      <c r="J54" s="9">
        <v>12</v>
      </c>
      <c r="K54" s="9">
        <v>16</v>
      </c>
    </row>
    <row r="55" spans="1:14" x14ac:dyDescent="0.25">
      <c r="A55" s="9">
        <f t="shared" si="15"/>
        <v>54</v>
      </c>
      <c r="B55" s="9">
        <f t="array" ref="B55">IF(C55="",0,IF(OR(C55=Country_Comparison!$S$10:$S$29),1,0))</f>
        <v>0</v>
      </c>
      <c r="C55" s="9" t="str">
        <f t="shared" si="17"/>
        <v>Israel</v>
      </c>
      <c r="D55" s="6">
        <f t="shared" si="18"/>
        <v>15</v>
      </c>
      <c r="E55" s="6">
        <f>IF(COUNTIF(I55:XFD55,"&gt;"&amp;0)=0,,HLOOKUP(COUNTIF(I55:XFD55,"&gt;"&amp;0)-1,I$1:XFD55,A55+1,FALSE))</f>
        <v>15</v>
      </c>
      <c r="F55" s="7">
        <f>IF(COUNTIF(I55:XFD55,"&gt;"&amp;0)=0,,HLOOKUP(COUNTIF(I55:XFD55,"&gt;"&amp;0)-MIN($F$1+1,COUNTIF(I55:XFD55,"&gt;"&amp;0)),I$1:XFD55,A55+1,FALSE))</f>
        <v>8</v>
      </c>
      <c r="G55" s="8">
        <f t="shared" si="16"/>
        <v>1.2331060371652349</v>
      </c>
      <c r="H55" s="13" t="s">
        <v>79</v>
      </c>
      <c r="I55" s="9">
        <v>8</v>
      </c>
      <c r="J55" s="9">
        <v>12</v>
      </c>
      <c r="K55" s="9">
        <v>12</v>
      </c>
      <c r="L55" s="9">
        <v>15</v>
      </c>
    </row>
    <row r="56" spans="1:14" x14ac:dyDescent="0.25">
      <c r="A56" s="9">
        <f t="shared" si="15"/>
        <v>55</v>
      </c>
      <c r="B56" s="9">
        <f t="array" ref="B56">IF(C56="",0,IF(OR(C56=Country_Comparison!$S$10:$S$29),1,0))</f>
        <v>0</v>
      </c>
      <c r="C56" s="9" t="str">
        <f t="shared" si="17"/>
        <v>Pakistan</v>
      </c>
      <c r="D56" s="6">
        <f t="shared" si="18"/>
        <v>14</v>
      </c>
      <c r="E56" s="6">
        <f>IF(COUNTIF(I56:XFD56,"&gt;"&amp;0)=0,,HLOOKUP(COUNTIF(I56:XFD56,"&gt;"&amp;0)-1,I$1:XFD56,A56+1,FALSE))</f>
        <v>14</v>
      </c>
      <c r="F56" s="7">
        <f>IF(COUNTIF(I56:XFD56,"&gt;"&amp;0)=0,,HLOOKUP(COUNTIF(I56:XFD56,"&gt;"&amp;0)-MIN($F$1+1,COUNTIF(I56:XFD56,"&gt;"&amp;0)),I$1:XFD56,A56+1,FALSE))</f>
        <v>8</v>
      </c>
      <c r="G56" s="8">
        <f t="shared" si="16"/>
        <v>1.1501633168956029</v>
      </c>
      <c r="H56" s="13" t="s">
        <v>80</v>
      </c>
      <c r="I56" s="9">
        <v>8</v>
      </c>
      <c r="J56" s="9">
        <v>9</v>
      </c>
      <c r="K56" s="9">
        <v>11</v>
      </c>
      <c r="L56" s="9">
        <v>12</v>
      </c>
      <c r="M56" s="9">
        <v>14</v>
      </c>
    </row>
    <row r="57" spans="1:14" x14ac:dyDescent="0.25">
      <c r="A57" s="9">
        <f t="shared" si="15"/>
        <v>56</v>
      </c>
      <c r="B57" s="9">
        <f t="array" ref="B57">IF(C57="",0,IF(OR(C57=Country_Comparison!$S$10:$S$29),1,0))</f>
        <v>0</v>
      </c>
      <c r="C57" s="9" t="str">
        <f t="shared" si="17"/>
        <v>Serbia</v>
      </c>
      <c r="D57" s="6">
        <f t="shared" si="18"/>
        <v>13</v>
      </c>
      <c r="E57" s="6">
        <f>IF(COUNTIF(I57:XFD57,"&gt;"&amp;0)=0,,HLOOKUP(COUNTIF(I57:XFD57,"&gt;"&amp;0)-1,I$1:XFD57,A57+1,FALSE))</f>
        <v>13</v>
      </c>
      <c r="F57" s="7">
        <f>IF(COUNTIF(I57:XFD57,"&gt;"&amp;0)=0,,HLOOKUP(COUNTIF(I57:XFD57,"&gt;"&amp;0)-MIN($F$1+1,COUNTIF(I57:XFD57,"&gt;"&amp;0)),I$1:XFD57,A57+1,FALSE))</f>
        <v>10</v>
      </c>
      <c r="G57" s="8">
        <f t="shared" si="16"/>
        <v>1.3</v>
      </c>
      <c r="H57" s="13" t="s">
        <v>161</v>
      </c>
      <c r="I57" s="9">
        <v>10</v>
      </c>
      <c r="J57" s="9">
        <v>13</v>
      </c>
    </row>
    <row r="58" spans="1:14" x14ac:dyDescent="0.25">
      <c r="A58" s="9">
        <f t="shared" si="15"/>
        <v>57</v>
      </c>
      <c r="B58" s="9">
        <f t="array" ref="B58">IF(C58="",0,IF(OR(C58=Country_Comparison!$S$10:$S$29),1,0))</f>
        <v>0</v>
      </c>
      <c r="C58" s="9" t="str">
        <f t="shared" si="17"/>
        <v>Hungary</v>
      </c>
      <c r="D58" s="6">
        <f t="shared" si="18"/>
        <v>13</v>
      </c>
      <c r="E58" s="6">
        <f>IF(COUNTIF(I58:XFD58,"&gt;"&amp;0)=0,,HLOOKUP(COUNTIF(I58:XFD58,"&gt;"&amp;0)-1,I$1:XFD58,A58+1,FALSE))</f>
        <v>13</v>
      </c>
      <c r="F58" s="7">
        <f>IF(COUNTIF(I58:XFD58,"&gt;"&amp;0)=0,,HLOOKUP(COUNTIF(I58:XFD58,"&gt;"&amp;0)-MIN($F$1+1,COUNTIF(I58:XFD58,"&gt;"&amp;0)),I$1:XFD58,A58+1,FALSE))</f>
        <v>9</v>
      </c>
      <c r="G58" s="8">
        <f t="shared" si="16"/>
        <v>1.0763169225148108</v>
      </c>
      <c r="H58" s="13" t="s">
        <v>132</v>
      </c>
      <c r="I58" s="9">
        <v>9</v>
      </c>
      <c r="J58" s="9">
        <v>10</v>
      </c>
      <c r="K58" s="9">
        <v>10</v>
      </c>
      <c r="L58" s="9">
        <v>10</v>
      </c>
      <c r="M58" s="9">
        <v>11</v>
      </c>
      <c r="N58" s="9">
        <v>13</v>
      </c>
    </row>
    <row r="59" spans="1:14" x14ac:dyDescent="0.25">
      <c r="A59" s="9">
        <f t="shared" si="15"/>
        <v>58</v>
      </c>
      <c r="B59" s="9">
        <f t="array" ref="B59">IF(C59="",0,IF(OR(C59=Country_Comparison!$S$10:$S$29),1,0))</f>
        <v>0</v>
      </c>
      <c r="C59" s="9" t="str">
        <f t="shared" si="17"/>
        <v>Burkina Faso</v>
      </c>
      <c r="D59" s="6">
        <f t="shared" si="18"/>
        <v>12</v>
      </c>
      <c r="E59" s="6">
        <f>IF(COUNTIF(I59:XFD59,"&gt;"&amp;0)=0,,HLOOKUP(COUNTIF(I59:XFD59,"&gt;"&amp;0)-1,I$1:XFD59,A59+1,FALSE))</f>
        <v>12</v>
      </c>
      <c r="F59" s="7">
        <f>IF(COUNTIF(I59:XFD59,"&gt;"&amp;0)=0,,HLOOKUP(COUNTIF(I59:XFD59,"&gt;"&amp;0)-MIN($F$1+1,COUNTIF(I59:XFD59,"&gt;"&amp;0)),I$1:XFD59,A59+1,FALSE))</f>
        <v>9</v>
      </c>
      <c r="G59" s="8">
        <f t="shared" si="16"/>
        <v>1.1547005383792515</v>
      </c>
      <c r="H59" s="13" t="s">
        <v>279</v>
      </c>
      <c r="I59" s="9">
        <v>9</v>
      </c>
      <c r="J59" s="9">
        <v>11</v>
      </c>
      <c r="K59" s="9">
        <v>12</v>
      </c>
    </row>
    <row r="60" spans="1:14" x14ac:dyDescent="0.25">
      <c r="A60" s="9">
        <f t="shared" si="15"/>
        <v>59</v>
      </c>
      <c r="B60" s="9">
        <f t="array" ref="B60">IF(C60="",0,IF(OR(C60=Country_Comparison!$S$10:$S$29),1,0))</f>
        <v>0</v>
      </c>
      <c r="C60" s="9" t="str">
        <f t="shared" si="17"/>
        <v>Finland</v>
      </c>
      <c r="D60" s="6">
        <f t="shared" si="18"/>
        <v>11</v>
      </c>
      <c r="E60" s="6">
        <f>IF(COUNTIF(I60:XFD60,"&gt;"&amp;0)=0,,HLOOKUP(COUNTIF(I60:XFD60,"&gt;"&amp;0)-1,I$1:XFD60,A60+1,FALSE))</f>
        <v>11</v>
      </c>
      <c r="F60" s="7">
        <f>IF(COUNTIF(I60:XFD60,"&gt;"&amp;0)=0,,HLOOKUP(COUNTIF(I60:XFD60,"&gt;"&amp;0)-MIN($F$1+1,COUNTIF(I60:XFD60,"&gt;"&amp;0)),I$1:XFD60,A60+1,FALSE))</f>
        <v>9</v>
      </c>
      <c r="G60" s="8">
        <f t="shared" si="16"/>
        <v>1.2222222222222223</v>
      </c>
      <c r="H60" s="13" t="s">
        <v>54</v>
      </c>
      <c r="I60" s="9">
        <v>9</v>
      </c>
      <c r="J60" s="9">
        <v>11</v>
      </c>
    </row>
    <row r="61" spans="1:14" x14ac:dyDescent="0.25">
      <c r="A61" s="9">
        <f t="shared" si="15"/>
        <v>60</v>
      </c>
      <c r="B61" s="9">
        <f t="array" ref="B61">IF(C61="",0,IF(OR(C61=Country_Comparison!$S$10:$S$29),1,0))</f>
        <v>0</v>
      </c>
      <c r="C61" s="9" t="str">
        <f t="shared" si="17"/>
        <v>Slovenia</v>
      </c>
      <c r="D61" s="6">
        <f t="shared" si="18"/>
        <v>11</v>
      </c>
      <c r="E61" s="6">
        <f>IF(COUNTIF(I61:XFD61,"&gt;"&amp;0)=0,,HLOOKUP(COUNTIF(I61:XFD61,"&gt;"&amp;0)-1,I$1:XFD61,A61+1,FALSE))</f>
        <v>11</v>
      </c>
      <c r="F61" s="7">
        <f>IF(COUNTIF(I61:XFD61,"&gt;"&amp;0)=0,,HLOOKUP(COUNTIF(I61:XFD61,"&gt;"&amp;0)-MIN($F$1+1,COUNTIF(I61:XFD61,"&gt;"&amp;0)),I$1:XFD61,A61+1,FALSE))</f>
        <v>9</v>
      </c>
      <c r="G61" s="8">
        <f t="shared" si="16"/>
        <v>1.1055415967851334</v>
      </c>
      <c r="H61" s="13" t="s">
        <v>141</v>
      </c>
      <c r="I61" s="9">
        <v>9</v>
      </c>
      <c r="J61" s="9">
        <v>9</v>
      </c>
      <c r="K61" s="9">
        <v>11</v>
      </c>
    </row>
    <row r="62" spans="1:14" x14ac:dyDescent="0.25">
      <c r="A62" s="9">
        <f t="shared" si="15"/>
        <v>61</v>
      </c>
      <c r="B62" s="9">
        <f t="array" ref="B62">IF(C62="",0,IF(OR(C62=Country_Comparison!$S$10:$S$29),1,0))</f>
        <v>0</v>
      </c>
      <c r="C62" s="9" t="str">
        <f t="shared" si="17"/>
        <v>Lebanon</v>
      </c>
      <c r="D62" s="6">
        <f t="shared" si="18"/>
        <v>10</v>
      </c>
      <c r="E62" s="6">
        <f>IF(COUNTIF(I62:XFD62,"&gt;"&amp;0)=0,,HLOOKUP(COUNTIF(I62:XFD62,"&gt;"&amp;0)-1,I$1:XFD62,A62+1,FALSE))</f>
        <v>10</v>
      </c>
      <c r="F62" s="7">
        <f>IF(COUNTIF(I62:XFD62,"&gt;"&amp;0)=0,,HLOOKUP(COUNTIF(I62:XFD62,"&gt;"&amp;0)-MIN($F$1+1,COUNTIF(I62:XFD62,"&gt;"&amp;0)),I$1:XFD62,A62+1,FALSE))</f>
        <v>8</v>
      </c>
      <c r="G62" s="8">
        <f t="shared" si="16"/>
        <v>1.1180339887498949</v>
      </c>
      <c r="H62" s="13" t="s">
        <v>67</v>
      </c>
      <c r="I62" s="9">
        <v>8</v>
      </c>
      <c r="J62" s="9">
        <v>8</v>
      </c>
      <c r="K62" s="9">
        <v>10</v>
      </c>
    </row>
    <row r="63" spans="1:14" x14ac:dyDescent="0.25">
      <c r="A63" s="9">
        <f t="shared" si="15"/>
        <v>62</v>
      </c>
      <c r="B63" s="9">
        <f t="array" ref="B63">IF(C63="",0,IF(OR(C63=Country_Comparison!$S$10:$S$29),1,0))</f>
        <v>0</v>
      </c>
      <c r="C63" s="9" t="str">
        <f t="shared" si="17"/>
        <v>Albania</v>
      </c>
      <c r="D63" s="6">
        <f t="shared" si="18"/>
        <v>10</v>
      </c>
      <c r="E63" s="6">
        <f>IF(COUNTIF(I63:XFD63,"&gt;"&amp;0)=0,,HLOOKUP(COUNTIF(I63:XFD63,"&gt;"&amp;0)-1,I$1:XFD63,A63+1,FALSE))</f>
        <v>10</v>
      </c>
      <c r="F63" s="7">
        <f>IF(COUNTIF(I63:XFD63,"&gt;"&amp;0)=0,,HLOOKUP(COUNTIF(I63:XFD63,"&gt;"&amp;0)-MIN($F$1+1,COUNTIF(I63:XFD63,"&gt;"&amp;0)),I$1:XFD63,A63+1,FALSE))</f>
        <v>8</v>
      </c>
      <c r="G63" s="8">
        <f t="shared" si="16"/>
        <v>1.1180339887498949</v>
      </c>
      <c r="H63" s="13" t="s">
        <v>230</v>
      </c>
      <c r="I63" s="9">
        <v>8</v>
      </c>
      <c r="J63" s="9">
        <v>10</v>
      </c>
      <c r="K63" s="9">
        <v>10</v>
      </c>
    </row>
    <row r="64" spans="1:14" x14ac:dyDescent="0.25">
      <c r="A64" s="9">
        <f t="shared" si="15"/>
        <v>63</v>
      </c>
      <c r="B64" s="9">
        <f t="array" ref="B64">IF(C64="",0,IF(OR(C64=Country_Comparison!$S$10:$S$29),1,0))</f>
        <v>0</v>
      </c>
      <c r="C64" s="9" t="str">
        <f t="shared" si="17"/>
        <v>Colombia</v>
      </c>
      <c r="D64" s="6">
        <f t="shared" si="18"/>
        <v>10</v>
      </c>
      <c r="E64" s="6">
        <f>IF(COUNTIF(I64:XFD64,"&gt;"&amp;0)=0,,HLOOKUP(COUNTIF(I64:XFD64,"&gt;"&amp;0)-1,I$1:XFD64,A64+1,FALSE))</f>
        <v>10</v>
      </c>
      <c r="F64" s="7">
        <f>IF(COUNTIF(I64:XFD64,"&gt;"&amp;0)=0,,HLOOKUP(COUNTIF(I64:XFD64,"&gt;"&amp;0)-MIN($F$1+1,COUNTIF(I64:XFD64,"&gt;"&amp;0)),I$1:XFD64,A64+1,FALSE))</f>
        <v>10</v>
      </c>
      <c r="G64" s="8" t="e">
        <f t="shared" si="16"/>
        <v>#DIV/0!</v>
      </c>
      <c r="H64" s="13" t="s">
        <v>158</v>
      </c>
      <c r="I64" s="9">
        <v>10</v>
      </c>
    </row>
    <row r="65" spans="1:10" x14ac:dyDescent="0.25">
      <c r="A65" s="9">
        <f t="shared" si="15"/>
        <v>64</v>
      </c>
      <c r="B65" s="9">
        <f t="array" ref="B65">IF(C65="",0,IF(OR(C65=Country_Comparison!$S$10:$S$29),1,0))</f>
        <v>0</v>
      </c>
      <c r="C65" s="9" t="str">
        <f t="shared" si="17"/>
        <v>Ukraine</v>
      </c>
      <c r="D65" s="6">
        <f t="shared" si="18"/>
        <v>10</v>
      </c>
      <c r="E65" s="6">
        <f>IF(COUNTIF(I65:XFD65,"&gt;"&amp;0)=0,,HLOOKUP(COUNTIF(I65:XFD65,"&gt;"&amp;0)-1,I$1:XFD65,A65+1,FALSE))</f>
        <v>10</v>
      </c>
      <c r="F65" s="7">
        <f>IF(COUNTIF(I65:XFD65,"&gt;"&amp;0)=0,,HLOOKUP(COUNTIF(I65:XFD65,"&gt;"&amp;0)-MIN($F$1+1,COUNTIF(I65:XFD65,"&gt;"&amp;0)),I$1:XFD65,A65+1,FALSE))</f>
        <v>9</v>
      </c>
      <c r="G65" s="8">
        <f t="shared" si="16"/>
        <v>1.1111111111111112</v>
      </c>
      <c r="H65" s="13" t="s">
        <v>129</v>
      </c>
      <c r="I65" s="9">
        <v>9</v>
      </c>
      <c r="J65" s="9">
        <v>10</v>
      </c>
    </row>
    <row r="66" spans="1:10" x14ac:dyDescent="0.25">
      <c r="A66" s="9">
        <f t="shared" ref="A66:A97" si="19">A65+1</f>
        <v>65</v>
      </c>
      <c r="B66" s="9">
        <f t="array" ref="B66">IF(C66="",0,IF(OR(C66=Country_Comparison!$S$10:$S$29),1,0))</f>
        <v>0</v>
      </c>
      <c r="C66" s="9" t="str">
        <f t="shared" si="17"/>
        <v>Saudi Arabia</v>
      </c>
      <c r="D66" s="6">
        <f t="shared" si="18"/>
        <v>8</v>
      </c>
      <c r="E66" s="6">
        <f>IF(COUNTIF(I66:XFD66,"&gt;"&amp;0)=0,,HLOOKUP(COUNTIF(I66:XFD66,"&gt;"&amp;0)-1,I$1:XFD66,A66+1,FALSE))</f>
        <v>8</v>
      </c>
      <c r="F66" s="7">
        <f>IF(COUNTIF(I66:XFD66,"&gt;"&amp;0)=0,,HLOOKUP(COUNTIF(I66:XFD66,"&gt;"&amp;0)-MIN($F$1+1,COUNTIF(I66:XFD66,"&gt;"&amp;0)),I$1:XFD66,A66+1,FALSE))</f>
        <v>8</v>
      </c>
      <c r="G66" s="8" t="e">
        <f t="shared" ref="G66:G97" si="20">IF(COUNTIF(I66:XFD66,"&gt;"&amp;0)=0,,(E66/F66)^(1/MIN(COUNTIF(I66:XFD66,"&gt;"&amp;0)-1,$F$1)))</f>
        <v>#DIV/0!</v>
      </c>
      <c r="H66" s="13" t="s">
        <v>113</v>
      </c>
      <c r="I66" s="9">
        <v>8</v>
      </c>
    </row>
    <row r="67" spans="1:10" x14ac:dyDescent="0.25">
      <c r="A67" s="9">
        <f t="shared" si="19"/>
        <v>66</v>
      </c>
      <c r="B67" s="9">
        <f t="array" ref="B67">IF(C67="",0,IF(OR(C67=Country_Comparison!$S$10:$S$29),1,0))</f>
        <v>0</v>
      </c>
      <c r="C67" s="9" t="str">
        <f t="shared" si="17"/>
        <v>Russia</v>
      </c>
      <c r="D67" s="6">
        <f t="shared" si="18"/>
        <v>8</v>
      </c>
      <c r="E67" s="6">
        <f>IF(COUNTIF(I67:XFD67,"&gt;"&amp;0)=0,,HLOOKUP(COUNTIF(I67:XFD67,"&gt;"&amp;0)-1,I$1:XFD67,A67+1,FALSE))</f>
        <v>8</v>
      </c>
      <c r="F67" s="7">
        <f>IF(COUNTIF(I67:XFD67,"&gt;"&amp;0)=0,,HLOOKUP(COUNTIF(I67:XFD67,"&gt;"&amp;0)-MIN($F$1+1,COUNTIF(I67:XFD67,"&gt;"&amp;0)),I$1:XFD67,A67+1,FALSE))</f>
        <v>8</v>
      </c>
      <c r="G67" s="8" t="e">
        <f t="shared" si="20"/>
        <v>#DIV/0!</v>
      </c>
      <c r="H67" s="13" t="s">
        <v>344</v>
      </c>
      <c r="I67" s="9">
        <v>8</v>
      </c>
    </row>
    <row r="68" spans="1:10" x14ac:dyDescent="0.25">
      <c r="A68" s="9">
        <f t="shared" si="19"/>
        <v>67</v>
      </c>
      <c r="B68" s="9">
        <f t="array" ref="B68">IF(C68="",0,IF(OR(C68=Country_Comparison!$S$10:$S$29),1,0))</f>
        <v>0</v>
      </c>
      <c r="C68" s="9" t="str">
        <f t="shared" si="17"/>
        <v>Bulgaria</v>
      </c>
      <c r="D68" s="6">
        <f t="shared" si="18"/>
        <v>8</v>
      </c>
      <c r="E68" s="6">
        <f>IF(COUNTIF(I68:XFD68,"&gt;"&amp;0)=0,,HLOOKUP(COUNTIF(I68:XFD68,"&gt;"&amp;0)-1,I$1:XFD68,A68+1,FALSE))</f>
        <v>8</v>
      </c>
      <c r="F68" s="7">
        <f>IF(COUNTIF(I68:XFD68,"&gt;"&amp;0)=0,,HLOOKUP(COUNTIF(I68:XFD68,"&gt;"&amp;0)-MIN($F$1+1,COUNTIF(I68:XFD68,"&gt;"&amp;0)),I$1:XFD68,A68+1,FALSE))</f>
        <v>8</v>
      </c>
      <c r="G68" s="8" t="e">
        <f t="shared" si="20"/>
        <v>#DIV/0!</v>
      </c>
      <c r="H68" s="13" t="s">
        <v>199</v>
      </c>
      <c r="I68" s="9">
        <v>8</v>
      </c>
    </row>
    <row r="69" spans="1:10" x14ac:dyDescent="0.25">
      <c r="A69" s="9">
        <f t="shared" si="19"/>
        <v>68</v>
      </c>
      <c r="B69" s="9">
        <f t="array" ref="B69">IF(C69="",0,IF(OR(C69=Country_Comparison!$S$10:$S$29),1,0))</f>
        <v>0</v>
      </c>
      <c r="C69" s="9" t="str">
        <f t="shared" ref="C69:C100" si="21">IF(H69="","",H69)</f>
        <v>Tunisia</v>
      </c>
      <c r="D69" s="6">
        <f t="shared" ref="D69:D100" si="22">MAX(I69:BD69)</f>
        <v>8</v>
      </c>
      <c r="E69" s="6">
        <f>IF(COUNTIF(I69:XFD69,"&gt;"&amp;0)=0,,HLOOKUP(COUNTIF(I69:XFD69,"&gt;"&amp;0)-1,I$1:XFD69,A69+1,FALSE))</f>
        <v>8</v>
      </c>
      <c r="F69" s="7">
        <f>IF(COUNTIF(I69:XFD69,"&gt;"&amp;0)=0,,HLOOKUP(COUNTIF(I69:XFD69,"&gt;"&amp;0)-MIN($F$1+1,COUNTIF(I69:XFD69,"&gt;"&amp;0)),I$1:XFD69,A69+1,FALSE))</f>
        <v>8</v>
      </c>
      <c r="G69" s="8">
        <f t="shared" si="20"/>
        <v>1</v>
      </c>
      <c r="H69" s="13" t="s">
        <v>138</v>
      </c>
      <c r="I69" s="9">
        <v>8</v>
      </c>
      <c r="J69" s="9">
        <v>8</v>
      </c>
    </row>
    <row r="70" spans="1:10" x14ac:dyDescent="0.25">
      <c r="A70" s="9">
        <f t="shared" si="19"/>
        <v>69</v>
      </c>
      <c r="B70" s="9">
        <f t="array" ref="B70">IF(C70="",0,IF(OR(C70=Country_Comparison!$S$10:$S$29),1,0))</f>
        <v>0</v>
      </c>
      <c r="C70" s="9" t="str">
        <f t="shared" si="21"/>
        <v/>
      </c>
      <c r="D70" s="6">
        <f t="shared" si="22"/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 t="shared" si="20"/>
        <v>0</v>
      </c>
    </row>
    <row r="71" spans="1:10" x14ac:dyDescent="0.25">
      <c r="A71" s="9">
        <f t="shared" si="19"/>
        <v>70</v>
      </c>
      <c r="B71" s="9">
        <f t="array" ref="B71">IF(C71="",0,IF(OR(C71=Country_Comparison!$S$10:$S$29),1,0))</f>
        <v>0</v>
      </c>
      <c r="C71" s="9" t="str">
        <f t="shared" si="21"/>
        <v/>
      </c>
      <c r="D71" s="6">
        <f t="shared" si="22"/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 t="shared" si="20"/>
        <v>0</v>
      </c>
    </row>
    <row r="72" spans="1:10" x14ac:dyDescent="0.25">
      <c r="A72" s="9">
        <f t="shared" si="19"/>
        <v>71</v>
      </c>
      <c r="B72" s="9">
        <f t="array" ref="B72">IF(C72="",0,IF(OR(C72=Country_Comparison!$S$10:$S$29),1,0))</f>
        <v>0</v>
      </c>
      <c r="C72" s="9" t="str">
        <f t="shared" si="21"/>
        <v/>
      </c>
      <c r="D72" s="6">
        <f t="shared" si="22"/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 t="shared" si="20"/>
        <v>0</v>
      </c>
    </row>
    <row r="73" spans="1:10" x14ac:dyDescent="0.25">
      <c r="A73" s="9">
        <f t="shared" si="19"/>
        <v>72</v>
      </c>
      <c r="B73" s="9">
        <f t="array" ref="B73">IF(C73="",0,IF(OR(C73=Country_Comparison!$S$10:$S$29),1,0))</f>
        <v>0</v>
      </c>
      <c r="C73" s="9" t="str">
        <f t="shared" si="21"/>
        <v/>
      </c>
      <c r="D73" s="6">
        <f t="shared" si="22"/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 t="shared" si="20"/>
        <v>0</v>
      </c>
    </row>
    <row r="74" spans="1:10" x14ac:dyDescent="0.25">
      <c r="A74" s="9">
        <f t="shared" si="19"/>
        <v>73</v>
      </c>
      <c r="B74" s="9">
        <f t="array" ref="B74">IF(C74="",0,IF(OR(C74=Country_Comparison!$S$10:$S$29),1,0))</f>
        <v>0</v>
      </c>
      <c r="C74" s="9" t="str">
        <f t="shared" si="21"/>
        <v/>
      </c>
      <c r="D74" s="6">
        <f t="shared" si="22"/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 t="shared" si="20"/>
        <v>0</v>
      </c>
    </row>
    <row r="75" spans="1:10" x14ac:dyDescent="0.25">
      <c r="A75" s="9">
        <f t="shared" si="19"/>
        <v>74</v>
      </c>
      <c r="B75" s="9">
        <f t="array" ref="B75">IF(C75="",0,IF(OR(C75=Country_Comparison!$S$10:$S$29),1,0))</f>
        <v>0</v>
      </c>
      <c r="C75" s="9" t="str">
        <f t="shared" si="21"/>
        <v/>
      </c>
      <c r="D75" s="6">
        <f t="shared" si="22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20"/>
        <v>0</v>
      </c>
    </row>
    <row r="76" spans="1:10" x14ac:dyDescent="0.25">
      <c r="A76" s="9">
        <f t="shared" si="19"/>
        <v>75</v>
      </c>
      <c r="B76" s="9">
        <f t="array" ref="B76">IF(C76="",0,IF(OR(C76=Country_Comparison!$S$10:$S$29),1,0))</f>
        <v>0</v>
      </c>
      <c r="C76" s="9" t="str">
        <f t="shared" si="21"/>
        <v/>
      </c>
      <c r="D76" s="6">
        <f t="shared" si="22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20"/>
        <v>0</v>
      </c>
    </row>
    <row r="77" spans="1:10" x14ac:dyDescent="0.25">
      <c r="A77" s="9">
        <f t="shared" si="19"/>
        <v>76</v>
      </c>
      <c r="B77" s="9">
        <f t="array" ref="B77">IF(C77="",0,IF(OR(C77=Country_Comparison!$S$10:$S$29),1,0))</f>
        <v>0</v>
      </c>
      <c r="C77" s="9" t="str">
        <f t="shared" si="21"/>
        <v/>
      </c>
      <c r="D77" s="6">
        <f t="shared" si="22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20"/>
        <v>0</v>
      </c>
    </row>
    <row r="78" spans="1:10" x14ac:dyDescent="0.25">
      <c r="A78" s="9">
        <f t="shared" si="19"/>
        <v>77</v>
      </c>
      <c r="B78" s="9">
        <f t="array" ref="B78">IF(C78="",0,IF(OR(C78=Country_Comparison!$S$10:$S$29),1,0))</f>
        <v>0</v>
      </c>
      <c r="C78" s="9" t="str">
        <f t="shared" si="21"/>
        <v/>
      </c>
      <c r="D78" s="6">
        <f t="shared" si="22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20"/>
        <v>0</v>
      </c>
    </row>
    <row r="79" spans="1:10" x14ac:dyDescent="0.25">
      <c r="A79" s="9">
        <f t="shared" si="19"/>
        <v>78</v>
      </c>
      <c r="B79" s="9">
        <f t="array" ref="B79">IF(C79="",0,IF(OR(C79=Country_Comparison!$S$10:$S$29),1,0))</f>
        <v>0</v>
      </c>
      <c r="C79" s="9" t="str">
        <f t="shared" si="21"/>
        <v/>
      </c>
      <c r="D79" s="6">
        <f t="shared" si="22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20"/>
        <v>0</v>
      </c>
    </row>
    <row r="80" spans="1:10" x14ac:dyDescent="0.25">
      <c r="A80" s="9">
        <f t="shared" si="19"/>
        <v>79</v>
      </c>
      <c r="B80" s="9">
        <f t="array" ref="B80">IF(C80="",0,IF(OR(C80=Country_Comparison!$S$10:$S$29),1,0))</f>
        <v>0</v>
      </c>
      <c r="C80" s="9" t="str">
        <f t="shared" si="21"/>
        <v/>
      </c>
      <c r="D80" s="6">
        <f t="shared" si="22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20"/>
        <v>0</v>
      </c>
    </row>
    <row r="81" spans="1:7" x14ac:dyDescent="0.25">
      <c r="A81" s="9">
        <f t="shared" si="19"/>
        <v>80</v>
      </c>
      <c r="B81" s="9">
        <f t="array" ref="B81">IF(C81="",0,IF(OR(C81=Country_Comparison!$S$10:$S$29),1,0))</f>
        <v>0</v>
      </c>
      <c r="C81" s="9" t="str">
        <f t="shared" si="21"/>
        <v/>
      </c>
      <c r="D81" s="6">
        <f t="shared" si="22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20"/>
        <v>0</v>
      </c>
    </row>
    <row r="82" spans="1:7" x14ac:dyDescent="0.25">
      <c r="A82" s="9">
        <f t="shared" si="19"/>
        <v>81</v>
      </c>
      <c r="B82" s="9">
        <f t="array" ref="B82">IF(C82="",0,IF(OR(C82=Country_Comparison!$S$10:$S$29),1,0))</f>
        <v>0</v>
      </c>
      <c r="C82" s="9" t="str">
        <f t="shared" si="21"/>
        <v/>
      </c>
      <c r="D82" s="6">
        <f t="shared" si="22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20"/>
        <v>0</v>
      </c>
    </row>
    <row r="83" spans="1:7" x14ac:dyDescent="0.25">
      <c r="A83" s="9">
        <f t="shared" si="19"/>
        <v>82</v>
      </c>
      <c r="B83" s="9">
        <f t="array" ref="B83">IF(C83="",0,IF(OR(C83=Country_Comparison!$S$10:$S$29),1,0))</f>
        <v>0</v>
      </c>
      <c r="C83" s="9" t="str">
        <f t="shared" si="21"/>
        <v/>
      </c>
      <c r="D83" s="6">
        <f t="shared" si="22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20"/>
        <v>0</v>
      </c>
    </row>
    <row r="84" spans="1:7" x14ac:dyDescent="0.25">
      <c r="A84" s="9">
        <f t="shared" si="19"/>
        <v>83</v>
      </c>
      <c r="B84" s="9">
        <f t="array" ref="B84">IF(C84="",0,IF(OR(C84=Country_Comparison!$S$10:$S$29),1,0))</f>
        <v>0</v>
      </c>
      <c r="C84" s="9" t="str">
        <f t="shared" si="21"/>
        <v/>
      </c>
      <c r="D84" s="6">
        <f t="shared" si="22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20"/>
        <v>0</v>
      </c>
    </row>
    <row r="85" spans="1:7" x14ac:dyDescent="0.25">
      <c r="A85" s="9">
        <f t="shared" si="19"/>
        <v>84</v>
      </c>
      <c r="B85" s="9">
        <f t="array" ref="B85">IF(C85="",0,IF(OR(C85=Country_Comparison!$S$10:$S$29),1,0))</f>
        <v>0</v>
      </c>
      <c r="C85" s="9" t="str">
        <f t="shared" si="21"/>
        <v/>
      </c>
      <c r="D85" s="6">
        <f t="shared" si="22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20"/>
        <v>0</v>
      </c>
    </row>
    <row r="86" spans="1:7" x14ac:dyDescent="0.25">
      <c r="A86" s="9">
        <f t="shared" si="19"/>
        <v>85</v>
      </c>
      <c r="B86" s="9">
        <f t="array" ref="B86">IF(C86="",0,IF(OR(C86=Country_Comparison!$S$10:$S$29),1,0))</f>
        <v>0</v>
      </c>
      <c r="C86" s="9" t="str">
        <f t="shared" si="21"/>
        <v/>
      </c>
      <c r="D86" s="6">
        <f t="shared" si="22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20"/>
        <v>0</v>
      </c>
    </row>
    <row r="87" spans="1:7" x14ac:dyDescent="0.25">
      <c r="A87" s="9">
        <f t="shared" si="19"/>
        <v>86</v>
      </c>
      <c r="B87" s="9">
        <f t="array" ref="B87">IF(C87="",0,IF(OR(C87=Country_Comparison!$S$10:$S$29),1,0))</f>
        <v>0</v>
      </c>
      <c r="C87" s="9" t="str">
        <f t="shared" si="21"/>
        <v/>
      </c>
      <c r="D87" s="6">
        <f t="shared" si="22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20"/>
        <v>0</v>
      </c>
    </row>
    <row r="88" spans="1:7" x14ac:dyDescent="0.25">
      <c r="A88" s="9">
        <f t="shared" si="19"/>
        <v>87</v>
      </c>
      <c r="B88" s="9">
        <f t="array" ref="B88">IF(C88="",0,IF(OR(C88=Country_Comparison!$S$10:$S$29),1,0))</f>
        <v>0</v>
      </c>
      <c r="C88" s="9" t="str">
        <f t="shared" si="21"/>
        <v/>
      </c>
      <c r="D88" s="6">
        <f t="shared" si="22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20"/>
        <v>0</v>
      </c>
    </row>
    <row r="89" spans="1:7" x14ac:dyDescent="0.25">
      <c r="A89" s="9">
        <f t="shared" si="19"/>
        <v>88</v>
      </c>
      <c r="B89" s="9">
        <f t="array" ref="B89">IF(C89="",0,IF(OR(C89=Country_Comparison!$S$10:$S$29),1,0))</f>
        <v>0</v>
      </c>
      <c r="C89" s="9" t="str">
        <f t="shared" si="21"/>
        <v/>
      </c>
      <c r="D89" s="6">
        <f t="shared" si="22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20"/>
        <v>0</v>
      </c>
    </row>
    <row r="90" spans="1:7" x14ac:dyDescent="0.25">
      <c r="A90" s="9">
        <f t="shared" si="19"/>
        <v>89</v>
      </c>
      <c r="B90" s="9">
        <f t="array" ref="B90">IF(C90="",0,IF(OR(C90=Country_Comparison!$S$10:$S$29),1,0))</f>
        <v>0</v>
      </c>
      <c r="C90" s="9" t="str">
        <f t="shared" si="21"/>
        <v/>
      </c>
      <c r="D90" s="6">
        <f t="shared" si="22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20"/>
        <v>0</v>
      </c>
    </row>
    <row r="91" spans="1:7" x14ac:dyDescent="0.25">
      <c r="A91" s="9">
        <f t="shared" si="19"/>
        <v>90</v>
      </c>
      <c r="B91" s="9">
        <f t="array" ref="B91">IF(C91="",0,IF(OR(C91=Country_Comparison!$S$10:$S$29),1,0))</f>
        <v>0</v>
      </c>
      <c r="C91" s="9" t="str">
        <f t="shared" si="21"/>
        <v/>
      </c>
      <c r="D91" s="6">
        <f t="shared" si="22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20"/>
        <v>0</v>
      </c>
    </row>
    <row r="92" spans="1:7" x14ac:dyDescent="0.25">
      <c r="A92" s="9">
        <f t="shared" si="19"/>
        <v>91</v>
      </c>
      <c r="B92" s="9">
        <f t="array" ref="B92">IF(C92="",0,IF(OR(C92=Country_Comparison!$S$10:$S$29),1,0))</f>
        <v>0</v>
      </c>
      <c r="C92" s="9" t="str">
        <f t="shared" si="21"/>
        <v/>
      </c>
      <c r="D92" s="6">
        <f t="shared" si="22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20"/>
        <v>0</v>
      </c>
    </row>
    <row r="93" spans="1:7" x14ac:dyDescent="0.25">
      <c r="A93" s="9">
        <f t="shared" si="19"/>
        <v>92</v>
      </c>
      <c r="B93" s="9">
        <f t="array" ref="B93">IF(C93="",0,IF(OR(C93=Country_Comparison!$S$10:$S$29),1,0))</f>
        <v>0</v>
      </c>
      <c r="C93" s="9" t="str">
        <f t="shared" si="21"/>
        <v/>
      </c>
      <c r="D93" s="6">
        <f t="shared" si="22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20"/>
        <v>0</v>
      </c>
    </row>
    <row r="94" spans="1:7" x14ac:dyDescent="0.25">
      <c r="A94" s="9">
        <f t="shared" si="19"/>
        <v>93</v>
      </c>
      <c r="B94" s="9">
        <f t="array" ref="B94">IF(C94="",0,IF(OR(C94=Country_Comparison!$S$10:$S$29),1,0))</f>
        <v>0</v>
      </c>
      <c r="C94" s="9" t="str">
        <f t="shared" si="21"/>
        <v/>
      </c>
      <c r="D94" s="6">
        <f t="shared" si="22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20"/>
        <v>0</v>
      </c>
    </row>
    <row r="95" spans="1:7" x14ac:dyDescent="0.25">
      <c r="A95" s="9">
        <f t="shared" si="19"/>
        <v>94</v>
      </c>
      <c r="B95" s="9">
        <f t="array" ref="B95">IF(C95="",0,IF(OR(C95=Country_Comparison!$S$10:$S$29),1,0))</f>
        <v>0</v>
      </c>
      <c r="C95" s="9" t="str">
        <f t="shared" si="21"/>
        <v/>
      </c>
      <c r="D95" s="6">
        <f t="shared" si="22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20"/>
        <v>0</v>
      </c>
    </row>
    <row r="96" spans="1:7" x14ac:dyDescent="0.25">
      <c r="A96" s="9">
        <f t="shared" si="19"/>
        <v>95</v>
      </c>
      <c r="B96" s="9">
        <f t="array" ref="B96">IF(C96="",0,IF(OR(C96=Country_Comparison!$S$10:$S$29),1,0))</f>
        <v>0</v>
      </c>
      <c r="C96" s="9" t="str">
        <f t="shared" si="21"/>
        <v/>
      </c>
      <c r="D96" s="6">
        <f t="shared" si="22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20"/>
        <v>0</v>
      </c>
    </row>
    <row r="97" spans="1:7" x14ac:dyDescent="0.25">
      <c r="A97" s="9">
        <f t="shared" si="19"/>
        <v>96</v>
      </c>
      <c r="B97" s="9">
        <f t="array" ref="B97">IF(C97="",0,IF(OR(C97=Country_Comparison!$S$10:$S$29),1,0))</f>
        <v>0</v>
      </c>
      <c r="C97" s="9" t="str">
        <f t="shared" si="21"/>
        <v/>
      </c>
      <c r="D97" s="6">
        <f t="shared" si="22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20"/>
        <v>0</v>
      </c>
    </row>
    <row r="98" spans="1:7" x14ac:dyDescent="0.25">
      <c r="A98" s="9">
        <f t="shared" ref="A98:A129" si="23">A97+1</f>
        <v>97</v>
      </c>
      <c r="B98" s="9">
        <f t="array" ref="B98">IF(C98="",0,IF(OR(C98=Country_Comparison!$S$10:$S$29),1,0))</f>
        <v>0</v>
      </c>
      <c r="C98" s="9" t="str">
        <f t="shared" si="21"/>
        <v/>
      </c>
      <c r="D98" s="6">
        <f t="shared" si="22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ref="G98:G129" si="24">IF(COUNTIF(I98:XFD98,"&gt;"&amp;0)=0,,(E98/F98)^(1/MIN(COUNTIF(I98:XFD98,"&gt;"&amp;0)-1,$F$1)))</f>
        <v>0</v>
      </c>
    </row>
    <row r="99" spans="1:7" x14ac:dyDescent="0.25">
      <c r="A99" s="9">
        <f t="shared" si="23"/>
        <v>98</v>
      </c>
      <c r="B99" s="9">
        <f t="array" ref="B99">IF(C99="",0,IF(OR(C99=Country_Comparison!$S$10:$S$29),1,0))</f>
        <v>0</v>
      </c>
      <c r="C99" s="9" t="str">
        <f t="shared" si="21"/>
        <v/>
      </c>
      <c r="D99" s="6">
        <f t="shared" si="22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24"/>
        <v>0</v>
      </c>
    </row>
    <row r="100" spans="1:7" x14ac:dyDescent="0.25">
      <c r="A100" s="9">
        <f t="shared" si="23"/>
        <v>99</v>
      </c>
      <c r="B100" s="9">
        <f t="array" ref="B100">IF(C100="",0,IF(OR(C100=Country_Comparison!$S$10:$S$29),1,0))</f>
        <v>0</v>
      </c>
      <c r="C100" s="9" t="str">
        <f t="shared" si="21"/>
        <v/>
      </c>
      <c r="D100" s="6">
        <f t="shared" si="22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24"/>
        <v>0</v>
      </c>
    </row>
    <row r="101" spans="1:7" x14ac:dyDescent="0.25">
      <c r="A101" s="9">
        <f t="shared" si="23"/>
        <v>100</v>
      </c>
      <c r="B101" s="9">
        <f t="array" ref="B101">IF(C101="",0,IF(OR(C101=Country_Comparison!$S$10:$S$29),1,0))</f>
        <v>0</v>
      </c>
      <c r="C101" s="9" t="str">
        <f t="shared" ref="C101:C132" si="25">IF(H101="","",H101)</f>
        <v/>
      </c>
      <c r="D101" s="6">
        <f t="shared" ref="D101:D132" si="26"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24"/>
        <v>0</v>
      </c>
    </row>
    <row r="102" spans="1:7" x14ac:dyDescent="0.25">
      <c r="A102" s="9">
        <f t="shared" si="23"/>
        <v>101</v>
      </c>
      <c r="B102" s="9">
        <f t="array" ref="B102">IF(C102="",0,IF(OR(C102=Country_Comparison!$S$10:$S$29),1,0))</f>
        <v>0</v>
      </c>
      <c r="C102" s="9" t="str">
        <f t="shared" si="25"/>
        <v/>
      </c>
      <c r="D102" s="6">
        <f t="shared" si="26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24"/>
        <v>0</v>
      </c>
    </row>
    <row r="103" spans="1:7" x14ac:dyDescent="0.25">
      <c r="A103" s="9">
        <f t="shared" si="23"/>
        <v>102</v>
      </c>
      <c r="B103" s="9">
        <f t="array" ref="B103">IF(C103="",0,IF(OR(C103=Country_Comparison!$S$10:$S$29),1,0))</f>
        <v>0</v>
      </c>
      <c r="C103" s="9" t="str">
        <f t="shared" si="25"/>
        <v/>
      </c>
      <c r="D103" s="6">
        <f t="shared" si="26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24"/>
        <v>0</v>
      </c>
    </row>
    <row r="104" spans="1:7" x14ac:dyDescent="0.25">
      <c r="A104" s="9">
        <f t="shared" si="23"/>
        <v>103</v>
      </c>
      <c r="B104" s="9">
        <f t="array" ref="B104">IF(C104="",0,IF(OR(C104=Country_Comparison!$S$10:$S$29),1,0))</f>
        <v>0</v>
      </c>
      <c r="C104" s="9" t="str">
        <f t="shared" si="25"/>
        <v/>
      </c>
      <c r="D104" s="6">
        <f t="shared" si="26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24"/>
        <v>0</v>
      </c>
    </row>
    <row r="105" spans="1:7" x14ac:dyDescent="0.25">
      <c r="A105" s="9">
        <f t="shared" si="23"/>
        <v>104</v>
      </c>
      <c r="B105" s="9">
        <f t="array" ref="B105">IF(C105="",0,IF(OR(C105=Country_Comparison!$S$10:$S$29),1,0))</f>
        <v>0</v>
      </c>
      <c r="C105" s="9" t="str">
        <f t="shared" si="25"/>
        <v/>
      </c>
      <c r="D105" s="6">
        <f t="shared" si="26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24"/>
        <v>0</v>
      </c>
    </row>
    <row r="106" spans="1:7" x14ac:dyDescent="0.25">
      <c r="A106" s="9">
        <f t="shared" si="23"/>
        <v>105</v>
      </c>
      <c r="B106" s="9">
        <f t="array" ref="B106">IF(C106="",0,IF(OR(C106=Country_Comparison!$S$10:$S$29),1,0))</f>
        <v>0</v>
      </c>
      <c r="C106" s="9" t="str">
        <f t="shared" si="25"/>
        <v/>
      </c>
      <c r="D106" s="6">
        <f t="shared" si="26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24"/>
        <v>0</v>
      </c>
    </row>
    <row r="107" spans="1:7" x14ac:dyDescent="0.25">
      <c r="A107" s="9">
        <f t="shared" si="23"/>
        <v>106</v>
      </c>
      <c r="B107" s="9">
        <f t="array" ref="B107">IF(C107="",0,IF(OR(C107=Country_Comparison!$S$10:$S$29),1,0))</f>
        <v>0</v>
      </c>
      <c r="C107" s="9" t="str">
        <f t="shared" si="25"/>
        <v/>
      </c>
      <c r="D107" s="6">
        <f t="shared" si="26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24"/>
        <v>0</v>
      </c>
    </row>
    <row r="108" spans="1:7" x14ac:dyDescent="0.25">
      <c r="A108" s="9">
        <f t="shared" si="23"/>
        <v>107</v>
      </c>
      <c r="B108" s="9">
        <f t="array" ref="B108">IF(C108="",0,IF(OR(C108=Country_Comparison!$S$10:$S$29),1,0))</f>
        <v>0</v>
      </c>
      <c r="C108" s="9" t="str">
        <f t="shared" si="25"/>
        <v/>
      </c>
      <c r="D108" s="6">
        <f t="shared" si="26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24"/>
        <v>0</v>
      </c>
    </row>
    <row r="109" spans="1:7" x14ac:dyDescent="0.25">
      <c r="A109" s="9">
        <f t="shared" si="23"/>
        <v>108</v>
      </c>
      <c r="B109" s="9">
        <f t="array" ref="B109">IF(C109="",0,IF(OR(C109=Country_Comparison!$S$10:$S$29),1,0))</f>
        <v>0</v>
      </c>
      <c r="C109" s="9" t="str">
        <f t="shared" si="25"/>
        <v/>
      </c>
      <c r="D109" s="6">
        <f t="shared" si="26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24"/>
        <v>0</v>
      </c>
    </row>
    <row r="110" spans="1:7" x14ac:dyDescent="0.25">
      <c r="A110" s="9">
        <f t="shared" si="23"/>
        <v>109</v>
      </c>
      <c r="B110" s="9">
        <f t="array" ref="B110">IF(C110="",0,IF(OR(C110=Country_Comparison!$S$10:$S$29),1,0))</f>
        <v>0</v>
      </c>
      <c r="C110" s="9" t="str">
        <f t="shared" si="25"/>
        <v/>
      </c>
      <c r="D110" s="6">
        <f t="shared" si="26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24"/>
        <v>0</v>
      </c>
    </row>
    <row r="111" spans="1:7" x14ac:dyDescent="0.25">
      <c r="A111" s="9">
        <f t="shared" si="23"/>
        <v>110</v>
      </c>
      <c r="B111" s="9">
        <f t="array" ref="B111">IF(C111="",0,IF(OR(C111=Country_Comparison!$S$10:$S$29),1,0))</f>
        <v>0</v>
      </c>
      <c r="C111" s="9" t="str">
        <f t="shared" si="25"/>
        <v/>
      </c>
      <c r="D111" s="6">
        <f t="shared" si="26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24"/>
        <v>0</v>
      </c>
    </row>
    <row r="112" spans="1:7" x14ac:dyDescent="0.25">
      <c r="A112" s="9">
        <f t="shared" si="23"/>
        <v>111</v>
      </c>
      <c r="B112" s="9">
        <f t="array" ref="B112">IF(C112="",0,IF(OR(C112=Country_Comparison!$S$10:$S$29),1,0))</f>
        <v>0</v>
      </c>
      <c r="C112" s="9" t="str">
        <f t="shared" si="25"/>
        <v/>
      </c>
      <c r="D112" s="6">
        <f t="shared" si="26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24"/>
        <v>0</v>
      </c>
    </row>
    <row r="113" spans="1:7" x14ac:dyDescent="0.25">
      <c r="A113" s="9">
        <f t="shared" si="23"/>
        <v>112</v>
      </c>
      <c r="B113" s="9">
        <f t="array" ref="B113">IF(C113="",0,IF(OR(C113=Country_Comparison!$S$10:$S$29),1,0))</f>
        <v>0</v>
      </c>
      <c r="C113" s="9" t="str">
        <f t="shared" si="25"/>
        <v/>
      </c>
      <c r="D113" s="6">
        <f t="shared" si="26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24"/>
        <v>0</v>
      </c>
    </row>
    <row r="114" spans="1:7" x14ac:dyDescent="0.25">
      <c r="A114" s="9">
        <f t="shared" si="23"/>
        <v>113</v>
      </c>
      <c r="B114" s="9">
        <f t="array" ref="B114">IF(C114="",0,IF(OR(C114=Country_Comparison!$S$10:$S$29),1,0))</f>
        <v>0</v>
      </c>
      <c r="C114" s="9" t="str">
        <f t="shared" si="25"/>
        <v/>
      </c>
      <c r="D114" s="6">
        <f t="shared" si="26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4"/>
        <v>0</v>
      </c>
    </row>
    <row r="115" spans="1:7" x14ac:dyDescent="0.25">
      <c r="A115" s="9">
        <f t="shared" si="23"/>
        <v>114</v>
      </c>
      <c r="B115" s="9">
        <f t="array" ref="B115">IF(C115="",0,IF(OR(C115=Country_Comparison!$S$10:$S$29),1,0))</f>
        <v>0</v>
      </c>
      <c r="C115" s="9" t="str">
        <f t="shared" si="25"/>
        <v/>
      </c>
      <c r="D115" s="6">
        <f t="shared" si="26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4"/>
        <v>0</v>
      </c>
    </row>
    <row r="116" spans="1:7" x14ac:dyDescent="0.25">
      <c r="A116" s="9">
        <f t="shared" si="23"/>
        <v>115</v>
      </c>
      <c r="B116" s="9">
        <f t="array" ref="B116">IF(C116="",0,IF(OR(C116=Country_Comparison!$S$10:$S$29),1,0))</f>
        <v>0</v>
      </c>
      <c r="C116" s="9" t="str">
        <f t="shared" si="25"/>
        <v/>
      </c>
      <c r="D116" s="6">
        <f t="shared" si="26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4"/>
        <v>0</v>
      </c>
    </row>
    <row r="117" spans="1:7" x14ac:dyDescent="0.25">
      <c r="A117" s="9">
        <f t="shared" si="23"/>
        <v>116</v>
      </c>
      <c r="B117" s="9">
        <f t="array" ref="B117">IF(C117="",0,IF(OR(C117=Country_Comparison!$S$10:$S$29),1,0))</f>
        <v>0</v>
      </c>
      <c r="C117" s="9" t="str">
        <f t="shared" si="25"/>
        <v/>
      </c>
      <c r="D117" s="6">
        <f t="shared" si="26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4"/>
        <v>0</v>
      </c>
    </row>
    <row r="118" spans="1:7" x14ac:dyDescent="0.25">
      <c r="A118" s="9">
        <f t="shared" si="23"/>
        <v>117</v>
      </c>
      <c r="B118" s="9">
        <f t="array" ref="B118">IF(C118="",0,IF(OR(C118=Country_Comparison!$S$10:$S$29),1,0))</f>
        <v>0</v>
      </c>
      <c r="C118" s="9" t="str">
        <f t="shared" si="25"/>
        <v/>
      </c>
      <c r="D118" s="6">
        <f t="shared" si="26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4"/>
        <v>0</v>
      </c>
    </row>
    <row r="119" spans="1:7" x14ac:dyDescent="0.25">
      <c r="A119" s="9">
        <f t="shared" si="23"/>
        <v>118</v>
      </c>
      <c r="B119" s="9">
        <f t="array" ref="B119">IF(C119="",0,IF(OR(C119=Country_Comparison!$S$10:$S$29),1,0))</f>
        <v>0</v>
      </c>
      <c r="C119" s="9" t="str">
        <f t="shared" si="25"/>
        <v/>
      </c>
      <c r="D119" s="6">
        <f t="shared" si="26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4"/>
        <v>0</v>
      </c>
    </row>
    <row r="120" spans="1:7" x14ac:dyDescent="0.25">
      <c r="A120" s="9">
        <f t="shared" si="23"/>
        <v>119</v>
      </c>
      <c r="B120" s="9">
        <f t="array" ref="B120">IF(C120="",0,IF(OR(C120=Country_Comparison!$S$10:$S$29),1,0))</f>
        <v>0</v>
      </c>
      <c r="C120" s="9" t="str">
        <f t="shared" si="25"/>
        <v/>
      </c>
      <c r="D120" s="6">
        <f t="shared" si="26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4"/>
        <v>0</v>
      </c>
    </row>
    <row r="121" spans="1:7" x14ac:dyDescent="0.25">
      <c r="A121" s="9">
        <f t="shared" si="23"/>
        <v>120</v>
      </c>
      <c r="B121" s="9">
        <f t="array" ref="B121">IF(C121="",0,IF(OR(C121=Country_Comparison!$S$10:$S$29),1,0))</f>
        <v>0</v>
      </c>
      <c r="C121" s="9" t="str">
        <f t="shared" si="25"/>
        <v/>
      </c>
      <c r="D121" s="6">
        <f t="shared" si="26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4"/>
        <v>0</v>
      </c>
    </row>
    <row r="122" spans="1:7" x14ac:dyDescent="0.25">
      <c r="A122" s="9">
        <f t="shared" si="23"/>
        <v>121</v>
      </c>
      <c r="B122" s="9">
        <f t="array" ref="B122">IF(C122="",0,IF(OR(C122=Country_Comparison!$S$10:$S$29),1,0))</f>
        <v>0</v>
      </c>
      <c r="C122" s="9" t="str">
        <f t="shared" si="25"/>
        <v/>
      </c>
      <c r="D122" s="6">
        <f t="shared" si="26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4"/>
        <v>0</v>
      </c>
    </row>
    <row r="123" spans="1:7" x14ac:dyDescent="0.25">
      <c r="A123" s="9">
        <f t="shared" si="23"/>
        <v>122</v>
      </c>
      <c r="B123" s="9">
        <f t="array" ref="B123">IF(C123="",0,IF(OR(C123=Country_Comparison!$S$10:$S$29),1,0))</f>
        <v>0</v>
      </c>
      <c r="C123" s="9" t="str">
        <f t="shared" si="25"/>
        <v/>
      </c>
      <c r="D123" s="6">
        <f t="shared" si="26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4"/>
        <v>0</v>
      </c>
    </row>
    <row r="124" spans="1:7" x14ac:dyDescent="0.25">
      <c r="A124" s="9">
        <f t="shared" si="23"/>
        <v>123</v>
      </c>
      <c r="B124" s="9">
        <f t="array" ref="B124">IF(C124="",0,IF(OR(C124=Country_Comparison!$S$10:$S$29),1,0))</f>
        <v>0</v>
      </c>
      <c r="C124" s="9" t="str">
        <f t="shared" si="25"/>
        <v/>
      </c>
      <c r="D124" s="6">
        <f t="shared" si="26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4"/>
        <v>0</v>
      </c>
    </row>
    <row r="125" spans="1:7" x14ac:dyDescent="0.25">
      <c r="A125" s="9">
        <f t="shared" si="23"/>
        <v>124</v>
      </c>
      <c r="B125" s="9">
        <f t="array" ref="B125">IF(C125="",0,IF(OR(C125=Country_Comparison!$S$10:$S$29),1,0))</f>
        <v>0</v>
      </c>
      <c r="C125" s="9" t="str">
        <f t="shared" si="25"/>
        <v/>
      </c>
      <c r="D125" s="6">
        <f t="shared" si="26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4"/>
        <v>0</v>
      </c>
    </row>
    <row r="126" spans="1:7" x14ac:dyDescent="0.25">
      <c r="A126" s="9">
        <f t="shared" si="23"/>
        <v>125</v>
      </c>
      <c r="B126" s="9">
        <f t="array" ref="B126">IF(C126="",0,IF(OR(C126=Country_Comparison!$S$10:$S$29),1,0))</f>
        <v>0</v>
      </c>
      <c r="C126" s="9" t="str">
        <f t="shared" si="25"/>
        <v/>
      </c>
      <c r="D126" s="6">
        <f t="shared" si="26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4"/>
        <v>0</v>
      </c>
    </row>
    <row r="127" spans="1:7" x14ac:dyDescent="0.25">
      <c r="A127" s="9">
        <f t="shared" si="23"/>
        <v>126</v>
      </c>
      <c r="B127" s="9">
        <f t="array" ref="B127">IF(C127="",0,IF(OR(C127=Country_Comparison!$S$10:$S$29),1,0))</f>
        <v>0</v>
      </c>
      <c r="C127" s="9" t="str">
        <f t="shared" si="25"/>
        <v/>
      </c>
      <c r="D127" s="6">
        <f t="shared" si="26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4"/>
        <v>0</v>
      </c>
    </row>
    <row r="128" spans="1:7" x14ac:dyDescent="0.25">
      <c r="A128" s="9">
        <f t="shared" si="23"/>
        <v>127</v>
      </c>
      <c r="B128" s="9">
        <f t="array" ref="B128">IF(C128="",0,IF(OR(C128=Country_Comparison!$S$10:$S$29),1,0))</f>
        <v>0</v>
      </c>
      <c r="C128" s="9" t="str">
        <f t="shared" si="25"/>
        <v/>
      </c>
      <c r="D128" s="6">
        <f t="shared" si="26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4"/>
        <v>0</v>
      </c>
    </row>
    <row r="129" spans="1:7" x14ac:dyDescent="0.25">
      <c r="A129" s="9">
        <f t="shared" si="23"/>
        <v>128</v>
      </c>
      <c r="B129" s="9">
        <f t="array" ref="B129">IF(C129="",0,IF(OR(C129=Country_Comparison!$S$10:$S$29),1,0))</f>
        <v>0</v>
      </c>
      <c r="C129" s="9" t="str">
        <f t="shared" si="25"/>
        <v/>
      </c>
      <c r="D129" s="6">
        <f t="shared" si="26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4"/>
        <v>0</v>
      </c>
    </row>
    <row r="130" spans="1:7" x14ac:dyDescent="0.25">
      <c r="A130" s="9">
        <f t="shared" ref="A130:A161" si="27">A129+1</f>
        <v>129</v>
      </c>
      <c r="B130" s="9">
        <f t="array" ref="B130">IF(C130="",0,IF(OR(C130=Country_Comparison!$S$10:$S$29),1,0))</f>
        <v>0</v>
      </c>
      <c r="C130" s="9" t="str">
        <f t="shared" si="25"/>
        <v/>
      </c>
      <c r="D130" s="6">
        <f t="shared" si="26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8">IF(COUNTIF(I130:XFD130,"&gt;"&amp;0)=0,,(E130/F130)^(1/MIN(COUNTIF(I130:XFD130,"&gt;"&amp;0)-1,$F$1)))</f>
        <v>0</v>
      </c>
    </row>
    <row r="131" spans="1:7" x14ac:dyDescent="0.25">
      <c r="A131" s="9">
        <f t="shared" si="27"/>
        <v>130</v>
      </c>
      <c r="B131" s="9">
        <f t="array" ref="B131">IF(C131="",0,IF(OR(C131=Country_Comparison!$S$10:$S$29),1,0))</f>
        <v>0</v>
      </c>
      <c r="C131" s="9" t="str">
        <f t="shared" si="25"/>
        <v/>
      </c>
      <c r="D131" s="6">
        <f t="shared" si="26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8"/>
        <v>0</v>
      </c>
    </row>
    <row r="132" spans="1:7" x14ac:dyDescent="0.25">
      <c r="A132" s="9">
        <f t="shared" si="27"/>
        <v>131</v>
      </c>
      <c r="B132" s="9">
        <f t="array" ref="B132">IF(C132="",0,IF(OR(C132=Country_Comparison!$S$10:$S$29),1,0))</f>
        <v>0</v>
      </c>
      <c r="C132" s="9" t="str">
        <f t="shared" si="25"/>
        <v/>
      </c>
      <c r="D132" s="6">
        <f t="shared" si="26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8"/>
        <v>0</v>
      </c>
    </row>
    <row r="133" spans="1:7" x14ac:dyDescent="0.25">
      <c r="A133" s="9">
        <f t="shared" si="27"/>
        <v>132</v>
      </c>
      <c r="B133" s="9">
        <f t="array" ref="B133">IF(C133="",0,IF(OR(C133=Country_Comparison!$S$10:$S$29),1,0))</f>
        <v>0</v>
      </c>
      <c r="C133" s="9" t="str">
        <f t="shared" ref="C133:C164" si="29">IF(H133="","",H133)</f>
        <v/>
      </c>
      <c r="D133" s="6">
        <f t="shared" ref="D133:D164" si="30"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8"/>
        <v>0</v>
      </c>
    </row>
    <row r="134" spans="1:7" x14ac:dyDescent="0.25">
      <c r="A134" s="9">
        <f t="shared" si="27"/>
        <v>133</v>
      </c>
      <c r="B134" s="9">
        <f t="array" ref="B134">IF(C134="",0,IF(OR(C134=Country_Comparison!$S$10:$S$29),1,0))</f>
        <v>0</v>
      </c>
      <c r="C134" s="9" t="str">
        <f t="shared" si="29"/>
        <v/>
      </c>
      <c r="D134" s="6">
        <f t="shared" si="30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8"/>
        <v>0</v>
      </c>
    </row>
    <row r="135" spans="1:7" x14ac:dyDescent="0.25">
      <c r="A135" s="9">
        <f t="shared" si="27"/>
        <v>134</v>
      </c>
      <c r="B135" s="9">
        <f t="array" ref="B135">IF(C135="",0,IF(OR(C135=Country_Comparison!$S$10:$S$29),1,0))</f>
        <v>0</v>
      </c>
      <c r="C135" s="9" t="str">
        <f t="shared" si="29"/>
        <v/>
      </c>
      <c r="D135" s="6">
        <f t="shared" si="3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8"/>
        <v>0</v>
      </c>
    </row>
    <row r="136" spans="1:7" x14ac:dyDescent="0.25">
      <c r="A136" s="9">
        <f t="shared" si="27"/>
        <v>135</v>
      </c>
      <c r="B136" s="9">
        <f t="array" ref="B136">IF(C136="",0,IF(OR(C136=Country_Comparison!$S$10:$S$29),1,0))</f>
        <v>0</v>
      </c>
      <c r="C136" s="9" t="str">
        <f t="shared" si="29"/>
        <v/>
      </c>
      <c r="D136" s="6">
        <f t="shared" si="3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8"/>
        <v>0</v>
      </c>
    </row>
    <row r="137" spans="1:7" x14ac:dyDescent="0.25">
      <c r="A137" s="9">
        <f t="shared" si="27"/>
        <v>136</v>
      </c>
      <c r="B137" s="9">
        <f t="array" ref="B137">IF(C137="",0,IF(OR(C137=Country_Comparison!$S$10:$S$29),1,0))</f>
        <v>0</v>
      </c>
      <c r="C137" s="9" t="str">
        <f t="shared" si="29"/>
        <v/>
      </c>
      <c r="D137" s="6">
        <f t="shared" si="3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8"/>
        <v>0</v>
      </c>
    </row>
    <row r="138" spans="1:7" x14ac:dyDescent="0.25">
      <c r="A138" s="9">
        <f t="shared" si="27"/>
        <v>137</v>
      </c>
      <c r="B138" s="9">
        <f t="array" ref="B138">IF(C138="",0,IF(OR(C138=Country_Comparison!$S$10:$S$29),1,0))</f>
        <v>0</v>
      </c>
      <c r="C138" s="9" t="str">
        <f t="shared" si="29"/>
        <v/>
      </c>
      <c r="D138" s="6">
        <f t="shared" si="3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8"/>
        <v>0</v>
      </c>
    </row>
    <row r="139" spans="1:7" x14ac:dyDescent="0.25">
      <c r="A139" s="9">
        <f t="shared" si="27"/>
        <v>138</v>
      </c>
      <c r="B139" s="9">
        <f t="array" ref="B139">IF(C139="",0,IF(OR(C139=Country_Comparison!$S$10:$S$29),1,0))</f>
        <v>0</v>
      </c>
      <c r="C139" s="9" t="str">
        <f t="shared" si="29"/>
        <v/>
      </c>
      <c r="D139" s="6">
        <f t="shared" si="3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8"/>
        <v>0</v>
      </c>
    </row>
    <row r="140" spans="1:7" x14ac:dyDescent="0.25">
      <c r="A140" s="9">
        <f t="shared" si="27"/>
        <v>139</v>
      </c>
      <c r="B140" s="9">
        <f t="array" ref="B140">IF(C140="",0,IF(OR(C140=Country_Comparison!$S$10:$S$29),1,0))</f>
        <v>0</v>
      </c>
      <c r="C140" s="9" t="str">
        <f t="shared" si="29"/>
        <v/>
      </c>
      <c r="D140" s="6">
        <f t="shared" si="3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8"/>
        <v>0</v>
      </c>
    </row>
    <row r="141" spans="1:7" x14ac:dyDescent="0.25">
      <c r="A141" s="9">
        <f t="shared" si="27"/>
        <v>140</v>
      </c>
      <c r="B141" s="9">
        <f t="array" ref="B141">IF(C141="",0,IF(OR(C141=Country_Comparison!$S$10:$S$29),1,0))</f>
        <v>0</v>
      </c>
      <c r="C141" s="9" t="str">
        <f t="shared" si="29"/>
        <v/>
      </c>
      <c r="D141" s="6">
        <f t="shared" si="3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8"/>
        <v>0</v>
      </c>
    </row>
    <row r="142" spans="1:7" x14ac:dyDescent="0.25">
      <c r="A142" s="9">
        <f t="shared" si="27"/>
        <v>141</v>
      </c>
      <c r="B142" s="9">
        <f t="array" ref="B142">IF(C142="",0,IF(OR(C142=Country_Comparison!$S$10:$S$29),1,0))</f>
        <v>0</v>
      </c>
      <c r="C142" s="9" t="str">
        <f t="shared" si="29"/>
        <v/>
      </c>
      <c r="D142" s="6">
        <f t="shared" si="3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8"/>
        <v>0</v>
      </c>
    </row>
    <row r="143" spans="1:7" x14ac:dyDescent="0.25">
      <c r="A143" s="9">
        <f t="shared" si="27"/>
        <v>142</v>
      </c>
      <c r="B143" s="9">
        <f t="array" ref="B143">IF(C143="",0,IF(OR(C143=Country_Comparison!$S$10:$S$29),1,0))</f>
        <v>0</v>
      </c>
      <c r="C143" s="9" t="str">
        <f t="shared" si="29"/>
        <v/>
      </c>
      <c r="D143" s="6">
        <f t="shared" si="3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8"/>
        <v>0</v>
      </c>
    </row>
    <row r="144" spans="1:7" x14ac:dyDescent="0.25">
      <c r="A144" s="9">
        <f t="shared" si="27"/>
        <v>143</v>
      </c>
      <c r="B144" s="9">
        <f t="array" ref="B144">IF(C144="",0,IF(OR(C144=Country_Comparison!$S$10:$S$29),1,0))</f>
        <v>0</v>
      </c>
      <c r="C144" s="9" t="str">
        <f t="shared" si="29"/>
        <v/>
      </c>
      <c r="D144" s="6">
        <f t="shared" si="3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8"/>
        <v>0</v>
      </c>
    </row>
    <row r="145" spans="1:7" x14ac:dyDescent="0.25">
      <c r="A145" s="9">
        <f t="shared" si="27"/>
        <v>144</v>
      </c>
      <c r="B145" s="9">
        <f t="array" ref="B145">IF(C145="",0,IF(OR(C145=Country_Comparison!$S$10:$S$29),1,0))</f>
        <v>0</v>
      </c>
      <c r="C145" s="9" t="str">
        <f t="shared" si="29"/>
        <v/>
      </c>
      <c r="D145" s="6">
        <f t="shared" si="3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8"/>
        <v>0</v>
      </c>
    </row>
    <row r="146" spans="1:7" x14ac:dyDescent="0.25">
      <c r="A146" s="9">
        <f t="shared" si="27"/>
        <v>145</v>
      </c>
      <c r="B146" s="9">
        <f t="array" ref="B146">IF(C146="",0,IF(OR(C146=Country_Comparison!$S$10:$S$29),1,0))</f>
        <v>0</v>
      </c>
      <c r="C146" s="9" t="str">
        <f t="shared" si="29"/>
        <v/>
      </c>
      <c r="D146" s="6">
        <f t="shared" si="3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8"/>
        <v>0</v>
      </c>
    </row>
    <row r="147" spans="1:7" x14ac:dyDescent="0.25">
      <c r="A147" s="9">
        <f t="shared" si="27"/>
        <v>146</v>
      </c>
      <c r="B147" s="9">
        <f t="array" ref="B147">IF(C147="",0,IF(OR(C147=Country_Comparison!$S$10:$S$29),1,0))</f>
        <v>0</v>
      </c>
      <c r="C147" s="9" t="str">
        <f t="shared" si="29"/>
        <v/>
      </c>
      <c r="D147" s="6">
        <f t="shared" si="3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8"/>
        <v>0</v>
      </c>
    </row>
    <row r="148" spans="1:7" x14ac:dyDescent="0.25">
      <c r="A148" s="9">
        <f t="shared" si="27"/>
        <v>147</v>
      </c>
      <c r="B148" s="9">
        <f t="array" ref="B148">IF(C148="",0,IF(OR(C148=Country_Comparison!$S$10:$S$29),1,0))</f>
        <v>0</v>
      </c>
      <c r="C148" s="9" t="str">
        <f t="shared" si="29"/>
        <v/>
      </c>
      <c r="D148" s="6">
        <f t="shared" si="3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8"/>
        <v>0</v>
      </c>
    </row>
    <row r="149" spans="1:7" x14ac:dyDescent="0.25">
      <c r="A149" s="9">
        <f t="shared" si="27"/>
        <v>148</v>
      </c>
      <c r="B149" s="9">
        <f t="array" ref="B149">IF(C149="",0,IF(OR(C149=Country_Comparison!$S$10:$S$29),1,0))</f>
        <v>0</v>
      </c>
      <c r="C149" s="9" t="str">
        <f t="shared" si="29"/>
        <v/>
      </c>
      <c r="D149" s="6">
        <f t="shared" si="3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8"/>
        <v>0</v>
      </c>
    </row>
    <row r="150" spans="1:7" x14ac:dyDescent="0.25">
      <c r="A150" s="9">
        <f t="shared" si="27"/>
        <v>149</v>
      </c>
      <c r="B150" s="9">
        <f t="array" ref="B150">IF(C150="",0,IF(OR(C150=Country_Comparison!$S$10:$S$29),1,0))</f>
        <v>0</v>
      </c>
      <c r="C150" s="9" t="str">
        <f t="shared" si="29"/>
        <v/>
      </c>
      <c r="D150" s="6">
        <f t="shared" si="3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8"/>
        <v>0</v>
      </c>
    </row>
    <row r="151" spans="1:7" x14ac:dyDescent="0.25">
      <c r="A151" s="9">
        <f t="shared" si="27"/>
        <v>150</v>
      </c>
      <c r="B151" s="9">
        <f t="array" ref="B151">IF(C151="",0,IF(OR(C151=Country_Comparison!$S$10:$S$29),1,0))</f>
        <v>0</v>
      </c>
      <c r="C151" s="9" t="str">
        <f t="shared" si="29"/>
        <v/>
      </c>
      <c r="D151" s="6">
        <f t="shared" si="3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8"/>
        <v>0</v>
      </c>
    </row>
    <row r="152" spans="1:7" x14ac:dyDescent="0.25">
      <c r="A152" s="9">
        <f t="shared" si="27"/>
        <v>151</v>
      </c>
      <c r="B152" s="9">
        <f t="array" ref="B152">IF(C152="",0,IF(OR(C152=Country_Comparison!$S$10:$S$29),1,0))</f>
        <v>0</v>
      </c>
      <c r="C152" s="9" t="str">
        <f t="shared" si="29"/>
        <v/>
      </c>
      <c r="D152" s="6">
        <f t="shared" si="3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8"/>
        <v>0</v>
      </c>
    </row>
    <row r="153" spans="1:7" x14ac:dyDescent="0.25">
      <c r="A153" s="9">
        <f t="shared" si="27"/>
        <v>152</v>
      </c>
      <c r="B153" s="9">
        <f t="array" ref="B153">IF(C153="",0,IF(OR(C153=Country_Comparison!$S$10:$S$29),1,0))</f>
        <v>0</v>
      </c>
      <c r="C153" s="9" t="str">
        <f t="shared" si="29"/>
        <v/>
      </c>
      <c r="D153" s="6">
        <f t="shared" si="3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8"/>
        <v>0</v>
      </c>
    </row>
    <row r="154" spans="1:7" x14ac:dyDescent="0.25">
      <c r="A154" s="9">
        <f t="shared" si="27"/>
        <v>153</v>
      </c>
      <c r="B154" s="9">
        <f t="array" ref="B154">IF(C154="",0,IF(OR(C154=Country_Comparison!$S$10:$S$29),1,0))</f>
        <v>0</v>
      </c>
      <c r="C154" s="9" t="str">
        <f t="shared" si="29"/>
        <v/>
      </c>
      <c r="D154" s="6">
        <f t="shared" si="3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8"/>
        <v>0</v>
      </c>
    </row>
    <row r="155" spans="1:7" x14ac:dyDescent="0.25">
      <c r="A155" s="9">
        <f t="shared" si="27"/>
        <v>154</v>
      </c>
      <c r="B155" s="9">
        <f t="array" ref="B155">IF(C155="",0,IF(OR(C155=Country_Comparison!$S$10:$S$29),1,0))</f>
        <v>0</v>
      </c>
      <c r="C155" s="9" t="str">
        <f t="shared" si="29"/>
        <v/>
      </c>
      <c r="D155" s="6">
        <f t="shared" si="3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8"/>
        <v>0</v>
      </c>
    </row>
    <row r="156" spans="1:7" x14ac:dyDescent="0.25">
      <c r="A156" s="9">
        <f t="shared" si="27"/>
        <v>155</v>
      </c>
      <c r="B156" s="9">
        <f t="array" ref="B156">IF(C156="",0,IF(OR(C156=Country_Comparison!$S$10:$S$29),1,0))</f>
        <v>0</v>
      </c>
      <c r="C156" s="9" t="str">
        <f t="shared" si="29"/>
        <v/>
      </c>
      <c r="D156" s="6">
        <f t="shared" si="3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8"/>
        <v>0</v>
      </c>
    </row>
    <row r="157" spans="1:7" x14ac:dyDescent="0.25">
      <c r="A157" s="9">
        <f t="shared" si="27"/>
        <v>156</v>
      </c>
      <c r="B157" s="9">
        <f t="array" ref="B157">IF(C157="",0,IF(OR(C157=Country_Comparison!$S$10:$S$29),1,0))</f>
        <v>0</v>
      </c>
      <c r="C157" s="9" t="str">
        <f t="shared" si="29"/>
        <v/>
      </c>
      <c r="D157" s="6">
        <f t="shared" si="3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8"/>
        <v>0</v>
      </c>
    </row>
    <row r="158" spans="1:7" x14ac:dyDescent="0.25">
      <c r="A158" s="9">
        <f t="shared" si="27"/>
        <v>157</v>
      </c>
      <c r="B158" s="9">
        <f t="array" ref="B158">IF(C158="",0,IF(OR(C158=Country_Comparison!$S$10:$S$29),1,0))</f>
        <v>0</v>
      </c>
      <c r="C158" s="9" t="str">
        <f t="shared" si="29"/>
        <v/>
      </c>
      <c r="D158" s="6">
        <f t="shared" si="3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8"/>
        <v>0</v>
      </c>
    </row>
    <row r="159" spans="1:7" x14ac:dyDescent="0.25">
      <c r="A159" s="9">
        <f t="shared" si="27"/>
        <v>158</v>
      </c>
      <c r="B159" s="9">
        <f t="array" ref="B159">IF(C159="",0,IF(OR(C159=Country_Comparison!$S$10:$S$29),1,0))</f>
        <v>0</v>
      </c>
      <c r="C159" s="9" t="str">
        <f t="shared" si="29"/>
        <v/>
      </c>
      <c r="D159" s="6">
        <f t="shared" si="3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8"/>
        <v>0</v>
      </c>
    </row>
    <row r="160" spans="1:7" x14ac:dyDescent="0.25">
      <c r="A160" s="9">
        <f t="shared" si="27"/>
        <v>159</v>
      </c>
      <c r="B160" s="9">
        <f t="array" ref="B160">IF(C160="",0,IF(OR(C160=Country_Comparison!$S$10:$S$29),1,0))</f>
        <v>0</v>
      </c>
      <c r="C160" s="9" t="str">
        <f t="shared" si="29"/>
        <v/>
      </c>
      <c r="D160" s="6">
        <f t="shared" si="3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8"/>
        <v>0</v>
      </c>
    </row>
    <row r="161" spans="1:7" x14ac:dyDescent="0.25">
      <c r="A161" s="9">
        <f t="shared" si="27"/>
        <v>160</v>
      </c>
      <c r="B161" s="9">
        <f t="array" ref="B161">IF(C161="",0,IF(OR(C161=Country_Comparison!$S$10:$S$29),1,0))</f>
        <v>0</v>
      </c>
      <c r="C161" s="9" t="str">
        <f t="shared" si="29"/>
        <v/>
      </c>
      <c r="D161" s="6">
        <f t="shared" si="3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8"/>
        <v>0</v>
      </c>
    </row>
    <row r="162" spans="1:7" x14ac:dyDescent="0.25">
      <c r="A162" s="9">
        <f t="shared" ref="A162:A193" si="31">A161+1</f>
        <v>161</v>
      </c>
      <c r="B162" s="9">
        <f t="array" ref="B162">IF(C162="",0,IF(OR(C162=Country_Comparison!$S$10:$S$29),1,0))</f>
        <v>0</v>
      </c>
      <c r="C162" s="9" t="str">
        <f t="shared" si="29"/>
        <v/>
      </c>
      <c r="D162" s="6">
        <f t="shared" si="3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32">IF(COUNTIF(I162:XFD162,"&gt;"&amp;0)=0,,(E162/F162)^(1/MIN(COUNTIF(I162:XFD162,"&gt;"&amp;0)-1,$F$1)))</f>
        <v>0</v>
      </c>
    </row>
    <row r="163" spans="1:7" x14ac:dyDescent="0.25">
      <c r="A163" s="9">
        <f t="shared" si="31"/>
        <v>162</v>
      </c>
      <c r="B163" s="9">
        <f t="array" ref="B163">IF(C163="",0,IF(OR(C163=Country_Comparison!$S$10:$S$29),1,0))</f>
        <v>0</v>
      </c>
      <c r="C163" s="9" t="str">
        <f t="shared" si="29"/>
        <v/>
      </c>
      <c r="D163" s="6">
        <f t="shared" si="3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32"/>
        <v>0</v>
      </c>
    </row>
    <row r="164" spans="1:7" x14ac:dyDescent="0.25">
      <c r="A164" s="9">
        <f t="shared" si="31"/>
        <v>163</v>
      </c>
      <c r="B164" s="9">
        <f t="array" ref="B164">IF(C164="",0,IF(OR(C164=Country_Comparison!$S$10:$S$29),1,0))</f>
        <v>0</v>
      </c>
      <c r="C164" s="9" t="str">
        <f t="shared" si="29"/>
        <v/>
      </c>
      <c r="D164" s="6">
        <f t="shared" si="3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32"/>
        <v>0</v>
      </c>
    </row>
    <row r="165" spans="1:7" x14ac:dyDescent="0.25">
      <c r="A165" s="9">
        <f t="shared" si="31"/>
        <v>164</v>
      </c>
      <c r="B165" s="9">
        <f t="array" ref="B165">IF(C165="",0,IF(OR(C165=Country_Comparison!$S$10:$S$29),1,0))</f>
        <v>0</v>
      </c>
      <c r="C165" s="9" t="str">
        <f t="shared" ref="C165:C200" si="33">IF(H165="","",H165)</f>
        <v/>
      </c>
      <c r="D165" s="6">
        <f t="shared" ref="D165:D200" si="34"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32"/>
        <v>0</v>
      </c>
    </row>
    <row r="166" spans="1:7" x14ac:dyDescent="0.25">
      <c r="A166" s="9">
        <f t="shared" si="31"/>
        <v>165</v>
      </c>
      <c r="B166" s="9">
        <f t="array" ref="B166">IF(C166="",0,IF(OR(C166=Country_Comparison!$S$10:$S$29),1,0))</f>
        <v>0</v>
      </c>
      <c r="C166" s="9" t="str">
        <f t="shared" si="33"/>
        <v/>
      </c>
      <c r="D166" s="6">
        <f t="shared" si="34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32"/>
        <v>0</v>
      </c>
    </row>
    <row r="167" spans="1:7" x14ac:dyDescent="0.25">
      <c r="A167" s="9">
        <f t="shared" si="31"/>
        <v>166</v>
      </c>
      <c r="B167" s="9">
        <f t="array" ref="B167">IF(C167="",0,IF(OR(C167=Country_Comparison!$S$10:$S$29),1,0))</f>
        <v>0</v>
      </c>
      <c r="C167" s="9" t="str">
        <f t="shared" si="33"/>
        <v/>
      </c>
      <c r="D167" s="6">
        <f t="shared" si="34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32"/>
        <v>0</v>
      </c>
    </row>
    <row r="168" spans="1:7" x14ac:dyDescent="0.25">
      <c r="A168" s="9">
        <f t="shared" si="31"/>
        <v>167</v>
      </c>
      <c r="B168" s="9">
        <f t="array" ref="B168">IF(C168="",0,IF(OR(C168=Country_Comparison!$S$10:$S$29),1,0))</f>
        <v>0</v>
      </c>
      <c r="C168" s="9" t="str">
        <f t="shared" si="33"/>
        <v/>
      </c>
      <c r="D168" s="6">
        <f t="shared" si="34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32"/>
        <v>0</v>
      </c>
    </row>
    <row r="169" spans="1:7" x14ac:dyDescent="0.25">
      <c r="A169" s="9">
        <f t="shared" si="31"/>
        <v>168</v>
      </c>
      <c r="B169" s="9">
        <f t="array" ref="B169">IF(C169="",0,IF(OR(C169=Country_Comparison!$S$10:$S$29),1,0))</f>
        <v>0</v>
      </c>
      <c r="C169" s="9" t="str">
        <f t="shared" si="33"/>
        <v/>
      </c>
      <c r="D169" s="6">
        <f t="shared" si="34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32"/>
        <v>0</v>
      </c>
    </row>
    <row r="170" spans="1:7" x14ac:dyDescent="0.25">
      <c r="A170" s="9">
        <f t="shared" si="31"/>
        <v>169</v>
      </c>
      <c r="B170" s="9">
        <f t="array" ref="B170">IF(C170="",0,IF(OR(C170=Country_Comparison!$S$10:$S$29),1,0))</f>
        <v>0</v>
      </c>
      <c r="C170" s="9" t="str">
        <f t="shared" si="33"/>
        <v/>
      </c>
      <c r="D170" s="6">
        <f t="shared" si="34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32"/>
        <v>0</v>
      </c>
    </row>
    <row r="171" spans="1:7" x14ac:dyDescent="0.25">
      <c r="A171" s="9">
        <f t="shared" si="31"/>
        <v>170</v>
      </c>
      <c r="B171" s="9">
        <f t="array" ref="B171">IF(C171="",0,IF(OR(C171=Country_Comparison!$S$10:$S$29),1,0))</f>
        <v>0</v>
      </c>
      <c r="C171" s="9" t="str">
        <f t="shared" si="33"/>
        <v/>
      </c>
      <c r="D171" s="6">
        <f t="shared" si="34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32"/>
        <v>0</v>
      </c>
    </row>
    <row r="172" spans="1:7" x14ac:dyDescent="0.25">
      <c r="A172" s="9">
        <f t="shared" si="31"/>
        <v>171</v>
      </c>
      <c r="B172" s="9">
        <f t="array" ref="B172">IF(C172="",0,IF(OR(C172=Country_Comparison!$S$10:$S$29),1,0))</f>
        <v>0</v>
      </c>
      <c r="C172" s="9" t="str">
        <f t="shared" si="33"/>
        <v/>
      </c>
      <c r="D172" s="6">
        <f t="shared" si="34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32"/>
        <v>0</v>
      </c>
    </row>
    <row r="173" spans="1:7" x14ac:dyDescent="0.25">
      <c r="A173" s="9">
        <f t="shared" si="31"/>
        <v>172</v>
      </c>
      <c r="B173" s="9">
        <f t="array" ref="B173">IF(C173="",0,IF(OR(C173=Country_Comparison!$S$10:$S$29),1,0))</f>
        <v>0</v>
      </c>
      <c r="C173" s="9" t="str">
        <f t="shared" si="33"/>
        <v/>
      </c>
      <c r="D173" s="6">
        <f t="shared" si="34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32"/>
        <v>0</v>
      </c>
    </row>
    <row r="174" spans="1:7" x14ac:dyDescent="0.25">
      <c r="A174" s="9">
        <f t="shared" si="31"/>
        <v>173</v>
      </c>
      <c r="B174" s="9">
        <f t="array" ref="B174">IF(C174="",0,IF(OR(C174=Country_Comparison!$S$10:$S$29),1,0))</f>
        <v>0</v>
      </c>
      <c r="C174" s="9" t="str">
        <f t="shared" si="33"/>
        <v/>
      </c>
      <c r="D174" s="6">
        <f t="shared" si="34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32"/>
        <v>0</v>
      </c>
    </row>
    <row r="175" spans="1:7" x14ac:dyDescent="0.25">
      <c r="A175" s="9">
        <f t="shared" si="31"/>
        <v>174</v>
      </c>
      <c r="B175" s="9">
        <f t="array" ref="B175">IF(C175="",0,IF(OR(C175=Country_Comparison!$S$10:$S$29),1,0))</f>
        <v>0</v>
      </c>
      <c r="C175" s="9" t="str">
        <f t="shared" si="33"/>
        <v/>
      </c>
      <c r="D175" s="6">
        <f t="shared" si="34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32"/>
        <v>0</v>
      </c>
    </row>
    <row r="176" spans="1:7" x14ac:dyDescent="0.25">
      <c r="A176" s="9">
        <f t="shared" si="31"/>
        <v>175</v>
      </c>
      <c r="B176" s="9">
        <f t="array" ref="B176">IF(C176="",0,IF(OR(C176=Country_Comparison!$S$10:$S$29),1,0))</f>
        <v>0</v>
      </c>
      <c r="C176" s="9" t="str">
        <f t="shared" si="33"/>
        <v/>
      </c>
      <c r="D176" s="6">
        <f t="shared" si="34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32"/>
        <v>0</v>
      </c>
    </row>
    <row r="177" spans="1:7" x14ac:dyDescent="0.25">
      <c r="A177" s="9">
        <f t="shared" si="31"/>
        <v>176</v>
      </c>
      <c r="B177" s="9">
        <f t="array" ref="B177">IF(C177="",0,IF(OR(C177=Country_Comparison!$S$10:$S$29),1,0))</f>
        <v>0</v>
      </c>
      <c r="C177" s="9" t="str">
        <f t="shared" si="33"/>
        <v/>
      </c>
      <c r="D177" s="6">
        <f t="shared" si="34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32"/>
        <v>0</v>
      </c>
    </row>
    <row r="178" spans="1:7" x14ac:dyDescent="0.25">
      <c r="A178" s="9">
        <f t="shared" si="31"/>
        <v>177</v>
      </c>
      <c r="B178" s="9">
        <f t="array" ref="B178">IF(C178="",0,IF(OR(C178=Country_Comparison!$S$10:$S$29),1,0))</f>
        <v>0</v>
      </c>
      <c r="C178" s="9" t="str">
        <f t="shared" si="33"/>
        <v/>
      </c>
      <c r="D178" s="6">
        <f t="shared" si="34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32"/>
        <v>0</v>
      </c>
    </row>
    <row r="179" spans="1:7" x14ac:dyDescent="0.25">
      <c r="A179" s="9">
        <f t="shared" si="31"/>
        <v>178</v>
      </c>
      <c r="B179" s="9">
        <f t="array" ref="B179">IF(C179="",0,IF(OR(C179=Country_Comparison!$S$10:$S$29),1,0))</f>
        <v>0</v>
      </c>
      <c r="C179" s="9" t="str">
        <f t="shared" si="33"/>
        <v/>
      </c>
      <c r="D179" s="6">
        <f t="shared" si="34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32"/>
        <v>0</v>
      </c>
    </row>
    <row r="180" spans="1:7" x14ac:dyDescent="0.25">
      <c r="A180" s="9">
        <f t="shared" si="31"/>
        <v>179</v>
      </c>
      <c r="B180" s="9">
        <f t="array" ref="B180">IF(C180="",0,IF(OR(C180=Country_Comparison!$S$10:$S$29),1,0))</f>
        <v>0</v>
      </c>
      <c r="C180" s="9" t="str">
        <f t="shared" si="33"/>
        <v/>
      </c>
      <c r="D180" s="6">
        <f t="shared" si="34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32"/>
        <v>0</v>
      </c>
    </row>
    <row r="181" spans="1:7" x14ac:dyDescent="0.25">
      <c r="A181" s="9">
        <f t="shared" si="31"/>
        <v>180</v>
      </c>
      <c r="B181" s="9">
        <f t="array" ref="B181">IF(C181="",0,IF(OR(C181=Country_Comparison!$S$10:$S$29),1,0))</f>
        <v>0</v>
      </c>
      <c r="C181" s="9" t="str">
        <f t="shared" si="33"/>
        <v/>
      </c>
      <c r="D181" s="6">
        <f t="shared" si="34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32"/>
        <v>0</v>
      </c>
    </row>
    <row r="182" spans="1:7" x14ac:dyDescent="0.25">
      <c r="A182" s="9">
        <f t="shared" si="31"/>
        <v>181</v>
      </c>
      <c r="B182" s="9">
        <f t="array" ref="B182">IF(C182="",0,IF(OR(C182=Country_Comparison!$S$10:$S$29),1,0))</f>
        <v>0</v>
      </c>
      <c r="C182" s="9" t="str">
        <f t="shared" si="33"/>
        <v/>
      </c>
      <c r="D182" s="6">
        <f t="shared" si="34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32"/>
        <v>0</v>
      </c>
    </row>
    <row r="183" spans="1:7" x14ac:dyDescent="0.25">
      <c r="A183" s="9">
        <f t="shared" si="31"/>
        <v>182</v>
      </c>
      <c r="B183" s="9">
        <f t="array" ref="B183">IF(C183="",0,IF(OR(C183=Country_Comparison!$S$10:$S$29),1,0))</f>
        <v>0</v>
      </c>
      <c r="C183" s="9" t="str">
        <f t="shared" si="33"/>
        <v/>
      </c>
      <c r="D183" s="6">
        <f t="shared" si="34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32"/>
        <v>0</v>
      </c>
    </row>
    <row r="184" spans="1:7" x14ac:dyDescent="0.25">
      <c r="A184" s="9">
        <f t="shared" si="31"/>
        <v>183</v>
      </c>
      <c r="B184" s="9">
        <f t="array" ref="B184">IF(C184="",0,IF(OR(C184=Country_Comparison!$S$10:$S$29),1,0))</f>
        <v>0</v>
      </c>
      <c r="C184" s="9" t="str">
        <f t="shared" si="33"/>
        <v/>
      </c>
      <c r="D184" s="6">
        <f t="shared" si="34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32"/>
        <v>0</v>
      </c>
    </row>
    <row r="185" spans="1:7" x14ac:dyDescent="0.25">
      <c r="A185" s="9">
        <f t="shared" si="31"/>
        <v>184</v>
      </c>
      <c r="B185" s="9">
        <f t="array" ref="B185">IF(C185="",0,IF(OR(C185=Country_Comparison!$S$10:$S$29),1,0))</f>
        <v>0</v>
      </c>
      <c r="C185" s="9" t="str">
        <f t="shared" si="33"/>
        <v/>
      </c>
      <c r="D185" s="6">
        <f t="shared" si="34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32"/>
        <v>0</v>
      </c>
    </row>
    <row r="186" spans="1:7" x14ac:dyDescent="0.25">
      <c r="A186" s="9">
        <f t="shared" si="31"/>
        <v>185</v>
      </c>
      <c r="B186" s="9">
        <f t="array" ref="B186">IF(C186="",0,IF(OR(C186=Country_Comparison!$S$10:$S$29),1,0))</f>
        <v>0</v>
      </c>
      <c r="C186" s="9" t="str">
        <f t="shared" si="33"/>
        <v/>
      </c>
      <c r="D186" s="6">
        <f t="shared" si="34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32"/>
        <v>0</v>
      </c>
    </row>
    <row r="187" spans="1:7" x14ac:dyDescent="0.25">
      <c r="A187" s="9">
        <f t="shared" si="31"/>
        <v>186</v>
      </c>
      <c r="B187" s="9">
        <f t="array" ref="B187">IF(C187="",0,IF(OR(C187=Country_Comparison!$S$10:$S$29),1,0))</f>
        <v>0</v>
      </c>
      <c r="C187" s="9" t="str">
        <f t="shared" si="33"/>
        <v/>
      </c>
      <c r="D187" s="6">
        <f t="shared" si="34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32"/>
        <v>0</v>
      </c>
    </row>
    <row r="188" spans="1:7" x14ac:dyDescent="0.25">
      <c r="A188" s="9">
        <f t="shared" si="31"/>
        <v>187</v>
      </c>
      <c r="B188" s="9">
        <f t="array" ref="B188">IF(C188="",0,IF(OR(C188=Country_Comparison!$S$10:$S$29),1,0))</f>
        <v>0</v>
      </c>
      <c r="C188" s="9" t="str">
        <f t="shared" si="33"/>
        <v/>
      </c>
      <c r="D188" s="6">
        <f t="shared" si="34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32"/>
        <v>0</v>
      </c>
    </row>
    <row r="189" spans="1:7" x14ac:dyDescent="0.25">
      <c r="A189" s="9">
        <f t="shared" si="31"/>
        <v>188</v>
      </c>
      <c r="B189" s="9">
        <f t="array" ref="B189">IF(C189="",0,IF(OR(C189=Country_Comparison!$S$10:$S$29),1,0))</f>
        <v>0</v>
      </c>
      <c r="C189" s="9" t="str">
        <f t="shared" si="33"/>
        <v/>
      </c>
      <c r="D189" s="6">
        <f t="shared" si="34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32"/>
        <v>0</v>
      </c>
    </row>
    <row r="190" spans="1:7" x14ac:dyDescent="0.25">
      <c r="A190" s="9">
        <f t="shared" si="31"/>
        <v>189</v>
      </c>
      <c r="B190" s="9">
        <f t="array" ref="B190">IF(C190="",0,IF(OR(C190=Country_Comparison!$S$10:$S$29),1,0))</f>
        <v>0</v>
      </c>
      <c r="C190" s="9" t="str">
        <f t="shared" si="33"/>
        <v/>
      </c>
      <c r="D190" s="6">
        <f t="shared" si="34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32"/>
        <v>0</v>
      </c>
    </row>
    <row r="191" spans="1:7" x14ac:dyDescent="0.25">
      <c r="A191" s="9">
        <f t="shared" si="31"/>
        <v>190</v>
      </c>
      <c r="B191" s="9">
        <f t="array" ref="B191">IF(C191="",0,IF(OR(C191=Country_Comparison!$S$10:$S$29),1,0))</f>
        <v>0</v>
      </c>
      <c r="C191" s="9" t="str">
        <f t="shared" si="33"/>
        <v/>
      </c>
      <c r="D191" s="6">
        <f t="shared" si="34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32"/>
        <v>0</v>
      </c>
    </row>
    <row r="192" spans="1:7" x14ac:dyDescent="0.25">
      <c r="A192" s="9">
        <f t="shared" si="31"/>
        <v>191</v>
      </c>
      <c r="B192" s="9">
        <f t="array" ref="B192">IF(C192="",0,IF(OR(C192=Country_Comparison!$S$10:$S$29),1,0))</f>
        <v>0</v>
      </c>
      <c r="C192" s="9" t="str">
        <f t="shared" si="33"/>
        <v/>
      </c>
      <c r="D192" s="6">
        <f t="shared" si="34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32"/>
        <v>0</v>
      </c>
    </row>
    <row r="193" spans="1:7" x14ac:dyDescent="0.25">
      <c r="A193" s="9">
        <f t="shared" si="31"/>
        <v>192</v>
      </c>
      <c r="B193" s="9">
        <f t="array" ref="B193">IF(C193="",0,IF(OR(C193=Country_Comparison!$S$10:$S$29),1,0))</f>
        <v>0</v>
      </c>
      <c r="C193" s="9" t="str">
        <f t="shared" si="33"/>
        <v/>
      </c>
      <c r="D193" s="6">
        <f t="shared" si="34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32"/>
        <v>0</v>
      </c>
    </row>
    <row r="194" spans="1:7" x14ac:dyDescent="0.25">
      <c r="A194" s="9">
        <f t="shared" ref="A194:A200" si="35">A193+1</f>
        <v>193</v>
      </c>
      <c r="B194" s="9">
        <f t="array" ref="B194">IF(C194="",0,IF(OR(C194=Country_Comparison!$S$10:$S$29),1,0))</f>
        <v>0</v>
      </c>
      <c r="C194" s="9" t="str">
        <f t="shared" si="33"/>
        <v/>
      </c>
      <c r="D194" s="6">
        <f t="shared" si="34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25" si="36">IF(COUNTIF(I194:XFD194,"&gt;"&amp;0)=0,,(E194/F194)^(1/MIN(COUNTIF(I194:XFD194,"&gt;"&amp;0)-1,$F$1)))</f>
        <v>0</v>
      </c>
    </row>
    <row r="195" spans="1:7" x14ac:dyDescent="0.25">
      <c r="A195" s="9">
        <f t="shared" si="35"/>
        <v>194</v>
      </c>
      <c r="B195" s="9">
        <f t="array" ref="B195">IF(C195="",0,IF(OR(C195=Country_Comparison!$S$10:$S$29),1,0))</f>
        <v>0</v>
      </c>
      <c r="C195" s="9" t="str">
        <f t="shared" si="33"/>
        <v/>
      </c>
      <c r="D195" s="6">
        <f t="shared" si="34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6"/>
        <v>0</v>
      </c>
    </row>
    <row r="196" spans="1:7" x14ac:dyDescent="0.25">
      <c r="A196" s="9">
        <f t="shared" si="35"/>
        <v>195</v>
      </c>
      <c r="B196" s="9">
        <f t="array" ref="B196">IF(C196="",0,IF(OR(C196=Country_Comparison!$S$10:$S$29),1,0))</f>
        <v>0</v>
      </c>
      <c r="C196" s="9" t="str">
        <f t="shared" si="33"/>
        <v/>
      </c>
      <c r="D196" s="6">
        <f t="shared" si="34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6"/>
        <v>0</v>
      </c>
    </row>
    <row r="197" spans="1:7" x14ac:dyDescent="0.25">
      <c r="A197" s="9">
        <f t="shared" si="35"/>
        <v>196</v>
      </c>
      <c r="B197" s="9">
        <f t="array" ref="B197">IF(C197="",0,IF(OR(C197=Country_Comparison!$S$10:$S$29),1,0))</f>
        <v>0</v>
      </c>
      <c r="C197" s="9" t="str">
        <f t="shared" si="33"/>
        <v/>
      </c>
      <c r="D197" s="6">
        <f t="shared" si="34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6"/>
        <v>0</v>
      </c>
    </row>
    <row r="198" spans="1:7" x14ac:dyDescent="0.25">
      <c r="A198" s="9">
        <f t="shared" si="35"/>
        <v>197</v>
      </c>
      <c r="B198" s="9">
        <f t="array" ref="B198">IF(C198="",0,IF(OR(C198=Country_Comparison!$S$10:$S$29),1,0))</f>
        <v>0</v>
      </c>
      <c r="C198" s="9" t="str">
        <f t="shared" si="33"/>
        <v/>
      </c>
      <c r="D198" s="6">
        <f t="shared" si="34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6"/>
        <v>0</v>
      </c>
    </row>
    <row r="199" spans="1:7" x14ac:dyDescent="0.25">
      <c r="A199" s="9">
        <f t="shared" si="35"/>
        <v>198</v>
      </c>
      <c r="B199" s="9">
        <f t="array" ref="B199">IF(C199="",0,IF(OR(C199=Country_Comparison!$S$10:$S$29),1,0))</f>
        <v>0</v>
      </c>
      <c r="C199" s="9" t="str">
        <f t="shared" si="33"/>
        <v/>
      </c>
      <c r="D199" s="6">
        <f t="shared" si="34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6"/>
        <v>0</v>
      </c>
    </row>
    <row r="200" spans="1:7" x14ac:dyDescent="0.25">
      <c r="A200" s="9">
        <f t="shared" si="35"/>
        <v>199</v>
      </c>
      <c r="B200" s="9">
        <f t="array" ref="B200">IF(C200="",0,IF(OR(C200=Country_Comparison!$S$10:$S$29),1,0))</f>
        <v>0</v>
      </c>
      <c r="C200" s="9" t="str">
        <f t="shared" si="33"/>
        <v/>
      </c>
      <c r="D200" s="6">
        <f t="shared" si="34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6"/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topLeftCell="A126" workbookViewId="0">
      <selection activeCell="J128" sqref="J128:J133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477</v>
      </c>
      <c r="D1" s="52">
        <v>100</v>
      </c>
      <c r="E1" s="52" t="s">
        <v>487</v>
      </c>
      <c r="F1" s="52" t="s">
        <v>450</v>
      </c>
      <c r="G1" s="52" t="s">
        <v>509</v>
      </c>
      <c r="H1" s="52" t="s">
        <v>504</v>
      </c>
      <c r="I1" s="52" t="s">
        <v>501</v>
      </c>
      <c r="J1" s="41" t="s">
        <v>571</v>
      </c>
      <c r="K1" s="52" t="s">
        <v>513</v>
      </c>
      <c r="L1" s="52" t="s">
        <v>465</v>
      </c>
      <c r="M1" s="52" t="s">
        <v>517</v>
      </c>
      <c r="N1" s="52">
        <v>10</v>
      </c>
      <c r="O1" s="52" t="s">
        <v>572</v>
      </c>
      <c r="P1" s="52" t="s">
        <v>573</v>
      </c>
      <c r="Q1" s="52" t="s">
        <v>607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82122</v>
      </c>
      <c r="G2" s="41">
        <f>MAX(CumulativeDead!2:2)</f>
        <v>3304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4.0232824334526678E-2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608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97689</v>
      </c>
      <c r="G3" s="41">
        <f>MAX(CumulativeDead!3:3)</f>
        <v>10779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0.1103399563922243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609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38309</v>
      </c>
      <c r="G4" s="41">
        <f>MAX(CumulativeDead!4:4)</f>
        <v>2640</v>
      </c>
      <c r="J4" s="41">
        <v>83992949</v>
      </c>
      <c r="K4" s="52">
        <v>0</v>
      </c>
      <c r="L4" s="41">
        <v>0</v>
      </c>
      <c r="M4" s="69">
        <f t="shared" si="0"/>
        <v>6.8913310188206428E-2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610</v>
      </c>
    </row>
    <row r="5" spans="1:17" x14ac:dyDescent="0.3">
      <c r="A5" s="52">
        <v>4</v>
      </c>
      <c r="B5" s="55" t="s">
        <v>476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9583</v>
      </c>
      <c r="G5" s="41">
        <f>MAX(CumulativeDead!5:5)</f>
        <v>152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1.5861421266826672E-2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608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80110</v>
      </c>
      <c r="G6" s="41">
        <f>MAX(CumulativeDead!6:6)</f>
        <v>6803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8.4920733990762706E-2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609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62095</v>
      </c>
      <c r="G7" s="41">
        <f>MAX(CumulativeDead!7:7)</f>
        <v>533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8.5836218697157574E-3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609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40708</v>
      </c>
      <c r="G8" s="41">
        <f>MAX(CumulativeDead!8:8)</f>
        <v>2611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6.4139726835020144E-2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609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140886</v>
      </c>
      <c r="G9" s="41">
        <f>MAX(CumulativeDead!9:9)</f>
        <v>2467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1.7510611416322416E-2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611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14829</v>
      </c>
      <c r="G10" s="41">
        <f>MAX(CumulativeDead!10:10)</f>
        <v>300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2.0230629172567266E-2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609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4284</v>
      </c>
      <c r="G11" s="41">
        <f>MAX(CumulativeDead!11:11)</f>
        <v>25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5.8356676003734828E-3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609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3700</v>
      </c>
      <c r="G12" s="41">
        <f>MAX(CumulativeDead!12:12)</f>
        <v>110</v>
      </c>
      <c r="J12" s="41">
        <v>10099265</v>
      </c>
      <c r="K12" s="52">
        <v>5.8</v>
      </c>
      <c r="L12" s="41">
        <v>585.75736999999992</v>
      </c>
      <c r="M12" s="69">
        <f t="shared" si="0"/>
        <v>2.9729729729729731E-2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609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2564</v>
      </c>
      <c r="G13" s="41">
        <f>MAX(CumulativeDead!13:13)</f>
        <v>72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2.8081123244929798E-2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609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10930</v>
      </c>
      <c r="G14" s="41">
        <f>MAX(CumulativeDead!14:14)</f>
        <v>772</v>
      </c>
      <c r="J14" s="41">
        <v>17134872</v>
      </c>
      <c r="K14" s="52">
        <v>0</v>
      </c>
      <c r="L14" s="41">
        <v>0</v>
      </c>
      <c r="M14" s="69">
        <f t="shared" si="0"/>
        <v>7.0631290027447391E-2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609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19780</v>
      </c>
      <c r="G15" s="41">
        <f>MAX(CumulativeDead!15:15)</f>
        <v>1231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6.2234580384226489E-2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609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1866</v>
      </c>
      <c r="G16" s="41">
        <f>MAX(CumulativeDead!16:16)</f>
        <v>54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2.8938906752411574E-2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608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10836</v>
      </c>
      <c r="G18" s="41">
        <f>MAX(CumulativeDead!18:18)</f>
        <v>431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3.9774824658545586E-2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609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8788</v>
      </c>
      <c r="G19" s="41">
        <f>MAX(CumulativeDead!19:19)</f>
        <v>86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9.7860719162494308E-3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609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634</v>
      </c>
      <c r="G20" s="41">
        <f>MAX(CumulativeDead!20:20)</f>
        <v>1</v>
      </c>
      <c r="J20" s="41">
        <v>2881053</v>
      </c>
      <c r="K20" s="52">
        <v>0</v>
      </c>
      <c r="L20" s="41">
        <v>0</v>
      </c>
      <c r="M20" s="69">
        <f t="shared" si="0"/>
        <v>1.5772870662460567E-3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610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3984</v>
      </c>
      <c r="G21" s="41">
        <f>MAX(CumulativeDead!21:21)</f>
        <v>16</v>
      </c>
      <c r="J21" s="41">
        <v>25499884</v>
      </c>
      <c r="K21" s="52">
        <v>0</v>
      </c>
      <c r="L21" s="41">
        <v>0</v>
      </c>
      <c r="M21" s="69">
        <f t="shared" si="0"/>
        <v>4.0160642570281121E-3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614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844</v>
      </c>
      <c r="G22" s="41">
        <f>MAX(CumulativeDead!22:22)</f>
        <v>3</v>
      </c>
      <c r="J22" s="41">
        <v>5850342</v>
      </c>
      <c r="K22" s="52">
        <v>0</v>
      </c>
      <c r="L22" s="41">
        <v>0</v>
      </c>
      <c r="M22" s="69">
        <f t="shared" si="0"/>
        <v>3.5545023696682463E-3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608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2470</v>
      </c>
      <c r="G23" s="41">
        <f>MAX(CumulativeDead!23:23)</f>
        <v>35</v>
      </c>
      <c r="J23" s="41">
        <v>32365999</v>
      </c>
      <c r="K23" s="52">
        <v>0</v>
      </c>
      <c r="L23" s="41">
        <v>0</v>
      </c>
      <c r="M23" s="69">
        <f t="shared" si="0"/>
        <v>1.417004048582996E-2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608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6280</v>
      </c>
      <c r="G24" s="41">
        <f>MAX(CumulativeDead!24:24)</f>
        <v>64</v>
      </c>
      <c r="J24" s="41">
        <v>37742154</v>
      </c>
      <c r="K24" s="52">
        <v>0</v>
      </c>
      <c r="L24" s="41">
        <v>0</v>
      </c>
      <c r="M24" s="69">
        <f t="shared" si="0"/>
        <v>1.019108280254777E-2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611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1156</v>
      </c>
      <c r="G25" s="41">
        <f>MAX(CumulativeDead!25:25)</f>
        <v>38</v>
      </c>
      <c r="J25" s="41">
        <v>10423054</v>
      </c>
      <c r="K25" s="52">
        <v>6</v>
      </c>
      <c r="L25" s="41">
        <v>625.38324</v>
      </c>
      <c r="M25" s="69">
        <f t="shared" si="0"/>
        <v>3.2871972318339097E-2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609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499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8.0160320641282558E-3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610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4247</v>
      </c>
      <c r="G27" s="41">
        <f>MAX(CumulativeDead!27:27)</f>
        <v>15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3.5319048740287263E-3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610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1240</v>
      </c>
      <c r="G28" s="41">
        <f>MAX(CumulativeDead!28:28)</f>
        <v>11</v>
      </c>
      <c r="J28" s="41">
        <v>5540720</v>
      </c>
      <c r="K28" s="52">
        <v>6.1</v>
      </c>
      <c r="L28" s="41">
        <v>337.98392000000001</v>
      </c>
      <c r="M28" s="69">
        <f t="shared" si="0"/>
        <v>8.870967741935484E-3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609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4256</v>
      </c>
      <c r="G29" s="41">
        <f>MAX(CumulativeDead!29:29)</f>
        <v>136</v>
      </c>
      <c r="J29" s="41">
        <v>212559417</v>
      </c>
      <c r="K29" s="52">
        <v>0</v>
      </c>
      <c r="L29" s="41">
        <v>0</v>
      </c>
      <c r="M29" s="69">
        <f t="shared" si="0"/>
        <v>3.1954887218045111E-2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612</v>
      </c>
    </row>
    <row r="30" spans="1:17" x14ac:dyDescent="0.3">
      <c r="A30" s="52">
        <v>29</v>
      </c>
      <c r="B30" s="55" t="s">
        <v>479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2817</v>
      </c>
      <c r="G30" s="41">
        <f>MAX(CumulativeDead!30:30)</f>
        <v>16</v>
      </c>
      <c r="J30" s="41">
        <v>10708981</v>
      </c>
      <c r="K30" s="52">
        <v>11.6</v>
      </c>
      <c r="L30" s="41">
        <v>1242.241796</v>
      </c>
      <c r="M30" s="69">
        <f t="shared" si="0"/>
        <v>5.6798012069577564E-3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609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730</v>
      </c>
      <c r="G31" s="41">
        <f>MAX(CumulativeDead!31:31)</f>
        <v>11</v>
      </c>
      <c r="J31" s="41">
        <v>2078938</v>
      </c>
      <c r="K31" s="52">
        <v>6.4</v>
      </c>
      <c r="L31" s="41">
        <v>133.05203200000003</v>
      </c>
      <c r="M31" s="69">
        <f t="shared" si="0"/>
        <v>1.5068493150684932E-2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609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1020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4.9019607843137254E-3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609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5962</v>
      </c>
      <c r="G33" s="41">
        <f>MAX(CumulativeDead!33:33)</f>
        <v>119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1.9959745051995974E-2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609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547</v>
      </c>
      <c r="G34" s="41">
        <f>MAX(CumulativeDead!34:34)</f>
        <v>42</v>
      </c>
      <c r="J34" s="41">
        <v>40222493</v>
      </c>
      <c r="K34" s="52">
        <v>0</v>
      </c>
      <c r="L34" s="41">
        <v>0</v>
      </c>
      <c r="M34" s="69">
        <f t="shared" ref="M34:M65" si="2">G34/F34</f>
        <v>7.6782449725776969E-2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610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2615</v>
      </c>
      <c r="G35" s="41">
        <f>MAX(CumulativeDead!35:35)</f>
        <v>46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1.7590822179732315E-2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609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1815</v>
      </c>
      <c r="G36" s="41">
        <f>MAX(CumulativeDead!36:36)</f>
        <v>43</v>
      </c>
      <c r="J36" s="41">
        <v>19237691</v>
      </c>
      <c r="K36" s="52">
        <v>21.4</v>
      </c>
      <c r="L36" s="41">
        <v>4116.8658740000001</v>
      </c>
      <c r="M36" s="69">
        <f t="shared" si="2"/>
        <v>2.3691460055096418E-2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609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1299</v>
      </c>
      <c r="G37" s="41">
        <f>MAX(CumulativeDead!37:37)</f>
        <v>8</v>
      </c>
      <c r="J37" s="41">
        <v>34813871</v>
      </c>
      <c r="K37" s="52">
        <v>0</v>
      </c>
      <c r="L37" s="41">
        <v>0</v>
      </c>
      <c r="M37" s="69">
        <f t="shared" si="2"/>
        <v>6.1585835257890681E-3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610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570</v>
      </c>
      <c r="G38" s="41">
        <f>MAX(CumulativeDead!38:38)</f>
        <v>3</v>
      </c>
      <c r="J38" s="41">
        <v>9890402</v>
      </c>
      <c r="K38" s="52">
        <v>0</v>
      </c>
      <c r="L38" s="41">
        <v>0</v>
      </c>
      <c r="M38" s="69">
        <f t="shared" si="2"/>
        <v>5.263157894736842E-3</v>
      </c>
      <c r="N38" s="52" t="e">
        <f>VLOOKUP(C38,Deaths_since_10!H:I,2,FALSE)</f>
        <v>#N/A</v>
      </c>
      <c r="O38" s="56" t="e">
        <f ca="1">OFFSET(CumulativeDead!B38,-A38,MATCH(Country_Data!N38,CumulativeDead!C38:BU38,0))</f>
        <v>#N/A</v>
      </c>
      <c r="P38" s="52" t="e">
        <f t="shared" ca="1" si="3"/>
        <v>#N/A</v>
      </c>
      <c r="Q38" s="52" t="s">
        <v>610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1024</v>
      </c>
      <c r="G39" s="41">
        <f>MAX(CumulativeDead!39:39)</f>
        <v>27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2.63671875E-2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608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609</v>
      </c>
      <c r="G40" s="41">
        <f>MAX(CumulativeDead!40:40)</f>
        <v>40</v>
      </c>
      <c r="J40" s="41">
        <v>102334404</v>
      </c>
      <c r="K40" s="52">
        <v>0</v>
      </c>
      <c r="L40" s="41">
        <v>0</v>
      </c>
      <c r="M40" s="69">
        <f t="shared" si="2"/>
        <v>6.5681444991789822E-2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613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255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610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224</v>
      </c>
      <c r="G42" s="41">
        <f>MAX(CumulativeDead!42:42)</f>
        <v>22</v>
      </c>
      <c r="J42" s="41">
        <v>33931</v>
      </c>
      <c r="K42" s="52">
        <v>0</v>
      </c>
      <c r="L42" s="41">
        <v>0</v>
      </c>
      <c r="M42" s="69">
        <f t="shared" si="2"/>
        <v>9.8214285714285712E-2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609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679</v>
      </c>
      <c r="G43" s="41">
        <f>MAX(CumulativeDead!43:43)</f>
        <v>3</v>
      </c>
      <c r="J43" s="41">
        <v>1326535</v>
      </c>
      <c r="K43" s="52">
        <v>14.6</v>
      </c>
      <c r="L43" s="41">
        <v>193.67410999999998</v>
      </c>
      <c r="M43" s="69">
        <f t="shared" si="2"/>
        <v>4.418262150220913E-3</v>
      </c>
      <c r="N43" s="52" t="e">
        <f>VLOOKUP(C43,Deaths_since_10!H:I,2,FALSE)</f>
        <v>#N/A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609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438</v>
      </c>
      <c r="G44" s="41">
        <f>MAX(CumulativeDead!44:44)</f>
        <v>10</v>
      </c>
      <c r="J44" s="41">
        <v>6825445</v>
      </c>
      <c r="K44" s="52">
        <v>0</v>
      </c>
      <c r="L44" s="41">
        <v>0</v>
      </c>
      <c r="M44" s="69">
        <f t="shared" si="2"/>
        <v>2.2831050228310501E-2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610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1388</v>
      </c>
      <c r="G45" s="41">
        <f>MAX(CumulativeDead!45:45)</f>
        <v>7</v>
      </c>
      <c r="J45" s="41">
        <v>69799978</v>
      </c>
      <c r="K45" s="52">
        <v>0</v>
      </c>
      <c r="L45" s="41">
        <v>0</v>
      </c>
      <c r="M45" s="69">
        <f t="shared" si="2"/>
        <v>5.0432276657060519E-3</v>
      </c>
      <c r="N45" s="52" t="e">
        <f>VLOOKUP(C45,Deaths_since_10!H:I,2,FALSE)</f>
        <v>#N/A</v>
      </c>
      <c r="O45" s="56" t="e">
        <f ca="1">OFFSET(CumulativeDead!B45,-A45,MATCH(Country_Data!N45,CumulativeDead!C45:BU45,0))</f>
        <v>#N/A</v>
      </c>
      <c r="P45" s="52" t="e">
        <f t="shared" ca="1" si="3"/>
        <v>#N/A</v>
      </c>
      <c r="Q45" s="52" t="s">
        <v>608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1285</v>
      </c>
      <c r="G46" s="41">
        <f>MAX(CumulativeDead!46:46)</f>
        <v>114</v>
      </c>
      <c r="J46" s="41">
        <v>273523615</v>
      </c>
      <c r="K46" s="52">
        <v>0</v>
      </c>
      <c r="L46" s="41">
        <v>0</v>
      </c>
      <c r="M46" s="69">
        <f t="shared" si="2"/>
        <v>8.8715953307393E-2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608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1862</v>
      </c>
      <c r="G47" s="41">
        <f>MAX(CumulativeDead!47:47)</f>
        <v>22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1.1815252416756176E-2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609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1418</v>
      </c>
      <c r="G48" s="41">
        <f>MAX(CumulativeDead!48:48)</f>
        <v>71</v>
      </c>
      <c r="J48" s="41">
        <v>109581078</v>
      </c>
      <c r="K48" s="52">
        <v>0</v>
      </c>
      <c r="L48" s="41">
        <v>0</v>
      </c>
      <c r="M48" s="69">
        <f t="shared" si="2"/>
        <v>5.0070521861777149E-2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608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298</v>
      </c>
      <c r="G49" s="41">
        <f>MAX(CumulativeDead!49:49)</f>
        <v>2</v>
      </c>
      <c r="J49" s="41">
        <v>23816775</v>
      </c>
      <c r="K49" s="52">
        <v>0</v>
      </c>
      <c r="L49" s="41">
        <v>0</v>
      </c>
      <c r="M49" s="69">
        <f t="shared" si="2"/>
        <v>6.7114093959731542E-3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608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188</v>
      </c>
      <c r="G50" s="41">
        <f>MAX(CumulativeDead!50:50)</f>
        <v>0</v>
      </c>
      <c r="J50" s="41">
        <v>97338579</v>
      </c>
      <c r="K50" s="52" t="s">
        <v>512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608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1534</v>
      </c>
      <c r="G51" s="41">
        <f>MAX(CumulativeDead!51:51)</f>
        <v>8</v>
      </c>
      <c r="J51" s="41">
        <v>145934462</v>
      </c>
      <c r="K51" s="52">
        <v>0</v>
      </c>
      <c r="L51" s="41">
        <v>0</v>
      </c>
      <c r="M51" s="69">
        <f t="shared" si="2"/>
        <v>5.2151238591916557E-3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608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2139</v>
      </c>
      <c r="G52" s="41">
        <f>MAX(CumulativeDead!52:52)</f>
        <v>7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3.2725572697522207E-3</v>
      </c>
      <c r="N52" s="52" t="e">
        <f>VLOOKUP(C52,Deaths_since_10!H:I,2,FALSE)</f>
        <v>#N/A</v>
      </c>
      <c r="O52" s="56" t="e">
        <f ca="1">OFFSET(CumulativeDead!B52,-A52,MATCH(Country_Data!N52,CumulativeDead!C52:BU52,0))</f>
        <v>#N/A</v>
      </c>
      <c r="P52" s="52" t="e">
        <f t="shared" ca="1" si="3"/>
        <v>#N/A</v>
      </c>
      <c r="Q52" s="52" t="s">
        <v>612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126</v>
      </c>
      <c r="G53" s="41">
        <f>MAX(CumulativeDead!53:53)</f>
        <v>1</v>
      </c>
      <c r="J53" s="41">
        <v>437479</v>
      </c>
      <c r="K53" s="52" t="s">
        <v>512</v>
      </c>
      <c r="L53" s="41" t="e">
        <v>#VALUE!</v>
      </c>
      <c r="M53" s="69">
        <f t="shared" si="2"/>
        <v>7.9365079365079361E-3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608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741</v>
      </c>
      <c r="G54" s="41">
        <f>MAX(CumulativeDead!54:54)</f>
        <v>13</v>
      </c>
      <c r="J54" s="41">
        <v>8737371</v>
      </c>
      <c r="K54" s="52" t="s">
        <v>512</v>
      </c>
      <c r="L54" s="41" t="e">
        <v>#VALUE!</v>
      </c>
      <c r="M54" s="69">
        <f t="shared" si="2"/>
        <v>1.7543859649122806E-2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609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1950</v>
      </c>
      <c r="G55" s="41">
        <f>MAX(CumulativeDead!55:55)</f>
        <v>21</v>
      </c>
      <c r="J55" s="41">
        <v>625978</v>
      </c>
      <c r="K55" s="52">
        <v>24.8</v>
      </c>
      <c r="L55" s="41">
        <v>155.24254400000001</v>
      </c>
      <c r="M55" s="69">
        <f t="shared" si="2"/>
        <v>1.0769230769230769E-2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609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212</v>
      </c>
      <c r="G56" s="41">
        <f>MAX(CumulativeDead!56:56)</f>
        <v>10</v>
      </c>
      <c r="J56" s="41">
        <v>2877797</v>
      </c>
      <c r="K56" s="52" t="s">
        <v>512</v>
      </c>
      <c r="L56" s="41" t="e">
        <v>#VALUE!</v>
      </c>
      <c r="M56" s="69">
        <f t="shared" si="2"/>
        <v>4.716981132075472E-2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609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713</v>
      </c>
      <c r="G57" s="41">
        <f>MAX(CumulativeDead!57:57)</f>
        <v>6</v>
      </c>
      <c r="J57" s="41">
        <v>4105267</v>
      </c>
      <c r="K57" s="52">
        <v>14.7</v>
      </c>
      <c r="L57" s="41">
        <v>603.47424899999999</v>
      </c>
      <c r="M57" s="69">
        <f t="shared" si="2"/>
        <v>8.4151472650771386E-3</v>
      </c>
      <c r="N57" s="52" t="e">
        <f>VLOOKUP(C57,Deaths_since_10!H:I,2,FALSE)</f>
        <v>#N/A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609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314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3.1847133757961785E-3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609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745</v>
      </c>
      <c r="G59" s="41">
        <f>MAX(CumulativeDead!59:59)</f>
        <v>19</v>
      </c>
      <c r="J59" s="41">
        <v>45195774</v>
      </c>
      <c r="K59" s="52" t="s">
        <v>512</v>
      </c>
      <c r="L59" s="41" t="e">
        <v>#VALUE!</v>
      </c>
      <c r="M59" s="69">
        <f t="shared" si="2"/>
        <v>2.5503355704697986E-2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612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1597</v>
      </c>
      <c r="G60" s="41">
        <f>MAX(CumulativeDead!60:60)</f>
        <v>14</v>
      </c>
      <c r="J60" s="41">
        <v>220892340</v>
      </c>
      <c r="K60" s="52">
        <v>0</v>
      </c>
      <c r="L60" s="41">
        <v>0</v>
      </c>
      <c r="M60" s="69">
        <f t="shared" si="2"/>
        <v>8.7664370695053218E-3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608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852</v>
      </c>
      <c r="G61" s="41">
        <f>MAX(CumulativeDead!61:61)</f>
        <v>18</v>
      </c>
      <c r="J61" s="41">
        <v>32971854</v>
      </c>
      <c r="K61" s="52">
        <v>0</v>
      </c>
      <c r="L61" s="41">
        <v>0</v>
      </c>
      <c r="M61" s="69">
        <f t="shared" si="2"/>
        <v>2.1126760563380281E-2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612</v>
      </c>
    </row>
    <row r="62" spans="1:17" x14ac:dyDescent="0.3">
      <c r="A62" s="52">
        <v>61</v>
      </c>
      <c r="B62" s="55" t="s">
        <v>91</v>
      </c>
      <c r="C62" s="55" t="s">
        <v>91</v>
      </c>
      <c r="D62" s="52" t="e">
        <f>VLOOKUP(C62,Days_Since_100!H:I,2,FALSE)</f>
        <v>#N/A</v>
      </c>
      <c r="E62" s="56" t="e">
        <f ca="1">OFFSET(CumulativeConfirmed!A62,-A62,MATCH(Country_Data!D62,CumulativeConfirmed!B62:BU62,0))</f>
        <v>#N/A</v>
      </c>
      <c r="F62" s="41">
        <f>MAX(CumulativeConfirmed!62:62)</f>
        <v>94</v>
      </c>
      <c r="G62" s="41">
        <f>MAX(CumulativeDead!62:62)</f>
        <v>0</v>
      </c>
      <c r="J62" s="41">
        <v>9449323</v>
      </c>
      <c r="K62" s="52" t="s">
        <v>512</v>
      </c>
      <c r="L62" s="41" t="e">
        <v>#VALUE!</v>
      </c>
      <c r="M62" s="69">
        <f t="shared" si="2"/>
        <v>0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609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901</v>
      </c>
      <c r="G63" s="41">
        <f>MAX(CumulativeDead!63:63)</f>
        <v>17</v>
      </c>
      <c r="J63" s="41">
        <v>4314767</v>
      </c>
      <c r="K63" s="52" t="s">
        <v>512</v>
      </c>
      <c r="L63" s="41" t="e">
        <v>#VALUE!</v>
      </c>
      <c r="M63" s="69">
        <f t="shared" si="2"/>
        <v>1.8867924528301886E-2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611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511</v>
      </c>
      <c r="G64" s="41">
        <f>MAX(CumulativeDead!64:64)</f>
        <v>31</v>
      </c>
      <c r="J64" s="41">
        <v>43851044</v>
      </c>
      <c r="K64" s="52" t="s">
        <v>512</v>
      </c>
      <c r="L64" s="41" t="e">
        <v>#VALUE!</v>
      </c>
      <c r="M64" s="69">
        <f t="shared" si="2"/>
        <v>6.0665362035225046E-2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613</v>
      </c>
    </row>
    <row r="65" spans="1:17" x14ac:dyDescent="0.3">
      <c r="A65" s="52">
        <v>64</v>
      </c>
      <c r="B65" s="55" t="s">
        <v>82</v>
      </c>
      <c r="C65" s="55" t="s">
        <v>82</v>
      </c>
      <c r="D65" s="52" t="e">
        <f>VLOOKUP(C65,Days_Since_100!H:I,2,FALSE)</f>
        <v>#N/A</v>
      </c>
      <c r="E65" s="56" t="e">
        <f ca="1">OFFSET(CumulativeConfirmed!A65,-A65,MATCH(Country_Data!D65,CumulativeConfirmed!B65:BU65,0))</f>
        <v>#N/A</v>
      </c>
      <c r="F65" s="41">
        <f>MAX(CumulativeConfirmed!65:65)</f>
        <v>91</v>
      </c>
      <c r="G65" s="41">
        <f>MAX(CumulativeDead!65:65)</f>
        <v>0</v>
      </c>
      <c r="J65" s="41">
        <v>3989167</v>
      </c>
      <c r="K65" s="52" t="s">
        <v>512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609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1280</v>
      </c>
      <c r="G66" s="41">
        <f>MAX(CumulativeDead!66:66)</f>
        <v>2</v>
      </c>
      <c r="J66" s="41">
        <v>59308690</v>
      </c>
      <c r="K66" s="52">
        <v>0</v>
      </c>
      <c r="L66" s="41">
        <v>0</v>
      </c>
      <c r="M66" s="69">
        <f t="shared" ref="M66:M97" si="4">G66/F66</f>
        <v>1.5625000000000001E-3</v>
      </c>
      <c r="N66" s="52" t="e">
        <f>VLOOKUP(C66,Deaths_since_10!H:I,2,FALSE)</f>
        <v>#N/A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613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346</v>
      </c>
      <c r="G67" s="41">
        <f>MAX(CumulativeDead!67:67)</f>
        <v>8</v>
      </c>
      <c r="J67" s="41">
        <v>6948445</v>
      </c>
      <c r="K67" s="52">
        <v>12.2</v>
      </c>
      <c r="L67" s="41">
        <v>847.71028999999987</v>
      </c>
      <c r="M67" s="69">
        <f t="shared" si="4"/>
        <v>2.3121387283236993E-2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609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314</v>
      </c>
      <c r="G68" s="41">
        <f>MAX(CumulativeDead!68:68)</f>
        <v>2</v>
      </c>
      <c r="J68" s="41">
        <v>5094118</v>
      </c>
      <c r="K68" s="52" t="s">
        <v>512</v>
      </c>
      <c r="L68" s="41" t="e">
        <v>#VALUE!</v>
      </c>
      <c r="M68" s="69">
        <f t="shared" si="4"/>
        <v>6.369426751592357E-3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611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408</v>
      </c>
      <c r="G69" s="41">
        <f>MAX(CumulativeDead!69:69)</f>
        <v>13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3.1862745098039214E-2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609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167</v>
      </c>
      <c r="G70" s="41">
        <f>MAX(CumulativeDead!70:70)</f>
        <v>0</v>
      </c>
      <c r="J70" s="41">
        <v>5106626</v>
      </c>
      <c r="K70" s="52" t="s">
        <v>512</v>
      </c>
      <c r="L70" s="41" t="e">
        <v>#VALUE!</v>
      </c>
      <c r="M70" s="69">
        <f t="shared" si="4"/>
        <v>0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610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1924</v>
      </c>
      <c r="G71" s="41">
        <f>MAX(CumulativeDead!71:71)</f>
        <v>58</v>
      </c>
      <c r="J71" s="41">
        <v>17643054</v>
      </c>
      <c r="K71" s="52">
        <v>0</v>
      </c>
      <c r="L71" s="41">
        <v>0</v>
      </c>
      <c r="M71" s="69">
        <f t="shared" si="4"/>
        <v>3.0145530145530147E-2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612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347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609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312</v>
      </c>
      <c r="G73" s="41">
        <f>MAX(CumulativeDead!73:73)</f>
        <v>8</v>
      </c>
      <c r="J73" s="41">
        <v>11818619</v>
      </c>
      <c r="K73" s="52" t="s">
        <v>512</v>
      </c>
      <c r="L73" s="41" t="e">
        <v>#VALUE!</v>
      </c>
      <c r="M73" s="69">
        <f t="shared" si="4"/>
        <v>2.564102564102564E-2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613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209</v>
      </c>
      <c r="G74" s="41">
        <f>MAX(CumulativeDead!74:74)</f>
        <v>4</v>
      </c>
      <c r="J74" s="41">
        <v>10139177</v>
      </c>
      <c r="K74" s="52" t="s">
        <v>512</v>
      </c>
      <c r="L74" s="41" t="e">
        <v>#VALUE!</v>
      </c>
      <c r="M74" s="69">
        <f t="shared" si="4"/>
        <v>1.9138755980861243E-2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608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214</v>
      </c>
      <c r="G75" s="41">
        <f>MAX(CumulativeDead!75:75)</f>
        <v>5</v>
      </c>
      <c r="J75" s="41">
        <v>1207359</v>
      </c>
      <c r="K75" s="52">
        <v>11.4</v>
      </c>
      <c r="L75" s="41">
        <v>137.638926</v>
      </c>
      <c r="M75" s="69">
        <f t="shared" si="4"/>
        <v>2.336448598130841E-2</v>
      </c>
      <c r="N75" s="52" t="e">
        <f>VLOOKUP(C75,Deaths_since_10!H:I,2,FALSE)</f>
        <v>#N/A</v>
      </c>
      <c r="O75" s="56" t="e">
        <f ca="1">OFFSET(CumulativeDead!B75,-A75,MATCH(Country_Data!N75,CumulativeDead!C75:BU75,0))</f>
        <v>#N/A</v>
      </c>
      <c r="P75" s="52" t="e">
        <f t="shared" ca="1" si="5"/>
        <v>#N/A</v>
      </c>
      <c r="Q75" s="52" t="s">
        <v>609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259</v>
      </c>
      <c r="G76" s="41">
        <f>MAX(CumulativeDead!76:76)</f>
        <v>6</v>
      </c>
      <c r="J76" s="41">
        <v>2083374</v>
      </c>
      <c r="K76" s="52" t="s">
        <v>512</v>
      </c>
      <c r="L76" s="41" t="e">
        <v>#VALUE!</v>
      </c>
      <c r="M76" s="69">
        <f t="shared" si="4"/>
        <v>2.3166023166023165E-2</v>
      </c>
      <c r="N76" s="52" t="e">
        <f>VLOOKUP(C76,Deaths_since_10!H:I,2,FALSE)</f>
        <v>#N/A</v>
      </c>
      <c r="O76" s="56" t="e">
        <f ca="1">OFFSET(CumulativeDead!B76,-A76,MATCH(Country_Data!N76,CumulativeDead!C76:BU76,0))</f>
        <v>#N/A</v>
      </c>
      <c r="P76" s="52" t="e">
        <f t="shared" ca="1" si="5"/>
        <v>#N/A</v>
      </c>
      <c r="Q76" s="52" t="s">
        <v>609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323</v>
      </c>
      <c r="G77" s="41">
        <f>MAX(CumulativeDead!77:77)</f>
        <v>6</v>
      </c>
      <c r="J77" s="41">
        <v>3280819</v>
      </c>
      <c r="K77" s="52" t="s">
        <v>512</v>
      </c>
      <c r="L77" s="41" t="e">
        <v>#VALUE!</v>
      </c>
      <c r="M77" s="69">
        <f t="shared" si="4"/>
        <v>1.8575851393188854E-2</v>
      </c>
      <c r="N77" s="52" t="e">
        <f>VLOOKUP(C77,Deaths_since_10!H:I,2,FALSE)</f>
        <v>#N/A</v>
      </c>
      <c r="O77" s="56" t="e">
        <f ca="1">OFFSET(CumulativeDead!B77,-A77,MATCH(Country_Data!N77,CumulativeDead!C77:BU77,0))</f>
        <v>#N/A</v>
      </c>
      <c r="P77" s="52" t="e">
        <f t="shared" ca="1" si="5"/>
        <v>#N/A</v>
      </c>
      <c r="Q77" s="52" t="s">
        <v>609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702</v>
      </c>
      <c r="G78" s="41">
        <f>MAX(CumulativeDead!78:78)</f>
        <v>10</v>
      </c>
      <c r="J78" s="41">
        <v>50882891</v>
      </c>
      <c r="K78" s="52" t="s">
        <v>512</v>
      </c>
      <c r="L78" s="41" t="e">
        <v>#VALUE!</v>
      </c>
      <c r="M78" s="69">
        <f t="shared" si="4"/>
        <v>1.4245014245014245E-2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612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151</v>
      </c>
      <c r="G79" s="41">
        <f>MAX(CumulativeDead!79:79)</f>
        <v>0</v>
      </c>
      <c r="J79" s="41">
        <v>441543</v>
      </c>
      <c r="K79" s="52" t="s">
        <v>512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609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848</v>
      </c>
      <c r="G80" s="41">
        <f>MAX(CumulativeDead!80:80)</f>
        <v>16</v>
      </c>
      <c r="J80" s="41">
        <v>128932753</v>
      </c>
      <c r="K80" s="52" t="s">
        <v>512</v>
      </c>
      <c r="L80" s="41" t="e">
        <v>#VALUE!</v>
      </c>
      <c r="M80" s="69">
        <f t="shared" si="4"/>
        <v>1.8867924528301886E-2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611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142</v>
      </c>
      <c r="G81" s="41">
        <f>MAX(CumulativeDead!81:81)</f>
        <v>0</v>
      </c>
      <c r="J81" s="41">
        <v>16743927</v>
      </c>
      <c r="K81" s="52" t="s">
        <v>512</v>
      </c>
      <c r="L81" s="41" t="e">
        <v>#VALUE!</v>
      </c>
      <c r="M81" s="69">
        <f t="shared" si="4"/>
        <v>0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613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17</v>
      </c>
      <c r="G82" s="41">
        <f>MAX(CumulativeDead!82:82)</f>
        <v>0</v>
      </c>
      <c r="J82" s="41">
        <v>540544</v>
      </c>
      <c r="K82" s="52" t="s">
        <v>512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608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424</v>
      </c>
      <c r="G83" s="41">
        <f>MAX(CumulativeDead!83:83)</f>
        <v>3</v>
      </c>
      <c r="J83" s="41">
        <v>2963243</v>
      </c>
      <c r="K83" s="52" t="s">
        <v>512</v>
      </c>
      <c r="L83" s="41" t="e">
        <v>#VALUE!</v>
      </c>
      <c r="M83" s="69">
        <f t="shared" si="4"/>
        <v>7.0754716981132077E-3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609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32</v>
      </c>
      <c r="G84" s="41">
        <f>MAX(CumulativeDead!84:84)</f>
        <v>1</v>
      </c>
      <c r="J84" s="41">
        <v>2961167</v>
      </c>
      <c r="K84" s="52" t="s">
        <v>512</v>
      </c>
      <c r="L84" s="41" t="e">
        <v>#VALUE!</v>
      </c>
      <c r="M84" s="69">
        <f t="shared" si="4"/>
        <v>3.125E-2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611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120</v>
      </c>
      <c r="G85" s="41">
        <f>MAX(CumulativeDead!85:85)</f>
        <v>4</v>
      </c>
      <c r="J85" s="41">
        <v>38928346</v>
      </c>
      <c r="K85" s="52" t="s">
        <v>512</v>
      </c>
      <c r="L85" s="41" t="e">
        <v>#VALUE!</v>
      </c>
      <c r="M85" s="69">
        <f t="shared" si="4"/>
        <v>3.3333333333333333E-2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610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479</v>
      </c>
      <c r="G86" s="41">
        <f>MAX(CumulativeDead!86:86)</f>
        <v>26</v>
      </c>
      <c r="J86" s="41">
        <v>36910560</v>
      </c>
      <c r="K86" s="52" t="s">
        <v>512</v>
      </c>
      <c r="L86" s="41" t="e">
        <v>#VALUE!</v>
      </c>
      <c r="M86" s="69">
        <f t="shared" si="4"/>
        <v>5.4279749478079335E-2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613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460</v>
      </c>
      <c r="G87" s="41">
        <f>MAX(CumulativeDead!87:87)</f>
        <v>7</v>
      </c>
      <c r="J87" s="41">
        <v>2722289</v>
      </c>
      <c r="K87" s="52">
        <v>15.5</v>
      </c>
      <c r="L87" s="41">
        <v>421.95479499999999</v>
      </c>
      <c r="M87" s="69">
        <f t="shared" si="4"/>
        <v>1.5217391304347827E-2</v>
      </c>
      <c r="N87" s="52" t="e">
        <f>VLOOKUP(C87,Deaths_since_10!H:I,2,FALSE)</f>
        <v>#N/A</v>
      </c>
      <c r="O87" s="56" t="e">
        <f ca="1">OFFSET(CumulativeDead!B87,-A87,MATCH(Country_Data!N87,CumulativeDead!C87:BU87,0))</f>
        <v>#N/A</v>
      </c>
      <c r="P87" s="52" t="e">
        <f t="shared" ca="1" si="5"/>
        <v>#N/A</v>
      </c>
      <c r="Q87" s="52" t="s">
        <v>609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263</v>
      </c>
      <c r="G88" s="41">
        <f>MAX(CumulativeDead!88:88)</f>
        <v>2</v>
      </c>
      <c r="J88" s="41">
        <v>4033963</v>
      </c>
      <c r="K88" s="52" t="s">
        <v>512</v>
      </c>
      <c r="L88" s="41" t="e">
        <v>#VALUE!</v>
      </c>
      <c r="M88" s="69">
        <f t="shared" si="4"/>
        <v>7.6045627376425855E-3</v>
      </c>
      <c r="N88" s="52" t="e">
        <f>VLOOKUP(C88,Deaths_since_10!H:I,2,FALSE)</f>
        <v>#N/A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609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59</v>
      </c>
      <c r="G89" s="41">
        <f>MAX(CumulativeDead!89:89)</f>
        <v>3</v>
      </c>
      <c r="J89" s="41">
        <v>7132538</v>
      </c>
      <c r="K89" s="52" t="s">
        <v>512</v>
      </c>
      <c r="L89" s="41" t="e">
        <v>#VALUE!</v>
      </c>
      <c r="M89" s="69">
        <f t="shared" si="4"/>
        <v>5.0847457627118647E-2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612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117</v>
      </c>
      <c r="G90" s="41">
        <f>MAX(CumulativeDead!90:90)</f>
        <v>1</v>
      </c>
      <c r="J90" s="41">
        <v>21413249</v>
      </c>
      <c r="K90" s="52" t="s">
        <v>512</v>
      </c>
      <c r="L90" s="41" t="e">
        <v>#VALUE!</v>
      </c>
      <c r="M90" s="69">
        <f t="shared" si="4"/>
        <v>8.5470085470085479E-3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608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103</v>
      </c>
      <c r="G91" s="41">
        <f>MAX(CumulativeDead!91:91)</f>
        <v>0</v>
      </c>
      <c r="J91" s="41">
        <v>16718965</v>
      </c>
      <c r="K91" s="52" t="s">
        <v>512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612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859</v>
      </c>
      <c r="G92" s="41">
        <f>MAX(CumulativeDead!92:92)</f>
        <v>39</v>
      </c>
      <c r="J92" s="41">
        <v>10847910</v>
      </c>
      <c r="K92" s="52" t="s">
        <v>512</v>
      </c>
      <c r="L92" s="41" t="e">
        <v>#VALUE!</v>
      </c>
      <c r="M92" s="69">
        <f t="shared" si="4"/>
        <v>4.5401629802095458E-2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612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512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613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514</v>
      </c>
      <c r="G94" s="41">
        <f>MAX(CumulativeDead!94:94)</f>
        <v>1</v>
      </c>
      <c r="J94" s="41">
        <v>4822233</v>
      </c>
      <c r="K94" s="52" t="s">
        <v>512</v>
      </c>
      <c r="L94" s="41" t="e">
        <v>#VALUE!</v>
      </c>
      <c r="M94" s="69">
        <f t="shared" si="4"/>
        <v>1.9455252918287938E-3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614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512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613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9217</v>
      </c>
      <c r="G96" s="41">
        <f>MAX(CumulativeDead!96:96)</f>
        <v>131</v>
      </c>
      <c r="J96" s="41">
        <v>84339067</v>
      </c>
      <c r="K96" s="52" t="s">
        <v>512</v>
      </c>
      <c r="L96" s="41" t="e">
        <v>#VALUE!</v>
      </c>
      <c r="M96" s="69">
        <f t="shared" si="4"/>
        <v>1.4212867527395031E-2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609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139</v>
      </c>
      <c r="G97" s="41">
        <f>MAX(CumulativeDead!97:97)</f>
        <v>3</v>
      </c>
      <c r="J97" s="41">
        <v>11326616</v>
      </c>
      <c r="K97" s="52" t="s">
        <v>512</v>
      </c>
      <c r="L97" s="41" t="e">
        <v>#VALUE!</v>
      </c>
      <c r="M97" s="69">
        <f t="shared" si="4"/>
        <v>2.1582733812949641E-2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611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284</v>
      </c>
      <c r="G98" s="41">
        <f>MAX(CumulativeDead!98:98)</f>
        <v>3</v>
      </c>
      <c r="J98" s="41">
        <v>18776707</v>
      </c>
      <c r="K98" s="52" t="s">
        <v>512</v>
      </c>
      <c r="L98" s="41" t="e">
        <v>#VALUE!</v>
      </c>
      <c r="M98" s="69">
        <f t="shared" ref="M98:M126" si="6">G98/F98</f>
        <v>1.0563380281690141E-2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608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48</v>
      </c>
      <c r="G99" s="41">
        <f>MAX(CumulativeDead!99:99)</f>
        <v>5</v>
      </c>
      <c r="J99" s="41">
        <v>164689383</v>
      </c>
      <c r="K99" s="52" t="s">
        <v>512</v>
      </c>
      <c r="L99" s="41" t="e">
        <v>#VALUE!</v>
      </c>
      <c r="M99" s="69">
        <f t="shared" si="6"/>
        <v>0.10416666666666667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608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 t="e">
        <f>VLOOKUP(C100,Days_Since_100!H:I,2,FALSE)</f>
        <v>#N/A</v>
      </c>
      <c r="E100" s="56" t="e">
        <f ca="1">OFFSET(CumulativeConfirmed!A100,-A100,MATCH(Country_Data!D100,CumulativeConfirmed!B100:BU100,0))</f>
        <v>#N/A</v>
      </c>
      <c r="F100" s="41">
        <f>MAX(CumulativeConfirmed!100:100)</f>
        <v>81</v>
      </c>
      <c r="G100" s="41">
        <f>MAX(CumulativeDead!100:100)</f>
        <v>1</v>
      </c>
      <c r="J100" s="41">
        <v>11673021</v>
      </c>
      <c r="K100" s="52" t="s">
        <v>512</v>
      </c>
      <c r="L100" s="41" t="e">
        <v>#VALUE!</v>
      </c>
      <c r="M100" s="69">
        <f t="shared" si="6"/>
        <v>1.2345679012345678E-2</v>
      </c>
      <c r="N100" s="52" t="e">
        <f>VLOOKUP(C100,Deaths_since_10!H:I,2,FALSE)</f>
        <v>#N/A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612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512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613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475</v>
      </c>
      <c r="G102" s="41">
        <f>MAX(CumulativeDead!102:102)</f>
        <v>10</v>
      </c>
      <c r="J102" s="41">
        <v>43733762</v>
      </c>
      <c r="K102" s="52" t="s">
        <v>512</v>
      </c>
      <c r="L102" s="41" t="e">
        <v>#VALUE!</v>
      </c>
      <c r="M102" s="69">
        <f t="shared" si="6"/>
        <v>2.1052631578947368E-2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609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512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613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222</v>
      </c>
      <c r="G104" s="41">
        <f>MAX(CumulativeDead!104:104)</f>
        <v>12</v>
      </c>
      <c r="J104" s="41">
        <v>20903273</v>
      </c>
      <c r="K104" s="52" t="s">
        <v>512</v>
      </c>
      <c r="L104" s="41" t="e">
        <v>#VALUE!</v>
      </c>
      <c r="M104" s="69">
        <f t="shared" si="6"/>
        <v>5.4054054054054057E-2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613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139</v>
      </c>
      <c r="G105" s="41">
        <f>MAX(CumulativeDead!105:105)</f>
        <v>6</v>
      </c>
      <c r="J105" s="41">
        <v>26545863</v>
      </c>
      <c r="K105" s="52" t="s">
        <v>512</v>
      </c>
      <c r="L105" s="41" t="e">
        <v>#VALUE!</v>
      </c>
      <c r="M105" s="69">
        <f t="shared" si="6"/>
        <v>4.3165467625899283E-2</v>
      </c>
      <c r="N105" s="52" t="e">
        <f>VLOOKUP(C105,Deaths_since_10!H:I,2,FALSE)</f>
        <v>#N/A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613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 t="e">
        <f>VLOOKUP(C106,Days_Since_100!H:I,2,FALSE)</f>
        <v>#N/A</v>
      </c>
      <c r="E106" s="56" t="e">
        <f ca="1">OFFSET(CumulativeConfirmed!A106,-A106,MATCH(Country_Data!D106,CumulativeConfirmed!B106:BU106,0))</f>
        <v>#N/A</v>
      </c>
      <c r="F106" s="41">
        <f>MAX(CumulativeConfirmed!106:106)</f>
        <v>65</v>
      </c>
      <c r="G106" s="41">
        <f>MAX(CumulativeDead!106:106)</f>
        <v>6</v>
      </c>
      <c r="K106" s="52" t="s">
        <v>512</v>
      </c>
      <c r="L106" s="41" t="e">
        <v>#N/A</v>
      </c>
      <c r="M106" s="69">
        <f t="shared" si="6"/>
        <v>9.2307692307692313E-2</v>
      </c>
      <c r="N106" s="52" t="e">
        <f>VLOOKUP(C106,Deaths_since_10!H:I,2,FALSE)</f>
        <v>#N/A</v>
      </c>
      <c r="O106" s="56" t="e">
        <f ca="1">OFFSET(CumulativeDead!B106,-A106,MATCH(Country_Data!N106,CumulativeDead!C106:BU106,0))</f>
        <v>#N/A</v>
      </c>
      <c r="P106" s="52" t="e">
        <f t="shared" ca="1" si="7"/>
        <v>#N/A</v>
      </c>
      <c r="Q106" s="52" t="s">
        <v>613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110</v>
      </c>
      <c r="G107" s="41">
        <f>MAX(CumulativeDead!107:107)</f>
        <v>3</v>
      </c>
      <c r="J107" s="41">
        <v>9904607</v>
      </c>
      <c r="K107" s="52" t="s">
        <v>512</v>
      </c>
      <c r="L107" s="41" t="e">
        <v>#VALUE!</v>
      </c>
      <c r="M107" s="69">
        <f t="shared" si="6"/>
        <v>2.7272727272727271E-2</v>
      </c>
      <c r="N107" s="52" t="e">
        <f>VLOOKUP(C107,Deaths_since_10!H:I,2,FALSE)</f>
        <v>#N/A</v>
      </c>
      <c r="O107" s="56" t="e">
        <f ca="1">OFFSET(CumulativeDead!B107,-A107,MATCH(Country_Data!N107,CumulativeDead!C107:BU107,0))</f>
        <v>#N/A</v>
      </c>
      <c r="P107" s="52" t="e">
        <f t="shared" ca="1" si="7"/>
        <v>#N/A</v>
      </c>
      <c r="Q107" s="52" t="s">
        <v>612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46</v>
      </c>
      <c r="G108" s="41">
        <f>MAX(CumulativeDead!108:108)</f>
        <v>1</v>
      </c>
      <c r="J108" s="41">
        <v>39242</v>
      </c>
      <c r="K108" s="52" t="s">
        <v>512</v>
      </c>
      <c r="L108" s="41" t="e">
        <v>#VALUE!</v>
      </c>
      <c r="M108" s="69">
        <f t="shared" si="6"/>
        <v>2.1739130434782608E-2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609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111</v>
      </c>
      <c r="G109" s="41">
        <f>MAX(CumulativeDead!109:109)</f>
        <v>1</v>
      </c>
      <c r="J109" s="41">
        <v>206139589</v>
      </c>
      <c r="K109" s="52" t="s">
        <v>512</v>
      </c>
      <c r="L109" s="41" t="e">
        <v>#VALUE!</v>
      </c>
      <c r="M109" s="69">
        <f t="shared" si="6"/>
        <v>9.0090090090090089E-3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613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334</v>
      </c>
      <c r="G110" s="41">
        <f>MAX(CumulativeDead!110:110)</f>
        <v>6</v>
      </c>
      <c r="J110" s="41">
        <v>77265</v>
      </c>
      <c r="K110" s="52" t="s">
        <v>512</v>
      </c>
      <c r="L110" s="41" t="e">
        <v>#VALUE!</v>
      </c>
      <c r="M110" s="69">
        <f t="shared" si="6"/>
        <v>1.7964071856287425E-2</v>
      </c>
      <c r="N110" s="52" t="e">
        <f>VLOOKUP(C110,Deaths_since_10!H:I,2,FALSE)</f>
        <v>#N/A</v>
      </c>
      <c r="O110" s="56" t="e">
        <f ca="1">OFFSET(CumulativeDead!B110,-A110,MATCH(Country_Data!N110,CumulativeDead!C110:BU110,0))</f>
        <v>#N/A</v>
      </c>
      <c r="P110" s="52" t="e">
        <f t="shared" ca="1" si="7"/>
        <v>#N/A</v>
      </c>
      <c r="Q110" s="52" t="s">
        <v>609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7</v>
      </c>
      <c r="G111" s="41">
        <f>MAX(CumulativeDead!111:111)</f>
        <v>0</v>
      </c>
      <c r="J111" s="41">
        <v>97929</v>
      </c>
      <c r="K111" s="52" t="s">
        <v>512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611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4</v>
      </c>
      <c r="G112" s="41">
        <f>MAX(CumulativeDead!112:112)</f>
        <v>0</v>
      </c>
      <c r="J112" s="41">
        <v>771608</v>
      </c>
      <c r="K112" s="52" t="s">
        <v>512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608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512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611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165</v>
      </c>
      <c r="G114" s="41">
        <f>MAX(CumulativeDead!114:114)</f>
        <v>1</v>
      </c>
      <c r="K114" s="52" t="s">
        <v>512</v>
      </c>
      <c r="L114" s="41" t="e">
        <v>#N/A</v>
      </c>
      <c r="M114" s="69">
        <f t="shared" si="6"/>
        <v>6.0606060606060606E-3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613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21</v>
      </c>
      <c r="G115" s="41">
        <f>MAX(CumulativeDead!115:115)</f>
        <v>0</v>
      </c>
      <c r="J115" s="41">
        <v>114963588</v>
      </c>
      <c r="K115" s="52" t="s">
        <v>512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613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512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612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16</v>
      </c>
      <c r="G117" s="41">
        <f>MAX(CumulativeDead!117:117)</f>
        <v>0</v>
      </c>
      <c r="J117" s="41">
        <v>13132795</v>
      </c>
      <c r="K117" s="52" t="s">
        <v>512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613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20</v>
      </c>
      <c r="G118" s="41">
        <f>MAX(CumulativeDead!118:118)</f>
        <v>1</v>
      </c>
      <c r="J118" s="41">
        <v>786552</v>
      </c>
      <c r="K118" s="52" t="s">
        <v>512</v>
      </c>
      <c r="L118" s="41" t="e">
        <v>#VALUE!</v>
      </c>
      <c r="M118" s="69">
        <f t="shared" si="6"/>
        <v>0.05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612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6</v>
      </c>
      <c r="G119" s="41">
        <f>MAX(CumulativeDead!119:119)</f>
        <v>0</v>
      </c>
      <c r="J119" s="41">
        <v>801</v>
      </c>
      <c r="K119" s="52" t="s">
        <v>512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609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259</v>
      </c>
      <c r="G120" s="41">
        <f>MAX(CumulativeDead!120:120)</f>
        <v>3</v>
      </c>
      <c r="J120" s="41">
        <v>10203134</v>
      </c>
      <c r="K120" s="52" t="s">
        <v>512</v>
      </c>
      <c r="L120" s="41" t="e">
        <v>#VALUE!</v>
      </c>
      <c r="M120" s="69">
        <f t="shared" si="6"/>
        <v>1.1583011583011582E-2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610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 t="e">
        <f>VLOOKUP(C121,Days_Since_100!H:I,2,FALSE)</f>
        <v>#N/A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42</v>
      </c>
      <c r="G121" s="41">
        <f>MAX(CumulativeDead!121:121)</f>
        <v>1</v>
      </c>
      <c r="J121" s="41">
        <v>53771296</v>
      </c>
      <c r="K121" s="52" t="s">
        <v>512</v>
      </c>
      <c r="L121" s="41" t="e">
        <v>#VALUE!</v>
      </c>
      <c r="M121" s="69">
        <f t="shared" si="6"/>
        <v>2.3809523809523808E-2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613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56</v>
      </c>
      <c r="G122" s="41">
        <f>MAX(CumulativeDead!122:122)</f>
        <v>0</v>
      </c>
      <c r="J122" s="41">
        <v>38128</v>
      </c>
      <c r="K122" s="52" t="s">
        <v>512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609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12</v>
      </c>
      <c r="G123" s="41">
        <f>MAX(CumulativeDead!123:123)</f>
        <v>0</v>
      </c>
      <c r="J123" s="41">
        <v>3278290</v>
      </c>
      <c r="K123" s="52" t="s">
        <v>512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608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5</v>
      </c>
      <c r="G124" s="41">
        <f>MAX(CumulativeDead!124:124)</f>
        <v>0</v>
      </c>
      <c r="J124" s="41">
        <v>29136808</v>
      </c>
      <c r="K124" s="52" t="s">
        <v>512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608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6</v>
      </c>
      <c r="G125" s="41">
        <f>MAX(CumulativeDead!125:125)</f>
        <v>1</v>
      </c>
      <c r="J125" s="41">
        <v>43849260</v>
      </c>
      <c r="K125" s="52" t="s">
        <v>512</v>
      </c>
      <c r="L125" s="41" t="e">
        <v>#VALUE!</v>
      </c>
      <c r="M125" s="69">
        <f t="shared" si="6"/>
        <v>0.16666666666666666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613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1</v>
      </c>
      <c r="J126" s="41">
        <v>8278724</v>
      </c>
      <c r="K126" s="52" t="s">
        <v>512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613</v>
      </c>
    </row>
    <row r="127" spans="1:17" x14ac:dyDescent="0.3">
      <c r="A127" s="52">
        <v>126</v>
      </c>
      <c r="B127" s="2" t="s">
        <v>606</v>
      </c>
      <c r="C127" s="2" t="s">
        <v>606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33885</v>
      </c>
      <c r="J127" s="41">
        <f>SUM(J2:J126)</f>
        <v>6913108351</v>
      </c>
      <c r="K127" s="52" t="s">
        <v>512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608</v>
      </c>
      <c r="C128" s="2" t="s">
        <v>608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3803</v>
      </c>
      <c r="J128" s="41">
        <f>SUMIFS($J$2:$J$126,$Q$2:$Q$126,B128)</f>
        <v>4225360220</v>
      </c>
      <c r="K128" s="52" t="s">
        <v>512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609</v>
      </c>
      <c r="C129" s="2" t="s">
        <v>609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24334</v>
      </c>
      <c r="J129" s="41">
        <f t="shared" ref="J129:J133" si="10">SUMIFS($J$2:$J$126,$Q$2:$Q$126,B129)</f>
        <v>693230884</v>
      </c>
      <c r="K129" s="52" t="s">
        <v>512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611</v>
      </c>
      <c r="C130" s="2" t="s">
        <v>611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2570</v>
      </c>
      <c r="J130" s="41">
        <f t="shared" si="10"/>
        <v>521537877</v>
      </c>
      <c r="K130" s="52" t="s">
        <v>512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612</v>
      </c>
      <c r="C131" s="2" t="s">
        <v>612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295</v>
      </c>
      <c r="J131" s="41">
        <f t="shared" si="10"/>
        <v>435832908</v>
      </c>
      <c r="K131" s="52" t="s">
        <v>512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613</v>
      </c>
      <c r="C132" s="2" t="s">
        <v>613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136</v>
      </c>
      <c r="J132" s="41">
        <f t="shared" si="10"/>
        <v>759332345</v>
      </c>
      <c r="K132" s="52" t="s">
        <v>512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610</v>
      </c>
      <c r="C133" s="2" t="s">
        <v>610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2730</v>
      </c>
      <c r="J133" s="41">
        <f t="shared" si="10"/>
        <v>247492000</v>
      </c>
      <c r="K133" s="52" t="s">
        <v>512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33885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U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A1" s="2" t="s">
        <v>607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0</v>
      </c>
      <c r="BT2">
        <f>SUMIF(ConfirmedRaw!$B:$B,$B2,ConfirmedRaw!BV:BV)</f>
        <v>0</v>
      </c>
      <c r="BU2">
        <f>SUMIF(ConfirmedRaw!$B:$B,$B2,ConfirmedRaw!BW:BW)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0</v>
      </c>
      <c r="BT3">
        <f>SUMIF(ConfirmedRaw!$B:$B,$B3,ConfirmedRaw!BV:BV)</f>
        <v>0</v>
      </c>
      <c r="BU3">
        <f>SUMIF(ConfirmedRaw!$B:$B,$B3,ConfirmedRaw!BW:BW)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0</v>
      </c>
      <c r="BT4">
        <f>SUMIF(ConfirmedRaw!$B:$B,$B4,ConfirmedRaw!BV:BV)</f>
        <v>0</v>
      </c>
      <c r="BU4">
        <f>SUMIF(ConfirmedRaw!$B:$B,$B4,ConfirmedRaw!BW:BW)</f>
        <v>0</v>
      </c>
    </row>
    <row r="5" spans="1:73" ht="15" thickBot="1" x14ac:dyDescent="0.35">
      <c r="A5" s="97" t="s">
        <v>608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0</v>
      </c>
      <c r="BT5">
        <f>SUMIF(ConfirmedRaw!$B:$B,$B5,ConfirmedRaw!BV:BV)</f>
        <v>0</v>
      </c>
      <c r="BU5">
        <f>SUMIF(ConfirmedRaw!$B:$B,$B5,ConfirmedRaw!BW:BW)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0</v>
      </c>
      <c r="BT6">
        <f>SUMIF(ConfirmedRaw!$B:$B,$B6,ConfirmedRaw!BV:BV)</f>
        <v>0</v>
      </c>
      <c r="BU6">
        <f>SUMIF(ConfirmedRaw!$B:$B,$B6,ConfirmedRaw!BW:BW)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0</v>
      </c>
      <c r="BT7">
        <f>SUMIF(ConfirmedRaw!$B:$B,$B7,ConfirmedRaw!BV:BV)</f>
        <v>0</v>
      </c>
      <c r="BU7">
        <f>SUMIF(ConfirmedRaw!$B:$B,$B7,ConfirmedRaw!BW:BW)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0</v>
      </c>
      <c r="BT8">
        <f>SUMIF(ConfirmedRaw!$B:$B,$B8,ConfirmedRaw!BV:BV)</f>
        <v>0</v>
      </c>
      <c r="BU8">
        <f>SUMIF(ConfirmedRaw!$B:$B,$B8,ConfirmedRaw!BW:BW)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140886</v>
      </c>
      <c r="BS9">
        <f>SUMIF(ConfirmedRaw!$B:$B,$B9,ConfirmedRaw!BU:BU)</f>
        <v>0</v>
      </c>
      <c r="BT9">
        <f>SUMIF(ConfirmedRaw!$B:$B,$B9,ConfirmedRaw!BV:BV)</f>
        <v>0</v>
      </c>
      <c r="BU9">
        <f>SUMIF(ConfirmedRaw!$B:$B,$B9,ConfirmedRaw!BW:BW)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0</v>
      </c>
      <c r="BT10">
        <f>SUMIF(ConfirmedRaw!$B:$B,$B10,ConfirmedRaw!BV:BV)</f>
        <v>0</v>
      </c>
      <c r="BU10">
        <f>SUMIF(ConfirmedRaw!$B:$B,$B10,ConfirmedRaw!BW:BW)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0</v>
      </c>
      <c r="BT11">
        <f>SUMIF(ConfirmedRaw!$B:$B,$B11,ConfirmedRaw!BV:BV)</f>
        <v>0</v>
      </c>
      <c r="BU11">
        <f>SUMIF(ConfirmedRaw!$B:$B,$B11,ConfirmedRaw!BW:BW)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0</v>
      </c>
      <c r="BT12">
        <f>SUMIF(ConfirmedRaw!$B:$B,$B12,ConfirmedRaw!BV:BV)</f>
        <v>0</v>
      </c>
      <c r="BU12">
        <f>SUMIF(ConfirmedRaw!$B:$B,$B12,ConfirmedRaw!BW:BW)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0</v>
      </c>
      <c r="BT13">
        <f>SUMIF(ConfirmedRaw!$B:$B,$B13,ConfirmedRaw!BV:BV)</f>
        <v>0</v>
      </c>
      <c r="BU13">
        <f>SUMIF(ConfirmedRaw!$B:$B,$B13,ConfirmedRaw!BW:BW)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0</v>
      </c>
      <c r="BT14">
        <f>SUMIF(ConfirmedRaw!$B:$B,$B14,ConfirmedRaw!BV:BV)</f>
        <v>0</v>
      </c>
      <c r="BU14">
        <f>SUMIF(ConfirmedRaw!$B:$B,$B14,ConfirmedRaw!BW:BW)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f>SUMIF(ConfirmedRaw!$B:$B,$B15,ConfirmedRaw!BJ:BJ)</f>
        <v>2716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0</v>
      </c>
      <c r="BT15">
        <f>SUMIF(ConfirmedRaw!$B:$B,$B15,ConfirmedRaw!BV:BV)</f>
        <v>0</v>
      </c>
      <c r="BU15">
        <f>SUMIF(ConfirmedRaw!$B:$B,$B15,ConfirmedRaw!BW:BW)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0</v>
      </c>
      <c r="BT16">
        <f>SUMIF(ConfirmedRaw!$B:$B,$B16,ConfirmedRaw!BV:BV)</f>
        <v>0</v>
      </c>
      <c r="BU16">
        <f>SUMIF(ConfirmedRaw!$B:$B,$B16,ConfirmedRaw!BW:BW)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0</v>
      </c>
      <c r="BT18">
        <f>SUMIF(ConfirmedRaw!$B:$B,$B18,ConfirmedRaw!BV:BV)</f>
        <v>0</v>
      </c>
      <c r="BU18">
        <f>SUMIF(ConfirmedRaw!$B:$B,$B18,ConfirmedRaw!BW:BW)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0</v>
      </c>
      <c r="BT19">
        <f>SUMIF(ConfirmedRaw!$B:$B,$B19,ConfirmedRaw!BV:BV)</f>
        <v>0</v>
      </c>
      <c r="BU19">
        <f>SUMIF(ConfirmedRaw!$B:$B,$B19,ConfirmedRaw!BW:BW)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0</v>
      </c>
      <c r="BT20">
        <f>SUMIF(ConfirmedRaw!$B:$B,$B20,ConfirmedRaw!BV:BV)</f>
        <v>0</v>
      </c>
      <c r="BU20">
        <f>SUMIF(ConfirmedRaw!$B:$B,$B20,ConfirmedRaw!BW:BW)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0</v>
      </c>
      <c r="BT21">
        <f>SUMIF(ConfirmedRaw!$B:$B,$B21,ConfirmedRaw!BV:BV)</f>
        <v>0</v>
      </c>
      <c r="BU21">
        <f>SUMIF(ConfirmedRaw!$B:$B,$B21,ConfirmedRaw!BW:BW)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0</v>
      </c>
      <c r="BT22">
        <f>SUMIF(ConfirmedRaw!$B:$B,$B22,ConfirmedRaw!BV:BV)</f>
        <v>0</v>
      </c>
      <c r="BU22">
        <f>SUMIF(ConfirmedRaw!$B:$B,$B22,ConfirmedRaw!BW:BW)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0</v>
      </c>
      <c r="BT23">
        <f>SUMIF(ConfirmedRaw!$B:$B,$B23,ConfirmedRaw!BV:BV)</f>
        <v>0</v>
      </c>
      <c r="BU23">
        <f>SUMIF(ConfirmedRaw!$B:$B,$B23,ConfirmedRaw!BW:BW)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0</v>
      </c>
      <c r="BT24">
        <f>SUMIF(ConfirmedRaw!$B:$B,$B24,ConfirmedRaw!BV:BV)</f>
        <v>0</v>
      </c>
      <c r="BU24">
        <f>SUMIF(ConfirmedRaw!$B:$B,$B24,ConfirmedRaw!BW:BW)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0</v>
      </c>
      <c r="BT25">
        <f>SUMIF(ConfirmedRaw!$B:$B,$B25,ConfirmedRaw!BV:BV)</f>
        <v>0</v>
      </c>
      <c r="BU25">
        <f>SUMIF(ConfirmedRaw!$B:$B,$B25,ConfirmedRaw!BW:BW)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0</v>
      </c>
      <c r="BT26">
        <f>SUMIF(ConfirmedRaw!$B:$B,$B26,ConfirmedRaw!BV:BV)</f>
        <v>0</v>
      </c>
      <c r="BU26">
        <f>SUMIF(ConfirmedRaw!$B:$B,$B26,ConfirmedRaw!BW:BW)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0</v>
      </c>
      <c r="BT27">
        <f>SUMIF(ConfirmedRaw!$B:$B,$B27,ConfirmedRaw!BV:BV)</f>
        <v>0</v>
      </c>
      <c r="BU27">
        <f>SUMIF(ConfirmedRaw!$B:$B,$B27,ConfirmedRaw!BW:BW)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0</v>
      </c>
      <c r="BT28">
        <f>SUMIF(ConfirmedRaw!$B:$B,$B28,ConfirmedRaw!BV:BV)</f>
        <v>0</v>
      </c>
      <c r="BU28">
        <f>SUMIF(ConfirmedRaw!$B:$B,$B28,ConfirmedRaw!BW:BW)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0</v>
      </c>
      <c r="BT29">
        <f>SUMIF(ConfirmedRaw!$B:$B,$B29,ConfirmedRaw!BV:BV)</f>
        <v>0</v>
      </c>
      <c r="BU29">
        <f>SUMIF(ConfirmedRaw!$B:$B,$B29,ConfirmedRaw!BW:BW)</f>
        <v>0</v>
      </c>
    </row>
    <row r="30" spans="1:73" ht="15" thickBot="1" x14ac:dyDescent="0.35">
      <c r="A30" s="97" t="s">
        <v>609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0</v>
      </c>
      <c r="BT30">
        <f>SUMIF(ConfirmedRaw!$B:$B,$B30,ConfirmedRaw!BV:BV)</f>
        <v>0</v>
      </c>
      <c r="BU30">
        <f>SUMIF(ConfirmedRaw!$B:$B,$B30,ConfirmedRaw!BW:BW)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0</v>
      </c>
      <c r="BT31">
        <f>SUMIF(ConfirmedRaw!$B:$B,$B31,ConfirmedRaw!BV:BV)</f>
        <v>0</v>
      </c>
      <c r="BU31">
        <f>SUMIF(ConfirmedRaw!$B:$B,$B31,ConfirmedRaw!BW:BW)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0</v>
      </c>
      <c r="BT32">
        <f>SUMIF(ConfirmedRaw!$B:$B,$B32,ConfirmedRaw!BV:BV)</f>
        <v>0</v>
      </c>
      <c r="BU32">
        <f>SUMIF(ConfirmedRaw!$B:$B,$B32,ConfirmedRaw!BW:BW)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0</v>
      </c>
      <c r="BT33">
        <f>SUMIF(ConfirmedRaw!$B:$B,$B33,ConfirmedRaw!BV:BV)</f>
        <v>0</v>
      </c>
      <c r="BU33">
        <f>SUMIF(ConfirmedRaw!$B:$B,$B33,ConfirmedRaw!BW:BW)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0</v>
      </c>
      <c r="BT34">
        <f>SUMIF(ConfirmedRaw!$B:$B,$B34,ConfirmedRaw!BV:BV)</f>
        <v>0</v>
      </c>
      <c r="BU34">
        <f>SUMIF(ConfirmedRaw!$B:$B,$B34,ConfirmedRaw!BW:BW)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0</v>
      </c>
      <c r="BT35">
        <f>SUMIF(ConfirmedRaw!$B:$B,$B35,ConfirmedRaw!BV:BV)</f>
        <v>0</v>
      </c>
      <c r="BU35">
        <f>SUMIF(ConfirmedRaw!$B:$B,$B35,ConfirmedRaw!BW:BW)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0</v>
      </c>
      <c r="BT36">
        <f>SUMIF(ConfirmedRaw!$B:$B,$B36,ConfirmedRaw!BV:BV)</f>
        <v>0</v>
      </c>
      <c r="BU36">
        <f>SUMIF(ConfirmedRaw!$B:$B,$B36,ConfirmedRaw!BW:BW)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0</v>
      </c>
      <c r="BT37">
        <f>SUMIF(ConfirmedRaw!$B:$B,$B37,ConfirmedRaw!BV:BV)</f>
        <v>0</v>
      </c>
      <c r="BU37">
        <f>SUMIF(ConfirmedRaw!$B:$B,$B37,ConfirmedRaw!BW:BW)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0</v>
      </c>
      <c r="BT38">
        <f>SUMIF(ConfirmedRaw!$B:$B,$B38,ConfirmedRaw!BV:BV)</f>
        <v>0</v>
      </c>
      <c r="BU38">
        <f>SUMIF(ConfirmedRaw!$B:$B,$B38,ConfirmedRaw!BW:BW)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0</v>
      </c>
      <c r="BT39">
        <f>SUMIF(ConfirmedRaw!$B:$B,$B39,ConfirmedRaw!BV:BV)</f>
        <v>0</v>
      </c>
      <c r="BU39">
        <f>SUMIF(ConfirmedRaw!$B:$B,$B39,ConfirmedRaw!BW:BW)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0</v>
      </c>
      <c r="BT40">
        <f>SUMIF(ConfirmedRaw!$B:$B,$B40,ConfirmedRaw!BV:BV)</f>
        <v>0</v>
      </c>
      <c r="BU40">
        <f>SUMIF(ConfirmedRaw!$B:$B,$B40,ConfirmedRaw!BW:BW)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0</v>
      </c>
      <c r="BT41">
        <f>SUMIF(ConfirmedRaw!$B:$B,$B41,ConfirmedRaw!BV:BV)</f>
        <v>0</v>
      </c>
      <c r="BU41">
        <f>SUMIF(ConfirmedRaw!$B:$B,$B41,ConfirmedRaw!BW:BW)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0</v>
      </c>
      <c r="BT42">
        <f>SUMIF(ConfirmedRaw!$B:$B,$B42,ConfirmedRaw!BV:BV)</f>
        <v>0</v>
      </c>
      <c r="BU42">
        <f>SUMIF(ConfirmedRaw!$B:$B,$B42,ConfirmedRaw!BW:BW)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0</v>
      </c>
      <c r="BT43">
        <f>SUMIF(ConfirmedRaw!$B:$B,$B43,ConfirmedRaw!BV:BV)</f>
        <v>0</v>
      </c>
      <c r="BU43">
        <f>SUMIF(ConfirmedRaw!$B:$B,$B43,ConfirmedRaw!BW:BW)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0</v>
      </c>
      <c r="BT44">
        <f>SUMIF(ConfirmedRaw!$B:$B,$B44,ConfirmedRaw!BV:BV)</f>
        <v>0</v>
      </c>
      <c r="BU44">
        <f>SUMIF(ConfirmedRaw!$B:$B,$B44,ConfirmedRaw!BW:BW)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0</v>
      </c>
      <c r="BT45">
        <f>SUMIF(ConfirmedRaw!$B:$B,$B45,ConfirmedRaw!BV:BV)</f>
        <v>0</v>
      </c>
      <c r="BU45">
        <f>SUMIF(ConfirmedRaw!$B:$B,$B45,ConfirmedRaw!BW:BW)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0</v>
      </c>
      <c r="BT46">
        <f>SUMIF(ConfirmedRaw!$B:$B,$B46,ConfirmedRaw!BV:BV)</f>
        <v>0</v>
      </c>
      <c r="BU46">
        <f>SUMIF(ConfirmedRaw!$B:$B,$B46,ConfirmedRaw!BW:BW)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0</v>
      </c>
      <c r="BT47">
        <f>SUMIF(ConfirmedRaw!$B:$B,$B47,ConfirmedRaw!BV:BV)</f>
        <v>0</v>
      </c>
      <c r="BU47">
        <f>SUMIF(ConfirmedRaw!$B:$B,$B47,ConfirmedRaw!BW:BW)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0</v>
      </c>
      <c r="BT48">
        <f>SUMIF(ConfirmedRaw!$B:$B,$B48,ConfirmedRaw!BV:BV)</f>
        <v>0</v>
      </c>
      <c r="BU48">
        <f>SUMIF(ConfirmedRaw!$B:$B,$B48,ConfirmedRaw!BW:BW)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0</v>
      </c>
      <c r="BT49">
        <f>SUMIF(ConfirmedRaw!$B:$B,$B49,ConfirmedRaw!BV:BV)</f>
        <v>0</v>
      </c>
      <c r="BU49">
        <f>SUMIF(ConfirmedRaw!$B:$B,$B49,ConfirmedRaw!BW:BW)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0</v>
      </c>
      <c r="BT50">
        <f>SUMIF(ConfirmedRaw!$B:$B,$B50,ConfirmedRaw!BV:BV)</f>
        <v>0</v>
      </c>
      <c r="BU50">
        <f>SUMIF(ConfirmedRaw!$B:$B,$B50,ConfirmedRaw!BW:BW)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0</v>
      </c>
      <c r="BT51">
        <f>SUMIF(ConfirmedRaw!$B:$B,$B51,ConfirmedRaw!BV:BV)</f>
        <v>0</v>
      </c>
      <c r="BU51">
        <f>SUMIF(ConfirmedRaw!$B:$B,$B51,ConfirmedRaw!BW:BW)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0</v>
      </c>
      <c r="BT52">
        <f>SUMIF(ConfirmedRaw!$B:$B,$B52,ConfirmedRaw!BV:BV)</f>
        <v>0</v>
      </c>
      <c r="BU52">
        <f>SUMIF(ConfirmedRaw!$B:$B,$B52,ConfirmedRaw!BW:BW)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0</v>
      </c>
      <c r="BT53">
        <f>SUMIF(ConfirmedRaw!$B:$B,$B53,ConfirmedRaw!BV:BV)</f>
        <v>0</v>
      </c>
      <c r="BU53">
        <f>SUMIF(ConfirmedRaw!$B:$B,$B53,ConfirmedRaw!BW:BW)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0</v>
      </c>
      <c r="BT54">
        <f>SUMIF(ConfirmedRaw!$B:$B,$B54,ConfirmedRaw!BV:BV)</f>
        <v>0</v>
      </c>
      <c r="BU54">
        <f>SUMIF(ConfirmedRaw!$B:$B,$B54,ConfirmedRaw!BW:BW)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0</v>
      </c>
      <c r="BT55">
        <f>SUMIF(ConfirmedRaw!$B:$B,$B55,ConfirmedRaw!BV:BV)</f>
        <v>0</v>
      </c>
      <c r="BU55">
        <f>SUMIF(ConfirmedRaw!$B:$B,$B55,ConfirmedRaw!BW:BW)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0</v>
      </c>
      <c r="BT56">
        <f>SUMIF(ConfirmedRaw!$B:$B,$B56,ConfirmedRaw!BV:BV)</f>
        <v>0</v>
      </c>
      <c r="BU56">
        <f>SUMIF(ConfirmedRaw!$B:$B,$B56,ConfirmedRaw!BW:BW)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0</v>
      </c>
      <c r="BT57">
        <f>SUMIF(ConfirmedRaw!$B:$B,$B57,ConfirmedRaw!BV:BV)</f>
        <v>0</v>
      </c>
      <c r="BU57">
        <f>SUMIF(ConfirmedRaw!$B:$B,$B57,ConfirmedRaw!BW:BW)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0</v>
      </c>
      <c r="BT58">
        <f>SUMIF(ConfirmedRaw!$B:$B,$B58,ConfirmedRaw!BV:BV)</f>
        <v>0</v>
      </c>
      <c r="BU58">
        <f>SUMIF(ConfirmedRaw!$B:$B,$B58,ConfirmedRaw!BW:BW)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0</v>
      </c>
      <c r="BT59">
        <f>SUMIF(ConfirmedRaw!$B:$B,$B59,ConfirmedRaw!BV:BV)</f>
        <v>0</v>
      </c>
      <c r="BU59">
        <f>SUMIF(ConfirmedRaw!$B:$B,$B59,ConfirmedRaw!BW:BW)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0</v>
      </c>
      <c r="BT60">
        <f>SUMIF(ConfirmedRaw!$B:$B,$B60,ConfirmedRaw!BV:BV)</f>
        <v>0</v>
      </c>
      <c r="BU60">
        <f>SUMIF(ConfirmedRaw!$B:$B,$B60,ConfirmedRaw!BW:BW)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0</v>
      </c>
      <c r="BT61">
        <f>SUMIF(ConfirmedRaw!$B:$B,$B61,ConfirmedRaw!BV:BV)</f>
        <v>0</v>
      </c>
      <c r="BU61">
        <f>SUMIF(ConfirmedRaw!$B:$B,$B61,ConfirmedRaw!BW:BW)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0</v>
      </c>
      <c r="BT62">
        <f>SUMIF(ConfirmedRaw!$B:$B,$B62,ConfirmedRaw!BV:BV)</f>
        <v>0</v>
      </c>
      <c r="BU62">
        <f>SUMIF(ConfirmedRaw!$B:$B,$B62,ConfirmedRaw!BW:BW)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0</v>
      </c>
      <c r="BT63">
        <f>SUMIF(ConfirmedRaw!$B:$B,$B63,ConfirmedRaw!BV:BV)</f>
        <v>0</v>
      </c>
      <c r="BU63">
        <f>SUMIF(ConfirmedRaw!$B:$B,$B63,ConfirmedRaw!BW:BW)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0</v>
      </c>
      <c r="BT64">
        <f>SUMIF(ConfirmedRaw!$B:$B,$B64,ConfirmedRaw!BV:BV)</f>
        <v>0</v>
      </c>
      <c r="BU64">
        <f>SUMIF(ConfirmedRaw!$B:$B,$B64,ConfirmedRaw!BW:BW)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0</v>
      </c>
      <c r="BT65">
        <f>SUMIF(ConfirmedRaw!$B:$B,$B65,ConfirmedRaw!BV:BV)</f>
        <v>0</v>
      </c>
      <c r="BU65">
        <f>SUMIF(ConfirmedRaw!$B:$B,$B65,ConfirmedRaw!BW:BW)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0</v>
      </c>
      <c r="BT66">
        <f>SUMIF(ConfirmedRaw!$B:$B,$B66,ConfirmedRaw!BV:BV)</f>
        <v>0</v>
      </c>
      <c r="BU66">
        <f>SUMIF(ConfirmedRaw!$B:$B,$B66,ConfirmedRaw!BW:BW)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0</v>
      </c>
      <c r="BT67">
        <f>SUMIF(ConfirmedRaw!$B:$B,$B67,ConfirmedRaw!BV:BV)</f>
        <v>0</v>
      </c>
      <c r="BU67">
        <f>SUMIF(ConfirmedRaw!$B:$B,$B67,ConfirmedRaw!BW:BW)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0</v>
      </c>
      <c r="BT68">
        <f>SUMIF(ConfirmedRaw!$B:$B,$B68,ConfirmedRaw!BV:BV)</f>
        <v>0</v>
      </c>
      <c r="BU68">
        <f>SUMIF(ConfirmedRaw!$B:$B,$B68,ConfirmedRaw!BW:BW)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0</v>
      </c>
      <c r="BT69">
        <f>SUMIF(ConfirmedRaw!$B:$B,$B69,ConfirmedRaw!BV:BV)</f>
        <v>0</v>
      </c>
      <c r="BU69">
        <f>SUMIF(ConfirmedRaw!$B:$B,$B69,ConfirmedRaw!BW:BW)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0</v>
      </c>
      <c r="BT70">
        <f>SUMIF(ConfirmedRaw!$B:$B,$B70,ConfirmedRaw!BV:BV)</f>
        <v>0</v>
      </c>
      <c r="BU70">
        <f>SUMIF(ConfirmedRaw!$B:$B,$B70,ConfirmedRaw!BW:BW)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0</v>
      </c>
      <c r="BT71">
        <f>SUMIF(ConfirmedRaw!$B:$B,$B71,ConfirmedRaw!BV:BV)</f>
        <v>0</v>
      </c>
      <c r="BU71">
        <f>SUMIF(ConfirmedRaw!$B:$B,$B71,ConfirmedRaw!BW:BW)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0</v>
      </c>
      <c r="BT72">
        <f>SUMIF(ConfirmedRaw!$B:$B,$B72,ConfirmedRaw!BV:BV)</f>
        <v>0</v>
      </c>
      <c r="BU72">
        <f>SUMIF(ConfirmedRaw!$B:$B,$B72,ConfirmedRaw!BW:BW)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0</v>
      </c>
      <c r="BT73">
        <f>SUMIF(ConfirmedRaw!$B:$B,$B73,ConfirmedRaw!BV:BV)</f>
        <v>0</v>
      </c>
      <c r="BU73">
        <f>SUMIF(ConfirmedRaw!$B:$B,$B73,ConfirmedRaw!BW:BW)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0</v>
      </c>
      <c r="BT74">
        <f>SUMIF(ConfirmedRaw!$B:$B,$B74,ConfirmedRaw!BV:BV)</f>
        <v>0</v>
      </c>
      <c r="BU74">
        <f>SUMIF(ConfirmedRaw!$B:$B,$B74,ConfirmedRaw!BW:BW)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0</v>
      </c>
      <c r="BT75">
        <f>SUMIF(ConfirmedRaw!$B:$B,$B75,ConfirmedRaw!BV:BV)</f>
        <v>0</v>
      </c>
      <c r="BU75">
        <f>SUMIF(ConfirmedRaw!$B:$B,$B75,ConfirmedRaw!BW:BW)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0</v>
      </c>
      <c r="BT76">
        <f>SUMIF(ConfirmedRaw!$B:$B,$B76,ConfirmedRaw!BV:BV)</f>
        <v>0</v>
      </c>
      <c r="BU76">
        <f>SUMIF(ConfirmedRaw!$B:$B,$B76,ConfirmedRaw!BW:BW)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0</v>
      </c>
      <c r="BT77">
        <f>SUMIF(ConfirmedRaw!$B:$B,$B77,ConfirmedRaw!BV:BV)</f>
        <v>0</v>
      </c>
      <c r="BU77">
        <f>SUMIF(ConfirmedRaw!$B:$B,$B77,ConfirmedRaw!BW:BW)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0</v>
      </c>
      <c r="BT78">
        <f>SUMIF(ConfirmedRaw!$B:$B,$B78,ConfirmedRaw!BV:BV)</f>
        <v>0</v>
      </c>
      <c r="BU78">
        <f>SUMIF(ConfirmedRaw!$B:$B,$B78,ConfirmedRaw!BW:BW)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0</v>
      </c>
      <c r="BT79">
        <f>SUMIF(ConfirmedRaw!$B:$B,$B79,ConfirmedRaw!BV:BV)</f>
        <v>0</v>
      </c>
      <c r="BU79">
        <f>SUMIF(ConfirmedRaw!$B:$B,$B79,ConfirmedRaw!BW:BW)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0</v>
      </c>
      <c r="BT80">
        <f>SUMIF(ConfirmedRaw!$B:$B,$B80,ConfirmedRaw!BV:BV)</f>
        <v>0</v>
      </c>
      <c r="BU80">
        <f>SUMIF(ConfirmedRaw!$B:$B,$B80,ConfirmedRaw!BW:BW)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0</v>
      </c>
      <c r="BT81">
        <f>SUMIF(ConfirmedRaw!$B:$B,$B81,ConfirmedRaw!BV:BV)</f>
        <v>0</v>
      </c>
      <c r="BU81">
        <f>SUMIF(ConfirmedRaw!$B:$B,$B81,ConfirmedRaw!BW:BW)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0</v>
      </c>
      <c r="BT82">
        <f>SUMIF(ConfirmedRaw!$B:$B,$B82,ConfirmedRaw!BV:BV)</f>
        <v>0</v>
      </c>
      <c r="BU82">
        <f>SUMIF(ConfirmedRaw!$B:$B,$B82,ConfirmedRaw!BW:BW)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0</v>
      </c>
      <c r="BT83">
        <f>SUMIF(ConfirmedRaw!$B:$B,$B83,ConfirmedRaw!BV:BV)</f>
        <v>0</v>
      </c>
      <c r="BU83">
        <f>SUMIF(ConfirmedRaw!$B:$B,$B83,ConfirmedRaw!BW:BW)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0</v>
      </c>
      <c r="BT84">
        <f>SUMIF(ConfirmedRaw!$B:$B,$B84,ConfirmedRaw!BV:BV)</f>
        <v>0</v>
      </c>
      <c r="BU84">
        <f>SUMIF(ConfirmedRaw!$B:$B,$B84,ConfirmedRaw!BW:BW)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0</v>
      </c>
      <c r="BT85">
        <f>SUMIF(ConfirmedRaw!$B:$B,$B85,ConfirmedRaw!BV:BV)</f>
        <v>0</v>
      </c>
      <c r="BU85">
        <f>SUMIF(ConfirmedRaw!$B:$B,$B85,ConfirmedRaw!BW:BW)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0</v>
      </c>
      <c r="BT86">
        <f>SUMIF(ConfirmedRaw!$B:$B,$B86,ConfirmedRaw!BV:BV)</f>
        <v>0</v>
      </c>
      <c r="BU86">
        <f>SUMIF(ConfirmedRaw!$B:$B,$B86,ConfirmedRaw!BW:BW)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0</v>
      </c>
      <c r="BT87">
        <f>SUMIF(ConfirmedRaw!$B:$B,$B87,ConfirmedRaw!BV:BV)</f>
        <v>0</v>
      </c>
      <c r="BU87">
        <f>SUMIF(ConfirmedRaw!$B:$B,$B87,ConfirmedRaw!BW:BW)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0</v>
      </c>
      <c r="BT88">
        <f>SUMIF(ConfirmedRaw!$B:$B,$B88,ConfirmedRaw!BV:BV)</f>
        <v>0</v>
      </c>
      <c r="BU88">
        <f>SUMIF(ConfirmedRaw!$B:$B,$B88,ConfirmedRaw!BW:BW)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0</v>
      </c>
      <c r="BT89">
        <f>SUMIF(ConfirmedRaw!$B:$B,$B89,ConfirmedRaw!BV:BV)</f>
        <v>0</v>
      </c>
      <c r="BU89">
        <f>SUMIF(ConfirmedRaw!$B:$B,$B89,ConfirmedRaw!BW:BW)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0</v>
      </c>
      <c r="BT90">
        <f>SUMIF(ConfirmedRaw!$B:$B,$B90,ConfirmedRaw!BV:BV)</f>
        <v>0</v>
      </c>
      <c r="BU90">
        <f>SUMIF(ConfirmedRaw!$B:$B,$B90,ConfirmedRaw!BW:BW)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0</v>
      </c>
      <c r="BT91">
        <f>SUMIF(ConfirmedRaw!$B:$B,$B91,ConfirmedRaw!BV:BV)</f>
        <v>0</v>
      </c>
      <c r="BU91">
        <f>SUMIF(ConfirmedRaw!$B:$B,$B91,ConfirmedRaw!BW:BW)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0</v>
      </c>
      <c r="BT92">
        <f>SUMIF(ConfirmedRaw!$B:$B,$B92,ConfirmedRaw!BV:BV)</f>
        <v>0</v>
      </c>
      <c r="BU92">
        <f>SUMIF(ConfirmedRaw!$B:$B,$B92,ConfirmedRaw!BW:BW)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0</v>
      </c>
      <c r="BT94">
        <f>SUMIF(ConfirmedRaw!$B:$B,$B94,ConfirmedRaw!BV:BV)</f>
        <v>0</v>
      </c>
      <c r="BU94">
        <f>SUMIF(ConfirmedRaw!$B:$B,$B94,ConfirmedRaw!BW:BW)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0</v>
      </c>
      <c r="BT96">
        <f>SUMIF(ConfirmedRaw!$B:$B,$B96,ConfirmedRaw!BV:BV)</f>
        <v>0</v>
      </c>
      <c r="BU96">
        <f>SUMIF(ConfirmedRaw!$B:$B,$B96,ConfirmedRaw!BW:BW)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0</v>
      </c>
      <c r="BT97">
        <f>SUMIF(ConfirmedRaw!$B:$B,$B97,ConfirmedRaw!BV:BV)</f>
        <v>0</v>
      </c>
      <c r="BU97">
        <f>SUMIF(ConfirmedRaw!$B:$B,$B97,ConfirmedRaw!BW:BW)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0</v>
      </c>
      <c r="BT98">
        <f>SUMIF(ConfirmedRaw!$B:$B,$B98,ConfirmedRaw!BV:BV)</f>
        <v>0</v>
      </c>
      <c r="BU98">
        <f>SUMIF(ConfirmedRaw!$B:$B,$B98,ConfirmedRaw!BW:BW)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0</v>
      </c>
      <c r="BT99">
        <f>SUMIF(ConfirmedRaw!$B:$B,$B99,ConfirmedRaw!BV:BV)</f>
        <v>0</v>
      </c>
      <c r="BU99">
        <f>SUMIF(ConfirmedRaw!$B:$B,$B99,ConfirmedRaw!BW:BW)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0</v>
      </c>
      <c r="BT100">
        <f>SUMIF(ConfirmedRaw!$B:$B,$B100,ConfirmedRaw!BV:BV)</f>
        <v>0</v>
      </c>
      <c r="BU100">
        <f>SUMIF(ConfirmedRaw!$B:$B,$B100,ConfirmedRaw!BW:BW)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0</v>
      </c>
      <c r="BT102">
        <f>SUMIF(ConfirmedRaw!$B:$B,$B102,ConfirmedRaw!BV:BV)</f>
        <v>0</v>
      </c>
      <c r="BU102">
        <f>SUMIF(ConfirmedRaw!$B:$B,$B102,ConfirmedRaw!BW:BW)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0</v>
      </c>
      <c r="BT104">
        <f>SUMIF(ConfirmedRaw!$B:$B,$B104,ConfirmedRaw!BV:BV)</f>
        <v>0</v>
      </c>
      <c r="BU104">
        <f>SUMIF(ConfirmedRaw!$B:$B,$B104,ConfirmedRaw!BW:BW)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0</v>
      </c>
      <c r="BT105">
        <f>SUMIF(ConfirmedRaw!$B:$B,$B105,ConfirmedRaw!BV:BV)</f>
        <v>0</v>
      </c>
      <c r="BU105">
        <f>SUMIF(ConfirmedRaw!$B:$B,$B105,ConfirmedRaw!BW:BW)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0</v>
      </c>
      <c r="BT106">
        <f>SUMIF(ConfirmedRaw!$B:$B,$B106,ConfirmedRaw!BV:BV)</f>
        <v>0</v>
      </c>
      <c r="BU106">
        <f>SUMIF(ConfirmedRaw!$B:$B,$B106,ConfirmedRaw!BW:BW)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0</v>
      </c>
      <c r="BT107">
        <f>SUMIF(ConfirmedRaw!$B:$B,$B107,ConfirmedRaw!BV:BV)</f>
        <v>0</v>
      </c>
      <c r="BU107">
        <f>SUMIF(ConfirmedRaw!$B:$B,$B107,ConfirmedRaw!BW:BW)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0</v>
      </c>
      <c r="BT108">
        <f>SUMIF(ConfirmedRaw!$B:$B,$B108,ConfirmedRaw!BV:BV)</f>
        <v>0</v>
      </c>
      <c r="BU108">
        <f>SUMIF(ConfirmedRaw!$B:$B,$B108,ConfirmedRaw!BW:BW)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0</v>
      </c>
      <c r="BT109">
        <f>SUMIF(ConfirmedRaw!$B:$B,$B109,ConfirmedRaw!BV:BV)</f>
        <v>0</v>
      </c>
      <c r="BU109">
        <f>SUMIF(ConfirmedRaw!$B:$B,$B109,ConfirmedRaw!BW:BW)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0</v>
      </c>
      <c r="BT110">
        <f>SUMIF(ConfirmedRaw!$B:$B,$B110,ConfirmedRaw!BV:BV)</f>
        <v>0</v>
      </c>
      <c r="BU110">
        <f>SUMIF(ConfirmedRaw!$B:$B,$B110,ConfirmedRaw!BW:BW)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0</v>
      </c>
      <c r="BT111">
        <f>SUMIF(ConfirmedRaw!$B:$B,$B111,ConfirmedRaw!BV:BV)</f>
        <v>0</v>
      </c>
      <c r="BU111">
        <f>SUMIF(ConfirmedRaw!$B:$B,$B111,ConfirmedRaw!BW:BW)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0</v>
      </c>
      <c r="BT112">
        <f>SUMIF(ConfirmedRaw!$B:$B,$B112,ConfirmedRaw!BV:BV)</f>
        <v>0</v>
      </c>
      <c r="BU112">
        <f>SUMIF(ConfirmedRaw!$B:$B,$B112,ConfirmedRaw!BW:BW)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0</v>
      </c>
      <c r="BT114">
        <f>SUMIF(ConfirmedRaw!$B:$B,$B114,ConfirmedRaw!BV:BV)</f>
        <v>0</v>
      </c>
      <c r="BU114">
        <f>SUMIF(ConfirmedRaw!$B:$B,$B114,ConfirmedRaw!BW:BW)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0</v>
      </c>
      <c r="BT115">
        <f>SUMIF(ConfirmedRaw!$B:$B,$B115,ConfirmedRaw!BV:BV)</f>
        <v>0</v>
      </c>
      <c r="BU115">
        <f>SUMIF(ConfirmedRaw!$B:$B,$B115,ConfirmedRaw!BW:BW)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0</v>
      </c>
      <c r="BT117">
        <f>SUMIF(ConfirmedRaw!$B:$B,$B117,ConfirmedRaw!BV:BV)</f>
        <v>0</v>
      </c>
      <c r="BU117">
        <f>SUMIF(ConfirmedRaw!$B:$B,$B117,ConfirmedRaw!BW:BW)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0</v>
      </c>
      <c r="BT118">
        <f>SUMIF(ConfirmedRaw!$B:$B,$B118,ConfirmedRaw!BV:BV)</f>
        <v>0</v>
      </c>
      <c r="BU118">
        <f>SUMIF(ConfirmedRaw!$B:$B,$B118,ConfirmedRaw!BW:BW)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0</v>
      </c>
      <c r="BT119">
        <f>SUMIF(ConfirmedRaw!$B:$B,$B119,ConfirmedRaw!BV:BV)</f>
        <v>0</v>
      </c>
      <c r="BU119">
        <f>SUMIF(ConfirmedRaw!$B:$B,$B119,ConfirmedRaw!BW:BW)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0</v>
      </c>
      <c r="BT120">
        <f>SUMIF(ConfirmedRaw!$B:$B,$B120,ConfirmedRaw!BV:BV)</f>
        <v>0</v>
      </c>
      <c r="BU120">
        <f>SUMIF(ConfirmedRaw!$B:$B,$B120,ConfirmedRaw!BW:BW)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0</v>
      </c>
      <c r="BT121">
        <f>SUMIF(ConfirmedRaw!$B:$B,$B121,ConfirmedRaw!BV:BV)</f>
        <v>0</v>
      </c>
      <c r="BU121">
        <f>SUMIF(ConfirmedRaw!$B:$B,$B121,ConfirmedRaw!BW:BW)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0</v>
      </c>
      <c r="BT122">
        <f>SUMIF(ConfirmedRaw!$B:$B,$B122,ConfirmedRaw!BV:BV)</f>
        <v>0</v>
      </c>
      <c r="BU122">
        <f>SUMIF(ConfirmedRaw!$B:$B,$B122,ConfirmedRaw!BW:BW)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0</v>
      </c>
      <c r="BT123">
        <f>SUMIF(ConfirmedRaw!$B:$B,$B123,ConfirmedRaw!BV:BV)</f>
        <v>0</v>
      </c>
      <c r="BU123">
        <f>SUMIF(ConfirmedRaw!$B:$B,$B123,ConfirmedRaw!BW:BW)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0</v>
      </c>
      <c r="BT124">
        <f>SUMIF(ConfirmedRaw!$B:$B,$B124,ConfirmedRaw!BV:BV)</f>
        <v>0</v>
      </c>
      <c r="BU124">
        <f>SUMIF(ConfirmedRaw!$B:$B,$B124,ConfirmedRaw!BW:BW)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0</v>
      </c>
      <c r="BT125">
        <f>SUMIF(ConfirmedRaw!$B:$B,$B125,ConfirmedRaw!BV:BV)</f>
        <v>0</v>
      </c>
      <c r="BU125">
        <f>SUMIF(ConfirmedRaw!$B:$B,$B125,ConfirmedRaw!BW:BW)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0</v>
      </c>
      <c r="BT126">
        <f>SUMIF(ConfirmedRaw!$B:$B,$B126,ConfirmedRaw!BV:BV)</f>
        <v>0</v>
      </c>
      <c r="BU126">
        <f>SUMIF(ConfirmedRaw!$B:$B,$B126,ConfirmedRaw!BW:BW)</f>
        <v>0</v>
      </c>
    </row>
    <row r="127" spans="1:73" x14ac:dyDescent="0.3">
      <c r="A127" s="97"/>
      <c r="B127" s="2" t="s">
        <v>606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241500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717548</v>
      </c>
      <c r="BS127">
        <f t="shared" si="2"/>
        <v>0</v>
      </c>
      <c r="BT127">
        <f t="shared" si="2"/>
        <v>0</v>
      </c>
      <c r="BU127">
        <f t="shared" si="2"/>
        <v>0</v>
      </c>
    </row>
    <row r="128" spans="1:73" x14ac:dyDescent="0.3">
      <c r="A128" s="97"/>
      <c r="B128" s="2" t="s">
        <v>608</v>
      </c>
      <c r="C128">
        <f t="shared" ref="C128:L133" si="3">SUMIFS(C$2:C$126,$A$2:$A$126,$B128)</f>
        <v>554</v>
      </c>
      <c r="D128">
        <f t="shared" si="3"/>
        <v>653</v>
      </c>
      <c r="E128">
        <f t="shared" si="3"/>
        <v>937</v>
      </c>
      <c r="F128">
        <f t="shared" si="3"/>
        <v>1429</v>
      </c>
      <c r="G128">
        <f t="shared" si="3"/>
        <v>2105</v>
      </c>
      <c r="H128">
        <f t="shared" si="3"/>
        <v>2911</v>
      </c>
      <c r="I128">
        <f t="shared" si="3"/>
        <v>5557</v>
      </c>
      <c r="J128">
        <f t="shared" si="3"/>
        <v>6138</v>
      </c>
      <c r="K128">
        <f t="shared" si="3"/>
        <v>8203</v>
      </c>
      <c r="L128">
        <f t="shared" si="3"/>
        <v>9886</v>
      </c>
      <c r="M128">
        <f t="shared" ref="M128:V133" si="4">SUMIFS(M$2:M$126,$A$2:$A$126,$B128)</f>
        <v>11988</v>
      </c>
      <c r="N128">
        <f t="shared" si="4"/>
        <v>16734</v>
      </c>
      <c r="O128">
        <f t="shared" si="4"/>
        <v>19823</v>
      </c>
      <c r="P128">
        <f t="shared" si="4"/>
        <v>23832</v>
      </c>
      <c r="Q128">
        <f t="shared" si="4"/>
        <v>27574</v>
      </c>
      <c r="R128">
        <f t="shared" si="4"/>
        <v>30732</v>
      </c>
      <c r="S128">
        <f t="shared" si="4"/>
        <v>34262</v>
      </c>
      <c r="T128">
        <f t="shared" si="4"/>
        <v>36984</v>
      </c>
      <c r="U128">
        <f t="shared" si="4"/>
        <v>40009</v>
      </c>
      <c r="V128">
        <f t="shared" si="4"/>
        <v>42544</v>
      </c>
      <c r="W128">
        <f t="shared" ref="W128:AF133" si="5">SUMIFS(W$2:W$126,$A$2:$A$126,$B128)</f>
        <v>44581</v>
      </c>
      <c r="X128">
        <f t="shared" si="5"/>
        <v>50200</v>
      </c>
      <c r="Y128">
        <f t="shared" si="5"/>
        <v>60105</v>
      </c>
      <c r="Z128">
        <f t="shared" si="5"/>
        <v>66578</v>
      </c>
      <c r="AA128">
        <f t="shared" si="5"/>
        <v>68655</v>
      </c>
      <c r="AB128">
        <f t="shared" si="5"/>
        <v>70778</v>
      </c>
      <c r="AC128">
        <f t="shared" si="5"/>
        <v>72712</v>
      </c>
      <c r="AD128">
        <f t="shared" si="5"/>
        <v>74502</v>
      </c>
      <c r="AE128">
        <f t="shared" si="5"/>
        <v>74924</v>
      </c>
      <c r="AF128">
        <f t="shared" si="5"/>
        <v>75466</v>
      </c>
      <c r="AG128">
        <f t="shared" ref="AG128:AP133" si="6">SUMIFS(AG$2:AG$126,$A$2:$A$126,$B128)</f>
        <v>76053</v>
      </c>
      <c r="AH128">
        <f t="shared" si="6"/>
        <v>77750</v>
      </c>
      <c r="AI128">
        <f t="shared" si="6"/>
        <v>77971</v>
      </c>
      <c r="AJ128">
        <f t="shared" si="6"/>
        <v>78435</v>
      </c>
      <c r="AK128">
        <f t="shared" si="6"/>
        <v>79108</v>
      </c>
      <c r="AL128">
        <f t="shared" si="6"/>
        <v>79831</v>
      </c>
      <c r="AM128">
        <f t="shared" si="6"/>
        <v>80796</v>
      </c>
      <c r="AN128">
        <f t="shared" si="6"/>
        <v>81712</v>
      </c>
      <c r="AO128">
        <f t="shared" si="6"/>
        <v>82985</v>
      </c>
      <c r="AP128">
        <f t="shared" si="6"/>
        <v>84174</v>
      </c>
      <c r="AQ128">
        <f t="shared" ref="AQ128:AZ133" si="7">SUMIFS(AQ$2:AQ$126,$A$2:$A$126,$B128)</f>
        <v>85004</v>
      </c>
      <c r="AR128">
        <f t="shared" si="7"/>
        <v>86010</v>
      </c>
      <c r="AS128">
        <f t="shared" si="7"/>
        <v>86645</v>
      </c>
      <c r="AT128">
        <f t="shared" si="7"/>
        <v>87311</v>
      </c>
      <c r="AU128">
        <f t="shared" si="7"/>
        <v>88093</v>
      </c>
      <c r="AV128">
        <f t="shared" si="7"/>
        <v>88691</v>
      </c>
      <c r="AW128">
        <f t="shared" si="7"/>
        <v>89110</v>
      </c>
      <c r="AX128">
        <f t="shared" si="7"/>
        <v>89366</v>
      </c>
      <c r="AY128">
        <f t="shared" si="7"/>
        <v>89578</v>
      </c>
      <c r="AZ128">
        <f t="shared" si="7"/>
        <v>90009</v>
      </c>
      <c r="BA128">
        <f t="shared" ref="BA128:BJ133" si="8">SUMIFS(BA$2:BA$126,$A$2:$A$126,$B128)</f>
        <v>90170</v>
      </c>
      <c r="BB128">
        <f t="shared" si="8"/>
        <v>90559</v>
      </c>
      <c r="BC128">
        <f t="shared" si="8"/>
        <v>90960</v>
      </c>
      <c r="BD128">
        <f t="shared" si="8"/>
        <v>91494</v>
      </c>
      <c r="BE128">
        <f t="shared" si="8"/>
        <v>91957</v>
      </c>
      <c r="BF128">
        <f t="shared" si="8"/>
        <v>92557</v>
      </c>
      <c r="BG128">
        <f t="shared" si="8"/>
        <v>93142</v>
      </c>
      <c r="BH128">
        <f t="shared" si="8"/>
        <v>93991</v>
      </c>
      <c r="BI128">
        <f t="shared" si="8"/>
        <v>94711</v>
      </c>
      <c r="BJ128">
        <f t="shared" si="8"/>
        <v>95824</v>
      </c>
      <c r="BK128">
        <f t="shared" ref="BK128:BU133" si="9">SUMIFS(BK$2:BK$126,$A$2:$A$126,$B128)</f>
        <v>96920</v>
      </c>
      <c r="BL128">
        <f t="shared" si="9"/>
        <v>97888</v>
      </c>
      <c r="BM128">
        <f t="shared" si="9"/>
        <v>98851</v>
      </c>
      <c r="BN128">
        <f t="shared" si="9"/>
        <v>100098</v>
      </c>
      <c r="BO128">
        <f t="shared" si="9"/>
        <v>101468</v>
      </c>
      <c r="BP128">
        <f t="shared" si="9"/>
        <v>102919</v>
      </c>
      <c r="BQ128">
        <f t="shared" si="9"/>
        <v>104697</v>
      </c>
      <c r="BR128">
        <f t="shared" si="9"/>
        <v>106439</v>
      </c>
      <c r="BS128">
        <f t="shared" si="9"/>
        <v>0</v>
      </c>
      <c r="BT128">
        <f t="shared" si="9"/>
        <v>0</v>
      </c>
      <c r="BU128">
        <f t="shared" si="9"/>
        <v>0</v>
      </c>
    </row>
    <row r="129" spans="1:73" x14ac:dyDescent="0.3">
      <c r="A129" s="97"/>
      <c r="B129" s="2" t="s">
        <v>609</v>
      </c>
      <c r="C129">
        <f t="shared" si="3"/>
        <v>0</v>
      </c>
      <c r="D129">
        <f t="shared" si="3"/>
        <v>0</v>
      </c>
      <c r="E129">
        <f t="shared" si="3"/>
        <v>2</v>
      </c>
      <c r="F129">
        <f t="shared" si="3"/>
        <v>3</v>
      </c>
      <c r="G129">
        <f t="shared" si="3"/>
        <v>3</v>
      </c>
      <c r="H129">
        <f t="shared" si="3"/>
        <v>4</v>
      </c>
      <c r="I129">
        <f t="shared" si="3"/>
        <v>8</v>
      </c>
      <c r="J129">
        <f t="shared" si="3"/>
        <v>10</v>
      </c>
      <c r="K129">
        <f t="shared" si="3"/>
        <v>10</v>
      </c>
      <c r="L129">
        <f t="shared" si="3"/>
        <v>16</v>
      </c>
      <c r="M129">
        <f t="shared" si="4"/>
        <v>21</v>
      </c>
      <c r="N129">
        <f t="shared" si="4"/>
        <v>23</v>
      </c>
      <c r="O129">
        <f t="shared" si="4"/>
        <v>25</v>
      </c>
      <c r="P129">
        <f t="shared" si="4"/>
        <v>26</v>
      </c>
      <c r="Q129">
        <f t="shared" si="4"/>
        <v>26</v>
      </c>
      <c r="R129">
        <f t="shared" si="4"/>
        <v>26</v>
      </c>
      <c r="S129">
        <f t="shared" si="4"/>
        <v>29</v>
      </c>
      <c r="T129">
        <f t="shared" si="4"/>
        <v>34</v>
      </c>
      <c r="U129">
        <f t="shared" si="4"/>
        <v>36</v>
      </c>
      <c r="V129">
        <f t="shared" si="4"/>
        <v>41</v>
      </c>
      <c r="W129">
        <f t="shared" si="5"/>
        <v>43</v>
      </c>
      <c r="X129">
        <f t="shared" si="5"/>
        <v>44</v>
      </c>
      <c r="Y129">
        <f t="shared" si="5"/>
        <v>44</v>
      </c>
      <c r="Z129">
        <f t="shared" si="5"/>
        <v>44</v>
      </c>
      <c r="AA129">
        <f t="shared" si="5"/>
        <v>45</v>
      </c>
      <c r="AB129">
        <f t="shared" si="5"/>
        <v>45</v>
      </c>
      <c r="AC129">
        <f t="shared" si="5"/>
        <v>45</v>
      </c>
      <c r="AD129">
        <f t="shared" si="5"/>
        <v>45</v>
      </c>
      <c r="AE129">
        <f t="shared" si="5"/>
        <v>45</v>
      </c>
      <c r="AF129">
        <f t="shared" si="5"/>
        <v>45</v>
      </c>
      <c r="AG129">
        <f t="shared" si="6"/>
        <v>62</v>
      </c>
      <c r="AH129">
        <f t="shared" si="6"/>
        <v>104</v>
      </c>
      <c r="AI129">
        <f t="shared" si="6"/>
        <v>197</v>
      </c>
      <c r="AJ129">
        <f t="shared" si="6"/>
        <v>275</v>
      </c>
      <c r="AK129">
        <f t="shared" si="6"/>
        <v>379</v>
      </c>
      <c r="AL129">
        <f t="shared" si="6"/>
        <v>540</v>
      </c>
      <c r="AM129">
        <f t="shared" si="6"/>
        <v>804</v>
      </c>
      <c r="AN129">
        <f t="shared" si="6"/>
        <v>1093</v>
      </c>
      <c r="AO129">
        <f t="shared" si="6"/>
        <v>1465</v>
      </c>
      <c r="AP129">
        <f t="shared" si="6"/>
        <v>2205</v>
      </c>
      <c r="AQ129">
        <f t="shared" si="7"/>
        <v>2731</v>
      </c>
      <c r="AR129">
        <f t="shared" si="7"/>
        <v>3360</v>
      </c>
      <c r="AS129">
        <f t="shared" si="7"/>
        <v>4342</v>
      </c>
      <c r="AT129">
        <f t="shared" si="7"/>
        <v>5743</v>
      </c>
      <c r="AU129">
        <f t="shared" si="7"/>
        <v>7509</v>
      </c>
      <c r="AV129">
        <f t="shared" si="7"/>
        <v>9653</v>
      </c>
      <c r="AW129">
        <f t="shared" si="7"/>
        <v>12202</v>
      </c>
      <c r="AX129">
        <f t="shared" si="7"/>
        <v>14988</v>
      </c>
      <c r="AY129">
        <f t="shared" si="7"/>
        <v>18391</v>
      </c>
      <c r="AZ129">
        <f t="shared" si="7"/>
        <v>23465</v>
      </c>
      <c r="BA129">
        <f t="shared" si="8"/>
        <v>29097</v>
      </c>
      <c r="BB129">
        <f t="shared" si="8"/>
        <v>38314</v>
      </c>
      <c r="BC129">
        <f t="shared" si="8"/>
        <v>46524</v>
      </c>
      <c r="BD129">
        <f t="shared" si="8"/>
        <v>56031</v>
      </c>
      <c r="BE129">
        <f t="shared" si="8"/>
        <v>65711</v>
      </c>
      <c r="BF129">
        <f t="shared" si="8"/>
        <v>76893</v>
      </c>
      <c r="BG129">
        <f t="shared" si="8"/>
        <v>90579</v>
      </c>
      <c r="BH129">
        <f t="shared" si="8"/>
        <v>109054</v>
      </c>
      <c r="BI129">
        <f t="shared" si="8"/>
        <v>129704</v>
      </c>
      <c r="BJ129">
        <f t="shared" si="8"/>
        <v>151490</v>
      </c>
      <c r="BK129">
        <f t="shared" si="9"/>
        <v>171175</v>
      </c>
      <c r="BL129">
        <f t="shared" si="9"/>
        <v>196940</v>
      </c>
      <c r="BM129">
        <f t="shared" si="9"/>
        <v>220914</v>
      </c>
      <c r="BN129">
        <f t="shared" si="9"/>
        <v>251069</v>
      </c>
      <c r="BO129">
        <f t="shared" si="9"/>
        <v>287075</v>
      </c>
      <c r="BP129">
        <f t="shared" si="9"/>
        <v>324624</v>
      </c>
      <c r="BQ129">
        <f t="shared" si="9"/>
        <v>362825</v>
      </c>
      <c r="BR129">
        <f t="shared" si="9"/>
        <v>393877</v>
      </c>
      <c r="BS129">
        <f t="shared" si="9"/>
        <v>0</v>
      </c>
      <c r="BT129">
        <f t="shared" si="9"/>
        <v>0</v>
      </c>
      <c r="BU129">
        <f t="shared" si="9"/>
        <v>0</v>
      </c>
    </row>
    <row r="130" spans="1:73" x14ac:dyDescent="0.3">
      <c r="A130" s="97"/>
      <c r="B130" s="2" t="s">
        <v>611</v>
      </c>
      <c r="C130">
        <f t="shared" si="3"/>
        <v>1</v>
      </c>
      <c r="D130">
        <f t="shared" si="3"/>
        <v>1</v>
      </c>
      <c r="E130">
        <f t="shared" si="3"/>
        <v>2</v>
      </c>
      <c r="F130">
        <f t="shared" si="3"/>
        <v>2</v>
      </c>
      <c r="G130">
        <f t="shared" si="3"/>
        <v>6</v>
      </c>
      <c r="H130">
        <f t="shared" si="3"/>
        <v>6</v>
      </c>
      <c r="I130">
        <f t="shared" si="3"/>
        <v>7</v>
      </c>
      <c r="J130">
        <f t="shared" si="3"/>
        <v>7</v>
      </c>
      <c r="K130">
        <f t="shared" si="3"/>
        <v>7</v>
      </c>
      <c r="L130">
        <f t="shared" si="3"/>
        <v>11</v>
      </c>
      <c r="M130">
        <f t="shared" si="4"/>
        <v>12</v>
      </c>
      <c r="N130">
        <f t="shared" si="4"/>
        <v>12</v>
      </c>
      <c r="O130">
        <f t="shared" si="4"/>
        <v>15</v>
      </c>
      <c r="P130">
        <f t="shared" si="4"/>
        <v>15</v>
      </c>
      <c r="Q130">
        <f t="shared" si="4"/>
        <v>16</v>
      </c>
      <c r="R130">
        <f t="shared" si="4"/>
        <v>16</v>
      </c>
      <c r="S130">
        <f t="shared" si="4"/>
        <v>18</v>
      </c>
      <c r="T130">
        <f t="shared" si="4"/>
        <v>18</v>
      </c>
      <c r="U130">
        <f t="shared" si="4"/>
        <v>18</v>
      </c>
      <c r="V130">
        <f t="shared" si="4"/>
        <v>18</v>
      </c>
      <c r="W130">
        <f t="shared" si="5"/>
        <v>19</v>
      </c>
      <c r="X130">
        <f t="shared" si="5"/>
        <v>19</v>
      </c>
      <c r="Y130">
        <f t="shared" si="5"/>
        <v>20</v>
      </c>
      <c r="Z130">
        <f t="shared" si="5"/>
        <v>20</v>
      </c>
      <c r="AA130">
        <f t="shared" si="5"/>
        <v>20</v>
      </c>
      <c r="AB130">
        <f t="shared" si="5"/>
        <v>20</v>
      </c>
      <c r="AC130">
        <f t="shared" si="5"/>
        <v>21</v>
      </c>
      <c r="AD130">
        <f t="shared" si="5"/>
        <v>21</v>
      </c>
      <c r="AE130">
        <f t="shared" si="5"/>
        <v>21</v>
      </c>
      <c r="AF130">
        <f t="shared" si="5"/>
        <v>21</v>
      </c>
      <c r="AG130">
        <f t="shared" si="6"/>
        <v>24</v>
      </c>
      <c r="AH130">
        <f t="shared" si="6"/>
        <v>24</v>
      </c>
      <c r="AI130">
        <f t="shared" si="6"/>
        <v>24</v>
      </c>
      <c r="AJ130">
        <f t="shared" si="6"/>
        <v>61</v>
      </c>
      <c r="AK130">
        <f t="shared" si="6"/>
        <v>62</v>
      </c>
      <c r="AL130">
        <f t="shared" si="6"/>
        <v>68</v>
      </c>
      <c r="AM130">
        <f t="shared" si="6"/>
        <v>71</v>
      </c>
      <c r="AN130">
        <f t="shared" si="6"/>
        <v>75</v>
      </c>
      <c r="AO130">
        <f t="shared" si="6"/>
        <v>92</v>
      </c>
      <c r="AP130">
        <f t="shared" si="6"/>
        <v>103</v>
      </c>
      <c r="AQ130">
        <f t="shared" si="7"/>
        <v>130</v>
      </c>
      <c r="AR130">
        <f t="shared" si="7"/>
        <v>153</v>
      </c>
      <c r="AS130">
        <f t="shared" si="7"/>
        <v>187</v>
      </c>
      <c r="AT130">
        <f t="shared" si="7"/>
        <v>259</v>
      </c>
      <c r="AU130">
        <f t="shared" si="7"/>
        <v>318</v>
      </c>
      <c r="AV130">
        <f t="shared" si="7"/>
        <v>463</v>
      </c>
      <c r="AW130">
        <f t="shared" si="7"/>
        <v>594</v>
      </c>
      <c r="AX130">
        <f t="shared" si="7"/>
        <v>676</v>
      </c>
      <c r="AY130">
        <f t="shared" si="7"/>
        <v>1055</v>
      </c>
      <c r="AZ130">
        <f t="shared" si="7"/>
        <v>1419</v>
      </c>
      <c r="BA130">
        <f t="shared" si="8"/>
        <v>1830</v>
      </c>
      <c r="BB130">
        <f t="shared" si="8"/>
        <v>2447</v>
      </c>
      <c r="BC130">
        <f t="shared" si="8"/>
        <v>3026</v>
      </c>
      <c r="BD130">
        <f t="shared" si="8"/>
        <v>3877</v>
      </c>
      <c r="BE130">
        <f t="shared" si="8"/>
        <v>5205</v>
      </c>
      <c r="BF130">
        <f t="shared" si="8"/>
        <v>7109</v>
      </c>
      <c r="BG130">
        <f t="shared" si="8"/>
        <v>8690</v>
      </c>
      <c r="BH130">
        <f t="shared" si="8"/>
        <v>14800</v>
      </c>
      <c r="BI130">
        <f t="shared" si="8"/>
        <v>20466</v>
      </c>
      <c r="BJ130">
        <f t="shared" si="8"/>
        <v>27324</v>
      </c>
      <c r="BK130">
        <f t="shared" si="9"/>
        <v>35498</v>
      </c>
      <c r="BL130">
        <f t="shared" si="9"/>
        <v>46816</v>
      </c>
      <c r="BM130">
        <f t="shared" si="9"/>
        <v>57491</v>
      </c>
      <c r="BN130">
        <f t="shared" si="9"/>
        <v>70164</v>
      </c>
      <c r="BO130">
        <f t="shared" si="9"/>
        <v>89242</v>
      </c>
      <c r="BP130">
        <f t="shared" si="9"/>
        <v>107974</v>
      </c>
      <c r="BQ130">
        <f t="shared" si="9"/>
        <v>129008</v>
      </c>
      <c r="BR130">
        <f t="shared" si="9"/>
        <v>149407</v>
      </c>
      <c r="BS130">
        <f t="shared" si="9"/>
        <v>0</v>
      </c>
      <c r="BT130">
        <f t="shared" si="9"/>
        <v>0</v>
      </c>
      <c r="BU130">
        <f t="shared" si="9"/>
        <v>0</v>
      </c>
    </row>
    <row r="131" spans="1:73" x14ac:dyDescent="0.3">
      <c r="A131" s="97"/>
      <c r="B131" s="2" t="s">
        <v>612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1</v>
      </c>
      <c r="I131">
        <f t="shared" si="3"/>
        <v>1</v>
      </c>
      <c r="J131">
        <f t="shared" si="3"/>
        <v>1</v>
      </c>
      <c r="K131">
        <f t="shared" si="3"/>
        <v>1</v>
      </c>
      <c r="L131">
        <f t="shared" si="3"/>
        <v>1</v>
      </c>
      <c r="M131">
        <f t="shared" si="4"/>
        <v>1</v>
      </c>
      <c r="N131">
        <f t="shared" si="4"/>
        <v>1</v>
      </c>
      <c r="O131">
        <f t="shared" si="4"/>
        <v>1</v>
      </c>
      <c r="P131">
        <f t="shared" si="4"/>
        <v>1</v>
      </c>
      <c r="Q131">
        <f t="shared" si="4"/>
        <v>1</v>
      </c>
      <c r="R131">
        <f t="shared" si="4"/>
        <v>1</v>
      </c>
      <c r="S131">
        <f t="shared" si="4"/>
        <v>1</v>
      </c>
      <c r="T131">
        <f t="shared" si="4"/>
        <v>1</v>
      </c>
      <c r="U131">
        <f t="shared" si="4"/>
        <v>1</v>
      </c>
      <c r="V131">
        <f t="shared" si="4"/>
        <v>1</v>
      </c>
      <c r="W131">
        <f t="shared" si="5"/>
        <v>1</v>
      </c>
      <c r="X131">
        <f t="shared" si="5"/>
        <v>1</v>
      </c>
      <c r="Y131">
        <f t="shared" si="5"/>
        <v>1</v>
      </c>
      <c r="Z131">
        <f t="shared" si="5"/>
        <v>1</v>
      </c>
      <c r="AA131">
        <f t="shared" si="5"/>
        <v>1</v>
      </c>
      <c r="AB131">
        <f t="shared" si="5"/>
        <v>1</v>
      </c>
      <c r="AC131">
        <f t="shared" si="5"/>
        <v>1</v>
      </c>
      <c r="AD131">
        <f t="shared" si="5"/>
        <v>1</v>
      </c>
      <c r="AE131">
        <f t="shared" si="5"/>
        <v>1</v>
      </c>
      <c r="AF131">
        <f t="shared" si="5"/>
        <v>1</v>
      </c>
      <c r="AG131">
        <f t="shared" si="6"/>
        <v>1</v>
      </c>
      <c r="AH131">
        <f t="shared" si="6"/>
        <v>1</v>
      </c>
      <c r="AI131">
        <f t="shared" si="6"/>
        <v>1</v>
      </c>
      <c r="AJ131">
        <f t="shared" si="6"/>
        <v>1</v>
      </c>
      <c r="AK131">
        <f t="shared" si="6"/>
        <v>1</v>
      </c>
      <c r="AL131">
        <f t="shared" si="6"/>
        <v>2</v>
      </c>
      <c r="AM131">
        <f t="shared" si="6"/>
        <v>2</v>
      </c>
      <c r="AN131">
        <f t="shared" si="6"/>
        <v>2</v>
      </c>
      <c r="AO131">
        <f t="shared" si="6"/>
        <v>3</v>
      </c>
      <c r="AP131">
        <f t="shared" si="6"/>
        <v>10</v>
      </c>
      <c r="AQ131">
        <f t="shared" si="7"/>
        <v>10</v>
      </c>
      <c r="AR131">
        <f t="shared" si="7"/>
        <v>13</v>
      </c>
      <c r="AS131">
        <f t="shared" si="7"/>
        <v>18</v>
      </c>
      <c r="AT131">
        <f t="shared" si="7"/>
        <v>24</v>
      </c>
      <c r="AU131">
        <f t="shared" si="7"/>
        <v>37</v>
      </c>
      <c r="AV131">
        <f t="shared" si="7"/>
        <v>43</v>
      </c>
      <c r="AW131">
        <f t="shared" si="7"/>
        <v>69</v>
      </c>
      <c r="AX131">
        <f t="shared" si="7"/>
        <v>76</v>
      </c>
      <c r="AY131">
        <f t="shared" si="7"/>
        <v>98</v>
      </c>
      <c r="AZ131">
        <f t="shared" si="7"/>
        <v>134</v>
      </c>
      <c r="BA131">
        <f t="shared" si="8"/>
        <v>153</v>
      </c>
      <c r="BB131">
        <f t="shared" si="8"/>
        <v>305</v>
      </c>
      <c r="BC131">
        <f t="shared" si="8"/>
        <v>371</v>
      </c>
      <c r="BD131">
        <f t="shared" si="8"/>
        <v>427</v>
      </c>
      <c r="BE131">
        <f t="shared" si="8"/>
        <v>635</v>
      </c>
      <c r="BF131">
        <f t="shared" si="8"/>
        <v>919</v>
      </c>
      <c r="BG131">
        <f t="shared" si="8"/>
        <v>1133</v>
      </c>
      <c r="BH131">
        <f t="shared" si="8"/>
        <v>1604</v>
      </c>
      <c r="BI131">
        <f t="shared" si="8"/>
        <v>2266</v>
      </c>
      <c r="BJ131">
        <f t="shared" si="8"/>
        <v>2969</v>
      </c>
      <c r="BK131">
        <f t="shared" si="9"/>
        <v>4204</v>
      </c>
      <c r="BL131">
        <f t="shared" si="9"/>
        <v>5055</v>
      </c>
      <c r="BM131">
        <f t="shared" si="9"/>
        <v>5926</v>
      </c>
      <c r="BN131">
        <f t="shared" si="9"/>
        <v>6804</v>
      </c>
      <c r="BO131">
        <f t="shared" si="9"/>
        <v>7992</v>
      </c>
      <c r="BP131">
        <f t="shared" si="9"/>
        <v>9251</v>
      </c>
      <c r="BQ131">
        <f t="shared" si="9"/>
        <v>10656</v>
      </c>
      <c r="BR131">
        <f t="shared" si="9"/>
        <v>11838</v>
      </c>
      <c r="BS131">
        <f t="shared" si="9"/>
        <v>0</v>
      </c>
      <c r="BT131">
        <f t="shared" si="9"/>
        <v>0</v>
      </c>
      <c r="BU131">
        <f t="shared" si="9"/>
        <v>0</v>
      </c>
    </row>
    <row r="132" spans="1:73" x14ac:dyDescent="0.3">
      <c r="A132" s="97"/>
      <c r="B132" s="2" t="s">
        <v>613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1</v>
      </c>
      <c r="AA132">
        <f t="shared" si="5"/>
        <v>1</v>
      </c>
      <c r="AB132">
        <f t="shared" si="5"/>
        <v>1</v>
      </c>
      <c r="AC132">
        <f t="shared" si="5"/>
        <v>1</v>
      </c>
      <c r="AD132">
        <f t="shared" si="5"/>
        <v>1</v>
      </c>
      <c r="AE132">
        <f t="shared" si="5"/>
        <v>1</v>
      </c>
      <c r="AF132">
        <f t="shared" si="5"/>
        <v>1</v>
      </c>
      <c r="AG132">
        <f t="shared" si="6"/>
        <v>1</v>
      </c>
      <c r="AH132">
        <f t="shared" si="6"/>
        <v>1</v>
      </c>
      <c r="AI132">
        <f t="shared" si="6"/>
        <v>1</v>
      </c>
      <c r="AJ132">
        <f t="shared" si="6"/>
        <v>1</v>
      </c>
      <c r="AK132">
        <f t="shared" si="6"/>
        <v>2</v>
      </c>
      <c r="AL132">
        <f t="shared" si="6"/>
        <v>2</v>
      </c>
      <c r="AM132">
        <f t="shared" si="6"/>
        <v>2</v>
      </c>
      <c r="AN132">
        <f t="shared" si="6"/>
        <v>3</v>
      </c>
      <c r="AO132">
        <f t="shared" si="6"/>
        <v>3</v>
      </c>
      <c r="AP132">
        <f t="shared" si="6"/>
        <v>4</v>
      </c>
      <c r="AQ132">
        <f t="shared" si="7"/>
        <v>8</v>
      </c>
      <c r="AR132">
        <f t="shared" si="7"/>
        <v>11</v>
      </c>
      <c r="AS132">
        <f t="shared" si="7"/>
        <v>21</v>
      </c>
      <c r="AT132">
        <f t="shared" si="7"/>
        <v>24</v>
      </c>
      <c r="AU132">
        <f t="shared" si="7"/>
        <v>43</v>
      </c>
      <c r="AV132">
        <f t="shared" si="7"/>
        <v>43</v>
      </c>
      <c r="AW132">
        <f t="shared" si="7"/>
        <v>83</v>
      </c>
      <c r="AX132">
        <f t="shared" si="7"/>
        <v>91</v>
      </c>
      <c r="AY132">
        <f t="shared" si="7"/>
        <v>104</v>
      </c>
      <c r="AZ132">
        <f t="shared" si="7"/>
        <v>118</v>
      </c>
      <c r="BA132">
        <f t="shared" si="8"/>
        <v>134</v>
      </c>
      <c r="BB132">
        <f t="shared" si="8"/>
        <v>177</v>
      </c>
      <c r="BC132">
        <f t="shared" si="8"/>
        <v>243</v>
      </c>
      <c r="BD132">
        <f t="shared" si="8"/>
        <v>296</v>
      </c>
      <c r="BE132">
        <f t="shared" si="8"/>
        <v>374</v>
      </c>
      <c r="BF132">
        <f t="shared" si="8"/>
        <v>453</v>
      </c>
      <c r="BG132">
        <f t="shared" si="8"/>
        <v>556</v>
      </c>
      <c r="BH132">
        <f t="shared" si="8"/>
        <v>720</v>
      </c>
      <c r="BI132">
        <f t="shared" si="8"/>
        <v>873</v>
      </c>
      <c r="BJ132">
        <f t="shared" si="8"/>
        <v>1062</v>
      </c>
      <c r="BK132">
        <f t="shared" si="9"/>
        <v>1294</v>
      </c>
      <c r="BL132">
        <f t="shared" si="9"/>
        <v>1616</v>
      </c>
      <c r="BM132">
        <f t="shared" si="9"/>
        <v>1996</v>
      </c>
      <c r="BN132">
        <f t="shared" si="9"/>
        <v>2434</v>
      </c>
      <c r="BO132">
        <f t="shared" si="9"/>
        <v>2878</v>
      </c>
      <c r="BP132">
        <f t="shared" si="9"/>
        <v>3382</v>
      </c>
      <c r="BQ132">
        <f t="shared" si="9"/>
        <v>3672</v>
      </c>
      <c r="BR132">
        <f t="shared" si="9"/>
        <v>4145</v>
      </c>
      <c r="BS132">
        <f t="shared" si="9"/>
        <v>0</v>
      </c>
      <c r="BT132">
        <f t="shared" si="9"/>
        <v>0</v>
      </c>
      <c r="BU132">
        <f t="shared" si="9"/>
        <v>0</v>
      </c>
    </row>
    <row r="133" spans="1:73" x14ac:dyDescent="0.3">
      <c r="A133" s="97"/>
      <c r="B133" s="2" t="s">
        <v>610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4</v>
      </c>
      <c r="K133">
        <f t="shared" si="3"/>
        <v>4</v>
      </c>
      <c r="L133">
        <f t="shared" si="3"/>
        <v>4</v>
      </c>
      <c r="M133">
        <f t="shared" si="4"/>
        <v>4</v>
      </c>
      <c r="N133">
        <f t="shared" si="4"/>
        <v>5</v>
      </c>
      <c r="O133">
        <f t="shared" si="4"/>
        <v>5</v>
      </c>
      <c r="P133">
        <f t="shared" si="4"/>
        <v>5</v>
      </c>
      <c r="Q133">
        <f t="shared" si="4"/>
        <v>5</v>
      </c>
      <c r="R133">
        <f t="shared" si="4"/>
        <v>5</v>
      </c>
      <c r="S133">
        <f t="shared" si="4"/>
        <v>5</v>
      </c>
      <c r="T133">
        <f t="shared" si="4"/>
        <v>7</v>
      </c>
      <c r="U133">
        <f t="shared" si="4"/>
        <v>7</v>
      </c>
      <c r="V133">
        <f t="shared" si="4"/>
        <v>8</v>
      </c>
      <c r="W133">
        <f t="shared" si="5"/>
        <v>8</v>
      </c>
      <c r="X133">
        <f t="shared" si="5"/>
        <v>8</v>
      </c>
      <c r="Y133">
        <f t="shared" si="5"/>
        <v>8</v>
      </c>
      <c r="Z133">
        <f t="shared" si="5"/>
        <v>8</v>
      </c>
      <c r="AA133">
        <f t="shared" si="5"/>
        <v>8</v>
      </c>
      <c r="AB133">
        <f t="shared" si="5"/>
        <v>9</v>
      </c>
      <c r="AC133">
        <f t="shared" si="5"/>
        <v>9</v>
      </c>
      <c r="AD133">
        <f t="shared" si="5"/>
        <v>9</v>
      </c>
      <c r="AE133">
        <f t="shared" si="5"/>
        <v>11</v>
      </c>
      <c r="AF133">
        <f t="shared" si="5"/>
        <v>14</v>
      </c>
      <c r="AG133">
        <f t="shared" si="6"/>
        <v>29</v>
      </c>
      <c r="AH133">
        <f t="shared" si="6"/>
        <v>43</v>
      </c>
      <c r="AI133">
        <f t="shared" si="6"/>
        <v>58</v>
      </c>
      <c r="AJ133">
        <f t="shared" si="6"/>
        <v>82</v>
      </c>
      <c r="AK133">
        <f t="shared" si="6"/>
        <v>148</v>
      </c>
      <c r="AL133">
        <f t="shared" si="6"/>
        <v>225</v>
      </c>
      <c r="AM133">
        <f t="shared" si="6"/>
        <v>351</v>
      </c>
      <c r="AN133">
        <f t="shared" si="6"/>
        <v>506</v>
      </c>
      <c r="AO133">
        <f t="shared" si="6"/>
        <v>732</v>
      </c>
      <c r="AP133">
        <f t="shared" si="6"/>
        <v>1140</v>
      </c>
      <c r="AQ133">
        <f t="shared" si="7"/>
        <v>1687</v>
      </c>
      <c r="AR133">
        <f t="shared" si="7"/>
        <v>2547</v>
      </c>
      <c r="AS133">
        <f t="shared" si="7"/>
        <v>3146</v>
      </c>
      <c r="AT133">
        <f t="shared" si="7"/>
        <v>3757</v>
      </c>
      <c r="AU133">
        <f t="shared" si="7"/>
        <v>5024</v>
      </c>
      <c r="AV133">
        <f t="shared" si="7"/>
        <v>6164</v>
      </c>
      <c r="AW133">
        <f t="shared" si="7"/>
        <v>6960</v>
      </c>
      <c r="AX133">
        <f t="shared" si="7"/>
        <v>7572</v>
      </c>
      <c r="AY133">
        <f t="shared" si="7"/>
        <v>8550</v>
      </c>
      <c r="AZ133">
        <f t="shared" si="7"/>
        <v>9861</v>
      </c>
      <c r="BA133">
        <f t="shared" si="8"/>
        <v>11000</v>
      </c>
      <c r="BB133">
        <f t="shared" si="8"/>
        <v>12461</v>
      </c>
      <c r="BC133">
        <f t="shared" si="8"/>
        <v>13957</v>
      </c>
      <c r="BD133">
        <f t="shared" si="8"/>
        <v>15351</v>
      </c>
      <c r="BE133">
        <f t="shared" si="8"/>
        <v>16495</v>
      </c>
      <c r="BF133">
        <f t="shared" si="8"/>
        <v>17839</v>
      </c>
      <c r="BG133">
        <f t="shared" si="8"/>
        <v>19209</v>
      </c>
      <c r="BH133">
        <f t="shared" si="8"/>
        <v>20622</v>
      </c>
      <c r="BI133">
        <f t="shared" si="8"/>
        <v>22099</v>
      </c>
      <c r="BJ133">
        <f t="shared" si="8"/>
        <v>23391</v>
      </c>
      <c r="BK133">
        <f t="shared" si="9"/>
        <v>24889</v>
      </c>
      <c r="BL133">
        <f t="shared" si="9"/>
        <v>26713</v>
      </c>
      <c r="BM133">
        <f t="shared" si="9"/>
        <v>29119</v>
      </c>
      <c r="BN133">
        <f t="shared" si="9"/>
        <v>32804</v>
      </c>
      <c r="BO133">
        <f t="shared" si="9"/>
        <v>35824</v>
      </c>
      <c r="BP133">
        <f t="shared" si="9"/>
        <v>39454</v>
      </c>
      <c r="BQ133">
        <f t="shared" si="9"/>
        <v>43425</v>
      </c>
      <c r="BR133">
        <f t="shared" si="9"/>
        <v>47344</v>
      </c>
      <c r="BS133">
        <f t="shared" si="9"/>
        <v>0</v>
      </c>
      <c r="BT133">
        <f t="shared" si="9"/>
        <v>0</v>
      </c>
      <c r="BU133">
        <f t="shared" si="9"/>
        <v>0</v>
      </c>
    </row>
  </sheetData>
  <autoFilter ref="B1:BB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U133"/>
  <sheetViews>
    <sheetView workbookViewId="0">
      <pane xSplit="2" ySplit="1" topLeftCell="AV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0</v>
      </c>
      <c r="BT2">
        <f>SUMIF(DeadRaw!$B:$B,$B2,DeadRaw!BV:BV)</f>
        <v>0</v>
      </c>
      <c r="BU2">
        <f>SUMIF(DeadRaw!$B:$B,$B2,DeadRaw!BW:BW)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0</v>
      </c>
      <c r="BT3">
        <f>SUMIF(DeadRaw!$B:$B,$B3,DeadRaw!BV:BV)</f>
        <v>0</v>
      </c>
      <c r="BU3">
        <f>SUMIF(DeadRaw!$B:$B,$B3,DeadRaw!BW:BW)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0</v>
      </c>
      <c r="BT4">
        <f>SUMIF(DeadRaw!$B:$B,$B4,DeadRaw!BV:BV)</f>
        <v>0</v>
      </c>
      <c r="BU4">
        <f>SUMIF(DeadRaw!$B:$B,$B4,DeadRaw!BW:BW)</f>
        <v>0</v>
      </c>
    </row>
    <row r="5" spans="1:73" ht="15" thickBot="1" x14ac:dyDescent="0.35">
      <c r="A5" s="97" t="s">
        <v>608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0</v>
      </c>
      <c r="BT5">
        <f>SUMIF(DeadRaw!$B:$B,$B5,DeadRaw!BV:BV)</f>
        <v>0</v>
      </c>
      <c r="BU5">
        <f>SUMIF(DeadRaw!$B:$B,$B5,DeadRaw!BW:BW)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0</v>
      </c>
      <c r="BT6">
        <f>SUMIF(DeadRaw!$B:$B,$B6,DeadRaw!BV:BV)</f>
        <v>0</v>
      </c>
      <c r="BU6">
        <f>SUMIF(DeadRaw!$B:$B,$B6,DeadRaw!BW:BW)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0</v>
      </c>
      <c r="BT7">
        <f>SUMIF(DeadRaw!$B:$B,$B7,DeadRaw!BV:BV)</f>
        <v>0</v>
      </c>
      <c r="BU7">
        <f>SUMIF(DeadRaw!$B:$B,$B7,DeadRaw!BW:BW)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0</v>
      </c>
      <c r="BT8">
        <f>SUMIF(DeadRaw!$B:$B,$B8,DeadRaw!BV:BV)</f>
        <v>0</v>
      </c>
      <c r="BU8">
        <f>SUMIF(DeadRaw!$B:$B,$B8,DeadRaw!BW:BW)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0</v>
      </c>
      <c r="BT9">
        <f>SUMIF(DeadRaw!$B:$B,$B9,DeadRaw!BV:BV)</f>
        <v>0</v>
      </c>
      <c r="BU9">
        <f>SUMIF(DeadRaw!$B:$B,$B9,DeadRaw!BW:BW)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0</v>
      </c>
      <c r="BT10">
        <f>SUMIF(DeadRaw!$B:$B,$B10,DeadRaw!BV:BV)</f>
        <v>0</v>
      </c>
      <c r="BU10">
        <f>SUMIF(DeadRaw!$B:$B,$B10,DeadRaw!BW:BW)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0</v>
      </c>
      <c r="BT11">
        <f>SUMIF(DeadRaw!$B:$B,$B11,DeadRaw!BV:BV)</f>
        <v>0</v>
      </c>
      <c r="BU11">
        <f>SUMIF(DeadRaw!$B:$B,$B11,DeadRaw!BW:BW)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0</v>
      </c>
      <c r="BT12">
        <f>SUMIF(DeadRaw!$B:$B,$B12,DeadRaw!BV:BV)</f>
        <v>0</v>
      </c>
      <c r="BU12">
        <f>SUMIF(DeadRaw!$B:$B,$B12,DeadRaw!BW:BW)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0</v>
      </c>
      <c r="BT13">
        <f>SUMIF(DeadRaw!$B:$B,$B13,DeadRaw!BV:BV)</f>
        <v>0</v>
      </c>
      <c r="BU13">
        <f>SUMIF(DeadRaw!$B:$B,$B13,DeadRaw!BW:BW)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0</v>
      </c>
      <c r="BT14">
        <f>SUMIF(DeadRaw!$B:$B,$B14,DeadRaw!BV:BV)</f>
        <v>0</v>
      </c>
      <c r="BU14">
        <f>SUMIF(DeadRaw!$B:$B,$B14,DeadRaw!BW:BW)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0</v>
      </c>
      <c r="BT15">
        <f>SUMIF(DeadRaw!$B:$B,$B15,DeadRaw!BV:BV)</f>
        <v>0</v>
      </c>
      <c r="BU15">
        <f>SUMIF(DeadRaw!$B:$B,$B15,DeadRaw!BW:BW)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0</v>
      </c>
      <c r="BT16">
        <f>SUMIF(DeadRaw!$B:$B,$B16,DeadRaw!BV:BV)</f>
        <v>0</v>
      </c>
      <c r="BU16">
        <f>SUMIF(DeadRaw!$B:$B,$B16,DeadRaw!BW:BW)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0</v>
      </c>
      <c r="BT18">
        <f>SUMIF(DeadRaw!$B:$B,$B18,DeadRaw!BV:BV)</f>
        <v>0</v>
      </c>
      <c r="BU18">
        <f>SUMIF(DeadRaw!$B:$B,$B18,DeadRaw!BW:BW)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0</v>
      </c>
      <c r="BT19">
        <f>SUMIF(DeadRaw!$B:$B,$B19,DeadRaw!BV:BV)</f>
        <v>0</v>
      </c>
      <c r="BU19">
        <f>SUMIF(DeadRaw!$B:$B,$B19,DeadRaw!BW:BW)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0</v>
      </c>
      <c r="BT20">
        <f>SUMIF(DeadRaw!$B:$B,$B20,DeadRaw!BV:BV)</f>
        <v>0</v>
      </c>
      <c r="BU20">
        <f>SUMIF(DeadRaw!$B:$B,$B20,DeadRaw!BW:BW)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0</v>
      </c>
      <c r="BT21">
        <f>SUMIF(DeadRaw!$B:$B,$B21,DeadRaw!BV:BV)</f>
        <v>0</v>
      </c>
      <c r="BU21">
        <f>SUMIF(DeadRaw!$B:$B,$B21,DeadRaw!BW:BW)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0</v>
      </c>
      <c r="BT22">
        <f>SUMIF(DeadRaw!$B:$B,$B22,DeadRaw!BV:BV)</f>
        <v>0</v>
      </c>
      <c r="BU22">
        <f>SUMIF(DeadRaw!$B:$B,$B22,DeadRaw!BW:BW)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0</v>
      </c>
      <c r="BT23">
        <f>SUMIF(DeadRaw!$B:$B,$B23,DeadRaw!BV:BV)</f>
        <v>0</v>
      </c>
      <c r="BU23">
        <f>SUMIF(DeadRaw!$B:$B,$B23,DeadRaw!BW:BW)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0</v>
      </c>
      <c r="BT24">
        <f>SUMIF(DeadRaw!$B:$B,$B24,DeadRaw!BV:BV)</f>
        <v>0</v>
      </c>
      <c r="BU24">
        <f>SUMIF(DeadRaw!$B:$B,$B24,DeadRaw!BW:BW)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0</v>
      </c>
      <c r="BT25">
        <f>SUMIF(DeadRaw!$B:$B,$B25,DeadRaw!BV:BV)</f>
        <v>0</v>
      </c>
      <c r="BU25">
        <f>SUMIF(DeadRaw!$B:$B,$B25,DeadRaw!BW:BW)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0</v>
      </c>
      <c r="BT26">
        <f>SUMIF(DeadRaw!$B:$B,$B26,DeadRaw!BV:BV)</f>
        <v>0</v>
      </c>
      <c r="BU26">
        <f>SUMIF(DeadRaw!$B:$B,$B26,DeadRaw!BW:BW)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0</v>
      </c>
      <c r="BT27">
        <f>SUMIF(DeadRaw!$B:$B,$B27,DeadRaw!BV:BV)</f>
        <v>0</v>
      </c>
      <c r="BU27">
        <f>SUMIF(DeadRaw!$B:$B,$B27,DeadRaw!BW:BW)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0</v>
      </c>
      <c r="BT28">
        <f>SUMIF(DeadRaw!$B:$B,$B28,DeadRaw!BV:BV)</f>
        <v>0</v>
      </c>
      <c r="BU28">
        <f>SUMIF(DeadRaw!$B:$B,$B28,DeadRaw!BW:BW)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0</v>
      </c>
      <c r="BT29">
        <f>SUMIF(DeadRaw!$B:$B,$B29,DeadRaw!BV:BV)</f>
        <v>0</v>
      </c>
      <c r="BU29">
        <f>SUMIF(DeadRaw!$B:$B,$B29,DeadRaw!BW:BW)</f>
        <v>0</v>
      </c>
    </row>
    <row r="30" spans="1:73" ht="15" thickBot="1" x14ac:dyDescent="0.35">
      <c r="A30" s="97" t="s">
        <v>609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0</v>
      </c>
      <c r="BT30">
        <f>SUMIF(DeadRaw!$B:$B,$B30,DeadRaw!BV:BV)</f>
        <v>0</v>
      </c>
      <c r="BU30">
        <f>SUMIF(DeadRaw!$B:$B,$B30,DeadRaw!BW:BW)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0</v>
      </c>
      <c r="BT31">
        <f>SUMIF(DeadRaw!$B:$B,$B31,DeadRaw!BV:BV)</f>
        <v>0</v>
      </c>
      <c r="BU31">
        <f>SUMIF(DeadRaw!$B:$B,$B31,DeadRaw!BW:BW)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0</v>
      </c>
      <c r="BT32">
        <f>SUMIF(DeadRaw!$B:$B,$B32,DeadRaw!BV:BV)</f>
        <v>0</v>
      </c>
      <c r="BU32">
        <f>SUMIF(DeadRaw!$B:$B,$B32,DeadRaw!BW:BW)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0</v>
      </c>
      <c r="BT33">
        <f>SUMIF(DeadRaw!$B:$B,$B33,DeadRaw!BV:BV)</f>
        <v>0</v>
      </c>
      <c r="BU33">
        <f>SUMIF(DeadRaw!$B:$B,$B33,DeadRaw!BW:BW)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0</v>
      </c>
      <c r="BT34">
        <f>SUMIF(DeadRaw!$B:$B,$B34,DeadRaw!BV:BV)</f>
        <v>0</v>
      </c>
      <c r="BU34">
        <f>SUMIF(DeadRaw!$B:$B,$B34,DeadRaw!BW:BW)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0</v>
      </c>
      <c r="BT35">
        <f>SUMIF(DeadRaw!$B:$B,$B35,DeadRaw!BV:BV)</f>
        <v>0</v>
      </c>
      <c r="BU35">
        <f>SUMIF(DeadRaw!$B:$B,$B35,DeadRaw!BW:BW)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0</v>
      </c>
      <c r="BT36">
        <f>SUMIF(DeadRaw!$B:$B,$B36,DeadRaw!BV:BV)</f>
        <v>0</v>
      </c>
      <c r="BU36">
        <f>SUMIF(DeadRaw!$B:$B,$B36,DeadRaw!BW:BW)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0</v>
      </c>
      <c r="BT37">
        <f>SUMIF(DeadRaw!$B:$B,$B37,DeadRaw!BV:BV)</f>
        <v>0</v>
      </c>
      <c r="BU37">
        <f>SUMIF(DeadRaw!$B:$B,$B37,DeadRaw!BW:BW)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0</v>
      </c>
      <c r="BT38">
        <f>SUMIF(DeadRaw!$B:$B,$B38,DeadRaw!BV:BV)</f>
        <v>0</v>
      </c>
      <c r="BU38">
        <f>SUMIF(DeadRaw!$B:$B,$B38,DeadRaw!BW:BW)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0</v>
      </c>
      <c r="BT39">
        <f>SUMIF(DeadRaw!$B:$B,$B39,DeadRaw!BV:BV)</f>
        <v>0</v>
      </c>
      <c r="BU39">
        <f>SUMIF(DeadRaw!$B:$B,$B39,DeadRaw!BW:BW)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0</v>
      </c>
      <c r="BT40">
        <f>SUMIF(DeadRaw!$B:$B,$B40,DeadRaw!BV:BV)</f>
        <v>0</v>
      </c>
      <c r="BU40">
        <f>SUMIF(DeadRaw!$B:$B,$B40,DeadRaw!BW:BW)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0</v>
      </c>
      <c r="BT42">
        <f>SUMIF(DeadRaw!$B:$B,$B42,DeadRaw!BV:BV)</f>
        <v>0</v>
      </c>
      <c r="BU42">
        <f>SUMIF(DeadRaw!$B:$B,$B42,DeadRaw!BW:BW)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0</v>
      </c>
      <c r="BT43">
        <f>SUMIF(DeadRaw!$B:$B,$B43,DeadRaw!BV:BV)</f>
        <v>0</v>
      </c>
      <c r="BU43">
        <f>SUMIF(DeadRaw!$B:$B,$B43,DeadRaw!BW:BW)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0</v>
      </c>
      <c r="BT44">
        <f>SUMIF(DeadRaw!$B:$B,$B44,DeadRaw!BV:BV)</f>
        <v>0</v>
      </c>
      <c r="BU44">
        <f>SUMIF(DeadRaw!$B:$B,$B44,DeadRaw!BW:BW)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0</v>
      </c>
      <c r="BT45">
        <f>SUMIF(DeadRaw!$B:$B,$B45,DeadRaw!BV:BV)</f>
        <v>0</v>
      </c>
      <c r="BU45">
        <f>SUMIF(DeadRaw!$B:$B,$B45,DeadRaw!BW:BW)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0</v>
      </c>
      <c r="BT46">
        <f>SUMIF(DeadRaw!$B:$B,$B46,DeadRaw!BV:BV)</f>
        <v>0</v>
      </c>
      <c r="BU46">
        <f>SUMIF(DeadRaw!$B:$B,$B46,DeadRaw!BW:BW)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0</v>
      </c>
      <c r="BT47">
        <f>SUMIF(DeadRaw!$B:$B,$B47,DeadRaw!BV:BV)</f>
        <v>0</v>
      </c>
      <c r="BU47">
        <f>SUMIF(DeadRaw!$B:$B,$B47,DeadRaw!BW:BW)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0</v>
      </c>
      <c r="BT48">
        <f>SUMIF(DeadRaw!$B:$B,$B48,DeadRaw!BV:BV)</f>
        <v>0</v>
      </c>
      <c r="BU48">
        <f>SUMIF(DeadRaw!$B:$B,$B48,DeadRaw!BW:BW)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0</v>
      </c>
      <c r="BT49">
        <f>SUMIF(DeadRaw!$B:$B,$B49,DeadRaw!BV:BV)</f>
        <v>0</v>
      </c>
      <c r="BU49">
        <f>SUMIF(DeadRaw!$B:$B,$B49,DeadRaw!BW:BW)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0</v>
      </c>
      <c r="BT51">
        <f>SUMIF(DeadRaw!$B:$B,$B51,DeadRaw!BV:BV)</f>
        <v>0</v>
      </c>
      <c r="BU51">
        <f>SUMIF(DeadRaw!$B:$B,$B51,DeadRaw!BW:BW)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0</v>
      </c>
      <c r="BT52">
        <f>SUMIF(DeadRaw!$B:$B,$B52,DeadRaw!BV:BV)</f>
        <v>0</v>
      </c>
      <c r="BU52">
        <f>SUMIF(DeadRaw!$B:$B,$B52,DeadRaw!BW:BW)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0</v>
      </c>
      <c r="BT53">
        <f>SUMIF(DeadRaw!$B:$B,$B53,DeadRaw!BV:BV)</f>
        <v>0</v>
      </c>
      <c r="BU53">
        <f>SUMIF(DeadRaw!$B:$B,$B53,DeadRaw!BW:BW)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0</v>
      </c>
      <c r="BT54">
        <f>SUMIF(DeadRaw!$B:$B,$B54,DeadRaw!BV:BV)</f>
        <v>0</v>
      </c>
      <c r="BU54">
        <f>SUMIF(DeadRaw!$B:$B,$B54,DeadRaw!BW:BW)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0</v>
      </c>
      <c r="BT55">
        <f>SUMIF(DeadRaw!$B:$B,$B55,DeadRaw!BV:BV)</f>
        <v>0</v>
      </c>
      <c r="BU55">
        <f>SUMIF(DeadRaw!$B:$B,$B55,DeadRaw!BW:BW)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0</v>
      </c>
      <c r="BT56">
        <f>SUMIF(DeadRaw!$B:$B,$B56,DeadRaw!BV:BV)</f>
        <v>0</v>
      </c>
      <c r="BU56">
        <f>SUMIF(DeadRaw!$B:$B,$B56,DeadRaw!BW:BW)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0</v>
      </c>
      <c r="BT57">
        <f>SUMIF(DeadRaw!$B:$B,$B57,DeadRaw!BV:BV)</f>
        <v>0</v>
      </c>
      <c r="BU57">
        <f>SUMIF(DeadRaw!$B:$B,$B57,DeadRaw!BW:BW)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0</v>
      </c>
      <c r="BT59">
        <f>SUMIF(DeadRaw!$B:$B,$B59,DeadRaw!BV:BV)</f>
        <v>0</v>
      </c>
      <c r="BU59">
        <f>SUMIF(DeadRaw!$B:$B,$B59,DeadRaw!BW:BW)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0</v>
      </c>
      <c r="BT60">
        <f>SUMIF(DeadRaw!$B:$B,$B60,DeadRaw!BV:BV)</f>
        <v>0</v>
      </c>
      <c r="BU60">
        <f>SUMIF(DeadRaw!$B:$B,$B60,DeadRaw!BW:BW)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0</v>
      </c>
      <c r="BT61">
        <f>SUMIF(DeadRaw!$B:$B,$B61,DeadRaw!BV:BV)</f>
        <v>0</v>
      </c>
      <c r="BU61">
        <f>SUMIF(DeadRaw!$B:$B,$B61,DeadRaw!BW:BW)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0</v>
      </c>
      <c r="BU62">
        <f>SUMIF(DeadRaw!$B:$B,$B62,DeadRaw!BW:BW)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0</v>
      </c>
      <c r="BT63">
        <f>SUMIF(DeadRaw!$B:$B,$B63,DeadRaw!BV:BV)</f>
        <v>0</v>
      </c>
      <c r="BU63">
        <f>SUMIF(DeadRaw!$B:$B,$B63,DeadRaw!BW:BW)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0</v>
      </c>
      <c r="BT64">
        <f>SUMIF(DeadRaw!$B:$B,$B64,DeadRaw!BV:BV)</f>
        <v>0</v>
      </c>
      <c r="BU64">
        <f>SUMIF(DeadRaw!$B:$B,$B64,DeadRaw!BW:BW)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0</v>
      </c>
      <c r="BT66">
        <f>SUMIF(DeadRaw!$B:$B,$B66,DeadRaw!BV:BV)</f>
        <v>0</v>
      </c>
      <c r="BU66">
        <f>SUMIF(DeadRaw!$B:$B,$B66,DeadRaw!BW:BW)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0</v>
      </c>
      <c r="BT67">
        <f>SUMIF(DeadRaw!$B:$B,$B67,DeadRaw!BV:BV)</f>
        <v>0</v>
      </c>
      <c r="BU67">
        <f>SUMIF(DeadRaw!$B:$B,$B67,DeadRaw!BW:BW)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0</v>
      </c>
      <c r="BT68">
        <f>SUMIF(DeadRaw!$B:$B,$B68,DeadRaw!BV:BV)</f>
        <v>0</v>
      </c>
      <c r="BU68">
        <f>SUMIF(DeadRaw!$B:$B,$B68,DeadRaw!BW:BW)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0</v>
      </c>
      <c r="BT69">
        <f>SUMIF(DeadRaw!$B:$B,$B69,DeadRaw!BV:BV)</f>
        <v>0</v>
      </c>
      <c r="BU69">
        <f>SUMIF(DeadRaw!$B:$B,$B69,DeadRaw!BW:BW)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0</v>
      </c>
      <c r="BU70">
        <f>SUMIF(DeadRaw!$B:$B,$B70,DeadRaw!BW:BW)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0</v>
      </c>
      <c r="BT71">
        <f>SUMIF(DeadRaw!$B:$B,$B71,DeadRaw!BV:BV)</f>
        <v>0</v>
      </c>
      <c r="BU71">
        <f>SUMIF(DeadRaw!$B:$B,$B71,DeadRaw!BW:BW)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0</v>
      </c>
      <c r="BT73">
        <f>SUMIF(DeadRaw!$B:$B,$B73,DeadRaw!BV:BV)</f>
        <v>0</v>
      </c>
      <c r="BU73">
        <f>SUMIF(DeadRaw!$B:$B,$B73,DeadRaw!BW:BW)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0</v>
      </c>
      <c r="BT74">
        <f>SUMIF(DeadRaw!$B:$B,$B74,DeadRaw!BV:BV)</f>
        <v>0</v>
      </c>
      <c r="BU74">
        <f>SUMIF(DeadRaw!$B:$B,$B74,DeadRaw!BW:BW)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0</v>
      </c>
      <c r="BT75">
        <f>SUMIF(DeadRaw!$B:$B,$B75,DeadRaw!BV:BV)</f>
        <v>0</v>
      </c>
      <c r="BU75">
        <f>SUMIF(DeadRaw!$B:$B,$B75,DeadRaw!BW:BW)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0</v>
      </c>
      <c r="BT76">
        <f>SUMIF(DeadRaw!$B:$B,$B76,DeadRaw!BV:BV)</f>
        <v>0</v>
      </c>
      <c r="BU76">
        <f>SUMIF(DeadRaw!$B:$B,$B76,DeadRaw!BW:BW)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0</v>
      </c>
      <c r="BT77">
        <f>SUMIF(DeadRaw!$B:$B,$B77,DeadRaw!BV:BV)</f>
        <v>0</v>
      </c>
      <c r="BU77">
        <f>SUMIF(DeadRaw!$B:$B,$B77,DeadRaw!BW:BW)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0</v>
      </c>
      <c r="BT78">
        <f>SUMIF(DeadRaw!$B:$B,$B78,DeadRaw!BV:BV)</f>
        <v>0</v>
      </c>
      <c r="BU78">
        <f>SUMIF(DeadRaw!$B:$B,$B78,DeadRaw!BW:BW)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0</v>
      </c>
      <c r="BT80">
        <f>SUMIF(DeadRaw!$B:$B,$B80,DeadRaw!BV:BV)</f>
        <v>0</v>
      </c>
      <c r="BU80">
        <f>SUMIF(DeadRaw!$B:$B,$B80,DeadRaw!BW:BW)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0</v>
      </c>
      <c r="BT83">
        <f>SUMIF(DeadRaw!$B:$B,$B83,DeadRaw!BV:BV)</f>
        <v>0</v>
      </c>
      <c r="BU83">
        <f>SUMIF(DeadRaw!$B:$B,$B83,DeadRaw!BW:BW)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0</v>
      </c>
      <c r="BT84">
        <f>SUMIF(DeadRaw!$B:$B,$B84,DeadRaw!BV:BV)</f>
        <v>0</v>
      </c>
      <c r="BU84">
        <f>SUMIF(DeadRaw!$B:$B,$B84,DeadRaw!BW:BW)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0</v>
      </c>
      <c r="BT85">
        <f>SUMIF(DeadRaw!$B:$B,$B85,DeadRaw!BV:BV)</f>
        <v>0</v>
      </c>
      <c r="BU85">
        <f>SUMIF(DeadRaw!$B:$B,$B85,DeadRaw!BW:BW)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0</v>
      </c>
      <c r="BT86">
        <f>SUMIF(DeadRaw!$B:$B,$B86,DeadRaw!BV:BV)</f>
        <v>0</v>
      </c>
      <c r="BU86">
        <f>SUMIF(DeadRaw!$B:$B,$B86,DeadRaw!BW:BW)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0</v>
      </c>
      <c r="BT87">
        <f>SUMIF(DeadRaw!$B:$B,$B87,DeadRaw!BV:BV)</f>
        <v>0</v>
      </c>
      <c r="BU87">
        <f>SUMIF(DeadRaw!$B:$B,$B87,DeadRaw!BW:BW)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0</v>
      </c>
      <c r="BT88">
        <f>SUMIF(DeadRaw!$B:$B,$B88,DeadRaw!BV:BV)</f>
        <v>0</v>
      </c>
      <c r="BU88">
        <f>SUMIF(DeadRaw!$B:$B,$B88,DeadRaw!BW:BW)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0</v>
      </c>
      <c r="BT89">
        <f>SUMIF(DeadRaw!$B:$B,$B89,DeadRaw!BV:BV)</f>
        <v>0</v>
      </c>
      <c r="BU89">
        <f>SUMIF(DeadRaw!$B:$B,$B89,DeadRaw!BW:BW)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0</v>
      </c>
      <c r="BT90">
        <f>SUMIF(DeadRaw!$B:$B,$B90,DeadRaw!BV:BV)</f>
        <v>0</v>
      </c>
      <c r="BU90">
        <f>SUMIF(DeadRaw!$B:$B,$B90,DeadRaw!BW:BW)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0</v>
      </c>
      <c r="BT92">
        <f>SUMIF(DeadRaw!$B:$B,$B92,DeadRaw!BV:BV)</f>
        <v>0</v>
      </c>
      <c r="BU92">
        <f>SUMIF(DeadRaw!$B:$B,$B92,DeadRaw!BW:BW)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0</v>
      </c>
      <c r="BT94">
        <f>SUMIF(DeadRaw!$B:$B,$B94,DeadRaw!BV:BV)</f>
        <v>0</v>
      </c>
      <c r="BU94">
        <f>SUMIF(DeadRaw!$B:$B,$B94,DeadRaw!BW:BW)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0</v>
      </c>
      <c r="BT96">
        <f>SUMIF(DeadRaw!$B:$B,$B96,DeadRaw!BV:BV)</f>
        <v>0</v>
      </c>
      <c r="BU96">
        <f>SUMIF(DeadRaw!$B:$B,$B96,DeadRaw!BW:BW)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0</v>
      </c>
      <c r="BT97">
        <f>SUMIF(DeadRaw!$B:$B,$B97,DeadRaw!BV:BV)</f>
        <v>0</v>
      </c>
      <c r="BU97">
        <f>SUMIF(DeadRaw!$B:$B,$B97,DeadRaw!BW:BW)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0</v>
      </c>
      <c r="BT98">
        <f>SUMIF(DeadRaw!$B:$B,$B98,DeadRaw!BV:BV)</f>
        <v>0</v>
      </c>
      <c r="BU98">
        <f>SUMIF(DeadRaw!$B:$B,$B98,DeadRaw!BW:BW)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0</v>
      </c>
      <c r="BT99">
        <f>SUMIF(DeadRaw!$B:$B,$B99,DeadRaw!BV:BV)</f>
        <v>0</v>
      </c>
      <c r="BU99">
        <f>SUMIF(DeadRaw!$B:$B,$B99,DeadRaw!BW:BW)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0</v>
      </c>
      <c r="BT100">
        <f>SUMIF(DeadRaw!$B:$B,$B100,DeadRaw!BV:BV)</f>
        <v>0</v>
      </c>
      <c r="BU100">
        <f>SUMIF(DeadRaw!$B:$B,$B100,DeadRaw!BW:BW)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0</v>
      </c>
      <c r="BT102">
        <f>SUMIF(DeadRaw!$B:$B,$B102,DeadRaw!BV:BV)</f>
        <v>0</v>
      </c>
      <c r="BU102">
        <f>SUMIF(DeadRaw!$B:$B,$B102,DeadRaw!BW:BW)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0</v>
      </c>
      <c r="BT104">
        <f>SUMIF(DeadRaw!$B:$B,$B104,DeadRaw!BV:BV)</f>
        <v>0</v>
      </c>
      <c r="BU104">
        <f>SUMIF(DeadRaw!$B:$B,$B104,DeadRaw!BW:BW)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0</v>
      </c>
      <c r="BT105">
        <f>SUMIF(DeadRaw!$B:$B,$B105,DeadRaw!BV:BV)</f>
        <v>0</v>
      </c>
      <c r="BU105">
        <f>SUMIF(DeadRaw!$B:$B,$B105,DeadRaw!BW:BW)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0</v>
      </c>
      <c r="BT106">
        <f>SUMIF(DeadRaw!$B:$B,$B106,DeadRaw!BV:BV)</f>
        <v>0</v>
      </c>
      <c r="BU106">
        <f>SUMIF(DeadRaw!$B:$B,$B106,DeadRaw!BW:BW)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0</v>
      </c>
      <c r="BT107">
        <f>SUMIF(DeadRaw!$B:$B,$B107,DeadRaw!BV:BV)</f>
        <v>0</v>
      </c>
      <c r="BU107">
        <f>SUMIF(DeadRaw!$B:$B,$B107,DeadRaw!BW:BW)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0</v>
      </c>
      <c r="BT108">
        <f>SUMIF(DeadRaw!$B:$B,$B108,DeadRaw!BV:BV)</f>
        <v>0</v>
      </c>
      <c r="BU108">
        <f>SUMIF(DeadRaw!$B:$B,$B108,DeadRaw!BW:BW)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0</v>
      </c>
      <c r="BT109">
        <f>SUMIF(DeadRaw!$B:$B,$B109,DeadRaw!BV:BV)</f>
        <v>0</v>
      </c>
      <c r="BU109">
        <f>SUMIF(DeadRaw!$B:$B,$B109,DeadRaw!BW:BW)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0</v>
      </c>
      <c r="BT110">
        <f>SUMIF(DeadRaw!$B:$B,$B110,DeadRaw!BV:BV)</f>
        <v>0</v>
      </c>
      <c r="BU110">
        <f>SUMIF(DeadRaw!$B:$B,$B110,DeadRaw!BW:BW)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0</v>
      </c>
      <c r="BT114">
        <f>SUMIF(DeadRaw!$B:$B,$B114,DeadRaw!BV:BV)</f>
        <v>0</v>
      </c>
      <c r="BU114">
        <f>SUMIF(DeadRaw!$B:$B,$B114,DeadRaw!BW:BW)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0</v>
      </c>
      <c r="BT118">
        <f>SUMIF(DeadRaw!$B:$B,$B118,DeadRaw!BV:BV)</f>
        <v>0</v>
      </c>
      <c r="BU118">
        <f>SUMIF(DeadRaw!$B:$B,$B118,DeadRaw!BW:BW)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0</v>
      </c>
      <c r="BT120">
        <f>SUMIF(DeadRaw!$B:$B,$B120,DeadRaw!BV:BV)</f>
        <v>0</v>
      </c>
      <c r="BU120">
        <f>SUMIF(DeadRaw!$B:$B,$B120,DeadRaw!BW:BW)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0</v>
      </c>
      <c r="BT121">
        <f>SUMIF(DeadRaw!$B:$B,$B121,DeadRaw!BV:BV)</f>
        <v>0</v>
      </c>
      <c r="BU121">
        <f>SUMIF(DeadRaw!$B:$B,$B121,DeadRaw!BW:BW)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0</v>
      </c>
      <c r="BT125">
        <f>SUMIF(DeadRaw!$B:$B,$B125,DeadRaw!BV:BV)</f>
        <v>0</v>
      </c>
      <c r="BU125">
        <f>SUMIF(DeadRaw!$B:$B,$B125,DeadRaw!BW:BW)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0</v>
      </c>
      <c r="BT126">
        <f>SUMIF(DeadRaw!$B:$B,$B126,DeadRaw!BV:BV)</f>
        <v>0</v>
      </c>
      <c r="BU126">
        <f>SUMIF(DeadRaw!$B:$B,$B126,DeadRaw!BW:BW)</f>
        <v>0</v>
      </c>
    </row>
    <row r="127" spans="1:73" x14ac:dyDescent="0.3">
      <c r="A127" s="97"/>
      <c r="B127" s="2" t="s">
        <v>606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0</v>
      </c>
      <c r="BT127">
        <f t="shared" si="2"/>
        <v>0</v>
      </c>
      <c r="BU127">
        <f t="shared" si="2"/>
        <v>0</v>
      </c>
    </row>
    <row r="128" spans="1:73" x14ac:dyDescent="0.3">
      <c r="A128" s="97"/>
      <c r="B128" s="2" t="s">
        <v>608</v>
      </c>
      <c r="C128">
        <f t="shared" ref="C128:L133" si="3">SUMIFS(C$2:C$126,$A$2:$A$126,$B128)</f>
        <v>17</v>
      </c>
      <c r="D128">
        <f t="shared" si="3"/>
        <v>18</v>
      </c>
      <c r="E128">
        <f t="shared" si="3"/>
        <v>26</v>
      </c>
      <c r="F128">
        <f t="shared" si="3"/>
        <v>42</v>
      </c>
      <c r="G128">
        <f t="shared" si="3"/>
        <v>56</v>
      </c>
      <c r="H128">
        <f t="shared" si="3"/>
        <v>82</v>
      </c>
      <c r="I128">
        <f t="shared" si="3"/>
        <v>131</v>
      </c>
      <c r="J128">
        <f t="shared" si="3"/>
        <v>133</v>
      </c>
      <c r="K128">
        <f t="shared" si="3"/>
        <v>171</v>
      </c>
      <c r="L128">
        <f t="shared" si="3"/>
        <v>213</v>
      </c>
      <c r="M128">
        <f t="shared" ref="M128:V133" si="4">SUMIFS(M$2:M$126,$A$2:$A$126,$B128)</f>
        <v>259</v>
      </c>
      <c r="N128">
        <f t="shared" si="4"/>
        <v>362</v>
      </c>
      <c r="O128">
        <f t="shared" si="4"/>
        <v>426</v>
      </c>
      <c r="P128">
        <f t="shared" si="4"/>
        <v>492</v>
      </c>
      <c r="Q128">
        <f t="shared" si="4"/>
        <v>564</v>
      </c>
      <c r="R128">
        <f t="shared" si="4"/>
        <v>634</v>
      </c>
      <c r="S128">
        <f t="shared" si="4"/>
        <v>719</v>
      </c>
      <c r="T128">
        <f t="shared" si="4"/>
        <v>806</v>
      </c>
      <c r="U128">
        <f t="shared" si="4"/>
        <v>906</v>
      </c>
      <c r="V128">
        <f t="shared" si="4"/>
        <v>1013</v>
      </c>
      <c r="W128">
        <f t="shared" ref="W128:AF133" si="5">SUMIFS(W$2:W$126,$A$2:$A$126,$B128)</f>
        <v>1113</v>
      </c>
      <c r="X128">
        <f t="shared" si="5"/>
        <v>1118</v>
      </c>
      <c r="Y128">
        <f t="shared" si="5"/>
        <v>1371</v>
      </c>
      <c r="Z128">
        <f t="shared" si="5"/>
        <v>1523</v>
      </c>
      <c r="AA128">
        <f t="shared" si="5"/>
        <v>1665</v>
      </c>
      <c r="AB128">
        <f t="shared" si="5"/>
        <v>1769</v>
      </c>
      <c r="AC128">
        <f t="shared" si="5"/>
        <v>1867</v>
      </c>
      <c r="AD128">
        <f t="shared" si="5"/>
        <v>2006</v>
      </c>
      <c r="AE128">
        <f t="shared" si="5"/>
        <v>2119</v>
      </c>
      <c r="AF128">
        <f t="shared" si="5"/>
        <v>2242</v>
      </c>
      <c r="AG128">
        <f t="shared" ref="AG128:AP133" si="6">SUMIFS(AG$2:AG$126,$A$2:$A$126,$B128)</f>
        <v>2243</v>
      </c>
      <c r="AH128">
        <f t="shared" si="6"/>
        <v>2448</v>
      </c>
      <c r="AI128">
        <f t="shared" si="6"/>
        <v>2454</v>
      </c>
      <c r="AJ128">
        <f t="shared" si="6"/>
        <v>2606</v>
      </c>
      <c r="AK128">
        <f t="shared" si="6"/>
        <v>2678</v>
      </c>
      <c r="AL128">
        <f t="shared" si="6"/>
        <v>2733</v>
      </c>
      <c r="AM128">
        <f t="shared" si="6"/>
        <v>2765</v>
      </c>
      <c r="AN128">
        <f t="shared" si="6"/>
        <v>2809</v>
      </c>
      <c r="AO128">
        <f t="shared" si="6"/>
        <v>2860</v>
      </c>
      <c r="AP128">
        <f t="shared" si="6"/>
        <v>2898</v>
      </c>
      <c r="AQ128">
        <f t="shared" ref="AQ128:AZ133" si="7">SUMIFS(AQ$2:AQ$126,$A$2:$A$126,$B128)</f>
        <v>2951</v>
      </c>
      <c r="AR128">
        <f t="shared" si="7"/>
        <v>2984</v>
      </c>
      <c r="AS128">
        <f t="shared" si="7"/>
        <v>3027</v>
      </c>
      <c r="AT128">
        <f t="shared" si="7"/>
        <v>3059</v>
      </c>
      <c r="AU128">
        <f t="shared" si="7"/>
        <v>3095</v>
      </c>
      <c r="AV128">
        <f t="shared" si="7"/>
        <v>3125</v>
      </c>
      <c r="AW128">
        <f t="shared" si="7"/>
        <v>3159</v>
      </c>
      <c r="AX128">
        <f t="shared" si="7"/>
        <v>3189</v>
      </c>
      <c r="AY128">
        <f t="shared" si="7"/>
        <v>3206</v>
      </c>
      <c r="AZ128">
        <f t="shared" si="7"/>
        <v>3241</v>
      </c>
      <c r="BA128">
        <f t="shared" ref="BA128:BJ133" si="8">SUMIFS(BA$2:BA$126,$A$2:$A$126,$B128)</f>
        <v>3260</v>
      </c>
      <c r="BB128">
        <f t="shared" si="8"/>
        <v>3279</v>
      </c>
      <c r="BC128">
        <f t="shared" si="8"/>
        <v>3305</v>
      </c>
      <c r="BD128">
        <f t="shared" si="8"/>
        <v>3321</v>
      </c>
      <c r="BE128">
        <f t="shared" si="8"/>
        <v>3341</v>
      </c>
      <c r="BF128">
        <f t="shared" si="8"/>
        <v>3365</v>
      </c>
      <c r="BG128">
        <f t="shared" si="8"/>
        <v>3401</v>
      </c>
      <c r="BH128">
        <f t="shared" si="8"/>
        <v>3424</v>
      </c>
      <c r="BI128">
        <f t="shared" si="8"/>
        <v>3450</v>
      </c>
      <c r="BJ128">
        <f t="shared" si="8"/>
        <v>3473</v>
      </c>
      <c r="BK128">
        <f t="shared" ref="BK128:BU133" si="9">SUMIFS(BK$2:BK$126,$A$2:$A$126,$B128)</f>
        <v>3530</v>
      </c>
      <c r="BL128">
        <f t="shared" si="9"/>
        <v>3549</v>
      </c>
      <c r="BM128">
        <f t="shared" si="9"/>
        <v>3581</v>
      </c>
      <c r="BN128">
        <f t="shared" si="9"/>
        <v>3610</v>
      </c>
      <c r="BO128">
        <f t="shared" si="9"/>
        <v>3664</v>
      </c>
      <c r="BP128">
        <f t="shared" si="9"/>
        <v>3704</v>
      </c>
      <c r="BQ128">
        <f t="shared" si="9"/>
        <v>3754</v>
      </c>
      <c r="BR128">
        <f t="shared" si="9"/>
        <v>3803</v>
      </c>
      <c r="BS128">
        <f t="shared" si="9"/>
        <v>0</v>
      </c>
      <c r="BT128">
        <f t="shared" si="9"/>
        <v>0</v>
      </c>
      <c r="BU128">
        <f t="shared" si="9"/>
        <v>0</v>
      </c>
    </row>
    <row r="129" spans="1:73" x14ac:dyDescent="0.3">
      <c r="A129" s="97"/>
      <c r="B129" s="2" t="s">
        <v>609</v>
      </c>
      <c r="C129">
        <f t="shared" si="3"/>
        <v>0</v>
      </c>
      <c r="D129">
        <f t="shared" si="3"/>
        <v>0</v>
      </c>
      <c r="E129">
        <f t="shared" si="3"/>
        <v>0</v>
      </c>
      <c r="F129">
        <f t="shared" si="3"/>
        <v>0</v>
      </c>
      <c r="G129">
        <f t="shared" si="3"/>
        <v>0</v>
      </c>
      <c r="H129">
        <f t="shared" si="3"/>
        <v>0</v>
      </c>
      <c r="I129">
        <f t="shared" si="3"/>
        <v>0</v>
      </c>
      <c r="J129">
        <f t="shared" si="3"/>
        <v>0</v>
      </c>
      <c r="K129">
        <f t="shared" si="3"/>
        <v>0</v>
      </c>
      <c r="L129">
        <f t="shared" si="3"/>
        <v>0</v>
      </c>
      <c r="M129">
        <f t="shared" si="4"/>
        <v>0</v>
      </c>
      <c r="N129">
        <f t="shared" si="4"/>
        <v>0</v>
      </c>
      <c r="O129">
        <f t="shared" si="4"/>
        <v>0</v>
      </c>
      <c r="P129">
        <f t="shared" si="4"/>
        <v>0</v>
      </c>
      <c r="Q129">
        <f t="shared" si="4"/>
        <v>0</v>
      </c>
      <c r="R129">
        <f t="shared" si="4"/>
        <v>0</v>
      </c>
      <c r="S129">
        <f t="shared" si="4"/>
        <v>0</v>
      </c>
      <c r="T129">
        <f t="shared" si="4"/>
        <v>0</v>
      </c>
      <c r="U129">
        <f t="shared" si="4"/>
        <v>0</v>
      </c>
      <c r="V129">
        <f t="shared" si="4"/>
        <v>0</v>
      </c>
      <c r="W129">
        <f t="shared" si="5"/>
        <v>0</v>
      </c>
      <c r="X129">
        <f t="shared" si="5"/>
        <v>0</v>
      </c>
      <c r="Y129">
        <f t="shared" si="5"/>
        <v>0</v>
      </c>
      <c r="Z129">
        <f t="shared" si="5"/>
        <v>0</v>
      </c>
      <c r="AA129">
        <f t="shared" si="5"/>
        <v>1</v>
      </c>
      <c r="AB129">
        <f t="shared" si="5"/>
        <v>1</v>
      </c>
      <c r="AC129">
        <f t="shared" si="5"/>
        <v>1</v>
      </c>
      <c r="AD129">
        <f t="shared" si="5"/>
        <v>1</v>
      </c>
      <c r="AE129">
        <f t="shared" si="5"/>
        <v>1</v>
      </c>
      <c r="AF129">
        <f t="shared" si="5"/>
        <v>1</v>
      </c>
      <c r="AG129">
        <f t="shared" si="6"/>
        <v>2</v>
      </c>
      <c r="AH129">
        <f t="shared" si="6"/>
        <v>3</v>
      </c>
      <c r="AI129">
        <f t="shared" si="6"/>
        <v>4</v>
      </c>
      <c r="AJ129">
        <f t="shared" si="6"/>
        <v>8</v>
      </c>
      <c r="AK129">
        <f t="shared" si="6"/>
        <v>11</v>
      </c>
      <c r="AL129">
        <f t="shared" si="6"/>
        <v>14</v>
      </c>
      <c r="AM129">
        <f t="shared" si="6"/>
        <v>19</v>
      </c>
      <c r="AN129">
        <f t="shared" si="6"/>
        <v>23</v>
      </c>
      <c r="AO129">
        <f t="shared" si="6"/>
        <v>31</v>
      </c>
      <c r="AP129">
        <f t="shared" si="6"/>
        <v>36</v>
      </c>
      <c r="AQ129">
        <f t="shared" si="7"/>
        <v>55</v>
      </c>
      <c r="AR129">
        <f t="shared" si="7"/>
        <v>85</v>
      </c>
      <c r="AS129">
        <f t="shared" si="7"/>
        <v>114</v>
      </c>
      <c r="AT129">
        <f t="shared" si="7"/>
        <v>160</v>
      </c>
      <c r="AU129">
        <f t="shared" si="7"/>
        <v>216</v>
      </c>
      <c r="AV129">
        <f t="shared" si="7"/>
        <v>259</v>
      </c>
      <c r="AW129">
        <f t="shared" si="7"/>
        <v>411</v>
      </c>
      <c r="AX129">
        <f t="shared" si="7"/>
        <v>522</v>
      </c>
      <c r="AY129">
        <f t="shared" si="7"/>
        <v>716</v>
      </c>
      <c r="AZ129">
        <f t="shared" si="7"/>
        <v>959</v>
      </c>
      <c r="BA129">
        <f t="shared" si="8"/>
        <v>1198</v>
      </c>
      <c r="BB129">
        <f t="shared" si="8"/>
        <v>1534</v>
      </c>
      <c r="BC129">
        <f t="shared" si="8"/>
        <v>1812</v>
      </c>
      <c r="BD129">
        <f t="shared" si="8"/>
        <v>2344</v>
      </c>
      <c r="BE129">
        <f t="shared" si="8"/>
        <v>2804</v>
      </c>
      <c r="BF129">
        <f t="shared" si="8"/>
        <v>3433</v>
      </c>
      <c r="BG129">
        <f t="shared" si="8"/>
        <v>4160</v>
      </c>
      <c r="BH129">
        <f t="shared" si="8"/>
        <v>5006</v>
      </c>
      <c r="BI129">
        <f t="shared" si="8"/>
        <v>6065</v>
      </c>
      <c r="BJ129">
        <f t="shared" si="8"/>
        <v>7499</v>
      </c>
      <c r="BK129">
        <f t="shared" si="9"/>
        <v>8839</v>
      </c>
      <c r="BL129">
        <f t="shared" si="9"/>
        <v>10371</v>
      </c>
      <c r="BM129">
        <f t="shared" si="9"/>
        <v>12139</v>
      </c>
      <c r="BN129">
        <f t="shared" si="9"/>
        <v>14236</v>
      </c>
      <c r="BO129">
        <f t="shared" si="9"/>
        <v>16470</v>
      </c>
      <c r="BP129">
        <f t="shared" si="9"/>
        <v>19050</v>
      </c>
      <c r="BQ129">
        <f t="shared" si="9"/>
        <v>21776</v>
      </c>
      <c r="BR129">
        <f t="shared" si="9"/>
        <v>24334</v>
      </c>
      <c r="BS129">
        <f t="shared" si="9"/>
        <v>0</v>
      </c>
      <c r="BT129">
        <f t="shared" si="9"/>
        <v>0</v>
      </c>
      <c r="BU129">
        <f t="shared" si="9"/>
        <v>0</v>
      </c>
    </row>
    <row r="130" spans="1:73" x14ac:dyDescent="0.3">
      <c r="A130" s="97"/>
      <c r="B130" s="2" t="s">
        <v>611</v>
      </c>
      <c r="C130">
        <f t="shared" si="3"/>
        <v>0</v>
      </c>
      <c r="D130">
        <f t="shared" si="3"/>
        <v>0</v>
      </c>
      <c r="E130">
        <f t="shared" si="3"/>
        <v>0</v>
      </c>
      <c r="F130">
        <f t="shared" si="3"/>
        <v>0</v>
      </c>
      <c r="G130">
        <f t="shared" si="3"/>
        <v>0</v>
      </c>
      <c r="H130">
        <f t="shared" si="3"/>
        <v>0</v>
      </c>
      <c r="I130">
        <f t="shared" si="3"/>
        <v>0</v>
      </c>
      <c r="J130">
        <f t="shared" si="3"/>
        <v>0</v>
      </c>
      <c r="K130">
        <f t="shared" si="3"/>
        <v>0</v>
      </c>
      <c r="L130">
        <f t="shared" si="3"/>
        <v>0</v>
      </c>
      <c r="M130">
        <f t="shared" si="4"/>
        <v>0</v>
      </c>
      <c r="N130">
        <f t="shared" si="4"/>
        <v>0</v>
      </c>
      <c r="O130">
        <f t="shared" si="4"/>
        <v>0</v>
      </c>
      <c r="P130">
        <f t="shared" si="4"/>
        <v>0</v>
      </c>
      <c r="Q130">
        <f t="shared" si="4"/>
        <v>0</v>
      </c>
      <c r="R130">
        <f t="shared" si="4"/>
        <v>0</v>
      </c>
      <c r="S130">
        <f t="shared" si="4"/>
        <v>0</v>
      </c>
      <c r="T130">
        <f t="shared" si="4"/>
        <v>0</v>
      </c>
      <c r="U130">
        <f t="shared" si="4"/>
        <v>0</v>
      </c>
      <c r="V130">
        <f t="shared" si="4"/>
        <v>0</v>
      </c>
      <c r="W130">
        <f t="shared" si="5"/>
        <v>0</v>
      </c>
      <c r="X130">
        <f t="shared" si="5"/>
        <v>0</v>
      </c>
      <c r="Y130">
        <f t="shared" si="5"/>
        <v>0</v>
      </c>
      <c r="Z130">
        <f t="shared" si="5"/>
        <v>0</v>
      </c>
      <c r="AA130">
        <f t="shared" si="5"/>
        <v>0</v>
      </c>
      <c r="AB130">
        <f t="shared" si="5"/>
        <v>0</v>
      </c>
      <c r="AC130">
        <f t="shared" si="5"/>
        <v>0</v>
      </c>
      <c r="AD130">
        <f t="shared" si="5"/>
        <v>0</v>
      </c>
      <c r="AE130">
        <f t="shared" si="5"/>
        <v>0</v>
      </c>
      <c r="AF130">
        <f t="shared" si="5"/>
        <v>0</v>
      </c>
      <c r="AG130">
        <f t="shared" si="6"/>
        <v>0</v>
      </c>
      <c r="AH130">
        <f t="shared" si="6"/>
        <v>0</v>
      </c>
      <c r="AI130">
        <f t="shared" si="6"/>
        <v>0</v>
      </c>
      <c r="AJ130">
        <f t="shared" si="6"/>
        <v>0</v>
      </c>
      <c r="AK130">
        <f t="shared" si="6"/>
        <v>0</v>
      </c>
      <c r="AL130">
        <f t="shared" si="6"/>
        <v>0</v>
      </c>
      <c r="AM130">
        <f t="shared" si="6"/>
        <v>0</v>
      </c>
      <c r="AN130">
        <f t="shared" si="6"/>
        <v>0</v>
      </c>
      <c r="AO130">
        <f t="shared" si="6"/>
        <v>1</v>
      </c>
      <c r="AP130">
        <f t="shared" si="6"/>
        <v>1</v>
      </c>
      <c r="AQ130">
        <f t="shared" si="7"/>
        <v>6</v>
      </c>
      <c r="AR130">
        <f t="shared" si="7"/>
        <v>7</v>
      </c>
      <c r="AS130">
        <f t="shared" si="7"/>
        <v>11</v>
      </c>
      <c r="AT130">
        <f t="shared" si="7"/>
        <v>12</v>
      </c>
      <c r="AU130">
        <f t="shared" si="7"/>
        <v>14</v>
      </c>
      <c r="AV130">
        <f t="shared" si="7"/>
        <v>17</v>
      </c>
      <c r="AW130">
        <f t="shared" si="7"/>
        <v>21</v>
      </c>
      <c r="AX130">
        <f t="shared" si="7"/>
        <v>23</v>
      </c>
      <c r="AY130">
        <f t="shared" si="7"/>
        <v>29</v>
      </c>
      <c r="AZ130">
        <f t="shared" si="7"/>
        <v>38</v>
      </c>
      <c r="BA130">
        <f t="shared" si="8"/>
        <v>42</v>
      </c>
      <c r="BB130">
        <f t="shared" si="8"/>
        <v>49</v>
      </c>
      <c r="BC130">
        <f t="shared" si="8"/>
        <v>56</v>
      </c>
      <c r="BD130">
        <f t="shared" si="8"/>
        <v>65</v>
      </c>
      <c r="BE130">
        <f t="shared" si="8"/>
        <v>90</v>
      </c>
      <c r="BF130">
        <f t="shared" si="8"/>
        <v>114</v>
      </c>
      <c r="BG130">
        <f t="shared" si="8"/>
        <v>128</v>
      </c>
      <c r="BH130">
        <f t="shared" si="8"/>
        <v>214</v>
      </c>
      <c r="BI130">
        <f t="shared" si="8"/>
        <v>261</v>
      </c>
      <c r="BJ130">
        <f t="shared" si="8"/>
        <v>333</v>
      </c>
      <c r="BK130">
        <f t="shared" si="9"/>
        <v>447</v>
      </c>
      <c r="BL130">
        <f t="shared" si="9"/>
        <v>595</v>
      </c>
      <c r="BM130">
        <f t="shared" si="9"/>
        <v>746</v>
      </c>
      <c r="BN130">
        <f t="shared" si="9"/>
        <v>989</v>
      </c>
      <c r="BO130">
        <f t="shared" si="9"/>
        <v>1266</v>
      </c>
      <c r="BP130">
        <f t="shared" si="9"/>
        <v>1657</v>
      </c>
      <c r="BQ130">
        <f t="shared" si="9"/>
        <v>2119</v>
      </c>
      <c r="BR130">
        <f t="shared" si="9"/>
        <v>2570</v>
      </c>
      <c r="BS130">
        <f t="shared" si="9"/>
        <v>0</v>
      </c>
      <c r="BT130">
        <f t="shared" si="9"/>
        <v>0</v>
      </c>
      <c r="BU130">
        <f t="shared" si="9"/>
        <v>0</v>
      </c>
    </row>
    <row r="131" spans="1:73" x14ac:dyDescent="0.3">
      <c r="A131" s="97"/>
      <c r="B131" s="2" t="s">
        <v>612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0</v>
      </c>
      <c r="I131">
        <f t="shared" si="3"/>
        <v>0</v>
      </c>
      <c r="J131">
        <f t="shared" si="3"/>
        <v>0</v>
      </c>
      <c r="K131">
        <f t="shared" si="3"/>
        <v>0</v>
      </c>
      <c r="L131">
        <f t="shared" si="3"/>
        <v>0</v>
      </c>
      <c r="M131">
        <f t="shared" si="4"/>
        <v>0</v>
      </c>
      <c r="N131">
        <f t="shared" si="4"/>
        <v>0</v>
      </c>
      <c r="O131">
        <f t="shared" si="4"/>
        <v>0</v>
      </c>
      <c r="P131">
        <f t="shared" si="4"/>
        <v>0</v>
      </c>
      <c r="Q131">
        <f t="shared" si="4"/>
        <v>0</v>
      </c>
      <c r="R131">
        <f t="shared" si="4"/>
        <v>0</v>
      </c>
      <c r="S131">
        <f t="shared" si="4"/>
        <v>0</v>
      </c>
      <c r="T131">
        <f t="shared" si="4"/>
        <v>0</v>
      </c>
      <c r="U131">
        <f t="shared" si="4"/>
        <v>0</v>
      </c>
      <c r="V131">
        <f t="shared" si="4"/>
        <v>0</v>
      </c>
      <c r="W131">
        <f t="shared" si="5"/>
        <v>0</v>
      </c>
      <c r="X131">
        <f t="shared" si="5"/>
        <v>0</v>
      </c>
      <c r="Y131">
        <f t="shared" si="5"/>
        <v>0</v>
      </c>
      <c r="Z131">
        <f t="shared" si="5"/>
        <v>0</v>
      </c>
      <c r="AA131">
        <f t="shared" si="5"/>
        <v>0</v>
      </c>
      <c r="AB131">
        <f t="shared" si="5"/>
        <v>0</v>
      </c>
      <c r="AC131">
        <f t="shared" si="5"/>
        <v>0</v>
      </c>
      <c r="AD131">
        <f t="shared" si="5"/>
        <v>0</v>
      </c>
      <c r="AE131">
        <f t="shared" si="5"/>
        <v>0</v>
      </c>
      <c r="AF131">
        <f t="shared" si="5"/>
        <v>0</v>
      </c>
      <c r="AG131">
        <f t="shared" si="6"/>
        <v>0</v>
      </c>
      <c r="AH131">
        <f t="shared" si="6"/>
        <v>0</v>
      </c>
      <c r="AI131">
        <f t="shared" si="6"/>
        <v>0</v>
      </c>
      <c r="AJ131">
        <f t="shared" si="6"/>
        <v>0</v>
      </c>
      <c r="AK131">
        <f t="shared" si="6"/>
        <v>0</v>
      </c>
      <c r="AL131">
        <f t="shared" si="6"/>
        <v>0</v>
      </c>
      <c r="AM131">
        <f t="shared" si="6"/>
        <v>0</v>
      </c>
      <c r="AN131">
        <f t="shared" si="6"/>
        <v>0</v>
      </c>
      <c r="AO131">
        <f t="shared" si="6"/>
        <v>0</v>
      </c>
      <c r="AP131">
        <f t="shared" si="6"/>
        <v>0</v>
      </c>
      <c r="AQ131">
        <f t="shared" si="7"/>
        <v>0</v>
      </c>
      <c r="AR131">
        <f t="shared" si="7"/>
        <v>0</v>
      </c>
      <c r="AS131">
        <f t="shared" si="7"/>
        <v>0</v>
      </c>
      <c r="AT131">
        <f t="shared" si="7"/>
        <v>0</v>
      </c>
      <c r="AU131">
        <f t="shared" si="7"/>
        <v>0</v>
      </c>
      <c r="AV131">
        <f t="shared" si="7"/>
        <v>0</v>
      </c>
      <c r="AW131">
        <f t="shared" si="7"/>
        <v>1</v>
      </c>
      <c r="AX131">
        <f t="shared" si="7"/>
        <v>1</v>
      </c>
      <c r="AY131">
        <f t="shared" si="7"/>
        <v>1</v>
      </c>
      <c r="AZ131">
        <f t="shared" si="7"/>
        <v>1</v>
      </c>
      <c r="BA131">
        <f t="shared" si="8"/>
        <v>2</v>
      </c>
      <c r="BB131">
        <f t="shared" si="8"/>
        <v>3</v>
      </c>
      <c r="BC131">
        <f t="shared" si="8"/>
        <v>5</v>
      </c>
      <c r="BD131">
        <f t="shared" si="8"/>
        <v>5</v>
      </c>
      <c r="BE131">
        <f t="shared" si="8"/>
        <v>5</v>
      </c>
      <c r="BF131">
        <f t="shared" si="8"/>
        <v>7</v>
      </c>
      <c r="BG131">
        <f t="shared" si="8"/>
        <v>9</v>
      </c>
      <c r="BH131">
        <f t="shared" si="8"/>
        <v>15</v>
      </c>
      <c r="BI131">
        <f t="shared" si="8"/>
        <v>25</v>
      </c>
      <c r="BJ131">
        <f t="shared" si="8"/>
        <v>35</v>
      </c>
      <c r="BK131">
        <f t="shared" si="9"/>
        <v>56</v>
      </c>
      <c r="BL131">
        <f t="shared" si="9"/>
        <v>71</v>
      </c>
      <c r="BM131">
        <f t="shared" si="9"/>
        <v>100</v>
      </c>
      <c r="BN131">
        <f t="shared" si="9"/>
        <v>125</v>
      </c>
      <c r="BO131">
        <f t="shared" si="9"/>
        <v>154</v>
      </c>
      <c r="BP131">
        <f t="shared" si="9"/>
        <v>188</v>
      </c>
      <c r="BQ131">
        <f t="shared" si="9"/>
        <v>238</v>
      </c>
      <c r="BR131">
        <f t="shared" si="9"/>
        <v>295</v>
      </c>
      <c r="BS131">
        <f t="shared" si="9"/>
        <v>0</v>
      </c>
      <c r="BT131">
        <f t="shared" si="9"/>
        <v>0</v>
      </c>
      <c r="BU131">
        <f t="shared" si="9"/>
        <v>0</v>
      </c>
    </row>
    <row r="132" spans="1:73" x14ac:dyDescent="0.3">
      <c r="A132" s="97"/>
      <c r="B132" s="2" t="s">
        <v>613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0</v>
      </c>
      <c r="AA132">
        <f t="shared" si="5"/>
        <v>0</v>
      </c>
      <c r="AB132">
        <f t="shared" si="5"/>
        <v>0</v>
      </c>
      <c r="AC132">
        <f t="shared" si="5"/>
        <v>0</v>
      </c>
      <c r="AD132">
        <f t="shared" si="5"/>
        <v>0</v>
      </c>
      <c r="AE132">
        <f t="shared" si="5"/>
        <v>0</v>
      </c>
      <c r="AF132">
        <f t="shared" si="5"/>
        <v>0</v>
      </c>
      <c r="AG132">
        <f t="shared" si="6"/>
        <v>0</v>
      </c>
      <c r="AH132">
        <f t="shared" si="6"/>
        <v>0</v>
      </c>
      <c r="AI132">
        <f t="shared" si="6"/>
        <v>0</v>
      </c>
      <c r="AJ132">
        <f t="shared" si="6"/>
        <v>0</v>
      </c>
      <c r="AK132">
        <f t="shared" si="6"/>
        <v>0</v>
      </c>
      <c r="AL132">
        <f t="shared" si="6"/>
        <v>0</v>
      </c>
      <c r="AM132">
        <f t="shared" si="6"/>
        <v>0</v>
      </c>
      <c r="AN132">
        <f t="shared" si="6"/>
        <v>0</v>
      </c>
      <c r="AO132">
        <f t="shared" si="6"/>
        <v>0</v>
      </c>
      <c r="AP132">
        <f t="shared" si="6"/>
        <v>0</v>
      </c>
      <c r="AQ132">
        <f t="shared" si="7"/>
        <v>0</v>
      </c>
      <c r="AR132">
        <f t="shared" si="7"/>
        <v>0</v>
      </c>
      <c r="AS132">
        <f t="shared" si="7"/>
        <v>0</v>
      </c>
      <c r="AT132">
        <f t="shared" si="7"/>
        <v>0</v>
      </c>
      <c r="AU132">
        <f t="shared" si="7"/>
        <v>0</v>
      </c>
      <c r="AV132">
        <f t="shared" si="7"/>
        <v>0</v>
      </c>
      <c r="AW132">
        <f t="shared" si="7"/>
        <v>1</v>
      </c>
      <c r="AX132">
        <f t="shared" si="7"/>
        <v>1</v>
      </c>
      <c r="AY132">
        <f t="shared" si="7"/>
        <v>2</v>
      </c>
      <c r="AZ132">
        <f t="shared" si="7"/>
        <v>2</v>
      </c>
      <c r="BA132">
        <f t="shared" si="8"/>
        <v>3</v>
      </c>
      <c r="BB132">
        <f t="shared" si="8"/>
        <v>6</v>
      </c>
      <c r="BC132">
        <f t="shared" si="8"/>
        <v>7</v>
      </c>
      <c r="BD132">
        <f t="shared" si="8"/>
        <v>8</v>
      </c>
      <c r="BE132">
        <f t="shared" si="8"/>
        <v>8</v>
      </c>
      <c r="BF132">
        <f t="shared" si="8"/>
        <v>11</v>
      </c>
      <c r="BG132">
        <f t="shared" si="8"/>
        <v>17</v>
      </c>
      <c r="BH132">
        <f t="shared" si="8"/>
        <v>20</v>
      </c>
      <c r="BI132">
        <f t="shared" si="8"/>
        <v>25</v>
      </c>
      <c r="BJ132">
        <f t="shared" si="8"/>
        <v>33</v>
      </c>
      <c r="BK132">
        <f t="shared" si="9"/>
        <v>44</v>
      </c>
      <c r="BL132">
        <f t="shared" si="9"/>
        <v>50</v>
      </c>
      <c r="BM132">
        <f t="shared" si="9"/>
        <v>56</v>
      </c>
      <c r="BN132">
        <f t="shared" si="9"/>
        <v>62</v>
      </c>
      <c r="BO132">
        <f t="shared" si="9"/>
        <v>80</v>
      </c>
      <c r="BP132">
        <f t="shared" si="9"/>
        <v>104</v>
      </c>
      <c r="BQ132">
        <f t="shared" si="9"/>
        <v>122</v>
      </c>
      <c r="BR132">
        <f t="shared" si="9"/>
        <v>136</v>
      </c>
      <c r="BS132">
        <f t="shared" si="9"/>
        <v>0</v>
      </c>
      <c r="BT132">
        <f t="shared" si="9"/>
        <v>0</v>
      </c>
      <c r="BU132">
        <f t="shared" si="9"/>
        <v>0</v>
      </c>
    </row>
    <row r="133" spans="1:73" x14ac:dyDescent="0.3">
      <c r="A133" s="97"/>
      <c r="B133" s="2" t="s">
        <v>610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0</v>
      </c>
      <c r="K133">
        <f t="shared" si="3"/>
        <v>0</v>
      </c>
      <c r="L133">
        <f t="shared" si="3"/>
        <v>0</v>
      </c>
      <c r="M133">
        <f t="shared" si="4"/>
        <v>0</v>
      </c>
      <c r="N133">
        <f t="shared" si="4"/>
        <v>0</v>
      </c>
      <c r="O133">
        <f t="shared" si="4"/>
        <v>0</v>
      </c>
      <c r="P133">
        <f t="shared" si="4"/>
        <v>0</v>
      </c>
      <c r="Q133">
        <f t="shared" si="4"/>
        <v>0</v>
      </c>
      <c r="R133">
        <f t="shared" si="4"/>
        <v>0</v>
      </c>
      <c r="S133">
        <f t="shared" si="4"/>
        <v>0</v>
      </c>
      <c r="T133">
        <f t="shared" si="4"/>
        <v>0</v>
      </c>
      <c r="U133">
        <f t="shared" si="4"/>
        <v>0</v>
      </c>
      <c r="V133">
        <f t="shared" si="4"/>
        <v>0</v>
      </c>
      <c r="W133">
        <f t="shared" si="5"/>
        <v>0</v>
      </c>
      <c r="X133">
        <f t="shared" si="5"/>
        <v>0</v>
      </c>
      <c r="Y133">
        <f t="shared" si="5"/>
        <v>0</v>
      </c>
      <c r="Z133">
        <f t="shared" si="5"/>
        <v>0</v>
      </c>
      <c r="AA133">
        <f t="shared" si="5"/>
        <v>0</v>
      </c>
      <c r="AB133">
        <f t="shared" si="5"/>
        <v>0</v>
      </c>
      <c r="AC133">
        <f t="shared" si="5"/>
        <v>0</v>
      </c>
      <c r="AD133">
        <f t="shared" si="5"/>
        <v>0</v>
      </c>
      <c r="AE133">
        <f t="shared" si="5"/>
        <v>2</v>
      </c>
      <c r="AF133">
        <f t="shared" si="5"/>
        <v>2</v>
      </c>
      <c r="AG133">
        <f t="shared" si="6"/>
        <v>4</v>
      </c>
      <c r="AH133">
        <f t="shared" si="6"/>
        <v>5</v>
      </c>
      <c r="AI133">
        <f t="shared" si="6"/>
        <v>8</v>
      </c>
      <c r="AJ133">
        <f t="shared" si="6"/>
        <v>12</v>
      </c>
      <c r="AK133">
        <f t="shared" si="6"/>
        <v>16</v>
      </c>
      <c r="AL133">
        <f t="shared" si="6"/>
        <v>19</v>
      </c>
      <c r="AM133">
        <f t="shared" si="6"/>
        <v>26</v>
      </c>
      <c r="AN133">
        <f t="shared" si="6"/>
        <v>34</v>
      </c>
      <c r="AO133">
        <f t="shared" si="6"/>
        <v>43</v>
      </c>
      <c r="AP133">
        <f t="shared" si="6"/>
        <v>54</v>
      </c>
      <c r="AQ133">
        <f t="shared" si="7"/>
        <v>66</v>
      </c>
      <c r="AR133">
        <f t="shared" si="7"/>
        <v>77</v>
      </c>
      <c r="AS133">
        <f t="shared" si="7"/>
        <v>94</v>
      </c>
      <c r="AT133">
        <f t="shared" si="7"/>
        <v>109</v>
      </c>
      <c r="AU133">
        <f t="shared" si="7"/>
        <v>127</v>
      </c>
      <c r="AV133">
        <f t="shared" si="7"/>
        <v>149</v>
      </c>
      <c r="AW133">
        <f t="shared" si="7"/>
        <v>200</v>
      </c>
      <c r="AX133">
        <f t="shared" si="7"/>
        <v>243</v>
      </c>
      <c r="AY133">
        <f t="shared" si="7"/>
        <v>299</v>
      </c>
      <c r="AZ133">
        <f t="shared" si="7"/>
        <v>364</v>
      </c>
      <c r="BA133">
        <f t="shared" si="8"/>
        <v>440</v>
      </c>
      <c r="BB133">
        <f t="shared" si="8"/>
        <v>526</v>
      </c>
      <c r="BC133">
        <f t="shared" si="8"/>
        <v>624</v>
      </c>
      <c r="BD133">
        <f t="shared" si="8"/>
        <v>737</v>
      </c>
      <c r="BE133">
        <f t="shared" si="8"/>
        <v>867</v>
      </c>
      <c r="BF133">
        <f t="shared" si="8"/>
        <v>1003</v>
      </c>
      <c r="BG133">
        <f t="shared" si="8"/>
        <v>1151</v>
      </c>
      <c r="BH133">
        <f t="shared" si="8"/>
        <v>1302</v>
      </c>
      <c r="BI133">
        <f t="shared" si="8"/>
        <v>1457</v>
      </c>
      <c r="BJ133">
        <f t="shared" si="8"/>
        <v>1581</v>
      </c>
      <c r="BK133">
        <f t="shared" si="9"/>
        <v>1715</v>
      </c>
      <c r="BL133">
        <f t="shared" si="9"/>
        <v>1845</v>
      </c>
      <c r="BM133">
        <f t="shared" si="9"/>
        <v>1975</v>
      </c>
      <c r="BN133">
        <f t="shared" si="9"/>
        <v>2127</v>
      </c>
      <c r="BO133">
        <f t="shared" si="9"/>
        <v>2297</v>
      </c>
      <c r="BP133">
        <f t="shared" si="9"/>
        <v>2452</v>
      </c>
      <c r="BQ133">
        <f t="shared" si="9"/>
        <v>2595</v>
      </c>
      <c r="BR133">
        <f t="shared" si="9"/>
        <v>2730</v>
      </c>
      <c r="BS133">
        <f t="shared" si="9"/>
        <v>0</v>
      </c>
      <c r="BT133">
        <f t="shared" si="9"/>
        <v>0</v>
      </c>
      <c r="BU133">
        <f t="shared" si="9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456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457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458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459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460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461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462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463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464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467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468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470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471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472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473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485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484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481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482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480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483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510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486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520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469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521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522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523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524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525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526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530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531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532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533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534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535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536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537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538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553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554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555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556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557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560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561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562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563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564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463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575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469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456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576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577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436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578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579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580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T254"/>
  <sheetViews>
    <sheetView workbookViewId="0">
      <selection sqref="A1:CA1000"/>
    </sheetView>
  </sheetViews>
  <sheetFormatPr defaultRowHeight="14.4" x14ac:dyDescent="0.3"/>
  <sheetData>
    <row r="1" spans="1:72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</row>
    <row r="2" spans="1:72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</row>
    <row r="3" spans="1:72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</row>
    <row r="4" spans="1:72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</row>
    <row r="5" spans="1:72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</row>
    <row r="6" spans="1:72" x14ac:dyDescent="0.3">
      <c r="B6" t="s">
        <v>532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</row>
    <row r="7" spans="1:72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</row>
    <row r="8" spans="1:72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</row>
    <row r="9" spans="1:72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</row>
    <row r="10" spans="1:72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</row>
    <row r="11" spans="1:72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</row>
    <row r="12" spans="1:72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</row>
    <row r="13" spans="1:72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</row>
    <row r="14" spans="1:72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</row>
    <row r="15" spans="1:72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</row>
    <row r="16" spans="1:72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</row>
    <row r="17" spans="1:72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</row>
    <row r="18" spans="1:72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</row>
    <row r="19" spans="1:72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</row>
    <row r="20" spans="1:72" x14ac:dyDescent="0.3">
      <c r="B20" t="s">
        <v>581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</row>
    <row r="21" spans="1:72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</row>
    <row r="22" spans="1:72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</row>
    <row r="23" spans="1:72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</row>
    <row r="24" spans="1:72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</row>
    <row r="25" spans="1:72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</row>
    <row r="26" spans="1:72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</row>
    <row r="27" spans="1:72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</row>
    <row r="28" spans="1:72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</row>
    <row r="29" spans="1:72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</row>
    <row r="30" spans="1:72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</row>
    <row r="31" spans="1:72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</row>
    <row r="32" spans="1:72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</row>
    <row r="33" spans="1:72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</row>
    <row r="34" spans="1:72" x14ac:dyDescent="0.3">
      <c r="B34" t="s">
        <v>533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</row>
    <row r="35" spans="1:72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</row>
    <row r="36" spans="1:72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</row>
    <row r="37" spans="1:72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</row>
    <row r="38" spans="1:72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</row>
    <row r="39" spans="1:72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</row>
    <row r="40" spans="1:72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</row>
    <row r="41" spans="1:72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</row>
    <row r="42" spans="1:72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</row>
    <row r="43" spans="1:72" x14ac:dyDescent="0.3">
      <c r="A43" t="s">
        <v>467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</row>
    <row r="44" spans="1:72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</row>
    <row r="45" spans="1:72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</row>
    <row r="46" spans="1:72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</row>
    <row r="47" spans="1:72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</row>
    <row r="48" spans="1:72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  <row r="49" spans="1:72" x14ac:dyDescent="0.3">
      <c r="B49" t="s">
        <v>523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</row>
    <row r="50" spans="1:72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</row>
    <row r="51" spans="1:72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</row>
    <row r="52" spans="1:72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</row>
    <row r="53" spans="1:72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</row>
    <row r="54" spans="1:72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</row>
    <row r="55" spans="1:72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</row>
    <row r="56" spans="1:72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</row>
    <row r="57" spans="1:72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</row>
    <row r="58" spans="1:72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</row>
    <row r="59" spans="1:72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</row>
    <row r="60" spans="1:72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</row>
    <row r="61" spans="1:72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</row>
    <row r="62" spans="1:72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</row>
    <row r="63" spans="1:72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</row>
    <row r="64" spans="1:72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</row>
    <row r="65" spans="1:72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</row>
    <row r="66" spans="1:72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</row>
    <row r="67" spans="1:72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</row>
    <row r="68" spans="1:72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</row>
    <row r="69" spans="1:72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</row>
    <row r="70" spans="1:72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</row>
    <row r="71" spans="1:72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</row>
    <row r="72" spans="1:72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</row>
    <row r="73" spans="1:72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</row>
    <row r="74" spans="1:72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</row>
    <row r="75" spans="1:72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</row>
    <row r="76" spans="1:72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</row>
    <row r="77" spans="1:72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</row>
    <row r="78" spans="1:72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</row>
    <row r="79" spans="1:72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</row>
    <row r="80" spans="1:72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</row>
    <row r="81" spans="1:72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</row>
    <row r="82" spans="1:72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</row>
    <row r="83" spans="1:72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</row>
    <row r="84" spans="1:72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</row>
    <row r="85" spans="1:72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</row>
    <row r="86" spans="1:72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</row>
    <row r="87" spans="1:72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</row>
    <row r="88" spans="1:72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</row>
    <row r="89" spans="1:72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</row>
    <row r="90" spans="1:72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</row>
    <row r="91" spans="1:72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</row>
    <row r="92" spans="1:72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</row>
    <row r="93" spans="1:72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</row>
    <row r="94" spans="1:72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</row>
    <row r="95" spans="1:72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</row>
    <row r="96" spans="1:72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</row>
    <row r="97" spans="1:72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</row>
    <row r="98" spans="1:72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</row>
    <row r="99" spans="1:72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</row>
    <row r="100" spans="1:72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</row>
    <row r="101" spans="1:72" x14ac:dyDescent="0.3">
      <c r="B101" t="s">
        <v>524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</row>
    <row r="102" spans="1:72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</row>
    <row r="103" spans="1:72" x14ac:dyDescent="0.3">
      <c r="B103" t="s">
        <v>556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</row>
    <row r="104" spans="1:72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</row>
    <row r="105" spans="1:72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</row>
    <row r="106" spans="1:72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</row>
    <row r="107" spans="1:72" x14ac:dyDescent="0.3">
      <c r="B107" t="s">
        <v>525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</row>
    <row r="108" spans="1:72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</row>
    <row r="109" spans="1:72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</row>
    <row r="110" spans="1:72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</row>
    <row r="111" spans="1:72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</row>
    <row r="112" spans="1:72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</row>
    <row r="113" spans="1:72" x14ac:dyDescent="0.3">
      <c r="A113" t="s">
        <v>521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</row>
    <row r="114" spans="1:72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</row>
    <row r="115" spans="1:72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</row>
    <row r="116" spans="1:72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</row>
    <row r="117" spans="1:72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</row>
    <row r="118" spans="1:72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</row>
    <row r="119" spans="1:72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</row>
    <row r="120" spans="1:72" x14ac:dyDescent="0.3">
      <c r="B120" t="s">
        <v>582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</row>
    <row r="121" spans="1:72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</row>
    <row r="122" spans="1:72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</row>
    <row r="123" spans="1:72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</row>
    <row r="124" spans="1:72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</row>
    <row r="125" spans="1:72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</row>
    <row r="126" spans="1:72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</row>
    <row r="127" spans="1:72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</row>
    <row r="128" spans="1:72" x14ac:dyDescent="0.3">
      <c r="B128" t="s">
        <v>531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</row>
    <row r="129" spans="2:72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</row>
    <row r="130" spans="2:72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</row>
    <row r="131" spans="2:72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</row>
    <row r="132" spans="2:72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</row>
    <row r="133" spans="2:72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</row>
    <row r="134" spans="2:72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</row>
    <row r="135" spans="2:72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</row>
    <row r="136" spans="2:72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</row>
    <row r="137" spans="2:72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</row>
    <row r="138" spans="2:72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</row>
    <row r="139" spans="2:72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</row>
    <row r="140" spans="2:72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</row>
    <row r="141" spans="2:72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</row>
    <row r="142" spans="2:72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</row>
    <row r="143" spans="2:72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</row>
    <row r="144" spans="2:72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</row>
    <row r="145" spans="2:72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</row>
    <row r="146" spans="2:72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</row>
    <row r="147" spans="2:72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</row>
    <row r="148" spans="2:72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</row>
    <row r="149" spans="2:72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</row>
    <row r="150" spans="2:72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</row>
    <row r="151" spans="2:72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</row>
    <row r="152" spans="2:72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</row>
    <row r="153" spans="2:72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</row>
    <row r="154" spans="2:72" x14ac:dyDescent="0.3">
      <c r="B154" t="s">
        <v>530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</row>
    <row r="155" spans="2:72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</row>
    <row r="156" spans="2:72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</row>
    <row r="157" spans="2:72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</row>
    <row r="158" spans="2:72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</row>
    <row r="159" spans="2:72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</row>
    <row r="160" spans="2:72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</row>
    <row r="161" spans="1:72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</row>
    <row r="162" spans="1:72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</row>
    <row r="163" spans="1:72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</row>
    <row r="164" spans="1:72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</row>
    <row r="165" spans="1:72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</row>
    <row r="166" spans="1:72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</row>
    <row r="167" spans="1:72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</row>
    <row r="168" spans="1:72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</row>
    <row r="169" spans="1:72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</row>
    <row r="170" spans="1:72" x14ac:dyDescent="0.3">
      <c r="A170" t="s">
        <v>534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</row>
    <row r="171" spans="1:72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</row>
    <row r="172" spans="1:72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</row>
    <row r="173" spans="1:72" x14ac:dyDescent="0.3">
      <c r="B173" t="s">
        <v>526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</row>
    <row r="174" spans="1:72" x14ac:dyDescent="0.3">
      <c r="B174" t="s">
        <v>535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</row>
    <row r="175" spans="1:72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</row>
    <row r="176" spans="1:72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</row>
    <row r="177" spans="2:72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</row>
    <row r="178" spans="2:72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</row>
    <row r="179" spans="2:72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</row>
    <row r="180" spans="2:72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</row>
    <row r="181" spans="2:72" x14ac:dyDescent="0.3">
      <c r="B181" t="s">
        <v>536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</row>
    <row r="182" spans="2:72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</row>
    <row r="183" spans="2:72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</row>
    <row r="184" spans="2:72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</row>
    <row r="185" spans="2:72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</row>
    <row r="186" spans="2:72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</row>
    <row r="187" spans="2:72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</row>
    <row r="188" spans="2:72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</row>
    <row r="189" spans="2:72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</row>
    <row r="190" spans="2:72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</row>
    <row r="191" spans="2:72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</row>
    <row r="192" spans="2:72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</row>
    <row r="193" spans="2:72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</row>
    <row r="194" spans="2:72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</row>
    <row r="195" spans="2:72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</row>
    <row r="196" spans="2:72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</row>
    <row r="197" spans="2:72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</row>
    <row r="198" spans="2:72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</row>
    <row r="199" spans="2:72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</row>
    <row r="200" spans="2:72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</row>
    <row r="201" spans="2:72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</row>
    <row r="202" spans="2:72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</row>
    <row r="203" spans="2:72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</row>
    <row r="204" spans="2:72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</row>
    <row r="205" spans="2:72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</row>
    <row r="206" spans="2:72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</row>
    <row r="207" spans="2:72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</row>
    <row r="208" spans="2:72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</row>
    <row r="209" spans="1:72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</row>
    <row r="210" spans="1:72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</row>
    <row r="211" spans="1:72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</row>
    <row r="212" spans="1:72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</row>
    <row r="213" spans="1:72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</row>
    <row r="214" spans="1:72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</row>
    <row r="215" spans="1:72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</row>
    <row r="216" spans="1:72" x14ac:dyDescent="0.3">
      <c r="B216" t="s">
        <v>557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</row>
    <row r="217" spans="1:72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</row>
    <row r="218" spans="1:72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</row>
    <row r="219" spans="1:72" x14ac:dyDescent="0.3">
      <c r="A219" t="s">
        <v>522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</row>
    <row r="220" spans="1:72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</row>
    <row r="221" spans="1:72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</row>
    <row r="222" spans="1:72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</row>
    <row r="223" spans="1:72" x14ac:dyDescent="0.3">
      <c r="A223" t="s">
        <v>537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</row>
    <row r="224" spans="1:72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</row>
    <row r="225" spans="1:72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</row>
    <row r="226" spans="1:72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</row>
    <row r="227" spans="1:72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</row>
    <row r="228" spans="1:72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</row>
    <row r="229" spans="1:72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</row>
    <row r="230" spans="1:72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</row>
    <row r="231" spans="1:72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</row>
    <row r="232" spans="1:72" x14ac:dyDescent="0.3">
      <c r="B232" t="s">
        <v>538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</row>
    <row r="233" spans="1:72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</row>
    <row r="234" spans="1:72" x14ac:dyDescent="0.3">
      <c r="B234" t="s">
        <v>560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</row>
    <row r="235" spans="1:72" x14ac:dyDescent="0.3">
      <c r="B235" t="s">
        <v>561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</row>
    <row r="236" spans="1:72" x14ac:dyDescent="0.3">
      <c r="B236" t="s">
        <v>562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</row>
    <row r="237" spans="1:72" x14ac:dyDescent="0.3">
      <c r="B237" t="s">
        <v>563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</row>
    <row r="238" spans="1:72" x14ac:dyDescent="0.3">
      <c r="B238" t="s">
        <v>564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</row>
    <row r="239" spans="1:72" x14ac:dyDescent="0.3">
      <c r="B239" t="s">
        <v>583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</row>
    <row r="240" spans="1:72" x14ac:dyDescent="0.3">
      <c r="A240" t="s">
        <v>508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</row>
    <row r="241" spans="1:72" x14ac:dyDescent="0.3">
      <c r="B241" t="s">
        <v>592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</row>
    <row r="242" spans="1:72" x14ac:dyDescent="0.3">
      <c r="B242" t="s">
        <v>593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</row>
    <row r="243" spans="1:72" x14ac:dyDescent="0.3">
      <c r="B243" t="s">
        <v>597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</row>
    <row r="244" spans="1:72" x14ac:dyDescent="0.3">
      <c r="B244" t="s">
        <v>598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</row>
    <row r="245" spans="1:72" x14ac:dyDescent="0.3">
      <c r="B245" t="s">
        <v>599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</row>
    <row r="246" spans="1:72" x14ac:dyDescent="0.3">
      <c r="B246" t="s">
        <v>600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</row>
    <row r="247" spans="1:72" x14ac:dyDescent="0.3">
      <c r="A247" t="s">
        <v>553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</row>
    <row r="248" spans="1:72" x14ac:dyDescent="0.3">
      <c r="A248" t="s">
        <v>601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</row>
    <row r="249" spans="1:72" x14ac:dyDescent="0.3">
      <c r="B249" t="s">
        <v>457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</row>
    <row r="250" spans="1:72" x14ac:dyDescent="0.3">
      <c r="B250" t="s">
        <v>616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</row>
    <row r="251" spans="1:72" x14ac:dyDescent="0.3">
      <c r="A251" t="s">
        <v>617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</row>
    <row r="252" spans="1:72" x14ac:dyDescent="0.3">
      <c r="A252" t="s">
        <v>618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</row>
    <row r="253" spans="1:72" x14ac:dyDescent="0.3">
      <c r="A253" t="s">
        <v>619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</row>
    <row r="254" spans="1:72" x14ac:dyDescent="0.3">
      <c r="B254" t="s">
        <v>620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T254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72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</row>
    <row r="2" spans="1:72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</row>
    <row r="3" spans="1:72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</row>
    <row r="4" spans="1:72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</row>
    <row r="5" spans="1:72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</row>
    <row r="6" spans="1:72" x14ac:dyDescent="0.3">
      <c r="B6" t="s">
        <v>532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</row>
    <row r="7" spans="1:72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</row>
    <row r="8" spans="1:72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</row>
    <row r="9" spans="1:72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</row>
    <row r="10" spans="1:72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</row>
    <row r="11" spans="1:72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</row>
    <row r="12" spans="1:72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</row>
    <row r="13" spans="1:72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</row>
    <row r="14" spans="1:72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</row>
    <row r="15" spans="1:72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</row>
    <row r="16" spans="1:72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</row>
    <row r="17" spans="1:72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</row>
    <row r="18" spans="1:72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</row>
    <row r="19" spans="1:72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</row>
    <row r="20" spans="1:72" x14ac:dyDescent="0.3">
      <c r="B20" t="s">
        <v>581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</row>
    <row r="21" spans="1:72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</row>
    <row r="22" spans="1:72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</row>
    <row r="23" spans="1:72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</row>
    <row r="24" spans="1:72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</row>
    <row r="25" spans="1:72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</row>
    <row r="26" spans="1:72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</row>
    <row r="27" spans="1:72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</row>
    <row r="28" spans="1:72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</row>
    <row r="29" spans="1:72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</row>
    <row r="30" spans="1:72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</row>
    <row r="31" spans="1:72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</row>
    <row r="32" spans="1:72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</row>
    <row r="33" spans="1:72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</row>
    <row r="34" spans="1:72" x14ac:dyDescent="0.3">
      <c r="B34" t="s">
        <v>533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</row>
    <row r="35" spans="1:72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</row>
    <row r="36" spans="1:72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</row>
    <row r="37" spans="1:72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</row>
    <row r="38" spans="1:72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</row>
    <row r="39" spans="1:72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</row>
    <row r="40" spans="1:72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</row>
    <row r="41" spans="1:72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</row>
    <row r="42" spans="1:72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</row>
    <row r="43" spans="1:72" x14ac:dyDescent="0.3">
      <c r="A43" t="s">
        <v>467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</row>
    <row r="44" spans="1:72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</row>
    <row r="45" spans="1:72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</row>
    <row r="46" spans="1:72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</row>
    <row r="47" spans="1:72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</row>
    <row r="48" spans="1:72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</row>
    <row r="49" spans="1:72" x14ac:dyDescent="0.3">
      <c r="B49" t="s">
        <v>523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</row>
    <row r="50" spans="1:72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</row>
    <row r="51" spans="1:72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</row>
    <row r="52" spans="1:72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</row>
    <row r="53" spans="1:72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</row>
    <row r="54" spans="1:72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</row>
    <row r="55" spans="1:72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</row>
    <row r="56" spans="1:72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</row>
    <row r="57" spans="1:72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</row>
    <row r="58" spans="1:72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</row>
    <row r="59" spans="1:72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</row>
    <row r="60" spans="1:72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</row>
    <row r="61" spans="1:72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</row>
    <row r="62" spans="1:72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</row>
    <row r="63" spans="1:72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</row>
    <row r="64" spans="1:72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</row>
    <row r="65" spans="1:72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</row>
    <row r="66" spans="1:72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</row>
    <row r="67" spans="1:72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</row>
    <row r="68" spans="1:72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</row>
    <row r="69" spans="1:72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</row>
    <row r="70" spans="1:72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</row>
    <row r="71" spans="1:72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</row>
    <row r="72" spans="1:72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</row>
    <row r="73" spans="1:72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</row>
    <row r="74" spans="1:72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</row>
    <row r="75" spans="1:72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</row>
    <row r="76" spans="1:72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</row>
    <row r="77" spans="1:72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</row>
    <row r="78" spans="1:72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</row>
    <row r="79" spans="1:72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</row>
    <row r="80" spans="1:72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</row>
    <row r="81" spans="1:72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</row>
    <row r="82" spans="1:72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</row>
    <row r="83" spans="1:72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</row>
    <row r="84" spans="1:72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</row>
    <row r="85" spans="1:72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</row>
    <row r="86" spans="1:72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</row>
    <row r="87" spans="1:72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</row>
    <row r="88" spans="1:72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</row>
    <row r="89" spans="1:72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</row>
    <row r="90" spans="1:72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</row>
    <row r="91" spans="1:72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</row>
    <row r="92" spans="1:72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</row>
    <row r="93" spans="1:72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</row>
    <row r="94" spans="1:72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</row>
    <row r="95" spans="1:72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</row>
    <row r="96" spans="1:72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</row>
    <row r="97" spans="1:72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</row>
    <row r="98" spans="1:72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</row>
    <row r="99" spans="1:72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</row>
    <row r="100" spans="1:72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</row>
    <row r="101" spans="1:72" x14ac:dyDescent="0.3">
      <c r="B101" t="s">
        <v>524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</row>
    <row r="102" spans="1:72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</row>
    <row r="103" spans="1:72" x14ac:dyDescent="0.3">
      <c r="B103" t="s">
        <v>556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</row>
    <row r="104" spans="1:72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</row>
    <row r="105" spans="1:72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</row>
    <row r="106" spans="1:72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</row>
    <row r="107" spans="1:72" x14ac:dyDescent="0.3">
      <c r="B107" t="s">
        <v>525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</row>
    <row r="108" spans="1:72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</row>
    <row r="109" spans="1:72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</row>
    <row r="110" spans="1:72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</row>
    <row r="111" spans="1:72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</row>
    <row r="112" spans="1:72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</row>
    <row r="113" spans="1:72" x14ac:dyDescent="0.3">
      <c r="A113" t="s">
        <v>521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</row>
    <row r="114" spans="1:72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</row>
    <row r="115" spans="1:72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</row>
    <row r="116" spans="1:72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</row>
    <row r="117" spans="1:72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</row>
    <row r="118" spans="1:72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</row>
    <row r="119" spans="1:72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</row>
    <row r="120" spans="1:72" x14ac:dyDescent="0.3">
      <c r="B120" t="s">
        <v>582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</row>
    <row r="121" spans="1:72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</row>
    <row r="122" spans="1:72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</row>
    <row r="123" spans="1:72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</row>
    <row r="124" spans="1:72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</row>
    <row r="125" spans="1:72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</row>
    <row r="126" spans="1:72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</row>
    <row r="127" spans="1:72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</row>
    <row r="128" spans="1:72" x14ac:dyDescent="0.3">
      <c r="B128" t="s">
        <v>531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</row>
    <row r="129" spans="2:72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</row>
    <row r="130" spans="2:72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</row>
    <row r="131" spans="2:72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</row>
    <row r="132" spans="2:72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</row>
    <row r="133" spans="2:72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</row>
    <row r="134" spans="2:72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</row>
    <row r="135" spans="2:72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</row>
    <row r="136" spans="2:72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</row>
    <row r="137" spans="2:72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</row>
    <row r="138" spans="2:72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</row>
    <row r="139" spans="2:72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</row>
    <row r="140" spans="2:72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</row>
    <row r="141" spans="2:72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</row>
    <row r="142" spans="2:72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</row>
    <row r="143" spans="2:72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</row>
    <row r="144" spans="2:72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</row>
    <row r="145" spans="2:72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</row>
    <row r="146" spans="2:72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</row>
    <row r="147" spans="2:72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</row>
    <row r="148" spans="2:72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</row>
    <row r="149" spans="2:72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</row>
    <row r="150" spans="2:72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</row>
    <row r="151" spans="2:72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</row>
    <row r="152" spans="2:72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</row>
    <row r="153" spans="2:72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</row>
    <row r="154" spans="2:72" x14ac:dyDescent="0.3">
      <c r="B154" t="s">
        <v>530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</row>
    <row r="155" spans="2:72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</row>
    <row r="156" spans="2:72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</row>
    <row r="157" spans="2:72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</row>
    <row r="158" spans="2:72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</row>
    <row r="159" spans="2:72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</row>
    <row r="160" spans="2:72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</row>
    <row r="161" spans="1:72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</row>
    <row r="162" spans="1:72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</row>
    <row r="163" spans="1:72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</row>
    <row r="164" spans="1:72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</row>
    <row r="165" spans="1:72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</row>
    <row r="166" spans="1:72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</row>
    <row r="167" spans="1:72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</row>
    <row r="168" spans="1:72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</row>
    <row r="169" spans="1:72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</row>
    <row r="170" spans="1:72" x14ac:dyDescent="0.3">
      <c r="A170" t="s">
        <v>534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</row>
    <row r="171" spans="1:72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</row>
    <row r="172" spans="1:72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</row>
    <row r="173" spans="1:72" x14ac:dyDescent="0.3">
      <c r="B173" t="s">
        <v>526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</row>
    <row r="174" spans="1:72" x14ac:dyDescent="0.3">
      <c r="B174" t="s">
        <v>535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</row>
    <row r="175" spans="1:72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</row>
    <row r="176" spans="1:72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</row>
    <row r="177" spans="2:72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</row>
    <row r="178" spans="2:72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</row>
    <row r="179" spans="2:72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</row>
    <row r="180" spans="2:72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</row>
    <row r="181" spans="2:72" x14ac:dyDescent="0.3">
      <c r="B181" t="s">
        <v>536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</row>
    <row r="182" spans="2:72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</row>
    <row r="183" spans="2:72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</row>
    <row r="184" spans="2:72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</row>
    <row r="185" spans="2:72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</row>
    <row r="186" spans="2:72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</row>
    <row r="187" spans="2:72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</row>
    <row r="188" spans="2:72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</row>
    <row r="189" spans="2:72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</row>
    <row r="190" spans="2:72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</row>
    <row r="191" spans="2:72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</row>
    <row r="192" spans="2:72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</row>
    <row r="193" spans="2:72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</row>
    <row r="194" spans="2:72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</row>
    <row r="195" spans="2:72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</row>
    <row r="196" spans="2:72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</row>
    <row r="197" spans="2:72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</row>
    <row r="198" spans="2:72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</row>
    <row r="199" spans="2:72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</row>
    <row r="200" spans="2:72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</row>
    <row r="201" spans="2:72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</row>
    <row r="202" spans="2:72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</row>
    <row r="203" spans="2:72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</row>
    <row r="204" spans="2:72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</row>
    <row r="205" spans="2:72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</row>
    <row r="206" spans="2:72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</row>
    <row r="207" spans="2:72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</row>
    <row r="208" spans="2:72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</row>
    <row r="209" spans="1:72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</row>
    <row r="210" spans="1:72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</row>
    <row r="211" spans="1:72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</row>
    <row r="212" spans="1:72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</row>
    <row r="213" spans="1:72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</row>
    <row r="214" spans="1:72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</row>
    <row r="215" spans="1:72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</row>
    <row r="216" spans="1:72" x14ac:dyDescent="0.3">
      <c r="B216" t="s">
        <v>557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</row>
    <row r="217" spans="1:72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</row>
    <row r="218" spans="1:72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</row>
    <row r="219" spans="1:72" x14ac:dyDescent="0.3">
      <c r="A219" t="s">
        <v>522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</row>
    <row r="220" spans="1:72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</row>
    <row r="221" spans="1:72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</row>
    <row r="222" spans="1:72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</row>
    <row r="223" spans="1:72" x14ac:dyDescent="0.3">
      <c r="A223" t="s">
        <v>537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</row>
    <row r="224" spans="1:72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</row>
    <row r="225" spans="1:72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</row>
    <row r="226" spans="1:72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</row>
    <row r="227" spans="1:72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  <c r="BT227">
        <v>140886</v>
      </c>
    </row>
    <row r="228" spans="1:72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</row>
    <row r="229" spans="1:72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</row>
    <row r="230" spans="1:72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</row>
    <row r="231" spans="1:72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</row>
    <row r="232" spans="1:72" x14ac:dyDescent="0.3">
      <c r="B232" t="s">
        <v>538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</row>
    <row r="233" spans="1:72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</row>
    <row r="234" spans="1:72" x14ac:dyDescent="0.3">
      <c r="B234" t="s">
        <v>560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</row>
    <row r="235" spans="1:72" x14ac:dyDescent="0.3">
      <c r="B235" t="s">
        <v>561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</row>
    <row r="236" spans="1:72" x14ac:dyDescent="0.3">
      <c r="B236" t="s">
        <v>562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</row>
    <row r="237" spans="1:72" x14ac:dyDescent="0.3">
      <c r="B237" t="s">
        <v>563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</row>
    <row r="238" spans="1:72" x14ac:dyDescent="0.3">
      <c r="B238" t="s">
        <v>564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</row>
    <row r="239" spans="1:72" x14ac:dyDescent="0.3">
      <c r="B239" t="s">
        <v>583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</row>
    <row r="240" spans="1:72" x14ac:dyDescent="0.3">
      <c r="A240" t="s">
        <v>508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</row>
    <row r="241" spans="1:72" x14ac:dyDescent="0.3">
      <c r="B241" t="s">
        <v>592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</row>
    <row r="242" spans="1:72" x14ac:dyDescent="0.3">
      <c r="B242" t="s">
        <v>593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</row>
    <row r="243" spans="1:72" x14ac:dyDescent="0.3">
      <c r="B243" t="s">
        <v>597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</row>
    <row r="244" spans="1:72" x14ac:dyDescent="0.3">
      <c r="B244" t="s">
        <v>598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</row>
    <row r="245" spans="1:72" x14ac:dyDescent="0.3">
      <c r="B245" t="s">
        <v>599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</row>
    <row r="246" spans="1:72" x14ac:dyDescent="0.3">
      <c r="B246" t="s">
        <v>600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</row>
    <row r="247" spans="1:72" x14ac:dyDescent="0.3">
      <c r="A247" t="s">
        <v>553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</row>
    <row r="248" spans="1:72" x14ac:dyDescent="0.3">
      <c r="A248" t="s">
        <v>601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</row>
    <row r="249" spans="1:72" x14ac:dyDescent="0.3">
      <c r="B249" t="s">
        <v>457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</row>
    <row r="250" spans="1:72" x14ac:dyDescent="0.3">
      <c r="B250" t="s">
        <v>616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</row>
    <row r="251" spans="1:72" x14ac:dyDescent="0.3">
      <c r="A251" t="s">
        <v>617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</row>
    <row r="252" spans="1:72" x14ac:dyDescent="0.3">
      <c r="A252" t="s">
        <v>618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</row>
    <row r="253" spans="1:72" x14ac:dyDescent="0.3">
      <c r="A253" t="s">
        <v>619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</row>
    <row r="254" spans="1:72" x14ac:dyDescent="0.3">
      <c r="B254" t="s">
        <v>620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Projections</vt:lpstr>
      <vt:lpstr>Country_Rates</vt:lpstr>
      <vt:lpstr>Country_Comparison</vt:lpstr>
      <vt:lpstr>Projections_Data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Choice_range</vt:lpstr>
      <vt:lpstr>country</vt:lpstr>
      <vt:lpstr>country_by_day_jpg</vt:lpstr>
      <vt:lpstr>country_jpg</vt:lpstr>
      <vt:lpstr>criticalcare</vt:lpstr>
      <vt:lpstr>death_by_day_jpg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2020-03-30T20:17:39Z</dcterms:modified>
</cp:coreProperties>
</file>